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90E6B256-0620-458B-8882-5F2EEDB8807F}" xr6:coauthVersionLast="47" xr6:coauthVersionMax="47" xr10:uidLastSave="{00000000-0000-0000-0000-000000000000}"/>
  <bookViews>
    <workbookView xWindow="-120" yWindow="-120" windowWidth="38640" windowHeight="21120" activeTab="10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2" i="1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A2" i="3" a="1"/>
  <c r="N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Q567" i="4" s="1"/>
  <c r="O568" i="4"/>
  <c r="Q568" i="4" s="1"/>
  <c r="O569" i="4"/>
  <c r="Q569" i="4" s="1"/>
  <c r="O570" i="4"/>
  <c r="O571" i="4"/>
  <c r="O572" i="4"/>
  <c r="K100" i="4"/>
  <c r="N100" i="4" s="1"/>
  <c r="K101" i="4"/>
  <c r="N101" i="4" s="1"/>
  <c r="K102" i="4"/>
  <c r="N102" i="4" s="1"/>
  <c r="K103" i="4"/>
  <c r="N103" i="4" s="1"/>
  <c r="K104" i="4"/>
  <c r="N104" i="4" s="1"/>
  <c r="K105" i="4"/>
  <c r="N105" i="4" s="1"/>
  <c r="K106" i="4"/>
  <c r="N106" i="4" s="1"/>
  <c r="K107" i="4"/>
  <c r="N107" i="4" s="1"/>
  <c r="K108" i="4"/>
  <c r="N108" i="4" s="1"/>
  <c r="K109" i="4"/>
  <c r="N109" i="4" s="1"/>
  <c r="K110" i="4"/>
  <c r="N110" i="4" s="1"/>
  <c r="K111" i="4"/>
  <c r="N111" i="4" s="1"/>
  <c r="K112" i="4"/>
  <c r="N112" i="4" s="1"/>
  <c r="K113" i="4"/>
  <c r="N113" i="4" s="1"/>
  <c r="K114" i="4"/>
  <c r="N114" i="4" s="1"/>
  <c r="K115" i="4"/>
  <c r="N115" i="4" s="1"/>
  <c r="K116" i="4"/>
  <c r="N116" i="4" s="1"/>
  <c r="K117" i="4"/>
  <c r="N117" i="4" s="1"/>
  <c r="K118" i="4"/>
  <c r="N118" i="4" s="1"/>
  <c r="K119" i="4"/>
  <c r="N119" i="4" s="1"/>
  <c r="K120" i="4"/>
  <c r="N120" i="4" s="1"/>
  <c r="K121" i="4"/>
  <c r="N121" i="4" s="1"/>
  <c r="K122" i="4"/>
  <c r="N122" i="4" s="1"/>
  <c r="K123" i="4"/>
  <c r="N123" i="4" s="1"/>
  <c r="K124" i="4"/>
  <c r="N124" i="4" s="1"/>
  <c r="K125" i="4"/>
  <c r="N125" i="4" s="1"/>
  <c r="K126" i="4"/>
  <c r="N126" i="4" s="1"/>
  <c r="K127" i="4"/>
  <c r="N127" i="4" s="1"/>
  <c r="K128" i="4"/>
  <c r="N128" i="4" s="1"/>
  <c r="K129" i="4"/>
  <c r="N129" i="4" s="1"/>
  <c r="K130" i="4"/>
  <c r="N130" i="4" s="1"/>
  <c r="K131" i="4"/>
  <c r="N131" i="4" s="1"/>
  <c r="K132" i="4"/>
  <c r="N132" i="4" s="1"/>
  <c r="K133" i="4"/>
  <c r="N133" i="4" s="1"/>
  <c r="K134" i="4"/>
  <c r="N134" i="4" s="1"/>
  <c r="K135" i="4"/>
  <c r="N135" i="4" s="1"/>
  <c r="K136" i="4"/>
  <c r="N136" i="4" s="1"/>
  <c r="K137" i="4"/>
  <c r="N137" i="4" s="1"/>
  <c r="K138" i="4"/>
  <c r="N138" i="4" s="1"/>
  <c r="K139" i="4"/>
  <c r="N139" i="4" s="1"/>
  <c r="K140" i="4"/>
  <c r="N140" i="4" s="1"/>
  <c r="K141" i="4"/>
  <c r="N141" i="4" s="1"/>
  <c r="K142" i="4"/>
  <c r="N142" i="4" s="1"/>
  <c r="K143" i="4"/>
  <c r="N143" i="4" s="1"/>
  <c r="K144" i="4"/>
  <c r="N144" i="4" s="1"/>
  <c r="K145" i="4"/>
  <c r="N145" i="4" s="1"/>
  <c r="K146" i="4"/>
  <c r="N146" i="4" s="1"/>
  <c r="K147" i="4"/>
  <c r="N147" i="4" s="1"/>
  <c r="K148" i="4"/>
  <c r="N148" i="4" s="1"/>
  <c r="K149" i="4"/>
  <c r="N149" i="4" s="1"/>
  <c r="K150" i="4"/>
  <c r="N150" i="4" s="1"/>
  <c r="K151" i="4"/>
  <c r="N151" i="4" s="1"/>
  <c r="K152" i="4"/>
  <c r="N152" i="4" s="1"/>
  <c r="K153" i="4"/>
  <c r="N153" i="4" s="1"/>
  <c r="K154" i="4"/>
  <c r="N154" i="4" s="1"/>
  <c r="K155" i="4"/>
  <c r="N155" i="4" s="1"/>
  <c r="K156" i="4"/>
  <c r="N156" i="4" s="1"/>
  <c r="K157" i="4"/>
  <c r="N157" i="4" s="1"/>
  <c r="K158" i="4"/>
  <c r="N158" i="4" s="1"/>
  <c r="K159" i="4"/>
  <c r="N159" i="4" s="1"/>
  <c r="K160" i="4"/>
  <c r="N160" i="4" s="1"/>
  <c r="K161" i="4"/>
  <c r="N161" i="4" s="1"/>
  <c r="K162" i="4"/>
  <c r="N162" i="4" s="1"/>
  <c r="K163" i="4"/>
  <c r="N163" i="4" s="1"/>
  <c r="K164" i="4"/>
  <c r="N164" i="4" s="1"/>
  <c r="K165" i="4"/>
  <c r="N165" i="4" s="1"/>
  <c r="K166" i="4"/>
  <c r="N166" i="4" s="1"/>
  <c r="K167" i="4"/>
  <c r="N167" i="4" s="1"/>
  <c r="K168" i="4"/>
  <c r="N168" i="4" s="1"/>
  <c r="K169" i="4"/>
  <c r="N169" i="4" s="1"/>
  <c r="K170" i="4"/>
  <c r="N170" i="4" s="1"/>
  <c r="K171" i="4"/>
  <c r="N171" i="4" s="1"/>
  <c r="K172" i="4"/>
  <c r="N172" i="4" s="1"/>
  <c r="K173" i="4"/>
  <c r="N173" i="4" s="1"/>
  <c r="K174" i="4"/>
  <c r="N174" i="4" s="1"/>
  <c r="K175" i="4"/>
  <c r="N175" i="4" s="1"/>
  <c r="K176" i="4"/>
  <c r="N176" i="4" s="1"/>
  <c r="K177" i="4"/>
  <c r="N177" i="4" s="1"/>
  <c r="K178" i="4"/>
  <c r="N178" i="4" s="1"/>
  <c r="K179" i="4"/>
  <c r="N179" i="4" s="1"/>
  <c r="K180" i="4"/>
  <c r="N180" i="4" s="1"/>
  <c r="K181" i="4"/>
  <c r="N181" i="4" s="1"/>
  <c r="K182" i="4"/>
  <c r="N182" i="4" s="1"/>
  <c r="K183" i="4"/>
  <c r="N183" i="4" s="1"/>
  <c r="K184" i="4"/>
  <c r="N184" i="4" s="1"/>
  <c r="K185" i="4"/>
  <c r="N185" i="4" s="1"/>
  <c r="K186" i="4"/>
  <c r="N186" i="4" s="1"/>
  <c r="K187" i="4"/>
  <c r="N187" i="4" s="1"/>
  <c r="K188" i="4"/>
  <c r="N188" i="4" s="1"/>
  <c r="K189" i="4"/>
  <c r="N189" i="4" s="1"/>
  <c r="K190" i="4"/>
  <c r="N190" i="4" s="1"/>
  <c r="K191" i="4"/>
  <c r="N191" i="4" s="1"/>
  <c r="K192" i="4"/>
  <c r="N192" i="4" s="1"/>
  <c r="K193" i="4"/>
  <c r="N193" i="4" s="1"/>
  <c r="K194" i="4"/>
  <c r="N194" i="4" s="1"/>
  <c r="K195" i="4"/>
  <c r="N195" i="4" s="1"/>
  <c r="K196" i="4"/>
  <c r="N196" i="4" s="1"/>
  <c r="K197" i="4"/>
  <c r="N197" i="4" s="1"/>
  <c r="K198" i="4"/>
  <c r="N198" i="4" s="1"/>
  <c r="K199" i="4"/>
  <c r="N199" i="4" s="1"/>
  <c r="K200" i="4"/>
  <c r="N200" i="4" s="1"/>
  <c r="K201" i="4"/>
  <c r="N201" i="4" s="1"/>
  <c r="K202" i="4"/>
  <c r="N202" i="4" s="1"/>
  <c r="K203" i="4"/>
  <c r="N203" i="4" s="1"/>
  <c r="K204" i="4"/>
  <c r="N204" i="4" s="1"/>
  <c r="K205" i="4"/>
  <c r="N205" i="4" s="1"/>
  <c r="K206" i="4"/>
  <c r="N206" i="4" s="1"/>
  <c r="K207" i="4"/>
  <c r="N207" i="4" s="1"/>
  <c r="K208" i="4"/>
  <c r="N208" i="4" s="1"/>
  <c r="K209" i="4"/>
  <c r="N209" i="4" s="1"/>
  <c r="K210" i="4"/>
  <c r="N210" i="4" s="1"/>
  <c r="K211" i="4"/>
  <c r="N211" i="4" s="1"/>
  <c r="K212" i="4"/>
  <c r="N212" i="4" s="1"/>
  <c r="K213" i="4"/>
  <c r="N213" i="4" s="1"/>
  <c r="K214" i="4"/>
  <c r="N214" i="4" s="1"/>
  <c r="K215" i="4"/>
  <c r="N215" i="4" s="1"/>
  <c r="K216" i="4"/>
  <c r="N216" i="4" s="1"/>
  <c r="K217" i="4"/>
  <c r="N217" i="4" s="1"/>
  <c r="K218" i="4"/>
  <c r="N218" i="4" s="1"/>
  <c r="K219" i="4"/>
  <c r="N219" i="4" s="1"/>
  <c r="K220" i="4"/>
  <c r="N220" i="4" s="1"/>
  <c r="K221" i="4"/>
  <c r="N221" i="4" s="1"/>
  <c r="K222" i="4"/>
  <c r="N222" i="4" s="1"/>
  <c r="K223" i="4"/>
  <c r="N223" i="4" s="1"/>
  <c r="K224" i="4"/>
  <c r="N224" i="4" s="1"/>
  <c r="K225" i="4"/>
  <c r="N225" i="4" s="1"/>
  <c r="K226" i="4"/>
  <c r="N226" i="4" s="1"/>
  <c r="K227" i="4"/>
  <c r="N227" i="4" s="1"/>
  <c r="K228" i="4"/>
  <c r="N228" i="4" s="1"/>
  <c r="K229" i="4"/>
  <c r="N229" i="4" s="1"/>
  <c r="K230" i="4"/>
  <c r="N230" i="4" s="1"/>
  <c r="K231" i="4"/>
  <c r="N231" i="4" s="1"/>
  <c r="K232" i="4"/>
  <c r="N232" i="4" s="1"/>
  <c r="K233" i="4"/>
  <c r="N233" i="4" s="1"/>
  <c r="K234" i="4"/>
  <c r="N234" i="4" s="1"/>
  <c r="K235" i="4"/>
  <c r="N235" i="4" s="1"/>
  <c r="K236" i="4"/>
  <c r="N236" i="4" s="1"/>
  <c r="K237" i="4"/>
  <c r="N237" i="4" s="1"/>
  <c r="K238" i="4"/>
  <c r="N238" i="4" s="1"/>
  <c r="K239" i="4"/>
  <c r="N239" i="4" s="1"/>
  <c r="K240" i="4"/>
  <c r="N240" i="4" s="1"/>
  <c r="K241" i="4"/>
  <c r="N241" i="4" s="1"/>
  <c r="K242" i="4"/>
  <c r="N242" i="4" s="1"/>
  <c r="K243" i="4"/>
  <c r="N243" i="4" s="1"/>
  <c r="K244" i="4"/>
  <c r="N244" i="4" s="1"/>
  <c r="K245" i="4"/>
  <c r="N245" i="4" s="1"/>
  <c r="K246" i="4"/>
  <c r="N246" i="4" s="1"/>
  <c r="K247" i="4"/>
  <c r="N247" i="4" s="1"/>
  <c r="K248" i="4"/>
  <c r="N248" i="4" s="1"/>
  <c r="K249" i="4"/>
  <c r="N249" i="4" s="1"/>
  <c r="K250" i="4"/>
  <c r="N250" i="4" s="1"/>
  <c r="K251" i="4"/>
  <c r="N251" i="4" s="1"/>
  <c r="K252" i="4"/>
  <c r="N252" i="4" s="1"/>
  <c r="K253" i="4"/>
  <c r="N253" i="4" s="1"/>
  <c r="K254" i="4"/>
  <c r="N254" i="4" s="1"/>
  <c r="K255" i="4"/>
  <c r="N255" i="4" s="1"/>
  <c r="K256" i="4"/>
  <c r="N256" i="4" s="1"/>
  <c r="K257" i="4"/>
  <c r="N257" i="4" s="1"/>
  <c r="K258" i="4"/>
  <c r="N258" i="4" s="1"/>
  <c r="K259" i="4"/>
  <c r="N259" i="4" s="1"/>
  <c r="K260" i="4"/>
  <c r="N260" i="4" s="1"/>
  <c r="K261" i="4"/>
  <c r="N261" i="4" s="1"/>
  <c r="K262" i="4"/>
  <c r="N262" i="4" s="1"/>
  <c r="K263" i="4"/>
  <c r="N263" i="4" s="1"/>
  <c r="K264" i="4"/>
  <c r="N264" i="4" s="1"/>
  <c r="K265" i="4"/>
  <c r="N265" i="4" s="1"/>
  <c r="K266" i="4"/>
  <c r="N266" i="4" s="1"/>
  <c r="K267" i="4"/>
  <c r="N267" i="4" s="1"/>
  <c r="K268" i="4"/>
  <c r="N268" i="4" s="1"/>
  <c r="K269" i="4"/>
  <c r="N269" i="4" s="1"/>
  <c r="K270" i="4"/>
  <c r="N270" i="4" s="1"/>
  <c r="K271" i="4"/>
  <c r="N271" i="4" s="1"/>
  <c r="K272" i="4"/>
  <c r="N272" i="4" s="1"/>
  <c r="K273" i="4"/>
  <c r="N273" i="4" s="1"/>
  <c r="K274" i="4"/>
  <c r="N274" i="4" s="1"/>
  <c r="K275" i="4"/>
  <c r="N275" i="4" s="1"/>
  <c r="K276" i="4"/>
  <c r="N276" i="4" s="1"/>
  <c r="K277" i="4"/>
  <c r="N277" i="4" s="1"/>
  <c r="K278" i="4"/>
  <c r="N278" i="4" s="1"/>
  <c r="K279" i="4"/>
  <c r="N279" i="4" s="1"/>
  <c r="K280" i="4"/>
  <c r="N280" i="4" s="1"/>
  <c r="K281" i="4"/>
  <c r="N281" i="4" s="1"/>
  <c r="K282" i="4"/>
  <c r="N282" i="4" s="1"/>
  <c r="K283" i="4"/>
  <c r="N283" i="4" s="1"/>
  <c r="K284" i="4"/>
  <c r="N284" i="4" s="1"/>
  <c r="K285" i="4"/>
  <c r="N285" i="4" s="1"/>
  <c r="K286" i="4"/>
  <c r="N286" i="4" s="1"/>
  <c r="K287" i="4"/>
  <c r="N287" i="4" s="1"/>
  <c r="K288" i="4"/>
  <c r="N288" i="4" s="1"/>
  <c r="K289" i="4"/>
  <c r="N289" i="4" s="1"/>
  <c r="K290" i="4"/>
  <c r="N290" i="4" s="1"/>
  <c r="K291" i="4"/>
  <c r="N291" i="4" s="1"/>
  <c r="K292" i="4"/>
  <c r="N292" i="4" s="1"/>
  <c r="K293" i="4"/>
  <c r="N293" i="4" s="1"/>
  <c r="K294" i="4"/>
  <c r="N294" i="4" s="1"/>
  <c r="K295" i="4"/>
  <c r="N295" i="4" s="1"/>
  <c r="K296" i="4"/>
  <c r="N296" i="4" s="1"/>
  <c r="K297" i="4"/>
  <c r="N297" i="4" s="1"/>
  <c r="K298" i="4"/>
  <c r="N298" i="4" s="1"/>
  <c r="K299" i="4"/>
  <c r="N299" i="4" s="1"/>
  <c r="K300" i="4"/>
  <c r="N300" i="4" s="1"/>
  <c r="K301" i="4"/>
  <c r="N301" i="4" s="1"/>
  <c r="K302" i="4"/>
  <c r="N302" i="4" s="1"/>
  <c r="K303" i="4"/>
  <c r="N303" i="4" s="1"/>
  <c r="K304" i="4"/>
  <c r="N304" i="4" s="1"/>
  <c r="K305" i="4"/>
  <c r="N305" i="4" s="1"/>
  <c r="K306" i="4"/>
  <c r="N306" i="4" s="1"/>
  <c r="K307" i="4"/>
  <c r="N307" i="4" s="1"/>
  <c r="K308" i="4"/>
  <c r="N308" i="4" s="1"/>
  <c r="K309" i="4"/>
  <c r="N309" i="4" s="1"/>
  <c r="K310" i="4"/>
  <c r="N310" i="4" s="1"/>
  <c r="K311" i="4"/>
  <c r="N311" i="4" s="1"/>
  <c r="K312" i="4"/>
  <c r="N312" i="4" s="1"/>
  <c r="K313" i="4"/>
  <c r="N313" i="4" s="1"/>
  <c r="K314" i="4"/>
  <c r="N314" i="4" s="1"/>
  <c r="K315" i="4"/>
  <c r="N315" i="4" s="1"/>
  <c r="K316" i="4"/>
  <c r="N316" i="4" s="1"/>
  <c r="K317" i="4"/>
  <c r="N317" i="4" s="1"/>
  <c r="K318" i="4"/>
  <c r="N318" i="4" s="1"/>
  <c r="K319" i="4"/>
  <c r="N319" i="4" s="1"/>
  <c r="K320" i="4"/>
  <c r="N320" i="4" s="1"/>
  <c r="K321" i="4"/>
  <c r="N321" i="4" s="1"/>
  <c r="K322" i="4"/>
  <c r="N322" i="4" s="1"/>
  <c r="K323" i="4"/>
  <c r="N323" i="4" s="1"/>
  <c r="K324" i="4"/>
  <c r="N324" i="4" s="1"/>
  <c r="K325" i="4"/>
  <c r="N325" i="4" s="1"/>
  <c r="K326" i="4"/>
  <c r="N326" i="4" s="1"/>
  <c r="K327" i="4"/>
  <c r="N327" i="4" s="1"/>
  <c r="K328" i="4"/>
  <c r="N328" i="4" s="1"/>
  <c r="K329" i="4"/>
  <c r="N329" i="4" s="1"/>
  <c r="K330" i="4"/>
  <c r="N330" i="4" s="1"/>
  <c r="K331" i="4"/>
  <c r="N331" i="4" s="1"/>
  <c r="K332" i="4"/>
  <c r="N332" i="4" s="1"/>
  <c r="K333" i="4"/>
  <c r="N333" i="4" s="1"/>
  <c r="K334" i="4"/>
  <c r="N334" i="4" s="1"/>
  <c r="K335" i="4"/>
  <c r="N335" i="4" s="1"/>
  <c r="K336" i="4"/>
  <c r="N336" i="4" s="1"/>
  <c r="K337" i="4"/>
  <c r="N337" i="4" s="1"/>
  <c r="K338" i="4"/>
  <c r="N338" i="4" s="1"/>
  <c r="K339" i="4"/>
  <c r="N339" i="4" s="1"/>
  <c r="K340" i="4"/>
  <c r="N340" i="4" s="1"/>
  <c r="K341" i="4"/>
  <c r="N341" i="4" s="1"/>
  <c r="K342" i="4"/>
  <c r="N342" i="4" s="1"/>
  <c r="K343" i="4"/>
  <c r="N343" i="4" s="1"/>
  <c r="K344" i="4"/>
  <c r="N344" i="4" s="1"/>
  <c r="K345" i="4"/>
  <c r="N345" i="4" s="1"/>
  <c r="K346" i="4"/>
  <c r="N346" i="4" s="1"/>
  <c r="K347" i="4"/>
  <c r="N347" i="4" s="1"/>
  <c r="K348" i="4"/>
  <c r="N348" i="4" s="1"/>
  <c r="K349" i="4"/>
  <c r="N349" i="4" s="1"/>
  <c r="K350" i="4"/>
  <c r="N350" i="4" s="1"/>
  <c r="K351" i="4"/>
  <c r="N351" i="4" s="1"/>
  <c r="K352" i="4"/>
  <c r="N352" i="4" s="1"/>
  <c r="K353" i="4"/>
  <c r="N353" i="4" s="1"/>
  <c r="K354" i="4"/>
  <c r="N354" i="4" s="1"/>
  <c r="K355" i="4"/>
  <c r="N355" i="4" s="1"/>
  <c r="K356" i="4"/>
  <c r="N356" i="4" s="1"/>
  <c r="K357" i="4"/>
  <c r="N357" i="4" s="1"/>
  <c r="K358" i="4"/>
  <c r="N358" i="4" s="1"/>
  <c r="K359" i="4"/>
  <c r="N359" i="4" s="1"/>
  <c r="K360" i="4"/>
  <c r="N360" i="4" s="1"/>
  <c r="K361" i="4"/>
  <c r="N361" i="4" s="1"/>
  <c r="K362" i="4"/>
  <c r="N362" i="4" s="1"/>
  <c r="K363" i="4"/>
  <c r="N363" i="4" s="1"/>
  <c r="K364" i="4"/>
  <c r="N364" i="4" s="1"/>
  <c r="K365" i="4"/>
  <c r="N365" i="4" s="1"/>
  <c r="K366" i="4"/>
  <c r="N366" i="4" s="1"/>
  <c r="K367" i="4"/>
  <c r="N367" i="4" s="1"/>
  <c r="K368" i="4"/>
  <c r="N368" i="4" s="1"/>
  <c r="K369" i="4"/>
  <c r="N369" i="4" s="1"/>
  <c r="K370" i="4"/>
  <c r="N370" i="4" s="1"/>
  <c r="K371" i="4"/>
  <c r="N371" i="4" s="1"/>
  <c r="K372" i="4"/>
  <c r="N372" i="4" s="1"/>
  <c r="K373" i="4"/>
  <c r="N373" i="4" s="1"/>
  <c r="K374" i="4"/>
  <c r="N374" i="4" s="1"/>
  <c r="K375" i="4"/>
  <c r="N375" i="4" s="1"/>
  <c r="K376" i="4"/>
  <c r="N376" i="4" s="1"/>
  <c r="K377" i="4"/>
  <c r="N377" i="4" s="1"/>
  <c r="K378" i="4"/>
  <c r="N378" i="4" s="1"/>
  <c r="K379" i="4"/>
  <c r="N379" i="4" s="1"/>
  <c r="K380" i="4"/>
  <c r="N380" i="4" s="1"/>
  <c r="K381" i="4"/>
  <c r="N381" i="4" s="1"/>
  <c r="K382" i="4"/>
  <c r="N382" i="4" s="1"/>
  <c r="K383" i="4"/>
  <c r="N383" i="4" s="1"/>
  <c r="K384" i="4"/>
  <c r="N384" i="4" s="1"/>
  <c r="K385" i="4"/>
  <c r="N385" i="4" s="1"/>
  <c r="K386" i="4"/>
  <c r="N386" i="4" s="1"/>
  <c r="K387" i="4"/>
  <c r="N387" i="4" s="1"/>
  <c r="K388" i="4"/>
  <c r="N388" i="4" s="1"/>
  <c r="K389" i="4"/>
  <c r="N389" i="4" s="1"/>
  <c r="K390" i="4"/>
  <c r="N390" i="4" s="1"/>
  <c r="K391" i="4"/>
  <c r="N391" i="4" s="1"/>
  <c r="K392" i="4"/>
  <c r="N392" i="4" s="1"/>
  <c r="K393" i="4"/>
  <c r="N393" i="4" s="1"/>
  <c r="K394" i="4"/>
  <c r="N394" i="4" s="1"/>
  <c r="K395" i="4"/>
  <c r="N395" i="4" s="1"/>
  <c r="K396" i="4"/>
  <c r="N396" i="4" s="1"/>
  <c r="K397" i="4"/>
  <c r="N397" i="4" s="1"/>
  <c r="K398" i="4"/>
  <c r="N398" i="4" s="1"/>
  <c r="K399" i="4"/>
  <c r="N399" i="4" s="1"/>
  <c r="K400" i="4"/>
  <c r="N400" i="4" s="1"/>
  <c r="K401" i="4"/>
  <c r="N401" i="4" s="1"/>
  <c r="K402" i="4"/>
  <c r="N402" i="4" s="1"/>
  <c r="K403" i="4"/>
  <c r="N403" i="4" s="1"/>
  <c r="K404" i="4"/>
  <c r="N404" i="4" s="1"/>
  <c r="K405" i="4"/>
  <c r="N405" i="4" s="1"/>
  <c r="K406" i="4"/>
  <c r="N406" i="4" s="1"/>
  <c r="K407" i="4"/>
  <c r="N407" i="4" s="1"/>
  <c r="K408" i="4"/>
  <c r="N408" i="4" s="1"/>
  <c r="K409" i="4"/>
  <c r="N409" i="4" s="1"/>
  <c r="K410" i="4"/>
  <c r="N410" i="4" s="1"/>
  <c r="K411" i="4"/>
  <c r="N411" i="4" s="1"/>
  <c r="K412" i="4"/>
  <c r="N412" i="4" s="1"/>
  <c r="K413" i="4"/>
  <c r="N413" i="4" s="1"/>
  <c r="K414" i="4"/>
  <c r="N414" i="4" s="1"/>
  <c r="K415" i="4"/>
  <c r="N415" i="4" s="1"/>
  <c r="K416" i="4"/>
  <c r="N416" i="4" s="1"/>
  <c r="K417" i="4"/>
  <c r="N417" i="4" s="1"/>
  <c r="K418" i="4"/>
  <c r="N418" i="4" s="1"/>
  <c r="K419" i="4"/>
  <c r="N419" i="4" s="1"/>
  <c r="K420" i="4"/>
  <c r="N420" i="4" s="1"/>
  <c r="K421" i="4"/>
  <c r="N421" i="4" s="1"/>
  <c r="K422" i="4"/>
  <c r="N422" i="4" s="1"/>
  <c r="K423" i="4"/>
  <c r="N423" i="4" s="1"/>
  <c r="K424" i="4"/>
  <c r="N424" i="4" s="1"/>
  <c r="K425" i="4"/>
  <c r="N425" i="4" s="1"/>
  <c r="K426" i="4"/>
  <c r="N426" i="4" s="1"/>
  <c r="K427" i="4"/>
  <c r="N427" i="4" s="1"/>
  <c r="K428" i="4"/>
  <c r="N428" i="4" s="1"/>
  <c r="K429" i="4"/>
  <c r="N429" i="4" s="1"/>
  <c r="K430" i="4"/>
  <c r="N430" i="4" s="1"/>
  <c r="K431" i="4"/>
  <c r="N431" i="4" s="1"/>
  <c r="K432" i="4"/>
  <c r="N432" i="4" s="1"/>
  <c r="K433" i="4"/>
  <c r="N433" i="4" s="1"/>
  <c r="K434" i="4"/>
  <c r="N434" i="4" s="1"/>
  <c r="K435" i="4"/>
  <c r="N435" i="4" s="1"/>
  <c r="K436" i="4"/>
  <c r="N436" i="4" s="1"/>
  <c r="K437" i="4"/>
  <c r="N437" i="4" s="1"/>
  <c r="K438" i="4"/>
  <c r="N438" i="4" s="1"/>
  <c r="K439" i="4"/>
  <c r="N439" i="4" s="1"/>
  <c r="K440" i="4"/>
  <c r="N440" i="4" s="1"/>
  <c r="K441" i="4"/>
  <c r="N441" i="4" s="1"/>
  <c r="K442" i="4"/>
  <c r="N442" i="4" s="1"/>
  <c r="K443" i="4"/>
  <c r="N443" i="4" s="1"/>
  <c r="K444" i="4"/>
  <c r="N444" i="4" s="1"/>
  <c r="K445" i="4"/>
  <c r="N445" i="4" s="1"/>
  <c r="K446" i="4"/>
  <c r="N446" i="4" s="1"/>
  <c r="K447" i="4"/>
  <c r="N447" i="4" s="1"/>
  <c r="K448" i="4"/>
  <c r="N448" i="4" s="1"/>
  <c r="K449" i="4"/>
  <c r="N449" i="4" s="1"/>
  <c r="K450" i="4"/>
  <c r="N450" i="4" s="1"/>
  <c r="K451" i="4"/>
  <c r="N451" i="4" s="1"/>
  <c r="K452" i="4"/>
  <c r="N452" i="4" s="1"/>
  <c r="K453" i="4"/>
  <c r="N453" i="4" s="1"/>
  <c r="K454" i="4"/>
  <c r="N454" i="4" s="1"/>
  <c r="K455" i="4"/>
  <c r="N455" i="4" s="1"/>
  <c r="K456" i="4"/>
  <c r="N456" i="4" s="1"/>
  <c r="K457" i="4"/>
  <c r="N457" i="4" s="1"/>
  <c r="K458" i="4"/>
  <c r="N458" i="4" s="1"/>
  <c r="K459" i="4"/>
  <c r="N459" i="4" s="1"/>
  <c r="K460" i="4"/>
  <c r="N460" i="4" s="1"/>
  <c r="K461" i="4"/>
  <c r="N461" i="4" s="1"/>
  <c r="K462" i="4"/>
  <c r="N462" i="4" s="1"/>
  <c r="K463" i="4"/>
  <c r="N463" i="4" s="1"/>
  <c r="K464" i="4"/>
  <c r="N464" i="4" s="1"/>
  <c r="K465" i="4"/>
  <c r="N465" i="4" s="1"/>
  <c r="K466" i="4"/>
  <c r="N466" i="4" s="1"/>
  <c r="K467" i="4"/>
  <c r="N467" i="4" s="1"/>
  <c r="K468" i="4"/>
  <c r="N468" i="4" s="1"/>
  <c r="K469" i="4"/>
  <c r="N469" i="4" s="1"/>
  <c r="K470" i="4"/>
  <c r="N470" i="4" s="1"/>
  <c r="K471" i="4"/>
  <c r="N471" i="4" s="1"/>
  <c r="K472" i="4"/>
  <c r="N472" i="4" s="1"/>
  <c r="K473" i="4"/>
  <c r="N473" i="4" s="1"/>
  <c r="K474" i="4"/>
  <c r="N474" i="4" s="1"/>
  <c r="K475" i="4"/>
  <c r="N475" i="4" s="1"/>
  <c r="K476" i="4"/>
  <c r="N476" i="4" s="1"/>
  <c r="K477" i="4"/>
  <c r="N477" i="4" s="1"/>
  <c r="K478" i="4"/>
  <c r="N478" i="4" s="1"/>
  <c r="K479" i="4"/>
  <c r="N479" i="4" s="1"/>
  <c r="K480" i="4"/>
  <c r="N480" i="4" s="1"/>
  <c r="K481" i="4"/>
  <c r="N481" i="4" s="1"/>
  <c r="K482" i="4"/>
  <c r="N482" i="4" s="1"/>
  <c r="K483" i="4"/>
  <c r="N483" i="4" s="1"/>
  <c r="K484" i="4"/>
  <c r="N484" i="4" s="1"/>
  <c r="K485" i="4"/>
  <c r="N485" i="4" s="1"/>
  <c r="K486" i="4"/>
  <c r="N486" i="4" s="1"/>
  <c r="K487" i="4"/>
  <c r="N487" i="4" s="1"/>
  <c r="K488" i="4"/>
  <c r="N488" i="4" s="1"/>
  <c r="K489" i="4"/>
  <c r="N489" i="4" s="1"/>
  <c r="K490" i="4"/>
  <c r="N490" i="4" s="1"/>
  <c r="K491" i="4"/>
  <c r="N491" i="4" s="1"/>
  <c r="K492" i="4"/>
  <c r="N492" i="4" s="1"/>
  <c r="K493" i="4"/>
  <c r="N493" i="4" s="1"/>
  <c r="K494" i="4"/>
  <c r="N494" i="4" s="1"/>
  <c r="K495" i="4"/>
  <c r="N495" i="4" s="1"/>
  <c r="K496" i="4"/>
  <c r="N496" i="4" s="1"/>
  <c r="K497" i="4"/>
  <c r="N497" i="4" s="1"/>
  <c r="K498" i="4"/>
  <c r="N498" i="4" s="1"/>
  <c r="K499" i="4"/>
  <c r="N499" i="4" s="1"/>
  <c r="K500" i="4"/>
  <c r="N500" i="4" s="1"/>
  <c r="K501" i="4"/>
  <c r="N501" i="4" s="1"/>
  <c r="K502" i="4"/>
  <c r="N502" i="4" s="1"/>
  <c r="K503" i="4"/>
  <c r="N503" i="4" s="1"/>
  <c r="K504" i="4"/>
  <c r="N504" i="4" s="1"/>
  <c r="K505" i="4"/>
  <c r="N505" i="4" s="1"/>
  <c r="K506" i="4"/>
  <c r="N506" i="4" s="1"/>
  <c r="K507" i="4"/>
  <c r="N507" i="4" s="1"/>
  <c r="K508" i="4"/>
  <c r="N508" i="4" s="1"/>
  <c r="K509" i="4"/>
  <c r="N509" i="4" s="1"/>
  <c r="K510" i="4"/>
  <c r="N510" i="4" s="1"/>
  <c r="K511" i="4"/>
  <c r="N511" i="4" s="1"/>
  <c r="K512" i="4"/>
  <c r="N512" i="4" s="1"/>
  <c r="K513" i="4"/>
  <c r="N513" i="4" s="1"/>
  <c r="K514" i="4"/>
  <c r="N514" i="4" s="1"/>
  <c r="K515" i="4"/>
  <c r="N515" i="4" s="1"/>
  <c r="K516" i="4"/>
  <c r="N516" i="4" s="1"/>
  <c r="K517" i="4"/>
  <c r="N517" i="4" s="1"/>
  <c r="K518" i="4"/>
  <c r="N518" i="4" s="1"/>
  <c r="K519" i="4"/>
  <c r="N519" i="4" s="1"/>
  <c r="K520" i="4"/>
  <c r="N520" i="4" s="1"/>
  <c r="K521" i="4"/>
  <c r="N521" i="4" s="1"/>
  <c r="K522" i="4"/>
  <c r="N522" i="4" s="1"/>
  <c r="K523" i="4"/>
  <c r="N523" i="4" s="1"/>
  <c r="K524" i="4"/>
  <c r="N524" i="4" s="1"/>
  <c r="K525" i="4"/>
  <c r="N525" i="4" s="1"/>
  <c r="K526" i="4"/>
  <c r="N526" i="4" s="1"/>
  <c r="K527" i="4"/>
  <c r="N527" i="4" s="1"/>
  <c r="K528" i="4"/>
  <c r="N528" i="4" s="1"/>
  <c r="K529" i="4"/>
  <c r="N529" i="4" s="1"/>
  <c r="K530" i="4"/>
  <c r="N530" i="4" s="1"/>
  <c r="K531" i="4"/>
  <c r="N531" i="4" s="1"/>
  <c r="K532" i="4"/>
  <c r="N532" i="4" s="1"/>
  <c r="K533" i="4"/>
  <c r="N533" i="4" s="1"/>
  <c r="K534" i="4"/>
  <c r="N534" i="4" s="1"/>
  <c r="K535" i="4"/>
  <c r="N535" i="4" s="1"/>
  <c r="K536" i="4"/>
  <c r="N536" i="4" s="1"/>
  <c r="K537" i="4"/>
  <c r="N537" i="4" s="1"/>
  <c r="K538" i="4"/>
  <c r="N538" i="4" s="1"/>
  <c r="K539" i="4"/>
  <c r="N539" i="4" s="1"/>
  <c r="K540" i="4"/>
  <c r="N540" i="4" s="1"/>
  <c r="K541" i="4"/>
  <c r="N541" i="4" s="1"/>
  <c r="K542" i="4"/>
  <c r="N542" i="4" s="1"/>
  <c r="K543" i="4"/>
  <c r="N543" i="4" s="1"/>
  <c r="K544" i="4"/>
  <c r="N544" i="4" s="1"/>
  <c r="K545" i="4"/>
  <c r="N545" i="4" s="1"/>
  <c r="K546" i="4"/>
  <c r="N546" i="4" s="1"/>
  <c r="K547" i="4"/>
  <c r="N547" i="4" s="1"/>
  <c r="K548" i="4"/>
  <c r="N548" i="4" s="1"/>
  <c r="K549" i="4"/>
  <c r="N549" i="4" s="1"/>
  <c r="K550" i="4"/>
  <c r="N550" i="4" s="1"/>
  <c r="K551" i="4"/>
  <c r="N551" i="4" s="1"/>
  <c r="K552" i="4"/>
  <c r="N552" i="4" s="1"/>
  <c r="K553" i="4"/>
  <c r="N553" i="4" s="1"/>
  <c r="K554" i="4"/>
  <c r="N554" i="4" s="1"/>
  <c r="K555" i="4"/>
  <c r="N555" i="4" s="1"/>
  <c r="K556" i="4"/>
  <c r="N556" i="4" s="1"/>
  <c r="P159" i="4" a="1"/>
  <c r="P159" i="4" s="1"/>
  <c r="Q159" i="4" s="1"/>
  <c r="P160" i="4" a="1"/>
  <c r="P160" i="4" s="1"/>
  <c r="Q160" i="4" s="1"/>
  <c r="P161" i="4" a="1"/>
  <c r="P161" i="4" s="1"/>
  <c r="Q161" i="4" s="1"/>
  <c r="P162" i="4" a="1"/>
  <c r="P162" i="4" s="1"/>
  <c r="P163" i="4" a="1"/>
  <c r="P163" i="4" s="1"/>
  <c r="Q163" i="4" s="1"/>
  <c r="P164" i="4" a="1"/>
  <c r="P164" i="4" s="1"/>
  <c r="Q164" i="4" s="1"/>
  <c r="P165" i="4" a="1"/>
  <c r="P165" i="4" s="1"/>
  <c r="Q165" i="4" s="1"/>
  <c r="P166" i="4" a="1"/>
  <c r="P166" i="4" s="1"/>
  <c r="Q166" i="4" s="1"/>
  <c r="P167" i="4" a="1"/>
  <c r="P167" i="4" s="1"/>
  <c r="Q167" i="4" s="1"/>
  <c r="P168" i="4" a="1"/>
  <c r="P168" i="4" s="1"/>
  <c r="P169" i="4" a="1"/>
  <c r="P169" i="4" s="1"/>
  <c r="Q169" i="4" s="1"/>
  <c r="P170" i="4" a="1"/>
  <c r="P170" i="4" s="1"/>
  <c r="Q170" i="4" s="1"/>
  <c r="P171" i="4" a="1"/>
  <c r="P171" i="4" s="1"/>
  <c r="Q171" i="4" s="1"/>
  <c r="P172" i="4" a="1"/>
  <c r="P172" i="4" s="1"/>
  <c r="Q172" i="4" s="1"/>
  <c r="P173" i="4" a="1"/>
  <c r="P173" i="4" s="1"/>
  <c r="Q173" i="4" s="1"/>
  <c r="P174" i="4" a="1"/>
  <c r="P174" i="4" s="1"/>
  <c r="P175" i="4" a="1"/>
  <c r="P175" i="4" s="1"/>
  <c r="Q175" i="4" s="1"/>
  <c r="P176" i="4" a="1"/>
  <c r="P176" i="4" s="1"/>
  <c r="Q176" i="4" s="1"/>
  <c r="P177" i="4" a="1"/>
  <c r="P177" i="4" s="1"/>
  <c r="Q177" i="4" s="1"/>
  <c r="P178" i="4" a="1"/>
  <c r="P178" i="4" s="1"/>
  <c r="Q178" i="4" s="1"/>
  <c r="P179" i="4" a="1"/>
  <c r="P179" i="4" s="1"/>
  <c r="Q179" i="4" s="1"/>
  <c r="P180" i="4" a="1"/>
  <c r="P180" i="4" s="1"/>
  <c r="P181" i="4" a="1"/>
  <c r="P181" i="4" s="1"/>
  <c r="Q181" i="4" s="1"/>
  <c r="P182" i="4" a="1"/>
  <c r="P182" i="4" s="1"/>
  <c r="Q182" i="4" s="1"/>
  <c r="P183" i="4" a="1"/>
  <c r="P183" i="4" s="1"/>
  <c r="Q183" i="4" s="1"/>
  <c r="P184" i="4" a="1"/>
  <c r="P184" i="4" s="1"/>
  <c r="Q184" i="4" s="1"/>
  <c r="P185" i="4" a="1"/>
  <c r="P185" i="4" s="1"/>
  <c r="Q185" i="4" s="1"/>
  <c r="P186" i="4" a="1"/>
  <c r="P186" i="4" s="1"/>
  <c r="P187" i="4" a="1"/>
  <c r="P187" i="4" s="1"/>
  <c r="Q187" i="4" s="1"/>
  <c r="P188" i="4" a="1"/>
  <c r="P188" i="4" s="1"/>
  <c r="Q188" i="4" s="1"/>
  <c r="P189" i="4" a="1"/>
  <c r="P189" i="4" s="1"/>
  <c r="Q189" i="4" s="1"/>
  <c r="P190" i="4" a="1"/>
  <c r="P190" i="4" s="1"/>
  <c r="Q190" i="4" s="1"/>
  <c r="P191" i="4" a="1"/>
  <c r="P191" i="4" s="1"/>
  <c r="Q191" i="4" s="1"/>
  <c r="P192" i="4" a="1"/>
  <c r="P192" i="4" s="1"/>
  <c r="P193" i="4" a="1"/>
  <c r="P193" i="4" s="1"/>
  <c r="Q193" i="4" s="1"/>
  <c r="P194" i="4" a="1"/>
  <c r="P194" i="4" s="1"/>
  <c r="Q194" i="4" s="1"/>
  <c r="P195" i="4" a="1"/>
  <c r="P195" i="4" s="1"/>
  <c r="Q195" i="4" s="1"/>
  <c r="P196" i="4" a="1"/>
  <c r="P196" i="4" s="1"/>
  <c r="Q196" i="4" s="1"/>
  <c r="P197" i="4" a="1"/>
  <c r="P197" i="4" s="1"/>
  <c r="Q197" i="4" s="1"/>
  <c r="P198" i="4" a="1"/>
  <c r="P198" i="4" s="1"/>
  <c r="P199" i="4" a="1"/>
  <c r="P199" i="4" s="1"/>
  <c r="Q199" i="4" s="1"/>
  <c r="P200" i="4" a="1"/>
  <c r="P200" i="4" s="1"/>
  <c r="Q200" i="4" s="1"/>
  <c r="P201" i="4" a="1"/>
  <c r="P201" i="4" s="1"/>
  <c r="Q201" i="4" s="1"/>
  <c r="P202" i="4" a="1"/>
  <c r="P202" i="4" s="1"/>
  <c r="Q202" i="4" s="1"/>
  <c r="P203" i="4" a="1"/>
  <c r="P203" i="4" s="1"/>
  <c r="Q203" i="4" s="1"/>
  <c r="P204" i="4" a="1"/>
  <c r="P204" i="4" s="1"/>
  <c r="P205" i="4" a="1"/>
  <c r="P205" i="4" s="1"/>
  <c r="Q205" i="4" s="1"/>
  <c r="P206" i="4" a="1"/>
  <c r="P206" i="4" s="1"/>
  <c r="Q206" i="4" s="1"/>
  <c r="P207" i="4" a="1"/>
  <c r="P207" i="4" s="1"/>
  <c r="Q207" i="4" s="1"/>
  <c r="P208" i="4" a="1"/>
  <c r="P208" i="4" s="1"/>
  <c r="Q208" i="4" s="1"/>
  <c r="P209" i="4" a="1"/>
  <c r="P209" i="4" s="1"/>
  <c r="Q209" i="4" s="1"/>
  <c r="P210" i="4" a="1"/>
  <c r="P210" i="4" s="1"/>
  <c r="P211" i="4" a="1"/>
  <c r="P211" i="4" s="1"/>
  <c r="Q211" i="4" s="1"/>
  <c r="P212" i="4" a="1"/>
  <c r="P212" i="4" s="1"/>
  <c r="Q212" i="4" s="1"/>
  <c r="P213" i="4" a="1"/>
  <c r="P213" i="4" s="1"/>
  <c r="Q213" i="4" s="1"/>
  <c r="P214" i="4" a="1"/>
  <c r="P214" i="4" s="1"/>
  <c r="Q214" i="4" s="1"/>
  <c r="P215" i="4" a="1"/>
  <c r="P215" i="4" s="1"/>
  <c r="Q215" i="4" s="1"/>
  <c r="P216" i="4" a="1"/>
  <c r="P216" i="4" s="1"/>
  <c r="P217" i="4" a="1"/>
  <c r="P217" i="4" s="1"/>
  <c r="Q217" i="4" s="1"/>
  <c r="P218" i="4" a="1"/>
  <c r="P218" i="4" s="1"/>
  <c r="Q218" i="4" s="1"/>
  <c r="P219" i="4" a="1"/>
  <c r="P219" i="4" s="1"/>
  <c r="Q219" i="4" s="1"/>
  <c r="P220" i="4" a="1"/>
  <c r="P220" i="4" s="1"/>
  <c r="Q220" i="4" s="1"/>
  <c r="P221" i="4" a="1"/>
  <c r="P221" i="4" s="1"/>
  <c r="Q221" i="4" s="1"/>
  <c r="P222" i="4" a="1"/>
  <c r="P222" i="4" s="1"/>
  <c r="P223" i="4" a="1"/>
  <c r="P223" i="4" s="1"/>
  <c r="Q223" i="4" s="1"/>
  <c r="P224" i="4" a="1"/>
  <c r="P224" i="4" s="1"/>
  <c r="Q224" i="4" s="1"/>
  <c r="P225" i="4" a="1"/>
  <c r="P225" i="4" s="1"/>
  <c r="Q225" i="4" s="1"/>
  <c r="P226" i="4" a="1"/>
  <c r="P226" i="4" s="1"/>
  <c r="Q226" i="4" s="1"/>
  <c r="P227" i="4" a="1"/>
  <c r="P227" i="4" s="1"/>
  <c r="Q227" i="4" s="1"/>
  <c r="P228" i="4" a="1"/>
  <c r="P228" i="4" s="1"/>
  <c r="P229" i="4" a="1"/>
  <c r="P229" i="4" s="1"/>
  <c r="Q229" i="4" s="1"/>
  <c r="P230" i="4" a="1"/>
  <c r="P230" i="4" s="1"/>
  <c r="Q230" i="4" s="1"/>
  <c r="P231" i="4" a="1"/>
  <c r="P231" i="4" s="1"/>
  <c r="Q231" i="4" s="1"/>
  <c r="P232" i="4" a="1"/>
  <c r="P232" i="4" s="1"/>
  <c r="Q232" i="4" s="1"/>
  <c r="P233" i="4" a="1"/>
  <c r="P233" i="4" s="1"/>
  <c r="Q233" i="4" s="1"/>
  <c r="P234" i="4" a="1"/>
  <c r="P234" i="4" s="1"/>
  <c r="P235" i="4" a="1"/>
  <c r="P235" i="4" s="1"/>
  <c r="Q235" i="4" s="1"/>
  <c r="P236" i="4" a="1"/>
  <c r="P236" i="4" s="1"/>
  <c r="Q236" i="4" s="1"/>
  <c r="P237" i="4" a="1"/>
  <c r="P237" i="4" s="1"/>
  <c r="Q237" i="4" s="1"/>
  <c r="P238" i="4" a="1"/>
  <c r="P238" i="4" s="1"/>
  <c r="Q238" i="4" s="1"/>
  <c r="P239" i="4" a="1"/>
  <c r="P239" i="4" s="1"/>
  <c r="Q239" i="4" s="1"/>
  <c r="P240" i="4" a="1"/>
  <c r="P240" i="4" s="1"/>
  <c r="P241" i="4" a="1"/>
  <c r="P241" i="4" s="1"/>
  <c r="Q241" i="4" s="1"/>
  <c r="P242" i="4" a="1"/>
  <c r="P242" i="4" s="1"/>
  <c r="Q242" i="4" s="1"/>
  <c r="P243" i="4" a="1"/>
  <c r="P243" i="4" s="1"/>
  <c r="Q243" i="4" s="1"/>
  <c r="P244" i="4" a="1"/>
  <c r="P244" i="4" s="1"/>
  <c r="Q244" i="4" s="1"/>
  <c r="P245" i="4" a="1"/>
  <c r="P245" i="4" s="1"/>
  <c r="Q245" i="4" s="1"/>
  <c r="P246" i="4" a="1"/>
  <c r="P246" i="4" s="1"/>
  <c r="P247" i="4" a="1"/>
  <c r="P247" i="4" s="1"/>
  <c r="Q247" i="4" s="1"/>
  <c r="P248" i="4" a="1"/>
  <c r="P248" i="4" s="1"/>
  <c r="Q248" i="4" s="1"/>
  <c r="P249" i="4" a="1"/>
  <c r="P249" i="4" s="1"/>
  <c r="Q249" i="4" s="1"/>
  <c r="P250" i="4" a="1"/>
  <c r="P250" i="4" s="1"/>
  <c r="Q250" i="4" s="1"/>
  <c r="P251" i="4" a="1"/>
  <c r="P251" i="4" s="1"/>
  <c r="Q251" i="4" s="1"/>
  <c r="P252" i="4" a="1"/>
  <c r="P252" i="4" s="1"/>
  <c r="P253" i="4" a="1"/>
  <c r="P253" i="4" s="1"/>
  <c r="Q253" i="4" s="1"/>
  <c r="P254" i="4" a="1"/>
  <c r="P254" i="4" s="1"/>
  <c r="Q254" i="4" s="1"/>
  <c r="P255" i="4" a="1"/>
  <c r="P255" i="4" s="1"/>
  <c r="Q255" i="4" s="1"/>
  <c r="P256" i="4" a="1"/>
  <c r="P256" i="4" s="1"/>
  <c r="Q256" i="4" s="1"/>
  <c r="P257" i="4" a="1"/>
  <c r="P257" i="4" s="1"/>
  <c r="Q257" i="4" s="1"/>
  <c r="P258" i="4" a="1"/>
  <c r="P258" i="4" s="1"/>
  <c r="P259" i="4" a="1"/>
  <c r="P259" i="4" s="1"/>
  <c r="Q259" i="4" s="1"/>
  <c r="P260" i="4" a="1"/>
  <c r="P260" i="4" s="1"/>
  <c r="Q260" i="4" s="1"/>
  <c r="P261" i="4" a="1"/>
  <c r="P261" i="4" s="1"/>
  <c r="Q261" i="4" s="1"/>
  <c r="P262" i="4" a="1"/>
  <c r="P262" i="4" s="1"/>
  <c r="Q262" i="4" s="1"/>
  <c r="P263" i="4" a="1"/>
  <c r="P263" i="4" s="1"/>
  <c r="Q263" i="4" s="1"/>
  <c r="P264" i="4" a="1"/>
  <c r="P264" i="4" s="1"/>
  <c r="P265" i="4" a="1"/>
  <c r="P265" i="4" s="1"/>
  <c r="Q265" i="4" s="1"/>
  <c r="P266" i="4" a="1"/>
  <c r="P266" i="4" s="1"/>
  <c r="Q266" i="4" s="1"/>
  <c r="P267" i="4" a="1"/>
  <c r="P267" i="4" s="1"/>
  <c r="Q267" i="4" s="1"/>
  <c r="P268" i="4" a="1"/>
  <c r="P268" i="4" s="1"/>
  <c r="Q268" i="4" s="1"/>
  <c r="P269" i="4" a="1"/>
  <c r="P269" i="4" s="1"/>
  <c r="Q269" i="4" s="1"/>
  <c r="P270" i="4" a="1"/>
  <c r="P270" i="4" s="1"/>
  <c r="P271" i="4" a="1"/>
  <c r="P271" i="4" s="1"/>
  <c r="Q271" i="4" s="1"/>
  <c r="P272" i="4" a="1"/>
  <c r="P272" i="4" s="1"/>
  <c r="Q272" i="4" s="1"/>
  <c r="P273" i="4" a="1"/>
  <c r="P273" i="4" s="1"/>
  <c r="Q273" i="4" s="1"/>
  <c r="P274" i="4" a="1"/>
  <c r="P274" i="4" s="1"/>
  <c r="Q274" i="4" s="1"/>
  <c r="P275" i="4" a="1"/>
  <c r="P275" i="4" s="1"/>
  <c r="Q275" i="4" s="1"/>
  <c r="P276" i="4" a="1"/>
  <c r="P276" i="4" s="1"/>
  <c r="P277" i="4" a="1"/>
  <c r="P277" i="4" s="1"/>
  <c r="Q277" i="4" s="1"/>
  <c r="P278" i="4" a="1"/>
  <c r="P278" i="4" s="1"/>
  <c r="Q278" i="4" s="1"/>
  <c r="P279" i="4" a="1"/>
  <c r="P279" i="4" s="1"/>
  <c r="Q279" i="4" s="1"/>
  <c r="P280" i="4" a="1"/>
  <c r="P280" i="4" s="1"/>
  <c r="Q280" i="4" s="1"/>
  <c r="P281" i="4" a="1"/>
  <c r="P281" i="4" s="1"/>
  <c r="Q281" i="4" s="1"/>
  <c r="P282" i="4" a="1"/>
  <c r="P282" i="4" s="1"/>
  <c r="P283" i="4" a="1"/>
  <c r="P283" i="4" s="1"/>
  <c r="Q283" i="4" s="1"/>
  <c r="P284" i="4" a="1"/>
  <c r="P284" i="4" s="1"/>
  <c r="Q284" i="4" s="1"/>
  <c r="P285" i="4" a="1"/>
  <c r="P285" i="4" s="1"/>
  <c r="Q285" i="4" s="1"/>
  <c r="P286" i="4" a="1"/>
  <c r="P286" i="4" s="1"/>
  <c r="Q286" i="4" s="1"/>
  <c r="P287" i="4" a="1"/>
  <c r="P287" i="4" s="1"/>
  <c r="Q287" i="4" s="1"/>
  <c r="P288" i="4" a="1"/>
  <c r="P288" i="4" s="1"/>
  <c r="P289" i="4" a="1"/>
  <c r="P289" i="4" s="1"/>
  <c r="Q289" i="4" s="1"/>
  <c r="P290" i="4" a="1"/>
  <c r="P290" i="4" s="1"/>
  <c r="Q290" i="4" s="1"/>
  <c r="P291" i="4" a="1"/>
  <c r="P291" i="4" s="1"/>
  <c r="Q291" i="4" s="1"/>
  <c r="P292" i="4" a="1"/>
  <c r="P292" i="4" s="1"/>
  <c r="Q292" i="4" s="1"/>
  <c r="P293" i="4" a="1"/>
  <c r="P293" i="4" s="1"/>
  <c r="Q293" i="4" s="1"/>
  <c r="P294" i="4" a="1"/>
  <c r="P294" i="4" s="1"/>
  <c r="P295" i="4" a="1"/>
  <c r="P295" i="4" s="1"/>
  <c r="Q295" i="4" s="1"/>
  <c r="P296" i="4" a="1"/>
  <c r="P296" i="4" s="1"/>
  <c r="Q296" i="4" s="1"/>
  <c r="P297" i="4" a="1"/>
  <c r="P297" i="4" s="1"/>
  <c r="Q297" i="4" s="1"/>
  <c r="P298" i="4" a="1"/>
  <c r="P298" i="4" s="1"/>
  <c r="Q298" i="4" s="1"/>
  <c r="P299" i="4" a="1"/>
  <c r="P299" i="4" s="1"/>
  <c r="Q299" i="4" s="1"/>
  <c r="P300" i="4" a="1"/>
  <c r="P300" i="4" s="1"/>
  <c r="P301" i="4" a="1"/>
  <c r="P301" i="4" s="1"/>
  <c r="Q301" i="4" s="1"/>
  <c r="P302" i="4" a="1"/>
  <c r="P302" i="4" s="1"/>
  <c r="Q302" i="4" s="1"/>
  <c r="P303" i="4" a="1"/>
  <c r="P303" i="4" s="1"/>
  <c r="Q303" i="4" s="1"/>
  <c r="P304" i="4" a="1"/>
  <c r="P304" i="4" s="1"/>
  <c r="Q304" i="4" s="1"/>
  <c r="P305" i="4" a="1"/>
  <c r="P305" i="4" s="1"/>
  <c r="Q305" i="4" s="1"/>
  <c r="P306" i="4" a="1"/>
  <c r="P306" i="4" s="1"/>
  <c r="P307" i="4" a="1"/>
  <c r="P307" i="4" s="1"/>
  <c r="Q307" i="4" s="1"/>
  <c r="P308" i="4" a="1"/>
  <c r="P308" i="4" s="1"/>
  <c r="Q308" i="4" s="1"/>
  <c r="P309" i="4" a="1"/>
  <c r="P309" i="4" s="1"/>
  <c r="Q309" i="4" s="1"/>
  <c r="P310" i="4" a="1"/>
  <c r="P310" i="4" s="1"/>
  <c r="Q310" i="4" s="1"/>
  <c r="P311" i="4" a="1"/>
  <c r="P311" i="4" s="1"/>
  <c r="Q311" i="4" s="1"/>
  <c r="P312" i="4" a="1"/>
  <c r="P312" i="4" s="1"/>
  <c r="P313" i="4" a="1"/>
  <c r="P313" i="4" s="1"/>
  <c r="Q313" i="4" s="1"/>
  <c r="P314" i="4" a="1"/>
  <c r="P314" i="4" s="1"/>
  <c r="Q314" i="4" s="1"/>
  <c r="P315" i="4" a="1"/>
  <c r="P315" i="4" s="1"/>
  <c r="Q315" i="4" s="1"/>
  <c r="P316" i="4" a="1"/>
  <c r="P316" i="4" s="1"/>
  <c r="Q316" i="4" s="1"/>
  <c r="P317" i="4" a="1"/>
  <c r="P317" i="4" s="1"/>
  <c r="Q317" i="4" s="1"/>
  <c r="P318" i="4" a="1"/>
  <c r="P318" i="4" s="1"/>
  <c r="P319" i="4" a="1"/>
  <c r="P319" i="4" s="1"/>
  <c r="Q319" i="4" s="1"/>
  <c r="P320" i="4" a="1"/>
  <c r="P320" i="4" s="1"/>
  <c r="Q320" i="4" s="1"/>
  <c r="P321" i="4" a="1"/>
  <c r="P321" i="4" s="1"/>
  <c r="Q321" i="4" s="1"/>
  <c r="P322" i="4" a="1"/>
  <c r="P322" i="4" s="1"/>
  <c r="Q322" i="4" s="1"/>
  <c r="P323" i="4" a="1"/>
  <c r="P323" i="4" s="1"/>
  <c r="Q323" i="4" s="1"/>
  <c r="P324" i="4" a="1"/>
  <c r="P324" i="4" s="1"/>
  <c r="P325" i="4" a="1"/>
  <c r="P325" i="4" s="1"/>
  <c r="Q325" i="4" s="1"/>
  <c r="P326" i="4" a="1"/>
  <c r="P326" i="4" s="1"/>
  <c r="Q326" i="4" s="1"/>
  <c r="P327" i="4" a="1"/>
  <c r="P327" i="4" s="1"/>
  <c r="Q327" i="4" s="1"/>
  <c r="P328" i="4" a="1"/>
  <c r="P328" i="4" s="1"/>
  <c r="Q328" i="4" s="1"/>
  <c r="P329" i="4" a="1"/>
  <c r="P329" i="4" s="1"/>
  <c r="Q329" i="4" s="1"/>
  <c r="P330" i="4" a="1"/>
  <c r="P330" i="4" s="1"/>
  <c r="P331" i="4" a="1"/>
  <c r="P331" i="4" s="1"/>
  <c r="Q331" i="4" s="1"/>
  <c r="P332" i="4" a="1"/>
  <c r="P332" i="4" s="1"/>
  <c r="Q332" i="4" s="1"/>
  <c r="P333" i="4" a="1"/>
  <c r="P333" i="4" s="1"/>
  <c r="Q333" i="4" s="1"/>
  <c r="P334" i="4" a="1"/>
  <c r="P334" i="4" s="1"/>
  <c r="Q334" i="4" s="1"/>
  <c r="P335" i="4" a="1"/>
  <c r="P335" i="4" s="1"/>
  <c r="Q335" i="4" s="1"/>
  <c r="P336" i="4" a="1"/>
  <c r="P336" i="4" s="1"/>
  <c r="P337" i="4" a="1"/>
  <c r="P337" i="4" s="1"/>
  <c r="Q337" i="4" s="1"/>
  <c r="P338" i="4" a="1"/>
  <c r="P338" i="4" s="1"/>
  <c r="Q338" i="4" s="1"/>
  <c r="P339" i="4" a="1"/>
  <c r="P339" i="4" s="1"/>
  <c r="Q339" i="4" s="1"/>
  <c r="P340" i="4" a="1"/>
  <c r="P340" i="4" s="1"/>
  <c r="Q340" i="4" s="1"/>
  <c r="P341" i="4" a="1"/>
  <c r="P341" i="4" s="1"/>
  <c r="Q341" i="4" s="1"/>
  <c r="P342" i="4" a="1"/>
  <c r="P342" i="4" s="1"/>
  <c r="P343" i="4" a="1"/>
  <c r="P343" i="4" s="1"/>
  <c r="Q343" i="4" s="1"/>
  <c r="P344" i="4" a="1"/>
  <c r="P344" i="4" s="1"/>
  <c r="Q344" i="4" s="1"/>
  <c r="P345" i="4" a="1"/>
  <c r="P345" i="4" s="1"/>
  <c r="Q345" i="4" s="1"/>
  <c r="P346" i="4" a="1"/>
  <c r="P346" i="4" s="1"/>
  <c r="Q346" i="4" s="1"/>
  <c r="P347" i="4" a="1"/>
  <c r="P347" i="4" s="1"/>
  <c r="Q347" i="4" s="1"/>
  <c r="P348" i="4" a="1"/>
  <c r="P348" i="4" s="1"/>
  <c r="P349" i="4" a="1"/>
  <c r="P349" i="4" s="1"/>
  <c r="Q349" i="4" s="1"/>
  <c r="P350" i="4" a="1"/>
  <c r="P350" i="4" s="1"/>
  <c r="Q350" i="4" s="1"/>
  <c r="P351" i="4" a="1"/>
  <c r="P351" i="4" s="1"/>
  <c r="Q351" i="4" s="1"/>
  <c r="P352" i="4" a="1"/>
  <c r="P352" i="4" s="1"/>
  <c r="Q352" i="4" s="1"/>
  <c r="P353" i="4" a="1"/>
  <c r="P353" i="4" s="1"/>
  <c r="Q353" i="4" s="1"/>
  <c r="P354" i="4" a="1"/>
  <c r="P354" i="4" s="1"/>
  <c r="P355" i="4" a="1"/>
  <c r="P355" i="4" s="1"/>
  <c r="Q355" i="4" s="1"/>
  <c r="P356" i="4" a="1"/>
  <c r="P356" i="4" s="1"/>
  <c r="Q356" i="4" s="1"/>
  <c r="P357" i="4" a="1"/>
  <c r="P357" i="4" s="1"/>
  <c r="Q357" i="4" s="1"/>
  <c r="P358" i="4" a="1"/>
  <c r="P358" i="4" s="1"/>
  <c r="Q358" i="4" s="1"/>
  <c r="P359" i="4" a="1"/>
  <c r="P359" i="4" s="1"/>
  <c r="Q359" i="4" s="1"/>
  <c r="P360" i="4" a="1"/>
  <c r="P360" i="4" s="1"/>
  <c r="P361" i="4" a="1"/>
  <c r="P361" i="4" s="1"/>
  <c r="Q361" i="4" s="1"/>
  <c r="P362" i="4" a="1"/>
  <c r="P362" i="4" s="1"/>
  <c r="Q362" i="4" s="1"/>
  <c r="P363" i="4" a="1"/>
  <c r="P363" i="4" s="1"/>
  <c r="Q363" i="4" s="1"/>
  <c r="P364" i="4" a="1"/>
  <c r="P364" i="4" s="1"/>
  <c r="Q364" i="4" s="1"/>
  <c r="P365" i="4" a="1"/>
  <c r="P365" i="4" s="1"/>
  <c r="Q365" i="4" s="1"/>
  <c r="P366" i="4" a="1"/>
  <c r="P366" i="4" s="1"/>
  <c r="P367" i="4" a="1"/>
  <c r="P367" i="4" s="1"/>
  <c r="Q367" i="4" s="1"/>
  <c r="P368" i="4" a="1"/>
  <c r="P368" i="4" s="1"/>
  <c r="Q368" i="4" s="1"/>
  <c r="P369" i="4" a="1"/>
  <c r="P369" i="4" s="1"/>
  <c r="Q369" i="4" s="1"/>
  <c r="P370" i="4" a="1"/>
  <c r="P370" i="4" s="1"/>
  <c r="Q370" i="4" s="1"/>
  <c r="P371" i="4" a="1"/>
  <c r="P371" i="4" s="1"/>
  <c r="Q371" i="4" s="1"/>
  <c r="P372" i="4" a="1"/>
  <c r="P372" i="4" s="1"/>
  <c r="P373" i="4" a="1"/>
  <c r="P373" i="4" s="1"/>
  <c r="Q373" i="4" s="1"/>
  <c r="P374" i="4" a="1"/>
  <c r="P374" i="4" s="1"/>
  <c r="Q374" i="4" s="1"/>
  <c r="P375" i="4" a="1"/>
  <c r="P375" i="4" s="1"/>
  <c r="Q375" i="4" s="1"/>
  <c r="P376" i="4" a="1"/>
  <c r="P376" i="4" s="1"/>
  <c r="Q376" i="4" s="1"/>
  <c r="P377" i="4" a="1"/>
  <c r="P377" i="4" s="1"/>
  <c r="Q377" i="4" s="1"/>
  <c r="P378" i="4" a="1"/>
  <c r="P378" i="4" s="1"/>
  <c r="P379" i="4" a="1"/>
  <c r="P379" i="4" s="1"/>
  <c r="Q379" i="4" s="1"/>
  <c r="P380" i="4" a="1"/>
  <c r="P380" i="4" s="1"/>
  <c r="Q380" i="4" s="1"/>
  <c r="P381" i="4" a="1"/>
  <c r="P381" i="4" s="1"/>
  <c r="Q381" i="4" s="1"/>
  <c r="P382" i="4" a="1"/>
  <c r="P382" i="4" s="1"/>
  <c r="Q382" i="4" s="1"/>
  <c r="P383" i="4" a="1"/>
  <c r="P383" i="4" s="1"/>
  <c r="Q383" i="4" s="1"/>
  <c r="P384" i="4" a="1"/>
  <c r="P384" i="4" s="1"/>
  <c r="P385" i="4" a="1"/>
  <c r="P385" i="4" s="1"/>
  <c r="Q385" i="4" s="1"/>
  <c r="P386" i="4" a="1"/>
  <c r="P386" i="4" s="1"/>
  <c r="Q386" i="4" s="1"/>
  <c r="P387" i="4" a="1"/>
  <c r="P387" i="4" s="1"/>
  <c r="Q387" i="4" s="1"/>
  <c r="P388" i="4" a="1"/>
  <c r="P388" i="4" s="1"/>
  <c r="Q388" i="4" s="1"/>
  <c r="P389" i="4" a="1"/>
  <c r="P389" i="4" s="1"/>
  <c r="Q389" i="4" s="1"/>
  <c r="P390" i="4" a="1"/>
  <c r="P390" i="4" s="1"/>
  <c r="P391" i="4" a="1"/>
  <c r="P391" i="4" s="1"/>
  <c r="Q391" i="4" s="1"/>
  <c r="P392" i="4" a="1"/>
  <c r="P392" i="4" s="1"/>
  <c r="Q392" i="4" s="1"/>
  <c r="P393" i="4" a="1"/>
  <c r="P393" i="4" s="1"/>
  <c r="Q393" i="4" s="1"/>
  <c r="P394" i="4" a="1"/>
  <c r="P394" i="4" s="1"/>
  <c r="Q394" i="4" s="1"/>
  <c r="P395" i="4" a="1"/>
  <c r="P395" i="4" s="1"/>
  <c r="Q395" i="4" s="1"/>
  <c r="P396" i="4" a="1"/>
  <c r="P396" i="4" s="1"/>
  <c r="P397" i="4" a="1"/>
  <c r="P397" i="4" s="1"/>
  <c r="Q397" i="4" s="1"/>
  <c r="P398" i="4" a="1"/>
  <c r="P398" i="4" s="1"/>
  <c r="Q398" i="4" s="1"/>
  <c r="P399" i="4" a="1"/>
  <c r="P399" i="4" s="1"/>
  <c r="Q399" i="4" s="1"/>
  <c r="P400" i="4" a="1"/>
  <c r="P400" i="4" s="1"/>
  <c r="Q400" i="4" s="1"/>
  <c r="P401" i="4" a="1"/>
  <c r="P401" i="4" s="1"/>
  <c r="Q401" i="4" s="1"/>
  <c r="P402" i="4" a="1"/>
  <c r="P402" i="4" s="1"/>
  <c r="P403" i="4" a="1"/>
  <c r="P403" i="4" s="1"/>
  <c r="Q403" i="4" s="1"/>
  <c r="P404" i="4" a="1"/>
  <c r="P404" i="4" s="1"/>
  <c r="Q404" i="4" s="1"/>
  <c r="P405" i="4" a="1"/>
  <c r="P405" i="4" s="1"/>
  <c r="Q405" i="4" s="1"/>
  <c r="P406" i="4" a="1"/>
  <c r="P406" i="4" s="1"/>
  <c r="Q406" i="4" s="1"/>
  <c r="P407" i="4" a="1"/>
  <c r="P407" i="4" s="1"/>
  <c r="Q407" i="4" s="1"/>
  <c r="P408" i="4" a="1"/>
  <c r="P408" i="4" s="1"/>
  <c r="P409" i="4" a="1"/>
  <c r="P409" i="4" s="1"/>
  <c r="Q409" i="4" s="1"/>
  <c r="P410" i="4" a="1"/>
  <c r="P410" i="4" s="1"/>
  <c r="Q410" i="4" s="1"/>
  <c r="P411" i="4" a="1"/>
  <c r="P411" i="4" s="1"/>
  <c r="Q411" i="4" s="1"/>
  <c r="P412" i="4" a="1"/>
  <c r="P412" i="4" s="1"/>
  <c r="Q412" i="4" s="1"/>
  <c r="P413" i="4" a="1"/>
  <c r="P413" i="4" s="1"/>
  <c r="Q413" i="4" s="1"/>
  <c r="P414" i="4" a="1"/>
  <c r="P414" i="4" s="1"/>
  <c r="P415" i="4" a="1"/>
  <c r="P415" i="4" s="1"/>
  <c r="Q415" i="4" s="1"/>
  <c r="P416" i="4" a="1"/>
  <c r="P416" i="4" s="1"/>
  <c r="Q416" i="4" s="1"/>
  <c r="P417" i="4" a="1"/>
  <c r="P417" i="4" s="1"/>
  <c r="Q417" i="4" s="1"/>
  <c r="P418" i="4" a="1"/>
  <c r="P418" i="4" s="1"/>
  <c r="Q418" i="4" s="1"/>
  <c r="P419" i="4" a="1"/>
  <c r="P419" i="4" s="1"/>
  <c r="Q419" i="4" s="1"/>
  <c r="P420" i="4" a="1"/>
  <c r="P420" i="4" s="1"/>
  <c r="P421" i="4" a="1"/>
  <c r="P421" i="4" s="1"/>
  <c r="Q421" i="4" s="1"/>
  <c r="P422" i="4" a="1"/>
  <c r="P422" i="4" s="1"/>
  <c r="Q422" i="4" s="1"/>
  <c r="P423" i="4" a="1"/>
  <c r="P423" i="4" s="1"/>
  <c r="Q423" i="4" s="1"/>
  <c r="P424" i="4" a="1"/>
  <c r="P424" i="4" s="1"/>
  <c r="Q424" i="4" s="1"/>
  <c r="P425" i="4" a="1"/>
  <c r="P425" i="4" s="1"/>
  <c r="Q425" i="4" s="1"/>
  <c r="P426" i="4" a="1"/>
  <c r="P426" i="4" s="1"/>
  <c r="P427" i="4" a="1"/>
  <c r="P427" i="4" s="1"/>
  <c r="Q427" i="4" s="1"/>
  <c r="P428" i="4" a="1"/>
  <c r="P428" i="4" s="1"/>
  <c r="Q428" i="4" s="1"/>
  <c r="P429" i="4" a="1"/>
  <c r="P429" i="4" s="1"/>
  <c r="Q429" i="4" s="1"/>
  <c r="P430" i="4" a="1"/>
  <c r="P430" i="4" s="1"/>
  <c r="Q430" i="4" s="1"/>
  <c r="P431" i="4" a="1"/>
  <c r="P431" i="4" s="1"/>
  <c r="Q431" i="4" s="1"/>
  <c r="P432" i="4" a="1"/>
  <c r="P432" i="4" s="1"/>
  <c r="P433" i="4" a="1"/>
  <c r="P433" i="4" s="1"/>
  <c r="Q433" i="4" s="1"/>
  <c r="P434" i="4" a="1"/>
  <c r="P434" i="4" s="1"/>
  <c r="Q434" i="4" s="1"/>
  <c r="P435" i="4" a="1"/>
  <c r="P435" i="4" s="1"/>
  <c r="Q435" i="4" s="1"/>
  <c r="P436" i="4" a="1"/>
  <c r="P436" i="4" s="1"/>
  <c r="Q436" i="4" s="1"/>
  <c r="P437" i="4" a="1"/>
  <c r="P437" i="4" s="1"/>
  <c r="Q437" i="4" s="1"/>
  <c r="P438" i="4" a="1"/>
  <c r="P438" i="4" s="1"/>
  <c r="P439" i="4" a="1"/>
  <c r="P439" i="4" s="1"/>
  <c r="Q439" i="4" s="1"/>
  <c r="P440" i="4" a="1"/>
  <c r="P440" i="4" s="1"/>
  <c r="Q440" i="4" s="1"/>
  <c r="P441" i="4" a="1"/>
  <c r="P441" i="4" s="1"/>
  <c r="Q441" i="4" s="1"/>
  <c r="P442" i="4" a="1"/>
  <c r="P442" i="4" s="1"/>
  <c r="Q442" i="4" s="1"/>
  <c r="P443" i="4" a="1"/>
  <c r="P443" i="4" s="1"/>
  <c r="Q443" i="4" s="1"/>
  <c r="P444" i="4" a="1"/>
  <c r="P444" i="4" s="1"/>
  <c r="P445" i="4" a="1"/>
  <c r="P445" i="4" s="1"/>
  <c r="Q445" i="4" s="1"/>
  <c r="P446" i="4" a="1"/>
  <c r="P446" i="4" s="1"/>
  <c r="Q446" i="4" s="1"/>
  <c r="P447" i="4" a="1"/>
  <c r="P447" i="4" s="1"/>
  <c r="Q447" i="4" s="1"/>
  <c r="P448" i="4" a="1"/>
  <c r="P448" i="4" s="1"/>
  <c r="Q448" i="4" s="1"/>
  <c r="P449" i="4" a="1"/>
  <c r="P449" i="4" s="1"/>
  <c r="Q449" i="4" s="1"/>
  <c r="P450" i="4" a="1"/>
  <c r="P450" i="4" s="1"/>
  <c r="P451" i="4" a="1"/>
  <c r="P451" i="4" s="1"/>
  <c r="Q451" i="4" s="1"/>
  <c r="P452" i="4" a="1"/>
  <c r="P452" i="4" s="1"/>
  <c r="Q452" i="4" s="1"/>
  <c r="P453" i="4" a="1"/>
  <c r="P453" i="4" s="1"/>
  <c r="Q453" i="4" s="1"/>
  <c r="P454" i="4" a="1"/>
  <c r="P454" i="4" s="1"/>
  <c r="Q454" i="4" s="1"/>
  <c r="P455" i="4" a="1"/>
  <c r="P455" i="4" s="1"/>
  <c r="Q455" i="4" s="1"/>
  <c r="P456" i="4" a="1"/>
  <c r="P456" i="4" s="1"/>
  <c r="P457" i="4" a="1"/>
  <c r="P457" i="4" s="1"/>
  <c r="Q457" i="4" s="1"/>
  <c r="P458" i="4" a="1"/>
  <c r="P458" i="4" s="1"/>
  <c r="Q458" i="4" s="1"/>
  <c r="P459" i="4" a="1"/>
  <c r="P459" i="4" s="1"/>
  <c r="Q459" i="4" s="1"/>
  <c r="P460" i="4" a="1"/>
  <c r="P460" i="4" s="1"/>
  <c r="Q460" i="4" s="1"/>
  <c r="P461" i="4" a="1"/>
  <c r="P461" i="4" s="1"/>
  <c r="Q461" i="4" s="1"/>
  <c r="P462" i="4" a="1"/>
  <c r="P462" i="4" s="1"/>
  <c r="P463" i="4" a="1"/>
  <c r="P463" i="4" s="1"/>
  <c r="Q463" i="4" s="1"/>
  <c r="P464" i="4" a="1"/>
  <c r="P464" i="4" s="1"/>
  <c r="Q464" i="4" s="1"/>
  <c r="P465" i="4" a="1"/>
  <c r="P465" i="4" s="1"/>
  <c r="Q465" i="4" s="1"/>
  <c r="P466" i="4" a="1"/>
  <c r="P466" i="4" s="1"/>
  <c r="Q466" i="4" s="1"/>
  <c r="P467" i="4" a="1"/>
  <c r="P467" i="4" s="1"/>
  <c r="Q467" i="4" s="1"/>
  <c r="P468" i="4" a="1"/>
  <c r="P468" i="4" s="1"/>
  <c r="P469" i="4" a="1"/>
  <c r="P469" i="4" s="1"/>
  <c r="Q469" i="4" s="1"/>
  <c r="P470" i="4" a="1"/>
  <c r="P470" i="4" s="1"/>
  <c r="Q470" i="4" s="1"/>
  <c r="P471" i="4" a="1"/>
  <c r="P471" i="4" s="1"/>
  <c r="Q471" i="4" s="1"/>
  <c r="P472" i="4" a="1"/>
  <c r="P472" i="4" s="1"/>
  <c r="Q472" i="4" s="1"/>
  <c r="P473" i="4" a="1"/>
  <c r="P473" i="4" s="1"/>
  <c r="Q473" i="4" s="1"/>
  <c r="P474" i="4" a="1"/>
  <c r="P474" i="4" s="1"/>
  <c r="P475" i="4" a="1"/>
  <c r="P475" i="4" s="1"/>
  <c r="Q475" i="4" s="1"/>
  <c r="P476" i="4" a="1"/>
  <c r="P476" i="4" s="1"/>
  <c r="Q476" i="4" s="1"/>
  <c r="P477" i="4" a="1"/>
  <c r="P477" i="4" s="1"/>
  <c r="Q477" i="4" s="1"/>
  <c r="P478" i="4" a="1"/>
  <c r="P478" i="4" s="1"/>
  <c r="Q478" i="4" s="1"/>
  <c r="P479" i="4" a="1"/>
  <c r="P479" i="4" s="1"/>
  <c r="Q479" i="4" s="1"/>
  <c r="P480" i="4" a="1"/>
  <c r="P480" i="4" s="1"/>
  <c r="P481" i="4" a="1"/>
  <c r="P481" i="4" s="1"/>
  <c r="Q481" i="4" s="1"/>
  <c r="P482" i="4" a="1"/>
  <c r="P482" i="4" s="1"/>
  <c r="Q482" i="4" s="1"/>
  <c r="P483" i="4" a="1"/>
  <c r="P483" i="4" s="1"/>
  <c r="Q483" i="4" s="1"/>
  <c r="P484" i="4" a="1"/>
  <c r="P484" i="4" s="1"/>
  <c r="Q484" i="4" s="1"/>
  <c r="P485" i="4" a="1"/>
  <c r="P485" i="4" s="1"/>
  <c r="Q485" i="4" s="1"/>
  <c r="P486" i="4" a="1"/>
  <c r="P486" i="4" s="1"/>
  <c r="P487" i="4" a="1"/>
  <c r="P487" i="4" s="1"/>
  <c r="Q487" i="4" s="1"/>
  <c r="P488" i="4" a="1"/>
  <c r="P488" i="4" s="1"/>
  <c r="Q488" i="4" s="1"/>
  <c r="P489" i="4" a="1"/>
  <c r="P489" i="4" s="1"/>
  <c r="Q489" i="4" s="1"/>
  <c r="P490" i="4" a="1"/>
  <c r="P490" i="4" s="1"/>
  <c r="Q490" i="4" s="1"/>
  <c r="P491" i="4" a="1"/>
  <c r="P491" i="4" s="1"/>
  <c r="Q491" i="4" s="1"/>
  <c r="P492" i="4" a="1"/>
  <c r="P492" i="4" s="1"/>
  <c r="Q492" i="4" s="1"/>
  <c r="P493" i="4" a="1"/>
  <c r="P493" i="4" s="1"/>
  <c r="Q493" i="4" s="1"/>
  <c r="P494" i="4" a="1"/>
  <c r="P494" i="4" s="1"/>
  <c r="Q494" i="4" s="1"/>
  <c r="P495" i="4" a="1"/>
  <c r="P495" i="4" s="1"/>
  <c r="Q495" i="4" s="1"/>
  <c r="P496" i="4" a="1"/>
  <c r="P496" i="4" s="1"/>
  <c r="Q496" i="4" s="1"/>
  <c r="P497" i="4" a="1"/>
  <c r="P497" i="4" s="1"/>
  <c r="Q497" i="4" s="1"/>
  <c r="P498" i="4" a="1"/>
  <c r="P498" i="4" s="1"/>
  <c r="Q498" i="4" s="1"/>
  <c r="P499" i="4" a="1"/>
  <c r="P499" i="4" s="1"/>
  <c r="Q499" i="4" s="1"/>
  <c r="P500" i="4" a="1"/>
  <c r="P500" i="4" s="1"/>
  <c r="Q500" i="4" s="1"/>
  <c r="P501" i="4" a="1"/>
  <c r="P501" i="4" s="1"/>
  <c r="Q501" i="4" s="1"/>
  <c r="P502" i="4" a="1"/>
  <c r="P502" i="4" s="1"/>
  <c r="Q502" i="4" s="1"/>
  <c r="P503" i="4" a="1"/>
  <c r="P503" i="4" s="1"/>
  <c r="Q503" i="4" s="1"/>
  <c r="P504" i="4" a="1"/>
  <c r="P504" i="4" s="1"/>
  <c r="Q504" i="4" s="1"/>
  <c r="P505" i="4" a="1"/>
  <c r="P505" i="4" s="1"/>
  <c r="Q505" i="4" s="1"/>
  <c r="P506" i="4" a="1"/>
  <c r="P506" i="4" s="1"/>
  <c r="Q506" i="4" s="1"/>
  <c r="P507" i="4" a="1"/>
  <c r="P507" i="4" s="1"/>
  <c r="Q507" i="4" s="1"/>
  <c r="P508" i="4" a="1"/>
  <c r="P508" i="4" s="1"/>
  <c r="Q508" i="4" s="1"/>
  <c r="P509" i="4" a="1"/>
  <c r="P509" i="4" s="1"/>
  <c r="Q509" i="4" s="1"/>
  <c r="P510" i="4" a="1"/>
  <c r="P510" i="4" s="1"/>
  <c r="Q510" i="4" s="1"/>
  <c r="P511" i="4" a="1"/>
  <c r="P511" i="4" s="1"/>
  <c r="Q511" i="4" s="1"/>
  <c r="P512" i="4" a="1"/>
  <c r="P512" i="4" s="1"/>
  <c r="Q512" i="4" s="1"/>
  <c r="P513" i="4" a="1"/>
  <c r="P513" i="4" s="1"/>
  <c r="Q513" i="4" s="1"/>
  <c r="P514" i="4" a="1"/>
  <c r="P514" i="4" s="1"/>
  <c r="Q514" i="4" s="1"/>
  <c r="P515" i="4" a="1"/>
  <c r="P515" i="4" s="1"/>
  <c r="Q515" i="4" s="1"/>
  <c r="P516" i="4" a="1"/>
  <c r="P516" i="4" s="1"/>
  <c r="Q516" i="4" s="1"/>
  <c r="P517" i="4" a="1"/>
  <c r="P517" i="4" s="1"/>
  <c r="Q517" i="4" s="1"/>
  <c r="P518" i="4" a="1"/>
  <c r="P518" i="4" s="1"/>
  <c r="Q518" i="4" s="1"/>
  <c r="P519" i="4" a="1"/>
  <c r="P519" i="4" s="1"/>
  <c r="Q519" i="4" s="1"/>
  <c r="P520" i="4" a="1"/>
  <c r="P520" i="4" s="1"/>
  <c r="Q520" i="4" s="1"/>
  <c r="P521" i="4" a="1"/>
  <c r="P521" i="4" s="1"/>
  <c r="Q521" i="4" s="1"/>
  <c r="P522" i="4" a="1"/>
  <c r="P522" i="4" s="1"/>
  <c r="Q522" i="4" s="1"/>
  <c r="P523" i="4" a="1"/>
  <c r="P523" i="4" s="1"/>
  <c r="Q523" i="4" s="1"/>
  <c r="P524" i="4" a="1"/>
  <c r="P524" i="4" s="1"/>
  <c r="Q524" i="4" s="1"/>
  <c r="P525" i="4" a="1"/>
  <c r="P525" i="4" s="1"/>
  <c r="Q525" i="4" s="1"/>
  <c r="P526" i="4" a="1"/>
  <c r="P526" i="4" s="1"/>
  <c r="Q526" i="4" s="1"/>
  <c r="P527" i="4" a="1"/>
  <c r="P527" i="4" s="1"/>
  <c r="Q527" i="4" s="1"/>
  <c r="P528" i="4" a="1"/>
  <c r="P528" i="4" s="1"/>
  <c r="Q528" i="4" s="1"/>
  <c r="P529" i="4" a="1"/>
  <c r="P529" i="4" s="1"/>
  <c r="Q529" i="4" s="1"/>
  <c r="P530" i="4" a="1"/>
  <c r="P530" i="4" s="1"/>
  <c r="Q530" i="4" s="1"/>
  <c r="P531" i="4" a="1"/>
  <c r="P531" i="4" s="1"/>
  <c r="Q531" i="4" s="1"/>
  <c r="P532" i="4" a="1"/>
  <c r="P532" i="4" s="1"/>
  <c r="Q532" i="4" s="1"/>
  <c r="P533" i="4" a="1"/>
  <c r="P533" i="4" s="1"/>
  <c r="Q533" i="4" s="1"/>
  <c r="P534" i="4" a="1"/>
  <c r="P534" i="4" s="1"/>
  <c r="Q534" i="4" s="1"/>
  <c r="P535" i="4" a="1"/>
  <c r="P535" i="4" s="1"/>
  <c r="Q535" i="4" s="1"/>
  <c r="P536" i="4" a="1"/>
  <c r="P536" i="4" s="1"/>
  <c r="Q536" i="4" s="1"/>
  <c r="P537" i="4" a="1"/>
  <c r="P537" i="4" s="1"/>
  <c r="Q537" i="4" s="1"/>
  <c r="P538" i="4" a="1"/>
  <c r="P538" i="4" s="1"/>
  <c r="Q538" i="4" s="1"/>
  <c r="P539" i="4" a="1"/>
  <c r="P539" i="4" s="1"/>
  <c r="Q539" i="4" s="1"/>
  <c r="P540" i="4" a="1"/>
  <c r="P540" i="4" s="1"/>
  <c r="Q540" i="4" s="1"/>
  <c r="P541" i="4" a="1"/>
  <c r="P541" i="4" s="1"/>
  <c r="Q541" i="4" s="1"/>
  <c r="P542" i="4" a="1"/>
  <c r="P542" i="4" s="1"/>
  <c r="Q542" i="4" s="1"/>
  <c r="P543" i="4" a="1"/>
  <c r="P543" i="4" s="1"/>
  <c r="Q543" i="4" s="1"/>
  <c r="P544" i="4" a="1"/>
  <c r="P544" i="4" s="1"/>
  <c r="Q544" i="4" s="1"/>
  <c r="P545" i="4" a="1"/>
  <c r="P545" i="4" s="1"/>
  <c r="Q545" i="4" s="1"/>
  <c r="P546" i="4" a="1"/>
  <c r="P546" i="4" s="1"/>
  <c r="Q546" i="4" s="1"/>
  <c r="P547" i="4" a="1"/>
  <c r="P547" i="4" s="1"/>
  <c r="Q547" i="4" s="1"/>
  <c r="P548" i="4" a="1"/>
  <c r="P548" i="4" s="1"/>
  <c r="Q548" i="4" s="1"/>
  <c r="P549" i="4" a="1"/>
  <c r="P549" i="4" s="1"/>
  <c r="Q549" i="4" s="1"/>
  <c r="P550" i="4" a="1"/>
  <c r="P550" i="4" s="1"/>
  <c r="Q550" i="4" s="1"/>
  <c r="P551" i="4" a="1"/>
  <c r="P551" i="4" s="1"/>
  <c r="Q551" i="4" s="1"/>
  <c r="P552" i="4" a="1"/>
  <c r="P552" i="4" s="1"/>
  <c r="Q552" i="4" s="1"/>
  <c r="P553" i="4" a="1"/>
  <c r="P553" i="4" s="1"/>
  <c r="Q553" i="4" s="1"/>
  <c r="P554" i="4" a="1"/>
  <c r="P554" i="4" s="1"/>
  <c r="Q554" i="4" s="1"/>
  <c r="P555" i="4" a="1"/>
  <c r="P555" i="4" s="1"/>
  <c r="Q555" i="4" s="1"/>
  <c r="P556" i="4" a="1"/>
  <c r="P556" i="4" s="1"/>
  <c r="Q556" i="4" s="1"/>
  <c r="P557" i="4" a="1"/>
  <c r="P557" i="4" s="1"/>
  <c r="Q557" i="4" s="1"/>
  <c r="P558" i="4" a="1"/>
  <c r="P558" i="4" s="1"/>
  <c r="Q558" i="4" s="1"/>
  <c r="P559" i="4" a="1"/>
  <c r="P559" i="4" s="1"/>
  <c r="Q559" i="4" s="1"/>
  <c r="P560" i="4" a="1"/>
  <c r="P560" i="4" s="1"/>
  <c r="Q560" i="4" s="1"/>
  <c r="P561" i="4" a="1"/>
  <c r="P561" i="4" s="1"/>
  <c r="Q561" i="4" s="1"/>
  <c r="P562" i="4" a="1"/>
  <c r="P562" i="4" s="1"/>
  <c r="Q562" i="4" s="1"/>
  <c r="P563" i="4" a="1"/>
  <c r="P563" i="4" s="1"/>
  <c r="Q563" i="4" s="1"/>
  <c r="P564" i="4" a="1"/>
  <c r="P564" i="4" s="1"/>
  <c r="Q564" i="4" s="1"/>
  <c r="P565" i="4" a="1"/>
  <c r="P565" i="4" s="1"/>
  <c r="Q565" i="4" s="1"/>
  <c r="P566" i="4" a="1"/>
  <c r="P566" i="4" s="1"/>
  <c r="Q566" i="4" s="1"/>
  <c r="P100" i="4" a="1"/>
  <c r="P100" i="4" s="1"/>
  <c r="Q100" i="4" s="1"/>
  <c r="P101" i="4" a="1"/>
  <c r="P101" i="4" s="1"/>
  <c r="Q101" i="4" s="1"/>
  <c r="P102" i="4" a="1"/>
  <c r="P102" i="4" s="1"/>
  <c r="Q102" i="4" s="1"/>
  <c r="P103" i="4" a="1"/>
  <c r="P103" i="4" s="1"/>
  <c r="Q103" i="4" s="1"/>
  <c r="P104" i="4" a="1"/>
  <c r="P104" i="4" s="1"/>
  <c r="Q104" i="4" s="1"/>
  <c r="P105" i="4" a="1"/>
  <c r="P105" i="4" s="1"/>
  <c r="Q105" i="4" s="1"/>
  <c r="P106" i="4" a="1"/>
  <c r="P106" i="4" s="1"/>
  <c r="Q106" i="4" s="1"/>
  <c r="P107" i="4" a="1"/>
  <c r="P107" i="4" s="1"/>
  <c r="Q107" i="4" s="1"/>
  <c r="P108" i="4" a="1"/>
  <c r="P108" i="4" s="1"/>
  <c r="Q108" i="4" s="1"/>
  <c r="P109" i="4" a="1"/>
  <c r="P109" i="4" s="1"/>
  <c r="Q109" i="4" s="1"/>
  <c r="P110" i="4" a="1"/>
  <c r="P110" i="4" s="1"/>
  <c r="Q110" i="4" s="1"/>
  <c r="P111" i="4" a="1"/>
  <c r="P111" i="4" s="1"/>
  <c r="Q111" i="4" s="1"/>
  <c r="P112" i="4" a="1"/>
  <c r="P112" i="4" s="1"/>
  <c r="Q112" i="4" s="1"/>
  <c r="P113" i="4" a="1"/>
  <c r="P113" i="4" s="1"/>
  <c r="Q113" i="4" s="1"/>
  <c r="P114" i="4" a="1"/>
  <c r="P114" i="4" s="1"/>
  <c r="Q114" i="4" s="1"/>
  <c r="P115" i="4" a="1"/>
  <c r="P115" i="4" s="1"/>
  <c r="Q115" i="4" s="1"/>
  <c r="P116" i="4" a="1"/>
  <c r="P116" i="4" s="1"/>
  <c r="Q116" i="4" s="1"/>
  <c r="P117" i="4" a="1"/>
  <c r="P117" i="4" s="1"/>
  <c r="Q117" i="4" s="1"/>
  <c r="P118" i="4" a="1"/>
  <c r="P118" i="4" s="1"/>
  <c r="Q118" i="4" s="1"/>
  <c r="P119" i="4" a="1"/>
  <c r="P119" i="4" s="1"/>
  <c r="Q119" i="4" s="1"/>
  <c r="P120" i="4" a="1"/>
  <c r="P120" i="4" s="1"/>
  <c r="Q120" i="4" s="1"/>
  <c r="P121" i="4" a="1"/>
  <c r="P121" i="4" s="1"/>
  <c r="Q121" i="4" s="1"/>
  <c r="P122" i="4" a="1"/>
  <c r="P122" i="4" s="1"/>
  <c r="Q122" i="4" s="1"/>
  <c r="P123" i="4" a="1"/>
  <c r="P123" i="4" s="1"/>
  <c r="Q123" i="4" s="1"/>
  <c r="P124" i="4" a="1"/>
  <c r="P124" i="4" s="1"/>
  <c r="Q124" i="4" s="1"/>
  <c r="P125" i="4" a="1"/>
  <c r="P125" i="4" s="1"/>
  <c r="Q125" i="4" s="1"/>
  <c r="P126" i="4" a="1"/>
  <c r="P126" i="4" s="1"/>
  <c r="Q126" i="4" s="1"/>
  <c r="P127" i="4" a="1"/>
  <c r="P127" i="4" s="1"/>
  <c r="Q127" i="4" s="1"/>
  <c r="P128" i="4" a="1"/>
  <c r="P128" i="4" s="1"/>
  <c r="Q128" i="4" s="1"/>
  <c r="P129" i="4" a="1"/>
  <c r="P129" i="4" s="1"/>
  <c r="Q129" i="4" s="1"/>
  <c r="P130" i="4" a="1"/>
  <c r="P130" i="4" s="1"/>
  <c r="Q130" i="4" s="1"/>
  <c r="P131" i="4" a="1"/>
  <c r="P131" i="4" s="1"/>
  <c r="Q131" i="4" s="1"/>
  <c r="P132" i="4" a="1"/>
  <c r="P132" i="4" s="1"/>
  <c r="Q132" i="4" s="1"/>
  <c r="P133" i="4" a="1"/>
  <c r="P133" i="4" s="1"/>
  <c r="Q133" i="4" s="1"/>
  <c r="P134" i="4" a="1"/>
  <c r="P134" i="4" s="1"/>
  <c r="Q134" i="4" s="1"/>
  <c r="P135" i="4" a="1"/>
  <c r="P135" i="4" s="1"/>
  <c r="Q135" i="4" s="1"/>
  <c r="P136" i="4" a="1"/>
  <c r="P136" i="4" s="1"/>
  <c r="Q136" i="4" s="1"/>
  <c r="P137" i="4" a="1"/>
  <c r="P137" i="4" s="1"/>
  <c r="Q137" i="4" s="1"/>
  <c r="P138" i="4" a="1"/>
  <c r="P138" i="4" s="1"/>
  <c r="Q138" i="4" s="1"/>
  <c r="P139" i="4" a="1"/>
  <c r="P139" i="4" s="1"/>
  <c r="Q139" i="4" s="1"/>
  <c r="P140" i="4" a="1"/>
  <c r="P140" i="4" s="1"/>
  <c r="Q140" i="4" s="1"/>
  <c r="P141" i="4" a="1"/>
  <c r="P141" i="4" s="1"/>
  <c r="Q141" i="4" s="1"/>
  <c r="P142" i="4" a="1"/>
  <c r="P142" i="4" s="1"/>
  <c r="Q142" i="4" s="1"/>
  <c r="P143" i="4" a="1"/>
  <c r="P143" i="4" s="1"/>
  <c r="Q143" i="4" s="1"/>
  <c r="P144" i="4" a="1"/>
  <c r="P144" i="4" s="1"/>
  <c r="Q144" i="4" s="1"/>
  <c r="P145" i="4" a="1"/>
  <c r="P145" i="4" s="1"/>
  <c r="Q145" i="4" s="1"/>
  <c r="P146" i="4" a="1"/>
  <c r="P146" i="4" s="1"/>
  <c r="Q146" i="4" s="1"/>
  <c r="P147" i="4" a="1"/>
  <c r="P147" i="4" s="1"/>
  <c r="Q147" i="4" s="1"/>
  <c r="P148" i="4" a="1"/>
  <c r="P148" i="4" s="1"/>
  <c r="Q148" i="4" s="1"/>
  <c r="P149" i="4" a="1"/>
  <c r="P149" i="4" s="1"/>
  <c r="Q149" i="4" s="1"/>
  <c r="P150" i="4" a="1"/>
  <c r="P150" i="4" s="1"/>
  <c r="Q150" i="4" s="1"/>
  <c r="P151" i="4" a="1"/>
  <c r="P151" i="4" s="1"/>
  <c r="Q151" i="4" s="1"/>
  <c r="P152" i="4" a="1"/>
  <c r="P152" i="4" s="1"/>
  <c r="Q152" i="4" s="1"/>
  <c r="P153" i="4" a="1"/>
  <c r="P153" i="4" s="1"/>
  <c r="Q153" i="4" s="1"/>
  <c r="P154" i="4" a="1"/>
  <c r="P154" i="4" s="1"/>
  <c r="Q154" i="4" s="1"/>
  <c r="P155" i="4" a="1"/>
  <c r="P155" i="4" s="1"/>
  <c r="Q155" i="4" s="1"/>
  <c r="P156" i="4" a="1"/>
  <c r="P156" i="4" s="1"/>
  <c r="Q156" i="4" s="1"/>
  <c r="P157" i="4" a="1"/>
  <c r="P157" i="4" s="1"/>
  <c r="Q157" i="4" s="1"/>
  <c r="P158" i="4" a="1"/>
  <c r="P158" i="4" s="1"/>
  <c r="Q158" i="4" s="1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V3" i="4" a="1"/>
  <c r="V3" i="4" s="1"/>
  <c r="V4" i="4" a="1"/>
  <c r="V4" i="4" s="1"/>
  <c r="V5" i="4" a="1"/>
  <c r="V5" i="4" s="1"/>
  <c r="V6" i="4" a="1"/>
  <c r="V6" i="4" s="1"/>
  <c r="V7" i="4" a="1"/>
  <c r="V7" i="4" s="1"/>
  <c r="V9" i="4" a="1"/>
  <c r="V9" i="4" s="1"/>
  <c r="V10" i="4" a="1"/>
  <c r="V10" i="4" s="1"/>
  <c r="V11" i="4" a="1"/>
  <c r="V11" i="4" s="1"/>
  <c r="V12" i="4" a="1"/>
  <c r="V12" i="4" s="1"/>
  <c r="V13" i="4" a="1"/>
  <c r="V13" i="4" s="1"/>
  <c r="V14" i="4" a="1"/>
  <c r="V14" i="4" s="1"/>
  <c r="V15" i="4" a="1"/>
  <c r="V15" i="4" s="1"/>
  <c r="V16" i="4" a="1"/>
  <c r="V16" i="4" s="1"/>
  <c r="V17" i="4" a="1"/>
  <c r="V17" i="4" s="1"/>
  <c r="V19" i="4" a="1"/>
  <c r="V19" i="4" s="1"/>
  <c r="V20" i="4" a="1"/>
  <c r="V20" i="4" s="1"/>
  <c r="V22" i="4" a="1"/>
  <c r="V22" i="4" s="1"/>
  <c r="V23" i="4" a="1"/>
  <c r="V23" i="4" s="1"/>
  <c r="V24" i="4" a="1"/>
  <c r="V24" i="4" s="1"/>
  <c r="V25" i="4" a="1"/>
  <c r="V25" i="4" s="1"/>
  <c r="V26" i="4" a="1"/>
  <c r="V26" i="4" s="1"/>
  <c r="V27" i="4" a="1"/>
  <c r="V27" i="4" s="1"/>
  <c r="V28" i="4" a="1"/>
  <c r="V28" i="4" s="1"/>
  <c r="V30" i="4" a="1"/>
  <c r="V30" i="4" s="1"/>
  <c r="V31" i="4" a="1"/>
  <c r="V31" i="4" s="1"/>
  <c r="V32" i="4" a="1"/>
  <c r="V32" i="4" s="1"/>
  <c r="V34" i="4" a="1"/>
  <c r="V34" i="4" s="1"/>
  <c r="V35" i="4" a="1"/>
  <c r="V35" i="4" s="1"/>
  <c r="V36" i="4" a="1"/>
  <c r="V36" i="4" s="1"/>
  <c r="V37" i="4" a="1"/>
  <c r="V37" i="4" s="1"/>
  <c r="V38" i="4" a="1"/>
  <c r="V38" i="4" s="1"/>
  <c r="V39" i="4" a="1"/>
  <c r="V39" i="4" s="1"/>
  <c r="V40" i="4" a="1"/>
  <c r="V40" i="4" s="1"/>
  <c r="V41" i="4" a="1"/>
  <c r="V41" i="4" s="1"/>
  <c r="V42" i="4" a="1"/>
  <c r="V42" i="4" s="1"/>
  <c r="V43" i="4" a="1"/>
  <c r="V43" i="4" s="1"/>
  <c r="V44" i="4" a="1"/>
  <c r="V44" i="4" s="1"/>
  <c r="V45" i="4" a="1"/>
  <c r="V45" i="4" s="1"/>
  <c r="V46" i="4" a="1"/>
  <c r="V46" i="4" s="1"/>
  <c r="V47" i="4" a="1"/>
  <c r="V47" i="4" s="1"/>
  <c r="V48" i="4" a="1"/>
  <c r="V48" i="4" s="1"/>
  <c r="V51" i="4" a="1"/>
  <c r="V51" i="4" s="1"/>
  <c r="V53" i="4" a="1"/>
  <c r="V53" i="4" s="1"/>
  <c r="V54" i="4" a="1"/>
  <c r="V54" i="4" s="1"/>
  <c r="V55" i="4" a="1"/>
  <c r="V55" i="4" s="1"/>
  <c r="V56" i="4" a="1"/>
  <c r="V56" i="4" s="1"/>
  <c r="V58" i="4" a="1"/>
  <c r="V58" i="4" s="1"/>
  <c r="V59" i="4" a="1"/>
  <c r="V59" i="4" s="1"/>
  <c r="V61" i="4" a="1"/>
  <c r="V61" i="4" s="1"/>
  <c r="V62" i="4" a="1"/>
  <c r="V62" i="4" s="1"/>
  <c r="V63" i="4" a="1"/>
  <c r="V63" i="4" s="1"/>
  <c r="V64" i="4" a="1"/>
  <c r="V64" i="4" s="1"/>
  <c r="V65" i="4" a="1"/>
  <c r="V65" i="4" s="1"/>
  <c r="V66" i="4" a="1"/>
  <c r="V66" i="4" s="1"/>
  <c r="V67" i="4" a="1"/>
  <c r="V67" i="4" s="1"/>
  <c r="V70" i="4" a="1"/>
  <c r="V70" i="4" s="1"/>
  <c r="V71" i="4" a="1"/>
  <c r="V71" i="4" s="1"/>
  <c r="V72" i="4" a="1"/>
  <c r="V72" i="4" s="1"/>
  <c r="V73" i="4" a="1"/>
  <c r="V73" i="4" s="1"/>
  <c r="V74" i="4" a="1"/>
  <c r="V74" i="4" s="1"/>
  <c r="V75" i="4" a="1"/>
  <c r="V75" i="4" s="1"/>
  <c r="V76" i="4" a="1"/>
  <c r="V76" i="4" s="1"/>
  <c r="V77" i="4" a="1"/>
  <c r="V77" i="4" s="1"/>
  <c r="V79" i="4" a="1"/>
  <c r="V79" i="4" s="1"/>
  <c r="V80" i="4" a="1"/>
  <c r="V80" i="4" s="1"/>
  <c r="V81" i="4" a="1"/>
  <c r="V81" i="4" s="1"/>
  <c r="V83" i="4" a="1"/>
  <c r="V83" i="4" s="1"/>
  <c r="V84" i="4" a="1"/>
  <c r="V84" i="4" s="1"/>
  <c r="V85" i="4" a="1"/>
  <c r="V85" i="4" s="1"/>
  <c r="V86" i="4" a="1"/>
  <c r="V86" i="4" s="1"/>
  <c r="V87" i="4" a="1"/>
  <c r="V87" i="4" s="1"/>
  <c r="V88" i="4" a="1"/>
  <c r="V88" i="4" s="1"/>
  <c r="V90" i="4" a="1"/>
  <c r="V90" i="4" s="1"/>
  <c r="V91" i="4" a="1"/>
  <c r="V91" i="4" s="1"/>
  <c r="V92" i="4" a="1"/>
  <c r="V92" i="4" s="1"/>
  <c r="V93" i="4" a="1"/>
  <c r="V93" i="4" s="1"/>
  <c r="V94" i="4" a="1"/>
  <c r="V94" i="4" s="1"/>
  <c r="V96" i="4" a="1"/>
  <c r="V96" i="4" s="1"/>
  <c r="V97" i="4" a="1"/>
  <c r="V97" i="4" s="1"/>
  <c r="V98" i="4" a="1"/>
  <c r="V98" i="4" s="1"/>
  <c r="V99" i="4" a="1"/>
  <c r="V99" i="4" s="1"/>
  <c r="V100" i="4" a="1"/>
  <c r="V100" i="4" s="1"/>
  <c r="V101" i="4" a="1"/>
  <c r="V101" i="4" s="1"/>
  <c r="V102" i="4" a="1"/>
  <c r="V102" i="4" s="1"/>
  <c r="V103" i="4" a="1"/>
  <c r="V103" i="4" s="1"/>
  <c r="V104" i="4" a="1"/>
  <c r="V104" i="4" s="1"/>
  <c r="V106" i="4" a="1"/>
  <c r="V106" i="4" s="1"/>
  <c r="V107" i="4" a="1"/>
  <c r="V107" i="4" s="1"/>
  <c r="V108" i="4" a="1"/>
  <c r="V108" i="4" s="1"/>
  <c r="V109" i="4" a="1"/>
  <c r="V109" i="4" s="1"/>
  <c r="V110" i="4" a="1"/>
  <c r="V110" i="4" s="1"/>
  <c r="V111" i="4" a="1"/>
  <c r="V111" i="4" s="1"/>
  <c r="V112" i="4" a="1"/>
  <c r="V112" i="4" s="1"/>
  <c r="V113" i="4" a="1"/>
  <c r="V113" i="4" s="1"/>
  <c r="V114" i="4" a="1"/>
  <c r="V114" i="4" s="1"/>
  <c r="V115" i="4" a="1"/>
  <c r="V115" i="4" s="1"/>
  <c r="V116" i="4" a="1"/>
  <c r="V116" i="4" s="1"/>
  <c r="V117" i="4" a="1"/>
  <c r="V117" i="4" s="1"/>
  <c r="V120" i="4" a="1"/>
  <c r="V120" i="4" s="1"/>
  <c r="V121" i="4" a="1"/>
  <c r="V121" i="4" s="1"/>
  <c r="V122" i="4" a="1"/>
  <c r="V122" i="4" s="1"/>
  <c r="V123" i="4" a="1"/>
  <c r="V123" i="4" s="1"/>
  <c r="V124" i="4" a="1"/>
  <c r="V124" i="4" s="1"/>
  <c r="V126" i="4" a="1"/>
  <c r="V126" i="4" s="1"/>
  <c r="V127" i="4" a="1"/>
  <c r="V127" i="4" s="1"/>
  <c r="V128" i="4" a="1"/>
  <c r="V128" i="4" s="1"/>
  <c r="V131" i="4" a="1"/>
  <c r="V131" i="4" s="1"/>
  <c r="V132" i="4" a="1"/>
  <c r="V132" i="4" s="1"/>
  <c r="V133" i="4" a="1"/>
  <c r="V133" i="4" s="1"/>
  <c r="V134" i="4" a="1"/>
  <c r="V134" i="4" s="1"/>
  <c r="V135" i="4" a="1"/>
  <c r="V135" i="4" s="1"/>
  <c r="V136" i="4" a="1"/>
  <c r="V136" i="4" s="1"/>
  <c r="V137" i="4" a="1"/>
  <c r="V137" i="4" s="1"/>
  <c r="V138" i="4" a="1"/>
  <c r="V138" i="4" s="1"/>
  <c r="V139" i="4" a="1"/>
  <c r="V139" i="4" s="1"/>
  <c r="V140" i="4" a="1"/>
  <c r="V140" i="4" s="1"/>
  <c r="V142" i="4" a="1"/>
  <c r="V142" i="4" s="1"/>
  <c r="V143" i="4" a="1"/>
  <c r="V143" i="4" s="1"/>
  <c r="V144" i="4" a="1"/>
  <c r="V144" i="4" s="1"/>
  <c r="V145" i="4" a="1"/>
  <c r="V145" i="4" s="1"/>
  <c r="V146" i="4" a="1"/>
  <c r="V146" i="4" s="1"/>
  <c r="V148" i="4" a="1"/>
  <c r="V148" i="4" s="1"/>
  <c r="V149" i="4" a="1"/>
  <c r="V149" i="4" s="1"/>
  <c r="V151" i="4" a="1"/>
  <c r="V151" i="4" s="1"/>
  <c r="V152" i="4" a="1"/>
  <c r="V152" i="4" s="1"/>
  <c r="V153" i="4" a="1"/>
  <c r="V153" i="4" s="1"/>
  <c r="V154" i="4" a="1"/>
  <c r="V154" i="4" s="1"/>
  <c r="V155" i="4" a="1"/>
  <c r="V155" i="4" s="1"/>
  <c r="V156" i="4" a="1"/>
  <c r="V156" i="4" s="1"/>
  <c r="V157" i="4" a="1"/>
  <c r="V157" i="4" s="1"/>
  <c r="V158" i="4" a="1"/>
  <c r="V158" i="4" s="1"/>
  <c r="V159" i="4" a="1"/>
  <c r="V159" i="4" s="1"/>
  <c r="V160" i="4" a="1"/>
  <c r="V160" i="4" s="1"/>
  <c r="V161" i="4" a="1"/>
  <c r="V161" i="4" s="1"/>
  <c r="V162" i="4" a="1"/>
  <c r="V162" i="4" s="1"/>
  <c r="V163" i="4" a="1"/>
  <c r="V163" i="4"/>
  <c r="V164" i="4" a="1"/>
  <c r="V164" i="4" s="1"/>
  <c r="V165" i="4" a="1"/>
  <c r="V165" i="4" s="1"/>
  <c r="V166" i="4" a="1"/>
  <c r="V166" i="4" s="1"/>
  <c r="V167" i="4" a="1"/>
  <c r="V167" i="4" s="1"/>
  <c r="V168" i="4" a="1"/>
  <c r="V168" i="4" s="1"/>
  <c r="V169" i="4" a="1"/>
  <c r="V169" i="4" s="1"/>
  <c r="V170" i="4" a="1"/>
  <c r="V170" i="4" s="1"/>
  <c r="V171" i="4" a="1"/>
  <c r="V171" i="4" s="1"/>
  <c r="V172" i="4" a="1"/>
  <c r="V172" i="4" s="1"/>
  <c r="V173" i="4" a="1"/>
  <c r="V173" i="4" s="1"/>
  <c r="V174" i="4" a="1"/>
  <c r="V174" i="4" s="1"/>
  <c r="V175" i="4" a="1"/>
  <c r="V175" i="4" s="1"/>
  <c r="V176" i="4" a="1"/>
  <c r="V176" i="4" s="1"/>
  <c r="V177" i="4" a="1"/>
  <c r="V177" i="4" s="1"/>
  <c r="V178" i="4" a="1"/>
  <c r="V178" i="4" s="1"/>
  <c r="V179" i="4" a="1"/>
  <c r="V179" i="4" s="1"/>
  <c r="V180" i="4" a="1"/>
  <c r="V180" i="4" s="1"/>
  <c r="V181" i="4" a="1"/>
  <c r="V181" i="4" s="1"/>
  <c r="V182" i="4" a="1"/>
  <c r="V182" i="4" s="1"/>
  <c r="V183" i="4" a="1"/>
  <c r="V183" i="4" s="1"/>
  <c r="V184" i="4" a="1"/>
  <c r="V184" i="4" s="1"/>
  <c r="V185" i="4" a="1"/>
  <c r="V185" i="4" s="1"/>
  <c r="V186" i="4" a="1"/>
  <c r="V186" i="4" s="1"/>
  <c r="V187" i="4" a="1"/>
  <c r="V187" i="4" s="1"/>
  <c r="V188" i="4" a="1"/>
  <c r="V188" i="4" s="1"/>
  <c r="V189" i="4" a="1"/>
  <c r="V189" i="4" s="1"/>
  <c r="V190" i="4" a="1"/>
  <c r="V190" i="4" s="1"/>
  <c r="V191" i="4" a="1"/>
  <c r="V191" i="4" s="1"/>
  <c r="V192" i="4" a="1"/>
  <c r="V192" i="4" s="1"/>
  <c r="V193" i="4" a="1"/>
  <c r="V193" i="4" s="1"/>
  <c r="V194" i="4" a="1"/>
  <c r="V194" i="4" s="1"/>
  <c r="V195" i="4" a="1"/>
  <c r="V195" i="4" s="1"/>
  <c r="V196" i="4" a="1"/>
  <c r="V196" i="4" s="1"/>
  <c r="V197" i="4" a="1"/>
  <c r="V197" i="4" s="1"/>
  <c r="V198" i="4" a="1"/>
  <c r="V198" i="4" s="1"/>
  <c r="V199" i="4" a="1"/>
  <c r="V199" i="4" s="1"/>
  <c r="V200" i="4" a="1"/>
  <c r="V200" i="4" s="1"/>
  <c r="V201" i="4" a="1"/>
  <c r="V201" i="4" s="1"/>
  <c r="V202" i="4" a="1"/>
  <c r="V202" i="4" s="1"/>
  <c r="V203" i="4" a="1"/>
  <c r="V203" i="4" s="1"/>
  <c r="V204" i="4" a="1"/>
  <c r="V204" i="4" s="1"/>
  <c r="V205" i="4" a="1"/>
  <c r="V205" i="4" s="1"/>
  <c r="V206" i="4" a="1"/>
  <c r="V206" i="4" s="1"/>
  <c r="V207" i="4" a="1"/>
  <c r="V207" i="4" s="1"/>
  <c r="V208" i="4" a="1"/>
  <c r="V208" i="4" s="1"/>
  <c r="V209" i="4" a="1"/>
  <c r="V209" i="4" s="1"/>
  <c r="V210" i="4" a="1"/>
  <c r="V210" i="4" s="1"/>
  <c r="V211" i="4" a="1"/>
  <c r="V211" i="4" s="1"/>
  <c r="V212" i="4" a="1"/>
  <c r="V212" i="4" s="1"/>
  <c r="V213" i="4" a="1"/>
  <c r="V213" i="4" s="1"/>
  <c r="V214" i="4" a="1"/>
  <c r="V214" i="4" s="1"/>
  <c r="V215" i="4" a="1"/>
  <c r="V215" i="4" s="1"/>
  <c r="V216" i="4" a="1"/>
  <c r="V216" i="4" s="1"/>
  <c r="V217" i="4" a="1"/>
  <c r="V217" i="4" s="1"/>
  <c r="V218" i="4" a="1"/>
  <c r="V218" i="4" s="1"/>
  <c r="V219" i="4" a="1"/>
  <c r="V219" i="4" s="1"/>
  <c r="V220" i="4" a="1"/>
  <c r="V220" i="4" s="1"/>
  <c r="V221" i="4" a="1"/>
  <c r="V221" i="4" s="1"/>
  <c r="V222" i="4" a="1"/>
  <c r="V222" i="4" s="1"/>
  <c r="V223" i="4" a="1"/>
  <c r="V223" i="4" s="1"/>
  <c r="V224" i="4" a="1"/>
  <c r="V224" i="4" s="1"/>
  <c r="V225" i="4" a="1"/>
  <c r="V225" i="4" s="1"/>
  <c r="V226" i="4" a="1"/>
  <c r="V226" i="4" s="1"/>
  <c r="V227" i="4" a="1"/>
  <c r="V227" i="4" s="1"/>
  <c r="V228" i="4" a="1"/>
  <c r="V228" i="4" s="1"/>
  <c r="V229" i="4" a="1"/>
  <c r="V229" i="4" s="1"/>
  <c r="V230" i="4" a="1"/>
  <c r="V230" i="4" s="1"/>
  <c r="V231" i="4" a="1"/>
  <c r="V231" i="4" s="1"/>
  <c r="V232" i="4" a="1"/>
  <c r="V232" i="4" s="1"/>
  <c r="V233" i="4" a="1"/>
  <c r="V233" i="4" s="1"/>
  <c r="V234" i="4" a="1"/>
  <c r="V234" i="4" s="1"/>
  <c r="V235" i="4" a="1"/>
  <c r="V235" i="4" s="1"/>
  <c r="V236" i="4" a="1"/>
  <c r="V236" i="4" s="1"/>
  <c r="V237" i="4" a="1"/>
  <c r="V237" i="4" s="1"/>
  <c r="V238" i="4" a="1"/>
  <c r="V238" i="4" s="1"/>
  <c r="V239" i="4" a="1"/>
  <c r="V239" i="4" s="1"/>
  <c r="V240" i="4" a="1"/>
  <c r="V240" i="4" s="1"/>
  <c r="V241" i="4" a="1"/>
  <c r="V241" i="4" s="1"/>
  <c r="V242" i="4" a="1"/>
  <c r="V242" i="4" s="1"/>
  <c r="V243" i="4" a="1"/>
  <c r="V243" i="4" s="1"/>
  <c r="V244" i="4" a="1"/>
  <c r="V244" i="4" s="1"/>
  <c r="V245" i="4" a="1"/>
  <c r="V245" i="4" s="1"/>
  <c r="V246" i="4" a="1"/>
  <c r="V246" i="4" s="1"/>
  <c r="V247" i="4" a="1"/>
  <c r="V247" i="4" s="1"/>
  <c r="V248" i="4" a="1"/>
  <c r="V248" i="4" s="1"/>
  <c r="V249" i="4" a="1"/>
  <c r="V249" i="4" s="1"/>
  <c r="V250" i="4" a="1"/>
  <c r="V250" i="4" s="1"/>
  <c r="V251" i="4" a="1"/>
  <c r="V251" i="4" s="1"/>
  <c r="V252" i="4" a="1"/>
  <c r="V252" i="4" s="1"/>
  <c r="V253" i="4" a="1"/>
  <c r="V253" i="4" s="1"/>
  <c r="V254" i="4" a="1"/>
  <c r="V254" i="4" s="1"/>
  <c r="V255" i="4" a="1"/>
  <c r="V255" i="4" s="1"/>
  <c r="V256" i="4" a="1"/>
  <c r="V256" i="4" s="1"/>
  <c r="V257" i="4" a="1"/>
  <c r="V257" i="4" s="1"/>
  <c r="V258" i="4" a="1"/>
  <c r="V258" i="4" s="1"/>
  <c r="V259" i="4" a="1"/>
  <c r="V259" i="4" s="1"/>
  <c r="V260" i="4" a="1"/>
  <c r="V260" i="4" s="1"/>
  <c r="V261" i="4" a="1"/>
  <c r="V261" i="4" s="1"/>
  <c r="V262" i="4" a="1"/>
  <c r="V262" i="4" s="1"/>
  <c r="V263" i="4" a="1"/>
  <c r="V263" i="4" s="1"/>
  <c r="V264" i="4" a="1"/>
  <c r="V264" i="4" s="1"/>
  <c r="V265" i="4" a="1"/>
  <c r="V265" i="4" s="1"/>
  <c r="V266" i="4" a="1"/>
  <c r="V266" i="4" s="1"/>
  <c r="V267" i="4" a="1"/>
  <c r="V267" i="4" s="1"/>
  <c r="V268" i="4" a="1"/>
  <c r="V268" i="4" s="1"/>
  <c r="V269" i="4" a="1"/>
  <c r="V269" i="4" s="1"/>
  <c r="V270" i="4" a="1"/>
  <c r="V270" i="4" s="1"/>
  <c r="V271" i="4" a="1"/>
  <c r="V271" i="4" s="1"/>
  <c r="V272" i="4" a="1"/>
  <c r="V272" i="4" s="1"/>
  <c r="V273" i="4" a="1"/>
  <c r="V273" i="4" s="1"/>
  <c r="V274" i="4" a="1"/>
  <c r="V274" i="4" s="1"/>
  <c r="V275" i="4" a="1"/>
  <c r="V275" i="4" s="1"/>
  <c r="V276" i="4" a="1"/>
  <c r="V276" i="4" s="1"/>
  <c r="V277" i="4" a="1"/>
  <c r="V277" i="4" s="1"/>
  <c r="V278" i="4" a="1"/>
  <c r="V278" i="4" s="1"/>
  <c r="V279" i="4" a="1"/>
  <c r="V279" i="4" s="1"/>
  <c r="V280" i="4" a="1"/>
  <c r="V280" i="4" s="1"/>
  <c r="V281" i="4" a="1"/>
  <c r="V281" i="4" s="1"/>
  <c r="V282" i="4" a="1"/>
  <c r="V282" i="4" s="1"/>
  <c r="V283" i="4" a="1"/>
  <c r="V283" i="4" s="1"/>
  <c r="V284" i="4" a="1"/>
  <c r="V284" i="4" s="1"/>
  <c r="V285" i="4" a="1"/>
  <c r="V285" i="4" s="1"/>
  <c r="V286" i="4" a="1"/>
  <c r="V286" i="4" s="1"/>
  <c r="V287" i="4" a="1"/>
  <c r="V287" i="4" s="1"/>
  <c r="V288" i="4" a="1"/>
  <c r="V288" i="4" s="1"/>
  <c r="V289" i="4" a="1"/>
  <c r="V289" i="4" s="1"/>
  <c r="V290" i="4" a="1"/>
  <c r="V290" i="4" s="1"/>
  <c r="V291" i="4" a="1"/>
  <c r="V291" i="4" s="1"/>
  <c r="V292" i="4" a="1"/>
  <c r="V292" i="4" s="1"/>
  <c r="V293" i="4" a="1"/>
  <c r="V293" i="4" s="1"/>
  <c r="V294" i="4" a="1"/>
  <c r="V294" i="4" s="1"/>
  <c r="V295" i="4" a="1"/>
  <c r="V295" i="4" s="1"/>
  <c r="V296" i="4" a="1"/>
  <c r="V296" i="4" s="1"/>
  <c r="V297" i="4" a="1"/>
  <c r="V297" i="4" s="1"/>
  <c r="V298" i="4" a="1"/>
  <c r="V298" i="4" s="1"/>
  <c r="V299" i="4" a="1"/>
  <c r="V299" i="4" s="1"/>
  <c r="V300" i="4" a="1"/>
  <c r="V300" i="4" s="1"/>
  <c r="V301" i="4" a="1"/>
  <c r="V301" i="4" s="1"/>
  <c r="V302" i="4" a="1"/>
  <c r="V302" i="4" s="1"/>
  <c r="V303" i="4" a="1"/>
  <c r="V303" i="4" s="1"/>
  <c r="V304" i="4" a="1"/>
  <c r="V304" i="4" s="1"/>
  <c r="V305" i="4" a="1"/>
  <c r="V305" i="4" s="1"/>
  <c r="V306" i="4" a="1"/>
  <c r="V306" i="4" s="1"/>
  <c r="V307" i="4" a="1"/>
  <c r="V307" i="4" s="1"/>
  <c r="V308" i="4" a="1"/>
  <c r="V308" i="4" s="1"/>
  <c r="V309" i="4" a="1"/>
  <c r="V309" i="4" s="1"/>
  <c r="V310" i="4" a="1"/>
  <c r="V310" i="4" s="1"/>
  <c r="V311" i="4" a="1"/>
  <c r="V311" i="4" s="1"/>
  <c r="V312" i="4" a="1"/>
  <c r="V312" i="4" s="1"/>
  <c r="V313" i="4" a="1"/>
  <c r="V313" i="4" s="1"/>
  <c r="V314" i="4" a="1"/>
  <c r="V314" i="4" s="1"/>
  <c r="V315" i="4" a="1"/>
  <c r="V315" i="4" s="1"/>
  <c r="V316" i="4" a="1"/>
  <c r="V316" i="4" s="1"/>
  <c r="V317" i="4" a="1"/>
  <c r="V317" i="4" s="1"/>
  <c r="V318" i="4" a="1"/>
  <c r="V318" i="4" s="1"/>
  <c r="V319" i="4" a="1"/>
  <c r="V319" i="4" s="1"/>
  <c r="V320" i="4" a="1"/>
  <c r="V320" i="4" s="1"/>
  <c r="V321" i="4" a="1"/>
  <c r="V321" i="4" s="1"/>
  <c r="V322" i="4" a="1"/>
  <c r="V322" i="4" s="1"/>
  <c r="V323" i="4" a="1"/>
  <c r="V323" i="4" s="1"/>
  <c r="V324" i="4" a="1"/>
  <c r="V324" i="4" s="1"/>
  <c r="V325" i="4" a="1"/>
  <c r="V325" i="4" s="1"/>
  <c r="V326" i="4" a="1"/>
  <c r="V326" i="4" s="1"/>
  <c r="V327" i="4" a="1"/>
  <c r="V327" i="4" s="1"/>
  <c r="V328" i="4" a="1"/>
  <c r="V328" i="4" s="1"/>
  <c r="V329" i="4" a="1"/>
  <c r="V329" i="4" s="1"/>
  <c r="V330" i="4" a="1"/>
  <c r="V330" i="4" s="1"/>
  <c r="V331" i="4" a="1"/>
  <c r="V331" i="4" s="1"/>
  <c r="V332" i="4" a="1"/>
  <c r="V332" i="4" s="1"/>
  <c r="V333" i="4" a="1"/>
  <c r="V333" i="4" s="1"/>
  <c r="V334" i="4" a="1"/>
  <c r="V334" i="4" s="1"/>
  <c r="V335" i="4" a="1"/>
  <c r="V335" i="4" s="1"/>
  <c r="V336" i="4" a="1"/>
  <c r="V336" i="4" s="1"/>
  <c r="V337" i="4" a="1"/>
  <c r="V337" i="4" s="1"/>
  <c r="V338" i="4" a="1"/>
  <c r="V338" i="4" s="1"/>
  <c r="V339" i="4" a="1"/>
  <c r="V339" i="4" s="1"/>
  <c r="V340" i="4" a="1"/>
  <c r="V340" i="4" s="1"/>
  <c r="V341" i="4" a="1"/>
  <c r="V341" i="4" s="1"/>
  <c r="V342" i="4" a="1"/>
  <c r="V342" i="4" s="1"/>
  <c r="V343" i="4" a="1"/>
  <c r="V343" i="4" s="1"/>
  <c r="V344" i="4" a="1"/>
  <c r="V344" i="4" s="1"/>
  <c r="V345" i="4" a="1"/>
  <c r="V345" i="4" s="1"/>
  <c r="V346" i="4" a="1"/>
  <c r="V346" i="4" s="1"/>
  <c r="V347" i="4" a="1"/>
  <c r="V347" i="4" s="1"/>
  <c r="V348" i="4" a="1"/>
  <c r="V348" i="4" s="1"/>
  <c r="V349" i="4" a="1"/>
  <c r="V349" i="4" s="1"/>
  <c r="V350" i="4" a="1"/>
  <c r="V350" i="4" s="1"/>
  <c r="V351" i="4" a="1"/>
  <c r="V351" i="4" s="1"/>
  <c r="V352" i="4" a="1"/>
  <c r="V352" i="4" s="1"/>
  <c r="V353" i="4" a="1"/>
  <c r="V353" i="4" s="1"/>
  <c r="V354" i="4" a="1"/>
  <c r="V354" i="4" s="1"/>
  <c r="V355" i="4" a="1"/>
  <c r="V355" i="4" s="1"/>
  <c r="V356" i="4" a="1"/>
  <c r="V356" i="4" s="1"/>
  <c r="V357" i="4" a="1"/>
  <c r="V357" i="4" s="1"/>
  <c r="V358" i="4" a="1"/>
  <c r="V358" i="4" s="1"/>
  <c r="V359" i="4" a="1"/>
  <c r="V359" i="4" s="1"/>
  <c r="V360" i="4" a="1"/>
  <c r="V360" i="4" s="1"/>
  <c r="V361" i="4" a="1"/>
  <c r="V361" i="4" s="1"/>
  <c r="V362" i="4" a="1"/>
  <c r="V362" i="4" s="1"/>
  <c r="V363" i="4" a="1"/>
  <c r="V363" i="4" s="1"/>
  <c r="V364" i="4" a="1"/>
  <c r="V364" i="4" s="1"/>
  <c r="V365" i="4" a="1"/>
  <c r="V365" i="4" s="1"/>
  <c r="V366" i="4" a="1"/>
  <c r="V366" i="4" s="1"/>
  <c r="V367" i="4" a="1"/>
  <c r="V367" i="4" s="1"/>
  <c r="V368" i="4" a="1"/>
  <c r="V368" i="4" s="1"/>
  <c r="V369" i="4" a="1"/>
  <c r="V369" i="4" s="1"/>
  <c r="V370" i="4" a="1"/>
  <c r="V370" i="4" s="1"/>
  <c r="V371" i="4" a="1"/>
  <c r="V371" i="4" s="1"/>
  <c r="V372" i="4" a="1"/>
  <c r="V372" i="4" s="1"/>
  <c r="V373" i="4" a="1"/>
  <c r="V373" i="4" s="1"/>
  <c r="V374" i="4" a="1"/>
  <c r="V374" i="4" s="1"/>
  <c r="V375" i="4" a="1"/>
  <c r="V375" i="4" s="1"/>
  <c r="V376" i="4" a="1"/>
  <c r="V376" i="4" s="1"/>
  <c r="V377" i="4" a="1"/>
  <c r="V377" i="4" s="1"/>
  <c r="V378" i="4" a="1"/>
  <c r="V378" i="4" s="1"/>
  <c r="V379" i="4" a="1"/>
  <c r="V379" i="4" s="1"/>
  <c r="V380" i="4" a="1"/>
  <c r="V380" i="4" s="1"/>
  <c r="V381" i="4" a="1"/>
  <c r="V381" i="4" s="1"/>
  <c r="V382" i="4" a="1"/>
  <c r="V382" i="4" s="1"/>
  <c r="V383" i="4" a="1"/>
  <c r="V383" i="4" s="1"/>
  <c r="V384" i="4" a="1"/>
  <c r="V384" i="4" s="1"/>
  <c r="V385" i="4" a="1"/>
  <c r="V385" i="4" s="1"/>
  <c r="V386" i="4" a="1"/>
  <c r="V386" i="4" s="1"/>
  <c r="V387" i="4" a="1"/>
  <c r="V387" i="4" s="1"/>
  <c r="V388" i="4" a="1"/>
  <c r="V388" i="4" s="1"/>
  <c r="V389" i="4" a="1"/>
  <c r="V389" i="4" s="1"/>
  <c r="V390" i="4" a="1"/>
  <c r="V390" i="4" s="1"/>
  <c r="V391" i="4" a="1"/>
  <c r="V391" i="4" s="1"/>
  <c r="V392" i="4" a="1"/>
  <c r="V392" i="4" s="1"/>
  <c r="V393" i="4" a="1"/>
  <c r="V393" i="4" s="1"/>
  <c r="V394" i="4" a="1"/>
  <c r="V394" i="4" s="1"/>
  <c r="V395" i="4" a="1"/>
  <c r="V395" i="4" s="1"/>
  <c r="V396" i="4" a="1"/>
  <c r="V396" i="4" s="1"/>
  <c r="V397" i="4" a="1"/>
  <c r="V397" i="4" s="1"/>
  <c r="V398" i="4" a="1"/>
  <c r="V398" i="4" s="1"/>
  <c r="V399" i="4" a="1"/>
  <c r="V399" i="4" s="1"/>
  <c r="V400" i="4" a="1"/>
  <c r="V400" i="4" s="1"/>
  <c r="V401" i="4" a="1"/>
  <c r="V401" i="4" s="1"/>
  <c r="V402" i="4" a="1"/>
  <c r="V402" i="4" s="1"/>
  <c r="V403" i="4" a="1"/>
  <c r="V403" i="4" s="1"/>
  <c r="V404" i="4" a="1"/>
  <c r="V404" i="4" s="1"/>
  <c r="V405" i="4" a="1"/>
  <c r="V405" i="4" s="1"/>
  <c r="V406" i="4" a="1"/>
  <c r="V406" i="4" s="1"/>
  <c r="V407" i="4" a="1"/>
  <c r="V407" i="4" s="1"/>
  <c r="V408" i="4" a="1"/>
  <c r="V408" i="4" s="1"/>
  <c r="V409" i="4" a="1"/>
  <c r="V409" i="4" s="1"/>
  <c r="V410" i="4" a="1"/>
  <c r="V410" i="4" s="1"/>
  <c r="V411" i="4" a="1"/>
  <c r="V411" i="4" s="1"/>
  <c r="V412" i="4" a="1"/>
  <c r="V412" i="4" s="1"/>
  <c r="V413" i="4" a="1"/>
  <c r="V413" i="4" s="1"/>
  <c r="V414" i="4" a="1"/>
  <c r="V414" i="4" s="1"/>
  <c r="V415" i="4" a="1"/>
  <c r="V415" i="4" s="1"/>
  <c r="V416" i="4" a="1"/>
  <c r="V416" i="4" s="1"/>
  <c r="V417" i="4" a="1"/>
  <c r="V417" i="4" s="1"/>
  <c r="V418" i="4" a="1"/>
  <c r="V418" i="4" s="1"/>
  <c r="V419" i="4" a="1"/>
  <c r="V419" i="4" s="1"/>
  <c r="V420" i="4" a="1"/>
  <c r="V420" i="4" s="1"/>
  <c r="V421" i="4" a="1"/>
  <c r="V421" i="4" s="1"/>
  <c r="V422" i="4" a="1"/>
  <c r="V422" i="4" s="1"/>
  <c r="V423" i="4" a="1"/>
  <c r="V423" i="4" s="1"/>
  <c r="V424" i="4" a="1"/>
  <c r="V424" i="4" s="1"/>
  <c r="V425" i="4" a="1"/>
  <c r="V425" i="4" s="1"/>
  <c r="V426" i="4" a="1"/>
  <c r="V426" i="4" s="1"/>
  <c r="V427" i="4" a="1"/>
  <c r="V427" i="4" s="1"/>
  <c r="V428" i="4" a="1"/>
  <c r="V428" i="4" s="1"/>
  <c r="V429" i="4" a="1"/>
  <c r="V429" i="4" s="1"/>
  <c r="V430" i="4" a="1"/>
  <c r="V430" i="4" s="1"/>
  <c r="V431" i="4" a="1"/>
  <c r="V431" i="4" s="1"/>
  <c r="V432" i="4" a="1"/>
  <c r="V432" i="4" s="1"/>
  <c r="V433" i="4" a="1"/>
  <c r="V433" i="4" s="1"/>
  <c r="V434" i="4" a="1"/>
  <c r="V434" i="4" s="1"/>
  <c r="U435" i="4" a="1"/>
  <c r="U435" i="4" s="1"/>
  <c r="V435" i="4" a="1"/>
  <c r="V435" i="4" s="1"/>
  <c r="U436" i="4" a="1"/>
  <c r="U436" i="4" s="1"/>
  <c r="V436" i="4" a="1"/>
  <c r="V436" i="4" s="1"/>
  <c r="U437" i="4" a="1"/>
  <c r="U437" i="4" s="1"/>
  <c r="V437" i="4" a="1"/>
  <c r="V437" i="4" s="1"/>
  <c r="U438" i="4" a="1"/>
  <c r="U438" i="4" s="1"/>
  <c r="V438" i="4" a="1"/>
  <c r="V438" i="4" s="1"/>
  <c r="U439" i="4" a="1"/>
  <c r="U439" i="4" s="1"/>
  <c r="V439" i="4" a="1"/>
  <c r="V439" i="4" s="1"/>
  <c r="U440" i="4" a="1"/>
  <c r="U440" i="4" s="1"/>
  <c r="V440" i="4" a="1"/>
  <c r="V440" i="4" s="1"/>
  <c r="U441" i="4" a="1"/>
  <c r="U441" i="4" s="1"/>
  <c r="V441" i="4" a="1"/>
  <c r="V441" i="4" s="1"/>
  <c r="U442" i="4" a="1"/>
  <c r="U442" i="4" s="1"/>
  <c r="V442" i="4" a="1"/>
  <c r="V442" i="4" s="1"/>
  <c r="U443" i="4" a="1"/>
  <c r="U443" i="4" s="1"/>
  <c r="V443" i="4" a="1"/>
  <c r="V443" i="4" s="1"/>
  <c r="U444" i="4" a="1"/>
  <c r="U444" i="4" s="1"/>
  <c r="V444" i="4" a="1"/>
  <c r="V444" i="4" s="1"/>
  <c r="U445" i="4" a="1"/>
  <c r="U445" i="4" s="1"/>
  <c r="V445" i="4" a="1"/>
  <c r="V445" i="4" s="1"/>
  <c r="U446" i="4" a="1"/>
  <c r="U446" i="4" s="1"/>
  <c r="V446" i="4" a="1"/>
  <c r="V446" i="4" s="1"/>
  <c r="U447" i="4" a="1"/>
  <c r="U447" i="4" s="1"/>
  <c r="V447" i="4" a="1"/>
  <c r="V447" i="4" s="1"/>
  <c r="U448" i="4" a="1"/>
  <c r="U448" i="4" s="1"/>
  <c r="V448" i="4" a="1"/>
  <c r="V448" i="4" s="1"/>
  <c r="U449" i="4" a="1"/>
  <c r="U449" i="4" s="1"/>
  <c r="V449" i="4" a="1"/>
  <c r="V449" i="4" s="1"/>
  <c r="U450" i="4" a="1"/>
  <c r="U450" i="4" s="1"/>
  <c r="V450" i="4" a="1"/>
  <c r="V450" i="4" s="1"/>
  <c r="U451" i="4" a="1"/>
  <c r="U451" i="4" s="1"/>
  <c r="V451" i="4" a="1"/>
  <c r="V451" i="4" s="1"/>
  <c r="U452" i="4" a="1"/>
  <c r="U452" i="4" s="1"/>
  <c r="V452" i="4" a="1"/>
  <c r="V452" i="4" s="1"/>
  <c r="U453" i="4" a="1"/>
  <c r="U453" i="4" s="1"/>
  <c r="V453" i="4" a="1"/>
  <c r="V453" i="4" s="1"/>
  <c r="U454" i="4" a="1"/>
  <c r="U454" i="4" s="1"/>
  <c r="V454" i="4" a="1"/>
  <c r="V454" i="4" s="1"/>
  <c r="U455" i="4" a="1"/>
  <c r="U455" i="4" s="1"/>
  <c r="V455" i="4" a="1"/>
  <c r="V455" i="4" s="1"/>
  <c r="U456" i="4" a="1"/>
  <c r="U456" i="4" s="1"/>
  <c r="V456" i="4" a="1"/>
  <c r="V456" i="4" s="1"/>
  <c r="U457" i="4" a="1"/>
  <c r="U457" i="4" s="1"/>
  <c r="V457" i="4" a="1"/>
  <c r="V457" i="4" s="1"/>
  <c r="U458" i="4" a="1"/>
  <c r="U458" i="4" s="1"/>
  <c r="V458" i="4" a="1"/>
  <c r="V458" i="4" s="1"/>
  <c r="U459" i="4" a="1"/>
  <c r="U459" i="4" s="1"/>
  <c r="V459" i="4" a="1"/>
  <c r="V459" i="4" s="1"/>
  <c r="U460" i="4" a="1"/>
  <c r="U460" i="4" s="1"/>
  <c r="V460" i="4" a="1"/>
  <c r="V460" i="4" s="1"/>
  <c r="U461" i="4" a="1"/>
  <c r="U461" i="4" s="1"/>
  <c r="V461" i="4" a="1"/>
  <c r="V461" i="4" s="1"/>
  <c r="U462" i="4" a="1"/>
  <c r="U462" i="4" s="1"/>
  <c r="V462" i="4" a="1"/>
  <c r="V462" i="4" s="1"/>
  <c r="U463" i="4" a="1"/>
  <c r="U463" i="4" s="1"/>
  <c r="V463" i="4" a="1"/>
  <c r="V463" i="4" s="1"/>
  <c r="U464" i="4" a="1"/>
  <c r="U464" i="4" s="1"/>
  <c r="V464" i="4" a="1"/>
  <c r="V464" i="4" s="1"/>
  <c r="U465" i="4" a="1"/>
  <c r="U465" i="4" s="1"/>
  <c r="V465" i="4" a="1"/>
  <c r="V465" i="4" s="1"/>
  <c r="U466" i="4" a="1"/>
  <c r="U466" i="4" s="1"/>
  <c r="V466" i="4" a="1"/>
  <c r="V466" i="4" s="1"/>
  <c r="U467" i="4" a="1"/>
  <c r="U467" i="4" s="1"/>
  <c r="V467" i="4" a="1"/>
  <c r="V467" i="4" s="1"/>
  <c r="U468" i="4" a="1"/>
  <c r="U468" i="4" s="1"/>
  <c r="V468" i="4" a="1"/>
  <c r="V468" i="4" s="1"/>
  <c r="U469" i="4" a="1"/>
  <c r="U469" i="4" s="1"/>
  <c r="V469" i="4" a="1"/>
  <c r="V469" i="4" s="1"/>
  <c r="U470" i="4" a="1"/>
  <c r="U470" i="4" s="1"/>
  <c r="V470" i="4" a="1"/>
  <c r="V470" i="4" s="1"/>
  <c r="U471" i="4" a="1"/>
  <c r="U471" i="4" s="1"/>
  <c r="V471" i="4" a="1"/>
  <c r="V471" i="4" s="1"/>
  <c r="U472" i="4" a="1"/>
  <c r="U472" i="4" s="1"/>
  <c r="V472" i="4" a="1"/>
  <c r="V472" i="4" s="1"/>
  <c r="U473" i="4" a="1"/>
  <c r="U473" i="4" s="1"/>
  <c r="V473" i="4" a="1"/>
  <c r="V473" i="4" s="1"/>
  <c r="U474" i="4" a="1"/>
  <c r="U474" i="4" s="1"/>
  <c r="V474" i="4" a="1"/>
  <c r="V474" i="4" s="1"/>
  <c r="U475" i="4" a="1"/>
  <c r="U475" i="4" s="1"/>
  <c r="V475" i="4" a="1"/>
  <c r="V475" i="4" s="1"/>
  <c r="U476" i="4" a="1"/>
  <c r="U476" i="4" s="1"/>
  <c r="V476" i="4" a="1"/>
  <c r="V476" i="4" s="1"/>
  <c r="U477" i="4" a="1"/>
  <c r="U477" i="4" s="1"/>
  <c r="V477" i="4" a="1"/>
  <c r="V477" i="4" s="1"/>
  <c r="U478" i="4" a="1"/>
  <c r="U478" i="4" s="1"/>
  <c r="V478" i="4" a="1"/>
  <c r="V478" i="4" s="1"/>
  <c r="U479" i="4" a="1"/>
  <c r="U479" i="4" s="1"/>
  <c r="V479" i="4" a="1"/>
  <c r="V479" i="4" s="1"/>
  <c r="U480" i="4" a="1"/>
  <c r="U480" i="4" s="1"/>
  <c r="V480" i="4" a="1"/>
  <c r="V480" i="4" s="1"/>
  <c r="U481" i="4" a="1"/>
  <c r="U481" i="4" s="1"/>
  <c r="V481" i="4" a="1"/>
  <c r="V481" i="4" s="1"/>
  <c r="U482" i="4" a="1"/>
  <c r="U482" i="4" s="1"/>
  <c r="V482" i="4" a="1"/>
  <c r="V482" i="4" s="1"/>
  <c r="U483" i="4" a="1"/>
  <c r="U483" i="4" s="1"/>
  <c r="V483" i="4" a="1"/>
  <c r="V483" i="4" s="1"/>
  <c r="U484" i="4" a="1"/>
  <c r="U484" i="4" s="1"/>
  <c r="V484" i="4" a="1"/>
  <c r="V484" i="4" s="1"/>
  <c r="U485" i="4" a="1"/>
  <c r="U485" i="4" s="1"/>
  <c r="V485" i="4" a="1"/>
  <c r="V485" i="4" s="1"/>
  <c r="U486" i="4" a="1"/>
  <c r="U486" i="4" s="1"/>
  <c r="V486" i="4" a="1"/>
  <c r="V486" i="4" s="1"/>
  <c r="U487" i="4" a="1"/>
  <c r="U487" i="4" s="1"/>
  <c r="V487" i="4" a="1"/>
  <c r="V487" i="4" s="1"/>
  <c r="U488" i="4" a="1"/>
  <c r="U488" i="4" s="1"/>
  <c r="V488" i="4" a="1"/>
  <c r="V488" i="4" s="1"/>
  <c r="U489" i="4" a="1"/>
  <c r="U489" i="4" s="1"/>
  <c r="V489" i="4" a="1"/>
  <c r="V489" i="4" s="1"/>
  <c r="U490" i="4" a="1"/>
  <c r="U490" i="4" s="1"/>
  <c r="V490" i="4" a="1"/>
  <c r="V490" i="4" s="1"/>
  <c r="U491" i="4" a="1"/>
  <c r="U491" i="4" s="1"/>
  <c r="V491" i="4" a="1"/>
  <c r="V491" i="4" s="1"/>
  <c r="U492" i="4" a="1"/>
  <c r="U492" i="4" s="1"/>
  <c r="V492" i="4" a="1"/>
  <c r="V492" i="4" s="1"/>
  <c r="U493" i="4" a="1"/>
  <c r="U493" i="4" s="1"/>
  <c r="V493" i="4" a="1"/>
  <c r="V493" i="4" s="1"/>
  <c r="U494" i="4" a="1"/>
  <c r="U494" i="4" s="1"/>
  <c r="V494" i="4" a="1"/>
  <c r="V494" i="4" s="1"/>
  <c r="U495" i="4" a="1"/>
  <c r="U495" i="4" s="1"/>
  <c r="V495" i="4" a="1"/>
  <c r="V495" i="4" s="1"/>
  <c r="U496" i="4" a="1"/>
  <c r="U496" i="4" s="1"/>
  <c r="V496" i="4" a="1"/>
  <c r="V496" i="4" s="1"/>
  <c r="U497" i="4" a="1"/>
  <c r="U497" i="4" s="1"/>
  <c r="V497" i="4" a="1"/>
  <c r="V497" i="4" s="1"/>
  <c r="U498" i="4" a="1"/>
  <c r="U498" i="4" s="1"/>
  <c r="V498" i="4" a="1"/>
  <c r="V498" i="4" s="1"/>
  <c r="U499" i="4" a="1"/>
  <c r="U499" i="4" s="1"/>
  <c r="V499" i="4" a="1"/>
  <c r="V499" i="4" s="1"/>
  <c r="U500" i="4" a="1"/>
  <c r="U500" i="4" s="1"/>
  <c r="V500" i="4" a="1"/>
  <c r="V500" i="4" s="1"/>
  <c r="U501" i="4" a="1"/>
  <c r="U501" i="4" s="1"/>
  <c r="V501" i="4" a="1"/>
  <c r="V501" i="4" s="1"/>
  <c r="U502" i="4" a="1"/>
  <c r="U502" i="4" s="1"/>
  <c r="V502" i="4" a="1"/>
  <c r="V502" i="4" s="1"/>
  <c r="U503" i="4" a="1"/>
  <c r="U503" i="4" s="1"/>
  <c r="V503" i="4" a="1"/>
  <c r="V503" i="4" s="1"/>
  <c r="U504" i="4" a="1"/>
  <c r="U504" i="4" s="1"/>
  <c r="V504" i="4" a="1"/>
  <c r="V504" i="4" s="1"/>
  <c r="U505" i="4" a="1"/>
  <c r="U505" i="4" s="1"/>
  <c r="V505" i="4" a="1"/>
  <c r="V505" i="4" s="1"/>
  <c r="U506" i="4" a="1"/>
  <c r="U506" i="4" s="1"/>
  <c r="V506" i="4" a="1"/>
  <c r="V506" i="4" s="1"/>
  <c r="U507" i="4" a="1"/>
  <c r="U507" i="4" s="1"/>
  <c r="V507" i="4" a="1"/>
  <c r="V507" i="4" s="1"/>
  <c r="U508" i="4" a="1"/>
  <c r="U508" i="4" s="1"/>
  <c r="V508" i="4" a="1"/>
  <c r="V508" i="4" s="1"/>
  <c r="U509" i="4" a="1"/>
  <c r="U509" i="4" s="1"/>
  <c r="V509" i="4" a="1"/>
  <c r="V509" i="4" s="1"/>
  <c r="U510" i="4" a="1"/>
  <c r="U510" i="4" s="1"/>
  <c r="V510" i="4" a="1"/>
  <c r="V510" i="4" s="1"/>
  <c r="U511" i="4" a="1"/>
  <c r="U511" i="4" s="1"/>
  <c r="V511" i="4" a="1"/>
  <c r="V511" i="4" s="1"/>
  <c r="U512" i="4" a="1"/>
  <c r="U512" i="4" s="1"/>
  <c r="V512" i="4" a="1"/>
  <c r="V512" i="4" s="1"/>
  <c r="U513" i="4" a="1"/>
  <c r="U513" i="4" s="1"/>
  <c r="V513" i="4" a="1"/>
  <c r="V513" i="4" s="1"/>
  <c r="U514" i="4" a="1"/>
  <c r="U514" i="4" s="1"/>
  <c r="V514" i="4" a="1"/>
  <c r="V514" i="4" s="1"/>
  <c r="U515" i="4" a="1"/>
  <c r="U515" i="4" s="1"/>
  <c r="V515" i="4" a="1"/>
  <c r="V515" i="4" s="1"/>
  <c r="U516" i="4" a="1"/>
  <c r="U516" i="4" s="1"/>
  <c r="V516" i="4" a="1"/>
  <c r="V516" i="4" s="1"/>
  <c r="U517" i="4" a="1"/>
  <c r="U517" i="4" s="1"/>
  <c r="V517" i="4" a="1"/>
  <c r="V517" i="4" s="1"/>
  <c r="U518" i="4" a="1"/>
  <c r="U518" i="4" s="1"/>
  <c r="V518" i="4" a="1"/>
  <c r="V518" i="4" s="1"/>
  <c r="U519" i="4" a="1"/>
  <c r="U519" i="4" s="1"/>
  <c r="V519" i="4" a="1"/>
  <c r="V519" i="4" s="1"/>
  <c r="U520" i="4" a="1"/>
  <c r="U520" i="4" s="1"/>
  <c r="V520" i="4" a="1"/>
  <c r="V520" i="4" s="1"/>
  <c r="U521" i="4" a="1"/>
  <c r="U521" i="4" s="1"/>
  <c r="V521" i="4" a="1"/>
  <c r="V521" i="4" s="1"/>
  <c r="U522" i="4" a="1"/>
  <c r="U522" i="4" s="1"/>
  <c r="V522" i="4" a="1"/>
  <c r="V522" i="4" s="1"/>
  <c r="U523" i="4" a="1"/>
  <c r="U523" i="4" s="1"/>
  <c r="V523" i="4" a="1"/>
  <c r="V523" i="4" s="1"/>
  <c r="U524" i="4" a="1"/>
  <c r="U524" i="4" s="1"/>
  <c r="V524" i="4" a="1"/>
  <c r="V524" i="4" s="1"/>
  <c r="U525" i="4" a="1"/>
  <c r="U525" i="4" s="1"/>
  <c r="V525" i="4" a="1"/>
  <c r="V525" i="4" s="1"/>
  <c r="U526" i="4" a="1"/>
  <c r="U526" i="4" s="1"/>
  <c r="V526" i="4" a="1"/>
  <c r="V526" i="4" s="1"/>
  <c r="U527" i="4" a="1"/>
  <c r="U527" i="4" s="1"/>
  <c r="V527" i="4" a="1"/>
  <c r="V527" i="4" s="1"/>
  <c r="U528" i="4" a="1"/>
  <c r="U528" i="4" s="1"/>
  <c r="V528" i="4" a="1"/>
  <c r="V528" i="4" s="1"/>
  <c r="U529" i="4" a="1"/>
  <c r="U529" i="4" s="1"/>
  <c r="V529" i="4" a="1"/>
  <c r="V529" i="4" s="1"/>
  <c r="U530" i="4" a="1"/>
  <c r="U530" i="4" s="1"/>
  <c r="V530" i="4" a="1"/>
  <c r="V530" i="4" s="1"/>
  <c r="U531" i="4" a="1"/>
  <c r="U531" i="4" s="1"/>
  <c r="V531" i="4" a="1"/>
  <c r="V531" i="4" s="1"/>
  <c r="U532" i="4" a="1"/>
  <c r="U532" i="4" s="1"/>
  <c r="V532" i="4" a="1"/>
  <c r="V532" i="4" s="1"/>
  <c r="U533" i="4" a="1"/>
  <c r="U533" i="4" s="1"/>
  <c r="V533" i="4" a="1"/>
  <c r="V533" i="4" s="1"/>
  <c r="U534" i="4" a="1"/>
  <c r="U534" i="4" s="1"/>
  <c r="V534" i="4" a="1"/>
  <c r="V534" i="4" s="1"/>
  <c r="U535" i="4" a="1"/>
  <c r="U535" i="4" s="1"/>
  <c r="V535" i="4" a="1"/>
  <c r="V535" i="4" s="1"/>
  <c r="U536" i="4" a="1"/>
  <c r="U536" i="4" s="1"/>
  <c r="V536" i="4" a="1"/>
  <c r="V536" i="4" s="1"/>
  <c r="U537" i="4" a="1"/>
  <c r="U537" i="4" s="1"/>
  <c r="V537" i="4" a="1"/>
  <c r="V537" i="4" s="1"/>
  <c r="U538" i="4" a="1"/>
  <c r="U538" i="4" s="1"/>
  <c r="V538" i="4" a="1"/>
  <c r="V538" i="4" s="1"/>
  <c r="U539" i="4" a="1"/>
  <c r="U539" i="4" s="1"/>
  <c r="V539" i="4" a="1"/>
  <c r="V539" i="4" s="1"/>
  <c r="U540" i="4" a="1"/>
  <c r="U540" i="4" s="1"/>
  <c r="V540" i="4" a="1"/>
  <c r="V540" i="4" s="1"/>
  <c r="U541" i="4" a="1"/>
  <c r="U541" i="4" s="1"/>
  <c r="V541" i="4" a="1"/>
  <c r="V541" i="4" s="1"/>
  <c r="U542" i="4" a="1"/>
  <c r="U542" i="4" s="1"/>
  <c r="V542" i="4" a="1"/>
  <c r="V542" i="4" s="1"/>
  <c r="U543" i="4" a="1"/>
  <c r="U543" i="4" s="1"/>
  <c r="V543" i="4" a="1"/>
  <c r="V543" i="4" s="1"/>
  <c r="U544" i="4" a="1"/>
  <c r="U544" i="4" s="1"/>
  <c r="V544" i="4" a="1"/>
  <c r="V544" i="4" s="1"/>
  <c r="U545" i="4" a="1"/>
  <c r="U545" i="4" s="1"/>
  <c r="V545" i="4" a="1"/>
  <c r="V545" i="4" s="1"/>
  <c r="U546" i="4" a="1"/>
  <c r="U546" i="4" s="1"/>
  <c r="V546" i="4" a="1"/>
  <c r="V546" i="4" s="1"/>
  <c r="U547" i="4" a="1"/>
  <c r="U547" i="4" s="1"/>
  <c r="V547" i="4" a="1"/>
  <c r="V547" i="4" s="1"/>
  <c r="U548" i="4" a="1"/>
  <c r="U548" i="4" s="1"/>
  <c r="V548" i="4" a="1"/>
  <c r="V548" i="4" s="1"/>
  <c r="U549" i="4" a="1"/>
  <c r="U549" i="4" s="1"/>
  <c r="V549" i="4" a="1"/>
  <c r="V549" i="4" s="1"/>
  <c r="U550" i="4" a="1"/>
  <c r="U550" i="4" s="1"/>
  <c r="V550" i="4" a="1"/>
  <c r="V550" i="4" s="1"/>
  <c r="U551" i="4" a="1"/>
  <c r="U551" i="4" s="1"/>
  <c r="V551" i="4" a="1"/>
  <c r="V551" i="4" s="1"/>
  <c r="U552" i="4" a="1"/>
  <c r="U552" i="4" s="1"/>
  <c r="V552" i="4" a="1"/>
  <c r="V552" i="4" s="1"/>
  <c r="U553" i="4" a="1"/>
  <c r="U553" i="4" s="1"/>
  <c r="V553" i="4" a="1"/>
  <c r="V553" i="4" s="1"/>
  <c r="U554" i="4" a="1"/>
  <c r="U554" i="4" s="1"/>
  <c r="V554" i="4" a="1"/>
  <c r="V554" i="4" s="1"/>
  <c r="U555" i="4" a="1"/>
  <c r="U555" i="4" s="1"/>
  <c r="V555" i="4" a="1"/>
  <c r="V555" i="4" s="1"/>
  <c r="U556" i="4" a="1"/>
  <c r="U556" i="4" s="1"/>
  <c r="V556" i="4" a="1"/>
  <c r="V556" i="4" s="1"/>
  <c r="U557" i="4" a="1"/>
  <c r="U557" i="4" s="1"/>
  <c r="V557" i="4" a="1"/>
  <c r="V557" i="4" s="1"/>
  <c r="U558" i="4" a="1"/>
  <c r="U558" i="4" s="1"/>
  <c r="V558" i="4" a="1"/>
  <c r="V558" i="4" s="1"/>
  <c r="U559" i="4" a="1"/>
  <c r="U559" i="4" s="1"/>
  <c r="V559" i="4" a="1"/>
  <c r="V559" i="4" s="1"/>
  <c r="U560" i="4" a="1"/>
  <c r="U560" i="4" s="1"/>
  <c r="V560" i="4" a="1"/>
  <c r="V560" i="4" s="1"/>
  <c r="U561" i="4" a="1"/>
  <c r="U561" i="4" s="1"/>
  <c r="V561" i="4" a="1"/>
  <c r="V561" i="4" s="1"/>
  <c r="U562" i="4" a="1"/>
  <c r="U562" i="4" s="1"/>
  <c r="V562" i="4" a="1"/>
  <c r="V562" i="4" s="1"/>
  <c r="U563" i="4" a="1"/>
  <c r="U563" i="4" s="1"/>
  <c r="V563" i="4" a="1"/>
  <c r="V563" i="4" s="1"/>
  <c r="U564" i="4" a="1"/>
  <c r="U564" i="4" s="1"/>
  <c r="V564" i="4" a="1"/>
  <c r="V564" i="4" s="1"/>
  <c r="U565" i="4" a="1"/>
  <c r="U565" i="4" s="1"/>
  <c r="V565" i="4" a="1"/>
  <c r="V565" i="4" s="1"/>
  <c r="U566" i="4" a="1"/>
  <c r="U566" i="4" s="1"/>
  <c r="V566" i="4" a="1"/>
  <c r="V566" i="4" s="1"/>
  <c r="U567" i="4" a="1"/>
  <c r="U567" i="4" s="1"/>
  <c r="V567" i="4" a="1"/>
  <c r="V567" i="4" s="1"/>
  <c r="U568" i="4" a="1"/>
  <c r="U568" i="4" s="1"/>
  <c r="V568" i="4" a="1"/>
  <c r="V568" i="4" s="1"/>
  <c r="U569" i="4" a="1"/>
  <c r="U569" i="4" s="1"/>
  <c r="V569" i="4" a="1"/>
  <c r="V569" i="4" s="1"/>
  <c r="U570" i="4" a="1"/>
  <c r="U570" i="4" s="1"/>
  <c r="V570" i="4" a="1"/>
  <c r="V570" i="4" s="1"/>
  <c r="U571" i="4" a="1"/>
  <c r="U571" i="4" s="1"/>
  <c r="V571" i="4" a="1"/>
  <c r="V571" i="4" s="1"/>
  <c r="U572" i="4" a="1"/>
  <c r="U572" i="4" s="1"/>
  <c r="V572" i="4" a="1"/>
  <c r="V572" i="4" s="1"/>
  <c r="U573" i="4" a="1"/>
  <c r="U573" i="4" s="1"/>
  <c r="V573" i="4" a="1"/>
  <c r="V573" i="4" s="1"/>
  <c r="U574" i="4" a="1"/>
  <c r="U574" i="4" s="1"/>
  <c r="V574" i="4" a="1"/>
  <c r="V574" i="4" s="1"/>
  <c r="V2" i="4" a="1"/>
  <c r="V2" i="4" s="1"/>
  <c r="A163" i="5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G2" i="12" a="1"/>
  <c r="M255" i="4" a="1"/>
  <c r="M255" i="4" s="1"/>
  <c r="M256" i="4" a="1"/>
  <c r="M256" i="4" s="1"/>
  <c r="M257" i="4" a="1"/>
  <c r="M257" i="4" s="1"/>
  <c r="M258" i="4" a="1"/>
  <c r="M258" i="4" s="1"/>
  <c r="M259" i="4" a="1"/>
  <c r="M259" i="4" s="1"/>
  <c r="M260" i="4" a="1"/>
  <c r="M260" i="4" s="1"/>
  <c r="M261" i="4" a="1"/>
  <c r="M261" i="4" s="1"/>
  <c r="M262" i="4" a="1"/>
  <c r="M262" i="4" s="1"/>
  <c r="M263" i="4" a="1"/>
  <c r="M263" i="4" s="1"/>
  <c r="M264" i="4" a="1"/>
  <c r="M264" i="4" s="1"/>
  <c r="M265" i="4" a="1"/>
  <c r="M265" i="4" s="1"/>
  <c r="M266" i="4" a="1"/>
  <c r="M266" i="4" s="1"/>
  <c r="M267" i="4" a="1"/>
  <c r="M267" i="4" s="1"/>
  <c r="M268" i="4" a="1"/>
  <c r="M268" i="4" s="1"/>
  <c r="M269" i="4" a="1"/>
  <c r="M269" i="4" s="1"/>
  <c r="M270" i="4" a="1"/>
  <c r="M270" i="4" s="1"/>
  <c r="M271" i="4" a="1"/>
  <c r="M271" i="4" s="1"/>
  <c r="M272" i="4" a="1"/>
  <c r="M272" i="4" s="1"/>
  <c r="M273" i="4" a="1"/>
  <c r="M273" i="4" s="1"/>
  <c r="M274" i="4" a="1"/>
  <c r="M274" i="4" s="1"/>
  <c r="M275" i="4" a="1"/>
  <c r="M275" i="4" s="1"/>
  <c r="M276" i="4" a="1"/>
  <c r="M276" i="4" s="1"/>
  <c r="M277" i="4" a="1"/>
  <c r="M277" i="4" s="1"/>
  <c r="M278" i="4" a="1"/>
  <c r="M278" i="4" s="1"/>
  <c r="M279" i="4" a="1"/>
  <c r="M279" i="4" s="1"/>
  <c r="M280" i="4" a="1"/>
  <c r="M280" i="4" s="1"/>
  <c r="M281" i="4" a="1"/>
  <c r="M281" i="4" s="1"/>
  <c r="M282" i="4" a="1"/>
  <c r="M282" i="4" s="1"/>
  <c r="M283" i="4" a="1"/>
  <c r="M283" i="4" s="1"/>
  <c r="M284" i="4" a="1"/>
  <c r="M284" i="4" s="1"/>
  <c r="M285" i="4" a="1"/>
  <c r="M285" i="4" s="1"/>
  <c r="M286" i="4" a="1"/>
  <c r="M286" i="4" s="1"/>
  <c r="M287" i="4" a="1"/>
  <c r="M287" i="4" s="1"/>
  <c r="M288" i="4" a="1"/>
  <c r="M288" i="4" s="1"/>
  <c r="M289" i="4" a="1"/>
  <c r="M289" i="4" s="1"/>
  <c r="M290" i="4" a="1"/>
  <c r="M290" i="4" s="1"/>
  <c r="M291" i="4" a="1"/>
  <c r="M291" i="4" s="1"/>
  <c r="M292" i="4" a="1"/>
  <c r="M292" i="4" s="1"/>
  <c r="M293" i="4" a="1"/>
  <c r="M293" i="4" s="1"/>
  <c r="M294" i="4" a="1"/>
  <c r="M294" i="4" s="1"/>
  <c r="M295" i="4" a="1"/>
  <c r="M295" i="4" s="1"/>
  <c r="M296" i="4" a="1"/>
  <c r="M296" i="4" s="1"/>
  <c r="M297" i="4" a="1"/>
  <c r="M297" i="4" s="1"/>
  <c r="M298" i="4" a="1"/>
  <c r="M298" i="4" s="1"/>
  <c r="M299" i="4" a="1"/>
  <c r="M299" i="4" s="1"/>
  <c r="M300" i="4" a="1"/>
  <c r="M300" i="4" s="1"/>
  <c r="M301" i="4" a="1"/>
  <c r="M301" i="4" s="1"/>
  <c r="M302" i="4" a="1"/>
  <c r="M302" i="4" s="1"/>
  <c r="M303" i="4" a="1"/>
  <c r="M303" i="4" s="1"/>
  <c r="M304" i="4" a="1"/>
  <c r="M304" i="4" s="1"/>
  <c r="M305" i="4" a="1"/>
  <c r="M305" i="4" s="1"/>
  <c r="M306" i="4" a="1"/>
  <c r="M306" i="4" s="1"/>
  <c r="M307" i="4" a="1"/>
  <c r="M307" i="4" s="1"/>
  <c r="M308" i="4" a="1"/>
  <c r="M308" i="4" s="1"/>
  <c r="M309" i="4" a="1"/>
  <c r="M309" i="4" s="1"/>
  <c r="M310" i="4" a="1"/>
  <c r="M310" i="4" s="1"/>
  <c r="M311" i="4" a="1"/>
  <c r="M311" i="4" s="1"/>
  <c r="M312" i="4" a="1"/>
  <c r="M312" i="4" s="1"/>
  <c r="M313" i="4" a="1"/>
  <c r="M313" i="4" s="1"/>
  <c r="M314" i="4" a="1"/>
  <c r="M314" i="4" s="1"/>
  <c r="M315" i="4" a="1"/>
  <c r="M315" i="4" s="1"/>
  <c r="M316" i="4" a="1"/>
  <c r="M316" i="4" s="1"/>
  <c r="M317" i="4" a="1"/>
  <c r="M317" i="4" s="1"/>
  <c r="M318" i="4" a="1"/>
  <c r="M318" i="4" s="1"/>
  <c r="M319" i="4" a="1"/>
  <c r="M319" i="4" s="1"/>
  <c r="M320" i="4" a="1"/>
  <c r="M320" i="4" s="1"/>
  <c r="M321" i="4" a="1"/>
  <c r="M321" i="4" s="1"/>
  <c r="M322" i="4" a="1"/>
  <c r="M322" i="4" s="1"/>
  <c r="M323" i="4" a="1"/>
  <c r="M323" i="4" s="1"/>
  <c r="M324" i="4" a="1"/>
  <c r="M324" i="4" s="1"/>
  <c r="M325" i="4" a="1"/>
  <c r="M325" i="4" s="1"/>
  <c r="M326" i="4" a="1"/>
  <c r="M326" i="4" s="1"/>
  <c r="M327" i="4" a="1"/>
  <c r="M327" i="4" s="1"/>
  <c r="M328" i="4" a="1"/>
  <c r="M328" i="4" s="1"/>
  <c r="M329" i="4" a="1"/>
  <c r="M329" i="4" s="1"/>
  <c r="M330" i="4" a="1"/>
  <c r="M330" i="4" s="1"/>
  <c r="M331" i="4" a="1"/>
  <c r="M331" i="4" s="1"/>
  <c r="M332" i="4" a="1"/>
  <c r="M332" i="4" s="1"/>
  <c r="M333" i="4" a="1"/>
  <c r="M333" i="4" s="1"/>
  <c r="M334" i="4" a="1"/>
  <c r="M334" i="4" s="1"/>
  <c r="M335" i="4" a="1"/>
  <c r="M335" i="4" s="1"/>
  <c r="M336" i="4" a="1"/>
  <c r="M336" i="4" s="1"/>
  <c r="M337" i="4" a="1"/>
  <c r="M337" i="4" s="1"/>
  <c r="M338" i="4" a="1"/>
  <c r="M338" i="4" s="1"/>
  <c r="M339" i="4" a="1"/>
  <c r="M339" i="4" s="1"/>
  <c r="M340" i="4" a="1"/>
  <c r="M340" i="4" s="1"/>
  <c r="M341" i="4" a="1"/>
  <c r="M341" i="4" s="1"/>
  <c r="M342" i="4" a="1"/>
  <c r="M342" i="4" s="1"/>
  <c r="M343" i="4" a="1"/>
  <c r="M343" i="4" s="1"/>
  <c r="M344" i="4" a="1"/>
  <c r="M344" i="4" s="1"/>
  <c r="M345" i="4" a="1"/>
  <c r="M345" i="4" s="1"/>
  <c r="M346" i="4" a="1"/>
  <c r="M346" i="4" s="1"/>
  <c r="M347" i="4" a="1"/>
  <c r="M347" i="4" s="1"/>
  <c r="M348" i="4" a="1"/>
  <c r="M348" i="4" s="1"/>
  <c r="M349" i="4" a="1"/>
  <c r="M349" i="4" s="1"/>
  <c r="M350" i="4" a="1"/>
  <c r="M350" i="4" s="1"/>
  <c r="M351" i="4" a="1"/>
  <c r="M351" i="4" s="1"/>
  <c r="M352" i="4" a="1"/>
  <c r="M352" i="4" s="1"/>
  <c r="M353" i="4" a="1"/>
  <c r="M353" i="4" s="1"/>
  <c r="M354" i="4" a="1"/>
  <c r="M354" i="4" s="1"/>
  <c r="M355" i="4" a="1"/>
  <c r="M355" i="4" s="1"/>
  <c r="M356" i="4" a="1"/>
  <c r="M356" i="4" s="1"/>
  <c r="M357" i="4" a="1"/>
  <c r="M357" i="4" s="1"/>
  <c r="M358" i="4" a="1"/>
  <c r="M358" i="4" s="1"/>
  <c r="M359" i="4" a="1"/>
  <c r="M359" i="4" s="1"/>
  <c r="M360" i="4" a="1"/>
  <c r="M360" i="4" s="1"/>
  <c r="M361" i="4" a="1"/>
  <c r="M361" i="4" s="1"/>
  <c r="M362" i="4" a="1"/>
  <c r="M362" i="4" s="1"/>
  <c r="M363" i="4" a="1"/>
  <c r="M363" i="4" s="1"/>
  <c r="M364" i="4" a="1"/>
  <c r="M364" i="4" s="1"/>
  <c r="M365" i="4" a="1"/>
  <c r="M365" i="4" s="1"/>
  <c r="M366" i="4" a="1"/>
  <c r="M366" i="4" s="1"/>
  <c r="M367" i="4" a="1"/>
  <c r="M367" i="4" s="1"/>
  <c r="M368" i="4" a="1"/>
  <c r="M368" i="4" s="1"/>
  <c r="M369" i="4" a="1"/>
  <c r="M369" i="4" s="1"/>
  <c r="M370" i="4" a="1"/>
  <c r="M370" i="4" s="1"/>
  <c r="M371" i="4" a="1"/>
  <c r="M371" i="4" s="1"/>
  <c r="M372" i="4" a="1"/>
  <c r="M372" i="4" s="1"/>
  <c r="M373" i="4" a="1"/>
  <c r="M373" i="4" s="1"/>
  <c r="M374" i="4" a="1"/>
  <c r="M374" i="4" s="1"/>
  <c r="M375" i="4" a="1"/>
  <c r="M375" i="4" s="1"/>
  <c r="M376" i="4" a="1"/>
  <c r="M376" i="4" s="1"/>
  <c r="M377" i="4" a="1"/>
  <c r="M377" i="4" s="1"/>
  <c r="M378" i="4" a="1"/>
  <c r="M378" i="4" s="1"/>
  <c r="M379" i="4" a="1"/>
  <c r="M379" i="4" s="1"/>
  <c r="M380" i="4" a="1"/>
  <c r="M380" i="4" s="1"/>
  <c r="M381" i="4" a="1"/>
  <c r="M381" i="4" s="1"/>
  <c r="M382" i="4" a="1"/>
  <c r="M382" i="4" s="1"/>
  <c r="M383" i="4" a="1"/>
  <c r="M383" i="4" s="1"/>
  <c r="M384" i="4" a="1"/>
  <c r="M384" i="4" s="1"/>
  <c r="M385" i="4" a="1"/>
  <c r="M385" i="4" s="1"/>
  <c r="M386" i="4" a="1"/>
  <c r="M386" i="4" s="1"/>
  <c r="M387" i="4" a="1"/>
  <c r="M387" i="4" s="1"/>
  <c r="M388" i="4" a="1"/>
  <c r="M388" i="4" s="1"/>
  <c r="M389" i="4" a="1"/>
  <c r="M389" i="4" s="1"/>
  <c r="M390" i="4" a="1"/>
  <c r="M390" i="4" s="1"/>
  <c r="M391" i="4" a="1"/>
  <c r="M391" i="4" s="1"/>
  <c r="M392" i="4" a="1"/>
  <c r="M392" i="4" s="1"/>
  <c r="M393" i="4" a="1"/>
  <c r="M393" i="4" s="1"/>
  <c r="M394" i="4" a="1"/>
  <c r="M394" i="4" s="1"/>
  <c r="M395" i="4" a="1"/>
  <c r="M395" i="4" s="1"/>
  <c r="M396" i="4" a="1"/>
  <c r="M396" i="4" s="1"/>
  <c r="M397" i="4" a="1"/>
  <c r="M397" i="4" s="1"/>
  <c r="M398" i="4" a="1"/>
  <c r="M398" i="4" s="1"/>
  <c r="M399" i="4" a="1"/>
  <c r="M399" i="4" s="1"/>
  <c r="M400" i="4" a="1"/>
  <c r="M400" i="4" s="1"/>
  <c r="M401" i="4" a="1"/>
  <c r="M401" i="4" s="1"/>
  <c r="M402" i="4" a="1"/>
  <c r="M402" i="4" s="1"/>
  <c r="M403" i="4" a="1"/>
  <c r="M403" i="4" s="1"/>
  <c r="M404" i="4" a="1"/>
  <c r="M404" i="4" s="1"/>
  <c r="M405" i="4" a="1"/>
  <c r="M405" i="4" s="1"/>
  <c r="M406" i="4" a="1"/>
  <c r="M406" i="4" s="1"/>
  <c r="M407" i="4" a="1"/>
  <c r="M407" i="4" s="1"/>
  <c r="M408" i="4" a="1"/>
  <c r="M408" i="4" s="1"/>
  <c r="M409" i="4" a="1"/>
  <c r="M409" i="4" s="1"/>
  <c r="M410" i="4" a="1"/>
  <c r="M410" i="4" s="1"/>
  <c r="M411" i="4" a="1"/>
  <c r="M411" i="4" s="1"/>
  <c r="M412" i="4" a="1"/>
  <c r="M412" i="4" s="1"/>
  <c r="M413" i="4" a="1"/>
  <c r="M413" i="4" s="1"/>
  <c r="M414" i="4" a="1"/>
  <c r="M414" i="4" s="1"/>
  <c r="M415" i="4" a="1"/>
  <c r="M415" i="4" s="1"/>
  <c r="M416" i="4" a="1"/>
  <c r="M416" i="4" s="1"/>
  <c r="M417" i="4" a="1"/>
  <c r="M417" i="4" s="1"/>
  <c r="M418" i="4" a="1"/>
  <c r="M418" i="4" s="1"/>
  <c r="M419" i="4" a="1"/>
  <c r="M419" i="4" s="1"/>
  <c r="M420" i="4" a="1"/>
  <c r="M420" i="4" s="1"/>
  <c r="M421" i="4" a="1"/>
  <c r="M421" i="4" s="1"/>
  <c r="M422" i="4" a="1"/>
  <c r="M422" i="4" s="1"/>
  <c r="M423" i="4" a="1"/>
  <c r="M423" i="4" s="1"/>
  <c r="M424" i="4" a="1"/>
  <c r="M424" i="4" s="1"/>
  <c r="M425" i="4" a="1"/>
  <c r="M425" i="4" s="1"/>
  <c r="M426" i="4" a="1"/>
  <c r="M426" i="4" s="1"/>
  <c r="M427" i="4" a="1"/>
  <c r="M427" i="4" s="1"/>
  <c r="M428" i="4" a="1"/>
  <c r="M428" i="4" s="1"/>
  <c r="M429" i="4" a="1"/>
  <c r="M429" i="4" s="1"/>
  <c r="M430" i="4" a="1"/>
  <c r="M430" i="4" s="1"/>
  <c r="M431" i="4" a="1"/>
  <c r="M431" i="4" s="1"/>
  <c r="M432" i="4" a="1"/>
  <c r="M432" i="4" s="1"/>
  <c r="M433" i="4" a="1"/>
  <c r="M433" i="4" s="1"/>
  <c r="M434" i="4" a="1"/>
  <c r="M434" i="4" s="1"/>
  <c r="M435" i="4" a="1"/>
  <c r="M435" i="4" s="1"/>
  <c r="M436" i="4" a="1"/>
  <c r="M436" i="4" s="1"/>
  <c r="M437" i="4" a="1"/>
  <c r="M437" i="4" s="1"/>
  <c r="M438" i="4" a="1"/>
  <c r="M438" i="4" s="1"/>
  <c r="M439" i="4" a="1"/>
  <c r="M439" i="4" s="1"/>
  <c r="M440" i="4" a="1"/>
  <c r="M440" i="4" s="1"/>
  <c r="M441" i="4" a="1"/>
  <c r="M441" i="4" s="1"/>
  <c r="M442" i="4" a="1"/>
  <c r="M442" i="4" s="1"/>
  <c r="M443" i="4" a="1"/>
  <c r="M443" i="4" s="1"/>
  <c r="M444" i="4" a="1"/>
  <c r="M444" i="4" s="1"/>
  <c r="M445" i="4" a="1"/>
  <c r="M445" i="4" s="1"/>
  <c r="M446" i="4" a="1"/>
  <c r="M446" i="4" s="1"/>
  <c r="M447" i="4" a="1"/>
  <c r="M447" i="4" s="1"/>
  <c r="M448" i="4" a="1"/>
  <c r="M448" i="4" s="1"/>
  <c r="M449" i="4" a="1"/>
  <c r="M449" i="4" s="1"/>
  <c r="M450" i="4" a="1"/>
  <c r="M450" i="4" s="1"/>
  <c r="M451" i="4" a="1"/>
  <c r="M451" i="4" s="1"/>
  <c r="M452" i="4" a="1"/>
  <c r="M452" i="4" s="1"/>
  <c r="M453" i="4" a="1"/>
  <c r="M453" i="4" s="1"/>
  <c r="M454" i="4" a="1"/>
  <c r="M454" i="4" s="1"/>
  <c r="M455" i="4" a="1"/>
  <c r="M455" i="4" s="1"/>
  <c r="M456" i="4" a="1"/>
  <c r="M456" i="4" s="1"/>
  <c r="M457" i="4" a="1"/>
  <c r="M457" i="4" s="1"/>
  <c r="M458" i="4" a="1"/>
  <c r="M458" i="4" s="1"/>
  <c r="M459" i="4" a="1"/>
  <c r="M459" i="4" s="1"/>
  <c r="M460" i="4" a="1"/>
  <c r="M460" i="4" s="1"/>
  <c r="M461" i="4" a="1"/>
  <c r="M461" i="4" s="1"/>
  <c r="M462" i="4" a="1"/>
  <c r="M462" i="4" s="1"/>
  <c r="M463" i="4" a="1"/>
  <c r="M463" i="4" s="1"/>
  <c r="M464" i="4" a="1"/>
  <c r="M464" i="4" s="1"/>
  <c r="M465" i="4" a="1"/>
  <c r="M465" i="4" s="1"/>
  <c r="M466" i="4" a="1"/>
  <c r="M466" i="4" s="1"/>
  <c r="M467" i="4" a="1"/>
  <c r="M467" i="4" s="1"/>
  <c r="M468" i="4" a="1"/>
  <c r="M468" i="4" s="1"/>
  <c r="M469" i="4" a="1"/>
  <c r="M469" i="4" s="1"/>
  <c r="M470" i="4" a="1"/>
  <c r="M470" i="4" s="1"/>
  <c r="M471" i="4" a="1"/>
  <c r="M471" i="4" s="1"/>
  <c r="M472" i="4" a="1"/>
  <c r="M472" i="4" s="1"/>
  <c r="M473" i="4" a="1"/>
  <c r="M473" i="4" s="1"/>
  <c r="M474" i="4" a="1"/>
  <c r="M474" i="4" s="1"/>
  <c r="M475" i="4" a="1"/>
  <c r="M475" i="4" s="1"/>
  <c r="M476" i="4" a="1"/>
  <c r="M476" i="4" s="1"/>
  <c r="M477" i="4" a="1"/>
  <c r="M477" i="4" s="1"/>
  <c r="M478" i="4" a="1"/>
  <c r="M478" i="4" s="1"/>
  <c r="M479" i="4" a="1"/>
  <c r="M479" i="4" s="1"/>
  <c r="M480" i="4" a="1"/>
  <c r="M480" i="4" s="1"/>
  <c r="M481" i="4" a="1"/>
  <c r="M481" i="4" s="1"/>
  <c r="M482" i="4" a="1"/>
  <c r="M482" i="4" s="1"/>
  <c r="M483" i="4" a="1"/>
  <c r="M483" i="4" s="1"/>
  <c r="M484" i="4" a="1"/>
  <c r="M484" i="4" s="1"/>
  <c r="M485" i="4" a="1"/>
  <c r="M485" i="4" s="1"/>
  <c r="M486" i="4" a="1"/>
  <c r="M486" i="4" s="1"/>
  <c r="M487" i="4" a="1"/>
  <c r="M487" i="4" s="1"/>
  <c r="M488" i="4" a="1"/>
  <c r="M488" i="4" s="1"/>
  <c r="M489" i="4" a="1"/>
  <c r="M489" i="4" s="1"/>
  <c r="M490" i="4" a="1"/>
  <c r="M490" i="4" s="1"/>
  <c r="M491" i="4" a="1"/>
  <c r="M491" i="4" s="1"/>
  <c r="M492" i="4" a="1"/>
  <c r="M492" i="4" s="1"/>
  <c r="M493" i="4" a="1"/>
  <c r="M493" i="4" s="1"/>
  <c r="M494" i="4" a="1"/>
  <c r="M494" i="4" s="1"/>
  <c r="M495" i="4" a="1"/>
  <c r="M495" i="4" s="1"/>
  <c r="M496" i="4" a="1"/>
  <c r="M496" i="4" s="1"/>
  <c r="M497" i="4" a="1"/>
  <c r="M497" i="4" s="1"/>
  <c r="M498" i="4" a="1"/>
  <c r="M498" i="4" s="1"/>
  <c r="M499" i="4" a="1"/>
  <c r="M499" i="4" s="1"/>
  <c r="M500" i="4" a="1"/>
  <c r="M500" i="4" s="1"/>
  <c r="M501" i="4" a="1"/>
  <c r="M501" i="4" s="1"/>
  <c r="M502" i="4" a="1"/>
  <c r="M502" i="4" s="1"/>
  <c r="M503" i="4" a="1"/>
  <c r="M503" i="4" s="1"/>
  <c r="M504" i="4" a="1"/>
  <c r="M504" i="4" s="1"/>
  <c r="M505" i="4" a="1"/>
  <c r="M505" i="4" s="1"/>
  <c r="M506" i="4" a="1"/>
  <c r="M506" i="4" s="1"/>
  <c r="M507" i="4" a="1"/>
  <c r="M507" i="4" s="1"/>
  <c r="M508" i="4" a="1"/>
  <c r="M508" i="4" s="1"/>
  <c r="M509" i="4" a="1"/>
  <c r="M509" i="4" s="1"/>
  <c r="M510" i="4" a="1"/>
  <c r="M510" i="4" s="1"/>
  <c r="M511" i="4" a="1"/>
  <c r="M511" i="4" s="1"/>
  <c r="M512" i="4" a="1"/>
  <c r="M512" i="4" s="1"/>
  <c r="M513" i="4" a="1"/>
  <c r="M513" i="4" s="1"/>
  <c r="M514" i="4" a="1"/>
  <c r="M514" i="4" s="1"/>
  <c r="M515" i="4" a="1"/>
  <c r="M515" i="4" s="1"/>
  <c r="M516" i="4" a="1"/>
  <c r="M516" i="4" s="1"/>
  <c r="M517" i="4" a="1"/>
  <c r="M517" i="4" s="1"/>
  <c r="M518" i="4" a="1"/>
  <c r="M518" i="4" s="1"/>
  <c r="M519" i="4" a="1"/>
  <c r="M519" i="4" s="1"/>
  <c r="M520" i="4" a="1"/>
  <c r="M520" i="4" s="1"/>
  <c r="M521" i="4" a="1"/>
  <c r="M521" i="4" s="1"/>
  <c r="M522" i="4" a="1"/>
  <c r="M522" i="4" s="1"/>
  <c r="M523" i="4" a="1"/>
  <c r="M523" i="4" s="1"/>
  <c r="M524" i="4" a="1"/>
  <c r="M524" i="4" s="1"/>
  <c r="M525" i="4" a="1"/>
  <c r="M525" i="4" s="1"/>
  <c r="M526" i="4" a="1"/>
  <c r="M526" i="4" s="1"/>
  <c r="M527" i="4" a="1"/>
  <c r="M527" i="4" s="1"/>
  <c r="M528" i="4" a="1"/>
  <c r="M528" i="4" s="1"/>
  <c r="M529" i="4" a="1"/>
  <c r="M529" i="4" s="1"/>
  <c r="M530" i="4" a="1"/>
  <c r="M530" i="4" s="1"/>
  <c r="M531" i="4" a="1"/>
  <c r="M531" i="4" s="1"/>
  <c r="M532" i="4" a="1"/>
  <c r="M532" i="4" s="1"/>
  <c r="M533" i="4" a="1"/>
  <c r="M533" i="4" s="1"/>
  <c r="M534" i="4" a="1"/>
  <c r="M534" i="4" s="1"/>
  <c r="M535" i="4" a="1"/>
  <c r="M535" i="4" s="1"/>
  <c r="M536" i="4" a="1"/>
  <c r="M536" i="4" s="1"/>
  <c r="M537" i="4" a="1"/>
  <c r="M537" i="4" s="1"/>
  <c r="M538" i="4" a="1"/>
  <c r="M538" i="4" s="1"/>
  <c r="M539" i="4" a="1"/>
  <c r="M539" i="4" s="1"/>
  <c r="M540" i="4" a="1"/>
  <c r="M540" i="4" s="1"/>
  <c r="M541" i="4" a="1"/>
  <c r="M541" i="4" s="1"/>
  <c r="M542" i="4" a="1"/>
  <c r="M542" i="4" s="1"/>
  <c r="M543" i="4" a="1"/>
  <c r="M543" i="4" s="1"/>
  <c r="M544" i="4" a="1"/>
  <c r="M544" i="4" s="1"/>
  <c r="M545" i="4" a="1"/>
  <c r="M545" i="4" s="1"/>
  <c r="M546" i="4" a="1"/>
  <c r="M546" i="4" s="1"/>
  <c r="M547" i="4" a="1"/>
  <c r="M547" i="4" s="1"/>
  <c r="M548" i="4" a="1"/>
  <c r="M548" i="4" s="1"/>
  <c r="M549" i="4" a="1"/>
  <c r="M549" i="4" s="1"/>
  <c r="M550" i="4" a="1"/>
  <c r="M550" i="4" s="1"/>
  <c r="M551" i="4" a="1"/>
  <c r="M551" i="4" s="1"/>
  <c r="M552" i="4" a="1"/>
  <c r="M552" i="4" s="1"/>
  <c r="M553" i="4" a="1"/>
  <c r="M553" i="4" s="1"/>
  <c r="M554" i="4" a="1"/>
  <c r="M554" i="4" s="1"/>
  <c r="M555" i="4" a="1"/>
  <c r="M555" i="4" s="1"/>
  <c r="M556" i="4" a="1"/>
  <c r="M556" i="4" s="1"/>
  <c r="M557" i="4" a="1"/>
  <c r="M557" i="4" s="1"/>
  <c r="N557" i="4" s="1"/>
  <c r="M558" i="4" a="1"/>
  <c r="M558" i="4" s="1"/>
  <c r="N558" i="4" s="1"/>
  <c r="M559" i="4" a="1"/>
  <c r="M559" i="4" s="1"/>
  <c r="N559" i="4" s="1"/>
  <c r="M560" i="4" a="1"/>
  <c r="M560" i="4" s="1"/>
  <c r="N560" i="4" s="1"/>
  <c r="M561" i="4" a="1"/>
  <c r="M561" i="4" s="1"/>
  <c r="N561" i="4" s="1"/>
  <c r="M562" i="4" a="1"/>
  <c r="M562" i="4" s="1"/>
  <c r="N562" i="4" s="1"/>
  <c r="M563" i="4" a="1"/>
  <c r="M563" i="4" s="1"/>
  <c r="N563" i="4" s="1"/>
  <c r="M564" i="4" a="1"/>
  <c r="M564" i="4" s="1"/>
  <c r="N564" i="4" s="1"/>
  <c r="M565" i="4" a="1"/>
  <c r="M565" i="4" s="1"/>
  <c r="N565" i="4" s="1"/>
  <c r="M566" i="4" a="1"/>
  <c r="M566" i="4" s="1"/>
  <c r="N566" i="4" s="1"/>
  <c r="M567" i="4" a="1"/>
  <c r="M567" i="4" s="1"/>
  <c r="N567" i="4" s="1"/>
  <c r="M568" i="4" a="1"/>
  <c r="M568" i="4" s="1"/>
  <c r="N568" i="4" s="1"/>
  <c r="R152" i="4"/>
  <c r="S152" i="4" s="1" a="1"/>
  <c r="S152" i="4" s="1"/>
  <c r="U152" i="4" s="1" a="1"/>
  <c r="U152" i="4" s="1"/>
  <c r="R153" i="4"/>
  <c r="S153" i="4" s="1" a="1"/>
  <c r="S153" i="4" s="1"/>
  <c r="U153" i="4" s="1" a="1"/>
  <c r="U153" i="4" s="1"/>
  <c r="R154" i="4"/>
  <c r="S154" i="4" s="1" a="1"/>
  <c r="S154" i="4" s="1"/>
  <c r="U154" i="4" s="1" a="1"/>
  <c r="U154" i="4" s="1"/>
  <c r="R155" i="4"/>
  <c r="S155" i="4" s="1" a="1"/>
  <c r="S155" i="4" s="1"/>
  <c r="U155" i="4" s="1" a="1"/>
  <c r="U155" i="4" s="1"/>
  <c r="R156" i="4"/>
  <c r="S156" i="4" s="1" a="1"/>
  <c r="S156" i="4" s="1"/>
  <c r="U156" i="4" s="1" a="1"/>
  <c r="U156" i="4" s="1"/>
  <c r="R157" i="4"/>
  <c r="S157" i="4" s="1" a="1"/>
  <c r="S157" i="4" s="1"/>
  <c r="U157" i="4" s="1" a="1"/>
  <c r="U157" i="4" s="1"/>
  <c r="R158" i="4"/>
  <c r="S158" i="4" s="1" a="1"/>
  <c r="S158" i="4" s="1"/>
  <c r="U158" i="4" s="1" a="1"/>
  <c r="U158" i="4" s="1"/>
  <c r="R159" i="4"/>
  <c r="S159" i="4" s="1" a="1"/>
  <c r="S159" i="4" s="1"/>
  <c r="U159" i="4" s="1" a="1"/>
  <c r="U159" i="4" s="1"/>
  <c r="R160" i="4"/>
  <c r="S160" i="4" s="1" a="1"/>
  <c r="S160" i="4" s="1"/>
  <c r="U160" i="4" s="1" a="1"/>
  <c r="U160" i="4" s="1"/>
  <c r="R161" i="4"/>
  <c r="S161" i="4" s="1" a="1"/>
  <c r="S161" i="4" s="1"/>
  <c r="U161" i="4" s="1" a="1"/>
  <c r="U161" i="4" s="1"/>
  <c r="R162" i="4"/>
  <c r="S162" i="4" s="1" a="1"/>
  <c r="S162" i="4" s="1"/>
  <c r="U162" i="4" s="1" a="1"/>
  <c r="U162" i="4" s="1"/>
  <c r="R163" i="4"/>
  <c r="S163" i="4" s="1" a="1"/>
  <c r="S163" i="4" s="1"/>
  <c r="U163" i="4" s="1" a="1"/>
  <c r="U163" i="4" s="1"/>
  <c r="R164" i="4"/>
  <c r="S164" i="4" s="1" a="1"/>
  <c r="S164" i="4" s="1"/>
  <c r="U164" i="4" s="1" a="1"/>
  <c r="U164" i="4" s="1"/>
  <c r="R165" i="4"/>
  <c r="S165" i="4" s="1" a="1"/>
  <c r="S165" i="4" s="1"/>
  <c r="U165" i="4" s="1" a="1"/>
  <c r="U165" i="4" s="1"/>
  <c r="R166" i="4"/>
  <c r="S166" i="4" s="1" a="1"/>
  <c r="S166" i="4" s="1"/>
  <c r="U166" i="4" s="1" a="1"/>
  <c r="U166" i="4" s="1"/>
  <c r="R167" i="4"/>
  <c r="S167" i="4" s="1" a="1"/>
  <c r="S167" i="4" s="1"/>
  <c r="U167" i="4" s="1" a="1"/>
  <c r="U167" i="4" s="1"/>
  <c r="R168" i="4"/>
  <c r="S168" i="4" s="1" a="1"/>
  <c r="S168" i="4" s="1"/>
  <c r="U168" i="4" s="1" a="1"/>
  <c r="U168" i="4" s="1"/>
  <c r="R169" i="4"/>
  <c r="S169" i="4" s="1" a="1"/>
  <c r="S169" i="4" s="1"/>
  <c r="U169" i="4" s="1" a="1"/>
  <c r="U169" i="4" s="1"/>
  <c r="R170" i="4"/>
  <c r="S170" i="4" s="1" a="1"/>
  <c r="S170" i="4" s="1"/>
  <c r="U170" i="4" s="1" a="1"/>
  <c r="U170" i="4" s="1"/>
  <c r="R171" i="4"/>
  <c r="S171" i="4" s="1" a="1"/>
  <c r="S171" i="4" s="1"/>
  <c r="U171" i="4" s="1" a="1"/>
  <c r="U171" i="4" s="1"/>
  <c r="R172" i="4"/>
  <c r="S172" i="4" s="1" a="1"/>
  <c r="S172" i="4" s="1"/>
  <c r="U172" i="4" s="1" a="1"/>
  <c r="U172" i="4" s="1"/>
  <c r="R173" i="4"/>
  <c r="S173" i="4" s="1" a="1"/>
  <c r="S173" i="4" s="1"/>
  <c r="U173" i="4" s="1" a="1"/>
  <c r="U173" i="4" s="1"/>
  <c r="R174" i="4"/>
  <c r="S174" i="4" s="1" a="1"/>
  <c r="S174" i="4" s="1"/>
  <c r="U174" i="4" s="1" a="1"/>
  <c r="U174" i="4" s="1"/>
  <c r="R175" i="4"/>
  <c r="S175" i="4" s="1" a="1"/>
  <c r="S175" i="4" s="1"/>
  <c r="U175" i="4" s="1" a="1"/>
  <c r="U175" i="4" s="1"/>
  <c r="R176" i="4"/>
  <c r="S176" i="4" s="1" a="1"/>
  <c r="S176" i="4" s="1"/>
  <c r="U176" i="4" s="1" a="1"/>
  <c r="U176" i="4" s="1"/>
  <c r="R177" i="4"/>
  <c r="S177" i="4" s="1" a="1"/>
  <c r="S177" i="4" s="1"/>
  <c r="U177" i="4" s="1" a="1"/>
  <c r="U177" i="4" s="1"/>
  <c r="R178" i="4"/>
  <c r="S178" i="4" s="1" a="1"/>
  <c r="S178" i="4" s="1"/>
  <c r="U178" i="4" s="1" a="1"/>
  <c r="U178" i="4" s="1"/>
  <c r="R179" i="4"/>
  <c r="S179" i="4" s="1" a="1"/>
  <c r="S179" i="4" s="1"/>
  <c r="U179" i="4" s="1" a="1"/>
  <c r="U179" i="4" s="1"/>
  <c r="R180" i="4"/>
  <c r="S180" i="4" s="1" a="1"/>
  <c r="S180" i="4" s="1"/>
  <c r="U180" i="4" s="1" a="1"/>
  <c r="U180" i="4" s="1"/>
  <c r="R181" i="4"/>
  <c r="S181" i="4" s="1" a="1"/>
  <c r="S181" i="4" s="1"/>
  <c r="U181" i="4" s="1" a="1"/>
  <c r="U181" i="4" s="1"/>
  <c r="R182" i="4"/>
  <c r="S182" i="4" s="1" a="1"/>
  <c r="S182" i="4" s="1"/>
  <c r="U182" i="4" s="1" a="1"/>
  <c r="U182" i="4" s="1"/>
  <c r="R183" i="4"/>
  <c r="S183" i="4" s="1" a="1"/>
  <c r="S183" i="4" s="1"/>
  <c r="U183" i="4" s="1" a="1"/>
  <c r="U183" i="4" s="1"/>
  <c r="R184" i="4"/>
  <c r="S184" i="4" s="1" a="1"/>
  <c r="S184" i="4" s="1"/>
  <c r="U184" i="4" s="1" a="1"/>
  <c r="U184" i="4" s="1"/>
  <c r="R185" i="4"/>
  <c r="S185" i="4" s="1" a="1"/>
  <c r="S185" i="4" s="1"/>
  <c r="U185" i="4" s="1" a="1"/>
  <c r="U185" i="4" s="1"/>
  <c r="R186" i="4"/>
  <c r="S186" i="4" s="1" a="1"/>
  <c r="S186" i="4" s="1"/>
  <c r="U186" i="4" s="1" a="1"/>
  <c r="U186" i="4" s="1"/>
  <c r="R187" i="4"/>
  <c r="S187" i="4" s="1" a="1"/>
  <c r="S187" i="4" s="1"/>
  <c r="U187" i="4" s="1" a="1"/>
  <c r="U187" i="4" s="1"/>
  <c r="R188" i="4"/>
  <c r="S188" i="4" s="1" a="1"/>
  <c r="S188" i="4" s="1"/>
  <c r="U188" i="4" s="1" a="1"/>
  <c r="U188" i="4" s="1"/>
  <c r="R189" i="4"/>
  <c r="S189" i="4" s="1" a="1"/>
  <c r="S189" i="4" s="1"/>
  <c r="U189" i="4" s="1" a="1"/>
  <c r="U189" i="4" s="1"/>
  <c r="R190" i="4"/>
  <c r="S190" i="4" s="1" a="1"/>
  <c r="S190" i="4" s="1"/>
  <c r="U190" i="4" s="1" a="1"/>
  <c r="U190" i="4" s="1"/>
  <c r="R191" i="4"/>
  <c r="S191" i="4" s="1" a="1"/>
  <c r="S191" i="4" s="1"/>
  <c r="U191" i="4" s="1" a="1"/>
  <c r="U191" i="4" s="1"/>
  <c r="R192" i="4"/>
  <c r="S192" i="4" s="1" a="1"/>
  <c r="S192" i="4" s="1"/>
  <c r="U192" i="4" s="1" a="1"/>
  <c r="U192" i="4" s="1"/>
  <c r="R193" i="4"/>
  <c r="S193" i="4" s="1" a="1"/>
  <c r="S193" i="4" s="1"/>
  <c r="U193" i="4" s="1" a="1"/>
  <c r="U193" i="4" s="1"/>
  <c r="R194" i="4"/>
  <c r="S194" i="4" s="1" a="1"/>
  <c r="S194" i="4" s="1"/>
  <c r="U194" i="4" s="1" a="1"/>
  <c r="U194" i="4" s="1"/>
  <c r="R195" i="4"/>
  <c r="S195" i="4" s="1" a="1"/>
  <c r="S195" i="4" s="1"/>
  <c r="U195" i="4" s="1" a="1"/>
  <c r="U195" i="4" s="1"/>
  <c r="R196" i="4"/>
  <c r="S196" i="4" s="1" a="1"/>
  <c r="S196" i="4" s="1"/>
  <c r="U196" i="4" s="1" a="1"/>
  <c r="U196" i="4" s="1"/>
  <c r="R197" i="4"/>
  <c r="S197" i="4" s="1" a="1"/>
  <c r="S197" i="4" s="1"/>
  <c r="U197" i="4" s="1" a="1"/>
  <c r="U197" i="4" s="1"/>
  <c r="R198" i="4"/>
  <c r="S198" i="4" s="1" a="1"/>
  <c r="S198" i="4" s="1"/>
  <c r="U198" i="4" s="1" a="1"/>
  <c r="U198" i="4" s="1"/>
  <c r="R199" i="4"/>
  <c r="S199" i="4" s="1" a="1"/>
  <c r="S199" i="4" s="1"/>
  <c r="U199" i="4" s="1" a="1"/>
  <c r="U199" i="4" s="1"/>
  <c r="R200" i="4"/>
  <c r="S200" i="4" s="1" a="1"/>
  <c r="S200" i="4" s="1"/>
  <c r="U200" i="4" s="1" a="1"/>
  <c r="U200" i="4" s="1"/>
  <c r="R201" i="4"/>
  <c r="S201" i="4" s="1" a="1"/>
  <c r="S201" i="4" s="1"/>
  <c r="U201" i="4" s="1" a="1"/>
  <c r="U201" i="4" s="1"/>
  <c r="R202" i="4"/>
  <c r="S202" i="4" s="1" a="1"/>
  <c r="S202" i="4" s="1"/>
  <c r="U202" i="4" s="1" a="1"/>
  <c r="U202" i="4" s="1"/>
  <c r="R203" i="4"/>
  <c r="S203" i="4" s="1" a="1"/>
  <c r="S203" i="4" s="1"/>
  <c r="U203" i="4" s="1" a="1"/>
  <c r="U203" i="4" s="1"/>
  <c r="R204" i="4"/>
  <c r="S204" i="4" s="1" a="1"/>
  <c r="S204" i="4" s="1"/>
  <c r="U204" i="4" s="1" a="1"/>
  <c r="U204" i="4" s="1"/>
  <c r="R205" i="4"/>
  <c r="S205" i="4" s="1" a="1"/>
  <c r="S205" i="4" s="1"/>
  <c r="U205" i="4" s="1" a="1"/>
  <c r="U205" i="4" s="1"/>
  <c r="R206" i="4"/>
  <c r="S206" i="4" s="1" a="1"/>
  <c r="S206" i="4" s="1"/>
  <c r="U206" i="4" s="1" a="1"/>
  <c r="U206" i="4" s="1"/>
  <c r="R207" i="4"/>
  <c r="S207" i="4" s="1" a="1"/>
  <c r="S207" i="4" s="1"/>
  <c r="U207" i="4" s="1" a="1"/>
  <c r="U207" i="4" s="1"/>
  <c r="R208" i="4"/>
  <c r="S208" i="4" s="1" a="1"/>
  <c r="S208" i="4" s="1"/>
  <c r="U208" i="4" s="1" a="1"/>
  <c r="U208" i="4" s="1"/>
  <c r="R209" i="4"/>
  <c r="S209" i="4" s="1" a="1"/>
  <c r="S209" i="4" s="1"/>
  <c r="U209" i="4" s="1" a="1"/>
  <c r="U209" i="4" s="1"/>
  <c r="R210" i="4"/>
  <c r="S210" i="4" s="1" a="1"/>
  <c r="S210" i="4" s="1"/>
  <c r="U210" i="4" s="1" a="1"/>
  <c r="U210" i="4" s="1"/>
  <c r="R211" i="4"/>
  <c r="S211" i="4" s="1" a="1"/>
  <c r="S211" i="4" s="1"/>
  <c r="U211" i="4" s="1" a="1"/>
  <c r="U211" i="4" s="1"/>
  <c r="R212" i="4"/>
  <c r="S212" i="4" s="1" a="1"/>
  <c r="S212" i="4" s="1"/>
  <c r="U212" i="4" s="1" a="1"/>
  <c r="U212" i="4" s="1"/>
  <c r="R213" i="4"/>
  <c r="S213" i="4" s="1" a="1"/>
  <c r="S213" i="4" s="1"/>
  <c r="U213" i="4" s="1" a="1"/>
  <c r="U213" i="4" s="1"/>
  <c r="R214" i="4"/>
  <c r="S214" i="4" s="1" a="1"/>
  <c r="S214" i="4" s="1"/>
  <c r="U214" i="4" s="1" a="1"/>
  <c r="U214" i="4" s="1"/>
  <c r="R215" i="4"/>
  <c r="S215" i="4" s="1" a="1"/>
  <c r="S215" i="4" s="1"/>
  <c r="U215" i="4" s="1" a="1"/>
  <c r="U215" i="4" s="1"/>
  <c r="R216" i="4"/>
  <c r="S216" i="4" s="1" a="1"/>
  <c r="S216" i="4" s="1"/>
  <c r="U216" i="4" s="1" a="1"/>
  <c r="U216" i="4" s="1"/>
  <c r="R217" i="4"/>
  <c r="S217" i="4" s="1" a="1"/>
  <c r="S217" i="4" s="1"/>
  <c r="U217" i="4" s="1" a="1"/>
  <c r="U217" i="4" s="1"/>
  <c r="R218" i="4"/>
  <c r="S218" i="4" s="1" a="1"/>
  <c r="S218" i="4" s="1"/>
  <c r="U218" i="4" s="1" a="1"/>
  <c r="U218" i="4" s="1"/>
  <c r="R219" i="4"/>
  <c r="S219" i="4" s="1" a="1"/>
  <c r="S219" i="4" s="1"/>
  <c r="U219" i="4" s="1" a="1"/>
  <c r="U219" i="4" s="1"/>
  <c r="R220" i="4"/>
  <c r="S220" i="4" s="1" a="1"/>
  <c r="S220" i="4" s="1"/>
  <c r="U220" i="4" s="1" a="1"/>
  <c r="U220" i="4" s="1"/>
  <c r="R221" i="4"/>
  <c r="S221" i="4" s="1" a="1"/>
  <c r="S221" i="4" s="1"/>
  <c r="U221" i="4" s="1" a="1"/>
  <c r="U221" i="4" s="1"/>
  <c r="R222" i="4"/>
  <c r="S222" i="4" s="1" a="1"/>
  <c r="S222" i="4" s="1"/>
  <c r="U222" i="4" s="1" a="1"/>
  <c r="U222" i="4" s="1"/>
  <c r="R223" i="4"/>
  <c r="S223" i="4" s="1" a="1"/>
  <c r="S223" i="4" s="1"/>
  <c r="U223" i="4" s="1" a="1"/>
  <c r="U223" i="4" s="1"/>
  <c r="R224" i="4"/>
  <c r="S224" i="4" s="1" a="1"/>
  <c r="S224" i="4" s="1"/>
  <c r="U224" i="4" s="1" a="1"/>
  <c r="U224" i="4" s="1"/>
  <c r="R225" i="4"/>
  <c r="S225" i="4" s="1" a="1"/>
  <c r="S225" i="4" s="1"/>
  <c r="U225" i="4" s="1" a="1"/>
  <c r="U225" i="4" s="1"/>
  <c r="R226" i="4"/>
  <c r="S226" i="4" s="1" a="1"/>
  <c r="S226" i="4" s="1"/>
  <c r="U226" i="4" s="1" a="1"/>
  <c r="U226" i="4" s="1"/>
  <c r="R227" i="4"/>
  <c r="S227" i="4" s="1" a="1"/>
  <c r="S227" i="4" s="1"/>
  <c r="U227" i="4" s="1" a="1"/>
  <c r="U227" i="4" s="1"/>
  <c r="R228" i="4"/>
  <c r="S228" i="4" s="1" a="1"/>
  <c r="S228" i="4" s="1"/>
  <c r="U228" i="4" s="1" a="1"/>
  <c r="U228" i="4" s="1"/>
  <c r="R229" i="4"/>
  <c r="S229" i="4" s="1" a="1"/>
  <c r="S229" i="4" s="1"/>
  <c r="U229" i="4" s="1" a="1"/>
  <c r="U229" i="4" s="1"/>
  <c r="R230" i="4"/>
  <c r="S230" i="4" s="1" a="1"/>
  <c r="S230" i="4" s="1"/>
  <c r="U230" i="4" s="1" a="1"/>
  <c r="U230" i="4" s="1"/>
  <c r="R231" i="4"/>
  <c r="S231" i="4" s="1" a="1"/>
  <c r="S231" i="4" s="1"/>
  <c r="U231" i="4" s="1" a="1"/>
  <c r="U231" i="4" s="1"/>
  <c r="R232" i="4"/>
  <c r="S232" i="4" s="1" a="1"/>
  <c r="S232" i="4" s="1"/>
  <c r="U232" i="4" s="1" a="1"/>
  <c r="U232" i="4" s="1"/>
  <c r="R233" i="4"/>
  <c r="S233" i="4" s="1" a="1"/>
  <c r="S233" i="4" s="1"/>
  <c r="U233" i="4" s="1" a="1"/>
  <c r="U233" i="4" s="1"/>
  <c r="R234" i="4"/>
  <c r="S234" i="4" s="1" a="1"/>
  <c r="S234" i="4" s="1"/>
  <c r="U234" i="4" s="1" a="1"/>
  <c r="U234" i="4" s="1"/>
  <c r="R235" i="4"/>
  <c r="S235" i="4" s="1" a="1"/>
  <c r="S235" i="4" s="1"/>
  <c r="U235" i="4" s="1" a="1"/>
  <c r="U235" i="4" s="1"/>
  <c r="R236" i="4"/>
  <c r="S236" i="4" s="1" a="1"/>
  <c r="S236" i="4" s="1"/>
  <c r="U236" i="4" s="1" a="1"/>
  <c r="U236" i="4" s="1"/>
  <c r="R237" i="4"/>
  <c r="S237" i="4" s="1" a="1"/>
  <c r="S237" i="4" s="1"/>
  <c r="U237" i="4" s="1" a="1"/>
  <c r="U237" i="4" s="1"/>
  <c r="R238" i="4"/>
  <c r="S238" i="4" s="1" a="1"/>
  <c r="S238" i="4" s="1"/>
  <c r="U238" i="4" s="1" a="1"/>
  <c r="U238" i="4" s="1"/>
  <c r="R239" i="4"/>
  <c r="S239" i="4" s="1" a="1"/>
  <c r="S239" i="4" s="1"/>
  <c r="U239" i="4" s="1" a="1"/>
  <c r="U239" i="4" s="1"/>
  <c r="R240" i="4"/>
  <c r="S240" i="4" s="1" a="1"/>
  <c r="S240" i="4" s="1"/>
  <c r="U240" i="4" s="1" a="1"/>
  <c r="U240" i="4" s="1"/>
  <c r="R241" i="4"/>
  <c r="S241" i="4" s="1" a="1"/>
  <c r="S241" i="4" s="1"/>
  <c r="U241" i="4" s="1" a="1"/>
  <c r="U241" i="4" s="1"/>
  <c r="R242" i="4"/>
  <c r="S242" i="4" s="1" a="1"/>
  <c r="S242" i="4" s="1"/>
  <c r="U242" i="4" s="1" a="1"/>
  <c r="U242" i="4" s="1"/>
  <c r="R243" i="4"/>
  <c r="S243" i="4" s="1" a="1"/>
  <c r="S243" i="4" s="1"/>
  <c r="U243" i="4" s="1" a="1"/>
  <c r="U243" i="4" s="1"/>
  <c r="R244" i="4"/>
  <c r="S244" i="4" s="1" a="1"/>
  <c r="S244" i="4" s="1"/>
  <c r="U244" i="4" s="1" a="1"/>
  <c r="U244" i="4" s="1"/>
  <c r="R245" i="4"/>
  <c r="S245" i="4" s="1" a="1"/>
  <c r="S245" i="4" s="1"/>
  <c r="U245" i="4" s="1" a="1"/>
  <c r="U245" i="4" s="1"/>
  <c r="R246" i="4"/>
  <c r="S246" i="4" s="1" a="1"/>
  <c r="S246" i="4" s="1"/>
  <c r="U246" i="4" s="1" a="1"/>
  <c r="U246" i="4" s="1"/>
  <c r="R247" i="4"/>
  <c r="S247" i="4" s="1" a="1"/>
  <c r="S247" i="4" s="1"/>
  <c r="U247" i="4" s="1" a="1"/>
  <c r="U247" i="4" s="1"/>
  <c r="R248" i="4"/>
  <c r="S248" i="4" s="1" a="1"/>
  <c r="S248" i="4" s="1"/>
  <c r="U248" i="4" s="1" a="1"/>
  <c r="U248" i="4" s="1"/>
  <c r="R249" i="4"/>
  <c r="S249" i="4" s="1" a="1"/>
  <c r="S249" i="4" s="1"/>
  <c r="U249" i="4" s="1" a="1"/>
  <c r="U249" i="4" s="1"/>
  <c r="R250" i="4"/>
  <c r="S250" i="4" s="1" a="1"/>
  <c r="S250" i="4" s="1"/>
  <c r="U250" i="4" s="1" a="1"/>
  <c r="U250" i="4" s="1"/>
  <c r="R251" i="4"/>
  <c r="S251" i="4" s="1" a="1"/>
  <c r="S251" i="4" s="1"/>
  <c r="U251" i="4" s="1" a="1"/>
  <c r="U251" i="4" s="1"/>
  <c r="R252" i="4"/>
  <c r="S252" i="4" s="1" a="1"/>
  <c r="S252" i="4" s="1"/>
  <c r="U252" i="4" s="1" a="1"/>
  <c r="U252" i="4" s="1"/>
  <c r="R253" i="4"/>
  <c r="S253" i="4" s="1" a="1"/>
  <c r="S253" i="4" s="1"/>
  <c r="U253" i="4" s="1" a="1"/>
  <c r="U253" i="4" s="1"/>
  <c r="R254" i="4"/>
  <c r="S254" i="4" s="1" a="1"/>
  <c r="S254" i="4" s="1"/>
  <c r="U254" i="4" s="1" a="1"/>
  <c r="U254" i="4" s="1"/>
  <c r="R255" i="4"/>
  <c r="S255" i="4" s="1" a="1"/>
  <c r="S255" i="4" s="1"/>
  <c r="U255" i="4" s="1" a="1"/>
  <c r="U255" i="4" s="1"/>
  <c r="R256" i="4"/>
  <c r="S256" i="4" s="1" a="1"/>
  <c r="S256" i="4" s="1"/>
  <c r="U256" i="4" s="1" a="1"/>
  <c r="U256" i="4" s="1"/>
  <c r="R257" i="4"/>
  <c r="S257" i="4" s="1" a="1"/>
  <c r="S257" i="4" s="1"/>
  <c r="U257" i="4" s="1" a="1"/>
  <c r="U257" i="4" s="1"/>
  <c r="R258" i="4"/>
  <c r="S258" i="4" s="1" a="1"/>
  <c r="S258" i="4" s="1"/>
  <c r="U258" i="4" s="1" a="1"/>
  <c r="U258" i="4" s="1"/>
  <c r="R259" i="4"/>
  <c r="S259" i="4" s="1" a="1"/>
  <c r="S259" i="4" s="1"/>
  <c r="U259" i="4" s="1" a="1"/>
  <c r="U259" i="4" s="1"/>
  <c r="R260" i="4"/>
  <c r="S260" i="4" s="1" a="1"/>
  <c r="S260" i="4" s="1"/>
  <c r="U260" i="4" s="1" a="1"/>
  <c r="U260" i="4" s="1"/>
  <c r="R261" i="4"/>
  <c r="S261" i="4" s="1" a="1"/>
  <c r="S261" i="4" s="1"/>
  <c r="U261" i="4" s="1" a="1"/>
  <c r="U261" i="4" s="1"/>
  <c r="R262" i="4"/>
  <c r="S262" i="4" s="1" a="1"/>
  <c r="S262" i="4" s="1"/>
  <c r="U262" i="4" s="1" a="1"/>
  <c r="U262" i="4" s="1"/>
  <c r="R263" i="4"/>
  <c r="S263" i="4" s="1" a="1"/>
  <c r="S263" i="4" s="1"/>
  <c r="U263" i="4" s="1" a="1"/>
  <c r="U263" i="4" s="1"/>
  <c r="R264" i="4"/>
  <c r="S264" i="4" s="1" a="1"/>
  <c r="S264" i="4" s="1"/>
  <c r="U264" i="4" s="1" a="1"/>
  <c r="U264" i="4" s="1"/>
  <c r="R265" i="4"/>
  <c r="S265" i="4" s="1" a="1"/>
  <c r="S265" i="4" s="1"/>
  <c r="U265" i="4" s="1" a="1"/>
  <c r="U265" i="4" s="1"/>
  <c r="R266" i="4"/>
  <c r="S266" i="4" s="1" a="1"/>
  <c r="S266" i="4" s="1"/>
  <c r="U266" i="4" s="1" a="1"/>
  <c r="U266" i="4" s="1"/>
  <c r="R267" i="4"/>
  <c r="S267" i="4" s="1" a="1"/>
  <c r="S267" i="4" s="1"/>
  <c r="U267" i="4" s="1" a="1"/>
  <c r="U267" i="4" s="1"/>
  <c r="R268" i="4"/>
  <c r="S268" i="4" s="1" a="1"/>
  <c r="S268" i="4" s="1"/>
  <c r="U268" i="4" s="1" a="1"/>
  <c r="U268" i="4" s="1"/>
  <c r="R269" i="4"/>
  <c r="S269" i="4" s="1" a="1"/>
  <c r="S269" i="4" s="1"/>
  <c r="U269" i="4" s="1" a="1"/>
  <c r="U269" i="4" s="1"/>
  <c r="R270" i="4"/>
  <c r="S270" i="4" s="1" a="1"/>
  <c r="S270" i="4" s="1"/>
  <c r="U270" i="4" s="1" a="1"/>
  <c r="U270" i="4" s="1"/>
  <c r="R271" i="4"/>
  <c r="S271" i="4" s="1" a="1"/>
  <c r="S271" i="4" s="1"/>
  <c r="U271" i="4" s="1" a="1"/>
  <c r="U271" i="4" s="1"/>
  <c r="R272" i="4"/>
  <c r="S272" i="4" s="1" a="1"/>
  <c r="S272" i="4" s="1"/>
  <c r="U272" i="4" s="1" a="1"/>
  <c r="U272" i="4" s="1"/>
  <c r="R273" i="4"/>
  <c r="S273" i="4" s="1" a="1"/>
  <c r="S273" i="4" s="1"/>
  <c r="U273" i="4" s="1" a="1"/>
  <c r="U273" i="4" s="1"/>
  <c r="R274" i="4"/>
  <c r="S274" i="4" s="1" a="1"/>
  <c r="S274" i="4" s="1"/>
  <c r="U274" i="4" s="1" a="1"/>
  <c r="U274" i="4" s="1"/>
  <c r="R275" i="4"/>
  <c r="S275" i="4" s="1" a="1"/>
  <c r="S275" i="4" s="1"/>
  <c r="U275" i="4" s="1" a="1"/>
  <c r="U275" i="4" s="1"/>
  <c r="R276" i="4"/>
  <c r="S276" i="4" s="1" a="1"/>
  <c r="S276" i="4" s="1"/>
  <c r="U276" i="4" s="1" a="1"/>
  <c r="U276" i="4" s="1"/>
  <c r="R277" i="4"/>
  <c r="S277" i="4" s="1" a="1"/>
  <c r="S277" i="4" s="1"/>
  <c r="U277" i="4" s="1" a="1"/>
  <c r="U277" i="4" s="1"/>
  <c r="R278" i="4"/>
  <c r="S278" i="4" s="1" a="1"/>
  <c r="S278" i="4" s="1"/>
  <c r="U278" i="4" s="1" a="1"/>
  <c r="U278" i="4" s="1"/>
  <c r="R279" i="4"/>
  <c r="S279" i="4" s="1" a="1"/>
  <c r="S279" i="4" s="1"/>
  <c r="U279" i="4" s="1" a="1"/>
  <c r="U279" i="4" s="1"/>
  <c r="R280" i="4"/>
  <c r="S280" i="4" s="1" a="1"/>
  <c r="S280" i="4" s="1"/>
  <c r="U280" i="4" s="1" a="1"/>
  <c r="U280" i="4" s="1"/>
  <c r="R281" i="4"/>
  <c r="S281" i="4" s="1" a="1"/>
  <c r="S281" i="4" s="1"/>
  <c r="U281" i="4" s="1" a="1"/>
  <c r="U281" i="4" s="1"/>
  <c r="R282" i="4"/>
  <c r="S282" i="4" s="1" a="1"/>
  <c r="S282" i="4" s="1"/>
  <c r="U282" i="4" s="1" a="1"/>
  <c r="U282" i="4" s="1"/>
  <c r="R283" i="4"/>
  <c r="S283" i="4" s="1" a="1"/>
  <c r="S283" i="4" s="1"/>
  <c r="U283" i="4" s="1" a="1"/>
  <c r="U283" i="4" s="1"/>
  <c r="R284" i="4"/>
  <c r="S284" i="4" s="1" a="1"/>
  <c r="S284" i="4" s="1"/>
  <c r="U284" i="4" s="1" a="1"/>
  <c r="U284" i="4" s="1"/>
  <c r="R285" i="4"/>
  <c r="S285" i="4" s="1" a="1"/>
  <c r="S285" i="4" s="1"/>
  <c r="U285" i="4" s="1" a="1"/>
  <c r="U285" i="4" s="1"/>
  <c r="R286" i="4"/>
  <c r="S286" i="4" s="1" a="1"/>
  <c r="S286" i="4" s="1"/>
  <c r="U286" i="4" s="1" a="1"/>
  <c r="U286" i="4" s="1"/>
  <c r="R287" i="4"/>
  <c r="S287" i="4" s="1" a="1"/>
  <c r="S287" i="4" s="1"/>
  <c r="U287" i="4" s="1" a="1"/>
  <c r="U287" i="4" s="1"/>
  <c r="R288" i="4"/>
  <c r="S288" i="4" s="1" a="1"/>
  <c r="S288" i="4" s="1"/>
  <c r="U288" i="4" s="1" a="1"/>
  <c r="U288" i="4" s="1"/>
  <c r="R289" i="4"/>
  <c r="S289" i="4" s="1" a="1"/>
  <c r="S289" i="4" s="1"/>
  <c r="U289" i="4" s="1" a="1"/>
  <c r="U289" i="4" s="1"/>
  <c r="R290" i="4"/>
  <c r="S290" i="4" s="1" a="1"/>
  <c r="S290" i="4" s="1"/>
  <c r="U290" i="4" s="1" a="1"/>
  <c r="U290" i="4" s="1"/>
  <c r="R291" i="4"/>
  <c r="S291" i="4" s="1" a="1"/>
  <c r="S291" i="4" s="1"/>
  <c r="U291" i="4" s="1" a="1"/>
  <c r="U291" i="4" s="1"/>
  <c r="R292" i="4"/>
  <c r="S292" i="4" s="1" a="1"/>
  <c r="S292" i="4" s="1"/>
  <c r="U292" i="4" s="1" a="1"/>
  <c r="U292" i="4" s="1"/>
  <c r="R293" i="4"/>
  <c r="S293" i="4" s="1" a="1"/>
  <c r="S293" i="4" s="1"/>
  <c r="U293" i="4" s="1" a="1"/>
  <c r="U293" i="4" s="1"/>
  <c r="R294" i="4"/>
  <c r="S294" i="4" s="1" a="1"/>
  <c r="S294" i="4" s="1"/>
  <c r="U294" i="4" s="1" a="1"/>
  <c r="U294" i="4" s="1"/>
  <c r="R295" i="4"/>
  <c r="S295" i="4" s="1" a="1"/>
  <c r="S295" i="4" s="1"/>
  <c r="U295" i="4" s="1" a="1"/>
  <c r="U295" i="4" s="1"/>
  <c r="R296" i="4"/>
  <c r="S296" i="4" s="1" a="1"/>
  <c r="S296" i="4" s="1"/>
  <c r="U296" i="4" s="1" a="1"/>
  <c r="U296" i="4" s="1"/>
  <c r="R297" i="4"/>
  <c r="S297" i="4" s="1" a="1"/>
  <c r="S297" i="4" s="1"/>
  <c r="U297" i="4" s="1" a="1"/>
  <c r="U297" i="4" s="1"/>
  <c r="R298" i="4"/>
  <c r="S298" i="4" s="1" a="1"/>
  <c r="S298" i="4" s="1"/>
  <c r="U298" i="4" s="1" a="1"/>
  <c r="U298" i="4" s="1"/>
  <c r="R299" i="4"/>
  <c r="S299" i="4" s="1" a="1"/>
  <c r="S299" i="4" s="1"/>
  <c r="U299" i="4" s="1" a="1"/>
  <c r="U299" i="4" s="1"/>
  <c r="R300" i="4"/>
  <c r="S300" i="4" s="1" a="1"/>
  <c r="S300" i="4" s="1"/>
  <c r="U300" i="4" s="1" a="1"/>
  <c r="U300" i="4" s="1"/>
  <c r="R301" i="4"/>
  <c r="S301" i="4" s="1" a="1"/>
  <c r="S301" i="4" s="1"/>
  <c r="U301" i="4" s="1" a="1"/>
  <c r="U301" i="4" s="1"/>
  <c r="R302" i="4"/>
  <c r="S302" i="4" s="1" a="1"/>
  <c r="S302" i="4" s="1"/>
  <c r="U302" i="4" s="1" a="1"/>
  <c r="U302" i="4" s="1"/>
  <c r="R303" i="4"/>
  <c r="S303" i="4" s="1" a="1"/>
  <c r="S303" i="4" s="1"/>
  <c r="U303" i="4" s="1" a="1"/>
  <c r="U303" i="4" s="1"/>
  <c r="R304" i="4"/>
  <c r="S304" i="4" s="1" a="1"/>
  <c r="S304" i="4" s="1"/>
  <c r="U304" i="4" s="1" a="1"/>
  <c r="U304" i="4" s="1"/>
  <c r="R305" i="4"/>
  <c r="S305" i="4" s="1" a="1"/>
  <c r="S305" i="4" s="1"/>
  <c r="U305" i="4" s="1" a="1"/>
  <c r="U305" i="4" s="1"/>
  <c r="R306" i="4"/>
  <c r="S306" i="4" s="1" a="1"/>
  <c r="S306" i="4" s="1"/>
  <c r="U306" i="4" s="1" a="1"/>
  <c r="U306" i="4" s="1"/>
  <c r="R307" i="4"/>
  <c r="S307" i="4" s="1" a="1"/>
  <c r="S307" i="4" s="1"/>
  <c r="U307" i="4" s="1" a="1"/>
  <c r="U307" i="4" s="1"/>
  <c r="R308" i="4"/>
  <c r="S308" i="4" s="1" a="1"/>
  <c r="S308" i="4" s="1"/>
  <c r="U308" i="4" s="1" a="1"/>
  <c r="U308" i="4" s="1"/>
  <c r="R309" i="4"/>
  <c r="S309" i="4" s="1" a="1"/>
  <c r="S309" i="4" s="1"/>
  <c r="U309" i="4" s="1" a="1"/>
  <c r="U309" i="4" s="1"/>
  <c r="R310" i="4"/>
  <c r="S310" i="4" s="1" a="1"/>
  <c r="S310" i="4" s="1"/>
  <c r="U310" i="4" s="1" a="1"/>
  <c r="U310" i="4" s="1"/>
  <c r="R311" i="4"/>
  <c r="S311" i="4" s="1" a="1"/>
  <c r="S311" i="4" s="1"/>
  <c r="U311" i="4" s="1" a="1"/>
  <c r="U311" i="4" s="1"/>
  <c r="R312" i="4"/>
  <c r="S312" i="4" s="1" a="1"/>
  <c r="S312" i="4" s="1"/>
  <c r="U312" i="4" s="1" a="1"/>
  <c r="U312" i="4" s="1"/>
  <c r="R313" i="4"/>
  <c r="S313" i="4" s="1" a="1"/>
  <c r="S313" i="4" s="1"/>
  <c r="U313" i="4" s="1" a="1"/>
  <c r="U313" i="4" s="1"/>
  <c r="R314" i="4"/>
  <c r="S314" i="4" s="1" a="1"/>
  <c r="S314" i="4" s="1"/>
  <c r="U314" i="4" s="1" a="1"/>
  <c r="U314" i="4" s="1"/>
  <c r="R315" i="4"/>
  <c r="S315" i="4" s="1" a="1"/>
  <c r="S315" i="4" s="1"/>
  <c r="U315" i="4" s="1" a="1"/>
  <c r="U315" i="4" s="1"/>
  <c r="R316" i="4"/>
  <c r="S316" i="4" s="1" a="1"/>
  <c r="S316" i="4" s="1"/>
  <c r="U316" i="4" s="1" a="1"/>
  <c r="U316" i="4" s="1"/>
  <c r="R317" i="4"/>
  <c r="S317" i="4" s="1" a="1"/>
  <c r="S317" i="4" s="1"/>
  <c r="U317" i="4" s="1" a="1"/>
  <c r="U317" i="4" s="1"/>
  <c r="R318" i="4"/>
  <c r="S318" i="4" s="1" a="1"/>
  <c r="S318" i="4" s="1"/>
  <c r="U318" i="4" s="1" a="1"/>
  <c r="U318" i="4" s="1"/>
  <c r="R319" i="4"/>
  <c r="S319" i="4" s="1" a="1"/>
  <c r="S319" i="4" s="1"/>
  <c r="U319" i="4" s="1" a="1"/>
  <c r="U319" i="4" s="1"/>
  <c r="R320" i="4"/>
  <c r="S320" i="4" s="1" a="1"/>
  <c r="S320" i="4" s="1"/>
  <c r="U320" i="4" s="1" a="1"/>
  <c r="U320" i="4" s="1"/>
  <c r="R321" i="4"/>
  <c r="S321" i="4" s="1" a="1"/>
  <c r="S321" i="4" s="1"/>
  <c r="U321" i="4" s="1" a="1"/>
  <c r="U321" i="4" s="1"/>
  <c r="R322" i="4"/>
  <c r="S322" i="4" s="1" a="1"/>
  <c r="S322" i="4" s="1"/>
  <c r="U322" i="4" s="1" a="1"/>
  <c r="U322" i="4" s="1"/>
  <c r="R323" i="4"/>
  <c r="S323" i="4" s="1" a="1"/>
  <c r="S323" i="4" s="1"/>
  <c r="U323" i="4" s="1" a="1"/>
  <c r="U323" i="4" s="1"/>
  <c r="R324" i="4"/>
  <c r="S324" i="4" s="1" a="1"/>
  <c r="S324" i="4" s="1"/>
  <c r="U324" i="4" s="1" a="1"/>
  <c r="U324" i="4" s="1"/>
  <c r="R325" i="4"/>
  <c r="S325" i="4" s="1" a="1"/>
  <c r="S325" i="4" s="1"/>
  <c r="U325" i="4" s="1" a="1"/>
  <c r="U325" i="4" s="1"/>
  <c r="R326" i="4"/>
  <c r="S326" i="4" s="1" a="1"/>
  <c r="S326" i="4" s="1"/>
  <c r="U326" i="4" s="1" a="1"/>
  <c r="U326" i="4" s="1"/>
  <c r="R327" i="4"/>
  <c r="S327" i="4" s="1" a="1"/>
  <c r="S327" i="4" s="1"/>
  <c r="U327" i="4" s="1" a="1"/>
  <c r="U327" i="4" s="1"/>
  <c r="R328" i="4"/>
  <c r="S328" i="4" s="1" a="1"/>
  <c r="S328" i="4" s="1"/>
  <c r="U328" i="4" s="1" a="1"/>
  <c r="U328" i="4" s="1"/>
  <c r="R329" i="4"/>
  <c r="S329" i="4" s="1" a="1"/>
  <c r="S329" i="4" s="1"/>
  <c r="U329" i="4" s="1" a="1"/>
  <c r="U329" i="4" s="1"/>
  <c r="R330" i="4"/>
  <c r="S330" i="4" s="1" a="1"/>
  <c r="S330" i="4" s="1"/>
  <c r="U330" i="4" s="1" a="1"/>
  <c r="U330" i="4" s="1"/>
  <c r="R331" i="4"/>
  <c r="S331" i="4" s="1" a="1"/>
  <c r="S331" i="4" s="1"/>
  <c r="U331" i="4" s="1" a="1"/>
  <c r="U331" i="4" s="1"/>
  <c r="R332" i="4"/>
  <c r="S332" i="4" s="1" a="1"/>
  <c r="S332" i="4" s="1"/>
  <c r="U332" i="4" s="1" a="1"/>
  <c r="U332" i="4" s="1"/>
  <c r="R333" i="4"/>
  <c r="S333" i="4" s="1" a="1"/>
  <c r="S333" i="4" s="1"/>
  <c r="U333" i="4" s="1" a="1"/>
  <c r="U333" i="4" s="1"/>
  <c r="R334" i="4"/>
  <c r="S334" i="4" s="1" a="1"/>
  <c r="S334" i="4" s="1"/>
  <c r="U334" i="4" s="1" a="1"/>
  <c r="U334" i="4" s="1"/>
  <c r="R335" i="4"/>
  <c r="S335" i="4" s="1" a="1"/>
  <c r="S335" i="4" s="1"/>
  <c r="U335" i="4" s="1" a="1"/>
  <c r="U335" i="4" s="1"/>
  <c r="R336" i="4"/>
  <c r="S336" i="4" s="1" a="1"/>
  <c r="S336" i="4" s="1"/>
  <c r="U336" i="4" s="1" a="1"/>
  <c r="U336" i="4" s="1"/>
  <c r="R337" i="4"/>
  <c r="S337" i="4" s="1" a="1"/>
  <c r="S337" i="4" s="1"/>
  <c r="U337" i="4" s="1" a="1"/>
  <c r="U337" i="4" s="1"/>
  <c r="R338" i="4"/>
  <c r="S338" i="4" s="1" a="1"/>
  <c r="S338" i="4" s="1"/>
  <c r="U338" i="4" s="1" a="1"/>
  <c r="U338" i="4" s="1"/>
  <c r="R339" i="4"/>
  <c r="S339" i="4" s="1" a="1"/>
  <c r="S339" i="4" s="1"/>
  <c r="U339" i="4" s="1" a="1"/>
  <c r="U339" i="4" s="1"/>
  <c r="R340" i="4"/>
  <c r="S340" i="4" s="1" a="1"/>
  <c r="S340" i="4" s="1"/>
  <c r="U340" i="4" s="1" a="1"/>
  <c r="U340" i="4" s="1"/>
  <c r="R341" i="4"/>
  <c r="S341" i="4" s="1" a="1"/>
  <c r="S341" i="4" s="1"/>
  <c r="U341" i="4" s="1" a="1"/>
  <c r="U341" i="4" s="1"/>
  <c r="R342" i="4"/>
  <c r="S342" i="4" s="1" a="1"/>
  <c r="S342" i="4" s="1"/>
  <c r="U342" i="4" s="1" a="1"/>
  <c r="U342" i="4" s="1"/>
  <c r="R343" i="4"/>
  <c r="S343" i="4" s="1" a="1"/>
  <c r="S343" i="4" s="1"/>
  <c r="U343" i="4" s="1" a="1"/>
  <c r="U343" i="4" s="1"/>
  <c r="R344" i="4"/>
  <c r="S344" i="4" s="1" a="1"/>
  <c r="S344" i="4" s="1"/>
  <c r="U344" i="4" s="1" a="1"/>
  <c r="U344" i="4" s="1"/>
  <c r="R345" i="4"/>
  <c r="S345" i="4" s="1" a="1"/>
  <c r="S345" i="4" s="1"/>
  <c r="U345" i="4" s="1" a="1"/>
  <c r="U345" i="4" s="1"/>
  <c r="R346" i="4"/>
  <c r="S346" i="4" s="1" a="1"/>
  <c r="S346" i="4" s="1"/>
  <c r="U346" i="4" s="1" a="1"/>
  <c r="U346" i="4" s="1"/>
  <c r="R347" i="4"/>
  <c r="S347" i="4" s="1" a="1"/>
  <c r="S347" i="4" s="1"/>
  <c r="U347" i="4" s="1" a="1"/>
  <c r="U347" i="4" s="1"/>
  <c r="R348" i="4"/>
  <c r="S348" i="4" s="1" a="1"/>
  <c r="S348" i="4" s="1"/>
  <c r="U348" i="4" s="1" a="1"/>
  <c r="U348" i="4" s="1"/>
  <c r="R349" i="4"/>
  <c r="S349" i="4" s="1" a="1"/>
  <c r="S349" i="4" s="1"/>
  <c r="U349" i="4" s="1" a="1"/>
  <c r="U349" i="4" s="1"/>
  <c r="R350" i="4"/>
  <c r="S350" i="4" s="1" a="1"/>
  <c r="S350" i="4" s="1"/>
  <c r="U350" i="4" s="1" a="1"/>
  <c r="U350" i="4" s="1"/>
  <c r="R351" i="4"/>
  <c r="S351" i="4" s="1" a="1"/>
  <c r="S351" i="4" s="1"/>
  <c r="U351" i="4" s="1" a="1"/>
  <c r="U351" i="4" s="1"/>
  <c r="R352" i="4"/>
  <c r="S352" i="4" s="1" a="1"/>
  <c r="S352" i="4" s="1"/>
  <c r="U352" i="4" s="1" a="1"/>
  <c r="U352" i="4" s="1"/>
  <c r="R353" i="4"/>
  <c r="S353" i="4" s="1" a="1"/>
  <c r="S353" i="4" s="1"/>
  <c r="U353" i="4" s="1" a="1"/>
  <c r="U353" i="4" s="1"/>
  <c r="R354" i="4"/>
  <c r="S354" i="4" s="1" a="1"/>
  <c r="S354" i="4" s="1"/>
  <c r="U354" i="4" s="1" a="1"/>
  <c r="U354" i="4" s="1"/>
  <c r="R355" i="4"/>
  <c r="S355" i="4" s="1" a="1"/>
  <c r="S355" i="4" s="1"/>
  <c r="U355" i="4" s="1" a="1"/>
  <c r="U355" i="4" s="1"/>
  <c r="R356" i="4"/>
  <c r="S356" i="4" s="1" a="1"/>
  <c r="S356" i="4" s="1"/>
  <c r="U356" i="4" s="1" a="1"/>
  <c r="U356" i="4" s="1"/>
  <c r="R357" i="4"/>
  <c r="S357" i="4" s="1" a="1"/>
  <c r="S357" i="4" s="1"/>
  <c r="U357" i="4" s="1" a="1"/>
  <c r="U357" i="4" s="1"/>
  <c r="R358" i="4"/>
  <c r="S358" i="4" s="1" a="1"/>
  <c r="S358" i="4" s="1"/>
  <c r="U358" i="4" s="1" a="1"/>
  <c r="U358" i="4" s="1"/>
  <c r="R359" i="4"/>
  <c r="S359" i="4" s="1" a="1"/>
  <c r="S359" i="4" s="1"/>
  <c r="U359" i="4" s="1" a="1"/>
  <c r="U359" i="4" s="1"/>
  <c r="R360" i="4"/>
  <c r="S360" i="4" s="1" a="1"/>
  <c r="S360" i="4" s="1"/>
  <c r="U360" i="4" s="1" a="1"/>
  <c r="U360" i="4" s="1"/>
  <c r="R361" i="4"/>
  <c r="S361" i="4" s="1" a="1"/>
  <c r="S361" i="4" s="1"/>
  <c r="U361" i="4" s="1" a="1"/>
  <c r="U361" i="4" s="1"/>
  <c r="R362" i="4"/>
  <c r="S362" i="4" s="1" a="1"/>
  <c r="S362" i="4" s="1"/>
  <c r="U362" i="4" s="1" a="1"/>
  <c r="U362" i="4" s="1"/>
  <c r="R363" i="4"/>
  <c r="S363" i="4" s="1" a="1"/>
  <c r="S363" i="4" s="1"/>
  <c r="U363" i="4" s="1" a="1"/>
  <c r="U363" i="4" s="1"/>
  <c r="R364" i="4"/>
  <c r="S364" i="4" s="1" a="1"/>
  <c r="S364" i="4" s="1"/>
  <c r="U364" i="4" s="1" a="1"/>
  <c r="U364" i="4" s="1"/>
  <c r="R365" i="4"/>
  <c r="S365" i="4" s="1" a="1"/>
  <c r="S365" i="4" s="1"/>
  <c r="U365" i="4" s="1" a="1"/>
  <c r="U365" i="4" s="1"/>
  <c r="R366" i="4"/>
  <c r="S366" i="4" s="1" a="1"/>
  <c r="S366" i="4" s="1"/>
  <c r="U366" i="4" s="1" a="1"/>
  <c r="U366" i="4" s="1"/>
  <c r="R367" i="4"/>
  <c r="S367" i="4" s="1" a="1"/>
  <c r="S367" i="4" s="1"/>
  <c r="U367" i="4" s="1" a="1"/>
  <c r="U367" i="4" s="1"/>
  <c r="R368" i="4"/>
  <c r="S368" i="4" s="1" a="1"/>
  <c r="S368" i="4" s="1"/>
  <c r="U368" i="4" s="1" a="1"/>
  <c r="U368" i="4" s="1"/>
  <c r="R369" i="4"/>
  <c r="S369" i="4" s="1" a="1"/>
  <c r="S369" i="4" s="1"/>
  <c r="U369" i="4" s="1" a="1"/>
  <c r="U369" i="4" s="1"/>
  <c r="R370" i="4"/>
  <c r="S370" i="4" s="1" a="1"/>
  <c r="S370" i="4" s="1"/>
  <c r="U370" i="4" s="1" a="1"/>
  <c r="U370" i="4" s="1"/>
  <c r="R371" i="4"/>
  <c r="S371" i="4" s="1" a="1"/>
  <c r="S371" i="4" s="1"/>
  <c r="U371" i="4" s="1" a="1"/>
  <c r="U371" i="4" s="1"/>
  <c r="R372" i="4"/>
  <c r="S372" i="4" s="1" a="1"/>
  <c r="S372" i="4" s="1"/>
  <c r="U372" i="4" s="1" a="1"/>
  <c r="U372" i="4" s="1"/>
  <c r="R373" i="4"/>
  <c r="S373" i="4" s="1" a="1"/>
  <c r="S373" i="4" s="1"/>
  <c r="U373" i="4" s="1" a="1"/>
  <c r="U373" i="4" s="1"/>
  <c r="R374" i="4"/>
  <c r="S374" i="4" s="1" a="1"/>
  <c r="S374" i="4" s="1"/>
  <c r="U374" i="4" s="1" a="1"/>
  <c r="U374" i="4" s="1"/>
  <c r="R375" i="4"/>
  <c r="S375" i="4" s="1" a="1"/>
  <c r="S375" i="4" s="1"/>
  <c r="U375" i="4" s="1" a="1"/>
  <c r="U375" i="4" s="1"/>
  <c r="R376" i="4"/>
  <c r="S376" i="4" s="1" a="1"/>
  <c r="S376" i="4" s="1"/>
  <c r="U376" i="4" s="1" a="1"/>
  <c r="U376" i="4" s="1"/>
  <c r="R377" i="4"/>
  <c r="S377" i="4" s="1" a="1"/>
  <c r="S377" i="4" s="1"/>
  <c r="U377" i="4" s="1" a="1"/>
  <c r="U377" i="4" s="1"/>
  <c r="R378" i="4"/>
  <c r="S378" i="4" s="1" a="1"/>
  <c r="S378" i="4" s="1"/>
  <c r="U378" i="4" s="1" a="1"/>
  <c r="U378" i="4" s="1"/>
  <c r="R379" i="4"/>
  <c r="S379" i="4" s="1" a="1"/>
  <c r="S379" i="4" s="1"/>
  <c r="U379" i="4" s="1" a="1"/>
  <c r="U379" i="4" s="1"/>
  <c r="R380" i="4"/>
  <c r="S380" i="4" s="1" a="1"/>
  <c r="S380" i="4" s="1"/>
  <c r="U380" i="4" s="1" a="1"/>
  <c r="U380" i="4" s="1"/>
  <c r="R381" i="4"/>
  <c r="S381" i="4" s="1" a="1"/>
  <c r="S381" i="4" s="1"/>
  <c r="U381" i="4" s="1" a="1"/>
  <c r="U381" i="4" s="1"/>
  <c r="R382" i="4"/>
  <c r="S382" i="4" s="1" a="1"/>
  <c r="S382" i="4" s="1"/>
  <c r="U382" i="4" s="1" a="1"/>
  <c r="U382" i="4" s="1"/>
  <c r="R383" i="4"/>
  <c r="S383" i="4" s="1" a="1"/>
  <c r="S383" i="4" s="1"/>
  <c r="U383" i="4" s="1" a="1"/>
  <c r="U383" i="4" s="1"/>
  <c r="R384" i="4"/>
  <c r="S384" i="4" s="1" a="1"/>
  <c r="S384" i="4" s="1"/>
  <c r="U384" i="4" s="1" a="1"/>
  <c r="U384" i="4" s="1"/>
  <c r="R385" i="4"/>
  <c r="S385" i="4" s="1" a="1"/>
  <c r="S385" i="4" s="1"/>
  <c r="U385" i="4" s="1" a="1"/>
  <c r="U385" i="4" s="1"/>
  <c r="R386" i="4"/>
  <c r="S386" i="4" s="1" a="1"/>
  <c r="S386" i="4" s="1"/>
  <c r="U386" i="4" s="1" a="1"/>
  <c r="U386" i="4" s="1"/>
  <c r="R387" i="4"/>
  <c r="S387" i="4" s="1" a="1"/>
  <c r="S387" i="4" s="1"/>
  <c r="U387" i="4" s="1" a="1"/>
  <c r="U387" i="4" s="1"/>
  <c r="R388" i="4"/>
  <c r="S388" i="4" s="1" a="1"/>
  <c r="S388" i="4" s="1"/>
  <c r="U388" i="4" s="1" a="1"/>
  <c r="U388" i="4" s="1"/>
  <c r="R389" i="4"/>
  <c r="S389" i="4" s="1" a="1"/>
  <c r="S389" i="4" s="1"/>
  <c r="U389" i="4" s="1" a="1"/>
  <c r="U389" i="4" s="1"/>
  <c r="R390" i="4"/>
  <c r="S390" i="4" s="1" a="1"/>
  <c r="S390" i="4" s="1"/>
  <c r="U390" i="4" s="1" a="1"/>
  <c r="U390" i="4" s="1"/>
  <c r="R391" i="4"/>
  <c r="S391" i="4" s="1" a="1"/>
  <c r="S391" i="4" s="1"/>
  <c r="U391" i="4" s="1" a="1"/>
  <c r="U391" i="4" s="1"/>
  <c r="R392" i="4"/>
  <c r="S392" i="4" s="1" a="1"/>
  <c r="S392" i="4" s="1"/>
  <c r="U392" i="4" s="1" a="1"/>
  <c r="U392" i="4" s="1"/>
  <c r="R393" i="4"/>
  <c r="S393" i="4" s="1" a="1"/>
  <c r="S393" i="4" s="1"/>
  <c r="U393" i="4" s="1" a="1"/>
  <c r="U393" i="4" s="1"/>
  <c r="R394" i="4"/>
  <c r="S394" i="4" s="1" a="1"/>
  <c r="S394" i="4" s="1"/>
  <c r="U394" i="4" s="1" a="1"/>
  <c r="U394" i="4" s="1"/>
  <c r="R395" i="4"/>
  <c r="S395" i="4" s="1" a="1"/>
  <c r="S395" i="4" s="1"/>
  <c r="U395" i="4" s="1" a="1"/>
  <c r="U395" i="4" s="1"/>
  <c r="R396" i="4"/>
  <c r="S396" i="4" s="1" a="1"/>
  <c r="S396" i="4" s="1"/>
  <c r="U396" i="4" s="1" a="1"/>
  <c r="U396" i="4" s="1"/>
  <c r="R397" i="4"/>
  <c r="S397" i="4" s="1" a="1"/>
  <c r="S397" i="4" s="1"/>
  <c r="U397" i="4" s="1" a="1"/>
  <c r="U397" i="4" s="1"/>
  <c r="R398" i="4"/>
  <c r="S398" i="4" s="1" a="1"/>
  <c r="S398" i="4" s="1"/>
  <c r="U398" i="4" s="1" a="1"/>
  <c r="U398" i="4" s="1"/>
  <c r="R399" i="4"/>
  <c r="S399" i="4" s="1" a="1"/>
  <c r="S399" i="4" s="1"/>
  <c r="U399" i="4" s="1" a="1"/>
  <c r="U399" i="4" s="1"/>
  <c r="R400" i="4"/>
  <c r="S400" i="4" s="1" a="1"/>
  <c r="S400" i="4" s="1"/>
  <c r="U400" i="4" s="1" a="1"/>
  <c r="U400" i="4" s="1"/>
  <c r="R401" i="4"/>
  <c r="S401" i="4" s="1" a="1"/>
  <c r="S401" i="4" s="1"/>
  <c r="U401" i="4" s="1" a="1"/>
  <c r="U401" i="4" s="1"/>
  <c r="R402" i="4"/>
  <c r="S402" i="4" s="1" a="1"/>
  <c r="S402" i="4" s="1"/>
  <c r="U402" i="4" s="1" a="1"/>
  <c r="U402" i="4" s="1"/>
  <c r="R403" i="4"/>
  <c r="S403" i="4" s="1" a="1"/>
  <c r="S403" i="4" s="1"/>
  <c r="U403" i="4" s="1" a="1"/>
  <c r="U403" i="4" s="1"/>
  <c r="R404" i="4"/>
  <c r="S404" i="4" s="1" a="1"/>
  <c r="S404" i="4" s="1"/>
  <c r="U404" i="4" s="1" a="1"/>
  <c r="U404" i="4" s="1"/>
  <c r="R405" i="4"/>
  <c r="S405" i="4" s="1" a="1"/>
  <c r="S405" i="4" s="1"/>
  <c r="U405" i="4" s="1" a="1"/>
  <c r="U405" i="4" s="1"/>
  <c r="R406" i="4"/>
  <c r="S406" i="4" s="1" a="1"/>
  <c r="S406" i="4" s="1"/>
  <c r="U406" i="4" s="1" a="1"/>
  <c r="U406" i="4" s="1"/>
  <c r="R407" i="4"/>
  <c r="S407" i="4" s="1" a="1"/>
  <c r="S407" i="4" s="1"/>
  <c r="U407" i="4" s="1" a="1"/>
  <c r="U407" i="4" s="1"/>
  <c r="R408" i="4"/>
  <c r="S408" i="4" s="1" a="1"/>
  <c r="S408" i="4" s="1"/>
  <c r="U408" i="4" s="1" a="1"/>
  <c r="U408" i="4" s="1"/>
  <c r="R409" i="4"/>
  <c r="S409" i="4" s="1" a="1"/>
  <c r="S409" i="4" s="1"/>
  <c r="U409" i="4" s="1" a="1"/>
  <c r="U409" i="4" s="1"/>
  <c r="R410" i="4"/>
  <c r="S410" i="4" s="1" a="1"/>
  <c r="S410" i="4" s="1"/>
  <c r="U410" i="4" s="1" a="1"/>
  <c r="U410" i="4" s="1"/>
  <c r="R411" i="4"/>
  <c r="S411" i="4" s="1" a="1"/>
  <c r="S411" i="4" s="1"/>
  <c r="U411" i="4" s="1" a="1"/>
  <c r="U411" i="4" s="1"/>
  <c r="R412" i="4"/>
  <c r="S412" i="4" s="1" a="1"/>
  <c r="S412" i="4" s="1"/>
  <c r="U412" i="4" s="1" a="1"/>
  <c r="U412" i="4" s="1"/>
  <c r="R413" i="4"/>
  <c r="S413" i="4" s="1" a="1"/>
  <c r="S413" i="4" s="1"/>
  <c r="U413" i="4" s="1" a="1"/>
  <c r="U413" i="4" s="1"/>
  <c r="R414" i="4"/>
  <c r="S414" i="4" s="1" a="1"/>
  <c r="S414" i="4" s="1"/>
  <c r="U414" i="4" s="1" a="1"/>
  <c r="U414" i="4" s="1"/>
  <c r="R415" i="4"/>
  <c r="S415" i="4" s="1" a="1"/>
  <c r="S415" i="4" s="1"/>
  <c r="U415" i="4" s="1" a="1"/>
  <c r="U415" i="4" s="1"/>
  <c r="R416" i="4"/>
  <c r="S416" i="4" s="1" a="1"/>
  <c r="S416" i="4" s="1"/>
  <c r="U416" i="4" s="1" a="1"/>
  <c r="U416" i="4" s="1"/>
  <c r="R417" i="4"/>
  <c r="S417" i="4" s="1" a="1"/>
  <c r="S417" i="4" s="1"/>
  <c r="U417" i="4" s="1" a="1"/>
  <c r="U417" i="4" s="1"/>
  <c r="R418" i="4"/>
  <c r="S418" i="4" s="1" a="1"/>
  <c r="S418" i="4" s="1"/>
  <c r="U418" i="4" s="1" a="1"/>
  <c r="U418" i="4" s="1"/>
  <c r="R419" i="4"/>
  <c r="S419" i="4" s="1" a="1"/>
  <c r="S419" i="4" s="1"/>
  <c r="U419" i="4" s="1" a="1"/>
  <c r="U419" i="4" s="1"/>
  <c r="R420" i="4"/>
  <c r="S420" i="4" s="1" a="1"/>
  <c r="S420" i="4" s="1"/>
  <c r="U420" i="4" s="1" a="1"/>
  <c r="U420" i="4" s="1"/>
  <c r="R421" i="4"/>
  <c r="S421" i="4" s="1" a="1"/>
  <c r="S421" i="4" s="1"/>
  <c r="U421" i="4" s="1" a="1"/>
  <c r="U421" i="4" s="1"/>
  <c r="R422" i="4"/>
  <c r="S422" i="4" s="1" a="1"/>
  <c r="S422" i="4" s="1"/>
  <c r="U422" i="4" s="1" a="1"/>
  <c r="U422" i="4" s="1"/>
  <c r="R423" i="4"/>
  <c r="S423" i="4" s="1" a="1"/>
  <c r="S423" i="4" s="1"/>
  <c r="U423" i="4" s="1" a="1"/>
  <c r="U423" i="4" s="1"/>
  <c r="R424" i="4"/>
  <c r="S424" i="4" s="1" a="1"/>
  <c r="S424" i="4" s="1"/>
  <c r="U424" i="4" s="1" a="1"/>
  <c r="U424" i="4" s="1"/>
  <c r="R425" i="4"/>
  <c r="S425" i="4" s="1" a="1"/>
  <c r="S425" i="4" s="1"/>
  <c r="U425" i="4" s="1" a="1"/>
  <c r="U425" i="4" s="1"/>
  <c r="R426" i="4"/>
  <c r="S426" i="4" s="1" a="1"/>
  <c r="S426" i="4" s="1"/>
  <c r="U426" i="4" s="1" a="1"/>
  <c r="U426" i="4" s="1"/>
  <c r="R427" i="4"/>
  <c r="S427" i="4" s="1" a="1"/>
  <c r="S427" i="4" s="1"/>
  <c r="U427" i="4" s="1" a="1"/>
  <c r="U427" i="4" s="1"/>
  <c r="R428" i="4"/>
  <c r="S428" i="4" s="1" a="1"/>
  <c r="S428" i="4" s="1"/>
  <c r="U428" i="4" s="1" a="1"/>
  <c r="U428" i="4" s="1"/>
  <c r="R429" i="4"/>
  <c r="S429" i="4" s="1" a="1"/>
  <c r="S429" i="4" s="1"/>
  <c r="U429" i="4" s="1" a="1"/>
  <c r="U429" i="4" s="1"/>
  <c r="R430" i="4"/>
  <c r="S430" i="4" s="1" a="1"/>
  <c r="S430" i="4" s="1"/>
  <c r="U430" i="4" s="1" a="1"/>
  <c r="U430" i="4" s="1"/>
  <c r="R431" i="4"/>
  <c r="S431" i="4" s="1" a="1"/>
  <c r="S431" i="4" s="1"/>
  <c r="U431" i="4" s="1" a="1"/>
  <c r="U431" i="4" s="1"/>
  <c r="R432" i="4"/>
  <c r="S432" i="4" s="1" a="1"/>
  <c r="S432" i="4" s="1"/>
  <c r="U432" i="4" s="1" a="1"/>
  <c r="U432" i="4" s="1"/>
  <c r="R433" i="4"/>
  <c r="S433" i="4" s="1" a="1"/>
  <c r="S433" i="4" s="1"/>
  <c r="U433" i="4" s="1" a="1"/>
  <c r="U433" i="4" s="1"/>
  <c r="R434" i="4"/>
  <c r="S434" i="4" s="1" a="1"/>
  <c r="S434" i="4" s="1"/>
  <c r="U434" i="4" s="1" a="1"/>
  <c r="U434" i="4" s="1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D152" i="4"/>
  <c r="E152" i="4" s="1"/>
  <c r="D153" i="4"/>
  <c r="E153" i="4" s="1"/>
  <c r="D154" i="4"/>
  <c r="E154" i="4" s="1"/>
  <c r="D155" i="4"/>
  <c r="D156" i="4"/>
  <c r="E156" i="4" s="1"/>
  <c r="D157" i="4"/>
  <c r="D158" i="4"/>
  <c r="E158" i="4" s="1"/>
  <c r="D159" i="4"/>
  <c r="E159" i="4" s="1"/>
  <c r="D160" i="4"/>
  <c r="E160" i="4" s="1"/>
  <c r="D161" i="4"/>
  <c r="D162" i="4"/>
  <c r="E162" i="4" s="1"/>
  <c r="D163" i="4"/>
  <c r="D164" i="4"/>
  <c r="D165" i="4"/>
  <c r="E165" i="4" s="1"/>
  <c r="D166" i="4"/>
  <c r="E166" i="4" s="1"/>
  <c r="D167" i="4"/>
  <c r="D168" i="4"/>
  <c r="E168" i="4" s="1"/>
  <c r="D169" i="4"/>
  <c r="D170" i="4"/>
  <c r="E170" i="4" s="1"/>
  <c r="D171" i="4"/>
  <c r="E171" i="4" s="1"/>
  <c r="D172" i="4"/>
  <c r="D173" i="4"/>
  <c r="E173" i="4" s="1"/>
  <c r="D174" i="4"/>
  <c r="E174" i="4" s="1"/>
  <c r="D175" i="4"/>
  <c r="D176" i="4"/>
  <c r="D177" i="4"/>
  <c r="E177" i="4" s="1"/>
  <c r="D178" i="4"/>
  <c r="E178" i="4" s="1"/>
  <c r="D179" i="4"/>
  <c r="E179" i="4" s="1"/>
  <c r="D180" i="4"/>
  <c r="E180" i="4" s="1"/>
  <c r="D181" i="4"/>
  <c r="D182" i="4"/>
  <c r="E182" i="4" s="1"/>
  <c r="D183" i="4"/>
  <c r="E183" i="4" s="1"/>
  <c r="D184" i="4"/>
  <c r="E184" i="4" s="1"/>
  <c r="D185" i="4"/>
  <c r="D186" i="4"/>
  <c r="E186" i="4" s="1"/>
  <c r="D187" i="4"/>
  <c r="D188" i="4"/>
  <c r="E188" i="4" s="1"/>
  <c r="D189" i="4"/>
  <c r="E189" i="4" s="1"/>
  <c r="D190" i="4"/>
  <c r="E190" i="4" s="1"/>
  <c r="D191" i="4"/>
  <c r="D192" i="4"/>
  <c r="E192" i="4" s="1"/>
  <c r="D193" i="4"/>
  <c r="D194" i="4"/>
  <c r="E194" i="4" s="1"/>
  <c r="D195" i="4"/>
  <c r="E195" i="4" s="1"/>
  <c r="D196" i="4"/>
  <c r="E196" i="4" s="1"/>
  <c r="D197" i="4"/>
  <c r="E197" i="4" s="1"/>
  <c r="D198" i="4"/>
  <c r="E198" i="4" s="1"/>
  <c r="D199" i="4"/>
  <c r="D200" i="4"/>
  <c r="E200" i="4" s="1"/>
  <c r="D201" i="4"/>
  <c r="E201" i="4" s="1"/>
  <c r="D202" i="4"/>
  <c r="E202" i="4" s="1"/>
  <c r="D203" i="4"/>
  <c r="E203" i="4" s="1"/>
  <c r="D204" i="4"/>
  <c r="E204" i="4" s="1"/>
  <c r="D205" i="4"/>
  <c r="D206" i="4"/>
  <c r="D207" i="4"/>
  <c r="E207" i="4" s="1"/>
  <c r="D208" i="4"/>
  <c r="E208" i="4" s="1"/>
  <c r="D209" i="4"/>
  <c r="D210" i="4"/>
  <c r="E210" i="4" s="1"/>
  <c r="D211" i="4"/>
  <c r="D212" i="4"/>
  <c r="E212" i="4" s="1"/>
  <c r="D213" i="4"/>
  <c r="E213" i="4" s="1"/>
  <c r="D214" i="4"/>
  <c r="E214" i="4" s="1"/>
  <c r="D215" i="4"/>
  <c r="D216" i="4"/>
  <c r="E216" i="4" s="1"/>
  <c r="D217" i="4"/>
  <c r="D218" i="4"/>
  <c r="E218" i="4" s="1"/>
  <c r="D219" i="4"/>
  <c r="E219" i="4" s="1"/>
  <c r="D220" i="4"/>
  <c r="E220" i="4" s="1"/>
  <c r="D221" i="4"/>
  <c r="D222" i="4"/>
  <c r="E222" i="4" s="1"/>
  <c r="D223" i="4"/>
  <c r="D224" i="4"/>
  <c r="E224" i="4" s="1"/>
  <c r="D225" i="4"/>
  <c r="E225" i="4" s="1"/>
  <c r="D226" i="4"/>
  <c r="E226" i="4" s="1"/>
  <c r="D227" i="4"/>
  <c r="D228" i="4"/>
  <c r="E228" i="4" s="1"/>
  <c r="D229" i="4"/>
  <c r="D230" i="4"/>
  <c r="E230" i="4" s="1"/>
  <c r="D231" i="4"/>
  <c r="E231" i="4" s="1"/>
  <c r="D232" i="4"/>
  <c r="E232" i="4" s="1"/>
  <c r="D233" i="4"/>
  <c r="E233" i="4" s="1"/>
  <c r="D234" i="4"/>
  <c r="E234" i="4" s="1"/>
  <c r="D235" i="4"/>
  <c r="D236" i="4"/>
  <c r="D237" i="4"/>
  <c r="E237" i="4" s="1"/>
  <c r="D238" i="4"/>
  <c r="E238" i="4" s="1"/>
  <c r="D239" i="4"/>
  <c r="D240" i="4"/>
  <c r="E240" i="4" s="1"/>
  <c r="D241" i="4"/>
  <c r="D242" i="4"/>
  <c r="D243" i="4"/>
  <c r="E243" i="4" s="1"/>
  <c r="D244" i="4"/>
  <c r="E244" i="4" s="1"/>
  <c r="D245" i="4"/>
  <c r="D246" i="4"/>
  <c r="E246" i="4" s="1"/>
  <c r="D247" i="4"/>
  <c r="D248" i="4"/>
  <c r="D249" i="4"/>
  <c r="E249" i="4" s="1"/>
  <c r="D250" i="4"/>
  <c r="D251" i="4"/>
  <c r="D252" i="4"/>
  <c r="E252" i="4" s="1"/>
  <c r="D253" i="4"/>
  <c r="D254" i="4"/>
  <c r="E254" i="4" s="1"/>
  <c r="D255" i="4"/>
  <c r="E255" i="4" s="1"/>
  <c r="D256" i="4"/>
  <c r="D257" i="4"/>
  <c r="D258" i="4"/>
  <c r="E258" i="4" s="1"/>
  <c r="D259" i="4"/>
  <c r="D260" i="4"/>
  <c r="E260" i="4" s="1"/>
  <c r="AE260" i="4" s="1"/>
  <c r="D261" i="4"/>
  <c r="E261" i="4" s="1"/>
  <c r="AE261" i="4" s="1"/>
  <c r="D262" i="4"/>
  <c r="D263" i="4"/>
  <c r="D264" i="4"/>
  <c r="E264" i="4" s="1"/>
  <c r="AE264" i="4" s="1"/>
  <c r="D265" i="4"/>
  <c r="D266" i="4"/>
  <c r="E266" i="4" s="1"/>
  <c r="AE266" i="4" s="1"/>
  <c r="D267" i="4"/>
  <c r="E267" i="4" s="1"/>
  <c r="AE267" i="4" s="1"/>
  <c r="D268" i="4"/>
  <c r="D269" i="4"/>
  <c r="D270" i="4"/>
  <c r="E270" i="4" s="1"/>
  <c r="AE270" i="4" s="1"/>
  <c r="D271" i="4"/>
  <c r="D272" i="4"/>
  <c r="E272" i="4" s="1"/>
  <c r="AE272" i="4" s="1"/>
  <c r="D273" i="4"/>
  <c r="E273" i="4" s="1"/>
  <c r="AE273" i="4" s="1"/>
  <c r="D274" i="4"/>
  <c r="E274" i="4" s="1"/>
  <c r="AE274" i="4" s="1"/>
  <c r="D275" i="4"/>
  <c r="D276" i="4"/>
  <c r="E276" i="4" s="1"/>
  <c r="AE276" i="4" s="1"/>
  <c r="D277" i="4"/>
  <c r="D278" i="4"/>
  <c r="D279" i="4"/>
  <c r="E279" i="4" s="1"/>
  <c r="AE279" i="4" s="1"/>
  <c r="D280" i="4"/>
  <c r="E280" i="4" s="1"/>
  <c r="AE280" i="4" s="1"/>
  <c r="D281" i="4"/>
  <c r="D282" i="4"/>
  <c r="E282" i="4" s="1"/>
  <c r="AE282" i="4" s="1"/>
  <c r="D283" i="4"/>
  <c r="D284" i="4"/>
  <c r="D285" i="4"/>
  <c r="E285" i="4" s="1"/>
  <c r="AE285" i="4" s="1"/>
  <c r="D286" i="4"/>
  <c r="D287" i="4"/>
  <c r="D288" i="4"/>
  <c r="E288" i="4" s="1"/>
  <c r="AE288" i="4" s="1"/>
  <c r="D289" i="4"/>
  <c r="D290" i="4"/>
  <c r="E290" i="4" s="1"/>
  <c r="AE290" i="4" s="1"/>
  <c r="D291" i="4"/>
  <c r="E291" i="4" s="1"/>
  <c r="AE291" i="4" s="1"/>
  <c r="D292" i="4"/>
  <c r="D293" i="4"/>
  <c r="D294" i="4"/>
  <c r="E294" i="4" s="1"/>
  <c r="AE294" i="4" s="1"/>
  <c r="D295" i="4"/>
  <c r="D296" i="4"/>
  <c r="E296" i="4" s="1"/>
  <c r="AE296" i="4" s="1"/>
  <c r="D297" i="4"/>
  <c r="E297" i="4" s="1"/>
  <c r="AE297" i="4" s="1"/>
  <c r="D298" i="4"/>
  <c r="D299" i="4"/>
  <c r="D300" i="4"/>
  <c r="E300" i="4" s="1"/>
  <c r="AE300" i="4" s="1"/>
  <c r="D301" i="4"/>
  <c r="D302" i="4"/>
  <c r="E302" i="4" s="1"/>
  <c r="AE302" i="4" s="1"/>
  <c r="D303" i="4"/>
  <c r="E303" i="4" s="1"/>
  <c r="AE303" i="4" s="1"/>
  <c r="D304" i="4"/>
  <c r="D305" i="4"/>
  <c r="D306" i="4"/>
  <c r="E306" i="4" s="1"/>
  <c r="AE306" i="4" s="1"/>
  <c r="D307" i="4"/>
  <c r="D308" i="4"/>
  <c r="E308" i="4" s="1"/>
  <c r="AE308" i="4" s="1"/>
  <c r="D309" i="4"/>
  <c r="E309" i="4" s="1"/>
  <c r="AE309" i="4" s="1"/>
  <c r="D310" i="4"/>
  <c r="D311" i="4"/>
  <c r="D312" i="4"/>
  <c r="E312" i="4" s="1"/>
  <c r="AE312" i="4" s="1"/>
  <c r="D313" i="4"/>
  <c r="D314" i="4"/>
  <c r="E314" i="4" s="1"/>
  <c r="AE314" i="4" s="1"/>
  <c r="D315" i="4"/>
  <c r="E315" i="4" s="1"/>
  <c r="AE315" i="4" s="1"/>
  <c r="D316" i="4"/>
  <c r="E316" i="4" s="1"/>
  <c r="AE316" i="4" s="1"/>
  <c r="D317" i="4"/>
  <c r="D318" i="4"/>
  <c r="E318" i="4" s="1"/>
  <c r="AE318" i="4" s="1"/>
  <c r="D319" i="4"/>
  <c r="D320" i="4"/>
  <c r="E320" i="4" s="1"/>
  <c r="AE320" i="4" s="1"/>
  <c r="D321" i="4"/>
  <c r="E321" i="4" s="1"/>
  <c r="AE321" i="4" s="1"/>
  <c r="D322" i="4"/>
  <c r="D323" i="4"/>
  <c r="D324" i="4"/>
  <c r="E324" i="4" s="1"/>
  <c r="AE324" i="4" s="1"/>
  <c r="D325" i="4"/>
  <c r="D326" i="4"/>
  <c r="E326" i="4" s="1"/>
  <c r="AE326" i="4" s="1"/>
  <c r="D327" i="4"/>
  <c r="E327" i="4" s="1"/>
  <c r="AE327" i="4" s="1"/>
  <c r="D328" i="4"/>
  <c r="D329" i="4"/>
  <c r="D330" i="4"/>
  <c r="E330" i="4" s="1"/>
  <c r="AE330" i="4" s="1"/>
  <c r="D331" i="4"/>
  <c r="D332" i="4"/>
  <c r="E332" i="4" s="1"/>
  <c r="AE332" i="4" s="1"/>
  <c r="D333" i="4"/>
  <c r="E333" i="4" s="1"/>
  <c r="AE333" i="4" s="1"/>
  <c r="D334" i="4"/>
  <c r="E334" i="4" s="1"/>
  <c r="AE334" i="4" s="1"/>
  <c r="D335" i="4"/>
  <c r="D336" i="4"/>
  <c r="E336" i="4" s="1"/>
  <c r="AE336" i="4" s="1"/>
  <c r="D337" i="4"/>
  <c r="D338" i="4"/>
  <c r="E338" i="4" s="1"/>
  <c r="AE338" i="4" s="1"/>
  <c r="D339" i="4"/>
  <c r="E339" i="4" s="1"/>
  <c r="AE339" i="4" s="1"/>
  <c r="D340" i="4"/>
  <c r="D341" i="4"/>
  <c r="D342" i="4"/>
  <c r="E342" i="4" s="1"/>
  <c r="AE342" i="4" s="1"/>
  <c r="D343" i="4"/>
  <c r="D344" i="4"/>
  <c r="D345" i="4"/>
  <c r="E345" i="4" s="1"/>
  <c r="AE345" i="4" s="1"/>
  <c r="D346" i="4"/>
  <c r="D347" i="4"/>
  <c r="D348" i="4"/>
  <c r="D349" i="4"/>
  <c r="D350" i="4"/>
  <c r="D351" i="4"/>
  <c r="E351" i="4" s="1"/>
  <c r="AE351" i="4" s="1"/>
  <c r="D352" i="4"/>
  <c r="E352" i="4" s="1"/>
  <c r="AE352" i="4" s="1"/>
  <c r="D353" i="4"/>
  <c r="D354" i="4"/>
  <c r="E354" i="4" s="1"/>
  <c r="AE354" i="4" s="1"/>
  <c r="D355" i="4"/>
  <c r="D356" i="4"/>
  <c r="D357" i="4"/>
  <c r="E357" i="4" s="1"/>
  <c r="AE357" i="4" s="1"/>
  <c r="D358" i="4"/>
  <c r="D359" i="4"/>
  <c r="D360" i="4"/>
  <c r="E360" i="4" s="1"/>
  <c r="AE360" i="4" s="1"/>
  <c r="D361" i="4"/>
  <c r="D362" i="4"/>
  <c r="D363" i="4"/>
  <c r="E363" i="4" s="1"/>
  <c r="AE363" i="4" s="1"/>
  <c r="D364" i="4"/>
  <c r="E364" i="4" s="1"/>
  <c r="AE364" i="4" s="1"/>
  <c r="D365" i="4"/>
  <c r="D366" i="4"/>
  <c r="E366" i="4" s="1"/>
  <c r="AE366" i="4" s="1"/>
  <c r="D367" i="4"/>
  <c r="D368" i="4"/>
  <c r="E368" i="4" s="1"/>
  <c r="AE368" i="4" s="1"/>
  <c r="D369" i="4"/>
  <c r="E369" i="4" s="1"/>
  <c r="AE369" i="4" s="1"/>
  <c r="D370" i="4"/>
  <c r="D371" i="4"/>
  <c r="D372" i="4"/>
  <c r="E372" i="4" s="1"/>
  <c r="AE372" i="4" s="1"/>
  <c r="D373" i="4"/>
  <c r="D374" i="4"/>
  <c r="E374" i="4" s="1"/>
  <c r="AE374" i="4" s="1"/>
  <c r="D375" i="4"/>
  <c r="E375" i="4" s="1"/>
  <c r="AE375" i="4" s="1"/>
  <c r="D376" i="4"/>
  <c r="D377" i="4"/>
  <c r="D378" i="4"/>
  <c r="E378" i="4" s="1"/>
  <c r="AE378" i="4" s="1"/>
  <c r="D379" i="4"/>
  <c r="D380" i="4"/>
  <c r="D381" i="4"/>
  <c r="E381" i="4" s="1"/>
  <c r="AE381" i="4" s="1"/>
  <c r="D382" i="4"/>
  <c r="E382" i="4" s="1"/>
  <c r="AE382" i="4" s="1"/>
  <c r="D383" i="4"/>
  <c r="D384" i="4"/>
  <c r="E384" i="4" s="1"/>
  <c r="AE384" i="4" s="1"/>
  <c r="D385" i="4"/>
  <c r="D386" i="4"/>
  <c r="D387" i="4"/>
  <c r="E387" i="4" s="1"/>
  <c r="AE387" i="4" s="1"/>
  <c r="D388" i="4"/>
  <c r="D389" i="4"/>
  <c r="D390" i="4"/>
  <c r="E390" i="4" s="1"/>
  <c r="AE390" i="4" s="1"/>
  <c r="D391" i="4"/>
  <c r="D392" i="4"/>
  <c r="E392" i="4" s="1"/>
  <c r="AE392" i="4" s="1"/>
  <c r="D393" i="4"/>
  <c r="E393" i="4" s="1"/>
  <c r="AE393" i="4" s="1"/>
  <c r="D394" i="4"/>
  <c r="E394" i="4" s="1"/>
  <c r="AE394" i="4" s="1"/>
  <c r="D395" i="4"/>
  <c r="D396" i="4"/>
  <c r="E396" i="4" s="1"/>
  <c r="AE396" i="4" s="1"/>
  <c r="D397" i="4"/>
  <c r="D398" i="4"/>
  <c r="E398" i="4" s="1"/>
  <c r="AE398" i="4" s="1"/>
  <c r="D399" i="4"/>
  <c r="E399" i="4" s="1"/>
  <c r="AE399" i="4" s="1"/>
  <c r="D400" i="4"/>
  <c r="D401" i="4"/>
  <c r="D402" i="4"/>
  <c r="E402" i="4" s="1"/>
  <c r="AE402" i="4" s="1"/>
  <c r="D403" i="4"/>
  <c r="D404" i="4"/>
  <c r="E404" i="4" s="1"/>
  <c r="AE404" i="4" s="1"/>
  <c r="D405" i="4"/>
  <c r="E405" i="4" s="1"/>
  <c r="AE405" i="4" s="1"/>
  <c r="D406" i="4"/>
  <c r="D407" i="4"/>
  <c r="D408" i="4"/>
  <c r="E408" i="4" s="1"/>
  <c r="AE408" i="4" s="1"/>
  <c r="D409" i="4"/>
  <c r="D410" i="4"/>
  <c r="D411" i="4"/>
  <c r="E411" i="4" s="1"/>
  <c r="AE411" i="4" s="1"/>
  <c r="D412" i="4"/>
  <c r="D413" i="4"/>
  <c r="D414" i="4"/>
  <c r="E414" i="4" s="1"/>
  <c r="AE414" i="4" s="1"/>
  <c r="D415" i="4"/>
  <c r="D416" i="4"/>
  <c r="E416" i="4" s="1"/>
  <c r="AE416" i="4" s="1"/>
  <c r="D417" i="4"/>
  <c r="E417" i="4" s="1"/>
  <c r="AE417" i="4" s="1"/>
  <c r="D418" i="4"/>
  <c r="D419" i="4"/>
  <c r="D420" i="4"/>
  <c r="E420" i="4" s="1"/>
  <c r="AE420" i="4" s="1"/>
  <c r="D421" i="4"/>
  <c r="D422" i="4"/>
  <c r="E422" i="4" s="1"/>
  <c r="AE422" i="4" s="1"/>
  <c r="D423" i="4"/>
  <c r="E423" i="4" s="1"/>
  <c r="AE423" i="4" s="1"/>
  <c r="D424" i="4"/>
  <c r="D425" i="4"/>
  <c r="D426" i="4"/>
  <c r="E426" i="4" s="1"/>
  <c r="AE426" i="4" s="1"/>
  <c r="D427" i="4"/>
  <c r="D428" i="4"/>
  <c r="D429" i="4"/>
  <c r="E429" i="4" s="1"/>
  <c r="AE429" i="4" s="1"/>
  <c r="D430" i="4"/>
  <c r="D431" i="4"/>
  <c r="D432" i="4"/>
  <c r="E432" i="4" s="1"/>
  <c r="AE432" i="4" s="1"/>
  <c r="D433" i="4"/>
  <c r="D434" i="4"/>
  <c r="E434" i="4" s="1"/>
  <c r="AE434" i="4" s="1"/>
  <c r="D435" i="4"/>
  <c r="E435" i="4" s="1"/>
  <c r="AE435" i="4" s="1"/>
  <c r="D436" i="4"/>
  <c r="D437" i="4"/>
  <c r="D438" i="4"/>
  <c r="E438" i="4" s="1"/>
  <c r="AE438" i="4" s="1"/>
  <c r="D439" i="4"/>
  <c r="D440" i="4"/>
  <c r="E440" i="4" s="1"/>
  <c r="AE440" i="4" s="1"/>
  <c r="D441" i="4"/>
  <c r="E441" i="4" s="1"/>
  <c r="AE441" i="4" s="1"/>
  <c r="D442" i="4"/>
  <c r="D443" i="4"/>
  <c r="D444" i="4"/>
  <c r="E444" i="4" s="1"/>
  <c r="AE444" i="4" s="1"/>
  <c r="D445" i="4"/>
  <c r="D446" i="4"/>
  <c r="D447" i="4"/>
  <c r="E447" i="4" s="1"/>
  <c r="AE447" i="4" s="1"/>
  <c r="D448" i="4"/>
  <c r="D449" i="4"/>
  <c r="D450" i="4"/>
  <c r="E450" i="4" s="1"/>
  <c r="AE450" i="4" s="1"/>
  <c r="D451" i="4"/>
  <c r="D452" i="4"/>
  <c r="E452" i="4" s="1"/>
  <c r="AE452" i="4" s="1"/>
  <c r="D453" i="4"/>
  <c r="E453" i="4" s="1"/>
  <c r="AE453" i="4" s="1"/>
  <c r="D454" i="4"/>
  <c r="D455" i="4"/>
  <c r="D456" i="4"/>
  <c r="E456" i="4" s="1"/>
  <c r="AE456" i="4" s="1"/>
  <c r="D457" i="4"/>
  <c r="D458" i="4"/>
  <c r="E458" i="4" s="1"/>
  <c r="AE458" i="4" s="1"/>
  <c r="D459" i="4"/>
  <c r="E459" i="4" s="1"/>
  <c r="AE459" i="4" s="1"/>
  <c r="D460" i="4"/>
  <c r="D461" i="4"/>
  <c r="D462" i="4"/>
  <c r="E462" i="4" s="1"/>
  <c r="AE462" i="4" s="1"/>
  <c r="D463" i="4"/>
  <c r="D464" i="4"/>
  <c r="D465" i="4"/>
  <c r="E465" i="4" s="1"/>
  <c r="AE465" i="4" s="1"/>
  <c r="D466" i="4"/>
  <c r="D467" i="4"/>
  <c r="D468" i="4"/>
  <c r="E468" i="4" s="1"/>
  <c r="AE468" i="4" s="1"/>
  <c r="D469" i="4"/>
  <c r="D470" i="4"/>
  <c r="E470" i="4" s="1"/>
  <c r="AE470" i="4" s="1"/>
  <c r="D471" i="4"/>
  <c r="E471" i="4" s="1"/>
  <c r="AE471" i="4" s="1"/>
  <c r="D472" i="4"/>
  <c r="D473" i="4"/>
  <c r="D474" i="4"/>
  <c r="E474" i="4" s="1"/>
  <c r="AE474" i="4" s="1"/>
  <c r="D475" i="4"/>
  <c r="D476" i="4"/>
  <c r="E476" i="4" s="1"/>
  <c r="AE476" i="4" s="1"/>
  <c r="D477" i="4"/>
  <c r="E477" i="4" s="1"/>
  <c r="AE477" i="4" s="1"/>
  <c r="D478" i="4"/>
  <c r="D479" i="4"/>
  <c r="D480" i="4"/>
  <c r="E480" i="4" s="1"/>
  <c r="AE480" i="4" s="1"/>
  <c r="D481" i="4"/>
  <c r="D482" i="4"/>
  <c r="D483" i="4"/>
  <c r="E483" i="4" s="1"/>
  <c r="AE483" i="4" s="1"/>
  <c r="D484" i="4"/>
  <c r="D485" i="4"/>
  <c r="D486" i="4"/>
  <c r="D487" i="4"/>
  <c r="D488" i="4"/>
  <c r="E488" i="4" s="1"/>
  <c r="AE488" i="4" s="1"/>
  <c r="D489" i="4"/>
  <c r="E489" i="4" s="1"/>
  <c r="AE489" i="4" s="1"/>
  <c r="D490" i="4"/>
  <c r="D491" i="4"/>
  <c r="D492" i="4"/>
  <c r="E492" i="4" s="1"/>
  <c r="AE492" i="4" s="1"/>
  <c r="D493" i="4"/>
  <c r="D494" i="4"/>
  <c r="E494" i="4" s="1"/>
  <c r="AE494" i="4" s="1"/>
  <c r="D495" i="4"/>
  <c r="E495" i="4" s="1"/>
  <c r="AE495" i="4" s="1"/>
  <c r="D496" i="4"/>
  <c r="D497" i="4"/>
  <c r="D498" i="4"/>
  <c r="E498" i="4" s="1"/>
  <c r="AE498" i="4" s="1"/>
  <c r="D499" i="4"/>
  <c r="D500" i="4"/>
  <c r="D501" i="4"/>
  <c r="E501" i="4" s="1"/>
  <c r="AE501" i="4" s="1"/>
  <c r="D502" i="4"/>
  <c r="D503" i="4"/>
  <c r="D504" i="4"/>
  <c r="E504" i="4" s="1"/>
  <c r="AE504" i="4" s="1"/>
  <c r="D505" i="4"/>
  <c r="D506" i="4"/>
  <c r="E506" i="4" s="1"/>
  <c r="AE506" i="4" s="1"/>
  <c r="D507" i="4"/>
  <c r="E507" i="4" s="1"/>
  <c r="AE507" i="4" s="1"/>
  <c r="D508" i="4"/>
  <c r="D509" i="4"/>
  <c r="D510" i="4"/>
  <c r="E510" i="4" s="1"/>
  <c r="AE510" i="4" s="1"/>
  <c r="D511" i="4"/>
  <c r="D512" i="4"/>
  <c r="D513" i="4"/>
  <c r="E513" i="4" s="1"/>
  <c r="AE513" i="4" s="1"/>
  <c r="D514" i="4"/>
  <c r="E514" i="4" s="1"/>
  <c r="AE514" i="4" s="1"/>
  <c r="D515" i="4"/>
  <c r="D516" i="4"/>
  <c r="E516" i="4" s="1"/>
  <c r="AE516" i="4" s="1"/>
  <c r="D517" i="4"/>
  <c r="D518" i="4"/>
  <c r="D519" i="4"/>
  <c r="E519" i="4" s="1"/>
  <c r="AE519" i="4" s="1"/>
  <c r="D520" i="4"/>
  <c r="E520" i="4" s="1"/>
  <c r="AE520" i="4" s="1"/>
  <c r="D521" i="4"/>
  <c r="D522" i="4"/>
  <c r="E522" i="4" s="1"/>
  <c r="AE522" i="4" s="1"/>
  <c r="D523" i="4"/>
  <c r="D524" i="4"/>
  <c r="E524" i="4" s="1"/>
  <c r="AE524" i="4" s="1"/>
  <c r="D525" i="4"/>
  <c r="E525" i="4" s="1"/>
  <c r="AE525" i="4" s="1"/>
  <c r="D526" i="4"/>
  <c r="D527" i="4"/>
  <c r="D528" i="4"/>
  <c r="E528" i="4" s="1"/>
  <c r="AE528" i="4" s="1"/>
  <c r="D529" i="4"/>
  <c r="D530" i="4"/>
  <c r="D531" i="4"/>
  <c r="E531" i="4" s="1"/>
  <c r="AE531" i="4" s="1"/>
  <c r="D532" i="4"/>
  <c r="D533" i="4"/>
  <c r="D534" i="4"/>
  <c r="E534" i="4" s="1"/>
  <c r="AE534" i="4" s="1"/>
  <c r="D535" i="4"/>
  <c r="D536" i="4"/>
  <c r="E536" i="4" s="1"/>
  <c r="AE536" i="4" s="1"/>
  <c r="D537" i="4"/>
  <c r="E537" i="4" s="1"/>
  <c r="AE537" i="4" s="1"/>
  <c r="D538" i="4"/>
  <c r="D539" i="4"/>
  <c r="D540" i="4"/>
  <c r="E540" i="4" s="1"/>
  <c r="AE540" i="4" s="1"/>
  <c r="D541" i="4"/>
  <c r="D542" i="4"/>
  <c r="E542" i="4" s="1"/>
  <c r="AE542" i="4" s="1"/>
  <c r="D543" i="4"/>
  <c r="E543" i="4" s="1"/>
  <c r="AE543" i="4" s="1"/>
  <c r="D544" i="4"/>
  <c r="E544" i="4" s="1"/>
  <c r="AE544" i="4" s="1"/>
  <c r="D545" i="4"/>
  <c r="D546" i="4"/>
  <c r="E546" i="4" s="1"/>
  <c r="AE546" i="4" s="1"/>
  <c r="D547" i="4"/>
  <c r="D548" i="4"/>
  <c r="D549" i="4"/>
  <c r="E549" i="4" s="1"/>
  <c r="AE549" i="4" s="1"/>
  <c r="D550" i="4"/>
  <c r="E550" i="4" s="1"/>
  <c r="AE550" i="4" s="1"/>
  <c r="D551" i="4"/>
  <c r="D552" i="4"/>
  <c r="E552" i="4" s="1"/>
  <c r="AE552" i="4" s="1"/>
  <c r="D553" i="4"/>
  <c r="D554" i="4"/>
  <c r="D555" i="4"/>
  <c r="E555" i="4" s="1"/>
  <c r="AE555" i="4" s="1"/>
  <c r="D556" i="4"/>
  <c r="D557" i="4"/>
  <c r="D558" i="4"/>
  <c r="A152" i="8"/>
  <c r="B152" i="8" s="1"/>
  <c r="C152" i="8" s="1"/>
  <c r="F152" i="8" s="1"/>
  <c r="A153" i="8"/>
  <c r="B153" i="8" s="1"/>
  <c r="D153" i="8" s="1"/>
  <c r="G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D159" i="8" s="1"/>
  <c r="G159" i="8" s="1"/>
  <c r="A160" i="8"/>
  <c r="B160" i="8" s="1"/>
  <c r="A161" i="8"/>
  <c r="B161" i="8" s="1"/>
  <c r="C161" i="8" s="1"/>
  <c r="F161" i="8" s="1"/>
  <c r="A162" i="8"/>
  <c r="B162" i="8" s="1"/>
  <c r="A163" i="8"/>
  <c r="B163" i="8" s="1"/>
  <c r="A164" i="8"/>
  <c r="B164" i="8" s="1"/>
  <c r="C164" i="8" s="1"/>
  <c r="F164" i="8" s="1"/>
  <c r="A165" i="8"/>
  <c r="B165" i="8" s="1"/>
  <c r="D165" i="8" s="1"/>
  <c r="G165" i="8" s="1"/>
  <c r="A166" i="8"/>
  <c r="B166" i="8" s="1"/>
  <c r="E166" i="8" s="1"/>
  <c r="H166" i="8" s="1"/>
  <c r="A167" i="8"/>
  <c r="B167" i="8" s="1"/>
  <c r="A168" i="8"/>
  <c r="B168" i="8" s="1"/>
  <c r="A169" i="8"/>
  <c r="B169" i="8" s="1"/>
  <c r="D169" i="8" s="1"/>
  <c r="G169" i="8" s="1"/>
  <c r="A170" i="8"/>
  <c r="B170" i="8" s="1"/>
  <c r="C170" i="8" s="1"/>
  <c r="F170" i="8" s="1"/>
  <c r="A171" i="8"/>
  <c r="B171" i="8" s="1"/>
  <c r="A172" i="8"/>
  <c r="B172" i="8" s="1"/>
  <c r="C172" i="8" s="1"/>
  <c r="F172" i="8" s="1"/>
  <c r="A173" i="8"/>
  <c r="B173" i="8" s="1"/>
  <c r="D173" i="8" s="1"/>
  <c r="G173" i="8" s="1"/>
  <c r="A174" i="8"/>
  <c r="B174" i="8" s="1"/>
  <c r="E174" i="8" s="1"/>
  <c r="H174" i="8" s="1"/>
  <c r="A175" i="8"/>
  <c r="B175" i="8" s="1"/>
  <c r="A176" i="8"/>
  <c r="B176" i="8"/>
  <c r="C176" i="8" s="1"/>
  <c r="F176" i="8" s="1"/>
  <c r="A177" i="8"/>
  <c r="B177" i="8" s="1"/>
  <c r="A178" i="8"/>
  <c r="B178" i="8" s="1"/>
  <c r="A179" i="8"/>
  <c r="B179" i="8"/>
  <c r="A180" i="8"/>
  <c r="B180" i="8" s="1"/>
  <c r="A181" i="8"/>
  <c r="B181" i="8" s="1"/>
  <c r="D181" i="8" s="1"/>
  <c r="G181" i="8" s="1"/>
  <c r="A182" i="8"/>
  <c r="B182" i="8" s="1"/>
  <c r="E182" i="8" s="1"/>
  <c r="H182" i="8" s="1"/>
  <c r="A183" i="8"/>
  <c r="B183" i="8" s="1"/>
  <c r="D183" i="8" s="1"/>
  <c r="G183" i="8" s="1"/>
  <c r="A184" i="8"/>
  <c r="B184" i="8" s="1"/>
  <c r="C184" i="8" s="1"/>
  <c r="F184" i="8" s="1"/>
  <c r="A185" i="8"/>
  <c r="B185" i="8" s="1"/>
  <c r="D185" i="8" s="1"/>
  <c r="G185" i="8" s="1"/>
  <c r="A186" i="8"/>
  <c r="B186" i="8" s="1"/>
  <c r="D186" i="8" s="1"/>
  <c r="G186" i="8" s="1"/>
  <c r="A187" i="8"/>
  <c r="B187" i="8" s="1"/>
  <c r="A188" i="8"/>
  <c r="B188" i="8" s="1"/>
  <c r="C188" i="8" s="1"/>
  <c r="F188" i="8" s="1"/>
  <c r="A189" i="8"/>
  <c r="B189" i="8" s="1"/>
  <c r="A190" i="8"/>
  <c r="B190" i="8" s="1"/>
  <c r="A191" i="8"/>
  <c r="B191" i="8" s="1"/>
  <c r="D191" i="8" s="1"/>
  <c r="G191" i="8" s="1"/>
  <c r="A192" i="8"/>
  <c r="B192" i="8" s="1"/>
  <c r="A193" i="8"/>
  <c r="B193" i="8" s="1"/>
  <c r="A194" i="8"/>
  <c r="B194" i="8" s="1"/>
  <c r="A195" i="8"/>
  <c r="B195" i="8" s="1"/>
  <c r="A196" i="8"/>
  <c r="B196" i="8" s="1"/>
  <c r="C196" i="8" s="1"/>
  <c r="F196" i="8" s="1"/>
  <c r="A197" i="8"/>
  <c r="B197" i="8" s="1"/>
  <c r="D197" i="8" s="1"/>
  <c r="G197" i="8" s="1"/>
  <c r="A198" i="8"/>
  <c r="B198" i="8" s="1"/>
  <c r="E198" i="8" s="1"/>
  <c r="H198" i="8" s="1"/>
  <c r="A199" i="8"/>
  <c r="B199" i="8" s="1"/>
  <c r="A200" i="8"/>
  <c r="B200" i="8" s="1"/>
  <c r="A201" i="8"/>
  <c r="B201" i="8" s="1"/>
  <c r="C201" i="8" s="1"/>
  <c r="F201" i="8" s="1"/>
  <c r="A202" i="8"/>
  <c r="B202" i="8" s="1"/>
  <c r="A203" i="8"/>
  <c r="B203" i="8" s="1"/>
  <c r="A204" i="8"/>
  <c r="B204" i="8" s="1"/>
  <c r="C204" i="8" s="1"/>
  <c r="F204" i="8" s="1"/>
  <c r="A205" i="8"/>
  <c r="B205" i="8" s="1"/>
  <c r="D205" i="8" s="1"/>
  <c r="G205" i="8" s="1"/>
  <c r="A206" i="8"/>
  <c r="B206" i="8" s="1"/>
  <c r="E206" i="8" s="1"/>
  <c r="H206" i="8" s="1"/>
  <c r="A207" i="8"/>
  <c r="B207" i="8" s="1"/>
  <c r="D207" i="8" s="1"/>
  <c r="G207" i="8" s="1"/>
  <c r="A208" i="8"/>
  <c r="B208" i="8" s="1"/>
  <c r="A209" i="8"/>
  <c r="B209" i="8" s="1"/>
  <c r="A210" i="8"/>
  <c r="B210" i="8" s="1"/>
  <c r="A211" i="8"/>
  <c r="B211" i="8" s="1"/>
  <c r="C211" i="8" s="1"/>
  <c r="F211" i="8" s="1"/>
  <c r="A212" i="8"/>
  <c r="B212" i="8" s="1"/>
  <c r="D212" i="8" s="1"/>
  <c r="G212" i="8" s="1"/>
  <c r="A213" i="8"/>
  <c r="B213" i="8" s="1"/>
  <c r="A214" i="8"/>
  <c r="B214" i="8" s="1"/>
  <c r="A215" i="8"/>
  <c r="B215" i="8" s="1"/>
  <c r="A216" i="8"/>
  <c r="B216" i="8" s="1"/>
  <c r="D216" i="8" s="1"/>
  <c r="G216" i="8" s="1"/>
  <c r="A217" i="8"/>
  <c r="B217" i="8" s="1"/>
  <c r="A218" i="8"/>
  <c r="B218" i="8" s="1"/>
  <c r="A219" i="8"/>
  <c r="B219" i="8" s="1"/>
  <c r="A220" i="8"/>
  <c r="B220" i="8" s="1"/>
  <c r="D220" i="8" s="1"/>
  <c r="G220" i="8" s="1"/>
  <c r="A221" i="8"/>
  <c r="B221" i="8" s="1"/>
  <c r="A222" i="8"/>
  <c r="B222" i="8" s="1"/>
  <c r="A223" i="8"/>
  <c r="B223" i="8" s="1"/>
  <c r="A224" i="8"/>
  <c r="B224" i="8" s="1"/>
  <c r="D224" i="8" s="1"/>
  <c r="G224" i="8" s="1"/>
  <c r="A225" i="8"/>
  <c r="B225" i="8" s="1"/>
  <c r="A226" i="8"/>
  <c r="B226" i="8" s="1"/>
  <c r="A227" i="8"/>
  <c r="B227" i="8" s="1"/>
  <c r="C227" i="8" s="1"/>
  <c r="F227" i="8" s="1"/>
  <c r="A228" i="8"/>
  <c r="B228" i="8" s="1"/>
  <c r="D228" i="8" s="1"/>
  <c r="G228" i="8" s="1"/>
  <c r="A229" i="8"/>
  <c r="B229" i="8" s="1"/>
  <c r="A230" i="8"/>
  <c r="B230" i="8" s="1"/>
  <c r="A231" i="8"/>
  <c r="B231" i="8" s="1"/>
  <c r="A232" i="8"/>
  <c r="B232" i="8" s="1"/>
  <c r="D232" i="8" s="1"/>
  <c r="G232" i="8" s="1"/>
  <c r="A233" i="8"/>
  <c r="B233" i="8" s="1"/>
  <c r="A234" i="8"/>
  <c r="B234" i="8" s="1"/>
  <c r="A235" i="8"/>
  <c r="B235" i="8" s="1"/>
  <c r="A236" i="8"/>
  <c r="B236" i="8" s="1"/>
  <c r="D236" i="8" s="1"/>
  <c r="G236" i="8" s="1"/>
  <c r="A237" i="8"/>
  <c r="B237" i="8" s="1"/>
  <c r="A238" i="8"/>
  <c r="B238" i="8" s="1"/>
  <c r="A239" i="8"/>
  <c r="B239" i="8" s="1"/>
  <c r="A240" i="8"/>
  <c r="B240" i="8" s="1"/>
  <c r="D240" i="8" s="1"/>
  <c r="G240" i="8" s="1"/>
  <c r="A241" i="8"/>
  <c r="B241" i="8" s="1"/>
  <c r="A242" i="8"/>
  <c r="B242" i="8" s="1"/>
  <c r="A243" i="8"/>
  <c r="B243" i="8" s="1"/>
  <c r="C243" i="8" s="1"/>
  <c r="F243" i="8" s="1"/>
  <c r="A244" i="8"/>
  <c r="B244" i="8" s="1"/>
  <c r="D244" i="8" s="1"/>
  <c r="G244" i="8" s="1"/>
  <c r="A245" i="8"/>
  <c r="B245" i="8" s="1"/>
  <c r="A246" i="8"/>
  <c r="B246" i="8" s="1"/>
  <c r="A247" i="8"/>
  <c r="B247" i="8" s="1"/>
  <c r="C247" i="8" s="1"/>
  <c r="F247" i="8" s="1"/>
  <c r="A248" i="8"/>
  <c r="B248" i="8" s="1"/>
  <c r="A249" i="8"/>
  <c r="B249" i="8" s="1"/>
  <c r="E249" i="8" s="1"/>
  <c r="H249" i="8" s="1"/>
  <c r="A250" i="8"/>
  <c r="B250" i="8" s="1"/>
  <c r="C250" i="8" s="1"/>
  <c r="F250" i="8" s="1"/>
  <c r="A251" i="8"/>
  <c r="B251" i="8" s="1"/>
  <c r="A252" i="8"/>
  <c r="B252" i="8" s="1"/>
  <c r="D252" i="8" s="1"/>
  <c r="G252" i="8" s="1"/>
  <c r="A253" i="8"/>
  <c r="B253" i="8" s="1"/>
  <c r="A254" i="8"/>
  <c r="B254" i="8" s="1"/>
  <c r="A255" i="8"/>
  <c r="B255" i="8" s="1"/>
  <c r="C255" i="8" s="1"/>
  <c r="F255" i="8" s="1"/>
  <c r="A256" i="8"/>
  <c r="B256" i="8" s="1"/>
  <c r="A257" i="8"/>
  <c r="B257" i="8" s="1"/>
  <c r="E257" i="8" s="1"/>
  <c r="H257" i="8" s="1"/>
  <c r="A258" i="8"/>
  <c r="B258" i="8" s="1"/>
  <c r="E258" i="8" s="1"/>
  <c r="H258" i="8" s="1"/>
  <c r="A259" i="8"/>
  <c r="B259" i="8" s="1"/>
  <c r="A260" i="8"/>
  <c r="B260" i="8" s="1"/>
  <c r="C260" i="8" s="1"/>
  <c r="F260" i="8" s="1"/>
  <c r="A261" i="8"/>
  <c r="B261" i="8" s="1"/>
  <c r="A262" i="8"/>
  <c r="B262" i="8" s="1"/>
  <c r="A263" i="8"/>
  <c r="B263" i="8" s="1"/>
  <c r="A264" i="8"/>
  <c r="B264" i="8" s="1"/>
  <c r="A265" i="8"/>
  <c r="B265" i="8" s="1"/>
  <c r="E265" i="8" s="1"/>
  <c r="H265" i="8" s="1"/>
  <c r="A266" i="8"/>
  <c r="B266" i="8" s="1"/>
  <c r="A267" i="8"/>
  <c r="B267" i="8" s="1"/>
  <c r="C267" i="8" s="1"/>
  <c r="F267" i="8" s="1"/>
  <c r="A268" i="8"/>
  <c r="B268" i="8" s="1"/>
  <c r="A269" i="8"/>
  <c r="B269" i="8" s="1"/>
  <c r="A270" i="8"/>
  <c r="B270" i="8" s="1"/>
  <c r="A271" i="8"/>
  <c r="B271" i="8" s="1"/>
  <c r="C271" i="8" s="1"/>
  <c r="F271" i="8" s="1"/>
  <c r="A272" i="8"/>
  <c r="B272" i="8" s="1"/>
  <c r="A273" i="8"/>
  <c r="B273" i="8" s="1"/>
  <c r="E273" i="8" s="1"/>
  <c r="H273" i="8" s="1"/>
  <c r="A274" i="8"/>
  <c r="B274" i="8" s="1"/>
  <c r="A275" i="8"/>
  <c r="B275" i="8" s="1"/>
  <c r="E275" i="8" s="1"/>
  <c r="H275" i="8" s="1"/>
  <c r="A276" i="8"/>
  <c r="B276" i="8" s="1"/>
  <c r="D276" i="8" s="1"/>
  <c r="G276" i="8" s="1"/>
  <c r="A277" i="8"/>
  <c r="B277" i="8" s="1"/>
  <c r="A278" i="8"/>
  <c r="B278" i="8" s="1"/>
  <c r="A279" i="8"/>
  <c r="B279" i="8" s="1"/>
  <c r="C279" i="8" s="1"/>
  <c r="F279" i="8" s="1"/>
  <c r="A280" i="8"/>
  <c r="B280" i="8" s="1"/>
  <c r="A281" i="8"/>
  <c r="B281" i="8" s="1"/>
  <c r="E281" i="8" s="1"/>
  <c r="H281" i="8" s="1"/>
  <c r="A282" i="8"/>
  <c r="B282" i="8" s="1"/>
  <c r="E282" i="8" s="1"/>
  <c r="H282" i="8" s="1"/>
  <c r="A283" i="8"/>
  <c r="B283" i="8" s="1"/>
  <c r="A284" i="8"/>
  <c r="B284" i="8" s="1"/>
  <c r="A285" i="8"/>
  <c r="B285" i="8" s="1"/>
  <c r="A286" i="8"/>
  <c r="B286" i="8" s="1"/>
  <c r="A287" i="8"/>
  <c r="B287" i="8" s="1"/>
  <c r="C287" i="8" s="1"/>
  <c r="F287" i="8" s="1"/>
  <c r="A288" i="8"/>
  <c r="B288" i="8" s="1"/>
  <c r="A289" i="8"/>
  <c r="B289" i="8" s="1"/>
  <c r="E289" i="8" s="1"/>
  <c r="H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E297" i="8" s="1"/>
  <c r="H297" i="8" s="1"/>
  <c r="A298" i="8"/>
  <c r="B298" i="8" s="1"/>
  <c r="E298" i="8" s="1"/>
  <c r="H298" i="8" s="1"/>
  <c r="A299" i="8"/>
  <c r="B299" i="8" s="1"/>
  <c r="E299" i="8" s="1"/>
  <c r="H299" i="8" s="1"/>
  <c r="A300" i="8"/>
  <c r="B300" i="8" s="1"/>
  <c r="A301" i="8"/>
  <c r="B301" i="8" s="1"/>
  <c r="A302" i="8"/>
  <c r="B302" i="8" s="1"/>
  <c r="A303" i="8"/>
  <c r="B303" i="8" s="1"/>
  <c r="C303" i="8" s="1"/>
  <c r="F303" i="8" s="1"/>
  <c r="A304" i="8"/>
  <c r="B304" i="8" s="1"/>
  <c r="A305" i="8"/>
  <c r="B305" i="8" s="1"/>
  <c r="E305" i="8" s="1"/>
  <c r="H305" i="8" s="1"/>
  <c r="A306" i="8"/>
  <c r="B306" i="8" s="1"/>
  <c r="C306" i="8" s="1"/>
  <c r="F306" i="8" s="1"/>
  <c r="A307" i="8"/>
  <c r="B307" i="8" s="1"/>
  <c r="A308" i="8"/>
  <c r="B308" i="8" s="1"/>
  <c r="A309" i="8"/>
  <c r="B309" i="8" s="1"/>
  <c r="A310" i="8"/>
  <c r="B310" i="8" s="1"/>
  <c r="A311" i="8"/>
  <c r="B311" i="8" s="1"/>
  <c r="C311" i="8" s="1"/>
  <c r="F311" i="8" s="1"/>
  <c r="A312" i="8"/>
  <c r="B312" i="8" s="1"/>
  <c r="A313" i="8"/>
  <c r="B313" i="8" s="1"/>
  <c r="E313" i="8" s="1"/>
  <c r="H313" i="8" s="1"/>
  <c r="A314" i="8"/>
  <c r="B314" i="8" s="1"/>
  <c r="E314" i="8" s="1"/>
  <c r="H314" i="8" s="1"/>
  <c r="A315" i="8"/>
  <c r="B315" i="8" s="1"/>
  <c r="C315" i="8" s="1"/>
  <c r="F315" i="8" s="1"/>
  <c r="A316" i="8"/>
  <c r="B316" i="8" s="1"/>
  <c r="A317" i="8"/>
  <c r="B317" i="8" s="1"/>
  <c r="A318" i="8"/>
  <c r="B318" i="8" s="1"/>
  <c r="A319" i="8"/>
  <c r="B319" i="8" s="1"/>
  <c r="C319" i="8" s="1"/>
  <c r="F319" i="8" s="1"/>
  <c r="A320" i="8"/>
  <c r="B320" i="8" s="1"/>
  <c r="A321" i="8"/>
  <c r="B321" i="8" s="1"/>
  <c r="E321" i="8" s="1"/>
  <c r="H321" i="8" s="1"/>
  <c r="A322" i="8"/>
  <c r="B322" i="8" s="1"/>
  <c r="C322" i="8" s="1"/>
  <c r="F322" i="8" s="1"/>
  <c r="A323" i="8"/>
  <c r="B323" i="8" s="1"/>
  <c r="A324" i="8"/>
  <c r="B324" i="8" s="1"/>
  <c r="D324" i="8" s="1"/>
  <c r="G324" i="8" s="1"/>
  <c r="A325" i="8"/>
  <c r="B325" i="8" s="1"/>
  <c r="A326" i="8"/>
  <c r="B326" i="8" s="1"/>
  <c r="D326" i="8" s="1"/>
  <c r="G326" i="8" s="1"/>
  <c r="A327" i="8"/>
  <c r="B327" i="8" s="1"/>
  <c r="C327" i="8" s="1"/>
  <c r="F327" i="8" s="1"/>
  <c r="A328" i="8"/>
  <c r="B328" i="8" s="1"/>
  <c r="E328" i="8" s="1"/>
  <c r="H328" i="8" s="1"/>
  <c r="A329" i="8"/>
  <c r="B329" i="8" s="1"/>
  <c r="A330" i="8"/>
  <c r="B330" i="8" s="1"/>
  <c r="A331" i="8"/>
  <c r="B331" i="8" s="1"/>
  <c r="C331" i="8" s="1"/>
  <c r="F331" i="8" s="1"/>
  <c r="A332" i="8"/>
  <c r="B332" i="8" s="1"/>
  <c r="A333" i="8"/>
  <c r="B333" i="8" s="1"/>
  <c r="A334" i="8"/>
  <c r="B334" i="8" s="1"/>
  <c r="D334" i="8" s="1"/>
  <c r="G334" i="8" s="1"/>
  <c r="A335" i="8"/>
  <c r="B335" i="8" s="1"/>
  <c r="C335" i="8" s="1"/>
  <c r="F335" i="8" s="1"/>
  <c r="A336" i="8"/>
  <c r="B336" i="8" s="1"/>
  <c r="E336" i="8" s="1"/>
  <c r="H336" i="8" s="1"/>
  <c r="A337" i="8"/>
  <c r="B337" i="8" s="1"/>
  <c r="A338" i="8"/>
  <c r="B338" i="8" s="1"/>
  <c r="E338" i="8" s="1"/>
  <c r="H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E345" i="8" s="1"/>
  <c r="H345" i="8" s="1"/>
  <c r="A346" i="8"/>
  <c r="B346" i="8" s="1"/>
  <c r="A347" i="8"/>
  <c r="B347" i="8" s="1"/>
  <c r="E347" i="8" s="1"/>
  <c r="H347" i="8" s="1"/>
  <c r="A348" i="8"/>
  <c r="B348" i="8" s="1"/>
  <c r="A349" i="8"/>
  <c r="B349" i="8" s="1"/>
  <c r="C349" i="8" s="1"/>
  <c r="F349" i="8" s="1"/>
  <c r="A350" i="8"/>
  <c r="B350" i="8" s="1"/>
  <c r="A351" i="8"/>
  <c r="B351" i="8" s="1"/>
  <c r="A352" i="8"/>
  <c r="B352" i="8" s="1"/>
  <c r="A353" i="8"/>
  <c r="B353" i="8" s="1"/>
  <c r="E353" i="8" s="1"/>
  <c r="H353" i="8" s="1"/>
  <c r="A354" i="8"/>
  <c r="B354" i="8" s="1"/>
  <c r="A355" i="8"/>
  <c r="B355" i="8" s="1"/>
  <c r="E355" i="8" s="1"/>
  <c r="H355" i="8" s="1"/>
  <c r="A356" i="8"/>
  <c r="B356" i="8" s="1"/>
  <c r="E356" i="8" s="1"/>
  <c r="H356" i="8" s="1"/>
  <c r="A357" i="8"/>
  <c r="B357" i="8" s="1"/>
  <c r="C357" i="8" s="1"/>
  <c r="F357" i="8" s="1"/>
  <c r="A358" i="8"/>
  <c r="B358" i="8" s="1"/>
  <c r="A359" i="8"/>
  <c r="B359" i="8" s="1"/>
  <c r="A360" i="8"/>
  <c r="B360" i="8" s="1"/>
  <c r="A361" i="8"/>
  <c r="B361" i="8" s="1"/>
  <c r="E361" i="8" s="1"/>
  <c r="H361" i="8" s="1"/>
  <c r="A362" i="8"/>
  <c r="B362" i="8" s="1"/>
  <c r="A363" i="8"/>
  <c r="B363" i="8" s="1"/>
  <c r="E363" i="8" s="1"/>
  <c r="H363" i="8" s="1"/>
  <c r="A364" i="8"/>
  <c r="B364" i="8" s="1"/>
  <c r="E364" i="8" s="1"/>
  <c r="H364" i="8" s="1"/>
  <c r="A365" i="8"/>
  <c r="B365" i="8" s="1"/>
  <c r="C365" i="8" s="1"/>
  <c r="F365" i="8" s="1"/>
  <c r="A366" i="8"/>
  <c r="B366" i="8" s="1"/>
  <c r="A367" i="8"/>
  <c r="B367" i="8" s="1"/>
  <c r="A368" i="8"/>
  <c r="B368" i="8" s="1"/>
  <c r="A369" i="8"/>
  <c r="B369" i="8" s="1"/>
  <c r="E369" i="8" s="1"/>
  <c r="H369" i="8" s="1"/>
  <c r="A370" i="8"/>
  <c r="B370" i="8" s="1"/>
  <c r="A371" i="8"/>
  <c r="B371" i="8" s="1"/>
  <c r="E371" i="8" s="1"/>
  <c r="H371" i="8" s="1"/>
  <c r="A372" i="8"/>
  <c r="B372" i="8" s="1"/>
  <c r="E372" i="8" s="1"/>
  <c r="H372" i="8" s="1"/>
  <c r="A373" i="8"/>
  <c r="B373" i="8" s="1"/>
  <c r="A374" i="8"/>
  <c r="B374" i="8" s="1"/>
  <c r="A375" i="8"/>
  <c r="B375" i="8" s="1"/>
  <c r="A376" i="8"/>
  <c r="B376" i="8" s="1"/>
  <c r="A377" i="8"/>
  <c r="B377" i="8" s="1"/>
  <c r="E377" i="8" s="1"/>
  <c r="H377" i="8" s="1"/>
  <c r="A378" i="8"/>
  <c r="B378" i="8" s="1"/>
  <c r="A379" i="8"/>
  <c r="B379" i="8" s="1"/>
  <c r="E379" i="8" s="1"/>
  <c r="H379" i="8" s="1"/>
  <c r="A380" i="8"/>
  <c r="B380" i="8" s="1"/>
  <c r="E380" i="8" s="1"/>
  <c r="H380" i="8" s="1"/>
  <c r="A381" i="8"/>
  <c r="B381" i="8" s="1"/>
  <c r="C381" i="8" s="1"/>
  <c r="F381" i="8" s="1"/>
  <c r="A382" i="8"/>
  <c r="B382" i="8" s="1"/>
  <c r="A383" i="8"/>
  <c r="B383" i="8" s="1"/>
  <c r="A384" i="8"/>
  <c r="B384" i="8" s="1"/>
  <c r="A385" i="8"/>
  <c r="B385" i="8" s="1"/>
  <c r="E385" i="8" s="1"/>
  <c r="H385" i="8" s="1"/>
  <c r="A386" i="8"/>
  <c r="B386" i="8" s="1"/>
  <c r="A387" i="8"/>
  <c r="B387" i="8" s="1"/>
  <c r="E387" i="8" s="1"/>
  <c r="H387" i="8" s="1"/>
  <c r="A388" i="8"/>
  <c r="B388" i="8" s="1"/>
  <c r="E388" i="8" s="1"/>
  <c r="H388" i="8" s="1"/>
  <c r="A389" i="8"/>
  <c r="B389" i="8" s="1"/>
  <c r="C389" i="8" s="1"/>
  <c r="F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C395" i="8" s="1"/>
  <c r="F395" i="8" s="1"/>
  <c r="A396" i="8"/>
  <c r="B396" i="8" s="1"/>
  <c r="A397" i="8"/>
  <c r="B397" i="8" s="1"/>
  <c r="A398" i="8"/>
  <c r="B398" i="8" s="1"/>
  <c r="A399" i="8"/>
  <c r="B399" i="8" s="1"/>
  <c r="C399" i="8" s="1"/>
  <c r="F399" i="8" s="1"/>
  <c r="A400" i="8"/>
  <c r="B400" i="8" s="1"/>
  <c r="E400" i="8" s="1"/>
  <c r="H400" i="8" s="1"/>
  <c r="A401" i="8"/>
  <c r="B401" i="8" s="1"/>
  <c r="A402" i="8"/>
  <c r="B402" i="8" s="1"/>
  <c r="A403" i="8"/>
  <c r="B403" i="8" s="1"/>
  <c r="D403" i="8" s="1"/>
  <c r="G403" i="8" s="1"/>
  <c r="A404" i="8"/>
  <c r="B404" i="8" s="1"/>
  <c r="E404" i="8" s="1"/>
  <c r="H404" i="8" s="1"/>
  <c r="A405" i="8"/>
  <c r="B405" i="8" s="1"/>
  <c r="E405" i="8" s="1"/>
  <c r="H405" i="8" s="1"/>
  <c r="A406" i="8"/>
  <c r="B406" i="8" s="1"/>
  <c r="A407" i="8"/>
  <c r="B407" i="8" s="1"/>
  <c r="A408" i="8"/>
  <c r="B408" i="8" s="1"/>
  <c r="A409" i="8"/>
  <c r="B409" i="8" s="1"/>
  <c r="E409" i="8" s="1"/>
  <c r="H409" i="8" s="1"/>
  <c r="A410" i="8"/>
  <c r="B410" i="8" s="1"/>
  <c r="A411" i="8"/>
  <c r="B411" i="8" s="1"/>
  <c r="C411" i="8" s="1"/>
  <c r="F411" i="8" s="1"/>
  <c r="A412" i="8"/>
  <c r="B412" i="8" s="1"/>
  <c r="A413" i="8"/>
  <c r="B413" i="8" s="1"/>
  <c r="E413" i="8" s="1"/>
  <c r="H413" i="8" s="1"/>
  <c r="A414" i="8"/>
  <c r="B414" i="8" s="1"/>
  <c r="A415" i="8"/>
  <c r="B415" i="8" s="1"/>
  <c r="C415" i="8" s="1"/>
  <c r="F415" i="8" s="1"/>
  <c r="A416" i="8"/>
  <c r="B416" i="8" s="1"/>
  <c r="C416" i="8" s="1"/>
  <c r="F416" i="8" s="1"/>
  <c r="A417" i="8"/>
  <c r="B417" i="8" s="1"/>
  <c r="A418" i="8"/>
  <c r="B418" i="8" s="1"/>
  <c r="A419" i="8"/>
  <c r="B419" i="8" s="1"/>
  <c r="E419" i="8" s="1"/>
  <c r="H419" i="8" s="1"/>
  <c r="A420" i="8"/>
  <c r="B420" i="8" s="1"/>
  <c r="C420" i="8" s="1"/>
  <c r="F420" i="8" s="1"/>
  <c r="A421" i="8"/>
  <c r="B421" i="8" s="1"/>
  <c r="E421" i="8" s="1"/>
  <c r="H421" i="8" s="1"/>
  <c r="A422" i="8"/>
  <c r="B422" i="8" s="1"/>
  <c r="A423" i="8"/>
  <c r="B423" i="8" s="1"/>
  <c r="E423" i="8" s="1"/>
  <c r="H423" i="8" s="1"/>
  <c r="A424" i="8"/>
  <c r="B424" i="8" s="1"/>
  <c r="C424" i="8" s="1"/>
  <c r="F424" i="8" s="1"/>
  <c r="A425" i="8"/>
  <c r="B425" i="8" s="1"/>
  <c r="E425" i="8" s="1"/>
  <c r="H425" i="8" s="1"/>
  <c r="A426" i="8"/>
  <c r="B426" i="8" s="1"/>
  <c r="A427" i="8"/>
  <c r="B427" i="8" s="1"/>
  <c r="C427" i="8" s="1"/>
  <c r="F427" i="8" s="1"/>
  <c r="A428" i="8"/>
  <c r="B428" i="8" s="1"/>
  <c r="A429" i="8"/>
  <c r="B429" i="8" s="1"/>
  <c r="E429" i="8" s="1"/>
  <c r="H429" i="8" s="1"/>
  <c r="A430" i="8"/>
  <c r="B430" i="8" s="1"/>
  <c r="A431" i="8"/>
  <c r="B431" i="8" s="1"/>
  <c r="E431" i="8" s="1"/>
  <c r="H431" i="8" s="1"/>
  <c r="A432" i="8"/>
  <c r="B432" i="8" s="1"/>
  <c r="E432" i="8" s="1"/>
  <c r="H432" i="8" s="1"/>
  <c r="A433" i="8"/>
  <c r="B433" i="8" s="1"/>
  <c r="A434" i="8"/>
  <c r="B434" i="8" s="1"/>
  <c r="A435" i="8"/>
  <c r="B435" i="8" s="1"/>
  <c r="E435" i="8" s="1"/>
  <c r="H435" i="8" s="1"/>
  <c r="A436" i="8"/>
  <c r="B436" i="8" s="1"/>
  <c r="E436" i="8" s="1"/>
  <c r="H436" i="8" s="1"/>
  <c r="A437" i="8"/>
  <c r="B437" i="8" s="1"/>
  <c r="E437" i="8" s="1"/>
  <c r="H437" i="8" s="1"/>
  <c r="A438" i="8"/>
  <c r="B438" i="8" s="1"/>
  <c r="A439" i="8"/>
  <c r="B439" i="8" s="1"/>
  <c r="E439" i="8" s="1"/>
  <c r="H439" i="8" s="1"/>
  <c r="A440" i="8"/>
  <c r="B440" i="8" s="1"/>
  <c r="E440" i="8" s="1"/>
  <c r="H440" i="8" s="1"/>
  <c r="A441" i="8"/>
  <c r="B441" i="8" s="1"/>
  <c r="E441" i="8" s="1"/>
  <c r="H441" i="8" s="1"/>
  <c r="A442" i="8"/>
  <c r="B442" i="8" s="1"/>
  <c r="A443" i="8"/>
  <c r="B443" i="8" s="1"/>
  <c r="A444" i="8"/>
  <c r="B444" i="8" s="1"/>
  <c r="E444" i="8" s="1"/>
  <c r="H444" i="8" s="1"/>
  <c r="A445" i="8"/>
  <c r="B445" i="8" s="1"/>
  <c r="E445" i="8" s="1"/>
  <c r="H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C451" i="8" s="1"/>
  <c r="F451" i="8" s="1"/>
  <c r="A452" i="8"/>
  <c r="B452" i="8" s="1"/>
  <c r="A453" i="8"/>
  <c r="B453" i="8" s="1"/>
  <c r="E453" i="8" s="1"/>
  <c r="H453" i="8" s="1"/>
  <c r="A454" i="8"/>
  <c r="B454" i="8" s="1"/>
  <c r="A455" i="8"/>
  <c r="B455" i="8" s="1"/>
  <c r="C455" i="8" s="1"/>
  <c r="F455" i="8" s="1"/>
  <c r="A456" i="8"/>
  <c r="B456" i="8" s="1"/>
  <c r="A457" i="8"/>
  <c r="B457" i="8" s="1"/>
  <c r="E457" i="8" s="1"/>
  <c r="H457" i="8" s="1"/>
  <c r="A458" i="8"/>
  <c r="B458" i="8" s="1"/>
  <c r="A459" i="8"/>
  <c r="B459" i="8" s="1"/>
  <c r="C459" i="8" s="1"/>
  <c r="F459" i="8" s="1"/>
  <c r="A460" i="8"/>
  <c r="B460" i="8" s="1"/>
  <c r="A461" i="8"/>
  <c r="B461" i="8" s="1"/>
  <c r="E461" i="8" s="1"/>
  <c r="H461" i="8" s="1"/>
  <c r="A462" i="8"/>
  <c r="B462" i="8" s="1"/>
  <c r="A463" i="8"/>
  <c r="B463" i="8" s="1"/>
  <c r="A464" i="8"/>
  <c r="B464" i="8" s="1"/>
  <c r="C464" i="8" s="1"/>
  <c r="F464" i="8" s="1"/>
  <c r="A465" i="8"/>
  <c r="B465" i="8" s="1"/>
  <c r="A466" i="8"/>
  <c r="B466" i="8" s="1"/>
  <c r="A467" i="8"/>
  <c r="B467" i="8" s="1"/>
  <c r="E467" i="8" s="1"/>
  <c r="H467" i="8" s="1"/>
  <c r="A468" i="8"/>
  <c r="B468" i="8" s="1"/>
  <c r="C468" i="8" s="1"/>
  <c r="F468" i="8" s="1"/>
  <c r="A469" i="8"/>
  <c r="B469" i="8" s="1"/>
  <c r="E469" i="8" s="1"/>
  <c r="H469" i="8" s="1"/>
  <c r="A470" i="8"/>
  <c r="B470" i="8" s="1"/>
  <c r="A471" i="8"/>
  <c r="B471" i="8" s="1"/>
  <c r="E471" i="8" s="1"/>
  <c r="H471" i="8" s="1"/>
  <c r="A472" i="8"/>
  <c r="B472" i="8" s="1"/>
  <c r="C472" i="8" s="1"/>
  <c r="F472" i="8" s="1"/>
  <c r="A473" i="8"/>
  <c r="B473" i="8" s="1"/>
  <c r="E473" i="8" s="1"/>
  <c r="H473" i="8" s="1"/>
  <c r="A474" i="8"/>
  <c r="B474" i="8" s="1"/>
  <c r="A475" i="8"/>
  <c r="B475" i="8" s="1"/>
  <c r="E475" i="8" s="1"/>
  <c r="H475" i="8" s="1"/>
  <c r="A476" i="8"/>
  <c r="B476" i="8" s="1"/>
  <c r="C476" i="8" s="1"/>
  <c r="F476" i="8" s="1"/>
  <c r="A477" i="8"/>
  <c r="B477" i="8" s="1"/>
  <c r="E477" i="8" s="1"/>
  <c r="H477" i="8" s="1"/>
  <c r="A478" i="8"/>
  <c r="B478" i="8" s="1"/>
  <c r="A479" i="8"/>
  <c r="B479" i="8" s="1"/>
  <c r="E479" i="8" s="1"/>
  <c r="H479" i="8" s="1"/>
  <c r="A480" i="8"/>
  <c r="B480" i="8" s="1"/>
  <c r="A481" i="8"/>
  <c r="B481" i="8" s="1"/>
  <c r="A482" i="8"/>
  <c r="B482" i="8" s="1"/>
  <c r="A483" i="8"/>
  <c r="B483" i="8" s="1"/>
  <c r="E483" i="8" s="1"/>
  <c r="H483" i="8" s="1"/>
  <c r="A484" i="8"/>
  <c r="B484" i="8" s="1"/>
  <c r="A485" i="8"/>
  <c r="B485" i="8" s="1"/>
  <c r="E485" i="8" s="1"/>
  <c r="H485" i="8" s="1"/>
  <c r="A486" i="8"/>
  <c r="B486" i="8" s="1"/>
  <c r="A487" i="8"/>
  <c r="B487" i="8" s="1"/>
  <c r="E487" i="8" s="1"/>
  <c r="H487" i="8" s="1"/>
  <c r="A488" i="8"/>
  <c r="B488" i="8" s="1"/>
  <c r="E488" i="8" s="1"/>
  <c r="H488" i="8" s="1"/>
  <c r="A489" i="8"/>
  <c r="B489" i="8" s="1"/>
  <c r="E489" i="8" s="1"/>
  <c r="H489" i="8" s="1"/>
  <c r="A490" i="8"/>
  <c r="B490" i="8" s="1"/>
  <c r="A491" i="8"/>
  <c r="B491" i="8" s="1"/>
  <c r="E491" i="8" s="1"/>
  <c r="H491" i="8" s="1"/>
  <c r="A492" i="8"/>
  <c r="B492" i="8" s="1"/>
  <c r="E492" i="8" s="1"/>
  <c r="H492" i="8" s="1"/>
  <c r="A493" i="8"/>
  <c r="B493" i="8" s="1"/>
  <c r="E493" i="8" s="1"/>
  <c r="H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E499" i="8" s="1"/>
  <c r="H499" i="8" s="1"/>
  <c r="A500" i="8"/>
  <c r="B500" i="8" s="1"/>
  <c r="E500" i="8" s="1"/>
  <c r="H500" i="8" s="1"/>
  <c r="A501" i="8"/>
  <c r="B501" i="8" s="1"/>
  <c r="E501" i="8" s="1"/>
  <c r="H501" i="8" s="1"/>
  <c r="A502" i="8"/>
  <c r="B502" i="8" s="1"/>
  <c r="A503" i="8"/>
  <c r="B503" i="8" s="1"/>
  <c r="E503" i="8" s="1"/>
  <c r="H503" i="8" s="1"/>
  <c r="A504" i="8"/>
  <c r="B504" i="8" s="1"/>
  <c r="A505" i="8"/>
  <c r="B505" i="8" s="1"/>
  <c r="E505" i="8" s="1"/>
  <c r="H505" i="8" s="1"/>
  <c r="A506" i="8"/>
  <c r="B506" i="8" s="1"/>
  <c r="A507" i="8"/>
  <c r="B507" i="8" s="1"/>
  <c r="A508" i="8"/>
  <c r="B508" i="8" s="1"/>
  <c r="E508" i="8" s="1"/>
  <c r="H508" i="8" s="1"/>
  <c r="A509" i="8"/>
  <c r="B509" i="8" s="1"/>
  <c r="E509" i="8" s="1"/>
  <c r="H509" i="8" s="1"/>
  <c r="A510" i="8"/>
  <c r="B510" i="8" s="1"/>
  <c r="A511" i="8"/>
  <c r="B511" i="8" s="1"/>
  <c r="E511" i="8" s="1"/>
  <c r="H511" i="8" s="1"/>
  <c r="A512" i="8"/>
  <c r="B512" i="8" s="1"/>
  <c r="E512" i="8" s="1"/>
  <c r="H512" i="8" s="1"/>
  <c r="A513" i="8"/>
  <c r="B513" i="8" s="1"/>
  <c r="D513" i="8" s="1"/>
  <c r="G513" i="8" s="1"/>
  <c r="A514" i="8"/>
  <c r="B514" i="8" s="1"/>
  <c r="E514" i="8" s="1"/>
  <c r="H514" i="8" s="1"/>
  <c r="A515" i="8"/>
  <c r="B515" i="8" s="1"/>
  <c r="E515" i="8" s="1"/>
  <c r="H515" i="8" s="1"/>
  <c r="A516" i="8"/>
  <c r="B516" i="8" s="1"/>
  <c r="E516" i="8" s="1"/>
  <c r="H516" i="8" s="1"/>
  <c r="A517" i="8"/>
  <c r="B517" i="8" s="1"/>
  <c r="D517" i="8" s="1"/>
  <c r="G517" i="8" s="1"/>
  <c r="A518" i="8"/>
  <c r="B518" i="8" s="1"/>
  <c r="A519" i="8"/>
  <c r="B519" i="8" s="1"/>
  <c r="E519" i="8" s="1"/>
  <c r="H519" i="8" s="1"/>
  <c r="A520" i="8"/>
  <c r="B520" i="8" s="1"/>
  <c r="A521" i="8"/>
  <c r="B521" i="8" s="1"/>
  <c r="D521" i="8" s="1"/>
  <c r="G521" i="8" s="1"/>
  <c r="A522" i="8"/>
  <c r="B522" i="8" s="1"/>
  <c r="E522" i="8" s="1"/>
  <c r="H522" i="8" s="1"/>
  <c r="A523" i="8"/>
  <c r="B523" i="8" s="1"/>
  <c r="E523" i="8" s="1"/>
  <c r="H523" i="8" s="1"/>
  <c r="A524" i="8"/>
  <c r="B524" i="8" s="1"/>
  <c r="E524" i="8" s="1"/>
  <c r="H524" i="8" s="1"/>
  <c r="A525" i="8"/>
  <c r="B525" i="8" s="1"/>
  <c r="D525" i="8" s="1"/>
  <c r="G525" i="8" s="1"/>
  <c r="A526" i="8"/>
  <c r="B526" i="8" s="1"/>
  <c r="A527" i="8"/>
  <c r="B527" i="8" s="1"/>
  <c r="E527" i="8" s="1"/>
  <c r="H527" i="8" s="1"/>
  <c r="A528" i="8"/>
  <c r="B528" i="8" s="1"/>
  <c r="A529" i="8"/>
  <c r="B529" i="8" s="1"/>
  <c r="D529" i="8" s="1"/>
  <c r="G529" i="8" s="1"/>
  <c r="A530" i="8"/>
  <c r="B530" i="8" s="1"/>
  <c r="E530" i="8" s="1"/>
  <c r="H530" i="8" s="1"/>
  <c r="A531" i="8"/>
  <c r="B531" i="8" s="1"/>
  <c r="A532" i="8"/>
  <c r="B532" i="8" s="1"/>
  <c r="E532" i="8" s="1"/>
  <c r="H532" i="8" s="1"/>
  <c r="A533" i="8"/>
  <c r="B533" i="8" s="1"/>
  <c r="D533" i="8" s="1"/>
  <c r="G533" i="8" s="1"/>
  <c r="A534" i="8"/>
  <c r="B534" i="8" s="1"/>
  <c r="A535" i="8"/>
  <c r="B535" i="8" s="1"/>
  <c r="E535" i="8" s="1"/>
  <c r="H535" i="8" s="1"/>
  <c r="A536" i="8"/>
  <c r="B536" i="8" s="1"/>
  <c r="A537" i="8"/>
  <c r="B537" i="8" s="1"/>
  <c r="D537" i="8" s="1"/>
  <c r="G537" i="8" s="1"/>
  <c r="A538" i="8"/>
  <c r="B538" i="8" s="1"/>
  <c r="A539" i="8"/>
  <c r="B539" i="8" s="1"/>
  <c r="E539" i="8" s="1"/>
  <c r="H539" i="8" s="1"/>
  <c r="A540" i="8"/>
  <c r="B540" i="8" s="1"/>
  <c r="E540" i="8" s="1"/>
  <c r="H540" i="8" s="1"/>
  <c r="A541" i="8"/>
  <c r="B541" i="8" s="1"/>
  <c r="D541" i="8" s="1"/>
  <c r="G541" i="8" s="1"/>
  <c r="A542" i="8"/>
  <c r="B542" i="8" s="1"/>
  <c r="A543" i="8"/>
  <c r="B543" i="8" s="1"/>
  <c r="E543" i="8" s="1"/>
  <c r="H543" i="8" s="1"/>
  <c r="A544" i="8"/>
  <c r="B544" i="8" s="1"/>
  <c r="A545" i="8"/>
  <c r="B545" i="8" s="1"/>
  <c r="D545" i="8" s="1"/>
  <c r="G545" i="8" s="1"/>
  <c r="A546" i="8"/>
  <c r="B546" i="8" s="1"/>
  <c r="A547" i="8"/>
  <c r="B547" i="8" s="1"/>
  <c r="E547" i="8" s="1"/>
  <c r="H547" i="8" s="1"/>
  <c r="A548" i="8"/>
  <c r="B548" i="8" s="1"/>
  <c r="E548" i="8" s="1"/>
  <c r="H548" i="8" s="1"/>
  <c r="A549" i="8"/>
  <c r="B549" i="8" s="1"/>
  <c r="D549" i="8" s="1"/>
  <c r="G549" i="8" s="1"/>
  <c r="A550" i="8"/>
  <c r="B550" i="8" s="1"/>
  <c r="A551" i="8"/>
  <c r="B551" i="8" s="1"/>
  <c r="E551" i="8" s="1"/>
  <c r="H551" i="8" s="1"/>
  <c r="A552" i="8"/>
  <c r="B552" i="8" s="1"/>
  <c r="A553" i="8"/>
  <c r="B553" i="8" s="1"/>
  <c r="D553" i="8" s="1"/>
  <c r="G553" i="8" s="1"/>
  <c r="A554" i="8"/>
  <c r="B554" i="8" s="1"/>
  <c r="E554" i="8" s="1"/>
  <c r="H554" i="8" s="1"/>
  <c r="A555" i="8"/>
  <c r="B555" i="8" s="1"/>
  <c r="E555" i="8" s="1"/>
  <c r="H555" i="8" s="1"/>
  <c r="A556" i="8"/>
  <c r="B556" i="8" s="1"/>
  <c r="E556" i="8" s="1"/>
  <c r="H556" i="8" s="1"/>
  <c r="A557" i="8"/>
  <c r="B557" i="8" s="1"/>
  <c r="A558" i="8"/>
  <c r="B558" i="8" s="1"/>
  <c r="A559" i="8"/>
  <c r="B559" i="8" s="1"/>
  <c r="E559" i="8" s="1"/>
  <c r="H559" i="8" s="1"/>
  <c r="A560" i="8"/>
  <c r="B560" i="8" s="1"/>
  <c r="A561" i="8"/>
  <c r="B561" i="8" s="1"/>
  <c r="D561" i="8" s="1"/>
  <c r="G561" i="8" s="1"/>
  <c r="A562" i="8"/>
  <c r="B562" i="8" s="1"/>
  <c r="E562" i="8" s="1"/>
  <c r="H562" i="8" s="1"/>
  <c r="A563" i="8"/>
  <c r="B563" i="8" s="1"/>
  <c r="E563" i="8" s="1"/>
  <c r="H563" i="8" s="1"/>
  <c r="A564" i="8"/>
  <c r="B564" i="8" s="1"/>
  <c r="E564" i="8" s="1"/>
  <c r="H564" i="8" s="1"/>
  <c r="A565" i="8"/>
  <c r="B565" i="8" s="1"/>
  <c r="D565" i="8" s="1"/>
  <c r="G565" i="8" s="1"/>
  <c r="A566" i="8"/>
  <c r="B566" i="8" s="1"/>
  <c r="A567" i="8"/>
  <c r="B567" i="8" s="1"/>
  <c r="E567" i="8" s="1"/>
  <c r="H567" i="8" s="1"/>
  <c r="A568" i="8"/>
  <c r="B568" i="8" s="1"/>
  <c r="A569" i="8"/>
  <c r="B569" i="8" s="1"/>
  <c r="A570" i="8"/>
  <c r="B570" i="8" s="1"/>
  <c r="E570" i="8" s="1"/>
  <c r="H570" i="8" s="1"/>
  <c r="A571" i="8"/>
  <c r="B571" i="8" s="1"/>
  <c r="E571" i="8" s="1"/>
  <c r="H571" i="8" s="1"/>
  <c r="A572" i="8"/>
  <c r="B572" i="8" s="1"/>
  <c r="A573" i="8"/>
  <c r="B573" i="8" s="1"/>
  <c r="D573" i="8" s="1"/>
  <c r="G573" i="8" s="1"/>
  <c r="A574" i="8"/>
  <c r="B574" i="8" s="1"/>
  <c r="A575" i="8"/>
  <c r="B575" i="8" s="1"/>
  <c r="A576" i="8"/>
  <c r="B576" i="8" s="1"/>
  <c r="A577" i="8"/>
  <c r="B577" i="8" s="1"/>
  <c r="D577" i="8" s="1"/>
  <c r="G577" i="8" s="1"/>
  <c r="A578" i="8"/>
  <c r="B578" i="8" s="1"/>
  <c r="E578" i="8" s="1"/>
  <c r="H578" i="8" s="1"/>
  <c r="A579" i="8"/>
  <c r="B579" i="8" s="1"/>
  <c r="E579" i="8" s="1"/>
  <c r="H579" i="8" s="1"/>
  <c r="A580" i="8"/>
  <c r="B580" i="8" s="1"/>
  <c r="E580" i="8" s="1"/>
  <c r="H580" i="8" s="1"/>
  <c r="A581" i="8"/>
  <c r="B581" i="8" s="1"/>
  <c r="D581" i="8" s="1"/>
  <c r="G581" i="8" s="1"/>
  <c r="A582" i="8"/>
  <c r="B582" i="8" s="1"/>
  <c r="A583" i="8"/>
  <c r="B583" i="8" s="1"/>
  <c r="E583" i="8" s="1"/>
  <c r="H583" i="8" s="1"/>
  <c r="A584" i="8"/>
  <c r="B584" i="8" s="1"/>
  <c r="A585" i="8"/>
  <c r="B585" i="8" s="1"/>
  <c r="D585" i="8" s="1"/>
  <c r="G585" i="8" s="1"/>
  <c r="A586" i="8"/>
  <c r="B586" i="8" s="1"/>
  <c r="E586" i="8" s="1"/>
  <c r="H586" i="8" s="1"/>
  <c r="A587" i="8"/>
  <c r="B587" i="8" s="1"/>
  <c r="E587" i="8" s="1"/>
  <c r="H587" i="8" s="1"/>
  <c r="A588" i="8"/>
  <c r="B588" i="8" s="1"/>
  <c r="A589" i="8"/>
  <c r="B589" i="8" s="1"/>
  <c r="D589" i="8" s="1"/>
  <c r="G589" i="8" s="1"/>
  <c r="A590" i="8"/>
  <c r="B590" i="8" s="1"/>
  <c r="A591" i="8"/>
  <c r="B591" i="8" s="1"/>
  <c r="E591" i="8" s="1"/>
  <c r="H591" i="8" s="1"/>
  <c r="A592" i="8"/>
  <c r="B592" i="8" s="1"/>
  <c r="A593" i="8"/>
  <c r="B593" i="8" s="1"/>
  <c r="D593" i="8" s="1"/>
  <c r="G593" i="8" s="1"/>
  <c r="A594" i="8"/>
  <c r="B594" i="8" s="1"/>
  <c r="E594" i="8" s="1"/>
  <c r="H594" i="8" s="1"/>
  <c r="A595" i="8"/>
  <c r="B595" i="8" s="1"/>
  <c r="E595" i="8" s="1"/>
  <c r="H595" i="8" s="1"/>
  <c r="A596" i="8"/>
  <c r="B596" i="8" s="1"/>
  <c r="E596" i="8" s="1"/>
  <c r="H596" i="8" s="1"/>
  <c r="A597" i="8"/>
  <c r="B597" i="8" s="1"/>
  <c r="D597" i="8" s="1"/>
  <c r="G597" i="8" s="1"/>
  <c r="A598" i="8"/>
  <c r="B598" i="8" s="1"/>
  <c r="A599" i="8"/>
  <c r="B599" i="8" s="1"/>
  <c r="E599" i="8" s="1"/>
  <c r="H599" i="8" s="1"/>
  <c r="A600" i="8"/>
  <c r="B600" i="8" s="1"/>
  <c r="A601" i="8"/>
  <c r="B601" i="8" s="1"/>
  <c r="D601" i="8" s="1"/>
  <c r="G601" i="8" s="1"/>
  <c r="A602" i="8"/>
  <c r="B602" i="8" s="1"/>
  <c r="E602" i="8" s="1"/>
  <c r="H602" i="8" s="1"/>
  <c r="A603" i="8"/>
  <c r="B603" i="8" s="1"/>
  <c r="E603" i="8" s="1"/>
  <c r="H603" i="8" s="1"/>
  <c r="A604" i="8"/>
  <c r="B604" i="8" s="1"/>
  <c r="C604" i="8" s="1"/>
  <c r="F604" i="8" s="1"/>
  <c r="A605" i="8"/>
  <c r="B605" i="8" s="1"/>
  <c r="D605" i="8" s="1"/>
  <c r="G605" i="8" s="1"/>
  <c r="A606" i="8"/>
  <c r="B606" i="8" s="1"/>
  <c r="A607" i="8"/>
  <c r="B607" i="8" s="1"/>
  <c r="A608" i="8"/>
  <c r="B608" i="8" s="1"/>
  <c r="A609" i="8"/>
  <c r="B609" i="8" s="1"/>
  <c r="D609" i="8" s="1"/>
  <c r="G609" i="8" s="1"/>
  <c r="A610" i="8"/>
  <c r="B610" i="8" s="1"/>
  <c r="E610" i="8" s="1"/>
  <c r="H610" i="8" s="1"/>
  <c r="A611" i="8"/>
  <c r="B611" i="8" s="1"/>
  <c r="E611" i="8" s="1"/>
  <c r="H611" i="8" s="1"/>
  <c r="A612" i="8"/>
  <c r="B612" i="8" s="1"/>
  <c r="E612" i="8" s="1"/>
  <c r="H612" i="8" s="1"/>
  <c r="A613" i="8"/>
  <c r="B613" i="8" s="1"/>
  <c r="D613" i="8" s="1"/>
  <c r="G613" i="8" s="1"/>
  <c r="A614" i="8"/>
  <c r="B614" i="8" s="1"/>
  <c r="A615" i="8"/>
  <c r="B615" i="8" s="1"/>
  <c r="E615" i="8" s="1"/>
  <c r="H615" i="8" s="1"/>
  <c r="A616" i="8"/>
  <c r="B616" i="8" s="1"/>
  <c r="A617" i="8"/>
  <c r="B617" i="8" s="1"/>
  <c r="D617" i="8" s="1"/>
  <c r="G617" i="8" s="1"/>
  <c r="A618" i="8"/>
  <c r="B618" i="8" s="1"/>
  <c r="E618" i="8" s="1"/>
  <c r="H618" i="8" s="1"/>
  <c r="A619" i="8"/>
  <c r="B619" i="8" s="1"/>
  <c r="A620" i="8"/>
  <c r="B620" i="8" s="1"/>
  <c r="D620" i="8" s="1"/>
  <c r="G620" i="8" s="1"/>
  <c r="A621" i="8"/>
  <c r="B621" i="8" s="1"/>
  <c r="A622" i="8"/>
  <c r="B622" i="8" s="1"/>
  <c r="E622" i="8" s="1"/>
  <c r="H622" i="8" s="1"/>
  <c r="A623" i="8"/>
  <c r="B623" i="8" s="1"/>
  <c r="A624" i="8"/>
  <c r="B624" i="8" s="1"/>
  <c r="D624" i="8" s="1"/>
  <c r="G624" i="8" s="1"/>
  <c r="A625" i="8"/>
  <c r="B625" i="8" s="1"/>
  <c r="E625" i="8" s="1"/>
  <c r="H625" i="8" s="1"/>
  <c r="A626" i="8"/>
  <c r="B626" i="8" s="1"/>
  <c r="A627" i="8"/>
  <c r="B627" i="8" s="1"/>
  <c r="A628" i="8"/>
  <c r="B628" i="8" s="1"/>
  <c r="D628" i="8" s="1"/>
  <c r="G628" i="8" s="1"/>
  <c r="A629" i="8"/>
  <c r="B629" i="8" s="1"/>
  <c r="E629" i="8" s="1"/>
  <c r="H629" i="8" s="1"/>
  <c r="A630" i="8"/>
  <c r="B630" i="8" s="1"/>
  <c r="E630" i="8" s="1"/>
  <c r="H630" i="8" s="1"/>
  <c r="A631" i="8"/>
  <c r="B631" i="8" s="1"/>
  <c r="A632" i="8"/>
  <c r="B632" i="8" s="1"/>
  <c r="D632" i="8" s="1"/>
  <c r="G632" i="8" s="1"/>
  <c r="A633" i="8"/>
  <c r="B633" i="8" s="1"/>
  <c r="E633" i="8" s="1"/>
  <c r="H633" i="8" s="1"/>
  <c r="A634" i="8"/>
  <c r="B634" i="8" s="1"/>
  <c r="E634" i="8" s="1"/>
  <c r="H634" i="8" s="1"/>
  <c r="A635" i="8"/>
  <c r="B635" i="8" s="1"/>
  <c r="A636" i="8"/>
  <c r="B636" i="8" s="1"/>
  <c r="D636" i="8" s="1"/>
  <c r="G636" i="8" s="1"/>
  <c r="A637" i="8"/>
  <c r="B637" i="8" s="1"/>
  <c r="E637" i="8" s="1"/>
  <c r="H637" i="8" s="1"/>
  <c r="A638" i="8"/>
  <c r="B638" i="8" s="1"/>
  <c r="E638" i="8" s="1"/>
  <c r="H638" i="8" s="1"/>
  <c r="A639" i="8"/>
  <c r="B639" i="8" s="1"/>
  <c r="A640" i="8"/>
  <c r="B640" i="8" s="1"/>
  <c r="D640" i="8" s="1"/>
  <c r="G640" i="8" s="1"/>
  <c r="A641" i="8"/>
  <c r="B641" i="8" s="1"/>
  <c r="C641" i="8" s="1"/>
  <c r="F641" i="8" s="1"/>
  <c r="A642" i="8"/>
  <c r="B642" i="8" s="1"/>
  <c r="D642" i="8" s="1"/>
  <c r="G642" i="8" s="1"/>
  <c r="A643" i="8"/>
  <c r="B643" i="8" s="1"/>
  <c r="E643" i="8" s="1"/>
  <c r="H643" i="8" s="1"/>
  <c r="A644" i="8"/>
  <c r="B644" i="8" s="1"/>
  <c r="A645" i="8"/>
  <c r="B645" i="8" s="1"/>
  <c r="C645" i="8" s="1"/>
  <c r="F645" i="8" s="1"/>
  <c r="A646" i="8"/>
  <c r="B646" i="8" s="1"/>
  <c r="D646" i="8" s="1"/>
  <c r="G646" i="8" s="1"/>
  <c r="A647" i="8"/>
  <c r="B647" i="8" s="1"/>
  <c r="E647" i="8" s="1"/>
  <c r="H647" i="8" s="1"/>
  <c r="A648" i="8"/>
  <c r="B648" i="8" s="1"/>
  <c r="A649" i="8"/>
  <c r="B649" i="8" s="1"/>
  <c r="C649" i="8" s="1"/>
  <c r="F649" i="8" s="1"/>
  <c r="A650" i="8"/>
  <c r="B650" i="8" s="1"/>
  <c r="D650" i="8" s="1"/>
  <c r="G650" i="8" s="1"/>
  <c r="A651" i="8"/>
  <c r="B651" i="8" s="1"/>
  <c r="E651" i="8" s="1"/>
  <c r="H651" i="8" s="1"/>
  <c r="A652" i="8"/>
  <c r="B652" i="8" s="1"/>
  <c r="A653" i="8"/>
  <c r="B653" i="8" s="1"/>
  <c r="C653" i="8" s="1"/>
  <c r="F653" i="8" s="1"/>
  <c r="A654" i="8"/>
  <c r="B654" i="8" s="1"/>
  <c r="D654" i="8" s="1"/>
  <c r="G654" i="8" s="1"/>
  <c r="A655" i="8"/>
  <c r="B655" i="8" s="1"/>
  <c r="E655" i="8" s="1"/>
  <c r="H655" i="8" s="1"/>
  <c r="A656" i="8"/>
  <c r="B656" i="8" s="1"/>
  <c r="A657" i="8"/>
  <c r="B657" i="8" s="1"/>
  <c r="C657" i="8" s="1"/>
  <c r="F657" i="8" s="1"/>
  <c r="A658" i="8"/>
  <c r="B658" i="8" s="1"/>
  <c r="D658" i="8" s="1"/>
  <c r="G658" i="8" s="1"/>
  <c r="A659" i="8"/>
  <c r="B659" i="8" s="1"/>
  <c r="E659" i="8" s="1"/>
  <c r="H659" i="8" s="1"/>
  <c r="A660" i="8"/>
  <c r="B660" i="8" s="1"/>
  <c r="A661" i="8"/>
  <c r="B661" i="8" s="1"/>
  <c r="C661" i="8" s="1"/>
  <c r="F661" i="8" s="1"/>
  <c r="A662" i="8"/>
  <c r="B662" i="8" s="1"/>
  <c r="D662" i="8" s="1"/>
  <c r="G662" i="8" s="1"/>
  <c r="A663" i="8"/>
  <c r="B663" i="8" s="1"/>
  <c r="E663" i="8" s="1"/>
  <c r="H663" i="8" s="1"/>
  <c r="A664" i="8"/>
  <c r="B664" i="8" s="1"/>
  <c r="A665" i="8"/>
  <c r="B665" i="8" s="1"/>
  <c r="C665" i="8" s="1"/>
  <c r="F665" i="8" s="1"/>
  <c r="A666" i="8"/>
  <c r="B666" i="8" s="1"/>
  <c r="D666" i="8" s="1"/>
  <c r="G666" i="8" s="1"/>
  <c r="A667" i="8"/>
  <c r="B667" i="8" s="1"/>
  <c r="E667" i="8" s="1"/>
  <c r="H667" i="8" s="1"/>
  <c r="A668" i="8"/>
  <c r="B668" i="8" s="1"/>
  <c r="A669" i="8"/>
  <c r="B669" i="8" s="1"/>
  <c r="C669" i="8" s="1"/>
  <c r="F669" i="8" s="1"/>
  <c r="A670" i="8"/>
  <c r="B670" i="8" s="1"/>
  <c r="D670" i="8" s="1"/>
  <c r="G670" i="8" s="1"/>
  <c r="F152" i="4"/>
  <c r="G152" i="4" s="1"/>
  <c r="F153" i="4"/>
  <c r="G153" i="4" s="1"/>
  <c r="F154" i="4"/>
  <c r="G154" i="4" s="1"/>
  <c r="E155" i="4"/>
  <c r="F155" i="4"/>
  <c r="G155" i="4" s="1"/>
  <c r="F156" i="4"/>
  <c r="G156" i="4" s="1"/>
  <c r="E157" i="4"/>
  <c r="F157" i="4"/>
  <c r="G157" i="4" s="1"/>
  <c r="F158" i="4"/>
  <c r="G158" i="4" s="1"/>
  <c r="F159" i="4"/>
  <c r="G159" i="4" s="1"/>
  <c r="F160" i="4"/>
  <c r="G160" i="4" s="1"/>
  <c r="E161" i="4"/>
  <c r="F161" i="4"/>
  <c r="G161" i="4" s="1"/>
  <c r="F162" i="4"/>
  <c r="G162" i="4" s="1"/>
  <c r="E163" i="4"/>
  <c r="F163" i="4"/>
  <c r="G163" i="4" s="1"/>
  <c r="E164" i="4"/>
  <c r="F164" i="4"/>
  <c r="G164" i="4" s="1"/>
  <c r="F165" i="4"/>
  <c r="G165" i="4" s="1"/>
  <c r="F166" i="4"/>
  <c r="G166" i="4" s="1"/>
  <c r="E167" i="4"/>
  <c r="F167" i="4"/>
  <c r="G167" i="4" s="1"/>
  <c r="F168" i="4"/>
  <c r="G168" i="4" s="1"/>
  <c r="E169" i="4"/>
  <c r="F169" i="4"/>
  <c r="G169" i="4" s="1"/>
  <c r="F170" i="4"/>
  <c r="G170" i="4" s="1"/>
  <c r="F171" i="4"/>
  <c r="G171" i="4" s="1"/>
  <c r="E172" i="4"/>
  <c r="F172" i="4"/>
  <c r="G172" i="4" s="1"/>
  <c r="F173" i="4"/>
  <c r="G173" i="4" s="1"/>
  <c r="F174" i="4"/>
  <c r="G174" i="4" s="1"/>
  <c r="E175" i="4"/>
  <c r="F175" i="4"/>
  <c r="G175" i="4" s="1"/>
  <c r="E176" i="4"/>
  <c r="F176" i="4"/>
  <c r="G176" i="4" s="1"/>
  <c r="F177" i="4"/>
  <c r="G177" i="4" s="1"/>
  <c r="F178" i="4"/>
  <c r="G178" i="4" s="1"/>
  <c r="F179" i="4"/>
  <c r="G179" i="4" s="1"/>
  <c r="F180" i="4"/>
  <c r="G180" i="4" s="1"/>
  <c r="E181" i="4"/>
  <c r="F181" i="4"/>
  <c r="G181" i="4" s="1"/>
  <c r="F182" i="4"/>
  <c r="G182" i="4" s="1"/>
  <c r="F183" i="4"/>
  <c r="G183" i="4" s="1"/>
  <c r="F184" i="4"/>
  <c r="G184" i="4" s="1"/>
  <c r="E185" i="4"/>
  <c r="F185" i="4"/>
  <c r="G185" i="4" s="1"/>
  <c r="F186" i="4"/>
  <c r="G186" i="4" s="1"/>
  <c r="E187" i="4"/>
  <c r="F187" i="4"/>
  <c r="G187" i="4" s="1"/>
  <c r="F188" i="4"/>
  <c r="G188" i="4" s="1"/>
  <c r="F189" i="4"/>
  <c r="G189" i="4" s="1"/>
  <c r="F190" i="4"/>
  <c r="G190" i="4" s="1"/>
  <c r="E191" i="4"/>
  <c r="F191" i="4"/>
  <c r="G191" i="4" s="1"/>
  <c r="F192" i="4"/>
  <c r="G192" i="4" s="1"/>
  <c r="E193" i="4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E199" i="4"/>
  <c r="F199" i="4"/>
  <c r="G199" i="4" s="1"/>
  <c r="F200" i="4"/>
  <c r="G200" i="4" s="1"/>
  <c r="F201" i="4"/>
  <c r="G201" i="4" s="1"/>
  <c r="F202" i="4"/>
  <c r="G202" i="4" s="1"/>
  <c r="F203" i="4"/>
  <c r="G203" i="4" s="1"/>
  <c r="F204" i="4"/>
  <c r="G204" i="4" s="1"/>
  <c r="E205" i="4"/>
  <c r="F205" i="4"/>
  <c r="G205" i="4" s="1"/>
  <c r="E206" i="4"/>
  <c r="F206" i="4"/>
  <c r="G206" i="4" s="1"/>
  <c r="F207" i="4"/>
  <c r="G207" i="4" s="1"/>
  <c r="F208" i="4"/>
  <c r="G208" i="4" s="1"/>
  <c r="E209" i="4"/>
  <c r="F209" i="4"/>
  <c r="G209" i="4" s="1"/>
  <c r="F210" i="4"/>
  <c r="G210" i="4" s="1"/>
  <c r="E211" i="4"/>
  <c r="F211" i="4"/>
  <c r="G211" i="4" s="1"/>
  <c r="F212" i="4"/>
  <c r="G212" i="4" s="1"/>
  <c r="F213" i="4"/>
  <c r="G213" i="4" s="1"/>
  <c r="F214" i="4"/>
  <c r="G214" i="4" s="1"/>
  <c r="E215" i="4"/>
  <c r="F215" i="4"/>
  <c r="G215" i="4" s="1"/>
  <c r="F216" i="4"/>
  <c r="G216" i="4" s="1"/>
  <c r="E217" i="4"/>
  <c r="F217" i="4"/>
  <c r="G217" i="4" s="1"/>
  <c r="F218" i="4"/>
  <c r="G218" i="4" s="1"/>
  <c r="F219" i="4"/>
  <c r="G219" i="4" s="1"/>
  <c r="F220" i="4"/>
  <c r="G220" i="4" s="1"/>
  <c r="E221" i="4"/>
  <c r="F221" i="4"/>
  <c r="G221" i="4" s="1"/>
  <c r="F222" i="4"/>
  <c r="G222" i="4" s="1"/>
  <c r="E223" i="4"/>
  <c r="F223" i="4"/>
  <c r="G223" i="4" s="1"/>
  <c r="F224" i="4"/>
  <c r="G224" i="4" s="1"/>
  <c r="F225" i="4"/>
  <c r="G225" i="4" s="1"/>
  <c r="F226" i="4"/>
  <c r="G226" i="4" s="1"/>
  <c r="E227" i="4"/>
  <c r="F227" i="4"/>
  <c r="G227" i="4" s="1"/>
  <c r="F228" i="4"/>
  <c r="G228" i="4" s="1"/>
  <c r="E229" i="4"/>
  <c r="F229" i="4"/>
  <c r="G229" i="4" s="1"/>
  <c r="F230" i="4"/>
  <c r="G230" i="4" s="1"/>
  <c r="F231" i="4"/>
  <c r="G231" i="4" s="1"/>
  <c r="F232" i="4"/>
  <c r="G232" i="4" s="1"/>
  <c r="F233" i="4"/>
  <c r="G233" i="4" s="1"/>
  <c r="F234" i="4"/>
  <c r="G234" i="4" s="1"/>
  <c r="E235" i="4"/>
  <c r="F235" i="4"/>
  <c r="G235" i="4" s="1"/>
  <c r="E236" i="4"/>
  <c r="F236" i="4"/>
  <c r="G236" i="4" s="1"/>
  <c r="F237" i="4"/>
  <c r="G237" i="4" s="1"/>
  <c r="F238" i="4"/>
  <c r="G238" i="4" s="1"/>
  <c r="E239" i="4"/>
  <c r="F239" i="4"/>
  <c r="G239" i="4" s="1"/>
  <c r="F240" i="4"/>
  <c r="G240" i="4" s="1"/>
  <c r="E241" i="4"/>
  <c r="F241" i="4"/>
  <c r="G241" i="4" s="1"/>
  <c r="E242" i="4"/>
  <c r="F242" i="4"/>
  <c r="G242" i="4" s="1"/>
  <c r="F243" i="4"/>
  <c r="G243" i="4" s="1"/>
  <c r="F244" i="4"/>
  <c r="G244" i="4" s="1"/>
  <c r="E245" i="4"/>
  <c r="F245" i="4"/>
  <c r="G245" i="4" s="1"/>
  <c r="F246" i="4"/>
  <c r="G246" i="4" s="1"/>
  <c r="E247" i="4"/>
  <c r="F247" i="4"/>
  <c r="G247" i="4" s="1"/>
  <c r="E248" i="4"/>
  <c r="F248" i="4"/>
  <c r="G248" i="4" s="1"/>
  <c r="F249" i="4"/>
  <c r="G249" i="4" s="1"/>
  <c r="E250" i="4"/>
  <c r="F250" i="4"/>
  <c r="G250" i="4" s="1"/>
  <c r="E251" i="4"/>
  <c r="F251" i="4"/>
  <c r="G251" i="4" s="1"/>
  <c r="F252" i="4"/>
  <c r="G252" i="4" s="1"/>
  <c r="E253" i="4"/>
  <c r="F253" i="4"/>
  <c r="G253" i="4" s="1"/>
  <c r="F254" i="4"/>
  <c r="G254" i="4" s="1"/>
  <c r="F255" i="4"/>
  <c r="G255" i="4" s="1"/>
  <c r="E256" i="4"/>
  <c r="F256" i="4"/>
  <c r="G256" i="4" s="1"/>
  <c r="E257" i="4"/>
  <c r="F257" i="4"/>
  <c r="G257" i="4" s="1"/>
  <c r="F258" i="4"/>
  <c r="G258" i="4" s="1"/>
  <c r="E259" i="4"/>
  <c r="F259" i="4"/>
  <c r="G259" i="4" s="1"/>
  <c r="F260" i="4"/>
  <c r="G260" i="4" s="1"/>
  <c r="F261" i="4"/>
  <c r="G261" i="4" s="1"/>
  <c r="E262" i="4"/>
  <c r="AE262" i="4" s="1"/>
  <c r="F262" i="4"/>
  <c r="G262" i="4" s="1"/>
  <c r="E263" i="4"/>
  <c r="AE263" i="4" s="1"/>
  <c r="F263" i="4"/>
  <c r="G263" i="4" s="1"/>
  <c r="F264" i="4"/>
  <c r="G264" i="4" s="1"/>
  <c r="E265" i="4"/>
  <c r="AE265" i="4" s="1"/>
  <c r="F265" i="4"/>
  <c r="G265" i="4" s="1"/>
  <c r="F266" i="4"/>
  <c r="G266" i="4" s="1"/>
  <c r="F267" i="4"/>
  <c r="G267" i="4" s="1"/>
  <c r="E268" i="4"/>
  <c r="AE268" i="4" s="1"/>
  <c r="F268" i="4"/>
  <c r="G268" i="4" s="1"/>
  <c r="E269" i="4"/>
  <c r="AE269" i="4" s="1"/>
  <c r="F269" i="4"/>
  <c r="G269" i="4" s="1"/>
  <c r="F270" i="4"/>
  <c r="G270" i="4" s="1"/>
  <c r="E271" i="4"/>
  <c r="AE271" i="4" s="1"/>
  <c r="F271" i="4"/>
  <c r="G271" i="4" s="1"/>
  <c r="F272" i="4"/>
  <c r="G272" i="4" s="1"/>
  <c r="F273" i="4"/>
  <c r="G273" i="4" s="1"/>
  <c r="F274" i="4"/>
  <c r="G274" i="4" s="1"/>
  <c r="E275" i="4"/>
  <c r="AE275" i="4" s="1"/>
  <c r="F275" i="4"/>
  <c r="G275" i="4" s="1"/>
  <c r="F276" i="4"/>
  <c r="G276" i="4" s="1"/>
  <c r="E277" i="4"/>
  <c r="AE277" i="4" s="1"/>
  <c r="F277" i="4"/>
  <c r="G277" i="4" s="1"/>
  <c r="E278" i="4"/>
  <c r="AE278" i="4" s="1"/>
  <c r="F278" i="4"/>
  <c r="G278" i="4" s="1"/>
  <c r="F279" i="4"/>
  <c r="G279" i="4" s="1"/>
  <c r="F280" i="4"/>
  <c r="G280" i="4" s="1"/>
  <c r="E281" i="4"/>
  <c r="AE281" i="4" s="1"/>
  <c r="F281" i="4"/>
  <c r="G281" i="4" s="1"/>
  <c r="F282" i="4"/>
  <c r="G282" i="4" s="1"/>
  <c r="E283" i="4"/>
  <c r="AE283" i="4" s="1"/>
  <c r="F283" i="4"/>
  <c r="G283" i="4" s="1"/>
  <c r="E284" i="4"/>
  <c r="AE284" i="4" s="1"/>
  <c r="F284" i="4"/>
  <c r="G284" i="4" s="1"/>
  <c r="F285" i="4"/>
  <c r="G285" i="4" s="1"/>
  <c r="E286" i="4"/>
  <c r="AE286" i="4" s="1"/>
  <c r="F286" i="4"/>
  <c r="G286" i="4" s="1"/>
  <c r="E287" i="4"/>
  <c r="AE287" i="4" s="1"/>
  <c r="F287" i="4"/>
  <c r="G287" i="4" s="1"/>
  <c r="F288" i="4"/>
  <c r="G288" i="4" s="1"/>
  <c r="E289" i="4"/>
  <c r="AE289" i="4" s="1"/>
  <c r="F289" i="4"/>
  <c r="G289" i="4" s="1"/>
  <c r="F290" i="4"/>
  <c r="G290" i="4" s="1"/>
  <c r="F291" i="4"/>
  <c r="G291" i="4" s="1"/>
  <c r="E292" i="4"/>
  <c r="AE292" i="4" s="1"/>
  <c r="F292" i="4"/>
  <c r="G292" i="4" s="1"/>
  <c r="E293" i="4"/>
  <c r="AE293" i="4" s="1"/>
  <c r="F293" i="4"/>
  <c r="G293" i="4" s="1"/>
  <c r="F294" i="4"/>
  <c r="G294" i="4" s="1"/>
  <c r="E295" i="4"/>
  <c r="AE295" i="4" s="1"/>
  <c r="F295" i="4"/>
  <c r="G295" i="4" s="1"/>
  <c r="F296" i="4"/>
  <c r="G296" i="4" s="1"/>
  <c r="F297" i="4"/>
  <c r="G297" i="4" s="1"/>
  <c r="E298" i="4"/>
  <c r="AE298" i="4" s="1"/>
  <c r="F298" i="4"/>
  <c r="G298" i="4" s="1"/>
  <c r="E299" i="4"/>
  <c r="AE299" i="4" s="1"/>
  <c r="F299" i="4"/>
  <c r="G299" i="4" s="1"/>
  <c r="F300" i="4"/>
  <c r="G300" i="4" s="1"/>
  <c r="E301" i="4"/>
  <c r="AE301" i="4" s="1"/>
  <c r="F301" i="4"/>
  <c r="G301" i="4" s="1"/>
  <c r="F302" i="4"/>
  <c r="G302" i="4" s="1"/>
  <c r="F303" i="4"/>
  <c r="G303" i="4" s="1"/>
  <c r="E304" i="4"/>
  <c r="AE304" i="4" s="1"/>
  <c r="F304" i="4"/>
  <c r="G304" i="4" s="1"/>
  <c r="E305" i="4"/>
  <c r="AE305" i="4" s="1"/>
  <c r="F305" i="4"/>
  <c r="G305" i="4" s="1"/>
  <c r="F306" i="4"/>
  <c r="G306" i="4" s="1"/>
  <c r="E307" i="4"/>
  <c r="AE307" i="4" s="1"/>
  <c r="F307" i="4"/>
  <c r="G307" i="4" s="1"/>
  <c r="F308" i="4"/>
  <c r="G308" i="4" s="1"/>
  <c r="F309" i="4"/>
  <c r="G309" i="4" s="1"/>
  <c r="E310" i="4"/>
  <c r="AE310" i="4" s="1"/>
  <c r="F310" i="4"/>
  <c r="G310" i="4" s="1"/>
  <c r="E311" i="4"/>
  <c r="AE311" i="4" s="1"/>
  <c r="F311" i="4"/>
  <c r="G311" i="4" s="1"/>
  <c r="F312" i="4"/>
  <c r="G312" i="4" s="1"/>
  <c r="E313" i="4"/>
  <c r="AE313" i="4" s="1"/>
  <c r="F313" i="4"/>
  <c r="G313" i="4" s="1"/>
  <c r="F314" i="4"/>
  <c r="G314" i="4" s="1"/>
  <c r="F315" i="4"/>
  <c r="G315" i="4" s="1"/>
  <c r="F316" i="4"/>
  <c r="G316" i="4" s="1"/>
  <c r="E317" i="4"/>
  <c r="AE317" i="4" s="1"/>
  <c r="F317" i="4"/>
  <c r="G317" i="4" s="1"/>
  <c r="F318" i="4"/>
  <c r="G318" i="4" s="1"/>
  <c r="E319" i="4"/>
  <c r="AE319" i="4" s="1"/>
  <c r="F319" i="4"/>
  <c r="G319" i="4" s="1"/>
  <c r="F320" i="4"/>
  <c r="G320" i="4" s="1"/>
  <c r="F321" i="4"/>
  <c r="G321" i="4" s="1"/>
  <c r="E322" i="4"/>
  <c r="AE322" i="4" s="1"/>
  <c r="F322" i="4"/>
  <c r="G322" i="4" s="1"/>
  <c r="E323" i="4"/>
  <c r="AE323" i="4" s="1"/>
  <c r="F323" i="4"/>
  <c r="G323" i="4" s="1"/>
  <c r="F324" i="4"/>
  <c r="G324" i="4" s="1"/>
  <c r="E325" i="4"/>
  <c r="AE325" i="4" s="1"/>
  <c r="F325" i="4"/>
  <c r="G325" i="4" s="1"/>
  <c r="F326" i="4"/>
  <c r="G326" i="4" s="1"/>
  <c r="F327" i="4"/>
  <c r="G327" i="4" s="1"/>
  <c r="E328" i="4"/>
  <c r="AE328" i="4" s="1"/>
  <c r="F328" i="4"/>
  <c r="G328" i="4" s="1"/>
  <c r="E329" i="4"/>
  <c r="AE329" i="4" s="1"/>
  <c r="F329" i="4"/>
  <c r="G329" i="4" s="1"/>
  <c r="F330" i="4"/>
  <c r="G330" i="4" s="1"/>
  <c r="E331" i="4"/>
  <c r="AE331" i="4" s="1"/>
  <c r="F331" i="4"/>
  <c r="G331" i="4" s="1"/>
  <c r="F332" i="4"/>
  <c r="G332" i="4" s="1"/>
  <c r="F333" i="4"/>
  <c r="G333" i="4" s="1"/>
  <c r="F334" i="4"/>
  <c r="G334" i="4" s="1"/>
  <c r="E335" i="4"/>
  <c r="AE335" i="4" s="1"/>
  <c r="F335" i="4"/>
  <c r="G335" i="4" s="1"/>
  <c r="F336" i="4"/>
  <c r="G336" i="4" s="1"/>
  <c r="E337" i="4"/>
  <c r="AE337" i="4" s="1"/>
  <c r="F337" i="4"/>
  <c r="G337" i="4" s="1"/>
  <c r="F338" i="4"/>
  <c r="G338" i="4" s="1"/>
  <c r="F339" i="4"/>
  <c r="G339" i="4" s="1"/>
  <c r="E340" i="4"/>
  <c r="AE340" i="4" s="1"/>
  <c r="F340" i="4"/>
  <c r="G340" i="4" s="1"/>
  <c r="E341" i="4"/>
  <c r="AE341" i="4" s="1"/>
  <c r="F341" i="4"/>
  <c r="G341" i="4" s="1"/>
  <c r="F342" i="4"/>
  <c r="G342" i="4" s="1"/>
  <c r="E343" i="4"/>
  <c r="AE343" i="4" s="1"/>
  <c r="F343" i="4"/>
  <c r="G343" i="4" s="1"/>
  <c r="E344" i="4"/>
  <c r="AE344" i="4" s="1"/>
  <c r="F344" i="4"/>
  <c r="G344" i="4" s="1"/>
  <c r="F345" i="4"/>
  <c r="G345" i="4" s="1"/>
  <c r="E346" i="4"/>
  <c r="AE346" i="4" s="1"/>
  <c r="F346" i="4"/>
  <c r="G346" i="4" s="1"/>
  <c r="E347" i="4"/>
  <c r="AE347" i="4" s="1"/>
  <c r="F347" i="4"/>
  <c r="G347" i="4" s="1"/>
  <c r="E348" i="4"/>
  <c r="AE348" i="4" s="1"/>
  <c r="F348" i="4"/>
  <c r="G348" i="4" s="1"/>
  <c r="E349" i="4"/>
  <c r="AE349" i="4" s="1"/>
  <c r="F349" i="4"/>
  <c r="G349" i="4" s="1"/>
  <c r="E350" i="4"/>
  <c r="AE350" i="4" s="1"/>
  <c r="F350" i="4"/>
  <c r="G350" i="4" s="1"/>
  <c r="F351" i="4"/>
  <c r="G351" i="4" s="1"/>
  <c r="F352" i="4"/>
  <c r="G352" i="4" s="1"/>
  <c r="E353" i="4"/>
  <c r="AE353" i="4" s="1"/>
  <c r="F353" i="4"/>
  <c r="G353" i="4" s="1"/>
  <c r="F354" i="4"/>
  <c r="G354" i="4" s="1"/>
  <c r="E355" i="4"/>
  <c r="AE355" i="4" s="1"/>
  <c r="F355" i="4"/>
  <c r="G355" i="4" s="1"/>
  <c r="E356" i="4"/>
  <c r="AE356" i="4" s="1"/>
  <c r="F356" i="4"/>
  <c r="G356" i="4" s="1"/>
  <c r="F357" i="4"/>
  <c r="G357" i="4" s="1"/>
  <c r="E358" i="4"/>
  <c r="AE358" i="4" s="1"/>
  <c r="F358" i="4"/>
  <c r="G358" i="4" s="1"/>
  <c r="E359" i="4"/>
  <c r="AE359" i="4" s="1"/>
  <c r="F359" i="4"/>
  <c r="G359" i="4" s="1"/>
  <c r="F360" i="4"/>
  <c r="G360" i="4" s="1"/>
  <c r="E361" i="4"/>
  <c r="AE361" i="4" s="1"/>
  <c r="F361" i="4"/>
  <c r="G361" i="4" s="1"/>
  <c r="E362" i="4"/>
  <c r="AE362" i="4" s="1"/>
  <c r="F362" i="4"/>
  <c r="G362" i="4" s="1"/>
  <c r="F363" i="4"/>
  <c r="G363" i="4" s="1"/>
  <c r="F364" i="4"/>
  <c r="G364" i="4" s="1"/>
  <c r="E365" i="4"/>
  <c r="AE365" i="4" s="1"/>
  <c r="F365" i="4"/>
  <c r="G365" i="4" s="1"/>
  <c r="F366" i="4"/>
  <c r="G366" i="4" s="1"/>
  <c r="E367" i="4"/>
  <c r="AE367" i="4" s="1"/>
  <c r="F367" i="4"/>
  <c r="G367" i="4" s="1"/>
  <c r="F368" i="4"/>
  <c r="G368" i="4" s="1"/>
  <c r="F369" i="4"/>
  <c r="G369" i="4" s="1"/>
  <c r="E370" i="4"/>
  <c r="AE370" i="4" s="1"/>
  <c r="F370" i="4"/>
  <c r="G370" i="4" s="1"/>
  <c r="E371" i="4"/>
  <c r="AE371" i="4" s="1"/>
  <c r="F371" i="4"/>
  <c r="G371" i="4" s="1"/>
  <c r="F372" i="4"/>
  <c r="G372" i="4" s="1"/>
  <c r="E373" i="4"/>
  <c r="AE373" i="4" s="1"/>
  <c r="F373" i="4"/>
  <c r="G373" i="4" s="1"/>
  <c r="F374" i="4"/>
  <c r="G374" i="4" s="1"/>
  <c r="F375" i="4"/>
  <c r="G375" i="4" s="1"/>
  <c r="E376" i="4"/>
  <c r="AE376" i="4" s="1"/>
  <c r="F376" i="4"/>
  <c r="G376" i="4" s="1"/>
  <c r="E377" i="4"/>
  <c r="AE377" i="4" s="1"/>
  <c r="F377" i="4"/>
  <c r="G377" i="4" s="1"/>
  <c r="F378" i="4"/>
  <c r="G378" i="4" s="1"/>
  <c r="E379" i="4"/>
  <c r="AE379" i="4" s="1"/>
  <c r="F379" i="4"/>
  <c r="G379" i="4" s="1"/>
  <c r="E380" i="4"/>
  <c r="AE380" i="4" s="1"/>
  <c r="F380" i="4"/>
  <c r="G380" i="4" s="1"/>
  <c r="F381" i="4"/>
  <c r="G381" i="4" s="1"/>
  <c r="F382" i="4"/>
  <c r="G382" i="4" s="1"/>
  <c r="E383" i="4"/>
  <c r="AE383" i="4" s="1"/>
  <c r="F383" i="4"/>
  <c r="G383" i="4" s="1"/>
  <c r="F384" i="4"/>
  <c r="G384" i="4" s="1"/>
  <c r="E385" i="4"/>
  <c r="AE385" i="4" s="1"/>
  <c r="F385" i="4"/>
  <c r="G385" i="4" s="1"/>
  <c r="E386" i="4"/>
  <c r="AE386" i="4" s="1"/>
  <c r="F386" i="4"/>
  <c r="G386" i="4" s="1"/>
  <c r="F387" i="4"/>
  <c r="G387" i="4" s="1"/>
  <c r="E388" i="4"/>
  <c r="AE388" i="4" s="1"/>
  <c r="F388" i="4"/>
  <c r="G388" i="4" s="1"/>
  <c r="E389" i="4"/>
  <c r="AE389" i="4" s="1"/>
  <c r="F389" i="4"/>
  <c r="G389" i="4" s="1"/>
  <c r="F390" i="4"/>
  <c r="G390" i="4" s="1"/>
  <c r="E391" i="4"/>
  <c r="AE391" i="4" s="1"/>
  <c r="F391" i="4"/>
  <c r="G391" i="4" s="1"/>
  <c r="F392" i="4"/>
  <c r="G392" i="4" s="1"/>
  <c r="F393" i="4"/>
  <c r="G393" i="4" s="1"/>
  <c r="F394" i="4"/>
  <c r="G394" i="4" s="1"/>
  <c r="E395" i="4"/>
  <c r="AE395" i="4" s="1"/>
  <c r="F395" i="4"/>
  <c r="G395" i="4" s="1"/>
  <c r="F396" i="4"/>
  <c r="G396" i="4" s="1"/>
  <c r="E397" i="4"/>
  <c r="AE397" i="4" s="1"/>
  <c r="F397" i="4"/>
  <c r="G397" i="4" s="1"/>
  <c r="F398" i="4"/>
  <c r="G398" i="4" s="1"/>
  <c r="F399" i="4"/>
  <c r="G399" i="4" s="1"/>
  <c r="E400" i="4"/>
  <c r="AE400" i="4" s="1"/>
  <c r="F400" i="4"/>
  <c r="G400" i="4" s="1"/>
  <c r="E401" i="4"/>
  <c r="AE401" i="4" s="1"/>
  <c r="F401" i="4"/>
  <c r="G401" i="4" s="1"/>
  <c r="F402" i="4"/>
  <c r="G402" i="4" s="1"/>
  <c r="E403" i="4"/>
  <c r="AE403" i="4" s="1"/>
  <c r="F403" i="4"/>
  <c r="G403" i="4" s="1"/>
  <c r="F404" i="4"/>
  <c r="G404" i="4" s="1"/>
  <c r="F405" i="4"/>
  <c r="G405" i="4" s="1"/>
  <c r="E406" i="4"/>
  <c r="AE406" i="4" s="1"/>
  <c r="F406" i="4"/>
  <c r="G406" i="4" s="1"/>
  <c r="E407" i="4"/>
  <c r="AE407" i="4" s="1"/>
  <c r="F407" i="4"/>
  <c r="G407" i="4" s="1"/>
  <c r="F408" i="4"/>
  <c r="G408" i="4" s="1"/>
  <c r="E409" i="4"/>
  <c r="AE409" i="4" s="1"/>
  <c r="F409" i="4"/>
  <c r="G409" i="4" s="1"/>
  <c r="E410" i="4"/>
  <c r="AE410" i="4" s="1"/>
  <c r="F410" i="4"/>
  <c r="G410" i="4" s="1"/>
  <c r="F411" i="4"/>
  <c r="G411" i="4" s="1"/>
  <c r="E412" i="4"/>
  <c r="AE412" i="4" s="1"/>
  <c r="F412" i="4"/>
  <c r="G412" i="4" s="1"/>
  <c r="E413" i="4"/>
  <c r="AE413" i="4" s="1"/>
  <c r="F413" i="4"/>
  <c r="G413" i="4" s="1"/>
  <c r="F414" i="4"/>
  <c r="G414" i="4" s="1"/>
  <c r="E415" i="4"/>
  <c r="AE415" i="4" s="1"/>
  <c r="F415" i="4"/>
  <c r="G415" i="4" s="1"/>
  <c r="F416" i="4"/>
  <c r="G416" i="4" s="1"/>
  <c r="F417" i="4"/>
  <c r="G417" i="4" s="1"/>
  <c r="E418" i="4"/>
  <c r="AE418" i="4" s="1"/>
  <c r="F418" i="4"/>
  <c r="G418" i="4" s="1"/>
  <c r="E419" i="4"/>
  <c r="AE419" i="4" s="1"/>
  <c r="F419" i="4"/>
  <c r="G419" i="4" s="1"/>
  <c r="F420" i="4"/>
  <c r="G420" i="4" s="1"/>
  <c r="E421" i="4"/>
  <c r="AE421" i="4" s="1"/>
  <c r="F421" i="4"/>
  <c r="G421" i="4" s="1"/>
  <c r="F422" i="4"/>
  <c r="G422" i="4" s="1"/>
  <c r="F423" i="4"/>
  <c r="G423" i="4" s="1"/>
  <c r="E424" i="4"/>
  <c r="AE424" i="4" s="1"/>
  <c r="F424" i="4"/>
  <c r="G424" i="4" s="1"/>
  <c r="E425" i="4"/>
  <c r="AE425" i="4" s="1"/>
  <c r="F425" i="4"/>
  <c r="G425" i="4" s="1"/>
  <c r="F426" i="4"/>
  <c r="G426" i="4" s="1"/>
  <c r="E427" i="4"/>
  <c r="AE427" i="4" s="1"/>
  <c r="F427" i="4"/>
  <c r="G427" i="4" s="1"/>
  <c r="E428" i="4"/>
  <c r="AE428" i="4" s="1"/>
  <c r="F428" i="4"/>
  <c r="G428" i="4" s="1"/>
  <c r="F429" i="4"/>
  <c r="G429" i="4" s="1"/>
  <c r="E430" i="4"/>
  <c r="AE430" i="4" s="1"/>
  <c r="F430" i="4"/>
  <c r="G430" i="4" s="1"/>
  <c r="E431" i="4"/>
  <c r="AE431" i="4" s="1"/>
  <c r="F431" i="4"/>
  <c r="G431" i="4" s="1"/>
  <c r="F432" i="4"/>
  <c r="G432" i="4" s="1"/>
  <c r="E433" i="4"/>
  <c r="AE433" i="4" s="1"/>
  <c r="F433" i="4"/>
  <c r="G433" i="4" s="1"/>
  <c r="F434" i="4"/>
  <c r="G434" i="4" s="1"/>
  <c r="F435" i="4"/>
  <c r="G435" i="4" s="1"/>
  <c r="E436" i="4"/>
  <c r="AE436" i="4" s="1"/>
  <c r="F436" i="4"/>
  <c r="G436" i="4" s="1"/>
  <c r="E437" i="4"/>
  <c r="AE437" i="4" s="1"/>
  <c r="F437" i="4"/>
  <c r="G437" i="4" s="1"/>
  <c r="F438" i="4"/>
  <c r="G438" i="4" s="1"/>
  <c r="E439" i="4"/>
  <c r="AE439" i="4" s="1"/>
  <c r="F439" i="4"/>
  <c r="G439" i="4" s="1"/>
  <c r="F440" i="4"/>
  <c r="G440" i="4" s="1"/>
  <c r="F441" i="4"/>
  <c r="G441" i="4" s="1"/>
  <c r="E442" i="4"/>
  <c r="AE442" i="4" s="1"/>
  <c r="F442" i="4"/>
  <c r="G442" i="4" s="1"/>
  <c r="E443" i="4"/>
  <c r="AE443" i="4" s="1"/>
  <c r="F443" i="4"/>
  <c r="G443" i="4" s="1"/>
  <c r="F444" i="4"/>
  <c r="G444" i="4" s="1"/>
  <c r="E445" i="4"/>
  <c r="AE445" i="4" s="1"/>
  <c r="F445" i="4"/>
  <c r="G445" i="4" s="1"/>
  <c r="E446" i="4"/>
  <c r="AE446" i="4" s="1"/>
  <c r="F446" i="4"/>
  <c r="G446" i="4" s="1"/>
  <c r="F447" i="4"/>
  <c r="G447" i="4" s="1"/>
  <c r="E448" i="4"/>
  <c r="AE448" i="4" s="1"/>
  <c r="F448" i="4"/>
  <c r="G448" i="4" s="1"/>
  <c r="E449" i="4"/>
  <c r="AE449" i="4" s="1"/>
  <c r="F449" i="4"/>
  <c r="G449" i="4" s="1"/>
  <c r="F450" i="4"/>
  <c r="G450" i="4" s="1"/>
  <c r="E451" i="4"/>
  <c r="AE451" i="4" s="1"/>
  <c r="F451" i="4"/>
  <c r="G451" i="4" s="1"/>
  <c r="F452" i="4"/>
  <c r="G452" i="4" s="1"/>
  <c r="F453" i="4"/>
  <c r="G453" i="4" s="1"/>
  <c r="E454" i="4"/>
  <c r="AE454" i="4" s="1"/>
  <c r="F454" i="4"/>
  <c r="G454" i="4" s="1"/>
  <c r="E455" i="4"/>
  <c r="AE455" i="4" s="1"/>
  <c r="F455" i="4"/>
  <c r="G455" i="4" s="1"/>
  <c r="F456" i="4"/>
  <c r="G456" i="4" s="1"/>
  <c r="E457" i="4"/>
  <c r="AE457" i="4" s="1"/>
  <c r="F457" i="4"/>
  <c r="G457" i="4" s="1"/>
  <c r="F458" i="4"/>
  <c r="G458" i="4" s="1"/>
  <c r="F459" i="4"/>
  <c r="G459" i="4" s="1"/>
  <c r="E460" i="4"/>
  <c r="AE460" i="4" s="1"/>
  <c r="F460" i="4"/>
  <c r="G460" i="4" s="1"/>
  <c r="E461" i="4"/>
  <c r="AE461" i="4" s="1"/>
  <c r="F461" i="4"/>
  <c r="G461" i="4" s="1"/>
  <c r="F462" i="4"/>
  <c r="G462" i="4" s="1"/>
  <c r="E463" i="4"/>
  <c r="AE463" i="4" s="1"/>
  <c r="F463" i="4"/>
  <c r="G463" i="4" s="1"/>
  <c r="E464" i="4"/>
  <c r="AE464" i="4" s="1"/>
  <c r="F464" i="4"/>
  <c r="G464" i="4" s="1"/>
  <c r="F465" i="4"/>
  <c r="G465" i="4" s="1"/>
  <c r="E466" i="4"/>
  <c r="AE466" i="4" s="1"/>
  <c r="F466" i="4"/>
  <c r="G466" i="4" s="1"/>
  <c r="E467" i="4"/>
  <c r="AE467" i="4" s="1"/>
  <c r="F467" i="4"/>
  <c r="G467" i="4" s="1"/>
  <c r="F468" i="4"/>
  <c r="G468" i="4" s="1"/>
  <c r="E469" i="4"/>
  <c r="AE469" i="4" s="1"/>
  <c r="F469" i="4"/>
  <c r="G469" i="4" s="1"/>
  <c r="F470" i="4"/>
  <c r="G470" i="4" s="1"/>
  <c r="F471" i="4"/>
  <c r="G471" i="4" s="1"/>
  <c r="E472" i="4"/>
  <c r="AE472" i="4" s="1"/>
  <c r="F472" i="4"/>
  <c r="G472" i="4" s="1"/>
  <c r="E473" i="4"/>
  <c r="AE473" i="4" s="1"/>
  <c r="F473" i="4"/>
  <c r="G473" i="4" s="1"/>
  <c r="F474" i="4"/>
  <c r="G474" i="4" s="1"/>
  <c r="E475" i="4"/>
  <c r="AE475" i="4" s="1"/>
  <c r="F475" i="4"/>
  <c r="G475" i="4" s="1"/>
  <c r="F476" i="4"/>
  <c r="G476" i="4" s="1"/>
  <c r="F477" i="4"/>
  <c r="G477" i="4" s="1"/>
  <c r="E478" i="4"/>
  <c r="AE478" i="4" s="1"/>
  <c r="F478" i="4"/>
  <c r="G478" i="4" s="1"/>
  <c r="E479" i="4"/>
  <c r="AE479" i="4" s="1"/>
  <c r="F479" i="4"/>
  <c r="G479" i="4" s="1"/>
  <c r="F480" i="4"/>
  <c r="G480" i="4" s="1"/>
  <c r="E481" i="4"/>
  <c r="AE481" i="4" s="1"/>
  <c r="F481" i="4"/>
  <c r="G481" i="4" s="1"/>
  <c r="E482" i="4"/>
  <c r="AE482" i="4" s="1"/>
  <c r="F482" i="4"/>
  <c r="G482" i="4" s="1"/>
  <c r="F483" i="4"/>
  <c r="G483" i="4" s="1"/>
  <c r="E484" i="4"/>
  <c r="AE484" i="4" s="1"/>
  <c r="F484" i="4"/>
  <c r="G484" i="4" s="1"/>
  <c r="E485" i="4"/>
  <c r="AE485" i="4" s="1"/>
  <c r="F485" i="4"/>
  <c r="G485" i="4" s="1"/>
  <c r="E486" i="4"/>
  <c r="AE486" i="4" s="1"/>
  <c r="F486" i="4"/>
  <c r="G486" i="4" s="1"/>
  <c r="E487" i="4"/>
  <c r="AE487" i="4" s="1"/>
  <c r="F487" i="4"/>
  <c r="G487" i="4" s="1"/>
  <c r="F488" i="4"/>
  <c r="G488" i="4" s="1"/>
  <c r="F489" i="4"/>
  <c r="G489" i="4" s="1"/>
  <c r="E490" i="4"/>
  <c r="AE490" i="4" s="1"/>
  <c r="F490" i="4"/>
  <c r="G490" i="4" s="1"/>
  <c r="E491" i="4"/>
  <c r="AE491" i="4" s="1"/>
  <c r="F491" i="4"/>
  <c r="G491" i="4" s="1"/>
  <c r="F492" i="4"/>
  <c r="G492" i="4" s="1"/>
  <c r="E493" i="4"/>
  <c r="AE493" i="4" s="1"/>
  <c r="F493" i="4"/>
  <c r="G493" i="4" s="1"/>
  <c r="F494" i="4"/>
  <c r="G494" i="4" s="1"/>
  <c r="F495" i="4"/>
  <c r="G495" i="4" s="1"/>
  <c r="E496" i="4"/>
  <c r="AE496" i="4" s="1"/>
  <c r="F496" i="4"/>
  <c r="G496" i="4" s="1"/>
  <c r="E497" i="4"/>
  <c r="AE497" i="4" s="1"/>
  <c r="F497" i="4"/>
  <c r="G497" i="4" s="1"/>
  <c r="F498" i="4"/>
  <c r="G498" i="4" s="1"/>
  <c r="E499" i="4"/>
  <c r="AE499" i="4" s="1"/>
  <c r="F499" i="4"/>
  <c r="G499" i="4" s="1"/>
  <c r="E500" i="4"/>
  <c r="AE500" i="4" s="1"/>
  <c r="F500" i="4"/>
  <c r="G500" i="4" s="1"/>
  <c r="F501" i="4"/>
  <c r="G501" i="4" s="1"/>
  <c r="E502" i="4"/>
  <c r="AE502" i="4" s="1"/>
  <c r="F502" i="4"/>
  <c r="G502" i="4" s="1"/>
  <c r="E503" i="4"/>
  <c r="AE503" i="4" s="1"/>
  <c r="F503" i="4"/>
  <c r="G503" i="4" s="1"/>
  <c r="F504" i="4"/>
  <c r="G504" i="4" s="1"/>
  <c r="E505" i="4"/>
  <c r="AE505" i="4" s="1"/>
  <c r="F505" i="4"/>
  <c r="G505" i="4" s="1"/>
  <c r="F506" i="4"/>
  <c r="G506" i="4" s="1"/>
  <c r="F507" i="4"/>
  <c r="G507" i="4" s="1"/>
  <c r="E508" i="4"/>
  <c r="AE508" i="4" s="1"/>
  <c r="F508" i="4"/>
  <c r="G508" i="4" s="1"/>
  <c r="E509" i="4"/>
  <c r="AE509" i="4" s="1"/>
  <c r="F509" i="4"/>
  <c r="G509" i="4" s="1"/>
  <c r="F510" i="4"/>
  <c r="G510" i="4" s="1"/>
  <c r="E511" i="4"/>
  <c r="AE511" i="4" s="1"/>
  <c r="F511" i="4"/>
  <c r="G511" i="4" s="1"/>
  <c r="E512" i="4"/>
  <c r="AE512" i="4" s="1"/>
  <c r="F512" i="4"/>
  <c r="G512" i="4" s="1"/>
  <c r="F513" i="4"/>
  <c r="G513" i="4" s="1"/>
  <c r="F514" i="4"/>
  <c r="G514" i="4" s="1"/>
  <c r="E515" i="4"/>
  <c r="AE515" i="4" s="1"/>
  <c r="F515" i="4"/>
  <c r="G515" i="4" s="1"/>
  <c r="F516" i="4"/>
  <c r="G516" i="4" s="1"/>
  <c r="E517" i="4"/>
  <c r="AE517" i="4" s="1"/>
  <c r="F517" i="4"/>
  <c r="G517" i="4" s="1"/>
  <c r="E518" i="4"/>
  <c r="AE518" i="4" s="1"/>
  <c r="F518" i="4"/>
  <c r="G518" i="4" s="1"/>
  <c r="F519" i="4"/>
  <c r="G519" i="4" s="1"/>
  <c r="F520" i="4"/>
  <c r="G520" i="4" s="1"/>
  <c r="E521" i="4"/>
  <c r="AE521" i="4" s="1"/>
  <c r="F521" i="4"/>
  <c r="G521" i="4" s="1"/>
  <c r="F522" i="4"/>
  <c r="G522" i="4" s="1"/>
  <c r="E523" i="4"/>
  <c r="AE523" i="4" s="1"/>
  <c r="F523" i="4"/>
  <c r="G523" i="4" s="1"/>
  <c r="F524" i="4"/>
  <c r="G524" i="4" s="1"/>
  <c r="F525" i="4"/>
  <c r="G525" i="4" s="1"/>
  <c r="E526" i="4"/>
  <c r="AE526" i="4" s="1"/>
  <c r="F526" i="4"/>
  <c r="G526" i="4" s="1"/>
  <c r="E527" i="4"/>
  <c r="AE527" i="4" s="1"/>
  <c r="F527" i="4"/>
  <c r="G527" i="4" s="1"/>
  <c r="F528" i="4"/>
  <c r="G528" i="4" s="1"/>
  <c r="E529" i="4"/>
  <c r="AE529" i="4" s="1"/>
  <c r="F529" i="4"/>
  <c r="G529" i="4" s="1"/>
  <c r="E530" i="4"/>
  <c r="AE530" i="4" s="1"/>
  <c r="F530" i="4"/>
  <c r="G530" i="4" s="1"/>
  <c r="F531" i="4"/>
  <c r="G531" i="4" s="1"/>
  <c r="E532" i="4"/>
  <c r="AE532" i="4" s="1"/>
  <c r="F532" i="4"/>
  <c r="G532" i="4" s="1"/>
  <c r="E533" i="4"/>
  <c r="AE533" i="4" s="1"/>
  <c r="F533" i="4"/>
  <c r="G533" i="4" s="1"/>
  <c r="F534" i="4"/>
  <c r="G534" i="4" s="1"/>
  <c r="E535" i="4"/>
  <c r="AE535" i="4" s="1"/>
  <c r="F535" i="4"/>
  <c r="G535" i="4" s="1"/>
  <c r="F536" i="4"/>
  <c r="G536" i="4" s="1"/>
  <c r="F537" i="4"/>
  <c r="G537" i="4" s="1"/>
  <c r="E538" i="4"/>
  <c r="AE538" i="4" s="1"/>
  <c r="F538" i="4"/>
  <c r="G538" i="4" s="1"/>
  <c r="E539" i="4"/>
  <c r="AE539" i="4" s="1"/>
  <c r="F539" i="4"/>
  <c r="G539" i="4" s="1"/>
  <c r="F540" i="4"/>
  <c r="G540" i="4" s="1"/>
  <c r="E541" i="4"/>
  <c r="AE541" i="4" s="1"/>
  <c r="F541" i="4"/>
  <c r="G541" i="4" s="1"/>
  <c r="F542" i="4"/>
  <c r="G542" i="4" s="1"/>
  <c r="F543" i="4"/>
  <c r="G543" i="4" s="1"/>
  <c r="F544" i="4"/>
  <c r="G544" i="4" s="1"/>
  <c r="E545" i="4"/>
  <c r="AE545" i="4" s="1"/>
  <c r="F545" i="4"/>
  <c r="G545" i="4" s="1"/>
  <c r="F546" i="4"/>
  <c r="G546" i="4" s="1"/>
  <c r="E547" i="4"/>
  <c r="AE547" i="4" s="1"/>
  <c r="F547" i="4"/>
  <c r="G547" i="4" s="1"/>
  <c r="E548" i="4"/>
  <c r="AE548" i="4" s="1"/>
  <c r="F548" i="4"/>
  <c r="G548" i="4" s="1"/>
  <c r="F549" i="4"/>
  <c r="G549" i="4" s="1"/>
  <c r="F550" i="4"/>
  <c r="G550" i="4" s="1"/>
  <c r="E551" i="4"/>
  <c r="AE551" i="4" s="1"/>
  <c r="F551" i="4"/>
  <c r="G551" i="4" s="1"/>
  <c r="F552" i="4"/>
  <c r="G552" i="4" s="1"/>
  <c r="E553" i="4"/>
  <c r="AE553" i="4" s="1"/>
  <c r="F553" i="4"/>
  <c r="G553" i="4" s="1"/>
  <c r="E554" i="4"/>
  <c r="AE554" i="4" s="1"/>
  <c r="F554" i="4"/>
  <c r="G554" i="4" s="1"/>
  <c r="F555" i="4"/>
  <c r="G555" i="4" s="1"/>
  <c r="E556" i="4"/>
  <c r="AE556" i="4" s="1"/>
  <c r="F556" i="4"/>
  <c r="G556" i="4" s="1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B47" i="6"/>
  <c r="C47" i="6"/>
  <c r="G47" i="6"/>
  <c r="E47" i="6" s="1"/>
  <c r="K47" i="6"/>
  <c r="L47" i="6"/>
  <c r="M47" i="6" a="1"/>
  <c r="M47" i="6" s="1"/>
  <c r="N47" i="6" a="1"/>
  <c r="N47" i="6" s="1"/>
  <c r="O47" i="6"/>
  <c r="P47" i="6"/>
  <c r="Q47" i="6"/>
  <c r="B48" i="6"/>
  <c r="C48" i="6"/>
  <c r="G48" i="6"/>
  <c r="E48" i="6" s="1"/>
  <c r="K48" i="6"/>
  <c r="L48" i="6"/>
  <c r="M48" i="6" a="1"/>
  <c r="M48" i="6" s="1"/>
  <c r="N48" i="6" a="1"/>
  <c r="N48" i="6" s="1"/>
  <c r="O48" i="6"/>
  <c r="P48" i="6"/>
  <c r="Q48" i="6"/>
  <c r="B49" i="6"/>
  <c r="C49" i="6"/>
  <c r="G49" i="6"/>
  <c r="H49" i="6" s="1"/>
  <c r="K49" i="6"/>
  <c r="L49" i="6"/>
  <c r="M49" i="6" a="1"/>
  <c r="M49" i="6" s="1"/>
  <c r="N49" i="6" a="1"/>
  <c r="N49" i="6" s="1"/>
  <c r="O49" i="6"/>
  <c r="P49" i="6"/>
  <c r="Q49" i="6"/>
  <c r="AB49" i="6" s="1"/>
  <c r="B50" i="6"/>
  <c r="C50" i="6"/>
  <c r="G50" i="6"/>
  <c r="H50" i="6" s="1"/>
  <c r="K50" i="6"/>
  <c r="L50" i="6"/>
  <c r="M50" i="6" a="1"/>
  <c r="M50" i="6" s="1"/>
  <c r="N50" i="6" a="1"/>
  <c r="N50" i="6" s="1"/>
  <c r="O50" i="6"/>
  <c r="P50" i="6"/>
  <c r="Q50" i="6"/>
  <c r="AB50" i="6" s="1"/>
  <c r="B51" i="6"/>
  <c r="C51" i="6"/>
  <c r="G51" i="6"/>
  <c r="H51" i="6" s="1"/>
  <c r="K51" i="6"/>
  <c r="L51" i="6"/>
  <c r="M51" i="6" a="1"/>
  <c r="M51" i="6" s="1"/>
  <c r="N51" i="6" a="1"/>
  <c r="N51" i="6" s="1"/>
  <c r="O51" i="6"/>
  <c r="P51" i="6"/>
  <c r="Q51" i="6"/>
  <c r="B52" i="6"/>
  <c r="C52" i="6"/>
  <c r="G52" i="6"/>
  <c r="H52" i="6" s="1"/>
  <c r="K52" i="6"/>
  <c r="L52" i="6"/>
  <c r="M52" i="6" a="1"/>
  <c r="M52" i="6" s="1"/>
  <c r="N52" i="6" a="1"/>
  <c r="N52" i="6" s="1"/>
  <c r="O52" i="6"/>
  <c r="P52" i="6"/>
  <c r="Q52" i="6"/>
  <c r="B53" i="6"/>
  <c r="C53" i="6"/>
  <c r="G53" i="6"/>
  <c r="H53" i="6" s="1"/>
  <c r="K53" i="6"/>
  <c r="L53" i="6"/>
  <c r="M53" i="6" a="1"/>
  <c r="M53" i="6" s="1"/>
  <c r="N53" i="6" a="1"/>
  <c r="N53" i="6" s="1"/>
  <c r="O53" i="6"/>
  <c r="P53" i="6"/>
  <c r="Q53" i="6"/>
  <c r="B54" i="6"/>
  <c r="C54" i="6"/>
  <c r="G54" i="6"/>
  <c r="H54" i="6" s="1"/>
  <c r="K54" i="6"/>
  <c r="L54" i="6"/>
  <c r="M54" i="6" a="1"/>
  <c r="M54" i="6" s="1"/>
  <c r="N54" i="6" a="1"/>
  <c r="N54" i="6" s="1"/>
  <c r="O54" i="6"/>
  <c r="P54" i="6"/>
  <c r="Q54" i="6"/>
  <c r="B55" i="6"/>
  <c r="C55" i="6"/>
  <c r="G55" i="6"/>
  <c r="H55" i="6" s="1"/>
  <c r="K55" i="6"/>
  <c r="L55" i="6"/>
  <c r="M55" i="6" a="1"/>
  <c r="M55" i="6" s="1"/>
  <c r="N55" i="6" a="1"/>
  <c r="N55" i="6" s="1"/>
  <c r="O55" i="6"/>
  <c r="P55" i="6"/>
  <c r="Q55" i="6"/>
  <c r="AB55" i="6" s="1"/>
  <c r="B56" i="6"/>
  <c r="C56" i="6"/>
  <c r="G56" i="6"/>
  <c r="K56" i="6"/>
  <c r="L56" i="6"/>
  <c r="M56" i="6" a="1"/>
  <c r="M56" i="6" s="1"/>
  <c r="N56" i="6" a="1"/>
  <c r="N56" i="6" s="1"/>
  <c r="O56" i="6"/>
  <c r="P56" i="6"/>
  <c r="Q56" i="6"/>
  <c r="AB56" i="6" s="1"/>
  <c r="B57" i="6"/>
  <c r="C57" i="6"/>
  <c r="G57" i="6"/>
  <c r="H57" i="6" s="1"/>
  <c r="K57" i="6"/>
  <c r="L57" i="6"/>
  <c r="M57" i="6" a="1"/>
  <c r="M57" i="6" s="1"/>
  <c r="N57" i="6" a="1"/>
  <c r="N57" i="6" s="1"/>
  <c r="O57" i="6"/>
  <c r="P57" i="6"/>
  <c r="Q57" i="6"/>
  <c r="B58" i="6"/>
  <c r="C58" i="6"/>
  <c r="G58" i="6"/>
  <c r="I58" i="6" s="1"/>
  <c r="K58" i="6"/>
  <c r="L58" i="6"/>
  <c r="M58" i="6" a="1"/>
  <c r="M58" i="6" s="1"/>
  <c r="N58" i="6" a="1"/>
  <c r="N58" i="6" s="1"/>
  <c r="O58" i="6"/>
  <c r="P58" i="6"/>
  <c r="Q58" i="6"/>
  <c r="AB58" i="6" s="1"/>
  <c r="B59" i="6"/>
  <c r="C59" i="6"/>
  <c r="G59" i="6"/>
  <c r="H59" i="6" s="1"/>
  <c r="K59" i="6"/>
  <c r="L59" i="6"/>
  <c r="M59" i="6" a="1"/>
  <c r="M59" i="6" s="1"/>
  <c r="N59" i="6" a="1"/>
  <c r="N59" i="6" s="1"/>
  <c r="O59" i="6"/>
  <c r="P59" i="6"/>
  <c r="Q59" i="6"/>
  <c r="B60" i="6"/>
  <c r="C60" i="6"/>
  <c r="G60" i="6"/>
  <c r="H60" i="6" s="1"/>
  <c r="K60" i="6"/>
  <c r="L60" i="6"/>
  <c r="M60" i="6" a="1"/>
  <c r="M60" i="6" s="1"/>
  <c r="N60" i="6" a="1"/>
  <c r="N60" i="6" s="1"/>
  <c r="O60" i="6"/>
  <c r="P60" i="6"/>
  <c r="Q60" i="6"/>
  <c r="B61" i="6"/>
  <c r="C61" i="6"/>
  <c r="G61" i="6"/>
  <c r="I61" i="6" s="1"/>
  <c r="K61" i="6"/>
  <c r="L61" i="6"/>
  <c r="M61" i="6" a="1"/>
  <c r="M61" i="6" s="1"/>
  <c r="N61" i="6" a="1"/>
  <c r="N61" i="6" s="1"/>
  <c r="O61" i="6"/>
  <c r="P61" i="6"/>
  <c r="Q61" i="6"/>
  <c r="B62" i="6"/>
  <c r="C62" i="6"/>
  <c r="G62" i="6"/>
  <c r="H62" i="6" s="1"/>
  <c r="K62" i="6"/>
  <c r="L62" i="6"/>
  <c r="M62" i="6" a="1"/>
  <c r="M62" i="6" s="1"/>
  <c r="N62" i="6" a="1"/>
  <c r="N62" i="6" s="1"/>
  <c r="O62" i="6"/>
  <c r="P62" i="6"/>
  <c r="Q62" i="6"/>
  <c r="B63" i="6"/>
  <c r="C63" i="6"/>
  <c r="G63" i="6"/>
  <c r="H63" i="6" s="1"/>
  <c r="K63" i="6"/>
  <c r="L63" i="6"/>
  <c r="M63" i="6" a="1"/>
  <c r="M63" i="6" s="1"/>
  <c r="N63" i="6" a="1"/>
  <c r="N63" i="6" s="1"/>
  <c r="O63" i="6"/>
  <c r="P63" i="6"/>
  <c r="Q63" i="6"/>
  <c r="B64" i="6"/>
  <c r="C64" i="6"/>
  <c r="G64" i="6"/>
  <c r="I64" i="6" s="1"/>
  <c r="K64" i="6"/>
  <c r="L64" i="6"/>
  <c r="M64" i="6" a="1"/>
  <c r="M64" i="6" s="1"/>
  <c r="N64" i="6" a="1"/>
  <c r="N64" i="6" s="1"/>
  <c r="O64" i="6"/>
  <c r="P64" i="6"/>
  <c r="Q64" i="6"/>
  <c r="B65" i="6"/>
  <c r="C65" i="6"/>
  <c r="G65" i="6"/>
  <c r="I65" i="6" s="1"/>
  <c r="K65" i="6"/>
  <c r="L65" i="6"/>
  <c r="M65" i="6" a="1"/>
  <c r="M65" i="6" s="1"/>
  <c r="N65" i="6" a="1"/>
  <c r="N65" i="6" s="1"/>
  <c r="O65" i="6"/>
  <c r="P65" i="6"/>
  <c r="Q65" i="6"/>
  <c r="B66" i="6"/>
  <c r="C66" i="6"/>
  <c r="G66" i="6"/>
  <c r="I66" i="6" s="1"/>
  <c r="K66" i="6"/>
  <c r="L66" i="6"/>
  <c r="M66" i="6" a="1"/>
  <c r="M66" i="6" s="1"/>
  <c r="N66" i="6" a="1"/>
  <c r="N66" i="6" s="1"/>
  <c r="O66" i="6"/>
  <c r="P66" i="6"/>
  <c r="Q66" i="6"/>
  <c r="B67" i="6"/>
  <c r="C67" i="6"/>
  <c r="G67" i="6"/>
  <c r="I67" i="6" s="1"/>
  <c r="K67" i="6"/>
  <c r="L67" i="6"/>
  <c r="M67" i="6" a="1"/>
  <c r="M67" i="6" s="1"/>
  <c r="N67" i="6" a="1"/>
  <c r="N67" i="6" s="1"/>
  <c r="O67" i="6"/>
  <c r="P67" i="6"/>
  <c r="Q67" i="6"/>
  <c r="B68" i="6"/>
  <c r="C68" i="6"/>
  <c r="G68" i="6"/>
  <c r="I68" i="6" s="1"/>
  <c r="K68" i="6"/>
  <c r="L68" i="6"/>
  <c r="M68" i="6" a="1"/>
  <c r="M68" i="6" s="1"/>
  <c r="N68" i="6" a="1"/>
  <c r="N68" i="6" s="1"/>
  <c r="O68" i="6"/>
  <c r="P68" i="6"/>
  <c r="Q68" i="6"/>
  <c r="B69" i="6"/>
  <c r="C69" i="6"/>
  <c r="G69" i="6"/>
  <c r="J69" i="6" s="1"/>
  <c r="K69" i="6"/>
  <c r="L69" i="6"/>
  <c r="M69" i="6" a="1"/>
  <c r="M69" i="6" s="1"/>
  <c r="N69" i="6" a="1"/>
  <c r="N69" i="6" s="1"/>
  <c r="O69" i="6"/>
  <c r="P69" i="6"/>
  <c r="Q69" i="6"/>
  <c r="B70" i="6"/>
  <c r="C70" i="6"/>
  <c r="G70" i="6"/>
  <c r="E70" i="6" s="1"/>
  <c r="K70" i="6"/>
  <c r="L70" i="6"/>
  <c r="M70" i="6" a="1"/>
  <c r="M70" i="6" s="1"/>
  <c r="N70" i="6" a="1"/>
  <c r="N70" i="6" s="1"/>
  <c r="O70" i="6"/>
  <c r="P70" i="6"/>
  <c r="Q70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B72" i="6"/>
  <c r="C72" i="6"/>
  <c r="G72" i="6"/>
  <c r="H72" i="6" s="1"/>
  <c r="K72" i="6"/>
  <c r="L72" i="6"/>
  <c r="M72" i="6" a="1"/>
  <c r="M72" i="6" s="1"/>
  <c r="N72" i="6" a="1"/>
  <c r="N72" i="6" s="1"/>
  <c r="O72" i="6"/>
  <c r="P72" i="6"/>
  <c r="Q72" i="6"/>
  <c r="AB72" i="6"/>
  <c r="B73" i="6"/>
  <c r="C73" i="6"/>
  <c r="G73" i="6"/>
  <c r="K73" i="6"/>
  <c r="L73" i="6"/>
  <c r="M73" i="6" a="1"/>
  <c r="M73" i="6" s="1"/>
  <c r="N73" i="6" a="1"/>
  <c r="N73" i="6" s="1"/>
  <c r="O73" i="6"/>
  <c r="P73" i="6"/>
  <c r="Q73" i="6"/>
  <c r="AB73" i="6"/>
  <c r="B74" i="6"/>
  <c r="C74" i="6"/>
  <c r="G74" i="6"/>
  <c r="I74" i="6" s="1"/>
  <c r="K74" i="6"/>
  <c r="L74" i="6"/>
  <c r="M74" i="6" a="1"/>
  <c r="M74" i="6" s="1"/>
  <c r="N74" i="6" a="1"/>
  <c r="N74" i="6" s="1"/>
  <c r="O74" i="6"/>
  <c r="P74" i="6"/>
  <c r="Q74" i="6"/>
  <c r="AB74" i="6"/>
  <c r="B75" i="6"/>
  <c r="C75" i="6"/>
  <c r="G75" i="6"/>
  <c r="J75" i="6" s="1"/>
  <c r="K75" i="6"/>
  <c r="L75" i="6"/>
  <c r="M75" i="6" a="1"/>
  <c r="M75" i="6" s="1"/>
  <c r="N75" i="6" a="1"/>
  <c r="N75" i="6" s="1"/>
  <c r="O75" i="6"/>
  <c r="P75" i="6"/>
  <c r="Q75" i="6"/>
  <c r="B76" i="6"/>
  <c r="C76" i="6"/>
  <c r="G76" i="6"/>
  <c r="E76" i="6" s="1"/>
  <c r="K76" i="6"/>
  <c r="L76" i="6"/>
  <c r="M76" i="6" a="1"/>
  <c r="M76" i="6" s="1"/>
  <c r="N76" i="6" a="1"/>
  <c r="N76" i="6" s="1"/>
  <c r="O76" i="6"/>
  <c r="P76" i="6"/>
  <c r="Q76" i="6"/>
  <c r="AB76" i="6" s="1"/>
  <c r="B77" i="6"/>
  <c r="C77" i="6"/>
  <c r="G77" i="6"/>
  <c r="J77" i="6" s="1"/>
  <c r="K77" i="6"/>
  <c r="L77" i="6"/>
  <c r="M77" i="6" a="1"/>
  <c r="M77" i="6" s="1"/>
  <c r="N77" i="6" a="1"/>
  <c r="N77" i="6" s="1"/>
  <c r="O77" i="6"/>
  <c r="P77" i="6"/>
  <c r="Q77" i="6"/>
  <c r="B78" i="6"/>
  <c r="C78" i="6"/>
  <c r="G78" i="6"/>
  <c r="H78" i="6" s="1"/>
  <c r="K78" i="6"/>
  <c r="L78" i="6"/>
  <c r="M78" i="6" a="1"/>
  <c r="M78" i="6" s="1"/>
  <c r="N78" i="6" a="1"/>
  <c r="N78" i="6" s="1"/>
  <c r="O78" i="6"/>
  <c r="P78" i="6"/>
  <c r="Q78" i="6"/>
  <c r="B79" i="6"/>
  <c r="C79" i="6"/>
  <c r="G79" i="6"/>
  <c r="I79" i="6" s="1"/>
  <c r="K79" i="6"/>
  <c r="L79" i="6"/>
  <c r="M79" i="6" a="1"/>
  <c r="M79" i="6" s="1"/>
  <c r="N79" i="6" a="1"/>
  <c r="N79" i="6" s="1"/>
  <c r="O79" i="6"/>
  <c r="P79" i="6"/>
  <c r="Q79" i="6"/>
  <c r="B80" i="6"/>
  <c r="C80" i="6"/>
  <c r="G80" i="6"/>
  <c r="K80" i="6"/>
  <c r="L80" i="6"/>
  <c r="M80" i="6" a="1"/>
  <c r="M80" i="6" s="1"/>
  <c r="N80" i="6" a="1"/>
  <c r="N80" i="6"/>
  <c r="O80" i="6"/>
  <c r="P80" i="6"/>
  <c r="Q80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B82" i="6"/>
  <c r="C82" i="6"/>
  <c r="G82" i="6"/>
  <c r="J82" i="6" s="1"/>
  <c r="K82" i="6"/>
  <c r="L82" i="6"/>
  <c r="M82" i="6" a="1"/>
  <c r="M82" i="6" s="1"/>
  <c r="N82" i="6" a="1"/>
  <c r="N82" i="6" s="1"/>
  <c r="O82" i="6"/>
  <c r="P82" i="6"/>
  <c r="Q82" i="6"/>
  <c r="B83" i="6"/>
  <c r="C83" i="6"/>
  <c r="G83" i="6"/>
  <c r="H83" i="6" s="1"/>
  <c r="K83" i="6"/>
  <c r="L83" i="6"/>
  <c r="M83" i="6" a="1"/>
  <c r="M83" i="6" s="1"/>
  <c r="N83" i="6" a="1"/>
  <c r="N83" i="6" s="1"/>
  <c r="O83" i="6"/>
  <c r="P83" i="6"/>
  <c r="Q83" i="6"/>
  <c r="B84" i="6"/>
  <c r="C84" i="6"/>
  <c r="G84" i="6"/>
  <c r="J84" i="6" s="1"/>
  <c r="K84" i="6"/>
  <c r="L84" i="6"/>
  <c r="M84" i="6" a="1"/>
  <c r="M84" i="6" s="1"/>
  <c r="N84" i="6" a="1"/>
  <c r="N84" i="6" s="1"/>
  <c r="O84" i="6"/>
  <c r="P84" i="6"/>
  <c r="Q84" i="6"/>
  <c r="B85" i="6"/>
  <c r="C85" i="6"/>
  <c r="G85" i="6"/>
  <c r="J85" i="6" s="1"/>
  <c r="K85" i="6"/>
  <c r="L85" i="6"/>
  <c r="M85" i="6" a="1"/>
  <c r="M85" i="6" s="1"/>
  <c r="N85" i="6" a="1"/>
  <c r="N85" i="6" s="1"/>
  <c r="O85" i="6"/>
  <c r="P85" i="6"/>
  <c r="Q85" i="6"/>
  <c r="B86" i="6"/>
  <c r="C86" i="6"/>
  <c r="G86" i="6"/>
  <c r="H86" i="6" s="1"/>
  <c r="K86" i="6"/>
  <c r="L86" i="6"/>
  <c r="M86" i="6" a="1"/>
  <c r="M86" i="6" s="1"/>
  <c r="N86" i="6" a="1"/>
  <c r="N86" i="6" s="1"/>
  <c r="O86" i="6"/>
  <c r="P86" i="6"/>
  <c r="Q86" i="6"/>
  <c r="B87" i="6"/>
  <c r="C87" i="6"/>
  <c r="G87" i="6"/>
  <c r="E87" i="6" s="1"/>
  <c r="K87" i="6"/>
  <c r="L87" i="6"/>
  <c r="M87" i="6" a="1"/>
  <c r="M87" i="6" s="1"/>
  <c r="N87" i="6" a="1"/>
  <c r="N87" i="6" s="1"/>
  <c r="O87" i="6"/>
  <c r="P87" i="6"/>
  <c r="Q87" i="6"/>
  <c r="B88" i="6"/>
  <c r="C88" i="6"/>
  <c r="G88" i="6"/>
  <c r="H88" i="6" s="1"/>
  <c r="K88" i="6"/>
  <c r="L88" i="6"/>
  <c r="M88" i="6" a="1"/>
  <c r="M88" i="6" s="1"/>
  <c r="N88" i="6" a="1"/>
  <c r="N88" i="6" s="1"/>
  <c r="O88" i="6"/>
  <c r="P88" i="6"/>
  <c r="Q88" i="6"/>
  <c r="B89" i="6"/>
  <c r="C89" i="6"/>
  <c r="G89" i="6"/>
  <c r="E89" i="6" s="1"/>
  <c r="K89" i="6"/>
  <c r="L89" i="6"/>
  <c r="M89" i="6" a="1"/>
  <c r="M89" i="6" s="1"/>
  <c r="N89" i="6" a="1"/>
  <c r="N89" i="6" s="1"/>
  <c r="O89" i="6"/>
  <c r="P89" i="6"/>
  <c r="Q89" i="6"/>
  <c r="B90" i="6"/>
  <c r="C90" i="6"/>
  <c r="G90" i="6"/>
  <c r="I90" i="6" s="1"/>
  <c r="K90" i="6"/>
  <c r="L90" i="6"/>
  <c r="M90" i="6" a="1"/>
  <c r="M90" i="6" s="1"/>
  <c r="N90" i="6" a="1"/>
  <c r="N90" i="6" s="1"/>
  <c r="O90" i="6"/>
  <c r="P90" i="6"/>
  <c r="Q90" i="6"/>
  <c r="B91" i="6"/>
  <c r="C91" i="6"/>
  <c r="G91" i="6"/>
  <c r="I91" i="6" s="1"/>
  <c r="K91" i="6"/>
  <c r="L91" i="6"/>
  <c r="M91" i="6" a="1"/>
  <c r="M91" i="6" s="1"/>
  <c r="N91" i="6" a="1"/>
  <c r="N91" i="6" s="1"/>
  <c r="O91" i="6"/>
  <c r="P91" i="6"/>
  <c r="Q91" i="6"/>
  <c r="B92" i="6"/>
  <c r="C92" i="6"/>
  <c r="G92" i="6"/>
  <c r="K92" i="6"/>
  <c r="L92" i="6"/>
  <c r="M92" i="6" a="1"/>
  <c r="M92" i="6" s="1"/>
  <c r="N92" i="6" a="1"/>
  <c r="N92" i="6" s="1"/>
  <c r="O92" i="6"/>
  <c r="P92" i="6"/>
  <c r="Q92" i="6"/>
  <c r="AB92" i="6" s="1"/>
  <c r="B93" i="6"/>
  <c r="C93" i="6"/>
  <c r="G93" i="6"/>
  <c r="I93" i="6" s="1"/>
  <c r="K93" i="6"/>
  <c r="L93" i="6"/>
  <c r="M93" i="6" a="1"/>
  <c r="M93" i="6" s="1"/>
  <c r="N93" i="6" a="1"/>
  <c r="N93" i="6" s="1"/>
  <c r="O93" i="6"/>
  <c r="P93" i="6"/>
  <c r="Q93" i="6"/>
  <c r="B94" i="6"/>
  <c r="C94" i="6"/>
  <c r="G94" i="6"/>
  <c r="K94" i="6"/>
  <c r="L94" i="6"/>
  <c r="M94" i="6" a="1"/>
  <c r="M94" i="6" s="1"/>
  <c r="N94" i="6" a="1"/>
  <c r="N94" i="6" s="1"/>
  <c r="O94" i="6"/>
  <c r="P94" i="6"/>
  <c r="Q94" i="6"/>
  <c r="B95" i="6"/>
  <c r="C95" i="6"/>
  <c r="G95" i="6"/>
  <c r="E95" i="6" s="1"/>
  <c r="K95" i="6"/>
  <c r="L95" i="6"/>
  <c r="M95" i="6" a="1"/>
  <c r="M95" i="6" s="1"/>
  <c r="N95" i="6" a="1"/>
  <c r="N95" i="6" s="1"/>
  <c r="O95" i="6"/>
  <c r="P95" i="6"/>
  <c r="Q95" i="6"/>
  <c r="B96" i="6"/>
  <c r="C96" i="6"/>
  <c r="G96" i="6"/>
  <c r="J96" i="6" s="1"/>
  <c r="K96" i="6"/>
  <c r="L96" i="6"/>
  <c r="M96" i="6" a="1"/>
  <c r="M96" i="6" s="1"/>
  <c r="N96" i="6" a="1"/>
  <c r="N96" i="6" s="1"/>
  <c r="O96" i="6"/>
  <c r="P96" i="6"/>
  <c r="Q96" i="6"/>
  <c r="B97" i="6"/>
  <c r="C97" i="6"/>
  <c r="G97" i="6"/>
  <c r="I97" i="6" s="1"/>
  <c r="K97" i="6"/>
  <c r="L97" i="6"/>
  <c r="M97" i="6" a="1"/>
  <c r="M97" i="6" s="1"/>
  <c r="N97" i="6" a="1"/>
  <c r="N97" i="6" s="1"/>
  <c r="O97" i="6"/>
  <c r="P97" i="6"/>
  <c r="Q97" i="6"/>
  <c r="B98" i="6"/>
  <c r="C98" i="6"/>
  <c r="G98" i="6"/>
  <c r="E98" i="6" s="1"/>
  <c r="K98" i="6"/>
  <c r="L98" i="6"/>
  <c r="M98" i="6" a="1"/>
  <c r="M98" i="6" s="1"/>
  <c r="N98" i="6" a="1"/>
  <c r="N98" i="6" s="1"/>
  <c r="O98" i="6"/>
  <c r="P98" i="6"/>
  <c r="Q98" i="6"/>
  <c r="B99" i="6"/>
  <c r="C99" i="6"/>
  <c r="G99" i="6"/>
  <c r="K99" i="6"/>
  <c r="L99" i="6"/>
  <c r="M99" i="6" a="1"/>
  <c r="M99" i="6" s="1"/>
  <c r="N99" i="6" a="1"/>
  <c r="N99" i="6" s="1"/>
  <c r="O99" i="6"/>
  <c r="P99" i="6"/>
  <c r="Q99" i="6"/>
  <c r="B100" i="6"/>
  <c r="C100" i="6"/>
  <c r="G100" i="6"/>
  <c r="K100" i="6"/>
  <c r="L100" i="6"/>
  <c r="M100" i="6" a="1"/>
  <c r="M100" i="6" s="1"/>
  <c r="N100" i="6" a="1"/>
  <c r="N100" i="6" s="1"/>
  <c r="O100" i="6"/>
  <c r="P100" i="6"/>
  <c r="Q100" i="6"/>
  <c r="AB100" i="6"/>
  <c r="B101" i="6"/>
  <c r="C101" i="6"/>
  <c r="G101" i="6"/>
  <c r="K101" i="6"/>
  <c r="L101" i="6"/>
  <c r="M101" i="6" a="1"/>
  <c r="M101" i="6" s="1"/>
  <c r="N101" i="6" a="1"/>
  <c r="N101" i="6" s="1"/>
  <c r="O101" i="6"/>
  <c r="P101" i="6"/>
  <c r="Q101" i="6"/>
  <c r="B102" i="6"/>
  <c r="C102" i="6"/>
  <c r="G102" i="6"/>
  <c r="K102" i="6"/>
  <c r="L102" i="6"/>
  <c r="M102" i="6" a="1"/>
  <c r="M102" i="6" s="1"/>
  <c r="N102" i="6" a="1"/>
  <c r="N102" i="6" s="1"/>
  <c r="O102" i="6"/>
  <c r="P102" i="6"/>
  <c r="Q102" i="6"/>
  <c r="AB102" i="6"/>
  <c r="B103" i="6"/>
  <c r="C103" i="6"/>
  <c r="G103" i="6"/>
  <c r="I103" i="6" s="1"/>
  <c r="K103" i="6"/>
  <c r="L103" i="6"/>
  <c r="M103" i="6" a="1"/>
  <c r="M103" i="6" s="1"/>
  <c r="N103" i="6" a="1"/>
  <c r="N103" i="6" s="1"/>
  <c r="O103" i="6"/>
  <c r="P103" i="6"/>
  <c r="Q103" i="6"/>
  <c r="B104" i="6"/>
  <c r="C104" i="6"/>
  <c r="G104" i="6"/>
  <c r="H104" i="6" s="1"/>
  <c r="K104" i="6"/>
  <c r="L104" i="6"/>
  <c r="M104" i="6" a="1"/>
  <c r="M104" i="6" s="1"/>
  <c r="N104" i="6" a="1"/>
  <c r="N104" i="6"/>
  <c r="O104" i="6"/>
  <c r="P104" i="6"/>
  <c r="Q104" i="6"/>
  <c r="B105" i="6"/>
  <c r="C105" i="6"/>
  <c r="G105" i="6"/>
  <c r="K105" i="6"/>
  <c r="L105" i="6"/>
  <c r="M105" i="6" a="1"/>
  <c r="M105" i="6" s="1"/>
  <c r="N105" i="6" a="1"/>
  <c r="N105" i="6" s="1"/>
  <c r="O105" i="6"/>
  <c r="P105" i="6"/>
  <c r="Q105" i="6"/>
  <c r="B106" i="6"/>
  <c r="C106" i="6"/>
  <c r="G106" i="6"/>
  <c r="K106" i="6"/>
  <c r="L106" i="6"/>
  <c r="M106" i="6" a="1"/>
  <c r="M106" i="6" s="1"/>
  <c r="N106" i="6" a="1"/>
  <c r="N106" i="6" s="1"/>
  <c r="O106" i="6"/>
  <c r="P106" i="6"/>
  <c r="Q106" i="6"/>
  <c r="B107" i="6"/>
  <c r="C107" i="6"/>
  <c r="G107" i="6"/>
  <c r="K107" i="6"/>
  <c r="L107" i="6"/>
  <c r="M107" i="6" a="1"/>
  <c r="M107" i="6" s="1"/>
  <c r="N107" i="6" a="1"/>
  <c r="N107" i="6" s="1"/>
  <c r="O107" i="6"/>
  <c r="P107" i="6"/>
  <c r="Q107" i="6"/>
  <c r="B108" i="6"/>
  <c r="C108" i="6"/>
  <c r="G108" i="6"/>
  <c r="K108" i="6"/>
  <c r="L108" i="6"/>
  <c r="M108" i="6" a="1"/>
  <c r="M108" i="6" s="1"/>
  <c r="N108" i="6" a="1"/>
  <c r="N108" i="6" s="1"/>
  <c r="O108" i="6"/>
  <c r="P108" i="6"/>
  <c r="Q108" i="6"/>
  <c r="B109" i="6"/>
  <c r="C109" i="6"/>
  <c r="G109" i="6"/>
  <c r="J109" i="6" s="1"/>
  <c r="K109" i="6"/>
  <c r="L109" i="6"/>
  <c r="M109" i="6" a="1"/>
  <c r="M109" i="6" s="1"/>
  <c r="N109" i="6" a="1"/>
  <c r="N109" i="6" s="1"/>
  <c r="O109" i="6"/>
  <c r="P109" i="6"/>
  <c r="Q109" i="6"/>
  <c r="B110" i="6"/>
  <c r="C110" i="6"/>
  <c r="G110" i="6"/>
  <c r="I110" i="6" s="1"/>
  <c r="K110" i="6"/>
  <c r="L110" i="6"/>
  <c r="M110" i="6" a="1"/>
  <c r="M110" i="6" s="1"/>
  <c r="N110" i="6" a="1"/>
  <c r="N110" i="6" s="1"/>
  <c r="O110" i="6"/>
  <c r="P110" i="6"/>
  <c r="Q110" i="6"/>
  <c r="B111" i="6"/>
  <c r="C111" i="6"/>
  <c r="G111" i="6"/>
  <c r="J111" i="6" s="1"/>
  <c r="K111" i="6"/>
  <c r="L111" i="6"/>
  <c r="M111" i="6" a="1"/>
  <c r="M111" i="6" s="1"/>
  <c r="N111" i="6" a="1"/>
  <c r="N111" i="6" s="1"/>
  <c r="O111" i="6"/>
  <c r="P111" i="6"/>
  <c r="Q111" i="6"/>
  <c r="B112" i="6"/>
  <c r="C112" i="6"/>
  <c r="G112" i="6"/>
  <c r="I112" i="6" s="1"/>
  <c r="K112" i="6"/>
  <c r="L112" i="6"/>
  <c r="M112" i="6" a="1"/>
  <c r="M112" i="6" s="1"/>
  <c r="N112" i="6" a="1"/>
  <c r="N112" i="6" s="1"/>
  <c r="O112" i="6"/>
  <c r="P112" i="6"/>
  <c r="Q112" i="6"/>
  <c r="B113" i="6"/>
  <c r="C113" i="6"/>
  <c r="G113" i="6"/>
  <c r="J113" i="6" s="1"/>
  <c r="K113" i="6"/>
  <c r="L113" i="6"/>
  <c r="M113" i="6" a="1"/>
  <c r="M113" i="6" s="1"/>
  <c r="N113" i="6" a="1"/>
  <c r="N113" i="6" s="1"/>
  <c r="O113" i="6"/>
  <c r="P113" i="6"/>
  <c r="Q113" i="6"/>
  <c r="B114" i="6"/>
  <c r="C114" i="6"/>
  <c r="G114" i="6"/>
  <c r="I114" i="6" s="1"/>
  <c r="K114" i="6"/>
  <c r="L114" i="6"/>
  <c r="M114" i="6" a="1"/>
  <c r="M114" i="6" s="1"/>
  <c r="N114" i="6" a="1"/>
  <c r="N114" i="6" s="1"/>
  <c r="O114" i="6"/>
  <c r="P114" i="6"/>
  <c r="Q114" i="6"/>
  <c r="B115" i="6"/>
  <c r="C115" i="6"/>
  <c r="G115" i="6"/>
  <c r="J115" i="6" s="1"/>
  <c r="K115" i="6"/>
  <c r="L115" i="6"/>
  <c r="M115" i="6" a="1"/>
  <c r="M115" i="6" s="1"/>
  <c r="N115" i="6" a="1"/>
  <c r="N115" i="6" s="1"/>
  <c r="O115" i="6"/>
  <c r="P115" i="6"/>
  <c r="Q115" i="6"/>
  <c r="AB115" i="6"/>
  <c r="B116" i="6"/>
  <c r="C116" i="6"/>
  <c r="G116" i="6"/>
  <c r="J116" i="6" s="1"/>
  <c r="K116" i="6"/>
  <c r="L116" i="6"/>
  <c r="M116" i="6" a="1"/>
  <c r="M116" i="6" s="1"/>
  <c r="N116" i="6" a="1"/>
  <c r="N116" i="6" s="1"/>
  <c r="O116" i="6"/>
  <c r="P116" i="6"/>
  <c r="Q116" i="6"/>
  <c r="B117" i="6"/>
  <c r="C117" i="6"/>
  <c r="G117" i="6"/>
  <c r="I117" i="6" s="1"/>
  <c r="K117" i="6"/>
  <c r="L117" i="6"/>
  <c r="M117" i="6" a="1"/>
  <c r="M117" i="6"/>
  <c r="N117" i="6" a="1"/>
  <c r="N117" i="6" s="1"/>
  <c r="O117" i="6"/>
  <c r="P117" i="6"/>
  <c r="Q117" i="6"/>
  <c r="B118" i="6"/>
  <c r="C118" i="6"/>
  <c r="G118" i="6"/>
  <c r="J118" i="6" s="1"/>
  <c r="K118" i="6"/>
  <c r="L118" i="6"/>
  <c r="M118" i="6" a="1"/>
  <c r="M118" i="6"/>
  <c r="N118" i="6" a="1"/>
  <c r="N118" i="6" s="1"/>
  <c r="O118" i="6"/>
  <c r="P118" i="6"/>
  <c r="Q118" i="6"/>
  <c r="B119" i="6"/>
  <c r="C119" i="6"/>
  <c r="G119" i="6"/>
  <c r="E119" i="6" s="1"/>
  <c r="K119" i="6"/>
  <c r="L119" i="6"/>
  <c r="M119" i="6" a="1"/>
  <c r="M119" i="6" s="1"/>
  <c r="N119" i="6" a="1"/>
  <c r="N119" i="6" s="1"/>
  <c r="O119" i="6"/>
  <c r="P119" i="6"/>
  <c r="Q119" i="6"/>
  <c r="B120" i="6"/>
  <c r="C120" i="6"/>
  <c r="G120" i="6"/>
  <c r="H120" i="6" s="1"/>
  <c r="I120" i="6"/>
  <c r="K120" i="6"/>
  <c r="L120" i="6"/>
  <c r="M120" i="6" a="1"/>
  <c r="M120" i="6" s="1"/>
  <c r="N120" i="6" a="1"/>
  <c r="N120" i="6" s="1"/>
  <c r="O120" i="6"/>
  <c r="P120" i="6"/>
  <c r="Q120" i="6"/>
  <c r="B121" i="6"/>
  <c r="C121" i="6"/>
  <c r="G121" i="6"/>
  <c r="J121" i="6" s="1"/>
  <c r="K121" i="6"/>
  <c r="L121" i="6"/>
  <c r="M121" i="6" a="1"/>
  <c r="M121" i="6"/>
  <c r="N121" i="6" a="1"/>
  <c r="N121" i="6" s="1"/>
  <c r="O121" i="6"/>
  <c r="P121" i="6"/>
  <c r="Q121" i="6"/>
  <c r="B122" i="6"/>
  <c r="C122" i="6"/>
  <c r="G122" i="6"/>
  <c r="J122" i="6" s="1"/>
  <c r="K122" i="6"/>
  <c r="L122" i="6"/>
  <c r="M122" i="6" a="1"/>
  <c r="M122" i="6" s="1"/>
  <c r="N122" i="6" a="1"/>
  <c r="N122" i="6" s="1"/>
  <c r="O122" i="6"/>
  <c r="P122" i="6"/>
  <c r="Q122" i="6"/>
  <c r="B123" i="6"/>
  <c r="C123" i="6"/>
  <c r="G123" i="6"/>
  <c r="E123" i="6" s="1"/>
  <c r="K123" i="6"/>
  <c r="L123" i="6"/>
  <c r="M123" i="6" a="1"/>
  <c r="M123" i="6" s="1"/>
  <c r="N123" i="6" a="1"/>
  <c r="N123" i="6" s="1"/>
  <c r="O123" i="6"/>
  <c r="P123" i="6"/>
  <c r="Q123" i="6"/>
  <c r="B124" i="6"/>
  <c r="C124" i="6"/>
  <c r="G124" i="6"/>
  <c r="J124" i="6" s="1"/>
  <c r="K124" i="6"/>
  <c r="L124" i="6"/>
  <c r="M124" i="6" a="1"/>
  <c r="M124" i="6" s="1"/>
  <c r="N124" i="6" a="1"/>
  <c r="N124" i="6" s="1"/>
  <c r="O124" i="6"/>
  <c r="P124" i="6"/>
  <c r="Q124" i="6"/>
  <c r="B125" i="6"/>
  <c r="C125" i="6"/>
  <c r="G125" i="6"/>
  <c r="J125" i="6" s="1"/>
  <c r="K125" i="6"/>
  <c r="L125" i="6"/>
  <c r="M125" i="6" a="1"/>
  <c r="M125" i="6" s="1"/>
  <c r="N125" i="6" a="1"/>
  <c r="N125" i="6" s="1"/>
  <c r="O125" i="6"/>
  <c r="P125" i="6"/>
  <c r="Q125" i="6"/>
  <c r="B126" i="6"/>
  <c r="C126" i="6"/>
  <c r="G126" i="6"/>
  <c r="K126" i="6"/>
  <c r="L126" i="6"/>
  <c r="M126" i="6" a="1"/>
  <c r="M126" i="6" s="1"/>
  <c r="N126" i="6" a="1"/>
  <c r="N126" i="6" s="1"/>
  <c r="O126" i="6"/>
  <c r="P126" i="6"/>
  <c r="Q126" i="6"/>
  <c r="B127" i="6"/>
  <c r="C127" i="6"/>
  <c r="G127" i="6"/>
  <c r="H127" i="6" s="1"/>
  <c r="K127" i="6"/>
  <c r="L127" i="6"/>
  <c r="M127" i="6" a="1"/>
  <c r="M127" i="6" s="1"/>
  <c r="N127" i="6" a="1"/>
  <c r="N127" i="6" s="1"/>
  <c r="O127" i="6"/>
  <c r="P127" i="6"/>
  <c r="Q127" i="6"/>
  <c r="B128" i="6"/>
  <c r="C128" i="6"/>
  <c r="G128" i="6"/>
  <c r="J128" i="6" s="1"/>
  <c r="K128" i="6"/>
  <c r="L128" i="6"/>
  <c r="M128" i="6" a="1"/>
  <c r="M128" i="6" s="1"/>
  <c r="N128" i="6" a="1"/>
  <c r="N128" i="6" s="1"/>
  <c r="O128" i="6"/>
  <c r="P128" i="6"/>
  <c r="Q128" i="6"/>
  <c r="B129" i="6"/>
  <c r="C129" i="6"/>
  <c r="G129" i="6"/>
  <c r="I129" i="6" s="1"/>
  <c r="K129" i="6"/>
  <c r="L129" i="6"/>
  <c r="M129" i="6" a="1"/>
  <c r="M129" i="6" s="1"/>
  <c r="N129" i="6" a="1"/>
  <c r="N129" i="6" s="1"/>
  <c r="O129" i="6"/>
  <c r="P129" i="6"/>
  <c r="Q129" i="6"/>
  <c r="B130" i="6"/>
  <c r="C130" i="6"/>
  <c r="G130" i="6"/>
  <c r="I130" i="6" s="1"/>
  <c r="K130" i="6"/>
  <c r="L130" i="6"/>
  <c r="M130" i="6" a="1"/>
  <c r="M130" i="6" s="1"/>
  <c r="N130" i="6" a="1"/>
  <c r="N130" i="6" s="1"/>
  <c r="O130" i="6"/>
  <c r="P130" i="6"/>
  <c r="Q130" i="6"/>
  <c r="B131" i="6"/>
  <c r="C131" i="6"/>
  <c r="G131" i="6"/>
  <c r="K131" i="6"/>
  <c r="L131" i="6"/>
  <c r="M131" i="6" a="1"/>
  <c r="M131" i="6" s="1"/>
  <c r="N131" i="6" a="1"/>
  <c r="N131" i="6" s="1"/>
  <c r="O131" i="6"/>
  <c r="P131" i="6"/>
  <c r="Q131" i="6"/>
  <c r="B132" i="6"/>
  <c r="C132" i="6"/>
  <c r="G132" i="6"/>
  <c r="E132" i="6" s="1"/>
  <c r="K132" i="6"/>
  <c r="L132" i="6"/>
  <c r="M132" i="6" a="1"/>
  <c r="M132" i="6" s="1"/>
  <c r="N132" i="6" a="1"/>
  <c r="N132" i="6" s="1"/>
  <c r="O132" i="6"/>
  <c r="P132" i="6"/>
  <c r="Q132" i="6"/>
  <c r="B133" i="6"/>
  <c r="C133" i="6"/>
  <c r="G133" i="6"/>
  <c r="K133" i="6"/>
  <c r="L133" i="6"/>
  <c r="M133" i="6" a="1"/>
  <c r="M133" i="6" s="1"/>
  <c r="N133" i="6" a="1"/>
  <c r="N133" i="6" s="1"/>
  <c r="O133" i="6"/>
  <c r="P133" i="6"/>
  <c r="Q133" i="6"/>
  <c r="B134" i="6"/>
  <c r="C134" i="6"/>
  <c r="G134" i="6"/>
  <c r="E134" i="6" s="1"/>
  <c r="K134" i="6"/>
  <c r="L134" i="6"/>
  <c r="M134" i="6" a="1"/>
  <c r="M134" i="6" s="1"/>
  <c r="N134" i="6" a="1"/>
  <c r="N134" i="6" s="1"/>
  <c r="O134" i="6"/>
  <c r="P134" i="6"/>
  <c r="Q134" i="6"/>
  <c r="B135" i="6"/>
  <c r="C135" i="6"/>
  <c r="G135" i="6"/>
  <c r="E135" i="6" s="1"/>
  <c r="K135" i="6"/>
  <c r="L135" i="6"/>
  <c r="M135" i="6" a="1"/>
  <c r="M135" i="6" s="1"/>
  <c r="N135" i="6" a="1"/>
  <c r="N135" i="6" s="1"/>
  <c r="O135" i="6"/>
  <c r="P135" i="6"/>
  <c r="Q135" i="6"/>
  <c r="B136" i="6"/>
  <c r="C136" i="6"/>
  <c r="G136" i="6"/>
  <c r="H136" i="6" s="1"/>
  <c r="K136" i="6"/>
  <c r="L136" i="6"/>
  <c r="M136" i="6" a="1"/>
  <c r="M136" i="6" s="1"/>
  <c r="N136" i="6" a="1"/>
  <c r="N136" i="6" s="1"/>
  <c r="O136" i="6"/>
  <c r="P136" i="6"/>
  <c r="Q136" i="6"/>
  <c r="B137" i="6"/>
  <c r="C137" i="6"/>
  <c r="G137" i="6"/>
  <c r="J137" i="6" s="1"/>
  <c r="K137" i="6"/>
  <c r="L137" i="6"/>
  <c r="M137" i="6" a="1"/>
  <c r="M137" i="6" s="1"/>
  <c r="N137" i="6" a="1"/>
  <c r="N137" i="6" s="1"/>
  <c r="O137" i="6"/>
  <c r="P137" i="6"/>
  <c r="Q137" i="6"/>
  <c r="B138" i="6"/>
  <c r="C138" i="6"/>
  <c r="G138" i="6"/>
  <c r="H138" i="6" s="1"/>
  <c r="K138" i="6"/>
  <c r="L138" i="6"/>
  <c r="M138" i="6" a="1"/>
  <c r="M138" i="6" s="1"/>
  <c r="N138" i="6" a="1"/>
  <c r="N138" i="6" s="1"/>
  <c r="O138" i="6"/>
  <c r="P138" i="6"/>
  <c r="Q138" i="6"/>
  <c r="B139" i="6"/>
  <c r="C139" i="6"/>
  <c r="G139" i="6"/>
  <c r="J139" i="6" s="1"/>
  <c r="K139" i="6"/>
  <c r="L139" i="6"/>
  <c r="M139" i="6" a="1"/>
  <c r="M139" i="6" s="1"/>
  <c r="N139" i="6" a="1"/>
  <c r="N139" i="6" s="1"/>
  <c r="O139" i="6"/>
  <c r="P139" i="6"/>
  <c r="Q139" i="6"/>
  <c r="B140" i="6"/>
  <c r="C140" i="6"/>
  <c r="G140" i="6"/>
  <c r="H140" i="6" s="1"/>
  <c r="K140" i="6"/>
  <c r="L140" i="6"/>
  <c r="M140" i="6" a="1"/>
  <c r="M140" i="6" s="1"/>
  <c r="N140" i="6" a="1"/>
  <c r="N140" i="6"/>
  <c r="O140" i="6"/>
  <c r="P140" i="6"/>
  <c r="Q140" i="6"/>
  <c r="B141" i="6"/>
  <c r="C141" i="6"/>
  <c r="G141" i="6"/>
  <c r="I141" i="6" s="1"/>
  <c r="K141" i="6"/>
  <c r="L141" i="6"/>
  <c r="M141" i="6" a="1"/>
  <c r="M141" i="6" s="1"/>
  <c r="N141" i="6" a="1"/>
  <c r="N141" i="6" s="1"/>
  <c r="O141" i="6"/>
  <c r="P141" i="6"/>
  <c r="Q141" i="6"/>
  <c r="B142" i="6"/>
  <c r="C142" i="6"/>
  <c r="G142" i="6"/>
  <c r="H142" i="6" s="1"/>
  <c r="K142" i="6"/>
  <c r="L142" i="6"/>
  <c r="M142" i="6" a="1"/>
  <c r="M142" i="6" s="1"/>
  <c r="N142" i="6" a="1"/>
  <c r="N142" i="6" s="1"/>
  <c r="O142" i="6"/>
  <c r="P142" i="6"/>
  <c r="Q142" i="6"/>
  <c r="AB142" i="6"/>
  <c r="B143" i="6"/>
  <c r="C143" i="6"/>
  <c r="G143" i="6"/>
  <c r="E143" i="6" s="1"/>
  <c r="K143" i="6"/>
  <c r="L143" i="6"/>
  <c r="M143" i="6" a="1"/>
  <c r="M143" i="6" s="1"/>
  <c r="N143" i="6" a="1"/>
  <c r="N143" i="6" s="1"/>
  <c r="O143" i="6"/>
  <c r="P143" i="6"/>
  <c r="Q143" i="6"/>
  <c r="B144" i="6"/>
  <c r="C144" i="6"/>
  <c r="G144" i="6"/>
  <c r="I144" i="6" s="1"/>
  <c r="K144" i="6"/>
  <c r="L144" i="6"/>
  <c r="M144" i="6" a="1"/>
  <c r="M144" i="6" s="1"/>
  <c r="N144" i="6" a="1"/>
  <c r="N144" i="6" s="1"/>
  <c r="O144" i="6"/>
  <c r="P144" i="6"/>
  <c r="Q144" i="6"/>
  <c r="AB144" i="6"/>
  <c r="B145" i="6"/>
  <c r="C145" i="6"/>
  <c r="G145" i="6"/>
  <c r="J145" i="6" s="1"/>
  <c r="K145" i="6"/>
  <c r="L145" i="6"/>
  <c r="M145" i="6" a="1"/>
  <c r="M145" i="6" s="1"/>
  <c r="N145" i="6" a="1"/>
  <c r="N145" i="6" s="1"/>
  <c r="O145" i="6"/>
  <c r="P145" i="6"/>
  <c r="Q145" i="6"/>
  <c r="B146" i="6"/>
  <c r="C146" i="6"/>
  <c r="G146" i="6"/>
  <c r="E146" i="6" s="1"/>
  <c r="K146" i="6"/>
  <c r="L146" i="6"/>
  <c r="M146" i="6" a="1"/>
  <c r="M146" i="6" s="1"/>
  <c r="N146" i="6" a="1"/>
  <c r="N146" i="6" s="1"/>
  <c r="O146" i="6"/>
  <c r="P146" i="6"/>
  <c r="Q146" i="6"/>
  <c r="B147" i="6"/>
  <c r="C147" i="6"/>
  <c r="G147" i="6"/>
  <c r="K147" i="6"/>
  <c r="L147" i="6"/>
  <c r="M147" i="6" a="1"/>
  <c r="M147" i="6"/>
  <c r="N147" i="6" a="1"/>
  <c r="N147" i="6" s="1"/>
  <c r="O147" i="6"/>
  <c r="P147" i="6"/>
  <c r="Q147" i="6"/>
  <c r="B148" i="6"/>
  <c r="C148" i="6"/>
  <c r="G148" i="6"/>
  <c r="K148" i="6"/>
  <c r="L148" i="6"/>
  <c r="M148" i="6" a="1"/>
  <c r="M148" i="6" s="1"/>
  <c r="N148" i="6" a="1"/>
  <c r="N148" i="6" s="1"/>
  <c r="O148" i="6"/>
  <c r="P148" i="6"/>
  <c r="Q148" i="6"/>
  <c r="B149" i="6"/>
  <c r="C149" i="6"/>
  <c r="G149" i="6"/>
  <c r="I149" i="6" s="1"/>
  <c r="K149" i="6"/>
  <c r="L149" i="6"/>
  <c r="M149" i="6" a="1"/>
  <c r="M149" i="6" s="1"/>
  <c r="N149" i="6" a="1"/>
  <c r="N149" i="6" s="1"/>
  <c r="O149" i="6"/>
  <c r="P149" i="6"/>
  <c r="Q149" i="6"/>
  <c r="B150" i="6"/>
  <c r="C150" i="6"/>
  <c r="G150" i="6"/>
  <c r="K150" i="6"/>
  <c r="L150" i="6"/>
  <c r="M150" i="6" a="1"/>
  <c r="M150" i="6" s="1"/>
  <c r="N150" i="6" a="1"/>
  <c r="N150" i="6" s="1"/>
  <c r="O150" i="6"/>
  <c r="P150" i="6"/>
  <c r="Q150" i="6"/>
  <c r="B151" i="6"/>
  <c r="C151" i="6"/>
  <c r="G151" i="6"/>
  <c r="E151" i="6" s="1"/>
  <c r="K151" i="6"/>
  <c r="L151" i="6"/>
  <c r="M151" i="6" a="1"/>
  <c r="M151" i="6" s="1"/>
  <c r="N151" i="6" a="1"/>
  <c r="N151" i="6" s="1"/>
  <c r="O151" i="6"/>
  <c r="P151" i="6"/>
  <c r="Q151" i="6"/>
  <c r="B152" i="6"/>
  <c r="C152" i="6"/>
  <c r="G152" i="6"/>
  <c r="E152" i="6" s="1"/>
  <c r="K152" i="6"/>
  <c r="L152" i="6"/>
  <c r="M152" i="6" a="1"/>
  <c r="M152" i="6" s="1"/>
  <c r="N152" i="6" a="1"/>
  <c r="N152" i="6"/>
  <c r="O152" i="6"/>
  <c r="P152" i="6"/>
  <c r="Q152" i="6"/>
  <c r="B153" i="6"/>
  <c r="C153" i="6"/>
  <c r="G153" i="6"/>
  <c r="I153" i="6" s="1"/>
  <c r="J153" i="6"/>
  <c r="K153" i="6"/>
  <c r="L153" i="6"/>
  <c r="M153" i="6" a="1"/>
  <c r="M153" i="6"/>
  <c r="N153" i="6" a="1"/>
  <c r="N153" i="6"/>
  <c r="O153" i="6"/>
  <c r="P153" i="6"/>
  <c r="Q153" i="6"/>
  <c r="AB153" i="6"/>
  <c r="B154" i="6"/>
  <c r="C154" i="6"/>
  <c r="G154" i="6"/>
  <c r="K154" i="6"/>
  <c r="L154" i="6"/>
  <c r="M154" i="6" a="1"/>
  <c r="M154" i="6" s="1"/>
  <c r="N154" i="6" a="1"/>
  <c r="N154" i="6" s="1"/>
  <c r="O154" i="6"/>
  <c r="P154" i="6"/>
  <c r="Q154" i="6"/>
  <c r="AB154" i="6"/>
  <c r="B155" i="6"/>
  <c r="C155" i="6"/>
  <c r="G155" i="6"/>
  <c r="I155" i="6" s="1"/>
  <c r="K155" i="6"/>
  <c r="L155" i="6"/>
  <c r="M155" i="6" a="1"/>
  <c r="M155" i="6" s="1"/>
  <c r="N155" i="6" a="1"/>
  <c r="N155" i="6" s="1"/>
  <c r="O155" i="6"/>
  <c r="P155" i="6"/>
  <c r="Q155" i="6"/>
  <c r="B156" i="6"/>
  <c r="C156" i="6"/>
  <c r="G156" i="6"/>
  <c r="H156" i="6" s="1"/>
  <c r="K156" i="6"/>
  <c r="L156" i="6"/>
  <c r="M156" i="6" a="1"/>
  <c r="M156" i="6" s="1"/>
  <c r="N156" i="6" a="1"/>
  <c r="N156" i="6" s="1"/>
  <c r="O156" i="6"/>
  <c r="P156" i="6"/>
  <c r="Q156" i="6"/>
  <c r="S156" i="6"/>
  <c r="B157" i="6"/>
  <c r="C157" i="6"/>
  <c r="G157" i="6"/>
  <c r="J157" i="6" s="1"/>
  <c r="K157" i="6"/>
  <c r="L157" i="6"/>
  <c r="M157" i="6" a="1"/>
  <c r="M157" i="6" s="1"/>
  <c r="N157" i="6" a="1"/>
  <c r="N157" i="6" s="1"/>
  <c r="O157" i="6"/>
  <c r="P157" i="6"/>
  <c r="Q157" i="6"/>
  <c r="AB157" i="6"/>
  <c r="B158" i="6"/>
  <c r="C158" i="6"/>
  <c r="G158" i="6"/>
  <c r="J158" i="6" s="1"/>
  <c r="K158" i="6"/>
  <c r="L158" i="6"/>
  <c r="M158" i="6" a="1"/>
  <c r="M158" i="6" s="1"/>
  <c r="N158" i="6" a="1"/>
  <c r="N158" i="6" s="1"/>
  <c r="O158" i="6"/>
  <c r="P158" i="6"/>
  <c r="Q158" i="6"/>
  <c r="B159" i="6"/>
  <c r="C159" i="6"/>
  <c r="G159" i="6"/>
  <c r="K159" i="6"/>
  <c r="L159" i="6"/>
  <c r="M159" i="6" a="1"/>
  <c r="M159" i="6" s="1"/>
  <c r="N159" i="6" a="1"/>
  <c r="N159" i="6" s="1"/>
  <c r="O159" i="6"/>
  <c r="P159" i="6"/>
  <c r="Q159" i="6"/>
  <c r="AB159" i="6"/>
  <c r="B160" i="6"/>
  <c r="C160" i="6"/>
  <c r="G160" i="6"/>
  <c r="I160" i="6"/>
  <c r="K160" i="6"/>
  <c r="L160" i="6"/>
  <c r="M160" i="6" a="1"/>
  <c r="M160" i="6" s="1"/>
  <c r="N160" i="6" a="1"/>
  <c r="N160" i="6" s="1"/>
  <c r="O160" i="6"/>
  <c r="P160" i="6"/>
  <c r="Q160" i="6"/>
  <c r="AB160" i="6"/>
  <c r="B161" i="6"/>
  <c r="C161" i="6"/>
  <c r="G161" i="6"/>
  <c r="H161" i="6" s="1"/>
  <c r="K161" i="6"/>
  <c r="L161" i="6"/>
  <c r="M161" i="6" a="1"/>
  <c r="M161" i="6" s="1"/>
  <c r="N161" i="6" a="1"/>
  <c r="N161" i="6" s="1"/>
  <c r="O161" i="6"/>
  <c r="P161" i="6"/>
  <c r="Q161" i="6"/>
  <c r="B162" i="6"/>
  <c r="C162" i="6"/>
  <c r="G162" i="6"/>
  <c r="I162" i="6" s="1"/>
  <c r="K162" i="6"/>
  <c r="L162" i="6"/>
  <c r="M162" i="6" a="1"/>
  <c r="M162" i="6"/>
  <c r="N162" i="6" a="1"/>
  <c r="N162" i="6" s="1"/>
  <c r="O162" i="6"/>
  <c r="P162" i="6"/>
  <c r="Q162" i="6"/>
  <c r="B163" i="6"/>
  <c r="C163" i="6"/>
  <c r="G163" i="6"/>
  <c r="J163" i="6" s="1"/>
  <c r="K163" i="6"/>
  <c r="L163" i="6"/>
  <c r="M163" i="6" a="1"/>
  <c r="M163" i="6"/>
  <c r="N163" i="6" a="1"/>
  <c r="N163" i="6" s="1"/>
  <c r="O163" i="6"/>
  <c r="P163" i="6"/>
  <c r="Q163" i="6"/>
  <c r="B164" i="6"/>
  <c r="C164" i="6"/>
  <c r="G164" i="6"/>
  <c r="I164" i="6" s="1"/>
  <c r="K164" i="6"/>
  <c r="L164" i="6"/>
  <c r="M164" i="6" a="1"/>
  <c r="M164" i="6"/>
  <c r="N164" i="6" a="1"/>
  <c r="N164" i="6" s="1"/>
  <c r="O164" i="6"/>
  <c r="P164" i="6"/>
  <c r="Q164" i="6"/>
  <c r="B165" i="6"/>
  <c r="C165" i="6"/>
  <c r="G165" i="6"/>
  <c r="K165" i="6"/>
  <c r="L165" i="6"/>
  <c r="M165" i="6" a="1"/>
  <c r="M165" i="6"/>
  <c r="N165" i="6" a="1"/>
  <c r="N165" i="6" s="1"/>
  <c r="O165" i="6"/>
  <c r="P165" i="6"/>
  <c r="Q165" i="6"/>
  <c r="AB165" i="6"/>
  <c r="B166" i="6"/>
  <c r="C166" i="6"/>
  <c r="G166" i="6"/>
  <c r="K166" i="6"/>
  <c r="L166" i="6"/>
  <c r="M166" i="6" a="1"/>
  <c r="M166" i="6"/>
  <c r="N166" i="6" a="1"/>
  <c r="N166" i="6" s="1"/>
  <c r="O166" i="6"/>
  <c r="P166" i="6"/>
  <c r="Q166" i="6"/>
  <c r="AB166" i="6"/>
  <c r="B167" i="6"/>
  <c r="C167" i="6"/>
  <c r="G167" i="6"/>
  <c r="E167" i="6" s="1"/>
  <c r="K167" i="6"/>
  <c r="L167" i="6"/>
  <c r="M167" i="6" a="1"/>
  <c r="M167" i="6" s="1"/>
  <c r="N167" i="6" a="1"/>
  <c r="N167" i="6" s="1"/>
  <c r="O167" i="6"/>
  <c r="P167" i="6"/>
  <c r="Q167" i="6"/>
  <c r="B168" i="6"/>
  <c r="C168" i="6"/>
  <c r="G168" i="6"/>
  <c r="I168" i="6" s="1"/>
  <c r="K168" i="6"/>
  <c r="L168" i="6"/>
  <c r="M168" i="6" a="1"/>
  <c r="M168" i="6" s="1"/>
  <c r="N168" i="6" a="1"/>
  <c r="N168" i="6" s="1"/>
  <c r="O168" i="6"/>
  <c r="P168" i="6"/>
  <c r="Q168" i="6"/>
  <c r="B169" i="6"/>
  <c r="C169" i="6"/>
  <c r="G169" i="6"/>
  <c r="J169" i="6" s="1"/>
  <c r="K169" i="6"/>
  <c r="L169" i="6"/>
  <c r="M169" i="6" a="1"/>
  <c r="M169" i="6" s="1"/>
  <c r="N169" i="6" a="1"/>
  <c r="N169" i="6" s="1"/>
  <c r="O169" i="6"/>
  <c r="P169" i="6"/>
  <c r="Q169" i="6"/>
  <c r="B170" i="6"/>
  <c r="C170" i="6"/>
  <c r="G170" i="6"/>
  <c r="E170" i="6" s="1"/>
  <c r="K170" i="6"/>
  <c r="L170" i="6"/>
  <c r="M170" i="6" a="1"/>
  <c r="M170" i="6" s="1"/>
  <c r="N170" i="6" a="1"/>
  <c r="N170" i="6" s="1"/>
  <c r="O170" i="6"/>
  <c r="P170" i="6"/>
  <c r="Q170" i="6"/>
  <c r="B171" i="6"/>
  <c r="C171" i="6"/>
  <c r="G171" i="6"/>
  <c r="H171" i="6" s="1"/>
  <c r="K171" i="6"/>
  <c r="L171" i="6"/>
  <c r="M171" i="6" a="1"/>
  <c r="M171" i="6"/>
  <c r="N171" i="6" a="1"/>
  <c r="N171" i="6" s="1"/>
  <c r="O171" i="6"/>
  <c r="P171" i="6"/>
  <c r="Q171" i="6"/>
  <c r="AB171" i="6"/>
  <c r="B172" i="6"/>
  <c r="C172" i="6"/>
  <c r="G172" i="6"/>
  <c r="I172" i="6" s="1"/>
  <c r="K172" i="6"/>
  <c r="L172" i="6"/>
  <c r="M172" i="6" a="1"/>
  <c r="M172" i="6" s="1"/>
  <c r="N172" i="6" a="1"/>
  <c r="N172" i="6" s="1"/>
  <c r="O172" i="6"/>
  <c r="P172" i="6"/>
  <c r="Q172" i="6"/>
  <c r="B173" i="6"/>
  <c r="C173" i="6"/>
  <c r="G173" i="6"/>
  <c r="J173" i="6" s="1"/>
  <c r="K173" i="6"/>
  <c r="L173" i="6"/>
  <c r="M173" i="6" a="1"/>
  <c r="M173" i="6" s="1"/>
  <c r="N173" i="6" a="1"/>
  <c r="N173" i="6"/>
  <c r="O173" i="6"/>
  <c r="P173" i="6"/>
  <c r="Q173" i="6"/>
  <c r="B174" i="6"/>
  <c r="C174" i="6"/>
  <c r="G174" i="6"/>
  <c r="H174" i="6" s="1"/>
  <c r="K174" i="6"/>
  <c r="L174" i="6"/>
  <c r="M174" i="6" a="1"/>
  <c r="M174" i="6" s="1"/>
  <c r="N174" i="6" a="1"/>
  <c r="N174" i="6" s="1"/>
  <c r="O174" i="6"/>
  <c r="P174" i="6"/>
  <c r="Q174" i="6"/>
  <c r="B175" i="6"/>
  <c r="C175" i="6"/>
  <c r="G175" i="6"/>
  <c r="I175" i="6" s="1"/>
  <c r="K175" i="6"/>
  <c r="L175" i="6"/>
  <c r="M175" i="6" a="1"/>
  <c r="M175" i="6" s="1"/>
  <c r="N175" i="6" a="1"/>
  <c r="N175" i="6" s="1"/>
  <c r="O175" i="6"/>
  <c r="P175" i="6"/>
  <c r="Q175" i="6"/>
  <c r="B176" i="6"/>
  <c r="C176" i="6"/>
  <c r="G176" i="6"/>
  <c r="E176" i="6" s="1"/>
  <c r="K176" i="6"/>
  <c r="L176" i="6"/>
  <c r="M176" i="6" a="1"/>
  <c r="M176" i="6" s="1"/>
  <c r="N176" i="6" a="1"/>
  <c r="N176" i="6" s="1"/>
  <c r="O176" i="6"/>
  <c r="P176" i="6"/>
  <c r="Q176" i="6"/>
  <c r="B177" i="6"/>
  <c r="C177" i="6"/>
  <c r="G177" i="6"/>
  <c r="I177" i="6" s="1"/>
  <c r="K177" i="6"/>
  <c r="L177" i="6"/>
  <c r="M177" i="6" a="1"/>
  <c r="M177" i="6" s="1"/>
  <c r="N177" i="6" a="1"/>
  <c r="N177" i="6" s="1"/>
  <c r="O177" i="6"/>
  <c r="P177" i="6"/>
  <c r="Q177" i="6"/>
  <c r="B178" i="6"/>
  <c r="C178" i="6"/>
  <c r="G178" i="6"/>
  <c r="K178" i="6"/>
  <c r="L178" i="6"/>
  <c r="M178" i="6" a="1"/>
  <c r="M178" i="6" s="1"/>
  <c r="N178" i="6" a="1"/>
  <c r="N178" i="6"/>
  <c r="O178" i="6"/>
  <c r="P178" i="6"/>
  <c r="Q178" i="6"/>
  <c r="B179" i="6"/>
  <c r="C179" i="6"/>
  <c r="G179" i="6"/>
  <c r="I179" i="6" s="1"/>
  <c r="K179" i="6"/>
  <c r="L179" i="6"/>
  <c r="M179" i="6" a="1"/>
  <c r="M179" i="6" s="1"/>
  <c r="N179" i="6" a="1"/>
  <c r="N179" i="6" s="1"/>
  <c r="O179" i="6"/>
  <c r="P179" i="6"/>
  <c r="Q179" i="6"/>
  <c r="B180" i="6"/>
  <c r="C180" i="6"/>
  <c r="G180" i="6"/>
  <c r="J180" i="6" s="1"/>
  <c r="K180" i="6"/>
  <c r="L180" i="6"/>
  <c r="M180" i="6" a="1"/>
  <c r="M180" i="6" s="1"/>
  <c r="N180" i="6" a="1"/>
  <c r="N180" i="6" s="1"/>
  <c r="O180" i="6"/>
  <c r="P180" i="6"/>
  <c r="Q180" i="6"/>
  <c r="AB180" i="6"/>
  <c r="B181" i="6"/>
  <c r="C181" i="6"/>
  <c r="G181" i="6"/>
  <c r="J181" i="6" s="1"/>
  <c r="K181" i="6"/>
  <c r="L181" i="6"/>
  <c r="M181" i="6" a="1"/>
  <c r="M181" i="6" s="1"/>
  <c r="N181" i="6" a="1"/>
  <c r="N181" i="6" s="1"/>
  <c r="O181" i="6"/>
  <c r="P181" i="6"/>
  <c r="Q181" i="6"/>
  <c r="B182" i="6"/>
  <c r="C182" i="6"/>
  <c r="G182" i="6"/>
  <c r="J182" i="6" s="1"/>
  <c r="K182" i="6"/>
  <c r="L182" i="6"/>
  <c r="M182" i="6" a="1"/>
  <c r="M182" i="6" s="1"/>
  <c r="N182" i="6" a="1"/>
  <c r="N182" i="6" s="1"/>
  <c r="O182" i="6"/>
  <c r="P182" i="6"/>
  <c r="Q182" i="6"/>
  <c r="B183" i="6"/>
  <c r="C183" i="6"/>
  <c r="G183" i="6"/>
  <c r="H183" i="6" s="1"/>
  <c r="K183" i="6"/>
  <c r="L183" i="6"/>
  <c r="M183" i="6" a="1"/>
  <c r="M183" i="6" s="1"/>
  <c r="N183" i="6" a="1"/>
  <c r="N183" i="6" s="1"/>
  <c r="O183" i="6"/>
  <c r="P183" i="6"/>
  <c r="Q183" i="6"/>
  <c r="B184" i="6"/>
  <c r="C184" i="6"/>
  <c r="G184" i="6"/>
  <c r="K184" i="6"/>
  <c r="L184" i="6"/>
  <c r="M184" i="6" a="1"/>
  <c r="M184" i="6" s="1"/>
  <c r="N184" i="6" a="1"/>
  <c r="N184" i="6" s="1"/>
  <c r="O184" i="6"/>
  <c r="P184" i="6"/>
  <c r="Q184" i="6"/>
  <c r="B185" i="6"/>
  <c r="C185" i="6"/>
  <c r="G185" i="6"/>
  <c r="I185" i="6" s="1"/>
  <c r="K185" i="6"/>
  <c r="L185" i="6"/>
  <c r="M185" i="6" a="1"/>
  <c r="M185" i="6" s="1"/>
  <c r="N185" i="6" a="1"/>
  <c r="N185" i="6" s="1"/>
  <c r="O185" i="6"/>
  <c r="P185" i="6"/>
  <c r="Q185" i="6"/>
  <c r="B186" i="6"/>
  <c r="C186" i="6"/>
  <c r="G186" i="6"/>
  <c r="K186" i="6"/>
  <c r="L186" i="6"/>
  <c r="M186" i="6" a="1"/>
  <c r="M186" i="6" s="1"/>
  <c r="N186" i="6" a="1"/>
  <c r="N186" i="6" s="1"/>
  <c r="O186" i="6"/>
  <c r="P186" i="6"/>
  <c r="Q186" i="6"/>
  <c r="B187" i="6"/>
  <c r="C187" i="6"/>
  <c r="G187" i="6"/>
  <c r="I187" i="6" s="1"/>
  <c r="K187" i="6"/>
  <c r="L187" i="6"/>
  <c r="M187" i="6" a="1"/>
  <c r="M187" i="6" s="1"/>
  <c r="N187" i="6" a="1"/>
  <c r="N187" i="6" s="1"/>
  <c r="O187" i="6"/>
  <c r="P187" i="6"/>
  <c r="Q187" i="6"/>
  <c r="B188" i="6"/>
  <c r="C188" i="6"/>
  <c r="G188" i="6"/>
  <c r="I188" i="6" s="1"/>
  <c r="K188" i="6"/>
  <c r="L188" i="6"/>
  <c r="M188" i="6" a="1"/>
  <c r="M188" i="6" s="1"/>
  <c r="N188" i="6" a="1"/>
  <c r="N188" i="6"/>
  <c r="O188" i="6"/>
  <c r="P188" i="6"/>
  <c r="Q188" i="6"/>
  <c r="B189" i="6"/>
  <c r="C189" i="6"/>
  <c r="G189" i="6"/>
  <c r="I189" i="6" s="1"/>
  <c r="K189" i="6"/>
  <c r="L189" i="6"/>
  <c r="M189" i="6" a="1"/>
  <c r="M189" i="6" s="1"/>
  <c r="N189" i="6" a="1"/>
  <c r="N189" i="6" s="1"/>
  <c r="O189" i="6"/>
  <c r="P189" i="6"/>
  <c r="Q189" i="6"/>
  <c r="B190" i="6"/>
  <c r="C190" i="6"/>
  <c r="G190" i="6"/>
  <c r="K190" i="6"/>
  <c r="L190" i="6"/>
  <c r="M190" i="6" a="1"/>
  <c r="M190" i="6" s="1"/>
  <c r="N190" i="6" a="1"/>
  <c r="N190" i="6" s="1"/>
  <c r="O190" i="6"/>
  <c r="P190" i="6"/>
  <c r="Q190" i="6"/>
  <c r="AB190" i="6"/>
  <c r="B191" i="6"/>
  <c r="C191" i="6"/>
  <c r="G191" i="6"/>
  <c r="I191" i="6" s="1"/>
  <c r="K191" i="6"/>
  <c r="L191" i="6"/>
  <c r="M191" i="6" a="1"/>
  <c r="M191" i="6" s="1"/>
  <c r="N191" i="6" a="1"/>
  <c r="N191" i="6" s="1"/>
  <c r="O191" i="6"/>
  <c r="P191" i="6"/>
  <c r="Q191" i="6"/>
  <c r="B192" i="6"/>
  <c r="C192" i="6"/>
  <c r="G192" i="6"/>
  <c r="I192" i="6" s="1"/>
  <c r="K192" i="6"/>
  <c r="L192" i="6"/>
  <c r="M192" i="6" a="1"/>
  <c r="M192" i="6" s="1"/>
  <c r="N192" i="6" a="1"/>
  <c r="N192" i="6" s="1"/>
  <c r="O192" i="6"/>
  <c r="P192" i="6"/>
  <c r="Q192" i="6"/>
  <c r="B193" i="6"/>
  <c r="C193" i="6"/>
  <c r="G193" i="6"/>
  <c r="I193" i="6" s="1"/>
  <c r="K193" i="6"/>
  <c r="L193" i="6"/>
  <c r="M193" i="6" a="1"/>
  <c r="M193" i="6" s="1"/>
  <c r="N193" i="6" a="1"/>
  <c r="N193" i="6"/>
  <c r="O193" i="6"/>
  <c r="P193" i="6"/>
  <c r="Q193" i="6"/>
  <c r="B194" i="6"/>
  <c r="C194" i="6"/>
  <c r="G194" i="6"/>
  <c r="I194" i="6" s="1"/>
  <c r="K194" i="6"/>
  <c r="L194" i="6"/>
  <c r="M194" i="6" a="1"/>
  <c r="M194" i="6"/>
  <c r="N194" i="6" a="1"/>
  <c r="N194" i="6" s="1"/>
  <c r="O194" i="6"/>
  <c r="P194" i="6"/>
  <c r="Q194" i="6"/>
  <c r="B195" i="6"/>
  <c r="C195" i="6"/>
  <c r="G195" i="6"/>
  <c r="I195" i="6" s="1"/>
  <c r="K195" i="6"/>
  <c r="L195" i="6"/>
  <c r="M195" i="6" a="1"/>
  <c r="M195" i="6" s="1"/>
  <c r="N195" i="6" a="1"/>
  <c r="N195" i="6"/>
  <c r="O195" i="6"/>
  <c r="P195" i="6"/>
  <c r="Q195" i="6"/>
  <c r="B196" i="6"/>
  <c r="C196" i="6"/>
  <c r="G196" i="6"/>
  <c r="I196" i="6" s="1"/>
  <c r="H196" i="6"/>
  <c r="K196" i="6"/>
  <c r="L196" i="6"/>
  <c r="M196" i="6" a="1"/>
  <c r="M196" i="6"/>
  <c r="N196" i="6" a="1"/>
  <c r="N196" i="6" s="1"/>
  <c r="O196" i="6"/>
  <c r="P196" i="6"/>
  <c r="Q196" i="6"/>
  <c r="B197" i="6"/>
  <c r="C197" i="6"/>
  <c r="G197" i="6"/>
  <c r="I197" i="6" s="1"/>
  <c r="K197" i="6"/>
  <c r="L197" i="6"/>
  <c r="M197" i="6" a="1"/>
  <c r="M197" i="6"/>
  <c r="N197" i="6" a="1"/>
  <c r="N197" i="6"/>
  <c r="O197" i="6"/>
  <c r="P197" i="6"/>
  <c r="Q197" i="6"/>
  <c r="B198" i="6"/>
  <c r="C198" i="6"/>
  <c r="G198" i="6"/>
  <c r="E198" i="6" s="1"/>
  <c r="K198" i="6"/>
  <c r="L198" i="6"/>
  <c r="M198" i="6" a="1"/>
  <c r="M198" i="6"/>
  <c r="N198" i="6" a="1"/>
  <c r="N198" i="6" s="1"/>
  <c r="O198" i="6"/>
  <c r="P198" i="6"/>
  <c r="Q198" i="6"/>
  <c r="B199" i="6"/>
  <c r="C199" i="6"/>
  <c r="G199" i="6"/>
  <c r="H199" i="6" s="1"/>
  <c r="K199" i="6"/>
  <c r="L199" i="6"/>
  <c r="M199" i="6" a="1"/>
  <c r="M199" i="6"/>
  <c r="N199" i="6" a="1"/>
  <c r="N199" i="6" s="1"/>
  <c r="S199" i="6" s="1"/>
  <c r="O199" i="6"/>
  <c r="P199" i="6"/>
  <c r="Q199" i="6"/>
  <c r="B200" i="6"/>
  <c r="C200" i="6"/>
  <c r="G200" i="6"/>
  <c r="I200" i="6" s="1"/>
  <c r="K200" i="6"/>
  <c r="L200" i="6"/>
  <c r="M200" i="6" a="1"/>
  <c r="M200" i="6" s="1"/>
  <c r="N200" i="6" a="1"/>
  <c r="N200" i="6" s="1"/>
  <c r="O200" i="6"/>
  <c r="P200" i="6"/>
  <c r="Q200" i="6"/>
  <c r="B201" i="6"/>
  <c r="C201" i="6"/>
  <c r="G201" i="6"/>
  <c r="I201" i="6" s="1"/>
  <c r="K201" i="6"/>
  <c r="L201" i="6"/>
  <c r="M201" i="6" a="1"/>
  <c r="M201" i="6"/>
  <c r="N201" i="6" a="1"/>
  <c r="N201" i="6" s="1"/>
  <c r="O201" i="6"/>
  <c r="P201" i="6"/>
  <c r="Q201" i="6"/>
  <c r="B202" i="6"/>
  <c r="C202" i="6"/>
  <c r="G202" i="6"/>
  <c r="H202" i="6" s="1"/>
  <c r="K202" i="6"/>
  <c r="L202" i="6"/>
  <c r="M202" i="6" a="1"/>
  <c r="M202" i="6" s="1"/>
  <c r="N202" i="6" a="1"/>
  <c r="N202" i="6" s="1"/>
  <c r="O202" i="6"/>
  <c r="P202" i="6"/>
  <c r="Q202" i="6"/>
  <c r="B203" i="6"/>
  <c r="C203" i="6"/>
  <c r="G203" i="6"/>
  <c r="E203" i="6" s="1"/>
  <c r="K203" i="6"/>
  <c r="L203" i="6"/>
  <c r="M203" i="6" a="1"/>
  <c r="M203" i="6"/>
  <c r="N203" i="6" a="1"/>
  <c r="N203" i="6" s="1"/>
  <c r="O203" i="6"/>
  <c r="P203" i="6"/>
  <c r="Q203" i="6"/>
  <c r="B204" i="6"/>
  <c r="C204" i="6"/>
  <c r="G204" i="6"/>
  <c r="K204" i="6"/>
  <c r="L204" i="6"/>
  <c r="M204" i="6" a="1"/>
  <c r="M204" i="6" s="1"/>
  <c r="N204" i="6" a="1"/>
  <c r="N204" i="6" s="1"/>
  <c r="O204" i="6"/>
  <c r="P204" i="6"/>
  <c r="Q204" i="6"/>
  <c r="B205" i="6"/>
  <c r="C205" i="6"/>
  <c r="G205" i="6"/>
  <c r="K205" i="6"/>
  <c r="L205" i="6"/>
  <c r="M205" i="6" a="1"/>
  <c r="M205" i="6" s="1"/>
  <c r="N205" i="6" a="1"/>
  <c r="N205" i="6" s="1"/>
  <c r="O205" i="6"/>
  <c r="P205" i="6"/>
  <c r="Q205" i="6"/>
  <c r="AB205" i="6"/>
  <c r="B206" i="6"/>
  <c r="C206" i="6"/>
  <c r="G206" i="6"/>
  <c r="K206" i="6"/>
  <c r="L206" i="6"/>
  <c r="M206" i="6" a="1"/>
  <c r="M206" i="6" s="1"/>
  <c r="N206" i="6" a="1"/>
  <c r="N206" i="6"/>
  <c r="O206" i="6"/>
  <c r="P206" i="6"/>
  <c r="Q206" i="6"/>
  <c r="B207" i="6"/>
  <c r="C207" i="6"/>
  <c r="G207" i="6"/>
  <c r="H207" i="6" s="1"/>
  <c r="K207" i="6"/>
  <c r="L207" i="6"/>
  <c r="M207" i="6" a="1"/>
  <c r="M207" i="6" s="1"/>
  <c r="N207" i="6" a="1"/>
  <c r="N207" i="6"/>
  <c r="O207" i="6"/>
  <c r="P207" i="6"/>
  <c r="Q207" i="6"/>
  <c r="B208" i="6"/>
  <c r="C208" i="6"/>
  <c r="G208" i="6"/>
  <c r="H208" i="6" s="1"/>
  <c r="K208" i="6"/>
  <c r="L208" i="6"/>
  <c r="M208" i="6" a="1"/>
  <c r="M208" i="6"/>
  <c r="N208" i="6" a="1"/>
  <c r="N208" i="6" s="1"/>
  <c r="O208" i="6"/>
  <c r="P208" i="6"/>
  <c r="Q208" i="6"/>
  <c r="B209" i="6"/>
  <c r="C209" i="6"/>
  <c r="G209" i="6"/>
  <c r="K209" i="6"/>
  <c r="L209" i="6"/>
  <c r="M209" i="6" a="1"/>
  <c r="M209" i="6"/>
  <c r="N209" i="6" a="1"/>
  <c r="N209" i="6" s="1"/>
  <c r="O209" i="6"/>
  <c r="P209" i="6"/>
  <c r="Q209" i="6"/>
  <c r="B210" i="6"/>
  <c r="C210" i="6"/>
  <c r="G210" i="6"/>
  <c r="I210" i="6" s="1"/>
  <c r="K210" i="6"/>
  <c r="L210" i="6"/>
  <c r="M210" i="6" a="1"/>
  <c r="M210" i="6" s="1"/>
  <c r="N210" i="6" a="1"/>
  <c r="N210" i="6" s="1"/>
  <c r="O210" i="6"/>
  <c r="P210" i="6"/>
  <c r="Q210" i="6"/>
  <c r="AB210" i="6"/>
  <c r="B211" i="6"/>
  <c r="C211" i="6"/>
  <c r="G211" i="6"/>
  <c r="K211" i="6"/>
  <c r="L211" i="6"/>
  <c r="M211" i="6" a="1"/>
  <c r="M211" i="6" s="1"/>
  <c r="N211" i="6" a="1"/>
  <c r="N211" i="6" s="1"/>
  <c r="O211" i="6"/>
  <c r="P211" i="6"/>
  <c r="Q211" i="6"/>
  <c r="B212" i="6"/>
  <c r="C212" i="6"/>
  <c r="G212" i="6"/>
  <c r="J212" i="6" s="1"/>
  <c r="K212" i="6"/>
  <c r="L212" i="6"/>
  <c r="M212" i="6" a="1"/>
  <c r="M212" i="6" s="1"/>
  <c r="N212" i="6" a="1"/>
  <c r="N212" i="6" s="1"/>
  <c r="O212" i="6"/>
  <c r="P212" i="6"/>
  <c r="Q212" i="6"/>
  <c r="B213" i="6"/>
  <c r="C213" i="6"/>
  <c r="G213" i="6"/>
  <c r="H213" i="6" s="1"/>
  <c r="K213" i="6"/>
  <c r="L213" i="6"/>
  <c r="M213" i="6" a="1"/>
  <c r="M213" i="6"/>
  <c r="N213" i="6" a="1"/>
  <c r="N213" i="6" s="1"/>
  <c r="O213" i="6"/>
  <c r="P213" i="6"/>
  <c r="Q213" i="6"/>
  <c r="B214" i="6"/>
  <c r="C214" i="6"/>
  <c r="G214" i="6"/>
  <c r="H214" i="6" s="1"/>
  <c r="K214" i="6"/>
  <c r="L214" i="6"/>
  <c r="M214" i="6" a="1"/>
  <c r="M214" i="6"/>
  <c r="N214" i="6" a="1"/>
  <c r="N214" i="6" s="1"/>
  <c r="O214" i="6"/>
  <c r="P214" i="6"/>
  <c r="Q214" i="6"/>
  <c r="AB214" i="6"/>
  <c r="B215" i="6"/>
  <c r="C215" i="6"/>
  <c r="G215" i="6"/>
  <c r="K215" i="6"/>
  <c r="L215" i="6"/>
  <c r="M215" i="6" a="1"/>
  <c r="M215" i="6"/>
  <c r="N215" i="6" a="1"/>
  <c r="N215" i="6" s="1"/>
  <c r="O215" i="6"/>
  <c r="P215" i="6"/>
  <c r="Q215" i="6"/>
  <c r="B216" i="6"/>
  <c r="C216" i="6"/>
  <c r="G216" i="6"/>
  <c r="K216" i="6"/>
  <c r="L216" i="6"/>
  <c r="M216" i="6" a="1"/>
  <c r="M216" i="6" s="1"/>
  <c r="N216" i="6" a="1"/>
  <c r="N216" i="6" s="1"/>
  <c r="O216" i="6"/>
  <c r="P216" i="6"/>
  <c r="Q216" i="6"/>
  <c r="B217" i="6"/>
  <c r="C217" i="6"/>
  <c r="G217" i="6"/>
  <c r="E217" i="6" s="1"/>
  <c r="K217" i="6"/>
  <c r="L217" i="6"/>
  <c r="M217" i="6" a="1"/>
  <c r="M217" i="6" s="1"/>
  <c r="N217" i="6" a="1"/>
  <c r="N217" i="6" s="1"/>
  <c r="O217" i="6"/>
  <c r="P217" i="6"/>
  <c r="Q217" i="6"/>
  <c r="B218" i="6"/>
  <c r="C218" i="6"/>
  <c r="G218" i="6"/>
  <c r="E218" i="6" s="1"/>
  <c r="K218" i="6"/>
  <c r="L218" i="6"/>
  <c r="M218" i="6" a="1"/>
  <c r="M218" i="6" s="1"/>
  <c r="N218" i="6" a="1"/>
  <c r="N218" i="6"/>
  <c r="O218" i="6"/>
  <c r="P218" i="6"/>
  <c r="Q218" i="6"/>
  <c r="B219" i="6"/>
  <c r="C219" i="6"/>
  <c r="G219" i="6"/>
  <c r="E219" i="6" s="1"/>
  <c r="K219" i="6"/>
  <c r="L219" i="6"/>
  <c r="M219" i="6" a="1"/>
  <c r="M219" i="6"/>
  <c r="N219" i="6" a="1"/>
  <c r="N219" i="6" s="1"/>
  <c r="O219" i="6"/>
  <c r="P219" i="6"/>
  <c r="Q219" i="6"/>
  <c r="B220" i="6"/>
  <c r="C220" i="6"/>
  <c r="G220" i="6"/>
  <c r="I220" i="6" s="1"/>
  <c r="K220" i="6"/>
  <c r="L220" i="6"/>
  <c r="M220" i="6" a="1"/>
  <c r="M220" i="6" s="1"/>
  <c r="N220" i="6" a="1"/>
  <c r="N220" i="6"/>
  <c r="O220" i="6"/>
  <c r="P220" i="6"/>
  <c r="Q220" i="6"/>
  <c r="B221" i="6"/>
  <c r="C221" i="6"/>
  <c r="G221" i="6"/>
  <c r="J221" i="6" s="1"/>
  <c r="K221" i="6"/>
  <c r="L221" i="6"/>
  <c r="M221" i="6" a="1"/>
  <c r="M221" i="6"/>
  <c r="N221" i="6" a="1"/>
  <c r="N221" i="6"/>
  <c r="O221" i="6"/>
  <c r="P221" i="6"/>
  <c r="Q221" i="6"/>
  <c r="B222" i="6"/>
  <c r="C222" i="6"/>
  <c r="G222" i="6"/>
  <c r="I222" i="6" s="1"/>
  <c r="K222" i="6"/>
  <c r="L222" i="6"/>
  <c r="M222" i="6" a="1"/>
  <c r="M222" i="6" s="1"/>
  <c r="N222" i="6" a="1"/>
  <c r="N222" i="6" s="1"/>
  <c r="O222" i="6"/>
  <c r="P222" i="6"/>
  <c r="Q222" i="6"/>
  <c r="B223" i="6"/>
  <c r="C223" i="6"/>
  <c r="G223" i="6"/>
  <c r="J223" i="6" s="1"/>
  <c r="K223" i="6"/>
  <c r="L223" i="6"/>
  <c r="M223" i="6" a="1"/>
  <c r="M223" i="6"/>
  <c r="N223" i="6" a="1"/>
  <c r="N223" i="6" s="1"/>
  <c r="O223" i="6"/>
  <c r="P223" i="6"/>
  <c r="Q223" i="6"/>
  <c r="B224" i="6"/>
  <c r="C224" i="6"/>
  <c r="G224" i="6"/>
  <c r="J224" i="6" s="1"/>
  <c r="K224" i="6"/>
  <c r="L224" i="6"/>
  <c r="M224" i="6" a="1"/>
  <c r="M224" i="6"/>
  <c r="N224" i="6" a="1"/>
  <c r="N224" i="6"/>
  <c r="O224" i="6"/>
  <c r="P224" i="6"/>
  <c r="Q224" i="6"/>
  <c r="B225" i="6"/>
  <c r="C225" i="6"/>
  <c r="G225" i="6"/>
  <c r="I225" i="6" s="1"/>
  <c r="J225" i="6"/>
  <c r="K225" i="6"/>
  <c r="L225" i="6"/>
  <c r="M225" i="6" a="1"/>
  <c r="M225" i="6" s="1"/>
  <c r="N225" i="6" a="1"/>
  <c r="N225" i="6" s="1"/>
  <c r="O225" i="6"/>
  <c r="P225" i="6"/>
  <c r="Q225" i="6"/>
  <c r="B226" i="6"/>
  <c r="C226" i="6"/>
  <c r="G226" i="6"/>
  <c r="H226" i="6" s="1"/>
  <c r="K226" i="6"/>
  <c r="L226" i="6"/>
  <c r="M226" i="6" a="1"/>
  <c r="M226" i="6"/>
  <c r="N226" i="6" a="1"/>
  <c r="N226" i="6" s="1"/>
  <c r="O226" i="6"/>
  <c r="P226" i="6"/>
  <c r="Q226" i="6"/>
  <c r="B227" i="6"/>
  <c r="C227" i="6"/>
  <c r="G227" i="6"/>
  <c r="H227" i="6" s="1"/>
  <c r="K227" i="6"/>
  <c r="L227" i="6"/>
  <c r="M227" i="6" a="1"/>
  <c r="M227" i="6" s="1"/>
  <c r="N227" i="6" a="1"/>
  <c r="N227" i="6" s="1"/>
  <c r="O227" i="6"/>
  <c r="P227" i="6"/>
  <c r="Q227" i="6"/>
  <c r="B228" i="6"/>
  <c r="C228" i="6"/>
  <c r="G228" i="6"/>
  <c r="K228" i="6"/>
  <c r="L228" i="6"/>
  <c r="M228" i="6" a="1"/>
  <c r="M228" i="6"/>
  <c r="N228" i="6" a="1"/>
  <c r="N228" i="6" s="1"/>
  <c r="O228" i="6"/>
  <c r="P228" i="6"/>
  <c r="Q228" i="6"/>
  <c r="B229" i="6"/>
  <c r="C229" i="6"/>
  <c r="G229" i="6"/>
  <c r="J229" i="6" s="1"/>
  <c r="K229" i="6"/>
  <c r="L229" i="6"/>
  <c r="M229" i="6" a="1"/>
  <c r="M229" i="6" s="1"/>
  <c r="N229" i="6" a="1"/>
  <c r="N229" i="6"/>
  <c r="O229" i="6"/>
  <c r="P229" i="6"/>
  <c r="Q229" i="6"/>
  <c r="B230" i="6"/>
  <c r="C230" i="6"/>
  <c r="G230" i="6"/>
  <c r="H230" i="6" s="1"/>
  <c r="K230" i="6"/>
  <c r="L230" i="6"/>
  <c r="M230" i="6" a="1"/>
  <c r="M230" i="6" s="1"/>
  <c r="N230" i="6" a="1"/>
  <c r="N230" i="6"/>
  <c r="O230" i="6"/>
  <c r="P230" i="6"/>
  <c r="Q230" i="6"/>
  <c r="B231" i="6"/>
  <c r="C231" i="6"/>
  <c r="G231" i="6"/>
  <c r="H231" i="6" s="1"/>
  <c r="K231" i="6"/>
  <c r="L231" i="6"/>
  <c r="M231" i="6" a="1"/>
  <c r="M231" i="6"/>
  <c r="N231" i="6" a="1"/>
  <c r="N231" i="6" s="1"/>
  <c r="O231" i="6"/>
  <c r="P231" i="6"/>
  <c r="Q231" i="6"/>
  <c r="AB231" i="6"/>
  <c r="B232" i="6"/>
  <c r="C232" i="6"/>
  <c r="G232" i="6"/>
  <c r="E232" i="6" s="1"/>
  <c r="K232" i="6"/>
  <c r="L232" i="6"/>
  <c r="M232" i="6" a="1"/>
  <c r="M232" i="6" s="1"/>
  <c r="N232" i="6" a="1"/>
  <c r="N232" i="6" s="1"/>
  <c r="O232" i="6"/>
  <c r="P232" i="6"/>
  <c r="Q232" i="6"/>
  <c r="B233" i="6"/>
  <c r="C233" i="6"/>
  <c r="G233" i="6"/>
  <c r="J233" i="6" s="1"/>
  <c r="K233" i="6"/>
  <c r="L233" i="6"/>
  <c r="M233" i="6" a="1"/>
  <c r="M233" i="6" s="1"/>
  <c r="N233" i="6" a="1"/>
  <c r="N233" i="6" s="1"/>
  <c r="O233" i="6"/>
  <c r="P233" i="6"/>
  <c r="Q233" i="6"/>
  <c r="B234" i="6"/>
  <c r="C234" i="6"/>
  <c r="G234" i="6"/>
  <c r="J234" i="6" s="1"/>
  <c r="K234" i="6"/>
  <c r="L234" i="6"/>
  <c r="M234" i="6" a="1"/>
  <c r="M234" i="6" s="1"/>
  <c r="N234" i="6" a="1"/>
  <c r="N234" i="6" s="1"/>
  <c r="O234" i="6"/>
  <c r="P234" i="6"/>
  <c r="Q234" i="6"/>
  <c r="B235" i="6"/>
  <c r="C235" i="6"/>
  <c r="G235" i="6"/>
  <c r="I235" i="6" s="1"/>
  <c r="K235" i="6"/>
  <c r="L235" i="6"/>
  <c r="M235" i="6" a="1"/>
  <c r="M235" i="6" s="1"/>
  <c r="N235" i="6" a="1"/>
  <c r="N235" i="6" s="1"/>
  <c r="O235" i="6"/>
  <c r="P235" i="6"/>
  <c r="Q235" i="6"/>
  <c r="AB235" i="6"/>
  <c r="B236" i="6"/>
  <c r="C236" i="6"/>
  <c r="G236" i="6"/>
  <c r="J236" i="6" s="1"/>
  <c r="K236" i="6"/>
  <c r="L236" i="6"/>
  <c r="M236" i="6" a="1"/>
  <c r="M236" i="6"/>
  <c r="N236" i="6" a="1"/>
  <c r="N236" i="6" s="1"/>
  <c r="O236" i="6"/>
  <c r="P236" i="6"/>
  <c r="Q236" i="6"/>
  <c r="B237" i="6"/>
  <c r="C237" i="6"/>
  <c r="G237" i="6"/>
  <c r="H237" i="6" s="1"/>
  <c r="K237" i="6"/>
  <c r="L237" i="6"/>
  <c r="M237" i="6" a="1"/>
  <c r="M237" i="6" s="1"/>
  <c r="N237" i="6" a="1"/>
  <c r="N237" i="6" s="1"/>
  <c r="O237" i="6"/>
  <c r="P237" i="6"/>
  <c r="Q237" i="6"/>
  <c r="AB237" i="6"/>
  <c r="B238" i="6"/>
  <c r="C238" i="6"/>
  <c r="G238" i="6"/>
  <c r="K238" i="6"/>
  <c r="L238" i="6"/>
  <c r="M238" i="6" a="1"/>
  <c r="M238" i="6" s="1"/>
  <c r="N238" i="6" a="1"/>
  <c r="N238" i="6" s="1"/>
  <c r="O238" i="6"/>
  <c r="P238" i="6"/>
  <c r="Q238" i="6"/>
  <c r="B239" i="6"/>
  <c r="C239" i="6"/>
  <c r="G239" i="6"/>
  <c r="E239" i="6" s="1"/>
  <c r="K239" i="6"/>
  <c r="L239" i="6"/>
  <c r="M239" i="6" a="1"/>
  <c r="M239" i="6" s="1"/>
  <c r="N239" i="6" a="1"/>
  <c r="N239" i="6"/>
  <c r="O239" i="6"/>
  <c r="P239" i="6"/>
  <c r="Q239" i="6"/>
  <c r="B240" i="6"/>
  <c r="C240" i="6"/>
  <c r="G240" i="6"/>
  <c r="H240" i="6" s="1"/>
  <c r="K240" i="6"/>
  <c r="L240" i="6"/>
  <c r="M240" i="6" a="1"/>
  <c r="M240" i="6" s="1"/>
  <c r="N240" i="6" a="1"/>
  <c r="N240" i="6" s="1"/>
  <c r="O240" i="6"/>
  <c r="S240" i="6" s="1"/>
  <c r="P240" i="6"/>
  <c r="Q240" i="6"/>
  <c r="AB240" i="6"/>
  <c r="B241" i="6"/>
  <c r="C241" i="6"/>
  <c r="G241" i="6"/>
  <c r="E241" i="6" s="1"/>
  <c r="K241" i="6"/>
  <c r="L241" i="6"/>
  <c r="M241" i="6" a="1"/>
  <c r="M241" i="6" s="1"/>
  <c r="N241" i="6" a="1"/>
  <c r="N241" i="6" s="1"/>
  <c r="O241" i="6"/>
  <c r="P241" i="6"/>
  <c r="Q241" i="6"/>
  <c r="B242" i="6"/>
  <c r="C242" i="6"/>
  <c r="G242" i="6"/>
  <c r="J242" i="6" s="1"/>
  <c r="K242" i="6"/>
  <c r="L242" i="6"/>
  <c r="M242" i="6" a="1"/>
  <c r="M242" i="6" s="1"/>
  <c r="N242" i="6" a="1"/>
  <c r="N242" i="6"/>
  <c r="O242" i="6"/>
  <c r="P242" i="6"/>
  <c r="Q242" i="6"/>
  <c r="B243" i="6"/>
  <c r="C243" i="6"/>
  <c r="G243" i="6"/>
  <c r="I243" i="6" s="1"/>
  <c r="K243" i="6"/>
  <c r="L243" i="6"/>
  <c r="M243" i="6" a="1"/>
  <c r="M243" i="6" s="1"/>
  <c r="N243" i="6" a="1"/>
  <c r="N243" i="6" s="1"/>
  <c r="O243" i="6"/>
  <c r="P243" i="6"/>
  <c r="Q243" i="6"/>
  <c r="A244" i="6"/>
  <c r="B244" i="6"/>
  <c r="C244" i="6"/>
  <c r="G244" i="6"/>
  <c r="J244" i="6" s="1"/>
  <c r="I244" i="6"/>
  <c r="K244" i="6"/>
  <c r="L244" i="6"/>
  <c r="M244" i="6" a="1"/>
  <c r="M244" i="6" s="1"/>
  <c r="N244" i="6" a="1"/>
  <c r="N244" i="6"/>
  <c r="O244" i="6"/>
  <c r="P244" i="6"/>
  <c r="Q244" i="6"/>
  <c r="A245" i="6"/>
  <c r="B245" i="6"/>
  <c r="C245" i="6"/>
  <c r="G245" i="6"/>
  <c r="K245" i="6"/>
  <c r="L245" i="6"/>
  <c r="M245" i="6" a="1"/>
  <c r="M245" i="6" s="1"/>
  <c r="N245" i="6" a="1"/>
  <c r="N245" i="6" s="1"/>
  <c r="O245" i="6"/>
  <c r="P245" i="6"/>
  <c r="Q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A247" i="6"/>
  <c r="B247" i="6"/>
  <c r="C247" i="6"/>
  <c r="G247" i="6"/>
  <c r="I247" i="6" s="1"/>
  <c r="K247" i="6"/>
  <c r="L247" i="6"/>
  <c r="M247" i="6" a="1"/>
  <c r="M247" i="6" s="1"/>
  <c r="N247" i="6" a="1"/>
  <c r="N247" i="6" s="1"/>
  <c r="O247" i="6"/>
  <c r="P247" i="6"/>
  <c r="Q247" i="6"/>
  <c r="AB247" i="6"/>
  <c r="A248" i="6"/>
  <c r="B248" i="6"/>
  <c r="C248" i="6"/>
  <c r="G248" i="6"/>
  <c r="J248" i="6" s="1"/>
  <c r="K248" i="6"/>
  <c r="L248" i="6"/>
  <c r="M248" i="6" a="1"/>
  <c r="M248" i="6" s="1"/>
  <c r="N248" i="6" a="1"/>
  <c r="N248" i="6" s="1"/>
  <c r="O248" i="6"/>
  <c r="P248" i="6"/>
  <c r="Q248" i="6"/>
  <c r="A249" i="6"/>
  <c r="B249" i="6"/>
  <c r="C249" i="6"/>
  <c r="G249" i="6"/>
  <c r="E249" i="6" s="1"/>
  <c r="K249" i="6"/>
  <c r="L249" i="6"/>
  <c r="M249" i="6" a="1"/>
  <c r="M249" i="6" s="1"/>
  <c r="N249" i="6" a="1"/>
  <c r="N249" i="6" s="1"/>
  <c r="O249" i="6"/>
  <c r="P249" i="6"/>
  <c r="Q249" i="6"/>
  <c r="A250" i="6"/>
  <c r="B250" i="6"/>
  <c r="C250" i="6"/>
  <c r="G250" i="6"/>
  <c r="H250" i="6" s="1"/>
  <c r="K250" i="6"/>
  <c r="L250" i="6"/>
  <c r="M250" i="6" a="1"/>
  <c r="M250" i="6" s="1"/>
  <c r="N250" i="6" a="1"/>
  <c r="N250" i="6" s="1"/>
  <c r="O250" i="6"/>
  <c r="P250" i="6"/>
  <c r="Q250" i="6"/>
  <c r="A251" i="6"/>
  <c r="B251" i="6"/>
  <c r="C251" i="6"/>
  <c r="G251" i="6"/>
  <c r="K251" i="6"/>
  <c r="L251" i="6"/>
  <c r="M251" i="6" a="1"/>
  <c r="M251" i="6" s="1"/>
  <c r="N251" i="6" a="1"/>
  <c r="N251" i="6" s="1"/>
  <c r="O251" i="6"/>
  <c r="P251" i="6"/>
  <c r="Q251" i="6"/>
  <c r="A252" i="6"/>
  <c r="B252" i="6"/>
  <c r="C252" i="6"/>
  <c r="G252" i="6"/>
  <c r="J252" i="6" s="1"/>
  <c r="K252" i="6"/>
  <c r="L252" i="6"/>
  <c r="M252" i="6" a="1"/>
  <c r="M252" i="6" s="1"/>
  <c r="N252" i="6" a="1"/>
  <c r="N252" i="6"/>
  <c r="O252" i="6"/>
  <c r="P252" i="6"/>
  <c r="Q252" i="6"/>
  <c r="A253" i="6"/>
  <c r="B253" i="6"/>
  <c r="C253" i="6"/>
  <c r="G253" i="6"/>
  <c r="K253" i="6"/>
  <c r="L253" i="6"/>
  <c r="M253" i="6" a="1"/>
  <c r="M253" i="6"/>
  <c r="N253" i="6" a="1"/>
  <c r="N253" i="6"/>
  <c r="O253" i="6"/>
  <c r="P253" i="6"/>
  <c r="Q253" i="6"/>
  <c r="A254" i="6"/>
  <c r="B254" i="6"/>
  <c r="C254" i="6"/>
  <c r="G254" i="6"/>
  <c r="H254" i="6" s="1"/>
  <c r="K254" i="6"/>
  <c r="L254" i="6"/>
  <c r="M254" i="6" a="1"/>
  <c r="M254" i="6" s="1"/>
  <c r="N254" i="6" a="1"/>
  <c r="N254" i="6"/>
  <c r="O254" i="6"/>
  <c r="P254" i="6"/>
  <c r="Q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256" i="6"/>
  <c r="B256" i="6"/>
  <c r="C256" i="6"/>
  <c r="G256" i="6"/>
  <c r="E256" i="6" s="1"/>
  <c r="K256" i="6"/>
  <c r="L256" i="6"/>
  <c r="M256" i="6" a="1"/>
  <c r="M256" i="6" s="1"/>
  <c r="N256" i="6" a="1"/>
  <c r="N256" i="6" s="1"/>
  <c r="O256" i="6"/>
  <c r="P256" i="6"/>
  <c r="Q256" i="6"/>
  <c r="A257" i="6"/>
  <c r="B257" i="6"/>
  <c r="C257" i="6"/>
  <c r="G257" i="6"/>
  <c r="J257" i="6" s="1"/>
  <c r="K257" i="6"/>
  <c r="L257" i="6"/>
  <c r="M257" i="6" a="1"/>
  <c r="M257" i="6" s="1"/>
  <c r="N257" i="6" a="1"/>
  <c r="N257" i="6" s="1"/>
  <c r="O257" i="6"/>
  <c r="P257" i="6"/>
  <c r="Q257" i="6"/>
  <c r="A258" i="6"/>
  <c r="B258" i="6"/>
  <c r="C258" i="6"/>
  <c r="G258" i="6"/>
  <c r="K258" i="6"/>
  <c r="L258" i="6"/>
  <c r="M258" i="6" a="1"/>
  <c r="M258" i="6" s="1"/>
  <c r="N258" i="6" a="1"/>
  <c r="N258" i="6" s="1"/>
  <c r="O258" i="6"/>
  <c r="P258" i="6"/>
  <c r="Q258" i="6"/>
  <c r="AB258" i="6"/>
  <c r="A259" i="6"/>
  <c r="B259" i="6"/>
  <c r="C259" i="6"/>
  <c r="G259" i="6"/>
  <c r="E259" i="6" s="1"/>
  <c r="I259" i="6"/>
  <c r="K259" i="6"/>
  <c r="L259" i="6"/>
  <c r="M259" i="6" a="1"/>
  <c r="M259" i="6"/>
  <c r="N259" i="6" a="1"/>
  <c r="N259" i="6" s="1"/>
  <c r="O259" i="6"/>
  <c r="P259" i="6"/>
  <c r="Q259" i="6"/>
  <c r="A260" i="6"/>
  <c r="B260" i="6"/>
  <c r="C260" i="6"/>
  <c r="G260" i="6"/>
  <c r="H260" i="6" s="1"/>
  <c r="K260" i="6"/>
  <c r="L260" i="6"/>
  <c r="M260" i="6" a="1"/>
  <c r="M260" i="6" s="1"/>
  <c r="N260" i="6" a="1"/>
  <c r="N260" i="6" s="1"/>
  <c r="O260" i="6"/>
  <c r="P260" i="6"/>
  <c r="Q260" i="6"/>
  <c r="A261" i="6"/>
  <c r="B261" i="6"/>
  <c r="C261" i="6"/>
  <c r="G261" i="6"/>
  <c r="H261" i="6" s="1"/>
  <c r="K261" i="6"/>
  <c r="L261" i="6"/>
  <c r="M261" i="6" a="1"/>
  <c r="M261" i="6" s="1"/>
  <c r="N261" i="6" a="1"/>
  <c r="N261" i="6"/>
  <c r="O261" i="6"/>
  <c r="P261" i="6"/>
  <c r="Q261" i="6"/>
  <c r="A262" i="6"/>
  <c r="B262" i="6"/>
  <c r="C262" i="6"/>
  <c r="G262" i="6"/>
  <c r="J262" i="6" s="1"/>
  <c r="K262" i="6"/>
  <c r="L262" i="6"/>
  <c r="M262" i="6" a="1"/>
  <c r="M262" i="6" s="1"/>
  <c r="N262" i="6" a="1"/>
  <c r="N262" i="6" s="1"/>
  <c r="O262" i="6"/>
  <c r="P262" i="6"/>
  <c r="Q262" i="6"/>
  <c r="AB262" i="6"/>
  <c r="A263" i="6"/>
  <c r="B263" i="6"/>
  <c r="C263" i="6"/>
  <c r="G263" i="6"/>
  <c r="K263" i="6"/>
  <c r="L263" i="6"/>
  <c r="M263" i="6" a="1"/>
  <c r="M263" i="6" s="1"/>
  <c r="N263" i="6" a="1"/>
  <c r="N263" i="6" s="1"/>
  <c r="O263" i="6"/>
  <c r="P263" i="6"/>
  <c r="Q263" i="6"/>
  <c r="A264" i="6"/>
  <c r="B264" i="6"/>
  <c r="C264" i="6"/>
  <c r="G264" i="6"/>
  <c r="J264" i="6" s="1"/>
  <c r="K264" i="6"/>
  <c r="L264" i="6"/>
  <c r="M264" i="6" a="1"/>
  <c r="M264" i="6" s="1"/>
  <c r="N264" i="6" a="1"/>
  <c r="N264" i="6" s="1"/>
  <c r="O264" i="6"/>
  <c r="P264" i="6"/>
  <c r="Q264" i="6"/>
  <c r="A265" i="6"/>
  <c r="B265" i="6"/>
  <c r="C265" i="6"/>
  <c r="G265" i="6"/>
  <c r="E265" i="6" s="1"/>
  <c r="K265" i="6"/>
  <c r="L265" i="6"/>
  <c r="M265" i="6" a="1"/>
  <c r="M265" i="6" s="1"/>
  <c r="N265" i="6" a="1"/>
  <c r="N265" i="6" s="1"/>
  <c r="O265" i="6"/>
  <c r="P265" i="6"/>
  <c r="Q265" i="6"/>
  <c r="A266" i="6"/>
  <c r="B266" i="6"/>
  <c r="C266" i="6"/>
  <c r="G266" i="6"/>
  <c r="H266" i="6" s="1"/>
  <c r="J266" i="6"/>
  <c r="K266" i="6"/>
  <c r="L266" i="6"/>
  <c r="M266" i="6" a="1"/>
  <c r="M266" i="6" s="1"/>
  <c r="N266" i="6" a="1"/>
  <c r="N266" i="6" s="1"/>
  <c r="O266" i="6"/>
  <c r="P266" i="6"/>
  <c r="Q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268" i="6"/>
  <c r="B268" i="6"/>
  <c r="C268" i="6"/>
  <c r="G268" i="6"/>
  <c r="H268" i="6" s="1"/>
  <c r="K268" i="6"/>
  <c r="L268" i="6"/>
  <c r="M268" i="6" a="1"/>
  <c r="M268" i="6"/>
  <c r="N268" i="6" a="1"/>
  <c r="N268" i="6" s="1"/>
  <c r="O268" i="6"/>
  <c r="P268" i="6"/>
  <c r="Q268" i="6"/>
  <c r="A269" i="6"/>
  <c r="B269" i="6"/>
  <c r="C269" i="6"/>
  <c r="G269" i="6"/>
  <c r="J269" i="6" s="1"/>
  <c r="K269" i="6"/>
  <c r="L269" i="6"/>
  <c r="M269" i="6" a="1"/>
  <c r="M269" i="6" s="1"/>
  <c r="N269" i="6" a="1"/>
  <c r="N269" i="6" s="1"/>
  <c r="O269" i="6"/>
  <c r="P269" i="6"/>
  <c r="Q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A271" i="6"/>
  <c r="B271" i="6"/>
  <c r="C271" i="6"/>
  <c r="G271" i="6"/>
  <c r="K271" i="6"/>
  <c r="L271" i="6"/>
  <c r="M271" i="6" a="1"/>
  <c r="M271" i="6" s="1"/>
  <c r="N271" i="6" a="1"/>
  <c r="N271" i="6" s="1"/>
  <c r="O271" i="6"/>
  <c r="P271" i="6"/>
  <c r="Q271" i="6"/>
  <c r="AB271" i="6"/>
  <c r="A272" i="6"/>
  <c r="B272" i="6"/>
  <c r="C272" i="6"/>
  <c r="G272" i="6"/>
  <c r="K272" i="6"/>
  <c r="L272" i="6"/>
  <c r="M272" i="6" a="1"/>
  <c r="M272" i="6" s="1"/>
  <c r="N272" i="6" a="1"/>
  <c r="N272" i="6"/>
  <c r="O272" i="6"/>
  <c r="P272" i="6"/>
  <c r="Q272" i="6"/>
  <c r="A273" i="6"/>
  <c r="B273" i="6"/>
  <c r="C273" i="6"/>
  <c r="G273" i="6"/>
  <c r="K273" i="6"/>
  <c r="L273" i="6"/>
  <c r="M273" i="6" a="1"/>
  <c r="M273" i="6"/>
  <c r="N273" i="6" a="1"/>
  <c r="N273" i="6" s="1"/>
  <c r="O273" i="6"/>
  <c r="P273" i="6"/>
  <c r="Q273" i="6"/>
  <c r="A274" i="6"/>
  <c r="B274" i="6"/>
  <c r="C274" i="6"/>
  <c r="G274" i="6"/>
  <c r="H274" i="6" s="1"/>
  <c r="I274" i="6"/>
  <c r="K274" i="6"/>
  <c r="L274" i="6"/>
  <c r="M274" i="6" a="1"/>
  <c r="M274" i="6" s="1"/>
  <c r="N274" i="6" a="1"/>
  <c r="N274" i="6"/>
  <c r="O274" i="6"/>
  <c r="P274" i="6"/>
  <c r="Q274" i="6"/>
  <c r="A275" i="6"/>
  <c r="B275" i="6"/>
  <c r="C275" i="6"/>
  <c r="G275" i="6"/>
  <c r="J275" i="6" s="1"/>
  <c r="K275" i="6"/>
  <c r="L275" i="6"/>
  <c r="M275" i="6" a="1"/>
  <c r="M275" i="6" s="1"/>
  <c r="N275" i="6" a="1"/>
  <c r="N275" i="6" s="1"/>
  <c r="O275" i="6"/>
  <c r="P275" i="6"/>
  <c r="Q275" i="6"/>
  <c r="A276" i="6"/>
  <c r="B276" i="6"/>
  <c r="C276" i="6"/>
  <c r="G276" i="6"/>
  <c r="J276" i="6" s="1"/>
  <c r="K276" i="6"/>
  <c r="L276" i="6"/>
  <c r="M276" i="6" a="1"/>
  <c r="M276" i="6" s="1"/>
  <c r="N276" i="6" a="1"/>
  <c r="N276" i="6"/>
  <c r="O276" i="6"/>
  <c r="P276" i="6"/>
  <c r="Q276" i="6"/>
  <c r="A277" i="6"/>
  <c r="B277" i="6"/>
  <c r="C277" i="6"/>
  <c r="G277" i="6"/>
  <c r="E277" i="6" s="1"/>
  <c r="K277" i="6"/>
  <c r="L277" i="6"/>
  <c r="M277" i="6" a="1"/>
  <c r="M277" i="6"/>
  <c r="N277" i="6" a="1"/>
  <c r="N277" i="6" s="1"/>
  <c r="O277" i="6"/>
  <c r="P277" i="6"/>
  <c r="Q277" i="6"/>
  <c r="A278" i="6"/>
  <c r="B278" i="6"/>
  <c r="C278" i="6"/>
  <c r="G278" i="6"/>
  <c r="H278" i="6" s="1"/>
  <c r="K278" i="6"/>
  <c r="L278" i="6"/>
  <c r="M278" i="6" a="1"/>
  <c r="M278" i="6" s="1"/>
  <c r="N278" i="6" a="1"/>
  <c r="N278" i="6" s="1"/>
  <c r="O278" i="6"/>
  <c r="P278" i="6"/>
  <c r="Q278" i="6"/>
  <c r="AB278" i="6"/>
  <c r="A279" i="6"/>
  <c r="B279" i="6"/>
  <c r="C279" i="6"/>
  <c r="G279" i="6"/>
  <c r="I279" i="6" s="1"/>
  <c r="K279" i="6"/>
  <c r="L279" i="6"/>
  <c r="M279" i="6" a="1"/>
  <c r="M279" i="6" s="1"/>
  <c r="N279" i="6" a="1"/>
  <c r="N279" i="6" s="1"/>
  <c r="O279" i="6"/>
  <c r="P279" i="6"/>
  <c r="Q279" i="6"/>
  <c r="A280" i="6"/>
  <c r="B280" i="6"/>
  <c r="C280" i="6"/>
  <c r="G280" i="6"/>
  <c r="E280" i="6" s="1"/>
  <c r="K280" i="6"/>
  <c r="L280" i="6"/>
  <c r="M280" i="6" a="1"/>
  <c r="M280" i="6" s="1"/>
  <c r="N280" i="6" a="1"/>
  <c r="N280" i="6" s="1"/>
  <c r="O280" i="6"/>
  <c r="P280" i="6"/>
  <c r="Q280" i="6"/>
  <c r="A281" i="6"/>
  <c r="B281" i="6"/>
  <c r="C281" i="6"/>
  <c r="G281" i="6"/>
  <c r="J281" i="6" s="1"/>
  <c r="K281" i="6"/>
  <c r="L281" i="6"/>
  <c r="M281" i="6" a="1"/>
  <c r="M281" i="6" s="1"/>
  <c r="N281" i="6" a="1"/>
  <c r="N281" i="6" s="1"/>
  <c r="O281" i="6"/>
  <c r="P281" i="6"/>
  <c r="Q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A283" i="6"/>
  <c r="B283" i="6"/>
  <c r="C283" i="6"/>
  <c r="G283" i="6"/>
  <c r="J283" i="6" s="1"/>
  <c r="K283" i="6"/>
  <c r="L283" i="6"/>
  <c r="M283" i="6" a="1"/>
  <c r="M283" i="6" s="1"/>
  <c r="N283" i="6" a="1"/>
  <c r="N283" i="6" s="1"/>
  <c r="O283" i="6"/>
  <c r="P283" i="6"/>
  <c r="Q283" i="6"/>
  <c r="A284" i="6"/>
  <c r="B284" i="6"/>
  <c r="C284" i="6"/>
  <c r="G284" i="6"/>
  <c r="H284" i="6" s="1"/>
  <c r="K284" i="6"/>
  <c r="L284" i="6"/>
  <c r="M284" i="6" a="1"/>
  <c r="M284" i="6" s="1"/>
  <c r="N284" i="6" a="1"/>
  <c r="N284" i="6" s="1"/>
  <c r="O284" i="6"/>
  <c r="P284" i="6"/>
  <c r="Q284" i="6"/>
  <c r="A285" i="6"/>
  <c r="B285" i="6"/>
  <c r="C285" i="6"/>
  <c r="G285" i="6"/>
  <c r="J285" i="6"/>
  <c r="K285" i="6"/>
  <c r="L285" i="6"/>
  <c r="M285" i="6" a="1"/>
  <c r="M285" i="6" s="1"/>
  <c r="N285" i="6" a="1"/>
  <c r="N285" i="6"/>
  <c r="O285" i="6"/>
  <c r="P285" i="6"/>
  <c r="Q285" i="6"/>
  <c r="A286" i="6"/>
  <c r="B286" i="6"/>
  <c r="C286" i="6"/>
  <c r="G286" i="6"/>
  <c r="K286" i="6"/>
  <c r="L286" i="6"/>
  <c r="M286" i="6" a="1"/>
  <c r="M286" i="6"/>
  <c r="N286" i="6" a="1"/>
  <c r="N286" i="6" s="1"/>
  <c r="O286" i="6"/>
  <c r="P286" i="6"/>
  <c r="Q286" i="6"/>
  <c r="AB286" i="6" s="1"/>
  <c r="A287" i="6"/>
  <c r="B287" i="6"/>
  <c r="C287" i="6"/>
  <c r="G287" i="6"/>
  <c r="K287" i="6"/>
  <c r="L287" i="6"/>
  <c r="M287" i="6" a="1"/>
  <c r="M287" i="6" s="1"/>
  <c r="N287" i="6" a="1"/>
  <c r="N287" i="6"/>
  <c r="O287" i="6"/>
  <c r="P287" i="6"/>
  <c r="Q287" i="6"/>
  <c r="A288" i="6"/>
  <c r="B288" i="6"/>
  <c r="C288" i="6"/>
  <c r="G288" i="6"/>
  <c r="J288" i="6" s="1"/>
  <c r="K288" i="6"/>
  <c r="L288" i="6"/>
  <c r="M288" i="6" a="1"/>
  <c r="M288" i="6" s="1"/>
  <c r="N288" i="6" a="1"/>
  <c r="N288" i="6"/>
  <c r="O288" i="6"/>
  <c r="P288" i="6"/>
  <c r="Q288" i="6"/>
  <c r="A289" i="6"/>
  <c r="B289" i="6"/>
  <c r="C289" i="6"/>
  <c r="G289" i="6"/>
  <c r="I289" i="6" s="1"/>
  <c r="K289" i="6"/>
  <c r="L289" i="6"/>
  <c r="M289" i="6" a="1"/>
  <c r="M289" i="6"/>
  <c r="N289" i="6" a="1"/>
  <c r="N289" i="6" s="1"/>
  <c r="O289" i="6"/>
  <c r="P289" i="6"/>
  <c r="Q289" i="6"/>
  <c r="A290" i="6"/>
  <c r="B290" i="6"/>
  <c r="C290" i="6"/>
  <c r="G290" i="6"/>
  <c r="J290" i="6" s="1"/>
  <c r="H290" i="6"/>
  <c r="K290" i="6"/>
  <c r="L290" i="6"/>
  <c r="M290" i="6" a="1"/>
  <c r="M290" i="6" s="1"/>
  <c r="N290" i="6" a="1"/>
  <c r="N290" i="6" s="1"/>
  <c r="O290" i="6"/>
  <c r="P290" i="6"/>
  <c r="Q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292" i="6"/>
  <c r="B292" i="6"/>
  <c r="C292" i="6"/>
  <c r="G292" i="6"/>
  <c r="K292" i="6"/>
  <c r="L292" i="6"/>
  <c r="M292" i="6" a="1"/>
  <c r="M292" i="6" s="1"/>
  <c r="N292" i="6" a="1"/>
  <c r="N292" i="6" s="1"/>
  <c r="O292" i="6"/>
  <c r="P292" i="6"/>
  <c r="Q292" i="6"/>
  <c r="A293" i="6"/>
  <c r="B293" i="6"/>
  <c r="C293" i="6"/>
  <c r="G293" i="6"/>
  <c r="K293" i="6"/>
  <c r="L293" i="6"/>
  <c r="M293" i="6" a="1"/>
  <c r="M293" i="6" s="1"/>
  <c r="N293" i="6" a="1"/>
  <c r="N293" i="6"/>
  <c r="O293" i="6"/>
  <c r="P293" i="6"/>
  <c r="Q293" i="6"/>
  <c r="A294" i="6"/>
  <c r="B294" i="6"/>
  <c r="C294" i="6"/>
  <c r="G294" i="6"/>
  <c r="K294" i="6"/>
  <c r="L294" i="6"/>
  <c r="M294" i="6" a="1"/>
  <c r="M294" i="6" s="1"/>
  <c r="N294" i="6" a="1"/>
  <c r="N294" i="6" s="1"/>
  <c r="O294" i="6"/>
  <c r="P294" i="6"/>
  <c r="Q294" i="6"/>
  <c r="AB294" i="6" s="1"/>
  <c r="A295" i="6"/>
  <c r="B295" i="6"/>
  <c r="C295" i="6"/>
  <c r="G295" i="6"/>
  <c r="K295" i="6"/>
  <c r="L295" i="6"/>
  <c r="M295" i="6" a="1"/>
  <c r="M295" i="6" s="1"/>
  <c r="N295" i="6" a="1"/>
  <c r="N295" i="6" s="1"/>
  <c r="O295" i="6"/>
  <c r="P295" i="6"/>
  <c r="Q295" i="6"/>
  <c r="S295" i="6" s="1"/>
  <c r="A296" i="6"/>
  <c r="B296" i="6"/>
  <c r="C296" i="6"/>
  <c r="G296" i="6"/>
  <c r="H296" i="6" s="1"/>
  <c r="K296" i="6"/>
  <c r="L296" i="6"/>
  <c r="M296" i="6" a="1"/>
  <c r="M296" i="6" s="1"/>
  <c r="N296" i="6" a="1"/>
  <c r="N296" i="6"/>
  <c r="O296" i="6"/>
  <c r="P296" i="6"/>
  <c r="Q296" i="6"/>
  <c r="A297" i="6"/>
  <c r="B297" i="6"/>
  <c r="C297" i="6"/>
  <c r="G297" i="6"/>
  <c r="K297" i="6"/>
  <c r="L297" i="6"/>
  <c r="M297" i="6" a="1"/>
  <c r="M297" i="6"/>
  <c r="N297" i="6" a="1"/>
  <c r="N297" i="6" s="1"/>
  <c r="O297" i="6"/>
  <c r="P297" i="6"/>
  <c r="Q297" i="6"/>
  <c r="A298" i="6"/>
  <c r="B298" i="6"/>
  <c r="C298" i="6"/>
  <c r="G298" i="6"/>
  <c r="K298" i="6"/>
  <c r="L298" i="6"/>
  <c r="M298" i="6" a="1"/>
  <c r="M298" i="6" s="1"/>
  <c r="N298" i="6" a="1"/>
  <c r="N298" i="6"/>
  <c r="O298" i="6"/>
  <c r="P298" i="6"/>
  <c r="Q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A300" i="6"/>
  <c r="B300" i="6"/>
  <c r="C300" i="6"/>
  <c r="G300" i="6"/>
  <c r="J300" i="6"/>
  <c r="K300" i="6"/>
  <c r="L300" i="6"/>
  <c r="M300" i="6" a="1"/>
  <c r="M300" i="6" s="1"/>
  <c r="N300" i="6" a="1"/>
  <c r="N300" i="6" s="1"/>
  <c r="O300" i="6"/>
  <c r="P300" i="6"/>
  <c r="Q300" i="6"/>
  <c r="A301" i="6"/>
  <c r="B301" i="6"/>
  <c r="C301" i="6"/>
  <c r="G301" i="6"/>
  <c r="K301" i="6"/>
  <c r="L301" i="6"/>
  <c r="M301" i="6" a="1"/>
  <c r="M301" i="6" s="1"/>
  <c r="N301" i="6" a="1"/>
  <c r="N301" i="6" s="1"/>
  <c r="O301" i="6"/>
  <c r="P301" i="6"/>
  <c r="Q301" i="6"/>
  <c r="A302" i="6"/>
  <c r="B302" i="6"/>
  <c r="C302" i="6"/>
  <c r="G302" i="6"/>
  <c r="K302" i="6"/>
  <c r="L302" i="6"/>
  <c r="M302" i="6" a="1"/>
  <c r="M302" i="6" s="1"/>
  <c r="N302" i="6" a="1"/>
  <c r="N302" i="6"/>
  <c r="O302" i="6"/>
  <c r="P302" i="6"/>
  <c r="Q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S303" i="6" s="1"/>
  <c r="O303" i="6"/>
  <c r="P303" i="6"/>
  <c r="Q303" i="6"/>
  <c r="A304" i="6"/>
  <c r="B304" i="6"/>
  <c r="C304" i="6"/>
  <c r="G304" i="6"/>
  <c r="E304" i="6" s="1"/>
  <c r="K304" i="6"/>
  <c r="L304" i="6"/>
  <c r="M304" i="6" a="1"/>
  <c r="M304" i="6"/>
  <c r="N304" i="6" a="1"/>
  <c r="N304" i="6" s="1"/>
  <c r="O304" i="6"/>
  <c r="P304" i="6"/>
  <c r="Q304" i="6"/>
  <c r="AB304" i="6"/>
  <c r="A305" i="6"/>
  <c r="B305" i="6"/>
  <c r="C305" i="6"/>
  <c r="G305" i="6"/>
  <c r="H305" i="6" s="1"/>
  <c r="K305" i="6"/>
  <c r="L305" i="6"/>
  <c r="M305" i="6" a="1"/>
  <c r="M305" i="6" s="1"/>
  <c r="N305" i="6" a="1"/>
  <c r="N305" i="6"/>
  <c r="O305" i="6"/>
  <c r="P305" i="6"/>
  <c r="Q305" i="6"/>
  <c r="A306" i="6"/>
  <c r="B306" i="6"/>
  <c r="C306" i="6"/>
  <c r="G306" i="6"/>
  <c r="K306" i="6"/>
  <c r="L306" i="6"/>
  <c r="M306" i="6" a="1"/>
  <c r="M306" i="6" s="1"/>
  <c r="N306" i="6" a="1"/>
  <c r="N306" i="6" s="1"/>
  <c r="O306" i="6"/>
  <c r="P306" i="6"/>
  <c r="Q306" i="6"/>
  <c r="A307" i="6"/>
  <c r="B307" i="6"/>
  <c r="C307" i="6"/>
  <c r="G307" i="6"/>
  <c r="E307" i="6" s="1"/>
  <c r="K307" i="6"/>
  <c r="L307" i="6"/>
  <c r="M307" i="6" a="1"/>
  <c r="M307" i="6"/>
  <c r="N307" i="6" a="1"/>
  <c r="N307" i="6" s="1"/>
  <c r="O307" i="6"/>
  <c r="P307" i="6"/>
  <c r="Q307" i="6"/>
  <c r="A308" i="6"/>
  <c r="B308" i="6"/>
  <c r="C308" i="6"/>
  <c r="G308" i="6"/>
  <c r="J308" i="6" s="1"/>
  <c r="K308" i="6"/>
  <c r="L308" i="6"/>
  <c r="M308" i="6" a="1"/>
  <c r="M308" i="6" s="1"/>
  <c r="N308" i="6" a="1"/>
  <c r="N308" i="6" s="1"/>
  <c r="O308" i="6"/>
  <c r="P308" i="6"/>
  <c r="Q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A310" i="6"/>
  <c r="B310" i="6"/>
  <c r="C310" i="6"/>
  <c r="G310" i="6"/>
  <c r="J310" i="6" s="1"/>
  <c r="K310" i="6"/>
  <c r="L310" i="6"/>
  <c r="M310" i="6" a="1"/>
  <c r="M310" i="6" s="1"/>
  <c r="N310" i="6" a="1"/>
  <c r="N310" i="6" s="1"/>
  <c r="O310" i="6"/>
  <c r="P310" i="6"/>
  <c r="Q310" i="6"/>
  <c r="A311" i="6"/>
  <c r="B311" i="6"/>
  <c r="C311" i="6"/>
  <c r="G311" i="6"/>
  <c r="J311" i="6" s="1"/>
  <c r="K311" i="6"/>
  <c r="L311" i="6"/>
  <c r="M311" i="6" a="1"/>
  <c r="M311" i="6" s="1"/>
  <c r="N311" i="6" a="1"/>
  <c r="N311" i="6" s="1"/>
  <c r="O311" i="6"/>
  <c r="P311" i="6"/>
  <c r="Q311" i="6"/>
  <c r="A312" i="6"/>
  <c r="B312" i="6"/>
  <c r="C312" i="6"/>
  <c r="G312" i="6"/>
  <c r="I312" i="6" s="1"/>
  <c r="K312" i="6"/>
  <c r="L312" i="6"/>
  <c r="M312" i="6" a="1"/>
  <c r="M312" i="6" s="1"/>
  <c r="N312" i="6" a="1"/>
  <c r="N312" i="6" s="1"/>
  <c r="O312" i="6"/>
  <c r="P312" i="6"/>
  <c r="Q312" i="6"/>
  <c r="A313" i="6"/>
  <c r="B313" i="6"/>
  <c r="C313" i="6"/>
  <c r="G313" i="6"/>
  <c r="H313" i="6" s="1"/>
  <c r="K313" i="6"/>
  <c r="L313" i="6"/>
  <c r="M313" i="6" a="1"/>
  <c r="M313" i="6" s="1"/>
  <c r="N313" i="6" a="1"/>
  <c r="N313" i="6" s="1"/>
  <c r="O313" i="6"/>
  <c r="P313" i="6"/>
  <c r="Q313" i="6"/>
  <c r="A314" i="6"/>
  <c r="B314" i="6"/>
  <c r="C314" i="6"/>
  <c r="G314" i="6"/>
  <c r="H314" i="6" s="1"/>
  <c r="K314" i="6"/>
  <c r="L314" i="6"/>
  <c r="M314" i="6" a="1"/>
  <c r="M314" i="6" s="1"/>
  <c r="N314" i="6" a="1"/>
  <c r="N314" i="6" s="1"/>
  <c r="O314" i="6"/>
  <c r="P314" i="6"/>
  <c r="Q314" i="6"/>
  <c r="AB314" i="6" s="1"/>
  <c r="A315" i="6"/>
  <c r="B315" i="6"/>
  <c r="C315" i="6"/>
  <c r="G315" i="6"/>
  <c r="I315" i="6" s="1"/>
  <c r="K315" i="6"/>
  <c r="L315" i="6"/>
  <c r="M315" i="6" a="1"/>
  <c r="M315" i="6" s="1"/>
  <c r="N315" i="6" a="1"/>
  <c r="N315" i="6" s="1"/>
  <c r="O315" i="6"/>
  <c r="P315" i="6"/>
  <c r="Q315" i="6"/>
  <c r="A316" i="6"/>
  <c r="B316" i="6"/>
  <c r="C316" i="6"/>
  <c r="G316" i="6"/>
  <c r="H316" i="6" s="1"/>
  <c r="K316" i="6"/>
  <c r="L316" i="6"/>
  <c r="M316" i="6" a="1"/>
  <c r="M316" i="6"/>
  <c r="N316" i="6" a="1"/>
  <c r="N316" i="6" s="1"/>
  <c r="O316" i="6"/>
  <c r="P316" i="6"/>
  <c r="Q316" i="6"/>
  <c r="A317" i="6"/>
  <c r="B317" i="6"/>
  <c r="C317" i="6"/>
  <c r="G317" i="6"/>
  <c r="K317" i="6"/>
  <c r="L317" i="6"/>
  <c r="M317" i="6" a="1"/>
  <c r="M317" i="6" s="1"/>
  <c r="N317" i="6" a="1"/>
  <c r="N317" i="6" s="1"/>
  <c r="O317" i="6"/>
  <c r="P317" i="6"/>
  <c r="Q317" i="6"/>
  <c r="A318" i="6"/>
  <c r="B318" i="6"/>
  <c r="C318" i="6"/>
  <c r="G318" i="6"/>
  <c r="I318" i="6" s="1"/>
  <c r="K318" i="6"/>
  <c r="L318" i="6"/>
  <c r="M318" i="6" a="1"/>
  <c r="M318" i="6" s="1"/>
  <c r="N318" i="6" a="1"/>
  <c r="N318" i="6"/>
  <c r="O318" i="6"/>
  <c r="P318" i="6"/>
  <c r="Q318" i="6"/>
  <c r="A319" i="6"/>
  <c r="B319" i="6"/>
  <c r="C319" i="6"/>
  <c r="G319" i="6"/>
  <c r="E319" i="6" s="1"/>
  <c r="H319" i="6"/>
  <c r="K319" i="6"/>
  <c r="L319" i="6"/>
  <c r="M319" i="6" a="1"/>
  <c r="M319" i="6" s="1"/>
  <c r="N319" i="6" a="1"/>
  <c r="N319" i="6" s="1"/>
  <c r="O319" i="6"/>
  <c r="P319" i="6"/>
  <c r="Q319" i="6"/>
  <c r="A320" i="6"/>
  <c r="B320" i="6"/>
  <c r="C320" i="6"/>
  <c r="G320" i="6"/>
  <c r="H320" i="6" s="1"/>
  <c r="K320" i="6"/>
  <c r="L320" i="6"/>
  <c r="M320" i="6" a="1"/>
  <c r="M320" i="6" s="1"/>
  <c r="N320" i="6" a="1"/>
  <c r="N320" i="6"/>
  <c r="O320" i="6"/>
  <c r="P320" i="6"/>
  <c r="Q320" i="6"/>
  <c r="AB320" i="6" s="1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322" i="6"/>
  <c r="B322" i="6"/>
  <c r="C322" i="6"/>
  <c r="G322" i="6"/>
  <c r="E322" i="6" s="1"/>
  <c r="K322" i="6"/>
  <c r="L322" i="6"/>
  <c r="M322" i="6" a="1"/>
  <c r="M322" i="6"/>
  <c r="N322" i="6" a="1"/>
  <c r="N322" i="6" s="1"/>
  <c r="S322" i="6" s="1"/>
  <c r="O322" i="6"/>
  <c r="P322" i="6"/>
  <c r="Q322" i="6"/>
  <c r="A323" i="6"/>
  <c r="B323" i="6"/>
  <c r="C323" i="6"/>
  <c r="G323" i="6"/>
  <c r="K323" i="6"/>
  <c r="L323" i="6"/>
  <c r="M323" i="6" a="1"/>
  <c r="M323" i="6" s="1"/>
  <c r="N323" i="6" a="1"/>
  <c r="N323" i="6" s="1"/>
  <c r="O323" i="6"/>
  <c r="P323" i="6"/>
  <c r="Q323" i="6"/>
  <c r="A324" i="6"/>
  <c r="B324" i="6"/>
  <c r="C324" i="6"/>
  <c r="G324" i="6"/>
  <c r="I324" i="6" s="1"/>
  <c r="K324" i="6"/>
  <c r="L324" i="6"/>
  <c r="M324" i="6" a="1"/>
  <c r="M324" i="6" s="1"/>
  <c r="N324" i="6" a="1"/>
  <c r="N324" i="6"/>
  <c r="O324" i="6"/>
  <c r="P324" i="6"/>
  <c r="Q324" i="6"/>
  <c r="A325" i="6"/>
  <c r="B325" i="6"/>
  <c r="C325" i="6"/>
  <c r="G325" i="6"/>
  <c r="H325" i="6" s="1"/>
  <c r="K325" i="6"/>
  <c r="L325" i="6"/>
  <c r="M325" i="6" a="1"/>
  <c r="M325" i="6"/>
  <c r="N325" i="6" a="1"/>
  <c r="N325" i="6" s="1"/>
  <c r="O325" i="6"/>
  <c r="P325" i="6"/>
  <c r="Q325" i="6"/>
  <c r="A326" i="6"/>
  <c r="B326" i="6"/>
  <c r="C326" i="6"/>
  <c r="G326" i="6"/>
  <c r="K326" i="6"/>
  <c r="L326" i="6"/>
  <c r="M326" i="6" a="1"/>
  <c r="M326" i="6" s="1"/>
  <c r="N326" i="6" a="1"/>
  <c r="N326" i="6" s="1"/>
  <c r="O326" i="6"/>
  <c r="P326" i="6"/>
  <c r="Q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328" i="6"/>
  <c r="B328" i="6"/>
  <c r="C328" i="6"/>
  <c r="G328" i="6"/>
  <c r="E328" i="6" s="1"/>
  <c r="I328" i="6"/>
  <c r="K328" i="6"/>
  <c r="L328" i="6"/>
  <c r="M328" i="6" a="1"/>
  <c r="M328" i="6" s="1"/>
  <c r="N328" i="6" a="1"/>
  <c r="N328" i="6" s="1"/>
  <c r="O328" i="6"/>
  <c r="P328" i="6"/>
  <c r="Q328" i="6"/>
  <c r="AB328" i="6" s="1"/>
  <c r="A329" i="6"/>
  <c r="B329" i="6"/>
  <c r="C329" i="6"/>
  <c r="G329" i="6"/>
  <c r="J329" i="6" s="1"/>
  <c r="K329" i="6"/>
  <c r="L329" i="6"/>
  <c r="M329" i="6" a="1"/>
  <c r="M329" i="6"/>
  <c r="N329" i="6" a="1"/>
  <c r="N329" i="6" s="1"/>
  <c r="O329" i="6"/>
  <c r="P329" i="6"/>
  <c r="Q329" i="6"/>
  <c r="A330" i="6"/>
  <c r="B330" i="6"/>
  <c r="C330" i="6"/>
  <c r="G330" i="6"/>
  <c r="I330" i="6" s="1"/>
  <c r="K330" i="6"/>
  <c r="L330" i="6"/>
  <c r="M330" i="6" a="1"/>
  <c r="M330" i="6" s="1"/>
  <c r="N330" i="6" a="1"/>
  <c r="N330" i="6"/>
  <c r="O330" i="6"/>
  <c r="P330" i="6"/>
  <c r="Q330" i="6"/>
  <c r="A331" i="6"/>
  <c r="B331" i="6"/>
  <c r="C331" i="6"/>
  <c r="G331" i="6"/>
  <c r="J331" i="6" s="1"/>
  <c r="K331" i="6"/>
  <c r="L331" i="6"/>
  <c r="M331" i="6" a="1"/>
  <c r="M331" i="6" s="1"/>
  <c r="N331" i="6" a="1"/>
  <c r="N331" i="6" s="1"/>
  <c r="O331" i="6"/>
  <c r="P331" i="6"/>
  <c r="Q331" i="6"/>
  <c r="AB331" i="6"/>
  <c r="A332" i="6"/>
  <c r="B332" i="6"/>
  <c r="C332" i="6"/>
  <c r="G332" i="6"/>
  <c r="H332" i="6"/>
  <c r="K332" i="6"/>
  <c r="L332" i="6"/>
  <c r="M332" i="6" a="1"/>
  <c r="M332" i="6" s="1"/>
  <c r="N332" i="6" a="1"/>
  <c r="N332" i="6"/>
  <c r="O332" i="6"/>
  <c r="P332" i="6"/>
  <c r="Q332" i="6"/>
  <c r="A333" i="6"/>
  <c r="B333" i="6"/>
  <c r="C333" i="6"/>
  <c r="G333" i="6"/>
  <c r="H333" i="6" s="1"/>
  <c r="K333" i="6"/>
  <c r="L333" i="6"/>
  <c r="M333" i="6" a="1"/>
  <c r="M333" i="6"/>
  <c r="N333" i="6" a="1"/>
  <c r="N333" i="6" s="1"/>
  <c r="O333" i="6"/>
  <c r="P333" i="6"/>
  <c r="Q333" i="6"/>
  <c r="AB333" i="6"/>
  <c r="A334" i="6"/>
  <c r="B334" i="6"/>
  <c r="C334" i="6"/>
  <c r="G334" i="6"/>
  <c r="I334" i="6" s="1"/>
  <c r="K334" i="6"/>
  <c r="L334" i="6"/>
  <c r="M334" i="6" a="1"/>
  <c r="M334" i="6" s="1"/>
  <c r="N334" i="6" a="1"/>
  <c r="N334" i="6"/>
  <c r="O334" i="6"/>
  <c r="P334" i="6"/>
  <c r="Q334" i="6"/>
  <c r="A335" i="6"/>
  <c r="B335" i="6"/>
  <c r="C335" i="6"/>
  <c r="G335" i="6"/>
  <c r="J335" i="6" s="1"/>
  <c r="K335" i="6"/>
  <c r="L335" i="6"/>
  <c r="M335" i="6" a="1"/>
  <c r="M335" i="6" s="1"/>
  <c r="N335" i="6" a="1"/>
  <c r="N335" i="6" s="1"/>
  <c r="O335" i="6"/>
  <c r="P335" i="6"/>
  <c r="Q335" i="6"/>
  <c r="A336" i="6"/>
  <c r="B336" i="6"/>
  <c r="C336" i="6"/>
  <c r="G336" i="6"/>
  <c r="J336" i="6" s="1"/>
  <c r="K336" i="6"/>
  <c r="L336" i="6"/>
  <c r="M336" i="6" a="1"/>
  <c r="M336" i="6" s="1"/>
  <c r="N336" i="6" a="1"/>
  <c r="N336" i="6" s="1"/>
  <c r="O336" i="6"/>
  <c r="P336" i="6"/>
  <c r="Q336" i="6"/>
  <c r="A337" i="6"/>
  <c r="B337" i="6"/>
  <c r="C337" i="6"/>
  <c r="G337" i="6"/>
  <c r="I337" i="6" s="1"/>
  <c r="H337" i="6"/>
  <c r="K337" i="6"/>
  <c r="L337" i="6"/>
  <c r="M337" i="6" a="1"/>
  <c r="M337" i="6" s="1"/>
  <c r="N337" i="6" a="1"/>
  <c r="N337" i="6"/>
  <c r="O337" i="6"/>
  <c r="P337" i="6"/>
  <c r="Q337" i="6"/>
  <c r="A338" i="6"/>
  <c r="B338" i="6"/>
  <c r="C338" i="6"/>
  <c r="G338" i="6"/>
  <c r="E338" i="6" s="1"/>
  <c r="K338" i="6"/>
  <c r="L338" i="6"/>
  <c r="M338" i="6" a="1"/>
  <c r="M338" i="6" s="1"/>
  <c r="N338" i="6" a="1"/>
  <c r="N338" i="6" s="1"/>
  <c r="O338" i="6"/>
  <c r="P338" i="6"/>
  <c r="Q338" i="6"/>
  <c r="AB338" i="6" s="1"/>
  <c r="A339" i="6"/>
  <c r="B339" i="6"/>
  <c r="C339" i="6"/>
  <c r="G339" i="6"/>
  <c r="J339" i="6" s="1"/>
  <c r="K339" i="6"/>
  <c r="L339" i="6"/>
  <c r="M339" i="6" a="1"/>
  <c r="M339" i="6" s="1"/>
  <c r="N339" i="6" a="1"/>
  <c r="N339" i="6" s="1"/>
  <c r="O339" i="6"/>
  <c r="P339" i="6"/>
  <c r="Q339" i="6"/>
  <c r="A340" i="6"/>
  <c r="B340" i="6"/>
  <c r="C340" i="6"/>
  <c r="G340" i="6"/>
  <c r="H340" i="6" s="1"/>
  <c r="K340" i="6"/>
  <c r="L340" i="6"/>
  <c r="M340" i="6" a="1"/>
  <c r="M340" i="6" s="1"/>
  <c r="N340" i="6" a="1"/>
  <c r="N340" i="6"/>
  <c r="O340" i="6"/>
  <c r="P340" i="6"/>
  <c r="Q340" i="6"/>
  <c r="A341" i="6"/>
  <c r="B341" i="6"/>
  <c r="C341" i="6"/>
  <c r="G341" i="6"/>
  <c r="J341" i="6" s="1"/>
  <c r="K341" i="6"/>
  <c r="L341" i="6"/>
  <c r="M341" i="6" a="1"/>
  <c r="M341" i="6" s="1"/>
  <c r="N341" i="6" a="1"/>
  <c r="N341" i="6" s="1"/>
  <c r="O341" i="6"/>
  <c r="P341" i="6"/>
  <c r="Q341" i="6"/>
  <c r="A342" i="6"/>
  <c r="B342" i="6"/>
  <c r="C342" i="6"/>
  <c r="G342" i="6"/>
  <c r="K342" i="6"/>
  <c r="L342" i="6"/>
  <c r="M342" i="6" a="1"/>
  <c r="M342" i="6"/>
  <c r="N342" i="6" a="1"/>
  <c r="N342" i="6" s="1"/>
  <c r="O342" i="6"/>
  <c r="P342" i="6"/>
  <c r="Q342" i="6"/>
  <c r="AB342" i="6"/>
  <c r="A343" i="6"/>
  <c r="B343" i="6"/>
  <c r="C343" i="6"/>
  <c r="G343" i="6"/>
  <c r="H343" i="6" s="1"/>
  <c r="K343" i="6"/>
  <c r="L343" i="6"/>
  <c r="M343" i="6" a="1"/>
  <c r="M343" i="6" s="1"/>
  <c r="N343" i="6" a="1"/>
  <c r="N343" i="6" s="1"/>
  <c r="O343" i="6"/>
  <c r="P343" i="6"/>
  <c r="Q343" i="6"/>
  <c r="A344" i="6"/>
  <c r="B344" i="6"/>
  <c r="C344" i="6"/>
  <c r="G344" i="6"/>
  <c r="J344" i="6" s="1"/>
  <c r="K344" i="6"/>
  <c r="L344" i="6"/>
  <c r="M344" i="6" a="1"/>
  <c r="M344" i="6" s="1"/>
  <c r="N344" i="6" a="1"/>
  <c r="N344" i="6" s="1"/>
  <c r="O344" i="6"/>
  <c r="P344" i="6"/>
  <c r="Q344" i="6"/>
  <c r="A345" i="6"/>
  <c r="B345" i="6"/>
  <c r="C345" i="6"/>
  <c r="G345" i="6"/>
  <c r="J345" i="6" s="1"/>
  <c r="I345" i="6"/>
  <c r="K345" i="6"/>
  <c r="L345" i="6"/>
  <c r="M345" i="6" a="1"/>
  <c r="M345" i="6" s="1"/>
  <c r="N345" i="6" a="1"/>
  <c r="N345" i="6" s="1"/>
  <c r="O345" i="6"/>
  <c r="P345" i="6"/>
  <c r="Q345" i="6"/>
  <c r="A346" i="6"/>
  <c r="B346" i="6"/>
  <c r="C346" i="6"/>
  <c r="G346" i="6"/>
  <c r="J346" i="6" s="1"/>
  <c r="K346" i="6"/>
  <c r="L346" i="6"/>
  <c r="M346" i="6" a="1"/>
  <c r="M346" i="6" s="1"/>
  <c r="N346" i="6" a="1"/>
  <c r="N346" i="6" s="1"/>
  <c r="O346" i="6"/>
  <c r="P346" i="6"/>
  <c r="Q346" i="6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S348" i="6" s="1"/>
  <c r="O348" i="6"/>
  <c r="P348" i="6"/>
  <c r="Q348" i="6"/>
  <c r="A349" i="6"/>
  <c r="B349" i="6"/>
  <c r="C349" i="6"/>
  <c r="G349" i="6"/>
  <c r="E349" i="6" s="1"/>
  <c r="H349" i="6"/>
  <c r="K349" i="6"/>
  <c r="L349" i="6"/>
  <c r="M349" i="6" a="1"/>
  <c r="M349" i="6" s="1"/>
  <c r="N349" i="6" a="1"/>
  <c r="N349" i="6"/>
  <c r="O349" i="6"/>
  <c r="P349" i="6"/>
  <c r="Q349" i="6"/>
  <c r="A350" i="6"/>
  <c r="B350" i="6"/>
  <c r="C350" i="6"/>
  <c r="G350" i="6"/>
  <c r="J350" i="6" s="1"/>
  <c r="K350" i="6"/>
  <c r="L350" i="6"/>
  <c r="M350" i="6" a="1"/>
  <c r="M350" i="6" s="1"/>
  <c r="N350" i="6" a="1"/>
  <c r="N350" i="6"/>
  <c r="O350" i="6"/>
  <c r="P350" i="6"/>
  <c r="Q350" i="6"/>
  <c r="A351" i="6"/>
  <c r="B351" i="6"/>
  <c r="C351" i="6"/>
  <c r="G351" i="6"/>
  <c r="J351" i="6" s="1"/>
  <c r="K351" i="6"/>
  <c r="L351" i="6"/>
  <c r="M351" i="6" a="1"/>
  <c r="M351" i="6" s="1"/>
  <c r="N351" i="6" a="1"/>
  <c r="N351" i="6" s="1"/>
  <c r="O351" i="6"/>
  <c r="P351" i="6"/>
  <c r="Q351" i="6"/>
  <c r="AB351" i="6"/>
  <c r="A352" i="6"/>
  <c r="B352" i="6"/>
  <c r="C352" i="6"/>
  <c r="G352" i="6"/>
  <c r="E352" i="6" s="1"/>
  <c r="K352" i="6"/>
  <c r="L352" i="6"/>
  <c r="M352" i="6" a="1"/>
  <c r="M352" i="6"/>
  <c r="N352" i="6" a="1"/>
  <c r="N352" i="6" s="1"/>
  <c r="O352" i="6"/>
  <c r="P352" i="6"/>
  <c r="Q352" i="6"/>
  <c r="A353" i="6"/>
  <c r="B353" i="6"/>
  <c r="C353" i="6"/>
  <c r="G353" i="6"/>
  <c r="J353" i="6" s="1"/>
  <c r="K353" i="6"/>
  <c r="L353" i="6"/>
  <c r="M353" i="6" a="1"/>
  <c r="M353" i="6" s="1"/>
  <c r="N353" i="6" a="1"/>
  <c r="N353" i="6" s="1"/>
  <c r="O353" i="6"/>
  <c r="P353" i="6"/>
  <c r="Q353" i="6"/>
  <c r="A354" i="6"/>
  <c r="B354" i="6"/>
  <c r="C354" i="6"/>
  <c r="G354" i="6"/>
  <c r="J354" i="6" s="1"/>
  <c r="K354" i="6"/>
  <c r="L354" i="6"/>
  <c r="M354" i="6" a="1"/>
  <c r="M354" i="6" s="1"/>
  <c r="N354" i="6" a="1"/>
  <c r="N354" i="6" s="1"/>
  <c r="O354" i="6"/>
  <c r="P354" i="6"/>
  <c r="Q354" i="6"/>
  <c r="A355" i="6"/>
  <c r="B355" i="6"/>
  <c r="C355" i="6"/>
  <c r="G355" i="6"/>
  <c r="H355" i="6" s="1"/>
  <c r="K355" i="6"/>
  <c r="L355" i="6"/>
  <c r="M355" i="6" a="1"/>
  <c r="M355" i="6" s="1"/>
  <c r="N355" i="6" a="1"/>
  <c r="N355" i="6" s="1"/>
  <c r="O355" i="6"/>
  <c r="P355" i="6"/>
  <c r="Q355" i="6"/>
  <c r="AB355" i="6"/>
  <c r="A356" i="6"/>
  <c r="B356" i="6"/>
  <c r="C356" i="6"/>
  <c r="G356" i="6"/>
  <c r="E356" i="6" s="1"/>
  <c r="K356" i="6"/>
  <c r="L356" i="6"/>
  <c r="M356" i="6" a="1"/>
  <c r="M356" i="6" s="1"/>
  <c r="N356" i="6" a="1"/>
  <c r="N356" i="6" s="1"/>
  <c r="O356" i="6"/>
  <c r="P356" i="6"/>
  <c r="Q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358" i="6"/>
  <c r="B358" i="6"/>
  <c r="C358" i="6"/>
  <c r="G358" i="6"/>
  <c r="J358" i="6" s="1"/>
  <c r="K358" i="6"/>
  <c r="L358" i="6"/>
  <c r="M358" i="6" a="1"/>
  <c r="M358" i="6" s="1"/>
  <c r="N358" i="6" a="1"/>
  <c r="N358" i="6" s="1"/>
  <c r="O358" i="6"/>
  <c r="P358" i="6"/>
  <c r="Q358" i="6"/>
  <c r="A359" i="6"/>
  <c r="B359" i="6"/>
  <c r="C359" i="6"/>
  <c r="G359" i="6"/>
  <c r="J359" i="6" s="1"/>
  <c r="K359" i="6"/>
  <c r="L359" i="6"/>
  <c r="M359" i="6" a="1"/>
  <c r="M359" i="6" s="1"/>
  <c r="N359" i="6" a="1"/>
  <c r="N359" i="6" s="1"/>
  <c r="O359" i="6"/>
  <c r="P359" i="6"/>
  <c r="Q359" i="6"/>
  <c r="A360" i="6"/>
  <c r="B360" i="6"/>
  <c r="C360" i="6"/>
  <c r="G360" i="6"/>
  <c r="J360" i="6" s="1"/>
  <c r="K360" i="6"/>
  <c r="L360" i="6"/>
  <c r="M360" i="6" a="1"/>
  <c r="M360" i="6" s="1"/>
  <c r="N360" i="6" a="1"/>
  <c r="N360" i="6" s="1"/>
  <c r="O360" i="6"/>
  <c r="P360" i="6"/>
  <c r="Q360" i="6"/>
  <c r="AB360" i="6" s="1"/>
  <c r="A361" i="6"/>
  <c r="B361" i="6"/>
  <c r="C361" i="6"/>
  <c r="G361" i="6"/>
  <c r="I361" i="6" s="1"/>
  <c r="K361" i="6"/>
  <c r="L361" i="6"/>
  <c r="M361" i="6" a="1"/>
  <c r="M361" i="6" s="1"/>
  <c r="N361" i="6" a="1"/>
  <c r="N361" i="6" s="1"/>
  <c r="O361" i="6"/>
  <c r="P361" i="6"/>
  <c r="Q361" i="6"/>
  <c r="A362" i="6"/>
  <c r="B362" i="6"/>
  <c r="C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A363" i="6"/>
  <c r="B363" i="6"/>
  <c r="C363" i="6"/>
  <c r="G363" i="6"/>
  <c r="J363" i="6" s="1"/>
  <c r="K363" i="6"/>
  <c r="L363" i="6"/>
  <c r="M363" i="6" a="1"/>
  <c r="M363" i="6" s="1"/>
  <c r="N363" i="6" a="1"/>
  <c r="N363" i="6" s="1"/>
  <c r="O363" i="6"/>
  <c r="P363" i="6"/>
  <c r="Q363" i="6"/>
  <c r="A364" i="6"/>
  <c r="B364" i="6"/>
  <c r="C364" i="6"/>
  <c r="G364" i="6"/>
  <c r="E364" i="6" s="1"/>
  <c r="K364" i="6"/>
  <c r="L364" i="6"/>
  <c r="M364" i="6" a="1"/>
  <c r="M364" i="6"/>
  <c r="N364" i="6" a="1"/>
  <c r="N364" i="6"/>
  <c r="O364" i="6"/>
  <c r="P364" i="6"/>
  <c r="Q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O365" i="6"/>
  <c r="P365" i="6"/>
  <c r="Q365" i="6"/>
  <c r="A366" i="6"/>
  <c r="B366" i="6"/>
  <c r="C366" i="6"/>
  <c r="G366" i="6"/>
  <c r="J366" i="6" s="1"/>
  <c r="K366" i="6"/>
  <c r="L366" i="6"/>
  <c r="M366" i="6" a="1"/>
  <c r="M366" i="6" s="1"/>
  <c r="N366" i="6" a="1"/>
  <c r="N366" i="6" s="1"/>
  <c r="O366" i="6"/>
  <c r="P366" i="6"/>
  <c r="Q366" i="6"/>
  <c r="A367" i="6"/>
  <c r="B367" i="6"/>
  <c r="C367" i="6"/>
  <c r="G367" i="6"/>
  <c r="K367" i="6"/>
  <c r="L367" i="6"/>
  <c r="M367" i="6" a="1"/>
  <c r="M367" i="6" s="1"/>
  <c r="N367" i="6" a="1"/>
  <c r="N367" i="6" s="1"/>
  <c r="O367" i="6"/>
  <c r="P367" i="6"/>
  <c r="Q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O368" i="6"/>
  <c r="P368" i="6"/>
  <c r="Q368" i="6"/>
  <c r="A369" i="6"/>
  <c r="B369" i="6"/>
  <c r="C369" i="6"/>
  <c r="G369" i="6"/>
  <c r="I369" i="6" s="1"/>
  <c r="H369" i="6"/>
  <c r="K369" i="6"/>
  <c r="L369" i="6"/>
  <c r="M369" i="6" a="1"/>
  <c r="M369" i="6" s="1"/>
  <c r="N369" i="6" a="1"/>
  <c r="N369" i="6" s="1"/>
  <c r="O369" i="6"/>
  <c r="P369" i="6"/>
  <c r="Q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A371" i="6"/>
  <c r="B371" i="6"/>
  <c r="C371" i="6"/>
  <c r="G371" i="6"/>
  <c r="E371" i="6" s="1"/>
  <c r="I371" i="6"/>
  <c r="K371" i="6"/>
  <c r="L371" i="6"/>
  <c r="M371" i="6" a="1"/>
  <c r="M371" i="6" s="1"/>
  <c r="N371" i="6" a="1"/>
  <c r="N371" i="6" s="1"/>
  <c r="O371" i="6"/>
  <c r="P371" i="6"/>
  <c r="Q371" i="6"/>
  <c r="A372" i="6"/>
  <c r="B372" i="6"/>
  <c r="C372" i="6"/>
  <c r="G372" i="6"/>
  <c r="H372" i="6" s="1"/>
  <c r="K372" i="6"/>
  <c r="L372" i="6"/>
  <c r="M372" i="6" a="1"/>
  <c r="M372" i="6" s="1"/>
  <c r="N372" i="6" a="1"/>
  <c r="N372" i="6"/>
  <c r="O372" i="6"/>
  <c r="P372" i="6"/>
  <c r="Q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A374" i="6"/>
  <c r="B374" i="6"/>
  <c r="C374" i="6"/>
  <c r="G374" i="6"/>
  <c r="E374" i="6" s="1"/>
  <c r="K374" i="6"/>
  <c r="L374" i="6"/>
  <c r="M374" i="6" a="1"/>
  <c r="M374" i="6"/>
  <c r="N374" i="6" a="1"/>
  <c r="N374" i="6" s="1"/>
  <c r="O374" i="6"/>
  <c r="P374" i="6"/>
  <c r="Q374" i="6"/>
  <c r="A375" i="6"/>
  <c r="B375" i="6"/>
  <c r="C375" i="6"/>
  <c r="G375" i="6"/>
  <c r="H375" i="6" s="1"/>
  <c r="K375" i="6"/>
  <c r="L375" i="6"/>
  <c r="M375" i="6" a="1"/>
  <c r="M375" i="6" s="1"/>
  <c r="N375" i="6" a="1"/>
  <c r="N375" i="6" s="1"/>
  <c r="O375" i="6"/>
  <c r="P375" i="6"/>
  <c r="Q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A377" i="6"/>
  <c r="B377" i="6"/>
  <c r="C377" i="6"/>
  <c r="G377" i="6"/>
  <c r="E377" i="6" s="1"/>
  <c r="K377" i="6"/>
  <c r="L377" i="6"/>
  <c r="M377" i="6" a="1"/>
  <c r="M377" i="6"/>
  <c r="N377" i="6" a="1"/>
  <c r="N377" i="6" s="1"/>
  <c r="S377" i="6" s="1"/>
  <c r="O377" i="6"/>
  <c r="P377" i="6"/>
  <c r="Q377" i="6"/>
  <c r="A378" i="6"/>
  <c r="B378" i="6"/>
  <c r="C378" i="6"/>
  <c r="G378" i="6"/>
  <c r="H378" i="6" s="1"/>
  <c r="K378" i="6"/>
  <c r="L378" i="6"/>
  <c r="M378" i="6" a="1"/>
  <c r="M378" i="6" s="1"/>
  <c r="N378" i="6" a="1"/>
  <c r="N378" i="6" s="1"/>
  <c r="O378" i="6"/>
  <c r="P378" i="6"/>
  <c r="Q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A380" i="6"/>
  <c r="B380" i="6"/>
  <c r="C380" i="6"/>
  <c r="G380" i="6"/>
  <c r="E380" i="6" s="1"/>
  <c r="K380" i="6"/>
  <c r="L380" i="6"/>
  <c r="M380" i="6" a="1"/>
  <c r="M380" i="6" s="1"/>
  <c r="N380" i="6" a="1"/>
  <c r="N380" i="6" s="1"/>
  <c r="O380" i="6"/>
  <c r="P380" i="6"/>
  <c r="Q380" i="6"/>
  <c r="A381" i="6"/>
  <c r="B381" i="6"/>
  <c r="C381" i="6"/>
  <c r="G381" i="6"/>
  <c r="I381" i="6"/>
  <c r="K381" i="6"/>
  <c r="L381" i="6"/>
  <c r="M381" i="6" a="1"/>
  <c r="M381" i="6" s="1"/>
  <c r="N381" i="6" a="1"/>
  <c r="N381" i="6" s="1"/>
  <c r="O381" i="6"/>
  <c r="P381" i="6"/>
  <c r="Q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A383" i="6"/>
  <c r="B383" i="6"/>
  <c r="C383" i="6"/>
  <c r="G383" i="6"/>
  <c r="E383" i="6" s="1"/>
  <c r="K383" i="6"/>
  <c r="L383" i="6"/>
  <c r="M383" i="6" a="1"/>
  <c r="M383" i="6" s="1"/>
  <c r="N383" i="6" a="1"/>
  <c r="N383" i="6" s="1"/>
  <c r="O383" i="6"/>
  <c r="P383" i="6"/>
  <c r="Q383" i="6"/>
  <c r="A384" i="6"/>
  <c r="B384" i="6"/>
  <c r="C384" i="6"/>
  <c r="G384" i="6"/>
  <c r="H384" i="6" s="1"/>
  <c r="I384" i="6"/>
  <c r="K384" i="6"/>
  <c r="L384" i="6"/>
  <c r="M384" i="6" a="1"/>
  <c r="M384" i="6" s="1"/>
  <c r="N384" i="6" a="1"/>
  <c r="N384" i="6" s="1"/>
  <c r="O384" i="6"/>
  <c r="P384" i="6"/>
  <c r="Q384" i="6"/>
  <c r="AB384" i="6" s="1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A386" i="6"/>
  <c r="B386" i="6"/>
  <c r="C386" i="6"/>
  <c r="G386" i="6"/>
  <c r="E386" i="6" s="1"/>
  <c r="K386" i="6"/>
  <c r="L386" i="6"/>
  <c r="M386" i="6" a="1"/>
  <c r="M386" i="6" s="1"/>
  <c r="N386" i="6" a="1"/>
  <c r="N386" i="6" s="1"/>
  <c r="O386" i="6"/>
  <c r="P386" i="6"/>
  <c r="Q386" i="6"/>
  <c r="A387" i="6"/>
  <c r="B387" i="6"/>
  <c r="C387" i="6"/>
  <c r="G387" i="6"/>
  <c r="H387" i="6" s="1"/>
  <c r="K387" i="6"/>
  <c r="L387" i="6"/>
  <c r="M387" i="6" a="1"/>
  <c r="M387" i="6" s="1"/>
  <c r="N387" i="6" a="1"/>
  <c r="N387" i="6" s="1"/>
  <c r="O387" i="6"/>
  <c r="P387" i="6"/>
  <c r="Q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8" i="6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59" i="6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3" i="6" s="1"/>
  <c r="A64" i="3" a="1"/>
  <c r="A64" i="3" s="1"/>
  <c r="A64" i="6" s="1"/>
  <c r="A65" i="3" a="1"/>
  <c r="A65" i="3" s="1"/>
  <c r="A65" i="6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7" i="6" s="1"/>
  <c r="A78" i="3" a="1"/>
  <c r="A78" i="3" s="1"/>
  <c r="A78" i="6" s="1"/>
  <c r="A79" i="3" a="1"/>
  <c r="A79" i="3" s="1"/>
  <c r="A79" i="6" s="1"/>
  <c r="A80" i="3" a="1"/>
  <c r="A80" i="3" s="1"/>
  <c r="A80" i="6" s="1"/>
  <c r="A81" i="3" a="1"/>
  <c r="A81" i="3" s="1"/>
  <c r="A81" i="6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6" i="6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5" i="6" s="1"/>
  <c r="A96" i="3" a="1"/>
  <c r="A96" i="3" s="1"/>
  <c r="A96" i="6" s="1"/>
  <c r="A97" i="3" a="1"/>
  <c r="A97" i="3" s="1"/>
  <c r="A97" i="6" s="1"/>
  <c r="A98" i="3" a="1"/>
  <c r="A98" i="3" s="1"/>
  <c r="A98" i="6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1" i="6" s="1"/>
  <c r="A112" i="3" a="1"/>
  <c r="A112" i="3" s="1"/>
  <c r="A112" i="6" s="1"/>
  <c r="A113" i="3" a="1"/>
  <c r="A113" i="3" s="1"/>
  <c r="A113" i="6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5" i="6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29" i="6" s="1"/>
  <c r="A130" i="3" a="1"/>
  <c r="A130" i="3" s="1"/>
  <c r="A130" i="6" s="1"/>
  <c r="A131" i="3" a="1"/>
  <c r="A131" i="3" s="1"/>
  <c r="A131" i="6" s="1"/>
  <c r="A132" i="3" a="1"/>
  <c r="A132" i="3" s="1"/>
  <c r="A132" i="6" s="1"/>
  <c r="A133" i="3" a="1"/>
  <c r="A133" i="3" s="1"/>
  <c r="A133" i="6" s="1"/>
  <c r="A134" i="3" a="1"/>
  <c r="A134" i="3" s="1"/>
  <c r="A134" i="6" s="1"/>
  <c r="A135" i="3" a="1"/>
  <c r="A135" i="3" s="1"/>
  <c r="A135" i="6" s="1"/>
  <c r="A136" i="3" a="1"/>
  <c r="A136" i="3" s="1"/>
  <c r="A136" i="6" s="1"/>
  <c r="A137" i="3" a="1"/>
  <c r="A137" i="3" s="1"/>
  <c r="A137" i="6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7" i="6" s="1"/>
  <c r="A148" i="3" a="1"/>
  <c r="A148" i="3" s="1"/>
  <c r="A148" i="6" s="1"/>
  <c r="A149" i="3" a="1"/>
  <c r="A149" i="3" s="1"/>
  <c r="A149" i="6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3" i="6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1" i="6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5" i="6" s="1"/>
  <c r="A166" i="3" a="1"/>
  <c r="A166" i="3" s="1"/>
  <c r="A166" i="6" s="1"/>
  <c r="A167" i="3" a="1"/>
  <c r="A167" i="3" s="1"/>
  <c r="A167" i="6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89" i="6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4" i="6" s="1"/>
  <c r="A195" i="3" a="1"/>
  <c r="A195" i="3" s="1"/>
  <c r="A195" i="6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6" i="6" s="1"/>
  <c r="A207" i="3" a="1"/>
  <c r="A207" i="3" s="1"/>
  <c r="A207" i="6" s="1"/>
  <c r="A208" i="3" a="1"/>
  <c r="A208" i="3" s="1"/>
  <c r="A208" i="6" s="1"/>
  <c r="A209" i="3" a="1"/>
  <c r="A209" i="3" s="1"/>
  <c r="A209" i="6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5" i="6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19" i="6" s="1"/>
  <c r="A220" i="3" a="1"/>
  <c r="A220" i="3" s="1"/>
  <c r="A220" i="6" s="1"/>
  <c r="A221" i="3" a="1"/>
  <c r="A221" i="3" s="1"/>
  <c r="A221" i="6" s="1"/>
  <c r="A222" i="3" a="1"/>
  <c r="A222" i="3" s="1"/>
  <c r="A222" i="6" s="1"/>
  <c r="A223" i="3" a="1"/>
  <c r="A223" i="3" s="1"/>
  <c r="A223" i="6" s="1"/>
  <c r="A224" i="3" a="1"/>
  <c r="A224" i="3" s="1"/>
  <c r="A224" i="6" s="1"/>
  <c r="A225" i="3" a="1"/>
  <c r="A225" i="3" s="1"/>
  <c r="A225" i="6" s="1"/>
  <c r="A226" i="3" a="1"/>
  <c r="A226" i="3" s="1"/>
  <c r="A226" i="6" s="1"/>
  <c r="A227" i="3" a="1"/>
  <c r="A227" i="3" s="1"/>
  <c r="A227" i="6" s="1"/>
  <c r="A228" i="3" a="1"/>
  <c r="A228" i="3" s="1"/>
  <c r="A228" i="6" s="1"/>
  <c r="A229" i="3" a="1"/>
  <c r="A229" i="3" s="1"/>
  <c r="A229" i="6" s="1"/>
  <c r="A230" i="3" a="1"/>
  <c r="A230" i="3" s="1"/>
  <c r="A230" i="6" s="1"/>
  <c r="A231" i="3" a="1"/>
  <c r="A231" i="3" s="1"/>
  <c r="A231" i="6" s="1"/>
  <c r="A232" i="3" a="1"/>
  <c r="A232" i="3" s="1"/>
  <c r="A232" i="6" s="1"/>
  <c r="A233" i="3" a="1"/>
  <c r="A233" i="3" s="1"/>
  <c r="A233" i="6" s="1"/>
  <c r="A234" i="3" a="1"/>
  <c r="A234" i="3" s="1"/>
  <c r="A234" i="6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2" i="6" s="1"/>
  <c r="A243" i="3" a="1"/>
  <c r="A243" i="3" s="1"/>
  <c r="A243" i="6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B113" i="1" s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1" i="1"/>
  <c r="A10" i="1"/>
  <c r="A3" i="1"/>
  <c r="A4" i="1"/>
  <c r="A5" i="1"/>
  <c r="A6" i="1"/>
  <c r="A7" i="1"/>
  <c r="A8" i="1"/>
  <c r="A9" i="1"/>
  <c r="A2" i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W152" i="4" a="1"/>
  <c r="W152" i="4" s="1"/>
  <c r="W153" i="4" a="1"/>
  <c r="W153" i="4" s="1"/>
  <c r="W154" i="4" a="1"/>
  <c r="W154" i="4" s="1"/>
  <c r="W155" i="4" a="1"/>
  <c r="W155" i="4" s="1"/>
  <c r="W156" i="4" a="1"/>
  <c r="W156" i="4" s="1"/>
  <c r="W157" i="4" a="1"/>
  <c r="W157" i="4" s="1"/>
  <c r="W158" i="4" a="1"/>
  <c r="W158" i="4" s="1"/>
  <c r="W159" i="4" a="1"/>
  <c r="W159" i="4" s="1"/>
  <c r="W160" i="4" a="1"/>
  <c r="W160" i="4" s="1"/>
  <c r="W161" i="4" a="1"/>
  <c r="W161" i="4" s="1"/>
  <c r="W162" i="4" a="1"/>
  <c r="W162" i="4" s="1"/>
  <c r="W163" i="4" a="1"/>
  <c r="W163" i="4" s="1"/>
  <c r="W164" i="4" a="1"/>
  <c r="W164" i="4" s="1"/>
  <c r="W165" i="4" a="1"/>
  <c r="W165" i="4" s="1"/>
  <c r="W166" i="4" a="1"/>
  <c r="W166" i="4" s="1"/>
  <c r="W167" i="4" a="1"/>
  <c r="W167" i="4" s="1"/>
  <c r="W168" i="4" a="1"/>
  <c r="W168" i="4" s="1"/>
  <c r="W169" i="4" a="1"/>
  <c r="W169" i="4" s="1"/>
  <c r="W170" i="4" a="1"/>
  <c r="W170" i="4" s="1"/>
  <c r="W171" i="4" a="1"/>
  <c r="W171" i="4" s="1"/>
  <c r="W172" i="4" a="1"/>
  <c r="W172" i="4" s="1"/>
  <c r="W173" i="4" a="1"/>
  <c r="W173" i="4" s="1"/>
  <c r="W174" i="4" a="1"/>
  <c r="W174" i="4" s="1"/>
  <c r="W175" i="4" a="1"/>
  <c r="W175" i="4" s="1"/>
  <c r="W176" i="4" a="1"/>
  <c r="W176" i="4" s="1"/>
  <c r="W177" i="4" a="1"/>
  <c r="W177" i="4" s="1"/>
  <c r="W178" i="4" a="1"/>
  <c r="W178" i="4" s="1"/>
  <c r="W179" i="4" a="1"/>
  <c r="W179" i="4" s="1"/>
  <c r="W180" i="4" a="1"/>
  <c r="W180" i="4" s="1"/>
  <c r="W181" i="4" a="1"/>
  <c r="W181" i="4" s="1"/>
  <c r="W182" i="4" a="1"/>
  <c r="W182" i="4" s="1"/>
  <c r="W183" i="4" a="1"/>
  <c r="W183" i="4" s="1"/>
  <c r="W184" i="4" a="1"/>
  <c r="W184" i="4" s="1"/>
  <c r="W185" i="4" a="1"/>
  <c r="W185" i="4" s="1"/>
  <c r="W186" i="4" a="1"/>
  <c r="W186" i="4" s="1"/>
  <c r="W187" i="4" a="1"/>
  <c r="W187" i="4" s="1"/>
  <c r="W188" i="4" a="1"/>
  <c r="W188" i="4" s="1"/>
  <c r="W189" i="4" a="1"/>
  <c r="W189" i="4" s="1"/>
  <c r="W190" i="4" a="1"/>
  <c r="W190" i="4" s="1"/>
  <c r="W191" i="4" a="1"/>
  <c r="W191" i="4" s="1"/>
  <c r="W192" i="4" a="1"/>
  <c r="W192" i="4" s="1"/>
  <c r="W193" i="4" a="1"/>
  <c r="W193" i="4" s="1"/>
  <c r="W194" i="4" a="1"/>
  <c r="W194" i="4" s="1"/>
  <c r="W195" i="4" a="1"/>
  <c r="W195" i="4" s="1"/>
  <c r="W196" i="4" a="1"/>
  <c r="W196" i="4" s="1"/>
  <c r="W197" i="4" a="1"/>
  <c r="W197" i="4" s="1"/>
  <c r="W198" i="4" a="1"/>
  <c r="W198" i="4" s="1"/>
  <c r="W199" i="4" a="1"/>
  <c r="W199" i="4" s="1"/>
  <c r="W200" i="4" a="1"/>
  <c r="W200" i="4" s="1"/>
  <c r="W201" i="4" a="1"/>
  <c r="W201" i="4" s="1"/>
  <c r="W202" i="4" a="1"/>
  <c r="W202" i="4" s="1"/>
  <c r="W203" i="4" a="1"/>
  <c r="W203" i="4" s="1"/>
  <c r="W204" i="4" a="1"/>
  <c r="W204" i="4" s="1"/>
  <c r="W205" i="4" a="1"/>
  <c r="W205" i="4" s="1"/>
  <c r="W206" i="4" a="1"/>
  <c r="W206" i="4" s="1"/>
  <c r="W207" i="4" a="1"/>
  <c r="W207" i="4" s="1"/>
  <c r="W208" i="4" a="1"/>
  <c r="W208" i="4" s="1"/>
  <c r="W209" i="4" a="1"/>
  <c r="W209" i="4" s="1"/>
  <c r="W210" i="4" a="1"/>
  <c r="W210" i="4" s="1"/>
  <c r="W211" i="4" a="1"/>
  <c r="W211" i="4" s="1"/>
  <c r="W212" i="4" a="1"/>
  <c r="W212" i="4" s="1"/>
  <c r="W213" i="4" a="1"/>
  <c r="W213" i="4" s="1"/>
  <c r="W214" i="4" a="1"/>
  <c r="W214" i="4" s="1"/>
  <c r="W215" i="4" a="1"/>
  <c r="W215" i="4" s="1"/>
  <c r="W216" i="4" a="1"/>
  <c r="W216" i="4" s="1"/>
  <c r="W217" i="4" a="1"/>
  <c r="W217" i="4" s="1"/>
  <c r="W218" i="4" a="1"/>
  <c r="W218" i="4" s="1"/>
  <c r="W219" i="4" a="1"/>
  <c r="W219" i="4" s="1"/>
  <c r="W220" i="4" a="1"/>
  <c r="W220" i="4" s="1"/>
  <c r="W221" i="4" a="1"/>
  <c r="W221" i="4" s="1"/>
  <c r="W222" i="4" a="1"/>
  <c r="W222" i="4" s="1"/>
  <c r="W223" i="4" a="1"/>
  <c r="W223" i="4" s="1"/>
  <c r="W224" i="4" a="1"/>
  <c r="W224" i="4" s="1"/>
  <c r="W225" i="4" a="1"/>
  <c r="W225" i="4" s="1"/>
  <c r="W226" i="4" a="1"/>
  <c r="W226" i="4" s="1"/>
  <c r="W227" i="4" a="1"/>
  <c r="W227" i="4" s="1"/>
  <c r="W228" i="4" a="1"/>
  <c r="W228" i="4" s="1"/>
  <c r="W229" i="4" a="1"/>
  <c r="W229" i="4" s="1"/>
  <c r="W230" i="4" a="1"/>
  <c r="W230" i="4" s="1"/>
  <c r="W231" i="4" a="1"/>
  <c r="W231" i="4" s="1"/>
  <c r="W232" i="4" a="1"/>
  <c r="W232" i="4" s="1"/>
  <c r="W233" i="4" a="1"/>
  <c r="W233" i="4" s="1"/>
  <c r="W234" i="4" a="1"/>
  <c r="W234" i="4" s="1"/>
  <c r="W235" i="4" a="1"/>
  <c r="W235" i="4" s="1"/>
  <c r="W236" i="4" a="1"/>
  <c r="W236" i="4" s="1"/>
  <c r="W237" i="4" a="1"/>
  <c r="W237" i="4" s="1"/>
  <c r="W238" i="4" a="1"/>
  <c r="W238" i="4" s="1"/>
  <c r="W239" i="4" a="1"/>
  <c r="W239" i="4" s="1"/>
  <c r="W240" i="4" a="1"/>
  <c r="W240" i="4" s="1"/>
  <c r="W241" i="4" a="1"/>
  <c r="W241" i="4" s="1"/>
  <c r="W242" i="4" a="1"/>
  <c r="W242" i="4" s="1"/>
  <c r="W243" i="4" a="1"/>
  <c r="W243" i="4" s="1"/>
  <c r="W244" i="4" a="1"/>
  <c r="W244" i="4" s="1"/>
  <c r="W245" i="4" a="1"/>
  <c r="W245" i="4" s="1"/>
  <c r="W246" i="4" a="1"/>
  <c r="W246" i="4" s="1"/>
  <c r="W247" i="4" a="1"/>
  <c r="W247" i="4" s="1"/>
  <c r="W248" i="4" a="1"/>
  <c r="W248" i="4" s="1"/>
  <c r="W249" i="4" a="1"/>
  <c r="W249" i="4" s="1"/>
  <c r="W250" i="4" a="1"/>
  <c r="W250" i="4" s="1"/>
  <c r="W251" i="4" a="1"/>
  <c r="W251" i="4" s="1"/>
  <c r="W252" i="4" a="1"/>
  <c r="W252" i="4" s="1"/>
  <c r="B6" i="1"/>
  <c r="L152" i="4"/>
  <c r="M152" i="4" s="1" a="1"/>
  <c r="M152" i="4" s="1"/>
  <c r="L153" i="4"/>
  <c r="M153" i="4" s="1" a="1"/>
  <c r="M153" i="4" s="1"/>
  <c r="L154" i="4"/>
  <c r="M154" i="4" s="1" a="1"/>
  <c r="M154" i="4" s="1"/>
  <c r="L155" i="4"/>
  <c r="M155" i="4" s="1" a="1"/>
  <c r="M155" i="4" s="1"/>
  <c r="L156" i="4"/>
  <c r="M156" i="4" s="1" a="1"/>
  <c r="M156" i="4" s="1"/>
  <c r="L157" i="4"/>
  <c r="M157" i="4" s="1" a="1"/>
  <c r="M157" i="4" s="1"/>
  <c r="L158" i="4"/>
  <c r="M158" i="4" s="1" a="1"/>
  <c r="M158" i="4" s="1"/>
  <c r="L159" i="4"/>
  <c r="M159" i="4" s="1" a="1"/>
  <c r="M159" i="4" s="1"/>
  <c r="L160" i="4"/>
  <c r="M160" i="4" s="1" a="1"/>
  <c r="M160" i="4" s="1"/>
  <c r="L161" i="4"/>
  <c r="M161" i="4" s="1" a="1"/>
  <c r="M161" i="4" s="1"/>
  <c r="L162" i="4"/>
  <c r="M162" i="4" s="1" a="1"/>
  <c r="M162" i="4" s="1"/>
  <c r="L163" i="4"/>
  <c r="M163" i="4" s="1" a="1"/>
  <c r="M163" i="4" s="1"/>
  <c r="L164" i="4"/>
  <c r="M164" i="4" s="1" a="1"/>
  <c r="M164" i="4" s="1"/>
  <c r="L165" i="4"/>
  <c r="M165" i="4" s="1" a="1"/>
  <c r="M165" i="4" s="1"/>
  <c r="L166" i="4"/>
  <c r="M166" i="4" s="1" a="1"/>
  <c r="M166" i="4" s="1"/>
  <c r="L167" i="4"/>
  <c r="M167" i="4" s="1" a="1"/>
  <c r="M167" i="4" s="1"/>
  <c r="L168" i="4"/>
  <c r="M168" i="4" s="1" a="1"/>
  <c r="M168" i="4" s="1"/>
  <c r="L169" i="4"/>
  <c r="M169" i="4" s="1" a="1"/>
  <c r="M169" i="4" s="1"/>
  <c r="L170" i="4"/>
  <c r="M170" i="4" s="1" a="1"/>
  <c r="M170" i="4" s="1"/>
  <c r="L171" i="4"/>
  <c r="M171" i="4" s="1" a="1"/>
  <c r="M171" i="4" s="1"/>
  <c r="L172" i="4"/>
  <c r="M172" i="4" s="1" a="1"/>
  <c r="M172" i="4" s="1"/>
  <c r="L173" i="4"/>
  <c r="M173" i="4" s="1" a="1"/>
  <c r="M173" i="4" s="1"/>
  <c r="L174" i="4"/>
  <c r="M174" i="4" s="1" a="1"/>
  <c r="M174" i="4" s="1"/>
  <c r="L175" i="4"/>
  <c r="M175" i="4" s="1" a="1"/>
  <c r="M175" i="4" s="1"/>
  <c r="L176" i="4"/>
  <c r="M176" i="4" s="1" a="1"/>
  <c r="M176" i="4" s="1"/>
  <c r="L177" i="4"/>
  <c r="M177" i="4" s="1" a="1"/>
  <c r="M177" i="4" s="1"/>
  <c r="L178" i="4"/>
  <c r="M178" i="4" s="1" a="1"/>
  <c r="M178" i="4" s="1"/>
  <c r="L179" i="4"/>
  <c r="M179" i="4" s="1" a="1"/>
  <c r="M179" i="4" s="1"/>
  <c r="L180" i="4"/>
  <c r="M180" i="4" s="1" a="1"/>
  <c r="M180" i="4" s="1"/>
  <c r="L181" i="4"/>
  <c r="M181" i="4" s="1" a="1"/>
  <c r="M181" i="4" s="1"/>
  <c r="L182" i="4"/>
  <c r="M182" i="4" s="1" a="1"/>
  <c r="M182" i="4" s="1"/>
  <c r="L183" i="4"/>
  <c r="M183" i="4" s="1" a="1"/>
  <c r="M183" i="4" s="1"/>
  <c r="L184" i="4"/>
  <c r="M184" i="4" s="1" a="1"/>
  <c r="M184" i="4" s="1"/>
  <c r="L185" i="4"/>
  <c r="M185" i="4" s="1" a="1"/>
  <c r="M185" i="4" s="1"/>
  <c r="L186" i="4"/>
  <c r="M186" i="4" s="1" a="1"/>
  <c r="M186" i="4" s="1"/>
  <c r="L187" i="4"/>
  <c r="M187" i="4" s="1" a="1"/>
  <c r="M187" i="4" s="1"/>
  <c r="L188" i="4"/>
  <c r="M188" i="4" s="1" a="1"/>
  <c r="M188" i="4" s="1"/>
  <c r="L189" i="4"/>
  <c r="M189" i="4" s="1" a="1"/>
  <c r="M189" i="4" s="1"/>
  <c r="L190" i="4"/>
  <c r="M190" i="4" s="1" a="1"/>
  <c r="M190" i="4" s="1"/>
  <c r="L191" i="4"/>
  <c r="M191" i="4" s="1" a="1"/>
  <c r="M191" i="4" s="1"/>
  <c r="L192" i="4"/>
  <c r="M192" i="4" s="1" a="1"/>
  <c r="M192" i="4" s="1"/>
  <c r="L193" i="4"/>
  <c r="M193" i="4" s="1" a="1"/>
  <c r="M193" i="4" s="1"/>
  <c r="L194" i="4"/>
  <c r="M194" i="4" s="1" a="1"/>
  <c r="M194" i="4" s="1"/>
  <c r="L195" i="4"/>
  <c r="M195" i="4" s="1" a="1"/>
  <c r="M195" i="4" s="1"/>
  <c r="L196" i="4"/>
  <c r="M196" i="4" s="1" a="1"/>
  <c r="M196" i="4" s="1"/>
  <c r="L197" i="4"/>
  <c r="M197" i="4" s="1" a="1"/>
  <c r="M197" i="4" s="1"/>
  <c r="L198" i="4"/>
  <c r="M198" i="4" s="1" a="1"/>
  <c r="M198" i="4" s="1"/>
  <c r="L199" i="4"/>
  <c r="M199" i="4" s="1" a="1"/>
  <c r="M199" i="4" s="1"/>
  <c r="L200" i="4"/>
  <c r="M200" i="4" s="1" a="1"/>
  <c r="M200" i="4" s="1"/>
  <c r="L201" i="4"/>
  <c r="M201" i="4" s="1" a="1"/>
  <c r="M201" i="4" s="1"/>
  <c r="L202" i="4"/>
  <c r="M202" i="4" s="1" a="1"/>
  <c r="M202" i="4" s="1"/>
  <c r="L203" i="4"/>
  <c r="M203" i="4" s="1" a="1"/>
  <c r="M203" i="4" s="1"/>
  <c r="L204" i="4"/>
  <c r="M204" i="4" s="1" a="1"/>
  <c r="M204" i="4" s="1"/>
  <c r="L205" i="4"/>
  <c r="M205" i="4" s="1" a="1"/>
  <c r="M205" i="4" s="1"/>
  <c r="L206" i="4"/>
  <c r="M206" i="4" s="1" a="1"/>
  <c r="M206" i="4" s="1"/>
  <c r="L207" i="4"/>
  <c r="M207" i="4" s="1" a="1"/>
  <c r="M207" i="4" s="1"/>
  <c r="L208" i="4"/>
  <c r="M208" i="4" s="1" a="1"/>
  <c r="M208" i="4" s="1"/>
  <c r="L209" i="4"/>
  <c r="M209" i="4" s="1" a="1"/>
  <c r="M209" i="4" s="1"/>
  <c r="L210" i="4"/>
  <c r="M210" i="4" s="1" a="1"/>
  <c r="M210" i="4" s="1"/>
  <c r="L211" i="4"/>
  <c r="M211" i="4" s="1" a="1"/>
  <c r="M211" i="4" s="1"/>
  <c r="L212" i="4"/>
  <c r="M212" i="4" s="1" a="1"/>
  <c r="M212" i="4" s="1"/>
  <c r="L213" i="4"/>
  <c r="M213" i="4" s="1" a="1"/>
  <c r="M213" i="4" s="1"/>
  <c r="L214" i="4"/>
  <c r="M214" i="4" s="1" a="1"/>
  <c r="M214" i="4" s="1"/>
  <c r="L215" i="4"/>
  <c r="M215" i="4" s="1" a="1"/>
  <c r="M215" i="4" s="1"/>
  <c r="L216" i="4"/>
  <c r="M216" i="4" s="1" a="1"/>
  <c r="M216" i="4" s="1"/>
  <c r="L217" i="4"/>
  <c r="M217" i="4" s="1" a="1"/>
  <c r="M217" i="4" s="1"/>
  <c r="L218" i="4"/>
  <c r="M218" i="4" s="1" a="1"/>
  <c r="M218" i="4" s="1"/>
  <c r="L219" i="4"/>
  <c r="M219" i="4" s="1" a="1"/>
  <c r="M219" i="4" s="1"/>
  <c r="L220" i="4"/>
  <c r="M220" i="4" s="1" a="1"/>
  <c r="M220" i="4" s="1"/>
  <c r="L221" i="4"/>
  <c r="M221" i="4" s="1" a="1"/>
  <c r="M221" i="4" s="1"/>
  <c r="L222" i="4"/>
  <c r="M222" i="4" s="1" a="1"/>
  <c r="M222" i="4" s="1"/>
  <c r="L223" i="4"/>
  <c r="M223" i="4" s="1" a="1"/>
  <c r="M223" i="4" s="1"/>
  <c r="L224" i="4"/>
  <c r="M224" i="4" s="1" a="1"/>
  <c r="M224" i="4" s="1"/>
  <c r="L225" i="4"/>
  <c r="M225" i="4" s="1" a="1"/>
  <c r="M225" i="4" s="1"/>
  <c r="L226" i="4"/>
  <c r="M226" i="4" s="1" a="1"/>
  <c r="M226" i="4" s="1"/>
  <c r="L227" i="4"/>
  <c r="M227" i="4" s="1" a="1"/>
  <c r="M227" i="4" s="1"/>
  <c r="L228" i="4"/>
  <c r="M228" i="4" s="1" a="1"/>
  <c r="M228" i="4" s="1"/>
  <c r="L229" i="4"/>
  <c r="M229" i="4" s="1" a="1"/>
  <c r="M229" i="4" s="1"/>
  <c r="L230" i="4"/>
  <c r="M230" i="4" s="1" a="1"/>
  <c r="M230" i="4" s="1"/>
  <c r="L231" i="4"/>
  <c r="M231" i="4" s="1" a="1"/>
  <c r="M231" i="4" s="1"/>
  <c r="L232" i="4"/>
  <c r="M232" i="4" s="1" a="1"/>
  <c r="M232" i="4" s="1"/>
  <c r="L233" i="4"/>
  <c r="M233" i="4" s="1" a="1"/>
  <c r="M233" i="4" s="1"/>
  <c r="L234" i="4"/>
  <c r="M234" i="4" s="1" a="1"/>
  <c r="M234" i="4" s="1"/>
  <c r="L235" i="4"/>
  <c r="M235" i="4" s="1" a="1"/>
  <c r="M235" i="4" s="1"/>
  <c r="L236" i="4"/>
  <c r="M236" i="4" s="1" a="1"/>
  <c r="M236" i="4" s="1"/>
  <c r="L237" i="4"/>
  <c r="M237" i="4" s="1" a="1"/>
  <c r="M237" i="4" s="1"/>
  <c r="L238" i="4"/>
  <c r="M238" i="4" s="1" a="1"/>
  <c r="M238" i="4" s="1"/>
  <c r="L239" i="4"/>
  <c r="M239" i="4" s="1" a="1"/>
  <c r="M239" i="4" s="1"/>
  <c r="L240" i="4"/>
  <c r="M240" i="4" s="1" a="1"/>
  <c r="M240" i="4" s="1"/>
  <c r="L241" i="4"/>
  <c r="M241" i="4" s="1" a="1"/>
  <c r="M241" i="4" s="1"/>
  <c r="L242" i="4"/>
  <c r="M242" i="4" s="1" a="1"/>
  <c r="M242" i="4" s="1"/>
  <c r="L243" i="4"/>
  <c r="M243" i="4" s="1" a="1"/>
  <c r="M243" i="4" s="1"/>
  <c r="L244" i="4"/>
  <c r="M244" i="4" s="1" a="1"/>
  <c r="M244" i="4" s="1"/>
  <c r="L245" i="4"/>
  <c r="M245" i="4" s="1" a="1"/>
  <c r="M245" i="4" s="1"/>
  <c r="L246" i="4"/>
  <c r="M246" i="4" s="1" a="1"/>
  <c r="M246" i="4" s="1"/>
  <c r="L247" i="4"/>
  <c r="M247" i="4" s="1" a="1"/>
  <c r="M247" i="4" s="1"/>
  <c r="L248" i="4"/>
  <c r="M248" i="4" s="1" a="1"/>
  <c r="M248" i="4" s="1"/>
  <c r="L249" i="4"/>
  <c r="M249" i="4" s="1" a="1"/>
  <c r="M249" i="4" s="1"/>
  <c r="L250" i="4"/>
  <c r="M250" i="4" s="1" a="1"/>
  <c r="M250" i="4" s="1"/>
  <c r="L251" i="4"/>
  <c r="M251" i="4" s="1" a="1"/>
  <c r="M251" i="4" s="1"/>
  <c r="L252" i="4"/>
  <c r="M252" i="4" s="1" a="1"/>
  <c r="M252" i="4" s="1"/>
  <c r="L253" i="4"/>
  <c r="M253" i="4" s="1" a="1"/>
  <c r="M253" i="4" s="1"/>
  <c r="L254" i="4"/>
  <c r="M254" i="4" s="1" a="1"/>
  <c r="M254" i="4" s="1"/>
  <c r="A1" i="10" a="1"/>
  <c r="AB18" i="10" s="1"/>
  <c r="W253" i="4" a="1"/>
  <c r="W253" i="4" s="1"/>
  <c r="W254" i="4" a="1"/>
  <c r="W254" i="4" s="1"/>
  <c r="W255" i="4" a="1"/>
  <c r="W255" i="4" s="1"/>
  <c r="W256" i="4" a="1"/>
  <c r="W256" i="4" s="1"/>
  <c r="W257" i="4" a="1"/>
  <c r="W257" i="4" s="1"/>
  <c r="W258" i="4" a="1"/>
  <c r="W258" i="4" s="1"/>
  <c r="W259" i="4" a="1"/>
  <c r="W259" i="4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l="1"/>
  <c r="R2" i="6"/>
  <c r="D2" i="6"/>
  <c r="C2" i="6"/>
  <c r="Q486" i="4"/>
  <c r="Q480" i="4"/>
  <c r="Q474" i="4"/>
  <c r="Q468" i="4"/>
  <c r="Q462" i="4"/>
  <c r="Q456" i="4"/>
  <c r="Q450" i="4"/>
  <c r="Q444" i="4"/>
  <c r="Q438" i="4"/>
  <c r="Q432" i="4"/>
  <c r="Q426" i="4"/>
  <c r="Q420" i="4"/>
  <c r="Q414" i="4"/>
  <c r="Q408" i="4"/>
  <c r="Q402" i="4"/>
  <c r="Q396" i="4"/>
  <c r="Q390" i="4"/>
  <c r="Q384" i="4"/>
  <c r="Q378" i="4"/>
  <c r="Q372" i="4"/>
  <c r="Q366" i="4"/>
  <c r="Q360" i="4"/>
  <c r="Q354" i="4"/>
  <c r="Q348" i="4"/>
  <c r="Q342" i="4"/>
  <c r="Q336" i="4"/>
  <c r="Q330" i="4"/>
  <c r="Q324" i="4"/>
  <c r="Q318" i="4"/>
  <c r="Q312" i="4"/>
  <c r="Q306" i="4"/>
  <c r="Q300" i="4"/>
  <c r="Q294" i="4"/>
  <c r="Q288" i="4"/>
  <c r="Q282" i="4"/>
  <c r="Q276" i="4"/>
  <c r="Q270" i="4"/>
  <c r="Q264" i="4"/>
  <c r="Q258" i="4"/>
  <c r="Q252" i="4"/>
  <c r="Q246" i="4"/>
  <c r="Q240" i="4"/>
  <c r="Q234" i="4"/>
  <c r="Q228" i="4"/>
  <c r="Q222" i="4"/>
  <c r="Q216" i="4"/>
  <c r="Q210" i="4"/>
  <c r="Q204" i="4"/>
  <c r="Q198" i="4"/>
  <c r="Q192" i="4"/>
  <c r="Q186" i="4"/>
  <c r="Q180" i="4"/>
  <c r="Q174" i="4"/>
  <c r="Q168" i="4"/>
  <c r="Q162" i="4"/>
  <c r="AB84" i="6"/>
  <c r="S171" i="6"/>
  <c r="AB103" i="6"/>
  <c r="AB94" i="6"/>
  <c r="AB79" i="6"/>
  <c r="AB78" i="6"/>
  <c r="AB70" i="6"/>
  <c r="AB57" i="6"/>
  <c r="AB51" i="6"/>
  <c r="S142" i="6"/>
  <c r="S100" i="6"/>
  <c r="S99" i="6"/>
  <c r="AB90" i="6"/>
  <c r="AB88" i="6"/>
  <c r="AB65" i="6"/>
  <c r="AB59" i="6"/>
  <c r="AB53" i="6"/>
  <c r="S50" i="6"/>
  <c r="AB383" i="6"/>
  <c r="S382" i="6"/>
  <c r="AB306" i="6"/>
  <c r="AB292" i="6"/>
  <c r="S279" i="6"/>
  <c r="AB274" i="6"/>
  <c r="S259" i="6"/>
  <c r="S238" i="6"/>
  <c r="AB380" i="6"/>
  <c r="S375" i="6"/>
  <c r="S321" i="6"/>
  <c r="S204" i="6"/>
  <c r="S202" i="6"/>
  <c r="S384" i="6"/>
  <c r="AB282" i="6"/>
  <c r="S208" i="6"/>
  <c r="AB356" i="6"/>
  <c r="AB341" i="6"/>
  <c r="S228" i="6"/>
  <c r="S166" i="6"/>
  <c r="H386" i="6"/>
  <c r="AB349" i="6"/>
  <c r="AB337" i="6"/>
  <c r="AB307" i="6"/>
  <c r="I261" i="6"/>
  <c r="S243" i="6"/>
  <c r="J239" i="6"/>
  <c r="S226" i="6"/>
  <c r="AB138" i="6"/>
  <c r="I135" i="6"/>
  <c r="AB130" i="6"/>
  <c r="I123" i="6"/>
  <c r="AB114" i="6"/>
  <c r="AB61" i="6"/>
  <c r="J342" i="6"/>
  <c r="H342" i="6"/>
  <c r="I342" i="6"/>
  <c r="J326" i="6"/>
  <c r="H326" i="6"/>
  <c r="I298" i="6"/>
  <c r="J298" i="6"/>
  <c r="I209" i="6"/>
  <c r="J209" i="6"/>
  <c r="J204" i="6"/>
  <c r="I204" i="6"/>
  <c r="J148" i="6"/>
  <c r="H148" i="6"/>
  <c r="H155" i="6"/>
  <c r="S136" i="6"/>
  <c r="AB129" i="6"/>
  <c r="S120" i="6"/>
  <c r="AB108" i="6"/>
  <c r="AB96" i="6"/>
  <c r="S91" i="6"/>
  <c r="AB68" i="6"/>
  <c r="E60" i="6"/>
  <c r="S193" i="6"/>
  <c r="S184" i="6"/>
  <c r="AB386" i="6"/>
  <c r="S381" i="6"/>
  <c r="AB377" i="6"/>
  <c r="AB322" i="6"/>
  <c r="AB316" i="6"/>
  <c r="AB298" i="6"/>
  <c r="S283" i="6"/>
  <c r="AB280" i="6"/>
  <c r="AB279" i="6"/>
  <c r="AB250" i="6"/>
  <c r="S223" i="6"/>
  <c r="S201" i="6"/>
  <c r="S380" i="6"/>
  <c r="AB368" i="6"/>
  <c r="AB359" i="6"/>
  <c r="S355" i="6"/>
  <c r="AB350" i="6"/>
  <c r="S318" i="6"/>
  <c r="AB256" i="6"/>
  <c r="AB254" i="6"/>
  <c r="AB246" i="6"/>
  <c r="AB381" i="6"/>
  <c r="AB374" i="6"/>
  <c r="S345" i="6"/>
  <c r="AB343" i="6"/>
  <c r="AB340" i="6"/>
  <c r="AB325" i="6"/>
  <c r="AB319" i="6"/>
  <c r="AB313" i="6"/>
  <c r="AB312" i="6"/>
  <c r="AB310" i="6"/>
  <c r="AB283" i="6"/>
  <c r="AB270" i="6"/>
  <c r="AB268" i="6"/>
  <c r="S255" i="6"/>
  <c r="AB244" i="6"/>
  <c r="AB242" i="6"/>
  <c r="AB232" i="6"/>
  <c r="AB223" i="6"/>
  <c r="S154" i="6"/>
  <c r="J117" i="6"/>
  <c r="S71" i="6"/>
  <c r="S62" i="6"/>
  <c r="S53" i="6"/>
  <c r="S49" i="6"/>
  <c r="AB139" i="6"/>
  <c r="S127" i="6"/>
  <c r="S124" i="6"/>
  <c r="S121" i="6"/>
  <c r="S118" i="6"/>
  <c r="H117" i="6"/>
  <c r="S108" i="6"/>
  <c r="AB99" i="6"/>
  <c r="S65" i="6"/>
  <c r="S55" i="6"/>
  <c r="AB52" i="6"/>
  <c r="S106" i="6"/>
  <c r="S94" i="6"/>
  <c r="S87" i="6"/>
  <c r="AB66" i="6"/>
  <c r="AB62" i="6"/>
  <c r="AB54" i="6"/>
  <c r="J171" i="6"/>
  <c r="S165" i="6"/>
  <c r="I157" i="6"/>
  <c r="I134" i="6"/>
  <c r="AB127" i="6"/>
  <c r="AB121" i="6"/>
  <c r="AB120" i="6"/>
  <c r="AB118" i="6"/>
  <c r="AB117" i="6"/>
  <c r="S112" i="6"/>
  <c r="AB91" i="6"/>
  <c r="AB85" i="6"/>
  <c r="AB81" i="6"/>
  <c r="S78" i="6"/>
  <c r="S76" i="6"/>
  <c r="AB67" i="6"/>
  <c r="J60" i="6"/>
  <c r="S372" i="6"/>
  <c r="S328" i="6"/>
  <c r="S325" i="6"/>
  <c r="S316" i="6"/>
  <c r="S378" i="6"/>
  <c r="S331" i="6"/>
  <c r="J302" i="6"/>
  <c r="H302" i="6"/>
  <c r="E367" i="6"/>
  <c r="H367" i="6"/>
  <c r="S280" i="6"/>
  <c r="AB357" i="6"/>
  <c r="S357" i="6"/>
  <c r="S346" i="6"/>
  <c r="J295" i="6"/>
  <c r="H295" i="6"/>
  <c r="H381" i="6"/>
  <c r="J381" i="6"/>
  <c r="I374" i="6"/>
  <c r="S373" i="6"/>
  <c r="AB372" i="6"/>
  <c r="AB339" i="6"/>
  <c r="S339" i="6"/>
  <c r="AB267" i="6"/>
  <c r="S267" i="6"/>
  <c r="S387" i="6"/>
  <c r="S386" i="6"/>
  <c r="S374" i="6"/>
  <c r="S367" i="6"/>
  <c r="S365" i="6"/>
  <c r="S364" i="6"/>
  <c r="H293" i="6"/>
  <c r="J293" i="6"/>
  <c r="AB291" i="6"/>
  <c r="S291" i="6"/>
  <c r="AB290" i="6"/>
  <c r="S220" i="6"/>
  <c r="E190" i="6"/>
  <c r="H190" i="6"/>
  <c r="H178" i="6"/>
  <c r="I178" i="6"/>
  <c r="S172" i="6"/>
  <c r="S333" i="6"/>
  <c r="H307" i="6"/>
  <c r="AB303" i="6"/>
  <c r="S271" i="6"/>
  <c r="H248" i="6"/>
  <c r="S232" i="6"/>
  <c r="AB228" i="6"/>
  <c r="AB222" i="6"/>
  <c r="S210" i="6"/>
  <c r="AB208" i="6"/>
  <c r="AB178" i="6"/>
  <c r="H166" i="6"/>
  <c r="I166" i="6"/>
  <c r="S148" i="6"/>
  <c r="S337" i="6"/>
  <c r="S336" i="6"/>
  <c r="S335" i="6"/>
  <c r="AB327" i="6"/>
  <c r="AB324" i="6"/>
  <c r="AB318" i="6"/>
  <c r="S310" i="6"/>
  <c r="S385" i="6"/>
  <c r="S383" i="6"/>
  <c r="S376" i="6"/>
  <c r="AB371" i="6"/>
  <c r="S369" i="6"/>
  <c r="S344" i="6"/>
  <c r="S342" i="6"/>
  <c r="S368" i="6"/>
  <c r="S366" i="6"/>
  <c r="AB365" i="6"/>
  <c r="AB358" i="6"/>
  <c r="AB348" i="6"/>
  <c r="S307" i="6"/>
  <c r="AB295" i="6"/>
  <c r="I262" i="6"/>
  <c r="H257" i="6"/>
  <c r="S244" i="6"/>
  <c r="S235" i="6"/>
  <c r="E225" i="6"/>
  <c r="H225" i="6"/>
  <c r="S222" i="6"/>
  <c r="AB220" i="6"/>
  <c r="E216" i="6"/>
  <c r="I216" i="6"/>
  <c r="AB204" i="6"/>
  <c r="S195" i="6"/>
  <c r="AB192" i="6"/>
  <c r="S190" i="6"/>
  <c r="AB174" i="6"/>
  <c r="AB172" i="6"/>
  <c r="S169" i="6"/>
  <c r="S229" i="6"/>
  <c r="J201" i="6"/>
  <c r="H201" i="6"/>
  <c r="S192" i="6"/>
  <c r="AB177" i="6"/>
  <c r="S177" i="6"/>
  <c r="I159" i="6"/>
  <c r="J159" i="6"/>
  <c r="S371" i="6"/>
  <c r="S363" i="6"/>
  <c r="S362" i="6"/>
  <c r="AB361" i="6"/>
  <c r="S360" i="6"/>
  <c r="J328" i="6"/>
  <c r="S327" i="6"/>
  <c r="H259" i="6"/>
  <c r="AB238" i="6"/>
  <c r="I228" i="6"/>
  <c r="H228" i="6"/>
  <c r="S214" i="6"/>
  <c r="S205" i="6"/>
  <c r="I198" i="6"/>
  <c r="AB195" i="6"/>
  <c r="H193" i="6"/>
  <c r="S180" i="6"/>
  <c r="I180" i="6"/>
  <c r="AB169" i="6"/>
  <c r="J272" i="6"/>
  <c r="H272" i="6"/>
  <c r="H249" i="6"/>
  <c r="H242" i="6"/>
  <c r="S237" i="6"/>
  <c r="AB229" i="6"/>
  <c r="H221" i="6"/>
  <c r="I221" i="6"/>
  <c r="E205" i="6"/>
  <c r="J205" i="6"/>
  <c r="E186" i="6"/>
  <c r="I186" i="6"/>
  <c r="S178" i="6"/>
  <c r="J178" i="6"/>
  <c r="S157" i="6"/>
  <c r="S151" i="6"/>
  <c r="AB201" i="6"/>
  <c r="AB196" i="6"/>
  <c r="AB163" i="6"/>
  <c r="J155" i="6"/>
  <c r="AB148" i="6"/>
  <c r="AB141" i="6"/>
  <c r="S132" i="6"/>
  <c r="AB124" i="6"/>
  <c r="AB123" i="6"/>
  <c r="H122" i="6"/>
  <c r="E120" i="6"/>
  <c r="E117" i="6"/>
  <c r="AB112" i="6"/>
  <c r="S102" i="6"/>
  <c r="S73" i="6"/>
  <c r="S61" i="6"/>
  <c r="S57" i="6"/>
  <c r="S51" i="6"/>
  <c r="S144" i="6"/>
  <c r="S105" i="6"/>
  <c r="S84" i="6"/>
  <c r="S79" i="6"/>
  <c r="S64" i="6"/>
  <c r="S63" i="6"/>
  <c r="AB156" i="6"/>
  <c r="AB151" i="6"/>
  <c r="AB136" i="6"/>
  <c r="AB133" i="6"/>
  <c r="S130" i="6"/>
  <c r="S129" i="6"/>
  <c r="AB106" i="6"/>
  <c r="S103" i="6"/>
  <c r="S82" i="6"/>
  <c r="S81" i="6"/>
  <c r="AB71" i="6"/>
  <c r="S68" i="6"/>
  <c r="S67" i="6"/>
  <c r="S60" i="6"/>
  <c r="S52" i="6"/>
  <c r="S48" i="6"/>
  <c r="S138" i="6"/>
  <c r="AB135" i="6"/>
  <c r="AB132" i="6"/>
  <c r="AB105" i="6"/>
  <c r="S90" i="6"/>
  <c r="AB87" i="6"/>
  <c r="J74" i="6"/>
  <c r="S58" i="6"/>
  <c r="S54" i="6"/>
  <c r="S354" i="6"/>
  <c r="S353" i="6"/>
  <c r="AB352" i="6"/>
  <c r="S351" i="6"/>
  <c r="AB346" i="6"/>
  <c r="AB321" i="6"/>
  <c r="S319" i="6"/>
  <c r="AB315" i="6"/>
  <c r="S313" i="6"/>
  <c r="AB259" i="6"/>
  <c r="AB255" i="6"/>
  <c r="S247" i="6"/>
  <c r="AB243" i="6"/>
  <c r="AB226" i="6"/>
  <c r="AB225" i="6"/>
  <c r="AB202" i="6"/>
  <c r="AB199" i="6"/>
  <c r="S196" i="6"/>
  <c r="AB193" i="6"/>
  <c r="AB184" i="6"/>
  <c r="S174" i="6"/>
  <c r="S163" i="6"/>
  <c r="S141" i="6"/>
  <c r="S160" i="6"/>
  <c r="S139" i="6"/>
  <c r="S88" i="6"/>
  <c r="S70" i="6"/>
  <c r="AB64" i="6"/>
  <c r="H204" i="6"/>
  <c r="E193" i="6"/>
  <c r="H180" i="6"/>
  <c r="H175" i="6"/>
  <c r="H159" i="6"/>
  <c r="H157" i="6"/>
  <c r="J135" i="6"/>
  <c r="J134" i="6"/>
  <c r="I119" i="6"/>
  <c r="E104" i="6"/>
  <c r="E88" i="6"/>
  <c r="I72" i="6"/>
  <c r="E188" i="6"/>
  <c r="I265" i="6"/>
  <c r="I224" i="6"/>
  <c r="I218" i="6"/>
  <c r="J349" i="6"/>
  <c r="H322" i="6"/>
  <c r="J319" i="6"/>
  <c r="J289" i="6"/>
  <c r="H265" i="6"/>
  <c r="J237" i="6"/>
  <c r="I232" i="6"/>
  <c r="I229" i="6"/>
  <c r="H224" i="6"/>
  <c r="H218" i="6"/>
  <c r="I212" i="6"/>
  <c r="H200" i="6"/>
  <c r="H185" i="6"/>
  <c r="J177" i="6"/>
  <c r="H164" i="6"/>
  <c r="I386" i="6"/>
  <c r="I383" i="6"/>
  <c r="I380" i="6"/>
  <c r="I375" i="6"/>
  <c r="J371" i="6"/>
  <c r="H361" i="6"/>
  <c r="I351" i="6"/>
  <c r="I349" i="6"/>
  <c r="I319" i="6"/>
  <c r="J296" i="6"/>
  <c r="H283" i="6"/>
  <c r="H269" i="6"/>
  <c r="J260" i="6"/>
  <c r="H241" i="6"/>
  <c r="H232" i="6"/>
  <c r="H229" i="6"/>
  <c r="H220" i="6"/>
  <c r="J191" i="6"/>
  <c r="J188" i="6"/>
  <c r="H179" i="6"/>
  <c r="H177" i="6"/>
  <c r="I158" i="6"/>
  <c r="E157" i="6"/>
  <c r="H135" i="6"/>
  <c r="H134" i="6"/>
  <c r="I85" i="6"/>
  <c r="E72" i="6"/>
  <c r="I181" i="6"/>
  <c r="I176" i="6"/>
  <c r="J112" i="6"/>
  <c r="I104" i="6"/>
  <c r="H93" i="6"/>
  <c r="J88" i="6"/>
  <c r="E85" i="6"/>
  <c r="E75" i="6"/>
  <c r="J152" i="6"/>
  <c r="H146" i="6"/>
  <c r="J141" i="6"/>
  <c r="J123" i="6"/>
  <c r="J119" i="6"/>
  <c r="H116" i="6"/>
  <c r="H112" i="6"/>
  <c r="H98" i="6"/>
  <c r="I82" i="6"/>
  <c r="J68" i="6"/>
  <c r="J54" i="6"/>
  <c r="E226" i="6"/>
  <c r="E210" i="6"/>
  <c r="E220" i="6"/>
  <c r="J304" i="6"/>
  <c r="J280" i="6"/>
  <c r="J226" i="6"/>
  <c r="J217" i="6"/>
  <c r="E204" i="6"/>
  <c r="J377" i="6"/>
  <c r="J333" i="6"/>
  <c r="J322" i="6"/>
  <c r="J316" i="6"/>
  <c r="J313" i="6"/>
  <c r="J307" i="6"/>
  <c r="J305" i="6"/>
  <c r="I304" i="6"/>
  <c r="I280" i="6"/>
  <c r="J278" i="6"/>
  <c r="I256" i="6"/>
  <c r="I226" i="6"/>
  <c r="J222" i="6"/>
  <c r="J220" i="6"/>
  <c r="I217" i="6"/>
  <c r="I203" i="6"/>
  <c r="J197" i="6"/>
  <c r="E177" i="6"/>
  <c r="E159" i="6"/>
  <c r="I152" i="6"/>
  <c r="I377" i="6"/>
  <c r="I333" i="6"/>
  <c r="I331" i="6"/>
  <c r="I322" i="6"/>
  <c r="I307" i="6"/>
  <c r="H304" i="6"/>
  <c r="H281" i="6"/>
  <c r="H280" i="6"/>
  <c r="J265" i="6"/>
  <c r="J259" i="6"/>
  <c r="H256" i="6"/>
  <c r="J250" i="6"/>
  <c r="J235" i="6"/>
  <c r="J228" i="6"/>
  <c r="H222" i="6"/>
  <c r="J218" i="6"/>
  <c r="H217" i="6"/>
  <c r="H203" i="6"/>
  <c r="J200" i="6"/>
  <c r="J193" i="6"/>
  <c r="E178" i="6"/>
  <c r="J176" i="6"/>
  <c r="H173" i="6"/>
  <c r="J170" i="6"/>
  <c r="H152" i="6"/>
  <c r="E141" i="6"/>
  <c r="I136" i="6"/>
  <c r="H128" i="6"/>
  <c r="H123" i="6"/>
  <c r="H119" i="6"/>
  <c r="E112" i="6"/>
  <c r="I111" i="6"/>
  <c r="E82" i="6"/>
  <c r="H187" i="6"/>
  <c r="H176" i="6"/>
  <c r="I167" i="6"/>
  <c r="I151" i="6"/>
  <c r="I143" i="6"/>
  <c r="E136" i="6"/>
  <c r="H132" i="6"/>
  <c r="E111" i="6"/>
  <c r="I51" i="6"/>
  <c r="E297" i="6"/>
  <c r="I297" i="6"/>
  <c r="J165" i="6"/>
  <c r="I165" i="6"/>
  <c r="E133" i="6"/>
  <c r="H133" i="6"/>
  <c r="I133" i="6"/>
  <c r="I105" i="6"/>
  <c r="E105" i="6"/>
  <c r="H105" i="6"/>
  <c r="E343" i="6"/>
  <c r="E231" i="6"/>
  <c r="E230" i="6"/>
  <c r="E223" i="6"/>
  <c r="E207" i="6"/>
  <c r="E202" i="6"/>
  <c r="I137" i="6"/>
  <c r="H137" i="6"/>
  <c r="E124" i="6"/>
  <c r="H124" i="6"/>
  <c r="I124" i="6"/>
  <c r="E369" i="6"/>
  <c r="E337" i="6"/>
  <c r="E313" i="6"/>
  <c r="I313" i="6"/>
  <c r="E289" i="6"/>
  <c r="H289" i="6"/>
  <c r="E234" i="6"/>
  <c r="E187" i="6"/>
  <c r="E179" i="6"/>
  <c r="E175" i="6"/>
  <c r="J150" i="6"/>
  <c r="I150" i="6"/>
  <c r="E118" i="6"/>
  <c r="H118" i="6"/>
  <c r="I118" i="6"/>
  <c r="J352" i="6"/>
  <c r="E228" i="6"/>
  <c r="E224" i="6"/>
  <c r="E200" i="6"/>
  <c r="J369" i="6"/>
  <c r="J367" i="6"/>
  <c r="J364" i="6"/>
  <c r="E361" i="6"/>
  <c r="I352" i="6"/>
  <c r="J343" i="6"/>
  <c r="J337" i="6"/>
  <c r="J325" i="6"/>
  <c r="J297" i="6"/>
  <c r="H233" i="6"/>
  <c r="I233" i="6"/>
  <c r="I231" i="6"/>
  <c r="I230" i="6"/>
  <c r="J227" i="6"/>
  <c r="I223" i="6"/>
  <c r="I219" i="6"/>
  <c r="E212" i="6"/>
  <c r="H211" i="6"/>
  <c r="E211" i="6"/>
  <c r="I202" i="6"/>
  <c r="J199" i="6"/>
  <c r="E183" i="6"/>
  <c r="E180" i="6"/>
  <c r="J175" i="6"/>
  <c r="J164" i="6"/>
  <c r="E164" i="6"/>
  <c r="H139" i="6"/>
  <c r="E139" i="6"/>
  <c r="I139" i="6"/>
  <c r="I121" i="6"/>
  <c r="E121" i="6"/>
  <c r="H121" i="6"/>
  <c r="H107" i="6"/>
  <c r="J107" i="6"/>
  <c r="E107" i="6"/>
  <c r="I107" i="6"/>
  <c r="E310" i="6"/>
  <c r="H310" i="6"/>
  <c r="I238" i="6"/>
  <c r="H238" i="6"/>
  <c r="E238" i="6"/>
  <c r="E227" i="6"/>
  <c r="E199" i="6"/>
  <c r="E194" i="6"/>
  <c r="J167" i="6"/>
  <c r="H167" i="6"/>
  <c r="E165" i="6"/>
  <c r="J156" i="6"/>
  <c r="E156" i="6"/>
  <c r="E384" i="6"/>
  <c r="E366" i="6"/>
  <c r="E353" i="6"/>
  <c r="E345" i="6"/>
  <c r="E196" i="6"/>
  <c r="J184" i="6"/>
  <c r="I184" i="6"/>
  <c r="H160" i="6"/>
  <c r="J160" i="6"/>
  <c r="E137" i="6"/>
  <c r="H131" i="6"/>
  <c r="I131" i="6"/>
  <c r="E113" i="6"/>
  <c r="I113" i="6"/>
  <c r="H113" i="6"/>
  <c r="J231" i="6"/>
  <c r="J230" i="6"/>
  <c r="E221" i="6"/>
  <c r="J219" i="6"/>
  <c r="J202" i="6"/>
  <c r="E191" i="6"/>
  <c r="J186" i="6"/>
  <c r="H186" i="6"/>
  <c r="E184" i="6"/>
  <c r="E171" i="6"/>
  <c r="I171" i="6"/>
  <c r="E160" i="6"/>
  <c r="E150" i="6"/>
  <c r="J147" i="6"/>
  <c r="I147" i="6"/>
  <c r="J143" i="6"/>
  <c r="H143" i="6"/>
  <c r="J375" i="6"/>
  <c r="I367" i="6"/>
  <c r="I364" i="6"/>
  <c r="I358" i="6"/>
  <c r="H352" i="6"/>
  <c r="I346" i="6"/>
  <c r="I343" i="6"/>
  <c r="E334" i="6"/>
  <c r="E333" i="6"/>
  <c r="I310" i="6"/>
  <c r="H297" i="6"/>
  <c r="J268" i="6"/>
  <c r="E262" i="6"/>
  <c r="H262" i="6"/>
  <c r="J256" i="6"/>
  <c r="J254" i="6"/>
  <c r="J249" i="6"/>
  <c r="J238" i="6"/>
  <c r="I236" i="6"/>
  <c r="H236" i="6"/>
  <c r="E233" i="6"/>
  <c r="J232" i="6"/>
  <c r="E229" i="6"/>
  <c r="I227" i="6"/>
  <c r="H223" i="6"/>
  <c r="E222" i="6"/>
  <c r="H219" i="6"/>
  <c r="H210" i="6"/>
  <c r="J210" i="6"/>
  <c r="J207" i="6"/>
  <c r="J203" i="6"/>
  <c r="E201" i="6"/>
  <c r="I199" i="6"/>
  <c r="E197" i="6"/>
  <c r="H197" i="6"/>
  <c r="J196" i="6"/>
  <c r="J194" i="6"/>
  <c r="I190" i="6"/>
  <c r="J190" i="6"/>
  <c r="J187" i="6"/>
  <c r="J179" i="6"/>
  <c r="J172" i="6"/>
  <c r="E163" i="6"/>
  <c r="J162" i="6"/>
  <c r="E158" i="6"/>
  <c r="H158" i="6"/>
  <c r="I156" i="6"/>
  <c r="E155" i="6"/>
  <c r="J149" i="6"/>
  <c r="E149" i="6"/>
  <c r="H149" i="6"/>
  <c r="J146" i="6"/>
  <c r="I146" i="6"/>
  <c r="I142" i="6"/>
  <c r="J138" i="6"/>
  <c r="E138" i="6"/>
  <c r="I138" i="6"/>
  <c r="J133" i="6"/>
  <c r="H126" i="6"/>
  <c r="E126" i="6"/>
  <c r="I126" i="6"/>
  <c r="I115" i="6"/>
  <c r="E115" i="6"/>
  <c r="H115" i="6"/>
  <c r="H106" i="6"/>
  <c r="J106" i="6"/>
  <c r="J105" i="6"/>
  <c r="I92" i="6"/>
  <c r="E92" i="6"/>
  <c r="H92" i="6"/>
  <c r="I132" i="6"/>
  <c r="I128" i="6"/>
  <c r="I122" i="6"/>
  <c r="I116" i="6"/>
  <c r="H90" i="6"/>
  <c r="I63" i="6"/>
  <c r="I57" i="6"/>
  <c r="J47" i="6"/>
  <c r="E90" i="6"/>
  <c r="J83" i="6"/>
  <c r="E63" i="6"/>
  <c r="J59" i="6"/>
  <c r="J136" i="6"/>
  <c r="E128" i="6"/>
  <c r="E122" i="6"/>
  <c r="J120" i="6"/>
  <c r="E116" i="6"/>
  <c r="J104" i="6"/>
  <c r="H91" i="6"/>
  <c r="J72" i="6"/>
  <c r="J62" i="6"/>
  <c r="I59" i="6"/>
  <c r="J51" i="6"/>
  <c r="H141" i="6"/>
  <c r="J132" i="6"/>
  <c r="H111" i="6"/>
  <c r="J97" i="6"/>
  <c r="E91" i="6"/>
  <c r="I88" i="6"/>
  <c r="H85" i="6"/>
  <c r="H82" i="6"/>
  <c r="J63" i="6"/>
  <c r="I60" i="6"/>
  <c r="J57" i="6"/>
  <c r="I54" i="6"/>
  <c r="B158" i="1"/>
  <c r="B98" i="1"/>
  <c r="D1212" i="1"/>
  <c r="D1188" i="1"/>
  <c r="D1158" i="1"/>
  <c r="D1128" i="1"/>
  <c r="D1110" i="1"/>
  <c r="D1092" i="1"/>
  <c r="D1068" i="1"/>
  <c r="D1044" i="1"/>
  <c r="D1026" i="1"/>
  <c r="D1008" i="1"/>
  <c r="D978" i="1"/>
  <c r="D960" i="1"/>
  <c r="D942" i="1"/>
  <c r="D924" i="1"/>
  <c r="D906" i="1"/>
  <c r="D882" i="1"/>
  <c r="D864" i="1"/>
  <c r="D846" i="1"/>
  <c r="D828" i="1"/>
  <c r="D810" i="1"/>
  <c r="D792" i="1"/>
  <c r="D774" i="1"/>
  <c r="D762" i="1"/>
  <c r="B122" i="1"/>
  <c r="B62" i="1"/>
  <c r="B14" i="1"/>
  <c r="D1218" i="1"/>
  <c r="D1182" i="1"/>
  <c r="D1074" i="1"/>
  <c r="D1226" i="1"/>
  <c r="D1220" i="1"/>
  <c r="D1190" i="1"/>
  <c r="D1184" i="1"/>
  <c r="D1148" i="1"/>
  <c r="D1118" i="1"/>
  <c r="D1112" i="1"/>
  <c r="D1082" i="1"/>
  <c r="D1076" i="1"/>
  <c r="D1046" i="1"/>
  <c r="D1040" i="1"/>
  <c r="D1010" i="1"/>
  <c r="D1004" i="1"/>
  <c r="D974" i="1"/>
  <c r="D968" i="1"/>
  <c r="B146" i="1"/>
  <c r="B26" i="1"/>
  <c r="D1224" i="1"/>
  <c r="D1206" i="1"/>
  <c r="D1170" i="1"/>
  <c r="D1134" i="1"/>
  <c r="D1104" i="1"/>
  <c r="D1050" i="1"/>
  <c r="D1154" i="1"/>
  <c r="B134" i="1"/>
  <c r="B86" i="1"/>
  <c r="B50" i="1"/>
  <c r="D1236" i="1"/>
  <c r="D1194" i="1"/>
  <c r="D1164" i="1"/>
  <c r="D1146" i="1"/>
  <c r="D1122" i="1"/>
  <c r="D1086" i="1"/>
  <c r="D1062" i="1"/>
  <c r="D1038" i="1"/>
  <c r="D1020" i="1"/>
  <c r="D1002" i="1"/>
  <c r="D990" i="1"/>
  <c r="D972" i="1"/>
  <c r="D954" i="1"/>
  <c r="D936" i="1"/>
  <c r="D918" i="1"/>
  <c r="D900" i="1"/>
  <c r="D894" i="1"/>
  <c r="D876" i="1"/>
  <c r="D858" i="1"/>
  <c r="D840" i="1"/>
  <c r="D822" i="1"/>
  <c r="D804" i="1"/>
  <c r="D786" i="1"/>
  <c r="D768" i="1"/>
  <c r="D756" i="1"/>
  <c r="B110" i="1"/>
  <c r="B74" i="1"/>
  <c r="B38" i="1"/>
  <c r="D1230" i="1"/>
  <c r="D1200" i="1"/>
  <c r="D1176" i="1"/>
  <c r="D1152" i="1"/>
  <c r="D1140" i="1"/>
  <c r="D1116" i="1"/>
  <c r="D1098" i="1"/>
  <c r="D1080" i="1"/>
  <c r="D1056" i="1"/>
  <c r="D1032" i="1"/>
  <c r="D1014" i="1"/>
  <c r="D996" i="1"/>
  <c r="D984" i="1"/>
  <c r="D966" i="1"/>
  <c r="D948" i="1"/>
  <c r="D930" i="1"/>
  <c r="D912" i="1"/>
  <c r="D888" i="1"/>
  <c r="D870" i="1"/>
  <c r="D852" i="1"/>
  <c r="D834" i="1"/>
  <c r="D816" i="1"/>
  <c r="D798" i="1"/>
  <c r="D780" i="1"/>
  <c r="B168" i="1"/>
  <c r="B138" i="1"/>
  <c r="B126" i="1"/>
  <c r="B114" i="1"/>
  <c r="B66" i="1"/>
  <c r="B54" i="1"/>
  <c r="B42" i="1"/>
  <c r="D1234" i="1"/>
  <c r="D1228" i="1"/>
  <c r="D1222" i="1"/>
  <c r="D1210" i="1"/>
  <c r="D1204" i="1"/>
  <c r="D1198" i="1"/>
  <c r="D1192" i="1"/>
  <c r="D1186" i="1"/>
  <c r="D1180" i="1"/>
  <c r="D1174" i="1"/>
  <c r="D1168" i="1"/>
  <c r="D1162" i="1"/>
  <c r="D1156" i="1"/>
  <c r="D1150" i="1"/>
  <c r="D1144" i="1"/>
  <c r="D1138" i="1"/>
  <c r="D1132" i="1"/>
  <c r="D1126" i="1"/>
  <c r="D1120" i="1"/>
  <c r="D1114" i="1"/>
  <c r="D1108" i="1"/>
  <c r="D1102" i="1"/>
  <c r="D1096" i="1"/>
  <c r="D1090" i="1"/>
  <c r="D1084" i="1"/>
  <c r="D1078" i="1"/>
  <c r="D1072" i="1"/>
  <c r="D1066" i="1"/>
  <c r="D1060" i="1"/>
  <c r="D1054" i="1"/>
  <c r="D1048" i="1"/>
  <c r="D1042" i="1"/>
  <c r="D1036" i="1"/>
  <c r="D1030" i="1"/>
  <c r="D1024" i="1"/>
  <c r="D1018" i="1"/>
  <c r="D1012" i="1"/>
  <c r="D1006" i="1"/>
  <c r="D1000" i="1"/>
  <c r="D994" i="1"/>
  <c r="D988" i="1"/>
  <c r="D982" i="1"/>
  <c r="D976" i="1"/>
  <c r="D970" i="1"/>
  <c r="D964" i="1"/>
  <c r="D958" i="1"/>
  <c r="D952" i="1"/>
  <c r="D946" i="1"/>
  <c r="D940" i="1"/>
  <c r="D934" i="1"/>
  <c r="D928" i="1"/>
  <c r="D922" i="1"/>
  <c r="D916" i="1"/>
  <c r="D910" i="1"/>
  <c r="D904" i="1"/>
  <c r="D898" i="1"/>
  <c r="D892" i="1"/>
  <c r="D886" i="1"/>
  <c r="D880" i="1"/>
  <c r="D874" i="1"/>
  <c r="D868" i="1"/>
  <c r="D862" i="1"/>
  <c r="D856" i="1"/>
  <c r="D850" i="1"/>
  <c r="D844" i="1"/>
  <c r="D838" i="1"/>
  <c r="D832" i="1"/>
  <c r="D826" i="1"/>
  <c r="D820" i="1"/>
  <c r="D814" i="1"/>
  <c r="D808" i="1"/>
  <c r="D802" i="1"/>
  <c r="D796" i="1"/>
  <c r="D790" i="1"/>
  <c r="D784" i="1"/>
  <c r="D778" i="1"/>
  <c r="D772" i="1"/>
  <c r="D766" i="1"/>
  <c r="D760" i="1"/>
  <c r="B145" i="1"/>
  <c r="B5" i="1"/>
  <c r="B162" i="1"/>
  <c r="B150" i="1"/>
  <c r="B102" i="1"/>
  <c r="B90" i="1"/>
  <c r="B78" i="1"/>
  <c r="B60" i="1"/>
  <c r="B30" i="1"/>
  <c r="B18" i="1"/>
  <c r="D1216" i="1"/>
  <c r="B2" i="1"/>
  <c r="B4" i="1"/>
  <c r="B167" i="1"/>
  <c r="B161" i="1"/>
  <c r="B155" i="1"/>
  <c r="B149" i="1"/>
  <c r="B143" i="1"/>
  <c r="B137" i="1"/>
  <c r="B131" i="1"/>
  <c r="B125" i="1"/>
  <c r="B119" i="1"/>
  <c r="B107" i="1"/>
  <c r="B101" i="1"/>
  <c r="B95" i="1"/>
  <c r="B89" i="1"/>
  <c r="B83" i="1"/>
  <c r="B77" i="1"/>
  <c r="B71" i="1"/>
  <c r="B65" i="1"/>
  <c r="B59" i="1"/>
  <c r="B53" i="1"/>
  <c r="B47" i="1"/>
  <c r="B41" i="1"/>
  <c r="B35" i="1"/>
  <c r="B29" i="1"/>
  <c r="B23" i="1"/>
  <c r="B17" i="1"/>
  <c r="D1233" i="1"/>
  <c r="D1227" i="1"/>
  <c r="D1221" i="1"/>
  <c r="D1215" i="1"/>
  <c r="D1209" i="1"/>
  <c r="D1203" i="1"/>
  <c r="D1197" i="1"/>
  <c r="D1191" i="1"/>
  <c r="D1185" i="1"/>
  <c r="D1179" i="1"/>
  <c r="D1173" i="1"/>
  <c r="D1167" i="1"/>
  <c r="D1161" i="1"/>
  <c r="D1155" i="1"/>
  <c r="D1149" i="1"/>
  <c r="D1143" i="1"/>
  <c r="D1137" i="1"/>
  <c r="D1131" i="1"/>
  <c r="D1125" i="1"/>
  <c r="D1119" i="1"/>
  <c r="D1113" i="1"/>
  <c r="D1107" i="1"/>
  <c r="D1101" i="1"/>
  <c r="D1095" i="1"/>
  <c r="D1089" i="1"/>
  <c r="D1083" i="1"/>
  <c r="D1077" i="1"/>
  <c r="D1071" i="1"/>
  <c r="D1065" i="1"/>
  <c r="D1059" i="1"/>
  <c r="D1053" i="1"/>
  <c r="D1047" i="1"/>
  <c r="D1041" i="1"/>
  <c r="D1035" i="1"/>
  <c r="D1029" i="1"/>
  <c r="D1023" i="1"/>
  <c r="D1017" i="1"/>
  <c r="D1011" i="1"/>
  <c r="D1005" i="1"/>
  <c r="D999" i="1"/>
  <c r="D993" i="1"/>
  <c r="D987" i="1"/>
  <c r="D981" i="1"/>
  <c r="D975" i="1"/>
  <c r="D951" i="1"/>
  <c r="D933" i="1"/>
  <c r="D915" i="1"/>
  <c r="D897" i="1"/>
  <c r="D879" i="1"/>
  <c r="B8" i="1"/>
  <c r="B10" i="1"/>
  <c r="B165" i="1"/>
  <c r="B159" i="1"/>
  <c r="B153" i="1"/>
  <c r="B147" i="1"/>
  <c r="B141" i="1"/>
  <c r="B135" i="1"/>
  <c r="B129" i="1"/>
  <c r="B123" i="1"/>
  <c r="B117" i="1"/>
  <c r="B111" i="1"/>
  <c r="B105" i="1"/>
  <c r="B99" i="1"/>
  <c r="B93" i="1"/>
  <c r="B87" i="1"/>
  <c r="B81" i="1"/>
  <c r="B75" i="1"/>
  <c r="B69" i="1"/>
  <c r="B63" i="1"/>
  <c r="B57" i="1"/>
  <c r="B51" i="1"/>
  <c r="B45" i="1"/>
  <c r="B39" i="1"/>
  <c r="B33" i="1"/>
  <c r="B27" i="1"/>
  <c r="B21" i="1"/>
  <c r="B15" i="1"/>
  <c r="D1237" i="1"/>
  <c r="D1231" i="1"/>
  <c r="D1225" i="1"/>
  <c r="D1219" i="1"/>
  <c r="D1213" i="1"/>
  <c r="D1207" i="1"/>
  <c r="D1201" i="1"/>
  <c r="D1195" i="1"/>
  <c r="D1189" i="1"/>
  <c r="D1183" i="1"/>
  <c r="D1177" i="1"/>
  <c r="D1171" i="1"/>
  <c r="D1165" i="1"/>
  <c r="D1159" i="1"/>
  <c r="D1153" i="1"/>
  <c r="D1147" i="1"/>
  <c r="D1141" i="1"/>
  <c r="D1135" i="1"/>
  <c r="D1129" i="1"/>
  <c r="D1123" i="1"/>
  <c r="D1117" i="1"/>
  <c r="D1111" i="1"/>
  <c r="D1105" i="1"/>
  <c r="D1099" i="1"/>
  <c r="D1093" i="1"/>
  <c r="D1087" i="1"/>
  <c r="D1081" i="1"/>
  <c r="D1075" i="1"/>
  <c r="D1069" i="1"/>
  <c r="D1063" i="1"/>
  <c r="D1057" i="1"/>
  <c r="D1051" i="1"/>
  <c r="D1045" i="1"/>
  <c r="D1039" i="1"/>
  <c r="D1033" i="1"/>
  <c r="D1027" i="1"/>
  <c r="D1021" i="1"/>
  <c r="D1015" i="1"/>
  <c r="D1009" i="1"/>
  <c r="D1003" i="1"/>
  <c r="D997" i="1"/>
  <c r="D991" i="1"/>
  <c r="D985" i="1"/>
  <c r="D979" i="1"/>
  <c r="D973" i="1"/>
  <c r="D967" i="1"/>
  <c r="D961" i="1"/>
  <c r="D955" i="1"/>
  <c r="D949" i="1"/>
  <c r="D943" i="1"/>
  <c r="D937" i="1"/>
  <c r="D931" i="1"/>
  <c r="D925" i="1"/>
  <c r="D919" i="1"/>
  <c r="D913" i="1"/>
  <c r="D907" i="1"/>
  <c r="D901" i="1"/>
  <c r="D895" i="1"/>
  <c r="D889" i="1"/>
  <c r="D883" i="1"/>
  <c r="D877" i="1"/>
  <c r="D871" i="1"/>
  <c r="D865" i="1"/>
  <c r="D859" i="1"/>
  <c r="D853" i="1"/>
  <c r="D847" i="1"/>
  <c r="D841" i="1"/>
  <c r="D835" i="1"/>
  <c r="D829" i="1"/>
  <c r="D823" i="1"/>
  <c r="D817" i="1"/>
  <c r="D811" i="1"/>
  <c r="D805" i="1"/>
  <c r="D799" i="1"/>
  <c r="D793" i="1"/>
  <c r="D787" i="1"/>
  <c r="D781" i="1"/>
  <c r="D775" i="1"/>
  <c r="D769" i="1"/>
  <c r="D763" i="1"/>
  <c r="D757" i="1"/>
  <c r="B169" i="1"/>
  <c r="B157" i="1"/>
  <c r="B151" i="1"/>
  <c r="B139" i="1"/>
  <c r="B133" i="1"/>
  <c r="B127" i="1"/>
  <c r="B121" i="1"/>
  <c r="B115" i="1"/>
  <c r="B109" i="1"/>
  <c r="B103" i="1"/>
  <c r="B97" i="1"/>
  <c r="B91" i="1"/>
  <c r="B85" i="1"/>
  <c r="B79" i="1"/>
  <c r="B73" i="1"/>
  <c r="B67" i="1"/>
  <c r="B61" i="1"/>
  <c r="B55" i="1"/>
  <c r="B49" i="1"/>
  <c r="B43" i="1"/>
  <c r="B37" i="1"/>
  <c r="B31" i="1"/>
  <c r="B25" i="1"/>
  <c r="B19" i="1"/>
  <c r="B13" i="1"/>
  <c r="D1235" i="1"/>
  <c r="D1229" i="1"/>
  <c r="D1223" i="1"/>
  <c r="D1217" i="1"/>
  <c r="D1211" i="1"/>
  <c r="D1205" i="1"/>
  <c r="D1199" i="1"/>
  <c r="D1193" i="1"/>
  <c r="D1187" i="1"/>
  <c r="D1181" i="1"/>
  <c r="D1175" i="1"/>
  <c r="D1169" i="1"/>
  <c r="D1163" i="1"/>
  <c r="D1157" i="1"/>
  <c r="D1151" i="1"/>
  <c r="D1145" i="1"/>
  <c r="D1139" i="1"/>
  <c r="D1133" i="1"/>
  <c r="D1127" i="1"/>
  <c r="D1121" i="1"/>
  <c r="D1115" i="1"/>
  <c r="D1109" i="1"/>
  <c r="D1103" i="1"/>
  <c r="D1097" i="1"/>
  <c r="D1091" i="1"/>
  <c r="D1085" i="1"/>
  <c r="D1079" i="1"/>
  <c r="D1073" i="1"/>
  <c r="D1067" i="1"/>
  <c r="D1061" i="1"/>
  <c r="D1055" i="1"/>
  <c r="D1049" i="1"/>
  <c r="D1043" i="1"/>
  <c r="D1037" i="1"/>
  <c r="D1031" i="1"/>
  <c r="D1025" i="1"/>
  <c r="D1019" i="1"/>
  <c r="D1013" i="1"/>
  <c r="D1007" i="1"/>
  <c r="D1001" i="1"/>
  <c r="D995" i="1"/>
  <c r="D989" i="1"/>
  <c r="D983" i="1"/>
  <c r="D977" i="1"/>
  <c r="D971" i="1"/>
  <c r="D965" i="1"/>
  <c r="D959" i="1"/>
  <c r="D953" i="1"/>
  <c r="D947" i="1"/>
  <c r="D941" i="1"/>
  <c r="D935" i="1"/>
  <c r="D929" i="1"/>
  <c r="D923" i="1"/>
  <c r="D917" i="1"/>
  <c r="D911" i="1"/>
  <c r="D905" i="1"/>
  <c r="D899" i="1"/>
  <c r="D893" i="1"/>
  <c r="D887" i="1"/>
  <c r="D881" i="1"/>
  <c r="D875" i="1"/>
  <c r="D869" i="1"/>
  <c r="D863" i="1"/>
  <c r="D857" i="1"/>
  <c r="D851" i="1"/>
  <c r="D845" i="1"/>
  <c r="D839" i="1"/>
  <c r="D833" i="1"/>
  <c r="D827" i="1"/>
  <c r="D821" i="1"/>
  <c r="D815" i="1"/>
  <c r="D809" i="1"/>
  <c r="D803" i="1"/>
  <c r="D797" i="1"/>
  <c r="D791" i="1"/>
  <c r="D785" i="1"/>
  <c r="D779" i="1"/>
  <c r="D773" i="1"/>
  <c r="D767" i="1"/>
  <c r="D761" i="1"/>
  <c r="D755" i="1"/>
  <c r="B184" i="1"/>
  <c r="B178" i="1"/>
  <c r="D969" i="1"/>
  <c r="D963" i="1"/>
  <c r="D957" i="1"/>
  <c r="D945" i="1"/>
  <c r="D939" i="1"/>
  <c r="D927" i="1"/>
  <c r="D921" i="1"/>
  <c r="D909" i="1"/>
  <c r="D903" i="1"/>
  <c r="D891" i="1"/>
  <c r="D885" i="1"/>
  <c r="D873" i="1"/>
  <c r="D867" i="1"/>
  <c r="D861" i="1"/>
  <c r="D855" i="1"/>
  <c r="D849" i="1"/>
  <c r="D843" i="1"/>
  <c r="D837" i="1"/>
  <c r="D831" i="1"/>
  <c r="D825" i="1"/>
  <c r="D819" i="1"/>
  <c r="D813" i="1"/>
  <c r="D807" i="1"/>
  <c r="D801" i="1"/>
  <c r="D795" i="1"/>
  <c r="D789" i="1"/>
  <c r="D783" i="1"/>
  <c r="D777" i="1"/>
  <c r="D771" i="1"/>
  <c r="D765" i="1"/>
  <c r="D759" i="1"/>
  <c r="B9" i="1"/>
  <c r="B154" i="1"/>
  <c r="B142" i="1"/>
  <c r="B130" i="1"/>
  <c r="B118" i="1"/>
  <c r="B106" i="1"/>
  <c r="B94" i="1"/>
  <c r="B82" i="1"/>
  <c r="B70" i="1"/>
  <c r="B58" i="1"/>
  <c r="B46" i="1"/>
  <c r="B34" i="1"/>
  <c r="B22" i="1"/>
  <c r="D1232" i="1"/>
  <c r="D1214" i="1"/>
  <c r="D1208" i="1"/>
  <c r="D1202" i="1"/>
  <c r="D1196" i="1"/>
  <c r="D1178" i="1"/>
  <c r="D1172" i="1"/>
  <c r="D1166" i="1"/>
  <c r="D1160" i="1"/>
  <c r="D1142" i="1"/>
  <c r="D1136" i="1"/>
  <c r="D1130" i="1"/>
  <c r="D1124" i="1"/>
  <c r="D1106" i="1"/>
  <c r="D1100" i="1"/>
  <c r="D1094" i="1"/>
  <c r="D1088" i="1"/>
  <c r="D1070" i="1"/>
  <c r="D1064" i="1"/>
  <c r="D1058" i="1"/>
  <c r="D1052" i="1"/>
  <c r="D1034" i="1"/>
  <c r="D1028" i="1"/>
  <c r="D1022" i="1"/>
  <c r="D1016" i="1"/>
  <c r="D998" i="1"/>
  <c r="D992" i="1"/>
  <c r="D986" i="1"/>
  <c r="D980" i="1"/>
  <c r="D962" i="1"/>
  <c r="D956" i="1"/>
  <c r="D950" i="1"/>
  <c r="D944" i="1"/>
  <c r="D938" i="1"/>
  <c r="D932" i="1"/>
  <c r="D926" i="1"/>
  <c r="D920" i="1"/>
  <c r="D914" i="1"/>
  <c r="D908" i="1"/>
  <c r="D902" i="1"/>
  <c r="D896" i="1"/>
  <c r="D890" i="1"/>
  <c r="D884" i="1"/>
  <c r="D878" i="1"/>
  <c r="D872" i="1"/>
  <c r="D866" i="1"/>
  <c r="D860" i="1"/>
  <c r="D854" i="1"/>
  <c r="D848" i="1"/>
  <c r="D842" i="1"/>
  <c r="D836" i="1"/>
  <c r="D830" i="1"/>
  <c r="D824" i="1"/>
  <c r="D818" i="1"/>
  <c r="D812" i="1"/>
  <c r="D806" i="1"/>
  <c r="D800" i="1"/>
  <c r="D794" i="1"/>
  <c r="D788" i="1"/>
  <c r="D782" i="1"/>
  <c r="D776" i="1"/>
  <c r="D770" i="1"/>
  <c r="D764" i="1"/>
  <c r="D758" i="1"/>
  <c r="B186" i="1"/>
  <c r="B180" i="1"/>
  <c r="B174" i="1"/>
  <c r="B185" i="1"/>
  <c r="B179" i="1"/>
  <c r="B173" i="1"/>
  <c r="B183" i="1"/>
  <c r="B177" i="1"/>
  <c r="B182" i="1"/>
  <c r="B176" i="1"/>
  <c r="B170" i="1"/>
  <c r="B181" i="1"/>
  <c r="B175" i="1"/>
  <c r="G2" i="12"/>
  <c r="AE160" i="4"/>
  <c r="AE164" i="4"/>
  <c r="AE168" i="4"/>
  <c r="AE172" i="4"/>
  <c r="AE176" i="4"/>
  <c r="AE180" i="4"/>
  <c r="AE184" i="4"/>
  <c r="AE188" i="4"/>
  <c r="AE192" i="4"/>
  <c r="AE256" i="4"/>
  <c r="AE196" i="4"/>
  <c r="AE200" i="4"/>
  <c r="AE204" i="4"/>
  <c r="AE208" i="4"/>
  <c r="AE212" i="4"/>
  <c r="AE216" i="4"/>
  <c r="AE220" i="4"/>
  <c r="AE224" i="4"/>
  <c r="AE228" i="4"/>
  <c r="AE232" i="4"/>
  <c r="AE236" i="4"/>
  <c r="AE240" i="4"/>
  <c r="AE244" i="4"/>
  <c r="AE248" i="4"/>
  <c r="AE252" i="4"/>
  <c r="B711" i="1"/>
  <c r="B707" i="1"/>
  <c r="B703" i="1"/>
  <c r="B699" i="1"/>
  <c r="B695" i="1"/>
  <c r="B691" i="1"/>
  <c r="B687" i="1"/>
  <c r="B683" i="1"/>
  <c r="B679" i="1"/>
  <c r="B675" i="1"/>
  <c r="B671" i="1"/>
  <c r="B667" i="1"/>
  <c r="B663" i="1"/>
  <c r="B659" i="1"/>
  <c r="B655" i="1"/>
  <c r="B651" i="1"/>
  <c r="B647" i="1"/>
  <c r="B643" i="1"/>
  <c r="B639" i="1"/>
  <c r="B635" i="1"/>
  <c r="B631" i="1"/>
  <c r="B627" i="1"/>
  <c r="B623" i="1"/>
  <c r="B619" i="1"/>
  <c r="B615" i="1"/>
  <c r="B611" i="1"/>
  <c r="B607" i="1"/>
  <c r="B603" i="1"/>
  <c r="B599" i="1"/>
  <c r="B595" i="1"/>
  <c r="B591" i="1"/>
  <c r="B587" i="1"/>
  <c r="B583" i="1"/>
  <c r="B579" i="1"/>
  <c r="B575" i="1"/>
  <c r="B571" i="1"/>
  <c r="B567" i="1"/>
  <c r="B563" i="1"/>
  <c r="B559" i="1"/>
  <c r="B555" i="1"/>
  <c r="B551" i="1"/>
  <c r="B547" i="1"/>
  <c r="B543" i="1"/>
  <c r="B539" i="1"/>
  <c r="B535" i="1"/>
  <c r="B531" i="1"/>
  <c r="B527" i="1"/>
  <c r="B523" i="1"/>
  <c r="B519" i="1"/>
  <c r="B515" i="1"/>
  <c r="B511" i="1"/>
  <c r="B507" i="1"/>
  <c r="B503" i="1"/>
  <c r="B499" i="1"/>
  <c r="B495" i="1"/>
  <c r="B491" i="1"/>
  <c r="B487" i="1"/>
  <c r="B483" i="1"/>
  <c r="B479" i="1"/>
  <c r="B475" i="1"/>
  <c r="B471" i="1"/>
  <c r="B467" i="1"/>
  <c r="B463" i="1"/>
  <c r="B459" i="1"/>
  <c r="B455" i="1"/>
  <c r="B451" i="1"/>
  <c r="B447" i="1"/>
  <c r="B443" i="1"/>
  <c r="B439" i="1"/>
  <c r="B435" i="1"/>
  <c r="B431" i="1"/>
  <c r="B427" i="1"/>
  <c r="B423" i="1"/>
  <c r="B419" i="1"/>
  <c r="B415" i="1"/>
  <c r="B411" i="1"/>
  <c r="B407" i="1"/>
  <c r="B403" i="1"/>
  <c r="B399" i="1"/>
  <c r="B395" i="1"/>
  <c r="B391" i="1"/>
  <c r="B387" i="1"/>
  <c r="B383" i="1"/>
  <c r="B379" i="1"/>
  <c r="B375" i="1"/>
  <c r="B371" i="1"/>
  <c r="B367" i="1"/>
  <c r="B363" i="1"/>
  <c r="B359" i="1"/>
  <c r="B355" i="1"/>
  <c r="B351" i="1"/>
  <c r="B347" i="1"/>
  <c r="B343" i="1"/>
  <c r="B339" i="1"/>
  <c r="B335" i="1"/>
  <c r="B331" i="1"/>
  <c r="B327" i="1"/>
  <c r="B323" i="1"/>
  <c r="B319" i="1"/>
  <c r="B315" i="1"/>
  <c r="B311" i="1"/>
  <c r="B307" i="1"/>
  <c r="B303" i="1"/>
  <c r="B299" i="1"/>
  <c r="B295" i="1"/>
  <c r="B291" i="1"/>
  <c r="B287" i="1"/>
  <c r="B283" i="1"/>
  <c r="B279" i="1"/>
  <c r="B275" i="1"/>
  <c r="B271" i="1"/>
  <c r="B267" i="1"/>
  <c r="B263" i="1"/>
  <c r="B259" i="1"/>
  <c r="B255" i="1"/>
  <c r="B251" i="1"/>
  <c r="B247" i="1"/>
  <c r="B243" i="1"/>
  <c r="B239" i="1"/>
  <c r="B235" i="1"/>
  <c r="B231" i="1"/>
  <c r="B227" i="1"/>
  <c r="B223" i="1"/>
  <c r="B219" i="1"/>
  <c r="B215" i="1"/>
  <c r="B211" i="1"/>
  <c r="B207" i="1"/>
  <c r="B203" i="1"/>
  <c r="B199" i="1"/>
  <c r="B195" i="1"/>
  <c r="B191" i="1"/>
  <c r="B187" i="1"/>
  <c r="B171" i="1"/>
  <c r="B164" i="1"/>
  <c r="B710" i="1"/>
  <c r="B706" i="1"/>
  <c r="B702" i="1"/>
  <c r="B698" i="1"/>
  <c r="B694" i="1"/>
  <c r="B690" i="1"/>
  <c r="B686" i="1"/>
  <c r="B682" i="1"/>
  <c r="B678" i="1"/>
  <c r="B674" i="1"/>
  <c r="B670" i="1"/>
  <c r="B666" i="1"/>
  <c r="B662" i="1"/>
  <c r="B658" i="1"/>
  <c r="B654" i="1"/>
  <c r="B650" i="1"/>
  <c r="B646" i="1"/>
  <c r="B642" i="1"/>
  <c r="B638" i="1"/>
  <c r="B634" i="1"/>
  <c r="B630" i="1"/>
  <c r="B626" i="1"/>
  <c r="B622" i="1"/>
  <c r="B618" i="1"/>
  <c r="B614" i="1"/>
  <c r="B610" i="1"/>
  <c r="B606" i="1"/>
  <c r="B602" i="1"/>
  <c r="B598" i="1"/>
  <c r="B594" i="1"/>
  <c r="B590" i="1"/>
  <c r="B586" i="1"/>
  <c r="B582" i="1"/>
  <c r="B578" i="1"/>
  <c r="B574" i="1"/>
  <c r="B570" i="1"/>
  <c r="B566" i="1"/>
  <c r="B562" i="1"/>
  <c r="B558" i="1"/>
  <c r="B554" i="1"/>
  <c r="B550" i="1"/>
  <c r="B546" i="1"/>
  <c r="B542" i="1"/>
  <c r="B538" i="1"/>
  <c r="B534" i="1"/>
  <c r="B530" i="1"/>
  <c r="B526" i="1"/>
  <c r="B522" i="1"/>
  <c r="B518" i="1"/>
  <c r="B514" i="1"/>
  <c r="B510" i="1"/>
  <c r="B506" i="1"/>
  <c r="B502" i="1"/>
  <c r="B498" i="1"/>
  <c r="B494" i="1"/>
  <c r="B490" i="1"/>
  <c r="B486" i="1"/>
  <c r="B482" i="1"/>
  <c r="B478" i="1"/>
  <c r="B474" i="1"/>
  <c r="B470" i="1"/>
  <c r="B466" i="1"/>
  <c r="B462" i="1"/>
  <c r="B458" i="1"/>
  <c r="B454" i="1"/>
  <c r="B450" i="1"/>
  <c r="B446" i="1"/>
  <c r="B442" i="1"/>
  <c r="B438" i="1"/>
  <c r="B434" i="1"/>
  <c r="B430" i="1"/>
  <c r="B426" i="1"/>
  <c r="B422" i="1"/>
  <c r="B418" i="1"/>
  <c r="B414" i="1"/>
  <c r="B410" i="1"/>
  <c r="B406" i="1"/>
  <c r="B402" i="1"/>
  <c r="B398" i="1"/>
  <c r="B394" i="1"/>
  <c r="B390" i="1"/>
  <c r="B386" i="1"/>
  <c r="B382" i="1"/>
  <c r="B378" i="1"/>
  <c r="B374" i="1"/>
  <c r="B370" i="1"/>
  <c r="B366" i="1"/>
  <c r="B362" i="1"/>
  <c r="B358" i="1"/>
  <c r="B354" i="1"/>
  <c r="B350" i="1"/>
  <c r="B346" i="1"/>
  <c r="B342" i="1"/>
  <c r="B338" i="1"/>
  <c r="B334" i="1"/>
  <c r="B330" i="1"/>
  <c r="B326" i="1"/>
  <c r="B322" i="1"/>
  <c r="B318" i="1"/>
  <c r="B314" i="1"/>
  <c r="B310" i="1"/>
  <c r="B306" i="1"/>
  <c r="B302" i="1"/>
  <c r="B298" i="1"/>
  <c r="B294" i="1"/>
  <c r="B290" i="1"/>
  <c r="B286" i="1"/>
  <c r="B282" i="1"/>
  <c r="B278" i="1"/>
  <c r="B274" i="1"/>
  <c r="B270" i="1"/>
  <c r="B266" i="1"/>
  <c r="B262" i="1"/>
  <c r="B258" i="1"/>
  <c r="B254" i="1"/>
  <c r="B250" i="1"/>
  <c r="B246" i="1"/>
  <c r="B242" i="1"/>
  <c r="B238" i="1"/>
  <c r="B234" i="1"/>
  <c r="B230" i="1"/>
  <c r="B226" i="1"/>
  <c r="B222" i="1"/>
  <c r="B218" i="1"/>
  <c r="B214" i="1"/>
  <c r="B210" i="1"/>
  <c r="B206" i="1"/>
  <c r="B202" i="1"/>
  <c r="B198" i="1"/>
  <c r="B194" i="1"/>
  <c r="B190" i="1"/>
  <c r="B163" i="1"/>
  <c r="B709" i="1"/>
  <c r="B705" i="1"/>
  <c r="B701" i="1"/>
  <c r="B697" i="1"/>
  <c r="B693" i="1"/>
  <c r="B689" i="1"/>
  <c r="B685" i="1"/>
  <c r="B681" i="1"/>
  <c r="B677" i="1"/>
  <c r="B673" i="1"/>
  <c r="B669" i="1"/>
  <c r="B665" i="1"/>
  <c r="B661" i="1"/>
  <c r="B657" i="1"/>
  <c r="B653" i="1"/>
  <c r="B649" i="1"/>
  <c r="B645" i="1"/>
  <c r="B641" i="1"/>
  <c r="B637" i="1"/>
  <c r="B633" i="1"/>
  <c r="B629" i="1"/>
  <c r="B625" i="1"/>
  <c r="B621" i="1"/>
  <c r="B617" i="1"/>
  <c r="B613" i="1"/>
  <c r="B609" i="1"/>
  <c r="B605" i="1"/>
  <c r="B601" i="1"/>
  <c r="B597" i="1"/>
  <c r="B593" i="1"/>
  <c r="B589" i="1"/>
  <c r="B585" i="1"/>
  <c r="B581" i="1"/>
  <c r="B577" i="1"/>
  <c r="B573" i="1"/>
  <c r="B569" i="1"/>
  <c r="B565" i="1"/>
  <c r="B561" i="1"/>
  <c r="B557" i="1"/>
  <c r="B553" i="1"/>
  <c r="B549" i="1"/>
  <c r="B545" i="1"/>
  <c r="B541" i="1"/>
  <c r="B537" i="1"/>
  <c r="B533" i="1"/>
  <c r="B529" i="1"/>
  <c r="B525" i="1"/>
  <c r="B521" i="1"/>
  <c r="B517" i="1"/>
  <c r="B513" i="1"/>
  <c r="B509" i="1"/>
  <c r="B505" i="1"/>
  <c r="B501" i="1"/>
  <c r="B497" i="1"/>
  <c r="B493" i="1"/>
  <c r="B489" i="1"/>
  <c r="B485" i="1"/>
  <c r="B481" i="1"/>
  <c r="B477" i="1"/>
  <c r="B473" i="1"/>
  <c r="B469" i="1"/>
  <c r="B465" i="1"/>
  <c r="B461" i="1"/>
  <c r="B457" i="1"/>
  <c r="B453" i="1"/>
  <c r="B449" i="1"/>
  <c r="B445" i="1"/>
  <c r="B441" i="1"/>
  <c r="B437" i="1"/>
  <c r="B433" i="1"/>
  <c r="B429" i="1"/>
  <c r="B425" i="1"/>
  <c r="B421" i="1"/>
  <c r="B417" i="1"/>
  <c r="B413" i="1"/>
  <c r="B409" i="1"/>
  <c r="B405" i="1"/>
  <c r="B401" i="1"/>
  <c r="B397" i="1"/>
  <c r="B393" i="1"/>
  <c r="B389" i="1"/>
  <c r="B385" i="1"/>
  <c r="B381" i="1"/>
  <c r="B377" i="1"/>
  <c r="B373" i="1"/>
  <c r="B369" i="1"/>
  <c r="B365" i="1"/>
  <c r="B361" i="1"/>
  <c r="B357" i="1"/>
  <c r="B353" i="1"/>
  <c r="B349" i="1"/>
  <c r="B345" i="1"/>
  <c r="B341" i="1"/>
  <c r="B337" i="1"/>
  <c r="B333" i="1"/>
  <c r="B329" i="1"/>
  <c r="B325" i="1"/>
  <c r="B321" i="1"/>
  <c r="B317" i="1"/>
  <c r="B313" i="1"/>
  <c r="B309" i="1"/>
  <c r="B305" i="1"/>
  <c r="B301" i="1"/>
  <c r="B297" i="1"/>
  <c r="B293" i="1"/>
  <c r="B289" i="1"/>
  <c r="B285" i="1"/>
  <c r="B281" i="1"/>
  <c r="B277" i="1"/>
  <c r="B273" i="1"/>
  <c r="B269" i="1"/>
  <c r="B265" i="1"/>
  <c r="B261" i="1"/>
  <c r="B257" i="1"/>
  <c r="B253" i="1"/>
  <c r="B249" i="1"/>
  <c r="B245" i="1"/>
  <c r="B241" i="1"/>
  <c r="B237" i="1"/>
  <c r="B233" i="1"/>
  <c r="B229" i="1"/>
  <c r="B225" i="1"/>
  <c r="B221" i="1"/>
  <c r="B217" i="1"/>
  <c r="B213" i="1"/>
  <c r="B209" i="1"/>
  <c r="B205" i="1"/>
  <c r="B201" i="1"/>
  <c r="B197" i="1"/>
  <c r="B193" i="1"/>
  <c r="B189" i="1"/>
  <c r="B708" i="1"/>
  <c r="B704" i="1"/>
  <c r="B700" i="1"/>
  <c r="B696" i="1"/>
  <c r="B692" i="1"/>
  <c r="B688" i="1"/>
  <c r="B684" i="1"/>
  <c r="B680" i="1"/>
  <c r="B676" i="1"/>
  <c r="B672" i="1"/>
  <c r="B668" i="1"/>
  <c r="B664" i="1"/>
  <c r="B660" i="1"/>
  <c r="B656" i="1"/>
  <c r="B652" i="1"/>
  <c r="B648" i="1"/>
  <c r="B644" i="1"/>
  <c r="B640" i="1"/>
  <c r="B636" i="1"/>
  <c r="B632" i="1"/>
  <c r="B628" i="1"/>
  <c r="B624" i="1"/>
  <c r="B620" i="1"/>
  <c r="B616" i="1"/>
  <c r="B612" i="1"/>
  <c r="B608" i="1"/>
  <c r="B604" i="1"/>
  <c r="B600" i="1"/>
  <c r="B596" i="1"/>
  <c r="B592" i="1"/>
  <c r="B588" i="1"/>
  <c r="B584" i="1"/>
  <c r="B580" i="1"/>
  <c r="B576" i="1"/>
  <c r="B572" i="1"/>
  <c r="B568" i="1"/>
  <c r="B564" i="1"/>
  <c r="B560" i="1"/>
  <c r="B556" i="1"/>
  <c r="B552" i="1"/>
  <c r="B548" i="1"/>
  <c r="B544" i="1"/>
  <c r="B540" i="1"/>
  <c r="B536" i="1"/>
  <c r="B532" i="1"/>
  <c r="B528" i="1"/>
  <c r="B524" i="1"/>
  <c r="B520" i="1"/>
  <c r="B516" i="1"/>
  <c r="B512" i="1"/>
  <c r="B508" i="1"/>
  <c r="B504" i="1"/>
  <c r="B500" i="1"/>
  <c r="B496" i="1"/>
  <c r="B492" i="1"/>
  <c r="B488" i="1"/>
  <c r="B484" i="1"/>
  <c r="B480" i="1"/>
  <c r="B476" i="1"/>
  <c r="B472" i="1"/>
  <c r="B468" i="1"/>
  <c r="B464" i="1"/>
  <c r="B460" i="1"/>
  <c r="B456" i="1"/>
  <c r="B452" i="1"/>
  <c r="B448" i="1"/>
  <c r="B444" i="1"/>
  <c r="B440" i="1"/>
  <c r="B436" i="1"/>
  <c r="B432" i="1"/>
  <c r="B428" i="1"/>
  <c r="B424" i="1"/>
  <c r="B420" i="1"/>
  <c r="B416" i="1"/>
  <c r="B412" i="1"/>
  <c r="B408" i="1"/>
  <c r="B404" i="1"/>
  <c r="B400" i="1"/>
  <c r="B396" i="1"/>
  <c r="B392" i="1"/>
  <c r="B388" i="1"/>
  <c r="B384" i="1"/>
  <c r="B380" i="1"/>
  <c r="B376" i="1"/>
  <c r="B372" i="1"/>
  <c r="B368" i="1"/>
  <c r="B364" i="1"/>
  <c r="B360" i="1"/>
  <c r="B356" i="1"/>
  <c r="B352" i="1"/>
  <c r="B348" i="1"/>
  <c r="B344" i="1"/>
  <c r="B340" i="1"/>
  <c r="B336" i="1"/>
  <c r="B332" i="1"/>
  <c r="B328" i="1"/>
  <c r="B324" i="1"/>
  <c r="B320" i="1"/>
  <c r="B316" i="1"/>
  <c r="B312" i="1"/>
  <c r="B308" i="1"/>
  <c r="B304" i="1"/>
  <c r="B300" i="1"/>
  <c r="B296" i="1"/>
  <c r="B292" i="1"/>
  <c r="B288" i="1"/>
  <c r="B284" i="1"/>
  <c r="B280" i="1"/>
  <c r="B276" i="1"/>
  <c r="B272" i="1"/>
  <c r="B268" i="1"/>
  <c r="B264" i="1"/>
  <c r="B260" i="1"/>
  <c r="B256" i="1"/>
  <c r="B252" i="1"/>
  <c r="B248" i="1"/>
  <c r="B244" i="1"/>
  <c r="B240" i="1"/>
  <c r="B236" i="1"/>
  <c r="B232" i="1"/>
  <c r="B228" i="1"/>
  <c r="B224" i="1"/>
  <c r="B220" i="1"/>
  <c r="B216" i="1"/>
  <c r="B212" i="1"/>
  <c r="B208" i="1"/>
  <c r="B204" i="1"/>
  <c r="B200" i="1"/>
  <c r="B196" i="1"/>
  <c r="B192" i="1"/>
  <c r="B188" i="1"/>
  <c r="AE155" i="4"/>
  <c r="AE156" i="4"/>
  <c r="AE152" i="4"/>
  <c r="AE259" i="4"/>
  <c r="AE257" i="4"/>
  <c r="AE255" i="4"/>
  <c r="AE253" i="4"/>
  <c r="AE251" i="4"/>
  <c r="AE249" i="4"/>
  <c r="AE247" i="4"/>
  <c r="AE245" i="4"/>
  <c r="AE243" i="4"/>
  <c r="AE241" i="4"/>
  <c r="AE239" i="4"/>
  <c r="AE237" i="4"/>
  <c r="AE235" i="4"/>
  <c r="AE233" i="4"/>
  <c r="AE231" i="4"/>
  <c r="AE229" i="4"/>
  <c r="AE227" i="4"/>
  <c r="AE225" i="4"/>
  <c r="AE223" i="4"/>
  <c r="AE221" i="4"/>
  <c r="AE219" i="4"/>
  <c r="AE217" i="4"/>
  <c r="AE215" i="4"/>
  <c r="AE213" i="4"/>
  <c r="AE211" i="4"/>
  <c r="AE209" i="4"/>
  <c r="AE207" i="4"/>
  <c r="AE205" i="4"/>
  <c r="AE203" i="4"/>
  <c r="AE201" i="4"/>
  <c r="AE199" i="4"/>
  <c r="AE197" i="4"/>
  <c r="AE195" i="4"/>
  <c r="AE193" i="4"/>
  <c r="AE191" i="4"/>
  <c r="AE189" i="4"/>
  <c r="AE187" i="4"/>
  <c r="AE185" i="4"/>
  <c r="AE183" i="4"/>
  <c r="AE181" i="4"/>
  <c r="AE179" i="4"/>
  <c r="AE177" i="4"/>
  <c r="AE175" i="4"/>
  <c r="AE173" i="4"/>
  <c r="AE171" i="4"/>
  <c r="AE169" i="4"/>
  <c r="AE167" i="4"/>
  <c r="AE165" i="4"/>
  <c r="AE163" i="4"/>
  <c r="AE161" i="4"/>
  <c r="AE159" i="4"/>
  <c r="AE157" i="4"/>
  <c r="AE154" i="4"/>
  <c r="AE258" i="4"/>
  <c r="AE254" i="4"/>
  <c r="AE250" i="4"/>
  <c r="AE246" i="4"/>
  <c r="AE242" i="4"/>
  <c r="AE238" i="4"/>
  <c r="AE234" i="4"/>
  <c r="AE230" i="4"/>
  <c r="AE226" i="4"/>
  <c r="AE222" i="4"/>
  <c r="AE218" i="4"/>
  <c r="AE214" i="4"/>
  <c r="AE210" i="4"/>
  <c r="AE206" i="4"/>
  <c r="AE202" i="4"/>
  <c r="AE198" i="4"/>
  <c r="AE194" i="4"/>
  <c r="AE190" i="4"/>
  <c r="AE186" i="4"/>
  <c r="AE182" i="4"/>
  <c r="AE178" i="4"/>
  <c r="AE174" i="4"/>
  <c r="AE170" i="4"/>
  <c r="AE166" i="4"/>
  <c r="AE162" i="4"/>
  <c r="AE158" i="4"/>
  <c r="AE153" i="4"/>
  <c r="C364" i="8"/>
  <c r="F364" i="8" s="1"/>
  <c r="E507" i="8"/>
  <c r="H507" i="8" s="1"/>
  <c r="D507" i="8"/>
  <c r="G507" i="8" s="1"/>
  <c r="C369" i="8"/>
  <c r="F369" i="8" s="1"/>
  <c r="D299" i="8"/>
  <c r="G299" i="8" s="1"/>
  <c r="C219" i="8"/>
  <c r="F219" i="8" s="1"/>
  <c r="E219" i="8"/>
  <c r="H219" i="8" s="1"/>
  <c r="D569" i="8"/>
  <c r="G569" i="8" s="1"/>
  <c r="E569" i="8"/>
  <c r="H569" i="8" s="1"/>
  <c r="E504" i="8"/>
  <c r="H504" i="8" s="1"/>
  <c r="D504" i="8"/>
  <c r="G504" i="8" s="1"/>
  <c r="D535" i="8"/>
  <c r="G535" i="8" s="1"/>
  <c r="C508" i="8"/>
  <c r="F508" i="8" s="1"/>
  <c r="D503" i="8"/>
  <c r="G503" i="8" s="1"/>
  <c r="D487" i="8"/>
  <c r="G487" i="8" s="1"/>
  <c r="C353" i="8"/>
  <c r="F353" i="8" s="1"/>
  <c r="D314" i="8"/>
  <c r="G314" i="8" s="1"/>
  <c r="C603" i="8"/>
  <c r="F603" i="8" s="1"/>
  <c r="E601" i="8"/>
  <c r="H601" i="8" s="1"/>
  <c r="C589" i="8"/>
  <c r="F589" i="8" s="1"/>
  <c r="C571" i="8"/>
  <c r="F571" i="8" s="1"/>
  <c r="C519" i="8"/>
  <c r="F519" i="8" s="1"/>
  <c r="D512" i="8"/>
  <c r="G512" i="8" s="1"/>
  <c r="D439" i="8"/>
  <c r="G439" i="8" s="1"/>
  <c r="D275" i="8"/>
  <c r="G275" i="8" s="1"/>
  <c r="E252" i="8"/>
  <c r="H252" i="8" s="1"/>
  <c r="E161" i="8"/>
  <c r="H161" i="8" s="1"/>
  <c r="E484" i="8"/>
  <c r="H484" i="8" s="1"/>
  <c r="C484" i="8"/>
  <c r="F484" i="8" s="1"/>
  <c r="E393" i="8"/>
  <c r="H393" i="8" s="1"/>
  <c r="C393" i="8"/>
  <c r="F393" i="8" s="1"/>
  <c r="E291" i="8"/>
  <c r="H291" i="8" s="1"/>
  <c r="D291" i="8"/>
  <c r="G291" i="8" s="1"/>
  <c r="C291" i="8"/>
  <c r="F291" i="8" s="1"/>
  <c r="E496" i="8"/>
  <c r="H496" i="8" s="1"/>
  <c r="C496" i="8"/>
  <c r="F496" i="8" s="1"/>
  <c r="E480" i="8"/>
  <c r="H480" i="8" s="1"/>
  <c r="C480" i="8"/>
  <c r="F480" i="8" s="1"/>
  <c r="E572" i="8"/>
  <c r="H572" i="8" s="1"/>
  <c r="C572" i="8"/>
  <c r="F572" i="8" s="1"/>
  <c r="E621" i="8"/>
  <c r="H621" i="8" s="1"/>
  <c r="C621" i="8"/>
  <c r="F621" i="8" s="1"/>
  <c r="E575" i="8"/>
  <c r="H575" i="8" s="1"/>
  <c r="D575" i="8"/>
  <c r="G575" i="8" s="1"/>
  <c r="D444" i="8"/>
  <c r="G444" i="8" s="1"/>
  <c r="D435" i="8"/>
  <c r="G435" i="8" s="1"/>
  <c r="E339" i="8"/>
  <c r="H339" i="8" s="1"/>
  <c r="C339" i="8"/>
  <c r="F339" i="8" s="1"/>
  <c r="E266" i="8"/>
  <c r="H266" i="8" s="1"/>
  <c r="C266" i="8"/>
  <c r="F266" i="8" s="1"/>
  <c r="E259" i="8"/>
  <c r="H259" i="8" s="1"/>
  <c r="D259" i="8"/>
  <c r="G259" i="8" s="1"/>
  <c r="C194" i="8"/>
  <c r="F194" i="8" s="1"/>
  <c r="E194" i="8"/>
  <c r="H194" i="8" s="1"/>
  <c r="D557" i="8"/>
  <c r="G557" i="8" s="1"/>
  <c r="C557" i="8"/>
  <c r="F557" i="8" s="1"/>
  <c r="D548" i="8"/>
  <c r="G548" i="8" s="1"/>
  <c r="E495" i="8"/>
  <c r="H495" i="8" s="1"/>
  <c r="C495" i="8"/>
  <c r="F495" i="8" s="1"/>
  <c r="D488" i="8"/>
  <c r="G488" i="8" s="1"/>
  <c r="C444" i="8"/>
  <c r="F444" i="8" s="1"/>
  <c r="C435" i="8"/>
  <c r="F435" i="8" s="1"/>
  <c r="C432" i="8"/>
  <c r="F432" i="8" s="1"/>
  <c r="D380" i="8"/>
  <c r="G380" i="8" s="1"/>
  <c r="C177" i="8"/>
  <c r="F177" i="8" s="1"/>
  <c r="D177" i="8"/>
  <c r="G177" i="8" s="1"/>
  <c r="E607" i="8"/>
  <c r="H607" i="8" s="1"/>
  <c r="D607" i="8"/>
  <c r="G607" i="8" s="1"/>
  <c r="E604" i="8"/>
  <c r="H604" i="8" s="1"/>
  <c r="D604" i="8"/>
  <c r="G604" i="8" s="1"/>
  <c r="E588" i="8"/>
  <c r="H588" i="8" s="1"/>
  <c r="D588" i="8"/>
  <c r="G588" i="8" s="1"/>
  <c r="E531" i="8"/>
  <c r="H531" i="8" s="1"/>
  <c r="D531" i="8"/>
  <c r="G531" i="8" s="1"/>
  <c r="E427" i="8"/>
  <c r="H427" i="8" s="1"/>
  <c r="D427" i="8"/>
  <c r="G427" i="8" s="1"/>
  <c r="E348" i="8"/>
  <c r="H348" i="8" s="1"/>
  <c r="C348" i="8"/>
  <c r="F348" i="8" s="1"/>
  <c r="E251" i="8"/>
  <c r="H251" i="8" s="1"/>
  <c r="C251" i="8"/>
  <c r="F251" i="8" s="1"/>
  <c r="C235" i="8"/>
  <c r="F235" i="8" s="1"/>
  <c r="E235" i="8"/>
  <c r="H235" i="8" s="1"/>
  <c r="D440" i="8"/>
  <c r="G440" i="8" s="1"/>
  <c r="C431" i="8"/>
  <c r="F431" i="8" s="1"/>
  <c r="D404" i="8"/>
  <c r="G404" i="8" s="1"/>
  <c r="E403" i="8"/>
  <c r="H403" i="8" s="1"/>
  <c r="C403" i="8"/>
  <c r="F403" i="8" s="1"/>
  <c r="C400" i="8"/>
  <c r="F400" i="8" s="1"/>
  <c r="E399" i="8"/>
  <c r="H399" i="8" s="1"/>
  <c r="D399" i="8"/>
  <c r="G399" i="8" s="1"/>
  <c r="D339" i="8"/>
  <c r="G339" i="8" s="1"/>
  <c r="C299" i="8"/>
  <c r="F299" i="8" s="1"/>
  <c r="D298" i="8"/>
  <c r="G298" i="8" s="1"/>
  <c r="D292" i="8"/>
  <c r="G292" i="8" s="1"/>
  <c r="E292" i="8"/>
  <c r="H292" i="8" s="1"/>
  <c r="C650" i="8"/>
  <c r="F650" i="8" s="1"/>
  <c r="C640" i="8"/>
  <c r="F640" i="8" s="1"/>
  <c r="C632" i="8"/>
  <c r="F632" i="8" s="1"/>
  <c r="E617" i="8"/>
  <c r="H617" i="8" s="1"/>
  <c r="D591" i="8"/>
  <c r="G591" i="8" s="1"/>
  <c r="C573" i="8"/>
  <c r="F573" i="8" s="1"/>
  <c r="C556" i="8"/>
  <c r="F556" i="8" s="1"/>
  <c r="C555" i="8"/>
  <c r="F555" i="8" s="1"/>
  <c r="D540" i="8"/>
  <c r="G540" i="8" s="1"/>
  <c r="C539" i="8"/>
  <c r="F539" i="8" s="1"/>
  <c r="C537" i="8"/>
  <c r="F537" i="8" s="1"/>
  <c r="C527" i="8"/>
  <c r="F527" i="8" s="1"/>
  <c r="C523" i="8"/>
  <c r="F523" i="8" s="1"/>
  <c r="C521" i="8"/>
  <c r="F521" i="8" s="1"/>
  <c r="D511" i="8"/>
  <c r="G511" i="8" s="1"/>
  <c r="C500" i="8"/>
  <c r="F500" i="8" s="1"/>
  <c r="D499" i="8"/>
  <c r="G499" i="8" s="1"/>
  <c r="C491" i="8"/>
  <c r="F491" i="8" s="1"/>
  <c r="C483" i="8"/>
  <c r="F483" i="8" s="1"/>
  <c r="C479" i="8"/>
  <c r="F479" i="8" s="1"/>
  <c r="D467" i="8"/>
  <c r="G467" i="8" s="1"/>
  <c r="C436" i="8"/>
  <c r="F436" i="8" s="1"/>
  <c r="C423" i="8"/>
  <c r="F423" i="8" s="1"/>
  <c r="C419" i="8"/>
  <c r="F419" i="8" s="1"/>
  <c r="C404" i="8"/>
  <c r="F404" i="8" s="1"/>
  <c r="C380" i="8"/>
  <c r="F380" i="8" s="1"/>
  <c r="C282" i="8"/>
  <c r="F282" i="8" s="1"/>
  <c r="D266" i="8"/>
  <c r="G266" i="8" s="1"/>
  <c r="D251" i="8"/>
  <c r="G251" i="8" s="1"/>
  <c r="E227" i="8"/>
  <c r="H227" i="8" s="1"/>
  <c r="D201" i="8"/>
  <c r="G201" i="8" s="1"/>
  <c r="E177" i="8"/>
  <c r="H177" i="8" s="1"/>
  <c r="E170" i="8"/>
  <c r="H170" i="8" s="1"/>
  <c r="D388" i="8"/>
  <c r="G388" i="8" s="1"/>
  <c r="D372" i="8"/>
  <c r="G372" i="8" s="1"/>
  <c r="D356" i="8"/>
  <c r="G356" i="8" s="1"/>
  <c r="C646" i="8"/>
  <c r="F646" i="8" s="1"/>
  <c r="C636" i="8"/>
  <c r="F636" i="8" s="1"/>
  <c r="C605" i="8"/>
  <c r="F605" i="8" s="1"/>
  <c r="C588" i="8"/>
  <c r="F588" i="8" s="1"/>
  <c r="C587" i="8"/>
  <c r="F587" i="8" s="1"/>
  <c r="E585" i="8"/>
  <c r="H585" i="8" s="1"/>
  <c r="D572" i="8"/>
  <c r="G572" i="8" s="1"/>
  <c r="D559" i="8"/>
  <c r="G559" i="8" s="1"/>
  <c r="C549" i="8"/>
  <c r="F549" i="8" s="1"/>
  <c r="C548" i="8"/>
  <c r="F548" i="8" s="1"/>
  <c r="I548" i="8" s="1"/>
  <c r="C535" i="8"/>
  <c r="F535" i="8" s="1"/>
  <c r="C531" i="8"/>
  <c r="F531" i="8" s="1"/>
  <c r="C529" i="8"/>
  <c r="F529" i="8" s="1"/>
  <c r="D508" i="8"/>
  <c r="G508" i="8" s="1"/>
  <c r="I508" i="8" s="1"/>
  <c r="C504" i="8"/>
  <c r="F504" i="8" s="1"/>
  <c r="D496" i="8"/>
  <c r="G496" i="8" s="1"/>
  <c r="D495" i="8"/>
  <c r="G495" i="8" s="1"/>
  <c r="C487" i="8"/>
  <c r="F487" i="8" s="1"/>
  <c r="D484" i="8"/>
  <c r="G484" i="8" s="1"/>
  <c r="D475" i="8"/>
  <c r="G475" i="8" s="1"/>
  <c r="C471" i="8"/>
  <c r="F471" i="8" s="1"/>
  <c r="C440" i="8"/>
  <c r="F440" i="8" s="1"/>
  <c r="C439" i="8"/>
  <c r="F439" i="8" s="1"/>
  <c r="D432" i="8"/>
  <c r="G432" i="8" s="1"/>
  <c r="D431" i="8"/>
  <c r="G431" i="8" s="1"/>
  <c r="D400" i="8"/>
  <c r="G400" i="8" s="1"/>
  <c r="C388" i="8"/>
  <c r="F388" i="8" s="1"/>
  <c r="C372" i="8"/>
  <c r="F372" i="8" s="1"/>
  <c r="D364" i="8"/>
  <c r="G364" i="8" s="1"/>
  <c r="C356" i="8"/>
  <c r="F356" i="8" s="1"/>
  <c r="I356" i="8" s="1"/>
  <c r="D348" i="8"/>
  <c r="G348" i="8" s="1"/>
  <c r="E324" i="8"/>
  <c r="H324" i="8" s="1"/>
  <c r="C292" i="8"/>
  <c r="F292" i="8" s="1"/>
  <c r="E276" i="8"/>
  <c r="H276" i="8" s="1"/>
  <c r="C275" i="8"/>
  <c r="F275" i="8" s="1"/>
  <c r="C259" i="8"/>
  <c r="F259" i="8" s="1"/>
  <c r="D258" i="8"/>
  <c r="G258" i="8" s="1"/>
  <c r="E243" i="8"/>
  <c r="H243" i="8" s="1"/>
  <c r="E211" i="8"/>
  <c r="H211" i="8" s="1"/>
  <c r="D194" i="8"/>
  <c r="G194" i="8" s="1"/>
  <c r="D556" i="8"/>
  <c r="G556" i="8" s="1"/>
  <c r="D527" i="8"/>
  <c r="G527" i="8" s="1"/>
  <c r="D523" i="8"/>
  <c r="G523" i="8" s="1"/>
  <c r="D500" i="8"/>
  <c r="G500" i="8" s="1"/>
  <c r="D491" i="8"/>
  <c r="G491" i="8" s="1"/>
  <c r="D483" i="8"/>
  <c r="G483" i="8" s="1"/>
  <c r="D436" i="8"/>
  <c r="G436" i="8" s="1"/>
  <c r="D423" i="8"/>
  <c r="G423" i="8" s="1"/>
  <c r="D419" i="8"/>
  <c r="G419" i="8" s="1"/>
  <c r="D282" i="8"/>
  <c r="G282" i="8" s="1"/>
  <c r="E201" i="8"/>
  <c r="H201" i="8" s="1"/>
  <c r="B172" i="1"/>
  <c r="B166" i="1"/>
  <c r="E463" i="8"/>
  <c r="H463" i="8" s="1"/>
  <c r="D463" i="8"/>
  <c r="G463" i="8" s="1"/>
  <c r="E460" i="8"/>
  <c r="H460" i="8" s="1"/>
  <c r="C460" i="8"/>
  <c r="F460" i="8" s="1"/>
  <c r="D460" i="8"/>
  <c r="G460" i="8" s="1"/>
  <c r="E456" i="8"/>
  <c r="H456" i="8" s="1"/>
  <c r="C456" i="8"/>
  <c r="F456" i="8" s="1"/>
  <c r="D456" i="8"/>
  <c r="G456" i="8" s="1"/>
  <c r="E428" i="8"/>
  <c r="H428" i="8" s="1"/>
  <c r="D428" i="8"/>
  <c r="G428" i="8" s="1"/>
  <c r="E407" i="8"/>
  <c r="H407" i="8" s="1"/>
  <c r="C407" i="8"/>
  <c r="F407" i="8" s="1"/>
  <c r="D407" i="8"/>
  <c r="G407" i="8" s="1"/>
  <c r="E396" i="8"/>
  <c r="H396" i="8" s="1"/>
  <c r="C396" i="8"/>
  <c r="F396" i="8" s="1"/>
  <c r="D396" i="8"/>
  <c r="G396" i="8" s="1"/>
  <c r="D382" i="8"/>
  <c r="G382" i="8" s="1"/>
  <c r="C382" i="8"/>
  <c r="F382" i="8" s="1"/>
  <c r="E382" i="8"/>
  <c r="H382" i="8" s="1"/>
  <c r="E373" i="8"/>
  <c r="H373" i="8" s="1"/>
  <c r="D373" i="8"/>
  <c r="G373" i="8" s="1"/>
  <c r="D358" i="8"/>
  <c r="G358" i="8" s="1"/>
  <c r="C358" i="8"/>
  <c r="F358" i="8" s="1"/>
  <c r="E358" i="8"/>
  <c r="H358" i="8" s="1"/>
  <c r="D342" i="8"/>
  <c r="G342" i="8" s="1"/>
  <c r="C342" i="8"/>
  <c r="F342" i="8" s="1"/>
  <c r="E342" i="8"/>
  <c r="H342" i="8" s="1"/>
  <c r="D340" i="8"/>
  <c r="G340" i="8" s="1"/>
  <c r="E340" i="8"/>
  <c r="H340" i="8" s="1"/>
  <c r="D316" i="8"/>
  <c r="G316" i="8" s="1"/>
  <c r="E316" i="8"/>
  <c r="H316" i="8" s="1"/>
  <c r="D300" i="8"/>
  <c r="G300" i="8" s="1"/>
  <c r="E300" i="8"/>
  <c r="H300" i="8" s="1"/>
  <c r="E274" i="8"/>
  <c r="H274" i="8" s="1"/>
  <c r="C274" i="8"/>
  <c r="F274" i="8" s="1"/>
  <c r="D274" i="8"/>
  <c r="G274" i="8" s="1"/>
  <c r="C230" i="8"/>
  <c r="F230" i="8" s="1"/>
  <c r="D230" i="8"/>
  <c r="G230" i="8" s="1"/>
  <c r="E230" i="8"/>
  <c r="H230" i="8" s="1"/>
  <c r="C193" i="8"/>
  <c r="F193" i="8" s="1"/>
  <c r="E193" i="8"/>
  <c r="H193" i="8" s="1"/>
  <c r="D612" i="8"/>
  <c r="G612" i="8" s="1"/>
  <c r="D596" i="8"/>
  <c r="G596" i="8" s="1"/>
  <c r="D580" i="8"/>
  <c r="G580" i="8" s="1"/>
  <c r="D564" i="8"/>
  <c r="G564" i="8" s="1"/>
  <c r="D547" i="8"/>
  <c r="G547" i="8" s="1"/>
  <c r="E472" i="8"/>
  <c r="H472" i="8" s="1"/>
  <c r="D472" i="8"/>
  <c r="G472" i="8" s="1"/>
  <c r="E464" i="8"/>
  <c r="H464" i="8" s="1"/>
  <c r="D464" i="8"/>
  <c r="G464" i="8" s="1"/>
  <c r="E447" i="8"/>
  <c r="H447" i="8" s="1"/>
  <c r="C447" i="8"/>
  <c r="F447" i="8" s="1"/>
  <c r="D447" i="8"/>
  <c r="G447" i="8" s="1"/>
  <c r="E424" i="8"/>
  <c r="H424" i="8" s="1"/>
  <c r="D424" i="8"/>
  <c r="G424" i="8" s="1"/>
  <c r="E411" i="8"/>
  <c r="H411" i="8" s="1"/>
  <c r="D411" i="8"/>
  <c r="G411" i="8" s="1"/>
  <c r="D374" i="8"/>
  <c r="G374" i="8" s="1"/>
  <c r="C374" i="8"/>
  <c r="F374" i="8" s="1"/>
  <c r="E374" i="8"/>
  <c r="H374" i="8" s="1"/>
  <c r="E365" i="8"/>
  <c r="H365" i="8" s="1"/>
  <c r="D365" i="8"/>
  <c r="G365" i="8" s="1"/>
  <c r="E349" i="8"/>
  <c r="H349" i="8" s="1"/>
  <c r="D349" i="8"/>
  <c r="G349" i="8" s="1"/>
  <c r="E331" i="8"/>
  <c r="H331" i="8" s="1"/>
  <c r="D331" i="8"/>
  <c r="G331" i="8" s="1"/>
  <c r="D308" i="8"/>
  <c r="G308" i="8" s="1"/>
  <c r="C308" i="8"/>
  <c r="F308" i="8" s="1"/>
  <c r="E308" i="8"/>
  <c r="H308" i="8" s="1"/>
  <c r="D284" i="8"/>
  <c r="G284" i="8" s="1"/>
  <c r="C284" i="8"/>
  <c r="F284" i="8" s="1"/>
  <c r="E284" i="8"/>
  <c r="H284" i="8" s="1"/>
  <c r="E267" i="8"/>
  <c r="H267" i="8" s="1"/>
  <c r="D267" i="8"/>
  <c r="G267" i="8" s="1"/>
  <c r="C222" i="8"/>
  <c r="F222" i="8" s="1"/>
  <c r="D222" i="8"/>
  <c r="G222" i="8" s="1"/>
  <c r="E222" i="8"/>
  <c r="H222" i="8" s="1"/>
  <c r="C202" i="8"/>
  <c r="F202" i="8" s="1"/>
  <c r="E202" i="8"/>
  <c r="H202" i="8" s="1"/>
  <c r="C153" i="8"/>
  <c r="F153" i="8" s="1"/>
  <c r="E153" i="8"/>
  <c r="H153" i="8" s="1"/>
  <c r="E642" i="8"/>
  <c r="H642" i="8" s="1"/>
  <c r="C637" i="8"/>
  <c r="F637" i="8" s="1"/>
  <c r="C633" i="8"/>
  <c r="F633" i="8" s="1"/>
  <c r="C628" i="8"/>
  <c r="F628" i="8" s="1"/>
  <c r="C624" i="8"/>
  <c r="F624" i="8" s="1"/>
  <c r="C613" i="8"/>
  <c r="F613" i="8" s="1"/>
  <c r="C612" i="8"/>
  <c r="F612" i="8" s="1"/>
  <c r="C611" i="8"/>
  <c r="F611" i="8" s="1"/>
  <c r="C597" i="8"/>
  <c r="F597" i="8" s="1"/>
  <c r="C596" i="8"/>
  <c r="F596" i="8" s="1"/>
  <c r="C595" i="8"/>
  <c r="F595" i="8" s="1"/>
  <c r="C581" i="8"/>
  <c r="F581" i="8" s="1"/>
  <c r="C580" i="8"/>
  <c r="F580" i="8" s="1"/>
  <c r="C579" i="8"/>
  <c r="F579" i="8" s="1"/>
  <c r="C565" i="8"/>
  <c r="F565" i="8" s="1"/>
  <c r="C564" i="8"/>
  <c r="F564" i="8" s="1"/>
  <c r="C563" i="8"/>
  <c r="F563" i="8" s="1"/>
  <c r="D551" i="8"/>
  <c r="G551" i="8" s="1"/>
  <c r="C547" i="8"/>
  <c r="F547" i="8" s="1"/>
  <c r="D543" i="8"/>
  <c r="G543" i="8" s="1"/>
  <c r="C541" i="8"/>
  <c r="F541" i="8" s="1"/>
  <c r="D532" i="8"/>
  <c r="G532" i="8" s="1"/>
  <c r="D524" i="8"/>
  <c r="G524" i="8" s="1"/>
  <c r="D516" i="8"/>
  <c r="G516" i="8" s="1"/>
  <c r="C515" i="8"/>
  <c r="F515" i="8" s="1"/>
  <c r="C512" i="8"/>
  <c r="F512" i="8" s="1"/>
  <c r="C511" i="8"/>
  <c r="F511" i="8" s="1"/>
  <c r="C507" i="8"/>
  <c r="F507" i="8" s="1"/>
  <c r="C503" i="8"/>
  <c r="F503" i="8" s="1"/>
  <c r="C499" i="8"/>
  <c r="F499" i="8" s="1"/>
  <c r="D492" i="8"/>
  <c r="G492" i="8" s="1"/>
  <c r="C488" i="8"/>
  <c r="F488" i="8" s="1"/>
  <c r="I488" i="8" s="1"/>
  <c r="C475" i="8"/>
  <c r="F475" i="8" s="1"/>
  <c r="C467" i="8"/>
  <c r="F467" i="8" s="1"/>
  <c r="E451" i="8"/>
  <c r="H451" i="8" s="1"/>
  <c r="D451" i="8"/>
  <c r="G451" i="8" s="1"/>
  <c r="E420" i="8"/>
  <c r="H420" i="8" s="1"/>
  <c r="D420" i="8"/>
  <c r="G420" i="8" s="1"/>
  <c r="E415" i="8"/>
  <c r="H415" i="8" s="1"/>
  <c r="D415" i="8"/>
  <c r="G415" i="8" s="1"/>
  <c r="E412" i="8"/>
  <c r="H412" i="8" s="1"/>
  <c r="C412" i="8"/>
  <c r="F412" i="8" s="1"/>
  <c r="D412" i="8"/>
  <c r="G412" i="8" s="1"/>
  <c r="E408" i="8"/>
  <c r="H408" i="8" s="1"/>
  <c r="C408" i="8"/>
  <c r="F408" i="8" s="1"/>
  <c r="D408" i="8"/>
  <c r="G408" i="8" s="1"/>
  <c r="E389" i="8"/>
  <c r="H389" i="8" s="1"/>
  <c r="D389" i="8"/>
  <c r="G389" i="8" s="1"/>
  <c r="C385" i="8"/>
  <c r="F385" i="8" s="1"/>
  <c r="D366" i="8"/>
  <c r="G366" i="8" s="1"/>
  <c r="C366" i="8"/>
  <c r="F366" i="8" s="1"/>
  <c r="E366" i="8"/>
  <c r="H366" i="8" s="1"/>
  <c r="C361" i="8"/>
  <c r="F361" i="8" s="1"/>
  <c r="D350" i="8"/>
  <c r="G350" i="8" s="1"/>
  <c r="C350" i="8"/>
  <c r="F350" i="8" s="1"/>
  <c r="E350" i="8"/>
  <c r="H350" i="8" s="1"/>
  <c r="C345" i="8"/>
  <c r="F345" i="8" s="1"/>
  <c r="C338" i="8"/>
  <c r="F338" i="8" s="1"/>
  <c r="D332" i="8"/>
  <c r="G332" i="8" s="1"/>
  <c r="C332" i="8"/>
  <c r="F332" i="8" s="1"/>
  <c r="E332" i="8"/>
  <c r="H332" i="8" s="1"/>
  <c r="E322" i="8"/>
  <c r="H322" i="8" s="1"/>
  <c r="D322" i="8"/>
  <c r="G322" i="8" s="1"/>
  <c r="E315" i="8"/>
  <c r="H315" i="8" s="1"/>
  <c r="D315" i="8"/>
  <c r="G315" i="8" s="1"/>
  <c r="E306" i="8"/>
  <c r="H306" i="8" s="1"/>
  <c r="D306" i="8"/>
  <c r="G306" i="8" s="1"/>
  <c r="D268" i="8"/>
  <c r="G268" i="8" s="1"/>
  <c r="C268" i="8"/>
  <c r="F268" i="8" s="1"/>
  <c r="E268" i="8"/>
  <c r="H268" i="8" s="1"/>
  <c r="E250" i="8"/>
  <c r="H250" i="8" s="1"/>
  <c r="D250" i="8"/>
  <c r="G250" i="8" s="1"/>
  <c r="C214" i="8"/>
  <c r="F214" i="8" s="1"/>
  <c r="D214" i="8"/>
  <c r="G214" i="8" s="1"/>
  <c r="E214" i="8"/>
  <c r="H214" i="8" s="1"/>
  <c r="C162" i="8"/>
  <c r="F162" i="8" s="1"/>
  <c r="D162" i="8"/>
  <c r="G162" i="8" s="1"/>
  <c r="E162" i="8"/>
  <c r="H162" i="8" s="1"/>
  <c r="C642" i="8"/>
  <c r="F642" i="8" s="1"/>
  <c r="C629" i="8"/>
  <c r="F629" i="8" s="1"/>
  <c r="C625" i="8"/>
  <c r="F625" i="8" s="1"/>
  <c r="C620" i="8"/>
  <c r="F620" i="8" s="1"/>
  <c r="D615" i="8"/>
  <c r="G615" i="8" s="1"/>
  <c r="E609" i="8"/>
  <c r="H609" i="8" s="1"/>
  <c r="D599" i="8"/>
  <c r="G599" i="8" s="1"/>
  <c r="E593" i="8"/>
  <c r="H593" i="8" s="1"/>
  <c r="D583" i="8"/>
  <c r="G583" i="8" s="1"/>
  <c r="E577" i="8"/>
  <c r="H577" i="8" s="1"/>
  <c r="D567" i="8"/>
  <c r="G567" i="8" s="1"/>
  <c r="E561" i="8"/>
  <c r="H561" i="8" s="1"/>
  <c r="C543" i="8"/>
  <c r="F543" i="8" s="1"/>
  <c r="C533" i="8"/>
  <c r="F533" i="8" s="1"/>
  <c r="C525" i="8"/>
  <c r="F525" i="8" s="1"/>
  <c r="D519" i="8"/>
  <c r="G519" i="8" s="1"/>
  <c r="C517" i="8"/>
  <c r="F517" i="8" s="1"/>
  <c r="C513" i="8"/>
  <c r="F513" i="8" s="1"/>
  <c r="C492" i="8"/>
  <c r="F492" i="8" s="1"/>
  <c r="D480" i="8"/>
  <c r="G480" i="8" s="1"/>
  <c r="D479" i="8"/>
  <c r="G479" i="8" s="1"/>
  <c r="I479" i="8" s="1"/>
  <c r="E476" i="8"/>
  <c r="H476" i="8" s="1"/>
  <c r="D476" i="8"/>
  <c r="G476" i="8" s="1"/>
  <c r="D471" i="8"/>
  <c r="G471" i="8" s="1"/>
  <c r="I471" i="8" s="1"/>
  <c r="E468" i="8"/>
  <c r="H468" i="8" s="1"/>
  <c r="D468" i="8"/>
  <c r="G468" i="8" s="1"/>
  <c r="C463" i="8"/>
  <c r="F463" i="8" s="1"/>
  <c r="E459" i="8"/>
  <c r="H459" i="8" s="1"/>
  <c r="D459" i="8"/>
  <c r="G459" i="8" s="1"/>
  <c r="E455" i="8"/>
  <c r="H455" i="8" s="1"/>
  <c r="D455" i="8"/>
  <c r="G455" i="8" s="1"/>
  <c r="E452" i="8"/>
  <c r="H452" i="8" s="1"/>
  <c r="C452" i="8"/>
  <c r="F452" i="8" s="1"/>
  <c r="D452" i="8"/>
  <c r="G452" i="8" s="1"/>
  <c r="E448" i="8"/>
  <c r="H448" i="8" s="1"/>
  <c r="C448" i="8"/>
  <c r="F448" i="8" s="1"/>
  <c r="D448" i="8"/>
  <c r="G448" i="8" s="1"/>
  <c r="E443" i="8"/>
  <c r="H443" i="8" s="1"/>
  <c r="C443" i="8"/>
  <c r="F443" i="8" s="1"/>
  <c r="D443" i="8"/>
  <c r="G443" i="8" s="1"/>
  <c r="C428" i="8"/>
  <c r="F428" i="8" s="1"/>
  <c r="E416" i="8"/>
  <c r="H416" i="8" s="1"/>
  <c r="D416" i="8"/>
  <c r="G416" i="8" s="1"/>
  <c r="E395" i="8"/>
  <c r="H395" i="8" s="1"/>
  <c r="D395" i="8"/>
  <c r="G395" i="8" s="1"/>
  <c r="D390" i="8"/>
  <c r="G390" i="8" s="1"/>
  <c r="C390" i="8"/>
  <c r="F390" i="8" s="1"/>
  <c r="E390" i="8"/>
  <c r="H390" i="8" s="1"/>
  <c r="E381" i="8"/>
  <c r="H381" i="8" s="1"/>
  <c r="D381" i="8"/>
  <c r="G381" i="8" s="1"/>
  <c r="C377" i="8"/>
  <c r="F377" i="8" s="1"/>
  <c r="C373" i="8"/>
  <c r="F373" i="8" s="1"/>
  <c r="E357" i="8"/>
  <c r="H357" i="8" s="1"/>
  <c r="D357" i="8"/>
  <c r="G357" i="8" s="1"/>
  <c r="C340" i="8"/>
  <c r="F340" i="8" s="1"/>
  <c r="E330" i="8"/>
  <c r="H330" i="8" s="1"/>
  <c r="C330" i="8"/>
  <c r="F330" i="8" s="1"/>
  <c r="E323" i="8"/>
  <c r="H323" i="8" s="1"/>
  <c r="C323" i="8"/>
  <c r="F323" i="8" s="1"/>
  <c r="D323" i="8"/>
  <c r="G323" i="8" s="1"/>
  <c r="C316" i="8"/>
  <c r="F316" i="8" s="1"/>
  <c r="E307" i="8"/>
  <c r="H307" i="8" s="1"/>
  <c r="C307" i="8"/>
  <c r="F307" i="8" s="1"/>
  <c r="D307" i="8"/>
  <c r="G307" i="8" s="1"/>
  <c r="C300" i="8"/>
  <c r="F300" i="8" s="1"/>
  <c r="E290" i="8"/>
  <c r="H290" i="8" s="1"/>
  <c r="C290" i="8"/>
  <c r="F290" i="8" s="1"/>
  <c r="D290" i="8"/>
  <c r="G290" i="8" s="1"/>
  <c r="E283" i="8"/>
  <c r="H283" i="8" s="1"/>
  <c r="C283" i="8"/>
  <c r="F283" i="8" s="1"/>
  <c r="D283" i="8"/>
  <c r="G283" i="8" s="1"/>
  <c r="D260" i="8"/>
  <c r="G260" i="8" s="1"/>
  <c r="E260" i="8"/>
  <c r="H260" i="8" s="1"/>
  <c r="C238" i="8"/>
  <c r="F238" i="8" s="1"/>
  <c r="D238" i="8"/>
  <c r="G238" i="8" s="1"/>
  <c r="E238" i="8"/>
  <c r="H238" i="8" s="1"/>
  <c r="C209" i="8"/>
  <c r="F209" i="8" s="1"/>
  <c r="D209" i="8"/>
  <c r="G209" i="8" s="1"/>
  <c r="E209" i="8"/>
  <c r="H209" i="8" s="1"/>
  <c r="D193" i="8"/>
  <c r="G193" i="8" s="1"/>
  <c r="C185" i="8"/>
  <c r="F185" i="8" s="1"/>
  <c r="E185" i="8"/>
  <c r="H185" i="8" s="1"/>
  <c r="C169" i="8"/>
  <c r="F169" i="8" s="1"/>
  <c r="E169" i="8"/>
  <c r="H169" i="8" s="1"/>
  <c r="C324" i="8"/>
  <c r="F324" i="8" s="1"/>
  <c r="C314" i="8"/>
  <c r="F314" i="8" s="1"/>
  <c r="C298" i="8"/>
  <c r="F298" i="8" s="1"/>
  <c r="C276" i="8"/>
  <c r="F276" i="8" s="1"/>
  <c r="C258" i="8"/>
  <c r="F258" i="8" s="1"/>
  <c r="C252" i="8"/>
  <c r="F252" i="8" s="1"/>
  <c r="D161" i="8"/>
  <c r="G161" i="8" s="1"/>
  <c r="D664" i="8"/>
  <c r="G664" i="8" s="1"/>
  <c r="E664" i="8"/>
  <c r="H664" i="8" s="1"/>
  <c r="D656" i="8"/>
  <c r="G656" i="8" s="1"/>
  <c r="E656" i="8"/>
  <c r="H656" i="8" s="1"/>
  <c r="D648" i="8"/>
  <c r="G648" i="8" s="1"/>
  <c r="E648" i="8"/>
  <c r="H648" i="8" s="1"/>
  <c r="C635" i="8"/>
  <c r="F635" i="8" s="1"/>
  <c r="D635" i="8"/>
  <c r="G635" i="8" s="1"/>
  <c r="E635" i="8"/>
  <c r="H635" i="8" s="1"/>
  <c r="D626" i="8"/>
  <c r="G626" i="8" s="1"/>
  <c r="C626" i="8"/>
  <c r="F626" i="8" s="1"/>
  <c r="E616" i="8"/>
  <c r="H616" i="8" s="1"/>
  <c r="C616" i="8"/>
  <c r="F616" i="8" s="1"/>
  <c r="D616" i="8"/>
  <c r="G616" i="8" s="1"/>
  <c r="E584" i="8"/>
  <c r="H584" i="8" s="1"/>
  <c r="C584" i="8"/>
  <c r="F584" i="8" s="1"/>
  <c r="D584" i="8"/>
  <c r="G584" i="8" s="1"/>
  <c r="C546" i="8"/>
  <c r="F546" i="8" s="1"/>
  <c r="D546" i="8"/>
  <c r="G546" i="8" s="1"/>
  <c r="C542" i="8"/>
  <c r="F542" i="8" s="1"/>
  <c r="D542" i="8"/>
  <c r="G542" i="8" s="1"/>
  <c r="E542" i="8"/>
  <c r="H542" i="8" s="1"/>
  <c r="C526" i="8"/>
  <c r="F526" i="8" s="1"/>
  <c r="D526" i="8"/>
  <c r="G526" i="8" s="1"/>
  <c r="E526" i="8"/>
  <c r="H526" i="8" s="1"/>
  <c r="C510" i="8"/>
  <c r="F510" i="8" s="1"/>
  <c r="D510" i="8"/>
  <c r="G510" i="8" s="1"/>
  <c r="E510" i="8"/>
  <c r="H510" i="8" s="1"/>
  <c r="C486" i="8"/>
  <c r="F486" i="8" s="1"/>
  <c r="D486" i="8"/>
  <c r="G486" i="8" s="1"/>
  <c r="E486" i="8"/>
  <c r="H486" i="8" s="1"/>
  <c r="C478" i="8"/>
  <c r="F478" i="8" s="1"/>
  <c r="D478" i="8"/>
  <c r="G478" i="8" s="1"/>
  <c r="E478" i="8"/>
  <c r="H478" i="8" s="1"/>
  <c r="D465" i="8"/>
  <c r="G465" i="8" s="1"/>
  <c r="C465" i="8"/>
  <c r="F465" i="8" s="1"/>
  <c r="E465" i="8"/>
  <c r="H465" i="8" s="1"/>
  <c r="C450" i="8"/>
  <c r="F450" i="8" s="1"/>
  <c r="D450" i="8"/>
  <c r="G450" i="8" s="1"/>
  <c r="E450" i="8"/>
  <c r="H450" i="8" s="1"/>
  <c r="D433" i="8"/>
  <c r="G433" i="8" s="1"/>
  <c r="C433" i="8"/>
  <c r="F433" i="8" s="1"/>
  <c r="E433" i="8"/>
  <c r="H433" i="8" s="1"/>
  <c r="C418" i="8"/>
  <c r="F418" i="8" s="1"/>
  <c r="D418" i="8"/>
  <c r="G418" i="8" s="1"/>
  <c r="E418" i="8"/>
  <c r="H418" i="8" s="1"/>
  <c r="E294" i="8"/>
  <c r="H294" i="8" s="1"/>
  <c r="C294" i="8"/>
  <c r="F294" i="8" s="1"/>
  <c r="D294" i="8"/>
  <c r="G294" i="8" s="1"/>
  <c r="E670" i="8"/>
  <c r="H670" i="8" s="1"/>
  <c r="E666" i="8"/>
  <c r="H666" i="8" s="1"/>
  <c r="E662" i="8"/>
  <c r="H662" i="8" s="1"/>
  <c r="E658" i="8"/>
  <c r="H658" i="8" s="1"/>
  <c r="E654" i="8"/>
  <c r="H654" i="8" s="1"/>
  <c r="E650" i="8"/>
  <c r="H650" i="8" s="1"/>
  <c r="E646" i="8"/>
  <c r="H646" i="8" s="1"/>
  <c r="C639" i="8"/>
  <c r="F639" i="8" s="1"/>
  <c r="D639" i="8"/>
  <c r="G639" i="8" s="1"/>
  <c r="E639" i="8"/>
  <c r="H639" i="8" s="1"/>
  <c r="D630" i="8"/>
  <c r="G630" i="8" s="1"/>
  <c r="C630" i="8"/>
  <c r="F630" i="8" s="1"/>
  <c r="C623" i="8"/>
  <c r="F623" i="8" s="1"/>
  <c r="D623" i="8"/>
  <c r="G623" i="8" s="1"/>
  <c r="E623" i="8"/>
  <c r="H623" i="8" s="1"/>
  <c r="C606" i="8"/>
  <c r="F606" i="8" s="1"/>
  <c r="D606" i="8"/>
  <c r="G606" i="8" s="1"/>
  <c r="E606" i="8"/>
  <c r="H606" i="8" s="1"/>
  <c r="C590" i="8"/>
  <c r="F590" i="8" s="1"/>
  <c r="D590" i="8"/>
  <c r="G590" i="8" s="1"/>
  <c r="E590" i="8"/>
  <c r="H590" i="8" s="1"/>
  <c r="C574" i="8"/>
  <c r="F574" i="8" s="1"/>
  <c r="D574" i="8"/>
  <c r="G574" i="8" s="1"/>
  <c r="E574" i="8"/>
  <c r="H574" i="8" s="1"/>
  <c r="C558" i="8"/>
  <c r="F558" i="8" s="1"/>
  <c r="D558" i="8"/>
  <c r="G558" i="8" s="1"/>
  <c r="E558" i="8"/>
  <c r="H558" i="8" s="1"/>
  <c r="E536" i="8"/>
  <c r="H536" i="8" s="1"/>
  <c r="C536" i="8"/>
  <c r="F536" i="8" s="1"/>
  <c r="D536" i="8"/>
  <c r="G536" i="8" s="1"/>
  <c r="C534" i="8"/>
  <c r="F534" i="8" s="1"/>
  <c r="D534" i="8"/>
  <c r="G534" i="8" s="1"/>
  <c r="E534" i="8"/>
  <c r="H534" i="8" s="1"/>
  <c r="C402" i="8"/>
  <c r="F402" i="8" s="1"/>
  <c r="D402" i="8"/>
  <c r="G402" i="8" s="1"/>
  <c r="E402" i="8"/>
  <c r="H402" i="8" s="1"/>
  <c r="C398" i="8"/>
  <c r="F398" i="8" s="1"/>
  <c r="D398" i="8"/>
  <c r="G398" i="8" s="1"/>
  <c r="E398" i="8"/>
  <c r="H398" i="8" s="1"/>
  <c r="C375" i="8"/>
  <c r="F375" i="8" s="1"/>
  <c r="D375" i="8"/>
  <c r="G375" i="8" s="1"/>
  <c r="E375" i="8"/>
  <c r="H375" i="8" s="1"/>
  <c r="E352" i="8"/>
  <c r="H352" i="8" s="1"/>
  <c r="C352" i="8"/>
  <c r="F352" i="8" s="1"/>
  <c r="D352" i="8"/>
  <c r="G352" i="8" s="1"/>
  <c r="D320" i="8"/>
  <c r="G320" i="8" s="1"/>
  <c r="C320" i="8"/>
  <c r="F320" i="8" s="1"/>
  <c r="E320" i="8"/>
  <c r="H320" i="8" s="1"/>
  <c r="C277" i="8"/>
  <c r="F277" i="8" s="1"/>
  <c r="D277" i="8"/>
  <c r="G277" i="8" s="1"/>
  <c r="E277" i="8"/>
  <c r="H277" i="8" s="1"/>
  <c r="E263" i="8"/>
  <c r="H263" i="8" s="1"/>
  <c r="D263" i="8"/>
  <c r="G263" i="8" s="1"/>
  <c r="C263" i="8"/>
  <c r="F263" i="8" s="1"/>
  <c r="D256" i="8"/>
  <c r="G256" i="8" s="1"/>
  <c r="C256" i="8"/>
  <c r="F256" i="8" s="1"/>
  <c r="E256" i="8"/>
  <c r="H256" i="8" s="1"/>
  <c r="E155" i="8"/>
  <c r="H155" i="8" s="1"/>
  <c r="C155" i="8"/>
  <c r="F155" i="8" s="1"/>
  <c r="D155" i="8"/>
  <c r="G155" i="8" s="1"/>
  <c r="D660" i="8"/>
  <c r="G660" i="8" s="1"/>
  <c r="E660" i="8"/>
  <c r="H660" i="8" s="1"/>
  <c r="D652" i="8"/>
  <c r="G652" i="8" s="1"/>
  <c r="E652" i="8"/>
  <c r="H652" i="8" s="1"/>
  <c r="D644" i="8"/>
  <c r="G644" i="8" s="1"/>
  <c r="E644" i="8"/>
  <c r="H644" i="8" s="1"/>
  <c r="C619" i="8"/>
  <c r="F619" i="8" s="1"/>
  <c r="D619" i="8"/>
  <c r="G619" i="8" s="1"/>
  <c r="E619" i="8"/>
  <c r="H619" i="8" s="1"/>
  <c r="E600" i="8"/>
  <c r="H600" i="8" s="1"/>
  <c r="C600" i="8"/>
  <c r="F600" i="8" s="1"/>
  <c r="D600" i="8"/>
  <c r="G600" i="8" s="1"/>
  <c r="E568" i="8"/>
  <c r="H568" i="8" s="1"/>
  <c r="C568" i="8"/>
  <c r="F568" i="8" s="1"/>
  <c r="D568" i="8"/>
  <c r="G568" i="8" s="1"/>
  <c r="E544" i="8"/>
  <c r="H544" i="8" s="1"/>
  <c r="C544" i="8"/>
  <c r="F544" i="8" s="1"/>
  <c r="D544" i="8"/>
  <c r="G544" i="8" s="1"/>
  <c r="C538" i="8"/>
  <c r="F538" i="8" s="1"/>
  <c r="D538" i="8"/>
  <c r="G538" i="8" s="1"/>
  <c r="E528" i="8"/>
  <c r="H528" i="8" s="1"/>
  <c r="C528" i="8"/>
  <c r="F528" i="8" s="1"/>
  <c r="D528" i="8"/>
  <c r="G528" i="8" s="1"/>
  <c r="D497" i="8"/>
  <c r="G497" i="8" s="1"/>
  <c r="C497" i="8"/>
  <c r="F497" i="8" s="1"/>
  <c r="E497" i="8"/>
  <c r="H497" i="8" s="1"/>
  <c r="C482" i="8"/>
  <c r="F482" i="8" s="1"/>
  <c r="D482" i="8"/>
  <c r="G482" i="8" s="1"/>
  <c r="E482" i="8"/>
  <c r="H482" i="8" s="1"/>
  <c r="C454" i="8"/>
  <c r="F454" i="8" s="1"/>
  <c r="D454" i="8"/>
  <c r="G454" i="8" s="1"/>
  <c r="E454" i="8"/>
  <c r="H454" i="8" s="1"/>
  <c r="C446" i="8"/>
  <c r="F446" i="8" s="1"/>
  <c r="D446" i="8"/>
  <c r="G446" i="8" s="1"/>
  <c r="E446" i="8"/>
  <c r="H446" i="8" s="1"/>
  <c r="C422" i="8"/>
  <c r="F422" i="8" s="1"/>
  <c r="D422" i="8"/>
  <c r="G422" i="8" s="1"/>
  <c r="E422" i="8"/>
  <c r="H422" i="8" s="1"/>
  <c r="C414" i="8"/>
  <c r="F414" i="8" s="1"/>
  <c r="D414" i="8"/>
  <c r="G414" i="8" s="1"/>
  <c r="E414" i="8"/>
  <c r="H414" i="8" s="1"/>
  <c r="C343" i="8"/>
  <c r="F343" i="8" s="1"/>
  <c r="D343" i="8"/>
  <c r="G343" i="8" s="1"/>
  <c r="E343" i="8"/>
  <c r="H343" i="8" s="1"/>
  <c r="C670" i="8"/>
  <c r="F670" i="8" s="1"/>
  <c r="C666" i="8"/>
  <c r="F666" i="8" s="1"/>
  <c r="C662" i="8"/>
  <c r="F662" i="8" s="1"/>
  <c r="C658" i="8"/>
  <c r="F658" i="8" s="1"/>
  <c r="C654" i="8"/>
  <c r="F654" i="8" s="1"/>
  <c r="D634" i="8"/>
  <c r="G634" i="8" s="1"/>
  <c r="C634" i="8"/>
  <c r="F634" i="8" s="1"/>
  <c r="C627" i="8"/>
  <c r="F627" i="8" s="1"/>
  <c r="D627" i="8"/>
  <c r="G627" i="8" s="1"/>
  <c r="E627" i="8"/>
  <c r="H627" i="8" s="1"/>
  <c r="E608" i="8"/>
  <c r="H608" i="8" s="1"/>
  <c r="C608" i="8"/>
  <c r="F608" i="8" s="1"/>
  <c r="D608" i="8"/>
  <c r="G608" i="8" s="1"/>
  <c r="E592" i="8"/>
  <c r="H592" i="8" s="1"/>
  <c r="C592" i="8"/>
  <c r="F592" i="8" s="1"/>
  <c r="D592" i="8"/>
  <c r="G592" i="8" s="1"/>
  <c r="E576" i="8"/>
  <c r="H576" i="8" s="1"/>
  <c r="C576" i="8"/>
  <c r="F576" i="8" s="1"/>
  <c r="D576" i="8"/>
  <c r="G576" i="8" s="1"/>
  <c r="E560" i="8"/>
  <c r="H560" i="8" s="1"/>
  <c r="C560" i="8"/>
  <c r="F560" i="8" s="1"/>
  <c r="D560" i="8"/>
  <c r="G560" i="8" s="1"/>
  <c r="C550" i="8"/>
  <c r="F550" i="8" s="1"/>
  <c r="D550" i="8"/>
  <c r="G550" i="8" s="1"/>
  <c r="E550" i="8"/>
  <c r="H550" i="8" s="1"/>
  <c r="C522" i="8"/>
  <c r="F522" i="8" s="1"/>
  <c r="D522" i="8"/>
  <c r="G522" i="8" s="1"/>
  <c r="C502" i="8"/>
  <c r="F502" i="8" s="1"/>
  <c r="D502" i="8"/>
  <c r="G502" i="8" s="1"/>
  <c r="E502" i="8"/>
  <c r="H502" i="8" s="1"/>
  <c r="C498" i="8"/>
  <c r="F498" i="8" s="1"/>
  <c r="D498" i="8"/>
  <c r="G498" i="8" s="1"/>
  <c r="E498" i="8"/>
  <c r="H498" i="8" s="1"/>
  <c r="C494" i="8"/>
  <c r="F494" i="8" s="1"/>
  <c r="D494" i="8"/>
  <c r="G494" i="8" s="1"/>
  <c r="E494" i="8"/>
  <c r="H494" i="8" s="1"/>
  <c r="D481" i="8"/>
  <c r="G481" i="8" s="1"/>
  <c r="C481" i="8"/>
  <c r="F481" i="8" s="1"/>
  <c r="E481" i="8"/>
  <c r="H481" i="8" s="1"/>
  <c r="C470" i="8"/>
  <c r="F470" i="8" s="1"/>
  <c r="D470" i="8"/>
  <c r="G470" i="8" s="1"/>
  <c r="E470" i="8"/>
  <c r="H470" i="8" s="1"/>
  <c r="C466" i="8"/>
  <c r="F466" i="8" s="1"/>
  <c r="D466" i="8"/>
  <c r="G466" i="8" s="1"/>
  <c r="E466" i="8"/>
  <c r="H466" i="8" s="1"/>
  <c r="C462" i="8"/>
  <c r="F462" i="8" s="1"/>
  <c r="D462" i="8"/>
  <c r="G462" i="8" s="1"/>
  <c r="E462" i="8"/>
  <c r="H462" i="8" s="1"/>
  <c r="D449" i="8"/>
  <c r="G449" i="8" s="1"/>
  <c r="C449" i="8"/>
  <c r="F449" i="8" s="1"/>
  <c r="E449" i="8"/>
  <c r="H449" i="8" s="1"/>
  <c r="C438" i="8"/>
  <c r="F438" i="8" s="1"/>
  <c r="D438" i="8"/>
  <c r="G438" i="8" s="1"/>
  <c r="E438" i="8"/>
  <c r="H438" i="8" s="1"/>
  <c r="C434" i="8"/>
  <c r="F434" i="8" s="1"/>
  <c r="D434" i="8"/>
  <c r="G434" i="8" s="1"/>
  <c r="E434" i="8"/>
  <c r="H434" i="8" s="1"/>
  <c r="C430" i="8"/>
  <c r="F430" i="8" s="1"/>
  <c r="D430" i="8"/>
  <c r="G430" i="8" s="1"/>
  <c r="E430" i="8"/>
  <c r="H430" i="8" s="1"/>
  <c r="D417" i="8"/>
  <c r="G417" i="8" s="1"/>
  <c r="C417" i="8"/>
  <c r="F417" i="8" s="1"/>
  <c r="E417" i="8"/>
  <c r="H417" i="8" s="1"/>
  <c r="C406" i="8"/>
  <c r="F406" i="8" s="1"/>
  <c r="D406" i="8"/>
  <c r="G406" i="8" s="1"/>
  <c r="E406" i="8"/>
  <c r="H406" i="8" s="1"/>
  <c r="D397" i="8"/>
  <c r="G397" i="8" s="1"/>
  <c r="C397" i="8"/>
  <c r="F397" i="8" s="1"/>
  <c r="E397" i="8"/>
  <c r="H397" i="8" s="1"/>
  <c r="E384" i="8"/>
  <c r="H384" i="8" s="1"/>
  <c r="C384" i="8"/>
  <c r="F384" i="8" s="1"/>
  <c r="D384" i="8"/>
  <c r="G384" i="8" s="1"/>
  <c r="C190" i="8"/>
  <c r="F190" i="8" s="1"/>
  <c r="D190" i="8"/>
  <c r="G190" i="8" s="1"/>
  <c r="E190" i="8"/>
  <c r="H190" i="8" s="1"/>
  <c r="D668" i="8"/>
  <c r="G668" i="8" s="1"/>
  <c r="E668" i="8"/>
  <c r="H668" i="8" s="1"/>
  <c r="E669" i="8"/>
  <c r="H669" i="8" s="1"/>
  <c r="D669" i="8"/>
  <c r="G669" i="8" s="1"/>
  <c r="C668" i="8"/>
  <c r="F668" i="8" s="1"/>
  <c r="C667" i="8"/>
  <c r="F667" i="8" s="1"/>
  <c r="D667" i="8"/>
  <c r="G667" i="8" s="1"/>
  <c r="E665" i="8"/>
  <c r="H665" i="8" s="1"/>
  <c r="D665" i="8"/>
  <c r="G665" i="8" s="1"/>
  <c r="C664" i="8"/>
  <c r="F664" i="8" s="1"/>
  <c r="C663" i="8"/>
  <c r="F663" i="8" s="1"/>
  <c r="D663" i="8"/>
  <c r="G663" i="8" s="1"/>
  <c r="E661" i="8"/>
  <c r="H661" i="8" s="1"/>
  <c r="D661" i="8"/>
  <c r="G661" i="8" s="1"/>
  <c r="C660" i="8"/>
  <c r="F660" i="8" s="1"/>
  <c r="C659" i="8"/>
  <c r="F659" i="8" s="1"/>
  <c r="D659" i="8"/>
  <c r="G659" i="8" s="1"/>
  <c r="E657" i="8"/>
  <c r="H657" i="8" s="1"/>
  <c r="D657" i="8"/>
  <c r="G657" i="8" s="1"/>
  <c r="C656" i="8"/>
  <c r="F656" i="8" s="1"/>
  <c r="C655" i="8"/>
  <c r="F655" i="8" s="1"/>
  <c r="D655" i="8"/>
  <c r="G655" i="8" s="1"/>
  <c r="E653" i="8"/>
  <c r="H653" i="8" s="1"/>
  <c r="D653" i="8"/>
  <c r="G653" i="8" s="1"/>
  <c r="C652" i="8"/>
  <c r="F652" i="8" s="1"/>
  <c r="C651" i="8"/>
  <c r="F651" i="8" s="1"/>
  <c r="D651" i="8"/>
  <c r="G651" i="8" s="1"/>
  <c r="E649" i="8"/>
  <c r="H649" i="8" s="1"/>
  <c r="D649" i="8"/>
  <c r="G649" i="8" s="1"/>
  <c r="C648" i="8"/>
  <c r="F648" i="8" s="1"/>
  <c r="C647" i="8"/>
  <c r="F647" i="8" s="1"/>
  <c r="D647" i="8"/>
  <c r="G647" i="8" s="1"/>
  <c r="E645" i="8"/>
  <c r="H645" i="8" s="1"/>
  <c r="D645" i="8"/>
  <c r="G645" i="8" s="1"/>
  <c r="C644" i="8"/>
  <c r="F644" i="8" s="1"/>
  <c r="C643" i="8"/>
  <c r="F643" i="8" s="1"/>
  <c r="D643" i="8"/>
  <c r="G643" i="8" s="1"/>
  <c r="E641" i="8"/>
  <c r="H641" i="8" s="1"/>
  <c r="D641" i="8"/>
  <c r="G641" i="8" s="1"/>
  <c r="D638" i="8"/>
  <c r="G638" i="8" s="1"/>
  <c r="C638" i="8"/>
  <c r="F638" i="8" s="1"/>
  <c r="C631" i="8"/>
  <c r="F631" i="8" s="1"/>
  <c r="D631" i="8"/>
  <c r="G631" i="8" s="1"/>
  <c r="E631" i="8"/>
  <c r="H631" i="8" s="1"/>
  <c r="E626" i="8"/>
  <c r="H626" i="8" s="1"/>
  <c r="D622" i="8"/>
  <c r="G622" i="8" s="1"/>
  <c r="C622" i="8"/>
  <c r="F622" i="8" s="1"/>
  <c r="C614" i="8"/>
  <c r="F614" i="8" s="1"/>
  <c r="D614" i="8"/>
  <c r="G614" i="8" s="1"/>
  <c r="E614" i="8"/>
  <c r="H614" i="8" s="1"/>
  <c r="C598" i="8"/>
  <c r="F598" i="8" s="1"/>
  <c r="D598" i="8"/>
  <c r="G598" i="8" s="1"/>
  <c r="E598" i="8"/>
  <c r="H598" i="8" s="1"/>
  <c r="C582" i="8"/>
  <c r="F582" i="8" s="1"/>
  <c r="D582" i="8"/>
  <c r="G582" i="8" s="1"/>
  <c r="E582" i="8"/>
  <c r="H582" i="8" s="1"/>
  <c r="C566" i="8"/>
  <c r="F566" i="8" s="1"/>
  <c r="D566" i="8"/>
  <c r="G566" i="8" s="1"/>
  <c r="E566" i="8"/>
  <c r="H566" i="8" s="1"/>
  <c r="E552" i="8"/>
  <c r="H552" i="8" s="1"/>
  <c r="C552" i="8"/>
  <c r="F552" i="8" s="1"/>
  <c r="D552" i="8"/>
  <c r="G552" i="8" s="1"/>
  <c r="E546" i="8"/>
  <c r="H546" i="8" s="1"/>
  <c r="E538" i="8"/>
  <c r="H538" i="8" s="1"/>
  <c r="C530" i="8"/>
  <c r="F530" i="8" s="1"/>
  <c r="D530" i="8"/>
  <c r="G530" i="8" s="1"/>
  <c r="E520" i="8"/>
  <c r="H520" i="8" s="1"/>
  <c r="C520" i="8"/>
  <c r="F520" i="8" s="1"/>
  <c r="D520" i="8"/>
  <c r="G520" i="8" s="1"/>
  <c r="C518" i="8"/>
  <c r="F518" i="8" s="1"/>
  <c r="D518" i="8"/>
  <c r="G518" i="8" s="1"/>
  <c r="E518" i="8"/>
  <c r="H518" i="8" s="1"/>
  <c r="C514" i="8"/>
  <c r="F514" i="8" s="1"/>
  <c r="D514" i="8"/>
  <c r="G514" i="8" s="1"/>
  <c r="D401" i="8"/>
  <c r="G401" i="8" s="1"/>
  <c r="C401" i="8"/>
  <c r="F401" i="8" s="1"/>
  <c r="E401" i="8"/>
  <c r="H401" i="8" s="1"/>
  <c r="D370" i="8"/>
  <c r="G370" i="8" s="1"/>
  <c r="C370" i="8"/>
  <c r="F370" i="8" s="1"/>
  <c r="E370" i="8"/>
  <c r="H370" i="8" s="1"/>
  <c r="C618" i="8"/>
  <c r="F618" i="8" s="1"/>
  <c r="D618" i="8"/>
  <c r="G618" i="8" s="1"/>
  <c r="C610" i="8"/>
  <c r="F610" i="8" s="1"/>
  <c r="D610" i="8"/>
  <c r="G610" i="8" s="1"/>
  <c r="C602" i="8"/>
  <c r="F602" i="8" s="1"/>
  <c r="D602" i="8"/>
  <c r="G602" i="8" s="1"/>
  <c r="C594" i="8"/>
  <c r="F594" i="8" s="1"/>
  <c r="D594" i="8"/>
  <c r="G594" i="8" s="1"/>
  <c r="C586" i="8"/>
  <c r="F586" i="8" s="1"/>
  <c r="D586" i="8"/>
  <c r="G586" i="8" s="1"/>
  <c r="C578" i="8"/>
  <c r="F578" i="8" s="1"/>
  <c r="D578" i="8"/>
  <c r="G578" i="8" s="1"/>
  <c r="C570" i="8"/>
  <c r="F570" i="8" s="1"/>
  <c r="D570" i="8"/>
  <c r="G570" i="8" s="1"/>
  <c r="C562" i="8"/>
  <c r="F562" i="8" s="1"/>
  <c r="D562" i="8"/>
  <c r="G562" i="8" s="1"/>
  <c r="C554" i="8"/>
  <c r="F554" i="8" s="1"/>
  <c r="D554" i="8"/>
  <c r="G554" i="8" s="1"/>
  <c r="E553" i="8"/>
  <c r="H553" i="8" s="1"/>
  <c r="E545" i="8"/>
  <c r="H545" i="8" s="1"/>
  <c r="C540" i="8"/>
  <c r="F540" i="8" s="1"/>
  <c r="E537" i="8"/>
  <c r="H537" i="8" s="1"/>
  <c r="C532" i="8"/>
  <c r="F532" i="8" s="1"/>
  <c r="E529" i="8"/>
  <c r="H529" i="8" s="1"/>
  <c r="C524" i="8"/>
  <c r="F524" i="8" s="1"/>
  <c r="E521" i="8"/>
  <c r="H521" i="8" s="1"/>
  <c r="C516" i="8"/>
  <c r="F516" i="8" s="1"/>
  <c r="E513" i="8"/>
  <c r="H513" i="8" s="1"/>
  <c r="D509" i="8"/>
  <c r="G509" i="8" s="1"/>
  <c r="C509" i="8"/>
  <c r="F509" i="8" s="1"/>
  <c r="D493" i="8"/>
  <c r="G493" i="8" s="1"/>
  <c r="C493" i="8"/>
  <c r="F493" i="8" s="1"/>
  <c r="D477" i="8"/>
  <c r="G477" i="8" s="1"/>
  <c r="C477" i="8"/>
  <c r="F477" i="8" s="1"/>
  <c r="D461" i="8"/>
  <c r="G461" i="8" s="1"/>
  <c r="C461" i="8"/>
  <c r="F461" i="8" s="1"/>
  <c r="D445" i="8"/>
  <c r="G445" i="8" s="1"/>
  <c r="C445" i="8"/>
  <c r="F445" i="8" s="1"/>
  <c r="D429" i="8"/>
  <c r="G429" i="8" s="1"/>
  <c r="C429" i="8"/>
  <c r="F429" i="8" s="1"/>
  <c r="D413" i="8"/>
  <c r="G413" i="8" s="1"/>
  <c r="C413" i="8"/>
  <c r="F413" i="8" s="1"/>
  <c r="E392" i="8"/>
  <c r="H392" i="8" s="1"/>
  <c r="C392" i="8"/>
  <c r="F392" i="8" s="1"/>
  <c r="D392" i="8"/>
  <c r="G392" i="8" s="1"/>
  <c r="C383" i="8"/>
  <c r="F383" i="8" s="1"/>
  <c r="D383" i="8"/>
  <c r="G383" i="8" s="1"/>
  <c r="E383" i="8"/>
  <c r="H383" i="8" s="1"/>
  <c r="D378" i="8"/>
  <c r="G378" i="8" s="1"/>
  <c r="C378" i="8"/>
  <c r="F378" i="8" s="1"/>
  <c r="E378" i="8"/>
  <c r="H378" i="8" s="1"/>
  <c r="E360" i="8"/>
  <c r="H360" i="8" s="1"/>
  <c r="C360" i="8"/>
  <c r="F360" i="8" s="1"/>
  <c r="D360" i="8"/>
  <c r="G360" i="8" s="1"/>
  <c r="C351" i="8"/>
  <c r="F351" i="8" s="1"/>
  <c r="D351" i="8"/>
  <c r="G351" i="8" s="1"/>
  <c r="E351" i="8"/>
  <c r="H351" i="8" s="1"/>
  <c r="D346" i="8"/>
  <c r="G346" i="8" s="1"/>
  <c r="C346" i="8"/>
  <c r="F346" i="8" s="1"/>
  <c r="E346" i="8"/>
  <c r="H346" i="8" s="1"/>
  <c r="C293" i="8"/>
  <c r="F293" i="8" s="1"/>
  <c r="D293" i="8"/>
  <c r="G293" i="8" s="1"/>
  <c r="E293" i="8"/>
  <c r="H293" i="8" s="1"/>
  <c r="C269" i="8"/>
  <c r="F269" i="8" s="1"/>
  <c r="D269" i="8"/>
  <c r="G269" i="8" s="1"/>
  <c r="E269" i="8"/>
  <c r="H269" i="8" s="1"/>
  <c r="D233" i="8"/>
  <c r="G233" i="8" s="1"/>
  <c r="E233" i="8"/>
  <c r="H233" i="8" s="1"/>
  <c r="C233" i="8"/>
  <c r="F233" i="8" s="1"/>
  <c r="D217" i="8"/>
  <c r="G217" i="8" s="1"/>
  <c r="E217" i="8"/>
  <c r="H217" i="8" s="1"/>
  <c r="C217" i="8"/>
  <c r="F217" i="8" s="1"/>
  <c r="E175" i="8"/>
  <c r="H175" i="8" s="1"/>
  <c r="C175" i="8"/>
  <c r="F175" i="8" s="1"/>
  <c r="D175" i="8"/>
  <c r="G175" i="8" s="1"/>
  <c r="E640" i="8"/>
  <c r="H640" i="8" s="1"/>
  <c r="E636" i="8"/>
  <c r="H636" i="8" s="1"/>
  <c r="E632" i="8"/>
  <c r="H632" i="8" s="1"/>
  <c r="E628" i="8"/>
  <c r="H628" i="8" s="1"/>
  <c r="E624" i="8"/>
  <c r="H624" i="8" s="1"/>
  <c r="E620" i="8"/>
  <c r="H620" i="8" s="1"/>
  <c r="C617" i="8"/>
  <c r="F617" i="8" s="1"/>
  <c r="C615" i="8"/>
  <c r="F615" i="8" s="1"/>
  <c r="C609" i="8"/>
  <c r="F609" i="8" s="1"/>
  <c r="C607" i="8"/>
  <c r="F607" i="8" s="1"/>
  <c r="C601" i="8"/>
  <c r="F601" i="8" s="1"/>
  <c r="I601" i="8" s="1"/>
  <c r="C599" i="8"/>
  <c r="F599" i="8" s="1"/>
  <c r="C593" i="8"/>
  <c r="F593" i="8" s="1"/>
  <c r="C591" i="8"/>
  <c r="F591" i="8" s="1"/>
  <c r="C585" i="8"/>
  <c r="F585" i="8" s="1"/>
  <c r="C583" i="8"/>
  <c r="F583" i="8" s="1"/>
  <c r="C577" i="8"/>
  <c r="F577" i="8" s="1"/>
  <c r="C575" i="8"/>
  <c r="F575" i="8" s="1"/>
  <c r="C569" i="8"/>
  <c r="F569" i="8" s="1"/>
  <c r="C567" i="8"/>
  <c r="F567" i="8" s="1"/>
  <c r="C561" i="8"/>
  <c r="F561" i="8" s="1"/>
  <c r="C559" i="8"/>
  <c r="F559" i="8" s="1"/>
  <c r="C553" i="8"/>
  <c r="F553" i="8" s="1"/>
  <c r="C551" i="8"/>
  <c r="F551" i="8" s="1"/>
  <c r="C545" i="8"/>
  <c r="F545" i="8" s="1"/>
  <c r="C506" i="8"/>
  <c r="F506" i="8" s="1"/>
  <c r="D506" i="8"/>
  <c r="G506" i="8" s="1"/>
  <c r="E506" i="8"/>
  <c r="H506" i="8" s="1"/>
  <c r="D505" i="8"/>
  <c r="G505" i="8" s="1"/>
  <c r="C505" i="8"/>
  <c r="F505" i="8" s="1"/>
  <c r="C490" i="8"/>
  <c r="F490" i="8" s="1"/>
  <c r="D490" i="8"/>
  <c r="G490" i="8" s="1"/>
  <c r="E490" i="8"/>
  <c r="H490" i="8" s="1"/>
  <c r="D489" i="8"/>
  <c r="G489" i="8" s="1"/>
  <c r="C489" i="8"/>
  <c r="F489" i="8" s="1"/>
  <c r="C474" i="8"/>
  <c r="F474" i="8" s="1"/>
  <c r="D474" i="8"/>
  <c r="G474" i="8" s="1"/>
  <c r="E474" i="8"/>
  <c r="H474" i="8" s="1"/>
  <c r="D473" i="8"/>
  <c r="G473" i="8" s="1"/>
  <c r="C473" i="8"/>
  <c r="F473" i="8" s="1"/>
  <c r="C458" i="8"/>
  <c r="F458" i="8" s="1"/>
  <c r="D458" i="8"/>
  <c r="G458" i="8" s="1"/>
  <c r="E458" i="8"/>
  <c r="H458" i="8" s="1"/>
  <c r="D457" i="8"/>
  <c r="G457" i="8" s="1"/>
  <c r="C457" i="8"/>
  <c r="F457" i="8" s="1"/>
  <c r="I444" i="8"/>
  <c r="C442" i="8"/>
  <c r="F442" i="8" s="1"/>
  <c r="D442" i="8"/>
  <c r="G442" i="8" s="1"/>
  <c r="E442" i="8"/>
  <c r="H442" i="8" s="1"/>
  <c r="D441" i="8"/>
  <c r="G441" i="8" s="1"/>
  <c r="C441" i="8"/>
  <c r="F441" i="8" s="1"/>
  <c r="C426" i="8"/>
  <c r="F426" i="8" s="1"/>
  <c r="D426" i="8"/>
  <c r="G426" i="8" s="1"/>
  <c r="E426" i="8"/>
  <c r="H426" i="8" s="1"/>
  <c r="D425" i="8"/>
  <c r="G425" i="8" s="1"/>
  <c r="C425" i="8"/>
  <c r="F425" i="8" s="1"/>
  <c r="C410" i="8"/>
  <c r="F410" i="8" s="1"/>
  <c r="D410" i="8"/>
  <c r="G410" i="8" s="1"/>
  <c r="E410" i="8"/>
  <c r="H410" i="8" s="1"/>
  <c r="D409" i="8"/>
  <c r="G409" i="8" s="1"/>
  <c r="C409" i="8"/>
  <c r="F409" i="8" s="1"/>
  <c r="C391" i="8"/>
  <c r="F391" i="8" s="1"/>
  <c r="D391" i="8"/>
  <c r="G391" i="8" s="1"/>
  <c r="E391" i="8"/>
  <c r="H391" i="8" s="1"/>
  <c r="D386" i="8"/>
  <c r="G386" i="8" s="1"/>
  <c r="C386" i="8"/>
  <c r="F386" i="8" s="1"/>
  <c r="E386" i="8"/>
  <c r="H386" i="8" s="1"/>
  <c r="E368" i="8"/>
  <c r="H368" i="8" s="1"/>
  <c r="C368" i="8"/>
  <c r="F368" i="8" s="1"/>
  <c r="D368" i="8"/>
  <c r="G368" i="8" s="1"/>
  <c r="C359" i="8"/>
  <c r="F359" i="8" s="1"/>
  <c r="D359" i="8"/>
  <c r="G359" i="8" s="1"/>
  <c r="E359" i="8"/>
  <c r="H359" i="8" s="1"/>
  <c r="D354" i="8"/>
  <c r="G354" i="8" s="1"/>
  <c r="C354" i="8"/>
  <c r="F354" i="8" s="1"/>
  <c r="E354" i="8"/>
  <c r="H354" i="8" s="1"/>
  <c r="C309" i="8"/>
  <c r="F309" i="8" s="1"/>
  <c r="D309" i="8"/>
  <c r="G309" i="8" s="1"/>
  <c r="E309" i="8"/>
  <c r="H309" i="8" s="1"/>
  <c r="E295" i="8"/>
  <c r="H295" i="8" s="1"/>
  <c r="D295" i="8"/>
  <c r="G295" i="8" s="1"/>
  <c r="C295" i="8"/>
  <c r="F295" i="8" s="1"/>
  <c r="D288" i="8"/>
  <c r="G288" i="8" s="1"/>
  <c r="C288" i="8"/>
  <c r="F288" i="8" s="1"/>
  <c r="E288" i="8"/>
  <c r="H288" i="8" s="1"/>
  <c r="E262" i="8"/>
  <c r="H262" i="8" s="1"/>
  <c r="C262" i="8"/>
  <c r="F262" i="8" s="1"/>
  <c r="D262" i="8"/>
  <c r="G262" i="8" s="1"/>
  <c r="C245" i="8"/>
  <c r="F245" i="8" s="1"/>
  <c r="D245" i="8"/>
  <c r="G245" i="8" s="1"/>
  <c r="E245" i="8"/>
  <c r="H245" i="8" s="1"/>
  <c r="D200" i="8"/>
  <c r="G200" i="8" s="1"/>
  <c r="E200" i="8"/>
  <c r="H200" i="8" s="1"/>
  <c r="C200" i="8"/>
  <c r="F200" i="8" s="1"/>
  <c r="D168" i="8"/>
  <c r="G168" i="8" s="1"/>
  <c r="E168" i="8"/>
  <c r="H168" i="8" s="1"/>
  <c r="C168" i="8"/>
  <c r="F168" i="8" s="1"/>
  <c r="D637" i="8"/>
  <c r="G637" i="8" s="1"/>
  <c r="D633" i="8"/>
  <c r="G633" i="8" s="1"/>
  <c r="D629" i="8"/>
  <c r="G629" i="8" s="1"/>
  <c r="D625" i="8"/>
  <c r="G625" i="8" s="1"/>
  <c r="D621" i="8"/>
  <c r="G621" i="8" s="1"/>
  <c r="E613" i="8"/>
  <c r="H613" i="8" s="1"/>
  <c r="D611" i="8"/>
  <c r="G611" i="8" s="1"/>
  <c r="E605" i="8"/>
  <c r="H605" i="8" s="1"/>
  <c r="D603" i="8"/>
  <c r="G603" i="8" s="1"/>
  <c r="E597" i="8"/>
  <c r="H597" i="8" s="1"/>
  <c r="D595" i="8"/>
  <c r="G595" i="8" s="1"/>
  <c r="E589" i="8"/>
  <c r="H589" i="8" s="1"/>
  <c r="I589" i="8" s="1"/>
  <c r="D587" i="8"/>
  <c r="G587" i="8" s="1"/>
  <c r="E581" i="8"/>
  <c r="H581" i="8" s="1"/>
  <c r="D579" i="8"/>
  <c r="G579" i="8" s="1"/>
  <c r="E573" i="8"/>
  <c r="H573" i="8" s="1"/>
  <c r="D571" i="8"/>
  <c r="G571" i="8" s="1"/>
  <c r="E565" i="8"/>
  <c r="H565" i="8" s="1"/>
  <c r="D563" i="8"/>
  <c r="G563" i="8" s="1"/>
  <c r="E557" i="8"/>
  <c r="H557" i="8" s="1"/>
  <c r="I557" i="8" s="1"/>
  <c r="D555" i="8"/>
  <c r="G555" i="8" s="1"/>
  <c r="I555" i="8" s="1"/>
  <c r="E549" i="8"/>
  <c r="H549" i="8" s="1"/>
  <c r="E541" i="8"/>
  <c r="H541" i="8" s="1"/>
  <c r="D539" i="8"/>
  <c r="G539" i="8" s="1"/>
  <c r="E533" i="8"/>
  <c r="H533" i="8" s="1"/>
  <c r="E525" i="8"/>
  <c r="H525" i="8" s="1"/>
  <c r="E517" i="8"/>
  <c r="H517" i="8" s="1"/>
  <c r="D515" i="8"/>
  <c r="G515" i="8" s="1"/>
  <c r="D501" i="8"/>
  <c r="G501" i="8" s="1"/>
  <c r="C501" i="8"/>
  <c r="F501" i="8" s="1"/>
  <c r="D485" i="8"/>
  <c r="G485" i="8" s="1"/>
  <c r="C485" i="8"/>
  <c r="F485" i="8" s="1"/>
  <c r="D469" i="8"/>
  <c r="G469" i="8" s="1"/>
  <c r="C469" i="8"/>
  <c r="F469" i="8" s="1"/>
  <c r="D453" i="8"/>
  <c r="G453" i="8" s="1"/>
  <c r="C453" i="8"/>
  <c r="F453" i="8" s="1"/>
  <c r="D437" i="8"/>
  <c r="G437" i="8" s="1"/>
  <c r="C437" i="8"/>
  <c r="F437" i="8" s="1"/>
  <c r="D421" i="8"/>
  <c r="G421" i="8" s="1"/>
  <c r="C421" i="8"/>
  <c r="F421" i="8" s="1"/>
  <c r="D405" i="8"/>
  <c r="G405" i="8" s="1"/>
  <c r="C405" i="8"/>
  <c r="F405" i="8" s="1"/>
  <c r="D394" i="8"/>
  <c r="G394" i="8" s="1"/>
  <c r="C394" i="8"/>
  <c r="F394" i="8" s="1"/>
  <c r="E394" i="8"/>
  <c r="H394" i="8" s="1"/>
  <c r="E376" i="8"/>
  <c r="H376" i="8" s="1"/>
  <c r="C376" i="8"/>
  <c r="F376" i="8" s="1"/>
  <c r="D376" i="8"/>
  <c r="G376" i="8" s="1"/>
  <c r="C367" i="8"/>
  <c r="F367" i="8" s="1"/>
  <c r="D367" i="8"/>
  <c r="G367" i="8" s="1"/>
  <c r="E367" i="8"/>
  <c r="H367" i="8" s="1"/>
  <c r="D362" i="8"/>
  <c r="G362" i="8" s="1"/>
  <c r="C362" i="8"/>
  <c r="F362" i="8" s="1"/>
  <c r="E362" i="8"/>
  <c r="H362" i="8" s="1"/>
  <c r="E344" i="8"/>
  <c r="H344" i="8" s="1"/>
  <c r="C344" i="8"/>
  <c r="F344" i="8" s="1"/>
  <c r="D344" i="8"/>
  <c r="G344" i="8" s="1"/>
  <c r="C337" i="8"/>
  <c r="F337" i="8" s="1"/>
  <c r="D337" i="8"/>
  <c r="G337" i="8" s="1"/>
  <c r="E337" i="8"/>
  <c r="H337" i="8" s="1"/>
  <c r="C329" i="8"/>
  <c r="F329" i="8" s="1"/>
  <c r="D329" i="8"/>
  <c r="G329" i="8" s="1"/>
  <c r="E329" i="8"/>
  <c r="H329" i="8" s="1"/>
  <c r="C301" i="8"/>
  <c r="F301" i="8" s="1"/>
  <c r="D301" i="8"/>
  <c r="G301" i="8" s="1"/>
  <c r="E301" i="8"/>
  <c r="H301" i="8" s="1"/>
  <c r="C261" i="8"/>
  <c r="F261" i="8" s="1"/>
  <c r="D261" i="8"/>
  <c r="G261" i="8" s="1"/>
  <c r="E261" i="8"/>
  <c r="H261" i="8" s="1"/>
  <c r="D241" i="8"/>
  <c r="G241" i="8" s="1"/>
  <c r="E241" i="8"/>
  <c r="H241" i="8" s="1"/>
  <c r="C241" i="8"/>
  <c r="F241" i="8" s="1"/>
  <c r="D225" i="8"/>
  <c r="G225" i="8" s="1"/>
  <c r="E225" i="8"/>
  <c r="H225" i="8" s="1"/>
  <c r="C225" i="8"/>
  <c r="F225" i="8" s="1"/>
  <c r="C341" i="8"/>
  <c r="F341" i="8" s="1"/>
  <c r="D341" i="8"/>
  <c r="G341" i="8" s="1"/>
  <c r="E341" i="8"/>
  <c r="H341" i="8" s="1"/>
  <c r="D336" i="8"/>
  <c r="G336" i="8" s="1"/>
  <c r="C336" i="8"/>
  <c r="F336" i="8" s="1"/>
  <c r="E335" i="8"/>
  <c r="H335" i="8" s="1"/>
  <c r="D335" i="8"/>
  <c r="G335" i="8" s="1"/>
  <c r="C333" i="8"/>
  <c r="F333" i="8" s="1"/>
  <c r="D333" i="8"/>
  <c r="G333" i="8" s="1"/>
  <c r="E333" i="8"/>
  <c r="H333" i="8" s="1"/>
  <c r="D328" i="8"/>
  <c r="G328" i="8" s="1"/>
  <c r="C328" i="8"/>
  <c r="F328" i="8" s="1"/>
  <c r="E327" i="8"/>
  <c r="H327" i="8" s="1"/>
  <c r="D327" i="8"/>
  <c r="G327" i="8" s="1"/>
  <c r="C325" i="8"/>
  <c r="F325" i="8" s="1"/>
  <c r="D325" i="8"/>
  <c r="G325" i="8" s="1"/>
  <c r="E325" i="8"/>
  <c r="H325" i="8" s="1"/>
  <c r="C317" i="8"/>
  <c r="F317" i="8" s="1"/>
  <c r="D317" i="8"/>
  <c r="G317" i="8" s="1"/>
  <c r="E317" i="8"/>
  <c r="H317" i="8" s="1"/>
  <c r="E303" i="8"/>
  <c r="H303" i="8" s="1"/>
  <c r="D303" i="8"/>
  <c r="G303" i="8" s="1"/>
  <c r="E302" i="8"/>
  <c r="H302" i="8" s="1"/>
  <c r="C302" i="8"/>
  <c r="F302" i="8" s="1"/>
  <c r="D302" i="8"/>
  <c r="G302" i="8" s="1"/>
  <c r="D296" i="8"/>
  <c r="G296" i="8" s="1"/>
  <c r="C296" i="8"/>
  <c r="F296" i="8" s="1"/>
  <c r="E296" i="8"/>
  <c r="H296" i="8" s="1"/>
  <c r="C285" i="8"/>
  <c r="F285" i="8" s="1"/>
  <c r="D285" i="8"/>
  <c r="G285" i="8" s="1"/>
  <c r="E285" i="8"/>
  <c r="H285" i="8" s="1"/>
  <c r="E271" i="8"/>
  <c r="H271" i="8" s="1"/>
  <c r="D271" i="8"/>
  <c r="G271" i="8" s="1"/>
  <c r="E270" i="8"/>
  <c r="H270" i="8" s="1"/>
  <c r="C270" i="8"/>
  <c r="F270" i="8" s="1"/>
  <c r="D270" i="8"/>
  <c r="G270" i="8" s="1"/>
  <c r="D264" i="8"/>
  <c r="G264" i="8" s="1"/>
  <c r="C264" i="8"/>
  <c r="F264" i="8" s="1"/>
  <c r="E264" i="8"/>
  <c r="H264" i="8" s="1"/>
  <c r="C253" i="8"/>
  <c r="F253" i="8" s="1"/>
  <c r="D253" i="8"/>
  <c r="G253" i="8" s="1"/>
  <c r="E253" i="8"/>
  <c r="H253" i="8" s="1"/>
  <c r="C242" i="8"/>
  <c r="F242" i="8" s="1"/>
  <c r="D242" i="8"/>
  <c r="G242" i="8" s="1"/>
  <c r="E242" i="8"/>
  <c r="H242" i="8" s="1"/>
  <c r="D237" i="8"/>
  <c r="G237" i="8" s="1"/>
  <c r="E237" i="8"/>
  <c r="H237" i="8" s="1"/>
  <c r="C237" i="8"/>
  <c r="F237" i="8" s="1"/>
  <c r="C234" i="8"/>
  <c r="F234" i="8" s="1"/>
  <c r="D234" i="8"/>
  <c r="G234" i="8" s="1"/>
  <c r="E234" i="8"/>
  <c r="H234" i="8" s="1"/>
  <c r="D229" i="8"/>
  <c r="G229" i="8" s="1"/>
  <c r="E229" i="8"/>
  <c r="H229" i="8" s="1"/>
  <c r="C229" i="8"/>
  <c r="F229" i="8" s="1"/>
  <c r="C226" i="8"/>
  <c r="F226" i="8" s="1"/>
  <c r="D226" i="8"/>
  <c r="G226" i="8" s="1"/>
  <c r="E226" i="8"/>
  <c r="H226" i="8" s="1"/>
  <c r="D221" i="8"/>
  <c r="G221" i="8" s="1"/>
  <c r="E221" i="8"/>
  <c r="H221" i="8" s="1"/>
  <c r="C221" i="8"/>
  <c r="F221" i="8" s="1"/>
  <c r="C218" i="8"/>
  <c r="F218" i="8" s="1"/>
  <c r="D218" i="8"/>
  <c r="G218" i="8" s="1"/>
  <c r="E218" i="8"/>
  <c r="H218" i="8" s="1"/>
  <c r="D213" i="8"/>
  <c r="G213" i="8" s="1"/>
  <c r="E213" i="8"/>
  <c r="H213" i="8" s="1"/>
  <c r="C213" i="8"/>
  <c r="F213" i="8" s="1"/>
  <c r="C210" i="8"/>
  <c r="F210" i="8" s="1"/>
  <c r="D210" i="8"/>
  <c r="G210" i="8" s="1"/>
  <c r="E210" i="8"/>
  <c r="H210" i="8" s="1"/>
  <c r="E167" i="8"/>
  <c r="H167" i="8" s="1"/>
  <c r="C167" i="8"/>
  <c r="F167" i="8" s="1"/>
  <c r="D167" i="8"/>
  <c r="G167" i="8" s="1"/>
  <c r="C165" i="8"/>
  <c r="F165" i="8" s="1"/>
  <c r="E165" i="8"/>
  <c r="H165" i="8" s="1"/>
  <c r="C157" i="8"/>
  <c r="F157" i="8" s="1"/>
  <c r="E157" i="8"/>
  <c r="H157" i="8" s="1"/>
  <c r="D157" i="8"/>
  <c r="G157" i="8" s="1"/>
  <c r="C387" i="8"/>
  <c r="F387" i="8" s="1"/>
  <c r="D387" i="8"/>
  <c r="G387" i="8" s="1"/>
  <c r="C379" i="8"/>
  <c r="F379" i="8" s="1"/>
  <c r="D379" i="8"/>
  <c r="G379" i="8" s="1"/>
  <c r="C371" i="8"/>
  <c r="F371" i="8" s="1"/>
  <c r="D371" i="8"/>
  <c r="G371" i="8" s="1"/>
  <c r="C363" i="8"/>
  <c r="F363" i="8" s="1"/>
  <c r="D363" i="8"/>
  <c r="G363" i="8" s="1"/>
  <c r="C355" i="8"/>
  <c r="F355" i="8" s="1"/>
  <c r="D355" i="8"/>
  <c r="G355" i="8" s="1"/>
  <c r="C347" i="8"/>
  <c r="F347" i="8" s="1"/>
  <c r="D347" i="8"/>
  <c r="G347" i="8" s="1"/>
  <c r="E334" i="8"/>
  <c r="H334" i="8" s="1"/>
  <c r="C334" i="8"/>
  <c r="F334" i="8" s="1"/>
  <c r="E326" i="8"/>
  <c r="H326" i="8" s="1"/>
  <c r="C326" i="8"/>
  <c r="F326" i="8" s="1"/>
  <c r="E311" i="8"/>
  <c r="H311" i="8" s="1"/>
  <c r="D311" i="8"/>
  <c r="G311" i="8" s="1"/>
  <c r="E310" i="8"/>
  <c r="H310" i="8" s="1"/>
  <c r="C310" i="8"/>
  <c r="F310" i="8" s="1"/>
  <c r="D310" i="8"/>
  <c r="G310" i="8" s="1"/>
  <c r="D304" i="8"/>
  <c r="G304" i="8" s="1"/>
  <c r="C304" i="8"/>
  <c r="F304" i="8" s="1"/>
  <c r="E304" i="8"/>
  <c r="H304" i="8" s="1"/>
  <c r="E279" i="8"/>
  <c r="H279" i="8" s="1"/>
  <c r="D279" i="8"/>
  <c r="G279" i="8" s="1"/>
  <c r="E278" i="8"/>
  <c r="H278" i="8" s="1"/>
  <c r="C278" i="8"/>
  <c r="F278" i="8" s="1"/>
  <c r="D278" i="8"/>
  <c r="G278" i="8" s="1"/>
  <c r="I276" i="8"/>
  <c r="D272" i="8"/>
  <c r="G272" i="8" s="1"/>
  <c r="C272" i="8"/>
  <c r="F272" i="8" s="1"/>
  <c r="E272" i="8"/>
  <c r="H272" i="8" s="1"/>
  <c r="E247" i="8"/>
  <c r="H247" i="8" s="1"/>
  <c r="D247" i="8"/>
  <c r="G247" i="8" s="1"/>
  <c r="E246" i="8"/>
  <c r="H246" i="8" s="1"/>
  <c r="C246" i="8"/>
  <c r="F246" i="8" s="1"/>
  <c r="D246" i="8"/>
  <c r="G246" i="8" s="1"/>
  <c r="E195" i="8"/>
  <c r="H195" i="8" s="1"/>
  <c r="C195" i="8"/>
  <c r="F195" i="8" s="1"/>
  <c r="D195" i="8"/>
  <c r="G195" i="8" s="1"/>
  <c r="D184" i="8"/>
  <c r="G184" i="8" s="1"/>
  <c r="E184" i="8"/>
  <c r="H184" i="8" s="1"/>
  <c r="C154" i="8"/>
  <c r="F154" i="8" s="1"/>
  <c r="E154" i="8"/>
  <c r="H154" i="8" s="1"/>
  <c r="D154" i="8"/>
  <c r="G154" i="8" s="1"/>
  <c r="D393" i="8"/>
  <c r="G393" i="8" s="1"/>
  <c r="I393" i="8" s="1"/>
  <c r="D385" i="8"/>
  <c r="G385" i="8" s="1"/>
  <c r="D377" i="8"/>
  <c r="G377" i="8" s="1"/>
  <c r="D369" i="8"/>
  <c r="G369" i="8" s="1"/>
  <c r="I365" i="8"/>
  <c r="D361" i="8"/>
  <c r="G361" i="8" s="1"/>
  <c r="D353" i="8"/>
  <c r="G353" i="8" s="1"/>
  <c r="D345" i="8"/>
  <c r="G345" i="8" s="1"/>
  <c r="D338" i="8"/>
  <c r="G338" i="8" s="1"/>
  <c r="D330" i="8"/>
  <c r="G330" i="8" s="1"/>
  <c r="E319" i="8"/>
  <c r="H319" i="8" s="1"/>
  <c r="D319" i="8"/>
  <c r="G319" i="8" s="1"/>
  <c r="E318" i="8"/>
  <c r="H318" i="8" s="1"/>
  <c r="C318" i="8"/>
  <c r="F318" i="8" s="1"/>
  <c r="D318" i="8"/>
  <c r="G318" i="8" s="1"/>
  <c r="D312" i="8"/>
  <c r="G312" i="8" s="1"/>
  <c r="C312" i="8"/>
  <c r="F312" i="8" s="1"/>
  <c r="E312" i="8"/>
  <c r="H312" i="8" s="1"/>
  <c r="E287" i="8"/>
  <c r="H287" i="8" s="1"/>
  <c r="D287" i="8"/>
  <c r="G287" i="8" s="1"/>
  <c r="E286" i="8"/>
  <c r="H286" i="8" s="1"/>
  <c r="C286" i="8"/>
  <c r="F286" i="8" s="1"/>
  <c r="D286" i="8"/>
  <c r="G286" i="8" s="1"/>
  <c r="D280" i="8"/>
  <c r="G280" i="8" s="1"/>
  <c r="C280" i="8"/>
  <c r="F280" i="8" s="1"/>
  <c r="E280" i="8"/>
  <c r="H280" i="8" s="1"/>
  <c r="E255" i="8"/>
  <c r="H255" i="8" s="1"/>
  <c r="D255" i="8"/>
  <c r="G255" i="8" s="1"/>
  <c r="E254" i="8"/>
  <c r="H254" i="8" s="1"/>
  <c r="C254" i="8"/>
  <c r="F254" i="8" s="1"/>
  <c r="D254" i="8"/>
  <c r="G254" i="8" s="1"/>
  <c r="D248" i="8"/>
  <c r="G248" i="8" s="1"/>
  <c r="C248" i="8"/>
  <c r="F248" i="8" s="1"/>
  <c r="E248" i="8"/>
  <c r="H248" i="8" s="1"/>
  <c r="E244" i="8"/>
  <c r="H244" i="8" s="1"/>
  <c r="C244" i="8"/>
  <c r="F244" i="8" s="1"/>
  <c r="C239" i="8"/>
  <c r="F239" i="8" s="1"/>
  <c r="E239" i="8"/>
  <c r="H239" i="8" s="1"/>
  <c r="D239" i="8"/>
  <c r="G239" i="8" s="1"/>
  <c r="C231" i="8"/>
  <c r="F231" i="8" s="1"/>
  <c r="E231" i="8"/>
  <c r="H231" i="8" s="1"/>
  <c r="D231" i="8"/>
  <c r="G231" i="8" s="1"/>
  <c r="C223" i="8"/>
  <c r="F223" i="8" s="1"/>
  <c r="E223" i="8"/>
  <c r="H223" i="8" s="1"/>
  <c r="D223" i="8"/>
  <c r="G223" i="8" s="1"/>
  <c r="C215" i="8"/>
  <c r="F215" i="8" s="1"/>
  <c r="E215" i="8"/>
  <c r="H215" i="8" s="1"/>
  <c r="D215" i="8"/>
  <c r="G215" i="8" s="1"/>
  <c r="D208" i="8"/>
  <c r="G208" i="8" s="1"/>
  <c r="E208" i="8"/>
  <c r="H208" i="8" s="1"/>
  <c r="C208" i="8"/>
  <c r="F208" i="8" s="1"/>
  <c r="C198" i="8"/>
  <c r="F198" i="8" s="1"/>
  <c r="D198" i="8"/>
  <c r="G198" i="8" s="1"/>
  <c r="D192" i="8"/>
  <c r="G192" i="8" s="1"/>
  <c r="E192" i="8"/>
  <c r="H192" i="8" s="1"/>
  <c r="C192" i="8"/>
  <c r="F192" i="8" s="1"/>
  <c r="D156" i="8"/>
  <c r="G156" i="8" s="1"/>
  <c r="E156" i="8"/>
  <c r="H156" i="8" s="1"/>
  <c r="C156" i="8"/>
  <c r="F156" i="8" s="1"/>
  <c r="C321" i="8"/>
  <c r="F321" i="8" s="1"/>
  <c r="D321" i="8"/>
  <c r="G321" i="8" s="1"/>
  <c r="C313" i="8"/>
  <c r="F313" i="8" s="1"/>
  <c r="D313" i="8"/>
  <c r="G313" i="8" s="1"/>
  <c r="C305" i="8"/>
  <c r="F305" i="8" s="1"/>
  <c r="D305" i="8"/>
  <c r="G305" i="8" s="1"/>
  <c r="C297" i="8"/>
  <c r="F297" i="8" s="1"/>
  <c r="D297" i="8"/>
  <c r="G297" i="8" s="1"/>
  <c r="C289" i="8"/>
  <c r="F289" i="8" s="1"/>
  <c r="D289" i="8"/>
  <c r="G289" i="8" s="1"/>
  <c r="C281" i="8"/>
  <c r="F281" i="8" s="1"/>
  <c r="D281" i="8"/>
  <c r="G281" i="8" s="1"/>
  <c r="C273" i="8"/>
  <c r="F273" i="8" s="1"/>
  <c r="D273" i="8"/>
  <c r="G273" i="8" s="1"/>
  <c r="C265" i="8"/>
  <c r="F265" i="8" s="1"/>
  <c r="D265" i="8"/>
  <c r="G265" i="8" s="1"/>
  <c r="C257" i="8"/>
  <c r="F257" i="8" s="1"/>
  <c r="D257" i="8"/>
  <c r="G257" i="8" s="1"/>
  <c r="C249" i="8"/>
  <c r="F249" i="8" s="1"/>
  <c r="D249" i="8"/>
  <c r="G249" i="8" s="1"/>
  <c r="E236" i="8"/>
  <c r="H236" i="8" s="1"/>
  <c r="C236" i="8"/>
  <c r="F236" i="8" s="1"/>
  <c r="E228" i="8"/>
  <c r="H228" i="8" s="1"/>
  <c r="C228" i="8"/>
  <c r="F228" i="8" s="1"/>
  <c r="E220" i="8"/>
  <c r="H220" i="8" s="1"/>
  <c r="C220" i="8"/>
  <c r="F220" i="8" s="1"/>
  <c r="E212" i="8"/>
  <c r="H212" i="8" s="1"/>
  <c r="C212" i="8"/>
  <c r="F212" i="8" s="1"/>
  <c r="E199" i="8"/>
  <c r="H199" i="8" s="1"/>
  <c r="C199" i="8"/>
  <c r="F199" i="8" s="1"/>
  <c r="D199" i="8"/>
  <c r="G199" i="8" s="1"/>
  <c r="D188" i="8"/>
  <c r="G188" i="8" s="1"/>
  <c r="E188" i="8"/>
  <c r="H188" i="8" s="1"/>
  <c r="C186" i="8"/>
  <c r="F186" i="8" s="1"/>
  <c r="E186" i="8"/>
  <c r="H186" i="8" s="1"/>
  <c r="D180" i="8"/>
  <c r="G180" i="8" s="1"/>
  <c r="E180" i="8"/>
  <c r="H180" i="8" s="1"/>
  <c r="C180" i="8"/>
  <c r="F180" i="8" s="1"/>
  <c r="D176" i="8"/>
  <c r="G176" i="8" s="1"/>
  <c r="E176" i="8"/>
  <c r="H176" i="8" s="1"/>
  <c r="D160" i="8"/>
  <c r="G160" i="8" s="1"/>
  <c r="E160" i="8"/>
  <c r="H160" i="8" s="1"/>
  <c r="C160" i="8"/>
  <c r="F160" i="8" s="1"/>
  <c r="E207" i="8"/>
  <c r="H207" i="8" s="1"/>
  <c r="C207" i="8"/>
  <c r="F207" i="8" s="1"/>
  <c r="C197" i="8"/>
  <c r="F197" i="8" s="1"/>
  <c r="E197" i="8"/>
  <c r="H197" i="8" s="1"/>
  <c r="C189" i="8"/>
  <c r="F189" i="8" s="1"/>
  <c r="E189" i="8"/>
  <c r="H189" i="8" s="1"/>
  <c r="D189" i="8"/>
  <c r="G189" i="8" s="1"/>
  <c r="E187" i="8"/>
  <c r="H187" i="8" s="1"/>
  <c r="C187" i="8"/>
  <c r="F187" i="8" s="1"/>
  <c r="D187" i="8"/>
  <c r="G187" i="8" s="1"/>
  <c r="C178" i="8"/>
  <c r="F178" i="8" s="1"/>
  <c r="D178" i="8"/>
  <c r="G178" i="8" s="1"/>
  <c r="E178" i="8"/>
  <c r="H178" i="8" s="1"/>
  <c r="C166" i="8"/>
  <c r="F166" i="8" s="1"/>
  <c r="D166" i="8"/>
  <c r="G166" i="8" s="1"/>
  <c r="E163" i="8"/>
  <c r="H163" i="8" s="1"/>
  <c r="C163" i="8"/>
  <c r="F163" i="8" s="1"/>
  <c r="D163" i="8"/>
  <c r="G163" i="8" s="1"/>
  <c r="C158" i="8"/>
  <c r="F158" i="8" s="1"/>
  <c r="D158" i="8"/>
  <c r="G158" i="8" s="1"/>
  <c r="E158" i="8"/>
  <c r="H158" i="8" s="1"/>
  <c r="D152" i="8"/>
  <c r="G152" i="8" s="1"/>
  <c r="E152" i="8"/>
  <c r="H152" i="8" s="1"/>
  <c r="D243" i="8"/>
  <c r="G243" i="8" s="1"/>
  <c r="D235" i="8"/>
  <c r="G235" i="8" s="1"/>
  <c r="D227" i="8"/>
  <c r="G227" i="8" s="1"/>
  <c r="D219" i="8"/>
  <c r="G219" i="8" s="1"/>
  <c r="I219" i="8" s="1"/>
  <c r="D211" i="8"/>
  <c r="G211" i="8" s="1"/>
  <c r="I211" i="8" s="1"/>
  <c r="C206" i="8"/>
  <c r="F206" i="8" s="1"/>
  <c r="D206" i="8"/>
  <c r="G206" i="8" s="1"/>
  <c r="C205" i="8"/>
  <c r="F205" i="8" s="1"/>
  <c r="E205" i="8"/>
  <c r="H205" i="8" s="1"/>
  <c r="E203" i="8"/>
  <c r="H203" i="8" s="1"/>
  <c r="C203" i="8"/>
  <c r="F203" i="8" s="1"/>
  <c r="D203" i="8"/>
  <c r="G203" i="8" s="1"/>
  <c r="D202" i="8"/>
  <c r="G202" i="8" s="1"/>
  <c r="D196" i="8"/>
  <c r="G196" i="8" s="1"/>
  <c r="E196" i="8"/>
  <c r="H196" i="8" s="1"/>
  <c r="E183" i="8"/>
  <c r="H183" i="8" s="1"/>
  <c r="C183" i="8"/>
  <c r="F183" i="8" s="1"/>
  <c r="C174" i="8"/>
  <c r="F174" i="8" s="1"/>
  <c r="D174" i="8"/>
  <c r="G174" i="8" s="1"/>
  <c r="C173" i="8"/>
  <c r="F173" i="8" s="1"/>
  <c r="E173" i="8"/>
  <c r="H173" i="8" s="1"/>
  <c r="E171" i="8"/>
  <c r="H171" i="8" s="1"/>
  <c r="C171" i="8"/>
  <c r="F171" i="8" s="1"/>
  <c r="D171" i="8"/>
  <c r="G171" i="8" s="1"/>
  <c r="D170" i="8"/>
  <c r="G170" i="8" s="1"/>
  <c r="I170" i="8" s="1"/>
  <c r="D164" i="8"/>
  <c r="G164" i="8" s="1"/>
  <c r="E164" i="8"/>
  <c r="H164" i="8" s="1"/>
  <c r="E240" i="8"/>
  <c r="H240" i="8" s="1"/>
  <c r="C240" i="8"/>
  <c r="F240" i="8" s="1"/>
  <c r="E232" i="8"/>
  <c r="H232" i="8" s="1"/>
  <c r="C232" i="8"/>
  <c r="F232" i="8" s="1"/>
  <c r="E224" i="8"/>
  <c r="H224" i="8" s="1"/>
  <c r="C224" i="8"/>
  <c r="F224" i="8" s="1"/>
  <c r="E216" i="8"/>
  <c r="H216" i="8" s="1"/>
  <c r="C216" i="8"/>
  <c r="F216" i="8" s="1"/>
  <c r="D204" i="8"/>
  <c r="G204" i="8" s="1"/>
  <c r="E204" i="8"/>
  <c r="H204" i="8" s="1"/>
  <c r="E191" i="8"/>
  <c r="H191" i="8" s="1"/>
  <c r="C191" i="8"/>
  <c r="F191" i="8" s="1"/>
  <c r="C182" i="8"/>
  <c r="F182" i="8" s="1"/>
  <c r="D182" i="8"/>
  <c r="G182" i="8" s="1"/>
  <c r="C181" i="8"/>
  <c r="F181" i="8" s="1"/>
  <c r="E181" i="8"/>
  <c r="H181" i="8" s="1"/>
  <c r="E179" i="8"/>
  <c r="H179" i="8" s="1"/>
  <c r="C179" i="8"/>
  <c r="F179" i="8" s="1"/>
  <c r="D179" i="8"/>
  <c r="G179" i="8" s="1"/>
  <c r="D172" i="8"/>
  <c r="G172" i="8" s="1"/>
  <c r="E172" i="8"/>
  <c r="H172" i="8" s="1"/>
  <c r="E159" i="8"/>
  <c r="H159" i="8" s="1"/>
  <c r="C159" i="8"/>
  <c r="F159" i="8" s="1"/>
  <c r="B7" i="1"/>
  <c r="B3" i="1"/>
  <c r="B160" i="1"/>
  <c r="B156" i="1"/>
  <c r="B152" i="1"/>
  <c r="B148" i="1"/>
  <c r="B144" i="1"/>
  <c r="B140" i="1"/>
  <c r="B136" i="1"/>
  <c r="B132" i="1"/>
  <c r="B128" i="1"/>
  <c r="B124" i="1"/>
  <c r="B120" i="1"/>
  <c r="B116" i="1"/>
  <c r="B112" i="1"/>
  <c r="B108" i="1"/>
  <c r="B104" i="1"/>
  <c r="B100" i="1"/>
  <c r="B96" i="1"/>
  <c r="B92" i="1"/>
  <c r="B88" i="1"/>
  <c r="B84" i="1"/>
  <c r="B80" i="1"/>
  <c r="B76" i="1"/>
  <c r="B72" i="1"/>
  <c r="B68" i="1"/>
  <c r="B64" i="1"/>
  <c r="B56" i="1"/>
  <c r="B52" i="1"/>
  <c r="B48" i="1"/>
  <c r="B44" i="1"/>
  <c r="B40" i="1"/>
  <c r="B36" i="1"/>
  <c r="B32" i="1"/>
  <c r="B28" i="1"/>
  <c r="B24" i="1"/>
  <c r="B20" i="1"/>
  <c r="B16" i="1"/>
  <c r="B12" i="1"/>
  <c r="B11" i="1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1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E301" i="6"/>
  <c r="J301" i="6"/>
  <c r="E292" i="6"/>
  <c r="H292" i="6"/>
  <c r="E286" i="6"/>
  <c r="J286" i="6"/>
  <c r="E273" i="6"/>
  <c r="I273" i="6"/>
  <c r="E271" i="6"/>
  <c r="J271" i="6"/>
  <c r="E253" i="6"/>
  <c r="I253" i="6"/>
  <c r="E215" i="6"/>
  <c r="J215" i="6"/>
  <c r="H206" i="6"/>
  <c r="J206" i="6"/>
  <c r="E154" i="6"/>
  <c r="I154" i="6"/>
  <c r="H108" i="6"/>
  <c r="E108" i="6"/>
  <c r="I108" i="6"/>
  <c r="E101" i="6"/>
  <c r="H101" i="6"/>
  <c r="I101" i="6"/>
  <c r="J101" i="6"/>
  <c r="E387" i="6"/>
  <c r="H380" i="6"/>
  <c r="E378" i="6"/>
  <c r="H374" i="6"/>
  <c r="E372" i="6"/>
  <c r="E363" i="6"/>
  <c r="H358" i="6"/>
  <c r="E355" i="6"/>
  <c r="I354" i="6"/>
  <c r="H351" i="6"/>
  <c r="H346" i="6"/>
  <c r="E344" i="6"/>
  <c r="E340" i="6"/>
  <c r="E336" i="6"/>
  <c r="E247" i="6"/>
  <c r="H247" i="6"/>
  <c r="I239" i="6"/>
  <c r="H239" i="6"/>
  <c r="H235" i="6"/>
  <c r="H216" i="6"/>
  <c r="J214" i="6"/>
  <c r="J213" i="6"/>
  <c r="E213" i="6"/>
  <c r="J208" i="6"/>
  <c r="I207" i="6"/>
  <c r="E206" i="6"/>
  <c r="H198" i="6"/>
  <c r="J195" i="6"/>
  <c r="H194" i="6"/>
  <c r="E192" i="6"/>
  <c r="J189" i="6"/>
  <c r="H188" i="6"/>
  <c r="H184" i="6"/>
  <c r="H181" i="6"/>
  <c r="E181" i="6"/>
  <c r="I174" i="6"/>
  <c r="E173" i="6"/>
  <c r="I173" i="6"/>
  <c r="I170" i="6"/>
  <c r="E169" i="6"/>
  <c r="J166" i="6"/>
  <c r="E166" i="6"/>
  <c r="I163" i="6"/>
  <c r="H163" i="6"/>
  <c r="J161" i="6"/>
  <c r="H151" i="6"/>
  <c r="I148" i="6"/>
  <c r="H147" i="6"/>
  <c r="E145" i="6"/>
  <c r="J142" i="6"/>
  <c r="E142" i="6"/>
  <c r="J129" i="6"/>
  <c r="E129" i="6"/>
  <c r="H129" i="6"/>
  <c r="E316" i="6"/>
  <c r="I316" i="6"/>
  <c r="E274" i="6"/>
  <c r="J274" i="6"/>
  <c r="E261" i="6"/>
  <c r="J261" i="6"/>
  <c r="I214" i="6"/>
  <c r="I211" i="6"/>
  <c r="J211" i="6"/>
  <c r="I208" i="6"/>
  <c r="H195" i="6"/>
  <c r="H189" i="6"/>
  <c r="H170" i="6"/>
  <c r="I161" i="6"/>
  <c r="I140" i="6"/>
  <c r="J140" i="6"/>
  <c r="E131" i="6"/>
  <c r="J131" i="6"/>
  <c r="I127" i="6"/>
  <c r="J127" i="6"/>
  <c r="J110" i="6"/>
  <c r="E110" i="6"/>
  <c r="H110" i="6"/>
  <c r="E100" i="6"/>
  <c r="H100" i="6"/>
  <c r="I100" i="6"/>
  <c r="J100" i="6"/>
  <c r="I94" i="6"/>
  <c r="E94" i="6"/>
  <c r="H94" i="6"/>
  <c r="J94" i="6"/>
  <c r="E362" i="6"/>
  <c r="E358" i="6"/>
  <c r="J355" i="6"/>
  <c r="E354" i="6"/>
  <c r="E346" i="6"/>
  <c r="J340" i="6"/>
  <c r="E335" i="6"/>
  <c r="E325" i="6"/>
  <c r="I325" i="6"/>
  <c r="E298" i="6"/>
  <c r="H298" i="6"/>
  <c r="E295" i="6"/>
  <c r="I295" i="6"/>
  <c r="E285" i="6"/>
  <c r="H285" i="6"/>
  <c r="E283" i="6"/>
  <c r="I283" i="6"/>
  <c r="J277" i="6"/>
  <c r="E268" i="6"/>
  <c r="I268" i="6"/>
  <c r="E250" i="6"/>
  <c r="I250" i="6"/>
  <c r="E244" i="6"/>
  <c r="H244" i="6"/>
  <c r="I240" i="6"/>
  <c r="J240" i="6"/>
  <c r="E235" i="6"/>
  <c r="I182" i="6"/>
  <c r="H182" i="6"/>
  <c r="E174" i="6"/>
  <c r="J174" i="6"/>
  <c r="J168" i="6"/>
  <c r="H168" i="6"/>
  <c r="E147" i="6"/>
  <c r="J144" i="6"/>
  <c r="H144" i="6"/>
  <c r="E140" i="6"/>
  <c r="E127" i="6"/>
  <c r="H125" i="6"/>
  <c r="E125" i="6"/>
  <c r="I125" i="6"/>
  <c r="E103" i="6"/>
  <c r="H103" i="6"/>
  <c r="J103" i="6"/>
  <c r="J387" i="6"/>
  <c r="H383" i="6"/>
  <c r="E381" i="6"/>
  <c r="J378" i="6"/>
  <c r="H377" i="6"/>
  <c r="E375" i="6"/>
  <c r="J372" i="6"/>
  <c r="H371" i="6"/>
  <c r="I366" i="6"/>
  <c r="H364" i="6"/>
  <c r="J361" i="6"/>
  <c r="I360" i="6"/>
  <c r="I355" i="6"/>
  <c r="I340" i="6"/>
  <c r="H328" i="6"/>
  <c r="J320" i="6"/>
  <c r="I301" i="6"/>
  <c r="J292" i="6"/>
  <c r="I286" i="6"/>
  <c r="J284" i="6"/>
  <c r="I277" i="6"/>
  <c r="J273" i="6"/>
  <c r="I271" i="6"/>
  <c r="J253" i="6"/>
  <c r="J245" i="6"/>
  <c r="H245" i="6"/>
  <c r="J241" i="6"/>
  <c r="E240" i="6"/>
  <c r="E236" i="6"/>
  <c r="I215" i="6"/>
  <c r="E214" i="6"/>
  <c r="H212" i="6"/>
  <c r="E208" i="6"/>
  <c r="H205" i="6"/>
  <c r="I205" i="6"/>
  <c r="E195" i="6"/>
  <c r="J192" i="6"/>
  <c r="H191" i="6"/>
  <c r="E189" i="6"/>
  <c r="J185" i="6"/>
  <c r="E185" i="6"/>
  <c r="E182" i="6"/>
  <c r="I169" i="6"/>
  <c r="E168" i="6"/>
  <c r="H165" i="6"/>
  <c r="E161" i="6"/>
  <c r="J154" i="6"/>
  <c r="E153" i="6"/>
  <c r="H153" i="6"/>
  <c r="H150" i="6"/>
  <c r="E148" i="6"/>
  <c r="I145" i="6"/>
  <c r="E144" i="6"/>
  <c r="H130" i="6"/>
  <c r="J130" i="6"/>
  <c r="E114" i="6"/>
  <c r="J114" i="6"/>
  <c r="H114" i="6"/>
  <c r="I109" i="6"/>
  <c r="H109" i="6"/>
  <c r="E109" i="6"/>
  <c r="E102" i="6"/>
  <c r="H102" i="6"/>
  <c r="I102" i="6"/>
  <c r="J102" i="6"/>
  <c r="I387" i="6"/>
  <c r="J384" i="6"/>
  <c r="J380" i="6"/>
  <c r="I378" i="6"/>
  <c r="J374" i="6"/>
  <c r="I372" i="6"/>
  <c r="I363" i="6"/>
  <c r="H360" i="6"/>
  <c r="I336" i="6"/>
  <c r="J314" i="6"/>
  <c r="H308" i="6"/>
  <c r="H301" i="6"/>
  <c r="I292" i="6"/>
  <c r="H286" i="6"/>
  <c r="H277" i="6"/>
  <c r="H273" i="6"/>
  <c r="H271" i="6"/>
  <c r="H253" i="6"/>
  <c r="J247" i="6"/>
  <c r="I241" i="6"/>
  <c r="I237" i="6"/>
  <c r="E237" i="6"/>
  <c r="H234" i="6"/>
  <c r="I234" i="6"/>
  <c r="J216" i="6"/>
  <c r="H215" i="6"/>
  <c r="I213" i="6"/>
  <c r="H209" i="6"/>
  <c r="E209" i="6"/>
  <c r="I206" i="6"/>
  <c r="J198" i="6"/>
  <c r="H192" i="6"/>
  <c r="I183" i="6"/>
  <c r="J183" i="6"/>
  <c r="E172" i="6"/>
  <c r="H172" i="6"/>
  <c r="H169" i="6"/>
  <c r="H162" i="6"/>
  <c r="E162" i="6"/>
  <c r="H154" i="6"/>
  <c r="J151" i="6"/>
  <c r="H145" i="6"/>
  <c r="E130" i="6"/>
  <c r="J108" i="6"/>
  <c r="I106" i="6"/>
  <c r="I98" i="6"/>
  <c r="J98" i="6"/>
  <c r="E97" i="6"/>
  <c r="J93" i="6"/>
  <c r="E93" i="6"/>
  <c r="E79" i="6"/>
  <c r="I76" i="6"/>
  <c r="H56" i="6"/>
  <c r="J56" i="6"/>
  <c r="I56" i="6"/>
  <c r="J91" i="6"/>
  <c r="J90" i="6"/>
  <c r="H69" i="6"/>
  <c r="I69" i="6"/>
  <c r="J66" i="6"/>
  <c r="J126" i="6"/>
  <c r="E106" i="6"/>
  <c r="H96" i="6"/>
  <c r="E96" i="6"/>
  <c r="J92" i="6"/>
  <c r="J78" i="6"/>
  <c r="I73" i="6"/>
  <c r="E73" i="6"/>
  <c r="E69" i="6"/>
  <c r="H66" i="6"/>
  <c r="E66" i="6"/>
  <c r="H97" i="6"/>
  <c r="H75" i="6"/>
  <c r="I75" i="6"/>
  <c r="I70" i="6"/>
  <c r="J79" i="6"/>
  <c r="H79" i="6"/>
  <c r="I53" i="6"/>
  <c r="I50" i="6"/>
  <c r="I62" i="6"/>
  <c r="E57" i="6"/>
  <c r="I55" i="6"/>
  <c r="E54" i="6"/>
  <c r="I52" i="6"/>
  <c r="E51" i="6"/>
  <c r="I49" i="6"/>
  <c r="J53" i="6"/>
  <c r="J50" i="6"/>
  <c r="J48" i="6"/>
  <c r="A46" i="3"/>
  <c r="A46" i="6" s="1"/>
  <c r="B46" i="6"/>
  <c r="M46" i="6" a="1"/>
  <c r="M46" i="6" s="1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A42" i="3"/>
  <c r="A42" i="6" s="1"/>
  <c r="M42" i="6" a="1"/>
  <c r="M42" i="6" s="1"/>
  <c r="C42" i="6"/>
  <c r="N42" i="6" a="1"/>
  <c r="N42" i="6" s="1"/>
  <c r="A36" i="3"/>
  <c r="A36" i="6" s="1"/>
  <c r="M36" i="6" a="1"/>
  <c r="M36" i="6" s="1"/>
  <c r="Q36" i="6"/>
  <c r="A31" i="3"/>
  <c r="A31" i="6" s="1"/>
  <c r="R31" i="3"/>
  <c r="A41" i="3"/>
  <c r="A41" i="6" s="1"/>
  <c r="C41" i="6"/>
  <c r="A35" i="3"/>
  <c r="A35" i="6" s="1"/>
  <c r="K35" i="6"/>
  <c r="A40" i="3"/>
  <c r="A40" i="6" s="1"/>
  <c r="A34" i="3"/>
  <c r="A34" i="6" s="1"/>
  <c r="B34" i="6"/>
  <c r="R34" i="3"/>
  <c r="K34" i="6"/>
  <c r="A32" i="3"/>
  <c r="A32" i="6" s="1"/>
  <c r="R32" i="3"/>
  <c r="A26" i="3"/>
  <c r="A26" i="6" s="1"/>
  <c r="R26" i="3"/>
  <c r="A45" i="3"/>
  <c r="A45" i="6" s="1"/>
  <c r="C45" i="6"/>
  <c r="A39" i="3"/>
  <c r="A39" i="6" s="1"/>
  <c r="M39" i="6" a="1"/>
  <c r="M39" i="6" s="1"/>
  <c r="Q39" i="6"/>
  <c r="B39" i="6"/>
  <c r="N45" i="6" a="1"/>
  <c r="N45" i="6" s="1"/>
  <c r="L39" i="6"/>
  <c r="R28" i="3"/>
  <c r="Q34" i="6"/>
  <c r="M45" i="6" a="1"/>
  <c r="M45" i="6" s="1"/>
  <c r="B42" i="6"/>
  <c r="M40" i="6" a="1"/>
  <c r="M40" i="6" s="1"/>
  <c r="C39" i="6"/>
  <c r="C36" i="6"/>
  <c r="L36" i="6"/>
  <c r="O34" i="6"/>
  <c r="Q45" i="6"/>
  <c r="L45" i="6"/>
  <c r="Q41" i="6"/>
  <c r="C40" i="6"/>
  <c r="B36" i="6"/>
  <c r="F36" i="6" s="1"/>
  <c r="B45" i="6"/>
  <c r="L34" i="6"/>
  <c r="P45" i="6"/>
  <c r="K45" i="6"/>
  <c r="L41" i="6"/>
  <c r="P35" i="6"/>
  <c r="N40" i="6" a="1"/>
  <c r="N40" i="6" s="1"/>
  <c r="R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R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S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R27" i="3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AB41" i="6"/>
  <c r="M41" i="6" a="1"/>
  <c r="M41" i="6" s="1"/>
  <c r="M37" i="6" a="1"/>
  <c r="M37" i="6" s="1"/>
  <c r="Q35" i="6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F31" i="6" s="1"/>
  <c r="C29" i="6"/>
  <c r="M33" i="6" a="1"/>
  <c r="M33" i="6" s="1"/>
  <c r="M32" i="6" a="1"/>
  <c r="M32" i="6" s="1"/>
  <c r="N31" i="6" a="1"/>
  <c r="N31" i="6" s="1"/>
  <c r="M30" i="6" a="1"/>
  <c r="M30" i="6" s="1"/>
  <c r="M29" i="6" a="1"/>
  <c r="M29" i="6" s="1"/>
  <c r="Q28" i="6"/>
  <c r="L28" i="6"/>
  <c r="P27" i="6"/>
  <c r="K27" i="6"/>
  <c r="P26" i="6"/>
  <c r="K26" i="6"/>
  <c r="B30" i="6"/>
  <c r="F30" i="6" s="1"/>
  <c r="C28" i="6"/>
  <c r="Q33" i="6"/>
  <c r="L33" i="6"/>
  <c r="Q32" i="6"/>
  <c r="L32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F29" i="6" s="1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E27" i="6" s="1"/>
  <c r="B28" i="6"/>
  <c r="C32" i="6"/>
  <c r="C26" i="6"/>
  <c r="O33" i="6"/>
  <c r="O32" i="6"/>
  <c r="P31" i="6"/>
  <c r="K31" i="6"/>
  <c r="O30" i="6"/>
  <c r="O29" i="6"/>
  <c r="G29" i="6"/>
  <c r="I29" i="6" s="1"/>
  <c r="N27" i="6" a="1"/>
  <c r="N27" i="6" s="1"/>
  <c r="N26" i="6" a="1"/>
  <c r="N26" i="6" s="1"/>
  <c r="B33" i="6"/>
  <c r="F33" i="6" s="1"/>
  <c r="B27" i="6"/>
  <c r="F27" i="6" s="1"/>
  <c r="C31" i="6"/>
  <c r="G33" i="6"/>
  <c r="J33" i="6" s="1"/>
  <c r="O31" i="6"/>
  <c r="G30" i="6"/>
  <c r="I30" i="6" s="1"/>
  <c r="N28" i="6" a="1"/>
  <c r="N28" i="6" s="1"/>
  <c r="M27" i="6" a="1"/>
  <c r="M27" i="6" s="1"/>
  <c r="M26" i="6" a="1"/>
  <c r="M26" i="6" s="1"/>
  <c r="R29" i="3"/>
  <c r="B32" i="6"/>
  <c r="F32" i="6" s="1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M28" i="6" a="1"/>
  <c r="M28" i="6" s="1"/>
  <c r="Q27" i="6"/>
  <c r="L27" i="6"/>
  <c r="Q26" i="6"/>
  <c r="L26" i="6"/>
  <c r="E34" i="6"/>
  <c r="J34" i="6"/>
  <c r="I34" i="6"/>
  <c r="A22" i="3"/>
  <c r="A22" i="6" s="1"/>
  <c r="R22" i="3"/>
  <c r="A10" i="3"/>
  <c r="A10" i="6" s="1"/>
  <c r="R10" i="3"/>
  <c r="A18" i="3"/>
  <c r="A18" i="6" s="1"/>
  <c r="R18" i="3"/>
  <c r="A12" i="3"/>
  <c r="A12" i="6" s="1"/>
  <c r="R12" i="3"/>
  <c r="A23" i="3"/>
  <c r="A23" i="6" s="1"/>
  <c r="R23" i="3"/>
  <c r="A17" i="3"/>
  <c r="A17" i="6" s="1"/>
  <c r="R17" i="3"/>
  <c r="A11" i="3"/>
  <c r="A11" i="6" s="1"/>
  <c r="R11" i="3"/>
  <c r="R16" i="3"/>
  <c r="R13" i="3"/>
  <c r="R20" i="3"/>
  <c r="R25" i="3"/>
  <c r="R24" i="3"/>
  <c r="B21" i="6"/>
  <c r="F21" i="6" s="1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M20" i="6" a="1"/>
  <c r="M20" i="6" s="1"/>
  <c r="Q19" i="6"/>
  <c r="L19" i="6"/>
  <c r="P18" i="6"/>
  <c r="K18" i="6"/>
  <c r="O17" i="6"/>
  <c r="G16" i="6"/>
  <c r="I16" i="6" s="1"/>
  <c r="N15" i="6" a="1"/>
  <c r="N15" i="6" s="1"/>
  <c r="M14" i="6" a="1"/>
  <c r="M14" i="6" s="1"/>
  <c r="Q13" i="6"/>
  <c r="L13" i="6"/>
  <c r="P12" i="6"/>
  <c r="K12" i="6"/>
  <c r="O11" i="6"/>
  <c r="N10" i="6" a="1"/>
  <c r="N10" i="6" s="1"/>
  <c r="B20" i="6"/>
  <c r="F20" i="6" s="1"/>
  <c r="B13" i="6"/>
  <c r="F13" i="6" s="1"/>
  <c r="C21" i="6"/>
  <c r="C14" i="6"/>
  <c r="P25" i="6"/>
  <c r="K25" i="6"/>
  <c r="O24" i="6"/>
  <c r="G23" i="6"/>
  <c r="I23" i="6" s="1"/>
  <c r="N22" i="6" a="1"/>
  <c r="N22" i="6" s="1"/>
  <c r="M21" i="6" a="1"/>
  <c r="M21" i="6" s="1"/>
  <c r="Q20" i="6"/>
  <c r="L20" i="6"/>
  <c r="P19" i="6"/>
  <c r="K19" i="6"/>
  <c r="O18" i="6"/>
  <c r="G17" i="6"/>
  <c r="H17" i="6" s="1"/>
  <c r="N16" i="6" a="1"/>
  <c r="N16" i="6" s="1"/>
  <c r="M15" i="6" a="1"/>
  <c r="M15" i="6" s="1"/>
  <c r="Q14" i="6"/>
  <c r="L14" i="6"/>
  <c r="P13" i="6"/>
  <c r="K13" i="6"/>
  <c r="O12" i="6"/>
  <c r="G11" i="6"/>
  <c r="I11" i="6" s="1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L10" i="6"/>
  <c r="B24" i="6"/>
  <c r="F24" i="6" s="1"/>
  <c r="B17" i="6"/>
  <c r="F17" i="6" s="1"/>
  <c r="B11" i="6"/>
  <c r="F11" i="6" s="1"/>
  <c r="C25" i="6"/>
  <c r="C18" i="6"/>
  <c r="C12" i="6"/>
  <c r="G25" i="6"/>
  <c r="H25" i="6" s="1"/>
  <c r="N24" i="6" a="1"/>
  <c r="N24" i="6" s="1"/>
  <c r="M23" i="6" a="1"/>
  <c r="M23" i="6" s="1"/>
  <c r="Q22" i="6"/>
  <c r="L22" i="6"/>
  <c r="P21" i="6"/>
  <c r="K21" i="6"/>
  <c r="O20" i="6"/>
  <c r="G19" i="6"/>
  <c r="H19" i="6" s="1"/>
  <c r="N18" i="6" a="1"/>
  <c r="N18" i="6" s="1"/>
  <c r="M17" i="6" a="1"/>
  <c r="M17" i="6" s="1"/>
  <c r="Q16" i="6"/>
  <c r="L16" i="6"/>
  <c r="P15" i="6"/>
  <c r="K15" i="6"/>
  <c r="O14" i="6"/>
  <c r="G13" i="6"/>
  <c r="I13" i="6" s="1"/>
  <c r="N12" i="6" a="1"/>
  <c r="N12" i="6" s="1"/>
  <c r="M11" i="6" a="1"/>
  <c r="M11" i="6" s="1"/>
  <c r="Q10" i="6"/>
  <c r="AB10" i="6" s="1"/>
  <c r="K10" i="6"/>
  <c r="B23" i="6"/>
  <c r="F23" i="6" s="1"/>
  <c r="B16" i="6"/>
  <c r="F16" i="6" s="1"/>
  <c r="B10" i="6"/>
  <c r="F10" i="6" s="1"/>
  <c r="C24" i="6"/>
  <c r="C17" i="6"/>
  <c r="C11" i="6"/>
  <c r="N25" i="6" a="1"/>
  <c r="N25" i="6" s="1"/>
  <c r="M24" i="6" a="1"/>
  <c r="M24" i="6" s="1"/>
  <c r="Q23" i="6"/>
  <c r="L23" i="6"/>
  <c r="P22" i="6"/>
  <c r="K22" i="6"/>
  <c r="O21" i="6"/>
  <c r="G20" i="6"/>
  <c r="H20" i="6" s="1"/>
  <c r="N19" i="6" a="1"/>
  <c r="N19" i="6" s="1"/>
  <c r="M18" i="6" a="1"/>
  <c r="M18" i="6" s="1"/>
  <c r="Q17" i="6"/>
  <c r="L17" i="6"/>
  <c r="P16" i="6"/>
  <c r="K16" i="6"/>
  <c r="O15" i="6"/>
  <c r="G14" i="6"/>
  <c r="I14" i="6" s="1"/>
  <c r="N13" i="6" a="1"/>
  <c r="N13" i="6" s="1"/>
  <c r="M12" i="6" a="1"/>
  <c r="M12" i="6" s="1"/>
  <c r="Q11" i="6"/>
  <c r="L11" i="6"/>
  <c r="P10" i="6"/>
  <c r="R15" i="3"/>
  <c r="R21" i="3"/>
  <c r="R14" i="3"/>
  <c r="B22" i="6"/>
  <c r="F22" i="6" s="1"/>
  <c r="B15" i="6"/>
  <c r="F15" i="6" s="1"/>
  <c r="C23" i="6"/>
  <c r="C16" i="6"/>
  <c r="C10" i="6"/>
  <c r="C4" i="6"/>
  <c r="M25" i="6" a="1"/>
  <c r="M25" i="6" s="1"/>
  <c r="Q24" i="6"/>
  <c r="L24" i="6"/>
  <c r="P23" i="6"/>
  <c r="K23" i="6"/>
  <c r="O22" i="6"/>
  <c r="G21" i="6"/>
  <c r="I21" i="6" s="1"/>
  <c r="N20" i="6" a="1"/>
  <c r="N20" i="6" s="1"/>
  <c r="M19" i="6" a="1"/>
  <c r="M19" i="6" s="1"/>
  <c r="Q18" i="6"/>
  <c r="L18" i="6"/>
  <c r="P17" i="6"/>
  <c r="K17" i="6"/>
  <c r="O16" i="6"/>
  <c r="G15" i="6"/>
  <c r="I15" i="6" s="1"/>
  <c r="N14" i="6" a="1"/>
  <c r="N14" i="6" s="1"/>
  <c r="M13" i="6" a="1"/>
  <c r="M13" i="6" s="1"/>
  <c r="Q12" i="6"/>
  <c r="L12" i="6"/>
  <c r="P11" i="6"/>
  <c r="K11" i="6"/>
  <c r="O10" i="6"/>
  <c r="G10" i="6"/>
  <c r="J10" i="6" s="1"/>
  <c r="C19" i="6"/>
  <c r="B19" i="6"/>
  <c r="F19" i="6" s="1"/>
  <c r="R19" i="3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N3" i="6" a="1"/>
  <c r="N3" i="6" s="1"/>
  <c r="K3" i="6"/>
  <c r="Q3" i="6"/>
  <c r="P3" i="6"/>
  <c r="A7" i="3"/>
  <c r="A7" i="6" s="1"/>
  <c r="Q7" i="6"/>
  <c r="P7" i="6"/>
  <c r="L7" i="6"/>
  <c r="R7" i="3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R6" i="3"/>
  <c r="A5" i="3"/>
  <c r="A5" i="6" s="1"/>
  <c r="G5" i="6"/>
  <c r="H5" i="6" s="1"/>
  <c r="N5" i="6" a="1"/>
  <c r="N5" i="6" s="1"/>
  <c r="Q5" i="6"/>
  <c r="R5" i="3"/>
  <c r="P5" i="6"/>
  <c r="L5" i="6"/>
  <c r="A9" i="3"/>
  <c r="A9" i="6" s="1"/>
  <c r="A2" i="6"/>
  <c r="N2" i="6" a="1"/>
  <c r="N2" i="6" s="1"/>
  <c r="R2" i="3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3"/>
  <c r="N4" i="6" a="1"/>
  <c r="N4" i="6" s="1"/>
  <c r="B5" i="6"/>
  <c r="F5" i="6" s="1"/>
  <c r="K5" i="6"/>
  <c r="O5" i="6"/>
  <c r="R9" i="3"/>
  <c r="R3" i="3"/>
  <c r="G4" i="6"/>
  <c r="I4" i="6" s="1"/>
  <c r="M3" i="6" a="1"/>
  <c r="M3" i="6" s="1"/>
  <c r="R4" i="3"/>
  <c r="G3" i="6"/>
  <c r="B3" i="6"/>
  <c r="F3" i="6" s="1"/>
  <c r="L3" i="6"/>
  <c r="O3" i="6"/>
  <c r="Q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I556" i="8" l="1"/>
  <c r="I439" i="8"/>
  <c r="I535" i="8"/>
  <c r="I499" i="8"/>
  <c r="I369" i="8"/>
  <c r="I377" i="8"/>
  <c r="I24" i="6"/>
  <c r="S45" i="6"/>
  <c r="J29" i="6"/>
  <c r="S35" i="6"/>
  <c r="AB16" i="6"/>
  <c r="E33" i="6"/>
  <c r="H16" i="6"/>
  <c r="J27" i="6"/>
  <c r="I19" i="6"/>
  <c r="H23" i="6"/>
  <c r="O5" i="4"/>
  <c r="O11" i="4"/>
  <c r="O17" i="4"/>
  <c r="O23" i="4"/>
  <c r="O29" i="4"/>
  <c r="O35" i="4"/>
  <c r="O41" i="4"/>
  <c r="O47" i="4"/>
  <c r="O53" i="4"/>
  <c r="O59" i="4"/>
  <c r="O65" i="4"/>
  <c r="O71" i="4"/>
  <c r="O77" i="4"/>
  <c r="O83" i="4"/>
  <c r="O89" i="4"/>
  <c r="O95" i="4"/>
  <c r="O6" i="4"/>
  <c r="O12" i="4"/>
  <c r="O18" i="4"/>
  <c r="O24" i="4"/>
  <c r="O30" i="4"/>
  <c r="O36" i="4"/>
  <c r="O42" i="4"/>
  <c r="O48" i="4"/>
  <c r="O54" i="4"/>
  <c r="O60" i="4"/>
  <c r="O66" i="4"/>
  <c r="O72" i="4"/>
  <c r="O78" i="4"/>
  <c r="O84" i="4"/>
  <c r="O90" i="4"/>
  <c r="O96" i="4"/>
  <c r="O7" i="4"/>
  <c r="O13" i="4"/>
  <c r="O19" i="4"/>
  <c r="O25" i="4"/>
  <c r="O31" i="4"/>
  <c r="O37" i="4"/>
  <c r="O43" i="4"/>
  <c r="O49" i="4"/>
  <c r="O55" i="4"/>
  <c r="O61" i="4"/>
  <c r="O67" i="4"/>
  <c r="O73" i="4"/>
  <c r="O79" i="4"/>
  <c r="O85" i="4"/>
  <c r="O91" i="4"/>
  <c r="O97" i="4"/>
  <c r="O8" i="4"/>
  <c r="O14" i="4"/>
  <c r="O20" i="4"/>
  <c r="O26" i="4"/>
  <c r="O32" i="4"/>
  <c r="O38" i="4"/>
  <c r="O44" i="4"/>
  <c r="O50" i="4"/>
  <c r="O56" i="4"/>
  <c r="O62" i="4"/>
  <c r="O68" i="4"/>
  <c r="O74" i="4"/>
  <c r="O80" i="4"/>
  <c r="O86" i="4"/>
  <c r="O92" i="4"/>
  <c r="O98" i="4"/>
  <c r="O3" i="4"/>
  <c r="O9" i="4"/>
  <c r="O15" i="4"/>
  <c r="O21" i="4"/>
  <c r="O27" i="4"/>
  <c r="O33" i="4"/>
  <c r="O39" i="4"/>
  <c r="O45" i="4"/>
  <c r="O51" i="4"/>
  <c r="O57" i="4"/>
  <c r="O63" i="4"/>
  <c r="O69" i="4"/>
  <c r="O75" i="4"/>
  <c r="O81" i="4"/>
  <c r="O87" i="4"/>
  <c r="O93" i="4"/>
  <c r="O99" i="4"/>
  <c r="O4" i="4"/>
  <c r="O10" i="4"/>
  <c r="O16" i="4"/>
  <c r="O22" i="4"/>
  <c r="O28" i="4"/>
  <c r="O34" i="4"/>
  <c r="O40" i="4"/>
  <c r="O46" i="4"/>
  <c r="O52" i="4"/>
  <c r="O58" i="4"/>
  <c r="O64" i="4"/>
  <c r="O70" i="4"/>
  <c r="O76" i="4"/>
  <c r="O82" i="4"/>
  <c r="O88" i="4"/>
  <c r="O94" i="4"/>
  <c r="I475" i="8"/>
  <c r="K4" i="4"/>
  <c r="N4" i="4" s="1"/>
  <c r="K10" i="4"/>
  <c r="N10" i="4" s="1"/>
  <c r="K16" i="4"/>
  <c r="N16" i="4" s="1"/>
  <c r="K22" i="4"/>
  <c r="N22" i="4" s="1"/>
  <c r="K28" i="4"/>
  <c r="N28" i="4" s="1"/>
  <c r="K34" i="4"/>
  <c r="N34" i="4" s="1"/>
  <c r="K40" i="4"/>
  <c r="N40" i="4" s="1"/>
  <c r="K46" i="4"/>
  <c r="N46" i="4" s="1"/>
  <c r="K52" i="4"/>
  <c r="N52" i="4" s="1"/>
  <c r="K58" i="4"/>
  <c r="N58" i="4" s="1"/>
  <c r="K64" i="4"/>
  <c r="N64" i="4" s="1"/>
  <c r="K70" i="4"/>
  <c r="N70" i="4" s="1"/>
  <c r="K76" i="4"/>
  <c r="N76" i="4" s="1"/>
  <c r="K82" i="4"/>
  <c r="N82" i="4" s="1"/>
  <c r="K88" i="4"/>
  <c r="N88" i="4" s="1"/>
  <c r="K94" i="4"/>
  <c r="N94" i="4" s="1"/>
  <c r="P16" i="4" a="1"/>
  <c r="P16" i="4" s="1"/>
  <c r="P22" i="4" a="1"/>
  <c r="P22" i="4" s="1"/>
  <c r="Q22" i="4" s="1"/>
  <c r="P28" i="4" a="1"/>
  <c r="P28" i="4" s="1"/>
  <c r="P34" i="4" a="1"/>
  <c r="P34" i="4" s="1"/>
  <c r="Q34" i="4" s="1"/>
  <c r="P40" i="4" a="1"/>
  <c r="P40" i="4" s="1"/>
  <c r="Q40" i="4" s="1"/>
  <c r="P46" i="4" a="1"/>
  <c r="P46" i="4" s="1"/>
  <c r="Q46" i="4" s="1"/>
  <c r="P52" i="4" a="1"/>
  <c r="P52" i="4" s="1"/>
  <c r="Q52" i="4" s="1"/>
  <c r="P58" i="4" a="1"/>
  <c r="P58" i="4" s="1"/>
  <c r="Q58" i="4" s="1"/>
  <c r="P64" i="4" a="1"/>
  <c r="P64" i="4" s="1"/>
  <c r="P70" i="4" a="1"/>
  <c r="P70" i="4" s="1"/>
  <c r="Q70" i="4" s="1"/>
  <c r="P76" i="4" a="1"/>
  <c r="P76" i="4" s="1"/>
  <c r="Q76" i="4" s="1"/>
  <c r="P82" i="4" a="1"/>
  <c r="P82" i="4" s="1"/>
  <c r="Q82" i="4" s="1"/>
  <c r="P88" i="4" a="1"/>
  <c r="P88" i="4" s="1"/>
  <c r="Q88" i="4" s="1"/>
  <c r="P94" i="4" a="1"/>
  <c r="P94" i="4" s="1"/>
  <c r="Q94" i="4" s="1"/>
  <c r="K5" i="4"/>
  <c r="N5" i="4" s="1"/>
  <c r="K11" i="4"/>
  <c r="N11" i="4" s="1"/>
  <c r="K17" i="4"/>
  <c r="N17" i="4" s="1"/>
  <c r="K23" i="4"/>
  <c r="N23" i="4" s="1"/>
  <c r="K29" i="4"/>
  <c r="N29" i="4" s="1"/>
  <c r="K35" i="4"/>
  <c r="N35" i="4" s="1"/>
  <c r="K41" i="4"/>
  <c r="N41" i="4" s="1"/>
  <c r="K47" i="4"/>
  <c r="N47" i="4" s="1"/>
  <c r="K53" i="4"/>
  <c r="N53" i="4" s="1"/>
  <c r="K59" i="4"/>
  <c r="N59" i="4" s="1"/>
  <c r="K65" i="4"/>
  <c r="N65" i="4" s="1"/>
  <c r="K71" i="4"/>
  <c r="N71" i="4" s="1"/>
  <c r="K77" i="4"/>
  <c r="N77" i="4" s="1"/>
  <c r="K83" i="4"/>
  <c r="N83" i="4" s="1"/>
  <c r="K89" i="4"/>
  <c r="N89" i="4" s="1"/>
  <c r="K95" i="4"/>
  <c r="N95" i="4" s="1"/>
  <c r="P11" i="4" a="1"/>
  <c r="P11" i="4" s="1"/>
  <c r="P17" i="4" a="1"/>
  <c r="P17" i="4" s="1"/>
  <c r="Q17" i="4" s="1"/>
  <c r="P23" i="4" a="1"/>
  <c r="P23" i="4" s="1"/>
  <c r="Q23" i="4" s="1"/>
  <c r="P29" i="4" a="1"/>
  <c r="P29" i="4" s="1"/>
  <c r="Q29" i="4" s="1"/>
  <c r="P35" i="4" a="1"/>
  <c r="P35" i="4" s="1"/>
  <c r="Q35" i="4" s="1"/>
  <c r="P41" i="4" a="1"/>
  <c r="P41" i="4" s="1"/>
  <c r="Q41" i="4" s="1"/>
  <c r="P47" i="4" a="1"/>
  <c r="P47" i="4" s="1"/>
  <c r="P53" i="4" a="1"/>
  <c r="P53" i="4" s="1"/>
  <c r="Q53" i="4" s="1"/>
  <c r="P59" i="4" a="1"/>
  <c r="P59" i="4" s="1"/>
  <c r="Q59" i="4" s="1"/>
  <c r="P65" i="4" a="1"/>
  <c r="P65" i="4" s="1"/>
  <c r="Q65" i="4" s="1"/>
  <c r="P71" i="4" a="1"/>
  <c r="P71" i="4" s="1"/>
  <c r="Q71" i="4" s="1"/>
  <c r="P77" i="4" a="1"/>
  <c r="P77" i="4" s="1"/>
  <c r="Q77" i="4" s="1"/>
  <c r="P83" i="4" a="1"/>
  <c r="P83" i="4" s="1"/>
  <c r="P89" i="4" a="1"/>
  <c r="P89" i="4" s="1"/>
  <c r="Q89" i="4" s="1"/>
  <c r="P95" i="4" a="1"/>
  <c r="P95" i="4" s="1"/>
  <c r="Q95" i="4" s="1"/>
  <c r="K6" i="4"/>
  <c r="N6" i="4" s="1"/>
  <c r="K12" i="4"/>
  <c r="N12" i="4" s="1"/>
  <c r="K18" i="4"/>
  <c r="N18" i="4" s="1"/>
  <c r="K24" i="4"/>
  <c r="N24" i="4" s="1"/>
  <c r="K30" i="4"/>
  <c r="N30" i="4" s="1"/>
  <c r="K36" i="4"/>
  <c r="N36" i="4" s="1"/>
  <c r="K42" i="4"/>
  <c r="N42" i="4" s="1"/>
  <c r="K48" i="4"/>
  <c r="N48" i="4" s="1"/>
  <c r="K54" i="4"/>
  <c r="N54" i="4" s="1"/>
  <c r="K60" i="4"/>
  <c r="N60" i="4" s="1"/>
  <c r="K66" i="4"/>
  <c r="N66" i="4" s="1"/>
  <c r="K72" i="4"/>
  <c r="N72" i="4" s="1"/>
  <c r="K78" i="4"/>
  <c r="N78" i="4" s="1"/>
  <c r="K84" i="4"/>
  <c r="N84" i="4" s="1"/>
  <c r="K90" i="4"/>
  <c r="N90" i="4" s="1"/>
  <c r="K96" i="4"/>
  <c r="N96" i="4" s="1"/>
  <c r="P12" i="4" a="1"/>
  <c r="P12" i="4" s="1"/>
  <c r="Q12" i="4" s="1"/>
  <c r="P18" i="4" a="1"/>
  <c r="P18" i="4" s="1"/>
  <c r="Q18" i="4" s="1"/>
  <c r="P24" i="4" a="1"/>
  <c r="P24" i="4" s="1"/>
  <c r="P30" i="4" a="1"/>
  <c r="P30" i="4" s="1"/>
  <c r="Q30" i="4" s="1"/>
  <c r="P36" i="4" a="1"/>
  <c r="P36" i="4" s="1"/>
  <c r="Q36" i="4" s="1"/>
  <c r="P42" i="4" a="1"/>
  <c r="P42" i="4" s="1"/>
  <c r="Q42" i="4" s="1"/>
  <c r="P48" i="4" a="1"/>
  <c r="P48" i="4" s="1"/>
  <c r="Q48" i="4" s="1"/>
  <c r="P54" i="4" a="1"/>
  <c r="P54" i="4" s="1"/>
  <c r="Q54" i="4" s="1"/>
  <c r="P60" i="4" a="1"/>
  <c r="P60" i="4" s="1"/>
  <c r="P66" i="4" a="1"/>
  <c r="P66" i="4" s="1"/>
  <c r="Q66" i="4" s="1"/>
  <c r="P72" i="4" a="1"/>
  <c r="P72" i="4" s="1"/>
  <c r="Q72" i="4" s="1"/>
  <c r="P78" i="4" a="1"/>
  <c r="P78" i="4" s="1"/>
  <c r="Q78" i="4" s="1"/>
  <c r="P84" i="4" a="1"/>
  <c r="P84" i="4" s="1"/>
  <c r="Q84" i="4" s="1"/>
  <c r="P90" i="4" a="1"/>
  <c r="P90" i="4" s="1"/>
  <c r="Q90" i="4" s="1"/>
  <c r="P96" i="4" a="1"/>
  <c r="P96" i="4" s="1"/>
  <c r="K7" i="4"/>
  <c r="N7" i="4" s="1"/>
  <c r="K13" i="4"/>
  <c r="N13" i="4" s="1"/>
  <c r="K19" i="4"/>
  <c r="N19" i="4" s="1"/>
  <c r="K25" i="4"/>
  <c r="N25" i="4" s="1"/>
  <c r="K31" i="4"/>
  <c r="N31" i="4" s="1"/>
  <c r="K37" i="4"/>
  <c r="N37" i="4" s="1"/>
  <c r="K43" i="4"/>
  <c r="N43" i="4" s="1"/>
  <c r="K49" i="4"/>
  <c r="N49" i="4" s="1"/>
  <c r="K55" i="4"/>
  <c r="N55" i="4" s="1"/>
  <c r="K61" i="4"/>
  <c r="N61" i="4" s="1"/>
  <c r="K67" i="4"/>
  <c r="N67" i="4" s="1"/>
  <c r="K73" i="4"/>
  <c r="N73" i="4" s="1"/>
  <c r="K79" i="4"/>
  <c r="N79" i="4" s="1"/>
  <c r="K85" i="4"/>
  <c r="N85" i="4" s="1"/>
  <c r="K91" i="4"/>
  <c r="N91" i="4" s="1"/>
  <c r="K97" i="4"/>
  <c r="N97" i="4" s="1"/>
  <c r="P13" i="4" a="1"/>
  <c r="P13" i="4" s="1"/>
  <c r="Q13" i="4" s="1"/>
  <c r="P19" i="4" a="1"/>
  <c r="P19" i="4" s="1"/>
  <c r="Q19" i="4" s="1"/>
  <c r="P25" i="4" a="1"/>
  <c r="P25" i="4" s="1"/>
  <c r="Q25" i="4" s="1"/>
  <c r="P31" i="4" a="1"/>
  <c r="P31" i="4" s="1"/>
  <c r="Q31" i="4" s="1"/>
  <c r="P37" i="4" a="1"/>
  <c r="P37" i="4" s="1"/>
  <c r="P43" i="4" a="1"/>
  <c r="P43" i="4" s="1"/>
  <c r="Q43" i="4" s="1"/>
  <c r="P49" i="4" a="1"/>
  <c r="P49" i="4" s="1"/>
  <c r="Q49" i="4" s="1"/>
  <c r="P55" i="4" a="1"/>
  <c r="P55" i="4" s="1"/>
  <c r="Q55" i="4" s="1"/>
  <c r="P61" i="4" a="1"/>
  <c r="P61" i="4" s="1"/>
  <c r="Q61" i="4" s="1"/>
  <c r="P67" i="4" a="1"/>
  <c r="P67" i="4" s="1"/>
  <c r="Q67" i="4" s="1"/>
  <c r="P73" i="4" a="1"/>
  <c r="P73" i="4" s="1"/>
  <c r="P79" i="4" a="1"/>
  <c r="P79" i="4" s="1"/>
  <c r="Q79" i="4" s="1"/>
  <c r="P85" i="4" a="1"/>
  <c r="P85" i="4" s="1"/>
  <c r="Q85" i="4" s="1"/>
  <c r="P91" i="4" a="1"/>
  <c r="P91" i="4" s="1"/>
  <c r="Q91" i="4" s="1"/>
  <c r="P97" i="4" a="1"/>
  <c r="P97" i="4" s="1"/>
  <c r="Q97" i="4" s="1"/>
  <c r="K8" i="4"/>
  <c r="N8" i="4" s="1"/>
  <c r="K14" i="4"/>
  <c r="N14" i="4" s="1"/>
  <c r="K20" i="4"/>
  <c r="N20" i="4" s="1"/>
  <c r="K26" i="4"/>
  <c r="N26" i="4" s="1"/>
  <c r="K32" i="4"/>
  <c r="N32" i="4" s="1"/>
  <c r="K38" i="4"/>
  <c r="N38" i="4" s="1"/>
  <c r="K44" i="4"/>
  <c r="N44" i="4" s="1"/>
  <c r="K50" i="4"/>
  <c r="N50" i="4" s="1"/>
  <c r="K56" i="4"/>
  <c r="N56" i="4" s="1"/>
  <c r="K62" i="4"/>
  <c r="N62" i="4" s="1"/>
  <c r="K68" i="4"/>
  <c r="N68" i="4" s="1"/>
  <c r="K74" i="4"/>
  <c r="N74" i="4" s="1"/>
  <c r="K80" i="4"/>
  <c r="N80" i="4" s="1"/>
  <c r="K86" i="4"/>
  <c r="N86" i="4" s="1"/>
  <c r="K92" i="4"/>
  <c r="N92" i="4" s="1"/>
  <c r="K98" i="4"/>
  <c r="N98" i="4" s="1"/>
  <c r="P14" i="4" a="1"/>
  <c r="P14" i="4" s="1"/>
  <c r="P20" i="4" a="1"/>
  <c r="P20" i="4" s="1"/>
  <c r="Q20" i="4" s="1"/>
  <c r="P26" i="4" a="1"/>
  <c r="P26" i="4" s="1"/>
  <c r="Q26" i="4" s="1"/>
  <c r="P32" i="4" a="1"/>
  <c r="P32" i="4" s="1"/>
  <c r="Q32" i="4" s="1"/>
  <c r="P38" i="4" a="1"/>
  <c r="P38" i="4" s="1"/>
  <c r="Q38" i="4" s="1"/>
  <c r="P44" i="4" a="1"/>
  <c r="P44" i="4" s="1"/>
  <c r="Q44" i="4" s="1"/>
  <c r="P50" i="4" a="1"/>
  <c r="P50" i="4" s="1"/>
  <c r="P56" i="4" a="1"/>
  <c r="P56" i="4" s="1"/>
  <c r="Q56" i="4" s="1"/>
  <c r="P62" i="4" a="1"/>
  <c r="P62" i="4" s="1"/>
  <c r="Q62" i="4" s="1"/>
  <c r="P68" i="4" a="1"/>
  <c r="P68" i="4" s="1"/>
  <c r="Q68" i="4" s="1"/>
  <c r="P74" i="4" a="1"/>
  <c r="P74" i="4" s="1"/>
  <c r="Q74" i="4" s="1"/>
  <c r="P80" i="4" a="1"/>
  <c r="P80" i="4" s="1"/>
  <c r="Q80" i="4" s="1"/>
  <c r="P86" i="4" a="1"/>
  <c r="P86" i="4" s="1"/>
  <c r="P92" i="4" a="1"/>
  <c r="P92" i="4" s="1"/>
  <c r="Q92" i="4" s="1"/>
  <c r="P98" i="4" a="1"/>
  <c r="P98" i="4" s="1"/>
  <c r="Q98" i="4" s="1"/>
  <c r="K3" i="4"/>
  <c r="N3" i="4" s="1"/>
  <c r="K9" i="4"/>
  <c r="N9" i="4" s="1"/>
  <c r="K15" i="4"/>
  <c r="N15" i="4" s="1"/>
  <c r="K21" i="4"/>
  <c r="N21" i="4" s="1"/>
  <c r="K27" i="4"/>
  <c r="N27" i="4" s="1"/>
  <c r="K33" i="4"/>
  <c r="N33" i="4" s="1"/>
  <c r="K39" i="4"/>
  <c r="N39" i="4" s="1"/>
  <c r="K45" i="4"/>
  <c r="N45" i="4" s="1"/>
  <c r="K51" i="4"/>
  <c r="N51" i="4" s="1"/>
  <c r="K57" i="4"/>
  <c r="N57" i="4" s="1"/>
  <c r="K63" i="4"/>
  <c r="N63" i="4" s="1"/>
  <c r="K69" i="4"/>
  <c r="N69" i="4" s="1"/>
  <c r="K75" i="4"/>
  <c r="N75" i="4" s="1"/>
  <c r="K81" i="4"/>
  <c r="N81" i="4" s="1"/>
  <c r="K87" i="4"/>
  <c r="N87" i="4" s="1"/>
  <c r="K93" i="4"/>
  <c r="N93" i="4" s="1"/>
  <c r="K99" i="4"/>
  <c r="N99" i="4" s="1"/>
  <c r="P15" i="4" a="1"/>
  <c r="P15" i="4" s="1"/>
  <c r="Q15" i="4" s="1"/>
  <c r="P21" i="4" a="1"/>
  <c r="P21" i="4" s="1"/>
  <c r="P27" i="4" a="1"/>
  <c r="P27" i="4" s="1"/>
  <c r="Q27" i="4" s="1"/>
  <c r="P33" i="4" a="1"/>
  <c r="P33" i="4" s="1"/>
  <c r="Q33" i="4" s="1"/>
  <c r="P39" i="4" a="1"/>
  <c r="P39" i="4" s="1"/>
  <c r="Q39" i="4" s="1"/>
  <c r="P45" i="4" a="1"/>
  <c r="P45" i="4" s="1"/>
  <c r="Q45" i="4" s="1"/>
  <c r="P51" i="4" a="1"/>
  <c r="P51" i="4" s="1"/>
  <c r="Q51" i="4" s="1"/>
  <c r="P57" i="4" a="1"/>
  <c r="P57" i="4" s="1"/>
  <c r="P63" i="4" a="1"/>
  <c r="P63" i="4" s="1"/>
  <c r="Q63" i="4" s="1"/>
  <c r="P69" i="4" a="1"/>
  <c r="P69" i="4" s="1"/>
  <c r="Q69" i="4" s="1"/>
  <c r="P75" i="4" a="1"/>
  <c r="P75" i="4" s="1"/>
  <c r="Q75" i="4" s="1"/>
  <c r="P81" i="4" a="1"/>
  <c r="P81" i="4" s="1"/>
  <c r="Q81" i="4" s="1"/>
  <c r="P87" i="4" a="1"/>
  <c r="P87" i="4" s="1"/>
  <c r="Q87" i="4" s="1"/>
  <c r="P93" i="4" a="1"/>
  <c r="P93" i="4" s="1"/>
  <c r="P99" i="4" a="1"/>
  <c r="P99" i="4" s="1"/>
  <c r="Q99" i="4" s="1"/>
  <c r="I630" i="8"/>
  <c r="I380" i="8"/>
  <c r="I259" i="8"/>
  <c r="I291" i="8"/>
  <c r="I456" i="8"/>
  <c r="I194" i="8"/>
  <c r="I323" i="8"/>
  <c r="I282" i="8"/>
  <c r="I372" i="8"/>
  <c r="I440" i="8"/>
  <c r="I353" i="8"/>
  <c r="I400" i="8"/>
  <c r="I512" i="8"/>
  <c r="I612" i="8"/>
  <c r="I500" i="8"/>
  <c r="I484" i="8"/>
  <c r="I572" i="8"/>
  <c r="I432" i="8"/>
  <c r="I487" i="8"/>
  <c r="I185" i="8"/>
  <c r="I307" i="8"/>
  <c r="I516" i="8"/>
  <c r="I382" i="8"/>
  <c r="I252" i="8"/>
  <c r="I284" i="8"/>
  <c r="I403" i="8"/>
  <c r="I596" i="8"/>
  <c r="I464" i="8"/>
  <c r="I412" i="8"/>
  <c r="I315" i="8"/>
  <c r="I448" i="8"/>
  <c r="I428" i="8"/>
  <c r="I605" i="8"/>
  <c r="I549" i="8"/>
  <c r="P3" i="4" a="1"/>
  <c r="P3" i="4" s="1"/>
  <c r="Q3" i="4" s="1"/>
  <c r="P4" i="4" a="1"/>
  <c r="P4" i="4" s="1"/>
  <c r="Q4" i="4" s="1"/>
  <c r="P7" i="4" a="1"/>
  <c r="P7" i="4" s="1"/>
  <c r="Q7" i="4" s="1"/>
  <c r="P9" i="4" a="1"/>
  <c r="P9" i="4" s="1"/>
  <c r="Q9" i="4" s="1"/>
  <c r="P10" i="4" a="1"/>
  <c r="P10" i="4" s="1"/>
  <c r="Q10" i="4" s="1"/>
  <c r="P6" i="4" a="1"/>
  <c r="P6" i="4" s="1"/>
  <c r="Q6" i="4" s="1"/>
  <c r="P5" i="4" a="1"/>
  <c r="P5" i="4" s="1"/>
  <c r="Q5" i="4" s="1"/>
  <c r="P8" i="4" a="1"/>
  <c r="P8" i="4" s="1"/>
  <c r="Q8" i="4" s="1"/>
  <c r="I299" i="8"/>
  <c r="I504" i="8"/>
  <c r="I275" i="8"/>
  <c r="I496" i="8"/>
  <c r="I480" i="8"/>
  <c r="I435" i="8"/>
  <c r="I339" i="8"/>
  <c r="I604" i="8"/>
  <c r="I588" i="8"/>
  <c r="I251" i="8"/>
  <c r="I399" i="8"/>
  <c r="I511" i="8"/>
  <c r="I447" i="8"/>
  <c r="I349" i="8"/>
  <c r="I381" i="8"/>
  <c r="I314" i="8"/>
  <c r="I161" i="8"/>
  <c r="I650" i="8"/>
  <c r="I515" i="8"/>
  <c r="I345" i="8"/>
  <c r="I524" i="8"/>
  <c r="I513" i="8"/>
  <c r="I632" i="8"/>
  <c r="I624" i="8"/>
  <c r="I620" i="8"/>
  <c r="I617" i="8"/>
  <c r="I607" i="8"/>
  <c r="I585" i="8"/>
  <c r="I567" i="8"/>
  <c r="I559" i="8"/>
  <c r="I629" i="8"/>
  <c r="I625" i="8"/>
  <c r="I597" i="8"/>
  <c r="I595" i="8"/>
  <c r="I579" i="8"/>
  <c r="I563" i="8"/>
  <c r="I541" i="8"/>
  <c r="I517" i="8"/>
  <c r="H699" i="1"/>
  <c r="H683" i="1"/>
  <c r="H679" i="1"/>
  <c r="H663" i="1"/>
  <c r="H647" i="1"/>
  <c r="H631" i="1"/>
  <c r="H615" i="1"/>
  <c r="H599" i="1"/>
  <c r="H583" i="1"/>
  <c r="H567" i="1"/>
  <c r="H551" i="1"/>
  <c r="H535" i="1"/>
  <c r="H519" i="1"/>
  <c r="H503" i="1"/>
  <c r="H487" i="1"/>
  <c r="H471" i="1"/>
  <c r="H455" i="1"/>
  <c r="H439" i="1"/>
  <c r="H423" i="1"/>
  <c r="H407" i="1"/>
  <c r="H391" i="1"/>
  <c r="H375" i="1"/>
  <c r="H359" i="1"/>
  <c r="H343" i="1"/>
  <c r="H327" i="1"/>
  <c r="H311" i="1"/>
  <c r="H295" i="1"/>
  <c r="H279" i="1"/>
  <c r="H263" i="1"/>
  <c r="H247" i="1"/>
  <c r="H231" i="1"/>
  <c r="H215" i="1"/>
  <c r="H199" i="1"/>
  <c r="H710" i="1"/>
  <c r="H694" i="1"/>
  <c r="H654" i="1"/>
  <c r="H638" i="1"/>
  <c r="H622" i="1"/>
  <c r="H606" i="1"/>
  <c r="H590" i="1"/>
  <c r="H574" i="1"/>
  <c r="H558" i="1"/>
  <c r="H542" i="1"/>
  <c r="H526" i="1"/>
  <c r="H510" i="1"/>
  <c r="H486" i="1"/>
  <c r="H470" i="1"/>
  <c r="H446" i="1"/>
  <c r="H430" i="1"/>
  <c r="H414" i="1"/>
  <c r="H398" i="1"/>
  <c r="H382" i="1"/>
  <c r="H366" i="1"/>
  <c r="H350" i="1"/>
  <c r="H334" i="1"/>
  <c r="H318" i="1"/>
  <c r="H302" i="1"/>
  <c r="H294" i="1"/>
  <c r="H278" i="1"/>
  <c r="H262" i="1"/>
  <c r="H246" i="1"/>
  <c r="H230" i="1"/>
  <c r="H214" i="1"/>
  <c r="H198" i="1"/>
  <c r="H709" i="1"/>
  <c r="H693" i="1"/>
  <c r="H669" i="1"/>
  <c r="H649" i="1"/>
  <c r="H633" i="1"/>
  <c r="H617" i="1"/>
  <c r="H601" i="1"/>
  <c r="H585" i="1"/>
  <c r="H569" i="1"/>
  <c r="H553" i="1"/>
  <c r="H537" i="1"/>
  <c r="H521" i="1"/>
  <c r="H505" i="1"/>
  <c r="H493" i="1"/>
  <c r="H477" i="1"/>
  <c r="H457" i="1"/>
  <c r="H441" i="1"/>
  <c r="H703" i="1"/>
  <c r="H687" i="1"/>
  <c r="H667" i="1"/>
  <c r="H651" i="1"/>
  <c r="H635" i="1"/>
  <c r="H619" i="1"/>
  <c r="H603" i="1"/>
  <c r="H587" i="1"/>
  <c r="H571" i="1"/>
  <c r="H555" i="1"/>
  <c r="H539" i="1"/>
  <c r="H523" i="1"/>
  <c r="H507" i="1"/>
  <c r="H491" i="1"/>
  <c r="H475" i="1"/>
  <c r="H459" i="1"/>
  <c r="H443" i="1"/>
  <c r="H427" i="1"/>
  <c r="H411" i="1"/>
  <c r="H395" i="1"/>
  <c r="H379" i="1"/>
  <c r="H363" i="1"/>
  <c r="H347" i="1"/>
  <c r="H331" i="1"/>
  <c r="H315" i="1"/>
  <c r="H299" i="1"/>
  <c r="H283" i="1"/>
  <c r="H267" i="1"/>
  <c r="H251" i="1"/>
  <c r="H235" i="1"/>
  <c r="H219" i="1"/>
  <c r="H203" i="1"/>
  <c r="H187" i="1"/>
  <c r="H698" i="1"/>
  <c r="H682" i="1"/>
  <c r="H670" i="1"/>
  <c r="H666" i="1"/>
  <c r="H658" i="1"/>
  <c r="H642" i="1"/>
  <c r="H626" i="1"/>
  <c r="H610" i="1"/>
  <c r="H594" i="1"/>
  <c r="H578" i="1"/>
  <c r="H562" i="1"/>
  <c r="H546" i="1"/>
  <c r="H530" i="1"/>
  <c r="H514" i="1"/>
  <c r="H490" i="1"/>
  <c r="H474" i="1"/>
  <c r="H450" i="1"/>
  <c r="H434" i="1"/>
  <c r="H418" i="1"/>
  <c r="H402" i="1"/>
  <c r="H386" i="1"/>
  <c r="H370" i="1"/>
  <c r="H354" i="1"/>
  <c r="H338" i="1"/>
  <c r="H322" i="1"/>
  <c r="H306" i="1"/>
  <c r="H298" i="1"/>
  <c r="H282" i="1"/>
  <c r="H266" i="1"/>
  <c r="H250" i="1"/>
  <c r="H234" i="1"/>
  <c r="H218" i="1"/>
  <c r="H202" i="1"/>
  <c r="H697" i="1"/>
  <c r="H681" i="1"/>
  <c r="H673" i="1"/>
  <c r="H653" i="1"/>
  <c r="H637" i="1"/>
  <c r="H621" i="1"/>
  <c r="H605" i="1"/>
  <c r="H589" i="1"/>
  <c r="H573" i="1"/>
  <c r="H557" i="1"/>
  <c r="H541" i="1"/>
  <c r="H525" i="1"/>
  <c r="H509" i="1"/>
  <c r="H497" i="1"/>
  <c r="H707" i="1"/>
  <c r="H691" i="1"/>
  <c r="H671" i="1"/>
  <c r="H655" i="1"/>
  <c r="H639" i="1"/>
  <c r="H623" i="1"/>
  <c r="H607" i="1"/>
  <c r="H591" i="1"/>
  <c r="H575" i="1"/>
  <c r="H559" i="1"/>
  <c r="H543" i="1"/>
  <c r="H527" i="1"/>
  <c r="H511" i="1"/>
  <c r="H495" i="1"/>
  <c r="H479" i="1"/>
  <c r="H463" i="1"/>
  <c r="H447" i="1"/>
  <c r="H431" i="1"/>
  <c r="H415" i="1"/>
  <c r="H399" i="1"/>
  <c r="H383" i="1"/>
  <c r="H367" i="1"/>
  <c r="H351" i="1"/>
  <c r="H335" i="1"/>
  <c r="H319" i="1"/>
  <c r="H303" i="1"/>
  <c r="H287" i="1"/>
  <c r="H271" i="1"/>
  <c r="H255" i="1"/>
  <c r="H239" i="1"/>
  <c r="H223" i="1"/>
  <c r="H207" i="1"/>
  <c r="H191" i="1"/>
  <c r="H702" i="1"/>
  <c r="H686" i="1"/>
  <c r="H662" i="1"/>
  <c r="H646" i="1"/>
  <c r="H630" i="1"/>
  <c r="H614" i="1"/>
  <c r="H598" i="1"/>
  <c r="H582" i="1"/>
  <c r="H566" i="1"/>
  <c r="H550" i="1"/>
  <c r="H534" i="1"/>
  <c r="H518" i="1"/>
  <c r="H502" i="1"/>
  <c r="H494" i="1"/>
  <c r="H478" i="1"/>
  <c r="H462" i="1"/>
  <c r="H454" i="1"/>
  <c r="H438" i="1"/>
  <c r="H422" i="1"/>
  <c r="H406" i="1"/>
  <c r="H390" i="1"/>
  <c r="H374" i="1"/>
  <c r="H358" i="1"/>
  <c r="H342" i="1"/>
  <c r="H326" i="1"/>
  <c r="H310" i="1"/>
  <c r="H286" i="1"/>
  <c r="H270" i="1"/>
  <c r="H254" i="1"/>
  <c r="H238" i="1"/>
  <c r="H222" i="1"/>
  <c r="H206" i="1"/>
  <c r="H190" i="1"/>
  <c r="H701" i="1"/>
  <c r="H685" i="1"/>
  <c r="H677" i="1"/>
  <c r="H657" i="1"/>
  <c r="H641" i="1"/>
  <c r="H625" i="1"/>
  <c r="H609" i="1"/>
  <c r="H593" i="1"/>
  <c r="H577" i="1"/>
  <c r="H561" i="1"/>
  <c r="H545" i="1"/>
  <c r="H529" i="1"/>
  <c r="H513" i="1"/>
  <c r="H485" i="1"/>
  <c r="H469" i="1"/>
  <c r="H449" i="1"/>
  <c r="H433" i="1"/>
  <c r="H417" i="1"/>
  <c r="H401" i="1"/>
  <c r="H196" i="1"/>
  <c r="H212" i="1"/>
  <c r="H228" i="1"/>
  <c r="H244" i="1"/>
  <c r="H260" i="1"/>
  <c r="H276" i="1"/>
  <c r="H292" i="1"/>
  <c r="H304" i="1"/>
  <c r="H320" i="1"/>
  <c r="H336" i="1"/>
  <c r="H352" i="1"/>
  <c r="H368" i="1"/>
  <c r="H384" i="1"/>
  <c r="H400" i="1"/>
  <c r="H416" i="1"/>
  <c r="H432" i="1"/>
  <c r="H448" i="1"/>
  <c r="H468" i="1"/>
  <c r="H484" i="1"/>
  <c r="H512" i="1"/>
  <c r="H528" i="1"/>
  <c r="H544" i="1"/>
  <c r="H560" i="1"/>
  <c r="H576" i="1"/>
  <c r="H592" i="1"/>
  <c r="H608" i="1"/>
  <c r="H624" i="1"/>
  <c r="H640" i="1"/>
  <c r="H656" i="1"/>
  <c r="H676" i="1"/>
  <c r="H680" i="1"/>
  <c r="H696" i="1"/>
  <c r="H193" i="1"/>
  <c r="H209" i="1"/>
  <c r="H225" i="1"/>
  <c r="H241" i="1"/>
  <c r="H257" i="1"/>
  <c r="H273" i="1"/>
  <c r="H289" i="1"/>
  <c r="H301" i="1"/>
  <c r="H317" i="1"/>
  <c r="H333" i="1"/>
  <c r="H349" i="1"/>
  <c r="H365" i="1"/>
  <c r="H381" i="1"/>
  <c r="H397" i="1"/>
  <c r="H409" i="1"/>
  <c r="H421" i="1"/>
  <c r="H445" i="1"/>
  <c r="H481" i="1"/>
  <c r="H517" i="1"/>
  <c r="H581" i="1"/>
  <c r="H645" i="1"/>
  <c r="H689" i="1"/>
  <c r="H210" i="1"/>
  <c r="H274" i="1"/>
  <c r="H314" i="1"/>
  <c r="H378" i="1"/>
  <c r="H442" i="1"/>
  <c r="H466" i="1"/>
  <c r="H554" i="1"/>
  <c r="H618" i="1"/>
  <c r="H706" i="1"/>
  <c r="H243" i="1"/>
  <c r="H307" i="1"/>
  <c r="H371" i="1"/>
  <c r="H435" i="1"/>
  <c r="H499" i="1"/>
  <c r="H563" i="1"/>
  <c r="H627" i="1"/>
  <c r="H711" i="1"/>
  <c r="H192" i="1"/>
  <c r="H208" i="1"/>
  <c r="H224" i="1"/>
  <c r="H240" i="1"/>
  <c r="H256" i="1"/>
  <c r="H272" i="1"/>
  <c r="H288" i="1"/>
  <c r="H300" i="1"/>
  <c r="H316" i="1"/>
  <c r="H332" i="1"/>
  <c r="H348" i="1"/>
  <c r="H364" i="1"/>
  <c r="H380" i="1"/>
  <c r="H396" i="1"/>
  <c r="H412" i="1"/>
  <c r="H428" i="1"/>
  <c r="H444" i="1"/>
  <c r="H460" i="1"/>
  <c r="H464" i="1"/>
  <c r="H480" i="1"/>
  <c r="H496" i="1"/>
  <c r="H508" i="1"/>
  <c r="H524" i="1"/>
  <c r="H540" i="1"/>
  <c r="H556" i="1"/>
  <c r="H572" i="1"/>
  <c r="H588" i="1"/>
  <c r="H604" i="1"/>
  <c r="H620" i="1"/>
  <c r="H636" i="1"/>
  <c r="H652" i="1"/>
  <c r="H672" i="1"/>
  <c r="H692" i="1"/>
  <c r="H708" i="1"/>
  <c r="H189" i="1"/>
  <c r="H205" i="1"/>
  <c r="H221" i="1"/>
  <c r="H237" i="1"/>
  <c r="H253" i="1"/>
  <c r="H269" i="1"/>
  <c r="H285" i="1"/>
  <c r="H313" i="1"/>
  <c r="H329" i="1"/>
  <c r="H345" i="1"/>
  <c r="H361" i="1"/>
  <c r="H377" i="1"/>
  <c r="H393" i="1"/>
  <c r="H405" i="1"/>
  <c r="H453" i="1"/>
  <c r="H489" i="1"/>
  <c r="H533" i="1"/>
  <c r="H597" i="1"/>
  <c r="H661" i="1"/>
  <c r="H665" i="1"/>
  <c r="H705" i="1"/>
  <c r="H226" i="1"/>
  <c r="H290" i="1"/>
  <c r="H330" i="1"/>
  <c r="H394" i="1"/>
  <c r="H458" i="1"/>
  <c r="H482" i="1"/>
  <c r="H506" i="1"/>
  <c r="H570" i="1"/>
  <c r="H634" i="1"/>
  <c r="H674" i="1"/>
  <c r="H678" i="1"/>
  <c r="H195" i="1"/>
  <c r="H259" i="1"/>
  <c r="H323" i="1"/>
  <c r="H387" i="1"/>
  <c r="H451" i="1"/>
  <c r="H515" i="1"/>
  <c r="H579" i="1"/>
  <c r="H643" i="1"/>
  <c r="H188" i="1"/>
  <c r="H204" i="1"/>
  <c r="H220" i="1"/>
  <c r="H236" i="1"/>
  <c r="H252" i="1"/>
  <c r="H268" i="1"/>
  <c r="H284" i="1"/>
  <c r="H312" i="1"/>
  <c r="H328" i="1"/>
  <c r="H344" i="1"/>
  <c r="H360" i="1"/>
  <c r="H376" i="1"/>
  <c r="H392" i="1"/>
  <c r="H408" i="1"/>
  <c r="H424" i="1"/>
  <c r="H440" i="1"/>
  <c r="H456" i="1"/>
  <c r="H476" i="1"/>
  <c r="H492" i="1"/>
  <c r="H504" i="1"/>
  <c r="H520" i="1"/>
  <c r="H536" i="1"/>
  <c r="H552" i="1"/>
  <c r="H568" i="1"/>
  <c r="H584" i="1"/>
  <c r="H600" i="1"/>
  <c r="H616" i="1"/>
  <c r="H632" i="1"/>
  <c r="H648" i="1"/>
  <c r="H668" i="1"/>
  <c r="H688" i="1"/>
  <c r="H704" i="1"/>
  <c r="H201" i="1"/>
  <c r="H217" i="1"/>
  <c r="H233" i="1"/>
  <c r="H249" i="1"/>
  <c r="H265" i="1"/>
  <c r="H281" i="1"/>
  <c r="H297" i="1"/>
  <c r="H309" i="1"/>
  <c r="H325" i="1"/>
  <c r="H341" i="1"/>
  <c r="H357" i="1"/>
  <c r="H373" i="1"/>
  <c r="H389" i="1"/>
  <c r="H429" i="1"/>
  <c r="H461" i="1"/>
  <c r="H465" i="1"/>
  <c r="H549" i="1"/>
  <c r="H613" i="1"/>
  <c r="H242" i="1"/>
  <c r="H346" i="1"/>
  <c r="H410" i="1"/>
  <c r="H498" i="1"/>
  <c r="H522" i="1"/>
  <c r="H586" i="1"/>
  <c r="H650" i="1"/>
  <c r="H211" i="1"/>
  <c r="H275" i="1"/>
  <c r="H339" i="1"/>
  <c r="H403" i="1"/>
  <c r="H467" i="1"/>
  <c r="H531" i="1"/>
  <c r="H595" i="1"/>
  <c r="H659" i="1"/>
  <c r="H200" i="1"/>
  <c r="H216" i="1"/>
  <c r="H232" i="1"/>
  <c r="H248" i="1"/>
  <c r="H264" i="1"/>
  <c r="H280" i="1"/>
  <c r="H296" i="1"/>
  <c r="H308" i="1"/>
  <c r="H324" i="1"/>
  <c r="H340" i="1"/>
  <c r="H356" i="1"/>
  <c r="H372" i="1"/>
  <c r="H388" i="1"/>
  <c r="H404" i="1"/>
  <c r="H420" i="1"/>
  <c r="H436" i="1"/>
  <c r="H452" i="1"/>
  <c r="H472" i="1"/>
  <c r="H488" i="1"/>
  <c r="H500" i="1"/>
  <c r="H516" i="1"/>
  <c r="H532" i="1"/>
  <c r="H548" i="1"/>
  <c r="H564" i="1"/>
  <c r="H580" i="1"/>
  <c r="H596" i="1"/>
  <c r="H612" i="1"/>
  <c r="H628" i="1"/>
  <c r="H644" i="1"/>
  <c r="H660" i="1"/>
  <c r="H664" i="1"/>
  <c r="H684" i="1"/>
  <c r="H700" i="1"/>
  <c r="H197" i="1"/>
  <c r="H213" i="1"/>
  <c r="H229" i="1"/>
  <c r="H245" i="1"/>
  <c r="H261" i="1"/>
  <c r="H277" i="1"/>
  <c r="H293" i="1"/>
  <c r="H305" i="1"/>
  <c r="H321" i="1"/>
  <c r="H337" i="1"/>
  <c r="H353" i="1"/>
  <c r="H369" i="1"/>
  <c r="H385" i="1"/>
  <c r="H413" i="1"/>
  <c r="H425" i="1"/>
  <c r="H437" i="1"/>
  <c r="H473" i="1"/>
  <c r="H501" i="1"/>
  <c r="H565" i="1"/>
  <c r="H629" i="1"/>
  <c r="H194" i="1"/>
  <c r="H258" i="1"/>
  <c r="H362" i="1"/>
  <c r="H426" i="1"/>
  <c r="H538" i="1"/>
  <c r="H602" i="1"/>
  <c r="H690" i="1"/>
  <c r="H227" i="1"/>
  <c r="H291" i="1"/>
  <c r="H355" i="1"/>
  <c r="H419" i="1"/>
  <c r="H483" i="1"/>
  <c r="H547" i="1"/>
  <c r="H611" i="1"/>
  <c r="H675" i="1"/>
  <c r="H695" i="1"/>
  <c r="I202" i="8"/>
  <c r="I243" i="8"/>
  <c r="I539" i="8"/>
  <c r="I573" i="8"/>
  <c r="I569" i="8"/>
  <c r="I583" i="8"/>
  <c r="I615" i="8"/>
  <c r="I298" i="8"/>
  <c r="I436" i="8"/>
  <c r="I348" i="8"/>
  <c r="I227" i="8"/>
  <c r="I361" i="8"/>
  <c r="I525" i="8"/>
  <c r="I565" i="8"/>
  <c r="I581" i="8"/>
  <c r="I613" i="8"/>
  <c r="I633" i="8"/>
  <c r="I551" i="8"/>
  <c r="I575" i="8"/>
  <c r="I599" i="8"/>
  <c r="I609" i="8"/>
  <c r="I636" i="8"/>
  <c r="I532" i="8"/>
  <c r="I324" i="8"/>
  <c r="I519" i="8"/>
  <c r="I503" i="8"/>
  <c r="I292" i="8"/>
  <c r="I364" i="8"/>
  <c r="I404" i="8"/>
  <c r="I235" i="8"/>
  <c r="I385" i="8"/>
  <c r="I533" i="8"/>
  <c r="I571" i="8"/>
  <c r="I603" i="8"/>
  <c r="I621" i="8"/>
  <c r="I637" i="8"/>
  <c r="I577" i="8"/>
  <c r="I640" i="8"/>
  <c r="I521" i="8"/>
  <c r="I537" i="8"/>
  <c r="I193" i="8"/>
  <c r="I316" i="8"/>
  <c r="I507" i="8"/>
  <c r="I177" i="8"/>
  <c r="I266" i="8"/>
  <c r="I181" i="8"/>
  <c r="I164" i="8"/>
  <c r="I174" i="8"/>
  <c r="I196" i="8"/>
  <c r="I206" i="8"/>
  <c r="I197" i="8"/>
  <c r="I249" i="8"/>
  <c r="I265" i="8"/>
  <c r="I281" i="8"/>
  <c r="I297" i="8"/>
  <c r="I313" i="8"/>
  <c r="I501" i="8"/>
  <c r="I442" i="8"/>
  <c r="I477" i="8"/>
  <c r="I562" i="8"/>
  <c r="I578" i="8"/>
  <c r="I594" i="8"/>
  <c r="I610" i="8"/>
  <c r="I643" i="8"/>
  <c r="I659" i="8"/>
  <c r="I414" i="8"/>
  <c r="I639" i="8"/>
  <c r="I584" i="8"/>
  <c r="I390" i="8"/>
  <c r="I543" i="8"/>
  <c r="I564" i="8"/>
  <c r="I153" i="8"/>
  <c r="I222" i="8"/>
  <c r="I308" i="8"/>
  <c r="I483" i="8"/>
  <c r="I283" i="8"/>
  <c r="I357" i="8"/>
  <c r="I416" i="8"/>
  <c r="I443" i="8"/>
  <c r="I455" i="8"/>
  <c r="I476" i="8"/>
  <c r="I322" i="8"/>
  <c r="I350" i="8"/>
  <c r="I408" i="8"/>
  <c r="I287" i="8"/>
  <c r="I461" i="8"/>
  <c r="I201" i="8"/>
  <c r="I423" i="8"/>
  <c r="I267" i="8"/>
  <c r="I331" i="8"/>
  <c r="I427" i="8"/>
  <c r="I531" i="8"/>
  <c r="I514" i="8"/>
  <c r="I530" i="8"/>
  <c r="I169" i="8"/>
  <c r="I162" i="8"/>
  <c r="I268" i="8"/>
  <c r="I366" i="8"/>
  <c r="I389" i="8"/>
  <c r="I415" i="8"/>
  <c r="I424" i="8"/>
  <c r="I666" i="8"/>
  <c r="I467" i="8"/>
  <c r="I540" i="8"/>
  <c r="I379" i="8"/>
  <c r="I210" i="8"/>
  <c r="I213" i="8"/>
  <c r="I226" i="8"/>
  <c r="I229" i="8"/>
  <c r="I242" i="8"/>
  <c r="I437" i="8"/>
  <c r="I506" i="8"/>
  <c r="I590" i="8"/>
  <c r="I492" i="8"/>
  <c r="I388" i="8"/>
  <c r="I184" i="8"/>
  <c r="I502" i="8"/>
  <c r="I522" i="8"/>
  <c r="I250" i="8"/>
  <c r="I420" i="8"/>
  <c r="I472" i="8"/>
  <c r="I580" i="8"/>
  <c r="I373" i="8"/>
  <c r="I396" i="8"/>
  <c r="I460" i="8"/>
  <c r="I419" i="8"/>
  <c r="I491" i="8"/>
  <c r="I431" i="8"/>
  <c r="I495" i="8"/>
  <c r="I330" i="8"/>
  <c r="I154" i="8"/>
  <c r="I587" i="8"/>
  <c r="I591" i="8"/>
  <c r="I429" i="8"/>
  <c r="I493" i="8"/>
  <c r="I529" i="8"/>
  <c r="I626" i="8"/>
  <c r="I395" i="8"/>
  <c r="I468" i="8"/>
  <c r="I407" i="8"/>
  <c r="I338" i="8"/>
  <c r="I328" i="8"/>
  <c r="I561" i="8"/>
  <c r="I593" i="8"/>
  <c r="I628" i="8"/>
  <c r="I217" i="8"/>
  <c r="I263" i="8"/>
  <c r="I536" i="8"/>
  <c r="I258" i="8"/>
  <c r="I411" i="8"/>
  <c r="I523" i="8"/>
  <c r="I182" i="8"/>
  <c r="I188" i="8"/>
  <c r="I257" i="8"/>
  <c r="I273" i="8"/>
  <c r="I289" i="8"/>
  <c r="I305" i="8"/>
  <c r="I321" i="8"/>
  <c r="I198" i="8"/>
  <c r="I334" i="8"/>
  <c r="I611" i="8"/>
  <c r="I554" i="8"/>
  <c r="I570" i="8"/>
  <c r="I586" i="8"/>
  <c r="I602" i="8"/>
  <c r="I618" i="8"/>
  <c r="I651" i="8"/>
  <c r="I653" i="8"/>
  <c r="I667" i="8"/>
  <c r="I669" i="8"/>
  <c r="I634" i="8"/>
  <c r="I646" i="8"/>
  <c r="I260" i="8"/>
  <c r="I300" i="8"/>
  <c r="I527" i="8"/>
  <c r="I224" i="8"/>
  <c r="I240" i="8"/>
  <c r="I160" i="8"/>
  <c r="I318" i="8"/>
  <c r="I347" i="8"/>
  <c r="I363" i="8"/>
  <c r="I336" i="8"/>
  <c r="I405" i="8"/>
  <c r="I421" i="8"/>
  <c r="I469" i="8"/>
  <c r="I485" i="8"/>
  <c r="I262" i="8"/>
  <c r="I425" i="8"/>
  <c r="I457" i="8"/>
  <c r="I489" i="8"/>
  <c r="I445" i="8"/>
  <c r="I509" i="8"/>
  <c r="I566" i="8"/>
  <c r="I638" i="8"/>
  <c r="I647" i="8"/>
  <c r="I663" i="8"/>
  <c r="I430" i="8"/>
  <c r="I627" i="8"/>
  <c r="I343" i="8"/>
  <c r="I544" i="8"/>
  <c r="I568" i="8"/>
  <c r="I600" i="8"/>
  <c r="I277" i="8"/>
  <c r="I352" i="8"/>
  <c r="I398" i="8"/>
  <c r="I542" i="8"/>
  <c r="I238" i="8"/>
  <c r="I452" i="8"/>
  <c r="I459" i="8"/>
  <c r="I332" i="8"/>
  <c r="I274" i="8"/>
  <c r="I340" i="8"/>
  <c r="I463" i="8"/>
  <c r="I163" i="8"/>
  <c r="I280" i="8"/>
  <c r="I302" i="8"/>
  <c r="I341" i="8"/>
  <c r="I329" i="8"/>
  <c r="I344" i="8"/>
  <c r="I288" i="8"/>
  <c r="I359" i="8"/>
  <c r="I458" i="8"/>
  <c r="I293" i="8"/>
  <c r="I545" i="8"/>
  <c r="I384" i="8"/>
  <c r="I406" i="8"/>
  <c r="I417" i="8"/>
  <c r="I550" i="8"/>
  <c r="I619" i="8"/>
  <c r="I465" i="8"/>
  <c r="I526" i="8"/>
  <c r="I635" i="8"/>
  <c r="I209" i="8"/>
  <c r="I451" i="8"/>
  <c r="I374" i="8"/>
  <c r="I230" i="8"/>
  <c r="I358" i="8"/>
  <c r="R35" i="4"/>
  <c r="S35" i="4" s="1" a="1"/>
  <c r="S35" i="4" s="1"/>
  <c r="U35" i="4" s="1" a="1"/>
  <c r="U35" i="4" s="1"/>
  <c r="R39" i="4"/>
  <c r="S39" i="4" s="1" a="1"/>
  <c r="S39" i="4" s="1"/>
  <c r="U39" i="4" s="1" a="1"/>
  <c r="U39" i="4" s="1"/>
  <c r="R43" i="4"/>
  <c r="R47" i="4"/>
  <c r="R51" i="4"/>
  <c r="R55" i="4"/>
  <c r="R59" i="4"/>
  <c r="R63" i="4"/>
  <c r="R67" i="4"/>
  <c r="R71" i="4"/>
  <c r="R75" i="4"/>
  <c r="R79" i="4"/>
  <c r="R83" i="4"/>
  <c r="R87" i="4"/>
  <c r="R91" i="4"/>
  <c r="R95" i="4"/>
  <c r="R99" i="4"/>
  <c r="R103" i="4"/>
  <c r="R107" i="4"/>
  <c r="R111" i="4"/>
  <c r="R115" i="4"/>
  <c r="R119" i="4"/>
  <c r="R123" i="4"/>
  <c r="R127" i="4"/>
  <c r="R131" i="4"/>
  <c r="R135" i="4"/>
  <c r="R139" i="4"/>
  <c r="R143" i="4"/>
  <c r="R36" i="4"/>
  <c r="S36" i="4" s="1" a="1"/>
  <c r="S36" i="4" s="1"/>
  <c r="U36" i="4" s="1" a="1"/>
  <c r="U36" i="4" s="1"/>
  <c r="R40" i="4"/>
  <c r="S40" i="4" s="1" a="1"/>
  <c r="S40" i="4" s="1"/>
  <c r="U40" i="4" s="1" a="1"/>
  <c r="U40" i="4" s="1"/>
  <c r="R44" i="4"/>
  <c r="R48" i="4"/>
  <c r="R52" i="4"/>
  <c r="R56" i="4"/>
  <c r="R60" i="4"/>
  <c r="R64" i="4"/>
  <c r="R68" i="4"/>
  <c r="R72" i="4"/>
  <c r="R76" i="4"/>
  <c r="R80" i="4"/>
  <c r="R84" i="4"/>
  <c r="R88" i="4"/>
  <c r="R92" i="4"/>
  <c r="R96" i="4"/>
  <c r="R100" i="4"/>
  <c r="R104" i="4"/>
  <c r="R108" i="4"/>
  <c r="R112" i="4"/>
  <c r="R116" i="4"/>
  <c r="R120" i="4"/>
  <c r="R124" i="4"/>
  <c r="R128" i="4"/>
  <c r="R132" i="4"/>
  <c r="R136" i="4"/>
  <c r="R140" i="4"/>
  <c r="R144" i="4"/>
  <c r="R148" i="4"/>
  <c r="R38" i="4"/>
  <c r="S38" i="4" s="1" a="1"/>
  <c r="S38" i="4" s="1"/>
  <c r="U38" i="4" s="1" a="1"/>
  <c r="U38" i="4" s="1"/>
  <c r="R46" i="4"/>
  <c r="R54" i="4"/>
  <c r="R62" i="4"/>
  <c r="R70" i="4"/>
  <c r="R78" i="4"/>
  <c r="R86" i="4"/>
  <c r="R94" i="4"/>
  <c r="R102" i="4"/>
  <c r="R110" i="4"/>
  <c r="R118" i="4"/>
  <c r="R126" i="4"/>
  <c r="R134" i="4"/>
  <c r="R142" i="4"/>
  <c r="R149" i="4"/>
  <c r="D89" i="4"/>
  <c r="E89" i="4" s="1"/>
  <c r="D93" i="4"/>
  <c r="E93" i="4" s="1"/>
  <c r="D97" i="4"/>
  <c r="E97" i="4" s="1"/>
  <c r="D101" i="4"/>
  <c r="E101" i="4" s="1"/>
  <c r="D105" i="4"/>
  <c r="E105" i="4" s="1"/>
  <c r="D109" i="4"/>
  <c r="E109" i="4" s="1"/>
  <c r="D113" i="4"/>
  <c r="E113" i="4" s="1"/>
  <c r="D117" i="4"/>
  <c r="E117" i="4" s="1"/>
  <c r="D121" i="4"/>
  <c r="E121" i="4" s="1"/>
  <c r="D125" i="4"/>
  <c r="E125" i="4" s="1"/>
  <c r="D129" i="4"/>
  <c r="E129" i="4" s="1"/>
  <c r="D133" i="4"/>
  <c r="E133" i="4" s="1"/>
  <c r="D137" i="4"/>
  <c r="E137" i="4" s="1"/>
  <c r="D141" i="4"/>
  <c r="E141" i="4" s="1"/>
  <c r="D145" i="4"/>
  <c r="E145" i="4" s="1"/>
  <c r="D149" i="4"/>
  <c r="E149" i="4" s="1"/>
  <c r="R41" i="4"/>
  <c r="S41" i="4" s="1" a="1"/>
  <c r="S41" i="4" s="1"/>
  <c r="U41" i="4" s="1" a="1"/>
  <c r="U41" i="4" s="1"/>
  <c r="R49" i="4"/>
  <c r="R57" i="4"/>
  <c r="R65" i="4"/>
  <c r="R73" i="4"/>
  <c r="R81" i="4"/>
  <c r="R89" i="4"/>
  <c r="R97" i="4"/>
  <c r="R105" i="4"/>
  <c r="R113" i="4"/>
  <c r="R121" i="4"/>
  <c r="R129" i="4"/>
  <c r="R137" i="4"/>
  <c r="R145" i="4"/>
  <c r="R150" i="4"/>
  <c r="D90" i="4"/>
  <c r="E90" i="4" s="1"/>
  <c r="D94" i="4"/>
  <c r="E94" i="4" s="1"/>
  <c r="D98" i="4"/>
  <c r="E98" i="4" s="1"/>
  <c r="D102" i="4"/>
  <c r="E102" i="4" s="1"/>
  <c r="D106" i="4"/>
  <c r="E106" i="4" s="1"/>
  <c r="D110" i="4"/>
  <c r="E110" i="4" s="1"/>
  <c r="D114" i="4"/>
  <c r="E114" i="4" s="1"/>
  <c r="D118" i="4"/>
  <c r="E118" i="4" s="1"/>
  <c r="D122" i="4"/>
  <c r="E122" i="4" s="1"/>
  <c r="D126" i="4"/>
  <c r="E126" i="4" s="1"/>
  <c r="D130" i="4"/>
  <c r="E130" i="4" s="1"/>
  <c r="D134" i="4"/>
  <c r="E134" i="4" s="1"/>
  <c r="D138" i="4"/>
  <c r="E138" i="4" s="1"/>
  <c r="D142" i="4"/>
  <c r="E142" i="4" s="1"/>
  <c r="D146" i="4"/>
  <c r="E146" i="4" s="1"/>
  <c r="D150" i="4"/>
  <c r="E150" i="4" s="1"/>
  <c r="R34" i="4"/>
  <c r="S34" i="4" s="1" a="1"/>
  <c r="S34" i="4" s="1"/>
  <c r="U34" i="4" s="1" a="1"/>
  <c r="U34" i="4" s="1"/>
  <c r="R42" i="4"/>
  <c r="S42" i="4" s="1" a="1"/>
  <c r="S42" i="4" s="1"/>
  <c r="U42" i="4" s="1" a="1"/>
  <c r="U42" i="4" s="1"/>
  <c r="R50" i="4"/>
  <c r="R58" i="4"/>
  <c r="R66" i="4"/>
  <c r="R74" i="4"/>
  <c r="R82" i="4"/>
  <c r="R90" i="4"/>
  <c r="R98" i="4"/>
  <c r="R106" i="4"/>
  <c r="R114" i="4"/>
  <c r="R122" i="4"/>
  <c r="R130" i="4"/>
  <c r="R138" i="4"/>
  <c r="R146" i="4"/>
  <c r="R151" i="4"/>
  <c r="D91" i="4"/>
  <c r="E91" i="4" s="1"/>
  <c r="D95" i="4"/>
  <c r="E95" i="4" s="1"/>
  <c r="D99" i="4"/>
  <c r="E99" i="4" s="1"/>
  <c r="D103" i="4"/>
  <c r="E103" i="4" s="1"/>
  <c r="D107" i="4"/>
  <c r="E107" i="4" s="1"/>
  <c r="D111" i="4"/>
  <c r="E111" i="4" s="1"/>
  <c r="D115" i="4"/>
  <c r="E115" i="4" s="1"/>
  <c r="D119" i="4"/>
  <c r="E119" i="4" s="1"/>
  <c r="D123" i="4"/>
  <c r="E123" i="4" s="1"/>
  <c r="D127" i="4"/>
  <c r="E127" i="4" s="1"/>
  <c r="D131" i="4"/>
  <c r="E131" i="4" s="1"/>
  <c r="D135" i="4"/>
  <c r="E135" i="4" s="1"/>
  <c r="D139" i="4"/>
  <c r="E139" i="4" s="1"/>
  <c r="D143" i="4"/>
  <c r="E143" i="4" s="1"/>
  <c r="D147" i="4"/>
  <c r="E147" i="4" s="1"/>
  <c r="D151" i="4"/>
  <c r="E151" i="4" s="1"/>
  <c r="A107" i="8"/>
  <c r="B107" i="8" s="1"/>
  <c r="A109" i="8"/>
  <c r="B109" i="8" s="1"/>
  <c r="A110" i="8"/>
  <c r="B110" i="8" s="1"/>
  <c r="A118" i="8"/>
  <c r="B118" i="8" s="1"/>
  <c r="A126" i="8"/>
  <c r="B126" i="8" s="1"/>
  <c r="A134" i="8"/>
  <c r="B134" i="8" s="1"/>
  <c r="A137" i="8"/>
  <c r="B137" i="8" s="1"/>
  <c r="A140" i="8"/>
  <c r="B140" i="8" s="1"/>
  <c r="A147" i="8"/>
  <c r="B147" i="8" s="1"/>
  <c r="R37" i="4"/>
  <c r="S37" i="4" s="1" a="1"/>
  <c r="S37" i="4" s="1"/>
  <c r="U37" i="4" s="1" a="1"/>
  <c r="U37" i="4" s="1"/>
  <c r="R45" i="4"/>
  <c r="R53" i="4"/>
  <c r="R61" i="4"/>
  <c r="R69" i="4"/>
  <c r="R77" i="4"/>
  <c r="R85" i="4"/>
  <c r="R93" i="4"/>
  <c r="R101" i="4"/>
  <c r="R109" i="4"/>
  <c r="R117" i="4"/>
  <c r="R125" i="4"/>
  <c r="R133" i="4"/>
  <c r="R141" i="4"/>
  <c r="R147" i="4"/>
  <c r="D92" i="4"/>
  <c r="E92" i="4" s="1"/>
  <c r="D96" i="4"/>
  <c r="E96" i="4" s="1"/>
  <c r="D100" i="4"/>
  <c r="E100" i="4" s="1"/>
  <c r="D104" i="4"/>
  <c r="E104" i="4" s="1"/>
  <c r="D108" i="4"/>
  <c r="E108" i="4" s="1"/>
  <c r="D112" i="4"/>
  <c r="E112" i="4" s="1"/>
  <c r="D116" i="4"/>
  <c r="E116" i="4" s="1"/>
  <c r="D120" i="4"/>
  <c r="E120" i="4" s="1"/>
  <c r="D124" i="4"/>
  <c r="E124" i="4" s="1"/>
  <c r="D128" i="4"/>
  <c r="E128" i="4" s="1"/>
  <c r="D132" i="4"/>
  <c r="E132" i="4" s="1"/>
  <c r="D136" i="4"/>
  <c r="E136" i="4" s="1"/>
  <c r="D140" i="4"/>
  <c r="E140" i="4" s="1"/>
  <c r="D144" i="4"/>
  <c r="E144" i="4" s="1"/>
  <c r="D148" i="4"/>
  <c r="E148" i="4" s="1"/>
  <c r="A104" i="8"/>
  <c r="B104" i="8" s="1"/>
  <c r="A105" i="8"/>
  <c r="B105" i="8" s="1"/>
  <c r="A106" i="8"/>
  <c r="B106" i="8" s="1"/>
  <c r="A112" i="8"/>
  <c r="B112" i="8" s="1"/>
  <c r="A115" i="8"/>
  <c r="B115" i="8" s="1"/>
  <c r="A117" i="8"/>
  <c r="B117" i="8" s="1"/>
  <c r="A120" i="8"/>
  <c r="B120" i="8" s="1"/>
  <c r="A123" i="8"/>
  <c r="B123" i="8" s="1"/>
  <c r="A125" i="8"/>
  <c r="B125" i="8" s="1"/>
  <c r="A128" i="8"/>
  <c r="B128" i="8" s="1"/>
  <c r="A131" i="8"/>
  <c r="B131" i="8" s="1"/>
  <c r="A133" i="8"/>
  <c r="B133" i="8" s="1"/>
  <c r="A136" i="8"/>
  <c r="B136" i="8" s="1"/>
  <c r="A113" i="8"/>
  <c r="B113" i="8" s="1"/>
  <c r="A122" i="8"/>
  <c r="B122" i="8" s="1"/>
  <c r="A129" i="8"/>
  <c r="B129" i="8" s="1"/>
  <c r="A143" i="8"/>
  <c r="B143" i="8" s="1"/>
  <c r="A145" i="8"/>
  <c r="B145" i="8" s="1"/>
  <c r="A116" i="8"/>
  <c r="B116" i="8" s="1"/>
  <c r="A119" i="8"/>
  <c r="B119" i="8" s="1"/>
  <c r="A132" i="8"/>
  <c r="B132" i="8" s="1"/>
  <c r="A135" i="8"/>
  <c r="B135" i="8" s="1"/>
  <c r="A138" i="8"/>
  <c r="B138" i="8" s="1"/>
  <c r="A141" i="8"/>
  <c r="B141" i="8" s="1"/>
  <c r="A150" i="8"/>
  <c r="B150" i="8" s="1"/>
  <c r="A108" i="8"/>
  <c r="B108" i="8" s="1"/>
  <c r="A114" i="8"/>
  <c r="B114" i="8" s="1"/>
  <c r="A121" i="8"/>
  <c r="B121" i="8" s="1"/>
  <c r="A139" i="8"/>
  <c r="B139" i="8" s="1"/>
  <c r="A144" i="8"/>
  <c r="B144" i="8" s="1"/>
  <c r="A148" i="8"/>
  <c r="B148" i="8" s="1"/>
  <c r="F91" i="4"/>
  <c r="G91" i="4" s="1"/>
  <c r="F94" i="4"/>
  <c r="G94" i="4" s="1"/>
  <c r="F97" i="4"/>
  <c r="G97" i="4" s="1"/>
  <c r="F102" i="4"/>
  <c r="G102" i="4" s="1"/>
  <c r="F105" i="4"/>
  <c r="G105" i="4" s="1"/>
  <c r="F108" i="4"/>
  <c r="G108" i="4" s="1"/>
  <c r="F111" i="4"/>
  <c r="G111" i="4" s="1"/>
  <c r="F116" i="4"/>
  <c r="G116" i="4" s="1"/>
  <c r="F119" i="4"/>
  <c r="G119" i="4" s="1"/>
  <c r="F124" i="4"/>
  <c r="G124" i="4" s="1"/>
  <c r="F127" i="4"/>
  <c r="G127" i="4" s="1"/>
  <c r="F132" i="4"/>
  <c r="G132" i="4" s="1"/>
  <c r="F135" i="4"/>
  <c r="G135" i="4" s="1"/>
  <c r="F140" i="4"/>
  <c r="G140" i="4" s="1"/>
  <c r="F143" i="4"/>
  <c r="G143" i="4" s="1"/>
  <c r="F148" i="4"/>
  <c r="G148" i="4" s="1"/>
  <c r="F151" i="4"/>
  <c r="G151" i="4" s="1"/>
  <c r="A127" i="8"/>
  <c r="B127" i="8" s="1"/>
  <c r="A149" i="8"/>
  <c r="B149" i="8" s="1"/>
  <c r="F89" i="4"/>
  <c r="G89" i="4" s="1"/>
  <c r="F92" i="4"/>
  <c r="G92" i="4" s="1"/>
  <c r="F95" i="4"/>
  <c r="G95" i="4" s="1"/>
  <c r="F99" i="4"/>
  <c r="G99" i="4" s="1"/>
  <c r="F101" i="4"/>
  <c r="G101" i="4" s="1"/>
  <c r="F104" i="4"/>
  <c r="G104" i="4" s="1"/>
  <c r="F110" i="4"/>
  <c r="G110" i="4" s="1"/>
  <c r="F113" i="4"/>
  <c r="G113" i="4" s="1"/>
  <c r="F118" i="4"/>
  <c r="G118" i="4" s="1"/>
  <c r="F121" i="4"/>
  <c r="G121" i="4" s="1"/>
  <c r="F126" i="4"/>
  <c r="G126" i="4" s="1"/>
  <c r="F129" i="4"/>
  <c r="G129" i="4" s="1"/>
  <c r="F134" i="4"/>
  <c r="G134" i="4" s="1"/>
  <c r="F137" i="4"/>
  <c r="G137" i="4" s="1"/>
  <c r="F142" i="4"/>
  <c r="G142" i="4" s="1"/>
  <c r="F145" i="4"/>
  <c r="G145" i="4" s="1"/>
  <c r="F150" i="4"/>
  <c r="G150" i="4" s="1"/>
  <c r="A130" i="8"/>
  <c r="B130" i="8" s="1"/>
  <c r="A142" i="8"/>
  <c r="B142" i="8" s="1"/>
  <c r="A146" i="8"/>
  <c r="B146" i="8" s="1"/>
  <c r="A151" i="8"/>
  <c r="B151" i="8" s="1"/>
  <c r="F93" i="4"/>
  <c r="G93" i="4" s="1"/>
  <c r="F96" i="4"/>
  <c r="G96" i="4" s="1"/>
  <c r="F107" i="4"/>
  <c r="G107" i="4" s="1"/>
  <c r="F109" i="4"/>
  <c r="G109" i="4" s="1"/>
  <c r="F112" i="4"/>
  <c r="G112" i="4" s="1"/>
  <c r="F115" i="4"/>
  <c r="G115" i="4" s="1"/>
  <c r="F117" i="4"/>
  <c r="G117" i="4" s="1"/>
  <c r="F120" i="4"/>
  <c r="G120" i="4" s="1"/>
  <c r="F123" i="4"/>
  <c r="G123" i="4" s="1"/>
  <c r="F125" i="4"/>
  <c r="G125" i="4" s="1"/>
  <c r="F128" i="4"/>
  <c r="G128" i="4" s="1"/>
  <c r="F131" i="4"/>
  <c r="G131" i="4" s="1"/>
  <c r="F133" i="4"/>
  <c r="G133" i="4" s="1"/>
  <c r="F136" i="4"/>
  <c r="G136" i="4" s="1"/>
  <c r="F139" i="4"/>
  <c r="G139" i="4" s="1"/>
  <c r="F141" i="4"/>
  <c r="G141" i="4" s="1"/>
  <c r="F144" i="4"/>
  <c r="G144" i="4" s="1"/>
  <c r="F147" i="4"/>
  <c r="G147" i="4" s="1"/>
  <c r="F149" i="4"/>
  <c r="G149" i="4" s="1"/>
  <c r="R26" i="4"/>
  <c r="S26" i="4" s="1" a="1"/>
  <c r="S26" i="4" s="1"/>
  <c r="U26" i="4" s="1" a="1"/>
  <c r="U26" i="4" s="1"/>
  <c r="R30" i="4"/>
  <c r="S30" i="4" s="1" a="1"/>
  <c r="S30" i="4" s="1"/>
  <c r="U30" i="4" s="1" a="1"/>
  <c r="U30" i="4" s="1"/>
  <c r="W29" i="4" a="1"/>
  <c r="W33" i="4" a="1"/>
  <c r="W37" i="4" a="1"/>
  <c r="W41" i="4" a="1"/>
  <c r="W45" i="4" a="1"/>
  <c r="W49" i="4" a="1"/>
  <c r="W53" i="4" a="1"/>
  <c r="W57" i="4" a="1"/>
  <c r="W61" i="4" a="1"/>
  <c r="W65" i="4" a="1"/>
  <c r="W69" i="4" a="1"/>
  <c r="W73" i="4" a="1"/>
  <c r="W77" i="4" a="1"/>
  <c r="W81" i="4" a="1"/>
  <c r="W85" i="4" a="1"/>
  <c r="W89" i="4" a="1"/>
  <c r="W93" i="4" a="1"/>
  <c r="W97" i="4" a="1"/>
  <c r="W101" i="4" a="1"/>
  <c r="W105" i="4" a="1"/>
  <c r="W109" i="4" a="1"/>
  <c r="W113" i="4" a="1"/>
  <c r="W117" i="4" a="1"/>
  <c r="W121" i="4" a="1"/>
  <c r="W125" i="4" a="1"/>
  <c r="W129" i="4" a="1"/>
  <c r="W133" i="4" a="1"/>
  <c r="W137" i="4" a="1"/>
  <c r="A111" i="8"/>
  <c r="B111" i="8" s="1"/>
  <c r="A124" i="8"/>
  <c r="B124" i="8" s="1"/>
  <c r="F90" i="4"/>
  <c r="G90" i="4" s="1"/>
  <c r="F98" i="4"/>
  <c r="G98" i="4" s="1"/>
  <c r="F100" i="4"/>
  <c r="G100" i="4" s="1"/>
  <c r="F103" i="4"/>
  <c r="G103" i="4" s="1"/>
  <c r="F106" i="4"/>
  <c r="G106" i="4" s="1"/>
  <c r="F114" i="4"/>
  <c r="G114" i="4" s="1"/>
  <c r="F122" i="4"/>
  <c r="G122" i="4" s="1"/>
  <c r="F130" i="4"/>
  <c r="G130" i="4" s="1"/>
  <c r="F138" i="4"/>
  <c r="G138" i="4" s="1"/>
  <c r="F146" i="4"/>
  <c r="G146" i="4" s="1"/>
  <c r="R31" i="4"/>
  <c r="S31" i="4" s="1" a="1"/>
  <c r="S31" i="4" s="1"/>
  <c r="U31" i="4" s="1" a="1"/>
  <c r="U31" i="4" s="1"/>
  <c r="W26" i="4" a="1"/>
  <c r="W31" i="4" a="1"/>
  <c r="W36" i="4" a="1"/>
  <c r="W42" i="4" a="1"/>
  <c r="W47" i="4" a="1"/>
  <c r="W52" i="4" a="1"/>
  <c r="W58" i="4" a="1"/>
  <c r="W63" i="4" a="1"/>
  <c r="W68" i="4" a="1"/>
  <c r="W74" i="4" a="1"/>
  <c r="W79" i="4" a="1"/>
  <c r="W84" i="4" a="1"/>
  <c r="W90" i="4" a="1"/>
  <c r="W95" i="4" a="1"/>
  <c r="W100" i="4" a="1"/>
  <c r="W106" i="4" a="1"/>
  <c r="W111" i="4" a="1"/>
  <c r="W116" i="4" a="1"/>
  <c r="W122" i="4" a="1"/>
  <c r="W127" i="4" a="1"/>
  <c r="W132" i="4" a="1"/>
  <c r="W138" i="4" a="1"/>
  <c r="W142" i="4" a="1"/>
  <c r="W146" i="4" a="1"/>
  <c r="W150" i="4" a="1"/>
  <c r="D43" i="4"/>
  <c r="E43" i="4" s="1"/>
  <c r="L44" i="4"/>
  <c r="M44" i="4" s="1" a="1"/>
  <c r="M44" i="4" s="1"/>
  <c r="D46" i="4"/>
  <c r="E46" i="4" s="1"/>
  <c r="L47" i="4"/>
  <c r="M47" i="4" s="1" a="1"/>
  <c r="M47" i="4" s="1"/>
  <c r="F48" i="4"/>
  <c r="G48" i="4" s="1"/>
  <c r="L49" i="4"/>
  <c r="M49" i="4" s="1" a="1"/>
  <c r="M49" i="4" s="1"/>
  <c r="F50" i="4"/>
  <c r="G50" i="4" s="1"/>
  <c r="L51" i="4"/>
  <c r="M51" i="4" s="1" a="1"/>
  <c r="M51" i="4" s="1"/>
  <c r="F52" i="4"/>
  <c r="G52" i="4" s="1"/>
  <c r="L53" i="4"/>
  <c r="M53" i="4" s="1" a="1"/>
  <c r="M53" i="4" s="1"/>
  <c r="F54" i="4"/>
  <c r="G54" i="4" s="1"/>
  <c r="L55" i="4"/>
  <c r="M55" i="4" s="1" a="1"/>
  <c r="M55" i="4" s="1"/>
  <c r="F56" i="4"/>
  <c r="G56" i="4" s="1"/>
  <c r="L57" i="4"/>
  <c r="M57" i="4" s="1" a="1"/>
  <c r="M57" i="4" s="1"/>
  <c r="F58" i="4"/>
  <c r="G58" i="4" s="1"/>
  <c r="L59" i="4"/>
  <c r="M59" i="4" s="1" a="1"/>
  <c r="M59" i="4" s="1"/>
  <c r="F60" i="4"/>
  <c r="G60" i="4" s="1"/>
  <c r="L61" i="4"/>
  <c r="M61" i="4" s="1" a="1"/>
  <c r="M61" i="4" s="1"/>
  <c r="F62" i="4"/>
  <c r="G62" i="4" s="1"/>
  <c r="L63" i="4"/>
  <c r="M63" i="4" s="1" a="1"/>
  <c r="M63" i="4" s="1"/>
  <c r="F64" i="4"/>
  <c r="G64" i="4" s="1"/>
  <c r="L65" i="4"/>
  <c r="M65" i="4" s="1" a="1"/>
  <c r="M65" i="4" s="1"/>
  <c r="F66" i="4"/>
  <c r="G66" i="4" s="1"/>
  <c r="L67" i="4"/>
  <c r="M67" i="4" s="1" a="1"/>
  <c r="M67" i="4" s="1"/>
  <c r="F68" i="4"/>
  <c r="G68" i="4" s="1"/>
  <c r="L69" i="4"/>
  <c r="M69" i="4" s="1" a="1"/>
  <c r="M69" i="4" s="1"/>
  <c r="F70" i="4"/>
  <c r="G70" i="4" s="1"/>
  <c r="L71" i="4"/>
  <c r="M71" i="4" s="1" a="1"/>
  <c r="M71" i="4" s="1"/>
  <c r="F72" i="4"/>
  <c r="G72" i="4" s="1"/>
  <c r="L73" i="4"/>
  <c r="M73" i="4" s="1" a="1"/>
  <c r="M73" i="4" s="1"/>
  <c r="F74" i="4"/>
  <c r="G74" i="4" s="1"/>
  <c r="L75" i="4"/>
  <c r="M75" i="4" s="1" a="1"/>
  <c r="M75" i="4" s="1"/>
  <c r="F76" i="4"/>
  <c r="G76" i="4" s="1"/>
  <c r="L77" i="4"/>
  <c r="M77" i="4" s="1" a="1"/>
  <c r="M77" i="4" s="1"/>
  <c r="F78" i="4"/>
  <c r="G78" i="4" s="1"/>
  <c r="L79" i="4"/>
  <c r="M79" i="4" s="1" a="1"/>
  <c r="M79" i="4" s="1"/>
  <c r="F80" i="4"/>
  <c r="G80" i="4" s="1"/>
  <c r="L81" i="4"/>
  <c r="M81" i="4" s="1" a="1"/>
  <c r="M81" i="4" s="1"/>
  <c r="F82" i="4"/>
  <c r="G82" i="4" s="1"/>
  <c r="L83" i="4"/>
  <c r="M83" i="4" s="1" a="1"/>
  <c r="M83" i="4" s="1"/>
  <c r="F84" i="4"/>
  <c r="G84" i="4" s="1"/>
  <c r="L85" i="4"/>
  <c r="M85" i="4" s="1" a="1"/>
  <c r="M85" i="4" s="1"/>
  <c r="F86" i="4"/>
  <c r="G86" i="4" s="1"/>
  <c r="L87" i="4"/>
  <c r="M87" i="4" s="1" a="1"/>
  <c r="M87" i="4" s="1"/>
  <c r="F88" i="4"/>
  <c r="G88" i="4" s="1"/>
  <c r="L91" i="4"/>
  <c r="M91" i="4" s="1" a="1"/>
  <c r="M91" i="4" s="1"/>
  <c r="L95" i="4"/>
  <c r="M95" i="4" s="1" a="1"/>
  <c r="M95" i="4" s="1"/>
  <c r="L99" i="4"/>
  <c r="M99" i="4" s="1" a="1"/>
  <c r="M99" i="4" s="1"/>
  <c r="L103" i="4"/>
  <c r="M103" i="4" s="1" a="1"/>
  <c r="M103" i="4" s="1"/>
  <c r="L107" i="4"/>
  <c r="M107" i="4" s="1" a="1"/>
  <c r="M107" i="4" s="1"/>
  <c r="L111" i="4"/>
  <c r="M111" i="4" s="1" a="1"/>
  <c r="M111" i="4" s="1"/>
  <c r="L115" i="4"/>
  <c r="M115" i="4" s="1" a="1"/>
  <c r="M115" i="4" s="1"/>
  <c r="L119" i="4"/>
  <c r="M119" i="4" s="1" a="1"/>
  <c r="M119" i="4" s="1"/>
  <c r="L123" i="4"/>
  <c r="M123" i="4" s="1" a="1"/>
  <c r="M123" i="4" s="1"/>
  <c r="L127" i="4"/>
  <c r="M127" i="4" s="1" a="1"/>
  <c r="M127" i="4" s="1"/>
  <c r="L131" i="4"/>
  <c r="M131" i="4" s="1" a="1"/>
  <c r="M131" i="4" s="1"/>
  <c r="L135" i="4"/>
  <c r="M135" i="4" s="1" a="1"/>
  <c r="M135" i="4" s="1"/>
  <c r="R27" i="4"/>
  <c r="S27" i="4" s="1" a="1"/>
  <c r="S27" i="4" s="1"/>
  <c r="U27" i="4" s="1" a="1"/>
  <c r="U27" i="4" s="1"/>
  <c r="R33" i="4"/>
  <c r="S33" i="4" s="1" a="1"/>
  <c r="W30" i="4" a="1"/>
  <c r="W38" i="4" a="1"/>
  <c r="W44" i="4" a="1"/>
  <c r="W51" i="4" a="1"/>
  <c r="W59" i="4" a="1"/>
  <c r="W66" i="4" a="1"/>
  <c r="W72" i="4" a="1"/>
  <c r="W80" i="4" a="1"/>
  <c r="W87" i="4" a="1"/>
  <c r="W94" i="4" a="1"/>
  <c r="W102" i="4" a="1"/>
  <c r="W108" i="4" a="1"/>
  <c r="W115" i="4" a="1"/>
  <c r="W123" i="4" a="1"/>
  <c r="W130" i="4" a="1"/>
  <c r="W136" i="4" a="1"/>
  <c r="W143" i="4" a="1"/>
  <c r="W148" i="4" a="1"/>
  <c r="R28" i="4"/>
  <c r="W28" i="4" a="1"/>
  <c r="W39" i="4" a="1"/>
  <c r="W48" i="4" a="1"/>
  <c r="W56" i="4" a="1"/>
  <c r="W67" i="4" a="1"/>
  <c r="W76" i="4" a="1"/>
  <c r="W86" i="4" a="1"/>
  <c r="W96" i="4" a="1"/>
  <c r="W104" i="4" a="1"/>
  <c r="W114" i="4" a="1"/>
  <c r="W124" i="4" a="1"/>
  <c r="W134" i="4" a="1"/>
  <c r="W141" i="4" a="1"/>
  <c r="W149" i="4" a="1"/>
  <c r="F43" i="4"/>
  <c r="G43" i="4" s="1"/>
  <c r="F44" i="4"/>
  <c r="G44" i="4" s="1"/>
  <c r="F45" i="4"/>
  <c r="G45" i="4" s="1"/>
  <c r="F46" i="4"/>
  <c r="G46" i="4" s="1"/>
  <c r="F47" i="4"/>
  <c r="G47" i="4" s="1"/>
  <c r="D48" i="4"/>
  <c r="E48" i="4" s="1"/>
  <c r="D49" i="4"/>
  <c r="E49" i="4" s="1"/>
  <c r="L52" i="4"/>
  <c r="M52" i="4" s="1" a="1"/>
  <c r="M52" i="4" s="1"/>
  <c r="F55" i="4"/>
  <c r="G55" i="4" s="1"/>
  <c r="D56" i="4"/>
  <c r="E56" i="4" s="1"/>
  <c r="D57" i="4"/>
  <c r="E57" i="4" s="1"/>
  <c r="L60" i="4"/>
  <c r="M60" i="4" s="1" a="1"/>
  <c r="M60" i="4" s="1"/>
  <c r="F63" i="4"/>
  <c r="G63" i="4" s="1"/>
  <c r="D64" i="4"/>
  <c r="E64" i="4" s="1"/>
  <c r="D65" i="4"/>
  <c r="E65" i="4" s="1"/>
  <c r="R29" i="4"/>
  <c r="W34" i="4" a="1"/>
  <c r="W46" i="4" a="1"/>
  <c r="W60" i="4" a="1"/>
  <c r="W71" i="4" a="1"/>
  <c r="W83" i="4" a="1"/>
  <c r="W98" i="4" a="1"/>
  <c r="W110" i="4" a="1"/>
  <c r="W120" i="4" a="1"/>
  <c r="W135" i="4" a="1"/>
  <c r="W145" i="4" a="1"/>
  <c r="D66" i="4"/>
  <c r="E66" i="4" s="1"/>
  <c r="D85" i="4"/>
  <c r="E85" i="4" s="1"/>
  <c r="L116" i="4"/>
  <c r="M116" i="4" s="1" a="1"/>
  <c r="M116" i="4" s="1"/>
  <c r="L125" i="4"/>
  <c r="M125" i="4" s="1" a="1"/>
  <c r="M125" i="4" s="1"/>
  <c r="L134" i="4"/>
  <c r="M134" i="4" s="1" a="1"/>
  <c r="M134" i="4" s="1"/>
  <c r="L140" i="4"/>
  <c r="M140" i="4" s="1" a="1"/>
  <c r="M140" i="4" s="1"/>
  <c r="R32" i="4"/>
  <c r="S32" i="4" s="1" a="1"/>
  <c r="S32" i="4" s="1"/>
  <c r="U32" i="4" s="1" a="1"/>
  <c r="U32" i="4" s="1"/>
  <c r="W35" i="4" a="1"/>
  <c r="W50" i="4" a="1"/>
  <c r="W62" i="4" a="1"/>
  <c r="W75" i="4" a="1"/>
  <c r="W88" i="4" a="1"/>
  <c r="W99" i="4" a="1"/>
  <c r="W112" i="4" a="1"/>
  <c r="W126" i="4" a="1"/>
  <c r="W139" i="4" a="1"/>
  <c r="W147" i="4" a="1"/>
  <c r="L48" i="4"/>
  <c r="M48" i="4" s="1" a="1"/>
  <c r="M48" i="4" s="1"/>
  <c r="D51" i="4"/>
  <c r="E51" i="4" s="1"/>
  <c r="D52" i="4"/>
  <c r="E52" i="4" s="1"/>
  <c r="F53" i="4"/>
  <c r="G53" i="4" s="1"/>
  <c r="L54" i="4"/>
  <c r="M54" i="4" s="1" a="1"/>
  <c r="M54" i="4" s="1"/>
  <c r="D58" i="4"/>
  <c r="E58" i="4" s="1"/>
  <c r="F59" i="4"/>
  <c r="G59" i="4" s="1"/>
  <c r="F65" i="4"/>
  <c r="G65" i="4" s="1"/>
  <c r="F69" i="4"/>
  <c r="G69" i="4" s="1"/>
  <c r="D70" i="4"/>
  <c r="E70" i="4" s="1"/>
  <c r="D71" i="4"/>
  <c r="E71" i="4" s="1"/>
  <c r="L74" i="4"/>
  <c r="M74" i="4" s="1" a="1"/>
  <c r="M74" i="4" s="1"/>
  <c r="F77" i="4"/>
  <c r="G77" i="4" s="1"/>
  <c r="D78" i="4"/>
  <c r="E78" i="4" s="1"/>
  <c r="D79" i="4"/>
  <c r="E79" i="4" s="1"/>
  <c r="L82" i="4"/>
  <c r="M82" i="4" s="1" a="1"/>
  <c r="M82" i="4" s="1"/>
  <c r="F85" i="4"/>
  <c r="G85" i="4" s="1"/>
  <c r="D86" i="4"/>
  <c r="E86" i="4" s="1"/>
  <c r="D87" i="4"/>
  <c r="E87" i="4" s="1"/>
  <c r="L90" i="4"/>
  <c r="M90" i="4" s="1" a="1"/>
  <c r="M90" i="4" s="1"/>
  <c r="L97" i="4"/>
  <c r="M97" i="4" s="1" a="1"/>
  <c r="M97" i="4" s="1"/>
  <c r="L104" i="4"/>
  <c r="M104" i="4" s="1" a="1"/>
  <c r="M104" i="4" s="1"/>
  <c r="L106" i="4"/>
  <c r="M106" i="4" s="1" a="1"/>
  <c r="M106" i="4" s="1"/>
  <c r="L113" i="4"/>
  <c r="M113" i="4" s="1" a="1"/>
  <c r="M113" i="4" s="1"/>
  <c r="L120" i="4"/>
  <c r="M120" i="4" s="1" a="1"/>
  <c r="M120" i="4" s="1"/>
  <c r="L122" i="4"/>
  <c r="M122" i="4" s="1" a="1"/>
  <c r="M122" i="4" s="1"/>
  <c r="L129" i="4"/>
  <c r="M129" i="4" s="1" a="1"/>
  <c r="M129" i="4" s="1"/>
  <c r="L136" i="4"/>
  <c r="M136" i="4" s="1" a="1"/>
  <c r="M136" i="4" s="1"/>
  <c r="L139" i="4"/>
  <c r="M139" i="4" s="1" a="1"/>
  <c r="M139" i="4" s="1"/>
  <c r="L143" i="4"/>
  <c r="M143" i="4" s="1" a="1"/>
  <c r="M143" i="4" s="1"/>
  <c r="L147" i="4"/>
  <c r="M147" i="4" s="1" a="1"/>
  <c r="M147" i="4" s="1"/>
  <c r="L151" i="4"/>
  <c r="M151" i="4" s="1" a="1"/>
  <c r="M151" i="4" s="1"/>
  <c r="W27" i="4" a="1"/>
  <c r="W27" i="4" s="1"/>
  <c r="W40" i="4" a="1"/>
  <c r="W40" i="4" s="1"/>
  <c r="W54" i="4" a="1"/>
  <c r="W54" i="4" s="1"/>
  <c r="W64" i="4" a="1"/>
  <c r="W64" i="4" s="1"/>
  <c r="W78" i="4" a="1"/>
  <c r="W78" i="4" s="1"/>
  <c r="W91" i="4" a="1"/>
  <c r="W91" i="4" s="1"/>
  <c r="W103" i="4" a="1"/>
  <c r="W103" i="4" s="1"/>
  <c r="W118" i="4" a="1"/>
  <c r="W118" i="4" s="1"/>
  <c r="W128" i="4" a="1"/>
  <c r="W128" i="4" s="1"/>
  <c r="W140" i="4" a="1"/>
  <c r="W140" i="4" s="1"/>
  <c r="W151" i="4" a="1"/>
  <c r="W151" i="4" s="1"/>
  <c r="L43" i="4"/>
  <c r="M43" i="4" s="1" a="1"/>
  <c r="M43" i="4" s="1"/>
  <c r="D45" i="4"/>
  <c r="E45" i="4" s="1"/>
  <c r="D50" i="4"/>
  <c r="E50" i="4" s="1"/>
  <c r="F51" i="4"/>
  <c r="G51" i="4" s="1"/>
  <c r="F57" i="4"/>
  <c r="G57" i="4" s="1"/>
  <c r="D63" i="4"/>
  <c r="E63" i="4" s="1"/>
  <c r="L66" i="4"/>
  <c r="M66" i="4" s="1" a="1"/>
  <c r="M66" i="4" s="1"/>
  <c r="L68" i="4"/>
  <c r="M68" i="4" s="1" a="1"/>
  <c r="M68" i="4" s="1"/>
  <c r="F71" i="4"/>
  <c r="G71" i="4" s="1"/>
  <c r="D72" i="4"/>
  <c r="E72" i="4" s="1"/>
  <c r="D73" i="4"/>
  <c r="E73" i="4" s="1"/>
  <c r="L76" i="4"/>
  <c r="M76" i="4" s="1" a="1"/>
  <c r="M76" i="4" s="1"/>
  <c r="F79" i="4"/>
  <c r="G79" i="4" s="1"/>
  <c r="D80" i="4"/>
  <c r="E80" i="4" s="1"/>
  <c r="D81" i="4"/>
  <c r="E81" i="4" s="1"/>
  <c r="L84" i="4"/>
  <c r="M84" i="4" s="1" a="1"/>
  <c r="M84" i="4" s="1"/>
  <c r="F87" i="4"/>
  <c r="G87" i="4" s="1"/>
  <c r="D88" i="4"/>
  <c r="E88" i="4" s="1"/>
  <c r="L92" i="4"/>
  <c r="M92" i="4" s="1" a="1"/>
  <c r="M92" i="4" s="1"/>
  <c r="L94" i="4"/>
  <c r="M94" i="4" s="1" a="1"/>
  <c r="M94" i="4" s="1"/>
  <c r="L101" i="4"/>
  <c r="M101" i="4" s="1" a="1"/>
  <c r="M101" i="4" s="1"/>
  <c r="L108" i="4"/>
  <c r="M108" i="4" s="1" a="1"/>
  <c r="M108" i="4" s="1"/>
  <c r="L110" i="4"/>
  <c r="M110" i="4" s="1" a="1"/>
  <c r="M110" i="4" s="1"/>
  <c r="L117" i="4"/>
  <c r="M117" i="4" s="1" a="1"/>
  <c r="M117" i="4" s="1"/>
  <c r="L124" i="4"/>
  <c r="M124" i="4" s="1" a="1"/>
  <c r="M124" i="4" s="1"/>
  <c r="L126" i="4"/>
  <c r="M126" i="4" s="1" a="1"/>
  <c r="M126" i="4" s="1"/>
  <c r="L133" i="4"/>
  <c r="M133" i="4" s="1" a="1"/>
  <c r="M133" i="4" s="1"/>
  <c r="L138" i="4"/>
  <c r="M138" i="4" s="1" a="1"/>
  <c r="M138" i="4" s="1"/>
  <c r="L142" i="4"/>
  <c r="M142" i="4" s="1" a="1"/>
  <c r="M142" i="4" s="1"/>
  <c r="L146" i="4"/>
  <c r="M146" i="4" s="1" a="1"/>
  <c r="M146" i="4" s="1"/>
  <c r="L150" i="4"/>
  <c r="M150" i="4" s="1" a="1"/>
  <c r="M150" i="4" s="1"/>
  <c r="W43" i="4" a="1"/>
  <c r="W55" i="4" a="1"/>
  <c r="W82" i="4" a="1"/>
  <c r="W107" i="4" a="1"/>
  <c r="W131" i="4" a="1"/>
  <c r="W144" i="4" a="1"/>
  <c r="D44" i="4"/>
  <c r="E44" i="4" s="1"/>
  <c r="L46" i="4"/>
  <c r="M46" i="4" s="1" a="1"/>
  <c r="M46" i="4" s="1"/>
  <c r="L58" i="4"/>
  <c r="M58" i="4" s="1" a="1"/>
  <c r="M58" i="4" s="1"/>
  <c r="D61" i="4"/>
  <c r="E61" i="4" s="1"/>
  <c r="D62" i="4"/>
  <c r="E62" i="4" s="1"/>
  <c r="L64" i="4"/>
  <c r="M64" i="4" s="1" a="1"/>
  <c r="M64" i="4" s="1"/>
  <c r="L70" i="4"/>
  <c r="M70" i="4" s="1" a="1"/>
  <c r="M70" i="4" s="1"/>
  <c r="D74" i="4"/>
  <c r="E74" i="4" s="1"/>
  <c r="F81" i="4"/>
  <c r="G81" i="4" s="1"/>
  <c r="D83" i="4"/>
  <c r="E83" i="4" s="1"/>
  <c r="L86" i="4"/>
  <c r="M86" i="4" s="1" a="1"/>
  <c r="M86" i="4" s="1"/>
  <c r="L98" i="4"/>
  <c r="M98" i="4" s="1" a="1"/>
  <c r="M98" i="4" s="1"/>
  <c r="L141" i="4"/>
  <c r="M141" i="4" s="1" a="1"/>
  <c r="M141" i="4" s="1"/>
  <c r="L145" i="4"/>
  <c r="M145" i="4" s="1" a="1"/>
  <c r="M145" i="4" s="1"/>
  <c r="D47" i="4"/>
  <c r="E47" i="4" s="1"/>
  <c r="L50" i="4"/>
  <c r="M50" i="4" s="1" a="1"/>
  <c r="M50" i="4" s="1"/>
  <c r="D53" i="4"/>
  <c r="E53" i="4" s="1"/>
  <c r="D60" i="4"/>
  <c r="E60" i="4" s="1"/>
  <c r="L62" i="4"/>
  <c r="M62" i="4" s="1" a="1"/>
  <c r="M62" i="4" s="1"/>
  <c r="D68" i="4"/>
  <c r="E68" i="4" s="1"/>
  <c r="L72" i="4"/>
  <c r="M72" i="4" s="1" a="1"/>
  <c r="M72" i="4" s="1"/>
  <c r="D76" i="4"/>
  <c r="E76" i="4" s="1"/>
  <c r="L80" i="4"/>
  <c r="M80" i="4" s="1" a="1"/>
  <c r="M80" i="4" s="1"/>
  <c r="F83" i="4"/>
  <c r="G83" i="4" s="1"/>
  <c r="L88" i="4"/>
  <c r="M88" i="4" s="1" a="1"/>
  <c r="M88" i="4" s="1"/>
  <c r="L93" i="4"/>
  <c r="M93" i="4" s="1" a="1"/>
  <c r="M93" i="4" s="1"/>
  <c r="L102" i="4"/>
  <c r="M102" i="4" s="1" a="1"/>
  <c r="M102" i="4" s="1"/>
  <c r="L118" i="4"/>
  <c r="M118" i="4" s="1" a="1"/>
  <c r="M118" i="4" s="1"/>
  <c r="W32" i="4" a="1"/>
  <c r="W70" i="4" a="1"/>
  <c r="W92" i="4" a="1"/>
  <c r="W119" i="4" a="1"/>
  <c r="L45" i="4"/>
  <c r="M45" i="4" s="1" a="1"/>
  <c r="M45" i="4" s="1"/>
  <c r="F49" i="4"/>
  <c r="G49" i="4" s="1"/>
  <c r="D55" i="4"/>
  <c r="E55" i="4" s="1"/>
  <c r="D67" i="4"/>
  <c r="E67" i="4" s="1"/>
  <c r="F73" i="4"/>
  <c r="G73" i="4" s="1"/>
  <c r="D75" i="4"/>
  <c r="E75" i="4" s="1"/>
  <c r="L78" i="4"/>
  <c r="M78" i="4" s="1" a="1"/>
  <c r="M78" i="4" s="1"/>
  <c r="D82" i="4"/>
  <c r="E82" i="4" s="1"/>
  <c r="L89" i="4"/>
  <c r="M89" i="4" s="1" a="1"/>
  <c r="M89" i="4" s="1"/>
  <c r="L96" i="4"/>
  <c r="M96" i="4" s="1" a="1"/>
  <c r="M96" i="4" s="1"/>
  <c r="L105" i="4"/>
  <c r="M105" i="4" s="1" a="1"/>
  <c r="M105" i="4" s="1"/>
  <c r="L112" i="4"/>
  <c r="M112" i="4" s="1" a="1"/>
  <c r="M112" i="4" s="1"/>
  <c r="L114" i="4"/>
  <c r="M114" i="4" s="1" a="1"/>
  <c r="M114" i="4" s="1"/>
  <c r="L121" i="4"/>
  <c r="M121" i="4" s="1" a="1"/>
  <c r="M121" i="4" s="1"/>
  <c r="L128" i="4"/>
  <c r="M128" i="4" s="1" a="1"/>
  <c r="M128" i="4" s="1"/>
  <c r="L130" i="4"/>
  <c r="M130" i="4" s="1" a="1"/>
  <c r="M130" i="4" s="1"/>
  <c r="L137" i="4"/>
  <c r="M137" i="4" s="1" a="1"/>
  <c r="M137" i="4" s="1"/>
  <c r="L149" i="4"/>
  <c r="M149" i="4" s="1" a="1"/>
  <c r="M149" i="4" s="1"/>
  <c r="D54" i="4"/>
  <c r="E54" i="4" s="1"/>
  <c r="L56" i="4"/>
  <c r="M56" i="4" s="1" a="1"/>
  <c r="M56" i="4" s="1"/>
  <c r="D59" i="4"/>
  <c r="E59" i="4" s="1"/>
  <c r="F61" i="4"/>
  <c r="G61" i="4" s="1"/>
  <c r="F67" i="4"/>
  <c r="G67" i="4" s="1"/>
  <c r="D69" i="4"/>
  <c r="E69" i="4" s="1"/>
  <c r="F75" i="4"/>
  <c r="G75" i="4" s="1"/>
  <c r="D77" i="4"/>
  <c r="E77" i="4" s="1"/>
  <c r="D84" i="4"/>
  <c r="E84" i="4" s="1"/>
  <c r="L100" i="4"/>
  <c r="M100" i="4" s="1" a="1"/>
  <c r="M100" i="4" s="1"/>
  <c r="L109" i="4"/>
  <c r="M109" i="4" s="1" a="1"/>
  <c r="M109" i="4" s="1"/>
  <c r="L132" i="4"/>
  <c r="M132" i="4" s="1" a="1"/>
  <c r="M132" i="4" s="1"/>
  <c r="L144" i="4"/>
  <c r="M144" i="4" s="1" a="1"/>
  <c r="M144" i="4" s="1"/>
  <c r="L148" i="4"/>
  <c r="M148" i="4" s="1" a="1"/>
  <c r="M148" i="4" s="1"/>
  <c r="I183" i="8"/>
  <c r="I152" i="8"/>
  <c r="I166" i="8"/>
  <c r="I176" i="8"/>
  <c r="I223" i="8"/>
  <c r="I254" i="8"/>
  <c r="I272" i="8"/>
  <c r="I355" i="8"/>
  <c r="I371" i="8"/>
  <c r="I387" i="8"/>
  <c r="I270" i="8"/>
  <c r="I225" i="8"/>
  <c r="I453" i="8"/>
  <c r="I354" i="8"/>
  <c r="I409" i="8"/>
  <c r="I441" i="8"/>
  <c r="I473" i="8"/>
  <c r="I505" i="8"/>
  <c r="I269" i="8"/>
  <c r="I378" i="8"/>
  <c r="I383" i="8"/>
  <c r="I413" i="8"/>
  <c r="I370" i="8"/>
  <c r="I401" i="8"/>
  <c r="I614" i="8"/>
  <c r="I622" i="8"/>
  <c r="I655" i="8"/>
  <c r="I668" i="8"/>
  <c r="I397" i="8"/>
  <c r="I450" i="8"/>
  <c r="I616" i="8"/>
  <c r="I290" i="8"/>
  <c r="I214" i="8"/>
  <c r="I306" i="8"/>
  <c r="I642" i="8"/>
  <c r="I547" i="8"/>
  <c r="I342" i="8"/>
  <c r="I172" i="8"/>
  <c r="I179" i="8"/>
  <c r="I173" i="8"/>
  <c r="I205" i="8"/>
  <c r="I158" i="8"/>
  <c r="I178" i="8"/>
  <c r="I189" i="8"/>
  <c r="I186" i="8"/>
  <c r="I220" i="8"/>
  <c r="I236" i="8"/>
  <c r="I231" i="8"/>
  <c r="I247" i="8"/>
  <c r="I278" i="8"/>
  <c r="I304" i="8"/>
  <c r="I311" i="8"/>
  <c r="I165" i="8"/>
  <c r="I167" i="8"/>
  <c r="I253" i="8"/>
  <c r="I285" i="8"/>
  <c r="I317" i="8"/>
  <c r="I241" i="8"/>
  <c r="I337" i="8"/>
  <c r="I376" i="8"/>
  <c r="I245" i="8"/>
  <c r="I309" i="8"/>
  <c r="I410" i="8"/>
  <c r="I474" i="8"/>
  <c r="I233" i="8"/>
  <c r="I360" i="8"/>
  <c r="I520" i="8"/>
  <c r="I546" i="8"/>
  <c r="I598" i="8"/>
  <c r="I649" i="8"/>
  <c r="I665" i="8"/>
  <c r="I190" i="8"/>
  <c r="I434" i="8"/>
  <c r="I438" i="8"/>
  <c r="I449" i="8"/>
  <c r="I462" i="8"/>
  <c r="I422" i="8"/>
  <c r="I446" i="8"/>
  <c r="I652" i="8"/>
  <c r="I320" i="8"/>
  <c r="I402" i="8"/>
  <c r="I574" i="8"/>
  <c r="I662" i="8"/>
  <c r="I418" i="8"/>
  <c r="I478" i="8"/>
  <c r="I648" i="8"/>
  <c r="I664" i="8"/>
  <c r="I191" i="8"/>
  <c r="I216" i="8"/>
  <c r="I232" i="8"/>
  <c r="I187" i="8"/>
  <c r="I207" i="8"/>
  <c r="I180" i="8"/>
  <c r="I212" i="8"/>
  <c r="I228" i="8"/>
  <c r="I156" i="8"/>
  <c r="I192" i="8"/>
  <c r="I215" i="8"/>
  <c r="I244" i="8"/>
  <c r="I195" i="8"/>
  <c r="I246" i="8"/>
  <c r="I279" i="8"/>
  <c r="I310" i="8"/>
  <c r="I157" i="8"/>
  <c r="I271" i="8"/>
  <c r="I303" i="8"/>
  <c r="I333" i="8"/>
  <c r="I335" i="8"/>
  <c r="I261" i="8"/>
  <c r="I301" i="8"/>
  <c r="I394" i="8"/>
  <c r="I200" i="8"/>
  <c r="I368" i="8"/>
  <c r="I175" i="8"/>
  <c r="I553" i="8"/>
  <c r="I641" i="8"/>
  <c r="I657" i="8"/>
  <c r="I498" i="8"/>
  <c r="I497" i="8"/>
  <c r="I644" i="8"/>
  <c r="I660" i="8"/>
  <c r="I155" i="8"/>
  <c r="I375" i="8"/>
  <c r="I606" i="8"/>
  <c r="I654" i="8"/>
  <c r="I670" i="8"/>
  <c r="I294" i="8"/>
  <c r="I656" i="8"/>
  <c r="I159" i="8"/>
  <c r="I204" i="8"/>
  <c r="I171" i="8"/>
  <c r="I203" i="8"/>
  <c r="I199" i="8"/>
  <c r="I208" i="8"/>
  <c r="I239" i="8"/>
  <c r="I248" i="8"/>
  <c r="I255" i="8"/>
  <c r="I286" i="8"/>
  <c r="I312" i="8"/>
  <c r="I319" i="8"/>
  <c r="I326" i="8"/>
  <c r="I218" i="8"/>
  <c r="I221" i="8"/>
  <c r="I234" i="8"/>
  <c r="I237" i="8"/>
  <c r="I264" i="8"/>
  <c r="I296" i="8"/>
  <c r="I325" i="8"/>
  <c r="I327" i="8"/>
  <c r="I362" i="8"/>
  <c r="I367" i="8"/>
  <c r="I168" i="8"/>
  <c r="I295" i="8"/>
  <c r="I386" i="8"/>
  <c r="I391" i="8"/>
  <c r="I426" i="8"/>
  <c r="I490" i="8"/>
  <c r="I346" i="8"/>
  <c r="I351" i="8"/>
  <c r="I392" i="8"/>
  <c r="I518" i="8"/>
  <c r="I538" i="8"/>
  <c r="I552" i="8"/>
  <c r="I582" i="8"/>
  <c r="I631" i="8"/>
  <c r="I645" i="8"/>
  <c r="I661" i="8"/>
  <c r="I466" i="8"/>
  <c r="I470" i="8"/>
  <c r="I481" i="8"/>
  <c r="I494" i="8"/>
  <c r="I560" i="8"/>
  <c r="I576" i="8"/>
  <c r="I592" i="8"/>
  <c r="I608" i="8"/>
  <c r="I454" i="8"/>
  <c r="I482" i="8"/>
  <c r="I528" i="8"/>
  <c r="I256" i="8"/>
  <c r="I534" i="8"/>
  <c r="I558" i="8"/>
  <c r="I623" i="8"/>
  <c r="I658" i="8"/>
  <c r="I433" i="8"/>
  <c r="I486" i="8"/>
  <c r="I510" i="8"/>
  <c r="H163" i="1"/>
  <c r="H165" i="1"/>
  <c r="H167" i="1"/>
  <c r="H174" i="1"/>
  <c r="H177" i="1"/>
  <c r="H185" i="1"/>
  <c r="H168" i="1"/>
  <c r="H170" i="1"/>
  <c r="H164" i="1"/>
  <c r="H166" i="1"/>
  <c r="H173" i="1"/>
  <c r="H178" i="1"/>
  <c r="H186" i="1"/>
  <c r="H171" i="1"/>
  <c r="H172" i="1"/>
  <c r="H180" i="1"/>
  <c r="H181" i="1"/>
  <c r="H169" i="1"/>
  <c r="H176" i="1"/>
  <c r="H179" i="1"/>
  <c r="H184" i="1"/>
  <c r="H175" i="1"/>
  <c r="H182" i="1"/>
  <c r="H183" i="1"/>
  <c r="H21" i="6"/>
  <c r="H22" i="6"/>
  <c r="AB11" i="6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40" i="1" s="1"/>
  <c r="H29" i="6"/>
  <c r="E29" i="6"/>
  <c r="AB31" i="6"/>
  <c r="S31" i="6"/>
  <c r="S28" i="6"/>
  <c r="AB28" i="6"/>
  <c r="AB21" i="6"/>
  <c r="AB26" i="6"/>
  <c r="S26" i="6"/>
  <c r="S29" i="6"/>
  <c r="AB29" i="6"/>
  <c r="W65" i="1" s="1"/>
  <c r="AB32" i="6"/>
  <c r="S32" i="6"/>
  <c r="H31" i="6"/>
  <c r="J31" i="6"/>
  <c r="AB27" i="6"/>
  <c r="W63" i="1" s="1"/>
  <c r="S27" i="6"/>
  <c r="H32" i="6"/>
  <c r="I32" i="6"/>
  <c r="H39" i="1" s="1"/>
  <c r="J32" i="6"/>
  <c r="H30" i="6"/>
  <c r="E30" i="6"/>
  <c r="J30" i="6"/>
  <c r="H27" i="6"/>
  <c r="I27" i="6"/>
  <c r="H34" i="1" s="1"/>
  <c r="S33" i="6"/>
  <c r="AB33" i="6"/>
  <c r="S30" i="6"/>
  <c r="H15" i="6"/>
  <c r="AB17" i="6"/>
  <c r="I18" i="6"/>
  <c r="H14" i="6"/>
  <c r="R13" i="4"/>
  <c r="S13" i="4" s="1" a="1"/>
  <c r="S13" i="4" s="1"/>
  <c r="U13" i="4" s="1" a="1"/>
  <c r="U13" i="4" s="1"/>
  <c r="R19" i="4"/>
  <c r="R25" i="4"/>
  <c r="W12" i="4" a="1"/>
  <c r="W18" i="4" a="1"/>
  <c r="W24" i="4" a="1"/>
  <c r="R14" i="4"/>
  <c r="R20" i="4"/>
  <c r="W13" i="4" a="1"/>
  <c r="W19" i="4" a="1"/>
  <c r="W25" i="4" a="1"/>
  <c r="R9" i="4"/>
  <c r="S9" i="4" s="1" a="1"/>
  <c r="S9" i="4" s="1"/>
  <c r="U9" i="4" s="1" a="1"/>
  <c r="U9" i="4" s="1"/>
  <c r="R15" i="4"/>
  <c r="S15" i="4" s="1" a="1"/>
  <c r="S15" i="4" s="1"/>
  <c r="U15" i="4" s="1" a="1"/>
  <c r="U15" i="4" s="1"/>
  <c r="R21" i="4"/>
  <c r="S21" i="4" s="1" a="1"/>
  <c r="W14" i="4" a="1"/>
  <c r="W20" i="4" a="1"/>
  <c r="R10" i="4"/>
  <c r="R16" i="4"/>
  <c r="R22" i="4"/>
  <c r="S22" i="4" s="1" a="1"/>
  <c r="S22" i="4" s="1"/>
  <c r="U22" i="4" s="1" a="1"/>
  <c r="U22" i="4" s="1"/>
  <c r="W9" i="4" a="1"/>
  <c r="W9" i="4" s="1"/>
  <c r="W15" i="4" a="1"/>
  <c r="W21" i="4" a="1"/>
  <c r="R11" i="4"/>
  <c r="R17" i="4"/>
  <c r="S17" i="4" s="1" a="1"/>
  <c r="S17" i="4" s="1"/>
  <c r="U17" i="4" s="1" a="1"/>
  <c r="U17" i="4" s="1"/>
  <c r="R23" i="4"/>
  <c r="W10" i="4" a="1"/>
  <c r="W16" i="4" a="1"/>
  <c r="W22" i="4" a="1"/>
  <c r="R12" i="4"/>
  <c r="S12" i="4" s="1" a="1"/>
  <c r="S12" i="4" s="1"/>
  <c r="U12" i="4" s="1" a="1"/>
  <c r="U12" i="4" s="1"/>
  <c r="R18" i="4"/>
  <c r="R24" i="4"/>
  <c r="W11" i="4" a="1"/>
  <c r="W17" i="4" a="1"/>
  <c r="W23" i="4" a="1"/>
  <c r="R7" i="4"/>
  <c r="S7" i="4" s="1" a="1"/>
  <c r="S7" i="4" s="1"/>
  <c r="U7" i="4" s="1" a="1"/>
  <c r="U7" i="4" s="1"/>
  <c r="W3" i="4" a="1"/>
  <c r="W3" i="4" s="1"/>
  <c r="R8" i="4"/>
  <c r="S8" i="4" s="1" a="1"/>
  <c r="W4" i="4" a="1"/>
  <c r="W4" i="4" s="1"/>
  <c r="R3" i="4"/>
  <c r="S3" i="4" s="1" a="1"/>
  <c r="S3" i="4" s="1"/>
  <c r="U3" i="4" s="1" a="1"/>
  <c r="U3" i="4" s="1"/>
  <c r="W5" i="4" a="1"/>
  <c r="W5" i="4" s="1"/>
  <c r="R6" i="4"/>
  <c r="S6" i="4" s="1" a="1"/>
  <c r="S6" i="4" s="1"/>
  <c r="U6" i="4" s="1" a="1"/>
  <c r="U6" i="4" s="1"/>
  <c r="W8" i="4" a="1"/>
  <c r="W8" i="4" s="1"/>
  <c r="R4" i="4"/>
  <c r="S4" i="4" s="1" a="1"/>
  <c r="S4" i="4" s="1"/>
  <c r="U4" i="4" s="1" a="1"/>
  <c r="U4" i="4" s="1"/>
  <c r="W6" i="4" a="1"/>
  <c r="W6" i="4" s="1"/>
  <c r="R5" i="4"/>
  <c r="W7" i="4" a="1"/>
  <c r="W7" i="4" s="1"/>
  <c r="AB6" i="6"/>
  <c r="AB7" i="6"/>
  <c r="I17" i="6"/>
  <c r="W40" i="1"/>
  <c r="AB5" i="6"/>
  <c r="AB2" i="6"/>
  <c r="W21" i="1" s="1"/>
  <c r="AB8" i="6"/>
  <c r="S23" i="6"/>
  <c r="AB23" i="6"/>
  <c r="W99" i="1"/>
  <c r="W87" i="1"/>
  <c r="W45" i="1"/>
  <c r="W29" i="1"/>
  <c r="W101" i="1"/>
  <c r="W137" i="1"/>
  <c r="W6" i="1"/>
  <c r="W42" i="1"/>
  <c r="W78" i="1"/>
  <c r="W114" i="1"/>
  <c r="W150" i="1"/>
  <c r="W25" i="1"/>
  <c r="W133" i="1"/>
  <c r="W142" i="1"/>
  <c r="W44" i="1"/>
  <c r="W92" i="1"/>
  <c r="W57" i="1"/>
  <c r="W129" i="1"/>
  <c r="W165" i="1"/>
  <c r="AB18" i="6"/>
  <c r="AB20" i="6"/>
  <c r="AB13" i="6"/>
  <c r="AB25" i="6"/>
  <c r="W61" i="1" s="1"/>
  <c r="W69" i="1"/>
  <c r="W94" i="1"/>
  <c r="W97" i="1"/>
  <c r="W35" i="1"/>
  <c r="W71" i="1"/>
  <c r="W107" i="1"/>
  <c r="W143" i="1"/>
  <c r="W48" i="1"/>
  <c r="W84" i="1"/>
  <c r="W120" i="1"/>
  <c r="W156" i="1"/>
  <c r="W136" i="1"/>
  <c r="W67" i="1"/>
  <c r="W103" i="1"/>
  <c r="W139" i="1"/>
  <c r="W166" i="1"/>
  <c r="W50" i="1"/>
  <c r="W98" i="1"/>
  <c r="W106" i="1"/>
  <c r="W135" i="1"/>
  <c r="W93" i="1"/>
  <c r="W16" i="1"/>
  <c r="W81" i="1"/>
  <c r="W5" i="1"/>
  <c r="W41" i="1"/>
  <c r="W77" i="1"/>
  <c r="W113" i="1"/>
  <c r="W149" i="1"/>
  <c r="W18" i="1"/>
  <c r="W54" i="1"/>
  <c r="W126" i="1"/>
  <c r="W162" i="1"/>
  <c r="W160" i="1"/>
  <c r="W37" i="1"/>
  <c r="W73" i="1"/>
  <c r="W109" i="1"/>
  <c r="W145" i="1"/>
  <c r="W8" i="1"/>
  <c r="W62" i="1"/>
  <c r="W124" i="1"/>
  <c r="W105" i="1"/>
  <c r="W141" i="1"/>
  <c r="W56" i="1"/>
  <c r="W110" i="1"/>
  <c r="W146" i="1"/>
  <c r="W140" i="1"/>
  <c r="W10" i="1"/>
  <c r="W64" i="1"/>
  <c r="W116" i="1"/>
  <c r="W152" i="1"/>
  <c r="W20" i="1"/>
  <c r="W74" i="1"/>
  <c r="W122" i="1"/>
  <c r="W158" i="1"/>
  <c r="W28" i="1"/>
  <c r="W82" i="1"/>
  <c r="W128" i="1"/>
  <c r="W164" i="1"/>
  <c r="W104" i="1"/>
  <c r="W38" i="1"/>
  <c r="W90" i="1"/>
  <c r="W134" i="1"/>
  <c r="W46" i="1"/>
  <c r="AB3" i="6"/>
  <c r="AB4" i="6"/>
  <c r="I25" i="6"/>
  <c r="H61" i="1" s="1"/>
  <c r="AB15" i="6"/>
  <c r="W51" i="1" s="1"/>
  <c r="W100" i="1"/>
  <c r="W34" i="1"/>
  <c r="W88" i="1"/>
  <c r="W11" i="1"/>
  <c r="W47" i="1"/>
  <c r="W83" i="1"/>
  <c r="W119" i="1"/>
  <c r="W155" i="1"/>
  <c r="W112" i="1"/>
  <c r="W24" i="1"/>
  <c r="W60" i="1"/>
  <c r="W132" i="1"/>
  <c r="W7" i="1"/>
  <c r="W43" i="1"/>
  <c r="W79" i="1"/>
  <c r="W115" i="1"/>
  <c r="W151" i="1"/>
  <c r="W76" i="1"/>
  <c r="W14" i="1"/>
  <c r="W68" i="1"/>
  <c r="W3" i="1"/>
  <c r="W39" i="1"/>
  <c r="W75" i="1"/>
  <c r="W111" i="1"/>
  <c r="W147" i="1"/>
  <c r="W154" i="1"/>
  <c r="AB12" i="6"/>
  <c r="W12" i="1" s="1"/>
  <c r="AB24" i="6"/>
  <c r="AB19" i="6"/>
  <c r="W55" i="1" s="1"/>
  <c r="W15" i="1"/>
  <c r="W52" i="1"/>
  <c r="W9" i="1"/>
  <c r="W96" i="1"/>
  <c r="W17" i="1"/>
  <c r="W53" i="1"/>
  <c r="W89" i="1"/>
  <c r="W125" i="1"/>
  <c r="W161" i="1"/>
  <c r="W130" i="1"/>
  <c r="W30" i="1"/>
  <c r="W66" i="1"/>
  <c r="W102" i="1"/>
  <c r="W138" i="1"/>
  <c r="W13" i="1"/>
  <c r="W49" i="1"/>
  <c r="W85" i="1"/>
  <c r="W121" i="1"/>
  <c r="W157" i="1"/>
  <c r="W26" i="1"/>
  <c r="W80" i="1"/>
  <c r="W117" i="1"/>
  <c r="W153" i="1"/>
  <c r="W33" i="1"/>
  <c r="W70" i="1"/>
  <c r="W27" i="1"/>
  <c r="W23" i="1"/>
  <c r="W59" i="1"/>
  <c r="W95" i="1"/>
  <c r="W131" i="1"/>
  <c r="W4" i="1"/>
  <c r="W148" i="1"/>
  <c r="W36" i="1"/>
  <c r="W72" i="1"/>
  <c r="W108" i="1"/>
  <c r="W144" i="1"/>
  <c r="W19" i="1"/>
  <c r="W91" i="1"/>
  <c r="W127" i="1"/>
  <c r="W163" i="1"/>
  <c r="W118" i="1"/>
  <c r="W32" i="1"/>
  <c r="W86" i="1"/>
  <c r="W58" i="1"/>
  <c r="W123" i="1"/>
  <c r="W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H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H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I8" i="6"/>
  <c r="I7" i="6"/>
  <c r="H26" i="1" s="1"/>
  <c r="H4" i="6"/>
  <c r="S3" i="6"/>
  <c r="S8" i="6"/>
  <c r="S5" i="6"/>
  <c r="L6" i="4"/>
  <c r="M6" i="4" s="1" a="1"/>
  <c r="M6" i="4" s="1"/>
  <c r="L9" i="4"/>
  <c r="M9" i="4" s="1" a="1"/>
  <c r="M9" i="4" s="1"/>
  <c r="F11" i="4"/>
  <c r="G11" i="4" s="1"/>
  <c r="L3" i="4"/>
  <c r="M3" i="4" s="1" a="1"/>
  <c r="M3" i="4" s="1"/>
  <c r="D4" i="4"/>
  <c r="E4" i="4" s="1"/>
  <c r="L5" i="4"/>
  <c r="M5" i="4" s="1" a="1"/>
  <c r="M5" i="4" s="1"/>
  <c r="D7" i="4"/>
  <c r="E7" i="4" s="1"/>
  <c r="F8" i="4"/>
  <c r="G8" i="4" s="1"/>
  <c r="D10" i="4"/>
  <c r="E10" i="4" s="1"/>
  <c r="L12" i="4"/>
  <c r="M12" i="4" s="1" a="1"/>
  <c r="M12" i="4" s="1"/>
  <c r="F13" i="4"/>
  <c r="G13" i="4" s="1"/>
  <c r="D16" i="4"/>
  <c r="E16" i="4" s="1"/>
  <c r="L19" i="4"/>
  <c r="M19" i="4" s="1" a="1"/>
  <c r="M19" i="4" s="1"/>
  <c r="L22" i="4"/>
  <c r="M22" i="4" s="1" a="1"/>
  <c r="M22" i="4" s="1"/>
  <c r="L25" i="4"/>
  <c r="M25" i="4" s="1" a="1"/>
  <c r="M25" i="4" s="1"/>
  <c r="L26" i="4"/>
  <c r="M26" i="4" s="1" a="1"/>
  <c r="M26" i="4" s="1"/>
  <c r="D28" i="4"/>
  <c r="E28" i="4" s="1"/>
  <c r="F4" i="4"/>
  <c r="G4" i="4" s="1"/>
  <c r="D6" i="4"/>
  <c r="E6" i="4" s="1"/>
  <c r="F7" i="4"/>
  <c r="G7" i="4" s="1"/>
  <c r="F10" i="4"/>
  <c r="G10" i="4" s="1"/>
  <c r="L11" i="4"/>
  <c r="M11" i="4" s="1" a="1"/>
  <c r="M11" i="4" s="1"/>
  <c r="F14" i="4"/>
  <c r="G14" i="4" s="1"/>
  <c r="L8" i="4"/>
  <c r="M8" i="4" s="1" a="1"/>
  <c r="M8" i="4" s="1"/>
  <c r="D9" i="4"/>
  <c r="E9" i="4" s="1"/>
  <c r="L13" i="4"/>
  <c r="M13" i="4" s="1" a="1"/>
  <c r="M13" i="4" s="1"/>
  <c r="F15" i="4"/>
  <c r="G15" i="4" s="1"/>
  <c r="F16" i="4"/>
  <c r="G16" i="4" s="1"/>
  <c r="D17" i="4"/>
  <c r="E17" i="4" s="1"/>
  <c r="F24" i="4"/>
  <c r="G24" i="4" s="1"/>
  <c r="D25" i="4"/>
  <c r="E25" i="4" s="1"/>
  <c r="F27" i="4"/>
  <c r="G27" i="4" s="1"/>
  <c r="F28" i="4"/>
  <c r="G28" i="4" s="1"/>
  <c r="D29" i="4"/>
  <c r="E29" i="4" s="1"/>
  <c r="D3" i="4"/>
  <c r="E3" i="4" s="1"/>
  <c r="L4" i="4"/>
  <c r="M4" i="4" s="1" a="1"/>
  <c r="M4" i="4" s="1"/>
  <c r="D5" i="4"/>
  <c r="E5" i="4" s="1"/>
  <c r="F6" i="4"/>
  <c r="G6" i="4" s="1"/>
  <c r="L7" i="4"/>
  <c r="M7" i="4" s="1" a="1"/>
  <c r="M7" i="4" s="1"/>
  <c r="F9" i="4"/>
  <c r="G9" i="4" s="1"/>
  <c r="L10" i="4"/>
  <c r="M10" i="4" s="1" a="1"/>
  <c r="M10" i="4" s="1"/>
  <c r="D11" i="4"/>
  <c r="E11" i="4" s="1"/>
  <c r="D12" i="4"/>
  <c r="E12" i="4" s="1"/>
  <c r="D18" i="4"/>
  <c r="E18" i="4" s="1"/>
  <c r="D19" i="4"/>
  <c r="E19" i="4" s="1"/>
  <c r="F3" i="4"/>
  <c r="G3" i="4" s="1"/>
  <c r="F5" i="4"/>
  <c r="G5" i="4" s="1"/>
  <c r="D8" i="4"/>
  <c r="E8" i="4" s="1"/>
  <c r="F12" i="4"/>
  <c r="G12" i="4" s="1"/>
  <c r="D13" i="4"/>
  <c r="E13" i="4" s="1"/>
  <c r="L14" i="4"/>
  <c r="M14" i="4" s="1" a="1"/>
  <c r="M14" i="4" s="1"/>
  <c r="L15" i="4"/>
  <c r="M15" i="4" s="1" a="1"/>
  <c r="M15" i="4" s="1"/>
  <c r="F17" i="4"/>
  <c r="G17" i="4" s="1"/>
  <c r="F19" i="4"/>
  <c r="G19" i="4" s="1"/>
  <c r="D20" i="4"/>
  <c r="E20" i="4" s="1"/>
  <c r="D21" i="4"/>
  <c r="E21" i="4" s="1"/>
  <c r="F22" i="4"/>
  <c r="G22" i="4" s="1"/>
  <c r="L24" i="4"/>
  <c r="M24" i="4" s="1" a="1"/>
  <c r="M24" i="4" s="1"/>
  <c r="F25" i="4"/>
  <c r="G25" i="4" s="1"/>
  <c r="L27" i="4"/>
  <c r="M27" i="4" s="1" a="1"/>
  <c r="M27" i="4" s="1"/>
  <c r="F29" i="4"/>
  <c r="G29" i="4" s="1"/>
  <c r="F31" i="4"/>
  <c r="G31" i="4" s="1"/>
  <c r="D32" i="4"/>
  <c r="E32" i="4" s="1"/>
  <c r="D33" i="4"/>
  <c r="E33" i="4" s="1"/>
  <c r="F34" i="4"/>
  <c r="G34" i="4" s="1"/>
  <c r="L39" i="4"/>
  <c r="M39" i="4" s="1" a="1"/>
  <c r="M39" i="4" s="1"/>
  <c r="D42" i="4"/>
  <c r="E42" i="4" s="1"/>
  <c r="D14" i="4"/>
  <c r="E14" i="4" s="1"/>
  <c r="F20" i="4"/>
  <c r="G20" i="4" s="1"/>
  <c r="L21" i="4"/>
  <c r="M21" i="4" s="1" a="1"/>
  <c r="M21" i="4" s="1"/>
  <c r="F35" i="4"/>
  <c r="G35" i="4" s="1"/>
  <c r="D37" i="4"/>
  <c r="E37" i="4" s="1"/>
  <c r="F38" i="4"/>
  <c r="G38" i="4" s="1"/>
  <c r="D40" i="4"/>
  <c r="E40" i="4" s="1"/>
  <c r="D41" i="4"/>
  <c r="E41" i="4" s="1"/>
  <c r="F42" i="4"/>
  <c r="G42" i="4" s="1"/>
  <c r="L17" i="4"/>
  <c r="M17" i="4" s="1" a="1"/>
  <c r="M17" i="4" s="1"/>
  <c r="L20" i="4"/>
  <c r="M20" i="4" s="1" a="1"/>
  <c r="M20" i="4" s="1"/>
  <c r="D30" i="4"/>
  <c r="E30" i="4" s="1"/>
  <c r="F32" i="4"/>
  <c r="G32" i="4" s="1"/>
  <c r="L33" i="4"/>
  <c r="M33" i="4" s="1" a="1"/>
  <c r="M33" i="4" s="1"/>
  <c r="L35" i="4"/>
  <c r="M35" i="4" s="1" a="1"/>
  <c r="M35" i="4" s="1"/>
  <c r="D36" i="4"/>
  <c r="E36" i="4" s="1"/>
  <c r="F41" i="4"/>
  <c r="G41" i="4" s="1"/>
  <c r="L16" i="4"/>
  <c r="M16" i="4" s="1" a="1"/>
  <c r="M16" i="4" s="1"/>
  <c r="L29" i="4"/>
  <c r="M29" i="4" s="1" a="1"/>
  <c r="M29" i="4" s="1"/>
  <c r="F30" i="4"/>
  <c r="G30" i="4" s="1"/>
  <c r="D34" i="4"/>
  <c r="E34" i="4" s="1"/>
  <c r="F36" i="4"/>
  <c r="G36" i="4" s="1"/>
  <c r="F37" i="4"/>
  <c r="G37" i="4" s="1"/>
  <c r="L38" i="4"/>
  <c r="M38" i="4" s="1" a="1"/>
  <c r="M38" i="4" s="1"/>
  <c r="D39" i="4"/>
  <c r="E39" i="4" s="1"/>
  <c r="F40" i="4"/>
  <c r="G40" i="4" s="1"/>
  <c r="L42" i="4"/>
  <c r="M42" i="4" s="1" a="1"/>
  <c r="M42" i="4" s="1"/>
  <c r="D15" i="4"/>
  <c r="E15" i="4" s="1"/>
  <c r="D23" i="4"/>
  <c r="E23" i="4" s="1"/>
  <c r="D24" i="4"/>
  <c r="E24" i="4" s="1"/>
  <c r="D26" i="4"/>
  <c r="E26" i="4" s="1"/>
  <c r="D27" i="4"/>
  <c r="E27" i="4" s="1"/>
  <c r="D31" i="4"/>
  <c r="E31" i="4" s="1"/>
  <c r="L32" i="4"/>
  <c r="M32" i="4" s="1" a="1"/>
  <c r="M32" i="4" s="1"/>
  <c r="F39" i="4"/>
  <c r="G39" i="4" s="1"/>
  <c r="F18" i="4"/>
  <c r="G18" i="4" s="1"/>
  <c r="D22" i="4"/>
  <c r="E22" i="4" s="1"/>
  <c r="F23" i="4"/>
  <c r="G23" i="4" s="1"/>
  <c r="F26" i="4"/>
  <c r="G26" i="4" s="1"/>
  <c r="L30" i="4"/>
  <c r="M30" i="4" s="1" a="1"/>
  <c r="M30" i="4" s="1"/>
  <c r="L34" i="4"/>
  <c r="M34" i="4" s="1" a="1"/>
  <c r="M34" i="4" s="1"/>
  <c r="D35" i="4"/>
  <c r="E35" i="4" s="1"/>
  <c r="L36" i="4"/>
  <c r="M36" i="4" s="1" a="1"/>
  <c r="M36" i="4" s="1"/>
  <c r="L37" i="4"/>
  <c r="M37" i="4" s="1" a="1"/>
  <c r="M37" i="4" s="1"/>
  <c r="D38" i="4"/>
  <c r="E38" i="4" s="1"/>
  <c r="L40" i="4"/>
  <c r="M40" i="4" s="1" a="1"/>
  <c r="M40" i="4" s="1"/>
  <c r="L41" i="4"/>
  <c r="M41" i="4" s="1" a="1"/>
  <c r="M41" i="4" s="1"/>
  <c r="L18" i="4"/>
  <c r="M18" i="4" s="1" a="1"/>
  <c r="M18" i="4" s="1"/>
  <c r="F21" i="4"/>
  <c r="G21" i="4" s="1"/>
  <c r="L23" i="4"/>
  <c r="M23" i="4" s="1" a="1"/>
  <c r="M23" i="4" s="1"/>
  <c r="L28" i="4"/>
  <c r="M28" i="4" s="1" a="1"/>
  <c r="M28" i="4" s="1"/>
  <c r="L31" i="4"/>
  <c r="M31" i="4" s="1" a="1"/>
  <c r="M31" i="4" s="1"/>
  <c r="F33" i="4"/>
  <c r="G33" i="4" s="1"/>
  <c r="B2" i="4"/>
  <c r="H4" i="1"/>
  <c r="H17" i="1"/>
  <c r="H23" i="1"/>
  <c r="H35" i="1"/>
  <c r="H41" i="1"/>
  <c r="H47" i="1"/>
  <c r="H53" i="1"/>
  <c r="H59" i="1"/>
  <c r="H65" i="1"/>
  <c r="H71" i="1"/>
  <c r="H77" i="1"/>
  <c r="H83" i="1"/>
  <c r="H89" i="1"/>
  <c r="H95" i="1"/>
  <c r="H101" i="1"/>
  <c r="H107" i="1"/>
  <c r="H113" i="1"/>
  <c r="H119" i="1"/>
  <c r="H125" i="1"/>
  <c r="H131" i="1"/>
  <c r="H137" i="1"/>
  <c r="H143" i="1"/>
  <c r="H149" i="1"/>
  <c r="H155" i="1"/>
  <c r="H161" i="1"/>
  <c r="H46" i="1"/>
  <c r="H64" i="1"/>
  <c r="H82" i="1"/>
  <c r="H100" i="1"/>
  <c r="H124" i="1"/>
  <c r="H142" i="1"/>
  <c r="H160" i="1"/>
  <c r="H12" i="1"/>
  <c r="H18" i="1"/>
  <c r="H30" i="1"/>
  <c r="H36" i="1"/>
  <c r="H42" i="1"/>
  <c r="H48" i="1"/>
  <c r="H54" i="1"/>
  <c r="H60" i="1"/>
  <c r="H66" i="1"/>
  <c r="H72" i="1"/>
  <c r="H78" i="1"/>
  <c r="H84" i="1"/>
  <c r="H90" i="1"/>
  <c r="H96" i="1"/>
  <c r="H102" i="1"/>
  <c r="H108" i="1"/>
  <c r="H114" i="1"/>
  <c r="H120" i="1"/>
  <c r="H126" i="1"/>
  <c r="H132" i="1"/>
  <c r="H138" i="1"/>
  <c r="H144" i="1"/>
  <c r="H150" i="1"/>
  <c r="H156" i="1"/>
  <c r="H162" i="1"/>
  <c r="H16" i="1"/>
  <c r="H52" i="1"/>
  <c r="H70" i="1"/>
  <c r="H88" i="1"/>
  <c r="H106" i="1"/>
  <c r="H130" i="1"/>
  <c r="H148" i="1"/>
  <c r="H13" i="1"/>
  <c r="H19" i="1"/>
  <c r="H31" i="1"/>
  <c r="H37" i="1"/>
  <c r="H43" i="1"/>
  <c r="H49" i="1"/>
  <c r="H55" i="1"/>
  <c r="H67" i="1"/>
  <c r="H73" i="1"/>
  <c r="H79" i="1"/>
  <c r="H85" i="1"/>
  <c r="H91" i="1"/>
  <c r="H97" i="1"/>
  <c r="H103" i="1"/>
  <c r="H109" i="1"/>
  <c r="H115" i="1"/>
  <c r="H121" i="1"/>
  <c r="H127" i="1"/>
  <c r="H133" i="1"/>
  <c r="H139" i="1"/>
  <c r="H145" i="1"/>
  <c r="H151" i="1"/>
  <c r="H157" i="1"/>
  <c r="H58" i="1"/>
  <c r="H76" i="1"/>
  <c r="H94" i="1"/>
  <c r="H118" i="1"/>
  <c r="H136" i="1"/>
  <c r="H154" i="1"/>
  <c r="H14" i="1"/>
  <c r="H20" i="1"/>
  <c r="H32" i="1"/>
  <c r="H38" i="1"/>
  <c r="H44" i="1"/>
  <c r="H50" i="1"/>
  <c r="H56" i="1"/>
  <c r="H62" i="1"/>
  <c r="H68" i="1"/>
  <c r="H74" i="1"/>
  <c r="H80" i="1"/>
  <c r="H86" i="1"/>
  <c r="H92" i="1"/>
  <c r="H98" i="1"/>
  <c r="H104" i="1"/>
  <c r="H110" i="1"/>
  <c r="H116" i="1"/>
  <c r="H122" i="1"/>
  <c r="H128" i="1"/>
  <c r="H134" i="1"/>
  <c r="H140" i="1"/>
  <c r="H146" i="1"/>
  <c r="H152" i="1"/>
  <c r="H158" i="1"/>
  <c r="H112" i="1"/>
  <c r="H15" i="1"/>
  <c r="H33" i="1"/>
  <c r="H45" i="1"/>
  <c r="H51" i="1"/>
  <c r="H57" i="1"/>
  <c r="H63" i="1"/>
  <c r="H69" i="1"/>
  <c r="H75" i="1"/>
  <c r="H87" i="1"/>
  <c r="H93" i="1"/>
  <c r="H99" i="1"/>
  <c r="H105" i="1"/>
  <c r="H111" i="1"/>
  <c r="H117" i="1"/>
  <c r="H123" i="1"/>
  <c r="H129" i="1"/>
  <c r="H135" i="1"/>
  <c r="H141" i="1"/>
  <c r="H147" i="1"/>
  <c r="H153" i="1"/>
  <c r="H159" i="1"/>
  <c r="S4" i="6"/>
  <c r="S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I3" i="6"/>
  <c r="E3" i="6"/>
  <c r="H3" i="6"/>
  <c r="J3" i="6"/>
  <c r="E2" i="6"/>
  <c r="S6" i="6"/>
  <c r="I6" i="6"/>
  <c r="E6" i="6"/>
  <c r="I9" i="6"/>
  <c r="H11" i="1" s="1"/>
  <c r="E9" i="6"/>
  <c r="J4" i="6"/>
  <c r="E4" i="6"/>
  <c r="I2" i="6"/>
  <c r="H2" i="1" s="1"/>
  <c r="S2" i="6"/>
  <c r="J2" i="6"/>
  <c r="J9" i="6"/>
  <c r="H9" i="6"/>
  <c r="H6" i="6"/>
  <c r="J6" i="6"/>
  <c r="A2" i="4" l="1"/>
  <c r="C2" i="4"/>
  <c r="Q86" i="4"/>
  <c r="Q50" i="4"/>
  <c r="Q14" i="4"/>
  <c r="Q96" i="4"/>
  <c r="Q60" i="4"/>
  <c r="Q24" i="4"/>
  <c r="Q64" i="4"/>
  <c r="Q28" i="4"/>
  <c r="Q93" i="4"/>
  <c r="Q57" i="4"/>
  <c r="Q21" i="4"/>
  <c r="Q73" i="4"/>
  <c r="Q37" i="4"/>
  <c r="Q83" i="4"/>
  <c r="Q47" i="4"/>
  <c r="Q11" i="4"/>
  <c r="Q16" i="4"/>
  <c r="W2" i="1"/>
  <c r="W22" i="1"/>
  <c r="H27" i="1"/>
  <c r="H8" i="1"/>
  <c r="H5" i="1"/>
  <c r="H7" i="1"/>
  <c r="K2" i="4"/>
  <c r="O2" i="4"/>
  <c r="AE27" i="4"/>
  <c r="AE40" i="4"/>
  <c r="R2" i="4"/>
  <c r="S2" i="4" s="1" a="1"/>
  <c r="S2" i="4" s="1"/>
  <c r="U2" i="4" s="1" a="1"/>
  <c r="U2" i="4" s="1"/>
  <c r="P2" i="4" a="1"/>
  <c r="P2" i="4" s="1"/>
  <c r="AE4" i="4"/>
  <c r="AE7" i="4"/>
  <c r="AE6" i="4"/>
  <c r="AE9" i="4"/>
  <c r="AE3" i="4"/>
  <c r="W29" i="4"/>
  <c r="W33" i="4"/>
  <c r="W37" i="4"/>
  <c r="AE37" i="4" s="1"/>
  <c r="W41" i="4"/>
  <c r="AE41" i="4" s="1"/>
  <c r="W45" i="4"/>
  <c r="W49" i="4"/>
  <c r="W53" i="4"/>
  <c r="W57" i="4"/>
  <c r="W61" i="4"/>
  <c r="W65" i="4"/>
  <c r="W69" i="4"/>
  <c r="W73" i="4"/>
  <c r="W77" i="4"/>
  <c r="W81" i="4"/>
  <c r="W85" i="4"/>
  <c r="W89" i="4"/>
  <c r="W93" i="4"/>
  <c r="W97" i="4"/>
  <c r="W101" i="4"/>
  <c r="AE101" i="4" s="1"/>
  <c r="W105" i="4"/>
  <c r="AE105" i="4" s="1"/>
  <c r="W109" i="4"/>
  <c r="W113" i="4"/>
  <c r="AE113" i="4" s="1"/>
  <c r="W117" i="4"/>
  <c r="AE117" i="4" s="1"/>
  <c r="W121" i="4"/>
  <c r="AE121" i="4" s="1"/>
  <c r="W125" i="4"/>
  <c r="AE125" i="4" s="1"/>
  <c r="W129" i="4"/>
  <c r="AE129" i="4" s="1"/>
  <c r="W133" i="4"/>
  <c r="AE133" i="4" s="1"/>
  <c r="W137" i="4"/>
  <c r="AE137" i="4" s="1"/>
  <c r="W26" i="4"/>
  <c r="AE26" i="4" s="1"/>
  <c r="W31" i="4"/>
  <c r="AE31" i="4" s="1"/>
  <c r="W36" i="4"/>
  <c r="AE36" i="4" s="1"/>
  <c r="W42" i="4"/>
  <c r="AE42" i="4" s="1"/>
  <c r="W47" i="4"/>
  <c r="W52" i="4"/>
  <c r="W58" i="4"/>
  <c r="W63" i="4"/>
  <c r="W68" i="4"/>
  <c r="W74" i="4"/>
  <c r="W79" i="4"/>
  <c r="W84" i="4"/>
  <c r="W90" i="4"/>
  <c r="W95" i="4"/>
  <c r="W100" i="4"/>
  <c r="AE100" i="4" s="1"/>
  <c r="W106" i="4"/>
  <c r="AE106" i="4" s="1"/>
  <c r="W111" i="4"/>
  <c r="AE111" i="4" s="1"/>
  <c r="W116" i="4"/>
  <c r="AE116" i="4" s="1"/>
  <c r="W122" i="4"/>
  <c r="AE122" i="4" s="1"/>
  <c r="W127" i="4"/>
  <c r="AE127" i="4" s="1"/>
  <c r="W132" i="4"/>
  <c r="AE132" i="4" s="1"/>
  <c r="W138" i="4"/>
  <c r="AE138" i="4" s="1"/>
  <c r="W142" i="4"/>
  <c r="W146" i="4"/>
  <c r="AE146" i="4" s="1"/>
  <c r="W150" i="4"/>
  <c r="AE150" i="4" s="1"/>
  <c r="W30" i="4"/>
  <c r="AE30" i="4" s="1"/>
  <c r="W38" i="4"/>
  <c r="AE38" i="4" s="1"/>
  <c r="W44" i="4"/>
  <c r="W51" i="4"/>
  <c r="W59" i="4"/>
  <c r="W66" i="4"/>
  <c r="W72" i="4"/>
  <c r="W80" i="4"/>
  <c r="W87" i="4"/>
  <c r="W94" i="4"/>
  <c r="W102" i="4"/>
  <c r="AE102" i="4" s="1"/>
  <c r="W108" i="4"/>
  <c r="AE108" i="4" s="1"/>
  <c r="W115" i="4"/>
  <c r="AE115" i="4" s="1"/>
  <c r="W123" i="4"/>
  <c r="AE123" i="4" s="1"/>
  <c r="W130" i="4"/>
  <c r="AE130" i="4" s="1"/>
  <c r="W136" i="4"/>
  <c r="W143" i="4"/>
  <c r="AE143" i="4" s="1"/>
  <c r="W148" i="4"/>
  <c r="AE148" i="4" s="1"/>
  <c r="W28" i="4"/>
  <c r="W39" i="4"/>
  <c r="AE39" i="4" s="1"/>
  <c r="W48" i="4"/>
  <c r="W56" i="4"/>
  <c r="W67" i="4"/>
  <c r="W76" i="4"/>
  <c r="W86" i="4"/>
  <c r="W96" i="4"/>
  <c r="W104" i="4"/>
  <c r="AE104" i="4" s="1"/>
  <c r="W114" i="4"/>
  <c r="W124" i="4"/>
  <c r="AE124" i="4" s="1"/>
  <c r="W134" i="4"/>
  <c r="AE134" i="4" s="1"/>
  <c r="W141" i="4"/>
  <c r="AE141" i="4" s="1"/>
  <c r="W149" i="4"/>
  <c r="AE149" i="4" s="1"/>
  <c r="W34" i="4"/>
  <c r="AE34" i="4" s="1"/>
  <c r="W46" i="4"/>
  <c r="W60" i="4"/>
  <c r="W71" i="4"/>
  <c r="W83" i="4"/>
  <c r="W98" i="4"/>
  <c r="W110" i="4"/>
  <c r="AE110" i="4" s="1"/>
  <c r="W120" i="4"/>
  <c r="AE120" i="4" s="1"/>
  <c r="W135" i="4"/>
  <c r="AE135" i="4" s="1"/>
  <c r="W145" i="4"/>
  <c r="AE145" i="4" s="1"/>
  <c r="W35" i="4"/>
  <c r="AE35" i="4" s="1"/>
  <c r="W50" i="4"/>
  <c r="W62" i="4"/>
  <c r="W75" i="4"/>
  <c r="W88" i="4"/>
  <c r="W99" i="4"/>
  <c r="W112" i="4"/>
  <c r="AE112" i="4" s="1"/>
  <c r="W126" i="4"/>
  <c r="AE126" i="4" s="1"/>
  <c r="W139" i="4"/>
  <c r="W147" i="4"/>
  <c r="AE147" i="4" s="1"/>
  <c r="W43" i="4"/>
  <c r="W55" i="4"/>
  <c r="W82" i="4"/>
  <c r="W107" i="4"/>
  <c r="AE107" i="4" s="1"/>
  <c r="W131" i="4"/>
  <c r="AE131" i="4" s="1"/>
  <c r="W144" i="4"/>
  <c r="W32" i="4"/>
  <c r="AE32" i="4" s="1"/>
  <c r="W70" i="4"/>
  <c r="W92" i="4"/>
  <c r="W119" i="4"/>
  <c r="AE119" i="4" s="1"/>
  <c r="W12" i="4"/>
  <c r="AE12" i="4" s="1"/>
  <c r="W18" i="4"/>
  <c r="W24" i="4"/>
  <c r="W13" i="4"/>
  <c r="AE13" i="4" s="1"/>
  <c r="W19" i="4"/>
  <c r="W25" i="4"/>
  <c r="W14" i="4"/>
  <c r="W20" i="4"/>
  <c r="W15" i="4"/>
  <c r="AE15" i="4" s="1"/>
  <c r="W21" i="4"/>
  <c r="W10" i="4"/>
  <c r="W16" i="4"/>
  <c r="W22" i="4"/>
  <c r="AE22" i="4" s="1"/>
  <c r="W11" i="4"/>
  <c r="W17" i="4"/>
  <c r="AE17" i="4" s="1"/>
  <c r="W23" i="4"/>
  <c r="AE144" i="4"/>
  <c r="AE128" i="4"/>
  <c r="AE142" i="4"/>
  <c r="AE140" i="4"/>
  <c r="AE139" i="4"/>
  <c r="AE136" i="4"/>
  <c r="AE151" i="4"/>
  <c r="AE103" i="4"/>
  <c r="AE118" i="4"/>
  <c r="AE114" i="4"/>
  <c r="AE109" i="4"/>
  <c r="S8" i="4"/>
  <c r="U8" i="4" s="1" a="1"/>
  <c r="U8" i="4" s="1"/>
  <c r="V8" i="4" a="1"/>
  <c r="V8" i="4" s="1"/>
  <c r="S21" i="4"/>
  <c r="U21" i="4" s="1" a="1"/>
  <c r="U21" i="4" s="1"/>
  <c r="V21" i="4" a="1"/>
  <c r="V21" i="4" s="1"/>
  <c r="S33" i="4"/>
  <c r="U33" i="4" s="1" a="1"/>
  <c r="U33" i="4" s="1"/>
  <c r="V33" i="4" a="1"/>
  <c r="V33" i="4" s="1"/>
  <c r="S24" i="4" a="1"/>
  <c r="S24" i="4" s="1"/>
  <c r="U24" i="4" s="1" a="1"/>
  <c r="U24" i="4" s="1"/>
  <c r="S10" i="4" a="1"/>
  <c r="S10" i="4" s="1"/>
  <c r="U10" i="4" s="1" a="1"/>
  <c r="U10" i="4" s="1"/>
  <c r="S14" i="4" a="1"/>
  <c r="S14" i="4" s="1"/>
  <c r="U14" i="4" s="1" a="1"/>
  <c r="U14" i="4" s="1"/>
  <c r="S19" i="4" a="1"/>
  <c r="S19" i="4" s="1"/>
  <c r="U19" i="4" s="1" a="1"/>
  <c r="U19" i="4" s="1"/>
  <c r="S125" i="4" a="1"/>
  <c r="S93" i="4" a="1"/>
  <c r="S93" i="4" s="1"/>
  <c r="U93" i="4" s="1" a="1"/>
  <c r="U93" i="4" s="1"/>
  <c r="S61" i="4" a="1"/>
  <c r="S61" i="4" s="1"/>
  <c r="U61" i="4" s="1" a="1"/>
  <c r="U61" i="4" s="1"/>
  <c r="S130" i="4" a="1"/>
  <c r="S98" i="4" a="1"/>
  <c r="S98" i="4" s="1"/>
  <c r="U98" i="4" s="1" a="1"/>
  <c r="U98" i="4" s="1"/>
  <c r="S66" i="4" a="1"/>
  <c r="S66" i="4" s="1"/>
  <c r="U66" i="4" s="1" a="1"/>
  <c r="U66" i="4" s="1"/>
  <c r="S129" i="4" a="1"/>
  <c r="S97" i="4" a="1"/>
  <c r="S97" i="4" s="1"/>
  <c r="U97" i="4" s="1" a="1"/>
  <c r="U97" i="4" s="1"/>
  <c r="S65" i="4" a="1"/>
  <c r="S65" i="4" s="1"/>
  <c r="U65" i="4" s="1" a="1"/>
  <c r="U65" i="4" s="1"/>
  <c r="S149" i="4" a="1"/>
  <c r="S149" i="4" s="1"/>
  <c r="U149" i="4" s="1" a="1"/>
  <c r="U149" i="4" s="1"/>
  <c r="S118" i="4" a="1"/>
  <c r="S86" i="4" a="1"/>
  <c r="S86" i="4" s="1"/>
  <c r="U86" i="4" s="1" a="1"/>
  <c r="U86" i="4" s="1"/>
  <c r="AE86" i="4" s="1"/>
  <c r="S54" i="4" a="1"/>
  <c r="S54" i="4" s="1"/>
  <c r="U54" i="4" s="1" a="1"/>
  <c r="U54" i="4" s="1"/>
  <c r="AE54" i="4" s="1"/>
  <c r="S144" i="4" a="1"/>
  <c r="S144" i="4" s="1"/>
  <c r="U144" i="4" s="1" a="1"/>
  <c r="U144" i="4" s="1"/>
  <c r="S128" i="4" a="1"/>
  <c r="S128" i="4" s="1"/>
  <c r="U128" i="4" s="1" a="1"/>
  <c r="U128" i="4" s="1"/>
  <c r="S112" i="4" a="1"/>
  <c r="S112" i="4" s="1"/>
  <c r="U112" i="4" s="1" a="1"/>
  <c r="U112" i="4" s="1"/>
  <c r="S96" i="4" a="1"/>
  <c r="S96" i="4" s="1"/>
  <c r="U96" i="4" s="1" a="1"/>
  <c r="U96" i="4" s="1"/>
  <c r="S80" i="4" a="1"/>
  <c r="S80" i="4" s="1"/>
  <c r="U80" i="4" s="1" a="1"/>
  <c r="U80" i="4" s="1"/>
  <c r="S64" i="4" a="1"/>
  <c r="S64" i="4" s="1"/>
  <c r="U64" i="4" s="1" a="1"/>
  <c r="U64" i="4" s="1"/>
  <c r="AE64" i="4" s="1"/>
  <c r="S48" i="4" a="1"/>
  <c r="S48" i="4" s="1"/>
  <c r="U48" i="4" s="1" a="1"/>
  <c r="U48" i="4" s="1"/>
  <c r="S143" i="4" a="1"/>
  <c r="S143" i="4" s="1"/>
  <c r="U143" i="4" s="1" a="1"/>
  <c r="U143" i="4" s="1"/>
  <c r="S127" i="4" a="1"/>
  <c r="S127" i="4" s="1"/>
  <c r="U127" i="4" s="1" a="1"/>
  <c r="U127" i="4" s="1"/>
  <c r="S111" i="4" a="1"/>
  <c r="S111" i="4" s="1"/>
  <c r="U111" i="4" s="1" a="1"/>
  <c r="U111" i="4" s="1"/>
  <c r="S95" i="4" a="1"/>
  <c r="S79" i="4" a="1"/>
  <c r="S79" i="4" s="1"/>
  <c r="U79" i="4" s="1" a="1"/>
  <c r="U79" i="4" s="1"/>
  <c r="AE79" i="4" s="1"/>
  <c r="S63" i="4" a="1"/>
  <c r="S63" i="4" s="1"/>
  <c r="U63" i="4" s="1" a="1"/>
  <c r="U63" i="4" s="1"/>
  <c r="S47" i="4" a="1"/>
  <c r="S47" i="4" s="1"/>
  <c r="U47" i="4" s="1" a="1"/>
  <c r="U47" i="4" s="1"/>
  <c r="S5" i="4" a="1"/>
  <c r="S5" i="4" s="1"/>
  <c r="U5" i="4" s="1" a="1"/>
  <c r="U5" i="4" s="1"/>
  <c r="AE5" i="4" s="1"/>
  <c r="S11" i="4" a="1"/>
  <c r="S11" i="4" s="1"/>
  <c r="U11" i="4" s="1" a="1"/>
  <c r="U11" i="4" s="1"/>
  <c r="S16" i="4" a="1"/>
  <c r="S16" i="4" s="1"/>
  <c r="U16" i="4" s="1" a="1"/>
  <c r="U16" i="4" s="1"/>
  <c r="S20" i="4" a="1"/>
  <c r="S20" i="4" s="1"/>
  <c r="U20" i="4" s="1" a="1"/>
  <c r="U20" i="4" s="1"/>
  <c r="S25" i="4" a="1"/>
  <c r="S25" i="4" s="1"/>
  <c r="U25" i="4" s="1" a="1"/>
  <c r="U25" i="4" s="1"/>
  <c r="S147" i="4" a="1"/>
  <c r="S117" i="4" a="1"/>
  <c r="S117" i="4" s="1"/>
  <c r="U117" i="4" s="1" a="1"/>
  <c r="U117" i="4" s="1"/>
  <c r="S85" i="4" a="1"/>
  <c r="S85" i="4" s="1"/>
  <c r="U85" i="4" s="1" a="1"/>
  <c r="U85" i="4" s="1"/>
  <c r="S53" i="4" a="1"/>
  <c r="S53" i="4" s="1"/>
  <c r="U53" i="4" s="1" a="1"/>
  <c r="U53" i="4" s="1"/>
  <c r="S151" i="4" a="1"/>
  <c r="S151" i="4" s="1"/>
  <c r="U151" i="4" s="1" a="1"/>
  <c r="U151" i="4" s="1"/>
  <c r="S122" i="4" a="1"/>
  <c r="S122" i="4" s="1"/>
  <c r="U122" i="4" s="1" a="1"/>
  <c r="U122" i="4" s="1"/>
  <c r="S90" i="4" a="1"/>
  <c r="S90" i="4" s="1"/>
  <c r="U90" i="4" s="1" a="1"/>
  <c r="U90" i="4" s="1"/>
  <c r="S58" i="4" a="1"/>
  <c r="S58" i="4" s="1"/>
  <c r="U58" i="4" s="1" a="1"/>
  <c r="U58" i="4" s="1"/>
  <c r="S150" i="4" a="1"/>
  <c r="S121" i="4" a="1"/>
  <c r="S121" i="4" s="1"/>
  <c r="U121" i="4" s="1" a="1"/>
  <c r="U121" i="4" s="1"/>
  <c r="S89" i="4" a="1"/>
  <c r="S57" i="4" a="1"/>
  <c r="S142" i="4" a="1"/>
  <c r="S142" i="4" s="1"/>
  <c r="U142" i="4" s="1" a="1"/>
  <c r="U142" i="4" s="1"/>
  <c r="S110" i="4" a="1"/>
  <c r="S110" i="4" s="1"/>
  <c r="U110" i="4" s="1" a="1"/>
  <c r="U110" i="4" s="1"/>
  <c r="S78" i="4" a="1"/>
  <c r="S46" i="4" a="1"/>
  <c r="S46" i="4" s="1"/>
  <c r="U46" i="4" s="1" a="1"/>
  <c r="U46" i="4" s="1"/>
  <c r="AE46" i="4" s="1"/>
  <c r="S140" i="4" a="1"/>
  <c r="S140" i="4" s="1"/>
  <c r="U140" i="4" s="1" a="1"/>
  <c r="U140" i="4" s="1"/>
  <c r="S124" i="4" a="1"/>
  <c r="S124" i="4" s="1"/>
  <c r="U124" i="4" s="1" a="1"/>
  <c r="U124" i="4" s="1"/>
  <c r="S108" i="4" a="1"/>
  <c r="S108" i="4" s="1"/>
  <c r="U108" i="4" s="1" a="1"/>
  <c r="U108" i="4" s="1"/>
  <c r="S92" i="4" a="1"/>
  <c r="S92" i="4" s="1"/>
  <c r="U92" i="4" s="1" a="1"/>
  <c r="U92" i="4" s="1"/>
  <c r="S76" i="4" a="1"/>
  <c r="S76" i="4" s="1"/>
  <c r="U76" i="4" s="1" a="1"/>
  <c r="U76" i="4" s="1"/>
  <c r="S60" i="4" a="1"/>
  <c r="S44" i="4" a="1"/>
  <c r="S44" i="4" s="1"/>
  <c r="U44" i="4" s="1" a="1"/>
  <c r="U44" i="4" s="1"/>
  <c r="S139" i="4" a="1"/>
  <c r="S139" i="4" s="1"/>
  <c r="U139" i="4" s="1" a="1"/>
  <c r="U139" i="4" s="1"/>
  <c r="S123" i="4" a="1"/>
  <c r="S123" i="4" s="1"/>
  <c r="U123" i="4" s="1" a="1"/>
  <c r="U123" i="4" s="1"/>
  <c r="S107" i="4" a="1"/>
  <c r="S107" i="4" s="1"/>
  <c r="U107" i="4" s="1" a="1"/>
  <c r="U107" i="4" s="1"/>
  <c r="S91" i="4" a="1"/>
  <c r="S91" i="4" s="1"/>
  <c r="U91" i="4" s="1" a="1"/>
  <c r="U91" i="4" s="1"/>
  <c r="AE91" i="4" s="1"/>
  <c r="S75" i="4" a="1"/>
  <c r="S75" i="4" s="1"/>
  <c r="U75" i="4" s="1" a="1"/>
  <c r="U75" i="4" s="1"/>
  <c r="S59" i="4" a="1"/>
  <c r="S59" i="4" s="1"/>
  <c r="U59" i="4" s="1" a="1"/>
  <c r="U59" i="4" s="1"/>
  <c r="AE59" i="4" s="1"/>
  <c r="S43" i="4" a="1"/>
  <c r="S43" i="4" s="1"/>
  <c r="U43" i="4" s="1" a="1"/>
  <c r="U43" i="4" s="1"/>
  <c r="S141" i="4" a="1"/>
  <c r="S109" i="4" a="1"/>
  <c r="S109" i="4" s="1"/>
  <c r="U109" i="4" s="1" a="1"/>
  <c r="U109" i="4" s="1"/>
  <c r="S77" i="4" a="1"/>
  <c r="S77" i="4" s="1"/>
  <c r="U77" i="4" s="1" a="1"/>
  <c r="U77" i="4" s="1"/>
  <c r="S45" i="4" a="1"/>
  <c r="S45" i="4" s="1"/>
  <c r="U45" i="4" s="1" a="1"/>
  <c r="U45" i="4" s="1"/>
  <c r="S146" i="4" a="1"/>
  <c r="S146" i="4" s="1"/>
  <c r="U146" i="4" s="1" a="1"/>
  <c r="U146" i="4" s="1"/>
  <c r="S114" i="4" a="1"/>
  <c r="S114" i="4" s="1"/>
  <c r="U114" i="4" s="1" a="1"/>
  <c r="U114" i="4" s="1"/>
  <c r="S82" i="4" a="1"/>
  <c r="S50" i="4" a="1"/>
  <c r="S145" i="4" a="1"/>
  <c r="S145" i="4" s="1"/>
  <c r="U145" i="4" s="1" a="1"/>
  <c r="U145" i="4" s="1"/>
  <c r="S113" i="4" a="1"/>
  <c r="S113" i="4" s="1"/>
  <c r="U113" i="4" s="1" a="1"/>
  <c r="U113" i="4" s="1"/>
  <c r="S81" i="4" a="1"/>
  <c r="S81" i="4" s="1"/>
  <c r="U81" i="4" s="1" a="1"/>
  <c r="U81" i="4" s="1"/>
  <c r="S49" i="4" a="1"/>
  <c r="S134" i="4" a="1"/>
  <c r="S134" i="4" s="1"/>
  <c r="U134" i="4" s="1" a="1"/>
  <c r="U134" i="4" s="1"/>
  <c r="S102" i="4" a="1"/>
  <c r="S102" i="4" s="1"/>
  <c r="U102" i="4" s="1" a="1"/>
  <c r="U102" i="4" s="1"/>
  <c r="S70" i="4" a="1"/>
  <c r="S70" i="4" s="1"/>
  <c r="U70" i="4" s="1" a="1"/>
  <c r="U70" i="4" s="1"/>
  <c r="S136" i="4" a="1"/>
  <c r="S136" i="4" s="1"/>
  <c r="U136" i="4" s="1" a="1"/>
  <c r="U136" i="4" s="1"/>
  <c r="S120" i="4" a="1"/>
  <c r="S120" i="4" s="1"/>
  <c r="U120" i="4" s="1" a="1"/>
  <c r="U120" i="4" s="1"/>
  <c r="S104" i="4" a="1"/>
  <c r="S104" i="4" s="1"/>
  <c r="U104" i="4" s="1" a="1"/>
  <c r="U104" i="4" s="1"/>
  <c r="S88" i="4" a="1"/>
  <c r="S88" i="4" s="1"/>
  <c r="U88" i="4" s="1" a="1"/>
  <c r="U88" i="4" s="1"/>
  <c r="S72" i="4" a="1"/>
  <c r="S72" i="4" s="1"/>
  <c r="U72" i="4" s="1" a="1"/>
  <c r="U72" i="4" s="1"/>
  <c r="S56" i="4" a="1"/>
  <c r="S56" i="4" s="1"/>
  <c r="U56" i="4" s="1" a="1"/>
  <c r="U56" i="4" s="1"/>
  <c r="S135" i="4" a="1"/>
  <c r="S135" i="4" s="1"/>
  <c r="U135" i="4" s="1" a="1"/>
  <c r="U135" i="4" s="1"/>
  <c r="S119" i="4" a="1"/>
  <c r="S103" i="4" a="1"/>
  <c r="S103" i="4" s="1"/>
  <c r="U103" i="4" s="1" a="1"/>
  <c r="U103" i="4" s="1"/>
  <c r="S87" i="4" a="1"/>
  <c r="S87" i="4" s="1"/>
  <c r="U87" i="4" s="1" a="1"/>
  <c r="U87" i="4" s="1"/>
  <c r="AE87" i="4" s="1"/>
  <c r="S71" i="4" a="1"/>
  <c r="S71" i="4" s="1"/>
  <c r="U71" i="4" s="1" a="1"/>
  <c r="U71" i="4" s="1"/>
  <c r="S55" i="4" a="1"/>
  <c r="S55" i="4" s="1"/>
  <c r="U55" i="4" s="1" a="1"/>
  <c r="U55" i="4" s="1"/>
  <c r="S18" i="4" a="1"/>
  <c r="S23" i="4" a="1"/>
  <c r="S23" i="4" s="1"/>
  <c r="U23" i="4" s="1" a="1"/>
  <c r="U23" i="4" s="1"/>
  <c r="S29" i="4" a="1"/>
  <c r="S28" i="4" a="1"/>
  <c r="S28" i="4" s="1"/>
  <c r="U28" i="4" s="1" a="1"/>
  <c r="U28" i="4" s="1"/>
  <c r="S133" i="4" a="1"/>
  <c r="S133" i="4" s="1"/>
  <c r="U133" i="4" s="1" a="1"/>
  <c r="U133" i="4" s="1"/>
  <c r="S101" i="4" a="1"/>
  <c r="S101" i="4" s="1"/>
  <c r="U101" i="4" s="1" a="1"/>
  <c r="U101" i="4" s="1"/>
  <c r="S69" i="4" a="1"/>
  <c r="S138" i="4" a="1"/>
  <c r="S138" i="4" s="1"/>
  <c r="U138" i="4" s="1" a="1"/>
  <c r="U138" i="4" s="1"/>
  <c r="S106" i="4" a="1"/>
  <c r="S106" i="4" s="1"/>
  <c r="U106" i="4" s="1" a="1"/>
  <c r="U106" i="4" s="1"/>
  <c r="S74" i="4" a="1"/>
  <c r="S74" i="4" s="1"/>
  <c r="U74" i="4" s="1" a="1"/>
  <c r="U74" i="4" s="1"/>
  <c r="AE74" i="4" s="1"/>
  <c r="S137" i="4" a="1"/>
  <c r="S137" i="4" s="1"/>
  <c r="U137" i="4" s="1" a="1"/>
  <c r="U137" i="4" s="1"/>
  <c r="S105" i="4" a="1"/>
  <c r="S73" i="4" a="1"/>
  <c r="S73" i="4" s="1"/>
  <c r="U73" i="4" s="1" a="1"/>
  <c r="U73" i="4" s="1"/>
  <c r="S126" i="4" a="1"/>
  <c r="S126" i="4" s="1"/>
  <c r="U126" i="4" s="1" a="1"/>
  <c r="U126" i="4" s="1"/>
  <c r="S94" i="4" a="1"/>
  <c r="S94" i="4" s="1"/>
  <c r="U94" i="4" s="1" a="1"/>
  <c r="U94" i="4" s="1"/>
  <c r="AE94" i="4" s="1"/>
  <c r="S62" i="4" a="1"/>
  <c r="S62" i="4" s="1"/>
  <c r="U62" i="4" s="1" a="1"/>
  <c r="U62" i="4" s="1"/>
  <c r="S148" i="4" a="1"/>
  <c r="S148" i="4" s="1"/>
  <c r="U148" i="4" s="1" a="1"/>
  <c r="U148" i="4" s="1"/>
  <c r="S132" i="4" a="1"/>
  <c r="S132" i="4" s="1"/>
  <c r="U132" i="4" s="1" a="1"/>
  <c r="U132" i="4" s="1"/>
  <c r="S116" i="4" a="1"/>
  <c r="S116" i="4" s="1"/>
  <c r="U116" i="4" s="1" a="1"/>
  <c r="U116" i="4" s="1"/>
  <c r="S100" i="4" a="1"/>
  <c r="S100" i="4" s="1"/>
  <c r="U100" i="4" s="1" a="1"/>
  <c r="U100" i="4" s="1"/>
  <c r="S84" i="4" a="1"/>
  <c r="S84" i="4" s="1"/>
  <c r="U84" i="4" s="1" a="1"/>
  <c r="U84" i="4" s="1"/>
  <c r="S68" i="4" a="1"/>
  <c r="S52" i="4" a="1"/>
  <c r="S131" i="4" a="1"/>
  <c r="S131" i="4" s="1"/>
  <c r="U131" i="4" s="1" a="1"/>
  <c r="U131" i="4" s="1"/>
  <c r="S115" i="4" a="1"/>
  <c r="S115" i="4" s="1"/>
  <c r="U115" i="4" s="1" a="1"/>
  <c r="U115" i="4" s="1"/>
  <c r="S99" i="4" a="1"/>
  <c r="S99" i="4" s="1"/>
  <c r="U99" i="4" s="1" a="1"/>
  <c r="U99" i="4" s="1"/>
  <c r="AE99" i="4" s="1"/>
  <c r="S83" i="4" a="1"/>
  <c r="S83" i="4" s="1"/>
  <c r="U83" i="4" s="1" a="1"/>
  <c r="U83" i="4" s="1"/>
  <c r="S67" i="4" a="1"/>
  <c r="S67" i="4" s="1"/>
  <c r="U67" i="4" s="1" a="1"/>
  <c r="U67" i="4" s="1"/>
  <c r="S51" i="4" a="1"/>
  <c r="S51" i="4" s="1"/>
  <c r="U51" i="4" s="1" a="1"/>
  <c r="U51" i="4" s="1"/>
  <c r="D111" i="8"/>
  <c r="G111" i="8" s="1"/>
  <c r="C111" i="8"/>
  <c r="F111" i="8" s="1"/>
  <c r="E111" i="8"/>
  <c r="H111" i="8" s="1"/>
  <c r="E130" i="8"/>
  <c r="H130" i="8" s="1"/>
  <c r="C130" i="8"/>
  <c r="F130" i="8" s="1"/>
  <c r="D130" i="8"/>
  <c r="G130" i="8" s="1"/>
  <c r="C121" i="8"/>
  <c r="F121" i="8" s="1"/>
  <c r="D121" i="8"/>
  <c r="G121" i="8" s="1"/>
  <c r="E121" i="8"/>
  <c r="H121" i="8" s="1"/>
  <c r="C141" i="8"/>
  <c r="F141" i="8" s="1"/>
  <c r="D141" i="8"/>
  <c r="G141" i="8" s="1"/>
  <c r="E141" i="8"/>
  <c r="H141" i="8" s="1"/>
  <c r="D119" i="8"/>
  <c r="G119" i="8" s="1"/>
  <c r="C119" i="8"/>
  <c r="F119" i="8" s="1"/>
  <c r="E119" i="8"/>
  <c r="H119" i="8" s="1"/>
  <c r="C129" i="8"/>
  <c r="F129" i="8" s="1"/>
  <c r="D129" i="8"/>
  <c r="G129" i="8" s="1"/>
  <c r="E129" i="8"/>
  <c r="H129" i="8" s="1"/>
  <c r="C133" i="8"/>
  <c r="F133" i="8" s="1"/>
  <c r="D133" i="8"/>
  <c r="G133" i="8" s="1"/>
  <c r="E133" i="8"/>
  <c r="H133" i="8" s="1"/>
  <c r="D123" i="8"/>
  <c r="G123" i="8" s="1"/>
  <c r="C123" i="8"/>
  <c r="F123" i="8" s="1"/>
  <c r="E123" i="8"/>
  <c r="H123" i="8" s="1"/>
  <c r="D112" i="8"/>
  <c r="G112" i="8" s="1"/>
  <c r="E112" i="8"/>
  <c r="H112" i="8" s="1"/>
  <c r="C112" i="8"/>
  <c r="F112" i="8" s="1"/>
  <c r="C137" i="8"/>
  <c r="F137" i="8" s="1"/>
  <c r="D137" i="8"/>
  <c r="G137" i="8" s="1"/>
  <c r="E137" i="8"/>
  <c r="H137" i="8" s="1"/>
  <c r="E110" i="8"/>
  <c r="H110" i="8" s="1"/>
  <c r="C110" i="8"/>
  <c r="F110" i="8" s="1"/>
  <c r="D110" i="8"/>
  <c r="G110" i="8" s="1"/>
  <c r="D151" i="8"/>
  <c r="G151" i="8" s="1"/>
  <c r="E151" i="8"/>
  <c r="H151" i="8" s="1"/>
  <c r="C151" i="8"/>
  <c r="F151" i="8" s="1"/>
  <c r="D148" i="8"/>
  <c r="G148" i="8" s="1"/>
  <c r="E148" i="8"/>
  <c r="H148" i="8" s="1"/>
  <c r="C148" i="8"/>
  <c r="F148" i="8" s="1"/>
  <c r="E114" i="8"/>
  <c r="H114" i="8" s="1"/>
  <c r="C114" i="8"/>
  <c r="F114" i="8" s="1"/>
  <c r="D114" i="8"/>
  <c r="G114" i="8" s="1"/>
  <c r="E138" i="8"/>
  <c r="H138" i="8" s="1"/>
  <c r="C138" i="8"/>
  <c r="F138" i="8" s="1"/>
  <c r="D138" i="8"/>
  <c r="G138" i="8" s="1"/>
  <c r="D116" i="8"/>
  <c r="G116" i="8" s="1"/>
  <c r="E116" i="8"/>
  <c r="H116" i="8" s="1"/>
  <c r="C116" i="8"/>
  <c r="F116" i="8" s="1"/>
  <c r="E122" i="8"/>
  <c r="H122" i="8" s="1"/>
  <c r="C122" i="8"/>
  <c r="F122" i="8" s="1"/>
  <c r="D122" i="8"/>
  <c r="G122" i="8" s="1"/>
  <c r="D131" i="8"/>
  <c r="G131" i="8" s="1"/>
  <c r="C131" i="8"/>
  <c r="F131" i="8" s="1"/>
  <c r="E131" i="8"/>
  <c r="H131" i="8" s="1"/>
  <c r="D120" i="8"/>
  <c r="G120" i="8" s="1"/>
  <c r="E120" i="8"/>
  <c r="H120" i="8" s="1"/>
  <c r="C120" i="8"/>
  <c r="F120" i="8" s="1"/>
  <c r="E106" i="8"/>
  <c r="H106" i="8" s="1"/>
  <c r="C106" i="8"/>
  <c r="F106" i="8" s="1"/>
  <c r="D106" i="8"/>
  <c r="G106" i="8" s="1"/>
  <c r="E134" i="8"/>
  <c r="H134" i="8" s="1"/>
  <c r="C134" i="8"/>
  <c r="F134" i="8" s="1"/>
  <c r="D134" i="8"/>
  <c r="G134" i="8" s="1"/>
  <c r="C109" i="8"/>
  <c r="F109" i="8" s="1"/>
  <c r="D109" i="8"/>
  <c r="G109" i="8" s="1"/>
  <c r="E109" i="8"/>
  <c r="H109" i="8" s="1"/>
  <c r="E146" i="8"/>
  <c r="H146" i="8" s="1"/>
  <c r="C146" i="8"/>
  <c r="F146" i="8" s="1"/>
  <c r="D146" i="8"/>
  <c r="G146" i="8" s="1"/>
  <c r="D149" i="8"/>
  <c r="G149" i="8" s="1"/>
  <c r="E149" i="8"/>
  <c r="H149" i="8" s="1"/>
  <c r="C149" i="8"/>
  <c r="F149" i="8" s="1"/>
  <c r="D144" i="8"/>
  <c r="G144" i="8" s="1"/>
  <c r="E144" i="8"/>
  <c r="H144" i="8" s="1"/>
  <c r="C144" i="8"/>
  <c r="F144" i="8" s="1"/>
  <c r="D108" i="8"/>
  <c r="G108" i="8" s="1"/>
  <c r="E108" i="8"/>
  <c r="H108" i="8" s="1"/>
  <c r="C108" i="8"/>
  <c r="F108" i="8" s="1"/>
  <c r="D135" i="8"/>
  <c r="G135" i="8" s="1"/>
  <c r="C135" i="8"/>
  <c r="F135" i="8" s="1"/>
  <c r="E135" i="8"/>
  <c r="H135" i="8" s="1"/>
  <c r="C145" i="8"/>
  <c r="F145" i="8" s="1"/>
  <c r="D145" i="8"/>
  <c r="G145" i="8" s="1"/>
  <c r="E145" i="8"/>
  <c r="H145" i="8" s="1"/>
  <c r="C113" i="8"/>
  <c r="F113" i="8" s="1"/>
  <c r="D113" i="8"/>
  <c r="G113" i="8" s="1"/>
  <c r="E113" i="8"/>
  <c r="H113" i="8" s="1"/>
  <c r="D128" i="8"/>
  <c r="G128" i="8" s="1"/>
  <c r="E128" i="8"/>
  <c r="H128" i="8" s="1"/>
  <c r="C128" i="8"/>
  <c r="F128" i="8" s="1"/>
  <c r="C117" i="8"/>
  <c r="F117" i="8" s="1"/>
  <c r="D117" i="8"/>
  <c r="G117" i="8" s="1"/>
  <c r="E117" i="8"/>
  <c r="H117" i="8" s="1"/>
  <c r="C105" i="8"/>
  <c r="F105" i="8" s="1"/>
  <c r="D105" i="8"/>
  <c r="G105" i="8" s="1"/>
  <c r="E105" i="8"/>
  <c r="H105" i="8" s="1"/>
  <c r="E147" i="8"/>
  <c r="H147" i="8" s="1"/>
  <c r="C147" i="8"/>
  <c r="F147" i="8" s="1"/>
  <c r="D147" i="8"/>
  <c r="G147" i="8" s="1"/>
  <c r="E126" i="8"/>
  <c r="H126" i="8" s="1"/>
  <c r="C126" i="8"/>
  <c r="F126" i="8" s="1"/>
  <c r="D126" i="8"/>
  <c r="G126" i="8" s="1"/>
  <c r="D107" i="8"/>
  <c r="G107" i="8" s="1"/>
  <c r="C107" i="8"/>
  <c r="F107" i="8" s="1"/>
  <c r="E107" i="8"/>
  <c r="H107" i="8" s="1"/>
  <c r="D124" i="8"/>
  <c r="G124" i="8" s="1"/>
  <c r="E124" i="8"/>
  <c r="H124" i="8" s="1"/>
  <c r="C124" i="8"/>
  <c r="F124" i="8" s="1"/>
  <c r="E142" i="8"/>
  <c r="H142" i="8" s="1"/>
  <c r="C142" i="8"/>
  <c r="F142" i="8" s="1"/>
  <c r="D142" i="8"/>
  <c r="G142" i="8" s="1"/>
  <c r="D127" i="8"/>
  <c r="G127" i="8" s="1"/>
  <c r="C127" i="8"/>
  <c r="F127" i="8" s="1"/>
  <c r="E127" i="8"/>
  <c r="H127" i="8" s="1"/>
  <c r="D139" i="8"/>
  <c r="G139" i="8" s="1"/>
  <c r="C139" i="8"/>
  <c r="F139" i="8" s="1"/>
  <c r="E139" i="8"/>
  <c r="H139" i="8" s="1"/>
  <c r="E150" i="8"/>
  <c r="H150" i="8" s="1"/>
  <c r="C150" i="8"/>
  <c r="F150" i="8" s="1"/>
  <c r="D150" i="8"/>
  <c r="G150" i="8" s="1"/>
  <c r="D132" i="8"/>
  <c r="G132" i="8" s="1"/>
  <c r="E132" i="8"/>
  <c r="H132" i="8" s="1"/>
  <c r="C132" i="8"/>
  <c r="F132" i="8" s="1"/>
  <c r="D143" i="8"/>
  <c r="G143" i="8" s="1"/>
  <c r="C143" i="8"/>
  <c r="F143" i="8" s="1"/>
  <c r="E143" i="8"/>
  <c r="H143" i="8" s="1"/>
  <c r="D136" i="8"/>
  <c r="G136" i="8" s="1"/>
  <c r="E136" i="8"/>
  <c r="H136" i="8" s="1"/>
  <c r="C136" i="8"/>
  <c r="F136" i="8" s="1"/>
  <c r="C125" i="8"/>
  <c r="F125" i="8" s="1"/>
  <c r="D125" i="8"/>
  <c r="G125" i="8" s="1"/>
  <c r="E125" i="8"/>
  <c r="H125" i="8" s="1"/>
  <c r="D115" i="8"/>
  <c r="G115" i="8" s="1"/>
  <c r="C115" i="8"/>
  <c r="F115" i="8" s="1"/>
  <c r="E115" i="8"/>
  <c r="H115" i="8" s="1"/>
  <c r="E104" i="8"/>
  <c r="H104" i="8" s="1"/>
  <c r="D104" i="8"/>
  <c r="G104" i="8" s="1"/>
  <c r="C104" i="8"/>
  <c r="F104" i="8" s="1"/>
  <c r="D140" i="8"/>
  <c r="G140" i="8" s="1"/>
  <c r="E140" i="8"/>
  <c r="H140" i="8" s="1"/>
  <c r="C140" i="8"/>
  <c r="F140" i="8" s="1"/>
  <c r="E118" i="8"/>
  <c r="H118" i="8" s="1"/>
  <c r="C118" i="8"/>
  <c r="F118" i="8" s="1"/>
  <c r="D118" i="8"/>
  <c r="G118" i="8" s="1"/>
  <c r="W31" i="1"/>
  <c r="H25" i="1"/>
  <c r="H22" i="1"/>
  <c r="H21" i="1"/>
  <c r="H28" i="1"/>
  <c r="W2" i="4" a="1"/>
  <c r="H9" i="1"/>
  <c r="H6" i="1"/>
  <c r="H3" i="1"/>
  <c r="H10" i="1"/>
  <c r="H81" i="1"/>
  <c r="L2" i="4"/>
  <c r="M2" i="4" s="1" a="1"/>
  <c r="M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F2" i="4"/>
  <c r="G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D2" i="4"/>
  <c r="E2" i="4" s="1"/>
  <c r="D4" i="1" l="1" a="1"/>
  <c r="D4" i="1" s="1"/>
  <c r="D5" i="1" a="1"/>
  <c r="D5" i="1" s="1"/>
  <c r="D6" i="1" a="1"/>
  <c r="D6" i="1" s="1"/>
  <c r="D7" i="1" a="1"/>
  <c r="D7" i="1" s="1"/>
  <c r="D3" i="1" a="1"/>
  <c r="D3" i="1" s="1"/>
  <c r="D13" i="1" a="1"/>
  <c r="D13" i="1" s="1"/>
  <c r="D19" i="1" a="1"/>
  <c r="D19" i="1" s="1"/>
  <c r="D25" i="1" a="1"/>
  <c r="D25" i="1" s="1"/>
  <c r="D31" i="1" a="1"/>
  <c r="D31" i="1" s="1"/>
  <c r="D37" i="1" a="1"/>
  <c r="D37" i="1" s="1"/>
  <c r="D43" i="1" a="1"/>
  <c r="D43" i="1" s="1"/>
  <c r="D49" i="1" a="1"/>
  <c r="D49" i="1" s="1"/>
  <c r="D55" i="1" a="1"/>
  <c r="D55" i="1" s="1"/>
  <c r="D61" i="1" a="1"/>
  <c r="D61" i="1" s="1"/>
  <c r="D67" i="1" a="1"/>
  <c r="D67" i="1" s="1"/>
  <c r="D73" i="1" a="1"/>
  <c r="D73" i="1" s="1"/>
  <c r="D79" i="1" a="1"/>
  <c r="D79" i="1" s="1"/>
  <c r="D85" i="1" a="1"/>
  <c r="D85" i="1" s="1"/>
  <c r="D91" i="1" a="1"/>
  <c r="D91" i="1" s="1"/>
  <c r="D97" i="1" a="1"/>
  <c r="D97" i="1" s="1"/>
  <c r="D103" i="1" a="1"/>
  <c r="D103" i="1" s="1"/>
  <c r="D109" i="1" a="1"/>
  <c r="D109" i="1" s="1"/>
  <c r="D115" i="1" a="1"/>
  <c r="D115" i="1" s="1"/>
  <c r="D121" i="1" a="1"/>
  <c r="D121" i="1" s="1"/>
  <c r="D127" i="1" a="1"/>
  <c r="D127" i="1" s="1"/>
  <c r="D133" i="1" a="1"/>
  <c r="D133" i="1" s="1"/>
  <c r="D139" i="1" a="1"/>
  <c r="D139" i="1" s="1"/>
  <c r="D145" i="1" a="1"/>
  <c r="D145" i="1" s="1"/>
  <c r="D154" i="1" a="1"/>
  <c r="D154" i="1" s="1"/>
  <c r="D163" i="1" a="1"/>
  <c r="D163" i="1" s="1"/>
  <c r="D172" i="1" a="1"/>
  <c r="D172" i="1" s="1"/>
  <c r="D181" i="1" a="1"/>
  <c r="D181" i="1" s="1"/>
  <c r="D190" i="1" a="1"/>
  <c r="D190" i="1" s="1"/>
  <c r="D199" i="1" a="1"/>
  <c r="D199" i="1" s="1"/>
  <c r="D208" i="1" a="1"/>
  <c r="D208" i="1" s="1"/>
  <c r="D217" i="1" a="1"/>
  <c r="D217" i="1" s="1"/>
  <c r="D226" i="1" a="1"/>
  <c r="D226" i="1" s="1"/>
  <c r="D233" i="1" a="1"/>
  <c r="D233" i="1" s="1"/>
  <c r="D237" i="1" a="1"/>
  <c r="D237" i="1" s="1"/>
  <c r="D241" i="1" a="1"/>
  <c r="D241" i="1" s="1"/>
  <c r="D245" i="1" a="1"/>
  <c r="D245" i="1" s="1"/>
  <c r="D252" i="1" a="1"/>
  <c r="D252" i="1" s="1"/>
  <c r="D8" i="1" a="1"/>
  <c r="D8" i="1" s="1"/>
  <c r="D14" i="1" a="1"/>
  <c r="D14" i="1" s="1"/>
  <c r="D20" i="1" a="1"/>
  <c r="D20" i="1" s="1"/>
  <c r="D26" i="1" a="1"/>
  <c r="D26" i="1" s="1"/>
  <c r="D32" i="1" a="1"/>
  <c r="D32" i="1" s="1"/>
  <c r="D38" i="1" a="1"/>
  <c r="D38" i="1" s="1"/>
  <c r="D44" i="1" a="1"/>
  <c r="D44" i="1" s="1"/>
  <c r="D50" i="1" a="1"/>
  <c r="D50" i="1" s="1"/>
  <c r="D56" i="1" a="1"/>
  <c r="D56" i="1" s="1"/>
  <c r="D62" i="1" a="1"/>
  <c r="D62" i="1" s="1"/>
  <c r="D68" i="1" a="1"/>
  <c r="D68" i="1" s="1"/>
  <c r="D74" i="1" a="1"/>
  <c r="D74" i="1" s="1"/>
  <c r="D80" i="1" a="1"/>
  <c r="D80" i="1" s="1"/>
  <c r="D86" i="1" a="1"/>
  <c r="D86" i="1" s="1"/>
  <c r="D92" i="1" a="1"/>
  <c r="D92" i="1" s="1"/>
  <c r="D98" i="1" a="1"/>
  <c r="D98" i="1" s="1"/>
  <c r="D104" i="1" a="1"/>
  <c r="D104" i="1" s="1"/>
  <c r="D110" i="1" a="1"/>
  <c r="D110" i="1" s="1"/>
  <c r="D116" i="1" a="1"/>
  <c r="D116" i="1" s="1"/>
  <c r="D122" i="1" a="1"/>
  <c r="D122" i="1" s="1"/>
  <c r="D128" i="1" a="1"/>
  <c r="D128" i="1" s="1"/>
  <c r="D134" i="1" a="1"/>
  <c r="D134" i="1" s="1"/>
  <c r="D140" i="1" a="1"/>
  <c r="D140" i="1" s="1"/>
  <c r="D146" i="1" a="1"/>
  <c r="D146" i="1" s="1"/>
  <c r="D150" i="1" a="1"/>
  <c r="D150" i="1" s="1"/>
  <c r="D155" i="1" a="1"/>
  <c r="D155" i="1" s="1"/>
  <c r="D159" i="1" a="1"/>
  <c r="D159" i="1" s="1"/>
  <c r="D164" i="1" a="1"/>
  <c r="D164" i="1" s="1"/>
  <c r="D168" i="1" a="1"/>
  <c r="D168" i="1" s="1"/>
  <c r="D173" i="1" a="1"/>
  <c r="D173" i="1" s="1"/>
  <c r="D177" i="1" a="1"/>
  <c r="D177" i="1" s="1"/>
  <c r="D182" i="1" a="1"/>
  <c r="D182" i="1" s="1"/>
  <c r="D186" i="1" a="1"/>
  <c r="D186" i="1" s="1"/>
  <c r="D191" i="1" a="1"/>
  <c r="D191" i="1" s="1"/>
  <c r="D195" i="1" a="1"/>
  <c r="D195" i="1" s="1"/>
  <c r="D200" i="1" a="1"/>
  <c r="D200" i="1" s="1"/>
  <c r="D204" i="1" a="1"/>
  <c r="D204" i="1" s="1"/>
  <c r="D209" i="1" a="1"/>
  <c r="D209" i="1" s="1"/>
  <c r="D9" i="1" a="1"/>
  <c r="D9" i="1" s="1"/>
  <c r="D15" i="1" a="1"/>
  <c r="D15" i="1" s="1"/>
  <c r="D21" i="1" a="1"/>
  <c r="D21" i="1" s="1"/>
  <c r="D27" i="1" a="1"/>
  <c r="D27" i="1" s="1"/>
  <c r="D33" i="1" a="1"/>
  <c r="D33" i="1" s="1"/>
  <c r="D39" i="1" a="1"/>
  <c r="D39" i="1" s="1"/>
  <c r="D45" i="1" a="1"/>
  <c r="D45" i="1" s="1"/>
  <c r="D51" i="1" a="1"/>
  <c r="D51" i="1" s="1"/>
  <c r="D57" i="1" a="1"/>
  <c r="D57" i="1" s="1"/>
  <c r="D63" i="1" a="1"/>
  <c r="D63" i="1" s="1"/>
  <c r="D69" i="1" a="1"/>
  <c r="D69" i="1" s="1"/>
  <c r="D75" i="1" a="1"/>
  <c r="D75" i="1" s="1"/>
  <c r="D81" i="1" a="1"/>
  <c r="D81" i="1" s="1"/>
  <c r="D87" i="1" a="1"/>
  <c r="D87" i="1" s="1"/>
  <c r="D93" i="1" a="1"/>
  <c r="D93" i="1" s="1"/>
  <c r="D99" i="1" a="1"/>
  <c r="D99" i="1" s="1"/>
  <c r="D105" i="1" a="1"/>
  <c r="D105" i="1" s="1"/>
  <c r="D111" i="1" a="1"/>
  <c r="D111" i="1" s="1"/>
  <c r="D117" i="1" a="1"/>
  <c r="D117" i="1" s="1"/>
  <c r="D123" i="1" a="1"/>
  <c r="D123" i="1" s="1"/>
  <c r="D129" i="1" a="1"/>
  <c r="D129" i="1" s="1"/>
  <c r="D135" i="1" a="1"/>
  <c r="D135" i="1" s="1"/>
  <c r="D141" i="1" a="1"/>
  <c r="D141" i="1" s="1"/>
  <c r="D151" i="1" a="1"/>
  <c r="D151" i="1" s="1"/>
  <c r="D160" i="1" a="1"/>
  <c r="D160" i="1" s="1"/>
  <c r="D169" i="1" a="1"/>
  <c r="D169" i="1" s="1"/>
  <c r="D178" i="1" a="1"/>
  <c r="D178" i="1" s="1"/>
  <c r="D187" i="1" a="1"/>
  <c r="D187" i="1" s="1"/>
  <c r="D196" i="1" a="1"/>
  <c r="D196" i="1" s="1"/>
  <c r="D205" i="1" a="1"/>
  <c r="D205" i="1" s="1"/>
  <c r="D214" i="1" a="1"/>
  <c r="D214" i="1" s="1"/>
  <c r="D223" i="1" a="1"/>
  <c r="D223" i="1" s="1"/>
  <c r="D227" i="1" a="1"/>
  <c r="D227" i="1" s="1"/>
  <c r="D234" i="1" a="1"/>
  <c r="D234" i="1" s="1"/>
  <c r="D242" i="1" a="1"/>
  <c r="D242" i="1" s="1"/>
  <c r="D10" i="1" a="1"/>
  <c r="D10" i="1" s="1"/>
  <c r="D16" i="1" a="1"/>
  <c r="D16" i="1" s="1"/>
  <c r="D22" i="1" a="1"/>
  <c r="D22" i="1" s="1"/>
  <c r="D28" i="1" a="1"/>
  <c r="D28" i="1" s="1"/>
  <c r="D34" i="1" a="1"/>
  <c r="D34" i="1" s="1"/>
  <c r="D40" i="1" a="1"/>
  <c r="D40" i="1" s="1"/>
  <c r="D46" i="1" a="1"/>
  <c r="D46" i="1" s="1"/>
  <c r="D52" i="1" a="1"/>
  <c r="D52" i="1" s="1"/>
  <c r="D58" i="1" a="1"/>
  <c r="D58" i="1" s="1"/>
  <c r="D64" i="1" a="1"/>
  <c r="D64" i="1" s="1"/>
  <c r="D70" i="1" a="1"/>
  <c r="D70" i="1" s="1"/>
  <c r="D76" i="1" a="1"/>
  <c r="D76" i="1" s="1"/>
  <c r="D82" i="1" a="1"/>
  <c r="D82" i="1" s="1"/>
  <c r="D88" i="1" a="1"/>
  <c r="D88" i="1" s="1"/>
  <c r="D94" i="1" a="1"/>
  <c r="D94" i="1" s="1"/>
  <c r="D100" i="1" a="1"/>
  <c r="D100" i="1" s="1"/>
  <c r="D106" i="1" a="1"/>
  <c r="D106" i="1" s="1"/>
  <c r="D112" i="1" a="1"/>
  <c r="D112" i="1" s="1"/>
  <c r="D118" i="1" a="1"/>
  <c r="D118" i="1" s="1"/>
  <c r="D124" i="1" a="1"/>
  <c r="D124" i="1" s="1"/>
  <c r="D130" i="1" a="1"/>
  <c r="D130" i="1" s="1"/>
  <c r="D136" i="1" a="1"/>
  <c r="D136" i="1" s="1"/>
  <c r="D142" i="1" a="1"/>
  <c r="D142" i="1" s="1"/>
  <c r="D147" i="1" a="1"/>
  <c r="D147" i="1" s="1"/>
  <c r="D152" i="1" a="1"/>
  <c r="D152" i="1" s="1"/>
  <c r="D156" i="1" a="1"/>
  <c r="D156" i="1" s="1"/>
  <c r="D161" i="1" a="1"/>
  <c r="D161" i="1" s="1"/>
  <c r="D165" i="1" a="1"/>
  <c r="D165" i="1" s="1"/>
  <c r="D170" i="1" a="1"/>
  <c r="D170" i="1" s="1"/>
  <c r="D174" i="1" a="1"/>
  <c r="D174" i="1" s="1"/>
  <c r="D179" i="1" a="1"/>
  <c r="D179" i="1" s="1"/>
  <c r="D183" i="1" a="1"/>
  <c r="D183" i="1" s="1"/>
  <c r="D188" i="1" a="1"/>
  <c r="D188" i="1" s="1"/>
  <c r="D192" i="1" a="1"/>
  <c r="D192" i="1" s="1"/>
  <c r="D197" i="1" a="1"/>
  <c r="D197" i="1" s="1"/>
  <c r="D201" i="1" a="1"/>
  <c r="D201" i="1" s="1"/>
  <c r="D11" i="1" a="1"/>
  <c r="D11" i="1" s="1"/>
  <c r="D17" i="1" a="1"/>
  <c r="D17" i="1" s="1"/>
  <c r="D23" i="1" a="1"/>
  <c r="D23" i="1" s="1"/>
  <c r="D29" i="1" a="1"/>
  <c r="D29" i="1" s="1"/>
  <c r="D35" i="1" a="1"/>
  <c r="D35" i="1" s="1"/>
  <c r="D41" i="1" a="1"/>
  <c r="D41" i="1" s="1"/>
  <c r="D47" i="1" a="1"/>
  <c r="D47" i="1" s="1"/>
  <c r="D53" i="1" a="1"/>
  <c r="D53" i="1" s="1"/>
  <c r="D59" i="1" a="1"/>
  <c r="D59" i="1" s="1"/>
  <c r="D65" i="1" a="1"/>
  <c r="D65" i="1" s="1"/>
  <c r="D71" i="1" a="1"/>
  <c r="D71" i="1" s="1"/>
  <c r="D77" i="1" a="1"/>
  <c r="D77" i="1" s="1"/>
  <c r="D83" i="1" a="1"/>
  <c r="D83" i="1" s="1"/>
  <c r="D89" i="1" a="1"/>
  <c r="D89" i="1" s="1"/>
  <c r="D95" i="1" a="1"/>
  <c r="D95" i="1" s="1"/>
  <c r="D101" i="1" a="1"/>
  <c r="D101" i="1" s="1"/>
  <c r="D107" i="1" a="1"/>
  <c r="D107" i="1" s="1"/>
  <c r="D113" i="1" a="1"/>
  <c r="D113" i="1" s="1"/>
  <c r="D119" i="1" a="1"/>
  <c r="D119" i="1" s="1"/>
  <c r="D125" i="1" a="1"/>
  <c r="D125" i="1" s="1"/>
  <c r="D131" i="1" a="1"/>
  <c r="D131" i="1" s="1"/>
  <c r="D137" i="1" a="1"/>
  <c r="D137" i="1" s="1"/>
  <c r="D143" i="1" a="1"/>
  <c r="D143" i="1" s="1"/>
  <c r="D148" i="1" a="1"/>
  <c r="D148" i="1" s="1"/>
  <c r="D157" i="1" a="1"/>
  <c r="D157" i="1" s="1"/>
  <c r="D166" i="1" a="1"/>
  <c r="D166" i="1" s="1"/>
  <c r="D175" i="1" a="1"/>
  <c r="D175" i="1" s="1"/>
  <c r="D184" i="1" a="1"/>
  <c r="D184" i="1" s="1"/>
  <c r="D193" i="1" a="1"/>
  <c r="D193" i="1" s="1"/>
  <c r="D202" i="1" a="1"/>
  <c r="D202" i="1" s="1"/>
  <c r="D211" i="1" a="1"/>
  <c r="D211" i="1" s="1"/>
  <c r="D220" i="1" a="1"/>
  <c r="D220" i="1" s="1"/>
  <c r="D224" i="1" a="1"/>
  <c r="D224" i="1" s="1"/>
  <c r="D228" i="1" a="1"/>
  <c r="D228" i="1" s="1"/>
  <c r="D232" i="1" a="1"/>
  <c r="D232" i="1" s="1"/>
  <c r="D12" i="1" a="1"/>
  <c r="D12" i="1" s="1"/>
  <c r="D18" i="1" a="1"/>
  <c r="D18" i="1" s="1"/>
  <c r="D24" i="1" a="1"/>
  <c r="D24" i="1" s="1"/>
  <c r="D30" i="1" a="1"/>
  <c r="D30" i="1" s="1"/>
  <c r="D36" i="1" a="1"/>
  <c r="D36" i="1" s="1"/>
  <c r="D42" i="1" a="1"/>
  <c r="D42" i="1" s="1"/>
  <c r="D48" i="1" a="1"/>
  <c r="D48" i="1" s="1"/>
  <c r="D54" i="1" a="1"/>
  <c r="D54" i="1" s="1"/>
  <c r="D60" i="1" a="1"/>
  <c r="D60" i="1" s="1"/>
  <c r="D66" i="1" a="1"/>
  <c r="D66" i="1" s="1"/>
  <c r="D72" i="1" a="1"/>
  <c r="D72" i="1" s="1"/>
  <c r="D78" i="1" a="1"/>
  <c r="D78" i="1" s="1"/>
  <c r="D84" i="1" a="1"/>
  <c r="D84" i="1" s="1"/>
  <c r="D90" i="1" a="1"/>
  <c r="D90" i="1" s="1"/>
  <c r="D96" i="1" a="1"/>
  <c r="D96" i="1" s="1"/>
  <c r="D102" i="1" a="1"/>
  <c r="D102" i="1" s="1"/>
  <c r="D108" i="1" a="1"/>
  <c r="D108" i="1" s="1"/>
  <c r="D114" i="1" a="1"/>
  <c r="D114" i="1" s="1"/>
  <c r="D120" i="1" a="1"/>
  <c r="D120" i="1" s="1"/>
  <c r="D126" i="1" a="1"/>
  <c r="D126" i="1" s="1"/>
  <c r="D132" i="1" a="1"/>
  <c r="D132" i="1" s="1"/>
  <c r="D138" i="1" a="1"/>
  <c r="D138" i="1" s="1"/>
  <c r="D144" i="1" a="1"/>
  <c r="D144" i="1" s="1"/>
  <c r="D149" i="1" a="1"/>
  <c r="D149" i="1" s="1"/>
  <c r="D153" i="1" a="1"/>
  <c r="D153" i="1" s="1"/>
  <c r="D158" i="1" a="1"/>
  <c r="D158" i="1" s="1"/>
  <c r="D162" i="1" a="1"/>
  <c r="D162" i="1" s="1"/>
  <c r="D167" i="1" a="1"/>
  <c r="D167" i="1" s="1"/>
  <c r="D171" i="1" a="1"/>
  <c r="D171" i="1" s="1"/>
  <c r="D176" i="1" a="1"/>
  <c r="D176" i="1" s="1"/>
  <c r="D180" i="1" a="1"/>
  <c r="D180" i="1" s="1"/>
  <c r="D185" i="1" a="1"/>
  <c r="D185" i="1" s="1"/>
  <c r="D189" i="1" a="1"/>
  <c r="D189" i="1" s="1"/>
  <c r="D194" i="1" a="1"/>
  <c r="D194" i="1" s="1"/>
  <c r="D198" i="1" a="1"/>
  <c r="D198" i="1" s="1"/>
  <c r="D203" i="1" a="1"/>
  <c r="D203" i="1" s="1"/>
  <c r="D207" i="1" a="1"/>
  <c r="D207" i="1" s="1"/>
  <c r="D212" i="1" a="1"/>
  <c r="D212" i="1" s="1"/>
  <c r="D216" i="1" a="1"/>
  <c r="D216" i="1" s="1"/>
  <c r="D221" i="1" a="1"/>
  <c r="D221" i="1" s="1"/>
  <c r="D225" i="1" a="1"/>
  <c r="D225" i="1" s="1"/>
  <c r="D229" i="1" a="1"/>
  <c r="D229" i="1" s="1"/>
  <c r="D240" i="1" a="1"/>
  <c r="D240" i="1" s="1"/>
  <c r="D248" i="1" a="1"/>
  <c r="D248" i="1" s="1"/>
  <c r="D256" i="1" a="1"/>
  <c r="D256" i="1" s="1"/>
  <c r="D259" i="1" a="1"/>
  <c r="D259" i="1" s="1"/>
  <c r="D262" i="1" a="1"/>
  <c r="D262" i="1" s="1"/>
  <c r="D265" i="1" a="1"/>
  <c r="D265" i="1" s="1"/>
  <c r="D268" i="1" a="1"/>
  <c r="D268" i="1" s="1"/>
  <c r="D271" i="1" a="1"/>
  <c r="D271" i="1" s="1"/>
  <c r="D274" i="1" a="1"/>
  <c r="D274" i="1" s="1"/>
  <c r="D277" i="1" a="1"/>
  <c r="D277" i="1" s="1"/>
  <c r="D280" i="1" a="1"/>
  <c r="D280" i="1" s="1"/>
  <c r="D283" i="1" a="1"/>
  <c r="D283" i="1" s="1"/>
  <c r="D286" i="1" a="1"/>
  <c r="D286" i="1" s="1"/>
  <c r="D289" i="1" a="1"/>
  <c r="D289" i="1" s="1"/>
  <c r="D292" i="1" a="1"/>
  <c r="D292" i="1" s="1"/>
  <c r="D295" i="1" a="1"/>
  <c r="D295" i="1" s="1"/>
  <c r="D298" i="1" a="1"/>
  <c r="D298" i="1" s="1"/>
  <c r="D301" i="1" a="1"/>
  <c r="D301" i="1" s="1"/>
  <c r="D304" i="1" a="1"/>
  <c r="D304" i="1" s="1"/>
  <c r="D307" i="1" a="1"/>
  <c r="D307" i="1" s="1"/>
  <c r="D310" i="1" a="1"/>
  <c r="D310" i="1" s="1"/>
  <c r="D313" i="1" a="1"/>
  <c r="D313" i="1" s="1"/>
  <c r="D316" i="1" a="1"/>
  <c r="D316" i="1" s="1"/>
  <c r="D319" i="1" a="1"/>
  <c r="D319" i="1" s="1"/>
  <c r="D322" i="1" a="1"/>
  <c r="D322" i="1" s="1"/>
  <c r="D325" i="1" a="1"/>
  <c r="D325" i="1" s="1"/>
  <c r="D328" i="1" a="1"/>
  <c r="D328" i="1" s="1"/>
  <c r="D331" i="1" a="1"/>
  <c r="D331" i="1" s="1"/>
  <c r="D210" i="1" a="1"/>
  <c r="D210" i="1" s="1"/>
  <c r="D235" i="1" a="1"/>
  <c r="D235" i="1" s="1"/>
  <c r="D243" i="1" a="1"/>
  <c r="D243" i="1" s="1"/>
  <c r="D249" i="1" a="1"/>
  <c r="D249" i="1" s="1"/>
  <c r="D260" i="1" a="1"/>
  <c r="D260" i="1" s="1"/>
  <c r="D264" i="1" a="1"/>
  <c r="D264" i="1" s="1"/>
  <c r="D269" i="1" a="1"/>
  <c r="D269" i="1" s="1"/>
  <c r="D273" i="1" a="1"/>
  <c r="D273" i="1" s="1"/>
  <c r="D278" i="1" a="1"/>
  <c r="D278" i="1" s="1"/>
  <c r="D282" i="1" a="1"/>
  <c r="D282" i="1" s="1"/>
  <c r="D290" i="1" a="1"/>
  <c r="D290" i="1" s="1"/>
  <c r="D297" i="1" a="1"/>
  <c r="D297" i="1" s="1"/>
  <c r="D308" i="1" a="1"/>
  <c r="D308" i="1" s="1"/>
  <c r="D315" i="1" a="1"/>
  <c r="D315" i="1" s="1"/>
  <c r="D326" i="1" a="1"/>
  <c r="D326" i="1" s="1"/>
  <c r="D333" i="1" a="1"/>
  <c r="D333" i="1" s="1"/>
  <c r="D336" i="1" a="1"/>
  <c r="D336" i="1" s="1"/>
  <c r="D339" i="1" a="1"/>
  <c r="D339" i="1" s="1"/>
  <c r="D342" i="1" a="1"/>
  <c r="D342" i="1" s="1"/>
  <c r="D345" i="1" a="1"/>
  <c r="D345" i="1" s="1"/>
  <c r="D348" i="1" a="1"/>
  <c r="D348" i="1" s="1"/>
  <c r="D351" i="1" a="1"/>
  <c r="D351" i="1" s="1"/>
  <c r="D354" i="1" a="1"/>
  <c r="D354" i="1" s="1"/>
  <c r="D357" i="1" a="1"/>
  <c r="D357" i="1" s="1"/>
  <c r="D360" i="1" a="1"/>
  <c r="D360" i="1" s="1"/>
  <c r="D363" i="1" a="1"/>
  <c r="D363" i="1" s="1"/>
  <c r="D366" i="1" a="1"/>
  <c r="D366" i="1" s="1"/>
  <c r="D369" i="1" a="1"/>
  <c r="D369" i="1" s="1"/>
  <c r="D372" i="1" a="1"/>
  <c r="D372" i="1" s="1"/>
  <c r="D375" i="1" a="1"/>
  <c r="D375" i="1" s="1"/>
  <c r="D378" i="1" a="1"/>
  <c r="D378" i="1" s="1"/>
  <c r="D381" i="1" a="1"/>
  <c r="D381" i="1" s="1"/>
  <c r="D384" i="1" a="1"/>
  <c r="D384" i="1" s="1"/>
  <c r="D387" i="1" a="1"/>
  <c r="D387" i="1" s="1"/>
  <c r="D390" i="1" a="1"/>
  <c r="D390" i="1" s="1"/>
  <c r="D393" i="1" a="1"/>
  <c r="D393" i="1" s="1"/>
  <c r="D396" i="1" a="1"/>
  <c r="D396" i="1" s="1"/>
  <c r="D399" i="1" a="1"/>
  <c r="D399" i="1" s="1"/>
  <c r="D402" i="1" a="1"/>
  <c r="D402" i="1" s="1"/>
  <c r="D213" i="1" a="1"/>
  <c r="D213" i="1" s="1"/>
  <c r="D236" i="1" a="1"/>
  <c r="D236" i="1" s="1"/>
  <c r="D244" i="1" a="1"/>
  <c r="D244" i="1" s="1"/>
  <c r="D250" i="1" a="1"/>
  <c r="D250" i="1" s="1"/>
  <c r="D255" i="1" a="1"/>
  <c r="D255" i="1" s="1"/>
  <c r="D287" i="1" a="1"/>
  <c r="D287" i="1" s="1"/>
  <c r="D294" i="1" a="1"/>
  <c r="D294" i="1" s="1"/>
  <c r="D305" i="1" a="1"/>
  <c r="D305" i="1" s="1"/>
  <c r="D312" i="1" a="1"/>
  <c r="D312" i="1" s="1"/>
  <c r="D323" i="1" a="1"/>
  <c r="D323" i="1" s="1"/>
  <c r="D330" i="1" a="1"/>
  <c r="D330" i="1" s="1"/>
  <c r="D406" i="1" a="1"/>
  <c r="D406" i="1" s="1"/>
  <c r="D409" i="1" a="1"/>
  <c r="D409" i="1" s="1"/>
  <c r="D412" i="1" a="1"/>
  <c r="D412" i="1" s="1"/>
  <c r="D415" i="1" a="1"/>
  <c r="D415" i="1" s="1"/>
  <c r="D418" i="1" a="1"/>
  <c r="D418" i="1" s="1"/>
  <c r="D421" i="1" a="1"/>
  <c r="D421" i="1" s="1"/>
  <c r="D424" i="1" a="1"/>
  <c r="D424" i="1" s="1"/>
  <c r="D427" i="1" a="1"/>
  <c r="D427" i="1" s="1"/>
  <c r="D430" i="1" a="1"/>
  <c r="D430" i="1" s="1"/>
  <c r="D433" i="1" a="1"/>
  <c r="D433" i="1" s="1"/>
  <c r="D436" i="1" a="1"/>
  <c r="D436" i="1" s="1"/>
  <c r="D439" i="1" a="1"/>
  <c r="D439" i="1" s="1"/>
  <c r="D442" i="1" a="1"/>
  <c r="D442" i="1" s="1"/>
  <c r="D445" i="1" a="1"/>
  <c r="D445" i="1" s="1"/>
  <c r="D448" i="1" a="1"/>
  <c r="D448" i="1" s="1"/>
  <c r="D451" i="1" a="1"/>
  <c r="D451" i="1" s="1"/>
  <c r="D454" i="1" a="1"/>
  <c r="D454" i="1" s="1"/>
  <c r="D457" i="1" a="1"/>
  <c r="D457" i="1" s="1"/>
  <c r="D460" i="1" a="1"/>
  <c r="D460" i="1" s="1"/>
  <c r="D463" i="1" a="1"/>
  <c r="D463" i="1" s="1"/>
  <c r="D466" i="1" a="1"/>
  <c r="D466" i="1" s="1"/>
  <c r="D469" i="1" a="1"/>
  <c r="D469" i="1" s="1"/>
  <c r="D472" i="1" a="1"/>
  <c r="D472" i="1" s="1"/>
  <c r="D475" i="1" a="1"/>
  <c r="D475" i="1" s="1"/>
  <c r="D478" i="1" a="1"/>
  <c r="D478" i="1" s="1"/>
  <c r="D481" i="1" a="1"/>
  <c r="D481" i="1" s="1"/>
  <c r="D484" i="1" a="1"/>
  <c r="D484" i="1" s="1"/>
  <c r="D215" i="1" a="1"/>
  <c r="D215" i="1" s="1"/>
  <c r="D238" i="1" a="1"/>
  <c r="D238" i="1" s="1"/>
  <c r="D257" i="1" a="1"/>
  <c r="D257" i="1" s="1"/>
  <c r="D261" i="1" a="1"/>
  <c r="D261" i="1" s="1"/>
  <c r="D266" i="1" a="1"/>
  <c r="D266" i="1" s="1"/>
  <c r="D270" i="1" a="1"/>
  <c r="D270" i="1" s="1"/>
  <c r="D275" i="1" a="1"/>
  <c r="D275" i="1" s="1"/>
  <c r="D279" i="1" a="1"/>
  <c r="D279" i="1" s="1"/>
  <c r="D284" i="1" a="1"/>
  <c r="D284" i="1" s="1"/>
  <c r="D291" i="1" a="1"/>
  <c r="D291" i="1" s="1"/>
  <c r="D302" i="1" a="1"/>
  <c r="D302" i="1" s="1"/>
  <c r="D309" i="1" a="1"/>
  <c r="D309" i="1" s="1"/>
  <c r="D320" i="1" a="1"/>
  <c r="D320" i="1" s="1"/>
  <c r="D327" i="1" a="1"/>
  <c r="D327" i="1" s="1"/>
  <c r="D334" i="1" a="1"/>
  <c r="D334" i="1" s="1"/>
  <c r="D337" i="1" a="1"/>
  <c r="D337" i="1" s="1"/>
  <c r="D340" i="1" a="1"/>
  <c r="D340" i="1" s="1"/>
  <c r="D343" i="1" a="1"/>
  <c r="D343" i="1" s="1"/>
  <c r="D346" i="1" a="1"/>
  <c r="D346" i="1" s="1"/>
  <c r="D349" i="1" a="1"/>
  <c r="D349" i="1" s="1"/>
  <c r="D352" i="1" a="1"/>
  <c r="D352" i="1" s="1"/>
  <c r="D355" i="1" a="1"/>
  <c r="D355" i="1" s="1"/>
  <c r="D358" i="1" a="1"/>
  <c r="D358" i="1" s="1"/>
  <c r="D361" i="1" a="1"/>
  <c r="D361" i="1" s="1"/>
  <c r="D364" i="1" a="1"/>
  <c r="D364" i="1" s="1"/>
  <c r="D367" i="1" a="1"/>
  <c r="D367" i="1" s="1"/>
  <c r="D370" i="1" a="1"/>
  <c r="D370" i="1" s="1"/>
  <c r="D373" i="1" a="1"/>
  <c r="D373" i="1" s="1"/>
  <c r="D376" i="1" a="1"/>
  <c r="D376" i="1" s="1"/>
  <c r="D379" i="1" a="1"/>
  <c r="D379" i="1" s="1"/>
  <c r="D382" i="1" a="1"/>
  <c r="D382" i="1" s="1"/>
  <c r="D385" i="1" a="1"/>
  <c r="D385" i="1" s="1"/>
  <c r="D388" i="1" a="1"/>
  <c r="D388" i="1" s="1"/>
  <c r="D391" i="1" a="1"/>
  <c r="D391" i="1" s="1"/>
  <c r="D394" i="1" a="1"/>
  <c r="D394" i="1" s="1"/>
  <c r="D397" i="1" a="1"/>
  <c r="D397" i="1" s="1"/>
  <c r="D400" i="1" a="1"/>
  <c r="D400" i="1" s="1"/>
  <c r="D403" i="1" a="1"/>
  <c r="D403" i="1" s="1"/>
  <c r="D218" i="1" a="1"/>
  <c r="D218" i="1" s="1"/>
  <c r="D230" i="1" a="1"/>
  <c r="D230" i="1" s="1"/>
  <c r="D239" i="1" a="1"/>
  <c r="D239" i="1" s="1"/>
  <c r="D246" i="1" a="1"/>
  <c r="D246" i="1" s="1"/>
  <c r="D251" i="1" a="1"/>
  <c r="D251" i="1" s="1"/>
  <c r="D288" i="1" a="1"/>
  <c r="D288" i="1" s="1"/>
  <c r="D299" i="1" a="1"/>
  <c r="D299" i="1" s="1"/>
  <c r="D306" i="1" a="1"/>
  <c r="D306" i="1" s="1"/>
  <c r="D317" i="1" a="1"/>
  <c r="D317" i="1" s="1"/>
  <c r="D324" i="1" a="1"/>
  <c r="D324" i="1" s="1"/>
  <c r="D404" i="1" a="1"/>
  <c r="D404" i="1" s="1"/>
  <c r="D407" i="1" a="1"/>
  <c r="D407" i="1" s="1"/>
  <c r="D410" i="1" a="1"/>
  <c r="D410" i="1" s="1"/>
  <c r="D413" i="1" a="1"/>
  <c r="D413" i="1" s="1"/>
  <c r="D416" i="1" a="1"/>
  <c r="D416" i="1" s="1"/>
  <c r="D419" i="1" a="1"/>
  <c r="D419" i="1" s="1"/>
  <c r="D422" i="1" a="1"/>
  <c r="D422" i="1" s="1"/>
  <c r="D425" i="1" a="1"/>
  <c r="D425" i="1" s="1"/>
  <c r="D428" i="1" a="1"/>
  <c r="D428" i="1" s="1"/>
  <c r="D431" i="1" a="1"/>
  <c r="D431" i="1" s="1"/>
  <c r="D434" i="1" a="1"/>
  <c r="D434" i="1" s="1"/>
  <c r="D437" i="1" a="1"/>
  <c r="D437" i="1" s="1"/>
  <c r="D440" i="1" a="1"/>
  <c r="D440" i="1" s="1"/>
  <c r="D443" i="1" a="1"/>
  <c r="D443" i="1" s="1"/>
  <c r="D446" i="1" a="1"/>
  <c r="D446" i="1" s="1"/>
  <c r="D449" i="1" a="1"/>
  <c r="D449" i="1" s="1"/>
  <c r="D452" i="1" a="1"/>
  <c r="D452" i="1" s="1"/>
  <c r="D455" i="1" a="1"/>
  <c r="D455" i="1" s="1"/>
  <c r="D458" i="1" a="1"/>
  <c r="D458" i="1" s="1"/>
  <c r="D461" i="1" a="1"/>
  <c r="D461" i="1" s="1"/>
  <c r="D464" i="1" a="1"/>
  <c r="D464" i="1" s="1"/>
  <c r="D467" i="1" a="1"/>
  <c r="D467" i="1" s="1"/>
  <c r="D470" i="1" a="1"/>
  <c r="D470" i="1" s="1"/>
  <c r="D473" i="1" a="1"/>
  <c r="D473" i="1" s="1"/>
  <c r="D476" i="1" a="1"/>
  <c r="D476" i="1" s="1"/>
  <c r="D479" i="1" a="1"/>
  <c r="D479" i="1" s="1"/>
  <c r="D482" i="1" a="1"/>
  <c r="D482" i="1" s="1"/>
  <c r="D485" i="1" a="1"/>
  <c r="D485" i="1" s="1"/>
  <c r="D219" i="1" a="1"/>
  <c r="D219" i="1" s="1"/>
  <c r="D231" i="1" a="1"/>
  <c r="D231" i="1" s="1"/>
  <c r="D247" i="1" a="1"/>
  <c r="D247" i="1" s="1"/>
  <c r="D253" i="1" a="1"/>
  <c r="D253" i="1" s="1"/>
  <c r="D258" i="1" a="1"/>
  <c r="D258" i="1" s="1"/>
  <c r="D263" i="1" a="1"/>
  <c r="D263" i="1" s="1"/>
  <c r="D267" i="1" a="1"/>
  <c r="D267" i="1" s="1"/>
  <c r="D272" i="1" a="1"/>
  <c r="D272" i="1" s="1"/>
  <c r="D276" i="1" a="1"/>
  <c r="D276" i="1" s="1"/>
  <c r="D281" i="1" a="1"/>
  <c r="D281" i="1" s="1"/>
  <c r="D285" i="1" a="1"/>
  <c r="D285" i="1" s="1"/>
  <c r="D296" i="1" a="1"/>
  <c r="D296" i="1" s="1"/>
  <c r="D303" i="1" a="1"/>
  <c r="D303" i="1" s="1"/>
  <c r="D314" i="1" a="1"/>
  <c r="D314" i="1" s="1"/>
  <c r="D321" i="1" a="1"/>
  <c r="D321" i="1" s="1"/>
  <c r="D332" i="1" a="1"/>
  <c r="D332" i="1" s="1"/>
  <c r="D335" i="1" a="1"/>
  <c r="D335" i="1" s="1"/>
  <c r="D338" i="1" a="1"/>
  <c r="D338" i="1" s="1"/>
  <c r="D341" i="1" a="1"/>
  <c r="D341" i="1" s="1"/>
  <c r="D344" i="1" a="1"/>
  <c r="D344" i="1" s="1"/>
  <c r="D347" i="1" a="1"/>
  <c r="D347" i="1" s="1"/>
  <c r="D350" i="1" a="1"/>
  <c r="D350" i="1" s="1"/>
  <c r="D353" i="1" a="1"/>
  <c r="D353" i="1" s="1"/>
  <c r="D356" i="1" a="1"/>
  <c r="D356" i="1" s="1"/>
  <c r="D359" i="1" a="1"/>
  <c r="D359" i="1" s="1"/>
  <c r="D362" i="1" a="1"/>
  <c r="D362" i="1" s="1"/>
  <c r="D365" i="1" a="1"/>
  <c r="D365" i="1" s="1"/>
  <c r="D368" i="1" a="1"/>
  <c r="D368" i="1" s="1"/>
  <c r="D371" i="1" a="1"/>
  <c r="D371" i="1" s="1"/>
  <c r="D374" i="1" a="1"/>
  <c r="D374" i="1" s="1"/>
  <c r="D377" i="1" a="1"/>
  <c r="D377" i="1" s="1"/>
  <c r="D380" i="1" a="1"/>
  <c r="D380" i="1" s="1"/>
  <c r="D383" i="1" a="1"/>
  <c r="D383" i="1" s="1"/>
  <c r="D386" i="1" a="1"/>
  <c r="D386" i="1" s="1"/>
  <c r="D389" i="1" a="1"/>
  <c r="D389" i="1" s="1"/>
  <c r="D392" i="1" a="1"/>
  <c r="D392" i="1" s="1"/>
  <c r="D395" i="1" a="1"/>
  <c r="D395" i="1" s="1"/>
  <c r="D398" i="1" a="1"/>
  <c r="D398" i="1" s="1"/>
  <c r="D401" i="1" a="1"/>
  <c r="D401" i="1" s="1"/>
  <c r="D206" i="1" a="1"/>
  <c r="D206" i="1" s="1"/>
  <c r="D222" i="1" a="1"/>
  <c r="D222" i="1" s="1"/>
  <c r="D254" i="1" a="1"/>
  <c r="D254" i="1" s="1"/>
  <c r="D293" i="1" a="1"/>
  <c r="D293" i="1" s="1"/>
  <c r="D300" i="1" a="1"/>
  <c r="D300" i="1" s="1"/>
  <c r="D311" i="1" a="1"/>
  <c r="D311" i="1" s="1"/>
  <c r="D318" i="1" a="1"/>
  <c r="D318" i="1" s="1"/>
  <c r="D329" i="1" a="1"/>
  <c r="D329" i="1" s="1"/>
  <c r="D405" i="1" a="1"/>
  <c r="D405" i="1" s="1"/>
  <c r="D408" i="1" a="1"/>
  <c r="D408" i="1" s="1"/>
  <c r="D411" i="1" a="1"/>
  <c r="D411" i="1" s="1"/>
  <c r="D414" i="1" a="1"/>
  <c r="D414" i="1" s="1"/>
  <c r="D417" i="1" a="1"/>
  <c r="D417" i="1" s="1"/>
  <c r="D420" i="1" a="1"/>
  <c r="D420" i="1" s="1"/>
  <c r="D423" i="1" a="1"/>
  <c r="D423" i="1" s="1"/>
  <c r="D426" i="1" a="1"/>
  <c r="D426" i="1" s="1"/>
  <c r="D429" i="1" a="1"/>
  <c r="D429" i="1" s="1"/>
  <c r="D432" i="1" a="1"/>
  <c r="D432" i="1" s="1"/>
  <c r="D435" i="1" a="1"/>
  <c r="D435" i="1" s="1"/>
  <c r="D438" i="1" a="1"/>
  <c r="D438" i="1" s="1"/>
  <c r="D441" i="1" a="1"/>
  <c r="D441" i="1" s="1"/>
  <c r="D444" i="1" a="1"/>
  <c r="D444" i="1" s="1"/>
  <c r="D447" i="1" a="1"/>
  <c r="D447" i="1" s="1"/>
  <c r="D450" i="1" a="1"/>
  <c r="D450" i="1" s="1"/>
  <c r="D453" i="1" a="1"/>
  <c r="D453" i="1" s="1"/>
  <c r="D456" i="1" a="1"/>
  <c r="D456" i="1" s="1"/>
  <c r="D459" i="1" a="1"/>
  <c r="D459" i="1" s="1"/>
  <c r="D462" i="1" a="1"/>
  <c r="D462" i="1" s="1"/>
  <c r="D465" i="1" a="1"/>
  <c r="D465" i="1" s="1"/>
  <c r="D468" i="1" a="1"/>
  <c r="D468" i="1" s="1"/>
  <c r="D471" i="1" a="1"/>
  <c r="D471" i="1" s="1"/>
  <c r="D474" i="1" a="1"/>
  <c r="D474" i="1" s="1"/>
  <c r="D477" i="1" a="1"/>
  <c r="D477" i="1" s="1"/>
  <c r="D480" i="1" a="1"/>
  <c r="D480" i="1" s="1"/>
  <c r="D483" i="1" a="1"/>
  <c r="D483" i="1" s="1"/>
  <c r="D486" i="1" a="1"/>
  <c r="D486" i="1" s="1"/>
  <c r="D489" i="1" a="1"/>
  <c r="D489" i="1" s="1"/>
  <c r="D492" i="1" a="1"/>
  <c r="D492" i="1" s="1"/>
  <c r="D495" i="1" a="1"/>
  <c r="D495" i="1" s="1"/>
  <c r="D498" i="1" a="1"/>
  <c r="D498" i="1" s="1"/>
  <c r="D501" i="1" a="1"/>
  <c r="D501" i="1" s="1"/>
  <c r="D504" i="1" a="1"/>
  <c r="D504" i="1" s="1"/>
  <c r="D507" i="1" a="1"/>
  <c r="D507" i="1" s="1"/>
  <c r="D510" i="1" a="1"/>
  <c r="D510" i="1" s="1"/>
  <c r="D513" i="1" a="1"/>
  <c r="D513" i="1" s="1"/>
  <c r="D516" i="1" a="1"/>
  <c r="D516" i="1" s="1"/>
  <c r="D519" i="1" a="1"/>
  <c r="D519" i="1" s="1"/>
  <c r="D522" i="1" a="1"/>
  <c r="D522" i="1" s="1"/>
  <c r="D525" i="1" a="1"/>
  <c r="D525" i="1" s="1"/>
  <c r="D528" i="1" a="1"/>
  <c r="D528" i="1" s="1"/>
  <c r="D531" i="1" a="1"/>
  <c r="D531" i="1" s="1"/>
  <c r="D534" i="1" a="1"/>
  <c r="D534" i="1" s="1"/>
  <c r="D537" i="1" a="1"/>
  <c r="D537" i="1" s="1"/>
  <c r="D540" i="1" a="1"/>
  <c r="D540" i="1" s="1"/>
  <c r="D543" i="1" a="1"/>
  <c r="D543" i="1" s="1"/>
  <c r="D546" i="1" a="1"/>
  <c r="D546" i="1" s="1"/>
  <c r="D549" i="1" a="1"/>
  <c r="D549" i="1" s="1"/>
  <c r="D552" i="1" a="1"/>
  <c r="D552" i="1" s="1"/>
  <c r="D555" i="1" a="1"/>
  <c r="D555" i="1" s="1"/>
  <c r="D558" i="1" a="1"/>
  <c r="D558" i="1" s="1"/>
  <c r="D561" i="1" a="1"/>
  <c r="D561" i="1" s="1"/>
  <c r="D564" i="1" a="1"/>
  <c r="D564" i="1" s="1"/>
  <c r="D567" i="1" a="1"/>
  <c r="D567" i="1" s="1"/>
  <c r="D570" i="1" a="1"/>
  <c r="D570" i="1" s="1"/>
  <c r="D573" i="1" a="1"/>
  <c r="D573" i="1" s="1"/>
  <c r="D576" i="1" a="1"/>
  <c r="D576" i="1" s="1"/>
  <c r="D579" i="1" a="1"/>
  <c r="D579" i="1" s="1"/>
  <c r="D582" i="1" a="1"/>
  <c r="D582" i="1" s="1"/>
  <c r="D585" i="1" a="1"/>
  <c r="D585" i="1" s="1"/>
  <c r="D588" i="1" a="1"/>
  <c r="D588" i="1" s="1"/>
  <c r="D591" i="1" a="1"/>
  <c r="D591" i="1" s="1"/>
  <c r="D594" i="1" a="1"/>
  <c r="D594" i="1" s="1"/>
  <c r="D597" i="1" a="1"/>
  <c r="D597" i="1" s="1"/>
  <c r="D600" i="1" a="1"/>
  <c r="D600" i="1" s="1"/>
  <c r="D603" i="1" a="1"/>
  <c r="D603" i="1" s="1"/>
  <c r="D606" i="1" a="1"/>
  <c r="D606" i="1" s="1"/>
  <c r="D609" i="1" a="1"/>
  <c r="D609" i="1" s="1"/>
  <c r="D612" i="1" a="1"/>
  <c r="D612" i="1" s="1"/>
  <c r="D615" i="1" a="1"/>
  <c r="D615" i="1" s="1"/>
  <c r="D618" i="1" a="1"/>
  <c r="D618" i="1" s="1"/>
  <c r="D518" i="1" a="1"/>
  <c r="D518" i="1" s="1"/>
  <c r="D529" i="1" a="1"/>
  <c r="D529" i="1" s="1"/>
  <c r="D536" i="1" a="1"/>
  <c r="D536" i="1" s="1"/>
  <c r="D547" i="1" a="1"/>
  <c r="D547" i="1" s="1"/>
  <c r="D554" i="1" a="1"/>
  <c r="D554" i="1" s="1"/>
  <c r="D565" i="1" a="1"/>
  <c r="D565" i="1" s="1"/>
  <c r="D572" i="1" a="1"/>
  <c r="D572" i="1" s="1"/>
  <c r="D583" i="1" a="1"/>
  <c r="D583" i="1" s="1"/>
  <c r="D590" i="1" a="1"/>
  <c r="D590" i="1" s="1"/>
  <c r="D601" i="1" a="1"/>
  <c r="D601" i="1" s="1"/>
  <c r="D608" i="1" a="1"/>
  <c r="D608" i="1" s="1"/>
  <c r="D619" i="1" a="1"/>
  <c r="D619" i="1" s="1"/>
  <c r="D622" i="1" a="1"/>
  <c r="D622" i="1" s="1"/>
  <c r="D625" i="1" a="1"/>
  <c r="D625" i="1" s="1"/>
  <c r="D628" i="1" a="1"/>
  <c r="D628" i="1" s="1"/>
  <c r="D631" i="1" a="1"/>
  <c r="D631" i="1" s="1"/>
  <c r="D634" i="1" a="1"/>
  <c r="D634" i="1" s="1"/>
  <c r="D637" i="1" a="1"/>
  <c r="D637" i="1" s="1"/>
  <c r="D640" i="1" a="1"/>
  <c r="D640" i="1" s="1"/>
  <c r="D643" i="1" a="1"/>
  <c r="D643" i="1" s="1"/>
  <c r="D646" i="1" a="1"/>
  <c r="D646" i="1" s="1"/>
  <c r="D649" i="1" a="1"/>
  <c r="D649" i="1" s="1"/>
  <c r="D652" i="1" a="1"/>
  <c r="D652" i="1" s="1"/>
  <c r="D655" i="1" a="1"/>
  <c r="D655" i="1" s="1"/>
  <c r="D658" i="1" a="1"/>
  <c r="D658" i="1" s="1"/>
  <c r="D661" i="1" a="1"/>
  <c r="D661" i="1" s="1"/>
  <c r="D664" i="1" a="1"/>
  <c r="D664" i="1" s="1"/>
  <c r="D667" i="1" a="1"/>
  <c r="D667" i="1" s="1"/>
  <c r="D670" i="1" a="1"/>
  <c r="D670" i="1" s="1"/>
  <c r="D673" i="1" a="1"/>
  <c r="D673" i="1" s="1"/>
  <c r="D676" i="1" a="1"/>
  <c r="D676" i="1" s="1"/>
  <c r="D679" i="1" a="1"/>
  <c r="D679" i="1" s="1"/>
  <c r="D682" i="1" a="1"/>
  <c r="D682" i="1" s="1"/>
  <c r="D685" i="1" a="1"/>
  <c r="D685" i="1" s="1"/>
  <c r="D688" i="1" a="1"/>
  <c r="D688" i="1" s="1"/>
  <c r="D735" i="1" a="1"/>
  <c r="D735" i="1" s="1"/>
  <c r="D741" i="1" a="1"/>
  <c r="D741" i="1" s="1"/>
  <c r="D747" i="1" a="1"/>
  <c r="D747" i="1" s="1"/>
  <c r="D487" i="1" a="1"/>
  <c r="D487" i="1" s="1"/>
  <c r="D493" i="1" a="1"/>
  <c r="D493" i="1" s="1"/>
  <c r="D499" i="1" a="1"/>
  <c r="D499" i="1" s="1"/>
  <c r="D505" i="1" a="1"/>
  <c r="D505" i="1" s="1"/>
  <c r="D511" i="1" a="1"/>
  <c r="D511" i="1" s="1"/>
  <c r="D515" i="1" a="1"/>
  <c r="D515" i="1" s="1"/>
  <c r="D526" i="1" a="1"/>
  <c r="D526" i="1" s="1"/>
  <c r="D533" i="1" a="1"/>
  <c r="D533" i="1" s="1"/>
  <c r="D544" i="1" a="1"/>
  <c r="D544" i="1" s="1"/>
  <c r="D551" i="1" a="1"/>
  <c r="D551" i="1" s="1"/>
  <c r="D562" i="1" a="1"/>
  <c r="D562" i="1" s="1"/>
  <c r="D569" i="1" a="1"/>
  <c r="D569" i="1" s="1"/>
  <c r="D580" i="1" a="1"/>
  <c r="D580" i="1" s="1"/>
  <c r="D587" i="1" a="1"/>
  <c r="D587" i="1" s="1"/>
  <c r="D598" i="1" a="1"/>
  <c r="D598" i="1" s="1"/>
  <c r="D605" i="1" a="1"/>
  <c r="D605" i="1" s="1"/>
  <c r="D616" i="1" a="1"/>
  <c r="D616" i="1" s="1"/>
  <c r="D689" i="1" a="1"/>
  <c r="D689" i="1" s="1"/>
  <c r="D692" i="1" a="1"/>
  <c r="D692" i="1" s="1"/>
  <c r="D695" i="1" a="1"/>
  <c r="D695" i="1" s="1"/>
  <c r="D698" i="1" a="1"/>
  <c r="D698" i="1" s="1"/>
  <c r="D701" i="1" a="1"/>
  <c r="D701" i="1" s="1"/>
  <c r="D704" i="1" a="1"/>
  <c r="D704" i="1" s="1"/>
  <c r="D707" i="1" a="1"/>
  <c r="D707" i="1" s="1"/>
  <c r="D710" i="1" a="1"/>
  <c r="D710" i="1" s="1"/>
  <c r="D713" i="1" a="1"/>
  <c r="D713" i="1" s="1"/>
  <c r="D716" i="1" a="1"/>
  <c r="D716" i="1" s="1"/>
  <c r="D719" i="1" a="1"/>
  <c r="D719" i="1" s="1"/>
  <c r="D722" i="1" a="1"/>
  <c r="D722" i="1" s="1"/>
  <c r="D725" i="1" a="1"/>
  <c r="D725" i="1" s="1"/>
  <c r="D728" i="1" a="1"/>
  <c r="D728" i="1" s="1"/>
  <c r="D731" i="1" a="1"/>
  <c r="D731" i="1" s="1"/>
  <c r="D734" i="1" a="1"/>
  <c r="D734" i="1" s="1"/>
  <c r="D737" i="1" a="1"/>
  <c r="D737" i="1" s="1"/>
  <c r="D740" i="1" a="1"/>
  <c r="D740" i="1" s="1"/>
  <c r="D743" i="1" a="1"/>
  <c r="D743" i="1" s="1"/>
  <c r="D746" i="1" a="1"/>
  <c r="D746" i="1" s="1"/>
  <c r="D749" i="1" a="1"/>
  <c r="D749" i="1" s="1"/>
  <c r="D752" i="1" a="1"/>
  <c r="D752" i="1" s="1"/>
  <c r="D2" i="1" a="1"/>
  <c r="D2" i="1" s="1"/>
  <c r="D729" i="1" a="1"/>
  <c r="D729" i="1" s="1"/>
  <c r="D744" i="1" a="1"/>
  <c r="D744" i="1" s="1"/>
  <c r="D488" i="1" a="1"/>
  <c r="D488" i="1" s="1"/>
  <c r="D494" i="1" a="1"/>
  <c r="D494" i="1" s="1"/>
  <c r="D500" i="1" a="1"/>
  <c r="D500" i="1" s="1"/>
  <c r="D506" i="1" a="1"/>
  <c r="D506" i="1" s="1"/>
  <c r="D512" i="1" a="1"/>
  <c r="D512" i="1" s="1"/>
  <c r="D523" i="1" a="1"/>
  <c r="D523" i="1" s="1"/>
  <c r="D530" i="1" a="1"/>
  <c r="D530" i="1" s="1"/>
  <c r="D541" i="1" a="1"/>
  <c r="D541" i="1" s="1"/>
  <c r="D548" i="1" a="1"/>
  <c r="D548" i="1" s="1"/>
  <c r="D559" i="1" a="1"/>
  <c r="D559" i="1" s="1"/>
  <c r="D566" i="1" a="1"/>
  <c r="D566" i="1" s="1"/>
  <c r="D577" i="1" a="1"/>
  <c r="D577" i="1" s="1"/>
  <c r="D584" i="1" a="1"/>
  <c r="D584" i="1" s="1"/>
  <c r="D595" i="1" a="1"/>
  <c r="D595" i="1" s="1"/>
  <c r="D602" i="1" a="1"/>
  <c r="D602" i="1" s="1"/>
  <c r="D613" i="1" a="1"/>
  <c r="D613" i="1" s="1"/>
  <c r="D620" i="1" a="1"/>
  <c r="D620" i="1" s="1"/>
  <c r="D623" i="1" a="1"/>
  <c r="D623" i="1" s="1"/>
  <c r="D626" i="1" a="1"/>
  <c r="D626" i="1" s="1"/>
  <c r="D629" i="1" a="1"/>
  <c r="D629" i="1" s="1"/>
  <c r="D632" i="1" a="1"/>
  <c r="D632" i="1" s="1"/>
  <c r="D635" i="1" a="1"/>
  <c r="D635" i="1" s="1"/>
  <c r="D638" i="1" a="1"/>
  <c r="D638" i="1" s="1"/>
  <c r="D641" i="1" a="1"/>
  <c r="D641" i="1" s="1"/>
  <c r="D644" i="1" a="1"/>
  <c r="D644" i="1" s="1"/>
  <c r="D647" i="1" a="1"/>
  <c r="D647" i="1" s="1"/>
  <c r="D650" i="1" a="1"/>
  <c r="D650" i="1" s="1"/>
  <c r="D653" i="1" a="1"/>
  <c r="D653" i="1" s="1"/>
  <c r="D656" i="1" a="1"/>
  <c r="D656" i="1" s="1"/>
  <c r="D659" i="1" a="1"/>
  <c r="D659" i="1" s="1"/>
  <c r="D662" i="1" a="1"/>
  <c r="D662" i="1" s="1"/>
  <c r="D665" i="1" a="1"/>
  <c r="D665" i="1" s="1"/>
  <c r="D668" i="1" a="1"/>
  <c r="D668" i="1" s="1"/>
  <c r="D671" i="1" a="1"/>
  <c r="D671" i="1" s="1"/>
  <c r="D674" i="1" a="1"/>
  <c r="D674" i="1" s="1"/>
  <c r="D677" i="1" a="1"/>
  <c r="D677" i="1" s="1"/>
  <c r="D680" i="1" a="1"/>
  <c r="D680" i="1" s="1"/>
  <c r="D683" i="1" a="1"/>
  <c r="D683" i="1" s="1"/>
  <c r="D686" i="1" a="1"/>
  <c r="D686" i="1" s="1"/>
  <c r="D726" i="1" a="1"/>
  <c r="D726" i="1" s="1"/>
  <c r="D750" i="1" a="1"/>
  <c r="D750" i="1" s="1"/>
  <c r="D520" i="1" a="1"/>
  <c r="D520" i="1" s="1"/>
  <c r="D527" i="1" a="1"/>
  <c r="D527" i="1" s="1"/>
  <c r="D538" i="1" a="1"/>
  <c r="D538" i="1" s="1"/>
  <c r="D545" i="1" a="1"/>
  <c r="D545" i="1" s="1"/>
  <c r="D556" i="1" a="1"/>
  <c r="D556" i="1" s="1"/>
  <c r="D563" i="1" a="1"/>
  <c r="D563" i="1" s="1"/>
  <c r="D574" i="1" a="1"/>
  <c r="D574" i="1" s="1"/>
  <c r="D581" i="1" a="1"/>
  <c r="D581" i="1" s="1"/>
  <c r="D592" i="1" a="1"/>
  <c r="D592" i="1" s="1"/>
  <c r="D599" i="1" a="1"/>
  <c r="D599" i="1" s="1"/>
  <c r="D610" i="1" a="1"/>
  <c r="D610" i="1" s="1"/>
  <c r="D617" i="1" a="1"/>
  <c r="D617" i="1" s="1"/>
  <c r="D690" i="1" a="1"/>
  <c r="D690" i="1" s="1"/>
  <c r="D693" i="1" a="1"/>
  <c r="D693" i="1" s="1"/>
  <c r="D696" i="1" a="1"/>
  <c r="D696" i="1" s="1"/>
  <c r="D699" i="1" a="1"/>
  <c r="D699" i="1" s="1"/>
  <c r="D702" i="1" a="1"/>
  <c r="D702" i="1" s="1"/>
  <c r="D705" i="1" a="1"/>
  <c r="D705" i="1" s="1"/>
  <c r="D708" i="1" a="1"/>
  <c r="D708" i="1" s="1"/>
  <c r="D711" i="1" a="1"/>
  <c r="D711" i="1" s="1"/>
  <c r="D714" i="1" a="1"/>
  <c r="D714" i="1" s="1"/>
  <c r="D717" i="1" a="1"/>
  <c r="D717" i="1" s="1"/>
  <c r="D720" i="1" a="1"/>
  <c r="D720" i="1" s="1"/>
  <c r="D723" i="1" a="1"/>
  <c r="D723" i="1" s="1"/>
  <c r="D490" i="1" a="1"/>
  <c r="D490" i="1" s="1"/>
  <c r="D496" i="1" a="1"/>
  <c r="D496" i="1" s="1"/>
  <c r="D502" i="1" a="1"/>
  <c r="D502" i="1" s="1"/>
  <c r="D508" i="1" a="1"/>
  <c r="D508" i="1" s="1"/>
  <c r="D517" i="1" a="1"/>
  <c r="D517" i="1" s="1"/>
  <c r="D524" i="1" a="1"/>
  <c r="D524" i="1" s="1"/>
  <c r="D535" i="1" a="1"/>
  <c r="D535" i="1" s="1"/>
  <c r="D542" i="1" a="1"/>
  <c r="D542" i="1" s="1"/>
  <c r="D553" i="1" a="1"/>
  <c r="D553" i="1" s="1"/>
  <c r="D560" i="1" a="1"/>
  <c r="D560" i="1" s="1"/>
  <c r="D571" i="1" a="1"/>
  <c r="D571" i="1" s="1"/>
  <c r="D578" i="1" a="1"/>
  <c r="D578" i="1" s="1"/>
  <c r="D589" i="1" a="1"/>
  <c r="D589" i="1" s="1"/>
  <c r="D596" i="1" a="1"/>
  <c r="D596" i="1" s="1"/>
  <c r="D607" i="1" a="1"/>
  <c r="D607" i="1" s="1"/>
  <c r="D614" i="1" a="1"/>
  <c r="D614" i="1" s="1"/>
  <c r="D621" i="1" a="1"/>
  <c r="D621" i="1" s="1"/>
  <c r="D624" i="1" a="1"/>
  <c r="D624" i="1" s="1"/>
  <c r="D627" i="1" a="1"/>
  <c r="D627" i="1" s="1"/>
  <c r="D630" i="1" a="1"/>
  <c r="D630" i="1" s="1"/>
  <c r="D633" i="1" a="1"/>
  <c r="D633" i="1" s="1"/>
  <c r="D636" i="1" a="1"/>
  <c r="D636" i="1" s="1"/>
  <c r="D639" i="1" a="1"/>
  <c r="D639" i="1" s="1"/>
  <c r="D642" i="1" a="1"/>
  <c r="D642" i="1" s="1"/>
  <c r="D645" i="1" a="1"/>
  <c r="D645" i="1" s="1"/>
  <c r="D648" i="1" a="1"/>
  <c r="D648" i="1" s="1"/>
  <c r="D651" i="1" a="1"/>
  <c r="D651" i="1" s="1"/>
  <c r="D654" i="1" a="1"/>
  <c r="D654" i="1" s="1"/>
  <c r="D657" i="1" a="1"/>
  <c r="D657" i="1" s="1"/>
  <c r="D660" i="1" a="1"/>
  <c r="D660" i="1" s="1"/>
  <c r="D663" i="1" a="1"/>
  <c r="D663" i="1" s="1"/>
  <c r="D666" i="1" a="1"/>
  <c r="D666" i="1" s="1"/>
  <c r="D669" i="1" a="1"/>
  <c r="D669" i="1" s="1"/>
  <c r="D672" i="1" a="1"/>
  <c r="D672" i="1" s="1"/>
  <c r="D675" i="1" a="1"/>
  <c r="D675" i="1" s="1"/>
  <c r="D678" i="1" a="1"/>
  <c r="D678" i="1" s="1"/>
  <c r="D681" i="1" a="1"/>
  <c r="D681" i="1" s="1"/>
  <c r="D684" i="1" a="1"/>
  <c r="D684" i="1" s="1"/>
  <c r="D687" i="1" a="1"/>
  <c r="D687" i="1" s="1"/>
  <c r="D738" i="1" a="1"/>
  <c r="D738" i="1" s="1"/>
  <c r="D491" i="1" a="1"/>
  <c r="D491" i="1" s="1"/>
  <c r="D497" i="1" a="1"/>
  <c r="D497" i="1" s="1"/>
  <c r="D503" i="1" a="1"/>
  <c r="D503" i="1" s="1"/>
  <c r="D509" i="1" a="1"/>
  <c r="D509" i="1" s="1"/>
  <c r="D514" i="1" a="1"/>
  <c r="D514" i="1" s="1"/>
  <c r="D521" i="1" a="1"/>
  <c r="D521" i="1" s="1"/>
  <c r="D532" i="1" a="1"/>
  <c r="D532" i="1" s="1"/>
  <c r="D539" i="1" a="1"/>
  <c r="D539" i="1" s="1"/>
  <c r="D550" i="1" a="1"/>
  <c r="D550" i="1" s="1"/>
  <c r="D557" i="1" a="1"/>
  <c r="D557" i="1" s="1"/>
  <c r="D568" i="1" a="1"/>
  <c r="D568" i="1" s="1"/>
  <c r="D575" i="1" a="1"/>
  <c r="D575" i="1" s="1"/>
  <c r="D586" i="1" a="1"/>
  <c r="D586" i="1" s="1"/>
  <c r="D593" i="1" a="1"/>
  <c r="D593" i="1" s="1"/>
  <c r="D604" i="1" a="1"/>
  <c r="D604" i="1" s="1"/>
  <c r="D611" i="1" a="1"/>
  <c r="D611" i="1" s="1"/>
  <c r="D691" i="1" a="1"/>
  <c r="D691" i="1" s="1"/>
  <c r="D694" i="1" a="1"/>
  <c r="D694" i="1" s="1"/>
  <c r="D697" i="1" a="1"/>
  <c r="D697" i="1" s="1"/>
  <c r="D700" i="1" a="1"/>
  <c r="D700" i="1" s="1"/>
  <c r="D703" i="1" a="1"/>
  <c r="D703" i="1" s="1"/>
  <c r="D706" i="1" a="1"/>
  <c r="D706" i="1" s="1"/>
  <c r="D709" i="1" a="1"/>
  <c r="D709" i="1" s="1"/>
  <c r="D712" i="1" a="1"/>
  <c r="D712" i="1" s="1"/>
  <c r="D715" i="1" a="1"/>
  <c r="D715" i="1" s="1"/>
  <c r="D718" i="1" a="1"/>
  <c r="D718" i="1" s="1"/>
  <c r="D721" i="1" a="1"/>
  <c r="D721" i="1" s="1"/>
  <c r="D724" i="1" a="1"/>
  <c r="D724" i="1" s="1"/>
  <c r="D727" i="1" a="1"/>
  <c r="D727" i="1" s="1"/>
  <c r="D730" i="1" a="1"/>
  <c r="D730" i="1" s="1"/>
  <c r="D733" i="1" a="1"/>
  <c r="D733" i="1" s="1"/>
  <c r="D736" i="1" a="1"/>
  <c r="D736" i="1" s="1"/>
  <c r="D739" i="1" a="1"/>
  <c r="D739" i="1" s="1"/>
  <c r="D742" i="1" a="1"/>
  <c r="D742" i="1" s="1"/>
  <c r="D745" i="1" a="1"/>
  <c r="D745" i="1" s="1"/>
  <c r="D748" i="1" a="1"/>
  <c r="D748" i="1" s="1"/>
  <c r="D751" i="1" a="1"/>
  <c r="D751" i="1" s="1"/>
  <c r="D754" i="1" a="1"/>
  <c r="D754" i="1" s="1"/>
  <c r="D732" i="1" a="1"/>
  <c r="D732" i="1" s="1"/>
  <c r="D753" i="1" a="1"/>
  <c r="D753" i="1" s="1"/>
  <c r="N2" i="4"/>
  <c r="C2" i="1" a="1"/>
  <c r="C2" i="1" s="1"/>
  <c r="C54" i="1" a="1"/>
  <c r="C54" i="1" s="1"/>
  <c r="C50" i="1" a="1"/>
  <c r="C50" i="1" s="1"/>
  <c r="C56" i="1" a="1"/>
  <c r="C56" i="1" s="1"/>
  <c r="C55" i="1" a="1"/>
  <c r="C55" i="1" s="1"/>
  <c r="C53" i="1" a="1"/>
  <c r="C53" i="1" s="1"/>
  <c r="C52" i="1" a="1"/>
  <c r="C52" i="1" s="1"/>
  <c r="C57" i="1" a="1"/>
  <c r="C57" i="1" s="1"/>
  <c r="C51" i="1" a="1"/>
  <c r="C51" i="1" s="1"/>
  <c r="M48" i="1"/>
  <c r="M49" i="1"/>
  <c r="M50" i="1"/>
  <c r="M51" i="1"/>
  <c r="Q2" i="4"/>
  <c r="L6" i="1" a="1"/>
  <c r="L6" i="1" s="1"/>
  <c r="L226" i="1" a="1"/>
  <c r="L226" i="1" s="1"/>
  <c r="L298" i="1" a="1"/>
  <c r="L298" i="1" s="1"/>
  <c r="L343" i="1" a="1"/>
  <c r="L343" i="1" s="1"/>
  <c r="L33" i="1" a="1"/>
  <c r="L33" i="1" s="1"/>
  <c r="L325" i="1" a="1"/>
  <c r="L325" i="1" s="1"/>
  <c r="L65" i="1" a="1"/>
  <c r="L65" i="1" s="1"/>
  <c r="L269" i="1" a="1"/>
  <c r="L269" i="1" s="1"/>
  <c r="L307" i="1" a="1"/>
  <c r="L307" i="1" s="1"/>
  <c r="L350" i="1" a="1"/>
  <c r="L350" i="1" s="1"/>
  <c r="L118" i="1" a="1"/>
  <c r="L118" i="1" s="1"/>
  <c r="L278" i="1" a="1"/>
  <c r="L278" i="1" s="1"/>
  <c r="L332" i="1" a="1"/>
  <c r="L332" i="1" s="1"/>
  <c r="L354" i="1" a="1"/>
  <c r="L354" i="1" s="1"/>
  <c r="L154" i="1" a="1"/>
  <c r="L154" i="1" s="1"/>
  <c r="L286" i="1" a="1"/>
  <c r="L286" i="1" s="1"/>
  <c r="L314" i="1" a="1"/>
  <c r="L314" i="1" s="1"/>
  <c r="L336" i="1" a="1"/>
  <c r="L336" i="1" s="1"/>
  <c r="L190" i="1" a="1"/>
  <c r="L190" i="1" s="1"/>
  <c r="L292" i="1" a="1"/>
  <c r="L292" i="1" s="1"/>
  <c r="L318" i="1" a="1"/>
  <c r="L318" i="1" s="1"/>
  <c r="K88" i="1" a="1"/>
  <c r="K88" i="1" s="1"/>
  <c r="K97" i="1" a="1"/>
  <c r="K97" i="1" s="1"/>
  <c r="K106" i="1" a="1"/>
  <c r="K106" i="1" s="1"/>
  <c r="K115" i="1" a="1"/>
  <c r="K115" i="1" s="1"/>
  <c r="K124" i="1" a="1"/>
  <c r="K124" i="1" s="1"/>
  <c r="K133" i="1" a="1"/>
  <c r="K133" i="1" s="1"/>
  <c r="K142" i="1" a="1"/>
  <c r="K142" i="1" s="1"/>
  <c r="K151" i="1" a="1"/>
  <c r="K151" i="1" s="1"/>
  <c r="K160" i="1" a="1"/>
  <c r="K160" i="1" s="1"/>
  <c r="K169" i="1" a="1"/>
  <c r="K169" i="1" s="1"/>
  <c r="K178" i="1" a="1"/>
  <c r="K178" i="1" s="1"/>
  <c r="K188" i="1" a="1"/>
  <c r="K188" i="1" s="1"/>
  <c r="K194" i="1" a="1"/>
  <c r="K194" i="1" s="1"/>
  <c r="K200" i="1" a="1"/>
  <c r="K200" i="1" s="1"/>
  <c r="K206" i="1" a="1"/>
  <c r="K206" i="1" s="1"/>
  <c r="K212" i="1" a="1"/>
  <c r="K212" i="1" s="1"/>
  <c r="K218" i="1" a="1"/>
  <c r="K218" i="1" s="1"/>
  <c r="K224" i="1" a="1"/>
  <c r="K224" i="1" s="1"/>
  <c r="K230" i="1" a="1"/>
  <c r="K230" i="1" s="1"/>
  <c r="K236" i="1" a="1"/>
  <c r="K236" i="1" s="1"/>
  <c r="K242" i="1" a="1"/>
  <c r="K242" i="1" s="1"/>
  <c r="K248" i="1" a="1"/>
  <c r="K248" i="1" s="1"/>
  <c r="K254" i="1" a="1"/>
  <c r="K254" i="1" s="1"/>
  <c r="K260" i="1" a="1"/>
  <c r="K260" i="1" s="1"/>
  <c r="K266" i="1" a="1"/>
  <c r="K266" i="1" s="1"/>
  <c r="K272" i="1" a="1"/>
  <c r="K272" i="1" s="1"/>
  <c r="K278" i="1" a="1"/>
  <c r="K278" i="1" s="1"/>
  <c r="K284" i="1" a="1"/>
  <c r="K284" i="1" s="1"/>
  <c r="K290" i="1" a="1"/>
  <c r="K290" i="1" s="1"/>
  <c r="K296" i="1" a="1"/>
  <c r="K296" i="1" s="1"/>
  <c r="K302" i="1" a="1"/>
  <c r="K302" i="1" s="1"/>
  <c r="K308" i="1" a="1"/>
  <c r="K308" i="1" s="1"/>
  <c r="K314" i="1" a="1"/>
  <c r="K314" i="1" s="1"/>
  <c r="K320" i="1" a="1"/>
  <c r="K320" i="1" s="1"/>
  <c r="K326" i="1" a="1"/>
  <c r="K326" i="1" s="1"/>
  <c r="K332" i="1" a="1"/>
  <c r="K332" i="1" s="1"/>
  <c r="K338" i="1" a="1"/>
  <c r="K338" i="1" s="1"/>
  <c r="K344" i="1" a="1"/>
  <c r="K344" i="1" s="1"/>
  <c r="K350" i="1" a="1"/>
  <c r="K350" i="1" s="1"/>
  <c r="K356" i="1" a="1"/>
  <c r="K356" i="1" s="1"/>
  <c r="K362" i="1" a="1"/>
  <c r="K362" i="1" s="1"/>
  <c r="K368" i="1" a="1"/>
  <c r="K368" i="1" s="1"/>
  <c r="K374" i="1" a="1"/>
  <c r="K374" i="1" s="1"/>
  <c r="K380" i="1" a="1"/>
  <c r="K380" i="1" s="1"/>
  <c r="K386" i="1" a="1"/>
  <c r="K386" i="1" s="1"/>
  <c r="K89" i="1" a="1"/>
  <c r="K89" i="1" s="1"/>
  <c r="K93" i="1" a="1"/>
  <c r="K93" i="1" s="1"/>
  <c r="K98" i="1" a="1"/>
  <c r="K98" i="1" s="1"/>
  <c r="K102" i="1" a="1"/>
  <c r="K102" i="1" s="1"/>
  <c r="K107" i="1" a="1"/>
  <c r="K107" i="1" s="1"/>
  <c r="K111" i="1" a="1"/>
  <c r="K111" i="1" s="1"/>
  <c r="K116" i="1" a="1"/>
  <c r="K116" i="1" s="1"/>
  <c r="K120" i="1" a="1"/>
  <c r="K120" i="1" s="1"/>
  <c r="K125" i="1" a="1"/>
  <c r="K125" i="1" s="1"/>
  <c r="K129" i="1" a="1"/>
  <c r="K129" i="1" s="1"/>
  <c r="K134" i="1" a="1"/>
  <c r="K134" i="1" s="1"/>
  <c r="K138" i="1" a="1"/>
  <c r="K138" i="1" s="1"/>
  <c r="K143" i="1" a="1"/>
  <c r="K143" i="1" s="1"/>
  <c r="K147" i="1" a="1"/>
  <c r="K147" i="1" s="1"/>
  <c r="K152" i="1" a="1"/>
  <c r="K152" i="1" s="1"/>
  <c r="K156" i="1" a="1"/>
  <c r="K156" i="1" s="1"/>
  <c r="K161" i="1" a="1"/>
  <c r="K161" i="1" s="1"/>
  <c r="K165" i="1" a="1"/>
  <c r="K165" i="1" s="1"/>
  <c r="K170" i="1" a="1"/>
  <c r="K170" i="1" s="1"/>
  <c r="K174" i="1" a="1"/>
  <c r="K174" i="1" s="1"/>
  <c r="K179" i="1" a="1"/>
  <c r="K179" i="1" s="1"/>
  <c r="K183" i="1" a="1"/>
  <c r="K183" i="1" s="1"/>
  <c r="K189" i="1" a="1"/>
  <c r="K189" i="1" s="1"/>
  <c r="K195" i="1" a="1"/>
  <c r="K195" i="1" s="1"/>
  <c r="K201" i="1" a="1"/>
  <c r="K201" i="1" s="1"/>
  <c r="K207" i="1" a="1"/>
  <c r="K207" i="1" s="1"/>
  <c r="K213" i="1" a="1"/>
  <c r="K213" i="1" s="1"/>
  <c r="K219" i="1" a="1"/>
  <c r="K219" i="1" s="1"/>
  <c r="K225" i="1" a="1"/>
  <c r="K225" i="1" s="1"/>
  <c r="K231" i="1" a="1"/>
  <c r="K231" i="1" s="1"/>
  <c r="K237" i="1" a="1"/>
  <c r="K237" i="1" s="1"/>
  <c r="K243" i="1" a="1"/>
  <c r="K243" i="1" s="1"/>
  <c r="K249" i="1" a="1"/>
  <c r="K249" i="1" s="1"/>
  <c r="K255" i="1" a="1"/>
  <c r="K255" i="1" s="1"/>
  <c r="K261" i="1" a="1"/>
  <c r="K261" i="1" s="1"/>
  <c r="K267" i="1" a="1"/>
  <c r="K267" i="1" s="1"/>
  <c r="K273" i="1" a="1"/>
  <c r="K273" i="1" s="1"/>
  <c r="K279" i="1" a="1"/>
  <c r="K279" i="1" s="1"/>
  <c r="K285" i="1" a="1"/>
  <c r="K285" i="1" s="1"/>
  <c r="K291" i="1" a="1"/>
  <c r="K291" i="1" s="1"/>
  <c r="K297" i="1" a="1"/>
  <c r="K297" i="1" s="1"/>
  <c r="K303" i="1" a="1"/>
  <c r="K303" i="1" s="1"/>
  <c r="K309" i="1" a="1"/>
  <c r="K309" i="1" s="1"/>
  <c r="K315" i="1" a="1"/>
  <c r="K315" i="1" s="1"/>
  <c r="K321" i="1" a="1"/>
  <c r="K321" i="1" s="1"/>
  <c r="K327" i="1" a="1"/>
  <c r="K327" i="1" s="1"/>
  <c r="K333" i="1" a="1"/>
  <c r="K333" i="1" s="1"/>
  <c r="K339" i="1" a="1"/>
  <c r="K339" i="1" s="1"/>
  <c r="K345" i="1" a="1"/>
  <c r="K345" i="1" s="1"/>
  <c r="K351" i="1" a="1"/>
  <c r="K351" i="1" s="1"/>
  <c r="K357" i="1" a="1"/>
  <c r="K357" i="1" s="1"/>
  <c r="K363" i="1" a="1"/>
  <c r="K363" i="1" s="1"/>
  <c r="K369" i="1" a="1"/>
  <c r="K369" i="1" s="1"/>
  <c r="K375" i="1" a="1"/>
  <c r="K375" i="1" s="1"/>
  <c r="K381" i="1" a="1"/>
  <c r="K381" i="1" s="1"/>
  <c r="K387" i="1" a="1"/>
  <c r="K387" i="1" s="1"/>
  <c r="K94" i="1" a="1"/>
  <c r="K94" i="1" s="1"/>
  <c r="K103" i="1" a="1"/>
  <c r="K103" i="1" s="1"/>
  <c r="K112" i="1" a="1"/>
  <c r="K112" i="1" s="1"/>
  <c r="K121" i="1" a="1"/>
  <c r="K121" i="1" s="1"/>
  <c r="K130" i="1" a="1"/>
  <c r="K130" i="1" s="1"/>
  <c r="K139" i="1" a="1"/>
  <c r="K139" i="1" s="1"/>
  <c r="K148" i="1" a="1"/>
  <c r="K148" i="1" s="1"/>
  <c r="K157" i="1" a="1"/>
  <c r="K157" i="1" s="1"/>
  <c r="K166" i="1" a="1"/>
  <c r="K166" i="1" s="1"/>
  <c r="K175" i="1" a="1"/>
  <c r="K175" i="1" s="1"/>
  <c r="K184" i="1" a="1"/>
  <c r="K184" i="1" s="1"/>
  <c r="K190" i="1" a="1"/>
  <c r="K190" i="1" s="1"/>
  <c r="K196" i="1" a="1"/>
  <c r="K196" i="1" s="1"/>
  <c r="K202" i="1" a="1"/>
  <c r="K202" i="1" s="1"/>
  <c r="K208" i="1" a="1"/>
  <c r="K208" i="1" s="1"/>
  <c r="K214" i="1" a="1"/>
  <c r="K214" i="1" s="1"/>
  <c r="K220" i="1" a="1"/>
  <c r="K220" i="1" s="1"/>
  <c r="K226" i="1" a="1"/>
  <c r="K226" i="1" s="1"/>
  <c r="K232" i="1" a="1"/>
  <c r="K232" i="1" s="1"/>
  <c r="K238" i="1" a="1"/>
  <c r="K238" i="1" s="1"/>
  <c r="K244" i="1" a="1"/>
  <c r="K244" i="1" s="1"/>
  <c r="K250" i="1" a="1"/>
  <c r="K250" i="1" s="1"/>
  <c r="K256" i="1" a="1"/>
  <c r="K256" i="1" s="1"/>
  <c r="K262" i="1" a="1"/>
  <c r="K262" i="1" s="1"/>
  <c r="K268" i="1" a="1"/>
  <c r="K268" i="1" s="1"/>
  <c r="K274" i="1" a="1"/>
  <c r="K274" i="1" s="1"/>
  <c r="K280" i="1" a="1"/>
  <c r="K280" i="1" s="1"/>
  <c r="K286" i="1" a="1"/>
  <c r="K286" i="1" s="1"/>
  <c r="K292" i="1" a="1"/>
  <c r="K292" i="1" s="1"/>
  <c r="K298" i="1" a="1"/>
  <c r="K298" i="1" s="1"/>
  <c r="K304" i="1" a="1"/>
  <c r="K304" i="1" s="1"/>
  <c r="K310" i="1" a="1"/>
  <c r="K310" i="1" s="1"/>
  <c r="K316" i="1" a="1"/>
  <c r="K316" i="1" s="1"/>
  <c r="K322" i="1" a="1"/>
  <c r="K322" i="1" s="1"/>
  <c r="K328" i="1" a="1"/>
  <c r="K328" i="1" s="1"/>
  <c r="K334" i="1" a="1"/>
  <c r="K334" i="1" s="1"/>
  <c r="K340" i="1" a="1"/>
  <c r="K340" i="1" s="1"/>
  <c r="K346" i="1" a="1"/>
  <c r="K346" i="1" s="1"/>
  <c r="K352" i="1" a="1"/>
  <c r="K352" i="1" s="1"/>
  <c r="K358" i="1" a="1"/>
  <c r="K358" i="1" s="1"/>
  <c r="K364" i="1" a="1"/>
  <c r="K364" i="1" s="1"/>
  <c r="K370" i="1" a="1"/>
  <c r="K370" i="1" s="1"/>
  <c r="K376" i="1" a="1"/>
  <c r="K376" i="1" s="1"/>
  <c r="K382" i="1" a="1"/>
  <c r="K382" i="1" s="1"/>
  <c r="K388" i="1" a="1"/>
  <c r="K388" i="1" s="1"/>
  <c r="K394" i="1" a="1"/>
  <c r="K394" i="1" s="1"/>
  <c r="K400" i="1" a="1"/>
  <c r="K400" i="1" s="1"/>
  <c r="K82" i="1" a="1"/>
  <c r="K82" i="1" s="1"/>
  <c r="K90" i="1" a="1"/>
  <c r="K90" i="1" s="1"/>
  <c r="K95" i="1" a="1"/>
  <c r="K95" i="1" s="1"/>
  <c r="K99" i="1" a="1"/>
  <c r="K99" i="1" s="1"/>
  <c r="K104" i="1" a="1"/>
  <c r="K104" i="1" s="1"/>
  <c r="K108" i="1" a="1"/>
  <c r="K108" i="1" s="1"/>
  <c r="K113" i="1" a="1"/>
  <c r="K113" i="1" s="1"/>
  <c r="K117" i="1" a="1"/>
  <c r="K117" i="1" s="1"/>
  <c r="K122" i="1" a="1"/>
  <c r="K122" i="1" s="1"/>
  <c r="K126" i="1" a="1"/>
  <c r="K126" i="1" s="1"/>
  <c r="K131" i="1" a="1"/>
  <c r="K131" i="1" s="1"/>
  <c r="K135" i="1" a="1"/>
  <c r="K135" i="1" s="1"/>
  <c r="K140" i="1" a="1"/>
  <c r="K140" i="1" s="1"/>
  <c r="K144" i="1" a="1"/>
  <c r="K144" i="1" s="1"/>
  <c r="K149" i="1" a="1"/>
  <c r="K149" i="1" s="1"/>
  <c r="K153" i="1" a="1"/>
  <c r="K153" i="1" s="1"/>
  <c r="K158" i="1" a="1"/>
  <c r="K158" i="1" s="1"/>
  <c r="K162" i="1" a="1"/>
  <c r="K162" i="1" s="1"/>
  <c r="K167" i="1" a="1"/>
  <c r="K167" i="1" s="1"/>
  <c r="K171" i="1" a="1"/>
  <c r="K171" i="1" s="1"/>
  <c r="K176" i="1" a="1"/>
  <c r="K176" i="1" s="1"/>
  <c r="K180" i="1" a="1"/>
  <c r="K180" i="1" s="1"/>
  <c r="K185" i="1" a="1"/>
  <c r="K185" i="1" s="1"/>
  <c r="K191" i="1" a="1"/>
  <c r="K191" i="1" s="1"/>
  <c r="K197" i="1" a="1"/>
  <c r="K197" i="1" s="1"/>
  <c r="K203" i="1" a="1"/>
  <c r="K203" i="1" s="1"/>
  <c r="K209" i="1" a="1"/>
  <c r="K209" i="1" s="1"/>
  <c r="K215" i="1" a="1"/>
  <c r="K215" i="1" s="1"/>
  <c r="K221" i="1" a="1"/>
  <c r="K221" i="1" s="1"/>
  <c r="K227" i="1" a="1"/>
  <c r="K227" i="1" s="1"/>
  <c r="K233" i="1" a="1"/>
  <c r="K233" i="1" s="1"/>
  <c r="K239" i="1" a="1"/>
  <c r="K239" i="1" s="1"/>
  <c r="K245" i="1" a="1"/>
  <c r="K245" i="1" s="1"/>
  <c r="K251" i="1" a="1"/>
  <c r="K251" i="1" s="1"/>
  <c r="K257" i="1" a="1"/>
  <c r="K257" i="1" s="1"/>
  <c r="K263" i="1" a="1"/>
  <c r="K263" i="1" s="1"/>
  <c r="K269" i="1" a="1"/>
  <c r="K269" i="1" s="1"/>
  <c r="K275" i="1" a="1"/>
  <c r="K275" i="1" s="1"/>
  <c r="K281" i="1" a="1"/>
  <c r="K281" i="1" s="1"/>
  <c r="K287" i="1" a="1"/>
  <c r="K287" i="1" s="1"/>
  <c r="K293" i="1" a="1"/>
  <c r="K293" i="1" s="1"/>
  <c r="K299" i="1" a="1"/>
  <c r="K299" i="1" s="1"/>
  <c r="K305" i="1" a="1"/>
  <c r="K305" i="1" s="1"/>
  <c r="K311" i="1" a="1"/>
  <c r="K311" i="1" s="1"/>
  <c r="K317" i="1" a="1"/>
  <c r="K317" i="1" s="1"/>
  <c r="K323" i="1" a="1"/>
  <c r="K323" i="1" s="1"/>
  <c r="K329" i="1" a="1"/>
  <c r="K329" i="1" s="1"/>
  <c r="K335" i="1" a="1"/>
  <c r="K335" i="1" s="1"/>
  <c r="K341" i="1" a="1"/>
  <c r="K341" i="1" s="1"/>
  <c r="K347" i="1" a="1"/>
  <c r="K347" i="1" s="1"/>
  <c r="K353" i="1" a="1"/>
  <c r="K353" i="1" s="1"/>
  <c r="K359" i="1" a="1"/>
  <c r="K359" i="1" s="1"/>
  <c r="K365" i="1" a="1"/>
  <c r="K365" i="1" s="1"/>
  <c r="K371" i="1" a="1"/>
  <c r="K371" i="1" s="1"/>
  <c r="K377" i="1" a="1"/>
  <c r="K377" i="1" s="1"/>
  <c r="K383" i="1" a="1"/>
  <c r="K383" i="1" s="1"/>
  <c r="K389" i="1" a="1"/>
  <c r="K389" i="1" s="1"/>
  <c r="K395" i="1" a="1"/>
  <c r="K395" i="1" s="1"/>
  <c r="K401" i="1" a="1"/>
  <c r="K401" i="1" s="1"/>
  <c r="K83" i="1" a="1"/>
  <c r="K83" i="1" s="1"/>
  <c r="K91" i="1" a="1"/>
  <c r="K91" i="1" s="1"/>
  <c r="K100" i="1" a="1"/>
  <c r="K100" i="1" s="1"/>
  <c r="K109" i="1" a="1"/>
  <c r="K109" i="1" s="1"/>
  <c r="K118" i="1" a="1"/>
  <c r="K118" i="1" s="1"/>
  <c r="K127" i="1" a="1"/>
  <c r="K127" i="1" s="1"/>
  <c r="K136" i="1" a="1"/>
  <c r="K136" i="1" s="1"/>
  <c r="K145" i="1" a="1"/>
  <c r="K145" i="1" s="1"/>
  <c r="K154" i="1" a="1"/>
  <c r="K154" i="1" s="1"/>
  <c r="K163" i="1" a="1"/>
  <c r="K163" i="1" s="1"/>
  <c r="K172" i="1" a="1"/>
  <c r="K172" i="1" s="1"/>
  <c r="K181" i="1" a="1"/>
  <c r="K181" i="1" s="1"/>
  <c r="K186" i="1" a="1"/>
  <c r="K186" i="1" s="1"/>
  <c r="K192" i="1" a="1"/>
  <c r="K192" i="1" s="1"/>
  <c r="K198" i="1" a="1"/>
  <c r="K198" i="1" s="1"/>
  <c r="K204" i="1" a="1"/>
  <c r="K204" i="1" s="1"/>
  <c r="K210" i="1" a="1"/>
  <c r="K210" i="1" s="1"/>
  <c r="K216" i="1" a="1"/>
  <c r="K216" i="1" s="1"/>
  <c r="K222" i="1" a="1"/>
  <c r="K222" i="1" s="1"/>
  <c r="K228" i="1" a="1"/>
  <c r="K228" i="1" s="1"/>
  <c r="K234" i="1" a="1"/>
  <c r="K234" i="1" s="1"/>
  <c r="K240" i="1" a="1"/>
  <c r="K240" i="1" s="1"/>
  <c r="K246" i="1" a="1"/>
  <c r="K246" i="1" s="1"/>
  <c r="K252" i="1" a="1"/>
  <c r="K252" i="1" s="1"/>
  <c r="K258" i="1" a="1"/>
  <c r="K258" i="1" s="1"/>
  <c r="K264" i="1" a="1"/>
  <c r="K264" i="1" s="1"/>
  <c r="K270" i="1" a="1"/>
  <c r="K270" i="1" s="1"/>
  <c r="K276" i="1" a="1"/>
  <c r="K276" i="1" s="1"/>
  <c r="K282" i="1" a="1"/>
  <c r="K282" i="1" s="1"/>
  <c r="K288" i="1" a="1"/>
  <c r="K288" i="1" s="1"/>
  <c r="K294" i="1" a="1"/>
  <c r="K294" i="1" s="1"/>
  <c r="K300" i="1" a="1"/>
  <c r="K300" i="1" s="1"/>
  <c r="K306" i="1" a="1"/>
  <c r="K306" i="1" s="1"/>
  <c r="K312" i="1" a="1"/>
  <c r="K312" i="1" s="1"/>
  <c r="K318" i="1" a="1"/>
  <c r="K318" i="1" s="1"/>
  <c r="K324" i="1" a="1"/>
  <c r="K324" i="1" s="1"/>
  <c r="K330" i="1" a="1"/>
  <c r="K330" i="1" s="1"/>
  <c r="K336" i="1" a="1"/>
  <c r="K336" i="1" s="1"/>
  <c r="K342" i="1" a="1"/>
  <c r="K342" i="1" s="1"/>
  <c r="K348" i="1" a="1"/>
  <c r="K348" i="1" s="1"/>
  <c r="K354" i="1" a="1"/>
  <c r="K354" i="1" s="1"/>
  <c r="K360" i="1" a="1"/>
  <c r="K360" i="1" s="1"/>
  <c r="K366" i="1" a="1"/>
  <c r="K366" i="1" s="1"/>
  <c r="K372" i="1" a="1"/>
  <c r="K372" i="1" s="1"/>
  <c r="K378" i="1" a="1"/>
  <c r="K378" i="1" s="1"/>
  <c r="K384" i="1" a="1"/>
  <c r="K384" i="1" s="1"/>
  <c r="K390" i="1" a="1"/>
  <c r="K390" i="1" s="1"/>
  <c r="K396" i="1" a="1"/>
  <c r="K396" i="1" s="1"/>
  <c r="K402" i="1" a="1"/>
  <c r="K402" i="1" s="1"/>
  <c r="K84" i="1" a="1"/>
  <c r="K84" i="1" s="1"/>
  <c r="K87" i="1" a="1"/>
  <c r="K87" i="1" s="1"/>
  <c r="K114" i="1" a="1"/>
  <c r="K114" i="1" s="1"/>
  <c r="K141" i="1" a="1"/>
  <c r="K141" i="1" s="1"/>
  <c r="K168" i="1" a="1"/>
  <c r="K168" i="1" s="1"/>
  <c r="K199" i="1" a="1"/>
  <c r="K199" i="1" s="1"/>
  <c r="K235" i="1" a="1"/>
  <c r="K235" i="1" s="1"/>
  <c r="K271" i="1" a="1"/>
  <c r="K271" i="1" s="1"/>
  <c r="K307" i="1" a="1"/>
  <c r="K307" i="1" s="1"/>
  <c r="K343" i="1" a="1"/>
  <c r="K343" i="1" s="1"/>
  <c r="K379" i="1" a="1"/>
  <c r="K379" i="1" s="1"/>
  <c r="K398" i="1" a="1"/>
  <c r="K398" i="1" s="1"/>
  <c r="K86" i="1" a="1"/>
  <c r="K86" i="1" s="1"/>
  <c r="K92" i="1" a="1"/>
  <c r="K92" i="1" s="1"/>
  <c r="K119" i="1" a="1"/>
  <c r="K119" i="1" s="1"/>
  <c r="K146" i="1" a="1"/>
  <c r="K146" i="1" s="1"/>
  <c r="K173" i="1" a="1"/>
  <c r="K173" i="1" s="1"/>
  <c r="K205" i="1" a="1"/>
  <c r="K205" i="1" s="1"/>
  <c r="K241" i="1" a="1"/>
  <c r="K241" i="1" s="1"/>
  <c r="K277" i="1" a="1"/>
  <c r="K277" i="1" s="1"/>
  <c r="K313" i="1" a="1"/>
  <c r="K313" i="1" s="1"/>
  <c r="K349" i="1" a="1"/>
  <c r="K349" i="1" s="1"/>
  <c r="K385" i="1" a="1"/>
  <c r="K385" i="1" s="1"/>
  <c r="K399" i="1" a="1"/>
  <c r="K399" i="1" s="1"/>
  <c r="K96" i="1" a="1"/>
  <c r="K96" i="1" s="1"/>
  <c r="K123" i="1" a="1"/>
  <c r="K123" i="1" s="1"/>
  <c r="K150" i="1" a="1"/>
  <c r="K150" i="1" s="1"/>
  <c r="K177" i="1" a="1"/>
  <c r="K177" i="1" s="1"/>
  <c r="K211" i="1" a="1"/>
  <c r="K211" i="1" s="1"/>
  <c r="K247" i="1" a="1"/>
  <c r="K247" i="1" s="1"/>
  <c r="K283" i="1" a="1"/>
  <c r="K283" i="1" s="1"/>
  <c r="K319" i="1" a="1"/>
  <c r="K319" i="1" s="1"/>
  <c r="K355" i="1" a="1"/>
  <c r="K355" i="1" s="1"/>
  <c r="K391" i="1" a="1"/>
  <c r="K391" i="1" s="1"/>
  <c r="K403" i="1" a="1"/>
  <c r="K403" i="1" s="1"/>
  <c r="K101" i="1" a="1"/>
  <c r="K101" i="1" s="1"/>
  <c r="K128" i="1" a="1"/>
  <c r="K128" i="1" s="1"/>
  <c r="K155" i="1" a="1"/>
  <c r="K155" i="1" s="1"/>
  <c r="K182" i="1" a="1"/>
  <c r="K182" i="1" s="1"/>
  <c r="K217" i="1" a="1"/>
  <c r="K217" i="1" s="1"/>
  <c r="K253" i="1" a="1"/>
  <c r="K253" i="1" s="1"/>
  <c r="K289" i="1" a="1"/>
  <c r="K289" i="1" s="1"/>
  <c r="K325" i="1" a="1"/>
  <c r="K325" i="1" s="1"/>
  <c r="K361" i="1" a="1"/>
  <c r="K361" i="1" s="1"/>
  <c r="K392" i="1" a="1"/>
  <c r="K392" i="1" s="1"/>
  <c r="K404" i="1" a="1"/>
  <c r="K404" i="1" s="1"/>
  <c r="K105" i="1" a="1"/>
  <c r="K105" i="1" s="1"/>
  <c r="K132" i="1" a="1"/>
  <c r="K132" i="1" s="1"/>
  <c r="K159" i="1" a="1"/>
  <c r="K159" i="1" s="1"/>
  <c r="K187" i="1" a="1"/>
  <c r="K187" i="1" s="1"/>
  <c r="K223" i="1" a="1"/>
  <c r="K223" i="1" s="1"/>
  <c r="K259" i="1" a="1"/>
  <c r="K259" i="1" s="1"/>
  <c r="K295" i="1" a="1"/>
  <c r="K295" i="1" s="1"/>
  <c r="K331" i="1" a="1"/>
  <c r="K331" i="1" s="1"/>
  <c r="K367" i="1" a="1"/>
  <c r="K367" i="1" s="1"/>
  <c r="K393" i="1" a="1"/>
  <c r="K393" i="1" s="1"/>
  <c r="K81" i="1" a="1"/>
  <c r="K81" i="1" s="1"/>
  <c r="K110" i="1" a="1"/>
  <c r="K110" i="1" s="1"/>
  <c r="K301" i="1" a="1"/>
  <c r="K301" i="1" s="1"/>
  <c r="L88" i="1" a="1"/>
  <c r="L88" i="1" s="1"/>
  <c r="L94" i="1" a="1"/>
  <c r="L94" i="1" s="1"/>
  <c r="L100" i="1" a="1"/>
  <c r="L100" i="1" s="1"/>
  <c r="L7" i="1" a="1"/>
  <c r="L7" i="1" s="1"/>
  <c r="L16" i="1" a="1"/>
  <c r="L16" i="1" s="1"/>
  <c r="L25" i="1" a="1"/>
  <c r="L25" i="1" s="1"/>
  <c r="L34" i="1" a="1"/>
  <c r="L34" i="1" s="1"/>
  <c r="L43" i="1" a="1"/>
  <c r="L43" i="1" s="1"/>
  <c r="L48" i="1" a="1"/>
  <c r="L48" i="1" s="1"/>
  <c r="L54" i="1" a="1"/>
  <c r="L54" i="1" s="1"/>
  <c r="L60" i="1" a="1"/>
  <c r="L60" i="1" s="1"/>
  <c r="L66" i="1" a="1"/>
  <c r="L66" i="1" s="1"/>
  <c r="L72" i="1" a="1"/>
  <c r="L72" i="1" s="1"/>
  <c r="L78" i="1" a="1"/>
  <c r="L78" i="1" s="1"/>
  <c r="L101" i="1" a="1"/>
  <c r="L101" i="1" s="1"/>
  <c r="L107" i="1" a="1"/>
  <c r="L107" i="1" s="1"/>
  <c r="L113" i="1" a="1"/>
  <c r="L113" i="1" s="1"/>
  <c r="L119" i="1" a="1"/>
  <c r="L119" i="1" s="1"/>
  <c r="L125" i="1" a="1"/>
  <c r="L125" i="1" s="1"/>
  <c r="L131" i="1" a="1"/>
  <c r="L131" i="1" s="1"/>
  <c r="L137" i="1" a="1"/>
  <c r="L137" i="1" s="1"/>
  <c r="L143" i="1" a="1"/>
  <c r="L143" i="1" s="1"/>
  <c r="L149" i="1" a="1"/>
  <c r="L149" i="1" s="1"/>
  <c r="L155" i="1" a="1"/>
  <c r="L155" i="1" s="1"/>
  <c r="L161" i="1" a="1"/>
  <c r="L161" i="1" s="1"/>
  <c r="L167" i="1" a="1"/>
  <c r="L167" i="1" s="1"/>
  <c r="L173" i="1" a="1"/>
  <c r="L173" i="1" s="1"/>
  <c r="L179" i="1" a="1"/>
  <c r="L179" i="1" s="1"/>
  <c r="L185" i="1" a="1"/>
  <c r="L185" i="1" s="1"/>
  <c r="L191" i="1" a="1"/>
  <c r="L191" i="1" s="1"/>
  <c r="L197" i="1" a="1"/>
  <c r="L197" i="1" s="1"/>
  <c r="L203" i="1" a="1"/>
  <c r="L203" i="1" s="1"/>
  <c r="L209" i="1" a="1"/>
  <c r="L209" i="1" s="1"/>
  <c r="L215" i="1" a="1"/>
  <c r="L215" i="1" s="1"/>
  <c r="L221" i="1" a="1"/>
  <c r="L221" i="1" s="1"/>
  <c r="L227" i="1" a="1"/>
  <c r="L227" i="1" s="1"/>
  <c r="L233" i="1" a="1"/>
  <c r="L233" i="1" s="1"/>
  <c r="L237" i="1" a="1"/>
  <c r="L237" i="1" s="1"/>
  <c r="L242" i="1" a="1"/>
  <c r="L242" i="1" s="1"/>
  <c r="L246" i="1" a="1"/>
  <c r="L246" i="1" s="1"/>
  <c r="L251" i="1" a="1"/>
  <c r="L251" i="1" s="1"/>
  <c r="L255" i="1" a="1"/>
  <c r="L255" i="1" s="1"/>
  <c r="L259" i="1" a="1"/>
  <c r="L259" i="1" s="1"/>
  <c r="L262" i="1" a="1"/>
  <c r="L262" i="1" s="1"/>
  <c r="L265" i="1" a="1"/>
  <c r="L265" i="1" s="1"/>
  <c r="L268" i="1" a="1"/>
  <c r="L268" i="1" s="1"/>
  <c r="L271" i="1" a="1"/>
  <c r="L271" i="1" s="1"/>
  <c r="L274" i="1" a="1"/>
  <c r="L274" i="1" s="1"/>
  <c r="L277" i="1" a="1"/>
  <c r="L277" i="1" s="1"/>
  <c r="L280" i="1" a="1"/>
  <c r="L280" i="1" s="1"/>
  <c r="L283" i="1" a="1"/>
  <c r="L283" i="1" s="1"/>
  <c r="K137" i="1" a="1"/>
  <c r="K137" i="1" s="1"/>
  <c r="K337" i="1" a="1"/>
  <c r="K337" i="1" s="1"/>
  <c r="L89" i="1" a="1"/>
  <c r="L89" i="1" s="1"/>
  <c r="L95" i="1" a="1"/>
  <c r="L95" i="1" s="1"/>
  <c r="L3" i="1" a="1"/>
  <c r="L3" i="1" s="1"/>
  <c r="L8" i="1" a="1"/>
  <c r="L8" i="1" s="1"/>
  <c r="L12" i="1" a="1"/>
  <c r="L12" i="1" s="1"/>
  <c r="L17" i="1" a="1"/>
  <c r="L17" i="1" s="1"/>
  <c r="L21" i="1" a="1"/>
  <c r="L21" i="1" s="1"/>
  <c r="L26" i="1" a="1"/>
  <c r="L26" i="1" s="1"/>
  <c r="L30" i="1" a="1"/>
  <c r="L30" i="1" s="1"/>
  <c r="L35" i="1" a="1"/>
  <c r="L35" i="1" s="1"/>
  <c r="L39" i="1" a="1"/>
  <c r="L39" i="1" s="1"/>
  <c r="L44" i="1" a="1"/>
  <c r="L44" i="1" s="1"/>
  <c r="L49" i="1" a="1"/>
  <c r="L49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102" i="1" a="1"/>
  <c r="L102" i="1" s="1"/>
  <c r="L108" i="1" a="1"/>
  <c r="L108" i="1" s="1"/>
  <c r="L114" i="1" a="1"/>
  <c r="L114" i="1" s="1"/>
  <c r="L120" i="1" a="1"/>
  <c r="L120" i="1" s="1"/>
  <c r="L126" i="1" a="1"/>
  <c r="L126" i="1" s="1"/>
  <c r="L132" i="1" a="1"/>
  <c r="L132" i="1" s="1"/>
  <c r="L138" i="1" a="1"/>
  <c r="L138" i="1" s="1"/>
  <c r="L144" i="1" a="1"/>
  <c r="L144" i="1" s="1"/>
  <c r="L150" i="1" a="1"/>
  <c r="L150" i="1" s="1"/>
  <c r="L156" i="1" a="1"/>
  <c r="L156" i="1" s="1"/>
  <c r="L162" i="1" a="1"/>
  <c r="L162" i="1" s="1"/>
  <c r="L168" i="1" a="1"/>
  <c r="L168" i="1" s="1"/>
  <c r="L174" i="1" a="1"/>
  <c r="L174" i="1" s="1"/>
  <c r="L180" i="1" a="1"/>
  <c r="L180" i="1" s="1"/>
  <c r="L186" i="1" a="1"/>
  <c r="L186" i="1" s="1"/>
  <c r="L192" i="1" a="1"/>
  <c r="L192" i="1" s="1"/>
  <c r="L198" i="1" a="1"/>
  <c r="L198" i="1" s="1"/>
  <c r="L204" i="1" a="1"/>
  <c r="L204" i="1" s="1"/>
  <c r="L210" i="1" a="1"/>
  <c r="L210" i="1" s="1"/>
  <c r="L216" i="1" a="1"/>
  <c r="L216" i="1" s="1"/>
  <c r="L222" i="1" a="1"/>
  <c r="L222" i="1" s="1"/>
  <c r="L228" i="1" a="1"/>
  <c r="L228" i="1" s="1"/>
  <c r="L238" i="1" a="1"/>
  <c r="L238" i="1" s="1"/>
  <c r="L247" i="1" a="1"/>
  <c r="L247" i="1" s="1"/>
  <c r="L256" i="1" a="1"/>
  <c r="L256" i="1" s="1"/>
  <c r="K164" i="1" a="1"/>
  <c r="K164" i="1" s="1"/>
  <c r="K373" i="1" a="1"/>
  <c r="K373" i="1" s="1"/>
  <c r="L84" i="1" a="1"/>
  <c r="L84" i="1" s="1"/>
  <c r="L90" i="1" a="1"/>
  <c r="L90" i="1" s="1"/>
  <c r="L96" i="1" a="1"/>
  <c r="L96" i="1" s="1"/>
  <c r="L4" i="1" a="1"/>
  <c r="L4" i="1" s="1"/>
  <c r="L13" i="1" a="1"/>
  <c r="L13" i="1" s="1"/>
  <c r="L22" i="1" a="1"/>
  <c r="L22" i="1" s="1"/>
  <c r="L31" i="1" a="1"/>
  <c r="L31" i="1" s="1"/>
  <c r="L40" i="1" a="1"/>
  <c r="L40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103" i="1" a="1"/>
  <c r="L103" i="1" s="1"/>
  <c r="L109" i="1" a="1"/>
  <c r="L109" i="1" s="1"/>
  <c r="L115" i="1" a="1"/>
  <c r="L115" i="1" s="1"/>
  <c r="L121" i="1" a="1"/>
  <c r="L121" i="1" s="1"/>
  <c r="L127" i="1" a="1"/>
  <c r="L127" i="1" s="1"/>
  <c r="L133" i="1" a="1"/>
  <c r="L133" i="1" s="1"/>
  <c r="L139" i="1" a="1"/>
  <c r="L139" i="1" s="1"/>
  <c r="L145" i="1" a="1"/>
  <c r="L145" i="1" s="1"/>
  <c r="L151" i="1" a="1"/>
  <c r="L151" i="1" s="1"/>
  <c r="L157" i="1" a="1"/>
  <c r="L157" i="1" s="1"/>
  <c r="L163" i="1" a="1"/>
  <c r="L163" i="1" s="1"/>
  <c r="L169" i="1" a="1"/>
  <c r="L169" i="1" s="1"/>
  <c r="L175" i="1" a="1"/>
  <c r="L175" i="1" s="1"/>
  <c r="L181" i="1" a="1"/>
  <c r="L181" i="1" s="1"/>
  <c r="L187" i="1" a="1"/>
  <c r="L187" i="1" s="1"/>
  <c r="L193" i="1" a="1"/>
  <c r="L193" i="1" s="1"/>
  <c r="L199" i="1" a="1"/>
  <c r="L199" i="1" s="1"/>
  <c r="L205" i="1" a="1"/>
  <c r="L205" i="1" s="1"/>
  <c r="L211" i="1" a="1"/>
  <c r="L211" i="1" s="1"/>
  <c r="L217" i="1" a="1"/>
  <c r="L217" i="1" s="1"/>
  <c r="L223" i="1" a="1"/>
  <c r="L223" i="1" s="1"/>
  <c r="L229" i="1" a="1"/>
  <c r="L229" i="1" s="1"/>
  <c r="L234" i="1" a="1"/>
  <c r="L234" i="1" s="1"/>
  <c r="L239" i="1" a="1"/>
  <c r="L239" i="1" s="1"/>
  <c r="L243" i="1" a="1"/>
  <c r="L243" i="1" s="1"/>
  <c r="L248" i="1" a="1"/>
  <c r="L248" i="1" s="1"/>
  <c r="L252" i="1" a="1"/>
  <c r="L252" i="1" s="1"/>
  <c r="L257" i="1" a="1"/>
  <c r="L257" i="1" s="1"/>
  <c r="L260" i="1" a="1"/>
  <c r="L260" i="1" s="1"/>
  <c r="L263" i="1" a="1"/>
  <c r="L263" i="1" s="1"/>
  <c r="K193" i="1" a="1"/>
  <c r="K193" i="1" s="1"/>
  <c r="K397" i="1" a="1"/>
  <c r="K397" i="1" s="1"/>
  <c r="L85" i="1" a="1"/>
  <c r="L85" i="1" s="1"/>
  <c r="L91" i="1" a="1"/>
  <c r="L91" i="1" s="1"/>
  <c r="L97" i="1" a="1"/>
  <c r="L97" i="1" s="1"/>
  <c r="L5" i="1" a="1"/>
  <c r="L5" i="1" s="1"/>
  <c r="L9" i="1" a="1"/>
  <c r="L9" i="1" s="1"/>
  <c r="L14" i="1" a="1"/>
  <c r="L14" i="1" s="1"/>
  <c r="L18" i="1" a="1"/>
  <c r="L18" i="1" s="1"/>
  <c r="L23" i="1" a="1"/>
  <c r="L23" i="1" s="1"/>
  <c r="L27" i="1" a="1"/>
  <c r="L27" i="1" s="1"/>
  <c r="L32" i="1" a="1"/>
  <c r="L32" i="1" s="1"/>
  <c r="L36" i="1" a="1"/>
  <c r="L36" i="1" s="1"/>
  <c r="L41" i="1" a="1"/>
  <c r="L41" i="1" s="1"/>
  <c r="L45" i="1" a="1"/>
  <c r="L45" i="1" s="1"/>
  <c r="L51" i="1" a="1"/>
  <c r="L51" i="1" s="1"/>
  <c r="L57" i="1" a="1"/>
  <c r="L57" i="1" s="1"/>
  <c r="L63" i="1" a="1"/>
  <c r="L63" i="1" s="1"/>
  <c r="L69" i="1" a="1"/>
  <c r="L69" i="1" s="1"/>
  <c r="L75" i="1" a="1"/>
  <c r="L75" i="1" s="1"/>
  <c r="L81" i="1" a="1"/>
  <c r="L81" i="1" s="1"/>
  <c r="L104" i="1" a="1"/>
  <c r="L104" i="1" s="1"/>
  <c r="L110" i="1" a="1"/>
  <c r="L110" i="1" s="1"/>
  <c r="L116" i="1" a="1"/>
  <c r="L116" i="1" s="1"/>
  <c r="L122" i="1" a="1"/>
  <c r="L122" i="1" s="1"/>
  <c r="L128" i="1" a="1"/>
  <c r="L128" i="1" s="1"/>
  <c r="L134" i="1" a="1"/>
  <c r="L134" i="1" s="1"/>
  <c r="L140" i="1" a="1"/>
  <c r="L140" i="1" s="1"/>
  <c r="L146" i="1" a="1"/>
  <c r="L146" i="1" s="1"/>
  <c r="L152" i="1" a="1"/>
  <c r="L152" i="1" s="1"/>
  <c r="L158" i="1" a="1"/>
  <c r="L158" i="1" s="1"/>
  <c r="L164" i="1" a="1"/>
  <c r="L164" i="1" s="1"/>
  <c r="L170" i="1" a="1"/>
  <c r="L170" i="1" s="1"/>
  <c r="L176" i="1" a="1"/>
  <c r="L176" i="1" s="1"/>
  <c r="L182" i="1" a="1"/>
  <c r="L182" i="1" s="1"/>
  <c r="L188" i="1" a="1"/>
  <c r="L188" i="1" s="1"/>
  <c r="L194" i="1" a="1"/>
  <c r="L194" i="1" s="1"/>
  <c r="L200" i="1" a="1"/>
  <c r="L200" i="1" s="1"/>
  <c r="L206" i="1" a="1"/>
  <c r="L206" i="1" s="1"/>
  <c r="L212" i="1" a="1"/>
  <c r="L212" i="1" s="1"/>
  <c r="L218" i="1" a="1"/>
  <c r="L218" i="1" s="1"/>
  <c r="L224" i="1" a="1"/>
  <c r="L224" i="1" s="1"/>
  <c r="L230" i="1" a="1"/>
  <c r="L230" i="1" s="1"/>
  <c r="L235" i="1" a="1"/>
  <c r="L235" i="1" s="1"/>
  <c r="L244" i="1" a="1"/>
  <c r="L244" i="1" s="1"/>
  <c r="L253" i="1" a="1"/>
  <c r="L253" i="1" s="1"/>
  <c r="K229" i="1" a="1"/>
  <c r="K229" i="1" s="1"/>
  <c r="K85" i="1" a="1"/>
  <c r="K85" i="1" s="1"/>
  <c r="L86" i="1" a="1"/>
  <c r="L86" i="1" s="1"/>
  <c r="L92" i="1" a="1"/>
  <c r="L92" i="1" s="1"/>
  <c r="L98" i="1" a="1"/>
  <c r="L98" i="1" s="1"/>
  <c r="L10" i="1" a="1"/>
  <c r="L10" i="1" s="1"/>
  <c r="L19" i="1" a="1"/>
  <c r="L19" i="1" s="1"/>
  <c r="L28" i="1" a="1"/>
  <c r="L28" i="1" s="1"/>
  <c r="L37" i="1" a="1"/>
  <c r="L37" i="1" s="1"/>
  <c r="L46" i="1" a="1"/>
  <c r="L46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105" i="1" a="1"/>
  <c r="L105" i="1" s="1"/>
  <c r="L111" i="1" a="1"/>
  <c r="L111" i="1" s="1"/>
  <c r="L117" i="1" a="1"/>
  <c r="L117" i="1" s="1"/>
  <c r="L123" i="1" a="1"/>
  <c r="L123" i="1" s="1"/>
  <c r="L129" i="1" a="1"/>
  <c r="L129" i="1" s="1"/>
  <c r="L135" i="1" a="1"/>
  <c r="L135" i="1" s="1"/>
  <c r="L141" i="1" a="1"/>
  <c r="L141" i="1" s="1"/>
  <c r="L147" i="1" a="1"/>
  <c r="L147" i="1" s="1"/>
  <c r="L153" i="1" a="1"/>
  <c r="L153" i="1" s="1"/>
  <c r="L159" i="1" a="1"/>
  <c r="L159" i="1" s="1"/>
  <c r="L165" i="1" a="1"/>
  <c r="L165" i="1" s="1"/>
  <c r="L171" i="1" a="1"/>
  <c r="L171" i="1" s="1"/>
  <c r="L177" i="1" a="1"/>
  <c r="L177" i="1" s="1"/>
  <c r="L183" i="1" a="1"/>
  <c r="L183" i="1" s="1"/>
  <c r="L189" i="1" a="1"/>
  <c r="L189" i="1" s="1"/>
  <c r="L195" i="1" a="1"/>
  <c r="L195" i="1" s="1"/>
  <c r="L201" i="1" a="1"/>
  <c r="L201" i="1" s="1"/>
  <c r="L207" i="1" a="1"/>
  <c r="L207" i="1" s="1"/>
  <c r="L213" i="1" a="1"/>
  <c r="L213" i="1" s="1"/>
  <c r="L219" i="1" a="1"/>
  <c r="L219" i="1" s="1"/>
  <c r="L225" i="1" a="1"/>
  <c r="L225" i="1" s="1"/>
  <c r="L231" i="1" a="1"/>
  <c r="L231" i="1" s="1"/>
  <c r="L236" i="1" a="1"/>
  <c r="L236" i="1" s="1"/>
  <c r="L240" i="1" a="1"/>
  <c r="L240" i="1" s="1"/>
  <c r="L245" i="1" a="1"/>
  <c r="L245" i="1" s="1"/>
  <c r="L249" i="1" a="1"/>
  <c r="L249" i="1" s="1"/>
  <c r="L254" i="1" a="1"/>
  <c r="L254" i="1" s="1"/>
  <c r="L258" i="1" a="1"/>
  <c r="L258" i="1" s="1"/>
  <c r="L261" i="1" a="1"/>
  <c r="L261" i="1" s="1"/>
  <c r="L264" i="1" a="1"/>
  <c r="L264" i="1" s="1"/>
  <c r="L267" i="1" a="1"/>
  <c r="L267" i="1" s="1"/>
  <c r="L270" i="1" a="1"/>
  <c r="L270" i="1" s="1"/>
  <c r="L273" i="1" a="1"/>
  <c r="L273" i="1" s="1"/>
  <c r="L276" i="1" a="1"/>
  <c r="L276" i="1" s="1"/>
  <c r="L279" i="1" a="1"/>
  <c r="L279" i="1" s="1"/>
  <c r="L282" i="1" a="1"/>
  <c r="L282" i="1" s="1"/>
  <c r="L285" i="1" a="1"/>
  <c r="L285" i="1" s="1"/>
  <c r="L288" i="1" a="1"/>
  <c r="L288" i="1" s="1"/>
  <c r="L291" i="1" a="1"/>
  <c r="L291" i="1" s="1"/>
  <c r="L294" i="1" a="1"/>
  <c r="L294" i="1" s="1"/>
  <c r="L297" i="1" a="1"/>
  <c r="L297" i="1" s="1"/>
  <c r="L300" i="1" a="1"/>
  <c r="L300" i="1" s="1"/>
  <c r="L303" i="1" a="1"/>
  <c r="L303" i="1" s="1"/>
  <c r="K265" i="1" a="1"/>
  <c r="K265" i="1" s="1"/>
  <c r="L11" i="1" a="1"/>
  <c r="L11" i="1" s="1"/>
  <c r="L38" i="1" a="1"/>
  <c r="L38" i="1" s="1"/>
  <c r="L71" i="1" a="1"/>
  <c r="L71" i="1" s="1"/>
  <c r="L124" i="1" a="1"/>
  <c r="L124" i="1" s="1"/>
  <c r="L160" i="1" a="1"/>
  <c r="L160" i="1" s="1"/>
  <c r="L196" i="1" a="1"/>
  <c r="L196" i="1" s="1"/>
  <c r="L232" i="1" a="1"/>
  <c r="L232" i="1" s="1"/>
  <c r="L287" i="1" a="1"/>
  <c r="L287" i="1" s="1"/>
  <c r="L293" i="1" a="1"/>
  <c r="L293" i="1" s="1"/>
  <c r="L299" i="1" a="1"/>
  <c r="L299" i="1" s="1"/>
  <c r="L304" i="1" a="1"/>
  <c r="L304" i="1" s="1"/>
  <c r="L311" i="1" a="1"/>
  <c r="L311" i="1" s="1"/>
  <c r="L315" i="1" a="1"/>
  <c r="L315" i="1" s="1"/>
  <c r="L322" i="1" a="1"/>
  <c r="L322" i="1" s="1"/>
  <c r="L329" i="1" a="1"/>
  <c r="L329" i="1" s="1"/>
  <c r="L333" i="1" a="1"/>
  <c r="L333" i="1" s="1"/>
  <c r="L340" i="1" a="1"/>
  <c r="L340" i="1" s="1"/>
  <c r="L347" i="1" a="1"/>
  <c r="L347" i="1" s="1"/>
  <c r="L351" i="1" a="1"/>
  <c r="L351" i="1" s="1"/>
  <c r="L358" i="1" a="1"/>
  <c r="L358" i="1" s="1"/>
  <c r="L361" i="1" a="1"/>
  <c r="L361" i="1" s="1"/>
  <c r="L364" i="1" a="1"/>
  <c r="L364" i="1" s="1"/>
  <c r="L367" i="1" a="1"/>
  <c r="L367" i="1" s="1"/>
  <c r="L370" i="1" a="1"/>
  <c r="L370" i="1" s="1"/>
  <c r="L373" i="1" a="1"/>
  <c r="L373" i="1" s="1"/>
  <c r="L376" i="1" a="1"/>
  <c r="L376" i="1" s="1"/>
  <c r="L379" i="1" a="1"/>
  <c r="L379" i="1" s="1"/>
  <c r="L382" i="1" a="1"/>
  <c r="L382" i="1" s="1"/>
  <c r="L385" i="1" a="1"/>
  <c r="L385" i="1" s="1"/>
  <c r="L15" i="1" a="1"/>
  <c r="L15" i="1" s="1"/>
  <c r="L42" i="1" a="1"/>
  <c r="L42" i="1" s="1"/>
  <c r="L77" i="1" a="1"/>
  <c r="L77" i="1" s="1"/>
  <c r="L130" i="1" a="1"/>
  <c r="L130" i="1" s="1"/>
  <c r="L166" i="1" a="1"/>
  <c r="L166" i="1" s="1"/>
  <c r="L202" i="1" a="1"/>
  <c r="L202" i="1" s="1"/>
  <c r="L272" i="1" a="1"/>
  <c r="L272" i="1" s="1"/>
  <c r="L281" i="1" a="1"/>
  <c r="L281" i="1" s="1"/>
  <c r="L308" i="1" a="1"/>
  <c r="L308" i="1" s="1"/>
  <c r="L312" i="1" a="1"/>
  <c r="L312" i="1" s="1"/>
  <c r="L319" i="1" a="1"/>
  <c r="L319" i="1" s="1"/>
  <c r="L326" i="1" a="1"/>
  <c r="L326" i="1" s="1"/>
  <c r="L330" i="1" a="1"/>
  <c r="L330" i="1" s="1"/>
  <c r="L337" i="1" a="1"/>
  <c r="L337" i="1" s="1"/>
  <c r="L344" i="1" a="1"/>
  <c r="L344" i="1" s="1"/>
  <c r="L348" i="1" a="1"/>
  <c r="L348" i="1" s="1"/>
  <c r="L355" i="1" a="1"/>
  <c r="L355" i="1" s="1"/>
  <c r="L87" i="1" a="1"/>
  <c r="L87" i="1" s="1"/>
  <c r="L20" i="1" a="1"/>
  <c r="L20" i="1" s="1"/>
  <c r="L47" i="1" a="1"/>
  <c r="L47" i="1" s="1"/>
  <c r="L83" i="1" a="1"/>
  <c r="L83" i="1" s="1"/>
  <c r="L136" i="1" a="1"/>
  <c r="L136" i="1" s="1"/>
  <c r="L172" i="1" a="1"/>
  <c r="L172" i="1" s="1"/>
  <c r="L208" i="1" a="1"/>
  <c r="L208" i="1" s="1"/>
  <c r="L241" i="1" a="1"/>
  <c r="L241" i="1" s="1"/>
  <c r="L289" i="1" a="1"/>
  <c r="L289" i="1" s="1"/>
  <c r="L295" i="1" a="1"/>
  <c r="L295" i="1" s="1"/>
  <c r="L301" i="1" a="1"/>
  <c r="L301" i="1" s="1"/>
  <c r="L305" i="1" a="1"/>
  <c r="L305" i="1" s="1"/>
  <c r="L309" i="1" a="1"/>
  <c r="L309" i="1" s="1"/>
  <c r="L316" i="1" a="1"/>
  <c r="L316" i="1" s="1"/>
  <c r="L323" i="1" a="1"/>
  <c r="L323" i="1" s="1"/>
  <c r="L327" i="1" a="1"/>
  <c r="L327" i="1" s="1"/>
  <c r="L334" i="1" a="1"/>
  <c r="L334" i="1" s="1"/>
  <c r="L341" i="1" a="1"/>
  <c r="L341" i="1" s="1"/>
  <c r="L345" i="1" a="1"/>
  <c r="L345" i="1" s="1"/>
  <c r="L352" i="1" a="1"/>
  <c r="L352" i="1" s="1"/>
  <c r="L359" i="1" a="1"/>
  <c r="L359" i="1" s="1"/>
  <c r="L362" i="1" a="1"/>
  <c r="L362" i="1" s="1"/>
  <c r="L365" i="1" a="1"/>
  <c r="L365" i="1" s="1"/>
  <c r="L368" i="1" a="1"/>
  <c r="L368" i="1" s="1"/>
  <c r="L371" i="1" a="1"/>
  <c r="L371" i="1" s="1"/>
  <c r="L374" i="1" a="1"/>
  <c r="L374" i="1" s="1"/>
  <c r="L377" i="1" a="1"/>
  <c r="L377" i="1" s="1"/>
  <c r="L380" i="1" a="1"/>
  <c r="L380" i="1" s="1"/>
  <c r="L383" i="1" a="1"/>
  <c r="L383" i="1" s="1"/>
  <c r="L2" i="1" a="1"/>
  <c r="L2" i="1" s="1"/>
  <c r="L93" i="1" a="1"/>
  <c r="L93" i="1" s="1"/>
  <c r="L24" i="1" a="1"/>
  <c r="L24" i="1" s="1"/>
  <c r="L53" i="1" a="1"/>
  <c r="L53" i="1" s="1"/>
  <c r="L106" i="1" a="1"/>
  <c r="L106" i="1" s="1"/>
  <c r="L142" i="1" a="1"/>
  <c r="L142" i="1" s="1"/>
  <c r="L178" i="1" a="1"/>
  <c r="L178" i="1" s="1"/>
  <c r="L214" i="1" a="1"/>
  <c r="L214" i="1" s="1"/>
  <c r="L266" i="1" a="1"/>
  <c r="L266" i="1" s="1"/>
  <c r="L275" i="1" a="1"/>
  <c r="L275" i="1" s="1"/>
  <c r="L284" i="1" a="1"/>
  <c r="L284" i="1" s="1"/>
  <c r="L290" i="1" a="1"/>
  <c r="L290" i="1" s="1"/>
  <c r="L296" i="1" a="1"/>
  <c r="L296" i="1" s="1"/>
  <c r="L306" i="1" a="1"/>
  <c r="L306" i="1" s="1"/>
  <c r="L313" i="1" a="1"/>
  <c r="L313" i="1" s="1"/>
  <c r="L320" i="1" a="1"/>
  <c r="L320" i="1" s="1"/>
  <c r="L324" i="1" a="1"/>
  <c r="L324" i="1" s="1"/>
  <c r="L331" i="1" a="1"/>
  <c r="L331" i="1" s="1"/>
  <c r="L338" i="1" a="1"/>
  <c r="L338" i="1" s="1"/>
  <c r="L342" i="1" a="1"/>
  <c r="L342" i="1" s="1"/>
  <c r="L349" i="1" a="1"/>
  <c r="L349" i="1" s="1"/>
  <c r="L356" i="1" a="1"/>
  <c r="L356" i="1" s="1"/>
  <c r="L99" i="1" a="1"/>
  <c r="L99" i="1" s="1"/>
  <c r="L29" i="1" a="1"/>
  <c r="L29" i="1" s="1"/>
  <c r="L59" i="1" a="1"/>
  <c r="L59" i="1" s="1"/>
  <c r="L112" i="1" a="1"/>
  <c r="L112" i="1" s="1"/>
  <c r="L148" i="1" a="1"/>
  <c r="L148" i="1" s="1"/>
  <c r="L184" i="1" a="1"/>
  <c r="L184" i="1" s="1"/>
  <c r="L220" i="1" a="1"/>
  <c r="L220" i="1" s="1"/>
  <c r="L250" i="1" a="1"/>
  <c r="L250" i="1" s="1"/>
  <c r="L302" i="1" a="1"/>
  <c r="L302" i="1" s="1"/>
  <c r="L310" i="1" a="1"/>
  <c r="L310" i="1" s="1"/>
  <c r="L317" i="1" a="1"/>
  <c r="L317" i="1" s="1"/>
  <c r="L321" i="1" a="1"/>
  <c r="L321" i="1" s="1"/>
  <c r="L328" i="1" a="1"/>
  <c r="L328" i="1" s="1"/>
  <c r="L335" i="1" a="1"/>
  <c r="L335" i="1" s="1"/>
  <c r="L339" i="1" a="1"/>
  <c r="L339" i="1" s="1"/>
  <c r="L346" i="1" a="1"/>
  <c r="L346" i="1" s="1"/>
  <c r="L353" i="1" a="1"/>
  <c r="L353" i="1" s="1"/>
  <c r="L357" i="1" a="1"/>
  <c r="L357" i="1" s="1"/>
  <c r="L360" i="1" a="1"/>
  <c r="L360" i="1" s="1"/>
  <c r="L363" i="1" a="1"/>
  <c r="L363" i="1" s="1"/>
  <c r="L366" i="1" a="1"/>
  <c r="L366" i="1" s="1"/>
  <c r="L369" i="1" a="1"/>
  <c r="L369" i="1" s="1"/>
  <c r="L372" i="1" a="1"/>
  <c r="L372" i="1" s="1"/>
  <c r="L375" i="1" a="1"/>
  <c r="L375" i="1" s="1"/>
  <c r="L378" i="1" a="1"/>
  <c r="L378" i="1" s="1"/>
  <c r="L381" i="1" a="1"/>
  <c r="L381" i="1" s="1"/>
  <c r="L384" i="1" a="1"/>
  <c r="L384" i="1" s="1"/>
  <c r="AE98" i="4"/>
  <c r="AE8" i="4"/>
  <c r="AE21" i="4"/>
  <c r="AE66" i="4"/>
  <c r="AE24" i="4"/>
  <c r="AE43" i="4"/>
  <c r="AE88" i="4"/>
  <c r="AE67" i="4"/>
  <c r="AE84" i="4"/>
  <c r="AE65" i="4"/>
  <c r="AE11" i="4"/>
  <c r="AE20" i="4"/>
  <c r="AE75" i="4"/>
  <c r="AE56" i="4"/>
  <c r="AE51" i="4"/>
  <c r="AE47" i="4"/>
  <c r="AE85" i="4"/>
  <c r="AE61" i="4"/>
  <c r="AE14" i="4"/>
  <c r="AE62" i="4"/>
  <c r="AE48" i="4"/>
  <c r="AE44" i="4"/>
  <c r="AE81" i="4"/>
  <c r="AE33" i="4"/>
  <c r="AE16" i="4"/>
  <c r="AE25" i="4"/>
  <c r="AE96" i="4"/>
  <c r="AE80" i="4"/>
  <c r="AE77" i="4"/>
  <c r="AE53" i="4"/>
  <c r="AE10" i="4"/>
  <c r="AE19" i="4"/>
  <c r="AE92" i="4"/>
  <c r="AE83" i="4"/>
  <c r="AE28" i="4"/>
  <c r="AE72" i="4"/>
  <c r="AE63" i="4"/>
  <c r="AE97" i="4"/>
  <c r="AE73" i="4"/>
  <c r="AE23" i="4"/>
  <c r="AE70" i="4"/>
  <c r="AE55" i="4"/>
  <c r="AE71" i="4"/>
  <c r="AE76" i="4"/>
  <c r="AE90" i="4"/>
  <c r="AE58" i="4"/>
  <c r="AE93" i="4"/>
  <c r="AE45" i="4"/>
  <c r="E696" i="1" a="1"/>
  <c r="E696" i="1" s="1"/>
  <c r="E44" i="1" a="1"/>
  <c r="E44" i="1" s="1"/>
  <c r="E828" i="1" a="1"/>
  <c r="E828" i="1" s="1"/>
  <c r="E774" i="1" a="1"/>
  <c r="E774" i="1" s="1"/>
  <c r="E726" i="1" a="1"/>
  <c r="E726" i="1" s="1"/>
  <c r="E62" i="1" a="1"/>
  <c r="E62" i="1" s="1"/>
  <c r="E26" i="1" a="1"/>
  <c r="E26" i="1" s="1"/>
  <c r="E134" i="1" a="1"/>
  <c r="E134" i="1" s="1"/>
  <c r="E50" i="1" a="1"/>
  <c r="E50" i="1" s="1"/>
  <c r="E714" i="1" a="1"/>
  <c r="E714" i="1" s="1"/>
  <c r="E110" i="1" a="1"/>
  <c r="E110" i="1" s="1"/>
  <c r="E38" i="1" a="1"/>
  <c r="E38" i="1" s="1"/>
  <c r="E834" i="1" a="1"/>
  <c r="E834" i="1" s="1"/>
  <c r="E780" i="1" a="1"/>
  <c r="E780" i="1" s="1"/>
  <c r="E678" i="1" a="1"/>
  <c r="E678" i="1" s="1"/>
  <c r="E624" i="1" a="1"/>
  <c r="E624" i="1" s="1"/>
  <c r="E570" i="1" a="1"/>
  <c r="E570" i="1" s="1"/>
  <c r="E114" i="1" a="1"/>
  <c r="E114" i="1" s="1"/>
  <c r="E880" i="1" a="1"/>
  <c r="E880" i="1" s="1"/>
  <c r="E808" i="1" a="1"/>
  <c r="E808" i="1" s="1"/>
  <c r="E790" i="1" a="1"/>
  <c r="E790" i="1" s="1"/>
  <c r="E5" i="1" a="1"/>
  <c r="E5" i="1" s="1"/>
  <c r="E150" i="1" a="1"/>
  <c r="E150" i="1" s="1"/>
  <c r="E120" i="1" a="1"/>
  <c r="E120" i="1" s="1"/>
  <c r="E78" i="1" a="1"/>
  <c r="E78" i="1" s="1"/>
  <c r="E2" i="1" a="1"/>
  <c r="E2" i="1" s="1"/>
  <c r="E167" i="1" a="1"/>
  <c r="E167" i="1" s="1"/>
  <c r="E155" i="1" a="1"/>
  <c r="E155" i="1" s="1"/>
  <c r="E143" i="1" a="1"/>
  <c r="E143" i="1" s="1"/>
  <c r="E131" i="1" a="1"/>
  <c r="E131" i="1" s="1"/>
  <c r="E119" i="1" a="1"/>
  <c r="E119" i="1" s="1"/>
  <c r="E871" i="1" a="1"/>
  <c r="E871" i="1" s="1"/>
  <c r="E853" i="1" a="1"/>
  <c r="E853" i="1" s="1"/>
  <c r="E835" i="1" a="1"/>
  <c r="E835" i="1" s="1"/>
  <c r="E817" i="1" a="1"/>
  <c r="E817" i="1" s="1"/>
  <c r="E799" i="1" a="1"/>
  <c r="E799" i="1" s="1"/>
  <c r="E781" i="1" a="1"/>
  <c r="E781" i="1" s="1"/>
  <c r="E763" i="1" a="1"/>
  <c r="E763" i="1" s="1"/>
  <c r="E745" i="1" a="1"/>
  <c r="E745" i="1" s="1"/>
  <c r="E727" i="1" a="1"/>
  <c r="E727" i="1" s="1"/>
  <c r="E709" i="1" a="1"/>
  <c r="E709" i="1" s="1"/>
  <c r="E691" i="1" a="1"/>
  <c r="E691" i="1" s="1"/>
  <c r="E673" i="1" a="1"/>
  <c r="E673" i="1" s="1"/>
  <c r="E655" i="1" a="1"/>
  <c r="E655" i="1" s="1"/>
  <c r="E637" i="1" a="1"/>
  <c r="E637" i="1" s="1"/>
  <c r="E619" i="1" a="1"/>
  <c r="E619" i="1" s="1"/>
  <c r="E601" i="1" a="1"/>
  <c r="E601" i="1" s="1"/>
  <c r="E583" i="1" a="1"/>
  <c r="E583" i="1" s="1"/>
  <c r="E565" i="1" a="1"/>
  <c r="E565" i="1" s="1"/>
  <c r="E547" i="1" a="1"/>
  <c r="E547" i="1" s="1"/>
  <c r="E529" i="1" a="1"/>
  <c r="E529" i="1" s="1"/>
  <c r="E486" i="1" a="1"/>
  <c r="E486" i="1" s="1"/>
  <c r="E169" i="1" a="1"/>
  <c r="E169" i="1" s="1"/>
  <c r="E151" i="1" a="1"/>
  <c r="E151" i="1" s="1"/>
  <c r="E133" i="1" a="1"/>
  <c r="E133" i="1" s="1"/>
  <c r="E121" i="1" a="1"/>
  <c r="E121" i="1" s="1"/>
  <c r="E109" i="1" a="1"/>
  <c r="E109" i="1" s="1"/>
  <c r="E97" i="1" a="1"/>
  <c r="E97" i="1" s="1"/>
  <c r="E85" i="1" a="1"/>
  <c r="E85" i="1" s="1"/>
  <c r="E73" i="1" a="1"/>
  <c r="E73" i="1" s="1"/>
  <c r="E61" i="1" a="1"/>
  <c r="E61" i="1" s="1"/>
  <c r="E49" i="1" a="1"/>
  <c r="E49" i="1" s="1"/>
  <c r="E37" i="1" a="1"/>
  <c r="E37" i="1" s="1"/>
  <c r="E25" i="1" a="1"/>
  <c r="E25" i="1" s="1"/>
  <c r="E13" i="1" a="1"/>
  <c r="E13" i="1" s="1"/>
  <c r="E815" i="1" a="1"/>
  <c r="E815" i="1" s="1"/>
  <c r="E797" i="1" a="1"/>
  <c r="E797" i="1" s="1"/>
  <c r="E743" i="1" a="1"/>
  <c r="E743" i="1" s="1"/>
  <c r="E478" i="1" a="1"/>
  <c r="E478" i="1" s="1"/>
  <c r="E460" i="1" a="1"/>
  <c r="E460" i="1" s="1"/>
  <c r="E442" i="1" a="1"/>
  <c r="E442" i="1" s="1"/>
  <c r="E418" i="1" a="1"/>
  <c r="E418" i="1" s="1"/>
  <c r="E400" i="1" a="1"/>
  <c r="E400" i="1" s="1"/>
  <c r="E382" i="1" a="1"/>
  <c r="E382" i="1" s="1"/>
  <c r="E340" i="1" a="1"/>
  <c r="E340" i="1" s="1"/>
  <c r="E322" i="1" a="1"/>
  <c r="E322" i="1" s="1"/>
  <c r="E262" i="1" a="1"/>
  <c r="E262" i="1" s="1"/>
  <c r="E244" i="1" a="1"/>
  <c r="E244" i="1" s="1"/>
  <c r="E122" i="1" a="1"/>
  <c r="E122" i="1" s="1"/>
  <c r="E146" i="1" a="1"/>
  <c r="E146" i="1" s="1"/>
  <c r="E80" i="1" a="1"/>
  <c r="E80" i="1" s="1"/>
  <c r="E876" i="1" a="1"/>
  <c r="E876" i="1" s="1"/>
  <c r="E822" i="1" a="1"/>
  <c r="E822" i="1" s="1"/>
  <c r="E768" i="1" a="1"/>
  <c r="E768" i="1" s="1"/>
  <c r="E11" i="1" a="1"/>
  <c r="E11" i="1" s="1"/>
  <c r="E168" i="1" a="1"/>
  <c r="E168" i="1" s="1"/>
  <c r="E138" i="1" a="1"/>
  <c r="E138" i="1" s="1"/>
  <c r="E66" i="1" a="1"/>
  <c r="E66" i="1" s="1"/>
  <c r="E42" i="1" a="1"/>
  <c r="E42" i="1" s="1"/>
  <c r="E856" i="1" a="1"/>
  <c r="E856" i="1" s="1"/>
  <c r="E838" i="1" a="1"/>
  <c r="E838" i="1" s="1"/>
  <c r="E820" i="1" a="1"/>
  <c r="E820" i="1" s="1"/>
  <c r="E784" i="1" a="1"/>
  <c r="E784" i="1" s="1"/>
  <c r="E748" i="1" a="1"/>
  <c r="E748" i="1" s="1"/>
  <c r="E730" i="1" a="1"/>
  <c r="E730" i="1" s="1"/>
  <c r="E712" i="1" a="1"/>
  <c r="E712" i="1" s="1"/>
  <c r="E694" i="1" a="1"/>
  <c r="E694" i="1" s="1"/>
  <c r="E676" i="1" a="1"/>
  <c r="E676" i="1" s="1"/>
  <c r="E658" i="1" a="1"/>
  <c r="E658" i="1" s="1"/>
  <c r="E640" i="1" a="1"/>
  <c r="E640" i="1" s="1"/>
  <c r="E622" i="1" a="1"/>
  <c r="E622" i="1" s="1"/>
  <c r="E604" i="1" a="1"/>
  <c r="E604" i="1" s="1"/>
  <c r="E586" i="1" a="1"/>
  <c r="E586" i="1" s="1"/>
  <c r="E568" i="1" a="1"/>
  <c r="E568" i="1" s="1"/>
  <c r="E550" i="1" a="1"/>
  <c r="E550" i="1" s="1"/>
  <c r="E532" i="1" a="1"/>
  <c r="E532" i="1" s="1"/>
  <c r="E648" i="1" a="1"/>
  <c r="E648" i="1" s="1"/>
  <c r="E594" i="1" a="1"/>
  <c r="E594" i="1" s="1"/>
  <c r="E72" i="1" a="1"/>
  <c r="E72" i="1" s="1"/>
  <c r="E48" i="1" a="1"/>
  <c r="E48" i="1" s="1"/>
  <c r="E690" i="1" a="1"/>
  <c r="E690" i="1" s="1"/>
  <c r="E636" i="1" a="1"/>
  <c r="E636" i="1" s="1"/>
  <c r="E582" i="1" a="1"/>
  <c r="E582" i="1" s="1"/>
  <c r="E881" i="1" a="1"/>
  <c r="E881" i="1" s="1"/>
  <c r="E863" i="1" a="1"/>
  <c r="E863" i="1" s="1"/>
  <c r="E845" i="1" a="1"/>
  <c r="E845" i="1" s="1"/>
  <c r="E827" i="1" a="1"/>
  <c r="E827" i="1" s="1"/>
  <c r="E809" i="1" a="1"/>
  <c r="E809" i="1" s="1"/>
  <c r="E791" i="1" a="1"/>
  <c r="E791" i="1" s="1"/>
  <c r="E773" i="1" a="1"/>
  <c r="E773" i="1" s="1"/>
  <c r="E755" i="1" a="1"/>
  <c r="E755" i="1" s="1"/>
  <c r="E737" i="1" a="1"/>
  <c r="E737" i="1" s="1"/>
  <c r="E719" i="1" a="1"/>
  <c r="E719" i="1" s="1"/>
  <c r="E701" i="1" a="1"/>
  <c r="E701" i="1" s="1"/>
  <c r="E683" i="1" a="1"/>
  <c r="E683" i="1" s="1"/>
  <c r="E665" i="1" a="1"/>
  <c r="E665" i="1" s="1"/>
  <c r="E647" i="1" a="1"/>
  <c r="E647" i="1" s="1"/>
  <c r="E629" i="1" a="1"/>
  <c r="E629" i="1" s="1"/>
  <c r="E611" i="1" a="1"/>
  <c r="E611" i="1" s="1"/>
  <c r="E593" i="1" a="1"/>
  <c r="E593" i="1" s="1"/>
  <c r="E575" i="1" a="1"/>
  <c r="E575" i="1" s="1"/>
  <c r="E557" i="1" a="1"/>
  <c r="E557" i="1" s="1"/>
  <c r="E496" i="1" a="1"/>
  <c r="E496" i="1" s="1"/>
  <c r="E436" i="1" a="1"/>
  <c r="E436" i="1" s="1"/>
  <c r="E376" i="1" a="1"/>
  <c r="E376" i="1" s="1"/>
  <c r="E358" i="1" a="1"/>
  <c r="E358" i="1" s="1"/>
  <c r="E298" i="1" a="1"/>
  <c r="E298" i="1" s="1"/>
  <c r="E280" i="1" a="1"/>
  <c r="E280" i="1" s="1"/>
  <c r="E220" i="1" a="1"/>
  <c r="E220" i="1" s="1"/>
  <c r="E184" i="1" a="1"/>
  <c r="E184" i="1" s="1"/>
  <c r="E699" i="1" a="1"/>
  <c r="E699" i="1" s="1"/>
  <c r="E615" i="1" a="1"/>
  <c r="E615" i="1" s="1"/>
  <c r="E555" i="1" a="1"/>
  <c r="E555" i="1" s="1"/>
  <c r="E471" i="1" a="1"/>
  <c r="E471" i="1" s="1"/>
  <c r="E411" i="1" a="1"/>
  <c r="E411" i="1" s="1"/>
  <c r="E369" i="1" a="1"/>
  <c r="E369" i="1" s="1"/>
  <c r="E351" i="1" a="1"/>
  <c r="E351" i="1" s="1"/>
  <c r="E291" i="1" a="1"/>
  <c r="E291" i="1" s="1"/>
  <c r="E273" i="1" a="1"/>
  <c r="E273" i="1" s="1"/>
  <c r="E255" i="1" a="1"/>
  <c r="E255" i="1" s="1"/>
  <c r="E98" i="1" a="1"/>
  <c r="E98" i="1" s="1"/>
  <c r="E20" i="1" a="1"/>
  <c r="E20" i="1" s="1"/>
  <c r="E864" i="1" a="1"/>
  <c r="E864" i="1" s="1"/>
  <c r="E810" i="1" a="1"/>
  <c r="E810" i="1" s="1"/>
  <c r="E762" i="1" a="1"/>
  <c r="E762" i="1" s="1"/>
  <c r="E702" i="1" a="1"/>
  <c r="E702" i="1" s="1"/>
  <c r="E32" i="1" a="1"/>
  <c r="E32" i="1" s="1"/>
  <c r="E732" i="1" a="1"/>
  <c r="E732" i="1" s="1"/>
  <c r="E870" i="1" a="1"/>
  <c r="E870" i="1" s="1"/>
  <c r="E816" i="1" a="1"/>
  <c r="E816" i="1" s="1"/>
  <c r="E750" i="1" a="1"/>
  <c r="E750" i="1" s="1"/>
  <c r="E660" i="1" a="1"/>
  <c r="E660" i="1" s="1"/>
  <c r="E606" i="1" a="1"/>
  <c r="E606" i="1" s="1"/>
  <c r="E552" i="1" a="1"/>
  <c r="E552" i="1" s="1"/>
  <c r="E96" i="1" a="1"/>
  <c r="E96" i="1" s="1"/>
  <c r="E874" i="1" a="1"/>
  <c r="E874" i="1" s="1"/>
  <c r="E802" i="1" a="1"/>
  <c r="E802" i="1" s="1"/>
  <c r="E766" i="1" a="1"/>
  <c r="E766" i="1" s="1"/>
  <c r="E144" i="1" a="1"/>
  <c r="E144" i="1" s="1"/>
  <c r="E108" i="1" a="1"/>
  <c r="E108" i="1" s="1"/>
  <c r="E90" i="1" a="1"/>
  <c r="E90" i="1" s="1"/>
  <c r="E36" i="1" a="1"/>
  <c r="E36" i="1" s="1"/>
  <c r="E18" i="1" a="1"/>
  <c r="E18" i="1" s="1"/>
  <c r="E113" i="1" a="1"/>
  <c r="E113" i="1" s="1"/>
  <c r="E101" i="1" a="1"/>
  <c r="E101" i="1" s="1"/>
  <c r="E89" i="1" a="1"/>
  <c r="E89" i="1" s="1"/>
  <c r="E77" i="1" a="1"/>
  <c r="E77" i="1" s="1"/>
  <c r="E65" i="1" a="1"/>
  <c r="E65" i="1" s="1"/>
  <c r="E53" i="1" a="1"/>
  <c r="E53" i="1" s="1"/>
  <c r="E41" i="1" a="1"/>
  <c r="E41" i="1" s="1"/>
  <c r="E29" i="1" a="1"/>
  <c r="E29" i="1" s="1"/>
  <c r="E17" i="1" a="1"/>
  <c r="E17" i="1" s="1"/>
  <c r="E10" i="1" a="1"/>
  <c r="E10" i="1" s="1"/>
  <c r="E159" i="1" a="1"/>
  <c r="E159" i="1" s="1"/>
  <c r="E147" i="1" a="1"/>
  <c r="E147" i="1" s="1"/>
  <c r="E135" i="1" a="1"/>
  <c r="E135" i="1" s="1"/>
  <c r="E123" i="1" a="1"/>
  <c r="E123" i="1" s="1"/>
  <c r="E111" i="1" a="1"/>
  <c r="E111" i="1" s="1"/>
  <c r="E99" i="1" a="1"/>
  <c r="E99" i="1" s="1"/>
  <c r="E87" i="1" a="1"/>
  <c r="E87" i="1" s="1"/>
  <c r="E75" i="1" a="1"/>
  <c r="E75" i="1" s="1"/>
  <c r="E63" i="1" a="1"/>
  <c r="E63" i="1" s="1"/>
  <c r="E51" i="1" a="1"/>
  <c r="E51" i="1" s="1"/>
  <c r="E39" i="1" a="1"/>
  <c r="E39" i="1" s="1"/>
  <c r="E27" i="1" a="1"/>
  <c r="E27" i="1" s="1"/>
  <c r="E15" i="1" a="1"/>
  <c r="E15" i="1" s="1"/>
  <c r="E865" i="1" a="1"/>
  <c r="E865" i="1" s="1"/>
  <c r="E847" i="1" a="1"/>
  <c r="E847" i="1" s="1"/>
  <c r="E829" i="1" a="1"/>
  <c r="E829" i="1" s="1"/>
  <c r="E811" i="1" a="1"/>
  <c r="E811" i="1" s="1"/>
  <c r="E775" i="1" a="1"/>
  <c r="E775" i="1" s="1"/>
  <c r="E757" i="1" a="1"/>
  <c r="E757" i="1" s="1"/>
  <c r="E739" i="1" a="1"/>
  <c r="E739" i="1" s="1"/>
  <c r="E703" i="1" a="1"/>
  <c r="E703" i="1" s="1"/>
  <c r="E685" i="1" a="1"/>
  <c r="E685" i="1" s="1"/>
  <c r="E667" i="1" a="1"/>
  <c r="E667" i="1" s="1"/>
  <c r="E649" i="1" a="1"/>
  <c r="E649" i="1" s="1"/>
  <c r="E631" i="1" a="1"/>
  <c r="E631" i="1" s="1"/>
  <c r="E613" i="1" a="1"/>
  <c r="E613" i="1" s="1"/>
  <c r="E595" i="1" a="1"/>
  <c r="E595" i="1" s="1"/>
  <c r="E577" i="1" a="1"/>
  <c r="E577" i="1" s="1"/>
  <c r="E559" i="1" a="1"/>
  <c r="E559" i="1" s="1"/>
  <c r="E541" i="1" a="1"/>
  <c r="E541" i="1" s="1"/>
  <c r="E523" i="1" a="1"/>
  <c r="E523" i="1" s="1"/>
  <c r="E514" i="1" a="1"/>
  <c r="E514" i="1" s="1"/>
  <c r="E490" i="1" a="1"/>
  <c r="E490" i="1" s="1"/>
  <c r="E472" i="1" a="1"/>
  <c r="E472" i="1" s="1"/>
  <c r="E454" i="1" a="1"/>
  <c r="E454" i="1" s="1"/>
  <c r="E412" i="1" a="1"/>
  <c r="E412" i="1" s="1"/>
  <c r="E394" i="1" a="1"/>
  <c r="E394" i="1" s="1"/>
  <c r="E334" i="1" a="1"/>
  <c r="E334" i="1" s="1"/>
  <c r="E316" i="1" a="1"/>
  <c r="E316" i="1" s="1"/>
  <c r="E274" i="1" a="1"/>
  <c r="E274" i="1" s="1"/>
  <c r="E256" i="1" a="1"/>
  <c r="E256" i="1" s="1"/>
  <c r="E238" i="1" a="1"/>
  <c r="E238" i="1" s="1"/>
  <c r="E196" i="1" a="1"/>
  <c r="E196" i="1" s="1"/>
  <c r="E693" i="1" a="1"/>
  <c r="E693" i="1" s="1"/>
  <c r="E675" i="1" a="1"/>
  <c r="E675" i="1" s="1"/>
  <c r="E549" i="1" a="1"/>
  <c r="E549" i="1" s="1"/>
  <c r="E531" i="1" a="1"/>
  <c r="E531" i="1" s="1"/>
  <c r="E405" i="1" a="1"/>
  <c r="E405" i="1" s="1"/>
  <c r="E387" i="1" a="1"/>
  <c r="E387" i="1" s="1"/>
  <c r="E327" i="1" a="1"/>
  <c r="E327" i="1" s="1"/>
  <c r="E309" i="1" a="1"/>
  <c r="E309" i="1" s="1"/>
  <c r="E249" i="1" a="1"/>
  <c r="E249" i="1" s="1"/>
  <c r="E158" i="1" a="1"/>
  <c r="E158" i="1" s="1"/>
  <c r="E116" i="1" a="1"/>
  <c r="E116" i="1" s="1"/>
  <c r="E56" i="1" a="1"/>
  <c r="E56" i="1" s="1"/>
  <c r="E7" i="1" a="1"/>
  <c r="E7" i="1" s="1"/>
  <c r="E86" i="1" a="1"/>
  <c r="E86" i="1" s="1"/>
  <c r="E858" i="1" a="1"/>
  <c r="E858" i="1" s="1"/>
  <c r="E804" i="1" a="1"/>
  <c r="E804" i="1" s="1"/>
  <c r="E756" i="1" a="1"/>
  <c r="E756" i="1" s="1"/>
  <c r="E720" i="1" a="1"/>
  <c r="E720" i="1" s="1"/>
  <c r="E140" i="1" a="1"/>
  <c r="E140" i="1" s="1"/>
  <c r="E74" i="1" a="1"/>
  <c r="E74" i="1" s="1"/>
  <c r="E156" i="1" a="1"/>
  <c r="E156" i="1" s="1"/>
  <c r="E126" i="1" a="1"/>
  <c r="E126" i="1" s="1"/>
  <c r="E24" i="1" a="1"/>
  <c r="E24" i="1" s="1"/>
  <c r="E868" i="1" a="1"/>
  <c r="E868" i="1" s="1"/>
  <c r="E850" i="1" a="1"/>
  <c r="E850" i="1" s="1"/>
  <c r="E832" i="1" a="1"/>
  <c r="E832" i="1" s="1"/>
  <c r="E814" i="1" a="1"/>
  <c r="E814" i="1" s="1"/>
  <c r="E778" i="1" a="1"/>
  <c r="E778" i="1" s="1"/>
  <c r="E760" i="1" a="1"/>
  <c r="E760" i="1" s="1"/>
  <c r="E742" i="1" a="1"/>
  <c r="E742" i="1" s="1"/>
  <c r="E724" i="1" a="1"/>
  <c r="E724" i="1" s="1"/>
  <c r="E706" i="1" a="1"/>
  <c r="E706" i="1" s="1"/>
  <c r="E688" i="1" a="1"/>
  <c r="E688" i="1" s="1"/>
  <c r="E670" i="1" a="1"/>
  <c r="E670" i="1" s="1"/>
  <c r="E652" i="1" a="1"/>
  <c r="E652" i="1" s="1"/>
  <c r="E616" i="1" a="1"/>
  <c r="E616" i="1" s="1"/>
  <c r="E598" i="1" a="1"/>
  <c r="E598" i="1" s="1"/>
  <c r="E580" i="1" a="1"/>
  <c r="E580" i="1" s="1"/>
  <c r="E562" i="1" a="1"/>
  <c r="E562" i="1" s="1"/>
  <c r="E684" i="1" a="1"/>
  <c r="E684" i="1" s="1"/>
  <c r="E630" i="1" a="1"/>
  <c r="E630" i="1" s="1"/>
  <c r="E576" i="1" a="1"/>
  <c r="E576" i="1" s="1"/>
  <c r="E145" i="1" a="1"/>
  <c r="E145" i="1" s="1"/>
  <c r="E162" i="1" a="1"/>
  <c r="E162" i="1" s="1"/>
  <c r="E4" i="1" a="1"/>
  <c r="E4" i="1" s="1"/>
  <c r="E161" i="1" a="1"/>
  <c r="E161" i="1" s="1"/>
  <c r="E149" i="1" a="1"/>
  <c r="E149" i="1" s="1"/>
  <c r="E137" i="1" a="1"/>
  <c r="E137" i="1" s="1"/>
  <c r="E125" i="1" a="1"/>
  <c r="E125" i="1" s="1"/>
  <c r="E848" i="1" a="1"/>
  <c r="E848" i="1" s="1"/>
  <c r="E793" i="1" a="1"/>
  <c r="E793" i="1" s="1"/>
  <c r="E721" i="1" a="1"/>
  <c r="E721" i="1" s="1"/>
  <c r="E672" i="1" a="1"/>
  <c r="E672" i="1" s="1"/>
  <c r="E618" i="1" a="1"/>
  <c r="E618" i="1" s="1"/>
  <c r="E564" i="1" a="1"/>
  <c r="E564" i="1" s="1"/>
  <c r="E6" i="1" a="1"/>
  <c r="E6" i="1" s="1"/>
  <c r="E157" i="1" a="1"/>
  <c r="E157" i="1" s="1"/>
  <c r="E139" i="1" a="1"/>
  <c r="E139" i="1" s="1"/>
  <c r="E127" i="1" a="1"/>
  <c r="E127" i="1" s="1"/>
  <c r="E115" i="1" a="1"/>
  <c r="E115" i="1" s="1"/>
  <c r="E103" i="1" a="1"/>
  <c r="E103" i="1" s="1"/>
  <c r="E91" i="1" a="1"/>
  <c r="E91" i="1" s="1"/>
  <c r="E79" i="1" a="1"/>
  <c r="E79" i="1" s="1"/>
  <c r="E67" i="1" a="1"/>
  <c r="E67" i="1" s="1"/>
  <c r="E55" i="1" a="1"/>
  <c r="E55" i="1" s="1"/>
  <c r="E43" i="1" a="1"/>
  <c r="E43" i="1" s="1"/>
  <c r="E31" i="1" a="1"/>
  <c r="E31" i="1" s="1"/>
  <c r="E19" i="1" a="1"/>
  <c r="E19" i="1" s="1"/>
  <c r="E68" i="1" a="1"/>
  <c r="E68" i="1" s="1"/>
  <c r="E846" i="1" a="1"/>
  <c r="E846" i="1" s="1"/>
  <c r="E792" i="1" a="1"/>
  <c r="E792" i="1" s="1"/>
  <c r="E744" i="1" a="1"/>
  <c r="E744" i="1" s="1"/>
  <c r="E152" i="1" a="1"/>
  <c r="E152" i="1" s="1"/>
  <c r="E92" i="1" a="1"/>
  <c r="E92" i="1" s="1"/>
  <c r="E164" i="1" a="1"/>
  <c r="E164" i="1" s="1"/>
  <c r="E852" i="1" a="1"/>
  <c r="E852" i="1" s="1"/>
  <c r="E798" i="1" a="1"/>
  <c r="E798" i="1" s="1"/>
  <c r="E708" i="1" a="1"/>
  <c r="E708" i="1" s="1"/>
  <c r="E642" i="1" a="1"/>
  <c r="E642" i="1" s="1"/>
  <c r="E588" i="1" a="1"/>
  <c r="E588" i="1" s="1"/>
  <c r="E163" i="1" a="1"/>
  <c r="E163" i="1" s="1"/>
  <c r="E84" i="1" a="1"/>
  <c r="E84" i="1" s="1"/>
  <c r="E54" i="1" a="1"/>
  <c r="E54" i="1" s="1"/>
  <c r="E796" i="1" a="1"/>
  <c r="E796" i="1" s="1"/>
  <c r="E634" i="1" a="1"/>
  <c r="E634" i="1" s="1"/>
  <c r="E544" i="1" a="1"/>
  <c r="E544" i="1" s="1"/>
  <c r="E132" i="1" a="1"/>
  <c r="E132" i="1" s="1"/>
  <c r="E60" i="1" a="1"/>
  <c r="E60" i="1" s="1"/>
  <c r="E877" i="1" a="1"/>
  <c r="E877" i="1" s="1"/>
  <c r="E859" i="1" a="1"/>
  <c r="E859" i="1" s="1"/>
  <c r="E841" i="1" a="1"/>
  <c r="E841" i="1" s="1"/>
  <c r="E823" i="1" a="1"/>
  <c r="E823" i="1" s="1"/>
  <c r="E805" i="1" a="1"/>
  <c r="E805" i="1" s="1"/>
  <c r="E787" i="1" a="1"/>
  <c r="E787" i="1" s="1"/>
  <c r="E769" i="1" a="1"/>
  <c r="E769" i="1" s="1"/>
  <c r="E751" i="1" a="1"/>
  <c r="E751" i="1" s="1"/>
  <c r="E733" i="1" a="1"/>
  <c r="E733" i="1" s="1"/>
  <c r="E715" i="1" a="1"/>
  <c r="E715" i="1" s="1"/>
  <c r="E697" i="1" a="1"/>
  <c r="E697" i="1" s="1"/>
  <c r="E679" i="1" a="1"/>
  <c r="E679" i="1" s="1"/>
  <c r="E661" i="1" a="1"/>
  <c r="E661" i="1" s="1"/>
  <c r="E643" i="1" a="1"/>
  <c r="E643" i="1" s="1"/>
  <c r="E625" i="1" a="1"/>
  <c r="E625" i="1" s="1"/>
  <c r="E607" i="1" a="1"/>
  <c r="E607" i="1" s="1"/>
  <c r="E589" i="1" a="1"/>
  <c r="E589" i="1" s="1"/>
  <c r="E571" i="1" a="1"/>
  <c r="E571" i="1" s="1"/>
  <c r="E553" i="1" a="1"/>
  <c r="E553" i="1" s="1"/>
  <c r="E535" i="1" a="1"/>
  <c r="E535" i="1" s="1"/>
  <c r="E517" i="1" a="1"/>
  <c r="E517" i="1" s="1"/>
  <c r="E526" i="1" a="1"/>
  <c r="E526" i="1" s="1"/>
  <c r="E484" i="1" a="1"/>
  <c r="E484" i="1" s="1"/>
  <c r="E466" i="1" a="1"/>
  <c r="E466" i="1" s="1"/>
  <c r="E406" i="1" a="1"/>
  <c r="E406" i="1" s="1"/>
  <c r="E388" i="1" a="1"/>
  <c r="E388" i="1" s="1"/>
  <c r="E128" i="1" a="1"/>
  <c r="E128" i="1" s="1"/>
  <c r="E14" i="1" a="1"/>
  <c r="E14" i="1" s="1"/>
  <c r="E104" i="1" a="1"/>
  <c r="E104" i="1" s="1"/>
  <c r="E840" i="1" a="1"/>
  <c r="E840" i="1" s="1"/>
  <c r="E786" i="1" a="1"/>
  <c r="E786" i="1" s="1"/>
  <c r="E738" i="1" a="1"/>
  <c r="E738" i="1" s="1"/>
  <c r="E12" i="1" a="1"/>
  <c r="E12" i="1" s="1"/>
  <c r="E862" i="1" a="1"/>
  <c r="E862" i="1" s="1"/>
  <c r="E844" i="1" a="1"/>
  <c r="E844" i="1" s="1"/>
  <c r="E826" i="1" a="1"/>
  <c r="E826" i="1" s="1"/>
  <c r="E772" i="1" a="1"/>
  <c r="E772" i="1" s="1"/>
  <c r="E754" i="1" a="1"/>
  <c r="E754" i="1" s="1"/>
  <c r="E736" i="1" a="1"/>
  <c r="E736" i="1" s="1"/>
  <c r="E718" i="1" a="1"/>
  <c r="E718" i="1" s="1"/>
  <c r="E700" i="1" a="1"/>
  <c r="E700" i="1" s="1"/>
  <c r="E682" i="1" a="1"/>
  <c r="E682" i="1" s="1"/>
  <c r="E664" i="1" a="1"/>
  <c r="E664" i="1" s="1"/>
  <c r="E646" i="1" a="1"/>
  <c r="E646" i="1" s="1"/>
  <c r="E628" i="1" a="1"/>
  <c r="E628" i="1" s="1"/>
  <c r="E610" i="1" a="1"/>
  <c r="E610" i="1" s="1"/>
  <c r="E592" i="1" a="1"/>
  <c r="E592" i="1" s="1"/>
  <c r="E574" i="1" a="1"/>
  <c r="E574" i="1" s="1"/>
  <c r="E556" i="1" a="1"/>
  <c r="E556" i="1" s="1"/>
  <c r="E538" i="1" a="1"/>
  <c r="E538" i="1" s="1"/>
  <c r="E666" i="1" a="1"/>
  <c r="E666" i="1" s="1"/>
  <c r="E612" i="1" a="1"/>
  <c r="E612" i="1" s="1"/>
  <c r="E558" i="1" a="1"/>
  <c r="E558" i="1" s="1"/>
  <c r="E102" i="1" a="1"/>
  <c r="E102" i="1" s="1"/>
  <c r="E30" i="1" a="1"/>
  <c r="E30" i="1" s="1"/>
  <c r="E107" i="1" a="1"/>
  <c r="E107" i="1" s="1"/>
  <c r="E95" i="1" a="1"/>
  <c r="E95" i="1" s="1"/>
  <c r="E83" i="1" a="1"/>
  <c r="E83" i="1" s="1"/>
  <c r="E71" i="1" a="1"/>
  <c r="E71" i="1" s="1"/>
  <c r="E59" i="1" a="1"/>
  <c r="E59" i="1" s="1"/>
  <c r="E47" i="1" a="1"/>
  <c r="E47" i="1" s="1"/>
  <c r="E35" i="1" a="1"/>
  <c r="E35" i="1" s="1"/>
  <c r="E23" i="1" a="1"/>
  <c r="E23" i="1" s="1"/>
  <c r="E8" i="1" a="1"/>
  <c r="E8" i="1" s="1"/>
  <c r="E165" i="1" a="1"/>
  <c r="E165" i="1" s="1"/>
  <c r="E153" i="1" a="1"/>
  <c r="E153" i="1" s="1"/>
  <c r="E81" i="1" a="1"/>
  <c r="E81" i="1" s="1"/>
  <c r="E600" i="1" a="1"/>
  <c r="E600" i="1" s="1"/>
  <c r="E851" i="1" a="1"/>
  <c r="E851" i="1" s="1"/>
  <c r="E803" i="1" a="1"/>
  <c r="E803" i="1" s="1"/>
  <c r="E779" i="1" a="1"/>
  <c r="E779" i="1" s="1"/>
  <c r="E731" i="1" a="1"/>
  <c r="E731" i="1" s="1"/>
  <c r="E689" i="1" a="1"/>
  <c r="E689" i="1" s="1"/>
  <c r="E623" i="1" a="1"/>
  <c r="E623" i="1" s="1"/>
  <c r="E581" i="1" a="1"/>
  <c r="E581" i="1" s="1"/>
  <c r="E508" i="1" a="1"/>
  <c r="E508" i="1" s="1"/>
  <c r="E370" i="1" a="1"/>
  <c r="E370" i="1" s="1"/>
  <c r="E346" i="1" a="1"/>
  <c r="E346" i="1" s="1"/>
  <c r="E292" i="1" a="1"/>
  <c r="E292" i="1" s="1"/>
  <c r="E232" i="1" a="1"/>
  <c r="E232" i="1" s="1"/>
  <c r="E537" i="1" a="1"/>
  <c r="E537" i="1" s="1"/>
  <c r="E399" i="1" a="1"/>
  <c r="E399" i="1" s="1"/>
  <c r="E375" i="1" a="1"/>
  <c r="E375" i="1" s="1"/>
  <c r="E303" i="1" a="1"/>
  <c r="E303" i="1" s="1"/>
  <c r="E231" i="1" a="1"/>
  <c r="E231" i="1" s="1"/>
  <c r="E213" i="1" a="1"/>
  <c r="E213" i="1" s="1"/>
  <c r="E843" i="1" a="1"/>
  <c r="E843" i="1" s="1"/>
  <c r="E825" i="1" a="1"/>
  <c r="E825" i="1" s="1"/>
  <c r="E753" i="1" a="1"/>
  <c r="E753" i="1" s="1"/>
  <c r="E711" i="1" a="1"/>
  <c r="E711" i="1" s="1"/>
  <c r="E519" i="1" a="1"/>
  <c r="E519" i="1" s="1"/>
  <c r="E501" i="1" a="1"/>
  <c r="E501" i="1" s="1"/>
  <c r="E453" i="1" a="1"/>
  <c r="E453" i="1" s="1"/>
  <c r="E160" i="1" a="1"/>
  <c r="E160" i="1" s="1"/>
  <c r="E130" i="1" a="1"/>
  <c r="E130" i="1" s="1"/>
  <c r="E100" i="1" a="1"/>
  <c r="E100" i="1" s="1"/>
  <c r="E70" i="1" a="1"/>
  <c r="E70" i="1" s="1"/>
  <c r="E860" i="1" a="1"/>
  <c r="E860" i="1" s="1"/>
  <c r="E842" i="1" a="1"/>
  <c r="E842" i="1" s="1"/>
  <c r="E818" i="1" a="1"/>
  <c r="E818" i="1" s="1"/>
  <c r="E764" i="1" a="1"/>
  <c r="E764" i="1" s="1"/>
  <c r="E746" i="1" a="1"/>
  <c r="E746" i="1" s="1"/>
  <c r="E728" i="1" a="1"/>
  <c r="E728" i="1" s="1"/>
  <c r="E692" i="1" a="1"/>
  <c r="E692" i="1" s="1"/>
  <c r="E620" i="1" a="1"/>
  <c r="E620" i="1" s="1"/>
  <c r="E511" i="1" a="1"/>
  <c r="E511" i="1" s="1"/>
  <c r="E469" i="1" a="1"/>
  <c r="E469" i="1" s="1"/>
  <c r="E451" i="1" a="1"/>
  <c r="E451" i="1" s="1"/>
  <c r="E391" i="1" a="1"/>
  <c r="E391" i="1" s="1"/>
  <c r="E373" i="1" a="1"/>
  <c r="E373" i="1" s="1"/>
  <c r="E331" i="1" a="1"/>
  <c r="E331" i="1" s="1"/>
  <c r="E313" i="1" a="1"/>
  <c r="E313" i="1" s="1"/>
  <c r="E295" i="1" a="1"/>
  <c r="E295" i="1" s="1"/>
  <c r="E253" i="1" a="1"/>
  <c r="E253" i="1" s="1"/>
  <c r="E235" i="1" a="1"/>
  <c r="E235" i="1" s="1"/>
  <c r="E492" i="1" a="1"/>
  <c r="E492" i="1" s="1"/>
  <c r="E450" i="1" a="1"/>
  <c r="E450" i="1" s="1"/>
  <c r="E390" i="1" a="1"/>
  <c r="E390" i="1" s="1"/>
  <c r="E372" i="1" a="1"/>
  <c r="E372" i="1" s="1"/>
  <c r="E312" i="1" a="1"/>
  <c r="E312" i="1" s="1"/>
  <c r="E294" i="1" a="1"/>
  <c r="E294" i="1" s="1"/>
  <c r="E234" i="1" a="1"/>
  <c r="E234" i="1" s="1"/>
  <c r="E783" i="1" a="1"/>
  <c r="E783" i="1" s="1"/>
  <c r="E521" i="1" a="1"/>
  <c r="E521" i="1" s="1"/>
  <c r="E503" i="1" a="1"/>
  <c r="E503" i="1" s="1"/>
  <c r="E461" i="1" a="1"/>
  <c r="E461" i="1" s="1"/>
  <c r="E443" i="1" a="1"/>
  <c r="E443" i="1" s="1"/>
  <c r="E425" i="1" a="1"/>
  <c r="E425" i="1" s="1"/>
  <c r="E383" i="1" a="1"/>
  <c r="E383" i="1" s="1"/>
  <c r="E365" i="1" a="1"/>
  <c r="E365" i="1" s="1"/>
  <c r="E287" i="1" a="1"/>
  <c r="E287" i="1" s="1"/>
  <c r="E245" i="1" a="1"/>
  <c r="E245" i="1" s="1"/>
  <c r="E227" i="1" a="1"/>
  <c r="E227" i="1" s="1"/>
  <c r="E209" i="1" a="1"/>
  <c r="E209" i="1" s="1"/>
  <c r="E189" i="1" a="1"/>
  <c r="E189" i="1" s="1"/>
  <c r="E177" i="1" a="1"/>
  <c r="E177" i="1" s="1"/>
  <c r="E644" i="1" a="1"/>
  <c r="E644" i="1" s="1"/>
  <c r="E626" i="1" a="1"/>
  <c r="E626" i="1" s="1"/>
  <c r="E548" i="1" a="1"/>
  <c r="E548" i="1" s="1"/>
  <c r="E530" i="1" a="1"/>
  <c r="E530" i="1" s="1"/>
  <c r="E512" i="1" a="1"/>
  <c r="E512" i="1" s="1"/>
  <c r="E494" i="1" a="1"/>
  <c r="E494" i="1" s="1"/>
  <c r="E476" i="1" a="1"/>
  <c r="E476" i="1" s="1"/>
  <c r="E458" i="1" a="1"/>
  <c r="E458" i="1" s="1"/>
  <c r="E440" i="1" a="1"/>
  <c r="E440" i="1" s="1"/>
  <c r="E422" i="1" a="1"/>
  <c r="E422" i="1" s="1"/>
  <c r="E404" i="1" a="1"/>
  <c r="E404" i="1" s="1"/>
  <c r="E386" i="1" a="1"/>
  <c r="E386" i="1" s="1"/>
  <c r="E368" i="1" a="1"/>
  <c r="E368" i="1" s="1"/>
  <c r="E350" i="1" a="1"/>
  <c r="E350" i="1" s="1"/>
  <c r="E93" i="1" a="1"/>
  <c r="E93" i="1" s="1"/>
  <c r="E21" i="1" a="1"/>
  <c r="E21" i="1" s="1"/>
  <c r="E869" i="1" a="1"/>
  <c r="E869" i="1" s="1"/>
  <c r="E707" i="1" a="1"/>
  <c r="E707" i="1" s="1"/>
  <c r="E641" i="1" a="1"/>
  <c r="E641" i="1" s="1"/>
  <c r="E599" i="1" a="1"/>
  <c r="E599" i="1" s="1"/>
  <c r="E208" i="1" a="1"/>
  <c r="E208" i="1" s="1"/>
  <c r="E627" i="1" a="1"/>
  <c r="E627" i="1" s="1"/>
  <c r="E603" i="1" a="1"/>
  <c r="E603" i="1" s="1"/>
  <c r="E465" i="1" a="1"/>
  <c r="E465" i="1" s="1"/>
  <c r="E279" i="1" a="1"/>
  <c r="E279" i="1" s="1"/>
  <c r="E807" i="1" a="1"/>
  <c r="E807" i="1" s="1"/>
  <c r="E789" i="1" a="1"/>
  <c r="E789" i="1" s="1"/>
  <c r="E765" i="1" a="1"/>
  <c r="E765" i="1" s="1"/>
  <c r="E747" i="1" a="1"/>
  <c r="E747" i="1" s="1"/>
  <c r="E729" i="1" a="1"/>
  <c r="E729" i="1" s="1"/>
  <c r="E657" i="1" a="1"/>
  <c r="E657" i="1" s="1"/>
  <c r="E639" i="1" a="1"/>
  <c r="E639" i="1" s="1"/>
  <c r="E585" i="1" a="1"/>
  <c r="E585" i="1" s="1"/>
  <c r="E567" i="1" a="1"/>
  <c r="E567" i="1" s="1"/>
  <c r="E447" i="1" a="1"/>
  <c r="E447" i="1" s="1"/>
  <c r="E429" i="1" a="1"/>
  <c r="E429" i="1" s="1"/>
  <c r="E112" i="1" a="1"/>
  <c r="E112" i="1" s="1"/>
  <c r="E52" i="1" a="1"/>
  <c r="E52" i="1" s="1"/>
  <c r="E22" i="1" a="1"/>
  <c r="E22" i="1" s="1"/>
  <c r="E878" i="1" a="1"/>
  <c r="E878" i="1" s="1"/>
  <c r="E800" i="1" a="1"/>
  <c r="E800" i="1" s="1"/>
  <c r="E782" i="1" a="1"/>
  <c r="E782" i="1" s="1"/>
  <c r="E710" i="1" a="1"/>
  <c r="E710" i="1" s="1"/>
  <c r="E674" i="1" a="1"/>
  <c r="E674" i="1" s="1"/>
  <c r="E505" i="1" a="1"/>
  <c r="E505" i="1" s="1"/>
  <c r="E487" i="1" a="1"/>
  <c r="E487" i="1" s="1"/>
  <c r="E427" i="1" a="1"/>
  <c r="E427" i="1" s="1"/>
  <c r="E409" i="1" a="1"/>
  <c r="E409" i="1" s="1"/>
  <c r="E349" i="1" a="1"/>
  <c r="E349" i="1" s="1"/>
  <c r="E289" i="1" a="1"/>
  <c r="E289" i="1" s="1"/>
  <c r="E271" i="1" a="1"/>
  <c r="E271" i="1" s="1"/>
  <c r="E211" i="1" a="1"/>
  <c r="E211" i="1" s="1"/>
  <c r="E193" i="1" a="1"/>
  <c r="E193" i="1" s="1"/>
  <c r="E528" i="1" a="1"/>
  <c r="E528" i="1" s="1"/>
  <c r="E510" i="1" a="1"/>
  <c r="E510" i="1" s="1"/>
  <c r="E468" i="1" a="1"/>
  <c r="E468" i="1" s="1"/>
  <c r="E426" i="1" a="1"/>
  <c r="E426" i="1" s="1"/>
  <c r="E408" i="1" a="1"/>
  <c r="E408" i="1" s="1"/>
  <c r="E348" i="1" a="1"/>
  <c r="E348" i="1" s="1"/>
  <c r="E330" i="1" a="1"/>
  <c r="E330" i="1" s="1"/>
  <c r="E288" i="1" a="1"/>
  <c r="E288" i="1" s="1"/>
  <c r="E270" i="1" a="1"/>
  <c r="E270" i="1" s="1"/>
  <c r="E252" i="1" a="1"/>
  <c r="E252" i="1" s="1"/>
  <c r="E210" i="1" a="1"/>
  <c r="E210" i="1" s="1"/>
  <c r="E192" i="1" a="1"/>
  <c r="E192" i="1" s="1"/>
  <c r="E180" i="1" a="1"/>
  <c r="E180" i="1" s="1"/>
  <c r="E539" i="1" a="1"/>
  <c r="E539" i="1" s="1"/>
  <c r="E479" i="1" a="1"/>
  <c r="E479" i="1" s="1"/>
  <c r="E419" i="1" a="1"/>
  <c r="E419" i="1" s="1"/>
  <c r="E401" i="1" a="1"/>
  <c r="E401" i="1" s="1"/>
  <c r="E341" i="1" a="1"/>
  <c r="E341" i="1" s="1"/>
  <c r="E323" i="1" a="1"/>
  <c r="E323" i="1" s="1"/>
  <c r="E305" i="1" a="1"/>
  <c r="E305" i="1" s="1"/>
  <c r="E263" i="1" a="1"/>
  <c r="E263" i="1" s="1"/>
  <c r="E203" i="1" a="1"/>
  <c r="E203" i="1" s="1"/>
  <c r="E173" i="1" a="1"/>
  <c r="E173" i="1" s="1"/>
  <c r="E861" i="1" a="1"/>
  <c r="E861" i="1" s="1"/>
  <c r="E171" i="1" a="1"/>
  <c r="E171" i="1" s="1"/>
  <c r="E584" i="1" a="1"/>
  <c r="E584" i="1" s="1"/>
  <c r="E187" i="1" a="1"/>
  <c r="E187" i="1" s="1"/>
  <c r="E105" i="1" a="1"/>
  <c r="E105" i="1" s="1"/>
  <c r="E33" i="1" a="1"/>
  <c r="E33" i="1" s="1"/>
  <c r="E654" i="1" a="1"/>
  <c r="E654" i="1" s="1"/>
  <c r="E821" i="1" a="1"/>
  <c r="E821" i="1" s="1"/>
  <c r="E749" i="1" a="1"/>
  <c r="E749" i="1" s="1"/>
  <c r="E725" i="1" a="1"/>
  <c r="E725" i="1" s="1"/>
  <c r="E659" i="1" a="1"/>
  <c r="E659" i="1" s="1"/>
  <c r="E617" i="1" a="1"/>
  <c r="E617" i="1" s="1"/>
  <c r="E551" i="1" a="1"/>
  <c r="E551" i="1" s="1"/>
  <c r="E502" i="1" a="1"/>
  <c r="E502" i="1" s="1"/>
  <c r="E430" i="1" a="1"/>
  <c r="E430" i="1" s="1"/>
  <c r="E364" i="1" a="1"/>
  <c r="E364" i="1" s="1"/>
  <c r="E310" i="1" a="1"/>
  <c r="E310" i="1" s="1"/>
  <c r="E286" i="1" a="1"/>
  <c r="E286" i="1" s="1"/>
  <c r="E226" i="1" a="1"/>
  <c r="E226" i="1" s="1"/>
  <c r="E202" i="1" a="1"/>
  <c r="E202" i="1" s="1"/>
  <c r="E687" i="1" a="1"/>
  <c r="E687" i="1" s="1"/>
  <c r="E621" i="1" a="1"/>
  <c r="E621" i="1" s="1"/>
  <c r="E393" i="1" a="1"/>
  <c r="E393" i="1" s="1"/>
  <c r="E345" i="1" a="1"/>
  <c r="E345" i="1" s="1"/>
  <c r="E321" i="1" a="1"/>
  <c r="E321" i="1" s="1"/>
  <c r="E297" i="1" a="1"/>
  <c r="E297" i="1" s="1"/>
  <c r="E225" i="1" a="1"/>
  <c r="E225" i="1" s="1"/>
  <c r="E207" i="1" a="1"/>
  <c r="E207" i="1" s="1"/>
  <c r="E837" i="1" a="1"/>
  <c r="E837" i="1" s="1"/>
  <c r="E705" i="1" a="1"/>
  <c r="E705" i="1" s="1"/>
  <c r="E513" i="1" a="1"/>
  <c r="E513" i="1" s="1"/>
  <c r="E495" i="1" a="1"/>
  <c r="E495" i="1" s="1"/>
  <c r="E9" i="1" a="1"/>
  <c r="E9" i="1" s="1"/>
  <c r="E142" i="1" a="1"/>
  <c r="E142" i="1" s="1"/>
  <c r="E124" i="1" a="1"/>
  <c r="E124" i="1" s="1"/>
  <c r="E82" i="1" a="1"/>
  <c r="E82" i="1" s="1"/>
  <c r="E64" i="1" a="1"/>
  <c r="E64" i="1" s="1"/>
  <c r="E34" i="1" a="1"/>
  <c r="E34" i="1" s="1"/>
  <c r="E830" i="1" a="1"/>
  <c r="E830" i="1" s="1"/>
  <c r="E776" i="1" a="1"/>
  <c r="E776" i="1" s="1"/>
  <c r="E758" i="1" a="1"/>
  <c r="E758" i="1" s="1"/>
  <c r="E740" i="1" a="1"/>
  <c r="E740" i="1" s="1"/>
  <c r="E722" i="1" a="1"/>
  <c r="E722" i="1" s="1"/>
  <c r="E704" i="1" a="1"/>
  <c r="E704" i="1" s="1"/>
  <c r="E686" i="1" a="1"/>
  <c r="E686" i="1" s="1"/>
  <c r="E668" i="1" a="1"/>
  <c r="E668" i="1" s="1"/>
  <c r="E463" i="1" a="1"/>
  <c r="E463" i="1" s="1"/>
  <c r="E445" i="1" a="1"/>
  <c r="E445" i="1" s="1"/>
  <c r="E403" i="1" a="1"/>
  <c r="E403" i="1" s="1"/>
  <c r="E385" i="1" a="1"/>
  <c r="E385" i="1" s="1"/>
  <c r="E367" i="1" a="1"/>
  <c r="E367" i="1" s="1"/>
  <c r="E325" i="1" a="1"/>
  <c r="E325" i="1" s="1"/>
  <c r="E307" i="1" a="1"/>
  <c r="E307" i="1" s="1"/>
  <c r="E247" i="1" a="1"/>
  <c r="E247" i="1" s="1"/>
  <c r="E117" i="1" a="1"/>
  <c r="E117" i="1" s="1"/>
  <c r="E45" i="1" a="1"/>
  <c r="E45" i="1" s="1"/>
  <c r="E839" i="1" a="1"/>
  <c r="E839" i="1" s="1"/>
  <c r="E767" i="1" a="1"/>
  <c r="E767" i="1" s="1"/>
  <c r="E677" i="1" a="1"/>
  <c r="E677" i="1" s="1"/>
  <c r="E635" i="1" a="1"/>
  <c r="E635" i="1" s="1"/>
  <c r="E569" i="1" a="1"/>
  <c r="E569" i="1" s="1"/>
  <c r="E520" i="1" a="1"/>
  <c r="E520" i="1" s="1"/>
  <c r="E304" i="1" a="1"/>
  <c r="E304" i="1" s="1"/>
  <c r="E250" i="1" a="1"/>
  <c r="E250" i="1" s="1"/>
  <c r="E483" i="1" a="1"/>
  <c r="E483" i="1" s="1"/>
  <c r="E459" i="1" a="1"/>
  <c r="E459" i="1" s="1"/>
  <c r="E363" i="1" a="1"/>
  <c r="E363" i="1" s="1"/>
  <c r="E243" i="1" a="1"/>
  <c r="E243" i="1" s="1"/>
  <c r="E879" i="1" a="1"/>
  <c r="E879" i="1" s="1"/>
  <c r="E855" i="1" a="1"/>
  <c r="E855" i="1" s="1"/>
  <c r="E819" i="1" a="1"/>
  <c r="E819" i="1" s="1"/>
  <c r="E801" i="1" a="1"/>
  <c r="E801" i="1" s="1"/>
  <c r="E777" i="1" a="1"/>
  <c r="E777" i="1" s="1"/>
  <c r="E759" i="1" a="1"/>
  <c r="E759" i="1" s="1"/>
  <c r="E741" i="1" a="1"/>
  <c r="E741" i="1" s="1"/>
  <c r="E723" i="1" a="1"/>
  <c r="E723" i="1" s="1"/>
  <c r="E651" i="1" a="1"/>
  <c r="E651" i="1" s="1"/>
  <c r="E633" i="1" a="1"/>
  <c r="E633" i="1" s="1"/>
  <c r="E579" i="1" a="1"/>
  <c r="E579" i="1" s="1"/>
  <c r="E561" i="1" a="1"/>
  <c r="E561" i="1" s="1"/>
  <c r="E441" i="1" a="1"/>
  <c r="E441" i="1" s="1"/>
  <c r="E423" i="1" a="1"/>
  <c r="E423" i="1" s="1"/>
  <c r="E3" i="1" a="1"/>
  <c r="E3" i="1" s="1"/>
  <c r="E154" i="1" a="1"/>
  <c r="E154" i="1" s="1"/>
  <c r="E94" i="1" a="1"/>
  <c r="E94" i="1" s="1"/>
  <c r="E46" i="1" a="1"/>
  <c r="E46" i="1" s="1"/>
  <c r="E16" i="1" a="1"/>
  <c r="E16" i="1" s="1"/>
  <c r="E872" i="1" a="1"/>
  <c r="E872" i="1" s="1"/>
  <c r="E854" i="1" a="1"/>
  <c r="E854" i="1" s="1"/>
  <c r="E812" i="1" a="1"/>
  <c r="E812" i="1" s="1"/>
  <c r="E794" i="1" a="1"/>
  <c r="E794" i="1" s="1"/>
  <c r="E499" i="1" a="1"/>
  <c r="E499" i="1" s="1"/>
  <c r="E481" i="1" a="1"/>
  <c r="E481" i="1" s="1"/>
  <c r="E421" i="1" a="1"/>
  <c r="E421" i="1" s="1"/>
  <c r="E361" i="1" a="1"/>
  <c r="E361" i="1" s="1"/>
  <c r="E343" i="1" a="1"/>
  <c r="E343" i="1" s="1"/>
  <c r="E283" i="1" a="1"/>
  <c r="E283" i="1" s="1"/>
  <c r="E265" i="1" a="1"/>
  <c r="E265" i="1" s="1"/>
  <c r="E205" i="1" a="1"/>
  <c r="E205" i="1" s="1"/>
  <c r="E873" i="1" a="1"/>
  <c r="E873" i="1" s="1"/>
  <c r="E522" i="1" a="1"/>
  <c r="E522" i="1" s="1"/>
  <c r="E480" i="1" a="1"/>
  <c r="E480" i="1" s="1"/>
  <c r="E420" i="1" a="1"/>
  <c r="E420" i="1" s="1"/>
  <c r="E402" i="1" a="1"/>
  <c r="E402" i="1" s="1"/>
  <c r="E360" i="1" a="1"/>
  <c r="E360" i="1" s="1"/>
  <c r="E342" i="1" a="1"/>
  <c r="E342" i="1" s="1"/>
  <c r="E324" i="1" a="1"/>
  <c r="E324" i="1" s="1"/>
  <c r="E282" i="1" a="1"/>
  <c r="E282" i="1" s="1"/>
  <c r="E264" i="1" a="1"/>
  <c r="E264" i="1" s="1"/>
  <c r="E204" i="1" a="1"/>
  <c r="E204" i="1" s="1"/>
  <c r="E174" i="1" a="1"/>
  <c r="E174" i="1" s="1"/>
  <c r="E491" i="1" a="1"/>
  <c r="E491" i="1" s="1"/>
  <c r="E473" i="1" a="1"/>
  <c r="E473" i="1" s="1"/>
  <c r="E413" i="1" a="1"/>
  <c r="E413" i="1" s="1"/>
  <c r="E395" i="1" a="1"/>
  <c r="E395" i="1" s="1"/>
  <c r="E335" i="1" a="1"/>
  <c r="E335" i="1" s="1"/>
  <c r="E275" i="1" a="1"/>
  <c r="E275" i="1" s="1"/>
  <c r="E257" i="1" a="1"/>
  <c r="E257" i="1" s="1"/>
  <c r="E197" i="1" a="1"/>
  <c r="E197" i="1" s="1"/>
  <c r="E591" i="1" a="1"/>
  <c r="E591" i="1" s="1"/>
  <c r="E183" i="1" a="1"/>
  <c r="E183" i="1" s="1"/>
  <c r="E614" i="1" a="1"/>
  <c r="E614" i="1" s="1"/>
  <c r="E596" i="1" a="1"/>
  <c r="E596" i="1" s="1"/>
  <c r="E578" i="1" a="1"/>
  <c r="E578" i="1" s="1"/>
  <c r="E182" i="1" a="1"/>
  <c r="E182" i="1" s="1"/>
  <c r="E170" i="1" a="1"/>
  <c r="E170" i="1" s="1"/>
  <c r="E181" i="1" a="1"/>
  <c r="E181" i="1" s="1"/>
  <c r="E129" i="1" a="1"/>
  <c r="E129" i="1" s="1"/>
  <c r="E57" i="1" a="1"/>
  <c r="E57" i="1" s="1"/>
  <c r="E546" i="1" a="1"/>
  <c r="E546" i="1" s="1"/>
  <c r="E857" i="1" a="1"/>
  <c r="E857" i="1" s="1"/>
  <c r="E785" i="1" a="1"/>
  <c r="E785" i="1" s="1"/>
  <c r="E695" i="1" a="1"/>
  <c r="E695" i="1" s="1"/>
  <c r="E653" i="1" a="1"/>
  <c r="E653" i="1" s="1"/>
  <c r="E587" i="1" a="1"/>
  <c r="E587" i="1" s="1"/>
  <c r="E545" i="1" a="1"/>
  <c r="E545" i="1" s="1"/>
  <c r="E448" i="1" a="1"/>
  <c r="E448" i="1" s="1"/>
  <c r="E424" i="1" a="1"/>
  <c r="E424" i="1" s="1"/>
  <c r="E328" i="1" a="1"/>
  <c r="E328" i="1" s="1"/>
  <c r="E178" i="1" a="1"/>
  <c r="E178" i="1" s="1"/>
  <c r="E681" i="1" a="1"/>
  <c r="E681" i="1" s="1"/>
  <c r="E543" i="1" a="1"/>
  <c r="E543" i="1" s="1"/>
  <c r="E477" i="1" a="1"/>
  <c r="E477" i="1" s="1"/>
  <c r="E339" i="1" a="1"/>
  <c r="E339" i="1" s="1"/>
  <c r="E315" i="1" a="1"/>
  <c r="E315" i="1" s="1"/>
  <c r="E267" i="1" a="1"/>
  <c r="E267" i="1" s="1"/>
  <c r="E219" i="1" a="1"/>
  <c r="E219" i="1" s="1"/>
  <c r="E201" i="1" a="1"/>
  <c r="E201" i="1" s="1"/>
  <c r="E849" i="1" a="1"/>
  <c r="E849" i="1" s="1"/>
  <c r="E831" i="1" a="1"/>
  <c r="E831" i="1" s="1"/>
  <c r="E795" i="1" a="1"/>
  <c r="E795" i="1" s="1"/>
  <c r="E669" i="1" a="1"/>
  <c r="E669" i="1" s="1"/>
  <c r="E507" i="1" a="1"/>
  <c r="E507" i="1" s="1"/>
  <c r="E489" i="1" a="1"/>
  <c r="E489" i="1" s="1"/>
  <c r="E136" i="1" a="1"/>
  <c r="E136" i="1" s="1"/>
  <c r="E106" i="1" a="1"/>
  <c r="E106" i="1" s="1"/>
  <c r="E76" i="1" a="1"/>
  <c r="E76" i="1" s="1"/>
  <c r="E28" i="1" a="1"/>
  <c r="E28" i="1" s="1"/>
  <c r="E824" i="1" a="1"/>
  <c r="E824" i="1" s="1"/>
  <c r="E806" i="1" a="1"/>
  <c r="E806" i="1" s="1"/>
  <c r="E770" i="1" a="1"/>
  <c r="E770" i="1" s="1"/>
  <c r="E734" i="1" a="1"/>
  <c r="E734" i="1" s="1"/>
  <c r="E698" i="1" a="1"/>
  <c r="E698" i="1" s="1"/>
  <c r="E680" i="1" a="1"/>
  <c r="E680" i="1" s="1"/>
  <c r="E662" i="1" a="1"/>
  <c r="E662" i="1" s="1"/>
  <c r="E475" i="1" a="1"/>
  <c r="E475" i="1" s="1"/>
  <c r="E439" i="1" a="1"/>
  <c r="E439" i="1" s="1"/>
  <c r="E397" i="1" a="1"/>
  <c r="E397" i="1" s="1"/>
  <c r="E379" i="1" a="1"/>
  <c r="E379" i="1" s="1"/>
  <c r="E319" i="1" a="1"/>
  <c r="E319" i="1" s="1"/>
  <c r="E301" i="1" a="1"/>
  <c r="E301" i="1" s="1"/>
  <c r="E259" i="1" a="1"/>
  <c r="E259" i="1" s="1"/>
  <c r="E241" i="1" a="1"/>
  <c r="E241" i="1" s="1"/>
  <c r="E223" i="1" a="1"/>
  <c r="E223" i="1" s="1"/>
  <c r="E540" i="1" a="1"/>
  <c r="E540" i="1" s="1"/>
  <c r="E498" i="1" a="1"/>
  <c r="E498" i="1" s="1"/>
  <c r="E456" i="1" a="1"/>
  <c r="E456" i="1" s="1"/>
  <c r="E438" i="1" a="1"/>
  <c r="E438" i="1" s="1"/>
  <c r="E378" i="1" a="1"/>
  <c r="E378" i="1" s="1"/>
  <c r="E318" i="1" a="1"/>
  <c r="E318" i="1" s="1"/>
  <c r="E300" i="1" a="1"/>
  <c r="E300" i="1" s="1"/>
  <c r="E240" i="1" a="1"/>
  <c r="E240" i="1" s="1"/>
  <c r="E222" i="1" a="1"/>
  <c r="E222" i="1" s="1"/>
  <c r="E186" i="1" a="1"/>
  <c r="E186" i="1" s="1"/>
  <c r="E509" i="1" a="1"/>
  <c r="E509" i="1" s="1"/>
  <c r="E449" i="1" a="1"/>
  <c r="E449" i="1" s="1"/>
  <c r="E431" i="1" a="1"/>
  <c r="E431" i="1" s="1"/>
  <c r="E389" i="1" a="1"/>
  <c r="E389" i="1" s="1"/>
  <c r="E371" i="1" a="1"/>
  <c r="E371" i="1" s="1"/>
  <c r="E353" i="1" a="1"/>
  <c r="E353" i="1" s="1"/>
  <c r="E311" i="1" a="1"/>
  <c r="E311" i="1" s="1"/>
  <c r="E293" i="1" a="1"/>
  <c r="E293" i="1" s="1"/>
  <c r="E233" i="1" a="1"/>
  <c r="E233" i="1" s="1"/>
  <c r="E215" i="1" a="1"/>
  <c r="E215" i="1" s="1"/>
  <c r="E172" i="1" a="1"/>
  <c r="E172" i="1" s="1"/>
  <c r="E650" i="1" a="1"/>
  <c r="E650" i="1" s="1"/>
  <c r="E632" i="1" a="1"/>
  <c r="E632" i="1" s="1"/>
  <c r="E536" i="1" a="1"/>
  <c r="E536" i="1" s="1"/>
  <c r="E518" i="1" a="1"/>
  <c r="E518" i="1" s="1"/>
  <c r="E482" i="1" a="1"/>
  <c r="E482" i="1" s="1"/>
  <c r="E464" i="1" a="1"/>
  <c r="E464" i="1" s="1"/>
  <c r="E141" i="1" a="1"/>
  <c r="E141" i="1" s="1"/>
  <c r="E69" i="1" a="1"/>
  <c r="E69" i="1" s="1"/>
  <c r="E875" i="1" a="1"/>
  <c r="E875" i="1" s="1"/>
  <c r="E833" i="1" a="1"/>
  <c r="E833" i="1" s="1"/>
  <c r="E761" i="1" a="1"/>
  <c r="E761" i="1" s="1"/>
  <c r="E713" i="1" a="1"/>
  <c r="E713" i="1" s="1"/>
  <c r="E671" i="1" a="1"/>
  <c r="E671" i="1" s="1"/>
  <c r="E605" i="1" a="1"/>
  <c r="E605" i="1" s="1"/>
  <c r="E563" i="1" a="1"/>
  <c r="E563" i="1" s="1"/>
  <c r="E352" i="1" a="1"/>
  <c r="E352" i="1" s="1"/>
  <c r="E268" i="1" a="1"/>
  <c r="E268" i="1" s="1"/>
  <c r="E214" i="1" a="1"/>
  <c r="E214" i="1" s="1"/>
  <c r="E190" i="1" a="1"/>
  <c r="E190" i="1" s="1"/>
  <c r="E609" i="1" a="1"/>
  <c r="E609" i="1" s="1"/>
  <c r="E381" i="1" a="1"/>
  <c r="E381" i="1" s="1"/>
  <c r="E357" i="1" a="1"/>
  <c r="E357" i="1" s="1"/>
  <c r="E333" i="1" a="1"/>
  <c r="E333" i="1" s="1"/>
  <c r="E285" i="1" a="1"/>
  <c r="E285" i="1" s="1"/>
  <c r="E261" i="1" a="1"/>
  <c r="E261" i="1" s="1"/>
  <c r="E237" i="1" a="1"/>
  <c r="E237" i="1" s="1"/>
  <c r="E867" i="1" a="1"/>
  <c r="E867" i="1" s="1"/>
  <c r="E813" i="1" a="1"/>
  <c r="E813" i="1" s="1"/>
  <c r="E771" i="1" a="1"/>
  <c r="E771" i="1" s="1"/>
  <c r="E735" i="1" a="1"/>
  <c r="E735" i="1" s="1"/>
  <c r="E663" i="1" a="1"/>
  <c r="E663" i="1" s="1"/>
  <c r="E645" i="1" a="1"/>
  <c r="E645" i="1" s="1"/>
  <c r="E597" i="1" a="1"/>
  <c r="E597" i="1" s="1"/>
  <c r="E573" i="1" a="1"/>
  <c r="E573" i="1" s="1"/>
  <c r="E525" i="1" a="1"/>
  <c r="E525" i="1" s="1"/>
  <c r="E435" i="1" a="1"/>
  <c r="E435" i="1" s="1"/>
  <c r="E417" i="1" a="1"/>
  <c r="E417" i="1" s="1"/>
  <c r="E166" i="1" a="1"/>
  <c r="E166" i="1" s="1"/>
  <c r="E148" i="1" a="1"/>
  <c r="E148" i="1" s="1"/>
  <c r="E118" i="1" a="1"/>
  <c r="E118" i="1" s="1"/>
  <c r="E88" i="1" a="1"/>
  <c r="E88" i="1" s="1"/>
  <c r="E58" i="1" a="1"/>
  <c r="E58" i="1" s="1"/>
  <c r="E40" i="1" a="1"/>
  <c r="E40" i="1" s="1"/>
  <c r="E866" i="1" a="1"/>
  <c r="E866" i="1" s="1"/>
  <c r="E788" i="1" a="1"/>
  <c r="E788" i="1" s="1"/>
  <c r="E752" i="1" a="1"/>
  <c r="E752" i="1" s="1"/>
  <c r="E716" i="1" a="1"/>
  <c r="E716" i="1" s="1"/>
  <c r="E836" i="1" a="1"/>
  <c r="E836" i="1" s="1"/>
  <c r="E493" i="1" a="1"/>
  <c r="E493" i="1" s="1"/>
  <c r="E457" i="1" a="1"/>
  <c r="E457" i="1" s="1"/>
  <c r="E433" i="1" a="1"/>
  <c r="E433" i="1" s="1"/>
  <c r="E415" i="1" a="1"/>
  <c r="E415" i="1" s="1"/>
  <c r="E355" i="1" a="1"/>
  <c r="E355" i="1" s="1"/>
  <c r="E337" i="1" a="1"/>
  <c r="E337" i="1" s="1"/>
  <c r="E277" i="1" a="1"/>
  <c r="E277" i="1" s="1"/>
  <c r="E217" i="1" a="1"/>
  <c r="E217" i="1" s="1"/>
  <c r="E199" i="1" a="1"/>
  <c r="E199" i="1" s="1"/>
  <c r="E534" i="1" a="1"/>
  <c r="E534" i="1" s="1"/>
  <c r="E516" i="1" a="1"/>
  <c r="E516" i="1" s="1"/>
  <c r="E396" i="1" a="1"/>
  <c r="E396" i="1" s="1"/>
  <c r="E366" i="1" a="1"/>
  <c r="E366" i="1" s="1"/>
  <c r="E336" i="1" a="1"/>
  <c r="E336" i="1" s="1"/>
  <c r="E377" i="1" a="1"/>
  <c r="E377" i="1" s="1"/>
  <c r="E347" i="1" a="1"/>
  <c r="E347" i="1" s="1"/>
  <c r="E317" i="1" a="1"/>
  <c r="E317" i="1" s="1"/>
  <c r="E638" i="1" a="1"/>
  <c r="E638" i="1" s="1"/>
  <c r="E608" i="1" a="1"/>
  <c r="E608" i="1" s="1"/>
  <c r="E560" i="1" a="1"/>
  <c r="E560" i="1" s="1"/>
  <c r="E488" i="1" a="1"/>
  <c r="E488" i="1" s="1"/>
  <c r="E416" i="1" a="1"/>
  <c r="E416" i="1" s="1"/>
  <c r="E332" i="1" a="1"/>
  <c r="E332" i="1" s="1"/>
  <c r="E314" i="1" a="1"/>
  <c r="E314" i="1" s="1"/>
  <c r="E296" i="1" a="1"/>
  <c r="E296" i="1" s="1"/>
  <c r="E278" i="1" a="1"/>
  <c r="E278" i="1" s="1"/>
  <c r="E260" i="1" a="1"/>
  <c r="E260" i="1" s="1"/>
  <c r="E242" i="1" a="1"/>
  <c r="E242" i="1" s="1"/>
  <c r="E224" i="1" a="1"/>
  <c r="E224" i="1" s="1"/>
  <c r="E206" i="1" a="1"/>
  <c r="E206" i="1" s="1"/>
  <c r="E188" i="1" a="1"/>
  <c r="E188" i="1" s="1"/>
  <c r="E407" i="1" a="1"/>
  <c r="E407" i="1" s="1"/>
  <c r="E191" i="1" a="1"/>
  <c r="E191" i="1" s="1"/>
  <c r="E179" i="1" a="1"/>
  <c r="E179" i="1" s="1"/>
  <c r="E506" i="1" a="1"/>
  <c r="E506" i="1" s="1"/>
  <c r="E434" i="1" a="1"/>
  <c r="E434" i="1" s="1"/>
  <c r="E392" i="1" a="1"/>
  <c r="E392" i="1" s="1"/>
  <c r="E374" i="1" a="1"/>
  <c r="E374" i="1" s="1"/>
  <c r="E229" i="1" a="1"/>
  <c r="E229" i="1" s="1"/>
  <c r="E504" i="1" a="1"/>
  <c r="E504" i="1" s="1"/>
  <c r="E474" i="1" a="1"/>
  <c r="E474" i="1" s="1"/>
  <c r="E444" i="1" a="1"/>
  <c r="E444" i="1" s="1"/>
  <c r="E414" i="1" a="1"/>
  <c r="E414" i="1" s="1"/>
  <c r="E384" i="1" a="1"/>
  <c r="E384" i="1" s="1"/>
  <c r="E354" i="1" a="1"/>
  <c r="E354" i="1" s="1"/>
  <c r="E258" i="1" a="1"/>
  <c r="E258" i="1" s="1"/>
  <c r="E228" i="1" a="1"/>
  <c r="E228" i="1" s="1"/>
  <c r="E198" i="1" a="1"/>
  <c r="E198" i="1" s="1"/>
  <c r="E527" i="1" a="1"/>
  <c r="E527" i="1" s="1"/>
  <c r="E497" i="1" a="1"/>
  <c r="E497" i="1" s="1"/>
  <c r="E467" i="1" a="1"/>
  <c r="E467" i="1" s="1"/>
  <c r="E437" i="1" a="1"/>
  <c r="E437" i="1" s="1"/>
  <c r="E281" i="1" a="1"/>
  <c r="E281" i="1" s="1"/>
  <c r="E251" i="1" a="1"/>
  <c r="E251" i="1" s="1"/>
  <c r="E221" i="1" a="1"/>
  <c r="E221" i="1" s="1"/>
  <c r="E717" i="1" a="1"/>
  <c r="E717" i="1" s="1"/>
  <c r="E452" i="1" a="1"/>
  <c r="E452" i="1" s="1"/>
  <c r="E344" i="1" a="1"/>
  <c r="E344" i="1" s="1"/>
  <c r="E326" i="1" a="1"/>
  <c r="E326" i="1" s="1"/>
  <c r="E308" i="1" a="1"/>
  <c r="E308" i="1" s="1"/>
  <c r="E290" i="1" a="1"/>
  <c r="E290" i="1" s="1"/>
  <c r="E272" i="1" a="1"/>
  <c r="E272" i="1" s="1"/>
  <c r="E254" i="1" a="1"/>
  <c r="E254" i="1" s="1"/>
  <c r="E236" i="1" a="1"/>
  <c r="E236" i="1" s="1"/>
  <c r="E218" i="1" a="1"/>
  <c r="E218" i="1" s="1"/>
  <c r="E200" i="1" a="1"/>
  <c r="E200" i="1" s="1"/>
  <c r="E175" i="1" a="1"/>
  <c r="E175" i="1" s="1"/>
  <c r="E195" i="1" a="1"/>
  <c r="E195" i="1" s="1"/>
  <c r="E602" i="1" a="1"/>
  <c r="E602" i="1" s="1"/>
  <c r="E572" i="1" a="1"/>
  <c r="E572" i="1" s="1"/>
  <c r="E554" i="1" a="1"/>
  <c r="E554" i="1" s="1"/>
  <c r="E524" i="1" a="1"/>
  <c r="E524" i="1" s="1"/>
  <c r="E428" i="1" a="1"/>
  <c r="E428" i="1" s="1"/>
  <c r="E410" i="1" a="1"/>
  <c r="E410" i="1" s="1"/>
  <c r="E362" i="1" a="1"/>
  <c r="E362" i="1" s="1"/>
  <c r="E462" i="1" a="1"/>
  <c r="E462" i="1" s="1"/>
  <c r="E432" i="1" a="1"/>
  <c r="E432" i="1" s="1"/>
  <c r="E276" i="1" a="1"/>
  <c r="E276" i="1" s="1"/>
  <c r="E246" i="1" a="1"/>
  <c r="E246" i="1" s="1"/>
  <c r="E216" i="1" a="1"/>
  <c r="E216" i="1" s="1"/>
  <c r="E515" i="1" a="1"/>
  <c r="E515" i="1" s="1"/>
  <c r="E485" i="1" a="1"/>
  <c r="E485" i="1" s="1"/>
  <c r="E455" i="1" a="1"/>
  <c r="E455" i="1" s="1"/>
  <c r="E359" i="1" a="1"/>
  <c r="E359" i="1" s="1"/>
  <c r="E329" i="1" a="1"/>
  <c r="E329" i="1" s="1"/>
  <c r="E299" i="1" a="1"/>
  <c r="E299" i="1" s="1"/>
  <c r="E269" i="1" a="1"/>
  <c r="E269" i="1" s="1"/>
  <c r="E239" i="1" a="1"/>
  <c r="E239" i="1" s="1"/>
  <c r="E185" i="1" a="1"/>
  <c r="E185" i="1" s="1"/>
  <c r="E500" i="1" a="1"/>
  <c r="E500" i="1" s="1"/>
  <c r="E470" i="1" a="1"/>
  <c r="E470" i="1" s="1"/>
  <c r="E446" i="1" a="1"/>
  <c r="E446" i="1" s="1"/>
  <c r="E380" i="1" a="1"/>
  <c r="E380" i="1" s="1"/>
  <c r="E338" i="1" a="1"/>
  <c r="E338" i="1" s="1"/>
  <c r="E320" i="1" a="1"/>
  <c r="E320" i="1" s="1"/>
  <c r="E302" i="1" a="1"/>
  <c r="E302" i="1" s="1"/>
  <c r="E284" i="1" a="1"/>
  <c r="E284" i="1" s="1"/>
  <c r="E266" i="1" a="1"/>
  <c r="E266" i="1" s="1"/>
  <c r="E248" i="1" a="1"/>
  <c r="E248" i="1" s="1"/>
  <c r="E230" i="1" a="1"/>
  <c r="E230" i="1" s="1"/>
  <c r="E212" i="1" a="1"/>
  <c r="E212" i="1" s="1"/>
  <c r="E194" i="1" a="1"/>
  <c r="E194" i="1" s="1"/>
  <c r="E656" i="1" a="1"/>
  <c r="E656" i="1" s="1"/>
  <c r="E566" i="1" a="1"/>
  <c r="E566" i="1" s="1"/>
  <c r="E306" i="1" a="1"/>
  <c r="E306" i="1" s="1"/>
  <c r="E533" i="1" a="1"/>
  <c r="E533" i="1" s="1"/>
  <c r="E590" i="1" a="1"/>
  <c r="E590" i="1" s="1"/>
  <c r="E542" i="1" a="1"/>
  <c r="E542" i="1" s="1"/>
  <c r="E398" i="1" a="1"/>
  <c r="E398" i="1" s="1"/>
  <c r="E356" i="1" a="1"/>
  <c r="E356" i="1" s="1"/>
  <c r="E176" i="1" a="1"/>
  <c r="E176" i="1" s="1"/>
  <c r="W2" i="4"/>
  <c r="AE2" i="4" s="1"/>
  <c r="S141" i="4"/>
  <c r="U141" i="4" s="1" a="1"/>
  <c r="U141" i="4" s="1"/>
  <c r="V141" i="4" a="1"/>
  <c r="V141" i="4" s="1"/>
  <c r="S147" i="4"/>
  <c r="U147" i="4" s="1" a="1"/>
  <c r="U147" i="4" s="1"/>
  <c r="V147" i="4" a="1"/>
  <c r="V147" i="4" s="1"/>
  <c r="S105" i="4"/>
  <c r="U105" i="4" s="1" a="1"/>
  <c r="U105" i="4" s="1"/>
  <c r="V105" i="4" a="1"/>
  <c r="V105" i="4" s="1"/>
  <c r="S69" i="4"/>
  <c r="U69" i="4" s="1" a="1"/>
  <c r="U69" i="4" s="1"/>
  <c r="V69" i="4" a="1"/>
  <c r="V69" i="4" s="1"/>
  <c r="S29" i="4"/>
  <c r="U29" i="4" s="1" a="1"/>
  <c r="U29" i="4" s="1"/>
  <c r="V29" i="4" a="1"/>
  <c r="V29" i="4" s="1"/>
  <c r="S18" i="4"/>
  <c r="U18" i="4" s="1" a="1"/>
  <c r="U18" i="4" s="1"/>
  <c r="AE18" i="4" s="1"/>
  <c r="M91" i="1" s="1"/>
  <c r="V18" i="4" a="1"/>
  <c r="V18" i="4" s="1"/>
  <c r="S49" i="4"/>
  <c r="U49" i="4" s="1" a="1"/>
  <c r="U49" i="4" s="1"/>
  <c r="V49" i="4" a="1"/>
  <c r="V49" i="4" s="1"/>
  <c r="S50" i="4"/>
  <c r="U50" i="4" s="1" a="1"/>
  <c r="U50" i="4" s="1"/>
  <c r="V50" i="4" a="1"/>
  <c r="V50" i="4" s="1"/>
  <c r="S82" i="4"/>
  <c r="U82" i="4" s="1" a="1"/>
  <c r="U82" i="4" s="1"/>
  <c r="AE82" i="4" s="1"/>
  <c r="M157" i="1" s="1"/>
  <c r="V82" i="4" a="1"/>
  <c r="V82" i="4" s="1"/>
  <c r="S78" i="4"/>
  <c r="U78" i="4" s="1" a="1"/>
  <c r="U78" i="4" s="1"/>
  <c r="V78" i="4" a="1"/>
  <c r="V78" i="4" s="1"/>
  <c r="S57" i="4"/>
  <c r="U57" i="4" s="1" a="1"/>
  <c r="U57" i="4" s="1"/>
  <c r="V57" i="4" a="1"/>
  <c r="V57" i="4" s="1"/>
  <c r="S89" i="4"/>
  <c r="U89" i="4" s="1" a="1"/>
  <c r="U89" i="4" s="1"/>
  <c r="AE89" i="4" s="1"/>
  <c r="M141" i="1" s="1"/>
  <c r="V89" i="4" a="1"/>
  <c r="V89" i="4" s="1"/>
  <c r="S150" i="4"/>
  <c r="U150" i="4" s="1" a="1"/>
  <c r="U150" i="4" s="1"/>
  <c r="V150" i="4" a="1"/>
  <c r="V150" i="4" s="1"/>
  <c r="S118" i="4"/>
  <c r="U118" i="4" s="1" a="1"/>
  <c r="U118" i="4" s="1"/>
  <c r="V118" i="4" a="1"/>
  <c r="V118" i="4" s="1"/>
  <c r="S129" i="4"/>
  <c r="U129" i="4" s="1" a="1"/>
  <c r="U129" i="4" s="1"/>
  <c r="V129" i="4" a="1"/>
  <c r="V129" i="4" s="1"/>
  <c r="S130" i="4"/>
  <c r="U130" i="4" s="1" a="1"/>
  <c r="U130" i="4" s="1"/>
  <c r="V130" i="4" a="1"/>
  <c r="V130" i="4" s="1"/>
  <c r="S125" i="4"/>
  <c r="U125" i="4" s="1" a="1"/>
  <c r="U125" i="4" s="1"/>
  <c r="V125" i="4" a="1"/>
  <c r="V125" i="4" s="1"/>
  <c r="N187" i="1" a="1"/>
  <c r="N187" i="1" s="1"/>
  <c r="I189" i="1" a="1"/>
  <c r="I189" i="1" s="1"/>
  <c r="M189" i="1"/>
  <c r="I190" i="1" a="1"/>
  <c r="I190" i="1" s="1"/>
  <c r="M190" i="1"/>
  <c r="I191" i="1" a="1"/>
  <c r="I191" i="1" s="1"/>
  <c r="M191" i="1"/>
  <c r="C192" i="1" a="1"/>
  <c r="C192" i="1" s="1"/>
  <c r="F192" i="1" a="1"/>
  <c r="F192" i="1" s="1"/>
  <c r="I192" i="1" a="1"/>
  <c r="I192" i="1" s="1"/>
  <c r="M192" i="1"/>
  <c r="C193" i="1" a="1"/>
  <c r="C193" i="1" s="1"/>
  <c r="I195" i="1" a="1"/>
  <c r="I195" i="1" s="1"/>
  <c r="G196" i="1" a="1"/>
  <c r="G196" i="1" s="1"/>
  <c r="N196" i="1" a="1"/>
  <c r="N196" i="1" s="1"/>
  <c r="N197" i="1" a="1"/>
  <c r="N197" i="1" s="1"/>
  <c r="I198" i="1" a="1"/>
  <c r="I198" i="1" s="1"/>
  <c r="I199" i="1" a="1"/>
  <c r="I199" i="1" s="1"/>
  <c r="I203" i="1" a="1"/>
  <c r="I203" i="1" s="1"/>
  <c r="G204" i="1" a="1"/>
  <c r="G204" i="1" s="1"/>
  <c r="J204" i="1" a="1"/>
  <c r="J204" i="1" s="1"/>
  <c r="F205" i="1" a="1"/>
  <c r="F205" i="1" s="1"/>
  <c r="I205" i="1" a="1"/>
  <c r="I205" i="1" s="1"/>
  <c r="G206" i="1" a="1"/>
  <c r="G206" i="1" s="1"/>
  <c r="F207" i="1" a="1"/>
  <c r="F207" i="1" s="1"/>
  <c r="J207" i="1" a="1"/>
  <c r="J207" i="1" s="1"/>
  <c r="M207" i="1"/>
  <c r="C208" i="1" a="1"/>
  <c r="C208" i="1" s="1"/>
  <c r="G209" i="1" a="1"/>
  <c r="G209" i="1" s="1"/>
  <c r="J209" i="1" a="1"/>
  <c r="J209" i="1" s="1"/>
  <c r="M209" i="1"/>
  <c r="C210" i="1" a="1"/>
  <c r="C210" i="1" s="1"/>
  <c r="C187" i="1" a="1"/>
  <c r="C187" i="1" s="1"/>
  <c r="I187" i="1" a="1"/>
  <c r="I187" i="1" s="1"/>
  <c r="I188" i="1" a="1"/>
  <c r="I188" i="1" s="1"/>
  <c r="M188" i="1"/>
  <c r="C189" i="1" a="1"/>
  <c r="C189" i="1" s="1"/>
  <c r="F189" i="1" a="1"/>
  <c r="F189" i="1" s="1"/>
  <c r="J189" i="1" a="1"/>
  <c r="J189" i="1" s="1"/>
  <c r="G190" i="1" a="1"/>
  <c r="G190" i="1" s="1"/>
  <c r="J190" i="1" a="1"/>
  <c r="J190" i="1" s="1"/>
  <c r="C191" i="1" a="1"/>
  <c r="C191" i="1" s="1"/>
  <c r="F191" i="1" a="1"/>
  <c r="F191" i="1" s="1"/>
  <c r="J191" i="1" a="1"/>
  <c r="J191" i="1" s="1"/>
  <c r="G192" i="1" a="1"/>
  <c r="G192" i="1" s="1"/>
  <c r="J192" i="1" a="1"/>
  <c r="J192" i="1" s="1"/>
  <c r="F193" i="1" a="1"/>
  <c r="F193" i="1" s="1"/>
  <c r="I193" i="1" a="1"/>
  <c r="I193" i="1" s="1"/>
  <c r="M193" i="1"/>
  <c r="I194" i="1" a="1"/>
  <c r="I194" i="1" s="1"/>
  <c r="M194" i="1"/>
  <c r="C195" i="1" a="1"/>
  <c r="C195" i="1" s="1"/>
  <c r="F195" i="1" a="1"/>
  <c r="F195" i="1" s="1"/>
  <c r="J195" i="1" a="1"/>
  <c r="J195" i="1" s="1"/>
  <c r="M195" i="1"/>
  <c r="C196" i="1" a="1"/>
  <c r="C196" i="1" s="1"/>
  <c r="I197" i="1" a="1"/>
  <c r="I197" i="1" s="1"/>
  <c r="F198" i="1" a="1"/>
  <c r="F198" i="1" s="1"/>
  <c r="M198" i="1"/>
  <c r="C199" i="1" a="1"/>
  <c r="C199" i="1" s="1"/>
  <c r="F199" i="1" a="1"/>
  <c r="F199" i="1" s="1"/>
  <c r="J199" i="1" a="1"/>
  <c r="J199" i="1" s="1"/>
  <c r="M199" i="1"/>
  <c r="C200" i="1" a="1"/>
  <c r="C200" i="1" s="1"/>
  <c r="F200" i="1" a="1"/>
  <c r="F200" i="1" s="1"/>
  <c r="I200" i="1" a="1"/>
  <c r="I200" i="1" s="1"/>
  <c r="N200" i="1" a="1"/>
  <c r="N200" i="1" s="1"/>
  <c r="F201" i="1" a="1"/>
  <c r="F201" i="1" s="1"/>
  <c r="I201" i="1" a="1"/>
  <c r="I201" i="1" s="1"/>
  <c r="M201" i="1"/>
  <c r="I202" i="1" a="1"/>
  <c r="I202" i="1" s="1"/>
  <c r="F187" i="1" a="1"/>
  <c r="F187" i="1" s="1"/>
  <c r="M187" i="1"/>
  <c r="C188" i="1" a="1"/>
  <c r="C188" i="1" s="1"/>
  <c r="F188" i="1" a="1"/>
  <c r="F188" i="1" s="1"/>
  <c r="J188" i="1" a="1"/>
  <c r="J188" i="1" s="1"/>
  <c r="G189" i="1" a="1"/>
  <c r="G189" i="1" s="1"/>
  <c r="C190" i="1" a="1"/>
  <c r="C190" i="1" s="1"/>
  <c r="N190" i="1" a="1"/>
  <c r="N190" i="1" s="1"/>
  <c r="G191" i="1" a="1"/>
  <c r="G191" i="1" s="1"/>
  <c r="N191" i="1" a="1"/>
  <c r="N191" i="1" s="1"/>
  <c r="N192" i="1" a="1"/>
  <c r="N192" i="1" s="1"/>
  <c r="C194" i="1" a="1"/>
  <c r="C194" i="1" s="1"/>
  <c r="F194" i="1" a="1"/>
  <c r="F194" i="1" s="1"/>
  <c r="G195" i="1" a="1"/>
  <c r="G195" i="1" s="1"/>
  <c r="I196" i="1" a="1"/>
  <c r="I196" i="1" s="1"/>
  <c r="M196" i="1"/>
  <c r="C197" i="1" a="1"/>
  <c r="C197" i="1" s="1"/>
  <c r="F197" i="1" a="1"/>
  <c r="F197" i="1" s="1"/>
  <c r="J197" i="1" a="1"/>
  <c r="J197" i="1" s="1"/>
  <c r="M197" i="1"/>
  <c r="G198" i="1" a="1"/>
  <c r="G198" i="1" s="1"/>
  <c r="J198" i="1" a="1"/>
  <c r="J198" i="1" s="1"/>
  <c r="G199" i="1" a="1"/>
  <c r="G199" i="1" s="1"/>
  <c r="G200" i="1" a="1"/>
  <c r="G200" i="1" s="1"/>
  <c r="J200" i="1" a="1"/>
  <c r="J200" i="1" s="1"/>
  <c r="M200" i="1"/>
  <c r="C202" i="1" a="1"/>
  <c r="C202" i="1" s="1"/>
  <c r="F202" i="1" a="1"/>
  <c r="F202" i="1" s="1"/>
  <c r="G203" i="1" a="1"/>
  <c r="G203" i="1" s="1"/>
  <c r="I204" i="1" a="1"/>
  <c r="I204" i="1" s="1"/>
  <c r="G205" i="1" a="1"/>
  <c r="G205" i="1" s="1"/>
  <c r="J205" i="1" a="1"/>
  <c r="J205" i="1" s="1"/>
  <c r="I206" i="1" a="1"/>
  <c r="I206" i="1" s="1"/>
  <c r="N207" i="1" a="1"/>
  <c r="N207" i="1" s="1"/>
  <c r="J187" i="1" a="1"/>
  <c r="J187" i="1" s="1"/>
  <c r="N188" i="1" a="1"/>
  <c r="N188" i="1" s="1"/>
  <c r="G193" i="1" a="1"/>
  <c r="G193" i="1" s="1"/>
  <c r="N193" i="1" a="1"/>
  <c r="N193" i="1" s="1"/>
  <c r="G194" i="1" a="1"/>
  <c r="G194" i="1" s="1"/>
  <c r="N194" i="1" a="1"/>
  <c r="N194" i="1" s="1"/>
  <c r="G197" i="1" a="1"/>
  <c r="G197" i="1" s="1"/>
  <c r="C203" i="1" a="1"/>
  <c r="C203" i="1" s="1"/>
  <c r="J203" i="1" a="1"/>
  <c r="J203" i="1" s="1"/>
  <c r="F204" i="1" a="1"/>
  <c r="F204" i="1" s="1"/>
  <c r="M204" i="1"/>
  <c r="N205" i="1" a="1"/>
  <c r="N205" i="1" s="1"/>
  <c r="J206" i="1" a="1"/>
  <c r="J206" i="1" s="1"/>
  <c r="I210" i="1" a="1"/>
  <c r="I210" i="1" s="1"/>
  <c r="I211" i="1" a="1"/>
  <c r="I211" i="1" s="1"/>
  <c r="M211" i="1"/>
  <c r="C212" i="1" a="1"/>
  <c r="C212" i="1" s="1"/>
  <c r="I212" i="1" a="1"/>
  <c r="I212" i="1" s="1"/>
  <c r="I213" i="1" a="1"/>
  <c r="I213" i="1" s="1"/>
  <c r="G214" i="1" a="1"/>
  <c r="G214" i="1" s="1"/>
  <c r="F215" i="1" a="1"/>
  <c r="F215" i="1" s="1"/>
  <c r="J215" i="1" a="1"/>
  <c r="J215" i="1" s="1"/>
  <c r="M215" i="1"/>
  <c r="C216" i="1" a="1"/>
  <c r="C216" i="1" s="1"/>
  <c r="F217" i="1" a="1"/>
  <c r="F217" i="1" s="1"/>
  <c r="J217" i="1" a="1"/>
  <c r="J217" i="1" s="1"/>
  <c r="G218" i="1" a="1"/>
  <c r="G218" i="1" s="1"/>
  <c r="F219" i="1" a="1"/>
  <c r="F219" i="1" s="1"/>
  <c r="J219" i="1" a="1"/>
  <c r="J219" i="1" s="1"/>
  <c r="M219" i="1"/>
  <c r="C220" i="1" a="1"/>
  <c r="C220" i="1" s="1"/>
  <c r="F220" i="1" a="1"/>
  <c r="F220" i="1" s="1"/>
  <c r="G188" i="1" a="1"/>
  <c r="G188" i="1" s="1"/>
  <c r="N189" i="1" a="1"/>
  <c r="N189" i="1" s="1"/>
  <c r="F190" i="1" a="1"/>
  <c r="F190" i="1" s="1"/>
  <c r="N195" i="1" a="1"/>
  <c r="N195" i="1" s="1"/>
  <c r="F196" i="1" a="1"/>
  <c r="F196" i="1" s="1"/>
  <c r="C198" i="1" a="1"/>
  <c r="C198" i="1" s="1"/>
  <c r="G201" i="1" a="1"/>
  <c r="G201" i="1" s="1"/>
  <c r="N201" i="1" a="1"/>
  <c r="N201" i="1" s="1"/>
  <c r="G202" i="1" a="1"/>
  <c r="G202" i="1" s="1"/>
  <c r="M202" i="1"/>
  <c r="C204" i="1" a="1"/>
  <c r="C204" i="1" s="1"/>
  <c r="N204" i="1" a="1"/>
  <c r="N204" i="1" s="1"/>
  <c r="C207" i="1" a="1"/>
  <c r="C207" i="1" s="1"/>
  <c r="G207" i="1" a="1"/>
  <c r="G207" i="1" s="1"/>
  <c r="M208" i="1"/>
  <c r="C209" i="1" a="1"/>
  <c r="C209" i="1" s="1"/>
  <c r="I209" i="1" a="1"/>
  <c r="I209" i="1" s="1"/>
  <c r="F210" i="1" a="1"/>
  <c r="F210" i="1" s="1"/>
  <c r="J210" i="1" a="1"/>
  <c r="J210" i="1" s="1"/>
  <c r="M210" i="1"/>
  <c r="C211" i="1" a="1"/>
  <c r="C211" i="1" s="1"/>
  <c r="F211" i="1" a="1"/>
  <c r="F211" i="1" s="1"/>
  <c r="J211" i="1" a="1"/>
  <c r="J211" i="1" s="1"/>
  <c r="F212" i="1" a="1"/>
  <c r="F212" i="1" s="1"/>
  <c r="M212" i="1"/>
  <c r="C213" i="1" a="1"/>
  <c r="C213" i="1" s="1"/>
  <c r="F213" i="1" a="1"/>
  <c r="F213" i="1" s="1"/>
  <c r="J213" i="1" a="1"/>
  <c r="J213" i="1" s="1"/>
  <c r="M213" i="1"/>
  <c r="C214" i="1" a="1"/>
  <c r="C214" i="1" s="1"/>
  <c r="N214" i="1" a="1"/>
  <c r="N214" i="1" s="1"/>
  <c r="G215" i="1" a="1"/>
  <c r="G215" i="1" s="1"/>
  <c r="I216" i="1" a="1"/>
  <c r="I216" i="1" s="1"/>
  <c r="N216" i="1" a="1"/>
  <c r="N216" i="1" s="1"/>
  <c r="G217" i="1" a="1"/>
  <c r="G217" i="1" s="1"/>
  <c r="M217" i="1"/>
  <c r="N218" i="1" a="1"/>
  <c r="N218" i="1" s="1"/>
  <c r="G219" i="1" a="1"/>
  <c r="G219" i="1" s="1"/>
  <c r="G220" i="1" a="1"/>
  <c r="G220" i="1" s="1"/>
  <c r="J220" i="1" a="1"/>
  <c r="J220" i="1" s="1"/>
  <c r="M220" i="1"/>
  <c r="G187" i="1" a="1"/>
  <c r="G187" i="1" s="1"/>
  <c r="J193" i="1" a="1"/>
  <c r="J193" i="1" s="1"/>
  <c r="J194" i="1" a="1"/>
  <c r="J194" i="1" s="1"/>
  <c r="N198" i="1" a="1"/>
  <c r="N198" i="1" s="1"/>
  <c r="N202" i="1" a="1"/>
  <c r="N202" i="1" s="1"/>
  <c r="F203" i="1" a="1"/>
  <c r="F203" i="1" s="1"/>
  <c r="M203" i="1"/>
  <c r="C206" i="1" a="1"/>
  <c r="C206" i="1" s="1"/>
  <c r="F206" i="1" a="1"/>
  <c r="F206" i="1" s="1"/>
  <c r="M206" i="1"/>
  <c r="F208" i="1" a="1"/>
  <c r="F208" i="1" s="1"/>
  <c r="I208" i="1" a="1"/>
  <c r="I208" i="1" s="1"/>
  <c r="F209" i="1" a="1"/>
  <c r="F209" i="1" s="1"/>
  <c r="G210" i="1" a="1"/>
  <c r="G210" i="1" s="1"/>
  <c r="G211" i="1" a="1"/>
  <c r="G211" i="1" s="1"/>
  <c r="N211" i="1" a="1"/>
  <c r="N211" i="1" s="1"/>
  <c r="G212" i="1" a="1"/>
  <c r="G212" i="1" s="1"/>
  <c r="J212" i="1" a="1"/>
  <c r="J212" i="1" s="1"/>
  <c r="G213" i="1" a="1"/>
  <c r="G213" i="1" s="1"/>
  <c r="I214" i="1" a="1"/>
  <c r="I214" i="1" s="1"/>
  <c r="N215" i="1" a="1"/>
  <c r="N215" i="1" s="1"/>
  <c r="F216" i="1" a="1"/>
  <c r="F216" i="1" s="1"/>
  <c r="J216" i="1" a="1"/>
  <c r="J216" i="1" s="1"/>
  <c r="C218" i="1" a="1"/>
  <c r="C218" i="1" s="1"/>
  <c r="I218" i="1" a="1"/>
  <c r="I218" i="1" s="1"/>
  <c r="N219" i="1" a="1"/>
  <c r="N219" i="1" s="1"/>
  <c r="C221" i="1" a="1"/>
  <c r="C221" i="1" s="1"/>
  <c r="I221" i="1" a="1"/>
  <c r="I221" i="1" s="1"/>
  <c r="J196" i="1" a="1"/>
  <c r="J196" i="1" s="1"/>
  <c r="N199" i="1" a="1"/>
  <c r="N199" i="1" s="1"/>
  <c r="C201" i="1" a="1"/>
  <c r="C201" i="1" s="1"/>
  <c r="J201" i="1" a="1"/>
  <c r="J201" i="1" s="1"/>
  <c r="J202" i="1" a="1"/>
  <c r="J202" i="1" s="1"/>
  <c r="N203" i="1" a="1"/>
  <c r="N203" i="1" s="1"/>
  <c r="C205" i="1" a="1"/>
  <c r="C205" i="1" s="1"/>
  <c r="M205" i="1"/>
  <c r="N206" i="1" a="1"/>
  <c r="N206" i="1" s="1"/>
  <c r="I207" i="1" a="1"/>
  <c r="I207" i="1" s="1"/>
  <c r="G208" i="1" a="1"/>
  <c r="G208" i="1" s="1"/>
  <c r="J208" i="1" a="1"/>
  <c r="J208" i="1" s="1"/>
  <c r="N208" i="1" a="1"/>
  <c r="N208" i="1" s="1"/>
  <c r="N209" i="1" a="1"/>
  <c r="N209" i="1" s="1"/>
  <c r="N210" i="1" a="1"/>
  <c r="N210" i="1" s="1"/>
  <c r="N212" i="1" a="1"/>
  <c r="N212" i="1" s="1"/>
  <c r="N213" i="1" a="1"/>
  <c r="N213" i="1" s="1"/>
  <c r="F214" i="1" a="1"/>
  <c r="F214" i="1" s="1"/>
  <c r="J214" i="1" a="1"/>
  <c r="J214" i="1" s="1"/>
  <c r="M214" i="1"/>
  <c r="C215" i="1" a="1"/>
  <c r="C215" i="1" s="1"/>
  <c r="I215" i="1" a="1"/>
  <c r="I215" i="1" s="1"/>
  <c r="G216" i="1" a="1"/>
  <c r="G216" i="1" s="1"/>
  <c r="M216" i="1"/>
  <c r="C217" i="1" a="1"/>
  <c r="C217" i="1" s="1"/>
  <c r="I217" i="1" a="1"/>
  <c r="I217" i="1" s="1"/>
  <c r="N217" i="1" a="1"/>
  <c r="N217" i="1" s="1"/>
  <c r="F218" i="1" a="1"/>
  <c r="F218" i="1" s="1"/>
  <c r="J218" i="1" a="1"/>
  <c r="J218" i="1" s="1"/>
  <c r="M218" i="1"/>
  <c r="C219" i="1" a="1"/>
  <c r="C219" i="1" s="1"/>
  <c r="I219" i="1" a="1"/>
  <c r="I219" i="1" s="1"/>
  <c r="I220" i="1" a="1"/>
  <c r="I220" i="1" s="1"/>
  <c r="F221" i="1" a="1"/>
  <c r="F221" i="1" s="1"/>
  <c r="J221" i="1" a="1"/>
  <c r="J221" i="1" s="1"/>
  <c r="N222" i="1" a="1"/>
  <c r="N222" i="1" s="1"/>
  <c r="G223" i="1" a="1"/>
  <c r="G223" i="1" s="1"/>
  <c r="M223" i="1"/>
  <c r="C224" i="1" a="1"/>
  <c r="C224" i="1" s="1"/>
  <c r="I224" i="1" a="1"/>
  <c r="I224" i="1" s="1"/>
  <c r="I225" i="1" a="1"/>
  <c r="I225" i="1" s="1"/>
  <c r="M225" i="1"/>
  <c r="I222" i="1" a="1"/>
  <c r="I222" i="1" s="1"/>
  <c r="M222" i="1"/>
  <c r="F224" i="1" a="1"/>
  <c r="F224" i="1" s="1"/>
  <c r="J224" i="1" a="1"/>
  <c r="J224" i="1" s="1"/>
  <c r="N224" i="1" a="1"/>
  <c r="N224" i="1" s="1"/>
  <c r="J225" i="1" a="1"/>
  <c r="J225" i="1" s="1"/>
  <c r="G226" i="1" a="1"/>
  <c r="G226" i="1" s="1"/>
  <c r="J226" i="1" a="1"/>
  <c r="J226" i="1" s="1"/>
  <c r="C227" i="1" a="1"/>
  <c r="C227" i="1" s="1"/>
  <c r="F227" i="1" a="1"/>
  <c r="F227" i="1" s="1"/>
  <c r="I227" i="1" a="1"/>
  <c r="I227" i="1" s="1"/>
  <c r="M227" i="1"/>
  <c r="N228" i="1" a="1"/>
  <c r="N228" i="1" s="1"/>
  <c r="C230" i="1" a="1"/>
  <c r="C230" i="1" s="1"/>
  <c r="F230" i="1" a="1"/>
  <c r="F230" i="1" s="1"/>
  <c r="J230" i="1" a="1"/>
  <c r="J230" i="1" s="1"/>
  <c r="C231" i="1" a="1"/>
  <c r="C231" i="1" s="1"/>
  <c r="C232" i="1" a="1"/>
  <c r="C232" i="1" s="1"/>
  <c r="F232" i="1" a="1"/>
  <c r="F232" i="1" s="1"/>
  <c r="I232" i="1" a="1"/>
  <c r="I232" i="1" s="1"/>
  <c r="N233" i="1" a="1"/>
  <c r="N233" i="1" s="1"/>
  <c r="G234" i="1" a="1"/>
  <c r="G234" i="1" s="1"/>
  <c r="J234" i="1" a="1"/>
  <c r="J234" i="1" s="1"/>
  <c r="C235" i="1" a="1"/>
  <c r="C235" i="1" s="1"/>
  <c r="F235" i="1" a="1"/>
  <c r="F235" i="1" s="1"/>
  <c r="I235" i="1" a="1"/>
  <c r="I235" i="1" s="1"/>
  <c r="M235" i="1"/>
  <c r="C236" i="1" a="1"/>
  <c r="C236" i="1" s="1"/>
  <c r="F236" i="1" a="1"/>
  <c r="F236" i="1" s="1"/>
  <c r="I236" i="1" a="1"/>
  <c r="I236" i="1" s="1"/>
  <c r="N237" i="1" a="1"/>
  <c r="N237" i="1" s="1"/>
  <c r="G238" i="1" a="1"/>
  <c r="G238" i="1" s="1"/>
  <c r="N238" i="1" a="1"/>
  <c r="N238" i="1" s="1"/>
  <c r="F239" i="1" a="1"/>
  <c r="F239" i="1" s="1"/>
  <c r="J239" i="1" a="1"/>
  <c r="J239" i="1" s="1"/>
  <c r="M239" i="1"/>
  <c r="C240" i="1" a="1"/>
  <c r="C240" i="1" s="1"/>
  <c r="F240" i="1" a="1"/>
  <c r="F240" i="1" s="1"/>
  <c r="J240" i="1" a="1"/>
  <c r="J240" i="1" s="1"/>
  <c r="F243" i="1" a="1"/>
  <c r="F243" i="1" s="1"/>
  <c r="I244" i="1" a="1"/>
  <c r="I244" i="1" s="1"/>
  <c r="N244" i="1" a="1"/>
  <c r="N244" i="1" s="1"/>
  <c r="G245" i="1" a="1"/>
  <c r="G245" i="1" s="1"/>
  <c r="M245" i="1"/>
  <c r="C246" i="1" a="1"/>
  <c r="C246" i="1" s="1"/>
  <c r="F246" i="1" a="1"/>
  <c r="F246" i="1" s="1"/>
  <c r="M221" i="1"/>
  <c r="C222" i="1" a="1"/>
  <c r="C222" i="1" s="1"/>
  <c r="F222" i="1" a="1"/>
  <c r="F222" i="1" s="1"/>
  <c r="I223" i="1" a="1"/>
  <c r="I223" i="1" s="1"/>
  <c r="G224" i="1" a="1"/>
  <c r="G224" i="1" s="1"/>
  <c r="F225" i="1" a="1"/>
  <c r="F225" i="1" s="1"/>
  <c r="N225" i="1" a="1"/>
  <c r="N225" i="1" s="1"/>
  <c r="N226" i="1" a="1"/>
  <c r="N226" i="1" s="1"/>
  <c r="J227" i="1" a="1"/>
  <c r="J227" i="1" s="1"/>
  <c r="C228" i="1" a="1"/>
  <c r="C228" i="1" s="1"/>
  <c r="F228" i="1" a="1"/>
  <c r="F228" i="1" s="1"/>
  <c r="I228" i="1" a="1"/>
  <c r="I228" i="1" s="1"/>
  <c r="N229" i="1" a="1"/>
  <c r="N229" i="1" s="1"/>
  <c r="G230" i="1" a="1"/>
  <c r="G230" i="1" s="1"/>
  <c r="N230" i="1" a="1"/>
  <c r="N230" i="1" s="1"/>
  <c r="F231" i="1" a="1"/>
  <c r="F231" i="1" s="1"/>
  <c r="M232" i="1"/>
  <c r="C233" i="1" a="1"/>
  <c r="C233" i="1" s="1"/>
  <c r="F233" i="1" a="1"/>
  <c r="F233" i="1" s="1"/>
  <c r="I233" i="1" a="1"/>
  <c r="I233" i="1" s="1"/>
  <c r="M233" i="1"/>
  <c r="N234" i="1" a="1"/>
  <c r="N234" i="1" s="1"/>
  <c r="J235" i="1" a="1"/>
  <c r="J235" i="1" s="1"/>
  <c r="M236" i="1"/>
  <c r="C237" i="1" a="1"/>
  <c r="C237" i="1" s="1"/>
  <c r="F237" i="1" a="1"/>
  <c r="F237" i="1" s="1"/>
  <c r="I237" i="1" a="1"/>
  <c r="I237" i="1" s="1"/>
  <c r="G239" i="1" a="1"/>
  <c r="G239" i="1" s="1"/>
  <c r="G240" i="1" a="1"/>
  <c r="G240" i="1" s="1"/>
  <c r="M240" i="1"/>
  <c r="C241" i="1" a="1"/>
  <c r="C241" i="1" s="1"/>
  <c r="I241" i="1" a="1"/>
  <c r="I241" i="1" s="1"/>
  <c r="M241" i="1"/>
  <c r="C242" i="1" a="1"/>
  <c r="C242" i="1" s="1"/>
  <c r="I242" i="1" a="1"/>
  <c r="I242" i="1" s="1"/>
  <c r="N242" i="1" a="1"/>
  <c r="N242" i="1" s="1"/>
  <c r="N220" i="1" a="1"/>
  <c r="N220" i="1" s="1"/>
  <c r="G221" i="1" a="1"/>
  <c r="G221" i="1" s="1"/>
  <c r="G222" i="1" a="1"/>
  <c r="G222" i="1" s="1"/>
  <c r="J222" i="1" a="1"/>
  <c r="J222" i="1" s="1"/>
  <c r="J223" i="1" a="1"/>
  <c r="J223" i="1" s="1"/>
  <c r="M224" i="1"/>
  <c r="C225" i="1" a="1"/>
  <c r="C225" i="1" s="1"/>
  <c r="G225" i="1" a="1"/>
  <c r="G225" i="1" s="1"/>
  <c r="F226" i="1" a="1"/>
  <c r="F226" i="1" s="1"/>
  <c r="I226" i="1" a="1"/>
  <c r="I226" i="1" s="1"/>
  <c r="G227" i="1" a="1"/>
  <c r="G227" i="1" s="1"/>
  <c r="N227" i="1" a="1"/>
  <c r="N227" i="1" s="1"/>
  <c r="M228" i="1"/>
  <c r="C229" i="1" a="1"/>
  <c r="C229" i="1" s="1"/>
  <c r="F229" i="1" a="1"/>
  <c r="F229" i="1" s="1"/>
  <c r="I229" i="1" a="1"/>
  <c r="I229" i="1" s="1"/>
  <c r="I231" i="1" a="1"/>
  <c r="I231" i="1" s="1"/>
  <c r="N231" i="1" a="1"/>
  <c r="N231" i="1" s="1"/>
  <c r="G232" i="1" a="1"/>
  <c r="G232" i="1" s="1"/>
  <c r="J232" i="1" a="1"/>
  <c r="J232" i="1" s="1"/>
  <c r="J233" i="1" a="1"/>
  <c r="J233" i="1" s="1"/>
  <c r="C234" i="1" a="1"/>
  <c r="C234" i="1" s="1"/>
  <c r="F234" i="1" a="1"/>
  <c r="F234" i="1" s="1"/>
  <c r="I234" i="1" a="1"/>
  <c r="I234" i="1" s="1"/>
  <c r="G235" i="1" a="1"/>
  <c r="G235" i="1" s="1"/>
  <c r="N235" i="1" a="1"/>
  <c r="N235" i="1" s="1"/>
  <c r="G236" i="1" a="1"/>
  <c r="G236" i="1" s="1"/>
  <c r="J236" i="1" a="1"/>
  <c r="J236" i="1" s="1"/>
  <c r="G237" i="1" a="1"/>
  <c r="G237" i="1" s="1"/>
  <c r="J237" i="1" a="1"/>
  <c r="J237" i="1" s="1"/>
  <c r="M237" i="1"/>
  <c r="I238" i="1" a="1"/>
  <c r="I238" i="1" s="1"/>
  <c r="M238" i="1"/>
  <c r="C239" i="1" a="1"/>
  <c r="C239" i="1" s="1"/>
  <c r="N239" i="1" a="1"/>
  <c r="N239" i="1" s="1"/>
  <c r="F241" i="1" a="1"/>
  <c r="F241" i="1" s="1"/>
  <c r="J241" i="1" a="1"/>
  <c r="J241" i="1" s="1"/>
  <c r="F242" i="1" a="1"/>
  <c r="F242" i="1" s="1"/>
  <c r="G244" i="1" a="1"/>
  <c r="G244" i="1" s="1"/>
  <c r="M244" i="1"/>
  <c r="C245" i="1" a="1"/>
  <c r="C245" i="1" s="1"/>
  <c r="I245" i="1" a="1"/>
  <c r="I245" i="1" s="1"/>
  <c r="N245" i="1" a="1"/>
  <c r="N245" i="1" s="1"/>
  <c r="G247" i="1" a="1"/>
  <c r="G247" i="1" s="1"/>
  <c r="N247" i="1" a="1"/>
  <c r="N247" i="1" s="1"/>
  <c r="N221" i="1" a="1"/>
  <c r="N221" i="1" s="1"/>
  <c r="C223" i="1" a="1"/>
  <c r="C223" i="1" s="1"/>
  <c r="F223" i="1" a="1"/>
  <c r="F223" i="1" s="1"/>
  <c r="N223" i="1" a="1"/>
  <c r="N223" i="1" s="1"/>
  <c r="C226" i="1" a="1"/>
  <c r="C226" i="1" s="1"/>
  <c r="M226" i="1"/>
  <c r="G228" i="1" a="1"/>
  <c r="G228" i="1" s="1"/>
  <c r="J228" i="1" a="1"/>
  <c r="J228" i="1" s="1"/>
  <c r="G229" i="1" a="1"/>
  <c r="G229" i="1" s="1"/>
  <c r="J229" i="1" a="1"/>
  <c r="J229" i="1" s="1"/>
  <c r="M229" i="1"/>
  <c r="I230" i="1" a="1"/>
  <c r="I230" i="1" s="1"/>
  <c r="M230" i="1"/>
  <c r="G231" i="1" a="1"/>
  <c r="G231" i="1" s="1"/>
  <c r="J231" i="1" a="1"/>
  <c r="J231" i="1" s="1"/>
  <c r="M231" i="1"/>
  <c r="N232" i="1" a="1"/>
  <c r="N232" i="1" s="1"/>
  <c r="G233" i="1" a="1"/>
  <c r="G233" i="1" s="1"/>
  <c r="M234" i="1"/>
  <c r="N236" i="1" a="1"/>
  <c r="N236" i="1" s="1"/>
  <c r="C238" i="1" a="1"/>
  <c r="C238" i="1" s="1"/>
  <c r="F238" i="1" a="1"/>
  <c r="F238" i="1" s="1"/>
  <c r="J238" i="1" a="1"/>
  <c r="J238" i="1" s="1"/>
  <c r="I239" i="1" a="1"/>
  <c r="I239" i="1" s="1"/>
  <c r="I240" i="1" a="1"/>
  <c r="I240" i="1" s="1"/>
  <c r="N240" i="1" a="1"/>
  <c r="N240" i="1" s="1"/>
  <c r="G241" i="1" a="1"/>
  <c r="G241" i="1" s="1"/>
  <c r="N241" i="1" a="1"/>
  <c r="N241" i="1" s="1"/>
  <c r="G242" i="1" a="1"/>
  <c r="G242" i="1" s="1"/>
  <c r="J242" i="1" a="1"/>
  <c r="J242" i="1" s="1"/>
  <c r="M242" i="1"/>
  <c r="C243" i="1" a="1"/>
  <c r="C243" i="1" s="1"/>
  <c r="I243" i="1" a="1"/>
  <c r="I243" i="1" s="1"/>
  <c r="N243" i="1" a="1"/>
  <c r="N243" i="1" s="1"/>
  <c r="F245" i="1" a="1"/>
  <c r="F245" i="1" s="1"/>
  <c r="J245" i="1" a="1"/>
  <c r="J245" i="1" s="1"/>
  <c r="I246" i="1" a="1"/>
  <c r="I246" i="1" s="1"/>
  <c r="M246" i="1"/>
  <c r="C247" i="1" a="1"/>
  <c r="C247" i="1" s="1"/>
  <c r="G249" i="1" a="1"/>
  <c r="G249" i="1" s="1"/>
  <c r="G250" i="1" a="1"/>
  <c r="G250" i="1" s="1"/>
  <c r="J250" i="1" a="1"/>
  <c r="J250" i="1" s="1"/>
  <c r="N250" i="1" a="1"/>
  <c r="N250" i="1" s="1"/>
  <c r="F251" i="1" a="1"/>
  <c r="F251" i="1" s="1"/>
  <c r="J251" i="1" a="1"/>
  <c r="J251" i="1" s="1"/>
  <c r="M251" i="1"/>
  <c r="C252" i="1" a="1"/>
  <c r="C252" i="1" s="1"/>
  <c r="I252" i="1" a="1"/>
  <c r="I252" i="1" s="1"/>
  <c r="N252" i="1" a="1"/>
  <c r="N252" i="1" s="1"/>
  <c r="G253" i="1" a="1"/>
  <c r="G253" i="1" s="1"/>
  <c r="J253" i="1" a="1"/>
  <c r="J253" i="1" s="1"/>
  <c r="F254" i="1" a="1"/>
  <c r="F254" i="1" s="1"/>
  <c r="I255" i="1" a="1"/>
  <c r="I255" i="1" s="1"/>
  <c r="C244" i="1" a="1"/>
  <c r="C244" i="1" s="1"/>
  <c r="J244" i="1" a="1"/>
  <c r="J244" i="1" s="1"/>
  <c r="F249" i="1" a="1"/>
  <c r="F249" i="1" s="1"/>
  <c r="F250" i="1" a="1"/>
  <c r="F250" i="1" s="1"/>
  <c r="M250" i="1"/>
  <c r="G251" i="1" a="1"/>
  <c r="G251" i="1" s="1"/>
  <c r="F252" i="1" a="1"/>
  <c r="F252" i="1" s="1"/>
  <c r="J252" i="1" a="1"/>
  <c r="J252" i="1" s="1"/>
  <c r="I253" i="1" a="1"/>
  <c r="I253" i="1" s="1"/>
  <c r="M253" i="1"/>
  <c r="N254" i="1" a="1"/>
  <c r="N254" i="1" s="1"/>
  <c r="M255" i="1"/>
  <c r="C256" i="1" a="1"/>
  <c r="C256" i="1" s="1"/>
  <c r="I256" i="1" a="1"/>
  <c r="I256" i="1" s="1"/>
  <c r="N256" i="1" a="1"/>
  <c r="N256" i="1" s="1"/>
  <c r="G257" i="1" a="1"/>
  <c r="G257" i="1" s="1"/>
  <c r="J257" i="1" a="1"/>
  <c r="J257" i="1" s="1"/>
  <c r="F258" i="1" a="1"/>
  <c r="F258" i="1" s="1"/>
  <c r="I259" i="1" a="1"/>
  <c r="I259" i="1" s="1"/>
  <c r="F261" i="1" a="1"/>
  <c r="F261" i="1" s="1"/>
  <c r="M261" i="1"/>
  <c r="C262" i="1" a="1"/>
  <c r="C262" i="1" s="1"/>
  <c r="I262" i="1" a="1"/>
  <c r="I262" i="1" s="1"/>
  <c r="M262" i="1"/>
  <c r="C263" i="1" a="1"/>
  <c r="C263" i="1" s="1"/>
  <c r="N263" i="1" a="1"/>
  <c r="N263" i="1" s="1"/>
  <c r="G264" i="1" a="1"/>
  <c r="G264" i="1" s="1"/>
  <c r="J264" i="1" a="1"/>
  <c r="J264" i="1" s="1"/>
  <c r="M264" i="1"/>
  <c r="C265" i="1" a="1"/>
  <c r="C265" i="1" s="1"/>
  <c r="I265" i="1" a="1"/>
  <c r="I265" i="1" s="1"/>
  <c r="G267" i="1" a="1"/>
  <c r="G267" i="1" s="1"/>
  <c r="F268" i="1" a="1"/>
  <c r="F268" i="1" s="1"/>
  <c r="J243" i="1" a="1"/>
  <c r="J243" i="1" s="1"/>
  <c r="J246" i="1" a="1"/>
  <c r="J246" i="1" s="1"/>
  <c r="N246" i="1" a="1"/>
  <c r="N246" i="1" s="1"/>
  <c r="I247" i="1" a="1"/>
  <c r="I247" i="1" s="1"/>
  <c r="I248" i="1" a="1"/>
  <c r="I248" i="1" s="1"/>
  <c r="N248" i="1" a="1"/>
  <c r="N248" i="1" s="1"/>
  <c r="C250" i="1" a="1"/>
  <c r="C250" i="1" s="1"/>
  <c r="G252" i="1" a="1"/>
  <c r="G252" i="1" s="1"/>
  <c r="N253" i="1" a="1"/>
  <c r="N253" i="1" s="1"/>
  <c r="I254" i="1" a="1"/>
  <c r="I254" i="1" s="1"/>
  <c r="J255" i="1" a="1"/>
  <c r="J255" i="1" s="1"/>
  <c r="F256" i="1" a="1"/>
  <c r="F256" i="1" s="1"/>
  <c r="N257" i="1" a="1"/>
  <c r="N257" i="1" s="1"/>
  <c r="G258" i="1" a="1"/>
  <c r="G258" i="1" s="1"/>
  <c r="J258" i="1" a="1"/>
  <c r="J258" i="1" s="1"/>
  <c r="N258" i="1" a="1"/>
  <c r="N258" i="1" s="1"/>
  <c r="F259" i="1" a="1"/>
  <c r="F259" i="1" s="1"/>
  <c r="J259" i="1" a="1"/>
  <c r="J259" i="1" s="1"/>
  <c r="M259" i="1"/>
  <c r="C260" i="1" a="1"/>
  <c r="C260" i="1" s="1"/>
  <c r="I260" i="1" a="1"/>
  <c r="I260" i="1" s="1"/>
  <c r="N260" i="1" a="1"/>
  <c r="N260" i="1" s="1"/>
  <c r="G261" i="1" a="1"/>
  <c r="G261" i="1" s="1"/>
  <c r="J261" i="1" a="1"/>
  <c r="J261" i="1" s="1"/>
  <c r="F262" i="1" a="1"/>
  <c r="F262" i="1" s="1"/>
  <c r="I263" i="1" a="1"/>
  <c r="I263" i="1" s="1"/>
  <c r="F265" i="1" a="1"/>
  <c r="F265" i="1" s="1"/>
  <c r="M265" i="1"/>
  <c r="C266" i="1" a="1"/>
  <c r="C266" i="1" s="1"/>
  <c r="I266" i="1" a="1"/>
  <c r="I266" i="1" s="1"/>
  <c r="M266" i="1"/>
  <c r="C267" i="1" a="1"/>
  <c r="C267" i="1" s="1"/>
  <c r="N267" i="1" a="1"/>
  <c r="N267" i="1" s="1"/>
  <c r="G268" i="1" a="1"/>
  <c r="G268" i="1" s="1"/>
  <c r="J268" i="1" a="1"/>
  <c r="J268" i="1" s="1"/>
  <c r="M268" i="1"/>
  <c r="C269" i="1" a="1"/>
  <c r="C269" i="1" s="1"/>
  <c r="I269" i="1" a="1"/>
  <c r="I269" i="1" s="1"/>
  <c r="M243" i="1"/>
  <c r="F244" i="1" a="1"/>
  <c r="F244" i="1" s="1"/>
  <c r="G246" i="1" a="1"/>
  <c r="G246" i="1" s="1"/>
  <c r="J247" i="1" a="1"/>
  <c r="J247" i="1" s="1"/>
  <c r="C248" i="1" a="1"/>
  <c r="C248" i="1" s="1"/>
  <c r="F248" i="1" a="1"/>
  <c r="F248" i="1" s="1"/>
  <c r="I249" i="1" a="1"/>
  <c r="I249" i="1" s="1"/>
  <c r="M249" i="1"/>
  <c r="I250" i="1" a="1"/>
  <c r="I250" i="1" s="1"/>
  <c r="I251" i="1" a="1"/>
  <c r="I251" i="1" s="1"/>
  <c r="C253" i="1" a="1"/>
  <c r="C253" i="1" s="1"/>
  <c r="F253" i="1" a="1"/>
  <c r="F253" i="1" s="1"/>
  <c r="J254" i="1" a="1"/>
  <c r="J254" i="1" s="1"/>
  <c r="C255" i="1" a="1"/>
  <c r="C255" i="1" s="1"/>
  <c r="F255" i="1" a="1"/>
  <c r="F255" i="1" s="1"/>
  <c r="N255" i="1" a="1"/>
  <c r="N255" i="1" s="1"/>
  <c r="G256" i="1" a="1"/>
  <c r="G256" i="1" s="1"/>
  <c r="J256" i="1" a="1"/>
  <c r="J256" i="1" s="1"/>
  <c r="M256" i="1"/>
  <c r="C257" i="1" a="1"/>
  <c r="C257" i="1" s="1"/>
  <c r="I257" i="1" a="1"/>
  <c r="I257" i="1" s="1"/>
  <c r="G259" i="1" a="1"/>
  <c r="G259" i="1" s="1"/>
  <c r="F260" i="1" a="1"/>
  <c r="F260" i="1" s="1"/>
  <c r="N261" i="1" a="1"/>
  <c r="N261" i="1" s="1"/>
  <c r="G262" i="1" a="1"/>
  <c r="G262" i="1" s="1"/>
  <c r="J262" i="1" a="1"/>
  <c r="J262" i="1" s="1"/>
  <c r="N262" i="1" a="1"/>
  <c r="N262" i="1" s="1"/>
  <c r="F263" i="1" a="1"/>
  <c r="F263" i="1" s="1"/>
  <c r="J263" i="1" a="1"/>
  <c r="J263" i="1" s="1"/>
  <c r="M263" i="1"/>
  <c r="C264" i="1" a="1"/>
  <c r="C264" i="1" s="1"/>
  <c r="I264" i="1" a="1"/>
  <c r="I264" i="1" s="1"/>
  <c r="N264" i="1" a="1"/>
  <c r="N264" i="1" s="1"/>
  <c r="G265" i="1" a="1"/>
  <c r="G265" i="1" s="1"/>
  <c r="J265" i="1" a="1"/>
  <c r="J265" i="1" s="1"/>
  <c r="F266" i="1" a="1"/>
  <c r="F266" i="1" s="1"/>
  <c r="I267" i="1" a="1"/>
  <c r="I267" i="1" s="1"/>
  <c r="F269" i="1" a="1"/>
  <c r="F269" i="1" s="1"/>
  <c r="M269" i="1"/>
  <c r="C270" i="1" a="1"/>
  <c r="C270" i="1" s="1"/>
  <c r="I270" i="1" a="1"/>
  <c r="I270" i="1" s="1"/>
  <c r="M270" i="1"/>
  <c r="C271" i="1" a="1"/>
  <c r="C271" i="1" s="1"/>
  <c r="N271" i="1" a="1"/>
  <c r="N271" i="1" s="1"/>
  <c r="G243" i="1" a="1"/>
  <c r="G243" i="1" s="1"/>
  <c r="F247" i="1" a="1"/>
  <c r="F247" i="1" s="1"/>
  <c r="M247" i="1"/>
  <c r="G248" i="1" a="1"/>
  <c r="G248" i="1" s="1"/>
  <c r="J248" i="1" a="1"/>
  <c r="J248" i="1" s="1"/>
  <c r="M248" i="1"/>
  <c r="C249" i="1" a="1"/>
  <c r="C249" i="1" s="1"/>
  <c r="J249" i="1" a="1"/>
  <c r="J249" i="1" s="1"/>
  <c r="N249" i="1" a="1"/>
  <c r="N249" i="1" s="1"/>
  <c r="C251" i="1" a="1"/>
  <c r="C251" i="1" s="1"/>
  <c r="N251" i="1" a="1"/>
  <c r="N251" i="1" s="1"/>
  <c r="M252" i="1"/>
  <c r="C254" i="1" a="1"/>
  <c r="C254" i="1" s="1"/>
  <c r="G254" i="1" a="1"/>
  <c r="G254" i="1" s="1"/>
  <c r="M254" i="1"/>
  <c r="G255" i="1" a="1"/>
  <c r="G255" i="1" s="1"/>
  <c r="F257" i="1" a="1"/>
  <c r="F257" i="1" s="1"/>
  <c r="M257" i="1"/>
  <c r="C258" i="1" a="1"/>
  <c r="C258" i="1" s="1"/>
  <c r="I258" i="1" a="1"/>
  <c r="I258" i="1" s="1"/>
  <c r="M258" i="1"/>
  <c r="C259" i="1" a="1"/>
  <c r="C259" i="1" s="1"/>
  <c r="N259" i="1" a="1"/>
  <c r="N259" i="1" s="1"/>
  <c r="G260" i="1" a="1"/>
  <c r="G260" i="1" s="1"/>
  <c r="J260" i="1" a="1"/>
  <c r="J260" i="1" s="1"/>
  <c r="M260" i="1"/>
  <c r="C261" i="1" a="1"/>
  <c r="C261" i="1" s="1"/>
  <c r="I261" i="1" a="1"/>
  <c r="I261" i="1" s="1"/>
  <c r="G263" i="1" a="1"/>
  <c r="G263" i="1" s="1"/>
  <c r="F264" i="1" a="1"/>
  <c r="F264" i="1" s="1"/>
  <c r="N265" i="1" a="1"/>
  <c r="N265" i="1" s="1"/>
  <c r="G266" i="1" a="1"/>
  <c r="G266" i="1" s="1"/>
  <c r="J266" i="1" a="1"/>
  <c r="J266" i="1" s="1"/>
  <c r="N266" i="1" a="1"/>
  <c r="N266" i="1" s="1"/>
  <c r="F267" i="1" a="1"/>
  <c r="F267" i="1" s="1"/>
  <c r="J267" i="1" a="1"/>
  <c r="J267" i="1" s="1"/>
  <c r="M267" i="1"/>
  <c r="C268" i="1" a="1"/>
  <c r="C268" i="1" s="1"/>
  <c r="I268" i="1" a="1"/>
  <c r="I268" i="1" s="1"/>
  <c r="N268" i="1" a="1"/>
  <c r="N268" i="1" s="1"/>
  <c r="G269" i="1" a="1"/>
  <c r="G269" i="1" s="1"/>
  <c r="J269" i="1" a="1"/>
  <c r="J269" i="1" s="1"/>
  <c r="F270" i="1" a="1"/>
  <c r="F270" i="1" s="1"/>
  <c r="I271" i="1" a="1"/>
  <c r="I271" i="1" s="1"/>
  <c r="F273" i="1" a="1"/>
  <c r="F273" i="1" s="1"/>
  <c r="M273" i="1"/>
  <c r="C274" i="1" a="1"/>
  <c r="C274" i="1" s="1"/>
  <c r="I274" i="1" a="1"/>
  <c r="I274" i="1" s="1"/>
  <c r="M274" i="1"/>
  <c r="C275" i="1" a="1"/>
  <c r="C275" i="1" s="1"/>
  <c r="N275" i="1" a="1"/>
  <c r="N275" i="1" s="1"/>
  <c r="G276" i="1" a="1"/>
  <c r="G276" i="1" s="1"/>
  <c r="J276" i="1" a="1"/>
  <c r="J276" i="1" s="1"/>
  <c r="M276" i="1"/>
  <c r="C277" i="1" a="1"/>
  <c r="C277" i="1" s="1"/>
  <c r="I277" i="1" a="1"/>
  <c r="I277" i="1" s="1"/>
  <c r="G279" i="1" a="1"/>
  <c r="G279" i="1" s="1"/>
  <c r="F280" i="1" a="1"/>
  <c r="F280" i="1" s="1"/>
  <c r="G272" i="1" a="1"/>
  <c r="G272" i="1" s="1"/>
  <c r="J272" i="1" a="1"/>
  <c r="J272" i="1" s="1"/>
  <c r="N272" i="1" a="1"/>
  <c r="N272" i="1" s="1"/>
  <c r="I273" i="1" a="1"/>
  <c r="I273" i="1" s="1"/>
  <c r="N274" i="1" a="1"/>
  <c r="N274" i="1" s="1"/>
  <c r="G275" i="1" a="1"/>
  <c r="G275" i="1" s="1"/>
  <c r="M277" i="1"/>
  <c r="C278" i="1" a="1"/>
  <c r="C278" i="1" s="1"/>
  <c r="I278" i="1" a="1"/>
  <c r="I278" i="1" s="1"/>
  <c r="N278" i="1" a="1"/>
  <c r="N278" i="1" s="1"/>
  <c r="C280" i="1" a="1"/>
  <c r="C280" i="1" s="1"/>
  <c r="G280" i="1" a="1"/>
  <c r="G280" i="1" s="1"/>
  <c r="N280" i="1" a="1"/>
  <c r="N280" i="1" s="1"/>
  <c r="G281" i="1" a="1"/>
  <c r="G281" i="1" s="1"/>
  <c r="J281" i="1" a="1"/>
  <c r="J281" i="1" s="1"/>
  <c r="N281" i="1" a="1"/>
  <c r="N281" i="1" s="1"/>
  <c r="G282" i="1" a="1"/>
  <c r="G282" i="1" s="1"/>
  <c r="J282" i="1" a="1"/>
  <c r="J282" i="1" s="1"/>
  <c r="N282" i="1" a="1"/>
  <c r="N282" i="1" s="1"/>
  <c r="F283" i="1" a="1"/>
  <c r="F283" i="1" s="1"/>
  <c r="J283" i="1" a="1"/>
  <c r="J283" i="1" s="1"/>
  <c r="M283" i="1"/>
  <c r="C284" i="1" a="1"/>
  <c r="C284" i="1" s="1"/>
  <c r="I284" i="1" a="1"/>
  <c r="I284" i="1" s="1"/>
  <c r="N284" i="1" a="1"/>
  <c r="N284" i="1" s="1"/>
  <c r="G285" i="1" a="1"/>
  <c r="G285" i="1" s="1"/>
  <c r="J285" i="1" a="1"/>
  <c r="J285" i="1" s="1"/>
  <c r="F286" i="1" a="1"/>
  <c r="F286" i="1" s="1"/>
  <c r="I287" i="1" a="1"/>
  <c r="I287" i="1" s="1"/>
  <c r="F289" i="1" a="1"/>
  <c r="F289" i="1" s="1"/>
  <c r="M289" i="1"/>
  <c r="C290" i="1" a="1"/>
  <c r="C290" i="1" s="1"/>
  <c r="I290" i="1" a="1"/>
  <c r="I290" i="1" s="1"/>
  <c r="M290" i="1"/>
  <c r="C291" i="1" a="1"/>
  <c r="C291" i="1" s="1"/>
  <c r="N291" i="1" a="1"/>
  <c r="N291" i="1" s="1"/>
  <c r="G292" i="1" a="1"/>
  <c r="G292" i="1" s="1"/>
  <c r="J292" i="1" a="1"/>
  <c r="J292" i="1" s="1"/>
  <c r="M292" i="1"/>
  <c r="C294" i="1" a="1"/>
  <c r="C294" i="1" s="1"/>
  <c r="F294" i="1" a="1"/>
  <c r="F294" i="1" s="1"/>
  <c r="F296" i="1" a="1"/>
  <c r="F296" i="1" s="1"/>
  <c r="M296" i="1"/>
  <c r="C297" i="1" a="1"/>
  <c r="C297" i="1" s="1"/>
  <c r="I297" i="1" a="1"/>
  <c r="I297" i="1" s="1"/>
  <c r="M297" i="1"/>
  <c r="C298" i="1" a="1"/>
  <c r="C298" i="1" s="1"/>
  <c r="N298" i="1" a="1"/>
  <c r="N298" i="1" s="1"/>
  <c r="G299" i="1" a="1"/>
  <c r="G299" i="1" s="1"/>
  <c r="J299" i="1" a="1"/>
  <c r="J299" i="1" s="1"/>
  <c r="M299" i="1"/>
  <c r="C300" i="1" a="1"/>
  <c r="C300" i="1" s="1"/>
  <c r="I300" i="1" a="1"/>
  <c r="I300" i="1" s="1"/>
  <c r="G302" i="1" a="1"/>
  <c r="G302" i="1" s="1"/>
  <c r="F303" i="1" a="1"/>
  <c r="F303" i="1" s="1"/>
  <c r="N304" i="1" a="1"/>
  <c r="N304" i="1" s="1"/>
  <c r="G305" i="1" a="1"/>
  <c r="G305" i="1" s="1"/>
  <c r="J305" i="1" a="1"/>
  <c r="J305" i="1" s="1"/>
  <c r="N269" i="1" a="1"/>
  <c r="N269" i="1" s="1"/>
  <c r="G270" i="1" a="1"/>
  <c r="G270" i="1" s="1"/>
  <c r="N270" i="1" a="1"/>
  <c r="N270" i="1" s="1"/>
  <c r="J271" i="1" a="1"/>
  <c r="J271" i="1" s="1"/>
  <c r="J273" i="1" a="1"/>
  <c r="J273" i="1" s="1"/>
  <c r="N273" i="1" a="1"/>
  <c r="N273" i="1" s="1"/>
  <c r="C276" i="1" a="1"/>
  <c r="C276" i="1" s="1"/>
  <c r="F276" i="1" a="1"/>
  <c r="F276" i="1" s="1"/>
  <c r="N276" i="1" a="1"/>
  <c r="N276" i="1" s="1"/>
  <c r="F278" i="1" a="1"/>
  <c r="F278" i="1" s="1"/>
  <c r="I279" i="1" a="1"/>
  <c r="I279" i="1" s="1"/>
  <c r="M279" i="1"/>
  <c r="G283" i="1" a="1"/>
  <c r="G283" i="1" s="1"/>
  <c r="F284" i="1" a="1"/>
  <c r="F284" i="1" s="1"/>
  <c r="N285" i="1" a="1"/>
  <c r="N285" i="1" s="1"/>
  <c r="G286" i="1" a="1"/>
  <c r="G286" i="1" s="1"/>
  <c r="J286" i="1" a="1"/>
  <c r="J286" i="1" s="1"/>
  <c r="N286" i="1" a="1"/>
  <c r="N286" i="1" s="1"/>
  <c r="F287" i="1" a="1"/>
  <c r="F287" i="1" s="1"/>
  <c r="J287" i="1" a="1"/>
  <c r="J287" i="1" s="1"/>
  <c r="M287" i="1"/>
  <c r="C288" i="1" a="1"/>
  <c r="C288" i="1" s="1"/>
  <c r="I288" i="1" a="1"/>
  <c r="I288" i="1" s="1"/>
  <c r="N288" i="1" a="1"/>
  <c r="N288" i="1" s="1"/>
  <c r="G289" i="1" a="1"/>
  <c r="G289" i="1" s="1"/>
  <c r="J289" i="1" a="1"/>
  <c r="J289" i="1" s="1"/>
  <c r="F290" i="1" a="1"/>
  <c r="F290" i="1" s="1"/>
  <c r="I291" i="1" a="1"/>
  <c r="I291" i="1" s="1"/>
  <c r="C293" i="1" a="1"/>
  <c r="C293" i="1" s="1"/>
  <c r="I293" i="1" a="1"/>
  <c r="I293" i="1" s="1"/>
  <c r="N293" i="1" a="1"/>
  <c r="N293" i="1" s="1"/>
  <c r="G294" i="1" a="1"/>
  <c r="G294" i="1" s="1"/>
  <c r="J294" i="1" a="1"/>
  <c r="J294" i="1" s="1"/>
  <c r="M294" i="1"/>
  <c r="C295" i="1" a="1"/>
  <c r="C295" i="1" s="1"/>
  <c r="I295" i="1" a="1"/>
  <c r="I295" i="1" s="1"/>
  <c r="N295" i="1" a="1"/>
  <c r="N295" i="1" s="1"/>
  <c r="G296" i="1" a="1"/>
  <c r="G296" i="1" s="1"/>
  <c r="J296" i="1" a="1"/>
  <c r="J296" i="1" s="1"/>
  <c r="F297" i="1" a="1"/>
  <c r="F297" i="1" s="1"/>
  <c r="I298" i="1" a="1"/>
  <c r="I298" i="1" s="1"/>
  <c r="F300" i="1" a="1"/>
  <c r="F300" i="1" s="1"/>
  <c r="M300" i="1"/>
  <c r="C301" i="1" a="1"/>
  <c r="C301" i="1" s="1"/>
  <c r="I301" i="1" a="1"/>
  <c r="I301" i="1" s="1"/>
  <c r="M301" i="1"/>
  <c r="C302" i="1" a="1"/>
  <c r="C302" i="1" s="1"/>
  <c r="N302" i="1" a="1"/>
  <c r="N302" i="1" s="1"/>
  <c r="G303" i="1" a="1"/>
  <c r="G303" i="1" s="1"/>
  <c r="J303" i="1" a="1"/>
  <c r="J303" i="1" s="1"/>
  <c r="M303" i="1"/>
  <c r="C304" i="1" a="1"/>
  <c r="C304" i="1" s="1"/>
  <c r="I304" i="1" a="1"/>
  <c r="I304" i="1" s="1"/>
  <c r="G306" i="1" a="1"/>
  <c r="G306" i="1" s="1"/>
  <c r="F307" i="1" a="1"/>
  <c r="F307" i="1" s="1"/>
  <c r="N308" i="1" a="1"/>
  <c r="N308" i="1" s="1"/>
  <c r="F309" i="1" a="1"/>
  <c r="F309" i="1" s="1"/>
  <c r="J309" i="1" a="1"/>
  <c r="J309" i="1" s="1"/>
  <c r="M309" i="1"/>
  <c r="C310" i="1" a="1"/>
  <c r="C310" i="1" s="1"/>
  <c r="F310" i="1" a="1"/>
  <c r="F310" i="1" s="1"/>
  <c r="J310" i="1" a="1"/>
  <c r="J310" i="1" s="1"/>
  <c r="F271" i="1" a="1"/>
  <c r="F271" i="1" s="1"/>
  <c r="C272" i="1" a="1"/>
  <c r="C272" i="1" s="1"/>
  <c r="I272" i="1" a="1"/>
  <c r="I272" i="1" s="1"/>
  <c r="C273" i="1" a="1"/>
  <c r="C273" i="1" s="1"/>
  <c r="G273" i="1" a="1"/>
  <c r="G273" i="1" s="1"/>
  <c r="F274" i="1" a="1"/>
  <c r="F274" i="1" s="1"/>
  <c r="J274" i="1" a="1"/>
  <c r="J274" i="1" s="1"/>
  <c r="I275" i="1" a="1"/>
  <c r="I275" i="1" s="1"/>
  <c r="M275" i="1"/>
  <c r="F277" i="1" a="1"/>
  <c r="F277" i="1" s="1"/>
  <c r="J277" i="1" a="1"/>
  <c r="J277" i="1" s="1"/>
  <c r="N277" i="1" a="1"/>
  <c r="N277" i="1" s="1"/>
  <c r="G278" i="1" a="1"/>
  <c r="G278" i="1" s="1"/>
  <c r="J278" i="1" a="1"/>
  <c r="J278" i="1" s="1"/>
  <c r="M278" i="1"/>
  <c r="C279" i="1" a="1"/>
  <c r="C279" i="1" s="1"/>
  <c r="J279" i="1" a="1"/>
  <c r="J279" i="1" s="1"/>
  <c r="N279" i="1" a="1"/>
  <c r="N279" i="1" s="1"/>
  <c r="I280" i="1" a="1"/>
  <c r="I280" i="1" s="1"/>
  <c r="M280" i="1"/>
  <c r="C281" i="1" a="1"/>
  <c r="C281" i="1" s="1"/>
  <c r="I281" i="1" a="1"/>
  <c r="I281" i="1" s="1"/>
  <c r="M281" i="1"/>
  <c r="C282" i="1" a="1"/>
  <c r="C282" i="1" s="1"/>
  <c r="I282" i="1" a="1"/>
  <c r="I282" i="1" s="1"/>
  <c r="M282" i="1"/>
  <c r="C283" i="1" a="1"/>
  <c r="C283" i="1" s="1"/>
  <c r="N283" i="1" a="1"/>
  <c r="N283" i="1" s="1"/>
  <c r="G284" i="1" a="1"/>
  <c r="G284" i="1" s="1"/>
  <c r="J284" i="1" a="1"/>
  <c r="J284" i="1" s="1"/>
  <c r="M284" i="1"/>
  <c r="C285" i="1" a="1"/>
  <c r="C285" i="1" s="1"/>
  <c r="I285" i="1" a="1"/>
  <c r="I285" i="1" s="1"/>
  <c r="G287" i="1" a="1"/>
  <c r="G287" i="1" s="1"/>
  <c r="F288" i="1" a="1"/>
  <c r="F288" i="1" s="1"/>
  <c r="N289" i="1" a="1"/>
  <c r="N289" i="1" s="1"/>
  <c r="G290" i="1" a="1"/>
  <c r="G290" i="1" s="1"/>
  <c r="J290" i="1" a="1"/>
  <c r="J290" i="1" s="1"/>
  <c r="N290" i="1" a="1"/>
  <c r="N290" i="1" s="1"/>
  <c r="F291" i="1" a="1"/>
  <c r="F291" i="1" s="1"/>
  <c r="J291" i="1" a="1"/>
  <c r="J291" i="1" s="1"/>
  <c r="M291" i="1"/>
  <c r="C292" i="1" a="1"/>
  <c r="C292" i="1" s="1"/>
  <c r="I292" i="1" a="1"/>
  <c r="I292" i="1" s="1"/>
  <c r="F293" i="1" a="1"/>
  <c r="F293" i="1" s="1"/>
  <c r="J293" i="1" a="1"/>
  <c r="J293" i="1" s="1"/>
  <c r="F295" i="1" a="1"/>
  <c r="F295" i="1" s="1"/>
  <c r="N296" i="1" a="1"/>
  <c r="N296" i="1" s="1"/>
  <c r="G297" i="1" a="1"/>
  <c r="G297" i="1" s="1"/>
  <c r="J297" i="1" a="1"/>
  <c r="J297" i="1" s="1"/>
  <c r="N297" i="1" a="1"/>
  <c r="N297" i="1" s="1"/>
  <c r="F298" i="1" a="1"/>
  <c r="F298" i="1" s="1"/>
  <c r="J298" i="1" a="1"/>
  <c r="J298" i="1" s="1"/>
  <c r="M298" i="1"/>
  <c r="C299" i="1" a="1"/>
  <c r="C299" i="1" s="1"/>
  <c r="I299" i="1" a="1"/>
  <c r="I299" i="1" s="1"/>
  <c r="N299" i="1" a="1"/>
  <c r="N299" i="1" s="1"/>
  <c r="G300" i="1" a="1"/>
  <c r="G300" i="1" s="1"/>
  <c r="J300" i="1" a="1"/>
  <c r="J300" i="1" s="1"/>
  <c r="F301" i="1" a="1"/>
  <c r="F301" i="1" s="1"/>
  <c r="I302" i="1" a="1"/>
  <c r="I302" i="1" s="1"/>
  <c r="F304" i="1" a="1"/>
  <c r="F304" i="1" s="1"/>
  <c r="M304" i="1"/>
  <c r="C305" i="1" a="1"/>
  <c r="C305" i="1" s="1"/>
  <c r="I305" i="1" a="1"/>
  <c r="I305" i="1" s="1"/>
  <c r="M305" i="1"/>
  <c r="C306" i="1" a="1"/>
  <c r="C306" i="1" s="1"/>
  <c r="J270" i="1" a="1"/>
  <c r="J270" i="1" s="1"/>
  <c r="G271" i="1" a="1"/>
  <c r="G271" i="1" s="1"/>
  <c r="M271" i="1"/>
  <c r="F272" i="1" a="1"/>
  <c r="F272" i="1" s="1"/>
  <c r="M272" i="1"/>
  <c r="G274" i="1" a="1"/>
  <c r="G274" i="1" s="1"/>
  <c r="F275" i="1" a="1"/>
  <c r="F275" i="1" s="1"/>
  <c r="J275" i="1" a="1"/>
  <c r="J275" i="1" s="1"/>
  <c r="I276" i="1" a="1"/>
  <c r="I276" i="1" s="1"/>
  <c r="G277" i="1" a="1"/>
  <c r="G277" i="1" s="1"/>
  <c r="F279" i="1" a="1"/>
  <c r="F279" i="1" s="1"/>
  <c r="J280" i="1" a="1"/>
  <c r="J280" i="1" s="1"/>
  <c r="F281" i="1" a="1"/>
  <c r="F281" i="1" s="1"/>
  <c r="F282" i="1" a="1"/>
  <c r="F282" i="1" s="1"/>
  <c r="I283" i="1" a="1"/>
  <c r="I283" i="1" s="1"/>
  <c r="F285" i="1" a="1"/>
  <c r="F285" i="1" s="1"/>
  <c r="M285" i="1"/>
  <c r="C286" i="1" a="1"/>
  <c r="C286" i="1" s="1"/>
  <c r="I286" i="1" a="1"/>
  <c r="I286" i="1" s="1"/>
  <c r="M286" i="1"/>
  <c r="C287" i="1" a="1"/>
  <c r="C287" i="1" s="1"/>
  <c r="N287" i="1" a="1"/>
  <c r="N287" i="1" s="1"/>
  <c r="G288" i="1" a="1"/>
  <c r="G288" i="1" s="1"/>
  <c r="J288" i="1" a="1"/>
  <c r="J288" i="1" s="1"/>
  <c r="M288" i="1"/>
  <c r="C289" i="1" a="1"/>
  <c r="C289" i="1" s="1"/>
  <c r="I289" i="1" a="1"/>
  <c r="I289" i="1" s="1"/>
  <c r="G291" i="1" a="1"/>
  <c r="G291" i="1" s="1"/>
  <c r="F292" i="1" a="1"/>
  <c r="F292" i="1" s="1"/>
  <c r="N292" i="1" a="1"/>
  <c r="N292" i="1" s="1"/>
  <c r="G293" i="1" a="1"/>
  <c r="G293" i="1" s="1"/>
  <c r="M293" i="1"/>
  <c r="I294" i="1" a="1"/>
  <c r="I294" i="1" s="1"/>
  <c r="N294" i="1" a="1"/>
  <c r="N294" i="1" s="1"/>
  <c r="G295" i="1" a="1"/>
  <c r="G295" i="1" s="1"/>
  <c r="J295" i="1" a="1"/>
  <c r="J295" i="1" s="1"/>
  <c r="M295" i="1"/>
  <c r="C296" i="1" a="1"/>
  <c r="C296" i="1" s="1"/>
  <c r="I296" i="1" a="1"/>
  <c r="I296" i="1" s="1"/>
  <c r="G298" i="1" a="1"/>
  <c r="G298" i="1" s="1"/>
  <c r="F299" i="1" a="1"/>
  <c r="F299" i="1" s="1"/>
  <c r="N300" i="1" a="1"/>
  <c r="N300" i="1" s="1"/>
  <c r="G301" i="1" a="1"/>
  <c r="G301" i="1" s="1"/>
  <c r="J301" i="1" a="1"/>
  <c r="J301" i="1" s="1"/>
  <c r="N301" i="1" a="1"/>
  <c r="N301" i="1" s="1"/>
  <c r="F302" i="1" a="1"/>
  <c r="F302" i="1" s="1"/>
  <c r="J302" i="1" a="1"/>
  <c r="J302" i="1" s="1"/>
  <c r="M302" i="1"/>
  <c r="C303" i="1" a="1"/>
  <c r="C303" i="1" s="1"/>
  <c r="I303" i="1" a="1"/>
  <c r="I303" i="1" s="1"/>
  <c r="N303" i="1" a="1"/>
  <c r="N303" i="1" s="1"/>
  <c r="G304" i="1" a="1"/>
  <c r="G304" i="1" s="1"/>
  <c r="J304" i="1" a="1"/>
  <c r="J304" i="1" s="1"/>
  <c r="F305" i="1" a="1"/>
  <c r="F305" i="1" s="1"/>
  <c r="I306" i="1" a="1"/>
  <c r="I306" i="1" s="1"/>
  <c r="F308" i="1" a="1"/>
  <c r="F308" i="1" s="1"/>
  <c r="M308" i="1"/>
  <c r="C309" i="1" a="1"/>
  <c r="C309" i="1" s="1"/>
  <c r="N309" i="1" a="1"/>
  <c r="N309" i="1" s="1"/>
  <c r="G311" i="1" a="1"/>
  <c r="G311" i="1" s="1"/>
  <c r="J311" i="1" a="1"/>
  <c r="J311" i="1" s="1"/>
  <c r="M311" i="1"/>
  <c r="N312" i="1" a="1"/>
  <c r="N312" i="1" s="1"/>
  <c r="G313" i="1" a="1"/>
  <c r="G313" i="1" s="1"/>
  <c r="M314" i="1"/>
  <c r="G316" i="1" a="1"/>
  <c r="G316" i="1" s="1"/>
  <c r="N316" i="1" a="1"/>
  <c r="N316" i="1" s="1"/>
  <c r="G317" i="1" a="1"/>
  <c r="G317" i="1" s="1"/>
  <c r="N317" i="1" a="1"/>
  <c r="N317" i="1" s="1"/>
  <c r="I319" i="1" a="1"/>
  <c r="I319" i="1" s="1"/>
  <c r="J306" i="1" a="1"/>
  <c r="J306" i="1" s="1"/>
  <c r="C307" i="1" a="1"/>
  <c r="C307" i="1" s="1"/>
  <c r="G307" i="1" a="1"/>
  <c r="G307" i="1" s="1"/>
  <c r="C308" i="1" a="1"/>
  <c r="C308" i="1" s="1"/>
  <c r="G308" i="1" a="1"/>
  <c r="G308" i="1" s="1"/>
  <c r="C311" i="1" a="1"/>
  <c r="C311" i="1" s="1"/>
  <c r="F311" i="1" a="1"/>
  <c r="F311" i="1" s="1"/>
  <c r="F312" i="1" a="1"/>
  <c r="F312" i="1" s="1"/>
  <c r="J312" i="1" a="1"/>
  <c r="J312" i="1" s="1"/>
  <c r="C314" i="1" a="1"/>
  <c r="C314" i="1" s="1"/>
  <c r="G314" i="1" a="1"/>
  <c r="G314" i="1" s="1"/>
  <c r="G315" i="1" a="1"/>
  <c r="G315" i="1" s="1"/>
  <c r="F316" i="1" a="1"/>
  <c r="F316" i="1" s="1"/>
  <c r="C317" i="1" a="1"/>
  <c r="C317" i="1" s="1"/>
  <c r="J317" i="1" a="1"/>
  <c r="J317" i="1" s="1"/>
  <c r="I318" i="1" a="1"/>
  <c r="I318" i="1" s="1"/>
  <c r="M319" i="1"/>
  <c r="N320" i="1" a="1"/>
  <c r="N320" i="1" s="1"/>
  <c r="F321" i="1" a="1"/>
  <c r="F321" i="1" s="1"/>
  <c r="J321" i="1" a="1"/>
  <c r="J321" i="1" s="1"/>
  <c r="M321" i="1"/>
  <c r="G322" i="1" a="1"/>
  <c r="G322" i="1" s="1"/>
  <c r="J322" i="1" a="1"/>
  <c r="J322" i="1" s="1"/>
  <c r="M322" i="1"/>
  <c r="G323" i="1" a="1"/>
  <c r="G323" i="1" s="1"/>
  <c r="F324" i="1" a="1"/>
  <c r="F324" i="1" s="1"/>
  <c r="J324" i="1" a="1"/>
  <c r="J324" i="1" s="1"/>
  <c r="M324" i="1"/>
  <c r="C325" i="1" a="1"/>
  <c r="C325" i="1" s="1"/>
  <c r="F326" i="1" a="1"/>
  <c r="F326" i="1" s="1"/>
  <c r="J326" i="1" a="1"/>
  <c r="J326" i="1" s="1"/>
  <c r="M326" i="1"/>
  <c r="C327" i="1" a="1"/>
  <c r="C327" i="1" s="1"/>
  <c r="I327" i="1" a="1"/>
  <c r="I327" i="1" s="1"/>
  <c r="N328" i="1" a="1"/>
  <c r="N328" i="1" s="1"/>
  <c r="F329" i="1" a="1"/>
  <c r="F329" i="1" s="1"/>
  <c r="I329" i="1" a="1"/>
  <c r="I329" i="1" s="1"/>
  <c r="I330" i="1" a="1"/>
  <c r="I330" i="1" s="1"/>
  <c r="M330" i="1"/>
  <c r="C331" i="1" a="1"/>
  <c r="C331" i="1" s="1"/>
  <c r="I331" i="1" a="1"/>
  <c r="I331" i="1" s="1"/>
  <c r="M331" i="1"/>
  <c r="N333" i="1" a="1"/>
  <c r="N333" i="1" s="1"/>
  <c r="G334" i="1" a="1"/>
  <c r="G334" i="1" s="1"/>
  <c r="J334" i="1" a="1"/>
  <c r="J334" i="1" s="1"/>
  <c r="C335" i="1" a="1"/>
  <c r="C335" i="1" s="1"/>
  <c r="F335" i="1" a="1"/>
  <c r="F335" i="1" s="1"/>
  <c r="I335" i="1" a="1"/>
  <c r="I335" i="1" s="1"/>
  <c r="I338" i="1" a="1"/>
  <c r="I338" i="1" s="1"/>
  <c r="M338" i="1"/>
  <c r="I339" i="1" a="1"/>
  <c r="I339" i="1" s="1"/>
  <c r="M339" i="1"/>
  <c r="F341" i="1" a="1"/>
  <c r="F341" i="1" s="1"/>
  <c r="I341" i="1" a="1"/>
  <c r="I341" i="1" s="1"/>
  <c r="M341" i="1"/>
  <c r="F343" i="1" a="1"/>
  <c r="F343" i="1" s="1"/>
  <c r="I343" i="1" a="1"/>
  <c r="I343" i="1" s="1"/>
  <c r="M343" i="1"/>
  <c r="F345" i="1" a="1"/>
  <c r="F345" i="1" s="1"/>
  <c r="I345" i="1" a="1"/>
  <c r="I345" i="1" s="1"/>
  <c r="M345" i="1"/>
  <c r="F347" i="1" a="1"/>
  <c r="F347" i="1" s="1"/>
  <c r="I347" i="1" a="1"/>
  <c r="I347" i="1" s="1"/>
  <c r="M347" i="1"/>
  <c r="F349" i="1" a="1"/>
  <c r="F349" i="1" s="1"/>
  <c r="I349" i="1" a="1"/>
  <c r="I349" i="1" s="1"/>
  <c r="M349" i="1"/>
  <c r="M306" i="1"/>
  <c r="M307" i="1"/>
  <c r="I309" i="1" a="1"/>
  <c r="I309" i="1" s="1"/>
  <c r="G310" i="1" a="1"/>
  <c r="G310" i="1" s="1"/>
  <c r="M310" i="1"/>
  <c r="N311" i="1" a="1"/>
  <c r="N311" i="1" s="1"/>
  <c r="G312" i="1" a="1"/>
  <c r="G312" i="1" s="1"/>
  <c r="I313" i="1" a="1"/>
  <c r="I313" i="1" s="1"/>
  <c r="M313" i="1"/>
  <c r="C316" i="1" a="1"/>
  <c r="C316" i="1" s="1"/>
  <c r="M316" i="1"/>
  <c r="F317" i="1" a="1"/>
  <c r="F317" i="1" s="1"/>
  <c r="C318" i="1" a="1"/>
  <c r="C318" i="1" s="1"/>
  <c r="F318" i="1" a="1"/>
  <c r="F318" i="1" s="1"/>
  <c r="J318" i="1" a="1"/>
  <c r="J318" i="1" s="1"/>
  <c r="N318" i="1" a="1"/>
  <c r="N318" i="1" s="1"/>
  <c r="J319" i="1" a="1"/>
  <c r="J319" i="1" s="1"/>
  <c r="C320" i="1" a="1"/>
  <c r="C320" i="1" s="1"/>
  <c r="F320" i="1" a="1"/>
  <c r="F320" i="1" s="1"/>
  <c r="I320" i="1" a="1"/>
  <c r="I320" i="1" s="1"/>
  <c r="G321" i="1" a="1"/>
  <c r="G321" i="1" s="1"/>
  <c r="C322" i="1" a="1"/>
  <c r="C322" i="1" s="1"/>
  <c r="C323" i="1" a="1"/>
  <c r="C323" i="1" s="1"/>
  <c r="N323" i="1" a="1"/>
  <c r="N323" i="1" s="1"/>
  <c r="G324" i="1" a="1"/>
  <c r="G324" i="1" s="1"/>
  <c r="F325" i="1" a="1"/>
  <c r="F325" i="1" s="1"/>
  <c r="I325" i="1" a="1"/>
  <c r="I325" i="1" s="1"/>
  <c r="N325" i="1" a="1"/>
  <c r="N325" i="1" s="1"/>
  <c r="G326" i="1" a="1"/>
  <c r="G326" i="1" s="1"/>
  <c r="F327" i="1" a="1"/>
  <c r="F327" i="1" s="1"/>
  <c r="J327" i="1" a="1"/>
  <c r="J327" i="1" s="1"/>
  <c r="M327" i="1"/>
  <c r="C328" i="1" a="1"/>
  <c r="C328" i="1" s="1"/>
  <c r="F328" i="1" a="1"/>
  <c r="F328" i="1" s="1"/>
  <c r="I328" i="1" a="1"/>
  <c r="I328" i="1" s="1"/>
  <c r="G329" i="1" a="1"/>
  <c r="G329" i="1" s="1"/>
  <c r="J329" i="1" a="1"/>
  <c r="J329" i="1" s="1"/>
  <c r="M329" i="1"/>
  <c r="C330" i="1" a="1"/>
  <c r="C330" i="1" s="1"/>
  <c r="F330" i="1" a="1"/>
  <c r="F330" i="1" s="1"/>
  <c r="J330" i="1" a="1"/>
  <c r="J330" i="1" s="1"/>
  <c r="F331" i="1" a="1"/>
  <c r="F331" i="1" s="1"/>
  <c r="J331" i="1" a="1"/>
  <c r="J331" i="1" s="1"/>
  <c r="C332" i="1" a="1"/>
  <c r="C332" i="1" s="1"/>
  <c r="F332" i="1" a="1"/>
  <c r="F332" i="1" s="1"/>
  <c r="I332" i="1" a="1"/>
  <c r="I332" i="1" s="1"/>
  <c r="M332" i="1"/>
  <c r="C333" i="1" a="1"/>
  <c r="C333" i="1" s="1"/>
  <c r="F333" i="1" a="1"/>
  <c r="F333" i="1" s="1"/>
  <c r="I333" i="1" a="1"/>
  <c r="I333" i="1" s="1"/>
  <c r="M333" i="1"/>
  <c r="N334" i="1" a="1"/>
  <c r="N334" i="1" s="1"/>
  <c r="G335" i="1" a="1"/>
  <c r="G335" i="1" s="1"/>
  <c r="J335" i="1" a="1"/>
  <c r="J335" i="1" s="1"/>
  <c r="M335" i="1"/>
  <c r="I336" i="1" a="1"/>
  <c r="I336" i="1" s="1"/>
  <c r="M336" i="1"/>
  <c r="C337" i="1" a="1"/>
  <c r="C337" i="1" s="1"/>
  <c r="F337" i="1" a="1"/>
  <c r="F337" i="1" s="1"/>
  <c r="I337" i="1" a="1"/>
  <c r="I337" i="1" s="1"/>
  <c r="M337" i="1"/>
  <c r="C338" i="1" a="1"/>
  <c r="C338" i="1" s="1"/>
  <c r="F338" i="1" a="1"/>
  <c r="F338" i="1" s="1"/>
  <c r="J338" i="1" a="1"/>
  <c r="J338" i="1" s="1"/>
  <c r="C339" i="1" a="1"/>
  <c r="C339" i="1" s="1"/>
  <c r="F339" i="1" a="1"/>
  <c r="F339" i="1" s="1"/>
  <c r="J339" i="1" a="1"/>
  <c r="J339" i="1" s="1"/>
  <c r="C340" i="1" a="1"/>
  <c r="C340" i="1" s="1"/>
  <c r="N340" i="1" a="1"/>
  <c r="N340" i="1" s="1"/>
  <c r="G341" i="1" a="1"/>
  <c r="G341" i="1" s="1"/>
  <c r="J341" i="1" a="1"/>
  <c r="J341" i="1" s="1"/>
  <c r="C342" i="1" a="1"/>
  <c r="C342" i="1" s="1"/>
  <c r="N342" i="1" a="1"/>
  <c r="N342" i="1" s="1"/>
  <c r="G343" i="1" a="1"/>
  <c r="G343" i="1" s="1"/>
  <c r="J343" i="1" a="1"/>
  <c r="J343" i="1" s="1"/>
  <c r="C344" i="1" a="1"/>
  <c r="C344" i="1" s="1"/>
  <c r="N305" i="1" a="1"/>
  <c r="N305" i="1" s="1"/>
  <c r="F306" i="1" a="1"/>
  <c r="F306" i="1" s="1"/>
  <c r="N306" i="1" a="1"/>
  <c r="N306" i="1" s="1"/>
  <c r="I307" i="1" a="1"/>
  <c r="I307" i="1" s="1"/>
  <c r="N307" i="1" a="1"/>
  <c r="N307" i="1" s="1"/>
  <c r="I308" i="1" a="1"/>
  <c r="I308" i="1" s="1"/>
  <c r="N310" i="1" a="1"/>
  <c r="N310" i="1" s="1"/>
  <c r="C313" i="1" a="1"/>
  <c r="C313" i="1" s="1"/>
  <c r="J313" i="1" a="1"/>
  <c r="J313" i="1" s="1"/>
  <c r="N313" i="1" a="1"/>
  <c r="N313" i="1" s="1"/>
  <c r="I314" i="1" a="1"/>
  <c r="I314" i="1" s="1"/>
  <c r="C315" i="1" a="1"/>
  <c r="C315" i="1" s="1"/>
  <c r="I315" i="1" a="1"/>
  <c r="I315" i="1" s="1"/>
  <c r="M315" i="1"/>
  <c r="I316" i="1" a="1"/>
  <c r="I316" i="1" s="1"/>
  <c r="M317" i="1"/>
  <c r="G318" i="1" a="1"/>
  <c r="G318" i="1" s="1"/>
  <c r="F319" i="1" a="1"/>
  <c r="F319" i="1" s="1"/>
  <c r="N319" i="1" a="1"/>
  <c r="N319" i="1" s="1"/>
  <c r="M320" i="1"/>
  <c r="F322" i="1" a="1"/>
  <c r="F322" i="1" s="1"/>
  <c r="I322" i="1" a="1"/>
  <c r="I322" i="1" s="1"/>
  <c r="N322" i="1" a="1"/>
  <c r="N322" i="1" s="1"/>
  <c r="I323" i="1" a="1"/>
  <c r="I323" i="1" s="1"/>
  <c r="M323" i="1"/>
  <c r="N324" i="1" a="1"/>
  <c r="N324" i="1" s="1"/>
  <c r="G325" i="1" a="1"/>
  <c r="G325" i="1" s="1"/>
  <c r="J325" i="1" a="1"/>
  <c r="J325" i="1" s="1"/>
  <c r="M325" i="1"/>
  <c r="N326" i="1" a="1"/>
  <c r="N326" i="1" s="1"/>
  <c r="G327" i="1" a="1"/>
  <c r="G327" i="1" s="1"/>
  <c r="M328" i="1"/>
  <c r="G330" i="1" a="1"/>
  <c r="G330" i="1" s="1"/>
  <c r="N330" i="1" a="1"/>
  <c r="N330" i="1" s="1"/>
  <c r="G331" i="1" a="1"/>
  <c r="G331" i="1" s="1"/>
  <c r="J332" i="1" a="1"/>
  <c r="J332" i="1" s="1"/>
  <c r="G333" i="1" a="1"/>
  <c r="G333" i="1" s="1"/>
  <c r="J333" i="1" a="1"/>
  <c r="J333" i="1" s="1"/>
  <c r="C334" i="1" a="1"/>
  <c r="C334" i="1" s="1"/>
  <c r="F334" i="1" a="1"/>
  <c r="F334" i="1" s="1"/>
  <c r="I334" i="1" a="1"/>
  <c r="I334" i="1" s="1"/>
  <c r="C336" i="1" a="1"/>
  <c r="C336" i="1" s="1"/>
  <c r="F336" i="1" a="1"/>
  <c r="F336" i="1" s="1"/>
  <c r="J336" i="1" a="1"/>
  <c r="J336" i="1" s="1"/>
  <c r="J337" i="1" a="1"/>
  <c r="J337" i="1" s="1"/>
  <c r="G338" i="1" a="1"/>
  <c r="G338" i="1" s="1"/>
  <c r="G339" i="1" a="1"/>
  <c r="G339" i="1" s="1"/>
  <c r="F340" i="1" a="1"/>
  <c r="F340" i="1" s="1"/>
  <c r="I340" i="1" a="1"/>
  <c r="I340" i="1" s="1"/>
  <c r="M340" i="1"/>
  <c r="F342" i="1" a="1"/>
  <c r="F342" i="1" s="1"/>
  <c r="I342" i="1" a="1"/>
  <c r="I342" i="1" s="1"/>
  <c r="M342" i="1"/>
  <c r="F344" i="1" a="1"/>
  <c r="F344" i="1" s="1"/>
  <c r="I344" i="1" a="1"/>
  <c r="I344" i="1" s="1"/>
  <c r="M344" i="1"/>
  <c r="F346" i="1" a="1"/>
  <c r="F346" i="1" s="1"/>
  <c r="I346" i="1" a="1"/>
  <c r="I346" i="1" s="1"/>
  <c r="M346" i="1"/>
  <c r="F348" i="1" a="1"/>
  <c r="F348" i="1" s="1"/>
  <c r="I348" i="1" a="1"/>
  <c r="I348" i="1" s="1"/>
  <c r="M348" i="1"/>
  <c r="F350" i="1" a="1"/>
  <c r="F350" i="1" s="1"/>
  <c r="I350" i="1" a="1"/>
  <c r="I350" i="1" s="1"/>
  <c r="M350" i="1"/>
  <c r="F352" i="1" a="1"/>
  <c r="F352" i="1" s="1"/>
  <c r="I352" i="1" a="1"/>
  <c r="I352" i="1" s="1"/>
  <c r="M352" i="1"/>
  <c r="F354" i="1" a="1"/>
  <c r="F354" i="1" s="1"/>
  <c r="I354" i="1" a="1"/>
  <c r="I354" i="1" s="1"/>
  <c r="M354" i="1"/>
  <c r="F356" i="1" a="1"/>
  <c r="F356" i="1" s="1"/>
  <c r="I356" i="1" a="1"/>
  <c r="I356" i="1" s="1"/>
  <c r="J307" i="1" a="1"/>
  <c r="J307" i="1" s="1"/>
  <c r="J308" i="1" a="1"/>
  <c r="J308" i="1" s="1"/>
  <c r="G309" i="1" a="1"/>
  <c r="G309" i="1" s="1"/>
  <c r="I310" i="1" a="1"/>
  <c r="I310" i="1" s="1"/>
  <c r="I311" i="1" a="1"/>
  <c r="I311" i="1" s="1"/>
  <c r="C312" i="1" a="1"/>
  <c r="C312" i="1" s="1"/>
  <c r="I312" i="1" a="1"/>
  <c r="I312" i="1" s="1"/>
  <c r="M312" i="1"/>
  <c r="F313" i="1" a="1"/>
  <c r="F313" i="1" s="1"/>
  <c r="F314" i="1" a="1"/>
  <c r="F314" i="1" s="1"/>
  <c r="J314" i="1" a="1"/>
  <c r="J314" i="1" s="1"/>
  <c r="N314" i="1" a="1"/>
  <c r="N314" i="1" s="1"/>
  <c r="F315" i="1" a="1"/>
  <c r="F315" i="1" s="1"/>
  <c r="J315" i="1" a="1"/>
  <c r="J315" i="1" s="1"/>
  <c r="N315" i="1" a="1"/>
  <c r="N315" i="1" s="1"/>
  <c r="J316" i="1" a="1"/>
  <c r="J316" i="1" s="1"/>
  <c r="I317" i="1" a="1"/>
  <c r="I317" i="1" s="1"/>
  <c r="M318" i="1"/>
  <c r="C319" i="1" a="1"/>
  <c r="C319" i="1" s="1"/>
  <c r="G319" i="1" a="1"/>
  <c r="G319" i="1" s="1"/>
  <c r="G320" i="1" a="1"/>
  <c r="G320" i="1" s="1"/>
  <c r="J320" i="1" a="1"/>
  <c r="J320" i="1" s="1"/>
  <c r="C321" i="1" a="1"/>
  <c r="C321" i="1" s="1"/>
  <c r="I321" i="1" a="1"/>
  <c r="I321" i="1" s="1"/>
  <c r="N321" i="1" a="1"/>
  <c r="N321" i="1" s="1"/>
  <c r="F323" i="1" a="1"/>
  <c r="F323" i="1" s="1"/>
  <c r="J323" i="1" a="1"/>
  <c r="J323" i="1" s="1"/>
  <c r="C324" i="1" a="1"/>
  <c r="C324" i="1" s="1"/>
  <c r="I324" i="1" a="1"/>
  <c r="I324" i="1" s="1"/>
  <c r="C326" i="1" a="1"/>
  <c r="C326" i="1" s="1"/>
  <c r="I326" i="1" a="1"/>
  <c r="I326" i="1" s="1"/>
  <c r="N327" i="1" a="1"/>
  <c r="N327" i="1" s="1"/>
  <c r="G328" i="1" a="1"/>
  <c r="G328" i="1" s="1"/>
  <c r="J328" i="1" a="1"/>
  <c r="J328" i="1" s="1"/>
  <c r="C329" i="1" a="1"/>
  <c r="C329" i="1" s="1"/>
  <c r="N329" i="1" a="1"/>
  <c r="N329" i="1" s="1"/>
  <c r="N331" i="1" a="1"/>
  <c r="N331" i="1" s="1"/>
  <c r="G332" i="1" a="1"/>
  <c r="G332" i="1" s="1"/>
  <c r="N332" i="1" a="1"/>
  <c r="N332" i="1" s="1"/>
  <c r="M334" i="1"/>
  <c r="N335" i="1" a="1"/>
  <c r="N335" i="1" s="1"/>
  <c r="G336" i="1" a="1"/>
  <c r="G336" i="1" s="1"/>
  <c r="N336" i="1" a="1"/>
  <c r="N336" i="1" s="1"/>
  <c r="G337" i="1" a="1"/>
  <c r="G337" i="1" s="1"/>
  <c r="N337" i="1" a="1"/>
  <c r="N337" i="1" s="1"/>
  <c r="N338" i="1" a="1"/>
  <c r="N338" i="1" s="1"/>
  <c r="N339" i="1" a="1"/>
  <c r="N339" i="1" s="1"/>
  <c r="G340" i="1" a="1"/>
  <c r="G340" i="1" s="1"/>
  <c r="J340" i="1" a="1"/>
  <c r="J340" i="1" s="1"/>
  <c r="C341" i="1" a="1"/>
  <c r="C341" i="1" s="1"/>
  <c r="N341" i="1" a="1"/>
  <c r="N341" i="1" s="1"/>
  <c r="G342" i="1" a="1"/>
  <c r="G342" i="1" s="1"/>
  <c r="J342" i="1" a="1"/>
  <c r="J342" i="1" s="1"/>
  <c r="C343" i="1" a="1"/>
  <c r="C343" i="1" s="1"/>
  <c r="N343" i="1" a="1"/>
  <c r="N343" i="1" s="1"/>
  <c r="G344" i="1" a="1"/>
  <c r="G344" i="1" s="1"/>
  <c r="J344" i="1" a="1"/>
  <c r="J344" i="1" s="1"/>
  <c r="C345" i="1" a="1"/>
  <c r="C345" i="1" s="1"/>
  <c r="N345" i="1" a="1"/>
  <c r="N345" i="1" s="1"/>
  <c r="G346" i="1" a="1"/>
  <c r="G346" i="1" s="1"/>
  <c r="J346" i="1" a="1"/>
  <c r="J346" i="1" s="1"/>
  <c r="C347" i="1" a="1"/>
  <c r="C347" i="1" s="1"/>
  <c r="N347" i="1" a="1"/>
  <c r="N347" i="1" s="1"/>
  <c r="G348" i="1" a="1"/>
  <c r="G348" i="1" s="1"/>
  <c r="J348" i="1" a="1"/>
  <c r="J348" i="1" s="1"/>
  <c r="C349" i="1" a="1"/>
  <c r="C349" i="1" s="1"/>
  <c r="N349" i="1" a="1"/>
  <c r="N349" i="1" s="1"/>
  <c r="G350" i="1" a="1"/>
  <c r="G350" i="1" s="1"/>
  <c r="J350" i="1" a="1"/>
  <c r="J350" i="1" s="1"/>
  <c r="C351" i="1" a="1"/>
  <c r="C351" i="1" s="1"/>
  <c r="N351" i="1" a="1"/>
  <c r="N351" i="1" s="1"/>
  <c r="G352" i="1" a="1"/>
  <c r="G352" i="1" s="1"/>
  <c r="J352" i="1" a="1"/>
  <c r="J352" i="1" s="1"/>
  <c r="C353" i="1" a="1"/>
  <c r="C353" i="1" s="1"/>
  <c r="N353" i="1" a="1"/>
  <c r="N353" i="1" s="1"/>
  <c r="G354" i="1" a="1"/>
  <c r="G354" i="1" s="1"/>
  <c r="J354" i="1" a="1"/>
  <c r="J354" i="1" s="1"/>
  <c r="J347" i="1" a="1"/>
  <c r="J347" i="1" s="1"/>
  <c r="N348" i="1" a="1"/>
  <c r="N348" i="1" s="1"/>
  <c r="C350" i="1" a="1"/>
  <c r="C350" i="1" s="1"/>
  <c r="I351" i="1" a="1"/>
  <c r="I351" i="1" s="1"/>
  <c r="I355" i="1" a="1"/>
  <c r="I355" i="1" s="1"/>
  <c r="N356" i="1" a="1"/>
  <c r="N356" i="1" s="1"/>
  <c r="G357" i="1" a="1"/>
  <c r="G357" i="1" s="1"/>
  <c r="J357" i="1" a="1"/>
  <c r="J357" i="1" s="1"/>
  <c r="C358" i="1" a="1"/>
  <c r="C358" i="1" s="1"/>
  <c r="N358" i="1" a="1"/>
  <c r="N358" i="1" s="1"/>
  <c r="G359" i="1" a="1"/>
  <c r="G359" i="1" s="1"/>
  <c r="J359" i="1" a="1"/>
  <c r="J359" i="1" s="1"/>
  <c r="C360" i="1" a="1"/>
  <c r="C360" i="1" s="1"/>
  <c r="N360" i="1" a="1"/>
  <c r="N360" i="1" s="1"/>
  <c r="G361" i="1" a="1"/>
  <c r="G361" i="1" s="1"/>
  <c r="J361" i="1" a="1"/>
  <c r="J361" i="1" s="1"/>
  <c r="C362" i="1" a="1"/>
  <c r="C362" i="1" s="1"/>
  <c r="N362" i="1" a="1"/>
  <c r="N362" i="1" s="1"/>
  <c r="G363" i="1" a="1"/>
  <c r="G363" i="1" s="1"/>
  <c r="J363" i="1" a="1"/>
  <c r="J363" i="1" s="1"/>
  <c r="C364" i="1" a="1"/>
  <c r="C364" i="1" s="1"/>
  <c r="N364" i="1" a="1"/>
  <c r="N364" i="1" s="1"/>
  <c r="G365" i="1" a="1"/>
  <c r="G365" i="1" s="1"/>
  <c r="J365" i="1" a="1"/>
  <c r="J365" i="1" s="1"/>
  <c r="C366" i="1" a="1"/>
  <c r="C366" i="1" s="1"/>
  <c r="N366" i="1" a="1"/>
  <c r="N366" i="1" s="1"/>
  <c r="G367" i="1" a="1"/>
  <c r="G367" i="1" s="1"/>
  <c r="J367" i="1" a="1"/>
  <c r="J367" i="1" s="1"/>
  <c r="C368" i="1" a="1"/>
  <c r="C368" i="1" s="1"/>
  <c r="N368" i="1" a="1"/>
  <c r="N368" i="1" s="1"/>
  <c r="G369" i="1" a="1"/>
  <c r="G369" i="1" s="1"/>
  <c r="J369" i="1" a="1"/>
  <c r="J369" i="1" s="1"/>
  <c r="C370" i="1" a="1"/>
  <c r="C370" i="1" s="1"/>
  <c r="N370" i="1" a="1"/>
  <c r="N370" i="1" s="1"/>
  <c r="G371" i="1" a="1"/>
  <c r="G371" i="1" s="1"/>
  <c r="J371" i="1" a="1"/>
  <c r="J371" i="1" s="1"/>
  <c r="C372" i="1" a="1"/>
  <c r="C372" i="1" s="1"/>
  <c r="N372" i="1" a="1"/>
  <c r="N372" i="1" s="1"/>
  <c r="G373" i="1" a="1"/>
  <c r="G373" i="1" s="1"/>
  <c r="J373" i="1" a="1"/>
  <c r="J373" i="1" s="1"/>
  <c r="C374" i="1" a="1"/>
  <c r="C374" i="1" s="1"/>
  <c r="N374" i="1" a="1"/>
  <c r="N374" i="1" s="1"/>
  <c r="G375" i="1" a="1"/>
  <c r="G375" i="1" s="1"/>
  <c r="J375" i="1" a="1"/>
  <c r="J375" i="1" s="1"/>
  <c r="C376" i="1" a="1"/>
  <c r="C376" i="1" s="1"/>
  <c r="N376" i="1" a="1"/>
  <c r="N376" i="1" s="1"/>
  <c r="G377" i="1" a="1"/>
  <c r="G377" i="1" s="1"/>
  <c r="J377" i="1" a="1"/>
  <c r="J377" i="1" s="1"/>
  <c r="C378" i="1" a="1"/>
  <c r="C378" i="1" s="1"/>
  <c r="N378" i="1" a="1"/>
  <c r="N378" i="1" s="1"/>
  <c r="G379" i="1" a="1"/>
  <c r="G379" i="1" s="1"/>
  <c r="J379" i="1" a="1"/>
  <c r="J379" i="1" s="1"/>
  <c r="C380" i="1" a="1"/>
  <c r="C380" i="1" s="1"/>
  <c r="N380" i="1" a="1"/>
  <c r="N380" i="1" s="1"/>
  <c r="G381" i="1" a="1"/>
  <c r="G381" i="1" s="1"/>
  <c r="J381" i="1" a="1"/>
  <c r="J381" i="1" s="1"/>
  <c r="C382" i="1" a="1"/>
  <c r="C382" i="1" s="1"/>
  <c r="N382" i="1" a="1"/>
  <c r="N382" i="1" s="1"/>
  <c r="G383" i="1" a="1"/>
  <c r="G383" i="1" s="1"/>
  <c r="J383" i="1" a="1"/>
  <c r="J383" i="1" s="1"/>
  <c r="C384" i="1" a="1"/>
  <c r="C384" i="1" s="1"/>
  <c r="N384" i="1" a="1"/>
  <c r="N384" i="1" s="1"/>
  <c r="G385" i="1" a="1"/>
  <c r="G385" i="1" s="1"/>
  <c r="J385" i="1" a="1"/>
  <c r="J385" i="1" s="1"/>
  <c r="C386" i="1" a="1"/>
  <c r="C386" i="1" s="1"/>
  <c r="L386" i="1" a="1"/>
  <c r="L386" i="1" s="1"/>
  <c r="N386" i="1" a="1"/>
  <c r="N386" i="1" s="1"/>
  <c r="G387" i="1" a="1"/>
  <c r="G387" i="1" s="1"/>
  <c r="J387" i="1" a="1"/>
  <c r="J387" i="1" s="1"/>
  <c r="C388" i="1" a="1"/>
  <c r="C388" i="1" s="1"/>
  <c r="L388" i="1" a="1"/>
  <c r="L388" i="1" s="1"/>
  <c r="N388" i="1" a="1"/>
  <c r="N388" i="1" s="1"/>
  <c r="F389" i="1" a="1"/>
  <c r="F389" i="1" s="1"/>
  <c r="M389" i="1"/>
  <c r="C390" i="1" a="1"/>
  <c r="C390" i="1" s="1"/>
  <c r="I390" i="1" a="1"/>
  <c r="I390" i="1" s="1"/>
  <c r="C392" i="1" a="1"/>
  <c r="C392" i="1" s="1"/>
  <c r="F392" i="1" a="1"/>
  <c r="F392" i="1" s="1"/>
  <c r="J392" i="1" a="1"/>
  <c r="J392" i="1" s="1"/>
  <c r="G345" i="1" a="1"/>
  <c r="G345" i="1" s="1"/>
  <c r="J349" i="1" a="1"/>
  <c r="J349" i="1" s="1"/>
  <c r="N350" i="1" a="1"/>
  <c r="N350" i="1" s="1"/>
  <c r="F351" i="1" a="1"/>
  <c r="F351" i="1" s="1"/>
  <c r="J351" i="1" a="1"/>
  <c r="J351" i="1" s="1"/>
  <c r="C352" i="1" a="1"/>
  <c r="C352" i="1" s="1"/>
  <c r="I353" i="1" a="1"/>
  <c r="I353" i="1" s="1"/>
  <c r="C355" i="1" a="1"/>
  <c r="C355" i="1" s="1"/>
  <c r="F355" i="1" a="1"/>
  <c r="F355" i="1" s="1"/>
  <c r="J355" i="1" a="1"/>
  <c r="J355" i="1" s="1"/>
  <c r="N355" i="1" a="1"/>
  <c r="N355" i="1" s="1"/>
  <c r="M356" i="1"/>
  <c r="F358" i="1" a="1"/>
  <c r="F358" i="1" s="1"/>
  <c r="I358" i="1" a="1"/>
  <c r="I358" i="1" s="1"/>
  <c r="M358" i="1"/>
  <c r="F360" i="1" a="1"/>
  <c r="F360" i="1" s="1"/>
  <c r="I360" i="1" a="1"/>
  <c r="I360" i="1" s="1"/>
  <c r="M360" i="1"/>
  <c r="F362" i="1" a="1"/>
  <c r="F362" i="1" s="1"/>
  <c r="I362" i="1" a="1"/>
  <c r="I362" i="1" s="1"/>
  <c r="M362" i="1"/>
  <c r="F364" i="1" a="1"/>
  <c r="F364" i="1" s="1"/>
  <c r="I364" i="1" a="1"/>
  <c r="I364" i="1" s="1"/>
  <c r="M364" i="1"/>
  <c r="F366" i="1" a="1"/>
  <c r="F366" i="1" s="1"/>
  <c r="I366" i="1" a="1"/>
  <c r="I366" i="1" s="1"/>
  <c r="M366" i="1"/>
  <c r="F368" i="1" a="1"/>
  <c r="F368" i="1" s="1"/>
  <c r="I368" i="1" a="1"/>
  <c r="I368" i="1" s="1"/>
  <c r="M368" i="1"/>
  <c r="F370" i="1" a="1"/>
  <c r="F370" i="1" s="1"/>
  <c r="I370" i="1" a="1"/>
  <c r="I370" i="1" s="1"/>
  <c r="M370" i="1"/>
  <c r="F372" i="1" a="1"/>
  <c r="F372" i="1" s="1"/>
  <c r="I372" i="1" a="1"/>
  <c r="I372" i="1" s="1"/>
  <c r="M372" i="1"/>
  <c r="F374" i="1" a="1"/>
  <c r="F374" i="1" s="1"/>
  <c r="I374" i="1" a="1"/>
  <c r="I374" i="1" s="1"/>
  <c r="M374" i="1"/>
  <c r="F376" i="1" a="1"/>
  <c r="F376" i="1" s="1"/>
  <c r="I376" i="1" a="1"/>
  <c r="I376" i="1" s="1"/>
  <c r="M376" i="1"/>
  <c r="F378" i="1" a="1"/>
  <c r="F378" i="1" s="1"/>
  <c r="I378" i="1" a="1"/>
  <c r="I378" i="1" s="1"/>
  <c r="M378" i="1"/>
  <c r="F380" i="1" a="1"/>
  <c r="F380" i="1" s="1"/>
  <c r="I380" i="1" a="1"/>
  <c r="I380" i="1" s="1"/>
  <c r="M380" i="1"/>
  <c r="F382" i="1" a="1"/>
  <c r="F382" i="1" s="1"/>
  <c r="I382" i="1" a="1"/>
  <c r="I382" i="1" s="1"/>
  <c r="M382" i="1"/>
  <c r="F384" i="1" a="1"/>
  <c r="F384" i="1" s="1"/>
  <c r="I384" i="1" a="1"/>
  <c r="I384" i="1" s="1"/>
  <c r="M384" i="1"/>
  <c r="F386" i="1" a="1"/>
  <c r="F386" i="1" s="1"/>
  <c r="I386" i="1" a="1"/>
  <c r="I386" i="1" s="1"/>
  <c r="M386" i="1"/>
  <c r="F388" i="1" a="1"/>
  <c r="F388" i="1" s="1"/>
  <c r="I388" i="1" a="1"/>
  <c r="I388" i="1" s="1"/>
  <c r="M388" i="1"/>
  <c r="G389" i="1" a="1"/>
  <c r="G389" i="1" s="1"/>
  <c r="J389" i="1" a="1"/>
  <c r="J389" i="1" s="1"/>
  <c r="F390" i="1" a="1"/>
  <c r="F390" i="1" s="1"/>
  <c r="J390" i="1" a="1"/>
  <c r="J390" i="1" s="1"/>
  <c r="M390" i="1"/>
  <c r="G392" i="1" a="1"/>
  <c r="G392" i="1" s="1"/>
  <c r="I393" i="1" a="1"/>
  <c r="I393" i="1" s="1"/>
  <c r="L393" i="1" a="1"/>
  <c r="L393" i="1" s="1"/>
  <c r="G394" i="1" a="1"/>
  <c r="G394" i="1" s="1"/>
  <c r="C395" i="1" a="1"/>
  <c r="C395" i="1" s="1"/>
  <c r="F395" i="1" a="1"/>
  <c r="F395" i="1" s="1"/>
  <c r="N344" i="1" a="1"/>
  <c r="N344" i="1" s="1"/>
  <c r="C346" i="1" a="1"/>
  <c r="C346" i="1" s="1"/>
  <c r="G347" i="1" a="1"/>
  <c r="G347" i="1" s="1"/>
  <c r="G351" i="1" a="1"/>
  <c r="G351" i="1" s="1"/>
  <c r="M351" i="1"/>
  <c r="N352" i="1" a="1"/>
  <c r="N352" i="1" s="1"/>
  <c r="F353" i="1" a="1"/>
  <c r="F353" i="1" s="1"/>
  <c r="J353" i="1" a="1"/>
  <c r="J353" i="1" s="1"/>
  <c r="C354" i="1" a="1"/>
  <c r="C354" i="1" s="1"/>
  <c r="G355" i="1" a="1"/>
  <c r="G355" i="1" s="1"/>
  <c r="J356" i="1" a="1"/>
  <c r="J356" i="1" s="1"/>
  <c r="C357" i="1" a="1"/>
  <c r="C357" i="1" s="1"/>
  <c r="N357" i="1" a="1"/>
  <c r="N357" i="1" s="1"/>
  <c r="G358" i="1" a="1"/>
  <c r="G358" i="1" s="1"/>
  <c r="J358" i="1" a="1"/>
  <c r="J358" i="1" s="1"/>
  <c r="C359" i="1" a="1"/>
  <c r="C359" i="1" s="1"/>
  <c r="N359" i="1" a="1"/>
  <c r="N359" i="1" s="1"/>
  <c r="G360" i="1" a="1"/>
  <c r="G360" i="1" s="1"/>
  <c r="J360" i="1" a="1"/>
  <c r="J360" i="1" s="1"/>
  <c r="C361" i="1" a="1"/>
  <c r="C361" i="1" s="1"/>
  <c r="N361" i="1" a="1"/>
  <c r="N361" i="1" s="1"/>
  <c r="G362" i="1" a="1"/>
  <c r="G362" i="1" s="1"/>
  <c r="J362" i="1" a="1"/>
  <c r="J362" i="1" s="1"/>
  <c r="C363" i="1" a="1"/>
  <c r="C363" i="1" s="1"/>
  <c r="N363" i="1" a="1"/>
  <c r="N363" i="1" s="1"/>
  <c r="G364" i="1" a="1"/>
  <c r="G364" i="1" s="1"/>
  <c r="J364" i="1" a="1"/>
  <c r="J364" i="1" s="1"/>
  <c r="C365" i="1" a="1"/>
  <c r="C365" i="1" s="1"/>
  <c r="N365" i="1" a="1"/>
  <c r="N365" i="1" s="1"/>
  <c r="G366" i="1" a="1"/>
  <c r="G366" i="1" s="1"/>
  <c r="J366" i="1" a="1"/>
  <c r="J366" i="1" s="1"/>
  <c r="C367" i="1" a="1"/>
  <c r="C367" i="1" s="1"/>
  <c r="N367" i="1" a="1"/>
  <c r="N367" i="1" s="1"/>
  <c r="G368" i="1" a="1"/>
  <c r="G368" i="1" s="1"/>
  <c r="J368" i="1" a="1"/>
  <c r="J368" i="1" s="1"/>
  <c r="C369" i="1" a="1"/>
  <c r="C369" i="1" s="1"/>
  <c r="N369" i="1" a="1"/>
  <c r="N369" i="1" s="1"/>
  <c r="G370" i="1" a="1"/>
  <c r="G370" i="1" s="1"/>
  <c r="J370" i="1" a="1"/>
  <c r="J370" i="1" s="1"/>
  <c r="C371" i="1" a="1"/>
  <c r="C371" i="1" s="1"/>
  <c r="N371" i="1" a="1"/>
  <c r="N371" i="1" s="1"/>
  <c r="G372" i="1" a="1"/>
  <c r="G372" i="1" s="1"/>
  <c r="J372" i="1" a="1"/>
  <c r="J372" i="1" s="1"/>
  <c r="C373" i="1" a="1"/>
  <c r="C373" i="1" s="1"/>
  <c r="N373" i="1" a="1"/>
  <c r="N373" i="1" s="1"/>
  <c r="G374" i="1" a="1"/>
  <c r="G374" i="1" s="1"/>
  <c r="J374" i="1" a="1"/>
  <c r="J374" i="1" s="1"/>
  <c r="C375" i="1" a="1"/>
  <c r="C375" i="1" s="1"/>
  <c r="N375" i="1" a="1"/>
  <c r="N375" i="1" s="1"/>
  <c r="G376" i="1" a="1"/>
  <c r="G376" i="1" s="1"/>
  <c r="J376" i="1" a="1"/>
  <c r="J376" i="1" s="1"/>
  <c r="C377" i="1" a="1"/>
  <c r="C377" i="1" s="1"/>
  <c r="N377" i="1" a="1"/>
  <c r="N377" i="1" s="1"/>
  <c r="G378" i="1" a="1"/>
  <c r="G378" i="1" s="1"/>
  <c r="J378" i="1" a="1"/>
  <c r="J378" i="1" s="1"/>
  <c r="C379" i="1" a="1"/>
  <c r="C379" i="1" s="1"/>
  <c r="N379" i="1" a="1"/>
  <c r="N379" i="1" s="1"/>
  <c r="G380" i="1" a="1"/>
  <c r="G380" i="1" s="1"/>
  <c r="J380" i="1" a="1"/>
  <c r="J380" i="1" s="1"/>
  <c r="C381" i="1" a="1"/>
  <c r="C381" i="1" s="1"/>
  <c r="N381" i="1" a="1"/>
  <c r="N381" i="1" s="1"/>
  <c r="G382" i="1" a="1"/>
  <c r="G382" i="1" s="1"/>
  <c r="J382" i="1" a="1"/>
  <c r="J382" i="1" s="1"/>
  <c r="C383" i="1" a="1"/>
  <c r="C383" i="1" s="1"/>
  <c r="N383" i="1" a="1"/>
  <c r="N383" i="1" s="1"/>
  <c r="G384" i="1" a="1"/>
  <c r="G384" i="1" s="1"/>
  <c r="J384" i="1" a="1"/>
  <c r="J384" i="1" s="1"/>
  <c r="C385" i="1" a="1"/>
  <c r="C385" i="1" s="1"/>
  <c r="N385" i="1" a="1"/>
  <c r="N385" i="1" s="1"/>
  <c r="J345" i="1" a="1"/>
  <c r="J345" i="1" s="1"/>
  <c r="N346" i="1" a="1"/>
  <c r="N346" i="1" s="1"/>
  <c r="C348" i="1" a="1"/>
  <c r="C348" i="1" s="1"/>
  <c r="G349" i="1" a="1"/>
  <c r="G349" i="1" s="1"/>
  <c r="G353" i="1" a="1"/>
  <c r="G353" i="1" s="1"/>
  <c r="M353" i="1"/>
  <c r="N354" i="1" a="1"/>
  <c r="N354" i="1" s="1"/>
  <c r="M355" i="1"/>
  <c r="C356" i="1" a="1"/>
  <c r="C356" i="1" s="1"/>
  <c r="G356" i="1" a="1"/>
  <c r="G356" i="1" s="1"/>
  <c r="F357" i="1" a="1"/>
  <c r="F357" i="1" s="1"/>
  <c r="I357" i="1" a="1"/>
  <c r="I357" i="1" s="1"/>
  <c r="M357" i="1"/>
  <c r="F359" i="1" a="1"/>
  <c r="F359" i="1" s="1"/>
  <c r="I359" i="1" a="1"/>
  <c r="I359" i="1" s="1"/>
  <c r="M359" i="1"/>
  <c r="F361" i="1" a="1"/>
  <c r="F361" i="1" s="1"/>
  <c r="I361" i="1" a="1"/>
  <c r="I361" i="1" s="1"/>
  <c r="M361" i="1"/>
  <c r="F363" i="1" a="1"/>
  <c r="F363" i="1" s="1"/>
  <c r="I363" i="1" a="1"/>
  <c r="I363" i="1" s="1"/>
  <c r="M363" i="1"/>
  <c r="F365" i="1" a="1"/>
  <c r="F365" i="1" s="1"/>
  <c r="I365" i="1" a="1"/>
  <c r="I365" i="1" s="1"/>
  <c r="M365" i="1"/>
  <c r="F367" i="1" a="1"/>
  <c r="F367" i="1" s="1"/>
  <c r="I367" i="1" a="1"/>
  <c r="I367" i="1" s="1"/>
  <c r="M367" i="1"/>
  <c r="F369" i="1" a="1"/>
  <c r="F369" i="1" s="1"/>
  <c r="I369" i="1" a="1"/>
  <c r="I369" i="1" s="1"/>
  <c r="M369" i="1"/>
  <c r="F371" i="1" a="1"/>
  <c r="F371" i="1" s="1"/>
  <c r="I371" i="1" a="1"/>
  <c r="I371" i="1" s="1"/>
  <c r="M371" i="1"/>
  <c r="F373" i="1" a="1"/>
  <c r="F373" i="1" s="1"/>
  <c r="I373" i="1" a="1"/>
  <c r="I373" i="1" s="1"/>
  <c r="M373" i="1"/>
  <c r="F375" i="1" a="1"/>
  <c r="F375" i="1" s="1"/>
  <c r="I375" i="1" a="1"/>
  <c r="I375" i="1" s="1"/>
  <c r="M375" i="1"/>
  <c r="F377" i="1" a="1"/>
  <c r="F377" i="1" s="1"/>
  <c r="I377" i="1" a="1"/>
  <c r="I377" i="1" s="1"/>
  <c r="M377" i="1"/>
  <c r="F379" i="1" a="1"/>
  <c r="F379" i="1" s="1"/>
  <c r="I379" i="1" a="1"/>
  <c r="I379" i="1" s="1"/>
  <c r="M379" i="1"/>
  <c r="F381" i="1" a="1"/>
  <c r="F381" i="1" s="1"/>
  <c r="I381" i="1" a="1"/>
  <c r="I381" i="1" s="1"/>
  <c r="M381" i="1"/>
  <c r="F383" i="1" a="1"/>
  <c r="F383" i="1" s="1"/>
  <c r="I383" i="1" a="1"/>
  <c r="I383" i="1" s="1"/>
  <c r="M383" i="1"/>
  <c r="F385" i="1" a="1"/>
  <c r="F385" i="1" s="1"/>
  <c r="I385" i="1" a="1"/>
  <c r="I385" i="1" s="1"/>
  <c r="M385" i="1"/>
  <c r="F387" i="1" a="1"/>
  <c r="F387" i="1" s="1"/>
  <c r="I387" i="1" a="1"/>
  <c r="I387" i="1" s="1"/>
  <c r="M387" i="1"/>
  <c r="I389" i="1" a="1"/>
  <c r="I389" i="1" s="1"/>
  <c r="L389" i="1" a="1"/>
  <c r="L389" i="1" s="1"/>
  <c r="L390" i="1" a="1"/>
  <c r="L390" i="1" s="1"/>
  <c r="N390" i="1" a="1"/>
  <c r="N390" i="1" s="1"/>
  <c r="G391" i="1" a="1"/>
  <c r="G391" i="1" s="1"/>
  <c r="J391" i="1" a="1"/>
  <c r="J391" i="1" s="1"/>
  <c r="M391" i="1"/>
  <c r="I392" i="1" a="1"/>
  <c r="I392" i="1" s="1"/>
  <c r="L392" i="1" a="1"/>
  <c r="L392" i="1" s="1"/>
  <c r="G393" i="1" a="1"/>
  <c r="G393" i="1" s="1"/>
  <c r="J393" i="1" a="1"/>
  <c r="J393" i="1" s="1"/>
  <c r="F394" i="1" a="1"/>
  <c r="F394" i="1" s="1"/>
  <c r="I394" i="1" a="1"/>
  <c r="I394" i="1" s="1"/>
  <c r="C396" i="1" a="1"/>
  <c r="C396" i="1" s="1"/>
  <c r="F396" i="1" a="1"/>
  <c r="F396" i="1" s="1"/>
  <c r="J396" i="1" a="1"/>
  <c r="J396" i="1" s="1"/>
  <c r="I397" i="1" a="1"/>
  <c r="I397" i="1" s="1"/>
  <c r="L397" i="1" a="1"/>
  <c r="L397" i="1" s="1"/>
  <c r="N397" i="1" a="1"/>
  <c r="N397" i="1" s="1"/>
  <c r="L398" i="1" a="1"/>
  <c r="L398" i="1" s="1"/>
  <c r="N398" i="1" a="1"/>
  <c r="N398" i="1" s="1"/>
  <c r="G400" i="1" a="1"/>
  <c r="G400" i="1" s="1"/>
  <c r="C387" i="1" a="1"/>
  <c r="C387" i="1" s="1"/>
  <c r="L387" i="1" a="1"/>
  <c r="L387" i="1" s="1"/>
  <c r="G388" i="1" a="1"/>
  <c r="G388" i="1" s="1"/>
  <c r="F391" i="1" a="1"/>
  <c r="F391" i="1" s="1"/>
  <c r="N391" i="1" a="1"/>
  <c r="N391" i="1" s="1"/>
  <c r="C393" i="1" a="1"/>
  <c r="C393" i="1" s="1"/>
  <c r="F393" i="1" a="1"/>
  <c r="F393" i="1" s="1"/>
  <c r="M393" i="1"/>
  <c r="N394" i="1" a="1"/>
  <c r="N394" i="1" s="1"/>
  <c r="J395" i="1" a="1"/>
  <c r="J395" i="1" s="1"/>
  <c r="I396" i="1" a="1"/>
  <c r="I396" i="1" s="1"/>
  <c r="N396" i="1" a="1"/>
  <c r="N396" i="1" s="1"/>
  <c r="M397" i="1"/>
  <c r="C398" i="1" a="1"/>
  <c r="C398" i="1" s="1"/>
  <c r="F398" i="1" a="1"/>
  <c r="F398" i="1" s="1"/>
  <c r="J398" i="1" a="1"/>
  <c r="J398" i="1" s="1"/>
  <c r="G399" i="1" a="1"/>
  <c r="G399" i="1" s="1"/>
  <c r="J399" i="1" a="1"/>
  <c r="J399" i="1" s="1"/>
  <c r="I400" i="1" a="1"/>
  <c r="I400" i="1" s="1"/>
  <c r="M400" i="1"/>
  <c r="I401" i="1" a="1"/>
  <c r="I401" i="1" s="1"/>
  <c r="L401" i="1" a="1"/>
  <c r="L401" i="1" s="1"/>
  <c r="N401" i="1" a="1"/>
  <c r="N401" i="1" s="1"/>
  <c r="L402" i="1" a="1"/>
  <c r="L402" i="1" s="1"/>
  <c r="G403" i="1" a="1"/>
  <c r="G403" i="1" s="1"/>
  <c r="J403" i="1" a="1"/>
  <c r="J403" i="1" s="1"/>
  <c r="G404" i="1" a="1"/>
  <c r="G404" i="1" s="1"/>
  <c r="G405" i="1" a="1"/>
  <c r="G405" i="1" s="1"/>
  <c r="M405" i="1"/>
  <c r="C406" i="1" a="1"/>
  <c r="C406" i="1" s="1"/>
  <c r="K406" i="1" a="1"/>
  <c r="K406" i="1" s="1"/>
  <c r="C407" i="1" a="1"/>
  <c r="C407" i="1" s="1"/>
  <c r="F407" i="1" a="1"/>
  <c r="F407" i="1" s="1"/>
  <c r="L407" i="1" a="1"/>
  <c r="L407" i="1" s="1"/>
  <c r="N407" i="1" a="1"/>
  <c r="N407" i="1" s="1"/>
  <c r="G408" i="1" a="1"/>
  <c r="G408" i="1" s="1"/>
  <c r="K408" i="1" a="1"/>
  <c r="K408" i="1" s="1"/>
  <c r="N408" i="1" a="1"/>
  <c r="N408" i="1" s="1"/>
  <c r="G409" i="1" a="1"/>
  <c r="G409" i="1" s="1"/>
  <c r="K409" i="1" a="1"/>
  <c r="K409" i="1" s="1"/>
  <c r="N409" i="1" a="1"/>
  <c r="N409" i="1" s="1"/>
  <c r="J410" i="1" a="1"/>
  <c r="J410" i="1" s="1"/>
  <c r="C411" i="1" a="1"/>
  <c r="C411" i="1" s="1"/>
  <c r="F411" i="1" a="1"/>
  <c r="F411" i="1" s="1"/>
  <c r="I411" i="1" a="1"/>
  <c r="I411" i="1" s="1"/>
  <c r="M411" i="1"/>
  <c r="L412" i="1" a="1"/>
  <c r="L412" i="1" s="1"/>
  <c r="G413" i="1" a="1"/>
  <c r="G413" i="1" s="1"/>
  <c r="K413" i="1" a="1"/>
  <c r="K413" i="1" s="1"/>
  <c r="N413" i="1" a="1"/>
  <c r="N413" i="1" s="1"/>
  <c r="J414" i="1" a="1"/>
  <c r="J414" i="1" s="1"/>
  <c r="C415" i="1" a="1"/>
  <c r="C415" i="1" s="1"/>
  <c r="F415" i="1" a="1"/>
  <c r="F415" i="1" s="1"/>
  <c r="I415" i="1" a="1"/>
  <c r="I415" i="1" s="1"/>
  <c r="M415" i="1"/>
  <c r="L416" i="1" a="1"/>
  <c r="L416" i="1" s="1"/>
  <c r="G417" i="1" a="1"/>
  <c r="G417" i="1" s="1"/>
  <c r="K417" i="1" a="1"/>
  <c r="K417" i="1" s="1"/>
  <c r="N417" i="1" a="1"/>
  <c r="N417" i="1" s="1"/>
  <c r="J418" i="1" a="1"/>
  <c r="J418" i="1" s="1"/>
  <c r="C419" i="1" a="1"/>
  <c r="C419" i="1" s="1"/>
  <c r="F419" i="1" a="1"/>
  <c r="F419" i="1" s="1"/>
  <c r="I419" i="1" a="1"/>
  <c r="I419" i="1" s="1"/>
  <c r="M419" i="1"/>
  <c r="L420" i="1" a="1"/>
  <c r="L420" i="1" s="1"/>
  <c r="L421" i="1" a="1"/>
  <c r="L421" i="1" s="1"/>
  <c r="I422" i="1" a="1"/>
  <c r="I422" i="1" s="1"/>
  <c r="M422" i="1"/>
  <c r="C423" i="1" a="1"/>
  <c r="C423" i="1" s="1"/>
  <c r="F423" i="1" a="1"/>
  <c r="F423" i="1" s="1"/>
  <c r="J423" i="1" a="1"/>
  <c r="J423" i="1" s="1"/>
  <c r="G424" i="1" a="1"/>
  <c r="G424" i="1" s="1"/>
  <c r="K424" i="1" a="1"/>
  <c r="K424" i="1" s="1"/>
  <c r="N424" i="1" a="1"/>
  <c r="N424" i="1" s="1"/>
  <c r="L425" i="1" a="1"/>
  <c r="L425" i="1" s="1"/>
  <c r="I426" i="1" a="1"/>
  <c r="I426" i="1" s="1"/>
  <c r="M426" i="1"/>
  <c r="C427" i="1" a="1"/>
  <c r="C427" i="1" s="1"/>
  <c r="F427" i="1" a="1"/>
  <c r="F427" i="1" s="1"/>
  <c r="J427" i="1" a="1"/>
  <c r="J427" i="1" s="1"/>
  <c r="G428" i="1" a="1"/>
  <c r="G428" i="1" s="1"/>
  <c r="K428" i="1" a="1"/>
  <c r="K428" i="1" s="1"/>
  <c r="N428" i="1" a="1"/>
  <c r="N428" i="1" s="1"/>
  <c r="L429" i="1" a="1"/>
  <c r="L429" i="1" s="1"/>
  <c r="L430" i="1" a="1"/>
  <c r="L430" i="1" s="1"/>
  <c r="L431" i="1" a="1"/>
  <c r="L431" i="1" s="1"/>
  <c r="L432" i="1" a="1"/>
  <c r="L432" i="1" s="1"/>
  <c r="L433" i="1" a="1"/>
  <c r="L433" i="1" s="1"/>
  <c r="I434" i="1" a="1"/>
  <c r="I434" i="1" s="1"/>
  <c r="M434" i="1"/>
  <c r="C435" i="1" a="1"/>
  <c r="C435" i="1" s="1"/>
  <c r="F435" i="1" a="1"/>
  <c r="F435" i="1" s="1"/>
  <c r="J435" i="1" a="1"/>
  <c r="J435" i="1" s="1"/>
  <c r="G436" i="1" a="1"/>
  <c r="G436" i="1" s="1"/>
  <c r="K436" i="1" a="1"/>
  <c r="K436" i="1" s="1"/>
  <c r="K437" i="1" a="1"/>
  <c r="K437" i="1" s="1"/>
  <c r="G438" i="1" a="1"/>
  <c r="G438" i="1" s="1"/>
  <c r="J438" i="1" a="1"/>
  <c r="J438" i="1" s="1"/>
  <c r="G439" i="1" a="1"/>
  <c r="G439" i="1" s="1"/>
  <c r="J439" i="1" a="1"/>
  <c r="J439" i="1" s="1"/>
  <c r="G440" i="1" a="1"/>
  <c r="G440" i="1" s="1"/>
  <c r="J440" i="1" a="1"/>
  <c r="J440" i="1" s="1"/>
  <c r="K441" i="1" a="1"/>
  <c r="K441" i="1" s="1"/>
  <c r="N441" i="1" a="1"/>
  <c r="N441" i="1" s="1"/>
  <c r="G442" i="1" a="1"/>
  <c r="G442" i="1" s="1"/>
  <c r="K442" i="1" a="1"/>
  <c r="K442" i="1" s="1"/>
  <c r="N442" i="1" a="1"/>
  <c r="N442" i="1" s="1"/>
  <c r="L443" i="1" a="1"/>
  <c r="L443" i="1" s="1"/>
  <c r="J386" i="1" a="1"/>
  <c r="J386" i="1" s="1"/>
  <c r="N387" i="1" a="1"/>
  <c r="N387" i="1" s="1"/>
  <c r="C389" i="1" a="1"/>
  <c r="C389" i="1" s="1"/>
  <c r="G390" i="1" a="1"/>
  <c r="G390" i="1" s="1"/>
  <c r="M392" i="1"/>
  <c r="N393" i="1" a="1"/>
  <c r="N393" i="1" s="1"/>
  <c r="J394" i="1" a="1"/>
  <c r="J394" i="1" s="1"/>
  <c r="G395" i="1" a="1"/>
  <c r="G395" i="1" s="1"/>
  <c r="N395" i="1" a="1"/>
  <c r="N395" i="1" s="1"/>
  <c r="J397" i="1" a="1"/>
  <c r="J397" i="1" s="1"/>
  <c r="G398" i="1" a="1"/>
  <c r="G398" i="1" s="1"/>
  <c r="N399" i="1" a="1"/>
  <c r="N399" i="1" s="1"/>
  <c r="J400" i="1" a="1"/>
  <c r="J400" i="1" s="1"/>
  <c r="N400" i="1" a="1"/>
  <c r="N400" i="1" s="1"/>
  <c r="F401" i="1" a="1"/>
  <c r="F401" i="1" s="1"/>
  <c r="J401" i="1" a="1"/>
  <c r="J401" i="1" s="1"/>
  <c r="M401" i="1"/>
  <c r="I402" i="1" a="1"/>
  <c r="I402" i="1" s="1"/>
  <c r="M402" i="1"/>
  <c r="C403" i="1" a="1"/>
  <c r="C403" i="1" s="1"/>
  <c r="N403" i="1" a="1"/>
  <c r="N403" i="1" s="1"/>
  <c r="N404" i="1" a="1"/>
  <c r="N404" i="1" s="1"/>
  <c r="J405" i="1" a="1"/>
  <c r="J405" i="1" s="1"/>
  <c r="F406" i="1" a="1"/>
  <c r="F406" i="1" s="1"/>
  <c r="I406" i="1" a="1"/>
  <c r="I406" i="1" s="1"/>
  <c r="L406" i="1" a="1"/>
  <c r="L406" i="1" s="1"/>
  <c r="N406" i="1" a="1"/>
  <c r="N406" i="1" s="1"/>
  <c r="G407" i="1" a="1"/>
  <c r="G407" i="1" s="1"/>
  <c r="J407" i="1" a="1"/>
  <c r="J407" i="1" s="1"/>
  <c r="M407" i="1"/>
  <c r="L408" i="1" a="1"/>
  <c r="L408" i="1" s="1"/>
  <c r="L409" i="1" a="1"/>
  <c r="L409" i="1" s="1"/>
  <c r="G410" i="1" a="1"/>
  <c r="G410" i="1" s="1"/>
  <c r="K410" i="1" a="1"/>
  <c r="K410" i="1" s="1"/>
  <c r="N410" i="1" a="1"/>
  <c r="N410" i="1" s="1"/>
  <c r="J411" i="1" a="1"/>
  <c r="J411" i="1" s="1"/>
  <c r="C412" i="1" a="1"/>
  <c r="C412" i="1" s="1"/>
  <c r="F412" i="1" a="1"/>
  <c r="F412" i="1" s="1"/>
  <c r="I412" i="1" a="1"/>
  <c r="I412" i="1" s="1"/>
  <c r="M412" i="1"/>
  <c r="L413" i="1" a="1"/>
  <c r="L413" i="1" s="1"/>
  <c r="G414" i="1" a="1"/>
  <c r="G414" i="1" s="1"/>
  <c r="K414" i="1" a="1"/>
  <c r="K414" i="1" s="1"/>
  <c r="N414" i="1" a="1"/>
  <c r="N414" i="1" s="1"/>
  <c r="J415" i="1" a="1"/>
  <c r="J415" i="1" s="1"/>
  <c r="C416" i="1" a="1"/>
  <c r="C416" i="1" s="1"/>
  <c r="F416" i="1" a="1"/>
  <c r="F416" i="1" s="1"/>
  <c r="I416" i="1" a="1"/>
  <c r="I416" i="1" s="1"/>
  <c r="M416" i="1"/>
  <c r="L417" i="1" a="1"/>
  <c r="L417" i="1" s="1"/>
  <c r="G418" i="1" a="1"/>
  <c r="G418" i="1" s="1"/>
  <c r="K418" i="1" a="1"/>
  <c r="K418" i="1" s="1"/>
  <c r="N418" i="1" a="1"/>
  <c r="N418" i="1" s="1"/>
  <c r="J419" i="1" a="1"/>
  <c r="J419" i="1" s="1"/>
  <c r="C420" i="1" a="1"/>
  <c r="C420" i="1" s="1"/>
  <c r="F420" i="1" a="1"/>
  <c r="F420" i="1" s="1"/>
  <c r="I420" i="1" a="1"/>
  <c r="I420" i="1" s="1"/>
  <c r="M420" i="1"/>
  <c r="I421" i="1" a="1"/>
  <c r="I421" i="1" s="1"/>
  <c r="M421" i="1"/>
  <c r="C422" i="1" a="1"/>
  <c r="C422" i="1" s="1"/>
  <c r="F422" i="1" a="1"/>
  <c r="F422" i="1" s="1"/>
  <c r="J422" i="1" a="1"/>
  <c r="J422" i="1" s="1"/>
  <c r="G423" i="1" a="1"/>
  <c r="G423" i="1" s="1"/>
  <c r="K423" i="1" a="1"/>
  <c r="K423" i="1" s="1"/>
  <c r="N423" i="1" a="1"/>
  <c r="N423" i="1" s="1"/>
  <c r="L424" i="1" a="1"/>
  <c r="L424" i="1" s="1"/>
  <c r="I425" i="1" a="1"/>
  <c r="I425" i="1" s="1"/>
  <c r="M425" i="1"/>
  <c r="C426" i="1" a="1"/>
  <c r="C426" i="1" s="1"/>
  <c r="F426" i="1" a="1"/>
  <c r="F426" i="1" s="1"/>
  <c r="J426" i="1" a="1"/>
  <c r="J426" i="1" s="1"/>
  <c r="G427" i="1" a="1"/>
  <c r="G427" i="1" s="1"/>
  <c r="K427" i="1" a="1"/>
  <c r="K427" i="1" s="1"/>
  <c r="N427" i="1" a="1"/>
  <c r="N427" i="1" s="1"/>
  <c r="L428" i="1" a="1"/>
  <c r="L428" i="1" s="1"/>
  <c r="I429" i="1" a="1"/>
  <c r="I429" i="1" s="1"/>
  <c r="M429" i="1"/>
  <c r="I430" i="1" a="1"/>
  <c r="I430" i="1" s="1"/>
  <c r="M430" i="1"/>
  <c r="C431" i="1" a="1"/>
  <c r="C431" i="1" s="1"/>
  <c r="F431" i="1" a="1"/>
  <c r="F431" i="1" s="1"/>
  <c r="I431" i="1" a="1"/>
  <c r="I431" i="1" s="1"/>
  <c r="M431" i="1"/>
  <c r="I432" i="1" a="1"/>
  <c r="I432" i="1" s="1"/>
  <c r="M432" i="1"/>
  <c r="C433" i="1" a="1"/>
  <c r="C433" i="1" s="1"/>
  <c r="F433" i="1" a="1"/>
  <c r="F433" i="1" s="1"/>
  <c r="I433" i="1" a="1"/>
  <c r="I433" i="1" s="1"/>
  <c r="M433" i="1"/>
  <c r="C434" i="1" a="1"/>
  <c r="C434" i="1" s="1"/>
  <c r="F434" i="1" a="1"/>
  <c r="F434" i="1" s="1"/>
  <c r="J434" i="1" a="1"/>
  <c r="J434" i="1" s="1"/>
  <c r="G435" i="1" a="1"/>
  <c r="G435" i="1" s="1"/>
  <c r="K435" i="1" a="1"/>
  <c r="K435" i="1" s="1"/>
  <c r="N435" i="1" a="1"/>
  <c r="N435" i="1" s="1"/>
  <c r="L436" i="1" a="1"/>
  <c r="L436" i="1" s="1"/>
  <c r="N436" i="1" a="1"/>
  <c r="N436" i="1" s="1"/>
  <c r="F437" i="1" a="1"/>
  <c r="F437" i="1" s="1"/>
  <c r="C438" i="1" a="1"/>
  <c r="C438" i="1" s="1"/>
  <c r="K438" i="1" a="1"/>
  <c r="K438" i="1" s="1"/>
  <c r="C439" i="1" a="1"/>
  <c r="C439" i="1" s="1"/>
  <c r="K439" i="1" a="1"/>
  <c r="K439" i="1" s="1"/>
  <c r="C440" i="1" a="1"/>
  <c r="C440" i="1" s="1"/>
  <c r="K440" i="1" a="1"/>
  <c r="K440" i="1" s="1"/>
  <c r="C441" i="1" a="1"/>
  <c r="C441" i="1" s="1"/>
  <c r="L441" i="1" a="1"/>
  <c r="L441" i="1" s="1"/>
  <c r="L442" i="1" a="1"/>
  <c r="L442" i="1" s="1"/>
  <c r="I443" i="1" a="1"/>
  <c r="I443" i="1" s="1"/>
  <c r="M443" i="1"/>
  <c r="C444" i="1" a="1"/>
  <c r="C444" i="1" s="1"/>
  <c r="F444" i="1" a="1"/>
  <c r="F444" i="1" s="1"/>
  <c r="J444" i="1" a="1"/>
  <c r="J444" i="1" s="1"/>
  <c r="G445" i="1" a="1"/>
  <c r="G445" i="1" s="1"/>
  <c r="K445" i="1" a="1"/>
  <c r="K445" i="1" s="1"/>
  <c r="N445" i="1" a="1"/>
  <c r="N445" i="1" s="1"/>
  <c r="L446" i="1" a="1"/>
  <c r="L446" i="1" s="1"/>
  <c r="I447" i="1" a="1"/>
  <c r="I447" i="1" s="1"/>
  <c r="M447" i="1"/>
  <c r="C448" i="1" a="1"/>
  <c r="C448" i="1" s="1"/>
  <c r="F448" i="1" a="1"/>
  <c r="F448" i="1" s="1"/>
  <c r="J448" i="1" a="1"/>
  <c r="J448" i="1" s="1"/>
  <c r="G449" i="1" a="1"/>
  <c r="G449" i="1" s="1"/>
  <c r="K449" i="1" a="1"/>
  <c r="K449" i="1" s="1"/>
  <c r="N449" i="1" a="1"/>
  <c r="N449" i="1" s="1"/>
  <c r="L450" i="1" a="1"/>
  <c r="L450" i="1" s="1"/>
  <c r="J388" i="1" a="1"/>
  <c r="J388" i="1" s="1"/>
  <c r="N389" i="1" a="1"/>
  <c r="N389" i="1" s="1"/>
  <c r="C391" i="1" a="1"/>
  <c r="C391" i="1" s="1"/>
  <c r="I391" i="1" a="1"/>
  <c r="I391" i="1" s="1"/>
  <c r="N392" i="1" a="1"/>
  <c r="N392" i="1" s="1"/>
  <c r="L394" i="1" a="1"/>
  <c r="L394" i="1" s="1"/>
  <c r="L395" i="1" a="1"/>
  <c r="L395" i="1" s="1"/>
  <c r="G396" i="1" a="1"/>
  <c r="G396" i="1" s="1"/>
  <c r="L396" i="1" a="1"/>
  <c r="L396" i="1" s="1"/>
  <c r="C397" i="1" a="1"/>
  <c r="C397" i="1" s="1"/>
  <c r="F397" i="1" a="1"/>
  <c r="F397" i="1" s="1"/>
  <c r="L399" i="1" a="1"/>
  <c r="L399" i="1" s="1"/>
  <c r="F400" i="1" a="1"/>
  <c r="F400" i="1" s="1"/>
  <c r="G401" i="1" a="1"/>
  <c r="G401" i="1" s="1"/>
  <c r="C402" i="1" a="1"/>
  <c r="C402" i="1" s="1"/>
  <c r="F402" i="1" a="1"/>
  <c r="F402" i="1" s="1"/>
  <c r="J402" i="1" a="1"/>
  <c r="J402" i="1" s="1"/>
  <c r="L403" i="1" a="1"/>
  <c r="L403" i="1" s="1"/>
  <c r="I404" i="1" a="1"/>
  <c r="I404" i="1" s="1"/>
  <c r="L404" i="1" a="1"/>
  <c r="L404" i="1" s="1"/>
  <c r="K405" i="1" a="1"/>
  <c r="K405" i="1" s="1"/>
  <c r="N405" i="1" a="1"/>
  <c r="N405" i="1" s="1"/>
  <c r="J406" i="1" a="1"/>
  <c r="J406" i="1" s="1"/>
  <c r="K407" i="1" a="1"/>
  <c r="K407" i="1" s="1"/>
  <c r="C408" i="1" a="1"/>
  <c r="C408" i="1" s="1"/>
  <c r="F408" i="1" a="1"/>
  <c r="F408" i="1" s="1"/>
  <c r="I408" i="1" a="1"/>
  <c r="I408" i="1" s="1"/>
  <c r="M408" i="1"/>
  <c r="C409" i="1" a="1"/>
  <c r="C409" i="1" s="1"/>
  <c r="I409" i="1" a="1"/>
  <c r="I409" i="1" s="1"/>
  <c r="M409" i="1"/>
  <c r="L410" i="1" a="1"/>
  <c r="L410" i="1" s="1"/>
  <c r="G411" i="1" a="1"/>
  <c r="G411" i="1" s="1"/>
  <c r="K411" i="1" a="1"/>
  <c r="K411" i="1" s="1"/>
  <c r="N411" i="1" a="1"/>
  <c r="N411" i="1" s="1"/>
  <c r="J412" i="1" a="1"/>
  <c r="J412" i="1" s="1"/>
  <c r="C413" i="1" a="1"/>
  <c r="C413" i="1" s="1"/>
  <c r="F413" i="1" a="1"/>
  <c r="F413" i="1" s="1"/>
  <c r="I413" i="1" a="1"/>
  <c r="I413" i="1" s="1"/>
  <c r="M413" i="1"/>
  <c r="L414" i="1" a="1"/>
  <c r="L414" i="1" s="1"/>
  <c r="G415" i="1" a="1"/>
  <c r="G415" i="1" s="1"/>
  <c r="K415" i="1" a="1"/>
  <c r="K415" i="1" s="1"/>
  <c r="N415" i="1" a="1"/>
  <c r="N415" i="1" s="1"/>
  <c r="J416" i="1" a="1"/>
  <c r="J416" i="1" s="1"/>
  <c r="C417" i="1" a="1"/>
  <c r="C417" i="1" s="1"/>
  <c r="F417" i="1" a="1"/>
  <c r="F417" i="1" s="1"/>
  <c r="I417" i="1" a="1"/>
  <c r="I417" i="1" s="1"/>
  <c r="M417" i="1"/>
  <c r="L418" i="1" a="1"/>
  <c r="L418" i="1" s="1"/>
  <c r="G419" i="1" a="1"/>
  <c r="G419" i="1" s="1"/>
  <c r="K419" i="1" a="1"/>
  <c r="K419" i="1" s="1"/>
  <c r="N419" i="1" a="1"/>
  <c r="N419" i="1" s="1"/>
  <c r="J420" i="1" a="1"/>
  <c r="J420" i="1" s="1"/>
  <c r="C421" i="1" a="1"/>
  <c r="C421" i="1" s="1"/>
  <c r="F421" i="1" a="1"/>
  <c r="F421" i="1" s="1"/>
  <c r="J421" i="1" a="1"/>
  <c r="J421" i="1" s="1"/>
  <c r="G422" i="1" a="1"/>
  <c r="G422" i="1" s="1"/>
  <c r="K422" i="1" a="1"/>
  <c r="K422" i="1" s="1"/>
  <c r="N422" i="1" a="1"/>
  <c r="N422" i="1" s="1"/>
  <c r="L423" i="1" a="1"/>
  <c r="L423" i="1" s="1"/>
  <c r="I424" i="1" a="1"/>
  <c r="I424" i="1" s="1"/>
  <c r="M424" i="1"/>
  <c r="C425" i="1" a="1"/>
  <c r="C425" i="1" s="1"/>
  <c r="F425" i="1" a="1"/>
  <c r="F425" i="1" s="1"/>
  <c r="J425" i="1" a="1"/>
  <c r="J425" i="1" s="1"/>
  <c r="G426" i="1" a="1"/>
  <c r="G426" i="1" s="1"/>
  <c r="K426" i="1" a="1"/>
  <c r="K426" i="1" s="1"/>
  <c r="N426" i="1" a="1"/>
  <c r="N426" i="1" s="1"/>
  <c r="L427" i="1" a="1"/>
  <c r="L427" i="1" s="1"/>
  <c r="I428" i="1" a="1"/>
  <c r="I428" i="1" s="1"/>
  <c r="M428" i="1"/>
  <c r="C429" i="1" a="1"/>
  <c r="C429" i="1" s="1"/>
  <c r="F429" i="1" a="1"/>
  <c r="F429" i="1" s="1"/>
  <c r="J429" i="1" a="1"/>
  <c r="J429" i="1" s="1"/>
  <c r="C430" i="1" a="1"/>
  <c r="C430" i="1" s="1"/>
  <c r="F430" i="1" a="1"/>
  <c r="F430" i="1" s="1"/>
  <c r="J430" i="1" a="1"/>
  <c r="J430" i="1" s="1"/>
  <c r="J431" i="1" a="1"/>
  <c r="J431" i="1" s="1"/>
  <c r="C432" i="1" a="1"/>
  <c r="C432" i="1" s="1"/>
  <c r="F432" i="1" a="1"/>
  <c r="F432" i="1" s="1"/>
  <c r="J432" i="1" a="1"/>
  <c r="J432" i="1" s="1"/>
  <c r="J433" i="1" a="1"/>
  <c r="J433" i="1" s="1"/>
  <c r="G434" i="1" a="1"/>
  <c r="G434" i="1" s="1"/>
  <c r="K434" i="1" a="1"/>
  <c r="K434" i="1" s="1"/>
  <c r="N434" i="1" a="1"/>
  <c r="N434" i="1" s="1"/>
  <c r="L435" i="1" a="1"/>
  <c r="L435" i="1" s="1"/>
  <c r="I436" i="1" a="1"/>
  <c r="I436" i="1" s="1"/>
  <c r="I437" i="1" a="1"/>
  <c r="I437" i="1" s="1"/>
  <c r="L437" i="1" a="1"/>
  <c r="L437" i="1" s="1"/>
  <c r="N437" i="1" a="1"/>
  <c r="N437" i="1" s="1"/>
  <c r="F438" i="1" a="1"/>
  <c r="F438" i="1" s="1"/>
  <c r="L438" i="1" a="1"/>
  <c r="L438" i="1" s="1"/>
  <c r="N438" i="1" a="1"/>
  <c r="N438" i="1" s="1"/>
  <c r="F439" i="1" a="1"/>
  <c r="F439" i="1" s="1"/>
  <c r="L439" i="1" a="1"/>
  <c r="L439" i="1" s="1"/>
  <c r="N439" i="1" a="1"/>
  <c r="N439" i="1" s="1"/>
  <c r="F440" i="1" a="1"/>
  <c r="F440" i="1" s="1"/>
  <c r="L440" i="1" a="1"/>
  <c r="L440" i="1" s="1"/>
  <c r="N440" i="1" a="1"/>
  <c r="N440" i="1" s="1"/>
  <c r="F441" i="1" a="1"/>
  <c r="F441" i="1" s="1"/>
  <c r="I441" i="1" a="1"/>
  <c r="I441" i="1" s="1"/>
  <c r="M441" i="1"/>
  <c r="I442" i="1" a="1"/>
  <c r="I442" i="1" s="1"/>
  <c r="M442" i="1"/>
  <c r="C443" i="1" a="1"/>
  <c r="C443" i="1" s="1"/>
  <c r="F443" i="1" a="1"/>
  <c r="F443" i="1" s="1"/>
  <c r="J443" i="1" a="1"/>
  <c r="J443" i="1" s="1"/>
  <c r="G444" i="1" a="1"/>
  <c r="G444" i="1" s="1"/>
  <c r="K444" i="1" a="1"/>
  <c r="K444" i="1" s="1"/>
  <c r="N444" i="1" a="1"/>
  <c r="N444" i="1" s="1"/>
  <c r="G386" i="1" a="1"/>
  <c r="G386" i="1" s="1"/>
  <c r="L391" i="1" a="1"/>
  <c r="L391" i="1" s="1"/>
  <c r="C394" i="1" a="1"/>
  <c r="C394" i="1" s="1"/>
  <c r="M394" i="1"/>
  <c r="I395" i="1" a="1"/>
  <c r="I395" i="1" s="1"/>
  <c r="M395" i="1"/>
  <c r="M396" i="1"/>
  <c r="G397" i="1" a="1"/>
  <c r="G397" i="1" s="1"/>
  <c r="I398" i="1" a="1"/>
  <c r="I398" i="1" s="1"/>
  <c r="M398" i="1"/>
  <c r="C399" i="1" a="1"/>
  <c r="C399" i="1" s="1"/>
  <c r="F399" i="1" a="1"/>
  <c r="F399" i="1" s="1"/>
  <c r="I399" i="1" a="1"/>
  <c r="I399" i="1" s="1"/>
  <c r="M399" i="1"/>
  <c r="C400" i="1" a="1"/>
  <c r="C400" i="1" s="1"/>
  <c r="L400" i="1" a="1"/>
  <c r="L400" i="1" s="1"/>
  <c r="C401" i="1" a="1"/>
  <c r="C401" i="1" s="1"/>
  <c r="G402" i="1" a="1"/>
  <c r="G402" i="1" s="1"/>
  <c r="N402" i="1" a="1"/>
  <c r="N402" i="1" s="1"/>
  <c r="F403" i="1" a="1"/>
  <c r="F403" i="1" s="1"/>
  <c r="I403" i="1" a="1"/>
  <c r="I403" i="1" s="1"/>
  <c r="M403" i="1"/>
  <c r="C404" i="1" a="1"/>
  <c r="C404" i="1" s="1"/>
  <c r="F404" i="1" a="1"/>
  <c r="F404" i="1" s="1"/>
  <c r="J404" i="1" a="1"/>
  <c r="J404" i="1" s="1"/>
  <c r="M404" i="1"/>
  <c r="C405" i="1" a="1"/>
  <c r="C405" i="1" s="1"/>
  <c r="F405" i="1" a="1"/>
  <c r="F405" i="1" s="1"/>
  <c r="I405" i="1" a="1"/>
  <c r="I405" i="1" s="1"/>
  <c r="L405" i="1" a="1"/>
  <c r="L405" i="1" s="1"/>
  <c r="G406" i="1" a="1"/>
  <c r="G406" i="1" s="1"/>
  <c r="M406" i="1"/>
  <c r="I407" i="1" a="1"/>
  <c r="I407" i="1" s="1"/>
  <c r="J408" i="1" a="1"/>
  <c r="J408" i="1" s="1"/>
  <c r="F409" i="1" a="1"/>
  <c r="F409" i="1" s="1"/>
  <c r="J409" i="1" a="1"/>
  <c r="J409" i="1" s="1"/>
  <c r="C410" i="1" a="1"/>
  <c r="C410" i="1" s="1"/>
  <c r="F410" i="1" a="1"/>
  <c r="F410" i="1" s="1"/>
  <c r="I410" i="1" a="1"/>
  <c r="I410" i="1" s="1"/>
  <c r="M410" i="1"/>
  <c r="L411" i="1" a="1"/>
  <c r="L411" i="1" s="1"/>
  <c r="G412" i="1" a="1"/>
  <c r="G412" i="1" s="1"/>
  <c r="K412" i="1" a="1"/>
  <c r="K412" i="1" s="1"/>
  <c r="N412" i="1" a="1"/>
  <c r="N412" i="1" s="1"/>
  <c r="J413" i="1" a="1"/>
  <c r="J413" i="1" s="1"/>
  <c r="C414" i="1" a="1"/>
  <c r="C414" i="1" s="1"/>
  <c r="F414" i="1" a="1"/>
  <c r="F414" i="1" s="1"/>
  <c r="I414" i="1" a="1"/>
  <c r="I414" i="1" s="1"/>
  <c r="M414" i="1"/>
  <c r="L415" i="1" a="1"/>
  <c r="L415" i="1" s="1"/>
  <c r="G416" i="1" a="1"/>
  <c r="G416" i="1" s="1"/>
  <c r="K416" i="1" a="1"/>
  <c r="K416" i="1" s="1"/>
  <c r="N416" i="1" a="1"/>
  <c r="N416" i="1" s="1"/>
  <c r="J417" i="1" a="1"/>
  <c r="J417" i="1" s="1"/>
  <c r="C418" i="1" a="1"/>
  <c r="C418" i="1" s="1"/>
  <c r="F418" i="1" a="1"/>
  <c r="F418" i="1" s="1"/>
  <c r="I418" i="1" a="1"/>
  <c r="I418" i="1" s="1"/>
  <c r="M418" i="1"/>
  <c r="L419" i="1" a="1"/>
  <c r="L419" i="1" s="1"/>
  <c r="G420" i="1" a="1"/>
  <c r="G420" i="1" s="1"/>
  <c r="K420" i="1" a="1"/>
  <c r="K420" i="1" s="1"/>
  <c r="N420" i="1" a="1"/>
  <c r="N420" i="1" s="1"/>
  <c r="G421" i="1" a="1"/>
  <c r="G421" i="1" s="1"/>
  <c r="K421" i="1" a="1"/>
  <c r="K421" i="1" s="1"/>
  <c r="N421" i="1" a="1"/>
  <c r="N421" i="1" s="1"/>
  <c r="L422" i="1" a="1"/>
  <c r="L422" i="1" s="1"/>
  <c r="I423" i="1" a="1"/>
  <c r="I423" i="1" s="1"/>
  <c r="M423" i="1"/>
  <c r="C424" i="1" a="1"/>
  <c r="C424" i="1" s="1"/>
  <c r="F424" i="1" a="1"/>
  <c r="F424" i="1" s="1"/>
  <c r="J424" i="1" a="1"/>
  <c r="J424" i="1" s="1"/>
  <c r="G425" i="1" a="1"/>
  <c r="G425" i="1" s="1"/>
  <c r="K425" i="1" a="1"/>
  <c r="K425" i="1" s="1"/>
  <c r="N425" i="1" a="1"/>
  <c r="N425" i="1" s="1"/>
  <c r="L426" i="1" a="1"/>
  <c r="L426" i="1" s="1"/>
  <c r="I427" i="1" a="1"/>
  <c r="I427" i="1" s="1"/>
  <c r="M427" i="1"/>
  <c r="C428" i="1" a="1"/>
  <c r="C428" i="1" s="1"/>
  <c r="F428" i="1" a="1"/>
  <c r="F428" i="1" s="1"/>
  <c r="J428" i="1" a="1"/>
  <c r="J428" i="1" s="1"/>
  <c r="G429" i="1" a="1"/>
  <c r="G429" i="1" s="1"/>
  <c r="K429" i="1" a="1"/>
  <c r="K429" i="1" s="1"/>
  <c r="N429" i="1" a="1"/>
  <c r="N429" i="1" s="1"/>
  <c r="G430" i="1" a="1"/>
  <c r="G430" i="1" s="1"/>
  <c r="K430" i="1" a="1"/>
  <c r="K430" i="1" s="1"/>
  <c r="N430" i="1" a="1"/>
  <c r="N430" i="1" s="1"/>
  <c r="G431" i="1" a="1"/>
  <c r="G431" i="1" s="1"/>
  <c r="K431" i="1" a="1"/>
  <c r="K431" i="1" s="1"/>
  <c r="N431" i="1" a="1"/>
  <c r="N431" i="1" s="1"/>
  <c r="G432" i="1" a="1"/>
  <c r="G432" i="1" s="1"/>
  <c r="K432" i="1" a="1"/>
  <c r="K432" i="1" s="1"/>
  <c r="N432" i="1" a="1"/>
  <c r="N432" i="1" s="1"/>
  <c r="G433" i="1" a="1"/>
  <c r="G433" i="1" s="1"/>
  <c r="K433" i="1" a="1"/>
  <c r="K433" i="1" s="1"/>
  <c r="N433" i="1" a="1"/>
  <c r="N433" i="1" s="1"/>
  <c r="L434" i="1" a="1"/>
  <c r="L434" i="1" s="1"/>
  <c r="I435" i="1" a="1"/>
  <c r="I435" i="1" s="1"/>
  <c r="M435" i="1"/>
  <c r="C436" i="1" a="1"/>
  <c r="C436" i="1" s="1"/>
  <c r="F436" i="1" a="1"/>
  <c r="F436" i="1" s="1"/>
  <c r="J436" i="1" a="1"/>
  <c r="J436" i="1" s="1"/>
  <c r="M436" i="1"/>
  <c r="C437" i="1" a="1"/>
  <c r="C437" i="1" s="1"/>
  <c r="G437" i="1" a="1"/>
  <c r="G437" i="1" s="1"/>
  <c r="J437" i="1" a="1"/>
  <c r="J437" i="1" s="1"/>
  <c r="M437" i="1"/>
  <c r="I438" i="1" a="1"/>
  <c r="I438" i="1" s="1"/>
  <c r="M438" i="1"/>
  <c r="I439" i="1" a="1"/>
  <c r="I439" i="1" s="1"/>
  <c r="M439" i="1"/>
  <c r="I440" i="1" a="1"/>
  <c r="I440" i="1" s="1"/>
  <c r="M440" i="1"/>
  <c r="G441" i="1" a="1"/>
  <c r="G441" i="1" s="1"/>
  <c r="J441" i="1" a="1"/>
  <c r="J441" i="1" s="1"/>
  <c r="C442" i="1" a="1"/>
  <c r="C442" i="1" s="1"/>
  <c r="F442" i="1" a="1"/>
  <c r="F442" i="1" s="1"/>
  <c r="J442" i="1" a="1"/>
  <c r="J442" i="1" s="1"/>
  <c r="G443" i="1" a="1"/>
  <c r="G443" i="1" s="1"/>
  <c r="K443" i="1" a="1"/>
  <c r="K443" i="1" s="1"/>
  <c r="N443" i="1" a="1"/>
  <c r="N443" i="1" s="1"/>
  <c r="L444" i="1" a="1"/>
  <c r="L444" i="1" s="1"/>
  <c r="I445" i="1" a="1"/>
  <c r="I445" i="1" s="1"/>
  <c r="M445" i="1"/>
  <c r="C446" i="1" a="1"/>
  <c r="C446" i="1" s="1"/>
  <c r="F446" i="1" a="1"/>
  <c r="F446" i="1" s="1"/>
  <c r="J446" i="1" a="1"/>
  <c r="J446" i="1" s="1"/>
  <c r="G447" i="1" a="1"/>
  <c r="G447" i="1" s="1"/>
  <c r="K447" i="1" a="1"/>
  <c r="K447" i="1" s="1"/>
  <c r="N447" i="1" a="1"/>
  <c r="N447" i="1" s="1"/>
  <c r="L448" i="1" a="1"/>
  <c r="L448" i="1" s="1"/>
  <c r="G446" i="1" a="1"/>
  <c r="G446" i="1" s="1"/>
  <c r="M446" i="1"/>
  <c r="L447" i="1" a="1"/>
  <c r="L447" i="1" s="1"/>
  <c r="I448" i="1" a="1"/>
  <c r="I448" i="1" s="1"/>
  <c r="M449" i="1"/>
  <c r="G450" i="1" a="1"/>
  <c r="G450" i="1" s="1"/>
  <c r="K450" i="1" a="1"/>
  <c r="K450" i="1" s="1"/>
  <c r="I451" i="1" a="1"/>
  <c r="I451" i="1" s="1"/>
  <c r="M451" i="1"/>
  <c r="C452" i="1" a="1"/>
  <c r="C452" i="1" s="1"/>
  <c r="F452" i="1" a="1"/>
  <c r="F452" i="1" s="1"/>
  <c r="J452" i="1" a="1"/>
  <c r="J452" i="1" s="1"/>
  <c r="G453" i="1" a="1"/>
  <c r="G453" i="1" s="1"/>
  <c r="K453" i="1" a="1"/>
  <c r="K453" i="1" s="1"/>
  <c r="N453" i="1" a="1"/>
  <c r="N453" i="1" s="1"/>
  <c r="L454" i="1" a="1"/>
  <c r="L454" i="1" s="1"/>
  <c r="I455" i="1" a="1"/>
  <c r="I455" i="1" s="1"/>
  <c r="M455" i="1"/>
  <c r="C456" i="1" a="1"/>
  <c r="C456" i="1" s="1"/>
  <c r="F456" i="1" a="1"/>
  <c r="F456" i="1" s="1"/>
  <c r="J456" i="1" a="1"/>
  <c r="J456" i="1" s="1"/>
  <c r="G457" i="1" a="1"/>
  <c r="G457" i="1" s="1"/>
  <c r="K457" i="1" a="1"/>
  <c r="K457" i="1" s="1"/>
  <c r="N457" i="1" a="1"/>
  <c r="N457" i="1" s="1"/>
  <c r="L458" i="1" a="1"/>
  <c r="L458" i="1" s="1"/>
  <c r="I459" i="1" a="1"/>
  <c r="I459" i="1" s="1"/>
  <c r="M459" i="1"/>
  <c r="C460" i="1" a="1"/>
  <c r="C460" i="1" s="1"/>
  <c r="F460" i="1" a="1"/>
  <c r="F460" i="1" s="1"/>
  <c r="J460" i="1" a="1"/>
  <c r="J460" i="1" s="1"/>
  <c r="G461" i="1" a="1"/>
  <c r="G461" i="1" s="1"/>
  <c r="K461" i="1" a="1"/>
  <c r="K461" i="1" s="1"/>
  <c r="N461" i="1" a="1"/>
  <c r="N461" i="1" s="1"/>
  <c r="L462" i="1" a="1"/>
  <c r="L462" i="1" s="1"/>
  <c r="I463" i="1" a="1"/>
  <c r="I463" i="1" s="1"/>
  <c r="M463" i="1"/>
  <c r="C464" i="1" a="1"/>
  <c r="C464" i="1" s="1"/>
  <c r="F464" i="1" a="1"/>
  <c r="F464" i="1" s="1"/>
  <c r="J464" i="1" a="1"/>
  <c r="J464" i="1" s="1"/>
  <c r="G465" i="1" a="1"/>
  <c r="G465" i="1" s="1"/>
  <c r="K465" i="1" a="1"/>
  <c r="K465" i="1" s="1"/>
  <c r="N465" i="1" a="1"/>
  <c r="N465" i="1" s="1"/>
  <c r="L466" i="1" a="1"/>
  <c r="L466" i="1" s="1"/>
  <c r="I467" i="1" a="1"/>
  <c r="I467" i="1" s="1"/>
  <c r="M467" i="1"/>
  <c r="C468" i="1" a="1"/>
  <c r="C468" i="1" s="1"/>
  <c r="F468" i="1" a="1"/>
  <c r="F468" i="1" s="1"/>
  <c r="J468" i="1" a="1"/>
  <c r="J468" i="1" s="1"/>
  <c r="G469" i="1" a="1"/>
  <c r="G469" i="1" s="1"/>
  <c r="K469" i="1" a="1"/>
  <c r="K469" i="1" s="1"/>
  <c r="N469" i="1" a="1"/>
  <c r="N469" i="1" s="1"/>
  <c r="L470" i="1" a="1"/>
  <c r="L470" i="1" s="1"/>
  <c r="I471" i="1" a="1"/>
  <c r="I471" i="1" s="1"/>
  <c r="M471" i="1"/>
  <c r="C472" i="1" a="1"/>
  <c r="C472" i="1" s="1"/>
  <c r="F472" i="1" a="1"/>
  <c r="F472" i="1" s="1"/>
  <c r="J472" i="1" a="1"/>
  <c r="J472" i="1" s="1"/>
  <c r="G473" i="1" a="1"/>
  <c r="G473" i="1" s="1"/>
  <c r="K473" i="1" a="1"/>
  <c r="K473" i="1" s="1"/>
  <c r="N473" i="1" a="1"/>
  <c r="N473" i="1" s="1"/>
  <c r="L474" i="1" a="1"/>
  <c r="L474" i="1" s="1"/>
  <c r="I475" i="1" a="1"/>
  <c r="I475" i="1" s="1"/>
  <c r="M475" i="1"/>
  <c r="C476" i="1" a="1"/>
  <c r="C476" i="1" s="1"/>
  <c r="F476" i="1" a="1"/>
  <c r="F476" i="1" s="1"/>
  <c r="J476" i="1" a="1"/>
  <c r="J476" i="1" s="1"/>
  <c r="G477" i="1" a="1"/>
  <c r="G477" i="1" s="1"/>
  <c r="K477" i="1" a="1"/>
  <c r="K477" i="1" s="1"/>
  <c r="N477" i="1" a="1"/>
  <c r="N477" i="1" s="1"/>
  <c r="L478" i="1" a="1"/>
  <c r="L478" i="1" s="1"/>
  <c r="I479" i="1" a="1"/>
  <c r="I479" i="1" s="1"/>
  <c r="M479" i="1"/>
  <c r="C480" i="1" a="1"/>
  <c r="C480" i="1" s="1"/>
  <c r="F480" i="1" a="1"/>
  <c r="F480" i="1" s="1"/>
  <c r="J480" i="1" a="1"/>
  <c r="J480" i="1" s="1"/>
  <c r="G481" i="1" a="1"/>
  <c r="G481" i="1" s="1"/>
  <c r="K481" i="1" a="1"/>
  <c r="K481" i="1" s="1"/>
  <c r="N481" i="1" a="1"/>
  <c r="N481" i="1" s="1"/>
  <c r="L482" i="1" a="1"/>
  <c r="L482" i="1" s="1"/>
  <c r="I483" i="1" a="1"/>
  <c r="I483" i="1" s="1"/>
  <c r="M483" i="1"/>
  <c r="C484" i="1" a="1"/>
  <c r="C484" i="1" s="1"/>
  <c r="F484" i="1" a="1"/>
  <c r="F484" i="1" s="1"/>
  <c r="I484" i="1" a="1"/>
  <c r="I484" i="1" s="1"/>
  <c r="M484" i="1"/>
  <c r="I485" i="1" a="1"/>
  <c r="I485" i="1" s="1"/>
  <c r="M485" i="1"/>
  <c r="C486" i="1" a="1"/>
  <c r="C486" i="1" s="1"/>
  <c r="F486" i="1" a="1"/>
  <c r="F486" i="1" s="1"/>
  <c r="I486" i="1" a="1"/>
  <c r="I486" i="1" s="1"/>
  <c r="M486" i="1"/>
  <c r="I487" i="1" a="1"/>
  <c r="I487" i="1" s="1"/>
  <c r="M487" i="1"/>
  <c r="C488" i="1" a="1"/>
  <c r="C488" i="1" s="1"/>
  <c r="F488" i="1" a="1"/>
  <c r="F488" i="1" s="1"/>
  <c r="I488" i="1" a="1"/>
  <c r="I488" i="1" s="1"/>
  <c r="M488" i="1"/>
  <c r="I489" i="1" a="1"/>
  <c r="I489" i="1" s="1"/>
  <c r="M489" i="1"/>
  <c r="L490" i="1" a="1"/>
  <c r="L490" i="1" s="1"/>
  <c r="G491" i="1" a="1"/>
  <c r="G491" i="1" s="1"/>
  <c r="K491" i="1" a="1"/>
  <c r="K491" i="1" s="1"/>
  <c r="N491" i="1" a="1"/>
  <c r="N491" i="1" s="1"/>
  <c r="G492" i="1" a="1"/>
  <c r="G492" i="1" s="1"/>
  <c r="K492" i="1" a="1"/>
  <c r="K492" i="1" s="1"/>
  <c r="N492" i="1" a="1"/>
  <c r="N492" i="1" s="1"/>
  <c r="L493" i="1" a="1"/>
  <c r="L493" i="1" s="1"/>
  <c r="I494" i="1" a="1"/>
  <c r="I494" i="1" s="1"/>
  <c r="M494" i="1"/>
  <c r="C495" i="1" a="1"/>
  <c r="C495" i="1" s="1"/>
  <c r="F495" i="1" a="1"/>
  <c r="F495" i="1" s="1"/>
  <c r="J495" i="1" a="1"/>
  <c r="J495" i="1" s="1"/>
  <c r="G496" i="1" a="1"/>
  <c r="G496" i="1" s="1"/>
  <c r="K496" i="1" a="1"/>
  <c r="K496" i="1" s="1"/>
  <c r="N496" i="1" a="1"/>
  <c r="N496" i="1" s="1"/>
  <c r="L497" i="1" a="1"/>
  <c r="L497" i="1" s="1"/>
  <c r="I498" i="1" a="1"/>
  <c r="I498" i="1" s="1"/>
  <c r="M498" i="1"/>
  <c r="C499" i="1" a="1"/>
  <c r="C499" i="1" s="1"/>
  <c r="F499" i="1" a="1"/>
  <c r="F499" i="1" s="1"/>
  <c r="J499" i="1" a="1"/>
  <c r="J499" i="1" s="1"/>
  <c r="G500" i="1" a="1"/>
  <c r="G500" i="1" s="1"/>
  <c r="K500" i="1" a="1"/>
  <c r="K500" i="1" s="1"/>
  <c r="N500" i="1" a="1"/>
  <c r="N500" i="1" s="1"/>
  <c r="L501" i="1" a="1"/>
  <c r="L501" i="1" s="1"/>
  <c r="I502" i="1" a="1"/>
  <c r="I502" i="1" s="1"/>
  <c r="M502" i="1"/>
  <c r="C503" i="1" a="1"/>
  <c r="C503" i="1" s="1"/>
  <c r="F503" i="1" a="1"/>
  <c r="F503" i="1" s="1"/>
  <c r="J503" i="1" a="1"/>
  <c r="J503" i="1" s="1"/>
  <c r="G504" i="1" a="1"/>
  <c r="G504" i="1" s="1"/>
  <c r="K504" i="1" a="1"/>
  <c r="K504" i="1" s="1"/>
  <c r="N504" i="1" a="1"/>
  <c r="N504" i="1" s="1"/>
  <c r="L505" i="1" a="1"/>
  <c r="L505" i="1" s="1"/>
  <c r="I506" i="1" a="1"/>
  <c r="I506" i="1" s="1"/>
  <c r="M506" i="1"/>
  <c r="C507" i="1" a="1"/>
  <c r="C507" i="1" s="1"/>
  <c r="F507" i="1" a="1"/>
  <c r="F507" i="1" s="1"/>
  <c r="J507" i="1" a="1"/>
  <c r="J507" i="1" s="1"/>
  <c r="G508" i="1" a="1"/>
  <c r="G508" i="1" s="1"/>
  <c r="K508" i="1" a="1"/>
  <c r="K508" i="1" s="1"/>
  <c r="N508" i="1" a="1"/>
  <c r="N508" i="1" s="1"/>
  <c r="L509" i="1" a="1"/>
  <c r="L509" i="1" s="1"/>
  <c r="I510" i="1" a="1"/>
  <c r="I510" i="1" s="1"/>
  <c r="M510" i="1"/>
  <c r="C511" i="1" a="1"/>
  <c r="C511" i="1" s="1"/>
  <c r="F511" i="1" a="1"/>
  <c r="F511" i="1" s="1"/>
  <c r="J511" i="1" a="1"/>
  <c r="J511" i="1" s="1"/>
  <c r="G512" i="1" a="1"/>
  <c r="G512" i="1" s="1"/>
  <c r="K512" i="1" a="1"/>
  <c r="K512" i="1" s="1"/>
  <c r="N512" i="1" a="1"/>
  <c r="N512" i="1" s="1"/>
  <c r="L513" i="1" a="1"/>
  <c r="L513" i="1" s="1"/>
  <c r="I514" i="1" a="1"/>
  <c r="I514" i="1" s="1"/>
  <c r="M514" i="1"/>
  <c r="C515" i="1" a="1"/>
  <c r="C515" i="1" s="1"/>
  <c r="F515" i="1" a="1"/>
  <c r="F515" i="1" s="1"/>
  <c r="J515" i="1" a="1"/>
  <c r="J515" i="1" s="1"/>
  <c r="G516" i="1" a="1"/>
  <c r="G516" i="1" s="1"/>
  <c r="K516" i="1" a="1"/>
  <c r="K516" i="1" s="1"/>
  <c r="N516" i="1" a="1"/>
  <c r="N516" i="1" s="1"/>
  <c r="L517" i="1" a="1"/>
  <c r="L517" i="1" s="1"/>
  <c r="I518" i="1" a="1"/>
  <c r="I518" i="1" s="1"/>
  <c r="M518" i="1"/>
  <c r="C519" i="1" a="1"/>
  <c r="C519" i="1" s="1"/>
  <c r="F519" i="1" a="1"/>
  <c r="F519" i="1" s="1"/>
  <c r="J519" i="1" a="1"/>
  <c r="J519" i="1" s="1"/>
  <c r="G520" i="1" a="1"/>
  <c r="G520" i="1" s="1"/>
  <c r="K520" i="1" a="1"/>
  <c r="K520" i="1" s="1"/>
  <c r="N520" i="1" a="1"/>
  <c r="N520" i="1" s="1"/>
  <c r="L521" i="1" a="1"/>
  <c r="L521" i="1" s="1"/>
  <c r="I522" i="1" a="1"/>
  <c r="I522" i="1" s="1"/>
  <c r="M522" i="1"/>
  <c r="C523" i="1" a="1"/>
  <c r="C523" i="1" s="1"/>
  <c r="F523" i="1" a="1"/>
  <c r="F523" i="1" s="1"/>
  <c r="J523" i="1" a="1"/>
  <c r="J523" i="1" s="1"/>
  <c r="G524" i="1" a="1"/>
  <c r="G524" i="1" s="1"/>
  <c r="K524" i="1" a="1"/>
  <c r="K524" i="1" s="1"/>
  <c r="N524" i="1" a="1"/>
  <c r="N524" i="1" s="1"/>
  <c r="L525" i="1" a="1"/>
  <c r="L525" i="1" s="1"/>
  <c r="I526" i="1" a="1"/>
  <c r="I526" i="1" s="1"/>
  <c r="M526" i="1"/>
  <c r="C527" i="1" a="1"/>
  <c r="C527" i="1" s="1"/>
  <c r="F527" i="1" a="1"/>
  <c r="F527" i="1" s="1"/>
  <c r="J527" i="1" a="1"/>
  <c r="J527" i="1" s="1"/>
  <c r="G528" i="1" a="1"/>
  <c r="G528" i="1" s="1"/>
  <c r="K528" i="1" a="1"/>
  <c r="K528" i="1" s="1"/>
  <c r="N528" i="1" a="1"/>
  <c r="N528" i="1" s="1"/>
  <c r="L529" i="1" a="1"/>
  <c r="L529" i="1" s="1"/>
  <c r="I530" i="1" a="1"/>
  <c r="I530" i="1" s="1"/>
  <c r="M530" i="1"/>
  <c r="C531" i="1" a="1"/>
  <c r="C531" i="1" s="1"/>
  <c r="F531" i="1" a="1"/>
  <c r="F531" i="1" s="1"/>
  <c r="J531" i="1" a="1"/>
  <c r="J531" i="1" s="1"/>
  <c r="G532" i="1" a="1"/>
  <c r="G532" i="1" s="1"/>
  <c r="K532" i="1" a="1"/>
  <c r="K532" i="1" s="1"/>
  <c r="N532" i="1" a="1"/>
  <c r="N532" i="1" s="1"/>
  <c r="L533" i="1" a="1"/>
  <c r="L533" i="1" s="1"/>
  <c r="I534" i="1" a="1"/>
  <c r="I534" i="1" s="1"/>
  <c r="M534" i="1"/>
  <c r="C535" i="1" a="1"/>
  <c r="C535" i="1" s="1"/>
  <c r="F535" i="1" a="1"/>
  <c r="F535" i="1" s="1"/>
  <c r="J535" i="1" a="1"/>
  <c r="J535" i="1" s="1"/>
  <c r="G536" i="1" a="1"/>
  <c r="G536" i="1" s="1"/>
  <c r="K536" i="1" a="1"/>
  <c r="K536" i="1" s="1"/>
  <c r="N536" i="1" a="1"/>
  <c r="N536" i="1" s="1"/>
  <c r="L537" i="1" a="1"/>
  <c r="L537" i="1" s="1"/>
  <c r="I538" i="1" a="1"/>
  <c r="I538" i="1" s="1"/>
  <c r="M538" i="1"/>
  <c r="C539" i="1" a="1"/>
  <c r="C539" i="1" s="1"/>
  <c r="F539" i="1" a="1"/>
  <c r="F539" i="1" s="1"/>
  <c r="J539" i="1" a="1"/>
  <c r="J539" i="1" s="1"/>
  <c r="G540" i="1" a="1"/>
  <c r="G540" i="1" s="1"/>
  <c r="K540" i="1" a="1"/>
  <c r="K540" i="1" s="1"/>
  <c r="N540" i="1" a="1"/>
  <c r="N540" i="1" s="1"/>
  <c r="L541" i="1" a="1"/>
  <c r="L541" i="1" s="1"/>
  <c r="I542" i="1" a="1"/>
  <c r="I542" i="1" s="1"/>
  <c r="M542" i="1"/>
  <c r="C445" i="1" a="1"/>
  <c r="C445" i="1" s="1"/>
  <c r="J445" i="1" a="1"/>
  <c r="J445" i="1" s="1"/>
  <c r="N446" i="1" a="1"/>
  <c r="N446" i="1" s="1"/>
  <c r="F447" i="1" a="1"/>
  <c r="F447" i="1" s="1"/>
  <c r="K448" i="1" a="1"/>
  <c r="K448" i="1" s="1"/>
  <c r="C449" i="1" a="1"/>
  <c r="C449" i="1" s="1"/>
  <c r="I449" i="1" a="1"/>
  <c r="I449" i="1" s="1"/>
  <c r="M450" i="1"/>
  <c r="C451" i="1" a="1"/>
  <c r="C451" i="1" s="1"/>
  <c r="F451" i="1" a="1"/>
  <c r="F451" i="1" s="1"/>
  <c r="J451" i="1" a="1"/>
  <c r="J451" i="1" s="1"/>
  <c r="G452" i="1" a="1"/>
  <c r="G452" i="1" s="1"/>
  <c r="K452" i="1" a="1"/>
  <c r="K452" i="1" s="1"/>
  <c r="N452" i="1" a="1"/>
  <c r="N452" i="1" s="1"/>
  <c r="L453" i="1" a="1"/>
  <c r="L453" i="1" s="1"/>
  <c r="I454" i="1" a="1"/>
  <c r="I454" i="1" s="1"/>
  <c r="M454" i="1"/>
  <c r="C455" i="1" a="1"/>
  <c r="C455" i="1" s="1"/>
  <c r="F455" i="1" a="1"/>
  <c r="F455" i="1" s="1"/>
  <c r="J455" i="1" a="1"/>
  <c r="J455" i="1" s="1"/>
  <c r="G456" i="1" a="1"/>
  <c r="G456" i="1" s="1"/>
  <c r="K456" i="1" a="1"/>
  <c r="K456" i="1" s="1"/>
  <c r="N456" i="1" a="1"/>
  <c r="N456" i="1" s="1"/>
  <c r="L457" i="1" a="1"/>
  <c r="L457" i="1" s="1"/>
  <c r="I458" i="1" a="1"/>
  <c r="I458" i="1" s="1"/>
  <c r="M458" i="1"/>
  <c r="C459" i="1" a="1"/>
  <c r="C459" i="1" s="1"/>
  <c r="F459" i="1" a="1"/>
  <c r="F459" i="1" s="1"/>
  <c r="J459" i="1" a="1"/>
  <c r="J459" i="1" s="1"/>
  <c r="G460" i="1" a="1"/>
  <c r="G460" i="1" s="1"/>
  <c r="K460" i="1" a="1"/>
  <c r="K460" i="1" s="1"/>
  <c r="N460" i="1" a="1"/>
  <c r="N460" i="1" s="1"/>
  <c r="L461" i="1" a="1"/>
  <c r="L461" i="1" s="1"/>
  <c r="I462" i="1" a="1"/>
  <c r="I462" i="1" s="1"/>
  <c r="M462" i="1"/>
  <c r="C463" i="1" a="1"/>
  <c r="C463" i="1" s="1"/>
  <c r="F463" i="1" a="1"/>
  <c r="F463" i="1" s="1"/>
  <c r="J463" i="1" a="1"/>
  <c r="J463" i="1" s="1"/>
  <c r="G464" i="1" a="1"/>
  <c r="G464" i="1" s="1"/>
  <c r="K464" i="1" a="1"/>
  <c r="K464" i="1" s="1"/>
  <c r="N464" i="1" a="1"/>
  <c r="N464" i="1" s="1"/>
  <c r="L465" i="1" a="1"/>
  <c r="L465" i="1" s="1"/>
  <c r="I466" i="1" a="1"/>
  <c r="I466" i="1" s="1"/>
  <c r="M466" i="1"/>
  <c r="C467" i="1" a="1"/>
  <c r="C467" i="1" s="1"/>
  <c r="F467" i="1" a="1"/>
  <c r="F467" i="1" s="1"/>
  <c r="J467" i="1" a="1"/>
  <c r="J467" i="1" s="1"/>
  <c r="G468" i="1" a="1"/>
  <c r="G468" i="1" s="1"/>
  <c r="K468" i="1" a="1"/>
  <c r="K468" i="1" s="1"/>
  <c r="N468" i="1" a="1"/>
  <c r="N468" i="1" s="1"/>
  <c r="L469" i="1" a="1"/>
  <c r="L469" i="1" s="1"/>
  <c r="I470" i="1" a="1"/>
  <c r="I470" i="1" s="1"/>
  <c r="M470" i="1"/>
  <c r="C471" i="1" a="1"/>
  <c r="C471" i="1" s="1"/>
  <c r="F471" i="1" a="1"/>
  <c r="F471" i="1" s="1"/>
  <c r="J471" i="1" a="1"/>
  <c r="J471" i="1" s="1"/>
  <c r="G472" i="1" a="1"/>
  <c r="G472" i="1" s="1"/>
  <c r="K472" i="1" a="1"/>
  <c r="K472" i="1" s="1"/>
  <c r="N472" i="1" a="1"/>
  <c r="N472" i="1" s="1"/>
  <c r="L473" i="1" a="1"/>
  <c r="L473" i="1" s="1"/>
  <c r="I474" i="1" a="1"/>
  <c r="I474" i="1" s="1"/>
  <c r="M474" i="1"/>
  <c r="C475" i="1" a="1"/>
  <c r="C475" i="1" s="1"/>
  <c r="F475" i="1" a="1"/>
  <c r="F475" i="1" s="1"/>
  <c r="J475" i="1" a="1"/>
  <c r="J475" i="1" s="1"/>
  <c r="G476" i="1" a="1"/>
  <c r="G476" i="1" s="1"/>
  <c r="K476" i="1" a="1"/>
  <c r="K476" i="1" s="1"/>
  <c r="N476" i="1" a="1"/>
  <c r="N476" i="1" s="1"/>
  <c r="L477" i="1" a="1"/>
  <c r="L477" i="1" s="1"/>
  <c r="I478" i="1" a="1"/>
  <c r="I478" i="1" s="1"/>
  <c r="M478" i="1"/>
  <c r="C479" i="1" a="1"/>
  <c r="C479" i="1" s="1"/>
  <c r="F479" i="1" a="1"/>
  <c r="F479" i="1" s="1"/>
  <c r="J479" i="1" a="1"/>
  <c r="J479" i="1" s="1"/>
  <c r="G480" i="1" a="1"/>
  <c r="G480" i="1" s="1"/>
  <c r="K480" i="1" a="1"/>
  <c r="K480" i="1" s="1"/>
  <c r="N480" i="1" a="1"/>
  <c r="N480" i="1" s="1"/>
  <c r="L481" i="1" a="1"/>
  <c r="L481" i="1" s="1"/>
  <c r="I482" i="1" a="1"/>
  <c r="I482" i="1" s="1"/>
  <c r="M482" i="1"/>
  <c r="C483" i="1" a="1"/>
  <c r="C483" i="1" s="1"/>
  <c r="F483" i="1" a="1"/>
  <c r="F483" i="1" s="1"/>
  <c r="J483" i="1" a="1"/>
  <c r="J483" i="1" s="1"/>
  <c r="J484" i="1" a="1"/>
  <c r="J484" i="1" s="1"/>
  <c r="C485" i="1" a="1"/>
  <c r="C485" i="1" s="1"/>
  <c r="F485" i="1" a="1"/>
  <c r="F485" i="1" s="1"/>
  <c r="J485" i="1" a="1"/>
  <c r="J485" i="1" s="1"/>
  <c r="J486" i="1" a="1"/>
  <c r="J486" i="1" s="1"/>
  <c r="C487" i="1" a="1"/>
  <c r="C487" i="1" s="1"/>
  <c r="F487" i="1" a="1"/>
  <c r="F487" i="1" s="1"/>
  <c r="J487" i="1" a="1"/>
  <c r="J487" i="1" s="1"/>
  <c r="J488" i="1" a="1"/>
  <c r="J488" i="1" s="1"/>
  <c r="C489" i="1" a="1"/>
  <c r="C489" i="1" s="1"/>
  <c r="F489" i="1" a="1"/>
  <c r="F489" i="1" s="1"/>
  <c r="J489" i="1" a="1"/>
  <c r="J489" i="1" s="1"/>
  <c r="C490" i="1" a="1"/>
  <c r="C490" i="1" s="1"/>
  <c r="F490" i="1" a="1"/>
  <c r="F490" i="1" s="1"/>
  <c r="I490" i="1" a="1"/>
  <c r="I490" i="1" s="1"/>
  <c r="M490" i="1"/>
  <c r="L491" i="1" a="1"/>
  <c r="L491" i="1" s="1"/>
  <c r="L492" i="1" a="1"/>
  <c r="L492" i="1" s="1"/>
  <c r="I493" i="1" a="1"/>
  <c r="I493" i="1" s="1"/>
  <c r="M493" i="1"/>
  <c r="C494" i="1" a="1"/>
  <c r="C494" i="1" s="1"/>
  <c r="F494" i="1" a="1"/>
  <c r="F494" i="1" s="1"/>
  <c r="J494" i="1" a="1"/>
  <c r="J494" i="1" s="1"/>
  <c r="G495" i="1" a="1"/>
  <c r="G495" i="1" s="1"/>
  <c r="K495" i="1" a="1"/>
  <c r="K495" i="1" s="1"/>
  <c r="N495" i="1" a="1"/>
  <c r="N495" i="1" s="1"/>
  <c r="L496" i="1" a="1"/>
  <c r="L496" i="1" s="1"/>
  <c r="I497" i="1" a="1"/>
  <c r="I497" i="1" s="1"/>
  <c r="M497" i="1"/>
  <c r="C498" i="1" a="1"/>
  <c r="C498" i="1" s="1"/>
  <c r="F498" i="1" a="1"/>
  <c r="F498" i="1" s="1"/>
  <c r="J498" i="1" a="1"/>
  <c r="J498" i="1" s="1"/>
  <c r="G499" i="1" a="1"/>
  <c r="G499" i="1" s="1"/>
  <c r="K499" i="1" a="1"/>
  <c r="K499" i="1" s="1"/>
  <c r="N499" i="1" a="1"/>
  <c r="N499" i="1" s="1"/>
  <c r="L500" i="1" a="1"/>
  <c r="L500" i="1" s="1"/>
  <c r="I501" i="1" a="1"/>
  <c r="I501" i="1" s="1"/>
  <c r="M501" i="1"/>
  <c r="C502" i="1" a="1"/>
  <c r="C502" i="1" s="1"/>
  <c r="F502" i="1" a="1"/>
  <c r="F502" i="1" s="1"/>
  <c r="J502" i="1" a="1"/>
  <c r="J502" i="1" s="1"/>
  <c r="G503" i="1" a="1"/>
  <c r="G503" i="1" s="1"/>
  <c r="K503" i="1" a="1"/>
  <c r="K503" i="1" s="1"/>
  <c r="N503" i="1" a="1"/>
  <c r="N503" i="1" s="1"/>
  <c r="L504" i="1" a="1"/>
  <c r="L504" i="1" s="1"/>
  <c r="I505" i="1" a="1"/>
  <c r="I505" i="1" s="1"/>
  <c r="M505" i="1"/>
  <c r="C506" i="1" a="1"/>
  <c r="C506" i="1" s="1"/>
  <c r="F506" i="1" a="1"/>
  <c r="F506" i="1" s="1"/>
  <c r="J506" i="1" a="1"/>
  <c r="J506" i="1" s="1"/>
  <c r="G507" i="1" a="1"/>
  <c r="G507" i="1" s="1"/>
  <c r="K507" i="1" a="1"/>
  <c r="K507" i="1" s="1"/>
  <c r="N507" i="1" a="1"/>
  <c r="N507" i="1" s="1"/>
  <c r="L508" i="1" a="1"/>
  <c r="L508" i="1" s="1"/>
  <c r="I509" i="1" a="1"/>
  <c r="I509" i="1" s="1"/>
  <c r="M509" i="1"/>
  <c r="C510" i="1" a="1"/>
  <c r="C510" i="1" s="1"/>
  <c r="F510" i="1" a="1"/>
  <c r="F510" i="1" s="1"/>
  <c r="J510" i="1" a="1"/>
  <c r="J510" i="1" s="1"/>
  <c r="G511" i="1" a="1"/>
  <c r="G511" i="1" s="1"/>
  <c r="K511" i="1" a="1"/>
  <c r="K511" i="1" s="1"/>
  <c r="N511" i="1" a="1"/>
  <c r="N511" i="1" s="1"/>
  <c r="L512" i="1" a="1"/>
  <c r="L512" i="1" s="1"/>
  <c r="I513" i="1" a="1"/>
  <c r="I513" i="1" s="1"/>
  <c r="M513" i="1"/>
  <c r="C514" i="1" a="1"/>
  <c r="C514" i="1" s="1"/>
  <c r="F514" i="1" a="1"/>
  <c r="F514" i="1" s="1"/>
  <c r="J514" i="1" a="1"/>
  <c r="J514" i="1" s="1"/>
  <c r="G515" i="1" a="1"/>
  <c r="G515" i="1" s="1"/>
  <c r="K515" i="1" a="1"/>
  <c r="K515" i="1" s="1"/>
  <c r="N515" i="1" a="1"/>
  <c r="N515" i="1" s="1"/>
  <c r="L516" i="1" a="1"/>
  <c r="L516" i="1" s="1"/>
  <c r="I517" i="1" a="1"/>
  <c r="I517" i="1" s="1"/>
  <c r="M517" i="1"/>
  <c r="C518" i="1" a="1"/>
  <c r="C518" i="1" s="1"/>
  <c r="F518" i="1" a="1"/>
  <c r="F518" i="1" s="1"/>
  <c r="J518" i="1" a="1"/>
  <c r="J518" i="1" s="1"/>
  <c r="G519" i="1" a="1"/>
  <c r="G519" i="1" s="1"/>
  <c r="K519" i="1" a="1"/>
  <c r="K519" i="1" s="1"/>
  <c r="N519" i="1" a="1"/>
  <c r="N519" i="1" s="1"/>
  <c r="L520" i="1" a="1"/>
  <c r="L520" i="1" s="1"/>
  <c r="I521" i="1" a="1"/>
  <c r="I521" i="1" s="1"/>
  <c r="M521" i="1"/>
  <c r="C522" i="1" a="1"/>
  <c r="C522" i="1" s="1"/>
  <c r="F522" i="1" a="1"/>
  <c r="F522" i="1" s="1"/>
  <c r="J522" i="1" a="1"/>
  <c r="J522" i="1" s="1"/>
  <c r="G523" i="1" a="1"/>
  <c r="G523" i="1" s="1"/>
  <c r="K523" i="1" a="1"/>
  <c r="K523" i="1" s="1"/>
  <c r="N523" i="1" a="1"/>
  <c r="N523" i="1" s="1"/>
  <c r="L524" i="1" a="1"/>
  <c r="L524" i="1" s="1"/>
  <c r="I525" i="1" a="1"/>
  <c r="I525" i="1" s="1"/>
  <c r="M525" i="1"/>
  <c r="C526" i="1" a="1"/>
  <c r="C526" i="1" s="1"/>
  <c r="F526" i="1" a="1"/>
  <c r="F526" i="1" s="1"/>
  <c r="J526" i="1" a="1"/>
  <c r="J526" i="1" s="1"/>
  <c r="G527" i="1" a="1"/>
  <c r="G527" i="1" s="1"/>
  <c r="K527" i="1" a="1"/>
  <c r="K527" i="1" s="1"/>
  <c r="N527" i="1" a="1"/>
  <c r="N527" i="1" s="1"/>
  <c r="L528" i="1" a="1"/>
  <c r="L528" i="1" s="1"/>
  <c r="I529" i="1" a="1"/>
  <c r="I529" i="1" s="1"/>
  <c r="M529" i="1"/>
  <c r="C530" i="1" a="1"/>
  <c r="C530" i="1" s="1"/>
  <c r="F530" i="1" a="1"/>
  <c r="F530" i="1" s="1"/>
  <c r="J530" i="1" a="1"/>
  <c r="J530" i="1" s="1"/>
  <c r="G531" i="1" a="1"/>
  <c r="G531" i="1" s="1"/>
  <c r="K531" i="1" a="1"/>
  <c r="K531" i="1" s="1"/>
  <c r="N531" i="1" a="1"/>
  <c r="N531" i="1" s="1"/>
  <c r="L532" i="1" a="1"/>
  <c r="L532" i="1" s="1"/>
  <c r="I533" i="1" a="1"/>
  <c r="I533" i="1" s="1"/>
  <c r="M533" i="1"/>
  <c r="C534" i="1" a="1"/>
  <c r="C534" i="1" s="1"/>
  <c r="F534" i="1" a="1"/>
  <c r="F534" i="1" s="1"/>
  <c r="J534" i="1" a="1"/>
  <c r="J534" i="1" s="1"/>
  <c r="G535" i="1" a="1"/>
  <c r="G535" i="1" s="1"/>
  <c r="K535" i="1" a="1"/>
  <c r="K535" i="1" s="1"/>
  <c r="N535" i="1" a="1"/>
  <c r="N535" i="1" s="1"/>
  <c r="L536" i="1" a="1"/>
  <c r="L536" i="1" s="1"/>
  <c r="I537" i="1" a="1"/>
  <c r="I537" i="1" s="1"/>
  <c r="M537" i="1"/>
  <c r="C538" i="1" a="1"/>
  <c r="C538" i="1" s="1"/>
  <c r="F538" i="1" a="1"/>
  <c r="F538" i="1" s="1"/>
  <c r="J538" i="1" a="1"/>
  <c r="J538" i="1" s="1"/>
  <c r="G539" i="1" a="1"/>
  <c r="G539" i="1" s="1"/>
  <c r="K539" i="1" a="1"/>
  <c r="K539" i="1" s="1"/>
  <c r="N539" i="1" a="1"/>
  <c r="N539" i="1" s="1"/>
  <c r="L540" i="1" a="1"/>
  <c r="L540" i="1" s="1"/>
  <c r="I541" i="1" a="1"/>
  <c r="I541" i="1" s="1"/>
  <c r="M541" i="1"/>
  <c r="C542" i="1" a="1"/>
  <c r="C542" i="1" s="1"/>
  <c r="F542" i="1" a="1"/>
  <c r="F542" i="1" s="1"/>
  <c r="J542" i="1" a="1"/>
  <c r="J542" i="1" s="1"/>
  <c r="C543" i="1" a="1"/>
  <c r="C543" i="1" s="1"/>
  <c r="F543" i="1" a="1"/>
  <c r="F543" i="1" s="1"/>
  <c r="J543" i="1" a="1"/>
  <c r="J543" i="1" s="1"/>
  <c r="J544" i="1" a="1"/>
  <c r="J544" i="1" s="1"/>
  <c r="I444" i="1" a="1"/>
  <c r="I444" i="1" s="1"/>
  <c r="L445" i="1" a="1"/>
  <c r="L445" i="1" s="1"/>
  <c r="I446" i="1" a="1"/>
  <c r="I446" i="1" s="1"/>
  <c r="G448" i="1" a="1"/>
  <c r="G448" i="1" s="1"/>
  <c r="M448" i="1"/>
  <c r="J449" i="1" a="1"/>
  <c r="J449" i="1" s="1"/>
  <c r="I450" i="1" a="1"/>
  <c r="I450" i="1" s="1"/>
  <c r="G451" i="1" a="1"/>
  <c r="G451" i="1" s="1"/>
  <c r="K451" i="1" a="1"/>
  <c r="K451" i="1" s="1"/>
  <c r="N451" i="1" a="1"/>
  <c r="N451" i="1" s="1"/>
  <c r="L452" i="1" a="1"/>
  <c r="L452" i="1" s="1"/>
  <c r="I453" i="1" a="1"/>
  <c r="I453" i="1" s="1"/>
  <c r="M453" i="1"/>
  <c r="C454" i="1" a="1"/>
  <c r="C454" i="1" s="1"/>
  <c r="F454" i="1" a="1"/>
  <c r="F454" i="1" s="1"/>
  <c r="J454" i="1" a="1"/>
  <c r="J454" i="1" s="1"/>
  <c r="G455" i="1" a="1"/>
  <c r="G455" i="1" s="1"/>
  <c r="K455" i="1" a="1"/>
  <c r="K455" i="1" s="1"/>
  <c r="N455" i="1" a="1"/>
  <c r="N455" i="1" s="1"/>
  <c r="L456" i="1" a="1"/>
  <c r="L456" i="1" s="1"/>
  <c r="I457" i="1" a="1"/>
  <c r="I457" i="1" s="1"/>
  <c r="M457" i="1"/>
  <c r="C458" i="1" a="1"/>
  <c r="C458" i="1" s="1"/>
  <c r="F458" i="1" a="1"/>
  <c r="F458" i="1" s="1"/>
  <c r="J458" i="1" a="1"/>
  <c r="J458" i="1" s="1"/>
  <c r="G459" i="1" a="1"/>
  <c r="G459" i="1" s="1"/>
  <c r="K459" i="1" a="1"/>
  <c r="K459" i="1" s="1"/>
  <c r="N459" i="1" a="1"/>
  <c r="N459" i="1" s="1"/>
  <c r="L460" i="1" a="1"/>
  <c r="L460" i="1" s="1"/>
  <c r="I461" i="1" a="1"/>
  <c r="I461" i="1" s="1"/>
  <c r="M461" i="1"/>
  <c r="C462" i="1" a="1"/>
  <c r="C462" i="1" s="1"/>
  <c r="F462" i="1" a="1"/>
  <c r="F462" i="1" s="1"/>
  <c r="J462" i="1" a="1"/>
  <c r="J462" i="1" s="1"/>
  <c r="G463" i="1" a="1"/>
  <c r="G463" i="1" s="1"/>
  <c r="K463" i="1" a="1"/>
  <c r="K463" i="1" s="1"/>
  <c r="N463" i="1" a="1"/>
  <c r="N463" i="1" s="1"/>
  <c r="L464" i="1" a="1"/>
  <c r="L464" i="1" s="1"/>
  <c r="I465" i="1" a="1"/>
  <c r="I465" i="1" s="1"/>
  <c r="M465" i="1"/>
  <c r="C466" i="1" a="1"/>
  <c r="C466" i="1" s="1"/>
  <c r="F466" i="1" a="1"/>
  <c r="F466" i="1" s="1"/>
  <c r="J466" i="1" a="1"/>
  <c r="J466" i="1" s="1"/>
  <c r="G467" i="1" a="1"/>
  <c r="G467" i="1" s="1"/>
  <c r="K467" i="1" a="1"/>
  <c r="K467" i="1" s="1"/>
  <c r="N467" i="1" a="1"/>
  <c r="N467" i="1" s="1"/>
  <c r="L468" i="1" a="1"/>
  <c r="L468" i="1" s="1"/>
  <c r="I469" i="1" a="1"/>
  <c r="I469" i="1" s="1"/>
  <c r="M469" i="1"/>
  <c r="C470" i="1" a="1"/>
  <c r="C470" i="1" s="1"/>
  <c r="F470" i="1" a="1"/>
  <c r="F470" i="1" s="1"/>
  <c r="J470" i="1" a="1"/>
  <c r="J470" i="1" s="1"/>
  <c r="G471" i="1" a="1"/>
  <c r="G471" i="1" s="1"/>
  <c r="K471" i="1" a="1"/>
  <c r="K471" i="1" s="1"/>
  <c r="N471" i="1" a="1"/>
  <c r="N471" i="1" s="1"/>
  <c r="L472" i="1" a="1"/>
  <c r="L472" i="1" s="1"/>
  <c r="I473" i="1" a="1"/>
  <c r="I473" i="1" s="1"/>
  <c r="M473" i="1"/>
  <c r="C474" i="1" a="1"/>
  <c r="C474" i="1" s="1"/>
  <c r="F474" i="1" a="1"/>
  <c r="F474" i="1" s="1"/>
  <c r="J474" i="1" a="1"/>
  <c r="J474" i="1" s="1"/>
  <c r="G475" i="1" a="1"/>
  <c r="G475" i="1" s="1"/>
  <c r="K475" i="1" a="1"/>
  <c r="K475" i="1" s="1"/>
  <c r="N475" i="1" a="1"/>
  <c r="N475" i="1" s="1"/>
  <c r="L476" i="1" a="1"/>
  <c r="L476" i="1" s="1"/>
  <c r="I477" i="1" a="1"/>
  <c r="I477" i="1" s="1"/>
  <c r="M477" i="1"/>
  <c r="C478" i="1" a="1"/>
  <c r="C478" i="1" s="1"/>
  <c r="F478" i="1" a="1"/>
  <c r="F478" i="1" s="1"/>
  <c r="J478" i="1" a="1"/>
  <c r="J478" i="1" s="1"/>
  <c r="G479" i="1" a="1"/>
  <c r="G479" i="1" s="1"/>
  <c r="K479" i="1" a="1"/>
  <c r="K479" i="1" s="1"/>
  <c r="N479" i="1" a="1"/>
  <c r="N479" i="1" s="1"/>
  <c r="L480" i="1" a="1"/>
  <c r="L480" i="1" s="1"/>
  <c r="I481" i="1" a="1"/>
  <c r="I481" i="1" s="1"/>
  <c r="M481" i="1"/>
  <c r="C482" i="1" a="1"/>
  <c r="C482" i="1" s="1"/>
  <c r="F482" i="1" a="1"/>
  <c r="F482" i="1" s="1"/>
  <c r="J482" i="1" a="1"/>
  <c r="J482" i="1" s="1"/>
  <c r="G483" i="1" a="1"/>
  <c r="G483" i="1" s="1"/>
  <c r="K483" i="1" a="1"/>
  <c r="K483" i="1" s="1"/>
  <c r="N483" i="1" a="1"/>
  <c r="N483" i="1" s="1"/>
  <c r="G484" i="1" a="1"/>
  <c r="G484" i="1" s="1"/>
  <c r="K484" i="1" a="1"/>
  <c r="K484" i="1" s="1"/>
  <c r="N484" i="1" a="1"/>
  <c r="N484" i="1" s="1"/>
  <c r="G485" i="1" a="1"/>
  <c r="G485" i="1" s="1"/>
  <c r="K485" i="1" a="1"/>
  <c r="K485" i="1" s="1"/>
  <c r="N485" i="1" a="1"/>
  <c r="N485" i="1" s="1"/>
  <c r="G486" i="1" a="1"/>
  <c r="G486" i="1" s="1"/>
  <c r="K486" i="1" a="1"/>
  <c r="K486" i="1" s="1"/>
  <c r="N486" i="1" a="1"/>
  <c r="N486" i="1" s="1"/>
  <c r="G487" i="1" a="1"/>
  <c r="G487" i="1" s="1"/>
  <c r="K487" i="1" a="1"/>
  <c r="K487" i="1" s="1"/>
  <c r="N487" i="1" a="1"/>
  <c r="N487" i="1" s="1"/>
  <c r="G488" i="1" a="1"/>
  <c r="G488" i="1" s="1"/>
  <c r="K488" i="1" a="1"/>
  <c r="K488" i="1" s="1"/>
  <c r="N488" i="1" a="1"/>
  <c r="N488" i="1" s="1"/>
  <c r="G489" i="1" a="1"/>
  <c r="G489" i="1" s="1"/>
  <c r="K489" i="1" a="1"/>
  <c r="K489" i="1" s="1"/>
  <c r="N489" i="1" a="1"/>
  <c r="N489" i="1" s="1"/>
  <c r="J490" i="1" a="1"/>
  <c r="J490" i="1" s="1"/>
  <c r="C491" i="1" a="1"/>
  <c r="C491" i="1" s="1"/>
  <c r="F491" i="1" a="1"/>
  <c r="F491" i="1" s="1"/>
  <c r="I491" i="1" a="1"/>
  <c r="I491" i="1" s="1"/>
  <c r="M491" i="1"/>
  <c r="I492" i="1" a="1"/>
  <c r="I492" i="1" s="1"/>
  <c r="M492" i="1"/>
  <c r="C493" i="1" a="1"/>
  <c r="C493" i="1" s="1"/>
  <c r="F493" i="1" a="1"/>
  <c r="F493" i="1" s="1"/>
  <c r="J493" i="1" a="1"/>
  <c r="J493" i="1" s="1"/>
  <c r="G494" i="1" a="1"/>
  <c r="G494" i="1" s="1"/>
  <c r="K494" i="1" a="1"/>
  <c r="K494" i="1" s="1"/>
  <c r="N494" i="1" a="1"/>
  <c r="N494" i="1" s="1"/>
  <c r="L495" i="1" a="1"/>
  <c r="L495" i="1" s="1"/>
  <c r="I496" i="1" a="1"/>
  <c r="I496" i="1" s="1"/>
  <c r="M496" i="1"/>
  <c r="C497" i="1" a="1"/>
  <c r="C497" i="1" s="1"/>
  <c r="F497" i="1" a="1"/>
  <c r="F497" i="1" s="1"/>
  <c r="J497" i="1" a="1"/>
  <c r="J497" i="1" s="1"/>
  <c r="G498" i="1" a="1"/>
  <c r="G498" i="1" s="1"/>
  <c r="K498" i="1" a="1"/>
  <c r="K498" i="1" s="1"/>
  <c r="N498" i="1" a="1"/>
  <c r="N498" i="1" s="1"/>
  <c r="L499" i="1" a="1"/>
  <c r="L499" i="1" s="1"/>
  <c r="I500" i="1" a="1"/>
  <c r="I500" i="1" s="1"/>
  <c r="M500" i="1"/>
  <c r="C501" i="1" a="1"/>
  <c r="C501" i="1" s="1"/>
  <c r="F501" i="1" a="1"/>
  <c r="F501" i="1" s="1"/>
  <c r="J501" i="1" a="1"/>
  <c r="J501" i="1" s="1"/>
  <c r="G502" i="1" a="1"/>
  <c r="G502" i="1" s="1"/>
  <c r="K502" i="1" a="1"/>
  <c r="K502" i="1" s="1"/>
  <c r="N502" i="1" a="1"/>
  <c r="N502" i="1" s="1"/>
  <c r="L503" i="1" a="1"/>
  <c r="L503" i="1" s="1"/>
  <c r="I504" i="1" a="1"/>
  <c r="I504" i="1" s="1"/>
  <c r="M504" i="1"/>
  <c r="C505" i="1" a="1"/>
  <c r="C505" i="1" s="1"/>
  <c r="F505" i="1" a="1"/>
  <c r="F505" i="1" s="1"/>
  <c r="J505" i="1" a="1"/>
  <c r="J505" i="1" s="1"/>
  <c r="G506" i="1" a="1"/>
  <c r="G506" i="1" s="1"/>
  <c r="K506" i="1" a="1"/>
  <c r="K506" i="1" s="1"/>
  <c r="N506" i="1" a="1"/>
  <c r="N506" i="1" s="1"/>
  <c r="L507" i="1" a="1"/>
  <c r="L507" i="1" s="1"/>
  <c r="I508" i="1" a="1"/>
  <c r="I508" i="1" s="1"/>
  <c r="M508" i="1"/>
  <c r="C509" i="1" a="1"/>
  <c r="C509" i="1" s="1"/>
  <c r="F509" i="1" a="1"/>
  <c r="F509" i="1" s="1"/>
  <c r="J509" i="1" a="1"/>
  <c r="J509" i="1" s="1"/>
  <c r="G510" i="1" a="1"/>
  <c r="G510" i="1" s="1"/>
  <c r="K510" i="1" a="1"/>
  <c r="K510" i="1" s="1"/>
  <c r="N510" i="1" a="1"/>
  <c r="N510" i="1" s="1"/>
  <c r="L511" i="1" a="1"/>
  <c r="L511" i="1" s="1"/>
  <c r="I512" i="1" a="1"/>
  <c r="I512" i="1" s="1"/>
  <c r="M512" i="1"/>
  <c r="C513" i="1" a="1"/>
  <c r="C513" i="1" s="1"/>
  <c r="F513" i="1" a="1"/>
  <c r="F513" i="1" s="1"/>
  <c r="J513" i="1" a="1"/>
  <c r="J513" i="1" s="1"/>
  <c r="G514" i="1" a="1"/>
  <c r="G514" i="1" s="1"/>
  <c r="K514" i="1" a="1"/>
  <c r="K514" i="1" s="1"/>
  <c r="N514" i="1" a="1"/>
  <c r="N514" i="1" s="1"/>
  <c r="L515" i="1" a="1"/>
  <c r="L515" i="1" s="1"/>
  <c r="I516" i="1" a="1"/>
  <c r="I516" i="1" s="1"/>
  <c r="M516" i="1"/>
  <c r="C517" i="1" a="1"/>
  <c r="C517" i="1" s="1"/>
  <c r="F517" i="1" a="1"/>
  <c r="F517" i="1" s="1"/>
  <c r="J517" i="1" a="1"/>
  <c r="J517" i="1" s="1"/>
  <c r="G518" i="1" a="1"/>
  <c r="G518" i="1" s="1"/>
  <c r="K518" i="1" a="1"/>
  <c r="K518" i="1" s="1"/>
  <c r="N518" i="1" a="1"/>
  <c r="N518" i="1" s="1"/>
  <c r="L519" i="1" a="1"/>
  <c r="L519" i="1" s="1"/>
  <c r="I520" i="1" a="1"/>
  <c r="I520" i="1" s="1"/>
  <c r="M520" i="1"/>
  <c r="C521" i="1" a="1"/>
  <c r="C521" i="1" s="1"/>
  <c r="F521" i="1" a="1"/>
  <c r="F521" i="1" s="1"/>
  <c r="J521" i="1" a="1"/>
  <c r="J521" i="1" s="1"/>
  <c r="G522" i="1" a="1"/>
  <c r="G522" i="1" s="1"/>
  <c r="K522" i="1" a="1"/>
  <c r="K522" i="1" s="1"/>
  <c r="N522" i="1" a="1"/>
  <c r="N522" i="1" s="1"/>
  <c r="L523" i="1" a="1"/>
  <c r="L523" i="1" s="1"/>
  <c r="I524" i="1" a="1"/>
  <c r="I524" i="1" s="1"/>
  <c r="M524" i="1"/>
  <c r="C525" i="1" a="1"/>
  <c r="C525" i="1" s="1"/>
  <c r="F525" i="1" a="1"/>
  <c r="F525" i="1" s="1"/>
  <c r="J525" i="1" a="1"/>
  <c r="J525" i="1" s="1"/>
  <c r="G526" i="1" a="1"/>
  <c r="G526" i="1" s="1"/>
  <c r="K526" i="1" a="1"/>
  <c r="K526" i="1" s="1"/>
  <c r="N526" i="1" a="1"/>
  <c r="N526" i="1" s="1"/>
  <c r="L527" i="1" a="1"/>
  <c r="L527" i="1" s="1"/>
  <c r="I528" i="1" a="1"/>
  <c r="I528" i="1" s="1"/>
  <c r="M528" i="1"/>
  <c r="C529" i="1" a="1"/>
  <c r="C529" i="1" s="1"/>
  <c r="F529" i="1" a="1"/>
  <c r="F529" i="1" s="1"/>
  <c r="J529" i="1" a="1"/>
  <c r="J529" i="1" s="1"/>
  <c r="G530" i="1" a="1"/>
  <c r="G530" i="1" s="1"/>
  <c r="K530" i="1" a="1"/>
  <c r="K530" i="1" s="1"/>
  <c r="N530" i="1" a="1"/>
  <c r="N530" i="1" s="1"/>
  <c r="L531" i="1" a="1"/>
  <c r="L531" i="1" s="1"/>
  <c r="I532" i="1" a="1"/>
  <c r="I532" i="1" s="1"/>
  <c r="M532" i="1"/>
  <c r="C533" i="1" a="1"/>
  <c r="C533" i="1" s="1"/>
  <c r="F533" i="1" a="1"/>
  <c r="F533" i="1" s="1"/>
  <c r="J533" i="1" a="1"/>
  <c r="J533" i="1" s="1"/>
  <c r="G534" i="1" a="1"/>
  <c r="G534" i="1" s="1"/>
  <c r="K534" i="1" a="1"/>
  <c r="K534" i="1" s="1"/>
  <c r="N534" i="1" a="1"/>
  <c r="N534" i="1" s="1"/>
  <c r="L535" i="1" a="1"/>
  <c r="L535" i="1" s="1"/>
  <c r="I536" i="1" a="1"/>
  <c r="I536" i="1" s="1"/>
  <c r="M536" i="1"/>
  <c r="C537" i="1" a="1"/>
  <c r="C537" i="1" s="1"/>
  <c r="F537" i="1" a="1"/>
  <c r="F537" i="1" s="1"/>
  <c r="J537" i="1" a="1"/>
  <c r="J537" i="1" s="1"/>
  <c r="G538" i="1" a="1"/>
  <c r="G538" i="1" s="1"/>
  <c r="K538" i="1" a="1"/>
  <c r="K538" i="1" s="1"/>
  <c r="N538" i="1" a="1"/>
  <c r="N538" i="1" s="1"/>
  <c r="L539" i="1" a="1"/>
  <c r="L539" i="1" s="1"/>
  <c r="I540" i="1" a="1"/>
  <c r="I540" i="1" s="1"/>
  <c r="M540" i="1"/>
  <c r="C541" i="1" a="1"/>
  <c r="C541" i="1" s="1"/>
  <c r="F541" i="1" a="1"/>
  <c r="F541" i="1" s="1"/>
  <c r="J541" i="1" a="1"/>
  <c r="J541" i="1" s="1"/>
  <c r="G542" i="1" a="1"/>
  <c r="G542" i="1" s="1"/>
  <c r="K542" i="1" a="1"/>
  <c r="K542" i="1" s="1"/>
  <c r="N542" i="1" a="1"/>
  <c r="N542" i="1" s="1"/>
  <c r="G543" i="1" a="1"/>
  <c r="G543" i="1" s="1"/>
  <c r="K543" i="1" a="1"/>
  <c r="K543" i="1" s="1"/>
  <c r="N543" i="1" a="1"/>
  <c r="N543" i="1" s="1"/>
  <c r="G544" i="1" a="1"/>
  <c r="G544" i="1" s="1"/>
  <c r="K544" i="1" a="1"/>
  <c r="K544" i="1" s="1"/>
  <c r="N544" i="1" a="1"/>
  <c r="N544" i="1" s="1"/>
  <c r="G545" i="1" a="1"/>
  <c r="G545" i="1" s="1"/>
  <c r="K545" i="1" a="1"/>
  <c r="K545" i="1" s="1"/>
  <c r="N545" i="1" a="1"/>
  <c r="N545" i="1" s="1"/>
  <c r="G546" i="1" a="1"/>
  <c r="G546" i="1" s="1"/>
  <c r="J546" i="1" a="1"/>
  <c r="J546" i="1" s="1"/>
  <c r="G547" i="1" a="1"/>
  <c r="G547" i="1" s="1"/>
  <c r="J547" i="1" a="1"/>
  <c r="J547" i="1" s="1"/>
  <c r="G548" i="1" a="1"/>
  <c r="G548" i="1" s="1"/>
  <c r="K548" i="1" a="1"/>
  <c r="K548" i="1" s="1"/>
  <c r="N548" i="1" a="1"/>
  <c r="N548" i="1" s="1"/>
  <c r="G549" i="1" a="1"/>
  <c r="G549" i="1" s="1"/>
  <c r="K549" i="1" a="1"/>
  <c r="K549" i="1" s="1"/>
  <c r="N549" i="1" a="1"/>
  <c r="N549" i="1" s="1"/>
  <c r="L550" i="1" a="1"/>
  <c r="L550" i="1" s="1"/>
  <c r="J552" i="1" a="1"/>
  <c r="J552" i="1" s="1"/>
  <c r="M552" i="1"/>
  <c r="G553" i="1" a="1"/>
  <c r="G553" i="1" s="1"/>
  <c r="M553" i="1"/>
  <c r="C555" i="1" a="1"/>
  <c r="C555" i="1" s="1"/>
  <c r="F555" i="1" a="1"/>
  <c r="F555" i="1" s="1"/>
  <c r="M444" i="1"/>
  <c r="F445" i="1" a="1"/>
  <c r="F445" i="1" s="1"/>
  <c r="K446" i="1" a="1"/>
  <c r="K446" i="1" s="1"/>
  <c r="C447" i="1" a="1"/>
  <c r="C447" i="1" s="1"/>
  <c r="J447" i="1" a="1"/>
  <c r="J447" i="1" s="1"/>
  <c r="N448" i="1" a="1"/>
  <c r="N448" i="1" s="1"/>
  <c r="F449" i="1" a="1"/>
  <c r="F449" i="1" s="1"/>
  <c r="L449" i="1" a="1"/>
  <c r="L449" i="1" s="1"/>
  <c r="C450" i="1" a="1"/>
  <c r="C450" i="1" s="1"/>
  <c r="F450" i="1" a="1"/>
  <c r="F450" i="1" s="1"/>
  <c r="J450" i="1" a="1"/>
  <c r="J450" i="1" s="1"/>
  <c r="N450" i="1" a="1"/>
  <c r="N450" i="1" s="1"/>
  <c r="L451" i="1" a="1"/>
  <c r="L451" i="1" s="1"/>
  <c r="I452" i="1" a="1"/>
  <c r="I452" i="1" s="1"/>
  <c r="M452" i="1"/>
  <c r="C453" i="1" a="1"/>
  <c r="C453" i="1" s="1"/>
  <c r="F453" i="1" a="1"/>
  <c r="F453" i="1" s="1"/>
  <c r="J453" i="1" a="1"/>
  <c r="J453" i="1" s="1"/>
  <c r="G454" i="1" a="1"/>
  <c r="G454" i="1" s="1"/>
  <c r="K454" i="1" a="1"/>
  <c r="K454" i="1" s="1"/>
  <c r="N454" i="1" a="1"/>
  <c r="N454" i="1" s="1"/>
  <c r="L455" i="1" a="1"/>
  <c r="L455" i="1" s="1"/>
  <c r="I456" i="1" a="1"/>
  <c r="I456" i="1" s="1"/>
  <c r="M456" i="1"/>
  <c r="C457" i="1" a="1"/>
  <c r="C457" i="1" s="1"/>
  <c r="F457" i="1" a="1"/>
  <c r="F457" i="1" s="1"/>
  <c r="J457" i="1" a="1"/>
  <c r="J457" i="1" s="1"/>
  <c r="G458" i="1" a="1"/>
  <c r="G458" i="1" s="1"/>
  <c r="K458" i="1" a="1"/>
  <c r="K458" i="1" s="1"/>
  <c r="N458" i="1" a="1"/>
  <c r="N458" i="1" s="1"/>
  <c r="L459" i="1" a="1"/>
  <c r="L459" i="1" s="1"/>
  <c r="I460" i="1" a="1"/>
  <c r="I460" i="1" s="1"/>
  <c r="M460" i="1"/>
  <c r="C461" i="1" a="1"/>
  <c r="C461" i="1" s="1"/>
  <c r="F461" i="1" a="1"/>
  <c r="F461" i="1" s="1"/>
  <c r="J461" i="1" a="1"/>
  <c r="J461" i="1" s="1"/>
  <c r="G462" i="1" a="1"/>
  <c r="G462" i="1" s="1"/>
  <c r="K462" i="1" a="1"/>
  <c r="K462" i="1" s="1"/>
  <c r="N462" i="1" a="1"/>
  <c r="N462" i="1" s="1"/>
  <c r="L463" i="1" a="1"/>
  <c r="L463" i="1" s="1"/>
  <c r="I464" i="1" a="1"/>
  <c r="I464" i="1" s="1"/>
  <c r="M464" i="1"/>
  <c r="C465" i="1" a="1"/>
  <c r="C465" i="1" s="1"/>
  <c r="F465" i="1" a="1"/>
  <c r="F465" i="1" s="1"/>
  <c r="J465" i="1" a="1"/>
  <c r="J465" i="1" s="1"/>
  <c r="G466" i="1" a="1"/>
  <c r="G466" i="1" s="1"/>
  <c r="K466" i="1" a="1"/>
  <c r="K466" i="1" s="1"/>
  <c r="N466" i="1" a="1"/>
  <c r="N466" i="1" s="1"/>
  <c r="L467" i="1" a="1"/>
  <c r="L467" i="1" s="1"/>
  <c r="I468" i="1" a="1"/>
  <c r="I468" i="1" s="1"/>
  <c r="M468" i="1"/>
  <c r="C469" i="1" a="1"/>
  <c r="C469" i="1" s="1"/>
  <c r="F469" i="1" a="1"/>
  <c r="F469" i="1" s="1"/>
  <c r="J469" i="1" a="1"/>
  <c r="J469" i="1" s="1"/>
  <c r="G470" i="1" a="1"/>
  <c r="G470" i="1" s="1"/>
  <c r="K470" i="1" a="1"/>
  <c r="K470" i="1" s="1"/>
  <c r="N470" i="1" a="1"/>
  <c r="N470" i="1" s="1"/>
  <c r="L471" i="1" a="1"/>
  <c r="L471" i="1" s="1"/>
  <c r="I472" i="1" a="1"/>
  <c r="I472" i="1" s="1"/>
  <c r="M472" i="1"/>
  <c r="C473" i="1" a="1"/>
  <c r="C473" i="1" s="1"/>
  <c r="F473" i="1" a="1"/>
  <c r="F473" i="1" s="1"/>
  <c r="J473" i="1" a="1"/>
  <c r="J473" i="1" s="1"/>
  <c r="G474" i="1" a="1"/>
  <c r="G474" i="1" s="1"/>
  <c r="K474" i="1" a="1"/>
  <c r="K474" i="1" s="1"/>
  <c r="N474" i="1" a="1"/>
  <c r="N474" i="1" s="1"/>
  <c r="L475" i="1" a="1"/>
  <c r="L475" i="1" s="1"/>
  <c r="I476" i="1" a="1"/>
  <c r="I476" i="1" s="1"/>
  <c r="M476" i="1"/>
  <c r="C477" i="1" a="1"/>
  <c r="C477" i="1" s="1"/>
  <c r="F477" i="1" a="1"/>
  <c r="F477" i="1" s="1"/>
  <c r="J477" i="1" a="1"/>
  <c r="J477" i="1" s="1"/>
  <c r="G478" i="1" a="1"/>
  <c r="G478" i="1" s="1"/>
  <c r="K478" i="1" a="1"/>
  <c r="K478" i="1" s="1"/>
  <c r="N478" i="1" a="1"/>
  <c r="N478" i="1" s="1"/>
  <c r="L479" i="1" a="1"/>
  <c r="L479" i="1" s="1"/>
  <c r="I480" i="1" a="1"/>
  <c r="I480" i="1" s="1"/>
  <c r="M480" i="1"/>
  <c r="C481" i="1" a="1"/>
  <c r="C481" i="1" s="1"/>
  <c r="F481" i="1" a="1"/>
  <c r="F481" i="1" s="1"/>
  <c r="J481" i="1" a="1"/>
  <c r="J481" i="1" s="1"/>
  <c r="G482" i="1" a="1"/>
  <c r="G482" i="1" s="1"/>
  <c r="K482" i="1" a="1"/>
  <c r="K482" i="1" s="1"/>
  <c r="N482" i="1" a="1"/>
  <c r="N482" i="1" s="1"/>
  <c r="L483" i="1" a="1"/>
  <c r="L483" i="1" s="1"/>
  <c r="L484" i="1" a="1"/>
  <c r="L484" i="1" s="1"/>
  <c r="L485" i="1" a="1"/>
  <c r="L485" i="1" s="1"/>
  <c r="L486" i="1" a="1"/>
  <c r="L486" i="1" s="1"/>
  <c r="L487" i="1" a="1"/>
  <c r="L487" i="1" s="1"/>
  <c r="L488" i="1" a="1"/>
  <c r="L488" i="1" s="1"/>
  <c r="L489" i="1" a="1"/>
  <c r="L489" i="1" s="1"/>
  <c r="G490" i="1" a="1"/>
  <c r="G490" i="1" s="1"/>
  <c r="K490" i="1" a="1"/>
  <c r="K490" i="1" s="1"/>
  <c r="N490" i="1" a="1"/>
  <c r="N490" i="1" s="1"/>
  <c r="J491" i="1" a="1"/>
  <c r="J491" i="1" s="1"/>
  <c r="C492" i="1" a="1"/>
  <c r="C492" i="1" s="1"/>
  <c r="F492" i="1" a="1"/>
  <c r="F492" i="1" s="1"/>
  <c r="J492" i="1" a="1"/>
  <c r="J492" i="1" s="1"/>
  <c r="G493" i="1" a="1"/>
  <c r="G493" i="1" s="1"/>
  <c r="K493" i="1" a="1"/>
  <c r="K493" i="1" s="1"/>
  <c r="N493" i="1" a="1"/>
  <c r="N493" i="1" s="1"/>
  <c r="L494" i="1" a="1"/>
  <c r="L494" i="1" s="1"/>
  <c r="I495" i="1" a="1"/>
  <c r="I495" i="1" s="1"/>
  <c r="M495" i="1"/>
  <c r="C496" i="1" a="1"/>
  <c r="C496" i="1" s="1"/>
  <c r="F496" i="1" a="1"/>
  <c r="F496" i="1" s="1"/>
  <c r="J496" i="1" a="1"/>
  <c r="J496" i="1" s="1"/>
  <c r="G497" i="1" a="1"/>
  <c r="G497" i="1" s="1"/>
  <c r="K497" i="1" a="1"/>
  <c r="K497" i="1" s="1"/>
  <c r="N497" i="1" a="1"/>
  <c r="N497" i="1" s="1"/>
  <c r="L498" i="1" a="1"/>
  <c r="L498" i="1" s="1"/>
  <c r="I499" i="1" a="1"/>
  <c r="I499" i="1" s="1"/>
  <c r="M499" i="1"/>
  <c r="C500" i="1" a="1"/>
  <c r="C500" i="1" s="1"/>
  <c r="F500" i="1" a="1"/>
  <c r="F500" i="1" s="1"/>
  <c r="J500" i="1" a="1"/>
  <c r="J500" i="1" s="1"/>
  <c r="G501" i="1" a="1"/>
  <c r="G501" i="1" s="1"/>
  <c r="K501" i="1" a="1"/>
  <c r="K501" i="1" s="1"/>
  <c r="N501" i="1" a="1"/>
  <c r="N501" i="1" s="1"/>
  <c r="L502" i="1" a="1"/>
  <c r="L502" i="1" s="1"/>
  <c r="I503" i="1" a="1"/>
  <c r="I503" i="1" s="1"/>
  <c r="M503" i="1"/>
  <c r="C504" i="1" a="1"/>
  <c r="C504" i="1" s="1"/>
  <c r="F504" i="1" a="1"/>
  <c r="F504" i="1" s="1"/>
  <c r="J504" i="1" a="1"/>
  <c r="J504" i="1" s="1"/>
  <c r="G505" i="1" a="1"/>
  <c r="G505" i="1" s="1"/>
  <c r="K505" i="1" a="1"/>
  <c r="K505" i="1" s="1"/>
  <c r="N505" i="1" a="1"/>
  <c r="N505" i="1" s="1"/>
  <c r="L506" i="1" a="1"/>
  <c r="L506" i="1" s="1"/>
  <c r="I507" i="1" a="1"/>
  <c r="I507" i="1" s="1"/>
  <c r="M507" i="1"/>
  <c r="C508" i="1" a="1"/>
  <c r="C508" i="1" s="1"/>
  <c r="F508" i="1" a="1"/>
  <c r="F508" i="1" s="1"/>
  <c r="J508" i="1" a="1"/>
  <c r="J508" i="1" s="1"/>
  <c r="G509" i="1" a="1"/>
  <c r="G509" i="1" s="1"/>
  <c r="K509" i="1" a="1"/>
  <c r="K509" i="1" s="1"/>
  <c r="N509" i="1" a="1"/>
  <c r="N509" i="1" s="1"/>
  <c r="L510" i="1" a="1"/>
  <c r="L510" i="1" s="1"/>
  <c r="I511" i="1" a="1"/>
  <c r="I511" i="1" s="1"/>
  <c r="M511" i="1"/>
  <c r="C512" i="1" a="1"/>
  <c r="C512" i="1" s="1"/>
  <c r="F512" i="1" a="1"/>
  <c r="F512" i="1" s="1"/>
  <c r="J512" i="1" a="1"/>
  <c r="J512" i="1" s="1"/>
  <c r="G513" i="1" a="1"/>
  <c r="G513" i="1" s="1"/>
  <c r="K513" i="1" a="1"/>
  <c r="K513" i="1" s="1"/>
  <c r="N513" i="1" a="1"/>
  <c r="N513" i="1" s="1"/>
  <c r="L514" i="1" a="1"/>
  <c r="L514" i="1" s="1"/>
  <c r="I515" i="1" a="1"/>
  <c r="I515" i="1" s="1"/>
  <c r="M515" i="1"/>
  <c r="C516" i="1" a="1"/>
  <c r="C516" i="1" s="1"/>
  <c r="F516" i="1" a="1"/>
  <c r="F516" i="1" s="1"/>
  <c r="J516" i="1" a="1"/>
  <c r="J516" i="1" s="1"/>
  <c r="G517" i="1" a="1"/>
  <c r="G517" i="1" s="1"/>
  <c r="K517" i="1" a="1"/>
  <c r="K517" i="1" s="1"/>
  <c r="N517" i="1" a="1"/>
  <c r="N517" i="1" s="1"/>
  <c r="L518" i="1" a="1"/>
  <c r="L518" i="1" s="1"/>
  <c r="I519" i="1" a="1"/>
  <c r="I519" i="1" s="1"/>
  <c r="M519" i="1"/>
  <c r="C520" i="1" a="1"/>
  <c r="C520" i="1" s="1"/>
  <c r="F520" i="1" a="1"/>
  <c r="F520" i="1" s="1"/>
  <c r="J520" i="1" a="1"/>
  <c r="J520" i="1" s="1"/>
  <c r="G521" i="1" a="1"/>
  <c r="G521" i="1" s="1"/>
  <c r="K521" i="1" a="1"/>
  <c r="K521" i="1" s="1"/>
  <c r="N521" i="1" a="1"/>
  <c r="N521" i="1" s="1"/>
  <c r="L522" i="1" a="1"/>
  <c r="L522" i="1" s="1"/>
  <c r="I523" i="1" a="1"/>
  <c r="I523" i="1" s="1"/>
  <c r="M523" i="1"/>
  <c r="C524" i="1" a="1"/>
  <c r="C524" i="1" s="1"/>
  <c r="F524" i="1" a="1"/>
  <c r="F524" i="1" s="1"/>
  <c r="J524" i="1" a="1"/>
  <c r="J524" i="1" s="1"/>
  <c r="G525" i="1" a="1"/>
  <c r="G525" i="1" s="1"/>
  <c r="K525" i="1" a="1"/>
  <c r="K525" i="1" s="1"/>
  <c r="N525" i="1" a="1"/>
  <c r="N525" i="1" s="1"/>
  <c r="L526" i="1" a="1"/>
  <c r="L526" i="1" s="1"/>
  <c r="I527" i="1" a="1"/>
  <c r="I527" i="1" s="1"/>
  <c r="M527" i="1"/>
  <c r="C528" i="1" a="1"/>
  <c r="C528" i="1" s="1"/>
  <c r="F528" i="1" a="1"/>
  <c r="F528" i="1" s="1"/>
  <c r="J528" i="1" a="1"/>
  <c r="J528" i="1" s="1"/>
  <c r="G529" i="1" a="1"/>
  <c r="G529" i="1" s="1"/>
  <c r="K529" i="1" a="1"/>
  <c r="K529" i="1" s="1"/>
  <c r="N529" i="1" a="1"/>
  <c r="N529" i="1" s="1"/>
  <c r="L530" i="1" a="1"/>
  <c r="L530" i="1" s="1"/>
  <c r="I531" i="1" a="1"/>
  <c r="I531" i="1" s="1"/>
  <c r="M531" i="1"/>
  <c r="C532" i="1" a="1"/>
  <c r="C532" i="1" s="1"/>
  <c r="F532" i="1" a="1"/>
  <c r="F532" i="1" s="1"/>
  <c r="J532" i="1" a="1"/>
  <c r="J532" i="1" s="1"/>
  <c r="G533" i="1" a="1"/>
  <c r="G533" i="1" s="1"/>
  <c r="K533" i="1" a="1"/>
  <c r="K533" i="1" s="1"/>
  <c r="N533" i="1" a="1"/>
  <c r="N533" i="1" s="1"/>
  <c r="L534" i="1" a="1"/>
  <c r="L534" i="1" s="1"/>
  <c r="I535" i="1" a="1"/>
  <c r="I535" i="1" s="1"/>
  <c r="M535" i="1"/>
  <c r="C536" i="1" a="1"/>
  <c r="C536" i="1" s="1"/>
  <c r="F536" i="1" a="1"/>
  <c r="F536" i="1" s="1"/>
  <c r="J536" i="1" a="1"/>
  <c r="J536" i="1" s="1"/>
  <c r="G537" i="1" a="1"/>
  <c r="G537" i="1" s="1"/>
  <c r="K537" i="1" a="1"/>
  <c r="K537" i="1" s="1"/>
  <c r="N537" i="1" a="1"/>
  <c r="N537" i="1" s="1"/>
  <c r="L538" i="1" a="1"/>
  <c r="L538" i="1" s="1"/>
  <c r="I539" i="1" a="1"/>
  <c r="I539" i="1" s="1"/>
  <c r="M539" i="1"/>
  <c r="C540" i="1" a="1"/>
  <c r="C540" i="1" s="1"/>
  <c r="F540" i="1" a="1"/>
  <c r="F540" i="1" s="1"/>
  <c r="J540" i="1" a="1"/>
  <c r="J540" i="1" s="1"/>
  <c r="G541" i="1" a="1"/>
  <c r="G541" i="1" s="1"/>
  <c r="K541" i="1" a="1"/>
  <c r="K541" i="1" s="1"/>
  <c r="N541" i="1" a="1"/>
  <c r="N541" i="1" s="1"/>
  <c r="L542" i="1" a="1"/>
  <c r="L542" i="1" s="1"/>
  <c r="L543" i="1" a="1"/>
  <c r="L543" i="1" s="1"/>
  <c r="L544" i="1" a="1"/>
  <c r="L544" i="1" s="1"/>
  <c r="L545" i="1" a="1"/>
  <c r="L545" i="1" s="1"/>
  <c r="K546" i="1" a="1"/>
  <c r="K546" i="1" s="1"/>
  <c r="C547" i="1" a="1"/>
  <c r="C547" i="1" s="1"/>
  <c r="K547" i="1" a="1"/>
  <c r="K547" i="1" s="1"/>
  <c r="C548" i="1" a="1"/>
  <c r="C548" i="1" s="1"/>
  <c r="L548" i="1" a="1"/>
  <c r="L548" i="1" s="1"/>
  <c r="L549" i="1" a="1"/>
  <c r="L549" i="1" s="1"/>
  <c r="F550" i="1" a="1"/>
  <c r="F550" i="1" s="1"/>
  <c r="I550" i="1" a="1"/>
  <c r="I550" i="1" s="1"/>
  <c r="M550" i="1"/>
  <c r="C551" i="1" a="1"/>
  <c r="C551" i="1" s="1"/>
  <c r="F551" i="1" a="1"/>
  <c r="F551" i="1" s="1"/>
  <c r="I551" i="1" a="1"/>
  <c r="I551" i="1" s="1"/>
  <c r="L551" i="1" a="1"/>
  <c r="L551" i="1" s="1"/>
  <c r="N551" i="1" a="1"/>
  <c r="N551" i="1" s="1"/>
  <c r="G552" i="1" a="1"/>
  <c r="G552" i="1" s="1"/>
  <c r="K552" i="1" a="1"/>
  <c r="K552" i="1" s="1"/>
  <c r="C553" i="1" a="1"/>
  <c r="C553" i="1" s="1"/>
  <c r="J553" i="1" a="1"/>
  <c r="J553" i="1" s="1"/>
  <c r="C554" i="1" a="1"/>
  <c r="C554" i="1" s="1"/>
  <c r="K554" i="1" a="1"/>
  <c r="K554" i="1" s="1"/>
  <c r="N554" i="1" a="1"/>
  <c r="N554" i="1" s="1"/>
  <c r="G555" i="1" a="1"/>
  <c r="G555" i="1" s="1"/>
  <c r="J555" i="1" a="1"/>
  <c r="J555" i="1" s="1"/>
  <c r="G556" i="1" a="1"/>
  <c r="G556" i="1" s="1"/>
  <c r="K556" i="1" a="1"/>
  <c r="K556" i="1" s="1"/>
  <c r="N556" i="1" a="1"/>
  <c r="N556" i="1" s="1"/>
  <c r="L557" i="1" a="1"/>
  <c r="L557" i="1" s="1"/>
  <c r="I558" i="1" a="1"/>
  <c r="I558" i="1" s="1"/>
  <c r="M558" i="1"/>
  <c r="C559" i="1" a="1"/>
  <c r="C559" i="1" s="1"/>
  <c r="F559" i="1" a="1"/>
  <c r="F559" i="1" s="1"/>
  <c r="I543" i="1" a="1"/>
  <c r="I543" i="1" s="1"/>
  <c r="M544" i="1"/>
  <c r="J545" i="1" a="1"/>
  <c r="J545" i="1" s="1"/>
  <c r="C546" i="1" a="1"/>
  <c r="C546" i="1" s="1"/>
  <c r="M546" i="1"/>
  <c r="N547" i="1" a="1"/>
  <c r="N547" i="1" s="1"/>
  <c r="I548" i="1" a="1"/>
  <c r="I548" i="1" s="1"/>
  <c r="F549" i="1" a="1"/>
  <c r="F549" i="1" s="1"/>
  <c r="M549" i="1"/>
  <c r="N550" i="1" a="1"/>
  <c r="N550" i="1" s="1"/>
  <c r="K551" i="1" a="1"/>
  <c r="K551" i="1" s="1"/>
  <c r="C552" i="1" a="1"/>
  <c r="C552" i="1" s="1"/>
  <c r="N553" i="1" a="1"/>
  <c r="N553" i="1" s="1"/>
  <c r="I554" i="1" a="1"/>
  <c r="I554" i="1" s="1"/>
  <c r="L555" i="1" a="1"/>
  <c r="L555" i="1" s="1"/>
  <c r="C556" i="1" a="1"/>
  <c r="C556" i="1" s="1"/>
  <c r="M556" i="1"/>
  <c r="G557" i="1" a="1"/>
  <c r="G557" i="1" s="1"/>
  <c r="K557" i="1" a="1"/>
  <c r="K557" i="1" s="1"/>
  <c r="F558" i="1" a="1"/>
  <c r="F558" i="1" s="1"/>
  <c r="K558" i="1" a="1"/>
  <c r="K558" i="1" s="1"/>
  <c r="G559" i="1" a="1"/>
  <c r="G559" i="1" s="1"/>
  <c r="K559" i="1" a="1"/>
  <c r="K559" i="1" s="1"/>
  <c r="N559" i="1" a="1"/>
  <c r="N559" i="1" s="1"/>
  <c r="L560" i="1" a="1"/>
  <c r="L560" i="1" s="1"/>
  <c r="I561" i="1" a="1"/>
  <c r="I561" i="1" s="1"/>
  <c r="M561" i="1"/>
  <c r="C562" i="1" a="1"/>
  <c r="C562" i="1" s="1"/>
  <c r="F562" i="1" a="1"/>
  <c r="F562" i="1" s="1"/>
  <c r="J562" i="1" a="1"/>
  <c r="J562" i="1" s="1"/>
  <c r="G563" i="1" a="1"/>
  <c r="G563" i="1" s="1"/>
  <c r="K563" i="1" a="1"/>
  <c r="K563" i="1" s="1"/>
  <c r="N563" i="1" a="1"/>
  <c r="N563" i="1" s="1"/>
  <c r="L564" i="1" a="1"/>
  <c r="L564" i="1" s="1"/>
  <c r="I565" i="1" a="1"/>
  <c r="I565" i="1" s="1"/>
  <c r="M565" i="1"/>
  <c r="C566" i="1" a="1"/>
  <c r="C566" i="1" s="1"/>
  <c r="F566" i="1" a="1"/>
  <c r="F566" i="1" s="1"/>
  <c r="J566" i="1" a="1"/>
  <c r="J566" i="1" s="1"/>
  <c r="G567" i="1" a="1"/>
  <c r="G567" i="1" s="1"/>
  <c r="K567" i="1" a="1"/>
  <c r="K567" i="1" s="1"/>
  <c r="N567" i="1" a="1"/>
  <c r="N567" i="1" s="1"/>
  <c r="L568" i="1" a="1"/>
  <c r="L568" i="1" s="1"/>
  <c r="I569" i="1" a="1"/>
  <c r="I569" i="1" s="1"/>
  <c r="M569" i="1"/>
  <c r="C570" i="1" a="1"/>
  <c r="C570" i="1" s="1"/>
  <c r="F570" i="1" a="1"/>
  <c r="F570" i="1" s="1"/>
  <c r="J570" i="1" a="1"/>
  <c r="J570" i="1" s="1"/>
  <c r="G571" i="1" a="1"/>
  <c r="G571" i="1" s="1"/>
  <c r="K571" i="1" a="1"/>
  <c r="K571" i="1" s="1"/>
  <c r="N571" i="1" a="1"/>
  <c r="N571" i="1" s="1"/>
  <c r="L572" i="1" a="1"/>
  <c r="L572" i="1" s="1"/>
  <c r="I573" i="1" a="1"/>
  <c r="I573" i="1" s="1"/>
  <c r="M573" i="1"/>
  <c r="C574" i="1" a="1"/>
  <c r="C574" i="1" s="1"/>
  <c r="F574" i="1" a="1"/>
  <c r="F574" i="1" s="1"/>
  <c r="J574" i="1" a="1"/>
  <c r="J574" i="1" s="1"/>
  <c r="G575" i="1" a="1"/>
  <c r="G575" i="1" s="1"/>
  <c r="K575" i="1" a="1"/>
  <c r="K575" i="1" s="1"/>
  <c r="N575" i="1" a="1"/>
  <c r="N575" i="1" s="1"/>
  <c r="L576" i="1" a="1"/>
  <c r="L576" i="1" s="1"/>
  <c r="I577" i="1" a="1"/>
  <c r="I577" i="1" s="1"/>
  <c r="M577" i="1"/>
  <c r="C578" i="1" a="1"/>
  <c r="C578" i="1" s="1"/>
  <c r="F578" i="1" a="1"/>
  <c r="F578" i="1" s="1"/>
  <c r="J578" i="1" a="1"/>
  <c r="J578" i="1" s="1"/>
  <c r="G579" i="1" a="1"/>
  <c r="G579" i="1" s="1"/>
  <c r="K579" i="1" a="1"/>
  <c r="K579" i="1" s="1"/>
  <c r="N579" i="1" a="1"/>
  <c r="N579" i="1" s="1"/>
  <c r="L580" i="1" a="1"/>
  <c r="L580" i="1" s="1"/>
  <c r="I581" i="1" a="1"/>
  <c r="I581" i="1" s="1"/>
  <c r="M581" i="1"/>
  <c r="C582" i="1" a="1"/>
  <c r="C582" i="1" s="1"/>
  <c r="F582" i="1" a="1"/>
  <c r="F582" i="1" s="1"/>
  <c r="J582" i="1" a="1"/>
  <c r="J582" i="1" s="1"/>
  <c r="G583" i="1" a="1"/>
  <c r="G583" i="1" s="1"/>
  <c r="K583" i="1" a="1"/>
  <c r="K583" i="1" s="1"/>
  <c r="N583" i="1" a="1"/>
  <c r="N583" i="1" s="1"/>
  <c r="L584" i="1" a="1"/>
  <c r="L584" i="1" s="1"/>
  <c r="I585" i="1" a="1"/>
  <c r="I585" i="1" s="1"/>
  <c r="M585" i="1"/>
  <c r="C586" i="1" a="1"/>
  <c r="C586" i="1" s="1"/>
  <c r="F586" i="1" a="1"/>
  <c r="F586" i="1" s="1"/>
  <c r="J586" i="1" a="1"/>
  <c r="J586" i="1" s="1"/>
  <c r="G587" i="1" a="1"/>
  <c r="G587" i="1" s="1"/>
  <c r="K587" i="1" a="1"/>
  <c r="K587" i="1" s="1"/>
  <c r="N587" i="1" a="1"/>
  <c r="N587" i="1" s="1"/>
  <c r="L588" i="1" a="1"/>
  <c r="L588" i="1" s="1"/>
  <c r="I589" i="1" a="1"/>
  <c r="I589" i="1" s="1"/>
  <c r="M589" i="1"/>
  <c r="C590" i="1" a="1"/>
  <c r="C590" i="1" s="1"/>
  <c r="F590" i="1" a="1"/>
  <c r="F590" i="1" s="1"/>
  <c r="J590" i="1" a="1"/>
  <c r="J590" i="1" s="1"/>
  <c r="G591" i="1" a="1"/>
  <c r="G591" i="1" s="1"/>
  <c r="K591" i="1" a="1"/>
  <c r="K591" i="1" s="1"/>
  <c r="N591" i="1" a="1"/>
  <c r="N591" i="1" s="1"/>
  <c r="L592" i="1" a="1"/>
  <c r="L592" i="1" s="1"/>
  <c r="I593" i="1" a="1"/>
  <c r="I593" i="1" s="1"/>
  <c r="M593" i="1"/>
  <c r="L594" i="1" a="1"/>
  <c r="L594" i="1" s="1"/>
  <c r="I595" i="1" a="1"/>
  <c r="I595" i="1" s="1"/>
  <c r="L595" i="1" a="1"/>
  <c r="L595" i="1" s="1"/>
  <c r="N595" i="1" a="1"/>
  <c r="N595" i="1" s="1"/>
  <c r="F596" i="1" a="1"/>
  <c r="F596" i="1" s="1"/>
  <c r="J596" i="1" a="1"/>
  <c r="J596" i="1" s="1"/>
  <c r="M596" i="1"/>
  <c r="C597" i="1" a="1"/>
  <c r="C597" i="1" s="1"/>
  <c r="G597" i="1" a="1"/>
  <c r="G597" i="1" s="1"/>
  <c r="J597" i="1" a="1"/>
  <c r="J597" i="1" s="1"/>
  <c r="F598" i="1" a="1"/>
  <c r="F598" i="1" s="1"/>
  <c r="L598" i="1" a="1"/>
  <c r="L598" i="1" s="1"/>
  <c r="N598" i="1" a="1"/>
  <c r="N598" i="1" s="1"/>
  <c r="G599" i="1" a="1"/>
  <c r="G599" i="1" s="1"/>
  <c r="J599" i="1" a="1"/>
  <c r="J599" i="1" s="1"/>
  <c r="G600" i="1" a="1"/>
  <c r="G600" i="1" s="1"/>
  <c r="J600" i="1" a="1"/>
  <c r="J600" i="1" s="1"/>
  <c r="M600" i="1"/>
  <c r="L601" i="1" a="1"/>
  <c r="L601" i="1" s="1"/>
  <c r="G602" i="1" a="1"/>
  <c r="G602" i="1" s="1"/>
  <c r="K602" i="1" a="1"/>
  <c r="K602" i="1" s="1"/>
  <c r="N602" i="1" a="1"/>
  <c r="N602" i="1" s="1"/>
  <c r="C604" i="1" a="1"/>
  <c r="C604" i="1" s="1"/>
  <c r="I604" i="1" a="1"/>
  <c r="I604" i="1" s="1"/>
  <c r="J605" i="1" a="1"/>
  <c r="J605" i="1" s="1"/>
  <c r="C606" i="1" a="1"/>
  <c r="C606" i="1" s="1"/>
  <c r="F606" i="1" a="1"/>
  <c r="F606" i="1" s="1"/>
  <c r="J606" i="1" a="1"/>
  <c r="J606" i="1" s="1"/>
  <c r="G607" i="1" a="1"/>
  <c r="G607" i="1" s="1"/>
  <c r="J607" i="1" a="1"/>
  <c r="J607" i="1" s="1"/>
  <c r="C608" i="1" a="1"/>
  <c r="C608" i="1" s="1"/>
  <c r="F608" i="1" a="1"/>
  <c r="F608" i="1" s="1"/>
  <c r="I608" i="1" a="1"/>
  <c r="I608" i="1" s="1"/>
  <c r="M608" i="1"/>
  <c r="L609" i="1" a="1"/>
  <c r="L609" i="1" s="1"/>
  <c r="I610" i="1" a="1"/>
  <c r="I610" i="1" s="1"/>
  <c r="M610" i="1"/>
  <c r="I611" i="1" a="1"/>
  <c r="I611" i="1" s="1"/>
  <c r="M611" i="1"/>
  <c r="I612" i="1" a="1"/>
  <c r="I612" i="1" s="1"/>
  <c r="M612" i="1"/>
  <c r="I613" i="1" a="1"/>
  <c r="I613" i="1" s="1"/>
  <c r="M613" i="1"/>
  <c r="I614" i="1" a="1"/>
  <c r="I614" i="1" s="1"/>
  <c r="M614" i="1"/>
  <c r="I615" i="1" a="1"/>
  <c r="I615" i="1" s="1"/>
  <c r="M615" i="1"/>
  <c r="I616" i="1" a="1"/>
  <c r="I616" i="1" s="1"/>
  <c r="M616" i="1"/>
  <c r="I617" i="1" a="1"/>
  <c r="I617" i="1" s="1"/>
  <c r="M617" i="1"/>
  <c r="I618" i="1" a="1"/>
  <c r="I618" i="1" s="1"/>
  <c r="M618" i="1"/>
  <c r="I619" i="1" a="1"/>
  <c r="I619" i="1" s="1"/>
  <c r="M619" i="1"/>
  <c r="I620" i="1" a="1"/>
  <c r="I620" i="1" s="1"/>
  <c r="M620" i="1"/>
  <c r="I621" i="1" a="1"/>
  <c r="I621" i="1" s="1"/>
  <c r="M621" i="1"/>
  <c r="I622" i="1" a="1"/>
  <c r="I622" i="1" s="1"/>
  <c r="M622" i="1"/>
  <c r="I623" i="1" a="1"/>
  <c r="I623" i="1" s="1"/>
  <c r="M623" i="1"/>
  <c r="I624" i="1" a="1"/>
  <c r="I624" i="1" s="1"/>
  <c r="M624" i="1"/>
  <c r="I625" i="1" a="1"/>
  <c r="I625" i="1" s="1"/>
  <c r="M625" i="1"/>
  <c r="I626" i="1" a="1"/>
  <c r="I626" i="1" s="1"/>
  <c r="M626" i="1"/>
  <c r="I627" i="1" a="1"/>
  <c r="I627" i="1" s="1"/>
  <c r="M627" i="1"/>
  <c r="I628" i="1" a="1"/>
  <c r="I628" i="1" s="1"/>
  <c r="M628" i="1"/>
  <c r="I629" i="1" a="1"/>
  <c r="I629" i="1" s="1"/>
  <c r="M629" i="1"/>
  <c r="I630" i="1" a="1"/>
  <c r="I630" i="1" s="1"/>
  <c r="M630" i="1"/>
  <c r="I631" i="1" a="1"/>
  <c r="I631" i="1" s="1"/>
  <c r="M631" i="1"/>
  <c r="I632" i="1" a="1"/>
  <c r="I632" i="1" s="1"/>
  <c r="M632" i="1"/>
  <c r="I633" i="1" a="1"/>
  <c r="I633" i="1" s="1"/>
  <c r="M633" i="1"/>
  <c r="I634" i="1" a="1"/>
  <c r="I634" i="1" s="1"/>
  <c r="M634" i="1"/>
  <c r="I635" i="1" a="1"/>
  <c r="I635" i="1" s="1"/>
  <c r="M635" i="1"/>
  <c r="I636" i="1" a="1"/>
  <c r="I636" i="1" s="1"/>
  <c r="M636" i="1"/>
  <c r="I637" i="1" a="1"/>
  <c r="I637" i="1" s="1"/>
  <c r="M637" i="1"/>
  <c r="I638" i="1" a="1"/>
  <c r="I638" i="1" s="1"/>
  <c r="M638" i="1"/>
  <c r="I639" i="1" a="1"/>
  <c r="I639" i="1" s="1"/>
  <c r="M639" i="1"/>
  <c r="I640" i="1" a="1"/>
  <c r="I640" i="1" s="1"/>
  <c r="M640" i="1"/>
  <c r="I641" i="1" a="1"/>
  <c r="I641" i="1" s="1"/>
  <c r="M641" i="1"/>
  <c r="I642" i="1" a="1"/>
  <c r="I642" i="1" s="1"/>
  <c r="M642" i="1"/>
  <c r="I643" i="1" a="1"/>
  <c r="I643" i="1" s="1"/>
  <c r="M643" i="1"/>
  <c r="I644" i="1" a="1"/>
  <c r="I644" i="1" s="1"/>
  <c r="M543" i="1"/>
  <c r="F544" i="1" a="1"/>
  <c r="F544" i="1" s="1"/>
  <c r="F545" i="1" a="1"/>
  <c r="F545" i="1" s="1"/>
  <c r="M545" i="1"/>
  <c r="N546" i="1" a="1"/>
  <c r="N546" i="1" s="1"/>
  <c r="I547" i="1" a="1"/>
  <c r="I547" i="1" s="1"/>
  <c r="F548" i="1" a="1"/>
  <c r="F548" i="1" s="1"/>
  <c r="J548" i="1" a="1"/>
  <c r="J548" i="1" s="1"/>
  <c r="C549" i="1" a="1"/>
  <c r="C549" i="1" s="1"/>
  <c r="J550" i="1" a="1"/>
  <c r="J550" i="1" s="1"/>
  <c r="G551" i="1" a="1"/>
  <c r="G551" i="1" s="1"/>
  <c r="M551" i="1"/>
  <c r="I552" i="1" a="1"/>
  <c r="I552" i="1" s="1"/>
  <c r="N552" i="1" a="1"/>
  <c r="N552" i="1" s="1"/>
  <c r="I553" i="1" a="1"/>
  <c r="I553" i="1" s="1"/>
  <c r="F554" i="1" a="1"/>
  <c r="F554" i="1" s="1"/>
  <c r="J554" i="1" a="1"/>
  <c r="J554" i="1" s="1"/>
  <c r="I555" i="1" a="1"/>
  <c r="I555" i="1" s="1"/>
  <c r="M555" i="1"/>
  <c r="I556" i="1" a="1"/>
  <c r="I556" i="1" s="1"/>
  <c r="M557" i="1"/>
  <c r="C558" i="1" a="1"/>
  <c r="C558" i="1" s="1"/>
  <c r="G558" i="1" a="1"/>
  <c r="G558" i="1" s="1"/>
  <c r="L558" i="1" a="1"/>
  <c r="L558" i="1" s="1"/>
  <c r="L559" i="1" a="1"/>
  <c r="L559" i="1" s="1"/>
  <c r="I560" i="1" a="1"/>
  <c r="I560" i="1" s="1"/>
  <c r="M560" i="1"/>
  <c r="C561" i="1" a="1"/>
  <c r="C561" i="1" s="1"/>
  <c r="F561" i="1" a="1"/>
  <c r="F561" i="1" s="1"/>
  <c r="J561" i="1" a="1"/>
  <c r="J561" i="1" s="1"/>
  <c r="G562" i="1" a="1"/>
  <c r="G562" i="1" s="1"/>
  <c r="K562" i="1" a="1"/>
  <c r="K562" i="1" s="1"/>
  <c r="N562" i="1" a="1"/>
  <c r="N562" i="1" s="1"/>
  <c r="L563" i="1" a="1"/>
  <c r="L563" i="1" s="1"/>
  <c r="I564" i="1" a="1"/>
  <c r="I564" i="1" s="1"/>
  <c r="M564" i="1"/>
  <c r="C565" i="1" a="1"/>
  <c r="C565" i="1" s="1"/>
  <c r="F565" i="1" a="1"/>
  <c r="F565" i="1" s="1"/>
  <c r="J565" i="1" a="1"/>
  <c r="J565" i="1" s="1"/>
  <c r="G566" i="1" a="1"/>
  <c r="G566" i="1" s="1"/>
  <c r="K566" i="1" a="1"/>
  <c r="K566" i="1" s="1"/>
  <c r="N566" i="1" a="1"/>
  <c r="N566" i="1" s="1"/>
  <c r="L567" i="1" a="1"/>
  <c r="L567" i="1" s="1"/>
  <c r="I568" i="1" a="1"/>
  <c r="I568" i="1" s="1"/>
  <c r="M568" i="1"/>
  <c r="C569" i="1" a="1"/>
  <c r="C569" i="1" s="1"/>
  <c r="F569" i="1" a="1"/>
  <c r="F569" i="1" s="1"/>
  <c r="J569" i="1" a="1"/>
  <c r="J569" i="1" s="1"/>
  <c r="G570" i="1" a="1"/>
  <c r="G570" i="1" s="1"/>
  <c r="K570" i="1" a="1"/>
  <c r="K570" i="1" s="1"/>
  <c r="N570" i="1" a="1"/>
  <c r="N570" i="1" s="1"/>
  <c r="L571" i="1" a="1"/>
  <c r="L571" i="1" s="1"/>
  <c r="I572" i="1" a="1"/>
  <c r="I572" i="1" s="1"/>
  <c r="M572" i="1"/>
  <c r="C573" i="1" a="1"/>
  <c r="C573" i="1" s="1"/>
  <c r="F573" i="1" a="1"/>
  <c r="F573" i="1" s="1"/>
  <c r="J573" i="1" a="1"/>
  <c r="J573" i="1" s="1"/>
  <c r="G574" i="1" a="1"/>
  <c r="G574" i="1" s="1"/>
  <c r="K574" i="1" a="1"/>
  <c r="K574" i="1" s="1"/>
  <c r="N574" i="1" a="1"/>
  <c r="N574" i="1" s="1"/>
  <c r="L575" i="1" a="1"/>
  <c r="L575" i="1" s="1"/>
  <c r="I576" i="1" a="1"/>
  <c r="I576" i="1" s="1"/>
  <c r="M576" i="1"/>
  <c r="C577" i="1" a="1"/>
  <c r="C577" i="1" s="1"/>
  <c r="F577" i="1" a="1"/>
  <c r="F577" i="1" s="1"/>
  <c r="J577" i="1" a="1"/>
  <c r="J577" i="1" s="1"/>
  <c r="G578" i="1" a="1"/>
  <c r="G578" i="1" s="1"/>
  <c r="K578" i="1" a="1"/>
  <c r="K578" i="1" s="1"/>
  <c r="N578" i="1" a="1"/>
  <c r="N578" i="1" s="1"/>
  <c r="L579" i="1" a="1"/>
  <c r="L579" i="1" s="1"/>
  <c r="I580" i="1" a="1"/>
  <c r="I580" i="1" s="1"/>
  <c r="M580" i="1"/>
  <c r="C581" i="1" a="1"/>
  <c r="C581" i="1" s="1"/>
  <c r="F581" i="1" a="1"/>
  <c r="F581" i="1" s="1"/>
  <c r="J581" i="1" a="1"/>
  <c r="J581" i="1" s="1"/>
  <c r="G582" i="1" a="1"/>
  <c r="G582" i="1" s="1"/>
  <c r="K582" i="1" a="1"/>
  <c r="K582" i="1" s="1"/>
  <c r="N582" i="1" a="1"/>
  <c r="N582" i="1" s="1"/>
  <c r="L583" i="1" a="1"/>
  <c r="L583" i="1" s="1"/>
  <c r="I584" i="1" a="1"/>
  <c r="I584" i="1" s="1"/>
  <c r="M584" i="1"/>
  <c r="C585" i="1" a="1"/>
  <c r="C585" i="1" s="1"/>
  <c r="F585" i="1" a="1"/>
  <c r="F585" i="1" s="1"/>
  <c r="J585" i="1" a="1"/>
  <c r="J585" i="1" s="1"/>
  <c r="G586" i="1" a="1"/>
  <c r="G586" i="1" s="1"/>
  <c r="K586" i="1" a="1"/>
  <c r="K586" i="1" s="1"/>
  <c r="N586" i="1" a="1"/>
  <c r="N586" i="1" s="1"/>
  <c r="L587" i="1" a="1"/>
  <c r="L587" i="1" s="1"/>
  <c r="I588" i="1" a="1"/>
  <c r="I588" i="1" s="1"/>
  <c r="M588" i="1"/>
  <c r="C589" i="1" a="1"/>
  <c r="C589" i="1" s="1"/>
  <c r="F589" i="1" a="1"/>
  <c r="F589" i="1" s="1"/>
  <c r="J589" i="1" a="1"/>
  <c r="J589" i="1" s="1"/>
  <c r="G590" i="1" a="1"/>
  <c r="G590" i="1" s="1"/>
  <c r="K590" i="1" a="1"/>
  <c r="K590" i="1" s="1"/>
  <c r="N590" i="1" a="1"/>
  <c r="N590" i="1" s="1"/>
  <c r="L591" i="1" a="1"/>
  <c r="L591" i="1" s="1"/>
  <c r="I592" i="1" a="1"/>
  <c r="I592" i="1" s="1"/>
  <c r="M592" i="1"/>
  <c r="C593" i="1" a="1"/>
  <c r="C593" i="1" s="1"/>
  <c r="F593" i="1" a="1"/>
  <c r="F593" i="1" s="1"/>
  <c r="J593" i="1" a="1"/>
  <c r="J593" i="1" s="1"/>
  <c r="C594" i="1" a="1"/>
  <c r="C594" i="1" s="1"/>
  <c r="I594" i="1" a="1"/>
  <c r="I594" i="1" s="1"/>
  <c r="M594" i="1"/>
  <c r="C595" i="1" a="1"/>
  <c r="C595" i="1" s="1"/>
  <c r="F595" i="1" a="1"/>
  <c r="F595" i="1" s="1"/>
  <c r="J595" i="1" a="1"/>
  <c r="J595" i="1" s="1"/>
  <c r="M595" i="1"/>
  <c r="G596" i="1" a="1"/>
  <c r="G596" i="1" s="1"/>
  <c r="K596" i="1" a="1"/>
  <c r="K596" i="1" s="1"/>
  <c r="K597" i="1" a="1"/>
  <c r="K597" i="1" s="1"/>
  <c r="N597" i="1" a="1"/>
  <c r="N597" i="1" s="1"/>
  <c r="I598" i="1" a="1"/>
  <c r="I598" i="1" s="1"/>
  <c r="M598" i="1"/>
  <c r="K599" i="1" a="1"/>
  <c r="K599" i="1" s="1"/>
  <c r="N599" i="1" a="1"/>
  <c r="N599" i="1" s="1"/>
  <c r="I601" i="1" a="1"/>
  <c r="I601" i="1" s="1"/>
  <c r="M601" i="1"/>
  <c r="L602" i="1" a="1"/>
  <c r="L602" i="1" s="1"/>
  <c r="I603" i="1" a="1"/>
  <c r="I603" i="1" s="1"/>
  <c r="L603" i="1" a="1"/>
  <c r="L603" i="1" s="1"/>
  <c r="N603" i="1" a="1"/>
  <c r="N603" i="1" s="1"/>
  <c r="F604" i="1" a="1"/>
  <c r="F604" i="1" s="1"/>
  <c r="J604" i="1" a="1"/>
  <c r="J604" i="1" s="1"/>
  <c r="M604" i="1"/>
  <c r="C605" i="1" a="1"/>
  <c r="C605" i="1" s="1"/>
  <c r="G605" i="1" a="1"/>
  <c r="G605" i="1" s="1"/>
  <c r="K605" i="1" a="1"/>
  <c r="K605" i="1" s="1"/>
  <c r="N605" i="1" a="1"/>
  <c r="N605" i="1" s="1"/>
  <c r="G606" i="1" a="1"/>
  <c r="G606" i="1" s="1"/>
  <c r="K606" i="1" a="1"/>
  <c r="K606" i="1" s="1"/>
  <c r="N606" i="1" a="1"/>
  <c r="N606" i="1" s="1"/>
  <c r="K607" i="1" a="1"/>
  <c r="K607" i="1" s="1"/>
  <c r="J608" i="1" a="1"/>
  <c r="J608" i="1" s="1"/>
  <c r="C609" i="1" a="1"/>
  <c r="C609" i="1" s="1"/>
  <c r="I609" i="1" a="1"/>
  <c r="I609" i="1" s="1"/>
  <c r="M609" i="1"/>
  <c r="C610" i="1" a="1"/>
  <c r="C610" i="1" s="1"/>
  <c r="F610" i="1" a="1"/>
  <c r="F610" i="1" s="1"/>
  <c r="J610" i="1" a="1"/>
  <c r="J610" i="1" s="1"/>
  <c r="G611" i="1" a="1"/>
  <c r="G611" i="1" s="1"/>
  <c r="J611" i="1" a="1"/>
  <c r="J611" i="1" s="1"/>
  <c r="G612" i="1" a="1"/>
  <c r="G612" i="1" s="1"/>
  <c r="J612" i="1" a="1"/>
  <c r="J612" i="1" s="1"/>
  <c r="G613" i="1" a="1"/>
  <c r="G613" i="1" s="1"/>
  <c r="J613" i="1" a="1"/>
  <c r="J613" i="1" s="1"/>
  <c r="G614" i="1" a="1"/>
  <c r="G614" i="1" s="1"/>
  <c r="J614" i="1" a="1"/>
  <c r="J614" i="1" s="1"/>
  <c r="G615" i="1" a="1"/>
  <c r="G615" i="1" s="1"/>
  <c r="J615" i="1" a="1"/>
  <c r="J615" i="1" s="1"/>
  <c r="G616" i="1" a="1"/>
  <c r="G616" i="1" s="1"/>
  <c r="J616" i="1" a="1"/>
  <c r="J616" i="1" s="1"/>
  <c r="G617" i="1" a="1"/>
  <c r="G617" i="1" s="1"/>
  <c r="J617" i="1" a="1"/>
  <c r="J617" i="1" s="1"/>
  <c r="G618" i="1" a="1"/>
  <c r="G618" i="1" s="1"/>
  <c r="J618" i="1" a="1"/>
  <c r="J618" i="1" s="1"/>
  <c r="G619" i="1" a="1"/>
  <c r="G619" i="1" s="1"/>
  <c r="J619" i="1" a="1"/>
  <c r="J619" i="1" s="1"/>
  <c r="G620" i="1" a="1"/>
  <c r="G620" i="1" s="1"/>
  <c r="J620" i="1" a="1"/>
  <c r="J620" i="1" s="1"/>
  <c r="G621" i="1" a="1"/>
  <c r="G621" i="1" s="1"/>
  <c r="J621" i="1" a="1"/>
  <c r="J621" i="1" s="1"/>
  <c r="G622" i="1" a="1"/>
  <c r="G622" i="1" s="1"/>
  <c r="J622" i="1" a="1"/>
  <c r="J622" i="1" s="1"/>
  <c r="G623" i="1" a="1"/>
  <c r="G623" i="1" s="1"/>
  <c r="J623" i="1" a="1"/>
  <c r="J623" i="1" s="1"/>
  <c r="G624" i="1" a="1"/>
  <c r="G624" i="1" s="1"/>
  <c r="J624" i="1" a="1"/>
  <c r="J624" i="1" s="1"/>
  <c r="G625" i="1" a="1"/>
  <c r="G625" i="1" s="1"/>
  <c r="J625" i="1" a="1"/>
  <c r="J625" i="1" s="1"/>
  <c r="G626" i="1" a="1"/>
  <c r="G626" i="1" s="1"/>
  <c r="J626" i="1" a="1"/>
  <c r="J626" i="1" s="1"/>
  <c r="C545" i="1" a="1"/>
  <c r="C545" i="1" s="1"/>
  <c r="I546" i="1" a="1"/>
  <c r="I546" i="1" s="1"/>
  <c r="F547" i="1" a="1"/>
  <c r="F547" i="1" s="1"/>
  <c r="L547" i="1" a="1"/>
  <c r="L547" i="1" s="1"/>
  <c r="M548" i="1"/>
  <c r="I549" i="1" a="1"/>
  <c r="I549" i="1" s="1"/>
  <c r="G550" i="1" a="1"/>
  <c r="G550" i="1" s="1"/>
  <c r="K550" i="1" a="1"/>
  <c r="K550" i="1" s="1"/>
  <c r="L552" i="1" a="1"/>
  <c r="L552" i="1" s="1"/>
  <c r="K553" i="1" a="1"/>
  <c r="K553" i="1" s="1"/>
  <c r="G554" i="1" a="1"/>
  <c r="G554" i="1" s="1"/>
  <c r="L554" i="1" a="1"/>
  <c r="L554" i="1" s="1"/>
  <c r="N555" i="1" a="1"/>
  <c r="N555" i="1" s="1"/>
  <c r="J556" i="1" a="1"/>
  <c r="J556" i="1" s="1"/>
  <c r="I557" i="1" a="1"/>
  <c r="I557" i="1" s="1"/>
  <c r="I559" i="1" a="1"/>
  <c r="I559" i="1" s="1"/>
  <c r="M559" i="1"/>
  <c r="C560" i="1" a="1"/>
  <c r="C560" i="1" s="1"/>
  <c r="F560" i="1" a="1"/>
  <c r="F560" i="1" s="1"/>
  <c r="J560" i="1" a="1"/>
  <c r="J560" i="1" s="1"/>
  <c r="G561" i="1" a="1"/>
  <c r="G561" i="1" s="1"/>
  <c r="K561" i="1" a="1"/>
  <c r="K561" i="1" s="1"/>
  <c r="N561" i="1" a="1"/>
  <c r="N561" i="1" s="1"/>
  <c r="L562" i="1" a="1"/>
  <c r="L562" i="1" s="1"/>
  <c r="I563" i="1" a="1"/>
  <c r="I563" i="1" s="1"/>
  <c r="M563" i="1"/>
  <c r="C564" i="1" a="1"/>
  <c r="C564" i="1" s="1"/>
  <c r="F564" i="1" a="1"/>
  <c r="F564" i="1" s="1"/>
  <c r="J564" i="1" a="1"/>
  <c r="J564" i="1" s="1"/>
  <c r="G565" i="1" a="1"/>
  <c r="G565" i="1" s="1"/>
  <c r="K565" i="1" a="1"/>
  <c r="K565" i="1" s="1"/>
  <c r="N565" i="1" a="1"/>
  <c r="N565" i="1" s="1"/>
  <c r="L566" i="1" a="1"/>
  <c r="L566" i="1" s="1"/>
  <c r="I567" i="1" a="1"/>
  <c r="I567" i="1" s="1"/>
  <c r="M567" i="1"/>
  <c r="C568" i="1" a="1"/>
  <c r="C568" i="1" s="1"/>
  <c r="F568" i="1" a="1"/>
  <c r="F568" i="1" s="1"/>
  <c r="J568" i="1" a="1"/>
  <c r="J568" i="1" s="1"/>
  <c r="G569" i="1" a="1"/>
  <c r="G569" i="1" s="1"/>
  <c r="K569" i="1" a="1"/>
  <c r="K569" i="1" s="1"/>
  <c r="N569" i="1" a="1"/>
  <c r="N569" i="1" s="1"/>
  <c r="L570" i="1" a="1"/>
  <c r="L570" i="1" s="1"/>
  <c r="I571" i="1" a="1"/>
  <c r="I571" i="1" s="1"/>
  <c r="M571" i="1"/>
  <c r="C572" i="1" a="1"/>
  <c r="C572" i="1" s="1"/>
  <c r="F572" i="1" a="1"/>
  <c r="F572" i="1" s="1"/>
  <c r="J572" i="1" a="1"/>
  <c r="J572" i="1" s="1"/>
  <c r="G573" i="1" a="1"/>
  <c r="G573" i="1" s="1"/>
  <c r="K573" i="1" a="1"/>
  <c r="K573" i="1" s="1"/>
  <c r="N573" i="1" a="1"/>
  <c r="N573" i="1" s="1"/>
  <c r="L574" i="1" a="1"/>
  <c r="L574" i="1" s="1"/>
  <c r="I575" i="1" a="1"/>
  <c r="I575" i="1" s="1"/>
  <c r="M575" i="1"/>
  <c r="C576" i="1" a="1"/>
  <c r="C576" i="1" s="1"/>
  <c r="F576" i="1" a="1"/>
  <c r="F576" i="1" s="1"/>
  <c r="J576" i="1" a="1"/>
  <c r="J576" i="1" s="1"/>
  <c r="G577" i="1" a="1"/>
  <c r="G577" i="1" s="1"/>
  <c r="K577" i="1" a="1"/>
  <c r="K577" i="1" s="1"/>
  <c r="N577" i="1" a="1"/>
  <c r="N577" i="1" s="1"/>
  <c r="L578" i="1" a="1"/>
  <c r="L578" i="1" s="1"/>
  <c r="I579" i="1" a="1"/>
  <c r="I579" i="1" s="1"/>
  <c r="M579" i="1"/>
  <c r="C580" i="1" a="1"/>
  <c r="C580" i="1" s="1"/>
  <c r="F580" i="1" a="1"/>
  <c r="F580" i="1" s="1"/>
  <c r="J580" i="1" a="1"/>
  <c r="J580" i="1" s="1"/>
  <c r="G581" i="1" a="1"/>
  <c r="G581" i="1" s="1"/>
  <c r="K581" i="1" a="1"/>
  <c r="K581" i="1" s="1"/>
  <c r="N581" i="1" a="1"/>
  <c r="N581" i="1" s="1"/>
  <c r="L582" i="1" a="1"/>
  <c r="L582" i="1" s="1"/>
  <c r="I583" i="1" a="1"/>
  <c r="I583" i="1" s="1"/>
  <c r="M583" i="1"/>
  <c r="C584" i="1" a="1"/>
  <c r="C584" i="1" s="1"/>
  <c r="F584" i="1" a="1"/>
  <c r="F584" i="1" s="1"/>
  <c r="J584" i="1" a="1"/>
  <c r="J584" i="1" s="1"/>
  <c r="G585" i="1" a="1"/>
  <c r="G585" i="1" s="1"/>
  <c r="K585" i="1" a="1"/>
  <c r="K585" i="1" s="1"/>
  <c r="N585" i="1" a="1"/>
  <c r="N585" i="1" s="1"/>
  <c r="L586" i="1" a="1"/>
  <c r="L586" i="1" s="1"/>
  <c r="I587" i="1" a="1"/>
  <c r="I587" i="1" s="1"/>
  <c r="M587" i="1"/>
  <c r="C588" i="1" a="1"/>
  <c r="C588" i="1" s="1"/>
  <c r="F588" i="1" a="1"/>
  <c r="F588" i="1" s="1"/>
  <c r="J588" i="1" a="1"/>
  <c r="J588" i="1" s="1"/>
  <c r="G589" i="1" a="1"/>
  <c r="G589" i="1" s="1"/>
  <c r="K589" i="1" a="1"/>
  <c r="K589" i="1" s="1"/>
  <c r="N589" i="1" a="1"/>
  <c r="N589" i="1" s="1"/>
  <c r="L590" i="1" a="1"/>
  <c r="L590" i="1" s="1"/>
  <c r="I591" i="1" a="1"/>
  <c r="I591" i="1" s="1"/>
  <c r="M591" i="1"/>
  <c r="C592" i="1" a="1"/>
  <c r="C592" i="1" s="1"/>
  <c r="F592" i="1" a="1"/>
  <c r="F592" i="1" s="1"/>
  <c r="J592" i="1" a="1"/>
  <c r="J592" i="1" s="1"/>
  <c r="G593" i="1" a="1"/>
  <c r="G593" i="1" s="1"/>
  <c r="K593" i="1" a="1"/>
  <c r="K593" i="1" s="1"/>
  <c r="N593" i="1" a="1"/>
  <c r="N593" i="1" s="1"/>
  <c r="F594" i="1" a="1"/>
  <c r="F594" i="1" s="1"/>
  <c r="J594" i="1" a="1"/>
  <c r="J594" i="1" s="1"/>
  <c r="G595" i="1" a="1"/>
  <c r="G595" i="1" s="1"/>
  <c r="K595" i="1" a="1"/>
  <c r="K595" i="1" s="1"/>
  <c r="L596" i="1" a="1"/>
  <c r="L596" i="1" s="1"/>
  <c r="N596" i="1" a="1"/>
  <c r="N596" i="1" s="1"/>
  <c r="F597" i="1" a="1"/>
  <c r="F597" i="1" s="1"/>
  <c r="L597" i="1" a="1"/>
  <c r="L597" i="1" s="1"/>
  <c r="G598" i="1" a="1"/>
  <c r="G598" i="1" s="1"/>
  <c r="J598" i="1" a="1"/>
  <c r="J598" i="1" s="1"/>
  <c r="C599" i="1" a="1"/>
  <c r="C599" i="1" s="1"/>
  <c r="F599" i="1" a="1"/>
  <c r="F599" i="1" s="1"/>
  <c r="I599" i="1" a="1"/>
  <c r="I599" i="1" s="1"/>
  <c r="L599" i="1" a="1"/>
  <c r="L599" i="1" s="1"/>
  <c r="K600" i="1" a="1"/>
  <c r="K600" i="1" s="1"/>
  <c r="C601" i="1" a="1"/>
  <c r="C601" i="1" s="1"/>
  <c r="F601" i="1" a="1"/>
  <c r="F601" i="1" s="1"/>
  <c r="J601" i="1" a="1"/>
  <c r="J601" i="1" s="1"/>
  <c r="C602" i="1" a="1"/>
  <c r="C602" i="1" s="1"/>
  <c r="I602" i="1" a="1"/>
  <c r="I602" i="1" s="1"/>
  <c r="M602" i="1"/>
  <c r="C603" i="1" a="1"/>
  <c r="C603" i="1" s="1"/>
  <c r="F603" i="1" a="1"/>
  <c r="F603" i="1" s="1"/>
  <c r="J603" i="1" a="1"/>
  <c r="J603" i="1" s="1"/>
  <c r="M603" i="1"/>
  <c r="G604" i="1" a="1"/>
  <c r="G604" i="1" s="1"/>
  <c r="K604" i="1" a="1"/>
  <c r="K604" i="1" s="1"/>
  <c r="L605" i="1" a="1"/>
  <c r="L605" i="1" s="1"/>
  <c r="L606" i="1" a="1"/>
  <c r="L606" i="1" s="1"/>
  <c r="L607" i="1" a="1"/>
  <c r="L607" i="1" s="1"/>
  <c r="N607" i="1" a="1"/>
  <c r="N607" i="1" s="1"/>
  <c r="G608" i="1" a="1"/>
  <c r="G608" i="1" s="1"/>
  <c r="K608" i="1" a="1"/>
  <c r="K608" i="1" s="1"/>
  <c r="N608" i="1" a="1"/>
  <c r="N608" i="1" s="1"/>
  <c r="F609" i="1" a="1"/>
  <c r="F609" i="1" s="1"/>
  <c r="J609" i="1" a="1"/>
  <c r="J609" i="1" s="1"/>
  <c r="G610" i="1" a="1"/>
  <c r="G610" i="1" s="1"/>
  <c r="K610" i="1" a="1"/>
  <c r="K610" i="1" s="1"/>
  <c r="C611" i="1" a="1"/>
  <c r="C611" i="1" s="1"/>
  <c r="K611" i="1" a="1"/>
  <c r="K611" i="1" s="1"/>
  <c r="C612" i="1" a="1"/>
  <c r="C612" i="1" s="1"/>
  <c r="K612" i="1" a="1"/>
  <c r="K612" i="1" s="1"/>
  <c r="C613" i="1" a="1"/>
  <c r="C613" i="1" s="1"/>
  <c r="K613" i="1" a="1"/>
  <c r="K613" i="1" s="1"/>
  <c r="C614" i="1" a="1"/>
  <c r="C614" i="1" s="1"/>
  <c r="K614" i="1" a="1"/>
  <c r="K614" i="1" s="1"/>
  <c r="C615" i="1" a="1"/>
  <c r="C615" i="1" s="1"/>
  <c r="K615" i="1" a="1"/>
  <c r="K615" i="1" s="1"/>
  <c r="C616" i="1" a="1"/>
  <c r="C616" i="1" s="1"/>
  <c r="K616" i="1" a="1"/>
  <c r="K616" i="1" s="1"/>
  <c r="C617" i="1" a="1"/>
  <c r="C617" i="1" s="1"/>
  <c r="K617" i="1" a="1"/>
  <c r="K617" i="1" s="1"/>
  <c r="C618" i="1" a="1"/>
  <c r="C618" i="1" s="1"/>
  <c r="K618" i="1" a="1"/>
  <c r="K618" i="1" s="1"/>
  <c r="C619" i="1" a="1"/>
  <c r="C619" i="1" s="1"/>
  <c r="K619" i="1" a="1"/>
  <c r="K619" i="1" s="1"/>
  <c r="C620" i="1" a="1"/>
  <c r="C620" i="1" s="1"/>
  <c r="K620" i="1" a="1"/>
  <c r="K620" i="1" s="1"/>
  <c r="C621" i="1" a="1"/>
  <c r="C621" i="1" s="1"/>
  <c r="K621" i="1" a="1"/>
  <c r="K621" i="1" s="1"/>
  <c r="C622" i="1" a="1"/>
  <c r="C622" i="1" s="1"/>
  <c r="K622" i="1" a="1"/>
  <c r="K622" i="1" s="1"/>
  <c r="C623" i="1" a="1"/>
  <c r="C623" i="1" s="1"/>
  <c r="K623" i="1" a="1"/>
  <c r="K623" i="1" s="1"/>
  <c r="C624" i="1" a="1"/>
  <c r="C624" i="1" s="1"/>
  <c r="K624" i="1" a="1"/>
  <c r="K624" i="1" s="1"/>
  <c r="C625" i="1" a="1"/>
  <c r="C625" i="1" s="1"/>
  <c r="K625" i="1" a="1"/>
  <c r="K625" i="1" s="1"/>
  <c r="C626" i="1" a="1"/>
  <c r="C626" i="1" s="1"/>
  <c r="K626" i="1" a="1"/>
  <c r="K626" i="1" s="1"/>
  <c r="C627" i="1" a="1"/>
  <c r="C627" i="1" s="1"/>
  <c r="K627" i="1" a="1"/>
  <c r="K627" i="1" s="1"/>
  <c r="C628" i="1" a="1"/>
  <c r="C628" i="1" s="1"/>
  <c r="K628" i="1" a="1"/>
  <c r="K628" i="1" s="1"/>
  <c r="C629" i="1" a="1"/>
  <c r="C629" i="1" s="1"/>
  <c r="K629" i="1" a="1"/>
  <c r="K629" i="1" s="1"/>
  <c r="C630" i="1" a="1"/>
  <c r="C630" i="1" s="1"/>
  <c r="K630" i="1" a="1"/>
  <c r="K630" i="1" s="1"/>
  <c r="C631" i="1" a="1"/>
  <c r="C631" i="1" s="1"/>
  <c r="K631" i="1" a="1"/>
  <c r="K631" i="1" s="1"/>
  <c r="C632" i="1" a="1"/>
  <c r="C632" i="1" s="1"/>
  <c r="K632" i="1" a="1"/>
  <c r="K632" i="1" s="1"/>
  <c r="C633" i="1" a="1"/>
  <c r="C633" i="1" s="1"/>
  <c r="K633" i="1" a="1"/>
  <c r="K633" i="1" s="1"/>
  <c r="C634" i="1" a="1"/>
  <c r="C634" i="1" s="1"/>
  <c r="K634" i="1" a="1"/>
  <c r="K634" i="1" s="1"/>
  <c r="C635" i="1" a="1"/>
  <c r="C635" i="1" s="1"/>
  <c r="K635" i="1" a="1"/>
  <c r="K635" i="1" s="1"/>
  <c r="C636" i="1" a="1"/>
  <c r="C636" i="1" s="1"/>
  <c r="K636" i="1" a="1"/>
  <c r="K636" i="1" s="1"/>
  <c r="C637" i="1" a="1"/>
  <c r="C637" i="1" s="1"/>
  <c r="K637" i="1" a="1"/>
  <c r="K637" i="1" s="1"/>
  <c r="C638" i="1" a="1"/>
  <c r="C638" i="1" s="1"/>
  <c r="K638" i="1" a="1"/>
  <c r="K638" i="1" s="1"/>
  <c r="C639" i="1" a="1"/>
  <c r="C639" i="1" s="1"/>
  <c r="K639" i="1" a="1"/>
  <c r="K639" i="1" s="1"/>
  <c r="C640" i="1" a="1"/>
  <c r="C640" i="1" s="1"/>
  <c r="C544" i="1" a="1"/>
  <c r="C544" i="1" s="1"/>
  <c r="I544" i="1" a="1"/>
  <c r="I544" i="1" s="1"/>
  <c r="I545" i="1" a="1"/>
  <c r="I545" i="1" s="1"/>
  <c r="F546" i="1" a="1"/>
  <c r="F546" i="1" s="1"/>
  <c r="L546" i="1" a="1"/>
  <c r="L546" i="1" s="1"/>
  <c r="M547" i="1"/>
  <c r="J549" i="1" a="1"/>
  <c r="J549" i="1" s="1"/>
  <c r="C550" i="1" a="1"/>
  <c r="C550" i="1" s="1"/>
  <c r="J551" i="1" a="1"/>
  <c r="J551" i="1" s="1"/>
  <c r="F552" i="1" a="1"/>
  <c r="F552" i="1" s="1"/>
  <c r="F553" i="1" a="1"/>
  <c r="F553" i="1" s="1"/>
  <c r="L553" i="1" a="1"/>
  <c r="L553" i="1" s="1"/>
  <c r="M554" i="1"/>
  <c r="K555" i="1" a="1"/>
  <c r="K555" i="1" s="1"/>
  <c r="F556" i="1" a="1"/>
  <c r="F556" i="1" s="1"/>
  <c r="L556" i="1" a="1"/>
  <c r="L556" i="1" s="1"/>
  <c r="C557" i="1" a="1"/>
  <c r="C557" i="1" s="1"/>
  <c r="F557" i="1" a="1"/>
  <c r="F557" i="1" s="1"/>
  <c r="J557" i="1" a="1"/>
  <c r="J557" i="1" s="1"/>
  <c r="N557" i="1" a="1"/>
  <c r="N557" i="1" s="1"/>
  <c r="J558" i="1" a="1"/>
  <c r="J558" i="1" s="1"/>
  <c r="N558" i="1" a="1"/>
  <c r="N558" i="1" s="1"/>
  <c r="J559" i="1" a="1"/>
  <c r="J559" i="1" s="1"/>
  <c r="G560" i="1" a="1"/>
  <c r="G560" i="1" s="1"/>
  <c r="K560" i="1" a="1"/>
  <c r="K560" i="1" s="1"/>
  <c r="N560" i="1" a="1"/>
  <c r="N560" i="1" s="1"/>
  <c r="L561" i="1" a="1"/>
  <c r="L561" i="1" s="1"/>
  <c r="I562" i="1" a="1"/>
  <c r="I562" i="1" s="1"/>
  <c r="M562" i="1"/>
  <c r="C563" i="1" a="1"/>
  <c r="C563" i="1" s="1"/>
  <c r="F563" i="1" a="1"/>
  <c r="F563" i="1" s="1"/>
  <c r="J563" i="1" a="1"/>
  <c r="J563" i="1" s="1"/>
  <c r="G564" i="1" a="1"/>
  <c r="G564" i="1" s="1"/>
  <c r="K564" i="1" a="1"/>
  <c r="K564" i="1" s="1"/>
  <c r="N564" i="1" a="1"/>
  <c r="N564" i="1" s="1"/>
  <c r="L565" i="1" a="1"/>
  <c r="L565" i="1" s="1"/>
  <c r="I566" i="1" a="1"/>
  <c r="I566" i="1" s="1"/>
  <c r="M566" i="1"/>
  <c r="C567" i="1" a="1"/>
  <c r="C567" i="1" s="1"/>
  <c r="F567" i="1" a="1"/>
  <c r="F567" i="1" s="1"/>
  <c r="J567" i="1" a="1"/>
  <c r="J567" i="1" s="1"/>
  <c r="G568" i="1" a="1"/>
  <c r="G568" i="1" s="1"/>
  <c r="K568" i="1" a="1"/>
  <c r="K568" i="1" s="1"/>
  <c r="N568" i="1" a="1"/>
  <c r="N568" i="1" s="1"/>
  <c r="L569" i="1" a="1"/>
  <c r="L569" i="1" s="1"/>
  <c r="I570" i="1" a="1"/>
  <c r="I570" i="1" s="1"/>
  <c r="M570" i="1"/>
  <c r="C571" i="1" a="1"/>
  <c r="C571" i="1" s="1"/>
  <c r="F571" i="1" a="1"/>
  <c r="F571" i="1" s="1"/>
  <c r="J571" i="1" a="1"/>
  <c r="J571" i="1" s="1"/>
  <c r="G572" i="1" a="1"/>
  <c r="G572" i="1" s="1"/>
  <c r="K572" i="1" a="1"/>
  <c r="K572" i="1" s="1"/>
  <c r="N572" i="1" a="1"/>
  <c r="N572" i="1" s="1"/>
  <c r="L573" i="1" a="1"/>
  <c r="L573" i="1" s="1"/>
  <c r="I574" i="1" a="1"/>
  <c r="I574" i="1" s="1"/>
  <c r="M574" i="1"/>
  <c r="C575" i="1" a="1"/>
  <c r="C575" i="1" s="1"/>
  <c r="F575" i="1" a="1"/>
  <c r="F575" i="1" s="1"/>
  <c r="J575" i="1" a="1"/>
  <c r="J575" i="1" s="1"/>
  <c r="G576" i="1" a="1"/>
  <c r="G576" i="1" s="1"/>
  <c r="K576" i="1" a="1"/>
  <c r="K576" i="1" s="1"/>
  <c r="N576" i="1" a="1"/>
  <c r="N576" i="1" s="1"/>
  <c r="L577" i="1" a="1"/>
  <c r="L577" i="1" s="1"/>
  <c r="I578" i="1" a="1"/>
  <c r="I578" i="1" s="1"/>
  <c r="M578" i="1"/>
  <c r="C579" i="1" a="1"/>
  <c r="C579" i="1" s="1"/>
  <c r="F579" i="1" a="1"/>
  <c r="F579" i="1" s="1"/>
  <c r="J579" i="1" a="1"/>
  <c r="J579" i="1" s="1"/>
  <c r="G580" i="1" a="1"/>
  <c r="G580" i="1" s="1"/>
  <c r="K580" i="1" a="1"/>
  <c r="K580" i="1" s="1"/>
  <c r="N580" i="1" a="1"/>
  <c r="N580" i="1" s="1"/>
  <c r="L581" i="1" a="1"/>
  <c r="L581" i="1" s="1"/>
  <c r="I582" i="1" a="1"/>
  <c r="I582" i="1" s="1"/>
  <c r="M582" i="1"/>
  <c r="C583" i="1" a="1"/>
  <c r="C583" i="1" s="1"/>
  <c r="F583" i="1" a="1"/>
  <c r="F583" i="1" s="1"/>
  <c r="J583" i="1" a="1"/>
  <c r="J583" i="1" s="1"/>
  <c r="G584" i="1" a="1"/>
  <c r="G584" i="1" s="1"/>
  <c r="K584" i="1" a="1"/>
  <c r="K584" i="1" s="1"/>
  <c r="N584" i="1" a="1"/>
  <c r="N584" i="1" s="1"/>
  <c r="L585" i="1" a="1"/>
  <c r="L585" i="1" s="1"/>
  <c r="I586" i="1" a="1"/>
  <c r="I586" i="1" s="1"/>
  <c r="M586" i="1"/>
  <c r="C587" i="1" a="1"/>
  <c r="C587" i="1" s="1"/>
  <c r="F587" i="1" a="1"/>
  <c r="F587" i="1" s="1"/>
  <c r="J587" i="1" a="1"/>
  <c r="J587" i="1" s="1"/>
  <c r="G588" i="1" a="1"/>
  <c r="G588" i="1" s="1"/>
  <c r="K588" i="1" a="1"/>
  <c r="K588" i="1" s="1"/>
  <c r="N588" i="1" a="1"/>
  <c r="N588" i="1" s="1"/>
  <c r="L589" i="1" a="1"/>
  <c r="L589" i="1" s="1"/>
  <c r="I590" i="1" a="1"/>
  <c r="I590" i="1" s="1"/>
  <c r="M590" i="1"/>
  <c r="C591" i="1" a="1"/>
  <c r="C591" i="1" s="1"/>
  <c r="F591" i="1" a="1"/>
  <c r="F591" i="1" s="1"/>
  <c r="J591" i="1" a="1"/>
  <c r="J591" i="1" s="1"/>
  <c r="G592" i="1" a="1"/>
  <c r="G592" i="1" s="1"/>
  <c r="K592" i="1" a="1"/>
  <c r="K592" i="1" s="1"/>
  <c r="N592" i="1" a="1"/>
  <c r="N592" i="1" s="1"/>
  <c r="L593" i="1" a="1"/>
  <c r="L593" i="1" s="1"/>
  <c r="G594" i="1" a="1"/>
  <c r="G594" i="1" s="1"/>
  <c r="K594" i="1" a="1"/>
  <c r="K594" i="1" s="1"/>
  <c r="N594" i="1" a="1"/>
  <c r="N594" i="1" s="1"/>
  <c r="C596" i="1" a="1"/>
  <c r="C596" i="1" s="1"/>
  <c r="I596" i="1" a="1"/>
  <c r="I596" i="1" s="1"/>
  <c r="I597" i="1" a="1"/>
  <c r="I597" i="1" s="1"/>
  <c r="M597" i="1"/>
  <c r="C598" i="1" a="1"/>
  <c r="C598" i="1" s="1"/>
  <c r="K598" i="1" a="1"/>
  <c r="K598" i="1" s="1"/>
  <c r="M599" i="1"/>
  <c r="C600" i="1" a="1"/>
  <c r="C600" i="1" s="1"/>
  <c r="F600" i="1" a="1"/>
  <c r="F600" i="1" s="1"/>
  <c r="I600" i="1" a="1"/>
  <c r="I600" i="1" s="1"/>
  <c r="L600" i="1" a="1"/>
  <c r="L600" i="1" s="1"/>
  <c r="N600" i="1" a="1"/>
  <c r="N600" i="1" s="1"/>
  <c r="G601" i="1" a="1"/>
  <c r="G601" i="1" s="1"/>
  <c r="K601" i="1" a="1"/>
  <c r="K601" i="1" s="1"/>
  <c r="N601" i="1" a="1"/>
  <c r="N601" i="1" s="1"/>
  <c r="F602" i="1" a="1"/>
  <c r="F602" i="1" s="1"/>
  <c r="J602" i="1" a="1"/>
  <c r="J602" i="1" s="1"/>
  <c r="G603" i="1" a="1"/>
  <c r="G603" i="1" s="1"/>
  <c r="K603" i="1" a="1"/>
  <c r="K603" i="1" s="1"/>
  <c r="L604" i="1" a="1"/>
  <c r="L604" i="1" s="1"/>
  <c r="N604" i="1" a="1"/>
  <c r="N604" i="1" s="1"/>
  <c r="F605" i="1" a="1"/>
  <c r="F605" i="1" s="1"/>
  <c r="I605" i="1" a="1"/>
  <c r="I605" i="1" s="1"/>
  <c r="M605" i="1"/>
  <c r="I606" i="1" a="1"/>
  <c r="I606" i="1" s="1"/>
  <c r="M606" i="1"/>
  <c r="C607" i="1" a="1"/>
  <c r="C607" i="1" s="1"/>
  <c r="F607" i="1" a="1"/>
  <c r="F607" i="1" s="1"/>
  <c r="I607" i="1" a="1"/>
  <c r="I607" i="1" s="1"/>
  <c r="M607" i="1"/>
  <c r="L608" i="1" a="1"/>
  <c r="L608" i="1" s="1"/>
  <c r="G609" i="1" a="1"/>
  <c r="G609" i="1" s="1"/>
  <c r="K609" i="1" a="1"/>
  <c r="K609" i="1" s="1"/>
  <c r="N609" i="1" a="1"/>
  <c r="N609" i="1" s="1"/>
  <c r="L610" i="1" a="1"/>
  <c r="L610" i="1" s="1"/>
  <c r="N610" i="1" a="1"/>
  <c r="N610" i="1" s="1"/>
  <c r="F611" i="1" a="1"/>
  <c r="F611" i="1" s="1"/>
  <c r="L611" i="1" a="1"/>
  <c r="L611" i="1" s="1"/>
  <c r="N611" i="1" a="1"/>
  <c r="N611" i="1" s="1"/>
  <c r="F612" i="1" a="1"/>
  <c r="F612" i="1" s="1"/>
  <c r="L612" i="1" a="1"/>
  <c r="L612" i="1" s="1"/>
  <c r="N612" i="1" a="1"/>
  <c r="N612" i="1" s="1"/>
  <c r="F613" i="1" a="1"/>
  <c r="F613" i="1" s="1"/>
  <c r="L613" i="1" a="1"/>
  <c r="L613" i="1" s="1"/>
  <c r="N613" i="1" a="1"/>
  <c r="N613" i="1" s="1"/>
  <c r="F614" i="1" a="1"/>
  <c r="F614" i="1" s="1"/>
  <c r="L614" i="1" a="1"/>
  <c r="L614" i="1" s="1"/>
  <c r="N614" i="1" a="1"/>
  <c r="N614" i="1" s="1"/>
  <c r="F615" i="1" a="1"/>
  <c r="F615" i="1" s="1"/>
  <c r="L615" i="1" a="1"/>
  <c r="L615" i="1" s="1"/>
  <c r="N615" i="1" a="1"/>
  <c r="N615" i="1" s="1"/>
  <c r="F616" i="1" a="1"/>
  <c r="F616" i="1" s="1"/>
  <c r="L616" i="1" a="1"/>
  <c r="L616" i="1" s="1"/>
  <c r="N616" i="1" a="1"/>
  <c r="N616" i="1" s="1"/>
  <c r="F617" i="1" a="1"/>
  <c r="F617" i="1" s="1"/>
  <c r="L617" i="1" a="1"/>
  <c r="L617" i="1" s="1"/>
  <c r="N617" i="1" a="1"/>
  <c r="N617" i="1" s="1"/>
  <c r="F618" i="1" a="1"/>
  <c r="F618" i="1" s="1"/>
  <c r="L618" i="1" a="1"/>
  <c r="L618" i="1" s="1"/>
  <c r="N618" i="1" a="1"/>
  <c r="N618" i="1" s="1"/>
  <c r="F619" i="1" a="1"/>
  <c r="F619" i="1" s="1"/>
  <c r="L619" i="1" a="1"/>
  <c r="L619" i="1" s="1"/>
  <c r="N619" i="1" a="1"/>
  <c r="N619" i="1" s="1"/>
  <c r="F620" i="1" a="1"/>
  <c r="F620" i="1" s="1"/>
  <c r="L620" i="1" a="1"/>
  <c r="L620" i="1" s="1"/>
  <c r="N620" i="1" a="1"/>
  <c r="N620" i="1" s="1"/>
  <c r="F621" i="1" a="1"/>
  <c r="F621" i="1" s="1"/>
  <c r="L621" i="1" a="1"/>
  <c r="L621" i="1" s="1"/>
  <c r="N621" i="1" a="1"/>
  <c r="N621" i="1" s="1"/>
  <c r="F622" i="1" a="1"/>
  <c r="F622" i="1" s="1"/>
  <c r="L622" i="1" a="1"/>
  <c r="L622" i="1" s="1"/>
  <c r="N622" i="1" a="1"/>
  <c r="N622" i="1" s="1"/>
  <c r="F623" i="1" a="1"/>
  <c r="F623" i="1" s="1"/>
  <c r="L623" i="1" a="1"/>
  <c r="L623" i="1" s="1"/>
  <c r="N623" i="1" a="1"/>
  <c r="N623" i="1" s="1"/>
  <c r="F624" i="1" a="1"/>
  <c r="F624" i="1" s="1"/>
  <c r="L624" i="1" a="1"/>
  <c r="L624" i="1" s="1"/>
  <c r="N624" i="1" a="1"/>
  <c r="N624" i="1" s="1"/>
  <c r="F625" i="1" a="1"/>
  <c r="F625" i="1" s="1"/>
  <c r="L625" i="1" a="1"/>
  <c r="L625" i="1" s="1"/>
  <c r="N625" i="1" a="1"/>
  <c r="N625" i="1" s="1"/>
  <c r="F626" i="1" a="1"/>
  <c r="F626" i="1" s="1"/>
  <c r="L626" i="1" a="1"/>
  <c r="L626" i="1" s="1"/>
  <c r="N626" i="1" a="1"/>
  <c r="N626" i="1" s="1"/>
  <c r="F627" i="1" a="1"/>
  <c r="F627" i="1" s="1"/>
  <c r="L627" i="1" a="1"/>
  <c r="L627" i="1" s="1"/>
  <c r="N627" i="1" a="1"/>
  <c r="N627" i="1" s="1"/>
  <c r="F628" i="1" a="1"/>
  <c r="F628" i="1" s="1"/>
  <c r="L628" i="1" a="1"/>
  <c r="L628" i="1" s="1"/>
  <c r="N628" i="1" a="1"/>
  <c r="N628" i="1" s="1"/>
  <c r="F629" i="1" a="1"/>
  <c r="F629" i="1" s="1"/>
  <c r="L629" i="1" a="1"/>
  <c r="L629" i="1" s="1"/>
  <c r="N629" i="1" a="1"/>
  <c r="N629" i="1" s="1"/>
  <c r="F630" i="1" a="1"/>
  <c r="F630" i="1" s="1"/>
  <c r="L630" i="1" a="1"/>
  <c r="L630" i="1" s="1"/>
  <c r="N630" i="1" a="1"/>
  <c r="N630" i="1" s="1"/>
  <c r="F631" i="1" a="1"/>
  <c r="F631" i="1" s="1"/>
  <c r="L631" i="1" a="1"/>
  <c r="L631" i="1" s="1"/>
  <c r="N631" i="1" a="1"/>
  <c r="N631" i="1" s="1"/>
  <c r="F632" i="1" a="1"/>
  <c r="F632" i="1" s="1"/>
  <c r="L632" i="1" a="1"/>
  <c r="L632" i="1" s="1"/>
  <c r="N632" i="1" a="1"/>
  <c r="N632" i="1" s="1"/>
  <c r="F633" i="1" a="1"/>
  <c r="F633" i="1" s="1"/>
  <c r="L633" i="1" a="1"/>
  <c r="L633" i="1" s="1"/>
  <c r="N633" i="1" a="1"/>
  <c r="N633" i="1" s="1"/>
  <c r="F634" i="1" a="1"/>
  <c r="F634" i="1" s="1"/>
  <c r="G627" i="1" a="1"/>
  <c r="G627" i="1" s="1"/>
  <c r="J629" i="1" a="1"/>
  <c r="J629" i="1" s="1"/>
  <c r="G631" i="1" a="1"/>
  <c r="G631" i="1" s="1"/>
  <c r="J633" i="1" a="1"/>
  <c r="J633" i="1" s="1"/>
  <c r="L634" i="1" a="1"/>
  <c r="L634" i="1" s="1"/>
  <c r="G635" i="1" a="1"/>
  <c r="G635" i="1" s="1"/>
  <c r="N636" i="1" a="1"/>
  <c r="N636" i="1" s="1"/>
  <c r="J637" i="1" a="1"/>
  <c r="J637" i="1" s="1"/>
  <c r="F638" i="1" a="1"/>
  <c r="F638" i="1" s="1"/>
  <c r="L638" i="1" a="1"/>
  <c r="L638" i="1" s="1"/>
  <c r="G639" i="1" a="1"/>
  <c r="G639" i="1" s="1"/>
  <c r="G640" i="1" a="1"/>
  <c r="G640" i="1" s="1"/>
  <c r="K640" i="1" a="1"/>
  <c r="K640" i="1" s="1"/>
  <c r="N640" i="1" a="1"/>
  <c r="N640" i="1" s="1"/>
  <c r="G641" i="1" a="1"/>
  <c r="G641" i="1" s="1"/>
  <c r="K641" i="1" a="1"/>
  <c r="K641" i="1" s="1"/>
  <c r="N641" i="1" a="1"/>
  <c r="N641" i="1" s="1"/>
  <c r="G642" i="1" a="1"/>
  <c r="G642" i="1" s="1"/>
  <c r="K642" i="1" a="1"/>
  <c r="K642" i="1" s="1"/>
  <c r="N642" i="1" a="1"/>
  <c r="N642" i="1" s="1"/>
  <c r="G643" i="1" a="1"/>
  <c r="G643" i="1" s="1"/>
  <c r="K643" i="1" a="1"/>
  <c r="K643" i="1" s="1"/>
  <c r="N643" i="1" a="1"/>
  <c r="N643" i="1" s="1"/>
  <c r="G644" i="1" a="1"/>
  <c r="G644" i="1" s="1"/>
  <c r="K644" i="1" a="1"/>
  <c r="K644" i="1" s="1"/>
  <c r="N644" i="1" a="1"/>
  <c r="N644" i="1" s="1"/>
  <c r="J645" i="1" a="1"/>
  <c r="J645" i="1" s="1"/>
  <c r="C646" i="1" a="1"/>
  <c r="C646" i="1" s="1"/>
  <c r="F646" i="1" a="1"/>
  <c r="F646" i="1" s="1"/>
  <c r="I646" i="1" a="1"/>
  <c r="I646" i="1" s="1"/>
  <c r="M646" i="1"/>
  <c r="L647" i="1" a="1"/>
  <c r="L647" i="1" s="1"/>
  <c r="G648" i="1" a="1"/>
  <c r="G648" i="1" s="1"/>
  <c r="K648" i="1" a="1"/>
  <c r="K648" i="1" s="1"/>
  <c r="N648" i="1" a="1"/>
  <c r="N648" i="1" s="1"/>
  <c r="J649" i="1" a="1"/>
  <c r="J649" i="1" s="1"/>
  <c r="C650" i="1" a="1"/>
  <c r="C650" i="1" s="1"/>
  <c r="F650" i="1" a="1"/>
  <c r="F650" i="1" s="1"/>
  <c r="I650" i="1" a="1"/>
  <c r="I650" i="1" s="1"/>
  <c r="M650" i="1"/>
  <c r="L651" i="1" a="1"/>
  <c r="L651" i="1" s="1"/>
  <c r="G652" i="1" a="1"/>
  <c r="G652" i="1" s="1"/>
  <c r="K652" i="1" a="1"/>
  <c r="K652" i="1" s="1"/>
  <c r="N652" i="1" a="1"/>
  <c r="N652" i="1" s="1"/>
  <c r="J653" i="1" a="1"/>
  <c r="J653" i="1" s="1"/>
  <c r="C654" i="1" a="1"/>
  <c r="C654" i="1" s="1"/>
  <c r="F654" i="1" a="1"/>
  <c r="F654" i="1" s="1"/>
  <c r="I654" i="1" a="1"/>
  <c r="I654" i="1" s="1"/>
  <c r="M654" i="1"/>
  <c r="L655" i="1" a="1"/>
  <c r="L655" i="1" s="1"/>
  <c r="N655" i="1" a="1"/>
  <c r="N655" i="1" s="1"/>
  <c r="L656" i="1" a="1"/>
  <c r="L656" i="1" s="1"/>
  <c r="I657" i="1" a="1"/>
  <c r="I657" i="1" s="1"/>
  <c r="K657" i="1" a="1"/>
  <c r="K657" i="1" s="1"/>
  <c r="M657" i="1"/>
  <c r="C658" i="1" a="1"/>
  <c r="C658" i="1" s="1"/>
  <c r="K658" i="1" a="1"/>
  <c r="K658" i="1" s="1"/>
  <c r="F659" i="1" a="1"/>
  <c r="F659" i="1" s="1"/>
  <c r="J659" i="1" a="1"/>
  <c r="J659" i="1" s="1"/>
  <c r="C660" i="1" a="1"/>
  <c r="C660" i="1" s="1"/>
  <c r="G660" i="1" a="1"/>
  <c r="G660" i="1" s="1"/>
  <c r="J660" i="1" a="1"/>
  <c r="J660" i="1" s="1"/>
  <c r="L660" i="1" a="1"/>
  <c r="L660" i="1" s="1"/>
  <c r="N660" i="1" a="1"/>
  <c r="N660" i="1" s="1"/>
  <c r="N661" i="1" a="1"/>
  <c r="N661" i="1" s="1"/>
  <c r="G662" i="1" a="1"/>
  <c r="G662" i="1" s="1"/>
  <c r="M662" i="1"/>
  <c r="K663" i="1" a="1"/>
  <c r="K663" i="1" s="1"/>
  <c r="C664" i="1" a="1"/>
  <c r="C664" i="1" s="1"/>
  <c r="K664" i="1" a="1"/>
  <c r="K664" i="1" s="1"/>
  <c r="N664" i="1" a="1"/>
  <c r="N664" i="1" s="1"/>
  <c r="F665" i="1" a="1"/>
  <c r="F665" i="1" s="1"/>
  <c r="L665" i="1" a="1"/>
  <c r="L665" i="1" s="1"/>
  <c r="G666" i="1" a="1"/>
  <c r="G666" i="1" s="1"/>
  <c r="K666" i="1" a="1"/>
  <c r="K666" i="1" s="1"/>
  <c r="C667" i="1" a="1"/>
  <c r="C667" i="1" s="1"/>
  <c r="F667" i="1" a="1"/>
  <c r="F667" i="1" s="1"/>
  <c r="I667" i="1" a="1"/>
  <c r="I667" i="1" s="1"/>
  <c r="L667" i="1" a="1"/>
  <c r="L667" i="1" s="1"/>
  <c r="N667" i="1" a="1"/>
  <c r="N667" i="1" s="1"/>
  <c r="K668" i="1" a="1"/>
  <c r="K668" i="1" s="1"/>
  <c r="N668" i="1" a="1"/>
  <c r="N668" i="1" s="1"/>
  <c r="F669" i="1" a="1"/>
  <c r="F669" i="1" s="1"/>
  <c r="I669" i="1" a="1"/>
  <c r="I669" i="1" s="1"/>
  <c r="L669" i="1" a="1"/>
  <c r="L669" i="1" s="1"/>
  <c r="G670" i="1" a="1"/>
  <c r="G670" i="1" s="1"/>
  <c r="M670" i="1"/>
  <c r="K671" i="1" a="1"/>
  <c r="K671" i="1" s="1"/>
  <c r="C672" i="1" a="1"/>
  <c r="C672" i="1" s="1"/>
  <c r="K672" i="1" a="1"/>
  <c r="K672" i="1" s="1"/>
  <c r="I673" i="1" a="1"/>
  <c r="I673" i="1" s="1"/>
  <c r="G674" i="1" a="1"/>
  <c r="G674" i="1" s="1"/>
  <c r="K674" i="1" a="1"/>
  <c r="K674" i="1" s="1"/>
  <c r="N674" i="1" a="1"/>
  <c r="N674" i="1" s="1"/>
  <c r="K675" i="1" a="1"/>
  <c r="K675" i="1" s="1"/>
  <c r="C676" i="1" a="1"/>
  <c r="C676" i="1" s="1"/>
  <c r="L676" i="1" a="1"/>
  <c r="L676" i="1" s="1"/>
  <c r="L677" i="1" a="1"/>
  <c r="L677" i="1" s="1"/>
  <c r="I678" i="1" a="1"/>
  <c r="I678" i="1" s="1"/>
  <c r="M678" i="1"/>
  <c r="C679" i="1" a="1"/>
  <c r="C679" i="1" s="1"/>
  <c r="F679" i="1" a="1"/>
  <c r="F679" i="1" s="1"/>
  <c r="J679" i="1" a="1"/>
  <c r="J679" i="1" s="1"/>
  <c r="G680" i="1" a="1"/>
  <c r="G680" i="1" s="1"/>
  <c r="K680" i="1" a="1"/>
  <c r="K680" i="1" s="1"/>
  <c r="N680" i="1" a="1"/>
  <c r="N680" i="1" s="1"/>
  <c r="L681" i="1" a="1"/>
  <c r="L681" i="1" s="1"/>
  <c r="I682" i="1" a="1"/>
  <c r="I682" i="1" s="1"/>
  <c r="M682" i="1"/>
  <c r="C683" i="1" a="1"/>
  <c r="C683" i="1" s="1"/>
  <c r="F683" i="1" a="1"/>
  <c r="F683" i="1" s="1"/>
  <c r="J683" i="1" a="1"/>
  <c r="J683" i="1" s="1"/>
  <c r="G684" i="1" a="1"/>
  <c r="G684" i="1" s="1"/>
  <c r="K684" i="1" a="1"/>
  <c r="K684" i="1" s="1"/>
  <c r="N684" i="1" a="1"/>
  <c r="N684" i="1" s="1"/>
  <c r="L685" i="1" a="1"/>
  <c r="L685" i="1" s="1"/>
  <c r="I686" i="1" a="1"/>
  <c r="I686" i="1" s="1"/>
  <c r="M686" i="1"/>
  <c r="C687" i="1" a="1"/>
  <c r="C687" i="1" s="1"/>
  <c r="F687" i="1" a="1"/>
  <c r="F687" i="1" s="1"/>
  <c r="J687" i="1" a="1"/>
  <c r="J687" i="1" s="1"/>
  <c r="G688" i="1" a="1"/>
  <c r="G688" i="1" s="1"/>
  <c r="K688" i="1" a="1"/>
  <c r="K688" i="1" s="1"/>
  <c r="N688" i="1" a="1"/>
  <c r="N688" i="1" s="1"/>
  <c r="L689" i="1" a="1"/>
  <c r="L689" i="1" s="1"/>
  <c r="I690" i="1" a="1"/>
  <c r="I690" i="1" s="1"/>
  <c r="M690" i="1"/>
  <c r="C691" i="1" a="1"/>
  <c r="C691" i="1" s="1"/>
  <c r="F691" i="1" a="1"/>
  <c r="F691" i="1" s="1"/>
  <c r="J691" i="1" a="1"/>
  <c r="J691" i="1" s="1"/>
  <c r="G692" i="1" a="1"/>
  <c r="G692" i="1" s="1"/>
  <c r="K692" i="1" a="1"/>
  <c r="K692" i="1" s="1"/>
  <c r="N692" i="1" a="1"/>
  <c r="N692" i="1" s="1"/>
  <c r="L693" i="1" a="1"/>
  <c r="L693" i="1" s="1"/>
  <c r="I694" i="1" a="1"/>
  <c r="I694" i="1" s="1"/>
  <c r="M694" i="1"/>
  <c r="C695" i="1" a="1"/>
  <c r="C695" i="1" s="1"/>
  <c r="F695" i="1" a="1"/>
  <c r="F695" i="1" s="1"/>
  <c r="J695" i="1" a="1"/>
  <c r="J695" i="1" s="1"/>
  <c r="G696" i="1" a="1"/>
  <c r="G696" i="1" s="1"/>
  <c r="K696" i="1" a="1"/>
  <c r="K696" i="1" s="1"/>
  <c r="N696" i="1" a="1"/>
  <c r="N696" i="1" s="1"/>
  <c r="L697" i="1" a="1"/>
  <c r="L697" i="1" s="1"/>
  <c r="I698" i="1" a="1"/>
  <c r="I698" i="1" s="1"/>
  <c r="M698" i="1"/>
  <c r="C699" i="1" a="1"/>
  <c r="C699" i="1" s="1"/>
  <c r="F699" i="1" a="1"/>
  <c r="F699" i="1" s="1"/>
  <c r="J699" i="1" a="1"/>
  <c r="J699" i="1" s="1"/>
  <c r="G700" i="1" a="1"/>
  <c r="G700" i="1" s="1"/>
  <c r="K700" i="1" a="1"/>
  <c r="K700" i="1" s="1"/>
  <c r="N700" i="1" a="1"/>
  <c r="N700" i="1" s="1"/>
  <c r="L701" i="1" a="1"/>
  <c r="L701" i="1" s="1"/>
  <c r="I702" i="1" a="1"/>
  <c r="I702" i="1" s="1"/>
  <c r="M702" i="1"/>
  <c r="C703" i="1" a="1"/>
  <c r="C703" i="1" s="1"/>
  <c r="F703" i="1" a="1"/>
  <c r="F703" i="1" s="1"/>
  <c r="J703" i="1" a="1"/>
  <c r="J703" i="1" s="1"/>
  <c r="G704" i="1" a="1"/>
  <c r="G704" i="1" s="1"/>
  <c r="K704" i="1" a="1"/>
  <c r="K704" i="1" s="1"/>
  <c r="N704" i="1" a="1"/>
  <c r="N704" i="1" s="1"/>
  <c r="L705" i="1" a="1"/>
  <c r="L705" i="1" s="1"/>
  <c r="I706" i="1" a="1"/>
  <c r="I706" i="1" s="1"/>
  <c r="M706" i="1"/>
  <c r="I707" i="1" a="1"/>
  <c r="I707" i="1" s="1"/>
  <c r="M707" i="1"/>
  <c r="C708" i="1" a="1"/>
  <c r="C708" i="1" s="1"/>
  <c r="F708" i="1" a="1"/>
  <c r="F708" i="1" s="1"/>
  <c r="I708" i="1" a="1"/>
  <c r="I708" i="1" s="1"/>
  <c r="M708" i="1"/>
  <c r="I709" i="1" a="1"/>
  <c r="I709" i="1" s="1"/>
  <c r="M709" i="1"/>
  <c r="C710" i="1" a="1"/>
  <c r="C710" i="1" s="1"/>
  <c r="F710" i="1" a="1"/>
  <c r="F710" i="1" s="1"/>
  <c r="I710" i="1" a="1"/>
  <c r="I710" i="1" s="1"/>
  <c r="M710" i="1"/>
  <c r="I711" i="1" a="1"/>
  <c r="I711" i="1" s="1"/>
  <c r="M711" i="1"/>
  <c r="J628" i="1" a="1"/>
  <c r="J628" i="1" s="1"/>
  <c r="G630" i="1" a="1"/>
  <c r="G630" i="1" s="1"/>
  <c r="J632" i="1" a="1"/>
  <c r="J632" i="1" s="1"/>
  <c r="G634" i="1" a="1"/>
  <c r="G634" i="1" s="1"/>
  <c r="N635" i="1" a="1"/>
  <c r="N635" i="1" s="1"/>
  <c r="J636" i="1" a="1"/>
  <c r="J636" i="1" s="1"/>
  <c r="F637" i="1" a="1"/>
  <c r="F637" i="1" s="1"/>
  <c r="L637" i="1" a="1"/>
  <c r="L637" i="1" s="1"/>
  <c r="G638" i="1" a="1"/>
  <c r="G638" i="1" s="1"/>
  <c r="N639" i="1" a="1"/>
  <c r="N639" i="1" s="1"/>
  <c r="L640" i="1" a="1"/>
  <c r="L640" i="1" s="1"/>
  <c r="L641" i="1" a="1"/>
  <c r="L641" i="1" s="1"/>
  <c r="L642" i="1" a="1"/>
  <c r="L642" i="1" s="1"/>
  <c r="L643" i="1" a="1"/>
  <c r="L643" i="1" s="1"/>
  <c r="L644" i="1" a="1"/>
  <c r="L644" i="1" s="1"/>
  <c r="G645" i="1" a="1"/>
  <c r="G645" i="1" s="1"/>
  <c r="K645" i="1" a="1"/>
  <c r="K645" i="1" s="1"/>
  <c r="N645" i="1" a="1"/>
  <c r="N645" i="1" s="1"/>
  <c r="J646" i="1" a="1"/>
  <c r="J646" i="1" s="1"/>
  <c r="C647" i="1" a="1"/>
  <c r="C647" i="1" s="1"/>
  <c r="F647" i="1" a="1"/>
  <c r="F647" i="1" s="1"/>
  <c r="I647" i="1" a="1"/>
  <c r="I647" i="1" s="1"/>
  <c r="M647" i="1"/>
  <c r="L648" i="1" a="1"/>
  <c r="L648" i="1" s="1"/>
  <c r="G649" i="1" a="1"/>
  <c r="G649" i="1" s="1"/>
  <c r="K649" i="1" a="1"/>
  <c r="K649" i="1" s="1"/>
  <c r="N649" i="1" a="1"/>
  <c r="N649" i="1" s="1"/>
  <c r="J650" i="1" a="1"/>
  <c r="J650" i="1" s="1"/>
  <c r="C651" i="1" a="1"/>
  <c r="C651" i="1" s="1"/>
  <c r="F651" i="1" a="1"/>
  <c r="F651" i="1" s="1"/>
  <c r="I651" i="1" a="1"/>
  <c r="I651" i="1" s="1"/>
  <c r="M651" i="1"/>
  <c r="L652" i="1" a="1"/>
  <c r="L652" i="1" s="1"/>
  <c r="G653" i="1" a="1"/>
  <c r="G653" i="1" s="1"/>
  <c r="K653" i="1" a="1"/>
  <c r="K653" i="1" s="1"/>
  <c r="N653" i="1" a="1"/>
  <c r="N653" i="1" s="1"/>
  <c r="J654" i="1" a="1"/>
  <c r="J654" i="1" s="1"/>
  <c r="C655" i="1" a="1"/>
  <c r="C655" i="1" s="1"/>
  <c r="F655" i="1" a="1"/>
  <c r="F655" i="1" s="1"/>
  <c r="I655" i="1" a="1"/>
  <c r="I655" i="1" s="1"/>
  <c r="M655" i="1"/>
  <c r="G656" i="1" a="1"/>
  <c r="G656" i="1" s="1"/>
  <c r="J656" i="1" a="1"/>
  <c r="J656" i="1" s="1"/>
  <c r="M656" i="1"/>
  <c r="C657" i="1" a="1"/>
  <c r="C657" i="1" s="1"/>
  <c r="F657" i="1" a="1"/>
  <c r="F657" i="1" s="1"/>
  <c r="I658" i="1" a="1"/>
  <c r="I658" i="1" s="1"/>
  <c r="L658" i="1" a="1"/>
  <c r="L658" i="1" s="1"/>
  <c r="N658" i="1" a="1"/>
  <c r="N658" i="1" s="1"/>
  <c r="G659" i="1" a="1"/>
  <c r="G659" i="1" s="1"/>
  <c r="K659" i="1" a="1"/>
  <c r="K659" i="1" s="1"/>
  <c r="F661" i="1" a="1"/>
  <c r="F661" i="1" s="1"/>
  <c r="I661" i="1" a="1"/>
  <c r="I661" i="1" s="1"/>
  <c r="K661" i="1" a="1"/>
  <c r="K661" i="1" s="1"/>
  <c r="M661" i="1"/>
  <c r="K662" i="1" a="1"/>
  <c r="K662" i="1" s="1"/>
  <c r="C663" i="1" a="1"/>
  <c r="C663" i="1" s="1"/>
  <c r="F663" i="1" a="1"/>
  <c r="F663" i="1" s="1"/>
  <c r="I663" i="1" a="1"/>
  <c r="I663" i="1" s="1"/>
  <c r="F664" i="1" a="1"/>
  <c r="F664" i="1" s="1"/>
  <c r="I664" i="1" a="1"/>
  <c r="I664" i="1" s="1"/>
  <c r="L664" i="1" a="1"/>
  <c r="L664" i="1" s="1"/>
  <c r="G665" i="1" a="1"/>
  <c r="G665" i="1" s="1"/>
  <c r="J665" i="1" a="1"/>
  <c r="J665" i="1" s="1"/>
  <c r="M665" i="1"/>
  <c r="C666" i="1" a="1"/>
  <c r="C666" i="1" s="1"/>
  <c r="L666" i="1" a="1"/>
  <c r="L666" i="1" s="1"/>
  <c r="N666" i="1" a="1"/>
  <c r="N666" i="1" s="1"/>
  <c r="G667" i="1" a="1"/>
  <c r="G667" i="1" s="1"/>
  <c r="J667" i="1" a="1"/>
  <c r="J667" i="1" s="1"/>
  <c r="M667" i="1"/>
  <c r="I668" i="1" a="1"/>
  <c r="I668" i="1" s="1"/>
  <c r="L668" i="1" a="1"/>
  <c r="L668" i="1" s="1"/>
  <c r="G669" i="1" a="1"/>
  <c r="G669" i="1" s="1"/>
  <c r="M669" i="1"/>
  <c r="C670" i="1" a="1"/>
  <c r="C670" i="1" s="1"/>
  <c r="K670" i="1" a="1"/>
  <c r="K670" i="1" s="1"/>
  <c r="C671" i="1" a="1"/>
  <c r="C671" i="1" s="1"/>
  <c r="F671" i="1" a="1"/>
  <c r="F671" i="1" s="1"/>
  <c r="I671" i="1" a="1"/>
  <c r="I671" i="1" s="1"/>
  <c r="F672" i="1" a="1"/>
  <c r="F672" i="1" s="1"/>
  <c r="I672" i="1" a="1"/>
  <c r="I672" i="1" s="1"/>
  <c r="L672" i="1" a="1"/>
  <c r="L672" i="1" s="1"/>
  <c r="N672" i="1" a="1"/>
  <c r="N672" i="1" s="1"/>
  <c r="F673" i="1" a="1"/>
  <c r="F673" i="1" s="1"/>
  <c r="L673" i="1" a="1"/>
  <c r="L673" i="1" s="1"/>
  <c r="N673" i="1" a="1"/>
  <c r="N673" i="1" s="1"/>
  <c r="L674" i="1" a="1"/>
  <c r="L674" i="1" s="1"/>
  <c r="L675" i="1" a="1"/>
  <c r="L675" i="1" s="1"/>
  <c r="N675" i="1" a="1"/>
  <c r="N675" i="1" s="1"/>
  <c r="F676" i="1" a="1"/>
  <c r="F676" i="1" s="1"/>
  <c r="I676" i="1" a="1"/>
  <c r="I676" i="1" s="1"/>
  <c r="M676" i="1"/>
  <c r="I677" i="1" a="1"/>
  <c r="I677" i="1" s="1"/>
  <c r="M677" i="1"/>
  <c r="C678" i="1" a="1"/>
  <c r="C678" i="1" s="1"/>
  <c r="F678" i="1" a="1"/>
  <c r="F678" i="1" s="1"/>
  <c r="J678" i="1" a="1"/>
  <c r="J678" i="1" s="1"/>
  <c r="G679" i="1" a="1"/>
  <c r="G679" i="1" s="1"/>
  <c r="K679" i="1" a="1"/>
  <c r="K679" i="1" s="1"/>
  <c r="N679" i="1" a="1"/>
  <c r="N679" i="1" s="1"/>
  <c r="L680" i="1" a="1"/>
  <c r="L680" i="1" s="1"/>
  <c r="I681" i="1" a="1"/>
  <c r="I681" i="1" s="1"/>
  <c r="M681" i="1"/>
  <c r="C682" i="1" a="1"/>
  <c r="C682" i="1" s="1"/>
  <c r="F682" i="1" a="1"/>
  <c r="F682" i="1" s="1"/>
  <c r="J682" i="1" a="1"/>
  <c r="J682" i="1" s="1"/>
  <c r="G683" i="1" a="1"/>
  <c r="G683" i="1" s="1"/>
  <c r="K683" i="1" a="1"/>
  <c r="K683" i="1" s="1"/>
  <c r="N683" i="1" a="1"/>
  <c r="N683" i="1" s="1"/>
  <c r="L684" i="1" a="1"/>
  <c r="L684" i="1" s="1"/>
  <c r="I685" i="1" a="1"/>
  <c r="I685" i="1" s="1"/>
  <c r="M685" i="1"/>
  <c r="C686" i="1" a="1"/>
  <c r="C686" i="1" s="1"/>
  <c r="F686" i="1" a="1"/>
  <c r="F686" i="1" s="1"/>
  <c r="J686" i="1" a="1"/>
  <c r="J686" i="1" s="1"/>
  <c r="G687" i="1" a="1"/>
  <c r="G687" i="1" s="1"/>
  <c r="K687" i="1" a="1"/>
  <c r="K687" i="1" s="1"/>
  <c r="N687" i="1" a="1"/>
  <c r="N687" i="1" s="1"/>
  <c r="L688" i="1" a="1"/>
  <c r="L688" i="1" s="1"/>
  <c r="I689" i="1" a="1"/>
  <c r="I689" i="1" s="1"/>
  <c r="M689" i="1"/>
  <c r="C690" i="1" a="1"/>
  <c r="C690" i="1" s="1"/>
  <c r="F690" i="1" a="1"/>
  <c r="F690" i="1" s="1"/>
  <c r="J690" i="1" a="1"/>
  <c r="J690" i="1" s="1"/>
  <c r="G691" i="1" a="1"/>
  <c r="G691" i="1" s="1"/>
  <c r="K691" i="1" a="1"/>
  <c r="K691" i="1" s="1"/>
  <c r="N691" i="1" a="1"/>
  <c r="N691" i="1" s="1"/>
  <c r="L692" i="1" a="1"/>
  <c r="L692" i="1" s="1"/>
  <c r="I693" i="1" a="1"/>
  <c r="I693" i="1" s="1"/>
  <c r="M693" i="1"/>
  <c r="C694" i="1" a="1"/>
  <c r="C694" i="1" s="1"/>
  <c r="F694" i="1" a="1"/>
  <c r="F694" i="1" s="1"/>
  <c r="J694" i="1" a="1"/>
  <c r="J694" i="1" s="1"/>
  <c r="G695" i="1" a="1"/>
  <c r="G695" i="1" s="1"/>
  <c r="K695" i="1" a="1"/>
  <c r="K695" i="1" s="1"/>
  <c r="N695" i="1" a="1"/>
  <c r="N695" i="1" s="1"/>
  <c r="L696" i="1" a="1"/>
  <c r="L696" i="1" s="1"/>
  <c r="I697" i="1" a="1"/>
  <c r="I697" i="1" s="1"/>
  <c r="M697" i="1"/>
  <c r="C698" i="1" a="1"/>
  <c r="C698" i="1" s="1"/>
  <c r="F698" i="1" a="1"/>
  <c r="F698" i="1" s="1"/>
  <c r="J698" i="1" a="1"/>
  <c r="J698" i="1" s="1"/>
  <c r="G699" i="1" a="1"/>
  <c r="G699" i="1" s="1"/>
  <c r="K699" i="1" a="1"/>
  <c r="K699" i="1" s="1"/>
  <c r="N699" i="1" a="1"/>
  <c r="N699" i="1" s="1"/>
  <c r="L700" i="1" a="1"/>
  <c r="L700" i="1" s="1"/>
  <c r="I701" i="1" a="1"/>
  <c r="I701" i="1" s="1"/>
  <c r="M701" i="1"/>
  <c r="C702" i="1" a="1"/>
  <c r="C702" i="1" s="1"/>
  <c r="F702" i="1" a="1"/>
  <c r="F702" i="1" s="1"/>
  <c r="J702" i="1" a="1"/>
  <c r="J702" i="1" s="1"/>
  <c r="G703" i="1" a="1"/>
  <c r="G703" i="1" s="1"/>
  <c r="K703" i="1" a="1"/>
  <c r="K703" i="1" s="1"/>
  <c r="N703" i="1" a="1"/>
  <c r="N703" i="1" s="1"/>
  <c r="L704" i="1" a="1"/>
  <c r="L704" i="1" s="1"/>
  <c r="I705" i="1" a="1"/>
  <c r="I705" i="1" s="1"/>
  <c r="M705" i="1"/>
  <c r="C706" i="1" a="1"/>
  <c r="C706" i="1" s="1"/>
  <c r="F706" i="1" a="1"/>
  <c r="F706" i="1" s="1"/>
  <c r="J706" i="1" a="1"/>
  <c r="J706" i="1" s="1"/>
  <c r="C707" i="1" a="1"/>
  <c r="C707" i="1" s="1"/>
  <c r="F707" i="1" a="1"/>
  <c r="F707" i="1" s="1"/>
  <c r="J707" i="1" a="1"/>
  <c r="J707" i="1" s="1"/>
  <c r="J708" i="1" a="1"/>
  <c r="J708" i="1" s="1"/>
  <c r="C709" i="1" a="1"/>
  <c r="C709" i="1" s="1"/>
  <c r="F709" i="1" a="1"/>
  <c r="F709" i="1" s="1"/>
  <c r="J709" i="1" a="1"/>
  <c r="J709" i="1" s="1"/>
  <c r="J710" i="1" a="1"/>
  <c r="J710" i="1" s="1"/>
  <c r="C711" i="1" a="1"/>
  <c r="C711" i="1" s="1"/>
  <c r="F711" i="1" a="1"/>
  <c r="F711" i="1" s="1"/>
  <c r="J711" i="1" a="1"/>
  <c r="J711" i="1" s="1"/>
  <c r="J627" i="1" a="1"/>
  <c r="J627" i="1" s="1"/>
  <c r="G629" i="1" a="1"/>
  <c r="G629" i="1" s="1"/>
  <c r="J631" i="1" a="1"/>
  <c r="J631" i="1" s="1"/>
  <c r="G633" i="1" a="1"/>
  <c r="G633" i="1" s="1"/>
  <c r="N634" i="1" a="1"/>
  <c r="N634" i="1" s="1"/>
  <c r="J635" i="1" a="1"/>
  <c r="J635" i="1" s="1"/>
  <c r="F636" i="1" a="1"/>
  <c r="F636" i="1" s="1"/>
  <c r="L636" i="1" a="1"/>
  <c r="L636" i="1" s="1"/>
  <c r="G637" i="1" a="1"/>
  <c r="G637" i="1" s="1"/>
  <c r="N638" i="1" a="1"/>
  <c r="N638" i="1" s="1"/>
  <c r="J639" i="1" a="1"/>
  <c r="J639" i="1" s="1"/>
  <c r="C641" i="1" a="1"/>
  <c r="C641" i="1" s="1"/>
  <c r="C642" i="1" a="1"/>
  <c r="C642" i="1" s="1"/>
  <c r="C643" i="1" a="1"/>
  <c r="C643" i="1" s="1"/>
  <c r="C644" i="1" a="1"/>
  <c r="C644" i="1" s="1"/>
  <c r="M644" i="1"/>
  <c r="L645" i="1" a="1"/>
  <c r="L645" i="1" s="1"/>
  <c r="G646" i="1" a="1"/>
  <c r="G646" i="1" s="1"/>
  <c r="K646" i="1" a="1"/>
  <c r="K646" i="1" s="1"/>
  <c r="N646" i="1" a="1"/>
  <c r="N646" i="1" s="1"/>
  <c r="J647" i="1" a="1"/>
  <c r="J647" i="1" s="1"/>
  <c r="C648" i="1" a="1"/>
  <c r="C648" i="1" s="1"/>
  <c r="F648" i="1" a="1"/>
  <c r="F648" i="1" s="1"/>
  <c r="I648" i="1" a="1"/>
  <c r="I648" i="1" s="1"/>
  <c r="M648" i="1"/>
  <c r="L649" i="1" a="1"/>
  <c r="L649" i="1" s="1"/>
  <c r="G650" i="1" a="1"/>
  <c r="G650" i="1" s="1"/>
  <c r="K650" i="1" a="1"/>
  <c r="K650" i="1" s="1"/>
  <c r="N650" i="1" a="1"/>
  <c r="N650" i="1" s="1"/>
  <c r="J651" i="1" a="1"/>
  <c r="J651" i="1" s="1"/>
  <c r="C652" i="1" a="1"/>
  <c r="C652" i="1" s="1"/>
  <c r="F652" i="1" a="1"/>
  <c r="F652" i="1" s="1"/>
  <c r="I652" i="1" a="1"/>
  <c r="I652" i="1" s="1"/>
  <c r="M652" i="1"/>
  <c r="L653" i="1" a="1"/>
  <c r="L653" i="1" s="1"/>
  <c r="G654" i="1" a="1"/>
  <c r="G654" i="1" s="1"/>
  <c r="K654" i="1" a="1"/>
  <c r="K654" i="1" s="1"/>
  <c r="N654" i="1" a="1"/>
  <c r="N654" i="1" s="1"/>
  <c r="J655" i="1" a="1"/>
  <c r="J655" i="1" s="1"/>
  <c r="K656" i="1" a="1"/>
  <c r="K656" i="1" s="1"/>
  <c r="G657" i="1" a="1"/>
  <c r="G657" i="1" s="1"/>
  <c r="J657" i="1" a="1"/>
  <c r="J657" i="1" s="1"/>
  <c r="L657" i="1" a="1"/>
  <c r="L657" i="1" s="1"/>
  <c r="N657" i="1" a="1"/>
  <c r="N657" i="1" s="1"/>
  <c r="F658" i="1" a="1"/>
  <c r="F658" i="1" s="1"/>
  <c r="J658" i="1" a="1"/>
  <c r="J658" i="1" s="1"/>
  <c r="L659" i="1" a="1"/>
  <c r="L659" i="1" s="1"/>
  <c r="N659" i="1" a="1"/>
  <c r="N659" i="1" s="1"/>
  <c r="F660" i="1" a="1"/>
  <c r="F660" i="1" s="1"/>
  <c r="I660" i="1" a="1"/>
  <c r="I660" i="1" s="1"/>
  <c r="K660" i="1" a="1"/>
  <c r="K660" i="1" s="1"/>
  <c r="M660" i="1"/>
  <c r="G661" i="1" a="1"/>
  <c r="G661" i="1" s="1"/>
  <c r="C662" i="1" a="1"/>
  <c r="C662" i="1" s="1"/>
  <c r="I662" i="1" a="1"/>
  <c r="I662" i="1" s="1"/>
  <c r="L662" i="1" a="1"/>
  <c r="L662" i="1" s="1"/>
  <c r="N662" i="1" a="1"/>
  <c r="N662" i="1" s="1"/>
  <c r="G663" i="1" a="1"/>
  <c r="G663" i="1" s="1"/>
  <c r="L663" i="1" a="1"/>
  <c r="L663" i="1" s="1"/>
  <c r="N663" i="1" a="1"/>
  <c r="N663" i="1" s="1"/>
  <c r="J664" i="1" a="1"/>
  <c r="J664" i="1" s="1"/>
  <c r="M664" i="1"/>
  <c r="C665" i="1" a="1"/>
  <c r="C665" i="1" s="1"/>
  <c r="K665" i="1" a="1"/>
  <c r="K665" i="1" s="1"/>
  <c r="F666" i="1" a="1"/>
  <c r="F666" i="1" s="1"/>
  <c r="I666" i="1" a="1"/>
  <c r="I666" i="1" s="1"/>
  <c r="K667" i="1" a="1"/>
  <c r="K667" i="1" s="1"/>
  <c r="C668" i="1" a="1"/>
  <c r="C668" i="1" s="1"/>
  <c r="F668" i="1" a="1"/>
  <c r="F668" i="1" s="1"/>
  <c r="J668" i="1" a="1"/>
  <c r="J668" i="1" s="1"/>
  <c r="M668" i="1"/>
  <c r="C669" i="1" a="1"/>
  <c r="C669" i="1" s="1"/>
  <c r="J669" i="1" a="1"/>
  <c r="J669" i="1" s="1"/>
  <c r="F670" i="1" a="1"/>
  <c r="F670" i="1" s="1"/>
  <c r="I670" i="1" a="1"/>
  <c r="I670" i="1" s="1"/>
  <c r="L670" i="1" a="1"/>
  <c r="L670" i="1" s="1"/>
  <c r="N670" i="1" a="1"/>
  <c r="N670" i="1" s="1"/>
  <c r="G671" i="1" a="1"/>
  <c r="G671" i="1" s="1"/>
  <c r="L671" i="1" a="1"/>
  <c r="L671" i="1" s="1"/>
  <c r="N671" i="1" a="1"/>
  <c r="N671" i="1" s="1"/>
  <c r="J672" i="1" a="1"/>
  <c r="J672" i="1" s="1"/>
  <c r="G673" i="1" a="1"/>
  <c r="G673" i="1" s="1"/>
  <c r="J673" i="1" a="1"/>
  <c r="J673" i="1" s="1"/>
  <c r="M673" i="1"/>
  <c r="I674" i="1" a="1"/>
  <c r="I674" i="1" s="1"/>
  <c r="M674" i="1"/>
  <c r="C675" i="1" a="1"/>
  <c r="C675" i="1" s="1"/>
  <c r="F675" i="1" a="1"/>
  <c r="F675" i="1" s="1"/>
  <c r="I675" i="1" a="1"/>
  <c r="I675" i="1" s="1"/>
  <c r="M675" i="1"/>
  <c r="J676" i="1" a="1"/>
  <c r="J676" i="1" s="1"/>
  <c r="C677" i="1" a="1"/>
  <c r="C677" i="1" s="1"/>
  <c r="F677" i="1" a="1"/>
  <c r="F677" i="1" s="1"/>
  <c r="J677" i="1" a="1"/>
  <c r="J677" i="1" s="1"/>
  <c r="G678" i="1" a="1"/>
  <c r="G678" i="1" s="1"/>
  <c r="K678" i="1" a="1"/>
  <c r="K678" i="1" s="1"/>
  <c r="N678" i="1" a="1"/>
  <c r="N678" i="1" s="1"/>
  <c r="L679" i="1" a="1"/>
  <c r="L679" i="1" s="1"/>
  <c r="I680" i="1" a="1"/>
  <c r="I680" i="1" s="1"/>
  <c r="M680" i="1"/>
  <c r="C681" i="1" a="1"/>
  <c r="C681" i="1" s="1"/>
  <c r="F681" i="1" a="1"/>
  <c r="F681" i="1" s="1"/>
  <c r="J681" i="1" a="1"/>
  <c r="J681" i="1" s="1"/>
  <c r="G682" i="1" a="1"/>
  <c r="G682" i="1" s="1"/>
  <c r="K682" i="1" a="1"/>
  <c r="K682" i="1" s="1"/>
  <c r="N682" i="1" a="1"/>
  <c r="N682" i="1" s="1"/>
  <c r="L683" i="1" a="1"/>
  <c r="L683" i="1" s="1"/>
  <c r="I684" i="1" a="1"/>
  <c r="I684" i="1" s="1"/>
  <c r="M684" i="1"/>
  <c r="C685" i="1" a="1"/>
  <c r="C685" i="1" s="1"/>
  <c r="F685" i="1" a="1"/>
  <c r="F685" i="1" s="1"/>
  <c r="J685" i="1" a="1"/>
  <c r="J685" i="1" s="1"/>
  <c r="G686" i="1" a="1"/>
  <c r="G686" i="1" s="1"/>
  <c r="K686" i="1" a="1"/>
  <c r="K686" i="1" s="1"/>
  <c r="N686" i="1" a="1"/>
  <c r="N686" i="1" s="1"/>
  <c r="L687" i="1" a="1"/>
  <c r="L687" i="1" s="1"/>
  <c r="I688" i="1" a="1"/>
  <c r="I688" i="1" s="1"/>
  <c r="M688" i="1"/>
  <c r="C689" i="1" a="1"/>
  <c r="C689" i="1" s="1"/>
  <c r="F689" i="1" a="1"/>
  <c r="F689" i="1" s="1"/>
  <c r="J689" i="1" a="1"/>
  <c r="J689" i="1" s="1"/>
  <c r="G690" i="1" a="1"/>
  <c r="G690" i="1" s="1"/>
  <c r="K690" i="1" a="1"/>
  <c r="K690" i="1" s="1"/>
  <c r="N690" i="1" a="1"/>
  <c r="N690" i="1" s="1"/>
  <c r="L691" i="1" a="1"/>
  <c r="L691" i="1" s="1"/>
  <c r="I692" i="1" a="1"/>
  <c r="I692" i="1" s="1"/>
  <c r="M692" i="1"/>
  <c r="C693" i="1" a="1"/>
  <c r="C693" i="1" s="1"/>
  <c r="F693" i="1" a="1"/>
  <c r="F693" i="1" s="1"/>
  <c r="J693" i="1" a="1"/>
  <c r="J693" i="1" s="1"/>
  <c r="G694" i="1" a="1"/>
  <c r="G694" i="1" s="1"/>
  <c r="K694" i="1" a="1"/>
  <c r="K694" i="1" s="1"/>
  <c r="N694" i="1" a="1"/>
  <c r="N694" i="1" s="1"/>
  <c r="L695" i="1" a="1"/>
  <c r="L695" i="1" s="1"/>
  <c r="I696" i="1" a="1"/>
  <c r="I696" i="1" s="1"/>
  <c r="M696" i="1"/>
  <c r="C697" i="1" a="1"/>
  <c r="C697" i="1" s="1"/>
  <c r="F697" i="1" a="1"/>
  <c r="F697" i="1" s="1"/>
  <c r="J697" i="1" a="1"/>
  <c r="J697" i="1" s="1"/>
  <c r="G698" i="1" a="1"/>
  <c r="G698" i="1" s="1"/>
  <c r="K698" i="1" a="1"/>
  <c r="K698" i="1" s="1"/>
  <c r="N698" i="1" a="1"/>
  <c r="N698" i="1" s="1"/>
  <c r="L699" i="1" a="1"/>
  <c r="L699" i="1" s="1"/>
  <c r="I700" i="1" a="1"/>
  <c r="I700" i="1" s="1"/>
  <c r="M700" i="1"/>
  <c r="C701" i="1" a="1"/>
  <c r="C701" i="1" s="1"/>
  <c r="F701" i="1" a="1"/>
  <c r="F701" i="1" s="1"/>
  <c r="J701" i="1" a="1"/>
  <c r="J701" i="1" s="1"/>
  <c r="G702" i="1" a="1"/>
  <c r="G702" i="1" s="1"/>
  <c r="K702" i="1" a="1"/>
  <c r="K702" i="1" s="1"/>
  <c r="N702" i="1" a="1"/>
  <c r="N702" i="1" s="1"/>
  <c r="L703" i="1" a="1"/>
  <c r="L703" i="1" s="1"/>
  <c r="I704" i="1" a="1"/>
  <c r="I704" i="1" s="1"/>
  <c r="M704" i="1"/>
  <c r="C705" i="1" a="1"/>
  <c r="C705" i="1" s="1"/>
  <c r="F705" i="1" a="1"/>
  <c r="F705" i="1" s="1"/>
  <c r="J705" i="1" a="1"/>
  <c r="J705" i="1" s="1"/>
  <c r="G706" i="1" a="1"/>
  <c r="G706" i="1" s="1"/>
  <c r="K706" i="1" a="1"/>
  <c r="K706" i="1" s="1"/>
  <c r="N706" i="1" a="1"/>
  <c r="N706" i="1" s="1"/>
  <c r="G707" i="1" a="1"/>
  <c r="G707" i="1" s="1"/>
  <c r="K707" i="1" a="1"/>
  <c r="K707" i="1" s="1"/>
  <c r="N707" i="1" a="1"/>
  <c r="N707" i="1" s="1"/>
  <c r="G708" i="1" a="1"/>
  <c r="G708" i="1" s="1"/>
  <c r="K708" i="1" a="1"/>
  <c r="K708" i="1" s="1"/>
  <c r="N708" i="1" a="1"/>
  <c r="N708" i="1" s="1"/>
  <c r="G709" i="1" a="1"/>
  <c r="G709" i="1" s="1"/>
  <c r="K709" i="1" a="1"/>
  <c r="K709" i="1" s="1"/>
  <c r="N709" i="1" a="1"/>
  <c r="N709" i="1" s="1"/>
  <c r="G710" i="1" a="1"/>
  <c r="G710" i="1" s="1"/>
  <c r="K710" i="1" a="1"/>
  <c r="K710" i="1" s="1"/>
  <c r="N710" i="1" a="1"/>
  <c r="N710" i="1" s="1"/>
  <c r="G711" i="1" a="1"/>
  <c r="G711" i="1" s="1"/>
  <c r="K711" i="1" a="1"/>
  <c r="K711" i="1" s="1"/>
  <c r="N711" i="1" a="1"/>
  <c r="N711" i="1" s="1"/>
  <c r="G628" i="1" a="1"/>
  <c r="G628" i="1" s="1"/>
  <c r="J630" i="1" a="1"/>
  <c r="J630" i="1" s="1"/>
  <c r="G632" i="1" a="1"/>
  <c r="G632" i="1" s="1"/>
  <c r="J634" i="1" a="1"/>
  <c r="J634" i="1" s="1"/>
  <c r="F635" i="1" a="1"/>
  <c r="F635" i="1" s="1"/>
  <c r="L635" i="1" a="1"/>
  <c r="L635" i="1" s="1"/>
  <c r="G636" i="1" a="1"/>
  <c r="G636" i="1" s="1"/>
  <c r="N637" i="1" a="1"/>
  <c r="N637" i="1" s="1"/>
  <c r="J638" i="1" a="1"/>
  <c r="J638" i="1" s="1"/>
  <c r="F639" i="1" a="1"/>
  <c r="F639" i="1" s="1"/>
  <c r="L639" i="1" a="1"/>
  <c r="L639" i="1" s="1"/>
  <c r="F640" i="1" a="1"/>
  <c r="F640" i="1" s="1"/>
  <c r="J640" i="1" a="1"/>
  <c r="J640" i="1" s="1"/>
  <c r="F641" i="1" a="1"/>
  <c r="F641" i="1" s="1"/>
  <c r="J641" i="1" a="1"/>
  <c r="J641" i="1" s="1"/>
  <c r="F642" i="1" a="1"/>
  <c r="F642" i="1" s="1"/>
  <c r="J642" i="1" a="1"/>
  <c r="J642" i="1" s="1"/>
  <c r="F643" i="1" a="1"/>
  <c r="F643" i="1" s="1"/>
  <c r="J643" i="1" a="1"/>
  <c r="J643" i="1" s="1"/>
  <c r="F644" i="1" a="1"/>
  <c r="F644" i="1" s="1"/>
  <c r="J644" i="1" a="1"/>
  <c r="J644" i="1" s="1"/>
  <c r="C645" i="1" a="1"/>
  <c r="C645" i="1" s="1"/>
  <c r="F645" i="1" a="1"/>
  <c r="F645" i="1" s="1"/>
  <c r="I645" i="1" a="1"/>
  <c r="I645" i="1" s="1"/>
  <c r="M645" i="1"/>
  <c r="L646" i="1" a="1"/>
  <c r="L646" i="1" s="1"/>
  <c r="G647" i="1" a="1"/>
  <c r="G647" i="1" s="1"/>
  <c r="K647" i="1" a="1"/>
  <c r="K647" i="1" s="1"/>
  <c r="N647" i="1" a="1"/>
  <c r="N647" i="1" s="1"/>
  <c r="J648" i="1" a="1"/>
  <c r="J648" i="1" s="1"/>
  <c r="C649" i="1" a="1"/>
  <c r="C649" i="1" s="1"/>
  <c r="F649" i="1" a="1"/>
  <c r="F649" i="1" s="1"/>
  <c r="I649" i="1" a="1"/>
  <c r="I649" i="1" s="1"/>
  <c r="M649" i="1"/>
  <c r="L650" i="1" a="1"/>
  <c r="L650" i="1" s="1"/>
  <c r="G651" i="1" a="1"/>
  <c r="G651" i="1" s="1"/>
  <c r="K651" i="1" a="1"/>
  <c r="K651" i="1" s="1"/>
  <c r="N651" i="1" a="1"/>
  <c r="N651" i="1" s="1"/>
  <c r="J652" i="1" a="1"/>
  <c r="J652" i="1" s="1"/>
  <c r="C653" i="1" a="1"/>
  <c r="C653" i="1" s="1"/>
  <c r="F653" i="1" a="1"/>
  <c r="F653" i="1" s="1"/>
  <c r="I653" i="1" a="1"/>
  <c r="I653" i="1" s="1"/>
  <c r="M653" i="1"/>
  <c r="L654" i="1" a="1"/>
  <c r="L654" i="1" s="1"/>
  <c r="G655" i="1" a="1"/>
  <c r="G655" i="1" s="1"/>
  <c r="K655" i="1" a="1"/>
  <c r="K655" i="1" s="1"/>
  <c r="C656" i="1" a="1"/>
  <c r="C656" i="1" s="1"/>
  <c r="F656" i="1" a="1"/>
  <c r="F656" i="1" s="1"/>
  <c r="I656" i="1" a="1"/>
  <c r="I656" i="1" s="1"/>
  <c r="N656" i="1" a="1"/>
  <c r="N656" i="1" s="1"/>
  <c r="G658" i="1" a="1"/>
  <c r="G658" i="1" s="1"/>
  <c r="M658" i="1"/>
  <c r="C659" i="1" a="1"/>
  <c r="C659" i="1" s="1"/>
  <c r="I659" i="1" a="1"/>
  <c r="I659" i="1" s="1"/>
  <c r="M659" i="1"/>
  <c r="C661" i="1" a="1"/>
  <c r="C661" i="1" s="1"/>
  <c r="J661" i="1" a="1"/>
  <c r="J661" i="1" s="1"/>
  <c r="L661" i="1" a="1"/>
  <c r="L661" i="1" s="1"/>
  <c r="F662" i="1" a="1"/>
  <c r="F662" i="1" s="1"/>
  <c r="J662" i="1" a="1"/>
  <c r="J662" i="1" s="1"/>
  <c r="J663" i="1" a="1"/>
  <c r="J663" i="1" s="1"/>
  <c r="M663" i="1"/>
  <c r="G664" i="1" a="1"/>
  <c r="G664" i="1" s="1"/>
  <c r="I665" i="1" a="1"/>
  <c r="I665" i="1" s="1"/>
  <c r="N665" i="1" a="1"/>
  <c r="N665" i="1" s="1"/>
  <c r="J666" i="1" a="1"/>
  <c r="J666" i="1" s="1"/>
  <c r="M666" i="1"/>
  <c r="G668" i="1" a="1"/>
  <c r="G668" i="1" s="1"/>
  <c r="K669" i="1" a="1"/>
  <c r="K669" i="1" s="1"/>
  <c r="N669" i="1" a="1"/>
  <c r="N669" i="1" s="1"/>
  <c r="J670" i="1" a="1"/>
  <c r="J670" i="1" s="1"/>
  <c r="J671" i="1" a="1"/>
  <c r="J671" i="1" s="1"/>
  <c r="M671" i="1"/>
  <c r="G672" i="1" a="1"/>
  <c r="G672" i="1" s="1"/>
  <c r="M672" i="1"/>
  <c r="C673" i="1" a="1"/>
  <c r="C673" i="1" s="1"/>
  <c r="K673" i="1" a="1"/>
  <c r="K673" i="1" s="1"/>
  <c r="C674" i="1" a="1"/>
  <c r="C674" i="1" s="1"/>
  <c r="F674" i="1" a="1"/>
  <c r="F674" i="1" s="1"/>
  <c r="J674" i="1" a="1"/>
  <c r="J674" i="1" s="1"/>
  <c r="G675" i="1" a="1"/>
  <c r="G675" i="1" s="1"/>
  <c r="J675" i="1" a="1"/>
  <c r="J675" i="1" s="1"/>
  <c r="G676" i="1" a="1"/>
  <c r="G676" i="1" s="1"/>
  <c r="K676" i="1" a="1"/>
  <c r="K676" i="1" s="1"/>
  <c r="N676" i="1" a="1"/>
  <c r="N676" i="1" s="1"/>
  <c r="G677" i="1" a="1"/>
  <c r="G677" i="1" s="1"/>
  <c r="K677" i="1" a="1"/>
  <c r="K677" i="1" s="1"/>
  <c r="N677" i="1" a="1"/>
  <c r="N677" i="1" s="1"/>
  <c r="L678" i="1" a="1"/>
  <c r="L678" i="1" s="1"/>
  <c r="I679" i="1" a="1"/>
  <c r="I679" i="1" s="1"/>
  <c r="M679" i="1"/>
  <c r="C680" i="1" a="1"/>
  <c r="C680" i="1" s="1"/>
  <c r="F680" i="1" a="1"/>
  <c r="F680" i="1" s="1"/>
  <c r="J680" i="1" a="1"/>
  <c r="J680" i="1" s="1"/>
  <c r="G681" i="1" a="1"/>
  <c r="G681" i="1" s="1"/>
  <c r="K681" i="1" a="1"/>
  <c r="K681" i="1" s="1"/>
  <c r="N681" i="1" a="1"/>
  <c r="N681" i="1" s="1"/>
  <c r="L682" i="1" a="1"/>
  <c r="L682" i="1" s="1"/>
  <c r="I683" i="1" a="1"/>
  <c r="I683" i="1" s="1"/>
  <c r="M683" i="1"/>
  <c r="C684" i="1" a="1"/>
  <c r="C684" i="1" s="1"/>
  <c r="F684" i="1" a="1"/>
  <c r="F684" i="1" s="1"/>
  <c r="J684" i="1" a="1"/>
  <c r="J684" i="1" s="1"/>
  <c r="G685" i="1" a="1"/>
  <c r="G685" i="1" s="1"/>
  <c r="K685" i="1" a="1"/>
  <c r="K685" i="1" s="1"/>
  <c r="N685" i="1" a="1"/>
  <c r="N685" i="1" s="1"/>
  <c r="L686" i="1" a="1"/>
  <c r="L686" i="1" s="1"/>
  <c r="I687" i="1" a="1"/>
  <c r="I687" i="1" s="1"/>
  <c r="M687" i="1"/>
  <c r="C688" i="1" a="1"/>
  <c r="C688" i="1" s="1"/>
  <c r="F688" i="1" a="1"/>
  <c r="F688" i="1" s="1"/>
  <c r="J688" i="1" a="1"/>
  <c r="J688" i="1" s="1"/>
  <c r="G689" i="1" a="1"/>
  <c r="G689" i="1" s="1"/>
  <c r="K689" i="1" a="1"/>
  <c r="K689" i="1" s="1"/>
  <c r="N689" i="1" a="1"/>
  <c r="N689" i="1" s="1"/>
  <c r="L690" i="1" a="1"/>
  <c r="L690" i="1" s="1"/>
  <c r="I691" i="1" a="1"/>
  <c r="I691" i="1" s="1"/>
  <c r="M691" i="1"/>
  <c r="C692" i="1" a="1"/>
  <c r="C692" i="1" s="1"/>
  <c r="F692" i="1" a="1"/>
  <c r="F692" i="1" s="1"/>
  <c r="J692" i="1" a="1"/>
  <c r="J692" i="1" s="1"/>
  <c r="G693" i="1" a="1"/>
  <c r="G693" i="1" s="1"/>
  <c r="K693" i="1" a="1"/>
  <c r="K693" i="1" s="1"/>
  <c r="N693" i="1" a="1"/>
  <c r="N693" i="1" s="1"/>
  <c r="L694" i="1" a="1"/>
  <c r="L694" i="1" s="1"/>
  <c r="I695" i="1" a="1"/>
  <c r="I695" i="1" s="1"/>
  <c r="M695" i="1"/>
  <c r="C696" i="1" a="1"/>
  <c r="C696" i="1" s="1"/>
  <c r="F696" i="1" a="1"/>
  <c r="F696" i="1" s="1"/>
  <c r="J696" i="1" a="1"/>
  <c r="J696" i="1" s="1"/>
  <c r="G697" i="1" a="1"/>
  <c r="G697" i="1" s="1"/>
  <c r="K697" i="1" a="1"/>
  <c r="K697" i="1" s="1"/>
  <c r="N697" i="1" a="1"/>
  <c r="N697" i="1" s="1"/>
  <c r="L698" i="1" a="1"/>
  <c r="L698" i="1" s="1"/>
  <c r="I699" i="1" a="1"/>
  <c r="I699" i="1" s="1"/>
  <c r="M699" i="1"/>
  <c r="C700" i="1" a="1"/>
  <c r="C700" i="1" s="1"/>
  <c r="F700" i="1" a="1"/>
  <c r="F700" i="1" s="1"/>
  <c r="J700" i="1" a="1"/>
  <c r="J700" i="1" s="1"/>
  <c r="G701" i="1" a="1"/>
  <c r="G701" i="1" s="1"/>
  <c r="K701" i="1" a="1"/>
  <c r="K701" i="1" s="1"/>
  <c r="N701" i="1" a="1"/>
  <c r="N701" i="1" s="1"/>
  <c r="L702" i="1" a="1"/>
  <c r="L702" i="1" s="1"/>
  <c r="I703" i="1" a="1"/>
  <c r="I703" i="1" s="1"/>
  <c r="M703" i="1"/>
  <c r="C704" i="1" a="1"/>
  <c r="C704" i="1" s="1"/>
  <c r="F704" i="1" a="1"/>
  <c r="F704" i="1" s="1"/>
  <c r="J704" i="1" a="1"/>
  <c r="J704" i="1" s="1"/>
  <c r="G705" i="1" a="1"/>
  <c r="G705" i="1" s="1"/>
  <c r="K705" i="1" a="1"/>
  <c r="K705" i="1" s="1"/>
  <c r="N705" i="1" a="1"/>
  <c r="N705" i="1" s="1"/>
  <c r="L706" i="1" a="1"/>
  <c r="L706" i="1" s="1"/>
  <c r="L707" i="1" a="1"/>
  <c r="L707" i="1" s="1"/>
  <c r="L708" i="1" a="1"/>
  <c r="L708" i="1" s="1"/>
  <c r="L709" i="1" a="1"/>
  <c r="L709" i="1" s="1"/>
  <c r="L710" i="1" a="1"/>
  <c r="L710" i="1" s="1"/>
  <c r="L711" i="1" a="1"/>
  <c r="L711" i="1" s="1"/>
  <c r="S52" i="4"/>
  <c r="U52" i="4" s="1" a="1"/>
  <c r="U52" i="4" s="1"/>
  <c r="V52" i="4" a="1"/>
  <c r="V52" i="4" s="1"/>
  <c r="S68" i="4"/>
  <c r="U68" i="4" s="1" a="1"/>
  <c r="U68" i="4" s="1"/>
  <c r="V68" i="4" a="1"/>
  <c r="V68" i="4" s="1"/>
  <c r="S119" i="4"/>
  <c r="U119" i="4" s="1" a="1"/>
  <c r="U119" i="4" s="1"/>
  <c r="V119" i="4" a="1"/>
  <c r="V119" i="4" s="1"/>
  <c r="S60" i="4"/>
  <c r="U60" i="4" s="1" a="1"/>
  <c r="U60" i="4" s="1"/>
  <c r="V60" i="4" a="1"/>
  <c r="V60" i="4" s="1"/>
  <c r="S95" i="4"/>
  <c r="U95" i="4" s="1" a="1"/>
  <c r="U95" i="4" s="1"/>
  <c r="V95" i="4" a="1"/>
  <c r="V95" i="4" s="1"/>
  <c r="I118" i="8"/>
  <c r="I140" i="8"/>
  <c r="I125" i="8"/>
  <c r="I147" i="8"/>
  <c r="I137" i="8"/>
  <c r="I105" i="8"/>
  <c r="I145" i="8"/>
  <c r="I107" i="8"/>
  <c r="I130" i="8"/>
  <c r="I117" i="8"/>
  <c r="M170" i="1"/>
  <c r="M171" i="1"/>
  <c r="I120" i="8"/>
  <c r="I119" i="8"/>
  <c r="I111" i="8"/>
  <c r="I143" i="8"/>
  <c r="I132" i="8"/>
  <c r="I144" i="8"/>
  <c r="I134" i="8"/>
  <c r="I131" i="8"/>
  <c r="I114" i="8"/>
  <c r="I148" i="8"/>
  <c r="I123" i="8"/>
  <c r="I136" i="8"/>
  <c r="I112" i="8"/>
  <c r="M169" i="1"/>
  <c r="I121" i="8"/>
  <c r="I106" i="8"/>
  <c r="I129" i="8"/>
  <c r="N185" i="1" a="1"/>
  <c r="N185" i="1" s="1"/>
  <c r="M172" i="1"/>
  <c r="I115" i="8"/>
  <c r="I142" i="8"/>
  <c r="I124" i="8"/>
  <c r="I113" i="8"/>
  <c r="I149" i="8"/>
  <c r="I122" i="8"/>
  <c r="I116" i="8"/>
  <c r="I151" i="8"/>
  <c r="I110" i="8"/>
  <c r="I133" i="8"/>
  <c r="I104" i="8"/>
  <c r="I150" i="8"/>
  <c r="I127" i="8"/>
  <c r="I141" i="8"/>
  <c r="I139" i="8"/>
  <c r="I126" i="8"/>
  <c r="I128" i="8"/>
  <c r="I135" i="8"/>
  <c r="I108" i="8"/>
  <c r="I146" i="8"/>
  <c r="I109" i="8"/>
  <c r="I138" i="8"/>
  <c r="M174" i="1"/>
  <c r="C177" i="1" a="1"/>
  <c r="C177" i="1" s="1"/>
  <c r="F177" i="1" a="1"/>
  <c r="F177" i="1" s="1"/>
  <c r="J180" i="1" a="1"/>
  <c r="J180" i="1" s="1"/>
  <c r="G184" i="1" a="1"/>
  <c r="G184" i="1" s="1"/>
  <c r="M184" i="1"/>
  <c r="I186" i="1" a="1"/>
  <c r="I186" i="1" s="1"/>
  <c r="G174" i="1" a="1"/>
  <c r="G174" i="1" s="1"/>
  <c r="F175" i="1" a="1"/>
  <c r="F175" i="1" s="1"/>
  <c r="F176" i="1" a="1"/>
  <c r="F176" i="1" s="1"/>
  <c r="G177" i="1" a="1"/>
  <c r="G177" i="1" s="1"/>
  <c r="M177" i="1"/>
  <c r="F182" i="1" a="1"/>
  <c r="F182" i="1" s="1"/>
  <c r="M182" i="1"/>
  <c r="C184" i="1" a="1"/>
  <c r="C184" i="1" s="1"/>
  <c r="I184" i="1" a="1"/>
  <c r="I184" i="1" s="1"/>
  <c r="I174" i="1" a="1"/>
  <c r="I174" i="1" s="1"/>
  <c r="J175" i="1" a="1"/>
  <c r="J175" i="1" s="1"/>
  <c r="C176" i="1" a="1"/>
  <c r="C176" i="1" s="1"/>
  <c r="G176" i="1" a="1"/>
  <c r="G176" i="1" s="1"/>
  <c r="M176" i="1"/>
  <c r="I177" i="1" a="1"/>
  <c r="I177" i="1" s="1"/>
  <c r="G178" i="1" a="1"/>
  <c r="G178" i="1" s="1"/>
  <c r="M178" i="1"/>
  <c r="C180" i="1" a="1"/>
  <c r="C180" i="1" s="1"/>
  <c r="F180" i="1" a="1"/>
  <c r="F180" i="1" s="1"/>
  <c r="M180" i="1"/>
  <c r="C182" i="1" a="1"/>
  <c r="C182" i="1" s="1"/>
  <c r="I182" i="1" a="1"/>
  <c r="I182" i="1" s="1"/>
  <c r="I176" i="1" a="1"/>
  <c r="I176" i="1" s="1"/>
  <c r="I178" i="1" a="1"/>
  <c r="I178" i="1" s="1"/>
  <c r="I180" i="1" a="1"/>
  <c r="I180" i="1" s="1"/>
  <c r="J182" i="1" a="1"/>
  <c r="J182" i="1" s="1"/>
  <c r="G186" i="1" a="1"/>
  <c r="G186" i="1" s="1"/>
  <c r="M186" i="1"/>
  <c r="M173" i="1"/>
  <c r="M179" i="1"/>
  <c r="C170" i="1" a="1"/>
  <c r="C170" i="1" s="1"/>
  <c r="G181" i="1" a="1"/>
  <c r="G181" i="1" s="1"/>
  <c r="F168" i="1" a="1"/>
  <c r="F168" i="1" s="1"/>
  <c r="F181" i="1" a="1"/>
  <c r="F181" i="1" s="1"/>
  <c r="C179" i="1" a="1"/>
  <c r="C179" i="1" s="1"/>
  <c r="F171" i="1" a="1"/>
  <c r="F171" i="1" s="1"/>
  <c r="F166" i="1" a="1"/>
  <c r="F166" i="1" s="1"/>
  <c r="I165" i="1" a="1"/>
  <c r="I165" i="1" s="1"/>
  <c r="I169" i="1" a="1"/>
  <c r="I169" i="1" s="1"/>
  <c r="C178" i="1" a="1"/>
  <c r="C178" i="1" s="1"/>
  <c r="I179" i="1" a="1"/>
  <c r="I179" i="1" s="1"/>
  <c r="G182" i="1" a="1"/>
  <c r="G182" i="1" s="1"/>
  <c r="M183" i="1"/>
  <c r="J186" i="1" a="1"/>
  <c r="J186" i="1" s="1"/>
  <c r="C169" i="1" a="1"/>
  <c r="C169" i="1" s="1"/>
  <c r="G173" i="1" a="1"/>
  <c r="G173" i="1" s="1"/>
  <c r="C165" i="1" a="1"/>
  <c r="C165" i="1" s="1"/>
  <c r="G163" i="1" a="1"/>
  <c r="G163" i="1" s="1"/>
  <c r="M164" i="1"/>
  <c r="G167" i="1" a="1"/>
  <c r="G167" i="1" s="1"/>
  <c r="M168" i="1"/>
  <c r="C174" i="1" a="1"/>
  <c r="C174" i="1" s="1"/>
  <c r="F179" i="1" a="1"/>
  <c r="F179" i="1" s="1"/>
  <c r="J181" i="1" a="1"/>
  <c r="J181" i="1" s="1"/>
  <c r="C185" i="1" a="1"/>
  <c r="C185" i="1" s="1"/>
  <c r="G185" i="1" a="1"/>
  <c r="G185" i="1" s="1"/>
  <c r="F170" i="1" a="1"/>
  <c r="F170" i="1" s="1"/>
  <c r="I173" i="1" a="1"/>
  <c r="I173" i="1" s="1"/>
  <c r="C164" i="1" a="1"/>
  <c r="C164" i="1" s="1"/>
  <c r="C168" i="1" a="1"/>
  <c r="C168" i="1" s="1"/>
  <c r="G164" i="1" a="1"/>
  <c r="G164" i="1" s="1"/>
  <c r="G168" i="1" a="1"/>
  <c r="G168" i="1" s="1"/>
  <c r="G172" i="1" a="1"/>
  <c r="G172" i="1" s="1"/>
  <c r="C175" i="1" a="1"/>
  <c r="C175" i="1" s="1"/>
  <c r="F178" i="1" a="1"/>
  <c r="F178" i="1" s="1"/>
  <c r="I181" i="1" a="1"/>
  <c r="I181" i="1" s="1"/>
  <c r="F169" i="1" a="1"/>
  <c r="F169" i="1" s="1"/>
  <c r="F165" i="1" a="1"/>
  <c r="F165" i="1" s="1"/>
  <c r="I166" i="1" a="1"/>
  <c r="I166" i="1" s="1"/>
  <c r="I170" i="1" a="1"/>
  <c r="I170" i="1" s="1"/>
  <c r="F174" i="1" a="1"/>
  <c r="F174" i="1" s="1"/>
  <c r="J171" i="1" a="1"/>
  <c r="J171" i="1" s="1"/>
  <c r="J183" i="1" a="1"/>
  <c r="J183" i="1" s="1"/>
  <c r="F185" i="1" a="1"/>
  <c r="F185" i="1" s="1"/>
  <c r="C183" i="1" a="1"/>
  <c r="C183" i="1" s="1"/>
  <c r="M185" i="1"/>
  <c r="F164" i="1" a="1"/>
  <c r="F164" i="1" s="1"/>
  <c r="C173" i="1" a="1"/>
  <c r="C173" i="1" s="1"/>
  <c r="I163" i="1" a="1"/>
  <c r="I163" i="1" s="1"/>
  <c r="I167" i="1" a="1"/>
  <c r="I167" i="1" s="1"/>
  <c r="I171" i="1" a="1"/>
  <c r="I171" i="1" s="1"/>
  <c r="I175" i="1" a="1"/>
  <c r="I175" i="1" s="1"/>
  <c r="G180" i="1" a="1"/>
  <c r="G180" i="1" s="1"/>
  <c r="M181" i="1"/>
  <c r="F184" i="1" a="1"/>
  <c r="F184" i="1" s="1"/>
  <c r="C186" i="1" a="1"/>
  <c r="C186" i="1" s="1"/>
  <c r="C171" i="1" a="1"/>
  <c r="C171" i="1" s="1"/>
  <c r="C163" i="1" a="1"/>
  <c r="C163" i="1" s="1"/>
  <c r="C167" i="1" a="1"/>
  <c r="C167" i="1" s="1"/>
  <c r="G165" i="1" a="1"/>
  <c r="G165" i="1" s="1"/>
  <c r="M166" i="1"/>
  <c r="G169" i="1" a="1"/>
  <c r="G169" i="1" s="1"/>
  <c r="I172" i="1" a="1"/>
  <c r="I172" i="1" s="1"/>
  <c r="J174" i="1" a="1"/>
  <c r="J174" i="1" s="1"/>
  <c r="C172" i="1" a="1"/>
  <c r="C172" i="1" s="1"/>
  <c r="C181" i="1" a="1"/>
  <c r="C181" i="1" s="1"/>
  <c r="I185" i="1" a="1"/>
  <c r="I185" i="1" s="1"/>
  <c r="J185" i="1" a="1"/>
  <c r="J185" i="1" s="1"/>
  <c r="G179" i="1" a="1"/>
  <c r="G179" i="1" s="1"/>
  <c r="F183" i="1" a="1"/>
  <c r="F183" i="1" s="1"/>
  <c r="G183" i="1" a="1"/>
  <c r="G183" i="1" s="1"/>
  <c r="F172" i="1" a="1"/>
  <c r="F172" i="1" s="1"/>
  <c r="C166" i="1" a="1"/>
  <c r="C166" i="1" s="1"/>
  <c r="F173" i="1" a="1"/>
  <c r="F173" i="1" s="1"/>
  <c r="M163" i="1"/>
  <c r="G166" i="1" a="1"/>
  <c r="G166" i="1" s="1"/>
  <c r="G170" i="1" a="1"/>
  <c r="G170" i="1" s="1"/>
  <c r="M175" i="1"/>
  <c r="I183" i="1" a="1"/>
  <c r="I183" i="1" s="1"/>
  <c r="J184" i="1" a="1"/>
  <c r="J184" i="1" s="1"/>
  <c r="F186" i="1" a="1"/>
  <c r="F186" i="1" s="1"/>
  <c r="F163" i="1" a="1"/>
  <c r="F163" i="1" s="1"/>
  <c r="F167" i="1" a="1"/>
  <c r="F167" i="1" s="1"/>
  <c r="I164" i="1" a="1"/>
  <c r="I164" i="1" s="1"/>
  <c r="I168" i="1" a="1"/>
  <c r="I168" i="1" s="1"/>
  <c r="G171" i="1" a="1"/>
  <c r="G171" i="1" s="1"/>
  <c r="G175" i="1" a="1"/>
  <c r="G175" i="1" s="1"/>
  <c r="I26" i="1" a="1"/>
  <c r="I26" i="1" s="1"/>
  <c r="I27" i="1" a="1"/>
  <c r="I27" i="1" s="1"/>
  <c r="I28" i="1" a="1"/>
  <c r="I28" i="1" s="1"/>
  <c r="C49" i="1" a="1"/>
  <c r="C49" i="1" s="1"/>
  <c r="C22" i="1" a="1"/>
  <c r="C22" i="1" s="1"/>
  <c r="M86" i="1"/>
  <c r="M122" i="1"/>
  <c r="M158" i="1"/>
  <c r="M32" i="1"/>
  <c r="M116" i="1"/>
  <c r="M56" i="1"/>
  <c r="M92" i="1"/>
  <c r="M128" i="1"/>
  <c r="M44" i="1"/>
  <c r="M62" i="1"/>
  <c r="M98" i="1"/>
  <c r="M134" i="1"/>
  <c r="M8" i="1"/>
  <c r="M80" i="1"/>
  <c r="M68" i="1"/>
  <c r="M104" i="1"/>
  <c r="M14" i="1"/>
  <c r="M152" i="1"/>
  <c r="M38" i="1"/>
  <c r="M74" i="1"/>
  <c r="M110" i="1"/>
  <c r="M146" i="1"/>
  <c r="M20" i="1"/>
  <c r="M26" i="1"/>
  <c r="M87" i="1"/>
  <c r="M15" i="1"/>
  <c r="M70" i="1"/>
  <c r="M25" i="1"/>
  <c r="M151" i="1"/>
  <c r="M115" i="1"/>
  <c r="M73" i="1"/>
  <c r="M37" i="1"/>
  <c r="M12" i="1"/>
  <c r="M138" i="1"/>
  <c r="M54" i="1"/>
  <c r="M23" i="1"/>
  <c r="M149" i="1"/>
  <c r="M77" i="1"/>
  <c r="M41" i="1"/>
  <c r="M148" i="1"/>
  <c r="M21" i="1"/>
  <c r="M135" i="1"/>
  <c r="M75" i="1"/>
  <c r="M81" i="1"/>
  <c r="M45" i="1"/>
  <c r="M9" i="1"/>
  <c r="M100" i="1"/>
  <c r="M52" i="1"/>
  <c r="M19" i="1"/>
  <c r="M145" i="1"/>
  <c r="M109" i="1"/>
  <c r="M67" i="1"/>
  <c r="M6" i="1"/>
  <c r="M132" i="1"/>
  <c r="M84" i="1"/>
  <c r="M17" i="1"/>
  <c r="M143" i="1"/>
  <c r="M107" i="1"/>
  <c r="M71" i="1"/>
  <c r="M142" i="1"/>
  <c r="M3" i="1"/>
  <c r="M129" i="1"/>
  <c r="M57" i="1"/>
  <c r="M28" i="1"/>
  <c r="M96" i="1"/>
  <c r="M13" i="1"/>
  <c r="M139" i="1"/>
  <c r="M103" i="1"/>
  <c r="M61" i="1"/>
  <c r="M2" i="1"/>
  <c r="M162" i="1"/>
  <c r="M126" i="1"/>
  <c r="M78" i="1"/>
  <c r="M42" i="1"/>
  <c r="M11" i="1"/>
  <c r="M137" i="1"/>
  <c r="M101" i="1"/>
  <c r="M65" i="1"/>
  <c r="M136" i="1"/>
  <c r="M76" i="1"/>
  <c r="M159" i="1"/>
  <c r="M39" i="1"/>
  <c r="M69" i="1"/>
  <c r="M33" i="1"/>
  <c r="M46" i="1"/>
  <c r="M90" i="1"/>
  <c r="M88" i="1"/>
  <c r="M7" i="1"/>
  <c r="M133" i="1"/>
  <c r="M55" i="1"/>
  <c r="M30" i="1"/>
  <c r="M156" i="1"/>
  <c r="M120" i="1"/>
  <c r="M72" i="1"/>
  <c r="M36" i="1"/>
  <c r="M5" i="1"/>
  <c r="M131" i="1"/>
  <c r="M95" i="1"/>
  <c r="M59" i="1"/>
  <c r="M4" i="1"/>
  <c r="M58" i="1"/>
  <c r="M153" i="1"/>
  <c r="M117" i="1"/>
  <c r="M16" i="1"/>
  <c r="M99" i="1"/>
  <c r="M63" i="1"/>
  <c r="M27" i="1"/>
  <c r="M10" i="1"/>
  <c r="M64" i="1"/>
  <c r="M127" i="1"/>
  <c r="M85" i="1"/>
  <c r="M24" i="1"/>
  <c r="M150" i="1"/>
  <c r="M114" i="1"/>
  <c r="M66" i="1"/>
  <c r="M35" i="1"/>
  <c r="M161" i="1"/>
  <c r="M125" i="1"/>
  <c r="M89" i="1"/>
  <c r="M53" i="1"/>
  <c r="M124" i="1"/>
  <c r="M40" i="1"/>
  <c r="M147" i="1"/>
  <c r="M111" i="1"/>
  <c r="M82" i="1"/>
  <c r="M97" i="1"/>
  <c r="M94" i="1"/>
  <c r="M34" i="1"/>
  <c r="M31" i="1"/>
  <c r="M121" i="1"/>
  <c r="M79" i="1"/>
  <c r="M43" i="1"/>
  <c r="M18" i="1"/>
  <c r="M144" i="1"/>
  <c r="M108" i="1"/>
  <c r="M60" i="1"/>
  <c r="M29" i="1"/>
  <c r="M155" i="1"/>
  <c r="M119" i="1"/>
  <c r="M83" i="1"/>
  <c r="M47" i="1"/>
  <c r="M154" i="1"/>
  <c r="M118" i="1"/>
  <c r="M105" i="1"/>
  <c r="M22" i="1"/>
  <c r="J108" i="4"/>
  <c r="J114" i="4"/>
  <c r="J119" i="4"/>
  <c r="J125" i="4"/>
  <c r="J131" i="4"/>
  <c r="J79" i="1" s="1" a="1"/>
  <c r="J79" i="1" s="1"/>
  <c r="J137" i="4"/>
  <c r="J143" i="4"/>
  <c r="J149" i="4"/>
  <c r="J155" i="4"/>
  <c r="J161" i="4"/>
  <c r="J167" i="4"/>
  <c r="J173" i="4"/>
  <c r="J179" i="4"/>
  <c r="J185" i="4"/>
  <c r="J191" i="4"/>
  <c r="J197" i="4"/>
  <c r="J203" i="4"/>
  <c r="J209" i="4"/>
  <c r="J215" i="4"/>
  <c r="J221" i="4"/>
  <c r="J227" i="4"/>
  <c r="J233" i="4"/>
  <c r="J239" i="4"/>
  <c r="J245" i="4"/>
  <c r="J251" i="4"/>
  <c r="J109" i="4"/>
  <c r="J111" i="4"/>
  <c r="J104" i="4"/>
  <c r="J115" i="4"/>
  <c r="J117" i="4"/>
  <c r="J120" i="4"/>
  <c r="J167" i="1" s="1" a="1"/>
  <c r="J167" i="1" s="1"/>
  <c r="J121" i="4"/>
  <c r="J59" i="1" s="1" a="1"/>
  <c r="J59" i="1" s="1"/>
  <c r="J123" i="4"/>
  <c r="J126" i="4"/>
  <c r="J127" i="4"/>
  <c r="J38" i="1" s="1" a="1"/>
  <c r="J38" i="1" s="1"/>
  <c r="J129" i="4"/>
  <c r="J37" i="1" s="1" a="1"/>
  <c r="J37" i="1" s="1"/>
  <c r="J132" i="4"/>
  <c r="J133" i="4"/>
  <c r="J135" i="4"/>
  <c r="J138" i="4"/>
  <c r="J139" i="4"/>
  <c r="J141" i="4"/>
  <c r="J144" i="4"/>
  <c r="J145" i="4"/>
  <c r="J147" i="4"/>
  <c r="J150" i="4"/>
  <c r="J151" i="4"/>
  <c r="J153" i="4"/>
  <c r="J156" i="4"/>
  <c r="J157" i="4"/>
  <c r="J159" i="4"/>
  <c r="J162" i="4"/>
  <c r="J163" i="4"/>
  <c r="J165" i="4"/>
  <c r="J168" i="4"/>
  <c r="J169" i="4"/>
  <c r="J171" i="4"/>
  <c r="J174" i="4"/>
  <c r="J175" i="4"/>
  <c r="J177" i="4"/>
  <c r="J180" i="4"/>
  <c r="J181" i="4"/>
  <c r="J183" i="4"/>
  <c r="J186" i="4"/>
  <c r="J187" i="4"/>
  <c r="J189" i="4"/>
  <c r="J192" i="4"/>
  <c r="J193" i="4"/>
  <c r="J195" i="4"/>
  <c r="J198" i="4"/>
  <c r="J199" i="4"/>
  <c r="J201" i="4"/>
  <c r="J204" i="4"/>
  <c r="J205" i="4"/>
  <c r="J207" i="4"/>
  <c r="J210" i="4"/>
  <c r="J211" i="4"/>
  <c r="J213" i="4"/>
  <c r="J216" i="4"/>
  <c r="J217" i="4"/>
  <c r="J219" i="4"/>
  <c r="J222" i="4"/>
  <c r="J223" i="4"/>
  <c r="J225" i="4"/>
  <c r="J228" i="4"/>
  <c r="J229" i="4"/>
  <c r="J231" i="4"/>
  <c r="J234" i="4"/>
  <c r="J235" i="4"/>
  <c r="J237" i="4"/>
  <c r="J240" i="4"/>
  <c r="J241" i="4"/>
  <c r="J243" i="4"/>
  <c r="J246" i="4"/>
  <c r="J247" i="4"/>
  <c r="J249" i="4"/>
  <c r="J252" i="4"/>
  <c r="J105" i="4"/>
  <c r="J112" i="4"/>
  <c r="J113" i="4"/>
  <c r="J116" i="4"/>
  <c r="J118" i="4"/>
  <c r="J122" i="4"/>
  <c r="J124" i="4"/>
  <c r="J128" i="4"/>
  <c r="J106" i="1" s="1" a="1"/>
  <c r="J106" i="1" s="1"/>
  <c r="J130" i="4"/>
  <c r="J134" i="4"/>
  <c r="J136" i="4"/>
  <c r="J140" i="4"/>
  <c r="J141" i="1" s="1" a="1"/>
  <c r="J141" i="1" s="1"/>
  <c r="J142" i="4"/>
  <c r="J146" i="4"/>
  <c r="J148" i="4"/>
  <c r="J152" i="4"/>
  <c r="J154" i="4"/>
  <c r="J158" i="4"/>
  <c r="J160" i="4"/>
  <c r="J164" i="4"/>
  <c r="J166" i="4"/>
  <c r="J170" i="4"/>
  <c r="J172" i="4"/>
  <c r="J176" i="4"/>
  <c r="J178" i="4"/>
  <c r="J182" i="4"/>
  <c r="J184" i="4"/>
  <c r="J188" i="4"/>
  <c r="J190" i="4"/>
  <c r="J194" i="4"/>
  <c r="J196" i="4"/>
  <c r="J200" i="4"/>
  <c r="J202" i="4"/>
  <c r="J206" i="4"/>
  <c r="J208" i="4"/>
  <c r="J212" i="4"/>
  <c r="J214" i="4"/>
  <c r="J218" i="4"/>
  <c r="J220" i="4"/>
  <c r="J224" i="4"/>
  <c r="J226" i="4"/>
  <c r="J230" i="4"/>
  <c r="J232" i="4"/>
  <c r="J236" i="4"/>
  <c r="J238" i="4"/>
  <c r="J242" i="4"/>
  <c r="J244" i="4"/>
  <c r="J248" i="4"/>
  <c r="J250" i="4"/>
  <c r="J107" i="4"/>
  <c r="J106" i="4"/>
  <c r="J110" i="4"/>
  <c r="B2" i="8"/>
  <c r="I87" i="8"/>
  <c r="J87" i="4" s="1"/>
  <c r="I2" i="1" a="1"/>
  <c r="I2" i="1" s="1"/>
  <c r="G11" i="1" a="1"/>
  <c r="G11" i="1" s="1"/>
  <c r="I8" i="1" a="1"/>
  <c r="I8" i="1" s="1"/>
  <c r="K3" i="1" a="1"/>
  <c r="K3" i="1" s="1"/>
  <c r="K6" i="1" a="1"/>
  <c r="K6" i="1" s="1"/>
  <c r="K9" i="1" a="1"/>
  <c r="K9" i="1" s="1"/>
  <c r="K12" i="1" a="1"/>
  <c r="K12" i="1" s="1"/>
  <c r="K15" i="1" a="1"/>
  <c r="K15" i="1" s="1"/>
  <c r="K18" i="1" a="1"/>
  <c r="K18" i="1" s="1"/>
  <c r="K21" i="1" a="1"/>
  <c r="K21" i="1" s="1"/>
  <c r="K24" i="1" a="1"/>
  <c r="K24" i="1" s="1"/>
  <c r="K27" i="1" a="1"/>
  <c r="K27" i="1" s="1"/>
  <c r="K30" i="1" a="1"/>
  <c r="K30" i="1" s="1"/>
  <c r="K36" i="1" a="1"/>
  <c r="K36" i="1" s="1"/>
  <c r="K5" i="1" a="1"/>
  <c r="K5" i="1" s="1"/>
  <c r="K11" i="1" a="1"/>
  <c r="K11" i="1" s="1"/>
  <c r="K14" i="1" a="1"/>
  <c r="K14" i="1" s="1"/>
  <c r="K17" i="1" a="1"/>
  <c r="K17" i="1" s="1"/>
  <c r="K20" i="1" a="1"/>
  <c r="K20" i="1" s="1"/>
  <c r="K23" i="1" a="1"/>
  <c r="K23" i="1" s="1"/>
  <c r="K26" i="1" a="1"/>
  <c r="K26" i="1" s="1"/>
  <c r="K29" i="1" a="1"/>
  <c r="K29" i="1" s="1"/>
  <c r="K32" i="1" a="1"/>
  <c r="K32" i="1" s="1"/>
  <c r="K35" i="1" a="1"/>
  <c r="K35" i="1" s="1"/>
  <c r="K38" i="1" a="1"/>
  <c r="K38" i="1" s="1"/>
  <c r="K40" i="1" a="1"/>
  <c r="K40" i="1" s="1"/>
  <c r="K43" i="1" a="1"/>
  <c r="K43" i="1" s="1"/>
  <c r="K46" i="1" a="1"/>
  <c r="K46" i="1" s="1"/>
  <c r="K49" i="1" a="1"/>
  <c r="K49" i="1" s="1"/>
  <c r="K10" i="1" a="1"/>
  <c r="K10" i="1" s="1"/>
  <c r="K19" i="1" a="1"/>
  <c r="K19" i="1" s="1"/>
  <c r="K28" i="1" a="1"/>
  <c r="K28" i="1" s="1"/>
  <c r="K37" i="1" a="1"/>
  <c r="K37" i="1" s="1"/>
  <c r="K16" i="1" a="1"/>
  <c r="K16" i="1" s="1"/>
  <c r="K25" i="1" a="1"/>
  <c r="K25" i="1" s="1"/>
  <c r="K34" i="1" a="1"/>
  <c r="K34" i="1" s="1"/>
  <c r="K39" i="1" a="1"/>
  <c r="K39" i="1" s="1"/>
  <c r="K42" i="1" a="1"/>
  <c r="K42" i="1" s="1"/>
  <c r="K45" i="1" a="1"/>
  <c r="K45" i="1" s="1"/>
  <c r="K48" i="1" a="1"/>
  <c r="K48" i="1" s="1"/>
  <c r="K51" i="1" a="1"/>
  <c r="K51" i="1" s="1"/>
  <c r="K54" i="1" a="1"/>
  <c r="K54" i="1" s="1"/>
  <c r="K60" i="1" a="1"/>
  <c r="K60" i="1" s="1"/>
  <c r="K63" i="1" a="1"/>
  <c r="K63" i="1" s="1"/>
  <c r="K66" i="1" a="1"/>
  <c r="K66" i="1" s="1"/>
  <c r="K69" i="1" a="1"/>
  <c r="K69" i="1" s="1"/>
  <c r="K72" i="1" a="1"/>
  <c r="K72" i="1" s="1"/>
  <c r="K75" i="1" a="1"/>
  <c r="K75" i="1" s="1"/>
  <c r="K78" i="1" a="1"/>
  <c r="K78" i="1" s="1"/>
  <c r="K13" i="1" a="1"/>
  <c r="K13" i="1" s="1"/>
  <c r="K55" i="1" a="1"/>
  <c r="K55" i="1" s="1"/>
  <c r="K61" i="1" a="1"/>
  <c r="K61" i="1" s="1"/>
  <c r="K67" i="1" a="1"/>
  <c r="K67" i="1" s="1"/>
  <c r="K73" i="1" a="1"/>
  <c r="K73" i="1" s="1"/>
  <c r="K79" i="1" a="1"/>
  <c r="K79" i="1" s="1"/>
  <c r="G4" i="1" a="1"/>
  <c r="G4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K41" i="1" a="1"/>
  <c r="K41" i="1" s="1"/>
  <c r="K50" i="1" a="1"/>
  <c r="K50" i="1" s="1"/>
  <c r="K56" i="1" a="1"/>
  <c r="K56" i="1" s="1"/>
  <c r="K62" i="1" a="1"/>
  <c r="K62" i="1" s="1"/>
  <c r="K68" i="1" a="1"/>
  <c r="K68" i="1" s="1"/>
  <c r="K74" i="1" a="1"/>
  <c r="K74" i="1" s="1"/>
  <c r="K80" i="1" a="1"/>
  <c r="K80" i="1" s="1"/>
  <c r="J40" i="1" a="1"/>
  <c r="J40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K31" i="1" a="1"/>
  <c r="K31" i="1" s="1"/>
  <c r="J27" i="1" a="1"/>
  <c r="J27" i="1" s="1"/>
  <c r="G13" i="1" a="1"/>
  <c r="G13" i="1" s="1"/>
  <c r="K44" i="1" a="1"/>
  <c r="K44" i="1" s="1"/>
  <c r="K52" i="1" a="1"/>
  <c r="K52" i="1" s="1"/>
  <c r="K58" i="1" a="1"/>
  <c r="K58" i="1" s="1"/>
  <c r="K64" i="1" a="1"/>
  <c r="K64" i="1" s="1"/>
  <c r="K70" i="1" a="1"/>
  <c r="K70" i="1" s="1"/>
  <c r="K76" i="1" a="1"/>
  <c r="K76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K53" i="1" a="1"/>
  <c r="K53" i="1" s="1"/>
  <c r="K59" i="1" a="1"/>
  <c r="K59" i="1" s="1"/>
  <c r="K65" i="1" a="1"/>
  <c r="K65" i="1" s="1"/>
  <c r="K71" i="1" a="1"/>
  <c r="K71" i="1" s="1"/>
  <c r="K77" i="1" a="1"/>
  <c r="K77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" i="1" a="1"/>
  <c r="G16" i="1" s="1"/>
  <c r="G34" i="1" a="1"/>
  <c r="G34" i="1" s="1"/>
  <c r="G52" i="1" a="1"/>
  <c r="G52" i="1" s="1"/>
  <c r="G70" i="1" a="1"/>
  <c r="G70" i="1" s="1"/>
  <c r="G86" i="1" a="1"/>
  <c r="G86" i="1" s="1"/>
  <c r="G98" i="1" a="1"/>
  <c r="G98" i="1" s="1"/>
  <c r="G107" i="1" a="1"/>
  <c r="G107" i="1" s="1"/>
  <c r="G114" i="1" a="1"/>
  <c r="G114" i="1" s="1"/>
  <c r="G121" i="1" a="1"/>
  <c r="G121" i="1" s="1"/>
  <c r="G128" i="1" a="1"/>
  <c r="G128" i="1" s="1"/>
  <c r="G136" i="1" a="1"/>
  <c r="G136" i="1" s="1"/>
  <c r="G143" i="1" a="1"/>
  <c r="G143" i="1" s="1"/>
  <c r="G150" i="1" a="1"/>
  <c r="G150" i="1" s="1"/>
  <c r="G157" i="1" a="1"/>
  <c r="G157" i="1" s="1"/>
  <c r="F8" i="1" a="1"/>
  <c r="F8" i="1" s="1"/>
  <c r="F14" i="1" a="1"/>
  <c r="F14" i="1" s="1"/>
  <c r="F20" i="1" a="1"/>
  <c r="F20" i="1" s="1"/>
  <c r="F26" i="1" a="1"/>
  <c r="F26" i="1" s="1"/>
  <c r="F32" i="1" a="1"/>
  <c r="F32" i="1" s="1"/>
  <c r="F38" i="1" a="1"/>
  <c r="F38" i="1" s="1"/>
  <c r="F44" i="1" a="1"/>
  <c r="F44" i="1" s="1"/>
  <c r="F50" i="1" a="1"/>
  <c r="F50" i="1" s="1"/>
  <c r="F56" i="1" a="1"/>
  <c r="F56" i="1" s="1"/>
  <c r="F62" i="1" a="1"/>
  <c r="F62" i="1" s="1"/>
  <c r="F68" i="1" a="1"/>
  <c r="F68" i="1" s="1"/>
  <c r="F74" i="1" a="1"/>
  <c r="F74" i="1" s="1"/>
  <c r="F80" i="1" a="1"/>
  <c r="F80" i="1" s="1"/>
  <c r="F86" i="1" a="1"/>
  <c r="F86" i="1" s="1"/>
  <c r="F92" i="1" a="1"/>
  <c r="F92" i="1" s="1"/>
  <c r="F98" i="1" a="1"/>
  <c r="F98" i="1" s="1"/>
  <c r="F104" i="1" a="1"/>
  <c r="F104" i="1" s="1"/>
  <c r="F110" i="1" a="1"/>
  <c r="F110" i="1" s="1"/>
  <c r="F116" i="1" a="1"/>
  <c r="F116" i="1" s="1"/>
  <c r="F122" i="1" a="1"/>
  <c r="F122" i="1" s="1"/>
  <c r="F128" i="1" a="1"/>
  <c r="F128" i="1" s="1"/>
  <c r="F134" i="1" a="1"/>
  <c r="F134" i="1" s="1"/>
  <c r="F140" i="1" a="1"/>
  <c r="F140" i="1" s="1"/>
  <c r="F146" i="1" a="1"/>
  <c r="F146" i="1" s="1"/>
  <c r="F152" i="1" a="1"/>
  <c r="F152" i="1" s="1"/>
  <c r="F158" i="1" a="1"/>
  <c r="F158" i="1" s="1"/>
  <c r="K47" i="1" a="1"/>
  <c r="K47" i="1" s="1"/>
  <c r="G19" i="1" a="1"/>
  <c r="G19" i="1" s="1"/>
  <c r="G37" i="1" a="1"/>
  <c r="G37" i="1" s="1"/>
  <c r="G55" i="1" a="1"/>
  <c r="G55" i="1" s="1"/>
  <c r="G73" i="1" a="1"/>
  <c r="G73" i="1" s="1"/>
  <c r="G88" i="1" a="1"/>
  <c r="G88" i="1" s="1"/>
  <c r="G100" i="1" a="1"/>
  <c r="G100" i="1" s="1"/>
  <c r="G108" i="1" a="1"/>
  <c r="G108" i="1" s="1"/>
  <c r="G115" i="1" a="1"/>
  <c r="G115" i="1" s="1"/>
  <c r="G122" i="1" a="1"/>
  <c r="G122" i="1" s="1"/>
  <c r="G130" i="1" a="1"/>
  <c r="G130" i="1" s="1"/>
  <c r="G137" i="1" a="1"/>
  <c r="G137" i="1" s="1"/>
  <c r="G144" i="1" a="1"/>
  <c r="G144" i="1" s="1"/>
  <c r="G151" i="1" a="1"/>
  <c r="G151" i="1" s="1"/>
  <c r="G158" i="1" a="1"/>
  <c r="G158" i="1" s="1"/>
  <c r="F3" i="1" a="1"/>
  <c r="F3" i="1" s="1"/>
  <c r="F9" i="1" a="1"/>
  <c r="F9" i="1" s="1"/>
  <c r="F15" i="1" a="1"/>
  <c r="F15" i="1" s="1"/>
  <c r="F21" i="1" a="1"/>
  <c r="F21" i="1" s="1"/>
  <c r="F27" i="1" a="1"/>
  <c r="F27" i="1" s="1"/>
  <c r="F33" i="1" a="1"/>
  <c r="F33" i="1" s="1"/>
  <c r="F39" i="1" a="1"/>
  <c r="F39" i="1" s="1"/>
  <c r="F45" i="1" a="1"/>
  <c r="F45" i="1" s="1"/>
  <c r="F51" i="1" a="1"/>
  <c r="F51" i="1" s="1"/>
  <c r="F57" i="1" a="1"/>
  <c r="F57" i="1" s="1"/>
  <c r="F63" i="1" a="1"/>
  <c r="F63" i="1" s="1"/>
  <c r="F69" i="1" a="1"/>
  <c r="F69" i="1" s="1"/>
  <c r="F75" i="1" a="1"/>
  <c r="F75" i="1" s="1"/>
  <c r="F81" i="1" a="1"/>
  <c r="F81" i="1" s="1"/>
  <c r="F87" i="1" a="1"/>
  <c r="F87" i="1" s="1"/>
  <c r="F93" i="1" a="1"/>
  <c r="F93" i="1" s="1"/>
  <c r="F99" i="1" a="1"/>
  <c r="F99" i="1" s="1"/>
  <c r="F105" i="1" a="1"/>
  <c r="F105" i="1" s="1"/>
  <c r="F111" i="1" a="1"/>
  <c r="F111" i="1" s="1"/>
  <c r="F117" i="1" a="1"/>
  <c r="F117" i="1" s="1"/>
  <c r="F123" i="1" a="1"/>
  <c r="F123" i="1" s="1"/>
  <c r="F129" i="1" a="1"/>
  <c r="F129" i="1" s="1"/>
  <c r="F135" i="1" a="1"/>
  <c r="F135" i="1" s="1"/>
  <c r="F141" i="1" a="1"/>
  <c r="F141" i="1" s="1"/>
  <c r="F147" i="1" a="1"/>
  <c r="F147" i="1" s="1"/>
  <c r="F153" i="1" a="1"/>
  <c r="F153" i="1" s="1"/>
  <c r="F159" i="1" a="1"/>
  <c r="F159" i="1" s="1"/>
  <c r="F2" i="1" a="1"/>
  <c r="F2" i="1" s="1"/>
  <c r="K2" i="1" a="1"/>
  <c r="K2" i="1" s="1"/>
  <c r="G22" i="1" a="1"/>
  <c r="G22" i="1" s="1"/>
  <c r="G40" i="1" a="1"/>
  <c r="G40" i="1" s="1"/>
  <c r="G58" i="1" a="1"/>
  <c r="G58" i="1" s="1"/>
  <c r="G76" i="1" a="1"/>
  <c r="G76" i="1" s="1"/>
  <c r="G91" i="1" a="1"/>
  <c r="G91" i="1" s="1"/>
  <c r="G102" i="1" a="1"/>
  <c r="G102" i="1" s="1"/>
  <c r="G109" i="1" a="1"/>
  <c r="G109" i="1" s="1"/>
  <c r="G116" i="1" a="1"/>
  <c r="G116" i="1" s="1"/>
  <c r="G124" i="1" a="1"/>
  <c r="G124" i="1" s="1"/>
  <c r="G131" i="1" a="1"/>
  <c r="G131" i="1" s="1"/>
  <c r="G138" i="1" a="1"/>
  <c r="G138" i="1" s="1"/>
  <c r="G145" i="1" a="1"/>
  <c r="G145" i="1" s="1"/>
  <c r="G152" i="1" a="1"/>
  <c r="G152" i="1" s="1"/>
  <c r="G160" i="1" a="1"/>
  <c r="G160" i="1" s="1"/>
  <c r="G25" i="1" a="1"/>
  <c r="G25" i="1" s="1"/>
  <c r="G43" i="1" a="1"/>
  <c r="G43" i="1" s="1"/>
  <c r="G61" i="1" a="1"/>
  <c r="G61" i="1" s="1"/>
  <c r="G79" i="1" a="1"/>
  <c r="G79" i="1" s="1"/>
  <c r="G92" i="1" a="1"/>
  <c r="G92" i="1" s="1"/>
  <c r="G103" i="1" a="1"/>
  <c r="G103" i="1" s="1"/>
  <c r="G110" i="1" a="1"/>
  <c r="G110" i="1" s="1"/>
  <c r="G118" i="1" a="1"/>
  <c r="G118" i="1" s="1"/>
  <c r="G125" i="1" a="1"/>
  <c r="G125" i="1" s="1"/>
  <c r="G132" i="1" a="1"/>
  <c r="G132" i="1" s="1"/>
  <c r="G139" i="1" a="1"/>
  <c r="G139" i="1" s="1"/>
  <c r="G146" i="1" a="1"/>
  <c r="G146" i="1" s="1"/>
  <c r="G154" i="1" a="1"/>
  <c r="G154" i="1" s="1"/>
  <c r="G161" i="1" a="1"/>
  <c r="G161" i="1" s="1"/>
  <c r="F5" i="1" a="1"/>
  <c r="F5" i="1" s="1"/>
  <c r="F11" i="1" a="1"/>
  <c r="F11" i="1" s="1"/>
  <c r="F17" i="1" a="1"/>
  <c r="F17" i="1" s="1"/>
  <c r="F23" i="1" a="1"/>
  <c r="F23" i="1" s="1"/>
  <c r="F29" i="1" a="1"/>
  <c r="F29" i="1" s="1"/>
  <c r="F35" i="1" a="1"/>
  <c r="F35" i="1" s="1"/>
  <c r="F41" i="1" a="1"/>
  <c r="F41" i="1" s="1"/>
  <c r="F47" i="1" a="1"/>
  <c r="F47" i="1" s="1"/>
  <c r="F53" i="1" a="1"/>
  <c r="F53" i="1" s="1"/>
  <c r="F59" i="1" a="1"/>
  <c r="F59" i="1" s="1"/>
  <c r="F65" i="1" a="1"/>
  <c r="F65" i="1" s="1"/>
  <c r="F71" i="1" a="1"/>
  <c r="F71" i="1" s="1"/>
  <c r="F77" i="1" a="1"/>
  <c r="F77" i="1" s="1"/>
  <c r="F83" i="1" a="1"/>
  <c r="F83" i="1" s="1"/>
  <c r="F89" i="1" a="1"/>
  <c r="F89" i="1" s="1"/>
  <c r="F95" i="1" a="1"/>
  <c r="F95" i="1" s="1"/>
  <c r="F101" i="1" a="1"/>
  <c r="F101" i="1" s="1"/>
  <c r="F107" i="1" a="1"/>
  <c r="F107" i="1" s="1"/>
  <c r="F113" i="1" a="1"/>
  <c r="F113" i="1" s="1"/>
  <c r="F119" i="1" a="1"/>
  <c r="F119" i="1" s="1"/>
  <c r="F125" i="1" a="1"/>
  <c r="F125" i="1" s="1"/>
  <c r="F131" i="1" a="1"/>
  <c r="F131" i="1" s="1"/>
  <c r="F137" i="1" a="1"/>
  <c r="F137" i="1" s="1"/>
  <c r="F143" i="1" a="1"/>
  <c r="F143" i="1" s="1"/>
  <c r="F149" i="1" a="1"/>
  <c r="F149" i="1" s="1"/>
  <c r="F155" i="1" a="1"/>
  <c r="F155" i="1" s="1"/>
  <c r="F161" i="1" a="1"/>
  <c r="F161" i="1" s="1"/>
  <c r="C6" i="1" a="1"/>
  <c r="C6" i="1" s="1"/>
  <c r="G28" i="1" a="1"/>
  <c r="G28" i="1" s="1"/>
  <c r="G46" i="1" a="1"/>
  <c r="G46" i="1" s="1"/>
  <c r="G64" i="1" a="1"/>
  <c r="G64" i="1" s="1"/>
  <c r="G82" i="1" a="1"/>
  <c r="G82" i="1" s="1"/>
  <c r="G94" i="1" a="1"/>
  <c r="G94" i="1" s="1"/>
  <c r="G104" i="1" a="1"/>
  <c r="G104" i="1" s="1"/>
  <c r="G112" i="1" a="1"/>
  <c r="G112" i="1" s="1"/>
  <c r="G119" i="1" a="1"/>
  <c r="G119" i="1" s="1"/>
  <c r="G126" i="1" a="1"/>
  <c r="G126" i="1" s="1"/>
  <c r="G133" i="1" a="1"/>
  <c r="G133" i="1" s="1"/>
  <c r="G140" i="1" a="1"/>
  <c r="G140" i="1" s="1"/>
  <c r="G148" i="1" a="1"/>
  <c r="G148" i="1" s="1"/>
  <c r="G155" i="1" a="1"/>
  <c r="G155" i="1" s="1"/>
  <c r="G162" i="1" a="1"/>
  <c r="G162" i="1" s="1"/>
  <c r="F6" i="1" a="1"/>
  <c r="F6" i="1" s="1"/>
  <c r="F12" i="1" a="1"/>
  <c r="F12" i="1" s="1"/>
  <c r="F18" i="1" a="1"/>
  <c r="F18" i="1" s="1"/>
  <c r="F24" i="1" a="1"/>
  <c r="F24" i="1" s="1"/>
  <c r="F30" i="1" a="1"/>
  <c r="F30" i="1" s="1"/>
  <c r="F36" i="1" a="1"/>
  <c r="F36" i="1" s="1"/>
  <c r="F42" i="1" a="1"/>
  <c r="F42" i="1" s="1"/>
  <c r="F48" i="1" a="1"/>
  <c r="F48" i="1" s="1"/>
  <c r="F54" i="1" a="1"/>
  <c r="F54" i="1" s="1"/>
  <c r="F60" i="1" a="1"/>
  <c r="F60" i="1" s="1"/>
  <c r="F66" i="1" a="1"/>
  <c r="F66" i="1" s="1"/>
  <c r="F72" i="1" a="1"/>
  <c r="F72" i="1" s="1"/>
  <c r="F78" i="1" a="1"/>
  <c r="F78" i="1" s="1"/>
  <c r="F84" i="1" a="1"/>
  <c r="F84" i="1" s="1"/>
  <c r="F90" i="1" a="1"/>
  <c r="F90" i="1" s="1"/>
  <c r="F96" i="1" a="1"/>
  <c r="F96" i="1" s="1"/>
  <c r="F102" i="1" a="1"/>
  <c r="F102" i="1" s="1"/>
  <c r="F108" i="1" a="1"/>
  <c r="F108" i="1" s="1"/>
  <c r="F114" i="1" a="1"/>
  <c r="F114" i="1" s="1"/>
  <c r="F120" i="1" a="1"/>
  <c r="F120" i="1" s="1"/>
  <c r="F126" i="1" a="1"/>
  <c r="F126" i="1" s="1"/>
  <c r="F132" i="1" a="1"/>
  <c r="F132" i="1" s="1"/>
  <c r="F138" i="1" a="1"/>
  <c r="F138" i="1" s="1"/>
  <c r="F144" i="1" a="1"/>
  <c r="F144" i="1" s="1"/>
  <c r="F150" i="1" a="1"/>
  <c r="F150" i="1" s="1"/>
  <c r="F156" i="1" a="1"/>
  <c r="F156" i="1" s="1"/>
  <c r="F162" i="1" a="1"/>
  <c r="F162" i="1" s="1"/>
  <c r="G67" i="1" a="1"/>
  <c r="G67" i="1" s="1"/>
  <c r="G127" i="1" a="1"/>
  <c r="G127" i="1" s="1"/>
  <c r="F4" i="1" a="1"/>
  <c r="F4" i="1" s="1"/>
  <c r="F22" i="1" a="1"/>
  <c r="F22" i="1" s="1"/>
  <c r="F40" i="1" a="1"/>
  <c r="F40" i="1" s="1"/>
  <c r="F58" i="1" a="1"/>
  <c r="F58" i="1" s="1"/>
  <c r="F76" i="1" a="1"/>
  <c r="F76" i="1" s="1"/>
  <c r="F94" i="1" a="1"/>
  <c r="F94" i="1" s="1"/>
  <c r="F112" i="1" a="1"/>
  <c r="F112" i="1" s="1"/>
  <c r="F130" i="1" a="1"/>
  <c r="F130" i="1" s="1"/>
  <c r="F148" i="1" a="1"/>
  <c r="F148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G85" i="1" a="1"/>
  <c r="G85" i="1" s="1"/>
  <c r="G134" i="1" a="1"/>
  <c r="G134" i="1" s="1"/>
  <c r="F7" i="1" a="1"/>
  <c r="F7" i="1" s="1"/>
  <c r="F25" i="1" a="1"/>
  <c r="F25" i="1" s="1"/>
  <c r="F43" i="1" a="1"/>
  <c r="F43" i="1" s="1"/>
  <c r="F61" i="1" a="1"/>
  <c r="F61" i="1" s="1"/>
  <c r="F79" i="1" a="1"/>
  <c r="F79" i="1" s="1"/>
  <c r="F97" i="1" a="1"/>
  <c r="F97" i="1" s="1"/>
  <c r="F115" i="1" a="1"/>
  <c r="F115" i="1" s="1"/>
  <c r="F133" i="1" a="1"/>
  <c r="F133" i="1" s="1"/>
  <c r="F151" i="1" a="1"/>
  <c r="F151" i="1" s="1"/>
  <c r="C21" i="1" a="1"/>
  <c r="C21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G97" i="1" a="1"/>
  <c r="G97" i="1" s="1"/>
  <c r="G142" i="1" a="1"/>
  <c r="G142" i="1" s="1"/>
  <c r="F10" i="1" a="1"/>
  <c r="F10" i="1" s="1"/>
  <c r="F28" i="1" a="1"/>
  <c r="F28" i="1" s="1"/>
  <c r="F46" i="1" a="1"/>
  <c r="F46" i="1" s="1"/>
  <c r="F64" i="1" a="1"/>
  <c r="F64" i="1" s="1"/>
  <c r="F82" i="1" a="1"/>
  <c r="F82" i="1" s="1"/>
  <c r="F100" i="1" a="1"/>
  <c r="F100" i="1" s="1"/>
  <c r="F118" i="1" a="1"/>
  <c r="F118" i="1" s="1"/>
  <c r="F136" i="1" a="1"/>
  <c r="F136" i="1" s="1"/>
  <c r="F154" i="1" a="1"/>
  <c r="F154" i="1" s="1"/>
  <c r="C24" i="1" a="1"/>
  <c r="C24" i="1" s="1"/>
  <c r="C34" i="1" a="1"/>
  <c r="C3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G3" i="1" a="1"/>
  <c r="G3" i="1" s="1"/>
  <c r="G106" i="1" a="1"/>
  <c r="G106" i="1" s="1"/>
  <c r="G149" i="1" a="1"/>
  <c r="G149" i="1" s="1"/>
  <c r="F13" i="1" a="1"/>
  <c r="F13" i="1" s="1"/>
  <c r="F31" i="1" a="1"/>
  <c r="F31" i="1" s="1"/>
  <c r="F49" i="1" a="1"/>
  <c r="F49" i="1" s="1"/>
  <c r="F67" i="1" a="1"/>
  <c r="F67" i="1" s="1"/>
  <c r="F85" i="1" a="1"/>
  <c r="F85" i="1" s="1"/>
  <c r="F103" i="1" a="1"/>
  <c r="F103" i="1" s="1"/>
  <c r="F121" i="1" a="1"/>
  <c r="F121" i="1" s="1"/>
  <c r="F139" i="1" a="1"/>
  <c r="F139" i="1" s="1"/>
  <c r="F157" i="1" a="1"/>
  <c r="F157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G31" i="1" a="1"/>
  <c r="G31" i="1" s="1"/>
  <c r="G113" i="1" a="1"/>
  <c r="G113" i="1" s="1"/>
  <c r="G156" i="1" a="1"/>
  <c r="G156" i="1" s="1"/>
  <c r="F16" i="1" a="1"/>
  <c r="F16" i="1" s="1"/>
  <c r="F34" i="1" a="1"/>
  <c r="F34" i="1" s="1"/>
  <c r="F52" i="1" a="1"/>
  <c r="F52" i="1" s="1"/>
  <c r="F70" i="1" a="1"/>
  <c r="F70" i="1" s="1"/>
  <c r="F88" i="1" a="1"/>
  <c r="F88" i="1" s="1"/>
  <c r="F106" i="1" a="1"/>
  <c r="F106" i="1" s="1"/>
  <c r="F124" i="1" a="1"/>
  <c r="F124" i="1" s="1"/>
  <c r="F142" i="1" a="1"/>
  <c r="F142" i="1" s="1"/>
  <c r="F160" i="1" a="1"/>
  <c r="F160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G49" i="1" a="1"/>
  <c r="G49" i="1" s="1"/>
  <c r="G120" i="1" a="1"/>
  <c r="G120" i="1" s="1"/>
  <c r="F19" i="1" a="1"/>
  <c r="F19" i="1" s="1"/>
  <c r="F37" i="1" a="1"/>
  <c r="F37" i="1" s="1"/>
  <c r="F55" i="1" a="1"/>
  <c r="F55" i="1" s="1"/>
  <c r="F73" i="1" a="1"/>
  <c r="F73" i="1" s="1"/>
  <c r="F91" i="1" a="1"/>
  <c r="F91" i="1" s="1"/>
  <c r="F109" i="1" a="1"/>
  <c r="F109" i="1" s="1"/>
  <c r="F127" i="1" a="1"/>
  <c r="F127" i="1" s="1"/>
  <c r="F145" i="1" a="1"/>
  <c r="F145" i="1" s="1"/>
  <c r="C66" i="1" a="1"/>
  <c r="C66" i="1" s="1"/>
  <c r="C115" i="1" a="1"/>
  <c r="C115" i="1" s="1"/>
  <c r="C144" i="1" a="1"/>
  <c r="C144" i="1" s="1"/>
  <c r="G7" i="1" a="1"/>
  <c r="G7" i="1" s="1"/>
  <c r="C28" i="1" a="1"/>
  <c r="C28" i="1" s="1"/>
  <c r="C87" i="1" a="1"/>
  <c r="C87" i="1" s="1"/>
  <c r="I150" i="1" a="1"/>
  <c r="I150" i="1" s="1"/>
  <c r="I132" i="1" a="1"/>
  <c r="I132" i="1" s="1"/>
  <c r="I114" i="1" a="1"/>
  <c r="I114" i="1" s="1"/>
  <c r="I96" i="1" a="1"/>
  <c r="I96" i="1" s="1"/>
  <c r="I78" i="1" a="1"/>
  <c r="I78" i="1" s="1"/>
  <c r="I60" i="1" a="1"/>
  <c r="I60" i="1" s="1"/>
  <c r="I42" i="1" a="1"/>
  <c r="I42" i="1" s="1"/>
  <c r="I24" i="1" a="1"/>
  <c r="I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41" i="1" a="1"/>
  <c r="C41" i="1" s="1"/>
  <c r="C29" i="1" a="1"/>
  <c r="C29" i="1" s="1"/>
  <c r="C17" i="1" a="1"/>
  <c r="C17" i="1" s="1"/>
  <c r="C67" i="1" a="1"/>
  <c r="C67" i="1" s="1"/>
  <c r="I148" i="1" a="1"/>
  <c r="I148" i="1" s="1"/>
  <c r="I130" i="1" a="1"/>
  <c r="I130" i="1" s="1"/>
  <c r="I112" i="1" a="1"/>
  <c r="I112" i="1" s="1"/>
  <c r="I94" i="1" a="1"/>
  <c r="I94" i="1" s="1"/>
  <c r="I76" i="1" a="1"/>
  <c r="I76" i="1" s="1"/>
  <c r="I58" i="1" a="1"/>
  <c r="I58" i="1" s="1"/>
  <c r="I40" i="1" a="1"/>
  <c r="I40" i="1" s="1"/>
  <c r="C129" i="1" a="1"/>
  <c r="C129" i="1" s="1"/>
  <c r="C111" i="1" a="1"/>
  <c r="C111" i="1" s="1"/>
  <c r="I158" i="1" a="1"/>
  <c r="I158" i="1" s="1"/>
  <c r="I146" i="1" a="1"/>
  <c r="I146" i="1" s="1"/>
  <c r="I134" i="1" a="1"/>
  <c r="I134" i="1" s="1"/>
  <c r="I122" i="1" a="1"/>
  <c r="I122" i="1" s="1"/>
  <c r="I110" i="1" a="1"/>
  <c r="I110" i="1" s="1"/>
  <c r="I98" i="1" a="1"/>
  <c r="I98" i="1" s="1"/>
  <c r="I86" i="1" a="1"/>
  <c r="I86" i="1" s="1"/>
  <c r="I74" i="1" a="1"/>
  <c r="I74" i="1" s="1"/>
  <c r="I62" i="1" a="1"/>
  <c r="I62" i="1" s="1"/>
  <c r="I50" i="1" a="1"/>
  <c r="I50" i="1" s="1"/>
  <c r="I38" i="1" a="1"/>
  <c r="I38" i="1" s="1"/>
  <c r="I14" i="1" a="1"/>
  <c r="I14" i="1" s="1"/>
  <c r="C147" i="1" a="1"/>
  <c r="C147" i="1" s="1"/>
  <c r="C64" i="1" a="1"/>
  <c r="C64" i="1" s="1"/>
  <c r="G10" i="1" a="1"/>
  <c r="G10" i="1" s="1"/>
  <c r="I147" i="1" a="1"/>
  <c r="I147" i="1" s="1"/>
  <c r="I129" i="1" a="1"/>
  <c r="I129" i="1" s="1"/>
  <c r="I111" i="1" a="1"/>
  <c r="I111" i="1" s="1"/>
  <c r="I93" i="1" a="1"/>
  <c r="I93" i="1" s="1"/>
  <c r="I75" i="1" a="1"/>
  <c r="I75" i="1" s="1"/>
  <c r="I57" i="1" a="1"/>
  <c r="I57" i="1" s="1"/>
  <c r="I39" i="1" a="1"/>
  <c r="I39" i="1" s="1"/>
  <c r="I151" i="1" a="1"/>
  <c r="I151" i="1" s="1"/>
  <c r="I133" i="1" a="1"/>
  <c r="I133" i="1" s="1"/>
  <c r="I115" i="1" a="1"/>
  <c r="I115" i="1" s="1"/>
  <c r="I97" i="1" a="1"/>
  <c r="I97" i="1" s="1"/>
  <c r="I79" i="1" a="1"/>
  <c r="I79" i="1" s="1"/>
  <c r="I61" i="1" a="1"/>
  <c r="I61" i="1" s="1"/>
  <c r="I43" i="1" a="1"/>
  <c r="I43" i="1" s="1"/>
  <c r="I25" i="1" a="1"/>
  <c r="I25" i="1" s="1"/>
  <c r="C145" i="1" a="1"/>
  <c r="C14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I21" i="1" a="1"/>
  <c r="I21" i="1" s="1"/>
  <c r="I9" i="1" a="1"/>
  <c r="I9" i="1" s="1"/>
  <c r="C93" i="1" a="1"/>
  <c r="C93" i="1" s="1"/>
  <c r="C141" i="1" a="1"/>
  <c r="C141" i="1" s="1"/>
  <c r="I162" i="1" a="1"/>
  <c r="I162" i="1" s="1"/>
  <c r="I144" i="1" a="1"/>
  <c r="I144" i="1" s="1"/>
  <c r="I126" i="1" a="1"/>
  <c r="I126" i="1" s="1"/>
  <c r="I108" i="1" a="1"/>
  <c r="I108" i="1" s="1"/>
  <c r="I90" i="1" a="1"/>
  <c r="I90" i="1" s="1"/>
  <c r="I72" i="1" a="1"/>
  <c r="I72" i="1" s="1"/>
  <c r="I54" i="1" a="1"/>
  <c r="I54" i="1" s="1"/>
  <c r="I36" i="1" a="1"/>
  <c r="I36" i="1" s="1"/>
  <c r="I18" i="1" a="1"/>
  <c r="I18" i="1" s="1"/>
  <c r="C3" i="1" a="1"/>
  <c r="C3" i="1" s="1"/>
  <c r="C7" i="1" a="1"/>
  <c r="C7" i="1" s="1"/>
  <c r="I155" i="1" a="1"/>
  <c r="I155" i="1" s="1"/>
  <c r="I143" i="1" a="1"/>
  <c r="I143" i="1" s="1"/>
  <c r="I131" i="1" a="1"/>
  <c r="I131" i="1" s="1"/>
  <c r="I119" i="1" a="1"/>
  <c r="I119" i="1" s="1"/>
  <c r="I107" i="1" a="1"/>
  <c r="I107" i="1" s="1"/>
  <c r="I95" i="1" a="1"/>
  <c r="I95" i="1" s="1"/>
  <c r="I83" i="1" a="1"/>
  <c r="I83" i="1" s="1"/>
  <c r="I71" i="1" a="1"/>
  <c r="I71" i="1" s="1"/>
  <c r="I59" i="1" a="1"/>
  <c r="I59" i="1" s="1"/>
  <c r="I47" i="1" a="1"/>
  <c r="I47" i="1" s="1"/>
  <c r="I35" i="1" a="1"/>
  <c r="I35" i="1" s="1"/>
  <c r="I23" i="1" a="1"/>
  <c r="I23" i="1" s="1"/>
  <c r="C135" i="1" a="1"/>
  <c r="C135" i="1" s="1"/>
  <c r="I160" i="1" a="1"/>
  <c r="I160" i="1" s="1"/>
  <c r="I142" i="1" a="1"/>
  <c r="I142" i="1" s="1"/>
  <c r="I124" i="1" a="1"/>
  <c r="I124" i="1" s="1"/>
  <c r="I106" i="1" a="1"/>
  <c r="I106" i="1" s="1"/>
  <c r="I88" i="1" a="1"/>
  <c r="I88" i="1" s="1"/>
  <c r="I70" i="1" a="1"/>
  <c r="I70" i="1" s="1"/>
  <c r="I52" i="1" a="1"/>
  <c r="I52" i="1" s="1"/>
  <c r="I34" i="1" a="1"/>
  <c r="I34" i="1" s="1"/>
  <c r="I16" i="1" a="1"/>
  <c r="I16" i="1" s="1"/>
  <c r="C25" i="1" a="1"/>
  <c r="C25" i="1" s="1"/>
  <c r="C105" i="1" a="1"/>
  <c r="C105" i="1" s="1"/>
  <c r="C118" i="1" a="1"/>
  <c r="C118" i="1" s="1"/>
  <c r="I159" i="1" a="1"/>
  <c r="I159" i="1" s="1"/>
  <c r="I141" i="1" a="1"/>
  <c r="I141" i="1" s="1"/>
  <c r="I123" i="1" a="1"/>
  <c r="I123" i="1" s="1"/>
  <c r="I105" i="1" a="1"/>
  <c r="I105" i="1" s="1"/>
  <c r="I87" i="1" a="1"/>
  <c r="I87" i="1" s="1"/>
  <c r="I69" i="1" a="1"/>
  <c r="I69" i="1" s="1"/>
  <c r="I51" i="1" a="1"/>
  <c r="I51" i="1" s="1"/>
  <c r="I145" i="1" a="1"/>
  <c r="I145" i="1" s="1"/>
  <c r="I127" i="1" a="1"/>
  <c r="I127" i="1" s="1"/>
  <c r="I109" i="1" a="1"/>
  <c r="I109" i="1" s="1"/>
  <c r="I91" i="1" a="1"/>
  <c r="I91" i="1" s="1"/>
  <c r="I73" i="1" a="1"/>
  <c r="I73" i="1" s="1"/>
  <c r="I55" i="1" a="1"/>
  <c r="I55" i="1" s="1"/>
  <c r="I37" i="1" a="1"/>
  <c r="I37" i="1" s="1"/>
  <c r="I19" i="1" a="1"/>
  <c r="I19" i="1" s="1"/>
  <c r="C127" i="1" a="1"/>
  <c r="C127" i="1" s="1"/>
  <c r="C19" i="1" a="1"/>
  <c r="C19" i="1" s="1"/>
  <c r="C117" i="1" a="1"/>
  <c r="C11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I4" i="1" a="1"/>
  <c r="I4" i="1" s="1"/>
  <c r="C43" i="1" a="1"/>
  <c r="C43" i="1" s="1"/>
  <c r="C16" i="1" a="1"/>
  <c r="C16" i="1" s="1"/>
  <c r="I152" i="1" a="1"/>
  <c r="I152" i="1" s="1"/>
  <c r="I140" i="1" a="1"/>
  <c r="I140" i="1" s="1"/>
  <c r="I128" i="1" a="1"/>
  <c r="I128" i="1" s="1"/>
  <c r="I116" i="1" a="1"/>
  <c r="I116" i="1" s="1"/>
  <c r="I104" i="1" a="1"/>
  <c r="I104" i="1" s="1"/>
  <c r="I92" i="1" a="1"/>
  <c r="I92" i="1" s="1"/>
  <c r="I80" i="1" a="1"/>
  <c r="I80" i="1" s="1"/>
  <c r="I68" i="1" a="1"/>
  <c r="I68" i="1" s="1"/>
  <c r="I56" i="1" a="1"/>
  <c r="I56" i="1" s="1"/>
  <c r="I44" i="1" a="1"/>
  <c r="I44" i="1" s="1"/>
  <c r="I32" i="1" a="1"/>
  <c r="I32" i="1" s="1"/>
  <c r="I20" i="1" a="1"/>
  <c r="I20" i="1" s="1"/>
  <c r="C10" i="1" a="1"/>
  <c r="C10" i="1" s="1"/>
  <c r="C100" i="1" a="1"/>
  <c r="C100" i="1" s="1"/>
  <c r="I33" i="1" a="1"/>
  <c r="I33" i="1" s="1"/>
  <c r="I15" i="1" a="1"/>
  <c r="I15" i="1" s="1"/>
  <c r="C82" i="1" a="1"/>
  <c r="C82" i="1" s="1"/>
  <c r="I3" i="1" a="1"/>
  <c r="I3" i="1" s="1"/>
  <c r="C123" i="1" a="1"/>
  <c r="C123" i="1" s="1"/>
  <c r="I156" i="1" a="1"/>
  <c r="I156" i="1" s="1"/>
  <c r="I138" i="1" a="1"/>
  <c r="I138" i="1" s="1"/>
  <c r="I120" i="1" a="1"/>
  <c r="I120" i="1" s="1"/>
  <c r="I102" i="1" a="1"/>
  <c r="I102" i="1" s="1"/>
  <c r="I84" i="1" a="1"/>
  <c r="I84" i="1" s="1"/>
  <c r="I66" i="1" a="1"/>
  <c r="I66" i="1" s="1"/>
  <c r="I48" i="1" a="1"/>
  <c r="I48" i="1" s="1"/>
  <c r="I30" i="1" a="1"/>
  <c r="I30" i="1" s="1"/>
  <c r="I12" i="1" a="1"/>
  <c r="I12" i="1" s="1"/>
  <c r="C85" i="1" a="1"/>
  <c r="C85" i="1" s="1"/>
  <c r="I154" i="1" a="1"/>
  <c r="I154" i="1" s="1"/>
  <c r="I136" i="1" a="1"/>
  <c r="I136" i="1" s="1"/>
  <c r="I118" i="1" a="1"/>
  <c r="I118" i="1" s="1"/>
  <c r="I100" i="1" a="1"/>
  <c r="I100" i="1" s="1"/>
  <c r="I82" i="1" a="1"/>
  <c r="I82" i="1" s="1"/>
  <c r="I64" i="1" a="1"/>
  <c r="I64" i="1" s="1"/>
  <c r="I46" i="1" a="1"/>
  <c r="I46" i="1" s="1"/>
  <c r="C39" i="1" a="1"/>
  <c r="C39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I153" i="1" a="1"/>
  <c r="I153" i="1" s="1"/>
  <c r="I135" i="1" a="1"/>
  <c r="I135" i="1" s="1"/>
  <c r="I117" i="1" a="1"/>
  <c r="I117" i="1" s="1"/>
  <c r="I99" i="1" a="1"/>
  <c r="I99" i="1" s="1"/>
  <c r="I81" i="1" a="1"/>
  <c r="I81" i="1" s="1"/>
  <c r="I63" i="1" a="1"/>
  <c r="I63" i="1" s="1"/>
  <c r="I45" i="1" a="1"/>
  <c r="I45" i="1" s="1"/>
  <c r="I157" i="1" a="1"/>
  <c r="I157" i="1" s="1"/>
  <c r="I139" i="1" a="1"/>
  <c r="I139" i="1" s="1"/>
  <c r="I121" i="1" a="1"/>
  <c r="I121" i="1" s="1"/>
  <c r="I103" i="1" a="1"/>
  <c r="I103" i="1" s="1"/>
  <c r="I85" i="1" a="1"/>
  <c r="I85" i="1" s="1"/>
  <c r="I67" i="1" a="1"/>
  <c r="I67" i="1" s="1"/>
  <c r="I49" i="1" a="1"/>
  <c r="I49" i="1" s="1"/>
  <c r="I31" i="1" a="1"/>
  <c r="I31" i="1" s="1"/>
  <c r="I13" i="1" a="1"/>
  <c r="I13" i="1" s="1"/>
  <c r="C91" i="1" a="1"/>
  <c r="C91" i="1" s="1"/>
  <c r="C45" i="1" a="1"/>
  <c r="C45" i="1" s="1"/>
  <c r="I161" i="1" a="1"/>
  <c r="I161" i="1" s="1"/>
  <c r="I149" i="1" a="1"/>
  <c r="I149" i="1" s="1"/>
  <c r="I137" i="1" a="1"/>
  <c r="I137" i="1" s="1"/>
  <c r="I125" i="1" a="1"/>
  <c r="I125" i="1" s="1"/>
  <c r="I113" i="1" a="1"/>
  <c r="I113" i="1" s="1"/>
  <c r="I101" i="1" a="1"/>
  <c r="I101" i="1" s="1"/>
  <c r="I89" i="1" a="1"/>
  <c r="I89" i="1" s="1"/>
  <c r="I77" i="1" a="1"/>
  <c r="I77" i="1" s="1"/>
  <c r="I65" i="1" a="1"/>
  <c r="I65" i="1" s="1"/>
  <c r="I53" i="1" a="1"/>
  <c r="I53" i="1" s="1"/>
  <c r="I41" i="1" a="1"/>
  <c r="I41" i="1" s="1"/>
  <c r="I29" i="1" a="1"/>
  <c r="I29" i="1" s="1"/>
  <c r="I17" i="1" a="1"/>
  <c r="I17" i="1" s="1"/>
  <c r="C81" i="1" a="1"/>
  <c r="C81" i="1" s="1"/>
  <c r="I22" i="1" a="1"/>
  <c r="I22" i="1" s="1"/>
  <c r="C159" i="1" a="1"/>
  <c r="C159" i="1" s="1"/>
  <c r="C8" i="1" a="1"/>
  <c r="C8" i="1" s="1"/>
  <c r="C69" i="1" a="1"/>
  <c r="C69" i="1" s="1"/>
  <c r="I10" i="1" a="1"/>
  <c r="I10" i="1" s="1"/>
  <c r="I7" i="1" a="1"/>
  <c r="I7" i="1" s="1"/>
  <c r="G9" i="1" a="1"/>
  <c r="G9" i="1" s="1"/>
  <c r="G6" i="1" a="1"/>
  <c r="G6" i="1" s="1"/>
  <c r="G5" i="1" a="1"/>
  <c r="G5" i="1" s="1"/>
  <c r="I5" i="1" a="1"/>
  <c r="I5" i="1" s="1"/>
  <c r="G2" i="1" a="1"/>
  <c r="G2" i="1" s="1"/>
  <c r="G8" i="1" a="1"/>
  <c r="G8" i="1" s="1"/>
  <c r="I11" i="1" a="1"/>
  <c r="I11" i="1" s="1"/>
  <c r="I6" i="1" a="1"/>
  <c r="I6" i="1" s="1"/>
  <c r="I44" i="8"/>
  <c r="J44" i="4" s="1"/>
  <c r="I84" i="8"/>
  <c r="J84" i="4" s="1"/>
  <c r="I56" i="8"/>
  <c r="J56" i="4" s="1"/>
  <c r="I58" i="8"/>
  <c r="J58" i="4" s="1"/>
  <c r="J172" i="1" s="1" a="1"/>
  <c r="J172" i="1" s="1"/>
  <c r="I21" i="8"/>
  <c r="I4" i="8"/>
  <c r="I27" i="8"/>
  <c r="J27" i="4" s="1"/>
  <c r="I74" i="8"/>
  <c r="J74" i="4" s="1"/>
  <c r="I22" i="8"/>
  <c r="I60" i="8"/>
  <c r="J60" i="4" s="1"/>
  <c r="I90" i="8"/>
  <c r="J90" i="4" s="1"/>
  <c r="J111" i="1" s="1" a="1"/>
  <c r="J111" i="1" s="1"/>
  <c r="I57" i="8"/>
  <c r="J57" i="4" s="1"/>
  <c r="I97" i="8"/>
  <c r="J97" i="4" s="1"/>
  <c r="I86" i="8"/>
  <c r="J86" i="4" s="1"/>
  <c r="J116" i="1" s="1" a="1"/>
  <c r="J116" i="1" s="1"/>
  <c r="I12" i="8"/>
  <c r="J12" i="4" s="1"/>
  <c r="J75" i="1" s="1" a="1"/>
  <c r="J75" i="1" s="1"/>
  <c r="I72" i="8"/>
  <c r="J72" i="4" s="1"/>
  <c r="I45" i="8"/>
  <c r="J45" i="4" s="1"/>
  <c r="I33" i="8"/>
  <c r="J33" i="4" s="1"/>
  <c r="I54" i="8"/>
  <c r="J54" i="4" s="1"/>
  <c r="I20" i="8"/>
  <c r="I18" i="8"/>
  <c r="J256" i="4"/>
  <c r="J255" i="4"/>
  <c r="J258" i="4"/>
  <c r="J253" i="4"/>
  <c r="J254" i="4"/>
  <c r="J257" i="4"/>
  <c r="J259" i="4"/>
  <c r="J260" i="4"/>
  <c r="I89" i="8"/>
  <c r="I73" i="8"/>
  <c r="J73" i="4" s="1"/>
  <c r="I103" i="8"/>
  <c r="J103" i="4" s="1"/>
  <c r="I100" i="8"/>
  <c r="J100" i="4" s="1"/>
  <c r="I53" i="8"/>
  <c r="J53" i="4" s="1"/>
  <c r="I7" i="8"/>
  <c r="I75" i="8"/>
  <c r="J75" i="4" s="1"/>
  <c r="I79" i="8"/>
  <c r="J79" i="4" s="1"/>
  <c r="J47" i="1" s="1" a="1"/>
  <c r="J47" i="1" s="1"/>
  <c r="I19" i="8"/>
  <c r="J19" i="4" s="1"/>
  <c r="J162" i="1" s="1" a="1"/>
  <c r="J162" i="1" s="1"/>
  <c r="I93" i="8"/>
  <c r="J93" i="4" s="1"/>
  <c r="I61" i="8"/>
  <c r="J61" i="4" s="1"/>
  <c r="I13" i="8"/>
  <c r="I83" i="8"/>
  <c r="J83" i="4" s="1"/>
  <c r="I8" i="8"/>
  <c r="I23" i="8"/>
  <c r="I11" i="8"/>
  <c r="J11" i="4" s="1"/>
  <c r="I96" i="8"/>
  <c r="J96" i="4" s="1"/>
  <c r="I91" i="8"/>
  <c r="J91" i="4" s="1"/>
  <c r="J101" i="1" s="1" a="1"/>
  <c r="J101" i="1" s="1"/>
  <c r="I29" i="8"/>
  <c r="I25" i="8"/>
  <c r="J25" i="4" s="1"/>
  <c r="I31" i="8"/>
  <c r="I52" i="8"/>
  <c r="J52" i="4" s="1"/>
  <c r="I39" i="8"/>
  <c r="J39" i="4" s="1"/>
  <c r="J119" i="1" s="1" a="1"/>
  <c r="J119" i="1" s="1"/>
  <c r="I34" i="8"/>
  <c r="I37" i="8"/>
  <c r="I65" i="8"/>
  <c r="J65" i="4" s="1"/>
  <c r="I63" i="8"/>
  <c r="J63" i="4" s="1"/>
  <c r="I66" i="8"/>
  <c r="J66" i="4" s="1"/>
  <c r="J49" i="1" s="1" a="1"/>
  <c r="J49" i="1" s="1"/>
  <c r="I99" i="8"/>
  <c r="J99" i="4" s="1"/>
  <c r="I64" i="8"/>
  <c r="J64" i="4" s="1"/>
  <c r="I98" i="8"/>
  <c r="J98" i="4" s="1"/>
  <c r="I69" i="8"/>
  <c r="J69" i="4" s="1"/>
  <c r="I15" i="8"/>
  <c r="I78" i="8"/>
  <c r="J78" i="4" s="1"/>
  <c r="I10" i="8"/>
  <c r="J10" i="4" s="1"/>
  <c r="I16" i="8"/>
  <c r="I46" i="8"/>
  <c r="J46" i="4" s="1"/>
  <c r="I26" i="8"/>
  <c r="I30" i="8"/>
  <c r="I95" i="8"/>
  <c r="J95" i="4" s="1"/>
  <c r="I88" i="8"/>
  <c r="J88" i="4" s="1"/>
  <c r="I70" i="8"/>
  <c r="J70" i="4" s="1"/>
  <c r="J126" i="1" s="1" a="1"/>
  <c r="J126" i="1" s="1"/>
  <c r="I82" i="8"/>
  <c r="J82" i="4" s="1"/>
  <c r="I9" i="8"/>
  <c r="I49" i="8"/>
  <c r="J49" i="4" s="1"/>
  <c r="I71" i="8"/>
  <c r="J71" i="4" s="1"/>
  <c r="I43" i="8"/>
  <c r="J43" i="4" s="1"/>
  <c r="J149" i="1" s="1" a="1"/>
  <c r="J149" i="1" s="1"/>
  <c r="I77" i="8"/>
  <c r="J77" i="4" s="1"/>
  <c r="J176" i="1" s="1" a="1"/>
  <c r="J176" i="1" s="1"/>
  <c r="I51" i="8"/>
  <c r="J51" i="4" s="1"/>
  <c r="J152" i="1" s="1" a="1"/>
  <c r="J152" i="1" s="1"/>
  <c r="I35" i="8"/>
  <c r="I81" i="8"/>
  <c r="J81" i="4" s="1"/>
  <c r="I55" i="8"/>
  <c r="J55" i="4" s="1"/>
  <c r="J140" i="1" s="1" a="1"/>
  <c r="J140" i="1" s="1"/>
  <c r="I50" i="8"/>
  <c r="J50" i="4" s="1"/>
  <c r="I38" i="8"/>
  <c r="I68" i="8"/>
  <c r="J68" i="4" s="1"/>
  <c r="I6" i="8"/>
  <c r="I101" i="8"/>
  <c r="J101" i="4" s="1"/>
  <c r="I59" i="8"/>
  <c r="J59" i="4" s="1"/>
  <c r="I42" i="8"/>
  <c r="J42" i="4" s="1"/>
  <c r="I41" i="8"/>
  <c r="I76" i="8"/>
  <c r="J76" i="4" s="1"/>
  <c r="I17" i="8"/>
  <c r="I24" i="8"/>
  <c r="I67" i="8"/>
  <c r="J67" i="4" s="1"/>
  <c r="J108" i="1" s="1" a="1"/>
  <c r="J108" i="1" s="1"/>
  <c r="I3" i="8"/>
  <c r="I47" i="8"/>
  <c r="J47" i="4" s="1"/>
  <c r="I92" i="8"/>
  <c r="J92" i="4" s="1"/>
  <c r="J177" i="1" s="1" a="1"/>
  <c r="J177" i="1" s="1"/>
  <c r="I80" i="8"/>
  <c r="J80" i="4" s="1"/>
  <c r="J133" i="1" s="1" a="1"/>
  <c r="J133" i="1" s="1"/>
  <c r="I40" i="8"/>
  <c r="J40" i="4" s="1"/>
  <c r="I28" i="8"/>
  <c r="I14" i="8"/>
  <c r="I62" i="8"/>
  <c r="J62" i="4" s="1"/>
  <c r="I102" i="8"/>
  <c r="J102" i="4" s="1"/>
  <c r="I5" i="8"/>
  <c r="I94" i="8"/>
  <c r="J94" i="4" s="1"/>
  <c r="I36" i="8"/>
  <c r="I85" i="8"/>
  <c r="J85" i="4" s="1"/>
  <c r="I48" i="8"/>
  <c r="J48" i="4" s="1"/>
  <c r="I32" i="8"/>
  <c r="K88" i="12"/>
  <c r="J146" i="12"/>
  <c r="K209" i="12"/>
  <c r="H155" i="12"/>
  <c r="J100" i="12"/>
  <c r="K171" i="12"/>
  <c r="J106" i="12"/>
  <c r="K122" i="12"/>
  <c r="H271" i="12"/>
  <c r="J182" i="12"/>
  <c r="K356" i="12"/>
  <c r="H157" i="12"/>
  <c r="K414" i="12"/>
  <c r="K376" i="12"/>
  <c r="H313" i="12"/>
  <c r="K315" i="12"/>
  <c r="K464" i="12"/>
  <c r="H255" i="12"/>
  <c r="K217" i="12"/>
  <c r="J135" i="12"/>
  <c r="K463" i="12"/>
  <c r="K381" i="12"/>
  <c r="H117" i="12"/>
  <c r="J230" i="12"/>
  <c r="K104" i="12"/>
  <c r="K422" i="12"/>
  <c r="K448" i="12"/>
  <c r="K280" i="12"/>
  <c r="K449" i="12"/>
  <c r="J222" i="12"/>
  <c r="J170" i="12"/>
  <c r="H146" i="12"/>
  <c r="H223" i="12"/>
  <c r="H302" i="12"/>
  <c r="K398" i="12"/>
  <c r="K142" i="12"/>
  <c r="K401" i="12"/>
  <c r="J385" i="12"/>
  <c r="K389" i="12"/>
  <c r="H338" i="12"/>
  <c r="K84" i="12"/>
  <c r="J340" i="12"/>
  <c r="K152" i="12"/>
  <c r="J270" i="12"/>
  <c r="J420" i="12"/>
  <c r="K347" i="12"/>
  <c r="H197" i="12"/>
  <c r="K442" i="12"/>
  <c r="K212" i="12"/>
  <c r="H105" i="12"/>
  <c r="K395" i="12"/>
  <c r="K301" i="12"/>
  <c r="J358" i="12"/>
  <c r="H215" i="12"/>
  <c r="H362" i="12"/>
  <c r="J237" i="12"/>
  <c r="K418" i="12"/>
  <c r="J378" i="12"/>
  <c r="K115" i="12"/>
  <c r="K316" i="12"/>
  <c r="K298" i="12"/>
  <c r="K93" i="12"/>
  <c r="J264" i="12"/>
  <c r="J355" i="12"/>
  <c r="J184" i="12"/>
  <c r="H230" i="12"/>
  <c r="H140" i="12"/>
  <c r="J317" i="12"/>
  <c r="K283" i="12"/>
  <c r="K133" i="12"/>
  <c r="K393" i="12"/>
  <c r="H104" i="12"/>
  <c r="K135" i="12"/>
  <c r="J309" i="12"/>
  <c r="J342" i="12"/>
  <c r="J152" i="12"/>
  <c r="K308" i="12"/>
  <c r="K255" i="12"/>
  <c r="H124" i="12"/>
  <c r="H308" i="12"/>
  <c r="K233" i="12"/>
  <c r="J154" i="12"/>
  <c r="H297" i="12"/>
  <c r="H319" i="12"/>
  <c r="K147" i="12"/>
  <c r="J229" i="12"/>
  <c r="H151" i="12"/>
  <c r="H254" i="12"/>
  <c r="J250" i="12"/>
  <c r="H211" i="12"/>
  <c r="H114" i="12"/>
  <c r="J240" i="12"/>
  <c r="J151" i="12"/>
  <c r="J174" i="12"/>
  <c r="K361" i="12"/>
  <c r="K287" i="12"/>
  <c r="H324" i="12"/>
  <c r="J116" i="12"/>
  <c r="H295" i="12"/>
  <c r="H200" i="12"/>
  <c r="H346" i="12"/>
  <c r="K334" i="12"/>
  <c r="H237" i="12"/>
  <c r="H210" i="12"/>
  <c r="H394" i="12"/>
  <c r="K208" i="12"/>
  <c r="K123" i="12"/>
  <c r="K245" i="12"/>
  <c r="J221" i="12"/>
  <c r="H186" i="12"/>
  <c r="H100" i="12"/>
  <c r="J392" i="12"/>
  <c r="J165" i="12"/>
  <c r="H326" i="12"/>
  <c r="H396" i="12"/>
  <c r="K428" i="12"/>
  <c r="K250" i="12"/>
  <c r="K437" i="12"/>
  <c r="K231" i="12"/>
  <c r="K469" i="12"/>
  <c r="J301" i="12"/>
  <c r="K444" i="12"/>
  <c r="K242" i="12"/>
  <c r="J239" i="12"/>
  <c r="J255" i="12"/>
  <c r="K167" i="12"/>
  <c r="K305" i="12"/>
  <c r="K445" i="12"/>
  <c r="K272" i="12"/>
  <c r="K251" i="12"/>
  <c r="J159" i="12"/>
  <c r="H291" i="12"/>
  <c r="K400" i="12"/>
  <c r="K446" i="12"/>
  <c r="H391" i="12"/>
  <c r="J181" i="12"/>
  <c r="K199" i="12"/>
  <c r="K386" i="12"/>
  <c r="H372" i="12"/>
  <c r="J291" i="12"/>
  <c r="H129" i="12"/>
  <c r="H383" i="12"/>
  <c r="H296" i="12"/>
  <c r="H183" i="12"/>
  <c r="J408" i="12"/>
  <c r="K269" i="12"/>
  <c r="H344" i="12"/>
  <c r="K204" i="12"/>
  <c r="K473" i="12"/>
  <c r="J103" i="12"/>
  <c r="K263" i="12"/>
  <c r="J308" i="12"/>
  <c r="K425" i="12"/>
  <c r="H201" i="12"/>
  <c r="K375" i="12"/>
  <c r="J110" i="12"/>
  <c r="K403" i="12"/>
  <c r="K116" i="12"/>
  <c r="J178" i="12"/>
  <c r="K363" i="12"/>
  <c r="H216" i="12"/>
  <c r="J400" i="12"/>
  <c r="J298" i="12"/>
  <c r="H128" i="12"/>
  <c r="K243" i="12"/>
  <c r="K387" i="12"/>
  <c r="K270" i="12"/>
  <c r="K106" i="12"/>
  <c r="J104" i="12"/>
  <c r="K162" i="12"/>
  <c r="H190" i="12"/>
  <c r="K320" i="12"/>
  <c r="H196" i="12"/>
  <c r="H386" i="12"/>
  <c r="H393" i="12"/>
  <c r="K140" i="12"/>
  <c r="J287" i="12"/>
  <c r="H401" i="12"/>
  <c r="K382" i="12"/>
  <c r="H376" i="12"/>
  <c r="H330" i="12"/>
  <c r="H221" i="12"/>
  <c r="K83" i="12"/>
  <c r="K277" i="12"/>
  <c r="K91" i="12"/>
  <c r="J335" i="12"/>
  <c r="K191" i="12"/>
  <c r="K195" i="12"/>
  <c r="H422" i="12"/>
  <c r="H268" i="12"/>
  <c r="H233" i="12"/>
  <c r="J161" i="12"/>
  <c r="H278" i="12"/>
  <c r="H276" i="12"/>
  <c r="J183" i="12"/>
  <c r="H179" i="12"/>
  <c r="J417" i="12"/>
  <c r="H120" i="12"/>
  <c r="J249" i="12"/>
  <c r="J362" i="12"/>
  <c r="K312" i="12"/>
  <c r="H153" i="12"/>
  <c r="K229" i="12"/>
  <c r="K426" i="12"/>
  <c r="H267" i="12"/>
  <c r="J232" i="12"/>
  <c r="K281" i="12"/>
  <c r="J361" i="12"/>
  <c r="K399" i="12"/>
  <c r="J201" i="12"/>
  <c r="K438" i="12"/>
  <c r="K297" i="12"/>
  <c r="K467" i="12"/>
  <c r="K434" i="12"/>
  <c r="J223" i="12"/>
  <c r="H139" i="12"/>
  <c r="K226" i="12"/>
  <c r="H398" i="12"/>
  <c r="K416" i="12"/>
  <c r="K176" i="12"/>
  <c r="H213" i="12"/>
  <c r="J348" i="12"/>
  <c r="J394" i="12"/>
  <c r="H378" i="12"/>
  <c r="H172" i="12"/>
  <c r="J214" i="12"/>
  <c r="H409" i="12"/>
  <c r="H292" i="12"/>
  <c r="K136" i="12"/>
  <c r="H145" i="12"/>
  <c r="J383" i="12"/>
  <c r="K163" i="12"/>
  <c r="K366" i="12"/>
  <c r="K129" i="12"/>
  <c r="K218" i="12"/>
  <c r="K110" i="12"/>
  <c r="J206" i="12"/>
  <c r="K377" i="12"/>
  <c r="K413" i="12"/>
  <c r="K365" i="12"/>
  <c r="H163" i="12"/>
  <c r="H369" i="12"/>
  <c r="H193" i="12"/>
  <c r="J139" i="12"/>
  <c r="K258" i="12"/>
  <c r="H356" i="12"/>
  <c r="K207" i="12"/>
  <c r="K168" i="12"/>
  <c r="J341" i="12"/>
  <c r="H374" i="12"/>
  <c r="H287" i="12"/>
  <c r="H185" i="12"/>
  <c r="K86" i="12"/>
  <c r="H177" i="12"/>
  <c r="J273" i="12"/>
  <c r="J371" i="12"/>
  <c r="H412" i="12"/>
  <c r="K380" i="12"/>
  <c r="H169" i="12"/>
  <c r="H99" i="12"/>
  <c r="K378" i="12"/>
  <c r="K278" i="12"/>
  <c r="K155" i="12"/>
  <c r="K157" i="12"/>
  <c r="J412" i="12"/>
  <c r="H180" i="12"/>
  <c r="J337" i="12"/>
  <c r="J381" i="12"/>
  <c r="K468" i="12"/>
  <c r="K367" i="12"/>
  <c r="K95" i="12"/>
  <c r="K118" i="12"/>
  <c r="H243" i="12"/>
  <c r="K440" i="12"/>
  <c r="K407" i="12"/>
  <c r="J410" i="12"/>
  <c r="K355" i="12"/>
  <c r="K354" i="12"/>
  <c r="K471" i="12"/>
  <c r="J419" i="12"/>
  <c r="K98" i="12"/>
  <c r="J113" i="12"/>
  <c r="J347" i="12"/>
  <c r="H175" i="12"/>
  <c r="K411" i="12"/>
  <c r="H273" i="12"/>
  <c r="K344" i="12"/>
  <c r="J179" i="12"/>
  <c r="K370" i="12"/>
  <c r="H419" i="12"/>
  <c r="K349" i="12"/>
  <c r="H411" i="12"/>
  <c r="J275" i="12"/>
  <c r="J402" i="12"/>
  <c r="K405" i="12"/>
  <c r="K173" i="12"/>
  <c r="H238" i="12"/>
  <c r="J357" i="12"/>
  <c r="K325" i="12"/>
  <c r="H363" i="12"/>
  <c r="K319" i="12"/>
  <c r="K222" i="12"/>
  <c r="J297" i="12"/>
  <c r="J186" i="12"/>
  <c r="J324" i="12"/>
  <c r="J155" i="12"/>
  <c r="K276" i="12"/>
  <c r="H304" i="12"/>
  <c r="J102" i="12"/>
  <c r="K90" i="12"/>
  <c r="K266" i="12"/>
  <c r="H274" i="12"/>
  <c r="J376" i="12"/>
  <c r="H181" i="12"/>
  <c r="J278" i="12"/>
  <c r="K322" i="12"/>
  <c r="J208" i="12"/>
  <c r="J185" i="12"/>
  <c r="H314" i="12"/>
  <c r="K304" i="12"/>
  <c r="K237" i="12"/>
  <c r="J274" i="12"/>
  <c r="H285" i="12"/>
  <c r="H340" i="12"/>
  <c r="K261" i="12"/>
  <c r="K311" i="12"/>
  <c r="J395" i="12"/>
  <c r="H161" i="12"/>
  <c r="J173" i="12"/>
  <c r="J141" i="12"/>
  <c r="K159" i="12"/>
  <c r="J198" i="12"/>
  <c r="H176" i="12"/>
  <c r="K359" i="12"/>
  <c r="K198" i="12"/>
  <c r="H198" i="12"/>
  <c r="K328" i="12"/>
  <c r="H337" i="12"/>
  <c r="J188" i="12"/>
  <c r="J333" i="12"/>
  <c r="J282" i="12"/>
  <c r="K138" i="12"/>
  <c r="K192" i="12"/>
  <c r="K329" i="12"/>
  <c r="J318" i="12"/>
  <c r="J176" i="12"/>
  <c r="H352" i="12"/>
  <c r="K260" i="12"/>
  <c r="J339" i="12"/>
  <c r="K225" i="12"/>
  <c r="H364" i="12"/>
  <c r="H368" i="12"/>
  <c r="J129" i="12"/>
  <c r="H309" i="12"/>
  <c r="J177" i="12"/>
  <c r="K352" i="12"/>
  <c r="H423" i="12"/>
  <c r="K460" i="12"/>
  <c r="K475" i="12"/>
  <c r="H149" i="12"/>
  <c r="J192" i="12"/>
  <c r="K109" i="12"/>
  <c r="K158" i="12"/>
  <c r="K203" i="12"/>
  <c r="K121" i="12"/>
  <c r="H212" i="12"/>
  <c r="H262" i="12"/>
  <c r="K285" i="12"/>
  <c r="H158" i="12"/>
  <c r="H350" i="12"/>
  <c r="H101" i="12"/>
  <c r="K290" i="12"/>
  <c r="K174" i="12"/>
  <c r="K182" i="12"/>
  <c r="K326" i="12"/>
  <c r="H282" i="12"/>
  <c r="H373" i="12"/>
  <c r="H119" i="12"/>
  <c r="H389" i="12"/>
  <c r="K148" i="12"/>
  <c r="H235" i="12"/>
  <c r="H164" i="12"/>
  <c r="J364" i="12"/>
  <c r="K321" i="12"/>
  <c r="K211" i="12"/>
  <c r="J242" i="12"/>
  <c r="J403" i="12"/>
  <c r="J359" i="12"/>
  <c r="J153" i="12"/>
  <c r="K341" i="12"/>
  <c r="H336" i="12"/>
  <c r="K296" i="12"/>
  <c r="K160" i="12"/>
  <c r="J423" i="12"/>
  <c r="K457" i="12"/>
  <c r="K132" i="12"/>
  <c r="K172" i="12"/>
  <c r="J304" i="12"/>
  <c r="J164" i="12"/>
  <c r="K303" i="12"/>
  <c r="K215" i="12"/>
  <c r="J256" i="12"/>
  <c r="K100" i="12"/>
  <c r="J316" i="12"/>
  <c r="K143" i="12"/>
  <c r="K201" i="12"/>
  <c r="J212" i="12"/>
  <c r="H320" i="12"/>
  <c r="K384" i="12"/>
  <c r="K128" i="12"/>
  <c r="J231" i="12"/>
  <c r="K274" i="12"/>
  <c r="K196" i="12"/>
  <c r="H283" i="12"/>
  <c r="H242" i="12"/>
  <c r="K474" i="12"/>
  <c r="H102" i="12"/>
  <c r="K451" i="12"/>
  <c r="J386" i="12"/>
  <c r="K282" i="12"/>
  <c r="K419" i="12"/>
  <c r="K408" i="12"/>
  <c r="H219" i="12"/>
  <c r="J319" i="12"/>
  <c r="K241" i="12"/>
  <c r="J228" i="12"/>
  <c r="H227" i="12"/>
  <c r="H187" i="12"/>
  <c r="K220" i="12"/>
  <c r="K350" i="12"/>
  <c r="K390" i="12"/>
  <c r="K435" i="12"/>
  <c r="J200" i="12"/>
  <c r="H214" i="12"/>
  <c r="H397" i="12"/>
  <c r="H244" i="12"/>
  <c r="K333" i="12"/>
  <c r="H252" i="12"/>
  <c r="J248" i="12"/>
  <c r="H405" i="12"/>
  <c r="K343" i="12"/>
  <c r="H339" i="12"/>
  <c r="K97" i="12"/>
  <c r="K213" i="12"/>
  <c r="J321" i="12"/>
  <c r="J216" i="12"/>
  <c r="J422" i="12"/>
  <c r="K342" i="12"/>
  <c r="K99" i="12"/>
  <c r="K420" i="12"/>
  <c r="H121" i="12"/>
  <c r="K338" i="12"/>
  <c r="J277" i="12"/>
  <c r="H142" i="12"/>
  <c r="H270" i="12"/>
  <c r="K412" i="12"/>
  <c r="K165" i="12"/>
  <c r="J356" i="12"/>
  <c r="J112" i="12"/>
  <c r="K423" i="12"/>
  <c r="J267" i="12"/>
  <c r="J109" i="12"/>
  <c r="K275" i="12"/>
  <c r="J190" i="12"/>
  <c r="H264" i="12"/>
  <c r="K271" i="12"/>
  <c r="J268" i="12"/>
  <c r="H377" i="12"/>
  <c r="J131" i="12"/>
  <c r="J276" i="12"/>
  <c r="J145" i="12"/>
  <c r="J144" i="12"/>
  <c r="J343" i="12"/>
  <c r="H234" i="12"/>
  <c r="H150" i="12"/>
  <c r="H147" i="12"/>
  <c r="J134" i="12"/>
  <c r="K454" i="12"/>
  <c r="K234" i="12"/>
  <c r="H205" i="12"/>
  <c r="H310" i="12"/>
  <c r="H367" i="12"/>
  <c r="K441" i="12"/>
  <c r="H148" i="12"/>
  <c r="J293" i="12"/>
  <c r="K102" i="12"/>
  <c r="J157" i="12"/>
  <c r="J303" i="12"/>
  <c r="J158" i="12"/>
  <c r="K264" i="12"/>
  <c r="K120" i="12"/>
  <c r="J107" i="12"/>
  <c r="J271" i="12"/>
  <c r="J373" i="12"/>
  <c r="K232" i="12"/>
  <c r="K286" i="12"/>
  <c r="H123" i="12"/>
  <c r="K105" i="12"/>
  <c r="H305" i="12"/>
  <c r="H107" i="12"/>
  <c r="K402" i="12"/>
  <c r="K327" i="12"/>
  <c r="K184" i="12"/>
  <c r="J260" i="12"/>
  <c r="K267" i="12"/>
  <c r="H222" i="12"/>
  <c r="K256" i="12"/>
  <c r="J123" i="12"/>
  <c r="J399" i="12"/>
  <c r="H138" i="12"/>
  <c r="J126" i="12"/>
  <c r="J418" i="12"/>
  <c r="J101" i="12"/>
  <c r="H194" i="12"/>
  <c r="H245" i="12"/>
  <c r="H208" i="12"/>
  <c r="J147" i="12"/>
  <c r="J209" i="12"/>
  <c r="H300" i="12"/>
  <c r="K323" i="12"/>
  <c r="K351" i="12"/>
  <c r="J325" i="12"/>
  <c r="K332" i="12"/>
  <c r="H218" i="12"/>
  <c r="K92" i="12"/>
  <c r="H418" i="12"/>
  <c r="H156" i="12"/>
  <c r="H135" i="12"/>
  <c r="K379" i="12"/>
  <c r="H348" i="12"/>
  <c r="J128" i="12"/>
  <c r="J121" i="12"/>
  <c r="H415" i="12"/>
  <c r="J234" i="12"/>
  <c r="K279" i="12"/>
  <c r="J259" i="12"/>
  <c r="K239" i="12"/>
  <c r="K431" i="12"/>
  <c r="K175" i="12"/>
  <c r="H404" i="12"/>
  <c r="J156" i="12"/>
  <c r="H228" i="12"/>
  <c r="J367" i="12"/>
  <c r="K455" i="12"/>
  <c r="H402" i="12"/>
  <c r="J133" i="12"/>
  <c r="H241" i="12"/>
  <c r="K146" i="12"/>
  <c r="H321" i="12"/>
  <c r="H191" i="12"/>
  <c r="J327" i="12"/>
  <c r="H417" i="12"/>
  <c r="H294" i="12"/>
  <c r="H159" i="12"/>
  <c r="J258" i="12"/>
  <c r="H112" i="12"/>
  <c r="K188" i="12"/>
  <c r="K358" i="12"/>
  <c r="K294" i="12"/>
  <c r="K137" i="12"/>
  <c r="J219" i="12"/>
  <c r="H272" i="12"/>
  <c r="J115" i="12"/>
  <c r="J390" i="12"/>
  <c r="K219" i="12"/>
  <c r="J224" i="12"/>
  <c r="H379" i="12"/>
  <c r="H263" i="12"/>
  <c r="K324" i="12"/>
  <c r="H349" i="12"/>
  <c r="K224" i="12"/>
  <c r="J195" i="12"/>
  <c r="H327" i="12"/>
  <c r="H347" i="12"/>
  <c r="H207" i="12"/>
  <c r="H416" i="12"/>
  <c r="H279" i="12"/>
  <c r="K96" i="12"/>
  <c r="H298" i="12"/>
  <c r="J168" i="12"/>
  <c r="K430" i="12"/>
  <c r="K470" i="12"/>
  <c r="J409" i="12"/>
  <c r="J380" i="12"/>
  <c r="K151" i="12"/>
  <c r="H178" i="12"/>
  <c r="K247" i="12"/>
  <c r="H307" i="12"/>
  <c r="K87" i="12"/>
  <c r="H184" i="12"/>
  <c r="H358" i="12"/>
  <c r="J334" i="12"/>
  <c r="H315" i="12"/>
  <c r="H118" i="12"/>
  <c r="K117" i="12"/>
  <c r="K230" i="12"/>
  <c r="K114" i="12"/>
  <c r="K259" i="12"/>
  <c r="H322" i="12"/>
  <c r="J323" i="12"/>
  <c r="J411" i="12"/>
  <c r="H288" i="12"/>
  <c r="J375" i="12"/>
  <c r="J414" i="12"/>
  <c r="J167" i="12"/>
  <c r="H162" i="12"/>
  <c r="H387" i="12"/>
  <c r="J372" i="12"/>
  <c r="K462" i="12"/>
  <c r="J311" i="12"/>
  <c r="H257" i="12"/>
  <c r="K369" i="12"/>
  <c r="J397" i="12"/>
  <c r="H113" i="12"/>
  <c r="H106" i="12"/>
  <c r="K206" i="12"/>
  <c r="J262" i="12"/>
  <c r="K392" i="12"/>
  <c r="J127" i="12"/>
  <c r="J120" i="12"/>
  <c r="J305" i="12"/>
  <c r="K85" i="12"/>
  <c r="J187" i="12"/>
  <c r="J396" i="12"/>
  <c r="H289" i="12"/>
  <c r="K409" i="12"/>
  <c r="K427" i="12"/>
  <c r="H286" i="12"/>
  <c r="J315" i="12"/>
  <c r="H265" i="12"/>
  <c r="H131" i="12"/>
  <c r="K357" i="12"/>
  <c r="K156" i="12"/>
  <c r="K291" i="12"/>
  <c r="H403" i="12"/>
  <c r="H240" i="12"/>
  <c r="K313" i="12"/>
  <c r="H224" i="12"/>
  <c r="K180" i="12"/>
  <c r="K236" i="12"/>
  <c r="J352" i="12"/>
  <c r="K193" i="12"/>
  <c r="K461" i="12"/>
  <c r="H303" i="12"/>
  <c r="J247" i="12"/>
  <c r="K385" i="12"/>
  <c r="J233" i="12"/>
  <c r="J393" i="12"/>
  <c r="H353" i="12"/>
  <c r="J398" i="12"/>
  <c r="K221" i="12"/>
  <c r="J286" i="12"/>
  <c r="J196" i="12"/>
  <c r="H382" i="12"/>
  <c r="J171" i="12"/>
  <c r="H239" i="12"/>
  <c r="K288" i="12"/>
  <c r="J202" i="12"/>
  <c r="J346" i="12"/>
  <c r="K139" i="12"/>
  <c r="J138" i="12"/>
  <c r="K197" i="12"/>
  <c r="H275" i="12"/>
  <c r="K421" i="12"/>
  <c r="H343" i="12"/>
  <c r="K336" i="12"/>
  <c r="H111" i="12"/>
  <c r="J351" i="12"/>
  <c r="H400" i="12"/>
  <c r="K453" i="12"/>
  <c r="H231" i="12"/>
  <c r="H167" i="12"/>
  <c r="J197" i="12"/>
  <c r="J175" i="12"/>
  <c r="H126" i="12"/>
  <c r="J180" i="12"/>
  <c r="J132" i="12"/>
  <c r="K339" i="12"/>
  <c r="H332" i="12"/>
  <c r="H232" i="12"/>
  <c r="K235" i="12"/>
  <c r="K253" i="12"/>
  <c r="J108" i="12"/>
  <c r="J289" i="12"/>
  <c r="K141" i="12"/>
  <c r="H247" i="12"/>
  <c r="J331" i="12"/>
  <c r="H250" i="12"/>
  <c r="K330" i="12"/>
  <c r="K154" i="12"/>
  <c r="K391" i="12"/>
  <c r="J235" i="12"/>
  <c r="J189" i="12"/>
  <c r="K337" i="12"/>
  <c r="K439" i="12"/>
  <c r="K186" i="12"/>
  <c r="J125" i="12"/>
  <c r="K348" i="12"/>
  <c r="J111" i="12"/>
  <c r="J330" i="12"/>
  <c r="J329" i="12"/>
  <c r="K310" i="12"/>
  <c r="J320" i="12"/>
  <c r="K404" i="12"/>
  <c r="J387" i="12"/>
  <c r="H380" i="12"/>
  <c r="H220" i="12"/>
  <c r="J117" i="12"/>
  <c r="J191" i="12"/>
  <c r="J421" i="12"/>
  <c r="J401" i="12"/>
  <c r="K153" i="12"/>
  <c r="K289" i="12"/>
  <c r="K394" i="12"/>
  <c r="K190" i="12"/>
  <c r="K189" i="12"/>
  <c r="J265" i="12"/>
  <c r="K465" i="12"/>
  <c r="H203" i="12"/>
  <c r="J349" i="12"/>
  <c r="J415" i="12"/>
  <c r="J374" i="12"/>
  <c r="H266" i="12"/>
  <c r="H225" i="12"/>
  <c r="K150" i="12"/>
  <c r="H335" i="12"/>
  <c r="K452" i="12"/>
  <c r="K131" i="12"/>
  <c r="J99" i="12"/>
  <c r="H345" i="12"/>
  <c r="J269" i="12"/>
  <c r="J344" i="12"/>
  <c r="K410" i="12"/>
  <c r="J280" i="12"/>
  <c r="J118" i="12"/>
  <c r="J246" i="12"/>
  <c r="K346" i="12"/>
  <c r="H109" i="12"/>
  <c r="K450" i="12"/>
  <c r="H110" i="12"/>
  <c r="K300" i="12"/>
  <c r="K169" i="12"/>
  <c r="J163" i="12"/>
  <c r="J404" i="12"/>
  <c r="H122" i="12"/>
  <c r="H160" i="12"/>
  <c r="H202" i="12"/>
  <c r="K108" i="12"/>
  <c r="J210" i="12"/>
  <c r="H399" i="12"/>
  <c r="J326" i="12"/>
  <c r="H357" i="12"/>
  <c r="K103" i="12"/>
  <c r="J243" i="12"/>
  <c r="K360" i="12"/>
  <c r="J261" i="12"/>
  <c r="K396" i="12"/>
  <c r="J388" i="12"/>
  <c r="J336" i="12"/>
  <c r="K187" i="12"/>
  <c r="H127" i="12"/>
  <c r="H360" i="12"/>
  <c r="J299" i="12"/>
  <c r="K113" i="12"/>
  <c r="H137" i="12"/>
  <c r="H325" i="12"/>
  <c r="K317" i="12"/>
  <c r="K144" i="12"/>
  <c r="J366" i="12"/>
  <c r="K262" i="12"/>
  <c r="H133" i="12"/>
  <c r="J306" i="12"/>
  <c r="H408" i="12"/>
  <c r="H365" i="12"/>
  <c r="K252" i="12"/>
  <c r="J241" i="12"/>
  <c r="J382" i="12"/>
  <c r="H253" i="12"/>
  <c r="H260" i="12"/>
  <c r="H381" i="12"/>
  <c r="J296" i="12"/>
  <c r="J193" i="12"/>
  <c r="H299" i="12"/>
  <c r="K257" i="12"/>
  <c r="J363" i="12"/>
  <c r="K364" i="12"/>
  <c r="H311" i="12"/>
  <c r="H199" i="12"/>
  <c r="J253" i="12"/>
  <c r="H134" i="12"/>
  <c r="K299" i="12"/>
  <c r="H204" i="12"/>
  <c r="K295" i="12"/>
  <c r="K293" i="12"/>
  <c r="J245" i="12"/>
  <c r="J194" i="12"/>
  <c r="K227" i="12"/>
  <c r="J322" i="12"/>
  <c r="H355" i="12"/>
  <c r="K447" i="12"/>
  <c r="H384" i="12"/>
  <c r="H171" i="12"/>
  <c r="J350" i="12"/>
  <c r="J119" i="12"/>
  <c r="H370" i="12"/>
  <c r="H334" i="12"/>
  <c r="K238" i="12"/>
  <c r="J307" i="12"/>
  <c r="J312" i="12"/>
  <c r="K145" i="12"/>
  <c r="J369" i="12"/>
  <c r="K424" i="12"/>
  <c r="H132" i="12"/>
  <c r="J217" i="12"/>
  <c r="K362" i="12"/>
  <c r="H420" i="12"/>
  <c r="K246" i="12"/>
  <c r="H306" i="12"/>
  <c r="J213" i="12"/>
  <c r="K166" i="12"/>
  <c r="H226" i="12"/>
  <c r="J124" i="12"/>
  <c r="J292" i="12"/>
  <c r="J236" i="12"/>
  <c r="K456" i="12"/>
  <c r="J169" i="12"/>
  <c r="K318" i="12"/>
  <c r="J379" i="12"/>
  <c r="J162" i="12"/>
  <c r="H143" i="12"/>
  <c r="H188" i="12"/>
  <c r="K183" i="12"/>
  <c r="K466" i="12"/>
  <c r="K443" i="12"/>
  <c r="J290" i="12"/>
  <c r="H195" i="12"/>
  <c r="K223" i="12"/>
  <c r="H371" i="12"/>
  <c r="H115" i="12"/>
  <c r="K284" i="12"/>
  <c r="H256" i="12"/>
  <c r="J114" i="12"/>
  <c r="J310" i="12"/>
  <c r="J227" i="12"/>
  <c r="J263" i="12"/>
  <c r="J285" i="12"/>
  <c r="H258" i="12"/>
  <c r="J294" i="12"/>
  <c r="H259" i="12"/>
  <c r="K216" i="12"/>
  <c r="H318" i="12"/>
  <c r="J254" i="12"/>
  <c r="K210" i="12"/>
  <c r="K185" i="12"/>
  <c r="J105" i="12"/>
  <c r="H189" i="12"/>
  <c r="H269" i="12"/>
  <c r="J150" i="12"/>
  <c r="H390" i="12"/>
  <c r="H323" i="12"/>
  <c r="K458" i="12"/>
  <c r="H261" i="12"/>
  <c r="J244" i="12"/>
  <c r="K265" i="12"/>
  <c r="H116" i="12"/>
  <c r="J166" i="12"/>
  <c r="J413" i="12"/>
  <c r="H312" i="12"/>
  <c r="J238" i="12"/>
  <c r="K161" i="12"/>
  <c r="J215" i="12"/>
  <c r="J140" i="12"/>
  <c r="H354" i="12"/>
  <c r="J405" i="12"/>
  <c r="J370" i="12"/>
  <c r="J345" i="12"/>
  <c r="J225" i="12"/>
  <c r="J143" i="12"/>
  <c r="K111" i="12"/>
  <c r="J377" i="12"/>
  <c r="K353" i="12"/>
  <c r="K181" i="12"/>
  <c r="K388" i="12"/>
  <c r="J142" i="12"/>
  <c r="K101" i="12"/>
  <c r="H388" i="12"/>
  <c r="K373" i="12"/>
  <c r="K340" i="12"/>
  <c r="K372" i="12"/>
  <c r="H103" i="12"/>
  <c r="J211" i="12"/>
  <c r="H410" i="12"/>
  <c r="J272" i="12"/>
  <c r="J302" i="12"/>
  <c r="H361" i="12"/>
  <c r="H249" i="12"/>
  <c r="K112" i="12"/>
  <c r="H229" i="12"/>
  <c r="H154" i="12"/>
  <c r="J360" i="12"/>
  <c r="K134" i="12"/>
  <c r="J391" i="12"/>
  <c r="K345" i="12"/>
  <c r="H421" i="12"/>
  <c r="K107" i="12"/>
  <c r="K331" i="12"/>
  <c r="K432" i="12"/>
  <c r="H174" i="12"/>
  <c r="K374" i="12"/>
  <c r="J328" i="12"/>
  <c r="J406" i="12"/>
  <c r="J251" i="12"/>
  <c r="H144" i="12"/>
  <c r="J283" i="12"/>
  <c r="J365" i="12"/>
  <c r="H251" i="12"/>
  <c r="J384" i="12"/>
  <c r="H248" i="12"/>
  <c r="H317" i="12"/>
  <c r="K119" i="12"/>
  <c r="J354" i="12"/>
  <c r="K309" i="12"/>
  <c r="H375" i="12"/>
  <c r="J148" i="12"/>
  <c r="J160" i="12"/>
  <c r="H342" i="12"/>
  <c r="H277" i="12"/>
  <c r="H284" i="12"/>
  <c r="J199" i="12"/>
  <c r="H359" i="12"/>
  <c r="K273" i="12"/>
  <c r="J149" i="12"/>
  <c r="J295" i="12"/>
  <c r="J266" i="12"/>
  <c r="J368" i="12"/>
  <c r="K202" i="12"/>
  <c r="K240" i="12"/>
  <c r="K314" i="12"/>
  <c r="K292" i="12"/>
  <c r="J220" i="12"/>
  <c r="K228" i="12"/>
  <c r="K306" i="12"/>
  <c r="H125" i="12"/>
  <c r="K436" i="12"/>
  <c r="K89" i="12"/>
  <c r="K94" i="12"/>
  <c r="K406" i="12"/>
  <c r="J407" i="12"/>
  <c r="H385" i="12"/>
  <c r="K164" i="12"/>
  <c r="H331" i="12"/>
  <c r="J207" i="12"/>
  <c r="H329" i="12"/>
  <c r="K429" i="12"/>
  <c r="J130" i="12"/>
  <c r="K383" i="12"/>
  <c r="K472" i="12"/>
  <c r="H395" i="12"/>
  <c r="J172" i="12"/>
  <c r="H328" i="12"/>
  <c r="K126" i="12"/>
  <c r="K125" i="12"/>
  <c r="J288" i="12"/>
  <c r="H293" i="12"/>
  <c r="H166" i="12"/>
  <c r="K268" i="12"/>
  <c r="K178" i="12"/>
  <c r="J226" i="12"/>
  <c r="H406" i="12"/>
  <c r="J314" i="12"/>
  <c r="H341" i="12"/>
  <c r="J353" i="12"/>
  <c r="H301" i="12"/>
  <c r="J218" i="12"/>
  <c r="K248" i="12"/>
  <c r="J389" i="12"/>
  <c r="H173" i="12"/>
  <c r="J338" i="12"/>
  <c r="H206" i="12"/>
  <c r="K214" i="12"/>
  <c r="J203" i="12"/>
  <c r="K200" i="12"/>
  <c r="K244" i="12"/>
  <c r="H209" i="12"/>
  <c r="H414" i="12"/>
  <c r="J205" i="12"/>
  <c r="H316" i="12"/>
  <c r="J122" i="12"/>
  <c r="K149" i="12"/>
  <c r="H130" i="12"/>
  <c r="K254" i="12"/>
  <c r="J137" i="12"/>
  <c r="K302" i="12"/>
  <c r="H170" i="12"/>
  <c r="H333" i="12"/>
  <c r="K205" i="12"/>
  <c r="K368" i="12"/>
  <c r="H281" i="12"/>
  <c r="K177" i="12"/>
  <c r="K397" i="12"/>
  <c r="J300" i="12"/>
  <c r="K249" i="12"/>
  <c r="K417" i="12"/>
  <c r="H217" i="12"/>
  <c r="H168" i="12"/>
  <c r="H236" i="12"/>
  <c r="H413" i="12"/>
  <c r="H280" i="12"/>
  <c r="H351" i="12"/>
  <c r="K335" i="12"/>
  <c r="J416" i="12"/>
  <c r="J332" i="12"/>
  <c r="H392" i="12"/>
  <c r="J257" i="12"/>
  <c r="H141" i="12"/>
  <c r="K307" i="12"/>
  <c r="K194" i="12"/>
  <c r="J281" i="12"/>
  <c r="H152" i="12"/>
  <c r="K124" i="12"/>
  <c r="J136" i="12"/>
  <c r="K459" i="12"/>
  <c r="H192" i="12"/>
  <c r="K170" i="12"/>
  <c r="H136" i="12"/>
  <c r="K179" i="12"/>
  <c r="K371" i="12"/>
  <c r="K433" i="12"/>
  <c r="K130" i="12"/>
  <c r="J313" i="12"/>
  <c r="K415" i="12"/>
  <c r="J252" i="12"/>
  <c r="H246" i="12"/>
  <c r="H290" i="12"/>
  <c r="J284" i="12"/>
  <c r="H366" i="12"/>
  <c r="H407" i="12"/>
  <c r="J204" i="12"/>
  <c r="H182" i="12"/>
  <c r="H108" i="12"/>
  <c r="K127" i="12"/>
  <c r="H165" i="12"/>
  <c r="J279" i="12"/>
  <c r="L279" i="12" l="1" a="1"/>
  <c r="L279" i="12" s="1"/>
  <c r="I165" i="12" a="1"/>
  <c r="I165" i="12" s="1"/>
  <c r="M127" i="12" a="1"/>
  <c r="M127" i="12" s="1"/>
  <c r="I108" i="12" a="1"/>
  <c r="I108" i="12" s="1"/>
  <c r="I182" i="12" a="1"/>
  <c r="I182" i="12" s="1"/>
  <c r="L204" i="12" a="1"/>
  <c r="L204" i="12" s="1"/>
  <c r="I407" i="12" a="1"/>
  <c r="I407" i="12" s="1"/>
  <c r="I366" i="12" a="1"/>
  <c r="I366" i="12" s="1"/>
  <c r="L284" i="12" a="1"/>
  <c r="L284" i="12" s="1"/>
  <c r="I290" i="12" a="1"/>
  <c r="I290" i="12" s="1"/>
  <c r="I246" i="12" a="1"/>
  <c r="I246" i="12" s="1"/>
  <c r="L252" i="12" a="1"/>
  <c r="L252" i="12" s="1"/>
  <c r="M415" i="12" a="1"/>
  <c r="M415" i="12" s="1"/>
  <c r="L313" i="12" a="1"/>
  <c r="L313" i="12" s="1"/>
  <c r="M130" i="12" a="1"/>
  <c r="M130" i="12" s="1"/>
  <c r="M371" i="12" a="1"/>
  <c r="M371" i="12" s="1"/>
  <c r="M179" i="12" a="1"/>
  <c r="M179" i="12" s="1"/>
  <c r="I136" i="12" a="1"/>
  <c r="I136" i="12" s="1"/>
  <c r="M170" i="12" a="1"/>
  <c r="M170" i="12" s="1"/>
  <c r="I192" i="12" a="1"/>
  <c r="I192" i="12" s="1"/>
  <c r="L136" i="12" a="1"/>
  <c r="L136" i="12" s="1"/>
  <c r="M124" i="12" a="1"/>
  <c r="M124" i="12" s="1"/>
  <c r="I152" i="12" a="1"/>
  <c r="I152" i="12" s="1"/>
  <c r="L281" i="12" a="1"/>
  <c r="L281" i="12" s="1"/>
  <c r="M194" i="12" a="1"/>
  <c r="M194" i="12" s="1"/>
  <c r="M307" i="12" a="1"/>
  <c r="M307" i="12" s="1"/>
  <c r="I141" i="12" a="1"/>
  <c r="I141" i="12" s="1"/>
  <c r="L257" i="12" a="1"/>
  <c r="L257" i="12" s="1"/>
  <c r="I392" i="12" a="1"/>
  <c r="I392" i="12" s="1"/>
  <c r="L332" i="12" a="1"/>
  <c r="L332" i="12" s="1"/>
  <c r="L416" i="12" a="1"/>
  <c r="L416" i="12" s="1"/>
  <c r="M335" i="12" a="1"/>
  <c r="M335" i="12" s="1"/>
  <c r="I351" i="12" a="1"/>
  <c r="I351" i="12" s="1"/>
  <c r="I280" i="12" a="1"/>
  <c r="I280" i="12" s="1"/>
  <c r="I413" i="12" a="1"/>
  <c r="I413" i="12" s="1"/>
  <c r="I236" i="12" a="1"/>
  <c r="I236" i="12" s="1"/>
  <c r="I168" i="12" a="1"/>
  <c r="I168" i="12" s="1"/>
  <c r="I217" i="12" a="1"/>
  <c r="I217" i="12" s="1"/>
  <c r="M417" i="12" a="1"/>
  <c r="M417" i="12" s="1"/>
  <c r="M249" i="12" a="1"/>
  <c r="M249" i="12" s="1"/>
  <c r="L300" i="12" a="1"/>
  <c r="L300" i="12" s="1"/>
  <c r="M397" i="12" a="1"/>
  <c r="M397" i="12" s="1"/>
  <c r="M177" i="12" a="1"/>
  <c r="M177" i="12" s="1"/>
  <c r="I281" i="12" a="1"/>
  <c r="I281" i="12" s="1"/>
  <c r="M368" i="12" a="1"/>
  <c r="M368" i="12" s="1"/>
  <c r="M205" i="12" a="1"/>
  <c r="M205" i="12" s="1"/>
  <c r="I333" i="12" a="1"/>
  <c r="I333" i="12" s="1"/>
  <c r="I170" i="12" a="1"/>
  <c r="I170" i="12" s="1"/>
  <c r="M302" i="12" a="1"/>
  <c r="M302" i="12" s="1"/>
  <c r="L137" i="12" a="1"/>
  <c r="L137" i="12" s="1"/>
  <c r="M254" i="12" a="1"/>
  <c r="M254" i="12" s="1"/>
  <c r="I130" i="12" a="1"/>
  <c r="I130" i="12" s="1"/>
  <c r="M149" i="12" a="1"/>
  <c r="M149" i="12" s="1"/>
  <c r="L122" i="12" a="1"/>
  <c r="L122" i="12" s="1"/>
  <c r="I316" i="12" a="1"/>
  <c r="I316" i="12" s="1"/>
  <c r="L205" i="12" a="1"/>
  <c r="L205" i="12" s="1"/>
  <c r="I414" i="12" a="1"/>
  <c r="I414" i="12" s="1"/>
  <c r="I209" i="12" a="1"/>
  <c r="I209" i="12" s="1"/>
  <c r="M244" i="12" a="1"/>
  <c r="M244" i="12" s="1"/>
  <c r="M200" i="12" a="1"/>
  <c r="M200" i="12" s="1"/>
  <c r="L203" i="12" a="1"/>
  <c r="L203" i="12" s="1"/>
  <c r="M214" i="12" a="1"/>
  <c r="M214" i="12" s="1"/>
  <c r="I206" i="12" a="1"/>
  <c r="I206" i="12" s="1"/>
  <c r="L338" i="12" a="1"/>
  <c r="L338" i="12" s="1"/>
  <c r="I173" i="12" a="1"/>
  <c r="I173" i="12" s="1"/>
  <c r="L389" i="12" a="1"/>
  <c r="L389" i="12" s="1"/>
  <c r="M248" i="12" a="1"/>
  <c r="M248" i="12" s="1"/>
  <c r="L218" i="12" a="1"/>
  <c r="L218" i="12" s="1"/>
  <c r="I301" i="12" a="1"/>
  <c r="I301" i="12" s="1"/>
  <c r="L353" i="12" a="1"/>
  <c r="L353" i="12" s="1"/>
  <c r="I341" i="12" a="1"/>
  <c r="I341" i="12" s="1"/>
  <c r="L314" i="12" a="1"/>
  <c r="L314" i="12" s="1"/>
  <c r="I406" i="12" a="1"/>
  <c r="I406" i="12" s="1"/>
  <c r="L226" i="12" a="1"/>
  <c r="L226" i="12" s="1"/>
  <c r="M178" i="12" a="1"/>
  <c r="M178" i="12" s="1"/>
  <c r="M268" i="12" a="1"/>
  <c r="M268" i="12" s="1"/>
  <c r="I166" i="12" a="1"/>
  <c r="I166" i="12" s="1"/>
  <c r="I293" i="12" a="1"/>
  <c r="I293" i="12" s="1"/>
  <c r="L288" i="12" a="1"/>
  <c r="L288" i="12" s="1"/>
  <c r="M125" i="12" a="1"/>
  <c r="M125" i="12" s="1"/>
  <c r="M126" i="12" a="1"/>
  <c r="M126" i="12" s="1"/>
  <c r="I328" i="12" a="1"/>
  <c r="I328" i="12" s="1"/>
  <c r="L172" i="12" a="1"/>
  <c r="L172" i="12" s="1"/>
  <c r="I395" i="12" a="1"/>
  <c r="I395" i="12" s="1"/>
  <c r="M383" i="12" a="1"/>
  <c r="M383" i="12" s="1"/>
  <c r="L130" i="12" a="1"/>
  <c r="L130" i="12" s="1"/>
  <c r="I329" i="12" a="1"/>
  <c r="I329" i="12" s="1"/>
  <c r="L207" i="12" a="1"/>
  <c r="L207" i="12" s="1"/>
  <c r="I331" i="12" a="1"/>
  <c r="I331" i="12" s="1"/>
  <c r="M164" i="12" a="1"/>
  <c r="M164" i="12" s="1"/>
  <c r="I385" i="12" a="1"/>
  <c r="I385" i="12" s="1"/>
  <c r="L407" i="12" a="1"/>
  <c r="L407" i="12" s="1"/>
  <c r="M406" i="12" a="1"/>
  <c r="M406" i="12" s="1"/>
  <c r="I125" i="12" a="1"/>
  <c r="I125" i="12" s="1"/>
  <c r="M306" i="12" a="1"/>
  <c r="M306" i="12" s="1"/>
  <c r="M228" i="12" a="1"/>
  <c r="M228" i="12" s="1"/>
  <c r="L220" i="12" a="1"/>
  <c r="L220" i="12" s="1"/>
  <c r="M292" i="12" a="1"/>
  <c r="M292" i="12" s="1"/>
  <c r="M314" i="12" a="1"/>
  <c r="M314" i="12" s="1"/>
  <c r="M240" i="12" a="1"/>
  <c r="M240" i="12" s="1"/>
  <c r="M202" i="12" a="1"/>
  <c r="M202" i="12" s="1"/>
  <c r="L368" i="12" a="1"/>
  <c r="L368" i="12" s="1"/>
  <c r="L266" i="12" a="1"/>
  <c r="L266" i="12" s="1"/>
  <c r="L295" i="12" a="1"/>
  <c r="L295" i="12" s="1"/>
  <c r="L149" i="12" a="1"/>
  <c r="L149" i="12" s="1"/>
  <c r="M273" i="12" a="1"/>
  <c r="M273" i="12" s="1"/>
  <c r="I359" i="12" a="1"/>
  <c r="I359" i="12" s="1"/>
  <c r="L199" i="12" a="1"/>
  <c r="L199" i="12" s="1"/>
  <c r="I284" i="12" a="1"/>
  <c r="I284" i="12" s="1"/>
  <c r="I277" i="12" a="1"/>
  <c r="I277" i="12" s="1"/>
  <c r="I342" i="12" a="1"/>
  <c r="I342" i="12" s="1"/>
  <c r="L160" i="12" a="1"/>
  <c r="L160" i="12" s="1"/>
  <c r="L148" i="12" a="1"/>
  <c r="L148" i="12" s="1"/>
  <c r="I375" i="12" a="1"/>
  <c r="I375" i="12" s="1"/>
  <c r="M309" i="12" a="1"/>
  <c r="M309" i="12" s="1"/>
  <c r="L354" i="12" a="1"/>
  <c r="L354" i="12" s="1"/>
  <c r="M119" i="12" a="1"/>
  <c r="M119" i="12" s="1"/>
  <c r="I317" i="12" a="1"/>
  <c r="I317" i="12" s="1"/>
  <c r="I248" i="12" a="1"/>
  <c r="I248" i="12" s="1"/>
  <c r="L384" i="12" a="1"/>
  <c r="L384" i="12" s="1"/>
  <c r="I251" i="12" a="1"/>
  <c r="I251" i="12" s="1"/>
  <c r="L365" i="12" a="1"/>
  <c r="L365" i="12" s="1"/>
  <c r="L283" i="12" a="1"/>
  <c r="L283" i="12" s="1"/>
  <c r="I144" i="12" a="1"/>
  <c r="I144" i="12" s="1"/>
  <c r="L251" i="12" a="1"/>
  <c r="L251" i="12" s="1"/>
  <c r="L406" i="12" a="1"/>
  <c r="L406" i="12" s="1"/>
  <c r="L328" i="12" a="1"/>
  <c r="L328" i="12" s="1"/>
  <c r="M374" i="12" a="1"/>
  <c r="M374" i="12" s="1"/>
  <c r="I174" i="12" a="1"/>
  <c r="I174" i="12" s="1"/>
  <c r="M331" i="12" a="1"/>
  <c r="M331" i="12" s="1"/>
  <c r="M107" i="12" a="1"/>
  <c r="M107" i="12" s="1"/>
  <c r="I421" i="12" a="1"/>
  <c r="I421" i="12" s="1"/>
  <c r="M345" i="12" a="1"/>
  <c r="M345" i="12" s="1"/>
  <c r="L391" i="12" a="1"/>
  <c r="L391" i="12" s="1"/>
  <c r="M134" i="12" a="1"/>
  <c r="M134" i="12" s="1"/>
  <c r="L360" i="12" a="1"/>
  <c r="L360" i="12" s="1"/>
  <c r="I154" i="12" a="1"/>
  <c r="I154" i="12" s="1"/>
  <c r="I229" i="12" a="1"/>
  <c r="I229" i="12" s="1"/>
  <c r="M112" i="12" a="1"/>
  <c r="M112" i="12" s="1"/>
  <c r="I249" i="12" a="1"/>
  <c r="I249" i="12" s="1"/>
  <c r="I361" i="12" a="1"/>
  <c r="I361" i="12" s="1"/>
  <c r="L302" i="12" a="1"/>
  <c r="L302" i="12" s="1"/>
  <c r="L272" i="12" a="1"/>
  <c r="L272" i="12" s="1"/>
  <c r="I410" i="12" a="1"/>
  <c r="I410" i="12" s="1"/>
  <c r="L211" i="12" a="1"/>
  <c r="L211" i="12" s="1"/>
  <c r="I103" i="12" a="1"/>
  <c r="I103" i="12" s="1"/>
  <c r="M372" i="12" a="1"/>
  <c r="M372" i="12" s="1"/>
  <c r="M340" i="12" a="1"/>
  <c r="M340" i="12" s="1"/>
  <c r="M373" i="12" a="1"/>
  <c r="M373" i="12" s="1"/>
  <c r="I388" i="12" a="1"/>
  <c r="I388" i="12" s="1"/>
  <c r="M101" i="12" a="1"/>
  <c r="M101" i="12" s="1"/>
  <c r="L142" i="12" a="1"/>
  <c r="L142" i="12" s="1"/>
  <c r="M388" i="12" a="1"/>
  <c r="M388" i="12" s="1"/>
  <c r="M181" i="12" a="1"/>
  <c r="M181" i="12" s="1"/>
  <c r="M353" i="12" a="1"/>
  <c r="M353" i="12" s="1"/>
  <c r="L377" i="12" a="1"/>
  <c r="L377" i="12" s="1"/>
  <c r="M111" i="12" a="1"/>
  <c r="M111" i="12" s="1"/>
  <c r="L143" i="12" a="1"/>
  <c r="L143" i="12" s="1"/>
  <c r="L225" i="12" a="1"/>
  <c r="L225" i="12" s="1"/>
  <c r="L345" i="12" a="1"/>
  <c r="L345" i="12" s="1"/>
  <c r="L370" i="12" a="1"/>
  <c r="L370" i="12" s="1"/>
  <c r="L405" i="12" a="1"/>
  <c r="L405" i="12" s="1"/>
  <c r="I354" i="12" a="1"/>
  <c r="I354" i="12" s="1"/>
  <c r="L140" i="12" a="1"/>
  <c r="L140" i="12" s="1"/>
  <c r="L215" i="12" a="1"/>
  <c r="L215" i="12" s="1"/>
  <c r="M161" i="12" a="1"/>
  <c r="M161" i="12" s="1"/>
  <c r="L238" i="12" a="1"/>
  <c r="L238" i="12" s="1"/>
  <c r="I312" i="12" a="1"/>
  <c r="I312" i="12" s="1"/>
  <c r="L413" i="12" a="1"/>
  <c r="L413" i="12" s="1"/>
  <c r="L166" i="12" a="1"/>
  <c r="L166" i="12" s="1"/>
  <c r="I116" i="12" a="1"/>
  <c r="I116" i="12" s="1"/>
  <c r="M265" i="12" a="1"/>
  <c r="M265" i="12" s="1"/>
  <c r="L244" i="12" a="1"/>
  <c r="L244" i="12" s="1"/>
  <c r="I261" i="12" a="1"/>
  <c r="I261" i="12" s="1"/>
  <c r="I323" i="12" a="1"/>
  <c r="I323" i="12" s="1"/>
  <c r="I390" i="12" a="1"/>
  <c r="I390" i="12" s="1"/>
  <c r="L150" i="12" a="1"/>
  <c r="L150" i="12" s="1"/>
  <c r="I269" i="12" a="1"/>
  <c r="I269" i="12" s="1"/>
  <c r="I189" i="12" a="1"/>
  <c r="I189" i="12" s="1"/>
  <c r="L105" i="12" a="1"/>
  <c r="L105" i="12" s="1"/>
  <c r="M185" i="12" a="1"/>
  <c r="M185" i="12" s="1"/>
  <c r="M210" i="12" a="1"/>
  <c r="M210" i="12" s="1"/>
  <c r="L254" i="12" a="1"/>
  <c r="L254" i="12" s="1"/>
  <c r="I318" i="12" a="1"/>
  <c r="I318" i="12" s="1"/>
  <c r="M216" i="12" a="1"/>
  <c r="M216" i="12" s="1"/>
  <c r="I259" i="12" a="1"/>
  <c r="I259" i="12" s="1"/>
  <c r="L294" i="12" a="1"/>
  <c r="L294" i="12" s="1"/>
  <c r="I258" i="12" a="1"/>
  <c r="I258" i="12" s="1"/>
  <c r="L285" i="12" a="1"/>
  <c r="L285" i="12" s="1"/>
  <c r="L263" i="12" a="1"/>
  <c r="L263" i="12" s="1"/>
  <c r="L227" i="12" a="1"/>
  <c r="L227" i="12" s="1"/>
  <c r="L310" i="12" a="1"/>
  <c r="L310" i="12" s="1"/>
  <c r="L114" i="12" a="1"/>
  <c r="L114" i="12" s="1"/>
  <c r="I256" i="12" a="1"/>
  <c r="I256" i="12" s="1"/>
  <c r="M284" i="12" a="1"/>
  <c r="M284" i="12" s="1"/>
  <c r="I115" i="12" a="1"/>
  <c r="I115" i="12" s="1"/>
  <c r="I371" i="12" a="1"/>
  <c r="I371" i="12" s="1"/>
  <c r="M223" i="12" a="1"/>
  <c r="M223" i="12" s="1"/>
  <c r="I195" i="12" a="1"/>
  <c r="I195" i="12" s="1"/>
  <c r="L290" i="12" a="1"/>
  <c r="L290" i="12" s="1"/>
  <c r="M183" i="12" a="1"/>
  <c r="M183" i="12" s="1"/>
  <c r="I188" i="12" a="1"/>
  <c r="I188" i="12" s="1"/>
  <c r="I143" i="12" a="1"/>
  <c r="I143" i="12" s="1"/>
  <c r="L162" i="12" a="1"/>
  <c r="L162" i="12" s="1"/>
  <c r="L379" i="12" a="1"/>
  <c r="L379" i="12" s="1"/>
  <c r="M318" i="12" a="1"/>
  <c r="M318" i="12" s="1"/>
  <c r="L169" i="12" a="1"/>
  <c r="L169" i="12" s="1"/>
  <c r="L236" i="12" a="1"/>
  <c r="L236" i="12" s="1"/>
  <c r="L292" i="12" a="1"/>
  <c r="L292" i="12" s="1"/>
  <c r="N292" i="12" s="1"/>
  <c r="L124" i="12" a="1"/>
  <c r="L124" i="12" s="1"/>
  <c r="I226" i="12" a="1"/>
  <c r="I226" i="12" s="1"/>
  <c r="M166" i="12" a="1"/>
  <c r="M166" i="12" s="1"/>
  <c r="L213" i="12" a="1"/>
  <c r="L213" i="12" s="1"/>
  <c r="I306" i="12" a="1"/>
  <c r="I306" i="12" s="1"/>
  <c r="M246" i="12" a="1"/>
  <c r="M246" i="12" s="1"/>
  <c r="I420" i="12" a="1"/>
  <c r="I420" i="12" s="1"/>
  <c r="M362" i="12" a="1"/>
  <c r="M362" i="12" s="1"/>
  <c r="L217" i="12" a="1"/>
  <c r="L217" i="12" s="1"/>
  <c r="I132" i="12" a="1"/>
  <c r="I132" i="12" s="1"/>
  <c r="L369" i="12" a="1"/>
  <c r="L369" i="12" s="1"/>
  <c r="M145" i="12" a="1"/>
  <c r="M145" i="12" s="1"/>
  <c r="L312" i="12" a="1"/>
  <c r="L312" i="12" s="1"/>
  <c r="L307" i="12" a="1"/>
  <c r="L307" i="12" s="1"/>
  <c r="M238" i="12" a="1"/>
  <c r="M238" i="12" s="1"/>
  <c r="I334" i="12" a="1"/>
  <c r="I334" i="12" s="1"/>
  <c r="I370" i="12" a="1"/>
  <c r="I370" i="12" s="1"/>
  <c r="L119" i="12" a="1"/>
  <c r="L119" i="12" s="1"/>
  <c r="L350" i="12" a="1"/>
  <c r="L350" i="12" s="1"/>
  <c r="I171" i="12" a="1"/>
  <c r="I171" i="12" s="1"/>
  <c r="I384" i="12" a="1"/>
  <c r="I384" i="12" s="1"/>
  <c r="I355" i="12" a="1"/>
  <c r="I355" i="12" s="1"/>
  <c r="L322" i="12" a="1"/>
  <c r="L322" i="12" s="1"/>
  <c r="M227" i="12" a="1"/>
  <c r="M227" i="12" s="1"/>
  <c r="L194" i="12" a="1"/>
  <c r="L194" i="12" s="1"/>
  <c r="L245" i="12" a="1"/>
  <c r="L245" i="12" s="1"/>
  <c r="M293" i="12" a="1"/>
  <c r="M293" i="12" s="1"/>
  <c r="M295" i="12" a="1"/>
  <c r="M295" i="12" s="1"/>
  <c r="I204" i="12" a="1"/>
  <c r="I204" i="12" s="1"/>
  <c r="M299" i="12" a="1"/>
  <c r="M299" i="12" s="1"/>
  <c r="I134" i="12" a="1"/>
  <c r="I134" i="12" s="1"/>
  <c r="L253" i="12" a="1"/>
  <c r="L253" i="12" s="1"/>
  <c r="I199" i="12" a="1"/>
  <c r="I199" i="12" s="1"/>
  <c r="I311" i="12" a="1"/>
  <c r="I311" i="12" s="1"/>
  <c r="M364" i="12" a="1"/>
  <c r="M364" i="12" s="1"/>
  <c r="L363" i="12" a="1"/>
  <c r="L363" i="12" s="1"/>
  <c r="M257" i="12" a="1"/>
  <c r="M257" i="12" s="1"/>
  <c r="I299" i="12" a="1"/>
  <c r="I299" i="12" s="1"/>
  <c r="L193" i="12" a="1"/>
  <c r="L193" i="12" s="1"/>
  <c r="L296" i="12" a="1"/>
  <c r="L296" i="12" s="1"/>
  <c r="I381" i="12" a="1"/>
  <c r="I381" i="12" s="1"/>
  <c r="I260" i="12" a="1"/>
  <c r="I260" i="12" s="1"/>
  <c r="I253" i="12" a="1"/>
  <c r="I253" i="12" s="1"/>
  <c r="L382" i="12" a="1"/>
  <c r="L382" i="12" s="1"/>
  <c r="L241" i="12" a="1"/>
  <c r="L241" i="12" s="1"/>
  <c r="M252" i="12" a="1"/>
  <c r="M252" i="12" s="1"/>
  <c r="I365" i="12" a="1"/>
  <c r="I365" i="12" s="1"/>
  <c r="I408" i="12" a="1"/>
  <c r="I408" i="12" s="1"/>
  <c r="L306" i="12" a="1"/>
  <c r="L306" i="12" s="1"/>
  <c r="I133" i="12" a="1"/>
  <c r="I133" i="12" s="1"/>
  <c r="M262" i="12" a="1"/>
  <c r="M262" i="12" s="1"/>
  <c r="L366" i="12" a="1"/>
  <c r="L366" i="12" s="1"/>
  <c r="M144" i="12" a="1"/>
  <c r="M144" i="12" s="1"/>
  <c r="M317" i="12" a="1"/>
  <c r="M317" i="12" s="1"/>
  <c r="I325" i="12" a="1"/>
  <c r="I325" i="12" s="1"/>
  <c r="I137" i="12" a="1"/>
  <c r="I137" i="12" s="1"/>
  <c r="M113" i="12" a="1"/>
  <c r="M113" i="12" s="1"/>
  <c r="L299" i="12" a="1"/>
  <c r="L299" i="12" s="1"/>
  <c r="I360" i="12" a="1"/>
  <c r="I360" i="12" s="1"/>
  <c r="I127" i="12" a="1"/>
  <c r="I127" i="12" s="1"/>
  <c r="M187" i="12" a="1"/>
  <c r="M187" i="12" s="1"/>
  <c r="L336" i="12" a="1"/>
  <c r="L336" i="12" s="1"/>
  <c r="L388" i="12" a="1"/>
  <c r="L388" i="12" s="1"/>
  <c r="M396" i="12" a="1"/>
  <c r="M396" i="12" s="1"/>
  <c r="L261" i="12" a="1"/>
  <c r="L261" i="12" s="1"/>
  <c r="M360" i="12" a="1"/>
  <c r="M360" i="12" s="1"/>
  <c r="L243" i="12" a="1"/>
  <c r="L243" i="12" s="1"/>
  <c r="M103" i="12" a="1"/>
  <c r="M103" i="12" s="1"/>
  <c r="I357" i="12" a="1"/>
  <c r="I357" i="12" s="1"/>
  <c r="L326" i="12" a="1"/>
  <c r="L326" i="12" s="1"/>
  <c r="I399" i="12" a="1"/>
  <c r="I399" i="12" s="1"/>
  <c r="L210" i="12" a="1"/>
  <c r="L210" i="12" s="1"/>
  <c r="M108" i="12" a="1"/>
  <c r="M108" i="12" s="1"/>
  <c r="I202" i="12" a="1"/>
  <c r="I202" i="12" s="1"/>
  <c r="I160" i="12" a="1"/>
  <c r="I160" i="12" s="1"/>
  <c r="I122" i="12" a="1"/>
  <c r="I122" i="12" s="1"/>
  <c r="L404" i="12" a="1"/>
  <c r="L404" i="12" s="1"/>
  <c r="L163" i="12" a="1"/>
  <c r="L163" i="12" s="1"/>
  <c r="M169" i="12" a="1"/>
  <c r="M169" i="12" s="1"/>
  <c r="M300" i="12" a="1"/>
  <c r="M300" i="12" s="1"/>
  <c r="N300" i="12" s="1"/>
  <c r="I110" i="12" a="1"/>
  <c r="I110" i="12" s="1"/>
  <c r="I109" i="12" a="1"/>
  <c r="I109" i="12" s="1"/>
  <c r="M346" i="12" a="1"/>
  <c r="M346" i="12" s="1"/>
  <c r="L246" i="12" a="1"/>
  <c r="L246" i="12" s="1"/>
  <c r="N246" i="12" s="1"/>
  <c r="L118" i="12" a="1"/>
  <c r="L118" i="12" s="1"/>
  <c r="L280" i="12" a="1"/>
  <c r="L280" i="12" s="1"/>
  <c r="M410" i="12" a="1"/>
  <c r="M410" i="12" s="1"/>
  <c r="L344" i="12" a="1"/>
  <c r="L344" i="12" s="1"/>
  <c r="L269" i="12" a="1"/>
  <c r="L269" i="12" s="1"/>
  <c r="I345" i="12" a="1"/>
  <c r="I345" i="12" s="1"/>
  <c r="M131" i="12" a="1"/>
  <c r="M131" i="12" s="1"/>
  <c r="I335" i="12" a="1"/>
  <c r="I335" i="12" s="1"/>
  <c r="M150" i="12" a="1"/>
  <c r="M150" i="12" s="1"/>
  <c r="I225" i="12" a="1"/>
  <c r="I225" i="12" s="1"/>
  <c r="I266" i="12" a="1"/>
  <c r="I266" i="12" s="1"/>
  <c r="L374" i="12" a="1"/>
  <c r="L374" i="12" s="1"/>
  <c r="L415" i="12" a="1"/>
  <c r="L415" i="12" s="1"/>
  <c r="L349" i="12" a="1"/>
  <c r="L349" i="12" s="1"/>
  <c r="I203" i="12" a="1"/>
  <c r="I203" i="12" s="1"/>
  <c r="L265" i="12" a="1"/>
  <c r="L265" i="12" s="1"/>
  <c r="M189" i="12" a="1"/>
  <c r="M189" i="12" s="1"/>
  <c r="M190" i="12" a="1"/>
  <c r="M190" i="12" s="1"/>
  <c r="M394" i="12" a="1"/>
  <c r="M394" i="12" s="1"/>
  <c r="M289" i="12" a="1"/>
  <c r="M289" i="12" s="1"/>
  <c r="M153" i="12" a="1"/>
  <c r="M153" i="12" s="1"/>
  <c r="L401" i="12" a="1"/>
  <c r="L401" i="12" s="1"/>
  <c r="L421" i="12" a="1"/>
  <c r="L421" i="12" s="1"/>
  <c r="L191" i="12" a="1"/>
  <c r="L191" i="12" s="1"/>
  <c r="L117" i="12" a="1"/>
  <c r="L117" i="12" s="1"/>
  <c r="I220" i="12" a="1"/>
  <c r="I220" i="12" s="1"/>
  <c r="I380" i="12" a="1"/>
  <c r="I380" i="12" s="1"/>
  <c r="L387" i="12" a="1"/>
  <c r="L387" i="12" s="1"/>
  <c r="M404" i="12" a="1"/>
  <c r="M404" i="12" s="1"/>
  <c r="L320" i="12" a="1"/>
  <c r="L320" i="12" s="1"/>
  <c r="M310" i="12" a="1"/>
  <c r="M310" i="12" s="1"/>
  <c r="L329" i="12" a="1"/>
  <c r="L329" i="12" s="1"/>
  <c r="L330" i="12" a="1"/>
  <c r="L330" i="12" s="1"/>
  <c r="L111" i="12" a="1"/>
  <c r="L111" i="12" s="1"/>
  <c r="M348" i="12" a="1"/>
  <c r="M348" i="12" s="1"/>
  <c r="L125" i="12" a="1"/>
  <c r="L125" i="12" s="1"/>
  <c r="M186" i="12" a="1"/>
  <c r="M186" i="12" s="1"/>
  <c r="M337" i="12" a="1"/>
  <c r="M337" i="12" s="1"/>
  <c r="L189" i="12" a="1"/>
  <c r="L189" i="12" s="1"/>
  <c r="L235" i="12" a="1"/>
  <c r="L235" i="12" s="1"/>
  <c r="M391" i="12" a="1"/>
  <c r="M391" i="12" s="1"/>
  <c r="N391" i="12" s="1"/>
  <c r="M154" i="12" a="1"/>
  <c r="M154" i="12" s="1"/>
  <c r="M330" i="12" a="1"/>
  <c r="M330" i="12" s="1"/>
  <c r="I250" i="12" a="1"/>
  <c r="I250" i="12" s="1"/>
  <c r="L331" i="12" a="1"/>
  <c r="L331" i="12" s="1"/>
  <c r="I247" i="12" a="1"/>
  <c r="I247" i="12" s="1"/>
  <c r="M141" i="12" a="1"/>
  <c r="M141" i="12" s="1"/>
  <c r="L289" i="12" a="1"/>
  <c r="L289" i="12" s="1"/>
  <c r="L108" i="12" a="1"/>
  <c r="L108" i="12" s="1"/>
  <c r="M253" i="12" a="1"/>
  <c r="M253" i="12" s="1"/>
  <c r="M235" i="12" a="1"/>
  <c r="M235" i="12" s="1"/>
  <c r="I232" i="12" a="1"/>
  <c r="I232" i="12" s="1"/>
  <c r="I332" i="12" a="1"/>
  <c r="I332" i="12" s="1"/>
  <c r="M339" i="12" a="1"/>
  <c r="M339" i="12" s="1"/>
  <c r="L132" i="12" a="1"/>
  <c r="L132" i="12" s="1"/>
  <c r="L180" i="12" a="1"/>
  <c r="L180" i="12" s="1"/>
  <c r="I126" i="12" a="1"/>
  <c r="I126" i="12" s="1"/>
  <c r="L175" i="12" a="1"/>
  <c r="L175" i="12" s="1"/>
  <c r="L197" i="12" a="1"/>
  <c r="L197" i="12" s="1"/>
  <c r="I167" i="12" a="1"/>
  <c r="I167" i="12" s="1"/>
  <c r="I231" i="12" a="1"/>
  <c r="I231" i="12" s="1"/>
  <c r="I400" i="12" a="1"/>
  <c r="I400" i="12" s="1"/>
  <c r="L351" i="12" a="1"/>
  <c r="L351" i="12" s="1"/>
  <c r="I111" i="12" a="1"/>
  <c r="I111" i="12" s="1"/>
  <c r="M336" i="12" a="1"/>
  <c r="M336" i="12" s="1"/>
  <c r="I343" i="12" a="1"/>
  <c r="I343" i="12" s="1"/>
  <c r="M421" i="12" a="1"/>
  <c r="M421" i="12" s="1"/>
  <c r="I275" i="12" a="1"/>
  <c r="I275" i="12" s="1"/>
  <c r="M197" i="12" a="1"/>
  <c r="M197" i="12" s="1"/>
  <c r="L138" i="12" a="1"/>
  <c r="L138" i="12" s="1"/>
  <c r="M139" i="12" a="1"/>
  <c r="M139" i="12" s="1"/>
  <c r="L346" i="12" a="1"/>
  <c r="L346" i="12" s="1"/>
  <c r="L202" i="12" a="1"/>
  <c r="L202" i="12" s="1"/>
  <c r="M288" i="12" a="1"/>
  <c r="M288" i="12" s="1"/>
  <c r="I239" i="12" a="1"/>
  <c r="I239" i="12" s="1"/>
  <c r="L171" i="12" a="1"/>
  <c r="L171" i="12" s="1"/>
  <c r="I382" i="12" a="1"/>
  <c r="I382" i="12" s="1"/>
  <c r="L196" i="12" a="1"/>
  <c r="L196" i="12" s="1"/>
  <c r="L286" i="12" a="1"/>
  <c r="L286" i="12" s="1"/>
  <c r="M221" i="12" a="1"/>
  <c r="M221" i="12" s="1"/>
  <c r="L398" i="12" a="1"/>
  <c r="L398" i="12" s="1"/>
  <c r="I353" i="12" a="1"/>
  <c r="I353" i="12" s="1"/>
  <c r="L393" i="12" a="1"/>
  <c r="L393" i="12" s="1"/>
  <c r="L233" i="12" a="1"/>
  <c r="L233" i="12" s="1"/>
  <c r="M385" i="12" a="1"/>
  <c r="M385" i="12" s="1"/>
  <c r="L247" i="12" a="1"/>
  <c r="L247" i="12" s="1"/>
  <c r="I303" i="12" a="1"/>
  <c r="I303" i="12" s="1"/>
  <c r="M193" i="12" a="1"/>
  <c r="M193" i="12" s="1"/>
  <c r="L352" i="12" a="1"/>
  <c r="L352" i="12" s="1"/>
  <c r="M236" i="12" a="1"/>
  <c r="M236" i="12" s="1"/>
  <c r="M180" i="12" a="1"/>
  <c r="M180" i="12" s="1"/>
  <c r="I224" i="12" a="1"/>
  <c r="I224" i="12" s="1"/>
  <c r="M313" i="12" a="1"/>
  <c r="M313" i="12" s="1"/>
  <c r="I240" i="12" a="1"/>
  <c r="I240" i="12" s="1"/>
  <c r="I403" i="12" a="1"/>
  <c r="I403" i="12" s="1"/>
  <c r="M291" i="12" a="1"/>
  <c r="M291" i="12" s="1"/>
  <c r="M156" i="12" a="1"/>
  <c r="M156" i="12" s="1"/>
  <c r="M357" i="12" a="1"/>
  <c r="M357" i="12" s="1"/>
  <c r="I131" i="12" a="1"/>
  <c r="I131" i="12" s="1"/>
  <c r="I265" i="12" a="1"/>
  <c r="I265" i="12" s="1"/>
  <c r="L315" i="12" a="1"/>
  <c r="L315" i="12" s="1"/>
  <c r="I286" i="12" a="1"/>
  <c r="I286" i="12" s="1"/>
  <c r="M409" i="12" a="1"/>
  <c r="M409" i="12" s="1"/>
  <c r="I289" i="12" a="1"/>
  <c r="I289" i="12" s="1"/>
  <c r="L396" i="12" a="1"/>
  <c r="L396" i="12" s="1"/>
  <c r="L187" i="12" a="1"/>
  <c r="L187" i="12" s="1"/>
  <c r="L305" i="12" a="1"/>
  <c r="L305" i="12" s="1"/>
  <c r="L120" i="12" a="1"/>
  <c r="L120" i="12" s="1"/>
  <c r="L127" i="12" a="1"/>
  <c r="L127" i="12" s="1"/>
  <c r="M392" i="12" a="1"/>
  <c r="M392" i="12" s="1"/>
  <c r="L262" i="12" a="1"/>
  <c r="L262" i="12" s="1"/>
  <c r="M206" i="12" a="1"/>
  <c r="M206" i="12" s="1"/>
  <c r="I106" i="12" a="1"/>
  <c r="I106" i="12" s="1"/>
  <c r="I113" i="12" a="1"/>
  <c r="I113" i="12" s="1"/>
  <c r="L397" i="12" a="1"/>
  <c r="L397" i="12" s="1"/>
  <c r="M369" i="12" a="1"/>
  <c r="M369" i="12" s="1"/>
  <c r="I257" i="12" a="1"/>
  <c r="I257" i="12" s="1"/>
  <c r="L311" i="12" a="1"/>
  <c r="L311" i="12" s="1"/>
  <c r="L372" i="12" a="1"/>
  <c r="L372" i="12" s="1"/>
  <c r="I387" i="12" a="1"/>
  <c r="I387" i="12" s="1"/>
  <c r="I162" i="12" a="1"/>
  <c r="I162" i="12" s="1"/>
  <c r="L167" i="12" a="1"/>
  <c r="L167" i="12" s="1"/>
  <c r="L414" i="12" a="1"/>
  <c r="L414" i="12" s="1"/>
  <c r="L375" i="12" a="1"/>
  <c r="L375" i="12" s="1"/>
  <c r="I288" i="12" a="1"/>
  <c r="I288" i="12" s="1"/>
  <c r="L411" i="12" a="1"/>
  <c r="L411" i="12" s="1"/>
  <c r="L323" i="12" a="1"/>
  <c r="L323" i="12" s="1"/>
  <c r="I322" i="12" a="1"/>
  <c r="I322" i="12" s="1"/>
  <c r="M259" i="12" a="1"/>
  <c r="M259" i="12" s="1"/>
  <c r="M114" i="12" a="1"/>
  <c r="M114" i="12" s="1"/>
  <c r="M230" i="12" a="1"/>
  <c r="M230" i="12" s="1"/>
  <c r="M117" i="12" a="1"/>
  <c r="M117" i="12" s="1"/>
  <c r="I118" i="12" a="1"/>
  <c r="I118" i="12" s="1"/>
  <c r="I315" i="12" a="1"/>
  <c r="I315" i="12" s="1"/>
  <c r="L334" i="12" a="1"/>
  <c r="L334" i="12" s="1"/>
  <c r="I358" i="12" a="1"/>
  <c r="I358" i="12" s="1"/>
  <c r="I184" i="12" a="1"/>
  <c r="I184" i="12" s="1"/>
  <c r="I307" i="12" a="1"/>
  <c r="I307" i="12" s="1"/>
  <c r="M247" i="12" a="1"/>
  <c r="M247" i="12" s="1"/>
  <c r="I178" i="12" a="1"/>
  <c r="I178" i="12" s="1"/>
  <c r="M151" i="12" a="1"/>
  <c r="M151" i="12" s="1"/>
  <c r="L380" i="12" a="1"/>
  <c r="L380" i="12" s="1"/>
  <c r="L409" i="12" a="1"/>
  <c r="L409" i="12" s="1"/>
  <c r="L168" i="12" a="1"/>
  <c r="L168" i="12" s="1"/>
  <c r="I298" i="12" a="1"/>
  <c r="I298" i="12" s="1"/>
  <c r="I279" i="12" a="1"/>
  <c r="I279" i="12" s="1"/>
  <c r="I416" i="12" a="1"/>
  <c r="I416" i="12" s="1"/>
  <c r="I207" i="12" a="1"/>
  <c r="I207" i="12" s="1"/>
  <c r="I347" i="12" a="1"/>
  <c r="I347" i="12" s="1"/>
  <c r="I327" i="12" a="1"/>
  <c r="I327" i="12" s="1"/>
  <c r="L195" i="12" a="1"/>
  <c r="L195" i="12" s="1"/>
  <c r="M224" i="12" a="1"/>
  <c r="M224" i="12" s="1"/>
  <c r="I349" i="12" a="1"/>
  <c r="I349" i="12" s="1"/>
  <c r="M324" i="12" a="1"/>
  <c r="M324" i="12" s="1"/>
  <c r="I263" i="12" a="1"/>
  <c r="I263" i="12" s="1"/>
  <c r="I379" i="12" a="1"/>
  <c r="I379" i="12" s="1"/>
  <c r="L224" i="12" a="1"/>
  <c r="L224" i="12" s="1"/>
  <c r="M219" i="12" a="1"/>
  <c r="M219" i="12" s="1"/>
  <c r="L390" i="12" a="1"/>
  <c r="L390" i="12" s="1"/>
  <c r="L115" i="12" a="1"/>
  <c r="L115" i="12" s="1"/>
  <c r="I272" i="12" a="1"/>
  <c r="I272" i="12" s="1"/>
  <c r="L219" i="12" a="1"/>
  <c r="L219" i="12" s="1"/>
  <c r="M137" i="12" a="1"/>
  <c r="M137" i="12" s="1"/>
  <c r="M294" i="12" a="1"/>
  <c r="M294" i="12" s="1"/>
  <c r="M358" i="12" a="1"/>
  <c r="M358" i="12" s="1"/>
  <c r="M188" i="12" a="1"/>
  <c r="M188" i="12" s="1"/>
  <c r="I112" i="12" a="1"/>
  <c r="I112" i="12" s="1"/>
  <c r="L258" i="12" a="1"/>
  <c r="L258" i="12" s="1"/>
  <c r="I159" i="12" a="1"/>
  <c r="I159" i="12" s="1"/>
  <c r="I294" i="12" a="1"/>
  <c r="I294" i="12" s="1"/>
  <c r="I417" i="12" a="1"/>
  <c r="I417" i="12" s="1"/>
  <c r="L327" i="12" a="1"/>
  <c r="L327" i="12" s="1"/>
  <c r="I191" i="12" a="1"/>
  <c r="I191" i="12" s="1"/>
  <c r="I321" i="12" a="1"/>
  <c r="I321" i="12" s="1"/>
  <c r="M146" i="12" a="1"/>
  <c r="M146" i="12" s="1"/>
  <c r="I241" i="12" a="1"/>
  <c r="I241" i="12" s="1"/>
  <c r="L133" i="12" a="1"/>
  <c r="L133" i="12" s="1"/>
  <c r="I402" i="12" a="1"/>
  <c r="I402" i="12" s="1"/>
  <c r="L367" i="12" a="1"/>
  <c r="L367" i="12" s="1"/>
  <c r="I228" i="12" a="1"/>
  <c r="I228" i="12" s="1"/>
  <c r="L156" i="12" a="1"/>
  <c r="L156" i="12" s="1"/>
  <c r="N156" i="12" s="1"/>
  <c r="I404" i="12" a="1"/>
  <c r="I404" i="12" s="1"/>
  <c r="M175" i="12" a="1"/>
  <c r="M175" i="12" s="1"/>
  <c r="M239" i="12" a="1"/>
  <c r="M239" i="12" s="1"/>
  <c r="L259" i="12" a="1"/>
  <c r="L259" i="12" s="1"/>
  <c r="M279" i="12" a="1"/>
  <c r="M279" i="12" s="1"/>
  <c r="L234" i="12" a="1"/>
  <c r="L234" i="12" s="1"/>
  <c r="I415" i="12" a="1"/>
  <c r="I415" i="12" s="1"/>
  <c r="L121" i="12" a="1"/>
  <c r="L121" i="12" s="1"/>
  <c r="L128" i="12" a="1"/>
  <c r="L128" i="12" s="1"/>
  <c r="I348" i="12" a="1"/>
  <c r="I348" i="12" s="1"/>
  <c r="M379" i="12" a="1"/>
  <c r="M379" i="12" s="1"/>
  <c r="I135" i="12" a="1"/>
  <c r="I135" i="12" s="1"/>
  <c r="I156" i="12" a="1"/>
  <c r="I156" i="12" s="1"/>
  <c r="I418" i="12" a="1"/>
  <c r="I418" i="12" s="1"/>
  <c r="I218" i="12" a="1"/>
  <c r="I218" i="12" s="1"/>
  <c r="M332" i="12" a="1"/>
  <c r="M332" i="12" s="1"/>
  <c r="L325" i="12" a="1"/>
  <c r="L325" i="12" s="1"/>
  <c r="M351" i="12" a="1"/>
  <c r="M351" i="12" s="1"/>
  <c r="M323" i="12" a="1"/>
  <c r="M323" i="12" s="1"/>
  <c r="N323" i="12" s="1"/>
  <c r="I300" i="12" a="1"/>
  <c r="I300" i="12" s="1"/>
  <c r="L209" i="12" a="1"/>
  <c r="L209" i="12" s="1"/>
  <c r="L147" i="12" a="1"/>
  <c r="L147" i="12" s="1"/>
  <c r="I208" i="12" a="1"/>
  <c r="I208" i="12" s="1"/>
  <c r="I245" i="12" a="1"/>
  <c r="I245" i="12" s="1"/>
  <c r="I194" i="12" a="1"/>
  <c r="I194" i="12" s="1"/>
  <c r="L101" i="12" a="1"/>
  <c r="L101" i="12" s="1"/>
  <c r="L418" i="12" a="1"/>
  <c r="L418" i="12" s="1"/>
  <c r="L126" i="12" a="1"/>
  <c r="L126" i="12" s="1"/>
  <c r="N126" i="12" s="1"/>
  <c r="I138" i="12" a="1"/>
  <c r="I138" i="12" s="1"/>
  <c r="L399" i="12" a="1"/>
  <c r="L399" i="12" s="1"/>
  <c r="L123" i="12" a="1"/>
  <c r="L123" i="12" s="1"/>
  <c r="M256" i="12" a="1"/>
  <c r="M256" i="12" s="1"/>
  <c r="I222" i="12" a="1"/>
  <c r="I222" i="12" s="1"/>
  <c r="M267" i="12" a="1"/>
  <c r="M267" i="12" s="1"/>
  <c r="L260" i="12" a="1"/>
  <c r="L260" i="12" s="1"/>
  <c r="M184" i="12" a="1"/>
  <c r="M184" i="12" s="1"/>
  <c r="M327" i="12" a="1"/>
  <c r="M327" i="12" s="1"/>
  <c r="M402" i="12" a="1"/>
  <c r="M402" i="12" s="1"/>
  <c r="I107" i="12" a="1"/>
  <c r="I107" i="12" s="1"/>
  <c r="I305" i="12" a="1"/>
  <c r="I305" i="12" s="1"/>
  <c r="M105" i="12" a="1"/>
  <c r="M105" i="12" s="1"/>
  <c r="I123" i="12" a="1"/>
  <c r="I123" i="12" s="1"/>
  <c r="M286" i="12" a="1"/>
  <c r="M286" i="12" s="1"/>
  <c r="M232" i="12" a="1"/>
  <c r="M232" i="12" s="1"/>
  <c r="L373" i="12" a="1"/>
  <c r="L373" i="12" s="1"/>
  <c r="L271" i="12" a="1"/>
  <c r="L271" i="12" s="1"/>
  <c r="L107" i="12" a="1"/>
  <c r="L107" i="12" s="1"/>
  <c r="M120" i="12" a="1"/>
  <c r="M120" i="12" s="1"/>
  <c r="M264" i="12" a="1"/>
  <c r="M264" i="12" s="1"/>
  <c r="L158" i="12" a="1"/>
  <c r="L158" i="12" s="1"/>
  <c r="L303" i="12" a="1"/>
  <c r="L303" i="12" s="1"/>
  <c r="L157" i="12" a="1"/>
  <c r="L157" i="12" s="1"/>
  <c r="M102" i="12" a="1"/>
  <c r="M102" i="12" s="1"/>
  <c r="L293" i="12" a="1"/>
  <c r="L293" i="12" s="1"/>
  <c r="I148" i="12" a="1"/>
  <c r="I148" i="12" s="1"/>
  <c r="I367" i="12" a="1"/>
  <c r="I367" i="12" s="1"/>
  <c r="I310" i="12" a="1"/>
  <c r="I310" i="12" s="1"/>
  <c r="I205" i="12" a="1"/>
  <c r="I205" i="12" s="1"/>
  <c r="M234" i="12" a="1"/>
  <c r="M234" i="12" s="1"/>
  <c r="L134" i="12" a="1"/>
  <c r="L134" i="12" s="1"/>
  <c r="I147" i="12" a="1"/>
  <c r="I147" i="12" s="1"/>
  <c r="I150" i="12" a="1"/>
  <c r="I150" i="12" s="1"/>
  <c r="I234" i="12" a="1"/>
  <c r="I234" i="12" s="1"/>
  <c r="L343" i="12" a="1"/>
  <c r="L343" i="12" s="1"/>
  <c r="L144" i="12" a="1"/>
  <c r="L144" i="12" s="1"/>
  <c r="L145" i="12" a="1"/>
  <c r="L145" i="12" s="1"/>
  <c r="N145" i="12" s="1"/>
  <c r="L276" i="12" a="1"/>
  <c r="L276" i="12" s="1"/>
  <c r="L131" i="12" a="1"/>
  <c r="L131" i="12" s="1"/>
  <c r="N131" i="12" s="1"/>
  <c r="I377" i="12" a="1"/>
  <c r="I377" i="12" s="1"/>
  <c r="L268" i="12" a="1"/>
  <c r="L268" i="12" s="1"/>
  <c r="M271" i="12" a="1"/>
  <c r="M271" i="12" s="1"/>
  <c r="I264" i="12" a="1"/>
  <c r="I264" i="12" s="1"/>
  <c r="L190" i="12" a="1"/>
  <c r="L190" i="12" s="1"/>
  <c r="M275" i="12" a="1"/>
  <c r="M275" i="12" s="1"/>
  <c r="L109" i="12" a="1"/>
  <c r="L109" i="12" s="1"/>
  <c r="L267" i="12" a="1"/>
  <c r="L267" i="12" s="1"/>
  <c r="M423" i="12" a="1"/>
  <c r="M423" i="12" s="1"/>
  <c r="L112" i="12" a="1"/>
  <c r="L112" i="12" s="1"/>
  <c r="N112" i="12" s="1"/>
  <c r="L356" i="12" a="1"/>
  <c r="L356" i="12" s="1"/>
  <c r="M165" i="12" a="1"/>
  <c r="M165" i="12" s="1"/>
  <c r="M412" i="12" a="1"/>
  <c r="M412" i="12" s="1"/>
  <c r="I270" i="12" a="1"/>
  <c r="I270" i="12" s="1"/>
  <c r="I142" i="12" a="1"/>
  <c r="I142" i="12" s="1"/>
  <c r="L277" i="12" a="1"/>
  <c r="L277" i="12" s="1"/>
  <c r="M338" i="12" a="1"/>
  <c r="M338" i="12" s="1"/>
  <c r="I121" i="12" a="1"/>
  <c r="I121" i="12" s="1"/>
  <c r="M420" i="12" a="1"/>
  <c r="M420" i="12" s="1"/>
  <c r="M342" i="12" a="1"/>
  <c r="M342" i="12" s="1"/>
  <c r="L422" i="12" a="1"/>
  <c r="L422" i="12" s="1"/>
  <c r="L216" i="12" a="1"/>
  <c r="L216" i="12" s="1"/>
  <c r="L321" i="12" a="1"/>
  <c r="L321" i="12" s="1"/>
  <c r="M213" i="12" a="1"/>
  <c r="M213" i="12" s="1"/>
  <c r="N213" i="12" s="1"/>
  <c r="I339" i="12" a="1"/>
  <c r="I339" i="12" s="1"/>
  <c r="M343" i="12" a="1"/>
  <c r="M343" i="12" s="1"/>
  <c r="I405" i="12" a="1"/>
  <c r="I405" i="12" s="1"/>
  <c r="L248" i="12" a="1"/>
  <c r="L248" i="12" s="1"/>
  <c r="I252" i="12" a="1"/>
  <c r="I252" i="12" s="1"/>
  <c r="M333" i="12" a="1"/>
  <c r="M333" i="12" s="1"/>
  <c r="I244" i="12" a="1"/>
  <c r="I244" i="12" s="1"/>
  <c r="I397" i="12" a="1"/>
  <c r="I397" i="12" s="1"/>
  <c r="I214" i="12" a="1"/>
  <c r="I214" i="12" s="1"/>
  <c r="L200" i="12" a="1"/>
  <c r="L200" i="12" s="1"/>
  <c r="M390" i="12" a="1"/>
  <c r="M390" i="12" s="1"/>
  <c r="M350" i="12" a="1"/>
  <c r="M350" i="12" s="1"/>
  <c r="M220" i="12" a="1"/>
  <c r="M220" i="12" s="1"/>
  <c r="I187" i="12" a="1"/>
  <c r="I187" i="12" s="1"/>
  <c r="I227" i="12" a="1"/>
  <c r="I227" i="12" s="1"/>
  <c r="L228" i="12" a="1"/>
  <c r="L228" i="12" s="1"/>
  <c r="M241" i="12" a="1"/>
  <c r="M241" i="12" s="1"/>
  <c r="L319" i="12" a="1"/>
  <c r="L319" i="12" s="1"/>
  <c r="I219" i="12" a="1"/>
  <c r="I219" i="12" s="1"/>
  <c r="M408" i="12" a="1"/>
  <c r="M408" i="12" s="1"/>
  <c r="M419" i="12" a="1"/>
  <c r="M419" i="12" s="1"/>
  <c r="M282" i="12" a="1"/>
  <c r="M282" i="12" s="1"/>
  <c r="L386" i="12" a="1"/>
  <c r="L386" i="12" s="1"/>
  <c r="I102" i="12" a="1"/>
  <c r="I102" i="12" s="1"/>
  <c r="I242" i="12" a="1"/>
  <c r="I242" i="12" s="1"/>
  <c r="I283" i="12" a="1"/>
  <c r="I283" i="12" s="1"/>
  <c r="M196" i="12" a="1"/>
  <c r="M196" i="12" s="1"/>
  <c r="M274" i="12" a="1"/>
  <c r="M274" i="12" s="1"/>
  <c r="L231" i="12" a="1"/>
  <c r="L231" i="12" s="1"/>
  <c r="M128" i="12" a="1"/>
  <c r="M128" i="12" s="1"/>
  <c r="M384" i="12" a="1"/>
  <c r="M384" i="12" s="1"/>
  <c r="I320" i="12" a="1"/>
  <c r="I320" i="12" s="1"/>
  <c r="L212" i="12" a="1"/>
  <c r="L212" i="12" s="1"/>
  <c r="M201" i="12" a="1"/>
  <c r="M201" i="12" s="1"/>
  <c r="M143" i="12" a="1"/>
  <c r="M143" i="12" s="1"/>
  <c r="L316" i="12" a="1"/>
  <c r="L316" i="12" s="1"/>
  <c r="M100" i="12" a="1"/>
  <c r="M100" i="12" s="1"/>
  <c r="L256" i="12" a="1"/>
  <c r="L256" i="12" s="1"/>
  <c r="M215" i="12" a="1"/>
  <c r="M215" i="12" s="1"/>
  <c r="M303" i="12" a="1"/>
  <c r="M303" i="12" s="1"/>
  <c r="L164" i="12" a="1"/>
  <c r="L164" i="12" s="1"/>
  <c r="L304" i="12" a="1"/>
  <c r="L304" i="12" s="1"/>
  <c r="M172" i="12" a="1"/>
  <c r="M172" i="12" s="1"/>
  <c r="M132" i="12" a="1"/>
  <c r="M132" i="12" s="1"/>
  <c r="L423" i="12" a="1"/>
  <c r="L423" i="12" s="1"/>
  <c r="M160" i="12" a="1"/>
  <c r="M160" i="12" s="1"/>
  <c r="M296" i="12" a="1"/>
  <c r="M296" i="12" s="1"/>
  <c r="I336" i="12" a="1"/>
  <c r="I336" i="12" s="1"/>
  <c r="M341" i="12" a="1"/>
  <c r="M341" i="12" s="1"/>
  <c r="L153" i="12" a="1"/>
  <c r="L153" i="12" s="1"/>
  <c r="N153" i="12" s="1"/>
  <c r="L359" i="12" a="1"/>
  <c r="L359" i="12" s="1"/>
  <c r="L403" i="12" a="1"/>
  <c r="L403" i="12" s="1"/>
  <c r="L242" i="12" a="1"/>
  <c r="L242" i="12" s="1"/>
  <c r="M211" i="12" a="1"/>
  <c r="M211" i="12" s="1"/>
  <c r="M321" i="12" a="1"/>
  <c r="M321" i="12" s="1"/>
  <c r="L364" i="12" a="1"/>
  <c r="L364" i="12" s="1"/>
  <c r="N364" i="12" s="1"/>
  <c r="I164" i="12" a="1"/>
  <c r="I164" i="12" s="1"/>
  <c r="I235" i="12" a="1"/>
  <c r="I235" i="12" s="1"/>
  <c r="M148" i="12" a="1"/>
  <c r="M148" i="12" s="1"/>
  <c r="I389" i="12" a="1"/>
  <c r="I389" i="12" s="1"/>
  <c r="I119" i="12" a="1"/>
  <c r="I119" i="12" s="1"/>
  <c r="I373" i="12" a="1"/>
  <c r="I373" i="12" s="1"/>
  <c r="I282" i="12" a="1"/>
  <c r="I282" i="12" s="1"/>
  <c r="M326" i="12" a="1"/>
  <c r="M326" i="12" s="1"/>
  <c r="M182" i="12" a="1"/>
  <c r="M182" i="12" s="1"/>
  <c r="M174" i="12" a="1"/>
  <c r="M174" i="12" s="1"/>
  <c r="M290" i="12" a="1"/>
  <c r="M290" i="12" s="1"/>
  <c r="I101" i="12" a="1"/>
  <c r="I101" i="12" s="1"/>
  <c r="I350" i="12" a="1"/>
  <c r="I350" i="12" s="1"/>
  <c r="I158" i="12" a="1"/>
  <c r="I158" i="12" s="1"/>
  <c r="M285" i="12" a="1"/>
  <c r="M285" i="12" s="1"/>
  <c r="I262" i="12" a="1"/>
  <c r="I262" i="12" s="1"/>
  <c r="I212" i="12" a="1"/>
  <c r="I212" i="12" s="1"/>
  <c r="M121" i="12" a="1"/>
  <c r="M121" i="12" s="1"/>
  <c r="M203" i="12" a="1"/>
  <c r="M203" i="12" s="1"/>
  <c r="M158" i="12" a="1"/>
  <c r="M158" i="12" s="1"/>
  <c r="M109" i="12" a="1"/>
  <c r="M109" i="12" s="1"/>
  <c r="L192" i="12" a="1"/>
  <c r="L192" i="12" s="1"/>
  <c r="I149" i="12" a="1"/>
  <c r="I149" i="12" s="1"/>
  <c r="I423" i="12" a="1"/>
  <c r="I423" i="12" s="1"/>
  <c r="M352" i="12" a="1"/>
  <c r="M352" i="12" s="1"/>
  <c r="L177" i="12" a="1"/>
  <c r="L177" i="12" s="1"/>
  <c r="I309" i="12" a="1"/>
  <c r="I309" i="12" s="1"/>
  <c r="L129" i="12" a="1"/>
  <c r="L129" i="12" s="1"/>
  <c r="I368" i="12" a="1"/>
  <c r="I368" i="12" s="1"/>
  <c r="I364" i="12" a="1"/>
  <c r="I364" i="12" s="1"/>
  <c r="M225" i="12" a="1"/>
  <c r="M225" i="12" s="1"/>
  <c r="N225" i="12" s="1"/>
  <c r="L339" i="12" a="1"/>
  <c r="L339" i="12" s="1"/>
  <c r="M260" i="12" a="1"/>
  <c r="M260" i="12" s="1"/>
  <c r="I352" i="12" a="1"/>
  <c r="I352" i="12" s="1"/>
  <c r="L176" i="12" a="1"/>
  <c r="L176" i="12" s="1"/>
  <c r="L318" i="12" a="1"/>
  <c r="L318" i="12" s="1"/>
  <c r="M329" i="12" a="1"/>
  <c r="M329" i="12" s="1"/>
  <c r="M192" i="12" a="1"/>
  <c r="M192" i="12" s="1"/>
  <c r="M138" i="12" a="1"/>
  <c r="M138" i="12" s="1"/>
  <c r="L282" i="12" a="1"/>
  <c r="L282" i="12" s="1"/>
  <c r="L333" i="12" a="1"/>
  <c r="L333" i="12" s="1"/>
  <c r="N333" i="12" s="1"/>
  <c r="L188" i="12" a="1"/>
  <c r="L188" i="12" s="1"/>
  <c r="I337" i="12" a="1"/>
  <c r="I337" i="12" s="1"/>
  <c r="M328" i="12" a="1"/>
  <c r="M328" i="12" s="1"/>
  <c r="I198" i="12" a="1"/>
  <c r="I198" i="12" s="1"/>
  <c r="M198" i="12" a="1"/>
  <c r="M198" i="12" s="1"/>
  <c r="M359" i="12" a="1"/>
  <c r="M359" i="12" s="1"/>
  <c r="I176" i="12" a="1"/>
  <c r="I176" i="12" s="1"/>
  <c r="L198" i="12" a="1"/>
  <c r="L198" i="12" s="1"/>
  <c r="N198" i="12" s="1"/>
  <c r="M159" i="12" a="1"/>
  <c r="M159" i="12" s="1"/>
  <c r="L141" i="12" a="1"/>
  <c r="L141" i="12" s="1"/>
  <c r="L173" i="12" a="1"/>
  <c r="L173" i="12" s="1"/>
  <c r="I161" i="12" a="1"/>
  <c r="I161" i="12" s="1"/>
  <c r="L395" i="12" a="1"/>
  <c r="L395" i="12" s="1"/>
  <c r="M311" i="12" a="1"/>
  <c r="M311" i="12" s="1"/>
  <c r="M261" i="12" a="1"/>
  <c r="M261" i="12" s="1"/>
  <c r="I340" i="12" a="1"/>
  <c r="I340" i="12" s="1"/>
  <c r="I285" i="12" a="1"/>
  <c r="I285" i="12" s="1"/>
  <c r="L274" i="12" a="1"/>
  <c r="L274" i="12" s="1"/>
  <c r="M237" i="12" a="1"/>
  <c r="M237" i="12" s="1"/>
  <c r="M304" i="12" a="1"/>
  <c r="M304" i="12" s="1"/>
  <c r="I314" i="12" a="1"/>
  <c r="I314" i="12" s="1"/>
  <c r="L185" i="12" a="1"/>
  <c r="L185" i="12" s="1"/>
  <c r="L208" i="12" a="1"/>
  <c r="L208" i="12" s="1"/>
  <c r="M322" i="12" a="1"/>
  <c r="M322" i="12" s="1"/>
  <c r="L278" i="12" a="1"/>
  <c r="L278" i="12" s="1"/>
  <c r="I181" i="12" a="1"/>
  <c r="I181" i="12" s="1"/>
  <c r="L376" i="12" a="1"/>
  <c r="L376" i="12" s="1"/>
  <c r="I274" i="12" a="1"/>
  <c r="I274" i="12" s="1"/>
  <c r="M266" i="12" a="1"/>
  <c r="M266" i="12" s="1"/>
  <c r="L102" i="12" a="1"/>
  <c r="L102" i="12" s="1"/>
  <c r="I304" i="12" a="1"/>
  <c r="I304" i="12" s="1"/>
  <c r="M276" i="12" a="1"/>
  <c r="M276" i="12" s="1"/>
  <c r="N276" i="12" s="1"/>
  <c r="L155" i="12" a="1"/>
  <c r="L155" i="12" s="1"/>
  <c r="L324" i="12" a="1"/>
  <c r="L324" i="12" s="1"/>
  <c r="N324" i="12" s="1"/>
  <c r="L186" i="12" a="1"/>
  <c r="L186" i="12" s="1"/>
  <c r="L297" i="12" a="1"/>
  <c r="L297" i="12" s="1"/>
  <c r="M222" i="12" a="1"/>
  <c r="M222" i="12" s="1"/>
  <c r="M319" i="12" a="1"/>
  <c r="M319" i="12" s="1"/>
  <c r="I363" i="12" a="1"/>
  <c r="I363" i="12" s="1"/>
  <c r="M325" i="12" a="1"/>
  <c r="M325" i="12" s="1"/>
  <c r="L357" i="12" a="1"/>
  <c r="L357" i="12" s="1"/>
  <c r="I238" i="12" a="1"/>
  <c r="I238" i="12" s="1"/>
  <c r="M173" i="12" a="1"/>
  <c r="M173" i="12" s="1"/>
  <c r="M405" i="12" a="1"/>
  <c r="M405" i="12" s="1"/>
  <c r="L402" i="12" a="1"/>
  <c r="L402" i="12" s="1"/>
  <c r="L275" i="12" a="1"/>
  <c r="L275" i="12" s="1"/>
  <c r="N275" i="12" s="1"/>
  <c r="I411" i="12" a="1"/>
  <c r="I411" i="12" s="1"/>
  <c r="M349" i="12" a="1"/>
  <c r="M349" i="12" s="1"/>
  <c r="I419" i="12" a="1"/>
  <c r="I419" i="12" s="1"/>
  <c r="M370" i="12" a="1"/>
  <c r="M370" i="12" s="1"/>
  <c r="L179" i="12" a="1"/>
  <c r="L179" i="12" s="1"/>
  <c r="N179" i="12" s="1"/>
  <c r="M344" i="12" a="1"/>
  <c r="M344" i="12" s="1"/>
  <c r="I273" i="12" a="1"/>
  <c r="I273" i="12" s="1"/>
  <c r="M411" i="12" a="1"/>
  <c r="M411" i="12" s="1"/>
  <c r="I175" i="12" a="1"/>
  <c r="I175" i="12" s="1"/>
  <c r="L347" i="12" a="1"/>
  <c r="L347" i="12" s="1"/>
  <c r="L113" i="12" a="1"/>
  <c r="L113" i="12" s="1"/>
  <c r="L419" i="12" a="1"/>
  <c r="L419" i="12" s="1"/>
  <c r="N419" i="12" s="1"/>
  <c r="M354" i="12" a="1"/>
  <c r="M354" i="12" s="1"/>
  <c r="M355" i="12" a="1"/>
  <c r="M355" i="12" s="1"/>
  <c r="L410" i="12" a="1"/>
  <c r="L410" i="12" s="1"/>
  <c r="M407" i="12" a="1"/>
  <c r="M407" i="12" s="1"/>
  <c r="I243" i="12" a="1"/>
  <c r="I243" i="12" s="1"/>
  <c r="M118" i="12" a="1"/>
  <c r="M118" i="12" s="1"/>
  <c r="M367" i="12" a="1"/>
  <c r="M367" i="12" s="1"/>
  <c r="L381" i="12" a="1"/>
  <c r="L381" i="12" s="1"/>
  <c r="L337" i="12" a="1"/>
  <c r="L337" i="12" s="1"/>
  <c r="N337" i="12" s="1"/>
  <c r="I180" i="12" a="1"/>
  <c r="I180" i="12" s="1"/>
  <c r="L412" i="12" a="1"/>
  <c r="L412" i="12" s="1"/>
  <c r="M157" i="12" a="1"/>
  <c r="M157" i="12" s="1"/>
  <c r="M155" i="12" a="1"/>
  <c r="M155" i="12" s="1"/>
  <c r="M278" i="12" a="1"/>
  <c r="M278" i="12" s="1"/>
  <c r="M378" i="12" a="1"/>
  <c r="M378" i="12" s="1"/>
  <c r="I169" i="12" a="1"/>
  <c r="I169" i="12" s="1"/>
  <c r="M380" i="12" a="1"/>
  <c r="M380" i="12" s="1"/>
  <c r="I412" i="12" a="1"/>
  <c r="I412" i="12" s="1"/>
  <c r="L371" i="12" a="1"/>
  <c r="L371" i="12" s="1"/>
  <c r="L273" i="12" a="1"/>
  <c r="L273" i="12" s="1"/>
  <c r="I177" i="12" a="1"/>
  <c r="I177" i="12" s="1"/>
  <c r="I185" i="12" a="1"/>
  <c r="I185" i="12" s="1"/>
  <c r="I287" i="12" a="1"/>
  <c r="I287" i="12" s="1"/>
  <c r="I374" i="12" a="1"/>
  <c r="I374" i="12" s="1"/>
  <c r="L341" i="12" a="1"/>
  <c r="L341" i="12" s="1"/>
  <c r="M168" i="12" a="1"/>
  <c r="M168" i="12" s="1"/>
  <c r="M207" i="12" a="1"/>
  <c r="M207" i="12" s="1"/>
  <c r="I356" i="12" a="1"/>
  <c r="I356" i="12" s="1"/>
  <c r="M258" i="12" a="1"/>
  <c r="M258" i="12" s="1"/>
  <c r="L139" i="12" a="1"/>
  <c r="L139" i="12" s="1"/>
  <c r="I193" i="12" a="1"/>
  <c r="I193" i="12" s="1"/>
  <c r="I369" i="12" a="1"/>
  <c r="I369" i="12" s="1"/>
  <c r="I163" i="12" a="1"/>
  <c r="I163" i="12" s="1"/>
  <c r="M365" i="12" a="1"/>
  <c r="M365" i="12" s="1"/>
  <c r="M413" i="12" a="1"/>
  <c r="M413" i="12" s="1"/>
  <c r="M377" i="12" a="1"/>
  <c r="M377" i="12" s="1"/>
  <c r="L206" i="12" a="1"/>
  <c r="L206" i="12" s="1"/>
  <c r="M110" i="12" a="1"/>
  <c r="M110" i="12" s="1"/>
  <c r="M218" i="12" a="1"/>
  <c r="M218" i="12" s="1"/>
  <c r="M129" i="12" a="1"/>
  <c r="M129" i="12" s="1"/>
  <c r="M366" i="12" a="1"/>
  <c r="M366" i="12" s="1"/>
  <c r="M163" i="12" a="1"/>
  <c r="M163" i="12" s="1"/>
  <c r="L383" i="12" a="1"/>
  <c r="L383" i="12" s="1"/>
  <c r="I145" i="12" a="1"/>
  <c r="I145" i="12" s="1"/>
  <c r="M136" i="12" a="1"/>
  <c r="M136" i="12" s="1"/>
  <c r="I292" i="12" a="1"/>
  <c r="I292" i="12" s="1"/>
  <c r="I409" i="12" a="1"/>
  <c r="I409" i="12" s="1"/>
  <c r="L214" i="12" a="1"/>
  <c r="L214" i="12" s="1"/>
  <c r="I172" i="12" a="1"/>
  <c r="I172" i="12" s="1"/>
  <c r="I378" i="12" a="1"/>
  <c r="I378" i="12" s="1"/>
  <c r="L394" i="12" a="1"/>
  <c r="L394" i="12" s="1"/>
  <c r="L348" i="12" a="1"/>
  <c r="L348" i="12" s="1"/>
  <c r="I213" i="12" a="1"/>
  <c r="I213" i="12" s="1"/>
  <c r="M176" i="12" a="1"/>
  <c r="M176" i="12" s="1"/>
  <c r="M416" i="12" a="1"/>
  <c r="M416" i="12" s="1"/>
  <c r="N416" i="12" s="1"/>
  <c r="I398" i="12" a="1"/>
  <c r="I398" i="12" s="1"/>
  <c r="M226" i="12" a="1"/>
  <c r="M226" i="12" s="1"/>
  <c r="I139" i="12" a="1"/>
  <c r="I139" i="12" s="1"/>
  <c r="L223" i="12" a="1"/>
  <c r="L223" i="12" s="1"/>
  <c r="N223" i="12" s="1"/>
  <c r="M297" i="12" a="1"/>
  <c r="M297" i="12" s="1"/>
  <c r="L201" i="12" a="1"/>
  <c r="L201" i="12" s="1"/>
  <c r="M399" i="12" a="1"/>
  <c r="M399" i="12" s="1"/>
  <c r="L361" i="12" a="1"/>
  <c r="L361" i="12" s="1"/>
  <c r="M281" i="12" a="1"/>
  <c r="M281" i="12" s="1"/>
  <c r="L232" i="12" a="1"/>
  <c r="L232" i="12" s="1"/>
  <c r="I267" i="12" a="1"/>
  <c r="I267" i="12" s="1"/>
  <c r="M229" i="12" a="1"/>
  <c r="M229" i="12" s="1"/>
  <c r="I153" i="12" a="1"/>
  <c r="I153" i="12" s="1"/>
  <c r="M312" i="12" a="1"/>
  <c r="M312" i="12" s="1"/>
  <c r="L362" i="12" a="1"/>
  <c r="L362" i="12" s="1"/>
  <c r="L249" i="12" a="1"/>
  <c r="L249" i="12" s="1"/>
  <c r="I120" i="12" a="1"/>
  <c r="I120" i="12" s="1"/>
  <c r="L417" i="12" a="1"/>
  <c r="L417" i="12" s="1"/>
  <c r="I179" i="12" a="1"/>
  <c r="I179" i="12" s="1"/>
  <c r="L183" i="12" a="1"/>
  <c r="L183" i="12" s="1"/>
  <c r="I276" i="12" a="1"/>
  <c r="I276" i="12" s="1"/>
  <c r="I278" i="12" a="1"/>
  <c r="I278" i="12" s="1"/>
  <c r="L161" i="12" a="1"/>
  <c r="L161" i="12" s="1"/>
  <c r="N161" i="12" s="1"/>
  <c r="I233" i="12" a="1"/>
  <c r="I233" i="12" s="1"/>
  <c r="I268" i="12" a="1"/>
  <c r="I268" i="12" s="1"/>
  <c r="I422" i="12" a="1"/>
  <c r="I422" i="12" s="1"/>
  <c r="M195" i="12" a="1"/>
  <c r="M195" i="12" s="1"/>
  <c r="M191" i="12" a="1"/>
  <c r="M191" i="12" s="1"/>
  <c r="L335" i="12" a="1"/>
  <c r="L335" i="12" s="1"/>
  <c r="M277" i="12" a="1"/>
  <c r="M277" i="12" s="1"/>
  <c r="I221" i="12" a="1"/>
  <c r="I221" i="12" s="1"/>
  <c r="I330" i="12" a="1"/>
  <c r="I330" i="12" s="1"/>
  <c r="I376" i="12" a="1"/>
  <c r="I376" i="12" s="1"/>
  <c r="M382" i="12" a="1"/>
  <c r="M382" i="12" s="1"/>
  <c r="I401" i="12" a="1"/>
  <c r="I401" i="12" s="1"/>
  <c r="L287" i="12" a="1"/>
  <c r="L287" i="12" s="1"/>
  <c r="M140" i="12" a="1"/>
  <c r="M140" i="12" s="1"/>
  <c r="I393" i="12" a="1"/>
  <c r="I393" i="12" s="1"/>
  <c r="I386" i="12" a="1"/>
  <c r="I386" i="12" s="1"/>
  <c r="I196" i="12" a="1"/>
  <c r="I196" i="12" s="1"/>
  <c r="M320" i="12" a="1"/>
  <c r="M320" i="12" s="1"/>
  <c r="I190" i="12" a="1"/>
  <c r="I190" i="12" s="1"/>
  <c r="M162" i="12" a="1"/>
  <c r="M162" i="12" s="1"/>
  <c r="L104" i="12" a="1"/>
  <c r="L104" i="12" s="1"/>
  <c r="M106" i="12" a="1"/>
  <c r="M106" i="12" s="1"/>
  <c r="M270" i="12" a="1"/>
  <c r="M270" i="12" s="1"/>
  <c r="M387" i="12" a="1"/>
  <c r="M387" i="12" s="1"/>
  <c r="M243" i="12" a="1"/>
  <c r="M243" i="12" s="1"/>
  <c r="I128" i="12" a="1"/>
  <c r="I128" i="12" s="1"/>
  <c r="L298" i="12" a="1"/>
  <c r="L298" i="12" s="1"/>
  <c r="L400" i="12" a="1"/>
  <c r="L400" i="12" s="1"/>
  <c r="I216" i="12" a="1"/>
  <c r="I216" i="12" s="1"/>
  <c r="M363" i="12" a="1"/>
  <c r="M363" i="12" s="1"/>
  <c r="L178" i="12" a="1"/>
  <c r="L178" i="12" s="1"/>
  <c r="M116" i="12" a="1"/>
  <c r="M116" i="12" s="1"/>
  <c r="M403" i="12" a="1"/>
  <c r="M403" i="12" s="1"/>
  <c r="L110" i="12" a="1"/>
  <c r="L110" i="12" s="1"/>
  <c r="N110" i="12" s="1"/>
  <c r="M375" i="12" a="1"/>
  <c r="M375" i="12" s="1"/>
  <c r="I201" i="12" a="1"/>
  <c r="I201" i="12" s="1"/>
  <c r="L308" i="12" a="1"/>
  <c r="L308" i="12" s="1"/>
  <c r="M263" i="12" a="1"/>
  <c r="M263" i="12" s="1"/>
  <c r="L103" i="12" a="1"/>
  <c r="L103" i="12" s="1"/>
  <c r="M204" i="12" a="1"/>
  <c r="M204" i="12" s="1"/>
  <c r="I344" i="12" a="1"/>
  <c r="I344" i="12" s="1"/>
  <c r="M269" i="12" a="1"/>
  <c r="M269" i="12" s="1"/>
  <c r="L408" i="12" a="1"/>
  <c r="L408" i="12" s="1"/>
  <c r="I183" i="12" a="1"/>
  <c r="I183" i="12" s="1"/>
  <c r="I296" i="12" a="1"/>
  <c r="I296" i="12" s="1"/>
  <c r="I383" i="12" a="1"/>
  <c r="I383" i="12" s="1"/>
  <c r="I129" i="12" a="1"/>
  <c r="I129" i="12" s="1"/>
  <c r="L291" i="12" a="1"/>
  <c r="L291" i="12" s="1"/>
  <c r="I372" i="12" a="1"/>
  <c r="I372" i="12" s="1"/>
  <c r="M386" i="12" a="1"/>
  <c r="M386" i="12" s="1"/>
  <c r="M199" i="12" a="1"/>
  <c r="M199" i="12" s="1"/>
  <c r="L181" i="12" a="1"/>
  <c r="L181" i="12" s="1"/>
  <c r="I391" i="12" a="1"/>
  <c r="I391" i="12" s="1"/>
  <c r="M400" i="12" a="1"/>
  <c r="M400" i="12" s="1"/>
  <c r="I291" i="12" a="1"/>
  <c r="I291" i="12" s="1"/>
  <c r="L159" i="12" a="1"/>
  <c r="L159" i="12" s="1"/>
  <c r="M251" i="12" a="1"/>
  <c r="M251" i="12" s="1"/>
  <c r="M272" i="12" a="1"/>
  <c r="M272" i="12" s="1"/>
  <c r="M305" i="12" a="1"/>
  <c r="M305" i="12" s="1"/>
  <c r="N305" i="12" s="1"/>
  <c r="M167" i="12" a="1"/>
  <c r="M167" i="12" s="1"/>
  <c r="L255" i="12" a="1"/>
  <c r="L255" i="12" s="1"/>
  <c r="L239" i="12" a="1"/>
  <c r="L239" i="12" s="1"/>
  <c r="M242" i="12" a="1"/>
  <c r="M242" i="12" s="1"/>
  <c r="L301" i="12" a="1"/>
  <c r="L301" i="12" s="1"/>
  <c r="M231" i="12" a="1"/>
  <c r="M231" i="12" s="1"/>
  <c r="M250" i="12" a="1"/>
  <c r="M250" i="12" s="1"/>
  <c r="I396" i="12" a="1"/>
  <c r="I396" i="12" s="1"/>
  <c r="I326" i="12" a="1"/>
  <c r="I326" i="12" s="1"/>
  <c r="L165" i="12" a="1"/>
  <c r="L165" i="12" s="1"/>
  <c r="N165" i="12" s="1"/>
  <c r="L392" i="12" a="1"/>
  <c r="L392" i="12" s="1"/>
  <c r="I100" i="12" a="1"/>
  <c r="I100" i="12" s="1"/>
  <c r="I186" i="12" a="1"/>
  <c r="I186" i="12" s="1"/>
  <c r="L221" i="12" a="1"/>
  <c r="L221" i="12" s="1"/>
  <c r="M245" i="12" a="1"/>
  <c r="M245" i="12" s="1"/>
  <c r="M123" i="12" a="1"/>
  <c r="M123" i="12" s="1"/>
  <c r="M208" i="12" a="1"/>
  <c r="M208" i="12" s="1"/>
  <c r="I394" i="12" a="1"/>
  <c r="I394" i="12" s="1"/>
  <c r="I210" i="12" a="1"/>
  <c r="I210" i="12" s="1"/>
  <c r="I237" i="12" a="1"/>
  <c r="I237" i="12" s="1"/>
  <c r="M334" i="12" a="1"/>
  <c r="M334" i="12" s="1"/>
  <c r="I346" i="12" a="1"/>
  <c r="I346" i="12" s="1"/>
  <c r="I200" i="12" a="1"/>
  <c r="I200" i="12" s="1"/>
  <c r="I295" i="12" a="1"/>
  <c r="I295" i="12" s="1"/>
  <c r="L116" i="12" a="1"/>
  <c r="L116" i="12" s="1"/>
  <c r="I324" i="12" a="1"/>
  <c r="I324" i="12" s="1"/>
  <c r="M287" i="12" a="1"/>
  <c r="M287" i="12" s="1"/>
  <c r="M361" i="12" a="1"/>
  <c r="M361" i="12" s="1"/>
  <c r="L174" i="12" a="1"/>
  <c r="L174" i="12" s="1"/>
  <c r="L151" i="12" a="1"/>
  <c r="L151" i="12" s="1"/>
  <c r="L240" i="12" a="1"/>
  <c r="L240" i="12" s="1"/>
  <c r="I114" i="12" a="1"/>
  <c r="I114" i="12" s="1"/>
  <c r="I211" i="12" a="1"/>
  <c r="I211" i="12" s="1"/>
  <c r="L250" i="12" a="1"/>
  <c r="L250" i="12" s="1"/>
  <c r="I254" i="12" a="1"/>
  <c r="I254" i="12" s="1"/>
  <c r="I151" i="12" a="1"/>
  <c r="I151" i="12" s="1"/>
  <c r="L229" i="12" a="1"/>
  <c r="L229" i="12" s="1"/>
  <c r="N229" i="12" s="1"/>
  <c r="M147" i="12" a="1"/>
  <c r="M147" i="12" s="1"/>
  <c r="I319" i="12" a="1"/>
  <c r="I319" i="12" s="1"/>
  <c r="I297" i="12" a="1"/>
  <c r="I297" i="12" s="1"/>
  <c r="L154" i="12" a="1"/>
  <c r="L154" i="12" s="1"/>
  <c r="M233" i="12" a="1"/>
  <c r="M233" i="12" s="1"/>
  <c r="I308" i="12" a="1"/>
  <c r="I308" i="12" s="1"/>
  <c r="I124" i="12" a="1"/>
  <c r="I124" i="12" s="1"/>
  <c r="M255" i="12" a="1"/>
  <c r="M255" i="12" s="1"/>
  <c r="M308" i="12" a="1"/>
  <c r="M308" i="12" s="1"/>
  <c r="L152" i="12" a="1"/>
  <c r="L152" i="12" s="1"/>
  <c r="L342" i="12" a="1"/>
  <c r="L342" i="12" s="1"/>
  <c r="L309" i="12" a="1"/>
  <c r="L309" i="12" s="1"/>
  <c r="M135" i="12" a="1"/>
  <c r="M135" i="12" s="1"/>
  <c r="I104" i="12" a="1"/>
  <c r="I104" i="12" s="1"/>
  <c r="M393" i="12" a="1"/>
  <c r="M393" i="12" s="1"/>
  <c r="M133" i="12" a="1"/>
  <c r="M133" i="12" s="1"/>
  <c r="M283" i="12" a="1"/>
  <c r="M283" i="12" s="1"/>
  <c r="L317" i="12" a="1"/>
  <c r="L317" i="12" s="1"/>
  <c r="I140" i="12" a="1"/>
  <c r="I140" i="12" s="1"/>
  <c r="I230" i="12" a="1"/>
  <c r="I230" i="12" s="1"/>
  <c r="L184" i="12" a="1"/>
  <c r="L184" i="12" s="1"/>
  <c r="L355" i="12" a="1"/>
  <c r="L355" i="12" s="1"/>
  <c r="N355" i="12" s="1"/>
  <c r="L264" i="12" a="1"/>
  <c r="L264" i="12" s="1"/>
  <c r="N264" i="12" s="1"/>
  <c r="M298" i="12" a="1"/>
  <c r="M298" i="12" s="1"/>
  <c r="M316" i="12" a="1"/>
  <c r="M316" i="12" s="1"/>
  <c r="M115" i="12" a="1"/>
  <c r="M115" i="12" s="1"/>
  <c r="L378" i="12" a="1"/>
  <c r="L378" i="12" s="1"/>
  <c r="N378" i="12" s="1"/>
  <c r="M418" i="12" a="1"/>
  <c r="M418" i="12" s="1"/>
  <c r="L237" i="12" a="1"/>
  <c r="L237" i="12" s="1"/>
  <c r="I362" i="12" a="1"/>
  <c r="I362" i="12" s="1"/>
  <c r="I215" i="12" a="1"/>
  <c r="I215" i="12" s="1"/>
  <c r="L358" i="12" a="1"/>
  <c r="L358" i="12" s="1"/>
  <c r="N358" i="12" s="1"/>
  <c r="M301" i="12" a="1"/>
  <c r="M301" i="12" s="1"/>
  <c r="M395" i="12" a="1"/>
  <c r="M395" i="12" s="1"/>
  <c r="N395" i="12" s="1"/>
  <c r="I105" i="12" a="1"/>
  <c r="I105" i="12" s="1"/>
  <c r="M212" i="12" a="1"/>
  <c r="M212" i="12" s="1"/>
  <c r="I197" i="12" a="1"/>
  <c r="I197" i="12" s="1"/>
  <c r="M347" i="12" a="1"/>
  <c r="M347" i="12" s="1"/>
  <c r="L420" i="12" a="1"/>
  <c r="L420" i="12" s="1"/>
  <c r="L270" i="12" a="1"/>
  <c r="L270" i="12" s="1"/>
  <c r="N270" i="12" s="1"/>
  <c r="M152" i="12" a="1"/>
  <c r="M152" i="12" s="1"/>
  <c r="L340" i="12" a="1"/>
  <c r="L340" i="12" s="1"/>
  <c r="I338" i="12" a="1"/>
  <c r="I338" i="12" s="1"/>
  <c r="M389" i="12" a="1"/>
  <c r="M389" i="12" s="1"/>
  <c r="N389" i="12" s="1"/>
  <c r="L385" i="12" a="1"/>
  <c r="L385" i="12" s="1"/>
  <c r="M401" i="12" a="1"/>
  <c r="M401" i="12" s="1"/>
  <c r="M142" i="12" a="1"/>
  <c r="M142" i="12" s="1"/>
  <c r="M398" i="12" a="1"/>
  <c r="M398" i="12" s="1"/>
  <c r="I302" i="12" a="1"/>
  <c r="I302" i="12" s="1"/>
  <c r="I223" i="12" a="1"/>
  <c r="I223" i="12" s="1"/>
  <c r="I146" i="12" a="1"/>
  <c r="I146" i="12" s="1"/>
  <c r="L170" i="12" a="1"/>
  <c r="L170" i="12" s="1"/>
  <c r="L222" i="12" a="1"/>
  <c r="L222" i="12" s="1"/>
  <c r="M280" i="12" a="1"/>
  <c r="M280" i="12" s="1"/>
  <c r="M422" i="12" a="1"/>
  <c r="M422" i="12" s="1"/>
  <c r="M104" i="12" a="1"/>
  <c r="M104" i="12" s="1"/>
  <c r="L230" i="12" a="1"/>
  <c r="L230" i="12" s="1"/>
  <c r="N230" i="12" s="1"/>
  <c r="I117" i="12" a="1"/>
  <c r="I117" i="12" s="1"/>
  <c r="M381" i="12" a="1"/>
  <c r="M381" i="12" s="1"/>
  <c r="L135" i="12" a="1"/>
  <c r="L135" i="12" s="1"/>
  <c r="M217" i="12" a="1"/>
  <c r="M217" i="12" s="1"/>
  <c r="N217" i="12" s="1"/>
  <c r="I255" i="12" a="1"/>
  <c r="I255" i="12" s="1"/>
  <c r="M315" i="12" a="1"/>
  <c r="M315" i="12" s="1"/>
  <c r="N315" i="12" s="1"/>
  <c r="I313" i="12" a="1"/>
  <c r="I313" i="12" s="1"/>
  <c r="M376" i="12" a="1"/>
  <c r="M376" i="12" s="1"/>
  <c r="M414" i="12" a="1"/>
  <c r="M414" i="12" s="1"/>
  <c r="I157" i="12" a="1"/>
  <c r="I157" i="12" s="1"/>
  <c r="M356" i="12" a="1"/>
  <c r="M356" i="12" s="1"/>
  <c r="L182" i="12" a="1"/>
  <c r="L182" i="12" s="1"/>
  <c r="I271" i="12" a="1"/>
  <c r="I271" i="12" s="1"/>
  <c r="M122" i="12" a="1"/>
  <c r="M122" i="12" s="1"/>
  <c r="L106" i="12" a="1"/>
  <c r="L106" i="12" s="1"/>
  <c r="M171" i="12" a="1"/>
  <c r="M171" i="12" s="1"/>
  <c r="L100" i="12" a="1"/>
  <c r="L100" i="12" s="1"/>
  <c r="N100" i="12" s="1"/>
  <c r="I155" i="12" a="1"/>
  <c r="I155" i="12" s="1"/>
  <c r="M209" i="12" a="1"/>
  <c r="M209" i="12" s="1"/>
  <c r="N209" i="12" s="1"/>
  <c r="L146" i="12" a="1"/>
  <c r="L146" i="12" s="1"/>
  <c r="N258" i="12"/>
  <c r="N236" i="12"/>
  <c r="N406" i="12"/>
  <c r="N188" i="12"/>
  <c r="N162" i="12"/>
  <c r="N319" i="12"/>
  <c r="N127" i="12"/>
  <c r="N205" i="12"/>
  <c r="N291" i="12"/>
  <c r="N253" i="12"/>
  <c r="N143" i="12"/>
  <c r="N109" i="12"/>
  <c r="N197" i="12"/>
  <c r="N268" i="12"/>
  <c r="N379" i="12"/>
  <c r="N398" i="12"/>
  <c r="N160" i="12"/>
  <c r="N166" i="12"/>
  <c r="N272" i="12"/>
  <c r="N354" i="12"/>
  <c r="N381" i="12"/>
  <c r="N142" i="12"/>
  <c r="N420" i="12"/>
  <c r="N171" i="12"/>
  <c r="N321" i="12"/>
  <c r="N301" i="12"/>
  <c r="N107" i="12"/>
  <c r="N417" i="12"/>
  <c r="N311" i="12"/>
  <c r="N190" i="12"/>
  <c r="N304" i="12"/>
  <c r="N211" i="12"/>
  <c r="N149" i="12"/>
  <c r="N232" i="12"/>
  <c r="N347" i="12"/>
  <c r="N263" i="12"/>
  <c r="N202" i="12"/>
  <c r="N328" i="12"/>
  <c r="N345" i="12"/>
  <c r="N294" i="12"/>
  <c r="N382" i="12"/>
  <c r="N200" i="12"/>
  <c r="N255" i="12"/>
  <c r="N295" i="12"/>
  <c r="N399" i="12"/>
  <c r="N330" i="12"/>
  <c r="N111" i="12"/>
  <c r="N383" i="12"/>
  <c r="N106" i="12"/>
  <c r="N331" i="12"/>
  <c r="N341" i="12"/>
  <c r="N124" i="12"/>
  <c r="N396" i="12"/>
  <c r="N108" i="12"/>
  <c r="N249" i="12"/>
  <c r="N184" i="12"/>
  <c r="N362" i="12"/>
  <c r="N173" i="12"/>
  <c r="N400" i="12"/>
  <c r="N422" i="12"/>
  <c r="N172" i="12"/>
  <c r="N310" i="12"/>
  <c r="N280" i="12"/>
  <c r="N150" i="12"/>
  <c r="N196" i="12"/>
  <c r="N181" i="12"/>
  <c r="N239" i="12"/>
  <c r="N421" i="12"/>
  <c r="N269" i="12"/>
  <c r="N298" i="12"/>
  <c r="N326" i="12"/>
  <c r="N260" i="12"/>
  <c r="N408" i="12"/>
  <c r="N388" i="12"/>
  <c r="N240" i="12"/>
  <c r="N157" i="12"/>
  <c r="N351" i="12"/>
  <c r="N248" i="12"/>
  <c r="N320" i="12"/>
  <c r="N148" i="12"/>
  <c r="N136" i="12"/>
  <c r="N187" i="12"/>
  <c r="N228" i="12"/>
  <c r="N134" i="12"/>
  <c r="N372" i="12"/>
  <c r="N192" i="12"/>
  <c r="N138" i="12"/>
  <c r="N273" i="12"/>
  <c r="N309" i="12"/>
  <c r="N302" i="12"/>
  <c r="N210" i="12"/>
  <c r="N284" i="12"/>
  <c r="N261" i="12"/>
  <c r="N207" i="12"/>
  <c r="N349" i="12"/>
  <c r="N335" i="12"/>
  <c r="N339" i="12"/>
  <c r="N299" i="12"/>
  <c r="N413" i="12"/>
  <c r="N371" i="12"/>
  <c r="N393" i="12"/>
  <c r="N366" i="12"/>
  <c r="N177" i="12"/>
  <c r="N332" i="12"/>
  <c r="N297" i="12"/>
  <c r="N368" i="12"/>
  <c r="N226" i="12"/>
  <c r="N390" i="12"/>
  <c r="N208" i="12"/>
  <c r="N212" i="12"/>
  <c r="N403" i="12"/>
  <c r="N222" i="12"/>
  <c r="N164" i="12"/>
  <c r="N116" i="12"/>
  <c r="N259" i="12"/>
  <c r="N344" i="12"/>
  <c r="N329" i="12"/>
  <c r="N102" i="12"/>
  <c r="N175" i="12"/>
  <c r="N220" i="12"/>
  <c r="N256" i="12"/>
  <c r="N133" i="12"/>
  <c r="N274" i="12"/>
  <c r="N234" i="12"/>
  <c r="N168" i="12"/>
  <c r="N120" i="12"/>
  <c r="N327" i="12"/>
  <c r="N407" i="12"/>
  <c r="N122" i="12"/>
  <c r="N410" i="12"/>
  <c r="N135" i="12"/>
  <c r="N313" i="12"/>
  <c r="N353" i="12"/>
  <c r="N189" i="12"/>
  <c r="N191" i="12"/>
  <c r="N392" i="12"/>
  <c r="N215" i="12"/>
  <c r="N404" i="12"/>
  <c r="N405" i="12"/>
  <c r="N303" i="12"/>
  <c r="N214" i="12"/>
  <c r="N195" i="12"/>
  <c r="N314" i="12"/>
  <c r="N242" i="12"/>
  <c r="N163" i="12"/>
  <c r="N312" i="12"/>
  <c r="N186" i="12"/>
  <c r="N296" i="12"/>
  <c r="N316" i="12"/>
  <c r="N243" i="12"/>
  <c r="N289" i="12"/>
  <c r="N401" i="12"/>
  <c r="N194" i="12"/>
  <c r="N146" i="12"/>
  <c r="N367" i="12"/>
  <c r="N373" i="12"/>
  <c r="N411" i="12"/>
  <c r="N318" i="12"/>
  <c r="N365" i="12"/>
  <c r="N121" i="12"/>
  <c r="N159" i="12"/>
  <c r="N244" i="12"/>
  <c r="N361" i="12"/>
  <c r="N356" i="12"/>
  <c r="N103" i="12"/>
  <c r="N282" i="12"/>
  <c r="N147" i="12"/>
  <c r="N247" i="12"/>
  <c r="N170" i="12"/>
  <c r="N113" i="12"/>
  <c r="N129" i="12"/>
  <c r="N412" i="12"/>
  <c r="N286" i="12"/>
  <c r="N346" i="12"/>
  <c r="N182" i="12"/>
  <c r="N105" i="12"/>
  <c r="N277" i="12"/>
  <c r="N352" i="12"/>
  <c r="N376" i="12"/>
  <c r="N418" i="12"/>
  <c r="N180" i="12"/>
  <c r="N402" i="12"/>
  <c r="N132" i="12"/>
  <c r="N185" i="12"/>
  <c r="N206" i="12"/>
  <c r="N151" i="12"/>
  <c r="N423" i="12"/>
  <c r="N128" i="12"/>
  <c r="N340" i="12"/>
  <c r="N154" i="12"/>
  <c r="N241" i="12"/>
  <c r="N201" i="12"/>
  <c r="N119" i="12"/>
  <c r="N281" i="12"/>
  <c r="N285" i="12"/>
  <c r="N363" i="12"/>
  <c r="N265" i="12"/>
  <c r="N216" i="12"/>
  <c r="N409" i="12"/>
  <c r="N169" i="12"/>
  <c r="N251" i="12"/>
  <c r="N338" i="12"/>
  <c r="N178" i="12"/>
  <c r="N199" i="12"/>
  <c r="N283" i="12"/>
  <c r="N224" i="12"/>
  <c r="N387" i="12"/>
  <c r="N288" i="12"/>
  <c r="N218" i="12"/>
  <c r="N377" i="12"/>
  <c r="N144" i="12"/>
  <c r="N174" i="12"/>
  <c r="N183" i="12"/>
  <c r="N317" i="12"/>
  <c r="N231" i="12"/>
  <c r="N414" i="12"/>
  <c r="N101" i="12"/>
  <c r="N278" i="12"/>
  <c r="N221" i="12"/>
  <c r="N374" i="12"/>
  <c r="N336" i="12"/>
  <c r="N306" i="12"/>
  <c r="N334" i="12"/>
  <c r="N141" i="12"/>
  <c r="N384" i="12"/>
  <c r="N152" i="12"/>
  <c r="N343" i="12"/>
  <c r="N322" i="12"/>
  <c r="N287" i="12"/>
  <c r="N290" i="12"/>
  <c r="N267" i="12"/>
  <c r="N155" i="12"/>
  <c r="N342" i="12"/>
  <c r="N250" i="12"/>
  <c r="N123" i="12"/>
  <c r="N293" i="12"/>
  <c r="N140" i="12"/>
  <c r="N380" i="12"/>
  <c r="N279" i="12"/>
  <c r="N117" i="12"/>
  <c r="N104" i="12"/>
  <c r="N245" i="12"/>
  <c r="N348" i="12"/>
  <c r="N375" i="12"/>
  <c r="N308" i="12"/>
  <c r="N237" i="12"/>
  <c r="N262" i="12"/>
  <c r="N158" i="12"/>
  <c r="N125" i="12"/>
  <c r="N118" i="12"/>
  <c r="J96" i="1" a="1"/>
  <c r="J96" i="1" s="1"/>
  <c r="J88" i="1" a="1"/>
  <c r="J88" i="1" s="1"/>
  <c r="J103" i="1" a="1"/>
  <c r="J103" i="1" s="1"/>
  <c r="J135" i="1" a="1"/>
  <c r="J135" i="1" s="1"/>
  <c r="J146" i="1" a="1"/>
  <c r="J146" i="1" s="1"/>
  <c r="J127" i="1" a="1"/>
  <c r="J127" i="1" s="1"/>
  <c r="J117" i="1" a="1"/>
  <c r="J117" i="1" s="1"/>
  <c r="J102" i="1" a="1"/>
  <c r="J102" i="1" s="1"/>
  <c r="J143" i="1" a="1"/>
  <c r="J143" i="1" s="1"/>
  <c r="AE60" i="4"/>
  <c r="M167" i="1" s="1"/>
  <c r="AE52" i="4"/>
  <c r="M113" i="1" s="1"/>
  <c r="AE57" i="4"/>
  <c r="M112" i="1" s="1"/>
  <c r="AE50" i="4"/>
  <c r="M102" i="1" s="1"/>
  <c r="AE29" i="4"/>
  <c r="M130" i="1" s="1"/>
  <c r="J173" i="1" a="1"/>
  <c r="J173" i="1" s="1"/>
  <c r="J165" i="1" a="1"/>
  <c r="J165" i="1" s="1"/>
  <c r="J137" i="1" a="1"/>
  <c r="J137" i="1" s="1"/>
  <c r="J156" i="1" a="1"/>
  <c r="J156" i="1" s="1"/>
  <c r="J161" i="1" a="1"/>
  <c r="J161" i="1" s="1"/>
  <c r="J84" i="1" a="1"/>
  <c r="J84" i="1" s="1"/>
  <c r="J157" i="1" a="1"/>
  <c r="J157" i="1" s="1"/>
  <c r="J147" i="1" a="1"/>
  <c r="J147" i="1" s="1"/>
  <c r="J150" i="1" a="1"/>
  <c r="J150" i="1" s="1"/>
  <c r="J179" i="1" a="1"/>
  <c r="J179" i="1" s="1"/>
  <c r="J41" i="1" a="1"/>
  <c r="J41" i="1" s="1"/>
  <c r="J118" i="1" a="1"/>
  <c r="J118" i="1" s="1"/>
  <c r="J131" i="1" a="1"/>
  <c r="J131" i="1" s="1"/>
  <c r="J113" i="1" a="1"/>
  <c r="J113" i="1" s="1"/>
  <c r="J120" i="1" a="1"/>
  <c r="J120" i="1" s="1"/>
  <c r="J82" i="1" a="1"/>
  <c r="J82" i="1" s="1"/>
  <c r="J168" i="1" a="1"/>
  <c r="J168" i="1" s="1"/>
  <c r="J136" i="1" a="1"/>
  <c r="J136" i="1" s="1"/>
  <c r="J129" i="1" a="1"/>
  <c r="J129" i="1" s="1"/>
  <c r="J160" i="1" a="1"/>
  <c r="J160" i="1" s="1"/>
  <c r="J155" i="1" a="1"/>
  <c r="J155" i="1" s="1"/>
  <c r="J138" i="1" a="1"/>
  <c r="J138" i="1" s="1"/>
  <c r="J112" i="1" a="1"/>
  <c r="J112" i="1" s="1"/>
  <c r="J107" i="1" a="1"/>
  <c r="J107" i="1" s="1"/>
  <c r="AE95" i="4"/>
  <c r="M140" i="1" s="1"/>
  <c r="AE68" i="4"/>
  <c r="M106" i="1" s="1"/>
  <c r="AE78" i="4"/>
  <c r="M93" i="1" s="1"/>
  <c r="AE49" i="4"/>
  <c r="M165" i="1" s="1"/>
  <c r="AE69" i="4"/>
  <c r="M160" i="1" s="1"/>
  <c r="J170" i="1" a="1"/>
  <c r="J170" i="1" s="1"/>
  <c r="J114" i="1" a="1"/>
  <c r="J114" i="1" s="1"/>
  <c r="J142" i="1" a="1"/>
  <c r="J142" i="1" s="1"/>
  <c r="J132" i="1" a="1"/>
  <c r="J132" i="1" s="1"/>
  <c r="J87" i="1" a="1"/>
  <c r="J87" i="1" s="1"/>
  <c r="J145" i="1" a="1"/>
  <c r="J145" i="1" s="1"/>
  <c r="J83" i="1" a="1"/>
  <c r="J83" i="1" s="1"/>
  <c r="J85" i="1" a="1"/>
  <c r="J85" i="1" s="1"/>
  <c r="K4" i="1" a="1"/>
  <c r="K4" i="1" s="1"/>
  <c r="K8" i="1" a="1"/>
  <c r="K8" i="1" s="1"/>
  <c r="J48" i="1" a="1"/>
  <c r="J48" i="1" s="1"/>
  <c r="J53" i="1" a="1"/>
  <c r="J53" i="1" s="1"/>
  <c r="J45" i="1" a="1"/>
  <c r="J45" i="1" s="1"/>
  <c r="J69" i="1" a="1"/>
  <c r="J69" i="1" s="1"/>
  <c r="J139" i="1" a="1"/>
  <c r="J139" i="1" s="1"/>
  <c r="J110" i="1" a="1"/>
  <c r="J110" i="1" s="1"/>
  <c r="M123" i="1"/>
  <c r="C2" i="8"/>
  <c r="F2" i="8" s="1"/>
  <c r="K7" i="1" a="1"/>
  <c r="K7" i="1" s="1"/>
  <c r="K22" i="1" a="1"/>
  <c r="K22" i="1" s="1"/>
  <c r="J10" i="1" a="1"/>
  <c r="J10" i="1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K33" i="1" a="1"/>
  <c r="K33" i="1" s="1"/>
  <c r="J29" i="4"/>
  <c r="J130" i="1" s="1" a="1"/>
  <c r="J130" i="1" s="1"/>
  <c r="J13" i="4"/>
  <c r="J158" i="1" s="1" a="1"/>
  <c r="J158" i="1" s="1"/>
  <c r="J20" i="4"/>
  <c r="J74" i="1" s="1" a="1"/>
  <c r="J74" i="1" s="1"/>
  <c r="J4" i="4"/>
  <c r="J23" i="4"/>
  <c r="J159" i="1" s="1" a="1"/>
  <c r="J159" i="1" s="1"/>
  <c r="J6" i="4"/>
  <c r="J7" i="4"/>
  <c r="J164" i="1" s="1" a="1"/>
  <c r="J164" i="1" s="1"/>
  <c r="J14" i="4"/>
  <c r="K57" i="1" a="1"/>
  <c r="K57" i="1" s="1"/>
  <c r="J34" i="4"/>
  <c r="J17" i="4"/>
  <c r="J92" i="1" s="1" a="1"/>
  <c r="J92" i="1" s="1"/>
  <c r="J36" i="4"/>
  <c r="J37" i="4"/>
  <c r="J8" i="4"/>
  <c r="J21" i="4"/>
  <c r="J28" i="4"/>
  <c r="J55" i="1" s="1" a="1"/>
  <c r="J55" i="1" s="1"/>
  <c r="J30" i="4"/>
  <c r="J94" i="1" s="1" a="1"/>
  <c r="J94" i="1" s="1"/>
  <c r="J31" i="4"/>
  <c r="J97" i="1" s="1" a="1"/>
  <c r="J97" i="1" s="1"/>
  <c r="J38" i="4"/>
  <c r="J148" i="1" s="1" a="1"/>
  <c r="J148" i="1" s="1"/>
  <c r="J15" i="4"/>
  <c r="J22" i="4"/>
  <c r="J41" i="4"/>
  <c r="J77" i="1" s="1" a="1"/>
  <c r="J77" i="1" s="1"/>
  <c r="J5" i="4"/>
  <c r="J6" i="1" s="1" a="1"/>
  <c r="J6" i="1" s="1"/>
  <c r="J24" i="4"/>
  <c r="J128" i="1" s="1" a="1"/>
  <c r="J128" i="1" s="1"/>
  <c r="J32" i="4"/>
  <c r="J9" i="4"/>
  <c r="J16" i="4"/>
  <c r="J151" i="1" s="1" a="1"/>
  <c r="J151" i="1" s="1"/>
  <c r="J35" i="4"/>
  <c r="J18" i="4"/>
  <c r="J26" i="4"/>
  <c r="J144" i="1" s="1" a="1"/>
  <c r="J144" i="1" s="1"/>
  <c r="J3" i="4"/>
  <c r="J21" i="1" s="1" a="1"/>
  <c r="J21" i="1" s="1"/>
  <c r="J3" i="1" a="1"/>
  <c r="J3" i="1" s="1"/>
  <c r="J11" i="1" a="1"/>
  <c r="J11" i="1" s="1"/>
  <c r="J2" i="1" a="1"/>
  <c r="J2" i="1" s="1"/>
  <c r="D2" i="8"/>
  <c r="G2" i="8" s="1"/>
  <c r="E2" i="8"/>
  <c r="H2" i="8" s="1"/>
  <c r="N385" i="12" l="1"/>
  <c r="N394" i="12"/>
  <c r="N350" i="12"/>
  <c r="N397" i="12"/>
  <c r="N252" i="12"/>
  <c r="N204" i="12"/>
  <c r="N359" i="12"/>
  <c r="N325" i="12"/>
  <c r="N233" i="12"/>
  <c r="N227" i="12"/>
  <c r="N238" i="12"/>
  <c r="N370" i="12"/>
  <c r="N271" i="12"/>
  <c r="N139" i="12"/>
  <c r="N369" i="12"/>
  <c r="N360" i="12"/>
  <c r="N257" i="12"/>
  <c r="N176" i="12"/>
  <c r="N115" i="12"/>
  <c r="N235" i="12"/>
  <c r="N254" i="12"/>
  <c r="N130" i="12"/>
  <c r="N193" i="12"/>
  <c r="N137" i="12"/>
  <c r="N307" i="12"/>
  <c r="N386" i="12"/>
  <c r="N219" i="12"/>
  <c r="N167" i="12"/>
  <c r="N357" i="12"/>
  <c r="N114" i="12"/>
  <c r="N266" i="12"/>
  <c r="N203" i="12"/>
  <c r="N415" i="12"/>
  <c r="J46" i="1" a="1"/>
  <c r="J46" i="1" s="1"/>
  <c r="J178" i="1" a="1"/>
  <c r="J178" i="1" s="1"/>
  <c r="J105" i="1" a="1"/>
  <c r="J105" i="1" s="1"/>
  <c r="J64" i="1" a="1"/>
  <c r="J64" i="1" s="1"/>
  <c r="J109" i="1" a="1"/>
  <c r="J109" i="1" s="1"/>
  <c r="J98" i="1" a="1"/>
  <c r="J98" i="1" s="1"/>
  <c r="J122" i="1" a="1"/>
  <c r="J122" i="1" s="1"/>
  <c r="J89" i="1" a="1"/>
  <c r="J89" i="1" s="1"/>
  <c r="J121" i="1" a="1"/>
  <c r="J121" i="1" s="1"/>
  <c r="J91" i="1" a="1"/>
  <c r="J91" i="1" s="1"/>
  <c r="J124" i="1" a="1"/>
  <c r="J124" i="1" s="1"/>
  <c r="J134" i="1" a="1"/>
  <c r="J134" i="1" s="1"/>
  <c r="J154" i="1" a="1"/>
  <c r="J154" i="1" s="1"/>
  <c r="J153" i="1" a="1"/>
  <c r="J153" i="1" s="1"/>
  <c r="J68" i="1" a="1"/>
  <c r="J68" i="1" s="1"/>
  <c r="J14" i="1" a="1"/>
  <c r="J14" i="1" s="1"/>
  <c r="J28" i="1" a="1"/>
  <c r="J28" i="1" s="1"/>
  <c r="J61" i="1" a="1"/>
  <c r="J61" i="1" s="1"/>
  <c r="J169" i="1" a="1"/>
  <c r="J169" i="1" s="1"/>
  <c r="J56" i="1" a="1"/>
  <c r="J56" i="1" s="1"/>
  <c r="J39" i="1" a="1"/>
  <c r="J39" i="1" s="1"/>
  <c r="J80" i="1" a="1"/>
  <c r="J80" i="1" s="1"/>
  <c r="J86" i="1" a="1"/>
  <c r="J86" i="1" s="1"/>
  <c r="J16" i="1" a="1"/>
  <c r="J16" i="1" s="1"/>
  <c r="J166" i="1" a="1"/>
  <c r="J166" i="1" s="1"/>
  <c r="J12" i="1" a="1"/>
  <c r="J12" i="1" s="1"/>
  <c r="J93" i="1" a="1"/>
  <c r="J93" i="1" s="1"/>
  <c r="J73" i="1" a="1"/>
  <c r="J73" i="1" s="1"/>
  <c r="J104" i="1" a="1"/>
  <c r="J104" i="1" s="1"/>
  <c r="J13" i="1" a="1"/>
  <c r="J13" i="1" s="1"/>
  <c r="J115" i="1" a="1"/>
  <c r="J115" i="1" s="1"/>
  <c r="J50" i="1" a="1"/>
  <c r="J50" i="1" s="1"/>
  <c r="J125" i="1" a="1"/>
  <c r="J125" i="1" s="1"/>
  <c r="J76" i="1" a="1"/>
  <c r="J76" i="1" s="1"/>
  <c r="J71" i="1" a="1"/>
  <c r="J71" i="1" s="1"/>
  <c r="J163" i="1" a="1"/>
  <c r="J163" i="1" s="1"/>
  <c r="J63" i="1" a="1"/>
  <c r="J63" i="1" s="1"/>
  <c r="J90" i="1" a="1"/>
  <c r="J90" i="1" s="1"/>
  <c r="J65" i="1" a="1"/>
  <c r="J65" i="1" s="1"/>
  <c r="J95" i="1" a="1"/>
  <c r="J95" i="1" s="1"/>
  <c r="J42" i="1" a="1"/>
  <c r="J42" i="1" s="1"/>
  <c r="J100" i="1" a="1"/>
  <c r="J100" i="1" s="1"/>
  <c r="J9" i="1" a="1"/>
  <c r="J9" i="1" s="1"/>
  <c r="J52" i="1" a="1"/>
  <c r="J52" i="1" s="1"/>
  <c r="J99" i="1" a="1"/>
  <c r="J99" i="1" s="1"/>
  <c r="C34" i="13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J8" i="1" a="1"/>
  <c r="J8" i="1" s="1"/>
  <c r="J23" i="1" a="1"/>
  <c r="J23" i="1" s="1"/>
  <c r="J25" i="1" a="1"/>
  <c r="J25" i="1" s="1"/>
  <c r="J24" i="1" a="1"/>
  <c r="J24" i="1" s="1"/>
  <c r="J44" i="1" a="1"/>
  <c r="J44" i="1" s="1"/>
  <c r="J19" i="1" a="1"/>
  <c r="J19" i="1" s="1"/>
  <c r="J51" i="1" a="1"/>
  <c r="J51" i="1" s="1"/>
  <c r="J20" i="1" a="1"/>
  <c r="J20" i="1" s="1"/>
  <c r="J54" i="1" a="1"/>
  <c r="J54" i="1" s="1"/>
  <c r="J26" i="1" a="1"/>
  <c r="J26" i="1" s="1"/>
  <c r="J58" i="1" a="1"/>
  <c r="J58" i="1" s="1"/>
  <c r="J15" i="1" a="1"/>
  <c r="J15" i="1" s="1"/>
  <c r="J5" i="1" a="1"/>
  <c r="J5" i="1" s="1"/>
  <c r="J66" i="1" a="1"/>
  <c r="J66" i="1" s="1"/>
  <c r="J17" i="1" a="1"/>
  <c r="J17" i="1" s="1"/>
  <c r="J67" i="1" a="1"/>
  <c r="J67" i="1" s="1"/>
  <c r="J18" i="1" a="1"/>
  <c r="J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J72" i="1" a="1"/>
  <c r="J72" i="1" s="1"/>
  <c r="J34" i="1" a="1"/>
  <c r="J34" i="1" s="1"/>
  <c r="J78" i="1" a="1"/>
  <c r="J78" i="1" s="1"/>
  <c r="J29" i="1" a="1"/>
  <c r="J29" i="1" s="1"/>
  <c r="J81" i="1" a="1"/>
  <c r="J81" i="1" s="1"/>
  <c r="J31" i="1" a="1"/>
  <c r="J31" i="1" s="1"/>
  <c r="J60" i="1" a="1"/>
  <c r="J60" i="1" s="1"/>
  <c r="J35" i="1" a="1"/>
  <c r="J35" i="1" s="1"/>
  <c r="J70" i="1" a="1"/>
  <c r="J70" i="1" s="1"/>
  <c r="J32" i="1" a="1"/>
  <c r="J32" i="1" s="1"/>
  <c r="J43" i="1" a="1"/>
  <c r="J43" i="1" s="1"/>
  <c r="J30" i="1" a="1"/>
  <c r="J30" i="1" s="1"/>
  <c r="J62" i="1" a="1"/>
  <c r="J62" i="1" s="1"/>
  <c r="J36" i="1" a="1"/>
  <c r="J36" i="1" s="1"/>
  <c r="I2" i="8"/>
  <c r="J2" i="4" s="1"/>
  <c r="J7" i="1" l="1" a="1"/>
  <c r="J7" i="1" s="1"/>
  <c r="J123" i="1" a="1"/>
  <c r="J123" i="1" s="1"/>
  <c r="J33" i="1" a="1"/>
  <c r="J33" i="1" s="1"/>
  <c r="J22" i="1" a="1"/>
  <c r="J22" i="1" s="1"/>
  <c r="D2" i="13"/>
  <c r="C2" i="13"/>
  <c r="E2" i="13"/>
  <c r="B2" i="13"/>
  <c r="J4" i="1" a="1"/>
  <c r="J4" i="1" s="1"/>
  <c r="J57" i="1" a="1"/>
  <c r="J57" i="1" s="1"/>
  <c r="F28" i="13" l="1"/>
  <c r="F4" i="13"/>
  <c r="F34" i="13" l="1"/>
  <c r="F6" i="13"/>
  <c r="F5" i="13"/>
  <c r="F8" i="13"/>
  <c r="F7" i="13"/>
  <c r="H433" i="12"/>
  <c r="K64" i="12"/>
  <c r="K60" i="12"/>
  <c r="J49" i="12"/>
  <c r="K61" i="12"/>
  <c r="J64" i="12"/>
  <c r="H45" i="12"/>
  <c r="H33" i="12"/>
  <c r="K13" i="12"/>
  <c r="H60" i="12"/>
  <c r="K17" i="12"/>
  <c r="H82" i="12"/>
  <c r="J51" i="12"/>
  <c r="J434" i="12"/>
  <c r="J438" i="12"/>
  <c r="J428" i="12"/>
  <c r="K40" i="12"/>
  <c r="H432" i="12"/>
  <c r="H428" i="12"/>
  <c r="H426" i="12"/>
  <c r="J36" i="12"/>
  <c r="H31" i="12"/>
  <c r="H39" i="12"/>
  <c r="H431" i="12"/>
  <c r="J8" i="12"/>
  <c r="K39" i="12"/>
  <c r="H16" i="12"/>
  <c r="J42" i="12"/>
  <c r="J57" i="12"/>
  <c r="K55" i="12"/>
  <c r="H88" i="12"/>
  <c r="H29" i="12"/>
  <c r="K54" i="12"/>
  <c r="H85" i="12"/>
  <c r="J63" i="12"/>
  <c r="H12" i="12"/>
  <c r="H71" i="12"/>
  <c r="J55" i="12"/>
  <c r="K31" i="12"/>
  <c r="J33" i="12"/>
  <c r="H93" i="12"/>
  <c r="J52" i="12"/>
  <c r="J444" i="12"/>
  <c r="H97" i="12"/>
  <c r="K82" i="12"/>
  <c r="J25" i="12"/>
  <c r="H57" i="12"/>
  <c r="J5" i="12"/>
  <c r="H52" i="12"/>
  <c r="K48" i="12"/>
  <c r="J424" i="12"/>
  <c r="J23" i="12"/>
  <c r="J82" i="12"/>
  <c r="K18" i="12"/>
  <c r="H18" i="12"/>
  <c r="K72" i="12"/>
  <c r="J46" i="12"/>
  <c r="K45" i="12"/>
  <c r="K81" i="12"/>
  <c r="H47" i="12"/>
  <c r="K73" i="12"/>
  <c r="J66" i="12"/>
  <c r="K14" i="12"/>
  <c r="H75" i="12"/>
  <c r="K35" i="12"/>
  <c r="J21" i="12"/>
  <c r="H8" i="12"/>
  <c r="J61" i="12"/>
  <c r="H89" i="12"/>
  <c r="H40" i="12"/>
  <c r="K32" i="12"/>
  <c r="H86" i="12"/>
  <c r="J96" i="12"/>
  <c r="H35" i="12"/>
  <c r="H67" i="12"/>
  <c r="K2" i="12"/>
  <c r="H90" i="12"/>
  <c r="K28" i="12"/>
  <c r="K77" i="12"/>
  <c r="J92" i="12"/>
  <c r="K24" i="12"/>
  <c r="K21" i="12"/>
  <c r="J65" i="12"/>
  <c r="J2" i="12"/>
  <c r="K57" i="12"/>
  <c r="J48" i="12"/>
  <c r="J79" i="12"/>
  <c r="K42" i="12"/>
  <c r="K4" i="12"/>
  <c r="J62" i="12"/>
  <c r="J13" i="12"/>
  <c r="H59" i="12"/>
  <c r="H66" i="12"/>
  <c r="H56" i="12"/>
  <c r="K68" i="12"/>
  <c r="J56" i="12"/>
  <c r="J15" i="12"/>
  <c r="J35" i="12"/>
  <c r="J9" i="12"/>
  <c r="J17" i="12"/>
  <c r="J40" i="12"/>
  <c r="K78" i="12"/>
  <c r="H72" i="12"/>
  <c r="K25" i="12"/>
  <c r="J39" i="12"/>
  <c r="J44" i="12"/>
  <c r="J89" i="12"/>
  <c r="H54" i="12"/>
  <c r="J41" i="12"/>
  <c r="J441" i="12"/>
  <c r="J37" i="12"/>
  <c r="H55" i="12"/>
  <c r="J97" i="12"/>
  <c r="H19" i="12"/>
  <c r="J30" i="12"/>
  <c r="K56" i="12"/>
  <c r="J445" i="12"/>
  <c r="J4" i="12"/>
  <c r="K30" i="12"/>
  <c r="H65" i="12"/>
  <c r="H84" i="12"/>
  <c r="H95" i="12"/>
  <c r="J440" i="12"/>
  <c r="J86" i="12"/>
  <c r="K41" i="12"/>
  <c r="J431" i="12"/>
  <c r="H69" i="12"/>
  <c r="K75" i="12"/>
  <c r="J3" i="12"/>
  <c r="K74" i="12"/>
  <c r="J67" i="12"/>
  <c r="J430" i="12"/>
  <c r="J426" i="12"/>
  <c r="H25" i="12"/>
  <c r="H48" i="12"/>
  <c r="K58" i="12"/>
  <c r="H73" i="12"/>
  <c r="H64" i="12"/>
  <c r="J38" i="12"/>
  <c r="J6" i="12"/>
  <c r="K19" i="12"/>
  <c r="H20" i="12"/>
  <c r="H10" i="12"/>
  <c r="K51" i="12"/>
  <c r="K12" i="12"/>
  <c r="H28" i="12"/>
  <c r="J80" i="12"/>
  <c r="I428" i="12" l="1" a="1"/>
  <c r="I428" i="12" s="1"/>
  <c r="I426" i="12" a="1"/>
  <c r="I426" i="12" s="1"/>
  <c r="H21" i="12"/>
  <c r="J73" i="12"/>
  <c r="K16" i="12"/>
  <c r="H424" i="12"/>
  <c r="K70" i="12"/>
  <c r="J50" i="12"/>
  <c r="J43" i="12"/>
  <c r="K49" i="12"/>
  <c r="J22" i="12"/>
  <c r="J10" i="12"/>
  <c r="J24" i="12"/>
  <c r="J20" i="12"/>
  <c r="J425" i="12"/>
  <c r="J54" i="12"/>
  <c r="K5" i="12"/>
  <c r="J94" i="12"/>
  <c r="H68" i="12"/>
  <c r="H83" i="12"/>
  <c r="J429" i="12"/>
  <c r="H3" i="12"/>
  <c r="H15" i="12"/>
  <c r="K37" i="12"/>
  <c r="K22" i="12"/>
  <c r="J47" i="12"/>
  <c r="K80" i="12"/>
  <c r="H61" i="12"/>
  <c r="H429" i="12"/>
  <c r="J437" i="12"/>
  <c r="J74" i="12"/>
  <c r="H79" i="12"/>
  <c r="H6" i="12"/>
  <c r="H434" i="12"/>
  <c r="J26" i="12"/>
  <c r="H58" i="12"/>
  <c r="K8" i="12"/>
  <c r="J432" i="12"/>
  <c r="K62" i="12"/>
  <c r="J69" i="12"/>
  <c r="J85" i="12"/>
  <c r="J87" i="12"/>
  <c r="K52" i="12"/>
  <c r="K50" i="12"/>
  <c r="H27" i="12"/>
  <c r="H23" i="12"/>
  <c r="K46" i="12"/>
  <c r="J16" i="12"/>
  <c r="K43" i="12"/>
  <c r="K36" i="12"/>
  <c r="H427" i="12"/>
  <c r="J72" i="12"/>
  <c r="J14" i="12"/>
  <c r="K27" i="12"/>
  <c r="K6" i="12"/>
  <c r="H62" i="12"/>
  <c r="K26" i="12"/>
  <c r="J439" i="12"/>
  <c r="H70" i="12"/>
  <c r="J91" i="12"/>
  <c r="H436" i="12"/>
  <c r="J84" i="12"/>
  <c r="H53" i="12"/>
  <c r="J90" i="12"/>
  <c r="J11" i="12"/>
  <c r="K53" i="12"/>
  <c r="H96" i="12"/>
  <c r="K59" i="12"/>
  <c r="H5" i="12"/>
  <c r="K20" i="12"/>
  <c r="J75" i="12"/>
  <c r="H32" i="12"/>
  <c r="H24" i="12"/>
  <c r="J12" i="12"/>
  <c r="J34" i="12"/>
  <c r="J436" i="12"/>
  <c r="H42" i="12"/>
  <c r="K44" i="12"/>
  <c r="J77" i="12"/>
  <c r="H9" i="12"/>
  <c r="H30" i="12"/>
  <c r="H2" i="12"/>
  <c r="H22" i="12"/>
  <c r="H94" i="12"/>
  <c r="H44" i="12"/>
  <c r="K7" i="12"/>
  <c r="H13" i="12"/>
  <c r="H63" i="12"/>
  <c r="H435" i="12"/>
  <c r="K67" i="12"/>
  <c r="K3" i="12"/>
  <c r="J71" i="12"/>
  <c r="H4" i="12"/>
  <c r="H74" i="12"/>
  <c r="J98" i="12"/>
  <c r="J83" i="12"/>
  <c r="H77" i="12"/>
  <c r="K65" i="12"/>
  <c r="J32" i="12"/>
  <c r="K79" i="12"/>
  <c r="H430" i="12"/>
  <c r="H91" i="12"/>
  <c r="J446" i="12"/>
  <c r="K47" i="12"/>
  <c r="K15" i="12"/>
  <c r="K34" i="12"/>
  <c r="J27" i="12"/>
  <c r="K29" i="12"/>
  <c r="H43" i="12"/>
  <c r="H50" i="12"/>
  <c r="K63" i="12"/>
  <c r="K38" i="12"/>
  <c r="H49" i="12"/>
  <c r="J76" i="12"/>
  <c r="J53" i="12"/>
  <c r="H26" i="12"/>
  <c r="J88" i="12"/>
  <c r="J442" i="12"/>
  <c r="H34" i="12"/>
  <c r="K76" i="12"/>
  <c r="H37" i="12"/>
  <c r="H76" i="12"/>
  <c r="J93" i="12"/>
  <c r="H78" i="12"/>
  <c r="K71" i="12"/>
  <c r="J81" i="12"/>
  <c r="K69" i="12"/>
  <c r="J60" i="12"/>
  <c r="H425" i="12"/>
  <c r="H46" i="12"/>
  <c r="J95" i="12"/>
  <c r="J19" i="12"/>
  <c r="J18" i="12"/>
  <c r="H14" i="12"/>
  <c r="H41" i="12"/>
  <c r="J7" i="12"/>
  <c r="K23" i="12"/>
  <c r="J59" i="12"/>
  <c r="J45" i="12"/>
  <c r="K10" i="12"/>
  <c r="H92" i="12"/>
  <c r="H98" i="12"/>
  <c r="H17" i="12"/>
  <c r="J70" i="12"/>
  <c r="H87" i="12"/>
  <c r="J29" i="12"/>
  <c r="J58" i="12"/>
  <c r="J433" i="12"/>
  <c r="J68" i="12"/>
  <c r="H81" i="12"/>
  <c r="K11" i="12"/>
  <c r="J31" i="12"/>
  <c r="J435" i="12"/>
  <c r="K9" i="12"/>
  <c r="J427" i="12"/>
  <c r="H51" i="12"/>
  <c r="J78" i="12"/>
  <c r="H7" i="12"/>
  <c r="K66" i="12"/>
  <c r="K33" i="12"/>
  <c r="J28" i="12"/>
  <c r="I424" i="12" l="1" a="1"/>
  <c r="I424" i="12" s="1"/>
  <c r="I430" i="12" a="1"/>
  <c r="I430" i="12" s="1"/>
  <c r="I429" i="12" a="1"/>
  <c r="I429" i="12" s="1"/>
  <c r="I425" i="12" a="1"/>
  <c r="I425" i="12" s="1"/>
  <c r="I427" i="12" a="1"/>
  <c r="I427" i="12" s="1"/>
  <c r="H38" i="12"/>
  <c r="J443" i="12"/>
  <c r="H11" i="12"/>
  <c r="H80" i="12"/>
  <c r="H36" i="12"/>
  <c r="I38" i="12" l="1" a="1"/>
  <c r="I38" i="12" s="1"/>
  <c r="I36" i="12" a="1"/>
  <c r="I36" i="12" s="1"/>
  <c r="I80" i="12" a="1"/>
  <c r="I80" i="12" s="1"/>
  <c r="I11" i="12" a="1"/>
  <c r="I11" i="12" s="1"/>
  <c r="M22" i="12" a="1"/>
  <c r="M22" i="12" s="1"/>
  <c r="M66" i="12" a="1"/>
  <c r="M66" i="12" s="1"/>
  <c r="M27" i="12" a="1"/>
  <c r="M27" i="12" s="1"/>
  <c r="I14" i="12" a="1"/>
  <c r="I14" i="12" s="1"/>
  <c r="I51" i="12" a="1"/>
  <c r="I51" i="12" s="1"/>
  <c r="L12" i="12" a="1"/>
  <c r="L12" i="12" s="1"/>
  <c r="M62" i="12" a="1"/>
  <c r="M62" i="12" s="1"/>
  <c r="M70" i="12" a="1"/>
  <c r="M70" i="12" s="1"/>
  <c r="M89" i="12" a="1"/>
  <c r="M89" i="12" s="1"/>
  <c r="L19" i="12" a="1"/>
  <c r="L19" i="12" s="1"/>
  <c r="L59" i="12" a="1"/>
  <c r="L59" i="12" s="1"/>
  <c r="L71" i="12" a="1"/>
  <c r="L71" i="12" s="1"/>
  <c r="I17" i="12" a="1"/>
  <c r="I17" i="12" s="1"/>
  <c r="I9" i="12" a="1"/>
  <c r="I9" i="12" s="1"/>
  <c r="I21" i="12" a="1"/>
  <c r="I21" i="12" s="1"/>
  <c r="M76" i="12" a="1"/>
  <c r="M76" i="12" s="1"/>
  <c r="I46" i="12" a="1"/>
  <c r="I46" i="12" s="1"/>
  <c r="M91" i="12" a="1"/>
  <c r="M91" i="12" s="1"/>
  <c r="I91" i="12" a="1"/>
  <c r="I91" i="12" s="1"/>
  <c r="I37" i="12" a="1"/>
  <c r="I37" i="12" s="1"/>
  <c r="L74" i="12" a="1"/>
  <c r="L74" i="12" s="1"/>
  <c r="L87" i="12" a="1"/>
  <c r="L87" i="12" s="1"/>
  <c r="I98" i="12" a="1"/>
  <c r="I98" i="12" s="1"/>
  <c r="I81" i="12" a="1"/>
  <c r="I81" i="12" s="1"/>
  <c r="M26" i="12" a="1"/>
  <c r="M26" i="12" s="1"/>
  <c r="L53" i="12" a="1"/>
  <c r="L53" i="12" s="1"/>
  <c r="I83" i="12" a="1"/>
  <c r="I83" i="12" s="1"/>
  <c r="L14" i="12" a="1"/>
  <c r="L14" i="12" s="1"/>
  <c r="L93" i="12" a="1"/>
  <c r="L93" i="12" s="1"/>
  <c r="I26" i="12" a="1"/>
  <c r="I26" i="12" s="1"/>
  <c r="M8" i="12" a="1"/>
  <c r="M8" i="12" s="1"/>
  <c r="I43" i="12" a="1"/>
  <c r="I43" i="12" s="1"/>
  <c r="I79" i="12" a="1"/>
  <c r="I79" i="12" s="1"/>
  <c r="M5" i="12" a="1"/>
  <c r="M5" i="12" s="1"/>
  <c r="L43" i="12" a="1"/>
  <c r="L43" i="12" s="1"/>
  <c r="I96" i="12" a="1"/>
  <c r="I96" i="12" s="1"/>
  <c r="I42" i="12" a="1"/>
  <c r="I42" i="12" s="1"/>
  <c r="I70" i="12" a="1"/>
  <c r="I70" i="12" s="1"/>
  <c r="I5" i="12" a="1"/>
  <c r="I5" i="12" s="1"/>
  <c r="L76" i="12" a="1"/>
  <c r="L76" i="12" s="1"/>
  <c r="M85" i="12" a="1"/>
  <c r="M85" i="12" s="1"/>
  <c r="I74" i="12" a="1"/>
  <c r="I74" i="12" s="1"/>
  <c r="L45" i="12" a="1"/>
  <c r="L45" i="12" s="1"/>
  <c r="I53" i="12" a="1"/>
  <c r="I53" i="12" s="1"/>
  <c r="L91" i="12" a="1"/>
  <c r="L91" i="12" s="1"/>
  <c r="I6" i="12" a="1"/>
  <c r="I6" i="12" s="1"/>
  <c r="I62" i="12" a="1"/>
  <c r="I62" i="12" s="1"/>
  <c r="I13" i="12" a="1"/>
  <c r="I13" i="12" s="1"/>
  <c r="I4" i="12" a="1"/>
  <c r="I4" i="12" s="1"/>
  <c r="L90" i="12" a="1"/>
  <c r="L90" i="12" s="1"/>
  <c r="L83" i="12" a="1"/>
  <c r="L83" i="12" s="1"/>
  <c r="M69" i="12" a="1"/>
  <c r="M69" i="12" s="1"/>
  <c r="M79" i="12" a="1"/>
  <c r="M79" i="12" s="1"/>
  <c r="L72" i="12" a="1"/>
  <c r="L72" i="12" s="1"/>
  <c r="L73" i="12" a="1"/>
  <c r="L73" i="12" s="1"/>
  <c r="I87" i="12" a="1"/>
  <c r="I87" i="12" s="1"/>
  <c r="L18" i="12" a="1"/>
  <c r="L18" i="12" s="1"/>
  <c r="I22" i="12" a="1"/>
  <c r="I22" i="12" s="1"/>
  <c r="M86" i="12" a="1"/>
  <c r="M86" i="12" s="1"/>
  <c r="I27" i="12" a="1"/>
  <c r="I27" i="12" s="1"/>
  <c r="L94" i="12" a="1"/>
  <c r="L94" i="12" s="1"/>
  <c r="M6" i="12" a="1"/>
  <c r="M6" i="12" s="1"/>
  <c r="L32" i="12" a="1"/>
  <c r="L32" i="12" s="1"/>
  <c r="M87" i="12" a="1"/>
  <c r="M87" i="12" s="1"/>
  <c r="M29" i="12" a="1"/>
  <c r="M29" i="12" s="1"/>
  <c r="M15" i="12" a="1"/>
  <c r="M15" i="12" s="1"/>
  <c r="I78" i="12" a="1"/>
  <c r="I78" i="12" s="1"/>
  <c r="M33" i="12" a="1"/>
  <c r="M33" i="12" s="1"/>
  <c r="L54" i="12" a="1"/>
  <c r="L54" i="12" s="1"/>
  <c r="M88" i="12" a="1"/>
  <c r="M88" i="12" s="1"/>
  <c r="I7" i="12" a="1"/>
  <c r="I7" i="12" s="1"/>
  <c r="M67" i="12" a="1"/>
  <c r="M67" i="12" s="1"/>
  <c r="M49" i="12" a="1"/>
  <c r="M49" i="12" s="1"/>
  <c r="M99" i="12" a="1"/>
  <c r="M99" i="12" s="1"/>
  <c r="I30" i="12" a="1"/>
  <c r="I30" i="12" s="1"/>
  <c r="I3" i="12" a="1"/>
  <c r="I3" i="12" s="1"/>
  <c r="L31" i="12" a="1"/>
  <c r="L31" i="12" s="1"/>
  <c r="I24" i="12" a="1"/>
  <c r="I24" i="12" s="1"/>
  <c r="M9" i="12" a="1"/>
  <c r="M9" i="12" s="1"/>
  <c r="M16" i="12" a="1"/>
  <c r="M16" i="12" s="1"/>
  <c r="M53" i="12" a="1"/>
  <c r="M53" i="12" s="1"/>
  <c r="L85" i="12" a="1"/>
  <c r="L85" i="12" s="1"/>
  <c r="I50" i="12" a="1"/>
  <c r="I50" i="12" s="1"/>
  <c r="L78" i="12" a="1"/>
  <c r="L78" i="12" s="1"/>
  <c r="I92" i="12" a="1"/>
  <c r="I92" i="12" s="1"/>
  <c r="I41" i="12" a="1"/>
  <c r="I41" i="12" s="1"/>
  <c r="M63" i="12" a="1"/>
  <c r="M63" i="12" s="1"/>
  <c r="M37" i="12" a="1"/>
  <c r="M37" i="12" s="1"/>
  <c r="I68" i="12" a="1"/>
  <c r="I68" i="12" s="1"/>
  <c r="L84" i="12" a="1"/>
  <c r="L84" i="12" s="1"/>
  <c r="M10" i="12" a="1"/>
  <c r="M10" i="12" s="1"/>
  <c r="L81" i="12" a="1"/>
  <c r="L81" i="12" s="1"/>
  <c r="L50" i="12" a="1"/>
  <c r="L50" i="12" s="1"/>
  <c r="L60" i="12" a="1"/>
  <c r="L60" i="12" s="1"/>
  <c r="M7" i="12" a="1"/>
  <c r="M7" i="12" s="1"/>
  <c r="L95" i="12" a="1"/>
  <c r="L95" i="12" s="1"/>
  <c r="I49" i="12" a="1"/>
  <c r="I49" i="12" s="1"/>
  <c r="L70" i="12" a="1"/>
  <c r="L70" i="12" s="1"/>
  <c r="I77" i="12" a="1"/>
  <c r="I77" i="12" s="1"/>
  <c r="L10" i="12" a="1"/>
  <c r="L10" i="12" s="1"/>
  <c r="L58" i="12" a="1"/>
  <c r="L58" i="12" s="1"/>
  <c r="I63" i="12" a="1"/>
  <c r="I63" i="12" s="1"/>
  <c r="I32" i="12" a="1"/>
  <c r="I32" i="12" s="1"/>
  <c r="L22" i="12" a="1"/>
  <c r="L22" i="12" s="1"/>
  <c r="I61" i="12" a="1"/>
  <c r="I61" i="12" s="1"/>
  <c r="I34" i="12" a="1"/>
  <c r="I34" i="12" s="1"/>
  <c r="M59" i="12" a="1"/>
  <c r="M59" i="12" s="1"/>
  <c r="M3" i="12" a="1"/>
  <c r="M3" i="12" s="1"/>
  <c r="L20" i="12" a="1"/>
  <c r="L20" i="12" s="1"/>
  <c r="M98" i="12" a="1"/>
  <c r="M98" i="12" s="1"/>
  <c r="L7" i="12" a="1"/>
  <c r="L7" i="12" s="1"/>
  <c r="L98" i="12" a="1"/>
  <c r="L98" i="12" s="1"/>
  <c r="I15" i="12" a="1"/>
  <c r="I15" i="12" s="1"/>
  <c r="L11" i="12" a="1"/>
  <c r="L11" i="12" s="1"/>
  <c r="M47" i="12" a="1"/>
  <c r="M47" i="12" s="1"/>
  <c r="L77" i="12" a="1"/>
  <c r="L77" i="12" s="1"/>
  <c r="L88" i="12" a="1"/>
  <c r="L88" i="12" s="1"/>
  <c r="M44" i="12" a="1"/>
  <c r="M44" i="12" s="1"/>
  <c r="M71" i="12" a="1"/>
  <c r="M71" i="12" s="1"/>
  <c r="N71" i="12" s="1"/>
  <c r="L68" i="12" a="1"/>
  <c r="L68" i="12" s="1"/>
  <c r="M50" i="12" a="1"/>
  <c r="M50" i="12" s="1"/>
  <c r="L29" i="12" a="1"/>
  <c r="L29" i="12" s="1"/>
  <c r="M34" i="12" a="1"/>
  <c r="M34" i="12" s="1"/>
  <c r="L69" i="12" a="1"/>
  <c r="L69" i="12" s="1"/>
  <c r="L24" i="12" a="1"/>
  <c r="L24" i="12" s="1"/>
  <c r="M23" i="12" a="1"/>
  <c r="M23" i="12" s="1"/>
  <c r="M80" i="12" a="1"/>
  <c r="M80" i="12" s="1"/>
  <c r="I94" i="12" a="1"/>
  <c r="I94" i="12" s="1"/>
  <c r="M43" i="12" a="1"/>
  <c r="M43" i="12" s="1"/>
  <c r="L16" i="12" a="1"/>
  <c r="L16" i="12" s="1"/>
  <c r="I2" i="12" a="1"/>
  <c r="I2" i="12" s="1"/>
  <c r="T7" i="6" s="1"/>
  <c r="M36" i="12" a="1"/>
  <c r="M36" i="12" s="1"/>
  <c r="M11" i="12" a="1"/>
  <c r="M11" i="12" s="1"/>
  <c r="L26" i="12" a="1"/>
  <c r="L26" i="12" s="1"/>
  <c r="I23" i="12" a="1"/>
  <c r="I23" i="12" s="1"/>
  <c r="M52" i="12" a="1"/>
  <c r="M52" i="12" s="1"/>
  <c r="L75" i="12" a="1"/>
  <c r="L75" i="12" s="1"/>
  <c r="M90" i="12" a="1"/>
  <c r="M90" i="12" s="1"/>
  <c r="L47" i="12" a="1"/>
  <c r="L47" i="12" s="1"/>
  <c r="I76" i="12" a="1"/>
  <c r="I76" i="12" s="1"/>
  <c r="L34" i="12" a="1"/>
  <c r="L34" i="12" s="1"/>
  <c r="M20" i="12" a="1"/>
  <c r="M20" i="12" s="1"/>
  <c r="L27" i="12" a="1"/>
  <c r="L27" i="12" s="1"/>
  <c r="N27" i="12" s="1"/>
  <c r="L28" i="12" a="1"/>
  <c r="L28" i="12" s="1"/>
  <c r="I58" i="12" a="1"/>
  <c r="I58" i="12" s="1"/>
  <c r="M46" i="12" a="1"/>
  <c r="M46" i="12" s="1"/>
  <c r="I44" i="12" a="1"/>
  <c r="I44" i="12" s="1"/>
  <c r="M38" i="12" a="1"/>
  <c r="M38" i="12" s="1"/>
  <c r="M65" i="12" a="1"/>
  <c r="M65" i="12" s="1"/>
  <c r="L99" i="12" a="1"/>
  <c r="L99" i="12" s="1"/>
  <c r="M72" i="12" a="1"/>
  <c r="M72" i="12" s="1"/>
  <c r="L3" i="12" a="1"/>
  <c r="L3" i="12" s="1"/>
  <c r="M93" i="12" a="1"/>
  <c r="M93" i="12" s="1"/>
  <c r="I12" i="12" a="1"/>
  <c r="I12" i="12" s="1"/>
  <c r="M83" i="12" a="1"/>
  <c r="M83" i="12" s="1"/>
  <c r="N83" i="12" s="1"/>
  <c r="M28" i="12" a="1"/>
  <c r="M28" i="12" s="1"/>
  <c r="L51" i="12" a="1"/>
  <c r="L51" i="12" s="1"/>
  <c r="L40" i="12" a="1"/>
  <c r="L40" i="12" s="1"/>
  <c r="I31" i="12" a="1"/>
  <c r="I31" i="12" s="1"/>
  <c r="I28" i="12" a="1"/>
  <c r="I28" i="12" s="1"/>
  <c r="L33" i="12" a="1"/>
  <c r="L33" i="12" s="1"/>
  <c r="L61" i="12" a="1"/>
  <c r="L61" i="12" s="1"/>
  <c r="I10" i="12" a="1"/>
  <c r="I10" i="12" s="1"/>
  <c r="L35" i="12" a="1"/>
  <c r="L35" i="12" s="1"/>
  <c r="I64" i="12" a="1"/>
  <c r="I64" i="12" s="1"/>
  <c r="M95" i="12" a="1"/>
  <c r="M95" i="12" s="1"/>
  <c r="M12" i="12" a="1"/>
  <c r="M12" i="12" s="1"/>
  <c r="L96" i="12" a="1"/>
  <c r="L96" i="12" s="1"/>
  <c r="M60" i="12" a="1"/>
  <c r="M60" i="12" s="1"/>
  <c r="L48" i="12" a="1"/>
  <c r="L48" i="12" s="1"/>
  <c r="M18" i="12" a="1"/>
  <c r="M18" i="12" s="1"/>
  <c r="I88" i="12" a="1"/>
  <c r="I88" i="12" s="1"/>
  <c r="L62" i="12" a="1"/>
  <c r="L62" i="12" s="1"/>
  <c r="N62" i="12" s="1"/>
  <c r="I56" i="12" a="1"/>
  <c r="I56" i="12" s="1"/>
  <c r="L79" i="12" a="1"/>
  <c r="L79" i="12" s="1"/>
  <c r="I25" i="12" a="1"/>
  <c r="I25" i="12" s="1"/>
  <c r="M64" i="12" a="1"/>
  <c r="M64" i="12" s="1"/>
  <c r="L49" i="12" a="1"/>
  <c r="L49" i="12" s="1"/>
  <c r="M4" i="12" a="1"/>
  <c r="M4" i="12" s="1"/>
  <c r="M30" i="12" a="1"/>
  <c r="M30" i="12" s="1"/>
  <c r="I40" i="12" a="1"/>
  <c r="I40" i="12" s="1"/>
  <c r="L65" i="12" a="1"/>
  <c r="L65" i="12" s="1"/>
  <c r="M82" i="12" a="1"/>
  <c r="M82" i="12" s="1"/>
  <c r="L97" i="12" a="1"/>
  <c r="L97" i="12" s="1"/>
  <c r="I93" i="12" a="1"/>
  <c r="I93" i="12" s="1"/>
  <c r="L55" i="12" a="1"/>
  <c r="L55" i="12" s="1"/>
  <c r="L80" i="12" a="1"/>
  <c r="L80" i="12" s="1"/>
  <c r="M96" i="12" a="1"/>
  <c r="M96" i="12" s="1"/>
  <c r="L6" i="12" a="1"/>
  <c r="L6" i="12" s="1"/>
  <c r="L66" i="12" a="1"/>
  <c r="L66" i="12" s="1"/>
  <c r="M97" i="12" a="1"/>
  <c r="M97" i="12" s="1"/>
  <c r="I39" i="12" a="1"/>
  <c r="I39" i="12" s="1"/>
  <c r="M48" i="12" a="1"/>
  <c r="M48" i="12" s="1"/>
  <c r="I89" i="12" a="1"/>
  <c r="I89" i="12" s="1"/>
  <c r="M92" i="12" a="1"/>
  <c r="M92" i="12" s="1"/>
  <c r="M55" i="12" a="1"/>
  <c r="M55" i="12" s="1"/>
  <c r="M25" i="12" a="1"/>
  <c r="M25" i="12" s="1"/>
  <c r="I69" i="12" a="1"/>
  <c r="I69" i="12" s="1"/>
  <c r="M40" i="12" a="1"/>
  <c r="M40" i="12" s="1"/>
  <c r="M41" i="12" a="1"/>
  <c r="M41" i="12" s="1"/>
  <c r="M81" i="12" a="1"/>
  <c r="M81" i="12" s="1"/>
  <c r="L15" i="12" a="1"/>
  <c r="L15" i="12" s="1"/>
  <c r="M57" i="12" a="1"/>
  <c r="M57" i="12" s="1"/>
  <c r="M68" i="12" a="1"/>
  <c r="M68" i="12" s="1"/>
  <c r="M75" i="12" a="1"/>
  <c r="M75" i="12" s="1"/>
  <c r="I19" i="12" a="1"/>
  <c r="I19" i="12" s="1"/>
  <c r="I97" i="12" a="1"/>
  <c r="I97" i="12" s="1"/>
  <c r="L67" i="12" a="1"/>
  <c r="L67" i="12" s="1"/>
  <c r="M61" i="12" a="1"/>
  <c r="M61" i="12" s="1"/>
  <c r="I82" i="12" a="1"/>
  <c r="I82" i="12" s="1"/>
  <c r="I18" i="12" a="1"/>
  <c r="I18" i="12" s="1"/>
  <c r="I8" i="12" a="1"/>
  <c r="I8" i="12" s="1"/>
  <c r="I86" i="12" a="1"/>
  <c r="I86" i="12" s="1"/>
  <c r="I55" i="12" a="1"/>
  <c r="I55" i="12" s="1"/>
  <c r="I75" i="12" a="1"/>
  <c r="I75" i="12" s="1"/>
  <c r="L9" i="12" a="1"/>
  <c r="L9" i="12" s="1"/>
  <c r="L57" i="12" a="1"/>
  <c r="L57" i="12" s="1"/>
  <c r="M77" i="12" a="1"/>
  <c r="M77" i="12" s="1"/>
  <c r="M94" i="12" a="1"/>
  <c r="M94" i="12" s="1"/>
  <c r="L38" i="12" a="1"/>
  <c r="L38" i="12" s="1"/>
  <c r="N38" i="12" s="1"/>
  <c r="M39" i="12" a="1"/>
  <c r="M39" i="12" s="1"/>
  <c r="L86" i="12" a="1"/>
  <c r="L86" i="12" s="1"/>
  <c r="I66" i="12" a="1"/>
  <c r="I66" i="12" s="1"/>
  <c r="I95" i="12" a="1"/>
  <c r="I95" i="12" s="1"/>
  <c r="M74" i="12" a="1"/>
  <c r="M74" i="12" s="1"/>
  <c r="M78" i="12" a="1"/>
  <c r="M78" i="12" s="1"/>
  <c r="M54" i="12" a="1"/>
  <c r="M54" i="12" s="1"/>
  <c r="I29" i="12" a="1"/>
  <c r="I29" i="12" s="1"/>
  <c r="I99" i="12" a="1"/>
  <c r="I99" i="12" s="1"/>
  <c r="L4" i="12" a="1"/>
  <c r="L4" i="12" s="1"/>
  <c r="L89" i="12" a="1"/>
  <c r="L89" i="12" s="1"/>
  <c r="I59" i="12" a="1"/>
  <c r="I59" i="12" s="1"/>
  <c r="M42" i="12" a="1"/>
  <c r="M42" i="12" s="1"/>
  <c r="M19" i="12" a="1"/>
  <c r="M19" i="12" s="1"/>
  <c r="I54" i="12" a="1"/>
  <c r="I54" i="12" s="1"/>
  <c r="M17" i="12" a="1"/>
  <c r="M17" i="12" s="1"/>
  <c r="L25" i="12" a="1"/>
  <c r="L25" i="12" s="1"/>
  <c r="I16" i="12" a="1"/>
  <c r="I16" i="12" s="1"/>
  <c r="L8" i="12" a="1"/>
  <c r="L8" i="12" s="1"/>
  <c r="L2" i="12" a="1"/>
  <c r="L2" i="12" s="1"/>
  <c r="I52" i="12" a="1"/>
  <c r="I52" i="12" s="1"/>
  <c r="I20" i="12" a="1"/>
  <c r="I20" i="12" s="1"/>
  <c r="M84" i="12" a="1"/>
  <c r="M84" i="12" s="1"/>
  <c r="M51" i="12" a="1"/>
  <c r="M51" i="12" s="1"/>
  <c r="L13" i="12" a="1"/>
  <c r="L13" i="12" s="1"/>
  <c r="L37" i="12" a="1"/>
  <c r="L37" i="12" s="1"/>
  <c r="I65" i="12" a="1"/>
  <c r="I65" i="12" s="1"/>
  <c r="I57" i="12" a="1"/>
  <c r="I57" i="12" s="1"/>
  <c r="M21" i="12" a="1"/>
  <c r="M21" i="12" s="1"/>
  <c r="M2" i="12" a="1"/>
  <c r="M2" i="12" s="1"/>
  <c r="L41" i="12" a="1"/>
  <c r="L41" i="12" s="1"/>
  <c r="L30" i="12" a="1"/>
  <c r="L30" i="12" s="1"/>
  <c r="L5" i="12" a="1"/>
  <c r="L5" i="12" s="1"/>
  <c r="L17" i="12" a="1"/>
  <c r="L17" i="12" s="1"/>
  <c r="M58" i="12" a="1"/>
  <c r="M58" i="12" s="1"/>
  <c r="M32" i="12" a="1"/>
  <c r="M32" i="12" s="1"/>
  <c r="L23" i="12" a="1"/>
  <c r="L23" i="12" s="1"/>
  <c r="I60" i="12" a="1"/>
  <c r="I60" i="12" s="1"/>
  <c r="L46" i="12" a="1"/>
  <c r="L46" i="12" s="1"/>
  <c r="M56" i="12" a="1"/>
  <c r="M56" i="12" s="1"/>
  <c r="I84" i="12" a="1"/>
  <c r="I84" i="12" s="1"/>
  <c r="L63" i="12" a="1"/>
  <c r="L63" i="12" s="1"/>
  <c r="I35" i="12" a="1"/>
  <c r="I35" i="12" s="1"/>
  <c r="I67" i="12" a="1"/>
  <c r="I67" i="12" s="1"/>
  <c r="L44" i="12" a="1"/>
  <c r="L44" i="12" s="1"/>
  <c r="I71" i="12" a="1"/>
  <c r="I71" i="12" s="1"/>
  <c r="I48" i="12" a="1"/>
  <c r="I48" i="12" s="1"/>
  <c r="I90" i="12" a="1"/>
  <c r="I90" i="12" s="1"/>
  <c r="L92" i="12" a="1"/>
  <c r="L92" i="12" s="1"/>
  <c r="L82" i="12" a="1"/>
  <c r="L82" i="12" s="1"/>
  <c r="I45" i="12" a="1"/>
  <c r="I45" i="12" s="1"/>
  <c r="L42" i="12" a="1"/>
  <c r="L42" i="12" s="1"/>
  <c r="I47" i="12" a="1"/>
  <c r="I47" i="12" s="1"/>
  <c r="M73" i="12" a="1"/>
  <c r="M73" i="12" s="1"/>
  <c r="M35" i="12" a="1"/>
  <c r="M35" i="12" s="1"/>
  <c r="L21" i="12" a="1"/>
  <c r="L21" i="12" s="1"/>
  <c r="I33" i="12" a="1"/>
  <c r="I33" i="12" s="1"/>
  <c r="L36" i="12" a="1"/>
  <c r="L36" i="12" s="1"/>
  <c r="I73" i="12" a="1"/>
  <c r="I73" i="12" s="1"/>
  <c r="M14" i="12" a="1"/>
  <c r="M14" i="12" s="1"/>
  <c r="M31" i="12" a="1"/>
  <c r="M31" i="12" s="1"/>
  <c r="L52" i="12" a="1"/>
  <c r="L52" i="12" s="1"/>
  <c r="M24" i="12" a="1"/>
  <c r="M24" i="12" s="1"/>
  <c r="M13" i="12" a="1"/>
  <c r="M13" i="12" s="1"/>
  <c r="I72" i="12" a="1"/>
  <c r="I72" i="12" s="1"/>
  <c r="I85" i="12" a="1"/>
  <c r="I85" i="12" s="1"/>
  <c r="M45" i="12" a="1"/>
  <c r="M45" i="12" s="1"/>
  <c r="N45" i="12" s="1"/>
  <c r="L56" i="12" a="1"/>
  <c r="L56" i="12" s="1"/>
  <c r="L64" i="12" a="1"/>
  <c r="L64" i="12" s="1"/>
  <c r="L39" i="12" a="1"/>
  <c r="L39" i="12" s="1"/>
  <c r="N18" i="12"/>
  <c r="F2" i="13"/>
  <c r="F39" i="13"/>
  <c r="F40" i="13"/>
  <c r="F35" i="13"/>
  <c r="T14" i="6" l="1"/>
  <c r="T8" i="6"/>
  <c r="AF7" i="4"/>
  <c r="N66" i="12"/>
  <c r="AF87" i="4"/>
  <c r="AF89" i="4"/>
  <c r="T10" i="6"/>
  <c r="N22" i="12"/>
  <c r="N48" i="12"/>
  <c r="N56" i="12"/>
  <c r="N9" i="12"/>
  <c r="N70" i="12"/>
  <c r="N29" i="12"/>
  <c r="N69" i="12"/>
  <c r="N24" i="12"/>
  <c r="N67" i="12"/>
  <c r="N15" i="12"/>
  <c r="N86" i="12"/>
  <c r="N89" i="12"/>
  <c r="N85" i="12"/>
  <c r="N34" i="12"/>
  <c r="N79" i="12"/>
  <c r="N49" i="12"/>
  <c r="N80" i="12"/>
  <c r="N6" i="12"/>
  <c r="AF88" i="4"/>
  <c r="N4" i="12"/>
  <c r="N42" i="12"/>
  <c r="N25" i="12"/>
  <c r="N8" i="12"/>
  <c r="N84" i="12"/>
  <c r="N46" i="12"/>
  <c r="N36" i="12"/>
  <c r="N52" i="12"/>
  <c r="N16" i="12"/>
  <c r="N26" i="12"/>
  <c r="N99" i="12"/>
  <c r="N3" i="12"/>
  <c r="AF4" i="4"/>
  <c r="F13" i="13" s="1"/>
  <c r="N33" i="12"/>
  <c r="AF3" i="4"/>
  <c r="N37" i="12"/>
  <c r="N41" i="12"/>
  <c r="N30" i="12"/>
  <c r="N5" i="12"/>
  <c r="N23" i="12"/>
  <c r="N63" i="12"/>
  <c r="N44" i="12"/>
  <c r="N92" i="12"/>
  <c r="N82" i="12"/>
  <c r="N73" i="12"/>
  <c r="N64" i="12"/>
  <c r="N39" i="12"/>
  <c r="AF90" i="4"/>
  <c r="F11" i="13" s="1"/>
  <c r="AF92" i="4"/>
  <c r="AF91" i="4"/>
  <c r="AF93" i="4"/>
  <c r="N40" i="12"/>
  <c r="N53" i="12"/>
  <c r="N51" i="12"/>
  <c r="N50" i="12"/>
  <c r="N88" i="12"/>
  <c r="N91" i="12"/>
  <c r="N64" i="1" a="1"/>
  <c r="N64" i="1" s="1"/>
  <c r="N21" i="12"/>
  <c r="N58" i="1" a="1"/>
  <c r="N58" i="1" s="1"/>
  <c r="N68" i="1" a="1"/>
  <c r="N68" i="1" s="1"/>
  <c r="N55" i="1" a="1"/>
  <c r="N55" i="1" s="1"/>
  <c r="N15" i="1" a="1"/>
  <c r="N15" i="1" s="1"/>
  <c r="N67" i="1" a="1"/>
  <c r="N67" i="1" s="1"/>
  <c r="N65" i="1" a="1"/>
  <c r="N65" i="1" s="1"/>
  <c r="N73" i="1" a="1"/>
  <c r="N73" i="1" s="1"/>
  <c r="N66" i="1" a="1"/>
  <c r="N66" i="1" s="1"/>
  <c r="N63" i="1" a="1"/>
  <c r="N63" i="1" s="1"/>
  <c r="N71" i="1" a="1"/>
  <c r="N71" i="1" s="1"/>
  <c r="N163" i="1" a="1"/>
  <c r="N163" i="1" s="1"/>
  <c r="N17" i="12"/>
  <c r="N57" i="12"/>
  <c r="N76" i="12"/>
  <c r="N65" i="12"/>
  <c r="N61" i="12"/>
  <c r="N47" i="12"/>
  <c r="N11" i="12"/>
  <c r="N7" i="12"/>
  <c r="N10" i="12"/>
  <c r="N81" i="12"/>
  <c r="AF192" i="4"/>
  <c r="AF205" i="4"/>
  <c r="AF70" i="4"/>
  <c r="AF37" i="4"/>
  <c r="AF144" i="4"/>
  <c r="AF218" i="4"/>
  <c r="AF24" i="4"/>
  <c r="F18" i="13" s="1"/>
  <c r="AF229" i="4"/>
  <c r="AF62" i="4"/>
  <c r="AF184" i="4"/>
  <c r="AF51" i="4"/>
  <c r="F20" i="13" s="1"/>
  <c r="AF217" i="4"/>
  <c r="AF247" i="4"/>
  <c r="AF197" i="4"/>
  <c r="AF136" i="4"/>
  <c r="AF223" i="4"/>
  <c r="AF129" i="4"/>
  <c r="AF249" i="4"/>
  <c r="AF29" i="4"/>
  <c r="AF183" i="4"/>
  <c r="AF141" i="4"/>
  <c r="AF57" i="4"/>
  <c r="AF204" i="4"/>
  <c r="AF66" i="4"/>
  <c r="AF156" i="4"/>
  <c r="AF9" i="4"/>
  <c r="AF130" i="4"/>
  <c r="AF177" i="4"/>
  <c r="AF19" i="4"/>
  <c r="AF86" i="4"/>
  <c r="AF185" i="4"/>
  <c r="AF116" i="4"/>
  <c r="AF115" i="4"/>
  <c r="AF191" i="4"/>
  <c r="AF174" i="4"/>
  <c r="AF38" i="4"/>
  <c r="AF142" i="4"/>
  <c r="AF147" i="4"/>
  <c r="AF64" i="4"/>
  <c r="AF43" i="4"/>
  <c r="AF250" i="4"/>
  <c r="AF225" i="4"/>
  <c r="AF228" i="4"/>
  <c r="AF96" i="4"/>
  <c r="AF46" i="4"/>
  <c r="AF60" i="4"/>
  <c r="F25" i="13" s="1"/>
  <c r="AF128" i="4"/>
  <c r="AF198" i="4"/>
  <c r="AF81" i="4"/>
  <c r="AF238" i="4"/>
  <c r="AF22" i="4"/>
  <c r="AF11" i="4"/>
  <c r="AF150" i="4"/>
  <c r="AF152" i="4"/>
  <c r="F3" i="13"/>
  <c r="AF16" i="4"/>
  <c r="AF161" i="4"/>
  <c r="AF27" i="4"/>
  <c r="AF31" i="4"/>
  <c r="AF44" i="4"/>
  <c r="AF63" i="4"/>
  <c r="AF167" i="4"/>
  <c r="AF111" i="4"/>
  <c r="AF33" i="4"/>
  <c r="AF13" i="4"/>
  <c r="AF95" i="4"/>
  <c r="AF170" i="4"/>
  <c r="AF246" i="4"/>
  <c r="AF52" i="4"/>
  <c r="AF175" i="4"/>
  <c r="AF166" i="4"/>
  <c r="AF40" i="4"/>
  <c r="AF233" i="4"/>
  <c r="AF159" i="4"/>
  <c r="AF200" i="4"/>
  <c r="AF178" i="4"/>
  <c r="AF208" i="4"/>
  <c r="AF215" i="4"/>
  <c r="AF77" i="4"/>
  <c r="F31" i="13" s="1"/>
  <c r="AF97" i="4"/>
  <c r="AF39" i="4"/>
  <c r="AF75" i="4"/>
  <c r="AF227" i="4"/>
  <c r="AF54" i="4"/>
  <c r="AF14" i="4"/>
  <c r="AF78" i="4"/>
  <c r="AF32" i="4"/>
  <c r="AF122" i="4"/>
  <c r="AF58" i="4"/>
  <c r="AF244" i="4"/>
  <c r="AF202" i="4"/>
  <c r="AF160" i="4"/>
  <c r="AF123" i="4"/>
  <c r="AF195" i="4"/>
  <c r="AF155" i="4"/>
  <c r="AF98" i="4"/>
  <c r="AF252" i="4"/>
  <c r="AF121" i="4"/>
  <c r="AF203" i="4"/>
  <c r="AF220" i="4"/>
  <c r="AF67" i="4"/>
  <c r="AF237" i="4"/>
  <c r="AF55" i="4"/>
  <c r="AF137" i="4"/>
  <c r="AF190" i="4"/>
  <c r="AF149" i="4"/>
  <c r="AF120" i="4"/>
  <c r="AF76" i="4"/>
  <c r="AF138" i="4"/>
  <c r="AF226" i="4"/>
  <c r="AF187" i="4"/>
  <c r="AF34" i="4"/>
  <c r="AF180" i="4"/>
  <c r="AF165" i="4"/>
  <c r="AF48" i="4"/>
  <c r="AF245" i="4"/>
  <c r="AF219" i="4"/>
  <c r="AF214" i="4"/>
  <c r="AF231" i="4"/>
  <c r="AF61" i="4"/>
  <c r="AF243" i="4"/>
  <c r="AF73" i="4"/>
  <c r="AF30" i="4"/>
  <c r="AF224" i="4"/>
  <c r="AF84" i="4"/>
  <c r="AF126" i="4"/>
  <c r="AF164" i="4"/>
  <c r="AF45" i="4"/>
  <c r="AF65" i="4"/>
  <c r="F14" i="13" s="1"/>
  <c r="AF117" i="4"/>
  <c r="AF28" i="4"/>
  <c r="AF221" i="4"/>
  <c r="AF157" i="4"/>
  <c r="AF251" i="4"/>
  <c r="AF41" i="4"/>
  <c r="AF169" i="4"/>
  <c r="AF35" i="4"/>
  <c r="AF119" i="4"/>
  <c r="AF196" i="4"/>
  <c r="AF69" i="4"/>
  <c r="AF102" i="4"/>
  <c r="AF74" i="4"/>
  <c r="F12" i="13" s="1"/>
  <c r="AF134" i="4"/>
  <c r="AF216" i="4"/>
  <c r="AF145" i="4"/>
  <c r="AF206" i="4"/>
  <c r="AF235" i="4"/>
  <c r="AF103" i="4"/>
  <c r="AF146" i="4"/>
  <c r="AF112" i="4"/>
  <c r="AF114" i="4"/>
  <c r="AF210" i="4"/>
  <c r="AF168" i="4"/>
  <c r="AF68" i="4"/>
  <c r="AF158" i="4"/>
  <c r="AF26" i="4"/>
  <c r="AF12" i="4"/>
  <c r="F9" i="13" s="1"/>
  <c r="AF239" i="4"/>
  <c r="AF80" i="4"/>
  <c r="AF85" i="4"/>
  <c r="AF5" i="4"/>
  <c r="AF188" i="4"/>
  <c r="AF72" i="4"/>
  <c r="AF209" i="4"/>
  <c r="AF234" i="4"/>
  <c r="AF110" i="4"/>
  <c r="AF15" i="4"/>
  <c r="AF153" i="4"/>
  <c r="AF194" i="4"/>
  <c r="AF240" i="4"/>
  <c r="AF101" i="4"/>
  <c r="AF105" i="4"/>
  <c r="AF154" i="4"/>
  <c r="AF171" i="4"/>
  <c r="AF79" i="4"/>
  <c r="AF20" i="4"/>
  <c r="F30" i="13" s="1"/>
  <c r="AF236" i="4"/>
  <c r="AF213" i="4"/>
  <c r="AF242" i="4"/>
  <c r="AF59" i="4"/>
  <c r="AF232" i="4"/>
  <c r="AF189" i="4"/>
  <c r="AF99" i="4"/>
  <c r="AF131" i="4"/>
  <c r="AF212" i="4"/>
  <c r="AF132" i="4"/>
  <c r="AF207" i="4"/>
  <c r="AF127" i="4"/>
  <c r="AF199" i="4"/>
  <c r="AF10" i="4"/>
  <c r="F33" i="13" s="1"/>
  <c r="AF125" i="4"/>
  <c r="F17" i="13" s="1"/>
  <c r="AF82" i="4"/>
  <c r="AF17" i="4"/>
  <c r="AF18" i="4"/>
  <c r="AF118" i="4"/>
  <c r="AF109" i="4"/>
  <c r="AF181" i="4"/>
  <c r="AF140" i="4"/>
  <c r="AF106" i="4"/>
  <c r="AF6" i="4"/>
  <c r="AF176" i="4"/>
  <c r="AF163" i="4"/>
  <c r="AF25" i="4"/>
  <c r="AF100" i="4"/>
  <c r="AF71" i="4"/>
  <c r="AF42" i="4"/>
  <c r="F29" i="13" s="1"/>
  <c r="AF201" i="4"/>
  <c r="AF222" i="4"/>
  <c r="AF56" i="4"/>
  <c r="AF104" i="4"/>
  <c r="AF135" i="4"/>
  <c r="AF124" i="4"/>
  <c r="F37" i="13" s="1"/>
  <c r="AF139" i="4"/>
  <c r="AF133" i="4"/>
  <c r="F27" i="13" s="1"/>
  <c r="AF182" i="4"/>
  <c r="AF113" i="4"/>
  <c r="F36" i="13" s="1"/>
  <c r="AF151" i="4"/>
  <c r="AF162" i="4"/>
  <c r="AF173" i="4"/>
  <c r="AF23" i="4"/>
  <c r="AF49" i="4"/>
  <c r="AF179" i="4"/>
  <c r="AF53" i="4"/>
  <c r="AF50" i="4"/>
  <c r="AF248" i="4"/>
  <c r="AF143" i="4"/>
  <c r="AF148" i="4"/>
  <c r="F38" i="13" s="1"/>
  <c r="AF36" i="4"/>
  <c r="AF193" i="4"/>
  <c r="AF94" i="4"/>
  <c r="F10" i="13" s="1"/>
  <c r="AF107" i="4"/>
  <c r="AF241" i="4"/>
  <c r="AF47" i="4"/>
  <c r="AF21" i="4"/>
  <c r="AF230" i="4"/>
  <c r="AF172" i="4"/>
  <c r="AF8" i="4"/>
  <c r="AF108" i="4"/>
  <c r="AF211" i="4"/>
  <c r="AF83" i="4"/>
  <c r="AF186" i="4"/>
  <c r="N54" i="12"/>
  <c r="N43" i="12"/>
  <c r="AG43" i="4" s="1"/>
  <c r="N87" i="12"/>
  <c r="N19" i="12"/>
  <c r="N12" i="12"/>
  <c r="N13" i="12"/>
  <c r="N97" i="12"/>
  <c r="N35" i="12"/>
  <c r="N77" i="12"/>
  <c r="N95" i="12"/>
  <c r="N60" i="12"/>
  <c r="N32" i="12"/>
  <c r="N94" i="12"/>
  <c r="N93" i="12"/>
  <c r="N74" i="12"/>
  <c r="N2" i="12"/>
  <c r="N96" i="12"/>
  <c r="T39" i="6"/>
  <c r="T41" i="6"/>
  <c r="T37" i="6"/>
  <c r="T32" i="6"/>
  <c r="T24" i="6"/>
  <c r="T18" i="6"/>
  <c r="T16" i="6"/>
  <c r="T13" i="6"/>
  <c r="T4" i="6"/>
  <c r="T21" i="6"/>
  <c r="F21" i="13" s="1"/>
  <c r="T44" i="6"/>
  <c r="T40" i="6"/>
  <c r="T11" i="6"/>
  <c r="T25" i="6"/>
  <c r="T29" i="6"/>
  <c r="T23" i="6"/>
  <c r="F23" i="13" s="1"/>
  <c r="T28" i="6"/>
  <c r="T22" i="6"/>
  <c r="T3" i="6"/>
  <c r="T38" i="6"/>
  <c r="T43" i="6"/>
  <c r="T19" i="6"/>
  <c r="T17" i="6"/>
  <c r="T6" i="6"/>
  <c r="T20" i="6"/>
  <c r="T31" i="6"/>
  <c r="T26" i="6"/>
  <c r="T33" i="6"/>
  <c r="T36" i="6"/>
  <c r="T42" i="6"/>
  <c r="T35" i="6"/>
  <c r="T12" i="6"/>
  <c r="T15" i="6"/>
  <c r="T2" i="6"/>
  <c r="T5" i="6"/>
  <c r="T9" i="6"/>
  <c r="T27" i="6"/>
  <c r="T30" i="6"/>
  <c r="T100" i="6"/>
  <c r="T209" i="6"/>
  <c r="T318" i="6"/>
  <c r="T356" i="6"/>
  <c r="T369" i="6"/>
  <c r="T127" i="6"/>
  <c r="T342" i="6"/>
  <c r="T82" i="6"/>
  <c r="T231" i="6"/>
  <c r="T324" i="6"/>
  <c r="T373" i="6"/>
  <c r="T75" i="6"/>
  <c r="T345" i="6"/>
  <c r="T93" i="6"/>
  <c r="T181" i="6"/>
  <c r="T282" i="6"/>
  <c r="T311" i="6"/>
  <c r="T346" i="6"/>
  <c r="T161" i="6"/>
  <c r="T381" i="6"/>
  <c r="T88" i="6"/>
  <c r="T136" i="6"/>
  <c r="T214" i="6"/>
  <c r="T355" i="6"/>
  <c r="T52" i="6"/>
  <c r="T190" i="6"/>
  <c r="T186" i="6"/>
  <c r="T290" i="6"/>
  <c r="T248" i="6"/>
  <c r="T142" i="6"/>
  <c r="T108" i="6"/>
  <c r="T56" i="6"/>
  <c r="T302" i="6"/>
  <c r="T278" i="6"/>
  <c r="T157" i="6"/>
  <c r="T174" i="6"/>
  <c r="T359" i="6"/>
  <c r="T314" i="6"/>
  <c r="T296" i="6"/>
  <c r="T83" i="6"/>
  <c r="T156" i="6"/>
  <c r="T254" i="6"/>
  <c r="T274" i="6"/>
  <c r="T116" i="6"/>
  <c r="T266" i="6"/>
  <c r="T303" i="6"/>
  <c r="T66" i="6"/>
  <c r="T283" i="6"/>
  <c r="T228" i="6"/>
  <c r="T247" i="6"/>
  <c r="T350" i="6"/>
  <c r="T141" i="6"/>
  <c r="T353" i="6"/>
  <c r="T53" i="6"/>
  <c r="T107" i="6"/>
  <c r="T147" i="6"/>
  <c r="T167" i="6"/>
  <c r="T197" i="6"/>
  <c r="T218" i="6"/>
  <c r="T273" i="6"/>
  <c r="T323" i="6"/>
  <c r="T47" i="6"/>
  <c r="T98" i="6"/>
  <c r="T133" i="6"/>
  <c r="T194" i="6"/>
  <c r="T230" i="6"/>
  <c r="T280" i="6"/>
  <c r="T321" i="6"/>
  <c r="T331" i="6"/>
  <c r="T65" i="6"/>
  <c r="T151" i="6"/>
  <c r="T217" i="6"/>
  <c r="T261" i="6"/>
  <c r="T301" i="6"/>
  <c r="T361" i="6"/>
  <c r="T371" i="6"/>
  <c r="T57" i="6"/>
  <c r="T112" i="6"/>
  <c r="T139" i="6"/>
  <c r="T233" i="6"/>
  <c r="T269" i="6"/>
  <c r="T339" i="6"/>
  <c r="T377" i="6"/>
  <c r="T185" i="6"/>
  <c r="T73" i="6"/>
  <c r="AF2" i="4"/>
  <c r="T51" i="6"/>
  <c r="T121" i="6"/>
  <c r="T219" i="6"/>
  <c r="T319" i="6"/>
  <c r="T360" i="6"/>
  <c r="T375" i="6"/>
  <c r="T196" i="6"/>
  <c r="T61" i="6"/>
  <c r="T95" i="6"/>
  <c r="T232" i="6"/>
  <c r="T325" i="6"/>
  <c r="T374" i="6"/>
  <c r="T131" i="6"/>
  <c r="T387" i="6"/>
  <c r="T109" i="6"/>
  <c r="T184" i="6"/>
  <c r="T289" i="6"/>
  <c r="T330" i="6"/>
  <c r="T348" i="6"/>
  <c r="T207" i="6"/>
  <c r="T50" i="6"/>
  <c r="T89" i="6"/>
  <c r="T146" i="6"/>
  <c r="T227" i="6"/>
  <c r="T357" i="6"/>
  <c r="T59" i="6"/>
  <c r="T297" i="6"/>
  <c r="T114" i="6"/>
  <c r="T320" i="6"/>
  <c r="T260" i="6"/>
  <c r="T200" i="6"/>
  <c r="T168" i="6"/>
  <c r="T126" i="6"/>
  <c r="T250" i="6"/>
  <c r="T259" i="6"/>
  <c r="T138" i="6"/>
  <c r="T192" i="6"/>
  <c r="T267" i="6"/>
  <c r="T229" i="6"/>
  <c r="T272" i="6"/>
  <c r="T74" i="6"/>
  <c r="T132" i="6"/>
  <c r="T224" i="6"/>
  <c r="T362" i="6"/>
  <c r="T87" i="6"/>
  <c r="T187" i="6"/>
  <c r="T150" i="6"/>
  <c r="T204" i="6"/>
  <c r="T206" i="6"/>
  <c r="T335" i="6"/>
  <c r="T144" i="6"/>
  <c r="T262" i="6"/>
  <c r="T177" i="6"/>
  <c r="T264" i="6"/>
  <c r="T60" i="6"/>
  <c r="T117" i="6"/>
  <c r="T154" i="6"/>
  <c r="T173" i="6"/>
  <c r="T201" i="6"/>
  <c r="T221" i="6"/>
  <c r="T281" i="6"/>
  <c r="T332" i="6"/>
  <c r="T48" i="6"/>
  <c r="T113" i="6"/>
  <c r="T137" i="6"/>
  <c r="T202" i="6"/>
  <c r="T246" i="6"/>
  <c r="T294" i="6"/>
  <c r="T322" i="6"/>
  <c r="T333" i="6"/>
  <c r="T79" i="6"/>
  <c r="T166" i="6"/>
  <c r="T237" i="6"/>
  <c r="T285" i="6"/>
  <c r="T316" i="6"/>
  <c r="T364" i="6"/>
  <c r="T379" i="6"/>
  <c r="T92" i="6"/>
  <c r="T119" i="6"/>
  <c r="T191" i="6"/>
  <c r="T235" i="6"/>
  <c r="T275" i="6"/>
  <c r="T347" i="6"/>
  <c r="T149" i="6"/>
  <c r="T241" i="6"/>
  <c r="T91" i="6"/>
  <c r="T85" i="6"/>
  <c r="T148" i="6"/>
  <c r="T253" i="6"/>
  <c r="T326" i="6"/>
  <c r="T365" i="6"/>
  <c r="T378" i="6"/>
  <c r="T238" i="6"/>
  <c r="T76" i="6"/>
  <c r="T103" i="6"/>
  <c r="T249" i="6"/>
  <c r="T337" i="6"/>
  <c r="T382" i="6"/>
  <c r="T153" i="6"/>
  <c r="T55" i="6"/>
  <c r="T115" i="6"/>
  <c r="T199" i="6"/>
  <c r="T299" i="6"/>
  <c r="T338" i="6"/>
  <c r="T58" i="6"/>
  <c r="T352" i="6"/>
  <c r="T54" i="6"/>
  <c r="T110" i="6"/>
  <c r="T160" i="6"/>
  <c r="T239" i="6"/>
  <c r="T367" i="6"/>
  <c r="T99" i="6"/>
  <c r="T358" i="6"/>
  <c r="T63" i="6"/>
  <c r="T288" i="6"/>
  <c r="T236" i="6"/>
  <c r="T140" i="6"/>
  <c r="T216" i="6"/>
  <c r="T341" i="6"/>
  <c r="T208" i="6"/>
  <c r="T284" i="6"/>
  <c r="T180" i="6"/>
  <c r="T120" i="6"/>
  <c r="T286" i="6"/>
  <c r="T279" i="6"/>
  <c r="T86" i="6"/>
  <c r="T102" i="6"/>
  <c r="T212" i="6"/>
  <c r="T300" i="6"/>
  <c r="T193" i="6"/>
  <c r="T72" i="6"/>
  <c r="T183" i="6"/>
  <c r="T255" i="6"/>
  <c r="T243" i="6"/>
  <c r="T308" i="6"/>
  <c r="T271" i="6"/>
  <c r="T198" i="6"/>
  <c r="T242" i="6"/>
  <c r="T129" i="6"/>
  <c r="T306" i="6"/>
  <c r="T62" i="6"/>
  <c r="T123" i="6"/>
  <c r="T158" i="6"/>
  <c r="T179" i="6"/>
  <c r="T205" i="6"/>
  <c r="T251" i="6"/>
  <c r="T312" i="6"/>
  <c r="T334" i="6"/>
  <c r="T49" i="6"/>
  <c r="T124" i="6"/>
  <c r="T155" i="6"/>
  <c r="T215" i="6"/>
  <c r="T276" i="6"/>
  <c r="T315" i="6"/>
  <c r="T327" i="6"/>
  <c r="T45" i="6"/>
  <c r="T135" i="6"/>
  <c r="T176" i="6"/>
  <c r="T256" i="6"/>
  <c r="T292" i="6"/>
  <c r="T351" i="6"/>
  <c r="T366" i="6"/>
  <c r="T380" i="6"/>
  <c r="T94" i="6"/>
  <c r="T125" i="6"/>
  <c r="T203" i="6"/>
  <c r="T245" i="6"/>
  <c r="T287" i="6"/>
  <c r="T349" i="6"/>
  <c r="T165" i="6"/>
  <c r="T244" i="6"/>
  <c r="T106" i="6"/>
  <c r="T34" i="6"/>
  <c r="T97" i="6"/>
  <c r="T152" i="6"/>
  <c r="T258" i="6"/>
  <c r="T329" i="6"/>
  <c r="T368" i="6"/>
  <c r="T383" i="6"/>
  <c r="T305" i="6"/>
  <c r="T80" i="6"/>
  <c r="T122" i="6"/>
  <c r="T265" i="6"/>
  <c r="T340" i="6"/>
  <c r="T385" i="6"/>
  <c r="T195" i="6"/>
  <c r="T71" i="6"/>
  <c r="T159" i="6"/>
  <c r="T225" i="6"/>
  <c r="T304" i="6"/>
  <c r="T343" i="6"/>
  <c r="T90" i="6"/>
  <c r="T363" i="6"/>
  <c r="T69" i="6"/>
  <c r="T118" i="6"/>
  <c r="T169" i="6"/>
  <c r="T310" i="6"/>
  <c r="T386" i="6"/>
  <c r="T170" i="6"/>
  <c r="T372" i="6"/>
  <c r="T222" i="6"/>
  <c r="T172" i="6"/>
  <c r="T96" i="6"/>
  <c r="T84" i="6"/>
  <c r="T210" i="6"/>
  <c r="T307" i="6"/>
  <c r="T252" i="6"/>
  <c r="T270" i="6"/>
  <c r="T240" i="6"/>
  <c r="T291" i="6"/>
  <c r="T178" i="6"/>
  <c r="T182" i="6"/>
  <c r="T77" i="6"/>
  <c r="T234" i="6"/>
  <c r="T298" i="6"/>
  <c r="T223" i="6"/>
  <c r="T295" i="6"/>
  <c r="T162" i="6"/>
  <c r="T111" i="6"/>
  <c r="T81" i="6"/>
  <c r="T68" i="6"/>
  <c r="T105" i="6"/>
  <c r="T171" i="6"/>
  <c r="T344" i="6"/>
  <c r="T213" i="6"/>
  <c r="T78" i="6"/>
  <c r="T46" i="6"/>
  <c r="F41" i="13" s="1"/>
  <c r="T101" i="6"/>
  <c r="T128" i="6"/>
  <c r="T163" i="6"/>
  <c r="T189" i="6"/>
  <c r="T211" i="6"/>
  <c r="T263" i="6"/>
  <c r="T313" i="6"/>
  <c r="T336" i="6"/>
  <c r="T67" i="6"/>
  <c r="T130" i="6"/>
  <c r="T164" i="6"/>
  <c r="T226" i="6"/>
  <c r="T277" i="6"/>
  <c r="T317" i="6"/>
  <c r="T328" i="6"/>
  <c r="T64" i="6"/>
  <c r="T145" i="6"/>
  <c r="T188" i="6"/>
  <c r="T257" i="6"/>
  <c r="T293" i="6"/>
  <c r="T354" i="6"/>
  <c r="T370" i="6"/>
  <c r="T384" i="6"/>
  <c r="T104" i="6"/>
  <c r="T134" i="6"/>
  <c r="T220" i="6"/>
  <c r="T268" i="6"/>
  <c r="T309" i="6"/>
  <c r="T376" i="6"/>
  <c r="T175" i="6"/>
  <c r="T70" i="6"/>
  <c r="T143" i="6"/>
  <c r="N68" i="12"/>
  <c r="N72" i="12"/>
  <c r="N14" i="12"/>
  <c r="N55" i="12"/>
  <c r="AG22" i="4"/>
  <c r="N100" i="1" s="1" a="1"/>
  <c r="N100" i="1" s="1"/>
  <c r="AG151" i="4"/>
  <c r="N28" i="12"/>
  <c r="N75" i="12"/>
  <c r="AG66" i="4" s="1"/>
  <c r="N98" i="12"/>
  <c r="N20" i="12"/>
  <c r="N58" i="12"/>
  <c r="AG51" i="4" s="1"/>
  <c r="N78" i="12"/>
  <c r="AG69" i="4" s="1"/>
  <c r="N61" i="1" s="1" a="1"/>
  <c r="N61" i="1" s="1"/>
  <c r="N31" i="12"/>
  <c r="AG27" i="4" s="1"/>
  <c r="N90" i="12"/>
  <c r="AG80" i="4" s="1"/>
  <c r="N59" i="12"/>
  <c r="N76" i="1" a="1"/>
  <c r="N76" i="1" s="1"/>
  <c r="N81" i="1" a="1"/>
  <c r="N81" i="1" s="1"/>
  <c r="N75" i="1" a="1"/>
  <c r="N75" i="1" s="1"/>
  <c r="N79" i="1" a="1"/>
  <c r="N79" i="1" s="1"/>
  <c r="N78" i="1" a="1"/>
  <c r="N78" i="1" s="1"/>
  <c r="N80" i="1" a="1"/>
  <c r="N80" i="1" s="1"/>
  <c r="AG47" i="4" l="1"/>
  <c r="AG91" i="4"/>
  <c r="AG24" i="4"/>
  <c r="N54" i="1" s="1" a="1"/>
  <c r="N54" i="1" s="1"/>
  <c r="N56" i="1" a="1"/>
  <c r="N56" i="1" s="1"/>
  <c r="N152" i="1" a="1"/>
  <c r="N152" i="1" s="1"/>
  <c r="AG48" i="4"/>
  <c r="N149" i="1" a="1"/>
  <c r="N149" i="1" s="1"/>
  <c r="AG63" i="4"/>
  <c r="N70" i="1" s="1" a="1"/>
  <c r="N70" i="1" s="1"/>
  <c r="AG59" i="4"/>
  <c r="N85" i="1" s="1" a="1"/>
  <c r="N85" i="1" s="1"/>
  <c r="AG11" i="4"/>
  <c r="AG97" i="4"/>
  <c r="AG52" i="4"/>
  <c r="N14" i="1" s="1" a="1"/>
  <c r="N14" i="1" s="1"/>
  <c r="AG16" i="4"/>
  <c r="AG44" i="4"/>
  <c r="N160" i="1" s="1" a="1"/>
  <c r="N160" i="1" s="1"/>
  <c r="AG85" i="4"/>
  <c r="AG10" i="4"/>
  <c r="N74" i="1" s="1" a="1"/>
  <c r="N74" i="1" s="1"/>
  <c r="AG65" i="4"/>
  <c r="AG68" i="4"/>
  <c r="N113" i="1" s="1" a="1"/>
  <c r="N113" i="1" s="1"/>
  <c r="AG83" i="4"/>
  <c r="AG30" i="4"/>
  <c r="AG77" i="4"/>
  <c r="N69" i="1" s="1" a="1"/>
  <c r="N69" i="1" s="1"/>
  <c r="AG71" i="4"/>
  <c r="AG84" i="4"/>
  <c r="AG87" i="4"/>
  <c r="AG102" i="4"/>
  <c r="AG8" i="4"/>
  <c r="AG86" i="4"/>
  <c r="AG36" i="4"/>
  <c r="N99" i="1" s="1" a="1"/>
  <c r="N99" i="1" s="1"/>
  <c r="AG7" i="4"/>
  <c r="AG32" i="4"/>
  <c r="N95" i="1" s="1" a="1"/>
  <c r="N95" i="1" s="1"/>
  <c r="AG35" i="4"/>
  <c r="AG78" i="4"/>
  <c r="AG81" i="4"/>
  <c r="AG17" i="4"/>
  <c r="AG14" i="4"/>
  <c r="AG50" i="4"/>
  <c r="AG67" i="4"/>
  <c r="N108" i="1" s="1" a="1"/>
  <c r="N108" i="1" s="1"/>
  <c r="AG56" i="4"/>
  <c r="AG53" i="4"/>
  <c r="N132" i="1" s="1" a="1"/>
  <c r="N132" i="1" s="1"/>
  <c r="AG40" i="4"/>
  <c r="N139" i="1" s="1" a="1"/>
  <c r="N139" i="1" s="1"/>
  <c r="AG9" i="4"/>
  <c r="AG100" i="4"/>
  <c r="AG31" i="4"/>
  <c r="AG150" i="4"/>
  <c r="AG169" i="4"/>
  <c r="AG239" i="4"/>
  <c r="AG186" i="4"/>
  <c r="AG164" i="4"/>
  <c r="AG224" i="4"/>
  <c r="AG203" i="4"/>
  <c r="AG181" i="4"/>
  <c r="AG190" i="4"/>
  <c r="AG223" i="4"/>
  <c r="AG15" i="4"/>
  <c r="AG28" i="4"/>
  <c r="AG115" i="4"/>
  <c r="AG105" i="4"/>
  <c r="AG175" i="4"/>
  <c r="AG215" i="4"/>
  <c r="AG189" i="4"/>
  <c r="AG75" i="4"/>
  <c r="AG41" i="4"/>
  <c r="N77" i="1" s="1" a="1"/>
  <c r="N77" i="1" s="1"/>
  <c r="AG117" i="4"/>
  <c r="AG132" i="4"/>
  <c r="AG120" i="4"/>
  <c r="AG126" i="4"/>
  <c r="N19" i="1" s="1" a="1"/>
  <c r="N19" i="1" s="1"/>
  <c r="AG232" i="4"/>
  <c r="AG135" i="4"/>
  <c r="AG171" i="4"/>
  <c r="AG213" i="4"/>
  <c r="AG144" i="4"/>
  <c r="AG174" i="4"/>
  <c r="AG110" i="4"/>
  <c r="AG188" i="4"/>
  <c r="AG235" i="4"/>
  <c r="AG128" i="4"/>
  <c r="N106" i="1" s="1" a="1"/>
  <c r="N106" i="1" s="1"/>
  <c r="AG218" i="4"/>
  <c r="AG191" i="4"/>
  <c r="AG116" i="4"/>
  <c r="N97" i="1" s="1" a="1"/>
  <c r="N97" i="1" s="1"/>
  <c r="AG74" i="4"/>
  <c r="AG210" i="4"/>
  <c r="AG161" i="4"/>
  <c r="AG118" i="4"/>
  <c r="AG46" i="4"/>
  <c r="AG241" i="4"/>
  <c r="AG251" i="4"/>
  <c r="AG143" i="4"/>
  <c r="N57" i="1" s="1" a="1"/>
  <c r="N57" i="1" s="1"/>
  <c r="AG12" i="4"/>
  <c r="AG157" i="4"/>
  <c r="AG168" i="4"/>
  <c r="AG154" i="4"/>
  <c r="AG33" i="4"/>
  <c r="N170" i="1" s="1" a="1"/>
  <c r="N170" i="1" s="1"/>
  <c r="AG226" i="4"/>
  <c r="AG149" i="4"/>
  <c r="AG248" i="4"/>
  <c r="AG216" i="4"/>
  <c r="AG220" i="4"/>
  <c r="AG73" i="4"/>
  <c r="N146" i="1" s="1" a="1"/>
  <c r="N146" i="1" s="1"/>
  <c r="AG109" i="4"/>
  <c r="AG211" i="4"/>
  <c r="AG114" i="4"/>
  <c r="AG217" i="4"/>
  <c r="AG64" i="4"/>
  <c r="AG21" i="4"/>
  <c r="AG111" i="4"/>
  <c r="AG173" i="4"/>
  <c r="AG89" i="4"/>
  <c r="AG72" i="4"/>
  <c r="AG146" i="4"/>
  <c r="N127" i="1" s="1" a="1"/>
  <c r="N127" i="1" s="1"/>
  <c r="AG240" i="4"/>
  <c r="AG178" i="4"/>
  <c r="AG176" i="4"/>
  <c r="AG3" i="4"/>
  <c r="AG165" i="4"/>
  <c r="AG245" i="4"/>
  <c r="AG194" i="4"/>
  <c r="AG88" i="4"/>
  <c r="AG204" i="4"/>
  <c r="AG166" i="4"/>
  <c r="AG177" i="4"/>
  <c r="AG142" i="4"/>
  <c r="N120" i="1" s="1" a="1"/>
  <c r="N120" i="1" s="1"/>
  <c r="AG103" i="4"/>
  <c r="N135" i="1" s="1" a="1"/>
  <c r="N135" i="1" s="1"/>
  <c r="AG162" i="4"/>
  <c r="AG130" i="4"/>
  <c r="AG39" i="4"/>
  <c r="N119" i="1" s="1" a="1"/>
  <c r="N119" i="1" s="1"/>
  <c r="AG247" i="4"/>
  <c r="AG163" i="4"/>
  <c r="AG29" i="4"/>
  <c r="AG26" i="4"/>
  <c r="N144" i="1" s="1" a="1"/>
  <c r="N144" i="1" s="1"/>
  <c r="AG145" i="4"/>
  <c r="N143" i="1" s="1" a="1"/>
  <c r="N143" i="1" s="1"/>
  <c r="AG221" i="4"/>
  <c r="AG49" i="4"/>
  <c r="AG160" i="4"/>
  <c r="AG148" i="4"/>
  <c r="AG13" i="4"/>
  <c r="AG206" i="4"/>
  <c r="AG209" i="4"/>
  <c r="AG37" i="4"/>
  <c r="AG234" i="4"/>
  <c r="AG124" i="4"/>
  <c r="AG6" i="4"/>
  <c r="AG82" i="4"/>
  <c r="N157" i="1" s="1" a="1"/>
  <c r="N157" i="1" s="1"/>
  <c r="AG208" i="4"/>
  <c r="AG113" i="4"/>
  <c r="AG112" i="4"/>
  <c r="N137" i="1" s="1" a="1"/>
  <c r="N137" i="1" s="1"/>
  <c r="AG246" i="4"/>
  <c r="AG212" i="4"/>
  <c r="AG98" i="4"/>
  <c r="N133" i="1" s="1" a="1"/>
  <c r="N133" i="1" s="1"/>
  <c r="AG38" i="4"/>
  <c r="AG34" i="4"/>
  <c r="N109" i="1" s="1" a="1"/>
  <c r="N109" i="1" s="1"/>
  <c r="AG205" i="4"/>
  <c r="AG62" i="4"/>
  <c r="N17" i="1" s="1" a="1"/>
  <c r="N17" i="1" s="1"/>
  <c r="AG94" i="4"/>
  <c r="AG158" i="4"/>
  <c r="AG167" i="4"/>
  <c r="AG252" i="4"/>
  <c r="AG121" i="4"/>
  <c r="N59" i="1" s="1" a="1"/>
  <c r="N59" i="1" s="1"/>
  <c r="AG58" i="4"/>
  <c r="AG79" i="4"/>
  <c r="AG119" i="4"/>
  <c r="AG201" i="4"/>
  <c r="AG140" i="4"/>
  <c r="AG244" i="4"/>
  <c r="AG19" i="4"/>
  <c r="N162" i="1" s="1" a="1"/>
  <c r="N162" i="1" s="1"/>
  <c r="AG219" i="4"/>
  <c r="AG147" i="4"/>
  <c r="AG197" i="4"/>
  <c r="AG199" i="4"/>
  <c r="AG225" i="4"/>
  <c r="AG172" i="4"/>
  <c r="AG125" i="4"/>
  <c r="AG92" i="4"/>
  <c r="AG236" i="4"/>
  <c r="AG42" i="4"/>
  <c r="N171" i="1" s="1" a="1"/>
  <c r="N171" i="1" s="1"/>
  <c r="AG76" i="4"/>
  <c r="N21" i="1" s="1" a="1"/>
  <c r="N21" i="1" s="1"/>
  <c r="AG195" i="4"/>
  <c r="AG136" i="4"/>
  <c r="AG18" i="4"/>
  <c r="N91" i="1" s="1" a="1"/>
  <c r="N91" i="1" s="1"/>
  <c r="AG25" i="4"/>
  <c r="AG54" i="4"/>
  <c r="AG159" i="4"/>
  <c r="AG193" i="4"/>
  <c r="AG229" i="4"/>
  <c r="AG227" i="4"/>
  <c r="AG57" i="4"/>
  <c r="N102" i="1" s="1" a="1"/>
  <c r="N102" i="1" s="1"/>
  <c r="AG138" i="4"/>
  <c r="AG141" i="4"/>
  <c r="AG196" i="4"/>
  <c r="AG179" i="4"/>
  <c r="AG127" i="4"/>
  <c r="AG108" i="4"/>
  <c r="AG185" i="4"/>
  <c r="AG183" i="4"/>
  <c r="AG182" i="4"/>
  <c r="AG93" i="4"/>
  <c r="AG156" i="4"/>
  <c r="AG243" i="4"/>
  <c r="AG152" i="4"/>
  <c r="AG242" i="4"/>
  <c r="AG184" i="4"/>
  <c r="AG129" i="4"/>
  <c r="AG231" i="4"/>
  <c r="AG170" i="4"/>
  <c r="AG214" i="4"/>
  <c r="AG90" i="4"/>
  <c r="AG45" i="4"/>
  <c r="N112" i="1" s="1" a="1"/>
  <c r="N112" i="1" s="1"/>
  <c r="AG101" i="4"/>
  <c r="N60" i="1" s="1" a="1"/>
  <c r="N60" i="1" s="1"/>
  <c r="AG230" i="4"/>
  <c r="AG153" i="4"/>
  <c r="AG155" i="4"/>
  <c r="AG237" i="4"/>
  <c r="AG104" i="4"/>
  <c r="AG20" i="4"/>
  <c r="AG133" i="4"/>
  <c r="AG250" i="4"/>
  <c r="AG137" i="4"/>
  <c r="N72" i="1" s="1" a="1"/>
  <c r="N72" i="1" s="1"/>
  <c r="AG202" i="4"/>
  <c r="AG187" i="4"/>
  <c r="AG95" i="4"/>
  <c r="N16" i="1" s="1" a="1"/>
  <c r="N16" i="1" s="1"/>
  <c r="AG139" i="4"/>
  <c r="AG122" i="4"/>
  <c r="AG134" i="4"/>
  <c r="AG4" i="4"/>
  <c r="N18" i="1" s="1" a="1"/>
  <c r="N18" i="1" s="1"/>
  <c r="AG107" i="4"/>
  <c r="N153" i="1" s="1" a="1"/>
  <c r="N153" i="1" s="1"/>
  <c r="AG249" i="4"/>
  <c r="AG96" i="4"/>
  <c r="N114" i="1" s="1" a="1"/>
  <c r="N114" i="1" s="1"/>
  <c r="AG60" i="4"/>
  <c r="N167" i="1" s="1" a="1"/>
  <c r="N167" i="1" s="1"/>
  <c r="AG61" i="4"/>
  <c r="AG55" i="4"/>
  <c r="AG23" i="4"/>
  <c r="AG192" i="4"/>
  <c r="AG106" i="4"/>
  <c r="AG5" i="4"/>
  <c r="AG180" i="4"/>
  <c r="AG70" i="4"/>
  <c r="N126" i="1" s="1" a="1"/>
  <c r="N126" i="1" s="1"/>
  <c r="AG222" i="4"/>
  <c r="AG233" i="4"/>
  <c r="AG207" i="4"/>
  <c r="AG198" i="4"/>
  <c r="AG131" i="4"/>
  <c r="AG228" i="4"/>
  <c r="AG123" i="4"/>
  <c r="AG200" i="4"/>
  <c r="AG238" i="4"/>
  <c r="AG99" i="4"/>
  <c r="N62" i="1" s="1" a="1"/>
  <c r="N62" i="1" s="1"/>
  <c r="N164" i="1" a="1"/>
  <c r="N164" i="1" s="1"/>
  <c r="N165" i="1" a="1"/>
  <c r="N165" i="1" s="1"/>
  <c r="F26" i="13"/>
  <c r="F32" i="13"/>
  <c r="F24" i="13"/>
  <c r="F16" i="13"/>
  <c r="F22" i="13"/>
  <c r="F19" i="13"/>
  <c r="F15" i="13"/>
  <c r="U43" i="6"/>
  <c r="V43" i="6" s="1"/>
  <c r="U40" i="6"/>
  <c r="V40" i="6" s="1"/>
  <c r="U33" i="6"/>
  <c r="U18" i="6"/>
  <c r="U26" i="6"/>
  <c r="V26" i="6" s="1"/>
  <c r="U8" i="6"/>
  <c r="U32" i="6"/>
  <c r="U22" i="6"/>
  <c r="V22" i="6" s="1"/>
  <c r="U2" i="6"/>
  <c r="U16" i="6"/>
  <c r="U64" i="6"/>
  <c r="V64" i="6" s="1"/>
  <c r="U194" i="6"/>
  <c r="V194" i="6" s="1"/>
  <c r="U224" i="6"/>
  <c r="V224" i="6" s="1"/>
  <c r="U74" i="6"/>
  <c r="V74" i="6" s="1"/>
  <c r="U209" i="6"/>
  <c r="V209" i="6" s="1"/>
  <c r="U122" i="6"/>
  <c r="V122" i="6" s="1"/>
  <c r="U379" i="6"/>
  <c r="V379" i="6" s="1"/>
  <c r="U188" i="6"/>
  <c r="V188" i="6" s="1"/>
  <c r="U65" i="6"/>
  <c r="V65" i="6" s="1"/>
  <c r="U367" i="6"/>
  <c r="V367" i="6" s="1"/>
  <c r="U200" i="6"/>
  <c r="V200" i="6" s="1"/>
  <c r="U83" i="6"/>
  <c r="V83" i="6" s="1"/>
  <c r="U333" i="6"/>
  <c r="V333" i="6" s="1"/>
  <c r="U282" i="6"/>
  <c r="V282" i="6" s="1"/>
  <c r="U310" i="6"/>
  <c r="V310" i="6" s="1"/>
  <c r="U304" i="6"/>
  <c r="V304" i="6" s="1"/>
  <c r="U380" i="6"/>
  <c r="V380" i="6" s="1"/>
  <c r="U207" i="6"/>
  <c r="V207" i="6" s="1"/>
  <c r="U247" i="6"/>
  <c r="V247" i="6" s="1"/>
  <c r="U163" i="6"/>
  <c r="V163" i="6" s="1"/>
  <c r="U124" i="6"/>
  <c r="V124" i="6" s="1"/>
  <c r="U68" i="6"/>
  <c r="V68" i="6" s="1"/>
  <c r="U92" i="6"/>
  <c r="V92" i="6" s="1"/>
  <c r="U324" i="6"/>
  <c r="V324" i="6" s="1"/>
  <c r="U292" i="6"/>
  <c r="V292" i="6" s="1"/>
  <c r="U346" i="6"/>
  <c r="V346" i="6" s="1"/>
  <c r="U377" i="6"/>
  <c r="V377" i="6" s="1"/>
  <c r="U262" i="6"/>
  <c r="V262" i="6" s="1"/>
  <c r="U331" i="6"/>
  <c r="V331" i="6" s="1"/>
  <c r="U145" i="6"/>
  <c r="V145" i="6" s="1"/>
  <c r="U313" i="6"/>
  <c r="V313" i="6" s="1"/>
  <c r="U147" i="6"/>
  <c r="V147" i="6" s="1"/>
  <c r="U359" i="6"/>
  <c r="V359" i="6" s="1"/>
  <c r="U298" i="6"/>
  <c r="V298" i="6" s="1"/>
  <c r="U336" i="6"/>
  <c r="V336" i="6" s="1"/>
  <c r="U187" i="6"/>
  <c r="V187" i="6" s="1"/>
  <c r="U277" i="6"/>
  <c r="V277" i="6" s="1"/>
  <c r="U211" i="6"/>
  <c r="V211" i="6" s="1"/>
  <c r="U99" i="6"/>
  <c r="V99" i="6" s="1"/>
  <c r="U322" i="6"/>
  <c r="V322" i="6" s="1"/>
  <c r="U323" i="6"/>
  <c r="V323" i="6" s="1"/>
  <c r="U189" i="6"/>
  <c r="V189" i="6" s="1"/>
  <c r="U266" i="6"/>
  <c r="V266" i="6" s="1"/>
  <c r="U270" i="6"/>
  <c r="V270" i="6" s="1"/>
  <c r="U290" i="6"/>
  <c r="V290" i="6" s="1"/>
  <c r="U116" i="6"/>
  <c r="V116" i="6" s="1"/>
  <c r="U260" i="6"/>
  <c r="V260" i="6" s="1"/>
  <c r="U208" i="6"/>
  <c r="V208" i="6" s="1"/>
  <c r="U237" i="6"/>
  <c r="V237" i="6" s="1"/>
  <c r="U294" i="6"/>
  <c r="V294" i="6" s="1"/>
  <c r="U248" i="6"/>
  <c r="V248" i="6" s="1"/>
  <c r="U63" i="6"/>
  <c r="V63" i="6" s="1"/>
  <c r="U296" i="6"/>
  <c r="V296" i="6" s="1"/>
  <c r="U115" i="6"/>
  <c r="V115" i="6" s="1"/>
  <c r="U314" i="6"/>
  <c r="V314" i="6" s="1"/>
  <c r="U117" i="6"/>
  <c r="V117" i="6" s="1"/>
  <c r="U353" i="6"/>
  <c r="V353" i="6" s="1"/>
  <c r="U190" i="6"/>
  <c r="V190" i="6" s="1"/>
  <c r="U77" i="6"/>
  <c r="V77" i="6" s="1"/>
  <c r="U123" i="6"/>
  <c r="V123" i="6" s="1"/>
  <c r="U285" i="6"/>
  <c r="V285" i="6" s="1"/>
  <c r="U133" i="6"/>
  <c r="V133" i="6" s="1"/>
  <c r="U327" i="6"/>
  <c r="V327" i="6" s="1"/>
  <c r="U52" i="6"/>
  <c r="V52" i="6" s="1"/>
  <c r="U75" i="6"/>
  <c r="V75" i="6" s="1"/>
  <c r="U112" i="6"/>
  <c r="V112" i="6" s="1"/>
  <c r="U150" i="6"/>
  <c r="V150" i="6" s="1"/>
  <c r="U234" i="6"/>
  <c r="V234" i="6" s="1"/>
  <c r="U60" i="6"/>
  <c r="V60" i="6" s="1"/>
  <c r="U107" i="6"/>
  <c r="V107" i="6" s="1"/>
  <c r="U167" i="6"/>
  <c r="V167" i="6" s="1"/>
  <c r="U179" i="6"/>
  <c r="V179" i="6" s="1"/>
  <c r="U218" i="6"/>
  <c r="V218" i="6" s="1"/>
  <c r="U98" i="6"/>
  <c r="V98" i="6" s="1"/>
  <c r="U149" i="6"/>
  <c r="V149" i="6" s="1"/>
  <c r="U340" i="6"/>
  <c r="V340" i="6" s="1"/>
  <c r="U387" i="6"/>
  <c r="V387" i="6" s="1"/>
  <c r="U85" i="6"/>
  <c r="V85" i="6" s="1"/>
  <c r="U162" i="6"/>
  <c r="V162" i="6" s="1"/>
  <c r="U210" i="6"/>
  <c r="V210" i="6" s="1"/>
  <c r="U240" i="6"/>
  <c r="V240" i="6" s="1"/>
  <c r="U378" i="6"/>
  <c r="V378" i="6" s="1"/>
  <c r="U198" i="6"/>
  <c r="V198" i="6" s="1"/>
  <c r="U236" i="6"/>
  <c r="V236" i="6" s="1"/>
  <c r="U113" i="6"/>
  <c r="V113" i="6" s="1"/>
  <c r="U140" i="6"/>
  <c r="V140" i="6" s="1"/>
  <c r="U36" i="6"/>
  <c r="V36" i="6" s="1"/>
  <c r="U44" i="6"/>
  <c r="V44" i="6" s="1"/>
  <c r="U37" i="6"/>
  <c r="U10" i="6"/>
  <c r="U30" i="6"/>
  <c r="V30" i="6" s="1"/>
  <c r="U12" i="6"/>
  <c r="U5" i="6"/>
  <c r="U3" i="6"/>
  <c r="U29" i="6"/>
  <c r="V29" i="6" s="1"/>
  <c r="U11" i="6"/>
  <c r="V11" i="6" s="1"/>
  <c r="U6" i="6"/>
  <c r="U66" i="6"/>
  <c r="V66" i="6" s="1"/>
  <c r="U230" i="6"/>
  <c r="V230" i="6" s="1"/>
  <c r="U373" i="6"/>
  <c r="V373" i="6" s="1"/>
  <c r="U100" i="6"/>
  <c r="V100" i="6" s="1"/>
  <c r="U365" i="6"/>
  <c r="V365" i="6" s="1"/>
  <c r="U180" i="6"/>
  <c r="V180" i="6" s="1"/>
  <c r="U56" i="6"/>
  <c r="V56" i="6" s="1"/>
  <c r="U376" i="6"/>
  <c r="V376" i="6" s="1"/>
  <c r="U88" i="6"/>
  <c r="V88" i="6" s="1"/>
  <c r="U49" i="6"/>
  <c r="V49" i="6" s="1"/>
  <c r="U349" i="6"/>
  <c r="V349" i="6" s="1"/>
  <c r="U89" i="6"/>
  <c r="V89" i="6" s="1"/>
  <c r="U347" i="6"/>
  <c r="V347" i="6" s="1"/>
  <c r="U281" i="6"/>
  <c r="V281" i="6" s="1"/>
  <c r="U326" i="6"/>
  <c r="V326" i="6" s="1"/>
  <c r="U244" i="6"/>
  <c r="V244" i="6" s="1"/>
  <c r="U302" i="6"/>
  <c r="V302" i="6" s="1"/>
  <c r="U229" i="6"/>
  <c r="V229" i="6" s="1"/>
  <c r="U284" i="6"/>
  <c r="V284" i="6" s="1"/>
  <c r="U273" i="6"/>
  <c r="V273" i="6" s="1"/>
  <c r="U109" i="6"/>
  <c r="V109" i="6" s="1"/>
  <c r="U213" i="6"/>
  <c r="V213" i="6" s="1"/>
  <c r="U135" i="6"/>
  <c r="V135" i="6" s="1"/>
  <c r="U293" i="6"/>
  <c r="V293" i="6" s="1"/>
  <c r="U225" i="6"/>
  <c r="V225" i="6" s="1"/>
  <c r="U337" i="6"/>
  <c r="V337" i="6" s="1"/>
  <c r="U362" i="6"/>
  <c r="V362" i="6" s="1"/>
  <c r="U193" i="6"/>
  <c r="V193" i="6" s="1"/>
  <c r="U220" i="6"/>
  <c r="V220" i="6" s="1"/>
  <c r="U90" i="6"/>
  <c r="V90" i="6" s="1"/>
  <c r="U256" i="6"/>
  <c r="V256" i="6" s="1"/>
  <c r="U321" i="6"/>
  <c r="V321" i="6" s="1"/>
  <c r="U352" i="6"/>
  <c r="V352" i="6" s="1"/>
  <c r="U271" i="6"/>
  <c r="V271" i="6" s="1"/>
  <c r="U283" i="6"/>
  <c r="V283" i="6" s="1"/>
  <c r="U328" i="6"/>
  <c r="V328" i="6" s="1"/>
  <c r="U249" i="6"/>
  <c r="V249" i="6" s="1"/>
  <c r="U103" i="6"/>
  <c r="V103" i="6" s="1"/>
  <c r="U78" i="6"/>
  <c r="V78" i="6" s="1"/>
  <c r="U231" i="6"/>
  <c r="V231" i="6" s="1"/>
  <c r="U299" i="6"/>
  <c r="V299" i="6" s="1"/>
  <c r="U72" i="6"/>
  <c r="V72" i="6" s="1"/>
  <c r="U178" i="6"/>
  <c r="V178" i="6" s="1"/>
  <c r="U251" i="6"/>
  <c r="V251" i="6" s="1"/>
  <c r="U223" i="6"/>
  <c r="V223" i="6" s="1"/>
  <c r="U81" i="6"/>
  <c r="V81" i="6" s="1"/>
  <c r="U142" i="6"/>
  <c r="V142" i="6" s="1"/>
  <c r="U339" i="6"/>
  <c r="V339" i="6" s="1"/>
  <c r="U121" i="6"/>
  <c r="V121" i="6" s="1"/>
  <c r="U246" i="6"/>
  <c r="V246" i="6" s="1"/>
  <c r="U183" i="6"/>
  <c r="V183" i="6" s="1"/>
  <c r="U316" i="6"/>
  <c r="V316" i="6" s="1"/>
  <c r="U141" i="6"/>
  <c r="V141" i="6" s="1"/>
  <c r="U264" i="6"/>
  <c r="V264" i="6" s="1"/>
  <c r="U97" i="6"/>
  <c r="V97" i="6" s="1"/>
  <c r="U172" i="6"/>
  <c r="V172" i="6" s="1"/>
  <c r="U320" i="6"/>
  <c r="V320" i="6" s="1"/>
  <c r="U175" i="6"/>
  <c r="V175" i="6" s="1"/>
  <c r="U80" i="6"/>
  <c r="V80" i="6" s="1"/>
  <c r="U343" i="6"/>
  <c r="V343" i="6" s="1"/>
  <c r="U289" i="6"/>
  <c r="V289" i="6" s="1"/>
  <c r="U139" i="6"/>
  <c r="V139" i="6" s="1"/>
  <c r="U205" i="6"/>
  <c r="V205" i="6" s="1"/>
  <c r="U61" i="6"/>
  <c r="V61" i="6" s="1"/>
  <c r="U76" i="6"/>
  <c r="V76" i="6" s="1"/>
  <c r="U120" i="6"/>
  <c r="V120" i="6" s="1"/>
  <c r="U185" i="6"/>
  <c r="V185" i="6" s="1"/>
  <c r="U238" i="6"/>
  <c r="V238" i="6" s="1"/>
  <c r="U62" i="6"/>
  <c r="V62" i="6" s="1"/>
  <c r="U128" i="6"/>
  <c r="V128" i="6" s="1"/>
  <c r="U168" i="6"/>
  <c r="V168" i="6" s="1"/>
  <c r="U186" i="6"/>
  <c r="V186" i="6" s="1"/>
  <c r="U221" i="6"/>
  <c r="V221" i="6" s="1"/>
  <c r="U114" i="6"/>
  <c r="V114" i="6" s="1"/>
  <c r="U192" i="6"/>
  <c r="V192" i="6" s="1"/>
  <c r="U363" i="6"/>
  <c r="V363" i="6" s="1"/>
  <c r="U51" i="6"/>
  <c r="V51" i="6" s="1"/>
  <c r="U110" i="6"/>
  <c r="V110" i="6" s="1"/>
  <c r="U164" i="6"/>
  <c r="V164" i="6" s="1"/>
  <c r="U216" i="6"/>
  <c r="V216" i="6" s="1"/>
  <c r="U356" i="6"/>
  <c r="V356" i="6" s="1"/>
  <c r="U385" i="6"/>
  <c r="V385" i="6" s="1"/>
  <c r="U203" i="6"/>
  <c r="V203" i="6" s="1"/>
  <c r="U57" i="6"/>
  <c r="V57" i="6" s="1"/>
  <c r="U119" i="6"/>
  <c r="V119" i="6" s="1"/>
  <c r="U46" i="6"/>
  <c r="U334" i="6"/>
  <c r="V334" i="6" s="1"/>
  <c r="U228" i="6"/>
  <c r="V228" i="6" s="1"/>
  <c r="U372" i="6"/>
  <c r="V372" i="6" s="1"/>
  <c r="U148" i="6"/>
  <c r="V148" i="6" s="1"/>
  <c r="U227" i="6"/>
  <c r="V227" i="6" s="1"/>
  <c r="U358" i="6"/>
  <c r="V358" i="6" s="1"/>
  <c r="U204" i="6"/>
  <c r="V204" i="6" s="1"/>
  <c r="U67" i="6"/>
  <c r="V67" i="6" s="1"/>
  <c r="AG2" i="4"/>
  <c r="U39" i="6"/>
  <c r="U35" i="6"/>
  <c r="U38" i="6"/>
  <c r="V38" i="6" s="1"/>
  <c r="U19" i="6"/>
  <c r="V19" i="6" s="1"/>
  <c r="U31" i="6"/>
  <c r="V31" i="6" s="1"/>
  <c r="U25" i="6"/>
  <c r="V25" i="6" s="1"/>
  <c r="U17" i="6"/>
  <c r="U23" i="6"/>
  <c r="U28" i="6"/>
  <c r="U15" i="6"/>
  <c r="V15" i="6" s="1"/>
  <c r="U14" i="6"/>
  <c r="V14" i="6" s="1"/>
  <c r="U45" i="6"/>
  <c r="V45" i="6" s="1"/>
  <c r="U138" i="6"/>
  <c r="V138" i="6" s="1"/>
  <c r="U108" i="6"/>
  <c r="V108" i="6" s="1"/>
  <c r="U382" i="6"/>
  <c r="V382" i="6" s="1"/>
  <c r="U152" i="6"/>
  <c r="V152" i="6" s="1"/>
  <c r="U375" i="6"/>
  <c r="V375" i="6" s="1"/>
  <c r="U232" i="6"/>
  <c r="V232" i="6" s="1"/>
  <c r="U131" i="6"/>
  <c r="V131" i="6" s="1"/>
  <c r="U50" i="6"/>
  <c r="V50" i="6" s="1"/>
  <c r="U137" i="6"/>
  <c r="V137" i="6" s="1"/>
  <c r="U55" i="6"/>
  <c r="V55" i="6" s="1"/>
  <c r="U366" i="6"/>
  <c r="V366" i="6" s="1"/>
  <c r="U146" i="6"/>
  <c r="V146" i="6" s="1"/>
  <c r="U364" i="6"/>
  <c r="V364" i="6" s="1"/>
  <c r="U219" i="6"/>
  <c r="V219" i="6" s="1"/>
  <c r="U287" i="6"/>
  <c r="V287" i="6" s="1"/>
  <c r="U153" i="6"/>
  <c r="V153" i="6" s="1"/>
  <c r="U250" i="6"/>
  <c r="V250" i="6" s="1"/>
  <c r="U345" i="6"/>
  <c r="V345" i="6" s="1"/>
  <c r="U297" i="6"/>
  <c r="V297" i="6" s="1"/>
  <c r="U154" i="6"/>
  <c r="V154" i="6" s="1"/>
  <c r="U84" i="6"/>
  <c r="V84" i="6" s="1"/>
  <c r="U301" i="6"/>
  <c r="V301" i="6" s="1"/>
  <c r="U275" i="6"/>
  <c r="V275" i="6" s="1"/>
  <c r="U300" i="6"/>
  <c r="V300" i="6" s="1"/>
  <c r="U291" i="6"/>
  <c r="V291" i="6" s="1"/>
  <c r="U350" i="6"/>
  <c r="V350" i="6" s="1"/>
  <c r="U335" i="6"/>
  <c r="V335" i="6" s="1"/>
  <c r="U360" i="6"/>
  <c r="V360" i="6" s="1"/>
  <c r="U279" i="6"/>
  <c r="V279" i="6" s="1"/>
  <c r="U245" i="6"/>
  <c r="V245" i="6" s="1"/>
  <c r="U305" i="6"/>
  <c r="V305" i="6" s="1"/>
  <c r="U269" i="6"/>
  <c r="V269" i="6" s="1"/>
  <c r="U371" i="6"/>
  <c r="V371" i="6" s="1"/>
  <c r="U254" i="6"/>
  <c r="V254" i="6" s="1"/>
  <c r="U274" i="6"/>
  <c r="V274" i="6" s="1"/>
  <c r="U295" i="6"/>
  <c r="V295" i="6" s="1"/>
  <c r="U261" i="6"/>
  <c r="V261" i="6" s="1"/>
  <c r="U94" i="6"/>
  <c r="V94" i="6" s="1"/>
  <c r="U87" i="6"/>
  <c r="V87" i="6" s="1"/>
  <c r="U195" i="6"/>
  <c r="V195" i="6" s="1"/>
  <c r="U317" i="6"/>
  <c r="V317" i="6" s="1"/>
  <c r="U386" i="6"/>
  <c r="V386" i="6" s="1"/>
  <c r="U351" i="6"/>
  <c r="V351" i="6" s="1"/>
  <c r="U315" i="6"/>
  <c r="V315" i="6" s="1"/>
  <c r="U201" i="6"/>
  <c r="V201" i="6" s="1"/>
  <c r="U329" i="6"/>
  <c r="V329" i="6" s="1"/>
  <c r="U96" i="6"/>
  <c r="V96" i="6" s="1"/>
  <c r="U182" i="6"/>
  <c r="V182" i="6" s="1"/>
  <c r="U129" i="6"/>
  <c r="V129" i="6" s="1"/>
  <c r="U341" i="6"/>
  <c r="V341" i="6" s="1"/>
  <c r="U217" i="6"/>
  <c r="V217" i="6" s="1"/>
  <c r="U268" i="6"/>
  <c r="V268" i="6" s="1"/>
  <c r="U265" i="6"/>
  <c r="V265" i="6" s="1"/>
  <c r="U311" i="6"/>
  <c r="V311" i="6" s="1"/>
  <c r="U288" i="6"/>
  <c r="V288" i="6" s="1"/>
  <c r="U212" i="6"/>
  <c r="V212" i="6" s="1"/>
  <c r="U357" i="6"/>
  <c r="V357" i="6" s="1"/>
  <c r="U105" i="6"/>
  <c r="V105" i="6" s="1"/>
  <c r="U71" i="6"/>
  <c r="V71" i="6" s="1"/>
  <c r="U348" i="6"/>
  <c r="V348" i="6" s="1"/>
  <c r="U253" i="6"/>
  <c r="V253" i="6" s="1"/>
  <c r="U106" i="6"/>
  <c r="V106" i="6" s="1"/>
  <c r="U199" i="6"/>
  <c r="V199" i="6" s="1"/>
  <c r="U69" i="6"/>
  <c r="V69" i="6" s="1"/>
  <c r="U79" i="6"/>
  <c r="V79" i="6" s="1"/>
  <c r="U136" i="6"/>
  <c r="V136" i="6" s="1"/>
  <c r="U214" i="6"/>
  <c r="V214" i="6" s="1"/>
  <c r="U101" i="6"/>
  <c r="V101" i="6" s="1"/>
  <c r="U144" i="6"/>
  <c r="V144" i="6" s="1"/>
  <c r="U173" i="6"/>
  <c r="V173" i="6" s="1"/>
  <c r="U197" i="6"/>
  <c r="V197" i="6" s="1"/>
  <c r="U126" i="6"/>
  <c r="V126" i="6" s="1"/>
  <c r="U59" i="6"/>
  <c r="V59" i="6" s="1"/>
  <c r="U184" i="6"/>
  <c r="V184" i="6" s="1"/>
  <c r="U156" i="6"/>
  <c r="V156" i="6" s="1"/>
  <c r="U125" i="6"/>
  <c r="V125" i="6" s="1"/>
  <c r="U42" i="6"/>
  <c r="V42" i="6" s="1"/>
  <c r="U41" i="6"/>
  <c r="U24" i="6"/>
  <c r="U4" i="6"/>
  <c r="U13" i="6"/>
  <c r="N23" i="1" s="1" a="1"/>
  <c r="N23" i="1" s="1"/>
  <c r="U20" i="6"/>
  <c r="V20" i="6" s="1"/>
  <c r="U27" i="6"/>
  <c r="V27" i="6" s="1"/>
  <c r="U7" i="6"/>
  <c r="U9" i="6"/>
  <c r="U21" i="6"/>
  <c r="V21" i="6" s="1"/>
  <c r="U58" i="6"/>
  <c r="V58" i="6" s="1"/>
  <c r="U170" i="6"/>
  <c r="V170" i="6" s="1"/>
  <c r="U155" i="6"/>
  <c r="V155" i="6" s="1"/>
  <c r="U47" i="6"/>
  <c r="V47" i="6" s="1"/>
  <c r="U176" i="6"/>
  <c r="V176" i="6" s="1"/>
  <c r="U95" i="6"/>
  <c r="V95" i="6" s="1"/>
  <c r="U370" i="6"/>
  <c r="V370" i="6" s="1"/>
  <c r="U132" i="6"/>
  <c r="V132" i="6" s="1"/>
  <c r="U54" i="6"/>
  <c r="V54" i="6" s="1"/>
  <c r="U202" i="6"/>
  <c r="V202" i="6" s="1"/>
  <c r="U166" i="6"/>
  <c r="V166" i="6" s="1"/>
  <c r="U48" i="6"/>
  <c r="V48" i="6" s="1"/>
  <c r="U215" i="6"/>
  <c r="V215" i="6" s="1"/>
  <c r="U384" i="6"/>
  <c r="V384" i="6" s="1"/>
  <c r="U330" i="6"/>
  <c r="V330" i="6" s="1"/>
  <c r="U111" i="6"/>
  <c r="V111" i="6" s="1"/>
  <c r="U255" i="6"/>
  <c r="V255" i="6" s="1"/>
  <c r="U171" i="6"/>
  <c r="V171" i="6" s="1"/>
  <c r="U278" i="6"/>
  <c r="V278" i="6" s="1"/>
  <c r="U235" i="6"/>
  <c r="V235" i="6" s="1"/>
  <c r="U181" i="6"/>
  <c r="V181" i="6" s="1"/>
  <c r="U93" i="6"/>
  <c r="V93" i="6" s="1"/>
  <c r="U118" i="6"/>
  <c r="V118" i="6" s="1"/>
  <c r="U280" i="6"/>
  <c r="V280" i="6" s="1"/>
  <c r="U319" i="6"/>
  <c r="V319" i="6" s="1"/>
  <c r="U355" i="6"/>
  <c r="V355" i="6" s="1"/>
  <c r="U361" i="6"/>
  <c r="V361" i="6" s="1"/>
  <c r="U267" i="6"/>
  <c r="V267" i="6" s="1"/>
  <c r="U342" i="6"/>
  <c r="V342" i="6" s="1"/>
  <c r="U177" i="6"/>
  <c r="V177" i="6" s="1"/>
  <c r="U318" i="6"/>
  <c r="V318" i="6" s="1"/>
  <c r="U306" i="6"/>
  <c r="V306" i="6" s="1"/>
  <c r="U303" i="6"/>
  <c r="V303" i="6" s="1"/>
  <c r="U344" i="6"/>
  <c r="V344" i="6" s="1"/>
  <c r="U354" i="6"/>
  <c r="V354" i="6" s="1"/>
  <c r="U242" i="6"/>
  <c r="V242" i="6" s="1"/>
  <c r="U243" i="6"/>
  <c r="V243" i="6" s="1"/>
  <c r="U169" i="6"/>
  <c r="V169" i="6" s="1"/>
  <c r="U151" i="6"/>
  <c r="V151" i="6" s="1"/>
  <c r="U159" i="6"/>
  <c r="V159" i="6" s="1"/>
  <c r="U258" i="6"/>
  <c r="V258" i="6" s="1"/>
  <c r="U257" i="6"/>
  <c r="V257" i="6" s="1"/>
  <c r="U368" i="6"/>
  <c r="V368" i="6" s="1"/>
  <c r="U263" i="6"/>
  <c r="V263" i="6" s="1"/>
  <c r="U276" i="6"/>
  <c r="V276" i="6" s="1"/>
  <c r="U272" i="6"/>
  <c r="V272" i="6" s="1"/>
  <c r="U383" i="6"/>
  <c r="V383" i="6" s="1"/>
  <c r="U309" i="6"/>
  <c r="V309" i="6" s="1"/>
  <c r="U165" i="6"/>
  <c r="V165" i="6" s="1"/>
  <c r="U312" i="6"/>
  <c r="V312" i="6" s="1"/>
  <c r="U332" i="6"/>
  <c r="V332" i="6" s="1"/>
  <c r="U157" i="6"/>
  <c r="V157" i="6" s="1"/>
  <c r="U286" i="6"/>
  <c r="V286" i="6" s="1"/>
  <c r="U226" i="6"/>
  <c r="V226" i="6" s="1"/>
  <c r="U307" i="6"/>
  <c r="V307" i="6" s="1"/>
  <c r="U252" i="6"/>
  <c r="V252" i="6" s="1"/>
  <c r="U374" i="6"/>
  <c r="V374" i="6" s="1"/>
  <c r="U241" i="6"/>
  <c r="V241" i="6" s="1"/>
  <c r="U160" i="6"/>
  <c r="V160" i="6" s="1"/>
  <c r="U325" i="6"/>
  <c r="V325" i="6" s="1"/>
  <c r="U259" i="6"/>
  <c r="V259" i="6" s="1"/>
  <c r="U308" i="6"/>
  <c r="V308" i="6" s="1"/>
  <c r="U86" i="6"/>
  <c r="V86" i="6" s="1"/>
  <c r="U127" i="6"/>
  <c r="V127" i="6" s="1"/>
  <c r="U73" i="6"/>
  <c r="V73" i="6" s="1"/>
  <c r="U91" i="6"/>
  <c r="V91" i="6" s="1"/>
  <c r="U143" i="6"/>
  <c r="V143" i="6" s="1"/>
  <c r="U233" i="6"/>
  <c r="V233" i="6" s="1"/>
  <c r="U53" i="6"/>
  <c r="V53" i="6" s="1"/>
  <c r="U102" i="6"/>
  <c r="V102" i="6" s="1"/>
  <c r="U158" i="6"/>
  <c r="V158" i="6" s="1"/>
  <c r="U174" i="6"/>
  <c r="V174" i="6" s="1"/>
  <c r="U206" i="6"/>
  <c r="V206" i="6" s="1"/>
  <c r="U70" i="6"/>
  <c r="V70" i="6" s="1"/>
  <c r="U130" i="6"/>
  <c r="V130" i="6" s="1"/>
  <c r="U338" i="6"/>
  <c r="V338" i="6" s="1"/>
  <c r="U381" i="6"/>
  <c r="V381" i="6" s="1"/>
  <c r="U82" i="6"/>
  <c r="V82" i="6" s="1"/>
  <c r="U161" i="6"/>
  <c r="V161" i="6" s="1"/>
  <c r="U196" i="6"/>
  <c r="V196" i="6" s="1"/>
  <c r="U239" i="6"/>
  <c r="V239" i="6" s="1"/>
  <c r="U369" i="6"/>
  <c r="V369" i="6" s="1"/>
  <c r="U191" i="6"/>
  <c r="V191" i="6" s="1"/>
  <c r="U222" i="6"/>
  <c r="V222" i="6" s="1"/>
  <c r="U104" i="6"/>
  <c r="V104" i="6" s="1"/>
  <c r="U134" i="6"/>
  <c r="V134" i="6" s="1"/>
  <c r="U34" i="6"/>
  <c r="V34" i="6" s="1"/>
  <c r="N5" i="1" l="1" a="1"/>
  <c r="N5" i="1" s="1"/>
  <c r="N43" i="1" a="1"/>
  <c r="N43" i="1" s="1"/>
  <c r="V41" i="6"/>
  <c r="N48" i="1" a="1"/>
  <c r="N48" i="1" s="1"/>
  <c r="V37" i="6"/>
  <c r="N45" i="1" a="1"/>
  <c r="N45" i="1" s="1"/>
  <c r="V33" i="6"/>
  <c r="N40" i="1" a="1"/>
  <c r="N40" i="1" s="1"/>
  <c r="N32" i="1" a="1"/>
  <c r="N32" i="1" s="1"/>
  <c r="N38" i="1" a="1"/>
  <c r="N38" i="1" s="1"/>
  <c r="N36" i="1" a="1"/>
  <c r="N36" i="1" s="1"/>
  <c r="V28" i="6"/>
  <c r="N35" i="1" a="1"/>
  <c r="N35" i="1" s="1"/>
  <c r="V46" i="6"/>
  <c r="N53" i="1" a="1"/>
  <c r="N53" i="1" s="1"/>
  <c r="V32" i="6"/>
  <c r="N39" i="1" a="1"/>
  <c r="N39" i="1" s="1"/>
  <c r="N37" i="1" a="1"/>
  <c r="N37" i="1" s="1"/>
  <c r="N2" i="1" a="1"/>
  <c r="N2" i="1" s="1"/>
  <c r="N33" i="1" a="1"/>
  <c r="N33" i="1" s="1"/>
  <c r="V23" i="6"/>
  <c r="N30" i="1" a="1"/>
  <c r="N30" i="1" s="1"/>
  <c r="V35" i="6"/>
  <c r="N42" i="1" a="1"/>
  <c r="N42" i="1" s="1"/>
  <c r="N7" i="1" a="1"/>
  <c r="N7" i="1" s="1"/>
  <c r="V24" i="6"/>
  <c r="N31" i="1" a="1"/>
  <c r="N31" i="1" s="1"/>
  <c r="V39" i="6"/>
  <c r="N44" i="1" a="1"/>
  <c r="N44" i="1" s="1"/>
  <c r="N51" i="1" a="1"/>
  <c r="N51" i="1" s="1"/>
  <c r="N34" i="1" a="1"/>
  <c r="N34" i="1" s="1"/>
  <c r="N49" i="1" a="1"/>
  <c r="N49" i="1" s="1"/>
  <c r="N46" i="1" a="1"/>
  <c r="N46" i="1" s="1"/>
  <c r="N52" i="1" a="1"/>
  <c r="N52" i="1" s="1"/>
  <c r="V16" i="6"/>
  <c r="N26" i="1" a="1"/>
  <c r="N26" i="1" s="1"/>
  <c r="V18" i="6"/>
  <c r="N28" i="1" a="1"/>
  <c r="N28" i="1" s="1"/>
  <c r="N6" i="1" a="1"/>
  <c r="N6" i="1" s="1"/>
  <c r="N25" i="1" a="1"/>
  <c r="N25" i="1" s="1"/>
  <c r="N24" i="1" a="1"/>
  <c r="N24" i="1" s="1"/>
  <c r="V17" i="6"/>
  <c r="N27" i="1" a="1"/>
  <c r="N27" i="1" s="1"/>
  <c r="N11" i="1" a="1"/>
  <c r="N11" i="1" s="1"/>
  <c r="N29" i="1" a="1"/>
  <c r="N29" i="1" s="1"/>
  <c r="N22" i="1" a="1"/>
  <c r="N22" i="1" s="1"/>
  <c r="N4" i="1" a="1"/>
  <c r="N4" i="1" s="1"/>
  <c r="N10" i="1" a="1"/>
  <c r="N10" i="1" s="1"/>
  <c r="N121" i="1" a="1"/>
  <c r="N121" i="1" s="1"/>
  <c r="N141" i="1" a="1"/>
  <c r="N141" i="1" s="1"/>
  <c r="N142" i="1" a="1"/>
  <c r="N142" i="1" s="1"/>
  <c r="N93" i="1" a="1"/>
  <c r="N93" i="1" s="1"/>
  <c r="N94" i="1" a="1"/>
  <c r="N94" i="1" s="1"/>
  <c r="N129" i="1" a="1"/>
  <c r="N129" i="1" s="1"/>
  <c r="N105" i="1" a="1"/>
  <c r="N105" i="1" s="1"/>
  <c r="N169" i="1" a="1"/>
  <c r="N169" i="1" s="1"/>
  <c r="N161" i="1" a="1"/>
  <c r="N161" i="1" s="1"/>
  <c r="N88" i="1" a="1"/>
  <c r="N88" i="1" s="1"/>
  <c r="N147" i="1" a="1"/>
  <c r="N147" i="1" s="1"/>
  <c r="N150" i="1" a="1"/>
  <c r="N150" i="1" s="1"/>
  <c r="N156" i="1" a="1"/>
  <c r="N156" i="1" s="1"/>
  <c r="N87" i="1" a="1"/>
  <c r="N87" i="1" s="1"/>
  <c r="N172" i="1" a="1"/>
  <c r="N172" i="1" s="1"/>
  <c r="N159" i="1" a="1"/>
  <c r="N159" i="1" s="1"/>
  <c r="N92" i="1" a="1"/>
  <c r="N92" i="1" s="1"/>
  <c r="N148" i="1" a="1"/>
  <c r="N148" i="1" s="1"/>
  <c r="N173" i="1" a="1"/>
  <c r="N173" i="1" s="1"/>
  <c r="N20" i="1" a="1"/>
  <c r="N20" i="1" s="1"/>
  <c r="N116" i="1" a="1"/>
  <c r="N116" i="1" s="1"/>
  <c r="N140" i="1" a="1"/>
  <c r="N140" i="1" s="1"/>
  <c r="N13" i="1" a="1"/>
  <c r="N13" i="1" s="1"/>
  <c r="N111" i="1" a="1"/>
  <c r="N111" i="1" s="1"/>
  <c r="N138" i="1" a="1"/>
  <c r="N138" i="1" s="1"/>
  <c r="N84" i="1" a="1"/>
  <c r="N84" i="1" s="1"/>
  <c r="N103" i="1" a="1"/>
  <c r="N103" i="1" s="1"/>
  <c r="N89" i="1" a="1"/>
  <c r="N89" i="1" s="1"/>
  <c r="N166" i="1" a="1"/>
  <c r="N166" i="1" s="1"/>
  <c r="N90" i="1" a="1"/>
  <c r="N90" i="1" s="1"/>
  <c r="N41" i="1" a="1"/>
  <c r="N41" i="1" s="1"/>
  <c r="N118" i="1" a="1"/>
  <c r="N118" i="1" s="1"/>
  <c r="N117" i="1" a="1"/>
  <c r="N117" i="1" s="1"/>
  <c r="N110" i="1" a="1"/>
  <c r="N110" i="1" s="1"/>
  <c r="N134" i="1" a="1"/>
  <c r="N134" i="1" s="1"/>
  <c r="N128" i="1" a="1"/>
  <c r="N128" i="1" s="1"/>
  <c r="N82" i="1" a="1"/>
  <c r="N82" i="1" s="1"/>
  <c r="N86" i="1" a="1"/>
  <c r="N86" i="1" s="1"/>
  <c r="N151" i="1" a="1"/>
  <c r="N151" i="1" s="1"/>
  <c r="N47" i="1" a="1"/>
  <c r="N47" i="1" s="1"/>
  <c r="N168" i="1" a="1"/>
  <c r="N168" i="1" s="1"/>
  <c r="N125" i="1" a="1"/>
  <c r="N125" i="1" s="1"/>
  <c r="N158" i="1" a="1"/>
  <c r="N158" i="1" s="1"/>
  <c r="N154" i="1" a="1"/>
  <c r="N154" i="1" s="1"/>
  <c r="N96" i="1" a="1"/>
  <c r="N96" i="1" s="1"/>
  <c r="N136" i="1" a="1"/>
  <c r="N136" i="1" s="1"/>
  <c r="N124" i="1" a="1"/>
  <c r="N124" i="1" s="1"/>
  <c r="N179" i="1" a="1"/>
  <c r="N179" i="1" s="1"/>
  <c r="N145" i="1" a="1"/>
  <c r="N145" i="1" s="1"/>
  <c r="N107" i="1" a="1"/>
  <c r="N107" i="1" s="1"/>
  <c r="N131" i="1" a="1"/>
  <c r="N131" i="1" s="1"/>
  <c r="N130" i="1" a="1"/>
  <c r="N130" i="1" s="1"/>
  <c r="N98" i="1" a="1"/>
  <c r="N98" i="1" s="1"/>
  <c r="N122" i="1" a="1"/>
  <c r="N122" i="1" s="1"/>
  <c r="N115" i="1" a="1"/>
  <c r="N115" i="1" s="1"/>
  <c r="N12" i="1" a="1"/>
  <c r="N12" i="1" s="1"/>
  <c r="N83" i="1" a="1"/>
  <c r="N83" i="1" s="1"/>
  <c r="N50" i="1" a="1"/>
  <c r="N50" i="1" s="1"/>
  <c r="N104" i="1" a="1"/>
  <c r="N104" i="1" s="1"/>
  <c r="N155" i="1" a="1"/>
  <c r="N155" i="1" s="1"/>
  <c r="N101" i="1" a="1"/>
  <c r="N101" i="1" s="1"/>
  <c r="N3" i="1" a="1"/>
  <c r="N3" i="1" s="1"/>
  <c r="N9" i="1" a="1"/>
  <c r="N9" i="1" s="1"/>
  <c r="N123" i="1" a="1"/>
  <c r="N123" i="1" s="1"/>
  <c r="N8" i="1" a="1"/>
  <c r="N8" i="1" s="1"/>
  <c r="V2" i="6"/>
  <c r="N174" i="1" a="1"/>
  <c r="N174" i="1" s="1"/>
  <c r="V3" i="6"/>
  <c r="N175" i="1" a="1"/>
  <c r="N175" i="1" s="1"/>
  <c r="V10" i="6"/>
  <c r="N184" i="1" a="1"/>
  <c r="N184" i="1" s="1"/>
  <c r="V9" i="6"/>
  <c r="N186" i="1" a="1"/>
  <c r="N186" i="1" s="1"/>
  <c r="V13" i="6"/>
  <c r="N183" i="1" a="1"/>
  <c r="N183" i="1" s="1"/>
  <c r="V6" i="6"/>
  <c r="N178" i="1" a="1"/>
  <c r="N178" i="1" s="1"/>
  <c r="V5" i="6"/>
  <c r="N177" i="1" a="1"/>
  <c r="N177" i="1" s="1"/>
  <c r="V7" i="6"/>
  <c r="N180" i="1" a="1"/>
  <c r="N180" i="1" s="1"/>
  <c r="V4" i="6"/>
  <c r="N176" i="1" a="1"/>
  <c r="N176" i="1" s="1"/>
  <c r="V12" i="6"/>
  <c r="N181" i="1" a="1"/>
  <c r="N181" i="1" s="1"/>
  <c r="V8" i="6"/>
  <c r="N182" i="1" a="1"/>
  <c r="N18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<sst xmlns="http://schemas.openxmlformats.org/spreadsheetml/2006/main" count="1057" uniqueCount="588">
  <si>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</si>
  <si>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</si>
  <si>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</si>
  <si>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</si>
  <si>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</si>
  <si>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</si>
  <si>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</si>
  <si>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</si>
  <si>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</si>
  <si>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</si>
  <si>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</si>
  <si>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</si>
  <si>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</si>
  <si>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</si>
  <si>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</si>
  <si>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</si>
  <si>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</si>
  <si>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</si>
  <si>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</si>
  <si>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</si>
  <si>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</si>
  <si>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</si>
  <si>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</si>
  <si>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</si>
  <si>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</si>
  <si>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</si>
  <si>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</si>
  <si>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</si>
  <si>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</si>
  <si>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</si>
  <si>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</si>
  <si>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</si>
  <si>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</si>
  <si>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</si>
  <si>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</si>
  <si>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</si>
  <si>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</si>
  <si>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</si>
  <si>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</si>
  <si>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</si>
  <si>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</si>
  <si>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</si>
  <si>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</si>
  <si>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</si>
  <si>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</si>
  <si>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</si>
  <si>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</si>
  <si>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</si>
  <si>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</si>
  <si>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</si>
  <si>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</si>
  <si>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</si>
  <si>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</si>
  <si>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</si>
  <si>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</si>
  <si>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</si>
  <si>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</si>
  <si>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</si>
  <si>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</si>
  <si>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</si>
  <si>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</si>
  <si>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</si>
  <si>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</si>
  <si>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</si>
  <si>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</si>
  <si>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</si>
  <si>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</si>
  <si>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</si>
  <si>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</si>
  <si>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</si>
  <si>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</si>
  <si>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</si>
  <si>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</si>
  <si>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</si>
  <si>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</si>
  <si>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</si>
  <si>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</si>
  <si>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</si>
  <si>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</si>
  <si>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</si>
  <si>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</si>
  <si>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</si>
  <si>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</si>
  <si>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</si>
  <si>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</si>
  <si>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</si>
  <si>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</si>
  <si>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</si>
  <si>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</si>
  <si>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</si>
  <si>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</si>
  <si>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</si>
  <si>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</si>
  <si>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</si>
  <si>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</si>
  <si>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</si>
  <si>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</si>
  <si>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</si>
  <si>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</si>
  <si>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</si>
  <si>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</si>
  <si>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</si>
  <si>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</si>
  <si>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</si>
  <si>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</si>
  <si>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</si>
  <si>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</si>
  <si>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</si>
  <si>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</si>
  <si>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</si>
  <si>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</si>
  <si>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</si>
  <si>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</si>
  <si>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</si>
  <si>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</si>
  <si>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</si>
  <si>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</si>
  <si>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</si>
  <si>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</si>
  <si>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</si>
  <si>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</si>
  <si>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</si>
  <si>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</si>
  <si>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</si>
  <si>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</si>
  <si>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</si>
  <si>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</si>
  <si>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</si>
  <si>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</si>
  <si>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</si>
  <si>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</si>
  <si>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</si>
  <si>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</si>
  <si>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</si>
  <si>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</si>
  <si>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</si>
  <si>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</si>
  <si>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</si>
  <si>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</si>
  <si>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</si>
  <si>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</si>
  <si>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</si>
  <si>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</si>
  <si>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</si>
  <si>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</si>
  <si>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</si>
  <si>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</si>
  <si>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</si>
  <si>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</si>
  <si>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</si>
  <si>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</si>
  <si>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</si>
  <si>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</si>
  <si>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</si>
  <si>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</si>
  <si>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</si>
  <si>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</si>
  <si>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</si>
  <si>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</si>
  <si>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</si>
  <si>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</si>
  <si>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</si>
  <si>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</si>
  <si>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</si>
  <si>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</si>
  <si>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</si>
  <si>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</si>
  <si>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</si>
  <si>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</si>
  <si>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</si>
  <si>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</si>
  <si>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</si>
  <si>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</si>
  <si>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</si>
  <si>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</si>
  <si>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</si>
  <si>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</si>
  <si>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</si>
  <si>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</si>
  <si>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</si>
  <si>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</si>
  <si>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</si>
  <si>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</si>
  <si>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</si>
  <si>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</si>
  <si>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</si>
  <si>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</si>
  <si>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</si>
  <si>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</si>
  <si>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</si>
  <si>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</si>
  <si>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</si>
  <si>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</si>
  <si>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</si>
  <si>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</si>
  <si>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</si>
  <si>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</si>
  <si>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</si>
  <si>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</si>
  <si>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</si>
  <si>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</si>
  <si>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</si>
  <si>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</si>
  <si>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</si>
  <si>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</si>
  <si>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</si>
  <si>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</si>
  <si>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</si>
  <si>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</si>
  <si>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</si>
  <si>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</si>
  <si>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</si>
  <si>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</si>
  <si>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</si>
  <si>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</si>
  <si>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</si>
  <si>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</si>
  <si>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</si>
  <si>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</si>
  <si>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</si>
  <si>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</si>
  <si>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</si>
  <si>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</si>
  <si>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</si>
  <si>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</si>
  <si>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</si>
  <si>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</si>
  <si>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</si>
  <si>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</si>
  <si>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</si>
  <si>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</si>
  <si>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</si>
  <si>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</si>
  <si>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</si>
  <si>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</si>
  <si>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</si>
  <si>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</si>
  <si>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</si>
  <si>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</si>
  <si>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</si>
  <si>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</si>
  <si>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</si>
  <si>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</si>
  <si>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</si>
  <si>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</si>
  <si>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</si>
  <si>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</si>
  <si>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</si>
  <si>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</si>
  <si>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</si>
  <si>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</si>
  <si>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</si>
  <si>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</si>
  <si>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</si>
  <si>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</si>
  <si>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</si>
  <si>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</si>
  <si>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</si>
  <si>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</si>
  <si>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</si>
  <si>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</si>
  <si>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</si>
  <si>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</si>
  <si>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</si>
  <si>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</si>
  <si>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</si>
  <si>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</si>
  <si>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</si>
  <si>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</si>
  <si>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</si>
  <si>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</si>
  <si>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</si>
  <si>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</si>
  <si>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</si>
  <si>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</si>
  <si>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</si>
  <si>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</si>
  <si>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</si>
  <si>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</si>
  <si>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</si>
  <si>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</si>
  <si>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</si>
  <si>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</si>
  <si>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</si>
  <si>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</si>
  <si>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</si>
  <si>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</si>
  <si>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</si>
  <si>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</si>
  <si>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</si>
  <si>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</si>
  <si>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</si>
  <si>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</si>
  <si>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</si>
  <si>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</si>
  <si>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</si>
  <si>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</si>
  <si>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</si>
  <si>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</si>
  <si>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</si>
  <si>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</si>
  <si>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</si>
  <si>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</si>
  <si>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</si>
  <si>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</si>
  <si>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</si>
  <si>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</si>
  <si>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</si>
  <si>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</si>
  <si>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</si>
  <si>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</si>
  <si>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</si>
  <si>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</si>
  <si>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</si>
  <si>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</si>
  <si>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</si>
  <si>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</si>
  <si>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</si>
  <si>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</si>
  <si>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</si>
  <si>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</si>
  <si>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</si>
  <si>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</si>
  <si>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</si>
  <si>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</si>
  <si>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</si>
  <si>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</si>
  <si>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</si>
  <si>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</si>
  <si>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</si>
  <si>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</si>
  <si>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</si>
  <si>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</si>
  <si>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</si>
  <si>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</si>
  <si>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</si>
  <si>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</si>
  <si>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</si>
  <si>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</si>
  <si>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</si>
  <si>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</si>
  <si>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</si>
  <si>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</si>
  <si>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</si>
  <si>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</si>
  <si>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</si>
  <si>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</si>
  <si>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</si>
  <si>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</si>
  <si>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</si>
  <si>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</si>
  <si>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</si>
  <si>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</si>
  <si>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</si>
  <si>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</si>
  <si>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</si>
  <si>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</si>
  <si>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</si>
  <si>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</si>
  <si>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</si>
  <si>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</si>
  <si>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</si>
  <si>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</si>
  <si>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</si>
  <si>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</si>
  <si>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</si>
  <si>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</si>
  <si>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</si>
  <si>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</si>
  <si>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</si>
  <si>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</si>
  <si>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</si>
  <si>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</si>
  <si>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</si>
  <si>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</si>
  <si>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</si>
  <si>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</si>
  <si>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</si>
  <si>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</si>
  <si>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</si>
  <si>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</si>
  <si>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</si>
  <si>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</si>
  <si>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</si>
  <si>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</si>
  <si>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</si>
  <si>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</si>
  <si>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</si>
  <si>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</si>
  <si>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</si>
  <si>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</si>
  <si>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</si>
  <si>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</si>
  <si>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</si>
  <si>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</si>
  <si>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</si>
  <si>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</si>
  <si>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</si>
  <si>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</si>
  <si>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</si>
  <si>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</si>
  <si>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</si>
  <si>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</si>
  <si>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</si>
  <si>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</si>
  <si>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</si>
  <si>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</si>
  <si>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</si>
  <si>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</si>
  <si>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</si>
  <si>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</si>
  <si>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</si>
  <si>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</si>
  <si>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</si>
  <si>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</si>
  <si>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</si>
  <si>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</si>
  <si>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</si>
  <si>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</si>
  <si>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</si>
  <si>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</si>
  <si>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</si>
  <si>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</si>
  <si>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</si>
  <si>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</si>
  <si>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</si>
  <si>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</si>
  <si>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</si>
  <si>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</si>
  <si>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</si>
  <si>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</si>
  <si>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</si>
  <si>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</si>
  <si>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</si>
  <si>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</si>
  <si>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</si>
  <si>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</si>
  <si>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</si>
  <si>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</si>
  <si>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</si>
  <si>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</si>
  <si>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</si>
  <si>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</si>
  <si>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</si>
  <si>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</si>
  <si>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</si>
  <si>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</si>
  <si>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</si>
  <si>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</si>
  <si>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</si>
  <si>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</si>
  <si>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</si>
  <si>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</si>
  <si>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</si>
  <si>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</si>
  <si>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</si>
  <si>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</si>
  <si>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</si>
  <si>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</si>
  <si>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</si>
  <si>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</si>
  <si>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</si>
  <si>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</si>
  <si>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</si>
  <si>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</si>
  <si>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</si>
  <si>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</si>
  <si>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</si>
  <si>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</si>
  <si>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</si>
  <si>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</si>
  <si>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</si>
  <si>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</si>
  <si>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</si>
  <si>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</si>
  <si>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</si>
  <si>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</si>
  <si>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</si>
  <si>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</si>
  <si>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</si>
  <si>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</si>
  <si>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</si>
  <si>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</si>
  <si>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</si>
  <si>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</si>
  <si>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</si>
  <si>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</si>
  <si>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</si>
  <si>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</si>
  <si>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</si>
  <si>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</si>
  <si>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</si>
  <si>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</si>
  <si>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</si>
  <si>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</si>
  <si>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</si>
  <si>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</si>
  <si>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</si>
  <si>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</si>
  <si>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</si>
  <si>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XXX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</si>
  <si>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</si>
  <si>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</si>
  <si>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</si>
  <si>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</si>
  <si>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</si>
  <si>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</si>
  <si>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</si>
  <si>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</si>
  <si>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</si>
  <si>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</si>
  <si>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</si>
  <si>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</si>
  <si>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</si>
  <si>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</si>
  <si>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</si>
  <si>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</si>
  <si>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</si>
  <si>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</si>
  <si>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</si>
  <si>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</si>
  <si>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</si>
  <si>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</si>
  <si>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</si>
  <si>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</si>
  <si>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</si>
  <si>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</si>
  <si>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</si>
  <si>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</si>
  <si>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</si>
  <si>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</si>
  <si>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</si>
  <si>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</si>
  <si>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</si>
  <si>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</si>
  <si>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</si>
  <si>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</si>
  <si>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</si>
  <si>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</si>
  <si>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</si>
  <si>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</si>
  <si>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XX</t>
  </si>
  <si>
    <t>Diagnostics + Locked or Faulty</t>
  </si>
  <si>
    <t>Total Memory</t>
  </si>
  <si>
    <t>16"</t>
  </si>
  <si>
    <t>13'</t>
  </si>
  <si>
    <t>13"</t>
  </si>
  <si>
    <t>15"</t>
  </si>
  <si>
    <t>14"</t>
  </si>
  <si>
    <t>11"</t>
  </si>
  <si>
    <t>27"</t>
  </si>
  <si>
    <t>21.5"</t>
  </si>
  <si>
    <t>Column1</t>
  </si>
  <si>
    <t>Disk Type</t>
  </si>
  <si>
    <t xml:space="preserve">Disk  </t>
  </si>
  <si>
    <t>SHRXXX</t>
  </si>
  <si>
    <t>Mac16,13</t>
  </si>
  <si>
    <t>Air A3241</t>
  </si>
  <si>
    <t>Power Supply</t>
  </si>
  <si>
    <t>Desktop SFF</t>
  </si>
  <si>
    <t>Desktop Tower</t>
  </si>
  <si>
    <t>Server</t>
  </si>
  <si>
    <t>Desktop Mini</t>
  </si>
  <si>
    <t>All-in-One</t>
  </si>
  <si>
    <t>Monitor</t>
  </si>
  <si>
    <t>TV</t>
  </si>
  <si>
    <t>Projector</t>
  </si>
  <si>
    <t>Keyboard</t>
  </si>
  <si>
    <t>Mouse</t>
  </si>
  <si>
    <t>Webcam</t>
  </si>
  <si>
    <t>Printer</t>
  </si>
  <si>
    <t>Scanner</t>
  </si>
  <si>
    <t>Router</t>
  </si>
  <si>
    <t>Switch</t>
  </si>
  <si>
    <t>Modem</t>
  </si>
  <si>
    <t>Access Point</t>
  </si>
  <si>
    <t>Smartphone</t>
  </si>
  <si>
    <t>Tablet</t>
  </si>
  <si>
    <t>Smartwatch</t>
  </si>
  <si>
    <t>IP Phone</t>
  </si>
  <si>
    <t>UPS</t>
  </si>
  <si>
    <t>KVM Switch</t>
  </si>
  <si>
    <t>Docking Station</t>
  </si>
  <si>
    <t>Network equipment</t>
  </si>
  <si>
    <t>Other</t>
  </si>
  <si>
    <t>Loose SSD</t>
  </si>
  <si>
    <t>Loose HDD</t>
  </si>
  <si>
    <t>Loose NVME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</si>
</sst>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88.592324305559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Asset Tag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Total Memor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Device Identifier"/>
    <tableColumn id="5" xr3:uid="{B2523AC3-1063-4191-AE8B-126221A9B0EE}" name="Asset Tag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Total Memor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  <tableColumn id="21" xr3:uid="{2876966C-DD6B-448D-9997-CCA1CE2DD7FA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W1245"/>
  <sheetViews>
    <sheetView topLeftCell="B1" workbookViewId="0">
      <pane ySplit="1" topLeftCell="A2" activePane="bottomLeft" state="frozen"/>
      <selection pane="bottomLeft" activeCell="B14" sqref="B14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13" style="2" customWidth="1"/>
    <col min="5" max="5" width="8.140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5.140625" style="2" customWidth="1"/>
    <col min="11" max="11" width="26.140625" style="2" customWidth="1"/>
    <col min="12" max="12" width="17.85546875" style="2" customWidth="1"/>
    <col min="13" max="13" width="71.85546875" style="2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8" width="12.5703125" style="2" bestFit="1" customWidth="1"/>
    <col min="19" max="19" width="17" style="2" customWidth="1"/>
    <col min="20" max="20" width="12.5703125" style="2" customWidth="1"/>
    <col min="21" max="21" width="12.5703125" style="2" bestFit="1" customWidth="1"/>
    <col min="22" max="22" width="11.28515625" style="2" bestFit="1" customWidth="1"/>
    <col min="23" max="23" width="17.28515625" hidden="1" customWidth="1"/>
  </cols>
  <sheetData>
    <row r="1" spans="1:23" s="50" customFormat="1" ht="18" thickBot="1">
      <c r="A1" s="48" t="s">
        <v>489</v>
      </c>
      <c r="B1" s="49" t="s">
        <v>490</v>
      </c>
      <c r="C1" s="49" t="s">
        <v>56</v>
      </c>
      <c r="D1" s="49" t="s">
        <v>3</v>
      </c>
      <c r="E1" s="49" t="s">
        <v>2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14</v>
      </c>
      <c r="O1" s="49" t="s">
        <v>15</v>
      </c>
      <c r="P1" s="49" t="s">
        <v>16</v>
      </c>
      <c r="Q1" s="49" t="s">
        <v>17</v>
      </c>
      <c r="R1" s="49" t="s">
        <v>18</v>
      </c>
      <c r="S1" s="49" t="s">
        <v>558</v>
      </c>
      <c r="T1" s="49" t="s">
        <v>4</v>
      </c>
      <c r="U1" s="49" t="s">
        <v>19</v>
      </c>
      <c r="V1" s="49" t="s">
        <v>20</v>
      </c>
      <c r="W1" s="49" t="s">
        <v>488</v>
      </c>
    </row>
    <row r="2" spans="1:23">
      <c r="A2" s="46" t="str">
        <f>_xlfn.TEXTJOIN("",TRUE,Input!$B$2,"0",ROW(My_Audit!A1))</f>
        <v>XX01</v>
      </c>
      <c r="B2" s="46" t="str">
        <f>_xlfn.TEXTJOIN("-",TRUE,"ITD",Input!$A$2,A2)</f>
        <v>ITD-SHRXXX-XX01</v>
      </c>
      <c r="C2" s="46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46" t="str" cm="1">
        <f t="array" ref="D2">IFERROR(_xlfn.LET(
_xlpm.CSVVal,_xlfn.XLOOKUP($A2,CSV!$A:$A,CSV!C:C,""),
_xlpm.MacVal,_xlfn.XLOOKUP($A2,Output_Mac!$A:$A,Output_Mac!D:D,""),
_xlpm.MyAuditVal,_xlfn.XLOOKUP($A2,My_Audit!$A:$A,My_Audit!C:C,""),
_xlfn.IFS(_xlpm.MyAuditVal&lt;&gt;"",UPPER(_xlpm.MyAuditVal),_xlpm.MacVal&lt;&gt;"",_xlpm.MacVal,_xlpm.CSVVal&lt;&gt;"",_xlpm.CSVVal
)),"")</f>
        <v/>
      </c>
      <c r="E2" s="46" t="str" cm="1">
        <f t="array" ref="E2">IFERROR(_xlfn.LET(
_xlpm.CSVVal,_xlfn.XLOOKUP($A2,CSV!$A:$A,CSV!E:E,""),
_xlpm.MacVal,_xlfn.XLOOKUP($A2,Output_Mac!$A:$A,Output_Mac!C:C,""),
_xlpm.MyAuditVal,_xlfn.XLOOKUP($A2,My_Audit!$A:$A,My_Audit!D:D,""),
_xlfn.IFS(_xlpm.MyAuditVal&lt;&gt;"",_xlpm.MyAuditVal,_xlpm.MacVal&lt;&gt;"",_xlpm.MacVal,_xlpm.CSVVal&lt;&gt;"",_xlpm.CSVVal
)),"")</f>
        <v/>
      </c>
      <c r="F2" s="46" t="str" cm="1">
        <f t="array" ref="F2">IFERROR(_xlfn.LET(
_xlpm.CSVVal,_xlfn.XLOOKUP($A2,CSV!$A:$A,CSV!F:F,""),
_xlpm.MacVal,_xlfn.XLOOKUP($A2,Output_Mac!$A:$A,Output_Mac!F:F,""),
_xlpm.MyAuditVal,_xlfn.XLOOKUP($A2,My_Audit!$A:$A,My_Audit!E:E,""),
_xlfn.IFS(_xlpm.MyAuditVal&lt;&gt;"",_xlpm.MyAuditVal,_xlpm.MacVal&lt;&gt;"",_xlpm.MacVal,_xlpm.CSVVal&lt;&gt;"",PROPER(_xlpm.CSVVal)
)),"")</f>
        <v/>
      </c>
      <c r="G2" s="46" t="str" cm="1">
        <f t="array" ref="G2">IFERROR(_xlfn.LET(
_xlpm.CSVVal,_xlfn.XLOOKUP($A2,CSV!$A:$A,CSV!G:G,""),
_xlpm.MacVal,_xlfn.XLOOKUP($A2,Output_Mac!$A:$A,Output_Mac!H:H,""),
_xlpm.MyAuditVal,_xlfn.XLOOKUP($A2,My_Audit!$A:$A,My_Audit!F:F,""),
_xlfn.IFS(_xlpm.MyAuditVal&lt;&gt;"",_xlpm.MyAuditVal,_xlpm.MacVal&lt;&gt;"",_xlpm.MacVal,_xlpm.CSVVal&lt;&gt;"",_xlpm.CSVVal
)),"")</f>
        <v/>
      </c>
      <c r="H2" s="46" t="str">
        <f>_xlfn.XLOOKUP(A2,Output_Mac!A:A,Output_Mac!I:I,"")</f>
        <v/>
      </c>
      <c r="I2" s="46" t="str" cm="1">
        <f t="array" ref="I2">IFERROR(_xlfn.LET(
_xlpm.CSVVal,_xlfn.XLOOKUP($A2,CSV!$A:$A,CSV!H:H,""),
_xlpm.MacVal,_xlfn.XLOOKUP($A2,Output_Mac!$A:$A,Output_Mac!J:J,""),
_xlpm.MyAuditVal,_xlfn.XLOOKUP($A2,My_Audit!$A:$A,My_Audit!H:H,""),
_xlfn.IFS(_xlpm.MyAuditVal&lt;&gt;"",UPPER(_xlpm.MyAuditVal),_xlpm.MacVal&lt;&gt;"",_xlpm.MacVal,_xlpm.CSVVal&lt;&gt;"",_xlpm.CSVVal
)),"")</f>
        <v/>
      </c>
      <c r="J2" s="46" t="str" cm="1">
        <f t="array" ref="J2">IFERROR(_xlfn.LET(
_xlpm.CSVVal,_xlfn.XLOOKUP($A2,CSV!$A:$A,CSV!J:J,""),
_xlpm.MacVal,_xlfn.XLOOKUP($A2,Output_Mac!$A:$A,Output_Mac!K:K,""),
_xlpm.MyAuditVal,_xlfn.XLOOKUP($A2,My_Audit!$A:$A,My_Audit!I:I,""),
_xlfn.IFS(_xlpm.MyAuditVal&lt;&gt;"",UPPER(_xlpm.MyAuditVal),_xlpm.MacVal&lt;&gt;"",_xlpm.MacVal,_xlpm.CSVVal&lt;&gt;"",_xlpm.CSVVal
)),"")</f>
        <v/>
      </c>
      <c r="K2" s="46" t="str" cm="1">
        <f t="array" ref="K2">IFERROR(_xlfn.LET(
_xlpm.CSVVal,_xlfn.XLOOKUP($A2,CSV!$A:$A,CSV!N:N,""),
_xlpm.MacVal,_xlfn.XLOOKUP($A2,Output_Mac!$A:$A,Output_Mac!L:L,""),
_xlpm.MyAuditVal,_xlfn.XLOOKUP($A2,My_Audit!$A:$A,My_Audit!J:J,""),
_xlfn.IFS(_xlpm.MyAuditVal&lt;&gt;"",UPPER(_xlpm.MyAuditVal),_xlpm.MacVal&lt;&gt;"",_xlpm.MacVal,_xlpm.CSVVal&lt;&gt;"",_xlpm.CSVVal
)),"")</f>
        <v/>
      </c>
      <c r="L2" s="46" t="str" cm="1">
        <f t="array" ref="L2">IFERROR(_xlfn.LET(
_xlpm.CSVVal,_xlfn.XLOOKUP($A2,CSV!$A:$A,CSV!Q:Q,""),
_xlpm.MacVal,_xlfn.XLOOKUP($A2,Output_Mac!$A:$A,Output_Mac!M:M,""),
_xlpm.MyAuditVal,_xlfn.XLOOKUP($A2,My_Audit!$A:$A,My_Audit!K:K,""),
_xlfn.IFS(_xlpm.MyAuditVal&lt;&gt;"",UPPER(_xlpm.MyAuditVal),_xlpm.MacVal&lt;&gt;"",_xlpm.MacVal,_xlpm.CSVVal&lt;&gt;"",_xlpm.CSVVal
)),"")</f>
        <v/>
      </c>
      <c r="M2" s="46" t="str">
        <f>_xlfn.LET(
    _xlpm.CSVVal, _xlfn.XLOOKUP($A2, CSV!$A:$A, CSV!AE:AE, ""),
    _xlpm.MacVal, _xlfn.XLOOKUP($A2, Output_Mac!$A:$A, Output_Mac!S:S, ""),
    _xlpm.MyAuditVal, _xlfn.XLOOKUP($A2, My_Audit!$A:$A, My_Audit!N:N, ""),
    _xlfn.TEXTJOIN(", ", TRUE, _xlpm.MyAuditVal, _xlpm.MacVal, _xlpm.CSVVal)
)</f>
        <v/>
      </c>
      <c r="N2" s="46" t="str" cm="1">
        <f t="array" ref="N2">IFERROR(_xlfn.LET(
_xlpm.CSVVal,_xlfn.XLOOKUP($A2,CSV!$A:$A,CSV!AG:AG,""),
_xlpm.MacVal,_xlfn.XLOOKUP($A2,Output_Mac!$A:$A,Output_Mac!U:U,""),
_xlpm.MyAuditVal,_xlfn.XLOOKUP($A2,My_Audit!$A:$A,My_Audit!O:O,""),
_xlfn.IFS(_xlpm.MyAuditVal&lt;&gt;"",UPPER(_xlpm.MyAuditVal),_xlpm.MacVal&lt;&gt;"",_xlpm.MacVal,_xlpm.CSVVal&lt;&gt;"",_xlpm.CSVVal
)),"")</f>
        <v/>
      </c>
      <c r="O2" s="46" t="str">
        <f>_xlfn.XLOOKUP(C2,My_Audit!B:B,My_Audit!P:P,"")&amp;""</f>
        <v/>
      </c>
      <c r="P2" s="46"/>
      <c r="Q2" s="46" t="str">
        <f>IF(LEFT(N2,4)="Pass","Nist SP 800-88",My_Audit!R2)&amp;""</f>
        <v/>
      </c>
      <c r="R2" s="46"/>
      <c r="S2" s="46"/>
      <c r="T2" s="46" t="str">
        <f>_xlfn.XLOOKUP(E2,Models!I:I,Models!J:J,"")</f>
        <v/>
      </c>
      <c r="U2" s="46"/>
      <c r="V2" s="46"/>
      <c r="W2" s="47" t="str">
        <f>_xlfn.LET(
    _xlpm.MacVal, _xlfn.XLOOKUP($A2, Output_Mac!$A:$A, Output_Mac!AB:AB, ""),
    _xlpm.MyAuditVal, _xlfn.XLOOKUP($A2, My_Audit!$A:$A, My_Audit!L:L, ""),
    _xlfn.TEXTJOIN(", ", TRUE, _xlpm.MyAuditVal, _xlpm.MacVal)
)</f>
        <v/>
      </c>
    </row>
    <row r="3" spans="1:23">
      <c r="A3" s="45" t="str">
        <f>_xlfn.TEXTJOIN("",TRUE,Input!$B$2,"0",ROW(My_Audit!A2))</f>
        <v>XX02</v>
      </c>
      <c r="B3" s="45" t="str">
        <f>_xlfn.TEXTJOIN("-",TRUE,"ITD",Input!$A$2,A3)</f>
        <v>ITD-SHRXXX-XX02</v>
      </c>
      <c r="C3" s="45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46" t="str" cm="1">
        <f t="array" ref="D3">IFERROR(_xlfn.LET(
_xlpm.CSVVal,_xlfn.XLOOKUP($A3,CSV!$A:$A,CSV!C:C,""),
_xlpm.MacVal,_xlfn.XLOOKUP($A3,Output_Mac!$A:$A,Output_Mac!D:D,""),
_xlpm.MyAuditVal,_xlfn.XLOOKUP($A3,My_Audit!$A:$A,My_Audit!C:C,""),
_xlfn.IFS(_xlpm.MyAuditVal&lt;&gt;"",UPPER(_xlpm.MyAuditVal),_xlpm.MacVal&lt;&gt;"",_xlpm.MacVal,_xlpm.CSVVal&lt;&gt;"",_xlpm.CSVVal
)),"")</f>
        <v/>
      </c>
      <c r="E3" s="46" t="str" cm="1">
        <f t="array" ref="E3">IFERROR(_xlfn.LET(
_xlpm.CSVVal,_xlfn.XLOOKUP($A3,CSV!$A:$A,CSV!E:E,""),
_xlpm.MacVal,_xlfn.XLOOKUP($A3,Output_Mac!$A:$A,Output_Mac!C:C,""),
_xlpm.MyAuditVal,_xlfn.XLOOKUP($A3,My_Audit!$A:$A,My_Audit!D:D,""),
_xlfn.IFS(_xlpm.MyAuditVal&lt;&gt;"",_xlpm.MyAuditVal,_xlpm.MacVal&lt;&gt;"",_xlpm.MacVal,_xlpm.CSVVal&lt;&gt;"",_xlpm.CSVVal
)),"")</f>
        <v/>
      </c>
      <c r="F3" s="45" t="str" cm="1">
        <f t="array" ref="F3">IFERROR(_xlfn.LET(
_xlpm.CSVVal,_xlfn.XLOOKUP($A3,CSV!$A:$A,CSV!F:F,""),
_xlpm.MacVal,_xlfn.XLOOKUP($A3,Output_Mac!$A:$A,Output_Mac!F:F,""),
_xlpm.MyAuditVal,_xlfn.XLOOKUP($A3,My_Audit!$A:$A,My_Audit!E:E,""),
_xlfn.IFS(_xlpm.MyAuditVal&lt;&gt;"",_xlpm.MyAuditVal,_xlpm.MacVal&lt;&gt;"",_xlpm.MacVal,_xlpm.CSVVal&lt;&gt;"",PROPER(_xlpm.CSVVal)
)),"")</f>
        <v/>
      </c>
      <c r="G3" s="45" t="str" cm="1">
        <f t="array" ref="G3">IFERROR(_xlfn.LET(
_xlpm.CSVVal,_xlfn.XLOOKUP($A3,CSV!$A:$A,CSV!G:G,""),
_xlpm.MacVal,_xlfn.XLOOKUP($A3,Output_Mac!$A:$A,Output_Mac!H:H,""),
_xlpm.MyAuditVal,_xlfn.XLOOKUP($A3,My_Audit!$A:$A,My_Audit!F:F,""),
_xlfn.IFS(_xlpm.MyAuditVal&lt;&gt;"",_xlpm.MyAuditVal,_xlpm.MacVal&lt;&gt;"",_xlpm.MacVal,_xlpm.CSVVal&lt;&gt;"",_xlpm.CSVVal
)),"")</f>
        <v/>
      </c>
      <c r="H3" s="45" t="str">
        <f>_xlfn.XLOOKUP(A3,Output_Mac!A:A,Output_Mac!I:I,"")</f>
        <v/>
      </c>
      <c r="I3" s="45" t="str" cm="1">
        <f t="array" ref="I3">IFERROR(_xlfn.LET(
_xlpm.CSVVal,_xlfn.XLOOKUP($A3,CSV!$A:$A,CSV!H:H,""),
_xlpm.MacVal,_xlfn.XLOOKUP($A3,Output_Mac!$A:$A,Output_Mac!J:J,""),
_xlpm.MyAuditVal,_xlfn.XLOOKUP($A3,My_Audit!$A:$A,My_Audit!H:H,""),
_xlfn.IFS(_xlpm.MyAuditVal&lt;&gt;"",UPPER(_xlpm.MyAuditVal),_xlpm.MacVal&lt;&gt;"",_xlpm.MacVal,_xlpm.CSVVal&lt;&gt;"",_xlpm.CSVVal
)),"")</f>
        <v/>
      </c>
      <c r="J3" s="45" t="str" cm="1">
        <f t="array" ref="J3">IFERROR(_xlfn.LET(
_xlpm.CSVVal,_xlfn.XLOOKUP($A3,CSV!$A:$A,CSV!J:J,""),
_xlpm.MacVal,_xlfn.XLOOKUP($A3,Output_Mac!$A:$A,Output_Mac!K:K,""),
_xlpm.MyAuditVal,_xlfn.XLOOKUP($A3,My_Audit!$A:$A,My_Audit!I:I,""),
_xlfn.IFS(_xlpm.MyAuditVal&lt;&gt;"",UPPER(_xlpm.MyAuditVal),_xlpm.MacVal&lt;&gt;"",_xlpm.MacVal,_xlpm.CSVVal&lt;&gt;"",_xlpm.CSVVal
)),"")</f>
        <v/>
      </c>
      <c r="K3" s="45" t="str" cm="1">
        <f t="array" ref="K3">IFERROR(_xlfn.LET(
_xlpm.CSVVal,_xlfn.XLOOKUP($A3,CSV!$A:$A,CSV!N:N,""),
_xlpm.MacVal,_xlfn.XLOOKUP($A3,Output_Mac!$A:$A,Output_Mac!L:L,""),
_xlpm.MyAuditVal,_xlfn.XLOOKUP($A3,My_Audit!$A:$A,My_Audit!J:J,""),
_xlfn.IFS(_xlpm.MyAuditVal&lt;&gt;"",UPPER(_xlpm.MyAuditVal),_xlpm.MacVal&lt;&gt;"",_xlpm.MacVal,_xlpm.CSVVal&lt;&gt;"",_xlpm.CSVVal
)),"")</f>
        <v/>
      </c>
      <c r="L3" s="46" t="str" cm="1">
        <f t="array" ref="L3">IFERROR(_xlfn.LET(
_xlpm.CSVVal,_xlfn.XLOOKUP($A3,CSV!$A:$A,CSV!Q:Q,""),
_xlpm.MacVal,_xlfn.XLOOKUP($A3,Output_Mac!$A:$A,Output_Mac!M:M,""),
_xlpm.MyAuditVal,_xlfn.XLOOKUP($A3,My_Audit!$A:$A,My_Audit!K:K,""),
_xlfn.IFS(_xlpm.MyAuditVal&lt;&gt;"",UPPER(_xlpm.MyAuditVal),_xlpm.MacVal&lt;&gt;"",_xlpm.MacVal,_xlpm.CSVVal&lt;&gt;"",_xlpm.CSVVal
)),"")</f>
        <v/>
      </c>
      <c r="M3" s="45" t="str">
        <f>_xlfn.LET(
    _xlpm.CSVVal, _xlfn.XLOOKUP($A3, CSV!$A:$A, CSV!AE:AE, ""),
    _xlpm.MacVal, _xlfn.XLOOKUP($A3, Output_Mac!$A:$A, Output_Mac!S:S, ""),
    _xlpm.MyAuditVal, _xlfn.XLOOKUP($A3, My_Audit!$A:$A, My_Audit!N:N, ""),
    _xlfn.TEXTJOIN(", ", TRUE, _xlpm.MyAuditVal, _xlpm.MacVal, _xlpm.CSVVal)
)</f>
        <v/>
      </c>
      <c r="N3" s="45" t="str" cm="1">
        <f t="array" ref="N3">IFERROR(_xlfn.LET(
_xlpm.CSVVal,_xlfn.XLOOKUP($A3,CSV!$A:$A,CSV!AG:AG,""),
_xlpm.MacVal,_xlfn.XLOOKUP($A3,Output_Mac!$A:$A,Output_Mac!U:U,""),
_xlpm.MyAuditVal,_xlfn.XLOOKUP($A3,My_Audit!$A:$A,My_Audit!O:O,""),
_xlfn.IFS(_xlpm.MyAuditVal&lt;&gt;"",UPPER(_xlpm.MyAuditVal),_xlpm.MacVal&lt;&gt;"",_xlpm.MacVal,_xlpm.CSVVal&lt;&gt;"",_xlpm.CSVVal
)),"")</f>
        <v/>
      </c>
      <c r="O3" s="46" t="str">
        <f>_xlfn.XLOOKUP(C3,My_Audit!B:B,My_Audit!P:P,"")&amp;""</f>
        <v/>
      </c>
      <c r="P3" s="45"/>
      <c r="Q3" s="46" t="str">
        <f>IF(LEFT(N3,4)="Pass","Nist SP 800-88",My_Audit!R3)&amp;""</f>
        <v/>
      </c>
      <c r="R3" s="45"/>
      <c r="S3" s="45"/>
      <c r="T3" s="46" t="str">
        <f>_xlfn.XLOOKUP(E3,Models!I:I,Models!J:J,"")</f>
        <v/>
      </c>
      <c r="U3" s="45"/>
      <c r="V3" s="45"/>
      <c r="W3" s="38" t="str">
        <f>_xlfn.LET(
    _xlpm.MacVal, _xlfn.XLOOKUP($A3, Output_Mac!$A:$A, Output_Mac!AB:AB, ""),
    _xlpm.MyAuditVal, _xlfn.XLOOKUP($A3, My_Audit!$A:$A, My_Audit!L:L, ""),
    _xlfn.TEXTJOIN(", ", TRUE, _xlpm.MyAuditVal, _xlpm.MacVal)
)</f>
        <v/>
      </c>
    </row>
    <row r="4" spans="1:23">
      <c r="A4" s="45" t="str">
        <f>_xlfn.TEXTJOIN("",TRUE,Input!$B$2,"0",ROW(My_Audit!A3))</f>
        <v>XX03</v>
      </c>
      <c r="B4" s="45" t="str">
        <f>_xlfn.TEXTJOIN("-",TRUE,"ITD",Input!$A$2,A4)</f>
        <v>ITD-SHRXXX-XX03</v>
      </c>
      <c r="C4" s="45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46" t="str" cm="1">
        <f t="array" ref="D4">IFERROR(_xlfn.LET(
_xlpm.CSVVal,_xlfn.XLOOKUP($A4,CSV!$A:$A,CSV!C:C,""),
_xlpm.MacVal,_xlfn.XLOOKUP($A4,Output_Mac!$A:$A,Output_Mac!D:D,""),
_xlpm.MyAuditVal,_xlfn.XLOOKUP($A4,My_Audit!$A:$A,My_Audit!C:C,""),
_xlfn.IFS(_xlpm.MyAuditVal&lt;&gt;"",UPPER(_xlpm.MyAuditVal),_xlpm.MacVal&lt;&gt;"",_xlpm.MacVal,_xlpm.CSVVal&lt;&gt;"",_xlpm.CSVVal
)),"")</f>
        <v/>
      </c>
      <c r="E4" s="46" t="str" cm="1">
        <f t="array" ref="E4">IFERROR(_xlfn.LET(
_xlpm.CSVVal,_xlfn.XLOOKUP($A4,CSV!$A:$A,CSV!E:E,""),
_xlpm.MacVal,_xlfn.XLOOKUP($A4,Output_Mac!$A:$A,Output_Mac!C:C,""),
_xlpm.MyAuditVal,_xlfn.XLOOKUP($A4,My_Audit!$A:$A,My_Audit!D:D,""),
_xlfn.IFS(_xlpm.MyAuditVal&lt;&gt;"",_xlpm.MyAuditVal,_xlpm.MacVal&lt;&gt;"",_xlpm.MacVal,_xlpm.CSVVal&lt;&gt;"",_xlpm.CSVVal
)),"")</f>
        <v/>
      </c>
      <c r="F4" s="45" t="str" cm="1">
        <f t="array" ref="F4">IFERROR(_xlfn.LET(
_xlpm.CSVVal,_xlfn.XLOOKUP($A4,CSV!$A:$A,CSV!F:F,""),
_xlpm.MacVal,_xlfn.XLOOKUP($A4,Output_Mac!$A:$A,Output_Mac!F:F,""),
_xlpm.MyAuditVal,_xlfn.XLOOKUP($A4,My_Audit!$A:$A,My_Audit!E:E,""),
_xlfn.IFS(_xlpm.MyAuditVal&lt;&gt;"",_xlpm.MyAuditVal,_xlpm.MacVal&lt;&gt;"",_xlpm.MacVal,_xlpm.CSVVal&lt;&gt;"",PROPER(_xlpm.CSVVal)
)),"")</f>
        <v/>
      </c>
      <c r="G4" s="45" t="str" cm="1">
        <f t="array" ref="G4">IFERROR(_xlfn.LET(
_xlpm.CSVVal,_xlfn.XLOOKUP($A4,CSV!$A:$A,CSV!G:G,""),
_xlpm.MacVal,_xlfn.XLOOKUP($A4,Output_Mac!$A:$A,Output_Mac!H:H,""),
_xlpm.MyAuditVal,_xlfn.XLOOKUP($A4,My_Audit!$A:$A,My_Audit!F:F,""),
_xlfn.IFS(_xlpm.MyAuditVal&lt;&gt;"",_xlpm.MyAuditVal,_xlpm.MacVal&lt;&gt;"",_xlpm.MacVal,_xlpm.CSVVal&lt;&gt;"",_xlpm.CSVVal
)),"")</f>
        <v/>
      </c>
      <c r="H4" s="45" t="str">
        <f>_xlfn.XLOOKUP(A4,Output_Mac!A:A,Output_Mac!I:I,"")</f>
        <v/>
      </c>
      <c r="I4" s="45" t="str" cm="1">
        <f t="array" ref="I4">IFERROR(_xlfn.LET(
_xlpm.CSVVal,_xlfn.XLOOKUP($A4,CSV!$A:$A,CSV!H:H,""),
_xlpm.MacVal,_xlfn.XLOOKUP($A4,Output_Mac!$A:$A,Output_Mac!J:J,""),
_xlpm.MyAuditVal,_xlfn.XLOOKUP($A4,My_Audit!$A:$A,My_Audit!H:H,""),
_xlfn.IFS(_xlpm.MyAuditVal&lt;&gt;"",UPPER(_xlpm.MyAuditVal),_xlpm.MacVal&lt;&gt;"",_xlpm.MacVal,_xlpm.CSVVal&lt;&gt;"",_xlpm.CSVVal
)),"")</f>
        <v/>
      </c>
      <c r="J4" s="45" t="str" cm="1">
        <f t="array" ref="J4">IFERROR(_xlfn.LET(
_xlpm.CSVVal,_xlfn.XLOOKUP($A4,CSV!$A:$A,CSV!J:J,""),
_xlpm.MacVal,_xlfn.XLOOKUP($A4,Output_Mac!$A:$A,Output_Mac!K:K,""),
_xlpm.MyAuditVal,_xlfn.XLOOKUP($A4,My_Audit!$A:$A,My_Audit!I:I,""),
_xlfn.IFS(_xlpm.MyAuditVal&lt;&gt;"",UPPER(_xlpm.MyAuditVal),_xlpm.MacVal&lt;&gt;"",_xlpm.MacVal,_xlpm.CSVVal&lt;&gt;"",_xlpm.CSVVal
)),"")</f>
        <v/>
      </c>
      <c r="K4" s="45" t="str" cm="1">
        <f t="array" ref="K4">IFERROR(_xlfn.LET(
_xlpm.CSVVal,_xlfn.XLOOKUP($A4,CSV!$A:$A,CSV!N:N,""),
_xlpm.MacVal,_xlfn.XLOOKUP($A4,Output_Mac!$A:$A,Output_Mac!L:L,""),
_xlpm.MyAuditVal,_xlfn.XLOOKUP($A4,My_Audit!$A:$A,My_Audit!J:J,""),
_xlfn.IFS(_xlpm.MyAuditVal&lt;&gt;"",UPPER(_xlpm.MyAuditVal),_xlpm.MacVal&lt;&gt;"",_xlpm.MacVal,_xlpm.CSVVal&lt;&gt;"",_xlpm.CSVVal
)),"")</f>
        <v/>
      </c>
      <c r="L4" s="46" t="str" cm="1">
        <f t="array" ref="L4">IFERROR(_xlfn.LET(
_xlpm.CSVVal,_xlfn.XLOOKUP($A4,CSV!$A:$A,CSV!Q:Q,""),
_xlpm.MacVal,_xlfn.XLOOKUP($A4,Output_Mac!$A:$A,Output_Mac!M:M,""),
_xlpm.MyAuditVal,_xlfn.XLOOKUP($A4,My_Audit!$A:$A,My_Audit!K:K,""),
_xlfn.IFS(_xlpm.MyAuditVal&lt;&gt;"",UPPER(_xlpm.MyAuditVal),_xlpm.MacVal&lt;&gt;"",_xlpm.MacVal,_xlpm.CSVVal&lt;&gt;"",_xlpm.CSVVal
)),"")</f>
        <v/>
      </c>
      <c r="M4" s="45" t="str">
        <f>_xlfn.LET(
    _xlpm.CSVVal, _xlfn.XLOOKUP($A4, CSV!$A:$A, CSV!AE:AE, ""),
    _xlpm.MacVal, _xlfn.XLOOKUP($A4, Output_Mac!$A:$A, Output_Mac!S:S, ""),
    _xlpm.MyAuditVal, _xlfn.XLOOKUP($A4, My_Audit!$A:$A, My_Audit!N:N, ""),
    _xlfn.TEXTJOIN(", ", TRUE, _xlpm.MyAuditVal, _xlpm.MacVal, _xlpm.CSVVal)
)</f>
        <v/>
      </c>
      <c r="N4" s="45" t="str" cm="1">
        <f t="array" ref="N4">IFERROR(_xlfn.LET(
_xlpm.CSVVal,_xlfn.XLOOKUP($A4,CSV!$A:$A,CSV!AG:AG,""),
_xlpm.MacVal,_xlfn.XLOOKUP($A4,Output_Mac!$A:$A,Output_Mac!U:U,""),
_xlpm.MyAuditVal,_xlfn.XLOOKUP($A4,My_Audit!$A:$A,My_Audit!O:O,""),
_xlfn.IFS(_xlpm.MyAuditVal&lt;&gt;"",UPPER(_xlpm.MyAuditVal),_xlpm.MacVal&lt;&gt;"",_xlpm.MacVal,_xlpm.CSVVal&lt;&gt;"",_xlpm.CSVVal
)),"")</f>
        <v/>
      </c>
      <c r="O4" s="46" t="str">
        <f>_xlfn.XLOOKUP(C4,My_Audit!B:B,My_Audit!P:P,"")&amp;""</f>
        <v/>
      </c>
      <c r="P4" s="45"/>
      <c r="Q4" s="46" t="str">
        <f>IF(LEFT(N4,4)="Pass","Nist SP 800-88",My_Audit!R4)&amp;""</f>
        <v/>
      </c>
      <c r="R4" s="45"/>
      <c r="S4" s="45"/>
      <c r="T4" s="46" t="str">
        <f>_xlfn.XLOOKUP(E4,Models!I:I,Models!J:J,"")</f>
        <v/>
      </c>
      <c r="U4" s="45"/>
      <c r="V4" s="45"/>
      <c r="W4" s="38" t="str">
        <f>_xlfn.LET(
    _xlpm.MacVal, _xlfn.XLOOKUP($A4, Output_Mac!$A:$A, Output_Mac!AB:AB, ""),
    _xlpm.MyAuditVal, _xlfn.XLOOKUP($A4, My_Audit!$A:$A, My_Audit!L:L, ""),
    _xlfn.TEXTJOIN(", ", TRUE, _xlpm.MyAuditVal, _xlpm.MacVal)
)</f>
        <v/>
      </c>
    </row>
    <row r="5" spans="1:23">
      <c r="A5" s="45" t="str">
        <f>_xlfn.TEXTJOIN("",TRUE,Input!$B$2,"0",ROW(My_Audit!A4))</f>
        <v>XX04</v>
      </c>
      <c r="B5" s="45" t="str">
        <f>_xlfn.TEXTJOIN("-",TRUE,"ITD",Input!$A$2,A5)</f>
        <v>ITD-SHRXXX-XX04</v>
      </c>
      <c r="C5" s="45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46" t="str" cm="1">
        <f t="array" ref="D5">IFERROR(_xlfn.LET(
_xlpm.CSVVal,_xlfn.XLOOKUP($A5,CSV!$A:$A,CSV!C:C,""),
_xlpm.MacVal,_xlfn.XLOOKUP($A5,Output_Mac!$A:$A,Output_Mac!D:D,""),
_xlpm.MyAuditVal,_xlfn.XLOOKUP($A5,My_Audit!$A:$A,My_Audit!C:C,""),
_xlfn.IFS(_xlpm.MyAuditVal&lt;&gt;"",UPPER(_xlpm.MyAuditVal),_xlpm.MacVal&lt;&gt;"",_xlpm.MacVal,_xlpm.CSVVal&lt;&gt;"",_xlpm.CSVVal
)),"")</f>
        <v/>
      </c>
      <c r="E5" s="46" t="str" cm="1">
        <f t="array" ref="E5">IFERROR(_xlfn.LET(
_xlpm.CSVVal,_xlfn.XLOOKUP($A5,CSV!$A:$A,CSV!E:E,""),
_xlpm.MacVal,_xlfn.XLOOKUP($A5,Output_Mac!$A:$A,Output_Mac!C:C,""),
_xlpm.MyAuditVal,_xlfn.XLOOKUP($A5,My_Audit!$A:$A,My_Audit!D:D,""),
_xlfn.IFS(_xlpm.MyAuditVal&lt;&gt;"",_xlpm.MyAuditVal,_xlpm.MacVal&lt;&gt;"",_xlpm.MacVal,_xlpm.CSVVal&lt;&gt;"",_xlpm.CSVVal
)),"")</f>
        <v/>
      </c>
      <c r="F5" s="45" t="str" cm="1">
        <f t="array" ref="F5">IFERROR(_xlfn.LET(
_xlpm.CSVVal,_xlfn.XLOOKUP($A5,CSV!$A:$A,CSV!F:F,""),
_xlpm.MacVal,_xlfn.XLOOKUP($A5,Output_Mac!$A:$A,Output_Mac!F:F,""),
_xlpm.MyAuditVal,_xlfn.XLOOKUP($A5,My_Audit!$A:$A,My_Audit!E:E,""),
_xlfn.IFS(_xlpm.MyAuditVal&lt;&gt;"",_xlpm.MyAuditVal,_xlpm.MacVal&lt;&gt;"",_xlpm.MacVal,_xlpm.CSVVal&lt;&gt;"",PROPER(_xlpm.CSVVal)
)),"")</f>
        <v/>
      </c>
      <c r="G5" s="45" t="str" cm="1">
        <f t="array" ref="G5">IFERROR(_xlfn.LET(
_xlpm.CSVVal,_xlfn.XLOOKUP($A5,CSV!$A:$A,CSV!G:G,""),
_xlpm.MacVal,_xlfn.XLOOKUP($A5,Output_Mac!$A:$A,Output_Mac!H:H,""),
_xlpm.MyAuditVal,_xlfn.XLOOKUP($A5,My_Audit!$A:$A,My_Audit!F:F,""),
_xlfn.IFS(_xlpm.MyAuditVal&lt;&gt;"",_xlpm.MyAuditVal,_xlpm.MacVal&lt;&gt;"",_xlpm.MacVal,_xlpm.CSVVal&lt;&gt;"",_xlpm.CSVVal
)),"")</f>
        <v/>
      </c>
      <c r="H5" s="45" t="str">
        <f>_xlfn.XLOOKUP(A5,Output_Mac!A:A,Output_Mac!I:I,"")</f>
        <v/>
      </c>
      <c r="I5" s="45" t="str" cm="1">
        <f t="array" ref="I5">IFERROR(_xlfn.LET(
_xlpm.CSVVal,_xlfn.XLOOKUP($A5,CSV!$A:$A,CSV!H:H,""),
_xlpm.MacVal,_xlfn.XLOOKUP($A5,Output_Mac!$A:$A,Output_Mac!J:J,""),
_xlpm.MyAuditVal,_xlfn.XLOOKUP($A5,My_Audit!$A:$A,My_Audit!H:H,""),
_xlfn.IFS(_xlpm.MyAuditVal&lt;&gt;"",UPPER(_xlpm.MyAuditVal),_xlpm.MacVal&lt;&gt;"",_xlpm.MacVal,_xlpm.CSVVal&lt;&gt;"",_xlpm.CSVVal
)),"")</f>
        <v/>
      </c>
      <c r="J5" s="45" t="str" cm="1">
        <f t="array" ref="J5">IFERROR(_xlfn.LET(
_xlpm.CSVVal,_xlfn.XLOOKUP($A5,CSV!$A:$A,CSV!J:J,""),
_xlpm.MacVal,_xlfn.XLOOKUP($A5,Output_Mac!$A:$A,Output_Mac!K:K,""),
_xlpm.MyAuditVal,_xlfn.XLOOKUP($A5,My_Audit!$A:$A,My_Audit!I:I,""),
_xlfn.IFS(_xlpm.MyAuditVal&lt;&gt;"",UPPER(_xlpm.MyAuditVal),_xlpm.MacVal&lt;&gt;"",_xlpm.MacVal,_xlpm.CSVVal&lt;&gt;"",_xlpm.CSVVal
)),"")</f>
        <v/>
      </c>
      <c r="K5" s="45" t="str" cm="1">
        <f t="array" ref="K5">IFERROR(_xlfn.LET(
_xlpm.CSVVal,_xlfn.XLOOKUP($A5,CSV!$A:$A,CSV!N:N,""),
_xlpm.MacVal,_xlfn.XLOOKUP($A5,Output_Mac!$A:$A,Output_Mac!L:L,""),
_xlpm.MyAuditVal,_xlfn.XLOOKUP($A5,My_Audit!$A:$A,My_Audit!J:J,""),
_xlfn.IFS(_xlpm.MyAuditVal&lt;&gt;"",UPPER(_xlpm.MyAuditVal),_xlpm.MacVal&lt;&gt;"",_xlpm.MacVal,_xlpm.CSVVal&lt;&gt;"",_xlpm.CSVVal
)),"")</f>
        <v/>
      </c>
      <c r="L5" s="46" t="str" cm="1">
        <f t="array" ref="L5">IFERROR(_xlfn.LET(
_xlpm.CSVVal,_xlfn.XLOOKUP($A5,CSV!$A:$A,CSV!Q:Q,""),
_xlpm.MacVal,_xlfn.XLOOKUP($A5,Output_Mac!$A:$A,Output_Mac!M:M,""),
_xlpm.MyAuditVal,_xlfn.XLOOKUP($A5,My_Audit!$A:$A,My_Audit!K:K,""),
_xlfn.IFS(_xlpm.MyAuditVal&lt;&gt;"",UPPER(_xlpm.MyAuditVal),_xlpm.MacVal&lt;&gt;"",_xlpm.MacVal,_xlpm.CSVVal&lt;&gt;"",_xlpm.CSVVal
)),"")</f>
        <v/>
      </c>
      <c r="M5" s="45" t="str">
        <f>_xlfn.LET(
    _xlpm.CSVVal, _xlfn.XLOOKUP($A5, CSV!$A:$A, CSV!AE:AE, ""),
    _xlpm.MacVal, _xlfn.XLOOKUP($A5, Output_Mac!$A:$A, Output_Mac!S:S, ""),
    _xlpm.MyAuditVal, _xlfn.XLOOKUP($A5, My_Audit!$A:$A, My_Audit!N:N, ""),
    _xlfn.TEXTJOIN(", ", TRUE, _xlpm.MyAuditVal, _xlpm.MacVal, _xlpm.CSVVal)
)</f>
        <v/>
      </c>
      <c r="N5" s="45" t="str" cm="1">
        <f t="array" ref="N5">IFERROR(_xlfn.LET(
_xlpm.CSVVal,_xlfn.XLOOKUP($A5,CSV!$A:$A,CSV!AG:AG,""),
_xlpm.MacVal,_xlfn.XLOOKUP($A5,Output_Mac!$A:$A,Output_Mac!U:U,""),
_xlpm.MyAuditVal,_xlfn.XLOOKUP($A5,My_Audit!$A:$A,My_Audit!O:O,""),
_xlfn.IFS(_xlpm.MyAuditVal&lt;&gt;"",UPPER(_xlpm.MyAuditVal),_xlpm.MacVal&lt;&gt;"",_xlpm.MacVal,_xlpm.CSVVal&lt;&gt;"",_xlpm.CSVVal
)),"")</f>
        <v/>
      </c>
      <c r="O5" s="46" t="str">
        <f>_xlfn.XLOOKUP(C5,My_Audit!B:B,My_Audit!P:P,"")&amp;""</f>
        <v/>
      </c>
      <c r="P5" s="45"/>
      <c r="Q5" s="46" t="str">
        <f>IF(LEFT(N5,4)="Pass","Nist SP 800-88",My_Audit!R5)&amp;""</f>
        <v/>
      </c>
      <c r="R5" s="45"/>
      <c r="S5" s="45"/>
      <c r="T5" s="46" t="str">
        <f>_xlfn.XLOOKUP(E5,Models!I:I,Models!J:J,"")</f>
        <v/>
      </c>
      <c r="U5" s="45"/>
      <c r="V5" s="45"/>
      <c r="W5" s="38" t="str">
        <f>_xlfn.LET(
    _xlpm.MacVal, _xlfn.XLOOKUP($A5, Output_Mac!$A:$A, Output_Mac!AB:AB, ""),
    _xlpm.MyAuditVal, _xlfn.XLOOKUP($A5, My_Audit!$A:$A, My_Audit!L:L, ""),
    _xlfn.TEXTJOIN(", ", TRUE, _xlpm.MyAuditVal, _xlpm.MacVal)
)</f>
        <v/>
      </c>
    </row>
    <row r="6" spans="1:23">
      <c r="A6" s="45" t="str">
        <f>_xlfn.TEXTJOIN("",TRUE,Input!$B$2,"0",ROW(My_Audit!A5))</f>
        <v>XX05</v>
      </c>
      <c r="B6" s="45" t="str">
        <f>_xlfn.TEXTJOIN("-",TRUE,"ITD",Input!$A$2,A6)</f>
        <v>ITD-SHRXXX-XX05</v>
      </c>
      <c r="C6" s="45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46" t="str" cm="1">
        <f t="array" ref="D6">IFERROR(_xlfn.LET(
_xlpm.CSVVal,_xlfn.XLOOKUP($A6,CSV!$A:$A,CSV!C:C,""),
_xlpm.MacVal,_xlfn.XLOOKUP($A6,Output_Mac!$A:$A,Output_Mac!D:D,""),
_xlpm.MyAuditVal,_xlfn.XLOOKUP($A6,My_Audit!$A:$A,My_Audit!C:C,""),
_xlfn.IFS(_xlpm.MyAuditVal&lt;&gt;"",UPPER(_xlpm.MyAuditVal),_xlpm.MacVal&lt;&gt;"",_xlpm.MacVal,_xlpm.CSVVal&lt;&gt;"",_xlpm.CSVVal
)),"")</f>
        <v/>
      </c>
      <c r="E6" s="46" t="str" cm="1">
        <f t="array" ref="E6">IFERROR(_xlfn.LET(
_xlpm.CSVVal,_xlfn.XLOOKUP($A6,CSV!$A:$A,CSV!E:E,""),
_xlpm.MacVal,_xlfn.XLOOKUP($A6,Output_Mac!$A:$A,Output_Mac!C:C,""),
_xlpm.MyAuditVal,_xlfn.XLOOKUP($A6,My_Audit!$A:$A,My_Audit!D:D,""),
_xlfn.IFS(_xlpm.MyAuditVal&lt;&gt;"",_xlpm.MyAuditVal,_xlpm.MacVal&lt;&gt;"",_xlpm.MacVal,_xlpm.CSVVal&lt;&gt;"",_xlpm.CSVVal
)),"")</f>
        <v/>
      </c>
      <c r="F6" s="45" t="str" cm="1">
        <f t="array" ref="F6">IFERROR(_xlfn.LET(
_xlpm.CSVVal,_xlfn.XLOOKUP($A6,CSV!$A:$A,CSV!F:F,""),
_xlpm.MacVal,_xlfn.XLOOKUP($A6,Output_Mac!$A:$A,Output_Mac!F:F,""),
_xlpm.MyAuditVal,_xlfn.XLOOKUP($A6,My_Audit!$A:$A,My_Audit!E:E,""),
_xlfn.IFS(_xlpm.MyAuditVal&lt;&gt;"",_xlpm.MyAuditVal,_xlpm.MacVal&lt;&gt;"",_xlpm.MacVal,_xlpm.CSVVal&lt;&gt;"",PROPER(_xlpm.CSVVal)
)),"")</f>
        <v/>
      </c>
      <c r="G6" s="45" t="str" cm="1">
        <f t="array" ref="G6">IFERROR(_xlfn.LET(
_xlpm.CSVVal,_xlfn.XLOOKUP($A6,CSV!$A:$A,CSV!G:G,""),
_xlpm.MacVal,_xlfn.XLOOKUP($A6,Output_Mac!$A:$A,Output_Mac!H:H,""),
_xlpm.MyAuditVal,_xlfn.XLOOKUP($A6,My_Audit!$A:$A,My_Audit!F:F,""),
_xlfn.IFS(_xlpm.MyAuditVal&lt;&gt;"",_xlpm.MyAuditVal,_xlpm.MacVal&lt;&gt;"",_xlpm.MacVal,_xlpm.CSVVal&lt;&gt;"",_xlpm.CSVVal
)),"")</f>
        <v/>
      </c>
      <c r="H6" s="45" t="str">
        <f>_xlfn.XLOOKUP(A6,Output_Mac!A:A,Output_Mac!I:I,"")</f>
        <v/>
      </c>
      <c r="I6" s="45" t="str" cm="1">
        <f t="array" ref="I6">IFERROR(_xlfn.LET(
_xlpm.CSVVal,_xlfn.XLOOKUP($A6,CSV!$A:$A,CSV!H:H,""),
_xlpm.MacVal,_xlfn.XLOOKUP($A6,Output_Mac!$A:$A,Output_Mac!J:J,""),
_xlpm.MyAuditVal,_xlfn.XLOOKUP($A6,My_Audit!$A:$A,My_Audit!H:H,""),
_xlfn.IFS(_xlpm.MyAuditVal&lt;&gt;"",UPPER(_xlpm.MyAuditVal),_xlpm.MacVal&lt;&gt;"",_xlpm.MacVal,_xlpm.CSVVal&lt;&gt;"",_xlpm.CSVVal
)),"")</f>
        <v/>
      </c>
      <c r="J6" s="45" t="str" cm="1">
        <f t="array" ref="J6">IFERROR(_xlfn.LET(
_xlpm.CSVVal,_xlfn.XLOOKUP($A6,CSV!$A:$A,CSV!J:J,""),
_xlpm.MacVal,_xlfn.XLOOKUP($A6,Output_Mac!$A:$A,Output_Mac!K:K,""),
_xlpm.MyAuditVal,_xlfn.XLOOKUP($A6,My_Audit!$A:$A,My_Audit!I:I,""),
_xlfn.IFS(_xlpm.MyAuditVal&lt;&gt;"",UPPER(_xlpm.MyAuditVal),_xlpm.MacVal&lt;&gt;"",_xlpm.MacVal,_xlpm.CSVVal&lt;&gt;"",_xlpm.CSVVal
)),"")</f>
        <v/>
      </c>
      <c r="K6" s="45" t="str" cm="1">
        <f t="array" ref="K6">IFERROR(_xlfn.LET(
_xlpm.CSVVal,_xlfn.XLOOKUP($A6,CSV!$A:$A,CSV!N:N,""),
_xlpm.MacVal,_xlfn.XLOOKUP($A6,Output_Mac!$A:$A,Output_Mac!L:L,""),
_xlpm.MyAuditVal,_xlfn.XLOOKUP($A6,My_Audit!$A:$A,My_Audit!J:J,""),
_xlfn.IFS(_xlpm.MyAuditVal&lt;&gt;"",UPPER(_xlpm.MyAuditVal),_xlpm.MacVal&lt;&gt;"",_xlpm.MacVal,_xlpm.CSVVal&lt;&gt;"",_xlpm.CSVVal
)),"")</f>
        <v/>
      </c>
      <c r="L6" s="46" t="str" cm="1">
        <f t="array" ref="L6">IFERROR(_xlfn.LET(
_xlpm.CSVVal,_xlfn.XLOOKUP($A6,CSV!$A:$A,CSV!Q:Q,""),
_xlpm.MacVal,_xlfn.XLOOKUP($A6,Output_Mac!$A:$A,Output_Mac!M:M,""),
_xlpm.MyAuditVal,_xlfn.XLOOKUP($A6,My_Audit!$A:$A,My_Audit!K:K,""),
_xlfn.IFS(_xlpm.MyAuditVal&lt;&gt;"",UPPER(_xlpm.MyAuditVal),_xlpm.MacVal&lt;&gt;"",_xlpm.MacVal,_xlpm.CSVVal&lt;&gt;"",_xlpm.CSVVal
)),"")</f>
        <v/>
      </c>
      <c r="M6" s="45" t="str">
        <f>_xlfn.LET(
    _xlpm.CSVVal, _xlfn.XLOOKUP($A6, CSV!$A:$A, CSV!AE:AE, ""),
    _xlpm.MacVal, _xlfn.XLOOKUP($A6, Output_Mac!$A:$A, Output_Mac!S:S, ""),
    _xlpm.MyAuditVal, _xlfn.XLOOKUP($A6, My_Audit!$A:$A, My_Audit!N:N, ""),
    _xlfn.TEXTJOIN(", ", TRUE, _xlpm.MyAuditVal, _xlpm.MacVal, _xlpm.CSVVal)
)</f>
        <v/>
      </c>
      <c r="N6" s="45" t="str" cm="1">
        <f t="array" ref="N6">IFERROR(_xlfn.LET(
_xlpm.CSVVal,_xlfn.XLOOKUP($A6,CSV!$A:$A,CSV!AG:AG,""),
_xlpm.MacVal,_xlfn.XLOOKUP($A6,Output_Mac!$A:$A,Output_Mac!U:U,""),
_xlpm.MyAuditVal,_xlfn.XLOOKUP($A6,My_Audit!$A:$A,My_Audit!O:O,""),
_xlfn.IFS(_xlpm.MyAuditVal&lt;&gt;"",UPPER(_xlpm.MyAuditVal),_xlpm.MacVal&lt;&gt;"",_xlpm.MacVal,_xlpm.CSVVal&lt;&gt;"",_xlpm.CSVVal
)),"")</f>
        <v/>
      </c>
      <c r="O6" s="46" t="str">
        <f>_xlfn.XLOOKUP(C6,My_Audit!B:B,My_Audit!P:P,"")&amp;""</f>
        <v/>
      </c>
      <c r="P6" s="45"/>
      <c r="Q6" s="46" t="str">
        <f>IF(LEFT(N6,4)="Pass","Nist SP 800-88",My_Audit!R6)&amp;""</f>
        <v/>
      </c>
      <c r="R6" s="45"/>
      <c r="S6" s="45"/>
      <c r="T6" s="46" t="str">
        <f>_xlfn.XLOOKUP(E6,Models!I:I,Models!J:J,"")</f>
        <v/>
      </c>
      <c r="U6" s="45"/>
      <c r="V6" s="45"/>
      <c r="W6" s="38" t="str">
        <f>_xlfn.LET(
    _xlpm.MacVal, _xlfn.XLOOKUP($A6, Output_Mac!$A:$A, Output_Mac!AB:AB, ""),
    _xlpm.MyAuditVal, _xlfn.XLOOKUP($A6, My_Audit!$A:$A, My_Audit!L:L, ""),
    _xlfn.TEXTJOIN(", ", TRUE, _xlpm.MyAuditVal, _xlpm.MacVal)
)</f>
        <v/>
      </c>
    </row>
    <row r="7" spans="1:23">
      <c r="A7" s="45" t="str">
        <f>_xlfn.TEXTJOIN("",TRUE,Input!$B$2,"0",ROW(My_Audit!A6))</f>
        <v>XX06</v>
      </c>
      <c r="B7" s="45" t="str">
        <f>_xlfn.TEXTJOIN("-",TRUE,"ITD",Input!$A$2,A7)</f>
        <v>ITD-SHRXXX-XX06</v>
      </c>
      <c r="C7" s="45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46" t="str" cm="1">
        <f t="array" ref="D7">IFERROR(_xlfn.LET(
_xlpm.CSVVal,_xlfn.XLOOKUP($A7,CSV!$A:$A,CSV!C:C,""),
_xlpm.MacVal,_xlfn.XLOOKUP($A7,Output_Mac!$A:$A,Output_Mac!D:D,""),
_xlpm.MyAuditVal,_xlfn.XLOOKUP($A7,My_Audit!$A:$A,My_Audit!C:C,""),
_xlfn.IFS(_xlpm.MyAuditVal&lt;&gt;"",UPPER(_xlpm.MyAuditVal),_xlpm.MacVal&lt;&gt;"",_xlpm.MacVal,_xlpm.CSVVal&lt;&gt;"",_xlpm.CSVVal
)),"")</f>
        <v/>
      </c>
      <c r="E7" s="46" t="str" cm="1">
        <f t="array" ref="E7">IFERROR(_xlfn.LET(
_xlpm.CSVVal,_xlfn.XLOOKUP($A7,CSV!$A:$A,CSV!E:E,""),
_xlpm.MacVal,_xlfn.XLOOKUP($A7,Output_Mac!$A:$A,Output_Mac!C:C,""),
_xlpm.MyAuditVal,_xlfn.XLOOKUP($A7,My_Audit!$A:$A,My_Audit!D:D,""),
_xlfn.IFS(_xlpm.MyAuditVal&lt;&gt;"",_xlpm.MyAuditVal,_xlpm.MacVal&lt;&gt;"",_xlpm.MacVal,_xlpm.CSVVal&lt;&gt;"",_xlpm.CSVVal
)),"")</f>
        <v/>
      </c>
      <c r="F7" s="45" t="str" cm="1">
        <f t="array" ref="F7">IFERROR(_xlfn.LET(
_xlpm.CSVVal,_xlfn.XLOOKUP($A7,CSV!$A:$A,CSV!F:F,""),
_xlpm.MacVal,_xlfn.XLOOKUP($A7,Output_Mac!$A:$A,Output_Mac!F:F,""),
_xlpm.MyAuditVal,_xlfn.XLOOKUP($A7,My_Audit!$A:$A,My_Audit!E:E,""),
_xlfn.IFS(_xlpm.MyAuditVal&lt;&gt;"",_xlpm.MyAuditVal,_xlpm.MacVal&lt;&gt;"",_xlpm.MacVal,_xlpm.CSVVal&lt;&gt;"",PROPER(_xlpm.CSVVal)
)),"")</f>
        <v/>
      </c>
      <c r="G7" s="45" t="str" cm="1">
        <f t="array" ref="G7">IFERROR(_xlfn.LET(
_xlpm.CSVVal,_xlfn.XLOOKUP($A7,CSV!$A:$A,CSV!G:G,""),
_xlpm.MacVal,_xlfn.XLOOKUP($A7,Output_Mac!$A:$A,Output_Mac!H:H,""),
_xlpm.MyAuditVal,_xlfn.XLOOKUP($A7,My_Audit!$A:$A,My_Audit!F:F,""),
_xlfn.IFS(_xlpm.MyAuditVal&lt;&gt;"",_xlpm.MyAuditVal,_xlpm.MacVal&lt;&gt;"",_xlpm.MacVal,_xlpm.CSVVal&lt;&gt;"",_xlpm.CSVVal
)),"")</f>
        <v/>
      </c>
      <c r="H7" s="45" t="str">
        <f>_xlfn.XLOOKUP(A7,Output_Mac!A:A,Output_Mac!I:I,"")</f>
        <v/>
      </c>
      <c r="I7" s="45" t="str" cm="1">
        <f t="array" ref="I7">IFERROR(_xlfn.LET(
_xlpm.CSVVal,_xlfn.XLOOKUP($A7,CSV!$A:$A,CSV!H:H,""),
_xlpm.MacVal,_xlfn.XLOOKUP($A7,Output_Mac!$A:$A,Output_Mac!J:J,""),
_xlpm.MyAuditVal,_xlfn.XLOOKUP($A7,My_Audit!$A:$A,My_Audit!H:H,""),
_xlfn.IFS(_xlpm.MyAuditVal&lt;&gt;"",UPPER(_xlpm.MyAuditVal),_xlpm.MacVal&lt;&gt;"",_xlpm.MacVal,_xlpm.CSVVal&lt;&gt;"",_xlpm.CSVVal
)),"")</f>
        <v/>
      </c>
      <c r="J7" s="45" t="str" cm="1">
        <f t="array" ref="J7">IFERROR(_xlfn.LET(
_xlpm.CSVVal,_xlfn.XLOOKUP($A7,CSV!$A:$A,CSV!J:J,""),
_xlpm.MacVal,_xlfn.XLOOKUP($A7,Output_Mac!$A:$A,Output_Mac!K:K,""),
_xlpm.MyAuditVal,_xlfn.XLOOKUP($A7,My_Audit!$A:$A,My_Audit!I:I,""),
_xlfn.IFS(_xlpm.MyAuditVal&lt;&gt;"",UPPER(_xlpm.MyAuditVal),_xlpm.MacVal&lt;&gt;"",_xlpm.MacVal,_xlpm.CSVVal&lt;&gt;"",_xlpm.CSVVal
)),"")</f>
        <v/>
      </c>
      <c r="K7" s="45" t="str" cm="1">
        <f t="array" ref="K7">IFERROR(_xlfn.LET(
_xlpm.CSVVal,_xlfn.XLOOKUP($A7,CSV!$A:$A,CSV!N:N,""),
_xlpm.MacVal,_xlfn.XLOOKUP($A7,Output_Mac!$A:$A,Output_Mac!L:L,""),
_xlpm.MyAuditVal,_xlfn.XLOOKUP($A7,My_Audit!$A:$A,My_Audit!J:J,""),
_xlfn.IFS(_xlpm.MyAuditVal&lt;&gt;"",UPPER(_xlpm.MyAuditVal),_xlpm.MacVal&lt;&gt;"",_xlpm.MacVal,_xlpm.CSVVal&lt;&gt;"",_xlpm.CSVVal
)),"")</f>
        <v/>
      </c>
      <c r="L7" s="46" t="str" cm="1">
        <f t="array" ref="L7">IFERROR(_xlfn.LET(
_xlpm.CSVVal,_xlfn.XLOOKUP($A7,CSV!$A:$A,CSV!Q:Q,""),
_xlpm.MacVal,_xlfn.XLOOKUP($A7,Output_Mac!$A:$A,Output_Mac!M:M,""),
_xlpm.MyAuditVal,_xlfn.XLOOKUP($A7,My_Audit!$A:$A,My_Audit!K:K,""),
_xlfn.IFS(_xlpm.MyAuditVal&lt;&gt;"",UPPER(_xlpm.MyAuditVal),_xlpm.MacVal&lt;&gt;"",_xlpm.MacVal,_xlpm.CSVVal&lt;&gt;"",_xlpm.CSVVal
)),"")</f>
        <v/>
      </c>
      <c r="M7" s="45" t="str">
        <f>_xlfn.LET(
    _xlpm.CSVVal, _xlfn.XLOOKUP($A7, CSV!$A:$A, CSV!AE:AE, ""),
    _xlpm.MacVal, _xlfn.XLOOKUP($A7, Output_Mac!$A:$A, Output_Mac!S:S, ""),
    _xlpm.MyAuditVal, _xlfn.XLOOKUP($A7, My_Audit!$A:$A, My_Audit!N:N, ""),
    _xlfn.TEXTJOIN(", ", TRUE, _xlpm.MyAuditVal, _xlpm.MacVal, _xlpm.CSVVal)
)</f>
        <v/>
      </c>
      <c r="N7" s="45" t="str" cm="1">
        <f t="array" ref="N7">IFERROR(_xlfn.LET(
_xlpm.CSVVal,_xlfn.XLOOKUP($A7,CSV!$A:$A,CSV!AG:AG,""),
_xlpm.MacVal,_xlfn.XLOOKUP($A7,Output_Mac!$A:$A,Output_Mac!U:U,""),
_xlpm.MyAuditVal,_xlfn.XLOOKUP($A7,My_Audit!$A:$A,My_Audit!O:O,""),
_xlfn.IFS(_xlpm.MyAuditVal&lt;&gt;"",UPPER(_xlpm.MyAuditVal),_xlpm.MacVal&lt;&gt;"",_xlpm.MacVal,_xlpm.CSVVal&lt;&gt;"",_xlpm.CSVVal
)),"")</f>
        <v/>
      </c>
      <c r="O7" s="46" t="str">
        <f>_xlfn.XLOOKUP(C7,My_Audit!B:B,My_Audit!P:P,"")&amp;""</f>
        <v/>
      </c>
      <c r="P7" s="45"/>
      <c r="Q7" s="46" t="str">
        <f>IF(LEFT(N7,4)="Pass","Nist SP 800-88",My_Audit!R7)&amp;""</f>
        <v/>
      </c>
      <c r="R7" s="45"/>
      <c r="S7" s="45"/>
      <c r="T7" s="46" t="str">
        <f>_xlfn.XLOOKUP(E7,Models!I:I,Models!J:J,"")</f>
        <v/>
      </c>
      <c r="U7" s="45"/>
      <c r="V7" s="45"/>
      <c r="W7" s="38" t="str">
        <f>_xlfn.LET(
    _xlpm.MacVal, _xlfn.XLOOKUP($A7, Output_Mac!$A:$A, Output_Mac!AB:AB, ""),
    _xlpm.MyAuditVal, _xlfn.XLOOKUP($A7, My_Audit!$A:$A, My_Audit!L:L, ""),
    _xlfn.TEXTJOIN(", ", TRUE, _xlpm.MyAuditVal, _xlpm.MacVal)
)</f>
        <v/>
      </c>
    </row>
    <row r="8" spans="1:23">
      <c r="A8" s="45" t="str">
        <f>_xlfn.TEXTJOIN("",TRUE,Input!$B$2,"0",ROW(My_Audit!A7))</f>
        <v>XX07</v>
      </c>
      <c r="B8" s="45" t="str">
        <f>_xlfn.TEXTJOIN("-",TRUE,"ITD",Input!$A$2,A8)</f>
        <v>ITD-SHRXXX-XX07</v>
      </c>
      <c r="C8" s="45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46" t="str" cm="1">
        <f t="array" ref="D8">IFERROR(_xlfn.LET(
_xlpm.CSVVal,_xlfn.XLOOKUP($A8,CSV!$A:$A,CSV!C:C,""),
_xlpm.MacVal,_xlfn.XLOOKUP($A8,Output_Mac!$A:$A,Output_Mac!D:D,""),
_xlpm.MyAuditVal,_xlfn.XLOOKUP($A8,My_Audit!$A:$A,My_Audit!C:C,""),
_xlfn.IFS(_xlpm.MyAuditVal&lt;&gt;"",UPPER(_xlpm.MyAuditVal),_xlpm.MacVal&lt;&gt;"",_xlpm.MacVal,_xlpm.CSVVal&lt;&gt;"",_xlpm.CSVVal
)),"")</f>
        <v/>
      </c>
      <c r="E8" s="46" t="str" cm="1">
        <f t="array" ref="E8">IFERROR(_xlfn.LET(
_xlpm.CSVVal,_xlfn.XLOOKUP($A8,CSV!$A:$A,CSV!E:E,""),
_xlpm.MacVal,_xlfn.XLOOKUP($A8,Output_Mac!$A:$A,Output_Mac!C:C,""),
_xlpm.MyAuditVal,_xlfn.XLOOKUP($A8,My_Audit!$A:$A,My_Audit!D:D,""),
_xlfn.IFS(_xlpm.MyAuditVal&lt;&gt;"",_xlpm.MyAuditVal,_xlpm.MacVal&lt;&gt;"",_xlpm.MacVal,_xlpm.CSVVal&lt;&gt;"",_xlpm.CSVVal
)),"")</f>
        <v/>
      </c>
      <c r="F8" s="45" t="str" cm="1">
        <f t="array" ref="F8">IFERROR(_xlfn.LET(
_xlpm.CSVVal,_xlfn.XLOOKUP($A8,CSV!$A:$A,CSV!F:F,""),
_xlpm.MacVal,_xlfn.XLOOKUP($A8,Output_Mac!$A:$A,Output_Mac!F:F,""),
_xlpm.MyAuditVal,_xlfn.XLOOKUP($A8,My_Audit!$A:$A,My_Audit!E:E,""),
_xlfn.IFS(_xlpm.MyAuditVal&lt;&gt;"",_xlpm.MyAuditVal,_xlpm.MacVal&lt;&gt;"",_xlpm.MacVal,_xlpm.CSVVal&lt;&gt;"",PROPER(_xlpm.CSVVal)
)),"")</f>
        <v/>
      </c>
      <c r="G8" s="45" t="str" cm="1">
        <f t="array" ref="G8">IFERROR(_xlfn.LET(
_xlpm.CSVVal,_xlfn.XLOOKUP($A8,CSV!$A:$A,CSV!G:G,""),
_xlpm.MacVal,_xlfn.XLOOKUP($A8,Output_Mac!$A:$A,Output_Mac!H:H,""),
_xlpm.MyAuditVal,_xlfn.XLOOKUP($A8,My_Audit!$A:$A,My_Audit!F:F,""),
_xlfn.IFS(_xlpm.MyAuditVal&lt;&gt;"",_xlpm.MyAuditVal,_xlpm.MacVal&lt;&gt;"",_xlpm.MacVal,_xlpm.CSVVal&lt;&gt;"",_xlpm.CSVVal
)),"")</f>
        <v/>
      </c>
      <c r="H8" s="45" t="str">
        <f>_xlfn.XLOOKUP(A8,Output_Mac!A:A,Output_Mac!I:I,"")</f>
        <v/>
      </c>
      <c r="I8" s="45" t="str" cm="1">
        <f t="array" ref="I8">IFERROR(_xlfn.LET(
_xlpm.CSVVal,_xlfn.XLOOKUP($A8,CSV!$A:$A,CSV!H:H,""),
_xlpm.MacVal,_xlfn.XLOOKUP($A8,Output_Mac!$A:$A,Output_Mac!J:J,""),
_xlpm.MyAuditVal,_xlfn.XLOOKUP($A8,My_Audit!$A:$A,My_Audit!H:H,""),
_xlfn.IFS(_xlpm.MyAuditVal&lt;&gt;"",UPPER(_xlpm.MyAuditVal),_xlpm.MacVal&lt;&gt;"",_xlpm.MacVal,_xlpm.CSVVal&lt;&gt;"",_xlpm.CSVVal
)),"")</f>
        <v/>
      </c>
      <c r="J8" s="45" t="str" cm="1">
        <f t="array" ref="J8">IFERROR(_xlfn.LET(
_xlpm.CSVVal,_xlfn.XLOOKUP($A8,CSV!$A:$A,CSV!J:J,""),
_xlpm.MacVal,_xlfn.XLOOKUP($A8,Output_Mac!$A:$A,Output_Mac!K:K,""),
_xlpm.MyAuditVal,_xlfn.XLOOKUP($A8,My_Audit!$A:$A,My_Audit!I:I,""),
_xlfn.IFS(_xlpm.MyAuditVal&lt;&gt;"",UPPER(_xlpm.MyAuditVal),_xlpm.MacVal&lt;&gt;"",_xlpm.MacVal,_xlpm.CSVVal&lt;&gt;"",_xlpm.CSVVal
)),"")</f>
        <v/>
      </c>
      <c r="K8" s="45" t="str" cm="1">
        <f t="array" ref="K8">IFERROR(_xlfn.LET(
_xlpm.CSVVal,_xlfn.XLOOKUP($A8,CSV!$A:$A,CSV!N:N,""),
_xlpm.MacVal,_xlfn.XLOOKUP($A8,Output_Mac!$A:$A,Output_Mac!L:L,""),
_xlpm.MyAuditVal,_xlfn.XLOOKUP($A8,My_Audit!$A:$A,My_Audit!J:J,""),
_xlfn.IFS(_xlpm.MyAuditVal&lt;&gt;"",UPPER(_xlpm.MyAuditVal),_xlpm.MacVal&lt;&gt;"",_xlpm.MacVal,_xlpm.CSVVal&lt;&gt;"",_xlpm.CSVVal
)),"")</f>
        <v/>
      </c>
      <c r="L8" s="46" t="str" cm="1">
        <f t="array" ref="L8">IFERROR(_xlfn.LET(
_xlpm.CSVVal,_xlfn.XLOOKUP($A8,CSV!$A:$A,CSV!Q:Q,""),
_xlpm.MacVal,_xlfn.XLOOKUP($A8,Output_Mac!$A:$A,Output_Mac!M:M,""),
_xlpm.MyAuditVal,_xlfn.XLOOKUP($A8,My_Audit!$A:$A,My_Audit!K:K,""),
_xlfn.IFS(_xlpm.MyAuditVal&lt;&gt;"",UPPER(_xlpm.MyAuditVal),_xlpm.MacVal&lt;&gt;"",_xlpm.MacVal,_xlpm.CSVVal&lt;&gt;"",_xlpm.CSVVal
)),"")</f>
        <v/>
      </c>
      <c r="M8" s="45" t="str">
        <f>_xlfn.LET(
    _xlpm.CSVVal, _xlfn.XLOOKUP($A8, CSV!$A:$A, CSV!AE:AE, ""),
    _xlpm.MacVal, _xlfn.XLOOKUP($A8, Output_Mac!$A:$A, Output_Mac!S:S, ""),
    _xlpm.MyAuditVal, _xlfn.XLOOKUP($A8, My_Audit!$A:$A, My_Audit!N:N, ""),
    _xlfn.TEXTJOIN(", ", TRUE, _xlpm.MyAuditVal, _xlpm.MacVal, _xlpm.CSVVal)
)</f>
        <v/>
      </c>
      <c r="N8" s="45" t="str" cm="1">
        <f t="array" ref="N8">IFERROR(_xlfn.LET(
_xlpm.CSVVal,_xlfn.XLOOKUP($A8,CSV!$A:$A,CSV!AG:AG,""),
_xlpm.MacVal,_xlfn.XLOOKUP($A8,Output_Mac!$A:$A,Output_Mac!U:U,""),
_xlpm.MyAuditVal,_xlfn.XLOOKUP($A8,My_Audit!$A:$A,My_Audit!O:O,""),
_xlfn.IFS(_xlpm.MyAuditVal&lt;&gt;"",UPPER(_xlpm.MyAuditVal),_xlpm.MacVal&lt;&gt;"",_xlpm.MacVal,_xlpm.CSVVal&lt;&gt;"",_xlpm.CSVVal
)),"")</f>
        <v/>
      </c>
      <c r="O8" s="46" t="str">
        <f>_xlfn.XLOOKUP(C8,My_Audit!B:B,My_Audit!P:P,"")&amp;""</f>
        <v/>
      </c>
      <c r="P8" s="45"/>
      <c r="Q8" s="46" t="str">
        <f>IF(LEFT(N8,4)="Pass","Nist SP 800-88",My_Audit!R8)&amp;""</f>
        <v/>
      </c>
      <c r="R8" s="45"/>
      <c r="S8" s="45"/>
      <c r="T8" s="46" t="str">
        <f>_xlfn.XLOOKUP(E8,Models!I:I,Models!J:J,"")</f>
        <v/>
      </c>
      <c r="U8" s="45"/>
      <c r="V8" s="45"/>
      <c r="W8" s="38" t="str">
        <f>_xlfn.LET(
    _xlpm.MacVal, _xlfn.XLOOKUP($A8, Output_Mac!$A:$A, Output_Mac!AB:AB, ""),
    _xlpm.MyAuditVal, _xlfn.XLOOKUP($A8, My_Audit!$A:$A, My_Audit!L:L, ""),
    _xlfn.TEXTJOIN(", ", TRUE, _xlpm.MyAuditVal, _xlpm.MacVal)
)</f>
        <v/>
      </c>
    </row>
    <row r="9" spans="1:23">
      <c r="A9" s="45" t="str">
        <f>_xlfn.TEXTJOIN("",TRUE,Input!$B$2,"0",ROW(My_Audit!A8))</f>
        <v>XX08</v>
      </c>
      <c r="B9" s="45" t="str">
        <f>_xlfn.TEXTJOIN("-",TRUE,"ITD",Input!$A$2,A9)</f>
        <v>ITD-SHRXXX-XX08</v>
      </c>
      <c r="C9" s="45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46" t="str" cm="1">
        <f t="array" ref="D9">IFERROR(_xlfn.LET(
_xlpm.CSVVal,_xlfn.XLOOKUP($A9,CSV!$A:$A,CSV!C:C,""),
_xlpm.MacVal,_xlfn.XLOOKUP($A9,Output_Mac!$A:$A,Output_Mac!D:D,""),
_xlpm.MyAuditVal,_xlfn.XLOOKUP($A9,My_Audit!$A:$A,My_Audit!C:C,""),
_xlfn.IFS(_xlpm.MyAuditVal&lt;&gt;"",UPPER(_xlpm.MyAuditVal),_xlpm.MacVal&lt;&gt;"",_xlpm.MacVal,_xlpm.CSVVal&lt;&gt;"",_xlpm.CSVVal
)),"")</f>
        <v/>
      </c>
      <c r="E9" s="46" t="str" cm="1">
        <f t="array" ref="E9">IFERROR(_xlfn.LET(
_xlpm.CSVVal,_xlfn.XLOOKUP($A9,CSV!$A:$A,CSV!E:E,""),
_xlpm.MacVal,_xlfn.XLOOKUP($A9,Output_Mac!$A:$A,Output_Mac!C:C,""),
_xlpm.MyAuditVal,_xlfn.XLOOKUP($A9,My_Audit!$A:$A,My_Audit!D:D,""),
_xlfn.IFS(_xlpm.MyAuditVal&lt;&gt;"",_xlpm.MyAuditVal,_xlpm.MacVal&lt;&gt;"",_xlpm.MacVal,_xlpm.CSVVal&lt;&gt;"",_xlpm.CSVVal
)),"")</f>
        <v/>
      </c>
      <c r="F9" s="45" t="str" cm="1">
        <f t="array" ref="F9">IFERROR(_xlfn.LET(
_xlpm.CSVVal,_xlfn.XLOOKUP($A9,CSV!$A:$A,CSV!F:F,""),
_xlpm.MacVal,_xlfn.XLOOKUP($A9,Output_Mac!$A:$A,Output_Mac!F:F,""),
_xlpm.MyAuditVal,_xlfn.XLOOKUP($A9,My_Audit!$A:$A,My_Audit!E:E,""),
_xlfn.IFS(_xlpm.MyAuditVal&lt;&gt;"",_xlpm.MyAuditVal,_xlpm.MacVal&lt;&gt;"",_xlpm.MacVal,_xlpm.CSVVal&lt;&gt;"",PROPER(_xlpm.CSVVal)
)),"")</f>
        <v/>
      </c>
      <c r="G9" s="45" t="str" cm="1">
        <f t="array" ref="G9">IFERROR(_xlfn.LET(
_xlpm.CSVVal,_xlfn.XLOOKUP($A9,CSV!$A:$A,CSV!G:G,""),
_xlpm.MacVal,_xlfn.XLOOKUP($A9,Output_Mac!$A:$A,Output_Mac!H:H,""),
_xlpm.MyAuditVal,_xlfn.XLOOKUP($A9,My_Audit!$A:$A,My_Audit!F:F,""),
_xlfn.IFS(_xlpm.MyAuditVal&lt;&gt;"",_xlpm.MyAuditVal,_xlpm.MacVal&lt;&gt;"",_xlpm.MacVal,_xlpm.CSVVal&lt;&gt;"",_xlpm.CSVVal
)),"")</f>
        <v/>
      </c>
      <c r="H9" s="45" t="str">
        <f>_xlfn.XLOOKUP(A9,Output_Mac!A:A,Output_Mac!I:I,"")</f>
        <v/>
      </c>
      <c r="I9" s="45" t="str" cm="1">
        <f t="array" ref="I9">IFERROR(_xlfn.LET(
_xlpm.CSVVal,_xlfn.XLOOKUP($A9,CSV!$A:$A,CSV!H:H,""),
_xlpm.MacVal,_xlfn.XLOOKUP($A9,Output_Mac!$A:$A,Output_Mac!J:J,""),
_xlpm.MyAuditVal,_xlfn.XLOOKUP($A9,My_Audit!$A:$A,My_Audit!H:H,""),
_xlfn.IFS(_xlpm.MyAuditVal&lt;&gt;"",UPPER(_xlpm.MyAuditVal),_xlpm.MacVal&lt;&gt;"",_xlpm.MacVal,_xlpm.CSVVal&lt;&gt;"",_xlpm.CSVVal
)),"")</f>
        <v/>
      </c>
      <c r="J9" s="45" t="str" cm="1">
        <f t="array" ref="J9">IFERROR(_xlfn.LET(
_xlpm.CSVVal,_xlfn.XLOOKUP($A9,CSV!$A:$A,CSV!J:J,""),
_xlpm.MacVal,_xlfn.XLOOKUP($A9,Output_Mac!$A:$A,Output_Mac!K:K,""),
_xlpm.MyAuditVal,_xlfn.XLOOKUP($A9,My_Audit!$A:$A,My_Audit!I:I,""),
_xlfn.IFS(_xlpm.MyAuditVal&lt;&gt;"",UPPER(_xlpm.MyAuditVal),_xlpm.MacVal&lt;&gt;"",_xlpm.MacVal,_xlpm.CSVVal&lt;&gt;"",_xlpm.CSVVal
)),"")</f>
        <v/>
      </c>
      <c r="K9" s="45" t="str" cm="1">
        <f t="array" ref="K9">IFERROR(_xlfn.LET(
_xlpm.CSVVal,_xlfn.XLOOKUP($A9,CSV!$A:$A,CSV!N:N,""),
_xlpm.MacVal,_xlfn.XLOOKUP($A9,Output_Mac!$A:$A,Output_Mac!L:L,""),
_xlpm.MyAuditVal,_xlfn.XLOOKUP($A9,My_Audit!$A:$A,My_Audit!J:J,""),
_xlfn.IFS(_xlpm.MyAuditVal&lt;&gt;"",UPPER(_xlpm.MyAuditVal),_xlpm.MacVal&lt;&gt;"",_xlpm.MacVal,_xlpm.CSVVal&lt;&gt;"",_xlpm.CSVVal
)),"")</f>
        <v/>
      </c>
      <c r="L9" s="46" t="str" cm="1">
        <f t="array" ref="L9">IFERROR(_xlfn.LET(
_xlpm.CSVVal,_xlfn.XLOOKUP($A9,CSV!$A:$A,CSV!Q:Q,""),
_xlpm.MacVal,_xlfn.XLOOKUP($A9,Output_Mac!$A:$A,Output_Mac!M:M,""),
_xlpm.MyAuditVal,_xlfn.XLOOKUP($A9,My_Audit!$A:$A,My_Audit!K:K,""),
_xlfn.IFS(_xlpm.MyAuditVal&lt;&gt;"",UPPER(_xlpm.MyAuditVal),_xlpm.MacVal&lt;&gt;"",_xlpm.MacVal,_xlpm.CSVVal&lt;&gt;"",_xlpm.CSVVal
)),"")</f>
        <v/>
      </c>
      <c r="M9" s="45" t="str">
        <f>_xlfn.LET(
    _xlpm.CSVVal, _xlfn.XLOOKUP($A9, CSV!$A:$A, CSV!AE:AE, ""),
    _xlpm.MacVal, _xlfn.XLOOKUP($A9, Output_Mac!$A:$A, Output_Mac!S:S, ""),
    _xlpm.MyAuditVal, _xlfn.XLOOKUP($A9, My_Audit!$A:$A, My_Audit!N:N, ""),
    _xlfn.TEXTJOIN(", ", TRUE, _xlpm.MyAuditVal, _xlpm.MacVal, _xlpm.CSVVal)
)</f>
        <v/>
      </c>
      <c r="N9" s="45" t="str" cm="1">
        <f t="array" ref="N9">IFERROR(_xlfn.LET(
_xlpm.CSVVal,_xlfn.XLOOKUP($A9,CSV!$A:$A,CSV!AG:AG,""),
_xlpm.MacVal,_xlfn.XLOOKUP($A9,Output_Mac!$A:$A,Output_Mac!U:U,""),
_xlpm.MyAuditVal,_xlfn.XLOOKUP($A9,My_Audit!$A:$A,My_Audit!O:O,""),
_xlfn.IFS(_xlpm.MyAuditVal&lt;&gt;"",UPPER(_xlpm.MyAuditVal),_xlpm.MacVal&lt;&gt;"",_xlpm.MacVal,_xlpm.CSVVal&lt;&gt;"",_xlpm.CSVVal
)),"")</f>
        <v/>
      </c>
      <c r="O9" s="46" t="str">
        <f>_xlfn.XLOOKUP(C9,My_Audit!B:B,My_Audit!P:P,"")&amp;""</f>
        <v/>
      </c>
      <c r="P9" s="45"/>
      <c r="Q9" s="46" t="str">
        <f>IF(LEFT(N9,4)="Pass","Nist SP 800-88",My_Audit!R9)&amp;""</f>
        <v/>
      </c>
      <c r="R9" s="45"/>
      <c r="S9" s="45"/>
      <c r="T9" s="46" t="str">
        <f>_xlfn.XLOOKUP(E9,Models!I:I,Models!J:J,"")</f>
        <v/>
      </c>
      <c r="U9" s="45"/>
      <c r="V9" s="45"/>
      <c r="W9" s="38" t="str">
        <f>_xlfn.LET(
    _xlpm.MacVal, _xlfn.XLOOKUP($A9, Output_Mac!$A:$A, Output_Mac!AB:AB, ""),
    _xlpm.MyAuditVal, _xlfn.XLOOKUP($A9, My_Audit!$A:$A, My_Audit!L:L, ""),
    _xlfn.TEXTJOIN(", ", TRUE, _xlpm.MyAuditVal, _xlpm.MacVal)
)</f>
        <v/>
      </c>
    </row>
    <row r="10" spans="1:23">
      <c r="A10" s="45" t="str">
        <f>_xlfn.TEXTJOIN("",TRUE,Input!$B$2,"0",ROW(My_Audit!A9))</f>
        <v>XX09</v>
      </c>
      <c r="B10" s="45" t="str">
        <f>_xlfn.TEXTJOIN("-",TRUE,"ITD",Input!$A$2,A10)</f>
        <v>ITD-SHRXXX-XX09</v>
      </c>
      <c r="C10" s="45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46" t="str" cm="1">
        <f t="array" ref="D10">IFERROR(_xlfn.LET(
_xlpm.CSVVal,_xlfn.XLOOKUP($A10,CSV!$A:$A,CSV!C:C,""),
_xlpm.MacVal,_xlfn.XLOOKUP($A10,Output_Mac!$A:$A,Output_Mac!D:D,""),
_xlpm.MyAuditVal,_xlfn.XLOOKUP($A10,My_Audit!$A:$A,My_Audit!C:C,""),
_xlfn.IFS(_xlpm.MyAuditVal&lt;&gt;"",UPPER(_xlpm.MyAuditVal),_xlpm.MacVal&lt;&gt;"",_xlpm.MacVal,_xlpm.CSVVal&lt;&gt;"",_xlpm.CSVVal
)),"")</f>
        <v/>
      </c>
      <c r="E10" s="46" t="str" cm="1">
        <f t="array" ref="E10">IFERROR(_xlfn.LET(
_xlpm.CSVVal,_xlfn.XLOOKUP($A10,CSV!$A:$A,CSV!E:E,""),
_xlpm.MacVal,_xlfn.XLOOKUP($A10,Output_Mac!$A:$A,Output_Mac!C:C,""),
_xlpm.MyAuditVal,_xlfn.XLOOKUP($A10,My_Audit!$A:$A,My_Audit!D:D,""),
_xlfn.IFS(_xlpm.MyAuditVal&lt;&gt;"",_xlpm.MyAuditVal,_xlpm.MacVal&lt;&gt;"",_xlpm.MacVal,_xlpm.CSVVal&lt;&gt;"",_xlpm.CSVVal
)),"")</f>
        <v/>
      </c>
      <c r="F10" s="45" t="str" cm="1">
        <f t="array" ref="F10">IFERROR(_xlfn.LET(
_xlpm.CSVVal,_xlfn.XLOOKUP($A10,CSV!$A:$A,CSV!F:F,""),
_xlpm.MacVal,_xlfn.XLOOKUP($A10,Output_Mac!$A:$A,Output_Mac!F:F,""),
_xlpm.MyAuditVal,_xlfn.XLOOKUP($A10,My_Audit!$A:$A,My_Audit!E:E,""),
_xlfn.IFS(_xlpm.MyAuditVal&lt;&gt;"",_xlpm.MyAuditVal,_xlpm.MacVal&lt;&gt;"",_xlpm.MacVal,_xlpm.CSVVal&lt;&gt;"",PROPER(_xlpm.CSVVal)
)),"")</f>
        <v/>
      </c>
      <c r="G10" s="45" t="str" cm="1">
        <f t="array" ref="G10">IFERROR(_xlfn.LET(
_xlpm.CSVVal,_xlfn.XLOOKUP($A10,CSV!$A:$A,CSV!G:G,""),
_xlpm.MacVal,_xlfn.XLOOKUP($A10,Output_Mac!$A:$A,Output_Mac!H:H,""),
_xlpm.MyAuditVal,_xlfn.XLOOKUP($A10,My_Audit!$A:$A,My_Audit!F:F,""),
_xlfn.IFS(_xlpm.MyAuditVal&lt;&gt;"",_xlpm.MyAuditVal,_xlpm.MacVal&lt;&gt;"",_xlpm.MacVal,_xlpm.CSVVal&lt;&gt;"",_xlpm.CSVVal
)),"")</f>
        <v/>
      </c>
      <c r="H10" s="45" t="str">
        <f>_xlfn.XLOOKUP(A10,Output_Mac!A:A,Output_Mac!I:I,"")</f>
        <v/>
      </c>
      <c r="I10" s="45" t="str" cm="1">
        <f t="array" ref="I10">IFERROR(_xlfn.LET(
_xlpm.CSVVal,_xlfn.XLOOKUP($A10,CSV!$A:$A,CSV!H:H,""),
_xlpm.MacVal,_xlfn.XLOOKUP($A10,Output_Mac!$A:$A,Output_Mac!J:J,""),
_xlpm.MyAuditVal,_xlfn.XLOOKUP($A10,My_Audit!$A:$A,My_Audit!H:H,""),
_xlfn.IFS(_xlpm.MyAuditVal&lt;&gt;"",UPPER(_xlpm.MyAuditVal),_xlpm.MacVal&lt;&gt;"",_xlpm.MacVal,_xlpm.CSVVal&lt;&gt;"",_xlpm.CSVVal
)),"")</f>
        <v/>
      </c>
      <c r="J10" s="45" t="str" cm="1">
        <f t="array" ref="J10">IFERROR(_xlfn.LET(
_xlpm.CSVVal,_xlfn.XLOOKUP($A10,CSV!$A:$A,CSV!J:J,""),
_xlpm.MacVal,_xlfn.XLOOKUP($A10,Output_Mac!$A:$A,Output_Mac!K:K,""),
_xlpm.MyAuditVal,_xlfn.XLOOKUP($A10,My_Audit!$A:$A,My_Audit!I:I,""),
_xlfn.IFS(_xlpm.MyAuditVal&lt;&gt;"",UPPER(_xlpm.MyAuditVal),_xlpm.MacVal&lt;&gt;"",_xlpm.MacVal,_xlpm.CSVVal&lt;&gt;"",_xlpm.CSVVal
)),"")</f>
        <v/>
      </c>
      <c r="K10" s="45" t="str" cm="1">
        <f t="array" ref="K10">IFERROR(_xlfn.LET(
_xlpm.CSVVal,_xlfn.XLOOKUP($A10,CSV!$A:$A,CSV!N:N,""),
_xlpm.MacVal,_xlfn.XLOOKUP($A10,Output_Mac!$A:$A,Output_Mac!L:L,""),
_xlpm.MyAuditVal,_xlfn.XLOOKUP($A10,My_Audit!$A:$A,My_Audit!J:J,""),
_xlfn.IFS(_xlpm.MyAuditVal&lt;&gt;"",UPPER(_xlpm.MyAuditVal),_xlpm.MacVal&lt;&gt;"",_xlpm.MacVal,_xlpm.CSVVal&lt;&gt;"",_xlpm.CSVVal
)),"")</f>
        <v/>
      </c>
      <c r="L10" s="46" t="str" cm="1">
        <f t="array" ref="L10">IFERROR(_xlfn.LET(
_xlpm.CSVVal,_xlfn.XLOOKUP($A10,CSV!$A:$A,CSV!Q:Q,""),
_xlpm.MacVal,_xlfn.XLOOKUP($A10,Output_Mac!$A:$A,Output_Mac!M:M,""),
_xlpm.MyAuditVal,_xlfn.XLOOKUP($A10,My_Audit!$A:$A,My_Audit!K:K,""),
_xlfn.IFS(_xlpm.MyAuditVal&lt;&gt;"",UPPER(_xlpm.MyAuditVal),_xlpm.MacVal&lt;&gt;"",_xlpm.MacVal,_xlpm.CSVVal&lt;&gt;"",_xlpm.CSVVal
)),"")</f>
        <v/>
      </c>
      <c r="M10" s="45" t="str">
        <f>_xlfn.LET(
    _xlpm.CSVVal, _xlfn.XLOOKUP($A10, CSV!$A:$A, CSV!AE:AE, ""),
    _xlpm.MacVal, _xlfn.XLOOKUP($A10, Output_Mac!$A:$A, Output_Mac!S:S, ""),
    _xlpm.MyAuditVal, _xlfn.XLOOKUP($A10, My_Audit!$A:$A, My_Audit!N:N, ""),
    _xlfn.TEXTJOIN(", ", TRUE, _xlpm.MyAuditVal, _xlpm.MacVal, _xlpm.CSVVal)
)</f>
        <v/>
      </c>
      <c r="N10" s="45" t="str" cm="1">
        <f t="array" ref="N10">IFERROR(_xlfn.LET(
_xlpm.CSVVal,_xlfn.XLOOKUP($A10,CSV!$A:$A,CSV!AG:AG,""),
_xlpm.MacVal,_xlfn.XLOOKUP($A10,Output_Mac!$A:$A,Output_Mac!U:U,""),
_xlpm.MyAuditVal,_xlfn.XLOOKUP($A10,My_Audit!$A:$A,My_Audit!O:O,""),
_xlfn.IFS(_xlpm.MyAuditVal&lt;&gt;"",UPPER(_xlpm.MyAuditVal),_xlpm.MacVal&lt;&gt;"",_xlpm.MacVal,_xlpm.CSVVal&lt;&gt;"",_xlpm.CSVVal
)),"")</f>
        <v/>
      </c>
      <c r="O10" s="46" t="str">
        <f>_xlfn.XLOOKUP(C10,My_Audit!B:B,My_Audit!P:P,"")&amp;""</f>
        <v/>
      </c>
      <c r="P10" s="45"/>
      <c r="Q10" s="46" t="str">
        <f>IF(LEFT(N10,4)="Pass","Nist SP 800-88",My_Audit!R10)&amp;""</f>
        <v/>
      </c>
      <c r="R10" s="45"/>
      <c r="S10" s="45"/>
      <c r="T10" s="46" t="str">
        <f>_xlfn.XLOOKUP(E10,Models!I:I,Models!J:J,"")</f>
        <v/>
      </c>
      <c r="U10" s="45"/>
      <c r="V10" s="45"/>
      <c r="W10" s="38" t="str">
        <f>_xlfn.LET(
    _xlpm.MacVal, _xlfn.XLOOKUP($A10, Output_Mac!$A:$A, Output_Mac!AB:AB, ""),
    _xlpm.MyAuditVal, _xlfn.XLOOKUP($A10, My_Audit!$A:$A, My_Audit!L:L, ""),
    _xlfn.TEXTJOIN(", ", TRUE, _xlpm.MyAuditVal, _xlpm.MacVal)
)</f>
        <v/>
      </c>
    </row>
    <row r="11" spans="1:23">
      <c r="A11" s="45" t="str">
        <f>_xlfn.TEXTJOIN("",TRUE,Input!$B$2,ROW(My_Audit!A10))</f>
        <v>XX10</v>
      </c>
      <c r="B11" s="45" t="str">
        <f>_xlfn.TEXTJOIN("-",TRUE,"ITD",Input!$A$2,A11)</f>
        <v>ITD-SHRXXX-XX10</v>
      </c>
      <c r="C11" s="45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46" t="str" cm="1">
        <f t="array" ref="D11">IFERROR(_xlfn.LET(
_xlpm.CSVVal,_xlfn.XLOOKUP($A11,CSV!$A:$A,CSV!C:C,""),
_xlpm.MacVal,_xlfn.XLOOKUP($A11,Output_Mac!$A:$A,Output_Mac!D:D,""),
_xlpm.MyAuditVal,_xlfn.XLOOKUP($A11,My_Audit!$A:$A,My_Audit!C:C,""),
_xlfn.IFS(_xlpm.MyAuditVal&lt;&gt;"",UPPER(_xlpm.MyAuditVal),_xlpm.MacVal&lt;&gt;"",_xlpm.MacVal,_xlpm.CSVVal&lt;&gt;"",_xlpm.CSVVal
)),"")</f>
        <v/>
      </c>
      <c r="E11" s="46" t="str" cm="1">
        <f t="array" ref="E11">IFERROR(_xlfn.LET(
_xlpm.CSVVal,_xlfn.XLOOKUP($A11,CSV!$A:$A,CSV!E:E,""),
_xlpm.MacVal,_xlfn.XLOOKUP($A11,Output_Mac!$A:$A,Output_Mac!C:C,""),
_xlpm.MyAuditVal,_xlfn.XLOOKUP($A11,My_Audit!$A:$A,My_Audit!D:D,""),
_xlfn.IFS(_xlpm.MyAuditVal&lt;&gt;"",_xlpm.MyAuditVal,_xlpm.MacVal&lt;&gt;"",_xlpm.MacVal,_xlpm.CSVVal&lt;&gt;"",_xlpm.CSVVal
)),"")</f>
        <v/>
      </c>
      <c r="F11" s="45" t="str" cm="1">
        <f t="array" ref="F11">IFERROR(_xlfn.LET(
_xlpm.CSVVal,_xlfn.XLOOKUP($A11,CSV!$A:$A,CSV!F:F,""),
_xlpm.MacVal,_xlfn.XLOOKUP($A11,Output_Mac!$A:$A,Output_Mac!F:F,""),
_xlpm.MyAuditVal,_xlfn.XLOOKUP($A11,My_Audit!$A:$A,My_Audit!E:E,""),
_xlfn.IFS(_xlpm.MyAuditVal&lt;&gt;"",_xlpm.MyAuditVal,_xlpm.MacVal&lt;&gt;"",_xlpm.MacVal,_xlpm.CSVVal&lt;&gt;"",PROPER(_xlpm.CSVVal)
)),"")</f>
        <v/>
      </c>
      <c r="G11" s="45" t="str" cm="1">
        <f t="array" ref="G11">IFERROR(_xlfn.LET(
_xlpm.CSVVal,_xlfn.XLOOKUP($A11,CSV!$A:$A,CSV!G:G,""),
_xlpm.MacVal,_xlfn.XLOOKUP($A11,Output_Mac!$A:$A,Output_Mac!H:H,""),
_xlpm.MyAuditVal,_xlfn.XLOOKUP($A11,My_Audit!$A:$A,My_Audit!F:F,""),
_xlfn.IFS(_xlpm.MyAuditVal&lt;&gt;"",_xlpm.MyAuditVal,_xlpm.MacVal&lt;&gt;"",_xlpm.MacVal,_xlpm.CSVVal&lt;&gt;"",_xlpm.CSVVal
)),"")</f>
        <v/>
      </c>
      <c r="H11" s="45" t="str">
        <f>_xlfn.XLOOKUP(A11,Output_Mac!A:A,Output_Mac!I:I,"")</f>
        <v/>
      </c>
      <c r="I11" s="45" t="str" cm="1">
        <f t="array" ref="I11">IFERROR(_xlfn.LET(
_xlpm.CSVVal,_xlfn.XLOOKUP($A11,CSV!$A:$A,CSV!H:H,""),
_xlpm.MacVal,_xlfn.XLOOKUP($A11,Output_Mac!$A:$A,Output_Mac!J:J,""),
_xlpm.MyAuditVal,_xlfn.XLOOKUP($A11,My_Audit!$A:$A,My_Audit!H:H,""),
_xlfn.IFS(_xlpm.MyAuditVal&lt;&gt;"",UPPER(_xlpm.MyAuditVal),_xlpm.MacVal&lt;&gt;"",_xlpm.MacVal,_xlpm.CSVVal&lt;&gt;"",_xlpm.CSVVal
)),"")</f>
        <v/>
      </c>
      <c r="J11" s="45" t="str" cm="1">
        <f t="array" ref="J11">IFERROR(_xlfn.LET(
_xlpm.CSVVal,_xlfn.XLOOKUP($A11,CSV!$A:$A,CSV!J:J,""),
_xlpm.MacVal,_xlfn.XLOOKUP($A11,Output_Mac!$A:$A,Output_Mac!K:K,""),
_xlpm.MyAuditVal,_xlfn.XLOOKUP($A11,My_Audit!$A:$A,My_Audit!I:I,""),
_xlfn.IFS(_xlpm.MyAuditVal&lt;&gt;"",UPPER(_xlpm.MyAuditVal),_xlpm.MacVal&lt;&gt;"",_xlpm.MacVal,_xlpm.CSVVal&lt;&gt;"",_xlpm.CSVVal
)),"")</f>
        <v/>
      </c>
      <c r="K11" s="45" t="str" cm="1">
        <f t="array" ref="K11">IFERROR(_xlfn.LET(
_xlpm.CSVVal,_xlfn.XLOOKUP($A11,CSV!$A:$A,CSV!N:N,""),
_xlpm.MacVal,_xlfn.XLOOKUP($A11,Output_Mac!$A:$A,Output_Mac!L:L,""),
_xlpm.MyAuditVal,_xlfn.XLOOKUP($A11,My_Audit!$A:$A,My_Audit!J:J,""),
_xlfn.IFS(_xlpm.MyAuditVal&lt;&gt;"",UPPER(_xlpm.MyAuditVal),_xlpm.MacVal&lt;&gt;"",_xlpm.MacVal,_xlpm.CSVVal&lt;&gt;"",_xlpm.CSVVal
)),"")</f>
        <v/>
      </c>
      <c r="L11" s="46" t="str" cm="1">
        <f t="array" ref="L11">IFERROR(_xlfn.LET(
_xlpm.CSVVal,_xlfn.XLOOKUP($A11,CSV!$A:$A,CSV!Q:Q,""),
_xlpm.MacVal,_xlfn.XLOOKUP($A11,Output_Mac!$A:$A,Output_Mac!M:M,""),
_xlpm.MyAuditVal,_xlfn.XLOOKUP($A11,My_Audit!$A:$A,My_Audit!K:K,""),
_xlfn.IFS(_xlpm.MyAuditVal&lt;&gt;"",UPPER(_xlpm.MyAuditVal),_xlpm.MacVal&lt;&gt;"",_xlpm.MacVal,_xlpm.CSVVal&lt;&gt;"",_xlpm.CSVVal
)),"")</f>
        <v/>
      </c>
      <c r="M11" s="45" t="str">
        <f>_xlfn.LET(
    _xlpm.CSVVal, _xlfn.XLOOKUP($A11, CSV!$A:$A, CSV!AE:AE, ""),
    _xlpm.MacVal, _xlfn.XLOOKUP($A11, Output_Mac!$A:$A, Output_Mac!S:S, ""),
    _xlpm.MyAuditVal, _xlfn.XLOOKUP($A11, My_Audit!$A:$A, My_Audit!N:N, ""),
    _xlfn.TEXTJOIN(", ", TRUE, _xlpm.MyAuditVal, _xlpm.MacVal, _xlpm.CSVVal)
)</f>
        <v/>
      </c>
      <c r="N11" s="45" t="str" cm="1">
        <f t="array" ref="N11">IFERROR(_xlfn.LET(
_xlpm.CSVVal,_xlfn.XLOOKUP($A11,CSV!$A:$A,CSV!AG:AG,""),
_xlpm.MacVal,_xlfn.XLOOKUP($A11,Output_Mac!$A:$A,Output_Mac!U:U,""),
_xlpm.MyAuditVal,_xlfn.XLOOKUP($A11,My_Audit!$A:$A,My_Audit!O:O,""),
_xlfn.IFS(_xlpm.MyAuditVal&lt;&gt;"",UPPER(_xlpm.MyAuditVal),_xlpm.MacVal&lt;&gt;"",_xlpm.MacVal,_xlpm.CSVVal&lt;&gt;"",_xlpm.CSVVal
)),"")</f>
        <v/>
      </c>
      <c r="O11" s="46" t="str">
        <f>_xlfn.XLOOKUP(C11,My_Audit!B:B,My_Audit!P:P,"")&amp;""</f>
        <v/>
      </c>
      <c r="P11" s="45"/>
      <c r="Q11" s="46" t="str">
        <f>IF(LEFT(N11,4)="Pass","Nist SP 800-88",My_Audit!R11)&amp;""</f>
        <v/>
      </c>
      <c r="R11" s="45"/>
      <c r="S11" s="45"/>
      <c r="T11" s="46" t="str">
        <f>_xlfn.XLOOKUP(E11,Models!I:I,Models!J:J,"")</f>
        <v/>
      </c>
      <c r="U11" s="45"/>
      <c r="V11" s="45"/>
      <c r="W11" s="38" t="str">
        <f>_xlfn.LET(
    _xlpm.MacVal, _xlfn.XLOOKUP($A11, Output_Mac!$A:$A, Output_Mac!AB:AB, ""),
    _xlpm.MyAuditVal, _xlfn.XLOOKUP($A11, My_Audit!$A:$A, My_Audit!L:L, ""),
    _xlfn.TEXTJOIN(", ", TRUE, _xlpm.MyAuditVal, _xlpm.MacVal)
)</f>
        <v/>
      </c>
    </row>
    <row r="12" spans="1:23">
      <c r="A12" s="45" t="str">
        <f>_xlfn.TEXTJOIN("",TRUE,Input!$B$2,ROW(My_Audit!A11))</f>
        <v>XX11</v>
      </c>
      <c r="B12" s="45" t="str">
        <f>_xlfn.TEXTJOIN("-",TRUE,"ITD",Input!$A$2,A12)</f>
        <v>ITD-SHRXXX-XX11</v>
      </c>
      <c r="C12" s="45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46" t="str" cm="1">
        <f t="array" ref="D12">IFERROR(_xlfn.LET(
_xlpm.CSVVal,_xlfn.XLOOKUP($A12,CSV!$A:$A,CSV!C:C,""),
_xlpm.MacVal,_xlfn.XLOOKUP($A12,Output_Mac!$A:$A,Output_Mac!D:D,""),
_xlpm.MyAuditVal,_xlfn.XLOOKUP($A12,My_Audit!$A:$A,My_Audit!C:C,""),
_xlfn.IFS(_xlpm.MyAuditVal&lt;&gt;"",UPPER(_xlpm.MyAuditVal),_xlpm.MacVal&lt;&gt;"",_xlpm.MacVal,_xlpm.CSVVal&lt;&gt;"",_xlpm.CSVVal
)),"")</f>
        <v/>
      </c>
      <c r="E12" s="46" t="str" cm="1">
        <f t="array" ref="E12">IFERROR(_xlfn.LET(
_xlpm.CSVVal,_xlfn.XLOOKUP($A12,CSV!$A:$A,CSV!E:E,""),
_xlpm.MacVal,_xlfn.XLOOKUP($A12,Output_Mac!$A:$A,Output_Mac!C:C,""),
_xlpm.MyAuditVal,_xlfn.XLOOKUP($A12,My_Audit!$A:$A,My_Audit!D:D,""),
_xlfn.IFS(_xlpm.MyAuditVal&lt;&gt;"",_xlpm.MyAuditVal,_xlpm.MacVal&lt;&gt;"",_xlpm.MacVal,_xlpm.CSVVal&lt;&gt;"",_xlpm.CSVVal
)),"")</f>
        <v/>
      </c>
      <c r="F12" s="45" t="str" cm="1">
        <f t="array" ref="F12">IFERROR(_xlfn.LET(
_xlpm.CSVVal,_xlfn.XLOOKUP($A12,CSV!$A:$A,CSV!F:F,""),
_xlpm.MacVal,_xlfn.XLOOKUP($A12,Output_Mac!$A:$A,Output_Mac!F:F,""),
_xlpm.MyAuditVal,_xlfn.XLOOKUP($A12,My_Audit!$A:$A,My_Audit!E:E,""),
_xlfn.IFS(_xlpm.MyAuditVal&lt;&gt;"",_xlpm.MyAuditVal,_xlpm.MacVal&lt;&gt;"",_xlpm.MacVal,_xlpm.CSVVal&lt;&gt;"",PROPER(_xlpm.CSVVal)
)),"")</f>
        <v/>
      </c>
      <c r="G12" s="45" t="str" cm="1">
        <f t="array" ref="G12">IFERROR(_xlfn.LET(
_xlpm.CSVVal,_xlfn.XLOOKUP($A12,CSV!$A:$A,CSV!G:G,""),
_xlpm.MacVal,_xlfn.XLOOKUP($A12,Output_Mac!$A:$A,Output_Mac!H:H,""),
_xlpm.MyAuditVal,_xlfn.XLOOKUP($A12,My_Audit!$A:$A,My_Audit!F:F,""),
_xlfn.IFS(_xlpm.MyAuditVal&lt;&gt;"",_xlpm.MyAuditVal,_xlpm.MacVal&lt;&gt;"",_xlpm.MacVal,_xlpm.CSVVal&lt;&gt;"",_xlpm.CSVVal
)),"")</f>
        <v/>
      </c>
      <c r="H12" s="45" t="str">
        <f>_xlfn.XLOOKUP(A12,Output_Mac!A:A,Output_Mac!I:I,"")</f>
        <v/>
      </c>
      <c r="I12" s="45" t="str" cm="1">
        <f t="array" ref="I12">IFERROR(_xlfn.LET(
_xlpm.CSVVal,_xlfn.XLOOKUP($A12,CSV!$A:$A,CSV!H:H,""),
_xlpm.MacVal,_xlfn.XLOOKUP($A12,Output_Mac!$A:$A,Output_Mac!J:J,""),
_xlpm.MyAuditVal,_xlfn.XLOOKUP($A12,My_Audit!$A:$A,My_Audit!H:H,""),
_xlfn.IFS(_xlpm.MyAuditVal&lt;&gt;"",UPPER(_xlpm.MyAuditVal),_xlpm.MacVal&lt;&gt;"",_xlpm.MacVal,_xlpm.CSVVal&lt;&gt;"",_xlpm.CSVVal
)),"")</f>
        <v/>
      </c>
      <c r="J12" s="45" t="str" cm="1">
        <f t="array" ref="J12">IFERROR(_xlfn.LET(
_xlpm.CSVVal,_xlfn.XLOOKUP($A12,CSV!$A:$A,CSV!J:J,""),
_xlpm.MacVal,_xlfn.XLOOKUP($A12,Output_Mac!$A:$A,Output_Mac!K:K,""),
_xlpm.MyAuditVal,_xlfn.XLOOKUP($A12,My_Audit!$A:$A,My_Audit!I:I,""),
_xlfn.IFS(_xlpm.MyAuditVal&lt;&gt;"",UPPER(_xlpm.MyAuditVal),_xlpm.MacVal&lt;&gt;"",_xlpm.MacVal,_xlpm.CSVVal&lt;&gt;"",_xlpm.CSVVal
)),"")</f>
        <v/>
      </c>
      <c r="K12" s="45" t="str" cm="1">
        <f t="array" ref="K12">IFERROR(_xlfn.LET(
_xlpm.CSVVal,_xlfn.XLOOKUP($A12,CSV!$A:$A,CSV!N:N,""),
_xlpm.MacVal,_xlfn.XLOOKUP($A12,Output_Mac!$A:$A,Output_Mac!L:L,""),
_xlpm.MyAuditVal,_xlfn.XLOOKUP($A12,My_Audit!$A:$A,My_Audit!J:J,""),
_xlfn.IFS(_xlpm.MyAuditVal&lt;&gt;"",UPPER(_xlpm.MyAuditVal),_xlpm.MacVal&lt;&gt;"",_xlpm.MacVal,_xlpm.CSVVal&lt;&gt;"",_xlpm.CSVVal
)),"")</f>
        <v/>
      </c>
      <c r="L12" s="46" t="str" cm="1">
        <f t="array" ref="L12">IFERROR(_xlfn.LET(
_xlpm.CSVVal,_xlfn.XLOOKUP($A12,CSV!$A:$A,CSV!Q:Q,""),
_xlpm.MacVal,_xlfn.XLOOKUP($A12,Output_Mac!$A:$A,Output_Mac!M:M,""),
_xlpm.MyAuditVal,_xlfn.XLOOKUP($A12,My_Audit!$A:$A,My_Audit!K:K,""),
_xlfn.IFS(_xlpm.MyAuditVal&lt;&gt;"",UPPER(_xlpm.MyAuditVal),_xlpm.MacVal&lt;&gt;"",_xlpm.MacVal,_xlpm.CSVVal&lt;&gt;"",_xlpm.CSVVal
)),"")</f>
        <v/>
      </c>
      <c r="M12" s="45" t="str">
        <f>_xlfn.LET(
    _xlpm.CSVVal, _xlfn.XLOOKUP($A12, CSV!$A:$A, CSV!AE:AE, ""),
    _xlpm.MacVal, _xlfn.XLOOKUP($A12, Output_Mac!$A:$A, Output_Mac!S:S, ""),
    _xlpm.MyAuditVal, _xlfn.XLOOKUP($A12, My_Audit!$A:$A, My_Audit!N:N, ""),
    _xlfn.TEXTJOIN(", ", TRUE, _xlpm.MyAuditVal, _xlpm.MacVal, _xlpm.CSVVal)
)</f>
        <v/>
      </c>
      <c r="N12" s="45" t="str" cm="1">
        <f t="array" ref="N12">IFERROR(_xlfn.LET(
_xlpm.CSVVal,_xlfn.XLOOKUP($A12,CSV!$A:$A,CSV!AG:AG,""),
_xlpm.MacVal,_xlfn.XLOOKUP($A12,Output_Mac!$A:$A,Output_Mac!U:U,""),
_xlpm.MyAuditVal,_xlfn.XLOOKUP($A12,My_Audit!$A:$A,My_Audit!O:O,""),
_xlfn.IFS(_xlpm.MyAuditVal&lt;&gt;"",UPPER(_xlpm.MyAuditVal),_xlpm.MacVal&lt;&gt;"",_xlpm.MacVal,_xlpm.CSVVal&lt;&gt;"",_xlpm.CSVVal
)),"")</f>
        <v/>
      </c>
      <c r="O12" s="46" t="str">
        <f>_xlfn.XLOOKUP(C12,My_Audit!B:B,My_Audit!P:P,"")&amp;""</f>
        <v/>
      </c>
      <c r="P12" s="45"/>
      <c r="Q12" s="46" t="str">
        <f>IF(LEFT(N12,4)="Pass","Nist SP 800-88",My_Audit!R12)&amp;""</f>
        <v/>
      </c>
      <c r="R12" s="45"/>
      <c r="S12" s="45"/>
      <c r="T12" s="46" t="str">
        <f>_xlfn.XLOOKUP(E12,Models!I:I,Models!J:J,"")</f>
        <v/>
      </c>
      <c r="U12" s="45"/>
      <c r="V12" s="45"/>
      <c r="W12" s="38" t="str">
        <f>_xlfn.LET(
    _xlpm.MacVal, _xlfn.XLOOKUP($A12, Output_Mac!$A:$A, Output_Mac!AB:AB, ""),
    _xlpm.MyAuditVal, _xlfn.XLOOKUP($A12, My_Audit!$A:$A, My_Audit!L:L, ""),
    _xlfn.TEXTJOIN(", ", TRUE, _xlpm.MyAuditVal, _xlpm.MacVal)
)</f>
        <v/>
      </c>
    </row>
    <row r="13" spans="1:23">
      <c r="A13" s="45" t="str">
        <f>_xlfn.TEXTJOIN("",TRUE,Input!$B$2,ROW(My_Audit!A12))</f>
        <v>XX12</v>
      </c>
      <c r="B13" s="45" t="str">
        <f>_xlfn.TEXTJOIN("-",TRUE,"ITD",Input!$A$2,A13)</f>
        <v>ITD-SHRXXX-XX12</v>
      </c>
      <c r="C13" s="45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46" t="str" cm="1">
        <f t="array" ref="D13">IFERROR(_xlfn.LET(
_xlpm.CSVVal,_xlfn.XLOOKUP($A13,CSV!$A:$A,CSV!C:C,""),
_xlpm.MacVal,_xlfn.XLOOKUP($A13,Output_Mac!$A:$A,Output_Mac!D:D,""),
_xlpm.MyAuditVal,_xlfn.XLOOKUP($A13,My_Audit!$A:$A,My_Audit!C:C,""),
_xlfn.IFS(_xlpm.MyAuditVal&lt;&gt;"",UPPER(_xlpm.MyAuditVal),_xlpm.MacVal&lt;&gt;"",_xlpm.MacVal,_xlpm.CSVVal&lt;&gt;"",_xlpm.CSVVal
)),"")</f>
        <v/>
      </c>
      <c r="E13" s="46" t="str" cm="1">
        <f t="array" ref="E13">IFERROR(_xlfn.LET(
_xlpm.CSVVal,_xlfn.XLOOKUP($A13,CSV!$A:$A,CSV!E:E,""),
_xlpm.MacVal,_xlfn.XLOOKUP($A13,Output_Mac!$A:$A,Output_Mac!C:C,""),
_xlpm.MyAuditVal,_xlfn.XLOOKUP($A13,My_Audit!$A:$A,My_Audit!D:D,""),
_xlfn.IFS(_xlpm.MyAuditVal&lt;&gt;"",_xlpm.MyAuditVal,_xlpm.MacVal&lt;&gt;"",_xlpm.MacVal,_xlpm.CSVVal&lt;&gt;"",_xlpm.CSVVal
)),"")</f>
        <v/>
      </c>
      <c r="F13" s="45" t="str" cm="1">
        <f t="array" ref="F13">IFERROR(_xlfn.LET(
_xlpm.CSVVal,_xlfn.XLOOKUP($A13,CSV!$A:$A,CSV!F:F,""),
_xlpm.MacVal,_xlfn.XLOOKUP($A13,Output_Mac!$A:$A,Output_Mac!F:F,""),
_xlpm.MyAuditVal,_xlfn.XLOOKUP($A13,My_Audit!$A:$A,My_Audit!E:E,""),
_xlfn.IFS(_xlpm.MyAuditVal&lt;&gt;"",_xlpm.MyAuditVal,_xlpm.MacVal&lt;&gt;"",_xlpm.MacVal,_xlpm.CSVVal&lt;&gt;"",PROPER(_xlpm.CSVVal)
)),"")</f>
        <v/>
      </c>
      <c r="G13" s="45" t="str" cm="1">
        <f t="array" ref="G13">IFERROR(_xlfn.LET(
_xlpm.CSVVal,_xlfn.XLOOKUP($A13,CSV!$A:$A,CSV!G:G,""),
_xlpm.MacVal,_xlfn.XLOOKUP($A13,Output_Mac!$A:$A,Output_Mac!H:H,""),
_xlpm.MyAuditVal,_xlfn.XLOOKUP($A13,My_Audit!$A:$A,My_Audit!F:F,""),
_xlfn.IFS(_xlpm.MyAuditVal&lt;&gt;"",_xlpm.MyAuditVal,_xlpm.MacVal&lt;&gt;"",_xlpm.MacVal,_xlpm.CSVVal&lt;&gt;"",_xlpm.CSVVal
)),"")</f>
        <v/>
      </c>
      <c r="H13" s="45" t="str">
        <f>_xlfn.XLOOKUP(A13,Output_Mac!A:A,Output_Mac!I:I,"")</f>
        <v/>
      </c>
      <c r="I13" s="45" t="str" cm="1">
        <f t="array" ref="I13">IFERROR(_xlfn.LET(
_xlpm.CSVVal,_xlfn.XLOOKUP($A13,CSV!$A:$A,CSV!H:H,""),
_xlpm.MacVal,_xlfn.XLOOKUP($A13,Output_Mac!$A:$A,Output_Mac!J:J,""),
_xlpm.MyAuditVal,_xlfn.XLOOKUP($A13,My_Audit!$A:$A,My_Audit!H:H,""),
_xlfn.IFS(_xlpm.MyAuditVal&lt;&gt;"",UPPER(_xlpm.MyAuditVal),_xlpm.MacVal&lt;&gt;"",_xlpm.MacVal,_xlpm.CSVVal&lt;&gt;"",_xlpm.CSVVal
)),"")</f>
        <v/>
      </c>
      <c r="J13" s="45" t="str" cm="1">
        <f t="array" ref="J13">IFERROR(_xlfn.LET(
_xlpm.CSVVal,_xlfn.XLOOKUP($A13,CSV!$A:$A,CSV!J:J,""),
_xlpm.MacVal,_xlfn.XLOOKUP($A13,Output_Mac!$A:$A,Output_Mac!K:K,""),
_xlpm.MyAuditVal,_xlfn.XLOOKUP($A13,My_Audit!$A:$A,My_Audit!I:I,""),
_xlfn.IFS(_xlpm.MyAuditVal&lt;&gt;"",UPPER(_xlpm.MyAuditVal),_xlpm.MacVal&lt;&gt;"",_xlpm.MacVal,_xlpm.CSVVal&lt;&gt;"",_xlpm.CSVVal
)),"")</f>
        <v/>
      </c>
      <c r="K13" s="45" t="str" cm="1">
        <f t="array" ref="K13">IFERROR(_xlfn.LET(
_xlpm.CSVVal,_xlfn.XLOOKUP($A13,CSV!$A:$A,CSV!N:N,""),
_xlpm.MacVal,_xlfn.XLOOKUP($A13,Output_Mac!$A:$A,Output_Mac!L:L,""),
_xlpm.MyAuditVal,_xlfn.XLOOKUP($A13,My_Audit!$A:$A,My_Audit!J:J,""),
_xlfn.IFS(_xlpm.MyAuditVal&lt;&gt;"",UPPER(_xlpm.MyAuditVal),_xlpm.MacVal&lt;&gt;"",_xlpm.MacVal,_xlpm.CSVVal&lt;&gt;"",_xlpm.CSVVal
)),"")</f>
        <v/>
      </c>
      <c r="L13" s="46" t="str" cm="1">
        <f t="array" ref="L13">IFERROR(_xlfn.LET(
_xlpm.CSVVal,_xlfn.XLOOKUP($A13,CSV!$A:$A,CSV!Q:Q,""),
_xlpm.MacVal,_xlfn.XLOOKUP($A13,Output_Mac!$A:$A,Output_Mac!M:M,""),
_xlpm.MyAuditVal,_xlfn.XLOOKUP($A13,My_Audit!$A:$A,My_Audit!K:K,""),
_xlfn.IFS(_xlpm.MyAuditVal&lt;&gt;"",UPPER(_xlpm.MyAuditVal),_xlpm.MacVal&lt;&gt;"",_xlpm.MacVal,_xlpm.CSVVal&lt;&gt;"",_xlpm.CSVVal
)),"")</f>
        <v/>
      </c>
      <c r="M13" s="45" t="str">
        <f>_xlfn.LET(
    _xlpm.CSVVal, _xlfn.XLOOKUP($A13, CSV!$A:$A, CSV!AE:AE, ""),
    _xlpm.MacVal, _xlfn.XLOOKUP($A13, Output_Mac!$A:$A, Output_Mac!S:S, ""),
    _xlpm.MyAuditVal, _xlfn.XLOOKUP($A13, My_Audit!$A:$A, My_Audit!N:N, ""),
    _xlfn.TEXTJOIN(", ", TRUE, _xlpm.MyAuditVal, _xlpm.MacVal, _xlpm.CSVVal)
)</f>
        <v/>
      </c>
      <c r="N13" s="45" t="str" cm="1">
        <f t="array" ref="N13">IFERROR(_xlfn.LET(
_xlpm.CSVVal,_xlfn.XLOOKUP($A13,CSV!$A:$A,CSV!AG:AG,""),
_xlpm.MacVal,_xlfn.XLOOKUP($A13,Output_Mac!$A:$A,Output_Mac!U:U,""),
_xlpm.MyAuditVal,_xlfn.XLOOKUP($A13,My_Audit!$A:$A,My_Audit!O:O,""),
_xlfn.IFS(_xlpm.MyAuditVal&lt;&gt;"",UPPER(_xlpm.MyAuditVal),_xlpm.MacVal&lt;&gt;"",_xlpm.MacVal,_xlpm.CSVVal&lt;&gt;"",_xlpm.CSVVal
)),"")</f>
        <v/>
      </c>
      <c r="O13" s="46" t="str">
        <f>_xlfn.XLOOKUP(C13,My_Audit!B:B,My_Audit!P:P,"")&amp;""</f>
        <v/>
      </c>
      <c r="P13" s="45"/>
      <c r="Q13" s="46" t="str">
        <f>IF(LEFT(N13,4)="Pass","Nist SP 800-88",My_Audit!R13)&amp;""</f>
        <v/>
      </c>
      <c r="R13" s="45"/>
      <c r="S13" s="45"/>
      <c r="T13" s="46" t="str">
        <f>_xlfn.XLOOKUP(E13,Models!I:I,Models!J:J,"")</f>
        <v/>
      </c>
      <c r="U13" s="45"/>
      <c r="V13" s="45"/>
      <c r="W13" s="38" t="str">
        <f>_xlfn.LET(
    _xlpm.MacVal, _xlfn.XLOOKUP($A13, Output_Mac!$A:$A, Output_Mac!AB:AB, ""),
    _xlpm.MyAuditVal, _xlfn.XLOOKUP($A13, My_Audit!$A:$A, My_Audit!L:L, ""),
    _xlfn.TEXTJOIN(", ", TRUE, _xlpm.MyAuditVal, _xlpm.MacVal)
)</f>
        <v/>
      </c>
    </row>
    <row r="14" spans="1:23">
      <c r="A14" s="45" t="str">
        <f>_xlfn.TEXTJOIN("",TRUE,Input!$B$2,ROW(My_Audit!A13))</f>
        <v>XX13</v>
      </c>
      <c r="B14" s="45" t="str">
        <f>_xlfn.TEXTJOIN("-",TRUE,"ITD",Input!$A$2,A14)</f>
        <v>ITD-SHRXXX-XX13</v>
      </c>
      <c r="C14" s="45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46" t="str" cm="1">
        <f t="array" ref="D14">IFERROR(_xlfn.LET(
_xlpm.CSVVal,_xlfn.XLOOKUP($A14,CSV!$A:$A,CSV!C:C,""),
_xlpm.MacVal,_xlfn.XLOOKUP($A14,Output_Mac!$A:$A,Output_Mac!D:D,""),
_xlpm.MyAuditVal,_xlfn.XLOOKUP($A14,My_Audit!$A:$A,My_Audit!C:C,""),
_xlfn.IFS(_xlpm.MyAuditVal&lt;&gt;"",UPPER(_xlpm.MyAuditVal),_xlpm.MacVal&lt;&gt;"",_xlpm.MacVal,_xlpm.CSVVal&lt;&gt;"",_xlpm.CSVVal
)),"")</f>
        <v/>
      </c>
      <c r="E14" s="46" t="str" cm="1">
        <f t="array" ref="E14">IFERROR(_xlfn.LET(
_xlpm.CSVVal,_xlfn.XLOOKUP($A14,CSV!$A:$A,CSV!E:E,""),
_xlpm.MacVal,_xlfn.XLOOKUP($A14,Output_Mac!$A:$A,Output_Mac!C:C,""),
_xlpm.MyAuditVal,_xlfn.XLOOKUP($A14,My_Audit!$A:$A,My_Audit!D:D,""),
_xlfn.IFS(_xlpm.MyAuditVal&lt;&gt;"",_xlpm.MyAuditVal,_xlpm.MacVal&lt;&gt;"",_xlpm.MacVal,_xlpm.CSVVal&lt;&gt;"",_xlpm.CSVVal
)),"")</f>
        <v/>
      </c>
      <c r="F14" s="45" t="str" cm="1">
        <f t="array" ref="F14">IFERROR(_xlfn.LET(
_xlpm.CSVVal,_xlfn.XLOOKUP($A14,CSV!$A:$A,CSV!F:F,""),
_xlpm.MacVal,_xlfn.XLOOKUP($A14,Output_Mac!$A:$A,Output_Mac!F:F,""),
_xlpm.MyAuditVal,_xlfn.XLOOKUP($A14,My_Audit!$A:$A,My_Audit!E:E,""),
_xlfn.IFS(_xlpm.MyAuditVal&lt;&gt;"",_xlpm.MyAuditVal,_xlpm.MacVal&lt;&gt;"",_xlpm.MacVal,_xlpm.CSVVal&lt;&gt;"",PROPER(_xlpm.CSVVal)
)),"")</f>
        <v/>
      </c>
      <c r="G14" s="45" t="str" cm="1">
        <f t="array" ref="G14">IFERROR(_xlfn.LET(
_xlpm.CSVVal,_xlfn.XLOOKUP($A14,CSV!$A:$A,CSV!G:G,""),
_xlpm.MacVal,_xlfn.XLOOKUP($A14,Output_Mac!$A:$A,Output_Mac!H:H,""),
_xlpm.MyAuditVal,_xlfn.XLOOKUP($A14,My_Audit!$A:$A,My_Audit!F:F,""),
_xlfn.IFS(_xlpm.MyAuditVal&lt;&gt;"",_xlpm.MyAuditVal,_xlpm.MacVal&lt;&gt;"",_xlpm.MacVal,_xlpm.CSVVal&lt;&gt;"",_xlpm.CSVVal
)),"")</f>
        <v/>
      </c>
      <c r="H14" s="45" t="str">
        <f>_xlfn.XLOOKUP(A14,Output_Mac!A:A,Output_Mac!I:I,"")</f>
        <v/>
      </c>
      <c r="I14" s="45" t="str" cm="1">
        <f t="array" ref="I14">IFERROR(_xlfn.LET(
_xlpm.CSVVal,_xlfn.XLOOKUP($A14,CSV!$A:$A,CSV!H:H,""),
_xlpm.MacVal,_xlfn.XLOOKUP($A14,Output_Mac!$A:$A,Output_Mac!J:J,""),
_xlpm.MyAuditVal,_xlfn.XLOOKUP($A14,My_Audit!$A:$A,My_Audit!H:H,""),
_xlfn.IFS(_xlpm.MyAuditVal&lt;&gt;"",UPPER(_xlpm.MyAuditVal),_xlpm.MacVal&lt;&gt;"",_xlpm.MacVal,_xlpm.CSVVal&lt;&gt;"",_xlpm.CSVVal
)),"")</f>
        <v/>
      </c>
      <c r="J14" s="45" t="str" cm="1">
        <f t="array" ref="J14">IFERROR(_xlfn.LET(
_xlpm.CSVVal,_xlfn.XLOOKUP($A14,CSV!$A:$A,CSV!J:J,""),
_xlpm.MacVal,_xlfn.XLOOKUP($A14,Output_Mac!$A:$A,Output_Mac!K:K,""),
_xlpm.MyAuditVal,_xlfn.XLOOKUP($A14,My_Audit!$A:$A,My_Audit!I:I,""),
_xlfn.IFS(_xlpm.MyAuditVal&lt;&gt;"",UPPER(_xlpm.MyAuditVal),_xlpm.MacVal&lt;&gt;"",_xlpm.MacVal,_xlpm.CSVVal&lt;&gt;"",_xlpm.CSVVal
)),"")</f>
        <v/>
      </c>
      <c r="K14" s="45" t="str" cm="1">
        <f t="array" ref="K14">IFERROR(_xlfn.LET(
_xlpm.CSVVal,_xlfn.XLOOKUP($A14,CSV!$A:$A,CSV!N:N,""),
_xlpm.MacVal,_xlfn.XLOOKUP($A14,Output_Mac!$A:$A,Output_Mac!L:L,""),
_xlpm.MyAuditVal,_xlfn.XLOOKUP($A14,My_Audit!$A:$A,My_Audit!J:J,""),
_xlfn.IFS(_xlpm.MyAuditVal&lt;&gt;"",UPPER(_xlpm.MyAuditVal),_xlpm.MacVal&lt;&gt;"",_xlpm.MacVal,_xlpm.CSVVal&lt;&gt;"",_xlpm.CSVVal
)),"")</f>
        <v/>
      </c>
      <c r="L14" s="46" t="str" cm="1">
        <f t="array" ref="L14">IFERROR(_xlfn.LET(
_xlpm.CSVVal,_xlfn.XLOOKUP($A14,CSV!$A:$A,CSV!Q:Q,""),
_xlpm.MacVal,_xlfn.XLOOKUP($A14,Output_Mac!$A:$A,Output_Mac!M:M,""),
_xlpm.MyAuditVal,_xlfn.XLOOKUP($A14,My_Audit!$A:$A,My_Audit!K:K,""),
_xlfn.IFS(_xlpm.MyAuditVal&lt;&gt;"",UPPER(_xlpm.MyAuditVal),_xlpm.MacVal&lt;&gt;"",_xlpm.MacVal,_xlpm.CSVVal&lt;&gt;"",_xlpm.CSVVal
)),"")</f>
        <v/>
      </c>
      <c r="M14" s="45" t="str">
        <f>_xlfn.LET(
    _xlpm.CSVVal, _xlfn.XLOOKUP($A14, CSV!$A:$A, CSV!AE:AE, ""),
    _xlpm.MacVal, _xlfn.XLOOKUP($A14, Output_Mac!$A:$A, Output_Mac!S:S, ""),
    _xlpm.MyAuditVal, _xlfn.XLOOKUP($A14, My_Audit!$A:$A, My_Audit!N:N, ""),
    _xlfn.TEXTJOIN(", ", TRUE, _xlpm.MyAuditVal, _xlpm.MacVal, _xlpm.CSVVal)
)</f>
        <v/>
      </c>
      <c r="N14" s="45" t="str" cm="1">
        <f t="array" ref="N14">IFERROR(_xlfn.LET(
_xlpm.CSVVal,_xlfn.XLOOKUP($A14,CSV!$A:$A,CSV!AG:AG,""),
_xlpm.MacVal,_xlfn.XLOOKUP($A14,Output_Mac!$A:$A,Output_Mac!U:U,""),
_xlpm.MyAuditVal,_xlfn.XLOOKUP($A14,My_Audit!$A:$A,My_Audit!O:O,""),
_xlfn.IFS(_xlpm.MyAuditVal&lt;&gt;"",UPPER(_xlpm.MyAuditVal),_xlpm.MacVal&lt;&gt;"",_xlpm.MacVal,_xlpm.CSVVal&lt;&gt;"",_xlpm.CSVVal
)),"")</f>
        <v/>
      </c>
      <c r="O14" s="46" t="str">
        <f>_xlfn.XLOOKUP(C14,My_Audit!B:B,My_Audit!P:P,"")&amp;""</f>
        <v/>
      </c>
      <c r="P14" s="45"/>
      <c r="Q14" s="46" t="str">
        <f>IF(LEFT(N14,4)="Pass","Nist SP 800-88",My_Audit!R14)&amp;""</f>
        <v/>
      </c>
      <c r="R14" s="45"/>
      <c r="S14" s="45"/>
      <c r="T14" s="46" t="str">
        <f>_xlfn.XLOOKUP(E14,Models!I:I,Models!J:J,"")</f>
        <v/>
      </c>
      <c r="U14" s="45"/>
      <c r="V14" s="45"/>
      <c r="W14" s="38" t="str">
        <f>_xlfn.LET(
    _xlpm.MacVal, _xlfn.XLOOKUP($A14, Output_Mac!$A:$A, Output_Mac!AB:AB, ""),
    _xlpm.MyAuditVal, _xlfn.XLOOKUP($A14, My_Audit!$A:$A, My_Audit!L:L, ""),
    _xlfn.TEXTJOIN(", ", TRUE, _xlpm.MyAuditVal, _xlpm.MacVal)
)</f>
        <v/>
      </c>
    </row>
    <row r="15" spans="1:23">
      <c r="A15" s="45" t="str">
        <f>_xlfn.TEXTJOIN("",TRUE,Input!$B$2,ROW(My_Audit!A14))</f>
        <v>XX14</v>
      </c>
      <c r="B15" s="45" t="str">
        <f>_xlfn.TEXTJOIN("-",TRUE,"ITD",Input!$A$2,A15)</f>
        <v>ITD-SHRXXX-XX14</v>
      </c>
      <c r="C15" s="45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46" t="str" cm="1">
        <f t="array" ref="D15">IFERROR(_xlfn.LET(
_xlpm.CSVVal,_xlfn.XLOOKUP($A15,CSV!$A:$A,CSV!C:C,""),
_xlpm.MacVal,_xlfn.XLOOKUP($A15,Output_Mac!$A:$A,Output_Mac!D:D,""),
_xlpm.MyAuditVal,_xlfn.XLOOKUP($A15,My_Audit!$A:$A,My_Audit!C:C,""),
_xlfn.IFS(_xlpm.MyAuditVal&lt;&gt;"",UPPER(_xlpm.MyAuditVal),_xlpm.MacVal&lt;&gt;"",_xlpm.MacVal,_xlpm.CSVVal&lt;&gt;"",_xlpm.CSVVal
)),"")</f>
        <v/>
      </c>
      <c r="E15" s="46" t="str" cm="1">
        <f t="array" ref="E15">IFERROR(_xlfn.LET(
_xlpm.CSVVal,_xlfn.XLOOKUP($A15,CSV!$A:$A,CSV!E:E,""),
_xlpm.MacVal,_xlfn.XLOOKUP($A15,Output_Mac!$A:$A,Output_Mac!C:C,""),
_xlpm.MyAuditVal,_xlfn.XLOOKUP($A15,My_Audit!$A:$A,My_Audit!D:D,""),
_xlfn.IFS(_xlpm.MyAuditVal&lt;&gt;"",_xlpm.MyAuditVal,_xlpm.MacVal&lt;&gt;"",_xlpm.MacVal,_xlpm.CSVVal&lt;&gt;"",_xlpm.CSVVal
)),"")</f>
        <v/>
      </c>
      <c r="F15" s="45" t="str" cm="1">
        <f t="array" ref="F15">IFERROR(_xlfn.LET(
_xlpm.CSVVal,_xlfn.XLOOKUP($A15,CSV!$A:$A,CSV!F:F,""),
_xlpm.MacVal,_xlfn.XLOOKUP($A15,Output_Mac!$A:$A,Output_Mac!F:F,""),
_xlpm.MyAuditVal,_xlfn.XLOOKUP($A15,My_Audit!$A:$A,My_Audit!E:E,""),
_xlfn.IFS(_xlpm.MyAuditVal&lt;&gt;"",_xlpm.MyAuditVal,_xlpm.MacVal&lt;&gt;"",_xlpm.MacVal,_xlpm.CSVVal&lt;&gt;"",PROPER(_xlpm.CSVVal)
)),"")</f>
        <v/>
      </c>
      <c r="G15" s="45" t="str" cm="1">
        <f t="array" ref="G15">IFERROR(_xlfn.LET(
_xlpm.CSVVal,_xlfn.XLOOKUP($A15,CSV!$A:$A,CSV!G:G,""),
_xlpm.MacVal,_xlfn.XLOOKUP($A15,Output_Mac!$A:$A,Output_Mac!H:H,""),
_xlpm.MyAuditVal,_xlfn.XLOOKUP($A15,My_Audit!$A:$A,My_Audit!F:F,""),
_xlfn.IFS(_xlpm.MyAuditVal&lt;&gt;"",_xlpm.MyAuditVal,_xlpm.MacVal&lt;&gt;"",_xlpm.MacVal,_xlpm.CSVVal&lt;&gt;"",_xlpm.CSVVal
)),"")</f>
        <v/>
      </c>
      <c r="H15" s="45" t="str">
        <f>_xlfn.XLOOKUP(A15,Output_Mac!A:A,Output_Mac!I:I,"")</f>
        <v/>
      </c>
      <c r="I15" s="45" t="str" cm="1">
        <f t="array" ref="I15">IFERROR(_xlfn.LET(
_xlpm.CSVVal,_xlfn.XLOOKUP($A15,CSV!$A:$A,CSV!H:H,""),
_xlpm.MacVal,_xlfn.XLOOKUP($A15,Output_Mac!$A:$A,Output_Mac!J:J,""),
_xlpm.MyAuditVal,_xlfn.XLOOKUP($A15,My_Audit!$A:$A,My_Audit!H:H,""),
_xlfn.IFS(_xlpm.MyAuditVal&lt;&gt;"",UPPER(_xlpm.MyAuditVal),_xlpm.MacVal&lt;&gt;"",_xlpm.MacVal,_xlpm.CSVVal&lt;&gt;"",_xlpm.CSVVal
)),"")</f>
        <v/>
      </c>
      <c r="J15" s="45" t="str" cm="1">
        <f t="array" ref="J15">IFERROR(_xlfn.LET(
_xlpm.CSVVal,_xlfn.XLOOKUP($A15,CSV!$A:$A,CSV!J:J,""),
_xlpm.MacVal,_xlfn.XLOOKUP($A15,Output_Mac!$A:$A,Output_Mac!K:K,""),
_xlpm.MyAuditVal,_xlfn.XLOOKUP($A15,My_Audit!$A:$A,My_Audit!I:I,""),
_xlfn.IFS(_xlpm.MyAuditVal&lt;&gt;"",UPPER(_xlpm.MyAuditVal),_xlpm.MacVal&lt;&gt;"",_xlpm.MacVal,_xlpm.CSVVal&lt;&gt;"",_xlpm.CSVVal
)),"")</f>
        <v/>
      </c>
      <c r="K15" s="45" t="str" cm="1">
        <f t="array" ref="K15">IFERROR(_xlfn.LET(
_xlpm.CSVVal,_xlfn.XLOOKUP($A15,CSV!$A:$A,CSV!N:N,""),
_xlpm.MacVal,_xlfn.XLOOKUP($A15,Output_Mac!$A:$A,Output_Mac!L:L,""),
_xlpm.MyAuditVal,_xlfn.XLOOKUP($A15,My_Audit!$A:$A,My_Audit!J:J,""),
_xlfn.IFS(_xlpm.MyAuditVal&lt;&gt;"",UPPER(_xlpm.MyAuditVal),_xlpm.MacVal&lt;&gt;"",_xlpm.MacVal,_xlpm.CSVVal&lt;&gt;"",_xlpm.CSVVal
)),"")</f>
        <v/>
      </c>
      <c r="L15" s="46" t="str" cm="1">
        <f t="array" ref="L15">IFERROR(_xlfn.LET(
_xlpm.CSVVal,_xlfn.XLOOKUP($A15,CSV!$A:$A,CSV!Q:Q,""),
_xlpm.MacVal,_xlfn.XLOOKUP($A15,Output_Mac!$A:$A,Output_Mac!M:M,""),
_xlpm.MyAuditVal,_xlfn.XLOOKUP($A15,My_Audit!$A:$A,My_Audit!K:K,""),
_xlfn.IFS(_xlpm.MyAuditVal&lt;&gt;"",UPPER(_xlpm.MyAuditVal),_xlpm.MacVal&lt;&gt;"",_xlpm.MacVal,_xlpm.CSVVal&lt;&gt;"",_xlpm.CSVVal
)),"")</f>
        <v/>
      </c>
      <c r="M15" s="45" t="str">
        <f>_xlfn.LET(
    _xlpm.CSVVal, _xlfn.XLOOKUP($A15, CSV!$A:$A, CSV!AE:AE, ""),
    _xlpm.MacVal, _xlfn.XLOOKUP($A15, Output_Mac!$A:$A, Output_Mac!S:S, ""),
    _xlpm.MyAuditVal, _xlfn.XLOOKUP($A15, My_Audit!$A:$A, My_Audit!N:N, ""),
    _xlfn.TEXTJOIN(", ", TRUE, _xlpm.MyAuditVal, _xlpm.MacVal, _xlpm.CSVVal)
)</f>
        <v/>
      </c>
      <c r="N15" s="45" t="str" cm="1">
        <f t="array" ref="N15">IFERROR(_xlfn.LET(
_xlpm.CSVVal,_xlfn.XLOOKUP($A15,CSV!$A:$A,CSV!AG:AG,""),
_xlpm.MacVal,_xlfn.XLOOKUP($A15,Output_Mac!$A:$A,Output_Mac!U:U,""),
_xlpm.MyAuditVal,_xlfn.XLOOKUP($A15,My_Audit!$A:$A,My_Audit!O:O,""),
_xlfn.IFS(_xlpm.MyAuditVal&lt;&gt;"",UPPER(_xlpm.MyAuditVal),_xlpm.MacVal&lt;&gt;"",_xlpm.MacVal,_xlpm.CSVVal&lt;&gt;"",_xlpm.CSVVal
)),"")</f>
        <v/>
      </c>
      <c r="O15" s="46" t="str">
        <f>_xlfn.XLOOKUP(C15,My_Audit!B:B,My_Audit!P:P,"")&amp;""</f>
        <v/>
      </c>
      <c r="P15" s="45"/>
      <c r="Q15" s="46" t="str">
        <f>IF(LEFT(N15,4)="Pass","Nist SP 800-88",My_Audit!R15)&amp;""</f>
        <v/>
      </c>
      <c r="R15" s="45"/>
      <c r="S15" s="45"/>
      <c r="T15" s="46" t="str">
        <f>_xlfn.XLOOKUP(E15,Models!I:I,Models!J:J,"")</f>
        <v/>
      </c>
      <c r="U15" s="45"/>
      <c r="V15" s="45"/>
      <c r="W15" s="38" t="str">
        <f>_xlfn.LET(
    _xlpm.MacVal, _xlfn.XLOOKUP($A15, Output_Mac!$A:$A, Output_Mac!AB:AB, ""),
    _xlpm.MyAuditVal, _xlfn.XLOOKUP($A15, My_Audit!$A:$A, My_Audit!L:L, ""),
    _xlfn.TEXTJOIN(", ", TRUE, _xlpm.MyAuditVal, _xlpm.MacVal)
)</f>
        <v/>
      </c>
    </row>
    <row r="16" spans="1:23">
      <c r="A16" s="45" t="str">
        <f>_xlfn.TEXTJOIN("",TRUE,Input!$B$2,ROW(My_Audit!A15))</f>
        <v>XX15</v>
      </c>
      <c r="B16" s="45" t="str">
        <f>_xlfn.TEXTJOIN("-",TRUE,"ITD",Input!$A$2,A16)</f>
        <v>ITD-SHRXXX-XX15</v>
      </c>
      <c r="C16" s="45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46" t="str" cm="1">
        <f t="array" ref="D16">IFERROR(_xlfn.LET(
_xlpm.CSVVal,_xlfn.XLOOKUP($A16,CSV!$A:$A,CSV!C:C,""),
_xlpm.MacVal,_xlfn.XLOOKUP($A16,Output_Mac!$A:$A,Output_Mac!D:D,""),
_xlpm.MyAuditVal,_xlfn.XLOOKUP($A16,My_Audit!$A:$A,My_Audit!C:C,""),
_xlfn.IFS(_xlpm.MyAuditVal&lt;&gt;"",UPPER(_xlpm.MyAuditVal),_xlpm.MacVal&lt;&gt;"",_xlpm.MacVal,_xlpm.CSVVal&lt;&gt;"",_xlpm.CSVVal
)),"")</f>
        <v/>
      </c>
      <c r="E16" s="46" t="str" cm="1">
        <f t="array" ref="E16">IFERROR(_xlfn.LET(
_xlpm.CSVVal,_xlfn.XLOOKUP($A16,CSV!$A:$A,CSV!E:E,""),
_xlpm.MacVal,_xlfn.XLOOKUP($A16,Output_Mac!$A:$A,Output_Mac!C:C,""),
_xlpm.MyAuditVal,_xlfn.XLOOKUP($A16,My_Audit!$A:$A,My_Audit!D:D,""),
_xlfn.IFS(_xlpm.MyAuditVal&lt;&gt;"",_xlpm.MyAuditVal,_xlpm.MacVal&lt;&gt;"",_xlpm.MacVal,_xlpm.CSVVal&lt;&gt;"",_xlpm.CSVVal
)),"")</f>
        <v/>
      </c>
      <c r="F16" s="45" t="str" cm="1">
        <f t="array" ref="F16">IFERROR(_xlfn.LET(
_xlpm.CSVVal,_xlfn.XLOOKUP($A16,CSV!$A:$A,CSV!F:F,""),
_xlpm.MacVal,_xlfn.XLOOKUP($A16,Output_Mac!$A:$A,Output_Mac!F:F,""),
_xlpm.MyAuditVal,_xlfn.XLOOKUP($A16,My_Audit!$A:$A,My_Audit!E:E,""),
_xlfn.IFS(_xlpm.MyAuditVal&lt;&gt;"",_xlpm.MyAuditVal,_xlpm.MacVal&lt;&gt;"",_xlpm.MacVal,_xlpm.CSVVal&lt;&gt;"",PROPER(_xlpm.CSVVal)
)),"")</f>
        <v/>
      </c>
      <c r="G16" s="45" t="str" cm="1">
        <f t="array" ref="G16">IFERROR(_xlfn.LET(
_xlpm.CSVVal,_xlfn.XLOOKUP($A16,CSV!$A:$A,CSV!G:G,""),
_xlpm.MacVal,_xlfn.XLOOKUP($A16,Output_Mac!$A:$A,Output_Mac!H:H,""),
_xlpm.MyAuditVal,_xlfn.XLOOKUP($A16,My_Audit!$A:$A,My_Audit!F:F,""),
_xlfn.IFS(_xlpm.MyAuditVal&lt;&gt;"",_xlpm.MyAuditVal,_xlpm.MacVal&lt;&gt;"",_xlpm.MacVal,_xlpm.CSVVal&lt;&gt;"",_xlpm.CSVVal
)),"")</f>
        <v/>
      </c>
      <c r="H16" s="45" t="str">
        <f>_xlfn.XLOOKUP(A16,Output_Mac!A:A,Output_Mac!I:I,"")</f>
        <v/>
      </c>
      <c r="I16" s="45" t="str" cm="1">
        <f t="array" ref="I16">IFERROR(_xlfn.LET(
_xlpm.CSVVal,_xlfn.XLOOKUP($A16,CSV!$A:$A,CSV!H:H,""),
_xlpm.MacVal,_xlfn.XLOOKUP($A16,Output_Mac!$A:$A,Output_Mac!J:J,""),
_xlpm.MyAuditVal,_xlfn.XLOOKUP($A16,My_Audit!$A:$A,My_Audit!H:H,""),
_xlfn.IFS(_xlpm.MyAuditVal&lt;&gt;"",UPPER(_xlpm.MyAuditVal),_xlpm.MacVal&lt;&gt;"",_xlpm.MacVal,_xlpm.CSVVal&lt;&gt;"",_xlpm.CSVVal
)),"")</f>
        <v/>
      </c>
      <c r="J16" s="45" t="str" cm="1">
        <f t="array" ref="J16">IFERROR(_xlfn.LET(
_xlpm.CSVVal,_xlfn.XLOOKUP($A16,CSV!$A:$A,CSV!J:J,""),
_xlpm.MacVal,_xlfn.XLOOKUP($A16,Output_Mac!$A:$A,Output_Mac!K:K,""),
_xlpm.MyAuditVal,_xlfn.XLOOKUP($A16,My_Audit!$A:$A,My_Audit!I:I,""),
_xlfn.IFS(_xlpm.MyAuditVal&lt;&gt;"",UPPER(_xlpm.MyAuditVal),_xlpm.MacVal&lt;&gt;"",_xlpm.MacVal,_xlpm.CSVVal&lt;&gt;"",_xlpm.CSVVal
)),"")</f>
        <v/>
      </c>
      <c r="K16" s="45" t="str" cm="1">
        <f t="array" ref="K16">IFERROR(_xlfn.LET(
_xlpm.CSVVal,_xlfn.XLOOKUP($A16,CSV!$A:$A,CSV!N:N,""),
_xlpm.MacVal,_xlfn.XLOOKUP($A16,Output_Mac!$A:$A,Output_Mac!L:L,""),
_xlpm.MyAuditVal,_xlfn.XLOOKUP($A16,My_Audit!$A:$A,My_Audit!J:J,""),
_xlfn.IFS(_xlpm.MyAuditVal&lt;&gt;"",UPPER(_xlpm.MyAuditVal),_xlpm.MacVal&lt;&gt;"",_xlpm.MacVal,_xlpm.CSVVal&lt;&gt;"",_xlpm.CSVVal
)),"")</f>
        <v/>
      </c>
      <c r="L16" s="46" t="str" cm="1">
        <f t="array" ref="L16">IFERROR(_xlfn.LET(
_xlpm.CSVVal,_xlfn.XLOOKUP($A16,CSV!$A:$A,CSV!Q:Q,""),
_xlpm.MacVal,_xlfn.XLOOKUP($A16,Output_Mac!$A:$A,Output_Mac!M:M,""),
_xlpm.MyAuditVal,_xlfn.XLOOKUP($A16,My_Audit!$A:$A,My_Audit!K:K,""),
_xlfn.IFS(_xlpm.MyAuditVal&lt;&gt;"",UPPER(_xlpm.MyAuditVal),_xlpm.MacVal&lt;&gt;"",_xlpm.MacVal,_xlpm.CSVVal&lt;&gt;"",_xlpm.CSVVal
)),"")</f>
        <v/>
      </c>
      <c r="M16" s="45" t="str">
        <f>_xlfn.LET(
    _xlpm.CSVVal, _xlfn.XLOOKUP($A16, CSV!$A:$A, CSV!AE:AE, ""),
    _xlpm.MacVal, _xlfn.XLOOKUP($A16, Output_Mac!$A:$A, Output_Mac!S:S, ""),
    _xlpm.MyAuditVal, _xlfn.XLOOKUP($A16, My_Audit!$A:$A, My_Audit!N:N, ""),
    _xlfn.TEXTJOIN(", ", TRUE, _xlpm.MyAuditVal, _xlpm.MacVal, _xlpm.CSVVal)
)</f>
        <v/>
      </c>
      <c r="N16" s="45" t="str" cm="1">
        <f t="array" ref="N16">IFERROR(_xlfn.LET(
_xlpm.CSVVal,_xlfn.XLOOKUP($A16,CSV!$A:$A,CSV!AG:AG,""),
_xlpm.MacVal,_xlfn.XLOOKUP($A16,Output_Mac!$A:$A,Output_Mac!U:U,""),
_xlpm.MyAuditVal,_xlfn.XLOOKUP($A16,My_Audit!$A:$A,My_Audit!O:O,""),
_xlfn.IFS(_xlpm.MyAuditVal&lt;&gt;"",UPPER(_xlpm.MyAuditVal),_xlpm.MacVal&lt;&gt;"",_xlpm.MacVal,_xlpm.CSVVal&lt;&gt;"",_xlpm.CSVVal
)),"")</f>
        <v/>
      </c>
      <c r="O16" s="46" t="str">
        <f>_xlfn.XLOOKUP(C16,My_Audit!B:B,My_Audit!P:P,"")&amp;""</f>
        <v/>
      </c>
      <c r="P16" s="45"/>
      <c r="Q16" s="46" t="str">
        <f>IF(LEFT(N16,4)="Pass","Nist SP 800-88",My_Audit!R16)&amp;""</f>
        <v/>
      </c>
      <c r="R16" s="45"/>
      <c r="S16" s="45"/>
      <c r="T16" s="46" t="str">
        <f>_xlfn.XLOOKUP(E16,Models!I:I,Models!J:J,"")</f>
        <v/>
      </c>
      <c r="U16" s="45"/>
      <c r="V16" s="45"/>
      <c r="W16" s="38" t="str">
        <f>_xlfn.LET(
    _xlpm.MacVal, _xlfn.XLOOKUP($A16, Output_Mac!$A:$A, Output_Mac!AB:AB, ""),
    _xlpm.MyAuditVal, _xlfn.XLOOKUP($A16, My_Audit!$A:$A, My_Audit!L:L, ""),
    _xlfn.TEXTJOIN(", ", TRUE, _xlpm.MyAuditVal, _xlpm.MacVal)
)</f>
        <v/>
      </c>
    </row>
    <row r="17" spans="1:23">
      <c r="A17" s="45" t="str">
        <f>_xlfn.TEXTJOIN("",TRUE,Input!$B$2,ROW(My_Audit!A16))</f>
        <v>XX16</v>
      </c>
      <c r="B17" s="45" t="str">
        <f>_xlfn.TEXTJOIN("-",TRUE,"ITD",Input!$A$2,A17)</f>
        <v>ITD-SHRXXX-XX16</v>
      </c>
      <c r="C17" s="45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46" t="str" cm="1">
        <f t="array" ref="D17">IFERROR(_xlfn.LET(
_xlpm.CSVVal,_xlfn.XLOOKUP($A17,CSV!$A:$A,CSV!C:C,""),
_xlpm.MacVal,_xlfn.XLOOKUP($A17,Output_Mac!$A:$A,Output_Mac!D:D,""),
_xlpm.MyAuditVal,_xlfn.XLOOKUP($A17,My_Audit!$A:$A,My_Audit!C:C,""),
_xlfn.IFS(_xlpm.MyAuditVal&lt;&gt;"",UPPER(_xlpm.MyAuditVal),_xlpm.MacVal&lt;&gt;"",_xlpm.MacVal,_xlpm.CSVVal&lt;&gt;"",_xlpm.CSVVal
)),"")</f>
        <v/>
      </c>
      <c r="E17" s="46" t="str" cm="1">
        <f t="array" ref="E17">IFERROR(_xlfn.LET(
_xlpm.CSVVal,_xlfn.XLOOKUP($A17,CSV!$A:$A,CSV!E:E,""),
_xlpm.MacVal,_xlfn.XLOOKUP($A17,Output_Mac!$A:$A,Output_Mac!C:C,""),
_xlpm.MyAuditVal,_xlfn.XLOOKUP($A17,My_Audit!$A:$A,My_Audit!D:D,""),
_xlfn.IFS(_xlpm.MyAuditVal&lt;&gt;"",_xlpm.MyAuditVal,_xlpm.MacVal&lt;&gt;"",_xlpm.MacVal,_xlpm.CSVVal&lt;&gt;"",_xlpm.CSVVal
)),"")</f>
        <v/>
      </c>
      <c r="F17" s="45" t="str" cm="1">
        <f t="array" ref="F17">IFERROR(_xlfn.LET(
_xlpm.CSVVal,_xlfn.XLOOKUP($A17,CSV!$A:$A,CSV!F:F,""),
_xlpm.MacVal,_xlfn.XLOOKUP($A17,Output_Mac!$A:$A,Output_Mac!F:F,""),
_xlpm.MyAuditVal,_xlfn.XLOOKUP($A17,My_Audit!$A:$A,My_Audit!E:E,""),
_xlfn.IFS(_xlpm.MyAuditVal&lt;&gt;"",_xlpm.MyAuditVal,_xlpm.MacVal&lt;&gt;"",_xlpm.MacVal,_xlpm.CSVVal&lt;&gt;"",PROPER(_xlpm.CSVVal)
)),"")</f>
        <v/>
      </c>
      <c r="G17" s="45" t="str" cm="1">
        <f t="array" ref="G17">IFERROR(_xlfn.LET(
_xlpm.CSVVal,_xlfn.XLOOKUP($A17,CSV!$A:$A,CSV!G:G,""),
_xlpm.MacVal,_xlfn.XLOOKUP($A17,Output_Mac!$A:$A,Output_Mac!H:H,""),
_xlpm.MyAuditVal,_xlfn.XLOOKUP($A17,My_Audit!$A:$A,My_Audit!F:F,""),
_xlfn.IFS(_xlpm.MyAuditVal&lt;&gt;"",_xlpm.MyAuditVal,_xlpm.MacVal&lt;&gt;"",_xlpm.MacVal,_xlpm.CSVVal&lt;&gt;"",_xlpm.CSVVal
)),"")</f>
        <v/>
      </c>
      <c r="H17" s="45" t="str">
        <f>_xlfn.XLOOKUP(A17,Output_Mac!A:A,Output_Mac!I:I,"")</f>
        <v/>
      </c>
      <c r="I17" s="45" t="str" cm="1">
        <f t="array" ref="I17">IFERROR(_xlfn.LET(
_xlpm.CSVVal,_xlfn.XLOOKUP($A17,CSV!$A:$A,CSV!H:H,""),
_xlpm.MacVal,_xlfn.XLOOKUP($A17,Output_Mac!$A:$A,Output_Mac!J:J,""),
_xlpm.MyAuditVal,_xlfn.XLOOKUP($A17,My_Audit!$A:$A,My_Audit!H:H,""),
_xlfn.IFS(_xlpm.MyAuditVal&lt;&gt;"",UPPER(_xlpm.MyAuditVal),_xlpm.MacVal&lt;&gt;"",_xlpm.MacVal,_xlpm.CSVVal&lt;&gt;"",_xlpm.CSVVal
)),"")</f>
        <v/>
      </c>
      <c r="J17" s="45" t="str" cm="1">
        <f t="array" ref="J17">IFERROR(_xlfn.LET(
_xlpm.CSVVal,_xlfn.XLOOKUP($A17,CSV!$A:$A,CSV!J:J,""),
_xlpm.MacVal,_xlfn.XLOOKUP($A17,Output_Mac!$A:$A,Output_Mac!K:K,""),
_xlpm.MyAuditVal,_xlfn.XLOOKUP($A17,My_Audit!$A:$A,My_Audit!I:I,""),
_xlfn.IFS(_xlpm.MyAuditVal&lt;&gt;"",UPPER(_xlpm.MyAuditVal),_xlpm.MacVal&lt;&gt;"",_xlpm.MacVal,_xlpm.CSVVal&lt;&gt;"",_xlpm.CSVVal
)),"")</f>
        <v/>
      </c>
      <c r="K17" s="45" t="str" cm="1">
        <f t="array" ref="K17">IFERROR(_xlfn.LET(
_xlpm.CSVVal,_xlfn.XLOOKUP($A17,CSV!$A:$A,CSV!N:N,""),
_xlpm.MacVal,_xlfn.XLOOKUP($A17,Output_Mac!$A:$A,Output_Mac!L:L,""),
_xlpm.MyAuditVal,_xlfn.XLOOKUP($A17,My_Audit!$A:$A,My_Audit!J:J,""),
_xlfn.IFS(_xlpm.MyAuditVal&lt;&gt;"",UPPER(_xlpm.MyAuditVal),_xlpm.MacVal&lt;&gt;"",_xlpm.MacVal,_xlpm.CSVVal&lt;&gt;"",_xlpm.CSVVal
)),"")</f>
        <v/>
      </c>
      <c r="L17" s="46" t="str" cm="1">
        <f t="array" ref="L17">IFERROR(_xlfn.LET(
_xlpm.CSVVal,_xlfn.XLOOKUP($A17,CSV!$A:$A,CSV!Q:Q,""),
_xlpm.MacVal,_xlfn.XLOOKUP($A17,Output_Mac!$A:$A,Output_Mac!M:M,""),
_xlpm.MyAuditVal,_xlfn.XLOOKUP($A17,My_Audit!$A:$A,My_Audit!K:K,""),
_xlfn.IFS(_xlpm.MyAuditVal&lt;&gt;"",UPPER(_xlpm.MyAuditVal),_xlpm.MacVal&lt;&gt;"",_xlpm.MacVal,_xlpm.CSVVal&lt;&gt;"",_xlpm.CSVVal
)),"")</f>
        <v/>
      </c>
      <c r="M17" s="45" t="str">
        <f>_xlfn.LET(
    _xlpm.CSVVal, _xlfn.XLOOKUP($A17, CSV!$A:$A, CSV!AE:AE, ""),
    _xlpm.MacVal, _xlfn.XLOOKUP($A17, Output_Mac!$A:$A, Output_Mac!S:S, ""),
    _xlpm.MyAuditVal, _xlfn.XLOOKUP($A17, My_Audit!$A:$A, My_Audit!N:N, ""),
    _xlfn.TEXTJOIN(", ", TRUE, _xlpm.MyAuditVal, _xlpm.MacVal, _xlpm.CSVVal)
)</f>
        <v/>
      </c>
      <c r="N17" s="45" t="str" cm="1">
        <f t="array" ref="N17">IFERROR(_xlfn.LET(
_xlpm.CSVVal,_xlfn.XLOOKUP($A17,CSV!$A:$A,CSV!AG:AG,""),
_xlpm.MacVal,_xlfn.XLOOKUP($A17,Output_Mac!$A:$A,Output_Mac!U:U,""),
_xlpm.MyAuditVal,_xlfn.XLOOKUP($A17,My_Audit!$A:$A,My_Audit!O:O,""),
_xlfn.IFS(_xlpm.MyAuditVal&lt;&gt;"",UPPER(_xlpm.MyAuditVal),_xlpm.MacVal&lt;&gt;"",_xlpm.MacVal,_xlpm.CSVVal&lt;&gt;"",_xlpm.CSVVal
)),"")</f>
        <v/>
      </c>
      <c r="O17" s="46" t="str">
        <f>_xlfn.XLOOKUP(C17,My_Audit!B:B,My_Audit!P:P,"")&amp;""</f>
        <v/>
      </c>
      <c r="P17" s="45"/>
      <c r="Q17" s="46" t="str">
        <f>IF(LEFT(N17,4)="Pass","Nist SP 800-88",My_Audit!R17)&amp;""</f>
        <v/>
      </c>
      <c r="R17" s="45"/>
      <c r="S17" s="45"/>
      <c r="T17" s="46" t="str">
        <f>_xlfn.XLOOKUP(E17,Models!I:I,Models!J:J,"")</f>
        <v/>
      </c>
      <c r="U17" s="45"/>
      <c r="V17" s="45"/>
      <c r="W17" s="38" t="str">
        <f>_xlfn.LET(
    _xlpm.MacVal, _xlfn.XLOOKUP($A17, Output_Mac!$A:$A, Output_Mac!AB:AB, ""),
    _xlpm.MyAuditVal, _xlfn.XLOOKUP($A17, My_Audit!$A:$A, My_Audit!L:L, ""),
    _xlfn.TEXTJOIN(", ", TRUE, _xlpm.MyAuditVal, _xlpm.MacVal)
)</f>
        <v/>
      </c>
    </row>
    <row r="18" spans="1:23">
      <c r="A18" s="45" t="str">
        <f>_xlfn.TEXTJOIN("",TRUE,Input!$B$2,ROW(My_Audit!A17))</f>
        <v>XX17</v>
      </c>
      <c r="B18" s="45" t="str">
        <f>_xlfn.TEXTJOIN("-",TRUE,"ITD",Input!$A$2,A18)</f>
        <v>ITD-SHRXXX-XX17</v>
      </c>
      <c r="C18" s="45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46" t="str" cm="1">
        <f t="array" ref="D18">IFERROR(_xlfn.LET(
_xlpm.CSVVal,_xlfn.XLOOKUP($A18,CSV!$A:$A,CSV!C:C,""),
_xlpm.MacVal,_xlfn.XLOOKUP($A18,Output_Mac!$A:$A,Output_Mac!D:D,""),
_xlpm.MyAuditVal,_xlfn.XLOOKUP($A18,My_Audit!$A:$A,My_Audit!C:C,""),
_xlfn.IFS(_xlpm.MyAuditVal&lt;&gt;"",UPPER(_xlpm.MyAuditVal),_xlpm.MacVal&lt;&gt;"",_xlpm.MacVal,_xlpm.CSVVal&lt;&gt;"",_xlpm.CSVVal
)),"")</f>
        <v/>
      </c>
      <c r="E18" s="46" t="str" cm="1">
        <f t="array" ref="E18">IFERROR(_xlfn.LET(
_xlpm.CSVVal,_xlfn.XLOOKUP($A18,CSV!$A:$A,CSV!E:E,""),
_xlpm.MacVal,_xlfn.XLOOKUP($A18,Output_Mac!$A:$A,Output_Mac!C:C,""),
_xlpm.MyAuditVal,_xlfn.XLOOKUP($A18,My_Audit!$A:$A,My_Audit!D:D,""),
_xlfn.IFS(_xlpm.MyAuditVal&lt;&gt;"",_xlpm.MyAuditVal,_xlpm.MacVal&lt;&gt;"",_xlpm.MacVal,_xlpm.CSVVal&lt;&gt;"",_xlpm.CSVVal
)),"")</f>
        <v/>
      </c>
      <c r="F18" s="45" t="str" cm="1">
        <f t="array" ref="F18">IFERROR(_xlfn.LET(
_xlpm.CSVVal,_xlfn.XLOOKUP($A18,CSV!$A:$A,CSV!F:F,""),
_xlpm.MacVal,_xlfn.XLOOKUP($A18,Output_Mac!$A:$A,Output_Mac!F:F,""),
_xlpm.MyAuditVal,_xlfn.XLOOKUP($A18,My_Audit!$A:$A,My_Audit!E:E,""),
_xlfn.IFS(_xlpm.MyAuditVal&lt;&gt;"",_xlpm.MyAuditVal,_xlpm.MacVal&lt;&gt;"",_xlpm.MacVal,_xlpm.CSVVal&lt;&gt;"",PROPER(_xlpm.CSVVal)
)),"")</f>
        <v/>
      </c>
      <c r="G18" s="45" t="str" cm="1">
        <f t="array" ref="G18">IFERROR(_xlfn.LET(
_xlpm.CSVVal,_xlfn.XLOOKUP($A18,CSV!$A:$A,CSV!G:G,""),
_xlpm.MacVal,_xlfn.XLOOKUP($A18,Output_Mac!$A:$A,Output_Mac!H:H,""),
_xlpm.MyAuditVal,_xlfn.XLOOKUP($A18,My_Audit!$A:$A,My_Audit!F:F,""),
_xlfn.IFS(_xlpm.MyAuditVal&lt;&gt;"",_xlpm.MyAuditVal,_xlpm.MacVal&lt;&gt;"",_xlpm.MacVal,_xlpm.CSVVal&lt;&gt;"",_xlpm.CSVVal
)),"")</f>
        <v/>
      </c>
      <c r="H18" s="45" t="str">
        <f>_xlfn.XLOOKUP(A18,Output_Mac!A:A,Output_Mac!I:I,"")</f>
        <v/>
      </c>
      <c r="I18" s="45" t="str" cm="1">
        <f t="array" ref="I18">IFERROR(_xlfn.LET(
_xlpm.CSVVal,_xlfn.XLOOKUP($A18,CSV!$A:$A,CSV!H:H,""),
_xlpm.MacVal,_xlfn.XLOOKUP($A18,Output_Mac!$A:$A,Output_Mac!J:J,""),
_xlpm.MyAuditVal,_xlfn.XLOOKUP($A18,My_Audit!$A:$A,My_Audit!H:H,""),
_xlfn.IFS(_xlpm.MyAuditVal&lt;&gt;"",UPPER(_xlpm.MyAuditVal),_xlpm.MacVal&lt;&gt;"",_xlpm.MacVal,_xlpm.CSVVal&lt;&gt;"",_xlpm.CSVVal
)),"")</f>
        <v/>
      </c>
      <c r="J18" s="45" t="str" cm="1">
        <f t="array" ref="J18">IFERROR(_xlfn.LET(
_xlpm.CSVVal,_xlfn.XLOOKUP($A18,CSV!$A:$A,CSV!J:J,""),
_xlpm.MacVal,_xlfn.XLOOKUP($A18,Output_Mac!$A:$A,Output_Mac!K:K,""),
_xlpm.MyAuditVal,_xlfn.XLOOKUP($A18,My_Audit!$A:$A,My_Audit!I:I,""),
_xlfn.IFS(_xlpm.MyAuditVal&lt;&gt;"",UPPER(_xlpm.MyAuditVal),_xlpm.MacVal&lt;&gt;"",_xlpm.MacVal,_xlpm.CSVVal&lt;&gt;"",_xlpm.CSVVal
)),"")</f>
        <v/>
      </c>
      <c r="K18" s="45" t="str" cm="1">
        <f t="array" ref="K18">IFERROR(_xlfn.LET(
_xlpm.CSVVal,_xlfn.XLOOKUP($A18,CSV!$A:$A,CSV!N:N,""),
_xlpm.MacVal,_xlfn.XLOOKUP($A18,Output_Mac!$A:$A,Output_Mac!L:L,""),
_xlpm.MyAuditVal,_xlfn.XLOOKUP($A18,My_Audit!$A:$A,My_Audit!J:J,""),
_xlfn.IFS(_xlpm.MyAuditVal&lt;&gt;"",UPPER(_xlpm.MyAuditVal),_xlpm.MacVal&lt;&gt;"",_xlpm.MacVal,_xlpm.CSVVal&lt;&gt;"",_xlpm.CSVVal
)),"")</f>
        <v/>
      </c>
      <c r="L18" s="46" t="str" cm="1">
        <f t="array" ref="L18">IFERROR(_xlfn.LET(
_xlpm.CSVVal,_xlfn.XLOOKUP($A18,CSV!$A:$A,CSV!Q:Q,""),
_xlpm.MacVal,_xlfn.XLOOKUP($A18,Output_Mac!$A:$A,Output_Mac!M:M,""),
_xlpm.MyAuditVal,_xlfn.XLOOKUP($A18,My_Audit!$A:$A,My_Audit!K:K,""),
_xlfn.IFS(_xlpm.MyAuditVal&lt;&gt;"",UPPER(_xlpm.MyAuditVal),_xlpm.MacVal&lt;&gt;"",_xlpm.MacVal,_xlpm.CSVVal&lt;&gt;"",_xlpm.CSVVal
)),"")</f>
        <v/>
      </c>
      <c r="M18" s="45" t="str">
        <f>_xlfn.LET(
    _xlpm.CSVVal, _xlfn.XLOOKUP($A18, CSV!$A:$A, CSV!AE:AE, ""),
    _xlpm.MacVal, _xlfn.XLOOKUP($A18, Output_Mac!$A:$A, Output_Mac!S:S, ""),
    _xlpm.MyAuditVal, _xlfn.XLOOKUP($A18, My_Audit!$A:$A, My_Audit!N:N, ""),
    _xlfn.TEXTJOIN(", ", TRUE, _xlpm.MyAuditVal, _xlpm.MacVal, _xlpm.CSVVal)
)</f>
        <v/>
      </c>
      <c r="N18" s="45" t="str" cm="1">
        <f t="array" ref="N18">IFERROR(_xlfn.LET(
_xlpm.CSVVal,_xlfn.XLOOKUP($A18,CSV!$A:$A,CSV!AG:AG,""),
_xlpm.MacVal,_xlfn.XLOOKUP($A18,Output_Mac!$A:$A,Output_Mac!U:U,""),
_xlpm.MyAuditVal,_xlfn.XLOOKUP($A18,My_Audit!$A:$A,My_Audit!O:O,""),
_xlfn.IFS(_xlpm.MyAuditVal&lt;&gt;"",UPPER(_xlpm.MyAuditVal),_xlpm.MacVal&lt;&gt;"",_xlpm.MacVal,_xlpm.CSVVal&lt;&gt;"",_xlpm.CSVVal
)),"")</f>
        <v/>
      </c>
      <c r="O18" s="46" t="str">
        <f>_xlfn.XLOOKUP(C18,My_Audit!B:B,My_Audit!P:P,"")&amp;""</f>
        <v/>
      </c>
      <c r="P18" s="45"/>
      <c r="Q18" s="46" t="str">
        <f>IF(LEFT(N18,4)="Pass","Nist SP 800-88",My_Audit!R18)&amp;""</f>
        <v/>
      </c>
      <c r="R18" s="45"/>
      <c r="S18" s="45"/>
      <c r="T18" s="46" t="str">
        <f>_xlfn.XLOOKUP(E18,Models!I:I,Models!J:J,"")</f>
        <v/>
      </c>
      <c r="U18" s="45"/>
      <c r="V18" s="45"/>
      <c r="W18" s="38" t="str">
        <f>_xlfn.LET(
    _xlpm.MacVal, _xlfn.XLOOKUP($A18, Output_Mac!$A:$A, Output_Mac!AB:AB, ""),
    _xlpm.MyAuditVal, _xlfn.XLOOKUP($A18, My_Audit!$A:$A, My_Audit!L:L, ""),
    _xlfn.TEXTJOIN(", ", TRUE, _xlpm.MyAuditVal, _xlpm.MacVal)
)</f>
        <v/>
      </c>
    </row>
    <row r="19" spans="1:23">
      <c r="A19" s="45" t="str">
        <f>_xlfn.TEXTJOIN("",TRUE,Input!$B$2,ROW(My_Audit!A18))</f>
        <v>XX18</v>
      </c>
      <c r="B19" s="45" t="str">
        <f>_xlfn.TEXTJOIN("-",TRUE,"ITD",Input!$A$2,A19)</f>
        <v>ITD-SHRXXX-XX18</v>
      </c>
      <c r="C19" s="45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46" t="str" cm="1">
        <f t="array" ref="D19">IFERROR(_xlfn.LET(
_xlpm.CSVVal,_xlfn.XLOOKUP($A19,CSV!$A:$A,CSV!C:C,""),
_xlpm.MacVal,_xlfn.XLOOKUP($A19,Output_Mac!$A:$A,Output_Mac!D:D,""),
_xlpm.MyAuditVal,_xlfn.XLOOKUP($A19,My_Audit!$A:$A,My_Audit!C:C,""),
_xlfn.IFS(_xlpm.MyAuditVal&lt;&gt;"",UPPER(_xlpm.MyAuditVal),_xlpm.MacVal&lt;&gt;"",_xlpm.MacVal,_xlpm.CSVVal&lt;&gt;"",_xlpm.CSVVal
)),"")</f>
        <v/>
      </c>
      <c r="E19" s="46" t="str" cm="1">
        <f t="array" ref="E19">IFERROR(_xlfn.LET(
_xlpm.CSVVal,_xlfn.XLOOKUP($A19,CSV!$A:$A,CSV!E:E,""),
_xlpm.MacVal,_xlfn.XLOOKUP($A19,Output_Mac!$A:$A,Output_Mac!C:C,""),
_xlpm.MyAuditVal,_xlfn.XLOOKUP($A19,My_Audit!$A:$A,My_Audit!D:D,""),
_xlfn.IFS(_xlpm.MyAuditVal&lt;&gt;"",_xlpm.MyAuditVal,_xlpm.MacVal&lt;&gt;"",_xlpm.MacVal,_xlpm.CSVVal&lt;&gt;"",_xlpm.CSVVal
)),"")</f>
        <v/>
      </c>
      <c r="F19" s="45" t="str" cm="1">
        <f t="array" ref="F19">IFERROR(_xlfn.LET(
_xlpm.CSVVal,_xlfn.XLOOKUP($A19,CSV!$A:$A,CSV!F:F,""),
_xlpm.MacVal,_xlfn.XLOOKUP($A19,Output_Mac!$A:$A,Output_Mac!F:F,""),
_xlpm.MyAuditVal,_xlfn.XLOOKUP($A19,My_Audit!$A:$A,My_Audit!E:E,""),
_xlfn.IFS(_xlpm.MyAuditVal&lt;&gt;"",_xlpm.MyAuditVal,_xlpm.MacVal&lt;&gt;"",_xlpm.MacVal,_xlpm.CSVVal&lt;&gt;"",PROPER(_xlpm.CSVVal)
)),"")</f>
        <v/>
      </c>
      <c r="G19" s="45" t="str" cm="1">
        <f t="array" ref="G19">IFERROR(_xlfn.LET(
_xlpm.CSVVal,_xlfn.XLOOKUP($A19,CSV!$A:$A,CSV!G:G,""),
_xlpm.MacVal,_xlfn.XLOOKUP($A19,Output_Mac!$A:$A,Output_Mac!H:H,""),
_xlpm.MyAuditVal,_xlfn.XLOOKUP($A19,My_Audit!$A:$A,My_Audit!F:F,""),
_xlfn.IFS(_xlpm.MyAuditVal&lt;&gt;"",_xlpm.MyAuditVal,_xlpm.MacVal&lt;&gt;"",_xlpm.MacVal,_xlpm.CSVVal&lt;&gt;"",_xlpm.CSVVal
)),"")</f>
        <v/>
      </c>
      <c r="H19" s="45" t="str">
        <f>_xlfn.XLOOKUP(A19,Output_Mac!A:A,Output_Mac!I:I,"")</f>
        <v/>
      </c>
      <c r="I19" s="45" t="str" cm="1">
        <f t="array" ref="I19">IFERROR(_xlfn.LET(
_xlpm.CSVVal,_xlfn.XLOOKUP($A19,CSV!$A:$A,CSV!H:H,""),
_xlpm.MacVal,_xlfn.XLOOKUP($A19,Output_Mac!$A:$A,Output_Mac!J:J,""),
_xlpm.MyAuditVal,_xlfn.XLOOKUP($A19,My_Audit!$A:$A,My_Audit!H:H,""),
_xlfn.IFS(_xlpm.MyAuditVal&lt;&gt;"",UPPER(_xlpm.MyAuditVal),_xlpm.MacVal&lt;&gt;"",_xlpm.MacVal,_xlpm.CSVVal&lt;&gt;"",_xlpm.CSVVal
)),"")</f>
        <v/>
      </c>
      <c r="J19" s="45" t="str" cm="1">
        <f t="array" ref="J19">IFERROR(_xlfn.LET(
_xlpm.CSVVal,_xlfn.XLOOKUP($A19,CSV!$A:$A,CSV!J:J,""),
_xlpm.MacVal,_xlfn.XLOOKUP($A19,Output_Mac!$A:$A,Output_Mac!K:K,""),
_xlpm.MyAuditVal,_xlfn.XLOOKUP($A19,My_Audit!$A:$A,My_Audit!I:I,""),
_xlfn.IFS(_xlpm.MyAuditVal&lt;&gt;"",UPPER(_xlpm.MyAuditVal),_xlpm.MacVal&lt;&gt;"",_xlpm.MacVal,_xlpm.CSVVal&lt;&gt;"",_xlpm.CSVVal
)),"")</f>
        <v/>
      </c>
      <c r="K19" s="45" t="str" cm="1">
        <f t="array" ref="K19">IFERROR(_xlfn.LET(
_xlpm.CSVVal,_xlfn.XLOOKUP($A19,CSV!$A:$A,CSV!N:N,""),
_xlpm.MacVal,_xlfn.XLOOKUP($A19,Output_Mac!$A:$A,Output_Mac!L:L,""),
_xlpm.MyAuditVal,_xlfn.XLOOKUP($A19,My_Audit!$A:$A,My_Audit!J:J,""),
_xlfn.IFS(_xlpm.MyAuditVal&lt;&gt;"",UPPER(_xlpm.MyAuditVal),_xlpm.MacVal&lt;&gt;"",_xlpm.MacVal,_xlpm.CSVVal&lt;&gt;"",_xlpm.CSVVal
)),"")</f>
        <v/>
      </c>
      <c r="L19" s="46" t="str" cm="1">
        <f t="array" ref="L19">IFERROR(_xlfn.LET(
_xlpm.CSVVal,_xlfn.XLOOKUP($A19,CSV!$A:$A,CSV!Q:Q,""),
_xlpm.MacVal,_xlfn.XLOOKUP($A19,Output_Mac!$A:$A,Output_Mac!M:M,""),
_xlpm.MyAuditVal,_xlfn.XLOOKUP($A19,My_Audit!$A:$A,My_Audit!K:K,""),
_xlfn.IFS(_xlpm.MyAuditVal&lt;&gt;"",UPPER(_xlpm.MyAuditVal),_xlpm.MacVal&lt;&gt;"",_xlpm.MacVal,_xlpm.CSVVal&lt;&gt;"",_xlpm.CSVVal
)),"")</f>
        <v/>
      </c>
      <c r="M19" s="45" t="str">
        <f>_xlfn.LET(
    _xlpm.CSVVal, _xlfn.XLOOKUP($A19, CSV!$A:$A, CSV!AE:AE, ""),
    _xlpm.MacVal, _xlfn.XLOOKUP($A19, Output_Mac!$A:$A, Output_Mac!S:S, ""),
    _xlpm.MyAuditVal, _xlfn.XLOOKUP($A19, My_Audit!$A:$A, My_Audit!N:N, ""),
    _xlfn.TEXTJOIN(", ", TRUE, _xlpm.MyAuditVal, _xlpm.MacVal, _xlpm.CSVVal)
)</f>
        <v/>
      </c>
      <c r="N19" s="45" t="str" cm="1">
        <f t="array" ref="N19">IFERROR(_xlfn.LET(
_xlpm.CSVVal,_xlfn.XLOOKUP($A19,CSV!$A:$A,CSV!AG:AG,""),
_xlpm.MacVal,_xlfn.XLOOKUP($A19,Output_Mac!$A:$A,Output_Mac!U:U,""),
_xlpm.MyAuditVal,_xlfn.XLOOKUP($A19,My_Audit!$A:$A,My_Audit!O:O,""),
_xlfn.IFS(_xlpm.MyAuditVal&lt;&gt;"",UPPER(_xlpm.MyAuditVal),_xlpm.MacVal&lt;&gt;"",_xlpm.MacVal,_xlpm.CSVVal&lt;&gt;"",_xlpm.CSVVal
)),"")</f>
        <v/>
      </c>
      <c r="O19" s="46" t="str">
        <f>_xlfn.XLOOKUP(C19,My_Audit!B:B,My_Audit!P:P,"")&amp;""</f>
        <v/>
      </c>
      <c r="P19" s="45"/>
      <c r="Q19" s="46" t="str">
        <f>IF(LEFT(N19,4)="Pass","Nist SP 800-88",My_Audit!R19)&amp;""</f>
        <v/>
      </c>
      <c r="R19" s="45"/>
      <c r="S19" s="45"/>
      <c r="T19" s="46" t="str">
        <f>_xlfn.XLOOKUP(E19,Models!I:I,Models!J:J,"")</f>
        <v/>
      </c>
      <c r="U19" s="45"/>
      <c r="V19" s="45"/>
      <c r="W19" s="38" t="str">
        <f>_xlfn.LET(
    _xlpm.MacVal, _xlfn.XLOOKUP($A19, Output_Mac!$A:$A, Output_Mac!AB:AB, ""),
    _xlpm.MyAuditVal, _xlfn.XLOOKUP($A19, My_Audit!$A:$A, My_Audit!L:L, ""),
    _xlfn.TEXTJOIN(", ", TRUE, _xlpm.MyAuditVal, _xlpm.MacVal)
)</f>
        <v/>
      </c>
    </row>
    <row r="20" spans="1:23">
      <c r="A20" s="45" t="str">
        <f>_xlfn.TEXTJOIN("",TRUE,Input!$B$2,ROW(My_Audit!A19))</f>
        <v>XX19</v>
      </c>
      <c r="B20" s="45" t="str">
        <f>_xlfn.TEXTJOIN("-",TRUE,"ITD",Input!$A$2,A20)</f>
        <v>ITD-SHRXXX-XX19</v>
      </c>
      <c r="C20" s="45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46" t="str" cm="1">
        <f t="array" ref="D20">IFERROR(_xlfn.LET(
_xlpm.CSVVal,_xlfn.XLOOKUP($A20,CSV!$A:$A,CSV!C:C,""),
_xlpm.MacVal,_xlfn.XLOOKUP($A20,Output_Mac!$A:$A,Output_Mac!D:D,""),
_xlpm.MyAuditVal,_xlfn.XLOOKUP($A20,My_Audit!$A:$A,My_Audit!C:C,""),
_xlfn.IFS(_xlpm.MyAuditVal&lt;&gt;"",UPPER(_xlpm.MyAuditVal),_xlpm.MacVal&lt;&gt;"",_xlpm.MacVal,_xlpm.CSVVal&lt;&gt;"",_xlpm.CSVVal
)),"")</f>
        <v/>
      </c>
      <c r="E20" s="46" t="str" cm="1">
        <f t="array" ref="E20">IFERROR(_xlfn.LET(
_xlpm.CSVVal,_xlfn.XLOOKUP($A20,CSV!$A:$A,CSV!E:E,""),
_xlpm.MacVal,_xlfn.XLOOKUP($A20,Output_Mac!$A:$A,Output_Mac!C:C,""),
_xlpm.MyAuditVal,_xlfn.XLOOKUP($A20,My_Audit!$A:$A,My_Audit!D:D,""),
_xlfn.IFS(_xlpm.MyAuditVal&lt;&gt;"",_xlpm.MyAuditVal,_xlpm.MacVal&lt;&gt;"",_xlpm.MacVal,_xlpm.CSVVal&lt;&gt;"",_xlpm.CSVVal
)),"")</f>
        <v/>
      </c>
      <c r="F20" s="45" t="str" cm="1">
        <f t="array" ref="F20">IFERROR(_xlfn.LET(
_xlpm.CSVVal,_xlfn.XLOOKUP($A20,CSV!$A:$A,CSV!F:F,""),
_xlpm.MacVal,_xlfn.XLOOKUP($A20,Output_Mac!$A:$A,Output_Mac!F:F,""),
_xlpm.MyAuditVal,_xlfn.XLOOKUP($A20,My_Audit!$A:$A,My_Audit!E:E,""),
_xlfn.IFS(_xlpm.MyAuditVal&lt;&gt;"",_xlpm.MyAuditVal,_xlpm.MacVal&lt;&gt;"",_xlpm.MacVal,_xlpm.CSVVal&lt;&gt;"",PROPER(_xlpm.CSVVal)
)),"")</f>
        <v/>
      </c>
      <c r="G20" s="45" t="str" cm="1">
        <f t="array" ref="G20">IFERROR(_xlfn.LET(
_xlpm.CSVVal,_xlfn.XLOOKUP($A20,CSV!$A:$A,CSV!G:G,""),
_xlpm.MacVal,_xlfn.XLOOKUP($A20,Output_Mac!$A:$A,Output_Mac!H:H,""),
_xlpm.MyAuditVal,_xlfn.XLOOKUP($A20,My_Audit!$A:$A,My_Audit!F:F,""),
_xlfn.IFS(_xlpm.MyAuditVal&lt;&gt;"",_xlpm.MyAuditVal,_xlpm.MacVal&lt;&gt;"",_xlpm.MacVal,_xlpm.CSVVal&lt;&gt;"",_xlpm.CSVVal
)),"")</f>
        <v/>
      </c>
      <c r="H20" s="45" t="str">
        <f>_xlfn.XLOOKUP(A20,Output_Mac!A:A,Output_Mac!I:I,"")</f>
        <v/>
      </c>
      <c r="I20" s="45" t="str" cm="1">
        <f t="array" ref="I20">IFERROR(_xlfn.LET(
_xlpm.CSVVal,_xlfn.XLOOKUP($A20,CSV!$A:$A,CSV!H:H,""),
_xlpm.MacVal,_xlfn.XLOOKUP($A20,Output_Mac!$A:$A,Output_Mac!J:J,""),
_xlpm.MyAuditVal,_xlfn.XLOOKUP($A20,My_Audit!$A:$A,My_Audit!H:H,""),
_xlfn.IFS(_xlpm.MyAuditVal&lt;&gt;"",UPPER(_xlpm.MyAuditVal),_xlpm.MacVal&lt;&gt;"",_xlpm.MacVal,_xlpm.CSVVal&lt;&gt;"",_xlpm.CSVVal
)),"")</f>
        <v/>
      </c>
      <c r="J20" s="45" t="str" cm="1">
        <f t="array" ref="J20">IFERROR(_xlfn.LET(
_xlpm.CSVVal,_xlfn.XLOOKUP($A20,CSV!$A:$A,CSV!J:J,""),
_xlpm.MacVal,_xlfn.XLOOKUP($A20,Output_Mac!$A:$A,Output_Mac!K:K,""),
_xlpm.MyAuditVal,_xlfn.XLOOKUP($A20,My_Audit!$A:$A,My_Audit!I:I,""),
_xlfn.IFS(_xlpm.MyAuditVal&lt;&gt;"",UPPER(_xlpm.MyAuditVal),_xlpm.MacVal&lt;&gt;"",_xlpm.MacVal,_xlpm.CSVVal&lt;&gt;"",_xlpm.CSVVal
)),"")</f>
        <v/>
      </c>
      <c r="K20" s="45" t="str" cm="1">
        <f t="array" ref="K20">IFERROR(_xlfn.LET(
_xlpm.CSVVal,_xlfn.XLOOKUP($A20,CSV!$A:$A,CSV!N:N,""),
_xlpm.MacVal,_xlfn.XLOOKUP($A20,Output_Mac!$A:$A,Output_Mac!L:L,""),
_xlpm.MyAuditVal,_xlfn.XLOOKUP($A20,My_Audit!$A:$A,My_Audit!J:J,""),
_xlfn.IFS(_xlpm.MyAuditVal&lt;&gt;"",UPPER(_xlpm.MyAuditVal),_xlpm.MacVal&lt;&gt;"",_xlpm.MacVal,_xlpm.CSVVal&lt;&gt;"",_xlpm.CSVVal
)),"")</f>
        <v/>
      </c>
      <c r="L20" s="46" t="str" cm="1">
        <f t="array" ref="L20">IFERROR(_xlfn.LET(
_xlpm.CSVVal,_xlfn.XLOOKUP($A20,CSV!$A:$A,CSV!Q:Q,""),
_xlpm.MacVal,_xlfn.XLOOKUP($A20,Output_Mac!$A:$A,Output_Mac!M:M,""),
_xlpm.MyAuditVal,_xlfn.XLOOKUP($A20,My_Audit!$A:$A,My_Audit!K:K,""),
_xlfn.IFS(_xlpm.MyAuditVal&lt;&gt;"",UPPER(_xlpm.MyAuditVal),_xlpm.MacVal&lt;&gt;"",_xlpm.MacVal,_xlpm.CSVVal&lt;&gt;"",_xlpm.CSVVal
)),"")</f>
        <v/>
      </c>
      <c r="M20" s="45" t="str">
        <f>_xlfn.LET(
    _xlpm.CSVVal, _xlfn.XLOOKUP($A20, CSV!$A:$A, CSV!AE:AE, ""),
    _xlpm.MacVal, _xlfn.XLOOKUP($A20, Output_Mac!$A:$A, Output_Mac!S:S, ""),
    _xlpm.MyAuditVal, _xlfn.XLOOKUP($A20, My_Audit!$A:$A, My_Audit!N:N, ""),
    _xlfn.TEXTJOIN(", ", TRUE, _xlpm.MyAuditVal, _xlpm.MacVal, _xlpm.CSVVal)
)</f>
        <v/>
      </c>
      <c r="N20" s="45" t="str" cm="1">
        <f t="array" ref="N20">IFERROR(_xlfn.LET(
_xlpm.CSVVal,_xlfn.XLOOKUP($A20,CSV!$A:$A,CSV!AG:AG,""),
_xlpm.MacVal,_xlfn.XLOOKUP($A20,Output_Mac!$A:$A,Output_Mac!U:U,""),
_xlpm.MyAuditVal,_xlfn.XLOOKUP($A20,My_Audit!$A:$A,My_Audit!O:O,""),
_xlfn.IFS(_xlpm.MyAuditVal&lt;&gt;"",UPPER(_xlpm.MyAuditVal),_xlpm.MacVal&lt;&gt;"",_xlpm.MacVal,_xlpm.CSVVal&lt;&gt;"",_xlpm.CSVVal
)),"")</f>
        <v/>
      </c>
      <c r="O20" s="46" t="str">
        <f>_xlfn.XLOOKUP(C20,My_Audit!B:B,My_Audit!P:P,"")&amp;""</f>
        <v/>
      </c>
      <c r="P20" s="45"/>
      <c r="Q20" s="46" t="str">
        <f>IF(LEFT(N20,4)="Pass","Nist SP 800-88",My_Audit!R20)&amp;""</f>
        <v/>
      </c>
      <c r="R20" s="45"/>
      <c r="S20" s="45"/>
      <c r="T20" s="46" t="str">
        <f>_xlfn.XLOOKUP(E20,Models!I:I,Models!J:J,"")</f>
        <v/>
      </c>
      <c r="U20" s="45"/>
      <c r="V20" s="45"/>
      <c r="W20" s="38" t="str">
        <f>_xlfn.LET(
    _xlpm.MacVal, _xlfn.XLOOKUP($A20, Output_Mac!$A:$A, Output_Mac!AB:AB, ""),
    _xlpm.MyAuditVal, _xlfn.XLOOKUP($A20, My_Audit!$A:$A, My_Audit!L:L, ""),
    _xlfn.TEXTJOIN(", ", TRUE, _xlpm.MyAuditVal, _xlpm.MacVal)
)</f>
        <v/>
      </c>
    </row>
    <row r="21" spans="1:23">
      <c r="A21" s="45" t="str">
        <f>_xlfn.TEXTJOIN("",TRUE,Input!$B$2,ROW(My_Audit!A20))</f>
        <v>XX20</v>
      </c>
      <c r="B21" s="45" t="str">
        <f>_xlfn.TEXTJOIN("-",TRUE,"ITD",Input!$A$2,A21)</f>
        <v>ITD-SHRXXX-XX20</v>
      </c>
      <c r="C21" s="45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46" t="str" cm="1">
        <f t="array" ref="D21">IFERROR(_xlfn.LET(
_xlpm.CSVVal,_xlfn.XLOOKUP($A21,CSV!$A:$A,CSV!C:C,""),
_xlpm.MacVal,_xlfn.XLOOKUP($A21,Output_Mac!$A:$A,Output_Mac!D:D,""),
_xlpm.MyAuditVal,_xlfn.XLOOKUP($A21,My_Audit!$A:$A,My_Audit!C:C,""),
_xlfn.IFS(_xlpm.MyAuditVal&lt;&gt;"",UPPER(_xlpm.MyAuditVal),_xlpm.MacVal&lt;&gt;"",_xlpm.MacVal,_xlpm.CSVVal&lt;&gt;"",_xlpm.CSVVal
)),"")</f>
        <v/>
      </c>
      <c r="E21" s="46" t="str" cm="1">
        <f t="array" ref="E21">IFERROR(_xlfn.LET(
_xlpm.CSVVal,_xlfn.XLOOKUP($A21,CSV!$A:$A,CSV!E:E,""),
_xlpm.MacVal,_xlfn.XLOOKUP($A21,Output_Mac!$A:$A,Output_Mac!C:C,""),
_xlpm.MyAuditVal,_xlfn.XLOOKUP($A21,My_Audit!$A:$A,My_Audit!D:D,""),
_xlfn.IFS(_xlpm.MyAuditVal&lt;&gt;"",_xlpm.MyAuditVal,_xlpm.MacVal&lt;&gt;"",_xlpm.MacVal,_xlpm.CSVVal&lt;&gt;"",_xlpm.CSVVal
)),"")</f>
        <v/>
      </c>
      <c r="F21" s="45" t="str" cm="1">
        <f t="array" ref="F21">IFERROR(_xlfn.LET(
_xlpm.CSVVal,_xlfn.XLOOKUP($A21,CSV!$A:$A,CSV!F:F,""),
_xlpm.MacVal,_xlfn.XLOOKUP($A21,Output_Mac!$A:$A,Output_Mac!F:F,""),
_xlpm.MyAuditVal,_xlfn.XLOOKUP($A21,My_Audit!$A:$A,My_Audit!E:E,""),
_xlfn.IFS(_xlpm.MyAuditVal&lt;&gt;"",_xlpm.MyAuditVal,_xlpm.MacVal&lt;&gt;"",_xlpm.MacVal,_xlpm.CSVVal&lt;&gt;"",PROPER(_xlpm.CSVVal)
)),"")</f>
        <v/>
      </c>
      <c r="G21" s="45" t="str" cm="1">
        <f t="array" ref="G21">IFERROR(_xlfn.LET(
_xlpm.CSVVal,_xlfn.XLOOKUP($A21,CSV!$A:$A,CSV!G:G,""),
_xlpm.MacVal,_xlfn.XLOOKUP($A21,Output_Mac!$A:$A,Output_Mac!H:H,""),
_xlpm.MyAuditVal,_xlfn.XLOOKUP($A21,My_Audit!$A:$A,My_Audit!F:F,""),
_xlfn.IFS(_xlpm.MyAuditVal&lt;&gt;"",_xlpm.MyAuditVal,_xlpm.MacVal&lt;&gt;"",_xlpm.MacVal,_xlpm.CSVVal&lt;&gt;"",_xlpm.CSVVal
)),"")</f>
        <v/>
      </c>
      <c r="H21" s="45" t="str">
        <f>_xlfn.XLOOKUP(A21,Output_Mac!A:A,Output_Mac!I:I,"")</f>
        <v/>
      </c>
      <c r="I21" s="45" t="str" cm="1">
        <f t="array" ref="I21">IFERROR(_xlfn.LET(
_xlpm.CSVVal,_xlfn.XLOOKUP($A21,CSV!$A:$A,CSV!H:H,""),
_xlpm.MacVal,_xlfn.XLOOKUP($A21,Output_Mac!$A:$A,Output_Mac!J:J,""),
_xlpm.MyAuditVal,_xlfn.XLOOKUP($A21,My_Audit!$A:$A,My_Audit!H:H,""),
_xlfn.IFS(_xlpm.MyAuditVal&lt;&gt;"",UPPER(_xlpm.MyAuditVal),_xlpm.MacVal&lt;&gt;"",_xlpm.MacVal,_xlpm.CSVVal&lt;&gt;"",_xlpm.CSVVal
)),"")</f>
        <v/>
      </c>
      <c r="J21" s="45" t="str" cm="1">
        <f t="array" ref="J21">IFERROR(_xlfn.LET(
_xlpm.CSVVal,_xlfn.XLOOKUP($A21,CSV!$A:$A,CSV!J:J,""),
_xlpm.MacVal,_xlfn.XLOOKUP($A21,Output_Mac!$A:$A,Output_Mac!K:K,""),
_xlpm.MyAuditVal,_xlfn.XLOOKUP($A21,My_Audit!$A:$A,My_Audit!I:I,""),
_xlfn.IFS(_xlpm.MyAuditVal&lt;&gt;"",UPPER(_xlpm.MyAuditVal),_xlpm.MacVal&lt;&gt;"",_xlpm.MacVal,_xlpm.CSVVal&lt;&gt;"",_xlpm.CSVVal
)),"")</f>
        <v/>
      </c>
      <c r="K21" s="45" t="str" cm="1">
        <f t="array" ref="K21">IFERROR(_xlfn.LET(
_xlpm.CSVVal,_xlfn.XLOOKUP($A21,CSV!$A:$A,CSV!N:N,""),
_xlpm.MacVal,_xlfn.XLOOKUP($A21,Output_Mac!$A:$A,Output_Mac!L:L,""),
_xlpm.MyAuditVal,_xlfn.XLOOKUP($A21,My_Audit!$A:$A,My_Audit!J:J,""),
_xlfn.IFS(_xlpm.MyAuditVal&lt;&gt;"",UPPER(_xlpm.MyAuditVal),_xlpm.MacVal&lt;&gt;"",_xlpm.MacVal,_xlpm.CSVVal&lt;&gt;"",_xlpm.CSVVal
)),"")</f>
        <v/>
      </c>
      <c r="L21" s="46" t="str" cm="1">
        <f t="array" ref="L21">IFERROR(_xlfn.LET(
_xlpm.CSVVal,_xlfn.XLOOKUP($A21,CSV!$A:$A,CSV!Q:Q,""),
_xlpm.MacVal,_xlfn.XLOOKUP($A21,Output_Mac!$A:$A,Output_Mac!M:M,""),
_xlpm.MyAuditVal,_xlfn.XLOOKUP($A21,My_Audit!$A:$A,My_Audit!K:K,""),
_xlfn.IFS(_xlpm.MyAuditVal&lt;&gt;"",UPPER(_xlpm.MyAuditVal),_xlpm.MacVal&lt;&gt;"",_xlpm.MacVal,_xlpm.CSVVal&lt;&gt;"",_xlpm.CSVVal
)),"")</f>
        <v/>
      </c>
      <c r="M21" s="45" t="str">
        <f>_xlfn.LET(
    _xlpm.CSVVal, _xlfn.XLOOKUP($A21, CSV!$A:$A, CSV!AE:AE, ""),
    _xlpm.MacVal, _xlfn.XLOOKUP($A21, Output_Mac!$A:$A, Output_Mac!S:S, ""),
    _xlpm.MyAuditVal, _xlfn.XLOOKUP($A21, My_Audit!$A:$A, My_Audit!N:N, ""),
    _xlfn.TEXTJOIN(", ", TRUE, _xlpm.MyAuditVal, _xlpm.MacVal, _xlpm.CSVVal)
)</f>
        <v/>
      </c>
      <c r="N21" s="45" t="str" cm="1">
        <f t="array" ref="N21">IFERROR(_xlfn.LET(
_xlpm.CSVVal,_xlfn.XLOOKUP($A21,CSV!$A:$A,CSV!AG:AG,""),
_xlpm.MacVal,_xlfn.XLOOKUP($A21,Output_Mac!$A:$A,Output_Mac!U:U,""),
_xlpm.MyAuditVal,_xlfn.XLOOKUP($A21,My_Audit!$A:$A,My_Audit!O:O,""),
_xlfn.IFS(_xlpm.MyAuditVal&lt;&gt;"",UPPER(_xlpm.MyAuditVal),_xlpm.MacVal&lt;&gt;"",_xlpm.MacVal,_xlpm.CSVVal&lt;&gt;"",_xlpm.CSVVal
)),"")</f>
        <v/>
      </c>
      <c r="O21" s="46" t="str">
        <f>_xlfn.XLOOKUP(C21,My_Audit!B:B,My_Audit!P:P,"")&amp;""</f>
        <v/>
      </c>
      <c r="P21" s="45"/>
      <c r="Q21" s="46" t="str">
        <f>IF(LEFT(N21,4)="Pass","Nist SP 800-88",My_Audit!R21)&amp;""</f>
        <v/>
      </c>
      <c r="R21" s="45"/>
      <c r="S21" s="45"/>
      <c r="T21" s="46" t="str">
        <f>_xlfn.XLOOKUP(E21,Models!I:I,Models!J:J,"")</f>
        <v/>
      </c>
      <c r="U21" s="45"/>
      <c r="V21" s="45"/>
      <c r="W21" s="38" t="str">
        <f>_xlfn.LET(
    _xlpm.MacVal, _xlfn.XLOOKUP($A21, Output_Mac!$A:$A, Output_Mac!AB:AB, ""),
    _xlpm.MyAuditVal, _xlfn.XLOOKUP($A21, My_Audit!$A:$A, My_Audit!L:L, ""),
    _xlfn.TEXTJOIN(", ", TRUE, _xlpm.MyAuditVal, _xlpm.MacVal)
)</f>
        <v/>
      </c>
    </row>
    <row r="22" spans="1:23">
      <c r="A22" s="45" t="str">
        <f>_xlfn.TEXTJOIN("",TRUE,Input!$B$2,ROW(My_Audit!A21))</f>
        <v>XX21</v>
      </c>
      <c r="B22" s="45" t="str">
        <f>_xlfn.TEXTJOIN("-",TRUE,"ITD",Input!$A$2,A22)</f>
        <v>ITD-SHRXXX-XX21</v>
      </c>
      <c r="C22" s="45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46" t="str" cm="1">
        <f t="array" ref="D22">IFERROR(_xlfn.LET(
_xlpm.CSVVal,_xlfn.XLOOKUP($A22,CSV!$A:$A,CSV!C:C,""),
_xlpm.MacVal,_xlfn.XLOOKUP($A22,Output_Mac!$A:$A,Output_Mac!D:D,""),
_xlpm.MyAuditVal,_xlfn.XLOOKUP($A22,My_Audit!$A:$A,My_Audit!C:C,""),
_xlfn.IFS(_xlpm.MyAuditVal&lt;&gt;"",UPPER(_xlpm.MyAuditVal),_xlpm.MacVal&lt;&gt;"",_xlpm.MacVal,_xlpm.CSVVal&lt;&gt;"",_xlpm.CSVVal
)),"")</f>
        <v/>
      </c>
      <c r="E22" s="46" t="str" cm="1">
        <f t="array" ref="E22">IFERROR(_xlfn.LET(
_xlpm.CSVVal,_xlfn.XLOOKUP($A22,CSV!$A:$A,CSV!E:E,""),
_xlpm.MacVal,_xlfn.XLOOKUP($A22,Output_Mac!$A:$A,Output_Mac!C:C,""),
_xlpm.MyAuditVal,_xlfn.XLOOKUP($A22,My_Audit!$A:$A,My_Audit!D:D,""),
_xlfn.IFS(_xlpm.MyAuditVal&lt;&gt;"",_xlpm.MyAuditVal,_xlpm.MacVal&lt;&gt;"",_xlpm.MacVal,_xlpm.CSVVal&lt;&gt;"",_xlpm.CSVVal
)),"")</f>
        <v/>
      </c>
      <c r="F22" s="45" t="str" cm="1">
        <f t="array" ref="F22">IFERROR(_xlfn.LET(
_xlpm.CSVVal,_xlfn.XLOOKUP($A22,CSV!$A:$A,CSV!F:F,""),
_xlpm.MacVal,_xlfn.XLOOKUP($A22,Output_Mac!$A:$A,Output_Mac!F:F,""),
_xlpm.MyAuditVal,_xlfn.XLOOKUP($A22,My_Audit!$A:$A,My_Audit!E:E,""),
_xlfn.IFS(_xlpm.MyAuditVal&lt;&gt;"",_xlpm.MyAuditVal,_xlpm.MacVal&lt;&gt;"",_xlpm.MacVal,_xlpm.CSVVal&lt;&gt;"",PROPER(_xlpm.CSVVal)
)),"")</f>
        <v/>
      </c>
      <c r="G22" s="45" t="str" cm="1">
        <f t="array" ref="G22">IFERROR(_xlfn.LET(
_xlpm.CSVVal,_xlfn.XLOOKUP($A22,CSV!$A:$A,CSV!G:G,""),
_xlpm.MacVal,_xlfn.XLOOKUP($A22,Output_Mac!$A:$A,Output_Mac!H:H,""),
_xlpm.MyAuditVal,_xlfn.XLOOKUP($A22,My_Audit!$A:$A,My_Audit!F:F,""),
_xlfn.IFS(_xlpm.MyAuditVal&lt;&gt;"",_xlpm.MyAuditVal,_xlpm.MacVal&lt;&gt;"",_xlpm.MacVal,_xlpm.CSVVal&lt;&gt;"",_xlpm.CSVVal
)),"")</f>
        <v/>
      </c>
      <c r="H22" s="45" t="str">
        <f>_xlfn.XLOOKUP(A22,Output_Mac!A:A,Output_Mac!I:I,"")</f>
        <v/>
      </c>
      <c r="I22" s="45" t="str" cm="1">
        <f t="array" ref="I22">IFERROR(_xlfn.LET(
_xlpm.CSVVal,_xlfn.XLOOKUP($A22,CSV!$A:$A,CSV!H:H,""),
_xlpm.MacVal,_xlfn.XLOOKUP($A22,Output_Mac!$A:$A,Output_Mac!J:J,""),
_xlpm.MyAuditVal,_xlfn.XLOOKUP($A22,My_Audit!$A:$A,My_Audit!H:H,""),
_xlfn.IFS(_xlpm.MyAuditVal&lt;&gt;"",UPPER(_xlpm.MyAuditVal),_xlpm.MacVal&lt;&gt;"",_xlpm.MacVal,_xlpm.CSVVal&lt;&gt;"",_xlpm.CSVVal
)),"")</f>
        <v/>
      </c>
      <c r="J22" s="45" t="str" cm="1">
        <f t="array" ref="J22">IFERROR(_xlfn.LET(
_xlpm.CSVVal,_xlfn.XLOOKUP($A22,CSV!$A:$A,CSV!J:J,""),
_xlpm.MacVal,_xlfn.XLOOKUP($A22,Output_Mac!$A:$A,Output_Mac!K:K,""),
_xlpm.MyAuditVal,_xlfn.XLOOKUP($A22,My_Audit!$A:$A,My_Audit!I:I,""),
_xlfn.IFS(_xlpm.MyAuditVal&lt;&gt;"",UPPER(_xlpm.MyAuditVal),_xlpm.MacVal&lt;&gt;"",_xlpm.MacVal,_xlpm.CSVVal&lt;&gt;"",_xlpm.CSVVal
)),"")</f>
        <v/>
      </c>
      <c r="K22" s="45" t="str" cm="1">
        <f t="array" ref="K22">IFERROR(_xlfn.LET(
_xlpm.CSVVal,_xlfn.XLOOKUP($A22,CSV!$A:$A,CSV!N:N,""),
_xlpm.MacVal,_xlfn.XLOOKUP($A22,Output_Mac!$A:$A,Output_Mac!L:L,""),
_xlpm.MyAuditVal,_xlfn.XLOOKUP($A22,My_Audit!$A:$A,My_Audit!J:J,""),
_xlfn.IFS(_xlpm.MyAuditVal&lt;&gt;"",UPPER(_xlpm.MyAuditVal),_xlpm.MacVal&lt;&gt;"",_xlpm.MacVal,_xlpm.CSVVal&lt;&gt;"",_xlpm.CSVVal
)),"")</f>
        <v/>
      </c>
      <c r="L22" s="46" t="str" cm="1">
        <f t="array" ref="L22">IFERROR(_xlfn.LET(
_xlpm.CSVVal,_xlfn.XLOOKUP($A22,CSV!$A:$A,CSV!Q:Q,""),
_xlpm.MacVal,_xlfn.XLOOKUP($A22,Output_Mac!$A:$A,Output_Mac!M:M,""),
_xlpm.MyAuditVal,_xlfn.XLOOKUP($A22,My_Audit!$A:$A,My_Audit!K:K,""),
_xlfn.IFS(_xlpm.MyAuditVal&lt;&gt;"",UPPER(_xlpm.MyAuditVal),_xlpm.MacVal&lt;&gt;"",_xlpm.MacVal,_xlpm.CSVVal&lt;&gt;"",_xlpm.CSVVal
)),"")</f>
        <v/>
      </c>
      <c r="M22" s="45" t="str">
        <f>_xlfn.LET(
    _xlpm.CSVVal, _xlfn.XLOOKUP($A22, CSV!$A:$A, CSV!AE:AE, ""),
    _xlpm.MacVal, _xlfn.XLOOKUP($A22, Output_Mac!$A:$A, Output_Mac!S:S, ""),
    _xlpm.MyAuditVal, _xlfn.XLOOKUP($A22, My_Audit!$A:$A, My_Audit!N:N, ""),
    _xlfn.TEXTJOIN(", ", TRUE, _xlpm.MyAuditVal, _xlpm.MacVal, _xlpm.CSVVal)
)</f>
        <v/>
      </c>
      <c r="N22" s="45" t="str" cm="1">
        <f t="array" ref="N22">IFERROR(_xlfn.LET(
_xlpm.CSVVal,_xlfn.XLOOKUP($A22,CSV!$A:$A,CSV!AG:AG,""),
_xlpm.MacVal,_xlfn.XLOOKUP($A22,Output_Mac!$A:$A,Output_Mac!U:U,""),
_xlpm.MyAuditVal,_xlfn.XLOOKUP($A22,My_Audit!$A:$A,My_Audit!O:O,""),
_xlfn.IFS(_xlpm.MyAuditVal&lt;&gt;"",UPPER(_xlpm.MyAuditVal),_xlpm.MacVal&lt;&gt;"",_xlpm.MacVal,_xlpm.CSVVal&lt;&gt;"",_xlpm.CSVVal
)),"")</f>
        <v/>
      </c>
      <c r="O22" s="46" t="str">
        <f>_xlfn.XLOOKUP(C22,My_Audit!B:B,My_Audit!P:P,"")&amp;""</f>
        <v/>
      </c>
      <c r="P22" s="45"/>
      <c r="Q22" s="46" t="str">
        <f>IF(LEFT(N22,4)="Pass","Nist SP 800-88",My_Audit!R22)&amp;""</f>
        <v/>
      </c>
      <c r="R22" s="45"/>
      <c r="S22" s="45"/>
      <c r="T22" s="46" t="str">
        <f>_xlfn.XLOOKUP(E22,Models!I:I,Models!J:J,"")</f>
        <v/>
      </c>
      <c r="U22" s="45"/>
      <c r="V22" s="45"/>
      <c r="W22" s="38" t="str">
        <f>_xlfn.LET(
    _xlpm.MacVal, _xlfn.XLOOKUP($A22, Output_Mac!$A:$A, Output_Mac!AB:AB, ""),
    _xlpm.MyAuditVal, _xlfn.XLOOKUP($A22, My_Audit!$A:$A, My_Audit!L:L, ""),
    _xlfn.TEXTJOIN(", ", TRUE, _xlpm.MyAuditVal, _xlpm.MacVal)
)</f>
        <v/>
      </c>
    </row>
    <row r="23" spans="1:23">
      <c r="A23" s="45" t="str">
        <f>_xlfn.TEXTJOIN("",TRUE,Input!$B$2,ROW(My_Audit!A22))</f>
        <v>XX22</v>
      </c>
      <c r="B23" s="45" t="str">
        <f>_xlfn.TEXTJOIN("-",TRUE,"ITD",Input!$A$2,A23)</f>
        <v>ITD-SHRXXX-XX22</v>
      </c>
      <c r="C23" s="45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46" t="str" cm="1">
        <f t="array" ref="D23">IFERROR(_xlfn.LET(
_xlpm.CSVVal,_xlfn.XLOOKUP($A23,CSV!$A:$A,CSV!C:C,""),
_xlpm.MacVal,_xlfn.XLOOKUP($A23,Output_Mac!$A:$A,Output_Mac!D:D,""),
_xlpm.MyAuditVal,_xlfn.XLOOKUP($A23,My_Audit!$A:$A,My_Audit!C:C,""),
_xlfn.IFS(_xlpm.MyAuditVal&lt;&gt;"",UPPER(_xlpm.MyAuditVal),_xlpm.MacVal&lt;&gt;"",_xlpm.MacVal,_xlpm.CSVVal&lt;&gt;"",_xlpm.CSVVal
)),"")</f>
        <v/>
      </c>
      <c r="E23" s="46" t="str" cm="1">
        <f t="array" ref="E23">IFERROR(_xlfn.LET(
_xlpm.CSVVal,_xlfn.XLOOKUP($A23,CSV!$A:$A,CSV!E:E,""),
_xlpm.MacVal,_xlfn.XLOOKUP($A23,Output_Mac!$A:$A,Output_Mac!C:C,""),
_xlpm.MyAuditVal,_xlfn.XLOOKUP($A23,My_Audit!$A:$A,My_Audit!D:D,""),
_xlfn.IFS(_xlpm.MyAuditVal&lt;&gt;"",_xlpm.MyAuditVal,_xlpm.MacVal&lt;&gt;"",_xlpm.MacVal,_xlpm.CSVVal&lt;&gt;"",_xlpm.CSVVal
)),"")</f>
        <v/>
      </c>
      <c r="F23" s="45" t="str" cm="1">
        <f t="array" ref="F23">IFERROR(_xlfn.LET(
_xlpm.CSVVal,_xlfn.XLOOKUP($A23,CSV!$A:$A,CSV!F:F,""),
_xlpm.MacVal,_xlfn.XLOOKUP($A23,Output_Mac!$A:$A,Output_Mac!F:F,""),
_xlpm.MyAuditVal,_xlfn.XLOOKUP($A23,My_Audit!$A:$A,My_Audit!E:E,""),
_xlfn.IFS(_xlpm.MyAuditVal&lt;&gt;"",_xlpm.MyAuditVal,_xlpm.MacVal&lt;&gt;"",_xlpm.MacVal,_xlpm.CSVVal&lt;&gt;"",PROPER(_xlpm.CSVVal)
)),"")</f>
        <v/>
      </c>
      <c r="G23" s="45" t="str" cm="1">
        <f t="array" ref="G23">IFERROR(_xlfn.LET(
_xlpm.CSVVal,_xlfn.XLOOKUP($A23,CSV!$A:$A,CSV!G:G,""),
_xlpm.MacVal,_xlfn.XLOOKUP($A23,Output_Mac!$A:$A,Output_Mac!H:H,""),
_xlpm.MyAuditVal,_xlfn.XLOOKUP($A23,My_Audit!$A:$A,My_Audit!F:F,""),
_xlfn.IFS(_xlpm.MyAuditVal&lt;&gt;"",_xlpm.MyAuditVal,_xlpm.MacVal&lt;&gt;"",_xlpm.MacVal,_xlpm.CSVVal&lt;&gt;"",_xlpm.CSVVal
)),"")</f>
        <v/>
      </c>
      <c r="H23" s="45" t="str">
        <f>_xlfn.XLOOKUP(A23,Output_Mac!A:A,Output_Mac!I:I,"")</f>
        <v/>
      </c>
      <c r="I23" s="45" t="str" cm="1">
        <f t="array" ref="I23">IFERROR(_xlfn.LET(
_xlpm.CSVVal,_xlfn.XLOOKUP($A23,CSV!$A:$A,CSV!H:H,""),
_xlpm.MacVal,_xlfn.XLOOKUP($A23,Output_Mac!$A:$A,Output_Mac!J:J,""),
_xlpm.MyAuditVal,_xlfn.XLOOKUP($A23,My_Audit!$A:$A,My_Audit!H:H,""),
_xlfn.IFS(_xlpm.MyAuditVal&lt;&gt;"",UPPER(_xlpm.MyAuditVal),_xlpm.MacVal&lt;&gt;"",_xlpm.MacVal,_xlpm.CSVVal&lt;&gt;"",_xlpm.CSVVal
)),"")</f>
        <v/>
      </c>
      <c r="J23" s="45" t="str" cm="1">
        <f t="array" ref="J23">IFERROR(_xlfn.LET(
_xlpm.CSVVal,_xlfn.XLOOKUP($A23,CSV!$A:$A,CSV!J:J,""),
_xlpm.MacVal,_xlfn.XLOOKUP($A23,Output_Mac!$A:$A,Output_Mac!K:K,""),
_xlpm.MyAuditVal,_xlfn.XLOOKUP($A23,My_Audit!$A:$A,My_Audit!I:I,""),
_xlfn.IFS(_xlpm.MyAuditVal&lt;&gt;"",UPPER(_xlpm.MyAuditVal),_xlpm.MacVal&lt;&gt;"",_xlpm.MacVal,_xlpm.CSVVal&lt;&gt;"",_xlpm.CSVVal
)),"")</f>
        <v/>
      </c>
      <c r="K23" s="45" t="str" cm="1">
        <f t="array" ref="K23">IFERROR(_xlfn.LET(
_xlpm.CSVVal,_xlfn.XLOOKUP($A23,CSV!$A:$A,CSV!N:N,""),
_xlpm.MacVal,_xlfn.XLOOKUP($A23,Output_Mac!$A:$A,Output_Mac!L:L,""),
_xlpm.MyAuditVal,_xlfn.XLOOKUP($A23,My_Audit!$A:$A,My_Audit!J:J,""),
_xlfn.IFS(_xlpm.MyAuditVal&lt;&gt;"",UPPER(_xlpm.MyAuditVal),_xlpm.MacVal&lt;&gt;"",_xlpm.MacVal,_xlpm.CSVVal&lt;&gt;"",_xlpm.CSVVal
)),"")</f>
        <v/>
      </c>
      <c r="L23" s="46" t="str" cm="1">
        <f t="array" ref="L23">IFERROR(_xlfn.LET(
_xlpm.CSVVal,_xlfn.XLOOKUP($A23,CSV!$A:$A,CSV!Q:Q,""),
_xlpm.MacVal,_xlfn.XLOOKUP($A23,Output_Mac!$A:$A,Output_Mac!M:M,""),
_xlpm.MyAuditVal,_xlfn.XLOOKUP($A23,My_Audit!$A:$A,My_Audit!K:K,""),
_xlfn.IFS(_xlpm.MyAuditVal&lt;&gt;"",UPPER(_xlpm.MyAuditVal),_xlpm.MacVal&lt;&gt;"",_xlpm.MacVal,_xlpm.CSVVal&lt;&gt;"",_xlpm.CSVVal
)),"")</f>
        <v/>
      </c>
      <c r="M23" s="45" t="str">
        <f>_xlfn.LET(
    _xlpm.CSVVal, _xlfn.XLOOKUP($A23, CSV!$A:$A, CSV!AE:AE, ""),
    _xlpm.MacVal, _xlfn.XLOOKUP($A23, Output_Mac!$A:$A, Output_Mac!S:S, ""),
    _xlpm.MyAuditVal, _xlfn.XLOOKUP($A23, My_Audit!$A:$A, My_Audit!N:N, ""),
    _xlfn.TEXTJOIN(", ", TRUE, _xlpm.MyAuditVal, _xlpm.MacVal, _xlpm.CSVVal)
)</f>
        <v/>
      </c>
      <c r="N23" s="45" t="str" cm="1">
        <f t="array" ref="N23">IFERROR(_xlfn.LET(
_xlpm.CSVVal,_xlfn.XLOOKUP($A23,CSV!$A:$A,CSV!AG:AG,""),
_xlpm.MacVal,_xlfn.XLOOKUP($A23,Output_Mac!$A:$A,Output_Mac!U:U,""),
_xlpm.MyAuditVal,_xlfn.XLOOKUP($A23,My_Audit!$A:$A,My_Audit!O:O,""),
_xlfn.IFS(_xlpm.MyAuditVal&lt;&gt;"",UPPER(_xlpm.MyAuditVal),_xlpm.MacVal&lt;&gt;"",_xlpm.MacVal,_xlpm.CSVVal&lt;&gt;"",_xlpm.CSVVal
)),"")</f>
        <v/>
      </c>
      <c r="O23" s="46" t="str">
        <f>_xlfn.XLOOKUP(C23,My_Audit!B:B,My_Audit!P:P,"")&amp;""</f>
        <v/>
      </c>
      <c r="P23" s="45"/>
      <c r="Q23" s="46" t="str">
        <f>IF(LEFT(N23,4)="Pass","Nist SP 800-88",My_Audit!R23)&amp;""</f>
        <v/>
      </c>
      <c r="R23" s="45"/>
      <c r="S23" s="45"/>
      <c r="T23" s="46" t="str">
        <f>_xlfn.XLOOKUP(E23,Models!I:I,Models!J:J,"")</f>
        <v/>
      </c>
      <c r="U23" s="45"/>
      <c r="V23" s="45"/>
      <c r="W23" s="38" t="str">
        <f>_xlfn.LET(
    _xlpm.MacVal, _xlfn.XLOOKUP($A23, Output_Mac!$A:$A, Output_Mac!AB:AB, ""),
    _xlpm.MyAuditVal, _xlfn.XLOOKUP($A23, My_Audit!$A:$A, My_Audit!L:L, ""),
    _xlfn.TEXTJOIN(", ", TRUE, _xlpm.MyAuditVal, _xlpm.MacVal)
)</f>
        <v/>
      </c>
    </row>
    <row r="24" spans="1:23">
      <c r="A24" s="45" t="str">
        <f>_xlfn.TEXTJOIN("",TRUE,Input!$B$2,ROW(My_Audit!A23))</f>
        <v>XX23</v>
      </c>
      <c r="B24" s="45" t="str">
        <f>_xlfn.TEXTJOIN("-",TRUE,"ITD",Input!$A$2,A24)</f>
        <v>ITD-SHRXXX-XX23</v>
      </c>
      <c r="C24" s="45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46" t="str" cm="1">
        <f t="array" ref="D24">IFERROR(_xlfn.LET(
_xlpm.CSVVal,_xlfn.XLOOKUP($A24,CSV!$A:$A,CSV!C:C,""),
_xlpm.MacVal,_xlfn.XLOOKUP($A24,Output_Mac!$A:$A,Output_Mac!D:D,""),
_xlpm.MyAuditVal,_xlfn.XLOOKUP($A24,My_Audit!$A:$A,My_Audit!C:C,""),
_xlfn.IFS(_xlpm.MyAuditVal&lt;&gt;"",UPPER(_xlpm.MyAuditVal),_xlpm.MacVal&lt;&gt;"",_xlpm.MacVal,_xlpm.CSVVal&lt;&gt;"",_xlpm.CSVVal
)),"")</f>
        <v/>
      </c>
      <c r="E24" s="46" t="str" cm="1">
        <f t="array" ref="E24">IFERROR(_xlfn.LET(
_xlpm.CSVVal,_xlfn.XLOOKUP($A24,CSV!$A:$A,CSV!E:E,""),
_xlpm.MacVal,_xlfn.XLOOKUP($A24,Output_Mac!$A:$A,Output_Mac!C:C,""),
_xlpm.MyAuditVal,_xlfn.XLOOKUP($A24,My_Audit!$A:$A,My_Audit!D:D,""),
_xlfn.IFS(_xlpm.MyAuditVal&lt;&gt;"",_xlpm.MyAuditVal,_xlpm.MacVal&lt;&gt;"",_xlpm.MacVal,_xlpm.CSVVal&lt;&gt;"",_xlpm.CSVVal
)),"")</f>
        <v/>
      </c>
      <c r="F24" s="45" t="str" cm="1">
        <f t="array" ref="F24">IFERROR(_xlfn.LET(
_xlpm.CSVVal,_xlfn.XLOOKUP($A24,CSV!$A:$A,CSV!F:F,""),
_xlpm.MacVal,_xlfn.XLOOKUP($A24,Output_Mac!$A:$A,Output_Mac!F:F,""),
_xlpm.MyAuditVal,_xlfn.XLOOKUP($A24,My_Audit!$A:$A,My_Audit!E:E,""),
_xlfn.IFS(_xlpm.MyAuditVal&lt;&gt;"",_xlpm.MyAuditVal,_xlpm.MacVal&lt;&gt;"",_xlpm.MacVal,_xlpm.CSVVal&lt;&gt;"",PROPER(_xlpm.CSVVal)
)),"")</f>
        <v/>
      </c>
      <c r="G24" s="45" t="str" cm="1">
        <f t="array" ref="G24">IFERROR(_xlfn.LET(
_xlpm.CSVVal,_xlfn.XLOOKUP($A24,CSV!$A:$A,CSV!G:G,""),
_xlpm.MacVal,_xlfn.XLOOKUP($A24,Output_Mac!$A:$A,Output_Mac!H:H,""),
_xlpm.MyAuditVal,_xlfn.XLOOKUP($A24,My_Audit!$A:$A,My_Audit!F:F,""),
_xlfn.IFS(_xlpm.MyAuditVal&lt;&gt;"",_xlpm.MyAuditVal,_xlpm.MacVal&lt;&gt;"",_xlpm.MacVal,_xlpm.CSVVal&lt;&gt;"",_xlpm.CSVVal
)),"")</f>
        <v/>
      </c>
      <c r="H24" s="45" t="str">
        <f>_xlfn.XLOOKUP(A24,Output_Mac!A:A,Output_Mac!I:I,"")</f>
        <v/>
      </c>
      <c r="I24" s="45" t="str" cm="1">
        <f t="array" ref="I24">IFERROR(_xlfn.LET(
_xlpm.CSVVal,_xlfn.XLOOKUP($A24,CSV!$A:$A,CSV!H:H,""),
_xlpm.MacVal,_xlfn.XLOOKUP($A24,Output_Mac!$A:$A,Output_Mac!J:J,""),
_xlpm.MyAuditVal,_xlfn.XLOOKUP($A24,My_Audit!$A:$A,My_Audit!H:H,""),
_xlfn.IFS(_xlpm.MyAuditVal&lt;&gt;"",UPPER(_xlpm.MyAuditVal),_xlpm.MacVal&lt;&gt;"",_xlpm.MacVal,_xlpm.CSVVal&lt;&gt;"",_xlpm.CSVVal
)),"")</f>
        <v/>
      </c>
      <c r="J24" s="45" t="str" cm="1">
        <f t="array" ref="J24">IFERROR(_xlfn.LET(
_xlpm.CSVVal,_xlfn.XLOOKUP($A24,CSV!$A:$A,CSV!J:J,""),
_xlpm.MacVal,_xlfn.XLOOKUP($A24,Output_Mac!$A:$A,Output_Mac!K:K,""),
_xlpm.MyAuditVal,_xlfn.XLOOKUP($A24,My_Audit!$A:$A,My_Audit!I:I,""),
_xlfn.IFS(_xlpm.MyAuditVal&lt;&gt;"",UPPER(_xlpm.MyAuditVal),_xlpm.MacVal&lt;&gt;"",_xlpm.MacVal,_xlpm.CSVVal&lt;&gt;"",_xlpm.CSVVal
)),"")</f>
        <v/>
      </c>
      <c r="K24" s="45" t="str" cm="1">
        <f t="array" ref="K24">IFERROR(_xlfn.LET(
_xlpm.CSVVal,_xlfn.XLOOKUP($A24,CSV!$A:$A,CSV!N:N,""),
_xlpm.MacVal,_xlfn.XLOOKUP($A24,Output_Mac!$A:$A,Output_Mac!L:L,""),
_xlpm.MyAuditVal,_xlfn.XLOOKUP($A24,My_Audit!$A:$A,My_Audit!J:J,""),
_xlfn.IFS(_xlpm.MyAuditVal&lt;&gt;"",UPPER(_xlpm.MyAuditVal),_xlpm.MacVal&lt;&gt;"",_xlpm.MacVal,_xlpm.CSVVal&lt;&gt;"",_xlpm.CSVVal
)),"")</f>
        <v/>
      </c>
      <c r="L24" s="46" t="str" cm="1">
        <f t="array" ref="L24">IFERROR(_xlfn.LET(
_xlpm.CSVVal,_xlfn.XLOOKUP($A24,CSV!$A:$A,CSV!Q:Q,""),
_xlpm.MacVal,_xlfn.XLOOKUP($A24,Output_Mac!$A:$A,Output_Mac!M:M,""),
_xlpm.MyAuditVal,_xlfn.XLOOKUP($A24,My_Audit!$A:$A,My_Audit!K:K,""),
_xlfn.IFS(_xlpm.MyAuditVal&lt;&gt;"",UPPER(_xlpm.MyAuditVal),_xlpm.MacVal&lt;&gt;"",_xlpm.MacVal,_xlpm.CSVVal&lt;&gt;"",_xlpm.CSVVal
)),"")</f>
        <v/>
      </c>
      <c r="M24" s="45" t="str">
        <f>_xlfn.LET(
    _xlpm.CSVVal, _xlfn.XLOOKUP($A24, CSV!$A:$A, CSV!AE:AE, ""),
    _xlpm.MacVal, _xlfn.XLOOKUP($A24, Output_Mac!$A:$A, Output_Mac!S:S, ""),
    _xlpm.MyAuditVal, _xlfn.XLOOKUP($A24, My_Audit!$A:$A, My_Audit!N:N, ""),
    _xlfn.TEXTJOIN(", ", TRUE, _xlpm.MyAuditVal, _xlpm.MacVal, _xlpm.CSVVal)
)</f>
        <v/>
      </c>
      <c r="N24" s="45" t="str" cm="1">
        <f t="array" ref="N24">IFERROR(_xlfn.LET(
_xlpm.CSVVal,_xlfn.XLOOKUP($A24,CSV!$A:$A,CSV!AG:AG,""),
_xlpm.MacVal,_xlfn.XLOOKUP($A24,Output_Mac!$A:$A,Output_Mac!U:U,""),
_xlpm.MyAuditVal,_xlfn.XLOOKUP($A24,My_Audit!$A:$A,My_Audit!O:O,""),
_xlfn.IFS(_xlpm.MyAuditVal&lt;&gt;"",UPPER(_xlpm.MyAuditVal),_xlpm.MacVal&lt;&gt;"",_xlpm.MacVal,_xlpm.CSVVal&lt;&gt;"",_xlpm.CSVVal
)),"")</f>
        <v/>
      </c>
      <c r="O24" s="46" t="str">
        <f>_xlfn.XLOOKUP(C24,My_Audit!B:B,My_Audit!P:P,"")&amp;""</f>
        <v/>
      </c>
      <c r="P24" s="45"/>
      <c r="Q24" s="46" t="str">
        <f>IF(LEFT(N24,4)="Pass","Nist SP 800-88",My_Audit!R24)&amp;""</f>
        <v/>
      </c>
      <c r="R24" s="45"/>
      <c r="S24" s="45"/>
      <c r="T24" s="46" t="str">
        <f>_xlfn.XLOOKUP(E24,Models!I:I,Models!J:J,"")</f>
        <v/>
      </c>
      <c r="U24" s="45"/>
      <c r="V24" s="45"/>
      <c r="W24" s="38" t="str">
        <f>_xlfn.LET(
    _xlpm.MacVal, _xlfn.XLOOKUP($A24, Output_Mac!$A:$A, Output_Mac!AB:AB, ""),
    _xlpm.MyAuditVal, _xlfn.XLOOKUP($A24, My_Audit!$A:$A, My_Audit!L:L, ""),
    _xlfn.TEXTJOIN(", ", TRUE, _xlpm.MyAuditVal, _xlpm.MacVal)
)</f>
        <v/>
      </c>
    </row>
    <row r="25" spans="1:23">
      <c r="A25" s="45" t="str">
        <f>_xlfn.TEXTJOIN("",TRUE,Input!$B$2,ROW(My_Audit!A24))</f>
        <v>XX24</v>
      </c>
      <c r="B25" s="45" t="str">
        <f>_xlfn.TEXTJOIN("-",TRUE,"ITD",Input!$A$2,A25)</f>
        <v>ITD-SHRXXX-XX24</v>
      </c>
      <c r="C25" s="45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46" t="str" cm="1">
        <f t="array" ref="D25">IFERROR(_xlfn.LET(
_xlpm.CSVVal,_xlfn.XLOOKUP($A25,CSV!$A:$A,CSV!C:C,""),
_xlpm.MacVal,_xlfn.XLOOKUP($A25,Output_Mac!$A:$A,Output_Mac!D:D,""),
_xlpm.MyAuditVal,_xlfn.XLOOKUP($A25,My_Audit!$A:$A,My_Audit!C:C,""),
_xlfn.IFS(_xlpm.MyAuditVal&lt;&gt;"",UPPER(_xlpm.MyAuditVal),_xlpm.MacVal&lt;&gt;"",_xlpm.MacVal,_xlpm.CSVVal&lt;&gt;"",_xlpm.CSVVal
)),"")</f>
        <v/>
      </c>
      <c r="E25" s="46" t="str" cm="1">
        <f t="array" ref="E25">IFERROR(_xlfn.LET(
_xlpm.CSVVal,_xlfn.XLOOKUP($A25,CSV!$A:$A,CSV!E:E,""),
_xlpm.MacVal,_xlfn.XLOOKUP($A25,Output_Mac!$A:$A,Output_Mac!C:C,""),
_xlpm.MyAuditVal,_xlfn.XLOOKUP($A25,My_Audit!$A:$A,My_Audit!D:D,""),
_xlfn.IFS(_xlpm.MyAuditVal&lt;&gt;"",_xlpm.MyAuditVal,_xlpm.MacVal&lt;&gt;"",_xlpm.MacVal,_xlpm.CSVVal&lt;&gt;"",_xlpm.CSVVal
)),"")</f>
        <v/>
      </c>
      <c r="F25" s="45" t="str" cm="1">
        <f t="array" ref="F25">IFERROR(_xlfn.LET(
_xlpm.CSVVal,_xlfn.XLOOKUP($A25,CSV!$A:$A,CSV!F:F,""),
_xlpm.MacVal,_xlfn.XLOOKUP($A25,Output_Mac!$A:$A,Output_Mac!F:F,""),
_xlpm.MyAuditVal,_xlfn.XLOOKUP($A25,My_Audit!$A:$A,My_Audit!E:E,""),
_xlfn.IFS(_xlpm.MyAuditVal&lt;&gt;"",_xlpm.MyAuditVal,_xlpm.MacVal&lt;&gt;"",_xlpm.MacVal,_xlpm.CSVVal&lt;&gt;"",PROPER(_xlpm.CSVVal)
)),"")</f>
        <v/>
      </c>
      <c r="G25" s="45" t="str" cm="1">
        <f t="array" ref="G25">IFERROR(_xlfn.LET(
_xlpm.CSVVal,_xlfn.XLOOKUP($A25,CSV!$A:$A,CSV!G:G,""),
_xlpm.MacVal,_xlfn.XLOOKUP($A25,Output_Mac!$A:$A,Output_Mac!H:H,""),
_xlpm.MyAuditVal,_xlfn.XLOOKUP($A25,My_Audit!$A:$A,My_Audit!F:F,""),
_xlfn.IFS(_xlpm.MyAuditVal&lt;&gt;"",_xlpm.MyAuditVal,_xlpm.MacVal&lt;&gt;"",_xlpm.MacVal,_xlpm.CSVVal&lt;&gt;"",_xlpm.CSVVal
)),"")</f>
        <v/>
      </c>
      <c r="H25" s="45" t="str">
        <f>_xlfn.XLOOKUP(A25,Output_Mac!A:A,Output_Mac!I:I,"")</f>
        <v/>
      </c>
      <c r="I25" s="45" t="str" cm="1">
        <f t="array" ref="I25">IFERROR(_xlfn.LET(
_xlpm.CSVVal,_xlfn.XLOOKUP($A25,CSV!$A:$A,CSV!H:H,""),
_xlpm.MacVal,_xlfn.XLOOKUP($A25,Output_Mac!$A:$A,Output_Mac!J:J,""),
_xlpm.MyAuditVal,_xlfn.XLOOKUP($A25,My_Audit!$A:$A,My_Audit!H:H,""),
_xlfn.IFS(_xlpm.MyAuditVal&lt;&gt;"",UPPER(_xlpm.MyAuditVal),_xlpm.MacVal&lt;&gt;"",_xlpm.MacVal,_xlpm.CSVVal&lt;&gt;"",_xlpm.CSVVal
)),"")</f>
        <v/>
      </c>
      <c r="J25" s="45" t="str" cm="1">
        <f t="array" ref="J25">IFERROR(_xlfn.LET(
_xlpm.CSVVal,_xlfn.XLOOKUP($A25,CSV!$A:$A,CSV!J:J,""),
_xlpm.MacVal,_xlfn.XLOOKUP($A25,Output_Mac!$A:$A,Output_Mac!K:K,""),
_xlpm.MyAuditVal,_xlfn.XLOOKUP($A25,My_Audit!$A:$A,My_Audit!I:I,""),
_xlfn.IFS(_xlpm.MyAuditVal&lt;&gt;"",UPPER(_xlpm.MyAuditVal),_xlpm.MacVal&lt;&gt;"",_xlpm.MacVal,_xlpm.CSVVal&lt;&gt;"",_xlpm.CSVVal
)),"")</f>
        <v/>
      </c>
      <c r="K25" s="45" t="str" cm="1">
        <f t="array" ref="K25">IFERROR(_xlfn.LET(
_xlpm.CSVVal,_xlfn.XLOOKUP($A25,CSV!$A:$A,CSV!N:N,""),
_xlpm.MacVal,_xlfn.XLOOKUP($A25,Output_Mac!$A:$A,Output_Mac!L:L,""),
_xlpm.MyAuditVal,_xlfn.XLOOKUP($A25,My_Audit!$A:$A,My_Audit!J:J,""),
_xlfn.IFS(_xlpm.MyAuditVal&lt;&gt;"",UPPER(_xlpm.MyAuditVal),_xlpm.MacVal&lt;&gt;"",_xlpm.MacVal,_xlpm.CSVVal&lt;&gt;"",_xlpm.CSVVal
)),"")</f>
        <v/>
      </c>
      <c r="L25" s="46" t="str" cm="1">
        <f t="array" ref="L25">IFERROR(_xlfn.LET(
_xlpm.CSVVal,_xlfn.XLOOKUP($A25,CSV!$A:$A,CSV!Q:Q,""),
_xlpm.MacVal,_xlfn.XLOOKUP($A25,Output_Mac!$A:$A,Output_Mac!M:M,""),
_xlpm.MyAuditVal,_xlfn.XLOOKUP($A25,My_Audit!$A:$A,My_Audit!K:K,""),
_xlfn.IFS(_xlpm.MyAuditVal&lt;&gt;"",UPPER(_xlpm.MyAuditVal),_xlpm.MacVal&lt;&gt;"",_xlpm.MacVal,_xlpm.CSVVal&lt;&gt;"",_xlpm.CSVVal
)),"")</f>
        <v/>
      </c>
      <c r="M25" s="45" t="str">
        <f>_xlfn.LET(
    _xlpm.CSVVal, _xlfn.XLOOKUP($A25, CSV!$A:$A, CSV!AE:AE, ""),
    _xlpm.MacVal, _xlfn.XLOOKUP($A25, Output_Mac!$A:$A, Output_Mac!S:S, ""),
    _xlpm.MyAuditVal, _xlfn.XLOOKUP($A25, My_Audit!$A:$A, My_Audit!N:N, ""),
    _xlfn.TEXTJOIN(", ", TRUE, _xlpm.MyAuditVal, _xlpm.MacVal, _xlpm.CSVVal)
)</f>
        <v/>
      </c>
      <c r="N25" s="45" t="str" cm="1">
        <f t="array" ref="N25">IFERROR(_xlfn.LET(
_xlpm.CSVVal,_xlfn.XLOOKUP($A25,CSV!$A:$A,CSV!AG:AG,""),
_xlpm.MacVal,_xlfn.XLOOKUP($A25,Output_Mac!$A:$A,Output_Mac!U:U,""),
_xlpm.MyAuditVal,_xlfn.XLOOKUP($A25,My_Audit!$A:$A,My_Audit!O:O,""),
_xlfn.IFS(_xlpm.MyAuditVal&lt;&gt;"",UPPER(_xlpm.MyAuditVal),_xlpm.MacVal&lt;&gt;"",_xlpm.MacVal,_xlpm.CSVVal&lt;&gt;"",_xlpm.CSVVal
)),"")</f>
        <v/>
      </c>
      <c r="O25" s="46" t="str">
        <f>_xlfn.XLOOKUP(C25,My_Audit!B:B,My_Audit!P:P,"")&amp;""</f>
        <v/>
      </c>
      <c r="P25" s="45"/>
      <c r="Q25" s="46" t="str">
        <f>IF(LEFT(N25,4)="Pass","Nist SP 800-88",My_Audit!R25)&amp;""</f>
        <v/>
      </c>
      <c r="R25" s="45"/>
      <c r="S25" s="45"/>
      <c r="T25" s="46" t="str">
        <f>_xlfn.XLOOKUP(E25,Models!I:I,Models!J:J,"")</f>
        <v/>
      </c>
      <c r="U25" s="45"/>
      <c r="V25" s="45"/>
      <c r="W25" s="38" t="str">
        <f>_xlfn.LET(
    _xlpm.MacVal, _xlfn.XLOOKUP($A25, Output_Mac!$A:$A, Output_Mac!AB:AB, ""),
    _xlpm.MyAuditVal, _xlfn.XLOOKUP($A25, My_Audit!$A:$A, My_Audit!L:L, ""),
    _xlfn.TEXTJOIN(", ", TRUE, _xlpm.MyAuditVal, _xlpm.MacVal)
)</f>
        <v/>
      </c>
    </row>
    <row r="26" spans="1:23">
      <c r="A26" s="45" t="str">
        <f>_xlfn.TEXTJOIN("",TRUE,Input!$B$2,ROW(My_Audit!A25))</f>
        <v>XX25</v>
      </c>
      <c r="B26" s="45" t="str">
        <f>_xlfn.TEXTJOIN("-",TRUE,"ITD",Input!$A$2,A26)</f>
        <v>ITD-SHRXXX-XX25</v>
      </c>
      <c r="C26" s="45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46" t="str" cm="1">
        <f t="array" ref="D26">IFERROR(_xlfn.LET(
_xlpm.CSVVal,_xlfn.XLOOKUP($A26,CSV!$A:$A,CSV!C:C,""),
_xlpm.MacVal,_xlfn.XLOOKUP($A26,Output_Mac!$A:$A,Output_Mac!D:D,""),
_xlpm.MyAuditVal,_xlfn.XLOOKUP($A26,My_Audit!$A:$A,My_Audit!C:C,""),
_xlfn.IFS(_xlpm.MyAuditVal&lt;&gt;"",UPPER(_xlpm.MyAuditVal),_xlpm.MacVal&lt;&gt;"",_xlpm.MacVal,_xlpm.CSVVal&lt;&gt;"",_xlpm.CSVVal
)),"")</f>
        <v/>
      </c>
      <c r="E26" s="46" t="str" cm="1">
        <f t="array" ref="E26">IFERROR(_xlfn.LET(
_xlpm.CSVVal,_xlfn.XLOOKUP($A26,CSV!$A:$A,CSV!E:E,""),
_xlpm.MacVal,_xlfn.XLOOKUP($A26,Output_Mac!$A:$A,Output_Mac!C:C,""),
_xlpm.MyAuditVal,_xlfn.XLOOKUP($A26,My_Audit!$A:$A,My_Audit!D:D,""),
_xlfn.IFS(_xlpm.MyAuditVal&lt;&gt;"",_xlpm.MyAuditVal,_xlpm.MacVal&lt;&gt;"",_xlpm.MacVal,_xlpm.CSVVal&lt;&gt;"",_xlpm.CSVVal
)),"")</f>
        <v/>
      </c>
      <c r="F26" s="45" t="str" cm="1">
        <f t="array" ref="F26">IFERROR(_xlfn.LET(
_xlpm.CSVVal,_xlfn.XLOOKUP($A26,CSV!$A:$A,CSV!F:F,""),
_xlpm.MacVal,_xlfn.XLOOKUP($A26,Output_Mac!$A:$A,Output_Mac!F:F,""),
_xlpm.MyAuditVal,_xlfn.XLOOKUP($A26,My_Audit!$A:$A,My_Audit!E:E,""),
_xlfn.IFS(_xlpm.MyAuditVal&lt;&gt;"",_xlpm.MyAuditVal,_xlpm.MacVal&lt;&gt;"",_xlpm.MacVal,_xlpm.CSVVal&lt;&gt;"",PROPER(_xlpm.CSVVal)
)),"")</f>
        <v/>
      </c>
      <c r="G26" s="45" t="str" cm="1">
        <f t="array" ref="G26">IFERROR(_xlfn.LET(
_xlpm.CSVVal,_xlfn.XLOOKUP($A26,CSV!$A:$A,CSV!G:G,""),
_xlpm.MacVal,_xlfn.XLOOKUP($A26,Output_Mac!$A:$A,Output_Mac!H:H,""),
_xlpm.MyAuditVal,_xlfn.XLOOKUP($A26,My_Audit!$A:$A,My_Audit!F:F,""),
_xlfn.IFS(_xlpm.MyAuditVal&lt;&gt;"",_xlpm.MyAuditVal,_xlpm.MacVal&lt;&gt;"",_xlpm.MacVal,_xlpm.CSVVal&lt;&gt;"",_xlpm.CSVVal
)),"")</f>
        <v/>
      </c>
      <c r="H26" s="45" t="str">
        <f>_xlfn.XLOOKUP(A26,Output_Mac!A:A,Output_Mac!I:I,"")</f>
        <v/>
      </c>
      <c r="I26" s="45" t="str" cm="1">
        <f t="array" ref="I26">IFERROR(_xlfn.LET(
_xlpm.CSVVal,_xlfn.XLOOKUP($A26,CSV!$A:$A,CSV!H:H,""),
_xlpm.MacVal,_xlfn.XLOOKUP($A26,Output_Mac!$A:$A,Output_Mac!J:J,""),
_xlpm.MyAuditVal,_xlfn.XLOOKUP($A26,My_Audit!$A:$A,My_Audit!H:H,""),
_xlfn.IFS(_xlpm.MyAuditVal&lt;&gt;"",UPPER(_xlpm.MyAuditVal),_xlpm.MacVal&lt;&gt;"",_xlpm.MacVal,_xlpm.CSVVal&lt;&gt;"",_xlpm.CSVVal
)),"")</f>
        <v/>
      </c>
      <c r="J26" s="45" t="str" cm="1">
        <f t="array" ref="J26">IFERROR(_xlfn.LET(
_xlpm.CSVVal,_xlfn.XLOOKUP($A26,CSV!$A:$A,CSV!J:J,""),
_xlpm.MacVal,_xlfn.XLOOKUP($A26,Output_Mac!$A:$A,Output_Mac!K:K,""),
_xlpm.MyAuditVal,_xlfn.XLOOKUP($A26,My_Audit!$A:$A,My_Audit!I:I,""),
_xlfn.IFS(_xlpm.MyAuditVal&lt;&gt;"",UPPER(_xlpm.MyAuditVal),_xlpm.MacVal&lt;&gt;"",_xlpm.MacVal,_xlpm.CSVVal&lt;&gt;"",_xlpm.CSVVal
)),"")</f>
        <v/>
      </c>
      <c r="K26" s="45" t="str" cm="1">
        <f t="array" ref="K26">IFERROR(_xlfn.LET(
_xlpm.CSVVal,_xlfn.XLOOKUP($A26,CSV!$A:$A,CSV!N:N,""),
_xlpm.MacVal,_xlfn.XLOOKUP($A26,Output_Mac!$A:$A,Output_Mac!L:L,""),
_xlpm.MyAuditVal,_xlfn.XLOOKUP($A26,My_Audit!$A:$A,My_Audit!J:J,""),
_xlfn.IFS(_xlpm.MyAuditVal&lt;&gt;"",UPPER(_xlpm.MyAuditVal),_xlpm.MacVal&lt;&gt;"",_xlpm.MacVal,_xlpm.CSVVal&lt;&gt;"",_xlpm.CSVVal
)),"")</f>
        <v/>
      </c>
      <c r="L26" s="46" t="str" cm="1">
        <f t="array" ref="L26">IFERROR(_xlfn.LET(
_xlpm.CSVVal,_xlfn.XLOOKUP($A26,CSV!$A:$A,CSV!Q:Q,""),
_xlpm.MacVal,_xlfn.XLOOKUP($A26,Output_Mac!$A:$A,Output_Mac!M:M,""),
_xlpm.MyAuditVal,_xlfn.XLOOKUP($A26,My_Audit!$A:$A,My_Audit!K:K,""),
_xlfn.IFS(_xlpm.MyAuditVal&lt;&gt;"",UPPER(_xlpm.MyAuditVal),_xlpm.MacVal&lt;&gt;"",_xlpm.MacVal,_xlpm.CSVVal&lt;&gt;"",_xlpm.CSVVal
)),"")</f>
        <v/>
      </c>
      <c r="M26" s="45" t="str">
        <f>_xlfn.LET(
    _xlpm.CSVVal, _xlfn.XLOOKUP($A26, CSV!$A:$A, CSV!AE:AE, ""),
    _xlpm.MacVal, _xlfn.XLOOKUP($A26, Output_Mac!$A:$A, Output_Mac!S:S, ""),
    _xlpm.MyAuditVal, _xlfn.XLOOKUP($A26, My_Audit!$A:$A, My_Audit!N:N, ""),
    _xlfn.TEXTJOIN(", ", TRUE, _xlpm.MyAuditVal, _xlpm.MacVal, _xlpm.CSVVal)
)</f>
        <v/>
      </c>
      <c r="N26" s="45" t="str" cm="1">
        <f t="array" ref="N26">IFERROR(_xlfn.LET(
_xlpm.CSVVal,_xlfn.XLOOKUP($A26,CSV!$A:$A,CSV!AG:AG,""),
_xlpm.MacVal,_xlfn.XLOOKUP($A26,Output_Mac!$A:$A,Output_Mac!U:U,""),
_xlpm.MyAuditVal,_xlfn.XLOOKUP($A26,My_Audit!$A:$A,My_Audit!O:O,""),
_xlfn.IFS(_xlpm.MyAuditVal&lt;&gt;"",UPPER(_xlpm.MyAuditVal),_xlpm.MacVal&lt;&gt;"",_xlpm.MacVal,_xlpm.CSVVal&lt;&gt;"",_xlpm.CSVVal
)),"")</f>
        <v/>
      </c>
      <c r="O26" s="46" t="str">
        <f>_xlfn.XLOOKUP(C26,My_Audit!B:B,My_Audit!P:P,"")&amp;""</f>
        <v/>
      </c>
      <c r="P26" s="45"/>
      <c r="Q26" s="46" t="str">
        <f>IF(LEFT(N26,4)="Pass","Nist SP 800-88",My_Audit!R26)&amp;""</f>
        <v/>
      </c>
      <c r="R26" s="45"/>
      <c r="S26" s="45"/>
      <c r="T26" s="46" t="str">
        <f>_xlfn.XLOOKUP(E26,Models!I:I,Models!J:J,"")</f>
        <v/>
      </c>
      <c r="U26" s="45"/>
      <c r="V26" s="45"/>
      <c r="W26" s="38" t="str">
        <f>_xlfn.LET(
    _xlpm.MacVal, _xlfn.XLOOKUP($A26, Output_Mac!$A:$A, Output_Mac!AB:AB, ""),
    _xlpm.MyAuditVal, _xlfn.XLOOKUP($A26, My_Audit!$A:$A, My_Audit!L:L, ""),
    _xlfn.TEXTJOIN(", ", TRUE, _xlpm.MyAuditVal, _xlpm.MacVal)
)</f>
        <v/>
      </c>
    </row>
    <row r="27" spans="1:23">
      <c r="A27" s="45" t="str">
        <f>_xlfn.TEXTJOIN("",TRUE,Input!$B$2,ROW(My_Audit!A26))</f>
        <v>XX26</v>
      </c>
      <c r="B27" s="45" t="str">
        <f>_xlfn.TEXTJOIN("-",TRUE,"ITD",Input!$A$2,A27)</f>
        <v>ITD-SHRXXX-XX26</v>
      </c>
      <c r="C27" s="45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46" t="str" cm="1">
        <f t="array" ref="D27">IFERROR(_xlfn.LET(
_xlpm.CSVVal,_xlfn.XLOOKUP($A27,CSV!$A:$A,CSV!C:C,""),
_xlpm.MacVal,_xlfn.XLOOKUP($A27,Output_Mac!$A:$A,Output_Mac!D:D,""),
_xlpm.MyAuditVal,_xlfn.XLOOKUP($A27,My_Audit!$A:$A,My_Audit!C:C,""),
_xlfn.IFS(_xlpm.MyAuditVal&lt;&gt;"",UPPER(_xlpm.MyAuditVal),_xlpm.MacVal&lt;&gt;"",_xlpm.MacVal,_xlpm.CSVVal&lt;&gt;"",_xlpm.CSVVal
)),"")</f>
        <v/>
      </c>
      <c r="E27" s="46" t="str" cm="1">
        <f t="array" ref="E27">IFERROR(_xlfn.LET(
_xlpm.CSVVal,_xlfn.XLOOKUP($A27,CSV!$A:$A,CSV!E:E,""),
_xlpm.MacVal,_xlfn.XLOOKUP($A27,Output_Mac!$A:$A,Output_Mac!C:C,""),
_xlpm.MyAuditVal,_xlfn.XLOOKUP($A27,My_Audit!$A:$A,My_Audit!D:D,""),
_xlfn.IFS(_xlpm.MyAuditVal&lt;&gt;"",_xlpm.MyAuditVal,_xlpm.MacVal&lt;&gt;"",_xlpm.MacVal,_xlpm.CSVVal&lt;&gt;"",_xlpm.CSVVal
)),"")</f>
        <v/>
      </c>
      <c r="F27" s="45" t="str" cm="1">
        <f t="array" ref="F27">IFERROR(_xlfn.LET(
_xlpm.CSVVal,_xlfn.XLOOKUP($A27,CSV!$A:$A,CSV!F:F,""),
_xlpm.MacVal,_xlfn.XLOOKUP($A27,Output_Mac!$A:$A,Output_Mac!F:F,""),
_xlpm.MyAuditVal,_xlfn.XLOOKUP($A27,My_Audit!$A:$A,My_Audit!E:E,""),
_xlfn.IFS(_xlpm.MyAuditVal&lt;&gt;"",_xlpm.MyAuditVal,_xlpm.MacVal&lt;&gt;"",_xlpm.MacVal,_xlpm.CSVVal&lt;&gt;"",PROPER(_xlpm.CSVVal)
)),"")</f>
        <v/>
      </c>
      <c r="G27" s="45" t="str" cm="1">
        <f t="array" ref="G27">IFERROR(_xlfn.LET(
_xlpm.CSVVal,_xlfn.XLOOKUP($A27,CSV!$A:$A,CSV!G:G,""),
_xlpm.MacVal,_xlfn.XLOOKUP($A27,Output_Mac!$A:$A,Output_Mac!H:H,""),
_xlpm.MyAuditVal,_xlfn.XLOOKUP($A27,My_Audit!$A:$A,My_Audit!F:F,""),
_xlfn.IFS(_xlpm.MyAuditVal&lt;&gt;"",_xlpm.MyAuditVal,_xlpm.MacVal&lt;&gt;"",_xlpm.MacVal,_xlpm.CSVVal&lt;&gt;"",_xlpm.CSVVal
)),"")</f>
        <v/>
      </c>
      <c r="H27" s="45" t="str">
        <f>_xlfn.XLOOKUP(A27,Output_Mac!A:A,Output_Mac!I:I,"")</f>
        <v/>
      </c>
      <c r="I27" s="45" t="str" cm="1">
        <f t="array" ref="I27">IFERROR(_xlfn.LET(
_xlpm.CSVVal,_xlfn.XLOOKUP($A27,CSV!$A:$A,CSV!H:H,""),
_xlpm.MacVal,_xlfn.XLOOKUP($A27,Output_Mac!$A:$A,Output_Mac!J:J,""),
_xlpm.MyAuditVal,_xlfn.XLOOKUP($A27,My_Audit!$A:$A,My_Audit!H:H,""),
_xlfn.IFS(_xlpm.MyAuditVal&lt;&gt;"",UPPER(_xlpm.MyAuditVal),_xlpm.MacVal&lt;&gt;"",_xlpm.MacVal,_xlpm.CSVVal&lt;&gt;"",_xlpm.CSVVal
)),"")</f>
        <v/>
      </c>
      <c r="J27" s="45" t="str" cm="1">
        <f t="array" ref="J27">IFERROR(_xlfn.LET(
_xlpm.CSVVal,_xlfn.XLOOKUP($A27,CSV!$A:$A,CSV!J:J,""),
_xlpm.MacVal,_xlfn.XLOOKUP($A27,Output_Mac!$A:$A,Output_Mac!K:K,""),
_xlpm.MyAuditVal,_xlfn.XLOOKUP($A27,My_Audit!$A:$A,My_Audit!I:I,""),
_xlfn.IFS(_xlpm.MyAuditVal&lt;&gt;"",UPPER(_xlpm.MyAuditVal),_xlpm.MacVal&lt;&gt;"",_xlpm.MacVal,_xlpm.CSVVal&lt;&gt;"",_xlpm.CSVVal
)),"")</f>
        <v/>
      </c>
      <c r="K27" s="45" t="str" cm="1">
        <f t="array" ref="K27">IFERROR(_xlfn.LET(
_xlpm.CSVVal,_xlfn.XLOOKUP($A27,CSV!$A:$A,CSV!N:N,""),
_xlpm.MacVal,_xlfn.XLOOKUP($A27,Output_Mac!$A:$A,Output_Mac!L:L,""),
_xlpm.MyAuditVal,_xlfn.XLOOKUP($A27,My_Audit!$A:$A,My_Audit!J:J,""),
_xlfn.IFS(_xlpm.MyAuditVal&lt;&gt;"",UPPER(_xlpm.MyAuditVal),_xlpm.MacVal&lt;&gt;"",_xlpm.MacVal,_xlpm.CSVVal&lt;&gt;"",_xlpm.CSVVal
)),"")</f>
        <v/>
      </c>
      <c r="L27" s="46" t="str" cm="1">
        <f t="array" ref="L27">IFERROR(_xlfn.LET(
_xlpm.CSVVal,_xlfn.XLOOKUP($A27,CSV!$A:$A,CSV!Q:Q,""),
_xlpm.MacVal,_xlfn.XLOOKUP($A27,Output_Mac!$A:$A,Output_Mac!M:M,""),
_xlpm.MyAuditVal,_xlfn.XLOOKUP($A27,My_Audit!$A:$A,My_Audit!K:K,""),
_xlfn.IFS(_xlpm.MyAuditVal&lt;&gt;"",UPPER(_xlpm.MyAuditVal),_xlpm.MacVal&lt;&gt;"",_xlpm.MacVal,_xlpm.CSVVal&lt;&gt;"",_xlpm.CSVVal
)),"")</f>
        <v/>
      </c>
      <c r="M27" s="45" t="str">
        <f>_xlfn.LET(
    _xlpm.CSVVal, _xlfn.XLOOKUP($A27, CSV!$A:$A, CSV!AE:AE, ""),
    _xlpm.MacVal, _xlfn.XLOOKUP($A27, Output_Mac!$A:$A, Output_Mac!S:S, ""),
    _xlpm.MyAuditVal, _xlfn.XLOOKUP($A27, My_Audit!$A:$A, My_Audit!N:N, ""),
    _xlfn.TEXTJOIN(", ", TRUE, _xlpm.MyAuditVal, _xlpm.MacVal, _xlpm.CSVVal)
)</f>
        <v/>
      </c>
      <c r="N27" s="45" t="str" cm="1">
        <f t="array" ref="N27">IFERROR(_xlfn.LET(
_xlpm.CSVVal,_xlfn.XLOOKUP($A27,CSV!$A:$A,CSV!AG:AG,""),
_xlpm.MacVal,_xlfn.XLOOKUP($A27,Output_Mac!$A:$A,Output_Mac!U:U,""),
_xlpm.MyAuditVal,_xlfn.XLOOKUP($A27,My_Audit!$A:$A,My_Audit!O:O,""),
_xlfn.IFS(_xlpm.MyAuditVal&lt;&gt;"",UPPER(_xlpm.MyAuditVal),_xlpm.MacVal&lt;&gt;"",_xlpm.MacVal,_xlpm.CSVVal&lt;&gt;"",_xlpm.CSVVal
)),"")</f>
        <v/>
      </c>
      <c r="O27" s="46" t="str">
        <f>_xlfn.XLOOKUP(C27,My_Audit!B:B,My_Audit!P:P,"")&amp;""</f>
        <v/>
      </c>
      <c r="P27" s="45"/>
      <c r="Q27" s="46" t="str">
        <f>IF(LEFT(N27,4)="Pass","Nist SP 800-88",My_Audit!R27)&amp;""</f>
        <v/>
      </c>
      <c r="R27" s="45"/>
      <c r="S27" s="45"/>
      <c r="T27" s="46" t="str">
        <f>_xlfn.XLOOKUP(E27,Models!I:I,Models!J:J,"")</f>
        <v/>
      </c>
      <c r="U27" s="45"/>
      <c r="V27" s="45"/>
      <c r="W27" s="38" t="str">
        <f>_xlfn.LET(
    _xlpm.MacVal, _xlfn.XLOOKUP($A27, Output_Mac!$A:$A, Output_Mac!AB:AB, ""),
    _xlpm.MyAuditVal, _xlfn.XLOOKUP($A27, My_Audit!$A:$A, My_Audit!L:L, ""),
    _xlfn.TEXTJOIN(", ", TRUE, _xlpm.MyAuditVal, _xlpm.MacVal)
)</f>
        <v/>
      </c>
    </row>
    <row r="28" spans="1:23">
      <c r="A28" s="45" t="str">
        <f>_xlfn.TEXTJOIN("",TRUE,Input!$B$2,ROW(My_Audit!A27))</f>
        <v>XX27</v>
      </c>
      <c r="B28" s="45" t="str">
        <f>_xlfn.TEXTJOIN("-",TRUE,"ITD",Input!$A$2,A28)</f>
        <v>ITD-SHRXXX-XX27</v>
      </c>
      <c r="C28" s="45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46" t="str" cm="1">
        <f t="array" ref="D28">IFERROR(_xlfn.LET(
_xlpm.CSVVal,_xlfn.XLOOKUP($A28,CSV!$A:$A,CSV!C:C,""),
_xlpm.MacVal,_xlfn.XLOOKUP($A28,Output_Mac!$A:$A,Output_Mac!D:D,""),
_xlpm.MyAuditVal,_xlfn.XLOOKUP($A28,My_Audit!$A:$A,My_Audit!C:C,""),
_xlfn.IFS(_xlpm.MyAuditVal&lt;&gt;"",UPPER(_xlpm.MyAuditVal),_xlpm.MacVal&lt;&gt;"",_xlpm.MacVal,_xlpm.CSVVal&lt;&gt;"",_xlpm.CSVVal
)),"")</f>
        <v/>
      </c>
      <c r="E28" s="46" t="str" cm="1">
        <f t="array" ref="E28">IFERROR(_xlfn.LET(
_xlpm.CSVVal,_xlfn.XLOOKUP($A28,CSV!$A:$A,CSV!E:E,""),
_xlpm.MacVal,_xlfn.XLOOKUP($A28,Output_Mac!$A:$A,Output_Mac!C:C,""),
_xlpm.MyAuditVal,_xlfn.XLOOKUP($A28,My_Audit!$A:$A,My_Audit!D:D,""),
_xlfn.IFS(_xlpm.MyAuditVal&lt;&gt;"",_xlpm.MyAuditVal,_xlpm.MacVal&lt;&gt;"",_xlpm.MacVal,_xlpm.CSVVal&lt;&gt;"",_xlpm.CSVVal
)),"")</f>
        <v/>
      </c>
      <c r="F28" s="45" t="str" cm="1">
        <f t="array" ref="F28">IFERROR(_xlfn.LET(
_xlpm.CSVVal,_xlfn.XLOOKUP($A28,CSV!$A:$A,CSV!F:F,""),
_xlpm.MacVal,_xlfn.XLOOKUP($A28,Output_Mac!$A:$A,Output_Mac!F:F,""),
_xlpm.MyAuditVal,_xlfn.XLOOKUP($A28,My_Audit!$A:$A,My_Audit!E:E,""),
_xlfn.IFS(_xlpm.MyAuditVal&lt;&gt;"",_xlpm.MyAuditVal,_xlpm.MacVal&lt;&gt;"",_xlpm.MacVal,_xlpm.CSVVal&lt;&gt;"",PROPER(_xlpm.CSVVal)
)),"")</f>
        <v/>
      </c>
      <c r="G28" s="45" t="str" cm="1">
        <f t="array" ref="G28">IFERROR(_xlfn.LET(
_xlpm.CSVVal,_xlfn.XLOOKUP($A28,CSV!$A:$A,CSV!G:G,""),
_xlpm.MacVal,_xlfn.XLOOKUP($A28,Output_Mac!$A:$A,Output_Mac!H:H,""),
_xlpm.MyAuditVal,_xlfn.XLOOKUP($A28,My_Audit!$A:$A,My_Audit!F:F,""),
_xlfn.IFS(_xlpm.MyAuditVal&lt;&gt;"",_xlpm.MyAuditVal,_xlpm.MacVal&lt;&gt;"",_xlpm.MacVal,_xlpm.CSVVal&lt;&gt;"",_xlpm.CSVVal
)),"")</f>
        <v/>
      </c>
      <c r="H28" s="45" t="str">
        <f>_xlfn.XLOOKUP(A28,Output_Mac!A:A,Output_Mac!I:I,"")</f>
        <v/>
      </c>
      <c r="I28" s="45" t="str" cm="1">
        <f t="array" ref="I28">IFERROR(_xlfn.LET(
_xlpm.CSVVal,_xlfn.XLOOKUP($A28,CSV!$A:$A,CSV!H:H,""),
_xlpm.MacVal,_xlfn.XLOOKUP($A28,Output_Mac!$A:$A,Output_Mac!J:J,""),
_xlpm.MyAuditVal,_xlfn.XLOOKUP($A28,My_Audit!$A:$A,My_Audit!H:H,""),
_xlfn.IFS(_xlpm.MyAuditVal&lt;&gt;"",UPPER(_xlpm.MyAuditVal),_xlpm.MacVal&lt;&gt;"",_xlpm.MacVal,_xlpm.CSVVal&lt;&gt;"",_xlpm.CSVVal
)),"")</f>
        <v/>
      </c>
      <c r="J28" s="45" t="str" cm="1">
        <f t="array" ref="J28">IFERROR(_xlfn.LET(
_xlpm.CSVVal,_xlfn.XLOOKUP($A28,CSV!$A:$A,CSV!J:J,""),
_xlpm.MacVal,_xlfn.XLOOKUP($A28,Output_Mac!$A:$A,Output_Mac!K:K,""),
_xlpm.MyAuditVal,_xlfn.XLOOKUP($A28,My_Audit!$A:$A,My_Audit!I:I,""),
_xlfn.IFS(_xlpm.MyAuditVal&lt;&gt;"",UPPER(_xlpm.MyAuditVal),_xlpm.MacVal&lt;&gt;"",_xlpm.MacVal,_xlpm.CSVVal&lt;&gt;"",_xlpm.CSVVal
)),"")</f>
        <v/>
      </c>
      <c r="K28" s="45" t="str" cm="1">
        <f t="array" ref="K28">IFERROR(_xlfn.LET(
_xlpm.CSVVal,_xlfn.XLOOKUP($A28,CSV!$A:$A,CSV!N:N,""),
_xlpm.MacVal,_xlfn.XLOOKUP($A28,Output_Mac!$A:$A,Output_Mac!L:L,""),
_xlpm.MyAuditVal,_xlfn.XLOOKUP($A28,My_Audit!$A:$A,My_Audit!J:J,""),
_xlfn.IFS(_xlpm.MyAuditVal&lt;&gt;"",UPPER(_xlpm.MyAuditVal),_xlpm.MacVal&lt;&gt;"",_xlpm.MacVal,_xlpm.CSVVal&lt;&gt;"",_xlpm.CSVVal
)),"")</f>
        <v/>
      </c>
      <c r="L28" s="46" t="str" cm="1">
        <f t="array" ref="L28">IFERROR(_xlfn.LET(
_xlpm.CSVVal,_xlfn.XLOOKUP($A28,CSV!$A:$A,CSV!Q:Q,""),
_xlpm.MacVal,_xlfn.XLOOKUP($A28,Output_Mac!$A:$A,Output_Mac!M:M,""),
_xlpm.MyAuditVal,_xlfn.XLOOKUP($A28,My_Audit!$A:$A,My_Audit!K:K,""),
_xlfn.IFS(_xlpm.MyAuditVal&lt;&gt;"",UPPER(_xlpm.MyAuditVal),_xlpm.MacVal&lt;&gt;"",_xlpm.MacVal,_xlpm.CSVVal&lt;&gt;"",_xlpm.CSVVal
)),"")</f>
        <v/>
      </c>
      <c r="M28" s="45" t="str">
        <f>_xlfn.LET(
    _xlpm.CSVVal, _xlfn.XLOOKUP($A28, CSV!$A:$A, CSV!AE:AE, ""),
    _xlpm.MacVal, _xlfn.XLOOKUP($A28, Output_Mac!$A:$A, Output_Mac!S:S, ""),
    _xlpm.MyAuditVal, _xlfn.XLOOKUP($A28, My_Audit!$A:$A, My_Audit!N:N, ""),
    _xlfn.TEXTJOIN(", ", TRUE, _xlpm.MyAuditVal, _xlpm.MacVal, _xlpm.CSVVal)
)</f>
        <v/>
      </c>
      <c r="N28" s="45" t="str" cm="1">
        <f t="array" ref="N28">IFERROR(_xlfn.LET(
_xlpm.CSVVal,_xlfn.XLOOKUP($A28,CSV!$A:$A,CSV!AG:AG,""),
_xlpm.MacVal,_xlfn.XLOOKUP($A28,Output_Mac!$A:$A,Output_Mac!U:U,""),
_xlpm.MyAuditVal,_xlfn.XLOOKUP($A28,My_Audit!$A:$A,My_Audit!O:O,""),
_xlfn.IFS(_xlpm.MyAuditVal&lt;&gt;"",UPPER(_xlpm.MyAuditVal),_xlpm.MacVal&lt;&gt;"",_xlpm.MacVal,_xlpm.CSVVal&lt;&gt;"",_xlpm.CSVVal
)),"")</f>
        <v/>
      </c>
      <c r="O28" s="46" t="str">
        <f>_xlfn.XLOOKUP(C28,My_Audit!B:B,My_Audit!P:P,"")&amp;""</f>
        <v/>
      </c>
      <c r="P28" s="45"/>
      <c r="Q28" s="46" t="str">
        <f>IF(LEFT(N28,4)="Pass","Nist SP 800-88",My_Audit!R28)&amp;""</f>
        <v/>
      </c>
      <c r="R28" s="45"/>
      <c r="S28" s="45"/>
      <c r="T28" s="46" t="str">
        <f>_xlfn.XLOOKUP(E28,Models!I:I,Models!J:J,"")</f>
        <v/>
      </c>
      <c r="U28" s="45"/>
      <c r="V28" s="45"/>
      <c r="W28" s="38" t="str">
        <f>_xlfn.LET(
    _xlpm.MacVal, _xlfn.XLOOKUP($A28, Output_Mac!$A:$A, Output_Mac!AB:AB, ""),
    _xlpm.MyAuditVal, _xlfn.XLOOKUP($A28, My_Audit!$A:$A, My_Audit!L:L, ""),
    _xlfn.TEXTJOIN(", ", TRUE, _xlpm.MyAuditVal, _xlpm.MacVal)
)</f>
        <v/>
      </c>
    </row>
    <row r="29" spans="1:23">
      <c r="A29" s="45" t="str">
        <f>_xlfn.TEXTJOIN("",TRUE,Input!$B$2,ROW(My_Audit!A28))</f>
        <v>XX28</v>
      </c>
      <c r="B29" s="45" t="str">
        <f>_xlfn.TEXTJOIN("-",TRUE,"ITD",Input!$A$2,A29)</f>
        <v>ITD-SHRXXX-XX28</v>
      </c>
      <c r="C29" s="45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46" t="str" cm="1">
        <f t="array" ref="D29">IFERROR(_xlfn.LET(
_xlpm.CSVVal,_xlfn.XLOOKUP($A29,CSV!$A:$A,CSV!C:C,""),
_xlpm.MacVal,_xlfn.XLOOKUP($A29,Output_Mac!$A:$A,Output_Mac!D:D,""),
_xlpm.MyAuditVal,_xlfn.XLOOKUP($A29,My_Audit!$A:$A,My_Audit!C:C,""),
_xlfn.IFS(_xlpm.MyAuditVal&lt;&gt;"",UPPER(_xlpm.MyAuditVal),_xlpm.MacVal&lt;&gt;"",_xlpm.MacVal,_xlpm.CSVVal&lt;&gt;"",_xlpm.CSVVal
)),"")</f>
        <v/>
      </c>
      <c r="E29" s="46" t="str" cm="1">
        <f t="array" ref="E29">IFERROR(_xlfn.LET(
_xlpm.CSVVal,_xlfn.XLOOKUP($A29,CSV!$A:$A,CSV!E:E,""),
_xlpm.MacVal,_xlfn.XLOOKUP($A29,Output_Mac!$A:$A,Output_Mac!C:C,""),
_xlpm.MyAuditVal,_xlfn.XLOOKUP($A29,My_Audit!$A:$A,My_Audit!D:D,""),
_xlfn.IFS(_xlpm.MyAuditVal&lt;&gt;"",_xlpm.MyAuditVal,_xlpm.MacVal&lt;&gt;"",_xlpm.MacVal,_xlpm.CSVVal&lt;&gt;"",_xlpm.CSVVal
)),"")</f>
        <v/>
      </c>
      <c r="F29" s="45" t="str" cm="1">
        <f t="array" ref="F29">IFERROR(_xlfn.LET(
_xlpm.CSVVal,_xlfn.XLOOKUP($A29,CSV!$A:$A,CSV!F:F,""),
_xlpm.MacVal,_xlfn.XLOOKUP($A29,Output_Mac!$A:$A,Output_Mac!F:F,""),
_xlpm.MyAuditVal,_xlfn.XLOOKUP($A29,My_Audit!$A:$A,My_Audit!E:E,""),
_xlfn.IFS(_xlpm.MyAuditVal&lt;&gt;"",_xlpm.MyAuditVal,_xlpm.MacVal&lt;&gt;"",_xlpm.MacVal,_xlpm.CSVVal&lt;&gt;"",PROPER(_xlpm.CSVVal)
)),"")</f>
        <v/>
      </c>
      <c r="G29" s="45" t="str" cm="1">
        <f t="array" ref="G29">IFERROR(_xlfn.LET(
_xlpm.CSVVal,_xlfn.XLOOKUP($A29,CSV!$A:$A,CSV!G:G,""),
_xlpm.MacVal,_xlfn.XLOOKUP($A29,Output_Mac!$A:$A,Output_Mac!H:H,""),
_xlpm.MyAuditVal,_xlfn.XLOOKUP($A29,My_Audit!$A:$A,My_Audit!F:F,""),
_xlfn.IFS(_xlpm.MyAuditVal&lt;&gt;"",_xlpm.MyAuditVal,_xlpm.MacVal&lt;&gt;"",_xlpm.MacVal,_xlpm.CSVVal&lt;&gt;"",_xlpm.CSVVal
)),"")</f>
        <v/>
      </c>
      <c r="H29" s="45" t="str">
        <f>_xlfn.XLOOKUP(A29,Output_Mac!A:A,Output_Mac!I:I,"")</f>
        <v/>
      </c>
      <c r="I29" s="45" t="str" cm="1">
        <f t="array" ref="I29">IFERROR(_xlfn.LET(
_xlpm.CSVVal,_xlfn.XLOOKUP($A29,CSV!$A:$A,CSV!H:H,""),
_xlpm.MacVal,_xlfn.XLOOKUP($A29,Output_Mac!$A:$A,Output_Mac!J:J,""),
_xlpm.MyAuditVal,_xlfn.XLOOKUP($A29,My_Audit!$A:$A,My_Audit!H:H,""),
_xlfn.IFS(_xlpm.MyAuditVal&lt;&gt;"",UPPER(_xlpm.MyAuditVal),_xlpm.MacVal&lt;&gt;"",_xlpm.MacVal,_xlpm.CSVVal&lt;&gt;"",_xlpm.CSVVal
)),"")</f>
        <v/>
      </c>
      <c r="J29" s="45" t="str" cm="1">
        <f t="array" ref="J29">IFERROR(_xlfn.LET(
_xlpm.CSVVal,_xlfn.XLOOKUP($A29,CSV!$A:$A,CSV!J:J,""),
_xlpm.MacVal,_xlfn.XLOOKUP($A29,Output_Mac!$A:$A,Output_Mac!K:K,""),
_xlpm.MyAuditVal,_xlfn.XLOOKUP($A29,My_Audit!$A:$A,My_Audit!I:I,""),
_xlfn.IFS(_xlpm.MyAuditVal&lt;&gt;"",UPPER(_xlpm.MyAuditVal),_xlpm.MacVal&lt;&gt;"",_xlpm.MacVal,_xlpm.CSVVal&lt;&gt;"",_xlpm.CSVVal
)),"")</f>
        <v/>
      </c>
      <c r="K29" s="45" t="str" cm="1">
        <f t="array" ref="K29">IFERROR(_xlfn.LET(
_xlpm.CSVVal,_xlfn.XLOOKUP($A29,CSV!$A:$A,CSV!N:N,""),
_xlpm.MacVal,_xlfn.XLOOKUP($A29,Output_Mac!$A:$A,Output_Mac!L:L,""),
_xlpm.MyAuditVal,_xlfn.XLOOKUP($A29,My_Audit!$A:$A,My_Audit!J:J,""),
_xlfn.IFS(_xlpm.MyAuditVal&lt;&gt;"",UPPER(_xlpm.MyAuditVal),_xlpm.MacVal&lt;&gt;"",_xlpm.MacVal,_xlpm.CSVVal&lt;&gt;"",_xlpm.CSVVal
)),"")</f>
        <v/>
      </c>
      <c r="L29" s="46" t="str" cm="1">
        <f t="array" ref="L29">IFERROR(_xlfn.LET(
_xlpm.CSVVal,_xlfn.XLOOKUP($A29,CSV!$A:$A,CSV!Q:Q,""),
_xlpm.MacVal,_xlfn.XLOOKUP($A29,Output_Mac!$A:$A,Output_Mac!M:M,""),
_xlpm.MyAuditVal,_xlfn.XLOOKUP($A29,My_Audit!$A:$A,My_Audit!K:K,""),
_xlfn.IFS(_xlpm.MyAuditVal&lt;&gt;"",UPPER(_xlpm.MyAuditVal),_xlpm.MacVal&lt;&gt;"",_xlpm.MacVal,_xlpm.CSVVal&lt;&gt;"",_xlpm.CSVVal
)),"")</f>
        <v/>
      </c>
      <c r="M29" s="45" t="str">
        <f>_xlfn.LET(
    _xlpm.CSVVal, _xlfn.XLOOKUP($A29, CSV!$A:$A, CSV!AE:AE, ""),
    _xlpm.MacVal, _xlfn.XLOOKUP($A29, Output_Mac!$A:$A, Output_Mac!S:S, ""),
    _xlpm.MyAuditVal, _xlfn.XLOOKUP($A29, My_Audit!$A:$A, My_Audit!N:N, ""),
    _xlfn.TEXTJOIN(", ", TRUE, _xlpm.MyAuditVal, _xlpm.MacVal, _xlpm.CSVVal)
)</f>
        <v/>
      </c>
      <c r="N29" s="45" t="str" cm="1">
        <f t="array" ref="N29">IFERROR(_xlfn.LET(
_xlpm.CSVVal,_xlfn.XLOOKUP($A29,CSV!$A:$A,CSV!AG:AG,""),
_xlpm.MacVal,_xlfn.XLOOKUP($A29,Output_Mac!$A:$A,Output_Mac!U:U,""),
_xlpm.MyAuditVal,_xlfn.XLOOKUP($A29,My_Audit!$A:$A,My_Audit!O:O,""),
_xlfn.IFS(_xlpm.MyAuditVal&lt;&gt;"",UPPER(_xlpm.MyAuditVal),_xlpm.MacVal&lt;&gt;"",_xlpm.MacVal,_xlpm.CSVVal&lt;&gt;"",_xlpm.CSVVal
)),"")</f>
        <v/>
      </c>
      <c r="O29" s="46" t="str">
        <f>_xlfn.XLOOKUP(C29,My_Audit!B:B,My_Audit!P:P,"")&amp;""</f>
        <v/>
      </c>
      <c r="P29" s="45"/>
      <c r="Q29" s="46" t="str">
        <f>IF(LEFT(N29,4)="Pass","Nist SP 800-88",My_Audit!R29)&amp;""</f>
        <v/>
      </c>
      <c r="R29" s="45"/>
      <c r="S29" s="45"/>
      <c r="T29" s="46" t="str">
        <f>_xlfn.XLOOKUP(E29,Models!I:I,Models!J:J,"")</f>
        <v/>
      </c>
      <c r="U29" s="45"/>
      <c r="V29" s="45"/>
      <c r="W29" s="38" t="str">
        <f>_xlfn.LET(
    _xlpm.MacVal, _xlfn.XLOOKUP($A29, Output_Mac!$A:$A, Output_Mac!AB:AB, ""),
    _xlpm.MyAuditVal, _xlfn.XLOOKUP($A29, My_Audit!$A:$A, My_Audit!L:L, ""),
    _xlfn.TEXTJOIN(", ", TRUE, _xlpm.MyAuditVal, _xlpm.MacVal)
)</f>
        <v/>
      </c>
    </row>
    <row r="30" spans="1:23">
      <c r="A30" s="45" t="str">
        <f>_xlfn.TEXTJOIN("",TRUE,Input!$B$2,ROW(My_Audit!A29))</f>
        <v>XX29</v>
      </c>
      <c r="B30" s="45" t="str">
        <f>_xlfn.TEXTJOIN("-",TRUE,"ITD",Input!$A$2,A30)</f>
        <v>ITD-SHRXXX-XX29</v>
      </c>
      <c r="C30" s="45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46" t="str" cm="1">
        <f t="array" ref="D30">IFERROR(_xlfn.LET(
_xlpm.CSVVal,_xlfn.XLOOKUP($A30,CSV!$A:$A,CSV!C:C,""),
_xlpm.MacVal,_xlfn.XLOOKUP($A30,Output_Mac!$A:$A,Output_Mac!D:D,""),
_xlpm.MyAuditVal,_xlfn.XLOOKUP($A30,My_Audit!$A:$A,My_Audit!C:C,""),
_xlfn.IFS(_xlpm.MyAuditVal&lt;&gt;"",UPPER(_xlpm.MyAuditVal),_xlpm.MacVal&lt;&gt;"",_xlpm.MacVal,_xlpm.CSVVal&lt;&gt;"",_xlpm.CSVVal
)),"")</f>
        <v/>
      </c>
      <c r="E30" s="46" t="str" cm="1">
        <f t="array" ref="E30">IFERROR(_xlfn.LET(
_xlpm.CSVVal,_xlfn.XLOOKUP($A30,CSV!$A:$A,CSV!E:E,""),
_xlpm.MacVal,_xlfn.XLOOKUP($A30,Output_Mac!$A:$A,Output_Mac!C:C,""),
_xlpm.MyAuditVal,_xlfn.XLOOKUP($A30,My_Audit!$A:$A,My_Audit!D:D,""),
_xlfn.IFS(_xlpm.MyAuditVal&lt;&gt;"",_xlpm.MyAuditVal,_xlpm.MacVal&lt;&gt;"",_xlpm.MacVal,_xlpm.CSVVal&lt;&gt;"",_xlpm.CSVVal
)),"")</f>
        <v/>
      </c>
      <c r="F30" s="45" t="str" cm="1">
        <f t="array" ref="F30">IFERROR(_xlfn.LET(
_xlpm.CSVVal,_xlfn.XLOOKUP($A30,CSV!$A:$A,CSV!F:F,""),
_xlpm.MacVal,_xlfn.XLOOKUP($A30,Output_Mac!$A:$A,Output_Mac!F:F,""),
_xlpm.MyAuditVal,_xlfn.XLOOKUP($A30,My_Audit!$A:$A,My_Audit!E:E,""),
_xlfn.IFS(_xlpm.MyAuditVal&lt;&gt;"",_xlpm.MyAuditVal,_xlpm.MacVal&lt;&gt;"",_xlpm.MacVal,_xlpm.CSVVal&lt;&gt;"",PROPER(_xlpm.CSVVal)
)),"")</f>
        <v/>
      </c>
      <c r="G30" s="45" t="str" cm="1">
        <f t="array" ref="G30">IFERROR(_xlfn.LET(
_xlpm.CSVVal,_xlfn.XLOOKUP($A30,CSV!$A:$A,CSV!G:G,""),
_xlpm.MacVal,_xlfn.XLOOKUP($A30,Output_Mac!$A:$A,Output_Mac!H:H,""),
_xlpm.MyAuditVal,_xlfn.XLOOKUP($A30,My_Audit!$A:$A,My_Audit!F:F,""),
_xlfn.IFS(_xlpm.MyAuditVal&lt;&gt;"",_xlpm.MyAuditVal,_xlpm.MacVal&lt;&gt;"",_xlpm.MacVal,_xlpm.CSVVal&lt;&gt;"",_xlpm.CSVVal
)),"")</f>
        <v/>
      </c>
      <c r="H30" s="45" t="str">
        <f>_xlfn.XLOOKUP(A30,Output_Mac!A:A,Output_Mac!I:I,"")</f>
        <v/>
      </c>
      <c r="I30" s="45" t="str" cm="1">
        <f t="array" ref="I30">IFERROR(_xlfn.LET(
_xlpm.CSVVal,_xlfn.XLOOKUP($A30,CSV!$A:$A,CSV!H:H,""),
_xlpm.MacVal,_xlfn.XLOOKUP($A30,Output_Mac!$A:$A,Output_Mac!J:J,""),
_xlpm.MyAuditVal,_xlfn.XLOOKUP($A30,My_Audit!$A:$A,My_Audit!H:H,""),
_xlfn.IFS(_xlpm.MyAuditVal&lt;&gt;"",UPPER(_xlpm.MyAuditVal),_xlpm.MacVal&lt;&gt;"",_xlpm.MacVal,_xlpm.CSVVal&lt;&gt;"",_xlpm.CSVVal
)),"")</f>
        <v/>
      </c>
      <c r="J30" s="45" t="str" cm="1">
        <f t="array" ref="J30">IFERROR(_xlfn.LET(
_xlpm.CSVVal,_xlfn.XLOOKUP($A30,CSV!$A:$A,CSV!J:J,""),
_xlpm.MacVal,_xlfn.XLOOKUP($A30,Output_Mac!$A:$A,Output_Mac!K:K,""),
_xlpm.MyAuditVal,_xlfn.XLOOKUP($A30,My_Audit!$A:$A,My_Audit!I:I,""),
_xlfn.IFS(_xlpm.MyAuditVal&lt;&gt;"",UPPER(_xlpm.MyAuditVal),_xlpm.MacVal&lt;&gt;"",_xlpm.MacVal,_xlpm.CSVVal&lt;&gt;"",_xlpm.CSVVal
)),"")</f>
        <v/>
      </c>
      <c r="K30" s="45" t="str" cm="1">
        <f t="array" ref="K30">IFERROR(_xlfn.LET(
_xlpm.CSVVal,_xlfn.XLOOKUP($A30,CSV!$A:$A,CSV!N:N,""),
_xlpm.MacVal,_xlfn.XLOOKUP($A30,Output_Mac!$A:$A,Output_Mac!L:L,""),
_xlpm.MyAuditVal,_xlfn.XLOOKUP($A30,My_Audit!$A:$A,My_Audit!J:J,""),
_xlfn.IFS(_xlpm.MyAuditVal&lt;&gt;"",UPPER(_xlpm.MyAuditVal),_xlpm.MacVal&lt;&gt;"",_xlpm.MacVal,_xlpm.CSVVal&lt;&gt;"",_xlpm.CSVVal
)),"")</f>
        <v/>
      </c>
      <c r="L30" s="46" t="str" cm="1">
        <f t="array" ref="L30">IFERROR(_xlfn.LET(
_xlpm.CSVVal,_xlfn.XLOOKUP($A30,CSV!$A:$A,CSV!Q:Q,""),
_xlpm.MacVal,_xlfn.XLOOKUP($A30,Output_Mac!$A:$A,Output_Mac!M:M,""),
_xlpm.MyAuditVal,_xlfn.XLOOKUP($A30,My_Audit!$A:$A,My_Audit!K:K,""),
_xlfn.IFS(_xlpm.MyAuditVal&lt;&gt;"",UPPER(_xlpm.MyAuditVal),_xlpm.MacVal&lt;&gt;"",_xlpm.MacVal,_xlpm.CSVVal&lt;&gt;"",_xlpm.CSVVal
)),"")</f>
        <v/>
      </c>
      <c r="M30" s="45" t="str">
        <f>_xlfn.LET(
    _xlpm.CSVVal, _xlfn.XLOOKUP($A30, CSV!$A:$A, CSV!AE:AE, ""),
    _xlpm.MacVal, _xlfn.XLOOKUP($A30, Output_Mac!$A:$A, Output_Mac!S:S, ""),
    _xlpm.MyAuditVal, _xlfn.XLOOKUP($A30, My_Audit!$A:$A, My_Audit!N:N, ""),
    _xlfn.TEXTJOIN(", ", TRUE, _xlpm.MyAuditVal, _xlpm.MacVal, _xlpm.CSVVal)
)</f>
        <v/>
      </c>
      <c r="N30" s="45" t="str" cm="1">
        <f t="array" ref="N30">IFERROR(_xlfn.LET(
_xlpm.CSVVal,_xlfn.XLOOKUP($A30,CSV!$A:$A,CSV!AG:AG,""),
_xlpm.MacVal,_xlfn.XLOOKUP($A30,Output_Mac!$A:$A,Output_Mac!U:U,""),
_xlpm.MyAuditVal,_xlfn.XLOOKUP($A30,My_Audit!$A:$A,My_Audit!O:O,""),
_xlfn.IFS(_xlpm.MyAuditVal&lt;&gt;"",UPPER(_xlpm.MyAuditVal),_xlpm.MacVal&lt;&gt;"",_xlpm.MacVal,_xlpm.CSVVal&lt;&gt;"",_xlpm.CSVVal
)),"")</f>
        <v/>
      </c>
      <c r="O30" s="46" t="str">
        <f>_xlfn.XLOOKUP(C30,My_Audit!B:B,My_Audit!P:P,"")&amp;""</f>
        <v/>
      </c>
      <c r="P30" s="45"/>
      <c r="Q30" s="46" t="str">
        <f>IF(LEFT(N30,4)="Pass","Nist SP 800-88",My_Audit!R30)&amp;""</f>
        <v/>
      </c>
      <c r="R30" s="45"/>
      <c r="S30" s="45"/>
      <c r="T30" s="46" t="str">
        <f>_xlfn.XLOOKUP(E30,Models!I:I,Models!J:J,"")</f>
        <v/>
      </c>
      <c r="U30" s="45"/>
      <c r="V30" s="45"/>
      <c r="W30" s="38" t="str">
        <f>_xlfn.LET(
    _xlpm.MacVal, _xlfn.XLOOKUP($A30, Output_Mac!$A:$A, Output_Mac!AB:AB, ""),
    _xlpm.MyAuditVal, _xlfn.XLOOKUP($A30, My_Audit!$A:$A, My_Audit!L:L, ""),
    _xlfn.TEXTJOIN(", ", TRUE, _xlpm.MyAuditVal, _xlpm.MacVal)
)</f>
        <v/>
      </c>
    </row>
    <row r="31" spans="1:23">
      <c r="A31" s="45" t="str">
        <f>_xlfn.TEXTJOIN("",TRUE,Input!$B$2,ROW(My_Audit!A30))</f>
        <v>XX30</v>
      </c>
      <c r="B31" s="45" t="str">
        <f>_xlfn.TEXTJOIN("-",TRUE,"ITD",Input!$A$2,A31)</f>
        <v>ITD-SHRXXX-XX30</v>
      </c>
      <c r="C31" s="45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46" t="str" cm="1">
        <f t="array" ref="D31">IFERROR(_xlfn.LET(
_xlpm.CSVVal,_xlfn.XLOOKUP($A31,CSV!$A:$A,CSV!C:C,""),
_xlpm.MacVal,_xlfn.XLOOKUP($A31,Output_Mac!$A:$A,Output_Mac!D:D,""),
_xlpm.MyAuditVal,_xlfn.XLOOKUP($A31,My_Audit!$A:$A,My_Audit!C:C,""),
_xlfn.IFS(_xlpm.MyAuditVal&lt;&gt;"",UPPER(_xlpm.MyAuditVal),_xlpm.MacVal&lt;&gt;"",_xlpm.MacVal,_xlpm.CSVVal&lt;&gt;"",_xlpm.CSVVal
)),"")</f>
        <v/>
      </c>
      <c r="E31" s="46" t="str" cm="1">
        <f t="array" ref="E31">IFERROR(_xlfn.LET(
_xlpm.CSVVal,_xlfn.XLOOKUP($A31,CSV!$A:$A,CSV!E:E,""),
_xlpm.MacVal,_xlfn.XLOOKUP($A31,Output_Mac!$A:$A,Output_Mac!C:C,""),
_xlpm.MyAuditVal,_xlfn.XLOOKUP($A31,My_Audit!$A:$A,My_Audit!D:D,""),
_xlfn.IFS(_xlpm.MyAuditVal&lt;&gt;"",_xlpm.MyAuditVal,_xlpm.MacVal&lt;&gt;"",_xlpm.MacVal,_xlpm.CSVVal&lt;&gt;"",_xlpm.CSVVal
)),"")</f>
        <v/>
      </c>
      <c r="F31" s="45" t="str" cm="1">
        <f t="array" ref="F31">IFERROR(_xlfn.LET(
_xlpm.CSVVal,_xlfn.XLOOKUP($A31,CSV!$A:$A,CSV!F:F,""),
_xlpm.MacVal,_xlfn.XLOOKUP($A31,Output_Mac!$A:$A,Output_Mac!F:F,""),
_xlpm.MyAuditVal,_xlfn.XLOOKUP($A31,My_Audit!$A:$A,My_Audit!E:E,""),
_xlfn.IFS(_xlpm.MyAuditVal&lt;&gt;"",_xlpm.MyAuditVal,_xlpm.MacVal&lt;&gt;"",_xlpm.MacVal,_xlpm.CSVVal&lt;&gt;"",PROPER(_xlpm.CSVVal)
)),"")</f>
        <v/>
      </c>
      <c r="G31" s="45" t="str" cm="1">
        <f t="array" ref="G31">IFERROR(_xlfn.LET(
_xlpm.CSVVal,_xlfn.XLOOKUP($A31,CSV!$A:$A,CSV!G:G,""),
_xlpm.MacVal,_xlfn.XLOOKUP($A31,Output_Mac!$A:$A,Output_Mac!H:H,""),
_xlpm.MyAuditVal,_xlfn.XLOOKUP($A31,My_Audit!$A:$A,My_Audit!F:F,""),
_xlfn.IFS(_xlpm.MyAuditVal&lt;&gt;"",_xlpm.MyAuditVal,_xlpm.MacVal&lt;&gt;"",_xlpm.MacVal,_xlpm.CSVVal&lt;&gt;"",_xlpm.CSVVal
)),"")</f>
        <v/>
      </c>
      <c r="H31" s="45" t="str">
        <f>_xlfn.XLOOKUP(A31,Output_Mac!A:A,Output_Mac!I:I,"")</f>
        <v/>
      </c>
      <c r="I31" s="45" t="str" cm="1">
        <f t="array" ref="I31">IFERROR(_xlfn.LET(
_xlpm.CSVVal,_xlfn.XLOOKUP($A31,CSV!$A:$A,CSV!H:H,""),
_xlpm.MacVal,_xlfn.XLOOKUP($A31,Output_Mac!$A:$A,Output_Mac!J:J,""),
_xlpm.MyAuditVal,_xlfn.XLOOKUP($A31,My_Audit!$A:$A,My_Audit!H:H,""),
_xlfn.IFS(_xlpm.MyAuditVal&lt;&gt;"",UPPER(_xlpm.MyAuditVal),_xlpm.MacVal&lt;&gt;"",_xlpm.MacVal,_xlpm.CSVVal&lt;&gt;"",_xlpm.CSVVal
)),"")</f>
        <v/>
      </c>
      <c r="J31" s="45" t="str" cm="1">
        <f t="array" ref="J31">IFERROR(_xlfn.LET(
_xlpm.CSVVal,_xlfn.XLOOKUP($A31,CSV!$A:$A,CSV!J:J,""),
_xlpm.MacVal,_xlfn.XLOOKUP($A31,Output_Mac!$A:$A,Output_Mac!K:K,""),
_xlpm.MyAuditVal,_xlfn.XLOOKUP($A31,My_Audit!$A:$A,My_Audit!I:I,""),
_xlfn.IFS(_xlpm.MyAuditVal&lt;&gt;"",UPPER(_xlpm.MyAuditVal),_xlpm.MacVal&lt;&gt;"",_xlpm.MacVal,_xlpm.CSVVal&lt;&gt;"",_xlpm.CSVVal
)),"")</f>
        <v/>
      </c>
      <c r="K31" s="45" t="str" cm="1">
        <f t="array" ref="K31">IFERROR(_xlfn.LET(
_xlpm.CSVVal,_xlfn.XLOOKUP($A31,CSV!$A:$A,CSV!N:N,""),
_xlpm.MacVal,_xlfn.XLOOKUP($A31,Output_Mac!$A:$A,Output_Mac!L:L,""),
_xlpm.MyAuditVal,_xlfn.XLOOKUP($A31,My_Audit!$A:$A,My_Audit!J:J,""),
_xlfn.IFS(_xlpm.MyAuditVal&lt;&gt;"",UPPER(_xlpm.MyAuditVal),_xlpm.MacVal&lt;&gt;"",_xlpm.MacVal,_xlpm.CSVVal&lt;&gt;"",_xlpm.CSVVal
)),"")</f>
        <v/>
      </c>
      <c r="L31" s="46" t="str" cm="1">
        <f t="array" ref="L31">IFERROR(_xlfn.LET(
_xlpm.CSVVal,_xlfn.XLOOKUP($A31,CSV!$A:$A,CSV!Q:Q,""),
_xlpm.MacVal,_xlfn.XLOOKUP($A31,Output_Mac!$A:$A,Output_Mac!M:M,""),
_xlpm.MyAuditVal,_xlfn.XLOOKUP($A31,My_Audit!$A:$A,My_Audit!K:K,""),
_xlfn.IFS(_xlpm.MyAuditVal&lt;&gt;"",UPPER(_xlpm.MyAuditVal),_xlpm.MacVal&lt;&gt;"",_xlpm.MacVal,_xlpm.CSVVal&lt;&gt;"",_xlpm.CSVVal
)),"")</f>
        <v/>
      </c>
      <c r="M31" s="45" t="str">
        <f>_xlfn.LET(
    _xlpm.CSVVal, _xlfn.XLOOKUP($A31, CSV!$A:$A, CSV!AE:AE, ""),
    _xlpm.MacVal, _xlfn.XLOOKUP($A31, Output_Mac!$A:$A, Output_Mac!S:S, ""),
    _xlpm.MyAuditVal, _xlfn.XLOOKUP($A31, My_Audit!$A:$A, My_Audit!N:N, ""),
    _xlfn.TEXTJOIN(", ", TRUE, _xlpm.MyAuditVal, _xlpm.MacVal, _xlpm.CSVVal)
)</f>
        <v/>
      </c>
      <c r="N31" s="45" t="str" cm="1">
        <f t="array" ref="N31">IFERROR(_xlfn.LET(
_xlpm.CSVVal,_xlfn.XLOOKUP($A31,CSV!$A:$A,CSV!AG:AG,""),
_xlpm.MacVal,_xlfn.XLOOKUP($A31,Output_Mac!$A:$A,Output_Mac!U:U,""),
_xlpm.MyAuditVal,_xlfn.XLOOKUP($A31,My_Audit!$A:$A,My_Audit!O:O,""),
_xlfn.IFS(_xlpm.MyAuditVal&lt;&gt;"",UPPER(_xlpm.MyAuditVal),_xlpm.MacVal&lt;&gt;"",_xlpm.MacVal,_xlpm.CSVVal&lt;&gt;"",_xlpm.CSVVal
)),"")</f>
        <v/>
      </c>
      <c r="O31" s="46" t="str">
        <f>_xlfn.XLOOKUP(C31,My_Audit!B:B,My_Audit!P:P,"")&amp;""</f>
        <v/>
      </c>
      <c r="P31" s="45"/>
      <c r="Q31" s="46" t="str">
        <f>IF(LEFT(N31,4)="Pass","Nist SP 800-88",My_Audit!R31)&amp;""</f>
        <v/>
      </c>
      <c r="R31" s="45"/>
      <c r="S31" s="45"/>
      <c r="T31" s="46" t="str">
        <f>_xlfn.XLOOKUP(E31,Models!I:I,Models!J:J,"")</f>
        <v/>
      </c>
      <c r="U31" s="45"/>
      <c r="V31" s="45"/>
      <c r="W31" s="38" t="str">
        <f>_xlfn.LET(
    _xlpm.MacVal, _xlfn.XLOOKUP($A31, Output_Mac!$A:$A, Output_Mac!AB:AB, ""),
    _xlpm.MyAuditVal, _xlfn.XLOOKUP($A31, My_Audit!$A:$A, My_Audit!L:L, ""),
    _xlfn.TEXTJOIN(", ", TRUE, _xlpm.MyAuditVal, _xlpm.MacVal)
)</f>
        <v/>
      </c>
    </row>
    <row r="32" spans="1:23">
      <c r="A32" s="45" t="str">
        <f>_xlfn.TEXTJOIN("",TRUE,Input!$B$2,ROW(My_Audit!A31))</f>
        <v>XX31</v>
      </c>
      <c r="B32" s="45" t="str">
        <f>_xlfn.TEXTJOIN("-",TRUE,"ITD",Input!$A$2,A32)</f>
        <v>ITD-SHRXXX-XX31</v>
      </c>
      <c r="C32" s="45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46" t="str" cm="1">
        <f t="array" ref="D32">IFERROR(_xlfn.LET(
_xlpm.CSVVal,_xlfn.XLOOKUP($A32,CSV!$A:$A,CSV!C:C,""),
_xlpm.MacVal,_xlfn.XLOOKUP($A32,Output_Mac!$A:$A,Output_Mac!D:D,""),
_xlpm.MyAuditVal,_xlfn.XLOOKUP($A32,My_Audit!$A:$A,My_Audit!C:C,""),
_xlfn.IFS(_xlpm.MyAuditVal&lt;&gt;"",UPPER(_xlpm.MyAuditVal),_xlpm.MacVal&lt;&gt;"",_xlpm.MacVal,_xlpm.CSVVal&lt;&gt;"",_xlpm.CSVVal
)),"")</f>
        <v/>
      </c>
      <c r="E32" s="46" t="str" cm="1">
        <f t="array" ref="E32">IFERROR(_xlfn.LET(
_xlpm.CSVVal,_xlfn.XLOOKUP($A32,CSV!$A:$A,CSV!E:E,""),
_xlpm.MacVal,_xlfn.XLOOKUP($A32,Output_Mac!$A:$A,Output_Mac!C:C,""),
_xlpm.MyAuditVal,_xlfn.XLOOKUP($A32,My_Audit!$A:$A,My_Audit!D:D,""),
_xlfn.IFS(_xlpm.MyAuditVal&lt;&gt;"",_xlpm.MyAuditVal,_xlpm.MacVal&lt;&gt;"",_xlpm.MacVal,_xlpm.CSVVal&lt;&gt;"",_xlpm.CSVVal
)),"")</f>
        <v/>
      </c>
      <c r="F32" s="45" t="str" cm="1">
        <f t="array" ref="F32">IFERROR(_xlfn.LET(
_xlpm.CSVVal,_xlfn.XLOOKUP($A32,CSV!$A:$A,CSV!F:F,""),
_xlpm.MacVal,_xlfn.XLOOKUP($A32,Output_Mac!$A:$A,Output_Mac!F:F,""),
_xlpm.MyAuditVal,_xlfn.XLOOKUP($A32,My_Audit!$A:$A,My_Audit!E:E,""),
_xlfn.IFS(_xlpm.MyAuditVal&lt;&gt;"",_xlpm.MyAuditVal,_xlpm.MacVal&lt;&gt;"",_xlpm.MacVal,_xlpm.CSVVal&lt;&gt;"",PROPER(_xlpm.CSVVal)
)),"")</f>
        <v/>
      </c>
      <c r="G32" s="45" t="str" cm="1">
        <f t="array" ref="G32">IFERROR(_xlfn.LET(
_xlpm.CSVVal,_xlfn.XLOOKUP($A32,CSV!$A:$A,CSV!G:G,""),
_xlpm.MacVal,_xlfn.XLOOKUP($A32,Output_Mac!$A:$A,Output_Mac!H:H,""),
_xlpm.MyAuditVal,_xlfn.XLOOKUP($A32,My_Audit!$A:$A,My_Audit!F:F,""),
_xlfn.IFS(_xlpm.MyAuditVal&lt;&gt;"",_xlpm.MyAuditVal,_xlpm.MacVal&lt;&gt;"",_xlpm.MacVal,_xlpm.CSVVal&lt;&gt;"",_xlpm.CSVVal
)),"")</f>
        <v/>
      </c>
      <c r="H32" s="45" t="str">
        <f>_xlfn.XLOOKUP(A32,Output_Mac!A:A,Output_Mac!I:I,"")</f>
        <v/>
      </c>
      <c r="I32" s="45" t="str" cm="1">
        <f t="array" ref="I32">IFERROR(_xlfn.LET(
_xlpm.CSVVal,_xlfn.XLOOKUP($A32,CSV!$A:$A,CSV!H:H,""),
_xlpm.MacVal,_xlfn.XLOOKUP($A32,Output_Mac!$A:$A,Output_Mac!J:J,""),
_xlpm.MyAuditVal,_xlfn.XLOOKUP($A32,My_Audit!$A:$A,My_Audit!H:H,""),
_xlfn.IFS(_xlpm.MyAuditVal&lt;&gt;"",UPPER(_xlpm.MyAuditVal),_xlpm.MacVal&lt;&gt;"",_xlpm.MacVal,_xlpm.CSVVal&lt;&gt;"",_xlpm.CSVVal
)),"")</f>
        <v/>
      </c>
      <c r="J32" s="45" t="str" cm="1">
        <f t="array" ref="J32">IFERROR(_xlfn.LET(
_xlpm.CSVVal,_xlfn.XLOOKUP($A32,CSV!$A:$A,CSV!J:J,""),
_xlpm.MacVal,_xlfn.XLOOKUP($A32,Output_Mac!$A:$A,Output_Mac!K:K,""),
_xlpm.MyAuditVal,_xlfn.XLOOKUP($A32,My_Audit!$A:$A,My_Audit!I:I,""),
_xlfn.IFS(_xlpm.MyAuditVal&lt;&gt;"",UPPER(_xlpm.MyAuditVal),_xlpm.MacVal&lt;&gt;"",_xlpm.MacVal,_xlpm.CSVVal&lt;&gt;"",_xlpm.CSVVal
)),"")</f>
        <v/>
      </c>
      <c r="K32" s="45" t="str" cm="1">
        <f t="array" ref="K32">IFERROR(_xlfn.LET(
_xlpm.CSVVal,_xlfn.XLOOKUP($A32,CSV!$A:$A,CSV!N:N,""),
_xlpm.MacVal,_xlfn.XLOOKUP($A32,Output_Mac!$A:$A,Output_Mac!L:L,""),
_xlpm.MyAuditVal,_xlfn.XLOOKUP($A32,My_Audit!$A:$A,My_Audit!J:J,""),
_xlfn.IFS(_xlpm.MyAuditVal&lt;&gt;"",UPPER(_xlpm.MyAuditVal),_xlpm.MacVal&lt;&gt;"",_xlpm.MacVal,_xlpm.CSVVal&lt;&gt;"",_xlpm.CSVVal
)),"")</f>
        <v/>
      </c>
      <c r="L32" s="46" t="str" cm="1">
        <f t="array" ref="L32">IFERROR(_xlfn.LET(
_xlpm.CSVVal,_xlfn.XLOOKUP($A32,CSV!$A:$A,CSV!Q:Q,""),
_xlpm.MacVal,_xlfn.XLOOKUP($A32,Output_Mac!$A:$A,Output_Mac!M:M,""),
_xlpm.MyAuditVal,_xlfn.XLOOKUP($A32,My_Audit!$A:$A,My_Audit!K:K,""),
_xlfn.IFS(_xlpm.MyAuditVal&lt;&gt;"",UPPER(_xlpm.MyAuditVal),_xlpm.MacVal&lt;&gt;"",_xlpm.MacVal,_xlpm.CSVVal&lt;&gt;"",_xlpm.CSVVal
)),"")</f>
        <v/>
      </c>
      <c r="M32" s="45" t="str">
        <f>_xlfn.LET(
    _xlpm.CSVVal, _xlfn.XLOOKUP($A32, CSV!$A:$A, CSV!AE:AE, ""),
    _xlpm.MacVal, _xlfn.XLOOKUP($A32, Output_Mac!$A:$A, Output_Mac!S:S, ""),
    _xlpm.MyAuditVal, _xlfn.XLOOKUP($A32, My_Audit!$A:$A, My_Audit!N:N, ""),
    _xlfn.TEXTJOIN(", ", TRUE, _xlpm.MyAuditVal, _xlpm.MacVal, _xlpm.CSVVal)
)</f>
        <v/>
      </c>
      <c r="N32" s="45" t="str" cm="1">
        <f t="array" ref="N32">IFERROR(_xlfn.LET(
_xlpm.CSVVal,_xlfn.XLOOKUP($A32,CSV!$A:$A,CSV!AG:AG,""),
_xlpm.MacVal,_xlfn.XLOOKUP($A32,Output_Mac!$A:$A,Output_Mac!U:U,""),
_xlpm.MyAuditVal,_xlfn.XLOOKUP($A32,My_Audit!$A:$A,My_Audit!O:O,""),
_xlfn.IFS(_xlpm.MyAuditVal&lt;&gt;"",UPPER(_xlpm.MyAuditVal),_xlpm.MacVal&lt;&gt;"",_xlpm.MacVal,_xlpm.CSVVal&lt;&gt;"",_xlpm.CSVVal
)),"")</f>
        <v/>
      </c>
      <c r="O32" s="46" t="str">
        <f>_xlfn.XLOOKUP(C32,My_Audit!B:B,My_Audit!P:P,"")&amp;""</f>
        <v/>
      </c>
      <c r="P32" s="45"/>
      <c r="Q32" s="46" t="str">
        <f>IF(LEFT(N32,4)="Pass","Nist SP 800-88",My_Audit!R32)&amp;""</f>
        <v/>
      </c>
      <c r="R32" s="45"/>
      <c r="S32" s="45"/>
      <c r="T32" s="46" t="str">
        <f>_xlfn.XLOOKUP(E32,Models!I:I,Models!J:J,"")</f>
        <v/>
      </c>
      <c r="U32" s="45"/>
      <c r="V32" s="45"/>
      <c r="W32" s="38" t="str">
        <f>_xlfn.LET(
    _xlpm.MacVal, _xlfn.XLOOKUP($A32, Output_Mac!$A:$A, Output_Mac!AB:AB, ""),
    _xlpm.MyAuditVal, _xlfn.XLOOKUP($A32, My_Audit!$A:$A, My_Audit!L:L, ""),
    _xlfn.TEXTJOIN(", ", TRUE, _xlpm.MyAuditVal, _xlpm.MacVal)
)</f>
        <v/>
      </c>
    </row>
    <row r="33" spans="1:23">
      <c r="A33" s="45" t="str">
        <f>_xlfn.TEXTJOIN("",TRUE,Input!$B$2,ROW(My_Audit!A32))</f>
        <v>XX32</v>
      </c>
      <c r="B33" s="45" t="str">
        <f>_xlfn.TEXTJOIN("-",TRUE,"ITD",Input!$A$2,A33)</f>
        <v>ITD-SHRXXX-XX32</v>
      </c>
      <c r="C33" s="45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46" t="str" cm="1">
        <f t="array" ref="D33">IFERROR(_xlfn.LET(
_xlpm.CSVVal,_xlfn.XLOOKUP($A33,CSV!$A:$A,CSV!C:C,""),
_xlpm.MacVal,_xlfn.XLOOKUP($A33,Output_Mac!$A:$A,Output_Mac!D:D,""),
_xlpm.MyAuditVal,_xlfn.XLOOKUP($A33,My_Audit!$A:$A,My_Audit!C:C,""),
_xlfn.IFS(_xlpm.MyAuditVal&lt;&gt;"",UPPER(_xlpm.MyAuditVal),_xlpm.MacVal&lt;&gt;"",_xlpm.MacVal,_xlpm.CSVVal&lt;&gt;"",_xlpm.CSVVal
)),"")</f>
        <v/>
      </c>
      <c r="E33" s="46" t="str" cm="1">
        <f t="array" ref="E33">IFERROR(_xlfn.LET(
_xlpm.CSVVal,_xlfn.XLOOKUP($A33,CSV!$A:$A,CSV!E:E,""),
_xlpm.MacVal,_xlfn.XLOOKUP($A33,Output_Mac!$A:$A,Output_Mac!C:C,""),
_xlpm.MyAuditVal,_xlfn.XLOOKUP($A33,My_Audit!$A:$A,My_Audit!D:D,""),
_xlfn.IFS(_xlpm.MyAuditVal&lt;&gt;"",_xlpm.MyAuditVal,_xlpm.MacVal&lt;&gt;"",_xlpm.MacVal,_xlpm.CSVVal&lt;&gt;"",_xlpm.CSVVal
)),"")</f>
        <v/>
      </c>
      <c r="F33" s="45" t="str" cm="1">
        <f t="array" ref="F33">IFERROR(_xlfn.LET(
_xlpm.CSVVal,_xlfn.XLOOKUP($A33,CSV!$A:$A,CSV!F:F,""),
_xlpm.MacVal,_xlfn.XLOOKUP($A33,Output_Mac!$A:$A,Output_Mac!F:F,""),
_xlpm.MyAuditVal,_xlfn.XLOOKUP($A33,My_Audit!$A:$A,My_Audit!E:E,""),
_xlfn.IFS(_xlpm.MyAuditVal&lt;&gt;"",_xlpm.MyAuditVal,_xlpm.MacVal&lt;&gt;"",_xlpm.MacVal,_xlpm.CSVVal&lt;&gt;"",PROPER(_xlpm.CSVVal)
)),"")</f>
        <v/>
      </c>
      <c r="G33" s="45" t="str" cm="1">
        <f t="array" ref="G33">IFERROR(_xlfn.LET(
_xlpm.CSVVal,_xlfn.XLOOKUP($A33,CSV!$A:$A,CSV!G:G,""),
_xlpm.MacVal,_xlfn.XLOOKUP($A33,Output_Mac!$A:$A,Output_Mac!H:H,""),
_xlpm.MyAuditVal,_xlfn.XLOOKUP($A33,My_Audit!$A:$A,My_Audit!F:F,""),
_xlfn.IFS(_xlpm.MyAuditVal&lt;&gt;"",_xlpm.MyAuditVal,_xlpm.MacVal&lt;&gt;"",_xlpm.MacVal,_xlpm.CSVVal&lt;&gt;"",_xlpm.CSVVal
)),"")</f>
        <v/>
      </c>
      <c r="H33" s="45" t="str">
        <f>_xlfn.XLOOKUP(A33,Output_Mac!A:A,Output_Mac!I:I,"")</f>
        <v/>
      </c>
      <c r="I33" s="45" t="str" cm="1">
        <f t="array" ref="I33">IFERROR(_xlfn.LET(
_xlpm.CSVVal,_xlfn.XLOOKUP($A33,CSV!$A:$A,CSV!H:H,""),
_xlpm.MacVal,_xlfn.XLOOKUP($A33,Output_Mac!$A:$A,Output_Mac!J:J,""),
_xlpm.MyAuditVal,_xlfn.XLOOKUP($A33,My_Audit!$A:$A,My_Audit!H:H,""),
_xlfn.IFS(_xlpm.MyAuditVal&lt;&gt;"",UPPER(_xlpm.MyAuditVal),_xlpm.MacVal&lt;&gt;"",_xlpm.MacVal,_xlpm.CSVVal&lt;&gt;"",_xlpm.CSVVal
)),"")</f>
        <v/>
      </c>
      <c r="J33" s="45" t="str" cm="1">
        <f t="array" ref="J33">IFERROR(_xlfn.LET(
_xlpm.CSVVal,_xlfn.XLOOKUP($A33,CSV!$A:$A,CSV!J:J,""),
_xlpm.MacVal,_xlfn.XLOOKUP($A33,Output_Mac!$A:$A,Output_Mac!K:K,""),
_xlpm.MyAuditVal,_xlfn.XLOOKUP($A33,My_Audit!$A:$A,My_Audit!I:I,""),
_xlfn.IFS(_xlpm.MyAuditVal&lt;&gt;"",UPPER(_xlpm.MyAuditVal),_xlpm.MacVal&lt;&gt;"",_xlpm.MacVal,_xlpm.CSVVal&lt;&gt;"",_xlpm.CSVVal
)),"")</f>
        <v/>
      </c>
      <c r="K33" s="45" t="str" cm="1">
        <f t="array" ref="K33">IFERROR(_xlfn.LET(
_xlpm.CSVVal,_xlfn.XLOOKUP($A33,CSV!$A:$A,CSV!N:N,""),
_xlpm.MacVal,_xlfn.XLOOKUP($A33,Output_Mac!$A:$A,Output_Mac!L:L,""),
_xlpm.MyAuditVal,_xlfn.XLOOKUP($A33,My_Audit!$A:$A,My_Audit!J:J,""),
_xlfn.IFS(_xlpm.MyAuditVal&lt;&gt;"",UPPER(_xlpm.MyAuditVal),_xlpm.MacVal&lt;&gt;"",_xlpm.MacVal,_xlpm.CSVVal&lt;&gt;"",_xlpm.CSVVal
)),"")</f>
        <v/>
      </c>
      <c r="L33" s="46" t="str" cm="1">
        <f t="array" ref="L33">IFERROR(_xlfn.LET(
_xlpm.CSVVal,_xlfn.XLOOKUP($A33,CSV!$A:$A,CSV!Q:Q,""),
_xlpm.MacVal,_xlfn.XLOOKUP($A33,Output_Mac!$A:$A,Output_Mac!M:M,""),
_xlpm.MyAuditVal,_xlfn.XLOOKUP($A33,My_Audit!$A:$A,My_Audit!K:K,""),
_xlfn.IFS(_xlpm.MyAuditVal&lt;&gt;"",UPPER(_xlpm.MyAuditVal),_xlpm.MacVal&lt;&gt;"",_xlpm.MacVal,_xlpm.CSVVal&lt;&gt;"",_xlpm.CSVVal
)),"")</f>
        <v/>
      </c>
      <c r="M33" s="45" t="str">
        <f>_xlfn.LET(
    _xlpm.CSVVal, _xlfn.XLOOKUP($A33, CSV!$A:$A, CSV!AE:AE, ""),
    _xlpm.MacVal, _xlfn.XLOOKUP($A33, Output_Mac!$A:$A, Output_Mac!S:S, ""),
    _xlpm.MyAuditVal, _xlfn.XLOOKUP($A33, My_Audit!$A:$A, My_Audit!N:N, ""),
    _xlfn.TEXTJOIN(", ", TRUE, _xlpm.MyAuditVal, _xlpm.MacVal, _xlpm.CSVVal)
)</f>
        <v/>
      </c>
      <c r="N33" s="45" t="str" cm="1">
        <f t="array" ref="N33">IFERROR(_xlfn.LET(
_xlpm.CSVVal,_xlfn.XLOOKUP($A33,CSV!$A:$A,CSV!AG:AG,""),
_xlpm.MacVal,_xlfn.XLOOKUP($A33,Output_Mac!$A:$A,Output_Mac!U:U,""),
_xlpm.MyAuditVal,_xlfn.XLOOKUP($A33,My_Audit!$A:$A,My_Audit!O:O,""),
_xlfn.IFS(_xlpm.MyAuditVal&lt;&gt;"",UPPER(_xlpm.MyAuditVal),_xlpm.MacVal&lt;&gt;"",_xlpm.MacVal,_xlpm.CSVVal&lt;&gt;"",_xlpm.CSVVal
)),"")</f>
        <v/>
      </c>
      <c r="O33" s="46" t="str">
        <f>_xlfn.XLOOKUP(C33,My_Audit!B:B,My_Audit!P:P,"")&amp;""</f>
        <v/>
      </c>
      <c r="P33" s="45"/>
      <c r="Q33" s="46" t="str">
        <f>IF(LEFT(N33,4)="Pass","Nist SP 800-88",My_Audit!R33)&amp;""</f>
        <v/>
      </c>
      <c r="R33" s="45"/>
      <c r="S33" s="45"/>
      <c r="T33" s="46" t="str">
        <f>_xlfn.XLOOKUP(E33,Models!I:I,Models!J:J,"")</f>
        <v/>
      </c>
      <c r="U33" s="45"/>
      <c r="V33" s="45"/>
      <c r="W33" s="38" t="str">
        <f>_xlfn.LET(
    _xlpm.MacVal, _xlfn.XLOOKUP($A33, Output_Mac!$A:$A, Output_Mac!AB:AB, ""),
    _xlpm.MyAuditVal, _xlfn.XLOOKUP($A33, My_Audit!$A:$A, My_Audit!L:L, ""),
    _xlfn.TEXTJOIN(", ", TRUE, _xlpm.MyAuditVal, _xlpm.MacVal)
)</f>
        <v/>
      </c>
    </row>
    <row r="34" spans="1:23">
      <c r="A34" s="45" t="str">
        <f>_xlfn.TEXTJOIN("",TRUE,Input!$B$2,ROW(My_Audit!A33))</f>
        <v>XX33</v>
      </c>
      <c r="B34" s="45" t="str">
        <f>_xlfn.TEXTJOIN("-",TRUE,"ITD",Input!$A$2,A34)</f>
        <v>ITD-SHRXXX-XX33</v>
      </c>
      <c r="C34" s="45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46" t="str" cm="1">
        <f t="array" ref="D34">IFERROR(_xlfn.LET(
_xlpm.CSVVal,_xlfn.XLOOKUP($A34,CSV!$A:$A,CSV!C:C,""),
_xlpm.MacVal,_xlfn.XLOOKUP($A34,Output_Mac!$A:$A,Output_Mac!D:D,""),
_xlpm.MyAuditVal,_xlfn.XLOOKUP($A34,My_Audit!$A:$A,My_Audit!C:C,""),
_xlfn.IFS(_xlpm.MyAuditVal&lt;&gt;"",UPPER(_xlpm.MyAuditVal),_xlpm.MacVal&lt;&gt;"",_xlpm.MacVal,_xlpm.CSVVal&lt;&gt;"",_xlpm.CSVVal
)),"")</f>
        <v/>
      </c>
      <c r="E34" s="46" t="str" cm="1">
        <f t="array" ref="E34">IFERROR(_xlfn.LET(
_xlpm.CSVVal,_xlfn.XLOOKUP($A34,CSV!$A:$A,CSV!E:E,""),
_xlpm.MacVal,_xlfn.XLOOKUP($A34,Output_Mac!$A:$A,Output_Mac!C:C,""),
_xlpm.MyAuditVal,_xlfn.XLOOKUP($A34,My_Audit!$A:$A,My_Audit!D:D,""),
_xlfn.IFS(_xlpm.MyAuditVal&lt;&gt;"",_xlpm.MyAuditVal,_xlpm.MacVal&lt;&gt;"",_xlpm.MacVal,_xlpm.CSVVal&lt;&gt;"",_xlpm.CSVVal
)),"")</f>
        <v/>
      </c>
      <c r="F34" s="45" t="str" cm="1">
        <f t="array" ref="F34">IFERROR(_xlfn.LET(
_xlpm.CSVVal,_xlfn.XLOOKUP($A34,CSV!$A:$A,CSV!F:F,""),
_xlpm.MacVal,_xlfn.XLOOKUP($A34,Output_Mac!$A:$A,Output_Mac!F:F,""),
_xlpm.MyAuditVal,_xlfn.XLOOKUP($A34,My_Audit!$A:$A,My_Audit!E:E,""),
_xlfn.IFS(_xlpm.MyAuditVal&lt;&gt;"",_xlpm.MyAuditVal,_xlpm.MacVal&lt;&gt;"",_xlpm.MacVal,_xlpm.CSVVal&lt;&gt;"",PROPER(_xlpm.CSVVal)
)),"")</f>
        <v/>
      </c>
      <c r="G34" s="45" t="str" cm="1">
        <f t="array" ref="G34">IFERROR(_xlfn.LET(
_xlpm.CSVVal,_xlfn.XLOOKUP($A34,CSV!$A:$A,CSV!G:G,""),
_xlpm.MacVal,_xlfn.XLOOKUP($A34,Output_Mac!$A:$A,Output_Mac!H:H,""),
_xlpm.MyAuditVal,_xlfn.XLOOKUP($A34,My_Audit!$A:$A,My_Audit!F:F,""),
_xlfn.IFS(_xlpm.MyAuditVal&lt;&gt;"",_xlpm.MyAuditVal,_xlpm.MacVal&lt;&gt;"",_xlpm.MacVal,_xlpm.CSVVal&lt;&gt;"",_xlpm.CSVVal
)),"")</f>
        <v/>
      </c>
      <c r="H34" s="45" t="str">
        <f>_xlfn.XLOOKUP(A34,Output_Mac!A:A,Output_Mac!I:I,"")</f>
        <v/>
      </c>
      <c r="I34" s="45" t="str" cm="1">
        <f t="array" ref="I34">IFERROR(_xlfn.LET(
_xlpm.CSVVal,_xlfn.XLOOKUP($A34,CSV!$A:$A,CSV!H:H,""),
_xlpm.MacVal,_xlfn.XLOOKUP($A34,Output_Mac!$A:$A,Output_Mac!J:J,""),
_xlpm.MyAuditVal,_xlfn.XLOOKUP($A34,My_Audit!$A:$A,My_Audit!H:H,""),
_xlfn.IFS(_xlpm.MyAuditVal&lt;&gt;"",UPPER(_xlpm.MyAuditVal),_xlpm.MacVal&lt;&gt;"",_xlpm.MacVal,_xlpm.CSVVal&lt;&gt;"",_xlpm.CSVVal
)),"")</f>
        <v/>
      </c>
      <c r="J34" s="45" t="str" cm="1">
        <f t="array" ref="J34">IFERROR(_xlfn.LET(
_xlpm.CSVVal,_xlfn.XLOOKUP($A34,CSV!$A:$A,CSV!J:J,""),
_xlpm.MacVal,_xlfn.XLOOKUP($A34,Output_Mac!$A:$A,Output_Mac!K:K,""),
_xlpm.MyAuditVal,_xlfn.XLOOKUP($A34,My_Audit!$A:$A,My_Audit!I:I,""),
_xlfn.IFS(_xlpm.MyAuditVal&lt;&gt;"",UPPER(_xlpm.MyAuditVal),_xlpm.MacVal&lt;&gt;"",_xlpm.MacVal,_xlpm.CSVVal&lt;&gt;"",_xlpm.CSVVal
)),"")</f>
        <v/>
      </c>
      <c r="K34" s="45" t="str" cm="1">
        <f t="array" ref="K34">IFERROR(_xlfn.LET(
_xlpm.CSVVal,_xlfn.XLOOKUP($A34,CSV!$A:$A,CSV!N:N,""),
_xlpm.MacVal,_xlfn.XLOOKUP($A34,Output_Mac!$A:$A,Output_Mac!L:L,""),
_xlpm.MyAuditVal,_xlfn.XLOOKUP($A34,My_Audit!$A:$A,My_Audit!J:J,""),
_xlfn.IFS(_xlpm.MyAuditVal&lt;&gt;"",UPPER(_xlpm.MyAuditVal),_xlpm.MacVal&lt;&gt;"",_xlpm.MacVal,_xlpm.CSVVal&lt;&gt;"",_xlpm.CSVVal
)),"")</f>
        <v/>
      </c>
      <c r="L34" s="46" t="str" cm="1">
        <f t="array" ref="L34">IFERROR(_xlfn.LET(
_xlpm.CSVVal,_xlfn.XLOOKUP($A34,CSV!$A:$A,CSV!Q:Q,""),
_xlpm.MacVal,_xlfn.XLOOKUP($A34,Output_Mac!$A:$A,Output_Mac!M:M,""),
_xlpm.MyAuditVal,_xlfn.XLOOKUP($A34,My_Audit!$A:$A,My_Audit!K:K,""),
_xlfn.IFS(_xlpm.MyAuditVal&lt;&gt;"",UPPER(_xlpm.MyAuditVal),_xlpm.MacVal&lt;&gt;"",_xlpm.MacVal,_xlpm.CSVVal&lt;&gt;"",_xlpm.CSVVal
)),"")</f>
        <v/>
      </c>
      <c r="M34" s="45" t="str">
        <f>_xlfn.LET(
    _xlpm.CSVVal, _xlfn.XLOOKUP($A34, CSV!$A:$A, CSV!AE:AE, ""),
    _xlpm.MacVal, _xlfn.XLOOKUP($A34, Output_Mac!$A:$A, Output_Mac!S:S, ""),
    _xlpm.MyAuditVal, _xlfn.XLOOKUP($A34, My_Audit!$A:$A, My_Audit!N:N, ""),
    _xlfn.TEXTJOIN(", ", TRUE, _xlpm.MyAuditVal, _xlpm.MacVal, _xlpm.CSVVal)
)</f>
        <v/>
      </c>
      <c r="N34" s="45" t="str" cm="1">
        <f t="array" ref="N34">IFERROR(_xlfn.LET(
_xlpm.CSVVal,_xlfn.XLOOKUP($A34,CSV!$A:$A,CSV!AG:AG,""),
_xlpm.MacVal,_xlfn.XLOOKUP($A34,Output_Mac!$A:$A,Output_Mac!U:U,""),
_xlpm.MyAuditVal,_xlfn.XLOOKUP($A34,My_Audit!$A:$A,My_Audit!O:O,""),
_xlfn.IFS(_xlpm.MyAuditVal&lt;&gt;"",UPPER(_xlpm.MyAuditVal),_xlpm.MacVal&lt;&gt;"",_xlpm.MacVal,_xlpm.CSVVal&lt;&gt;"",_xlpm.CSVVal
)),"")</f>
        <v/>
      </c>
      <c r="O34" s="46" t="str">
        <f>_xlfn.XLOOKUP(C34,My_Audit!B:B,My_Audit!P:P,"")&amp;""</f>
        <v/>
      </c>
      <c r="P34" s="45"/>
      <c r="Q34" s="46" t="str">
        <f>IF(LEFT(N34,4)="Pass","Nist SP 800-88",My_Audit!R34)&amp;""</f>
        <v/>
      </c>
      <c r="R34" s="45"/>
      <c r="S34" s="45"/>
      <c r="T34" s="46" t="str">
        <f>_xlfn.XLOOKUP(E34,Models!I:I,Models!J:J,"")</f>
        <v/>
      </c>
      <c r="U34" s="45"/>
      <c r="V34" s="45"/>
      <c r="W34" s="38" t="str">
        <f>_xlfn.LET(
    _xlpm.MacVal, _xlfn.XLOOKUP($A34, Output_Mac!$A:$A, Output_Mac!AB:AB, ""),
    _xlpm.MyAuditVal, _xlfn.XLOOKUP($A34, My_Audit!$A:$A, My_Audit!L:L, ""),
    _xlfn.TEXTJOIN(", ", TRUE, _xlpm.MyAuditVal, _xlpm.MacVal)
)</f>
        <v/>
      </c>
    </row>
    <row r="35" spans="1:23">
      <c r="A35" s="45" t="str">
        <f>_xlfn.TEXTJOIN("",TRUE,Input!$B$2,ROW(My_Audit!A34))</f>
        <v>XX34</v>
      </c>
      <c r="B35" s="45" t="str">
        <f>_xlfn.TEXTJOIN("-",TRUE,"ITD",Input!$A$2,A35)</f>
        <v>ITD-SHRXXX-XX34</v>
      </c>
      <c r="C35" s="45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46" t="str" cm="1">
        <f t="array" ref="D35">IFERROR(_xlfn.LET(
_xlpm.CSVVal,_xlfn.XLOOKUP($A35,CSV!$A:$A,CSV!C:C,""),
_xlpm.MacVal,_xlfn.XLOOKUP($A35,Output_Mac!$A:$A,Output_Mac!D:D,""),
_xlpm.MyAuditVal,_xlfn.XLOOKUP($A35,My_Audit!$A:$A,My_Audit!C:C,""),
_xlfn.IFS(_xlpm.MyAuditVal&lt;&gt;"",UPPER(_xlpm.MyAuditVal),_xlpm.MacVal&lt;&gt;"",_xlpm.MacVal,_xlpm.CSVVal&lt;&gt;"",_xlpm.CSVVal
)),"")</f>
        <v/>
      </c>
      <c r="E35" s="46" t="str" cm="1">
        <f t="array" ref="E35">IFERROR(_xlfn.LET(
_xlpm.CSVVal,_xlfn.XLOOKUP($A35,CSV!$A:$A,CSV!E:E,""),
_xlpm.MacVal,_xlfn.XLOOKUP($A35,Output_Mac!$A:$A,Output_Mac!C:C,""),
_xlpm.MyAuditVal,_xlfn.XLOOKUP($A35,My_Audit!$A:$A,My_Audit!D:D,""),
_xlfn.IFS(_xlpm.MyAuditVal&lt;&gt;"",_xlpm.MyAuditVal,_xlpm.MacVal&lt;&gt;"",_xlpm.MacVal,_xlpm.CSVVal&lt;&gt;"",_xlpm.CSVVal
)),"")</f>
        <v/>
      </c>
      <c r="F35" s="45" t="str" cm="1">
        <f t="array" ref="F35">IFERROR(_xlfn.LET(
_xlpm.CSVVal,_xlfn.XLOOKUP($A35,CSV!$A:$A,CSV!F:F,""),
_xlpm.MacVal,_xlfn.XLOOKUP($A35,Output_Mac!$A:$A,Output_Mac!F:F,""),
_xlpm.MyAuditVal,_xlfn.XLOOKUP($A35,My_Audit!$A:$A,My_Audit!E:E,""),
_xlfn.IFS(_xlpm.MyAuditVal&lt;&gt;"",_xlpm.MyAuditVal,_xlpm.MacVal&lt;&gt;"",_xlpm.MacVal,_xlpm.CSVVal&lt;&gt;"",PROPER(_xlpm.CSVVal)
)),"")</f>
        <v/>
      </c>
      <c r="G35" s="45" t="str" cm="1">
        <f t="array" ref="G35">IFERROR(_xlfn.LET(
_xlpm.CSVVal,_xlfn.XLOOKUP($A35,CSV!$A:$A,CSV!G:G,""),
_xlpm.MacVal,_xlfn.XLOOKUP($A35,Output_Mac!$A:$A,Output_Mac!H:H,""),
_xlpm.MyAuditVal,_xlfn.XLOOKUP($A35,My_Audit!$A:$A,My_Audit!F:F,""),
_xlfn.IFS(_xlpm.MyAuditVal&lt;&gt;"",_xlpm.MyAuditVal,_xlpm.MacVal&lt;&gt;"",_xlpm.MacVal,_xlpm.CSVVal&lt;&gt;"",_xlpm.CSVVal
)),"")</f>
        <v/>
      </c>
      <c r="H35" s="45" t="str">
        <f>_xlfn.XLOOKUP(A35,Output_Mac!A:A,Output_Mac!I:I,"")</f>
        <v/>
      </c>
      <c r="I35" s="45" t="str" cm="1">
        <f t="array" ref="I35">IFERROR(_xlfn.LET(
_xlpm.CSVVal,_xlfn.XLOOKUP($A35,CSV!$A:$A,CSV!H:H,""),
_xlpm.MacVal,_xlfn.XLOOKUP($A35,Output_Mac!$A:$A,Output_Mac!J:J,""),
_xlpm.MyAuditVal,_xlfn.XLOOKUP($A35,My_Audit!$A:$A,My_Audit!H:H,""),
_xlfn.IFS(_xlpm.MyAuditVal&lt;&gt;"",UPPER(_xlpm.MyAuditVal),_xlpm.MacVal&lt;&gt;"",_xlpm.MacVal,_xlpm.CSVVal&lt;&gt;"",_xlpm.CSVVal
)),"")</f>
        <v/>
      </c>
      <c r="J35" s="45" t="str" cm="1">
        <f t="array" ref="J35">IFERROR(_xlfn.LET(
_xlpm.CSVVal,_xlfn.XLOOKUP($A35,CSV!$A:$A,CSV!J:J,""),
_xlpm.MacVal,_xlfn.XLOOKUP($A35,Output_Mac!$A:$A,Output_Mac!K:K,""),
_xlpm.MyAuditVal,_xlfn.XLOOKUP($A35,My_Audit!$A:$A,My_Audit!I:I,""),
_xlfn.IFS(_xlpm.MyAuditVal&lt;&gt;"",UPPER(_xlpm.MyAuditVal),_xlpm.MacVal&lt;&gt;"",_xlpm.MacVal,_xlpm.CSVVal&lt;&gt;"",_xlpm.CSVVal
)),"")</f>
        <v/>
      </c>
      <c r="K35" s="45" t="str" cm="1">
        <f t="array" ref="K35">IFERROR(_xlfn.LET(
_xlpm.CSVVal,_xlfn.XLOOKUP($A35,CSV!$A:$A,CSV!N:N,""),
_xlpm.MacVal,_xlfn.XLOOKUP($A35,Output_Mac!$A:$A,Output_Mac!L:L,""),
_xlpm.MyAuditVal,_xlfn.XLOOKUP($A35,My_Audit!$A:$A,My_Audit!J:J,""),
_xlfn.IFS(_xlpm.MyAuditVal&lt;&gt;"",UPPER(_xlpm.MyAuditVal),_xlpm.MacVal&lt;&gt;"",_xlpm.MacVal,_xlpm.CSVVal&lt;&gt;"",_xlpm.CSVVal
)),"")</f>
        <v/>
      </c>
      <c r="L35" s="46" t="str" cm="1">
        <f t="array" ref="L35">IFERROR(_xlfn.LET(
_xlpm.CSVVal,_xlfn.XLOOKUP($A35,CSV!$A:$A,CSV!Q:Q,""),
_xlpm.MacVal,_xlfn.XLOOKUP($A35,Output_Mac!$A:$A,Output_Mac!M:M,""),
_xlpm.MyAuditVal,_xlfn.XLOOKUP($A35,My_Audit!$A:$A,My_Audit!K:K,""),
_xlfn.IFS(_xlpm.MyAuditVal&lt;&gt;"",UPPER(_xlpm.MyAuditVal),_xlpm.MacVal&lt;&gt;"",_xlpm.MacVal,_xlpm.CSVVal&lt;&gt;"",_xlpm.CSVVal
)),"")</f>
        <v/>
      </c>
      <c r="M35" s="45" t="str">
        <f>_xlfn.LET(
    _xlpm.CSVVal, _xlfn.XLOOKUP($A35, CSV!$A:$A, CSV!AE:AE, ""),
    _xlpm.MacVal, _xlfn.XLOOKUP($A35, Output_Mac!$A:$A, Output_Mac!S:S, ""),
    _xlpm.MyAuditVal, _xlfn.XLOOKUP($A35, My_Audit!$A:$A, My_Audit!N:N, ""),
    _xlfn.TEXTJOIN(", ", TRUE, _xlpm.MyAuditVal, _xlpm.MacVal, _xlpm.CSVVal)
)</f>
        <v/>
      </c>
      <c r="N35" s="45" t="str" cm="1">
        <f t="array" ref="N35">IFERROR(_xlfn.LET(
_xlpm.CSVVal,_xlfn.XLOOKUP($A35,CSV!$A:$A,CSV!AG:AG,""),
_xlpm.MacVal,_xlfn.XLOOKUP($A35,Output_Mac!$A:$A,Output_Mac!U:U,""),
_xlpm.MyAuditVal,_xlfn.XLOOKUP($A35,My_Audit!$A:$A,My_Audit!O:O,""),
_xlfn.IFS(_xlpm.MyAuditVal&lt;&gt;"",UPPER(_xlpm.MyAuditVal),_xlpm.MacVal&lt;&gt;"",_xlpm.MacVal,_xlpm.CSVVal&lt;&gt;"",_xlpm.CSVVal
)),"")</f>
        <v/>
      </c>
      <c r="O35" s="46" t="str">
        <f>_xlfn.XLOOKUP(C35,My_Audit!B:B,My_Audit!P:P,"")&amp;""</f>
        <v/>
      </c>
      <c r="P35" s="45"/>
      <c r="Q35" s="46" t="str">
        <f>IF(LEFT(N35,4)="Pass","Nist SP 800-88",My_Audit!R35)&amp;""</f>
        <v/>
      </c>
      <c r="R35" s="45"/>
      <c r="S35" s="45"/>
      <c r="T35" s="46" t="str">
        <f>_xlfn.XLOOKUP(E35,Models!I:I,Models!J:J,"")</f>
        <v/>
      </c>
      <c r="U35" s="45"/>
      <c r="V35" s="45"/>
      <c r="W35" s="38" t="str">
        <f>_xlfn.LET(
    _xlpm.MacVal, _xlfn.XLOOKUP($A35, Output_Mac!$A:$A, Output_Mac!AB:AB, ""),
    _xlpm.MyAuditVal, _xlfn.XLOOKUP($A35, My_Audit!$A:$A, My_Audit!L:L, ""),
    _xlfn.TEXTJOIN(", ", TRUE, _xlpm.MyAuditVal, _xlpm.MacVal)
)</f>
        <v/>
      </c>
    </row>
    <row r="36" spans="1:23">
      <c r="A36" s="45" t="str">
        <f>_xlfn.TEXTJOIN("",TRUE,Input!$B$2,ROW(My_Audit!A35))</f>
        <v>XX35</v>
      </c>
      <c r="B36" s="45" t="str">
        <f>_xlfn.TEXTJOIN("-",TRUE,"ITD",Input!$A$2,A36)</f>
        <v>ITD-SHRXXX-XX35</v>
      </c>
      <c r="C36" s="45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46" t="str" cm="1">
        <f t="array" ref="D36">IFERROR(_xlfn.LET(
_xlpm.CSVVal,_xlfn.XLOOKUP($A36,CSV!$A:$A,CSV!C:C,""),
_xlpm.MacVal,_xlfn.XLOOKUP($A36,Output_Mac!$A:$A,Output_Mac!D:D,""),
_xlpm.MyAuditVal,_xlfn.XLOOKUP($A36,My_Audit!$A:$A,My_Audit!C:C,""),
_xlfn.IFS(_xlpm.MyAuditVal&lt;&gt;"",UPPER(_xlpm.MyAuditVal),_xlpm.MacVal&lt;&gt;"",_xlpm.MacVal,_xlpm.CSVVal&lt;&gt;"",_xlpm.CSVVal
)),"")</f>
        <v/>
      </c>
      <c r="E36" s="46" t="str" cm="1">
        <f t="array" ref="E36">IFERROR(_xlfn.LET(
_xlpm.CSVVal,_xlfn.XLOOKUP($A36,CSV!$A:$A,CSV!E:E,""),
_xlpm.MacVal,_xlfn.XLOOKUP($A36,Output_Mac!$A:$A,Output_Mac!C:C,""),
_xlpm.MyAuditVal,_xlfn.XLOOKUP($A36,My_Audit!$A:$A,My_Audit!D:D,""),
_xlfn.IFS(_xlpm.MyAuditVal&lt;&gt;"",_xlpm.MyAuditVal,_xlpm.MacVal&lt;&gt;"",_xlpm.MacVal,_xlpm.CSVVal&lt;&gt;"",_xlpm.CSVVal
)),"")</f>
        <v/>
      </c>
      <c r="F36" s="45" t="str" cm="1">
        <f t="array" ref="F36">IFERROR(_xlfn.LET(
_xlpm.CSVVal,_xlfn.XLOOKUP($A36,CSV!$A:$A,CSV!F:F,""),
_xlpm.MacVal,_xlfn.XLOOKUP($A36,Output_Mac!$A:$A,Output_Mac!F:F,""),
_xlpm.MyAuditVal,_xlfn.XLOOKUP($A36,My_Audit!$A:$A,My_Audit!E:E,""),
_xlfn.IFS(_xlpm.MyAuditVal&lt;&gt;"",_xlpm.MyAuditVal,_xlpm.MacVal&lt;&gt;"",_xlpm.MacVal,_xlpm.CSVVal&lt;&gt;"",PROPER(_xlpm.CSVVal)
)),"")</f>
        <v/>
      </c>
      <c r="G36" s="45" t="str" cm="1">
        <f t="array" ref="G36">IFERROR(_xlfn.LET(
_xlpm.CSVVal,_xlfn.XLOOKUP($A36,CSV!$A:$A,CSV!G:G,""),
_xlpm.MacVal,_xlfn.XLOOKUP($A36,Output_Mac!$A:$A,Output_Mac!H:H,""),
_xlpm.MyAuditVal,_xlfn.XLOOKUP($A36,My_Audit!$A:$A,My_Audit!F:F,""),
_xlfn.IFS(_xlpm.MyAuditVal&lt;&gt;"",_xlpm.MyAuditVal,_xlpm.MacVal&lt;&gt;"",_xlpm.MacVal,_xlpm.CSVVal&lt;&gt;"",_xlpm.CSVVal
)),"")</f>
        <v/>
      </c>
      <c r="H36" s="45" t="str">
        <f>_xlfn.XLOOKUP(A36,Output_Mac!A:A,Output_Mac!I:I,"")</f>
        <v/>
      </c>
      <c r="I36" s="45" t="str" cm="1">
        <f t="array" ref="I36">IFERROR(_xlfn.LET(
_xlpm.CSVVal,_xlfn.XLOOKUP($A36,CSV!$A:$A,CSV!H:H,""),
_xlpm.MacVal,_xlfn.XLOOKUP($A36,Output_Mac!$A:$A,Output_Mac!J:J,""),
_xlpm.MyAuditVal,_xlfn.XLOOKUP($A36,My_Audit!$A:$A,My_Audit!H:H,""),
_xlfn.IFS(_xlpm.MyAuditVal&lt;&gt;"",UPPER(_xlpm.MyAuditVal),_xlpm.MacVal&lt;&gt;"",_xlpm.MacVal,_xlpm.CSVVal&lt;&gt;"",_xlpm.CSVVal
)),"")</f>
        <v/>
      </c>
      <c r="J36" s="45" t="str" cm="1">
        <f t="array" ref="J36">IFERROR(_xlfn.LET(
_xlpm.CSVVal,_xlfn.XLOOKUP($A36,CSV!$A:$A,CSV!J:J,""),
_xlpm.MacVal,_xlfn.XLOOKUP($A36,Output_Mac!$A:$A,Output_Mac!K:K,""),
_xlpm.MyAuditVal,_xlfn.XLOOKUP($A36,My_Audit!$A:$A,My_Audit!I:I,""),
_xlfn.IFS(_xlpm.MyAuditVal&lt;&gt;"",UPPER(_xlpm.MyAuditVal),_xlpm.MacVal&lt;&gt;"",_xlpm.MacVal,_xlpm.CSVVal&lt;&gt;"",_xlpm.CSVVal
)),"")</f>
        <v/>
      </c>
      <c r="K36" s="45" t="str" cm="1">
        <f t="array" ref="K36">IFERROR(_xlfn.LET(
_xlpm.CSVVal,_xlfn.XLOOKUP($A36,CSV!$A:$A,CSV!N:N,""),
_xlpm.MacVal,_xlfn.XLOOKUP($A36,Output_Mac!$A:$A,Output_Mac!L:L,""),
_xlpm.MyAuditVal,_xlfn.XLOOKUP($A36,My_Audit!$A:$A,My_Audit!J:J,""),
_xlfn.IFS(_xlpm.MyAuditVal&lt;&gt;"",UPPER(_xlpm.MyAuditVal),_xlpm.MacVal&lt;&gt;"",_xlpm.MacVal,_xlpm.CSVVal&lt;&gt;"",_xlpm.CSVVal
)),"")</f>
        <v/>
      </c>
      <c r="L36" s="46" t="str" cm="1">
        <f t="array" ref="L36">IFERROR(_xlfn.LET(
_xlpm.CSVVal,_xlfn.XLOOKUP($A36,CSV!$A:$A,CSV!Q:Q,""),
_xlpm.MacVal,_xlfn.XLOOKUP($A36,Output_Mac!$A:$A,Output_Mac!M:M,""),
_xlpm.MyAuditVal,_xlfn.XLOOKUP($A36,My_Audit!$A:$A,My_Audit!K:K,""),
_xlfn.IFS(_xlpm.MyAuditVal&lt;&gt;"",UPPER(_xlpm.MyAuditVal),_xlpm.MacVal&lt;&gt;"",_xlpm.MacVal,_xlpm.CSVVal&lt;&gt;"",_xlpm.CSVVal
)),"")</f>
        <v/>
      </c>
      <c r="M36" s="45" t="str">
        <f>_xlfn.LET(
    _xlpm.CSVVal, _xlfn.XLOOKUP($A36, CSV!$A:$A, CSV!AE:AE, ""),
    _xlpm.MacVal, _xlfn.XLOOKUP($A36, Output_Mac!$A:$A, Output_Mac!S:S, ""),
    _xlpm.MyAuditVal, _xlfn.XLOOKUP($A36, My_Audit!$A:$A, My_Audit!N:N, ""),
    _xlfn.TEXTJOIN(", ", TRUE, _xlpm.MyAuditVal, _xlpm.MacVal, _xlpm.CSVVal)
)</f>
        <v/>
      </c>
      <c r="N36" s="45" t="str" cm="1">
        <f t="array" ref="N36">IFERROR(_xlfn.LET(
_xlpm.CSVVal,_xlfn.XLOOKUP($A36,CSV!$A:$A,CSV!AG:AG,""),
_xlpm.MacVal,_xlfn.XLOOKUP($A36,Output_Mac!$A:$A,Output_Mac!U:U,""),
_xlpm.MyAuditVal,_xlfn.XLOOKUP($A36,My_Audit!$A:$A,My_Audit!O:O,""),
_xlfn.IFS(_xlpm.MyAuditVal&lt;&gt;"",UPPER(_xlpm.MyAuditVal),_xlpm.MacVal&lt;&gt;"",_xlpm.MacVal,_xlpm.CSVVal&lt;&gt;"",_xlpm.CSVVal
)),"")</f>
        <v/>
      </c>
      <c r="O36" s="46" t="str">
        <f>_xlfn.XLOOKUP(C36,My_Audit!B:B,My_Audit!P:P,"")&amp;""</f>
        <v/>
      </c>
      <c r="P36" s="45"/>
      <c r="Q36" s="46" t="str">
        <f>IF(LEFT(N36,4)="Pass","Nist SP 800-88",My_Audit!R36)&amp;""</f>
        <v/>
      </c>
      <c r="R36" s="45"/>
      <c r="S36" s="45"/>
      <c r="T36" s="46" t="str">
        <f>_xlfn.XLOOKUP(E36,Models!I:I,Models!J:J,"")</f>
        <v/>
      </c>
      <c r="U36" s="45"/>
      <c r="V36" s="45"/>
      <c r="W36" s="38" t="str">
        <f>_xlfn.LET(
    _xlpm.MacVal, _xlfn.XLOOKUP($A36, Output_Mac!$A:$A, Output_Mac!AB:AB, ""),
    _xlpm.MyAuditVal, _xlfn.XLOOKUP($A36, My_Audit!$A:$A, My_Audit!L:L, ""),
    _xlfn.TEXTJOIN(", ", TRUE, _xlpm.MyAuditVal, _xlpm.MacVal)
)</f>
        <v/>
      </c>
    </row>
    <row r="37" spans="1:23">
      <c r="A37" s="45" t="str">
        <f>_xlfn.TEXTJOIN("",TRUE,Input!$B$2,ROW(My_Audit!A36))</f>
        <v>XX36</v>
      </c>
      <c r="B37" s="45" t="str">
        <f>_xlfn.TEXTJOIN("-",TRUE,"ITD",Input!$A$2,A37)</f>
        <v>ITD-SHRXXX-XX36</v>
      </c>
      <c r="C37" s="45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46" t="str" cm="1">
        <f t="array" ref="D37">IFERROR(_xlfn.LET(
_xlpm.CSVVal,_xlfn.XLOOKUP($A37,CSV!$A:$A,CSV!C:C,""),
_xlpm.MacVal,_xlfn.XLOOKUP($A37,Output_Mac!$A:$A,Output_Mac!D:D,""),
_xlpm.MyAuditVal,_xlfn.XLOOKUP($A37,My_Audit!$A:$A,My_Audit!C:C,""),
_xlfn.IFS(_xlpm.MyAuditVal&lt;&gt;"",UPPER(_xlpm.MyAuditVal),_xlpm.MacVal&lt;&gt;"",_xlpm.MacVal,_xlpm.CSVVal&lt;&gt;"",_xlpm.CSVVal
)),"")</f>
        <v/>
      </c>
      <c r="E37" s="46" t="str" cm="1">
        <f t="array" ref="E37">IFERROR(_xlfn.LET(
_xlpm.CSVVal,_xlfn.XLOOKUP($A37,CSV!$A:$A,CSV!E:E,""),
_xlpm.MacVal,_xlfn.XLOOKUP($A37,Output_Mac!$A:$A,Output_Mac!C:C,""),
_xlpm.MyAuditVal,_xlfn.XLOOKUP($A37,My_Audit!$A:$A,My_Audit!D:D,""),
_xlfn.IFS(_xlpm.MyAuditVal&lt;&gt;"",_xlpm.MyAuditVal,_xlpm.MacVal&lt;&gt;"",_xlpm.MacVal,_xlpm.CSVVal&lt;&gt;"",_xlpm.CSVVal
)),"")</f>
        <v/>
      </c>
      <c r="F37" s="45" t="str" cm="1">
        <f t="array" ref="F37">IFERROR(_xlfn.LET(
_xlpm.CSVVal,_xlfn.XLOOKUP($A37,CSV!$A:$A,CSV!F:F,""),
_xlpm.MacVal,_xlfn.XLOOKUP($A37,Output_Mac!$A:$A,Output_Mac!F:F,""),
_xlpm.MyAuditVal,_xlfn.XLOOKUP($A37,My_Audit!$A:$A,My_Audit!E:E,""),
_xlfn.IFS(_xlpm.MyAuditVal&lt;&gt;"",_xlpm.MyAuditVal,_xlpm.MacVal&lt;&gt;"",_xlpm.MacVal,_xlpm.CSVVal&lt;&gt;"",PROPER(_xlpm.CSVVal)
)),"")</f>
        <v/>
      </c>
      <c r="G37" s="45" t="str" cm="1">
        <f t="array" ref="G37">IFERROR(_xlfn.LET(
_xlpm.CSVVal,_xlfn.XLOOKUP($A37,CSV!$A:$A,CSV!G:G,""),
_xlpm.MacVal,_xlfn.XLOOKUP($A37,Output_Mac!$A:$A,Output_Mac!H:H,""),
_xlpm.MyAuditVal,_xlfn.XLOOKUP($A37,My_Audit!$A:$A,My_Audit!F:F,""),
_xlfn.IFS(_xlpm.MyAuditVal&lt;&gt;"",_xlpm.MyAuditVal,_xlpm.MacVal&lt;&gt;"",_xlpm.MacVal,_xlpm.CSVVal&lt;&gt;"",_xlpm.CSVVal
)),"")</f>
        <v/>
      </c>
      <c r="H37" s="45" t="str">
        <f>_xlfn.XLOOKUP(A37,Output_Mac!A:A,Output_Mac!I:I,"")</f>
        <v/>
      </c>
      <c r="I37" s="45" t="str" cm="1">
        <f t="array" ref="I37">IFERROR(_xlfn.LET(
_xlpm.CSVVal,_xlfn.XLOOKUP($A37,CSV!$A:$A,CSV!H:H,""),
_xlpm.MacVal,_xlfn.XLOOKUP($A37,Output_Mac!$A:$A,Output_Mac!J:J,""),
_xlpm.MyAuditVal,_xlfn.XLOOKUP($A37,My_Audit!$A:$A,My_Audit!H:H,""),
_xlfn.IFS(_xlpm.MyAuditVal&lt;&gt;"",UPPER(_xlpm.MyAuditVal),_xlpm.MacVal&lt;&gt;"",_xlpm.MacVal,_xlpm.CSVVal&lt;&gt;"",_xlpm.CSVVal
)),"")</f>
        <v/>
      </c>
      <c r="J37" s="45" t="str" cm="1">
        <f t="array" ref="J37">IFERROR(_xlfn.LET(
_xlpm.CSVVal,_xlfn.XLOOKUP($A37,CSV!$A:$A,CSV!J:J,""),
_xlpm.MacVal,_xlfn.XLOOKUP($A37,Output_Mac!$A:$A,Output_Mac!K:K,""),
_xlpm.MyAuditVal,_xlfn.XLOOKUP($A37,My_Audit!$A:$A,My_Audit!I:I,""),
_xlfn.IFS(_xlpm.MyAuditVal&lt;&gt;"",UPPER(_xlpm.MyAuditVal),_xlpm.MacVal&lt;&gt;"",_xlpm.MacVal,_xlpm.CSVVal&lt;&gt;"",_xlpm.CSVVal
)),"")</f>
        <v/>
      </c>
      <c r="K37" s="45" t="str" cm="1">
        <f t="array" ref="K37">IFERROR(_xlfn.LET(
_xlpm.CSVVal,_xlfn.XLOOKUP($A37,CSV!$A:$A,CSV!N:N,""),
_xlpm.MacVal,_xlfn.XLOOKUP($A37,Output_Mac!$A:$A,Output_Mac!L:L,""),
_xlpm.MyAuditVal,_xlfn.XLOOKUP($A37,My_Audit!$A:$A,My_Audit!J:J,""),
_xlfn.IFS(_xlpm.MyAuditVal&lt;&gt;"",UPPER(_xlpm.MyAuditVal),_xlpm.MacVal&lt;&gt;"",_xlpm.MacVal,_xlpm.CSVVal&lt;&gt;"",_xlpm.CSVVal
)),"")</f>
        <v/>
      </c>
      <c r="L37" s="46" t="str" cm="1">
        <f t="array" ref="L37">IFERROR(_xlfn.LET(
_xlpm.CSVVal,_xlfn.XLOOKUP($A37,CSV!$A:$A,CSV!Q:Q,""),
_xlpm.MacVal,_xlfn.XLOOKUP($A37,Output_Mac!$A:$A,Output_Mac!M:M,""),
_xlpm.MyAuditVal,_xlfn.XLOOKUP($A37,My_Audit!$A:$A,My_Audit!K:K,""),
_xlfn.IFS(_xlpm.MyAuditVal&lt;&gt;"",UPPER(_xlpm.MyAuditVal),_xlpm.MacVal&lt;&gt;"",_xlpm.MacVal,_xlpm.CSVVal&lt;&gt;"",_xlpm.CSVVal
)),"")</f>
        <v/>
      </c>
      <c r="M37" s="45" t="str">
        <f>_xlfn.LET(
    _xlpm.CSVVal, _xlfn.XLOOKUP($A37, CSV!$A:$A, CSV!AE:AE, ""),
    _xlpm.MacVal, _xlfn.XLOOKUP($A37, Output_Mac!$A:$A, Output_Mac!S:S, ""),
    _xlpm.MyAuditVal, _xlfn.XLOOKUP($A37, My_Audit!$A:$A, My_Audit!N:N, ""),
    _xlfn.TEXTJOIN(", ", TRUE, _xlpm.MyAuditVal, _xlpm.MacVal, _xlpm.CSVVal)
)</f>
        <v/>
      </c>
      <c r="N37" s="45" t="str" cm="1">
        <f t="array" ref="N37">IFERROR(_xlfn.LET(
_xlpm.CSVVal,_xlfn.XLOOKUP($A37,CSV!$A:$A,CSV!AG:AG,""),
_xlpm.MacVal,_xlfn.XLOOKUP($A37,Output_Mac!$A:$A,Output_Mac!U:U,""),
_xlpm.MyAuditVal,_xlfn.XLOOKUP($A37,My_Audit!$A:$A,My_Audit!O:O,""),
_xlfn.IFS(_xlpm.MyAuditVal&lt;&gt;"",UPPER(_xlpm.MyAuditVal),_xlpm.MacVal&lt;&gt;"",_xlpm.MacVal,_xlpm.CSVVal&lt;&gt;"",_xlpm.CSVVal
)),"")</f>
        <v/>
      </c>
      <c r="O37" s="46" t="str">
        <f>_xlfn.XLOOKUP(C37,My_Audit!B:B,My_Audit!P:P,"")&amp;""</f>
        <v/>
      </c>
      <c r="P37" s="45"/>
      <c r="Q37" s="46" t="str">
        <f>IF(LEFT(N37,4)="Pass","Nist SP 800-88",My_Audit!R37)&amp;""</f>
        <v/>
      </c>
      <c r="R37" s="45"/>
      <c r="S37" s="45"/>
      <c r="T37" s="46" t="str">
        <f>_xlfn.XLOOKUP(E37,Models!I:I,Models!J:J,"")</f>
        <v/>
      </c>
      <c r="U37" s="45"/>
      <c r="V37" s="45"/>
      <c r="W37" s="38" t="str">
        <f>_xlfn.LET(
    _xlpm.MacVal, _xlfn.XLOOKUP($A37, Output_Mac!$A:$A, Output_Mac!AB:AB, ""),
    _xlpm.MyAuditVal, _xlfn.XLOOKUP($A37, My_Audit!$A:$A, My_Audit!L:L, ""),
    _xlfn.TEXTJOIN(", ", TRUE, _xlpm.MyAuditVal, _xlpm.MacVal)
)</f>
        <v/>
      </c>
    </row>
    <row r="38" spans="1:23">
      <c r="A38" s="45" t="str">
        <f>_xlfn.TEXTJOIN("",TRUE,Input!$B$2,ROW(My_Audit!A37))</f>
        <v>XX37</v>
      </c>
      <c r="B38" s="45" t="str">
        <f>_xlfn.TEXTJOIN("-",TRUE,"ITD",Input!$A$2,A38)</f>
        <v>ITD-SHRXXX-XX37</v>
      </c>
      <c r="C38" s="45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46" t="str" cm="1">
        <f t="array" ref="D38">IFERROR(_xlfn.LET(
_xlpm.CSVVal,_xlfn.XLOOKUP($A38,CSV!$A:$A,CSV!C:C,""),
_xlpm.MacVal,_xlfn.XLOOKUP($A38,Output_Mac!$A:$A,Output_Mac!D:D,""),
_xlpm.MyAuditVal,_xlfn.XLOOKUP($A38,My_Audit!$A:$A,My_Audit!C:C,""),
_xlfn.IFS(_xlpm.MyAuditVal&lt;&gt;"",UPPER(_xlpm.MyAuditVal),_xlpm.MacVal&lt;&gt;"",_xlpm.MacVal,_xlpm.CSVVal&lt;&gt;"",_xlpm.CSVVal
)),"")</f>
        <v/>
      </c>
      <c r="E38" s="46" t="str" cm="1">
        <f t="array" ref="E38">IFERROR(_xlfn.LET(
_xlpm.CSVVal,_xlfn.XLOOKUP($A38,CSV!$A:$A,CSV!E:E,""),
_xlpm.MacVal,_xlfn.XLOOKUP($A38,Output_Mac!$A:$A,Output_Mac!C:C,""),
_xlpm.MyAuditVal,_xlfn.XLOOKUP($A38,My_Audit!$A:$A,My_Audit!D:D,""),
_xlfn.IFS(_xlpm.MyAuditVal&lt;&gt;"",_xlpm.MyAuditVal,_xlpm.MacVal&lt;&gt;"",_xlpm.MacVal,_xlpm.CSVVal&lt;&gt;"",_xlpm.CSVVal
)),"")</f>
        <v/>
      </c>
      <c r="F38" s="45" t="str" cm="1">
        <f t="array" ref="F38">IFERROR(_xlfn.LET(
_xlpm.CSVVal,_xlfn.XLOOKUP($A38,CSV!$A:$A,CSV!F:F,""),
_xlpm.MacVal,_xlfn.XLOOKUP($A38,Output_Mac!$A:$A,Output_Mac!F:F,""),
_xlpm.MyAuditVal,_xlfn.XLOOKUP($A38,My_Audit!$A:$A,My_Audit!E:E,""),
_xlfn.IFS(_xlpm.MyAuditVal&lt;&gt;"",_xlpm.MyAuditVal,_xlpm.MacVal&lt;&gt;"",_xlpm.MacVal,_xlpm.CSVVal&lt;&gt;"",PROPER(_xlpm.CSVVal)
)),"")</f>
        <v/>
      </c>
      <c r="G38" s="45" t="str" cm="1">
        <f t="array" ref="G38">IFERROR(_xlfn.LET(
_xlpm.CSVVal,_xlfn.XLOOKUP($A38,CSV!$A:$A,CSV!G:G,""),
_xlpm.MacVal,_xlfn.XLOOKUP($A38,Output_Mac!$A:$A,Output_Mac!H:H,""),
_xlpm.MyAuditVal,_xlfn.XLOOKUP($A38,My_Audit!$A:$A,My_Audit!F:F,""),
_xlfn.IFS(_xlpm.MyAuditVal&lt;&gt;"",_xlpm.MyAuditVal,_xlpm.MacVal&lt;&gt;"",_xlpm.MacVal,_xlpm.CSVVal&lt;&gt;"",_xlpm.CSVVal
)),"")</f>
        <v/>
      </c>
      <c r="H38" s="45" t="str">
        <f>_xlfn.XLOOKUP(A38,Output_Mac!A:A,Output_Mac!I:I,"")</f>
        <v/>
      </c>
      <c r="I38" s="45" t="str" cm="1">
        <f t="array" ref="I38">IFERROR(_xlfn.LET(
_xlpm.CSVVal,_xlfn.XLOOKUP($A38,CSV!$A:$A,CSV!H:H,""),
_xlpm.MacVal,_xlfn.XLOOKUP($A38,Output_Mac!$A:$A,Output_Mac!J:J,""),
_xlpm.MyAuditVal,_xlfn.XLOOKUP($A38,My_Audit!$A:$A,My_Audit!H:H,""),
_xlfn.IFS(_xlpm.MyAuditVal&lt;&gt;"",UPPER(_xlpm.MyAuditVal),_xlpm.MacVal&lt;&gt;"",_xlpm.MacVal,_xlpm.CSVVal&lt;&gt;"",_xlpm.CSVVal
)),"")</f>
        <v/>
      </c>
      <c r="J38" s="45" t="str" cm="1">
        <f t="array" ref="J38">IFERROR(_xlfn.LET(
_xlpm.CSVVal,_xlfn.XLOOKUP($A38,CSV!$A:$A,CSV!J:J,""),
_xlpm.MacVal,_xlfn.XLOOKUP($A38,Output_Mac!$A:$A,Output_Mac!K:K,""),
_xlpm.MyAuditVal,_xlfn.XLOOKUP($A38,My_Audit!$A:$A,My_Audit!I:I,""),
_xlfn.IFS(_xlpm.MyAuditVal&lt;&gt;"",UPPER(_xlpm.MyAuditVal),_xlpm.MacVal&lt;&gt;"",_xlpm.MacVal,_xlpm.CSVVal&lt;&gt;"",_xlpm.CSVVal
)),"")</f>
        <v/>
      </c>
      <c r="K38" s="45" t="str" cm="1">
        <f t="array" ref="K38">IFERROR(_xlfn.LET(
_xlpm.CSVVal,_xlfn.XLOOKUP($A38,CSV!$A:$A,CSV!N:N,""),
_xlpm.MacVal,_xlfn.XLOOKUP($A38,Output_Mac!$A:$A,Output_Mac!L:L,""),
_xlpm.MyAuditVal,_xlfn.XLOOKUP($A38,My_Audit!$A:$A,My_Audit!J:J,""),
_xlfn.IFS(_xlpm.MyAuditVal&lt;&gt;"",UPPER(_xlpm.MyAuditVal),_xlpm.MacVal&lt;&gt;"",_xlpm.MacVal,_xlpm.CSVVal&lt;&gt;"",_xlpm.CSVVal
)),"")</f>
        <v/>
      </c>
      <c r="L38" s="46" t="str" cm="1">
        <f t="array" ref="L38">IFERROR(_xlfn.LET(
_xlpm.CSVVal,_xlfn.XLOOKUP($A38,CSV!$A:$A,CSV!Q:Q,""),
_xlpm.MacVal,_xlfn.XLOOKUP($A38,Output_Mac!$A:$A,Output_Mac!M:M,""),
_xlpm.MyAuditVal,_xlfn.XLOOKUP($A38,My_Audit!$A:$A,My_Audit!K:K,""),
_xlfn.IFS(_xlpm.MyAuditVal&lt;&gt;"",UPPER(_xlpm.MyAuditVal),_xlpm.MacVal&lt;&gt;"",_xlpm.MacVal,_xlpm.CSVVal&lt;&gt;"",_xlpm.CSVVal
)),"")</f>
        <v/>
      </c>
      <c r="M38" s="45" t="str">
        <f>_xlfn.LET(
    _xlpm.CSVVal, _xlfn.XLOOKUP($A38, CSV!$A:$A, CSV!AE:AE, ""),
    _xlpm.MacVal, _xlfn.XLOOKUP($A38, Output_Mac!$A:$A, Output_Mac!S:S, ""),
    _xlpm.MyAuditVal, _xlfn.XLOOKUP($A38, My_Audit!$A:$A, My_Audit!N:N, ""),
    _xlfn.TEXTJOIN(", ", TRUE, _xlpm.MyAuditVal, _xlpm.MacVal, _xlpm.CSVVal)
)</f>
        <v/>
      </c>
      <c r="N38" s="45" t="str" cm="1">
        <f t="array" ref="N38">IFERROR(_xlfn.LET(
_xlpm.CSVVal,_xlfn.XLOOKUP($A38,CSV!$A:$A,CSV!AG:AG,""),
_xlpm.MacVal,_xlfn.XLOOKUP($A38,Output_Mac!$A:$A,Output_Mac!U:U,""),
_xlpm.MyAuditVal,_xlfn.XLOOKUP($A38,My_Audit!$A:$A,My_Audit!O:O,""),
_xlfn.IFS(_xlpm.MyAuditVal&lt;&gt;"",UPPER(_xlpm.MyAuditVal),_xlpm.MacVal&lt;&gt;"",_xlpm.MacVal,_xlpm.CSVVal&lt;&gt;"",_xlpm.CSVVal
)),"")</f>
        <v/>
      </c>
      <c r="O38" s="46" t="str">
        <f>_xlfn.XLOOKUP(C38,My_Audit!B:B,My_Audit!P:P,"")&amp;""</f>
        <v/>
      </c>
      <c r="P38" s="45"/>
      <c r="Q38" s="46" t="str">
        <f>IF(LEFT(N38,4)="Pass","Nist SP 800-88",My_Audit!R38)&amp;""</f>
        <v/>
      </c>
      <c r="R38" s="45"/>
      <c r="S38" s="45"/>
      <c r="T38" s="46" t="str">
        <f>_xlfn.XLOOKUP(E38,Models!I:I,Models!J:J,"")</f>
        <v/>
      </c>
      <c r="U38" s="45"/>
      <c r="V38" s="45"/>
      <c r="W38" s="38" t="str">
        <f>_xlfn.LET(
    _xlpm.MacVal, _xlfn.XLOOKUP($A38, Output_Mac!$A:$A, Output_Mac!AB:AB, ""),
    _xlpm.MyAuditVal, _xlfn.XLOOKUP($A38, My_Audit!$A:$A, My_Audit!L:L, ""),
    _xlfn.TEXTJOIN(", ", TRUE, _xlpm.MyAuditVal, _xlpm.MacVal)
)</f>
        <v/>
      </c>
    </row>
    <row r="39" spans="1:23">
      <c r="A39" s="45" t="str">
        <f>_xlfn.TEXTJOIN("",TRUE,Input!$B$2,ROW(My_Audit!A38))</f>
        <v>XX38</v>
      </c>
      <c r="B39" s="45" t="str">
        <f>_xlfn.TEXTJOIN("-",TRUE,"ITD",Input!$A$2,A39)</f>
        <v>ITD-SHRXXX-XX38</v>
      </c>
      <c r="C39" s="45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46" t="str" cm="1">
        <f t="array" ref="D39">IFERROR(_xlfn.LET(
_xlpm.CSVVal,_xlfn.XLOOKUP($A39,CSV!$A:$A,CSV!C:C,""),
_xlpm.MacVal,_xlfn.XLOOKUP($A39,Output_Mac!$A:$A,Output_Mac!D:D,""),
_xlpm.MyAuditVal,_xlfn.XLOOKUP($A39,My_Audit!$A:$A,My_Audit!C:C,""),
_xlfn.IFS(_xlpm.MyAuditVal&lt;&gt;"",UPPER(_xlpm.MyAuditVal),_xlpm.MacVal&lt;&gt;"",_xlpm.MacVal,_xlpm.CSVVal&lt;&gt;"",_xlpm.CSVVal
)),"")</f>
        <v/>
      </c>
      <c r="E39" s="46" t="str" cm="1">
        <f t="array" ref="E39">IFERROR(_xlfn.LET(
_xlpm.CSVVal,_xlfn.XLOOKUP($A39,CSV!$A:$A,CSV!E:E,""),
_xlpm.MacVal,_xlfn.XLOOKUP($A39,Output_Mac!$A:$A,Output_Mac!C:C,""),
_xlpm.MyAuditVal,_xlfn.XLOOKUP($A39,My_Audit!$A:$A,My_Audit!D:D,""),
_xlfn.IFS(_xlpm.MyAuditVal&lt;&gt;"",_xlpm.MyAuditVal,_xlpm.MacVal&lt;&gt;"",_xlpm.MacVal,_xlpm.CSVVal&lt;&gt;"",_xlpm.CSVVal
)),"")</f>
        <v/>
      </c>
      <c r="F39" s="45" t="str" cm="1">
        <f t="array" ref="F39">IFERROR(_xlfn.LET(
_xlpm.CSVVal,_xlfn.XLOOKUP($A39,CSV!$A:$A,CSV!F:F,""),
_xlpm.MacVal,_xlfn.XLOOKUP($A39,Output_Mac!$A:$A,Output_Mac!F:F,""),
_xlpm.MyAuditVal,_xlfn.XLOOKUP($A39,My_Audit!$A:$A,My_Audit!E:E,""),
_xlfn.IFS(_xlpm.MyAuditVal&lt;&gt;"",_xlpm.MyAuditVal,_xlpm.MacVal&lt;&gt;"",_xlpm.MacVal,_xlpm.CSVVal&lt;&gt;"",PROPER(_xlpm.CSVVal)
)),"")</f>
        <v/>
      </c>
      <c r="G39" s="45" t="str" cm="1">
        <f t="array" ref="G39">IFERROR(_xlfn.LET(
_xlpm.CSVVal,_xlfn.XLOOKUP($A39,CSV!$A:$A,CSV!G:G,""),
_xlpm.MacVal,_xlfn.XLOOKUP($A39,Output_Mac!$A:$A,Output_Mac!H:H,""),
_xlpm.MyAuditVal,_xlfn.XLOOKUP($A39,My_Audit!$A:$A,My_Audit!F:F,""),
_xlfn.IFS(_xlpm.MyAuditVal&lt;&gt;"",_xlpm.MyAuditVal,_xlpm.MacVal&lt;&gt;"",_xlpm.MacVal,_xlpm.CSVVal&lt;&gt;"",_xlpm.CSVVal
)),"")</f>
        <v/>
      </c>
      <c r="H39" s="45" t="str">
        <f>_xlfn.XLOOKUP(A39,Output_Mac!A:A,Output_Mac!I:I,"")</f>
        <v/>
      </c>
      <c r="I39" s="45" t="str" cm="1">
        <f t="array" ref="I39">IFERROR(_xlfn.LET(
_xlpm.CSVVal,_xlfn.XLOOKUP($A39,CSV!$A:$A,CSV!H:H,""),
_xlpm.MacVal,_xlfn.XLOOKUP($A39,Output_Mac!$A:$A,Output_Mac!J:J,""),
_xlpm.MyAuditVal,_xlfn.XLOOKUP($A39,My_Audit!$A:$A,My_Audit!H:H,""),
_xlfn.IFS(_xlpm.MyAuditVal&lt;&gt;"",UPPER(_xlpm.MyAuditVal),_xlpm.MacVal&lt;&gt;"",_xlpm.MacVal,_xlpm.CSVVal&lt;&gt;"",_xlpm.CSVVal
)),"")</f>
        <v/>
      </c>
      <c r="J39" s="45" t="str" cm="1">
        <f t="array" ref="J39">IFERROR(_xlfn.LET(
_xlpm.CSVVal,_xlfn.XLOOKUP($A39,CSV!$A:$A,CSV!J:J,""),
_xlpm.MacVal,_xlfn.XLOOKUP($A39,Output_Mac!$A:$A,Output_Mac!K:K,""),
_xlpm.MyAuditVal,_xlfn.XLOOKUP($A39,My_Audit!$A:$A,My_Audit!I:I,""),
_xlfn.IFS(_xlpm.MyAuditVal&lt;&gt;"",UPPER(_xlpm.MyAuditVal),_xlpm.MacVal&lt;&gt;"",_xlpm.MacVal,_xlpm.CSVVal&lt;&gt;"",_xlpm.CSVVal
)),"")</f>
        <v/>
      </c>
      <c r="K39" s="45" t="str" cm="1">
        <f t="array" ref="K39">IFERROR(_xlfn.LET(
_xlpm.CSVVal,_xlfn.XLOOKUP($A39,CSV!$A:$A,CSV!N:N,""),
_xlpm.MacVal,_xlfn.XLOOKUP($A39,Output_Mac!$A:$A,Output_Mac!L:L,""),
_xlpm.MyAuditVal,_xlfn.XLOOKUP($A39,My_Audit!$A:$A,My_Audit!J:J,""),
_xlfn.IFS(_xlpm.MyAuditVal&lt;&gt;"",UPPER(_xlpm.MyAuditVal),_xlpm.MacVal&lt;&gt;"",_xlpm.MacVal,_xlpm.CSVVal&lt;&gt;"",_xlpm.CSVVal
)),"")</f>
        <v/>
      </c>
      <c r="L39" s="46" t="str" cm="1">
        <f t="array" ref="L39">IFERROR(_xlfn.LET(
_xlpm.CSVVal,_xlfn.XLOOKUP($A39,CSV!$A:$A,CSV!Q:Q,""),
_xlpm.MacVal,_xlfn.XLOOKUP($A39,Output_Mac!$A:$A,Output_Mac!M:M,""),
_xlpm.MyAuditVal,_xlfn.XLOOKUP($A39,My_Audit!$A:$A,My_Audit!K:K,""),
_xlfn.IFS(_xlpm.MyAuditVal&lt;&gt;"",UPPER(_xlpm.MyAuditVal),_xlpm.MacVal&lt;&gt;"",_xlpm.MacVal,_xlpm.CSVVal&lt;&gt;"",_xlpm.CSVVal
)),"")</f>
        <v/>
      </c>
      <c r="M39" s="45" t="str">
        <f>_xlfn.LET(
    _xlpm.CSVVal, _xlfn.XLOOKUP($A39, CSV!$A:$A, CSV!AE:AE, ""),
    _xlpm.MacVal, _xlfn.XLOOKUP($A39, Output_Mac!$A:$A, Output_Mac!S:S, ""),
    _xlpm.MyAuditVal, _xlfn.XLOOKUP($A39, My_Audit!$A:$A, My_Audit!N:N, ""),
    _xlfn.TEXTJOIN(", ", TRUE, _xlpm.MyAuditVal, _xlpm.MacVal, _xlpm.CSVVal)
)</f>
        <v/>
      </c>
      <c r="N39" s="45" t="str" cm="1">
        <f t="array" ref="N39">IFERROR(_xlfn.LET(
_xlpm.CSVVal,_xlfn.XLOOKUP($A39,CSV!$A:$A,CSV!AG:AG,""),
_xlpm.MacVal,_xlfn.XLOOKUP($A39,Output_Mac!$A:$A,Output_Mac!U:U,""),
_xlpm.MyAuditVal,_xlfn.XLOOKUP($A39,My_Audit!$A:$A,My_Audit!O:O,""),
_xlfn.IFS(_xlpm.MyAuditVal&lt;&gt;"",UPPER(_xlpm.MyAuditVal),_xlpm.MacVal&lt;&gt;"",_xlpm.MacVal,_xlpm.CSVVal&lt;&gt;"",_xlpm.CSVVal
)),"")</f>
        <v/>
      </c>
      <c r="O39" s="46" t="str">
        <f>_xlfn.XLOOKUP(C39,My_Audit!B:B,My_Audit!P:P,"")&amp;""</f>
        <v/>
      </c>
      <c r="P39" s="45"/>
      <c r="Q39" s="46" t="str">
        <f>IF(LEFT(N39,4)="Pass","Nist SP 800-88",My_Audit!R39)&amp;""</f>
        <v/>
      </c>
      <c r="R39" s="45"/>
      <c r="S39" s="45"/>
      <c r="T39" s="46" t="str">
        <f>_xlfn.XLOOKUP(E39,Models!I:I,Models!J:J,"")</f>
        <v/>
      </c>
      <c r="U39" s="45"/>
      <c r="V39" s="45"/>
      <c r="W39" s="38" t="str">
        <f>_xlfn.LET(
    _xlpm.MacVal, _xlfn.XLOOKUP($A39, Output_Mac!$A:$A, Output_Mac!AB:AB, ""),
    _xlpm.MyAuditVal, _xlfn.XLOOKUP($A39, My_Audit!$A:$A, My_Audit!L:L, ""),
    _xlfn.TEXTJOIN(", ", TRUE, _xlpm.MyAuditVal, _xlpm.MacVal)
)</f>
        <v/>
      </c>
    </row>
    <row r="40" spans="1:23">
      <c r="A40" s="45" t="str">
        <f>_xlfn.TEXTJOIN("",TRUE,Input!$B$2,ROW(My_Audit!A39))</f>
        <v>XX39</v>
      </c>
      <c r="B40" s="45" t="str">
        <f>_xlfn.TEXTJOIN("-",TRUE,"ITD",Input!$A$2,A40)</f>
        <v>ITD-SHRXXX-XX39</v>
      </c>
      <c r="C40" s="45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46" t="str" cm="1">
        <f t="array" ref="D40">IFERROR(_xlfn.LET(
_xlpm.CSVVal,_xlfn.XLOOKUP($A40,CSV!$A:$A,CSV!C:C,""),
_xlpm.MacVal,_xlfn.XLOOKUP($A40,Output_Mac!$A:$A,Output_Mac!D:D,""),
_xlpm.MyAuditVal,_xlfn.XLOOKUP($A40,My_Audit!$A:$A,My_Audit!C:C,""),
_xlfn.IFS(_xlpm.MyAuditVal&lt;&gt;"",UPPER(_xlpm.MyAuditVal),_xlpm.MacVal&lt;&gt;"",_xlpm.MacVal,_xlpm.CSVVal&lt;&gt;"",_xlpm.CSVVal
)),"")</f>
        <v/>
      </c>
      <c r="E40" s="46" t="str" cm="1">
        <f t="array" ref="E40">IFERROR(_xlfn.LET(
_xlpm.CSVVal,_xlfn.XLOOKUP($A40,CSV!$A:$A,CSV!E:E,""),
_xlpm.MacVal,_xlfn.XLOOKUP($A40,Output_Mac!$A:$A,Output_Mac!C:C,""),
_xlpm.MyAuditVal,_xlfn.XLOOKUP($A40,My_Audit!$A:$A,My_Audit!D:D,""),
_xlfn.IFS(_xlpm.MyAuditVal&lt;&gt;"",_xlpm.MyAuditVal,_xlpm.MacVal&lt;&gt;"",_xlpm.MacVal,_xlpm.CSVVal&lt;&gt;"",_xlpm.CSVVal
)),"")</f>
        <v/>
      </c>
      <c r="F40" s="45" t="str" cm="1">
        <f t="array" ref="F40">IFERROR(_xlfn.LET(
_xlpm.CSVVal,_xlfn.XLOOKUP($A40,CSV!$A:$A,CSV!F:F,""),
_xlpm.MacVal,_xlfn.XLOOKUP($A40,Output_Mac!$A:$A,Output_Mac!F:F,""),
_xlpm.MyAuditVal,_xlfn.XLOOKUP($A40,My_Audit!$A:$A,My_Audit!E:E,""),
_xlfn.IFS(_xlpm.MyAuditVal&lt;&gt;"",_xlpm.MyAuditVal,_xlpm.MacVal&lt;&gt;"",_xlpm.MacVal,_xlpm.CSVVal&lt;&gt;"",PROPER(_xlpm.CSVVal)
)),"")</f>
        <v/>
      </c>
      <c r="G40" s="45" t="str" cm="1">
        <f t="array" ref="G40">IFERROR(_xlfn.LET(
_xlpm.CSVVal,_xlfn.XLOOKUP($A40,CSV!$A:$A,CSV!G:G,""),
_xlpm.MacVal,_xlfn.XLOOKUP($A40,Output_Mac!$A:$A,Output_Mac!H:H,""),
_xlpm.MyAuditVal,_xlfn.XLOOKUP($A40,My_Audit!$A:$A,My_Audit!F:F,""),
_xlfn.IFS(_xlpm.MyAuditVal&lt;&gt;"",_xlpm.MyAuditVal,_xlpm.MacVal&lt;&gt;"",_xlpm.MacVal,_xlpm.CSVVal&lt;&gt;"",_xlpm.CSVVal
)),"")</f>
        <v/>
      </c>
      <c r="H40" s="45" t="str">
        <f>_xlfn.XLOOKUP(A40,Output_Mac!A:A,Output_Mac!I:I,"")</f>
        <v/>
      </c>
      <c r="I40" s="45" t="str" cm="1">
        <f t="array" ref="I40">IFERROR(_xlfn.LET(
_xlpm.CSVVal,_xlfn.XLOOKUP($A40,CSV!$A:$A,CSV!H:H,""),
_xlpm.MacVal,_xlfn.XLOOKUP($A40,Output_Mac!$A:$A,Output_Mac!J:J,""),
_xlpm.MyAuditVal,_xlfn.XLOOKUP($A40,My_Audit!$A:$A,My_Audit!H:H,""),
_xlfn.IFS(_xlpm.MyAuditVal&lt;&gt;"",UPPER(_xlpm.MyAuditVal),_xlpm.MacVal&lt;&gt;"",_xlpm.MacVal,_xlpm.CSVVal&lt;&gt;"",_xlpm.CSVVal
)),"")</f>
        <v/>
      </c>
      <c r="J40" s="45" t="str" cm="1">
        <f t="array" ref="J40">IFERROR(_xlfn.LET(
_xlpm.CSVVal,_xlfn.XLOOKUP($A40,CSV!$A:$A,CSV!J:J,""),
_xlpm.MacVal,_xlfn.XLOOKUP($A40,Output_Mac!$A:$A,Output_Mac!K:K,""),
_xlpm.MyAuditVal,_xlfn.XLOOKUP($A40,My_Audit!$A:$A,My_Audit!I:I,""),
_xlfn.IFS(_xlpm.MyAuditVal&lt;&gt;"",UPPER(_xlpm.MyAuditVal),_xlpm.MacVal&lt;&gt;"",_xlpm.MacVal,_xlpm.CSVVal&lt;&gt;"",_xlpm.CSVVal
)),"")</f>
        <v/>
      </c>
      <c r="K40" s="45" t="str" cm="1">
        <f t="array" ref="K40">IFERROR(_xlfn.LET(
_xlpm.CSVVal,_xlfn.XLOOKUP($A40,CSV!$A:$A,CSV!N:N,""),
_xlpm.MacVal,_xlfn.XLOOKUP($A40,Output_Mac!$A:$A,Output_Mac!L:L,""),
_xlpm.MyAuditVal,_xlfn.XLOOKUP($A40,My_Audit!$A:$A,My_Audit!J:J,""),
_xlfn.IFS(_xlpm.MyAuditVal&lt;&gt;"",UPPER(_xlpm.MyAuditVal),_xlpm.MacVal&lt;&gt;"",_xlpm.MacVal,_xlpm.CSVVal&lt;&gt;"",_xlpm.CSVVal
)),"")</f>
        <v/>
      </c>
      <c r="L40" s="46" t="str" cm="1">
        <f t="array" ref="L40">IFERROR(_xlfn.LET(
_xlpm.CSVVal,_xlfn.XLOOKUP($A40,CSV!$A:$A,CSV!Q:Q,""),
_xlpm.MacVal,_xlfn.XLOOKUP($A40,Output_Mac!$A:$A,Output_Mac!M:M,""),
_xlpm.MyAuditVal,_xlfn.XLOOKUP($A40,My_Audit!$A:$A,My_Audit!K:K,""),
_xlfn.IFS(_xlpm.MyAuditVal&lt;&gt;"",UPPER(_xlpm.MyAuditVal),_xlpm.MacVal&lt;&gt;"",_xlpm.MacVal,_xlpm.CSVVal&lt;&gt;"",_xlpm.CSVVal
)),"")</f>
        <v/>
      </c>
      <c r="M40" s="45" t="str">
        <f>_xlfn.LET(
    _xlpm.CSVVal, _xlfn.XLOOKUP($A40, CSV!$A:$A, CSV!AE:AE, ""),
    _xlpm.MacVal, _xlfn.XLOOKUP($A40, Output_Mac!$A:$A, Output_Mac!S:S, ""),
    _xlpm.MyAuditVal, _xlfn.XLOOKUP($A40, My_Audit!$A:$A, My_Audit!N:N, ""),
    _xlfn.TEXTJOIN(", ", TRUE, _xlpm.MyAuditVal, _xlpm.MacVal, _xlpm.CSVVal)
)</f>
        <v/>
      </c>
      <c r="N40" s="45" t="str" cm="1">
        <f t="array" ref="N40">IFERROR(_xlfn.LET(
_xlpm.CSVVal,_xlfn.XLOOKUP($A40,CSV!$A:$A,CSV!AG:AG,""),
_xlpm.MacVal,_xlfn.XLOOKUP($A40,Output_Mac!$A:$A,Output_Mac!U:U,""),
_xlpm.MyAuditVal,_xlfn.XLOOKUP($A40,My_Audit!$A:$A,My_Audit!O:O,""),
_xlfn.IFS(_xlpm.MyAuditVal&lt;&gt;"",UPPER(_xlpm.MyAuditVal),_xlpm.MacVal&lt;&gt;"",_xlpm.MacVal,_xlpm.CSVVal&lt;&gt;"",_xlpm.CSVVal
)),"")</f>
        <v/>
      </c>
      <c r="O40" s="46" t="str">
        <f>_xlfn.XLOOKUP(C40,My_Audit!B:B,My_Audit!P:P,"")&amp;""</f>
        <v/>
      </c>
      <c r="P40" s="45"/>
      <c r="Q40" s="46" t="str">
        <f>IF(LEFT(N40,4)="Pass","Nist SP 800-88",My_Audit!R40)&amp;""</f>
        <v/>
      </c>
      <c r="R40" s="45"/>
      <c r="S40" s="45"/>
      <c r="T40" s="46" t="str">
        <f>_xlfn.XLOOKUP(E40,Models!I:I,Models!J:J,"")</f>
        <v/>
      </c>
      <c r="U40" s="45"/>
      <c r="V40" s="45"/>
      <c r="W40" s="38" t="str">
        <f>_xlfn.LET(
    _xlpm.MacVal, _xlfn.XLOOKUP($A40, Output_Mac!$A:$A, Output_Mac!AB:AB, ""),
    _xlpm.MyAuditVal, _xlfn.XLOOKUP($A40, My_Audit!$A:$A, My_Audit!L:L, ""),
    _xlfn.TEXTJOIN(", ", TRUE, _xlpm.MyAuditVal, _xlpm.MacVal)
)</f>
        <v/>
      </c>
    </row>
    <row r="41" spans="1:23">
      <c r="A41" s="45" t="str">
        <f>_xlfn.TEXTJOIN("",TRUE,Input!$B$2,ROW(My_Audit!A40))</f>
        <v>XX40</v>
      </c>
      <c r="B41" s="45" t="str">
        <f>_xlfn.TEXTJOIN("-",TRUE,"ITD",Input!$A$2,A41)</f>
        <v>ITD-SHRXXX-XX40</v>
      </c>
      <c r="C41" s="45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46" t="str" cm="1">
        <f t="array" ref="D41">IFERROR(_xlfn.LET(
_xlpm.CSVVal,_xlfn.XLOOKUP($A41,CSV!$A:$A,CSV!C:C,""),
_xlpm.MacVal,_xlfn.XLOOKUP($A41,Output_Mac!$A:$A,Output_Mac!D:D,""),
_xlpm.MyAuditVal,_xlfn.XLOOKUP($A41,My_Audit!$A:$A,My_Audit!C:C,""),
_xlfn.IFS(_xlpm.MyAuditVal&lt;&gt;"",UPPER(_xlpm.MyAuditVal),_xlpm.MacVal&lt;&gt;"",_xlpm.MacVal,_xlpm.CSVVal&lt;&gt;"",_xlpm.CSVVal
)),"")</f>
        <v/>
      </c>
      <c r="E41" s="46" t="str" cm="1">
        <f t="array" ref="E41">IFERROR(_xlfn.LET(
_xlpm.CSVVal,_xlfn.XLOOKUP($A41,CSV!$A:$A,CSV!E:E,""),
_xlpm.MacVal,_xlfn.XLOOKUP($A41,Output_Mac!$A:$A,Output_Mac!C:C,""),
_xlpm.MyAuditVal,_xlfn.XLOOKUP($A41,My_Audit!$A:$A,My_Audit!D:D,""),
_xlfn.IFS(_xlpm.MyAuditVal&lt;&gt;"",_xlpm.MyAuditVal,_xlpm.MacVal&lt;&gt;"",_xlpm.MacVal,_xlpm.CSVVal&lt;&gt;"",_xlpm.CSVVal
)),"")</f>
        <v/>
      </c>
      <c r="F41" s="45" t="str" cm="1">
        <f t="array" ref="F41">IFERROR(_xlfn.LET(
_xlpm.CSVVal,_xlfn.XLOOKUP($A41,CSV!$A:$A,CSV!F:F,""),
_xlpm.MacVal,_xlfn.XLOOKUP($A41,Output_Mac!$A:$A,Output_Mac!F:F,""),
_xlpm.MyAuditVal,_xlfn.XLOOKUP($A41,My_Audit!$A:$A,My_Audit!E:E,""),
_xlfn.IFS(_xlpm.MyAuditVal&lt;&gt;"",_xlpm.MyAuditVal,_xlpm.MacVal&lt;&gt;"",_xlpm.MacVal,_xlpm.CSVVal&lt;&gt;"",PROPER(_xlpm.CSVVal)
)),"")</f>
        <v/>
      </c>
      <c r="G41" s="45" t="str" cm="1">
        <f t="array" ref="G41">IFERROR(_xlfn.LET(
_xlpm.CSVVal,_xlfn.XLOOKUP($A41,CSV!$A:$A,CSV!G:G,""),
_xlpm.MacVal,_xlfn.XLOOKUP($A41,Output_Mac!$A:$A,Output_Mac!H:H,""),
_xlpm.MyAuditVal,_xlfn.XLOOKUP($A41,My_Audit!$A:$A,My_Audit!F:F,""),
_xlfn.IFS(_xlpm.MyAuditVal&lt;&gt;"",_xlpm.MyAuditVal,_xlpm.MacVal&lt;&gt;"",_xlpm.MacVal,_xlpm.CSVVal&lt;&gt;"",_xlpm.CSVVal
)),"")</f>
        <v/>
      </c>
      <c r="H41" s="45" t="str">
        <f>_xlfn.XLOOKUP(A41,Output_Mac!A:A,Output_Mac!I:I,"")</f>
        <v/>
      </c>
      <c r="I41" s="45" t="str" cm="1">
        <f t="array" ref="I41">IFERROR(_xlfn.LET(
_xlpm.CSVVal,_xlfn.XLOOKUP($A41,CSV!$A:$A,CSV!H:H,""),
_xlpm.MacVal,_xlfn.XLOOKUP($A41,Output_Mac!$A:$A,Output_Mac!J:J,""),
_xlpm.MyAuditVal,_xlfn.XLOOKUP($A41,My_Audit!$A:$A,My_Audit!H:H,""),
_xlfn.IFS(_xlpm.MyAuditVal&lt;&gt;"",UPPER(_xlpm.MyAuditVal),_xlpm.MacVal&lt;&gt;"",_xlpm.MacVal,_xlpm.CSVVal&lt;&gt;"",_xlpm.CSVVal
)),"")</f>
        <v/>
      </c>
      <c r="J41" s="45" t="str" cm="1">
        <f t="array" ref="J41">IFERROR(_xlfn.LET(
_xlpm.CSVVal,_xlfn.XLOOKUP($A41,CSV!$A:$A,CSV!J:J,""),
_xlpm.MacVal,_xlfn.XLOOKUP($A41,Output_Mac!$A:$A,Output_Mac!K:K,""),
_xlpm.MyAuditVal,_xlfn.XLOOKUP($A41,My_Audit!$A:$A,My_Audit!I:I,""),
_xlfn.IFS(_xlpm.MyAuditVal&lt;&gt;"",UPPER(_xlpm.MyAuditVal),_xlpm.MacVal&lt;&gt;"",_xlpm.MacVal,_xlpm.CSVVal&lt;&gt;"",_xlpm.CSVVal
)),"")</f>
        <v/>
      </c>
      <c r="K41" s="45" t="str" cm="1">
        <f t="array" ref="K41">IFERROR(_xlfn.LET(
_xlpm.CSVVal,_xlfn.XLOOKUP($A41,CSV!$A:$A,CSV!N:N,""),
_xlpm.MacVal,_xlfn.XLOOKUP($A41,Output_Mac!$A:$A,Output_Mac!L:L,""),
_xlpm.MyAuditVal,_xlfn.XLOOKUP($A41,My_Audit!$A:$A,My_Audit!J:J,""),
_xlfn.IFS(_xlpm.MyAuditVal&lt;&gt;"",UPPER(_xlpm.MyAuditVal),_xlpm.MacVal&lt;&gt;"",_xlpm.MacVal,_xlpm.CSVVal&lt;&gt;"",_xlpm.CSVVal
)),"")</f>
        <v/>
      </c>
      <c r="L41" s="46" t="str" cm="1">
        <f t="array" ref="L41">IFERROR(_xlfn.LET(
_xlpm.CSVVal,_xlfn.XLOOKUP($A41,CSV!$A:$A,CSV!Q:Q,""),
_xlpm.MacVal,_xlfn.XLOOKUP($A41,Output_Mac!$A:$A,Output_Mac!M:M,""),
_xlpm.MyAuditVal,_xlfn.XLOOKUP($A41,My_Audit!$A:$A,My_Audit!K:K,""),
_xlfn.IFS(_xlpm.MyAuditVal&lt;&gt;"",UPPER(_xlpm.MyAuditVal),_xlpm.MacVal&lt;&gt;"",_xlpm.MacVal,_xlpm.CSVVal&lt;&gt;"",_xlpm.CSVVal
)),"")</f>
        <v/>
      </c>
      <c r="M41" s="45" t="str">
        <f>_xlfn.LET(
    _xlpm.CSVVal, _xlfn.XLOOKUP($A41, CSV!$A:$A, CSV!AE:AE, ""),
    _xlpm.MacVal, _xlfn.XLOOKUP($A41, Output_Mac!$A:$A, Output_Mac!S:S, ""),
    _xlpm.MyAuditVal, _xlfn.XLOOKUP($A41, My_Audit!$A:$A, My_Audit!N:N, ""),
    _xlfn.TEXTJOIN(", ", TRUE, _xlpm.MyAuditVal, _xlpm.MacVal, _xlpm.CSVVal)
)</f>
        <v/>
      </c>
      <c r="N41" s="45" t="str" cm="1">
        <f t="array" ref="N41">IFERROR(_xlfn.LET(
_xlpm.CSVVal,_xlfn.XLOOKUP($A41,CSV!$A:$A,CSV!AG:AG,""),
_xlpm.MacVal,_xlfn.XLOOKUP($A41,Output_Mac!$A:$A,Output_Mac!U:U,""),
_xlpm.MyAuditVal,_xlfn.XLOOKUP($A41,My_Audit!$A:$A,My_Audit!O:O,""),
_xlfn.IFS(_xlpm.MyAuditVal&lt;&gt;"",UPPER(_xlpm.MyAuditVal),_xlpm.MacVal&lt;&gt;"",_xlpm.MacVal,_xlpm.CSVVal&lt;&gt;"",_xlpm.CSVVal
)),"")</f>
        <v/>
      </c>
      <c r="O41" s="46" t="str">
        <f>_xlfn.XLOOKUP(C41,My_Audit!B:B,My_Audit!P:P,"")&amp;""</f>
        <v/>
      </c>
      <c r="P41" s="45"/>
      <c r="Q41" s="46" t="str">
        <f>IF(LEFT(N41,4)="Pass","Nist SP 800-88",My_Audit!R41)&amp;""</f>
        <v/>
      </c>
      <c r="R41" s="45"/>
      <c r="S41" s="45"/>
      <c r="T41" s="46" t="str">
        <f>_xlfn.XLOOKUP(E41,Models!I:I,Models!J:J,"")</f>
        <v/>
      </c>
      <c r="U41" s="45"/>
      <c r="V41" s="45"/>
      <c r="W41" s="38" t="str">
        <f>_xlfn.LET(
    _xlpm.MacVal, _xlfn.XLOOKUP($A41, Output_Mac!$A:$A, Output_Mac!AB:AB, ""),
    _xlpm.MyAuditVal, _xlfn.XLOOKUP($A41, My_Audit!$A:$A, My_Audit!L:L, ""),
    _xlfn.TEXTJOIN(", ", TRUE, _xlpm.MyAuditVal, _xlpm.MacVal)
)</f>
        <v/>
      </c>
    </row>
    <row r="42" spans="1:23">
      <c r="A42" s="45" t="str">
        <f>_xlfn.TEXTJOIN("",TRUE,Input!$B$2,ROW(My_Audit!A41))</f>
        <v>XX41</v>
      </c>
      <c r="B42" s="45" t="str">
        <f>_xlfn.TEXTJOIN("-",TRUE,"ITD",Input!$A$2,A42)</f>
        <v>ITD-SHRXXX-XX41</v>
      </c>
      <c r="C42" s="45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46" t="str" cm="1">
        <f t="array" ref="D42">IFERROR(_xlfn.LET(
_xlpm.CSVVal,_xlfn.XLOOKUP($A42,CSV!$A:$A,CSV!C:C,""),
_xlpm.MacVal,_xlfn.XLOOKUP($A42,Output_Mac!$A:$A,Output_Mac!D:D,""),
_xlpm.MyAuditVal,_xlfn.XLOOKUP($A42,My_Audit!$A:$A,My_Audit!C:C,""),
_xlfn.IFS(_xlpm.MyAuditVal&lt;&gt;"",UPPER(_xlpm.MyAuditVal),_xlpm.MacVal&lt;&gt;"",_xlpm.MacVal,_xlpm.CSVVal&lt;&gt;"",_xlpm.CSVVal
)),"")</f>
        <v/>
      </c>
      <c r="E42" s="46" t="str" cm="1">
        <f t="array" ref="E42">IFERROR(_xlfn.LET(
_xlpm.CSVVal,_xlfn.XLOOKUP($A42,CSV!$A:$A,CSV!E:E,""),
_xlpm.MacVal,_xlfn.XLOOKUP($A42,Output_Mac!$A:$A,Output_Mac!C:C,""),
_xlpm.MyAuditVal,_xlfn.XLOOKUP($A42,My_Audit!$A:$A,My_Audit!D:D,""),
_xlfn.IFS(_xlpm.MyAuditVal&lt;&gt;"",_xlpm.MyAuditVal,_xlpm.MacVal&lt;&gt;"",_xlpm.MacVal,_xlpm.CSVVal&lt;&gt;"",_xlpm.CSVVal
)),"")</f>
        <v/>
      </c>
      <c r="F42" s="45" t="str" cm="1">
        <f t="array" ref="F42">IFERROR(_xlfn.LET(
_xlpm.CSVVal,_xlfn.XLOOKUP($A42,CSV!$A:$A,CSV!F:F,""),
_xlpm.MacVal,_xlfn.XLOOKUP($A42,Output_Mac!$A:$A,Output_Mac!F:F,""),
_xlpm.MyAuditVal,_xlfn.XLOOKUP($A42,My_Audit!$A:$A,My_Audit!E:E,""),
_xlfn.IFS(_xlpm.MyAuditVal&lt;&gt;"",_xlpm.MyAuditVal,_xlpm.MacVal&lt;&gt;"",_xlpm.MacVal,_xlpm.CSVVal&lt;&gt;"",PROPER(_xlpm.CSVVal)
)),"")</f>
        <v/>
      </c>
      <c r="G42" s="45" t="str" cm="1">
        <f t="array" ref="G42">IFERROR(_xlfn.LET(
_xlpm.CSVVal,_xlfn.XLOOKUP($A42,CSV!$A:$A,CSV!G:G,""),
_xlpm.MacVal,_xlfn.XLOOKUP($A42,Output_Mac!$A:$A,Output_Mac!H:H,""),
_xlpm.MyAuditVal,_xlfn.XLOOKUP($A42,My_Audit!$A:$A,My_Audit!F:F,""),
_xlfn.IFS(_xlpm.MyAuditVal&lt;&gt;"",_xlpm.MyAuditVal,_xlpm.MacVal&lt;&gt;"",_xlpm.MacVal,_xlpm.CSVVal&lt;&gt;"",_xlpm.CSVVal
)),"")</f>
        <v/>
      </c>
      <c r="H42" s="45" t="str">
        <f>_xlfn.XLOOKUP(A42,Output_Mac!A:A,Output_Mac!I:I,"")</f>
        <v/>
      </c>
      <c r="I42" s="45" t="str" cm="1">
        <f t="array" ref="I42">IFERROR(_xlfn.LET(
_xlpm.CSVVal,_xlfn.XLOOKUP($A42,CSV!$A:$A,CSV!H:H,""),
_xlpm.MacVal,_xlfn.XLOOKUP($A42,Output_Mac!$A:$A,Output_Mac!J:J,""),
_xlpm.MyAuditVal,_xlfn.XLOOKUP($A42,My_Audit!$A:$A,My_Audit!H:H,""),
_xlfn.IFS(_xlpm.MyAuditVal&lt;&gt;"",UPPER(_xlpm.MyAuditVal),_xlpm.MacVal&lt;&gt;"",_xlpm.MacVal,_xlpm.CSVVal&lt;&gt;"",_xlpm.CSVVal
)),"")</f>
        <v/>
      </c>
      <c r="J42" s="45" t="str" cm="1">
        <f t="array" ref="J42">IFERROR(_xlfn.LET(
_xlpm.CSVVal,_xlfn.XLOOKUP($A42,CSV!$A:$A,CSV!J:J,""),
_xlpm.MacVal,_xlfn.XLOOKUP($A42,Output_Mac!$A:$A,Output_Mac!K:K,""),
_xlpm.MyAuditVal,_xlfn.XLOOKUP($A42,My_Audit!$A:$A,My_Audit!I:I,""),
_xlfn.IFS(_xlpm.MyAuditVal&lt;&gt;"",UPPER(_xlpm.MyAuditVal),_xlpm.MacVal&lt;&gt;"",_xlpm.MacVal,_xlpm.CSVVal&lt;&gt;"",_xlpm.CSVVal
)),"")</f>
        <v/>
      </c>
      <c r="K42" s="45" t="str" cm="1">
        <f t="array" ref="K42">IFERROR(_xlfn.LET(
_xlpm.CSVVal,_xlfn.XLOOKUP($A42,CSV!$A:$A,CSV!N:N,""),
_xlpm.MacVal,_xlfn.XLOOKUP($A42,Output_Mac!$A:$A,Output_Mac!L:L,""),
_xlpm.MyAuditVal,_xlfn.XLOOKUP($A42,My_Audit!$A:$A,My_Audit!J:J,""),
_xlfn.IFS(_xlpm.MyAuditVal&lt;&gt;"",UPPER(_xlpm.MyAuditVal),_xlpm.MacVal&lt;&gt;"",_xlpm.MacVal,_xlpm.CSVVal&lt;&gt;"",_xlpm.CSVVal
)),"")</f>
        <v/>
      </c>
      <c r="L42" s="46" t="str" cm="1">
        <f t="array" ref="L42">IFERROR(_xlfn.LET(
_xlpm.CSVVal,_xlfn.XLOOKUP($A42,CSV!$A:$A,CSV!Q:Q,""),
_xlpm.MacVal,_xlfn.XLOOKUP($A42,Output_Mac!$A:$A,Output_Mac!M:M,""),
_xlpm.MyAuditVal,_xlfn.XLOOKUP($A42,My_Audit!$A:$A,My_Audit!K:K,""),
_xlfn.IFS(_xlpm.MyAuditVal&lt;&gt;"",UPPER(_xlpm.MyAuditVal),_xlpm.MacVal&lt;&gt;"",_xlpm.MacVal,_xlpm.CSVVal&lt;&gt;"",_xlpm.CSVVal
)),"")</f>
        <v/>
      </c>
      <c r="M42" s="45" t="str">
        <f>_xlfn.LET(
    _xlpm.CSVVal, _xlfn.XLOOKUP($A42, CSV!$A:$A, CSV!AE:AE, ""),
    _xlpm.MacVal, _xlfn.XLOOKUP($A42, Output_Mac!$A:$A, Output_Mac!S:S, ""),
    _xlpm.MyAuditVal, _xlfn.XLOOKUP($A42, My_Audit!$A:$A, My_Audit!N:N, ""),
    _xlfn.TEXTJOIN(", ", TRUE, _xlpm.MyAuditVal, _xlpm.MacVal, _xlpm.CSVVal)
)</f>
        <v/>
      </c>
      <c r="N42" s="45" t="str" cm="1">
        <f t="array" ref="N42">IFERROR(_xlfn.LET(
_xlpm.CSVVal,_xlfn.XLOOKUP($A42,CSV!$A:$A,CSV!AG:AG,""),
_xlpm.MacVal,_xlfn.XLOOKUP($A42,Output_Mac!$A:$A,Output_Mac!U:U,""),
_xlpm.MyAuditVal,_xlfn.XLOOKUP($A42,My_Audit!$A:$A,My_Audit!O:O,""),
_xlfn.IFS(_xlpm.MyAuditVal&lt;&gt;"",UPPER(_xlpm.MyAuditVal),_xlpm.MacVal&lt;&gt;"",_xlpm.MacVal,_xlpm.CSVVal&lt;&gt;"",_xlpm.CSVVal
)),"")</f>
        <v/>
      </c>
      <c r="O42" s="46" t="str">
        <f>_xlfn.XLOOKUP(C42,My_Audit!B:B,My_Audit!P:P,"")&amp;""</f>
        <v/>
      </c>
      <c r="P42" s="45"/>
      <c r="Q42" s="46" t="str">
        <f>IF(LEFT(N42,4)="Pass","Nist SP 800-88",My_Audit!R42)&amp;""</f>
        <v/>
      </c>
      <c r="R42" s="45"/>
      <c r="S42" s="45"/>
      <c r="T42" s="46" t="str">
        <f>_xlfn.XLOOKUP(E42,Models!I:I,Models!J:J,"")</f>
        <v/>
      </c>
      <c r="U42" s="45"/>
      <c r="V42" s="45"/>
      <c r="W42" s="38" t="str">
        <f>_xlfn.LET(
    _xlpm.MacVal, _xlfn.XLOOKUP($A42, Output_Mac!$A:$A, Output_Mac!AB:AB, ""),
    _xlpm.MyAuditVal, _xlfn.XLOOKUP($A42, My_Audit!$A:$A, My_Audit!L:L, ""),
    _xlfn.TEXTJOIN(", ", TRUE, _xlpm.MyAuditVal, _xlpm.MacVal)
)</f>
        <v/>
      </c>
    </row>
    <row r="43" spans="1:23">
      <c r="A43" s="45" t="str">
        <f>_xlfn.TEXTJOIN("",TRUE,Input!$B$2,ROW(My_Audit!A42))</f>
        <v>XX42</v>
      </c>
      <c r="B43" s="45" t="str">
        <f>_xlfn.TEXTJOIN("-",TRUE,"ITD",Input!$A$2,A43)</f>
        <v>ITD-SHRXXX-XX42</v>
      </c>
      <c r="C43" s="45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46" t="str" cm="1">
        <f t="array" ref="D43">IFERROR(_xlfn.LET(
_xlpm.CSVVal,_xlfn.XLOOKUP($A43,CSV!$A:$A,CSV!C:C,""),
_xlpm.MacVal,_xlfn.XLOOKUP($A43,Output_Mac!$A:$A,Output_Mac!D:D,""),
_xlpm.MyAuditVal,_xlfn.XLOOKUP($A43,My_Audit!$A:$A,My_Audit!C:C,""),
_xlfn.IFS(_xlpm.MyAuditVal&lt;&gt;"",UPPER(_xlpm.MyAuditVal),_xlpm.MacVal&lt;&gt;"",_xlpm.MacVal,_xlpm.CSVVal&lt;&gt;"",_xlpm.CSVVal
)),"")</f>
        <v/>
      </c>
      <c r="E43" s="46" t="str" cm="1">
        <f t="array" ref="E43">IFERROR(_xlfn.LET(
_xlpm.CSVVal,_xlfn.XLOOKUP($A43,CSV!$A:$A,CSV!E:E,""),
_xlpm.MacVal,_xlfn.XLOOKUP($A43,Output_Mac!$A:$A,Output_Mac!C:C,""),
_xlpm.MyAuditVal,_xlfn.XLOOKUP($A43,My_Audit!$A:$A,My_Audit!D:D,""),
_xlfn.IFS(_xlpm.MyAuditVal&lt;&gt;"",_xlpm.MyAuditVal,_xlpm.MacVal&lt;&gt;"",_xlpm.MacVal,_xlpm.CSVVal&lt;&gt;"",_xlpm.CSVVal
)),"")</f>
        <v/>
      </c>
      <c r="F43" s="45" t="str" cm="1">
        <f t="array" ref="F43">IFERROR(_xlfn.LET(
_xlpm.CSVVal,_xlfn.XLOOKUP($A43,CSV!$A:$A,CSV!F:F,""),
_xlpm.MacVal,_xlfn.XLOOKUP($A43,Output_Mac!$A:$A,Output_Mac!F:F,""),
_xlpm.MyAuditVal,_xlfn.XLOOKUP($A43,My_Audit!$A:$A,My_Audit!E:E,""),
_xlfn.IFS(_xlpm.MyAuditVal&lt;&gt;"",_xlpm.MyAuditVal,_xlpm.MacVal&lt;&gt;"",_xlpm.MacVal,_xlpm.CSVVal&lt;&gt;"",PROPER(_xlpm.CSVVal)
)),"")</f>
        <v/>
      </c>
      <c r="G43" s="45" t="str" cm="1">
        <f t="array" ref="G43">IFERROR(_xlfn.LET(
_xlpm.CSVVal,_xlfn.XLOOKUP($A43,CSV!$A:$A,CSV!G:G,""),
_xlpm.MacVal,_xlfn.XLOOKUP($A43,Output_Mac!$A:$A,Output_Mac!H:H,""),
_xlpm.MyAuditVal,_xlfn.XLOOKUP($A43,My_Audit!$A:$A,My_Audit!F:F,""),
_xlfn.IFS(_xlpm.MyAuditVal&lt;&gt;"",_xlpm.MyAuditVal,_xlpm.MacVal&lt;&gt;"",_xlpm.MacVal,_xlpm.CSVVal&lt;&gt;"",_xlpm.CSVVal
)),"")</f>
        <v/>
      </c>
      <c r="H43" s="45" t="str">
        <f>_xlfn.XLOOKUP(A43,Output_Mac!A:A,Output_Mac!I:I,"")</f>
        <v/>
      </c>
      <c r="I43" s="45" t="str" cm="1">
        <f t="array" ref="I43">IFERROR(_xlfn.LET(
_xlpm.CSVVal,_xlfn.XLOOKUP($A43,CSV!$A:$A,CSV!H:H,""),
_xlpm.MacVal,_xlfn.XLOOKUP($A43,Output_Mac!$A:$A,Output_Mac!J:J,""),
_xlpm.MyAuditVal,_xlfn.XLOOKUP($A43,My_Audit!$A:$A,My_Audit!H:H,""),
_xlfn.IFS(_xlpm.MyAuditVal&lt;&gt;"",UPPER(_xlpm.MyAuditVal),_xlpm.MacVal&lt;&gt;"",_xlpm.MacVal,_xlpm.CSVVal&lt;&gt;"",_xlpm.CSVVal
)),"")</f>
        <v/>
      </c>
      <c r="J43" s="45" t="str" cm="1">
        <f t="array" ref="J43">IFERROR(_xlfn.LET(
_xlpm.CSVVal,_xlfn.XLOOKUP($A43,CSV!$A:$A,CSV!J:J,""),
_xlpm.MacVal,_xlfn.XLOOKUP($A43,Output_Mac!$A:$A,Output_Mac!K:K,""),
_xlpm.MyAuditVal,_xlfn.XLOOKUP($A43,My_Audit!$A:$A,My_Audit!I:I,""),
_xlfn.IFS(_xlpm.MyAuditVal&lt;&gt;"",UPPER(_xlpm.MyAuditVal),_xlpm.MacVal&lt;&gt;"",_xlpm.MacVal,_xlpm.CSVVal&lt;&gt;"",_xlpm.CSVVal
)),"")</f>
        <v/>
      </c>
      <c r="K43" s="45" t="str" cm="1">
        <f t="array" ref="K43">IFERROR(_xlfn.LET(
_xlpm.CSVVal,_xlfn.XLOOKUP($A43,CSV!$A:$A,CSV!N:N,""),
_xlpm.MacVal,_xlfn.XLOOKUP($A43,Output_Mac!$A:$A,Output_Mac!L:L,""),
_xlpm.MyAuditVal,_xlfn.XLOOKUP($A43,My_Audit!$A:$A,My_Audit!J:J,""),
_xlfn.IFS(_xlpm.MyAuditVal&lt;&gt;"",UPPER(_xlpm.MyAuditVal),_xlpm.MacVal&lt;&gt;"",_xlpm.MacVal,_xlpm.CSVVal&lt;&gt;"",_xlpm.CSVVal
)),"")</f>
        <v/>
      </c>
      <c r="L43" s="46" t="str" cm="1">
        <f t="array" ref="L43">IFERROR(_xlfn.LET(
_xlpm.CSVVal,_xlfn.XLOOKUP($A43,CSV!$A:$A,CSV!Q:Q,""),
_xlpm.MacVal,_xlfn.XLOOKUP($A43,Output_Mac!$A:$A,Output_Mac!M:M,""),
_xlpm.MyAuditVal,_xlfn.XLOOKUP($A43,My_Audit!$A:$A,My_Audit!K:K,""),
_xlfn.IFS(_xlpm.MyAuditVal&lt;&gt;"",UPPER(_xlpm.MyAuditVal),_xlpm.MacVal&lt;&gt;"",_xlpm.MacVal,_xlpm.CSVVal&lt;&gt;"",_xlpm.CSVVal
)),"")</f>
        <v/>
      </c>
      <c r="M43" s="45" t="str">
        <f>_xlfn.LET(
    _xlpm.CSVVal, _xlfn.XLOOKUP($A43, CSV!$A:$A, CSV!AE:AE, ""),
    _xlpm.MacVal, _xlfn.XLOOKUP($A43, Output_Mac!$A:$A, Output_Mac!S:S, ""),
    _xlpm.MyAuditVal, _xlfn.XLOOKUP($A43, My_Audit!$A:$A, My_Audit!N:N, ""),
    _xlfn.TEXTJOIN(", ", TRUE, _xlpm.MyAuditVal, _xlpm.MacVal, _xlpm.CSVVal)
)</f>
        <v/>
      </c>
      <c r="N43" s="45" t="str" cm="1">
        <f t="array" ref="N43">IFERROR(_xlfn.LET(
_xlpm.CSVVal,_xlfn.XLOOKUP($A43,CSV!$A:$A,CSV!AG:AG,""),
_xlpm.MacVal,_xlfn.XLOOKUP($A43,Output_Mac!$A:$A,Output_Mac!U:U,""),
_xlpm.MyAuditVal,_xlfn.XLOOKUP($A43,My_Audit!$A:$A,My_Audit!O:O,""),
_xlfn.IFS(_xlpm.MyAuditVal&lt;&gt;"",UPPER(_xlpm.MyAuditVal),_xlpm.MacVal&lt;&gt;"",_xlpm.MacVal,_xlpm.CSVVal&lt;&gt;"",_xlpm.CSVVal
)),"")</f>
        <v/>
      </c>
      <c r="O43" s="46" t="str">
        <f>_xlfn.XLOOKUP(C43,My_Audit!B:B,My_Audit!P:P,"")&amp;""</f>
        <v/>
      </c>
      <c r="P43" s="45"/>
      <c r="Q43" s="46" t="str">
        <f>IF(LEFT(N43,4)="Pass","Nist SP 800-88",My_Audit!R43)&amp;""</f>
        <v/>
      </c>
      <c r="R43" s="45"/>
      <c r="S43" s="45"/>
      <c r="T43" s="46" t="str">
        <f>_xlfn.XLOOKUP(E43,Models!I:I,Models!J:J,"")</f>
        <v/>
      </c>
      <c r="U43" s="45"/>
      <c r="V43" s="45"/>
      <c r="W43" s="38" t="str">
        <f>_xlfn.LET(
    _xlpm.MacVal, _xlfn.XLOOKUP($A43, Output_Mac!$A:$A, Output_Mac!AB:AB, ""),
    _xlpm.MyAuditVal, _xlfn.XLOOKUP($A43, My_Audit!$A:$A, My_Audit!L:L, ""),
    _xlfn.TEXTJOIN(", ", TRUE, _xlpm.MyAuditVal, _xlpm.MacVal)
)</f>
        <v/>
      </c>
    </row>
    <row r="44" spans="1:23">
      <c r="A44" s="45" t="str">
        <f>_xlfn.TEXTJOIN("",TRUE,Input!$B$2,ROW(My_Audit!A43))</f>
        <v>XX43</v>
      </c>
      <c r="B44" s="45" t="str">
        <f>_xlfn.TEXTJOIN("-",TRUE,"ITD",Input!$A$2,A44)</f>
        <v>ITD-SHRXXX-XX43</v>
      </c>
      <c r="C44" s="45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46" t="str" cm="1">
        <f t="array" ref="D44">IFERROR(_xlfn.LET(
_xlpm.CSVVal,_xlfn.XLOOKUP($A44,CSV!$A:$A,CSV!C:C,""),
_xlpm.MacVal,_xlfn.XLOOKUP($A44,Output_Mac!$A:$A,Output_Mac!D:D,""),
_xlpm.MyAuditVal,_xlfn.XLOOKUP($A44,My_Audit!$A:$A,My_Audit!C:C,""),
_xlfn.IFS(_xlpm.MyAuditVal&lt;&gt;"",UPPER(_xlpm.MyAuditVal),_xlpm.MacVal&lt;&gt;"",_xlpm.MacVal,_xlpm.CSVVal&lt;&gt;"",_xlpm.CSVVal
)),"")</f>
        <v/>
      </c>
      <c r="E44" s="46" t="str" cm="1">
        <f t="array" ref="E44">IFERROR(_xlfn.LET(
_xlpm.CSVVal,_xlfn.XLOOKUP($A44,CSV!$A:$A,CSV!E:E,""),
_xlpm.MacVal,_xlfn.XLOOKUP($A44,Output_Mac!$A:$A,Output_Mac!C:C,""),
_xlpm.MyAuditVal,_xlfn.XLOOKUP($A44,My_Audit!$A:$A,My_Audit!D:D,""),
_xlfn.IFS(_xlpm.MyAuditVal&lt;&gt;"",_xlpm.MyAuditVal,_xlpm.MacVal&lt;&gt;"",_xlpm.MacVal,_xlpm.CSVVal&lt;&gt;"",_xlpm.CSVVal
)),"")</f>
        <v/>
      </c>
      <c r="F44" s="45" t="str" cm="1">
        <f t="array" ref="F44">IFERROR(_xlfn.LET(
_xlpm.CSVVal,_xlfn.XLOOKUP($A44,CSV!$A:$A,CSV!F:F,""),
_xlpm.MacVal,_xlfn.XLOOKUP($A44,Output_Mac!$A:$A,Output_Mac!F:F,""),
_xlpm.MyAuditVal,_xlfn.XLOOKUP($A44,My_Audit!$A:$A,My_Audit!E:E,""),
_xlfn.IFS(_xlpm.MyAuditVal&lt;&gt;"",_xlpm.MyAuditVal,_xlpm.MacVal&lt;&gt;"",_xlpm.MacVal,_xlpm.CSVVal&lt;&gt;"",PROPER(_xlpm.CSVVal)
)),"")</f>
        <v/>
      </c>
      <c r="G44" s="45" t="str" cm="1">
        <f t="array" ref="G44">IFERROR(_xlfn.LET(
_xlpm.CSVVal,_xlfn.XLOOKUP($A44,CSV!$A:$A,CSV!G:G,""),
_xlpm.MacVal,_xlfn.XLOOKUP($A44,Output_Mac!$A:$A,Output_Mac!H:H,""),
_xlpm.MyAuditVal,_xlfn.XLOOKUP($A44,My_Audit!$A:$A,My_Audit!F:F,""),
_xlfn.IFS(_xlpm.MyAuditVal&lt;&gt;"",_xlpm.MyAuditVal,_xlpm.MacVal&lt;&gt;"",_xlpm.MacVal,_xlpm.CSVVal&lt;&gt;"",_xlpm.CSVVal
)),"")</f>
        <v/>
      </c>
      <c r="H44" s="45" t="str">
        <f>_xlfn.XLOOKUP(A44,Output_Mac!A:A,Output_Mac!I:I,"")</f>
        <v/>
      </c>
      <c r="I44" s="45" t="str" cm="1">
        <f t="array" ref="I44">IFERROR(_xlfn.LET(
_xlpm.CSVVal,_xlfn.XLOOKUP($A44,CSV!$A:$A,CSV!H:H,""),
_xlpm.MacVal,_xlfn.XLOOKUP($A44,Output_Mac!$A:$A,Output_Mac!J:J,""),
_xlpm.MyAuditVal,_xlfn.XLOOKUP($A44,My_Audit!$A:$A,My_Audit!H:H,""),
_xlfn.IFS(_xlpm.MyAuditVal&lt;&gt;"",UPPER(_xlpm.MyAuditVal),_xlpm.MacVal&lt;&gt;"",_xlpm.MacVal,_xlpm.CSVVal&lt;&gt;"",_xlpm.CSVVal
)),"")</f>
        <v/>
      </c>
      <c r="J44" s="45" t="str" cm="1">
        <f t="array" ref="J44">IFERROR(_xlfn.LET(
_xlpm.CSVVal,_xlfn.XLOOKUP($A44,CSV!$A:$A,CSV!J:J,""),
_xlpm.MacVal,_xlfn.XLOOKUP($A44,Output_Mac!$A:$A,Output_Mac!K:K,""),
_xlpm.MyAuditVal,_xlfn.XLOOKUP($A44,My_Audit!$A:$A,My_Audit!I:I,""),
_xlfn.IFS(_xlpm.MyAuditVal&lt;&gt;"",UPPER(_xlpm.MyAuditVal),_xlpm.MacVal&lt;&gt;"",_xlpm.MacVal,_xlpm.CSVVal&lt;&gt;"",_xlpm.CSVVal
)),"")</f>
        <v/>
      </c>
      <c r="K44" s="45" t="str" cm="1">
        <f t="array" ref="K44">IFERROR(_xlfn.LET(
_xlpm.CSVVal,_xlfn.XLOOKUP($A44,CSV!$A:$A,CSV!N:N,""),
_xlpm.MacVal,_xlfn.XLOOKUP($A44,Output_Mac!$A:$A,Output_Mac!L:L,""),
_xlpm.MyAuditVal,_xlfn.XLOOKUP($A44,My_Audit!$A:$A,My_Audit!J:J,""),
_xlfn.IFS(_xlpm.MyAuditVal&lt;&gt;"",UPPER(_xlpm.MyAuditVal),_xlpm.MacVal&lt;&gt;"",_xlpm.MacVal,_xlpm.CSVVal&lt;&gt;"",_xlpm.CSVVal
)),"")</f>
        <v/>
      </c>
      <c r="L44" s="46" t="str" cm="1">
        <f t="array" ref="L44">IFERROR(_xlfn.LET(
_xlpm.CSVVal,_xlfn.XLOOKUP($A44,CSV!$A:$A,CSV!Q:Q,""),
_xlpm.MacVal,_xlfn.XLOOKUP($A44,Output_Mac!$A:$A,Output_Mac!M:M,""),
_xlpm.MyAuditVal,_xlfn.XLOOKUP($A44,My_Audit!$A:$A,My_Audit!K:K,""),
_xlfn.IFS(_xlpm.MyAuditVal&lt;&gt;"",UPPER(_xlpm.MyAuditVal),_xlpm.MacVal&lt;&gt;"",_xlpm.MacVal,_xlpm.CSVVal&lt;&gt;"",_xlpm.CSVVal
)),"")</f>
        <v/>
      </c>
      <c r="M44" s="45" t="str">
        <f>_xlfn.LET(
    _xlpm.CSVVal, _xlfn.XLOOKUP($A44, CSV!$A:$A, CSV!AE:AE, ""),
    _xlpm.MacVal, _xlfn.XLOOKUP($A44, Output_Mac!$A:$A, Output_Mac!S:S, ""),
    _xlpm.MyAuditVal, _xlfn.XLOOKUP($A44, My_Audit!$A:$A, My_Audit!N:N, ""),
    _xlfn.TEXTJOIN(", ", TRUE, _xlpm.MyAuditVal, _xlpm.MacVal, _xlpm.CSVVal)
)</f>
        <v/>
      </c>
      <c r="N44" s="45" t="str" cm="1">
        <f t="array" ref="N44">IFERROR(_xlfn.LET(
_xlpm.CSVVal,_xlfn.XLOOKUP($A44,CSV!$A:$A,CSV!AG:AG,""),
_xlpm.MacVal,_xlfn.XLOOKUP($A44,Output_Mac!$A:$A,Output_Mac!U:U,""),
_xlpm.MyAuditVal,_xlfn.XLOOKUP($A44,My_Audit!$A:$A,My_Audit!O:O,""),
_xlfn.IFS(_xlpm.MyAuditVal&lt;&gt;"",UPPER(_xlpm.MyAuditVal),_xlpm.MacVal&lt;&gt;"",_xlpm.MacVal,_xlpm.CSVVal&lt;&gt;"",_xlpm.CSVVal
)),"")</f>
        <v/>
      </c>
      <c r="O44" s="46" t="str">
        <f>_xlfn.XLOOKUP(C44,My_Audit!B:B,My_Audit!P:P,"")&amp;""</f>
        <v/>
      </c>
      <c r="P44" s="45"/>
      <c r="Q44" s="46" t="str">
        <f>IF(LEFT(N44,4)="Pass","Nist SP 800-88",My_Audit!R44)&amp;""</f>
        <v/>
      </c>
      <c r="R44" s="45"/>
      <c r="S44" s="45"/>
      <c r="T44" s="46" t="str">
        <f>_xlfn.XLOOKUP(E44,Models!I:I,Models!J:J,"")</f>
        <v/>
      </c>
      <c r="U44" s="45"/>
      <c r="V44" s="45"/>
      <c r="W44" s="38" t="str">
        <f>_xlfn.LET(
    _xlpm.MacVal, _xlfn.XLOOKUP($A44, Output_Mac!$A:$A, Output_Mac!AB:AB, ""),
    _xlpm.MyAuditVal, _xlfn.XLOOKUP($A44, My_Audit!$A:$A, My_Audit!L:L, ""),
    _xlfn.TEXTJOIN(", ", TRUE, _xlpm.MyAuditVal, _xlpm.MacVal)
)</f>
        <v/>
      </c>
    </row>
    <row r="45" spans="1:23">
      <c r="A45" s="45" t="str">
        <f>_xlfn.TEXTJOIN("",TRUE,Input!$B$2,ROW(My_Audit!A44))</f>
        <v>XX44</v>
      </c>
      <c r="B45" s="45" t="str">
        <f>_xlfn.TEXTJOIN("-",TRUE,"ITD",Input!$A$2,A45)</f>
        <v>ITD-SHRXXX-XX44</v>
      </c>
      <c r="C45" s="45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46" t="str" cm="1">
        <f t="array" ref="D45">IFERROR(_xlfn.LET(
_xlpm.CSVVal,_xlfn.XLOOKUP($A45,CSV!$A:$A,CSV!C:C,""),
_xlpm.MacVal,_xlfn.XLOOKUP($A45,Output_Mac!$A:$A,Output_Mac!D:D,""),
_xlpm.MyAuditVal,_xlfn.XLOOKUP($A45,My_Audit!$A:$A,My_Audit!C:C,""),
_xlfn.IFS(_xlpm.MyAuditVal&lt;&gt;"",UPPER(_xlpm.MyAuditVal),_xlpm.MacVal&lt;&gt;"",_xlpm.MacVal,_xlpm.CSVVal&lt;&gt;"",_xlpm.CSVVal
)),"")</f>
        <v/>
      </c>
      <c r="E45" s="46" t="str" cm="1">
        <f t="array" ref="E45">IFERROR(_xlfn.LET(
_xlpm.CSVVal,_xlfn.XLOOKUP($A45,CSV!$A:$A,CSV!E:E,""),
_xlpm.MacVal,_xlfn.XLOOKUP($A45,Output_Mac!$A:$A,Output_Mac!C:C,""),
_xlpm.MyAuditVal,_xlfn.XLOOKUP($A45,My_Audit!$A:$A,My_Audit!D:D,""),
_xlfn.IFS(_xlpm.MyAuditVal&lt;&gt;"",_xlpm.MyAuditVal,_xlpm.MacVal&lt;&gt;"",_xlpm.MacVal,_xlpm.CSVVal&lt;&gt;"",_xlpm.CSVVal
)),"")</f>
        <v/>
      </c>
      <c r="F45" s="45" t="str" cm="1">
        <f t="array" ref="F45">IFERROR(_xlfn.LET(
_xlpm.CSVVal,_xlfn.XLOOKUP($A45,CSV!$A:$A,CSV!F:F,""),
_xlpm.MacVal,_xlfn.XLOOKUP($A45,Output_Mac!$A:$A,Output_Mac!F:F,""),
_xlpm.MyAuditVal,_xlfn.XLOOKUP($A45,My_Audit!$A:$A,My_Audit!E:E,""),
_xlfn.IFS(_xlpm.MyAuditVal&lt;&gt;"",_xlpm.MyAuditVal,_xlpm.MacVal&lt;&gt;"",_xlpm.MacVal,_xlpm.CSVVal&lt;&gt;"",PROPER(_xlpm.CSVVal)
)),"")</f>
        <v/>
      </c>
      <c r="G45" s="45" t="str" cm="1">
        <f t="array" ref="G45">IFERROR(_xlfn.LET(
_xlpm.CSVVal,_xlfn.XLOOKUP($A45,CSV!$A:$A,CSV!G:G,""),
_xlpm.MacVal,_xlfn.XLOOKUP($A45,Output_Mac!$A:$A,Output_Mac!H:H,""),
_xlpm.MyAuditVal,_xlfn.XLOOKUP($A45,My_Audit!$A:$A,My_Audit!F:F,""),
_xlfn.IFS(_xlpm.MyAuditVal&lt;&gt;"",_xlpm.MyAuditVal,_xlpm.MacVal&lt;&gt;"",_xlpm.MacVal,_xlpm.CSVVal&lt;&gt;"",_xlpm.CSVVal
)),"")</f>
        <v/>
      </c>
      <c r="H45" s="45" t="str">
        <f>_xlfn.XLOOKUP(A45,Output_Mac!A:A,Output_Mac!I:I,"")</f>
        <v/>
      </c>
      <c r="I45" s="45" t="str" cm="1">
        <f t="array" ref="I45">IFERROR(_xlfn.LET(
_xlpm.CSVVal,_xlfn.XLOOKUP($A45,CSV!$A:$A,CSV!H:H,""),
_xlpm.MacVal,_xlfn.XLOOKUP($A45,Output_Mac!$A:$A,Output_Mac!J:J,""),
_xlpm.MyAuditVal,_xlfn.XLOOKUP($A45,My_Audit!$A:$A,My_Audit!H:H,""),
_xlfn.IFS(_xlpm.MyAuditVal&lt;&gt;"",UPPER(_xlpm.MyAuditVal),_xlpm.MacVal&lt;&gt;"",_xlpm.MacVal,_xlpm.CSVVal&lt;&gt;"",_xlpm.CSVVal
)),"")</f>
        <v/>
      </c>
      <c r="J45" s="45" t="str" cm="1">
        <f t="array" ref="J45">IFERROR(_xlfn.LET(
_xlpm.CSVVal,_xlfn.XLOOKUP($A45,CSV!$A:$A,CSV!J:J,""),
_xlpm.MacVal,_xlfn.XLOOKUP($A45,Output_Mac!$A:$A,Output_Mac!K:K,""),
_xlpm.MyAuditVal,_xlfn.XLOOKUP($A45,My_Audit!$A:$A,My_Audit!I:I,""),
_xlfn.IFS(_xlpm.MyAuditVal&lt;&gt;"",UPPER(_xlpm.MyAuditVal),_xlpm.MacVal&lt;&gt;"",_xlpm.MacVal,_xlpm.CSVVal&lt;&gt;"",_xlpm.CSVVal
)),"")</f>
        <v/>
      </c>
      <c r="K45" s="45" t="str" cm="1">
        <f t="array" ref="K45">IFERROR(_xlfn.LET(
_xlpm.CSVVal,_xlfn.XLOOKUP($A45,CSV!$A:$A,CSV!N:N,""),
_xlpm.MacVal,_xlfn.XLOOKUP($A45,Output_Mac!$A:$A,Output_Mac!L:L,""),
_xlpm.MyAuditVal,_xlfn.XLOOKUP($A45,My_Audit!$A:$A,My_Audit!J:J,""),
_xlfn.IFS(_xlpm.MyAuditVal&lt;&gt;"",UPPER(_xlpm.MyAuditVal),_xlpm.MacVal&lt;&gt;"",_xlpm.MacVal,_xlpm.CSVVal&lt;&gt;"",_xlpm.CSVVal
)),"")</f>
        <v/>
      </c>
      <c r="L45" s="46" t="str" cm="1">
        <f t="array" ref="L45">IFERROR(_xlfn.LET(
_xlpm.CSVVal,_xlfn.XLOOKUP($A45,CSV!$A:$A,CSV!Q:Q,""),
_xlpm.MacVal,_xlfn.XLOOKUP($A45,Output_Mac!$A:$A,Output_Mac!M:M,""),
_xlpm.MyAuditVal,_xlfn.XLOOKUP($A45,My_Audit!$A:$A,My_Audit!K:K,""),
_xlfn.IFS(_xlpm.MyAuditVal&lt;&gt;"",UPPER(_xlpm.MyAuditVal),_xlpm.MacVal&lt;&gt;"",_xlpm.MacVal,_xlpm.CSVVal&lt;&gt;"",_xlpm.CSVVal
)),"")</f>
        <v/>
      </c>
      <c r="M45" s="45" t="str">
        <f>_xlfn.LET(
    _xlpm.CSVVal, _xlfn.XLOOKUP($A45, CSV!$A:$A, CSV!AE:AE, ""),
    _xlpm.MacVal, _xlfn.XLOOKUP($A45, Output_Mac!$A:$A, Output_Mac!S:S, ""),
    _xlpm.MyAuditVal, _xlfn.XLOOKUP($A45, My_Audit!$A:$A, My_Audit!N:N, ""),
    _xlfn.TEXTJOIN(", ", TRUE, _xlpm.MyAuditVal, _xlpm.MacVal, _xlpm.CSVVal)
)</f>
        <v/>
      </c>
      <c r="N45" s="45" t="str" cm="1">
        <f t="array" ref="N45">IFERROR(_xlfn.LET(
_xlpm.CSVVal,_xlfn.XLOOKUP($A45,CSV!$A:$A,CSV!AG:AG,""),
_xlpm.MacVal,_xlfn.XLOOKUP($A45,Output_Mac!$A:$A,Output_Mac!U:U,""),
_xlpm.MyAuditVal,_xlfn.XLOOKUP($A45,My_Audit!$A:$A,My_Audit!O:O,""),
_xlfn.IFS(_xlpm.MyAuditVal&lt;&gt;"",UPPER(_xlpm.MyAuditVal),_xlpm.MacVal&lt;&gt;"",_xlpm.MacVal,_xlpm.CSVVal&lt;&gt;"",_xlpm.CSVVal
)),"")</f>
        <v/>
      </c>
      <c r="O45" s="46" t="str">
        <f>_xlfn.XLOOKUP(C45,My_Audit!B:B,My_Audit!P:P,"")&amp;""</f>
        <v/>
      </c>
      <c r="P45" s="45"/>
      <c r="Q45" s="46" t="str">
        <f>IF(LEFT(N45,4)="Pass","Nist SP 800-88",My_Audit!R45)&amp;""</f>
        <v/>
      </c>
      <c r="R45" s="45"/>
      <c r="S45" s="45"/>
      <c r="T45" s="46" t="str">
        <f>_xlfn.XLOOKUP(E45,Models!I:I,Models!J:J,"")</f>
        <v/>
      </c>
      <c r="U45" s="45"/>
      <c r="V45" s="45"/>
      <c r="W45" s="38" t="str">
        <f>_xlfn.LET(
    _xlpm.MacVal, _xlfn.XLOOKUP($A45, Output_Mac!$A:$A, Output_Mac!AB:AB, ""),
    _xlpm.MyAuditVal, _xlfn.XLOOKUP($A45, My_Audit!$A:$A, My_Audit!L:L, ""),
    _xlfn.TEXTJOIN(", ", TRUE, _xlpm.MyAuditVal, _xlpm.MacVal)
)</f>
        <v/>
      </c>
    </row>
    <row r="46" spans="1:23">
      <c r="A46" s="45" t="str">
        <f>_xlfn.TEXTJOIN("",TRUE,Input!$B$2,ROW(My_Audit!A45))</f>
        <v>XX45</v>
      </c>
      <c r="B46" s="45" t="str">
        <f>_xlfn.TEXTJOIN("-",TRUE,"ITD",Input!$A$2,A46)</f>
        <v>ITD-SHRXXX-XX45</v>
      </c>
      <c r="C46" s="45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46" t="str" cm="1">
        <f t="array" ref="D46">IFERROR(_xlfn.LET(
_xlpm.CSVVal,_xlfn.XLOOKUP($A46,CSV!$A:$A,CSV!C:C,""),
_xlpm.MacVal,_xlfn.XLOOKUP($A46,Output_Mac!$A:$A,Output_Mac!D:D,""),
_xlpm.MyAuditVal,_xlfn.XLOOKUP($A46,My_Audit!$A:$A,My_Audit!C:C,""),
_xlfn.IFS(_xlpm.MyAuditVal&lt;&gt;"",UPPER(_xlpm.MyAuditVal),_xlpm.MacVal&lt;&gt;"",_xlpm.MacVal,_xlpm.CSVVal&lt;&gt;"",_xlpm.CSVVal
)),"")</f>
        <v/>
      </c>
      <c r="E46" s="46" t="str" cm="1">
        <f t="array" ref="E46">IFERROR(_xlfn.LET(
_xlpm.CSVVal,_xlfn.XLOOKUP($A46,CSV!$A:$A,CSV!E:E,""),
_xlpm.MacVal,_xlfn.XLOOKUP($A46,Output_Mac!$A:$A,Output_Mac!C:C,""),
_xlpm.MyAuditVal,_xlfn.XLOOKUP($A46,My_Audit!$A:$A,My_Audit!D:D,""),
_xlfn.IFS(_xlpm.MyAuditVal&lt;&gt;"",_xlpm.MyAuditVal,_xlpm.MacVal&lt;&gt;"",_xlpm.MacVal,_xlpm.CSVVal&lt;&gt;"",_xlpm.CSVVal
)),"")</f>
        <v/>
      </c>
      <c r="F46" s="45" t="str" cm="1">
        <f t="array" ref="F46">IFERROR(_xlfn.LET(
_xlpm.CSVVal,_xlfn.XLOOKUP($A46,CSV!$A:$A,CSV!F:F,""),
_xlpm.MacVal,_xlfn.XLOOKUP($A46,Output_Mac!$A:$A,Output_Mac!F:F,""),
_xlpm.MyAuditVal,_xlfn.XLOOKUP($A46,My_Audit!$A:$A,My_Audit!E:E,""),
_xlfn.IFS(_xlpm.MyAuditVal&lt;&gt;"",_xlpm.MyAuditVal,_xlpm.MacVal&lt;&gt;"",_xlpm.MacVal,_xlpm.CSVVal&lt;&gt;"",PROPER(_xlpm.CSVVal)
)),"")</f>
        <v/>
      </c>
      <c r="G46" s="45" t="str" cm="1">
        <f t="array" ref="G46">IFERROR(_xlfn.LET(
_xlpm.CSVVal,_xlfn.XLOOKUP($A46,CSV!$A:$A,CSV!G:G,""),
_xlpm.MacVal,_xlfn.XLOOKUP($A46,Output_Mac!$A:$A,Output_Mac!H:H,""),
_xlpm.MyAuditVal,_xlfn.XLOOKUP($A46,My_Audit!$A:$A,My_Audit!F:F,""),
_xlfn.IFS(_xlpm.MyAuditVal&lt;&gt;"",_xlpm.MyAuditVal,_xlpm.MacVal&lt;&gt;"",_xlpm.MacVal,_xlpm.CSVVal&lt;&gt;"",_xlpm.CSVVal
)),"")</f>
        <v/>
      </c>
      <c r="H46" s="45" t="str">
        <f>_xlfn.XLOOKUP(A46,Output_Mac!A:A,Output_Mac!I:I,"")</f>
        <v/>
      </c>
      <c r="I46" s="45" t="str" cm="1">
        <f t="array" ref="I46">IFERROR(_xlfn.LET(
_xlpm.CSVVal,_xlfn.XLOOKUP($A46,CSV!$A:$A,CSV!H:H,""),
_xlpm.MacVal,_xlfn.XLOOKUP($A46,Output_Mac!$A:$A,Output_Mac!J:J,""),
_xlpm.MyAuditVal,_xlfn.XLOOKUP($A46,My_Audit!$A:$A,My_Audit!H:H,""),
_xlfn.IFS(_xlpm.MyAuditVal&lt;&gt;"",UPPER(_xlpm.MyAuditVal),_xlpm.MacVal&lt;&gt;"",_xlpm.MacVal,_xlpm.CSVVal&lt;&gt;"",_xlpm.CSVVal
)),"")</f>
        <v/>
      </c>
      <c r="J46" s="45" t="str" cm="1">
        <f t="array" ref="J46">IFERROR(_xlfn.LET(
_xlpm.CSVVal,_xlfn.XLOOKUP($A46,CSV!$A:$A,CSV!J:J,""),
_xlpm.MacVal,_xlfn.XLOOKUP($A46,Output_Mac!$A:$A,Output_Mac!K:K,""),
_xlpm.MyAuditVal,_xlfn.XLOOKUP($A46,My_Audit!$A:$A,My_Audit!I:I,""),
_xlfn.IFS(_xlpm.MyAuditVal&lt;&gt;"",UPPER(_xlpm.MyAuditVal),_xlpm.MacVal&lt;&gt;"",_xlpm.MacVal,_xlpm.CSVVal&lt;&gt;"",_xlpm.CSVVal
)),"")</f>
        <v/>
      </c>
      <c r="K46" s="45" t="str" cm="1">
        <f t="array" ref="K46">IFERROR(_xlfn.LET(
_xlpm.CSVVal,_xlfn.XLOOKUP($A46,CSV!$A:$A,CSV!N:N,""),
_xlpm.MacVal,_xlfn.XLOOKUP($A46,Output_Mac!$A:$A,Output_Mac!L:L,""),
_xlpm.MyAuditVal,_xlfn.XLOOKUP($A46,My_Audit!$A:$A,My_Audit!J:J,""),
_xlfn.IFS(_xlpm.MyAuditVal&lt;&gt;"",UPPER(_xlpm.MyAuditVal),_xlpm.MacVal&lt;&gt;"",_xlpm.MacVal,_xlpm.CSVVal&lt;&gt;"",_xlpm.CSVVal
)),"")</f>
        <v/>
      </c>
      <c r="L46" s="46" t="str" cm="1">
        <f t="array" ref="L46">IFERROR(_xlfn.LET(
_xlpm.CSVVal,_xlfn.XLOOKUP($A46,CSV!$A:$A,CSV!Q:Q,""),
_xlpm.MacVal,_xlfn.XLOOKUP($A46,Output_Mac!$A:$A,Output_Mac!M:M,""),
_xlpm.MyAuditVal,_xlfn.XLOOKUP($A46,My_Audit!$A:$A,My_Audit!K:K,""),
_xlfn.IFS(_xlpm.MyAuditVal&lt;&gt;"",UPPER(_xlpm.MyAuditVal),_xlpm.MacVal&lt;&gt;"",_xlpm.MacVal,_xlpm.CSVVal&lt;&gt;"",_xlpm.CSVVal
)),"")</f>
        <v/>
      </c>
      <c r="M46" s="45" t="str">
        <f>_xlfn.LET(
    _xlpm.CSVVal, _xlfn.XLOOKUP($A46, CSV!$A:$A, CSV!AE:AE, ""),
    _xlpm.MacVal, _xlfn.XLOOKUP($A46, Output_Mac!$A:$A, Output_Mac!S:S, ""),
    _xlpm.MyAuditVal, _xlfn.XLOOKUP($A46, My_Audit!$A:$A, My_Audit!N:N, ""),
    _xlfn.TEXTJOIN(", ", TRUE, _xlpm.MyAuditVal, _xlpm.MacVal, _xlpm.CSVVal)
)</f>
        <v/>
      </c>
      <c r="N46" s="45" t="str" cm="1">
        <f t="array" ref="N46">IFERROR(_xlfn.LET(
_xlpm.CSVVal,_xlfn.XLOOKUP($A46,CSV!$A:$A,CSV!AG:AG,""),
_xlpm.MacVal,_xlfn.XLOOKUP($A46,Output_Mac!$A:$A,Output_Mac!U:U,""),
_xlpm.MyAuditVal,_xlfn.XLOOKUP($A46,My_Audit!$A:$A,My_Audit!O:O,""),
_xlfn.IFS(_xlpm.MyAuditVal&lt;&gt;"",UPPER(_xlpm.MyAuditVal),_xlpm.MacVal&lt;&gt;"",_xlpm.MacVal,_xlpm.CSVVal&lt;&gt;"",_xlpm.CSVVal
)),"")</f>
        <v/>
      </c>
      <c r="O46" s="46" t="str">
        <f>_xlfn.XLOOKUP(C46,My_Audit!B:B,My_Audit!P:P,"")&amp;""</f>
        <v/>
      </c>
      <c r="P46" s="45"/>
      <c r="Q46" s="46" t="str">
        <f>IF(LEFT(N46,4)="Pass","Nist SP 800-88",My_Audit!R46)&amp;""</f>
        <v/>
      </c>
      <c r="R46" s="45"/>
      <c r="S46" s="45"/>
      <c r="T46" s="46" t="str">
        <f>_xlfn.XLOOKUP(E46,Models!I:I,Models!J:J,"")</f>
        <v/>
      </c>
      <c r="U46" s="45"/>
      <c r="V46" s="45"/>
      <c r="W46" s="38" t="str">
        <f>_xlfn.LET(
    _xlpm.MacVal, _xlfn.XLOOKUP($A46, Output_Mac!$A:$A, Output_Mac!AB:AB, ""),
    _xlpm.MyAuditVal, _xlfn.XLOOKUP($A46, My_Audit!$A:$A, My_Audit!L:L, ""),
    _xlfn.TEXTJOIN(", ", TRUE, _xlpm.MyAuditVal, _xlpm.MacVal)
)</f>
        <v/>
      </c>
    </row>
    <row r="47" spans="1:23">
      <c r="A47" s="45" t="str">
        <f>_xlfn.TEXTJOIN("",TRUE,Input!$B$2,ROW(My_Audit!A46))</f>
        <v>XX46</v>
      </c>
      <c r="B47" s="45" t="str">
        <f>_xlfn.TEXTJOIN("-",TRUE,"ITD",Input!$A$2,A47)</f>
        <v>ITD-SHRXXX-XX46</v>
      </c>
      <c r="C47" s="45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46" t="str" cm="1">
        <f t="array" ref="D47">IFERROR(_xlfn.LET(
_xlpm.CSVVal,_xlfn.XLOOKUP($A47,CSV!$A:$A,CSV!C:C,""),
_xlpm.MacVal,_xlfn.XLOOKUP($A47,Output_Mac!$A:$A,Output_Mac!D:D,""),
_xlpm.MyAuditVal,_xlfn.XLOOKUP($A47,My_Audit!$A:$A,My_Audit!C:C,""),
_xlfn.IFS(_xlpm.MyAuditVal&lt;&gt;"",UPPER(_xlpm.MyAuditVal),_xlpm.MacVal&lt;&gt;"",_xlpm.MacVal,_xlpm.CSVVal&lt;&gt;"",_xlpm.CSVVal
)),"")</f>
        <v/>
      </c>
      <c r="E47" s="46" t="str" cm="1">
        <f t="array" ref="E47">IFERROR(_xlfn.LET(
_xlpm.CSVVal,_xlfn.XLOOKUP($A47,CSV!$A:$A,CSV!E:E,""),
_xlpm.MacVal,_xlfn.XLOOKUP($A47,Output_Mac!$A:$A,Output_Mac!C:C,""),
_xlpm.MyAuditVal,_xlfn.XLOOKUP($A47,My_Audit!$A:$A,My_Audit!D:D,""),
_xlfn.IFS(_xlpm.MyAuditVal&lt;&gt;"",_xlpm.MyAuditVal,_xlpm.MacVal&lt;&gt;"",_xlpm.MacVal,_xlpm.CSVVal&lt;&gt;"",_xlpm.CSVVal
)),"")</f>
        <v/>
      </c>
      <c r="F47" s="45" t="str" cm="1">
        <f t="array" ref="F47">IFERROR(_xlfn.LET(
_xlpm.CSVVal,_xlfn.XLOOKUP($A47,CSV!$A:$A,CSV!F:F,""),
_xlpm.MacVal,_xlfn.XLOOKUP($A47,Output_Mac!$A:$A,Output_Mac!F:F,""),
_xlpm.MyAuditVal,_xlfn.XLOOKUP($A47,My_Audit!$A:$A,My_Audit!E:E,""),
_xlfn.IFS(_xlpm.MyAuditVal&lt;&gt;"",_xlpm.MyAuditVal,_xlpm.MacVal&lt;&gt;"",_xlpm.MacVal,_xlpm.CSVVal&lt;&gt;"",PROPER(_xlpm.CSVVal)
)),"")</f>
        <v/>
      </c>
      <c r="G47" s="45" t="str" cm="1">
        <f t="array" ref="G47">IFERROR(_xlfn.LET(
_xlpm.CSVVal,_xlfn.XLOOKUP($A47,CSV!$A:$A,CSV!G:G,""),
_xlpm.MacVal,_xlfn.XLOOKUP($A47,Output_Mac!$A:$A,Output_Mac!H:H,""),
_xlpm.MyAuditVal,_xlfn.XLOOKUP($A47,My_Audit!$A:$A,My_Audit!F:F,""),
_xlfn.IFS(_xlpm.MyAuditVal&lt;&gt;"",_xlpm.MyAuditVal,_xlpm.MacVal&lt;&gt;"",_xlpm.MacVal,_xlpm.CSVVal&lt;&gt;"",_xlpm.CSVVal
)),"")</f>
        <v/>
      </c>
      <c r="H47" s="45" t="str">
        <f>_xlfn.XLOOKUP(A47,Output_Mac!A:A,Output_Mac!I:I,"")</f>
        <v/>
      </c>
      <c r="I47" s="45" t="str" cm="1">
        <f t="array" ref="I47">IFERROR(_xlfn.LET(
_xlpm.CSVVal,_xlfn.XLOOKUP($A47,CSV!$A:$A,CSV!H:H,""),
_xlpm.MacVal,_xlfn.XLOOKUP($A47,Output_Mac!$A:$A,Output_Mac!J:J,""),
_xlpm.MyAuditVal,_xlfn.XLOOKUP($A47,My_Audit!$A:$A,My_Audit!H:H,""),
_xlfn.IFS(_xlpm.MyAuditVal&lt;&gt;"",UPPER(_xlpm.MyAuditVal),_xlpm.MacVal&lt;&gt;"",_xlpm.MacVal,_xlpm.CSVVal&lt;&gt;"",_xlpm.CSVVal
)),"")</f>
        <v/>
      </c>
      <c r="J47" s="45" t="str" cm="1">
        <f t="array" ref="J47">IFERROR(_xlfn.LET(
_xlpm.CSVVal,_xlfn.XLOOKUP($A47,CSV!$A:$A,CSV!J:J,""),
_xlpm.MacVal,_xlfn.XLOOKUP($A47,Output_Mac!$A:$A,Output_Mac!K:K,""),
_xlpm.MyAuditVal,_xlfn.XLOOKUP($A47,My_Audit!$A:$A,My_Audit!I:I,""),
_xlfn.IFS(_xlpm.MyAuditVal&lt;&gt;"",UPPER(_xlpm.MyAuditVal),_xlpm.MacVal&lt;&gt;"",_xlpm.MacVal,_xlpm.CSVVal&lt;&gt;"",_xlpm.CSVVal
)),"")</f>
        <v/>
      </c>
      <c r="K47" s="45" t="str" cm="1">
        <f t="array" ref="K47">IFERROR(_xlfn.LET(
_xlpm.CSVVal,_xlfn.XLOOKUP($A47,CSV!$A:$A,CSV!N:N,""),
_xlpm.MacVal,_xlfn.XLOOKUP($A47,Output_Mac!$A:$A,Output_Mac!L:L,""),
_xlpm.MyAuditVal,_xlfn.XLOOKUP($A47,My_Audit!$A:$A,My_Audit!J:J,""),
_xlfn.IFS(_xlpm.MyAuditVal&lt;&gt;"",UPPER(_xlpm.MyAuditVal),_xlpm.MacVal&lt;&gt;"",_xlpm.MacVal,_xlpm.CSVVal&lt;&gt;"",_xlpm.CSVVal
)),"")</f>
        <v/>
      </c>
      <c r="L47" s="46" t="str" cm="1">
        <f t="array" ref="L47">IFERROR(_xlfn.LET(
_xlpm.CSVVal,_xlfn.XLOOKUP($A47,CSV!$A:$A,CSV!Q:Q,""),
_xlpm.MacVal,_xlfn.XLOOKUP($A47,Output_Mac!$A:$A,Output_Mac!M:M,""),
_xlpm.MyAuditVal,_xlfn.XLOOKUP($A47,My_Audit!$A:$A,My_Audit!K:K,""),
_xlfn.IFS(_xlpm.MyAuditVal&lt;&gt;"",UPPER(_xlpm.MyAuditVal),_xlpm.MacVal&lt;&gt;"",_xlpm.MacVal,_xlpm.CSVVal&lt;&gt;"",_xlpm.CSVVal
)),"")</f>
        <v/>
      </c>
      <c r="M47" s="45" t="str">
        <f>_xlfn.LET(
    _xlpm.CSVVal, _xlfn.XLOOKUP($A47, CSV!$A:$A, CSV!AE:AE, ""),
    _xlpm.MacVal, _xlfn.XLOOKUP($A47, Output_Mac!$A:$A, Output_Mac!S:S, ""),
    _xlpm.MyAuditVal, _xlfn.XLOOKUP($A47, My_Audit!$A:$A, My_Audit!N:N, ""),
    _xlfn.TEXTJOIN(", ", TRUE, _xlpm.MyAuditVal, _xlpm.MacVal, _xlpm.CSVVal)
)</f>
        <v/>
      </c>
      <c r="N47" s="45" t="str" cm="1">
        <f t="array" ref="N47">IFERROR(_xlfn.LET(
_xlpm.CSVVal,_xlfn.XLOOKUP($A47,CSV!$A:$A,CSV!AG:AG,""),
_xlpm.MacVal,_xlfn.XLOOKUP($A47,Output_Mac!$A:$A,Output_Mac!U:U,""),
_xlpm.MyAuditVal,_xlfn.XLOOKUP($A47,My_Audit!$A:$A,My_Audit!O:O,""),
_xlfn.IFS(_xlpm.MyAuditVal&lt;&gt;"",UPPER(_xlpm.MyAuditVal),_xlpm.MacVal&lt;&gt;"",_xlpm.MacVal,_xlpm.CSVVal&lt;&gt;"",_xlpm.CSVVal
)),"")</f>
        <v/>
      </c>
      <c r="O47" s="46" t="str">
        <f>_xlfn.XLOOKUP(C47,My_Audit!B:B,My_Audit!P:P,"")&amp;""</f>
        <v/>
      </c>
      <c r="P47" s="45"/>
      <c r="Q47" s="46" t="str">
        <f>IF(LEFT(N47,4)="Pass","Nist SP 800-88",My_Audit!R47)&amp;""</f>
        <v/>
      </c>
      <c r="R47" s="45"/>
      <c r="S47" s="45"/>
      <c r="T47" s="46" t="str">
        <f>_xlfn.XLOOKUP(E47,Models!I:I,Models!J:J,"")</f>
        <v/>
      </c>
      <c r="U47" s="45"/>
      <c r="V47" s="45"/>
      <c r="W47" s="38" t="str">
        <f>_xlfn.LET(
    _xlpm.MacVal, _xlfn.XLOOKUP($A47, Output_Mac!$A:$A, Output_Mac!AB:AB, ""),
    _xlpm.MyAuditVal, _xlfn.XLOOKUP($A47, My_Audit!$A:$A, My_Audit!L:L, ""),
    _xlfn.TEXTJOIN(", ", TRUE, _xlpm.MyAuditVal, _xlpm.MacVal)
)</f>
        <v/>
      </c>
    </row>
    <row r="48" spans="1:23">
      <c r="A48" s="45" t="str">
        <f>_xlfn.TEXTJOIN("",TRUE,Input!$B$2,ROW(My_Audit!A47))</f>
        <v>XX47</v>
      </c>
      <c r="B48" s="45" t="str">
        <f>_xlfn.TEXTJOIN("-",TRUE,"ITD",Input!$A$2,A48)</f>
        <v>ITD-SHRXXX-XX47</v>
      </c>
      <c r="C48" s="45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46" t="str" cm="1">
        <f t="array" ref="D48">IFERROR(_xlfn.LET(
_xlpm.CSVVal,_xlfn.XLOOKUP($A48,CSV!$A:$A,CSV!C:C,""),
_xlpm.MacVal,_xlfn.XLOOKUP($A48,Output_Mac!$A:$A,Output_Mac!D:D,""),
_xlpm.MyAuditVal,_xlfn.XLOOKUP($A48,My_Audit!$A:$A,My_Audit!C:C,""),
_xlfn.IFS(_xlpm.MyAuditVal&lt;&gt;"",UPPER(_xlpm.MyAuditVal),_xlpm.MacVal&lt;&gt;"",_xlpm.MacVal,_xlpm.CSVVal&lt;&gt;"",_xlpm.CSVVal
)),"")</f>
        <v/>
      </c>
      <c r="E48" s="46" t="str" cm="1">
        <f t="array" ref="E48">IFERROR(_xlfn.LET(
_xlpm.CSVVal,_xlfn.XLOOKUP($A48,CSV!$A:$A,CSV!E:E,""),
_xlpm.MacVal,_xlfn.XLOOKUP($A48,Output_Mac!$A:$A,Output_Mac!C:C,""),
_xlpm.MyAuditVal,_xlfn.XLOOKUP($A48,My_Audit!$A:$A,My_Audit!D:D,""),
_xlfn.IFS(_xlpm.MyAuditVal&lt;&gt;"",_xlpm.MyAuditVal,_xlpm.MacVal&lt;&gt;"",_xlpm.MacVal,_xlpm.CSVVal&lt;&gt;"",_xlpm.CSVVal
)),"")</f>
        <v/>
      </c>
      <c r="F48" s="45" t="str" cm="1">
        <f t="array" ref="F48">IFERROR(_xlfn.LET(
_xlpm.CSVVal,_xlfn.XLOOKUP($A48,CSV!$A:$A,CSV!F:F,""),
_xlpm.MacVal,_xlfn.XLOOKUP($A48,Output_Mac!$A:$A,Output_Mac!F:F,""),
_xlpm.MyAuditVal,_xlfn.XLOOKUP($A48,My_Audit!$A:$A,My_Audit!E:E,""),
_xlfn.IFS(_xlpm.MyAuditVal&lt;&gt;"",_xlpm.MyAuditVal,_xlpm.MacVal&lt;&gt;"",_xlpm.MacVal,_xlpm.CSVVal&lt;&gt;"",PROPER(_xlpm.CSVVal)
)),"")</f>
        <v/>
      </c>
      <c r="G48" s="45" t="str" cm="1">
        <f t="array" ref="G48">IFERROR(_xlfn.LET(
_xlpm.CSVVal,_xlfn.XLOOKUP($A48,CSV!$A:$A,CSV!G:G,""),
_xlpm.MacVal,_xlfn.XLOOKUP($A48,Output_Mac!$A:$A,Output_Mac!H:H,""),
_xlpm.MyAuditVal,_xlfn.XLOOKUP($A48,My_Audit!$A:$A,My_Audit!F:F,""),
_xlfn.IFS(_xlpm.MyAuditVal&lt;&gt;"",_xlpm.MyAuditVal,_xlpm.MacVal&lt;&gt;"",_xlpm.MacVal,_xlpm.CSVVal&lt;&gt;"",_xlpm.CSVVal
)),"")</f>
        <v/>
      </c>
      <c r="H48" s="45" t="str">
        <f>_xlfn.XLOOKUP(A48,Output_Mac!A:A,Output_Mac!I:I,"")</f>
        <v/>
      </c>
      <c r="I48" s="45" t="str" cm="1">
        <f t="array" ref="I48">IFERROR(_xlfn.LET(
_xlpm.CSVVal,_xlfn.XLOOKUP($A48,CSV!$A:$A,CSV!H:H,""),
_xlpm.MacVal,_xlfn.XLOOKUP($A48,Output_Mac!$A:$A,Output_Mac!J:J,""),
_xlpm.MyAuditVal,_xlfn.XLOOKUP($A48,My_Audit!$A:$A,My_Audit!H:H,""),
_xlfn.IFS(_xlpm.MyAuditVal&lt;&gt;"",UPPER(_xlpm.MyAuditVal),_xlpm.MacVal&lt;&gt;"",_xlpm.MacVal,_xlpm.CSVVal&lt;&gt;"",_xlpm.CSVVal
)),"")</f>
        <v/>
      </c>
      <c r="J48" s="45" t="str" cm="1">
        <f t="array" ref="J48">IFERROR(_xlfn.LET(
_xlpm.CSVVal,_xlfn.XLOOKUP($A48,CSV!$A:$A,CSV!J:J,""),
_xlpm.MacVal,_xlfn.XLOOKUP($A48,Output_Mac!$A:$A,Output_Mac!K:K,""),
_xlpm.MyAuditVal,_xlfn.XLOOKUP($A48,My_Audit!$A:$A,My_Audit!I:I,""),
_xlfn.IFS(_xlpm.MyAuditVal&lt;&gt;"",UPPER(_xlpm.MyAuditVal),_xlpm.MacVal&lt;&gt;"",_xlpm.MacVal,_xlpm.CSVVal&lt;&gt;"",_xlpm.CSVVal
)),"")</f>
        <v/>
      </c>
      <c r="K48" s="45" t="str" cm="1">
        <f t="array" ref="K48">IFERROR(_xlfn.LET(
_xlpm.CSVVal,_xlfn.XLOOKUP($A48,CSV!$A:$A,CSV!N:N,""),
_xlpm.MacVal,_xlfn.XLOOKUP($A48,Output_Mac!$A:$A,Output_Mac!L:L,""),
_xlpm.MyAuditVal,_xlfn.XLOOKUP($A48,My_Audit!$A:$A,My_Audit!J:J,""),
_xlfn.IFS(_xlpm.MyAuditVal&lt;&gt;"",UPPER(_xlpm.MyAuditVal),_xlpm.MacVal&lt;&gt;"",_xlpm.MacVal,_xlpm.CSVVal&lt;&gt;"",_xlpm.CSVVal
)),"")</f>
        <v/>
      </c>
      <c r="L48" s="46" t="str" cm="1">
        <f t="array" ref="L48">IFERROR(_xlfn.LET(
_xlpm.CSVVal,_xlfn.XLOOKUP($A48,CSV!$A:$A,CSV!Q:Q,""),
_xlpm.MacVal,_xlfn.XLOOKUP($A48,Output_Mac!$A:$A,Output_Mac!M:M,""),
_xlpm.MyAuditVal,_xlfn.XLOOKUP($A48,My_Audit!$A:$A,My_Audit!K:K,""),
_xlfn.IFS(_xlpm.MyAuditVal&lt;&gt;"",UPPER(_xlpm.MyAuditVal),_xlpm.MacVal&lt;&gt;"",_xlpm.MacVal,_xlpm.CSVVal&lt;&gt;"",_xlpm.CSVVal
)),"")</f>
        <v/>
      </c>
      <c r="M48" s="45" t="str">
        <f>_xlfn.LET(
    _xlpm.CSVVal, _xlfn.XLOOKUP($A48, CSV!$A:$A, CSV!AE:AE, ""),
    _xlpm.MacVal, _xlfn.XLOOKUP($A48, Output_Mac!$A:$A, Output_Mac!S:S, ""),
    _xlpm.MyAuditVal, _xlfn.XLOOKUP($A48, My_Audit!$A:$A, My_Audit!N:N, ""),
    _xlfn.TEXTJOIN(", ", TRUE, _xlpm.MyAuditVal, _xlpm.MacVal, _xlpm.CSVVal)
)</f>
        <v/>
      </c>
      <c r="N48" s="45" t="str" cm="1">
        <f t="array" ref="N48">IFERROR(_xlfn.LET(
_xlpm.CSVVal,_xlfn.XLOOKUP($A48,CSV!$A:$A,CSV!AG:AG,""),
_xlpm.MacVal,_xlfn.XLOOKUP($A48,Output_Mac!$A:$A,Output_Mac!U:U,""),
_xlpm.MyAuditVal,_xlfn.XLOOKUP($A48,My_Audit!$A:$A,My_Audit!O:O,""),
_xlfn.IFS(_xlpm.MyAuditVal&lt;&gt;"",UPPER(_xlpm.MyAuditVal),_xlpm.MacVal&lt;&gt;"",_xlpm.MacVal,_xlpm.CSVVal&lt;&gt;"",_xlpm.CSVVal
)),"")</f>
        <v/>
      </c>
      <c r="O48" s="46" t="str">
        <f>_xlfn.XLOOKUP(C48,My_Audit!B:B,My_Audit!P:P,"")&amp;""</f>
        <v/>
      </c>
      <c r="P48" s="45"/>
      <c r="Q48" s="46" t="str">
        <f>IF(LEFT(N48,4)="Pass","Nist SP 800-88",My_Audit!R48)&amp;""</f>
        <v/>
      </c>
      <c r="R48" s="45"/>
      <c r="S48" s="45"/>
      <c r="T48" s="46" t="str">
        <f>_xlfn.XLOOKUP(E48,Models!I:I,Models!J:J,"")</f>
        <v/>
      </c>
      <c r="U48" s="45"/>
      <c r="V48" s="45"/>
      <c r="W48" s="38" t="str">
        <f>_xlfn.LET(
    _xlpm.MacVal, _xlfn.XLOOKUP($A48, Output_Mac!$A:$A, Output_Mac!AB:AB, ""),
    _xlpm.MyAuditVal, _xlfn.XLOOKUP($A48, My_Audit!$A:$A, My_Audit!L:L, ""),
    _xlfn.TEXTJOIN(", ", TRUE, _xlpm.MyAuditVal, _xlpm.MacVal)
)</f>
        <v/>
      </c>
    </row>
    <row r="49" spans="1:23">
      <c r="A49" s="45" t="str">
        <f>_xlfn.TEXTJOIN("",TRUE,Input!$B$2,ROW(My_Audit!A48))</f>
        <v>XX48</v>
      </c>
      <c r="B49" s="45" t="str">
        <f>_xlfn.TEXTJOIN("-",TRUE,"ITD",Input!$A$2,A49)</f>
        <v>ITD-SHRXXX-XX48</v>
      </c>
      <c r="C49" s="45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46" t="str" cm="1">
        <f t="array" ref="D49">IFERROR(_xlfn.LET(
_xlpm.CSVVal,_xlfn.XLOOKUP($A49,CSV!$A:$A,CSV!C:C,""),
_xlpm.MacVal,_xlfn.XLOOKUP($A49,Output_Mac!$A:$A,Output_Mac!D:D,""),
_xlpm.MyAuditVal,_xlfn.XLOOKUP($A49,My_Audit!$A:$A,My_Audit!C:C,""),
_xlfn.IFS(_xlpm.MyAuditVal&lt;&gt;"",UPPER(_xlpm.MyAuditVal),_xlpm.MacVal&lt;&gt;"",_xlpm.MacVal,_xlpm.CSVVal&lt;&gt;"",_xlpm.CSVVal
)),"")</f>
        <v/>
      </c>
      <c r="E49" s="46" t="str" cm="1">
        <f t="array" ref="E49">IFERROR(_xlfn.LET(
_xlpm.CSVVal,_xlfn.XLOOKUP($A49,CSV!$A:$A,CSV!E:E,""),
_xlpm.MacVal,_xlfn.XLOOKUP($A49,Output_Mac!$A:$A,Output_Mac!C:C,""),
_xlpm.MyAuditVal,_xlfn.XLOOKUP($A49,My_Audit!$A:$A,My_Audit!D:D,""),
_xlfn.IFS(_xlpm.MyAuditVal&lt;&gt;"",_xlpm.MyAuditVal,_xlpm.MacVal&lt;&gt;"",_xlpm.MacVal,_xlpm.CSVVal&lt;&gt;"",_xlpm.CSVVal
)),"")</f>
        <v/>
      </c>
      <c r="F49" s="45" t="str" cm="1">
        <f t="array" ref="F49">IFERROR(_xlfn.LET(
_xlpm.CSVVal,_xlfn.XLOOKUP($A49,CSV!$A:$A,CSV!F:F,""),
_xlpm.MacVal,_xlfn.XLOOKUP($A49,Output_Mac!$A:$A,Output_Mac!F:F,""),
_xlpm.MyAuditVal,_xlfn.XLOOKUP($A49,My_Audit!$A:$A,My_Audit!E:E,""),
_xlfn.IFS(_xlpm.MyAuditVal&lt;&gt;"",_xlpm.MyAuditVal,_xlpm.MacVal&lt;&gt;"",_xlpm.MacVal,_xlpm.CSVVal&lt;&gt;"",PROPER(_xlpm.CSVVal)
)),"")</f>
        <v/>
      </c>
      <c r="G49" s="45" t="str" cm="1">
        <f t="array" ref="G49">IFERROR(_xlfn.LET(
_xlpm.CSVVal,_xlfn.XLOOKUP($A49,CSV!$A:$A,CSV!G:G,""),
_xlpm.MacVal,_xlfn.XLOOKUP($A49,Output_Mac!$A:$A,Output_Mac!H:H,""),
_xlpm.MyAuditVal,_xlfn.XLOOKUP($A49,My_Audit!$A:$A,My_Audit!F:F,""),
_xlfn.IFS(_xlpm.MyAuditVal&lt;&gt;"",_xlpm.MyAuditVal,_xlpm.MacVal&lt;&gt;"",_xlpm.MacVal,_xlpm.CSVVal&lt;&gt;"",_xlpm.CSVVal
)),"")</f>
        <v/>
      </c>
      <c r="H49" s="45" t="str">
        <f>_xlfn.XLOOKUP(A49,Output_Mac!A:A,Output_Mac!I:I,"")</f>
        <v/>
      </c>
      <c r="I49" s="45" t="str" cm="1">
        <f t="array" ref="I49">IFERROR(_xlfn.LET(
_xlpm.CSVVal,_xlfn.XLOOKUP($A49,CSV!$A:$A,CSV!H:H,""),
_xlpm.MacVal,_xlfn.XLOOKUP($A49,Output_Mac!$A:$A,Output_Mac!J:J,""),
_xlpm.MyAuditVal,_xlfn.XLOOKUP($A49,My_Audit!$A:$A,My_Audit!H:H,""),
_xlfn.IFS(_xlpm.MyAuditVal&lt;&gt;"",UPPER(_xlpm.MyAuditVal),_xlpm.MacVal&lt;&gt;"",_xlpm.MacVal,_xlpm.CSVVal&lt;&gt;"",_xlpm.CSVVal
)),"")</f>
        <v/>
      </c>
      <c r="J49" s="45" t="str" cm="1">
        <f t="array" ref="J49">IFERROR(_xlfn.LET(
_xlpm.CSVVal,_xlfn.XLOOKUP($A49,CSV!$A:$A,CSV!J:J,""),
_xlpm.MacVal,_xlfn.XLOOKUP($A49,Output_Mac!$A:$A,Output_Mac!K:K,""),
_xlpm.MyAuditVal,_xlfn.XLOOKUP($A49,My_Audit!$A:$A,My_Audit!I:I,""),
_xlfn.IFS(_xlpm.MyAuditVal&lt;&gt;"",UPPER(_xlpm.MyAuditVal),_xlpm.MacVal&lt;&gt;"",_xlpm.MacVal,_xlpm.CSVVal&lt;&gt;"",_xlpm.CSVVal
)),"")</f>
        <v/>
      </c>
      <c r="K49" s="45" t="str" cm="1">
        <f t="array" ref="K49">IFERROR(_xlfn.LET(
_xlpm.CSVVal,_xlfn.XLOOKUP($A49,CSV!$A:$A,CSV!N:N,""),
_xlpm.MacVal,_xlfn.XLOOKUP($A49,Output_Mac!$A:$A,Output_Mac!L:L,""),
_xlpm.MyAuditVal,_xlfn.XLOOKUP($A49,My_Audit!$A:$A,My_Audit!J:J,""),
_xlfn.IFS(_xlpm.MyAuditVal&lt;&gt;"",UPPER(_xlpm.MyAuditVal),_xlpm.MacVal&lt;&gt;"",_xlpm.MacVal,_xlpm.CSVVal&lt;&gt;"",_xlpm.CSVVal
)),"")</f>
        <v/>
      </c>
      <c r="L49" s="46" t="str" cm="1">
        <f t="array" ref="L49">IFERROR(_xlfn.LET(
_xlpm.CSVVal,_xlfn.XLOOKUP($A49,CSV!$A:$A,CSV!Q:Q,""),
_xlpm.MacVal,_xlfn.XLOOKUP($A49,Output_Mac!$A:$A,Output_Mac!M:M,""),
_xlpm.MyAuditVal,_xlfn.XLOOKUP($A49,My_Audit!$A:$A,My_Audit!K:K,""),
_xlfn.IFS(_xlpm.MyAuditVal&lt;&gt;"",UPPER(_xlpm.MyAuditVal),_xlpm.MacVal&lt;&gt;"",_xlpm.MacVal,_xlpm.CSVVal&lt;&gt;"",_xlpm.CSVVal
)),"")</f>
        <v/>
      </c>
      <c r="M49" s="45" t="str">
        <f>_xlfn.LET(
    _xlpm.CSVVal, _xlfn.XLOOKUP($A49, CSV!$A:$A, CSV!AE:AE, ""),
    _xlpm.MacVal, _xlfn.XLOOKUP($A49, Output_Mac!$A:$A, Output_Mac!S:S, ""),
    _xlpm.MyAuditVal, _xlfn.XLOOKUP($A49, My_Audit!$A:$A, My_Audit!N:N, ""),
    _xlfn.TEXTJOIN(", ", TRUE, _xlpm.MyAuditVal, _xlpm.MacVal, _xlpm.CSVVal)
)</f>
        <v/>
      </c>
      <c r="N49" s="45" t="str" cm="1">
        <f t="array" ref="N49">IFERROR(_xlfn.LET(
_xlpm.CSVVal,_xlfn.XLOOKUP($A49,CSV!$A:$A,CSV!AG:AG,""),
_xlpm.MacVal,_xlfn.XLOOKUP($A49,Output_Mac!$A:$A,Output_Mac!U:U,""),
_xlpm.MyAuditVal,_xlfn.XLOOKUP($A49,My_Audit!$A:$A,My_Audit!O:O,""),
_xlfn.IFS(_xlpm.MyAuditVal&lt;&gt;"",UPPER(_xlpm.MyAuditVal),_xlpm.MacVal&lt;&gt;"",_xlpm.MacVal,_xlpm.CSVVal&lt;&gt;"",_xlpm.CSVVal
)),"")</f>
        <v/>
      </c>
      <c r="O49" s="46" t="str">
        <f>_xlfn.XLOOKUP(C49,My_Audit!B:B,My_Audit!P:P,"")&amp;""</f>
        <v/>
      </c>
      <c r="P49" s="45"/>
      <c r="Q49" s="46" t="str">
        <f>IF(LEFT(N49,4)="Pass","Nist SP 800-88",My_Audit!R49)&amp;""</f>
        <v/>
      </c>
      <c r="R49" s="45"/>
      <c r="S49" s="45"/>
      <c r="T49" s="46" t="str">
        <f>_xlfn.XLOOKUP(E49,Models!I:I,Models!J:J,"")</f>
        <v/>
      </c>
      <c r="U49" s="45"/>
      <c r="V49" s="45"/>
      <c r="W49" s="38" t="str">
        <f>_xlfn.LET(
    _xlpm.MacVal, _xlfn.XLOOKUP($A49, Output_Mac!$A:$A, Output_Mac!AB:AB, ""),
    _xlpm.MyAuditVal, _xlfn.XLOOKUP($A49, My_Audit!$A:$A, My_Audit!L:L, ""),
    _xlfn.TEXTJOIN(", ", TRUE, _xlpm.MyAuditVal, _xlpm.MacVal)
)</f>
        <v/>
      </c>
    </row>
    <row r="50" spans="1:23">
      <c r="A50" s="45" t="str">
        <f>_xlfn.TEXTJOIN("",TRUE,Input!$B$2,ROW(My_Audit!A49))</f>
        <v>XX49</v>
      </c>
      <c r="B50" s="45" t="str">
        <f>_xlfn.TEXTJOIN("-",TRUE,"ITD",Input!$A$2,A50)</f>
        <v>ITD-SHRXXX-XX49</v>
      </c>
      <c r="C50" s="45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46" t="str" cm="1">
        <f t="array" ref="D50">IFERROR(_xlfn.LET(
_xlpm.CSVVal,_xlfn.XLOOKUP($A50,CSV!$A:$A,CSV!C:C,""),
_xlpm.MacVal,_xlfn.XLOOKUP($A50,Output_Mac!$A:$A,Output_Mac!D:D,""),
_xlpm.MyAuditVal,_xlfn.XLOOKUP($A50,My_Audit!$A:$A,My_Audit!C:C,""),
_xlfn.IFS(_xlpm.MyAuditVal&lt;&gt;"",UPPER(_xlpm.MyAuditVal),_xlpm.MacVal&lt;&gt;"",_xlpm.MacVal,_xlpm.CSVVal&lt;&gt;"",_xlpm.CSVVal
)),"")</f>
        <v/>
      </c>
      <c r="E50" s="46" t="str" cm="1">
        <f t="array" ref="E50">IFERROR(_xlfn.LET(
_xlpm.CSVVal,_xlfn.XLOOKUP($A50,CSV!$A:$A,CSV!E:E,""),
_xlpm.MacVal,_xlfn.XLOOKUP($A50,Output_Mac!$A:$A,Output_Mac!C:C,""),
_xlpm.MyAuditVal,_xlfn.XLOOKUP($A50,My_Audit!$A:$A,My_Audit!D:D,""),
_xlfn.IFS(_xlpm.MyAuditVal&lt;&gt;"",_xlpm.MyAuditVal,_xlpm.MacVal&lt;&gt;"",_xlpm.MacVal,_xlpm.CSVVal&lt;&gt;"",_xlpm.CSVVal
)),"")</f>
        <v/>
      </c>
      <c r="F50" s="45" t="str" cm="1">
        <f t="array" ref="F50">IFERROR(_xlfn.LET(
_xlpm.CSVVal,_xlfn.XLOOKUP($A50,CSV!$A:$A,CSV!F:F,""),
_xlpm.MacVal,_xlfn.XLOOKUP($A50,Output_Mac!$A:$A,Output_Mac!F:F,""),
_xlpm.MyAuditVal,_xlfn.XLOOKUP($A50,My_Audit!$A:$A,My_Audit!E:E,""),
_xlfn.IFS(_xlpm.MyAuditVal&lt;&gt;"",_xlpm.MyAuditVal,_xlpm.MacVal&lt;&gt;"",_xlpm.MacVal,_xlpm.CSVVal&lt;&gt;"",PROPER(_xlpm.CSVVal)
)),"")</f>
        <v/>
      </c>
      <c r="G50" s="45" t="str" cm="1">
        <f t="array" ref="G50">IFERROR(_xlfn.LET(
_xlpm.CSVVal,_xlfn.XLOOKUP($A50,CSV!$A:$A,CSV!G:G,""),
_xlpm.MacVal,_xlfn.XLOOKUP($A50,Output_Mac!$A:$A,Output_Mac!H:H,""),
_xlpm.MyAuditVal,_xlfn.XLOOKUP($A50,My_Audit!$A:$A,My_Audit!F:F,""),
_xlfn.IFS(_xlpm.MyAuditVal&lt;&gt;"",_xlpm.MyAuditVal,_xlpm.MacVal&lt;&gt;"",_xlpm.MacVal,_xlpm.CSVVal&lt;&gt;"",_xlpm.CSVVal
)),"")</f>
        <v/>
      </c>
      <c r="H50" s="45" t="str">
        <f>_xlfn.XLOOKUP(A50,Output_Mac!A:A,Output_Mac!I:I,"")</f>
        <v/>
      </c>
      <c r="I50" s="45" t="str" cm="1">
        <f t="array" ref="I50">IFERROR(_xlfn.LET(
_xlpm.CSVVal,_xlfn.XLOOKUP($A50,CSV!$A:$A,CSV!H:H,""),
_xlpm.MacVal,_xlfn.XLOOKUP($A50,Output_Mac!$A:$A,Output_Mac!J:J,""),
_xlpm.MyAuditVal,_xlfn.XLOOKUP($A50,My_Audit!$A:$A,My_Audit!H:H,""),
_xlfn.IFS(_xlpm.MyAuditVal&lt;&gt;"",UPPER(_xlpm.MyAuditVal),_xlpm.MacVal&lt;&gt;"",_xlpm.MacVal,_xlpm.CSVVal&lt;&gt;"",_xlpm.CSVVal
)),"")</f>
        <v/>
      </c>
      <c r="J50" s="45" t="str" cm="1">
        <f t="array" ref="J50">IFERROR(_xlfn.LET(
_xlpm.CSVVal,_xlfn.XLOOKUP($A50,CSV!$A:$A,CSV!J:J,""),
_xlpm.MacVal,_xlfn.XLOOKUP($A50,Output_Mac!$A:$A,Output_Mac!K:K,""),
_xlpm.MyAuditVal,_xlfn.XLOOKUP($A50,My_Audit!$A:$A,My_Audit!I:I,""),
_xlfn.IFS(_xlpm.MyAuditVal&lt;&gt;"",UPPER(_xlpm.MyAuditVal),_xlpm.MacVal&lt;&gt;"",_xlpm.MacVal,_xlpm.CSVVal&lt;&gt;"",_xlpm.CSVVal
)),"")</f>
        <v/>
      </c>
      <c r="K50" s="45" t="str" cm="1">
        <f t="array" ref="K50">IFERROR(_xlfn.LET(
_xlpm.CSVVal,_xlfn.XLOOKUP($A50,CSV!$A:$A,CSV!N:N,""),
_xlpm.MacVal,_xlfn.XLOOKUP($A50,Output_Mac!$A:$A,Output_Mac!L:L,""),
_xlpm.MyAuditVal,_xlfn.XLOOKUP($A50,My_Audit!$A:$A,My_Audit!J:J,""),
_xlfn.IFS(_xlpm.MyAuditVal&lt;&gt;"",UPPER(_xlpm.MyAuditVal),_xlpm.MacVal&lt;&gt;"",_xlpm.MacVal,_xlpm.CSVVal&lt;&gt;"",_xlpm.CSVVal
)),"")</f>
        <v/>
      </c>
      <c r="L50" s="46" t="str" cm="1">
        <f t="array" ref="L50">IFERROR(_xlfn.LET(
_xlpm.CSVVal,_xlfn.XLOOKUP($A50,CSV!$A:$A,CSV!Q:Q,""),
_xlpm.MacVal,_xlfn.XLOOKUP($A50,Output_Mac!$A:$A,Output_Mac!M:M,""),
_xlpm.MyAuditVal,_xlfn.XLOOKUP($A50,My_Audit!$A:$A,My_Audit!K:K,""),
_xlfn.IFS(_xlpm.MyAuditVal&lt;&gt;"",UPPER(_xlpm.MyAuditVal),_xlpm.MacVal&lt;&gt;"",_xlpm.MacVal,_xlpm.CSVVal&lt;&gt;"",_xlpm.CSVVal
)),"")</f>
        <v/>
      </c>
      <c r="M50" s="45" t="str">
        <f>_xlfn.LET(
    _xlpm.CSVVal, _xlfn.XLOOKUP($A50, CSV!$A:$A, CSV!AE:AE, ""),
    _xlpm.MacVal, _xlfn.XLOOKUP($A50, Output_Mac!$A:$A, Output_Mac!S:S, ""),
    _xlpm.MyAuditVal, _xlfn.XLOOKUP($A50, My_Audit!$A:$A, My_Audit!N:N, ""),
    _xlfn.TEXTJOIN(", ", TRUE, _xlpm.MyAuditVal, _xlpm.MacVal, _xlpm.CSVVal)
)</f>
        <v/>
      </c>
      <c r="N50" s="45" t="str" cm="1">
        <f t="array" ref="N50">IFERROR(_xlfn.LET(
_xlpm.CSVVal,_xlfn.XLOOKUP($A50,CSV!$A:$A,CSV!AG:AG,""),
_xlpm.MacVal,_xlfn.XLOOKUP($A50,Output_Mac!$A:$A,Output_Mac!U:U,""),
_xlpm.MyAuditVal,_xlfn.XLOOKUP($A50,My_Audit!$A:$A,My_Audit!O:O,""),
_xlfn.IFS(_xlpm.MyAuditVal&lt;&gt;"",UPPER(_xlpm.MyAuditVal),_xlpm.MacVal&lt;&gt;"",_xlpm.MacVal,_xlpm.CSVVal&lt;&gt;"",_xlpm.CSVVal
)),"")</f>
        <v/>
      </c>
      <c r="O50" s="46" t="str">
        <f>_xlfn.XLOOKUP(C50,My_Audit!B:B,My_Audit!P:P,"")&amp;""</f>
        <v/>
      </c>
      <c r="P50" s="45"/>
      <c r="Q50" s="46" t="str">
        <f>IF(LEFT(N50,4)="Pass","Nist SP 800-88",My_Audit!R50)&amp;""</f>
        <v/>
      </c>
      <c r="R50" s="45"/>
      <c r="S50" s="45"/>
      <c r="T50" s="46" t="str">
        <f>_xlfn.XLOOKUP(E50,Models!I:I,Models!J:J,"")</f>
        <v/>
      </c>
      <c r="U50" s="45"/>
      <c r="V50" s="45"/>
      <c r="W50" s="38" t="str">
        <f>_xlfn.LET(
    _xlpm.MacVal, _xlfn.XLOOKUP($A50, Output_Mac!$A:$A, Output_Mac!AB:AB, ""),
    _xlpm.MyAuditVal, _xlfn.XLOOKUP($A50, My_Audit!$A:$A, My_Audit!L:L, ""),
    _xlfn.TEXTJOIN(", ", TRUE, _xlpm.MyAuditVal, _xlpm.MacVal)
)</f>
        <v/>
      </c>
    </row>
    <row r="51" spans="1:23">
      <c r="A51" s="45" t="str">
        <f>_xlfn.TEXTJOIN("",TRUE,Input!$B$2,ROW(My_Audit!A50))</f>
        <v>XX50</v>
      </c>
      <c r="B51" s="45" t="str">
        <f>_xlfn.TEXTJOIN("-",TRUE,"ITD",Input!$A$2,A51)</f>
        <v>ITD-SHRXXX-XX50</v>
      </c>
      <c r="C51" s="45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46" t="str" cm="1">
        <f t="array" ref="D51">IFERROR(_xlfn.LET(
_xlpm.CSVVal,_xlfn.XLOOKUP($A51,CSV!$A:$A,CSV!C:C,""),
_xlpm.MacVal,_xlfn.XLOOKUP($A51,Output_Mac!$A:$A,Output_Mac!D:D,""),
_xlpm.MyAuditVal,_xlfn.XLOOKUP($A51,My_Audit!$A:$A,My_Audit!C:C,""),
_xlfn.IFS(_xlpm.MyAuditVal&lt;&gt;"",UPPER(_xlpm.MyAuditVal),_xlpm.MacVal&lt;&gt;"",_xlpm.MacVal,_xlpm.CSVVal&lt;&gt;"",_xlpm.CSVVal
)),"")</f>
        <v/>
      </c>
      <c r="E51" s="46" t="str" cm="1">
        <f t="array" ref="E51">IFERROR(_xlfn.LET(
_xlpm.CSVVal,_xlfn.XLOOKUP($A51,CSV!$A:$A,CSV!E:E,""),
_xlpm.MacVal,_xlfn.XLOOKUP($A51,Output_Mac!$A:$A,Output_Mac!C:C,""),
_xlpm.MyAuditVal,_xlfn.XLOOKUP($A51,My_Audit!$A:$A,My_Audit!D:D,""),
_xlfn.IFS(_xlpm.MyAuditVal&lt;&gt;"",_xlpm.MyAuditVal,_xlpm.MacVal&lt;&gt;"",_xlpm.MacVal,_xlpm.CSVVal&lt;&gt;"",_xlpm.CSVVal
)),"")</f>
        <v/>
      </c>
      <c r="F51" s="45" t="str" cm="1">
        <f t="array" ref="F51">IFERROR(_xlfn.LET(
_xlpm.CSVVal,_xlfn.XLOOKUP($A51,CSV!$A:$A,CSV!F:F,""),
_xlpm.MacVal,_xlfn.XLOOKUP($A51,Output_Mac!$A:$A,Output_Mac!F:F,""),
_xlpm.MyAuditVal,_xlfn.XLOOKUP($A51,My_Audit!$A:$A,My_Audit!E:E,""),
_xlfn.IFS(_xlpm.MyAuditVal&lt;&gt;"",_xlpm.MyAuditVal,_xlpm.MacVal&lt;&gt;"",_xlpm.MacVal,_xlpm.CSVVal&lt;&gt;"",PROPER(_xlpm.CSVVal)
)),"")</f>
        <v/>
      </c>
      <c r="G51" s="45" t="str" cm="1">
        <f t="array" ref="G51">IFERROR(_xlfn.LET(
_xlpm.CSVVal,_xlfn.XLOOKUP($A51,CSV!$A:$A,CSV!G:G,""),
_xlpm.MacVal,_xlfn.XLOOKUP($A51,Output_Mac!$A:$A,Output_Mac!H:H,""),
_xlpm.MyAuditVal,_xlfn.XLOOKUP($A51,My_Audit!$A:$A,My_Audit!F:F,""),
_xlfn.IFS(_xlpm.MyAuditVal&lt;&gt;"",_xlpm.MyAuditVal,_xlpm.MacVal&lt;&gt;"",_xlpm.MacVal,_xlpm.CSVVal&lt;&gt;"",_xlpm.CSVVal
)),"")</f>
        <v/>
      </c>
      <c r="H51" s="45" t="str">
        <f>_xlfn.XLOOKUP(A51,Output_Mac!A:A,Output_Mac!I:I,"")</f>
        <v/>
      </c>
      <c r="I51" s="45" t="str" cm="1">
        <f t="array" ref="I51">IFERROR(_xlfn.LET(
_xlpm.CSVVal,_xlfn.XLOOKUP($A51,CSV!$A:$A,CSV!H:H,""),
_xlpm.MacVal,_xlfn.XLOOKUP($A51,Output_Mac!$A:$A,Output_Mac!J:J,""),
_xlpm.MyAuditVal,_xlfn.XLOOKUP($A51,My_Audit!$A:$A,My_Audit!H:H,""),
_xlfn.IFS(_xlpm.MyAuditVal&lt;&gt;"",UPPER(_xlpm.MyAuditVal),_xlpm.MacVal&lt;&gt;"",_xlpm.MacVal,_xlpm.CSVVal&lt;&gt;"",_xlpm.CSVVal
)),"")</f>
        <v/>
      </c>
      <c r="J51" s="45" t="str" cm="1">
        <f t="array" ref="J51">IFERROR(_xlfn.LET(
_xlpm.CSVVal,_xlfn.XLOOKUP($A51,CSV!$A:$A,CSV!J:J,""),
_xlpm.MacVal,_xlfn.XLOOKUP($A51,Output_Mac!$A:$A,Output_Mac!K:K,""),
_xlpm.MyAuditVal,_xlfn.XLOOKUP($A51,My_Audit!$A:$A,My_Audit!I:I,""),
_xlfn.IFS(_xlpm.MyAuditVal&lt;&gt;"",UPPER(_xlpm.MyAuditVal),_xlpm.MacVal&lt;&gt;"",_xlpm.MacVal,_xlpm.CSVVal&lt;&gt;"",_xlpm.CSVVal
)),"")</f>
        <v/>
      </c>
      <c r="K51" s="45" t="str" cm="1">
        <f t="array" ref="K51">IFERROR(_xlfn.LET(
_xlpm.CSVVal,_xlfn.XLOOKUP($A51,CSV!$A:$A,CSV!N:N,""),
_xlpm.MacVal,_xlfn.XLOOKUP($A51,Output_Mac!$A:$A,Output_Mac!L:L,""),
_xlpm.MyAuditVal,_xlfn.XLOOKUP($A51,My_Audit!$A:$A,My_Audit!J:J,""),
_xlfn.IFS(_xlpm.MyAuditVal&lt;&gt;"",UPPER(_xlpm.MyAuditVal),_xlpm.MacVal&lt;&gt;"",_xlpm.MacVal,_xlpm.CSVVal&lt;&gt;"",_xlpm.CSVVal
)),"")</f>
        <v/>
      </c>
      <c r="L51" s="46" t="str" cm="1">
        <f t="array" ref="L51">IFERROR(_xlfn.LET(
_xlpm.CSVVal,_xlfn.XLOOKUP($A51,CSV!$A:$A,CSV!Q:Q,""),
_xlpm.MacVal,_xlfn.XLOOKUP($A51,Output_Mac!$A:$A,Output_Mac!M:M,""),
_xlpm.MyAuditVal,_xlfn.XLOOKUP($A51,My_Audit!$A:$A,My_Audit!K:K,""),
_xlfn.IFS(_xlpm.MyAuditVal&lt;&gt;"",UPPER(_xlpm.MyAuditVal),_xlpm.MacVal&lt;&gt;"",_xlpm.MacVal,_xlpm.CSVVal&lt;&gt;"",_xlpm.CSVVal
)),"")</f>
        <v/>
      </c>
      <c r="M51" s="45" t="str">
        <f>_xlfn.LET(
    _xlpm.CSVVal, _xlfn.XLOOKUP($A51, CSV!$A:$A, CSV!AE:AE, ""),
    _xlpm.MacVal, _xlfn.XLOOKUP($A51, Output_Mac!$A:$A, Output_Mac!S:S, ""),
    _xlpm.MyAuditVal, _xlfn.XLOOKUP($A51, My_Audit!$A:$A, My_Audit!N:N, ""),
    _xlfn.TEXTJOIN(", ", TRUE, _xlpm.MyAuditVal, _xlpm.MacVal, _xlpm.CSVVal)
)</f>
        <v/>
      </c>
      <c r="N51" s="45" t="str" cm="1">
        <f t="array" ref="N51">IFERROR(_xlfn.LET(
_xlpm.CSVVal,_xlfn.XLOOKUP($A51,CSV!$A:$A,CSV!AG:AG,""),
_xlpm.MacVal,_xlfn.XLOOKUP($A51,Output_Mac!$A:$A,Output_Mac!U:U,""),
_xlpm.MyAuditVal,_xlfn.XLOOKUP($A51,My_Audit!$A:$A,My_Audit!O:O,""),
_xlfn.IFS(_xlpm.MyAuditVal&lt;&gt;"",UPPER(_xlpm.MyAuditVal),_xlpm.MacVal&lt;&gt;"",_xlpm.MacVal,_xlpm.CSVVal&lt;&gt;"",_xlpm.CSVVal
)),"")</f>
        <v/>
      </c>
      <c r="O51" s="46" t="str">
        <f>_xlfn.XLOOKUP(C51,My_Audit!B:B,My_Audit!P:P,"")&amp;""</f>
        <v/>
      </c>
      <c r="P51" s="45"/>
      <c r="Q51" s="46" t="str">
        <f>IF(LEFT(N51,4)="Pass","Nist SP 800-88",My_Audit!R51)&amp;""</f>
        <v/>
      </c>
      <c r="R51" s="45"/>
      <c r="S51" s="45"/>
      <c r="T51" s="46" t="str">
        <f>_xlfn.XLOOKUP(E51,Models!I:I,Models!J:J,"")</f>
        <v/>
      </c>
      <c r="U51" s="45"/>
      <c r="V51" s="45"/>
      <c r="W51" s="38" t="str">
        <f>_xlfn.LET(
    _xlpm.MacVal, _xlfn.XLOOKUP($A51, Output_Mac!$A:$A, Output_Mac!AB:AB, ""),
    _xlpm.MyAuditVal, _xlfn.XLOOKUP($A51, My_Audit!$A:$A, My_Audit!L:L, ""),
    _xlfn.TEXTJOIN(", ", TRUE, _xlpm.MyAuditVal, _xlpm.MacVal)
)</f>
        <v/>
      </c>
    </row>
    <row r="52" spans="1:23">
      <c r="A52" s="45" t="str">
        <f>_xlfn.TEXTJOIN("",TRUE,Input!$B$2,ROW(My_Audit!A51))</f>
        <v>XX51</v>
      </c>
      <c r="B52" s="45" t="str">
        <f>_xlfn.TEXTJOIN("-",TRUE,"ITD",Input!$A$2,A52)</f>
        <v>ITD-SHRXXX-XX51</v>
      </c>
      <c r="C52" s="45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46" t="str" cm="1">
        <f t="array" ref="D52">IFERROR(_xlfn.LET(
_xlpm.CSVVal,_xlfn.XLOOKUP($A52,CSV!$A:$A,CSV!C:C,""),
_xlpm.MacVal,_xlfn.XLOOKUP($A52,Output_Mac!$A:$A,Output_Mac!D:D,""),
_xlpm.MyAuditVal,_xlfn.XLOOKUP($A52,My_Audit!$A:$A,My_Audit!C:C,""),
_xlfn.IFS(_xlpm.MyAuditVal&lt;&gt;"",UPPER(_xlpm.MyAuditVal),_xlpm.MacVal&lt;&gt;"",_xlpm.MacVal,_xlpm.CSVVal&lt;&gt;"",_xlpm.CSVVal
)),"")</f>
        <v/>
      </c>
      <c r="E52" s="46" t="str" cm="1">
        <f t="array" ref="E52">IFERROR(_xlfn.LET(
_xlpm.CSVVal,_xlfn.XLOOKUP($A52,CSV!$A:$A,CSV!E:E,""),
_xlpm.MacVal,_xlfn.XLOOKUP($A52,Output_Mac!$A:$A,Output_Mac!C:C,""),
_xlpm.MyAuditVal,_xlfn.XLOOKUP($A52,My_Audit!$A:$A,My_Audit!D:D,""),
_xlfn.IFS(_xlpm.MyAuditVal&lt;&gt;"",_xlpm.MyAuditVal,_xlpm.MacVal&lt;&gt;"",_xlpm.MacVal,_xlpm.CSVVal&lt;&gt;"",_xlpm.CSVVal
)),"")</f>
        <v/>
      </c>
      <c r="F52" s="45" t="str" cm="1">
        <f t="array" ref="F52">IFERROR(_xlfn.LET(
_xlpm.CSVVal,_xlfn.XLOOKUP($A52,CSV!$A:$A,CSV!F:F,""),
_xlpm.MacVal,_xlfn.XLOOKUP($A52,Output_Mac!$A:$A,Output_Mac!F:F,""),
_xlpm.MyAuditVal,_xlfn.XLOOKUP($A52,My_Audit!$A:$A,My_Audit!E:E,""),
_xlfn.IFS(_xlpm.MyAuditVal&lt;&gt;"",_xlpm.MyAuditVal,_xlpm.MacVal&lt;&gt;"",_xlpm.MacVal,_xlpm.CSVVal&lt;&gt;"",PROPER(_xlpm.CSVVal)
)),"")</f>
        <v/>
      </c>
      <c r="G52" s="45" t="str" cm="1">
        <f t="array" ref="G52">IFERROR(_xlfn.LET(
_xlpm.CSVVal,_xlfn.XLOOKUP($A52,CSV!$A:$A,CSV!G:G,""),
_xlpm.MacVal,_xlfn.XLOOKUP($A52,Output_Mac!$A:$A,Output_Mac!H:H,""),
_xlpm.MyAuditVal,_xlfn.XLOOKUP($A52,My_Audit!$A:$A,My_Audit!F:F,""),
_xlfn.IFS(_xlpm.MyAuditVal&lt;&gt;"",_xlpm.MyAuditVal,_xlpm.MacVal&lt;&gt;"",_xlpm.MacVal,_xlpm.CSVVal&lt;&gt;"",_xlpm.CSVVal
)),"")</f>
        <v/>
      </c>
      <c r="H52" s="45" t="str">
        <f>_xlfn.XLOOKUP(A52,Output_Mac!A:A,Output_Mac!I:I,"")</f>
        <v/>
      </c>
      <c r="I52" s="45" t="str" cm="1">
        <f t="array" ref="I52">IFERROR(_xlfn.LET(
_xlpm.CSVVal,_xlfn.XLOOKUP($A52,CSV!$A:$A,CSV!H:H,""),
_xlpm.MacVal,_xlfn.XLOOKUP($A52,Output_Mac!$A:$A,Output_Mac!J:J,""),
_xlpm.MyAuditVal,_xlfn.XLOOKUP($A52,My_Audit!$A:$A,My_Audit!H:H,""),
_xlfn.IFS(_xlpm.MyAuditVal&lt;&gt;"",UPPER(_xlpm.MyAuditVal),_xlpm.MacVal&lt;&gt;"",_xlpm.MacVal,_xlpm.CSVVal&lt;&gt;"",_xlpm.CSVVal
)),"")</f>
        <v/>
      </c>
      <c r="J52" s="45" t="str" cm="1">
        <f t="array" ref="J52">IFERROR(_xlfn.LET(
_xlpm.CSVVal,_xlfn.XLOOKUP($A52,CSV!$A:$A,CSV!J:J,""),
_xlpm.MacVal,_xlfn.XLOOKUP($A52,Output_Mac!$A:$A,Output_Mac!K:K,""),
_xlpm.MyAuditVal,_xlfn.XLOOKUP($A52,My_Audit!$A:$A,My_Audit!I:I,""),
_xlfn.IFS(_xlpm.MyAuditVal&lt;&gt;"",UPPER(_xlpm.MyAuditVal),_xlpm.MacVal&lt;&gt;"",_xlpm.MacVal,_xlpm.CSVVal&lt;&gt;"",_xlpm.CSVVal
)),"")</f>
        <v/>
      </c>
      <c r="K52" s="45" t="str" cm="1">
        <f t="array" ref="K52">IFERROR(_xlfn.LET(
_xlpm.CSVVal,_xlfn.XLOOKUP($A52,CSV!$A:$A,CSV!N:N,""),
_xlpm.MacVal,_xlfn.XLOOKUP($A52,Output_Mac!$A:$A,Output_Mac!L:L,""),
_xlpm.MyAuditVal,_xlfn.XLOOKUP($A52,My_Audit!$A:$A,My_Audit!J:J,""),
_xlfn.IFS(_xlpm.MyAuditVal&lt;&gt;"",UPPER(_xlpm.MyAuditVal),_xlpm.MacVal&lt;&gt;"",_xlpm.MacVal,_xlpm.CSVVal&lt;&gt;"",_xlpm.CSVVal
)),"")</f>
        <v/>
      </c>
      <c r="L52" s="46" t="str" cm="1">
        <f t="array" ref="L52">IFERROR(_xlfn.LET(
_xlpm.CSVVal,_xlfn.XLOOKUP($A52,CSV!$A:$A,CSV!Q:Q,""),
_xlpm.MacVal,_xlfn.XLOOKUP($A52,Output_Mac!$A:$A,Output_Mac!M:M,""),
_xlpm.MyAuditVal,_xlfn.XLOOKUP($A52,My_Audit!$A:$A,My_Audit!K:K,""),
_xlfn.IFS(_xlpm.MyAuditVal&lt;&gt;"",UPPER(_xlpm.MyAuditVal),_xlpm.MacVal&lt;&gt;"",_xlpm.MacVal,_xlpm.CSVVal&lt;&gt;"",_xlpm.CSVVal
)),"")</f>
        <v/>
      </c>
      <c r="M52" s="45" t="str">
        <f>_xlfn.LET(
    _xlpm.CSVVal, _xlfn.XLOOKUP($A52, CSV!$A:$A, CSV!AE:AE, ""),
    _xlpm.MacVal, _xlfn.XLOOKUP($A52, Output_Mac!$A:$A, Output_Mac!S:S, ""),
    _xlpm.MyAuditVal, _xlfn.XLOOKUP($A52, My_Audit!$A:$A, My_Audit!N:N, ""),
    _xlfn.TEXTJOIN(", ", TRUE, _xlpm.MyAuditVal, _xlpm.MacVal, _xlpm.CSVVal)
)</f>
        <v/>
      </c>
      <c r="N52" s="45" t="str" cm="1">
        <f t="array" ref="N52">IFERROR(_xlfn.LET(
_xlpm.CSVVal,_xlfn.XLOOKUP($A52,CSV!$A:$A,CSV!AG:AG,""),
_xlpm.MacVal,_xlfn.XLOOKUP($A52,Output_Mac!$A:$A,Output_Mac!U:U,""),
_xlpm.MyAuditVal,_xlfn.XLOOKUP($A52,My_Audit!$A:$A,My_Audit!O:O,""),
_xlfn.IFS(_xlpm.MyAuditVal&lt;&gt;"",UPPER(_xlpm.MyAuditVal),_xlpm.MacVal&lt;&gt;"",_xlpm.MacVal,_xlpm.CSVVal&lt;&gt;"",_xlpm.CSVVal
)),"")</f>
        <v/>
      </c>
      <c r="O52" s="46" t="str">
        <f>_xlfn.XLOOKUP(C52,My_Audit!B:B,My_Audit!P:P,"")&amp;""</f>
        <v/>
      </c>
      <c r="P52" s="45"/>
      <c r="Q52" s="46" t="str">
        <f>IF(LEFT(N52,4)="Pass","Nist SP 800-88",My_Audit!R52)&amp;""</f>
        <v/>
      </c>
      <c r="R52" s="45"/>
      <c r="S52" s="45"/>
      <c r="T52" s="46" t="str">
        <f>_xlfn.XLOOKUP(E52,Models!I:I,Models!J:J,"")</f>
        <v/>
      </c>
      <c r="U52" s="45"/>
      <c r="V52" s="45"/>
      <c r="W52" s="38" t="str">
        <f>_xlfn.LET(
    _xlpm.MacVal, _xlfn.XLOOKUP($A52, Output_Mac!$A:$A, Output_Mac!AB:AB, ""),
    _xlpm.MyAuditVal, _xlfn.XLOOKUP($A52, My_Audit!$A:$A, My_Audit!L:L, ""),
    _xlfn.TEXTJOIN(", ", TRUE, _xlpm.MyAuditVal, _xlpm.MacVal)
)</f>
        <v/>
      </c>
    </row>
    <row r="53" spans="1:23">
      <c r="A53" s="45" t="str">
        <f>_xlfn.TEXTJOIN("",TRUE,Input!$B$2,ROW(My_Audit!A52))</f>
        <v>XX52</v>
      </c>
      <c r="B53" s="45" t="str">
        <f>_xlfn.TEXTJOIN("-",TRUE,"ITD",Input!$A$2,A53)</f>
        <v>ITD-SHRXXX-XX52</v>
      </c>
      <c r="C53" s="45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46" t="str" cm="1">
        <f t="array" ref="D53">IFERROR(_xlfn.LET(
_xlpm.CSVVal,_xlfn.XLOOKUP($A53,CSV!$A:$A,CSV!C:C,""),
_xlpm.MacVal,_xlfn.XLOOKUP($A53,Output_Mac!$A:$A,Output_Mac!D:D,""),
_xlpm.MyAuditVal,_xlfn.XLOOKUP($A53,My_Audit!$A:$A,My_Audit!C:C,""),
_xlfn.IFS(_xlpm.MyAuditVal&lt;&gt;"",UPPER(_xlpm.MyAuditVal),_xlpm.MacVal&lt;&gt;"",_xlpm.MacVal,_xlpm.CSVVal&lt;&gt;"",_xlpm.CSVVal
)),"")</f>
        <v/>
      </c>
      <c r="E53" s="46" t="str" cm="1">
        <f t="array" ref="E53">IFERROR(_xlfn.LET(
_xlpm.CSVVal,_xlfn.XLOOKUP($A53,CSV!$A:$A,CSV!E:E,""),
_xlpm.MacVal,_xlfn.XLOOKUP($A53,Output_Mac!$A:$A,Output_Mac!C:C,""),
_xlpm.MyAuditVal,_xlfn.XLOOKUP($A53,My_Audit!$A:$A,My_Audit!D:D,""),
_xlfn.IFS(_xlpm.MyAuditVal&lt;&gt;"",_xlpm.MyAuditVal,_xlpm.MacVal&lt;&gt;"",_xlpm.MacVal,_xlpm.CSVVal&lt;&gt;"",_xlpm.CSVVal
)),"")</f>
        <v/>
      </c>
      <c r="F53" s="45" t="str" cm="1">
        <f t="array" ref="F53">IFERROR(_xlfn.LET(
_xlpm.CSVVal,_xlfn.XLOOKUP($A53,CSV!$A:$A,CSV!F:F,""),
_xlpm.MacVal,_xlfn.XLOOKUP($A53,Output_Mac!$A:$A,Output_Mac!F:F,""),
_xlpm.MyAuditVal,_xlfn.XLOOKUP($A53,My_Audit!$A:$A,My_Audit!E:E,""),
_xlfn.IFS(_xlpm.MyAuditVal&lt;&gt;"",_xlpm.MyAuditVal,_xlpm.MacVal&lt;&gt;"",_xlpm.MacVal,_xlpm.CSVVal&lt;&gt;"",PROPER(_xlpm.CSVVal)
)),"")</f>
        <v/>
      </c>
      <c r="G53" s="45" t="str" cm="1">
        <f t="array" ref="G53">IFERROR(_xlfn.LET(
_xlpm.CSVVal,_xlfn.XLOOKUP($A53,CSV!$A:$A,CSV!G:G,""),
_xlpm.MacVal,_xlfn.XLOOKUP($A53,Output_Mac!$A:$A,Output_Mac!H:H,""),
_xlpm.MyAuditVal,_xlfn.XLOOKUP($A53,My_Audit!$A:$A,My_Audit!F:F,""),
_xlfn.IFS(_xlpm.MyAuditVal&lt;&gt;"",_xlpm.MyAuditVal,_xlpm.MacVal&lt;&gt;"",_xlpm.MacVal,_xlpm.CSVVal&lt;&gt;"",_xlpm.CSVVal
)),"")</f>
        <v/>
      </c>
      <c r="H53" s="45" t="str">
        <f>_xlfn.XLOOKUP(A53,Output_Mac!A:A,Output_Mac!I:I,"")</f>
        <v/>
      </c>
      <c r="I53" s="45" t="str" cm="1">
        <f t="array" ref="I53">IFERROR(_xlfn.LET(
_xlpm.CSVVal,_xlfn.XLOOKUP($A53,CSV!$A:$A,CSV!H:H,""),
_xlpm.MacVal,_xlfn.XLOOKUP($A53,Output_Mac!$A:$A,Output_Mac!J:J,""),
_xlpm.MyAuditVal,_xlfn.XLOOKUP($A53,My_Audit!$A:$A,My_Audit!H:H,""),
_xlfn.IFS(_xlpm.MyAuditVal&lt;&gt;"",UPPER(_xlpm.MyAuditVal),_xlpm.MacVal&lt;&gt;"",_xlpm.MacVal,_xlpm.CSVVal&lt;&gt;"",_xlpm.CSVVal
)),"")</f>
        <v/>
      </c>
      <c r="J53" s="45" t="str" cm="1">
        <f t="array" ref="J53">IFERROR(_xlfn.LET(
_xlpm.CSVVal,_xlfn.XLOOKUP($A53,CSV!$A:$A,CSV!J:J,""),
_xlpm.MacVal,_xlfn.XLOOKUP($A53,Output_Mac!$A:$A,Output_Mac!K:K,""),
_xlpm.MyAuditVal,_xlfn.XLOOKUP($A53,My_Audit!$A:$A,My_Audit!I:I,""),
_xlfn.IFS(_xlpm.MyAuditVal&lt;&gt;"",UPPER(_xlpm.MyAuditVal),_xlpm.MacVal&lt;&gt;"",_xlpm.MacVal,_xlpm.CSVVal&lt;&gt;"",_xlpm.CSVVal
)),"")</f>
        <v/>
      </c>
      <c r="K53" s="45" t="str" cm="1">
        <f t="array" ref="K53">IFERROR(_xlfn.LET(
_xlpm.CSVVal,_xlfn.XLOOKUP($A53,CSV!$A:$A,CSV!N:N,""),
_xlpm.MacVal,_xlfn.XLOOKUP($A53,Output_Mac!$A:$A,Output_Mac!L:L,""),
_xlpm.MyAuditVal,_xlfn.XLOOKUP($A53,My_Audit!$A:$A,My_Audit!J:J,""),
_xlfn.IFS(_xlpm.MyAuditVal&lt;&gt;"",UPPER(_xlpm.MyAuditVal),_xlpm.MacVal&lt;&gt;"",_xlpm.MacVal,_xlpm.CSVVal&lt;&gt;"",_xlpm.CSVVal
)),"")</f>
        <v/>
      </c>
      <c r="L53" s="46" t="str" cm="1">
        <f t="array" ref="L53">IFERROR(_xlfn.LET(
_xlpm.CSVVal,_xlfn.XLOOKUP($A53,CSV!$A:$A,CSV!Q:Q,""),
_xlpm.MacVal,_xlfn.XLOOKUP($A53,Output_Mac!$A:$A,Output_Mac!M:M,""),
_xlpm.MyAuditVal,_xlfn.XLOOKUP($A53,My_Audit!$A:$A,My_Audit!K:K,""),
_xlfn.IFS(_xlpm.MyAuditVal&lt;&gt;"",UPPER(_xlpm.MyAuditVal),_xlpm.MacVal&lt;&gt;"",_xlpm.MacVal,_xlpm.CSVVal&lt;&gt;"",_xlpm.CSVVal
)),"")</f>
        <v/>
      </c>
      <c r="M53" s="45" t="str">
        <f>_xlfn.LET(
    _xlpm.CSVVal, _xlfn.XLOOKUP($A53, CSV!$A:$A, CSV!AE:AE, ""),
    _xlpm.MacVal, _xlfn.XLOOKUP($A53, Output_Mac!$A:$A, Output_Mac!S:S, ""),
    _xlpm.MyAuditVal, _xlfn.XLOOKUP($A53, My_Audit!$A:$A, My_Audit!N:N, ""),
    _xlfn.TEXTJOIN(", ", TRUE, _xlpm.MyAuditVal, _xlpm.MacVal, _xlpm.CSVVal)
)</f>
        <v/>
      </c>
      <c r="N53" s="45" t="str" cm="1">
        <f t="array" ref="N53">IFERROR(_xlfn.LET(
_xlpm.CSVVal,_xlfn.XLOOKUP($A53,CSV!$A:$A,CSV!AG:AG,""),
_xlpm.MacVal,_xlfn.XLOOKUP($A53,Output_Mac!$A:$A,Output_Mac!U:U,""),
_xlpm.MyAuditVal,_xlfn.XLOOKUP($A53,My_Audit!$A:$A,My_Audit!O:O,""),
_xlfn.IFS(_xlpm.MyAuditVal&lt;&gt;"",UPPER(_xlpm.MyAuditVal),_xlpm.MacVal&lt;&gt;"",_xlpm.MacVal,_xlpm.CSVVal&lt;&gt;"",_xlpm.CSVVal
)),"")</f>
        <v/>
      </c>
      <c r="O53" s="46" t="str">
        <f>_xlfn.XLOOKUP(C53,My_Audit!B:B,My_Audit!P:P,"")&amp;""</f>
        <v/>
      </c>
      <c r="P53" s="45"/>
      <c r="Q53" s="46" t="str">
        <f>IF(LEFT(N53,4)="Pass","Nist SP 800-88",My_Audit!R53)&amp;""</f>
        <v/>
      </c>
      <c r="R53" s="45"/>
      <c r="S53" s="45"/>
      <c r="T53" s="46" t="str">
        <f>_xlfn.XLOOKUP(E53,Models!I:I,Models!J:J,"")</f>
        <v/>
      </c>
      <c r="U53" s="45"/>
      <c r="V53" s="45"/>
      <c r="W53" s="38" t="str">
        <f>_xlfn.LET(
    _xlpm.MacVal, _xlfn.XLOOKUP($A53, Output_Mac!$A:$A, Output_Mac!AB:AB, ""),
    _xlpm.MyAuditVal, _xlfn.XLOOKUP($A53, My_Audit!$A:$A, My_Audit!L:L, ""),
    _xlfn.TEXTJOIN(", ", TRUE, _xlpm.MyAuditVal, _xlpm.MacVal)
)</f>
        <v/>
      </c>
    </row>
    <row r="54" spans="1:23">
      <c r="A54" s="45" t="str">
        <f>_xlfn.TEXTJOIN("",TRUE,Input!$B$2,ROW(My_Audit!A53))</f>
        <v>XX53</v>
      </c>
      <c r="B54" s="45" t="str">
        <f>_xlfn.TEXTJOIN("-",TRUE,"ITD",Input!$A$2,A54)</f>
        <v>ITD-SHRXXX-XX53</v>
      </c>
      <c r="C54" s="45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46" t="str" cm="1">
        <f t="array" ref="D54">IFERROR(_xlfn.LET(
_xlpm.CSVVal,_xlfn.XLOOKUP($A54,CSV!$A:$A,CSV!C:C,""),
_xlpm.MacVal,_xlfn.XLOOKUP($A54,Output_Mac!$A:$A,Output_Mac!D:D,""),
_xlpm.MyAuditVal,_xlfn.XLOOKUP($A54,My_Audit!$A:$A,My_Audit!C:C,""),
_xlfn.IFS(_xlpm.MyAuditVal&lt;&gt;"",UPPER(_xlpm.MyAuditVal),_xlpm.MacVal&lt;&gt;"",_xlpm.MacVal,_xlpm.CSVVal&lt;&gt;"",_xlpm.CSVVal
)),"")</f>
        <v/>
      </c>
      <c r="E54" s="46" t="str" cm="1">
        <f t="array" ref="E54">IFERROR(_xlfn.LET(
_xlpm.CSVVal,_xlfn.XLOOKUP($A54,CSV!$A:$A,CSV!E:E,""),
_xlpm.MacVal,_xlfn.XLOOKUP($A54,Output_Mac!$A:$A,Output_Mac!C:C,""),
_xlpm.MyAuditVal,_xlfn.XLOOKUP($A54,My_Audit!$A:$A,My_Audit!D:D,""),
_xlfn.IFS(_xlpm.MyAuditVal&lt;&gt;"",_xlpm.MyAuditVal,_xlpm.MacVal&lt;&gt;"",_xlpm.MacVal,_xlpm.CSVVal&lt;&gt;"",_xlpm.CSVVal
)),"")</f>
        <v/>
      </c>
      <c r="F54" s="45" t="str" cm="1">
        <f t="array" ref="F54">IFERROR(_xlfn.LET(
_xlpm.CSVVal,_xlfn.XLOOKUP($A54,CSV!$A:$A,CSV!F:F,""),
_xlpm.MacVal,_xlfn.XLOOKUP($A54,Output_Mac!$A:$A,Output_Mac!F:F,""),
_xlpm.MyAuditVal,_xlfn.XLOOKUP($A54,My_Audit!$A:$A,My_Audit!E:E,""),
_xlfn.IFS(_xlpm.MyAuditVal&lt;&gt;"",_xlpm.MyAuditVal,_xlpm.MacVal&lt;&gt;"",_xlpm.MacVal,_xlpm.CSVVal&lt;&gt;"",PROPER(_xlpm.CSVVal)
)),"")</f>
        <v/>
      </c>
      <c r="G54" s="45" t="str" cm="1">
        <f t="array" ref="G54">IFERROR(_xlfn.LET(
_xlpm.CSVVal,_xlfn.XLOOKUP($A54,CSV!$A:$A,CSV!G:G,""),
_xlpm.MacVal,_xlfn.XLOOKUP($A54,Output_Mac!$A:$A,Output_Mac!H:H,""),
_xlpm.MyAuditVal,_xlfn.XLOOKUP($A54,My_Audit!$A:$A,My_Audit!F:F,""),
_xlfn.IFS(_xlpm.MyAuditVal&lt;&gt;"",_xlpm.MyAuditVal,_xlpm.MacVal&lt;&gt;"",_xlpm.MacVal,_xlpm.CSVVal&lt;&gt;"",_xlpm.CSVVal
)),"")</f>
        <v/>
      </c>
      <c r="H54" s="45" t="str">
        <f>_xlfn.XLOOKUP(A54,Output_Mac!A:A,Output_Mac!I:I,"")</f>
        <v/>
      </c>
      <c r="I54" s="45" t="str" cm="1">
        <f t="array" ref="I54">IFERROR(_xlfn.LET(
_xlpm.CSVVal,_xlfn.XLOOKUP($A54,CSV!$A:$A,CSV!H:H,""),
_xlpm.MacVal,_xlfn.XLOOKUP($A54,Output_Mac!$A:$A,Output_Mac!J:J,""),
_xlpm.MyAuditVal,_xlfn.XLOOKUP($A54,My_Audit!$A:$A,My_Audit!H:H,""),
_xlfn.IFS(_xlpm.MyAuditVal&lt;&gt;"",UPPER(_xlpm.MyAuditVal),_xlpm.MacVal&lt;&gt;"",_xlpm.MacVal,_xlpm.CSVVal&lt;&gt;"",_xlpm.CSVVal
)),"")</f>
        <v/>
      </c>
      <c r="J54" s="45" t="str" cm="1">
        <f t="array" ref="J54">IFERROR(_xlfn.LET(
_xlpm.CSVVal,_xlfn.XLOOKUP($A54,CSV!$A:$A,CSV!J:J,""),
_xlpm.MacVal,_xlfn.XLOOKUP($A54,Output_Mac!$A:$A,Output_Mac!K:K,""),
_xlpm.MyAuditVal,_xlfn.XLOOKUP($A54,My_Audit!$A:$A,My_Audit!I:I,""),
_xlfn.IFS(_xlpm.MyAuditVal&lt;&gt;"",UPPER(_xlpm.MyAuditVal),_xlpm.MacVal&lt;&gt;"",_xlpm.MacVal,_xlpm.CSVVal&lt;&gt;"",_xlpm.CSVVal
)),"")</f>
        <v/>
      </c>
      <c r="K54" s="45" t="str" cm="1">
        <f t="array" ref="K54">IFERROR(_xlfn.LET(
_xlpm.CSVVal,_xlfn.XLOOKUP($A54,CSV!$A:$A,CSV!N:N,""),
_xlpm.MacVal,_xlfn.XLOOKUP($A54,Output_Mac!$A:$A,Output_Mac!L:L,""),
_xlpm.MyAuditVal,_xlfn.XLOOKUP($A54,My_Audit!$A:$A,My_Audit!J:J,""),
_xlfn.IFS(_xlpm.MyAuditVal&lt;&gt;"",UPPER(_xlpm.MyAuditVal),_xlpm.MacVal&lt;&gt;"",_xlpm.MacVal,_xlpm.CSVVal&lt;&gt;"",_xlpm.CSVVal
)),"")</f>
        <v/>
      </c>
      <c r="L54" s="46" t="str" cm="1">
        <f t="array" ref="L54">IFERROR(_xlfn.LET(
_xlpm.CSVVal,_xlfn.XLOOKUP($A54,CSV!$A:$A,CSV!Q:Q,""),
_xlpm.MacVal,_xlfn.XLOOKUP($A54,Output_Mac!$A:$A,Output_Mac!M:M,""),
_xlpm.MyAuditVal,_xlfn.XLOOKUP($A54,My_Audit!$A:$A,My_Audit!K:K,""),
_xlfn.IFS(_xlpm.MyAuditVal&lt;&gt;"",UPPER(_xlpm.MyAuditVal),_xlpm.MacVal&lt;&gt;"",_xlpm.MacVal,_xlpm.CSVVal&lt;&gt;"",_xlpm.CSVVal
)),"")</f>
        <v/>
      </c>
      <c r="M54" s="45" t="str">
        <f>_xlfn.LET(
    _xlpm.CSVVal, _xlfn.XLOOKUP($A54, CSV!$A:$A, CSV!AE:AE, ""),
    _xlpm.MacVal, _xlfn.XLOOKUP($A54, Output_Mac!$A:$A, Output_Mac!S:S, ""),
    _xlpm.MyAuditVal, _xlfn.XLOOKUP($A54, My_Audit!$A:$A, My_Audit!N:N, ""),
    _xlfn.TEXTJOIN(", ", TRUE, _xlpm.MyAuditVal, _xlpm.MacVal, _xlpm.CSVVal)
)</f>
        <v/>
      </c>
      <c r="N54" s="45" t="str" cm="1">
        <f t="array" ref="N54">IFERROR(_xlfn.LET(
_xlpm.CSVVal,_xlfn.XLOOKUP($A54,CSV!$A:$A,CSV!AG:AG,""),
_xlpm.MacVal,_xlfn.XLOOKUP($A54,Output_Mac!$A:$A,Output_Mac!U:U,""),
_xlpm.MyAuditVal,_xlfn.XLOOKUP($A54,My_Audit!$A:$A,My_Audit!O:O,""),
_xlfn.IFS(_xlpm.MyAuditVal&lt;&gt;"",UPPER(_xlpm.MyAuditVal),_xlpm.MacVal&lt;&gt;"",_xlpm.MacVal,_xlpm.CSVVal&lt;&gt;"",_xlpm.CSVVal
)),"")</f>
        <v/>
      </c>
      <c r="O54" s="46" t="str">
        <f>_xlfn.XLOOKUP(C54,My_Audit!B:B,My_Audit!P:P,"")&amp;""</f>
        <v/>
      </c>
      <c r="P54" s="45"/>
      <c r="Q54" s="46" t="str">
        <f>IF(LEFT(N54,4)="Pass","Nist SP 800-88",My_Audit!R54)&amp;""</f>
        <v/>
      </c>
      <c r="R54" s="45"/>
      <c r="S54" s="45"/>
      <c r="T54" s="46" t="str">
        <f>_xlfn.XLOOKUP(E54,Models!I:I,Models!J:J,"")</f>
        <v/>
      </c>
      <c r="U54" s="45"/>
      <c r="V54" s="45"/>
      <c r="W54" s="38" t="str">
        <f>_xlfn.LET(
    _xlpm.MacVal, _xlfn.XLOOKUP($A54, Output_Mac!$A:$A, Output_Mac!AB:AB, ""),
    _xlpm.MyAuditVal, _xlfn.XLOOKUP($A54, My_Audit!$A:$A, My_Audit!L:L, ""),
    _xlfn.TEXTJOIN(", ", TRUE, _xlpm.MyAuditVal, _xlpm.MacVal)
)</f>
        <v/>
      </c>
    </row>
    <row r="55" spans="1:23">
      <c r="A55" s="45" t="str">
        <f>_xlfn.TEXTJOIN("",TRUE,Input!$B$2,ROW(My_Audit!A54))</f>
        <v>XX54</v>
      </c>
      <c r="B55" s="45" t="str">
        <f>_xlfn.TEXTJOIN("-",TRUE,"ITD",Input!$A$2,A55)</f>
        <v>ITD-SHRXXX-XX54</v>
      </c>
      <c r="C55" s="45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46" t="str" cm="1">
        <f t="array" ref="D55">IFERROR(_xlfn.LET(
_xlpm.CSVVal,_xlfn.XLOOKUP($A55,CSV!$A:$A,CSV!C:C,""),
_xlpm.MacVal,_xlfn.XLOOKUP($A55,Output_Mac!$A:$A,Output_Mac!D:D,""),
_xlpm.MyAuditVal,_xlfn.XLOOKUP($A55,My_Audit!$A:$A,My_Audit!C:C,""),
_xlfn.IFS(_xlpm.MyAuditVal&lt;&gt;"",UPPER(_xlpm.MyAuditVal),_xlpm.MacVal&lt;&gt;"",_xlpm.MacVal,_xlpm.CSVVal&lt;&gt;"",_xlpm.CSVVal
)),"")</f>
        <v/>
      </c>
      <c r="E55" s="46" t="str" cm="1">
        <f t="array" ref="E55">IFERROR(_xlfn.LET(
_xlpm.CSVVal,_xlfn.XLOOKUP($A55,CSV!$A:$A,CSV!E:E,""),
_xlpm.MacVal,_xlfn.XLOOKUP($A55,Output_Mac!$A:$A,Output_Mac!C:C,""),
_xlpm.MyAuditVal,_xlfn.XLOOKUP($A55,My_Audit!$A:$A,My_Audit!D:D,""),
_xlfn.IFS(_xlpm.MyAuditVal&lt;&gt;"",_xlpm.MyAuditVal,_xlpm.MacVal&lt;&gt;"",_xlpm.MacVal,_xlpm.CSVVal&lt;&gt;"",_xlpm.CSVVal
)),"")</f>
        <v/>
      </c>
      <c r="F55" s="45" t="str" cm="1">
        <f t="array" ref="F55">IFERROR(_xlfn.LET(
_xlpm.CSVVal,_xlfn.XLOOKUP($A55,CSV!$A:$A,CSV!F:F,""),
_xlpm.MacVal,_xlfn.XLOOKUP($A55,Output_Mac!$A:$A,Output_Mac!F:F,""),
_xlpm.MyAuditVal,_xlfn.XLOOKUP($A55,My_Audit!$A:$A,My_Audit!E:E,""),
_xlfn.IFS(_xlpm.MyAuditVal&lt;&gt;"",_xlpm.MyAuditVal,_xlpm.MacVal&lt;&gt;"",_xlpm.MacVal,_xlpm.CSVVal&lt;&gt;"",PROPER(_xlpm.CSVVal)
)),"")</f>
        <v/>
      </c>
      <c r="G55" s="45" t="str" cm="1">
        <f t="array" ref="G55">IFERROR(_xlfn.LET(
_xlpm.CSVVal,_xlfn.XLOOKUP($A55,CSV!$A:$A,CSV!G:G,""),
_xlpm.MacVal,_xlfn.XLOOKUP($A55,Output_Mac!$A:$A,Output_Mac!H:H,""),
_xlpm.MyAuditVal,_xlfn.XLOOKUP($A55,My_Audit!$A:$A,My_Audit!F:F,""),
_xlfn.IFS(_xlpm.MyAuditVal&lt;&gt;"",_xlpm.MyAuditVal,_xlpm.MacVal&lt;&gt;"",_xlpm.MacVal,_xlpm.CSVVal&lt;&gt;"",_xlpm.CSVVal
)),"")</f>
        <v/>
      </c>
      <c r="H55" s="45" t="str">
        <f>_xlfn.XLOOKUP(A55,Output_Mac!A:A,Output_Mac!I:I,"")</f>
        <v/>
      </c>
      <c r="I55" s="45" t="str" cm="1">
        <f t="array" ref="I55">IFERROR(_xlfn.LET(
_xlpm.CSVVal,_xlfn.XLOOKUP($A55,CSV!$A:$A,CSV!H:H,""),
_xlpm.MacVal,_xlfn.XLOOKUP($A55,Output_Mac!$A:$A,Output_Mac!J:J,""),
_xlpm.MyAuditVal,_xlfn.XLOOKUP($A55,My_Audit!$A:$A,My_Audit!H:H,""),
_xlfn.IFS(_xlpm.MyAuditVal&lt;&gt;"",UPPER(_xlpm.MyAuditVal),_xlpm.MacVal&lt;&gt;"",_xlpm.MacVal,_xlpm.CSVVal&lt;&gt;"",_xlpm.CSVVal
)),"")</f>
        <v/>
      </c>
      <c r="J55" s="45" t="str" cm="1">
        <f t="array" ref="J55">IFERROR(_xlfn.LET(
_xlpm.CSVVal,_xlfn.XLOOKUP($A55,CSV!$A:$A,CSV!J:J,""),
_xlpm.MacVal,_xlfn.XLOOKUP($A55,Output_Mac!$A:$A,Output_Mac!K:K,""),
_xlpm.MyAuditVal,_xlfn.XLOOKUP($A55,My_Audit!$A:$A,My_Audit!I:I,""),
_xlfn.IFS(_xlpm.MyAuditVal&lt;&gt;"",UPPER(_xlpm.MyAuditVal),_xlpm.MacVal&lt;&gt;"",_xlpm.MacVal,_xlpm.CSVVal&lt;&gt;"",_xlpm.CSVVal
)),"")</f>
        <v/>
      </c>
      <c r="K55" s="45" t="str" cm="1">
        <f t="array" ref="K55">IFERROR(_xlfn.LET(
_xlpm.CSVVal,_xlfn.XLOOKUP($A55,CSV!$A:$A,CSV!N:N,""),
_xlpm.MacVal,_xlfn.XLOOKUP($A55,Output_Mac!$A:$A,Output_Mac!L:L,""),
_xlpm.MyAuditVal,_xlfn.XLOOKUP($A55,My_Audit!$A:$A,My_Audit!J:J,""),
_xlfn.IFS(_xlpm.MyAuditVal&lt;&gt;"",UPPER(_xlpm.MyAuditVal),_xlpm.MacVal&lt;&gt;"",_xlpm.MacVal,_xlpm.CSVVal&lt;&gt;"",_xlpm.CSVVal
)),"")</f>
        <v/>
      </c>
      <c r="L55" s="46" t="str" cm="1">
        <f t="array" ref="L55">IFERROR(_xlfn.LET(
_xlpm.CSVVal,_xlfn.XLOOKUP($A55,CSV!$A:$A,CSV!Q:Q,""),
_xlpm.MacVal,_xlfn.XLOOKUP($A55,Output_Mac!$A:$A,Output_Mac!M:M,""),
_xlpm.MyAuditVal,_xlfn.XLOOKUP($A55,My_Audit!$A:$A,My_Audit!K:K,""),
_xlfn.IFS(_xlpm.MyAuditVal&lt;&gt;"",UPPER(_xlpm.MyAuditVal),_xlpm.MacVal&lt;&gt;"",_xlpm.MacVal,_xlpm.CSVVal&lt;&gt;"",_xlpm.CSVVal
)),"")</f>
        <v/>
      </c>
      <c r="M55" s="45" t="str">
        <f>_xlfn.LET(
    _xlpm.CSVVal, _xlfn.XLOOKUP($A55, CSV!$A:$A, CSV!AE:AE, ""),
    _xlpm.MacVal, _xlfn.XLOOKUP($A55, Output_Mac!$A:$A, Output_Mac!S:S, ""),
    _xlpm.MyAuditVal, _xlfn.XLOOKUP($A55, My_Audit!$A:$A, My_Audit!N:N, ""),
    _xlfn.TEXTJOIN(", ", TRUE, _xlpm.MyAuditVal, _xlpm.MacVal, _xlpm.CSVVal)
)</f>
        <v/>
      </c>
      <c r="N55" s="45" t="str" cm="1">
        <f t="array" ref="N55">IFERROR(_xlfn.LET(
_xlpm.CSVVal,_xlfn.XLOOKUP($A55,CSV!$A:$A,CSV!AG:AG,""),
_xlpm.MacVal,_xlfn.XLOOKUP($A55,Output_Mac!$A:$A,Output_Mac!U:U,""),
_xlpm.MyAuditVal,_xlfn.XLOOKUP($A55,My_Audit!$A:$A,My_Audit!O:O,""),
_xlfn.IFS(_xlpm.MyAuditVal&lt;&gt;"",UPPER(_xlpm.MyAuditVal),_xlpm.MacVal&lt;&gt;"",_xlpm.MacVal,_xlpm.CSVVal&lt;&gt;"",_xlpm.CSVVal
)),"")</f>
        <v/>
      </c>
      <c r="O55" s="46" t="str">
        <f>_xlfn.XLOOKUP(C55,My_Audit!B:B,My_Audit!P:P,"")&amp;""</f>
        <v/>
      </c>
      <c r="P55" s="45"/>
      <c r="Q55" s="46" t="str">
        <f>IF(LEFT(N55,4)="Pass","Nist SP 800-88",My_Audit!R55)&amp;""</f>
        <v/>
      </c>
      <c r="R55" s="45"/>
      <c r="S55" s="45"/>
      <c r="T55" s="46" t="str">
        <f>_xlfn.XLOOKUP(E55,Models!I:I,Models!J:J,"")</f>
        <v/>
      </c>
      <c r="U55" s="45"/>
      <c r="V55" s="45"/>
      <c r="W55" s="38" t="str">
        <f>_xlfn.LET(
    _xlpm.MacVal, _xlfn.XLOOKUP($A55, Output_Mac!$A:$A, Output_Mac!AB:AB, ""),
    _xlpm.MyAuditVal, _xlfn.XLOOKUP($A55, My_Audit!$A:$A, My_Audit!L:L, ""),
    _xlfn.TEXTJOIN(", ", TRUE, _xlpm.MyAuditVal, _xlpm.MacVal)
)</f>
        <v/>
      </c>
    </row>
    <row r="56" spans="1:23">
      <c r="A56" s="45" t="str">
        <f>_xlfn.TEXTJOIN("",TRUE,Input!$B$2,ROW(My_Audit!A55))</f>
        <v>XX55</v>
      </c>
      <c r="B56" s="45" t="str">
        <f>_xlfn.TEXTJOIN("-",TRUE,"ITD",Input!$A$2,A56)</f>
        <v>ITD-SHRXXX-XX55</v>
      </c>
      <c r="C56" s="45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46" t="str" cm="1">
        <f t="array" ref="D56">IFERROR(_xlfn.LET(
_xlpm.CSVVal,_xlfn.XLOOKUP($A56,CSV!$A:$A,CSV!C:C,""),
_xlpm.MacVal,_xlfn.XLOOKUP($A56,Output_Mac!$A:$A,Output_Mac!D:D,""),
_xlpm.MyAuditVal,_xlfn.XLOOKUP($A56,My_Audit!$A:$A,My_Audit!C:C,""),
_xlfn.IFS(_xlpm.MyAuditVal&lt;&gt;"",UPPER(_xlpm.MyAuditVal),_xlpm.MacVal&lt;&gt;"",_xlpm.MacVal,_xlpm.CSVVal&lt;&gt;"",_xlpm.CSVVal
)),"")</f>
        <v/>
      </c>
      <c r="E56" s="46" t="str" cm="1">
        <f t="array" ref="E56">IFERROR(_xlfn.LET(
_xlpm.CSVVal,_xlfn.XLOOKUP($A56,CSV!$A:$A,CSV!E:E,""),
_xlpm.MacVal,_xlfn.XLOOKUP($A56,Output_Mac!$A:$A,Output_Mac!C:C,""),
_xlpm.MyAuditVal,_xlfn.XLOOKUP($A56,My_Audit!$A:$A,My_Audit!D:D,""),
_xlfn.IFS(_xlpm.MyAuditVal&lt;&gt;"",_xlpm.MyAuditVal,_xlpm.MacVal&lt;&gt;"",_xlpm.MacVal,_xlpm.CSVVal&lt;&gt;"",_xlpm.CSVVal
)),"")</f>
        <v/>
      </c>
      <c r="F56" s="45" t="str" cm="1">
        <f t="array" ref="F56">IFERROR(_xlfn.LET(
_xlpm.CSVVal,_xlfn.XLOOKUP($A56,CSV!$A:$A,CSV!F:F,""),
_xlpm.MacVal,_xlfn.XLOOKUP($A56,Output_Mac!$A:$A,Output_Mac!F:F,""),
_xlpm.MyAuditVal,_xlfn.XLOOKUP($A56,My_Audit!$A:$A,My_Audit!E:E,""),
_xlfn.IFS(_xlpm.MyAuditVal&lt;&gt;"",_xlpm.MyAuditVal,_xlpm.MacVal&lt;&gt;"",_xlpm.MacVal,_xlpm.CSVVal&lt;&gt;"",PROPER(_xlpm.CSVVal)
)),"")</f>
        <v/>
      </c>
      <c r="G56" s="45" t="str" cm="1">
        <f t="array" ref="G56">IFERROR(_xlfn.LET(
_xlpm.CSVVal,_xlfn.XLOOKUP($A56,CSV!$A:$A,CSV!G:G,""),
_xlpm.MacVal,_xlfn.XLOOKUP($A56,Output_Mac!$A:$A,Output_Mac!H:H,""),
_xlpm.MyAuditVal,_xlfn.XLOOKUP($A56,My_Audit!$A:$A,My_Audit!F:F,""),
_xlfn.IFS(_xlpm.MyAuditVal&lt;&gt;"",_xlpm.MyAuditVal,_xlpm.MacVal&lt;&gt;"",_xlpm.MacVal,_xlpm.CSVVal&lt;&gt;"",_xlpm.CSVVal
)),"")</f>
        <v/>
      </c>
      <c r="H56" s="45" t="str">
        <f>_xlfn.XLOOKUP(A56,Output_Mac!A:A,Output_Mac!I:I,"")</f>
        <v/>
      </c>
      <c r="I56" s="45" t="str" cm="1">
        <f t="array" ref="I56">IFERROR(_xlfn.LET(
_xlpm.CSVVal,_xlfn.XLOOKUP($A56,CSV!$A:$A,CSV!H:H,""),
_xlpm.MacVal,_xlfn.XLOOKUP($A56,Output_Mac!$A:$A,Output_Mac!J:J,""),
_xlpm.MyAuditVal,_xlfn.XLOOKUP($A56,My_Audit!$A:$A,My_Audit!H:H,""),
_xlfn.IFS(_xlpm.MyAuditVal&lt;&gt;"",UPPER(_xlpm.MyAuditVal),_xlpm.MacVal&lt;&gt;"",_xlpm.MacVal,_xlpm.CSVVal&lt;&gt;"",_xlpm.CSVVal
)),"")</f>
        <v/>
      </c>
      <c r="J56" s="45" t="str" cm="1">
        <f t="array" ref="J56">IFERROR(_xlfn.LET(
_xlpm.CSVVal,_xlfn.XLOOKUP($A56,CSV!$A:$A,CSV!J:J,""),
_xlpm.MacVal,_xlfn.XLOOKUP($A56,Output_Mac!$A:$A,Output_Mac!K:K,""),
_xlpm.MyAuditVal,_xlfn.XLOOKUP($A56,My_Audit!$A:$A,My_Audit!I:I,""),
_xlfn.IFS(_xlpm.MyAuditVal&lt;&gt;"",UPPER(_xlpm.MyAuditVal),_xlpm.MacVal&lt;&gt;"",_xlpm.MacVal,_xlpm.CSVVal&lt;&gt;"",_xlpm.CSVVal
)),"")</f>
        <v/>
      </c>
      <c r="K56" s="45" t="str" cm="1">
        <f t="array" ref="K56">IFERROR(_xlfn.LET(
_xlpm.CSVVal,_xlfn.XLOOKUP($A56,CSV!$A:$A,CSV!N:N,""),
_xlpm.MacVal,_xlfn.XLOOKUP($A56,Output_Mac!$A:$A,Output_Mac!L:L,""),
_xlpm.MyAuditVal,_xlfn.XLOOKUP($A56,My_Audit!$A:$A,My_Audit!J:J,""),
_xlfn.IFS(_xlpm.MyAuditVal&lt;&gt;"",UPPER(_xlpm.MyAuditVal),_xlpm.MacVal&lt;&gt;"",_xlpm.MacVal,_xlpm.CSVVal&lt;&gt;"",_xlpm.CSVVal
)),"")</f>
        <v/>
      </c>
      <c r="L56" s="46" t="str" cm="1">
        <f t="array" ref="L56">IFERROR(_xlfn.LET(
_xlpm.CSVVal,_xlfn.XLOOKUP($A56,CSV!$A:$A,CSV!Q:Q,""),
_xlpm.MacVal,_xlfn.XLOOKUP($A56,Output_Mac!$A:$A,Output_Mac!M:M,""),
_xlpm.MyAuditVal,_xlfn.XLOOKUP($A56,My_Audit!$A:$A,My_Audit!K:K,""),
_xlfn.IFS(_xlpm.MyAuditVal&lt;&gt;"",UPPER(_xlpm.MyAuditVal),_xlpm.MacVal&lt;&gt;"",_xlpm.MacVal,_xlpm.CSVVal&lt;&gt;"",_xlpm.CSVVal
)),"")</f>
        <v/>
      </c>
      <c r="M56" s="45" t="str">
        <f>_xlfn.LET(
    _xlpm.CSVVal, _xlfn.XLOOKUP($A56, CSV!$A:$A, CSV!AE:AE, ""),
    _xlpm.MacVal, _xlfn.XLOOKUP($A56, Output_Mac!$A:$A, Output_Mac!S:S, ""),
    _xlpm.MyAuditVal, _xlfn.XLOOKUP($A56, My_Audit!$A:$A, My_Audit!N:N, ""),
    _xlfn.TEXTJOIN(", ", TRUE, _xlpm.MyAuditVal, _xlpm.MacVal, _xlpm.CSVVal)
)</f>
        <v/>
      </c>
      <c r="N56" s="45" t="str" cm="1">
        <f t="array" ref="N56">IFERROR(_xlfn.LET(
_xlpm.CSVVal,_xlfn.XLOOKUP($A56,CSV!$A:$A,CSV!AG:AG,""),
_xlpm.MacVal,_xlfn.XLOOKUP($A56,Output_Mac!$A:$A,Output_Mac!U:U,""),
_xlpm.MyAuditVal,_xlfn.XLOOKUP($A56,My_Audit!$A:$A,My_Audit!O:O,""),
_xlfn.IFS(_xlpm.MyAuditVal&lt;&gt;"",UPPER(_xlpm.MyAuditVal),_xlpm.MacVal&lt;&gt;"",_xlpm.MacVal,_xlpm.CSVVal&lt;&gt;"",_xlpm.CSVVal
)),"")</f>
        <v/>
      </c>
      <c r="O56" s="46" t="str">
        <f>_xlfn.XLOOKUP(C56,My_Audit!B:B,My_Audit!P:P,"")&amp;""</f>
        <v/>
      </c>
      <c r="P56" s="45"/>
      <c r="Q56" s="46" t="str">
        <f>IF(LEFT(N56,4)="Pass","Nist SP 800-88",My_Audit!R56)&amp;""</f>
        <v/>
      </c>
      <c r="R56" s="45"/>
      <c r="S56" s="45"/>
      <c r="T56" s="46" t="str">
        <f>_xlfn.XLOOKUP(E56,Models!I:I,Models!J:J,"")</f>
        <v/>
      </c>
      <c r="U56" s="45"/>
      <c r="V56" s="45"/>
      <c r="W56" s="38" t="str">
        <f>_xlfn.LET(
    _xlpm.MacVal, _xlfn.XLOOKUP($A56, Output_Mac!$A:$A, Output_Mac!AB:AB, ""),
    _xlpm.MyAuditVal, _xlfn.XLOOKUP($A56, My_Audit!$A:$A, My_Audit!L:L, ""),
    _xlfn.TEXTJOIN(", ", TRUE, _xlpm.MyAuditVal, _xlpm.MacVal)
)</f>
        <v/>
      </c>
    </row>
    <row r="57" spans="1:23">
      <c r="A57" s="45" t="str">
        <f>_xlfn.TEXTJOIN("",TRUE,Input!$B$2,ROW(My_Audit!A56))</f>
        <v>XX56</v>
      </c>
      <c r="B57" s="45" t="str">
        <f>_xlfn.TEXTJOIN("-",TRUE,"ITD",Input!$A$2,A57)</f>
        <v>ITD-SHRXXX-XX56</v>
      </c>
      <c r="C57" s="45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46" t="str" cm="1">
        <f t="array" ref="D57">IFERROR(_xlfn.LET(
_xlpm.CSVVal,_xlfn.XLOOKUP($A57,CSV!$A:$A,CSV!C:C,""),
_xlpm.MacVal,_xlfn.XLOOKUP($A57,Output_Mac!$A:$A,Output_Mac!D:D,""),
_xlpm.MyAuditVal,_xlfn.XLOOKUP($A57,My_Audit!$A:$A,My_Audit!C:C,""),
_xlfn.IFS(_xlpm.MyAuditVal&lt;&gt;"",UPPER(_xlpm.MyAuditVal),_xlpm.MacVal&lt;&gt;"",_xlpm.MacVal,_xlpm.CSVVal&lt;&gt;"",_xlpm.CSVVal
)),"")</f>
        <v/>
      </c>
      <c r="E57" s="46" t="str" cm="1">
        <f t="array" ref="E57">IFERROR(_xlfn.LET(
_xlpm.CSVVal,_xlfn.XLOOKUP($A57,CSV!$A:$A,CSV!E:E,""),
_xlpm.MacVal,_xlfn.XLOOKUP($A57,Output_Mac!$A:$A,Output_Mac!C:C,""),
_xlpm.MyAuditVal,_xlfn.XLOOKUP($A57,My_Audit!$A:$A,My_Audit!D:D,""),
_xlfn.IFS(_xlpm.MyAuditVal&lt;&gt;"",_xlpm.MyAuditVal,_xlpm.MacVal&lt;&gt;"",_xlpm.MacVal,_xlpm.CSVVal&lt;&gt;"",_xlpm.CSVVal
)),"")</f>
        <v/>
      </c>
      <c r="F57" s="45" t="str" cm="1">
        <f t="array" ref="F57">IFERROR(_xlfn.LET(
_xlpm.CSVVal,_xlfn.XLOOKUP($A57,CSV!$A:$A,CSV!F:F,""),
_xlpm.MacVal,_xlfn.XLOOKUP($A57,Output_Mac!$A:$A,Output_Mac!F:F,""),
_xlpm.MyAuditVal,_xlfn.XLOOKUP($A57,My_Audit!$A:$A,My_Audit!E:E,""),
_xlfn.IFS(_xlpm.MyAuditVal&lt;&gt;"",_xlpm.MyAuditVal,_xlpm.MacVal&lt;&gt;"",_xlpm.MacVal,_xlpm.CSVVal&lt;&gt;"",PROPER(_xlpm.CSVVal)
)),"")</f>
        <v/>
      </c>
      <c r="G57" s="45" t="str" cm="1">
        <f t="array" ref="G57">IFERROR(_xlfn.LET(
_xlpm.CSVVal,_xlfn.XLOOKUP($A57,CSV!$A:$A,CSV!G:G,""),
_xlpm.MacVal,_xlfn.XLOOKUP($A57,Output_Mac!$A:$A,Output_Mac!H:H,""),
_xlpm.MyAuditVal,_xlfn.XLOOKUP($A57,My_Audit!$A:$A,My_Audit!F:F,""),
_xlfn.IFS(_xlpm.MyAuditVal&lt;&gt;"",_xlpm.MyAuditVal,_xlpm.MacVal&lt;&gt;"",_xlpm.MacVal,_xlpm.CSVVal&lt;&gt;"",_xlpm.CSVVal
)),"")</f>
        <v/>
      </c>
      <c r="H57" s="45" t="str">
        <f>_xlfn.XLOOKUP(A57,Output_Mac!A:A,Output_Mac!I:I,"")</f>
        <v/>
      </c>
      <c r="I57" s="45" t="str" cm="1">
        <f t="array" ref="I57">IFERROR(_xlfn.LET(
_xlpm.CSVVal,_xlfn.XLOOKUP($A57,CSV!$A:$A,CSV!H:H,""),
_xlpm.MacVal,_xlfn.XLOOKUP($A57,Output_Mac!$A:$A,Output_Mac!J:J,""),
_xlpm.MyAuditVal,_xlfn.XLOOKUP($A57,My_Audit!$A:$A,My_Audit!H:H,""),
_xlfn.IFS(_xlpm.MyAuditVal&lt;&gt;"",UPPER(_xlpm.MyAuditVal),_xlpm.MacVal&lt;&gt;"",_xlpm.MacVal,_xlpm.CSVVal&lt;&gt;"",_xlpm.CSVVal
)),"")</f>
        <v/>
      </c>
      <c r="J57" s="45" t="str" cm="1">
        <f t="array" ref="J57">IFERROR(_xlfn.LET(
_xlpm.CSVVal,_xlfn.XLOOKUP($A57,CSV!$A:$A,CSV!J:J,""),
_xlpm.MacVal,_xlfn.XLOOKUP($A57,Output_Mac!$A:$A,Output_Mac!K:K,""),
_xlpm.MyAuditVal,_xlfn.XLOOKUP($A57,My_Audit!$A:$A,My_Audit!I:I,""),
_xlfn.IFS(_xlpm.MyAuditVal&lt;&gt;"",UPPER(_xlpm.MyAuditVal),_xlpm.MacVal&lt;&gt;"",_xlpm.MacVal,_xlpm.CSVVal&lt;&gt;"",_xlpm.CSVVal
)),"")</f>
        <v/>
      </c>
      <c r="K57" s="45" t="str" cm="1">
        <f t="array" ref="K57">IFERROR(_xlfn.LET(
_xlpm.CSVVal,_xlfn.XLOOKUP($A57,CSV!$A:$A,CSV!N:N,""),
_xlpm.MacVal,_xlfn.XLOOKUP($A57,Output_Mac!$A:$A,Output_Mac!L:L,""),
_xlpm.MyAuditVal,_xlfn.XLOOKUP($A57,My_Audit!$A:$A,My_Audit!J:J,""),
_xlfn.IFS(_xlpm.MyAuditVal&lt;&gt;"",UPPER(_xlpm.MyAuditVal),_xlpm.MacVal&lt;&gt;"",_xlpm.MacVal,_xlpm.CSVVal&lt;&gt;"",_xlpm.CSVVal
)),"")</f>
        <v/>
      </c>
      <c r="L57" s="46" t="str" cm="1">
        <f t="array" ref="L57">IFERROR(_xlfn.LET(
_xlpm.CSVVal,_xlfn.XLOOKUP($A57,CSV!$A:$A,CSV!Q:Q,""),
_xlpm.MacVal,_xlfn.XLOOKUP($A57,Output_Mac!$A:$A,Output_Mac!M:M,""),
_xlpm.MyAuditVal,_xlfn.XLOOKUP($A57,My_Audit!$A:$A,My_Audit!K:K,""),
_xlfn.IFS(_xlpm.MyAuditVal&lt;&gt;"",UPPER(_xlpm.MyAuditVal),_xlpm.MacVal&lt;&gt;"",_xlpm.MacVal,_xlpm.CSVVal&lt;&gt;"",_xlpm.CSVVal
)),"")</f>
        <v/>
      </c>
      <c r="M57" s="45" t="str">
        <f>_xlfn.LET(
    _xlpm.CSVVal, _xlfn.XLOOKUP($A57, CSV!$A:$A, CSV!AE:AE, ""),
    _xlpm.MacVal, _xlfn.XLOOKUP($A57, Output_Mac!$A:$A, Output_Mac!S:S, ""),
    _xlpm.MyAuditVal, _xlfn.XLOOKUP($A57, My_Audit!$A:$A, My_Audit!N:N, ""),
    _xlfn.TEXTJOIN(", ", TRUE, _xlpm.MyAuditVal, _xlpm.MacVal, _xlpm.CSVVal)
)</f>
        <v/>
      </c>
      <c r="N57" s="45" t="str" cm="1">
        <f t="array" ref="N57">IFERROR(_xlfn.LET(
_xlpm.CSVVal,_xlfn.XLOOKUP($A57,CSV!$A:$A,CSV!AG:AG,""),
_xlpm.MacVal,_xlfn.XLOOKUP($A57,Output_Mac!$A:$A,Output_Mac!U:U,""),
_xlpm.MyAuditVal,_xlfn.XLOOKUP($A57,My_Audit!$A:$A,My_Audit!O:O,""),
_xlfn.IFS(_xlpm.MyAuditVal&lt;&gt;"",UPPER(_xlpm.MyAuditVal),_xlpm.MacVal&lt;&gt;"",_xlpm.MacVal,_xlpm.CSVVal&lt;&gt;"",_xlpm.CSVVal
)),"")</f>
        <v/>
      </c>
      <c r="O57" s="46" t="str">
        <f>_xlfn.XLOOKUP(C57,My_Audit!B:B,My_Audit!P:P,"")&amp;""</f>
        <v/>
      </c>
      <c r="P57" s="45"/>
      <c r="Q57" s="46" t="str">
        <f>IF(LEFT(N57,4)="Pass","Nist SP 800-88",My_Audit!R57)&amp;""</f>
        <v/>
      </c>
      <c r="R57" s="45"/>
      <c r="S57" s="45"/>
      <c r="T57" s="46" t="str">
        <f>_xlfn.XLOOKUP(E57,Models!I:I,Models!J:J,"")</f>
        <v/>
      </c>
      <c r="U57" s="45"/>
      <c r="V57" s="45"/>
      <c r="W57" s="38" t="str">
        <f>_xlfn.LET(
    _xlpm.MacVal, _xlfn.XLOOKUP($A57, Output_Mac!$A:$A, Output_Mac!AB:AB, ""),
    _xlpm.MyAuditVal, _xlfn.XLOOKUP($A57, My_Audit!$A:$A, My_Audit!L:L, ""),
    _xlfn.TEXTJOIN(", ", TRUE, _xlpm.MyAuditVal, _xlpm.MacVal)
)</f>
        <v/>
      </c>
    </row>
    <row r="58" spans="1:23">
      <c r="A58" s="45" t="str">
        <f>_xlfn.TEXTJOIN("",TRUE,Input!$B$2,ROW(My_Audit!A57))</f>
        <v>XX57</v>
      </c>
      <c r="B58" s="45" t="str">
        <f>_xlfn.TEXTJOIN("-",TRUE,"ITD",Input!$A$2,A58)</f>
        <v>ITD-SHRXXX-XX57</v>
      </c>
      <c r="C58" s="45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46" t="str" cm="1">
        <f t="array" ref="D58">IFERROR(_xlfn.LET(
_xlpm.CSVVal,_xlfn.XLOOKUP($A58,CSV!$A:$A,CSV!C:C,""),
_xlpm.MacVal,_xlfn.XLOOKUP($A58,Output_Mac!$A:$A,Output_Mac!D:D,""),
_xlpm.MyAuditVal,_xlfn.XLOOKUP($A58,My_Audit!$A:$A,My_Audit!C:C,""),
_xlfn.IFS(_xlpm.MyAuditVal&lt;&gt;"",UPPER(_xlpm.MyAuditVal),_xlpm.MacVal&lt;&gt;"",_xlpm.MacVal,_xlpm.CSVVal&lt;&gt;"",_xlpm.CSVVal
)),"")</f>
        <v/>
      </c>
      <c r="E58" s="46" t="str" cm="1">
        <f t="array" ref="E58">IFERROR(_xlfn.LET(
_xlpm.CSVVal,_xlfn.XLOOKUP($A58,CSV!$A:$A,CSV!E:E,""),
_xlpm.MacVal,_xlfn.XLOOKUP($A58,Output_Mac!$A:$A,Output_Mac!C:C,""),
_xlpm.MyAuditVal,_xlfn.XLOOKUP($A58,My_Audit!$A:$A,My_Audit!D:D,""),
_xlfn.IFS(_xlpm.MyAuditVal&lt;&gt;"",_xlpm.MyAuditVal,_xlpm.MacVal&lt;&gt;"",_xlpm.MacVal,_xlpm.CSVVal&lt;&gt;"",_xlpm.CSVVal
)),"")</f>
        <v/>
      </c>
      <c r="F58" s="45" t="str" cm="1">
        <f t="array" ref="F58">IFERROR(_xlfn.LET(
_xlpm.CSVVal,_xlfn.XLOOKUP($A58,CSV!$A:$A,CSV!F:F,""),
_xlpm.MacVal,_xlfn.XLOOKUP($A58,Output_Mac!$A:$A,Output_Mac!F:F,""),
_xlpm.MyAuditVal,_xlfn.XLOOKUP($A58,My_Audit!$A:$A,My_Audit!E:E,""),
_xlfn.IFS(_xlpm.MyAuditVal&lt;&gt;"",_xlpm.MyAuditVal,_xlpm.MacVal&lt;&gt;"",_xlpm.MacVal,_xlpm.CSVVal&lt;&gt;"",PROPER(_xlpm.CSVVal)
)),"")</f>
        <v/>
      </c>
      <c r="G58" s="45" t="str" cm="1">
        <f t="array" ref="G58">IFERROR(_xlfn.LET(
_xlpm.CSVVal,_xlfn.XLOOKUP($A58,CSV!$A:$A,CSV!G:G,""),
_xlpm.MacVal,_xlfn.XLOOKUP($A58,Output_Mac!$A:$A,Output_Mac!H:H,""),
_xlpm.MyAuditVal,_xlfn.XLOOKUP($A58,My_Audit!$A:$A,My_Audit!F:F,""),
_xlfn.IFS(_xlpm.MyAuditVal&lt;&gt;"",_xlpm.MyAuditVal,_xlpm.MacVal&lt;&gt;"",_xlpm.MacVal,_xlpm.CSVVal&lt;&gt;"",_xlpm.CSVVal
)),"")</f>
        <v/>
      </c>
      <c r="H58" s="45" t="str">
        <f>_xlfn.XLOOKUP(A58,Output_Mac!A:A,Output_Mac!I:I,"")</f>
        <v/>
      </c>
      <c r="I58" s="45" t="str" cm="1">
        <f t="array" ref="I58">IFERROR(_xlfn.LET(
_xlpm.CSVVal,_xlfn.XLOOKUP($A58,CSV!$A:$A,CSV!H:H,""),
_xlpm.MacVal,_xlfn.XLOOKUP($A58,Output_Mac!$A:$A,Output_Mac!J:J,""),
_xlpm.MyAuditVal,_xlfn.XLOOKUP($A58,My_Audit!$A:$A,My_Audit!H:H,""),
_xlfn.IFS(_xlpm.MyAuditVal&lt;&gt;"",UPPER(_xlpm.MyAuditVal),_xlpm.MacVal&lt;&gt;"",_xlpm.MacVal,_xlpm.CSVVal&lt;&gt;"",_xlpm.CSVVal
)),"")</f>
        <v/>
      </c>
      <c r="J58" s="45" t="str" cm="1">
        <f t="array" ref="J58">IFERROR(_xlfn.LET(
_xlpm.CSVVal,_xlfn.XLOOKUP($A58,CSV!$A:$A,CSV!J:J,""),
_xlpm.MacVal,_xlfn.XLOOKUP($A58,Output_Mac!$A:$A,Output_Mac!K:K,""),
_xlpm.MyAuditVal,_xlfn.XLOOKUP($A58,My_Audit!$A:$A,My_Audit!I:I,""),
_xlfn.IFS(_xlpm.MyAuditVal&lt;&gt;"",UPPER(_xlpm.MyAuditVal),_xlpm.MacVal&lt;&gt;"",_xlpm.MacVal,_xlpm.CSVVal&lt;&gt;"",_xlpm.CSVVal
)),"")</f>
        <v/>
      </c>
      <c r="K58" s="45" t="str" cm="1">
        <f t="array" ref="K58">IFERROR(_xlfn.LET(
_xlpm.CSVVal,_xlfn.XLOOKUP($A58,CSV!$A:$A,CSV!N:N,""),
_xlpm.MacVal,_xlfn.XLOOKUP($A58,Output_Mac!$A:$A,Output_Mac!L:L,""),
_xlpm.MyAuditVal,_xlfn.XLOOKUP($A58,My_Audit!$A:$A,My_Audit!J:J,""),
_xlfn.IFS(_xlpm.MyAuditVal&lt;&gt;"",UPPER(_xlpm.MyAuditVal),_xlpm.MacVal&lt;&gt;"",_xlpm.MacVal,_xlpm.CSVVal&lt;&gt;"",_xlpm.CSVVal
)),"")</f>
        <v/>
      </c>
      <c r="L58" s="46" t="str" cm="1">
        <f t="array" ref="L58">IFERROR(_xlfn.LET(
_xlpm.CSVVal,_xlfn.XLOOKUP($A58,CSV!$A:$A,CSV!Q:Q,""),
_xlpm.MacVal,_xlfn.XLOOKUP($A58,Output_Mac!$A:$A,Output_Mac!M:M,""),
_xlpm.MyAuditVal,_xlfn.XLOOKUP($A58,My_Audit!$A:$A,My_Audit!K:K,""),
_xlfn.IFS(_xlpm.MyAuditVal&lt;&gt;"",UPPER(_xlpm.MyAuditVal),_xlpm.MacVal&lt;&gt;"",_xlpm.MacVal,_xlpm.CSVVal&lt;&gt;"",_xlpm.CSVVal
)),"")</f>
        <v/>
      </c>
      <c r="M58" s="45" t="str">
        <f>_xlfn.LET(
    _xlpm.CSVVal, _xlfn.XLOOKUP($A58, CSV!$A:$A, CSV!AE:AE, ""),
    _xlpm.MacVal, _xlfn.XLOOKUP($A58, Output_Mac!$A:$A, Output_Mac!S:S, ""),
    _xlpm.MyAuditVal, _xlfn.XLOOKUP($A58, My_Audit!$A:$A, My_Audit!N:N, ""),
    _xlfn.TEXTJOIN(", ", TRUE, _xlpm.MyAuditVal, _xlpm.MacVal, _xlpm.CSVVal)
)</f>
        <v/>
      </c>
      <c r="N58" s="45" t="str" cm="1">
        <f t="array" ref="N58">IFERROR(_xlfn.LET(
_xlpm.CSVVal,_xlfn.XLOOKUP($A58,CSV!$A:$A,CSV!AG:AG,""),
_xlpm.MacVal,_xlfn.XLOOKUP($A58,Output_Mac!$A:$A,Output_Mac!U:U,""),
_xlpm.MyAuditVal,_xlfn.XLOOKUP($A58,My_Audit!$A:$A,My_Audit!O:O,""),
_xlfn.IFS(_xlpm.MyAuditVal&lt;&gt;"",UPPER(_xlpm.MyAuditVal),_xlpm.MacVal&lt;&gt;"",_xlpm.MacVal,_xlpm.CSVVal&lt;&gt;"",_xlpm.CSVVal
)),"")</f>
        <v/>
      </c>
      <c r="O58" s="46" t="str">
        <f>_xlfn.XLOOKUP(C58,My_Audit!B:B,My_Audit!P:P,"")&amp;""</f>
        <v/>
      </c>
      <c r="P58" s="45"/>
      <c r="Q58" s="46" t="str">
        <f>IF(LEFT(N58,4)="Pass","Nist SP 800-88",My_Audit!R58)&amp;""</f>
        <v/>
      </c>
      <c r="R58" s="45"/>
      <c r="S58" s="45"/>
      <c r="T58" s="46" t="str">
        <f>_xlfn.XLOOKUP(E58,Models!I:I,Models!J:J,"")</f>
        <v/>
      </c>
      <c r="U58" s="45"/>
      <c r="V58" s="45"/>
      <c r="W58" s="38" t="str">
        <f>_xlfn.LET(
    _xlpm.MacVal, _xlfn.XLOOKUP($A58, Output_Mac!$A:$A, Output_Mac!AB:AB, ""),
    _xlpm.MyAuditVal, _xlfn.XLOOKUP($A58, My_Audit!$A:$A, My_Audit!L:L, ""),
    _xlfn.TEXTJOIN(", ", TRUE, _xlpm.MyAuditVal, _xlpm.MacVal)
)</f>
        <v/>
      </c>
    </row>
    <row r="59" spans="1:23">
      <c r="A59" s="45" t="str">
        <f>_xlfn.TEXTJOIN("",TRUE,Input!$B$2,ROW(My_Audit!A58))</f>
        <v>XX58</v>
      </c>
      <c r="B59" s="45" t="str">
        <f>_xlfn.TEXTJOIN("-",TRUE,"ITD",Input!$A$2,A59)</f>
        <v>ITD-SHRXXX-XX58</v>
      </c>
      <c r="C59" s="45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46" t="str" cm="1">
        <f t="array" ref="D59">IFERROR(_xlfn.LET(
_xlpm.CSVVal,_xlfn.XLOOKUP($A59,CSV!$A:$A,CSV!C:C,""),
_xlpm.MacVal,_xlfn.XLOOKUP($A59,Output_Mac!$A:$A,Output_Mac!D:D,""),
_xlpm.MyAuditVal,_xlfn.XLOOKUP($A59,My_Audit!$A:$A,My_Audit!C:C,""),
_xlfn.IFS(_xlpm.MyAuditVal&lt;&gt;"",UPPER(_xlpm.MyAuditVal),_xlpm.MacVal&lt;&gt;"",_xlpm.MacVal,_xlpm.CSVVal&lt;&gt;"",_xlpm.CSVVal
)),"")</f>
        <v/>
      </c>
      <c r="E59" s="46" t="str" cm="1">
        <f t="array" ref="E59">IFERROR(_xlfn.LET(
_xlpm.CSVVal,_xlfn.XLOOKUP($A59,CSV!$A:$A,CSV!E:E,""),
_xlpm.MacVal,_xlfn.XLOOKUP($A59,Output_Mac!$A:$A,Output_Mac!C:C,""),
_xlpm.MyAuditVal,_xlfn.XLOOKUP($A59,My_Audit!$A:$A,My_Audit!D:D,""),
_xlfn.IFS(_xlpm.MyAuditVal&lt;&gt;"",_xlpm.MyAuditVal,_xlpm.MacVal&lt;&gt;"",_xlpm.MacVal,_xlpm.CSVVal&lt;&gt;"",_xlpm.CSVVal
)),"")</f>
        <v/>
      </c>
      <c r="F59" s="45" t="str" cm="1">
        <f t="array" ref="F59">IFERROR(_xlfn.LET(
_xlpm.CSVVal,_xlfn.XLOOKUP($A59,CSV!$A:$A,CSV!F:F,""),
_xlpm.MacVal,_xlfn.XLOOKUP($A59,Output_Mac!$A:$A,Output_Mac!F:F,""),
_xlpm.MyAuditVal,_xlfn.XLOOKUP($A59,My_Audit!$A:$A,My_Audit!E:E,""),
_xlfn.IFS(_xlpm.MyAuditVal&lt;&gt;"",_xlpm.MyAuditVal,_xlpm.MacVal&lt;&gt;"",_xlpm.MacVal,_xlpm.CSVVal&lt;&gt;"",PROPER(_xlpm.CSVVal)
)),"")</f>
        <v/>
      </c>
      <c r="G59" s="45" t="str" cm="1">
        <f t="array" ref="G59">IFERROR(_xlfn.LET(
_xlpm.CSVVal,_xlfn.XLOOKUP($A59,CSV!$A:$A,CSV!G:G,""),
_xlpm.MacVal,_xlfn.XLOOKUP($A59,Output_Mac!$A:$A,Output_Mac!H:H,""),
_xlpm.MyAuditVal,_xlfn.XLOOKUP($A59,My_Audit!$A:$A,My_Audit!F:F,""),
_xlfn.IFS(_xlpm.MyAuditVal&lt;&gt;"",_xlpm.MyAuditVal,_xlpm.MacVal&lt;&gt;"",_xlpm.MacVal,_xlpm.CSVVal&lt;&gt;"",_xlpm.CSVVal
)),"")</f>
        <v/>
      </c>
      <c r="H59" s="45" t="str">
        <f>_xlfn.XLOOKUP(A59,Output_Mac!A:A,Output_Mac!I:I,"")</f>
        <v/>
      </c>
      <c r="I59" s="45" t="str" cm="1">
        <f t="array" ref="I59">IFERROR(_xlfn.LET(
_xlpm.CSVVal,_xlfn.XLOOKUP($A59,CSV!$A:$A,CSV!H:H,""),
_xlpm.MacVal,_xlfn.XLOOKUP($A59,Output_Mac!$A:$A,Output_Mac!J:J,""),
_xlpm.MyAuditVal,_xlfn.XLOOKUP($A59,My_Audit!$A:$A,My_Audit!H:H,""),
_xlfn.IFS(_xlpm.MyAuditVal&lt;&gt;"",UPPER(_xlpm.MyAuditVal),_xlpm.MacVal&lt;&gt;"",_xlpm.MacVal,_xlpm.CSVVal&lt;&gt;"",_xlpm.CSVVal
)),"")</f>
        <v/>
      </c>
      <c r="J59" s="45" t="str" cm="1">
        <f t="array" ref="J59">IFERROR(_xlfn.LET(
_xlpm.CSVVal,_xlfn.XLOOKUP($A59,CSV!$A:$A,CSV!J:J,""),
_xlpm.MacVal,_xlfn.XLOOKUP($A59,Output_Mac!$A:$A,Output_Mac!K:K,""),
_xlpm.MyAuditVal,_xlfn.XLOOKUP($A59,My_Audit!$A:$A,My_Audit!I:I,""),
_xlfn.IFS(_xlpm.MyAuditVal&lt;&gt;"",UPPER(_xlpm.MyAuditVal),_xlpm.MacVal&lt;&gt;"",_xlpm.MacVal,_xlpm.CSVVal&lt;&gt;"",_xlpm.CSVVal
)),"")</f>
        <v/>
      </c>
      <c r="K59" s="45" t="str" cm="1">
        <f t="array" ref="K59">IFERROR(_xlfn.LET(
_xlpm.CSVVal,_xlfn.XLOOKUP($A59,CSV!$A:$A,CSV!N:N,""),
_xlpm.MacVal,_xlfn.XLOOKUP($A59,Output_Mac!$A:$A,Output_Mac!L:L,""),
_xlpm.MyAuditVal,_xlfn.XLOOKUP($A59,My_Audit!$A:$A,My_Audit!J:J,""),
_xlfn.IFS(_xlpm.MyAuditVal&lt;&gt;"",UPPER(_xlpm.MyAuditVal),_xlpm.MacVal&lt;&gt;"",_xlpm.MacVal,_xlpm.CSVVal&lt;&gt;"",_xlpm.CSVVal
)),"")</f>
        <v/>
      </c>
      <c r="L59" s="46" t="str" cm="1">
        <f t="array" ref="L59">IFERROR(_xlfn.LET(
_xlpm.CSVVal,_xlfn.XLOOKUP($A59,CSV!$A:$A,CSV!Q:Q,""),
_xlpm.MacVal,_xlfn.XLOOKUP($A59,Output_Mac!$A:$A,Output_Mac!M:M,""),
_xlpm.MyAuditVal,_xlfn.XLOOKUP($A59,My_Audit!$A:$A,My_Audit!K:K,""),
_xlfn.IFS(_xlpm.MyAuditVal&lt;&gt;"",UPPER(_xlpm.MyAuditVal),_xlpm.MacVal&lt;&gt;"",_xlpm.MacVal,_xlpm.CSVVal&lt;&gt;"",_xlpm.CSVVal
)),"")</f>
        <v/>
      </c>
      <c r="M59" s="45" t="str">
        <f>_xlfn.LET(
    _xlpm.CSVVal, _xlfn.XLOOKUP($A59, CSV!$A:$A, CSV!AE:AE, ""),
    _xlpm.MacVal, _xlfn.XLOOKUP($A59, Output_Mac!$A:$A, Output_Mac!S:S, ""),
    _xlpm.MyAuditVal, _xlfn.XLOOKUP($A59, My_Audit!$A:$A, My_Audit!N:N, ""),
    _xlfn.TEXTJOIN(", ", TRUE, _xlpm.MyAuditVal, _xlpm.MacVal, _xlpm.CSVVal)
)</f>
        <v/>
      </c>
      <c r="N59" s="45" t="str" cm="1">
        <f t="array" ref="N59">IFERROR(_xlfn.LET(
_xlpm.CSVVal,_xlfn.XLOOKUP($A59,CSV!$A:$A,CSV!AG:AG,""),
_xlpm.MacVal,_xlfn.XLOOKUP($A59,Output_Mac!$A:$A,Output_Mac!U:U,""),
_xlpm.MyAuditVal,_xlfn.XLOOKUP($A59,My_Audit!$A:$A,My_Audit!O:O,""),
_xlfn.IFS(_xlpm.MyAuditVal&lt;&gt;"",UPPER(_xlpm.MyAuditVal),_xlpm.MacVal&lt;&gt;"",_xlpm.MacVal,_xlpm.CSVVal&lt;&gt;"",_xlpm.CSVVal
)),"")</f>
        <v/>
      </c>
      <c r="O59" s="46" t="str">
        <f>_xlfn.XLOOKUP(C59,My_Audit!B:B,My_Audit!P:P,"")&amp;""</f>
        <v/>
      </c>
      <c r="P59" s="45"/>
      <c r="Q59" s="46" t="str">
        <f>IF(LEFT(N59,4)="Pass","Nist SP 800-88",My_Audit!R59)&amp;""</f>
        <v/>
      </c>
      <c r="R59" s="45"/>
      <c r="S59" s="45"/>
      <c r="T59" s="46" t="str">
        <f>_xlfn.XLOOKUP(E59,Models!I:I,Models!J:J,"")</f>
        <v/>
      </c>
      <c r="U59" s="45"/>
      <c r="V59" s="45"/>
      <c r="W59" s="38" t="str">
        <f>_xlfn.LET(
    _xlpm.MacVal, _xlfn.XLOOKUP($A59, Output_Mac!$A:$A, Output_Mac!AB:AB, ""),
    _xlpm.MyAuditVal, _xlfn.XLOOKUP($A59, My_Audit!$A:$A, My_Audit!L:L, ""),
    _xlfn.TEXTJOIN(", ", TRUE, _xlpm.MyAuditVal, _xlpm.MacVal)
)</f>
        <v/>
      </c>
    </row>
    <row r="60" spans="1:23">
      <c r="A60" s="45" t="str">
        <f>_xlfn.TEXTJOIN("",TRUE,Input!$B$2,ROW(My_Audit!A59))</f>
        <v>XX59</v>
      </c>
      <c r="B60" s="45" t="str">
        <f>_xlfn.TEXTJOIN("-",TRUE,"ITD",Input!$A$2,A60)</f>
        <v>ITD-SHRXXX-XX59</v>
      </c>
      <c r="C60" s="45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46" t="str" cm="1">
        <f t="array" ref="D60">IFERROR(_xlfn.LET(
_xlpm.CSVVal,_xlfn.XLOOKUP($A60,CSV!$A:$A,CSV!C:C,""),
_xlpm.MacVal,_xlfn.XLOOKUP($A60,Output_Mac!$A:$A,Output_Mac!D:D,""),
_xlpm.MyAuditVal,_xlfn.XLOOKUP($A60,My_Audit!$A:$A,My_Audit!C:C,""),
_xlfn.IFS(_xlpm.MyAuditVal&lt;&gt;"",UPPER(_xlpm.MyAuditVal),_xlpm.MacVal&lt;&gt;"",_xlpm.MacVal,_xlpm.CSVVal&lt;&gt;"",_xlpm.CSVVal
)),"")</f>
        <v/>
      </c>
      <c r="E60" s="46" t="str" cm="1">
        <f t="array" ref="E60">IFERROR(_xlfn.LET(
_xlpm.CSVVal,_xlfn.XLOOKUP($A60,CSV!$A:$A,CSV!E:E,""),
_xlpm.MacVal,_xlfn.XLOOKUP($A60,Output_Mac!$A:$A,Output_Mac!C:C,""),
_xlpm.MyAuditVal,_xlfn.XLOOKUP($A60,My_Audit!$A:$A,My_Audit!D:D,""),
_xlfn.IFS(_xlpm.MyAuditVal&lt;&gt;"",_xlpm.MyAuditVal,_xlpm.MacVal&lt;&gt;"",_xlpm.MacVal,_xlpm.CSVVal&lt;&gt;"",_xlpm.CSVVal
)),"")</f>
        <v/>
      </c>
      <c r="F60" s="45" t="str" cm="1">
        <f t="array" ref="F60">IFERROR(_xlfn.LET(
_xlpm.CSVVal,_xlfn.XLOOKUP($A60,CSV!$A:$A,CSV!F:F,""),
_xlpm.MacVal,_xlfn.XLOOKUP($A60,Output_Mac!$A:$A,Output_Mac!F:F,""),
_xlpm.MyAuditVal,_xlfn.XLOOKUP($A60,My_Audit!$A:$A,My_Audit!E:E,""),
_xlfn.IFS(_xlpm.MyAuditVal&lt;&gt;"",_xlpm.MyAuditVal,_xlpm.MacVal&lt;&gt;"",_xlpm.MacVal,_xlpm.CSVVal&lt;&gt;"",PROPER(_xlpm.CSVVal)
)),"")</f>
        <v/>
      </c>
      <c r="G60" s="45" t="str" cm="1">
        <f t="array" ref="G60">IFERROR(_xlfn.LET(
_xlpm.CSVVal,_xlfn.XLOOKUP($A60,CSV!$A:$A,CSV!G:G,""),
_xlpm.MacVal,_xlfn.XLOOKUP($A60,Output_Mac!$A:$A,Output_Mac!H:H,""),
_xlpm.MyAuditVal,_xlfn.XLOOKUP($A60,My_Audit!$A:$A,My_Audit!F:F,""),
_xlfn.IFS(_xlpm.MyAuditVal&lt;&gt;"",_xlpm.MyAuditVal,_xlpm.MacVal&lt;&gt;"",_xlpm.MacVal,_xlpm.CSVVal&lt;&gt;"",_xlpm.CSVVal
)),"")</f>
        <v/>
      </c>
      <c r="H60" s="45" t="str">
        <f>_xlfn.XLOOKUP(A60,Output_Mac!A:A,Output_Mac!I:I,"")</f>
        <v/>
      </c>
      <c r="I60" s="45" t="str" cm="1">
        <f t="array" ref="I60">IFERROR(_xlfn.LET(
_xlpm.CSVVal,_xlfn.XLOOKUP($A60,CSV!$A:$A,CSV!H:H,""),
_xlpm.MacVal,_xlfn.XLOOKUP($A60,Output_Mac!$A:$A,Output_Mac!J:J,""),
_xlpm.MyAuditVal,_xlfn.XLOOKUP($A60,My_Audit!$A:$A,My_Audit!H:H,""),
_xlfn.IFS(_xlpm.MyAuditVal&lt;&gt;"",UPPER(_xlpm.MyAuditVal),_xlpm.MacVal&lt;&gt;"",_xlpm.MacVal,_xlpm.CSVVal&lt;&gt;"",_xlpm.CSVVal
)),"")</f>
        <v/>
      </c>
      <c r="J60" s="45" t="str" cm="1">
        <f t="array" ref="J60">IFERROR(_xlfn.LET(
_xlpm.CSVVal,_xlfn.XLOOKUP($A60,CSV!$A:$A,CSV!J:J,""),
_xlpm.MacVal,_xlfn.XLOOKUP($A60,Output_Mac!$A:$A,Output_Mac!K:K,""),
_xlpm.MyAuditVal,_xlfn.XLOOKUP($A60,My_Audit!$A:$A,My_Audit!I:I,""),
_xlfn.IFS(_xlpm.MyAuditVal&lt;&gt;"",UPPER(_xlpm.MyAuditVal),_xlpm.MacVal&lt;&gt;"",_xlpm.MacVal,_xlpm.CSVVal&lt;&gt;"",_xlpm.CSVVal
)),"")</f>
        <v/>
      </c>
      <c r="K60" s="45" t="str" cm="1">
        <f t="array" ref="K60">IFERROR(_xlfn.LET(
_xlpm.CSVVal,_xlfn.XLOOKUP($A60,CSV!$A:$A,CSV!N:N,""),
_xlpm.MacVal,_xlfn.XLOOKUP($A60,Output_Mac!$A:$A,Output_Mac!L:L,""),
_xlpm.MyAuditVal,_xlfn.XLOOKUP($A60,My_Audit!$A:$A,My_Audit!J:J,""),
_xlfn.IFS(_xlpm.MyAuditVal&lt;&gt;"",UPPER(_xlpm.MyAuditVal),_xlpm.MacVal&lt;&gt;"",_xlpm.MacVal,_xlpm.CSVVal&lt;&gt;"",_xlpm.CSVVal
)),"")</f>
        <v/>
      </c>
      <c r="L60" s="46" t="str" cm="1">
        <f t="array" ref="L60">IFERROR(_xlfn.LET(
_xlpm.CSVVal,_xlfn.XLOOKUP($A60,CSV!$A:$A,CSV!Q:Q,""),
_xlpm.MacVal,_xlfn.XLOOKUP($A60,Output_Mac!$A:$A,Output_Mac!M:M,""),
_xlpm.MyAuditVal,_xlfn.XLOOKUP($A60,My_Audit!$A:$A,My_Audit!K:K,""),
_xlfn.IFS(_xlpm.MyAuditVal&lt;&gt;"",UPPER(_xlpm.MyAuditVal),_xlpm.MacVal&lt;&gt;"",_xlpm.MacVal,_xlpm.CSVVal&lt;&gt;"",_xlpm.CSVVal
)),"")</f>
        <v/>
      </c>
      <c r="M60" s="45" t="str">
        <f>_xlfn.LET(
    _xlpm.CSVVal, _xlfn.XLOOKUP($A60, CSV!$A:$A, CSV!AE:AE, ""),
    _xlpm.MacVal, _xlfn.XLOOKUP($A60, Output_Mac!$A:$A, Output_Mac!S:S, ""),
    _xlpm.MyAuditVal, _xlfn.XLOOKUP($A60, My_Audit!$A:$A, My_Audit!N:N, ""),
    _xlfn.TEXTJOIN(", ", TRUE, _xlpm.MyAuditVal, _xlpm.MacVal, _xlpm.CSVVal)
)</f>
        <v/>
      </c>
      <c r="N60" s="45" t="str" cm="1">
        <f t="array" ref="N60">IFERROR(_xlfn.LET(
_xlpm.CSVVal,_xlfn.XLOOKUP($A60,CSV!$A:$A,CSV!AG:AG,""),
_xlpm.MacVal,_xlfn.XLOOKUP($A60,Output_Mac!$A:$A,Output_Mac!U:U,""),
_xlpm.MyAuditVal,_xlfn.XLOOKUP($A60,My_Audit!$A:$A,My_Audit!O:O,""),
_xlfn.IFS(_xlpm.MyAuditVal&lt;&gt;"",UPPER(_xlpm.MyAuditVal),_xlpm.MacVal&lt;&gt;"",_xlpm.MacVal,_xlpm.CSVVal&lt;&gt;"",_xlpm.CSVVal
)),"")</f>
        <v/>
      </c>
      <c r="O60" s="46" t="str">
        <f>_xlfn.XLOOKUP(C60,My_Audit!B:B,My_Audit!P:P,"")&amp;""</f>
        <v/>
      </c>
      <c r="P60" s="45"/>
      <c r="Q60" s="46" t="str">
        <f>IF(LEFT(N60,4)="Pass","Nist SP 800-88",My_Audit!R60)&amp;""</f>
        <v/>
      </c>
      <c r="R60" s="45"/>
      <c r="S60" s="45"/>
      <c r="T60" s="46" t="str">
        <f>_xlfn.XLOOKUP(E60,Models!I:I,Models!J:J,"")</f>
        <v/>
      </c>
      <c r="U60" s="45"/>
      <c r="V60" s="45"/>
      <c r="W60" s="38" t="str">
        <f>_xlfn.LET(
    _xlpm.MacVal, _xlfn.XLOOKUP($A60, Output_Mac!$A:$A, Output_Mac!AB:AB, ""),
    _xlpm.MyAuditVal, _xlfn.XLOOKUP($A60, My_Audit!$A:$A, My_Audit!L:L, ""),
    _xlfn.TEXTJOIN(", ", TRUE, _xlpm.MyAuditVal, _xlpm.MacVal)
)</f>
        <v/>
      </c>
    </row>
    <row r="61" spans="1:23">
      <c r="A61" s="45" t="str">
        <f>_xlfn.TEXTJOIN("",TRUE,Input!$B$2,ROW(My_Audit!A60))</f>
        <v>XX60</v>
      </c>
      <c r="B61" s="45" t="str">
        <f>_xlfn.TEXTJOIN("-",TRUE,"ITD",Input!$A$2,A61)</f>
        <v>ITD-SHRXXX-XX60</v>
      </c>
      <c r="C61" s="45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46" t="str" cm="1">
        <f t="array" ref="D61">IFERROR(_xlfn.LET(
_xlpm.CSVVal,_xlfn.XLOOKUP($A61,CSV!$A:$A,CSV!C:C,""),
_xlpm.MacVal,_xlfn.XLOOKUP($A61,Output_Mac!$A:$A,Output_Mac!D:D,""),
_xlpm.MyAuditVal,_xlfn.XLOOKUP($A61,My_Audit!$A:$A,My_Audit!C:C,""),
_xlfn.IFS(_xlpm.MyAuditVal&lt;&gt;"",UPPER(_xlpm.MyAuditVal),_xlpm.MacVal&lt;&gt;"",_xlpm.MacVal,_xlpm.CSVVal&lt;&gt;"",_xlpm.CSVVal
)),"")</f>
        <v/>
      </c>
      <c r="E61" s="46" t="str" cm="1">
        <f t="array" ref="E61">IFERROR(_xlfn.LET(
_xlpm.CSVVal,_xlfn.XLOOKUP($A61,CSV!$A:$A,CSV!E:E,""),
_xlpm.MacVal,_xlfn.XLOOKUP($A61,Output_Mac!$A:$A,Output_Mac!C:C,""),
_xlpm.MyAuditVal,_xlfn.XLOOKUP($A61,My_Audit!$A:$A,My_Audit!D:D,""),
_xlfn.IFS(_xlpm.MyAuditVal&lt;&gt;"",_xlpm.MyAuditVal,_xlpm.MacVal&lt;&gt;"",_xlpm.MacVal,_xlpm.CSVVal&lt;&gt;"",_xlpm.CSVVal
)),"")</f>
        <v/>
      </c>
      <c r="F61" s="45" t="str" cm="1">
        <f t="array" ref="F61">IFERROR(_xlfn.LET(
_xlpm.CSVVal,_xlfn.XLOOKUP($A61,CSV!$A:$A,CSV!F:F,""),
_xlpm.MacVal,_xlfn.XLOOKUP($A61,Output_Mac!$A:$A,Output_Mac!F:F,""),
_xlpm.MyAuditVal,_xlfn.XLOOKUP($A61,My_Audit!$A:$A,My_Audit!E:E,""),
_xlfn.IFS(_xlpm.MyAuditVal&lt;&gt;"",_xlpm.MyAuditVal,_xlpm.MacVal&lt;&gt;"",_xlpm.MacVal,_xlpm.CSVVal&lt;&gt;"",PROPER(_xlpm.CSVVal)
)),"")</f>
        <v/>
      </c>
      <c r="G61" s="45" t="str" cm="1">
        <f t="array" ref="G61">IFERROR(_xlfn.LET(
_xlpm.CSVVal,_xlfn.XLOOKUP($A61,CSV!$A:$A,CSV!G:G,""),
_xlpm.MacVal,_xlfn.XLOOKUP($A61,Output_Mac!$A:$A,Output_Mac!H:H,""),
_xlpm.MyAuditVal,_xlfn.XLOOKUP($A61,My_Audit!$A:$A,My_Audit!F:F,""),
_xlfn.IFS(_xlpm.MyAuditVal&lt;&gt;"",_xlpm.MyAuditVal,_xlpm.MacVal&lt;&gt;"",_xlpm.MacVal,_xlpm.CSVVal&lt;&gt;"",_xlpm.CSVVal
)),"")</f>
        <v/>
      </c>
      <c r="H61" s="45" t="str">
        <f>_xlfn.XLOOKUP(A61,Output_Mac!A:A,Output_Mac!I:I,"")</f>
        <v/>
      </c>
      <c r="I61" s="45" t="str" cm="1">
        <f t="array" ref="I61">IFERROR(_xlfn.LET(
_xlpm.CSVVal,_xlfn.XLOOKUP($A61,CSV!$A:$A,CSV!H:H,""),
_xlpm.MacVal,_xlfn.XLOOKUP($A61,Output_Mac!$A:$A,Output_Mac!J:J,""),
_xlpm.MyAuditVal,_xlfn.XLOOKUP($A61,My_Audit!$A:$A,My_Audit!H:H,""),
_xlfn.IFS(_xlpm.MyAuditVal&lt;&gt;"",UPPER(_xlpm.MyAuditVal),_xlpm.MacVal&lt;&gt;"",_xlpm.MacVal,_xlpm.CSVVal&lt;&gt;"",_xlpm.CSVVal
)),"")</f>
        <v/>
      </c>
      <c r="J61" s="45" t="str" cm="1">
        <f t="array" ref="J61">IFERROR(_xlfn.LET(
_xlpm.CSVVal,_xlfn.XLOOKUP($A61,CSV!$A:$A,CSV!J:J,""),
_xlpm.MacVal,_xlfn.XLOOKUP($A61,Output_Mac!$A:$A,Output_Mac!K:K,""),
_xlpm.MyAuditVal,_xlfn.XLOOKUP($A61,My_Audit!$A:$A,My_Audit!I:I,""),
_xlfn.IFS(_xlpm.MyAuditVal&lt;&gt;"",UPPER(_xlpm.MyAuditVal),_xlpm.MacVal&lt;&gt;"",_xlpm.MacVal,_xlpm.CSVVal&lt;&gt;"",_xlpm.CSVVal
)),"")</f>
        <v/>
      </c>
      <c r="K61" s="45" t="str" cm="1">
        <f t="array" ref="K61">IFERROR(_xlfn.LET(
_xlpm.CSVVal,_xlfn.XLOOKUP($A61,CSV!$A:$A,CSV!N:N,""),
_xlpm.MacVal,_xlfn.XLOOKUP($A61,Output_Mac!$A:$A,Output_Mac!L:L,""),
_xlpm.MyAuditVal,_xlfn.XLOOKUP($A61,My_Audit!$A:$A,My_Audit!J:J,""),
_xlfn.IFS(_xlpm.MyAuditVal&lt;&gt;"",UPPER(_xlpm.MyAuditVal),_xlpm.MacVal&lt;&gt;"",_xlpm.MacVal,_xlpm.CSVVal&lt;&gt;"",_xlpm.CSVVal
)),"")</f>
        <v/>
      </c>
      <c r="L61" s="46" t="str" cm="1">
        <f t="array" ref="L61">IFERROR(_xlfn.LET(
_xlpm.CSVVal,_xlfn.XLOOKUP($A61,CSV!$A:$A,CSV!Q:Q,""),
_xlpm.MacVal,_xlfn.XLOOKUP($A61,Output_Mac!$A:$A,Output_Mac!M:M,""),
_xlpm.MyAuditVal,_xlfn.XLOOKUP($A61,My_Audit!$A:$A,My_Audit!K:K,""),
_xlfn.IFS(_xlpm.MyAuditVal&lt;&gt;"",UPPER(_xlpm.MyAuditVal),_xlpm.MacVal&lt;&gt;"",_xlpm.MacVal,_xlpm.CSVVal&lt;&gt;"",_xlpm.CSVVal
)),"")</f>
        <v/>
      </c>
      <c r="M61" s="45" t="str">
        <f>_xlfn.LET(
    _xlpm.CSVVal, _xlfn.XLOOKUP($A61, CSV!$A:$A, CSV!AE:AE, ""),
    _xlpm.MacVal, _xlfn.XLOOKUP($A61, Output_Mac!$A:$A, Output_Mac!S:S, ""),
    _xlpm.MyAuditVal, _xlfn.XLOOKUP($A61, My_Audit!$A:$A, My_Audit!N:N, ""),
    _xlfn.TEXTJOIN(", ", TRUE, _xlpm.MyAuditVal, _xlpm.MacVal, _xlpm.CSVVal)
)</f>
        <v/>
      </c>
      <c r="N61" s="45" t="str" cm="1">
        <f t="array" ref="N61">IFERROR(_xlfn.LET(
_xlpm.CSVVal,_xlfn.XLOOKUP($A61,CSV!$A:$A,CSV!AG:AG,""),
_xlpm.MacVal,_xlfn.XLOOKUP($A61,Output_Mac!$A:$A,Output_Mac!U:U,""),
_xlpm.MyAuditVal,_xlfn.XLOOKUP($A61,My_Audit!$A:$A,My_Audit!O:O,""),
_xlfn.IFS(_xlpm.MyAuditVal&lt;&gt;"",UPPER(_xlpm.MyAuditVal),_xlpm.MacVal&lt;&gt;"",_xlpm.MacVal,_xlpm.CSVVal&lt;&gt;"",_xlpm.CSVVal
)),"")</f>
        <v/>
      </c>
      <c r="O61" s="46" t="str">
        <f>_xlfn.XLOOKUP(C61,My_Audit!B:B,My_Audit!P:P,"")&amp;""</f>
        <v/>
      </c>
      <c r="P61" s="45"/>
      <c r="Q61" s="46" t="str">
        <f>IF(LEFT(N61,4)="Pass","Nist SP 800-88",My_Audit!R61)&amp;""</f>
        <v/>
      </c>
      <c r="R61" s="45"/>
      <c r="S61" s="45"/>
      <c r="T61" s="46" t="str">
        <f>_xlfn.XLOOKUP(E61,Models!I:I,Models!J:J,"")</f>
        <v/>
      </c>
      <c r="U61" s="45"/>
      <c r="V61" s="45"/>
      <c r="W61" s="38" t="str">
        <f>_xlfn.LET(
    _xlpm.MacVal, _xlfn.XLOOKUP($A61, Output_Mac!$A:$A, Output_Mac!AB:AB, ""),
    _xlpm.MyAuditVal, _xlfn.XLOOKUP($A61, My_Audit!$A:$A, My_Audit!L:L, ""),
    _xlfn.TEXTJOIN(", ", TRUE, _xlpm.MyAuditVal, _xlpm.MacVal)
)</f>
        <v/>
      </c>
    </row>
    <row r="62" spans="1:23">
      <c r="A62" s="45" t="str">
        <f>_xlfn.TEXTJOIN("",TRUE,Input!$B$2,ROW(My_Audit!A61))</f>
        <v>XX61</v>
      </c>
      <c r="B62" s="45" t="str">
        <f>_xlfn.TEXTJOIN("-",TRUE,"ITD",Input!$A$2,A62)</f>
        <v>ITD-SHRXXX-XX61</v>
      </c>
      <c r="C62" s="45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46" t="str" cm="1">
        <f t="array" ref="D62">IFERROR(_xlfn.LET(
_xlpm.CSVVal,_xlfn.XLOOKUP($A62,CSV!$A:$A,CSV!C:C,""),
_xlpm.MacVal,_xlfn.XLOOKUP($A62,Output_Mac!$A:$A,Output_Mac!D:D,""),
_xlpm.MyAuditVal,_xlfn.XLOOKUP($A62,My_Audit!$A:$A,My_Audit!C:C,""),
_xlfn.IFS(_xlpm.MyAuditVal&lt;&gt;"",UPPER(_xlpm.MyAuditVal),_xlpm.MacVal&lt;&gt;"",_xlpm.MacVal,_xlpm.CSVVal&lt;&gt;"",_xlpm.CSVVal
)),"")</f>
        <v/>
      </c>
      <c r="E62" s="46" t="str" cm="1">
        <f t="array" ref="E62">IFERROR(_xlfn.LET(
_xlpm.CSVVal,_xlfn.XLOOKUP($A62,CSV!$A:$A,CSV!E:E,""),
_xlpm.MacVal,_xlfn.XLOOKUP($A62,Output_Mac!$A:$A,Output_Mac!C:C,""),
_xlpm.MyAuditVal,_xlfn.XLOOKUP($A62,My_Audit!$A:$A,My_Audit!D:D,""),
_xlfn.IFS(_xlpm.MyAuditVal&lt;&gt;"",_xlpm.MyAuditVal,_xlpm.MacVal&lt;&gt;"",_xlpm.MacVal,_xlpm.CSVVal&lt;&gt;"",_xlpm.CSVVal
)),"")</f>
        <v/>
      </c>
      <c r="F62" s="45" t="str" cm="1">
        <f t="array" ref="F62">IFERROR(_xlfn.LET(
_xlpm.CSVVal,_xlfn.XLOOKUP($A62,CSV!$A:$A,CSV!F:F,""),
_xlpm.MacVal,_xlfn.XLOOKUP($A62,Output_Mac!$A:$A,Output_Mac!F:F,""),
_xlpm.MyAuditVal,_xlfn.XLOOKUP($A62,My_Audit!$A:$A,My_Audit!E:E,""),
_xlfn.IFS(_xlpm.MyAuditVal&lt;&gt;"",_xlpm.MyAuditVal,_xlpm.MacVal&lt;&gt;"",_xlpm.MacVal,_xlpm.CSVVal&lt;&gt;"",PROPER(_xlpm.CSVVal)
)),"")</f>
        <v/>
      </c>
      <c r="G62" s="45" t="str" cm="1">
        <f t="array" ref="G62">IFERROR(_xlfn.LET(
_xlpm.CSVVal,_xlfn.XLOOKUP($A62,CSV!$A:$A,CSV!G:G,""),
_xlpm.MacVal,_xlfn.XLOOKUP($A62,Output_Mac!$A:$A,Output_Mac!H:H,""),
_xlpm.MyAuditVal,_xlfn.XLOOKUP($A62,My_Audit!$A:$A,My_Audit!F:F,""),
_xlfn.IFS(_xlpm.MyAuditVal&lt;&gt;"",_xlpm.MyAuditVal,_xlpm.MacVal&lt;&gt;"",_xlpm.MacVal,_xlpm.CSVVal&lt;&gt;"",_xlpm.CSVVal
)),"")</f>
        <v/>
      </c>
      <c r="H62" s="45" t="str">
        <f>_xlfn.XLOOKUP(A62,Output_Mac!A:A,Output_Mac!I:I,"")</f>
        <v/>
      </c>
      <c r="I62" s="45" t="str" cm="1">
        <f t="array" ref="I62">IFERROR(_xlfn.LET(
_xlpm.CSVVal,_xlfn.XLOOKUP($A62,CSV!$A:$A,CSV!H:H,""),
_xlpm.MacVal,_xlfn.XLOOKUP($A62,Output_Mac!$A:$A,Output_Mac!J:J,""),
_xlpm.MyAuditVal,_xlfn.XLOOKUP($A62,My_Audit!$A:$A,My_Audit!H:H,""),
_xlfn.IFS(_xlpm.MyAuditVal&lt;&gt;"",UPPER(_xlpm.MyAuditVal),_xlpm.MacVal&lt;&gt;"",_xlpm.MacVal,_xlpm.CSVVal&lt;&gt;"",_xlpm.CSVVal
)),"")</f>
        <v/>
      </c>
      <c r="J62" s="45" t="str" cm="1">
        <f t="array" ref="J62">IFERROR(_xlfn.LET(
_xlpm.CSVVal,_xlfn.XLOOKUP($A62,CSV!$A:$A,CSV!J:J,""),
_xlpm.MacVal,_xlfn.XLOOKUP($A62,Output_Mac!$A:$A,Output_Mac!K:K,""),
_xlpm.MyAuditVal,_xlfn.XLOOKUP($A62,My_Audit!$A:$A,My_Audit!I:I,""),
_xlfn.IFS(_xlpm.MyAuditVal&lt;&gt;"",UPPER(_xlpm.MyAuditVal),_xlpm.MacVal&lt;&gt;"",_xlpm.MacVal,_xlpm.CSVVal&lt;&gt;"",_xlpm.CSVVal
)),"")</f>
        <v/>
      </c>
      <c r="K62" s="45" t="str" cm="1">
        <f t="array" ref="K62">IFERROR(_xlfn.LET(
_xlpm.CSVVal,_xlfn.XLOOKUP($A62,CSV!$A:$A,CSV!N:N,""),
_xlpm.MacVal,_xlfn.XLOOKUP($A62,Output_Mac!$A:$A,Output_Mac!L:L,""),
_xlpm.MyAuditVal,_xlfn.XLOOKUP($A62,My_Audit!$A:$A,My_Audit!J:J,""),
_xlfn.IFS(_xlpm.MyAuditVal&lt;&gt;"",UPPER(_xlpm.MyAuditVal),_xlpm.MacVal&lt;&gt;"",_xlpm.MacVal,_xlpm.CSVVal&lt;&gt;"",_xlpm.CSVVal
)),"")</f>
        <v/>
      </c>
      <c r="L62" s="46" t="str" cm="1">
        <f t="array" ref="L62">IFERROR(_xlfn.LET(
_xlpm.CSVVal,_xlfn.XLOOKUP($A62,CSV!$A:$A,CSV!Q:Q,""),
_xlpm.MacVal,_xlfn.XLOOKUP($A62,Output_Mac!$A:$A,Output_Mac!M:M,""),
_xlpm.MyAuditVal,_xlfn.XLOOKUP($A62,My_Audit!$A:$A,My_Audit!K:K,""),
_xlfn.IFS(_xlpm.MyAuditVal&lt;&gt;"",UPPER(_xlpm.MyAuditVal),_xlpm.MacVal&lt;&gt;"",_xlpm.MacVal,_xlpm.CSVVal&lt;&gt;"",_xlpm.CSVVal
)),"")</f>
        <v/>
      </c>
      <c r="M62" s="45" t="str">
        <f>_xlfn.LET(
    _xlpm.CSVVal, _xlfn.XLOOKUP($A62, CSV!$A:$A, CSV!AE:AE, ""),
    _xlpm.MacVal, _xlfn.XLOOKUP($A62, Output_Mac!$A:$A, Output_Mac!S:S, ""),
    _xlpm.MyAuditVal, _xlfn.XLOOKUP($A62, My_Audit!$A:$A, My_Audit!N:N, ""),
    _xlfn.TEXTJOIN(", ", TRUE, _xlpm.MyAuditVal, _xlpm.MacVal, _xlpm.CSVVal)
)</f>
        <v/>
      </c>
      <c r="N62" s="45" t="str" cm="1">
        <f t="array" ref="N62">IFERROR(_xlfn.LET(
_xlpm.CSVVal,_xlfn.XLOOKUP($A62,CSV!$A:$A,CSV!AG:AG,""),
_xlpm.MacVal,_xlfn.XLOOKUP($A62,Output_Mac!$A:$A,Output_Mac!U:U,""),
_xlpm.MyAuditVal,_xlfn.XLOOKUP($A62,My_Audit!$A:$A,My_Audit!O:O,""),
_xlfn.IFS(_xlpm.MyAuditVal&lt;&gt;"",UPPER(_xlpm.MyAuditVal),_xlpm.MacVal&lt;&gt;"",_xlpm.MacVal,_xlpm.CSVVal&lt;&gt;"",_xlpm.CSVVal
)),"")</f>
        <v/>
      </c>
      <c r="O62" s="46" t="str">
        <f>_xlfn.XLOOKUP(C62,My_Audit!B:B,My_Audit!P:P,"")&amp;""</f>
        <v/>
      </c>
      <c r="P62" s="45"/>
      <c r="Q62" s="46" t="str">
        <f>IF(LEFT(N62,4)="Pass","Nist SP 800-88",My_Audit!R62)&amp;""</f>
        <v/>
      </c>
      <c r="R62" s="45"/>
      <c r="S62" s="45"/>
      <c r="T62" s="46" t="str">
        <f>_xlfn.XLOOKUP(E62,Models!I:I,Models!J:J,"")</f>
        <v/>
      </c>
      <c r="U62" s="45"/>
      <c r="V62" s="45"/>
      <c r="W62" s="38" t="str">
        <f>_xlfn.LET(
    _xlpm.MacVal, _xlfn.XLOOKUP($A62, Output_Mac!$A:$A, Output_Mac!AB:AB, ""),
    _xlpm.MyAuditVal, _xlfn.XLOOKUP($A62, My_Audit!$A:$A, My_Audit!L:L, ""),
    _xlfn.TEXTJOIN(", ", TRUE, _xlpm.MyAuditVal, _xlpm.MacVal)
)</f>
        <v/>
      </c>
    </row>
    <row r="63" spans="1:23">
      <c r="A63" s="45" t="str">
        <f>_xlfn.TEXTJOIN("",TRUE,Input!$B$2,ROW(My_Audit!A62))</f>
        <v>XX62</v>
      </c>
      <c r="B63" s="45" t="str">
        <f>_xlfn.TEXTJOIN("-",TRUE,"ITD",Input!$A$2,A63)</f>
        <v>ITD-SHRXXX-XX62</v>
      </c>
      <c r="C63" s="45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46" t="str" cm="1">
        <f t="array" ref="D63">IFERROR(_xlfn.LET(
_xlpm.CSVVal,_xlfn.XLOOKUP($A63,CSV!$A:$A,CSV!C:C,""),
_xlpm.MacVal,_xlfn.XLOOKUP($A63,Output_Mac!$A:$A,Output_Mac!D:D,""),
_xlpm.MyAuditVal,_xlfn.XLOOKUP($A63,My_Audit!$A:$A,My_Audit!C:C,""),
_xlfn.IFS(_xlpm.MyAuditVal&lt;&gt;"",UPPER(_xlpm.MyAuditVal),_xlpm.MacVal&lt;&gt;"",_xlpm.MacVal,_xlpm.CSVVal&lt;&gt;"",_xlpm.CSVVal
)),"")</f>
        <v/>
      </c>
      <c r="E63" s="46" t="str" cm="1">
        <f t="array" ref="E63">IFERROR(_xlfn.LET(
_xlpm.CSVVal,_xlfn.XLOOKUP($A63,CSV!$A:$A,CSV!E:E,""),
_xlpm.MacVal,_xlfn.XLOOKUP($A63,Output_Mac!$A:$A,Output_Mac!C:C,""),
_xlpm.MyAuditVal,_xlfn.XLOOKUP($A63,My_Audit!$A:$A,My_Audit!D:D,""),
_xlfn.IFS(_xlpm.MyAuditVal&lt;&gt;"",_xlpm.MyAuditVal,_xlpm.MacVal&lt;&gt;"",_xlpm.MacVal,_xlpm.CSVVal&lt;&gt;"",_xlpm.CSVVal
)),"")</f>
        <v/>
      </c>
      <c r="F63" s="45" t="str" cm="1">
        <f t="array" ref="F63">IFERROR(_xlfn.LET(
_xlpm.CSVVal,_xlfn.XLOOKUP($A63,CSV!$A:$A,CSV!F:F,""),
_xlpm.MacVal,_xlfn.XLOOKUP($A63,Output_Mac!$A:$A,Output_Mac!F:F,""),
_xlpm.MyAuditVal,_xlfn.XLOOKUP($A63,My_Audit!$A:$A,My_Audit!E:E,""),
_xlfn.IFS(_xlpm.MyAuditVal&lt;&gt;"",_xlpm.MyAuditVal,_xlpm.MacVal&lt;&gt;"",_xlpm.MacVal,_xlpm.CSVVal&lt;&gt;"",PROPER(_xlpm.CSVVal)
)),"")</f>
        <v/>
      </c>
      <c r="G63" s="45" t="str" cm="1">
        <f t="array" ref="G63">IFERROR(_xlfn.LET(
_xlpm.CSVVal,_xlfn.XLOOKUP($A63,CSV!$A:$A,CSV!G:G,""),
_xlpm.MacVal,_xlfn.XLOOKUP($A63,Output_Mac!$A:$A,Output_Mac!H:H,""),
_xlpm.MyAuditVal,_xlfn.XLOOKUP($A63,My_Audit!$A:$A,My_Audit!F:F,""),
_xlfn.IFS(_xlpm.MyAuditVal&lt;&gt;"",_xlpm.MyAuditVal,_xlpm.MacVal&lt;&gt;"",_xlpm.MacVal,_xlpm.CSVVal&lt;&gt;"",_xlpm.CSVVal
)),"")</f>
        <v/>
      </c>
      <c r="H63" s="45" t="str">
        <f>_xlfn.XLOOKUP(A63,Output_Mac!A:A,Output_Mac!I:I,"")</f>
        <v/>
      </c>
      <c r="I63" s="45" t="str" cm="1">
        <f t="array" ref="I63">IFERROR(_xlfn.LET(
_xlpm.CSVVal,_xlfn.XLOOKUP($A63,CSV!$A:$A,CSV!H:H,""),
_xlpm.MacVal,_xlfn.XLOOKUP($A63,Output_Mac!$A:$A,Output_Mac!J:J,""),
_xlpm.MyAuditVal,_xlfn.XLOOKUP($A63,My_Audit!$A:$A,My_Audit!H:H,""),
_xlfn.IFS(_xlpm.MyAuditVal&lt;&gt;"",UPPER(_xlpm.MyAuditVal),_xlpm.MacVal&lt;&gt;"",_xlpm.MacVal,_xlpm.CSVVal&lt;&gt;"",_xlpm.CSVVal
)),"")</f>
        <v/>
      </c>
      <c r="J63" s="45" t="str" cm="1">
        <f t="array" ref="J63">IFERROR(_xlfn.LET(
_xlpm.CSVVal,_xlfn.XLOOKUP($A63,CSV!$A:$A,CSV!J:J,""),
_xlpm.MacVal,_xlfn.XLOOKUP($A63,Output_Mac!$A:$A,Output_Mac!K:K,""),
_xlpm.MyAuditVal,_xlfn.XLOOKUP($A63,My_Audit!$A:$A,My_Audit!I:I,""),
_xlfn.IFS(_xlpm.MyAuditVal&lt;&gt;"",UPPER(_xlpm.MyAuditVal),_xlpm.MacVal&lt;&gt;"",_xlpm.MacVal,_xlpm.CSVVal&lt;&gt;"",_xlpm.CSVVal
)),"")</f>
        <v/>
      </c>
      <c r="K63" s="45" t="str" cm="1">
        <f t="array" ref="K63">IFERROR(_xlfn.LET(
_xlpm.CSVVal,_xlfn.XLOOKUP($A63,CSV!$A:$A,CSV!N:N,""),
_xlpm.MacVal,_xlfn.XLOOKUP($A63,Output_Mac!$A:$A,Output_Mac!L:L,""),
_xlpm.MyAuditVal,_xlfn.XLOOKUP($A63,My_Audit!$A:$A,My_Audit!J:J,""),
_xlfn.IFS(_xlpm.MyAuditVal&lt;&gt;"",UPPER(_xlpm.MyAuditVal),_xlpm.MacVal&lt;&gt;"",_xlpm.MacVal,_xlpm.CSVVal&lt;&gt;"",_xlpm.CSVVal
)),"")</f>
        <v/>
      </c>
      <c r="L63" s="46" t="str" cm="1">
        <f t="array" ref="L63">IFERROR(_xlfn.LET(
_xlpm.CSVVal,_xlfn.XLOOKUP($A63,CSV!$A:$A,CSV!Q:Q,""),
_xlpm.MacVal,_xlfn.XLOOKUP($A63,Output_Mac!$A:$A,Output_Mac!M:M,""),
_xlpm.MyAuditVal,_xlfn.XLOOKUP($A63,My_Audit!$A:$A,My_Audit!K:K,""),
_xlfn.IFS(_xlpm.MyAuditVal&lt;&gt;"",UPPER(_xlpm.MyAuditVal),_xlpm.MacVal&lt;&gt;"",_xlpm.MacVal,_xlpm.CSVVal&lt;&gt;"",_xlpm.CSVVal
)),"")</f>
        <v/>
      </c>
      <c r="M63" s="45" t="str">
        <f>_xlfn.LET(
    _xlpm.CSVVal, _xlfn.XLOOKUP($A63, CSV!$A:$A, CSV!AE:AE, ""),
    _xlpm.MacVal, _xlfn.XLOOKUP($A63, Output_Mac!$A:$A, Output_Mac!S:S, ""),
    _xlpm.MyAuditVal, _xlfn.XLOOKUP($A63, My_Audit!$A:$A, My_Audit!N:N, ""),
    _xlfn.TEXTJOIN(", ", TRUE, _xlpm.MyAuditVal, _xlpm.MacVal, _xlpm.CSVVal)
)</f>
        <v/>
      </c>
      <c r="N63" s="45" t="str" cm="1">
        <f t="array" ref="N63">IFERROR(_xlfn.LET(
_xlpm.CSVVal,_xlfn.XLOOKUP($A63,CSV!$A:$A,CSV!AG:AG,""),
_xlpm.MacVal,_xlfn.XLOOKUP($A63,Output_Mac!$A:$A,Output_Mac!U:U,""),
_xlpm.MyAuditVal,_xlfn.XLOOKUP($A63,My_Audit!$A:$A,My_Audit!O:O,""),
_xlfn.IFS(_xlpm.MyAuditVal&lt;&gt;"",UPPER(_xlpm.MyAuditVal),_xlpm.MacVal&lt;&gt;"",_xlpm.MacVal,_xlpm.CSVVal&lt;&gt;"",_xlpm.CSVVal
)),"")</f>
        <v/>
      </c>
      <c r="O63" s="46" t="str">
        <f>_xlfn.XLOOKUP(C63,My_Audit!B:B,My_Audit!P:P,"")&amp;""</f>
        <v/>
      </c>
      <c r="P63" s="45"/>
      <c r="Q63" s="46" t="str">
        <f>IF(LEFT(N63,4)="Pass","Nist SP 800-88",My_Audit!R63)&amp;""</f>
        <v/>
      </c>
      <c r="R63" s="45"/>
      <c r="S63" s="45"/>
      <c r="T63" s="46" t="str">
        <f>_xlfn.XLOOKUP(E63,Models!I:I,Models!J:J,"")</f>
        <v/>
      </c>
      <c r="U63" s="45"/>
      <c r="V63" s="45"/>
      <c r="W63" s="38" t="str">
        <f>_xlfn.LET(
    _xlpm.MacVal, _xlfn.XLOOKUP($A63, Output_Mac!$A:$A, Output_Mac!AB:AB, ""),
    _xlpm.MyAuditVal, _xlfn.XLOOKUP($A63, My_Audit!$A:$A, My_Audit!L:L, ""),
    _xlfn.TEXTJOIN(", ", TRUE, _xlpm.MyAuditVal, _xlpm.MacVal)
)</f>
        <v/>
      </c>
    </row>
    <row r="64" spans="1:23">
      <c r="A64" s="45" t="str">
        <f>_xlfn.TEXTJOIN("",TRUE,Input!$B$2,ROW(My_Audit!A63))</f>
        <v>XX63</v>
      </c>
      <c r="B64" s="45" t="str">
        <f>_xlfn.TEXTJOIN("-",TRUE,"ITD",Input!$A$2,A64)</f>
        <v>ITD-SHRXXX-XX63</v>
      </c>
      <c r="C64" s="45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46" t="str" cm="1">
        <f t="array" ref="D64">IFERROR(_xlfn.LET(
_xlpm.CSVVal,_xlfn.XLOOKUP($A64,CSV!$A:$A,CSV!C:C,""),
_xlpm.MacVal,_xlfn.XLOOKUP($A64,Output_Mac!$A:$A,Output_Mac!D:D,""),
_xlpm.MyAuditVal,_xlfn.XLOOKUP($A64,My_Audit!$A:$A,My_Audit!C:C,""),
_xlfn.IFS(_xlpm.MyAuditVal&lt;&gt;"",UPPER(_xlpm.MyAuditVal),_xlpm.MacVal&lt;&gt;"",_xlpm.MacVal,_xlpm.CSVVal&lt;&gt;"",_xlpm.CSVVal
)),"")</f>
        <v/>
      </c>
      <c r="E64" s="46" t="str" cm="1">
        <f t="array" ref="E64">IFERROR(_xlfn.LET(
_xlpm.CSVVal,_xlfn.XLOOKUP($A64,CSV!$A:$A,CSV!E:E,""),
_xlpm.MacVal,_xlfn.XLOOKUP($A64,Output_Mac!$A:$A,Output_Mac!C:C,""),
_xlpm.MyAuditVal,_xlfn.XLOOKUP($A64,My_Audit!$A:$A,My_Audit!D:D,""),
_xlfn.IFS(_xlpm.MyAuditVal&lt;&gt;"",_xlpm.MyAuditVal,_xlpm.MacVal&lt;&gt;"",_xlpm.MacVal,_xlpm.CSVVal&lt;&gt;"",_xlpm.CSVVal
)),"")</f>
        <v/>
      </c>
      <c r="F64" s="45" t="str" cm="1">
        <f t="array" ref="F64">IFERROR(_xlfn.LET(
_xlpm.CSVVal,_xlfn.XLOOKUP($A64,CSV!$A:$A,CSV!F:F,""),
_xlpm.MacVal,_xlfn.XLOOKUP($A64,Output_Mac!$A:$A,Output_Mac!F:F,""),
_xlpm.MyAuditVal,_xlfn.XLOOKUP($A64,My_Audit!$A:$A,My_Audit!E:E,""),
_xlfn.IFS(_xlpm.MyAuditVal&lt;&gt;"",_xlpm.MyAuditVal,_xlpm.MacVal&lt;&gt;"",_xlpm.MacVal,_xlpm.CSVVal&lt;&gt;"",PROPER(_xlpm.CSVVal)
)),"")</f>
        <v/>
      </c>
      <c r="G64" s="45" t="str" cm="1">
        <f t="array" ref="G64">IFERROR(_xlfn.LET(
_xlpm.CSVVal,_xlfn.XLOOKUP($A64,CSV!$A:$A,CSV!G:G,""),
_xlpm.MacVal,_xlfn.XLOOKUP($A64,Output_Mac!$A:$A,Output_Mac!H:H,""),
_xlpm.MyAuditVal,_xlfn.XLOOKUP($A64,My_Audit!$A:$A,My_Audit!F:F,""),
_xlfn.IFS(_xlpm.MyAuditVal&lt;&gt;"",_xlpm.MyAuditVal,_xlpm.MacVal&lt;&gt;"",_xlpm.MacVal,_xlpm.CSVVal&lt;&gt;"",_xlpm.CSVVal
)),"")</f>
        <v/>
      </c>
      <c r="H64" s="45" t="str">
        <f>_xlfn.XLOOKUP(A64,Output_Mac!A:A,Output_Mac!I:I,"")</f>
        <v/>
      </c>
      <c r="I64" s="45" t="str" cm="1">
        <f t="array" ref="I64">IFERROR(_xlfn.LET(
_xlpm.CSVVal,_xlfn.XLOOKUP($A64,CSV!$A:$A,CSV!H:H,""),
_xlpm.MacVal,_xlfn.XLOOKUP($A64,Output_Mac!$A:$A,Output_Mac!J:J,""),
_xlpm.MyAuditVal,_xlfn.XLOOKUP($A64,My_Audit!$A:$A,My_Audit!H:H,""),
_xlfn.IFS(_xlpm.MyAuditVal&lt;&gt;"",UPPER(_xlpm.MyAuditVal),_xlpm.MacVal&lt;&gt;"",_xlpm.MacVal,_xlpm.CSVVal&lt;&gt;"",_xlpm.CSVVal
)),"")</f>
        <v/>
      </c>
      <c r="J64" s="45" t="str" cm="1">
        <f t="array" ref="J64">IFERROR(_xlfn.LET(
_xlpm.CSVVal,_xlfn.XLOOKUP($A64,CSV!$A:$A,CSV!J:J,""),
_xlpm.MacVal,_xlfn.XLOOKUP($A64,Output_Mac!$A:$A,Output_Mac!K:K,""),
_xlpm.MyAuditVal,_xlfn.XLOOKUP($A64,My_Audit!$A:$A,My_Audit!I:I,""),
_xlfn.IFS(_xlpm.MyAuditVal&lt;&gt;"",UPPER(_xlpm.MyAuditVal),_xlpm.MacVal&lt;&gt;"",_xlpm.MacVal,_xlpm.CSVVal&lt;&gt;"",_xlpm.CSVVal
)),"")</f>
        <v/>
      </c>
      <c r="K64" s="45" t="str" cm="1">
        <f t="array" ref="K64">IFERROR(_xlfn.LET(
_xlpm.CSVVal,_xlfn.XLOOKUP($A64,CSV!$A:$A,CSV!N:N,""),
_xlpm.MacVal,_xlfn.XLOOKUP($A64,Output_Mac!$A:$A,Output_Mac!L:L,""),
_xlpm.MyAuditVal,_xlfn.XLOOKUP($A64,My_Audit!$A:$A,My_Audit!J:J,""),
_xlfn.IFS(_xlpm.MyAuditVal&lt;&gt;"",UPPER(_xlpm.MyAuditVal),_xlpm.MacVal&lt;&gt;"",_xlpm.MacVal,_xlpm.CSVVal&lt;&gt;"",_xlpm.CSVVal
)),"")</f>
        <v/>
      </c>
      <c r="L64" s="46" t="str" cm="1">
        <f t="array" ref="L64">IFERROR(_xlfn.LET(
_xlpm.CSVVal,_xlfn.XLOOKUP($A64,CSV!$A:$A,CSV!Q:Q,""),
_xlpm.MacVal,_xlfn.XLOOKUP($A64,Output_Mac!$A:$A,Output_Mac!M:M,""),
_xlpm.MyAuditVal,_xlfn.XLOOKUP($A64,My_Audit!$A:$A,My_Audit!K:K,""),
_xlfn.IFS(_xlpm.MyAuditVal&lt;&gt;"",UPPER(_xlpm.MyAuditVal),_xlpm.MacVal&lt;&gt;"",_xlpm.MacVal,_xlpm.CSVVal&lt;&gt;"",_xlpm.CSVVal
)),"")</f>
        <v/>
      </c>
      <c r="M64" s="45" t="str">
        <f>_xlfn.LET(
    _xlpm.CSVVal, _xlfn.XLOOKUP($A64, CSV!$A:$A, CSV!AE:AE, ""),
    _xlpm.MacVal, _xlfn.XLOOKUP($A64, Output_Mac!$A:$A, Output_Mac!S:S, ""),
    _xlpm.MyAuditVal, _xlfn.XLOOKUP($A64, My_Audit!$A:$A, My_Audit!N:N, ""),
    _xlfn.TEXTJOIN(", ", TRUE, _xlpm.MyAuditVal, _xlpm.MacVal, _xlpm.CSVVal)
)</f>
        <v/>
      </c>
      <c r="N64" s="45" t="str" cm="1">
        <f t="array" ref="N64">IFERROR(_xlfn.LET(
_xlpm.CSVVal,_xlfn.XLOOKUP($A64,CSV!$A:$A,CSV!AG:AG,""),
_xlpm.MacVal,_xlfn.XLOOKUP($A64,Output_Mac!$A:$A,Output_Mac!U:U,""),
_xlpm.MyAuditVal,_xlfn.XLOOKUP($A64,My_Audit!$A:$A,My_Audit!O:O,""),
_xlfn.IFS(_xlpm.MyAuditVal&lt;&gt;"",UPPER(_xlpm.MyAuditVal),_xlpm.MacVal&lt;&gt;"",_xlpm.MacVal,_xlpm.CSVVal&lt;&gt;"",_xlpm.CSVVal
)),"")</f>
        <v/>
      </c>
      <c r="O64" s="46" t="str">
        <f>_xlfn.XLOOKUP(C64,My_Audit!B:B,My_Audit!P:P,"")&amp;""</f>
        <v/>
      </c>
      <c r="P64" s="45"/>
      <c r="Q64" s="46" t="str">
        <f>IF(LEFT(N64,4)="Pass","Nist SP 800-88",My_Audit!R64)&amp;""</f>
        <v/>
      </c>
      <c r="R64" s="45"/>
      <c r="S64" s="45"/>
      <c r="T64" s="46" t="str">
        <f>_xlfn.XLOOKUP(E64,Models!I:I,Models!J:J,"")</f>
        <v/>
      </c>
      <c r="U64" s="45"/>
      <c r="V64" s="45"/>
      <c r="W64" s="38" t="str">
        <f>_xlfn.LET(
    _xlpm.MacVal, _xlfn.XLOOKUP($A64, Output_Mac!$A:$A, Output_Mac!AB:AB, ""),
    _xlpm.MyAuditVal, _xlfn.XLOOKUP($A64, My_Audit!$A:$A, My_Audit!L:L, ""),
    _xlfn.TEXTJOIN(", ", TRUE, _xlpm.MyAuditVal, _xlpm.MacVal)
)</f>
        <v/>
      </c>
    </row>
    <row r="65" spans="1:23">
      <c r="A65" s="45" t="str">
        <f>_xlfn.TEXTJOIN("",TRUE,Input!$B$2,ROW(My_Audit!A64))</f>
        <v>XX64</v>
      </c>
      <c r="B65" s="45" t="str">
        <f>_xlfn.TEXTJOIN("-",TRUE,"ITD",Input!$A$2,A65)</f>
        <v>ITD-SHRXXX-XX64</v>
      </c>
      <c r="C65" s="45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46" t="str" cm="1">
        <f t="array" ref="D65">IFERROR(_xlfn.LET(
_xlpm.CSVVal,_xlfn.XLOOKUP($A65,CSV!$A:$A,CSV!C:C,""),
_xlpm.MacVal,_xlfn.XLOOKUP($A65,Output_Mac!$A:$A,Output_Mac!D:D,""),
_xlpm.MyAuditVal,_xlfn.XLOOKUP($A65,My_Audit!$A:$A,My_Audit!C:C,""),
_xlfn.IFS(_xlpm.MyAuditVal&lt;&gt;"",UPPER(_xlpm.MyAuditVal),_xlpm.MacVal&lt;&gt;"",_xlpm.MacVal,_xlpm.CSVVal&lt;&gt;"",_xlpm.CSVVal
)),"")</f>
        <v/>
      </c>
      <c r="E65" s="46" t="str" cm="1">
        <f t="array" ref="E65">IFERROR(_xlfn.LET(
_xlpm.CSVVal,_xlfn.XLOOKUP($A65,CSV!$A:$A,CSV!E:E,""),
_xlpm.MacVal,_xlfn.XLOOKUP($A65,Output_Mac!$A:$A,Output_Mac!C:C,""),
_xlpm.MyAuditVal,_xlfn.XLOOKUP($A65,My_Audit!$A:$A,My_Audit!D:D,""),
_xlfn.IFS(_xlpm.MyAuditVal&lt;&gt;"",_xlpm.MyAuditVal,_xlpm.MacVal&lt;&gt;"",_xlpm.MacVal,_xlpm.CSVVal&lt;&gt;"",_xlpm.CSVVal
)),"")</f>
        <v/>
      </c>
      <c r="F65" s="45" t="str" cm="1">
        <f t="array" ref="F65">IFERROR(_xlfn.LET(
_xlpm.CSVVal,_xlfn.XLOOKUP($A65,CSV!$A:$A,CSV!F:F,""),
_xlpm.MacVal,_xlfn.XLOOKUP($A65,Output_Mac!$A:$A,Output_Mac!F:F,""),
_xlpm.MyAuditVal,_xlfn.XLOOKUP($A65,My_Audit!$A:$A,My_Audit!E:E,""),
_xlfn.IFS(_xlpm.MyAuditVal&lt;&gt;"",_xlpm.MyAuditVal,_xlpm.MacVal&lt;&gt;"",_xlpm.MacVal,_xlpm.CSVVal&lt;&gt;"",PROPER(_xlpm.CSVVal)
)),"")</f>
        <v/>
      </c>
      <c r="G65" s="45" t="str" cm="1">
        <f t="array" ref="G65">IFERROR(_xlfn.LET(
_xlpm.CSVVal,_xlfn.XLOOKUP($A65,CSV!$A:$A,CSV!G:G,""),
_xlpm.MacVal,_xlfn.XLOOKUP($A65,Output_Mac!$A:$A,Output_Mac!H:H,""),
_xlpm.MyAuditVal,_xlfn.XLOOKUP($A65,My_Audit!$A:$A,My_Audit!F:F,""),
_xlfn.IFS(_xlpm.MyAuditVal&lt;&gt;"",_xlpm.MyAuditVal,_xlpm.MacVal&lt;&gt;"",_xlpm.MacVal,_xlpm.CSVVal&lt;&gt;"",_xlpm.CSVVal
)),"")</f>
        <v/>
      </c>
      <c r="H65" s="45" t="str">
        <f>_xlfn.XLOOKUP(A65,Output_Mac!A:A,Output_Mac!I:I,"")</f>
        <v/>
      </c>
      <c r="I65" s="45" t="str" cm="1">
        <f t="array" ref="I65">IFERROR(_xlfn.LET(
_xlpm.CSVVal,_xlfn.XLOOKUP($A65,CSV!$A:$A,CSV!H:H,""),
_xlpm.MacVal,_xlfn.XLOOKUP($A65,Output_Mac!$A:$A,Output_Mac!J:J,""),
_xlpm.MyAuditVal,_xlfn.XLOOKUP($A65,My_Audit!$A:$A,My_Audit!H:H,""),
_xlfn.IFS(_xlpm.MyAuditVal&lt;&gt;"",UPPER(_xlpm.MyAuditVal),_xlpm.MacVal&lt;&gt;"",_xlpm.MacVal,_xlpm.CSVVal&lt;&gt;"",_xlpm.CSVVal
)),"")</f>
        <v/>
      </c>
      <c r="J65" s="45" t="str" cm="1">
        <f t="array" ref="J65">IFERROR(_xlfn.LET(
_xlpm.CSVVal,_xlfn.XLOOKUP($A65,CSV!$A:$A,CSV!J:J,""),
_xlpm.MacVal,_xlfn.XLOOKUP($A65,Output_Mac!$A:$A,Output_Mac!K:K,""),
_xlpm.MyAuditVal,_xlfn.XLOOKUP($A65,My_Audit!$A:$A,My_Audit!I:I,""),
_xlfn.IFS(_xlpm.MyAuditVal&lt;&gt;"",UPPER(_xlpm.MyAuditVal),_xlpm.MacVal&lt;&gt;"",_xlpm.MacVal,_xlpm.CSVVal&lt;&gt;"",_xlpm.CSVVal
)),"")</f>
        <v/>
      </c>
      <c r="K65" s="45" t="str" cm="1">
        <f t="array" ref="K65">IFERROR(_xlfn.LET(
_xlpm.CSVVal,_xlfn.XLOOKUP($A65,CSV!$A:$A,CSV!N:N,""),
_xlpm.MacVal,_xlfn.XLOOKUP($A65,Output_Mac!$A:$A,Output_Mac!L:L,""),
_xlpm.MyAuditVal,_xlfn.XLOOKUP($A65,My_Audit!$A:$A,My_Audit!J:J,""),
_xlfn.IFS(_xlpm.MyAuditVal&lt;&gt;"",UPPER(_xlpm.MyAuditVal),_xlpm.MacVal&lt;&gt;"",_xlpm.MacVal,_xlpm.CSVVal&lt;&gt;"",_xlpm.CSVVal
)),"")</f>
        <v/>
      </c>
      <c r="L65" s="46" t="str" cm="1">
        <f t="array" ref="L65">IFERROR(_xlfn.LET(
_xlpm.CSVVal,_xlfn.XLOOKUP($A65,CSV!$A:$A,CSV!Q:Q,""),
_xlpm.MacVal,_xlfn.XLOOKUP($A65,Output_Mac!$A:$A,Output_Mac!M:M,""),
_xlpm.MyAuditVal,_xlfn.XLOOKUP($A65,My_Audit!$A:$A,My_Audit!K:K,""),
_xlfn.IFS(_xlpm.MyAuditVal&lt;&gt;"",UPPER(_xlpm.MyAuditVal),_xlpm.MacVal&lt;&gt;"",_xlpm.MacVal,_xlpm.CSVVal&lt;&gt;"",_xlpm.CSVVal
)),"")</f>
        <v/>
      </c>
      <c r="M65" s="45" t="str">
        <f>_xlfn.LET(
    _xlpm.CSVVal, _xlfn.XLOOKUP($A65, CSV!$A:$A, CSV!AE:AE, ""),
    _xlpm.MacVal, _xlfn.XLOOKUP($A65, Output_Mac!$A:$A, Output_Mac!S:S, ""),
    _xlpm.MyAuditVal, _xlfn.XLOOKUP($A65, My_Audit!$A:$A, My_Audit!N:N, ""),
    _xlfn.TEXTJOIN(", ", TRUE, _xlpm.MyAuditVal, _xlpm.MacVal, _xlpm.CSVVal)
)</f>
        <v/>
      </c>
      <c r="N65" s="45" t="str" cm="1">
        <f t="array" ref="N65">IFERROR(_xlfn.LET(
_xlpm.CSVVal,_xlfn.XLOOKUP($A65,CSV!$A:$A,CSV!AG:AG,""),
_xlpm.MacVal,_xlfn.XLOOKUP($A65,Output_Mac!$A:$A,Output_Mac!U:U,""),
_xlpm.MyAuditVal,_xlfn.XLOOKUP($A65,My_Audit!$A:$A,My_Audit!O:O,""),
_xlfn.IFS(_xlpm.MyAuditVal&lt;&gt;"",UPPER(_xlpm.MyAuditVal),_xlpm.MacVal&lt;&gt;"",_xlpm.MacVal,_xlpm.CSVVal&lt;&gt;"",_xlpm.CSVVal
)),"")</f>
        <v/>
      </c>
      <c r="O65" s="46" t="str">
        <f>_xlfn.XLOOKUP(C65,My_Audit!B:B,My_Audit!P:P,"")&amp;""</f>
        <v/>
      </c>
      <c r="P65" s="45"/>
      <c r="Q65" s="46" t="str">
        <f>IF(LEFT(N65,4)="Pass","Nist SP 800-88",My_Audit!R65)&amp;""</f>
        <v/>
      </c>
      <c r="R65" s="45"/>
      <c r="S65" s="45"/>
      <c r="T65" s="46" t="str">
        <f>_xlfn.XLOOKUP(E65,Models!I:I,Models!J:J,"")</f>
        <v/>
      </c>
      <c r="U65" s="45"/>
      <c r="V65" s="45"/>
      <c r="W65" s="38" t="str">
        <f>_xlfn.LET(
    _xlpm.MacVal, _xlfn.XLOOKUP($A65, Output_Mac!$A:$A, Output_Mac!AB:AB, ""),
    _xlpm.MyAuditVal, _xlfn.XLOOKUP($A65, My_Audit!$A:$A, My_Audit!L:L, ""),
    _xlfn.TEXTJOIN(", ", TRUE, _xlpm.MyAuditVal, _xlpm.MacVal)
)</f>
        <v/>
      </c>
    </row>
    <row r="66" spans="1:23">
      <c r="A66" s="45" t="str">
        <f>_xlfn.TEXTJOIN("",TRUE,Input!$B$2,ROW(My_Audit!A65))</f>
        <v>XX65</v>
      </c>
      <c r="B66" s="45" t="str">
        <f>_xlfn.TEXTJOIN("-",TRUE,"ITD",Input!$A$2,A66)</f>
        <v>ITD-SHRXXX-XX65</v>
      </c>
      <c r="C66" s="45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46" t="str" cm="1">
        <f t="array" ref="D66">IFERROR(_xlfn.LET(
_xlpm.CSVVal,_xlfn.XLOOKUP($A66,CSV!$A:$A,CSV!C:C,""),
_xlpm.MacVal,_xlfn.XLOOKUP($A66,Output_Mac!$A:$A,Output_Mac!D:D,""),
_xlpm.MyAuditVal,_xlfn.XLOOKUP($A66,My_Audit!$A:$A,My_Audit!C:C,""),
_xlfn.IFS(_xlpm.MyAuditVal&lt;&gt;"",UPPER(_xlpm.MyAuditVal),_xlpm.MacVal&lt;&gt;"",_xlpm.MacVal,_xlpm.CSVVal&lt;&gt;"",_xlpm.CSVVal
)),"")</f>
        <v/>
      </c>
      <c r="E66" s="46" t="str" cm="1">
        <f t="array" ref="E66">IFERROR(_xlfn.LET(
_xlpm.CSVVal,_xlfn.XLOOKUP($A66,CSV!$A:$A,CSV!E:E,""),
_xlpm.MacVal,_xlfn.XLOOKUP($A66,Output_Mac!$A:$A,Output_Mac!C:C,""),
_xlpm.MyAuditVal,_xlfn.XLOOKUP($A66,My_Audit!$A:$A,My_Audit!D:D,""),
_xlfn.IFS(_xlpm.MyAuditVal&lt;&gt;"",_xlpm.MyAuditVal,_xlpm.MacVal&lt;&gt;"",_xlpm.MacVal,_xlpm.CSVVal&lt;&gt;"",_xlpm.CSVVal
)),"")</f>
        <v/>
      </c>
      <c r="F66" s="45" t="str" cm="1">
        <f t="array" ref="F66">IFERROR(_xlfn.LET(
_xlpm.CSVVal,_xlfn.XLOOKUP($A66,CSV!$A:$A,CSV!F:F,""),
_xlpm.MacVal,_xlfn.XLOOKUP($A66,Output_Mac!$A:$A,Output_Mac!F:F,""),
_xlpm.MyAuditVal,_xlfn.XLOOKUP($A66,My_Audit!$A:$A,My_Audit!E:E,""),
_xlfn.IFS(_xlpm.MyAuditVal&lt;&gt;"",_xlpm.MyAuditVal,_xlpm.MacVal&lt;&gt;"",_xlpm.MacVal,_xlpm.CSVVal&lt;&gt;"",PROPER(_xlpm.CSVVal)
)),"")</f>
        <v/>
      </c>
      <c r="G66" s="45" t="str" cm="1">
        <f t="array" ref="G66">IFERROR(_xlfn.LET(
_xlpm.CSVVal,_xlfn.XLOOKUP($A66,CSV!$A:$A,CSV!G:G,""),
_xlpm.MacVal,_xlfn.XLOOKUP($A66,Output_Mac!$A:$A,Output_Mac!H:H,""),
_xlpm.MyAuditVal,_xlfn.XLOOKUP($A66,My_Audit!$A:$A,My_Audit!F:F,""),
_xlfn.IFS(_xlpm.MyAuditVal&lt;&gt;"",_xlpm.MyAuditVal,_xlpm.MacVal&lt;&gt;"",_xlpm.MacVal,_xlpm.CSVVal&lt;&gt;"",_xlpm.CSVVal
)),"")</f>
        <v/>
      </c>
      <c r="H66" s="45" t="str">
        <f>_xlfn.XLOOKUP(A66,Output_Mac!A:A,Output_Mac!I:I,"")</f>
        <v/>
      </c>
      <c r="I66" s="45" t="str" cm="1">
        <f t="array" ref="I66">IFERROR(_xlfn.LET(
_xlpm.CSVVal,_xlfn.XLOOKUP($A66,CSV!$A:$A,CSV!H:H,""),
_xlpm.MacVal,_xlfn.XLOOKUP($A66,Output_Mac!$A:$A,Output_Mac!J:J,""),
_xlpm.MyAuditVal,_xlfn.XLOOKUP($A66,My_Audit!$A:$A,My_Audit!H:H,""),
_xlfn.IFS(_xlpm.MyAuditVal&lt;&gt;"",UPPER(_xlpm.MyAuditVal),_xlpm.MacVal&lt;&gt;"",_xlpm.MacVal,_xlpm.CSVVal&lt;&gt;"",_xlpm.CSVVal
)),"")</f>
        <v/>
      </c>
      <c r="J66" s="45" t="str" cm="1">
        <f t="array" ref="J66">IFERROR(_xlfn.LET(
_xlpm.CSVVal,_xlfn.XLOOKUP($A66,CSV!$A:$A,CSV!J:J,""),
_xlpm.MacVal,_xlfn.XLOOKUP($A66,Output_Mac!$A:$A,Output_Mac!K:K,""),
_xlpm.MyAuditVal,_xlfn.XLOOKUP($A66,My_Audit!$A:$A,My_Audit!I:I,""),
_xlfn.IFS(_xlpm.MyAuditVal&lt;&gt;"",UPPER(_xlpm.MyAuditVal),_xlpm.MacVal&lt;&gt;"",_xlpm.MacVal,_xlpm.CSVVal&lt;&gt;"",_xlpm.CSVVal
)),"")</f>
        <v/>
      </c>
      <c r="K66" s="45" t="str" cm="1">
        <f t="array" ref="K66">IFERROR(_xlfn.LET(
_xlpm.CSVVal,_xlfn.XLOOKUP($A66,CSV!$A:$A,CSV!N:N,""),
_xlpm.MacVal,_xlfn.XLOOKUP($A66,Output_Mac!$A:$A,Output_Mac!L:L,""),
_xlpm.MyAuditVal,_xlfn.XLOOKUP($A66,My_Audit!$A:$A,My_Audit!J:J,""),
_xlfn.IFS(_xlpm.MyAuditVal&lt;&gt;"",UPPER(_xlpm.MyAuditVal),_xlpm.MacVal&lt;&gt;"",_xlpm.MacVal,_xlpm.CSVVal&lt;&gt;"",_xlpm.CSVVal
)),"")</f>
        <v/>
      </c>
      <c r="L66" s="46" t="str" cm="1">
        <f t="array" ref="L66">IFERROR(_xlfn.LET(
_xlpm.CSVVal,_xlfn.XLOOKUP($A66,CSV!$A:$A,CSV!Q:Q,""),
_xlpm.MacVal,_xlfn.XLOOKUP($A66,Output_Mac!$A:$A,Output_Mac!M:M,""),
_xlpm.MyAuditVal,_xlfn.XLOOKUP($A66,My_Audit!$A:$A,My_Audit!K:K,""),
_xlfn.IFS(_xlpm.MyAuditVal&lt;&gt;"",UPPER(_xlpm.MyAuditVal),_xlpm.MacVal&lt;&gt;"",_xlpm.MacVal,_xlpm.CSVVal&lt;&gt;"",_xlpm.CSVVal
)),"")</f>
        <v/>
      </c>
      <c r="M66" s="45" t="str">
        <f>_xlfn.LET(
    _xlpm.CSVVal, _xlfn.XLOOKUP($A66, CSV!$A:$A, CSV!AE:AE, ""),
    _xlpm.MacVal, _xlfn.XLOOKUP($A66, Output_Mac!$A:$A, Output_Mac!S:S, ""),
    _xlpm.MyAuditVal, _xlfn.XLOOKUP($A66, My_Audit!$A:$A, My_Audit!N:N, ""),
    _xlfn.TEXTJOIN(", ", TRUE, _xlpm.MyAuditVal, _xlpm.MacVal, _xlpm.CSVVal)
)</f>
        <v/>
      </c>
      <c r="N66" s="45" t="str" cm="1">
        <f t="array" ref="N66">IFERROR(_xlfn.LET(
_xlpm.CSVVal,_xlfn.XLOOKUP($A66,CSV!$A:$A,CSV!AG:AG,""),
_xlpm.MacVal,_xlfn.XLOOKUP($A66,Output_Mac!$A:$A,Output_Mac!U:U,""),
_xlpm.MyAuditVal,_xlfn.XLOOKUP($A66,My_Audit!$A:$A,My_Audit!O:O,""),
_xlfn.IFS(_xlpm.MyAuditVal&lt;&gt;"",UPPER(_xlpm.MyAuditVal),_xlpm.MacVal&lt;&gt;"",_xlpm.MacVal,_xlpm.CSVVal&lt;&gt;"",_xlpm.CSVVal
)),"")</f>
        <v/>
      </c>
      <c r="O66" s="46" t="str">
        <f>_xlfn.XLOOKUP(C66,My_Audit!B:B,My_Audit!P:P,"")&amp;""</f>
        <v/>
      </c>
      <c r="P66" s="45"/>
      <c r="Q66" s="46" t="str">
        <f>IF(LEFT(N66,4)="Pass","Nist SP 800-88",My_Audit!R66)&amp;""</f>
        <v/>
      </c>
      <c r="R66" s="45"/>
      <c r="S66" s="45"/>
      <c r="T66" s="46" t="str">
        <f>_xlfn.XLOOKUP(E66,Models!I:I,Models!J:J,"")</f>
        <v/>
      </c>
      <c r="U66" s="45"/>
      <c r="V66" s="45"/>
      <c r="W66" s="38" t="str">
        <f>_xlfn.LET(
    _xlpm.MacVal, _xlfn.XLOOKUP($A66, Output_Mac!$A:$A, Output_Mac!AB:AB, ""),
    _xlpm.MyAuditVal, _xlfn.XLOOKUP($A66, My_Audit!$A:$A, My_Audit!L:L, ""),
    _xlfn.TEXTJOIN(", ", TRUE, _xlpm.MyAuditVal, _xlpm.MacVal)
)</f>
        <v/>
      </c>
    </row>
    <row r="67" spans="1:23">
      <c r="A67" s="45" t="str">
        <f>_xlfn.TEXTJOIN("",TRUE,Input!$B$2,ROW(My_Audit!A66))</f>
        <v>XX66</v>
      </c>
      <c r="B67" s="45" t="str">
        <f>_xlfn.TEXTJOIN("-",TRUE,"ITD",Input!$A$2,A67)</f>
        <v>ITD-SHRXXX-XX66</v>
      </c>
      <c r="C67" s="45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46" t="str" cm="1">
        <f t="array" ref="D67">IFERROR(_xlfn.LET(
_xlpm.CSVVal,_xlfn.XLOOKUP($A67,CSV!$A:$A,CSV!C:C,""),
_xlpm.MacVal,_xlfn.XLOOKUP($A67,Output_Mac!$A:$A,Output_Mac!D:D,""),
_xlpm.MyAuditVal,_xlfn.XLOOKUP($A67,My_Audit!$A:$A,My_Audit!C:C,""),
_xlfn.IFS(_xlpm.MyAuditVal&lt;&gt;"",UPPER(_xlpm.MyAuditVal),_xlpm.MacVal&lt;&gt;"",_xlpm.MacVal,_xlpm.CSVVal&lt;&gt;"",_xlpm.CSVVal
)),"")</f>
        <v/>
      </c>
      <c r="E67" s="46" t="str" cm="1">
        <f t="array" ref="E67">IFERROR(_xlfn.LET(
_xlpm.CSVVal,_xlfn.XLOOKUP($A67,CSV!$A:$A,CSV!E:E,""),
_xlpm.MacVal,_xlfn.XLOOKUP($A67,Output_Mac!$A:$A,Output_Mac!C:C,""),
_xlpm.MyAuditVal,_xlfn.XLOOKUP($A67,My_Audit!$A:$A,My_Audit!D:D,""),
_xlfn.IFS(_xlpm.MyAuditVal&lt;&gt;"",_xlpm.MyAuditVal,_xlpm.MacVal&lt;&gt;"",_xlpm.MacVal,_xlpm.CSVVal&lt;&gt;"",_xlpm.CSVVal
)),"")</f>
        <v/>
      </c>
      <c r="F67" s="45" t="str" cm="1">
        <f t="array" ref="F67">IFERROR(_xlfn.LET(
_xlpm.CSVVal,_xlfn.XLOOKUP($A67,CSV!$A:$A,CSV!F:F,""),
_xlpm.MacVal,_xlfn.XLOOKUP($A67,Output_Mac!$A:$A,Output_Mac!F:F,""),
_xlpm.MyAuditVal,_xlfn.XLOOKUP($A67,My_Audit!$A:$A,My_Audit!E:E,""),
_xlfn.IFS(_xlpm.MyAuditVal&lt;&gt;"",_xlpm.MyAuditVal,_xlpm.MacVal&lt;&gt;"",_xlpm.MacVal,_xlpm.CSVVal&lt;&gt;"",PROPER(_xlpm.CSVVal)
)),"")</f>
        <v/>
      </c>
      <c r="G67" s="45" t="str" cm="1">
        <f t="array" ref="G67">IFERROR(_xlfn.LET(
_xlpm.CSVVal,_xlfn.XLOOKUP($A67,CSV!$A:$A,CSV!G:G,""),
_xlpm.MacVal,_xlfn.XLOOKUP($A67,Output_Mac!$A:$A,Output_Mac!H:H,""),
_xlpm.MyAuditVal,_xlfn.XLOOKUP($A67,My_Audit!$A:$A,My_Audit!F:F,""),
_xlfn.IFS(_xlpm.MyAuditVal&lt;&gt;"",_xlpm.MyAuditVal,_xlpm.MacVal&lt;&gt;"",_xlpm.MacVal,_xlpm.CSVVal&lt;&gt;"",_xlpm.CSVVal
)),"")</f>
        <v/>
      </c>
      <c r="H67" s="45" t="str">
        <f>_xlfn.XLOOKUP(A67,Output_Mac!A:A,Output_Mac!I:I,"")</f>
        <v/>
      </c>
      <c r="I67" s="45" t="str" cm="1">
        <f t="array" ref="I67">IFERROR(_xlfn.LET(
_xlpm.CSVVal,_xlfn.XLOOKUP($A67,CSV!$A:$A,CSV!H:H,""),
_xlpm.MacVal,_xlfn.XLOOKUP($A67,Output_Mac!$A:$A,Output_Mac!J:J,""),
_xlpm.MyAuditVal,_xlfn.XLOOKUP($A67,My_Audit!$A:$A,My_Audit!H:H,""),
_xlfn.IFS(_xlpm.MyAuditVal&lt;&gt;"",UPPER(_xlpm.MyAuditVal),_xlpm.MacVal&lt;&gt;"",_xlpm.MacVal,_xlpm.CSVVal&lt;&gt;"",_xlpm.CSVVal
)),"")</f>
        <v/>
      </c>
      <c r="J67" s="45" t="str" cm="1">
        <f t="array" ref="J67">IFERROR(_xlfn.LET(
_xlpm.CSVVal,_xlfn.XLOOKUP($A67,CSV!$A:$A,CSV!J:J,""),
_xlpm.MacVal,_xlfn.XLOOKUP($A67,Output_Mac!$A:$A,Output_Mac!K:K,""),
_xlpm.MyAuditVal,_xlfn.XLOOKUP($A67,My_Audit!$A:$A,My_Audit!I:I,""),
_xlfn.IFS(_xlpm.MyAuditVal&lt;&gt;"",UPPER(_xlpm.MyAuditVal),_xlpm.MacVal&lt;&gt;"",_xlpm.MacVal,_xlpm.CSVVal&lt;&gt;"",_xlpm.CSVVal
)),"")</f>
        <v/>
      </c>
      <c r="K67" s="45" t="str" cm="1">
        <f t="array" ref="K67">IFERROR(_xlfn.LET(
_xlpm.CSVVal,_xlfn.XLOOKUP($A67,CSV!$A:$A,CSV!N:N,""),
_xlpm.MacVal,_xlfn.XLOOKUP($A67,Output_Mac!$A:$A,Output_Mac!L:L,""),
_xlpm.MyAuditVal,_xlfn.XLOOKUP($A67,My_Audit!$A:$A,My_Audit!J:J,""),
_xlfn.IFS(_xlpm.MyAuditVal&lt;&gt;"",UPPER(_xlpm.MyAuditVal),_xlpm.MacVal&lt;&gt;"",_xlpm.MacVal,_xlpm.CSVVal&lt;&gt;"",_xlpm.CSVVal
)),"")</f>
        <v/>
      </c>
      <c r="L67" s="46" t="str" cm="1">
        <f t="array" ref="L67">IFERROR(_xlfn.LET(
_xlpm.CSVVal,_xlfn.XLOOKUP($A67,CSV!$A:$A,CSV!Q:Q,""),
_xlpm.MacVal,_xlfn.XLOOKUP($A67,Output_Mac!$A:$A,Output_Mac!M:M,""),
_xlpm.MyAuditVal,_xlfn.XLOOKUP($A67,My_Audit!$A:$A,My_Audit!K:K,""),
_xlfn.IFS(_xlpm.MyAuditVal&lt;&gt;"",UPPER(_xlpm.MyAuditVal),_xlpm.MacVal&lt;&gt;"",_xlpm.MacVal,_xlpm.CSVVal&lt;&gt;"",_xlpm.CSVVal
)),"")</f>
        <v/>
      </c>
      <c r="M67" s="45" t="str">
        <f>_xlfn.LET(
    _xlpm.CSVVal, _xlfn.XLOOKUP($A67, CSV!$A:$A, CSV!AE:AE, ""),
    _xlpm.MacVal, _xlfn.XLOOKUP($A67, Output_Mac!$A:$A, Output_Mac!S:S, ""),
    _xlpm.MyAuditVal, _xlfn.XLOOKUP($A67, My_Audit!$A:$A, My_Audit!N:N, ""),
    _xlfn.TEXTJOIN(", ", TRUE, _xlpm.MyAuditVal, _xlpm.MacVal, _xlpm.CSVVal)
)</f>
        <v/>
      </c>
      <c r="N67" s="45" t="str" cm="1">
        <f t="array" ref="N67">IFERROR(_xlfn.LET(
_xlpm.CSVVal,_xlfn.XLOOKUP($A67,CSV!$A:$A,CSV!AG:AG,""),
_xlpm.MacVal,_xlfn.XLOOKUP($A67,Output_Mac!$A:$A,Output_Mac!U:U,""),
_xlpm.MyAuditVal,_xlfn.XLOOKUP($A67,My_Audit!$A:$A,My_Audit!O:O,""),
_xlfn.IFS(_xlpm.MyAuditVal&lt;&gt;"",UPPER(_xlpm.MyAuditVal),_xlpm.MacVal&lt;&gt;"",_xlpm.MacVal,_xlpm.CSVVal&lt;&gt;"",_xlpm.CSVVal
)),"")</f>
        <v/>
      </c>
      <c r="O67" s="46" t="str">
        <f>_xlfn.XLOOKUP(C67,My_Audit!B:B,My_Audit!P:P,"")&amp;""</f>
        <v/>
      </c>
      <c r="P67" s="45"/>
      <c r="Q67" s="46" t="str">
        <f>IF(LEFT(N67,4)="Pass","Nist SP 800-88",My_Audit!R67)&amp;""</f>
        <v/>
      </c>
      <c r="R67" s="45"/>
      <c r="S67" s="45"/>
      <c r="T67" s="46" t="str">
        <f>_xlfn.XLOOKUP(E67,Models!I:I,Models!J:J,"")</f>
        <v/>
      </c>
      <c r="U67" s="45"/>
      <c r="V67" s="45"/>
      <c r="W67" s="38" t="str">
        <f>_xlfn.LET(
    _xlpm.MacVal, _xlfn.XLOOKUP($A67, Output_Mac!$A:$A, Output_Mac!AB:AB, ""),
    _xlpm.MyAuditVal, _xlfn.XLOOKUP($A67, My_Audit!$A:$A, My_Audit!L:L, ""),
    _xlfn.TEXTJOIN(", ", TRUE, _xlpm.MyAuditVal, _xlpm.MacVal)
)</f>
        <v/>
      </c>
    </row>
    <row r="68" spans="1:23">
      <c r="A68" s="45" t="str">
        <f>_xlfn.TEXTJOIN("",TRUE,Input!$B$2,ROW(My_Audit!A67))</f>
        <v>XX67</v>
      </c>
      <c r="B68" s="45" t="str">
        <f>_xlfn.TEXTJOIN("-",TRUE,"ITD",Input!$A$2,A68)</f>
        <v>ITD-SHRXXX-XX67</v>
      </c>
      <c r="C68" s="45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46" t="str" cm="1">
        <f t="array" ref="D68">IFERROR(_xlfn.LET(
_xlpm.CSVVal,_xlfn.XLOOKUP($A68,CSV!$A:$A,CSV!C:C,""),
_xlpm.MacVal,_xlfn.XLOOKUP($A68,Output_Mac!$A:$A,Output_Mac!D:D,""),
_xlpm.MyAuditVal,_xlfn.XLOOKUP($A68,My_Audit!$A:$A,My_Audit!C:C,""),
_xlfn.IFS(_xlpm.MyAuditVal&lt;&gt;"",UPPER(_xlpm.MyAuditVal),_xlpm.MacVal&lt;&gt;"",_xlpm.MacVal,_xlpm.CSVVal&lt;&gt;"",_xlpm.CSVVal
)),"")</f>
        <v/>
      </c>
      <c r="E68" s="46" t="str" cm="1">
        <f t="array" ref="E68">IFERROR(_xlfn.LET(
_xlpm.CSVVal,_xlfn.XLOOKUP($A68,CSV!$A:$A,CSV!E:E,""),
_xlpm.MacVal,_xlfn.XLOOKUP($A68,Output_Mac!$A:$A,Output_Mac!C:C,""),
_xlpm.MyAuditVal,_xlfn.XLOOKUP($A68,My_Audit!$A:$A,My_Audit!D:D,""),
_xlfn.IFS(_xlpm.MyAuditVal&lt;&gt;"",_xlpm.MyAuditVal,_xlpm.MacVal&lt;&gt;"",_xlpm.MacVal,_xlpm.CSVVal&lt;&gt;"",_xlpm.CSVVal
)),"")</f>
        <v/>
      </c>
      <c r="F68" s="45" t="str" cm="1">
        <f t="array" ref="F68">IFERROR(_xlfn.LET(
_xlpm.CSVVal,_xlfn.XLOOKUP($A68,CSV!$A:$A,CSV!F:F,""),
_xlpm.MacVal,_xlfn.XLOOKUP($A68,Output_Mac!$A:$A,Output_Mac!F:F,""),
_xlpm.MyAuditVal,_xlfn.XLOOKUP($A68,My_Audit!$A:$A,My_Audit!E:E,""),
_xlfn.IFS(_xlpm.MyAuditVal&lt;&gt;"",_xlpm.MyAuditVal,_xlpm.MacVal&lt;&gt;"",_xlpm.MacVal,_xlpm.CSVVal&lt;&gt;"",PROPER(_xlpm.CSVVal)
)),"")</f>
        <v/>
      </c>
      <c r="G68" s="45" t="str" cm="1">
        <f t="array" ref="G68">IFERROR(_xlfn.LET(
_xlpm.CSVVal,_xlfn.XLOOKUP($A68,CSV!$A:$A,CSV!G:G,""),
_xlpm.MacVal,_xlfn.XLOOKUP($A68,Output_Mac!$A:$A,Output_Mac!H:H,""),
_xlpm.MyAuditVal,_xlfn.XLOOKUP($A68,My_Audit!$A:$A,My_Audit!F:F,""),
_xlfn.IFS(_xlpm.MyAuditVal&lt;&gt;"",_xlpm.MyAuditVal,_xlpm.MacVal&lt;&gt;"",_xlpm.MacVal,_xlpm.CSVVal&lt;&gt;"",_xlpm.CSVVal
)),"")</f>
        <v/>
      </c>
      <c r="H68" s="45" t="str">
        <f>_xlfn.XLOOKUP(A68,Output_Mac!A:A,Output_Mac!I:I,"")</f>
        <v/>
      </c>
      <c r="I68" s="45" t="str" cm="1">
        <f t="array" ref="I68">IFERROR(_xlfn.LET(
_xlpm.CSVVal,_xlfn.XLOOKUP($A68,CSV!$A:$A,CSV!H:H,""),
_xlpm.MacVal,_xlfn.XLOOKUP($A68,Output_Mac!$A:$A,Output_Mac!J:J,""),
_xlpm.MyAuditVal,_xlfn.XLOOKUP($A68,My_Audit!$A:$A,My_Audit!H:H,""),
_xlfn.IFS(_xlpm.MyAuditVal&lt;&gt;"",UPPER(_xlpm.MyAuditVal),_xlpm.MacVal&lt;&gt;"",_xlpm.MacVal,_xlpm.CSVVal&lt;&gt;"",_xlpm.CSVVal
)),"")</f>
        <v/>
      </c>
      <c r="J68" s="45" t="str" cm="1">
        <f t="array" ref="J68">IFERROR(_xlfn.LET(
_xlpm.CSVVal,_xlfn.XLOOKUP($A68,CSV!$A:$A,CSV!J:J,""),
_xlpm.MacVal,_xlfn.XLOOKUP($A68,Output_Mac!$A:$A,Output_Mac!K:K,""),
_xlpm.MyAuditVal,_xlfn.XLOOKUP($A68,My_Audit!$A:$A,My_Audit!I:I,""),
_xlfn.IFS(_xlpm.MyAuditVal&lt;&gt;"",UPPER(_xlpm.MyAuditVal),_xlpm.MacVal&lt;&gt;"",_xlpm.MacVal,_xlpm.CSVVal&lt;&gt;"",_xlpm.CSVVal
)),"")</f>
        <v/>
      </c>
      <c r="K68" s="45" t="str" cm="1">
        <f t="array" ref="K68">IFERROR(_xlfn.LET(
_xlpm.CSVVal,_xlfn.XLOOKUP($A68,CSV!$A:$A,CSV!N:N,""),
_xlpm.MacVal,_xlfn.XLOOKUP($A68,Output_Mac!$A:$A,Output_Mac!L:L,""),
_xlpm.MyAuditVal,_xlfn.XLOOKUP($A68,My_Audit!$A:$A,My_Audit!J:J,""),
_xlfn.IFS(_xlpm.MyAuditVal&lt;&gt;"",UPPER(_xlpm.MyAuditVal),_xlpm.MacVal&lt;&gt;"",_xlpm.MacVal,_xlpm.CSVVal&lt;&gt;"",_xlpm.CSVVal
)),"")</f>
        <v/>
      </c>
      <c r="L68" s="46" t="str" cm="1">
        <f t="array" ref="L68">IFERROR(_xlfn.LET(
_xlpm.CSVVal,_xlfn.XLOOKUP($A68,CSV!$A:$A,CSV!Q:Q,""),
_xlpm.MacVal,_xlfn.XLOOKUP($A68,Output_Mac!$A:$A,Output_Mac!M:M,""),
_xlpm.MyAuditVal,_xlfn.XLOOKUP($A68,My_Audit!$A:$A,My_Audit!K:K,""),
_xlfn.IFS(_xlpm.MyAuditVal&lt;&gt;"",UPPER(_xlpm.MyAuditVal),_xlpm.MacVal&lt;&gt;"",_xlpm.MacVal,_xlpm.CSVVal&lt;&gt;"",_xlpm.CSVVal
)),"")</f>
        <v/>
      </c>
      <c r="M68" s="45" t="str">
        <f>_xlfn.LET(
    _xlpm.CSVVal, _xlfn.XLOOKUP($A68, CSV!$A:$A, CSV!AE:AE, ""),
    _xlpm.MacVal, _xlfn.XLOOKUP($A68, Output_Mac!$A:$A, Output_Mac!S:S, ""),
    _xlpm.MyAuditVal, _xlfn.XLOOKUP($A68, My_Audit!$A:$A, My_Audit!N:N, ""),
    _xlfn.TEXTJOIN(", ", TRUE, _xlpm.MyAuditVal, _xlpm.MacVal, _xlpm.CSVVal)
)</f>
        <v/>
      </c>
      <c r="N68" s="45" t="str" cm="1">
        <f t="array" ref="N68">IFERROR(_xlfn.LET(
_xlpm.CSVVal,_xlfn.XLOOKUP($A68,CSV!$A:$A,CSV!AG:AG,""),
_xlpm.MacVal,_xlfn.XLOOKUP($A68,Output_Mac!$A:$A,Output_Mac!U:U,""),
_xlpm.MyAuditVal,_xlfn.XLOOKUP($A68,My_Audit!$A:$A,My_Audit!O:O,""),
_xlfn.IFS(_xlpm.MyAuditVal&lt;&gt;"",UPPER(_xlpm.MyAuditVal),_xlpm.MacVal&lt;&gt;"",_xlpm.MacVal,_xlpm.CSVVal&lt;&gt;"",_xlpm.CSVVal
)),"")</f>
        <v/>
      </c>
      <c r="O68" s="46" t="str">
        <f>_xlfn.XLOOKUP(C68,My_Audit!B:B,My_Audit!P:P,"")&amp;""</f>
        <v/>
      </c>
      <c r="P68" s="45"/>
      <c r="Q68" s="46" t="str">
        <f>IF(LEFT(N68,4)="Pass","Nist SP 800-88",My_Audit!R68)&amp;""</f>
        <v/>
      </c>
      <c r="R68" s="45"/>
      <c r="S68" s="45"/>
      <c r="T68" s="46" t="str">
        <f>_xlfn.XLOOKUP(E68,Models!I:I,Models!J:J,"")</f>
        <v/>
      </c>
      <c r="U68" s="45"/>
      <c r="V68" s="45"/>
      <c r="W68" s="38" t="str">
        <f>_xlfn.LET(
    _xlpm.MacVal, _xlfn.XLOOKUP($A68, Output_Mac!$A:$A, Output_Mac!AB:AB, ""),
    _xlpm.MyAuditVal, _xlfn.XLOOKUP($A68, My_Audit!$A:$A, My_Audit!L:L, ""),
    _xlfn.TEXTJOIN(", ", TRUE, _xlpm.MyAuditVal, _xlpm.MacVal)
)</f>
        <v/>
      </c>
    </row>
    <row r="69" spans="1:23">
      <c r="A69" s="45" t="str">
        <f>_xlfn.TEXTJOIN("",TRUE,Input!$B$2,ROW(My_Audit!A68))</f>
        <v>XX68</v>
      </c>
      <c r="B69" s="45" t="str">
        <f>_xlfn.TEXTJOIN("-",TRUE,"ITD",Input!$A$2,A69)</f>
        <v>ITD-SHRXXX-XX68</v>
      </c>
      <c r="C69" s="45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46" t="str" cm="1">
        <f t="array" ref="D69">IFERROR(_xlfn.LET(
_xlpm.CSVVal,_xlfn.XLOOKUP($A69,CSV!$A:$A,CSV!C:C,""),
_xlpm.MacVal,_xlfn.XLOOKUP($A69,Output_Mac!$A:$A,Output_Mac!D:D,""),
_xlpm.MyAuditVal,_xlfn.XLOOKUP($A69,My_Audit!$A:$A,My_Audit!C:C,""),
_xlfn.IFS(_xlpm.MyAuditVal&lt;&gt;"",UPPER(_xlpm.MyAuditVal),_xlpm.MacVal&lt;&gt;"",_xlpm.MacVal,_xlpm.CSVVal&lt;&gt;"",_xlpm.CSVVal
)),"")</f>
        <v/>
      </c>
      <c r="E69" s="46" t="str" cm="1">
        <f t="array" ref="E69">IFERROR(_xlfn.LET(
_xlpm.CSVVal,_xlfn.XLOOKUP($A69,CSV!$A:$A,CSV!E:E,""),
_xlpm.MacVal,_xlfn.XLOOKUP($A69,Output_Mac!$A:$A,Output_Mac!C:C,""),
_xlpm.MyAuditVal,_xlfn.XLOOKUP($A69,My_Audit!$A:$A,My_Audit!D:D,""),
_xlfn.IFS(_xlpm.MyAuditVal&lt;&gt;"",_xlpm.MyAuditVal,_xlpm.MacVal&lt;&gt;"",_xlpm.MacVal,_xlpm.CSVVal&lt;&gt;"",_xlpm.CSVVal
)),"")</f>
        <v/>
      </c>
      <c r="F69" s="45" t="str" cm="1">
        <f t="array" ref="F69">IFERROR(_xlfn.LET(
_xlpm.CSVVal,_xlfn.XLOOKUP($A69,CSV!$A:$A,CSV!F:F,""),
_xlpm.MacVal,_xlfn.XLOOKUP($A69,Output_Mac!$A:$A,Output_Mac!F:F,""),
_xlpm.MyAuditVal,_xlfn.XLOOKUP($A69,My_Audit!$A:$A,My_Audit!E:E,""),
_xlfn.IFS(_xlpm.MyAuditVal&lt;&gt;"",_xlpm.MyAuditVal,_xlpm.MacVal&lt;&gt;"",_xlpm.MacVal,_xlpm.CSVVal&lt;&gt;"",PROPER(_xlpm.CSVVal)
)),"")</f>
        <v/>
      </c>
      <c r="G69" s="45" t="str" cm="1">
        <f t="array" ref="G69">IFERROR(_xlfn.LET(
_xlpm.CSVVal,_xlfn.XLOOKUP($A69,CSV!$A:$A,CSV!G:G,""),
_xlpm.MacVal,_xlfn.XLOOKUP($A69,Output_Mac!$A:$A,Output_Mac!H:H,""),
_xlpm.MyAuditVal,_xlfn.XLOOKUP($A69,My_Audit!$A:$A,My_Audit!F:F,""),
_xlfn.IFS(_xlpm.MyAuditVal&lt;&gt;"",_xlpm.MyAuditVal,_xlpm.MacVal&lt;&gt;"",_xlpm.MacVal,_xlpm.CSVVal&lt;&gt;"",_xlpm.CSVVal
)),"")</f>
        <v/>
      </c>
      <c r="H69" s="45" t="str">
        <f>_xlfn.XLOOKUP(A69,Output_Mac!A:A,Output_Mac!I:I,"")</f>
        <v/>
      </c>
      <c r="I69" s="45" t="str" cm="1">
        <f t="array" ref="I69">IFERROR(_xlfn.LET(
_xlpm.CSVVal,_xlfn.XLOOKUP($A69,CSV!$A:$A,CSV!H:H,""),
_xlpm.MacVal,_xlfn.XLOOKUP($A69,Output_Mac!$A:$A,Output_Mac!J:J,""),
_xlpm.MyAuditVal,_xlfn.XLOOKUP($A69,My_Audit!$A:$A,My_Audit!H:H,""),
_xlfn.IFS(_xlpm.MyAuditVal&lt;&gt;"",UPPER(_xlpm.MyAuditVal),_xlpm.MacVal&lt;&gt;"",_xlpm.MacVal,_xlpm.CSVVal&lt;&gt;"",_xlpm.CSVVal
)),"")</f>
        <v/>
      </c>
      <c r="J69" s="45" t="str" cm="1">
        <f t="array" ref="J69">IFERROR(_xlfn.LET(
_xlpm.CSVVal,_xlfn.XLOOKUP($A69,CSV!$A:$A,CSV!J:J,""),
_xlpm.MacVal,_xlfn.XLOOKUP($A69,Output_Mac!$A:$A,Output_Mac!K:K,""),
_xlpm.MyAuditVal,_xlfn.XLOOKUP($A69,My_Audit!$A:$A,My_Audit!I:I,""),
_xlfn.IFS(_xlpm.MyAuditVal&lt;&gt;"",UPPER(_xlpm.MyAuditVal),_xlpm.MacVal&lt;&gt;"",_xlpm.MacVal,_xlpm.CSVVal&lt;&gt;"",_xlpm.CSVVal
)),"")</f>
        <v/>
      </c>
      <c r="K69" s="45" t="str" cm="1">
        <f t="array" ref="K69">IFERROR(_xlfn.LET(
_xlpm.CSVVal,_xlfn.XLOOKUP($A69,CSV!$A:$A,CSV!N:N,""),
_xlpm.MacVal,_xlfn.XLOOKUP($A69,Output_Mac!$A:$A,Output_Mac!L:L,""),
_xlpm.MyAuditVal,_xlfn.XLOOKUP($A69,My_Audit!$A:$A,My_Audit!J:J,""),
_xlfn.IFS(_xlpm.MyAuditVal&lt;&gt;"",UPPER(_xlpm.MyAuditVal),_xlpm.MacVal&lt;&gt;"",_xlpm.MacVal,_xlpm.CSVVal&lt;&gt;"",_xlpm.CSVVal
)),"")</f>
        <v/>
      </c>
      <c r="L69" s="46" t="str" cm="1">
        <f t="array" ref="L69">IFERROR(_xlfn.LET(
_xlpm.CSVVal,_xlfn.XLOOKUP($A69,CSV!$A:$A,CSV!Q:Q,""),
_xlpm.MacVal,_xlfn.XLOOKUP($A69,Output_Mac!$A:$A,Output_Mac!M:M,""),
_xlpm.MyAuditVal,_xlfn.XLOOKUP($A69,My_Audit!$A:$A,My_Audit!K:K,""),
_xlfn.IFS(_xlpm.MyAuditVal&lt;&gt;"",UPPER(_xlpm.MyAuditVal),_xlpm.MacVal&lt;&gt;"",_xlpm.MacVal,_xlpm.CSVVal&lt;&gt;"",_xlpm.CSVVal
)),"")</f>
        <v/>
      </c>
      <c r="M69" s="45" t="str">
        <f>_xlfn.LET(
    _xlpm.CSVVal, _xlfn.XLOOKUP($A69, CSV!$A:$A, CSV!AE:AE, ""),
    _xlpm.MacVal, _xlfn.XLOOKUP($A69, Output_Mac!$A:$A, Output_Mac!S:S, ""),
    _xlpm.MyAuditVal, _xlfn.XLOOKUP($A69, My_Audit!$A:$A, My_Audit!N:N, ""),
    _xlfn.TEXTJOIN(", ", TRUE, _xlpm.MyAuditVal, _xlpm.MacVal, _xlpm.CSVVal)
)</f>
        <v/>
      </c>
      <c r="N69" s="45" t="str" cm="1">
        <f t="array" ref="N69">IFERROR(_xlfn.LET(
_xlpm.CSVVal,_xlfn.XLOOKUP($A69,CSV!$A:$A,CSV!AG:AG,""),
_xlpm.MacVal,_xlfn.XLOOKUP($A69,Output_Mac!$A:$A,Output_Mac!U:U,""),
_xlpm.MyAuditVal,_xlfn.XLOOKUP($A69,My_Audit!$A:$A,My_Audit!O:O,""),
_xlfn.IFS(_xlpm.MyAuditVal&lt;&gt;"",UPPER(_xlpm.MyAuditVal),_xlpm.MacVal&lt;&gt;"",_xlpm.MacVal,_xlpm.CSVVal&lt;&gt;"",_xlpm.CSVVal
)),"")</f>
        <v/>
      </c>
      <c r="O69" s="46" t="str">
        <f>_xlfn.XLOOKUP(C69,My_Audit!B:B,My_Audit!P:P,"")&amp;""</f>
        <v/>
      </c>
      <c r="P69" s="45"/>
      <c r="Q69" s="46" t="str">
        <f>IF(LEFT(N69,4)="Pass","Nist SP 800-88",My_Audit!R69)&amp;""</f>
        <v/>
      </c>
      <c r="R69" s="45"/>
      <c r="S69" s="45"/>
      <c r="T69" s="46" t="str">
        <f>_xlfn.XLOOKUP(E69,Models!I:I,Models!J:J,"")</f>
        <v/>
      </c>
      <c r="U69" s="45"/>
      <c r="V69" s="45"/>
      <c r="W69" s="38" t="str">
        <f>_xlfn.LET(
    _xlpm.MacVal, _xlfn.XLOOKUP($A69, Output_Mac!$A:$A, Output_Mac!AB:AB, ""),
    _xlpm.MyAuditVal, _xlfn.XLOOKUP($A69, My_Audit!$A:$A, My_Audit!L:L, ""),
    _xlfn.TEXTJOIN(", ", TRUE, _xlpm.MyAuditVal, _xlpm.MacVal)
)</f>
        <v/>
      </c>
    </row>
    <row r="70" spans="1:23">
      <c r="A70" s="45" t="str">
        <f>_xlfn.TEXTJOIN("",TRUE,Input!$B$2,ROW(My_Audit!A69))</f>
        <v>XX69</v>
      </c>
      <c r="B70" s="45" t="str">
        <f>_xlfn.TEXTJOIN("-",TRUE,"ITD",Input!$A$2,A70)</f>
        <v>ITD-SHRXXX-XX69</v>
      </c>
      <c r="C70" s="45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46" t="str" cm="1">
        <f t="array" ref="D70">IFERROR(_xlfn.LET(
_xlpm.CSVVal,_xlfn.XLOOKUP($A70,CSV!$A:$A,CSV!C:C,""),
_xlpm.MacVal,_xlfn.XLOOKUP($A70,Output_Mac!$A:$A,Output_Mac!D:D,""),
_xlpm.MyAuditVal,_xlfn.XLOOKUP($A70,My_Audit!$A:$A,My_Audit!C:C,""),
_xlfn.IFS(_xlpm.MyAuditVal&lt;&gt;"",UPPER(_xlpm.MyAuditVal),_xlpm.MacVal&lt;&gt;"",_xlpm.MacVal,_xlpm.CSVVal&lt;&gt;"",_xlpm.CSVVal
)),"")</f>
        <v/>
      </c>
      <c r="E70" s="46" t="str" cm="1">
        <f t="array" ref="E70">IFERROR(_xlfn.LET(
_xlpm.CSVVal,_xlfn.XLOOKUP($A70,CSV!$A:$A,CSV!E:E,""),
_xlpm.MacVal,_xlfn.XLOOKUP($A70,Output_Mac!$A:$A,Output_Mac!C:C,""),
_xlpm.MyAuditVal,_xlfn.XLOOKUP($A70,My_Audit!$A:$A,My_Audit!D:D,""),
_xlfn.IFS(_xlpm.MyAuditVal&lt;&gt;"",_xlpm.MyAuditVal,_xlpm.MacVal&lt;&gt;"",_xlpm.MacVal,_xlpm.CSVVal&lt;&gt;"",_xlpm.CSVVal
)),"")</f>
        <v/>
      </c>
      <c r="F70" s="45" t="str" cm="1">
        <f t="array" ref="F70">IFERROR(_xlfn.LET(
_xlpm.CSVVal,_xlfn.XLOOKUP($A70,CSV!$A:$A,CSV!F:F,""),
_xlpm.MacVal,_xlfn.XLOOKUP($A70,Output_Mac!$A:$A,Output_Mac!F:F,""),
_xlpm.MyAuditVal,_xlfn.XLOOKUP($A70,My_Audit!$A:$A,My_Audit!E:E,""),
_xlfn.IFS(_xlpm.MyAuditVal&lt;&gt;"",_xlpm.MyAuditVal,_xlpm.MacVal&lt;&gt;"",_xlpm.MacVal,_xlpm.CSVVal&lt;&gt;"",PROPER(_xlpm.CSVVal)
)),"")</f>
        <v/>
      </c>
      <c r="G70" s="45" t="str" cm="1">
        <f t="array" ref="G70">IFERROR(_xlfn.LET(
_xlpm.CSVVal,_xlfn.XLOOKUP($A70,CSV!$A:$A,CSV!G:G,""),
_xlpm.MacVal,_xlfn.XLOOKUP($A70,Output_Mac!$A:$A,Output_Mac!H:H,""),
_xlpm.MyAuditVal,_xlfn.XLOOKUP($A70,My_Audit!$A:$A,My_Audit!F:F,""),
_xlfn.IFS(_xlpm.MyAuditVal&lt;&gt;"",_xlpm.MyAuditVal,_xlpm.MacVal&lt;&gt;"",_xlpm.MacVal,_xlpm.CSVVal&lt;&gt;"",_xlpm.CSVVal
)),"")</f>
        <v/>
      </c>
      <c r="H70" s="45" t="str">
        <f>_xlfn.XLOOKUP(A70,Output_Mac!A:A,Output_Mac!I:I,"")</f>
        <v/>
      </c>
      <c r="I70" s="45" t="str" cm="1">
        <f t="array" ref="I70">IFERROR(_xlfn.LET(
_xlpm.CSVVal,_xlfn.XLOOKUP($A70,CSV!$A:$A,CSV!H:H,""),
_xlpm.MacVal,_xlfn.XLOOKUP($A70,Output_Mac!$A:$A,Output_Mac!J:J,""),
_xlpm.MyAuditVal,_xlfn.XLOOKUP($A70,My_Audit!$A:$A,My_Audit!H:H,""),
_xlfn.IFS(_xlpm.MyAuditVal&lt;&gt;"",UPPER(_xlpm.MyAuditVal),_xlpm.MacVal&lt;&gt;"",_xlpm.MacVal,_xlpm.CSVVal&lt;&gt;"",_xlpm.CSVVal
)),"")</f>
        <v/>
      </c>
      <c r="J70" s="45" t="str" cm="1">
        <f t="array" ref="J70">IFERROR(_xlfn.LET(
_xlpm.CSVVal,_xlfn.XLOOKUP($A70,CSV!$A:$A,CSV!J:J,""),
_xlpm.MacVal,_xlfn.XLOOKUP($A70,Output_Mac!$A:$A,Output_Mac!K:K,""),
_xlpm.MyAuditVal,_xlfn.XLOOKUP($A70,My_Audit!$A:$A,My_Audit!I:I,""),
_xlfn.IFS(_xlpm.MyAuditVal&lt;&gt;"",UPPER(_xlpm.MyAuditVal),_xlpm.MacVal&lt;&gt;"",_xlpm.MacVal,_xlpm.CSVVal&lt;&gt;"",_xlpm.CSVVal
)),"")</f>
        <v/>
      </c>
      <c r="K70" s="45" t="str" cm="1">
        <f t="array" ref="K70">IFERROR(_xlfn.LET(
_xlpm.CSVVal,_xlfn.XLOOKUP($A70,CSV!$A:$A,CSV!N:N,""),
_xlpm.MacVal,_xlfn.XLOOKUP($A70,Output_Mac!$A:$A,Output_Mac!L:L,""),
_xlpm.MyAuditVal,_xlfn.XLOOKUP($A70,My_Audit!$A:$A,My_Audit!J:J,""),
_xlfn.IFS(_xlpm.MyAuditVal&lt;&gt;"",UPPER(_xlpm.MyAuditVal),_xlpm.MacVal&lt;&gt;"",_xlpm.MacVal,_xlpm.CSVVal&lt;&gt;"",_xlpm.CSVVal
)),"")</f>
        <v/>
      </c>
      <c r="L70" s="46" t="str" cm="1">
        <f t="array" ref="L70">IFERROR(_xlfn.LET(
_xlpm.CSVVal,_xlfn.XLOOKUP($A70,CSV!$A:$A,CSV!Q:Q,""),
_xlpm.MacVal,_xlfn.XLOOKUP($A70,Output_Mac!$A:$A,Output_Mac!M:M,""),
_xlpm.MyAuditVal,_xlfn.XLOOKUP($A70,My_Audit!$A:$A,My_Audit!K:K,""),
_xlfn.IFS(_xlpm.MyAuditVal&lt;&gt;"",UPPER(_xlpm.MyAuditVal),_xlpm.MacVal&lt;&gt;"",_xlpm.MacVal,_xlpm.CSVVal&lt;&gt;"",_xlpm.CSVVal
)),"")</f>
        <v/>
      </c>
      <c r="M70" s="45" t="str">
        <f>_xlfn.LET(
    _xlpm.CSVVal, _xlfn.XLOOKUP($A70, CSV!$A:$A, CSV!AE:AE, ""),
    _xlpm.MacVal, _xlfn.XLOOKUP($A70, Output_Mac!$A:$A, Output_Mac!S:S, ""),
    _xlpm.MyAuditVal, _xlfn.XLOOKUP($A70, My_Audit!$A:$A, My_Audit!N:N, ""),
    _xlfn.TEXTJOIN(", ", TRUE, _xlpm.MyAuditVal, _xlpm.MacVal, _xlpm.CSVVal)
)</f>
        <v/>
      </c>
      <c r="N70" s="45" t="str" cm="1">
        <f t="array" ref="N70">IFERROR(_xlfn.LET(
_xlpm.CSVVal,_xlfn.XLOOKUP($A70,CSV!$A:$A,CSV!AG:AG,""),
_xlpm.MacVal,_xlfn.XLOOKUP($A70,Output_Mac!$A:$A,Output_Mac!U:U,""),
_xlpm.MyAuditVal,_xlfn.XLOOKUP($A70,My_Audit!$A:$A,My_Audit!O:O,""),
_xlfn.IFS(_xlpm.MyAuditVal&lt;&gt;"",UPPER(_xlpm.MyAuditVal),_xlpm.MacVal&lt;&gt;"",_xlpm.MacVal,_xlpm.CSVVal&lt;&gt;"",_xlpm.CSVVal
)),"")</f>
        <v/>
      </c>
      <c r="O70" s="46" t="str">
        <f>_xlfn.XLOOKUP(C70,My_Audit!B:B,My_Audit!P:P,"")&amp;""</f>
        <v/>
      </c>
      <c r="P70" s="45"/>
      <c r="Q70" s="46" t="str">
        <f>IF(LEFT(N70,4)="Pass","Nist SP 800-88",My_Audit!R70)&amp;""</f>
        <v/>
      </c>
      <c r="R70" s="45"/>
      <c r="S70" s="45"/>
      <c r="T70" s="46" t="str">
        <f>_xlfn.XLOOKUP(E70,Models!I:I,Models!J:J,"")</f>
        <v/>
      </c>
      <c r="U70" s="45"/>
      <c r="V70" s="45"/>
      <c r="W70" s="38" t="str">
        <f>_xlfn.LET(
    _xlpm.MacVal, _xlfn.XLOOKUP($A70, Output_Mac!$A:$A, Output_Mac!AB:AB, ""),
    _xlpm.MyAuditVal, _xlfn.XLOOKUP($A70, My_Audit!$A:$A, My_Audit!L:L, ""),
    _xlfn.TEXTJOIN(", ", TRUE, _xlpm.MyAuditVal, _xlpm.MacVal)
)</f>
        <v/>
      </c>
    </row>
    <row r="71" spans="1:23">
      <c r="A71" s="45" t="str">
        <f>_xlfn.TEXTJOIN("",TRUE,Input!$B$2,ROW(My_Audit!A70))</f>
        <v>XX70</v>
      </c>
      <c r="B71" s="45" t="str">
        <f>_xlfn.TEXTJOIN("-",TRUE,"ITD",Input!$A$2,A71)</f>
        <v>ITD-SHRXXX-XX70</v>
      </c>
      <c r="C71" s="45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46" t="str" cm="1">
        <f t="array" ref="D71">IFERROR(_xlfn.LET(
_xlpm.CSVVal,_xlfn.XLOOKUP($A71,CSV!$A:$A,CSV!C:C,""),
_xlpm.MacVal,_xlfn.XLOOKUP($A71,Output_Mac!$A:$A,Output_Mac!D:D,""),
_xlpm.MyAuditVal,_xlfn.XLOOKUP($A71,My_Audit!$A:$A,My_Audit!C:C,""),
_xlfn.IFS(_xlpm.MyAuditVal&lt;&gt;"",UPPER(_xlpm.MyAuditVal),_xlpm.MacVal&lt;&gt;"",_xlpm.MacVal,_xlpm.CSVVal&lt;&gt;"",_xlpm.CSVVal
)),"")</f>
        <v/>
      </c>
      <c r="E71" s="46" t="str" cm="1">
        <f t="array" ref="E71">IFERROR(_xlfn.LET(
_xlpm.CSVVal,_xlfn.XLOOKUP($A71,CSV!$A:$A,CSV!E:E,""),
_xlpm.MacVal,_xlfn.XLOOKUP($A71,Output_Mac!$A:$A,Output_Mac!C:C,""),
_xlpm.MyAuditVal,_xlfn.XLOOKUP($A71,My_Audit!$A:$A,My_Audit!D:D,""),
_xlfn.IFS(_xlpm.MyAuditVal&lt;&gt;"",_xlpm.MyAuditVal,_xlpm.MacVal&lt;&gt;"",_xlpm.MacVal,_xlpm.CSVVal&lt;&gt;"",_xlpm.CSVVal
)),"")</f>
        <v/>
      </c>
      <c r="F71" s="45" t="str" cm="1">
        <f t="array" ref="F71">IFERROR(_xlfn.LET(
_xlpm.CSVVal,_xlfn.XLOOKUP($A71,CSV!$A:$A,CSV!F:F,""),
_xlpm.MacVal,_xlfn.XLOOKUP($A71,Output_Mac!$A:$A,Output_Mac!F:F,""),
_xlpm.MyAuditVal,_xlfn.XLOOKUP($A71,My_Audit!$A:$A,My_Audit!E:E,""),
_xlfn.IFS(_xlpm.MyAuditVal&lt;&gt;"",_xlpm.MyAuditVal,_xlpm.MacVal&lt;&gt;"",_xlpm.MacVal,_xlpm.CSVVal&lt;&gt;"",PROPER(_xlpm.CSVVal)
)),"")</f>
        <v/>
      </c>
      <c r="G71" s="45" t="str" cm="1">
        <f t="array" ref="G71">IFERROR(_xlfn.LET(
_xlpm.CSVVal,_xlfn.XLOOKUP($A71,CSV!$A:$A,CSV!G:G,""),
_xlpm.MacVal,_xlfn.XLOOKUP($A71,Output_Mac!$A:$A,Output_Mac!H:H,""),
_xlpm.MyAuditVal,_xlfn.XLOOKUP($A71,My_Audit!$A:$A,My_Audit!F:F,""),
_xlfn.IFS(_xlpm.MyAuditVal&lt;&gt;"",_xlpm.MyAuditVal,_xlpm.MacVal&lt;&gt;"",_xlpm.MacVal,_xlpm.CSVVal&lt;&gt;"",_xlpm.CSVVal
)),"")</f>
        <v/>
      </c>
      <c r="H71" s="45" t="str">
        <f>_xlfn.XLOOKUP(A71,Output_Mac!A:A,Output_Mac!I:I,"")</f>
        <v/>
      </c>
      <c r="I71" s="45" t="str" cm="1">
        <f t="array" ref="I71">IFERROR(_xlfn.LET(
_xlpm.CSVVal,_xlfn.XLOOKUP($A71,CSV!$A:$A,CSV!H:H,""),
_xlpm.MacVal,_xlfn.XLOOKUP($A71,Output_Mac!$A:$A,Output_Mac!J:J,""),
_xlpm.MyAuditVal,_xlfn.XLOOKUP($A71,My_Audit!$A:$A,My_Audit!H:H,""),
_xlfn.IFS(_xlpm.MyAuditVal&lt;&gt;"",UPPER(_xlpm.MyAuditVal),_xlpm.MacVal&lt;&gt;"",_xlpm.MacVal,_xlpm.CSVVal&lt;&gt;"",_xlpm.CSVVal
)),"")</f>
        <v/>
      </c>
      <c r="J71" s="45" t="str" cm="1">
        <f t="array" ref="J71">IFERROR(_xlfn.LET(
_xlpm.CSVVal,_xlfn.XLOOKUP($A71,CSV!$A:$A,CSV!J:J,""),
_xlpm.MacVal,_xlfn.XLOOKUP($A71,Output_Mac!$A:$A,Output_Mac!K:K,""),
_xlpm.MyAuditVal,_xlfn.XLOOKUP($A71,My_Audit!$A:$A,My_Audit!I:I,""),
_xlfn.IFS(_xlpm.MyAuditVal&lt;&gt;"",UPPER(_xlpm.MyAuditVal),_xlpm.MacVal&lt;&gt;"",_xlpm.MacVal,_xlpm.CSVVal&lt;&gt;"",_xlpm.CSVVal
)),"")</f>
        <v/>
      </c>
      <c r="K71" s="45" t="str" cm="1">
        <f t="array" ref="K71">IFERROR(_xlfn.LET(
_xlpm.CSVVal,_xlfn.XLOOKUP($A71,CSV!$A:$A,CSV!N:N,""),
_xlpm.MacVal,_xlfn.XLOOKUP($A71,Output_Mac!$A:$A,Output_Mac!L:L,""),
_xlpm.MyAuditVal,_xlfn.XLOOKUP($A71,My_Audit!$A:$A,My_Audit!J:J,""),
_xlfn.IFS(_xlpm.MyAuditVal&lt;&gt;"",UPPER(_xlpm.MyAuditVal),_xlpm.MacVal&lt;&gt;"",_xlpm.MacVal,_xlpm.CSVVal&lt;&gt;"",_xlpm.CSVVal
)),"")</f>
        <v/>
      </c>
      <c r="L71" s="46" t="str" cm="1">
        <f t="array" ref="L71">IFERROR(_xlfn.LET(
_xlpm.CSVVal,_xlfn.XLOOKUP($A71,CSV!$A:$A,CSV!Q:Q,""),
_xlpm.MacVal,_xlfn.XLOOKUP($A71,Output_Mac!$A:$A,Output_Mac!M:M,""),
_xlpm.MyAuditVal,_xlfn.XLOOKUP($A71,My_Audit!$A:$A,My_Audit!K:K,""),
_xlfn.IFS(_xlpm.MyAuditVal&lt;&gt;"",UPPER(_xlpm.MyAuditVal),_xlpm.MacVal&lt;&gt;"",_xlpm.MacVal,_xlpm.CSVVal&lt;&gt;"",_xlpm.CSVVal
)),"")</f>
        <v/>
      </c>
      <c r="M71" s="45" t="str">
        <f>_xlfn.LET(
    _xlpm.CSVVal, _xlfn.XLOOKUP($A71, CSV!$A:$A, CSV!AE:AE, ""),
    _xlpm.MacVal, _xlfn.XLOOKUP($A71, Output_Mac!$A:$A, Output_Mac!S:S, ""),
    _xlpm.MyAuditVal, _xlfn.XLOOKUP($A71, My_Audit!$A:$A, My_Audit!N:N, ""),
    _xlfn.TEXTJOIN(", ", TRUE, _xlpm.MyAuditVal, _xlpm.MacVal, _xlpm.CSVVal)
)</f>
        <v/>
      </c>
      <c r="N71" s="45" t="str" cm="1">
        <f t="array" ref="N71">IFERROR(_xlfn.LET(
_xlpm.CSVVal,_xlfn.XLOOKUP($A71,CSV!$A:$A,CSV!AG:AG,""),
_xlpm.MacVal,_xlfn.XLOOKUP($A71,Output_Mac!$A:$A,Output_Mac!U:U,""),
_xlpm.MyAuditVal,_xlfn.XLOOKUP($A71,My_Audit!$A:$A,My_Audit!O:O,""),
_xlfn.IFS(_xlpm.MyAuditVal&lt;&gt;"",UPPER(_xlpm.MyAuditVal),_xlpm.MacVal&lt;&gt;"",_xlpm.MacVal,_xlpm.CSVVal&lt;&gt;"",_xlpm.CSVVal
)),"")</f>
        <v/>
      </c>
      <c r="O71" s="46" t="str">
        <f>_xlfn.XLOOKUP(C71,My_Audit!B:B,My_Audit!P:P,"")&amp;""</f>
        <v/>
      </c>
      <c r="P71" s="45"/>
      <c r="Q71" s="46" t="str">
        <f>IF(LEFT(N71,4)="Pass","Nist SP 800-88",My_Audit!R71)&amp;""</f>
        <v/>
      </c>
      <c r="R71" s="45"/>
      <c r="S71" s="45"/>
      <c r="T71" s="46" t="str">
        <f>_xlfn.XLOOKUP(E71,Models!I:I,Models!J:J,"")</f>
        <v/>
      </c>
      <c r="U71" s="45"/>
      <c r="V71" s="45"/>
      <c r="W71" s="38" t="str">
        <f>_xlfn.LET(
    _xlpm.MacVal, _xlfn.XLOOKUP($A71, Output_Mac!$A:$A, Output_Mac!AB:AB, ""),
    _xlpm.MyAuditVal, _xlfn.XLOOKUP($A71, My_Audit!$A:$A, My_Audit!L:L, ""),
    _xlfn.TEXTJOIN(", ", TRUE, _xlpm.MyAuditVal, _xlpm.MacVal)
)</f>
        <v/>
      </c>
    </row>
    <row r="72" spans="1:23">
      <c r="A72" s="45" t="str">
        <f>_xlfn.TEXTJOIN("",TRUE,Input!$B$2,ROW(My_Audit!A71))</f>
        <v>XX71</v>
      </c>
      <c r="B72" s="45" t="str">
        <f>_xlfn.TEXTJOIN("-",TRUE,"ITD",Input!$A$2,A72)</f>
        <v>ITD-SHRXXX-XX71</v>
      </c>
      <c r="C72" s="45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46" t="str" cm="1">
        <f t="array" ref="D72">IFERROR(_xlfn.LET(
_xlpm.CSVVal,_xlfn.XLOOKUP($A72,CSV!$A:$A,CSV!C:C,""),
_xlpm.MacVal,_xlfn.XLOOKUP($A72,Output_Mac!$A:$A,Output_Mac!D:D,""),
_xlpm.MyAuditVal,_xlfn.XLOOKUP($A72,My_Audit!$A:$A,My_Audit!C:C,""),
_xlfn.IFS(_xlpm.MyAuditVal&lt;&gt;"",UPPER(_xlpm.MyAuditVal),_xlpm.MacVal&lt;&gt;"",_xlpm.MacVal,_xlpm.CSVVal&lt;&gt;"",_xlpm.CSVVal
)),"")</f>
        <v/>
      </c>
      <c r="E72" s="46" t="str" cm="1">
        <f t="array" ref="E72">IFERROR(_xlfn.LET(
_xlpm.CSVVal,_xlfn.XLOOKUP($A72,CSV!$A:$A,CSV!E:E,""),
_xlpm.MacVal,_xlfn.XLOOKUP($A72,Output_Mac!$A:$A,Output_Mac!C:C,""),
_xlpm.MyAuditVal,_xlfn.XLOOKUP($A72,My_Audit!$A:$A,My_Audit!D:D,""),
_xlfn.IFS(_xlpm.MyAuditVal&lt;&gt;"",_xlpm.MyAuditVal,_xlpm.MacVal&lt;&gt;"",_xlpm.MacVal,_xlpm.CSVVal&lt;&gt;"",_xlpm.CSVVal
)),"")</f>
        <v/>
      </c>
      <c r="F72" s="45" t="str" cm="1">
        <f t="array" ref="F72">IFERROR(_xlfn.LET(
_xlpm.CSVVal,_xlfn.XLOOKUP($A72,CSV!$A:$A,CSV!F:F,""),
_xlpm.MacVal,_xlfn.XLOOKUP($A72,Output_Mac!$A:$A,Output_Mac!F:F,""),
_xlpm.MyAuditVal,_xlfn.XLOOKUP($A72,My_Audit!$A:$A,My_Audit!E:E,""),
_xlfn.IFS(_xlpm.MyAuditVal&lt;&gt;"",_xlpm.MyAuditVal,_xlpm.MacVal&lt;&gt;"",_xlpm.MacVal,_xlpm.CSVVal&lt;&gt;"",PROPER(_xlpm.CSVVal)
)),"")</f>
        <v/>
      </c>
      <c r="G72" s="45" t="str" cm="1">
        <f t="array" ref="G72">IFERROR(_xlfn.LET(
_xlpm.CSVVal,_xlfn.XLOOKUP($A72,CSV!$A:$A,CSV!G:G,""),
_xlpm.MacVal,_xlfn.XLOOKUP($A72,Output_Mac!$A:$A,Output_Mac!H:H,""),
_xlpm.MyAuditVal,_xlfn.XLOOKUP($A72,My_Audit!$A:$A,My_Audit!F:F,""),
_xlfn.IFS(_xlpm.MyAuditVal&lt;&gt;"",_xlpm.MyAuditVal,_xlpm.MacVal&lt;&gt;"",_xlpm.MacVal,_xlpm.CSVVal&lt;&gt;"",_xlpm.CSVVal
)),"")</f>
        <v/>
      </c>
      <c r="H72" s="45" t="str">
        <f>_xlfn.XLOOKUP(A72,Output_Mac!A:A,Output_Mac!I:I,"")</f>
        <v/>
      </c>
      <c r="I72" s="45" t="str" cm="1">
        <f t="array" ref="I72">IFERROR(_xlfn.LET(
_xlpm.CSVVal,_xlfn.XLOOKUP($A72,CSV!$A:$A,CSV!H:H,""),
_xlpm.MacVal,_xlfn.XLOOKUP($A72,Output_Mac!$A:$A,Output_Mac!J:J,""),
_xlpm.MyAuditVal,_xlfn.XLOOKUP($A72,My_Audit!$A:$A,My_Audit!H:H,""),
_xlfn.IFS(_xlpm.MyAuditVal&lt;&gt;"",UPPER(_xlpm.MyAuditVal),_xlpm.MacVal&lt;&gt;"",_xlpm.MacVal,_xlpm.CSVVal&lt;&gt;"",_xlpm.CSVVal
)),"")</f>
        <v/>
      </c>
      <c r="J72" s="45" t="str" cm="1">
        <f t="array" ref="J72">IFERROR(_xlfn.LET(
_xlpm.CSVVal,_xlfn.XLOOKUP($A72,CSV!$A:$A,CSV!J:J,""),
_xlpm.MacVal,_xlfn.XLOOKUP($A72,Output_Mac!$A:$A,Output_Mac!K:K,""),
_xlpm.MyAuditVal,_xlfn.XLOOKUP($A72,My_Audit!$A:$A,My_Audit!I:I,""),
_xlfn.IFS(_xlpm.MyAuditVal&lt;&gt;"",UPPER(_xlpm.MyAuditVal),_xlpm.MacVal&lt;&gt;"",_xlpm.MacVal,_xlpm.CSVVal&lt;&gt;"",_xlpm.CSVVal
)),"")</f>
        <v/>
      </c>
      <c r="K72" s="45" t="str" cm="1">
        <f t="array" ref="K72">IFERROR(_xlfn.LET(
_xlpm.CSVVal,_xlfn.XLOOKUP($A72,CSV!$A:$A,CSV!N:N,""),
_xlpm.MacVal,_xlfn.XLOOKUP($A72,Output_Mac!$A:$A,Output_Mac!L:L,""),
_xlpm.MyAuditVal,_xlfn.XLOOKUP($A72,My_Audit!$A:$A,My_Audit!J:J,""),
_xlfn.IFS(_xlpm.MyAuditVal&lt;&gt;"",UPPER(_xlpm.MyAuditVal),_xlpm.MacVal&lt;&gt;"",_xlpm.MacVal,_xlpm.CSVVal&lt;&gt;"",_xlpm.CSVVal
)),"")</f>
        <v/>
      </c>
      <c r="L72" s="46" t="str" cm="1">
        <f t="array" ref="L72">IFERROR(_xlfn.LET(
_xlpm.CSVVal,_xlfn.XLOOKUP($A72,CSV!$A:$A,CSV!Q:Q,""),
_xlpm.MacVal,_xlfn.XLOOKUP($A72,Output_Mac!$A:$A,Output_Mac!M:M,""),
_xlpm.MyAuditVal,_xlfn.XLOOKUP($A72,My_Audit!$A:$A,My_Audit!K:K,""),
_xlfn.IFS(_xlpm.MyAuditVal&lt;&gt;"",UPPER(_xlpm.MyAuditVal),_xlpm.MacVal&lt;&gt;"",_xlpm.MacVal,_xlpm.CSVVal&lt;&gt;"",_xlpm.CSVVal
)),"")</f>
        <v/>
      </c>
      <c r="M72" s="45" t="str">
        <f>_xlfn.LET(
    _xlpm.CSVVal, _xlfn.XLOOKUP($A72, CSV!$A:$A, CSV!AE:AE, ""),
    _xlpm.MacVal, _xlfn.XLOOKUP($A72, Output_Mac!$A:$A, Output_Mac!S:S, ""),
    _xlpm.MyAuditVal, _xlfn.XLOOKUP($A72, My_Audit!$A:$A, My_Audit!N:N, ""),
    _xlfn.TEXTJOIN(", ", TRUE, _xlpm.MyAuditVal, _xlpm.MacVal, _xlpm.CSVVal)
)</f>
        <v/>
      </c>
      <c r="N72" s="45" t="str" cm="1">
        <f t="array" ref="N72">IFERROR(_xlfn.LET(
_xlpm.CSVVal,_xlfn.XLOOKUP($A72,CSV!$A:$A,CSV!AG:AG,""),
_xlpm.MacVal,_xlfn.XLOOKUP($A72,Output_Mac!$A:$A,Output_Mac!U:U,""),
_xlpm.MyAuditVal,_xlfn.XLOOKUP($A72,My_Audit!$A:$A,My_Audit!O:O,""),
_xlfn.IFS(_xlpm.MyAuditVal&lt;&gt;"",UPPER(_xlpm.MyAuditVal),_xlpm.MacVal&lt;&gt;"",_xlpm.MacVal,_xlpm.CSVVal&lt;&gt;"",_xlpm.CSVVal
)),"")</f>
        <v/>
      </c>
      <c r="O72" s="46" t="str">
        <f>_xlfn.XLOOKUP(C72,My_Audit!B:B,My_Audit!P:P,"")&amp;""</f>
        <v/>
      </c>
      <c r="P72" s="45"/>
      <c r="Q72" s="46" t="str">
        <f>IF(LEFT(N72,4)="Pass","Nist SP 800-88",My_Audit!R72)&amp;""</f>
        <v/>
      </c>
      <c r="R72" s="45"/>
      <c r="S72" s="45"/>
      <c r="T72" s="46" t="str">
        <f>_xlfn.XLOOKUP(E72,Models!I:I,Models!J:J,"")</f>
        <v/>
      </c>
      <c r="U72" s="45"/>
      <c r="V72" s="45"/>
      <c r="W72" s="38" t="str">
        <f>_xlfn.LET(
    _xlpm.MacVal, _xlfn.XLOOKUP($A72, Output_Mac!$A:$A, Output_Mac!AB:AB, ""),
    _xlpm.MyAuditVal, _xlfn.XLOOKUP($A72, My_Audit!$A:$A, My_Audit!L:L, ""),
    _xlfn.TEXTJOIN(", ", TRUE, _xlpm.MyAuditVal, _xlpm.MacVal)
)</f>
        <v/>
      </c>
    </row>
    <row r="73" spans="1:23">
      <c r="A73" s="45" t="str">
        <f>_xlfn.TEXTJOIN("",TRUE,Input!$B$2,ROW(My_Audit!A72))</f>
        <v>XX72</v>
      </c>
      <c r="B73" s="45" t="str">
        <f>_xlfn.TEXTJOIN("-",TRUE,"ITD",Input!$A$2,A73)</f>
        <v>ITD-SHRXXX-XX72</v>
      </c>
      <c r="C73" s="45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46" t="str" cm="1">
        <f t="array" ref="D73">IFERROR(_xlfn.LET(
_xlpm.CSVVal,_xlfn.XLOOKUP($A73,CSV!$A:$A,CSV!C:C,""),
_xlpm.MacVal,_xlfn.XLOOKUP($A73,Output_Mac!$A:$A,Output_Mac!D:D,""),
_xlpm.MyAuditVal,_xlfn.XLOOKUP($A73,My_Audit!$A:$A,My_Audit!C:C,""),
_xlfn.IFS(_xlpm.MyAuditVal&lt;&gt;"",UPPER(_xlpm.MyAuditVal),_xlpm.MacVal&lt;&gt;"",_xlpm.MacVal,_xlpm.CSVVal&lt;&gt;"",_xlpm.CSVVal
)),"")</f>
        <v/>
      </c>
      <c r="E73" s="46" t="str" cm="1">
        <f t="array" ref="E73">IFERROR(_xlfn.LET(
_xlpm.CSVVal,_xlfn.XLOOKUP($A73,CSV!$A:$A,CSV!E:E,""),
_xlpm.MacVal,_xlfn.XLOOKUP($A73,Output_Mac!$A:$A,Output_Mac!C:C,""),
_xlpm.MyAuditVal,_xlfn.XLOOKUP($A73,My_Audit!$A:$A,My_Audit!D:D,""),
_xlfn.IFS(_xlpm.MyAuditVal&lt;&gt;"",_xlpm.MyAuditVal,_xlpm.MacVal&lt;&gt;"",_xlpm.MacVal,_xlpm.CSVVal&lt;&gt;"",_xlpm.CSVVal
)),"")</f>
        <v/>
      </c>
      <c r="F73" s="45" t="str" cm="1">
        <f t="array" ref="F73">IFERROR(_xlfn.LET(
_xlpm.CSVVal,_xlfn.XLOOKUP($A73,CSV!$A:$A,CSV!F:F,""),
_xlpm.MacVal,_xlfn.XLOOKUP($A73,Output_Mac!$A:$A,Output_Mac!F:F,""),
_xlpm.MyAuditVal,_xlfn.XLOOKUP($A73,My_Audit!$A:$A,My_Audit!E:E,""),
_xlfn.IFS(_xlpm.MyAuditVal&lt;&gt;"",_xlpm.MyAuditVal,_xlpm.MacVal&lt;&gt;"",_xlpm.MacVal,_xlpm.CSVVal&lt;&gt;"",PROPER(_xlpm.CSVVal)
)),"")</f>
        <v/>
      </c>
      <c r="G73" s="45" t="str" cm="1">
        <f t="array" ref="G73">IFERROR(_xlfn.LET(
_xlpm.CSVVal,_xlfn.XLOOKUP($A73,CSV!$A:$A,CSV!G:G,""),
_xlpm.MacVal,_xlfn.XLOOKUP($A73,Output_Mac!$A:$A,Output_Mac!H:H,""),
_xlpm.MyAuditVal,_xlfn.XLOOKUP($A73,My_Audit!$A:$A,My_Audit!F:F,""),
_xlfn.IFS(_xlpm.MyAuditVal&lt;&gt;"",_xlpm.MyAuditVal,_xlpm.MacVal&lt;&gt;"",_xlpm.MacVal,_xlpm.CSVVal&lt;&gt;"",_xlpm.CSVVal
)),"")</f>
        <v/>
      </c>
      <c r="H73" s="45" t="str">
        <f>_xlfn.XLOOKUP(A73,Output_Mac!A:A,Output_Mac!I:I,"")</f>
        <v/>
      </c>
      <c r="I73" s="45" t="str" cm="1">
        <f t="array" ref="I73">IFERROR(_xlfn.LET(
_xlpm.CSVVal,_xlfn.XLOOKUP($A73,CSV!$A:$A,CSV!H:H,""),
_xlpm.MacVal,_xlfn.XLOOKUP($A73,Output_Mac!$A:$A,Output_Mac!J:J,""),
_xlpm.MyAuditVal,_xlfn.XLOOKUP($A73,My_Audit!$A:$A,My_Audit!H:H,""),
_xlfn.IFS(_xlpm.MyAuditVal&lt;&gt;"",UPPER(_xlpm.MyAuditVal),_xlpm.MacVal&lt;&gt;"",_xlpm.MacVal,_xlpm.CSVVal&lt;&gt;"",_xlpm.CSVVal
)),"")</f>
        <v/>
      </c>
      <c r="J73" s="45" t="str" cm="1">
        <f t="array" ref="J73">IFERROR(_xlfn.LET(
_xlpm.CSVVal,_xlfn.XLOOKUP($A73,CSV!$A:$A,CSV!J:J,""),
_xlpm.MacVal,_xlfn.XLOOKUP($A73,Output_Mac!$A:$A,Output_Mac!K:K,""),
_xlpm.MyAuditVal,_xlfn.XLOOKUP($A73,My_Audit!$A:$A,My_Audit!I:I,""),
_xlfn.IFS(_xlpm.MyAuditVal&lt;&gt;"",UPPER(_xlpm.MyAuditVal),_xlpm.MacVal&lt;&gt;"",_xlpm.MacVal,_xlpm.CSVVal&lt;&gt;"",_xlpm.CSVVal
)),"")</f>
        <v/>
      </c>
      <c r="K73" s="45" t="str" cm="1">
        <f t="array" ref="K73">IFERROR(_xlfn.LET(
_xlpm.CSVVal,_xlfn.XLOOKUP($A73,CSV!$A:$A,CSV!N:N,""),
_xlpm.MacVal,_xlfn.XLOOKUP($A73,Output_Mac!$A:$A,Output_Mac!L:L,""),
_xlpm.MyAuditVal,_xlfn.XLOOKUP($A73,My_Audit!$A:$A,My_Audit!J:J,""),
_xlfn.IFS(_xlpm.MyAuditVal&lt;&gt;"",UPPER(_xlpm.MyAuditVal),_xlpm.MacVal&lt;&gt;"",_xlpm.MacVal,_xlpm.CSVVal&lt;&gt;"",_xlpm.CSVVal
)),"")</f>
        <v/>
      </c>
      <c r="L73" s="46" t="str" cm="1">
        <f t="array" ref="L73">IFERROR(_xlfn.LET(
_xlpm.CSVVal,_xlfn.XLOOKUP($A73,CSV!$A:$A,CSV!Q:Q,""),
_xlpm.MacVal,_xlfn.XLOOKUP($A73,Output_Mac!$A:$A,Output_Mac!M:M,""),
_xlpm.MyAuditVal,_xlfn.XLOOKUP($A73,My_Audit!$A:$A,My_Audit!K:K,""),
_xlfn.IFS(_xlpm.MyAuditVal&lt;&gt;"",UPPER(_xlpm.MyAuditVal),_xlpm.MacVal&lt;&gt;"",_xlpm.MacVal,_xlpm.CSVVal&lt;&gt;"",_xlpm.CSVVal
)),"")</f>
        <v/>
      </c>
      <c r="M73" s="45" t="str">
        <f>_xlfn.LET(
    _xlpm.CSVVal, _xlfn.XLOOKUP($A73, CSV!$A:$A, CSV!AE:AE, ""),
    _xlpm.MacVal, _xlfn.XLOOKUP($A73, Output_Mac!$A:$A, Output_Mac!S:S, ""),
    _xlpm.MyAuditVal, _xlfn.XLOOKUP($A73, My_Audit!$A:$A, My_Audit!N:N, ""),
    _xlfn.TEXTJOIN(", ", TRUE, _xlpm.MyAuditVal, _xlpm.MacVal, _xlpm.CSVVal)
)</f>
        <v/>
      </c>
      <c r="N73" s="45" t="str" cm="1">
        <f t="array" ref="N73">IFERROR(_xlfn.LET(
_xlpm.CSVVal,_xlfn.XLOOKUP($A73,CSV!$A:$A,CSV!AG:AG,""),
_xlpm.MacVal,_xlfn.XLOOKUP($A73,Output_Mac!$A:$A,Output_Mac!U:U,""),
_xlpm.MyAuditVal,_xlfn.XLOOKUP($A73,My_Audit!$A:$A,My_Audit!O:O,""),
_xlfn.IFS(_xlpm.MyAuditVal&lt;&gt;"",UPPER(_xlpm.MyAuditVal),_xlpm.MacVal&lt;&gt;"",_xlpm.MacVal,_xlpm.CSVVal&lt;&gt;"",_xlpm.CSVVal
)),"")</f>
        <v/>
      </c>
      <c r="O73" s="46" t="str">
        <f>_xlfn.XLOOKUP(C73,My_Audit!B:B,My_Audit!P:P,"")&amp;""</f>
        <v/>
      </c>
      <c r="P73" s="45"/>
      <c r="Q73" s="46" t="str">
        <f>IF(LEFT(N73,4)="Pass","Nist SP 800-88",My_Audit!R73)&amp;""</f>
        <v/>
      </c>
      <c r="R73" s="45"/>
      <c r="S73" s="45"/>
      <c r="T73" s="46" t="str">
        <f>_xlfn.XLOOKUP(E73,Models!I:I,Models!J:J,"")</f>
        <v/>
      </c>
      <c r="U73" s="45"/>
      <c r="V73" s="45"/>
      <c r="W73" s="38" t="str">
        <f>_xlfn.LET(
    _xlpm.MacVal, _xlfn.XLOOKUP($A73, Output_Mac!$A:$A, Output_Mac!AB:AB, ""),
    _xlpm.MyAuditVal, _xlfn.XLOOKUP($A73, My_Audit!$A:$A, My_Audit!L:L, ""),
    _xlfn.TEXTJOIN(", ", TRUE, _xlpm.MyAuditVal, _xlpm.MacVal)
)</f>
        <v/>
      </c>
    </row>
    <row r="74" spans="1:23">
      <c r="A74" s="45" t="str">
        <f>_xlfn.TEXTJOIN("",TRUE,Input!$B$2,ROW(My_Audit!A73))</f>
        <v>XX73</v>
      </c>
      <c r="B74" s="45" t="str">
        <f>_xlfn.TEXTJOIN("-",TRUE,"ITD",Input!$A$2,A74)</f>
        <v>ITD-SHRXXX-XX73</v>
      </c>
      <c r="C74" s="45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46" t="str" cm="1">
        <f t="array" ref="D74">IFERROR(_xlfn.LET(
_xlpm.CSVVal,_xlfn.XLOOKUP($A74,CSV!$A:$A,CSV!C:C,""),
_xlpm.MacVal,_xlfn.XLOOKUP($A74,Output_Mac!$A:$A,Output_Mac!D:D,""),
_xlpm.MyAuditVal,_xlfn.XLOOKUP($A74,My_Audit!$A:$A,My_Audit!C:C,""),
_xlfn.IFS(_xlpm.MyAuditVal&lt;&gt;"",UPPER(_xlpm.MyAuditVal),_xlpm.MacVal&lt;&gt;"",_xlpm.MacVal,_xlpm.CSVVal&lt;&gt;"",_xlpm.CSVVal
)),"")</f>
        <v/>
      </c>
      <c r="E74" s="46" t="str" cm="1">
        <f t="array" ref="E74">IFERROR(_xlfn.LET(
_xlpm.CSVVal,_xlfn.XLOOKUP($A74,CSV!$A:$A,CSV!E:E,""),
_xlpm.MacVal,_xlfn.XLOOKUP($A74,Output_Mac!$A:$A,Output_Mac!C:C,""),
_xlpm.MyAuditVal,_xlfn.XLOOKUP($A74,My_Audit!$A:$A,My_Audit!D:D,""),
_xlfn.IFS(_xlpm.MyAuditVal&lt;&gt;"",_xlpm.MyAuditVal,_xlpm.MacVal&lt;&gt;"",_xlpm.MacVal,_xlpm.CSVVal&lt;&gt;"",_xlpm.CSVVal
)),"")</f>
        <v/>
      </c>
      <c r="F74" s="45" t="str" cm="1">
        <f t="array" ref="F74">IFERROR(_xlfn.LET(
_xlpm.CSVVal,_xlfn.XLOOKUP($A74,CSV!$A:$A,CSV!F:F,""),
_xlpm.MacVal,_xlfn.XLOOKUP($A74,Output_Mac!$A:$A,Output_Mac!F:F,""),
_xlpm.MyAuditVal,_xlfn.XLOOKUP($A74,My_Audit!$A:$A,My_Audit!E:E,""),
_xlfn.IFS(_xlpm.MyAuditVal&lt;&gt;"",_xlpm.MyAuditVal,_xlpm.MacVal&lt;&gt;"",_xlpm.MacVal,_xlpm.CSVVal&lt;&gt;"",PROPER(_xlpm.CSVVal)
)),"")</f>
        <v/>
      </c>
      <c r="G74" s="45" t="str" cm="1">
        <f t="array" ref="G74">IFERROR(_xlfn.LET(
_xlpm.CSVVal,_xlfn.XLOOKUP($A74,CSV!$A:$A,CSV!G:G,""),
_xlpm.MacVal,_xlfn.XLOOKUP($A74,Output_Mac!$A:$A,Output_Mac!H:H,""),
_xlpm.MyAuditVal,_xlfn.XLOOKUP($A74,My_Audit!$A:$A,My_Audit!F:F,""),
_xlfn.IFS(_xlpm.MyAuditVal&lt;&gt;"",_xlpm.MyAuditVal,_xlpm.MacVal&lt;&gt;"",_xlpm.MacVal,_xlpm.CSVVal&lt;&gt;"",_xlpm.CSVVal
)),"")</f>
        <v/>
      </c>
      <c r="H74" s="45" t="str">
        <f>_xlfn.XLOOKUP(A74,Output_Mac!A:A,Output_Mac!I:I,"")</f>
        <v/>
      </c>
      <c r="I74" s="45" t="str" cm="1">
        <f t="array" ref="I74">IFERROR(_xlfn.LET(
_xlpm.CSVVal,_xlfn.XLOOKUP($A74,CSV!$A:$A,CSV!H:H,""),
_xlpm.MacVal,_xlfn.XLOOKUP($A74,Output_Mac!$A:$A,Output_Mac!J:J,""),
_xlpm.MyAuditVal,_xlfn.XLOOKUP($A74,My_Audit!$A:$A,My_Audit!H:H,""),
_xlfn.IFS(_xlpm.MyAuditVal&lt;&gt;"",UPPER(_xlpm.MyAuditVal),_xlpm.MacVal&lt;&gt;"",_xlpm.MacVal,_xlpm.CSVVal&lt;&gt;"",_xlpm.CSVVal
)),"")</f>
        <v/>
      </c>
      <c r="J74" s="45" t="str" cm="1">
        <f t="array" ref="J74">IFERROR(_xlfn.LET(
_xlpm.CSVVal,_xlfn.XLOOKUP($A74,CSV!$A:$A,CSV!J:J,""),
_xlpm.MacVal,_xlfn.XLOOKUP($A74,Output_Mac!$A:$A,Output_Mac!K:K,""),
_xlpm.MyAuditVal,_xlfn.XLOOKUP($A74,My_Audit!$A:$A,My_Audit!I:I,""),
_xlfn.IFS(_xlpm.MyAuditVal&lt;&gt;"",UPPER(_xlpm.MyAuditVal),_xlpm.MacVal&lt;&gt;"",_xlpm.MacVal,_xlpm.CSVVal&lt;&gt;"",_xlpm.CSVVal
)),"")</f>
        <v/>
      </c>
      <c r="K74" s="45" t="str" cm="1">
        <f t="array" ref="K74">IFERROR(_xlfn.LET(
_xlpm.CSVVal,_xlfn.XLOOKUP($A74,CSV!$A:$A,CSV!N:N,""),
_xlpm.MacVal,_xlfn.XLOOKUP($A74,Output_Mac!$A:$A,Output_Mac!L:L,""),
_xlpm.MyAuditVal,_xlfn.XLOOKUP($A74,My_Audit!$A:$A,My_Audit!J:J,""),
_xlfn.IFS(_xlpm.MyAuditVal&lt;&gt;"",UPPER(_xlpm.MyAuditVal),_xlpm.MacVal&lt;&gt;"",_xlpm.MacVal,_xlpm.CSVVal&lt;&gt;"",_xlpm.CSVVal
)),"")</f>
        <v/>
      </c>
      <c r="L74" s="46" t="str" cm="1">
        <f t="array" ref="L74">IFERROR(_xlfn.LET(
_xlpm.CSVVal,_xlfn.XLOOKUP($A74,CSV!$A:$A,CSV!Q:Q,""),
_xlpm.MacVal,_xlfn.XLOOKUP($A74,Output_Mac!$A:$A,Output_Mac!M:M,""),
_xlpm.MyAuditVal,_xlfn.XLOOKUP($A74,My_Audit!$A:$A,My_Audit!K:K,""),
_xlfn.IFS(_xlpm.MyAuditVal&lt;&gt;"",UPPER(_xlpm.MyAuditVal),_xlpm.MacVal&lt;&gt;"",_xlpm.MacVal,_xlpm.CSVVal&lt;&gt;"",_xlpm.CSVVal
)),"")</f>
        <v/>
      </c>
      <c r="M74" s="45" t="str">
        <f>_xlfn.LET(
    _xlpm.CSVVal, _xlfn.XLOOKUP($A74, CSV!$A:$A, CSV!AE:AE, ""),
    _xlpm.MacVal, _xlfn.XLOOKUP($A74, Output_Mac!$A:$A, Output_Mac!S:S, ""),
    _xlpm.MyAuditVal, _xlfn.XLOOKUP($A74, My_Audit!$A:$A, My_Audit!N:N, ""),
    _xlfn.TEXTJOIN(", ", TRUE, _xlpm.MyAuditVal, _xlpm.MacVal, _xlpm.CSVVal)
)</f>
        <v/>
      </c>
      <c r="N74" s="45" t="str" cm="1">
        <f t="array" ref="N74">IFERROR(_xlfn.LET(
_xlpm.CSVVal,_xlfn.XLOOKUP($A74,CSV!$A:$A,CSV!AG:AG,""),
_xlpm.MacVal,_xlfn.XLOOKUP($A74,Output_Mac!$A:$A,Output_Mac!U:U,""),
_xlpm.MyAuditVal,_xlfn.XLOOKUP($A74,My_Audit!$A:$A,My_Audit!O:O,""),
_xlfn.IFS(_xlpm.MyAuditVal&lt;&gt;"",UPPER(_xlpm.MyAuditVal),_xlpm.MacVal&lt;&gt;"",_xlpm.MacVal,_xlpm.CSVVal&lt;&gt;"",_xlpm.CSVVal
)),"")</f>
        <v/>
      </c>
      <c r="O74" s="46" t="str">
        <f>_xlfn.XLOOKUP(C74,My_Audit!B:B,My_Audit!P:P,"")&amp;""</f>
        <v/>
      </c>
      <c r="P74" s="45"/>
      <c r="Q74" s="46" t="str">
        <f>IF(LEFT(N74,4)="Pass","Nist SP 800-88",My_Audit!R74)&amp;""</f>
        <v/>
      </c>
      <c r="R74" s="45"/>
      <c r="S74" s="45"/>
      <c r="T74" s="46" t="str">
        <f>_xlfn.XLOOKUP(E74,Models!I:I,Models!J:J,"")</f>
        <v/>
      </c>
      <c r="U74" s="45"/>
      <c r="V74" s="45"/>
      <c r="W74" s="38" t="str">
        <f>_xlfn.LET(
    _xlpm.MacVal, _xlfn.XLOOKUP($A74, Output_Mac!$A:$A, Output_Mac!AB:AB, ""),
    _xlpm.MyAuditVal, _xlfn.XLOOKUP($A74, My_Audit!$A:$A, My_Audit!L:L, ""),
    _xlfn.TEXTJOIN(", ", TRUE, _xlpm.MyAuditVal, _xlpm.MacVal)
)</f>
        <v/>
      </c>
    </row>
    <row r="75" spans="1:23">
      <c r="A75" s="45" t="str">
        <f>_xlfn.TEXTJOIN("",TRUE,Input!$B$2,ROW(My_Audit!A74))</f>
        <v>XX74</v>
      </c>
      <c r="B75" s="45" t="str">
        <f>_xlfn.TEXTJOIN("-",TRUE,"ITD",Input!$A$2,A75)</f>
        <v>ITD-SHRXXX-XX74</v>
      </c>
      <c r="C75" s="45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46" t="str" cm="1">
        <f t="array" ref="D75">IFERROR(_xlfn.LET(
_xlpm.CSVVal,_xlfn.XLOOKUP($A75,CSV!$A:$A,CSV!C:C,""),
_xlpm.MacVal,_xlfn.XLOOKUP($A75,Output_Mac!$A:$A,Output_Mac!D:D,""),
_xlpm.MyAuditVal,_xlfn.XLOOKUP($A75,My_Audit!$A:$A,My_Audit!C:C,""),
_xlfn.IFS(_xlpm.MyAuditVal&lt;&gt;"",UPPER(_xlpm.MyAuditVal),_xlpm.MacVal&lt;&gt;"",_xlpm.MacVal,_xlpm.CSVVal&lt;&gt;"",_xlpm.CSVVal
)),"")</f>
        <v/>
      </c>
      <c r="E75" s="46" t="str" cm="1">
        <f t="array" ref="E75">IFERROR(_xlfn.LET(
_xlpm.CSVVal,_xlfn.XLOOKUP($A75,CSV!$A:$A,CSV!E:E,""),
_xlpm.MacVal,_xlfn.XLOOKUP($A75,Output_Mac!$A:$A,Output_Mac!C:C,""),
_xlpm.MyAuditVal,_xlfn.XLOOKUP($A75,My_Audit!$A:$A,My_Audit!D:D,""),
_xlfn.IFS(_xlpm.MyAuditVal&lt;&gt;"",_xlpm.MyAuditVal,_xlpm.MacVal&lt;&gt;"",_xlpm.MacVal,_xlpm.CSVVal&lt;&gt;"",_xlpm.CSVVal
)),"")</f>
        <v/>
      </c>
      <c r="F75" s="45" t="str" cm="1">
        <f t="array" ref="F75">IFERROR(_xlfn.LET(
_xlpm.CSVVal,_xlfn.XLOOKUP($A75,CSV!$A:$A,CSV!F:F,""),
_xlpm.MacVal,_xlfn.XLOOKUP($A75,Output_Mac!$A:$A,Output_Mac!F:F,""),
_xlpm.MyAuditVal,_xlfn.XLOOKUP($A75,My_Audit!$A:$A,My_Audit!E:E,""),
_xlfn.IFS(_xlpm.MyAuditVal&lt;&gt;"",_xlpm.MyAuditVal,_xlpm.MacVal&lt;&gt;"",_xlpm.MacVal,_xlpm.CSVVal&lt;&gt;"",PROPER(_xlpm.CSVVal)
)),"")</f>
        <v/>
      </c>
      <c r="G75" s="45" t="str" cm="1">
        <f t="array" ref="G75">IFERROR(_xlfn.LET(
_xlpm.CSVVal,_xlfn.XLOOKUP($A75,CSV!$A:$A,CSV!G:G,""),
_xlpm.MacVal,_xlfn.XLOOKUP($A75,Output_Mac!$A:$A,Output_Mac!H:H,""),
_xlpm.MyAuditVal,_xlfn.XLOOKUP($A75,My_Audit!$A:$A,My_Audit!F:F,""),
_xlfn.IFS(_xlpm.MyAuditVal&lt;&gt;"",_xlpm.MyAuditVal,_xlpm.MacVal&lt;&gt;"",_xlpm.MacVal,_xlpm.CSVVal&lt;&gt;"",_xlpm.CSVVal
)),"")</f>
        <v/>
      </c>
      <c r="H75" s="45" t="str">
        <f>_xlfn.XLOOKUP(A75,Output_Mac!A:A,Output_Mac!I:I,"")</f>
        <v/>
      </c>
      <c r="I75" s="45" t="str" cm="1">
        <f t="array" ref="I75">IFERROR(_xlfn.LET(
_xlpm.CSVVal,_xlfn.XLOOKUP($A75,CSV!$A:$A,CSV!H:H,""),
_xlpm.MacVal,_xlfn.XLOOKUP($A75,Output_Mac!$A:$A,Output_Mac!J:J,""),
_xlpm.MyAuditVal,_xlfn.XLOOKUP($A75,My_Audit!$A:$A,My_Audit!H:H,""),
_xlfn.IFS(_xlpm.MyAuditVal&lt;&gt;"",UPPER(_xlpm.MyAuditVal),_xlpm.MacVal&lt;&gt;"",_xlpm.MacVal,_xlpm.CSVVal&lt;&gt;"",_xlpm.CSVVal
)),"")</f>
        <v/>
      </c>
      <c r="J75" s="45" t="str" cm="1">
        <f t="array" ref="J75">IFERROR(_xlfn.LET(
_xlpm.CSVVal,_xlfn.XLOOKUP($A75,CSV!$A:$A,CSV!J:J,""),
_xlpm.MacVal,_xlfn.XLOOKUP($A75,Output_Mac!$A:$A,Output_Mac!K:K,""),
_xlpm.MyAuditVal,_xlfn.XLOOKUP($A75,My_Audit!$A:$A,My_Audit!I:I,""),
_xlfn.IFS(_xlpm.MyAuditVal&lt;&gt;"",UPPER(_xlpm.MyAuditVal),_xlpm.MacVal&lt;&gt;"",_xlpm.MacVal,_xlpm.CSVVal&lt;&gt;"",_xlpm.CSVVal
)),"")</f>
        <v/>
      </c>
      <c r="K75" s="45" t="str" cm="1">
        <f t="array" ref="K75">IFERROR(_xlfn.LET(
_xlpm.CSVVal,_xlfn.XLOOKUP($A75,CSV!$A:$A,CSV!N:N,""),
_xlpm.MacVal,_xlfn.XLOOKUP($A75,Output_Mac!$A:$A,Output_Mac!L:L,""),
_xlpm.MyAuditVal,_xlfn.XLOOKUP($A75,My_Audit!$A:$A,My_Audit!J:J,""),
_xlfn.IFS(_xlpm.MyAuditVal&lt;&gt;"",UPPER(_xlpm.MyAuditVal),_xlpm.MacVal&lt;&gt;"",_xlpm.MacVal,_xlpm.CSVVal&lt;&gt;"",_xlpm.CSVVal
)),"")</f>
        <v/>
      </c>
      <c r="L75" s="46" t="str" cm="1">
        <f t="array" ref="L75">IFERROR(_xlfn.LET(
_xlpm.CSVVal,_xlfn.XLOOKUP($A75,CSV!$A:$A,CSV!Q:Q,""),
_xlpm.MacVal,_xlfn.XLOOKUP($A75,Output_Mac!$A:$A,Output_Mac!M:M,""),
_xlpm.MyAuditVal,_xlfn.XLOOKUP($A75,My_Audit!$A:$A,My_Audit!K:K,""),
_xlfn.IFS(_xlpm.MyAuditVal&lt;&gt;"",UPPER(_xlpm.MyAuditVal),_xlpm.MacVal&lt;&gt;"",_xlpm.MacVal,_xlpm.CSVVal&lt;&gt;"",_xlpm.CSVVal
)),"")</f>
        <v/>
      </c>
      <c r="M75" s="45" t="str">
        <f>_xlfn.LET(
    _xlpm.CSVVal, _xlfn.XLOOKUP($A75, CSV!$A:$A, CSV!AE:AE, ""),
    _xlpm.MacVal, _xlfn.XLOOKUP($A75, Output_Mac!$A:$A, Output_Mac!S:S, ""),
    _xlpm.MyAuditVal, _xlfn.XLOOKUP($A75, My_Audit!$A:$A, My_Audit!N:N, ""),
    _xlfn.TEXTJOIN(", ", TRUE, _xlpm.MyAuditVal, _xlpm.MacVal, _xlpm.CSVVal)
)</f>
        <v/>
      </c>
      <c r="N75" s="45" t="str" cm="1">
        <f t="array" ref="N75">IFERROR(_xlfn.LET(
_xlpm.CSVVal,_xlfn.XLOOKUP($A75,CSV!$A:$A,CSV!AG:AG,""),
_xlpm.MacVal,_xlfn.XLOOKUP($A75,Output_Mac!$A:$A,Output_Mac!U:U,""),
_xlpm.MyAuditVal,_xlfn.XLOOKUP($A75,My_Audit!$A:$A,My_Audit!O:O,""),
_xlfn.IFS(_xlpm.MyAuditVal&lt;&gt;"",UPPER(_xlpm.MyAuditVal),_xlpm.MacVal&lt;&gt;"",_xlpm.MacVal,_xlpm.CSVVal&lt;&gt;"",_xlpm.CSVVal
)),"")</f>
        <v/>
      </c>
      <c r="O75" s="46" t="str">
        <f>_xlfn.XLOOKUP(C75,My_Audit!B:B,My_Audit!P:P,"")&amp;""</f>
        <v/>
      </c>
      <c r="P75" s="45"/>
      <c r="Q75" s="46" t="str">
        <f>IF(LEFT(N75,4)="Pass","Nist SP 800-88",My_Audit!R75)&amp;""</f>
        <v/>
      </c>
      <c r="R75" s="45"/>
      <c r="S75" s="45"/>
      <c r="T75" s="46" t="str">
        <f>_xlfn.XLOOKUP(E75,Models!I:I,Models!J:J,"")</f>
        <v/>
      </c>
      <c r="U75" s="45"/>
      <c r="V75" s="45"/>
      <c r="W75" s="38" t="str">
        <f>_xlfn.LET(
    _xlpm.MacVal, _xlfn.XLOOKUP($A75, Output_Mac!$A:$A, Output_Mac!AB:AB, ""),
    _xlpm.MyAuditVal, _xlfn.XLOOKUP($A75, My_Audit!$A:$A, My_Audit!L:L, ""),
    _xlfn.TEXTJOIN(", ", TRUE, _xlpm.MyAuditVal, _xlpm.MacVal)
)</f>
        <v/>
      </c>
    </row>
    <row r="76" spans="1:23">
      <c r="A76" s="45" t="str">
        <f>_xlfn.TEXTJOIN("",TRUE,Input!$B$2,ROW(My_Audit!A75))</f>
        <v>XX75</v>
      </c>
      <c r="B76" s="45" t="str">
        <f>_xlfn.TEXTJOIN("-",TRUE,"ITD",Input!$A$2,A76)</f>
        <v>ITD-SHRXXX-XX75</v>
      </c>
      <c r="C76" s="45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46" t="str" cm="1">
        <f t="array" ref="D76">IFERROR(_xlfn.LET(
_xlpm.CSVVal,_xlfn.XLOOKUP($A76,CSV!$A:$A,CSV!C:C,""),
_xlpm.MacVal,_xlfn.XLOOKUP($A76,Output_Mac!$A:$A,Output_Mac!D:D,""),
_xlpm.MyAuditVal,_xlfn.XLOOKUP($A76,My_Audit!$A:$A,My_Audit!C:C,""),
_xlfn.IFS(_xlpm.MyAuditVal&lt;&gt;"",UPPER(_xlpm.MyAuditVal),_xlpm.MacVal&lt;&gt;"",_xlpm.MacVal,_xlpm.CSVVal&lt;&gt;"",_xlpm.CSVVal
)),"")</f>
        <v/>
      </c>
      <c r="E76" s="46" t="str" cm="1">
        <f t="array" ref="E76">IFERROR(_xlfn.LET(
_xlpm.CSVVal,_xlfn.XLOOKUP($A76,CSV!$A:$A,CSV!E:E,""),
_xlpm.MacVal,_xlfn.XLOOKUP($A76,Output_Mac!$A:$A,Output_Mac!C:C,""),
_xlpm.MyAuditVal,_xlfn.XLOOKUP($A76,My_Audit!$A:$A,My_Audit!D:D,""),
_xlfn.IFS(_xlpm.MyAuditVal&lt;&gt;"",_xlpm.MyAuditVal,_xlpm.MacVal&lt;&gt;"",_xlpm.MacVal,_xlpm.CSVVal&lt;&gt;"",_xlpm.CSVVal
)),"")</f>
        <v/>
      </c>
      <c r="F76" s="45" t="str" cm="1">
        <f t="array" ref="F76">IFERROR(_xlfn.LET(
_xlpm.CSVVal,_xlfn.XLOOKUP($A76,CSV!$A:$A,CSV!F:F,""),
_xlpm.MacVal,_xlfn.XLOOKUP($A76,Output_Mac!$A:$A,Output_Mac!F:F,""),
_xlpm.MyAuditVal,_xlfn.XLOOKUP($A76,My_Audit!$A:$A,My_Audit!E:E,""),
_xlfn.IFS(_xlpm.MyAuditVal&lt;&gt;"",_xlpm.MyAuditVal,_xlpm.MacVal&lt;&gt;"",_xlpm.MacVal,_xlpm.CSVVal&lt;&gt;"",PROPER(_xlpm.CSVVal)
)),"")</f>
        <v/>
      </c>
      <c r="G76" s="45" t="str" cm="1">
        <f t="array" ref="G76">IFERROR(_xlfn.LET(
_xlpm.CSVVal,_xlfn.XLOOKUP($A76,CSV!$A:$A,CSV!G:G,""),
_xlpm.MacVal,_xlfn.XLOOKUP($A76,Output_Mac!$A:$A,Output_Mac!H:H,""),
_xlpm.MyAuditVal,_xlfn.XLOOKUP($A76,My_Audit!$A:$A,My_Audit!F:F,""),
_xlfn.IFS(_xlpm.MyAuditVal&lt;&gt;"",_xlpm.MyAuditVal,_xlpm.MacVal&lt;&gt;"",_xlpm.MacVal,_xlpm.CSVVal&lt;&gt;"",_xlpm.CSVVal
)),"")</f>
        <v/>
      </c>
      <c r="H76" s="45" t="str">
        <f>_xlfn.XLOOKUP(A76,Output_Mac!A:A,Output_Mac!I:I,"")</f>
        <v/>
      </c>
      <c r="I76" s="45" t="str" cm="1">
        <f t="array" ref="I76">IFERROR(_xlfn.LET(
_xlpm.CSVVal,_xlfn.XLOOKUP($A76,CSV!$A:$A,CSV!H:H,""),
_xlpm.MacVal,_xlfn.XLOOKUP($A76,Output_Mac!$A:$A,Output_Mac!J:J,""),
_xlpm.MyAuditVal,_xlfn.XLOOKUP($A76,My_Audit!$A:$A,My_Audit!H:H,""),
_xlfn.IFS(_xlpm.MyAuditVal&lt;&gt;"",UPPER(_xlpm.MyAuditVal),_xlpm.MacVal&lt;&gt;"",_xlpm.MacVal,_xlpm.CSVVal&lt;&gt;"",_xlpm.CSVVal
)),"")</f>
        <v/>
      </c>
      <c r="J76" s="45" t="str" cm="1">
        <f t="array" ref="J76">IFERROR(_xlfn.LET(
_xlpm.CSVVal,_xlfn.XLOOKUP($A76,CSV!$A:$A,CSV!J:J,""),
_xlpm.MacVal,_xlfn.XLOOKUP($A76,Output_Mac!$A:$A,Output_Mac!K:K,""),
_xlpm.MyAuditVal,_xlfn.XLOOKUP($A76,My_Audit!$A:$A,My_Audit!I:I,""),
_xlfn.IFS(_xlpm.MyAuditVal&lt;&gt;"",UPPER(_xlpm.MyAuditVal),_xlpm.MacVal&lt;&gt;"",_xlpm.MacVal,_xlpm.CSVVal&lt;&gt;"",_xlpm.CSVVal
)),"")</f>
        <v/>
      </c>
      <c r="K76" s="45" t="str" cm="1">
        <f t="array" ref="K76">IFERROR(_xlfn.LET(
_xlpm.CSVVal,_xlfn.XLOOKUP($A76,CSV!$A:$A,CSV!N:N,""),
_xlpm.MacVal,_xlfn.XLOOKUP($A76,Output_Mac!$A:$A,Output_Mac!L:L,""),
_xlpm.MyAuditVal,_xlfn.XLOOKUP($A76,My_Audit!$A:$A,My_Audit!J:J,""),
_xlfn.IFS(_xlpm.MyAuditVal&lt;&gt;"",UPPER(_xlpm.MyAuditVal),_xlpm.MacVal&lt;&gt;"",_xlpm.MacVal,_xlpm.CSVVal&lt;&gt;"",_xlpm.CSVVal
)),"")</f>
        <v/>
      </c>
      <c r="L76" s="46" t="str" cm="1">
        <f t="array" ref="L76">IFERROR(_xlfn.LET(
_xlpm.CSVVal,_xlfn.XLOOKUP($A76,CSV!$A:$A,CSV!Q:Q,""),
_xlpm.MacVal,_xlfn.XLOOKUP($A76,Output_Mac!$A:$A,Output_Mac!M:M,""),
_xlpm.MyAuditVal,_xlfn.XLOOKUP($A76,My_Audit!$A:$A,My_Audit!K:K,""),
_xlfn.IFS(_xlpm.MyAuditVal&lt;&gt;"",UPPER(_xlpm.MyAuditVal),_xlpm.MacVal&lt;&gt;"",_xlpm.MacVal,_xlpm.CSVVal&lt;&gt;"",_xlpm.CSVVal
)),"")</f>
        <v/>
      </c>
      <c r="M76" s="45" t="str">
        <f>_xlfn.LET(
    _xlpm.CSVVal, _xlfn.XLOOKUP($A76, CSV!$A:$A, CSV!AE:AE, ""),
    _xlpm.MacVal, _xlfn.XLOOKUP($A76, Output_Mac!$A:$A, Output_Mac!S:S, ""),
    _xlpm.MyAuditVal, _xlfn.XLOOKUP($A76, My_Audit!$A:$A, My_Audit!N:N, ""),
    _xlfn.TEXTJOIN(", ", TRUE, _xlpm.MyAuditVal, _xlpm.MacVal, _xlpm.CSVVal)
)</f>
        <v/>
      </c>
      <c r="N76" s="45" t="str" cm="1">
        <f t="array" ref="N76">IFERROR(_xlfn.LET(
_xlpm.CSVVal,_xlfn.XLOOKUP($A76,CSV!$A:$A,CSV!AG:AG,""),
_xlpm.MacVal,_xlfn.XLOOKUP($A76,Output_Mac!$A:$A,Output_Mac!U:U,""),
_xlpm.MyAuditVal,_xlfn.XLOOKUP($A76,My_Audit!$A:$A,My_Audit!O:O,""),
_xlfn.IFS(_xlpm.MyAuditVal&lt;&gt;"",UPPER(_xlpm.MyAuditVal),_xlpm.MacVal&lt;&gt;"",_xlpm.MacVal,_xlpm.CSVVal&lt;&gt;"",_xlpm.CSVVal
)),"")</f>
        <v/>
      </c>
      <c r="O76" s="46" t="str">
        <f>_xlfn.XLOOKUP(C76,My_Audit!B:B,My_Audit!P:P,"")&amp;""</f>
        <v/>
      </c>
      <c r="P76" s="45"/>
      <c r="Q76" s="46" t="str">
        <f>IF(LEFT(N76,4)="Pass","Nist SP 800-88",My_Audit!R76)&amp;""</f>
        <v/>
      </c>
      <c r="R76" s="45"/>
      <c r="S76" s="45"/>
      <c r="T76" s="46" t="str">
        <f>_xlfn.XLOOKUP(E76,Models!I:I,Models!J:J,"")</f>
        <v/>
      </c>
      <c r="U76" s="45"/>
      <c r="V76" s="45"/>
      <c r="W76" s="38" t="str">
        <f>_xlfn.LET(
    _xlpm.MacVal, _xlfn.XLOOKUP($A76, Output_Mac!$A:$A, Output_Mac!AB:AB, ""),
    _xlpm.MyAuditVal, _xlfn.XLOOKUP($A76, My_Audit!$A:$A, My_Audit!L:L, ""),
    _xlfn.TEXTJOIN(", ", TRUE, _xlpm.MyAuditVal, _xlpm.MacVal)
)</f>
        <v/>
      </c>
    </row>
    <row r="77" spans="1:23">
      <c r="A77" s="45" t="str">
        <f>_xlfn.TEXTJOIN("",TRUE,Input!$B$2,ROW(My_Audit!A76))</f>
        <v>XX76</v>
      </c>
      <c r="B77" s="45" t="str">
        <f>_xlfn.TEXTJOIN("-",TRUE,"ITD",Input!$A$2,A77)</f>
        <v>ITD-SHRXXX-XX76</v>
      </c>
      <c r="C77" s="45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46" t="str" cm="1">
        <f t="array" ref="D77">IFERROR(_xlfn.LET(
_xlpm.CSVVal,_xlfn.XLOOKUP($A77,CSV!$A:$A,CSV!C:C,""),
_xlpm.MacVal,_xlfn.XLOOKUP($A77,Output_Mac!$A:$A,Output_Mac!D:D,""),
_xlpm.MyAuditVal,_xlfn.XLOOKUP($A77,My_Audit!$A:$A,My_Audit!C:C,""),
_xlfn.IFS(_xlpm.MyAuditVal&lt;&gt;"",UPPER(_xlpm.MyAuditVal),_xlpm.MacVal&lt;&gt;"",_xlpm.MacVal,_xlpm.CSVVal&lt;&gt;"",_xlpm.CSVVal
)),"")</f>
        <v/>
      </c>
      <c r="E77" s="46" t="str" cm="1">
        <f t="array" ref="E77">IFERROR(_xlfn.LET(
_xlpm.CSVVal,_xlfn.XLOOKUP($A77,CSV!$A:$A,CSV!E:E,""),
_xlpm.MacVal,_xlfn.XLOOKUP($A77,Output_Mac!$A:$A,Output_Mac!C:C,""),
_xlpm.MyAuditVal,_xlfn.XLOOKUP($A77,My_Audit!$A:$A,My_Audit!D:D,""),
_xlfn.IFS(_xlpm.MyAuditVal&lt;&gt;"",_xlpm.MyAuditVal,_xlpm.MacVal&lt;&gt;"",_xlpm.MacVal,_xlpm.CSVVal&lt;&gt;"",_xlpm.CSVVal
)),"")</f>
        <v/>
      </c>
      <c r="F77" s="45" t="str" cm="1">
        <f t="array" ref="F77">IFERROR(_xlfn.LET(
_xlpm.CSVVal,_xlfn.XLOOKUP($A77,CSV!$A:$A,CSV!F:F,""),
_xlpm.MacVal,_xlfn.XLOOKUP($A77,Output_Mac!$A:$A,Output_Mac!F:F,""),
_xlpm.MyAuditVal,_xlfn.XLOOKUP($A77,My_Audit!$A:$A,My_Audit!E:E,""),
_xlfn.IFS(_xlpm.MyAuditVal&lt;&gt;"",_xlpm.MyAuditVal,_xlpm.MacVal&lt;&gt;"",_xlpm.MacVal,_xlpm.CSVVal&lt;&gt;"",PROPER(_xlpm.CSVVal)
)),"")</f>
        <v/>
      </c>
      <c r="G77" s="45" t="str" cm="1">
        <f t="array" ref="G77">IFERROR(_xlfn.LET(
_xlpm.CSVVal,_xlfn.XLOOKUP($A77,CSV!$A:$A,CSV!G:G,""),
_xlpm.MacVal,_xlfn.XLOOKUP($A77,Output_Mac!$A:$A,Output_Mac!H:H,""),
_xlpm.MyAuditVal,_xlfn.XLOOKUP($A77,My_Audit!$A:$A,My_Audit!F:F,""),
_xlfn.IFS(_xlpm.MyAuditVal&lt;&gt;"",_xlpm.MyAuditVal,_xlpm.MacVal&lt;&gt;"",_xlpm.MacVal,_xlpm.CSVVal&lt;&gt;"",_xlpm.CSVVal
)),"")</f>
        <v/>
      </c>
      <c r="H77" s="45" t="str">
        <f>_xlfn.XLOOKUP(A77,Output_Mac!A:A,Output_Mac!I:I,"")</f>
        <v/>
      </c>
      <c r="I77" s="45" t="str" cm="1">
        <f t="array" ref="I77">IFERROR(_xlfn.LET(
_xlpm.CSVVal,_xlfn.XLOOKUP($A77,CSV!$A:$A,CSV!H:H,""),
_xlpm.MacVal,_xlfn.XLOOKUP($A77,Output_Mac!$A:$A,Output_Mac!J:J,""),
_xlpm.MyAuditVal,_xlfn.XLOOKUP($A77,My_Audit!$A:$A,My_Audit!H:H,""),
_xlfn.IFS(_xlpm.MyAuditVal&lt;&gt;"",UPPER(_xlpm.MyAuditVal),_xlpm.MacVal&lt;&gt;"",_xlpm.MacVal,_xlpm.CSVVal&lt;&gt;"",_xlpm.CSVVal
)),"")</f>
        <v/>
      </c>
      <c r="J77" s="45" t="str" cm="1">
        <f t="array" ref="J77">IFERROR(_xlfn.LET(
_xlpm.CSVVal,_xlfn.XLOOKUP($A77,CSV!$A:$A,CSV!J:J,""),
_xlpm.MacVal,_xlfn.XLOOKUP($A77,Output_Mac!$A:$A,Output_Mac!K:K,""),
_xlpm.MyAuditVal,_xlfn.XLOOKUP($A77,My_Audit!$A:$A,My_Audit!I:I,""),
_xlfn.IFS(_xlpm.MyAuditVal&lt;&gt;"",UPPER(_xlpm.MyAuditVal),_xlpm.MacVal&lt;&gt;"",_xlpm.MacVal,_xlpm.CSVVal&lt;&gt;"",_xlpm.CSVVal
)),"")</f>
        <v/>
      </c>
      <c r="K77" s="45" t="str" cm="1">
        <f t="array" ref="K77">IFERROR(_xlfn.LET(
_xlpm.CSVVal,_xlfn.XLOOKUP($A77,CSV!$A:$A,CSV!N:N,""),
_xlpm.MacVal,_xlfn.XLOOKUP($A77,Output_Mac!$A:$A,Output_Mac!L:L,""),
_xlpm.MyAuditVal,_xlfn.XLOOKUP($A77,My_Audit!$A:$A,My_Audit!J:J,""),
_xlfn.IFS(_xlpm.MyAuditVal&lt;&gt;"",UPPER(_xlpm.MyAuditVal),_xlpm.MacVal&lt;&gt;"",_xlpm.MacVal,_xlpm.CSVVal&lt;&gt;"",_xlpm.CSVVal
)),"")</f>
        <v/>
      </c>
      <c r="L77" s="46" t="str" cm="1">
        <f t="array" ref="L77">IFERROR(_xlfn.LET(
_xlpm.CSVVal,_xlfn.XLOOKUP($A77,CSV!$A:$A,CSV!Q:Q,""),
_xlpm.MacVal,_xlfn.XLOOKUP($A77,Output_Mac!$A:$A,Output_Mac!M:M,""),
_xlpm.MyAuditVal,_xlfn.XLOOKUP($A77,My_Audit!$A:$A,My_Audit!K:K,""),
_xlfn.IFS(_xlpm.MyAuditVal&lt;&gt;"",UPPER(_xlpm.MyAuditVal),_xlpm.MacVal&lt;&gt;"",_xlpm.MacVal,_xlpm.CSVVal&lt;&gt;"",_xlpm.CSVVal
)),"")</f>
        <v/>
      </c>
      <c r="M77" s="45" t="str">
        <f>_xlfn.LET(
    _xlpm.CSVVal, _xlfn.XLOOKUP($A77, CSV!$A:$A, CSV!AE:AE, ""),
    _xlpm.MacVal, _xlfn.XLOOKUP($A77, Output_Mac!$A:$A, Output_Mac!S:S, ""),
    _xlpm.MyAuditVal, _xlfn.XLOOKUP($A77, My_Audit!$A:$A, My_Audit!N:N, ""),
    _xlfn.TEXTJOIN(", ", TRUE, _xlpm.MyAuditVal, _xlpm.MacVal, _xlpm.CSVVal)
)</f>
        <v/>
      </c>
      <c r="N77" s="45" t="str" cm="1">
        <f t="array" ref="N77">IFERROR(_xlfn.LET(
_xlpm.CSVVal,_xlfn.XLOOKUP($A77,CSV!$A:$A,CSV!AG:AG,""),
_xlpm.MacVal,_xlfn.XLOOKUP($A77,Output_Mac!$A:$A,Output_Mac!U:U,""),
_xlpm.MyAuditVal,_xlfn.XLOOKUP($A77,My_Audit!$A:$A,My_Audit!O:O,""),
_xlfn.IFS(_xlpm.MyAuditVal&lt;&gt;"",UPPER(_xlpm.MyAuditVal),_xlpm.MacVal&lt;&gt;"",_xlpm.MacVal,_xlpm.CSVVal&lt;&gt;"",_xlpm.CSVVal
)),"")</f>
        <v/>
      </c>
      <c r="O77" s="46" t="str">
        <f>_xlfn.XLOOKUP(C77,My_Audit!B:B,My_Audit!P:P,"")&amp;""</f>
        <v/>
      </c>
      <c r="P77" s="45"/>
      <c r="Q77" s="46" t="str">
        <f>IF(LEFT(N77,4)="Pass","Nist SP 800-88",My_Audit!R77)&amp;""</f>
        <v/>
      </c>
      <c r="R77" s="45"/>
      <c r="S77" s="45"/>
      <c r="T77" s="46" t="str">
        <f>_xlfn.XLOOKUP(E77,Models!I:I,Models!J:J,"")</f>
        <v/>
      </c>
      <c r="U77" s="45"/>
      <c r="V77" s="45"/>
      <c r="W77" s="38" t="str">
        <f>_xlfn.LET(
    _xlpm.MacVal, _xlfn.XLOOKUP($A77, Output_Mac!$A:$A, Output_Mac!AB:AB, ""),
    _xlpm.MyAuditVal, _xlfn.XLOOKUP($A77, My_Audit!$A:$A, My_Audit!L:L, ""),
    _xlfn.TEXTJOIN(", ", TRUE, _xlpm.MyAuditVal, _xlpm.MacVal)
)</f>
        <v/>
      </c>
    </row>
    <row r="78" spans="1:23">
      <c r="A78" s="45" t="str">
        <f>_xlfn.TEXTJOIN("",TRUE,Input!$B$2,ROW(My_Audit!A77))</f>
        <v>XX77</v>
      </c>
      <c r="B78" s="45" t="str">
        <f>_xlfn.TEXTJOIN("-",TRUE,"ITD",Input!$A$2,A78)</f>
        <v>ITD-SHRXXX-XX77</v>
      </c>
      <c r="C78" s="45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46" t="str" cm="1">
        <f t="array" ref="D78">IFERROR(_xlfn.LET(
_xlpm.CSVVal,_xlfn.XLOOKUP($A78,CSV!$A:$A,CSV!C:C,""),
_xlpm.MacVal,_xlfn.XLOOKUP($A78,Output_Mac!$A:$A,Output_Mac!D:D,""),
_xlpm.MyAuditVal,_xlfn.XLOOKUP($A78,My_Audit!$A:$A,My_Audit!C:C,""),
_xlfn.IFS(_xlpm.MyAuditVal&lt;&gt;"",UPPER(_xlpm.MyAuditVal),_xlpm.MacVal&lt;&gt;"",_xlpm.MacVal,_xlpm.CSVVal&lt;&gt;"",_xlpm.CSVVal
)),"")</f>
        <v/>
      </c>
      <c r="E78" s="46" t="str" cm="1">
        <f t="array" ref="E78">IFERROR(_xlfn.LET(
_xlpm.CSVVal,_xlfn.XLOOKUP($A78,CSV!$A:$A,CSV!E:E,""),
_xlpm.MacVal,_xlfn.XLOOKUP($A78,Output_Mac!$A:$A,Output_Mac!C:C,""),
_xlpm.MyAuditVal,_xlfn.XLOOKUP($A78,My_Audit!$A:$A,My_Audit!D:D,""),
_xlfn.IFS(_xlpm.MyAuditVal&lt;&gt;"",_xlpm.MyAuditVal,_xlpm.MacVal&lt;&gt;"",_xlpm.MacVal,_xlpm.CSVVal&lt;&gt;"",_xlpm.CSVVal
)),"")</f>
        <v/>
      </c>
      <c r="F78" s="45" t="str" cm="1">
        <f t="array" ref="F78">IFERROR(_xlfn.LET(
_xlpm.CSVVal,_xlfn.XLOOKUP($A78,CSV!$A:$A,CSV!F:F,""),
_xlpm.MacVal,_xlfn.XLOOKUP($A78,Output_Mac!$A:$A,Output_Mac!F:F,""),
_xlpm.MyAuditVal,_xlfn.XLOOKUP($A78,My_Audit!$A:$A,My_Audit!E:E,""),
_xlfn.IFS(_xlpm.MyAuditVal&lt;&gt;"",_xlpm.MyAuditVal,_xlpm.MacVal&lt;&gt;"",_xlpm.MacVal,_xlpm.CSVVal&lt;&gt;"",PROPER(_xlpm.CSVVal)
)),"")</f>
        <v/>
      </c>
      <c r="G78" s="45" t="str" cm="1">
        <f t="array" ref="G78">IFERROR(_xlfn.LET(
_xlpm.CSVVal,_xlfn.XLOOKUP($A78,CSV!$A:$A,CSV!G:G,""),
_xlpm.MacVal,_xlfn.XLOOKUP($A78,Output_Mac!$A:$A,Output_Mac!H:H,""),
_xlpm.MyAuditVal,_xlfn.XLOOKUP($A78,My_Audit!$A:$A,My_Audit!F:F,""),
_xlfn.IFS(_xlpm.MyAuditVal&lt;&gt;"",_xlpm.MyAuditVal,_xlpm.MacVal&lt;&gt;"",_xlpm.MacVal,_xlpm.CSVVal&lt;&gt;"",_xlpm.CSVVal
)),"")</f>
        <v/>
      </c>
      <c r="H78" s="45" t="str">
        <f>_xlfn.XLOOKUP(A78,Output_Mac!A:A,Output_Mac!I:I,"")</f>
        <v/>
      </c>
      <c r="I78" s="45" t="str" cm="1">
        <f t="array" ref="I78">IFERROR(_xlfn.LET(
_xlpm.CSVVal,_xlfn.XLOOKUP($A78,CSV!$A:$A,CSV!H:H,""),
_xlpm.MacVal,_xlfn.XLOOKUP($A78,Output_Mac!$A:$A,Output_Mac!J:J,""),
_xlpm.MyAuditVal,_xlfn.XLOOKUP($A78,My_Audit!$A:$A,My_Audit!H:H,""),
_xlfn.IFS(_xlpm.MyAuditVal&lt;&gt;"",UPPER(_xlpm.MyAuditVal),_xlpm.MacVal&lt;&gt;"",_xlpm.MacVal,_xlpm.CSVVal&lt;&gt;"",_xlpm.CSVVal
)),"")</f>
        <v/>
      </c>
      <c r="J78" s="45" t="str" cm="1">
        <f t="array" ref="J78">IFERROR(_xlfn.LET(
_xlpm.CSVVal,_xlfn.XLOOKUP($A78,CSV!$A:$A,CSV!J:J,""),
_xlpm.MacVal,_xlfn.XLOOKUP($A78,Output_Mac!$A:$A,Output_Mac!K:K,""),
_xlpm.MyAuditVal,_xlfn.XLOOKUP($A78,My_Audit!$A:$A,My_Audit!I:I,""),
_xlfn.IFS(_xlpm.MyAuditVal&lt;&gt;"",UPPER(_xlpm.MyAuditVal),_xlpm.MacVal&lt;&gt;"",_xlpm.MacVal,_xlpm.CSVVal&lt;&gt;"",_xlpm.CSVVal
)),"")</f>
        <v/>
      </c>
      <c r="K78" s="45" t="str" cm="1">
        <f t="array" ref="K78">IFERROR(_xlfn.LET(
_xlpm.CSVVal,_xlfn.XLOOKUP($A78,CSV!$A:$A,CSV!N:N,""),
_xlpm.MacVal,_xlfn.XLOOKUP($A78,Output_Mac!$A:$A,Output_Mac!L:L,""),
_xlpm.MyAuditVal,_xlfn.XLOOKUP($A78,My_Audit!$A:$A,My_Audit!J:J,""),
_xlfn.IFS(_xlpm.MyAuditVal&lt;&gt;"",UPPER(_xlpm.MyAuditVal),_xlpm.MacVal&lt;&gt;"",_xlpm.MacVal,_xlpm.CSVVal&lt;&gt;"",_xlpm.CSVVal
)),"")</f>
        <v/>
      </c>
      <c r="L78" s="46" t="str" cm="1">
        <f t="array" ref="L78">IFERROR(_xlfn.LET(
_xlpm.CSVVal,_xlfn.XLOOKUP($A78,CSV!$A:$A,CSV!Q:Q,""),
_xlpm.MacVal,_xlfn.XLOOKUP($A78,Output_Mac!$A:$A,Output_Mac!M:M,""),
_xlpm.MyAuditVal,_xlfn.XLOOKUP($A78,My_Audit!$A:$A,My_Audit!K:K,""),
_xlfn.IFS(_xlpm.MyAuditVal&lt;&gt;"",UPPER(_xlpm.MyAuditVal),_xlpm.MacVal&lt;&gt;"",_xlpm.MacVal,_xlpm.CSVVal&lt;&gt;"",_xlpm.CSVVal
)),"")</f>
        <v/>
      </c>
      <c r="M78" s="45" t="str">
        <f>_xlfn.LET(
    _xlpm.CSVVal, _xlfn.XLOOKUP($A78, CSV!$A:$A, CSV!AE:AE, ""),
    _xlpm.MacVal, _xlfn.XLOOKUP($A78, Output_Mac!$A:$A, Output_Mac!S:S, ""),
    _xlpm.MyAuditVal, _xlfn.XLOOKUP($A78, My_Audit!$A:$A, My_Audit!N:N, ""),
    _xlfn.TEXTJOIN(", ", TRUE, _xlpm.MyAuditVal, _xlpm.MacVal, _xlpm.CSVVal)
)</f>
        <v/>
      </c>
      <c r="N78" s="45" t="str" cm="1">
        <f t="array" ref="N78">IFERROR(_xlfn.LET(
_xlpm.CSVVal,_xlfn.XLOOKUP($A78,CSV!$A:$A,CSV!AG:AG,""),
_xlpm.MacVal,_xlfn.XLOOKUP($A78,Output_Mac!$A:$A,Output_Mac!U:U,""),
_xlpm.MyAuditVal,_xlfn.XLOOKUP($A78,My_Audit!$A:$A,My_Audit!O:O,""),
_xlfn.IFS(_xlpm.MyAuditVal&lt;&gt;"",UPPER(_xlpm.MyAuditVal),_xlpm.MacVal&lt;&gt;"",_xlpm.MacVal,_xlpm.CSVVal&lt;&gt;"",_xlpm.CSVVal
)),"")</f>
        <v/>
      </c>
      <c r="O78" s="46" t="str">
        <f>_xlfn.XLOOKUP(C78,My_Audit!B:B,My_Audit!P:P,"")&amp;""</f>
        <v/>
      </c>
      <c r="P78" s="45"/>
      <c r="Q78" s="46" t="str">
        <f>IF(LEFT(N78,4)="Pass","Nist SP 800-88",My_Audit!R78)&amp;""</f>
        <v/>
      </c>
      <c r="R78" s="45"/>
      <c r="S78" s="45"/>
      <c r="T78" s="46" t="str">
        <f>_xlfn.XLOOKUP(E78,Models!I:I,Models!J:J,"")</f>
        <v/>
      </c>
      <c r="U78" s="45"/>
      <c r="V78" s="45"/>
      <c r="W78" s="38" t="str">
        <f>_xlfn.LET(
    _xlpm.MacVal, _xlfn.XLOOKUP($A78, Output_Mac!$A:$A, Output_Mac!AB:AB, ""),
    _xlpm.MyAuditVal, _xlfn.XLOOKUP($A78, My_Audit!$A:$A, My_Audit!L:L, ""),
    _xlfn.TEXTJOIN(", ", TRUE, _xlpm.MyAuditVal, _xlpm.MacVal)
)</f>
        <v/>
      </c>
    </row>
    <row r="79" spans="1:23">
      <c r="A79" s="45" t="str">
        <f>_xlfn.TEXTJOIN("",TRUE,Input!$B$2,ROW(My_Audit!A78))</f>
        <v>XX78</v>
      </c>
      <c r="B79" s="45" t="str">
        <f>_xlfn.TEXTJOIN("-",TRUE,"ITD",Input!$A$2,A79)</f>
        <v>ITD-SHRXXX-XX78</v>
      </c>
      <c r="C79" s="45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46" t="str" cm="1">
        <f t="array" ref="D79">IFERROR(_xlfn.LET(
_xlpm.CSVVal,_xlfn.XLOOKUP($A79,CSV!$A:$A,CSV!C:C,""),
_xlpm.MacVal,_xlfn.XLOOKUP($A79,Output_Mac!$A:$A,Output_Mac!D:D,""),
_xlpm.MyAuditVal,_xlfn.XLOOKUP($A79,My_Audit!$A:$A,My_Audit!C:C,""),
_xlfn.IFS(_xlpm.MyAuditVal&lt;&gt;"",UPPER(_xlpm.MyAuditVal),_xlpm.MacVal&lt;&gt;"",_xlpm.MacVal,_xlpm.CSVVal&lt;&gt;"",_xlpm.CSVVal
)),"")</f>
        <v/>
      </c>
      <c r="E79" s="46" t="str" cm="1">
        <f t="array" ref="E79">IFERROR(_xlfn.LET(
_xlpm.CSVVal,_xlfn.XLOOKUP($A79,CSV!$A:$A,CSV!E:E,""),
_xlpm.MacVal,_xlfn.XLOOKUP($A79,Output_Mac!$A:$A,Output_Mac!C:C,""),
_xlpm.MyAuditVal,_xlfn.XLOOKUP($A79,My_Audit!$A:$A,My_Audit!D:D,""),
_xlfn.IFS(_xlpm.MyAuditVal&lt;&gt;"",_xlpm.MyAuditVal,_xlpm.MacVal&lt;&gt;"",_xlpm.MacVal,_xlpm.CSVVal&lt;&gt;"",_xlpm.CSVVal
)),"")</f>
        <v/>
      </c>
      <c r="F79" s="45" t="str" cm="1">
        <f t="array" ref="F79">IFERROR(_xlfn.LET(
_xlpm.CSVVal,_xlfn.XLOOKUP($A79,CSV!$A:$A,CSV!F:F,""),
_xlpm.MacVal,_xlfn.XLOOKUP($A79,Output_Mac!$A:$A,Output_Mac!F:F,""),
_xlpm.MyAuditVal,_xlfn.XLOOKUP($A79,My_Audit!$A:$A,My_Audit!E:E,""),
_xlfn.IFS(_xlpm.MyAuditVal&lt;&gt;"",_xlpm.MyAuditVal,_xlpm.MacVal&lt;&gt;"",_xlpm.MacVal,_xlpm.CSVVal&lt;&gt;"",PROPER(_xlpm.CSVVal)
)),"")</f>
        <v/>
      </c>
      <c r="G79" s="45" t="str" cm="1">
        <f t="array" ref="G79">IFERROR(_xlfn.LET(
_xlpm.CSVVal,_xlfn.XLOOKUP($A79,CSV!$A:$A,CSV!G:G,""),
_xlpm.MacVal,_xlfn.XLOOKUP($A79,Output_Mac!$A:$A,Output_Mac!H:H,""),
_xlpm.MyAuditVal,_xlfn.XLOOKUP($A79,My_Audit!$A:$A,My_Audit!F:F,""),
_xlfn.IFS(_xlpm.MyAuditVal&lt;&gt;"",_xlpm.MyAuditVal,_xlpm.MacVal&lt;&gt;"",_xlpm.MacVal,_xlpm.CSVVal&lt;&gt;"",_xlpm.CSVVal
)),"")</f>
        <v/>
      </c>
      <c r="H79" s="45" t="str">
        <f>_xlfn.XLOOKUP(A79,Output_Mac!A:A,Output_Mac!I:I,"")</f>
        <v/>
      </c>
      <c r="I79" s="45" t="str" cm="1">
        <f t="array" ref="I79">IFERROR(_xlfn.LET(
_xlpm.CSVVal,_xlfn.XLOOKUP($A79,CSV!$A:$A,CSV!H:H,""),
_xlpm.MacVal,_xlfn.XLOOKUP($A79,Output_Mac!$A:$A,Output_Mac!J:J,""),
_xlpm.MyAuditVal,_xlfn.XLOOKUP($A79,My_Audit!$A:$A,My_Audit!H:H,""),
_xlfn.IFS(_xlpm.MyAuditVal&lt;&gt;"",UPPER(_xlpm.MyAuditVal),_xlpm.MacVal&lt;&gt;"",_xlpm.MacVal,_xlpm.CSVVal&lt;&gt;"",_xlpm.CSVVal
)),"")</f>
        <v/>
      </c>
      <c r="J79" s="45" t="str" cm="1">
        <f t="array" ref="J79">IFERROR(_xlfn.LET(
_xlpm.CSVVal,_xlfn.XLOOKUP($A79,CSV!$A:$A,CSV!J:J,""),
_xlpm.MacVal,_xlfn.XLOOKUP($A79,Output_Mac!$A:$A,Output_Mac!K:K,""),
_xlpm.MyAuditVal,_xlfn.XLOOKUP($A79,My_Audit!$A:$A,My_Audit!I:I,""),
_xlfn.IFS(_xlpm.MyAuditVal&lt;&gt;"",UPPER(_xlpm.MyAuditVal),_xlpm.MacVal&lt;&gt;"",_xlpm.MacVal,_xlpm.CSVVal&lt;&gt;"",_xlpm.CSVVal
)),"")</f>
        <v/>
      </c>
      <c r="K79" s="45" t="str" cm="1">
        <f t="array" ref="K79">IFERROR(_xlfn.LET(
_xlpm.CSVVal,_xlfn.XLOOKUP($A79,CSV!$A:$A,CSV!N:N,""),
_xlpm.MacVal,_xlfn.XLOOKUP($A79,Output_Mac!$A:$A,Output_Mac!L:L,""),
_xlpm.MyAuditVal,_xlfn.XLOOKUP($A79,My_Audit!$A:$A,My_Audit!J:J,""),
_xlfn.IFS(_xlpm.MyAuditVal&lt;&gt;"",UPPER(_xlpm.MyAuditVal),_xlpm.MacVal&lt;&gt;"",_xlpm.MacVal,_xlpm.CSVVal&lt;&gt;"",_xlpm.CSVVal
)),"")</f>
        <v/>
      </c>
      <c r="L79" s="46" t="str" cm="1">
        <f t="array" ref="L79">IFERROR(_xlfn.LET(
_xlpm.CSVVal,_xlfn.XLOOKUP($A79,CSV!$A:$A,CSV!Q:Q,""),
_xlpm.MacVal,_xlfn.XLOOKUP($A79,Output_Mac!$A:$A,Output_Mac!M:M,""),
_xlpm.MyAuditVal,_xlfn.XLOOKUP($A79,My_Audit!$A:$A,My_Audit!K:K,""),
_xlfn.IFS(_xlpm.MyAuditVal&lt;&gt;"",UPPER(_xlpm.MyAuditVal),_xlpm.MacVal&lt;&gt;"",_xlpm.MacVal,_xlpm.CSVVal&lt;&gt;"",_xlpm.CSVVal
)),"")</f>
        <v/>
      </c>
      <c r="M79" s="45" t="str">
        <f>_xlfn.LET(
    _xlpm.CSVVal, _xlfn.XLOOKUP($A79, CSV!$A:$A, CSV!AE:AE, ""),
    _xlpm.MacVal, _xlfn.XLOOKUP($A79, Output_Mac!$A:$A, Output_Mac!S:S, ""),
    _xlpm.MyAuditVal, _xlfn.XLOOKUP($A79, My_Audit!$A:$A, My_Audit!N:N, ""),
    _xlfn.TEXTJOIN(", ", TRUE, _xlpm.MyAuditVal, _xlpm.MacVal, _xlpm.CSVVal)
)</f>
        <v/>
      </c>
      <c r="N79" s="45" t="str" cm="1">
        <f t="array" ref="N79">IFERROR(_xlfn.LET(
_xlpm.CSVVal,_xlfn.XLOOKUP($A79,CSV!$A:$A,CSV!AG:AG,""),
_xlpm.MacVal,_xlfn.XLOOKUP($A79,Output_Mac!$A:$A,Output_Mac!U:U,""),
_xlpm.MyAuditVal,_xlfn.XLOOKUP($A79,My_Audit!$A:$A,My_Audit!O:O,""),
_xlfn.IFS(_xlpm.MyAuditVal&lt;&gt;"",UPPER(_xlpm.MyAuditVal),_xlpm.MacVal&lt;&gt;"",_xlpm.MacVal,_xlpm.CSVVal&lt;&gt;"",_xlpm.CSVVal
)),"")</f>
        <v/>
      </c>
      <c r="O79" s="46" t="str">
        <f>_xlfn.XLOOKUP(C79,My_Audit!B:B,My_Audit!P:P,"")&amp;""</f>
        <v/>
      </c>
      <c r="P79" s="45"/>
      <c r="Q79" s="46" t="str">
        <f>IF(LEFT(N79,4)="Pass","Nist SP 800-88",My_Audit!R79)&amp;""</f>
        <v/>
      </c>
      <c r="R79" s="45"/>
      <c r="S79" s="45"/>
      <c r="T79" s="46" t="str">
        <f>_xlfn.XLOOKUP(E79,Models!I:I,Models!J:J,"")</f>
        <v/>
      </c>
      <c r="U79" s="45"/>
      <c r="V79" s="45"/>
      <c r="W79" s="38" t="str">
        <f>_xlfn.LET(
    _xlpm.MacVal, _xlfn.XLOOKUP($A79, Output_Mac!$A:$A, Output_Mac!AB:AB, ""),
    _xlpm.MyAuditVal, _xlfn.XLOOKUP($A79, My_Audit!$A:$A, My_Audit!L:L, ""),
    _xlfn.TEXTJOIN(", ", TRUE, _xlpm.MyAuditVal, _xlpm.MacVal)
)</f>
        <v/>
      </c>
    </row>
    <row r="80" spans="1:23">
      <c r="A80" s="45" t="str">
        <f>_xlfn.TEXTJOIN("",TRUE,Input!$B$2,ROW(My_Audit!A79))</f>
        <v>XX79</v>
      </c>
      <c r="B80" s="45" t="str">
        <f>_xlfn.TEXTJOIN("-",TRUE,"ITD",Input!$A$2,A80)</f>
        <v>ITD-SHRXXX-XX79</v>
      </c>
      <c r="C80" s="45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46" t="str" cm="1">
        <f t="array" ref="D80">IFERROR(_xlfn.LET(
_xlpm.CSVVal,_xlfn.XLOOKUP($A80,CSV!$A:$A,CSV!C:C,""),
_xlpm.MacVal,_xlfn.XLOOKUP($A80,Output_Mac!$A:$A,Output_Mac!D:D,""),
_xlpm.MyAuditVal,_xlfn.XLOOKUP($A80,My_Audit!$A:$A,My_Audit!C:C,""),
_xlfn.IFS(_xlpm.MyAuditVal&lt;&gt;"",UPPER(_xlpm.MyAuditVal),_xlpm.MacVal&lt;&gt;"",_xlpm.MacVal,_xlpm.CSVVal&lt;&gt;"",_xlpm.CSVVal
)),"")</f>
        <v/>
      </c>
      <c r="E80" s="46" t="str" cm="1">
        <f t="array" ref="E80">IFERROR(_xlfn.LET(
_xlpm.CSVVal,_xlfn.XLOOKUP($A80,CSV!$A:$A,CSV!E:E,""),
_xlpm.MacVal,_xlfn.XLOOKUP($A80,Output_Mac!$A:$A,Output_Mac!C:C,""),
_xlpm.MyAuditVal,_xlfn.XLOOKUP($A80,My_Audit!$A:$A,My_Audit!D:D,""),
_xlfn.IFS(_xlpm.MyAuditVal&lt;&gt;"",_xlpm.MyAuditVal,_xlpm.MacVal&lt;&gt;"",_xlpm.MacVal,_xlpm.CSVVal&lt;&gt;"",_xlpm.CSVVal
)),"")</f>
        <v/>
      </c>
      <c r="F80" s="45" t="str" cm="1">
        <f t="array" ref="F80">IFERROR(_xlfn.LET(
_xlpm.CSVVal,_xlfn.XLOOKUP($A80,CSV!$A:$A,CSV!F:F,""),
_xlpm.MacVal,_xlfn.XLOOKUP($A80,Output_Mac!$A:$A,Output_Mac!F:F,""),
_xlpm.MyAuditVal,_xlfn.XLOOKUP($A80,My_Audit!$A:$A,My_Audit!E:E,""),
_xlfn.IFS(_xlpm.MyAuditVal&lt;&gt;"",_xlpm.MyAuditVal,_xlpm.MacVal&lt;&gt;"",_xlpm.MacVal,_xlpm.CSVVal&lt;&gt;"",PROPER(_xlpm.CSVVal)
)),"")</f>
        <v/>
      </c>
      <c r="G80" s="45" t="str" cm="1">
        <f t="array" ref="G80">IFERROR(_xlfn.LET(
_xlpm.CSVVal,_xlfn.XLOOKUP($A80,CSV!$A:$A,CSV!G:G,""),
_xlpm.MacVal,_xlfn.XLOOKUP($A80,Output_Mac!$A:$A,Output_Mac!H:H,""),
_xlpm.MyAuditVal,_xlfn.XLOOKUP($A80,My_Audit!$A:$A,My_Audit!F:F,""),
_xlfn.IFS(_xlpm.MyAuditVal&lt;&gt;"",_xlpm.MyAuditVal,_xlpm.MacVal&lt;&gt;"",_xlpm.MacVal,_xlpm.CSVVal&lt;&gt;"",_xlpm.CSVVal
)),"")</f>
        <v/>
      </c>
      <c r="H80" s="45" t="str">
        <f>_xlfn.XLOOKUP(A80,Output_Mac!A:A,Output_Mac!I:I,"")</f>
        <v/>
      </c>
      <c r="I80" s="45" t="str" cm="1">
        <f t="array" ref="I80">IFERROR(_xlfn.LET(
_xlpm.CSVVal,_xlfn.XLOOKUP($A80,CSV!$A:$A,CSV!H:H,""),
_xlpm.MacVal,_xlfn.XLOOKUP($A80,Output_Mac!$A:$A,Output_Mac!J:J,""),
_xlpm.MyAuditVal,_xlfn.XLOOKUP($A80,My_Audit!$A:$A,My_Audit!H:H,""),
_xlfn.IFS(_xlpm.MyAuditVal&lt;&gt;"",UPPER(_xlpm.MyAuditVal),_xlpm.MacVal&lt;&gt;"",_xlpm.MacVal,_xlpm.CSVVal&lt;&gt;"",_xlpm.CSVVal
)),"")</f>
        <v/>
      </c>
      <c r="J80" s="45" t="str" cm="1">
        <f t="array" ref="J80">IFERROR(_xlfn.LET(
_xlpm.CSVVal,_xlfn.XLOOKUP($A80,CSV!$A:$A,CSV!J:J,""),
_xlpm.MacVal,_xlfn.XLOOKUP($A80,Output_Mac!$A:$A,Output_Mac!K:K,""),
_xlpm.MyAuditVal,_xlfn.XLOOKUP($A80,My_Audit!$A:$A,My_Audit!I:I,""),
_xlfn.IFS(_xlpm.MyAuditVal&lt;&gt;"",UPPER(_xlpm.MyAuditVal),_xlpm.MacVal&lt;&gt;"",_xlpm.MacVal,_xlpm.CSVVal&lt;&gt;"",_xlpm.CSVVal
)),"")</f>
        <v/>
      </c>
      <c r="K80" s="45" t="str" cm="1">
        <f t="array" ref="K80">IFERROR(_xlfn.LET(
_xlpm.CSVVal,_xlfn.XLOOKUP($A80,CSV!$A:$A,CSV!N:N,""),
_xlpm.MacVal,_xlfn.XLOOKUP($A80,Output_Mac!$A:$A,Output_Mac!L:L,""),
_xlpm.MyAuditVal,_xlfn.XLOOKUP($A80,My_Audit!$A:$A,My_Audit!J:J,""),
_xlfn.IFS(_xlpm.MyAuditVal&lt;&gt;"",UPPER(_xlpm.MyAuditVal),_xlpm.MacVal&lt;&gt;"",_xlpm.MacVal,_xlpm.CSVVal&lt;&gt;"",_xlpm.CSVVal
)),"")</f>
        <v/>
      </c>
      <c r="L80" s="46" t="str" cm="1">
        <f t="array" ref="L80">IFERROR(_xlfn.LET(
_xlpm.CSVVal,_xlfn.XLOOKUP($A80,CSV!$A:$A,CSV!Q:Q,""),
_xlpm.MacVal,_xlfn.XLOOKUP($A80,Output_Mac!$A:$A,Output_Mac!M:M,""),
_xlpm.MyAuditVal,_xlfn.XLOOKUP($A80,My_Audit!$A:$A,My_Audit!K:K,""),
_xlfn.IFS(_xlpm.MyAuditVal&lt;&gt;"",UPPER(_xlpm.MyAuditVal),_xlpm.MacVal&lt;&gt;"",_xlpm.MacVal,_xlpm.CSVVal&lt;&gt;"",_xlpm.CSVVal
)),"")</f>
        <v/>
      </c>
      <c r="M80" s="45" t="str">
        <f>_xlfn.LET(
    _xlpm.CSVVal, _xlfn.XLOOKUP($A80, CSV!$A:$A, CSV!AE:AE, ""),
    _xlpm.MacVal, _xlfn.XLOOKUP($A80, Output_Mac!$A:$A, Output_Mac!S:S, ""),
    _xlpm.MyAuditVal, _xlfn.XLOOKUP($A80, My_Audit!$A:$A, My_Audit!N:N, ""),
    _xlfn.TEXTJOIN(", ", TRUE, _xlpm.MyAuditVal, _xlpm.MacVal, _xlpm.CSVVal)
)</f>
        <v/>
      </c>
      <c r="N80" s="45" t="str" cm="1">
        <f t="array" ref="N80">IFERROR(_xlfn.LET(
_xlpm.CSVVal,_xlfn.XLOOKUP($A80,CSV!$A:$A,CSV!AG:AG,""),
_xlpm.MacVal,_xlfn.XLOOKUP($A80,Output_Mac!$A:$A,Output_Mac!U:U,""),
_xlpm.MyAuditVal,_xlfn.XLOOKUP($A80,My_Audit!$A:$A,My_Audit!O:O,""),
_xlfn.IFS(_xlpm.MyAuditVal&lt;&gt;"",UPPER(_xlpm.MyAuditVal),_xlpm.MacVal&lt;&gt;"",_xlpm.MacVal,_xlpm.CSVVal&lt;&gt;"",_xlpm.CSVVal
)),"")</f>
        <v/>
      </c>
      <c r="O80" s="46" t="str">
        <f>_xlfn.XLOOKUP(C80,My_Audit!B:B,My_Audit!P:P,"")&amp;""</f>
        <v/>
      </c>
      <c r="P80" s="45"/>
      <c r="Q80" s="46" t="str">
        <f>IF(LEFT(N80,4)="Pass","Nist SP 800-88",My_Audit!R80)&amp;""</f>
        <v/>
      </c>
      <c r="R80" s="45"/>
      <c r="S80" s="45"/>
      <c r="T80" s="46" t="str">
        <f>_xlfn.XLOOKUP(E80,Models!I:I,Models!J:J,"")</f>
        <v/>
      </c>
      <c r="U80" s="45"/>
      <c r="V80" s="45"/>
      <c r="W80" s="38" t="str">
        <f>_xlfn.LET(
    _xlpm.MacVal, _xlfn.XLOOKUP($A80, Output_Mac!$A:$A, Output_Mac!AB:AB, ""),
    _xlpm.MyAuditVal, _xlfn.XLOOKUP($A80, My_Audit!$A:$A, My_Audit!L:L, ""),
    _xlfn.TEXTJOIN(", ", TRUE, _xlpm.MyAuditVal, _xlpm.MacVal)
)</f>
        <v/>
      </c>
    </row>
    <row r="81" spans="1:23">
      <c r="A81" s="45" t="str">
        <f>_xlfn.TEXTJOIN("",TRUE,Input!$B$2,ROW(My_Audit!A80))</f>
        <v>XX80</v>
      </c>
      <c r="B81" s="45" t="str">
        <f>_xlfn.TEXTJOIN("-",TRUE,"ITD",Input!$A$2,A81)</f>
        <v>ITD-SHRXXX-XX80</v>
      </c>
      <c r="C81" s="45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46" t="str" cm="1">
        <f t="array" ref="D81">IFERROR(_xlfn.LET(
_xlpm.CSVVal,_xlfn.XLOOKUP($A81,CSV!$A:$A,CSV!C:C,""),
_xlpm.MacVal,_xlfn.XLOOKUP($A81,Output_Mac!$A:$A,Output_Mac!D:D,""),
_xlpm.MyAuditVal,_xlfn.XLOOKUP($A81,My_Audit!$A:$A,My_Audit!C:C,""),
_xlfn.IFS(_xlpm.MyAuditVal&lt;&gt;"",UPPER(_xlpm.MyAuditVal),_xlpm.MacVal&lt;&gt;"",_xlpm.MacVal,_xlpm.CSVVal&lt;&gt;"",_xlpm.CSVVal
)),"")</f>
        <v/>
      </c>
      <c r="E81" s="46" t="str" cm="1">
        <f t="array" ref="E81">IFERROR(_xlfn.LET(
_xlpm.CSVVal,_xlfn.XLOOKUP($A81,CSV!$A:$A,CSV!E:E,""),
_xlpm.MacVal,_xlfn.XLOOKUP($A81,Output_Mac!$A:$A,Output_Mac!C:C,""),
_xlpm.MyAuditVal,_xlfn.XLOOKUP($A81,My_Audit!$A:$A,My_Audit!D:D,""),
_xlfn.IFS(_xlpm.MyAuditVal&lt;&gt;"",_xlpm.MyAuditVal,_xlpm.MacVal&lt;&gt;"",_xlpm.MacVal,_xlpm.CSVVal&lt;&gt;"",_xlpm.CSVVal
)),"")</f>
        <v/>
      </c>
      <c r="F81" s="45" t="str" cm="1">
        <f t="array" ref="F81">IFERROR(_xlfn.LET(
_xlpm.CSVVal,_xlfn.XLOOKUP($A81,CSV!$A:$A,CSV!F:F,""),
_xlpm.MacVal,_xlfn.XLOOKUP($A81,Output_Mac!$A:$A,Output_Mac!F:F,""),
_xlpm.MyAuditVal,_xlfn.XLOOKUP($A81,My_Audit!$A:$A,My_Audit!E:E,""),
_xlfn.IFS(_xlpm.MyAuditVal&lt;&gt;"",_xlpm.MyAuditVal,_xlpm.MacVal&lt;&gt;"",_xlpm.MacVal,_xlpm.CSVVal&lt;&gt;"",PROPER(_xlpm.CSVVal)
)),"")</f>
        <v/>
      </c>
      <c r="G81" s="45" t="str" cm="1">
        <f t="array" ref="G81">IFERROR(_xlfn.LET(
_xlpm.CSVVal,_xlfn.XLOOKUP($A81,CSV!$A:$A,CSV!G:G,""),
_xlpm.MacVal,_xlfn.XLOOKUP($A81,Output_Mac!$A:$A,Output_Mac!H:H,""),
_xlpm.MyAuditVal,_xlfn.XLOOKUP($A81,My_Audit!$A:$A,My_Audit!F:F,""),
_xlfn.IFS(_xlpm.MyAuditVal&lt;&gt;"",_xlpm.MyAuditVal,_xlpm.MacVal&lt;&gt;"",_xlpm.MacVal,_xlpm.CSVVal&lt;&gt;"",_xlpm.CSVVal
)),"")</f>
        <v/>
      </c>
      <c r="H81" s="45" t="str">
        <f>_xlfn.XLOOKUP(A81,Output_Mac!A:A,Output_Mac!I:I,"")</f>
        <v/>
      </c>
      <c r="I81" s="45" t="str" cm="1">
        <f t="array" ref="I81">IFERROR(_xlfn.LET(
_xlpm.CSVVal,_xlfn.XLOOKUP($A81,CSV!$A:$A,CSV!H:H,""),
_xlpm.MacVal,_xlfn.XLOOKUP($A81,Output_Mac!$A:$A,Output_Mac!J:J,""),
_xlpm.MyAuditVal,_xlfn.XLOOKUP($A81,My_Audit!$A:$A,My_Audit!H:H,""),
_xlfn.IFS(_xlpm.MyAuditVal&lt;&gt;"",UPPER(_xlpm.MyAuditVal),_xlpm.MacVal&lt;&gt;"",_xlpm.MacVal,_xlpm.CSVVal&lt;&gt;"",_xlpm.CSVVal
)),"")</f>
        <v/>
      </c>
      <c r="J81" s="45" t="str" cm="1">
        <f t="array" ref="J81">IFERROR(_xlfn.LET(
_xlpm.CSVVal,_xlfn.XLOOKUP($A81,CSV!$A:$A,CSV!J:J,""),
_xlpm.MacVal,_xlfn.XLOOKUP($A81,Output_Mac!$A:$A,Output_Mac!K:K,""),
_xlpm.MyAuditVal,_xlfn.XLOOKUP($A81,My_Audit!$A:$A,My_Audit!I:I,""),
_xlfn.IFS(_xlpm.MyAuditVal&lt;&gt;"",UPPER(_xlpm.MyAuditVal),_xlpm.MacVal&lt;&gt;"",_xlpm.MacVal,_xlpm.CSVVal&lt;&gt;"",_xlpm.CSVVal
)),"")</f>
        <v/>
      </c>
      <c r="K81" s="45" t="str" cm="1">
        <f t="array" ref="K81">IFERROR(_xlfn.LET(
_xlpm.CSVVal,_xlfn.XLOOKUP($A81,CSV!$A:$A,CSV!N:N,""),
_xlpm.MacVal,_xlfn.XLOOKUP($A81,Output_Mac!$A:$A,Output_Mac!L:L,""),
_xlpm.MyAuditVal,_xlfn.XLOOKUP($A81,My_Audit!$A:$A,My_Audit!J:J,""),
_xlfn.IFS(_xlpm.MyAuditVal&lt;&gt;"",UPPER(_xlpm.MyAuditVal),_xlpm.MacVal&lt;&gt;"",_xlpm.MacVal,_xlpm.CSVVal&lt;&gt;"",_xlpm.CSVVal
)),"")</f>
        <v/>
      </c>
      <c r="L81" s="46" t="str" cm="1">
        <f t="array" ref="L81">IFERROR(_xlfn.LET(
_xlpm.CSVVal,_xlfn.XLOOKUP($A81,CSV!$A:$A,CSV!Q:Q,""),
_xlpm.MacVal,_xlfn.XLOOKUP($A81,Output_Mac!$A:$A,Output_Mac!M:M,""),
_xlpm.MyAuditVal,_xlfn.XLOOKUP($A81,My_Audit!$A:$A,My_Audit!K:K,""),
_xlfn.IFS(_xlpm.MyAuditVal&lt;&gt;"",UPPER(_xlpm.MyAuditVal),_xlpm.MacVal&lt;&gt;"",_xlpm.MacVal,_xlpm.CSVVal&lt;&gt;"",_xlpm.CSVVal
)),"")</f>
        <v/>
      </c>
      <c r="M81" s="45" t="str">
        <f>_xlfn.LET(
    _xlpm.CSVVal, _xlfn.XLOOKUP($A81, CSV!$A:$A, CSV!AE:AE, ""),
    _xlpm.MacVal, _xlfn.XLOOKUP($A81, Output_Mac!$A:$A, Output_Mac!S:S, ""),
    _xlpm.MyAuditVal, _xlfn.XLOOKUP($A81, My_Audit!$A:$A, My_Audit!N:N, ""),
    _xlfn.TEXTJOIN(", ", TRUE, _xlpm.MyAuditVal, _xlpm.MacVal, _xlpm.CSVVal)
)</f>
        <v/>
      </c>
      <c r="N81" s="45" t="str" cm="1">
        <f t="array" ref="N81">IFERROR(_xlfn.LET(
_xlpm.CSVVal,_xlfn.XLOOKUP($A81,CSV!$A:$A,CSV!AG:AG,""),
_xlpm.MacVal,_xlfn.XLOOKUP($A81,Output_Mac!$A:$A,Output_Mac!U:U,""),
_xlpm.MyAuditVal,_xlfn.XLOOKUP($A81,My_Audit!$A:$A,My_Audit!O:O,""),
_xlfn.IFS(_xlpm.MyAuditVal&lt;&gt;"",UPPER(_xlpm.MyAuditVal),_xlpm.MacVal&lt;&gt;"",_xlpm.MacVal,_xlpm.CSVVal&lt;&gt;"",_xlpm.CSVVal
)),"")</f>
        <v/>
      </c>
      <c r="O81" s="46" t="str">
        <f>_xlfn.XLOOKUP(C81,My_Audit!B:B,My_Audit!P:P,"")&amp;""</f>
        <v/>
      </c>
      <c r="P81" s="45"/>
      <c r="Q81" s="46" t="str">
        <f>IF(LEFT(N81,4)="Pass","Nist SP 800-88",My_Audit!R81)&amp;""</f>
        <v/>
      </c>
      <c r="R81" s="45"/>
      <c r="S81" s="45"/>
      <c r="T81" s="46" t="str">
        <f>_xlfn.XLOOKUP(E81,Models!I:I,Models!J:J,"")</f>
        <v/>
      </c>
      <c r="U81" s="45"/>
      <c r="V81" s="45"/>
      <c r="W81" s="38" t="str">
        <f>_xlfn.LET(
    _xlpm.MacVal, _xlfn.XLOOKUP($A81, Output_Mac!$A:$A, Output_Mac!AB:AB, ""),
    _xlpm.MyAuditVal, _xlfn.XLOOKUP($A81, My_Audit!$A:$A, My_Audit!L:L, ""),
    _xlfn.TEXTJOIN(", ", TRUE, _xlpm.MyAuditVal, _xlpm.MacVal)
)</f>
        <v/>
      </c>
    </row>
    <row r="82" spans="1:23">
      <c r="A82" s="45" t="str">
        <f>_xlfn.TEXTJOIN("",TRUE,Input!$B$2,ROW(My_Audit!A81))</f>
        <v>XX81</v>
      </c>
      <c r="B82" s="45" t="str">
        <f>_xlfn.TEXTJOIN("-",TRUE,"ITD",Input!$A$2,A82)</f>
        <v>ITD-SHRXXX-XX81</v>
      </c>
      <c r="C82" s="45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46" t="str" cm="1">
        <f t="array" ref="D82">IFERROR(_xlfn.LET(
_xlpm.CSVVal,_xlfn.XLOOKUP($A82,CSV!$A:$A,CSV!C:C,""),
_xlpm.MacVal,_xlfn.XLOOKUP($A82,Output_Mac!$A:$A,Output_Mac!D:D,""),
_xlpm.MyAuditVal,_xlfn.XLOOKUP($A82,My_Audit!$A:$A,My_Audit!C:C,""),
_xlfn.IFS(_xlpm.MyAuditVal&lt;&gt;"",UPPER(_xlpm.MyAuditVal),_xlpm.MacVal&lt;&gt;"",_xlpm.MacVal,_xlpm.CSVVal&lt;&gt;"",_xlpm.CSVVal
)),"")</f>
        <v/>
      </c>
      <c r="E82" s="46" t="str" cm="1">
        <f t="array" ref="E82">IFERROR(_xlfn.LET(
_xlpm.CSVVal,_xlfn.XLOOKUP($A82,CSV!$A:$A,CSV!E:E,""),
_xlpm.MacVal,_xlfn.XLOOKUP($A82,Output_Mac!$A:$A,Output_Mac!C:C,""),
_xlpm.MyAuditVal,_xlfn.XLOOKUP($A82,My_Audit!$A:$A,My_Audit!D:D,""),
_xlfn.IFS(_xlpm.MyAuditVal&lt;&gt;"",_xlpm.MyAuditVal,_xlpm.MacVal&lt;&gt;"",_xlpm.MacVal,_xlpm.CSVVal&lt;&gt;"",_xlpm.CSVVal
)),"")</f>
        <v/>
      </c>
      <c r="F82" s="45" t="str" cm="1">
        <f t="array" ref="F82">IFERROR(_xlfn.LET(
_xlpm.CSVVal,_xlfn.XLOOKUP($A82,CSV!$A:$A,CSV!F:F,""),
_xlpm.MacVal,_xlfn.XLOOKUP($A82,Output_Mac!$A:$A,Output_Mac!F:F,""),
_xlpm.MyAuditVal,_xlfn.XLOOKUP($A82,My_Audit!$A:$A,My_Audit!E:E,""),
_xlfn.IFS(_xlpm.MyAuditVal&lt;&gt;"",_xlpm.MyAuditVal,_xlpm.MacVal&lt;&gt;"",_xlpm.MacVal,_xlpm.CSVVal&lt;&gt;"",PROPER(_xlpm.CSVVal)
)),"")</f>
        <v/>
      </c>
      <c r="G82" s="45" t="str" cm="1">
        <f t="array" ref="G82">IFERROR(_xlfn.LET(
_xlpm.CSVVal,_xlfn.XLOOKUP($A82,CSV!$A:$A,CSV!G:G,""),
_xlpm.MacVal,_xlfn.XLOOKUP($A82,Output_Mac!$A:$A,Output_Mac!H:H,""),
_xlpm.MyAuditVal,_xlfn.XLOOKUP($A82,My_Audit!$A:$A,My_Audit!F:F,""),
_xlfn.IFS(_xlpm.MyAuditVal&lt;&gt;"",_xlpm.MyAuditVal,_xlpm.MacVal&lt;&gt;"",_xlpm.MacVal,_xlpm.CSVVal&lt;&gt;"",_xlpm.CSVVal
)),"")</f>
        <v/>
      </c>
      <c r="H82" s="45" t="str">
        <f>_xlfn.XLOOKUP(A82,Output_Mac!A:A,Output_Mac!I:I,"")</f>
        <v/>
      </c>
      <c r="I82" s="45" t="str" cm="1">
        <f t="array" ref="I82">IFERROR(_xlfn.LET(
_xlpm.CSVVal,_xlfn.XLOOKUP($A82,CSV!$A:$A,CSV!H:H,""),
_xlpm.MacVal,_xlfn.XLOOKUP($A82,Output_Mac!$A:$A,Output_Mac!J:J,""),
_xlpm.MyAuditVal,_xlfn.XLOOKUP($A82,My_Audit!$A:$A,My_Audit!H:H,""),
_xlfn.IFS(_xlpm.MyAuditVal&lt;&gt;"",UPPER(_xlpm.MyAuditVal),_xlpm.MacVal&lt;&gt;"",_xlpm.MacVal,_xlpm.CSVVal&lt;&gt;"",_xlpm.CSVVal
)),"")</f>
        <v/>
      </c>
      <c r="J82" s="45" t="str" cm="1">
        <f t="array" ref="J82">IFERROR(_xlfn.LET(
_xlpm.CSVVal,_xlfn.XLOOKUP($A82,CSV!$A:$A,CSV!J:J,""),
_xlpm.MacVal,_xlfn.XLOOKUP($A82,Output_Mac!$A:$A,Output_Mac!K:K,""),
_xlpm.MyAuditVal,_xlfn.XLOOKUP($A82,My_Audit!$A:$A,My_Audit!I:I,""),
_xlfn.IFS(_xlpm.MyAuditVal&lt;&gt;"",UPPER(_xlpm.MyAuditVal),_xlpm.MacVal&lt;&gt;"",_xlpm.MacVal,_xlpm.CSVVal&lt;&gt;"",_xlpm.CSVVal
)),"")</f>
        <v/>
      </c>
      <c r="K82" s="45" t="str" cm="1">
        <f t="array" ref="K82">IFERROR(_xlfn.LET(
_xlpm.CSVVal,_xlfn.XLOOKUP($A82,CSV!$A:$A,CSV!N:N,""),
_xlpm.MacVal,_xlfn.XLOOKUP($A82,Output_Mac!$A:$A,Output_Mac!L:L,""),
_xlpm.MyAuditVal,_xlfn.XLOOKUP($A82,My_Audit!$A:$A,My_Audit!J:J,""),
_xlfn.IFS(_xlpm.MyAuditVal&lt;&gt;"",UPPER(_xlpm.MyAuditVal),_xlpm.MacVal&lt;&gt;"",_xlpm.MacVal,_xlpm.CSVVal&lt;&gt;"",_xlpm.CSVVal
)),"")</f>
        <v/>
      </c>
      <c r="L82" s="46" t="str" cm="1">
        <f t="array" ref="L82">IFERROR(_xlfn.LET(
_xlpm.CSVVal,_xlfn.XLOOKUP($A82,CSV!$A:$A,CSV!Q:Q,""),
_xlpm.MacVal,_xlfn.XLOOKUP($A82,Output_Mac!$A:$A,Output_Mac!M:M,""),
_xlpm.MyAuditVal,_xlfn.XLOOKUP($A82,My_Audit!$A:$A,My_Audit!K:K,""),
_xlfn.IFS(_xlpm.MyAuditVal&lt;&gt;"",UPPER(_xlpm.MyAuditVal),_xlpm.MacVal&lt;&gt;"",_xlpm.MacVal,_xlpm.CSVVal&lt;&gt;"",_xlpm.CSVVal
)),"")</f>
        <v/>
      </c>
      <c r="M82" s="45" t="str">
        <f>_xlfn.LET(
    _xlpm.CSVVal, _xlfn.XLOOKUP($A82, CSV!$A:$A, CSV!AE:AE, ""),
    _xlpm.MacVal, _xlfn.XLOOKUP($A82, Output_Mac!$A:$A, Output_Mac!S:S, ""),
    _xlpm.MyAuditVal, _xlfn.XLOOKUP($A82, My_Audit!$A:$A, My_Audit!N:N, ""),
    _xlfn.TEXTJOIN(", ", TRUE, _xlpm.MyAuditVal, _xlpm.MacVal, _xlpm.CSVVal)
)</f>
        <v/>
      </c>
      <c r="N82" s="45" t="str" cm="1">
        <f t="array" ref="N82">IFERROR(_xlfn.LET(
_xlpm.CSVVal,_xlfn.XLOOKUP($A82,CSV!$A:$A,CSV!AG:AG,""),
_xlpm.MacVal,_xlfn.XLOOKUP($A82,Output_Mac!$A:$A,Output_Mac!U:U,""),
_xlpm.MyAuditVal,_xlfn.XLOOKUP($A82,My_Audit!$A:$A,My_Audit!O:O,""),
_xlfn.IFS(_xlpm.MyAuditVal&lt;&gt;"",UPPER(_xlpm.MyAuditVal),_xlpm.MacVal&lt;&gt;"",_xlpm.MacVal,_xlpm.CSVVal&lt;&gt;"",_xlpm.CSVVal
)),"")</f>
        <v/>
      </c>
      <c r="O82" s="46" t="str">
        <f>_xlfn.XLOOKUP(C82,My_Audit!B:B,My_Audit!P:P,"")&amp;""</f>
        <v/>
      </c>
      <c r="P82" s="45"/>
      <c r="Q82" s="46" t="str">
        <f>IF(LEFT(N82,4)="Pass","Nist SP 800-88",My_Audit!R82)&amp;""</f>
        <v/>
      </c>
      <c r="R82" s="45"/>
      <c r="S82" s="45"/>
      <c r="T82" s="46" t="str">
        <f>_xlfn.XLOOKUP(E82,Models!I:I,Models!J:J,"")</f>
        <v/>
      </c>
      <c r="U82" s="45"/>
      <c r="V82" s="45"/>
      <c r="W82" s="38" t="str">
        <f>_xlfn.LET(
    _xlpm.MacVal, _xlfn.XLOOKUP($A82, Output_Mac!$A:$A, Output_Mac!AB:AB, ""),
    _xlpm.MyAuditVal, _xlfn.XLOOKUP($A82, My_Audit!$A:$A, My_Audit!L:L, ""),
    _xlfn.TEXTJOIN(", ", TRUE, _xlpm.MyAuditVal, _xlpm.MacVal)
)</f>
        <v/>
      </c>
    </row>
    <row r="83" spans="1:23">
      <c r="A83" s="45" t="str">
        <f>_xlfn.TEXTJOIN("",TRUE,Input!$B$2,ROW(My_Audit!A82))</f>
        <v>XX82</v>
      </c>
      <c r="B83" s="45" t="str">
        <f>_xlfn.TEXTJOIN("-",TRUE,"ITD",Input!$A$2,A83)</f>
        <v>ITD-SHRXXX-XX82</v>
      </c>
      <c r="C83" s="45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46" t="str" cm="1">
        <f t="array" ref="D83">IFERROR(_xlfn.LET(
_xlpm.CSVVal,_xlfn.XLOOKUP($A83,CSV!$A:$A,CSV!C:C,""),
_xlpm.MacVal,_xlfn.XLOOKUP($A83,Output_Mac!$A:$A,Output_Mac!D:D,""),
_xlpm.MyAuditVal,_xlfn.XLOOKUP($A83,My_Audit!$A:$A,My_Audit!C:C,""),
_xlfn.IFS(_xlpm.MyAuditVal&lt;&gt;"",UPPER(_xlpm.MyAuditVal),_xlpm.MacVal&lt;&gt;"",_xlpm.MacVal,_xlpm.CSVVal&lt;&gt;"",_xlpm.CSVVal
)),"")</f>
        <v/>
      </c>
      <c r="E83" s="46" t="str" cm="1">
        <f t="array" ref="E83">IFERROR(_xlfn.LET(
_xlpm.CSVVal,_xlfn.XLOOKUP($A83,CSV!$A:$A,CSV!E:E,""),
_xlpm.MacVal,_xlfn.XLOOKUP($A83,Output_Mac!$A:$A,Output_Mac!C:C,""),
_xlpm.MyAuditVal,_xlfn.XLOOKUP($A83,My_Audit!$A:$A,My_Audit!D:D,""),
_xlfn.IFS(_xlpm.MyAuditVal&lt;&gt;"",_xlpm.MyAuditVal,_xlpm.MacVal&lt;&gt;"",_xlpm.MacVal,_xlpm.CSVVal&lt;&gt;"",_xlpm.CSVVal
)),"")</f>
        <v/>
      </c>
      <c r="F83" s="45" t="str" cm="1">
        <f t="array" ref="F83">IFERROR(_xlfn.LET(
_xlpm.CSVVal,_xlfn.XLOOKUP($A83,CSV!$A:$A,CSV!F:F,""),
_xlpm.MacVal,_xlfn.XLOOKUP($A83,Output_Mac!$A:$A,Output_Mac!F:F,""),
_xlpm.MyAuditVal,_xlfn.XLOOKUP($A83,My_Audit!$A:$A,My_Audit!E:E,""),
_xlfn.IFS(_xlpm.MyAuditVal&lt;&gt;"",_xlpm.MyAuditVal,_xlpm.MacVal&lt;&gt;"",_xlpm.MacVal,_xlpm.CSVVal&lt;&gt;"",PROPER(_xlpm.CSVVal)
)),"")</f>
        <v/>
      </c>
      <c r="G83" s="45" t="str" cm="1">
        <f t="array" ref="G83">IFERROR(_xlfn.LET(
_xlpm.CSVVal,_xlfn.XLOOKUP($A83,CSV!$A:$A,CSV!G:G,""),
_xlpm.MacVal,_xlfn.XLOOKUP($A83,Output_Mac!$A:$A,Output_Mac!H:H,""),
_xlpm.MyAuditVal,_xlfn.XLOOKUP($A83,My_Audit!$A:$A,My_Audit!F:F,""),
_xlfn.IFS(_xlpm.MyAuditVal&lt;&gt;"",_xlpm.MyAuditVal,_xlpm.MacVal&lt;&gt;"",_xlpm.MacVal,_xlpm.CSVVal&lt;&gt;"",_xlpm.CSVVal
)),"")</f>
        <v/>
      </c>
      <c r="H83" s="45" t="str">
        <f>_xlfn.XLOOKUP(A83,Output_Mac!A:A,Output_Mac!I:I,"")</f>
        <v/>
      </c>
      <c r="I83" s="45" t="str" cm="1">
        <f t="array" ref="I83">IFERROR(_xlfn.LET(
_xlpm.CSVVal,_xlfn.XLOOKUP($A83,CSV!$A:$A,CSV!H:H,""),
_xlpm.MacVal,_xlfn.XLOOKUP($A83,Output_Mac!$A:$A,Output_Mac!J:J,""),
_xlpm.MyAuditVal,_xlfn.XLOOKUP($A83,My_Audit!$A:$A,My_Audit!H:H,""),
_xlfn.IFS(_xlpm.MyAuditVal&lt;&gt;"",UPPER(_xlpm.MyAuditVal),_xlpm.MacVal&lt;&gt;"",_xlpm.MacVal,_xlpm.CSVVal&lt;&gt;"",_xlpm.CSVVal
)),"")</f>
        <v/>
      </c>
      <c r="J83" s="45" t="str" cm="1">
        <f t="array" ref="J83">IFERROR(_xlfn.LET(
_xlpm.CSVVal,_xlfn.XLOOKUP($A83,CSV!$A:$A,CSV!J:J,""),
_xlpm.MacVal,_xlfn.XLOOKUP($A83,Output_Mac!$A:$A,Output_Mac!K:K,""),
_xlpm.MyAuditVal,_xlfn.XLOOKUP($A83,My_Audit!$A:$A,My_Audit!I:I,""),
_xlfn.IFS(_xlpm.MyAuditVal&lt;&gt;"",UPPER(_xlpm.MyAuditVal),_xlpm.MacVal&lt;&gt;"",_xlpm.MacVal,_xlpm.CSVVal&lt;&gt;"",_xlpm.CSVVal
)),"")</f>
        <v/>
      </c>
      <c r="K83" s="45" t="str" cm="1">
        <f t="array" ref="K83">IFERROR(_xlfn.LET(
_xlpm.CSVVal,_xlfn.XLOOKUP($A83,CSV!$A:$A,CSV!N:N,""),
_xlpm.MacVal,_xlfn.XLOOKUP($A83,Output_Mac!$A:$A,Output_Mac!L:L,""),
_xlpm.MyAuditVal,_xlfn.XLOOKUP($A83,My_Audit!$A:$A,My_Audit!J:J,""),
_xlfn.IFS(_xlpm.MyAuditVal&lt;&gt;"",UPPER(_xlpm.MyAuditVal),_xlpm.MacVal&lt;&gt;"",_xlpm.MacVal,_xlpm.CSVVal&lt;&gt;"",_xlpm.CSVVal
)),"")</f>
        <v/>
      </c>
      <c r="L83" s="46" t="str" cm="1">
        <f t="array" ref="L83">IFERROR(_xlfn.LET(
_xlpm.CSVVal,_xlfn.XLOOKUP($A83,CSV!$A:$A,CSV!Q:Q,""),
_xlpm.MacVal,_xlfn.XLOOKUP($A83,Output_Mac!$A:$A,Output_Mac!M:M,""),
_xlpm.MyAuditVal,_xlfn.XLOOKUP($A83,My_Audit!$A:$A,My_Audit!K:K,""),
_xlfn.IFS(_xlpm.MyAuditVal&lt;&gt;"",UPPER(_xlpm.MyAuditVal),_xlpm.MacVal&lt;&gt;"",_xlpm.MacVal,_xlpm.CSVVal&lt;&gt;"",_xlpm.CSVVal
)),"")</f>
        <v/>
      </c>
      <c r="M83" s="45" t="str">
        <f>_xlfn.LET(
    _xlpm.CSVVal, _xlfn.XLOOKUP($A83, CSV!$A:$A, CSV!AE:AE, ""),
    _xlpm.MacVal, _xlfn.XLOOKUP($A83, Output_Mac!$A:$A, Output_Mac!S:S, ""),
    _xlpm.MyAuditVal, _xlfn.XLOOKUP($A83, My_Audit!$A:$A, My_Audit!N:N, ""),
    _xlfn.TEXTJOIN(", ", TRUE, _xlpm.MyAuditVal, _xlpm.MacVal, _xlpm.CSVVal)
)</f>
        <v/>
      </c>
      <c r="N83" s="45" t="str" cm="1">
        <f t="array" ref="N83">IFERROR(_xlfn.LET(
_xlpm.CSVVal,_xlfn.XLOOKUP($A83,CSV!$A:$A,CSV!AG:AG,""),
_xlpm.MacVal,_xlfn.XLOOKUP($A83,Output_Mac!$A:$A,Output_Mac!U:U,""),
_xlpm.MyAuditVal,_xlfn.XLOOKUP($A83,My_Audit!$A:$A,My_Audit!O:O,""),
_xlfn.IFS(_xlpm.MyAuditVal&lt;&gt;"",UPPER(_xlpm.MyAuditVal),_xlpm.MacVal&lt;&gt;"",_xlpm.MacVal,_xlpm.CSVVal&lt;&gt;"",_xlpm.CSVVal
)),"")</f>
        <v/>
      </c>
      <c r="O83" s="46" t="str">
        <f>_xlfn.XLOOKUP(C83,My_Audit!B:B,My_Audit!P:P,"")&amp;""</f>
        <v/>
      </c>
      <c r="P83" s="45"/>
      <c r="Q83" s="46" t="str">
        <f>IF(LEFT(N83,4)="Pass","Nist SP 800-88",My_Audit!R83)&amp;""</f>
        <v/>
      </c>
      <c r="R83" s="45"/>
      <c r="S83" s="45"/>
      <c r="T83" s="46" t="str">
        <f>_xlfn.XLOOKUP(E83,Models!I:I,Models!J:J,"")</f>
        <v/>
      </c>
      <c r="U83" s="45"/>
      <c r="V83" s="45"/>
      <c r="W83" s="38" t="str">
        <f>_xlfn.LET(
    _xlpm.MacVal, _xlfn.XLOOKUP($A83, Output_Mac!$A:$A, Output_Mac!AB:AB, ""),
    _xlpm.MyAuditVal, _xlfn.XLOOKUP($A83, My_Audit!$A:$A, My_Audit!L:L, ""),
    _xlfn.TEXTJOIN(", ", TRUE, _xlpm.MyAuditVal, _xlpm.MacVal)
)</f>
        <v/>
      </c>
    </row>
    <row r="84" spans="1:23">
      <c r="A84" s="45" t="str">
        <f>_xlfn.TEXTJOIN("",TRUE,Input!$B$2,ROW(My_Audit!A83))</f>
        <v>XX83</v>
      </c>
      <c r="B84" s="45" t="str">
        <f>_xlfn.TEXTJOIN("-",TRUE,"ITD",Input!$A$2,A84)</f>
        <v>ITD-SHRXXX-XX83</v>
      </c>
      <c r="C84" s="45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46" t="str" cm="1">
        <f t="array" ref="D84">IFERROR(_xlfn.LET(
_xlpm.CSVVal,_xlfn.XLOOKUP($A84,CSV!$A:$A,CSV!C:C,""),
_xlpm.MacVal,_xlfn.XLOOKUP($A84,Output_Mac!$A:$A,Output_Mac!D:D,""),
_xlpm.MyAuditVal,_xlfn.XLOOKUP($A84,My_Audit!$A:$A,My_Audit!C:C,""),
_xlfn.IFS(_xlpm.MyAuditVal&lt;&gt;"",UPPER(_xlpm.MyAuditVal),_xlpm.MacVal&lt;&gt;"",_xlpm.MacVal,_xlpm.CSVVal&lt;&gt;"",_xlpm.CSVVal
)),"")</f>
        <v/>
      </c>
      <c r="E84" s="46" t="str" cm="1">
        <f t="array" ref="E84">IFERROR(_xlfn.LET(
_xlpm.CSVVal,_xlfn.XLOOKUP($A84,CSV!$A:$A,CSV!E:E,""),
_xlpm.MacVal,_xlfn.XLOOKUP($A84,Output_Mac!$A:$A,Output_Mac!C:C,""),
_xlpm.MyAuditVal,_xlfn.XLOOKUP($A84,My_Audit!$A:$A,My_Audit!D:D,""),
_xlfn.IFS(_xlpm.MyAuditVal&lt;&gt;"",_xlpm.MyAuditVal,_xlpm.MacVal&lt;&gt;"",_xlpm.MacVal,_xlpm.CSVVal&lt;&gt;"",_xlpm.CSVVal
)),"")</f>
        <v/>
      </c>
      <c r="F84" s="45" t="str" cm="1">
        <f t="array" ref="F84">IFERROR(_xlfn.LET(
_xlpm.CSVVal,_xlfn.XLOOKUP($A84,CSV!$A:$A,CSV!F:F,""),
_xlpm.MacVal,_xlfn.XLOOKUP($A84,Output_Mac!$A:$A,Output_Mac!F:F,""),
_xlpm.MyAuditVal,_xlfn.XLOOKUP($A84,My_Audit!$A:$A,My_Audit!E:E,""),
_xlfn.IFS(_xlpm.MyAuditVal&lt;&gt;"",_xlpm.MyAuditVal,_xlpm.MacVal&lt;&gt;"",_xlpm.MacVal,_xlpm.CSVVal&lt;&gt;"",PROPER(_xlpm.CSVVal)
)),"")</f>
        <v/>
      </c>
      <c r="G84" s="45" t="str" cm="1">
        <f t="array" ref="G84">IFERROR(_xlfn.LET(
_xlpm.CSVVal,_xlfn.XLOOKUP($A84,CSV!$A:$A,CSV!G:G,""),
_xlpm.MacVal,_xlfn.XLOOKUP($A84,Output_Mac!$A:$A,Output_Mac!H:H,""),
_xlpm.MyAuditVal,_xlfn.XLOOKUP($A84,My_Audit!$A:$A,My_Audit!F:F,""),
_xlfn.IFS(_xlpm.MyAuditVal&lt;&gt;"",_xlpm.MyAuditVal,_xlpm.MacVal&lt;&gt;"",_xlpm.MacVal,_xlpm.CSVVal&lt;&gt;"",_xlpm.CSVVal
)),"")</f>
        <v/>
      </c>
      <c r="H84" s="45" t="str">
        <f>_xlfn.XLOOKUP(A84,Output_Mac!A:A,Output_Mac!I:I,"")</f>
        <v/>
      </c>
      <c r="I84" s="45" t="str" cm="1">
        <f t="array" ref="I84">IFERROR(_xlfn.LET(
_xlpm.CSVVal,_xlfn.XLOOKUP($A84,CSV!$A:$A,CSV!H:H,""),
_xlpm.MacVal,_xlfn.XLOOKUP($A84,Output_Mac!$A:$A,Output_Mac!J:J,""),
_xlpm.MyAuditVal,_xlfn.XLOOKUP($A84,My_Audit!$A:$A,My_Audit!H:H,""),
_xlfn.IFS(_xlpm.MyAuditVal&lt;&gt;"",UPPER(_xlpm.MyAuditVal),_xlpm.MacVal&lt;&gt;"",_xlpm.MacVal,_xlpm.CSVVal&lt;&gt;"",_xlpm.CSVVal
)),"")</f>
        <v/>
      </c>
      <c r="J84" s="45" t="str" cm="1">
        <f t="array" ref="J84">IFERROR(_xlfn.LET(
_xlpm.CSVVal,_xlfn.XLOOKUP($A84,CSV!$A:$A,CSV!J:J,""),
_xlpm.MacVal,_xlfn.XLOOKUP($A84,Output_Mac!$A:$A,Output_Mac!K:K,""),
_xlpm.MyAuditVal,_xlfn.XLOOKUP($A84,My_Audit!$A:$A,My_Audit!I:I,""),
_xlfn.IFS(_xlpm.MyAuditVal&lt;&gt;"",UPPER(_xlpm.MyAuditVal),_xlpm.MacVal&lt;&gt;"",_xlpm.MacVal,_xlpm.CSVVal&lt;&gt;"",_xlpm.CSVVal
)),"")</f>
        <v/>
      </c>
      <c r="K84" s="45" t="str" cm="1">
        <f t="array" ref="K84">IFERROR(_xlfn.LET(
_xlpm.CSVVal,_xlfn.XLOOKUP($A84,CSV!$A:$A,CSV!N:N,""),
_xlpm.MacVal,_xlfn.XLOOKUP($A84,Output_Mac!$A:$A,Output_Mac!L:L,""),
_xlpm.MyAuditVal,_xlfn.XLOOKUP($A84,My_Audit!$A:$A,My_Audit!J:J,""),
_xlfn.IFS(_xlpm.MyAuditVal&lt;&gt;"",UPPER(_xlpm.MyAuditVal),_xlpm.MacVal&lt;&gt;"",_xlpm.MacVal,_xlpm.CSVVal&lt;&gt;"",_xlpm.CSVVal
)),"")</f>
        <v/>
      </c>
      <c r="L84" s="46" t="str" cm="1">
        <f t="array" ref="L84">IFERROR(_xlfn.LET(
_xlpm.CSVVal,_xlfn.XLOOKUP($A84,CSV!$A:$A,CSV!Q:Q,""),
_xlpm.MacVal,_xlfn.XLOOKUP($A84,Output_Mac!$A:$A,Output_Mac!M:M,""),
_xlpm.MyAuditVal,_xlfn.XLOOKUP($A84,My_Audit!$A:$A,My_Audit!K:K,""),
_xlfn.IFS(_xlpm.MyAuditVal&lt;&gt;"",UPPER(_xlpm.MyAuditVal),_xlpm.MacVal&lt;&gt;"",_xlpm.MacVal,_xlpm.CSVVal&lt;&gt;"",_xlpm.CSVVal
)),"")</f>
        <v/>
      </c>
      <c r="M84" s="45" t="str">
        <f>_xlfn.LET(
    _xlpm.CSVVal, _xlfn.XLOOKUP($A84, CSV!$A:$A, CSV!AE:AE, ""),
    _xlpm.MacVal, _xlfn.XLOOKUP($A84, Output_Mac!$A:$A, Output_Mac!S:S, ""),
    _xlpm.MyAuditVal, _xlfn.XLOOKUP($A84, My_Audit!$A:$A, My_Audit!N:N, ""),
    _xlfn.TEXTJOIN(", ", TRUE, _xlpm.MyAuditVal, _xlpm.MacVal, _xlpm.CSVVal)
)</f>
        <v/>
      </c>
      <c r="N84" s="45" t="str" cm="1">
        <f t="array" ref="N84">IFERROR(_xlfn.LET(
_xlpm.CSVVal,_xlfn.XLOOKUP($A84,CSV!$A:$A,CSV!AG:AG,""),
_xlpm.MacVal,_xlfn.XLOOKUP($A84,Output_Mac!$A:$A,Output_Mac!U:U,""),
_xlpm.MyAuditVal,_xlfn.XLOOKUP($A84,My_Audit!$A:$A,My_Audit!O:O,""),
_xlfn.IFS(_xlpm.MyAuditVal&lt;&gt;"",UPPER(_xlpm.MyAuditVal),_xlpm.MacVal&lt;&gt;"",_xlpm.MacVal,_xlpm.CSVVal&lt;&gt;"",_xlpm.CSVVal
)),"")</f>
        <v/>
      </c>
      <c r="O84" s="46" t="str">
        <f>_xlfn.XLOOKUP(C84,My_Audit!B:B,My_Audit!P:P,"")&amp;""</f>
        <v/>
      </c>
      <c r="P84" s="45"/>
      <c r="Q84" s="46" t="str">
        <f>IF(LEFT(N84,4)="Pass","Nist SP 800-88",My_Audit!R84)&amp;""</f>
        <v/>
      </c>
      <c r="R84" s="45"/>
      <c r="S84" s="45"/>
      <c r="T84" s="46" t="str">
        <f>_xlfn.XLOOKUP(E84,Models!I:I,Models!J:J,"")</f>
        <v/>
      </c>
      <c r="U84" s="45"/>
      <c r="V84" s="45"/>
      <c r="W84" s="38" t="str">
        <f>_xlfn.LET(
    _xlpm.MacVal, _xlfn.XLOOKUP($A84, Output_Mac!$A:$A, Output_Mac!AB:AB, ""),
    _xlpm.MyAuditVal, _xlfn.XLOOKUP($A84, My_Audit!$A:$A, My_Audit!L:L, ""),
    _xlfn.TEXTJOIN(", ", TRUE, _xlpm.MyAuditVal, _xlpm.MacVal)
)</f>
        <v/>
      </c>
    </row>
    <row r="85" spans="1:23">
      <c r="A85" s="45" t="str">
        <f>_xlfn.TEXTJOIN("",TRUE,Input!$B$2,ROW(My_Audit!A84))</f>
        <v>XX84</v>
      </c>
      <c r="B85" s="45" t="str">
        <f>_xlfn.TEXTJOIN("-",TRUE,"ITD",Input!$A$2,A85)</f>
        <v>ITD-SHRXXX-XX84</v>
      </c>
      <c r="C85" s="45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46" t="str" cm="1">
        <f t="array" ref="D85">IFERROR(_xlfn.LET(
_xlpm.CSVVal,_xlfn.XLOOKUP($A85,CSV!$A:$A,CSV!C:C,""),
_xlpm.MacVal,_xlfn.XLOOKUP($A85,Output_Mac!$A:$A,Output_Mac!D:D,""),
_xlpm.MyAuditVal,_xlfn.XLOOKUP($A85,My_Audit!$A:$A,My_Audit!C:C,""),
_xlfn.IFS(_xlpm.MyAuditVal&lt;&gt;"",UPPER(_xlpm.MyAuditVal),_xlpm.MacVal&lt;&gt;"",_xlpm.MacVal,_xlpm.CSVVal&lt;&gt;"",_xlpm.CSVVal
)),"")</f>
        <v/>
      </c>
      <c r="E85" s="46" t="str" cm="1">
        <f t="array" ref="E85">IFERROR(_xlfn.LET(
_xlpm.CSVVal,_xlfn.XLOOKUP($A85,CSV!$A:$A,CSV!E:E,""),
_xlpm.MacVal,_xlfn.XLOOKUP($A85,Output_Mac!$A:$A,Output_Mac!C:C,""),
_xlpm.MyAuditVal,_xlfn.XLOOKUP($A85,My_Audit!$A:$A,My_Audit!D:D,""),
_xlfn.IFS(_xlpm.MyAuditVal&lt;&gt;"",_xlpm.MyAuditVal,_xlpm.MacVal&lt;&gt;"",_xlpm.MacVal,_xlpm.CSVVal&lt;&gt;"",_xlpm.CSVVal
)),"")</f>
        <v/>
      </c>
      <c r="F85" s="45" t="str" cm="1">
        <f t="array" ref="F85">IFERROR(_xlfn.LET(
_xlpm.CSVVal,_xlfn.XLOOKUP($A85,CSV!$A:$A,CSV!F:F,""),
_xlpm.MacVal,_xlfn.XLOOKUP($A85,Output_Mac!$A:$A,Output_Mac!F:F,""),
_xlpm.MyAuditVal,_xlfn.XLOOKUP($A85,My_Audit!$A:$A,My_Audit!E:E,""),
_xlfn.IFS(_xlpm.MyAuditVal&lt;&gt;"",_xlpm.MyAuditVal,_xlpm.MacVal&lt;&gt;"",_xlpm.MacVal,_xlpm.CSVVal&lt;&gt;"",PROPER(_xlpm.CSVVal)
)),"")</f>
        <v/>
      </c>
      <c r="G85" s="45" t="str" cm="1">
        <f t="array" ref="G85">IFERROR(_xlfn.LET(
_xlpm.CSVVal,_xlfn.XLOOKUP($A85,CSV!$A:$A,CSV!G:G,""),
_xlpm.MacVal,_xlfn.XLOOKUP($A85,Output_Mac!$A:$A,Output_Mac!H:H,""),
_xlpm.MyAuditVal,_xlfn.XLOOKUP($A85,My_Audit!$A:$A,My_Audit!F:F,""),
_xlfn.IFS(_xlpm.MyAuditVal&lt;&gt;"",_xlpm.MyAuditVal,_xlpm.MacVal&lt;&gt;"",_xlpm.MacVal,_xlpm.CSVVal&lt;&gt;"",_xlpm.CSVVal
)),"")</f>
        <v/>
      </c>
      <c r="H85" s="45" t="str">
        <f>_xlfn.XLOOKUP(A85,Output_Mac!A:A,Output_Mac!I:I,"")</f>
        <v/>
      </c>
      <c r="I85" s="45" t="str" cm="1">
        <f t="array" ref="I85">IFERROR(_xlfn.LET(
_xlpm.CSVVal,_xlfn.XLOOKUP($A85,CSV!$A:$A,CSV!H:H,""),
_xlpm.MacVal,_xlfn.XLOOKUP($A85,Output_Mac!$A:$A,Output_Mac!J:J,""),
_xlpm.MyAuditVal,_xlfn.XLOOKUP($A85,My_Audit!$A:$A,My_Audit!H:H,""),
_xlfn.IFS(_xlpm.MyAuditVal&lt;&gt;"",UPPER(_xlpm.MyAuditVal),_xlpm.MacVal&lt;&gt;"",_xlpm.MacVal,_xlpm.CSVVal&lt;&gt;"",_xlpm.CSVVal
)),"")</f>
        <v/>
      </c>
      <c r="J85" s="45" t="str" cm="1">
        <f t="array" ref="J85">IFERROR(_xlfn.LET(
_xlpm.CSVVal,_xlfn.XLOOKUP($A85,CSV!$A:$A,CSV!J:J,""),
_xlpm.MacVal,_xlfn.XLOOKUP($A85,Output_Mac!$A:$A,Output_Mac!K:K,""),
_xlpm.MyAuditVal,_xlfn.XLOOKUP($A85,My_Audit!$A:$A,My_Audit!I:I,""),
_xlfn.IFS(_xlpm.MyAuditVal&lt;&gt;"",UPPER(_xlpm.MyAuditVal),_xlpm.MacVal&lt;&gt;"",_xlpm.MacVal,_xlpm.CSVVal&lt;&gt;"",_xlpm.CSVVal
)),"")</f>
        <v/>
      </c>
      <c r="K85" s="45" t="str" cm="1">
        <f t="array" ref="K85">IFERROR(_xlfn.LET(
_xlpm.CSVVal,_xlfn.XLOOKUP($A85,CSV!$A:$A,CSV!N:N,""),
_xlpm.MacVal,_xlfn.XLOOKUP($A85,Output_Mac!$A:$A,Output_Mac!L:L,""),
_xlpm.MyAuditVal,_xlfn.XLOOKUP($A85,My_Audit!$A:$A,My_Audit!J:J,""),
_xlfn.IFS(_xlpm.MyAuditVal&lt;&gt;"",UPPER(_xlpm.MyAuditVal),_xlpm.MacVal&lt;&gt;"",_xlpm.MacVal,_xlpm.CSVVal&lt;&gt;"",_xlpm.CSVVal
)),"")</f>
        <v/>
      </c>
      <c r="L85" s="46" t="str" cm="1">
        <f t="array" ref="L85">IFERROR(_xlfn.LET(
_xlpm.CSVVal,_xlfn.XLOOKUP($A85,CSV!$A:$A,CSV!Q:Q,""),
_xlpm.MacVal,_xlfn.XLOOKUP($A85,Output_Mac!$A:$A,Output_Mac!M:M,""),
_xlpm.MyAuditVal,_xlfn.XLOOKUP($A85,My_Audit!$A:$A,My_Audit!K:K,""),
_xlfn.IFS(_xlpm.MyAuditVal&lt;&gt;"",UPPER(_xlpm.MyAuditVal),_xlpm.MacVal&lt;&gt;"",_xlpm.MacVal,_xlpm.CSVVal&lt;&gt;"",_xlpm.CSVVal
)),"")</f>
        <v/>
      </c>
      <c r="M85" s="45" t="str">
        <f>_xlfn.LET(
    _xlpm.CSVVal, _xlfn.XLOOKUP($A85, CSV!$A:$A, CSV!AE:AE, ""),
    _xlpm.MacVal, _xlfn.XLOOKUP($A85, Output_Mac!$A:$A, Output_Mac!S:S, ""),
    _xlpm.MyAuditVal, _xlfn.XLOOKUP($A85, My_Audit!$A:$A, My_Audit!N:N, ""),
    _xlfn.TEXTJOIN(", ", TRUE, _xlpm.MyAuditVal, _xlpm.MacVal, _xlpm.CSVVal)
)</f>
        <v/>
      </c>
      <c r="N85" s="45" t="str" cm="1">
        <f t="array" ref="N85">IFERROR(_xlfn.LET(
_xlpm.CSVVal,_xlfn.XLOOKUP($A85,CSV!$A:$A,CSV!AG:AG,""),
_xlpm.MacVal,_xlfn.XLOOKUP($A85,Output_Mac!$A:$A,Output_Mac!U:U,""),
_xlpm.MyAuditVal,_xlfn.XLOOKUP($A85,My_Audit!$A:$A,My_Audit!O:O,""),
_xlfn.IFS(_xlpm.MyAuditVal&lt;&gt;"",UPPER(_xlpm.MyAuditVal),_xlpm.MacVal&lt;&gt;"",_xlpm.MacVal,_xlpm.CSVVal&lt;&gt;"",_xlpm.CSVVal
)),"")</f>
        <v/>
      </c>
      <c r="O85" s="46" t="str">
        <f>_xlfn.XLOOKUP(C85,My_Audit!B:B,My_Audit!P:P,"")&amp;""</f>
        <v/>
      </c>
      <c r="P85" s="45"/>
      <c r="Q85" s="46" t="str">
        <f>IF(LEFT(N85,4)="Pass","Nist SP 800-88",My_Audit!R85)&amp;""</f>
        <v/>
      </c>
      <c r="R85" s="45"/>
      <c r="S85" s="45"/>
      <c r="T85" s="46" t="str">
        <f>_xlfn.XLOOKUP(E85,Models!I:I,Models!J:J,"")</f>
        <v/>
      </c>
      <c r="U85" s="45"/>
      <c r="V85" s="45"/>
      <c r="W85" s="38" t="str">
        <f>_xlfn.LET(
    _xlpm.MacVal, _xlfn.XLOOKUP($A85, Output_Mac!$A:$A, Output_Mac!AB:AB, ""),
    _xlpm.MyAuditVal, _xlfn.XLOOKUP($A85, My_Audit!$A:$A, My_Audit!L:L, ""),
    _xlfn.TEXTJOIN(", ", TRUE, _xlpm.MyAuditVal, _xlpm.MacVal)
)</f>
        <v/>
      </c>
    </row>
    <row r="86" spans="1:23">
      <c r="A86" s="45" t="str">
        <f>_xlfn.TEXTJOIN("",TRUE,Input!$B$2,ROW(My_Audit!A85))</f>
        <v>XX85</v>
      </c>
      <c r="B86" s="45" t="str">
        <f>_xlfn.TEXTJOIN("-",TRUE,"ITD",Input!$A$2,A86)</f>
        <v>ITD-SHRXXX-XX85</v>
      </c>
      <c r="C86" s="45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46" t="str" cm="1">
        <f t="array" ref="D86">IFERROR(_xlfn.LET(
_xlpm.CSVVal,_xlfn.XLOOKUP($A86,CSV!$A:$A,CSV!C:C,""),
_xlpm.MacVal,_xlfn.XLOOKUP($A86,Output_Mac!$A:$A,Output_Mac!D:D,""),
_xlpm.MyAuditVal,_xlfn.XLOOKUP($A86,My_Audit!$A:$A,My_Audit!C:C,""),
_xlfn.IFS(_xlpm.MyAuditVal&lt;&gt;"",UPPER(_xlpm.MyAuditVal),_xlpm.MacVal&lt;&gt;"",_xlpm.MacVal,_xlpm.CSVVal&lt;&gt;"",_xlpm.CSVVal
)),"")</f>
        <v/>
      </c>
      <c r="E86" s="46" t="str" cm="1">
        <f t="array" ref="E86">IFERROR(_xlfn.LET(
_xlpm.CSVVal,_xlfn.XLOOKUP($A86,CSV!$A:$A,CSV!E:E,""),
_xlpm.MacVal,_xlfn.XLOOKUP($A86,Output_Mac!$A:$A,Output_Mac!C:C,""),
_xlpm.MyAuditVal,_xlfn.XLOOKUP($A86,My_Audit!$A:$A,My_Audit!D:D,""),
_xlfn.IFS(_xlpm.MyAuditVal&lt;&gt;"",_xlpm.MyAuditVal,_xlpm.MacVal&lt;&gt;"",_xlpm.MacVal,_xlpm.CSVVal&lt;&gt;"",_xlpm.CSVVal
)),"")</f>
        <v/>
      </c>
      <c r="F86" s="45" t="str" cm="1">
        <f t="array" ref="F86">IFERROR(_xlfn.LET(
_xlpm.CSVVal,_xlfn.XLOOKUP($A86,CSV!$A:$A,CSV!F:F,""),
_xlpm.MacVal,_xlfn.XLOOKUP($A86,Output_Mac!$A:$A,Output_Mac!F:F,""),
_xlpm.MyAuditVal,_xlfn.XLOOKUP($A86,My_Audit!$A:$A,My_Audit!E:E,""),
_xlfn.IFS(_xlpm.MyAuditVal&lt;&gt;"",_xlpm.MyAuditVal,_xlpm.MacVal&lt;&gt;"",_xlpm.MacVal,_xlpm.CSVVal&lt;&gt;"",PROPER(_xlpm.CSVVal)
)),"")</f>
        <v/>
      </c>
      <c r="G86" s="45" t="str" cm="1">
        <f t="array" ref="G86">IFERROR(_xlfn.LET(
_xlpm.CSVVal,_xlfn.XLOOKUP($A86,CSV!$A:$A,CSV!G:G,""),
_xlpm.MacVal,_xlfn.XLOOKUP($A86,Output_Mac!$A:$A,Output_Mac!H:H,""),
_xlpm.MyAuditVal,_xlfn.XLOOKUP($A86,My_Audit!$A:$A,My_Audit!F:F,""),
_xlfn.IFS(_xlpm.MyAuditVal&lt;&gt;"",_xlpm.MyAuditVal,_xlpm.MacVal&lt;&gt;"",_xlpm.MacVal,_xlpm.CSVVal&lt;&gt;"",_xlpm.CSVVal
)),"")</f>
        <v/>
      </c>
      <c r="H86" s="45" t="str">
        <f>_xlfn.XLOOKUP(A86,Output_Mac!A:A,Output_Mac!I:I,"")</f>
        <v/>
      </c>
      <c r="I86" s="45" t="str" cm="1">
        <f t="array" ref="I86">IFERROR(_xlfn.LET(
_xlpm.CSVVal,_xlfn.XLOOKUP($A86,CSV!$A:$A,CSV!H:H,""),
_xlpm.MacVal,_xlfn.XLOOKUP($A86,Output_Mac!$A:$A,Output_Mac!J:J,""),
_xlpm.MyAuditVal,_xlfn.XLOOKUP($A86,My_Audit!$A:$A,My_Audit!H:H,""),
_xlfn.IFS(_xlpm.MyAuditVal&lt;&gt;"",UPPER(_xlpm.MyAuditVal),_xlpm.MacVal&lt;&gt;"",_xlpm.MacVal,_xlpm.CSVVal&lt;&gt;"",_xlpm.CSVVal
)),"")</f>
        <v/>
      </c>
      <c r="J86" s="45" t="str" cm="1">
        <f t="array" ref="J86">IFERROR(_xlfn.LET(
_xlpm.CSVVal,_xlfn.XLOOKUP($A86,CSV!$A:$A,CSV!J:J,""),
_xlpm.MacVal,_xlfn.XLOOKUP($A86,Output_Mac!$A:$A,Output_Mac!K:K,""),
_xlpm.MyAuditVal,_xlfn.XLOOKUP($A86,My_Audit!$A:$A,My_Audit!I:I,""),
_xlfn.IFS(_xlpm.MyAuditVal&lt;&gt;"",UPPER(_xlpm.MyAuditVal),_xlpm.MacVal&lt;&gt;"",_xlpm.MacVal,_xlpm.CSVVal&lt;&gt;"",_xlpm.CSVVal
)),"")</f>
        <v/>
      </c>
      <c r="K86" s="45" t="str" cm="1">
        <f t="array" ref="K86">IFERROR(_xlfn.LET(
_xlpm.CSVVal,_xlfn.XLOOKUP($A86,CSV!$A:$A,CSV!N:N,""),
_xlpm.MacVal,_xlfn.XLOOKUP($A86,Output_Mac!$A:$A,Output_Mac!L:L,""),
_xlpm.MyAuditVal,_xlfn.XLOOKUP($A86,My_Audit!$A:$A,My_Audit!J:J,""),
_xlfn.IFS(_xlpm.MyAuditVal&lt;&gt;"",UPPER(_xlpm.MyAuditVal),_xlpm.MacVal&lt;&gt;"",_xlpm.MacVal,_xlpm.CSVVal&lt;&gt;"",_xlpm.CSVVal
)),"")</f>
        <v/>
      </c>
      <c r="L86" s="46" t="str" cm="1">
        <f t="array" ref="L86">IFERROR(_xlfn.LET(
_xlpm.CSVVal,_xlfn.XLOOKUP($A86,CSV!$A:$A,CSV!Q:Q,""),
_xlpm.MacVal,_xlfn.XLOOKUP($A86,Output_Mac!$A:$A,Output_Mac!M:M,""),
_xlpm.MyAuditVal,_xlfn.XLOOKUP($A86,My_Audit!$A:$A,My_Audit!K:K,""),
_xlfn.IFS(_xlpm.MyAuditVal&lt;&gt;"",UPPER(_xlpm.MyAuditVal),_xlpm.MacVal&lt;&gt;"",_xlpm.MacVal,_xlpm.CSVVal&lt;&gt;"",_xlpm.CSVVal
)),"")</f>
        <v/>
      </c>
      <c r="M86" s="45" t="str">
        <f>_xlfn.LET(
    _xlpm.CSVVal, _xlfn.XLOOKUP($A86, CSV!$A:$A, CSV!AE:AE, ""),
    _xlpm.MacVal, _xlfn.XLOOKUP($A86, Output_Mac!$A:$A, Output_Mac!S:S, ""),
    _xlpm.MyAuditVal, _xlfn.XLOOKUP($A86, My_Audit!$A:$A, My_Audit!N:N, ""),
    _xlfn.TEXTJOIN(", ", TRUE, _xlpm.MyAuditVal, _xlpm.MacVal, _xlpm.CSVVal)
)</f>
        <v/>
      </c>
      <c r="N86" s="45" t="str" cm="1">
        <f t="array" ref="N86">IFERROR(_xlfn.LET(
_xlpm.CSVVal,_xlfn.XLOOKUP($A86,CSV!$A:$A,CSV!AG:AG,""),
_xlpm.MacVal,_xlfn.XLOOKUP($A86,Output_Mac!$A:$A,Output_Mac!U:U,""),
_xlpm.MyAuditVal,_xlfn.XLOOKUP($A86,My_Audit!$A:$A,My_Audit!O:O,""),
_xlfn.IFS(_xlpm.MyAuditVal&lt;&gt;"",UPPER(_xlpm.MyAuditVal),_xlpm.MacVal&lt;&gt;"",_xlpm.MacVal,_xlpm.CSVVal&lt;&gt;"",_xlpm.CSVVal
)),"")</f>
        <v/>
      </c>
      <c r="O86" s="46" t="str">
        <f>_xlfn.XLOOKUP(C86,My_Audit!B:B,My_Audit!P:P,"")&amp;""</f>
        <v/>
      </c>
      <c r="P86" s="45"/>
      <c r="Q86" s="46" t="str">
        <f>IF(LEFT(N86,4)="Pass","Nist SP 800-88",My_Audit!R86)&amp;""</f>
        <v/>
      </c>
      <c r="R86" s="45"/>
      <c r="S86" s="45"/>
      <c r="T86" s="46" t="str">
        <f>_xlfn.XLOOKUP(E86,Models!I:I,Models!J:J,"")</f>
        <v/>
      </c>
      <c r="U86" s="45"/>
      <c r="V86" s="45"/>
      <c r="W86" s="38" t="str">
        <f>_xlfn.LET(
    _xlpm.MacVal, _xlfn.XLOOKUP($A86, Output_Mac!$A:$A, Output_Mac!AB:AB, ""),
    _xlpm.MyAuditVal, _xlfn.XLOOKUP($A86, My_Audit!$A:$A, My_Audit!L:L, ""),
    _xlfn.TEXTJOIN(", ", TRUE, _xlpm.MyAuditVal, _xlpm.MacVal)
)</f>
        <v/>
      </c>
    </row>
    <row r="87" spans="1:23">
      <c r="A87" s="45" t="str">
        <f>_xlfn.TEXTJOIN("",TRUE,Input!$B$2,ROW(My_Audit!A86))</f>
        <v>XX86</v>
      </c>
      <c r="B87" s="45" t="str">
        <f>_xlfn.TEXTJOIN("-",TRUE,"ITD",Input!$A$2,A87)</f>
        <v>ITD-SHRXXX-XX86</v>
      </c>
      <c r="C87" s="45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46" t="str" cm="1">
        <f t="array" ref="D87">IFERROR(_xlfn.LET(
_xlpm.CSVVal,_xlfn.XLOOKUP($A87,CSV!$A:$A,CSV!C:C,""),
_xlpm.MacVal,_xlfn.XLOOKUP($A87,Output_Mac!$A:$A,Output_Mac!D:D,""),
_xlpm.MyAuditVal,_xlfn.XLOOKUP($A87,My_Audit!$A:$A,My_Audit!C:C,""),
_xlfn.IFS(_xlpm.MyAuditVal&lt;&gt;"",UPPER(_xlpm.MyAuditVal),_xlpm.MacVal&lt;&gt;"",_xlpm.MacVal,_xlpm.CSVVal&lt;&gt;"",_xlpm.CSVVal
)),"")</f>
        <v/>
      </c>
      <c r="E87" s="46" t="str" cm="1">
        <f t="array" ref="E87">IFERROR(_xlfn.LET(
_xlpm.CSVVal,_xlfn.XLOOKUP($A87,CSV!$A:$A,CSV!E:E,""),
_xlpm.MacVal,_xlfn.XLOOKUP($A87,Output_Mac!$A:$A,Output_Mac!C:C,""),
_xlpm.MyAuditVal,_xlfn.XLOOKUP($A87,My_Audit!$A:$A,My_Audit!D:D,""),
_xlfn.IFS(_xlpm.MyAuditVal&lt;&gt;"",_xlpm.MyAuditVal,_xlpm.MacVal&lt;&gt;"",_xlpm.MacVal,_xlpm.CSVVal&lt;&gt;"",_xlpm.CSVVal
)),"")</f>
        <v/>
      </c>
      <c r="F87" s="45" t="str" cm="1">
        <f t="array" ref="F87">IFERROR(_xlfn.LET(
_xlpm.CSVVal,_xlfn.XLOOKUP($A87,CSV!$A:$A,CSV!F:F,""),
_xlpm.MacVal,_xlfn.XLOOKUP($A87,Output_Mac!$A:$A,Output_Mac!F:F,""),
_xlpm.MyAuditVal,_xlfn.XLOOKUP($A87,My_Audit!$A:$A,My_Audit!E:E,""),
_xlfn.IFS(_xlpm.MyAuditVal&lt;&gt;"",_xlpm.MyAuditVal,_xlpm.MacVal&lt;&gt;"",_xlpm.MacVal,_xlpm.CSVVal&lt;&gt;"",PROPER(_xlpm.CSVVal)
)),"")</f>
        <v/>
      </c>
      <c r="G87" s="45" t="str" cm="1">
        <f t="array" ref="G87">IFERROR(_xlfn.LET(
_xlpm.CSVVal,_xlfn.XLOOKUP($A87,CSV!$A:$A,CSV!G:G,""),
_xlpm.MacVal,_xlfn.XLOOKUP($A87,Output_Mac!$A:$A,Output_Mac!H:H,""),
_xlpm.MyAuditVal,_xlfn.XLOOKUP($A87,My_Audit!$A:$A,My_Audit!F:F,""),
_xlfn.IFS(_xlpm.MyAuditVal&lt;&gt;"",_xlpm.MyAuditVal,_xlpm.MacVal&lt;&gt;"",_xlpm.MacVal,_xlpm.CSVVal&lt;&gt;"",_xlpm.CSVVal
)),"")</f>
        <v/>
      </c>
      <c r="H87" s="45" t="str">
        <f>_xlfn.XLOOKUP(A87,Output_Mac!A:A,Output_Mac!I:I,"")</f>
        <v/>
      </c>
      <c r="I87" s="45" t="str" cm="1">
        <f t="array" ref="I87">IFERROR(_xlfn.LET(
_xlpm.CSVVal,_xlfn.XLOOKUP($A87,CSV!$A:$A,CSV!H:H,""),
_xlpm.MacVal,_xlfn.XLOOKUP($A87,Output_Mac!$A:$A,Output_Mac!J:J,""),
_xlpm.MyAuditVal,_xlfn.XLOOKUP($A87,My_Audit!$A:$A,My_Audit!H:H,""),
_xlfn.IFS(_xlpm.MyAuditVal&lt;&gt;"",UPPER(_xlpm.MyAuditVal),_xlpm.MacVal&lt;&gt;"",_xlpm.MacVal,_xlpm.CSVVal&lt;&gt;"",_xlpm.CSVVal
)),"")</f>
        <v/>
      </c>
      <c r="J87" s="45" t="str" cm="1">
        <f t="array" ref="J87">IFERROR(_xlfn.LET(
_xlpm.CSVVal,_xlfn.XLOOKUP($A87,CSV!$A:$A,CSV!J:J,""),
_xlpm.MacVal,_xlfn.XLOOKUP($A87,Output_Mac!$A:$A,Output_Mac!K:K,""),
_xlpm.MyAuditVal,_xlfn.XLOOKUP($A87,My_Audit!$A:$A,My_Audit!I:I,""),
_xlfn.IFS(_xlpm.MyAuditVal&lt;&gt;"",UPPER(_xlpm.MyAuditVal),_xlpm.MacVal&lt;&gt;"",_xlpm.MacVal,_xlpm.CSVVal&lt;&gt;"",_xlpm.CSVVal
)),"")</f>
        <v/>
      </c>
      <c r="K87" s="45" t="str" cm="1">
        <f t="array" ref="K87">IFERROR(_xlfn.LET(
_xlpm.CSVVal,_xlfn.XLOOKUP($A87,CSV!$A:$A,CSV!N:N,""),
_xlpm.MacVal,_xlfn.XLOOKUP($A87,Output_Mac!$A:$A,Output_Mac!L:L,""),
_xlpm.MyAuditVal,_xlfn.XLOOKUP($A87,My_Audit!$A:$A,My_Audit!J:J,""),
_xlfn.IFS(_xlpm.MyAuditVal&lt;&gt;"",UPPER(_xlpm.MyAuditVal),_xlpm.MacVal&lt;&gt;"",_xlpm.MacVal,_xlpm.CSVVal&lt;&gt;"",_xlpm.CSVVal
)),"")</f>
        <v/>
      </c>
      <c r="L87" s="46" t="str" cm="1">
        <f t="array" ref="L87">IFERROR(_xlfn.LET(
_xlpm.CSVVal,_xlfn.XLOOKUP($A87,CSV!$A:$A,CSV!Q:Q,""),
_xlpm.MacVal,_xlfn.XLOOKUP($A87,Output_Mac!$A:$A,Output_Mac!M:M,""),
_xlpm.MyAuditVal,_xlfn.XLOOKUP($A87,My_Audit!$A:$A,My_Audit!K:K,""),
_xlfn.IFS(_xlpm.MyAuditVal&lt;&gt;"",UPPER(_xlpm.MyAuditVal),_xlpm.MacVal&lt;&gt;"",_xlpm.MacVal,_xlpm.CSVVal&lt;&gt;"",_xlpm.CSVVal
)),"")</f>
        <v/>
      </c>
      <c r="M87" s="45" t="str">
        <f>_xlfn.LET(
    _xlpm.CSVVal, _xlfn.XLOOKUP($A87, CSV!$A:$A, CSV!AE:AE, ""),
    _xlpm.MacVal, _xlfn.XLOOKUP($A87, Output_Mac!$A:$A, Output_Mac!S:S, ""),
    _xlpm.MyAuditVal, _xlfn.XLOOKUP($A87, My_Audit!$A:$A, My_Audit!N:N, ""),
    _xlfn.TEXTJOIN(", ", TRUE, _xlpm.MyAuditVal, _xlpm.MacVal, _xlpm.CSVVal)
)</f>
        <v/>
      </c>
      <c r="N87" s="45" t="str" cm="1">
        <f t="array" ref="N87">IFERROR(_xlfn.LET(
_xlpm.CSVVal,_xlfn.XLOOKUP($A87,CSV!$A:$A,CSV!AG:AG,""),
_xlpm.MacVal,_xlfn.XLOOKUP($A87,Output_Mac!$A:$A,Output_Mac!U:U,""),
_xlpm.MyAuditVal,_xlfn.XLOOKUP($A87,My_Audit!$A:$A,My_Audit!O:O,""),
_xlfn.IFS(_xlpm.MyAuditVal&lt;&gt;"",UPPER(_xlpm.MyAuditVal),_xlpm.MacVal&lt;&gt;"",_xlpm.MacVal,_xlpm.CSVVal&lt;&gt;"",_xlpm.CSVVal
)),"")</f>
        <v/>
      </c>
      <c r="O87" s="46" t="str">
        <f>_xlfn.XLOOKUP(C87,My_Audit!B:B,My_Audit!P:P,"")&amp;""</f>
        <v/>
      </c>
      <c r="P87" s="45"/>
      <c r="Q87" s="46" t="str">
        <f>IF(LEFT(N87,4)="Pass","Nist SP 800-88",My_Audit!R87)&amp;""</f>
        <v/>
      </c>
      <c r="R87" s="45"/>
      <c r="S87" s="45"/>
      <c r="T87" s="46" t="str">
        <f>_xlfn.XLOOKUP(E87,Models!I:I,Models!J:J,"")</f>
        <v/>
      </c>
      <c r="U87" s="45"/>
      <c r="V87" s="45"/>
      <c r="W87" s="38" t="str">
        <f>_xlfn.LET(
    _xlpm.MacVal, _xlfn.XLOOKUP($A87, Output_Mac!$A:$A, Output_Mac!AB:AB, ""),
    _xlpm.MyAuditVal, _xlfn.XLOOKUP($A87, My_Audit!$A:$A, My_Audit!L:L, ""),
    _xlfn.TEXTJOIN(", ", TRUE, _xlpm.MyAuditVal, _xlpm.MacVal)
)</f>
        <v/>
      </c>
    </row>
    <row r="88" spans="1:23">
      <c r="A88" s="45" t="str">
        <f>_xlfn.TEXTJOIN("",TRUE,Input!$B$2,ROW(My_Audit!A87))</f>
        <v>XX87</v>
      </c>
      <c r="B88" s="45" t="str">
        <f>_xlfn.TEXTJOIN("-",TRUE,"ITD",Input!$A$2,A88)</f>
        <v>ITD-SHRXXX-XX87</v>
      </c>
      <c r="C88" s="45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46" t="str" cm="1">
        <f t="array" ref="D88">IFERROR(_xlfn.LET(
_xlpm.CSVVal,_xlfn.XLOOKUP($A88,CSV!$A:$A,CSV!C:C,""),
_xlpm.MacVal,_xlfn.XLOOKUP($A88,Output_Mac!$A:$A,Output_Mac!D:D,""),
_xlpm.MyAuditVal,_xlfn.XLOOKUP($A88,My_Audit!$A:$A,My_Audit!C:C,""),
_xlfn.IFS(_xlpm.MyAuditVal&lt;&gt;"",UPPER(_xlpm.MyAuditVal),_xlpm.MacVal&lt;&gt;"",_xlpm.MacVal,_xlpm.CSVVal&lt;&gt;"",_xlpm.CSVVal
)),"")</f>
        <v/>
      </c>
      <c r="E88" s="46" t="str" cm="1">
        <f t="array" ref="E88">IFERROR(_xlfn.LET(
_xlpm.CSVVal,_xlfn.XLOOKUP($A88,CSV!$A:$A,CSV!E:E,""),
_xlpm.MacVal,_xlfn.XLOOKUP($A88,Output_Mac!$A:$A,Output_Mac!C:C,""),
_xlpm.MyAuditVal,_xlfn.XLOOKUP($A88,My_Audit!$A:$A,My_Audit!D:D,""),
_xlfn.IFS(_xlpm.MyAuditVal&lt;&gt;"",_xlpm.MyAuditVal,_xlpm.MacVal&lt;&gt;"",_xlpm.MacVal,_xlpm.CSVVal&lt;&gt;"",_xlpm.CSVVal
)),"")</f>
        <v/>
      </c>
      <c r="F88" s="45" t="str" cm="1">
        <f t="array" ref="F88">IFERROR(_xlfn.LET(
_xlpm.CSVVal,_xlfn.XLOOKUP($A88,CSV!$A:$A,CSV!F:F,""),
_xlpm.MacVal,_xlfn.XLOOKUP($A88,Output_Mac!$A:$A,Output_Mac!F:F,""),
_xlpm.MyAuditVal,_xlfn.XLOOKUP($A88,My_Audit!$A:$A,My_Audit!E:E,""),
_xlfn.IFS(_xlpm.MyAuditVal&lt;&gt;"",_xlpm.MyAuditVal,_xlpm.MacVal&lt;&gt;"",_xlpm.MacVal,_xlpm.CSVVal&lt;&gt;"",PROPER(_xlpm.CSVVal)
)),"")</f>
        <v/>
      </c>
      <c r="G88" s="45" t="str" cm="1">
        <f t="array" ref="G88">IFERROR(_xlfn.LET(
_xlpm.CSVVal,_xlfn.XLOOKUP($A88,CSV!$A:$A,CSV!G:G,""),
_xlpm.MacVal,_xlfn.XLOOKUP($A88,Output_Mac!$A:$A,Output_Mac!H:H,""),
_xlpm.MyAuditVal,_xlfn.XLOOKUP($A88,My_Audit!$A:$A,My_Audit!F:F,""),
_xlfn.IFS(_xlpm.MyAuditVal&lt;&gt;"",_xlpm.MyAuditVal,_xlpm.MacVal&lt;&gt;"",_xlpm.MacVal,_xlpm.CSVVal&lt;&gt;"",_xlpm.CSVVal
)),"")</f>
        <v/>
      </c>
      <c r="H88" s="45" t="str">
        <f>_xlfn.XLOOKUP(A88,Output_Mac!A:A,Output_Mac!I:I,"")</f>
        <v/>
      </c>
      <c r="I88" s="45" t="str" cm="1">
        <f t="array" ref="I88">IFERROR(_xlfn.LET(
_xlpm.CSVVal,_xlfn.XLOOKUP($A88,CSV!$A:$A,CSV!H:H,""),
_xlpm.MacVal,_xlfn.XLOOKUP($A88,Output_Mac!$A:$A,Output_Mac!J:J,""),
_xlpm.MyAuditVal,_xlfn.XLOOKUP($A88,My_Audit!$A:$A,My_Audit!H:H,""),
_xlfn.IFS(_xlpm.MyAuditVal&lt;&gt;"",UPPER(_xlpm.MyAuditVal),_xlpm.MacVal&lt;&gt;"",_xlpm.MacVal,_xlpm.CSVVal&lt;&gt;"",_xlpm.CSVVal
)),"")</f>
        <v/>
      </c>
      <c r="J88" s="45" t="str" cm="1">
        <f t="array" ref="J88">IFERROR(_xlfn.LET(
_xlpm.CSVVal,_xlfn.XLOOKUP($A88,CSV!$A:$A,CSV!J:J,""),
_xlpm.MacVal,_xlfn.XLOOKUP($A88,Output_Mac!$A:$A,Output_Mac!K:K,""),
_xlpm.MyAuditVal,_xlfn.XLOOKUP($A88,My_Audit!$A:$A,My_Audit!I:I,""),
_xlfn.IFS(_xlpm.MyAuditVal&lt;&gt;"",UPPER(_xlpm.MyAuditVal),_xlpm.MacVal&lt;&gt;"",_xlpm.MacVal,_xlpm.CSVVal&lt;&gt;"",_xlpm.CSVVal
)),"")</f>
        <v/>
      </c>
      <c r="K88" s="45" t="str" cm="1">
        <f t="array" ref="K88">IFERROR(_xlfn.LET(
_xlpm.CSVVal,_xlfn.XLOOKUP($A88,CSV!$A:$A,CSV!N:N,""),
_xlpm.MacVal,_xlfn.XLOOKUP($A88,Output_Mac!$A:$A,Output_Mac!L:L,""),
_xlpm.MyAuditVal,_xlfn.XLOOKUP($A88,My_Audit!$A:$A,My_Audit!J:J,""),
_xlfn.IFS(_xlpm.MyAuditVal&lt;&gt;"",UPPER(_xlpm.MyAuditVal),_xlpm.MacVal&lt;&gt;"",_xlpm.MacVal,_xlpm.CSVVal&lt;&gt;"",_xlpm.CSVVal
)),"")</f>
        <v/>
      </c>
      <c r="L88" s="46" t="str" cm="1">
        <f t="array" ref="L88">IFERROR(_xlfn.LET(
_xlpm.CSVVal,_xlfn.XLOOKUP($A88,CSV!$A:$A,CSV!Q:Q,""),
_xlpm.MacVal,_xlfn.XLOOKUP($A88,Output_Mac!$A:$A,Output_Mac!M:M,""),
_xlpm.MyAuditVal,_xlfn.XLOOKUP($A88,My_Audit!$A:$A,My_Audit!K:K,""),
_xlfn.IFS(_xlpm.MyAuditVal&lt;&gt;"",UPPER(_xlpm.MyAuditVal),_xlpm.MacVal&lt;&gt;"",_xlpm.MacVal,_xlpm.CSVVal&lt;&gt;"",_xlpm.CSVVal
)),"")</f>
        <v/>
      </c>
      <c r="M88" s="45" t="str">
        <f>_xlfn.LET(
    _xlpm.CSVVal, _xlfn.XLOOKUP($A88, CSV!$A:$A, CSV!AE:AE, ""),
    _xlpm.MacVal, _xlfn.XLOOKUP($A88, Output_Mac!$A:$A, Output_Mac!S:S, ""),
    _xlpm.MyAuditVal, _xlfn.XLOOKUP($A88, My_Audit!$A:$A, My_Audit!N:N, ""),
    _xlfn.TEXTJOIN(", ", TRUE, _xlpm.MyAuditVal, _xlpm.MacVal, _xlpm.CSVVal)
)</f>
        <v/>
      </c>
      <c r="N88" s="45" t="str" cm="1">
        <f t="array" ref="N88">IFERROR(_xlfn.LET(
_xlpm.CSVVal,_xlfn.XLOOKUP($A88,CSV!$A:$A,CSV!AG:AG,""),
_xlpm.MacVal,_xlfn.XLOOKUP($A88,Output_Mac!$A:$A,Output_Mac!U:U,""),
_xlpm.MyAuditVal,_xlfn.XLOOKUP($A88,My_Audit!$A:$A,My_Audit!O:O,""),
_xlfn.IFS(_xlpm.MyAuditVal&lt;&gt;"",UPPER(_xlpm.MyAuditVal),_xlpm.MacVal&lt;&gt;"",_xlpm.MacVal,_xlpm.CSVVal&lt;&gt;"",_xlpm.CSVVal
)),"")</f>
        <v/>
      </c>
      <c r="O88" s="46" t="str">
        <f>_xlfn.XLOOKUP(C88,My_Audit!B:B,My_Audit!P:P,"")&amp;""</f>
        <v/>
      </c>
      <c r="P88" s="45"/>
      <c r="Q88" s="46" t="str">
        <f>IF(LEFT(N88,4)="Pass","Nist SP 800-88",My_Audit!R88)&amp;""</f>
        <v/>
      </c>
      <c r="R88" s="45"/>
      <c r="S88" s="45"/>
      <c r="T88" s="46" t="str">
        <f>_xlfn.XLOOKUP(E88,Models!I:I,Models!J:J,"")</f>
        <v/>
      </c>
      <c r="U88" s="45"/>
      <c r="V88" s="45"/>
      <c r="W88" s="38" t="str">
        <f>_xlfn.LET(
    _xlpm.MacVal, _xlfn.XLOOKUP($A88, Output_Mac!$A:$A, Output_Mac!AB:AB, ""),
    _xlpm.MyAuditVal, _xlfn.XLOOKUP($A88, My_Audit!$A:$A, My_Audit!L:L, ""),
    _xlfn.TEXTJOIN(", ", TRUE, _xlpm.MyAuditVal, _xlpm.MacVal)
)</f>
        <v/>
      </c>
    </row>
    <row r="89" spans="1:23">
      <c r="A89" s="45" t="str">
        <f>_xlfn.TEXTJOIN("",TRUE,Input!$B$2,ROW(My_Audit!A88))</f>
        <v>XX88</v>
      </c>
      <c r="B89" s="45" t="str">
        <f>_xlfn.TEXTJOIN("-",TRUE,"ITD",Input!$A$2,A89)</f>
        <v>ITD-SHRXXX-XX88</v>
      </c>
      <c r="C89" s="45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46" t="str" cm="1">
        <f t="array" ref="D89">IFERROR(_xlfn.LET(
_xlpm.CSVVal,_xlfn.XLOOKUP($A89,CSV!$A:$A,CSV!C:C,""),
_xlpm.MacVal,_xlfn.XLOOKUP($A89,Output_Mac!$A:$A,Output_Mac!D:D,""),
_xlpm.MyAuditVal,_xlfn.XLOOKUP($A89,My_Audit!$A:$A,My_Audit!C:C,""),
_xlfn.IFS(_xlpm.MyAuditVal&lt;&gt;"",UPPER(_xlpm.MyAuditVal),_xlpm.MacVal&lt;&gt;"",_xlpm.MacVal,_xlpm.CSVVal&lt;&gt;"",_xlpm.CSVVal
)),"")</f>
        <v/>
      </c>
      <c r="E89" s="46" t="str" cm="1">
        <f t="array" ref="E89">IFERROR(_xlfn.LET(
_xlpm.CSVVal,_xlfn.XLOOKUP($A89,CSV!$A:$A,CSV!E:E,""),
_xlpm.MacVal,_xlfn.XLOOKUP($A89,Output_Mac!$A:$A,Output_Mac!C:C,""),
_xlpm.MyAuditVal,_xlfn.XLOOKUP($A89,My_Audit!$A:$A,My_Audit!D:D,""),
_xlfn.IFS(_xlpm.MyAuditVal&lt;&gt;"",_xlpm.MyAuditVal,_xlpm.MacVal&lt;&gt;"",_xlpm.MacVal,_xlpm.CSVVal&lt;&gt;"",_xlpm.CSVVal
)),"")</f>
        <v/>
      </c>
      <c r="F89" s="45" t="str" cm="1">
        <f t="array" ref="F89">IFERROR(_xlfn.LET(
_xlpm.CSVVal,_xlfn.XLOOKUP($A89,CSV!$A:$A,CSV!F:F,""),
_xlpm.MacVal,_xlfn.XLOOKUP($A89,Output_Mac!$A:$A,Output_Mac!F:F,""),
_xlpm.MyAuditVal,_xlfn.XLOOKUP($A89,My_Audit!$A:$A,My_Audit!E:E,""),
_xlfn.IFS(_xlpm.MyAuditVal&lt;&gt;"",_xlpm.MyAuditVal,_xlpm.MacVal&lt;&gt;"",_xlpm.MacVal,_xlpm.CSVVal&lt;&gt;"",PROPER(_xlpm.CSVVal)
)),"")</f>
        <v/>
      </c>
      <c r="G89" s="45" t="str" cm="1">
        <f t="array" ref="G89">IFERROR(_xlfn.LET(
_xlpm.CSVVal,_xlfn.XLOOKUP($A89,CSV!$A:$A,CSV!G:G,""),
_xlpm.MacVal,_xlfn.XLOOKUP($A89,Output_Mac!$A:$A,Output_Mac!H:H,""),
_xlpm.MyAuditVal,_xlfn.XLOOKUP($A89,My_Audit!$A:$A,My_Audit!F:F,""),
_xlfn.IFS(_xlpm.MyAuditVal&lt;&gt;"",_xlpm.MyAuditVal,_xlpm.MacVal&lt;&gt;"",_xlpm.MacVal,_xlpm.CSVVal&lt;&gt;"",_xlpm.CSVVal
)),"")</f>
        <v/>
      </c>
      <c r="H89" s="45" t="str">
        <f>_xlfn.XLOOKUP(A89,Output_Mac!A:A,Output_Mac!I:I,"")</f>
        <v/>
      </c>
      <c r="I89" s="45" t="str" cm="1">
        <f t="array" ref="I89">IFERROR(_xlfn.LET(
_xlpm.CSVVal,_xlfn.XLOOKUP($A89,CSV!$A:$A,CSV!H:H,""),
_xlpm.MacVal,_xlfn.XLOOKUP($A89,Output_Mac!$A:$A,Output_Mac!J:J,""),
_xlpm.MyAuditVal,_xlfn.XLOOKUP($A89,My_Audit!$A:$A,My_Audit!H:H,""),
_xlfn.IFS(_xlpm.MyAuditVal&lt;&gt;"",UPPER(_xlpm.MyAuditVal),_xlpm.MacVal&lt;&gt;"",_xlpm.MacVal,_xlpm.CSVVal&lt;&gt;"",_xlpm.CSVVal
)),"")</f>
        <v/>
      </c>
      <c r="J89" s="45" t="str" cm="1">
        <f t="array" ref="J89">IFERROR(_xlfn.LET(
_xlpm.CSVVal,_xlfn.XLOOKUP($A89,CSV!$A:$A,CSV!J:J,""),
_xlpm.MacVal,_xlfn.XLOOKUP($A89,Output_Mac!$A:$A,Output_Mac!K:K,""),
_xlpm.MyAuditVal,_xlfn.XLOOKUP($A89,My_Audit!$A:$A,My_Audit!I:I,""),
_xlfn.IFS(_xlpm.MyAuditVal&lt;&gt;"",UPPER(_xlpm.MyAuditVal),_xlpm.MacVal&lt;&gt;"",_xlpm.MacVal,_xlpm.CSVVal&lt;&gt;"",_xlpm.CSVVal
)),"")</f>
        <v/>
      </c>
      <c r="K89" s="45" t="str" cm="1">
        <f t="array" ref="K89">IFERROR(_xlfn.LET(
_xlpm.CSVVal,_xlfn.XLOOKUP($A89,CSV!$A:$A,CSV!N:N,""),
_xlpm.MacVal,_xlfn.XLOOKUP($A89,Output_Mac!$A:$A,Output_Mac!L:L,""),
_xlpm.MyAuditVal,_xlfn.XLOOKUP($A89,My_Audit!$A:$A,My_Audit!J:J,""),
_xlfn.IFS(_xlpm.MyAuditVal&lt;&gt;"",UPPER(_xlpm.MyAuditVal),_xlpm.MacVal&lt;&gt;"",_xlpm.MacVal,_xlpm.CSVVal&lt;&gt;"",_xlpm.CSVVal
)),"")</f>
        <v/>
      </c>
      <c r="L89" s="46" t="str" cm="1">
        <f t="array" ref="L89">IFERROR(_xlfn.LET(
_xlpm.CSVVal,_xlfn.XLOOKUP($A89,CSV!$A:$A,CSV!Q:Q,""),
_xlpm.MacVal,_xlfn.XLOOKUP($A89,Output_Mac!$A:$A,Output_Mac!M:M,""),
_xlpm.MyAuditVal,_xlfn.XLOOKUP($A89,My_Audit!$A:$A,My_Audit!K:K,""),
_xlfn.IFS(_xlpm.MyAuditVal&lt;&gt;"",UPPER(_xlpm.MyAuditVal),_xlpm.MacVal&lt;&gt;"",_xlpm.MacVal,_xlpm.CSVVal&lt;&gt;"",_xlpm.CSVVal
)),"")</f>
        <v/>
      </c>
      <c r="M89" s="45" t="str">
        <f>_xlfn.LET(
    _xlpm.CSVVal, _xlfn.XLOOKUP($A89, CSV!$A:$A, CSV!AE:AE, ""),
    _xlpm.MacVal, _xlfn.XLOOKUP($A89, Output_Mac!$A:$A, Output_Mac!S:S, ""),
    _xlpm.MyAuditVal, _xlfn.XLOOKUP($A89, My_Audit!$A:$A, My_Audit!N:N, ""),
    _xlfn.TEXTJOIN(", ", TRUE, _xlpm.MyAuditVal, _xlpm.MacVal, _xlpm.CSVVal)
)</f>
        <v/>
      </c>
      <c r="N89" s="45" t="str" cm="1">
        <f t="array" ref="N89">IFERROR(_xlfn.LET(
_xlpm.CSVVal,_xlfn.XLOOKUP($A89,CSV!$A:$A,CSV!AG:AG,""),
_xlpm.MacVal,_xlfn.XLOOKUP($A89,Output_Mac!$A:$A,Output_Mac!U:U,""),
_xlpm.MyAuditVal,_xlfn.XLOOKUP($A89,My_Audit!$A:$A,My_Audit!O:O,""),
_xlfn.IFS(_xlpm.MyAuditVal&lt;&gt;"",UPPER(_xlpm.MyAuditVal),_xlpm.MacVal&lt;&gt;"",_xlpm.MacVal,_xlpm.CSVVal&lt;&gt;"",_xlpm.CSVVal
)),"")</f>
        <v/>
      </c>
      <c r="O89" s="46" t="str">
        <f>_xlfn.XLOOKUP(C89,My_Audit!B:B,My_Audit!P:P,"")&amp;""</f>
        <v/>
      </c>
      <c r="P89" s="45"/>
      <c r="Q89" s="46" t="str">
        <f>IF(LEFT(N89,4)="Pass","Nist SP 800-88",My_Audit!R89)&amp;""</f>
        <v/>
      </c>
      <c r="R89" s="45"/>
      <c r="S89" s="45"/>
      <c r="T89" s="46" t="str">
        <f>_xlfn.XLOOKUP(E89,Models!I:I,Models!J:J,"")</f>
        <v/>
      </c>
      <c r="U89" s="45"/>
      <c r="V89" s="45"/>
      <c r="W89" s="38" t="str">
        <f>_xlfn.LET(
    _xlpm.MacVal, _xlfn.XLOOKUP($A89, Output_Mac!$A:$A, Output_Mac!AB:AB, ""),
    _xlpm.MyAuditVal, _xlfn.XLOOKUP($A89, My_Audit!$A:$A, My_Audit!L:L, ""),
    _xlfn.TEXTJOIN(", ", TRUE, _xlpm.MyAuditVal, _xlpm.MacVal)
)</f>
        <v/>
      </c>
    </row>
    <row r="90" spans="1:23">
      <c r="A90" s="45" t="str">
        <f>_xlfn.TEXTJOIN("",TRUE,Input!$B$2,ROW(My_Audit!A89))</f>
        <v>XX89</v>
      </c>
      <c r="B90" s="45" t="str">
        <f>_xlfn.TEXTJOIN("-",TRUE,"ITD",Input!$A$2,A90)</f>
        <v>ITD-SHRXXX-XX89</v>
      </c>
      <c r="C90" s="45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46" t="str" cm="1">
        <f t="array" ref="D90">IFERROR(_xlfn.LET(
_xlpm.CSVVal,_xlfn.XLOOKUP($A90,CSV!$A:$A,CSV!C:C,""),
_xlpm.MacVal,_xlfn.XLOOKUP($A90,Output_Mac!$A:$A,Output_Mac!D:D,""),
_xlpm.MyAuditVal,_xlfn.XLOOKUP($A90,My_Audit!$A:$A,My_Audit!C:C,""),
_xlfn.IFS(_xlpm.MyAuditVal&lt;&gt;"",UPPER(_xlpm.MyAuditVal),_xlpm.MacVal&lt;&gt;"",_xlpm.MacVal,_xlpm.CSVVal&lt;&gt;"",_xlpm.CSVVal
)),"")</f>
        <v/>
      </c>
      <c r="E90" s="46" t="str" cm="1">
        <f t="array" ref="E90">IFERROR(_xlfn.LET(
_xlpm.CSVVal,_xlfn.XLOOKUP($A90,CSV!$A:$A,CSV!E:E,""),
_xlpm.MacVal,_xlfn.XLOOKUP($A90,Output_Mac!$A:$A,Output_Mac!C:C,""),
_xlpm.MyAuditVal,_xlfn.XLOOKUP($A90,My_Audit!$A:$A,My_Audit!D:D,""),
_xlfn.IFS(_xlpm.MyAuditVal&lt;&gt;"",_xlpm.MyAuditVal,_xlpm.MacVal&lt;&gt;"",_xlpm.MacVal,_xlpm.CSVVal&lt;&gt;"",_xlpm.CSVVal
)),"")</f>
        <v/>
      </c>
      <c r="F90" s="45" t="str" cm="1">
        <f t="array" ref="F90">IFERROR(_xlfn.LET(
_xlpm.CSVVal,_xlfn.XLOOKUP($A90,CSV!$A:$A,CSV!F:F,""),
_xlpm.MacVal,_xlfn.XLOOKUP($A90,Output_Mac!$A:$A,Output_Mac!F:F,""),
_xlpm.MyAuditVal,_xlfn.XLOOKUP($A90,My_Audit!$A:$A,My_Audit!E:E,""),
_xlfn.IFS(_xlpm.MyAuditVal&lt;&gt;"",_xlpm.MyAuditVal,_xlpm.MacVal&lt;&gt;"",_xlpm.MacVal,_xlpm.CSVVal&lt;&gt;"",PROPER(_xlpm.CSVVal)
)),"")</f>
        <v/>
      </c>
      <c r="G90" s="45" t="str" cm="1">
        <f t="array" ref="G90">IFERROR(_xlfn.LET(
_xlpm.CSVVal,_xlfn.XLOOKUP($A90,CSV!$A:$A,CSV!G:G,""),
_xlpm.MacVal,_xlfn.XLOOKUP($A90,Output_Mac!$A:$A,Output_Mac!H:H,""),
_xlpm.MyAuditVal,_xlfn.XLOOKUP($A90,My_Audit!$A:$A,My_Audit!F:F,""),
_xlfn.IFS(_xlpm.MyAuditVal&lt;&gt;"",_xlpm.MyAuditVal,_xlpm.MacVal&lt;&gt;"",_xlpm.MacVal,_xlpm.CSVVal&lt;&gt;"",_xlpm.CSVVal
)),"")</f>
        <v/>
      </c>
      <c r="H90" s="45" t="str">
        <f>_xlfn.XLOOKUP(A90,Output_Mac!A:A,Output_Mac!I:I,"")</f>
        <v/>
      </c>
      <c r="I90" s="45" t="str" cm="1">
        <f t="array" ref="I90">IFERROR(_xlfn.LET(
_xlpm.CSVVal,_xlfn.XLOOKUP($A90,CSV!$A:$A,CSV!H:H,""),
_xlpm.MacVal,_xlfn.XLOOKUP($A90,Output_Mac!$A:$A,Output_Mac!J:J,""),
_xlpm.MyAuditVal,_xlfn.XLOOKUP($A90,My_Audit!$A:$A,My_Audit!H:H,""),
_xlfn.IFS(_xlpm.MyAuditVal&lt;&gt;"",UPPER(_xlpm.MyAuditVal),_xlpm.MacVal&lt;&gt;"",_xlpm.MacVal,_xlpm.CSVVal&lt;&gt;"",_xlpm.CSVVal
)),"")</f>
        <v/>
      </c>
      <c r="J90" s="45" t="str" cm="1">
        <f t="array" ref="J90">IFERROR(_xlfn.LET(
_xlpm.CSVVal,_xlfn.XLOOKUP($A90,CSV!$A:$A,CSV!J:J,""),
_xlpm.MacVal,_xlfn.XLOOKUP($A90,Output_Mac!$A:$A,Output_Mac!K:K,""),
_xlpm.MyAuditVal,_xlfn.XLOOKUP($A90,My_Audit!$A:$A,My_Audit!I:I,""),
_xlfn.IFS(_xlpm.MyAuditVal&lt;&gt;"",UPPER(_xlpm.MyAuditVal),_xlpm.MacVal&lt;&gt;"",_xlpm.MacVal,_xlpm.CSVVal&lt;&gt;"",_xlpm.CSVVal
)),"")</f>
        <v/>
      </c>
      <c r="K90" s="45" t="str" cm="1">
        <f t="array" ref="K90">IFERROR(_xlfn.LET(
_xlpm.CSVVal,_xlfn.XLOOKUP($A90,CSV!$A:$A,CSV!N:N,""),
_xlpm.MacVal,_xlfn.XLOOKUP($A90,Output_Mac!$A:$A,Output_Mac!L:L,""),
_xlpm.MyAuditVal,_xlfn.XLOOKUP($A90,My_Audit!$A:$A,My_Audit!J:J,""),
_xlfn.IFS(_xlpm.MyAuditVal&lt;&gt;"",UPPER(_xlpm.MyAuditVal),_xlpm.MacVal&lt;&gt;"",_xlpm.MacVal,_xlpm.CSVVal&lt;&gt;"",_xlpm.CSVVal
)),"")</f>
        <v/>
      </c>
      <c r="L90" s="46" t="str" cm="1">
        <f t="array" ref="L90">IFERROR(_xlfn.LET(
_xlpm.CSVVal,_xlfn.XLOOKUP($A90,CSV!$A:$A,CSV!Q:Q,""),
_xlpm.MacVal,_xlfn.XLOOKUP($A90,Output_Mac!$A:$A,Output_Mac!M:M,""),
_xlpm.MyAuditVal,_xlfn.XLOOKUP($A90,My_Audit!$A:$A,My_Audit!K:K,""),
_xlfn.IFS(_xlpm.MyAuditVal&lt;&gt;"",UPPER(_xlpm.MyAuditVal),_xlpm.MacVal&lt;&gt;"",_xlpm.MacVal,_xlpm.CSVVal&lt;&gt;"",_xlpm.CSVVal
)),"")</f>
        <v/>
      </c>
      <c r="M90" s="45" t="str">
        <f>_xlfn.LET(
    _xlpm.CSVVal, _xlfn.XLOOKUP($A90, CSV!$A:$A, CSV!AE:AE, ""),
    _xlpm.MacVal, _xlfn.XLOOKUP($A90, Output_Mac!$A:$A, Output_Mac!S:S, ""),
    _xlpm.MyAuditVal, _xlfn.XLOOKUP($A90, My_Audit!$A:$A, My_Audit!N:N, ""),
    _xlfn.TEXTJOIN(", ", TRUE, _xlpm.MyAuditVal, _xlpm.MacVal, _xlpm.CSVVal)
)</f>
        <v/>
      </c>
      <c r="N90" s="45" t="str" cm="1">
        <f t="array" ref="N90">IFERROR(_xlfn.LET(
_xlpm.CSVVal,_xlfn.XLOOKUP($A90,CSV!$A:$A,CSV!AG:AG,""),
_xlpm.MacVal,_xlfn.XLOOKUP($A90,Output_Mac!$A:$A,Output_Mac!U:U,""),
_xlpm.MyAuditVal,_xlfn.XLOOKUP($A90,My_Audit!$A:$A,My_Audit!O:O,""),
_xlfn.IFS(_xlpm.MyAuditVal&lt;&gt;"",UPPER(_xlpm.MyAuditVal),_xlpm.MacVal&lt;&gt;"",_xlpm.MacVal,_xlpm.CSVVal&lt;&gt;"",_xlpm.CSVVal
)),"")</f>
        <v/>
      </c>
      <c r="O90" s="46" t="str">
        <f>_xlfn.XLOOKUP(C90,My_Audit!B:B,My_Audit!P:P,"")&amp;""</f>
        <v/>
      </c>
      <c r="P90" s="45"/>
      <c r="Q90" s="46" t="str">
        <f>IF(LEFT(N90,4)="Pass","Nist SP 800-88",My_Audit!R90)&amp;""</f>
        <v/>
      </c>
      <c r="R90" s="45"/>
      <c r="S90" s="45"/>
      <c r="T90" s="46" t="str">
        <f>_xlfn.XLOOKUP(E90,Models!I:I,Models!J:J,"")</f>
        <v/>
      </c>
      <c r="U90" s="45"/>
      <c r="V90" s="45"/>
      <c r="W90" s="38" t="str">
        <f>_xlfn.LET(
    _xlpm.MacVal, _xlfn.XLOOKUP($A90, Output_Mac!$A:$A, Output_Mac!AB:AB, ""),
    _xlpm.MyAuditVal, _xlfn.XLOOKUP($A90, My_Audit!$A:$A, My_Audit!L:L, ""),
    _xlfn.TEXTJOIN(", ", TRUE, _xlpm.MyAuditVal, _xlpm.MacVal)
)</f>
        <v/>
      </c>
    </row>
    <row r="91" spans="1:23">
      <c r="A91" s="45" t="str">
        <f>_xlfn.TEXTJOIN("",TRUE,Input!$B$2,ROW(My_Audit!A90))</f>
        <v>XX90</v>
      </c>
      <c r="B91" s="45" t="str">
        <f>_xlfn.TEXTJOIN("-",TRUE,"ITD",Input!$A$2,A91)</f>
        <v>ITD-SHRXXX-XX90</v>
      </c>
      <c r="C91" s="45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46" t="str" cm="1">
        <f t="array" ref="D91">IFERROR(_xlfn.LET(
_xlpm.CSVVal,_xlfn.XLOOKUP($A91,CSV!$A:$A,CSV!C:C,""),
_xlpm.MacVal,_xlfn.XLOOKUP($A91,Output_Mac!$A:$A,Output_Mac!D:D,""),
_xlpm.MyAuditVal,_xlfn.XLOOKUP($A91,My_Audit!$A:$A,My_Audit!C:C,""),
_xlfn.IFS(_xlpm.MyAuditVal&lt;&gt;"",UPPER(_xlpm.MyAuditVal),_xlpm.MacVal&lt;&gt;"",_xlpm.MacVal,_xlpm.CSVVal&lt;&gt;"",_xlpm.CSVVal
)),"")</f>
        <v/>
      </c>
      <c r="E91" s="46" t="str" cm="1">
        <f t="array" ref="E91">IFERROR(_xlfn.LET(
_xlpm.CSVVal,_xlfn.XLOOKUP($A91,CSV!$A:$A,CSV!E:E,""),
_xlpm.MacVal,_xlfn.XLOOKUP($A91,Output_Mac!$A:$A,Output_Mac!C:C,""),
_xlpm.MyAuditVal,_xlfn.XLOOKUP($A91,My_Audit!$A:$A,My_Audit!D:D,""),
_xlfn.IFS(_xlpm.MyAuditVal&lt;&gt;"",_xlpm.MyAuditVal,_xlpm.MacVal&lt;&gt;"",_xlpm.MacVal,_xlpm.CSVVal&lt;&gt;"",_xlpm.CSVVal
)),"")</f>
        <v/>
      </c>
      <c r="F91" s="45" t="str" cm="1">
        <f t="array" ref="F91">IFERROR(_xlfn.LET(
_xlpm.CSVVal,_xlfn.XLOOKUP($A91,CSV!$A:$A,CSV!F:F,""),
_xlpm.MacVal,_xlfn.XLOOKUP($A91,Output_Mac!$A:$A,Output_Mac!F:F,""),
_xlpm.MyAuditVal,_xlfn.XLOOKUP($A91,My_Audit!$A:$A,My_Audit!E:E,""),
_xlfn.IFS(_xlpm.MyAuditVal&lt;&gt;"",_xlpm.MyAuditVal,_xlpm.MacVal&lt;&gt;"",_xlpm.MacVal,_xlpm.CSVVal&lt;&gt;"",PROPER(_xlpm.CSVVal)
)),"")</f>
        <v/>
      </c>
      <c r="G91" s="45" t="str" cm="1">
        <f t="array" ref="G91">IFERROR(_xlfn.LET(
_xlpm.CSVVal,_xlfn.XLOOKUP($A91,CSV!$A:$A,CSV!G:G,""),
_xlpm.MacVal,_xlfn.XLOOKUP($A91,Output_Mac!$A:$A,Output_Mac!H:H,""),
_xlpm.MyAuditVal,_xlfn.XLOOKUP($A91,My_Audit!$A:$A,My_Audit!F:F,""),
_xlfn.IFS(_xlpm.MyAuditVal&lt;&gt;"",_xlpm.MyAuditVal,_xlpm.MacVal&lt;&gt;"",_xlpm.MacVal,_xlpm.CSVVal&lt;&gt;"",_xlpm.CSVVal
)),"")</f>
        <v/>
      </c>
      <c r="H91" s="45" t="str">
        <f>_xlfn.XLOOKUP(A91,Output_Mac!A:A,Output_Mac!I:I,"")</f>
        <v/>
      </c>
      <c r="I91" s="45" t="str" cm="1">
        <f t="array" ref="I91">IFERROR(_xlfn.LET(
_xlpm.CSVVal,_xlfn.XLOOKUP($A91,CSV!$A:$A,CSV!H:H,""),
_xlpm.MacVal,_xlfn.XLOOKUP($A91,Output_Mac!$A:$A,Output_Mac!J:J,""),
_xlpm.MyAuditVal,_xlfn.XLOOKUP($A91,My_Audit!$A:$A,My_Audit!H:H,""),
_xlfn.IFS(_xlpm.MyAuditVal&lt;&gt;"",UPPER(_xlpm.MyAuditVal),_xlpm.MacVal&lt;&gt;"",_xlpm.MacVal,_xlpm.CSVVal&lt;&gt;"",_xlpm.CSVVal
)),"")</f>
        <v/>
      </c>
      <c r="J91" s="45" t="str" cm="1">
        <f t="array" ref="J91">IFERROR(_xlfn.LET(
_xlpm.CSVVal,_xlfn.XLOOKUP($A91,CSV!$A:$A,CSV!J:J,""),
_xlpm.MacVal,_xlfn.XLOOKUP($A91,Output_Mac!$A:$A,Output_Mac!K:K,""),
_xlpm.MyAuditVal,_xlfn.XLOOKUP($A91,My_Audit!$A:$A,My_Audit!I:I,""),
_xlfn.IFS(_xlpm.MyAuditVal&lt;&gt;"",UPPER(_xlpm.MyAuditVal),_xlpm.MacVal&lt;&gt;"",_xlpm.MacVal,_xlpm.CSVVal&lt;&gt;"",_xlpm.CSVVal
)),"")</f>
        <v/>
      </c>
      <c r="K91" s="45" t="str" cm="1">
        <f t="array" ref="K91">IFERROR(_xlfn.LET(
_xlpm.CSVVal,_xlfn.XLOOKUP($A91,CSV!$A:$A,CSV!N:N,""),
_xlpm.MacVal,_xlfn.XLOOKUP($A91,Output_Mac!$A:$A,Output_Mac!L:L,""),
_xlpm.MyAuditVal,_xlfn.XLOOKUP($A91,My_Audit!$A:$A,My_Audit!J:J,""),
_xlfn.IFS(_xlpm.MyAuditVal&lt;&gt;"",UPPER(_xlpm.MyAuditVal),_xlpm.MacVal&lt;&gt;"",_xlpm.MacVal,_xlpm.CSVVal&lt;&gt;"",_xlpm.CSVVal
)),"")</f>
        <v/>
      </c>
      <c r="L91" s="46" t="str" cm="1">
        <f t="array" ref="L91">IFERROR(_xlfn.LET(
_xlpm.CSVVal,_xlfn.XLOOKUP($A91,CSV!$A:$A,CSV!Q:Q,""),
_xlpm.MacVal,_xlfn.XLOOKUP($A91,Output_Mac!$A:$A,Output_Mac!M:M,""),
_xlpm.MyAuditVal,_xlfn.XLOOKUP($A91,My_Audit!$A:$A,My_Audit!K:K,""),
_xlfn.IFS(_xlpm.MyAuditVal&lt;&gt;"",UPPER(_xlpm.MyAuditVal),_xlpm.MacVal&lt;&gt;"",_xlpm.MacVal,_xlpm.CSVVal&lt;&gt;"",_xlpm.CSVVal
)),"")</f>
        <v/>
      </c>
      <c r="M91" s="45" t="str">
        <f>_xlfn.LET(
    _xlpm.CSVVal, _xlfn.XLOOKUP($A91, CSV!$A:$A, CSV!AE:AE, ""),
    _xlpm.MacVal, _xlfn.XLOOKUP($A91, Output_Mac!$A:$A, Output_Mac!S:S, ""),
    _xlpm.MyAuditVal, _xlfn.XLOOKUP($A91, My_Audit!$A:$A, My_Audit!N:N, ""),
    _xlfn.TEXTJOIN(", ", TRUE, _xlpm.MyAuditVal, _xlpm.MacVal, _xlpm.CSVVal)
)</f>
        <v/>
      </c>
      <c r="N91" s="45" t="str" cm="1">
        <f t="array" ref="N91">IFERROR(_xlfn.LET(
_xlpm.CSVVal,_xlfn.XLOOKUP($A91,CSV!$A:$A,CSV!AG:AG,""),
_xlpm.MacVal,_xlfn.XLOOKUP($A91,Output_Mac!$A:$A,Output_Mac!U:U,""),
_xlpm.MyAuditVal,_xlfn.XLOOKUP($A91,My_Audit!$A:$A,My_Audit!O:O,""),
_xlfn.IFS(_xlpm.MyAuditVal&lt;&gt;"",UPPER(_xlpm.MyAuditVal),_xlpm.MacVal&lt;&gt;"",_xlpm.MacVal,_xlpm.CSVVal&lt;&gt;"",_xlpm.CSVVal
)),"")</f>
        <v/>
      </c>
      <c r="O91" s="46" t="str">
        <f>_xlfn.XLOOKUP(C91,My_Audit!B:B,My_Audit!P:P,"")&amp;""</f>
        <v/>
      </c>
      <c r="P91" s="45"/>
      <c r="Q91" s="46" t="str">
        <f>IF(LEFT(N91,4)="Pass","Nist SP 800-88",My_Audit!R91)&amp;""</f>
        <v/>
      </c>
      <c r="R91" s="45"/>
      <c r="S91" s="45"/>
      <c r="T91" s="46" t="str">
        <f>_xlfn.XLOOKUP(E91,Models!I:I,Models!J:J,"")</f>
        <v/>
      </c>
      <c r="U91" s="45"/>
      <c r="V91" s="45"/>
      <c r="W91" s="38" t="str">
        <f>_xlfn.LET(
    _xlpm.MacVal, _xlfn.XLOOKUP($A91, Output_Mac!$A:$A, Output_Mac!AB:AB, ""),
    _xlpm.MyAuditVal, _xlfn.XLOOKUP($A91, My_Audit!$A:$A, My_Audit!L:L, ""),
    _xlfn.TEXTJOIN(", ", TRUE, _xlpm.MyAuditVal, _xlpm.MacVal)
)</f>
        <v/>
      </c>
    </row>
    <row r="92" spans="1:23">
      <c r="A92" s="45" t="str">
        <f>_xlfn.TEXTJOIN("",TRUE,Input!$B$2,ROW(My_Audit!A91))</f>
        <v>XX91</v>
      </c>
      <c r="B92" s="45" t="str">
        <f>_xlfn.TEXTJOIN("-",TRUE,"ITD",Input!$A$2,A92)</f>
        <v>ITD-SHRXXX-XX91</v>
      </c>
      <c r="C92" s="45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46" t="str" cm="1">
        <f t="array" ref="D92">IFERROR(_xlfn.LET(
_xlpm.CSVVal,_xlfn.XLOOKUP($A92,CSV!$A:$A,CSV!C:C,""),
_xlpm.MacVal,_xlfn.XLOOKUP($A92,Output_Mac!$A:$A,Output_Mac!D:D,""),
_xlpm.MyAuditVal,_xlfn.XLOOKUP($A92,My_Audit!$A:$A,My_Audit!C:C,""),
_xlfn.IFS(_xlpm.MyAuditVal&lt;&gt;"",UPPER(_xlpm.MyAuditVal),_xlpm.MacVal&lt;&gt;"",_xlpm.MacVal,_xlpm.CSVVal&lt;&gt;"",_xlpm.CSVVal
)),"")</f>
        <v/>
      </c>
      <c r="E92" s="46" t="str" cm="1">
        <f t="array" ref="E92">IFERROR(_xlfn.LET(
_xlpm.CSVVal,_xlfn.XLOOKUP($A92,CSV!$A:$A,CSV!E:E,""),
_xlpm.MacVal,_xlfn.XLOOKUP($A92,Output_Mac!$A:$A,Output_Mac!C:C,""),
_xlpm.MyAuditVal,_xlfn.XLOOKUP($A92,My_Audit!$A:$A,My_Audit!D:D,""),
_xlfn.IFS(_xlpm.MyAuditVal&lt;&gt;"",_xlpm.MyAuditVal,_xlpm.MacVal&lt;&gt;"",_xlpm.MacVal,_xlpm.CSVVal&lt;&gt;"",_xlpm.CSVVal
)),"")</f>
        <v/>
      </c>
      <c r="F92" s="45" t="str" cm="1">
        <f t="array" ref="F92">IFERROR(_xlfn.LET(
_xlpm.CSVVal,_xlfn.XLOOKUP($A92,CSV!$A:$A,CSV!F:F,""),
_xlpm.MacVal,_xlfn.XLOOKUP($A92,Output_Mac!$A:$A,Output_Mac!F:F,""),
_xlpm.MyAuditVal,_xlfn.XLOOKUP($A92,My_Audit!$A:$A,My_Audit!E:E,""),
_xlfn.IFS(_xlpm.MyAuditVal&lt;&gt;"",_xlpm.MyAuditVal,_xlpm.MacVal&lt;&gt;"",_xlpm.MacVal,_xlpm.CSVVal&lt;&gt;"",PROPER(_xlpm.CSVVal)
)),"")</f>
        <v/>
      </c>
      <c r="G92" s="45" t="str" cm="1">
        <f t="array" ref="G92">IFERROR(_xlfn.LET(
_xlpm.CSVVal,_xlfn.XLOOKUP($A92,CSV!$A:$A,CSV!G:G,""),
_xlpm.MacVal,_xlfn.XLOOKUP($A92,Output_Mac!$A:$A,Output_Mac!H:H,""),
_xlpm.MyAuditVal,_xlfn.XLOOKUP($A92,My_Audit!$A:$A,My_Audit!F:F,""),
_xlfn.IFS(_xlpm.MyAuditVal&lt;&gt;"",_xlpm.MyAuditVal,_xlpm.MacVal&lt;&gt;"",_xlpm.MacVal,_xlpm.CSVVal&lt;&gt;"",_xlpm.CSVVal
)),"")</f>
        <v/>
      </c>
      <c r="H92" s="45" t="str">
        <f>_xlfn.XLOOKUP(A92,Output_Mac!A:A,Output_Mac!I:I,"")</f>
        <v/>
      </c>
      <c r="I92" s="45" t="str" cm="1">
        <f t="array" ref="I92">IFERROR(_xlfn.LET(
_xlpm.CSVVal,_xlfn.XLOOKUP($A92,CSV!$A:$A,CSV!H:H,""),
_xlpm.MacVal,_xlfn.XLOOKUP($A92,Output_Mac!$A:$A,Output_Mac!J:J,""),
_xlpm.MyAuditVal,_xlfn.XLOOKUP($A92,My_Audit!$A:$A,My_Audit!H:H,""),
_xlfn.IFS(_xlpm.MyAuditVal&lt;&gt;"",UPPER(_xlpm.MyAuditVal),_xlpm.MacVal&lt;&gt;"",_xlpm.MacVal,_xlpm.CSVVal&lt;&gt;"",_xlpm.CSVVal
)),"")</f>
        <v/>
      </c>
      <c r="J92" s="45" t="str" cm="1">
        <f t="array" ref="J92">IFERROR(_xlfn.LET(
_xlpm.CSVVal,_xlfn.XLOOKUP($A92,CSV!$A:$A,CSV!J:J,""),
_xlpm.MacVal,_xlfn.XLOOKUP($A92,Output_Mac!$A:$A,Output_Mac!K:K,""),
_xlpm.MyAuditVal,_xlfn.XLOOKUP($A92,My_Audit!$A:$A,My_Audit!I:I,""),
_xlfn.IFS(_xlpm.MyAuditVal&lt;&gt;"",UPPER(_xlpm.MyAuditVal),_xlpm.MacVal&lt;&gt;"",_xlpm.MacVal,_xlpm.CSVVal&lt;&gt;"",_xlpm.CSVVal
)),"")</f>
        <v/>
      </c>
      <c r="K92" s="45" t="str" cm="1">
        <f t="array" ref="K92">IFERROR(_xlfn.LET(
_xlpm.CSVVal,_xlfn.XLOOKUP($A92,CSV!$A:$A,CSV!N:N,""),
_xlpm.MacVal,_xlfn.XLOOKUP($A92,Output_Mac!$A:$A,Output_Mac!L:L,""),
_xlpm.MyAuditVal,_xlfn.XLOOKUP($A92,My_Audit!$A:$A,My_Audit!J:J,""),
_xlfn.IFS(_xlpm.MyAuditVal&lt;&gt;"",UPPER(_xlpm.MyAuditVal),_xlpm.MacVal&lt;&gt;"",_xlpm.MacVal,_xlpm.CSVVal&lt;&gt;"",_xlpm.CSVVal
)),"")</f>
        <v/>
      </c>
      <c r="L92" s="46" t="str" cm="1">
        <f t="array" ref="L92">IFERROR(_xlfn.LET(
_xlpm.CSVVal,_xlfn.XLOOKUP($A92,CSV!$A:$A,CSV!Q:Q,""),
_xlpm.MacVal,_xlfn.XLOOKUP($A92,Output_Mac!$A:$A,Output_Mac!M:M,""),
_xlpm.MyAuditVal,_xlfn.XLOOKUP($A92,My_Audit!$A:$A,My_Audit!K:K,""),
_xlfn.IFS(_xlpm.MyAuditVal&lt;&gt;"",UPPER(_xlpm.MyAuditVal),_xlpm.MacVal&lt;&gt;"",_xlpm.MacVal,_xlpm.CSVVal&lt;&gt;"",_xlpm.CSVVal
)),"")</f>
        <v/>
      </c>
      <c r="M92" s="45" t="str">
        <f>_xlfn.LET(
    _xlpm.CSVVal, _xlfn.XLOOKUP($A92, CSV!$A:$A, CSV!AE:AE, ""),
    _xlpm.MacVal, _xlfn.XLOOKUP($A92, Output_Mac!$A:$A, Output_Mac!S:S, ""),
    _xlpm.MyAuditVal, _xlfn.XLOOKUP($A92, My_Audit!$A:$A, My_Audit!N:N, ""),
    _xlfn.TEXTJOIN(", ", TRUE, _xlpm.MyAuditVal, _xlpm.MacVal, _xlpm.CSVVal)
)</f>
        <v/>
      </c>
      <c r="N92" s="45" t="str" cm="1">
        <f t="array" ref="N92">IFERROR(_xlfn.LET(
_xlpm.CSVVal,_xlfn.XLOOKUP($A92,CSV!$A:$A,CSV!AG:AG,""),
_xlpm.MacVal,_xlfn.XLOOKUP($A92,Output_Mac!$A:$A,Output_Mac!U:U,""),
_xlpm.MyAuditVal,_xlfn.XLOOKUP($A92,My_Audit!$A:$A,My_Audit!O:O,""),
_xlfn.IFS(_xlpm.MyAuditVal&lt;&gt;"",UPPER(_xlpm.MyAuditVal),_xlpm.MacVal&lt;&gt;"",_xlpm.MacVal,_xlpm.CSVVal&lt;&gt;"",_xlpm.CSVVal
)),"")</f>
        <v/>
      </c>
      <c r="O92" s="46" t="str">
        <f>_xlfn.XLOOKUP(C92,My_Audit!B:B,My_Audit!P:P,"")&amp;""</f>
        <v/>
      </c>
      <c r="P92" s="45"/>
      <c r="Q92" s="46" t="str">
        <f>IF(LEFT(N92,4)="Pass","Nist SP 800-88",My_Audit!R92)&amp;""</f>
        <v/>
      </c>
      <c r="R92" s="45"/>
      <c r="S92" s="45"/>
      <c r="T92" s="46" t="str">
        <f>_xlfn.XLOOKUP(E92,Models!I:I,Models!J:J,"")</f>
        <v/>
      </c>
      <c r="U92" s="45"/>
      <c r="V92" s="45"/>
      <c r="W92" s="38" t="str">
        <f>_xlfn.LET(
    _xlpm.MacVal, _xlfn.XLOOKUP($A92, Output_Mac!$A:$A, Output_Mac!AB:AB, ""),
    _xlpm.MyAuditVal, _xlfn.XLOOKUP($A92, My_Audit!$A:$A, My_Audit!L:L, ""),
    _xlfn.TEXTJOIN(", ", TRUE, _xlpm.MyAuditVal, _xlpm.MacVal)
)</f>
        <v/>
      </c>
    </row>
    <row r="93" spans="1:23">
      <c r="A93" s="45" t="str">
        <f>_xlfn.TEXTJOIN("",TRUE,Input!$B$2,ROW(My_Audit!A92))</f>
        <v>XX92</v>
      </c>
      <c r="B93" s="45" t="str">
        <f>_xlfn.TEXTJOIN("-",TRUE,"ITD",Input!$A$2,A93)</f>
        <v>ITD-SHRXXX-XX92</v>
      </c>
      <c r="C93" s="45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46" t="str" cm="1">
        <f t="array" ref="D93">IFERROR(_xlfn.LET(
_xlpm.CSVVal,_xlfn.XLOOKUP($A93,CSV!$A:$A,CSV!C:C,""),
_xlpm.MacVal,_xlfn.XLOOKUP($A93,Output_Mac!$A:$A,Output_Mac!D:D,""),
_xlpm.MyAuditVal,_xlfn.XLOOKUP($A93,My_Audit!$A:$A,My_Audit!C:C,""),
_xlfn.IFS(_xlpm.MyAuditVal&lt;&gt;"",UPPER(_xlpm.MyAuditVal),_xlpm.MacVal&lt;&gt;"",_xlpm.MacVal,_xlpm.CSVVal&lt;&gt;"",_xlpm.CSVVal
)),"")</f>
        <v/>
      </c>
      <c r="E93" s="46" t="str" cm="1">
        <f t="array" ref="E93">IFERROR(_xlfn.LET(
_xlpm.CSVVal,_xlfn.XLOOKUP($A93,CSV!$A:$A,CSV!E:E,""),
_xlpm.MacVal,_xlfn.XLOOKUP($A93,Output_Mac!$A:$A,Output_Mac!C:C,""),
_xlpm.MyAuditVal,_xlfn.XLOOKUP($A93,My_Audit!$A:$A,My_Audit!D:D,""),
_xlfn.IFS(_xlpm.MyAuditVal&lt;&gt;"",_xlpm.MyAuditVal,_xlpm.MacVal&lt;&gt;"",_xlpm.MacVal,_xlpm.CSVVal&lt;&gt;"",_xlpm.CSVVal
)),"")</f>
        <v/>
      </c>
      <c r="F93" s="45" t="str" cm="1">
        <f t="array" ref="F93">IFERROR(_xlfn.LET(
_xlpm.CSVVal,_xlfn.XLOOKUP($A93,CSV!$A:$A,CSV!F:F,""),
_xlpm.MacVal,_xlfn.XLOOKUP($A93,Output_Mac!$A:$A,Output_Mac!F:F,""),
_xlpm.MyAuditVal,_xlfn.XLOOKUP($A93,My_Audit!$A:$A,My_Audit!E:E,""),
_xlfn.IFS(_xlpm.MyAuditVal&lt;&gt;"",_xlpm.MyAuditVal,_xlpm.MacVal&lt;&gt;"",_xlpm.MacVal,_xlpm.CSVVal&lt;&gt;"",PROPER(_xlpm.CSVVal)
)),"")</f>
        <v/>
      </c>
      <c r="G93" s="45" t="str" cm="1">
        <f t="array" ref="G93">IFERROR(_xlfn.LET(
_xlpm.CSVVal,_xlfn.XLOOKUP($A93,CSV!$A:$A,CSV!G:G,""),
_xlpm.MacVal,_xlfn.XLOOKUP($A93,Output_Mac!$A:$A,Output_Mac!H:H,""),
_xlpm.MyAuditVal,_xlfn.XLOOKUP($A93,My_Audit!$A:$A,My_Audit!F:F,""),
_xlfn.IFS(_xlpm.MyAuditVal&lt;&gt;"",_xlpm.MyAuditVal,_xlpm.MacVal&lt;&gt;"",_xlpm.MacVal,_xlpm.CSVVal&lt;&gt;"",_xlpm.CSVVal
)),"")</f>
        <v/>
      </c>
      <c r="H93" s="45" t="str">
        <f>_xlfn.XLOOKUP(A93,Output_Mac!A:A,Output_Mac!I:I,"")</f>
        <v/>
      </c>
      <c r="I93" s="45" t="str" cm="1">
        <f t="array" ref="I93">IFERROR(_xlfn.LET(
_xlpm.CSVVal,_xlfn.XLOOKUP($A93,CSV!$A:$A,CSV!H:H,""),
_xlpm.MacVal,_xlfn.XLOOKUP($A93,Output_Mac!$A:$A,Output_Mac!J:J,""),
_xlpm.MyAuditVal,_xlfn.XLOOKUP($A93,My_Audit!$A:$A,My_Audit!H:H,""),
_xlfn.IFS(_xlpm.MyAuditVal&lt;&gt;"",UPPER(_xlpm.MyAuditVal),_xlpm.MacVal&lt;&gt;"",_xlpm.MacVal,_xlpm.CSVVal&lt;&gt;"",_xlpm.CSVVal
)),"")</f>
        <v/>
      </c>
      <c r="J93" s="45" t="str" cm="1">
        <f t="array" ref="J93">IFERROR(_xlfn.LET(
_xlpm.CSVVal,_xlfn.XLOOKUP($A93,CSV!$A:$A,CSV!J:J,""),
_xlpm.MacVal,_xlfn.XLOOKUP($A93,Output_Mac!$A:$A,Output_Mac!K:K,""),
_xlpm.MyAuditVal,_xlfn.XLOOKUP($A93,My_Audit!$A:$A,My_Audit!I:I,""),
_xlfn.IFS(_xlpm.MyAuditVal&lt;&gt;"",UPPER(_xlpm.MyAuditVal),_xlpm.MacVal&lt;&gt;"",_xlpm.MacVal,_xlpm.CSVVal&lt;&gt;"",_xlpm.CSVVal
)),"")</f>
        <v/>
      </c>
      <c r="K93" s="45" t="str" cm="1">
        <f t="array" ref="K93">IFERROR(_xlfn.LET(
_xlpm.CSVVal,_xlfn.XLOOKUP($A93,CSV!$A:$A,CSV!N:N,""),
_xlpm.MacVal,_xlfn.XLOOKUP($A93,Output_Mac!$A:$A,Output_Mac!L:L,""),
_xlpm.MyAuditVal,_xlfn.XLOOKUP($A93,My_Audit!$A:$A,My_Audit!J:J,""),
_xlfn.IFS(_xlpm.MyAuditVal&lt;&gt;"",UPPER(_xlpm.MyAuditVal),_xlpm.MacVal&lt;&gt;"",_xlpm.MacVal,_xlpm.CSVVal&lt;&gt;"",_xlpm.CSVVal
)),"")</f>
        <v/>
      </c>
      <c r="L93" s="46" t="str" cm="1">
        <f t="array" ref="L93">IFERROR(_xlfn.LET(
_xlpm.CSVVal,_xlfn.XLOOKUP($A93,CSV!$A:$A,CSV!Q:Q,""),
_xlpm.MacVal,_xlfn.XLOOKUP($A93,Output_Mac!$A:$A,Output_Mac!M:M,""),
_xlpm.MyAuditVal,_xlfn.XLOOKUP($A93,My_Audit!$A:$A,My_Audit!K:K,""),
_xlfn.IFS(_xlpm.MyAuditVal&lt;&gt;"",UPPER(_xlpm.MyAuditVal),_xlpm.MacVal&lt;&gt;"",_xlpm.MacVal,_xlpm.CSVVal&lt;&gt;"",_xlpm.CSVVal
)),"")</f>
        <v/>
      </c>
      <c r="M93" s="45" t="str">
        <f>_xlfn.LET(
    _xlpm.CSVVal, _xlfn.XLOOKUP($A93, CSV!$A:$A, CSV!AE:AE, ""),
    _xlpm.MacVal, _xlfn.XLOOKUP($A93, Output_Mac!$A:$A, Output_Mac!S:S, ""),
    _xlpm.MyAuditVal, _xlfn.XLOOKUP($A93, My_Audit!$A:$A, My_Audit!N:N, ""),
    _xlfn.TEXTJOIN(", ", TRUE, _xlpm.MyAuditVal, _xlpm.MacVal, _xlpm.CSVVal)
)</f>
        <v/>
      </c>
      <c r="N93" s="45" t="str" cm="1">
        <f t="array" ref="N93">IFERROR(_xlfn.LET(
_xlpm.CSVVal,_xlfn.XLOOKUP($A93,CSV!$A:$A,CSV!AG:AG,""),
_xlpm.MacVal,_xlfn.XLOOKUP($A93,Output_Mac!$A:$A,Output_Mac!U:U,""),
_xlpm.MyAuditVal,_xlfn.XLOOKUP($A93,My_Audit!$A:$A,My_Audit!O:O,""),
_xlfn.IFS(_xlpm.MyAuditVal&lt;&gt;"",UPPER(_xlpm.MyAuditVal),_xlpm.MacVal&lt;&gt;"",_xlpm.MacVal,_xlpm.CSVVal&lt;&gt;"",_xlpm.CSVVal
)),"")</f>
        <v/>
      </c>
      <c r="O93" s="46" t="str">
        <f>_xlfn.XLOOKUP(C93,My_Audit!B:B,My_Audit!P:P,"")&amp;""</f>
        <v/>
      </c>
      <c r="P93" s="45"/>
      <c r="Q93" s="46" t="str">
        <f>IF(LEFT(N93,4)="Pass","Nist SP 800-88",My_Audit!R93)&amp;""</f>
        <v/>
      </c>
      <c r="R93" s="45"/>
      <c r="S93" s="45"/>
      <c r="T93" s="46" t="str">
        <f>_xlfn.XLOOKUP(E93,Models!I:I,Models!J:J,"")</f>
        <v/>
      </c>
      <c r="U93" s="45"/>
      <c r="V93" s="45"/>
      <c r="W93" s="38" t="str">
        <f>_xlfn.LET(
    _xlpm.MacVal, _xlfn.XLOOKUP($A93, Output_Mac!$A:$A, Output_Mac!AB:AB, ""),
    _xlpm.MyAuditVal, _xlfn.XLOOKUP($A93, My_Audit!$A:$A, My_Audit!L:L, ""),
    _xlfn.TEXTJOIN(", ", TRUE, _xlpm.MyAuditVal, _xlpm.MacVal)
)</f>
        <v/>
      </c>
    </row>
    <row r="94" spans="1:23">
      <c r="A94" s="45" t="str">
        <f>_xlfn.TEXTJOIN("",TRUE,Input!$B$2,ROW(My_Audit!A93))</f>
        <v>XX93</v>
      </c>
      <c r="B94" s="45" t="str">
        <f>_xlfn.TEXTJOIN("-",TRUE,"ITD",Input!$A$2,A94)</f>
        <v>ITD-SHRXXX-XX93</v>
      </c>
      <c r="C94" s="45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46" t="str" cm="1">
        <f t="array" ref="D94">IFERROR(_xlfn.LET(
_xlpm.CSVVal,_xlfn.XLOOKUP($A94,CSV!$A:$A,CSV!C:C,""),
_xlpm.MacVal,_xlfn.XLOOKUP($A94,Output_Mac!$A:$A,Output_Mac!D:D,""),
_xlpm.MyAuditVal,_xlfn.XLOOKUP($A94,My_Audit!$A:$A,My_Audit!C:C,""),
_xlfn.IFS(_xlpm.MyAuditVal&lt;&gt;"",UPPER(_xlpm.MyAuditVal),_xlpm.MacVal&lt;&gt;"",_xlpm.MacVal,_xlpm.CSVVal&lt;&gt;"",_xlpm.CSVVal
)),"")</f>
        <v/>
      </c>
      <c r="E94" s="46" t="str" cm="1">
        <f t="array" ref="E94">IFERROR(_xlfn.LET(
_xlpm.CSVVal,_xlfn.XLOOKUP($A94,CSV!$A:$A,CSV!E:E,""),
_xlpm.MacVal,_xlfn.XLOOKUP($A94,Output_Mac!$A:$A,Output_Mac!C:C,""),
_xlpm.MyAuditVal,_xlfn.XLOOKUP($A94,My_Audit!$A:$A,My_Audit!D:D,""),
_xlfn.IFS(_xlpm.MyAuditVal&lt;&gt;"",_xlpm.MyAuditVal,_xlpm.MacVal&lt;&gt;"",_xlpm.MacVal,_xlpm.CSVVal&lt;&gt;"",_xlpm.CSVVal
)),"")</f>
        <v/>
      </c>
      <c r="F94" s="45" t="str" cm="1">
        <f t="array" ref="F94">IFERROR(_xlfn.LET(
_xlpm.CSVVal,_xlfn.XLOOKUP($A94,CSV!$A:$A,CSV!F:F,""),
_xlpm.MacVal,_xlfn.XLOOKUP($A94,Output_Mac!$A:$A,Output_Mac!F:F,""),
_xlpm.MyAuditVal,_xlfn.XLOOKUP($A94,My_Audit!$A:$A,My_Audit!E:E,""),
_xlfn.IFS(_xlpm.MyAuditVal&lt;&gt;"",_xlpm.MyAuditVal,_xlpm.MacVal&lt;&gt;"",_xlpm.MacVal,_xlpm.CSVVal&lt;&gt;"",PROPER(_xlpm.CSVVal)
)),"")</f>
        <v/>
      </c>
      <c r="G94" s="45" t="str" cm="1">
        <f t="array" ref="G94">IFERROR(_xlfn.LET(
_xlpm.CSVVal,_xlfn.XLOOKUP($A94,CSV!$A:$A,CSV!G:G,""),
_xlpm.MacVal,_xlfn.XLOOKUP($A94,Output_Mac!$A:$A,Output_Mac!H:H,""),
_xlpm.MyAuditVal,_xlfn.XLOOKUP($A94,My_Audit!$A:$A,My_Audit!F:F,""),
_xlfn.IFS(_xlpm.MyAuditVal&lt;&gt;"",_xlpm.MyAuditVal,_xlpm.MacVal&lt;&gt;"",_xlpm.MacVal,_xlpm.CSVVal&lt;&gt;"",_xlpm.CSVVal
)),"")</f>
        <v/>
      </c>
      <c r="H94" s="45" t="str">
        <f>_xlfn.XLOOKUP(A94,Output_Mac!A:A,Output_Mac!I:I,"")</f>
        <v/>
      </c>
      <c r="I94" s="45" t="str" cm="1">
        <f t="array" ref="I94">IFERROR(_xlfn.LET(
_xlpm.CSVVal,_xlfn.XLOOKUP($A94,CSV!$A:$A,CSV!H:H,""),
_xlpm.MacVal,_xlfn.XLOOKUP($A94,Output_Mac!$A:$A,Output_Mac!J:J,""),
_xlpm.MyAuditVal,_xlfn.XLOOKUP($A94,My_Audit!$A:$A,My_Audit!H:H,""),
_xlfn.IFS(_xlpm.MyAuditVal&lt;&gt;"",UPPER(_xlpm.MyAuditVal),_xlpm.MacVal&lt;&gt;"",_xlpm.MacVal,_xlpm.CSVVal&lt;&gt;"",_xlpm.CSVVal
)),"")</f>
        <v/>
      </c>
      <c r="J94" s="45" t="str" cm="1">
        <f t="array" ref="J94">IFERROR(_xlfn.LET(
_xlpm.CSVVal,_xlfn.XLOOKUP($A94,CSV!$A:$A,CSV!J:J,""),
_xlpm.MacVal,_xlfn.XLOOKUP($A94,Output_Mac!$A:$A,Output_Mac!K:K,""),
_xlpm.MyAuditVal,_xlfn.XLOOKUP($A94,My_Audit!$A:$A,My_Audit!I:I,""),
_xlfn.IFS(_xlpm.MyAuditVal&lt;&gt;"",UPPER(_xlpm.MyAuditVal),_xlpm.MacVal&lt;&gt;"",_xlpm.MacVal,_xlpm.CSVVal&lt;&gt;"",_xlpm.CSVVal
)),"")</f>
        <v/>
      </c>
      <c r="K94" s="45" t="str" cm="1">
        <f t="array" ref="K94">IFERROR(_xlfn.LET(
_xlpm.CSVVal,_xlfn.XLOOKUP($A94,CSV!$A:$A,CSV!N:N,""),
_xlpm.MacVal,_xlfn.XLOOKUP($A94,Output_Mac!$A:$A,Output_Mac!L:L,""),
_xlpm.MyAuditVal,_xlfn.XLOOKUP($A94,My_Audit!$A:$A,My_Audit!J:J,""),
_xlfn.IFS(_xlpm.MyAuditVal&lt;&gt;"",UPPER(_xlpm.MyAuditVal),_xlpm.MacVal&lt;&gt;"",_xlpm.MacVal,_xlpm.CSVVal&lt;&gt;"",_xlpm.CSVVal
)),"")</f>
        <v/>
      </c>
      <c r="L94" s="46" t="str" cm="1">
        <f t="array" ref="L94">IFERROR(_xlfn.LET(
_xlpm.CSVVal,_xlfn.XLOOKUP($A94,CSV!$A:$A,CSV!Q:Q,""),
_xlpm.MacVal,_xlfn.XLOOKUP($A94,Output_Mac!$A:$A,Output_Mac!M:M,""),
_xlpm.MyAuditVal,_xlfn.XLOOKUP($A94,My_Audit!$A:$A,My_Audit!K:K,""),
_xlfn.IFS(_xlpm.MyAuditVal&lt;&gt;"",UPPER(_xlpm.MyAuditVal),_xlpm.MacVal&lt;&gt;"",_xlpm.MacVal,_xlpm.CSVVal&lt;&gt;"",_xlpm.CSVVal
)),"")</f>
        <v/>
      </c>
      <c r="M94" s="45" t="str">
        <f>_xlfn.LET(
    _xlpm.CSVVal, _xlfn.XLOOKUP($A94, CSV!$A:$A, CSV!AE:AE, ""),
    _xlpm.MacVal, _xlfn.XLOOKUP($A94, Output_Mac!$A:$A, Output_Mac!S:S, ""),
    _xlpm.MyAuditVal, _xlfn.XLOOKUP($A94, My_Audit!$A:$A, My_Audit!N:N, ""),
    _xlfn.TEXTJOIN(", ", TRUE, _xlpm.MyAuditVal, _xlpm.MacVal, _xlpm.CSVVal)
)</f>
        <v/>
      </c>
      <c r="N94" s="45" t="str" cm="1">
        <f t="array" ref="N94">IFERROR(_xlfn.LET(
_xlpm.CSVVal,_xlfn.XLOOKUP($A94,CSV!$A:$A,CSV!AG:AG,""),
_xlpm.MacVal,_xlfn.XLOOKUP($A94,Output_Mac!$A:$A,Output_Mac!U:U,""),
_xlpm.MyAuditVal,_xlfn.XLOOKUP($A94,My_Audit!$A:$A,My_Audit!O:O,""),
_xlfn.IFS(_xlpm.MyAuditVal&lt;&gt;"",UPPER(_xlpm.MyAuditVal),_xlpm.MacVal&lt;&gt;"",_xlpm.MacVal,_xlpm.CSVVal&lt;&gt;"",_xlpm.CSVVal
)),"")</f>
        <v/>
      </c>
      <c r="O94" s="46" t="str">
        <f>_xlfn.XLOOKUP(C94,My_Audit!B:B,My_Audit!P:P,"")&amp;""</f>
        <v/>
      </c>
      <c r="P94" s="45"/>
      <c r="Q94" s="46" t="str">
        <f>IF(LEFT(N94,4)="Pass","Nist SP 800-88",My_Audit!R94)&amp;""</f>
        <v/>
      </c>
      <c r="R94" s="45"/>
      <c r="S94" s="45"/>
      <c r="T94" s="46" t="str">
        <f>_xlfn.XLOOKUP(E94,Models!I:I,Models!J:J,"")</f>
        <v/>
      </c>
      <c r="U94" s="45"/>
      <c r="V94" s="45"/>
      <c r="W94" s="38" t="str">
        <f>_xlfn.LET(
    _xlpm.MacVal, _xlfn.XLOOKUP($A94, Output_Mac!$A:$A, Output_Mac!AB:AB, ""),
    _xlpm.MyAuditVal, _xlfn.XLOOKUP($A94, My_Audit!$A:$A, My_Audit!L:L, ""),
    _xlfn.TEXTJOIN(", ", TRUE, _xlpm.MyAuditVal, _xlpm.MacVal)
)</f>
        <v/>
      </c>
    </row>
    <row r="95" spans="1:23">
      <c r="A95" s="45" t="str">
        <f>_xlfn.TEXTJOIN("",TRUE,Input!$B$2,ROW(My_Audit!A94))</f>
        <v>XX94</v>
      </c>
      <c r="B95" s="45" t="str">
        <f>_xlfn.TEXTJOIN("-",TRUE,"ITD",Input!$A$2,A95)</f>
        <v>ITD-SHRXXX-XX94</v>
      </c>
      <c r="C95" s="45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46" t="str" cm="1">
        <f t="array" ref="D95">IFERROR(_xlfn.LET(
_xlpm.CSVVal,_xlfn.XLOOKUP($A95,CSV!$A:$A,CSV!C:C,""),
_xlpm.MacVal,_xlfn.XLOOKUP($A95,Output_Mac!$A:$A,Output_Mac!D:D,""),
_xlpm.MyAuditVal,_xlfn.XLOOKUP($A95,My_Audit!$A:$A,My_Audit!C:C,""),
_xlfn.IFS(_xlpm.MyAuditVal&lt;&gt;"",UPPER(_xlpm.MyAuditVal),_xlpm.MacVal&lt;&gt;"",_xlpm.MacVal,_xlpm.CSVVal&lt;&gt;"",_xlpm.CSVVal
)),"")</f>
        <v/>
      </c>
      <c r="E95" s="46" t="str" cm="1">
        <f t="array" ref="E95">IFERROR(_xlfn.LET(
_xlpm.CSVVal,_xlfn.XLOOKUP($A95,CSV!$A:$A,CSV!E:E,""),
_xlpm.MacVal,_xlfn.XLOOKUP($A95,Output_Mac!$A:$A,Output_Mac!C:C,""),
_xlpm.MyAuditVal,_xlfn.XLOOKUP($A95,My_Audit!$A:$A,My_Audit!D:D,""),
_xlfn.IFS(_xlpm.MyAuditVal&lt;&gt;"",_xlpm.MyAuditVal,_xlpm.MacVal&lt;&gt;"",_xlpm.MacVal,_xlpm.CSVVal&lt;&gt;"",_xlpm.CSVVal
)),"")</f>
        <v/>
      </c>
      <c r="F95" s="45" t="str" cm="1">
        <f t="array" ref="F95">IFERROR(_xlfn.LET(
_xlpm.CSVVal,_xlfn.XLOOKUP($A95,CSV!$A:$A,CSV!F:F,""),
_xlpm.MacVal,_xlfn.XLOOKUP($A95,Output_Mac!$A:$A,Output_Mac!F:F,""),
_xlpm.MyAuditVal,_xlfn.XLOOKUP($A95,My_Audit!$A:$A,My_Audit!E:E,""),
_xlfn.IFS(_xlpm.MyAuditVal&lt;&gt;"",_xlpm.MyAuditVal,_xlpm.MacVal&lt;&gt;"",_xlpm.MacVal,_xlpm.CSVVal&lt;&gt;"",PROPER(_xlpm.CSVVal)
)),"")</f>
        <v/>
      </c>
      <c r="G95" s="45" t="str" cm="1">
        <f t="array" ref="G95">IFERROR(_xlfn.LET(
_xlpm.CSVVal,_xlfn.XLOOKUP($A95,CSV!$A:$A,CSV!G:G,""),
_xlpm.MacVal,_xlfn.XLOOKUP($A95,Output_Mac!$A:$A,Output_Mac!H:H,""),
_xlpm.MyAuditVal,_xlfn.XLOOKUP($A95,My_Audit!$A:$A,My_Audit!F:F,""),
_xlfn.IFS(_xlpm.MyAuditVal&lt;&gt;"",_xlpm.MyAuditVal,_xlpm.MacVal&lt;&gt;"",_xlpm.MacVal,_xlpm.CSVVal&lt;&gt;"",_xlpm.CSVVal
)),"")</f>
        <v/>
      </c>
      <c r="H95" s="45" t="str">
        <f>_xlfn.XLOOKUP(A95,Output_Mac!A:A,Output_Mac!I:I,"")</f>
        <v/>
      </c>
      <c r="I95" s="45" t="str" cm="1">
        <f t="array" ref="I95">IFERROR(_xlfn.LET(
_xlpm.CSVVal,_xlfn.XLOOKUP($A95,CSV!$A:$A,CSV!H:H,""),
_xlpm.MacVal,_xlfn.XLOOKUP($A95,Output_Mac!$A:$A,Output_Mac!J:J,""),
_xlpm.MyAuditVal,_xlfn.XLOOKUP($A95,My_Audit!$A:$A,My_Audit!H:H,""),
_xlfn.IFS(_xlpm.MyAuditVal&lt;&gt;"",UPPER(_xlpm.MyAuditVal),_xlpm.MacVal&lt;&gt;"",_xlpm.MacVal,_xlpm.CSVVal&lt;&gt;"",_xlpm.CSVVal
)),"")</f>
        <v/>
      </c>
      <c r="J95" s="45" t="str" cm="1">
        <f t="array" ref="J95">IFERROR(_xlfn.LET(
_xlpm.CSVVal,_xlfn.XLOOKUP($A95,CSV!$A:$A,CSV!J:J,""),
_xlpm.MacVal,_xlfn.XLOOKUP($A95,Output_Mac!$A:$A,Output_Mac!K:K,""),
_xlpm.MyAuditVal,_xlfn.XLOOKUP($A95,My_Audit!$A:$A,My_Audit!I:I,""),
_xlfn.IFS(_xlpm.MyAuditVal&lt;&gt;"",UPPER(_xlpm.MyAuditVal),_xlpm.MacVal&lt;&gt;"",_xlpm.MacVal,_xlpm.CSVVal&lt;&gt;"",_xlpm.CSVVal
)),"")</f>
        <v/>
      </c>
      <c r="K95" s="45" t="str" cm="1">
        <f t="array" ref="K95">IFERROR(_xlfn.LET(
_xlpm.CSVVal,_xlfn.XLOOKUP($A95,CSV!$A:$A,CSV!N:N,""),
_xlpm.MacVal,_xlfn.XLOOKUP($A95,Output_Mac!$A:$A,Output_Mac!L:L,""),
_xlpm.MyAuditVal,_xlfn.XLOOKUP($A95,My_Audit!$A:$A,My_Audit!J:J,""),
_xlfn.IFS(_xlpm.MyAuditVal&lt;&gt;"",UPPER(_xlpm.MyAuditVal),_xlpm.MacVal&lt;&gt;"",_xlpm.MacVal,_xlpm.CSVVal&lt;&gt;"",_xlpm.CSVVal
)),"")</f>
        <v/>
      </c>
      <c r="L95" s="46" t="str" cm="1">
        <f t="array" ref="L95">IFERROR(_xlfn.LET(
_xlpm.CSVVal,_xlfn.XLOOKUP($A95,CSV!$A:$A,CSV!Q:Q,""),
_xlpm.MacVal,_xlfn.XLOOKUP($A95,Output_Mac!$A:$A,Output_Mac!M:M,""),
_xlpm.MyAuditVal,_xlfn.XLOOKUP($A95,My_Audit!$A:$A,My_Audit!K:K,""),
_xlfn.IFS(_xlpm.MyAuditVal&lt;&gt;"",UPPER(_xlpm.MyAuditVal),_xlpm.MacVal&lt;&gt;"",_xlpm.MacVal,_xlpm.CSVVal&lt;&gt;"",_xlpm.CSVVal
)),"")</f>
        <v/>
      </c>
      <c r="M95" s="45" t="str">
        <f>_xlfn.LET(
    _xlpm.CSVVal, _xlfn.XLOOKUP($A95, CSV!$A:$A, CSV!AE:AE, ""),
    _xlpm.MacVal, _xlfn.XLOOKUP($A95, Output_Mac!$A:$A, Output_Mac!S:S, ""),
    _xlpm.MyAuditVal, _xlfn.XLOOKUP($A95, My_Audit!$A:$A, My_Audit!N:N, ""),
    _xlfn.TEXTJOIN(", ", TRUE, _xlpm.MyAuditVal, _xlpm.MacVal, _xlpm.CSVVal)
)</f>
        <v/>
      </c>
      <c r="N95" s="45" t="str" cm="1">
        <f t="array" ref="N95">IFERROR(_xlfn.LET(
_xlpm.CSVVal,_xlfn.XLOOKUP($A95,CSV!$A:$A,CSV!AG:AG,""),
_xlpm.MacVal,_xlfn.XLOOKUP($A95,Output_Mac!$A:$A,Output_Mac!U:U,""),
_xlpm.MyAuditVal,_xlfn.XLOOKUP($A95,My_Audit!$A:$A,My_Audit!O:O,""),
_xlfn.IFS(_xlpm.MyAuditVal&lt;&gt;"",UPPER(_xlpm.MyAuditVal),_xlpm.MacVal&lt;&gt;"",_xlpm.MacVal,_xlpm.CSVVal&lt;&gt;"",_xlpm.CSVVal
)),"")</f>
        <v/>
      </c>
      <c r="O95" s="46" t="str">
        <f>_xlfn.XLOOKUP(C95,My_Audit!B:B,My_Audit!P:P,"")&amp;""</f>
        <v/>
      </c>
      <c r="P95" s="45"/>
      <c r="Q95" s="46" t="str">
        <f>IF(LEFT(N95,4)="Pass","Nist SP 800-88",My_Audit!R95)&amp;""</f>
        <v/>
      </c>
      <c r="R95" s="45"/>
      <c r="S95" s="45"/>
      <c r="T95" s="46" t="str">
        <f>_xlfn.XLOOKUP(E95,Models!I:I,Models!J:J,"")</f>
        <v/>
      </c>
      <c r="U95" s="45"/>
      <c r="V95" s="45"/>
      <c r="W95" s="38" t="str">
        <f>_xlfn.LET(
    _xlpm.MacVal, _xlfn.XLOOKUP($A95, Output_Mac!$A:$A, Output_Mac!AB:AB, ""),
    _xlpm.MyAuditVal, _xlfn.XLOOKUP($A95, My_Audit!$A:$A, My_Audit!L:L, ""),
    _xlfn.TEXTJOIN(", ", TRUE, _xlpm.MyAuditVal, _xlpm.MacVal)
)</f>
        <v/>
      </c>
    </row>
    <row r="96" spans="1:23">
      <c r="A96" s="45" t="str">
        <f>_xlfn.TEXTJOIN("",TRUE,Input!$B$2,ROW(My_Audit!A95))</f>
        <v>XX95</v>
      </c>
      <c r="B96" s="45" t="str">
        <f>_xlfn.TEXTJOIN("-",TRUE,"ITD",Input!$A$2,A96)</f>
        <v>ITD-SHRXXX-XX95</v>
      </c>
      <c r="C96" s="45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46" t="str" cm="1">
        <f t="array" ref="D96">IFERROR(_xlfn.LET(
_xlpm.CSVVal,_xlfn.XLOOKUP($A96,CSV!$A:$A,CSV!C:C,""),
_xlpm.MacVal,_xlfn.XLOOKUP($A96,Output_Mac!$A:$A,Output_Mac!D:D,""),
_xlpm.MyAuditVal,_xlfn.XLOOKUP($A96,My_Audit!$A:$A,My_Audit!C:C,""),
_xlfn.IFS(_xlpm.MyAuditVal&lt;&gt;"",UPPER(_xlpm.MyAuditVal),_xlpm.MacVal&lt;&gt;"",_xlpm.MacVal,_xlpm.CSVVal&lt;&gt;"",_xlpm.CSVVal
)),"")</f>
        <v/>
      </c>
      <c r="E96" s="46" t="str" cm="1">
        <f t="array" ref="E96">IFERROR(_xlfn.LET(
_xlpm.CSVVal,_xlfn.XLOOKUP($A96,CSV!$A:$A,CSV!E:E,""),
_xlpm.MacVal,_xlfn.XLOOKUP($A96,Output_Mac!$A:$A,Output_Mac!C:C,""),
_xlpm.MyAuditVal,_xlfn.XLOOKUP($A96,My_Audit!$A:$A,My_Audit!D:D,""),
_xlfn.IFS(_xlpm.MyAuditVal&lt;&gt;"",_xlpm.MyAuditVal,_xlpm.MacVal&lt;&gt;"",_xlpm.MacVal,_xlpm.CSVVal&lt;&gt;"",_xlpm.CSVVal
)),"")</f>
        <v/>
      </c>
      <c r="F96" s="45" t="str" cm="1">
        <f t="array" ref="F96">IFERROR(_xlfn.LET(
_xlpm.CSVVal,_xlfn.XLOOKUP($A96,CSV!$A:$A,CSV!F:F,""),
_xlpm.MacVal,_xlfn.XLOOKUP($A96,Output_Mac!$A:$A,Output_Mac!F:F,""),
_xlpm.MyAuditVal,_xlfn.XLOOKUP($A96,My_Audit!$A:$A,My_Audit!E:E,""),
_xlfn.IFS(_xlpm.MyAuditVal&lt;&gt;"",_xlpm.MyAuditVal,_xlpm.MacVal&lt;&gt;"",_xlpm.MacVal,_xlpm.CSVVal&lt;&gt;"",PROPER(_xlpm.CSVVal)
)),"")</f>
        <v/>
      </c>
      <c r="G96" s="45" t="str" cm="1">
        <f t="array" ref="G96">IFERROR(_xlfn.LET(
_xlpm.CSVVal,_xlfn.XLOOKUP($A96,CSV!$A:$A,CSV!G:G,""),
_xlpm.MacVal,_xlfn.XLOOKUP($A96,Output_Mac!$A:$A,Output_Mac!H:H,""),
_xlpm.MyAuditVal,_xlfn.XLOOKUP($A96,My_Audit!$A:$A,My_Audit!F:F,""),
_xlfn.IFS(_xlpm.MyAuditVal&lt;&gt;"",_xlpm.MyAuditVal,_xlpm.MacVal&lt;&gt;"",_xlpm.MacVal,_xlpm.CSVVal&lt;&gt;"",_xlpm.CSVVal
)),"")</f>
        <v/>
      </c>
      <c r="H96" s="45" t="str">
        <f>_xlfn.XLOOKUP(A96,Output_Mac!A:A,Output_Mac!I:I,"")</f>
        <v/>
      </c>
      <c r="I96" s="45" t="str" cm="1">
        <f t="array" ref="I96">IFERROR(_xlfn.LET(
_xlpm.CSVVal,_xlfn.XLOOKUP($A96,CSV!$A:$A,CSV!H:H,""),
_xlpm.MacVal,_xlfn.XLOOKUP($A96,Output_Mac!$A:$A,Output_Mac!J:J,""),
_xlpm.MyAuditVal,_xlfn.XLOOKUP($A96,My_Audit!$A:$A,My_Audit!H:H,""),
_xlfn.IFS(_xlpm.MyAuditVal&lt;&gt;"",UPPER(_xlpm.MyAuditVal),_xlpm.MacVal&lt;&gt;"",_xlpm.MacVal,_xlpm.CSVVal&lt;&gt;"",_xlpm.CSVVal
)),"")</f>
        <v/>
      </c>
      <c r="J96" s="45" t="str" cm="1">
        <f t="array" ref="J96">IFERROR(_xlfn.LET(
_xlpm.CSVVal,_xlfn.XLOOKUP($A96,CSV!$A:$A,CSV!J:J,""),
_xlpm.MacVal,_xlfn.XLOOKUP($A96,Output_Mac!$A:$A,Output_Mac!K:K,""),
_xlpm.MyAuditVal,_xlfn.XLOOKUP($A96,My_Audit!$A:$A,My_Audit!I:I,""),
_xlfn.IFS(_xlpm.MyAuditVal&lt;&gt;"",UPPER(_xlpm.MyAuditVal),_xlpm.MacVal&lt;&gt;"",_xlpm.MacVal,_xlpm.CSVVal&lt;&gt;"",_xlpm.CSVVal
)),"")</f>
        <v/>
      </c>
      <c r="K96" s="45" t="str" cm="1">
        <f t="array" ref="K96">IFERROR(_xlfn.LET(
_xlpm.CSVVal,_xlfn.XLOOKUP($A96,CSV!$A:$A,CSV!N:N,""),
_xlpm.MacVal,_xlfn.XLOOKUP($A96,Output_Mac!$A:$A,Output_Mac!L:L,""),
_xlpm.MyAuditVal,_xlfn.XLOOKUP($A96,My_Audit!$A:$A,My_Audit!J:J,""),
_xlfn.IFS(_xlpm.MyAuditVal&lt;&gt;"",UPPER(_xlpm.MyAuditVal),_xlpm.MacVal&lt;&gt;"",_xlpm.MacVal,_xlpm.CSVVal&lt;&gt;"",_xlpm.CSVVal
)),"")</f>
        <v/>
      </c>
      <c r="L96" s="46" t="str" cm="1">
        <f t="array" ref="L96">IFERROR(_xlfn.LET(
_xlpm.CSVVal,_xlfn.XLOOKUP($A96,CSV!$A:$A,CSV!Q:Q,""),
_xlpm.MacVal,_xlfn.XLOOKUP($A96,Output_Mac!$A:$A,Output_Mac!M:M,""),
_xlpm.MyAuditVal,_xlfn.XLOOKUP($A96,My_Audit!$A:$A,My_Audit!K:K,""),
_xlfn.IFS(_xlpm.MyAuditVal&lt;&gt;"",UPPER(_xlpm.MyAuditVal),_xlpm.MacVal&lt;&gt;"",_xlpm.MacVal,_xlpm.CSVVal&lt;&gt;"",_xlpm.CSVVal
)),"")</f>
        <v/>
      </c>
      <c r="M96" s="45" t="str">
        <f>_xlfn.LET(
    _xlpm.CSVVal, _xlfn.XLOOKUP($A96, CSV!$A:$A, CSV!AE:AE, ""),
    _xlpm.MacVal, _xlfn.XLOOKUP($A96, Output_Mac!$A:$A, Output_Mac!S:S, ""),
    _xlpm.MyAuditVal, _xlfn.XLOOKUP($A96, My_Audit!$A:$A, My_Audit!N:N, ""),
    _xlfn.TEXTJOIN(", ", TRUE, _xlpm.MyAuditVal, _xlpm.MacVal, _xlpm.CSVVal)
)</f>
        <v/>
      </c>
      <c r="N96" s="45" t="str" cm="1">
        <f t="array" ref="N96">IFERROR(_xlfn.LET(
_xlpm.CSVVal,_xlfn.XLOOKUP($A96,CSV!$A:$A,CSV!AG:AG,""),
_xlpm.MacVal,_xlfn.XLOOKUP($A96,Output_Mac!$A:$A,Output_Mac!U:U,""),
_xlpm.MyAuditVal,_xlfn.XLOOKUP($A96,My_Audit!$A:$A,My_Audit!O:O,""),
_xlfn.IFS(_xlpm.MyAuditVal&lt;&gt;"",UPPER(_xlpm.MyAuditVal),_xlpm.MacVal&lt;&gt;"",_xlpm.MacVal,_xlpm.CSVVal&lt;&gt;"",_xlpm.CSVVal
)),"")</f>
        <v/>
      </c>
      <c r="O96" s="46" t="str">
        <f>_xlfn.XLOOKUP(C96,My_Audit!B:B,My_Audit!P:P,"")&amp;""</f>
        <v/>
      </c>
      <c r="P96" s="45"/>
      <c r="Q96" s="46" t="str">
        <f>IF(LEFT(N96,4)="Pass","Nist SP 800-88",My_Audit!R96)&amp;""</f>
        <v/>
      </c>
      <c r="R96" s="45"/>
      <c r="S96" s="45"/>
      <c r="T96" s="46" t="str">
        <f>_xlfn.XLOOKUP(E96,Models!I:I,Models!J:J,"")</f>
        <v/>
      </c>
      <c r="U96" s="45"/>
      <c r="V96" s="45"/>
      <c r="W96" s="38" t="str">
        <f>_xlfn.LET(
    _xlpm.MacVal, _xlfn.XLOOKUP($A96, Output_Mac!$A:$A, Output_Mac!AB:AB, ""),
    _xlpm.MyAuditVal, _xlfn.XLOOKUP($A96, My_Audit!$A:$A, My_Audit!L:L, ""),
    _xlfn.TEXTJOIN(", ", TRUE, _xlpm.MyAuditVal, _xlpm.MacVal)
)</f>
        <v/>
      </c>
    </row>
    <row r="97" spans="1:23">
      <c r="A97" s="45" t="str">
        <f>_xlfn.TEXTJOIN("",TRUE,Input!$B$2,ROW(My_Audit!A96))</f>
        <v>XX96</v>
      </c>
      <c r="B97" s="45" t="str">
        <f>_xlfn.TEXTJOIN("-",TRUE,"ITD",Input!$A$2,A97)</f>
        <v>ITD-SHRXXX-XX96</v>
      </c>
      <c r="C97" s="45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46" t="str" cm="1">
        <f t="array" ref="D97">IFERROR(_xlfn.LET(
_xlpm.CSVVal,_xlfn.XLOOKUP($A97,CSV!$A:$A,CSV!C:C,""),
_xlpm.MacVal,_xlfn.XLOOKUP($A97,Output_Mac!$A:$A,Output_Mac!D:D,""),
_xlpm.MyAuditVal,_xlfn.XLOOKUP($A97,My_Audit!$A:$A,My_Audit!C:C,""),
_xlfn.IFS(_xlpm.MyAuditVal&lt;&gt;"",UPPER(_xlpm.MyAuditVal),_xlpm.MacVal&lt;&gt;"",_xlpm.MacVal,_xlpm.CSVVal&lt;&gt;"",_xlpm.CSVVal
)),"")</f>
        <v/>
      </c>
      <c r="E97" s="46" t="str" cm="1">
        <f t="array" ref="E97">IFERROR(_xlfn.LET(
_xlpm.CSVVal,_xlfn.XLOOKUP($A97,CSV!$A:$A,CSV!E:E,""),
_xlpm.MacVal,_xlfn.XLOOKUP($A97,Output_Mac!$A:$A,Output_Mac!C:C,""),
_xlpm.MyAuditVal,_xlfn.XLOOKUP($A97,My_Audit!$A:$A,My_Audit!D:D,""),
_xlfn.IFS(_xlpm.MyAuditVal&lt;&gt;"",_xlpm.MyAuditVal,_xlpm.MacVal&lt;&gt;"",_xlpm.MacVal,_xlpm.CSVVal&lt;&gt;"",_xlpm.CSVVal
)),"")</f>
        <v/>
      </c>
      <c r="F97" s="45" t="str" cm="1">
        <f t="array" ref="F97">IFERROR(_xlfn.LET(
_xlpm.CSVVal,_xlfn.XLOOKUP($A97,CSV!$A:$A,CSV!F:F,""),
_xlpm.MacVal,_xlfn.XLOOKUP($A97,Output_Mac!$A:$A,Output_Mac!F:F,""),
_xlpm.MyAuditVal,_xlfn.XLOOKUP($A97,My_Audit!$A:$A,My_Audit!E:E,""),
_xlfn.IFS(_xlpm.MyAuditVal&lt;&gt;"",_xlpm.MyAuditVal,_xlpm.MacVal&lt;&gt;"",_xlpm.MacVal,_xlpm.CSVVal&lt;&gt;"",PROPER(_xlpm.CSVVal)
)),"")</f>
        <v/>
      </c>
      <c r="G97" s="45" t="str" cm="1">
        <f t="array" ref="G97">IFERROR(_xlfn.LET(
_xlpm.CSVVal,_xlfn.XLOOKUP($A97,CSV!$A:$A,CSV!G:G,""),
_xlpm.MacVal,_xlfn.XLOOKUP($A97,Output_Mac!$A:$A,Output_Mac!H:H,""),
_xlpm.MyAuditVal,_xlfn.XLOOKUP($A97,My_Audit!$A:$A,My_Audit!F:F,""),
_xlfn.IFS(_xlpm.MyAuditVal&lt;&gt;"",_xlpm.MyAuditVal,_xlpm.MacVal&lt;&gt;"",_xlpm.MacVal,_xlpm.CSVVal&lt;&gt;"",_xlpm.CSVVal
)),"")</f>
        <v/>
      </c>
      <c r="H97" s="45" t="str">
        <f>_xlfn.XLOOKUP(A97,Output_Mac!A:A,Output_Mac!I:I,"")</f>
        <v/>
      </c>
      <c r="I97" s="45" t="str" cm="1">
        <f t="array" ref="I97">IFERROR(_xlfn.LET(
_xlpm.CSVVal,_xlfn.XLOOKUP($A97,CSV!$A:$A,CSV!H:H,""),
_xlpm.MacVal,_xlfn.XLOOKUP($A97,Output_Mac!$A:$A,Output_Mac!J:J,""),
_xlpm.MyAuditVal,_xlfn.XLOOKUP($A97,My_Audit!$A:$A,My_Audit!H:H,""),
_xlfn.IFS(_xlpm.MyAuditVal&lt;&gt;"",UPPER(_xlpm.MyAuditVal),_xlpm.MacVal&lt;&gt;"",_xlpm.MacVal,_xlpm.CSVVal&lt;&gt;"",_xlpm.CSVVal
)),"")</f>
        <v/>
      </c>
      <c r="J97" s="45" t="str" cm="1">
        <f t="array" ref="J97">IFERROR(_xlfn.LET(
_xlpm.CSVVal,_xlfn.XLOOKUP($A97,CSV!$A:$A,CSV!J:J,""),
_xlpm.MacVal,_xlfn.XLOOKUP($A97,Output_Mac!$A:$A,Output_Mac!K:K,""),
_xlpm.MyAuditVal,_xlfn.XLOOKUP($A97,My_Audit!$A:$A,My_Audit!I:I,""),
_xlfn.IFS(_xlpm.MyAuditVal&lt;&gt;"",UPPER(_xlpm.MyAuditVal),_xlpm.MacVal&lt;&gt;"",_xlpm.MacVal,_xlpm.CSVVal&lt;&gt;"",_xlpm.CSVVal
)),"")</f>
        <v/>
      </c>
      <c r="K97" s="45" t="str" cm="1">
        <f t="array" ref="K97">IFERROR(_xlfn.LET(
_xlpm.CSVVal,_xlfn.XLOOKUP($A97,CSV!$A:$A,CSV!N:N,""),
_xlpm.MacVal,_xlfn.XLOOKUP($A97,Output_Mac!$A:$A,Output_Mac!L:L,""),
_xlpm.MyAuditVal,_xlfn.XLOOKUP($A97,My_Audit!$A:$A,My_Audit!J:J,""),
_xlfn.IFS(_xlpm.MyAuditVal&lt;&gt;"",UPPER(_xlpm.MyAuditVal),_xlpm.MacVal&lt;&gt;"",_xlpm.MacVal,_xlpm.CSVVal&lt;&gt;"",_xlpm.CSVVal
)),"")</f>
        <v/>
      </c>
      <c r="L97" s="46" t="str" cm="1">
        <f t="array" ref="L97">IFERROR(_xlfn.LET(
_xlpm.CSVVal,_xlfn.XLOOKUP($A97,CSV!$A:$A,CSV!Q:Q,""),
_xlpm.MacVal,_xlfn.XLOOKUP($A97,Output_Mac!$A:$A,Output_Mac!M:M,""),
_xlpm.MyAuditVal,_xlfn.XLOOKUP($A97,My_Audit!$A:$A,My_Audit!K:K,""),
_xlfn.IFS(_xlpm.MyAuditVal&lt;&gt;"",UPPER(_xlpm.MyAuditVal),_xlpm.MacVal&lt;&gt;"",_xlpm.MacVal,_xlpm.CSVVal&lt;&gt;"",_xlpm.CSVVal
)),"")</f>
        <v/>
      </c>
      <c r="M97" s="45" t="str">
        <f>_xlfn.LET(
    _xlpm.CSVVal, _xlfn.XLOOKUP($A97, CSV!$A:$A, CSV!AE:AE, ""),
    _xlpm.MacVal, _xlfn.XLOOKUP($A97, Output_Mac!$A:$A, Output_Mac!S:S, ""),
    _xlpm.MyAuditVal, _xlfn.XLOOKUP($A97, My_Audit!$A:$A, My_Audit!N:N, ""),
    _xlfn.TEXTJOIN(", ", TRUE, _xlpm.MyAuditVal, _xlpm.MacVal, _xlpm.CSVVal)
)</f>
        <v/>
      </c>
      <c r="N97" s="45" t="str" cm="1">
        <f t="array" ref="N97">IFERROR(_xlfn.LET(
_xlpm.CSVVal,_xlfn.XLOOKUP($A97,CSV!$A:$A,CSV!AG:AG,""),
_xlpm.MacVal,_xlfn.XLOOKUP($A97,Output_Mac!$A:$A,Output_Mac!U:U,""),
_xlpm.MyAuditVal,_xlfn.XLOOKUP($A97,My_Audit!$A:$A,My_Audit!O:O,""),
_xlfn.IFS(_xlpm.MyAuditVal&lt;&gt;"",UPPER(_xlpm.MyAuditVal),_xlpm.MacVal&lt;&gt;"",_xlpm.MacVal,_xlpm.CSVVal&lt;&gt;"",_xlpm.CSVVal
)),"")</f>
        <v/>
      </c>
      <c r="O97" s="46" t="str">
        <f>_xlfn.XLOOKUP(C97,My_Audit!B:B,My_Audit!P:P,"")&amp;""</f>
        <v/>
      </c>
      <c r="P97" s="45"/>
      <c r="Q97" s="46" t="str">
        <f>IF(LEFT(N97,4)="Pass","Nist SP 800-88",My_Audit!R97)&amp;""</f>
        <v/>
      </c>
      <c r="R97" s="45"/>
      <c r="S97" s="45"/>
      <c r="T97" s="46" t="str">
        <f>_xlfn.XLOOKUP(E97,Models!I:I,Models!J:J,"")</f>
        <v/>
      </c>
      <c r="U97" s="45"/>
      <c r="V97" s="45"/>
      <c r="W97" s="38" t="str">
        <f>_xlfn.LET(
    _xlpm.MacVal, _xlfn.XLOOKUP($A97, Output_Mac!$A:$A, Output_Mac!AB:AB, ""),
    _xlpm.MyAuditVal, _xlfn.XLOOKUP($A97, My_Audit!$A:$A, My_Audit!L:L, ""),
    _xlfn.TEXTJOIN(", ", TRUE, _xlpm.MyAuditVal, _xlpm.MacVal)
)</f>
        <v/>
      </c>
    </row>
    <row r="98" spans="1:23">
      <c r="A98" s="45" t="str">
        <f>_xlfn.TEXTJOIN("",TRUE,Input!$B$2,ROW(My_Audit!A97))</f>
        <v>XX97</v>
      </c>
      <c r="B98" s="45" t="str">
        <f>_xlfn.TEXTJOIN("-",TRUE,"ITD",Input!$A$2,A98)</f>
        <v>ITD-SHRXXX-XX97</v>
      </c>
      <c r="C98" s="45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46" t="str" cm="1">
        <f t="array" ref="D98">IFERROR(_xlfn.LET(
_xlpm.CSVVal,_xlfn.XLOOKUP($A98,CSV!$A:$A,CSV!C:C,""),
_xlpm.MacVal,_xlfn.XLOOKUP($A98,Output_Mac!$A:$A,Output_Mac!D:D,""),
_xlpm.MyAuditVal,_xlfn.XLOOKUP($A98,My_Audit!$A:$A,My_Audit!C:C,""),
_xlfn.IFS(_xlpm.MyAuditVal&lt;&gt;"",UPPER(_xlpm.MyAuditVal),_xlpm.MacVal&lt;&gt;"",_xlpm.MacVal,_xlpm.CSVVal&lt;&gt;"",_xlpm.CSVVal
)),"")</f>
        <v/>
      </c>
      <c r="E98" s="46" t="str" cm="1">
        <f t="array" ref="E98">IFERROR(_xlfn.LET(
_xlpm.CSVVal,_xlfn.XLOOKUP($A98,CSV!$A:$A,CSV!E:E,""),
_xlpm.MacVal,_xlfn.XLOOKUP($A98,Output_Mac!$A:$A,Output_Mac!C:C,""),
_xlpm.MyAuditVal,_xlfn.XLOOKUP($A98,My_Audit!$A:$A,My_Audit!D:D,""),
_xlfn.IFS(_xlpm.MyAuditVal&lt;&gt;"",_xlpm.MyAuditVal,_xlpm.MacVal&lt;&gt;"",_xlpm.MacVal,_xlpm.CSVVal&lt;&gt;"",_xlpm.CSVVal
)),"")</f>
        <v/>
      </c>
      <c r="F98" s="45" t="str" cm="1">
        <f t="array" ref="F98">IFERROR(_xlfn.LET(
_xlpm.CSVVal,_xlfn.XLOOKUP($A98,CSV!$A:$A,CSV!F:F,""),
_xlpm.MacVal,_xlfn.XLOOKUP($A98,Output_Mac!$A:$A,Output_Mac!F:F,""),
_xlpm.MyAuditVal,_xlfn.XLOOKUP($A98,My_Audit!$A:$A,My_Audit!E:E,""),
_xlfn.IFS(_xlpm.MyAuditVal&lt;&gt;"",_xlpm.MyAuditVal,_xlpm.MacVal&lt;&gt;"",_xlpm.MacVal,_xlpm.CSVVal&lt;&gt;"",PROPER(_xlpm.CSVVal)
)),"")</f>
        <v/>
      </c>
      <c r="G98" s="45" t="str" cm="1">
        <f t="array" ref="G98">IFERROR(_xlfn.LET(
_xlpm.CSVVal,_xlfn.XLOOKUP($A98,CSV!$A:$A,CSV!G:G,""),
_xlpm.MacVal,_xlfn.XLOOKUP($A98,Output_Mac!$A:$A,Output_Mac!H:H,""),
_xlpm.MyAuditVal,_xlfn.XLOOKUP($A98,My_Audit!$A:$A,My_Audit!F:F,""),
_xlfn.IFS(_xlpm.MyAuditVal&lt;&gt;"",_xlpm.MyAuditVal,_xlpm.MacVal&lt;&gt;"",_xlpm.MacVal,_xlpm.CSVVal&lt;&gt;"",_xlpm.CSVVal
)),"")</f>
        <v/>
      </c>
      <c r="H98" s="45" t="str">
        <f>_xlfn.XLOOKUP(A98,Output_Mac!A:A,Output_Mac!I:I,"")</f>
        <v/>
      </c>
      <c r="I98" s="45" t="str" cm="1">
        <f t="array" ref="I98">IFERROR(_xlfn.LET(
_xlpm.CSVVal,_xlfn.XLOOKUP($A98,CSV!$A:$A,CSV!H:H,""),
_xlpm.MacVal,_xlfn.XLOOKUP($A98,Output_Mac!$A:$A,Output_Mac!J:J,""),
_xlpm.MyAuditVal,_xlfn.XLOOKUP($A98,My_Audit!$A:$A,My_Audit!H:H,""),
_xlfn.IFS(_xlpm.MyAuditVal&lt;&gt;"",UPPER(_xlpm.MyAuditVal),_xlpm.MacVal&lt;&gt;"",_xlpm.MacVal,_xlpm.CSVVal&lt;&gt;"",_xlpm.CSVVal
)),"")</f>
        <v/>
      </c>
      <c r="J98" s="45" t="str" cm="1">
        <f t="array" ref="J98">IFERROR(_xlfn.LET(
_xlpm.CSVVal,_xlfn.XLOOKUP($A98,CSV!$A:$A,CSV!J:J,""),
_xlpm.MacVal,_xlfn.XLOOKUP($A98,Output_Mac!$A:$A,Output_Mac!K:K,""),
_xlpm.MyAuditVal,_xlfn.XLOOKUP($A98,My_Audit!$A:$A,My_Audit!I:I,""),
_xlfn.IFS(_xlpm.MyAuditVal&lt;&gt;"",UPPER(_xlpm.MyAuditVal),_xlpm.MacVal&lt;&gt;"",_xlpm.MacVal,_xlpm.CSVVal&lt;&gt;"",_xlpm.CSVVal
)),"")</f>
        <v/>
      </c>
      <c r="K98" s="45" t="str" cm="1">
        <f t="array" ref="K98">IFERROR(_xlfn.LET(
_xlpm.CSVVal,_xlfn.XLOOKUP($A98,CSV!$A:$A,CSV!N:N,""),
_xlpm.MacVal,_xlfn.XLOOKUP($A98,Output_Mac!$A:$A,Output_Mac!L:L,""),
_xlpm.MyAuditVal,_xlfn.XLOOKUP($A98,My_Audit!$A:$A,My_Audit!J:J,""),
_xlfn.IFS(_xlpm.MyAuditVal&lt;&gt;"",UPPER(_xlpm.MyAuditVal),_xlpm.MacVal&lt;&gt;"",_xlpm.MacVal,_xlpm.CSVVal&lt;&gt;"",_xlpm.CSVVal
)),"")</f>
        <v/>
      </c>
      <c r="L98" s="46" t="str" cm="1">
        <f t="array" ref="L98">IFERROR(_xlfn.LET(
_xlpm.CSVVal,_xlfn.XLOOKUP($A98,CSV!$A:$A,CSV!Q:Q,""),
_xlpm.MacVal,_xlfn.XLOOKUP($A98,Output_Mac!$A:$A,Output_Mac!M:M,""),
_xlpm.MyAuditVal,_xlfn.XLOOKUP($A98,My_Audit!$A:$A,My_Audit!K:K,""),
_xlfn.IFS(_xlpm.MyAuditVal&lt;&gt;"",UPPER(_xlpm.MyAuditVal),_xlpm.MacVal&lt;&gt;"",_xlpm.MacVal,_xlpm.CSVVal&lt;&gt;"",_xlpm.CSVVal
)),"")</f>
        <v/>
      </c>
      <c r="M98" s="45" t="str">
        <f>_xlfn.LET(
    _xlpm.CSVVal, _xlfn.XLOOKUP($A98, CSV!$A:$A, CSV!AE:AE, ""),
    _xlpm.MacVal, _xlfn.XLOOKUP($A98, Output_Mac!$A:$A, Output_Mac!S:S, ""),
    _xlpm.MyAuditVal, _xlfn.XLOOKUP($A98, My_Audit!$A:$A, My_Audit!N:N, ""),
    _xlfn.TEXTJOIN(", ", TRUE, _xlpm.MyAuditVal, _xlpm.MacVal, _xlpm.CSVVal)
)</f>
        <v/>
      </c>
      <c r="N98" s="45" t="str" cm="1">
        <f t="array" ref="N98">IFERROR(_xlfn.LET(
_xlpm.CSVVal,_xlfn.XLOOKUP($A98,CSV!$A:$A,CSV!AG:AG,""),
_xlpm.MacVal,_xlfn.XLOOKUP($A98,Output_Mac!$A:$A,Output_Mac!U:U,""),
_xlpm.MyAuditVal,_xlfn.XLOOKUP($A98,My_Audit!$A:$A,My_Audit!O:O,""),
_xlfn.IFS(_xlpm.MyAuditVal&lt;&gt;"",UPPER(_xlpm.MyAuditVal),_xlpm.MacVal&lt;&gt;"",_xlpm.MacVal,_xlpm.CSVVal&lt;&gt;"",_xlpm.CSVVal
)),"")</f>
        <v/>
      </c>
      <c r="O98" s="46" t="str">
        <f>_xlfn.XLOOKUP(C98,My_Audit!B:B,My_Audit!P:P,"")&amp;""</f>
        <v/>
      </c>
      <c r="P98" s="45"/>
      <c r="Q98" s="46" t="str">
        <f>IF(LEFT(N98,4)="Pass","Nist SP 800-88",My_Audit!R98)&amp;""</f>
        <v/>
      </c>
      <c r="R98" s="45"/>
      <c r="S98" s="45"/>
      <c r="T98" s="46" t="str">
        <f>_xlfn.XLOOKUP(E98,Models!I:I,Models!J:J,"")</f>
        <v/>
      </c>
      <c r="U98" s="45"/>
      <c r="V98" s="45"/>
      <c r="W98" s="38" t="str">
        <f>_xlfn.LET(
    _xlpm.MacVal, _xlfn.XLOOKUP($A98, Output_Mac!$A:$A, Output_Mac!AB:AB, ""),
    _xlpm.MyAuditVal, _xlfn.XLOOKUP($A98, My_Audit!$A:$A, My_Audit!L:L, ""),
    _xlfn.TEXTJOIN(", ", TRUE, _xlpm.MyAuditVal, _xlpm.MacVal)
)</f>
        <v/>
      </c>
    </row>
    <row r="99" spans="1:23">
      <c r="A99" s="45" t="str">
        <f>_xlfn.TEXTJOIN("",TRUE,Input!$B$2,ROW(My_Audit!A98))</f>
        <v>XX98</v>
      </c>
      <c r="B99" s="45" t="str">
        <f>_xlfn.TEXTJOIN("-",TRUE,"ITD",Input!$A$2,A99)</f>
        <v>ITD-SHRXXX-XX98</v>
      </c>
      <c r="C99" s="45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46" t="str" cm="1">
        <f t="array" ref="D99">IFERROR(_xlfn.LET(
_xlpm.CSVVal,_xlfn.XLOOKUP($A99,CSV!$A:$A,CSV!C:C,""),
_xlpm.MacVal,_xlfn.XLOOKUP($A99,Output_Mac!$A:$A,Output_Mac!D:D,""),
_xlpm.MyAuditVal,_xlfn.XLOOKUP($A99,My_Audit!$A:$A,My_Audit!C:C,""),
_xlfn.IFS(_xlpm.MyAuditVal&lt;&gt;"",UPPER(_xlpm.MyAuditVal),_xlpm.MacVal&lt;&gt;"",_xlpm.MacVal,_xlpm.CSVVal&lt;&gt;"",_xlpm.CSVVal
)),"")</f>
        <v/>
      </c>
      <c r="E99" s="46" t="str" cm="1">
        <f t="array" ref="E99">IFERROR(_xlfn.LET(
_xlpm.CSVVal,_xlfn.XLOOKUP($A99,CSV!$A:$A,CSV!E:E,""),
_xlpm.MacVal,_xlfn.XLOOKUP($A99,Output_Mac!$A:$A,Output_Mac!C:C,""),
_xlpm.MyAuditVal,_xlfn.XLOOKUP($A99,My_Audit!$A:$A,My_Audit!D:D,""),
_xlfn.IFS(_xlpm.MyAuditVal&lt;&gt;"",_xlpm.MyAuditVal,_xlpm.MacVal&lt;&gt;"",_xlpm.MacVal,_xlpm.CSVVal&lt;&gt;"",_xlpm.CSVVal
)),"")</f>
        <v/>
      </c>
      <c r="F99" s="45" t="str" cm="1">
        <f t="array" ref="F99">IFERROR(_xlfn.LET(
_xlpm.CSVVal,_xlfn.XLOOKUP($A99,CSV!$A:$A,CSV!F:F,""),
_xlpm.MacVal,_xlfn.XLOOKUP($A99,Output_Mac!$A:$A,Output_Mac!F:F,""),
_xlpm.MyAuditVal,_xlfn.XLOOKUP($A99,My_Audit!$A:$A,My_Audit!E:E,""),
_xlfn.IFS(_xlpm.MyAuditVal&lt;&gt;"",_xlpm.MyAuditVal,_xlpm.MacVal&lt;&gt;"",_xlpm.MacVal,_xlpm.CSVVal&lt;&gt;"",PROPER(_xlpm.CSVVal)
)),"")</f>
        <v/>
      </c>
      <c r="G99" s="45" t="str" cm="1">
        <f t="array" ref="G99">IFERROR(_xlfn.LET(
_xlpm.CSVVal,_xlfn.XLOOKUP($A99,CSV!$A:$A,CSV!G:G,""),
_xlpm.MacVal,_xlfn.XLOOKUP($A99,Output_Mac!$A:$A,Output_Mac!H:H,""),
_xlpm.MyAuditVal,_xlfn.XLOOKUP($A99,My_Audit!$A:$A,My_Audit!F:F,""),
_xlfn.IFS(_xlpm.MyAuditVal&lt;&gt;"",_xlpm.MyAuditVal,_xlpm.MacVal&lt;&gt;"",_xlpm.MacVal,_xlpm.CSVVal&lt;&gt;"",_xlpm.CSVVal
)),"")</f>
        <v/>
      </c>
      <c r="H99" s="45" t="str">
        <f>_xlfn.XLOOKUP(A99,Output_Mac!A:A,Output_Mac!I:I,"")</f>
        <v/>
      </c>
      <c r="I99" s="45" t="str" cm="1">
        <f t="array" ref="I99">IFERROR(_xlfn.LET(
_xlpm.CSVVal,_xlfn.XLOOKUP($A99,CSV!$A:$A,CSV!H:H,""),
_xlpm.MacVal,_xlfn.XLOOKUP($A99,Output_Mac!$A:$A,Output_Mac!J:J,""),
_xlpm.MyAuditVal,_xlfn.XLOOKUP($A99,My_Audit!$A:$A,My_Audit!H:H,""),
_xlfn.IFS(_xlpm.MyAuditVal&lt;&gt;"",UPPER(_xlpm.MyAuditVal),_xlpm.MacVal&lt;&gt;"",_xlpm.MacVal,_xlpm.CSVVal&lt;&gt;"",_xlpm.CSVVal
)),"")</f>
        <v/>
      </c>
      <c r="J99" s="45" t="str" cm="1">
        <f t="array" ref="J99">IFERROR(_xlfn.LET(
_xlpm.CSVVal,_xlfn.XLOOKUP($A99,CSV!$A:$A,CSV!J:J,""),
_xlpm.MacVal,_xlfn.XLOOKUP($A99,Output_Mac!$A:$A,Output_Mac!K:K,""),
_xlpm.MyAuditVal,_xlfn.XLOOKUP($A99,My_Audit!$A:$A,My_Audit!I:I,""),
_xlfn.IFS(_xlpm.MyAuditVal&lt;&gt;"",UPPER(_xlpm.MyAuditVal),_xlpm.MacVal&lt;&gt;"",_xlpm.MacVal,_xlpm.CSVVal&lt;&gt;"",_xlpm.CSVVal
)),"")</f>
        <v/>
      </c>
      <c r="K99" s="45" t="str" cm="1">
        <f t="array" ref="K99">IFERROR(_xlfn.LET(
_xlpm.CSVVal,_xlfn.XLOOKUP($A99,CSV!$A:$A,CSV!N:N,""),
_xlpm.MacVal,_xlfn.XLOOKUP($A99,Output_Mac!$A:$A,Output_Mac!L:L,""),
_xlpm.MyAuditVal,_xlfn.XLOOKUP($A99,My_Audit!$A:$A,My_Audit!J:J,""),
_xlfn.IFS(_xlpm.MyAuditVal&lt;&gt;"",UPPER(_xlpm.MyAuditVal),_xlpm.MacVal&lt;&gt;"",_xlpm.MacVal,_xlpm.CSVVal&lt;&gt;"",_xlpm.CSVVal
)),"")</f>
        <v/>
      </c>
      <c r="L99" s="46" t="str" cm="1">
        <f t="array" ref="L99">IFERROR(_xlfn.LET(
_xlpm.CSVVal,_xlfn.XLOOKUP($A99,CSV!$A:$A,CSV!Q:Q,""),
_xlpm.MacVal,_xlfn.XLOOKUP($A99,Output_Mac!$A:$A,Output_Mac!M:M,""),
_xlpm.MyAuditVal,_xlfn.XLOOKUP($A99,My_Audit!$A:$A,My_Audit!K:K,""),
_xlfn.IFS(_xlpm.MyAuditVal&lt;&gt;"",UPPER(_xlpm.MyAuditVal),_xlpm.MacVal&lt;&gt;"",_xlpm.MacVal,_xlpm.CSVVal&lt;&gt;"",_xlpm.CSVVal
)),"")</f>
        <v/>
      </c>
      <c r="M99" s="45" t="str">
        <f>_xlfn.LET(
    _xlpm.CSVVal, _xlfn.XLOOKUP($A99, CSV!$A:$A, CSV!AE:AE, ""),
    _xlpm.MacVal, _xlfn.XLOOKUP($A99, Output_Mac!$A:$A, Output_Mac!S:S, ""),
    _xlpm.MyAuditVal, _xlfn.XLOOKUP($A99, My_Audit!$A:$A, My_Audit!N:N, ""),
    _xlfn.TEXTJOIN(", ", TRUE, _xlpm.MyAuditVal, _xlpm.MacVal, _xlpm.CSVVal)
)</f>
        <v/>
      </c>
      <c r="N99" s="45" t="str" cm="1">
        <f t="array" ref="N99">IFERROR(_xlfn.LET(
_xlpm.CSVVal,_xlfn.XLOOKUP($A99,CSV!$A:$A,CSV!AG:AG,""),
_xlpm.MacVal,_xlfn.XLOOKUP($A99,Output_Mac!$A:$A,Output_Mac!U:U,""),
_xlpm.MyAuditVal,_xlfn.XLOOKUP($A99,My_Audit!$A:$A,My_Audit!O:O,""),
_xlfn.IFS(_xlpm.MyAuditVal&lt;&gt;"",UPPER(_xlpm.MyAuditVal),_xlpm.MacVal&lt;&gt;"",_xlpm.MacVal,_xlpm.CSVVal&lt;&gt;"",_xlpm.CSVVal
)),"")</f>
        <v/>
      </c>
      <c r="O99" s="46" t="str">
        <f>_xlfn.XLOOKUP(C99,My_Audit!B:B,My_Audit!P:P,"")&amp;""</f>
        <v/>
      </c>
      <c r="P99" s="45"/>
      <c r="Q99" s="46" t="str">
        <f>IF(LEFT(N99,4)="Pass","Nist SP 800-88",My_Audit!R99)&amp;""</f>
        <v/>
      </c>
      <c r="R99" s="45"/>
      <c r="S99" s="45"/>
      <c r="T99" s="46" t="str">
        <f>_xlfn.XLOOKUP(E99,Models!I:I,Models!J:J,"")</f>
        <v/>
      </c>
      <c r="U99" s="45"/>
      <c r="V99" s="45"/>
      <c r="W99" s="38" t="str">
        <f>_xlfn.LET(
    _xlpm.MacVal, _xlfn.XLOOKUP($A99, Output_Mac!$A:$A, Output_Mac!AB:AB, ""),
    _xlpm.MyAuditVal, _xlfn.XLOOKUP($A99, My_Audit!$A:$A, My_Audit!L:L, ""),
    _xlfn.TEXTJOIN(", ", TRUE, _xlpm.MyAuditVal, _xlpm.MacVal)
)</f>
        <v/>
      </c>
    </row>
    <row r="100" spans="1:23">
      <c r="A100" s="45" t="str">
        <f>_xlfn.TEXTJOIN("",TRUE,Input!$B$2,ROW(My_Audit!A99))</f>
        <v>XX99</v>
      </c>
      <c r="B100" s="45" t="str">
        <f>_xlfn.TEXTJOIN("-",TRUE,"ITD",Input!$A$2,A100)</f>
        <v>ITD-SHRXXX-XX99</v>
      </c>
      <c r="C100" s="45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46" t="str" cm="1">
        <f t="array" ref="D100">IFERROR(_xlfn.LET(
_xlpm.CSVVal,_xlfn.XLOOKUP($A100,CSV!$A:$A,CSV!C:C,""),
_xlpm.MacVal,_xlfn.XLOOKUP($A100,Output_Mac!$A:$A,Output_Mac!D:D,""),
_xlpm.MyAuditVal,_xlfn.XLOOKUP($A100,My_Audit!$A:$A,My_Audit!C:C,""),
_xlfn.IFS(_xlpm.MyAuditVal&lt;&gt;"",UPPER(_xlpm.MyAuditVal),_xlpm.MacVal&lt;&gt;"",_xlpm.MacVal,_xlpm.CSVVal&lt;&gt;"",_xlpm.CSVVal
)),"")</f>
        <v/>
      </c>
      <c r="E100" s="46" t="str" cm="1">
        <f t="array" ref="E100">IFERROR(_xlfn.LET(
_xlpm.CSVVal,_xlfn.XLOOKUP($A100,CSV!$A:$A,CSV!E:E,""),
_xlpm.MacVal,_xlfn.XLOOKUP($A100,Output_Mac!$A:$A,Output_Mac!C:C,""),
_xlpm.MyAuditVal,_xlfn.XLOOKUP($A100,My_Audit!$A:$A,My_Audit!D:D,""),
_xlfn.IFS(_xlpm.MyAuditVal&lt;&gt;"",_xlpm.MyAuditVal,_xlpm.MacVal&lt;&gt;"",_xlpm.MacVal,_xlpm.CSVVal&lt;&gt;"",_xlpm.CSVVal
)),"")</f>
        <v/>
      </c>
      <c r="F100" s="45" t="str" cm="1">
        <f t="array" ref="F100">IFERROR(_xlfn.LET(
_xlpm.CSVVal,_xlfn.XLOOKUP($A100,CSV!$A:$A,CSV!F:F,""),
_xlpm.MacVal,_xlfn.XLOOKUP($A100,Output_Mac!$A:$A,Output_Mac!F:F,""),
_xlpm.MyAuditVal,_xlfn.XLOOKUP($A100,My_Audit!$A:$A,My_Audit!E:E,""),
_xlfn.IFS(_xlpm.MyAuditVal&lt;&gt;"",_xlpm.MyAuditVal,_xlpm.MacVal&lt;&gt;"",_xlpm.MacVal,_xlpm.CSVVal&lt;&gt;"",PROPER(_xlpm.CSVVal)
)),"")</f>
        <v/>
      </c>
      <c r="G100" s="45" t="str" cm="1">
        <f t="array" ref="G100">IFERROR(_xlfn.LET(
_xlpm.CSVVal,_xlfn.XLOOKUP($A100,CSV!$A:$A,CSV!G:G,""),
_xlpm.MacVal,_xlfn.XLOOKUP($A100,Output_Mac!$A:$A,Output_Mac!H:H,""),
_xlpm.MyAuditVal,_xlfn.XLOOKUP($A100,My_Audit!$A:$A,My_Audit!F:F,""),
_xlfn.IFS(_xlpm.MyAuditVal&lt;&gt;"",_xlpm.MyAuditVal,_xlpm.MacVal&lt;&gt;"",_xlpm.MacVal,_xlpm.CSVVal&lt;&gt;"",_xlpm.CSVVal
)),"")</f>
        <v/>
      </c>
      <c r="H100" s="45" t="str">
        <f>_xlfn.XLOOKUP(A100,Output_Mac!A:A,Output_Mac!I:I,"")</f>
        <v/>
      </c>
      <c r="I100" s="45" t="str" cm="1">
        <f t="array" ref="I100">IFERROR(_xlfn.LET(
_xlpm.CSVVal,_xlfn.XLOOKUP($A100,CSV!$A:$A,CSV!H:H,""),
_xlpm.MacVal,_xlfn.XLOOKUP($A100,Output_Mac!$A:$A,Output_Mac!J:J,""),
_xlpm.MyAuditVal,_xlfn.XLOOKUP($A100,My_Audit!$A:$A,My_Audit!H:H,""),
_xlfn.IFS(_xlpm.MyAuditVal&lt;&gt;"",UPPER(_xlpm.MyAuditVal),_xlpm.MacVal&lt;&gt;"",_xlpm.MacVal,_xlpm.CSVVal&lt;&gt;"",_xlpm.CSVVal
)),"")</f>
        <v/>
      </c>
      <c r="J100" s="45" t="str" cm="1">
        <f t="array" ref="J100">IFERROR(_xlfn.LET(
_xlpm.CSVVal,_xlfn.XLOOKUP($A100,CSV!$A:$A,CSV!J:J,""),
_xlpm.MacVal,_xlfn.XLOOKUP($A100,Output_Mac!$A:$A,Output_Mac!K:K,""),
_xlpm.MyAuditVal,_xlfn.XLOOKUP($A100,My_Audit!$A:$A,My_Audit!I:I,""),
_xlfn.IFS(_xlpm.MyAuditVal&lt;&gt;"",UPPER(_xlpm.MyAuditVal),_xlpm.MacVal&lt;&gt;"",_xlpm.MacVal,_xlpm.CSVVal&lt;&gt;"",_xlpm.CSVVal
)),"")</f>
        <v/>
      </c>
      <c r="K100" s="45" t="str" cm="1">
        <f t="array" ref="K100">IFERROR(_xlfn.LET(
_xlpm.CSVVal,_xlfn.XLOOKUP($A100,CSV!$A:$A,CSV!N:N,""),
_xlpm.MacVal,_xlfn.XLOOKUP($A100,Output_Mac!$A:$A,Output_Mac!L:L,""),
_xlpm.MyAuditVal,_xlfn.XLOOKUP($A100,My_Audit!$A:$A,My_Audit!J:J,""),
_xlfn.IFS(_xlpm.MyAuditVal&lt;&gt;"",UPPER(_xlpm.MyAuditVal),_xlpm.MacVal&lt;&gt;"",_xlpm.MacVal,_xlpm.CSVVal&lt;&gt;"",_xlpm.CSVVal
)),"")</f>
        <v/>
      </c>
      <c r="L100" s="46" t="str" cm="1">
        <f t="array" ref="L100">IFERROR(_xlfn.LET(
_xlpm.CSVVal,_xlfn.XLOOKUP($A100,CSV!$A:$A,CSV!Q:Q,""),
_xlpm.MacVal,_xlfn.XLOOKUP($A100,Output_Mac!$A:$A,Output_Mac!M:M,""),
_xlpm.MyAuditVal,_xlfn.XLOOKUP($A100,My_Audit!$A:$A,My_Audit!K:K,""),
_xlfn.IFS(_xlpm.MyAuditVal&lt;&gt;"",UPPER(_xlpm.MyAuditVal),_xlpm.MacVal&lt;&gt;"",_xlpm.MacVal,_xlpm.CSVVal&lt;&gt;"",_xlpm.CSVVal
)),"")</f>
        <v/>
      </c>
      <c r="M100" s="45" t="str">
        <f>_xlfn.LET(
    _xlpm.CSVVal, _xlfn.XLOOKUP($A100, CSV!$A:$A, CSV!AE:AE, ""),
    _xlpm.MacVal, _xlfn.XLOOKUP($A100, Output_Mac!$A:$A, Output_Mac!S:S, ""),
    _xlpm.MyAuditVal, _xlfn.XLOOKUP($A100, My_Audit!$A:$A, My_Audit!N:N, ""),
    _xlfn.TEXTJOIN(", ", TRUE, _xlpm.MyAuditVal, _xlpm.MacVal, _xlpm.CSVVal)
)</f>
        <v/>
      </c>
      <c r="N100" s="45" t="str" cm="1">
        <f t="array" ref="N100">IFERROR(_xlfn.LET(
_xlpm.CSVVal,_xlfn.XLOOKUP($A100,CSV!$A:$A,CSV!AG:AG,""),
_xlpm.MacVal,_xlfn.XLOOKUP($A100,Output_Mac!$A:$A,Output_Mac!U:U,""),
_xlpm.MyAuditVal,_xlfn.XLOOKUP($A100,My_Audit!$A:$A,My_Audit!O:O,""),
_xlfn.IFS(_xlpm.MyAuditVal&lt;&gt;"",UPPER(_xlpm.MyAuditVal),_xlpm.MacVal&lt;&gt;"",_xlpm.MacVal,_xlpm.CSVVal&lt;&gt;"",_xlpm.CSVVal
)),"")</f>
        <v/>
      </c>
      <c r="O100" s="46" t="str">
        <f>_xlfn.XLOOKUP(C100,My_Audit!B:B,My_Audit!P:P,"")&amp;""</f>
        <v/>
      </c>
      <c r="P100" s="45"/>
      <c r="Q100" s="46" t="str">
        <f>IF(LEFT(N100,4)="Pass","Nist SP 800-88",My_Audit!R100)&amp;""</f>
        <v/>
      </c>
      <c r="R100" s="45"/>
      <c r="S100" s="45"/>
      <c r="T100" s="46" t="str">
        <f>_xlfn.XLOOKUP(E100,Models!I:I,Models!J:J,"")</f>
        <v/>
      </c>
      <c r="U100" s="45"/>
      <c r="V100" s="45"/>
      <c r="W100" s="38" t="str">
        <f>_xlfn.LET(
    _xlpm.MacVal, _xlfn.XLOOKUP($A100, Output_Mac!$A:$A, Output_Mac!AB:AB, ""),
    _xlpm.MyAuditVal, _xlfn.XLOOKUP($A100, My_Audit!$A:$A, My_Audit!L:L, ""),
    _xlfn.TEXTJOIN(", ", TRUE, _xlpm.MyAuditVal, _xlpm.MacVal)
)</f>
        <v/>
      </c>
    </row>
    <row r="101" spans="1:23">
      <c r="A101" s="45" t="str">
        <f>_xlfn.TEXTJOIN("",TRUE,Input!$B$2,ROW(My_Audit!A100))</f>
        <v>XX100</v>
      </c>
      <c r="B101" s="45" t="str">
        <f>_xlfn.TEXTJOIN("-",TRUE,"ITD",Input!$A$2,A101)</f>
        <v>ITD-SHRXXX-XX100</v>
      </c>
      <c r="C101" s="45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46" t="str" cm="1">
        <f t="array" ref="D101">IFERROR(_xlfn.LET(
_xlpm.CSVVal,_xlfn.XLOOKUP($A101,CSV!$A:$A,CSV!C:C,""),
_xlpm.MacVal,_xlfn.XLOOKUP($A101,Output_Mac!$A:$A,Output_Mac!D:D,""),
_xlpm.MyAuditVal,_xlfn.XLOOKUP($A101,My_Audit!$A:$A,My_Audit!C:C,""),
_xlfn.IFS(_xlpm.MyAuditVal&lt;&gt;"",UPPER(_xlpm.MyAuditVal),_xlpm.MacVal&lt;&gt;"",_xlpm.MacVal,_xlpm.CSVVal&lt;&gt;"",_xlpm.CSVVal
)),"")</f>
        <v/>
      </c>
      <c r="E101" s="46" t="str" cm="1">
        <f t="array" ref="E101">IFERROR(_xlfn.LET(
_xlpm.CSVVal,_xlfn.XLOOKUP($A101,CSV!$A:$A,CSV!E:E,""),
_xlpm.MacVal,_xlfn.XLOOKUP($A101,Output_Mac!$A:$A,Output_Mac!C:C,""),
_xlpm.MyAuditVal,_xlfn.XLOOKUP($A101,My_Audit!$A:$A,My_Audit!D:D,""),
_xlfn.IFS(_xlpm.MyAuditVal&lt;&gt;"",_xlpm.MyAuditVal,_xlpm.MacVal&lt;&gt;"",_xlpm.MacVal,_xlpm.CSVVal&lt;&gt;"",_xlpm.CSVVal
)),"")</f>
        <v/>
      </c>
      <c r="F101" s="45" t="str" cm="1">
        <f t="array" ref="F101">IFERROR(_xlfn.LET(
_xlpm.CSVVal,_xlfn.XLOOKUP($A101,CSV!$A:$A,CSV!F:F,""),
_xlpm.MacVal,_xlfn.XLOOKUP($A101,Output_Mac!$A:$A,Output_Mac!F:F,""),
_xlpm.MyAuditVal,_xlfn.XLOOKUP($A101,My_Audit!$A:$A,My_Audit!E:E,""),
_xlfn.IFS(_xlpm.MyAuditVal&lt;&gt;"",_xlpm.MyAuditVal,_xlpm.MacVal&lt;&gt;"",_xlpm.MacVal,_xlpm.CSVVal&lt;&gt;"",PROPER(_xlpm.CSVVal)
)),"")</f>
        <v/>
      </c>
      <c r="G101" s="45" t="str" cm="1">
        <f t="array" ref="G101">IFERROR(_xlfn.LET(
_xlpm.CSVVal,_xlfn.XLOOKUP($A101,CSV!$A:$A,CSV!G:G,""),
_xlpm.MacVal,_xlfn.XLOOKUP($A101,Output_Mac!$A:$A,Output_Mac!H:H,""),
_xlpm.MyAuditVal,_xlfn.XLOOKUP($A101,My_Audit!$A:$A,My_Audit!F:F,""),
_xlfn.IFS(_xlpm.MyAuditVal&lt;&gt;"",_xlpm.MyAuditVal,_xlpm.MacVal&lt;&gt;"",_xlpm.MacVal,_xlpm.CSVVal&lt;&gt;"",_xlpm.CSVVal
)),"")</f>
        <v/>
      </c>
      <c r="H101" s="45" t="str">
        <f>_xlfn.XLOOKUP(A101,Output_Mac!A:A,Output_Mac!I:I,"")</f>
        <v/>
      </c>
      <c r="I101" s="45" t="str" cm="1">
        <f t="array" ref="I101">IFERROR(_xlfn.LET(
_xlpm.CSVVal,_xlfn.XLOOKUP($A101,CSV!$A:$A,CSV!H:H,""),
_xlpm.MacVal,_xlfn.XLOOKUP($A101,Output_Mac!$A:$A,Output_Mac!J:J,""),
_xlpm.MyAuditVal,_xlfn.XLOOKUP($A101,My_Audit!$A:$A,My_Audit!H:H,""),
_xlfn.IFS(_xlpm.MyAuditVal&lt;&gt;"",UPPER(_xlpm.MyAuditVal),_xlpm.MacVal&lt;&gt;"",_xlpm.MacVal,_xlpm.CSVVal&lt;&gt;"",_xlpm.CSVVal
)),"")</f>
        <v/>
      </c>
      <c r="J101" s="45" t="str" cm="1">
        <f t="array" ref="J101">IFERROR(_xlfn.LET(
_xlpm.CSVVal,_xlfn.XLOOKUP($A101,CSV!$A:$A,CSV!J:J,""),
_xlpm.MacVal,_xlfn.XLOOKUP($A101,Output_Mac!$A:$A,Output_Mac!K:K,""),
_xlpm.MyAuditVal,_xlfn.XLOOKUP($A101,My_Audit!$A:$A,My_Audit!I:I,""),
_xlfn.IFS(_xlpm.MyAuditVal&lt;&gt;"",UPPER(_xlpm.MyAuditVal),_xlpm.MacVal&lt;&gt;"",_xlpm.MacVal,_xlpm.CSVVal&lt;&gt;"",_xlpm.CSVVal
)),"")</f>
        <v/>
      </c>
      <c r="K101" s="45" t="str" cm="1">
        <f t="array" ref="K101">IFERROR(_xlfn.LET(
_xlpm.CSVVal,_xlfn.XLOOKUP($A101,CSV!$A:$A,CSV!N:N,""),
_xlpm.MacVal,_xlfn.XLOOKUP($A101,Output_Mac!$A:$A,Output_Mac!L:L,""),
_xlpm.MyAuditVal,_xlfn.XLOOKUP($A101,My_Audit!$A:$A,My_Audit!J:J,""),
_xlfn.IFS(_xlpm.MyAuditVal&lt;&gt;"",UPPER(_xlpm.MyAuditVal),_xlpm.MacVal&lt;&gt;"",_xlpm.MacVal,_xlpm.CSVVal&lt;&gt;"",_xlpm.CSVVal
)),"")</f>
        <v/>
      </c>
      <c r="L101" s="46" t="str" cm="1">
        <f t="array" ref="L101">IFERROR(_xlfn.LET(
_xlpm.CSVVal,_xlfn.XLOOKUP($A101,CSV!$A:$A,CSV!Q:Q,""),
_xlpm.MacVal,_xlfn.XLOOKUP($A101,Output_Mac!$A:$A,Output_Mac!M:M,""),
_xlpm.MyAuditVal,_xlfn.XLOOKUP($A101,My_Audit!$A:$A,My_Audit!K:K,""),
_xlfn.IFS(_xlpm.MyAuditVal&lt;&gt;"",UPPER(_xlpm.MyAuditVal),_xlpm.MacVal&lt;&gt;"",_xlpm.MacVal,_xlpm.CSVVal&lt;&gt;"",_xlpm.CSVVal
)),"")</f>
        <v/>
      </c>
      <c r="M101" s="45" t="str">
        <f>_xlfn.LET(
    _xlpm.CSVVal, _xlfn.XLOOKUP($A101, CSV!$A:$A, CSV!AE:AE, ""),
    _xlpm.MacVal, _xlfn.XLOOKUP($A101, Output_Mac!$A:$A, Output_Mac!S:S, ""),
    _xlpm.MyAuditVal, _xlfn.XLOOKUP($A101, My_Audit!$A:$A, My_Audit!N:N, ""),
    _xlfn.TEXTJOIN(", ", TRUE, _xlpm.MyAuditVal, _xlpm.MacVal, _xlpm.CSVVal)
)</f>
        <v/>
      </c>
      <c r="N101" s="45" t="str" cm="1">
        <f t="array" ref="N101">IFERROR(_xlfn.LET(
_xlpm.CSVVal,_xlfn.XLOOKUP($A101,CSV!$A:$A,CSV!AG:AG,""),
_xlpm.MacVal,_xlfn.XLOOKUP($A101,Output_Mac!$A:$A,Output_Mac!U:U,""),
_xlpm.MyAuditVal,_xlfn.XLOOKUP($A101,My_Audit!$A:$A,My_Audit!O:O,""),
_xlfn.IFS(_xlpm.MyAuditVal&lt;&gt;"",UPPER(_xlpm.MyAuditVal),_xlpm.MacVal&lt;&gt;"",_xlpm.MacVal,_xlpm.CSVVal&lt;&gt;"",_xlpm.CSVVal
)),"")</f>
        <v/>
      </c>
      <c r="O101" s="46" t="str">
        <f>_xlfn.XLOOKUP(C101,My_Audit!B:B,My_Audit!P:P,"")&amp;""</f>
        <v/>
      </c>
      <c r="P101" s="45"/>
      <c r="Q101" s="46" t="str">
        <f>IF(LEFT(N101,4)="Pass","Nist SP 800-88",My_Audit!R101)&amp;""</f>
        <v/>
      </c>
      <c r="R101" s="45"/>
      <c r="S101" s="45"/>
      <c r="T101" s="46" t="str">
        <f>_xlfn.XLOOKUP(E101,Models!I:I,Models!J:J,"")</f>
        <v/>
      </c>
      <c r="U101" s="45"/>
      <c r="V101" s="45"/>
      <c r="W101" s="38" t="str">
        <f>_xlfn.LET(
    _xlpm.MacVal, _xlfn.XLOOKUP($A101, Output_Mac!$A:$A, Output_Mac!AB:AB, ""),
    _xlpm.MyAuditVal, _xlfn.XLOOKUP($A101, My_Audit!$A:$A, My_Audit!L:L, ""),
    _xlfn.TEXTJOIN(", ", TRUE, _xlpm.MyAuditVal, _xlpm.MacVal)
)</f>
        <v/>
      </c>
    </row>
    <row r="102" spans="1:23">
      <c r="A102" s="45" t="str">
        <f>_xlfn.TEXTJOIN("",TRUE,Input!$B$2,ROW(My_Audit!A101))</f>
        <v>XX101</v>
      </c>
      <c r="B102" s="45" t="str">
        <f>_xlfn.TEXTJOIN("-",TRUE,"ITD",Input!$A$2,A102)</f>
        <v>ITD-SHRXXX-XX101</v>
      </c>
      <c r="C102" s="45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46" t="str" cm="1">
        <f t="array" ref="D102">IFERROR(_xlfn.LET(
_xlpm.CSVVal,_xlfn.XLOOKUP($A102,CSV!$A:$A,CSV!C:C,""),
_xlpm.MacVal,_xlfn.XLOOKUP($A102,Output_Mac!$A:$A,Output_Mac!D:D,""),
_xlpm.MyAuditVal,_xlfn.XLOOKUP($A102,My_Audit!$A:$A,My_Audit!C:C,""),
_xlfn.IFS(_xlpm.MyAuditVal&lt;&gt;"",UPPER(_xlpm.MyAuditVal),_xlpm.MacVal&lt;&gt;"",_xlpm.MacVal,_xlpm.CSVVal&lt;&gt;"",_xlpm.CSVVal
)),"")</f>
        <v/>
      </c>
      <c r="E102" s="46" t="str" cm="1">
        <f t="array" ref="E102">IFERROR(_xlfn.LET(
_xlpm.CSVVal,_xlfn.XLOOKUP($A102,CSV!$A:$A,CSV!E:E,""),
_xlpm.MacVal,_xlfn.XLOOKUP($A102,Output_Mac!$A:$A,Output_Mac!C:C,""),
_xlpm.MyAuditVal,_xlfn.XLOOKUP($A102,My_Audit!$A:$A,My_Audit!D:D,""),
_xlfn.IFS(_xlpm.MyAuditVal&lt;&gt;"",_xlpm.MyAuditVal,_xlpm.MacVal&lt;&gt;"",_xlpm.MacVal,_xlpm.CSVVal&lt;&gt;"",_xlpm.CSVVal
)),"")</f>
        <v/>
      </c>
      <c r="F102" s="45" t="str" cm="1">
        <f t="array" ref="F102">IFERROR(_xlfn.LET(
_xlpm.CSVVal,_xlfn.XLOOKUP($A102,CSV!$A:$A,CSV!F:F,""),
_xlpm.MacVal,_xlfn.XLOOKUP($A102,Output_Mac!$A:$A,Output_Mac!F:F,""),
_xlpm.MyAuditVal,_xlfn.XLOOKUP($A102,My_Audit!$A:$A,My_Audit!E:E,""),
_xlfn.IFS(_xlpm.MyAuditVal&lt;&gt;"",_xlpm.MyAuditVal,_xlpm.MacVal&lt;&gt;"",_xlpm.MacVal,_xlpm.CSVVal&lt;&gt;"",PROPER(_xlpm.CSVVal)
)),"")</f>
        <v/>
      </c>
      <c r="G102" s="45" t="str" cm="1">
        <f t="array" ref="G102">IFERROR(_xlfn.LET(
_xlpm.CSVVal,_xlfn.XLOOKUP($A102,CSV!$A:$A,CSV!G:G,""),
_xlpm.MacVal,_xlfn.XLOOKUP($A102,Output_Mac!$A:$A,Output_Mac!H:H,""),
_xlpm.MyAuditVal,_xlfn.XLOOKUP($A102,My_Audit!$A:$A,My_Audit!F:F,""),
_xlfn.IFS(_xlpm.MyAuditVal&lt;&gt;"",_xlpm.MyAuditVal,_xlpm.MacVal&lt;&gt;"",_xlpm.MacVal,_xlpm.CSVVal&lt;&gt;"",_xlpm.CSVVal
)),"")</f>
        <v/>
      </c>
      <c r="H102" s="45" t="str">
        <f>_xlfn.XLOOKUP(A102,Output_Mac!A:A,Output_Mac!I:I,"")</f>
        <v/>
      </c>
      <c r="I102" s="45" t="str" cm="1">
        <f t="array" ref="I102">IFERROR(_xlfn.LET(
_xlpm.CSVVal,_xlfn.XLOOKUP($A102,CSV!$A:$A,CSV!H:H,""),
_xlpm.MacVal,_xlfn.XLOOKUP($A102,Output_Mac!$A:$A,Output_Mac!J:J,""),
_xlpm.MyAuditVal,_xlfn.XLOOKUP($A102,My_Audit!$A:$A,My_Audit!H:H,""),
_xlfn.IFS(_xlpm.MyAuditVal&lt;&gt;"",UPPER(_xlpm.MyAuditVal),_xlpm.MacVal&lt;&gt;"",_xlpm.MacVal,_xlpm.CSVVal&lt;&gt;"",_xlpm.CSVVal
)),"")</f>
        <v/>
      </c>
      <c r="J102" s="45" t="str" cm="1">
        <f t="array" ref="J102">IFERROR(_xlfn.LET(
_xlpm.CSVVal,_xlfn.XLOOKUP($A102,CSV!$A:$A,CSV!J:J,""),
_xlpm.MacVal,_xlfn.XLOOKUP($A102,Output_Mac!$A:$A,Output_Mac!K:K,""),
_xlpm.MyAuditVal,_xlfn.XLOOKUP($A102,My_Audit!$A:$A,My_Audit!I:I,""),
_xlfn.IFS(_xlpm.MyAuditVal&lt;&gt;"",UPPER(_xlpm.MyAuditVal),_xlpm.MacVal&lt;&gt;"",_xlpm.MacVal,_xlpm.CSVVal&lt;&gt;"",_xlpm.CSVVal
)),"")</f>
        <v/>
      </c>
      <c r="K102" s="45" t="str" cm="1">
        <f t="array" ref="K102">IFERROR(_xlfn.LET(
_xlpm.CSVVal,_xlfn.XLOOKUP($A102,CSV!$A:$A,CSV!N:N,""),
_xlpm.MacVal,_xlfn.XLOOKUP($A102,Output_Mac!$A:$A,Output_Mac!L:L,""),
_xlpm.MyAuditVal,_xlfn.XLOOKUP($A102,My_Audit!$A:$A,My_Audit!J:J,""),
_xlfn.IFS(_xlpm.MyAuditVal&lt;&gt;"",UPPER(_xlpm.MyAuditVal),_xlpm.MacVal&lt;&gt;"",_xlpm.MacVal,_xlpm.CSVVal&lt;&gt;"",_xlpm.CSVVal
)),"")</f>
        <v/>
      </c>
      <c r="L102" s="46" t="str" cm="1">
        <f t="array" ref="L102">IFERROR(_xlfn.LET(
_xlpm.CSVVal,_xlfn.XLOOKUP($A102,CSV!$A:$A,CSV!Q:Q,""),
_xlpm.MacVal,_xlfn.XLOOKUP($A102,Output_Mac!$A:$A,Output_Mac!M:M,""),
_xlpm.MyAuditVal,_xlfn.XLOOKUP($A102,My_Audit!$A:$A,My_Audit!K:K,""),
_xlfn.IFS(_xlpm.MyAuditVal&lt;&gt;"",UPPER(_xlpm.MyAuditVal),_xlpm.MacVal&lt;&gt;"",_xlpm.MacVal,_xlpm.CSVVal&lt;&gt;"",_xlpm.CSVVal
)),"")</f>
        <v/>
      </c>
      <c r="M102" s="45" t="str">
        <f>_xlfn.LET(
    _xlpm.CSVVal, _xlfn.XLOOKUP($A102, CSV!$A:$A, CSV!AE:AE, ""),
    _xlpm.MacVal, _xlfn.XLOOKUP($A102, Output_Mac!$A:$A, Output_Mac!S:S, ""),
    _xlpm.MyAuditVal, _xlfn.XLOOKUP($A102, My_Audit!$A:$A, My_Audit!N:N, ""),
    _xlfn.TEXTJOIN(", ", TRUE, _xlpm.MyAuditVal, _xlpm.MacVal, _xlpm.CSVVal)
)</f>
        <v/>
      </c>
      <c r="N102" s="45" t="str" cm="1">
        <f t="array" ref="N102">IFERROR(_xlfn.LET(
_xlpm.CSVVal,_xlfn.XLOOKUP($A102,CSV!$A:$A,CSV!AG:AG,""),
_xlpm.MacVal,_xlfn.XLOOKUP($A102,Output_Mac!$A:$A,Output_Mac!U:U,""),
_xlpm.MyAuditVal,_xlfn.XLOOKUP($A102,My_Audit!$A:$A,My_Audit!O:O,""),
_xlfn.IFS(_xlpm.MyAuditVal&lt;&gt;"",UPPER(_xlpm.MyAuditVal),_xlpm.MacVal&lt;&gt;"",_xlpm.MacVal,_xlpm.CSVVal&lt;&gt;"",_xlpm.CSVVal
)),"")</f>
        <v/>
      </c>
      <c r="O102" s="46" t="str">
        <f>_xlfn.XLOOKUP(C102,My_Audit!B:B,My_Audit!P:P,"")&amp;""</f>
        <v/>
      </c>
      <c r="P102" s="45"/>
      <c r="Q102" s="46" t="str">
        <f>IF(LEFT(N102,4)="Pass","Nist SP 800-88",My_Audit!R102)&amp;""</f>
        <v/>
      </c>
      <c r="R102" s="45"/>
      <c r="S102" s="45"/>
      <c r="T102" s="46" t="str">
        <f>_xlfn.XLOOKUP(E102,Models!I:I,Models!J:J,"")</f>
        <v/>
      </c>
      <c r="U102" s="45"/>
      <c r="V102" s="45"/>
      <c r="W102" s="38" t="str">
        <f>_xlfn.LET(
    _xlpm.MacVal, _xlfn.XLOOKUP($A102, Output_Mac!$A:$A, Output_Mac!AB:AB, ""),
    _xlpm.MyAuditVal, _xlfn.XLOOKUP($A102, My_Audit!$A:$A, My_Audit!L:L, ""),
    _xlfn.TEXTJOIN(", ", TRUE, _xlpm.MyAuditVal, _xlpm.MacVal)
)</f>
        <v/>
      </c>
    </row>
    <row r="103" spans="1:23">
      <c r="A103" s="45" t="str">
        <f>_xlfn.TEXTJOIN("",TRUE,Input!$B$2,ROW(My_Audit!A102))</f>
        <v>XX102</v>
      </c>
      <c r="B103" s="45" t="str">
        <f>_xlfn.TEXTJOIN("-",TRUE,"ITD",Input!$A$2,A103)</f>
        <v>ITD-SHRXXX-XX102</v>
      </c>
      <c r="C103" s="45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46" t="str" cm="1">
        <f t="array" ref="D103">IFERROR(_xlfn.LET(
_xlpm.CSVVal,_xlfn.XLOOKUP($A103,CSV!$A:$A,CSV!C:C,""),
_xlpm.MacVal,_xlfn.XLOOKUP($A103,Output_Mac!$A:$A,Output_Mac!D:D,""),
_xlpm.MyAuditVal,_xlfn.XLOOKUP($A103,My_Audit!$A:$A,My_Audit!C:C,""),
_xlfn.IFS(_xlpm.MyAuditVal&lt;&gt;"",UPPER(_xlpm.MyAuditVal),_xlpm.MacVal&lt;&gt;"",_xlpm.MacVal,_xlpm.CSVVal&lt;&gt;"",_xlpm.CSVVal
)),"")</f>
        <v/>
      </c>
      <c r="E103" s="46" t="str" cm="1">
        <f t="array" ref="E103">IFERROR(_xlfn.LET(
_xlpm.CSVVal,_xlfn.XLOOKUP($A103,CSV!$A:$A,CSV!E:E,""),
_xlpm.MacVal,_xlfn.XLOOKUP($A103,Output_Mac!$A:$A,Output_Mac!C:C,""),
_xlpm.MyAuditVal,_xlfn.XLOOKUP($A103,My_Audit!$A:$A,My_Audit!D:D,""),
_xlfn.IFS(_xlpm.MyAuditVal&lt;&gt;"",_xlpm.MyAuditVal,_xlpm.MacVal&lt;&gt;"",_xlpm.MacVal,_xlpm.CSVVal&lt;&gt;"",_xlpm.CSVVal
)),"")</f>
        <v/>
      </c>
      <c r="F103" s="45" t="str" cm="1">
        <f t="array" ref="F103">IFERROR(_xlfn.LET(
_xlpm.CSVVal,_xlfn.XLOOKUP($A103,CSV!$A:$A,CSV!F:F,""),
_xlpm.MacVal,_xlfn.XLOOKUP($A103,Output_Mac!$A:$A,Output_Mac!F:F,""),
_xlpm.MyAuditVal,_xlfn.XLOOKUP($A103,My_Audit!$A:$A,My_Audit!E:E,""),
_xlfn.IFS(_xlpm.MyAuditVal&lt;&gt;"",_xlpm.MyAuditVal,_xlpm.MacVal&lt;&gt;"",_xlpm.MacVal,_xlpm.CSVVal&lt;&gt;"",PROPER(_xlpm.CSVVal)
)),"")</f>
        <v/>
      </c>
      <c r="G103" s="45" t="str" cm="1">
        <f t="array" ref="G103">IFERROR(_xlfn.LET(
_xlpm.CSVVal,_xlfn.XLOOKUP($A103,CSV!$A:$A,CSV!G:G,""),
_xlpm.MacVal,_xlfn.XLOOKUP($A103,Output_Mac!$A:$A,Output_Mac!H:H,""),
_xlpm.MyAuditVal,_xlfn.XLOOKUP($A103,My_Audit!$A:$A,My_Audit!F:F,""),
_xlfn.IFS(_xlpm.MyAuditVal&lt;&gt;"",_xlpm.MyAuditVal,_xlpm.MacVal&lt;&gt;"",_xlpm.MacVal,_xlpm.CSVVal&lt;&gt;"",_xlpm.CSVVal
)),"")</f>
        <v/>
      </c>
      <c r="H103" s="45" t="str">
        <f>_xlfn.XLOOKUP(A103,Output_Mac!A:A,Output_Mac!I:I,"")</f>
        <v/>
      </c>
      <c r="I103" s="45" t="str" cm="1">
        <f t="array" ref="I103">IFERROR(_xlfn.LET(
_xlpm.CSVVal,_xlfn.XLOOKUP($A103,CSV!$A:$A,CSV!H:H,""),
_xlpm.MacVal,_xlfn.XLOOKUP($A103,Output_Mac!$A:$A,Output_Mac!J:J,""),
_xlpm.MyAuditVal,_xlfn.XLOOKUP($A103,My_Audit!$A:$A,My_Audit!H:H,""),
_xlfn.IFS(_xlpm.MyAuditVal&lt;&gt;"",UPPER(_xlpm.MyAuditVal),_xlpm.MacVal&lt;&gt;"",_xlpm.MacVal,_xlpm.CSVVal&lt;&gt;"",_xlpm.CSVVal
)),"")</f>
        <v/>
      </c>
      <c r="J103" s="45" t="str" cm="1">
        <f t="array" ref="J103">IFERROR(_xlfn.LET(
_xlpm.CSVVal,_xlfn.XLOOKUP($A103,CSV!$A:$A,CSV!J:J,""),
_xlpm.MacVal,_xlfn.XLOOKUP($A103,Output_Mac!$A:$A,Output_Mac!K:K,""),
_xlpm.MyAuditVal,_xlfn.XLOOKUP($A103,My_Audit!$A:$A,My_Audit!I:I,""),
_xlfn.IFS(_xlpm.MyAuditVal&lt;&gt;"",UPPER(_xlpm.MyAuditVal),_xlpm.MacVal&lt;&gt;"",_xlpm.MacVal,_xlpm.CSVVal&lt;&gt;"",_xlpm.CSVVal
)),"")</f>
        <v/>
      </c>
      <c r="K103" s="45" t="str" cm="1">
        <f t="array" ref="K103">IFERROR(_xlfn.LET(
_xlpm.CSVVal,_xlfn.XLOOKUP($A103,CSV!$A:$A,CSV!N:N,""),
_xlpm.MacVal,_xlfn.XLOOKUP($A103,Output_Mac!$A:$A,Output_Mac!L:L,""),
_xlpm.MyAuditVal,_xlfn.XLOOKUP($A103,My_Audit!$A:$A,My_Audit!J:J,""),
_xlfn.IFS(_xlpm.MyAuditVal&lt;&gt;"",UPPER(_xlpm.MyAuditVal),_xlpm.MacVal&lt;&gt;"",_xlpm.MacVal,_xlpm.CSVVal&lt;&gt;"",_xlpm.CSVVal
)),"")</f>
        <v/>
      </c>
      <c r="L103" s="46" t="str" cm="1">
        <f t="array" ref="L103">IFERROR(_xlfn.LET(
_xlpm.CSVVal,_xlfn.XLOOKUP($A103,CSV!$A:$A,CSV!Q:Q,""),
_xlpm.MacVal,_xlfn.XLOOKUP($A103,Output_Mac!$A:$A,Output_Mac!M:M,""),
_xlpm.MyAuditVal,_xlfn.XLOOKUP($A103,My_Audit!$A:$A,My_Audit!K:K,""),
_xlfn.IFS(_xlpm.MyAuditVal&lt;&gt;"",UPPER(_xlpm.MyAuditVal),_xlpm.MacVal&lt;&gt;"",_xlpm.MacVal,_xlpm.CSVVal&lt;&gt;"",_xlpm.CSVVal
)),"")</f>
        <v/>
      </c>
      <c r="M103" s="45" t="str">
        <f>_xlfn.LET(
    _xlpm.CSVVal, _xlfn.XLOOKUP($A103, CSV!$A:$A, CSV!AE:AE, ""),
    _xlpm.MacVal, _xlfn.XLOOKUP($A103, Output_Mac!$A:$A, Output_Mac!S:S, ""),
    _xlpm.MyAuditVal, _xlfn.XLOOKUP($A103, My_Audit!$A:$A, My_Audit!N:N, ""),
    _xlfn.TEXTJOIN(", ", TRUE, _xlpm.MyAuditVal, _xlpm.MacVal, _xlpm.CSVVal)
)</f>
        <v/>
      </c>
      <c r="N103" s="45" t="str" cm="1">
        <f t="array" ref="N103">IFERROR(_xlfn.LET(
_xlpm.CSVVal,_xlfn.XLOOKUP($A103,CSV!$A:$A,CSV!AG:AG,""),
_xlpm.MacVal,_xlfn.XLOOKUP($A103,Output_Mac!$A:$A,Output_Mac!U:U,""),
_xlpm.MyAuditVal,_xlfn.XLOOKUP($A103,My_Audit!$A:$A,My_Audit!O:O,""),
_xlfn.IFS(_xlpm.MyAuditVal&lt;&gt;"",UPPER(_xlpm.MyAuditVal),_xlpm.MacVal&lt;&gt;"",_xlpm.MacVal,_xlpm.CSVVal&lt;&gt;"",_xlpm.CSVVal
)),"")</f>
        <v/>
      </c>
      <c r="O103" s="46" t="str">
        <f>_xlfn.XLOOKUP(C103,My_Audit!B:B,My_Audit!P:P,"")&amp;""</f>
        <v/>
      </c>
      <c r="P103" s="45"/>
      <c r="Q103" s="46" t="str">
        <f>IF(LEFT(N103,4)="Pass","Nist SP 800-88",My_Audit!R103)&amp;""</f>
        <v/>
      </c>
      <c r="R103" s="45"/>
      <c r="S103" s="45"/>
      <c r="T103" s="46" t="str">
        <f>_xlfn.XLOOKUP(E103,Models!I:I,Models!J:J,"")</f>
        <v/>
      </c>
      <c r="U103" s="45"/>
      <c r="V103" s="45"/>
      <c r="W103" s="38" t="str">
        <f>_xlfn.LET(
    _xlpm.MacVal, _xlfn.XLOOKUP($A103, Output_Mac!$A:$A, Output_Mac!AB:AB, ""),
    _xlpm.MyAuditVal, _xlfn.XLOOKUP($A103, My_Audit!$A:$A, My_Audit!L:L, ""),
    _xlfn.TEXTJOIN(", ", TRUE, _xlpm.MyAuditVal, _xlpm.MacVal)
)</f>
        <v/>
      </c>
    </row>
    <row r="104" spans="1:23">
      <c r="A104" s="45" t="str">
        <f>_xlfn.TEXTJOIN("",TRUE,Input!$B$2,ROW(My_Audit!A103))</f>
        <v>XX103</v>
      </c>
      <c r="B104" s="45" t="str">
        <f>_xlfn.TEXTJOIN("-",TRUE,"ITD",Input!$A$2,A104)</f>
        <v>ITD-SHRXXX-XX103</v>
      </c>
      <c r="C104" s="45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46" t="str" cm="1">
        <f t="array" ref="D104">IFERROR(_xlfn.LET(
_xlpm.CSVVal,_xlfn.XLOOKUP($A104,CSV!$A:$A,CSV!C:C,""),
_xlpm.MacVal,_xlfn.XLOOKUP($A104,Output_Mac!$A:$A,Output_Mac!D:D,""),
_xlpm.MyAuditVal,_xlfn.XLOOKUP($A104,My_Audit!$A:$A,My_Audit!C:C,""),
_xlfn.IFS(_xlpm.MyAuditVal&lt;&gt;"",UPPER(_xlpm.MyAuditVal),_xlpm.MacVal&lt;&gt;"",_xlpm.MacVal,_xlpm.CSVVal&lt;&gt;"",_xlpm.CSVVal
)),"")</f>
        <v/>
      </c>
      <c r="E104" s="46" t="str" cm="1">
        <f t="array" ref="E104">IFERROR(_xlfn.LET(
_xlpm.CSVVal,_xlfn.XLOOKUP($A104,CSV!$A:$A,CSV!E:E,""),
_xlpm.MacVal,_xlfn.XLOOKUP($A104,Output_Mac!$A:$A,Output_Mac!C:C,""),
_xlpm.MyAuditVal,_xlfn.XLOOKUP($A104,My_Audit!$A:$A,My_Audit!D:D,""),
_xlfn.IFS(_xlpm.MyAuditVal&lt;&gt;"",_xlpm.MyAuditVal,_xlpm.MacVal&lt;&gt;"",_xlpm.MacVal,_xlpm.CSVVal&lt;&gt;"",_xlpm.CSVVal
)),"")</f>
        <v/>
      </c>
      <c r="F104" s="45" t="str" cm="1">
        <f t="array" ref="F104">IFERROR(_xlfn.LET(
_xlpm.CSVVal,_xlfn.XLOOKUP($A104,CSV!$A:$A,CSV!F:F,""),
_xlpm.MacVal,_xlfn.XLOOKUP($A104,Output_Mac!$A:$A,Output_Mac!F:F,""),
_xlpm.MyAuditVal,_xlfn.XLOOKUP($A104,My_Audit!$A:$A,My_Audit!E:E,""),
_xlfn.IFS(_xlpm.MyAuditVal&lt;&gt;"",_xlpm.MyAuditVal,_xlpm.MacVal&lt;&gt;"",_xlpm.MacVal,_xlpm.CSVVal&lt;&gt;"",PROPER(_xlpm.CSVVal)
)),"")</f>
        <v/>
      </c>
      <c r="G104" s="45" t="str" cm="1">
        <f t="array" ref="G104">IFERROR(_xlfn.LET(
_xlpm.CSVVal,_xlfn.XLOOKUP($A104,CSV!$A:$A,CSV!G:G,""),
_xlpm.MacVal,_xlfn.XLOOKUP($A104,Output_Mac!$A:$A,Output_Mac!H:H,""),
_xlpm.MyAuditVal,_xlfn.XLOOKUP($A104,My_Audit!$A:$A,My_Audit!F:F,""),
_xlfn.IFS(_xlpm.MyAuditVal&lt;&gt;"",_xlpm.MyAuditVal,_xlpm.MacVal&lt;&gt;"",_xlpm.MacVal,_xlpm.CSVVal&lt;&gt;"",_xlpm.CSVVal
)),"")</f>
        <v/>
      </c>
      <c r="H104" s="45" t="str">
        <f>_xlfn.XLOOKUP(A104,Output_Mac!A:A,Output_Mac!I:I,"")</f>
        <v/>
      </c>
      <c r="I104" s="45" t="str" cm="1">
        <f t="array" ref="I104">IFERROR(_xlfn.LET(
_xlpm.CSVVal,_xlfn.XLOOKUP($A104,CSV!$A:$A,CSV!H:H,""),
_xlpm.MacVal,_xlfn.XLOOKUP($A104,Output_Mac!$A:$A,Output_Mac!J:J,""),
_xlpm.MyAuditVal,_xlfn.XLOOKUP($A104,My_Audit!$A:$A,My_Audit!H:H,""),
_xlfn.IFS(_xlpm.MyAuditVal&lt;&gt;"",UPPER(_xlpm.MyAuditVal),_xlpm.MacVal&lt;&gt;"",_xlpm.MacVal,_xlpm.CSVVal&lt;&gt;"",_xlpm.CSVVal
)),"")</f>
        <v/>
      </c>
      <c r="J104" s="45" t="str" cm="1">
        <f t="array" ref="J104">IFERROR(_xlfn.LET(
_xlpm.CSVVal,_xlfn.XLOOKUP($A104,CSV!$A:$A,CSV!J:J,""),
_xlpm.MacVal,_xlfn.XLOOKUP($A104,Output_Mac!$A:$A,Output_Mac!K:K,""),
_xlpm.MyAuditVal,_xlfn.XLOOKUP($A104,My_Audit!$A:$A,My_Audit!I:I,""),
_xlfn.IFS(_xlpm.MyAuditVal&lt;&gt;"",UPPER(_xlpm.MyAuditVal),_xlpm.MacVal&lt;&gt;"",_xlpm.MacVal,_xlpm.CSVVal&lt;&gt;"",_xlpm.CSVVal
)),"")</f>
        <v/>
      </c>
      <c r="K104" s="45" t="str" cm="1">
        <f t="array" ref="K104">IFERROR(_xlfn.LET(
_xlpm.CSVVal,_xlfn.XLOOKUP($A104,CSV!$A:$A,CSV!N:N,""),
_xlpm.MacVal,_xlfn.XLOOKUP($A104,Output_Mac!$A:$A,Output_Mac!L:L,""),
_xlpm.MyAuditVal,_xlfn.XLOOKUP($A104,My_Audit!$A:$A,My_Audit!J:J,""),
_xlfn.IFS(_xlpm.MyAuditVal&lt;&gt;"",UPPER(_xlpm.MyAuditVal),_xlpm.MacVal&lt;&gt;"",_xlpm.MacVal,_xlpm.CSVVal&lt;&gt;"",_xlpm.CSVVal
)),"")</f>
        <v/>
      </c>
      <c r="L104" s="46" t="str" cm="1">
        <f t="array" ref="L104">IFERROR(_xlfn.LET(
_xlpm.CSVVal,_xlfn.XLOOKUP($A104,CSV!$A:$A,CSV!Q:Q,""),
_xlpm.MacVal,_xlfn.XLOOKUP($A104,Output_Mac!$A:$A,Output_Mac!M:M,""),
_xlpm.MyAuditVal,_xlfn.XLOOKUP($A104,My_Audit!$A:$A,My_Audit!K:K,""),
_xlfn.IFS(_xlpm.MyAuditVal&lt;&gt;"",UPPER(_xlpm.MyAuditVal),_xlpm.MacVal&lt;&gt;"",_xlpm.MacVal,_xlpm.CSVVal&lt;&gt;"",_xlpm.CSVVal
)),"")</f>
        <v/>
      </c>
      <c r="M104" s="45" t="str">
        <f>_xlfn.LET(
    _xlpm.CSVVal, _xlfn.XLOOKUP($A104, CSV!$A:$A, CSV!AE:AE, ""),
    _xlpm.MacVal, _xlfn.XLOOKUP($A104, Output_Mac!$A:$A, Output_Mac!S:S, ""),
    _xlpm.MyAuditVal, _xlfn.XLOOKUP($A104, My_Audit!$A:$A, My_Audit!N:N, ""),
    _xlfn.TEXTJOIN(", ", TRUE, _xlpm.MyAuditVal, _xlpm.MacVal, _xlpm.CSVVal)
)</f>
        <v/>
      </c>
      <c r="N104" s="45" t="str" cm="1">
        <f t="array" ref="N104">IFERROR(_xlfn.LET(
_xlpm.CSVVal,_xlfn.XLOOKUP($A104,CSV!$A:$A,CSV!AG:AG,""),
_xlpm.MacVal,_xlfn.XLOOKUP($A104,Output_Mac!$A:$A,Output_Mac!U:U,""),
_xlpm.MyAuditVal,_xlfn.XLOOKUP($A104,My_Audit!$A:$A,My_Audit!O:O,""),
_xlfn.IFS(_xlpm.MyAuditVal&lt;&gt;"",UPPER(_xlpm.MyAuditVal),_xlpm.MacVal&lt;&gt;"",_xlpm.MacVal,_xlpm.CSVVal&lt;&gt;"",_xlpm.CSVVal
)),"")</f>
        <v/>
      </c>
      <c r="O104" s="46" t="str">
        <f>_xlfn.XLOOKUP(C104,My_Audit!B:B,My_Audit!P:P,"")&amp;""</f>
        <v/>
      </c>
      <c r="P104" s="45"/>
      <c r="Q104" s="46" t="str">
        <f>IF(LEFT(N104,4)="Pass","Nist SP 800-88",My_Audit!R104)&amp;""</f>
        <v/>
      </c>
      <c r="R104" s="45"/>
      <c r="S104" s="45"/>
      <c r="T104" s="46" t="str">
        <f>_xlfn.XLOOKUP(E104,Models!I:I,Models!J:J,"")</f>
        <v/>
      </c>
      <c r="U104" s="45"/>
      <c r="V104" s="45"/>
      <c r="W104" s="38" t="str">
        <f>_xlfn.LET(
    _xlpm.MacVal, _xlfn.XLOOKUP($A104, Output_Mac!$A:$A, Output_Mac!AB:AB, ""),
    _xlpm.MyAuditVal, _xlfn.XLOOKUP($A104, My_Audit!$A:$A, My_Audit!L:L, ""),
    _xlfn.TEXTJOIN(", ", TRUE, _xlpm.MyAuditVal, _xlpm.MacVal)
)</f>
        <v/>
      </c>
    </row>
    <row r="105" spans="1:23">
      <c r="A105" s="45" t="str">
        <f>_xlfn.TEXTJOIN("",TRUE,Input!$B$2,ROW(My_Audit!A104))</f>
        <v>XX104</v>
      </c>
      <c r="B105" s="45" t="str">
        <f>_xlfn.TEXTJOIN("-",TRUE,"ITD",Input!$A$2,A105)</f>
        <v>ITD-SHRXXX-XX104</v>
      </c>
      <c r="C105" s="45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46" t="str" cm="1">
        <f t="array" ref="D105">IFERROR(_xlfn.LET(
_xlpm.CSVVal,_xlfn.XLOOKUP($A105,CSV!$A:$A,CSV!C:C,""),
_xlpm.MacVal,_xlfn.XLOOKUP($A105,Output_Mac!$A:$A,Output_Mac!D:D,""),
_xlpm.MyAuditVal,_xlfn.XLOOKUP($A105,My_Audit!$A:$A,My_Audit!C:C,""),
_xlfn.IFS(_xlpm.MyAuditVal&lt;&gt;"",UPPER(_xlpm.MyAuditVal),_xlpm.MacVal&lt;&gt;"",_xlpm.MacVal,_xlpm.CSVVal&lt;&gt;"",_xlpm.CSVVal
)),"")</f>
        <v/>
      </c>
      <c r="E105" s="46" t="str" cm="1">
        <f t="array" ref="E105">IFERROR(_xlfn.LET(
_xlpm.CSVVal,_xlfn.XLOOKUP($A105,CSV!$A:$A,CSV!E:E,""),
_xlpm.MacVal,_xlfn.XLOOKUP($A105,Output_Mac!$A:$A,Output_Mac!C:C,""),
_xlpm.MyAuditVal,_xlfn.XLOOKUP($A105,My_Audit!$A:$A,My_Audit!D:D,""),
_xlfn.IFS(_xlpm.MyAuditVal&lt;&gt;"",_xlpm.MyAuditVal,_xlpm.MacVal&lt;&gt;"",_xlpm.MacVal,_xlpm.CSVVal&lt;&gt;"",_xlpm.CSVVal
)),"")</f>
        <v/>
      </c>
      <c r="F105" s="45" t="str" cm="1">
        <f t="array" ref="F105">IFERROR(_xlfn.LET(
_xlpm.CSVVal,_xlfn.XLOOKUP($A105,CSV!$A:$A,CSV!F:F,""),
_xlpm.MacVal,_xlfn.XLOOKUP($A105,Output_Mac!$A:$A,Output_Mac!F:F,""),
_xlpm.MyAuditVal,_xlfn.XLOOKUP($A105,My_Audit!$A:$A,My_Audit!E:E,""),
_xlfn.IFS(_xlpm.MyAuditVal&lt;&gt;"",_xlpm.MyAuditVal,_xlpm.MacVal&lt;&gt;"",_xlpm.MacVal,_xlpm.CSVVal&lt;&gt;"",PROPER(_xlpm.CSVVal)
)),"")</f>
        <v/>
      </c>
      <c r="G105" s="45" t="str" cm="1">
        <f t="array" ref="G105">IFERROR(_xlfn.LET(
_xlpm.CSVVal,_xlfn.XLOOKUP($A105,CSV!$A:$A,CSV!G:G,""),
_xlpm.MacVal,_xlfn.XLOOKUP($A105,Output_Mac!$A:$A,Output_Mac!H:H,""),
_xlpm.MyAuditVal,_xlfn.XLOOKUP($A105,My_Audit!$A:$A,My_Audit!F:F,""),
_xlfn.IFS(_xlpm.MyAuditVal&lt;&gt;"",_xlpm.MyAuditVal,_xlpm.MacVal&lt;&gt;"",_xlpm.MacVal,_xlpm.CSVVal&lt;&gt;"",_xlpm.CSVVal
)),"")</f>
        <v/>
      </c>
      <c r="H105" s="45" t="str">
        <f>_xlfn.XLOOKUP(A105,Output_Mac!A:A,Output_Mac!I:I,"")</f>
        <v/>
      </c>
      <c r="I105" s="45" t="str" cm="1">
        <f t="array" ref="I105">IFERROR(_xlfn.LET(
_xlpm.CSVVal,_xlfn.XLOOKUP($A105,CSV!$A:$A,CSV!H:H,""),
_xlpm.MacVal,_xlfn.XLOOKUP($A105,Output_Mac!$A:$A,Output_Mac!J:J,""),
_xlpm.MyAuditVal,_xlfn.XLOOKUP($A105,My_Audit!$A:$A,My_Audit!H:H,""),
_xlfn.IFS(_xlpm.MyAuditVal&lt;&gt;"",UPPER(_xlpm.MyAuditVal),_xlpm.MacVal&lt;&gt;"",_xlpm.MacVal,_xlpm.CSVVal&lt;&gt;"",_xlpm.CSVVal
)),"")</f>
        <v/>
      </c>
      <c r="J105" s="45" t="str" cm="1">
        <f t="array" ref="J105">IFERROR(_xlfn.LET(
_xlpm.CSVVal,_xlfn.XLOOKUP($A105,CSV!$A:$A,CSV!J:J,""),
_xlpm.MacVal,_xlfn.XLOOKUP($A105,Output_Mac!$A:$A,Output_Mac!K:K,""),
_xlpm.MyAuditVal,_xlfn.XLOOKUP($A105,My_Audit!$A:$A,My_Audit!I:I,""),
_xlfn.IFS(_xlpm.MyAuditVal&lt;&gt;"",UPPER(_xlpm.MyAuditVal),_xlpm.MacVal&lt;&gt;"",_xlpm.MacVal,_xlpm.CSVVal&lt;&gt;"",_xlpm.CSVVal
)),"")</f>
        <v/>
      </c>
      <c r="K105" s="45" t="str" cm="1">
        <f t="array" ref="K105">IFERROR(_xlfn.LET(
_xlpm.CSVVal,_xlfn.XLOOKUP($A105,CSV!$A:$A,CSV!N:N,""),
_xlpm.MacVal,_xlfn.XLOOKUP($A105,Output_Mac!$A:$A,Output_Mac!L:L,""),
_xlpm.MyAuditVal,_xlfn.XLOOKUP($A105,My_Audit!$A:$A,My_Audit!J:J,""),
_xlfn.IFS(_xlpm.MyAuditVal&lt;&gt;"",UPPER(_xlpm.MyAuditVal),_xlpm.MacVal&lt;&gt;"",_xlpm.MacVal,_xlpm.CSVVal&lt;&gt;"",_xlpm.CSVVal
)),"")</f>
        <v/>
      </c>
      <c r="L105" s="46" t="str" cm="1">
        <f t="array" ref="L105">IFERROR(_xlfn.LET(
_xlpm.CSVVal,_xlfn.XLOOKUP($A105,CSV!$A:$A,CSV!Q:Q,""),
_xlpm.MacVal,_xlfn.XLOOKUP($A105,Output_Mac!$A:$A,Output_Mac!M:M,""),
_xlpm.MyAuditVal,_xlfn.XLOOKUP($A105,My_Audit!$A:$A,My_Audit!K:K,""),
_xlfn.IFS(_xlpm.MyAuditVal&lt;&gt;"",UPPER(_xlpm.MyAuditVal),_xlpm.MacVal&lt;&gt;"",_xlpm.MacVal,_xlpm.CSVVal&lt;&gt;"",_xlpm.CSVVal
)),"")</f>
        <v/>
      </c>
      <c r="M105" s="45" t="str">
        <f>_xlfn.LET(
    _xlpm.CSVVal, _xlfn.XLOOKUP($A105, CSV!$A:$A, CSV!AE:AE, ""),
    _xlpm.MacVal, _xlfn.XLOOKUP($A105, Output_Mac!$A:$A, Output_Mac!S:S, ""),
    _xlpm.MyAuditVal, _xlfn.XLOOKUP($A105, My_Audit!$A:$A, My_Audit!N:N, ""),
    _xlfn.TEXTJOIN(", ", TRUE, _xlpm.MyAuditVal, _xlpm.MacVal, _xlpm.CSVVal)
)</f>
        <v/>
      </c>
      <c r="N105" s="45" t="str" cm="1">
        <f t="array" ref="N105">IFERROR(_xlfn.LET(
_xlpm.CSVVal,_xlfn.XLOOKUP($A105,CSV!$A:$A,CSV!AG:AG,""),
_xlpm.MacVal,_xlfn.XLOOKUP($A105,Output_Mac!$A:$A,Output_Mac!U:U,""),
_xlpm.MyAuditVal,_xlfn.XLOOKUP($A105,My_Audit!$A:$A,My_Audit!O:O,""),
_xlfn.IFS(_xlpm.MyAuditVal&lt;&gt;"",UPPER(_xlpm.MyAuditVal),_xlpm.MacVal&lt;&gt;"",_xlpm.MacVal,_xlpm.CSVVal&lt;&gt;"",_xlpm.CSVVal
)),"")</f>
        <v/>
      </c>
      <c r="O105" s="46" t="str">
        <f>_xlfn.XLOOKUP(C105,My_Audit!B:B,My_Audit!P:P,"")&amp;""</f>
        <v/>
      </c>
      <c r="P105" s="45"/>
      <c r="Q105" s="46" t="str">
        <f>IF(LEFT(N105,4)="Pass","Nist SP 800-88",My_Audit!R105)&amp;""</f>
        <v/>
      </c>
      <c r="R105" s="45"/>
      <c r="S105" s="45"/>
      <c r="T105" s="46" t="str">
        <f>_xlfn.XLOOKUP(E105,Models!I:I,Models!J:J,"")</f>
        <v/>
      </c>
      <c r="U105" s="45"/>
      <c r="V105" s="45"/>
      <c r="W105" s="38" t="str">
        <f>_xlfn.LET(
    _xlpm.MacVal, _xlfn.XLOOKUP($A105, Output_Mac!$A:$A, Output_Mac!AB:AB, ""),
    _xlpm.MyAuditVal, _xlfn.XLOOKUP($A105, My_Audit!$A:$A, My_Audit!L:L, ""),
    _xlfn.TEXTJOIN(", ", TRUE, _xlpm.MyAuditVal, _xlpm.MacVal)
)</f>
        <v/>
      </c>
    </row>
    <row r="106" spans="1:23">
      <c r="A106" s="45" t="str">
        <f>_xlfn.TEXTJOIN("",TRUE,Input!$B$2,ROW(My_Audit!A105))</f>
        <v>XX105</v>
      </c>
      <c r="B106" s="45" t="str">
        <f>_xlfn.TEXTJOIN("-",TRUE,"ITD",Input!$A$2,A106)</f>
        <v>ITD-SHRXXX-XX105</v>
      </c>
      <c r="C106" s="45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46" t="str" cm="1">
        <f t="array" ref="D106">IFERROR(_xlfn.LET(
_xlpm.CSVVal,_xlfn.XLOOKUP($A106,CSV!$A:$A,CSV!C:C,""),
_xlpm.MacVal,_xlfn.XLOOKUP($A106,Output_Mac!$A:$A,Output_Mac!D:D,""),
_xlpm.MyAuditVal,_xlfn.XLOOKUP($A106,My_Audit!$A:$A,My_Audit!C:C,""),
_xlfn.IFS(_xlpm.MyAuditVal&lt;&gt;"",UPPER(_xlpm.MyAuditVal),_xlpm.MacVal&lt;&gt;"",_xlpm.MacVal,_xlpm.CSVVal&lt;&gt;"",_xlpm.CSVVal
)),"")</f>
        <v/>
      </c>
      <c r="E106" s="46" t="str" cm="1">
        <f t="array" ref="E106">IFERROR(_xlfn.LET(
_xlpm.CSVVal,_xlfn.XLOOKUP($A106,CSV!$A:$A,CSV!E:E,""),
_xlpm.MacVal,_xlfn.XLOOKUP($A106,Output_Mac!$A:$A,Output_Mac!C:C,""),
_xlpm.MyAuditVal,_xlfn.XLOOKUP($A106,My_Audit!$A:$A,My_Audit!D:D,""),
_xlfn.IFS(_xlpm.MyAuditVal&lt;&gt;"",_xlpm.MyAuditVal,_xlpm.MacVal&lt;&gt;"",_xlpm.MacVal,_xlpm.CSVVal&lt;&gt;"",_xlpm.CSVVal
)),"")</f>
        <v/>
      </c>
      <c r="F106" s="45" t="str" cm="1">
        <f t="array" ref="F106">IFERROR(_xlfn.LET(
_xlpm.CSVVal,_xlfn.XLOOKUP($A106,CSV!$A:$A,CSV!F:F,""),
_xlpm.MacVal,_xlfn.XLOOKUP($A106,Output_Mac!$A:$A,Output_Mac!F:F,""),
_xlpm.MyAuditVal,_xlfn.XLOOKUP($A106,My_Audit!$A:$A,My_Audit!E:E,""),
_xlfn.IFS(_xlpm.MyAuditVal&lt;&gt;"",_xlpm.MyAuditVal,_xlpm.MacVal&lt;&gt;"",_xlpm.MacVal,_xlpm.CSVVal&lt;&gt;"",PROPER(_xlpm.CSVVal)
)),"")</f>
        <v/>
      </c>
      <c r="G106" s="45" t="str" cm="1">
        <f t="array" ref="G106">IFERROR(_xlfn.LET(
_xlpm.CSVVal,_xlfn.XLOOKUP($A106,CSV!$A:$A,CSV!G:G,""),
_xlpm.MacVal,_xlfn.XLOOKUP($A106,Output_Mac!$A:$A,Output_Mac!H:H,""),
_xlpm.MyAuditVal,_xlfn.XLOOKUP($A106,My_Audit!$A:$A,My_Audit!F:F,""),
_xlfn.IFS(_xlpm.MyAuditVal&lt;&gt;"",_xlpm.MyAuditVal,_xlpm.MacVal&lt;&gt;"",_xlpm.MacVal,_xlpm.CSVVal&lt;&gt;"",_xlpm.CSVVal
)),"")</f>
        <v/>
      </c>
      <c r="H106" s="45" t="str">
        <f>_xlfn.XLOOKUP(A106,Output_Mac!A:A,Output_Mac!I:I,"")</f>
        <v/>
      </c>
      <c r="I106" s="45" t="str" cm="1">
        <f t="array" ref="I106">IFERROR(_xlfn.LET(
_xlpm.CSVVal,_xlfn.XLOOKUP($A106,CSV!$A:$A,CSV!H:H,""),
_xlpm.MacVal,_xlfn.XLOOKUP($A106,Output_Mac!$A:$A,Output_Mac!J:J,""),
_xlpm.MyAuditVal,_xlfn.XLOOKUP($A106,My_Audit!$A:$A,My_Audit!H:H,""),
_xlfn.IFS(_xlpm.MyAuditVal&lt;&gt;"",UPPER(_xlpm.MyAuditVal),_xlpm.MacVal&lt;&gt;"",_xlpm.MacVal,_xlpm.CSVVal&lt;&gt;"",_xlpm.CSVVal
)),"")</f>
        <v/>
      </c>
      <c r="J106" s="45" t="str" cm="1">
        <f t="array" ref="J106">IFERROR(_xlfn.LET(
_xlpm.CSVVal,_xlfn.XLOOKUP($A106,CSV!$A:$A,CSV!J:J,""),
_xlpm.MacVal,_xlfn.XLOOKUP($A106,Output_Mac!$A:$A,Output_Mac!K:K,""),
_xlpm.MyAuditVal,_xlfn.XLOOKUP($A106,My_Audit!$A:$A,My_Audit!I:I,""),
_xlfn.IFS(_xlpm.MyAuditVal&lt;&gt;"",UPPER(_xlpm.MyAuditVal),_xlpm.MacVal&lt;&gt;"",_xlpm.MacVal,_xlpm.CSVVal&lt;&gt;"",_xlpm.CSVVal
)),"")</f>
        <v/>
      </c>
      <c r="K106" s="45" t="str" cm="1">
        <f t="array" ref="K106">IFERROR(_xlfn.LET(
_xlpm.CSVVal,_xlfn.XLOOKUP($A106,CSV!$A:$A,CSV!N:N,""),
_xlpm.MacVal,_xlfn.XLOOKUP($A106,Output_Mac!$A:$A,Output_Mac!L:L,""),
_xlpm.MyAuditVal,_xlfn.XLOOKUP($A106,My_Audit!$A:$A,My_Audit!J:J,""),
_xlfn.IFS(_xlpm.MyAuditVal&lt;&gt;"",UPPER(_xlpm.MyAuditVal),_xlpm.MacVal&lt;&gt;"",_xlpm.MacVal,_xlpm.CSVVal&lt;&gt;"",_xlpm.CSVVal
)),"")</f>
        <v/>
      </c>
      <c r="L106" s="46" t="str" cm="1">
        <f t="array" ref="L106">IFERROR(_xlfn.LET(
_xlpm.CSVVal,_xlfn.XLOOKUP($A106,CSV!$A:$A,CSV!Q:Q,""),
_xlpm.MacVal,_xlfn.XLOOKUP($A106,Output_Mac!$A:$A,Output_Mac!M:M,""),
_xlpm.MyAuditVal,_xlfn.XLOOKUP($A106,My_Audit!$A:$A,My_Audit!K:K,""),
_xlfn.IFS(_xlpm.MyAuditVal&lt;&gt;"",UPPER(_xlpm.MyAuditVal),_xlpm.MacVal&lt;&gt;"",_xlpm.MacVal,_xlpm.CSVVal&lt;&gt;"",_xlpm.CSVVal
)),"")</f>
        <v/>
      </c>
      <c r="M106" s="45" t="str">
        <f>_xlfn.LET(
    _xlpm.CSVVal, _xlfn.XLOOKUP($A106, CSV!$A:$A, CSV!AE:AE, ""),
    _xlpm.MacVal, _xlfn.XLOOKUP($A106, Output_Mac!$A:$A, Output_Mac!S:S, ""),
    _xlpm.MyAuditVal, _xlfn.XLOOKUP($A106, My_Audit!$A:$A, My_Audit!N:N, ""),
    _xlfn.TEXTJOIN(", ", TRUE, _xlpm.MyAuditVal, _xlpm.MacVal, _xlpm.CSVVal)
)</f>
        <v/>
      </c>
      <c r="N106" s="45" t="str" cm="1">
        <f t="array" ref="N106">IFERROR(_xlfn.LET(
_xlpm.CSVVal,_xlfn.XLOOKUP($A106,CSV!$A:$A,CSV!AG:AG,""),
_xlpm.MacVal,_xlfn.XLOOKUP($A106,Output_Mac!$A:$A,Output_Mac!U:U,""),
_xlpm.MyAuditVal,_xlfn.XLOOKUP($A106,My_Audit!$A:$A,My_Audit!O:O,""),
_xlfn.IFS(_xlpm.MyAuditVal&lt;&gt;"",UPPER(_xlpm.MyAuditVal),_xlpm.MacVal&lt;&gt;"",_xlpm.MacVal,_xlpm.CSVVal&lt;&gt;"",_xlpm.CSVVal
)),"")</f>
        <v/>
      </c>
      <c r="O106" s="46" t="str">
        <f>_xlfn.XLOOKUP(C106,My_Audit!B:B,My_Audit!P:P,"")&amp;""</f>
        <v/>
      </c>
      <c r="P106" s="45"/>
      <c r="Q106" s="46" t="str">
        <f>IF(LEFT(N106,4)="Pass","Nist SP 800-88",My_Audit!R106)&amp;""</f>
        <v/>
      </c>
      <c r="R106" s="45"/>
      <c r="S106" s="45"/>
      <c r="T106" s="46" t="str">
        <f>_xlfn.XLOOKUP(E106,Models!I:I,Models!J:J,"")</f>
        <v/>
      </c>
      <c r="U106" s="45"/>
      <c r="V106" s="45"/>
      <c r="W106" s="38" t="str">
        <f>_xlfn.LET(
    _xlpm.MacVal, _xlfn.XLOOKUP($A106, Output_Mac!$A:$A, Output_Mac!AB:AB, ""),
    _xlpm.MyAuditVal, _xlfn.XLOOKUP($A106, My_Audit!$A:$A, My_Audit!L:L, ""),
    _xlfn.TEXTJOIN(", ", TRUE, _xlpm.MyAuditVal, _xlpm.MacVal)
)</f>
        <v/>
      </c>
    </row>
    <row r="107" spans="1:23">
      <c r="A107" s="45" t="str">
        <f>_xlfn.TEXTJOIN("",TRUE,Input!$B$2,ROW(My_Audit!A106))</f>
        <v>XX106</v>
      </c>
      <c r="B107" s="45" t="str">
        <f>_xlfn.TEXTJOIN("-",TRUE,"ITD",Input!$A$2,A107)</f>
        <v>ITD-SHRXXX-XX106</v>
      </c>
      <c r="C107" s="45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46" t="str" cm="1">
        <f t="array" ref="D107">IFERROR(_xlfn.LET(
_xlpm.CSVVal,_xlfn.XLOOKUP($A107,CSV!$A:$A,CSV!C:C,""),
_xlpm.MacVal,_xlfn.XLOOKUP($A107,Output_Mac!$A:$A,Output_Mac!D:D,""),
_xlpm.MyAuditVal,_xlfn.XLOOKUP($A107,My_Audit!$A:$A,My_Audit!C:C,""),
_xlfn.IFS(_xlpm.MyAuditVal&lt;&gt;"",UPPER(_xlpm.MyAuditVal),_xlpm.MacVal&lt;&gt;"",_xlpm.MacVal,_xlpm.CSVVal&lt;&gt;"",_xlpm.CSVVal
)),"")</f>
        <v/>
      </c>
      <c r="E107" s="46" t="str" cm="1">
        <f t="array" ref="E107">IFERROR(_xlfn.LET(
_xlpm.CSVVal,_xlfn.XLOOKUP($A107,CSV!$A:$A,CSV!E:E,""),
_xlpm.MacVal,_xlfn.XLOOKUP($A107,Output_Mac!$A:$A,Output_Mac!C:C,""),
_xlpm.MyAuditVal,_xlfn.XLOOKUP($A107,My_Audit!$A:$A,My_Audit!D:D,""),
_xlfn.IFS(_xlpm.MyAuditVal&lt;&gt;"",_xlpm.MyAuditVal,_xlpm.MacVal&lt;&gt;"",_xlpm.MacVal,_xlpm.CSVVal&lt;&gt;"",_xlpm.CSVVal
)),"")</f>
        <v/>
      </c>
      <c r="F107" s="45" t="str" cm="1">
        <f t="array" ref="F107">IFERROR(_xlfn.LET(
_xlpm.CSVVal,_xlfn.XLOOKUP($A107,CSV!$A:$A,CSV!F:F,""),
_xlpm.MacVal,_xlfn.XLOOKUP($A107,Output_Mac!$A:$A,Output_Mac!F:F,""),
_xlpm.MyAuditVal,_xlfn.XLOOKUP($A107,My_Audit!$A:$A,My_Audit!E:E,""),
_xlfn.IFS(_xlpm.MyAuditVal&lt;&gt;"",_xlpm.MyAuditVal,_xlpm.MacVal&lt;&gt;"",_xlpm.MacVal,_xlpm.CSVVal&lt;&gt;"",PROPER(_xlpm.CSVVal)
)),"")</f>
        <v/>
      </c>
      <c r="G107" s="45" t="str" cm="1">
        <f t="array" ref="G107">IFERROR(_xlfn.LET(
_xlpm.CSVVal,_xlfn.XLOOKUP($A107,CSV!$A:$A,CSV!G:G,""),
_xlpm.MacVal,_xlfn.XLOOKUP($A107,Output_Mac!$A:$A,Output_Mac!H:H,""),
_xlpm.MyAuditVal,_xlfn.XLOOKUP($A107,My_Audit!$A:$A,My_Audit!F:F,""),
_xlfn.IFS(_xlpm.MyAuditVal&lt;&gt;"",_xlpm.MyAuditVal,_xlpm.MacVal&lt;&gt;"",_xlpm.MacVal,_xlpm.CSVVal&lt;&gt;"",_xlpm.CSVVal
)),"")</f>
        <v/>
      </c>
      <c r="H107" s="45" t="str">
        <f>_xlfn.XLOOKUP(A107,Output_Mac!A:A,Output_Mac!I:I,"")</f>
        <v/>
      </c>
      <c r="I107" s="45" t="str" cm="1">
        <f t="array" ref="I107">IFERROR(_xlfn.LET(
_xlpm.CSVVal,_xlfn.XLOOKUP($A107,CSV!$A:$A,CSV!H:H,""),
_xlpm.MacVal,_xlfn.XLOOKUP($A107,Output_Mac!$A:$A,Output_Mac!J:J,""),
_xlpm.MyAuditVal,_xlfn.XLOOKUP($A107,My_Audit!$A:$A,My_Audit!H:H,""),
_xlfn.IFS(_xlpm.MyAuditVal&lt;&gt;"",UPPER(_xlpm.MyAuditVal),_xlpm.MacVal&lt;&gt;"",_xlpm.MacVal,_xlpm.CSVVal&lt;&gt;"",_xlpm.CSVVal
)),"")</f>
        <v/>
      </c>
      <c r="J107" s="45" t="str" cm="1">
        <f t="array" ref="J107">IFERROR(_xlfn.LET(
_xlpm.CSVVal,_xlfn.XLOOKUP($A107,CSV!$A:$A,CSV!J:J,""),
_xlpm.MacVal,_xlfn.XLOOKUP($A107,Output_Mac!$A:$A,Output_Mac!K:K,""),
_xlpm.MyAuditVal,_xlfn.XLOOKUP($A107,My_Audit!$A:$A,My_Audit!I:I,""),
_xlfn.IFS(_xlpm.MyAuditVal&lt;&gt;"",UPPER(_xlpm.MyAuditVal),_xlpm.MacVal&lt;&gt;"",_xlpm.MacVal,_xlpm.CSVVal&lt;&gt;"",_xlpm.CSVVal
)),"")</f>
        <v/>
      </c>
      <c r="K107" s="45" t="str" cm="1">
        <f t="array" ref="K107">IFERROR(_xlfn.LET(
_xlpm.CSVVal,_xlfn.XLOOKUP($A107,CSV!$A:$A,CSV!N:N,""),
_xlpm.MacVal,_xlfn.XLOOKUP($A107,Output_Mac!$A:$A,Output_Mac!L:L,""),
_xlpm.MyAuditVal,_xlfn.XLOOKUP($A107,My_Audit!$A:$A,My_Audit!J:J,""),
_xlfn.IFS(_xlpm.MyAuditVal&lt;&gt;"",UPPER(_xlpm.MyAuditVal),_xlpm.MacVal&lt;&gt;"",_xlpm.MacVal,_xlpm.CSVVal&lt;&gt;"",_xlpm.CSVVal
)),"")</f>
        <v/>
      </c>
      <c r="L107" s="46" t="str" cm="1">
        <f t="array" ref="L107">IFERROR(_xlfn.LET(
_xlpm.CSVVal,_xlfn.XLOOKUP($A107,CSV!$A:$A,CSV!Q:Q,""),
_xlpm.MacVal,_xlfn.XLOOKUP($A107,Output_Mac!$A:$A,Output_Mac!M:M,""),
_xlpm.MyAuditVal,_xlfn.XLOOKUP($A107,My_Audit!$A:$A,My_Audit!K:K,""),
_xlfn.IFS(_xlpm.MyAuditVal&lt;&gt;"",UPPER(_xlpm.MyAuditVal),_xlpm.MacVal&lt;&gt;"",_xlpm.MacVal,_xlpm.CSVVal&lt;&gt;"",_xlpm.CSVVal
)),"")</f>
        <v/>
      </c>
      <c r="M107" s="45" t="str">
        <f>_xlfn.LET(
    _xlpm.CSVVal, _xlfn.XLOOKUP($A107, CSV!$A:$A, CSV!AE:AE, ""),
    _xlpm.MacVal, _xlfn.XLOOKUP($A107, Output_Mac!$A:$A, Output_Mac!S:S, ""),
    _xlpm.MyAuditVal, _xlfn.XLOOKUP($A107, My_Audit!$A:$A, My_Audit!N:N, ""),
    _xlfn.TEXTJOIN(", ", TRUE, _xlpm.MyAuditVal, _xlpm.MacVal, _xlpm.CSVVal)
)</f>
        <v/>
      </c>
      <c r="N107" s="45" t="str" cm="1">
        <f t="array" ref="N107">IFERROR(_xlfn.LET(
_xlpm.CSVVal,_xlfn.XLOOKUP($A107,CSV!$A:$A,CSV!AG:AG,""),
_xlpm.MacVal,_xlfn.XLOOKUP($A107,Output_Mac!$A:$A,Output_Mac!U:U,""),
_xlpm.MyAuditVal,_xlfn.XLOOKUP($A107,My_Audit!$A:$A,My_Audit!O:O,""),
_xlfn.IFS(_xlpm.MyAuditVal&lt;&gt;"",UPPER(_xlpm.MyAuditVal),_xlpm.MacVal&lt;&gt;"",_xlpm.MacVal,_xlpm.CSVVal&lt;&gt;"",_xlpm.CSVVal
)),"")</f>
        <v/>
      </c>
      <c r="O107" s="46" t="str">
        <f>_xlfn.XLOOKUP(C107,My_Audit!B:B,My_Audit!P:P,"")&amp;""</f>
        <v/>
      </c>
      <c r="P107" s="45"/>
      <c r="Q107" s="46" t="str">
        <f>IF(LEFT(N107,4)="Pass","Nist SP 800-88",My_Audit!R107)&amp;""</f>
        <v/>
      </c>
      <c r="R107" s="45"/>
      <c r="S107" s="45"/>
      <c r="T107" s="46" t="str">
        <f>_xlfn.XLOOKUP(E107,Models!I:I,Models!J:J,"")</f>
        <v/>
      </c>
      <c r="U107" s="45"/>
      <c r="V107" s="45"/>
      <c r="W107" s="38" t="str">
        <f>_xlfn.LET(
    _xlpm.MacVal, _xlfn.XLOOKUP($A107, Output_Mac!$A:$A, Output_Mac!AB:AB, ""),
    _xlpm.MyAuditVal, _xlfn.XLOOKUP($A107, My_Audit!$A:$A, My_Audit!L:L, ""),
    _xlfn.TEXTJOIN(", ", TRUE, _xlpm.MyAuditVal, _xlpm.MacVal)
)</f>
        <v/>
      </c>
    </row>
    <row r="108" spans="1:23">
      <c r="A108" s="45" t="str">
        <f>_xlfn.TEXTJOIN("",TRUE,Input!$B$2,ROW(My_Audit!A107))</f>
        <v>XX107</v>
      </c>
      <c r="B108" s="45" t="str">
        <f>_xlfn.TEXTJOIN("-",TRUE,"ITD",Input!$A$2,A108)</f>
        <v>ITD-SHRXXX-XX107</v>
      </c>
      <c r="C108" s="45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46" t="str" cm="1">
        <f t="array" ref="D108">IFERROR(_xlfn.LET(
_xlpm.CSVVal,_xlfn.XLOOKUP($A108,CSV!$A:$A,CSV!C:C,""),
_xlpm.MacVal,_xlfn.XLOOKUP($A108,Output_Mac!$A:$A,Output_Mac!D:D,""),
_xlpm.MyAuditVal,_xlfn.XLOOKUP($A108,My_Audit!$A:$A,My_Audit!C:C,""),
_xlfn.IFS(_xlpm.MyAuditVal&lt;&gt;"",UPPER(_xlpm.MyAuditVal),_xlpm.MacVal&lt;&gt;"",_xlpm.MacVal,_xlpm.CSVVal&lt;&gt;"",_xlpm.CSVVal
)),"")</f>
        <v/>
      </c>
      <c r="E108" s="46" t="str" cm="1">
        <f t="array" ref="E108">IFERROR(_xlfn.LET(
_xlpm.CSVVal,_xlfn.XLOOKUP($A108,CSV!$A:$A,CSV!E:E,""),
_xlpm.MacVal,_xlfn.XLOOKUP($A108,Output_Mac!$A:$A,Output_Mac!C:C,""),
_xlpm.MyAuditVal,_xlfn.XLOOKUP($A108,My_Audit!$A:$A,My_Audit!D:D,""),
_xlfn.IFS(_xlpm.MyAuditVal&lt;&gt;"",_xlpm.MyAuditVal,_xlpm.MacVal&lt;&gt;"",_xlpm.MacVal,_xlpm.CSVVal&lt;&gt;"",_xlpm.CSVVal
)),"")</f>
        <v/>
      </c>
      <c r="F108" s="45" t="str" cm="1">
        <f t="array" ref="F108">IFERROR(_xlfn.LET(
_xlpm.CSVVal,_xlfn.XLOOKUP($A108,CSV!$A:$A,CSV!F:F,""),
_xlpm.MacVal,_xlfn.XLOOKUP($A108,Output_Mac!$A:$A,Output_Mac!F:F,""),
_xlpm.MyAuditVal,_xlfn.XLOOKUP($A108,My_Audit!$A:$A,My_Audit!E:E,""),
_xlfn.IFS(_xlpm.MyAuditVal&lt;&gt;"",_xlpm.MyAuditVal,_xlpm.MacVal&lt;&gt;"",_xlpm.MacVal,_xlpm.CSVVal&lt;&gt;"",PROPER(_xlpm.CSVVal)
)),"")</f>
        <v/>
      </c>
      <c r="G108" s="45" t="str" cm="1">
        <f t="array" ref="G108">IFERROR(_xlfn.LET(
_xlpm.CSVVal,_xlfn.XLOOKUP($A108,CSV!$A:$A,CSV!G:G,""),
_xlpm.MacVal,_xlfn.XLOOKUP($A108,Output_Mac!$A:$A,Output_Mac!H:H,""),
_xlpm.MyAuditVal,_xlfn.XLOOKUP($A108,My_Audit!$A:$A,My_Audit!F:F,""),
_xlfn.IFS(_xlpm.MyAuditVal&lt;&gt;"",_xlpm.MyAuditVal,_xlpm.MacVal&lt;&gt;"",_xlpm.MacVal,_xlpm.CSVVal&lt;&gt;"",_xlpm.CSVVal
)),"")</f>
        <v/>
      </c>
      <c r="H108" s="45" t="str">
        <f>_xlfn.XLOOKUP(A108,Output_Mac!A:A,Output_Mac!I:I,"")</f>
        <v/>
      </c>
      <c r="I108" s="45" t="str" cm="1">
        <f t="array" ref="I108">IFERROR(_xlfn.LET(
_xlpm.CSVVal,_xlfn.XLOOKUP($A108,CSV!$A:$A,CSV!H:H,""),
_xlpm.MacVal,_xlfn.XLOOKUP($A108,Output_Mac!$A:$A,Output_Mac!J:J,""),
_xlpm.MyAuditVal,_xlfn.XLOOKUP($A108,My_Audit!$A:$A,My_Audit!H:H,""),
_xlfn.IFS(_xlpm.MyAuditVal&lt;&gt;"",UPPER(_xlpm.MyAuditVal),_xlpm.MacVal&lt;&gt;"",_xlpm.MacVal,_xlpm.CSVVal&lt;&gt;"",_xlpm.CSVVal
)),"")</f>
        <v/>
      </c>
      <c r="J108" s="45" t="str" cm="1">
        <f t="array" ref="J108">IFERROR(_xlfn.LET(
_xlpm.CSVVal,_xlfn.XLOOKUP($A108,CSV!$A:$A,CSV!J:J,""),
_xlpm.MacVal,_xlfn.XLOOKUP($A108,Output_Mac!$A:$A,Output_Mac!K:K,""),
_xlpm.MyAuditVal,_xlfn.XLOOKUP($A108,My_Audit!$A:$A,My_Audit!I:I,""),
_xlfn.IFS(_xlpm.MyAuditVal&lt;&gt;"",UPPER(_xlpm.MyAuditVal),_xlpm.MacVal&lt;&gt;"",_xlpm.MacVal,_xlpm.CSVVal&lt;&gt;"",_xlpm.CSVVal
)),"")</f>
        <v/>
      </c>
      <c r="K108" s="45" t="str" cm="1">
        <f t="array" ref="K108">IFERROR(_xlfn.LET(
_xlpm.CSVVal,_xlfn.XLOOKUP($A108,CSV!$A:$A,CSV!N:N,""),
_xlpm.MacVal,_xlfn.XLOOKUP($A108,Output_Mac!$A:$A,Output_Mac!L:L,""),
_xlpm.MyAuditVal,_xlfn.XLOOKUP($A108,My_Audit!$A:$A,My_Audit!J:J,""),
_xlfn.IFS(_xlpm.MyAuditVal&lt;&gt;"",UPPER(_xlpm.MyAuditVal),_xlpm.MacVal&lt;&gt;"",_xlpm.MacVal,_xlpm.CSVVal&lt;&gt;"",_xlpm.CSVVal
)),"")</f>
        <v/>
      </c>
      <c r="L108" s="46" t="str" cm="1">
        <f t="array" ref="L108">IFERROR(_xlfn.LET(
_xlpm.CSVVal,_xlfn.XLOOKUP($A108,CSV!$A:$A,CSV!Q:Q,""),
_xlpm.MacVal,_xlfn.XLOOKUP($A108,Output_Mac!$A:$A,Output_Mac!M:M,""),
_xlpm.MyAuditVal,_xlfn.XLOOKUP($A108,My_Audit!$A:$A,My_Audit!K:K,""),
_xlfn.IFS(_xlpm.MyAuditVal&lt;&gt;"",UPPER(_xlpm.MyAuditVal),_xlpm.MacVal&lt;&gt;"",_xlpm.MacVal,_xlpm.CSVVal&lt;&gt;"",_xlpm.CSVVal
)),"")</f>
        <v/>
      </c>
      <c r="M108" s="45" t="str">
        <f>_xlfn.LET(
    _xlpm.CSVVal, _xlfn.XLOOKUP($A108, CSV!$A:$A, CSV!AE:AE, ""),
    _xlpm.MacVal, _xlfn.XLOOKUP($A108, Output_Mac!$A:$A, Output_Mac!S:S, ""),
    _xlpm.MyAuditVal, _xlfn.XLOOKUP($A108, My_Audit!$A:$A, My_Audit!N:N, ""),
    _xlfn.TEXTJOIN(", ", TRUE, _xlpm.MyAuditVal, _xlpm.MacVal, _xlpm.CSVVal)
)</f>
        <v/>
      </c>
      <c r="N108" s="45" t="str" cm="1">
        <f t="array" ref="N108">IFERROR(_xlfn.LET(
_xlpm.CSVVal,_xlfn.XLOOKUP($A108,CSV!$A:$A,CSV!AG:AG,""),
_xlpm.MacVal,_xlfn.XLOOKUP($A108,Output_Mac!$A:$A,Output_Mac!U:U,""),
_xlpm.MyAuditVal,_xlfn.XLOOKUP($A108,My_Audit!$A:$A,My_Audit!O:O,""),
_xlfn.IFS(_xlpm.MyAuditVal&lt;&gt;"",UPPER(_xlpm.MyAuditVal),_xlpm.MacVal&lt;&gt;"",_xlpm.MacVal,_xlpm.CSVVal&lt;&gt;"",_xlpm.CSVVal
)),"")</f>
        <v/>
      </c>
      <c r="O108" s="46" t="str">
        <f>_xlfn.XLOOKUP(C108,My_Audit!B:B,My_Audit!P:P,"")&amp;""</f>
        <v/>
      </c>
      <c r="P108" s="45"/>
      <c r="Q108" s="46" t="str">
        <f>IF(LEFT(N108,4)="Pass","Nist SP 800-88",My_Audit!R108)&amp;""</f>
        <v/>
      </c>
      <c r="R108" s="45"/>
      <c r="S108" s="45"/>
      <c r="T108" s="46" t="str">
        <f>_xlfn.XLOOKUP(E108,Models!I:I,Models!J:J,"")</f>
        <v/>
      </c>
      <c r="U108" s="45"/>
      <c r="V108" s="45"/>
      <c r="W108" s="38" t="str">
        <f>_xlfn.LET(
    _xlpm.MacVal, _xlfn.XLOOKUP($A108, Output_Mac!$A:$A, Output_Mac!AB:AB, ""),
    _xlpm.MyAuditVal, _xlfn.XLOOKUP($A108, My_Audit!$A:$A, My_Audit!L:L, ""),
    _xlfn.TEXTJOIN(", ", TRUE, _xlpm.MyAuditVal, _xlpm.MacVal)
)</f>
        <v/>
      </c>
    </row>
    <row r="109" spans="1:23">
      <c r="A109" s="45" t="str">
        <f>_xlfn.TEXTJOIN("",TRUE,Input!$B$2,ROW(My_Audit!A108))</f>
        <v>XX108</v>
      </c>
      <c r="B109" s="45" t="str">
        <f>_xlfn.TEXTJOIN("-",TRUE,"ITD",Input!$A$2,A109)</f>
        <v>ITD-SHRXXX-XX108</v>
      </c>
      <c r="C109" s="45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46" t="str" cm="1">
        <f t="array" ref="D109">IFERROR(_xlfn.LET(
_xlpm.CSVVal,_xlfn.XLOOKUP($A109,CSV!$A:$A,CSV!C:C,""),
_xlpm.MacVal,_xlfn.XLOOKUP($A109,Output_Mac!$A:$A,Output_Mac!D:D,""),
_xlpm.MyAuditVal,_xlfn.XLOOKUP($A109,My_Audit!$A:$A,My_Audit!C:C,""),
_xlfn.IFS(_xlpm.MyAuditVal&lt;&gt;"",UPPER(_xlpm.MyAuditVal),_xlpm.MacVal&lt;&gt;"",_xlpm.MacVal,_xlpm.CSVVal&lt;&gt;"",_xlpm.CSVVal
)),"")</f>
        <v/>
      </c>
      <c r="E109" s="46" t="str" cm="1">
        <f t="array" ref="E109">IFERROR(_xlfn.LET(
_xlpm.CSVVal,_xlfn.XLOOKUP($A109,CSV!$A:$A,CSV!E:E,""),
_xlpm.MacVal,_xlfn.XLOOKUP($A109,Output_Mac!$A:$A,Output_Mac!C:C,""),
_xlpm.MyAuditVal,_xlfn.XLOOKUP($A109,My_Audit!$A:$A,My_Audit!D:D,""),
_xlfn.IFS(_xlpm.MyAuditVal&lt;&gt;"",_xlpm.MyAuditVal,_xlpm.MacVal&lt;&gt;"",_xlpm.MacVal,_xlpm.CSVVal&lt;&gt;"",_xlpm.CSVVal
)),"")</f>
        <v/>
      </c>
      <c r="F109" s="45" t="str" cm="1">
        <f t="array" ref="F109">IFERROR(_xlfn.LET(
_xlpm.CSVVal,_xlfn.XLOOKUP($A109,CSV!$A:$A,CSV!F:F,""),
_xlpm.MacVal,_xlfn.XLOOKUP($A109,Output_Mac!$A:$A,Output_Mac!F:F,""),
_xlpm.MyAuditVal,_xlfn.XLOOKUP($A109,My_Audit!$A:$A,My_Audit!E:E,""),
_xlfn.IFS(_xlpm.MyAuditVal&lt;&gt;"",_xlpm.MyAuditVal,_xlpm.MacVal&lt;&gt;"",_xlpm.MacVal,_xlpm.CSVVal&lt;&gt;"",PROPER(_xlpm.CSVVal)
)),"")</f>
        <v/>
      </c>
      <c r="G109" s="45" t="str" cm="1">
        <f t="array" ref="G109">IFERROR(_xlfn.LET(
_xlpm.CSVVal,_xlfn.XLOOKUP($A109,CSV!$A:$A,CSV!G:G,""),
_xlpm.MacVal,_xlfn.XLOOKUP($A109,Output_Mac!$A:$A,Output_Mac!H:H,""),
_xlpm.MyAuditVal,_xlfn.XLOOKUP($A109,My_Audit!$A:$A,My_Audit!F:F,""),
_xlfn.IFS(_xlpm.MyAuditVal&lt;&gt;"",_xlpm.MyAuditVal,_xlpm.MacVal&lt;&gt;"",_xlpm.MacVal,_xlpm.CSVVal&lt;&gt;"",_xlpm.CSVVal
)),"")</f>
        <v/>
      </c>
      <c r="H109" s="45" t="str">
        <f>_xlfn.XLOOKUP(A109,Output_Mac!A:A,Output_Mac!I:I,"")</f>
        <v/>
      </c>
      <c r="I109" s="45" t="str" cm="1">
        <f t="array" ref="I109">IFERROR(_xlfn.LET(
_xlpm.CSVVal,_xlfn.XLOOKUP($A109,CSV!$A:$A,CSV!H:H,""),
_xlpm.MacVal,_xlfn.XLOOKUP($A109,Output_Mac!$A:$A,Output_Mac!J:J,""),
_xlpm.MyAuditVal,_xlfn.XLOOKUP($A109,My_Audit!$A:$A,My_Audit!H:H,""),
_xlfn.IFS(_xlpm.MyAuditVal&lt;&gt;"",UPPER(_xlpm.MyAuditVal),_xlpm.MacVal&lt;&gt;"",_xlpm.MacVal,_xlpm.CSVVal&lt;&gt;"",_xlpm.CSVVal
)),"")</f>
        <v/>
      </c>
      <c r="J109" s="45" t="str" cm="1">
        <f t="array" ref="J109">IFERROR(_xlfn.LET(
_xlpm.CSVVal,_xlfn.XLOOKUP($A109,CSV!$A:$A,CSV!J:J,""),
_xlpm.MacVal,_xlfn.XLOOKUP($A109,Output_Mac!$A:$A,Output_Mac!K:K,""),
_xlpm.MyAuditVal,_xlfn.XLOOKUP($A109,My_Audit!$A:$A,My_Audit!I:I,""),
_xlfn.IFS(_xlpm.MyAuditVal&lt;&gt;"",UPPER(_xlpm.MyAuditVal),_xlpm.MacVal&lt;&gt;"",_xlpm.MacVal,_xlpm.CSVVal&lt;&gt;"",_xlpm.CSVVal
)),"")</f>
        <v/>
      </c>
      <c r="K109" s="45" t="str" cm="1">
        <f t="array" ref="K109">IFERROR(_xlfn.LET(
_xlpm.CSVVal,_xlfn.XLOOKUP($A109,CSV!$A:$A,CSV!N:N,""),
_xlpm.MacVal,_xlfn.XLOOKUP($A109,Output_Mac!$A:$A,Output_Mac!L:L,""),
_xlpm.MyAuditVal,_xlfn.XLOOKUP($A109,My_Audit!$A:$A,My_Audit!J:J,""),
_xlfn.IFS(_xlpm.MyAuditVal&lt;&gt;"",UPPER(_xlpm.MyAuditVal),_xlpm.MacVal&lt;&gt;"",_xlpm.MacVal,_xlpm.CSVVal&lt;&gt;"",_xlpm.CSVVal
)),"")</f>
        <v/>
      </c>
      <c r="L109" s="46" t="str" cm="1">
        <f t="array" ref="L109">IFERROR(_xlfn.LET(
_xlpm.CSVVal,_xlfn.XLOOKUP($A109,CSV!$A:$A,CSV!Q:Q,""),
_xlpm.MacVal,_xlfn.XLOOKUP($A109,Output_Mac!$A:$A,Output_Mac!M:M,""),
_xlpm.MyAuditVal,_xlfn.XLOOKUP($A109,My_Audit!$A:$A,My_Audit!K:K,""),
_xlfn.IFS(_xlpm.MyAuditVal&lt;&gt;"",UPPER(_xlpm.MyAuditVal),_xlpm.MacVal&lt;&gt;"",_xlpm.MacVal,_xlpm.CSVVal&lt;&gt;"",_xlpm.CSVVal
)),"")</f>
        <v/>
      </c>
      <c r="M109" s="45" t="str">
        <f>_xlfn.LET(
    _xlpm.CSVVal, _xlfn.XLOOKUP($A109, CSV!$A:$A, CSV!AE:AE, ""),
    _xlpm.MacVal, _xlfn.XLOOKUP($A109, Output_Mac!$A:$A, Output_Mac!S:S, ""),
    _xlpm.MyAuditVal, _xlfn.XLOOKUP($A109, My_Audit!$A:$A, My_Audit!N:N, ""),
    _xlfn.TEXTJOIN(", ", TRUE, _xlpm.MyAuditVal, _xlpm.MacVal, _xlpm.CSVVal)
)</f>
        <v/>
      </c>
      <c r="N109" s="45" t="str" cm="1">
        <f t="array" ref="N109">IFERROR(_xlfn.LET(
_xlpm.CSVVal,_xlfn.XLOOKUP($A109,CSV!$A:$A,CSV!AG:AG,""),
_xlpm.MacVal,_xlfn.XLOOKUP($A109,Output_Mac!$A:$A,Output_Mac!U:U,""),
_xlpm.MyAuditVal,_xlfn.XLOOKUP($A109,My_Audit!$A:$A,My_Audit!O:O,""),
_xlfn.IFS(_xlpm.MyAuditVal&lt;&gt;"",UPPER(_xlpm.MyAuditVal),_xlpm.MacVal&lt;&gt;"",_xlpm.MacVal,_xlpm.CSVVal&lt;&gt;"",_xlpm.CSVVal
)),"")</f>
        <v/>
      </c>
      <c r="O109" s="46" t="str">
        <f>_xlfn.XLOOKUP(C109,My_Audit!B:B,My_Audit!P:P,"")&amp;""</f>
        <v/>
      </c>
      <c r="P109" s="45"/>
      <c r="Q109" s="46" t="str">
        <f>IF(LEFT(N109,4)="Pass","Nist SP 800-88",My_Audit!R109)&amp;""</f>
        <v/>
      </c>
      <c r="R109" s="45"/>
      <c r="S109" s="45"/>
      <c r="T109" s="46" t="str">
        <f>_xlfn.XLOOKUP(E109,Models!I:I,Models!J:J,"")</f>
        <v/>
      </c>
      <c r="U109" s="45"/>
      <c r="V109" s="45"/>
      <c r="W109" s="38" t="str">
        <f>_xlfn.LET(
    _xlpm.MacVal, _xlfn.XLOOKUP($A109, Output_Mac!$A:$A, Output_Mac!AB:AB, ""),
    _xlpm.MyAuditVal, _xlfn.XLOOKUP($A109, My_Audit!$A:$A, My_Audit!L:L, ""),
    _xlfn.TEXTJOIN(", ", TRUE, _xlpm.MyAuditVal, _xlpm.MacVal)
)</f>
        <v/>
      </c>
    </row>
    <row r="110" spans="1:23">
      <c r="A110" s="45" t="str">
        <f>_xlfn.TEXTJOIN("",TRUE,Input!$B$2,ROW(My_Audit!A109))</f>
        <v>XX109</v>
      </c>
      <c r="B110" s="45" t="str">
        <f>_xlfn.TEXTJOIN("-",TRUE,"ITD",Input!$A$2,A110)</f>
        <v>ITD-SHRXXX-XX109</v>
      </c>
      <c r="C110" s="45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46" t="str" cm="1">
        <f t="array" ref="D110">IFERROR(_xlfn.LET(
_xlpm.CSVVal,_xlfn.XLOOKUP($A110,CSV!$A:$A,CSV!C:C,""),
_xlpm.MacVal,_xlfn.XLOOKUP($A110,Output_Mac!$A:$A,Output_Mac!D:D,""),
_xlpm.MyAuditVal,_xlfn.XLOOKUP($A110,My_Audit!$A:$A,My_Audit!C:C,""),
_xlfn.IFS(_xlpm.MyAuditVal&lt;&gt;"",UPPER(_xlpm.MyAuditVal),_xlpm.MacVal&lt;&gt;"",_xlpm.MacVal,_xlpm.CSVVal&lt;&gt;"",_xlpm.CSVVal
)),"")</f>
        <v/>
      </c>
      <c r="E110" s="46" t="str" cm="1">
        <f t="array" ref="E110">IFERROR(_xlfn.LET(
_xlpm.CSVVal,_xlfn.XLOOKUP($A110,CSV!$A:$A,CSV!E:E,""),
_xlpm.MacVal,_xlfn.XLOOKUP($A110,Output_Mac!$A:$A,Output_Mac!C:C,""),
_xlpm.MyAuditVal,_xlfn.XLOOKUP($A110,My_Audit!$A:$A,My_Audit!D:D,""),
_xlfn.IFS(_xlpm.MyAuditVal&lt;&gt;"",_xlpm.MyAuditVal,_xlpm.MacVal&lt;&gt;"",_xlpm.MacVal,_xlpm.CSVVal&lt;&gt;"",_xlpm.CSVVal
)),"")</f>
        <v/>
      </c>
      <c r="F110" s="45" t="str" cm="1">
        <f t="array" ref="F110">IFERROR(_xlfn.LET(
_xlpm.CSVVal,_xlfn.XLOOKUP($A110,CSV!$A:$A,CSV!F:F,""),
_xlpm.MacVal,_xlfn.XLOOKUP($A110,Output_Mac!$A:$A,Output_Mac!F:F,""),
_xlpm.MyAuditVal,_xlfn.XLOOKUP($A110,My_Audit!$A:$A,My_Audit!E:E,""),
_xlfn.IFS(_xlpm.MyAuditVal&lt;&gt;"",_xlpm.MyAuditVal,_xlpm.MacVal&lt;&gt;"",_xlpm.MacVal,_xlpm.CSVVal&lt;&gt;"",PROPER(_xlpm.CSVVal)
)),"")</f>
        <v/>
      </c>
      <c r="G110" s="45" t="str" cm="1">
        <f t="array" ref="G110">IFERROR(_xlfn.LET(
_xlpm.CSVVal,_xlfn.XLOOKUP($A110,CSV!$A:$A,CSV!G:G,""),
_xlpm.MacVal,_xlfn.XLOOKUP($A110,Output_Mac!$A:$A,Output_Mac!H:H,""),
_xlpm.MyAuditVal,_xlfn.XLOOKUP($A110,My_Audit!$A:$A,My_Audit!F:F,""),
_xlfn.IFS(_xlpm.MyAuditVal&lt;&gt;"",_xlpm.MyAuditVal,_xlpm.MacVal&lt;&gt;"",_xlpm.MacVal,_xlpm.CSVVal&lt;&gt;"",_xlpm.CSVVal
)),"")</f>
        <v/>
      </c>
      <c r="H110" s="45" t="str">
        <f>_xlfn.XLOOKUP(A110,Output_Mac!A:A,Output_Mac!I:I,"")</f>
        <v/>
      </c>
      <c r="I110" s="45" t="str" cm="1">
        <f t="array" ref="I110">IFERROR(_xlfn.LET(
_xlpm.CSVVal,_xlfn.XLOOKUP($A110,CSV!$A:$A,CSV!H:H,""),
_xlpm.MacVal,_xlfn.XLOOKUP($A110,Output_Mac!$A:$A,Output_Mac!J:J,""),
_xlpm.MyAuditVal,_xlfn.XLOOKUP($A110,My_Audit!$A:$A,My_Audit!H:H,""),
_xlfn.IFS(_xlpm.MyAuditVal&lt;&gt;"",UPPER(_xlpm.MyAuditVal),_xlpm.MacVal&lt;&gt;"",_xlpm.MacVal,_xlpm.CSVVal&lt;&gt;"",_xlpm.CSVVal
)),"")</f>
        <v/>
      </c>
      <c r="J110" s="45" t="str" cm="1">
        <f t="array" ref="J110">IFERROR(_xlfn.LET(
_xlpm.CSVVal,_xlfn.XLOOKUP($A110,CSV!$A:$A,CSV!J:J,""),
_xlpm.MacVal,_xlfn.XLOOKUP($A110,Output_Mac!$A:$A,Output_Mac!K:K,""),
_xlpm.MyAuditVal,_xlfn.XLOOKUP($A110,My_Audit!$A:$A,My_Audit!I:I,""),
_xlfn.IFS(_xlpm.MyAuditVal&lt;&gt;"",UPPER(_xlpm.MyAuditVal),_xlpm.MacVal&lt;&gt;"",_xlpm.MacVal,_xlpm.CSVVal&lt;&gt;"",_xlpm.CSVVal
)),"")</f>
        <v/>
      </c>
      <c r="K110" s="45" t="str" cm="1">
        <f t="array" ref="K110">IFERROR(_xlfn.LET(
_xlpm.CSVVal,_xlfn.XLOOKUP($A110,CSV!$A:$A,CSV!N:N,""),
_xlpm.MacVal,_xlfn.XLOOKUP($A110,Output_Mac!$A:$A,Output_Mac!L:L,""),
_xlpm.MyAuditVal,_xlfn.XLOOKUP($A110,My_Audit!$A:$A,My_Audit!J:J,""),
_xlfn.IFS(_xlpm.MyAuditVal&lt;&gt;"",UPPER(_xlpm.MyAuditVal),_xlpm.MacVal&lt;&gt;"",_xlpm.MacVal,_xlpm.CSVVal&lt;&gt;"",_xlpm.CSVVal
)),"")</f>
        <v/>
      </c>
      <c r="L110" s="46" t="str" cm="1">
        <f t="array" ref="L110">IFERROR(_xlfn.LET(
_xlpm.CSVVal,_xlfn.XLOOKUP($A110,CSV!$A:$A,CSV!Q:Q,""),
_xlpm.MacVal,_xlfn.XLOOKUP($A110,Output_Mac!$A:$A,Output_Mac!M:M,""),
_xlpm.MyAuditVal,_xlfn.XLOOKUP($A110,My_Audit!$A:$A,My_Audit!K:K,""),
_xlfn.IFS(_xlpm.MyAuditVal&lt;&gt;"",UPPER(_xlpm.MyAuditVal),_xlpm.MacVal&lt;&gt;"",_xlpm.MacVal,_xlpm.CSVVal&lt;&gt;"",_xlpm.CSVVal
)),"")</f>
        <v/>
      </c>
      <c r="M110" s="45" t="str">
        <f>_xlfn.LET(
    _xlpm.CSVVal, _xlfn.XLOOKUP($A110, CSV!$A:$A, CSV!AE:AE, ""),
    _xlpm.MacVal, _xlfn.XLOOKUP($A110, Output_Mac!$A:$A, Output_Mac!S:S, ""),
    _xlpm.MyAuditVal, _xlfn.XLOOKUP($A110, My_Audit!$A:$A, My_Audit!N:N, ""),
    _xlfn.TEXTJOIN(", ", TRUE, _xlpm.MyAuditVal, _xlpm.MacVal, _xlpm.CSVVal)
)</f>
        <v/>
      </c>
      <c r="N110" s="45" t="str" cm="1">
        <f t="array" ref="N110">IFERROR(_xlfn.LET(
_xlpm.CSVVal,_xlfn.XLOOKUP($A110,CSV!$A:$A,CSV!AG:AG,""),
_xlpm.MacVal,_xlfn.XLOOKUP($A110,Output_Mac!$A:$A,Output_Mac!U:U,""),
_xlpm.MyAuditVal,_xlfn.XLOOKUP($A110,My_Audit!$A:$A,My_Audit!O:O,""),
_xlfn.IFS(_xlpm.MyAuditVal&lt;&gt;"",UPPER(_xlpm.MyAuditVal),_xlpm.MacVal&lt;&gt;"",_xlpm.MacVal,_xlpm.CSVVal&lt;&gt;"",_xlpm.CSVVal
)),"")</f>
        <v/>
      </c>
      <c r="O110" s="46" t="str">
        <f>_xlfn.XLOOKUP(C110,My_Audit!B:B,My_Audit!P:P,"")&amp;""</f>
        <v/>
      </c>
      <c r="P110" s="45"/>
      <c r="Q110" s="46" t="str">
        <f>IF(LEFT(N110,4)="Pass","Nist SP 800-88",My_Audit!R110)&amp;""</f>
        <v/>
      </c>
      <c r="R110" s="45"/>
      <c r="S110" s="45"/>
      <c r="T110" s="46" t="str">
        <f>_xlfn.XLOOKUP(E110,Models!I:I,Models!J:J,"")</f>
        <v/>
      </c>
      <c r="U110" s="45"/>
      <c r="V110" s="45"/>
      <c r="W110" s="38" t="str">
        <f>_xlfn.LET(
    _xlpm.MacVal, _xlfn.XLOOKUP($A110, Output_Mac!$A:$A, Output_Mac!AB:AB, ""),
    _xlpm.MyAuditVal, _xlfn.XLOOKUP($A110, My_Audit!$A:$A, My_Audit!L:L, ""),
    _xlfn.TEXTJOIN(", ", TRUE, _xlpm.MyAuditVal, _xlpm.MacVal)
)</f>
        <v/>
      </c>
    </row>
    <row r="111" spans="1:23">
      <c r="A111" s="45" t="str">
        <f>_xlfn.TEXTJOIN("",TRUE,Input!$B$2,ROW(My_Audit!A110))</f>
        <v>XX110</v>
      </c>
      <c r="B111" s="45" t="str">
        <f>_xlfn.TEXTJOIN("-",TRUE,"ITD",Input!$A$2,A111)</f>
        <v>ITD-SHRXXX-XX110</v>
      </c>
      <c r="C111" s="45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46" t="str" cm="1">
        <f t="array" ref="D111">IFERROR(_xlfn.LET(
_xlpm.CSVVal,_xlfn.XLOOKUP($A111,CSV!$A:$A,CSV!C:C,""),
_xlpm.MacVal,_xlfn.XLOOKUP($A111,Output_Mac!$A:$A,Output_Mac!D:D,""),
_xlpm.MyAuditVal,_xlfn.XLOOKUP($A111,My_Audit!$A:$A,My_Audit!C:C,""),
_xlfn.IFS(_xlpm.MyAuditVal&lt;&gt;"",UPPER(_xlpm.MyAuditVal),_xlpm.MacVal&lt;&gt;"",_xlpm.MacVal,_xlpm.CSVVal&lt;&gt;"",_xlpm.CSVVal
)),"")</f>
        <v/>
      </c>
      <c r="E111" s="46" t="str" cm="1">
        <f t="array" ref="E111">IFERROR(_xlfn.LET(
_xlpm.CSVVal,_xlfn.XLOOKUP($A111,CSV!$A:$A,CSV!E:E,""),
_xlpm.MacVal,_xlfn.XLOOKUP($A111,Output_Mac!$A:$A,Output_Mac!C:C,""),
_xlpm.MyAuditVal,_xlfn.XLOOKUP($A111,My_Audit!$A:$A,My_Audit!D:D,""),
_xlfn.IFS(_xlpm.MyAuditVal&lt;&gt;"",_xlpm.MyAuditVal,_xlpm.MacVal&lt;&gt;"",_xlpm.MacVal,_xlpm.CSVVal&lt;&gt;"",_xlpm.CSVVal
)),"")</f>
        <v/>
      </c>
      <c r="F111" s="45" t="str" cm="1">
        <f t="array" ref="F111">IFERROR(_xlfn.LET(
_xlpm.CSVVal,_xlfn.XLOOKUP($A111,CSV!$A:$A,CSV!F:F,""),
_xlpm.MacVal,_xlfn.XLOOKUP($A111,Output_Mac!$A:$A,Output_Mac!F:F,""),
_xlpm.MyAuditVal,_xlfn.XLOOKUP($A111,My_Audit!$A:$A,My_Audit!E:E,""),
_xlfn.IFS(_xlpm.MyAuditVal&lt;&gt;"",_xlpm.MyAuditVal,_xlpm.MacVal&lt;&gt;"",_xlpm.MacVal,_xlpm.CSVVal&lt;&gt;"",PROPER(_xlpm.CSVVal)
)),"")</f>
        <v/>
      </c>
      <c r="G111" s="45" t="str" cm="1">
        <f t="array" ref="G111">IFERROR(_xlfn.LET(
_xlpm.CSVVal,_xlfn.XLOOKUP($A111,CSV!$A:$A,CSV!G:G,""),
_xlpm.MacVal,_xlfn.XLOOKUP($A111,Output_Mac!$A:$A,Output_Mac!H:H,""),
_xlpm.MyAuditVal,_xlfn.XLOOKUP($A111,My_Audit!$A:$A,My_Audit!F:F,""),
_xlfn.IFS(_xlpm.MyAuditVal&lt;&gt;"",_xlpm.MyAuditVal,_xlpm.MacVal&lt;&gt;"",_xlpm.MacVal,_xlpm.CSVVal&lt;&gt;"",_xlpm.CSVVal
)),"")</f>
        <v/>
      </c>
      <c r="H111" s="45" t="str">
        <f>_xlfn.XLOOKUP(A111,Output_Mac!A:A,Output_Mac!I:I,"")</f>
        <v/>
      </c>
      <c r="I111" s="45" t="str" cm="1">
        <f t="array" ref="I111">IFERROR(_xlfn.LET(
_xlpm.CSVVal,_xlfn.XLOOKUP($A111,CSV!$A:$A,CSV!H:H,""),
_xlpm.MacVal,_xlfn.XLOOKUP($A111,Output_Mac!$A:$A,Output_Mac!J:J,""),
_xlpm.MyAuditVal,_xlfn.XLOOKUP($A111,My_Audit!$A:$A,My_Audit!H:H,""),
_xlfn.IFS(_xlpm.MyAuditVal&lt;&gt;"",UPPER(_xlpm.MyAuditVal),_xlpm.MacVal&lt;&gt;"",_xlpm.MacVal,_xlpm.CSVVal&lt;&gt;"",_xlpm.CSVVal
)),"")</f>
        <v/>
      </c>
      <c r="J111" s="45" t="str" cm="1">
        <f t="array" ref="J111">IFERROR(_xlfn.LET(
_xlpm.CSVVal,_xlfn.XLOOKUP($A111,CSV!$A:$A,CSV!J:J,""),
_xlpm.MacVal,_xlfn.XLOOKUP($A111,Output_Mac!$A:$A,Output_Mac!K:K,""),
_xlpm.MyAuditVal,_xlfn.XLOOKUP($A111,My_Audit!$A:$A,My_Audit!I:I,""),
_xlfn.IFS(_xlpm.MyAuditVal&lt;&gt;"",UPPER(_xlpm.MyAuditVal),_xlpm.MacVal&lt;&gt;"",_xlpm.MacVal,_xlpm.CSVVal&lt;&gt;"",_xlpm.CSVVal
)),"")</f>
        <v/>
      </c>
      <c r="K111" s="45" t="str" cm="1">
        <f t="array" ref="K111">IFERROR(_xlfn.LET(
_xlpm.CSVVal,_xlfn.XLOOKUP($A111,CSV!$A:$A,CSV!N:N,""),
_xlpm.MacVal,_xlfn.XLOOKUP($A111,Output_Mac!$A:$A,Output_Mac!L:L,""),
_xlpm.MyAuditVal,_xlfn.XLOOKUP($A111,My_Audit!$A:$A,My_Audit!J:J,""),
_xlfn.IFS(_xlpm.MyAuditVal&lt;&gt;"",UPPER(_xlpm.MyAuditVal),_xlpm.MacVal&lt;&gt;"",_xlpm.MacVal,_xlpm.CSVVal&lt;&gt;"",_xlpm.CSVVal
)),"")</f>
        <v/>
      </c>
      <c r="L111" s="46" t="str" cm="1">
        <f t="array" ref="L111">IFERROR(_xlfn.LET(
_xlpm.CSVVal,_xlfn.XLOOKUP($A111,CSV!$A:$A,CSV!Q:Q,""),
_xlpm.MacVal,_xlfn.XLOOKUP($A111,Output_Mac!$A:$A,Output_Mac!M:M,""),
_xlpm.MyAuditVal,_xlfn.XLOOKUP($A111,My_Audit!$A:$A,My_Audit!K:K,""),
_xlfn.IFS(_xlpm.MyAuditVal&lt;&gt;"",UPPER(_xlpm.MyAuditVal),_xlpm.MacVal&lt;&gt;"",_xlpm.MacVal,_xlpm.CSVVal&lt;&gt;"",_xlpm.CSVVal
)),"")</f>
        <v/>
      </c>
      <c r="M111" s="45" t="str">
        <f>_xlfn.LET(
    _xlpm.CSVVal, _xlfn.XLOOKUP($A111, CSV!$A:$A, CSV!AE:AE, ""),
    _xlpm.MacVal, _xlfn.XLOOKUP($A111, Output_Mac!$A:$A, Output_Mac!S:S, ""),
    _xlpm.MyAuditVal, _xlfn.XLOOKUP($A111, My_Audit!$A:$A, My_Audit!N:N, ""),
    _xlfn.TEXTJOIN(", ", TRUE, _xlpm.MyAuditVal, _xlpm.MacVal, _xlpm.CSVVal)
)</f>
        <v/>
      </c>
      <c r="N111" s="45" t="str" cm="1">
        <f t="array" ref="N111">IFERROR(_xlfn.LET(
_xlpm.CSVVal,_xlfn.XLOOKUP($A111,CSV!$A:$A,CSV!AG:AG,""),
_xlpm.MacVal,_xlfn.XLOOKUP($A111,Output_Mac!$A:$A,Output_Mac!U:U,""),
_xlpm.MyAuditVal,_xlfn.XLOOKUP($A111,My_Audit!$A:$A,My_Audit!O:O,""),
_xlfn.IFS(_xlpm.MyAuditVal&lt;&gt;"",UPPER(_xlpm.MyAuditVal),_xlpm.MacVal&lt;&gt;"",_xlpm.MacVal,_xlpm.CSVVal&lt;&gt;"",_xlpm.CSVVal
)),"")</f>
        <v/>
      </c>
      <c r="O111" s="46" t="str">
        <f>_xlfn.XLOOKUP(C111,My_Audit!B:B,My_Audit!P:P,"")&amp;""</f>
        <v/>
      </c>
      <c r="P111" s="45"/>
      <c r="Q111" s="46" t="str">
        <f>IF(LEFT(N111,4)="Pass","Nist SP 800-88",My_Audit!R111)&amp;""</f>
        <v/>
      </c>
      <c r="R111" s="45"/>
      <c r="S111" s="45"/>
      <c r="T111" s="46" t="str">
        <f>_xlfn.XLOOKUP(E111,Models!I:I,Models!J:J,"")</f>
        <v/>
      </c>
      <c r="U111" s="45"/>
      <c r="V111" s="45"/>
      <c r="W111" s="38" t="str">
        <f>_xlfn.LET(
    _xlpm.MacVal, _xlfn.XLOOKUP($A111, Output_Mac!$A:$A, Output_Mac!AB:AB, ""),
    _xlpm.MyAuditVal, _xlfn.XLOOKUP($A111, My_Audit!$A:$A, My_Audit!L:L, ""),
    _xlfn.TEXTJOIN(", ", TRUE, _xlpm.MyAuditVal, _xlpm.MacVal)
)</f>
        <v/>
      </c>
    </row>
    <row r="112" spans="1:23">
      <c r="A112" s="45" t="str">
        <f>_xlfn.TEXTJOIN("",TRUE,Input!$B$2,ROW(My_Audit!A111))</f>
        <v>XX111</v>
      </c>
      <c r="B112" s="45" t="str">
        <f>_xlfn.TEXTJOIN("-",TRUE,"ITD",Input!$A$2,A112)</f>
        <v>ITD-SHRXXX-XX111</v>
      </c>
      <c r="C112" s="45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46" t="str" cm="1">
        <f t="array" ref="D112">IFERROR(_xlfn.LET(
_xlpm.CSVVal,_xlfn.XLOOKUP($A112,CSV!$A:$A,CSV!C:C,""),
_xlpm.MacVal,_xlfn.XLOOKUP($A112,Output_Mac!$A:$A,Output_Mac!D:D,""),
_xlpm.MyAuditVal,_xlfn.XLOOKUP($A112,My_Audit!$A:$A,My_Audit!C:C,""),
_xlfn.IFS(_xlpm.MyAuditVal&lt;&gt;"",UPPER(_xlpm.MyAuditVal),_xlpm.MacVal&lt;&gt;"",_xlpm.MacVal,_xlpm.CSVVal&lt;&gt;"",_xlpm.CSVVal
)),"")</f>
        <v/>
      </c>
      <c r="E112" s="46" t="str" cm="1">
        <f t="array" ref="E112">IFERROR(_xlfn.LET(
_xlpm.CSVVal,_xlfn.XLOOKUP($A112,CSV!$A:$A,CSV!E:E,""),
_xlpm.MacVal,_xlfn.XLOOKUP($A112,Output_Mac!$A:$A,Output_Mac!C:C,""),
_xlpm.MyAuditVal,_xlfn.XLOOKUP($A112,My_Audit!$A:$A,My_Audit!D:D,""),
_xlfn.IFS(_xlpm.MyAuditVal&lt;&gt;"",_xlpm.MyAuditVal,_xlpm.MacVal&lt;&gt;"",_xlpm.MacVal,_xlpm.CSVVal&lt;&gt;"",_xlpm.CSVVal
)),"")</f>
        <v/>
      </c>
      <c r="F112" s="45" t="str" cm="1">
        <f t="array" ref="F112">IFERROR(_xlfn.LET(
_xlpm.CSVVal,_xlfn.XLOOKUP($A112,CSV!$A:$A,CSV!F:F,""),
_xlpm.MacVal,_xlfn.XLOOKUP($A112,Output_Mac!$A:$A,Output_Mac!F:F,""),
_xlpm.MyAuditVal,_xlfn.XLOOKUP($A112,My_Audit!$A:$A,My_Audit!E:E,""),
_xlfn.IFS(_xlpm.MyAuditVal&lt;&gt;"",_xlpm.MyAuditVal,_xlpm.MacVal&lt;&gt;"",_xlpm.MacVal,_xlpm.CSVVal&lt;&gt;"",PROPER(_xlpm.CSVVal)
)),"")</f>
        <v/>
      </c>
      <c r="G112" s="45" t="str" cm="1">
        <f t="array" ref="G112">IFERROR(_xlfn.LET(
_xlpm.CSVVal,_xlfn.XLOOKUP($A112,CSV!$A:$A,CSV!G:G,""),
_xlpm.MacVal,_xlfn.XLOOKUP($A112,Output_Mac!$A:$A,Output_Mac!H:H,""),
_xlpm.MyAuditVal,_xlfn.XLOOKUP($A112,My_Audit!$A:$A,My_Audit!F:F,""),
_xlfn.IFS(_xlpm.MyAuditVal&lt;&gt;"",_xlpm.MyAuditVal,_xlpm.MacVal&lt;&gt;"",_xlpm.MacVal,_xlpm.CSVVal&lt;&gt;"",_xlpm.CSVVal
)),"")</f>
        <v/>
      </c>
      <c r="H112" s="45" t="str">
        <f>_xlfn.XLOOKUP(A112,Output_Mac!A:A,Output_Mac!I:I,"")</f>
        <v/>
      </c>
      <c r="I112" s="45" t="str" cm="1">
        <f t="array" ref="I112">IFERROR(_xlfn.LET(
_xlpm.CSVVal,_xlfn.XLOOKUP($A112,CSV!$A:$A,CSV!H:H,""),
_xlpm.MacVal,_xlfn.XLOOKUP($A112,Output_Mac!$A:$A,Output_Mac!J:J,""),
_xlpm.MyAuditVal,_xlfn.XLOOKUP($A112,My_Audit!$A:$A,My_Audit!H:H,""),
_xlfn.IFS(_xlpm.MyAuditVal&lt;&gt;"",UPPER(_xlpm.MyAuditVal),_xlpm.MacVal&lt;&gt;"",_xlpm.MacVal,_xlpm.CSVVal&lt;&gt;"",_xlpm.CSVVal
)),"")</f>
        <v/>
      </c>
      <c r="J112" s="45" t="str" cm="1">
        <f t="array" ref="J112">IFERROR(_xlfn.LET(
_xlpm.CSVVal,_xlfn.XLOOKUP($A112,CSV!$A:$A,CSV!J:J,""),
_xlpm.MacVal,_xlfn.XLOOKUP($A112,Output_Mac!$A:$A,Output_Mac!K:K,""),
_xlpm.MyAuditVal,_xlfn.XLOOKUP($A112,My_Audit!$A:$A,My_Audit!I:I,""),
_xlfn.IFS(_xlpm.MyAuditVal&lt;&gt;"",UPPER(_xlpm.MyAuditVal),_xlpm.MacVal&lt;&gt;"",_xlpm.MacVal,_xlpm.CSVVal&lt;&gt;"",_xlpm.CSVVal
)),"")</f>
        <v/>
      </c>
      <c r="K112" s="45" t="str" cm="1">
        <f t="array" ref="K112">IFERROR(_xlfn.LET(
_xlpm.CSVVal,_xlfn.XLOOKUP($A112,CSV!$A:$A,CSV!N:N,""),
_xlpm.MacVal,_xlfn.XLOOKUP($A112,Output_Mac!$A:$A,Output_Mac!L:L,""),
_xlpm.MyAuditVal,_xlfn.XLOOKUP($A112,My_Audit!$A:$A,My_Audit!J:J,""),
_xlfn.IFS(_xlpm.MyAuditVal&lt;&gt;"",UPPER(_xlpm.MyAuditVal),_xlpm.MacVal&lt;&gt;"",_xlpm.MacVal,_xlpm.CSVVal&lt;&gt;"",_xlpm.CSVVal
)),"")</f>
        <v/>
      </c>
      <c r="L112" s="46" t="str" cm="1">
        <f t="array" ref="L112">IFERROR(_xlfn.LET(
_xlpm.CSVVal,_xlfn.XLOOKUP($A112,CSV!$A:$A,CSV!Q:Q,""),
_xlpm.MacVal,_xlfn.XLOOKUP($A112,Output_Mac!$A:$A,Output_Mac!M:M,""),
_xlpm.MyAuditVal,_xlfn.XLOOKUP($A112,My_Audit!$A:$A,My_Audit!K:K,""),
_xlfn.IFS(_xlpm.MyAuditVal&lt;&gt;"",UPPER(_xlpm.MyAuditVal),_xlpm.MacVal&lt;&gt;"",_xlpm.MacVal,_xlpm.CSVVal&lt;&gt;"",_xlpm.CSVVal
)),"")</f>
        <v/>
      </c>
      <c r="M112" s="45" t="str">
        <f>_xlfn.LET(
    _xlpm.CSVVal, _xlfn.XLOOKUP($A112, CSV!$A:$A, CSV!AE:AE, ""),
    _xlpm.MacVal, _xlfn.XLOOKUP($A112, Output_Mac!$A:$A, Output_Mac!S:S, ""),
    _xlpm.MyAuditVal, _xlfn.XLOOKUP($A112, My_Audit!$A:$A, My_Audit!N:N, ""),
    _xlfn.TEXTJOIN(", ", TRUE, _xlpm.MyAuditVal, _xlpm.MacVal, _xlpm.CSVVal)
)</f>
        <v/>
      </c>
      <c r="N112" s="45" t="str" cm="1">
        <f t="array" ref="N112">IFERROR(_xlfn.LET(
_xlpm.CSVVal,_xlfn.XLOOKUP($A112,CSV!$A:$A,CSV!AG:AG,""),
_xlpm.MacVal,_xlfn.XLOOKUP($A112,Output_Mac!$A:$A,Output_Mac!U:U,""),
_xlpm.MyAuditVal,_xlfn.XLOOKUP($A112,My_Audit!$A:$A,My_Audit!O:O,""),
_xlfn.IFS(_xlpm.MyAuditVal&lt;&gt;"",UPPER(_xlpm.MyAuditVal),_xlpm.MacVal&lt;&gt;"",_xlpm.MacVal,_xlpm.CSVVal&lt;&gt;"",_xlpm.CSVVal
)),"")</f>
        <v/>
      </c>
      <c r="O112" s="46" t="str">
        <f>_xlfn.XLOOKUP(C112,My_Audit!B:B,My_Audit!P:P,"")&amp;""</f>
        <v/>
      </c>
      <c r="P112" s="45"/>
      <c r="Q112" s="46" t="str">
        <f>IF(LEFT(N112,4)="Pass","Nist SP 800-88",My_Audit!R112)&amp;""</f>
        <v/>
      </c>
      <c r="R112" s="45"/>
      <c r="S112" s="45"/>
      <c r="T112" s="46" t="str">
        <f>_xlfn.XLOOKUP(E112,Models!I:I,Models!J:J,"")</f>
        <v/>
      </c>
      <c r="U112" s="45"/>
      <c r="V112" s="45"/>
      <c r="W112" s="38" t="str">
        <f>_xlfn.LET(
    _xlpm.MacVal, _xlfn.XLOOKUP($A112, Output_Mac!$A:$A, Output_Mac!AB:AB, ""),
    _xlpm.MyAuditVal, _xlfn.XLOOKUP($A112, My_Audit!$A:$A, My_Audit!L:L, ""),
    _xlfn.TEXTJOIN(", ", TRUE, _xlpm.MyAuditVal, _xlpm.MacVal)
)</f>
        <v/>
      </c>
    </row>
    <row r="113" spans="1:23">
      <c r="A113" s="45" t="str">
        <f>_xlfn.TEXTJOIN("",TRUE,Input!$B$2,ROW(My_Audit!A112))</f>
        <v>XX112</v>
      </c>
      <c r="B113" s="45" t="str">
        <f>_xlfn.TEXTJOIN("-",TRUE,"ITD",Input!$A$2,A113)</f>
        <v>ITD-SHRXXX-XX112</v>
      </c>
      <c r="C113" s="45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46" t="str" cm="1">
        <f t="array" ref="D113">IFERROR(_xlfn.LET(
_xlpm.CSVVal,_xlfn.XLOOKUP($A113,CSV!$A:$A,CSV!C:C,""),
_xlpm.MacVal,_xlfn.XLOOKUP($A113,Output_Mac!$A:$A,Output_Mac!D:D,""),
_xlpm.MyAuditVal,_xlfn.XLOOKUP($A113,My_Audit!$A:$A,My_Audit!C:C,""),
_xlfn.IFS(_xlpm.MyAuditVal&lt;&gt;"",UPPER(_xlpm.MyAuditVal),_xlpm.MacVal&lt;&gt;"",_xlpm.MacVal,_xlpm.CSVVal&lt;&gt;"",_xlpm.CSVVal
)),"")</f>
        <v/>
      </c>
      <c r="E113" s="46" t="str" cm="1">
        <f t="array" ref="E113">IFERROR(_xlfn.LET(
_xlpm.CSVVal,_xlfn.XLOOKUP($A113,CSV!$A:$A,CSV!E:E,""),
_xlpm.MacVal,_xlfn.XLOOKUP($A113,Output_Mac!$A:$A,Output_Mac!C:C,""),
_xlpm.MyAuditVal,_xlfn.XLOOKUP($A113,My_Audit!$A:$A,My_Audit!D:D,""),
_xlfn.IFS(_xlpm.MyAuditVal&lt;&gt;"",_xlpm.MyAuditVal,_xlpm.MacVal&lt;&gt;"",_xlpm.MacVal,_xlpm.CSVVal&lt;&gt;"",_xlpm.CSVVal
)),"")</f>
        <v/>
      </c>
      <c r="F113" s="45" t="str" cm="1">
        <f t="array" ref="F113">IFERROR(_xlfn.LET(
_xlpm.CSVVal,_xlfn.XLOOKUP($A113,CSV!$A:$A,CSV!F:F,""),
_xlpm.MacVal,_xlfn.XLOOKUP($A113,Output_Mac!$A:$A,Output_Mac!F:F,""),
_xlpm.MyAuditVal,_xlfn.XLOOKUP($A113,My_Audit!$A:$A,My_Audit!E:E,""),
_xlfn.IFS(_xlpm.MyAuditVal&lt;&gt;"",_xlpm.MyAuditVal,_xlpm.MacVal&lt;&gt;"",_xlpm.MacVal,_xlpm.CSVVal&lt;&gt;"",PROPER(_xlpm.CSVVal)
)),"")</f>
        <v/>
      </c>
      <c r="G113" s="45" t="str" cm="1">
        <f t="array" ref="G113">IFERROR(_xlfn.LET(
_xlpm.CSVVal,_xlfn.XLOOKUP($A113,CSV!$A:$A,CSV!G:G,""),
_xlpm.MacVal,_xlfn.XLOOKUP($A113,Output_Mac!$A:$A,Output_Mac!H:H,""),
_xlpm.MyAuditVal,_xlfn.XLOOKUP($A113,My_Audit!$A:$A,My_Audit!F:F,""),
_xlfn.IFS(_xlpm.MyAuditVal&lt;&gt;"",_xlpm.MyAuditVal,_xlpm.MacVal&lt;&gt;"",_xlpm.MacVal,_xlpm.CSVVal&lt;&gt;"",_xlpm.CSVVal
)),"")</f>
        <v/>
      </c>
      <c r="H113" s="45" t="str">
        <f>_xlfn.XLOOKUP(A113,Output_Mac!A:A,Output_Mac!I:I,"")</f>
        <v/>
      </c>
      <c r="I113" s="45" t="str" cm="1">
        <f t="array" ref="I113">IFERROR(_xlfn.LET(
_xlpm.CSVVal,_xlfn.XLOOKUP($A113,CSV!$A:$A,CSV!H:H,""),
_xlpm.MacVal,_xlfn.XLOOKUP($A113,Output_Mac!$A:$A,Output_Mac!J:J,""),
_xlpm.MyAuditVal,_xlfn.XLOOKUP($A113,My_Audit!$A:$A,My_Audit!H:H,""),
_xlfn.IFS(_xlpm.MyAuditVal&lt;&gt;"",UPPER(_xlpm.MyAuditVal),_xlpm.MacVal&lt;&gt;"",_xlpm.MacVal,_xlpm.CSVVal&lt;&gt;"",_xlpm.CSVVal
)),"")</f>
        <v/>
      </c>
      <c r="J113" s="45" t="str" cm="1">
        <f t="array" ref="J113">IFERROR(_xlfn.LET(
_xlpm.CSVVal,_xlfn.XLOOKUP($A113,CSV!$A:$A,CSV!J:J,""),
_xlpm.MacVal,_xlfn.XLOOKUP($A113,Output_Mac!$A:$A,Output_Mac!K:K,""),
_xlpm.MyAuditVal,_xlfn.XLOOKUP($A113,My_Audit!$A:$A,My_Audit!I:I,""),
_xlfn.IFS(_xlpm.MyAuditVal&lt;&gt;"",UPPER(_xlpm.MyAuditVal),_xlpm.MacVal&lt;&gt;"",_xlpm.MacVal,_xlpm.CSVVal&lt;&gt;"",_xlpm.CSVVal
)),"")</f>
        <v/>
      </c>
      <c r="K113" s="45" t="str" cm="1">
        <f t="array" ref="K113">IFERROR(_xlfn.LET(
_xlpm.CSVVal,_xlfn.XLOOKUP($A113,CSV!$A:$A,CSV!N:N,""),
_xlpm.MacVal,_xlfn.XLOOKUP($A113,Output_Mac!$A:$A,Output_Mac!L:L,""),
_xlpm.MyAuditVal,_xlfn.XLOOKUP($A113,My_Audit!$A:$A,My_Audit!J:J,""),
_xlfn.IFS(_xlpm.MyAuditVal&lt;&gt;"",UPPER(_xlpm.MyAuditVal),_xlpm.MacVal&lt;&gt;"",_xlpm.MacVal,_xlpm.CSVVal&lt;&gt;"",_xlpm.CSVVal
)),"")</f>
        <v/>
      </c>
      <c r="L113" s="46" t="str" cm="1">
        <f t="array" ref="L113">IFERROR(_xlfn.LET(
_xlpm.CSVVal,_xlfn.XLOOKUP($A113,CSV!$A:$A,CSV!Q:Q,""),
_xlpm.MacVal,_xlfn.XLOOKUP($A113,Output_Mac!$A:$A,Output_Mac!M:M,""),
_xlpm.MyAuditVal,_xlfn.XLOOKUP($A113,My_Audit!$A:$A,My_Audit!K:K,""),
_xlfn.IFS(_xlpm.MyAuditVal&lt;&gt;"",UPPER(_xlpm.MyAuditVal),_xlpm.MacVal&lt;&gt;"",_xlpm.MacVal,_xlpm.CSVVal&lt;&gt;"",_xlpm.CSVVal
)),"")</f>
        <v/>
      </c>
      <c r="M113" s="45" t="str">
        <f>_xlfn.LET(
    _xlpm.CSVVal, _xlfn.XLOOKUP($A113, CSV!$A:$A, CSV!AE:AE, ""),
    _xlpm.MacVal, _xlfn.XLOOKUP($A113, Output_Mac!$A:$A, Output_Mac!S:S, ""),
    _xlpm.MyAuditVal, _xlfn.XLOOKUP($A113, My_Audit!$A:$A, My_Audit!N:N, ""),
    _xlfn.TEXTJOIN(", ", TRUE, _xlpm.MyAuditVal, _xlpm.MacVal, _xlpm.CSVVal)
)</f>
        <v/>
      </c>
      <c r="N113" s="45" t="str" cm="1">
        <f t="array" ref="N113">IFERROR(_xlfn.LET(
_xlpm.CSVVal,_xlfn.XLOOKUP($A113,CSV!$A:$A,CSV!AG:AG,""),
_xlpm.MacVal,_xlfn.XLOOKUP($A113,Output_Mac!$A:$A,Output_Mac!U:U,""),
_xlpm.MyAuditVal,_xlfn.XLOOKUP($A113,My_Audit!$A:$A,My_Audit!O:O,""),
_xlfn.IFS(_xlpm.MyAuditVal&lt;&gt;"",UPPER(_xlpm.MyAuditVal),_xlpm.MacVal&lt;&gt;"",_xlpm.MacVal,_xlpm.CSVVal&lt;&gt;"",_xlpm.CSVVal
)),"")</f>
        <v/>
      </c>
      <c r="O113" s="46" t="str">
        <f>_xlfn.XLOOKUP(C113,My_Audit!B:B,My_Audit!P:P,"")&amp;""</f>
        <v/>
      </c>
      <c r="P113" s="45"/>
      <c r="Q113" s="46" t="str">
        <f>IF(LEFT(N113,4)="Pass","Nist SP 800-88",My_Audit!R113)&amp;""</f>
        <v/>
      </c>
      <c r="R113" s="45"/>
      <c r="S113" s="45"/>
      <c r="T113" s="46" t="str">
        <f>_xlfn.XLOOKUP(E113,Models!I:I,Models!J:J,"")</f>
        <v/>
      </c>
      <c r="U113" s="45"/>
      <c r="V113" s="45"/>
      <c r="W113" s="38" t="str">
        <f>_xlfn.LET(
    _xlpm.MacVal, _xlfn.XLOOKUP($A113, Output_Mac!$A:$A, Output_Mac!AB:AB, ""),
    _xlpm.MyAuditVal, _xlfn.XLOOKUP($A113, My_Audit!$A:$A, My_Audit!L:L, ""),
    _xlfn.TEXTJOIN(", ", TRUE, _xlpm.MyAuditVal, _xlpm.MacVal)
)</f>
        <v/>
      </c>
    </row>
    <row r="114" spans="1:23">
      <c r="A114" s="45" t="str">
        <f>_xlfn.TEXTJOIN("",TRUE,Input!$B$2,ROW(My_Audit!A113))</f>
        <v>XX113</v>
      </c>
      <c r="B114" s="45" t="str">
        <f>_xlfn.TEXTJOIN("-",TRUE,"ITD",Input!$A$2,A114)</f>
        <v>ITD-SHRXXX-XX113</v>
      </c>
      <c r="C114" s="45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46" t="str" cm="1">
        <f t="array" ref="D114">IFERROR(_xlfn.LET(
_xlpm.CSVVal,_xlfn.XLOOKUP($A114,CSV!$A:$A,CSV!C:C,""),
_xlpm.MacVal,_xlfn.XLOOKUP($A114,Output_Mac!$A:$A,Output_Mac!D:D,""),
_xlpm.MyAuditVal,_xlfn.XLOOKUP($A114,My_Audit!$A:$A,My_Audit!C:C,""),
_xlfn.IFS(_xlpm.MyAuditVal&lt;&gt;"",UPPER(_xlpm.MyAuditVal),_xlpm.MacVal&lt;&gt;"",_xlpm.MacVal,_xlpm.CSVVal&lt;&gt;"",_xlpm.CSVVal
)),"")</f>
        <v/>
      </c>
      <c r="E114" s="46" t="str" cm="1">
        <f t="array" ref="E114">IFERROR(_xlfn.LET(
_xlpm.CSVVal,_xlfn.XLOOKUP($A114,CSV!$A:$A,CSV!E:E,""),
_xlpm.MacVal,_xlfn.XLOOKUP($A114,Output_Mac!$A:$A,Output_Mac!C:C,""),
_xlpm.MyAuditVal,_xlfn.XLOOKUP($A114,My_Audit!$A:$A,My_Audit!D:D,""),
_xlfn.IFS(_xlpm.MyAuditVal&lt;&gt;"",_xlpm.MyAuditVal,_xlpm.MacVal&lt;&gt;"",_xlpm.MacVal,_xlpm.CSVVal&lt;&gt;"",_xlpm.CSVVal
)),"")</f>
        <v/>
      </c>
      <c r="F114" s="45" t="str" cm="1">
        <f t="array" ref="F114">IFERROR(_xlfn.LET(
_xlpm.CSVVal,_xlfn.XLOOKUP($A114,CSV!$A:$A,CSV!F:F,""),
_xlpm.MacVal,_xlfn.XLOOKUP($A114,Output_Mac!$A:$A,Output_Mac!F:F,""),
_xlpm.MyAuditVal,_xlfn.XLOOKUP($A114,My_Audit!$A:$A,My_Audit!E:E,""),
_xlfn.IFS(_xlpm.MyAuditVal&lt;&gt;"",_xlpm.MyAuditVal,_xlpm.MacVal&lt;&gt;"",_xlpm.MacVal,_xlpm.CSVVal&lt;&gt;"",PROPER(_xlpm.CSVVal)
)),"")</f>
        <v/>
      </c>
      <c r="G114" s="45" t="str" cm="1">
        <f t="array" ref="G114">IFERROR(_xlfn.LET(
_xlpm.CSVVal,_xlfn.XLOOKUP($A114,CSV!$A:$A,CSV!G:G,""),
_xlpm.MacVal,_xlfn.XLOOKUP($A114,Output_Mac!$A:$A,Output_Mac!H:H,""),
_xlpm.MyAuditVal,_xlfn.XLOOKUP($A114,My_Audit!$A:$A,My_Audit!F:F,""),
_xlfn.IFS(_xlpm.MyAuditVal&lt;&gt;"",_xlpm.MyAuditVal,_xlpm.MacVal&lt;&gt;"",_xlpm.MacVal,_xlpm.CSVVal&lt;&gt;"",_xlpm.CSVVal
)),"")</f>
        <v/>
      </c>
      <c r="H114" s="45" t="str">
        <f>_xlfn.XLOOKUP(A114,Output_Mac!A:A,Output_Mac!I:I,"")</f>
        <v/>
      </c>
      <c r="I114" s="45" t="str" cm="1">
        <f t="array" ref="I114">IFERROR(_xlfn.LET(
_xlpm.CSVVal,_xlfn.XLOOKUP($A114,CSV!$A:$A,CSV!H:H,""),
_xlpm.MacVal,_xlfn.XLOOKUP($A114,Output_Mac!$A:$A,Output_Mac!J:J,""),
_xlpm.MyAuditVal,_xlfn.XLOOKUP($A114,My_Audit!$A:$A,My_Audit!H:H,""),
_xlfn.IFS(_xlpm.MyAuditVal&lt;&gt;"",UPPER(_xlpm.MyAuditVal),_xlpm.MacVal&lt;&gt;"",_xlpm.MacVal,_xlpm.CSVVal&lt;&gt;"",_xlpm.CSVVal
)),"")</f>
        <v/>
      </c>
      <c r="J114" s="45" t="str" cm="1">
        <f t="array" ref="J114">IFERROR(_xlfn.LET(
_xlpm.CSVVal,_xlfn.XLOOKUP($A114,CSV!$A:$A,CSV!J:J,""),
_xlpm.MacVal,_xlfn.XLOOKUP($A114,Output_Mac!$A:$A,Output_Mac!K:K,""),
_xlpm.MyAuditVal,_xlfn.XLOOKUP($A114,My_Audit!$A:$A,My_Audit!I:I,""),
_xlfn.IFS(_xlpm.MyAuditVal&lt;&gt;"",UPPER(_xlpm.MyAuditVal),_xlpm.MacVal&lt;&gt;"",_xlpm.MacVal,_xlpm.CSVVal&lt;&gt;"",_xlpm.CSVVal
)),"")</f>
        <v/>
      </c>
      <c r="K114" s="45" t="str" cm="1">
        <f t="array" ref="K114">IFERROR(_xlfn.LET(
_xlpm.CSVVal,_xlfn.XLOOKUP($A114,CSV!$A:$A,CSV!N:N,""),
_xlpm.MacVal,_xlfn.XLOOKUP($A114,Output_Mac!$A:$A,Output_Mac!L:L,""),
_xlpm.MyAuditVal,_xlfn.XLOOKUP($A114,My_Audit!$A:$A,My_Audit!J:J,""),
_xlfn.IFS(_xlpm.MyAuditVal&lt;&gt;"",UPPER(_xlpm.MyAuditVal),_xlpm.MacVal&lt;&gt;"",_xlpm.MacVal,_xlpm.CSVVal&lt;&gt;"",_xlpm.CSVVal
)),"")</f>
        <v/>
      </c>
      <c r="L114" s="46" t="str" cm="1">
        <f t="array" ref="L114">IFERROR(_xlfn.LET(
_xlpm.CSVVal,_xlfn.XLOOKUP($A114,CSV!$A:$A,CSV!Q:Q,""),
_xlpm.MacVal,_xlfn.XLOOKUP($A114,Output_Mac!$A:$A,Output_Mac!M:M,""),
_xlpm.MyAuditVal,_xlfn.XLOOKUP($A114,My_Audit!$A:$A,My_Audit!K:K,""),
_xlfn.IFS(_xlpm.MyAuditVal&lt;&gt;"",UPPER(_xlpm.MyAuditVal),_xlpm.MacVal&lt;&gt;"",_xlpm.MacVal,_xlpm.CSVVal&lt;&gt;"",_xlpm.CSVVal
)),"")</f>
        <v/>
      </c>
      <c r="M114" s="45" t="str">
        <f>_xlfn.LET(
    _xlpm.CSVVal, _xlfn.XLOOKUP($A114, CSV!$A:$A, CSV!AE:AE, ""),
    _xlpm.MacVal, _xlfn.XLOOKUP($A114, Output_Mac!$A:$A, Output_Mac!S:S, ""),
    _xlpm.MyAuditVal, _xlfn.XLOOKUP($A114, My_Audit!$A:$A, My_Audit!N:N, ""),
    _xlfn.TEXTJOIN(", ", TRUE, _xlpm.MyAuditVal, _xlpm.MacVal, _xlpm.CSVVal)
)</f>
        <v/>
      </c>
      <c r="N114" s="45" t="str" cm="1">
        <f t="array" ref="N114">IFERROR(_xlfn.LET(
_xlpm.CSVVal,_xlfn.XLOOKUP($A114,CSV!$A:$A,CSV!AG:AG,""),
_xlpm.MacVal,_xlfn.XLOOKUP($A114,Output_Mac!$A:$A,Output_Mac!U:U,""),
_xlpm.MyAuditVal,_xlfn.XLOOKUP($A114,My_Audit!$A:$A,My_Audit!O:O,""),
_xlfn.IFS(_xlpm.MyAuditVal&lt;&gt;"",UPPER(_xlpm.MyAuditVal),_xlpm.MacVal&lt;&gt;"",_xlpm.MacVal,_xlpm.CSVVal&lt;&gt;"",_xlpm.CSVVal
)),"")</f>
        <v/>
      </c>
      <c r="O114" s="46" t="str">
        <f>_xlfn.XLOOKUP(C114,My_Audit!B:B,My_Audit!P:P,"")&amp;""</f>
        <v/>
      </c>
      <c r="P114" s="45"/>
      <c r="Q114" s="46" t="str">
        <f>IF(LEFT(N114,4)="Pass","Nist SP 800-88",My_Audit!R114)&amp;""</f>
        <v/>
      </c>
      <c r="R114" s="45"/>
      <c r="S114" s="45"/>
      <c r="T114" s="46" t="str">
        <f>_xlfn.XLOOKUP(E114,Models!I:I,Models!J:J,"")</f>
        <v/>
      </c>
      <c r="U114" s="45"/>
      <c r="V114" s="45"/>
      <c r="W114" s="38" t="str">
        <f>_xlfn.LET(
    _xlpm.MacVal, _xlfn.XLOOKUP($A114, Output_Mac!$A:$A, Output_Mac!AB:AB, ""),
    _xlpm.MyAuditVal, _xlfn.XLOOKUP($A114, My_Audit!$A:$A, My_Audit!L:L, ""),
    _xlfn.TEXTJOIN(", ", TRUE, _xlpm.MyAuditVal, _xlpm.MacVal)
)</f>
        <v/>
      </c>
    </row>
    <row r="115" spans="1:23">
      <c r="A115" s="45" t="str">
        <f>_xlfn.TEXTJOIN("",TRUE,Input!$B$2,ROW(My_Audit!A114))</f>
        <v>XX114</v>
      </c>
      <c r="B115" s="45" t="str">
        <f>_xlfn.TEXTJOIN("-",TRUE,"ITD",Input!$A$2,A115)</f>
        <v>ITD-SHRXXX-XX114</v>
      </c>
      <c r="C115" s="45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46" t="str" cm="1">
        <f t="array" ref="D115">IFERROR(_xlfn.LET(
_xlpm.CSVVal,_xlfn.XLOOKUP($A115,CSV!$A:$A,CSV!C:C,""),
_xlpm.MacVal,_xlfn.XLOOKUP($A115,Output_Mac!$A:$A,Output_Mac!D:D,""),
_xlpm.MyAuditVal,_xlfn.XLOOKUP($A115,My_Audit!$A:$A,My_Audit!C:C,""),
_xlfn.IFS(_xlpm.MyAuditVal&lt;&gt;"",UPPER(_xlpm.MyAuditVal),_xlpm.MacVal&lt;&gt;"",_xlpm.MacVal,_xlpm.CSVVal&lt;&gt;"",_xlpm.CSVVal
)),"")</f>
        <v/>
      </c>
      <c r="E115" s="46" t="str" cm="1">
        <f t="array" ref="E115">IFERROR(_xlfn.LET(
_xlpm.CSVVal,_xlfn.XLOOKUP($A115,CSV!$A:$A,CSV!E:E,""),
_xlpm.MacVal,_xlfn.XLOOKUP($A115,Output_Mac!$A:$A,Output_Mac!C:C,""),
_xlpm.MyAuditVal,_xlfn.XLOOKUP($A115,My_Audit!$A:$A,My_Audit!D:D,""),
_xlfn.IFS(_xlpm.MyAuditVal&lt;&gt;"",_xlpm.MyAuditVal,_xlpm.MacVal&lt;&gt;"",_xlpm.MacVal,_xlpm.CSVVal&lt;&gt;"",_xlpm.CSVVal
)),"")</f>
        <v/>
      </c>
      <c r="F115" s="45" t="str" cm="1">
        <f t="array" ref="F115">IFERROR(_xlfn.LET(
_xlpm.CSVVal,_xlfn.XLOOKUP($A115,CSV!$A:$A,CSV!F:F,""),
_xlpm.MacVal,_xlfn.XLOOKUP($A115,Output_Mac!$A:$A,Output_Mac!F:F,""),
_xlpm.MyAuditVal,_xlfn.XLOOKUP($A115,My_Audit!$A:$A,My_Audit!E:E,""),
_xlfn.IFS(_xlpm.MyAuditVal&lt;&gt;"",_xlpm.MyAuditVal,_xlpm.MacVal&lt;&gt;"",_xlpm.MacVal,_xlpm.CSVVal&lt;&gt;"",PROPER(_xlpm.CSVVal)
)),"")</f>
        <v/>
      </c>
      <c r="G115" s="45" t="str" cm="1">
        <f t="array" ref="G115">IFERROR(_xlfn.LET(
_xlpm.CSVVal,_xlfn.XLOOKUP($A115,CSV!$A:$A,CSV!G:G,""),
_xlpm.MacVal,_xlfn.XLOOKUP($A115,Output_Mac!$A:$A,Output_Mac!H:H,""),
_xlpm.MyAuditVal,_xlfn.XLOOKUP($A115,My_Audit!$A:$A,My_Audit!F:F,""),
_xlfn.IFS(_xlpm.MyAuditVal&lt;&gt;"",_xlpm.MyAuditVal,_xlpm.MacVal&lt;&gt;"",_xlpm.MacVal,_xlpm.CSVVal&lt;&gt;"",_xlpm.CSVVal
)),"")</f>
        <v/>
      </c>
      <c r="H115" s="45" t="str">
        <f>_xlfn.XLOOKUP(A115,Output_Mac!A:A,Output_Mac!I:I,"")</f>
        <v/>
      </c>
      <c r="I115" s="45" t="str" cm="1">
        <f t="array" ref="I115">IFERROR(_xlfn.LET(
_xlpm.CSVVal,_xlfn.XLOOKUP($A115,CSV!$A:$A,CSV!H:H,""),
_xlpm.MacVal,_xlfn.XLOOKUP($A115,Output_Mac!$A:$A,Output_Mac!J:J,""),
_xlpm.MyAuditVal,_xlfn.XLOOKUP($A115,My_Audit!$A:$A,My_Audit!H:H,""),
_xlfn.IFS(_xlpm.MyAuditVal&lt;&gt;"",UPPER(_xlpm.MyAuditVal),_xlpm.MacVal&lt;&gt;"",_xlpm.MacVal,_xlpm.CSVVal&lt;&gt;"",_xlpm.CSVVal
)),"")</f>
        <v/>
      </c>
      <c r="J115" s="45" t="str" cm="1">
        <f t="array" ref="J115">IFERROR(_xlfn.LET(
_xlpm.CSVVal,_xlfn.XLOOKUP($A115,CSV!$A:$A,CSV!J:J,""),
_xlpm.MacVal,_xlfn.XLOOKUP($A115,Output_Mac!$A:$A,Output_Mac!K:K,""),
_xlpm.MyAuditVal,_xlfn.XLOOKUP($A115,My_Audit!$A:$A,My_Audit!I:I,""),
_xlfn.IFS(_xlpm.MyAuditVal&lt;&gt;"",UPPER(_xlpm.MyAuditVal),_xlpm.MacVal&lt;&gt;"",_xlpm.MacVal,_xlpm.CSVVal&lt;&gt;"",_xlpm.CSVVal
)),"")</f>
        <v/>
      </c>
      <c r="K115" s="45" t="str" cm="1">
        <f t="array" ref="K115">IFERROR(_xlfn.LET(
_xlpm.CSVVal,_xlfn.XLOOKUP($A115,CSV!$A:$A,CSV!N:N,""),
_xlpm.MacVal,_xlfn.XLOOKUP($A115,Output_Mac!$A:$A,Output_Mac!L:L,""),
_xlpm.MyAuditVal,_xlfn.XLOOKUP($A115,My_Audit!$A:$A,My_Audit!J:J,""),
_xlfn.IFS(_xlpm.MyAuditVal&lt;&gt;"",UPPER(_xlpm.MyAuditVal),_xlpm.MacVal&lt;&gt;"",_xlpm.MacVal,_xlpm.CSVVal&lt;&gt;"",_xlpm.CSVVal
)),"")</f>
        <v/>
      </c>
      <c r="L115" s="46" t="str" cm="1">
        <f t="array" ref="L115">IFERROR(_xlfn.LET(
_xlpm.CSVVal,_xlfn.XLOOKUP($A115,CSV!$A:$A,CSV!Q:Q,""),
_xlpm.MacVal,_xlfn.XLOOKUP($A115,Output_Mac!$A:$A,Output_Mac!M:M,""),
_xlpm.MyAuditVal,_xlfn.XLOOKUP($A115,My_Audit!$A:$A,My_Audit!K:K,""),
_xlfn.IFS(_xlpm.MyAuditVal&lt;&gt;"",UPPER(_xlpm.MyAuditVal),_xlpm.MacVal&lt;&gt;"",_xlpm.MacVal,_xlpm.CSVVal&lt;&gt;"",_xlpm.CSVVal
)),"")</f>
        <v/>
      </c>
      <c r="M115" s="45" t="str">
        <f>_xlfn.LET(
    _xlpm.CSVVal, _xlfn.XLOOKUP($A115, CSV!$A:$A, CSV!AE:AE, ""),
    _xlpm.MacVal, _xlfn.XLOOKUP($A115, Output_Mac!$A:$A, Output_Mac!S:S, ""),
    _xlpm.MyAuditVal, _xlfn.XLOOKUP($A115, My_Audit!$A:$A, My_Audit!N:N, ""),
    _xlfn.TEXTJOIN(", ", TRUE, _xlpm.MyAuditVal, _xlpm.MacVal, _xlpm.CSVVal)
)</f>
        <v/>
      </c>
      <c r="N115" s="45" t="str" cm="1">
        <f t="array" ref="N115">IFERROR(_xlfn.LET(
_xlpm.CSVVal,_xlfn.XLOOKUP($A115,CSV!$A:$A,CSV!AG:AG,""),
_xlpm.MacVal,_xlfn.XLOOKUP($A115,Output_Mac!$A:$A,Output_Mac!U:U,""),
_xlpm.MyAuditVal,_xlfn.XLOOKUP($A115,My_Audit!$A:$A,My_Audit!O:O,""),
_xlfn.IFS(_xlpm.MyAuditVal&lt;&gt;"",UPPER(_xlpm.MyAuditVal),_xlpm.MacVal&lt;&gt;"",_xlpm.MacVal,_xlpm.CSVVal&lt;&gt;"",_xlpm.CSVVal
)),"")</f>
        <v/>
      </c>
      <c r="O115" s="46" t="str">
        <f>_xlfn.XLOOKUP(C115,My_Audit!B:B,My_Audit!P:P,"")&amp;""</f>
        <v/>
      </c>
      <c r="P115" s="45"/>
      <c r="Q115" s="46" t="str">
        <f>IF(LEFT(N115,4)="Pass","Nist SP 800-88",My_Audit!R115)&amp;""</f>
        <v/>
      </c>
      <c r="R115" s="45"/>
      <c r="S115" s="45"/>
      <c r="T115" s="46" t="str">
        <f>_xlfn.XLOOKUP(E115,Models!I:I,Models!J:J,"")</f>
        <v/>
      </c>
      <c r="U115" s="45"/>
      <c r="V115" s="45"/>
      <c r="W115" s="38" t="str">
        <f>_xlfn.LET(
    _xlpm.MacVal, _xlfn.XLOOKUP($A115, Output_Mac!$A:$A, Output_Mac!AB:AB, ""),
    _xlpm.MyAuditVal, _xlfn.XLOOKUP($A115, My_Audit!$A:$A, My_Audit!L:L, ""),
    _xlfn.TEXTJOIN(", ", TRUE, _xlpm.MyAuditVal, _xlpm.MacVal)
)</f>
        <v/>
      </c>
    </row>
    <row r="116" spans="1:23">
      <c r="A116" s="45" t="str">
        <f>_xlfn.TEXTJOIN("",TRUE,Input!$B$2,ROW(My_Audit!A115))</f>
        <v>XX115</v>
      </c>
      <c r="B116" s="45" t="str">
        <f>_xlfn.TEXTJOIN("-",TRUE,"ITD",Input!$A$2,A116)</f>
        <v>ITD-SHRXXX-XX115</v>
      </c>
      <c r="C116" s="45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46" t="str" cm="1">
        <f t="array" ref="D116">IFERROR(_xlfn.LET(
_xlpm.CSVVal,_xlfn.XLOOKUP($A116,CSV!$A:$A,CSV!C:C,""),
_xlpm.MacVal,_xlfn.XLOOKUP($A116,Output_Mac!$A:$A,Output_Mac!D:D,""),
_xlpm.MyAuditVal,_xlfn.XLOOKUP($A116,My_Audit!$A:$A,My_Audit!C:C,""),
_xlfn.IFS(_xlpm.MyAuditVal&lt;&gt;"",UPPER(_xlpm.MyAuditVal),_xlpm.MacVal&lt;&gt;"",_xlpm.MacVal,_xlpm.CSVVal&lt;&gt;"",_xlpm.CSVVal
)),"")</f>
        <v/>
      </c>
      <c r="E116" s="46" t="str" cm="1">
        <f t="array" ref="E116">IFERROR(_xlfn.LET(
_xlpm.CSVVal,_xlfn.XLOOKUP($A116,CSV!$A:$A,CSV!E:E,""),
_xlpm.MacVal,_xlfn.XLOOKUP($A116,Output_Mac!$A:$A,Output_Mac!C:C,""),
_xlpm.MyAuditVal,_xlfn.XLOOKUP($A116,My_Audit!$A:$A,My_Audit!D:D,""),
_xlfn.IFS(_xlpm.MyAuditVal&lt;&gt;"",_xlpm.MyAuditVal,_xlpm.MacVal&lt;&gt;"",_xlpm.MacVal,_xlpm.CSVVal&lt;&gt;"",_xlpm.CSVVal
)),"")</f>
        <v/>
      </c>
      <c r="F116" s="45" t="str" cm="1">
        <f t="array" ref="F116">IFERROR(_xlfn.LET(
_xlpm.CSVVal,_xlfn.XLOOKUP($A116,CSV!$A:$A,CSV!F:F,""),
_xlpm.MacVal,_xlfn.XLOOKUP($A116,Output_Mac!$A:$A,Output_Mac!F:F,""),
_xlpm.MyAuditVal,_xlfn.XLOOKUP($A116,My_Audit!$A:$A,My_Audit!E:E,""),
_xlfn.IFS(_xlpm.MyAuditVal&lt;&gt;"",_xlpm.MyAuditVal,_xlpm.MacVal&lt;&gt;"",_xlpm.MacVal,_xlpm.CSVVal&lt;&gt;"",PROPER(_xlpm.CSVVal)
)),"")</f>
        <v/>
      </c>
      <c r="G116" s="45" t="str" cm="1">
        <f t="array" ref="G116">IFERROR(_xlfn.LET(
_xlpm.CSVVal,_xlfn.XLOOKUP($A116,CSV!$A:$A,CSV!G:G,""),
_xlpm.MacVal,_xlfn.XLOOKUP($A116,Output_Mac!$A:$A,Output_Mac!H:H,""),
_xlpm.MyAuditVal,_xlfn.XLOOKUP($A116,My_Audit!$A:$A,My_Audit!F:F,""),
_xlfn.IFS(_xlpm.MyAuditVal&lt;&gt;"",_xlpm.MyAuditVal,_xlpm.MacVal&lt;&gt;"",_xlpm.MacVal,_xlpm.CSVVal&lt;&gt;"",_xlpm.CSVVal
)),"")</f>
        <v/>
      </c>
      <c r="H116" s="45" t="str">
        <f>_xlfn.XLOOKUP(A116,Output_Mac!A:A,Output_Mac!I:I,"")</f>
        <v/>
      </c>
      <c r="I116" s="45" t="str" cm="1">
        <f t="array" ref="I116">IFERROR(_xlfn.LET(
_xlpm.CSVVal,_xlfn.XLOOKUP($A116,CSV!$A:$A,CSV!H:H,""),
_xlpm.MacVal,_xlfn.XLOOKUP($A116,Output_Mac!$A:$A,Output_Mac!J:J,""),
_xlpm.MyAuditVal,_xlfn.XLOOKUP($A116,My_Audit!$A:$A,My_Audit!H:H,""),
_xlfn.IFS(_xlpm.MyAuditVal&lt;&gt;"",UPPER(_xlpm.MyAuditVal),_xlpm.MacVal&lt;&gt;"",_xlpm.MacVal,_xlpm.CSVVal&lt;&gt;"",_xlpm.CSVVal
)),"")</f>
        <v/>
      </c>
      <c r="J116" s="45" t="str" cm="1">
        <f t="array" ref="J116">IFERROR(_xlfn.LET(
_xlpm.CSVVal,_xlfn.XLOOKUP($A116,CSV!$A:$A,CSV!J:J,""),
_xlpm.MacVal,_xlfn.XLOOKUP($A116,Output_Mac!$A:$A,Output_Mac!K:K,""),
_xlpm.MyAuditVal,_xlfn.XLOOKUP($A116,My_Audit!$A:$A,My_Audit!I:I,""),
_xlfn.IFS(_xlpm.MyAuditVal&lt;&gt;"",UPPER(_xlpm.MyAuditVal),_xlpm.MacVal&lt;&gt;"",_xlpm.MacVal,_xlpm.CSVVal&lt;&gt;"",_xlpm.CSVVal
)),"")</f>
        <v/>
      </c>
      <c r="K116" s="45" t="str" cm="1">
        <f t="array" ref="K116">IFERROR(_xlfn.LET(
_xlpm.CSVVal,_xlfn.XLOOKUP($A116,CSV!$A:$A,CSV!N:N,""),
_xlpm.MacVal,_xlfn.XLOOKUP($A116,Output_Mac!$A:$A,Output_Mac!L:L,""),
_xlpm.MyAuditVal,_xlfn.XLOOKUP($A116,My_Audit!$A:$A,My_Audit!J:J,""),
_xlfn.IFS(_xlpm.MyAuditVal&lt;&gt;"",UPPER(_xlpm.MyAuditVal),_xlpm.MacVal&lt;&gt;"",_xlpm.MacVal,_xlpm.CSVVal&lt;&gt;"",_xlpm.CSVVal
)),"")</f>
        <v/>
      </c>
      <c r="L116" s="46" t="str" cm="1">
        <f t="array" ref="L116">IFERROR(_xlfn.LET(
_xlpm.CSVVal,_xlfn.XLOOKUP($A116,CSV!$A:$A,CSV!Q:Q,""),
_xlpm.MacVal,_xlfn.XLOOKUP($A116,Output_Mac!$A:$A,Output_Mac!M:M,""),
_xlpm.MyAuditVal,_xlfn.XLOOKUP($A116,My_Audit!$A:$A,My_Audit!K:K,""),
_xlfn.IFS(_xlpm.MyAuditVal&lt;&gt;"",UPPER(_xlpm.MyAuditVal),_xlpm.MacVal&lt;&gt;"",_xlpm.MacVal,_xlpm.CSVVal&lt;&gt;"",_xlpm.CSVVal
)),"")</f>
        <v/>
      </c>
      <c r="M116" s="45" t="str">
        <f>_xlfn.LET(
    _xlpm.CSVVal, _xlfn.XLOOKUP($A116, CSV!$A:$A, CSV!AE:AE, ""),
    _xlpm.MacVal, _xlfn.XLOOKUP($A116, Output_Mac!$A:$A, Output_Mac!S:S, ""),
    _xlpm.MyAuditVal, _xlfn.XLOOKUP($A116, My_Audit!$A:$A, My_Audit!N:N, ""),
    _xlfn.TEXTJOIN(", ", TRUE, _xlpm.MyAuditVal, _xlpm.MacVal, _xlpm.CSVVal)
)</f>
        <v/>
      </c>
      <c r="N116" s="45" t="str" cm="1">
        <f t="array" ref="N116">IFERROR(_xlfn.LET(
_xlpm.CSVVal,_xlfn.XLOOKUP($A116,CSV!$A:$A,CSV!AG:AG,""),
_xlpm.MacVal,_xlfn.XLOOKUP($A116,Output_Mac!$A:$A,Output_Mac!U:U,""),
_xlpm.MyAuditVal,_xlfn.XLOOKUP($A116,My_Audit!$A:$A,My_Audit!O:O,""),
_xlfn.IFS(_xlpm.MyAuditVal&lt;&gt;"",UPPER(_xlpm.MyAuditVal),_xlpm.MacVal&lt;&gt;"",_xlpm.MacVal,_xlpm.CSVVal&lt;&gt;"",_xlpm.CSVVal
)),"")</f>
        <v/>
      </c>
      <c r="O116" s="46" t="str">
        <f>_xlfn.XLOOKUP(C116,My_Audit!B:B,My_Audit!P:P,"")&amp;""</f>
        <v/>
      </c>
      <c r="P116" s="45"/>
      <c r="Q116" s="46" t="str">
        <f>IF(LEFT(N116,4)="Pass","Nist SP 800-88",My_Audit!R116)&amp;""</f>
        <v/>
      </c>
      <c r="R116" s="45"/>
      <c r="S116" s="45"/>
      <c r="T116" s="46" t="str">
        <f>_xlfn.XLOOKUP(E116,Models!I:I,Models!J:J,"")</f>
        <v/>
      </c>
      <c r="U116" s="45"/>
      <c r="V116" s="45"/>
      <c r="W116" s="38" t="str">
        <f>_xlfn.LET(
    _xlpm.MacVal, _xlfn.XLOOKUP($A116, Output_Mac!$A:$A, Output_Mac!AB:AB, ""),
    _xlpm.MyAuditVal, _xlfn.XLOOKUP($A116, My_Audit!$A:$A, My_Audit!L:L, ""),
    _xlfn.TEXTJOIN(", ", TRUE, _xlpm.MyAuditVal, _xlpm.MacVal)
)</f>
        <v/>
      </c>
    </row>
    <row r="117" spans="1:23">
      <c r="A117" s="45" t="str">
        <f>_xlfn.TEXTJOIN("",TRUE,Input!$B$2,ROW(My_Audit!A116))</f>
        <v>XX116</v>
      </c>
      <c r="B117" s="45" t="str">
        <f>_xlfn.TEXTJOIN("-",TRUE,"ITD",Input!$A$2,A117)</f>
        <v>ITD-SHRXXX-XX116</v>
      </c>
      <c r="C117" s="45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46" t="str" cm="1">
        <f t="array" ref="D117">IFERROR(_xlfn.LET(
_xlpm.CSVVal,_xlfn.XLOOKUP($A117,CSV!$A:$A,CSV!C:C,""),
_xlpm.MacVal,_xlfn.XLOOKUP($A117,Output_Mac!$A:$A,Output_Mac!D:D,""),
_xlpm.MyAuditVal,_xlfn.XLOOKUP($A117,My_Audit!$A:$A,My_Audit!C:C,""),
_xlfn.IFS(_xlpm.MyAuditVal&lt;&gt;"",UPPER(_xlpm.MyAuditVal),_xlpm.MacVal&lt;&gt;"",_xlpm.MacVal,_xlpm.CSVVal&lt;&gt;"",_xlpm.CSVVal
)),"")</f>
        <v/>
      </c>
      <c r="E117" s="46" t="str" cm="1">
        <f t="array" ref="E117">IFERROR(_xlfn.LET(
_xlpm.CSVVal,_xlfn.XLOOKUP($A117,CSV!$A:$A,CSV!E:E,""),
_xlpm.MacVal,_xlfn.XLOOKUP($A117,Output_Mac!$A:$A,Output_Mac!C:C,""),
_xlpm.MyAuditVal,_xlfn.XLOOKUP($A117,My_Audit!$A:$A,My_Audit!D:D,""),
_xlfn.IFS(_xlpm.MyAuditVal&lt;&gt;"",_xlpm.MyAuditVal,_xlpm.MacVal&lt;&gt;"",_xlpm.MacVal,_xlpm.CSVVal&lt;&gt;"",_xlpm.CSVVal
)),"")</f>
        <v/>
      </c>
      <c r="F117" s="45" t="str" cm="1">
        <f t="array" ref="F117">IFERROR(_xlfn.LET(
_xlpm.CSVVal,_xlfn.XLOOKUP($A117,CSV!$A:$A,CSV!F:F,""),
_xlpm.MacVal,_xlfn.XLOOKUP($A117,Output_Mac!$A:$A,Output_Mac!F:F,""),
_xlpm.MyAuditVal,_xlfn.XLOOKUP($A117,My_Audit!$A:$A,My_Audit!E:E,""),
_xlfn.IFS(_xlpm.MyAuditVal&lt;&gt;"",_xlpm.MyAuditVal,_xlpm.MacVal&lt;&gt;"",_xlpm.MacVal,_xlpm.CSVVal&lt;&gt;"",PROPER(_xlpm.CSVVal)
)),"")</f>
        <v/>
      </c>
      <c r="G117" s="45" t="str" cm="1">
        <f t="array" ref="G117">IFERROR(_xlfn.LET(
_xlpm.CSVVal,_xlfn.XLOOKUP($A117,CSV!$A:$A,CSV!G:G,""),
_xlpm.MacVal,_xlfn.XLOOKUP($A117,Output_Mac!$A:$A,Output_Mac!H:H,""),
_xlpm.MyAuditVal,_xlfn.XLOOKUP($A117,My_Audit!$A:$A,My_Audit!F:F,""),
_xlfn.IFS(_xlpm.MyAuditVal&lt;&gt;"",_xlpm.MyAuditVal,_xlpm.MacVal&lt;&gt;"",_xlpm.MacVal,_xlpm.CSVVal&lt;&gt;"",_xlpm.CSVVal
)),"")</f>
        <v/>
      </c>
      <c r="H117" s="45" t="str">
        <f>_xlfn.XLOOKUP(A117,Output_Mac!A:A,Output_Mac!I:I,"")</f>
        <v/>
      </c>
      <c r="I117" s="45" t="str" cm="1">
        <f t="array" ref="I117">IFERROR(_xlfn.LET(
_xlpm.CSVVal,_xlfn.XLOOKUP($A117,CSV!$A:$A,CSV!H:H,""),
_xlpm.MacVal,_xlfn.XLOOKUP($A117,Output_Mac!$A:$A,Output_Mac!J:J,""),
_xlpm.MyAuditVal,_xlfn.XLOOKUP($A117,My_Audit!$A:$A,My_Audit!H:H,""),
_xlfn.IFS(_xlpm.MyAuditVal&lt;&gt;"",UPPER(_xlpm.MyAuditVal),_xlpm.MacVal&lt;&gt;"",_xlpm.MacVal,_xlpm.CSVVal&lt;&gt;"",_xlpm.CSVVal
)),"")</f>
        <v/>
      </c>
      <c r="J117" s="45" t="str" cm="1">
        <f t="array" ref="J117">IFERROR(_xlfn.LET(
_xlpm.CSVVal,_xlfn.XLOOKUP($A117,CSV!$A:$A,CSV!J:J,""),
_xlpm.MacVal,_xlfn.XLOOKUP($A117,Output_Mac!$A:$A,Output_Mac!K:K,""),
_xlpm.MyAuditVal,_xlfn.XLOOKUP($A117,My_Audit!$A:$A,My_Audit!I:I,""),
_xlfn.IFS(_xlpm.MyAuditVal&lt;&gt;"",UPPER(_xlpm.MyAuditVal),_xlpm.MacVal&lt;&gt;"",_xlpm.MacVal,_xlpm.CSVVal&lt;&gt;"",_xlpm.CSVVal
)),"")</f>
        <v/>
      </c>
      <c r="K117" s="45" t="str" cm="1">
        <f t="array" ref="K117">IFERROR(_xlfn.LET(
_xlpm.CSVVal,_xlfn.XLOOKUP($A117,CSV!$A:$A,CSV!N:N,""),
_xlpm.MacVal,_xlfn.XLOOKUP($A117,Output_Mac!$A:$A,Output_Mac!L:L,""),
_xlpm.MyAuditVal,_xlfn.XLOOKUP($A117,My_Audit!$A:$A,My_Audit!J:J,""),
_xlfn.IFS(_xlpm.MyAuditVal&lt;&gt;"",UPPER(_xlpm.MyAuditVal),_xlpm.MacVal&lt;&gt;"",_xlpm.MacVal,_xlpm.CSVVal&lt;&gt;"",_xlpm.CSVVal
)),"")</f>
        <v/>
      </c>
      <c r="L117" s="46" t="str" cm="1">
        <f t="array" ref="L117">IFERROR(_xlfn.LET(
_xlpm.CSVVal,_xlfn.XLOOKUP($A117,CSV!$A:$A,CSV!Q:Q,""),
_xlpm.MacVal,_xlfn.XLOOKUP($A117,Output_Mac!$A:$A,Output_Mac!M:M,""),
_xlpm.MyAuditVal,_xlfn.XLOOKUP($A117,My_Audit!$A:$A,My_Audit!K:K,""),
_xlfn.IFS(_xlpm.MyAuditVal&lt;&gt;"",UPPER(_xlpm.MyAuditVal),_xlpm.MacVal&lt;&gt;"",_xlpm.MacVal,_xlpm.CSVVal&lt;&gt;"",_xlpm.CSVVal
)),"")</f>
        <v/>
      </c>
      <c r="M117" s="45" t="str">
        <f>_xlfn.LET(
    _xlpm.CSVVal, _xlfn.XLOOKUP($A117, CSV!$A:$A, CSV!AE:AE, ""),
    _xlpm.MacVal, _xlfn.XLOOKUP($A117, Output_Mac!$A:$A, Output_Mac!S:S, ""),
    _xlpm.MyAuditVal, _xlfn.XLOOKUP($A117, My_Audit!$A:$A, My_Audit!N:N, ""),
    _xlfn.TEXTJOIN(", ", TRUE, _xlpm.MyAuditVal, _xlpm.MacVal, _xlpm.CSVVal)
)</f>
        <v/>
      </c>
      <c r="N117" s="45" t="str" cm="1">
        <f t="array" ref="N117">IFERROR(_xlfn.LET(
_xlpm.CSVVal,_xlfn.XLOOKUP($A117,CSV!$A:$A,CSV!AG:AG,""),
_xlpm.MacVal,_xlfn.XLOOKUP($A117,Output_Mac!$A:$A,Output_Mac!U:U,""),
_xlpm.MyAuditVal,_xlfn.XLOOKUP($A117,My_Audit!$A:$A,My_Audit!O:O,""),
_xlfn.IFS(_xlpm.MyAuditVal&lt;&gt;"",UPPER(_xlpm.MyAuditVal),_xlpm.MacVal&lt;&gt;"",_xlpm.MacVal,_xlpm.CSVVal&lt;&gt;"",_xlpm.CSVVal
)),"")</f>
        <v/>
      </c>
      <c r="O117" s="46" t="str">
        <f>_xlfn.XLOOKUP(C117,My_Audit!B:B,My_Audit!P:P,"")&amp;""</f>
        <v/>
      </c>
      <c r="P117" s="45"/>
      <c r="Q117" s="46" t="str">
        <f>IF(LEFT(N117,4)="Pass","Nist SP 800-88",My_Audit!R117)&amp;""</f>
        <v/>
      </c>
      <c r="R117" s="45"/>
      <c r="S117" s="45"/>
      <c r="T117" s="46" t="str">
        <f>_xlfn.XLOOKUP(E117,Models!I:I,Models!J:J,"")</f>
        <v/>
      </c>
      <c r="U117" s="45"/>
      <c r="V117" s="45"/>
      <c r="W117" s="38" t="str">
        <f>_xlfn.LET(
    _xlpm.MacVal, _xlfn.XLOOKUP($A117, Output_Mac!$A:$A, Output_Mac!AB:AB, ""),
    _xlpm.MyAuditVal, _xlfn.XLOOKUP($A117, My_Audit!$A:$A, My_Audit!L:L, ""),
    _xlfn.TEXTJOIN(", ", TRUE, _xlpm.MyAuditVal, _xlpm.MacVal)
)</f>
        <v/>
      </c>
    </row>
    <row r="118" spans="1:23">
      <c r="A118" s="45" t="str">
        <f>_xlfn.TEXTJOIN("",TRUE,Input!$B$2,ROW(My_Audit!A117))</f>
        <v>XX117</v>
      </c>
      <c r="B118" s="45" t="str">
        <f>_xlfn.TEXTJOIN("-",TRUE,"ITD",Input!$A$2,A118)</f>
        <v>ITD-SHRXXX-XX117</v>
      </c>
      <c r="C118" s="45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46" t="str" cm="1">
        <f t="array" ref="D118">IFERROR(_xlfn.LET(
_xlpm.CSVVal,_xlfn.XLOOKUP($A118,CSV!$A:$A,CSV!C:C,""),
_xlpm.MacVal,_xlfn.XLOOKUP($A118,Output_Mac!$A:$A,Output_Mac!D:D,""),
_xlpm.MyAuditVal,_xlfn.XLOOKUP($A118,My_Audit!$A:$A,My_Audit!C:C,""),
_xlfn.IFS(_xlpm.MyAuditVal&lt;&gt;"",UPPER(_xlpm.MyAuditVal),_xlpm.MacVal&lt;&gt;"",_xlpm.MacVal,_xlpm.CSVVal&lt;&gt;"",_xlpm.CSVVal
)),"")</f>
        <v/>
      </c>
      <c r="E118" s="46" t="str" cm="1">
        <f t="array" ref="E118">IFERROR(_xlfn.LET(
_xlpm.CSVVal,_xlfn.XLOOKUP($A118,CSV!$A:$A,CSV!E:E,""),
_xlpm.MacVal,_xlfn.XLOOKUP($A118,Output_Mac!$A:$A,Output_Mac!C:C,""),
_xlpm.MyAuditVal,_xlfn.XLOOKUP($A118,My_Audit!$A:$A,My_Audit!D:D,""),
_xlfn.IFS(_xlpm.MyAuditVal&lt;&gt;"",_xlpm.MyAuditVal,_xlpm.MacVal&lt;&gt;"",_xlpm.MacVal,_xlpm.CSVVal&lt;&gt;"",_xlpm.CSVVal
)),"")</f>
        <v/>
      </c>
      <c r="F118" s="45" t="str" cm="1">
        <f t="array" ref="F118">IFERROR(_xlfn.LET(
_xlpm.CSVVal,_xlfn.XLOOKUP($A118,CSV!$A:$A,CSV!F:F,""),
_xlpm.MacVal,_xlfn.XLOOKUP($A118,Output_Mac!$A:$A,Output_Mac!F:F,""),
_xlpm.MyAuditVal,_xlfn.XLOOKUP($A118,My_Audit!$A:$A,My_Audit!E:E,""),
_xlfn.IFS(_xlpm.MyAuditVal&lt;&gt;"",_xlpm.MyAuditVal,_xlpm.MacVal&lt;&gt;"",_xlpm.MacVal,_xlpm.CSVVal&lt;&gt;"",PROPER(_xlpm.CSVVal)
)),"")</f>
        <v/>
      </c>
      <c r="G118" s="45" t="str" cm="1">
        <f t="array" ref="G118">IFERROR(_xlfn.LET(
_xlpm.CSVVal,_xlfn.XLOOKUP($A118,CSV!$A:$A,CSV!G:G,""),
_xlpm.MacVal,_xlfn.XLOOKUP($A118,Output_Mac!$A:$A,Output_Mac!H:H,""),
_xlpm.MyAuditVal,_xlfn.XLOOKUP($A118,My_Audit!$A:$A,My_Audit!F:F,""),
_xlfn.IFS(_xlpm.MyAuditVal&lt;&gt;"",_xlpm.MyAuditVal,_xlpm.MacVal&lt;&gt;"",_xlpm.MacVal,_xlpm.CSVVal&lt;&gt;"",_xlpm.CSVVal
)),"")</f>
        <v/>
      </c>
      <c r="H118" s="45" t="str">
        <f>_xlfn.XLOOKUP(A118,Output_Mac!A:A,Output_Mac!I:I,"")</f>
        <v/>
      </c>
      <c r="I118" s="45" t="str" cm="1">
        <f t="array" ref="I118">IFERROR(_xlfn.LET(
_xlpm.CSVVal,_xlfn.XLOOKUP($A118,CSV!$A:$A,CSV!H:H,""),
_xlpm.MacVal,_xlfn.XLOOKUP($A118,Output_Mac!$A:$A,Output_Mac!J:J,""),
_xlpm.MyAuditVal,_xlfn.XLOOKUP($A118,My_Audit!$A:$A,My_Audit!H:H,""),
_xlfn.IFS(_xlpm.MyAuditVal&lt;&gt;"",UPPER(_xlpm.MyAuditVal),_xlpm.MacVal&lt;&gt;"",_xlpm.MacVal,_xlpm.CSVVal&lt;&gt;"",_xlpm.CSVVal
)),"")</f>
        <v/>
      </c>
      <c r="J118" s="45" t="str" cm="1">
        <f t="array" ref="J118">IFERROR(_xlfn.LET(
_xlpm.CSVVal,_xlfn.XLOOKUP($A118,CSV!$A:$A,CSV!J:J,""),
_xlpm.MacVal,_xlfn.XLOOKUP($A118,Output_Mac!$A:$A,Output_Mac!K:K,""),
_xlpm.MyAuditVal,_xlfn.XLOOKUP($A118,My_Audit!$A:$A,My_Audit!I:I,""),
_xlfn.IFS(_xlpm.MyAuditVal&lt;&gt;"",UPPER(_xlpm.MyAuditVal),_xlpm.MacVal&lt;&gt;"",_xlpm.MacVal,_xlpm.CSVVal&lt;&gt;"",_xlpm.CSVVal
)),"")</f>
        <v/>
      </c>
      <c r="K118" s="45" t="str" cm="1">
        <f t="array" ref="K118">IFERROR(_xlfn.LET(
_xlpm.CSVVal,_xlfn.XLOOKUP($A118,CSV!$A:$A,CSV!N:N,""),
_xlpm.MacVal,_xlfn.XLOOKUP($A118,Output_Mac!$A:$A,Output_Mac!L:L,""),
_xlpm.MyAuditVal,_xlfn.XLOOKUP($A118,My_Audit!$A:$A,My_Audit!J:J,""),
_xlfn.IFS(_xlpm.MyAuditVal&lt;&gt;"",UPPER(_xlpm.MyAuditVal),_xlpm.MacVal&lt;&gt;"",_xlpm.MacVal,_xlpm.CSVVal&lt;&gt;"",_xlpm.CSVVal
)),"")</f>
        <v/>
      </c>
      <c r="L118" s="46" t="str" cm="1">
        <f t="array" ref="L118">IFERROR(_xlfn.LET(
_xlpm.CSVVal,_xlfn.XLOOKUP($A118,CSV!$A:$A,CSV!Q:Q,""),
_xlpm.MacVal,_xlfn.XLOOKUP($A118,Output_Mac!$A:$A,Output_Mac!M:M,""),
_xlpm.MyAuditVal,_xlfn.XLOOKUP($A118,My_Audit!$A:$A,My_Audit!K:K,""),
_xlfn.IFS(_xlpm.MyAuditVal&lt;&gt;"",UPPER(_xlpm.MyAuditVal),_xlpm.MacVal&lt;&gt;"",_xlpm.MacVal,_xlpm.CSVVal&lt;&gt;"",_xlpm.CSVVal
)),"")</f>
        <v/>
      </c>
      <c r="M118" s="45" t="str">
        <f>_xlfn.LET(
    _xlpm.CSVVal, _xlfn.XLOOKUP($A118, CSV!$A:$A, CSV!AE:AE, ""),
    _xlpm.MacVal, _xlfn.XLOOKUP($A118, Output_Mac!$A:$A, Output_Mac!S:S, ""),
    _xlpm.MyAuditVal, _xlfn.XLOOKUP($A118, My_Audit!$A:$A, My_Audit!N:N, ""),
    _xlfn.TEXTJOIN(", ", TRUE, _xlpm.MyAuditVal, _xlpm.MacVal, _xlpm.CSVVal)
)</f>
        <v/>
      </c>
      <c r="N118" s="45" t="str" cm="1">
        <f t="array" ref="N118">IFERROR(_xlfn.LET(
_xlpm.CSVVal,_xlfn.XLOOKUP($A118,CSV!$A:$A,CSV!AG:AG,""),
_xlpm.MacVal,_xlfn.XLOOKUP($A118,Output_Mac!$A:$A,Output_Mac!U:U,""),
_xlpm.MyAuditVal,_xlfn.XLOOKUP($A118,My_Audit!$A:$A,My_Audit!O:O,""),
_xlfn.IFS(_xlpm.MyAuditVal&lt;&gt;"",UPPER(_xlpm.MyAuditVal),_xlpm.MacVal&lt;&gt;"",_xlpm.MacVal,_xlpm.CSVVal&lt;&gt;"",_xlpm.CSVVal
)),"")</f>
        <v/>
      </c>
      <c r="O118" s="46" t="str">
        <f>_xlfn.XLOOKUP(C118,My_Audit!B:B,My_Audit!P:P,"")&amp;""</f>
        <v/>
      </c>
      <c r="P118" s="45"/>
      <c r="Q118" s="46" t="str">
        <f>IF(LEFT(N118,4)="Pass","Nist SP 800-88",My_Audit!R118)&amp;""</f>
        <v/>
      </c>
      <c r="R118" s="45"/>
      <c r="S118" s="45"/>
      <c r="T118" s="46" t="str">
        <f>_xlfn.XLOOKUP(E118,Models!I:I,Models!J:J,"")</f>
        <v/>
      </c>
      <c r="U118" s="45"/>
      <c r="V118" s="45"/>
      <c r="W118" s="38" t="str">
        <f>_xlfn.LET(
    _xlpm.MacVal, _xlfn.XLOOKUP($A118, Output_Mac!$A:$A, Output_Mac!AB:AB, ""),
    _xlpm.MyAuditVal, _xlfn.XLOOKUP($A118, My_Audit!$A:$A, My_Audit!L:L, ""),
    _xlfn.TEXTJOIN(", ", TRUE, _xlpm.MyAuditVal, _xlpm.MacVal)
)</f>
        <v/>
      </c>
    </row>
    <row r="119" spans="1:23">
      <c r="A119" s="45" t="str">
        <f>_xlfn.TEXTJOIN("",TRUE,Input!$B$2,ROW(My_Audit!A118))</f>
        <v>XX118</v>
      </c>
      <c r="B119" s="45" t="str">
        <f>_xlfn.TEXTJOIN("-",TRUE,"ITD",Input!$A$2,A119)</f>
        <v>ITD-SHRXXX-XX118</v>
      </c>
      <c r="C119" s="45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46" t="str" cm="1">
        <f t="array" ref="D119">IFERROR(_xlfn.LET(
_xlpm.CSVVal,_xlfn.XLOOKUP($A119,CSV!$A:$A,CSV!C:C,""),
_xlpm.MacVal,_xlfn.XLOOKUP($A119,Output_Mac!$A:$A,Output_Mac!D:D,""),
_xlpm.MyAuditVal,_xlfn.XLOOKUP($A119,My_Audit!$A:$A,My_Audit!C:C,""),
_xlfn.IFS(_xlpm.MyAuditVal&lt;&gt;"",UPPER(_xlpm.MyAuditVal),_xlpm.MacVal&lt;&gt;"",_xlpm.MacVal,_xlpm.CSVVal&lt;&gt;"",_xlpm.CSVVal
)),"")</f>
        <v/>
      </c>
      <c r="E119" s="46" t="str" cm="1">
        <f t="array" ref="E119">IFERROR(_xlfn.LET(
_xlpm.CSVVal,_xlfn.XLOOKUP($A119,CSV!$A:$A,CSV!E:E,""),
_xlpm.MacVal,_xlfn.XLOOKUP($A119,Output_Mac!$A:$A,Output_Mac!C:C,""),
_xlpm.MyAuditVal,_xlfn.XLOOKUP($A119,My_Audit!$A:$A,My_Audit!D:D,""),
_xlfn.IFS(_xlpm.MyAuditVal&lt;&gt;"",_xlpm.MyAuditVal,_xlpm.MacVal&lt;&gt;"",_xlpm.MacVal,_xlpm.CSVVal&lt;&gt;"",_xlpm.CSVVal
)),"")</f>
        <v/>
      </c>
      <c r="F119" s="45" t="str" cm="1">
        <f t="array" ref="F119">IFERROR(_xlfn.LET(
_xlpm.CSVVal,_xlfn.XLOOKUP($A119,CSV!$A:$A,CSV!F:F,""),
_xlpm.MacVal,_xlfn.XLOOKUP($A119,Output_Mac!$A:$A,Output_Mac!F:F,""),
_xlpm.MyAuditVal,_xlfn.XLOOKUP($A119,My_Audit!$A:$A,My_Audit!E:E,""),
_xlfn.IFS(_xlpm.MyAuditVal&lt;&gt;"",_xlpm.MyAuditVal,_xlpm.MacVal&lt;&gt;"",_xlpm.MacVal,_xlpm.CSVVal&lt;&gt;"",PROPER(_xlpm.CSVVal)
)),"")</f>
        <v/>
      </c>
      <c r="G119" s="45" t="str" cm="1">
        <f t="array" ref="G119">IFERROR(_xlfn.LET(
_xlpm.CSVVal,_xlfn.XLOOKUP($A119,CSV!$A:$A,CSV!G:G,""),
_xlpm.MacVal,_xlfn.XLOOKUP($A119,Output_Mac!$A:$A,Output_Mac!H:H,""),
_xlpm.MyAuditVal,_xlfn.XLOOKUP($A119,My_Audit!$A:$A,My_Audit!F:F,""),
_xlfn.IFS(_xlpm.MyAuditVal&lt;&gt;"",_xlpm.MyAuditVal,_xlpm.MacVal&lt;&gt;"",_xlpm.MacVal,_xlpm.CSVVal&lt;&gt;"",_xlpm.CSVVal
)),"")</f>
        <v/>
      </c>
      <c r="H119" s="45" t="str">
        <f>_xlfn.XLOOKUP(A119,Output_Mac!A:A,Output_Mac!I:I,"")</f>
        <v/>
      </c>
      <c r="I119" s="45" t="str" cm="1">
        <f t="array" ref="I119">IFERROR(_xlfn.LET(
_xlpm.CSVVal,_xlfn.XLOOKUP($A119,CSV!$A:$A,CSV!H:H,""),
_xlpm.MacVal,_xlfn.XLOOKUP($A119,Output_Mac!$A:$A,Output_Mac!J:J,""),
_xlpm.MyAuditVal,_xlfn.XLOOKUP($A119,My_Audit!$A:$A,My_Audit!H:H,""),
_xlfn.IFS(_xlpm.MyAuditVal&lt;&gt;"",UPPER(_xlpm.MyAuditVal),_xlpm.MacVal&lt;&gt;"",_xlpm.MacVal,_xlpm.CSVVal&lt;&gt;"",_xlpm.CSVVal
)),"")</f>
        <v/>
      </c>
      <c r="J119" s="45" t="str" cm="1">
        <f t="array" ref="J119">IFERROR(_xlfn.LET(
_xlpm.CSVVal,_xlfn.XLOOKUP($A119,CSV!$A:$A,CSV!J:J,""),
_xlpm.MacVal,_xlfn.XLOOKUP($A119,Output_Mac!$A:$A,Output_Mac!K:K,""),
_xlpm.MyAuditVal,_xlfn.XLOOKUP($A119,My_Audit!$A:$A,My_Audit!I:I,""),
_xlfn.IFS(_xlpm.MyAuditVal&lt;&gt;"",UPPER(_xlpm.MyAuditVal),_xlpm.MacVal&lt;&gt;"",_xlpm.MacVal,_xlpm.CSVVal&lt;&gt;"",_xlpm.CSVVal
)),"")</f>
        <v/>
      </c>
      <c r="K119" s="45" t="str" cm="1">
        <f t="array" ref="K119">IFERROR(_xlfn.LET(
_xlpm.CSVVal,_xlfn.XLOOKUP($A119,CSV!$A:$A,CSV!N:N,""),
_xlpm.MacVal,_xlfn.XLOOKUP($A119,Output_Mac!$A:$A,Output_Mac!L:L,""),
_xlpm.MyAuditVal,_xlfn.XLOOKUP($A119,My_Audit!$A:$A,My_Audit!J:J,""),
_xlfn.IFS(_xlpm.MyAuditVal&lt;&gt;"",UPPER(_xlpm.MyAuditVal),_xlpm.MacVal&lt;&gt;"",_xlpm.MacVal,_xlpm.CSVVal&lt;&gt;"",_xlpm.CSVVal
)),"")</f>
        <v/>
      </c>
      <c r="L119" s="46" t="str" cm="1">
        <f t="array" ref="L119">IFERROR(_xlfn.LET(
_xlpm.CSVVal,_xlfn.XLOOKUP($A119,CSV!$A:$A,CSV!Q:Q,""),
_xlpm.MacVal,_xlfn.XLOOKUP($A119,Output_Mac!$A:$A,Output_Mac!M:M,""),
_xlpm.MyAuditVal,_xlfn.XLOOKUP($A119,My_Audit!$A:$A,My_Audit!K:K,""),
_xlfn.IFS(_xlpm.MyAuditVal&lt;&gt;"",UPPER(_xlpm.MyAuditVal),_xlpm.MacVal&lt;&gt;"",_xlpm.MacVal,_xlpm.CSVVal&lt;&gt;"",_xlpm.CSVVal
)),"")</f>
        <v/>
      </c>
      <c r="M119" s="45" t="str">
        <f>_xlfn.LET(
    _xlpm.CSVVal, _xlfn.XLOOKUP($A119, CSV!$A:$A, CSV!AE:AE, ""),
    _xlpm.MacVal, _xlfn.XLOOKUP($A119, Output_Mac!$A:$A, Output_Mac!S:S, ""),
    _xlpm.MyAuditVal, _xlfn.XLOOKUP($A119, My_Audit!$A:$A, My_Audit!N:N, ""),
    _xlfn.TEXTJOIN(", ", TRUE, _xlpm.MyAuditVal, _xlpm.MacVal, _xlpm.CSVVal)
)</f>
        <v/>
      </c>
      <c r="N119" s="45" t="str" cm="1">
        <f t="array" ref="N119">IFERROR(_xlfn.LET(
_xlpm.CSVVal,_xlfn.XLOOKUP($A119,CSV!$A:$A,CSV!AG:AG,""),
_xlpm.MacVal,_xlfn.XLOOKUP($A119,Output_Mac!$A:$A,Output_Mac!U:U,""),
_xlpm.MyAuditVal,_xlfn.XLOOKUP($A119,My_Audit!$A:$A,My_Audit!O:O,""),
_xlfn.IFS(_xlpm.MyAuditVal&lt;&gt;"",UPPER(_xlpm.MyAuditVal),_xlpm.MacVal&lt;&gt;"",_xlpm.MacVal,_xlpm.CSVVal&lt;&gt;"",_xlpm.CSVVal
)),"")</f>
        <v/>
      </c>
      <c r="O119" s="46" t="str">
        <f>_xlfn.XLOOKUP(C119,My_Audit!B:B,My_Audit!P:P,"")&amp;""</f>
        <v/>
      </c>
      <c r="P119" s="45"/>
      <c r="Q119" s="46" t="str">
        <f>IF(LEFT(N119,4)="Pass","Nist SP 800-88",My_Audit!R119)&amp;""</f>
        <v/>
      </c>
      <c r="R119" s="45"/>
      <c r="S119" s="45"/>
      <c r="T119" s="46" t="str">
        <f>_xlfn.XLOOKUP(E119,Models!I:I,Models!J:J,"")</f>
        <v/>
      </c>
      <c r="U119" s="45"/>
      <c r="V119" s="45"/>
      <c r="W119" s="38" t="str">
        <f>_xlfn.LET(
    _xlpm.MacVal, _xlfn.XLOOKUP($A119, Output_Mac!$A:$A, Output_Mac!AB:AB, ""),
    _xlpm.MyAuditVal, _xlfn.XLOOKUP($A119, My_Audit!$A:$A, My_Audit!L:L, ""),
    _xlfn.TEXTJOIN(", ", TRUE, _xlpm.MyAuditVal, _xlpm.MacVal)
)</f>
        <v/>
      </c>
    </row>
    <row r="120" spans="1:23">
      <c r="A120" s="45" t="str">
        <f>_xlfn.TEXTJOIN("",TRUE,Input!$B$2,ROW(My_Audit!A119))</f>
        <v>XX119</v>
      </c>
      <c r="B120" s="45" t="str">
        <f>_xlfn.TEXTJOIN("-",TRUE,"ITD",Input!$A$2,A120)</f>
        <v>ITD-SHRXXX-XX119</v>
      </c>
      <c r="C120" s="45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46" t="str" cm="1">
        <f t="array" ref="D120">IFERROR(_xlfn.LET(
_xlpm.CSVVal,_xlfn.XLOOKUP($A120,CSV!$A:$A,CSV!C:C,""),
_xlpm.MacVal,_xlfn.XLOOKUP($A120,Output_Mac!$A:$A,Output_Mac!D:D,""),
_xlpm.MyAuditVal,_xlfn.XLOOKUP($A120,My_Audit!$A:$A,My_Audit!C:C,""),
_xlfn.IFS(_xlpm.MyAuditVal&lt;&gt;"",UPPER(_xlpm.MyAuditVal),_xlpm.MacVal&lt;&gt;"",_xlpm.MacVal,_xlpm.CSVVal&lt;&gt;"",_xlpm.CSVVal
)),"")</f>
        <v/>
      </c>
      <c r="E120" s="46" t="str" cm="1">
        <f t="array" ref="E120">IFERROR(_xlfn.LET(
_xlpm.CSVVal,_xlfn.XLOOKUP($A120,CSV!$A:$A,CSV!E:E,""),
_xlpm.MacVal,_xlfn.XLOOKUP($A120,Output_Mac!$A:$A,Output_Mac!C:C,""),
_xlpm.MyAuditVal,_xlfn.XLOOKUP($A120,My_Audit!$A:$A,My_Audit!D:D,""),
_xlfn.IFS(_xlpm.MyAuditVal&lt;&gt;"",_xlpm.MyAuditVal,_xlpm.MacVal&lt;&gt;"",_xlpm.MacVal,_xlpm.CSVVal&lt;&gt;"",_xlpm.CSVVal
)),"")</f>
        <v/>
      </c>
      <c r="F120" s="45" t="str" cm="1">
        <f t="array" ref="F120">IFERROR(_xlfn.LET(
_xlpm.CSVVal,_xlfn.XLOOKUP($A120,CSV!$A:$A,CSV!F:F,""),
_xlpm.MacVal,_xlfn.XLOOKUP($A120,Output_Mac!$A:$A,Output_Mac!F:F,""),
_xlpm.MyAuditVal,_xlfn.XLOOKUP($A120,My_Audit!$A:$A,My_Audit!E:E,""),
_xlfn.IFS(_xlpm.MyAuditVal&lt;&gt;"",_xlpm.MyAuditVal,_xlpm.MacVal&lt;&gt;"",_xlpm.MacVal,_xlpm.CSVVal&lt;&gt;"",PROPER(_xlpm.CSVVal)
)),"")</f>
        <v/>
      </c>
      <c r="G120" s="45" t="str" cm="1">
        <f t="array" ref="G120">IFERROR(_xlfn.LET(
_xlpm.CSVVal,_xlfn.XLOOKUP($A120,CSV!$A:$A,CSV!G:G,""),
_xlpm.MacVal,_xlfn.XLOOKUP($A120,Output_Mac!$A:$A,Output_Mac!H:H,""),
_xlpm.MyAuditVal,_xlfn.XLOOKUP($A120,My_Audit!$A:$A,My_Audit!F:F,""),
_xlfn.IFS(_xlpm.MyAuditVal&lt;&gt;"",_xlpm.MyAuditVal,_xlpm.MacVal&lt;&gt;"",_xlpm.MacVal,_xlpm.CSVVal&lt;&gt;"",_xlpm.CSVVal
)),"")</f>
        <v/>
      </c>
      <c r="H120" s="45" t="str">
        <f>_xlfn.XLOOKUP(A120,Output_Mac!A:A,Output_Mac!I:I,"")</f>
        <v/>
      </c>
      <c r="I120" s="45" t="str" cm="1">
        <f t="array" ref="I120">IFERROR(_xlfn.LET(
_xlpm.CSVVal,_xlfn.XLOOKUP($A120,CSV!$A:$A,CSV!H:H,""),
_xlpm.MacVal,_xlfn.XLOOKUP($A120,Output_Mac!$A:$A,Output_Mac!J:J,""),
_xlpm.MyAuditVal,_xlfn.XLOOKUP($A120,My_Audit!$A:$A,My_Audit!H:H,""),
_xlfn.IFS(_xlpm.MyAuditVal&lt;&gt;"",UPPER(_xlpm.MyAuditVal),_xlpm.MacVal&lt;&gt;"",_xlpm.MacVal,_xlpm.CSVVal&lt;&gt;"",_xlpm.CSVVal
)),"")</f>
        <v/>
      </c>
      <c r="J120" s="45" t="str" cm="1">
        <f t="array" ref="J120">IFERROR(_xlfn.LET(
_xlpm.CSVVal,_xlfn.XLOOKUP($A120,CSV!$A:$A,CSV!J:J,""),
_xlpm.MacVal,_xlfn.XLOOKUP($A120,Output_Mac!$A:$A,Output_Mac!K:K,""),
_xlpm.MyAuditVal,_xlfn.XLOOKUP($A120,My_Audit!$A:$A,My_Audit!I:I,""),
_xlfn.IFS(_xlpm.MyAuditVal&lt;&gt;"",UPPER(_xlpm.MyAuditVal),_xlpm.MacVal&lt;&gt;"",_xlpm.MacVal,_xlpm.CSVVal&lt;&gt;"",_xlpm.CSVVal
)),"")</f>
        <v/>
      </c>
      <c r="K120" s="45" t="str" cm="1">
        <f t="array" ref="K120">IFERROR(_xlfn.LET(
_xlpm.CSVVal,_xlfn.XLOOKUP($A120,CSV!$A:$A,CSV!N:N,""),
_xlpm.MacVal,_xlfn.XLOOKUP($A120,Output_Mac!$A:$A,Output_Mac!L:L,""),
_xlpm.MyAuditVal,_xlfn.XLOOKUP($A120,My_Audit!$A:$A,My_Audit!J:J,""),
_xlfn.IFS(_xlpm.MyAuditVal&lt;&gt;"",UPPER(_xlpm.MyAuditVal),_xlpm.MacVal&lt;&gt;"",_xlpm.MacVal,_xlpm.CSVVal&lt;&gt;"",_xlpm.CSVVal
)),"")</f>
        <v/>
      </c>
      <c r="L120" s="46" t="str" cm="1">
        <f t="array" ref="L120">IFERROR(_xlfn.LET(
_xlpm.CSVVal,_xlfn.XLOOKUP($A120,CSV!$A:$A,CSV!Q:Q,""),
_xlpm.MacVal,_xlfn.XLOOKUP($A120,Output_Mac!$A:$A,Output_Mac!M:M,""),
_xlpm.MyAuditVal,_xlfn.XLOOKUP($A120,My_Audit!$A:$A,My_Audit!K:K,""),
_xlfn.IFS(_xlpm.MyAuditVal&lt;&gt;"",UPPER(_xlpm.MyAuditVal),_xlpm.MacVal&lt;&gt;"",_xlpm.MacVal,_xlpm.CSVVal&lt;&gt;"",_xlpm.CSVVal
)),"")</f>
        <v/>
      </c>
      <c r="M120" s="45" t="str">
        <f>_xlfn.LET(
    _xlpm.CSVVal, _xlfn.XLOOKUP($A120, CSV!$A:$A, CSV!AE:AE, ""),
    _xlpm.MacVal, _xlfn.XLOOKUP($A120, Output_Mac!$A:$A, Output_Mac!S:S, ""),
    _xlpm.MyAuditVal, _xlfn.XLOOKUP($A120, My_Audit!$A:$A, My_Audit!N:N, ""),
    _xlfn.TEXTJOIN(", ", TRUE, _xlpm.MyAuditVal, _xlpm.MacVal, _xlpm.CSVVal)
)</f>
        <v/>
      </c>
      <c r="N120" s="45" t="str" cm="1">
        <f t="array" ref="N120">IFERROR(_xlfn.LET(
_xlpm.CSVVal,_xlfn.XLOOKUP($A120,CSV!$A:$A,CSV!AG:AG,""),
_xlpm.MacVal,_xlfn.XLOOKUP($A120,Output_Mac!$A:$A,Output_Mac!U:U,""),
_xlpm.MyAuditVal,_xlfn.XLOOKUP($A120,My_Audit!$A:$A,My_Audit!O:O,""),
_xlfn.IFS(_xlpm.MyAuditVal&lt;&gt;"",UPPER(_xlpm.MyAuditVal),_xlpm.MacVal&lt;&gt;"",_xlpm.MacVal,_xlpm.CSVVal&lt;&gt;"",_xlpm.CSVVal
)),"")</f>
        <v/>
      </c>
      <c r="O120" s="46" t="str">
        <f>_xlfn.XLOOKUP(C120,My_Audit!B:B,My_Audit!P:P,"")&amp;""</f>
        <v/>
      </c>
      <c r="P120" s="45"/>
      <c r="Q120" s="46" t="str">
        <f>IF(LEFT(N120,4)="Pass","Nist SP 800-88",My_Audit!R120)&amp;""</f>
        <v/>
      </c>
      <c r="R120" s="45"/>
      <c r="S120" s="45"/>
      <c r="T120" s="46" t="str">
        <f>_xlfn.XLOOKUP(E120,Models!I:I,Models!J:J,"")</f>
        <v/>
      </c>
      <c r="U120" s="45"/>
      <c r="V120" s="45"/>
      <c r="W120" s="38" t="str">
        <f>_xlfn.LET(
    _xlpm.MacVal, _xlfn.XLOOKUP($A120, Output_Mac!$A:$A, Output_Mac!AB:AB, ""),
    _xlpm.MyAuditVal, _xlfn.XLOOKUP($A120, My_Audit!$A:$A, My_Audit!L:L, ""),
    _xlfn.TEXTJOIN(", ", TRUE, _xlpm.MyAuditVal, _xlpm.MacVal)
)</f>
        <v/>
      </c>
    </row>
    <row r="121" spans="1:23">
      <c r="A121" s="45" t="str">
        <f>_xlfn.TEXTJOIN("",TRUE,Input!$B$2,ROW(My_Audit!A120))</f>
        <v>XX120</v>
      </c>
      <c r="B121" s="45" t="str">
        <f>_xlfn.TEXTJOIN("-",TRUE,"ITD",Input!$A$2,A121)</f>
        <v>ITD-SHRXXX-XX120</v>
      </c>
      <c r="C121" s="45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46" t="str" cm="1">
        <f t="array" ref="D121">IFERROR(_xlfn.LET(
_xlpm.CSVVal,_xlfn.XLOOKUP($A121,CSV!$A:$A,CSV!C:C,""),
_xlpm.MacVal,_xlfn.XLOOKUP($A121,Output_Mac!$A:$A,Output_Mac!D:D,""),
_xlpm.MyAuditVal,_xlfn.XLOOKUP($A121,My_Audit!$A:$A,My_Audit!C:C,""),
_xlfn.IFS(_xlpm.MyAuditVal&lt;&gt;"",UPPER(_xlpm.MyAuditVal),_xlpm.MacVal&lt;&gt;"",_xlpm.MacVal,_xlpm.CSVVal&lt;&gt;"",_xlpm.CSVVal
)),"")</f>
        <v/>
      </c>
      <c r="E121" s="46" t="str" cm="1">
        <f t="array" ref="E121">IFERROR(_xlfn.LET(
_xlpm.CSVVal,_xlfn.XLOOKUP($A121,CSV!$A:$A,CSV!E:E,""),
_xlpm.MacVal,_xlfn.XLOOKUP($A121,Output_Mac!$A:$A,Output_Mac!C:C,""),
_xlpm.MyAuditVal,_xlfn.XLOOKUP($A121,My_Audit!$A:$A,My_Audit!D:D,""),
_xlfn.IFS(_xlpm.MyAuditVal&lt;&gt;"",_xlpm.MyAuditVal,_xlpm.MacVal&lt;&gt;"",_xlpm.MacVal,_xlpm.CSVVal&lt;&gt;"",_xlpm.CSVVal
)),"")</f>
        <v/>
      </c>
      <c r="F121" s="45" t="str" cm="1">
        <f t="array" ref="F121">IFERROR(_xlfn.LET(
_xlpm.CSVVal,_xlfn.XLOOKUP($A121,CSV!$A:$A,CSV!F:F,""),
_xlpm.MacVal,_xlfn.XLOOKUP($A121,Output_Mac!$A:$A,Output_Mac!F:F,""),
_xlpm.MyAuditVal,_xlfn.XLOOKUP($A121,My_Audit!$A:$A,My_Audit!E:E,""),
_xlfn.IFS(_xlpm.MyAuditVal&lt;&gt;"",_xlpm.MyAuditVal,_xlpm.MacVal&lt;&gt;"",_xlpm.MacVal,_xlpm.CSVVal&lt;&gt;"",PROPER(_xlpm.CSVVal)
)),"")</f>
        <v/>
      </c>
      <c r="G121" s="45" t="str" cm="1">
        <f t="array" ref="G121">IFERROR(_xlfn.LET(
_xlpm.CSVVal,_xlfn.XLOOKUP($A121,CSV!$A:$A,CSV!G:G,""),
_xlpm.MacVal,_xlfn.XLOOKUP($A121,Output_Mac!$A:$A,Output_Mac!H:H,""),
_xlpm.MyAuditVal,_xlfn.XLOOKUP($A121,My_Audit!$A:$A,My_Audit!F:F,""),
_xlfn.IFS(_xlpm.MyAuditVal&lt;&gt;"",_xlpm.MyAuditVal,_xlpm.MacVal&lt;&gt;"",_xlpm.MacVal,_xlpm.CSVVal&lt;&gt;"",_xlpm.CSVVal
)),"")</f>
        <v/>
      </c>
      <c r="H121" s="45" t="str">
        <f>_xlfn.XLOOKUP(A121,Output_Mac!A:A,Output_Mac!I:I,"")</f>
        <v/>
      </c>
      <c r="I121" s="45" t="str" cm="1">
        <f t="array" ref="I121">IFERROR(_xlfn.LET(
_xlpm.CSVVal,_xlfn.XLOOKUP($A121,CSV!$A:$A,CSV!H:H,""),
_xlpm.MacVal,_xlfn.XLOOKUP($A121,Output_Mac!$A:$A,Output_Mac!J:J,""),
_xlpm.MyAuditVal,_xlfn.XLOOKUP($A121,My_Audit!$A:$A,My_Audit!H:H,""),
_xlfn.IFS(_xlpm.MyAuditVal&lt;&gt;"",UPPER(_xlpm.MyAuditVal),_xlpm.MacVal&lt;&gt;"",_xlpm.MacVal,_xlpm.CSVVal&lt;&gt;"",_xlpm.CSVVal
)),"")</f>
        <v/>
      </c>
      <c r="J121" s="45" t="str" cm="1">
        <f t="array" ref="J121">IFERROR(_xlfn.LET(
_xlpm.CSVVal,_xlfn.XLOOKUP($A121,CSV!$A:$A,CSV!J:J,""),
_xlpm.MacVal,_xlfn.XLOOKUP($A121,Output_Mac!$A:$A,Output_Mac!K:K,""),
_xlpm.MyAuditVal,_xlfn.XLOOKUP($A121,My_Audit!$A:$A,My_Audit!I:I,""),
_xlfn.IFS(_xlpm.MyAuditVal&lt;&gt;"",UPPER(_xlpm.MyAuditVal),_xlpm.MacVal&lt;&gt;"",_xlpm.MacVal,_xlpm.CSVVal&lt;&gt;"",_xlpm.CSVVal
)),"")</f>
        <v/>
      </c>
      <c r="K121" s="45" t="str" cm="1">
        <f t="array" ref="K121">IFERROR(_xlfn.LET(
_xlpm.CSVVal,_xlfn.XLOOKUP($A121,CSV!$A:$A,CSV!N:N,""),
_xlpm.MacVal,_xlfn.XLOOKUP($A121,Output_Mac!$A:$A,Output_Mac!L:L,""),
_xlpm.MyAuditVal,_xlfn.XLOOKUP($A121,My_Audit!$A:$A,My_Audit!J:J,""),
_xlfn.IFS(_xlpm.MyAuditVal&lt;&gt;"",UPPER(_xlpm.MyAuditVal),_xlpm.MacVal&lt;&gt;"",_xlpm.MacVal,_xlpm.CSVVal&lt;&gt;"",_xlpm.CSVVal
)),"")</f>
        <v/>
      </c>
      <c r="L121" s="46" t="str" cm="1">
        <f t="array" ref="L121">IFERROR(_xlfn.LET(
_xlpm.CSVVal,_xlfn.XLOOKUP($A121,CSV!$A:$A,CSV!Q:Q,""),
_xlpm.MacVal,_xlfn.XLOOKUP($A121,Output_Mac!$A:$A,Output_Mac!M:M,""),
_xlpm.MyAuditVal,_xlfn.XLOOKUP($A121,My_Audit!$A:$A,My_Audit!K:K,""),
_xlfn.IFS(_xlpm.MyAuditVal&lt;&gt;"",UPPER(_xlpm.MyAuditVal),_xlpm.MacVal&lt;&gt;"",_xlpm.MacVal,_xlpm.CSVVal&lt;&gt;"",_xlpm.CSVVal
)),"")</f>
        <v/>
      </c>
      <c r="M121" s="45" t="str">
        <f>_xlfn.LET(
    _xlpm.CSVVal, _xlfn.XLOOKUP($A121, CSV!$A:$A, CSV!AE:AE, ""),
    _xlpm.MacVal, _xlfn.XLOOKUP($A121, Output_Mac!$A:$A, Output_Mac!S:S, ""),
    _xlpm.MyAuditVal, _xlfn.XLOOKUP($A121, My_Audit!$A:$A, My_Audit!N:N, ""),
    _xlfn.TEXTJOIN(", ", TRUE, _xlpm.MyAuditVal, _xlpm.MacVal, _xlpm.CSVVal)
)</f>
        <v/>
      </c>
      <c r="N121" s="45" t="str" cm="1">
        <f t="array" ref="N121">IFERROR(_xlfn.LET(
_xlpm.CSVVal,_xlfn.XLOOKUP($A121,CSV!$A:$A,CSV!AG:AG,""),
_xlpm.MacVal,_xlfn.XLOOKUP($A121,Output_Mac!$A:$A,Output_Mac!U:U,""),
_xlpm.MyAuditVal,_xlfn.XLOOKUP($A121,My_Audit!$A:$A,My_Audit!O:O,""),
_xlfn.IFS(_xlpm.MyAuditVal&lt;&gt;"",UPPER(_xlpm.MyAuditVal),_xlpm.MacVal&lt;&gt;"",_xlpm.MacVal,_xlpm.CSVVal&lt;&gt;"",_xlpm.CSVVal
)),"")</f>
        <v/>
      </c>
      <c r="O121" s="46" t="str">
        <f>_xlfn.XLOOKUP(C121,My_Audit!B:B,My_Audit!P:P,"")&amp;""</f>
        <v/>
      </c>
      <c r="P121" s="45"/>
      <c r="Q121" s="46" t="str">
        <f>IF(LEFT(N121,4)="Pass","Nist SP 800-88",My_Audit!R121)&amp;""</f>
        <v/>
      </c>
      <c r="R121" s="45"/>
      <c r="S121" s="45"/>
      <c r="T121" s="46" t="str">
        <f>_xlfn.XLOOKUP(E121,Models!I:I,Models!J:J,"")</f>
        <v/>
      </c>
      <c r="U121" s="45"/>
      <c r="V121" s="45"/>
      <c r="W121" s="38" t="str">
        <f>_xlfn.LET(
    _xlpm.MacVal, _xlfn.XLOOKUP($A121, Output_Mac!$A:$A, Output_Mac!AB:AB, ""),
    _xlpm.MyAuditVal, _xlfn.XLOOKUP($A121, My_Audit!$A:$A, My_Audit!L:L, ""),
    _xlfn.TEXTJOIN(", ", TRUE, _xlpm.MyAuditVal, _xlpm.MacVal)
)</f>
        <v/>
      </c>
    </row>
    <row r="122" spans="1:23">
      <c r="A122" s="45" t="str">
        <f>_xlfn.TEXTJOIN("",TRUE,Input!$B$2,ROW(My_Audit!A121))</f>
        <v>XX121</v>
      </c>
      <c r="B122" s="45" t="str">
        <f>_xlfn.TEXTJOIN("-",TRUE,"ITD",Input!$A$2,A122)</f>
        <v>ITD-SHRXXX-XX121</v>
      </c>
      <c r="C122" s="45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46" t="str" cm="1">
        <f t="array" ref="D122">IFERROR(_xlfn.LET(
_xlpm.CSVVal,_xlfn.XLOOKUP($A122,CSV!$A:$A,CSV!C:C,""),
_xlpm.MacVal,_xlfn.XLOOKUP($A122,Output_Mac!$A:$A,Output_Mac!D:D,""),
_xlpm.MyAuditVal,_xlfn.XLOOKUP($A122,My_Audit!$A:$A,My_Audit!C:C,""),
_xlfn.IFS(_xlpm.MyAuditVal&lt;&gt;"",UPPER(_xlpm.MyAuditVal),_xlpm.MacVal&lt;&gt;"",_xlpm.MacVal,_xlpm.CSVVal&lt;&gt;"",_xlpm.CSVVal
)),"")</f>
        <v/>
      </c>
      <c r="E122" s="46" t="str" cm="1">
        <f t="array" ref="E122">IFERROR(_xlfn.LET(
_xlpm.CSVVal,_xlfn.XLOOKUP($A122,CSV!$A:$A,CSV!E:E,""),
_xlpm.MacVal,_xlfn.XLOOKUP($A122,Output_Mac!$A:$A,Output_Mac!C:C,""),
_xlpm.MyAuditVal,_xlfn.XLOOKUP($A122,My_Audit!$A:$A,My_Audit!D:D,""),
_xlfn.IFS(_xlpm.MyAuditVal&lt;&gt;"",_xlpm.MyAuditVal,_xlpm.MacVal&lt;&gt;"",_xlpm.MacVal,_xlpm.CSVVal&lt;&gt;"",_xlpm.CSVVal
)),"")</f>
        <v/>
      </c>
      <c r="F122" s="45" t="str" cm="1">
        <f t="array" ref="F122">IFERROR(_xlfn.LET(
_xlpm.CSVVal,_xlfn.XLOOKUP($A122,CSV!$A:$A,CSV!F:F,""),
_xlpm.MacVal,_xlfn.XLOOKUP($A122,Output_Mac!$A:$A,Output_Mac!F:F,""),
_xlpm.MyAuditVal,_xlfn.XLOOKUP($A122,My_Audit!$A:$A,My_Audit!E:E,""),
_xlfn.IFS(_xlpm.MyAuditVal&lt;&gt;"",_xlpm.MyAuditVal,_xlpm.MacVal&lt;&gt;"",_xlpm.MacVal,_xlpm.CSVVal&lt;&gt;"",PROPER(_xlpm.CSVVal)
)),"")</f>
        <v/>
      </c>
      <c r="G122" s="45" t="str" cm="1">
        <f t="array" ref="G122">IFERROR(_xlfn.LET(
_xlpm.CSVVal,_xlfn.XLOOKUP($A122,CSV!$A:$A,CSV!G:G,""),
_xlpm.MacVal,_xlfn.XLOOKUP($A122,Output_Mac!$A:$A,Output_Mac!H:H,""),
_xlpm.MyAuditVal,_xlfn.XLOOKUP($A122,My_Audit!$A:$A,My_Audit!F:F,""),
_xlfn.IFS(_xlpm.MyAuditVal&lt;&gt;"",_xlpm.MyAuditVal,_xlpm.MacVal&lt;&gt;"",_xlpm.MacVal,_xlpm.CSVVal&lt;&gt;"",_xlpm.CSVVal
)),"")</f>
        <v/>
      </c>
      <c r="H122" s="45" t="str">
        <f>_xlfn.XLOOKUP(A122,Output_Mac!A:A,Output_Mac!I:I,"")</f>
        <v/>
      </c>
      <c r="I122" s="45" t="str" cm="1">
        <f t="array" ref="I122">IFERROR(_xlfn.LET(
_xlpm.CSVVal,_xlfn.XLOOKUP($A122,CSV!$A:$A,CSV!H:H,""),
_xlpm.MacVal,_xlfn.XLOOKUP($A122,Output_Mac!$A:$A,Output_Mac!J:J,""),
_xlpm.MyAuditVal,_xlfn.XLOOKUP($A122,My_Audit!$A:$A,My_Audit!H:H,""),
_xlfn.IFS(_xlpm.MyAuditVal&lt;&gt;"",UPPER(_xlpm.MyAuditVal),_xlpm.MacVal&lt;&gt;"",_xlpm.MacVal,_xlpm.CSVVal&lt;&gt;"",_xlpm.CSVVal
)),"")</f>
        <v/>
      </c>
      <c r="J122" s="45" t="str" cm="1">
        <f t="array" ref="J122">IFERROR(_xlfn.LET(
_xlpm.CSVVal,_xlfn.XLOOKUP($A122,CSV!$A:$A,CSV!J:J,""),
_xlpm.MacVal,_xlfn.XLOOKUP($A122,Output_Mac!$A:$A,Output_Mac!K:K,""),
_xlpm.MyAuditVal,_xlfn.XLOOKUP($A122,My_Audit!$A:$A,My_Audit!I:I,""),
_xlfn.IFS(_xlpm.MyAuditVal&lt;&gt;"",UPPER(_xlpm.MyAuditVal),_xlpm.MacVal&lt;&gt;"",_xlpm.MacVal,_xlpm.CSVVal&lt;&gt;"",_xlpm.CSVVal
)),"")</f>
        <v/>
      </c>
      <c r="K122" s="45" t="str" cm="1">
        <f t="array" ref="K122">IFERROR(_xlfn.LET(
_xlpm.CSVVal,_xlfn.XLOOKUP($A122,CSV!$A:$A,CSV!N:N,""),
_xlpm.MacVal,_xlfn.XLOOKUP($A122,Output_Mac!$A:$A,Output_Mac!L:L,""),
_xlpm.MyAuditVal,_xlfn.XLOOKUP($A122,My_Audit!$A:$A,My_Audit!J:J,""),
_xlfn.IFS(_xlpm.MyAuditVal&lt;&gt;"",UPPER(_xlpm.MyAuditVal),_xlpm.MacVal&lt;&gt;"",_xlpm.MacVal,_xlpm.CSVVal&lt;&gt;"",_xlpm.CSVVal
)),"")</f>
        <v/>
      </c>
      <c r="L122" s="46" t="str" cm="1">
        <f t="array" ref="L122">IFERROR(_xlfn.LET(
_xlpm.CSVVal,_xlfn.XLOOKUP($A122,CSV!$A:$A,CSV!Q:Q,""),
_xlpm.MacVal,_xlfn.XLOOKUP($A122,Output_Mac!$A:$A,Output_Mac!M:M,""),
_xlpm.MyAuditVal,_xlfn.XLOOKUP($A122,My_Audit!$A:$A,My_Audit!K:K,""),
_xlfn.IFS(_xlpm.MyAuditVal&lt;&gt;"",UPPER(_xlpm.MyAuditVal),_xlpm.MacVal&lt;&gt;"",_xlpm.MacVal,_xlpm.CSVVal&lt;&gt;"",_xlpm.CSVVal
)),"")</f>
        <v/>
      </c>
      <c r="M122" s="45" t="str">
        <f>_xlfn.LET(
    _xlpm.CSVVal, _xlfn.XLOOKUP($A122, CSV!$A:$A, CSV!AE:AE, ""),
    _xlpm.MacVal, _xlfn.XLOOKUP($A122, Output_Mac!$A:$A, Output_Mac!S:S, ""),
    _xlpm.MyAuditVal, _xlfn.XLOOKUP($A122, My_Audit!$A:$A, My_Audit!N:N, ""),
    _xlfn.TEXTJOIN(", ", TRUE, _xlpm.MyAuditVal, _xlpm.MacVal, _xlpm.CSVVal)
)</f>
        <v/>
      </c>
      <c r="N122" s="45" t="str" cm="1">
        <f t="array" ref="N122">IFERROR(_xlfn.LET(
_xlpm.CSVVal,_xlfn.XLOOKUP($A122,CSV!$A:$A,CSV!AG:AG,""),
_xlpm.MacVal,_xlfn.XLOOKUP($A122,Output_Mac!$A:$A,Output_Mac!U:U,""),
_xlpm.MyAuditVal,_xlfn.XLOOKUP($A122,My_Audit!$A:$A,My_Audit!O:O,""),
_xlfn.IFS(_xlpm.MyAuditVal&lt;&gt;"",UPPER(_xlpm.MyAuditVal),_xlpm.MacVal&lt;&gt;"",_xlpm.MacVal,_xlpm.CSVVal&lt;&gt;"",_xlpm.CSVVal
)),"")</f>
        <v/>
      </c>
      <c r="O122" s="46" t="str">
        <f>_xlfn.XLOOKUP(C122,My_Audit!B:B,My_Audit!P:P,"")&amp;""</f>
        <v/>
      </c>
      <c r="P122" s="45"/>
      <c r="Q122" s="46" t="str">
        <f>IF(LEFT(N122,4)="Pass","Nist SP 800-88",My_Audit!R122)&amp;""</f>
        <v/>
      </c>
      <c r="R122" s="45"/>
      <c r="S122" s="45"/>
      <c r="T122" s="46" t="str">
        <f>_xlfn.XLOOKUP(E122,Models!I:I,Models!J:J,"")</f>
        <v/>
      </c>
      <c r="U122" s="45"/>
      <c r="V122" s="45"/>
      <c r="W122" s="38" t="str">
        <f>_xlfn.LET(
    _xlpm.MacVal, _xlfn.XLOOKUP($A122, Output_Mac!$A:$A, Output_Mac!AB:AB, ""),
    _xlpm.MyAuditVal, _xlfn.XLOOKUP($A122, My_Audit!$A:$A, My_Audit!L:L, ""),
    _xlfn.TEXTJOIN(", ", TRUE, _xlpm.MyAuditVal, _xlpm.MacVal)
)</f>
        <v/>
      </c>
    </row>
    <row r="123" spans="1:23">
      <c r="A123" s="45" t="str">
        <f>_xlfn.TEXTJOIN("",TRUE,Input!$B$2,ROW(My_Audit!A122))</f>
        <v>XX122</v>
      </c>
      <c r="B123" s="45" t="str">
        <f>_xlfn.TEXTJOIN("-",TRUE,"ITD",Input!$A$2,A123)</f>
        <v>ITD-SHRXXX-XX122</v>
      </c>
      <c r="C123" s="45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46" t="str" cm="1">
        <f t="array" ref="D123">IFERROR(_xlfn.LET(
_xlpm.CSVVal,_xlfn.XLOOKUP($A123,CSV!$A:$A,CSV!C:C,""),
_xlpm.MacVal,_xlfn.XLOOKUP($A123,Output_Mac!$A:$A,Output_Mac!D:D,""),
_xlpm.MyAuditVal,_xlfn.XLOOKUP($A123,My_Audit!$A:$A,My_Audit!C:C,""),
_xlfn.IFS(_xlpm.MyAuditVal&lt;&gt;"",UPPER(_xlpm.MyAuditVal),_xlpm.MacVal&lt;&gt;"",_xlpm.MacVal,_xlpm.CSVVal&lt;&gt;"",_xlpm.CSVVal
)),"")</f>
        <v/>
      </c>
      <c r="E123" s="46" t="str" cm="1">
        <f t="array" ref="E123">IFERROR(_xlfn.LET(
_xlpm.CSVVal,_xlfn.XLOOKUP($A123,CSV!$A:$A,CSV!E:E,""),
_xlpm.MacVal,_xlfn.XLOOKUP($A123,Output_Mac!$A:$A,Output_Mac!C:C,""),
_xlpm.MyAuditVal,_xlfn.XLOOKUP($A123,My_Audit!$A:$A,My_Audit!D:D,""),
_xlfn.IFS(_xlpm.MyAuditVal&lt;&gt;"",_xlpm.MyAuditVal,_xlpm.MacVal&lt;&gt;"",_xlpm.MacVal,_xlpm.CSVVal&lt;&gt;"",_xlpm.CSVVal
)),"")</f>
        <v/>
      </c>
      <c r="F123" s="45" t="str" cm="1">
        <f t="array" ref="F123">IFERROR(_xlfn.LET(
_xlpm.CSVVal,_xlfn.XLOOKUP($A123,CSV!$A:$A,CSV!F:F,""),
_xlpm.MacVal,_xlfn.XLOOKUP($A123,Output_Mac!$A:$A,Output_Mac!F:F,""),
_xlpm.MyAuditVal,_xlfn.XLOOKUP($A123,My_Audit!$A:$A,My_Audit!E:E,""),
_xlfn.IFS(_xlpm.MyAuditVal&lt;&gt;"",_xlpm.MyAuditVal,_xlpm.MacVal&lt;&gt;"",_xlpm.MacVal,_xlpm.CSVVal&lt;&gt;"",PROPER(_xlpm.CSVVal)
)),"")</f>
        <v/>
      </c>
      <c r="G123" s="45" t="str" cm="1">
        <f t="array" ref="G123">IFERROR(_xlfn.LET(
_xlpm.CSVVal,_xlfn.XLOOKUP($A123,CSV!$A:$A,CSV!G:G,""),
_xlpm.MacVal,_xlfn.XLOOKUP($A123,Output_Mac!$A:$A,Output_Mac!H:H,""),
_xlpm.MyAuditVal,_xlfn.XLOOKUP($A123,My_Audit!$A:$A,My_Audit!F:F,""),
_xlfn.IFS(_xlpm.MyAuditVal&lt;&gt;"",_xlpm.MyAuditVal,_xlpm.MacVal&lt;&gt;"",_xlpm.MacVal,_xlpm.CSVVal&lt;&gt;"",_xlpm.CSVVal
)),"")</f>
        <v/>
      </c>
      <c r="H123" s="45" t="str">
        <f>_xlfn.XLOOKUP(A123,Output_Mac!A:A,Output_Mac!I:I,"")</f>
        <v/>
      </c>
      <c r="I123" s="45" t="str" cm="1">
        <f t="array" ref="I123">IFERROR(_xlfn.LET(
_xlpm.CSVVal,_xlfn.XLOOKUP($A123,CSV!$A:$A,CSV!H:H,""),
_xlpm.MacVal,_xlfn.XLOOKUP($A123,Output_Mac!$A:$A,Output_Mac!J:J,""),
_xlpm.MyAuditVal,_xlfn.XLOOKUP($A123,My_Audit!$A:$A,My_Audit!H:H,""),
_xlfn.IFS(_xlpm.MyAuditVal&lt;&gt;"",UPPER(_xlpm.MyAuditVal),_xlpm.MacVal&lt;&gt;"",_xlpm.MacVal,_xlpm.CSVVal&lt;&gt;"",_xlpm.CSVVal
)),"")</f>
        <v/>
      </c>
      <c r="J123" s="45" t="str" cm="1">
        <f t="array" ref="J123">IFERROR(_xlfn.LET(
_xlpm.CSVVal,_xlfn.XLOOKUP($A123,CSV!$A:$A,CSV!J:J,""),
_xlpm.MacVal,_xlfn.XLOOKUP($A123,Output_Mac!$A:$A,Output_Mac!K:K,""),
_xlpm.MyAuditVal,_xlfn.XLOOKUP($A123,My_Audit!$A:$A,My_Audit!I:I,""),
_xlfn.IFS(_xlpm.MyAuditVal&lt;&gt;"",UPPER(_xlpm.MyAuditVal),_xlpm.MacVal&lt;&gt;"",_xlpm.MacVal,_xlpm.CSVVal&lt;&gt;"",_xlpm.CSVVal
)),"")</f>
        <v/>
      </c>
      <c r="K123" s="45" t="str" cm="1">
        <f t="array" ref="K123">IFERROR(_xlfn.LET(
_xlpm.CSVVal,_xlfn.XLOOKUP($A123,CSV!$A:$A,CSV!N:N,""),
_xlpm.MacVal,_xlfn.XLOOKUP($A123,Output_Mac!$A:$A,Output_Mac!L:L,""),
_xlpm.MyAuditVal,_xlfn.XLOOKUP($A123,My_Audit!$A:$A,My_Audit!J:J,""),
_xlfn.IFS(_xlpm.MyAuditVal&lt;&gt;"",UPPER(_xlpm.MyAuditVal),_xlpm.MacVal&lt;&gt;"",_xlpm.MacVal,_xlpm.CSVVal&lt;&gt;"",_xlpm.CSVVal
)),"")</f>
        <v/>
      </c>
      <c r="L123" s="46" t="str" cm="1">
        <f t="array" ref="L123">IFERROR(_xlfn.LET(
_xlpm.CSVVal,_xlfn.XLOOKUP($A123,CSV!$A:$A,CSV!Q:Q,""),
_xlpm.MacVal,_xlfn.XLOOKUP($A123,Output_Mac!$A:$A,Output_Mac!M:M,""),
_xlpm.MyAuditVal,_xlfn.XLOOKUP($A123,My_Audit!$A:$A,My_Audit!K:K,""),
_xlfn.IFS(_xlpm.MyAuditVal&lt;&gt;"",UPPER(_xlpm.MyAuditVal),_xlpm.MacVal&lt;&gt;"",_xlpm.MacVal,_xlpm.CSVVal&lt;&gt;"",_xlpm.CSVVal
)),"")</f>
        <v/>
      </c>
      <c r="M123" s="45" t="str">
        <f>_xlfn.LET(
    _xlpm.CSVVal, _xlfn.XLOOKUP($A123, CSV!$A:$A, CSV!AE:AE, ""),
    _xlpm.MacVal, _xlfn.XLOOKUP($A123, Output_Mac!$A:$A, Output_Mac!S:S, ""),
    _xlpm.MyAuditVal, _xlfn.XLOOKUP($A123, My_Audit!$A:$A, My_Audit!N:N, ""),
    _xlfn.TEXTJOIN(", ", TRUE, _xlpm.MyAuditVal, _xlpm.MacVal, _xlpm.CSVVal)
)</f>
        <v/>
      </c>
      <c r="N123" s="45" t="str" cm="1">
        <f t="array" ref="N123">IFERROR(_xlfn.LET(
_xlpm.CSVVal,_xlfn.XLOOKUP($A123,CSV!$A:$A,CSV!AG:AG,""),
_xlpm.MacVal,_xlfn.XLOOKUP($A123,Output_Mac!$A:$A,Output_Mac!U:U,""),
_xlpm.MyAuditVal,_xlfn.XLOOKUP($A123,My_Audit!$A:$A,My_Audit!O:O,""),
_xlfn.IFS(_xlpm.MyAuditVal&lt;&gt;"",UPPER(_xlpm.MyAuditVal),_xlpm.MacVal&lt;&gt;"",_xlpm.MacVal,_xlpm.CSVVal&lt;&gt;"",_xlpm.CSVVal
)),"")</f>
        <v/>
      </c>
      <c r="O123" s="46" t="str">
        <f>_xlfn.XLOOKUP(C123,My_Audit!B:B,My_Audit!P:P,"")&amp;""</f>
        <v/>
      </c>
      <c r="P123" s="45"/>
      <c r="Q123" s="46" t="str">
        <f>IF(LEFT(N123,4)="Pass","Nist SP 800-88",My_Audit!R123)&amp;""</f>
        <v/>
      </c>
      <c r="R123" s="45"/>
      <c r="S123" s="45"/>
      <c r="T123" s="46" t="str">
        <f>_xlfn.XLOOKUP(E123,Models!I:I,Models!J:J,"")</f>
        <v/>
      </c>
      <c r="U123" s="45"/>
      <c r="V123" s="45"/>
      <c r="W123" s="38" t="str">
        <f>_xlfn.LET(
    _xlpm.MacVal, _xlfn.XLOOKUP($A123, Output_Mac!$A:$A, Output_Mac!AB:AB, ""),
    _xlpm.MyAuditVal, _xlfn.XLOOKUP($A123, My_Audit!$A:$A, My_Audit!L:L, ""),
    _xlfn.TEXTJOIN(", ", TRUE, _xlpm.MyAuditVal, _xlpm.MacVal)
)</f>
        <v/>
      </c>
    </row>
    <row r="124" spans="1:23">
      <c r="A124" s="45" t="str">
        <f>_xlfn.TEXTJOIN("",TRUE,Input!$B$2,ROW(My_Audit!A123))</f>
        <v>XX123</v>
      </c>
      <c r="B124" s="45" t="str">
        <f>_xlfn.TEXTJOIN("-",TRUE,"ITD",Input!$A$2,A124)</f>
        <v>ITD-SHRXXX-XX123</v>
      </c>
      <c r="C124" s="45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46" t="str" cm="1">
        <f t="array" ref="D124">IFERROR(_xlfn.LET(
_xlpm.CSVVal,_xlfn.XLOOKUP($A124,CSV!$A:$A,CSV!C:C,""),
_xlpm.MacVal,_xlfn.XLOOKUP($A124,Output_Mac!$A:$A,Output_Mac!D:D,""),
_xlpm.MyAuditVal,_xlfn.XLOOKUP($A124,My_Audit!$A:$A,My_Audit!C:C,""),
_xlfn.IFS(_xlpm.MyAuditVal&lt;&gt;"",UPPER(_xlpm.MyAuditVal),_xlpm.MacVal&lt;&gt;"",_xlpm.MacVal,_xlpm.CSVVal&lt;&gt;"",_xlpm.CSVVal
)),"")</f>
        <v/>
      </c>
      <c r="E124" s="46" t="str" cm="1">
        <f t="array" ref="E124">IFERROR(_xlfn.LET(
_xlpm.CSVVal,_xlfn.XLOOKUP($A124,CSV!$A:$A,CSV!E:E,""),
_xlpm.MacVal,_xlfn.XLOOKUP($A124,Output_Mac!$A:$A,Output_Mac!C:C,""),
_xlpm.MyAuditVal,_xlfn.XLOOKUP($A124,My_Audit!$A:$A,My_Audit!D:D,""),
_xlfn.IFS(_xlpm.MyAuditVal&lt;&gt;"",_xlpm.MyAuditVal,_xlpm.MacVal&lt;&gt;"",_xlpm.MacVal,_xlpm.CSVVal&lt;&gt;"",_xlpm.CSVVal
)),"")</f>
        <v/>
      </c>
      <c r="F124" s="45" t="str" cm="1">
        <f t="array" ref="F124">IFERROR(_xlfn.LET(
_xlpm.CSVVal,_xlfn.XLOOKUP($A124,CSV!$A:$A,CSV!F:F,""),
_xlpm.MacVal,_xlfn.XLOOKUP($A124,Output_Mac!$A:$A,Output_Mac!F:F,""),
_xlpm.MyAuditVal,_xlfn.XLOOKUP($A124,My_Audit!$A:$A,My_Audit!E:E,""),
_xlfn.IFS(_xlpm.MyAuditVal&lt;&gt;"",_xlpm.MyAuditVal,_xlpm.MacVal&lt;&gt;"",_xlpm.MacVal,_xlpm.CSVVal&lt;&gt;"",PROPER(_xlpm.CSVVal)
)),"")</f>
        <v/>
      </c>
      <c r="G124" s="45" t="str" cm="1">
        <f t="array" ref="G124">IFERROR(_xlfn.LET(
_xlpm.CSVVal,_xlfn.XLOOKUP($A124,CSV!$A:$A,CSV!G:G,""),
_xlpm.MacVal,_xlfn.XLOOKUP($A124,Output_Mac!$A:$A,Output_Mac!H:H,""),
_xlpm.MyAuditVal,_xlfn.XLOOKUP($A124,My_Audit!$A:$A,My_Audit!F:F,""),
_xlfn.IFS(_xlpm.MyAuditVal&lt;&gt;"",_xlpm.MyAuditVal,_xlpm.MacVal&lt;&gt;"",_xlpm.MacVal,_xlpm.CSVVal&lt;&gt;"",_xlpm.CSVVal
)),"")</f>
        <v/>
      </c>
      <c r="H124" s="45" t="str">
        <f>_xlfn.XLOOKUP(A124,Output_Mac!A:A,Output_Mac!I:I,"")</f>
        <v/>
      </c>
      <c r="I124" s="45" t="str" cm="1">
        <f t="array" ref="I124">IFERROR(_xlfn.LET(
_xlpm.CSVVal,_xlfn.XLOOKUP($A124,CSV!$A:$A,CSV!H:H,""),
_xlpm.MacVal,_xlfn.XLOOKUP($A124,Output_Mac!$A:$A,Output_Mac!J:J,""),
_xlpm.MyAuditVal,_xlfn.XLOOKUP($A124,My_Audit!$A:$A,My_Audit!H:H,""),
_xlfn.IFS(_xlpm.MyAuditVal&lt;&gt;"",UPPER(_xlpm.MyAuditVal),_xlpm.MacVal&lt;&gt;"",_xlpm.MacVal,_xlpm.CSVVal&lt;&gt;"",_xlpm.CSVVal
)),"")</f>
        <v/>
      </c>
      <c r="J124" s="45" t="str" cm="1">
        <f t="array" ref="J124">IFERROR(_xlfn.LET(
_xlpm.CSVVal,_xlfn.XLOOKUP($A124,CSV!$A:$A,CSV!J:J,""),
_xlpm.MacVal,_xlfn.XLOOKUP($A124,Output_Mac!$A:$A,Output_Mac!K:K,""),
_xlpm.MyAuditVal,_xlfn.XLOOKUP($A124,My_Audit!$A:$A,My_Audit!I:I,""),
_xlfn.IFS(_xlpm.MyAuditVal&lt;&gt;"",UPPER(_xlpm.MyAuditVal),_xlpm.MacVal&lt;&gt;"",_xlpm.MacVal,_xlpm.CSVVal&lt;&gt;"",_xlpm.CSVVal
)),"")</f>
        <v/>
      </c>
      <c r="K124" s="45" t="str" cm="1">
        <f t="array" ref="K124">IFERROR(_xlfn.LET(
_xlpm.CSVVal,_xlfn.XLOOKUP($A124,CSV!$A:$A,CSV!N:N,""),
_xlpm.MacVal,_xlfn.XLOOKUP($A124,Output_Mac!$A:$A,Output_Mac!L:L,""),
_xlpm.MyAuditVal,_xlfn.XLOOKUP($A124,My_Audit!$A:$A,My_Audit!J:J,""),
_xlfn.IFS(_xlpm.MyAuditVal&lt;&gt;"",UPPER(_xlpm.MyAuditVal),_xlpm.MacVal&lt;&gt;"",_xlpm.MacVal,_xlpm.CSVVal&lt;&gt;"",_xlpm.CSVVal
)),"")</f>
        <v/>
      </c>
      <c r="L124" s="46" t="str" cm="1">
        <f t="array" ref="L124">IFERROR(_xlfn.LET(
_xlpm.CSVVal,_xlfn.XLOOKUP($A124,CSV!$A:$A,CSV!Q:Q,""),
_xlpm.MacVal,_xlfn.XLOOKUP($A124,Output_Mac!$A:$A,Output_Mac!M:M,""),
_xlpm.MyAuditVal,_xlfn.XLOOKUP($A124,My_Audit!$A:$A,My_Audit!K:K,""),
_xlfn.IFS(_xlpm.MyAuditVal&lt;&gt;"",UPPER(_xlpm.MyAuditVal),_xlpm.MacVal&lt;&gt;"",_xlpm.MacVal,_xlpm.CSVVal&lt;&gt;"",_xlpm.CSVVal
)),"")</f>
        <v/>
      </c>
      <c r="M124" s="45" t="str">
        <f>_xlfn.LET(
    _xlpm.CSVVal, _xlfn.XLOOKUP($A124, CSV!$A:$A, CSV!AE:AE, ""),
    _xlpm.MacVal, _xlfn.XLOOKUP($A124, Output_Mac!$A:$A, Output_Mac!S:S, ""),
    _xlpm.MyAuditVal, _xlfn.XLOOKUP($A124, My_Audit!$A:$A, My_Audit!N:N, ""),
    _xlfn.TEXTJOIN(", ", TRUE, _xlpm.MyAuditVal, _xlpm.MacVal, _xlpm.CSVVal)
)</f>
        <v/>
      </c>
      <c r="N124" s="45" t="str" cm="1">
        <f t="array" ref="N124">IFERROR(_xlfn.LET(
_xlpm.CSVVal,_xlfn.XLOOKUP($A124,CSV!$A:$A,CSV!AG:AG,""),
_xlpm.MacVal,_xlfn.XLOOKUP($A124,Output_Mac!$A:$A,Output_Mac!U:U,""),
_xlpm.MyAuditVal,_xlfn.XLOOKUP($A124,My_Audit!$A:$A,My_Audit!O:O,""),
_xlfn.IFS(_xlpm.MyAuditVal&lt;&gt;"",UPPER(_xlpm.MyAuditVal),_xlpm.MacVal&lt;&gt;"",_xlpm.MacVal,_xlpm.CSVVal&lt;&gt;"",_xlpm.CSVVal
)),"")</f>
        <v/>
      </c>
      <c r="O124" s="46" t="str">
        <f>_xlfn.XLOOKUP(C124,My_Audit!B:B,My_Audit!P:P,"")&amp;""</f>
        <v/>
      </c>
      <c r="P124" s="45"/>
      <c r="Q124" s="46" t="str">
        <f>IF(LEFT(N124,4)="Pass","Nist SP 800-88",My_Audit!R124)&amp;""</f>
        <v/>
      </c>
      <c r="R124" s="45"/>
      <c r="S124" s="45"/>
      <c r="T124" s="46" t="str">
        <f>_xlfn.XLOOKUP(E124,Models!I:I,Models!J:J,"")</f>
        <v/>
      </c>
      <c r="U124" s="45"/>
      <c r="V124" s="45"/>
      <c r="W124" s="38" t="str">
        <f>_xlfn.LET(
    _xlpm.MacVal, _xlfn.XLOOKUP($A124, Output_Mac!$A:$A, Output_Mac!AB:AB, ""),
    _xlpm.MyAuditVal, _xlfn.XLOOKUP($A124, My_Audit!$A:$A, My_Audit!L:L, ""),
    _xlfn.TEXTJOIN(", ", TRUE, _xlpm.MyAuditVal, _xlpm.MacVal)
)</f>
        <v/>
      </c>
    </row>
    <row r="125" spans="1:23">
      <c r="A125" s="45" t="str">
        <f>_xlfn.TEXTJOIN("",TRUE,Input!$B$2,ROW(My_Audit!A124))</f>
        <v>XX124</v>
      </c>
      <c r="B125" s="45" t="str">
        <f>_xlfn.TEXTJOIN("-",TRUE,"ITD",Input!$A$2,A125)</f>
        <v>ITD-SHRXXX-XX124</v>
      </c>
      <c r="C125" s="45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46" t="str" cm="1">
        <f t="array" ref="D125">IFERROR(_xlfn.LET(
_xlpm.CSVVal,_xlfn.XLOOKUP($A125,CSV!$A:$A,CSV!C:C,""),
_xlpm.MacVal,_xlfn.XLOOKUP($A125,Output_Mac!$A:$A,Output_Mac!D:D,""),
_xlpm.MyAuditVal,_xlfn.XLOOKUP($A125,My_Audit!$A:$A,My_Audit!C:C,""),
_xlfn.IFS(_xlpm.MyAuditVal&lt;&gt;"",UPPER(_xlpm.MyAuditVal),_xlpm.MacVal&lt;&gt;"",_xlpm.MacVal,_xlpm.CSVVal&lt;&gt;"",_xlpm.CSVVal
)),"")</f>
        <v/>
      </c>
      <c r="E125" s="46" t="str" cm="1">
        <f t="array" ref="E125">IFERROR(_xlfn.LET(
_xlpm.CSVVal,_xlfn.XLOOKUP($A125,CSV!$A:$A,CSV!E:E,""),
_xlpm.MacVal,_xlfn.XLOOKUP($A125,Output_Mac!$A:$A,Output_Mac!C:C,""),
_xlpm.MyAuditVal,_xlfn.XLOOKUP($A125,My_Audit!$A:$A,My_Audit!D:D,""),
_xlfn.IFS(_xlpm.MyAuditVal&lt;&gt;"",_xlpm.MyAuditVal,_xlpm.MacVal&lt;&gt;"",_xlpm.MacVal,_xlpm.CSVVal&lt;&gt;"",_xlpm.CSVVal
)),"")</f>
        <v/>
      </c>
      <c r="F125" s="45" t="str" cm="1">
        <f t="array" ref="F125">IFERROR(_xlfn.LET(
_xlpm.CSVVal,_xlfn.XLOOKUP($A125,CSV!$A:$A,CSV!F:F,""),
_xlpm.MacVal,_xlfn.XLOOKUP($A125,Output_Mac!$A:$A,Output_Mac!F:F,""),
_xlpm.MyAuditVal,_xlfn.XLOOKUP($A125,My_Audit!$A:$A,My_Audit!E:E,""),
_xlfn.IFS(_xlpm.MyAuditVal&lt;&gt;"",_xlpm.MyAuditVal,_xlpm.MacVal&lt;&gt;"",_xlpm.MacVal,_xlpm.CSVVal&lt;&gt;"",PROPER(_xlpm.CSVVal)
)),"")</f>
        <v/>
      </c>
      <c r="G125" s="45" t="str" cm="1">
        <f t="array" ref="G125">IFERROR(_xlfn.LET(
_xlpm.CSVVal,_xlfn.XLOOKUP($A125,CSV!$A:$A,CSV!G:G,""),
_xlpm.MacVal,_xlfn.XLOOKUP($A125,Output_Mac!$A:$A,Output_Mac!H:H,""),
_xlpm.MyAuditVal,_xlfn.XLOOKUP($A125,My_Audit!$A:$A,My_Audit!F:F,""),
_xlfn.IFS(_xlpm.MyAuditVal&lt;&gt;"",_xlpm.MyAuditVal,_xlpm.MacVal&lt;&gt;"",_xlpm.MacVal,_xlpm.CSVVal&lt;&gt;"",_xlpm.CSVVal
)),"")</f>
        <v/>
      </c>
      <c r="H125" s="45" t="str">
        <f>_xlfn.XLOOKUP(A125,Output_Mac!A:A,Output_Mac!I:I,"")</f>
        <v/>
      </c>
      <c r="I125" s="45" t="str" cm="1">
        <f t="array" ref="I125">IFERROR(_xlfn.LET(
_xlpm.CSVVal,_xlfn.XLOOKUP($A125,CSV!$A:$A,CSV!H:H,""),
_xlpm.MacVal,_xlfn.XLOOKUP($A125,Output_Mac!$A:$A,Output_Mac!J:J,""),
_xlpm.MyAuditVal,_xlfn.XLOOKUP($A125,My_Audit!$A:$A,My_Audit!H:H,""),
_xlfn.IFS(_xlpm.MyAuditVal&lt;&gt;"",UPPER(_xlpm.MyAuditVal),_xlpm.MacVal&lt;&gt;"",_xlpm.MacVal,_xlpm.CSVVal&lt;&gt;"",_xlpm.CSVVal
)),"")</f>
        <v/>
      </c>
      <c r="J125" s="45" t="str" cm="1">
        <f t="array" ref="J125">IFERROR(_xlfn.LET(
_xlpm.CSVVal,_xlfn.XLOOKUP($A125,CSV!$A:$A,CSV!J:J,""),
_xlpm.MacVal,_xlfn.XLOOKUP($A125,Output_Mac!$A:$A,Output_Mac!K:K,""),
_xlpm.MyAuditVal,_xlfn.XLOOKUP($A125,My_Audit!$A:$A,My_Audit!I:I,""),
_xlfn.IFS(_xlpm.MyAuditVal&lt;&gt;"",UPPER(_xlpm.MyAuditVal),_xlpm.MacVal&lt;&gt;"",_xlpm.MacVal,_xlpm.CSVVal&lt;&gt;"",_xlpm.CSVVal
)),"")</f>
        <v/>
      </c>
      <c r="K125" s="45" t="str" cm="1">
        <f t="array" ref="K125">IFERROR(_xlfn.LET(
_xlpm.CSVVal,_xlfn.XLOOKUP($A125,CSV!$A:$A,CSV!N:N,""),
_xlpm.MacVal,_xlfn.XLOOKUP($A125,Output_Mac!$A:$A,Output_Mac!L:L,""),
_xlpm.MyAuditVal,_xlfn.XLOOKUP($A125,My_Audit!$A:$A,My_Audit!J:J,""),
_xlfn.IFS(_xlpm.MyAuditVal&lt;&gt;"",UPPER(_xlpm.MyAuditVal),_xlpm.MacVal&lt;&gt;"",_xlpm.MacVal,_xlpm.CSVVal&lt;&gt;"",_xlpm.CSVVal
)),"")</f>
        <v/>
      </c>
      <c r="L125" s="46" t="str" cm="1">
        <f t="array" ref="L125">IFERROR(_xlfn.LET(
_xlpm.CSVVal,_xlfn.XLOOKUP($A125,CSV!$A:$A,CSV!Q:Q,""),
_xlpm.MacVal,_xlfn.XLOOKUP($A125,Output_Mac!$A:$A,Output_Mac!M:M,""),
_xlpm.MyAuditVal,_xlfn.XLOOKUP($A125,My_Audit!$A:$A,My_Audit!K:K,""),
_xlfn.IFS(_xlpm.MyAuditVal&lt;&gt;"",UPPER(_xlpm.MyAuditVal),_xlpm.MacVal&lt;&gt;"",_xlpm.MacVal,_xlpm.CSVVal&lt;&gt;"",_xlpm.CSVVal
)),"")</f>
        <v/>
      </c>
      <c r="M125" s="45" t="str">
        <f>_xlfn.LET(
    _xlpm.CSVVal, _xlfn.XLOOKUP($A125, CSV!$A:$A, CSV!AE:AE, ""),
    _xlpm.MacVal, _xlfn.XLOOKUP($A125, Output_Mac!$A:$A, Output_Mac!S:S, ""),
    _xlpm.MyAuditVal, _xlfn.XLOOKUP($A125, My_Audit!$A:$A, My_Audit!N:N, ""),
    _xlfn.TEXTJOIN(", ", TRUE, _xlpm.MyAuditVal, _xlpm.MacVal, _xlpm.CSVVal)
)</f>
        <v/>
      </c>
      <c r="N125" s="45" t="str" cm="1">
        <f t="array" ref="N125">IFERROR(_xlfn.LET(
_xlpm.CSVVal,_xlfn.XLOOKUP($A125,CSV!$A:$A,CSV!AG:AG,""),
_xlpm.MacVal,_xlfn.XLOOKUP($A125,Output_Mac!$A:$A,Output_Mac!U:U,""),
_xlpm.MyAuditVal,_xlfn.XLOOKUP($A125,My_Audit!$A:$A,My_Audit!O:O,""),
_xlfn.IFS(_xlpm.MyAuditVal&lt;&gt;"",UPPER(_xlpm.MyAuditVal),_xlpm.MacVal&lt;&gt;"",_xlpm.MacVal,_xlpm.CSVVal&lt;&gt;"",_xlpm.CSVVal
)),"")</f>
        <v/>
      </c>
      <c r="O125" s="46" t="str">
        <f>_xlfn.XLOOKUP(C125,My_Audit!B:B,My_Audit!P:P,"")&amp;""</f>
        <v/>
      </c>
      <c r="P125" s="45"/>
      <c r="Q125" s="46" t="str">
        <f>IF(LEFT(N125,4)="Pass","Nist SP 800-88",My_Audit!R125)&amp;""</f>
        <v/>
      </c>
      <c r="R125" s="45"/>
      <c r="S125" s="45"/>
      <c r="T125" s="46" t="str">
        <f>_xlfn.XLOOKUP(E125,Models!I:I,Models!J:J,"")</f>
        <v/>
      </c>
      <c r="U125" s="45"/>
      <c r="V125" s="45"/>
      <c r="W125" s="38" t="str">
        <f>_xlfn.LET(
    _xlpm.MacVal, _xlfn.XLOOKUP($A125, Output_Mac!$A:$A, Output_Mac!AB:AB, ""),
    _xlpm.MyAuditVal, _xlfn.XLOOKUP($A125, My_Audit!$A:$A, My_Audit!L:L, ""),
    _xlfn.TEXTJOIN(", ", TRUE, _xlpm.MyAuditVal, _xlpm.MacVal)
)</f>
        <v/>
      </c>
    </row>
    <row r="126" spans="1:23">
      <c r="A126" s="45" t="str">
        <f>_xlfn.TEXTJOIN("",TRUE,Input!$B$2,ROW(My_Audit!A125))</f>
        <v>XX125</v>
      </c>
      <c r="B126" s="45" t="str">
        <f>_xlfn.TEXTJOIN("-",TRUE,"ITD",Input!$A$2,A126)</f>
        <v>ITD-SHRXXX-XX125</v>
      </c>
      <c r="C126" s="45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46" t="str" cm="1">
        <f t="array" ref="D126">IFERROR(_xlfn.LET(
_xlpm.CSVVal,_xlfn.XLOOKUP($A126,CSV!$A:$A,CSV!C:C,""),
_xlpm.MacVal,_xlfn.XLOOKUP($A126,Output_Mac!$A:$A,Output_Mac!D:D,""),
_xlpm.MyAuditVal,_xlfn.XLOOKUP($A126,My_Audit!$A:$A,My_Audit!C:C,""),
_xlfn.IFS(_xlpm.MyAuditVal&lt;&gt;"",UPPER(_xlpm.MyAuditVal),_xlpm.MacVal&lt;&gt;"",_xlpm.MacVal,_xlpm.CSVVal&lt;&gt;"",_xlpm.CSVVal
)),"")</f>
        <v/>
      </c>
      <c r="E126" s="46" t="str" cm="1">
        <f t="array" ref="E126">IFERROR(_xlfn.LET(
_xlpm.CSVVal,_xlfn.XLOOKUP($A126,CSV!$A:$A,CSV!E:E,""),
_xlpm.MacVal,_xlfn.XLOOKUP($A126,Output_Mac!$A:$A,Output_Mac!C:C,""),
_xlpm.MyAuditVal,_xlfn.XLOOKUP($A126,My_Audit!$A:$A,My_Audit!D:D,""),
_xlfn.IFS(_xlpm.MyAuditVal&lt;&gt;"",_xlpm.MyAuditVal,_xlpm.MacVal&lt;&gt;"",_xlpm.MacVal,_xlpm.CSVVal&lt;&gt;"",_xlpm.CSVVal
)),"")</f>
        <v/>
      </c>
      <c r="F126" s="45" t="str" cm="1">
        <f t="array" ref="F126">IFERROR(_xlfn.LET(
_xlpm.CSVVal,_xlfn.XLOOKUP($A126,CSV!$A:$A,CSV!F:F,""),
_xlpm.MacVal,_xlfn.XLOOKUP($A126,Output_Mac!$A:$A,Output_Mac!F:F,""),
_xlpm.MyAuditVal,_xlfn.XLOOKUP($A126,My_Audit!$A:$A,My_Audit!E:E,""),
_xlfn.IFS(_xlpm.MyAuditVal&lt;&gt;"",_xlpm.MyAuditVal,_xlpm.MacVal&lt;&gt;"",_xlpm.MacVal,_xlpm.CSVVal&lt;&gt;"",PROPER(_xlpm.CSVVal)
)),"")</f>
        <v/>
      </c>
      <c r="G126" s="45" t="str" cm="1">
        <f t="array" ref="G126">IFERROR(_xlfn.LET(
_xlpm.CSVVal,_xlfn.XLOOKUP($A126,CSV!$A:$A,CSV!G:G,""),
_xlpm.MacVal,_xlfn.XLOOKUP($A126,Output_Mac!$A:$A,Output_Mac!H:H,""),
_xlpm.MyAuditVal,_xlfn.XLOOKUP($A126,My_Audit!$A:$A,My_Audit!F:F,""),
_xlfn.IFS(_xlpm.MyAuditVal&lt;&gt;"",_xlpm.MyAuditVal,_xlpm.MacVal&lt;&gt;"",_xlpm.MacVal,_xlpm.CSVVal&lt;&gt;"",_xlpm.CSVVal
)),"")</f>
        <v/>
      </c>
      <c r="H126" s="45" t="str">
        <f>_xlfn.XLOOKUP(A126,Output_Mac!A:A,Output_Mac!I:I,"")</f>
        <v/>
      </c>
      <c r="I126" s="45" t="str" cm="1">
        <f t="array" ref="I126">IFERROR(_xlfn.LET(
_xlpm.CSVVal,_xlfn.XLOOKUP($A126,CSV!$A:$A,CSV!H:H,""),
_xlpm.MacVal,_xlfn.XLOOKUP($A126,Output_Mac!$A:$A,Output_Mac!J:J,""),
_xlpm.MyAuditVal,_xlfn.XLOOKUP($A126,My_Audit!$A:$A,My_Audit!H:H,""),
_xlfn.IFS(_xlpm.MyAuditVal&lt;&gt;"",UPPER(_xlpm.MyAuditVal),_xlpm.MacVal&lt;&gt;"",_xlpm.MacVal,_xlpm.CSVVal&lt;&gt;"",_xlpm.CSVVal
)),"")</f>
        <v/>
      </c>
      <c r="J126" s="45" t="str" cm="1">
        <f t="array" ref="J126">IFERROR(_xlfn.LET(
_xlpm.CSVVal,_xlfn.XLOOKUP($A126,CSV!$A:$A,CSV!J:J,""),
_xlpm.MacVal,_xlfn.XLOOKUP($A126,Output_Mac!$A:$A,Output_Mac!K:K,""),
_xlpm.MyAuditVal,_xlfn.XLOOKUP($A126,My_Audit!$A:$A,My_Audit!I:I,""),
_xlfn.IFS(_xlpm.MyAuditVal&lt;&gt;"",UPPER(_xlpm.MyAuditVal),_xlpm.MacVal&lt;&gt;"",_xlpm.MacVal,_xlpm.CSVVal&lt;&gt;"",_xlpm.CSVVal
)),"")</f>
        <v/>
      </c>
      <c r="K126" s="45" t="str" cm="1">
        <f t="array" ref="K126">IFERROR(_xlfn.LET(
_xlpm.CSVVal,_xlfn.XLOOKUP($A126,CSV!$A:$A,CSV!N:N,""),
_xlpm.MacVal,_xlfn.XLOOKUP($A126,Output_Mac!$A:$A,Output_Mac!L:L,""),
_xlpm.MyAuditVal,_xlfn.XLOOKUP($A126,My_Audit!$A:$A,My_Audit!J:J,""),
_xlfn.IFS(_xlpm.MyAuditVal&lt;&gt;"",UPPER(_xlpm.MyAuditVal),_xlpm.MacVal&lt;&gt;"",_xlpm.MacVal,_xlpm.CSVVal&lt;&gt;"",_xlpm.CSVVal
)),"")</f>
        <v/>
      </c>
      <c r="L126" s="46" t="str" cm="1">
        <f t="array" ref="L126">IFERROR(_xlfn.LET(
_xlpm.CSVVal,_xlfn.XLOOKUP($A126,CSV!$A:$A,CSV!Q:Q,""),
_xlpm.MacVal,_xlfn.XLOOKUP($A126,Output_Mac!$A:$A,Output_Mac!M:M,""),
_xlpm.MyAuditVal,_xlfn.XLOOKUP($A126,My_Audit!$A:$A,My_Audit!K:K,""),
_xlfn.IFS(_xlpm.MyAuditVal&lt;&gt;"",UPPER(_xlpm.MyAuditVal),_xlpm.MacVal&lt;&gt;"",_xlpm.MacVal,_xlpm.CSVVal&lt;&gt;"",_xlpm.CSVVal
)),"")</f>
        <v/>
      </c>
      <c r="M126" s="45" t="str">
        <f>_xlfn.LET(
    _xlpm.CSVVal, _xlfn.XLOOKUP($A126, CSV!$A:$A, CSV!AE:AE, ""),
    _xlpm.MacVal, _xlfn.XLOOKUP($A126, Output_Mac!$A:$A, Output_Mac!S:S, ""),
    _xlpm.MyAuditVal, _xlfn.XLOOKUP($A126, My_Audit!$A:$A, My_Audit!N:N, ""),
    _xlfn.TEXTJOIN(", ", TRUE, _xlpm.MyAuditVal, _xlpm.MacVal, _xlpm.CSVVal)
)</f>
        <v/>
      </c>
      <c r="N126" s="45" t="str" cm="1">
        <f t="array" ref="N126">IFERROR(_xlfn.LET(
_xlpm.CSVVal,_xlfn.XLOOKUP($A126,CSV!$A:$A,CSV!AG:AG,""),
_xlpm.MacVal,_xlfn.XLOOKUP($A126,Output_Mac!$A:$A,Output_Mac!U:U,""),
_xlpm.MyAuditVal,_xlfn.XLOOKUP($A126,My_Audit!$A:$A,My_Audit!O:O,""),
_xlfn.IFS(_xlpm.MyAuditVal&lt;&gt;"",UPPER(_xlpm.MyAuditVal),_xlpm.MacVal&lt;&gt;"",_xlpm.MacVal,_xlpm.CSVVal&lt;&gt;"",_xlpm.CSVVal
)),"")</f>
        <v/>
      </c>
      <c r="O126" s="46" t="str">
        <f>_xlfn.XLOOKUP(C126,My_Audit!B:B,My_Audit!P:P,"")&amp;""</f>
        <v/>
      </c>
      <c r="P126" s="45"/>
      <c r="Q126" s="46" t="str">
        <f>IF(LEFT(N126,4)="Pass","Nist SP 800-88",My_Audit!R126)&amp;""</f>
        <v/>
      </c>
      <c r="R126" s="45"/>
      <c r="S126" s="45"/>
      <c r="T126" s="46" t="str">
        <f>_xlfn.XLOOKUP(E126,Models!I:I,Models!J:J,"")</f>
        <v/>
      </c>
      <c r="U126" s="45"/>
      <c r="V126" s="45"/>
      <c r="W126" s="38" t="str">
        <f>_xlfn.LET(
    _xlpm.MacVal, _xlfn.XLOOKUP($A126, Output_Mac!$A:$A, Output_Mac!AB:AB, ""),
    _xlpm.MyAuditVal, _xlfn.XLOOKUP($A126, My_Audit!$A:$A, My_Audit!L:L, ""),
    _xlfn.TEXTJOIN(", ", TRUE, _xlpm.MyAuditVal, _xlpm.MacVal)
)</f>
        <v/>
      </c>
    </row>
    <row r="127" spans="1:23">
      <c r="A127" s="45" t="str">
        <f>_xlfn.TEXTJOIN("",TRUE,Input!$B$2,ROW(My_Audit!A126))</f>
        <v>XX126</v>
      </c>
      <c r="B127" s="45" t="str">
        <f>_xlfn.TEXTJOIN("-",TRUE,"ITD",Input!$A$2,A127)</f>
        <v>ITD-SHRXXX-XX126</v>
      </c>
      <c r="C127" s="45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46" t="str" cm="1">
        <f t="array" ref="D127">IFERROR(_xlfn.LET(
_xlpm.CSVVal,_xlfn.XLOOKUP($A127,CSV!$A:$A,CSV!C:C,""),
_xlpm.MacVal,_xlfn.XLOOKUP($A127,Output_Mac!$A:$A,Output_Mac!D:D,""),
_xlpm.MyAuditVal,_xlfn.XLOOKUP($A127,My_Audit!$A:$A,My_Audit!C:C,""),
_xlfn.IFS(_xlpm.MyAuditVal&lt;&gt;"",UPPER(_xlpm.MyAuditVal),_xlpm.MacVal&lt;&gt;"",_xlpm.MacVal,_xlpm.CSVVal&lt;&gt;"",_xlpm.CSVVal
)),"")</f>
        <v/>
      </c>
      <c r="E127" s="46" t="str" cm="1">
        <f t="array" ref="E127">IFERROR(_xlfn.LET(
_xlpm.CSVVal,_xlfn.XLOOKUP($A127,CSV!$A:$A,CSV!E:E,""),
_xlpm.MacVal,_xlfn.XLOOKUP($A127,Output_Mac!$A:$A,Output_Mac!C:C,""),
_xlpm.MyAuditVal,_xlfn.XLOOKUP($A127,My_Audit!$A:$A,My_Audit!D:D,""),
_xlfn.IFS(_xlpm.MyAuditVal&lt;&gt;"",_xlpm.MyAuditVal,_xlpm.MacVal&lt;&gt;"",_xlpm.MacVal,_xlpm.CSVVal&lt;&gt;"",_xlpm.CSVVal
)),"")</f>
        <v/>
      </c>
      <c r="F127" s="45" t="str" cm="1">
        <f t="array" ref="F127">IFERROR(_xlfn.LET(
_xlpm.CSVVal,_xlfn.XLOOKUP($A127,CSV!$A:$A,CSV!F:F,""),
_xlpm.MacVal,_xlfn.XLOOKUP($A127,Output_Mac!$A:$A,Output_Mac!F:F,""),
_xlpm.MyAuditVal,_xlfn.XLOOKUP($A127,My_Audit!$A:$A,My_Audit!E:E,""),
_xlfn.IFS(_xlpm.MyAuditVal&lt;&gt;"",_xlpm.MyAuditVal,_xlpm.MacVal&lt;&gt;"",_xlpm.MacVal,_xlpm.CSVVal&lt;&gt;"",PROPER(_xlpm.CSVVal)
)),"")</f>
        <v/>
      </c>
      <c r="G127" s="45" t="str" cm="1">
        <f t="array" ref="G127">IFERROR(_xlfn.LET(
_xlpm.CSVVal,_xlfn.XLOOKUP($A127,CSV!$A:$A,CSV!G:G,""),
_xlpm.MacVal,_xlfn.XLOOKUP($A127,Output_Mac!$A:$A,Output_Mac!H:H,""),
_xlpm.MyAuditVal,_xlfn.XLOOKUP($A127,My_Audit!$A:$A,My_Audit!F:F,""),
_xlfn.IFS(_xlpm.MyAuditVal&lt;&gt;"",_xlpm.MyAuditVal,_xlpm.MacVal&lt;&gt;"",_xlpm.MacVal,_xlpm.CSVVal&lt;&gt;"",_xlpm.CSVVal
)),"")</f>
        <v/>
      </c>
      <c r="H127" s="45" t="str">
        <f>_xlfn.XLOOKUP(A127,Output_Mac!A:A,Output_Mac!I:I,"")</f>
        <v/>
      </c>
      <c r="I127" s="45" t="str" cm="1">
        <f t="array" ref="I127">IFERROR(_xlfn.LET(
_xlpm.CSVVal,_xlfn.XLOOKUP($A127,CSV!$A:$A,CSV!H:H,""),
_xlpm.MacVal,_xlfn.XLOOKUP($A127,Output_Mac!$A:$A,Output_Mac!J:J,""),
_xlpm.MyAuditVal,_xlfn.XLOOKUP($A127,My_Audit!$A:$A,My_Audit!H:H,""),
_xlfn.IFS(_xlpm.MyAuditVal&lt;&gt;"",UPPER(_xlpm.MyAuditVal),_xlpm.MacVal&lt;&gt;"",_xlpm.MacVal,_xlpm.CSVVal&lt;&gt;"",_xlpm.CSVVal
)),"")</f>
        <v/>
      </c>
      <c r="J127" s="45" t="str" cm="1">
        <f t="array" ref="J127">IFERROR(_xlfn.LET(
_xlpm.CSVVal,_xlfn.XLOOKUP($A127,CSV!$A:$A,CSV!J:J,""),
_xlpm.MacVal,_xlfn.XLOOKUP($A127,Output_Mac!$A:$A,Output_Mac!K:K,""),
_xlpm.MyAuditVal,_xlfn.XLOOKUP($A127,My_Audit!$A:$A,My_Audit!I:I,""),
_xlfn.IFS(_xlpm.MyAuditVal&lt;&gt;"",UPPER(_xlpm.MyAuditVal),_xlpm.MacVal&lt;&gt;"",_xlpm.MacVal,_xlpm.CSVVal&lt;&gt;"",_xlpm.CSVVal
)),"")</f>
        <v/>
      </c>
      <c r="K127" s="45" t="str" cm="1">
        <f t="array" ref="K127">IFERROR(_xlfn.LET(
_xlpm.CSVVal,_xlfn.XLOOKUP($A127,CSV!$A:$A,CSV!N:N,""),
_xlpm.MacVal,_xlfn.XLOOKUP($A127,Output_Mac!$A:$A,Output_Mac!L:L,""),
_xlpm.MyAuditVal,_xlfn.XLOOKUP($A127,My_Audit!$A:$A,My_Audit!J:J,""),
_xlfn.IFS(_xlpm.MyAuditVal&lt;&gt;"",UPPER(_xlpm.MyAuditVal),_xlpm.MacVal&lt;&gt;"",_xlpm.MacVal,_xlpm.CSVVal&lt;&gt;"",_xlpm.CSVVal
)),"")</f>
        <v/>
      </c>
      <c r="L127" s="46" t="str" cm="1">
        <f t="array" ref="L127">IFERROR(_xlfn.LET(
_xlpm.CSVVal,_xlfn.XLOOKUP($A127,CSV!$A:$A,CSV!Q:Q,""),
_xlpm.MacVal,_xlfn.XLOOKUP($A127,Output_Mac!$A:$A,Output_Mac!M:M,""),
_xlpm.MyAuditVal,_xlfn.XLOOKUP($A127,My_Audit!$A:$A,My_Audit!K:K,""),
_xlfn.IFS(_xlpm.MyAuditVal&lt;&gt;"",UPPER(_xlpm.MyAuditVal),_xlpm.MacVal&lt;&gt;"",_xlpm.MacVal,_xlpm.CSVVal&lt;&gt;"",_xlpm.CSVVal
)),"")</f>
        <v/>
      </c>
      <c r="M127" s="45" t="str">
        <f>_xlfn.LET(
    _xlpm.CSVVal, _xlfn.XLOOKUP($A127, CSV!$A:$A, CSV!AE:AE, ""),
    _xlpm.MacVal, _xlfn.XLOOKUP($A127, Output_Mac!$A:$A, Output_Mac!S:S, ""),
    _xlpm.MyAuditVal, _xlfn.XLOOKUP($A127, My_Audit!$A:$A, My_Audit!N:N, ""),
    _xlfn.TEXTJOIN(", ", TRUE, _xlpm.MyAuditVal, _xlpm.MacVal, _xlpm.CSVVal)
)</f>
        <v/>
      </c>
      <c r="N127" s="45" t="str" cm="1">
        <f t="array" ref="N127">IFERROR(_xlfn.LET(
_xlpm.CSVVal,_xlfn.XLOOKUP($A127,CSV!$A:$A,CSV!AG:AG,""),
_xlpm.MacVal,_xlfn.XLOOKUP($A127,Output_Mac!$A:$A,Output_Mac!U:U,""),
_xlpm.MyAuditVal,_xlfn.XLOOKUP($A127,My_Audit!$A:$A,My_Audit!O:O,""),
_xlfn.IFS(_xlpm.MyAuditVal&lt;&gt;"",UPPER(_xlpm.MyAuditVal),_xlpm.MacVal&lt;&gt;"",_xlpm.MacVal,_xlpm.CSVVal&lt;&gt;"",_xlpm.CSVVal
)),"")</f>
        <v/>
      </c>
      <c r="O127" s="46" t="str">
        <f>_xlfn.XLOOKUP(C127,My_Audit!B:B,My_Audit!P:P,"")&amp;""</f>
        <v/>
      </c>
      <c r="P127" s="45"/>
      <c r="Q127" s="46" t="str">
        <f>IF(LEFT(N127,4)="Pass","Nist SP 800-88",My_Audit!R127)&amp;""</f>
        <v/>
      </c>
      <c r="R127" s="45"/>
      <c r="S127" s="45"/>
      <c r="T127" s="46" t="str">
        <f>_xlfn.XLOOKUP(E127,Models!I:I,Models!J:J,"")</f>
        <v/>
      </c>
      <c r="U127" s="45"/>
      <c r="V127" s="45"/>
      <c r="W127" s="38" t="str">
        <f>_xlfn.LET(
    _xlpm.MacVal, _xlfn.XLOOKUP($A127, Output_Mac!$A:$A, Output_Mac!AB:AB, ""),
    _xlpm.MyAuditVal, _xlfn.XLOOKUP($A127, My_Audit!$A:$A, My_Audit!L:L, ""),
    _xlfn.TEXTJOIN(", ", TRUE, _xlpm.MyAuditVal, _xlpm.MacVal)
)</f>
        <v/>
      </c>
    </row>
    <row r="128" spans="1:23">
      <c r="A128" s="45" t="str">
        <f>_xlfn.TEXTJOIN("",TRUE,Input!$B$2,ROW(My_Audit!A127))</f>
        <v>XX127</v>
      </c>
      <c r="B128" s="45" t="str">
        <f>_xlfn.TEXTJOIN("-",TRUE,"ITD",Input!$A$2,A128)</f>
        <v>ITD-SHRXXX-XX127</v>
      </c>
      <c r="C128" s="45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46" t="str" cm="1">
        <f t="array" ref="D128">IFERROR(_xlfn.LET(
_xlpm.CSVVal,_xlfn.XLOOKUP($A128,CSV!$A:$A,CSV!C:C,""),
_xlpm.MacVal,_xlfn.XLOOKUP($A128,Output_Mac!$A:$A,Output_Mac!D:D,""),
_xlpm.MyAuditVal,_xlfn.XLOOKUP($A128,My_Audit!$A:$A,My_Audit!C:C,""),
_xlfn.IFS(_xlpm.MyAuditVal&lt;&gt;"",UPPER(_xlpm.MyAuditVal),_xlpm.MacVal&lt;&gt;"",_xlpm.MacVal,_xlpm.CSVVal&lt;&gt;"",_xlpm.CSVVal
)),"")</f>
        <v/>
      </c>
      <c r="E128" s="46" t="str" cm="1">
        <f t="array" ref="E128">IFERROR(_xlfn.LET(
_xlpm.CSVVal,_xlfn.XLOOKUP($A128,CSV!$A:$A,CSV!E:E,""),
_xlpm.MacVal,_xlfn.XLOOKUP($A128,Output_Mac!$A:$A,Output_Mac!C:C,""),
_xlpm.MyAuditVal,_xlfn.XLOOKUP($A128,My_Audit!$A:$A,My_Audit!D:D,""),
_xlfn.IFS(_xlpm.MyAuditVal&lt;&gt;"",_xlpm.MyAuditVal,_xlpm.MacVal&lt;&gt;"",_xlpm.MacVal,_xlpm.CSVVal&lt;&gt;"",_xlpm.CSVVal
)),"")</f>
        <v/>
      </c>
      <c r="F128" s="45" t="str" cm="1">
        <f t="array" ref="F128">IFERROR(_xlfn.LET(
_xlpm.CSVVal,_xlfn.XLOOKUP($A128,CSV!$A:$A,CSV!F:F,""),
_xlpm.MacVal,_xlfn.XLOOKUP($A128,Output_Mac!$A:$A,Output_Mac!F:F,""),
_xlpm.MyAuditVal,_xlfn.XLOOKUP($A128,My_Audit!$A:$A,My_Audit!E:E,""),
_xlfn.IFS(_xlpm.MyAuditVal&lt;&gt;"",_xlpm.MyAuditVal,_xlpm.MacVal&lt;&gt;"",_xlpm.MacVal,_xlpm.CSVVal&lt;&gt;"",PROPER(_xlpm.CSVVal)
)),"")</f>
        <v/>
      </c>
      <c r="G128" s="45" t="str" cm="1">
        <f t="array" ref="G128">IFERROR(_xlfn.LET(
_xlpm.CSVVal,_xlfn.XLOOKUP($A128,CSV!$A:$A,CSV!G:G,""),
_xlpm.MacVal,_xlfn.XLOOKUP($A128,Output_Mac!$A:$A,Output_Mac!H:H,""),
_xlpm.MyAuditVal,_xlfn.XLOOKUP($A128,My_Audit!$A:$A,My_Audit!F:F,""),
_xlfn.IFS(_xlpm.MyAuditVal&lt;&gt;"",_xlpm.MyAuditVal,_xlpm.MacVal&lt;&gt;"",_xlpm.MacVal,_xlpm.CSVVal&lt;&gt;"",_xlpm.CSVVal
)),"")</f>
        <v/>
      </c>
      <c r="H128" s="45" t="str">
        <f>_xlfn.XLOOKUP(A128,Output_Mac!A:A,Output_Mac!I:I,"")</f>
        <v/>
      </c>
      <c r="I128" s="45" t="str" cm="1">
        <f t="array" ref="I128">IFERROR(_xlfn.LET(
_xlpm.CSVVal,_xlfn.XLOOKUP($A128,CSV!$A:$A,CSV!H:H,""),
_xlpm.MacVal,_xlfn.XLOOKUP($A128,Output_Mac!$A:$A,Output_Mac!J:J,""),
_xlpm.MyAuditVal,_xlfn.XLOOKUP($A128,My_Audit!$A:$A,My_Audit!H:H,""),
_xlfn.IFS(_xlpm.MyAuditVal&lt;&gt;"",UPPER(_xlpm.MyAuditVal),_xlpm.MacVal&lt;&gt;"",_xlpm.MacVal,_xlpm.CSVVal&lt;&gt;"",_xlpm.CSVVal
)),"")</f>
        <v/>
      </c>
      <c r="J128" s="45" t="str" cm="1">
        <f t="array" ref="J128">IFERROR(_xlfn.LET(
_xlpm.CSVVal,_xlfn.XLOOKUP($A128,CSV!$A:$A,CSV!J:J,""),
_xlpm.MacVal,_xlfn.XLOOKUP($A128,Output_Mac!$A:$A,Output_Mac!K:K,""),
_xlpm.MyAuditVal,_xlfn.XLOOKUP($A128,My_Audit!$A:$A,My_Audit!I:I,""),
_xlfn.IFS(_xlpm.MyAuditVal&lt;&gt;"",UPPER(_xlpm.MyAuditVal),_xlpm.MacVal&lt;&gt;"",_xlpm.MacVal,_xlpm.CSVVal&lt;&gt;"",_xlpm.CSVVal
)),"")</f>
        <v/>
      </c>
      <c r="K128" s="45" t="str" cm="1">
        <f t="array" ref="K128">IFERROR(_xlfn.LET(
_xlpm.CSVVal,_xlfn.XLOOKUP($A128,CSV!$A:$A,CSV!N:N,""),
_xlpm.MacVal,_xlfn.XLOOKUP($A128,Output_Mac!$A:$A,Output_Mac!L:L,""),
_xlpm.MyAuditVal,_xlfn.XLOOKUP($A128,My_Audit!$A:$A,My_Audit!J:J,""),
_xlfn.IFS(_xlpm.MyAuditVal&lt;&gt;"",UPPER(_xlpm.MyAuditVal),_xlpm.MacVal&lt;&gt;"",_xlpm.MacVal,_xlpm.CSVVal&lt;&gt;"",_xlpm.CSVVal
)),"")</f>
        <v/>
      </c>
      <c r="L128" s="46" t="str" cm="1">
        <f t="array" ref="L128">IFERROR(_xlfn.LET(
_xlpm.CSVVal,_xlfn.XLOOKUP($A128,CSV!$A:$A,CSV!Q:Q,""),
_xlpm.MacVal,_xlfn.XLOOKUP($A128,Output_Mac!$A:$A,Output_Mac!M:M,""),
_xlpm.MyAuditVal,_xlfn.XLOOKUP($A128,My_Audit!$A:$A,My_Audit!K:K,""),
_xlfn.IFS(_xlpm.MyAuditVal&lt;&gt;"",UPPER(_xlpm.MyAuditVal),_xlpm.MacVal&lt;&gt;"",_xlpm.MacVal,_xlpm.CSVVal&lt;&gt;"",_xlpm.CSVVal
)),"")</f>
        <v/>
      </c>
      <c r="M128" s="45" t="str">
        <f>_xlfn.LET(
    _xlpm.CSVVal, _xlfn.XLOOKUP($A128, CSV!$A:$A, CSV!AE:AE, ""),
    _xlpm.MacVal, _xlfn.XLOOKUP($A128, Output_Mac!$A:$A, Output_Mac!S:S, ""),
    _xlpm.MyAuditVal, _xlfn.XLOOKUP($A128, My_Audit!$A:$A, My_Audit!N:N, ""),
    _xlfn.TEXTJOIN(", ", TRUE, _xlpm.MyAuditVal, _xlpm.MacVal, _xlpm.CSVVal)
)</f>
        <v/>
      </c>
      <c r="N128" s="45" t="str" cm="1">
        <f t="array" ref="N128">IFERROR(_xlfn.LET(
_xlpm.CSVVal,_xlfn.XLOOKUP($A128,CSV!$A:$A,CSV!AG:AG,""),
_xlpm.MacVal,_xlfn.XLOOKUP($A128,Output_Mac!$A:$A,Output_Mac!U:U,""),
_xlpm.MyAuditVal,_xlfn.XLOOKUP($A128,My_Audit!$A:$A,My_Audit!O:O,""),
_xlfn.IFS(_xlpm.MyAuditVal&lt;&gt;"",UPPER(_xlpm.MyAuditVal),_xlpm.MacVal&lt;&gt;"",_xlpm.MacVal,_xlpm.CSVVal&lt;&gt;"",_xlpm.CSVVal
)),"")</f>
        <v/>
      </c>
      <c r="O128" s="46" t="str">
        <f>_xlfn.XLOOKUP(C128,My_Audit!B:B,My_Audit!P:P,"")&amp;""</f>
        <v/>
      </c>
      <c r="P128" s="45"/>
      <c r="Q128" s="46" t="str">
        <f>IF(LEFT(N128,4)="Pass","Nist SP 800-88",My_Audit!R128)&amp;""</f>
        <v/>
      </c>
      <c r="R128" s="45"/>
      <c r="S128" s="45"/>
      <c r="T128" s="46" t="str">
        <f>_xlfn.XLOOKUP(E128,Models!I:I,Models!J:J,"")</f>
        <v/>
      </c>
      <c r="U128" s="45"/>
      <c r="V128" s="45"/>
      <c r="W128" s="38" t="str">
        <f>_xlfn.LET(
    _xlpm.MacVal, _xlfn.XLOOKUP($A128, Output_Mac!$A:$A, Output_Mac!AB:AB, ""),
    _xlpm.MyAuditVal, _xlfn.XLOOKUP($A128, My_Audit!$A:$A, My_Audit!L:L, ""),
    _xlfn.TEXTJOIN(", ", TRUE, _xlpm.MyAuditVal, _xlpm.MacVal)
)</f>
        <v/>
      </c>
    </row>
    <row r="129" spans="1:23">
      <c r="A129" s="45" t="str">
        <f>_xlfn.TEXTJOIN("",TRUE,Input!$B$2,ROW(My_Audit!A128))</f>
        <v>XX128</v>
      </c>
      <c r="B129" s="45" t="str">
        <f>_xlfn.TEXTJOIN("-",TRUE,"ITD",Input!$A$2,A129)</f>
        <v>ITD-SHRXXX-XX128</v>
      </c>
      <c r="C129" s="45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46" t="str" cm="1">
        <f t="array" ref="D129">IFERROR(_xlfn.LET(
_xlpm.CSVVal,_xlfn.XLOOKUP($A129,CSV!$A:$A,CSV!C:C,""),
_xlpm.MacVal,_xlfn.XLOOKUP($A129,Output_Mac!$A:$A,Output_Mac!D:D,""),
_xlpm.MyAuditVal,_xlfn.XLOOKUP($A129,My_Audit!$A:$A,My_Audit!C:C,""),
_xlfn.IFS(_xlpm.MyAuditVal&lt;&gt;"",UPPER(_xlpm.MyAuditVal),_xlpm.MacVal&lt;&gt;"",_xlpm.MacVal,_xlpm.CSVVal&lt;&gt;"",_xlpm.CSVVal
)),"")</f>
        <v/>
      </c>
      <c r="E129" s="46" t="str" cm="1">
        <f t="array" ref="E129">IFERROR(_xlfn.LET(
_xlpm.CSVVal,_xlfn.XLOOKUP($A129,CSV!$A:$A,CSV!E:E,""),
_xlpm.MacVal,_xlfn.XLOOKUP($A129,Output_Mac!$A:$A,Output_Mac!C:C,""),
_xlpm.MyAuditVal,_xlfn.XLOOKUP($A129,My_Audit!$A:$A,My_Audit!D:D,""),
_xlfn.IFS(_xlpm.MyAuditVal&lt;&gt;"",_xlpm.MyAuditVal,_xlpm.MacVal&lt;&gt;"",_xlpm.MacVal,_xlpm.CSVVal&lt;&gt;"",_xlpm.CSVVal
)),"")</f>
        <v/>
      </c>
      <c r="F129" s="45" t="str" cm="1">
        <f t="array" ref="F129">IFERROR(_xlfn.LET(
_xlpm.CSVVal,_xlfn.XLOOKUP($A129,CSV!$A:$A,CSV!F:F,""),
_xlpm.MacVal,_xlfn.XLOOKUP($A129,Output_Mac!$A:$A,Output_Mac!F:F,""),
_xlpm.MyAuditVal,_xlfn.XLOOKUP($A129,My_Audit!$A:$A,My_Audit!E:E,""),
_xlfn.IFS(_xlpm.MyAuditVal&lt;&gt;"",_xlpm.MyAuditVal,_xlpm.MacVal&lt;&gt;"",_xlpm.MacVal,_xlpm.CSVVal&lt;&gt;"",PROPER(_xlpm.CSVVal)
)),"")</f>
        <v/>
      </c>
      <c r="G129" s="45" t="str" cm="1">
        <f t="array" ref="G129">IFERROR(_xlfn.LET(
_xlpm.CSVVal,_xlfn.XLOOKUP($A129,CSV!$A:$A,CSV!G:G,""),
_xlpm.MacVal,_xlfn.XLOOKUP($A129,Output_Mac!$A:$A,Output_Mac!H:H,""),
_xlpm.MyAuditVal,_xlfn.XLOOKUP($A129,My_Audit!$A:$A,My_Audit!F:F,""),
_xlfn.IFS(_xlpm.MyAuditVal&lt;&gt;"",_xlpm.MyAuditVal,_xlpm.MacVal&lt;&gt;"",_xlpm.MacVal,_xlpm.CSVVal&lt;&gt;"",_xlpm.CSVVal
)),"")</f>
        <v/>
      </c>
      <c r="H129" s="45" t="str">
        <f>_xlfn.XLOOKUP(A129,Output_Mac!A:A,Output_Mac!I:I,"")</f>
        <v/>
      </c>
      <c r="I129" s="45" t="str" cm="1">
        <f t="array" ref="I129">IFERROR(_xlfn.LET(
_xlpm.CSVVal,_xlfn.XLOOKUP($A129,CSV!$A:$A,CSV!H:H,""),
_xlpm.MacVal,_xlfn.XLOOKUP($A129,Output_Mac!$A:$A,Output_Mac!J:J,""),
_xlpm.MyAuditVal,_xlfn.XLOOKUP($A129,My_Audit!$A:$A,My_Audit!H:H,""),
_xlfn.IFS(_xlpm.MyAuditVal&lt;&gt;"",UPPER(_xlpm.MyAuditVal),_xlpm.MacVal&lt;&gt;"",_xlpm.MacVal,_xlpm.CSVVal&lt;&gt;"",_xlpm.CSVVal
)),"")</f>
        <v/>
      </c>
      <c r="J129" s="45" t="str" cm="1">
        <f t="array" ref="J129">IFERROR(_xlfn.LET(
_xlpm.CSVVal,_xlfn.XLOOKUP($A129,CSV!$A:$A,CSV!J:J,""),
_xlpm.MacVal,_xlfn.XLOOKUP($A129,Output_Mac!$A:$A,Output_Mac!K:K,""),
_xlpm.MyAuditVal,_xlfn.XLOOKUP($A129,My_Audit!$A:$A,My_Audit!I:I,""),
_xlfn.IFS(_xlpm.MyAuditVal&lt;&gt;"",UPPER(_xlpm.MyAuditVal),_xlpm.MacVal&lt;&gt;"",_xlpm.MacVal,_xlpm.CSVVal&lt;&gt;"",_xlpm.CSVVal
)),"")</f>
        <v/>
      </c>
      <c r="K129" s="45" t="str" cm="1">
        <f t="array" ref="K129">IFERROR(_xlfn.LET(
_xlpm.CSVVal,_xlfn.XLOOKUP($A129,CSV!$A:$A,CSV!N:N,""),
_xlpm.MacVal,_xlfn.XLOOKUP($A129,Output_Mac!$A:$A,Output_Mac!L:L,""),
_xlpm.MyAuditVal,_xlfn.XLOOKUP($A129,My_Audit!$A:$A,My_Audit!J:J,""),
_xlfn.IFS(_xlpm.MyAuditVal&lt;&gt;"",UPPER(_xlpm.MyAuditVal),_xlpm.MacVal&lt;&gt;"",_xlpm.MacVal,_xlpm.CSVVal&lt;&gt;"",_xlpm.CSVVal
)),"")</f>
        <v/>
      </c>
      <c r="L129" s="46" t="str" cm="1">
        <f t="array" ref="L129">IFERROR(_xlfn.LET(
_xlpm.CSVVal,_xlfn.XLOOKUP($A129,CSV!$A:$A,CSV!Q:Q,""),
_xlpm.MacVal,_xlfn.XLOOKUP($A129,Output_Mac!$A:$A,Output_Mac!M:M,""),
_xlpm.MyAuditVal,_xlfn.XLOOKUP($A129,My_Audit!$A:$A,My_Audit!K:K,""),
_xlfn.IFS(_xlpm.MyAuditVal&lt;&gt;"",UPPER(_xlpm.MyAuditVal),_xlpm.MacVal&lt;&gt;"",_xlpm.MacVal,_xlpm.CSVVal&lt;&gt;"",_xlpm.CSVVal
)),"")</f>
        <v/>
      </c>
      <c r="M129" s="45" t="str">
        <f>_xlfn.LET(
    _xlpm.CSVVal, _xlfn.XLOOKUP($A129, CSV!$A:$A, CSV!AE:AE, ""),
    _xlpm.MacVal, _xlfn.XLOOKUP($A129, Output_Mac!$A:$A, Output_Mac!S:S, ""),
    _xlpm.MyAuditVal, _xlfn.XLOOKUP($A129, My_Audit!$A:$A, My_Audit!N:N, ""),
    _xlfn.TEXTJOIN(", ", TRUE, _xlpm.MyAuditVal, _xlpm.MacVal, _xlpm.CSVVal)
)</f>
        <v/>
      </c>
      <c r="N129" s="45" t="str" cm="1">
        <f t="array" ref="N129">IFERROR(_xlfn.LET(
_xlpm.CSVVal,_xlfn.XLOOKUP($A129,CSV!$A:$A,CSV!AG:AG,""),
_xlpm.MacVal,_xlfn.XLOOKUP($A129,Output_Mac!$A:$A,Output_Mac!U:U,""),
_xlpm.MyAuditVal,_xlfn.XLOOKUP($A129,My_Audit!$A:$A,My_Audit!O:O,""),
_xlfn.IFS(_xlpm.MyAuditVal&lt;&gt;"",UPPER(_xlpm.MyAuditVal),_xlpm.MacVal&lt;&gt;"",_xlpm.MacVal,_xlpm.CSVVal&lt;&gt;"",_xlpm.CSVVal
)),"")</f>
        <v/>
      </c>
      <c r="O129" s="46" t="str">
        <f>_xlfn.XLOOKUP(C129,My_Audit!B:B,My_Audit!P:P,"")&amp;""</f>
        <v/>
      </c>
      <c r="P129" s="45"/>
      <c r="Q129" s="46" t="str">
        <f>IF(LEFT(N129,4)="Pass","Nist SP 800-88",My_Audit!R129)&amp;""</f>
        <v/>
      </c>
      <c r="R129" s="45"/>
      <c r="S129" s="45"/>
      <c r="T129" s="46" t="str">
        <f>_xlfn.XLOOKUP(E129,Models!I:I,Models!J:J,"")</f>
        <v/>
      </c>
      <c r="U129" s="45"/>
      <c r="V129" s="45"/>
      <c r="W129" s="38" t="str">
        <f>_xlfn.LET(
    _xlpm.MacVal, _xlfn.XLOOKUP($A129, Output_Mac!$A:$A, Output_Mac!AB:AB, ""),
    _xlpm.MyAuditVal, _xlfn.XLOOKUP($A129, My_Audit!$A:$A, My_Audit!L:L, ""),
    _xlfn.TEXTJOIN(", ", TRUE, _xlpm.MyAuditVal, _xlpm.MacVal)
)</f>
        <v/>
      </c>
    </row>
    <row r="130" spans="1:23">
      <c r="A130" s="45" t="str">
        <f>_xlfn.TEXTJOIN("",TRUE,Input!$B$2,ROW(My_Audit!A129))</f>
        <v>XX129</v>
      </c>
      <c r="B130" s="45" t="str">
        <f>_xlfn.TEXTJOIN("-",TRUE,"ITD",Input!$A$2,A130)</f>
        <v>ITD-SHRXXX-XX129</v>
      </c>
      <c r="C130" s="45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46" t="str" cm="1">
        <f t="array" ref="D130">IFERROR(_xlfn.LET(
_xlpm.CSVVal,_xlfn.XLOOKUP($A130,CSV!$A:$A,CSV!C:C,""),
_xlpm.MacVal,_xlfn.XLOOKUP($A130,Output_Mac!$A:$A,Output_Mac!D:D,""),
_xlpm.MyAuditVal,_xlfn.XLOOKUP($A130,My_Audit!$A:$A,My_Audit!C:C,""),
_xlfn.IFS(_xlpm.MyAuditVal&lt;&gt;"",UPPER(_xlpm.MyAuditVal),_xlpm.MacVal&lt;&gt;"",_xlpm.MacVal,_xlpm.CSVVal&lt;&gt;"",_xlpm.CSVVal
)),"")</f>
        <v/>
      </c>
      <c r="E130" s="46" t="str" cm="1">
        <f t="array" ref="E130">IFERROR(_xlfn.LET(
_xlpm.CSVVal,_xlfn.XLOOKUP($A130,CSV!$A:$A,CSV!E:E,""),
_xlpm.MacVal,_xlfn.XLOOKUP($A130,Output_Mac!$A:$A,Output_Mac!C:C,""),
_xlpm.MyAuditVal,_xlfn.XLOOKUP($A130,My_Audit!$A:$A,My_Audit!D:D,""),
_xlfn.IFS(_xlpm.MyAuditVal&lt;&gt;"",_xlpm.MyAuditVal,_xlpm.MacVal&lt;&gt;"",_xlpm.MacVal,_xlpm.CSVVal&lt;&gt;"",_xlpm.CSVVal
)),"")</f>
        <v/>
      </c>
      <c r="F130" s="45" t="str" cm="1">
        <f t="array" ref="F130">IFERROR(_xlfn.LET(
_xlpm.CSVVal,_xlfn.XLOOKUP($A130,CSV!$A:$A,CSV!F:F,""),
_xlpm.MacVal,_xlfn.XLOOKUP($A130,Output_Mac!$A:$A,Output_Mac!F:F,""),
_xlpm.MyAuditVal,_xlfn.XLOOKUP($A130,My_Audit!$A:$A,My_Audit!E:E,""),
_xlfn.IFS(_xlpm.MyAuditVal&lt;&gt;"",_xlpm.MyAuditVal,_xlpm.MacVal&lt;&gt;"",_xlpm.MacVal,_xlpm.CSVVal&lt;&gt;"",PROPER(_xlpm.CSVVal)
)),"")</f>
        <v/>
      </c>
      <c r="G130" s="45" t="str" cm="1">
        <f t="array" ref="G130">IFERROR(_xlfn.LET(
_xlpm.CSVVal,_xlfn.XLOOKUP($A130,CSV!$A:$A,CSV!G:G,""),
_xlpm.MacVal,_xlfn.XLOOKUP($A130,Output_Mac!$A:$A,Output_Mac!H:H,""),
_xlpm.MyAuditVal,_xlfn.XLOOKUP($A130,My_Audit!$A:$A,My_Audit!F:F,""),
_xlfn.IFS(_xlpm.MyAuditVal&lt;&gt;"",_xlpm.MyAuditVal,_xlpm.MacVal&lt;&gt;"",_xlpm.MacVal,_xlpm.CSVVal&lt;&gt;"",_xlpm.CSVVal
)),"")</f>
        <v/>
      </c>
      <c r="H130" s="45" t="str">
        <f>_xlfn.XLOOKUP(A130,Output_Mac!A:A,Output_Mac!I:I,"")</f>
        <v/>
      </c>
      <c r="I130" s="45" t="str" cm="1">
        <f t="array" ref="I130">IFERROR(_xlfn.LET(
_xlpm.CSVVal,_xlfn.XLOOKUP($A130,CSV!$A:$A,CSV!H:H,""),
_xlpm.MacVal,_xlfn.XLOOKUP($A130,Output_Mac!$A:$A,Output_Mac!J:J,""),
_xlpm.MyAuditVal,_xlfn.XLOOKUP($A130,My_Audit!$A:$A,My_Audit!H:H,""),
_xlfn.IFS(_xlpm.MyAuditVal&lt;&gt;"",UPPER(_xlpm.MyAuditVal),_xlpm.MacVal&lt;&gt;"",_xlpm.MacVal,_xlpm.CSVVal&lt;&gt;"",_xlpm.CSVVal
)),"")</f>
        <v/>
      </c>
      <c r="J130" s="45" t="str" cm="1">
        <f t="array" ref="J130">IFERROR(_xlfn.LET(
_xlpm.CSVVal,_xlfn.XLOOKUP($A130,CSV!$A:$A,CSV!J:J,""),
_xlpm.MacVal,_xlfn.XLOOKUP($A130,Output_Mac!$A:$A,Output_Mac!K:K,""),
_xlpm.MyAuditVal,_xlfn.XLOOKUP($A130,My_Audit!$A:$A,My_Audit!I:I,""),
_xlfn.IFS(_xlpm.MyAuditVal&lt;&gt;"",UPPER(_xlpm.MyAuditVal),_xlpm.MacVal&lt;&gt;"",_xlpm.MacVal,_xlpm.CSVVal&lt;&gt;"",_xlpm.CSVVal
)),"")</f>
        <v/>
      </c>
      <c r="K130" s="45" t="str" cm="1">
        <f t="array" ref="K130">IFERROR(_xlfn.LET(
_xlpm.CSVVal,_xlfn.XLOOKUP($A130,CSV!$A:$A,CSV!N:N,""),
_xlpm.MacVal,_xlfn.XLOOKUP($A130,Output_Mac!$A:$A,Output_Mac!L:L,""),
_xlpm.MyAuditVal,_xlfn.XLOOKUP($A130,My_Audit!$A:$A,My_Audit!J:J,""),
_xlfn.IFS(_xlpm.MyAuditVal&lt;&gt;"",UPPER(_xlpm.MyAuditVal),_xlpm.MacVal&lt;&gt;"",_xlpm.MacVal,_xlpm.CSVVal&lt;&gt;"",_xlpm.CSVVal
)),"")</f>
        <v/>
      </c>
      <c r="L130" s="46" t="str" cm="1">
        <f t="array" ref="L130">IFERROR(_xlfn.LET(
_xlpm.CSVVal,_xlfn.XLOOKUP($A130,CSV!$A:$A,CSV!Q:Q,""),
_xlpm.MacVal,_xlfn.XLOOKUP($A130,Output_Mac!$A:$A,Output_Mac!M:M,""),
_xlpm.MyAuditVal,_xlfn.XLOOKUP($A130,My_Audit!$A:$A,My_Audit!K:K,""),
_xlfn.IFS(_xlpm.MyAuditVal&lt;&gt;"",UPPER(_xlpm.MyAuditVal),_xlpm.MacVal&lt;&gt;"",_xlpm.MacVal,_xlpm.CSVVal&lt;&gt;"",_xlpm.CSVVal
)),"")</f>
        <v/>
      </c>
      <c r="M130" s="45" t="str">
        <f>_xlfn.LET(
    _xlpm.CSVVal, _xlfn.XLOOKUP($A130, CSV!$A:$A, CSV!AE:AE, ""),
    _xlpm.MacVal, _xlfn.XLOOKUP($A130, Output_Mac!$A:$A, Output_Mac!S:S, ""),
    _xlpm.MyAuditVal, _xlfn.XLOOKUP($A130, My_Audit!$A:$A, My_Audit!N:N, ""),
    _xlfn.TEXTJOIN(", ", TRUE, _xlpm.MyAuditVal, _xlpm.MacVal, _xlpm.CSVVal)
)</f>
        <v/>
      </c>
      <c r="N130" s="45" t="str" cm="1">
        <f t="array" ref="N130">IFERROR(_xlfn.LET(
_xlpm.CSVVal,_xlfn.XLOOKUP($A130,CSV!$A:$A,CSV!AG:AG,""),
_xlpm.MacVal,_xlfn.XLOOKUP($A130,Output_Mac!$A:$A,Output_Mac!U:U,""),
_xlpm.MyAuditVal,_xlfn.XLOOKUP($A130,My_Audit!$A:$A,My_Audit!O:O,""),
_xlfn.IFS(_xlpm.MyAuditVal&lt;&gt;"",UPPER(_xlpm.MyAuditVal),_xlpm.MacVal&lt;&gt;"",_xlpm.MacVal,_xlpm.CSVVal&lt;&gt;"",_xlpm.CSVVal
)),"")</f>
        <v/>
      </c>
      <c r="O130" s="46" t="str">
        <f>_xlfn.XLOOKUP(C130,My_Audit!B:B,My_Audit!P:P,"")&amp;""</f>
        <v/>
      </c>
      <c r="P130" s="45"/>
      <c r="Q130" s="46" t="str">
        <f>IF(LEFT(N130,4)="Pass","Nist SP 800-88",My_Audit!R130)&amp;""</f>
        <v/>
      </c>
      <c r="R130" s="45"/>
      <c r="S130" s="45"/>
      <c r="T130" s="46" t="str">
        <f>_xlfn.XLOOKUP(E130,Models!I:I,Models!J:J,"")</f>
        <v/>
      </c>
      <c r="U130" s="45"/>
      <c r="V130" s="45"/>
      <c r="W130" s="38" t="str">
        <f>_xlfn.LET(
    _xlpm.MacVal, _xlfn.XLOOKUP($A130, Output_Mac!$A:$A, Output_Mac!AB:AB, ""),
    _xlpm.MyAuditVal, _xlfn.XLOOKUP($A130, My_Audit!$A:$A, My_Audit!L:L, ""),
    _xlfn.TEXTJOIN(", ", TRUE, _xlpm.MyAuditVal, _xlpm.MacVal)
)</f>
        <v/>
      </c>
    </row>
    <row r="131" spans="1:23">
      <c r="A131" s="45" t="str">
        <f>_xlfn.TEXTJOIN("",TRUE,Input!$B$2,ROW(My_Audit!A130))</f>
        <v>XX130</v>
      </c>
      <c r="B131" s="45" t="str">
        <f>_xlfn.TEXTJOIN("-",TRUE,"ITD",Input!$A$2,A131)</f>
        <v>ITD-SHRXXX-XX130</v>
      </c>
      <c r="C131" s="45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46" t="str" cm="1">
        <f t="array" ref="D131">IFERROR(_xlfn.LET(
_xlpm.CSVVal,_xlfn.XLOOKUP($A131,CSV!$A:$A,CSV!C:C,""),
_xlpm.MacVal,_xlfn.XLOOKUP($A131,Output_Mac!$A:$A,Output_Mac!D:D,""),
_xlpm.MyAuditVal,_xlfn.XLOOKUP($A131,My_Audit!$A:$A,My_Audit!C:C,""),
_xlfn.IFS(_xlpm.MyAuditVal&lt;&gt;"",UPPER(_xlpm.MyAuditVal),_xlpm.MacVal&lt;&gt;"",_xlpm.MacVal,_xlpm.CSVVal&lt;&gt;"",_xlpm.CSVVal
)),"")</f>
        <v/>
      </c>
      <c r="E131" s="46" t="str" cm="1">
        <f t="array" ref="E131">IFERROR(_xlfn.LET(
_xlpm.CSVVal,_xlfn.XLOOKUP($A131,CSV!$A:$A,CSV!E:E,""),
_xlpm.MacVal,_xlfn.XLOOKUP($A131,Output_Mac!$A:$A,Output_Mac!C:C,""),
_xlpm.MyAuditVal,_xlfn.XLOOKUP($A131,My_Audit!$A:$A,My_Audit!D:D,""),
_xlfn.IFS(_xlpm.MyAuditVal&lt;&gt;"",_xlpm.MyAuditVal,_xlpm.MacVal&lt;&gt;"",_xlpm.MacVal,_xlpm.CSVVal&lt;&gt;"",_xlpm.CSVVal
)),"")</f>
        <v/>
      </c>
      <c r="F131" s="45" t="str" cm="1">
        <f t="array" ref="F131">IFERROR(_xlfn.LET(
_xlpm.CSVVal,_xlfn.XLOOKUP($A131,CSV!$A:$A,CSV!F:F,""),
_xlpm.MacVal,_xlfn.XLOOKUP($A131,Output_Mac!$A:$A,Output_Mac!F:F,""),
_xlpm.MyAuditVal,_xlfn.XLOOKUP($A131,My_Audit!$A:$A,My_Audit!E:E,""),
_xlfn.IFS(_xlpm.MyAuditVal&lt;&gt;"",_xlpm.MyAuditVal,_xlpm.MacVal&lt;&gt;"",_xlpm.MacVal,_xlpm.CSVVal&lt;&gt;"",PROPER(_xlpm.CSVVal)
)),"")</f>
        <v/>
      </c>
      <c r="G131" s="45" t="str" cm="1">
        <f t="array" ref="G131">IFERROR(_xlfn.LET(
_xlpm.CSVVal,_xlfn.XLOOKUP($A131,CSV!$A:$A,CSV!G:G,""),
_xlpm.MacVal,_xlfn.XLOOKUP($A131,Output_Mac!$A:$A,Output_Mac!H:H,""),
_xlpm.MyAuditVal,_xlfn.XLOOKUP($A131,My_Audit!$A:$A,My_Audit!F:F,""),
_xlfn.IFS(_xlpm.MyAuditVal&lt;&gt;"",_xlpm.MyAuditVal,_xlpm.MacVal&lt;&gt;"",_xlpm.MacVal,_xlpm.CSVVal&lt;&gt;"",_xlpm.CSVVal
)),"")</f>
        <v/>
      </c>
      <c r="H131" s="45" t="str">
        <f>_xlfn.XLOOKUP(A131,Output_Mac!A:A,Output_Mac!I:I,"")</f>
        <v/>
      </c>
      <c r="I131" s="45" t="str" cm="1">
        <f t="array" ref="I131">IFERROR(_xlfn.LET(
_xlpm.CSVVal,_xlfn.XLOOKUP($A131,CSV!$A:$A,CSV!H:H,""),
_xlpm.MacVal,_xlfn.XLOOKUP($A131,Output_Mac!$A:$A,Output_Mac!J:J,""),
_xlpm.MyAuditVal,_xlfn.XLOOKUP($A131,My_Audit!$A:$A,My_Audit!H:H,""),
_xlfn.IFS(_xlpm.MyAuditVal&lt;&gt;"",UPPER(_xlpm.MyAuditVal),_xlpm.MacVal&lt;&gt;"",_xlpm.MacVal,_xlpm.CSVVal&lt;&gt;"",_xlpm.CSVVal
)),"")</f>
        <v/>
      </c>
      <c r="J131" s="45" t="str" cm="1">
        <f t="array" ref="J131">IFERROR(_xlfn.LET(
_xlpm.CSVVal,_xlfn.XLOOKUP($A131,CSV!$A:$A,CSV!J:J,""),
_xlpm.MacVal,_xlfn.XLOOKUP($A131,Output_Mac!$A:$A,Output_Mac!K:K,""),
_xlpm.MyAuditVal,_xlfn.XLOOKUP($A131,My_Audit!$A:$A,My_Audit!I:I,""),
_xlfn.IFS(_xlpm.MyAuditVal&lt;&gt;"",UPPER(_xlpm.MyAuditVal),_xlpm.MacVal&lt;&gt;"",_xlpm.MacVal,_xlpm.CSVVal&lt;&gt;"",_xlpm.CSVVal
)),"")</f>
        <v/>
      </c>
      <c r="K131" s="45" t="str" cm="1">
        <f t="array" ref="K131">IFERROR(_xlfn.LET(
_xlpm.CSVVal,_xlfn.XLOOKUP($A131,CSV!$A:$A,CSV!N:N,""),
_xlpm.MacVal,_xlfn.XLOOKUP($A131,Output_Mac!$A:$A,Output_Mac!L:L,""),
_xlpm.MyAuditVal,_xlfn.XLOOKUP($A131,My_Audit!$A:$A,My_Audit!J:J,""),
_xlfn.IFS(_xlpm.MyAuditVal&lt;&gt;"",UPPER(_xlpm.MyAuditVal),_xlpm.MacVal&lt;&gt;"",_xlpm.MacVal,_xlpm.CSVVal&lt;&gt;"",_xlpm.CSVVal
)),"")</f>
        <v/>
      </c>
      <c r="L131" s="46" t="str" cm="1">
        <f t="array" ref="L131">IFERROR(_xlfn.LET(
_xlpm.CSVVal,_xlfn.XLOOKUP($A131,CSV!$A:$A,CSV!Q:Q,""),
_xlpm.MacVal,_xlfn.XLOOKUP($A131,Output_Mac!$A:$A,Output_Mac!M:M,""),
_xlpm.MyAuditVal,_xlfn.XLOOKUP($A131,My_Audit!$A:$A,My_Audit!K:K,""),
_xlfn.IFS(_xlpm.MyAuditVal&lt;&gt;"",UPPER(_xlpm.MyAuditVal),_xlpm.MacVal&lt;&gt;"",_xlpm.MacVal,_xlpm.CSVVal&lt;&gt;"",_xlpm.CSVVal
)),"")</f>
        <v/>
      </c>
      <c r="M131" s="45" t="str">
        <f>_xlfn.LET(
    _xlpm.CSVVal, _xlfn.XLOOKUP($A131, CSV!$A:$A, CSV!AE:AE, ""),
    _xlpm.MacVal, _xlfn.XLOOKUP($A131, Output_Mac!$A:$A, Output_Mac!S:S, ""),
    _xlpm.MyAuditVal, _xlfn.XLOOKUP($A131, My_Audit!$A:$A, My_Audit!N:N, ""),
    _xlfn.TEXTJOIN(", ", TRUE, _xlpm.MyAuditVal, _xlpm.MacVal, _xlpm.CSVVal)
)</f>
        <v/>
      </c>
      <c r="N131" s="45" t="str" cm="1">
        <f t="array" ref="N131">IFERROR(_xlfn.LET(
_xlpm.CSVVal,_xlfn.XLOOKUP($A131,CSV!$A:$A,CSV!AG:AG,""),
_xlpm.MacVal,_xlfn.XLOOKUP($A131,Output_Mac!$A:$A,Output_Mac!U:U,""),
_xlpm.MyAuditVal,_xlfn.XLOOKUP($A131,My_Audit!$A:$A,My_Audit!O:O,""),
_xlfn.IFS(_xlpm.MyAuditVal&lt;&gt;"",UPPER(_xlpm.MyAuditVal),_xlpm.MacVal&lt;&gt;"",_xlpm.MacVal,_xlpm.CSVVal&lt;&gt;"",_xlpm.CSVVal
)),"")</f>
        <v/>
      </c>
      <c r="O131" s="46" t="str">
        <f>_xlfn.XLOOKUP(C131,My_Audit!B:B,My_Audit!P:P,"")&amp;""</f>
        <v/>
      </c>
      <c r="P131" s="45"/>
      <c r="Q131" s="46" t="str">
        <f>IF(LEFT(N131,4)="Pass","Nist SP 800-88",My_Audit!R131)&amp;""</f>
        <v/>
      </c>
      <c r="R131" s="45"/>
      <c r="S131" s="45"/>
      <c r="T131" s="46" t="str">
        <f>_xlfn.XLOOKUP(E131,Models!I:I,Models!J:J,"")</f>
        <v/>
      </c>
      <c r="U131" s="45"/>
      <c r="V131" s="45"/>
      <c r="W131" s="38" t="str">
        <f>_xlfn.LET(
    _xlpm.MacVal, _xlfn.XLOOKUP($A131, Output_Mac!$A:$A, Output_Mac!AB:AB, ""),
    _xlpm.MyAuditVal, _xlfn.XLOOKUP($A131, My_Audit!$A:$A, My_Audit!L:L, ""),
    _xlfn.TEXTJOIN(", ", TRUE, _xlpm.MyAuditVal, _xlpm.MacVal)
)</f>
        <v/>
      </c>
    </row>
    <row r="132" spans="1:23">
      <c r="A132" s="45" t="str">
        <f>_xlfn.TEXTJOIN("",TRUE,Input!$B$2,ROW(My_Audit!A131))</f>
        <v>XX131</v>
      </c>
      <c r="B132" s="45" t="str">
        <f>_xlfn.TEXTJOIN("-",TRUE,"ITD",Input!$A$2,A132)</f>
        <v>ITD-SHRXXX-XX131</v>
      </c>
      <c r="C132" s="45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46" t="str" cm="1">
        <f t="array" ref="D132">IFERROR(_xlfn.LET(
_xlpm.CSVVal,_xlfn.XLOOKUP($A132,CSV!$A:$A,CSV!C:C,""),
_xlpm.MacVal,_xlfn.XLOOKUP($A132,Output_Mac!$A:$A,Output_Mac!D:D,""),
_xlpm.MyAuditVal,_xlfn.XLOOKUP($A132,My_Audit!$A:$A,My_Audit!C:C,""),
_xlfn.IFS(_xlpm.MyAuditVal&lt;&gt;"",UPPER(_xlpm.MyAuditVal),_xlpm.MacVal&lt;&gt;"",_xlpm.MacVal,_xlpm.CSVVal&lt;&gt;"",_xlpm.CSVVal
)),"")</f>
        <v/>
      </c>
      <c r="E132" s="46" t="str" cm="1">
        <f t="array" ref="E132">IFERROR(_xlfn.LET(
_xlpm.CSVVal,_xlfn.XLOOKUP($A132,CSV!$A:$A,CSV!E:E,""),
_xlpm.MacVal,_xlfn.XLOOKUP($A132,Output_Mac!$A:$A,Output_Mac!C:C,""),
_xlpm.MyAuditVal,_xlfn.XLOOKUP($A132,My_Audit!$A:$A,My_Audit!D:D,""),
_xlfn.IFS(_xlpm.MyAuditVal&lt;&gt;"",_xlpm.MyAuditVal,_xlpm.MacVal&lt;&gt;"",_xlpm.MacVal,_xlpm.CSVVal&lt;&gt;"",_xlpm.CSVVal
)),"")</f>
        <v/>
      </c>
      <c r="F132" s="45" t="str" cm="1">
        <f t="array" ref="F132">IFERROR(_xlfn.LET(
_xlpm.CSVVal,_xlfn.XLOOKUP($A132,CSV!$A:$A,CSV!F:F,""),
_xlpm.MacVal,_xlfn.XLOOKUP($A132,Output_Mac!$A:$A,Output_Mac!F:F,""),
_xlpm.MyAuditVal,_xlfn.XLOOKUP($A132,My_Audit!$A:$A,My_Audit!E:E,""),
_xlfn.IFS(_xlpm.MyAuditVal&lt;&gt;"",_xlpm.MyAuditVal,_xlpm.MacVal&lt;&gt;"",_xlpm.MacVal,_xlpm.CSVVal&lt;&gt;"",PROPER(_xlpm.CSVVal)
)),"")</f>
        <v/>
      </c>
      <c r="G132" s="45" t="str" cm="1">
        <f t="array" ref="G132">IFERROR(_xlfn.LET(
_xlpm.CSVVal,_xlfn.XLOOKUP($A132,CSV!$A:$A,CSV!G:G,""),
_xlpm.MacVal,_xlfn.XLOOKUP($A132,Output_Mac!$A:$A,Output_Mac!H:H,""),
_xlpm.MyAuditVal,_xlfn.XLOOKUP($A132,My_Audit!$A:$A,My_Audit!F:F,""),
_xlfn.IFS(_xlpm.MyAuditVal&lt;&gt;"",_xlpm.MyAuditVal,_xlpm.MacVal&lt;&gt;"",_xlpm.MacVal,_xlpm.CSVVal&lt;&gt;"",_xlpm.CSVVal
)),"")</f>
        <v/>
      </c>
      <c r="H132" s="45" t="str">
        <f>_xlfn.XLOOKUP(A132,Output_Mac!A:A,Output_Mac!I:I,"")</f>
        <v/>
      </c>
      <c r="I132" s="45" t="str" cm="1">
        <f t="array" ref="I132">IFERROR(_xlfn.LET(
_xlpm.CSVVal,_xlfn.XLOOKUP($A132,CSV!$A:$A,CSV!H:H,""),
_xlpm.MacVal,_xlfn.XLOOKUP($A132,Output_Mac!$A:$A,Output_Mac!J:J,""),
_xlpm.MyAuditVal,_xlfn.XLOOKUP($A132,My_Audit!$A:$A,My_Audit!H:H,""),
_xlfn.IFS(_xlpm.MyAuditVal&lt;&gt;"",UPPER(_xlpm.MyAuditVal),_xlpm.MacVal&lt;&gt;"",_xlpm.MacVal,_xlpm.CSVVal&lt;&gt;"",_xlpm.CSVVal
)),"")</f>
        <v/>
      </c>
      <c r="J132" s="45" t="str" cm="1">
        <f t="array" ref="J132">IFERROR(_xlfn.LET(
_xlpm.CSVVal,_xlfn.XLOOKUP($A132,CSV!$A:$A,CSV!J:J,""),
_xlpm.MacVal,_xlfn.XLOOKUP($A132,Output_Mac!$A:$A,Output_Mac!K:K,""),
_xlpm.MyAuditVal,_xlfn.XLOOKUP($A132,My_Audit!$A:$A,My_Audit!I:I,""),
_xlfn.IFS(_xlpm.MyAuditVal&lt;&gt;"",UPPER(_xlpm.MyAuditVal),_xlpm.MacVal&lt;&gt;"",_xlpm.MacVal,_xlpm.CSVVal&lt;&gt;"",_xlpm.CSVVal
)),"")</f>
        <v/>
      </c>
      <c r="K132" s="45" t="str" cm="1">
        <f t="array" ref="K132">IFERROR(_xlfn.LET(
_xlpm.CSVVal,_xlfn.XLOOKUP($A132,CSV!$A:$A,CSV!N:N,""),
_xlpm.MacVal,_xlfn.XLOOKUP($A132,Output_Mac!$A:$A,Output_Mac!L:L,""),
_xlpm.MyAuditVal,_xlfn.XLOOKUP($A132,My_Audit!$A:$A,My_Audit!J:J,""),
_xlfn.IFS(_xlpm.MyAuditVal&lt;&gt;"",UPPER(_xlpm.MyAuditVal),_xlpm.MacVal&lt;&gt;"",_xlpm.MacVal,_xlpm.CSVVal&lt;&gt;"",_xlpm.CSVVal
)),"")</f>
        <v/>
      </c>
      <c r="L132" s="46" t="str" cm="1">
        <f t="array" ref="L132">IFERROR(_xlfn.LET(
_xlpm.CSVVal,_xlfn.XLOOKUP($A132,CSV!$A:$A,CSV!Q:Q,""),
_xlpm.MacVal,_xlfn.XLOOKUP($A132,Output_Mac!$A:$A,Output_Mac!M:M,""),
_xlpm.MyAuditVal,_xlfn.XLOOKUP($A132,My_Audit!$A:$A,My_Audit!K:K,""),
_xlfn.IFS(_xlpm.MyAuditVal&lt;&gt;"",UPPER(_xlpm.MyAuditVal),_xlpm.MacVal&lt;&gt;"",_xlpm.MacVal,_xlpm.CSVVal&lt;&gt;"",_xlpm.CSVVal
)),"")</f>
        <v/>
      </c>
      <c r="M132" s="45" t="str">
        <f>_xlfn.LET(
    _xlpm.CSVVal, _xlfn.XLOOKUP($A132, CSV!$A:$A, CSV!AE:AE, ""),
    _xlpm.MacVal, _xlfn.XLOOKUP($A132, Output_Mac!$A:$A, Output_Mac!S:S, ""),
    _xlpm.MyAuditVal, _xlfn.XLOOKUP($A132, My_Audit!$A:$A, My_Audit!N:N, ""),
    _xlfn.TEXTJOIN(", ", TRUE, _xlpm.MyAuditVal, _xlpm.MacVal, _xlpm.CSVVal)
)</f>
        <v/>
      </c>
      <c r="N132" s="45" t="str" cm="1">
        <f t="array" ref="N132">IFERROR(_xlfn.LET(
_xlpm.CSVVal,_xlfn.XLOOKUP($A132,CSV!$A:$A,CSV!AG:AG,""),
_xlpm.MacVal,_xlfn.XLOOKUP($A132,Output_Mac!$A:$A,Output_Mac!U:U,""),
_xlpm.MyAuditVal,_xlfn.XLOOKUP($A132,My_Audit!$A:$A,My_Audit!O:O,""),
_xlfn.IFS(_xlpm.MyAuditVal&lt;&gt;"",UPPER(_xlpm.MyAuditVal),_xlpm.MacVal&lt;&gt;"",_xlpm.MacVal,_xlpm.CSVVal&lt;&gt;"",_xlpm.CSVVal
)),"")</f>
        <v/>
      </c>
      <c r="O132" s="46" t="str">
        <f>_xlfn.XLOOKUP(C132,My_Audit!B:B,My_Audit!P:P,"")&amp;""</f>
        <v/>
      </c>
      <c r="P132" s="45"/>
      <c r="Q132" s="46" t="str">
        <f>IF(LEFT(N132,4)="Pass","Nist SP 800-88",My_Audit!R132)&amp;""</f>
        <v/>
      </c>
      <c r="R132" s="45"/>
      <c r="S132" s="45"/>
      <c r="T132" s="46" t="str">
        <f>_xlfn.XLOOKUP(E132,Models!I:I,Models!J:J,"")</f>
        <v/>
      </c>
      <c r="U132" s="45"/>
      <c r="V132" s="45"/>
      <c r="W132" s="38" t="str">
        <f>_xlfn.LET(
    _xlpm.MacVal, _xlfn.XLOOKUP($A132, Output_Mac!$A:$A, Output_Mac!AB:AB, ""),
    _xlpm.MyAuditVal, _xlfn.XLOOKUP($A132, My_Audit!$A:$A, My_Audit!L:L, ""),
    _xlfn.TEXTJOIN(", ", TRUE, _xlpm.MyAuditVal, _xlpm.MacVal)
)</f>
        <v/>
      </c>
    </row>
    <row r="133" spans="1:23">
      <c r="A133" s="45" t="str">
        <f>_xlfn.TEXTJOIN("",TRUE,Input!$B$2,ROW(My_Audit!A132))</f>
        <v>XX132</v>
      </c>
      <c r="B133" s="45" t="str">
        <f>_xlfn.TEXTJOIN("-",TRUE,"ITD",Input!$A$2,A133)</f>
        <v>ITD-SHRXXX-XX132</v>
      </c>
      <c r="C133" s="45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46" t="str" cm="1">
        <f t="array" ref="D133">IFERROR(_xlfn.LET(
_xlpm.CSVVal,_xlfn.XLOOKUP($A133,CSV!$A:$A,CSV!C:C,""),
_xlpm.MacVal,_xlfn.XLOOKUP($A133,Output_Mac!$A:$A,Output_Mac!D:D,""),
_xlpm.MyAuditVal,_xlfn.XLOOKUP($A133,My_Audit!$A:$A,My_Audit!C:C,""),
_xlfn.IFS(_xlpm.MyAuditVal&lt;&gt;"",UPPER(_xlpm.MyAuditVal),_xlpm.MacVal&lt;&gt;"",_xlpm.MacVal,_xlpm.CSVVal&lt;&gt;"",_xlpm.CSVVal
)),"")</f>
        <v/>
      </c>
      <c r="E133" s="46" t="str" cm="1">
        <f t="array" ref="E133">IFERROR(_xlfn.LET(
_xlpm.CSVVal,_xlfn.XLOOKUP($A133,CSV!$A:$A,CSV!E:E,""),
_xlpm.MacVal,_xlfn.XLOOKUP($A133,Output_Mac!$A:$A,Output_Mac!C:C,""),
_xlpm.MyAuditVal,_xlfn.XLOOKUP($A133,My_Audit!$A:$A,My_Audit!D:D,""),
_xlfn.IFS(_xlpm.MyAuditVal&lt;&gt;"",_xlpm.MyAuditVal,_xlpm.MacVal&lt;&gt;"",_xlpm.MacVal,_xlpm.CSVVal&lt;&gt;"",_xlpm.CSVVal
)),"")</f>
        <v/>
      </c>
      <c r="F133" s="45" t="str" cm="1">
        <f t="array" ref="F133">IFERROR(_xlfn.LET(
_xlpm.CSVVal,_xlfn.XLOOKUP($A133,CSV!$A:$A,CSV!F:F,""),
_xlpm.MacVal,_xlfn.XLOOKUP($A133,Output_Mac!$A:$A,Output_Mac!F:F,""),
_xlpm.MyAuditVal,_xlfn.XLOOKUP($A133,My_Audit!$A:$A,My_Audit!E:E,""),
_xlfn.IFS(_xlpm.MyAuditVal&lt;&gt;"",_xlpm.MyAuditVal,_xlpm.MacVal&lt;&gt;"",_xlpm.MacVal,_xlpm.CSVVal&lt;&gt;"",PROPER(_xlpm.CSVVal)
)),"")</f>
        <v/>
      </c>
      <c r="G133" s="45" t="str" cm="1">
        <f t="array" ref="G133">IFERROR(_xlfn.LET(
_xlpm.CSVVal,_xlfn.XLOOKUP($A133,CSV!$A:$A,CSV!G:G,""),
_xlpm.MacVal,_xlfn.XLOOKUP($A133,Output_Mac!$A:$A,Output_Mac!H:H,""),
_xlpm.MyAuditVal,_xlfn.XLOOKUP($A133,My_Audit!$A:$A,My_Audit!F:F,""),
_xlfn.IFS(_xlpm.MyAuditVal&lt;&gt;"",_xlpm.MyAuditVal,_xlpm.MacVal&lt;&gt;"",_xlpm.MacVal,_xlpm.CSVVal&lt;&gt;"",_xlpm.CSVVal
)),"")</f>
        <v/>
      </c>
      <c r="H133" s="45" t="str">
        <f>_xlfn.XLOOKUP(A133,Output_Mac!A:A,Output_Mac!I:I,"")</f>
        <v/>
      </c>
      <c r="I133" s="45" t="str" cm="1">
        <f t="array" ref="I133">IFERROR(_xlfn.LET(
_xlpm.CSVVal,_xlfn.XLOOKUP($A133,CSV!$A:$A,CSV!H:H,""),
_xlpm.MacVal,_xlfn.XLOOKUP($A133,Output_Mac!$A:$A,Output_Mac!J:J,""),
_xlpm.MyAuditVal,_xlfn.XLOOKUP($A133,My_Audit!$A:$A,My_Audit!H:H,""),
_xlfn.IFS(_xlpm.MyAuditVal&lt;&gt;"",UPPER(_xlpm.MyAuditVal),_xlpm.MacVal&lt;&gt;"",_xlpm.MacVal,_xlpm.CSVVal&lt;&gt;"",_xlpm.CSVVal
)),"")</f>
        <v/>
      </c>
      <c r="J133" s="45" t="str" cm="1">
        <f t="array" ref="J133">IFERROR(_xlfn.LET(
_xlpm.CSVVal,_xlfn.XLOOKUP($A133,CSV!$A:$A,CSV!J:J,""),
_xlpm.MacVal,_xlfn.XLOOKUP($A133,Output_Mac!$A:$A,Output_Mac!K:K,""),
_xlpm.MyAuditVal,_xlfn.XLOOKUP($A133,My_Audit!$A:$A,My_Audit!I:I,""),
_xlfn.IFS(_xlpm.MyAuditVal&lt;&gt;"",UPPER(_xlpm.MyAuditVal),_xlpm.MacVal&lt;&gt;"",_xlpm.MacVal,_xlpm.CSVVal&lt;&gt;"",_xlpm.CSVVal
)),"")</f>
        <v/>
      </c>
      <c r="K133" s="45" t="str" cm="1">
        <f t="array" ref="K133">IFERROR(_xlfn.LET(
_xlpm.CSVVal,_xlfn.XLOOKUP($A133,CSV!$A:$A,CSV!N:N,""),
_xlpm.MacVal,_xlfn.XLOOKUP($A133,Output_Mac!$A:$A,Output_Mac!L:L,""),
_xlpm.MyAuditVal,_xlfn.XLOOKUP($A133,My_Audit!$A:$A,My_Audit!J:J,""),
_xlfn.IFS(_xlpm.MyAuditVal&lt;&gt;"",UPPER(_xlpm.MyAuditVal),_xlpm.MacVal&lt;&gt;"",_xlpm.MacVal,_xlpm.CSVVal&lt;&gt;"",_xlpm.CSVVal
)),"")</f>
        <v/>
      </c>
      <c r="L133" s="46" t="str" cm="1">
        <f t="array" ref="L133">IFERROR(_xlfn.LET(
_xlpm.CSVVal,_xlfn.XLOOKUP($A133,CSV!$A:$A,CSV!Q:Q,""),
_xlpm.MacVal,_xlfn.XLOOKUP($A133,Output_Mac!$A:$A,Output_Mac!M:M,""),
_xlpm.MyAuditVal,_xlfn.XLOOKUP($A133,My_Audit!$A:$A,My_Audit!K:K,""),
_xlfn.IFS(_xlpm.MyAuditVal&lt;&gt;"",UPPER(_xlpm.MyAuditVal),_xlpm.MacVal&lt;&gt;"",_xlpm.MacVal,_xlpm.CSVVal&lt;&gt;"",_xlpm.CSVVal
)),"")</f>
        <v/>
      </c>
      <c r="M133" s="45" t="str">
        <f>_xlfn.LET(
    _xlpm.CSVVal, _xlfn.XLOOKUP($A133, CSV!$A:$A, CSV!AE:AE, ""),
    _xlpm.MacVal, _xlfn.XLOOKUP($A133, Output_Mac!$A:$A, Output_Mac!S:S, ""),
    _xlpm.MyAuditVal, _xlfn.XLOOKUP($A133, My_Audit!$A:$A, My_Audit!N:N, ""),
    _xlfn.TEXTJOIN(", ", TRUE, _xlpm.MyAuditVal, _xlpm.MacVal, _xlpm.CSVVal)
)</f>
        <v/>
      </c>
      <c r="N133" s="45" t="str" cm="1">
        <f t="array" ref="N133">IFERROR(_xlfn.LET(
_xlpm.CSVVal,_xlfn.XLOOKUP($A133,CSV!$A:$A,CSV!AG:AG,""),
_xlpm.MacVal,_xlfn.XLOOKUP($A133,Output_Mac!$A:$A,Output_Mac!U:U,""),
_xlpm.MyAuditVal,_xlfn.XLOOKUP($A133,My_Audit!$A:$A,My_Audit!O:O,""),
_xlfn.IFS(_xlpm.MyAuditVal&lt;&gt;"",UPPER(_xlpm.MyAuditVal),_xlpm.MacVal&lt;&gt;"",_xlpm.MacVal,_xlpm.CSVVal&lt;&gt;"",_xlpm.CSVVal
)),"")</f>
        <v/>
      </c>
      <c r="O133" s="46" t="str">
        <f>_xlfn.XLOOKUP(C133,My_Audit!B:B,My_Audit!P:P,"")&amp;""</f>
        <v/>
      </c>
      <c r="P133" s="45"/>
      <c r="Q133" s="46" t="str">
        <f>IF(LEFT(N133,4)="Pass","Nist SP 800-88",My_Audit!R133)&amp;""</f>
        <v/>
      </c>
      <c r="R133" s="45"/>
      <c r="S133" s="45"/>
      <c r="T133" s="46" t="str">
        <f>_xlfn.XLOOKUP(E133,Models!I:I,Models!J:J,"")</f>
        <v/>
      </c>
      <c r="U133" s="45"/>
      <c r="V133" s="45"/>
      <c r="W133" s="38" t="str">
        <f>_xlfn.LET(
    _xlpm.MacVal, _xlfn.XLOOKUP($A133, Output_Mac!$A:$A, Output_Mac!AB:AB, ""),
    _xlpm.MyAuditVal, _xlfn.XLOOKUP($A133, My_Audit!$A:$A, My_Audit!L:L, ""),
    _xlfn.TEXTJOIN(", ", TRUE, _xlpm.MyAuditVal, _xlpm.MacVal)
)</f>
        <v/>
      </c>
    </row>
    <row r="134" spans="1:23">
      <c r="A134" s="45" t="str">
        <f>_xlfn.TEXTJOIN("",TRUE,Input!$B$2,ROW(My_Audit!A133))</f>
        <v>XX133</v>
      </c>
      <c r="B134" s="45" t="str">
        <f>_xlfn.TEXTJOIN("-",TRUE,"ITD",Input!$A$2,A134)</f>
        <v>ITD-SHRXXX-XX133</v>
      </c>
      <c r="C134" s="45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46" t="str" cm="1">
        <f t="array" ref="D134">IFERROR(_xlfn.LET(
_xlpm.CSVVal,_xlfn.XLOOKUP($A134,CSV!$A:$A,CSV!C:C,""),
_xlpm.MacVal,_xlfn.XLOOKUP($A134,Output_Mac!$A:$A,Output_Mac!D:D,""),
_xlpm.MyAuditVal,_xlfn.XLOOKUP($A134,My_Audit!$A:$A,My_Audit!C:C,""),
_xlfn.IFS(_xlpm.MyAuditVal&lt;&gt;"",UPPER(_xlpm.MyAuditVal),_xlpm.MacVal&lt;&gt;"",_xlpm.MacVal,_xlpm.CSVVal&lt;&gt;"",_xlpm.CSVVal
)),"")</f>
        <v/>
      </c>
      <c r="E134" s="46" t="str" cm="1">
        <f t="array" ref="E134">IFERROR(_xlfn.LET(
_xlpm.CSVVal,_xlfn.XLOOKUP($A134,CSV!$A:$A,CSV!E:E,""),
_xlpm.MacVal,_xlfn.XLOOKUP($A134,Output_Mac!$A:$A,Output_Mac!C:C,""),
_xlpm.MyAuditVal,_xlfn.XLOOKUP($A134,My_Audit!$A:$A,My_Audit!D:D,""),
_xlfn.IFS(_xlpm.MyAuditVal&lt;&gt;"",_xlpm.MyAuditVal,_xlpm.MacVal&lt;&gt;"",_xlpm.MacVal,_xlpm.CSVVal&lt;&gt;"",_xlpm.CSVVal
)),"")</f>
        <v/>
      </c>
      <c r="F134" s="45" t="str" cm="1">
        <f t="array" ref="F134">IFERROR(_xlfn.LET(
_xlpm.CSVVal,_xlfn.XLOOKUP($A134,CSV!$A:$A,CSV!F:F,""),
_xlpm.MacVal,_xlfn.XLOOKUP($A134,Output_Mac!$A:$A,Output_Mac!F:F,""),
_xlpm.MyAuditVal,_xlfn.XLOOKUP($A134,My_Audit!$A:$A,My_Audit!E:E,""),
_xlfn.IFS(_xlpm.MyAuditVal&lt;&gt;"",_xlpm.MyAuditVal,_xlpm.MacVal&lt;&gt;"",_xlpm.MacVal,_xlpm.CSVVal&lt;&gt;"",PROPER(_xlpm.CSVVal)
)),"")</f>
        <v/>
      </c>
      <c r="G134" s="45" t="str" cm="1">
        <f t="array" ref="G134">IFERROR(_xlfn.LET(
_xlpm.CSVVal,_xlfn.XLOOKUP($A134,CSV!$A:$A,CSV!G:G,""),
_xlpm.MacVal,_xlfn.XLOOKUP($A134,Output_Mac!$A:$A,Output_Mac!H:H,""),
_xlpm.MyAuditVal,_xlfn.XLOOKUP($A134,My_Audit!$A:$A,My_Audit!F:F,""),
_xlfn.IFS(_xlpm.MyAuditVal&lt;&gt;"",_xlpm.MyAuditVal,_xlpm.MacVal&lt;&gt;"",_xlpm.MacVal,_xlpm.CSVVal&lt;&gt;"",_xlpm.CSVVal
)),"")</f>
        <v/>
      </c>
      <c r="H134" s="45" t="str">
        <f>_xlfn.XLOOKUP(A134,Output_Mac!A:A,Output_Mac!I:I,"")</f>
        <v/>
      </c>
      <c r="I134" s="45" t="str" cm="1">
        <f t="array" ref="I134">IFERROR(_xlfn.LET(
_xlpm.CSVVal,_xlfn.XLOOKUP($A134,CSV!$A:$A,CSV!H:H,""),
_xlpm.MacVal,_xlfn.XLOOKUP($A134,Output_Mac!$A:$A,Output_Mac!J:J,""),
_xlpm.MyAuditVal,_xlfn.XLOOKUP($A134,My_Audit!$A:$A,My_Audit!H:H,""),
_xlfn.IFS(_xlpm.MyAuditVal&lt;&gt;"",UPPER(_xlpm.MyAuditVal),_xlpm.MacVal&lt;&gt;"",_xlpm.MacVal,_xlpm.CSVVal&lt;&gt;"",_xlpm.CSVVal
)),"")</f>
        <v/>
      </c>
      <c r="J134" s="45" t="str" cm="1">
        <f t="array" ref="J134">IFERROR(_xlfn.LET(
_xlpm.CSVVal,_xlfn.XLOOKUP($A134,CSV!$A:$A,CSV!J:J,""),
_xlpm.MacVal,_xlfn.XLOOKUP($A134,Output_Mac!$A:$A,Output_Mac!K:K,""),
_xlpm.MyAuditVal,_xlfn.XLOOKUP($A134,My_Audit!$A:$A,My_Audit!I:I,""),
_xlfn.IFS(_xlpm.MyAuditVal&lt;&gt;"",UPPER(_xlpm.MyAuditVal),_xlpm.MacVal&lt;&gt;"",_xlpm.MacVal,_xlpm.CSVVal&lt;&gt;"",_xlpm.CSVVal
)),"")</f>
        <v/>
      </c>
      <c r="K134" s="45" t="str" cm="1">
        <f t="array" ref="K134">IFERROR(_xlfn.LET(
_xlpm.CSVVal,_xlfn.XLOOKUP($A134,CSV!$A:$A,CSV!N:N,""),
_xlpm.MacVal,_xlfn.XLOOKUP($A134,Output_Mac!$A:$A,Output_Mac!L:L,""),
_xlpm.MyAuditVal,_xlfn.XLOOKUP($A134,My_Audit!$A:$A,My_Audit!J:J,""),
_xlfn.IFS(_xlpm.MyAuditVal&lt;&gt;"",UPPER(_xlpm.MyAuditVal),_xlpm.MacVal&lt;&gt;"",_xlpm.MacVal,_xlpm.CSVVal&lt;&gt;"",_xlpm.CSVVal
)),"")</f>
        <v/>
      </c>
      <c r="L134" s="46" t="str" cm="1">
        <f t="array" ref="L134">IFERROR(_xlfn.LET(
_xlpm.CSVVal,_xlfn.XLOOKUP($A134,CSV!$A:$A,CSV!Q:Q,""),
_xlpm.MacVal,_xlfn.XLOOKUP($A134,Output_Mac!$A:$A,Output_Mac!M:M,""),
_xlpm.MyAuditVal,_xlfn.XLOOKUP($A134,My_Audit!$A:$A,My_Audit!K:K,""),
_xlfn.IFS(_xlpm.MyAuditVal&lt;&gt;"",UPPER(_xlpm.MyAuditVal),_xlpm.MacVal&lt;&gt;"",_xlpm.MacVal,_xlpm.CSVVal&lt;&gt;"",_xlpm.CSVVal
)),"")</f>
        <v/>
      </c>
      <c r="M134" s="45" t="str">
        <f>_xlfn.LET(
    _xlpm.CSVVal, _xlfn.XLOOKUP($A134, CSV!$A:$A, CSV!AE:AE, ""),
    _xlpm.MacVal, _xlfn.XLOOKUP($A134, Output_Mac!$A:$A, Output_Mac!S:S, ""),
    _xlpm.MyAuditVal, _xlfn.XLOOKUP($A134, My_Audit!$A:$A, My_Audit!N:N, ""),
    _xlfn.TEXTJOIN(", ", TRUE, _xlpm.MyAuditVal, _xlpm.MacVal, _xlpm.CSVVal)
)</f>
        <v/>
      </c>
      <c r="N134" s="45" t="str" cm="1">
        <f t="array" ref="N134">IFERROR(_xlfn.LET(
_xlpm.CSVVal,_xlfn.XLOOKUP($A134,CSV!$A:$A,CSV!AG:AG,""),
_xlpm.MacVal,_xlfn.XLOOKUP($A134,Output_Mac!$A:$A,Output_Mac!U:U,""),
_xlpm.MyAuditVal,_xlfn.XLOOKUP($A134,My_Audit!$A:$A,My_Audit!O:O,""),
_xlfn.IFS(_xlpm.MyAuditVal&lt;&gt;"",UPPER(_xlpm.MyAuditVal),_xlpm.MacVal&lt;&gt;"",_xlpm.MacVal,_xlpm.CSVVal&lt;&gt;"",_xlpm.CSVVal
)),"")</f>
        <v/>
      </c>
      <c r="O134" s="46" t="str">
        <f>_xlfn.XLOOKUP(C134,My_Audit!B:B,My_Audit!P:P,"")&amp;""</f>
        <v/>
      </c>
      <c r="P134" s="45"/>
      <c r="Q134" s="46" t="str">
        <f>IF(LEFT(N134,4)="Pass","Nist SP 800-88",My_Audit!R134)&amp;""</f>
        <v/>
      </c>
      <c r="R134" s="45"/>
      <c r="S134" s="45"/>
      <c r="T134" s="46" t="str">
        <f>_xlfn.XLOOKUP(E134,Models!I:I,Models!J:J,"")</f>
        <v/>
      </c>
      <c r="U134" s="45"/>
      <c r="V134" s="45"/>
      <c r="W134" s="38" t="str">
        <f>_xlfn.LET(
    _xlpm.MacVal, _xlfn.XLOOKUP($A134, Output_Mac!$A:$A, Output_Mac!AB:AB, ""),
    _xlpm.MyAuditVal, _xlfn.XLOOKUP($A134, My_Audit!$A:$A, My_Audit!L:L, ""),
    _xlfn.TEXTJOIN(", ", TRUE, _xlpm.MyAuditVal, _xlpm.MacVal)
)</f>
        <v/>
      </c>
    </row>
    <row r="135" spans="1:23">
      <c r="A135" s="45" t="str">
        <f>_xlfn.TEXTJOIN("",TRUE,Input!$B$2,ROW(My_Audit!A134))</f>
        <v>XX134</v>
      </c>
      <c r="B135" s="45" t="str">
        <f>_xlfn.TEXTJOIN("-",TRUE,"ITD",Input!$A$2,A135)</f>
        <v>ITD-SHRXXX-XX134</v>
      </c>
      <c r="C135" s="45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46" t="str" cm="1">
        <f t="array" ref="D135">IFERROR(_xlfn.LET(
_xlpm.CSVVal,_xlfn.XLOOKUP($A135,CSV!$A:$A,CSV!C:C,""),
_xlpm.MacVal,_xlfn.XLOOKUP($A135,Output_Mac!$A:$A,Output_Mac!D:D,""),
_xlpm.MyAuditVal,_xlfn.XLOOKUP($A135,My_Audit!$A:$A,My_Audit!C:C,""),
_xlfn.IFS(_xlpm.MyAuditVal&lt;&gt;"",UPPER(_xlpm.MyAuditVal),_xlpm.MacVal&lt;&gt;"",_xlpm.MacVal,_xlpm.CSVVal&lt;&gt;"",_xlpm.CSVVal
)),"")</f>
        <v/>
      </c>
      <c r="E135" s="46" t="str" cm="1">
        <f t="array" ref="E135">IFERROR(_xlfn.LET(
_xlpm.CSVVal,_xlfn.XLOOKUP($A135,CSV!$A:$A,CSV!E:E,""),
_xlpm.MacVal,_xlfn.XLOOKUP($A135,Output_Mac!$A:$A,Output_Mac!C:C,""),
_xlpm.MyAuditVal,_xlfn.XLOOKUP($A135,My_Audit!$A:$A,My_Audit!D:D,""),
_xlfn.IFS(_xlpm.MyAuditVal&lt;&gt;"",_xlpm.MyAuditVal,_xlpm.MacVal&lt;&gt;"",_xlpm.MacVal,_xlpm.CSVVal&lt;&gt;"",_xlpm.CSVVal
)),"")</f>
        <v/>
      </c>
      <c r="F135" s="45" t="str" cm="1">
        <f t="array" ref="F135">IFERROR(_xlfn.LET(
_xlpm.CSVVal,_xlfn.XLOOKUP($A135,CSV!$A:$A,CSV!F:F,""),
_xlpm.MacVal,_xlfn.XLOOKUP($A135,Output_Mac!$A:$A,Output_Mac!F:F,""),
_xlpm.MyAuditVal,_xlfn.XLOOKUP($A135,My_Audit!$A:$A,My_Audit!E:E,""),
_xlfn.IFS(_xlpm.MyAuditVal&lt;&gt;"",_xlpm.MyAuditVal,_xlpm.MacVal&lt;&gt;"",_xlpm.MacVal,_xlpm.CSVVal&lt;&gt;"",PROPER(_xlpm.CSVVal)
)),"")</f>
        <v/>
      </c>
      <c r="G135" s="45" t="str" cm="1">
        <f t="array" ref="G135">IFERROR(_xlfn.LET(
_xlpm.CSVVal,_xlfn.XLOOKUP($A135,CSV!$A:$A,CSV!G:G,""),
_xlpm.MacVal,_xlfn.XLOOKUP($A135,Output_Mac!$A:$A,Output_Mac!H:H,""),
_xlpm.MyAuditVal,_xlfn.XLOOKUP($A135,My_Audit!$A:$A,My_Audit!F:F,""),
_xlfn.IFS(_xlpm.MyAuditVal&lt;&gt;"",_xlpm.MyAuditVal,_xlpm.MacVal&lt;&gt;"",_xlpm.MacVal,_xlpm.CSVVal&lt;&gt;"",_xlpm.CSVVal
)),"")</f>
        <v/>
      </c>
      <c r="H135" s="45" t="str">
        <f>_xlfn.XLOOKUP(A135,Output_Mac!A:A,Output_Mac!I:I,"")</f>
        <v/>
      </c>
      <c r="I135" s="45" t="str" cm="1">
        <f t="array" ref="I135">IFERROR(_xlfn.LET(
_xlpm.CSVVal,_xlfn.XLOOKUP($A135,CSV!$A:$A,CSV!H:H,""),
_xlpm.MacVal,_xlfn.XLOOKUP($A135,Output_Mac!$A:$A,Output_Mac!J:J,""),
_xlpm.MyAuditVal,_xlfn.XLOOKUP($A135,My_Audit!$A:$A,My_Audit!H:H,""),
_xlfn.IFS(_xlpm.MyAuditVal&lt;&gt;"",UPPER(_xlpm.MyAuditVal),_xlpm.MacVal&lt;&gt;"",_xlpm.MacVal,_xlpm.CSVVal&lt;&gt;"",_xlpm.CSVVal
)),"")</f>
        <v/>
      </c>
      <c r="J135" s="45" t="str" cm="1">
        <f t="array" ref="J135">IFERROR(_xlfn.LET(
_xlpm.CSVVal,_xlfn.XLOOKUP($A135,CSV!$A:$A,CSV!J:J,""),
_xlpm.MacVal,_xlfn.XLOOKUP($A135,Output_Mac!$A:$A,Output_Mac!K:K,""),
_xlpm.MyAuditVal,_xlfn.XLOOKUP($A135,My_Audit!$A:$A,My_Audit!I:I,""),
_xlfn.IFS(_xlpm.MyAuditVal&lt;&gt;"",UPPER(_xlpm.MyAuditVal),_xlpm.MacVal&lt;&gt;"",_xlpm.MacVal,_xlpm.CSVVal&lt;&gt;"",_xlpm.CSVVal
)),"")</f>
        <v/>
      </c>
      <c r="K135" s="45" t="str" cm="1">
        <f t="array" ref="K135">IFERROR(_xlfn.LET(
_xlpm.CSVVal,_xlfn.XLOOKUP($A135,CSV!$A:$A,CSV!N:N,""),
_xlpm.MacVal,_xlfn.XLOOKUP($A135,Output_Mac!$A:$A,Output_Mac!L:L,""),
_xlpm.MyAuditVal,_xlfn.XLOOKUP($A135,My_Audit!$A:$A,My_Audit!J:J,""),
_xlfn.IFS(_xlpm.MyAuditVal&lt;&gt;"",UPPER(_xlpm.MyAuditVal),_xlpm.MacVal&lt;&gt;"",_xlpm.MacVal,_xlpm.CSVVal&lt;&gt;"",_xlpm.CSVVal
)),"")</f>
        <v/>
      </c>
      <c r="L135" s="46" t="str" cm="1">
        <f t="array" ref="L135">IFERROR(_xlfn.LET(
_xlpm.CSVVal,_xlfn.XLOOKUP($A135,CSV!$A:$A,CSV!Q:Q,""),
_xlpm.MacVal,_xlfn.XLOOKUP($A135,Output_Mac!$A:$A,Output_Mac!M:M,""),
_xlpm.MyAuditVal,_xlfn.XLOOKUP($A135,My_Audit!$A:$A,My_Audit!K:K,""),
_xlfn.IFS(_xlpm.MyAuditVal&lt;&gt;"",UPPER(_xlpm.MyAuditVal),_xlpm.MacVal&lt;&gt;"",_xlpm.MacVal,_xlpm.CSVVal&lt;&gt;"",_xlpm.CSVVal
)),"")</f>
        <v/>
      </c>
      <c r="M135" s="45" t="str">
        <f>_xlfn.LET(
    _xlpm.CSVVal, _xlfn.XLOOKUP($A135, CSV!$A:$A, CSV!AE:AE, ""),
    _xlpm.MacVal, _xlfn.XLOOKUP($A135, Output_Mac!$A:$A, Output_Mac!S:S, ""),
    _xlpm.MyAuditVal, _xlfn.XLOOKUP($A135, My_Audit!$A:$A, My_Audit!N:N, ""),
    _xlfn.TEXTJOIN(", ", TRUE, _xlpm.MyAuditVal, _xlpm.MacVal, _xlpm.CSVVal)
)</f>
        <v/>
      </c>
      <c r="N135" s="45" t="str" cm="1">
        <f t="array" ref="N135">IFERROR(_xlfn.LET(
_xlpm.CSVVal,_xlfn.XLOOKUP($A135,CSV!$A:$A,CSV!AG:AG,""),
_xlpm.MacVal,_xlfn.XLOOKUP($A135,Output_Mac!$A:$A,Output_Mac!U:U,""),
_xlpm.MyAuditVal,_xlfn.XLOOKUP($A135,My_Audit!$A:$A,My_Audit!O:O,""),
_xlfn.IFS(_xlpm.MyAuditVal&lt;&gt;"",UPPER(_xlpm.MyAuditVal),_xlpm.MacVal&lt;&gt;"",_xlpm.MacVal,_xlpm.CSVVal&lt;&gt;"",_xlpm.CSVVal
)),"")</f>
        <v/>
      </c>
      <c r="O135" s="46" t="str">
        <f>_xlfn.XLOOKUP(C135,My_Audit!B:B,My_Audit!P:P,"")&amp;""</f>
        <v/>
      </c>
      <c r="P135" s="45"/>
      <c r="Q135" s="46" t="str">
        <f>IF(LEFT(N135,4)="Pass","Nist SP 800-88",My_Audit!R135)&amp;""</f>
        <v/>
      </c>
      <c r="R135" s="45"/>
      <c r="S135" s="45"/>
      <c r="T135" s="46" t="str">
        <f>_xlfn.XLOOKUP(E135,Models!I:I,Models!J:J,"")</f>
        <v/>
      </c>
      <c r="U135" s="45"/>
      <c r="V135" s="45"/>
      <c r="W135" s="38" t="str">
        <f>_xlfn.LET(
    _xlpm.MacVal, _xlfn.XLOOKUP($A135, Output_Mac!$A:$A, Output_Mac!AB:AB, ""),
    _xlpm.MyAuditVal, _xlfn.XLOOKUP($A135, My_Audit!$A:$A, My_Audit!L:L, ""),
    _xlfn.TEXTJOIN(", ", TRUE, _xlpm.MyAuditVal, _xlpm.MacVal)
)</f>
        <v/>
      </c>
    </row>
    <row r="136" spans="1:23">
      <c r="A136" s="45" t="str">
        <f>_xlfn.TEXTJOIN("",TRUE,Input!$B$2,ROW(My_Audit!A135))</f>
        <v>XX135</v>
      </c>
      <c r="B136" s="45" t="str">
        <f>_xlfn.TEXTJOIN("-",TRUE,"ITD",Input!$A$2,A136)</f>
        <v>ITD-SHRXXX-XX135</v>
      </c>
      <c r="C136" s="45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46" t="str" cm="1">
        <f t="array" ref="D136">IFERROR(_xlfn.LET(
_xlpm.CSVVal,_xlfn.XLOOKUP($A136,CSV!$A:$A,CSV!C:C,""),
_xlpm.MacVal,_xlfn.XLOOKUP($A136,Output_Mac!$A:$A,Output_Mac!D:D,""),
_xlpm.MyAuditVal,_xlfn.XLOOKUP($A136,My_Audit!$A:$A,My_Audit!C:C,""),
_xlfn.IFS(_xlpm.MyAuditVal&lt;&gt;"",UPPER(_xlpm.MyAuditVal),_xlpm.MacVal&lt;&gt;"",_xlpm.MacVal,_xlpm.CSVVal&lt;&gt;"",_xlpm.CSVVal
)),"")</f>
        <v/>
      </c>
      <c r="E136" s="46" t="str" cm="1">
        <f t="array" ref="E136">IFERROR(_xlfn.LET(
_xlpm.CSVVal,_xlfn.XLOOKUP($A136,CSV!$A:$A,CSV!E:E,""),
_xlpm.MacVal,_xlfn.XLOOKUP($A136,Output_Mac!$A:$A,Output_Mac!C:C,""),
_xlpm.MyAuditVal,_xlfn.XLOOKUP($A136,My_Audit!$A:$A,My_Audit!D:D,""),
_xlfn.IFS(_xlpm.MyAuditVal&lt;&gt;"",_xlpm.MyAuditVal,_xlpm.MacVal&lt;&gt;"",_xlpm.MacVal,_xlpm.CSVVal&lt;&gt;"",_xlpm.CSVVal
)),"")</f>
        <v/>
      </c>
      <c r="F136" s="45" t="str" cm="1">
        <f t="array" ref="F136">IFERROR(_xlfn.LET(
_xlpm.CSVVal,_xlfn.XLOOKUP($A136,CSV!$A:$A,CSV!F:F,""),
_xlpm.MacVal,_xlfn.XLOOKUP($A136,Output_Mac!$A:$A,Output_Mac!F:F,""),
_xlpm.MyAuditVal,_xlfn.XLOOKUP($A136,My_Audit!$A:$A,My_Audit!E:E,""),
_xlfn.IFS(_xlpm.MyAuditVal&lt;&gt;"",_xlpm.MyAuditVal,_xlpm.MacVal&lt;&gt;"",_xlpm.MacVal,_xlpm.CSVVal&lt;&gt;"",PROPER(_xlpm.CSVVal)
)),"")</f>
        <v/>
      </c>
      <c r="G136" s="45" t="str" cm="1">
        <f t="array" ref="G136">IFERROR(_xlfn.LET(
_xlpm.CSVVal,_xlfn.XLOOKUP($A136,CSV!$A:$A,CSV!G:G,""),
_xlpm.MacVal,_xlfn.XLOOKUP($A136,Output_Mac!$A:$A,Output_Mac!H:H,""),
_xlpm.MyAuditVal,_xlfn.XLOOKUP($A136,My_Audit!$A:$A,My_Audit!F:F,""),
_xlfn.IFS(_xlpm.MyAuditVal&lt;&gt;"",_xlpm.MyAuditVal,_xlpm.MacVal&lt;&gt;"",_xlpm.MacVal,_xlpm.CSVVal&lt;&gt;"",_xlpm.CSVVal
)),"")</f>
        <v/>
      </c>
      <c r="H136" s="45" t="str">
        <f>_xlfn.XLOOKUP(A136,Output_Mac!A:A,Output_Mac!I:I,"")</f>
        <v/>
      </c>
      <c r="I136" s="45" t="str" cm="1">
        <f t="array" ref="I136">IFERROR(_xlfn.LET(
_xlpm.CSVVal,_xlfn.XLOOKUP($A136,CSV!$A:$A,CSV!H:H,""),
_xlpm.MacVal,_xlfn.XLOOKUP($A136,Output_Mac!$A:$A,Output_Mac!J:J,""),
_xlpm.MyAuditVal,_xlfn.XLOOKUP($A136,My_Audit!$A:$A,My_Audit!H:H,""),
_xlfn.IFS(_xlpm.MyAuditVal&lt;&gt;"",UPPER(_xlpm.MyAuditVal),_xlpm.MacVal&lt;&gt;"",_xlpm.MacVal,_xlpm.CSVVal&lt;&gt;"",_xlpm.CSVVal
)),"")</f>
        <v/>
      </c>
      <c r="J136" s="45" t="str" cm="1">
        <f t="array" ref="J136">IFERROR(_xlfn.LET(
_xlpm.CSVVal,_xlfn.XLOOKUP($A136,CSV!$A:$A,CSV!J:J,""),
_xlpm.MacVal,_xlfn.XLOOKUP($A136,Output_Mac!$A:$A,Output_Mac!K:K,""),
_xlpm.MyAuditVal,_xlfn.XLOOKUP($A136,My_Audit!$A:$A,My_Audit!I:I,""),
_xlfn.IFS(_xlpm.MyAuditVal&lt;&gt;"",UPPER(_xlpm.MyAuditVal),_xlpm.MacVal&lt;&gt;"",_xlpm.MacVal,_xlpm.CSVVal&lt;&gt;"",_xlpm.CSVVal
)),"")</f>
        <v/>
      </c>
      <c r="K136" s="45" t="str" cm="1">
        <f t="array" ref="K136">IFERROR(_xlfn.LET(
_xlpm.CSVVal,_xlfn.XLOOKUP($A136,CSV!$A:$A,CSV!N:N,""),
_xlpm.MacVal,_xlfn.XLOOKUP($A136,Output_Mac!$A:$A,Output_Mac!L:L,""),
_xlpm.MyAuditVal,_xlfn.XLOOKUP($A136,My_Audit!$A:$A,My_Audit!J:J,""),
_xlfn.IFS(_xlpm.MyAuditVal&lt;&gt;"",UPPER(_xlpm.MyAuditVal),_xlpm.MacVal&lt;&gt;"",_xlpm.MacVal,_xlpm.CSVVal&lt;&gt;"",_xlpm.CSVVal
)),"")</f>
        <v/>
      </c>
      <c r="L136" s="46" t="str" cm="1">
        <f t="array" ref="L136">IFERROR(_xlfn.LET(
_xlpm.CSVVal,_xlfn.XLOOKUP($A136,CSV!$A:$A,CSV!Q:Q,""),
_xlpm.MacVal,_xlfn.XLOOKUP($A136,Output_Mac!$A:$A,Output_Mac!M:M,""),
_xlpm.MyAuditVal,_xlfn.XLOOKUP($A136,My_Audit!$A:$A,My_Audit!K:K,""),
_xlfn.IFS(_xlpm.MyAuditVal&lt;&gt;"",UPPER(_xlpm.MyAuditVal),_xlpm.MacVal&lt;&gt;"",_xlpm.MacVal,_xlpm.CSVVal&lt;&gt;"",_xlpm.CSVVal
)),"")</f>
        <v/>
      </c>
      <c r="M136" s="45" t="str">
        <f>_xlfn.LET(
    _xlpm.CSVVal, _xlfn.XLOOKUP($A136, CSV!$A:$A, CSV!AE:AE, ""),
    _xlpm.MacVal, _xlfn.XLOOKUP($A136, Output_Mac!$A:$A, Output_Mac!S:S, ""),
    _xlpm.MyAuditVal, _xlfn.XLOOKUP($A136, My_Audit!$A:$A, My_Audit!N:N, ""),
    _xlfn.TEXTJOIN(", ", TRUE, _xlpm.MyAuditVal, _xlpm.MacVal, _xlpm.CSVVal)
)</f>
        <v/>
      </c>
      <c r="N136" s="45" t="str" cm="1">
        <f t="array" ref="N136">IFERROR(_xlfn.LET(
_xlpm.CSVVal,_xlfn.XLOOKUP($A136,CSV!$A:$A,CSV!AG:AG,""),
_xlpm.MacVal,_xlfn.XLOOKUP($A136,Output_Mac!$A:$A,Output_Mac!U:U,""),
_xlpm.MyAuditVal,_xlfn.XLOOKUP($A136,My_Audit!$A:$A,My_Audit!O:O,""),
_xlfn.IFS(_xlpm.MyAuditVal&lt;&gt;"",UPPER(_xlpm.MyAuditVal),_xlpm.MacVal&lt;&gt;"",_xlpm.MacVal,_xlpm.CSVVal&lt;&gt;"",_xlpm.CSVVal
)),"")</f>
        <v/>
      </c>
      <c r="O136" s="46" t="str">
        <f>_xlfn.XLOOKUP(C136,My_Audit!B:B,My_Audit!P:P,"")&amp;""</f>
        <v/>
      </c>
      <c r="P136" s="45"/>
      <c r="Q136" s="46" t="str">
        <f>IF(LEFT(N136,4)="Pass","Nist SP 800-88",My_Audit!R136)&amp;""</f>
        <v/>
      </c>
      <c r="R136" s="45"/>
      <c r="S136" s="45"/>
      <c r="T136" s="46" t="str">
        <f>_xlfn.XLOOKUP(E136,Models!I:I,Models!J:J,"")</f>
        <v/>
      </c>
      <c r="U136" s="45"/>
      <c r="V136" s="45"/>
      <c r="W136" s="38" t="str">
        <f>_xlfn.LET(
    _xlpm.MacVal, _xlfn.XLOOKUP($A136, Output_Mac!$A:$A, Output_Mac!AB:AB, ""),
    _xlpm.MyAuditVal, _xlfn.XLOOKUP($A136, My_Audit!$A:$A, My_Audit!L:L, ""),
    _xlfn.TEXTJOIN(", ", TRUE, _xlpm.MyAuditVal, _xlpm.MacVal)
)</f>
        <v/>
      </c>
    </row>
    <row r="137" spans="1:23">
      <c r="A137" s="45" t="str">
        <f>_xlfn.TEXTJOIN("",TRUE,Input!$B$2,ROW(My_Audit!A136))</f>
        <v>XX136</v>
      </c>
      <c r="B137" s="45" t="str">
        <f>_xlfn.TEXTJOIN("-",TRUE,"ITD",Input!$A$2,A137)</f>
        <v>ITD-SHRXXX-XX136</v>
      </c>
      <c r="C137" s="45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46" t="str" cm="1">
        <f t="array" ref="D137">IFERROR(_xlfn.LET(
_xlpm.CSVVal,_xlfn.XLOOKUP($A137,CSV!$A:$A,CSV!C:C,""),
_xlpm.MacVal,_xlfn.XLOOKUP($A137,Output_Mac!$A:$A,Output_Mac!D:D,""),
_xlpm.MyAuditVal,_xlfn.XLOOKUP($A137,My_Audit!$A:$A,My_Audit!C:C,""),
_xlfn.IFS(_xlpm.MyAuditVal&lt;&gt;"",UPPER(_xlpm.MyAuditVal),_xlpm.MacVal&lt;&gt;"",_xlpm.MacVal,_xlpm.CSVVal&lt;&gt;"",_xlpm.CSVVal
)),"")</f>
        <v/>
      </c>
      <c r="E137" s="46" t="str" cm="1">
        <f t="array" ref="E137">IFERROR(_xlfn.LET(
_xlpm.CSVVal,_xlfn.XLOOKUP($A137,CSV!$A:$A,CSV!E:E,""),
_xlpm.MacVal,_xlfn.XLOOKUP($A137,Output_Mac!$A:$A,Output_Mac!C:C,""),
_xlpm.MyAuditVal,_xlfn.XLOOKUP($A137,My_Audit!$A:$A,My_Audit!D:D,""),
_xlfn.IFS(_xlpm.MyAuditVal&lt;&gt;"",_xlpm.MyAuditVal,_xlpm.MacVal&lt;&gt;"",_xlpm.MacVal,_xlpm.CSVVal&lt;&gt;"",_xlpm.CSVVal
)),"")</f>
        <v/>
      </c>
      <c r="F137" s="45" t="str" cm="1">
        <f t="array" ref="F137">IFERROR(_xlfn.LET(
_xlpm.CSVVal,_xlfn.XLOOKUP($A137,CSV!$A:$A,CSV!F:F,""),
_xlpm.MacVal,_xlfn.XLOOKUP($A137,Output_Mac!$A:$A,Output_Mac!F:F,""),
_xlpm.MyAuditVal,_xlfn.XLOOKUP($A137,My_Audit!$A:$A,My_Audit!E:E,""),
_xlfn.IFS(_xlpm.MyAuditVal&lt;&gt;"",_xlpm.MyAuditVal,_xlpm.MacVal&lt;&gt;"",_xlpm.MacVal,_xlpm.CSVVal&lt;&gt;"",PROPER(_xlpm.CSVVal)
)),"")</f>
        <v/>
      </c>
      <c r="G137" s="45" t="str" cm="1">
        <f t="array" ref="G137">IFERROR(_xlfn.LET(
_xlpm.CSVVal,_xlfn.XLOOKUP($A137,CSV!$A:$A,CSV!G:G,""),
_xlpm.MacVal,_xlfn.XLOOKUP($A137,Output_Mac!$A:$A,Output_Mac!H:H,""),
_xlpm.MyAuditVal,_xlfn.XLOOKUP($A137,My_Audit!$A:$A,My_Audit!F:F,""),
_xlfn.IFS(_xlpm.MyAuditVal&lt;&gt;"",_xlpm.MyAuditVal,_xlpm.MacVal&lt;&gt;"",_xlpm.MacVal,_xlpm.CSVVal&lt;&gt;"",_xlpm.CSVVal
)),"")</f>
        <v/>
      </c>
      <c r="H137" s="45" t="str">
        <f>_xlfn.XLOOKUP(A137,Output_Mac!A:A,Output_Mac!I:I,"")</f>
        <v/>
      </c>
      <c r="I137" s="45" t="str" cm="1">
        <f t="array" ref="I137">IFERROR(_xlfn.LET(
_xlpm.CSVVal,_xlfn.XLOOKUP($A137,CSV!$A:$A,CSV!H:H,""),
_xlpm.MacVal,_xlfn.XLOOKUP($A137,Output_Mac!$A:$A,Output_Mac!J:J,""),
_xlpm.MyAuditVal,_xlfn.XLOOKUP($A137,My_Audit!$A:$A,My_Audit!H:H,""),
_xlfn.IFS(_xlpm.MyAuditVal&lt;&gt;"",UPPER(_xlpm.MyAuditVal),_xlpm.MacVal&lt;&gt;"",_xlpm.MacVal,_xlpm.CSVVal&lt;&gt;"",_xlpm.CSVVal
)),"")</f>
        <v/>
      </c>
      <c r="J137" s="45" t="str" cm="1">
        <f t="array" ref="J137">IFERROR(_xlfn.LET(
_xlpm.CSVVal,_xlfn.XLOOKUP($A137,CSV!$A:$A,CSV!J:J,""),
_xlpm.MacVal,_xlfn.XLOOKUP($A137,Output_Mac!$A:$A,Output_Mac!K:K,""),
_xlpm.MyAuditVal,_xlfn.XLOOKUP($A137,My_Audit!$A:$A,My_Audit!I:I,""),
_xlfn.IFS(_xlpm.MyAuditVal&lt;&gt;"",UPPER(_xlpm.MyAuditVal),_xlpm.MacVal&lt;&gt;"",_xlpm.MacVal,_xlpm.CSVVal&lt;&gt;"",_xlpm.CSVVal
)),"")</f>
        <v/>
      </c>
      <c r="K137" s="45" t="str" cm="1">
        <f t="array" ref="K137">IFERROR(_xlfn.LET(
_xlpm.CSVVal,_xlfn.XLOOKUP($A137,CSV!$A:$A,CSV!N:N,""),
_xlpm.MacVal,_xlfn.XLOOKUP($A137,Output_Mac!$A:$A,Output_Mac!L:L,""),
_xlpm.MyAuditVal,_xlfn.XLOOKUP($A137,My_Audit!$A:$A,My_Audit!J:J,""),
_xlfn.IFS(_xlpm.MyAuditVal&lt;&gt;"",UPPER(_xlpm.MyAuditVal),_xlpm.MacVal&lt;&gt;"",_xlpm.MacVal,_xlpm.CSVVal&lt;&gt;"",_xlpm.CSVVal
)),"")</f>
        <v/>
      </c>
      <c r="L137" s="46" t="str" cm="1">
        <f t="array" ref="L137">IFERROR(_xlfn.LET(
_xlpm.CSVVal,_xlfn.XLOOKUP($A137,CSV!$A:$A,CSV!Q:Q,""),
_xlpm.MacVal,_xlfn.XLOOKUP($A137,Output_Mac!$A:$A,Output_Mac!M:M,""),
_xlpm.MyAuditVal,_xlfn.XLOOKUP($A137,My_Audit!$A:$A,My_Audit!K:K,""),
_xlfn.IFS(_xlpm.MyAuditVal&lt;&gt;"",UPPER(_xlpm.MyAuditVal),_xlpm.MacVal&lt;&gt;"",_xlpm.MacVal,_xlpm.CSVVal&lt;&gt;"",_xlpm.CSVVal
)),"")</f>
        <v/>
      </c>
      <c r="M137" s="45" t="str">
        <f>_xlfn.LET(
    _xlpm.CSVVal, _xlfn.XLOOKUP($A137, CSV!$A:$A, CSV!AE:AE, ""),
    _xlpm.MacVal, _xlfn.XLOOKUP($A137, Output_Mac!$A:$A, Output_Mac!S:S, ""),
    _xlpm.MyAuditVal, _xlfn.XLOOKUP($A137, My_Audit!$A:$A, My_Audit!N:N, ""),
    _xlfn.TEXTJOIN(", ", TRUE, _xlpm.MyAuditVal, _xlpm.MacVal, _xlpm.CSVVal)
)</f>
        <v/>
      </c>
      <c r="N137" s="45" t="str" cm="1">
        <f t="array" ref="N137">IFERROR(_xlfn.LET(
_xlpm.CSVVal,_xlfn.XLOOKUP($A137,CSV!$A:$A,CSV!AG:AG,""),
_xlpm.MacVal,_xlfn.XLOOKUP($A137,Output_Mac!$A:$A,Output_Mac!U:U,""),
_xlpm.MyAuditVal,_xlfn.XLOOKUP($A137,My_Audit!$A:$A,My_Audit!O:O,""),
_xlfn.IFS(_xlpm.MyAuditVal&lt;&gt;"",UPPER(_xlpm.MyAuditVal),_xlpm.MacVal&lt;&gt;"",_xlpm.MacVal,_xlpm.CSVVal&lt;&gt;"",_xlpm.CSVVal
)),"")</f>
        <v/>
      </c>
      <c r="O137" s="46" t="str">
        <f>_xlfn.XLOOKUP(C137,My_Audit!B:B,My_Audit!P:P,"")&amp;""</f>
        <v/>
      </c>
      <c r="P137" s="45"/>
      <c r="Q137" s="46" t="str">
        <f>IF(LEFT(N137,4)="Pass","Nist SP 800-88",My_Audit!R137)&amp;""</f>
        <v/>
      </c>
      <c r="R137" s="45"/>
      <c r="S137" s="45"/>
      <c r="T137" s="46" t="str">
        <f>_xlfn.XLOOKUP(E137,Models!I:I,Models!J:J,"")</f>
        <v/>
      </c>
      <c r="U137" s="45"/>
      <c r="V137" s="45"/>
      <c r="W137" s="38" t="str">
        <f>_xlfn.LET(
    _xlpm.MacVal, _xlfn.XLOOKUP($A137, Output_Mac!$A:$A, Output_Mac!AB:AB, ""),
    _xlpm.MyAuditVal, _xlfn.XLOOKUP($A137, My_Audit!$A:$A, My_Audit!L:L, ""),
    _xlfn.TEXTJOIN(", ", TRUE, _xlpm.MyAuditVal, _xlpm.MacVal)
)</f>
        <v/>
      </c>
    </row>
    <row r="138" spans="1:23">
      <c r="A138" s="45" t="str">
        <f>_xlfn.TEXTJOIN("",TRUE,Input!$B$2,ROW(My_Audit!A137))</f>
        <v>XX137</v>
      </c>
      <c r="B138" s="45" t="str">
        <f>_xlfn.TEXTJOIN("-",TRUE,"ITD",Input!$A$2,A138)</f>
        <v>ITD-SHRXXX-XX137</v>
      </c>
      <c r="C138" s="45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46" t="str" cm="1">
        <f t="array" ref="D138">IFERROR(_xlfn.LET(
_xlpm.CSVVal,_xlfn.XLOOKUP($A138,CSV!$A:$A,CSV!C:C,""),
_xlpm.MacVal,_xlfn.XLOOKUP($A138,Output_Mac!$A:$A,Output_Mac!D:D,""),
_xlpm.MyAuditVal,_xlfn.XLOOKUP($A138,My_Audit!$A:$A,My_Audit!C:C,""),
_xlfn.IFS(_xlpm.MyAuditVal&lt;&gt;"",UPPER(_xlpm.MyAuditVal),_xlpm.MacVal&lt;&gt;"",_xlpm.MacVal,_xlpm.CSVVal&lt;&gt;"",_xlpm.CSVVal
)),"")</f>
        <v/>
      </c>
      <c r="E138" s="46" t="str" cm="1">
        <f t="array" ref="E138">IFERROR(_xlfn.LET(
_xlpm.CSVVal,_xlfn.XLOOKUP($A138,CSV!$A:$A,CSV!E:E,""),
_xlpm.MacVal,_xlfn.XLOOKUP($A138,Output_Mac!$A:$A,Output_Mac!C:C,""),
_xlpm.MyAuditVal,_xlfn.XLOOKUP($A138,My_Audit!$A:$A,My_Audit!D:D,""),
_xlfn.IFS(_xlpm.MyAuditVal&lt;&gt;"",_xlpm.MyAuditVal,_xlpm.MacVal&lt;&gt;"",_xlpm.MacVal,_xlpm.CSVVal&lt;&gt;"",_xlpm.CSVVal
)),"")</f>
        <v/>
      </c>
      <c r="F138" s="45" t="str" cm="1">
        <f t="array" ref="F138">IFERROR(_xlfn.LET(
_xlpm.CSVVal,_xlfn.XLOOKUP($A138,CSV!$A:$A,CSV!F:F,""),
_xlpm.MacVal,_xlfn.XLOOKUP($A138,Output_Mac!$A:$A,Output_Mac!F:F,""),
_xlpm.MyAuditVal,_xlfn.XLOOKUP($A138,My_Audit!$A:$A,My_Audit!E:E,""),
_xlfn.IFS(_xlpm.MyAuditVal&lt;&gt;"",_xlpm.MyAuditVal,_xlpm.MacVal&lt;&gt;"",_xlpm.MacVal,_xlpm.CSVVal&lt;&gt;"",PROPER(_xlpm.CSVVal)
)),"")</f>
        <v/>
      </c>
      <c r="G138" s="45" t="str" cm="1">
        <f t="array" ref="G138">IFERROR(_xlfn.LET(
_xlpm.CSVVal,_xlfn.XLOOKUP($A138,CSV!$A:$A,CSV!G:G,""),
_xlpm.MacVal,_xlfn.XLOOKUP($A138,Output_Mac!$A:$A,Output_Mac!H:H,""),
_xlpm.MyAuditVal,_xlfn.XLOOKUP($A138,My_Audit!$A:$A,My_Audit!F:F,""),
_xlfn.IFS(_xlpm.MyAuditVal&lt;&gt;"",_xlpm.MyAuditVal,_xlpm.MacVal&lt;&gt;"",_xlpm.MacVal,_xlpm.CSVVal&lt;&gt;"",_xlpm.CSVVal
)),"")</f>
        <v/>
      </c>
      <c r="H138" s="45" t="str">
        <f>_xlfn.XLOOKUP(A138,Output_Mac!A:A,Output_Mac!I:I,"")</f>
        <v/>
      </c>
      <c r="I138" s="45" t="str" cm="1">
        <f t="array" ref="I138">IFERROR(_xlfn.LET(
_xlpm.CSVVal,_xlfn.XLOOKUP($A138,CSV!$A:$A,CSV!H:H,""),
_xlpm.MacVal,_xlfn.XLOOKUP($A138,Output_Mac!$A:$A,Output_Mac!J:J,""),
_xlpm.MyAuditVal,_xlfn.XLOOKUP($A138,My_Audit!$A:$A,My_Audit!H:H,""),
_xlfn.IFS(_xlpm.MyAuditVal&lt;&gt;"",UPPER(_xlpm.MyAuditVal),_xlpm.MacVal&lt;&gt;"",_xlpm.MacVal,_xlpm.CSVVal&lt;&gt;"",_xlpm.CSVVal
)),"")</f>
        <v/>
      </c>
      <c r="J138" s="45" t="str" cm="1">
        <f t="array" ref="J138">IFERROR(_xlfn.LET(
_xlpm.CSVVal,_xlfn.XLOOKUP($A138,CSV!$A:$A,CSV!J:J,""),
_xlpm.MacVal,_xlfn.XLOOKUP($A138,Output_Mac!$A:$A,Output_Mac!K:K,""),
_xlpm.MyAuditVal,_xlfn.XLOOKUP($A138,My_Audit!$A:$A,My_Audit!I:I,""),
_xlfn.IFS(_xlpm.MyAuditVal&lt;&gt;"",UPPER(_xlpm.MyAuditVal),_xlpm.MacVal&lt;&gt;"",_xlpm.MacVal,_xlpm.CSVVal&lt;&gt;"",_xlpm.CSVVal
)),"")</f>
        <v/>
      </c>
      <c r="K138" s="45" t="str" cm="1">
        <f t="array" ref="K138">IFERROR(_xlfn.LET(
_xlpm.CSVVal,_xlfn.XLOOKUP($A138,CSV!$A:$A,CSV!N:N,""),
_xlpm.MacVal,_xlfn.XLOOKUP($A138,Output_Mac!$A:$A,Output_Mac!L:L,""),
_xlpm.MyAuditVal,_xlfn.XLOOKUP($A138,My_Audit!$A:$A,My_Audit!J:J,""),
_xlfn.IFS(_xlpm.MyAuditVal&lt;&gt;"",UPPER(_xlpm.MyAuditVal),_xlpm.MacVal&lt;&gt;"",_xlpm.MacVal,_xlpm.CSVVal&lt;&gt;"",_xlpm.CSVVal
)),"")</f>
        <v/>
      </c>
      <c r="L138" s="46" t="str" cm="1">
        <f t="array" ref="L138">IFERROR(_xlfn.LET(
_xlpm.CSVVal,_xlfn.XLOOKUP($A138,CSV!$A:$A,CSV!Q:Q,""),
_xlpm.MacVal,_xlfn.XLOOKUP($A138,Output_Mac!$A:$A,Output_Mac!M:M,""),
_xlpm.MyAuditVal,_xlfn.XLOOKUP($A138,My_Audit!$A:$A,My_Audit!K:K,""),
_xlfn.IFS(_xlpm.MyAuditVal&lt;&gt;"",UPPER(_xlpm.MyAuditVal),_xlpm.MacVal&lt;&gt;"",_xlpm.MacVal,_xlpm.CSVVal&lt;&gt;"",_xlpm.CSVVal
)),"")</f>
        <v/>
      </c>
      <c r="M138" s="45" t="str">
        <f>_xlfn.LET(
    _xlpm.CSVVal, _xlfn.XLOOKUP($A138, CSV!$A:$A, CSV!AE:AE, ""),
    _xlpm.MacVal, _xlfn.XLOOKUP($A138, Output_Mac!$A:$A, Output_Mac!S:S, ""),
    _xlpm.MyAuditVal, _xlfn.XLOOKUP($A138, My_Audit!$A:$A, My_Audit!N:N, ""),
    _xlfn.TEXTJOIN(", ", TRUE, _xlpm.MyAuditVal, _xlpm.MacVal, _xlpm.CSVVal)
)</f>
        <v/>
      </c>
      <c r="N138" s="45" t="str" cm="1">
        <f t="array" ref="N138">IFERROR(_xlfn.LET(
_xlpm.CSVVal,_xlfn.XLOOKUP($A138,CSV!$A:$A,CSV!AG:AG,""),
_xlpm.MacVal,_xlfn.XLOOKUP($A138,Output_Mac!$A:$A,Output_Mac!U:U,""),
_xlpm.MyAuditVal,_xlfn.XLOOKUP($A138,My_Audit!$A:$A,My_Audit!O:O,""),
_xlfn.IFS(_xlpm.MyAuditVal&lt;&gt;"",UPPER(_xlpm.MyAuditVal),_xlpm.MacVal&lt;&gt;"",_xlpm.MacVal,_xlpm.CSVVal&lt;&gt;"",_xlpm.CSVVal
)),"")</f>
        <v/>
      </c>
      <c r="O138" s="46" t="str">
        <f>_xlfn.XLOOKUP(C138,My_Audit!B:B,My_Audit!P:P,"")&amp;""</f>
        <v/>
      </c>
      <c r="P138" s="45"/>
      <c r="Q138" s="46" t="str">
        <f>IF(LEFT(N138,4)="Pass","Nist SP 800-88",My_Audit!R138)&amp;""</f>
        <v/>
      </c>
      <c r="R138" s="45"/>
      <c r="S138" s="45"/>
      <c r="T138" s="46" t="str">
        <f>_xlfn.XLOOKUP(E138,Models!I:I,Models!J:J,"")</f>
        <v/>
      </c>
      <c r="U138" s="45"/>
      <c r="V138" s="45"/>
      <c r="W138" s="38" t="str">
        <f>_xlfn.LET(
    _xlpm.MacVal, _xlfn.XLOOKUP($A138, Output_Mac!$A:$A, Output_Mac!AB:AB, ""),
    _xlpm.MyAuditVal, _xlfn.XLOOKUP($A138, My_Audit!$A:$A, My_Audit!L:L, ""),
    _xlfn.TEXTJOIN(", ", TRUE, _xlpm.MyAuditVal, _xlpm.MacVal)
)</f>
        <v/>
      </c>
    </row>
    <row r="139" spans="1:23">
      <c r="A139" s="45" t="str">
        <f>_xlfn.TEXTJOIN("",TRUE,Input!$B$2,ROW(My_Audit!A138))</f>
        <v>XX138</v>
      </c>
      <c r="B139" s="45" t="str">
        <f>_xlfn.TEXTJOIN("-",TRUE,"ITD",Input!$A$2,A139)</f>
        <v>ITD-SHRXXX-XX138</v>
      </c>
      <c r="C139" s="45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46" t="str" cm="1">
        <f t="array" ref="D139">IFERROR(_xlfn.LET(
_xlpm.CSVVal,_xlfn.XLOOKUP($A139,CSV!$A:$A,CSV!C:C,""),
_xlpm.MacVal,_xlfn.XLOOKUP($A139,Output_Mac!$A:$A,Output_Mac!D:D,""),
_xlpm.MyAuditVal,_xlfn.XLOOKUP($A139,My_Audit!$A:$A,My_Audit!C:C,""),
_xlfn.IFS(_xlpm.MyAuditVal&lt;&gt;"",UPPER(_xlpm.MyAuditVal),_xlpm.MacVal&lt;&gt;"",_xlpm.MacVal,_xlpm.CSVVal&lt;&gt;"",_xlpm.CSVVal
)),"")</f>
        <v/>
      </c>
      <c r="E139" s="46" t="str" cm="1">
        <f t="array" ref="E139">IFERROR(_xlfn.LET(
_xlpm.CSVVal,_xlfn.XLOOKUP($A139,CSV!$A:$A,CSV!E:E,""),
_xlpm.MacVal,_xlfn.XLOOKUP($A139,Output_Mac!$A:$A,Output_Mac!C:C,""),
_xlpm.MyAuditVal,_xlfn.XLOOKUP($A139,My_Audit!$A:$A,My_Audit!D:D,""),
_xlfn.IFS(_xlpm.MyAuditVal&lt;&gt;"",_xlpm.MyAuditVal,_xlpm.MacVal&lt;&gt;"",_xlpm.MacVal,_xlpm.CSVVal&lt;&gt;"",_xlpm.CSVVal
)),"")</f>
        <v/>
      </c>
      <c r="F139" s="45" t="str" cm="1">
        <f t="array" ref="F139">IFERROR(_xlfn.LET(
_xlpm.CSVVal,_xlfn.XLOOKUP($A139,CSV!$A:$A,CSV!F:F,""),
_xlpm.MacVal,_xlfn.XLOOKUP($A139,Output_Mac!$A:$A,Output_Mac!F:F,""),
_xlpm.MyAuditVal,_xlfn.XLOOKUP($A139,My_Audit!$A:$A,My_Audit!E:E,""),
_xlfn.IFS(_xlpm.MyAuditVal&lt;&gt;"",_xlpm.MyAuditVal,_xlpm.MacVal&lt;&gt;"",_xlpm.MacVal,_xlpm.CSVVal&lt;&gt;"",PROPER(_xlpm.CSVVal)
)),"")</f>
        <v/>
      </c>
      <c r="G139" s="45" t="str" cm="1">
        <f t="array" ref="G139">IFERROR(_xlfn.LET(
_xlpm.CSVVal,_xlfn.XLOOKUP($A139,CSV!$A:$A,CSV!G:G,""),
_xlpm.MacVal,_xlfn.XLOOKUP($A139,Output_Mac!$A:$A,Output_Mac!H:H,""),
_xlpm.MyAuditVal,_xlfn.XLOOKUP($A139,My_Audit!$A:$A,My_Audit!F:F,""),
_xlfn.IFS(_xlpm.MyAuditVal&lt;&gt;"",_xlpm.MyAuditVal,_xlpm.MacVal&lt;&gt;"",_xlpm.MacVal,_xlpm.CSVVal&lt;&gt;"",_xlpm.CSVVal
)),"")</f>
        <v/>
      </c>
      <c r="H139" s="45" t="str">
        <f>_xlfn.XLOOKUP(A139,Output_Mac!A:A,Output_Mac!I:I,"")</f>
        <v/>
      </c>
      <c r="I139" s="45" t="str" cm="1">
        <f t="array" ref="I139">IFERROR(_xlfn.LET(
_xlpm.CSVVal,_xlfn.XLOOKUP($A139,CSV!$A:$A,CSV!H:H,""),
_xlpm.MacVal,_xlfn.XLOOKUP($A139,Output_Mac!$A:$A,Output_Mac!J:J,""),
_xlpm.MyAuditVal,_xlfn.XLOOKUP($A139,My_Audit!$A:$A,My_Audit!H:H,""),
_xlfn.IFS(_xlpm.MyAuditVal&lt;&gt;"",UPPER(_xlpm.MyAuditVal),_xlpm.MacVal&lt;&gt;"",_xlpm.MacVal,_xlpm.CSVVal&lt;&gt;"",_xlpm.CSVVal
)),"")</f>
        <v/>
      </c>
      <c r="J139" s="45" t="str" cm="1">
        <f t="array" ref="J139">IFERROR(_xlfn.LET(
_xlpm.CSVVal,_xlfn.XLOOKUP($A139,CSV!$A:$A,CSV!J:J,""),
_xlpm.MacVal,_xlfn.XLOOKUP($A139,Output_Mac!$A:$A,Output_Mac!K:K,""),
_xlpm.MyAuditVal,_xlfn.XLOOKUP($A139,My_Audit!$A:$A,My_Audit!I:I,""),
_xlfn.IFS(_xlpm.MyAuditVal&lt;&gt;"",UPPER(_xlpm.MyAuditVal),_xlpm.MacVal&lt;&gt;"",_xlpm.MacVal,_xlpm.CSVVal&lt;&gt;"",_xlpm.CSVVal
)),"")</f>
        <v/>
      </c>
      <c r="K139" s="45" t="str" cm="1">
        <f t="array" ref="K139">IFERROR(_xlfn.LET(
_xlpm.CSVVal,_xlfn.XLOOKUP($A139,CSV!$A:$A,CSV!N:N,""),
_xlpm.MacVal,_xlfn.XLOOKUP($A139,Output_Mac!$A:$A,Output_Mac!L:L,""),
_xlpm.MyAuditVal,_xlfn.XLOOKUP($A139,My_Audit!$A:$A,My_Audit!J:J,""),
_xlfn.IFS(_xlpm.MyAuditVal&lt;&gt;"",UPPER(_xlpm.MyAuditVal),_xlpm.MacVal&lt;&gt;"",_xlpm.MacVal,_xlpm.CSVVal&lt;&gt;"",_xlpm.CSVVal
)),"")</f>
        <v/>
      </c>
      <c r="L139" s="46" t="str" cm="1">
        <f t="array" ref="L139">IFERROR(_xlfn.LET(
_xlpm.CSVVal,_xlfn.XLOOKUP($A139,CSV!$A:$A,CSV!Q:Q,""),
_xlpm.MacVal,_xlfn.XLOOKUP($A139,Output_Mac!$A:$A,Output_Mac!M:M,""),
_xlpm.MyAuditVal,_xlfn.XLOOKUP($A139,My_Audit!$A:$A,My_Audit!K:K,""),
_xlfn.IFS(_xlpm.MyAuditVal&lt;&gt;"",UPPER(_xlpm.MyAuditVal),_xlpm.MacVal&lt;&gt;"",_xlpm.MacVal,_xlpm.CSVVal&lt;&gt;"",_xlpm.CSVVal
)),"")</f>
        <v/>
      </c>
      <c r="M139" s="45" t="str">
        <f>_xlfn.LET(
    _xlpm.CSVVal, _xlfn.XLOOKUP($A139, CSV!$A:$A, CSV!AE:AE, ""),
    _xlpm.MacVal, _xlfn.XLOOKUP($A139, Output_Mac!$A:$A, Output_Mac!S:S, ""),
    _xlpm.MyAuditVal, _xlfn.XLOOKUP($A139, My_Audit!$A:$A, My_Audit!N:N, ""),
    _xlfn.TEXTJOIN(", ", TRUE, _xlpm.MyAuditVal, _xlpm.MacVal, _xlpm.CSVVal)
)</f>
        <v/>
      </c>
      <c r="N139" s="45" t="str" cm="1">
        <f t="array" ref="N139">IFERROR(_xlfn.LET(
_xlpm.CSVVal,_xlfn.XLOOKUP($A139,CSV!$A:$A,CSV!AG:AG,""),
_xlpm.MacVal,_xlfn.XLOOKUP($A139,Output_Mac!$A:$A,Output_Mac!U:U,""),
_xlpm.MyAuditVal,_xlfn.XLOOKUP($A139,My_Audit!$A:$A,My_Audit!O:O,""),
_xlfn.IFS(_xlpm.MyAuditVal&lt;&gt;"",UPPER(_xlpm.MyAuditVal),_xlpm.MacVal&lt;&gt;"",_xlpm.MacVal,_xlpm.CSVVal&lt;&gt;"",_xlpm.CSVVal
)),"")</f>
        <v/>
      </c>
      <c r="O139" s="46" t="str">
        <f>_xlfn.XLOOKUP(C139,My_Audit!B:B,My_Audit!P:P,"")&amp;""</f>
        <v/>
      </c>
      <c r="P139" s="45"/>
      <c r="Q139" s="46" t="str">
        <f>IF(LEFT(N139,4)="Pass","Nist SP 800-88",My_Audit!R139)&amp;""</f>
        <v/>
      </c>
      <c r="R139" s="45"/>
      <c r="S139" s="45"/>
      <c r="T139" s="46" t="str">
        <f>_xlfn.XLOOKUP(E139,Models!I:I,Models!J:J,"")</f>
        <v/>
      </c>
      <c r="U139" s="45"/>
      <c r="V139" s="45"/>
      <c r="W139" s="38" t="str">
        <f>_xlfn.LET(
    _xlpm.MacVal, _xlfn.XLOOKUP($A139, Output_Mac!$A:$A, Output_Mac!AB:AB, ""),
    _xlpm.MyAuditVal, _xlfn.XLOOKUP($A139, My_Audit!$A:$A, My_Audit!L:L, ""),
    _xlfn.TEXTJOIN(", ", TRUE, _xlpm.MyAuditVal, _xlpm.MacVal)
)</f>
        <v/>
      </c>
    </row>
    <row r="140" spans="1:23">
      <c r="A140" s="45" t="str">
        <f>_xlfn.TEXTJOIN("",TRUE,Input!$B$2,ROW(My_Audit!A139))</f>
        <v>XX139</v>
      </c>
      <c r="B140" s="45" t="str">
        <f>_xlfn.TEXTJOIN("-",TRUE,"ITD",Input!$A$2,A140)</f>
        <v>ITD-SHRXXX-XX139</v>
      </c>
      <c r="C140" s="45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46" t="str" cm="1">
        <f t="array" ref="D140">IFERROR(_xlfn.LET(
_xlpm.CSVVal,_xlfn.XLOOKUP($A140,CSV!$A:$A,CSV!C:C,""),
_xlpm.MacVal,_xlfn.XLOOKUP($A140,Output_Mac!$A:$A,Output_Mac!D:D,""),
_xlpm.MyAuditVal,_xlfn.XLOOKUP($A140,My_Audit!$A:$A,My_Audit!C:C,""),
_xlfn.IFS(_xlpm.MyAuditVal&lt;&gt;"",UPPER(_xlpm.MyAuditVal),_xlpm.MacVal&lt;&gt;"",_xlpm.MacVal,_xlpm.CSVVal&lt;&gt;"",_xlpm.CSVVal
)),"")</f>
        <v/>
      </c>
      <c r="E140" s="46" t="str" cm="1">
        <f t="array" ref="E140">IFERROR(_xlfn.LET(
_xlpm.CSVVal,_xlfn.XLOOKUP($A140,CSV!$A:$A,CSV!E:E,""),
_xlpm.MacVal,_xlfn.XLOOKUP($A140,Output_Mac!$A:$A,Output_Mac!C:C,""),
_xlpm.MyAuditVal,_xlfn.XLOOKUP($A140,My_Audit!$A:$A,My_Audit!D:D,""),
_xlfn.IFS(_xlpm.MyAuditVal&lt;&gt;"",_xlpm.MyAuditVal,_xlpm.MacVal&lt;&gt;"",_xlpm.MacVal,_xlpm.CSVVal&lt;&gt;"",_xlpm.CSVVal
)),"")</f>
        <v/>
      </c>
      <c r="F140" s="45" t="str" cm="1">
        <f t="array" ref="F140">IFERROR(_xlfn.LET(
_xlpm.CSVVal,_xlfn.XLOOKUP($A140,CSV!$A:$A,CSV!F:F,""),
_xlpm.MacVal,_xlfn.XLOOKUP($A140,Output_Mac!$A:$A,Output_Mac!F:F,""),
_xlpm.MyAuditVal,_xlfn.XLOOKUP($A140,My_Audit!$A:$A,My_Audit!E:E,""),
_xlfn.IFS(_xlpm.MyAuditVal&lt;&gt;"",_xlpm.MyAuditVal,_xlpm.MacVal&lt;&gt;"",_xlpm.MacVal,_xlpm.CSVVal&lt;&gt;"",PROPER(_xlpm.CSVVal)
)),"")</f>
        <v/>
      </c>
      <c r="G140" s="45" t="str" cm="1">
        <f t="array" ref="G140">IFERROR(_xlfn.LET(
_xlpm.CSVVal,_xlfn.XLOOKUP($A140,CSV!$A:$A,CSV!G:G,""),
_xlpm.MacVal,_xlfn.XLOOKUP($A140,Output_Mac!$A:$A,Output_Mac!H:H,""),
_xlpm.MyAuditVal,_xlfn.XLOOKUP($A140,My_Audit!$A:$A,My_Audit!F:F,""),
_xlfn.IFS(_xlpm.MyAuditVal&lt;&gt;"",_xlpm.MyAuditVal,_xlpm.MacVal&lt;&gt;"",_xlpm.MacVal,_xlpm.CSVVal&lt;&gt;"",_xlpm.CSVVal
)),"")</f>
        <v/>
      </c>
      <c r="H140" s="45" t="str">
        <f>_xlfn.XLOOKUP(A140,Output_Mac!A:A,Output_Mac!I:I,"")</f>
        <v/>
      </c>
      <c r="I140" s="45" t="str" cm="1">
        <f t="array" ref="I140">IFERROR(_xlfn.LET(
_xlpm.CSVVal,_xlfn.XLOOKUP($A140,CSV!$A:$A,CSV!H:H,""),
_xlpm.MacVal,_xlfn.XLOOKUP($A140,Output_Mac!$A:$A,Output_Mac!J:J,""),
_xlpm.MyAuditVal,_xlfn.XLOOKUP($A140,My_Audit!$A:$A,My_Audit!H:H,""),
_xlfn.IFS(_xlpm.MyAuditVal&lt;&gt;"",UPPER(_xlpm.MyAuditVal),_xlpm.MacVal&lt;&gt;"",_xlpm.MacVal,_xlpm.CSVVal&lt;&gt;"",_xlpm.CSVVal
)),"")</f>
        <v/>
      </c>
      <c r="J140" s="45" t="str" cm="1">
        <f t="array" ref="J140">IFERROR(_xlfn.LET(
_xlpm.CSVVal,_xlfn.XLOOKUP($A140,CSV!$A:$A,CSV!J:J,""),
_xlpm.MacVal,_xlfn.XLOOKUP($A140,Output_Mac!$A:$A,Output_Mac!K:K,""),
_xlpm.MyAuditVal,_xlfn.XLOOKUP($A140,My_Audit!$A:$A,My_Audit!I:I,""),
_xlfn.IFS(_xlpm.MyAuditVal&lt;&gt;"",UPPER(_xlpm.MyAuditVal),_xlpm.MacVal&lt;&gt;"",_xlpm.MacVal,_xlpm.CSVVal&lt;&gt;"",_xlpm.CSVVal
)),"")</f>
        <v/>
      </c>
      <c r="K140" s="45" t="str" cm="1">
        <f t="array" ref="K140">IFERROR(_xlfn.LET(
_xlpm.CSVVal,_xlfn.XLOOKUP($A140,CSV!$A:$A,CSV!N:N,""),
_xlpm.MacVal,_xlfn.XLOOKUP($A140,Output_Mac!$A:$A,Output_Mac!L:L,""),
_xlpm.MyAuditVal,_xlfn.XLOOKUP($A140,My_Audit!$A:$A,My_Audit!J:J,""),
_xlfn.IFS(_xlpm.MyAuditVal&lt;&gt;"",UPPER(_xlpm.MyAuditVal),_xlpm.MacVal&lt;&gt;"",_xlpm.MacVal,_xlpm.CSVVal&lt;&gt;"",_xlpm.CSVVal
)),"")</f>
        <v/>
      </c>
      <c r="L140" s="46" t="str" cm="1">
        <f t="array" ref="L140">IFERROR(_xlfn.LET(
_xlpm.CSVVal,_xlfn.XLOOKUP($A140,CSV!$A:$A,CSV!Q:Q,""),
_xlpm.MacVal,_xlfn.XLOOKUP($A140,Output_Mac!$A:$A,Output_Mac!M:M,""),
_xlpm.MyAuditVal,_xlfn.XLOOKUP($A140,My_Audit!$A:$A,My_Audit!K:K,""),
_xlfn.IFS(_xlpm.MyAuditVal&lt;&gt;"",UPPER(_xlpm.MyAuditVal),_xlpm.MacVal&lt;&gt;"",_xlpm.MacVal,_xlpm.CSVVal&lt;&gt;"",_xlpm.CSVVal
)),"")</f>
        <v/>
      </c>
      <c r="M140" s="45" t="str">
        <f>_xlfn.LET(
    _xlpm.CSVVal, _xlfn.XLOOKUP($A140, CSV!$A:$A, CSV!AE:AE, ""),
    _xlpm.MacVal, _xlfn.XLOOKUP($A140, Output_Mac!$A:$A, Output_Mac!S:S, ""),
    _xlpm.MyAuditVal, _xlfn.XLOOKUP($A140, My_Audit!$A:$A, My_Audit!N:N, ""),
    _xlfn.TEXTJOIN(", ", TRUE, _xlpm.MyAuditVal, _xlpm.MacVal, _xlpm.CSVVal)
)</f>
        <v/>
      </c>
      <c r="N140" s="45" t="str" cm="1">
        <f t="array" ref="N140">IFERROR(_xlfn.LET(
_xlpm.CSVVal,_xlfn.XLOOKUP($A140,CSV!$A:$A,CSV!AG:AG,""),
_xlpm.MacVal,_xlfn.XLOOKUP($A140,Output_Mac!$A:$A,Output_Mac!U:U,""),
_xlpm.MyAuditVal,_xlfn.XLOOKUP($A140,My_Audit!$A:$A,My_Audit!O:O,""),
_xlfn.IFS(_xlpm.MyAuditVal&lt;&gt;"",UPPER(_xlpm.MyAuditVal),_xlpm.MacVal&lt;&gt;"",_xlpm.MacVal,_xlpm.CSVVal&lt;&gt;"",_xlpm.CSVVal
)),"")</f>
        <v/>
      </c>
      <c r="O140" s="46" t="str">
        <f>_xlfn.XLOOKUP(C140,My_Audit!B:B,My_Audit!P:P,"")&amp;""</f>
        <v/>
      </c>
      <c r="P140" s="45"/>
      <c r="Q140" s="46" t="str">
        <f>IF(LEFT(N140,4)="Pass","Nist SP 800-88",My_Audit!R140)&amp;""</f>
        <v/>
      </c>
      <c r="R140" s="45"/>
      <c r="S140" s="45"/>
      <c r="T140" s="46" t="str">
        <f>_xlfn.XLOOKUP(E140,Models!I:I,Models!J:J,"")</f>
        <v/>
      </c>
      <c r="U140" s="45"/>
      <c r="V140" s="45"/>
      <c r="W140" s="38" t="str">
        <f>_xlfn.LET(
    _xlpm.MacVal, _xlfn.XLOOKUP($A140, Output_Mac!$A:$A, Output_Mac!AB:AB, ""),
    _xlpm.MyAuditVal, _xlfn.XLOOKUP($A140, My_Audit!$A:$A, My_Audit!L:L, ""),
    _xlfn.TEXTJOIN(", ", TRUE, _xlpm.MyAuditVal, _xlpm.MacVal)
)</f>
        <v/>
      </c>
    </row>
    <row r="141" spans="1:23">
      <c r="A141" s="45" t="str">
        <f>_xlfn.TEXTJOIN("",TRUE,Input!$B$2,ROW(My_Audit!A140))</f>
        <v>XX140</v>
      </c>
      <c r="B141" s="45" t="str">
        <f>_xlfn.TEXTJOIN("-",TRUE,"ITD",Input!$A$2,A141)</f>
        <v>ITD-SHRXXX-XX140</v>
      </c>
      <c r="C141" s="45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46" t="str" cm="1">
        <f t="array" ref="D141">IFERROR(_xlfn.LET(
_xlpm.CSVVal,_xlfn.XLOOKUP($A141,CSV!$A:$A,CSV!C:C,""),
_xlpm.MacVal,_xlfn.XLOOKUP($A141,Output_Mac!$A:$A,Output_Mac!D:D,""),
_xlpm.MyAuditVal,_xlfn.XLOOKUP($A141,My_Audit!$A:$A,My_Audit!C:C,""),
_xlfn.IFS(_xlpm.MyAuditVal&lt;&gt;"",UPPER(_xlpm.MyAuditVal),_xlpm.MacVal&lt;&gt;"",_xlpm.MacVal,_xlpm.CSVVal&lt;&gt;"",_xlpm.CSVVal
)),"")</f>
        <v/>
      </c>
      <c r="E141" s="46" t="str" cm="1">
        <f t="array" ref="E141">IFERROR(_xlfn.LET(
_xlpm.CSVVal,_xlfn.XLOOKUP($A141,CSV!$A:$A,CSV!E:E,""),
_xlpm.MacVal,_xlfn.XLOOKUP($A141,Output_Mac!$A:$A,Output_Mac!C:C,""),
_xlpm.MyAuditVal,_xlfn.XLOOKUP($A141,My_Audit!$A:$A,My_Audit!D:D,""),
_xlfn.IFS(_xlpm.MyAuditVal&lt;&gt;"",_xlpm.MyAuditVal,_xlpm.MacVal&lt;&gt;"",_xlpm.MacVal,_xlpm.CSVVal&lt;&gt;"",_xlpm.CSVVal
)),"")</f>
        <v/>
      </c>
      <c r="F141" s="45" t="str" cm="1">
        <f t="array" ref="F141">IFERROR(_xlfn.LET(
_xlpm.CSVVal,_xlfn.XLOOKUP($A141,CSV!$A:$A,CSV!F:F,""),
_xlpm.MacVal,_xlfn.XLOOKUP($A141,Output_Mac!$A:$A,Output_Mac!F:F,""),
_xlpm.MyAuditVal,_xlfn.XLOOKUP($A141,My_Audit!$A:$A,My_Audit!E:E,""),
_xlfn.IFS(_xlpm.MyAuditVal&lt;&gt;"",_xlpm.MyAuditVal,_xlpm.MacVal&lt;&gt;"",_xlpm.MacVal,_xlpm.CSVVal&lt;&gt;"",PROPER(_xlpm.CSVVal)
)),"")</f>
        <v/>
      </c>
      <c r="G141" s="45" t="str" cm="1">
        <f t="array" ref="G141">IFERROR(_xlfn.LET(
_xlpm.CSVVal,_xlfn.XLOOKUP($A141,CSV!$A:$A,CSV!G:G,""),
_xlpm.MacVal,_xlfn.XLOOKUP($A141,Output_Mac!$A:$A,Output_Mac!H:H,""),
_xlpm.MyAuditVal,_xlfn.XLOOKUP($A141,My_Audit!$A:$A,My_Audit!F:F,""),
_xlfn.IFS(_xlpm.MyAuditVal&lt;&gt;"",_xlpm.MyAuditVal,_xlpm.MacVal&lt;&gt;"",_xlpm.MacVal,_xlpm.CSVVal&lt;&gt;"",_xlpm.CSVVal
)),"")</f>
        <v/>
      </c>
      <c r="H141" s="45" t="str">
        <f>_xlfn.XLOOKUP(A141,Output_Mac!A:A,Output_Mac!I:I,"")</f>
        <v/>
      </c>
      <c r="I141" s="45" t="str" cm="1">
        <f t="array" ref="I141">IFERROR(_xlfn.LET(
_xlpm.CSVVal,_xlfn.XLOOKUP($A141,CSV!$A:$A,CSV!H:H,""),
_xlpm.MacVal,_xlfn.XLOOKUP($A141,Output_Mac!$A:$A,Output_Mac!J:J,""),
_xlpm.MyAuditVal,_xlfn.XLOOKUP($A141,My_Audit!$A:$A,My_Audit!H:H,""),
_xlfn.IFS(_xlpm.MyAuditVal&lt;&gt;"",UPPER(_xlpm.MyAuditVal),_xlpm.MacVal&lt;&gt;"",_xlpm.MacVal,_xlpm.CSVVal&lt;&gt;"",_xlpm.CSVVal
)),"")</f>
        <v/>
      </c>
      <c r="J141" s="45" t="str" cm="1">
        <f t="array" ref="J141">IFERROR(_xlfn.LET(
_xlpm.CSVVal,_xlfn.XLOOKUP($A141,CSV!$A:$A,CSV!J:J,""),
_xlpm.MacVal,_xlfn.XLOOKUP($A141,Output_Mac!$A:$A,Output_Mac!K:K,""),
_xlpm.MyAuditVal,_xlfn.XLOOKUP($A141,My_Audit!$A:$A,My_Audit!I:I,""),
_xlfn.IFS(_xlpm.MyAuditVal&lt;&gt;"",UPPER(_xlpm.MyAuditVal),_xlpm.MacVal&lt;&gt;"",_xlpm.MacVal,_xlpm.CSVVal&lt;&gt;"",_xlpm.CSVVal
)),"")</f>
        <v/>
      </c>
      <c r="K141" s="45" t="str" cm="1">
        <f t="array" ref="K141">IFERROR(_xlfn.LET(
_xlpm.CSVVal,_xlfn.XLOOKUP($A141,CSV!$A:$A,CSV!N:N,""),
_xlpm.MacVal,_xlfn.XLOOKUP($A141,Output_Mac!$A:$A,Output_Mac!L:L,""),
_xlpm.MyAuditVal,_xlfn.XLOOKUP($A141,My_Audit!$A:$A,My_Audit!J:J,""),
_xlfn.IFS(_xlpm.MyAuditVal&lt;&gt;"",UPPER(_xlpm.MyAuditVal),_xlpm.MacVal&lt;&gt;"",_xlpm.MacVal,_xlpm.CSVVal&lt;&gt;"",_xlpm.CSVVal
)),"")</f>
        <v/>
      </c>
      <c r="L141" s="46" t="str" cm="1">
        <f t="array" ref="L141">IFERROR(_xlfn.LET(
_xlpm.CSVVal,_xlfn.XLOOKUP($A141,CSV!$A:$A,CSV!Q:Q,""),
_xlpm.MacVal,_xlfn.XLOOKUP($A141,Output_Mac!$A:$A,Output_Mac!M:M,""),
_xlpm.MyAuditVal,_xlfn.XLOOKUP($A141,My_Audit!$A:$A,My_Audit!K:K,""),
_xlfn.IFS(_xlpm.MyAuditVal&lt;&gt;"",UPPER(_xlpm.MyAuditVal),_xlpm.MacVal&lt;&gt;"",_xlpm.MacVal,_xlpm.CSVVal&lt;&gt;"",_xlpm.CSVVal
)),"")</f>
        <v/>
      </c>
      <c r="M141" s="45" t="str">
        <f>_xlfn.LET(
    _xlpm.CSVVal, _xlfn.XLOOKUP($A141, CSV!$A:$A, CSV!AE:AE, ""),
    _xlpm.MacVal, _xlfn.XLOOKUP($A141, Output_Mac!$A:$A, Output_Mac!S:S, ""),
    _xlpm.MyAuditVal, _xlfn.XLOOKUP($A141, My_Audit!$A:$A, My_Audit!N:N, ""),
    _xlfn.TEXTJOIN(", ", TRUE, _xlpm.MyAuditVal, _xlpm.MacVal, _xlpm.CSVVal)
)</f>
        <v/>
      </c>
      <c r="N141" s="45" t="str" cm="1">
        <f t="array" ref="N141">IFERROR(_xlfn.LET(
_xlpm.CSVVal,_xlfn.XLOOKUP($A141,CSV!$A:$A,CSV!AG:AG,""),
_xlpm.MacVal,_xlfn.XLOOKUP($A141,Output_Mac!$A:$A,Output_Mac!U:U,""),
_xlpm.MyAuditVal,_xlfn.XLOOKUP($A141,My_Audit!$A:$A,My_Audit!O:O,""),
_xlfn.IFS(_xlpm.MyAuditVal&lt;&gt;"",UPPER(_xlpm.MyAuditVal),_xlpm.MacVal&lt;&gt;"",_xlpm.MacVal,_xlpm.CSVVal&lt;&gt;"",_xlpm.CSVVal
)),"")</f>
        <v/>
      </c>
      <c r="O141" s="46" t="str">
        <f>_xlfn.XLOOKUP(C141,My_Audit!B:B,My_Audit!P:P,"")&amp;""</f>
        <v/>
      </c>
      <c r="P141" s="45"/>
      <c r="Q141" s="46" t="str">
        <f>IF(LEFT(N141,4)="Pass","Nist SP 800-88",My_Audit!R141)&amp;""</f>
        <v/>
      </c>
      <c r="R141" s="45"/>
      <c r="S141" s="45"/>
      <c r="T141" s="46" t="str">
        <f>_xlfn.XLOOKUP(E141,Models!I:I,Models!J:J,"")</f>
        <v/>
      </c>
      <c r="U141" s="45"/>
      <c r="V141" s="45"/>
      <c r="W141" s="38" t="str">
        <f>_xlfn.LET(
    _xlpm.MacVal, _xlfn.XLOOKUP($A141, Output_Mac!$A:$A, Output_Mac!AB:AB, ""),
    _xlpm.MyAuditVal, _xlfn.XLOOKUP($A141, My_Audit!$A:$A, My_Audit!L:L, ""),
    _xlfn.TEXTJOIN(", ", TRUE, _xlpm.MyAuditVal, _xlpm.MacVal)
)</f>
        <v/>
      </c>
    </row>
    <row r="142" spans="1:23">
      <c r="A142" s="45" t="str">
        <f>_xlfn.TEXTJOIN("",TRUE,Input!$B$2,ROW(My_Audit!A141))</f>
        <v>XX141</v>
      </c>
      <c r="B142" s="45" t="str">
        <f>_xlfn.TEXTJOIN("-",TRUE,"ITD",Input!$A$2,A142)</f>
        <v>ITD-SHRXXX-XX141</v>
      </c>
      <c r="C142" s="45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46" t="str" cm="1">
        <f t="array" ref="D142">IFERROR(_xlfn.LET(
_xlpm.CSVVal,_xlfn.XLOOKUP($A142,CSV!$A:$A,CSV!C:C,""),
_xlpm.MacVal,_xlfn.XLOOKUP($A142,Output_Mac!$A:$A,Output_Mac!D:D,""),
_xlpm.MyAuditVal,_xlfn.XLOOKUP($A142,My_Audit!$A:$A,My_Audit!C:C,""),
_xlfn.IFS(_xlpm.MyAuditVal&lt;&gt;"",UPPER(_xlpm.MyAuditVal),_xlpm.MacVal&lt;&gt;"",_xlpm.MacVal,_xlpm.CSVVal&lt;&gt;"",_xlpm.CSVVal
)),"")</f>
        <v/>
      </c>
      <c r="E142" s="46" t="str" cm="1">
        <f t="array" ref="E142">IFERROR(_xlfn.LET(
_xlpm.CSVVal,_xlfn.XLOOKUP($A142,CSV!$A:$A,CSV!E:E,""),
_xlpm.MacVal,_xlfn.XLOOKUP($A142,Output_Mac!$A:$A,Output_Mac!C:C,""),
_xlpm.MyAuditVal,_xlfn.XLOOKUP($A142,My_Audit!$A:$A,My_Audit!D:D,""),
_xlfn.IFS(_xlpm.MyAuditVal&lt;&gt;"",_xlpm.MyAuditVal,_xlpm.MacVal&lt;&gt;"",_xlpm.MacVal,_xlpm.CSVVal&lt;&gt;"",_xlpm.CSVVal
)),"")</f>
        <v/>
      </c>
      <c r="F142" s="45" t="str" cm="1">
        <f t="array" ref="F142">IFERROR(_xlfn.LET(
_xlpm.CSVVal,_xlfn.XLOOKUP($A142,CSV!$A:$A,CSV!F:F,""),
_xlpm.MacVal,_xlfn.XLOOKUP($A142,Output_Mac!$A:$A,Output_Mac!F:F,""),
_xlpm.MyAuditVal,_xlfn.XLOOKUP($A142,My_Audit!$A:$A,My_Audit!E:E,""),
_xlfn.IFS(_xlpm.MyAuditVal&lt;&gt;"",_xlpm.MyAuditVal,_xlpm.MacVal&lt;&gt;"",_xlpm.MacVal,_xlpm.CSVVal&lt;&gt;"",PROPER(_xlpm.CSVVal)
)),"")</f>
        <v/>
      </c>
      <c r="G142" s="45" t="str" cm="1">
        <f t="array" ref="G142">IFERROR(_xlfn.LET(
_xlpm.CSVVal,_xlfn.XLOOKUP($A142,CSV!$A:$A,CSV!G:G,""),
_xlpm.MacVal,_xlfn.XLOOKUP($A142,Output_Mac!$A:$A,Output_Mac!H:H,""),
_xlpm.MyAuditVal,_xlfn.XLOOKUP($A142,My_Audit!$A:$A,My_Audit!F:F,""),
_xlfn.IFS(_xlpm.MyAuditVal&lt;&gt;"",_xlpm.MyAuditVal,_xlpm.MacVal&lt;&gt;"",_xlpm.MacVal,_xlpm.CSVVal&lt;&gt;"",_xlpm.CSVVal
)),"")</f>
        <v/>
      </c>
      <c r="H142" s="45" t="str">
        <f>_xlfn.XLOOKUP(A142,Output_Mac!A:A,Output_Mac!I:I,"")</f>
        <v/>
      </c>
      <c r="I142" s="45" t="str" cm="1">
        <f t="array" ref="I142">IFERROR(_xlfn.LET(
_xlpm.CSVVal,_xlfn.XLOOKUP($A142,CSV!$A:$A,CSV!H:H,""),
_xlpm.MacVal,_xlfn.XLOOKUP($A142,Output_Mac!$A:$A,Output_Mac!J:J,""),
_xlpm.MyAuditVal,_xlfn.XLOOKUP($A142,My_Audit!$A:$A,My_Audit!H:H,""),
_xlfn.IFS(_xlpm.MyAuditVal&lt;&gt;"",UPPER(_xlpm.MyAuditVal),_xlpm.MacVal&lt;&gt;"",_xlpm.MacVal,_xlpm.CSVVal&lt;&gt;"",_xlpm.CSVVal
)),"")</f>
        <v/>
      </c>
      <c r="J142" s="45" t="str" cm="1">
        <f t="array" ref="J142">IFERROR(_xlfn.LET(
_xlpm.CSVVal,_xlfn.XLOOKUP($A142,CSV!$A:$A,CSV!J:J,""),
_xlpm.MacVal,_xlfn.XLOOKUP($A142,Output_Mac!$A:$A,Output_Mac!K:K,""),
_xlpm.MyAuditVal,_xlfn.XLOOKUP($A142,My_Audit!$A:$A,My_Audit!I:I,""),
_xlfn.IFS(_xlpm.MyAuditVal&lt;&gt;"",UPPER(_xlpm.MyAuditVal),_xlpm.MacVal&lt;&gt;"",_xlpm.MacVal,_xlpm.CSVVal&lt;&gt;"",_xlpm.CSVVal
)),"")</f>
        <v/>
      </c>
      <c r="K142" s="45" t="str" cm="1">
        <f t="array" ref="K142">IFERROR(_xlfn.LET(
_xlpm.CSVVal,_xlfn.XLOOKUP($A142,CSV!$A:$A,CSV!N:N,""),
_xlpm.MacVal,_xlfn.XLOOKUP($A142,Output_Mac!$A:$A,Output_Mac!L:L,""),
_xlpm.MyAuditVal,_xlfn.XLOOKUP($A142,My_Audit!$A:$A,My_Audit!J:J,""),
_xlfn.IFS(_xlpm.MyAuditVal&lt;&gt;"",UPPER(_xlpm.MyAuditVal),_xlpm.MacVal&lt;&gt;"",_xlpm.MacVal,_xlpm.CSVVal&lt;&gt;"",_xlpm.CSVVal
)),"")</f>
        <v/>
      </c>
      <c r="L142" s="46" t="str" cm="1">
        <f t="array" ref="L142">IFERROR(_xlfn.LET(
_xlpm.CSVVal,_xlfn.XLOOKUP($A142,CSV!$A:$A,CSV!Q:Q,""),
_xlpm.MacVal,_xlfn.XLOOKUP($A142,Output_Mac!$A:$A,Output_Mac!M:M,""),
_xlpm.MyAuditVal,_xlfn.XLOOKUP($A142,My_Audit!$A:$A,My_Audit!K:K,""),
_xlfn.IFS(_xlpm.MyAuditVal&lt;&gt;"",UPPER(_xlpm.MyAuditVal),_xlpm.MacVal&lt;&gt;"",_xlpm.MacVal,_xlpm.CSVVal&lt;&gt;"",_xlpm.CSVVal
)),"")</f>
        <v/>
      </c>
      <c r="M142" s="45" t="str">
        <f>_xlfn.LET(
    _xlpm.CSVVal, _xlfn.XLOOKUP($A142, CSV!$A:$A, CSV!AE:AE, ""),
    _xlpm.MacVal, _xlfn.XLOOKUP($A142, Output_Mac!$A:$A, Output_Mac!S:S, ""),
    _xlpm.MyAuditVal, _xlfn.XLOOKUP($A142, My_Audit!$A:$A, My_Audit!N:N, ""),
    _xlfn.TEXTJOIN(", ", TRUE, _xlpm.MyAuditVal, _xlpm.MacVal, _xlpm.CSVVal)
)</f>
        <v/>
      </c>
      <c r="N142" s="45" t="str" cm="1">
        <f t="array" ref="N142">IFERROR(_xlfn.LET(
_xlpm.CSVVal,_xlfn.XLOOKUP($A142,CSV!$A:$A,CSV!AG:AG,""),
_xlpm.MacVal,_xlfn.XLOOKUP($A142,Output_Mac!$A:$A,Output_Mac!U:U,""),
_xlpm.MyAuditVal,_xlfn.XLOOKUP($A142,My_Audit!$A:$A,My_Audit!O:O,""),
_xlfn.IFS(_xlpm.MyAuditVal&lt;&gt;"",UPPER(_xlpm.MyAuditVal),_xlpm.MacVal&lt;&gt;"",_xlpm.MacVal,_xlpm.CSVVal&lt;&gt;"",_xlpm.CSVVal
)),"")</f>
        <v/>
      </c>
      <c r="O142" s="46" t="str">
        <f>_xlfn.XLOOKUP(C142,My_Audit!B:B,My_Audit!P:P,"")&amp;""</f>
        <v/>
      </c>
      <c r="P142" s="45"/>
      <c r="Q142" s="46" t="str">
        <f>IF(LEFT(N142,4)="Pass","Nist SP 800-88",My_Audit!R142)&amp;""</f>
        <v/>
      </c>
      <c r="R142" s="45"/>
      <c r="S142" s="45"/>
      <c r="T142" s="46" t="str">
        <f>_xlfn.XLOOKUP(E142,Models!I:I,Models!J:J,"")</f>
        <v/>
      </c>
      <c r="U142" s="45"/>
      <c r="V142" s="45"/>
      <c r="W142" s="38" t="str">
        <f>_xlfn.LET(
    _xlpm.MacVal, _xlfn.XLOOKUP($A142, Output_Mac!$A:$A, Output_Mac!AB:AB, ""),
    _xlpm.MyAuditVal, _xlfn.XLOOKUP($A142, My_Audit!$A:$A, My_Audit!L:L, ""),
    _xlfn.TEXTJOIN(", ", TRUE, _xlpm.MyAuditVal, _xlpm.MacVal)
)</f>
        <v/>
      </c>
    </row>
    <row r="143" spans="1:23">
      <c r="A143" s="45" t="str">
        <f>_xlfn.TEXTJOIN("",TRUE,Input!$B$2,ROW(My_Audit!A142))</f>
        <v>XX142</v>
      </c>
      <c r="B143" s="45" t="str">
        <f>_xlfn.TEXTJOIN("-",TRUE,"ITD",Input!$A$2,A143)</f>
        <v>ITD-SHRXXX-XX142</v>
      </c>
      <c r="C143" s="45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46" t="str" cm="1">
        <f t="array" ref="D143">IFERROR(_xlfn.LET(
_xlpm.CSVVal,_xlfn.XLOOKUP($A143,CSV!$A:$A,CSV!C:C,""),
_xlpm.MacVal,_xlfn.XLOOKUP($A143,Output_Mac!$A:$A,Output_Mac!D:D,""),
_xlpm.MyAuditVal,_xlfn.XLOOKUP($A143,My_Audit!$A:$A,My_Audit!C:C,""),
_xlfn.IFS(_xlpm.MyAuditVal&lt;&gt;"",UPPER(_xlpm.MyAuditVal),_xlpm.MacVal&lt;&gt;"",_xlpm.MacVal,_xlpm.CSVVal&lt;&gt;"",_xlpm.CSVVal
)),"")</f>
        <v/>
      </c>
      <c r="E143" s="46" t="str" cm="1">
        <f t="array" ref="E143">IFERROR(_xlfn.LET(
_xlpm.CSVVal,_xlfn.XLOOKUP($A143,CSV!$A:$A,CSV!E:E,""),
_xlpm.MacVal,_xlfn.XLOOKUP($A143,Output_Mac!$A:$A,Output_Mac!C:C,""),
_xlpm.MyAuditVal,_xlfn.XLOOKUP($A143,My_Audit!$A:$A,My_Audit!D:D,""),
_xlfn.IFS(_xlpm.MyAuditVal&lt;&gt;"",_xlpm.MyAuditVal,_xlpm.MacVal&lt;&gt;"",_xlpm.MacVal,_xlpm.CSVVal&lt;&gt;"",_xlpm.CSVVal
)),"")</f>
        <v/>
      </c>
      <c r="F143" s="45" t="str" cm="1">
        <f t="array" ref="F143">IFERROR(_xlfn.LET(
_xlpm.CSVVal,_xlfn.XLOOKUP($A143,CSV!$A:$A,CSV!F:F,""),
_xlpm.MacVal,_xlfn.XLOOKUP($A143,Output_Mac!$A:$A,Output_Mac!F:F,""),
_xlpm.MyAuditVal,_xlfn.XLOOKUP($A143,My_Audit!$A:$A,My_Audit!E:E,""),
_xlfn.IFS(_xlpm.MyAuditVal&lt;&gt;"",_xlpm.MyAuditVal,_xlpm.MacVal&lt;&gt;"",_xlpm.MacVal,_xlpm.CSVVal&lt;&gt;"",PROPER(_xlpm.CSVVal)
)),"")</f>
        <v/>
      </c>
      <c r="G143" s="45" t="str" cm="1">
        <f t="array" ref="G143">IFERROR(_xlfn.LET(
_xlpm.CSVVal,_xlfn.XLOOKUP($A143,CSV!$A:$A,CSV!G:G,""),
_xlpm.MacVal,_xlfn.XLOOKUP($A143,Output_Mac!$A:$A,Output_Mac!H:H,""),
_xlpm.MyAuditVal,_xlfn.XLOOKUP($A143,My_Audit!$A:$A,My_Audit!F:F,""),
_xlfn.IFS(_xlpm.MyAuditVal&lt;&gt;"",_xlpm.MyAuditVal,_xlpm.MacVal&lt;&gt;"",_xlpm.MacVal,_xlpm.CSVVal&lt;&gt;"",_xlpm.CSVVal
)),"")</f>
        <v/>
      </c>
      <c r="H143" s="45" t="str">
        <f>_xlfn.XLOOKUP(A143,Output_Mac!A:A,Output_Mac!I:I,"")</f>
        <v/>
      </c>
      <c r="I143" s="45" t="str" cm="1">
        <f t="array" ref="I143">IFERROR(_xlfn.LET(
_xlpm.CSVVal,_xlfn.XLOOKUP($A143,CSV!$A:$A,CSV!H:H,""),
_xlpm.MacVal,_xlfn.XLOOKUP($A143,Output_Mac!$A:$A,Output_Mac!J:J,""),
_xlpm.MyAuditVal,_xlfn.XLOOKUP($A143,My_Audit!$A:$A,My_Audit!H:H,""),
_xlfn.IFS(_xlpm.MyAuditVal&lt;&gt;"",UPPER(_xlpm.MyAuditVal),_xlpm.MacVal&lt;&gt;"",_xlpm.MacVal,_xlpm.CSVVal&lt;&gt;"",_xlpm.CSVVal
)),"")</f>
        <v/>
      </c>
      <c r="J143" s="45" t="str" cm="1">
        <f t="array" ref="J143">IFERROR(_xlfn.LET(
_xlpm.CSVVal,_xlfn.XLOOKUP($A143,CSV!$A:$A,CSV!J:J,""),
_xlpm.MacVal,_xlfn.XLOOKUP($A143,Output_Mac!$A:$A,Output_Mac!K:K,""),
_xlpm.MyAuditVal,_xlfn.XLOOKUP($A143,My_Audit!$A:$A,My_Audit!I:I,""),
_xlfn.IFS(_xlpm.MyAuditVal&lt;&gt;"",UPPER(_xlpm.MyAuditVal),_xlpm.MacVal&lt;&gt;"",_xlpm.MacVal,_xlpm.CSVVal&lt;&gt;"",_xlpm.CSVVal
)),"")</f>
        <v/>
      </c>
      <c r="K143" s="45" t="str" cm="1">
        <f t="array" ref="K143">IFERROR(_xlfn.LET(
_xlpm.CSVVal,_xlfn.XLOOKUP($A143,CSV!$A:$A,CSV!N:N,""),
_xlpm.MacVal,_xlfn.XLOOKUP($A143,Output_Mac!$A:$A,Output_Mac!L:L,""),
_xlpm.MyAuditVal,_xlfn.XLOOKUP($A143,My_Audit!$A:$A,My_Audit!J:J,""),
_xlfn.IFS(_xlpm.MyAuditVal&lt;&gt;"",UPPER(_xlpm.MyAuditVal),_xlpm.MacVal&lt;&gt;"",_xlpm.MacVal,_xlpm.CSVVal&lt;&gt;"",_xlpm.CSVVal
)),"")</f>
        <v/>
      </c>
      <c r="L143" s="46" t="str" cm="1">
        <f t="array" ref="L143">IFERROR(_xlfn.LET(
_xlpm.CSVVal,_xlfn.XLOOKUP($A143,CSV!$A:$A,CSV!Q:Q,""),
_xlpm.MacVal,_xlfn.XLOOKUP($A143,Output_Mac!$A:$A,Output_Mac!M:M,""),
_xlpm.MyAuditVal,_xlfn.XLOOKUP($A143,My_Audit!$A:$A,My_Audit!K:K,""),
_xlfn.IFS(_xlpm.MyAuditVal&lt;&gt;"",UPPER(_xlpm.MyAuditVal),_xlpm.MacVal&lt;&gt;"",_xlpm.MacVal,_xlpm.CSVVal&lt;&gt;"",_xlpm.CSVVal
)),"")</f>
        <v/>
      </c>
      <c r="M143" s="45" t="str">
        <f>_xlfn.LET(
    _xlpm.CSVVal, _xlfn.XLOOKUP($A143, CSV!$A:$A, CSV!AE:AE, ""),
    _xlpm.MacVal, _xlfn.XLOOKUP($A143, Output_Mac!$A:$A, Output_Mac!S:S, ""),
    _xlpm.MyAuditVal, _xlfn.XLOOKUP($A143, My_Audit!$A:$A, My_Audit!N:N, ""),
    _xlfn.TEXTJOIN(", ", TRUE, _xlpm.MyAuditVal, _xlpm.MacVal, _xlpm.CSVVal)
)</f>
        <v/>
      </c>
      <c r="N143" s="45" t="str" cm="1">
        <f t="array" ref="N143">IFERROR(_xlfn.LET(
_xlpm.CSVVal,_xlfn.XLOOKUP($A143,CSV!$A:$A,CSV!AG:AG,""),
_xlpm.MacVal,_xlfn.XLOOKUP($A143,Output_Mac!$A:$A,Output_Mac!U:U,""),
_xlpm.MyAuditVal,_xlfn.XLOOKUP($A143,My_Audit!$A:$A,My_Audit!O:O,""),
_xlfn.IFS(_xlpm.MyAuditVal&lt;&gt;"",UPPER(_xlpm.MyAuditVal),_xlpm.MacVal&lt;&gt;"",_xlpm.MacVal,_xlpm.CSVVal&lt;&gt;"",_xlpm.CSVVal
)),"")</f>
        <v/>
      </c>
      <c r="O143" s="46" t="str">
        <f>_xlfn.XLOOKUP(C143,My_Audit!B:B,My_Audit!P:P,"")&amp;""</f>
        <v/>
      </c>
      <c r="P143" s="45"/>
      <c r="Q143" s="46" t="str">
        <f>IF(LEFT(N143,4)="Pass","Nist SP 800-88",My_Audit!R143)&amp;""</f>
        <v/>
      </c>
      <c r="R143" s="45"/>
      <c r="S143" s="45"/>
      <c r="T143" s="46" t="str">
        <f>_xlfn.XLOOKUP(E143,Models!I:I,Models!J:J,"")</f>
        <v/>
      </c>
      <c r="U143" s="45"/>
      <c r="V143" s="45"/>
      <c r="W143" s="38" t="str">
        <f>_xlfn.LET(
    _xlpm.MacVal, _xlfn.XLOOKUP($A143, Output_Mac!$A:$A, Output_Mac!AB:AB, ""),
    _xlpm.MyAuditVal, _xlfn.XLOOKUP($A143, My_Audit!$A:$A, My_Audit!L:L, ""),
    _xlfn.TEXTJOIN(", ", TRUE, _xlpm.MyAuditVal, _xlpm.MacVal)
)</f>
        <v/>
      </c>
    </row>
    <row r="144" spans="1:23">
      <c r="A144" s="45" t="str">
        <f>_xlfn.TEXTJOIN("",TRUE,Input!$B$2,ROW(My_Audit!A143))</f>
        <v>XX143</v>
      </c>
      <c r="B144" s="45" t="str">
        <f>_xlfn.TEXTJOIN("-",TRUE,"ITD",Input!$A$2,A144)</f>
        <v>ITD-SHRXXX-XX143</v>
      </c>
      <c r="C144" s="45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46" t="str" cm="1">
        <f t="array" ref="D144">IFERROR(_xlfn.LET(
_xlpm.CSVVal,_xlfn.XLOOKUP($A144,CSV!$A:$A,CSV!C:C,""),
_xlpm.MacVal,_xlfn.XLOOKUP($A144,Output_Mac!$A:$A,Output_Mac!D:D,""),
_xlpm.MyAuditVal,_xlfn.XLOOKUP($A144,My_Audit!$A:$A,My_Audit!C:C,""),
_xlfn.IFS(_xlpm.MyAuditVal&lt;&gt;"",UPPER(_xlpm.MyAuditVal),_xlpm.MacVal&lt;&gt;"",_xlpm.MacVal,_xlpm.CSVVal&lt;&gt;"",_xlpm.CSVVal
)),"")</f>
        <v/>
      </c>
      <c r="E144" s="46" t="str" cm="1">
        <f t="array" ref="E144">IFERROR(_xlfn.LET(
_xlpm.CSVVal,_xlfn.XLOOKUP($A144,CSV!$A:$A,CSV!E:E,""),
_xlpm.MacVal,_xlfn.XLOOKUP($A144,Output_Mac!$A:$A,Output_Mac!C:C,""),
_xlpm.MyAuditVal,_xlfn.XLOOKUP($A144,My_Audit!$A:$A,My_Audit!D:D,""),
_xlfn.IFS(_xlpm.MyAuditVal&lt;&gt;"",_xlpm.MyAuditVal,_xlpm.MacVal&lt;&gt;"",_xlpm.MacVal,_xlpm.CSVVal&lt;&gt;"",_xlpm.CSVVal
)),"")</f>
        <v/>
      </c>
      <c r="F144" s="45" t="str" cm="1">
        <f t="array" ref="F144">IFERROR(_xlfn.LET(
_xlpm.CSVVal,_xlfn.XLOOKUP($A144,CSV!$A:$A,CSV!F:F,""),
_xlpm.MacVal,_xlfn.XLOOKUP($A144,Output_Mac!$A:$A,Output_Mac!F:F,""),
_xlpm.MyAuditVal,_xlfn.XLOOKUP($A144,My_Audit!$A:$A,My_Audit!E:E,""),
_xlfn.IFS(_xlpm.MyAuditVal&lt;&gt;"",_xlpm.MyAuditVal,_xlpm.MacVal&lt;&gt;"",_xlpm.MacVal,_xlpm.CSVVal&lt;&gt;"",PROPER(_xlpm.CSVVal)
)),"")</f>
        <v/>
      </c>
      <c r="G144" s="45" t="str" cm="1">
        <f t="array" ref="G144">IFERROR(_xlfn.LET(
_xlpm.CSVVal,_xlfn.XLOOKUP($A144,CSV!$A:$A,CSV!G:G,""),
_xlpm.MacVal,_xlfn.XLOOKUP($A144,Output_Mac!$A:$A,Output_Mac!H:H,""),
_xlpm.MyAuditVal,_xlfn.XLOOKUP($A144,My_Audit!$A:$A,My_Audit!F:F,""),
_xlfn.IFS(_xlpm.MyAuditVal&lt;&gt;"",_xlpm.MyAuditVal,_xlpm.MacVal&lt;&gt;"",_xlpm.MacVal,_xlpm.CSVVal&lt;&gt;"",_xlpm.CSVVal
)),"")</f>
        <v/>
      </c>
      <c r="H144" s="45" t="str">
        <f>_xlfn.XLOOKUP(A144,Output_Mac!A:A,Output_Mac!I:I,"")</f>
        <v/>
      </c>
      <c r="I144" s="45" t="str" cm="1">
        <f t="array" ref="I144">IFERROR(_xlfn.LET(
_xlpm.CSVVal,_xlfn.XLOOKUP($A144,CSV!$A:$A,CSV!H:H,""),
_xlpm.MacVal,_xlfn.XLOOKUP($A144,Output_Mac!$A:$A,Output_Mac!J:J,""),
_xlpm.MyAuditVal,_xlfn.XLOOKUP($A144,My_Audit!$A:$A,My_Audit!H:H,""),
_xlfn.IFS(_xlpm.MyAuditVal&lt;&gt;"",UPPER(_xlpm.MyAuditVal),_xlpm.MacVal&lt;&gt;"",_xlpm.MacVal,_xlpm.CSVVal&lt;&gt;"",_xlpm.CSVVal
)),"")</f>
        <v/>
      </c>
      <c r="J144" s="45" t="str" cm="1">
        <f t="array" ref="J144">IFERROR(_xlfn.LET(
_xlpm.CSVVal,_xlfn.XLOOKUP($A144,CSV!$A:$A,CSV!J:J,""),
_xlpm.MacVal,_xlfn.XLOOKUP($A144,Output_Mac!$A:$A,Output_Mac!K:K,""),
_xlpm.MyAuditVal,_xlfn.XLOOKUP($A144,My_Audit!$A:$A,My_Audit!I:I,""),
_xlfn.IFS(_xlpm.MyAuditVal&lt;&gt;"",UPPER(_xlpm.MyAuditVal),_xlpm.MacVal&lt;&gt;"",_xlpm.MacVal,_xlpm.CSVVal&lt;&gt;"",_xlpm.CSVVal
)),"")</f>
        <v/>
      </c>
      <c r="K144" s="45" t="str" cm="1">
        <f t="array" ref="K144">IFERROR(_xlfn.LET(
_xlpm.CSVVal,_xlfn.XLOOKUP($A144,CSV!$A:$A,CSV!N:N,""),
_xlpm.MacVal,_xlfn.XLOOKUP($A144,Output_Mac!$A:$A,Output_Mac!L:L,""),
_xlpm.MyAuditVal,_xlfn.XLOOKUP($A144,My_Audit!$A:$A,My_Audit!J:J,""),
_xlfn.IFS(_xlpm.MyAuditVal&lt;&gt;"",UPPER(_xlpm.MyAuditVal),_xlpm.MacVal&lt;&gt;"",_xlpm.MacVal,_xlpm.CSVVal&lt;&gt;"",_xlpm.CSVVal
)),"")</f>
        <v/>
      </c>
      <c r="L144" s="46" t="str" cm="1">
        <f t="array" ref="L144">IFERROR(_xlfn.LET(
_xlpm.CSVVal,_xlfn.XLOOKUP($A144,CSV!$A:$A,CSV!Q:Q,""),
_xlpm.MacVal,_xlfn.XLOOKUP($A144,Output_Mac!$A:$A,Output_Mac!M:M,""),
_xlpm.MyAuditVal,_xlfn.XLOOKUP($A144,My_Audit!$A:$A,My_Audit!K:K,""),
_xlfn.IFS(_xlpm.MyAuditVal&lt;&gt;"",UPPER(_xlpm.MyAuditVal),_xlpm.MacVal&lt;&gt;"",_xlpm.MacVal,_xlpm.CSVVal&lt;&gt;"",_xlpm.CSVVal
)),"")</f>
        <v/>
      </c>
      <c r="M144" s="45" t="str">
        <f>_xlfn.LET(
    _xlpm.CSVVal, _xlfn.XLOOKUP($A144, CSV!$A:$A, CSV!AE:AE, ""),
    _xlpm.MacVal, _xlfn.XLOOKUP($A144, Output_Mac!$A:$A, Output_Mac!S:S, ""),
    _xlpm.MyAuditVal, _xlfn.XLOOKUP($A144, My_Audit!$A:$A, My_Audit!N:N, ""),
    _xlfn.TEXTJOIN(", ", TRUE, _xlpm.MyAuditVal, _xlpm.MacVal, _xlpm.CSVVal)
)</f>
        <v/>
      </c>
      <c r="N144" s="45" t="str" cm="1">
        <f t="array" ref="N144">IFERROR(_xlfn.LET(
_xlpm.CSVVal,_xlfn.XLOOKUP($A144,CSV!$A:$A,CSV!AG:AG,""),
_xlpm.MacVal,_xlfn.XLOOKUP($A144,Output_Mac!$A:$A,Output_Mac!U:U,""),
_xlpm.MyAuditVal,_xlfn.XLOOKUP($A144,My_Audit!$A:$A,My_Audit!O:O,""),
_xlfn.IFS(_xlpm.MyAuditVal&lt;&gt;"",UPPER(_xlpm.MyAuditVal),_xlpm.MacVal&lt;&gt;"",_xlpm.MacVal,_xlpm.CSVVal&lt;&gt;"",_xlpm.CSVVal
)),"")</f>
        <v/>
      </c>
      <c r="O144" s="46" t="str">
        <f>_xlfn.XLOOKUP(C144,My_Audit!B:B,My_Audit!P:P,"")&amp;""</f>
        <v/>
      </c>
      <c r="P144" s="45"/>
      <c r="Q144" s="46" t="str">
        <f>IF(LEFT(N144,4)="Pass","Nist SP 800-88",My_Audit!R144)&amp;""</f>
        <v/>
      </c>
      <c r="R144" s="45"/>
      <c r="S144" s="45"/>
      <c r="T144" s="46" t="str">
        <f>_xlfn.XLOOKUP(E144,Models!I:I,Models!J:J,"")</f>
        <v/>
      </c>
      <c r="U144" s="45"/>
      <c r="V144" s="45"/>
      <c r="W144" s="38" t="str">
        <f>_xlfn.LET(
    _xlpm.MacVal, _xlfn.XLOOKUP($A144, Output_Mac!$A:$A, Output_Mac!AB:AB, ""),
    _xlpm.MyAuditVal, _xlfn.XLOOKUP($A144, My_Audit!$A:$A, My_Audit!L:L, ""),
    _xlfn.TEXTJOIN(", ", TRUE, _xlpm.MyAuditVal, _xlpm.MacVal)
)</f>
        <v/>
      </c>
    </row>
    <row r="145" spans="1:23">
      <c r="A145" s="45" t="str">
        <f>_xlfn.TEXTJOIN("",TRUE,Input!$B$2,ROW(My_Audit!A144))</f>
        <v>XX144</v>
      </c>
      <c r="B145" s="45" t="str">
        <f>_xlfn.TEXTJOIN("-",TRUE,"ITD",Input!$A$2,A145)</f>
        <v>ITD-SHRXXX-XX144</v>
      </c>
      <c r="C145" s="45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46" t="str" cm="1">
        <f t="array" ref="D145">IFERROR(_xlfn.LET(
_xlpm.CSVVal,_xlfn.XLOOKUP($A145,CSV!$A:$A,CSV!C:C,""),
_xlpm.MacVal,_xlfn.XLOOKUP($A145,Output_Mac!$A:$A,Output_Mac!D:D,""),
_xlpm.MyAuditVal,_xlfn.XLOOKUP($A145,My_Audit!$A:$A,My_Audit!C:C,""),
_xlfn.IFS(_xlpm.MyAuditVal&lt;&gt;"",UPPER(_xlpm.MyAuditVal),_xlpm.MacVal&lt;&gt;"",_xlpm.MacVal,_xlpm.CSVVal&lt;&gt;"",_xlpm.CSVVal
)),"")</f>
        <v/>
      </c>
      <c r="E145" s="46" t="str" cm="1">
        <f t="array" ref="E145">IFERROR(_xlfn.LET(
_xlpm.CSVVal,_xlfn.XLOOKUP($A145,CSV!$A:$A,CSV!E:E,""),
_xlpm.MacVal,_xlfn.XLOOKUP($A145,Output_Mac!$A:$A,Output_Mac!C:C,""),
_xlpm.MyAuditVal,_xlfn.XLOOKUP($A145,My_Audit!$A:$A,My_Audit!D:D,""),
_xlfn.IFS(_xlpm.MyAuditVal&lt;&gt;"",_xlpm.MyAuditVal,_xlpm.MacVal&lt;&gt;"",_xlpm.MacVal,_xlpm.CSVVal&lt;&gt;"",_xlpm.CSVVal
)),"")</f>
        <v/>
      </c>
      <c r="F145" s="45" t="str" cm="1">
        <f t="array" ref="F145">IFERROR(_xlfn.LET(
_xlpm.CSVVal,_xlfn.XLOOKUP($A145,CSV!$A:$A,CSV!F:F,""),
_xlpm.MacVal,_xlfn.XLOOKUP($A145,Output_Mac!$A:$A,Output_Mac!F:F,""),
_xlpm.MyAuditVal,_xlfn.XLOOKUP($A145,My_Audit!$A:$A,My_Audit!E:E,""),
_xlfn.IFS(_xlpm.MyAuditVal&lt;&gt;"",_xlpm.MyAuditVal,_xlpm.MacVal&lt;&gt;"",_xlpm.MacVal,_xlpm.CSVVal&lt;&gt;"",PROPER(_xlpm.CSVVal)
)),"")</f>
        <v/>
      </c>
      <c r="G145" s="45" t="str" cm="1">
        <f t="array" ref="G145">IFERROR(_xlfn.LET(
_xlpm.CSVVal,_xlfn.XLOOKUP($A145,CSV!$A:$A,CSV!G:G,""),
_xlpm.MacVal,_xlfn.XLOOKUP($A145,Output_Mac!$A:$A,Output_Mac!H:H,""),
_xlpm.MyAuditVal,_xlfn.XLOOKUP($A145,My_Audit!$A:$A,My_Audit!F:F,""),
_xlfn.IFS(_xlpm.MyAuditVal&lt;&gt;"",_xlpm.MyAuditVal,_xlpm.MacVal&lt;&gt;"",_xlpm.MacVal,_xlpm.CSVVal&lt;&gt;"",_xlpm.CSVVal
)),"")</f>
        <v/>
      </c>
      <c r="H145" s="45" t="str">
        <f>_xlfn.XLOOKUP(A145,Output_Mac!A:A,Output_Mac!I:I,"")</f>
        <v/>
      </c>
      <c r="I145" s="45" t="str" cm="1">
        <f t="array" ref="I145">IFERROR(_xlfn.LET(
_xlpm.CSVVal,_xlfn.XLOOKUP($A145,CSV!$A:$A,CSV!H:H,""),
_xlpm.MacVal,_xlfn.XLOOKUP($A145,Output_Mac!$A:$A,Output_Mac!J:J,""),
_xlpm.MyAuditVal,_xlfn.XLOOKUP($A145,My_Audit!$A:$A,My_Audit!H:H,""),
_xlfn.IFS(_xlpm.MyAuditVal&lt;&gt;"",UPPER(_xlpm.MyAuditVal),_xlpm.MacVal&lt;&gt;"",_xlpm.MacVal,_xlpm.CSVVal&lt;&gt;"",_xlpm.CSVVal
)),"")</f>
        <v/>
      </c>
      <c r="J145" s="45" t="str" cm="1">
        <f t="array" ref="J145">IFERROR(_xlfn.LET(
_xlpm.CSVVal,_xlfn.XLOOKUP($A145,CSV!$A:$A,CSV!J:J,""),
_xlpm.MacVal,_xlfn.XLOOKUP($A145,Output_Mac!$A:$A,Output_Mac!K:K,""),
_xlpm.MyAuditVal,_xlfn.XLOOKUP($A145,My_Audit!$A:$A,My_Audit!I:I,""),
_xlfn.IFS(_xlpm.MyAuditVal&lt;&gt;"",UPPER(_xlpm.MyAuditVal),_xlpm.MacVal&lt;&gt;"",_xlpm.MacVal,_xlpm.CSVVal&lt;&gt;"",_xlpm.CSVVal
)),"")</f>
        <v/>
      </c>
      <c r="K145" s="45" t="str" cm="1">
        <f t="array" ref="K145">IFERROR(_xlfn.LET(
_xlpm.CSVVal,_xlfn.XLOOKUP($A145,CSV!$A:$A,CSV!N:N,""),
_xlpm.MacVal,_xlfn.XLOOKUP($A145,Output_Mac!$A:$A,Output_Mac!L:L,""),
_xlpm.MyAuditVal,_xlfn.XLOOKUP($A145,My_Audit!$A:$A,My_Audit!J:J,""),
_xlfn.IFS(_xlpm.MyAuditVal&lt;&gt;"",UPPER(_xlpm.MyAuditVal),_xlpm.MacVal&lt;&gt;"",_xlpm.MacVal,_xlpm.CSVVal&lt;&gt;"",_xlpm.CSVVal
)),"")</f>
        <v/>
      </c>
      <c r="L145" s="46" t="str" cm="1">
        <f t="array" ref="L145">IFERROR(_xlfn.LET(
_xlpm.CSVVal,_xlfn.XLOOKUP($A145,CSV!$A:$A,CSV!Q:Q,""),
_xlpm.MacVal,_xlfn.XLOOKUP($A145,Output_Mac!$A:$A,Output_Mac!M:M,""),
_xlpm.MyAuditVal,_xlfn.XLOOKUP($A145,My_Audit!$A:$A,My_Audit!K:K,""),
_xlfn.IFS(_xlpm.MyAuditVal&lt;&gt;"",UPPER(_xlpm.MyAuditVal),_xlpm.MacVal&lt;&gt;"",_xlpm.MacVal,_xlpm.CSVVal&lt;&gt;"",_xlpm.CSVVal
)),"")</f>
        <v/>
      </c>
      <c r="M145" s="45" t="str">
        <f>_xlfn.LET(
    _xlpm.CSVVal, _xlfn.XLOOKUP($A145, CSV!$A:$A, CSV!AE:AE, ""),
    _xlpm.MacVal, _xlfn.XLOOKUP($A145, Output_Mac!$A:$A, Output_Mac!S:S, ""),
    _xlpm.MyAuditVal, _xlfn.XLOOKUP($A145, My_Audit!$A:$A, My_Audit!N:N, ""),
    _xlfn.TEXTJOIN(", ", TRUE, _xlpm.MyAuditVal, _xlpm.MacVal, _xlpm.CSVVal)
)</f>
        <v/>
      </c>
      <c r="N145" s="45" t="str" cm="1">
        <f t="array" ref="N145">IFERROR(_xlfn.LET(
_xlpm.CSVVal,_xlfn.XLOOKUP($A145,CSV!$A:$A,CSV!AG:AG,""),
_xlpm.MacVal,_xlfn.XLOOKUP($A145,Output_Mac!$A:$A,Output_Mac!U:U,""),
_xlpm.MyAuditVal,_xlfn.XLOOKUP($A145,My_Audit!$A:$A,My_Audit!O:O,""),
_xlfn.IFS(_xlpm.MyAuditVal&lt;&gt;"",UPPER(_xlpm.MyAuditVal),_xlpm.MacVal&lt;&gt;"",_xlpm.MacVal,_xlpm.CSVVal&lt;&gt;"",_xlpm.CSVVal
)),"")</f>
        <v/>
      </c>
      <c r="O145" s="46" t="str">
        <f>_xlfn.XLOOKUP(C145,My_Audit!B:B,My_Audit!P:P,"")&amp;""</f>
        <v/>
      </c>
      <c r="P145" s="45"/>
      <c r="Q145" s="46" t="str">
        <f>IF(LEFT(N145,4)="Pass","Nist SP 800-88",My_Audit!R145)&amp;""</f>
        <v/>
      </c>
      <c r="R145" s="45"/>
      <c r="S145" s="45"/>
      <c r="T145" s="46" t="str">
        <f>_xlfn.XLOOKUP(E145,Models!I:I,Models!J:J,"")</f>
        <v/>
      </c>
      <c r="U145" s="45"/>
      <c r="V145" s="45"/>
      <c r="W145" s="38" t="str">
        <f>_xlfn.LET(
    _xlpm.MacVal, _xlfn.XLOOKUP($A145, Output_Mac!$A:$A, Output_Mac!AB:AB, ""),
    _xlpm.MyAuditVal, _xlfn.XLOOKUP($A145, My_Audit!$A:$A, My_Audit!L:L, ""),
    _xlfn.TEXTJOIN(", ", TRUE, _xlpm.MyAuditVal, _xlpm.MacVal)
)</f>
        <v/>
      </c>
    </row>
    <row r="146" spans="1:23">
      <c r="A146" s="45" t="str">
        <f>_xlfn.TEXTJOIN("",TRUE,Input!$B$2,ROW(My_Audit!A145))</f>
        <v>XX145</v>
      </c>
      <c r="B146" s="45" t="str">
        <f>_xlfn.TEXTJOIN("-",TRUE,"ITD",Input!$A$2,A146)</f>
        <v>ITD-SHRXXX-XX145</v>
      </c>
      <c r="C146" s="45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46" t="str" cm="1">
        <f t="array" ref="D146">IFERROR(_xlfn.LET(
_xlpm.CSVVal,_xlfn.XLOOKUP($A146,CSV!$A:$A,CSV!C:C,""),
_xlpm.MacVal,_xlfn.XLOOKUP($A146,Output_Mac!$A:$A,Output_Mac!D:D,""),
_xlpm.MyAuditVal,_xlfn.XLOOKUP($A146,My_Audit!$A:$A,My_Audit!C:C,""),
_xlfn.IFS(_xlpm.MyAuditVal&lt;&gt;"",UPPER(_xlpm.MyAuditVal),_xlpm.MacVal&lt;&gt;"",_xlpm.MacVal,_xlpm.CSVVal&lt;&gt;"",_xlpm.CSVVal
)),"")</f>
        <v/>
      </c>
      <c r="E146" s="46" t="str" cm="1">
        <f t="array" ref="E146">IFERROR(_xlfn.LET(
_xlpm.CSVVal,_xlfn.XLOOKUP($A146,CSV!$A:$A,CSV!E:E,""),
_xlpm.MacVal,_xlfn.XLOOKUP($A146,Output_Mac!$A:$A,Output_Mac!C:C,""),
_xlpm.MyAuditVal,_xlfn.XLOOKUP($A146,My_Audit!$A:$A,My_Audit!D:D,""),
_xlfn.IFS(_xlpm.MyAuditVal&lt;&gt;"",_xlpm.MyAuditVal,_xlpm.MacVal&lt;&gt;"",_xlpm.MacVal,_xlpm.CSVVal&lt;&gt;"",_xlpm.CSVVal
)),"")</f>
        <v/>
      </c>
      <c r="F146" s="45" t="str" cm="1">
        <f t="array" ref="F146">IFERROR(_xlfn.LET(
_xlpm.CSVVal,_xlfn.XLOOKUP($A146,CSV!$A:$A,CSV!F:F,""),
_xlpm.MacVal,_xlfn.XLOOKUP($A146,Output_Mac!$A:$A,Output_Mac!F:F,""),
_xlpm.MyAuditVal,_xlfn.XLOOKUP($A146,My_Audit!$A:$A,My_Audit!E:E,""),
_xlfn.IFS(_xlpm.MyAuditVal&lt;&gt;"",_xlpm.MyAuditVal,_xlpm.MacVal&lt;&gt;"",_xlpm.MacVal,_xlpm.CSVVal&lt;&gt;"",PROPER(_xlpm.CSVVal)
)),"")</f>
        <v/>
      </c>
      <c r="G146" s="45" t="str" cm="1">
        <f t="array" ref="G146">IFERROR(_xlfn.LET(
_xlpm.CSVVal,_xlfn.XLOOKUP($A146,CSV!$A:$A,CSV!G:G,""),
_xlpm.MacVal,_xlfn.XLOOKUP($A146,Output_Mac!$A:$A,Output_Mac!H:H,""),
_xlpm.MyAuditVal,_xlfn.XLOOKUP($A146,My_Audit!$A:$A,My_Audit!F:F,""),
_xlfn.IFS(_xlpm.MyAuditVal&lt;&gt;"",_xlpm.MyAuditVal,_xlpm.MacVal&lt;&gt;"",_xlpm.MacVal,_xlpm.CSVVal&lt;&gt;"",_xlpm.CSVVal
)),"")</f>
        <v/>
      </c>
      <c r="H146" s="45" t="str">
        <f>_xlfn.XLOOKUP(A146,Output_Mac!A:A,Output_Mac!I:I,"")</f>
        <v/>
      </c>
      <c r="I146" s="45" t="str" cm="1">
        <f t="array" ref="I146">IFERROR(_xlfn.LET(
_xlpm.CSVVal,_xlfn.XLOOKUP($A146,CSV!$A:$A,CSV!H:H,""),
_xlpm.MacVal,_xlfn.XLOOKUP($A146,Output_Mac!$A:$A,Output_Mac!J:J,""),
_xlpm.MyAuditVal,_xlfn.XLOOKUP($A146,My_Audit!$A:$A,My_Audit!H:H,""),
_xlfn.IFS(_xlpm.MyAuditVal&lt;&gt;"",UPPER(_xlpm.MyAuditVal),_xlpm.MacVal&lt;&gt;"",_xlpm.MacVal,_xlpm.CSVVal&lt;&gt;"",_xlpm.CSVVal
)),"")</f>
        <v/>
      </c>
      <c r="J146" s="45" t="str" cm="1">
        <f t="array" ref="J146">IFERROR(_xlfn.LET(
_xlpm.CSVVal,_xlfn.XLOOKUP($A146,CSV!$A:$A,CSV!J:J,""),
_xlpm.MacVal,_xlfn.XLOOKUP($A146,Output_Mac!$A:$A,Output_Mac!K:K,""),
_xlpm.MyAuditVal,_xlfn.XLOOKUP($A146,My_Audit!$A:$A,My_Audit!I:I,""),
_xlfn.IFS(_xlpm.MyAuditVal&lt;&gt;"",UPPER(_xlpm.MyAuditVal),_xlpm.MacVal&lt;&gt;"",_xlpm.MacVal,_xlpm.CSVVal&lt;&gt;"",_xlpm.CSVVal
)),"")</f>
        <v/>
      </c>
      <c r="K146" s="45" t="str" cm="1">
        <f t="array" ref="K146">IFERROR(_xlfn.LET(
_xlpm.CSVVal,_xlfn.XLOOKUP($A146,CSV!$A:$A,CSV!N:N,""),
_xlpm.MacVal,_xlfn.XLOOKUP($A146,Output_Mac!$A:$A,Output_Mac!L:L,""),
_xlpm.MyAuditVal,_xlfn.XLOOKUP($A146,My_Audit!$A:$A,My_Audit!J:J,""),
_xlfn.IFS(_xlpm.MyAuditVal&lt;&gt;"",UPPER(_xlpm.MyAuditVal),_xlpm.MacVal&lt;&gt;"",_xlpm.MacVal,_xlpm.CSVVal&lt;&gt;"",_xlpm.CSVVal
)),"")</f>
        <v/>
      </c>
      <c r="L146" s="46" t="str" cm="1">
        <f t="array" ref="L146">IFERROR(_xlfn.LET(
_xlpm.CSVVal,_xlfn.XLOOKUP($A146,CSV!$A:$A,CSV!Q:Q,""),
_xlpm.MacVal,_xlfn.XLOOKUP($A146,Output_Mac!$A:$A,Output_Mac!M:M,""),
_xlpm.MyAuditVal,_xlfn.XLOOKUP($A146,My_Audit!$A:$A,My_Audit!K:K,""),
_xlfn.IFS(_xlpm.MyAuditVal&lt;&gt;"",UPPER(_xlpm.MyAuditVal),_xlpm.MacVal&lt;&gt;"",_xlpm.MacVal,_xlpm.CSVVal&lt;&gt;"",_xlpm.CSVVal
)),"")</f>
        <v/>
      </c>
      <c r="M146" s="45" t="str">
        <f>_xlfn.LET(
    _xlpm.CSVVal, _xlfn.XLOOKUP($A146, CSV!$A:$A, CSV!AE:AE, ""),
    _xlpm.MacVal, _xlfn.XLOOKUP($A146, Output_Mac!$A:$A, Output_Mac!S:S, ""),
    _xlpm.MyAuditVal, _xlfn.XLOOKUP($A146, My_Audit!$A:$A, My_Audit!N:N, ""),
    _xlfn.TEXTJOIN(", ", TRUE, _xlpm.MyAuditVal, _xlpm.MacVal, _xlpm.CSVVal)
)</f>
        <v/>
      </c>
      <c r="N146" s="45" t="str" cm="1">
        <f t="array" ref="N146">IFERROR(_xlfn.LET(
_xlpm.CSVVal,_xlfn.XLOOKUP($A146,CSV!$A:$A,CSV!AG:AG,""),
_xlpm.MacVal,_xlfn.XLOOKUP($A146,Output_Mac!$A:$A,Output_Mac!U:U,""),
_xlpm.MyAuditVal,_xlfn.XLOOKUP($A146,My_Audit!$A:$A,My_Audit!O:O,""),
_xlfn.IFS(_xlpm.MyAuditVal&lt;&gt;"",UPPER(_xlpm.MyAuditVal),_xlpm.MacVal&lt;&gt;"",_xlpm.MacVal,_xlpm.CSVVal&lt;&gt;"",_xlpm.CSVVal
)),"")</f>
        <v/>
      </c>
      <c r="O146" s="46" t="str">
        <f>_xlfn.XLOOKUP(C146,My_Audit!B:B,My_Audit!P:P,"")&amp;""</f>
        <v/>
      </c>
      <c r="P146" s="45"/>
      <c r="Q146" s="46" t="str">
        <f>IF(LEFT(N146,4)="Pass","Nist SP 800-88",My_Audit!R146)&amp;""</f>
        <v/>
      </c>
      <c r="R146" s="45"/>
      <c r="S146" s="45"/>
      <c r="T146" s="46" t="str">
        <f>_xlfn.XLOOKUP(E146,Models!I:I,Models!J:J,"")</f>
        <v/>
      </c>
      <c r="U146" s="45"/>
      <c r="V146" s="45"/>
      <c r="W146" s="38" t="str">
        <f>_xlfn.LET(
    _xlpm.MacVal, _xlfn.XLOOKUP($A146, Output_Mac!$A:$A, Output_Mac!AB:AB, ""),
    _xlpm.MyAuditVal, _xlfn.XLOOKUP($A146, My_Audit!$A:$A, My_Audit!L:L, ""),
    _xlfn.TEXTJOIN(", ", TRUE, _xlpm.MyAuditVal, _xlpm.MacVal)
)</f>
        <v/>
      </c>
    </row>
    <row r="147" spans="1:23">
      <c r="A147" s="45" t="str">
        <f>_xlfn.TEXTJOIN("",TRUE,Input!$B$2,ROW(My_Audit!A146))</f>
        <v>XX146</v>
      </c>
      <c r="B147" s="45" t="str">
        <f>_xlfn.TEXTJOIN("-",TRUE,"ITD",Input!$A$2,A147)</f>
        <v>ITD-SHRXXX-XX146</v>
      </c>
      <c r="C147" s="45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46" t="str" cm="1">
        <f t="array" ref="D147">IFERROR(_xlfn.LET(
_xlpm.CSVVal,_xlfn.XLOOKUP($A147,CSV!$A:$A,CSV!C:C,""),
_xlpm.MacVal,_xlfn.XLOOKUP($A147,Output_Mac!$A:$A,Output_Mac!D:D,""),
_xlpm.MyAuditVal,_xlfn.XLOOKUP($A147,My_Audit!$A:$A,My_Audit!C:C,""),
_xlfn.IFS(_xlpm.MyAuditVal&lt;&gt;"",UPPER(_xlpm.MyAuditVal),_xlpm.MacVal&lt;&gt;"",_xlpm.MacVal,_xlpm.CSVVal&lt;&gt;"",_xlpm.CSVVal
)),"")</f>
        <v/>
      </c>
      <c r="E147" s="46" t="str" cm="1">
        <f t="array" ref="E147">IFERROR(_xlfn.LET(
_xlpm.CSVVal,_xlfn.XLOOKUP($A147,CSV!$A:$A,CSV!E:E,""),
_xlpm.MacVal,_xlfn.XLOOKUP($A147,Output_Mac!$A:$A,Output_Mac!C:C,""),
_xlpm.MyAuditVal,_xlfn.XLOOKUP($A147,My_Audit!$A:$A,My_Audit!D:D,""),
_xlfn.IFS(_xlpm.MyAuditVal&lt;&gt;"",_xlpm.MyAuditVal,_xlpm.MacVal&lt;&gt;"",_xlpm.MacVal,_xlpm.CSVVal&lt;&gt;"",_xlpm.CSVVal
)),"")</f>
        <v/>
      </c>
      <c r="F147" s="45" t="str" cm="1">
        <f t="array" ref="F147">IFERROR(_xlfn.LET(
_xlpm.CSVVal,_xlfn.XLOOKUP($A147,CSV!$A:$A,CSV!F:F,""),
_xlpm.MacVal,_xlfn.XLOOKUP($A147,Output_Mac!$A:$A,Output_Mac!F:F,""),
_xlpm.MyAuditVal,_xlfn.XLOOKUP($A147,My_Audit!$A:$A,My_Audit!E:E,""),
_xlfn.IFS(_xlpm.MyAuditVal&lt;&gt;"",_xlpm.MyAuditVal,_xlpm.MacVal&lt;&gt;"",_xlpm.MacVal,_xlpm.CSVVal&lt;&gt;"",PROPER(_xlpm.CSVVal)
)),"")</f>
        <v/>
      </c>
      <c r="G147" s="45" t="str" cm="1">
        <f t="array" ref="G147">IFERROR(_xlfn.LET(
_xlpm.CSVVal,_xlfn.XLOOKUP($A147,CSV!$A:$A,CSV!G:G,""),
_xlpm.MacVal,_xlfn.XLOOKUP($A147,Output_Mac!$A:$A,Output_Mac!H:H,""),
_xlpm.MyAuditVal,_xlfn.XLOOKUP($A147,My_Audit!$A:$A,My_Audit!F:F,""),
_xlfn.IFS(_xlpm.MyAuditVal&lt;&gt;"",_xlpm.MyAuditVal,_xlpm.MacVal&lt;&gt;"",_xlpm.MacVal,_xlpm.CSVVal&lt;&gt;"",_xlpm.CSVVal
)),"")</f>
        <v/>
      </c>
      <c r="H147" s="45" t="str">
        <f>_xlfn.XLOOKUP(A147,Output_Mac!A:A,Output_Mac!I:I,"")</f>
        <v/>
      </c>
      <c r="I147" s="45" t="str" cm="1">
        <f t="array" ref="I147">IFERROR(_xlfn.LET(
_xlpm.CSVVal,_xlfn.XLOOKUP($A147,CSV!$A:$A,CSV!H:H,""),
_xlpm.MacVal,_xlfn.XLOOKUP($A147,Output_Mac!$A:$A,Output_Mac!J:J,""),
_xlpm.MyAuditVal,_xlfn.XLOOKUP($A147,My_Audit!$A:$A,My_Audit!H:H,""),
_xlfn.IFS(_xlpm.MyAuditVal&lt;&gt;"",UPPER(_xlpm.MyAuditVal),_xlpm.MacVal&lt;&gt;"",_xlpm.MacVal,_xlpm.CSVVal&lt;&gt;"",_xlpm.CSVVal
)),"")</f>
        <v/>
      </c>
      <c r="J147" s="45" t="str" cm="1">
        <f t="array" ref="J147">IFERROR(_xlfn.LET(
_xlpm.CSVVal,_xlfn.XLOOKUP($A147,CSV!$A:$A,CSV!J:J,""),
_xlpm.MacVal,_xlfn.XLOOKUP($A147,Output_Mac!$A:$A,Output_Mac!K:K,""),
_xlpm.MyAuditVal,_xlfn.XLOOKUP($A147,My_Audit!$A:$A,My_Audit!I:I,""),
_xlfn.IFS(_xlpm.MyAuditVal&lt;&gt;"",UPPER(_xlpm.MyAuditVal),_xlpm.MacVal&lt;&gt;"",_xlpm.MacVal,_xlpm.CSVVal&lt;&gt;"",_xlpm.CSVVal
)),"")</f>
        <v/>
      </c>
      <c r="K147" s="45" t="str" cm="1">
        <f t="array" ref="K147">IFERROR(_xlfn.LET(
_xlpm.CSVVal,_xlfn.XLOOKUP($A147,CSV!$A:$A,CSV!N:N,""),
_xlpm.MacVal,_xlfn.XLOOKUP($A147,Output_Mac!$A:$A,Output_Mac!L:L,""),
_xlpm.MyAuditVal,_xlfn.XLOOKUP($A147,My_Audit!$A:$A,My_Audit!J:J,""),
_xlfn.IFS(_xlpm.MyAuditVal&lt;&gt;"",UPPER(_xlpm.MyAuditVal),_xlpm.MacVal&lt;&gt;"",_xlpm.MacVal,_xlpm.CSVVal&lt;&gt;"",_xlpm.CSVVal
)),"")</f>
        <v/>
      </c>
      <c r="L147" s="46" t="str" cm="1">
        <f t="array" ref="L147">IFERROR(_xlfn.LET(
_xlpm.CSVVal,_xlfn.XLOOKUP($A147,CSV!$A:$A,CSV!Q:Q,""),
_xlpm.MacVal,_xlfn.XLOOKUP($A147,Output_Mac!$A:$A,Output_Mac!M:M,""),
_xlpm.MyAuditVal,_xlfn.XLOOKUP($A147,My_Audit!$A:$A,My_Audit!K:K,""),
_xlfn.IFS(_xlpm.MyAuditVal&lt;&gt;"",UPPER(_xlpm.MyAuditVal),_xlpm.MacVal&lt;&gt;"",_xlpm.MacVal,_xlpm.CSVVal&lt;&gt;"",_xlpm.CSVVal
)),"")</f>
        <v/>
      </c>
      <c r="M147" s="45" t="str">
        <f>_xlfn.LET(
    _xlpm.CSVVal, _xlfn.XLOOKUP($A147, CSV!$A:$A, CSV!AE:AE, ""),
    _xlpm.MacVal, _xlfn.XLOOKUP($A147, Output_Mac!$A:$A, Output_Mac!S:S, ""),
    _xlpm.MyAuditVal, _xlfn.XLOOKUP($A147, My_Audit!$A:$A, My_Audit!N:N, ""),
    _xlfn.TEXTJOIN(", ", TRUE, _xlpm.MyAuditVal, _xlpm.MacVal, _xlpm.CSVVal)
)</f>
        <v/>
      </c>
      <c r="N147" s="45" t="str" cm="1">
        <f t="array" ref="N147">IFERROR(_xlfn.LET(
_xlpm.CSVVal,_xlfn.XLOOKUP($A147,CSV!$A:$A,CSV!AG:AG,""),
_xlpm.MacVal,_xlfn.XLOOKUP($A147,Output_Mac!$A:$A,Output_Mac!U:U,""),
_xlpm.MyAuditVal,_xlfn.XLOOKUP($A147,My_Audit!$A:$A,My_Audit!O:O,""),
_xlfn.IFS(_xlpm.MyAuditVal&lt;&gt;"",UPPER(_xlpm.MyAuditVal),_xlpm.MacVal&lt;&gt;"",_xlpm.MacVal,_xlpm.CSVVal&lt;&gt;"",_xlpm.CSVVal
)),"")</f>
        <v/>
      </c>
      <c r="O147" s="46" t="str">
        <f>_xlfn.XLOOKUP(C147,My_Audit!B:B,My_Audit!P:P,"")&amp;""</f>
        <v/>
      </c>
      <c r="P147" s="45"/>
      <c r="Q147" s="46" t="str">
        <f>IF(LEFT(N147,4)="Pass","Nist SP 800-88",My_Audit!R147)&amp;""</f>
        <v/>
      </c>
      <c r="R147" s="45"/>
      <c r="S147" s="45"/>
      <c r="T147" s="46" t="str">
        <f>_xlfn.XLOOKUP(E147,Models!I:I,Models!J:J,"")</f>
        <v/>
      </c>
      <c r="U147" s="45"/>
      <c r="V147" s="45"/>
      <c r="W147" s="38" t="str">
        <f>_xlfn.LET(
    _xlpm.MacVal, _xlfn.XLOOKUP($A147, Output_Mac!$A:$A, Output_Mac!AB:AB, ""),
    _xlpm.MyAuditVal, _xlfn.XLOOKUP($A147, My_Audit!$A:$A, My_Audit!L:L, ""),
    _xlfn.TEXTJOIN(", ", TRUE, _xlpm.MyAuditVal, _xlpm.MacVal)
)</f>
        <v/>
      </c>
    </row>
    <row r="148" spans="1:23">
      <c r="A148" s="45" t="str">
        <f>_xlfn.TEXTJOIN("",TRUE,Input!$B$2,ROW(My_Audit!A147))</f>
        <v>XX147</v>
      </c>
      <c r="B148" s="45" t="str">
        <f>_xlfn.TEXTJOIN("-",TRUE,"ITD",Input!$A$2,A148)</f>
        <v>ITD-SHRXXX-XX147</v>
      </c>
      <c r="C148" s="45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46" t="str" cm="1">
        <f t="array" ref="D148">IFERROR(_xlfn.LET(
_xlpm.CSVVal,_xlfn.XLOOKUP($A148,CSV!$A:$A,CSV!C:C,""),
_xlpm.MacVal,_xlfn.XLOOKUP($A148,Output_Mac!$A:$A,Output_Mac!D:D,""),
_xlpm.MyAuditVal,_xlfn.XLOOKUP($A148,My_Audit!$A:$A,My_Audit!C:C,""),
_xlfn.IFS(_xlpm.MyAuditVal&lt;&gt;"",UPPER(_xlpm.MyAuditVal),_xlpm.MacVal&lt;&gt;"",_xlpm.MacVal,_xlpm.CSVVal&lt;&gt;"",_xlpm.CSVVal
)),"")</f>
        <v/>
      </c>
      <c r="E148" s="46" t="str" cm="1">
        <f t="array" ref="E148">IFERROR(_xlfn.LET(
_xlpm.CSVVal,_xlfn.XLOOKUP($A148,CSV!$A:$A,CSV!E:E,""),
_xlpm.MacVal,_xlfn.XLOOKUP($A148,Output_Mac!$A:$A,Output_Mac!C:C,""),
_xlpm.MyAuditVal,_xlfn.XLOOKUP($A148,My_Audit!$A:$A,My_Audit!D:D,""),
_xlfn.IFS(_xlpm.MyAuditVal&lt;&gt;"",_xlpm.MyAuditVal,_xlpm.MacVal&lt;&gt;"",_xlpm.MacVal,_xlpm.CSVVal&lt;&gt;"",_xlpm.CSVVal
)),"")</f>
        <v/>
      </c>
      <c r="F148" s="45" t="str" cm="1">
        <f t="array" ref="F148">IFERROR(_xlfn.LET(
_xlpm.CSVVal,_xlfn.XLOOKUP($A148,CSV!$A:$A,CSV!F:F,""),
_xlpm.MacVal,_xlfn.XLOOKUP($A148,Output_Mac!$A:$A,Output_Mac!F:F,""),
_xlpm.MyAuditVal,_xlfn.XLOOKUP($A148,My_Audit!$A:$A,My_Audit!E:E,""),
_xlfn.IFS(_xlpm.MyAuditVal&lt;&gt;"",_xlpm.MyAuditVal,_xlpm.MacVal&lt;&gt;"",_xlpm.MacVal,_xlpm.CSVVal&lt;&gt;"",PROPER(_xlpm.CSVVal)
)),"")</f>
        <v/>
      </c>
      <c r="G148" s="45" t="str" cm="1">
        <f t="array" ref="G148">IFERROR(_xlfn.LET(
_xlpm.CSVVal,_xlfn.XLOOKUP($A148,CSV!$A:$A,CSV!G:G,""),
_xlpm.MacVal,_xlfn.XLOOKUP($A148,Output_Mac!$A:$A,Output_Mac!H:H,""),
_xlpm.MyAuditVal,_xlfn.XLOOKUP($A148,My_Audit!$A:$A,My_Audit!F:F,""),
_xlfn.IFS(_xlpm.MyAuditVal&lt;&gt;"",_xlpm.MyAuditVal,_xlpm.MacVal&lt;&gt;"",_xlpm.MacVal,_xlpm.CSVVal&lt;&gt;"",_xlpm.CSVVal
)),"")</f>
        <v/>
      </c>
      <c r="H148" s="45" t="str">
        <f>_xlfn.XLOOKUP(A148,Output_Mac!A:A,Output_Mac!I:I,"")</f>
        <v/>
      </c>
      <c r="I148" s="45" t="str" cm="1">
        <f t="array" ref="I148">IFERROR(_xlfn.LET(
_xlpm.CSVVal,_xlfn.XLOOKUP($A148,CSV!$A:$A,CSV!H:H,""),
_xlpm.MacVal,_xlfn.XLOOKUP($A148,Output_Mac!$A:$A,Output_Mac!J:J,""),
_xlpm.MyAuditVal,_xlfn.XLOOKUP($A148,My_Audit!$A:$A,My_Audit!H:H,""),
_xlfn.IFS(_xlpm.MyAuditVal&lt;&gt;"",UPPER(_xlpm.MyAuditVal),_xlpm.MacVal&lt;&gt;"",_xlpm.MacVal,_xlpm.CSVVal&lt;&gt;"",_xlpm.CSVVal
)),"")</f>
        <v/>
      </c>
      <c r="J148" s="45" t="str" cm="1">
        <f t="array" ref="J148">IFERROR(_xlfn.LET(
_xlpm.CSVVal,_xlfn.XLOOKUP($A148,CSV!$A:$A,CSV!J:J,""),
_xlpm.MacVal,_xlfn.XLOOKUP($A148,Output_Mac!$A:$A,Output_Mac!K:K,""),
_xlpm.MyAuditVal,_xlfn.XLOOKUP($A148,My_Audit!$A:$A,My_Audit!I:I,""),
_xlfn.IFS(_xlpm.MyAuditVal&lt;&gt;"",UPPER(_xlpm.MyAuditVal),_xlpm.MacVal&lt;&gt;"",_xlpm.MacVal,_xlpm.CSVVal&lt;&gt;"",_xlpm.CSVVal
)),"")</f>
        <v/>
      </c>
      <c r="K148" s="45" t="str" cm="1">
        <f t="array" ref="K148">IFERROR(_xlfn.LET(
_xlpm.CSVVal,_xlfn.XLOOKUP($A148,CSV!$A:$A,CSV!N:N,""),
_xlpm.MacVal,_xlfn.XLOOKUP($A148,Output_Mac!$A:$A,Output_Mac!L:L,""),
_xlpm.MyAuditVal,_xlfn.XLOOKUP($A148,My_Audit!$A:$A,My_Audit!J:J,""),
_xlfn.IFS(_xlpm.MyAuditVal&lt;&gt;"",UPPER(_xlpm.MyAuditVal),_xlpm.MacVal&lt;&gt;"",_xlpm.MacVal,_xlpm.CSVVal&lt;&gt;"",_xlpm.CSVVal
)),"")</f>
        <v/>
      </c>
      <c r="L148" s="46" t="str" cm="1">
        <f t="array" ref="L148">IFERROR(_xlfn.LET(
_xlpm.CSVVal,_xlfn.XLOOKUP($A148,CSV!$A:$A,CSV!Q:Q,""),
_xlpm.MacVal,_xlfn.XLOOKUP($A148,Output_Mac!$A:$A,Output_Mac!M:M,""),
_xlpm.MyAuditVal,_xlfn.XLOOKUP($A148,My_Audit!$A:$A,My_Audit!K:K,""),
_xlfn.IFS(_xlpm.MyAuditVal&lt;&gt;"",UPPER(_xlpm.MyAuditVal),_xlpm.MacVal&lt;&gt;"",_xlpm.MacVal,_xlpm.CSVVal&lt;&gt;"",_xlpm.CSVVal
)),"")</f>
        <v/>
      </c>
      <c r="M148" s="45" t="str">
        <f>_xlfn.LET(
    _xlpm.CSVVal, _xlfn.XLOOKUP($A148, CSV!$A:$A, CSV!AE:AE, ""),
    _xlpm.MacVal, _xlfn.XLOOKUP($A148, Output_Mac!$A:$A, Output_Mac!S:S, ""),
    _xlpm.MyAuditVal, _xlfn.XLOOKUP($A148, My_Audit!$A:$A, My_Audit!N:N, ""),
    _xlfn.TEXTJOIN(", ", TRUE, _xlpm.MyAuditVal, _xlpm.MacVal, _xlpm.CSVVal)
)</f>
        <v/>
      </c>
      <c r="N148" s="45" t="str" cm="1">
        <f t="array" ref="N148">IFERROR(_xlfn.LET(
_xlpm.CSVVal,_xlfn.XLOOKUP($A148,CSV!$A:$A,CSV!AG:AG,""),
_xlpm.MacVal,_xlfn.XLOOKUP($A148,Output_Mac!$A:$A,Output_Mac!U:U,""),
_xlpm.MyAuditVal,_xlfn.XLOOKUP($A148,My_Audit!$A:$A,My_Audit!O:O,""),
_xlfn.IFS(_xlpm.MyAuditVal&lt;&gt;"",UPPER(_xlpm.MyAuditVal),_xlpm.MacVal&lt;&gt;"",_xlpm.MacVal,_xlpm.CSVVal&lt;&gt;"",_xlpm.CSVVal
)),"")</f>
        <v/>
      </c>
      <c r="O148" s="46" t="str">
        <f>_xlfn.XLOOKUP(C148,My_Audit!B:B,My_Audit!P:P,"")&amp;""</f>
        <v/>
      </c>
      <c r="P148" s="45"/>
      <c r="Q148" s="46" t="str">
        <f>IF(LEFT(N148,4)="Pass","Nist SP 800-88",My_Audit!R148)&amp;""</f>
        <v/>
      </c>
      <c r="R148" s="45"/>
      <c r="S148" s="45"/>
      <c r="T148" s="46" t="str">
        <f>_xlfn.XLOOKUP(E148,Models!I:I,Models!J:J,"")</f>
        <v/>
      </c>
      <c r="U148" s="45"/>
      <c r="V148" s="45"/>
      <c r="W148" s="38" t="str">
        <f>_xlfn.LET(
    _xlpm.MacVal, _xlfn.XLOOKUP($A148, Output_Mac!$A:$A, Output_Mac!AB:AB, ""),
    _xlpm.MyAuditVal, _xlfn.XLOOKUP($A148, My_Audit!$A:$A, My_Audit!L:L, ""),
    _xlfn.TEXTJOIN(", ", TRUE, _xlpm.MyAuditVal, _xlpm.MacVal)
)</f>
        <v/>
      </c>
    </row>
    <row r="149" spans="1:23">
      <c r="A149" s="45" t="str">
        <f>_xlfn.TEXTJOIN("",TRUE,Input!$B$2,ROW(My_Audit!A148))</f>
        <v>XX148</v>
      </c>
      <c r="B149" s="45" t="str">
        <f>_xlfn.TEXTJOIN("-",TRUE,"ITD",Input!$A$2,A149)</f>
        <v>ITD-SHRXXX-XX148</v>
      </c>
      <c r="C149" s="45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46" t="str" cm="1">
        <f t="array" ref="D149">IFERROR(_xlfn.LET(
_xlpm.CSVVal,_xlfn.XLOOKUP($A149,CSV!$A:$A,CSV!C:C,""),
_xlpm.MacVal,_xlfn.XLOOKUP($A149,Output_Mac!$A:$A,Output_Mac!D:D,""),
_xlpm.MyAuditVal,_xlfn.XLOOKUP($A149,My_Audit!$A:$A,My_Audit!C:C,""),
_xlfn.IFS(_xlpm.MyAuditVal&lt;&gt;"",UPPER(_xlpm.MyAuditVal),_xlpm.MacVal&lt;&gt;"",_xlpm.MacVal,_xlpm.CSVVal&lt;&gt;"",_xlpm.CSVVal
)),"")</f>
        <v/>
      </c>
      <c r="E149" s="46" t="str" cm="1">
        <f t="array" ref="E149">IFERROR(_xlfn.LET(
_xlpm.CSVVal,_xlfn.XLOOKUP($A149,CSV!$A:$A,CSV!E:E,""),
_xlpm.MacVal,_xlfn.XLOOKUP($A149,Output_Mac!$A:$A,Output_Mac!C:C,""),
_xlpm.MyAuditVal,_xlfn.XLOOKUP($A149,My_Audit!$A:$A,My_Audit!D:D,""),
_xlfn.IFS(_xlpm.MyAuditVal&lt;&gt;"",_xlpm.MyAuditVal,_xlpm.MacVal&lt;&gt;"",_xlpm.MacVal,_xlpm.CSVVal&lt;&gt;"",_xlpm.CSVVal
)),"")</f>
        <v/>
      </c>
      <c r="F149" s="45" t="str" cm="1">
        <f t="array" ref="F149">IFERROR(_xlfn.LET(
_xlpm.CSVVal,_xlfn.XLOOKUP($A149,CSV!$A:$A,CSV!F:F,""),
_xlpm.MacVal,_xlfn.XLOOKUP($A149,Output_Mac!$A:$A,Output_Mac!F:F,""),
_xlpm.MyAuditVal,_xlfn.XLOOKUP($A149,My_Audit!$A:$A,My_Audit!E:E,""),
_xlfn.IFS(_xlpm.MyAuditVal&lt;&gt;"",_xlpm.MyAuditVal,_xlpm.MacVal&lt;&gt;"",_xlpm.MacVal,_xlpm.CSVVal&lt;&gt;"",PROPER(_xlpm.CSVVal)
)),"")</f>
        <v/>
      </c>
      <c r="G149" s="45" t="str" cm="1">
        <f t="array" ref="G149">IFERROR(_xlfn.LET(
_xlpm.CSVVal,_xlfn.XLOOKUP($A149,CSV!$A:$A,CSV!G:G,""),
_xlpm.MacVal,_xlfn.XLOOKUP($A149,Output_Mac!$A:$A,Output_Mac!H:H,""),
_xlpm.MyAuditVal,_xlfn.XLOOKUP($A149,My_Audit!$A:$A,My_Audit!F:F,""),
_xlfn.IFS(_xlpm.MyAuditVal&lt;&gt;"",_xlpm.MyAuditVal,_xlpm.MacVal&lt;&gt;"",_xlpm.MacVal,_xlpm.CSVVal&lt;&gt;"",_xlpm.CSVVal
)),"")</f>
        <v/>
      </c>
      <c r="H149" s="45" t="str">
        <f>_xlfn.XLOOKUP(A149,Output_Mac!A:A,Output_Mac!I:I,"")</f>
        <v/>
      </c>
      <c r="I149" s="45" t="str" cm="1">
        <f t="array" ref="I149">IFERROR(_xlfn.LET(
_xlpm.CSVVal,_xlfn.XLOOKUP($A149,CSV!$A:$A,CSV!H:H,""),
_xlpm.MacVal,_xlfn.XLOOKUP($A149,Output_Mac!$A:$A,Output_Mac!J:J,""),
_xlpm.MyAuditVal,_xlfn.XLOOKUP($A149,My_Audit!$A:$A,My_Audit!H:H,""),
_xlfn.IFS(_xlpm.MyAuditVal&lt;&gt;"",UPPER(_xlpm.MyAuditVal),_xlpm.MacVal&lt;&gt;"",_xlpm.MacVal,_xlpm.CSVVal&lt;&gt;"",_xlpm.CSVVal
)),"")</f>
        <v/>
      </c>
      <c r="J149" s="45" t="str" cm="1">
        <f t="array" ref="J149">IFERROR(_xlfn.LET(
_xlpm.CSVVal,_xlfn.XLOOKUP($A149,CSV!$A:$A,CSV!J:J,""),
_xlpm.MacVal,_xlfn.XLOOKUP($A149,Output_Mac!$A:$A,Output_Mac!K:K,""),
_xlpm.MyAuditVal,_xlfn.XLOOKUP($A149,My_Audit!$A:$A,My_Audit!I:I,""),
_xlfn.IFS(_xlpm.MyAuditVal&lt;&gt;"",UPPER(_xlpm.MyAuditVal),_xlpm.MacVal&lt;&gt;"",_xlpm.MacVal,_xlpm.CSVVal&lt;&gt;"",_xlpm.CSVVal
)),"")</f>
        <v/>
      </c>
      <c r="K149" s="45" t="str" cm="1">
        <f t="array" ref="K149">IFERROR(_xlfn.LET(
_xlpm.CSVVal,_xlfn.XLOOKUP($A149,CSV!$A:$A,CSV!N:N,""),
_xlpm.MacVal,_xlfn.XLOOKUP($A149,Output_Mac!$A:$A,Output_Mac!L:L,""),
_xlpm.MyAuditVal,_xlfn.XLOOKUP($A149,My_Audit!$A:$A,My_Audit!J:J,""),
_xlfn.IFS(_xlpm.MyAuditVal&lt;&gt;"",UPPER(_xlpm.MyAuditVal),_xlpm.MacVal&lt;&gt;"",_xlpm.MacVal,_xlpm.CSVVal&lt;&gt;"",_xlpm.CSVVal
)),"")</f>
        <v/>
      </c>
      <c r="L149" s="46" t="str" cm="1">
        <f t="array" ref="L149">IFERROR(_xlfn.LET(
_xlpm.CSVVal,_xlfn.XLOOKUP($A149,CSV!$A:$A,CSV!Q:Q,""),
_xlpm.MacVal,_xlfn.XLOOKUP($A149,Output_Mac!$A:$A,Output_Mac!M:M,""),
_xlpm.MyAuditVal,_xlfn.XLOOKUP($A149,My_Audit!$A:$A,My_Audit!K:K,""),
_xlfn.IFS(_xlpm.MyAuditVal&lt;&gt;"",UPPER(_xlpm.MyAuditVal),_xlpm.MacVal&lt;&gt;"",_xlpm.MacVal,_xlpm.CSVVal&lt;&gt;"",_xlpm.CSVVal
)),"")</f>
        <v/>
      </c>
      <c r="M149" s="45" t="str">
        <f>_xlfn.LET(
    _xlpm.CSVVal, _xlfn.XLOOKUP($A149, CSV!$A:$A, CSV!AE:AE, ""),
    _xlpm.MacVal, _xlfn.XLOOKUP($A149, Output_Mac!$A:$A, Output_Mac!S:S, ""),
    _xlpm.MyAuditVal, _xlfn.XLOOKUP($A149, My_Audit!$A:$A, My_Audit!N:N, ""),
    _xlfn.TEXTJOIN(", ", TRUE, _xlpm.MyAuditVal, _xlpm.MacVal, _xlpm.CSVVal)
)</f>
        <v/>
      </c>
      <c r="N149" s="45" t="str" cm="1">
        <f t="array" ref="N149">IFERROR(_xlfn.LET(
_xlpm.CSVVal,_xlfn.XLOOKUP($A149,CSV!$A:$A,CSV!AG:AG,""),
_xlpm.MacVal,_xlfn.XLOOKUP($A149,Output_Mac!$A:$A,Output_Mac!U:U,""),
_xlpm.MyAuditVal,_xlfn.XLOOKUP($A149,My_Audit!$A:$A,My_Audit!O:O,""),
_xlfn.IFS(_xlpm.MyAuditVal&lt;&gt;"",UPPER(_xlpm.MyAuditVal),_xlpm.MacVal&lt;&gt;"",_xlpm.MacVal,_xlpm.CSVVal&lt;&gt;"",_xlpm.CSVVal
)),"")</f>
        <v/>
      </c>
      <c r="O149" s="46" t="str">
        <f>_xlfn.XLOOKUP(C149,My_Audit!B:B,My_Audit!P:P,"")&amp;""</f>
        <v/>
      </c>
      <c r="P149" s="45"/>
      <c r="Q149" s="46" t="str">
        <f>IF(LEFT(N149,4)="Pass","Nist SP 800-88",My_Audit!R149)&amp;""</f>
        <v/>
      </c>
      <c r="R149" s="45"/>
      <c r="S149" s="45"/>
      <c r="T149" s="46" t="str">
        <f>_xlfn.XLOOKUP(E149,Models!I:I,Models!J:J,"")</f>
        <v/>
      </c>
      <c r="U149" s="45"/>
      <c r="V149" s="45"/>
      <c r="W149" s="38" t="str">
        <f>_xlfn.LET(
    _xlpm.MacVal, _xlfn.XLOOKUP($A149, Output_Mac!$A:$A, Output_Mac!AB:AB, ""),
    _xlpm.MyAuditVal, _xlfn.XLOOKUP($A149, My_Audit!$A:$A, My_Audit!L:L, ""),
    _xlfn.TEXTJOIN(", ", TRUE, _xlpm.MyAuditVal, _xlpm.MacVal)
)</f>
        <v/>
      </c>
    </row>
    <row r="150" spans="1:23">
      <c r="A150" s="45" t="str">
        <f>_xlfn.TEXTJOIN("",TRUE,Input!$B$2,ROW(My_Audit!A149))</f>
        <v>XX149</v>
      </c>
      <c r="B150" s="45" t="str">
        <f>_xlfn.TEXTJOIN("-",TRUE,"ITD",Input!$A$2,A150)</f>
        <v>ITD-SHRXXX-XX149</v>
      </c>
      <c r="C150" s="45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46" t="str" cm="1">
        <f t="array" ref="D150">IFERROR(_xlfn.LET(
_xlpm.CSVVal,_xlfn.XLOOKUP($A150,CSV!$A:$A,CSV!C:C,""),
_xlpm.MacVal,_xlfn.XLOOKUP($A150,Output_Mac!$A:$A,Output_Mac!D:D,""),
_xlpm.MyAuditVal,_xlfn.XLOOKUP($A150,My_Audit!$A:$A,My_Audit!C:C,""),
_xlfn.IFS(_xlpm.MyAuditVal&lt;&gt;"",UPPER(_xlpm.MyAuditVal),_xlpm.MacVal&lt;&gt;"",_xlpm.MacVal,_xlpm.CSVVal&lt;&gt;"",_xlpm.CSVVal
)),"")</f>
        <v/>
      </c>
      <c r="E150" s="46" t="str" cm="1">
        <f t="array" ref="E150">IFERROR(_xlfn.LET(
_xlpm.CSVVal,_xlfn.XLOOKUP($A150,CSV!$A:$A,CSV!E:E,""),
_xlpm.MacVal,_xlfn.XLOOKUP($A150,Output_Mac!$A:$A,Output_Mac!C:C,""),
_xlpm.MyAuditVal,_xlfn.XLOOKUP($A150,My_Audit!$A:$A,My_Audit!D:D,""),
_xlfn.IFS(_xlpm.MyAuditVal&lt;&gt;"",_xlpm.MyAuditVal,_xlpm.MacVal&lt;&gt;"",_xlpm.MacVal,_xlpm.CSVVal&lt;&gt;"",_xlpm.CSVVal
)),"")</f>
        <v/>
      </c>
      <c r="F150" s="45" t="str" cm="1">
        <f t="array" ref="F150">IFERROR(_xlfn.LET(
_xlpm.CSVVal,_xlfn.XLOOKUP($A150,CSV!$A:$A,CSV!F:F,""),
_xlpm.MacVal,_xlfn.XLOOKUP($A150,Output_Mac!$A:$A,Output_Mac!F:F,""),
_xlpm.MyAuditVal,_xlfn.XLOOKUP($A150,My_Audit!$A:$A,My_Audit!E:E,""),
_xlfn.IFS(_xlpm.MyAuditVal&lt;&gt;"",_xlpm.MyAuditVal,_xlpm.MacVal&lt;&gt;"",_xlpm.MacVal,_xlpm.CSVVal&lt;&gt;"",PROPER(_xlpm.CSVVal)
)),"")</f>
        <v/>
      </c>
      <c r="G150" s="45" t="str" cm="1">
        <f t="array" ref="G150">IFERROR(_xlfn.LET(
_xlpm.CSVVal,_xlfn.XLOOKUP($A150,CSV!$A:$A,CSV!G:G,""),
_xlpm.MacVal,_xlfn.XLOOKUP($A150,Output_Mac!$A:$A,Output_Mac!H:H,""),
_xlpm.MyAuditVal,_xlfn.XLOOKUP($A150,My_Audit!$A:$A,My_Audit!F:F,""),
_xlfn.IFS(_xlpm.MyAuditVal&lt;&gt;"",_xlpm.MyAuditVal,_xlpm.MacVal&lt;&gt;"",_xlpm.MacVal,_xlpm.CSVVal&lt;&gt;"",_xlpm.CSVVal
)),"")</f>
        <v/>
      </c>
      <c r="H150" s="45" t="str">
        <f>_xlfn.XLOOKUP(A150,Output_Mac!A:A,Output_Mac!I:I,"")</f>
        <v/>
      </c>
      <c r="I150" s="45" t="str" cm="1">
        <f t="array" ref="I150">IFERROR(_xlfn.LET(
_xlpm.CSVVal,_xlfn.XLOOKUP($A150,CSV!$A:$A,CSV!H:H,""),
_xlpm.MacVal,_xlfn.XLOOKUP($A150,Output_Mac!$A:$A,Output_Mac!J:J,""),
_xlpm.MyAuditVal,_xlfn.XLOOKUP($A150,My_Audit!$A:$A,My_Audit!H:H,""),
_xlfn.IFS(_xlpm.MyAuditVal&lt;&gt;"",UPPER(_xlpm.MyAuditVal),_xlpm.MacVal&lt;&gt;"",_xlpm.MacVal,_xlpm.CSVVal&lt;&gt;"",_xlpm.CSVVal
)),"")</f>
        <v/>
      </c>
      <c r="J150" s="45" t="str" cm="1">
        <f t="array" ref="J150">IFERROR(_xlfn.LET(
_xlpm.CSVVal,_xlfn.XLOOKUP($A150,CSV!$A:$A,CSV!J:J,""),
_xlpm.MacVal,_xlfn.XLOOKUP($A150,Output_Mac!$A:$A,Output_Mac!K:K,""),
_xlpm.MyAuditVal,_xlfn.XLOOKUP($A150,My_Audit!$A:$A,My_Audit!I:I,""),
_xlfn.IFS(_xlpm.MyAuditVal&lt;&gt;"",UPPER(_xlpm.MyAuditVal),_xlpm.MacVal&lt;&gt;"",_xlpm.MacVal,_xlpm.CSVVal&lt;&gt;"",_xlpm.CSVVal
)),"")</f>
        <v/>
      </c>
      <c r="K150" s="45" t="str" cm="1">
        <f t="array" ref="K150">IFERROR(_xlfn.LET(
_xlpm.CSVVal,_xlfn.XLOOKUP($A150,CSV!$A:$A,CSV!N:N,""),
_xlpm.MacVal,_xlfn.XLOOKUP($A150,Output_Mac!$A:$A,Output_Mac!L:L,""),
_xlpm.MyAuditVal,_xlfn.XLOOKUP($A150,My_Audit!$A:$A,My_Audit!J:J,""),
_xlfn.IFS(_xlpm.MyAuditVal&lt;&gt;"",UPPER(_xlpm.MyAuditVal),_xlpm.MacVal&lt;&gt;"",_xlpm.MacVal,_xlpm.CSVVal&lt;&gt;"",_xlpm.CSVVal
)),"")</f>
        <v/>
      </c>
      <c r="L150" s="46" t="str" cm="1">
        <f t="array" ref="L150">IFERROR(_xlfn.LET(
_xlpm.CSVVal,_xlfn.XLOOKUP($A150,CSV!$A:$A,CSV!Q:Q,""),
_xlpm.MacVal,_xlfn.XLOOKUP($A150,Output_Mac!$A:$A,Output_Mac!M:M,""),
_xlpm.MyAuditVal,_xlfn.XLOOKUP($A150,My_Audit!$A:$A,My_Audit!K:K,""),
_xlfn.IFS(_xlpm.MyAuditVal&lt;&gt;"",UPPER(_xlpm.MyAuditVal),_xlpm.MacVal&lt;&gt;"",_xlpm.MacVal,_xlpm.CSVVal&lt;&gt;"",_xlpm.CSVVal
)),"")</f>
        <v/>
      </c>
      <c r="M150" s="45" t="str">
        <f>_xlfn.LET(
    _xlpm.CSVVal, _xlfn.XLOOKUP($A150, CSV!$A:$A, CSV!AE:AE, ""),
    _xlpm.MacVal, _xlfn.XLOOKUP($A150, Output_Mac!$A:$A, Output_Mac!S:S, ""),
    _xlpm.MyAuditVal, _xlfn.XLOOKUP($A150, My_Audit!$A:$A, My_Audit!N:N, ""),
    _xlfn.TEXTJOIN(", ", TRUE, _xlpm.MyAuditVal, _xlpm.MacVal, _xlpm.CSVVal)
)</f>
        <v/>
      </c>
      <c r="N150" s="45" t="str" cm="1">
        <f t="array" ref="N150">IFERROR(_xlfn.LET(
_xlpm.CSVVal,_xlfn.XLOOKUP($A150,CSV!$A:$A,CSV!AG:AG,""),
_xlpm.MacVal,_xlfn.XLOOKUP($A150,Output_Mac!$A:$A,Output_Mac!U:U,""),
_xlpm.MyAuditVal,_xlfn.XLOOKUP($A150,My_Audit!$A:$A,My_Audit!O:O,""),
_xlfn.IFS(_xlpm.MyAuditVal&lt;&gt;"",UPPER(_xlpm.MyAuditVal),_xlpm.MacVal&lt;&gt;"",_xlpm.MacVal,_xlpm.CSVVal&lt;&gt;"",_xlpm.CSVVal
)),"")</f>
        <v/>
      </c>
      <c r="O150" s="46" t="str">
        <f>_xlfn.XLOOKUP(C150,My_Audit!B:B,My_Audit!P:P,"")&amp;""</f>
        <v/>
      </c>
      <c r="P150" s="45"/>
      <c r="Q150" s="46" t="str">
        <f>IF(LEFT(N150,4)="Pass","Nist SP 800-88",My_Audit!R150)&amp;""</f>
        <v/>
      </c>
      <c r="R150" s="45"/>
      <c r="S150" s="45"/>
      <c r="T150" s="46" t="str">
        <f>_xlfn.XLOOKUP(E150,Models!I:I,Models!J:J,"")</f>
        <v/>
      </c>
      <c r="U150" s="45"/>
      <c r="V150" s="45"/>
      <c r="W150" s="38" t="str">
        <f>_xlfn.LET(
    _xlpm.MacVal, _xlfn.XLOOKUP($A150, Output_Mac!$A:$A, Output_Mac!AB:AB, ""),
    _xlpm.MyAuditVal, _xlfn.XLOOKUP($A150, My_Audit!$A:$A, My_Audit!L:L, ""),
    _xlfn.TEXTJOIN(", ", TRUE, _xlpm.MyAuditVal, _xlpm.MacVal)
)</f>
        <v/>
      </c>
    </row>
    <row r="151" spans="1:23">
      <c r="A151" s="45" t="str">
        <f>_xlfn.TEXTJOIN("",TRUE,Input!$B$2,ROW(My_Audit!A150))</f>
        <v>XX150</v>
      </c>
      <c r="B151" s="45" t="str">
        <f>_xlfn.TEXTJOIN("-",TRUE,"ITD",Input!$A$2,A151)</f>
        <v>ITD-SHRXXX-XX150</v>
      </c>
      <c r="C151" s="45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46" t="str" cm="1">
        <f t="array" ref="D151">IFERROR(_xlfn.LET(
_xlpm.CSVVal,_xlfn.XLOOKUP($A151,CSV!$A:$A,CSV!C:C,""),
_xlpm.MacVal,_xlfn.XLOOKUP($A151,Output_Mac!$A:$A,Output_Mac!D:D,""),
_xlpm.MyAuditVal,_xlfn.XLOOKUP($A151,My_Audit!$A:$A,My_Audit!C:C,""),
_xlfn.IFS(_xlpm.MyAuditVal&lt;&gt;"",UPPER(_xlpm.MyAuditVal),_xlpm.MacVal&lt;&gt;"",_xlpm.MacVal,_xlpm.CSVVal&lt;&gt;"",_xlpm.CSVVal
)),"")</f>
        <v/>
      </c>
      <c r="E151" s="46" t="str" cm="1">
        <f t="array" ref="E151">IFERROR(_xlfn.LET(
_xlpm.CSVVal,_xlfn.XLOOKUP($A151,CSV!$A:$A,CSV!E:E,""),
_xlpm.MacVal,_xlfn.XLOOKUP($A151,Output_Mac!$A:$A,Output_Mac!C:C,""),
_xlpm.MyAuditVal,_xlfn.XLOOKUP($A151,My_Audit!$A:$A,My_Audit!D:D,""),
_xlfn.IFS(_xlpm.MyAuditVal&lt;&gt;"",_xlpm.MyAuditVal,_xlpm.MacVal&lt;&gt;"",_xlpm.MacVal,_xlpm.CSVVal&lt;&gt;"",_xlpm.CSVVal
)),"")</f>
        <v/>
      </c>
      <c r="F151" s="45" t="str" cm="1">
        <f t="array" ref="F151">IFERROR(_xlfn.LET(
_xlpm.CSVVal,_xlfn.XLOOKUP($A151,CSV!$A:$A,CSV!F:F,""),
_xlpm.MacVal,_xlfn.XLOOKUP($A151,Output_Mac!$A:$A,Output_Mac!F:F,""),
_xlpm.MyAuditVal,_xlfn.XLOOKUP($A151,My_Audit!$A:$A,My_Audit!E:E,""),
_xlfn.IFS(_xlpm.MyAuditVal&lt;&gt;"",_xlpm.MyAuditVal,_xlpm.MacVal&lt;&gt;"",_xlpm.MacVal,_xlpm.CSVVal&lt;&gt;"",PROPER(_xlpm.CSVVal)
)),"")</f>
        <v/>
      </c>
      <c r="G151" s="45" t="str" cm="1">
        <f t="array" ref="G151">IFERROR(_xlfn.LET(
_xlpm.CSVVal,_xlfn.XLOOKUP($A151,CSV!$A:$A,CSV!G:G,""),
_xlpm.MacVal,_xlfn.XLOOKUP($A151,Output_Mac!$A:$A,Output_Mac!H:H,""),
_xlpm.MyAuditVal,_xlfn.XLOOKUP($A151,My_Audit!$A:$A,My_Audit!F:F,""),
_xlfn.IFS(_xlpm.MyAuditVal&lt;&gt;"",_xlpm.MyAuditVal,_xlpm.MacVal&lt;&gt;"",_xlpm.MacVal,_xlpm.CSVVal&lt;&gt;"",_xlpm.CSVVal
)),"")</f>
        <v/>
      </c>
      <c r="H151" s="45" t="str">
        <f>_xlfn.XLOOKUP(A151,Output_Mac!A:A,Output_Mac!I:I,"")</f>
        <v/>
      </c>
      <c r="I151" s="45" t="str" cm="1">
        <f t="array" ref="I151">IFERROR(_xlfn.LET(
_xlpm.CSVVal,_xlfn.XLOOKUP($A151,CSV!$A:$A,CSV!H:H,""),
_xlpm.MacVal,_xlfn.XLOOKUP($A151,Output_Mac!$A:$A,Output_Mac!J:J,""),
_xlpm.MyAuditVal,_xlfn.XLOOKUP($A151,My_Audit!$A:$A,My_Audit!H:H,""),
_xlfn.IFS(_xlpm.MyAuditVal&lt;&gt;"",UPPER(_xlpm.MyAuditVal),_xlpm.MacVal&lt;&gt;"",_xlpm.MacVal,_xlpm.CSVVal&lt;&gt;"",_xlpm.CSVVal
)),"")</f>
        <v/>
      </c>
      <c r="J151" s="45" t="str" cm="1">
        <f t="array" ref="J151">IFERROR(_xlfn.LET(
_xlpm.CSVVal,_xlfn.XLOOKUP($A151,CSV!$A:$A,CSV!J:J,""),
_xlpm.MacVal,_xlfn.XLOOKUP($A151,Output_Mac!$A:$A,Output_Mac!K:K,""),
_xlpm.MyAuditVal,_xlfn.XLOOKUP($A151,My_Audit!$A:$A,My_Audit!I:I,""),
_xlfn.IFS(_xlpm.MyAuditVal&lt;&gt;"",UPPER(_xlpm.MyAuditVal),_xlpm.MacVal&lt;&gt;"",_xlpm.MacVal,_xlpm.CSVVal&lt;&gt;"",_xlpm.CSVVal
)),"")</f>
        <v/>
      </c>
      <c r="K151" s="45" t="str" cm="1">
        <f t="array" ref="K151">IFERROR(_xlfn.LET(
_xlpm.CSVVal,_xlfn.XLOOKUP($A151,CSV!$A:$A,CSV!N:N,""),
_xlpm.MacVal,_xlfn.XLOOKUP($A151,Output_Mac!$A:$A,Output_Mac!L:L,""),
_xlpm.MyAuditVal,_xlfn.XLOOKUP($A151,My_Audit!$A:$A,My_Audit!J:J,""),
_xlfn.IFS(_xlpm.MyAuditVal&lt;&gt;"",UPPER(_xlpm.MyAuditVal),_xlpm.MacVal&lt;&gt;"",_xlpm.MacVal,_xlpm.CSVVal&lt;&gt;"",_xlpm.CSVVal
)),"")</f>
        <v/>
      </c>
      <c r="L151" s="46" t="str" cm="1">
        <f t="array" ref="L151">IFERROR(_xlfn.LET(
_xlpm.CSVVal,_xlfn.XLOOKUP($A151,CSV!$A:$A,CSV!Q:Q,""),
_xlpm.MacVal,_xlfn.XLOOKUP($A151,Output_Mac!$A:$A,Output_Mac!M:M,""),
_xlpm.MyAuditVal,_xlfn.XLOOKUP($A151,My_Audit!$A:$A,My_Audit!K:K,""),
_xlfn.IFS(_xlpm.MyAuditVal&lt;&gt;"",UPPER(_xlpm.MyAuditVal),_xlpm.MacVal&lt;&gt;"",_xlpm.MacVal,_xlpm.CSVVal&lt;&gt;"",_xlpm.CSVVal
)),"")</f>
        <v/>
      </c>
      <c r="M151" s="45" t="str">
        <f>_xlfn.LET(
    _xlpm.CSVVal, _xlfn.XLOOKUP($A151, CSV!$A:$A, CSV!AE:AE, ""),
    _xlpm.MacVal, _xlfn.XLOOKUP($A151, Output_Mac!$A:$A, Output_Mac!S:S, ""),
    _xlpm.MyAuditVal, _xlfn.XLOOKUP($A151, My_Audit!$A:$A, My_Audit!N:N, ""),
    _xlfn.TEXTJOIN(", ", TRUE, _xlpm.MyAuditVal, _xlpm.MacVal, _xlpm.CSVVal)
)</f>
        <v/>
      </c>
      <c r="N151" s="45" t="str" cm="1">
        <f t="array" ref="N151">IFERROR(_xlfn.LET(
_xlpm.CSVVal,_xlfn.XLOOKUP($A151,CSV!$A:$A,CSV!AG:AG,""),
_xlpm.MacVal,_xlfn.XLOOKUP($A151,Output_Mac!$A:$A,Output_Mac!U:U,""),
_xlpm.MyAuditVal,_xlfn.XLOOKUP($A151,My_Audit!$A:$A,My_Audit!O:O,""),
_xlfn.IFS(_xlpm.MyAuditVal&lt;&gt;"",UPPER(_xlpm.MyAuditVal),_xlpm.MacVal&lt;&gt;"",_xlpm.MacVal,_xlpm.CSVVal&lt;&gt;"",_xlpm.CSVVal
)),"")</f>
        <v/>
      </c>
      <c r="O151" s="46" t="str">
        <f>_xlfn.XLOOKUP(C151,My_Audit!B:B,My_Audit!P:P,"")&amp;""</f>
        <v/>
      </c>
      <c r="P151" s="45"/>
      <c r="Q151" s="46" t="str">
        <f>IF(LEFT(N151,4)="Pass","Nist SP 800-88",My_Audit!R151)&amp;""</f>
        <v/>
      </c>
      <c r="R151" s="45"/>
      <c r="S151" s="45"/>
      <c r="T151" s="46" t="str">
        <f>_xlfn.XLOOKUP(E151,Models!I:I,Models!J:J,"")</f>
        <v/>
      </c>
      <c r="U151" s="45"/>
      <c r="V151" s="45"/>
      <c r="W151" s="38" t="str">
        <f>_xlfn.LET(
    _xlpm.MacVal, _xlfn.XLOOKUP($A151, Output_Mac!$A:$A, Output_Mac!AB:AB, ""),
    _xlpm.MyAuditVal, _xlfn.XLOOKUP($A151, My_Audit!$A:$A, My_Audit!L:L, ""),
    _xlfn.TEXTJOIN(", ", TRUE, _xlpm.MyAuditVal, _xlpm.MacVal)
)</f>
        <v/>
      </c>
    </row>
    <row r="152" spans="1:23">
      <c r="A152" s="45" t="str">
        <f>_xlfn.TEXTJOIN("",TRUE,Input!$B$2,ROW(My_Audit!A151))</f>
        <v>XX151</v>
      </c>
      <c r="B152" s="45" t="str">
        <f>_xlfn.TEXTJOIN("-",TRUE,"ITD",Input!$A$2,A152)</f>
        <v>ITD-SHRXXX-XX151</v>
      </c>
      <c r="C152" s="45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46" t="str" cm="1">
        <f t="array" ref="D152">IFERROR(_xlfn.LET(
_xlpm.CSVVal,_xlfn.XLOOKUP($A152,CSV!$A:$A,CSV!C:C,""),
_xlpm.MacVal,_xlfn.XLOOKUP($A152,Output_Mac!$A:$A,Output_Mac!D:D,""),
_xlpm.MyAuditVal,_xlfn.XLOOKUP($A152,My_Audit!$A:$A,My_Audit!C:C,""),
_xlfn.IFS(_xlpm.MyAuditVal&lt;&gt;"",UPPER(_xlpm.MyAuditVal),_xlpm.MacVal&lt;&gt;"",_xlpm.MacVal,_xlpm.CSVVal&lt;&gt;"",_xlpm.CSVVal
)),"")</f>
        <v/>
      </c>
      <c r="E152" s="46" t="str" cm="1">
        <f t="array" ref="E152">IFERROR(_xlfn.LET(
_xlpm.CSVVal,_xlfn.XLOOKUP($A152,CSV!$A:$A,CSV!E:E,""),
_xlpm.MacVal,_xlfn.XLOOKUP($A152,Output_Mac!$A:$A,Output_Mac!C:C,""),
_xlpm.MyAuditVal,_xlfn.XLOOKUP($A152,My_Audit!$A:$A,My_Audit!D:D,""),
_xlfn.IFS(_xlpm.MyAuditVal&lt;&gt;"",_xlpm.MyAuditVal,_xlpm.MacVal&lt;&gt;"",_xlpm.MacVal,_xlpm.CSVVal&lt;&gt;"",_xlpm.CSVVal
)),"")</f>
        <v/>
      </c>
      <c r="F152" s="45" t="str" cm="1">
        <f t="array" ref="F152">IFERROR(_xlfn.LET(
_xlpm.CSVVal,_xlfn.XLOOKUP($A152,CSV!$A:$A,CSV!F:F,""),
_xlpm.MacVal,_xlfn.XLOOKUP($A152,Output_Mac!$A:$A,Output_Mac!F:F,""),
_xlpm.MyAuditVal,_xlfn.XLOOKUP($A152,My_Audit!$A:$A,My_Audit!E:E,""),
_xlfn.IFS(_xlpm.MyAuditVal&lt;&gt;"",_xlpm.MyAuditVal,_xlpm.MacVal&lt;&gt;"",_xlpm.MacVal,_xlpm.CSVVal&lt;&gt;"",PROPER(_xlpm.CSVVal)
)),"")</f>
        <v/>
      </c>
      <c r="G152" s="45" t="str" cm="1">
        <f t="array" ref="G152">IFERROR(_xlfn.LET(
_xlpm.CSVVal,_xlfn.XLOOKUP($A152,CSV!$A:$A,CSV!G:G,""),
_xlpm.MacVal,_xlfn.XLOOKUP($A152,Output_Mac!$A:$A,Output_Mac!H:H,""),
_xlpm.MyAuditVal,_xlfn.XLOOKUP($A152,My_Audit!$A:$A,My_Audit!F:F,""),
_xlfn.IFS(_xlpm.MyAuditVal&lt;&gt;"",_xlpm.MyAuditVal,_xlpm.MacVal&lt;&gt;"",_xlpm.MacVal,_xlpm.CSVVal&lt;&gt;"",_xlpm.CSVVal
)),"")</f>
        <v/>
      </c>
      <c r="H152" s="45" t="str">
        <f>_xlfn.XLOOKUP(A152,Output_Mac!A:A,Output_Mac!I:I,"")</f>
        <v/>
      </c>
      <c r="I152" s="45" t="str" cm="1">
        <f t="array" ref="I152">IFERROR(_xlfn.LET(
_xlpm.CSVVal,_xlfn.XLOOKUP($A152,CSV!$A:$A,CSV!H:H,""),
_xlpm.MacVal,_xlfn.XLOOKUP($A152,Output_Mac!$A:$A,Output_Mac!J:J,""),
_xlpm.MyAuditVal,_xlfn.XLOOKUP($A152,My_Audit!$A:$A,My_Audit!H:H,""),
_xlfn.IFS(_xlpm.MyAuditVal&lt;&gt;"",UPPER(_xlpm.MyAuditVal),_xlpm.MacVal&lt;&gt;"",_xlpm.MacVal,_xlpm.CSVVal&lt;&gt;"",_xlpm.CSVVal
)),"")</f>
        <v/>
      </c>
      <c r="J152" s="45" t="str" cm="1">
        <f t="array" ref="J152">IFERROR(_xlfn.LET(
_xlpm.CSVVal,_xlfn.XLOOKUP($A152,CSV!$A:$A,CSV!J:J,""),
_xlpm.MacVal,_xlfn.XLOOKUP($A152,Output_Mac!$A:$A,Output_Mac!K:K,""),
_xlpm.MyAuditVal,_xlfn.XLOOKUP($A152,My_Audit!$A:$A,My_Audit!I:I,""),
_xlfn.IFS(_xlpm.MyAuditVal&lt;&gt;"",UPPER(_xlpm.MyAuditVal),_xlpm.MacVal&lt;&gt;"",_xlpm.MacVal,_xlpm.CSVVal&lt;&gt;"",_xlpm.CSVVal
)),"")</f>
        <v/>
      </c>
      <c r="K152" s="45" t="str" cm="1">
        <f t="array" ref="K152">IFERROR(_xlfn.LET(
_xlpm.CSVVal,_xlfn.XLOOKUP($A152,CSV!$A:$A,CSV!N:N,""),
_xlpm.MacVal,_xlfn.XLOOKUP($A152,Output_Mac!$A:$A,Output_Mac!L:L,""),
_xlpm.MyAuditVal,_xlfn.XLOOKUP($A152,My_Audit!$A:$A,My_Audit!J:J,""),
_xlfn.IFS(_xlpm.MyAuditVal&lt;&gt;"",UPPER(_xlpm.MyAuditVal),_xlpm.MacVal&lt;&gt;"",_xlpm.MacVal,_xlpm.CSVVal&lt;&gt;"",_xlpm.CSVVal
)),"")</f>
        <v/>
      </c>
      <c r="L152" s="46" t="str" cm="1">
        <f t="array" ref="L152">IFERROR(_xlfn.LET(
_xlpm.CSVVal,_xlfn.XLOOKUP($A152,CSV!$A:$A,CSV!Q:Q,""),
_xlpm.MacVal,_xlfn.XLOOKUP($A152,Output_Mac!$A:$A,Output_Mac!M:M,""),
_xlpm.MyAuditVal,_xlfn.XLOOKUP($A152,My_Audit!$A:$A,My_Audit!K:K,""),
_xlfn.IFS(_xlpm.MyAuditVal&lt;&gt;"",UPPER(_xlpm.MyAuditVal),_xlpm.MacVal&lt;&gt;"",_xlpm.MacVal,_xlpm.CSVVal&lt;&gt;"",_xlpm.CSVVal
)),"")</f>
        <v/>
      </c>
      <c r="M152" s="45" t="str">
        <f>_xlfn.LET(
    _xlpm.CSVVal, _xlfn.XLOOKUP($A152, CSV!$A:$A, CSV!AE:AE, ""),
    _xlpm.MacVal, _xlfn.XLOOKUP($A152, Output_Mac!$A:$A, Output_Mac!S:S, ""),
    _xlpm.MyAuditVal, _xlfn.XLOOKUP($A152, My_Audit!$A:$A, My_Audit!N:N, ""),
    _xlfn.TEXTJOIN(", ", TRUE, _xlpm.MyAuditVal, _xlpm.MacVal, _xlpm.CSVVal)
)</f>
        <v/>
      </c>
      <c r="N152" s="45" t="str" cm="1">
        <f t="array" ref="N152">IFERROR(_xlfn.LET(
_xlpm.CSVVal,_xlfn.XLOOKUP($A152,CSV!$A:$A,CSV!AG:AG,""),
_xlpm.MacVal,_xlfn.XLOOKUP($A152,Output_Mac!$A:$A,Output_Mac!U:U,""),
_xlpm.MyAuditVal,_xlfn.XLOOKUP($A152,My_Audit!$A:$A,My_Audit!O:O,""),
_xlfn.IFS(_xlpm.MyAuditVal&lt;&gt;"",UPPER(_xlpm.MyAuditVal),_xlpm.MacVal&lt;&gt;"",_xlpm.MacVal,_xlpm.CSVVal&lt;&gt;"",_xlpm.CSVVal
)),"")</f>
        <v/>
      </c>
      <c r="O152" s="46" t="str">
        <f>_xlfn.XLOOKUP(C152,My_Audit!B:B,My_Audit!P:P,"")&amp;""</f>
        <v/>
      </c>
      <c r="P152" s="45"/>
      <c r="Q152" s="46" t="str">
        <f>IF(LEFT(N152,4)="Pass","Nist SP 800-88",My_Audit!R152)&amp;""</f>
        <v/>
      </c>
      <c r="R152" s="45"/>
      <c r="S152" s="45"/>
      <c r="T152" s="46" t="str">
        <f>_xlfn.XLOOKUP(E152,Models!I:I,Models!J:J,"")</f>
        <v/>
      </c>
      <c r="U152" s="45"/>
      <c r="V152" s="45"/>
      <c r="W152" s="38" t="str">
        <f>_xlfn.LET(
    _xlpm.MacVal, _xlfn.XLOOKUP($A152, Output_Mac!$A:$A, Output_Mac!AB:AB, ""),
    _xlpm.MyAuditVal, _xlfn.XLOOKUP($A152, My_Audit!$A:$A, My_Audit!L:L, ""),
    _xlfn.TEXTJOIN(", ", TRUE, _xlpm.MyAuditVal, _xlpm.MacVal)
)</f>
        <v/>
      </c>
    </row>
    <row r="153" spans="1:23">
      <c r="A153" s="45" t="str">
        <f>_xlfn.TEXTJOIN("",TRUE,Input!$B$2,ROW(My_Audit!A152))</f>
        <v>XX152</v>
      </c>
      <c r="B153" s="45" t="str">
        <f>_xlfn.TEXTJOIN("-",TRUE,"ITD",Input!$A$2,A153)</f>
        <v>ITD-SHRXXX-XX152</v>
      </c>
      <c r="C153" s="45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46" t="str" cm="1">
        <f t="array" ref="D153">IFERROR(_xlfn.LET(
_xlpm.CSVVal,_xlfn.XLOOKUP($A153,CSV!$A:$A,CSV!C:C,""),
_xlpm.MacVal,_xlfn.XLOOKUP($A153,Output_Mac!$A:$A,Output_Mac!D:D,""),
_xlpm.MyAuditVal,_xlfn.XLOOKUP($A153,My_Audit!$A:$A,My_Audit!C:C,""),
_xlfn.IFS(_xlpm.MyAuditVal&lt;&gt;"",UPPER(_xlpm.MyAuditVal),_xlpm.MacVal&lt;&gt;"",_xlpm.MacVal,_xlpm.CSVVal&lt;&gt;"",_xlpm.CSVVal
)),"")</f>
        <v/>
      </c>
      <c r="E153" s="46" t="str" cm="1">
        <f t="array" ref="E153">IFERROR(_xlfn.LET(
_xlpm.CSVVal,_xlfn.XLOOKUP($A153,CSV!$A:$A,CSV!E:E,""),
_xlpm.MacVal,_xlfn.XLOOKUP($A153,Output_Mac!$A:$A,Output_Mac!C:C,""),
_xlpm.MyAuditVal,_xlfn.XLOOKUP($A153,My_Audit!$A:$A,My_Audit!D:D,""),
_xlfn.IFS(_xlpm.MyAuditVal&lt;&gt;"",_xlpm.MyAuditVal,_xlpm.MacVal&lt;&gt;"",_xlpm.MacVal,_xlpm.CSVVal&lt;&gt;"",_xlpm.CSVVal
)),"")</f>
        <v/>
      </c>
      <c r="F153" s="45" t="str" cm="1">
        <f t="array" ref="F153">IFERROR(_xlfn.LET(
_xlpm.CSVVal,_xlfn.XLOOKUP($A153,CSV!$A:$A,CSV!F:F,""),
_xlpm.MacVal,_xlfn.XLOOKUP($A153,Output_Mac!$A:$A,Output_Mac!F:F,""),
_xlpm.MyAuditVal,_xlfn.XLOOKUP($A153,My_Audit!$A:$A,My_Audit!E:E,""),
_xlfn.IFS(_xlpm.MyAuditVal&lt;&gt;"",_xlpm.MyAuditVal,_xlpm.MacVal&lt;&gt;"",_xlpm.MacVal,_xlpm.CSVVal&lt;&gt;"",PROPER(_xlpm.CSVVal)
)),"")</f>
        <v/>
      </c>
      <c r="G153" s="45" t="str" cm="1">
        <f t="array" ref="G153">IFERROR(_xlfn.LET(
_xlpm.CSVVal,_xlfn.XLOOKUP($A153,CSV!$A:$A,CSV!G:G,""),
_xlpm.MacVal,_xlfn.XLOOKUP($A153,Output_Mac!$A:$A,Output_Mac!H:H,""),
_xlpm.MyAuditVal,_xlfn.XLOOKUP($A153,My_Audit!$A:$A,My_Audit!F:F,""),
_xlfn.IFS(_xlpm.MyAuditVal&lt;&gt;"",_xlpm.MyAuditVal,_xlpm.MacVal&lt;&gt;"",_xlpm.MacVal,_xlpm.CSVVal&lt;&gt;"",_xlpm.CSVVal
)),"")</f>
        <v/>
      </c>
      <c r="H153" s="45" t="str">
        <f>_xlfn.XLOOKUP(A153,Output_Mac!A:A,Output_Mac!I:I,"")</f>
        <v/>
      </c>
      <c r="I153" s="45" t="str" cm="1">
        <f t="array" ref="I153">IFERROR(_xlfn.LET(
_xlpm.CSVVal,_xlfn.XLOOKUP($A153,CSV!$A:$A,CSV!H:H,""),
_xlpm.MacVal,_xlfn.XLOOKUP($A153,Output_Mac!$A:$A,Output_Mac!J:J,""),
_xlpm.MyAuditVal,_xlfn.XLOOKUP($A153,My_Audit!$A:$A,My_Audit!H:H,""),
_xlfn.IFS(_xlpm.MyAuditVal&lt;&gt;"",UPPER(_xlpm.MyAuditVal),_xlpm.MacVal&lt;&gt;"",_xlpm.MacVal,_xlpm.CSVVal&lt;&gt;"",_xlpm.CSVVal
)),"")</f>
        <v/>
      </c>
      <c r="J153" s="45" t="str" cm="1">
        <f t="array" ref="J153">IFERROR(_xlfn.LET(
_xlpm.CSVVal,_xlfn.XLOOKUP($A153,CSV!$A:$A,CSV!J:J,""),
_xlpm.MacVal,_xlfn.XLOOKUP($A153,Output_Mac!$A:$A,Output_Mac!K:K,""),
_xlpm.MyAuditVal,_xlfn.XLOOKUP($A153,My_Audit!$A:$A,My_Audit!I:I,""),
_xlfn.IFS(_xlpm.MyAuditVal&lt;&gt;"",UPPER(_xlpm.MyAuditVal),_xlpm.MacVal&lt;&gt;"",_xlpm.MacVal,_xlpm.CSVVal&lt;&gt;"",_xlpm.CSVVal
)),"")</f>
        <v/>
      </c>
      <c r="K153" s="45" t="str" cm="1">
        <f t="array" ref="K153">IFERROR(_xlfn.LET(
_xlpm.CSVVal,_xlfn.XLOOKUP($A153,CSV!$A:$A,CSV!N:N,""),
_xlpm.MacVal,_xlfn.XLOOKUP($A153,Output_Mac!$A:$A,Output_Mac!L:L,""),
_xlpm.MyAuditVal,_xlfn.XLOOKUP($A153,My_Audit!$A:$A,My_Audit!J:J,""),
_xlfn.IFS(_xlpm.MyAuditVal&lt;&gt;"",UPPER(_xlpm.MyAuditVal),_xlpm.MacVal&lt;&gt;"",_xlpm.MacVal,_xlpm.CSVVal&lt;&gt;"",_xlpm.CSVVal
)),"")</f>
        <v/>
      </c>
      <c r="L153" s="46" t="str" cm="1">
        <f t="array" ref="L153">IFERROR(_xlfn.LET(
_xlpm.CSVVal,_xlfn.XLOOKUP($A153,CSV!$A:$A,CSV!Q:Q,""),
_xlpm.MacVal,_xlfn.XLOOKUP($A153,Output_Mac!$A:$A,Output_Mac!M:M,""),
_xlpm.MyAuditVal,_xlfn.XLOOKUP($A153,My_Audit!$A:$A,My_Audit!K:K,""),
_xlfn.IFS(_xlpm.MyAuditVal&lt;&gt;"",UPPER(_xlpm.MyAuditVal),_xlpm.MacVal&lt;&gt;"",_xlpm.MacVal,_xlpm.CSVVal&lt;&gt;"",_xlpm.CSVVal
)),"")</f>
        <v/>
      </c>
      <c r="M153" s="45" t="str">
        <f>_xlfn.LET(
    _xlpm.CSVVal, _xlfn.XLOOKUP($A153, CSV!$A:$A, CSV!AE:AE, ""),
    _xlpm.MacVal, _xlfn.XLOOKUP($A153, Output_Mac!$A:$A, Output_Mac!S:S, ""),
    _xlpm.MyAuditVal, _xlfn.XLOOKUP($A153, My_Audit!$A:$A, My_Audit!N:N, ""),
    _xlfn.TEXTJOIN(", ", TRUE, _xlpm.MyAuditVal, _xlpm.MacVal, _xlpm.CSVVal)
)</f>
        <v/>
      </c>
      <c r="N153" s="45" t="str" cm="1">
        <f t="array" ref="N153">IFERROR(_xlfn.LET(
_xlpm.CSVVal,_xlfn.XLOOKUP($A153,CSV!$A:$A,CSV!AG:AG,""),
_xlpm.MacVal,_xlfn.XLOOKUP($A153,Output_Mac!$A:$A,Output_Mac!U:U,""),
_xlpm.MyAuditVal,_xlfn.XLOOKUP($A153,My_Audit!$A:$A,My_Audit!O:O,""),
_xlfn.IFS(_xlpm.MyAuditVal&lt;&gt;"",UPPER(_xlpm.MyAuditVal),_xlpm.MacVal&lt;&gt;"",_xlpm.MacVal,_xlpm.CSVVal&lt;&gt;"",_xlpm.CSVVal
)),"")</f>
        <v/>
      </c>
      <c r="O153" s="46" t="str">
        <f>_xlfn.XLOOKUP(C153,My_Audit!B:B,My_Audit!P:P,"")&amp;""</f>
        <v/>
      </c>
      <c r="P153" s="45"/>
      <c r="Q153" s="46" t="str">
        <f>IF(LEFT(N153,4)="Pass","Nist SP 800-88",My_Audit!R153)&amp;""</f>
        <v/>
      </c>
      <c r="R153" s="45"/>
      <c r="S153" s="45"/>
      <c r="T153" s="46" t="str">
        <f>_xlfn.XLOOKUP(E153,Models!I:I,Models!J:J,"")</f>
        <v/>
      </c>
      <c r="U153" s="45"/>
      <c r="V153" s="45"/>
      <c r="W153" s="38" t="str">
        <f>_xlfn.LET(
    _xlpm.MacVal, _xlfn.XLOOKUP($A153, Output_Mac!$A:$A, Output_Mac!AB:AB, ""),
    _xlpm.MyAuditVal, _xlfn.XLOOKUP($A153, My_Audit!$A:$A, My_Audit!L:L, ""),
    _xlfn.TEXTJOIN(", ", TRUE, _xlpm.MyAuditVal, _xlpm.MacVal)
)</f>
        <v/>
      </c>
    </row>
    <row r="154" spans="1:23">
      <c r="A154" s="45" t="str">
        <f>_xlfn.TEXTJOIN("",TRUE,Input!$B$2,ROW(My_Audit!A153))</f>
        <v>XX153</v>
      </c>
      <c r="B154" s="45" t="str">
        <f>_xlfn.TEXTJOIN("-",TRUE,"ITD",Input!$A$2,A154)</f>
        <v>ITD-SHRXXX-XX153</v>
      </c>
      <c r="C154" s="45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46" t="str" cm="1">
        <f t="array" ref="D154">IFERROR(_xlfn.LET(
_xlpm.CSVVal,_xlfn.XLOOKUP($A154,CSV!$A:$A,CSV!C:C,""),
_xlpm.MacVal,_xlfn.XLOOKUP($A154,Output_Mac!$A:$A,Output_Mac!D:D,""),
_xlpm.MyAuditVal,_xlfn.XLOOKUP($A154,My_Audit!$A:$A,My_Audit!C:C,""),
_xlfn.IFS(_xlpm.MyAuditVal&lt;&gt;"",UPPER(_xlpm.MyAuditVal),_xlpm.MacVal&lt;&gt;"",_xlpm.MacVal,_xlpm.CSVVal&lt;&gt;"",_xlpm.CSVVal
)),"")</f>
        <v/>
      </c>
      <c r="E154" s="46" t="str" cm="1">
        <f t="array" ref="E154">IFERROR(_xlfn.LET(
_xlpm.CSVVal,_xlfn.XLOOKUP($A154,CSV!$A:$A,CSV!E:E,""),
_xlpm.MacVal,_xlfn.XLOOKUP($A154,Output_Mac!$A:$A,Output_Mac!C:C,""),
_xlpm.MyAuditVal,_xlfn.XLOOKUP($A154,My_Audit!$A:$A,My_Audit!D:D,""),
_xlfn.IFS(_xlpm.MyAuditVal&lt;&gt;"",_xlpm.MyAuditVal,_xlpm.MacVal&lt;&gt;"",_xlpm.MacVal,_xlpm.CSVVal&lt;&gt;"",_xlpm.CSVVal
)),"")</f>
        <v/>
      </c>
      <c r="F154" s="45" t="str" cm="1">
        <f t="array" ref="F154">IFERROR(_xlfn.LET(
_xlpm.CSVVal,_xlfn.XLOOKUP($A154,CSV!$A:$A,CSV!F:F,""),
_xlpm.MacVal,_xlfn.XLOOKUP($A154,Output_Mac!$A:$A,Output_Mac!F:F,""),
_xlpm.MyAuditVal,_xlfn.XLOOKUP($A154,My_Audit!$A:$A,My_Audit!E:E,""),
_xlfn.IFS(_xlpm.MyAuditVal&lt;&gt;"",_xlpm.MyAuditVal,_xlpm.MacVal&lt;&gt;"",_xlpm.MacVal,_xlpm.CSVVal&lt;&gt;"",PROPER(_xlpm.CSVVal)
)),"")</f>
        <v/>
      </c>
      <c r="G154" s="45" t="str" cm="1">
        <f t="array" ref="G154">IFERROR(_xlfn.LET(
_xlpm.CSVVal,_xlfn.XLOOKUP($A154,CSV!$A:$A,CSV!G:G,""),
_xlpm.MacVal,_xlfn.XLOOKUP($A154,Output_Mac!$A:$A,Output_Mac!H:H,""),
_xlpm.MyAuditVal,_xlfn.XLOOKUP($A154,My_Audit!$A:$A,My_Audit!F:F,""),
_xlfn.IFS(_xlpm.MyAuditVal&lt;&gt;"",_xlpm.MyAuditVal,_xlpm.MacVal&lt;&gt;"",_xlpm.MacVal,_xlpm.CSVVal&lt;&gt;"",_xlpm.CSVVal
)),"")</f>
        <v/>
      </c>
      <c r="H154" s="45" t="str">
        <f>_xlfn.XLOOKUP(A154,Output_Mac!A:A,Output_Mac!I:I,"")</f>
        <v/>
      </c>
      <c r="I154" s="45" t="str" cm="1">
        <f t="array" ref="I154">IFERROR(_xlfn.LET(
_xlpm.CSVVal,_xlfn.XLOOKUP($A154,CSV!$A:$A,CSV!H:H,""),
_xlpm.MacVal,_xlfn.XLOOKUP($A154,Output_Mac!$A:$A,Output_Mac!J:J,""),
_xlpm.MyAuditVal,_xlfn.XLOOKUP($A154,My_Audit!$A:$A,My_Audit!H:H,""),
_xlfn.IFS(_xlpm.MyAuditVal&lt;&gt;"",UPPER(_xlpm.MyAuditVal),_xlpm.MacVal&lt;&gt;"",_xlpm.MacVal,_xlpm.CSVVal&lt;&gt;"",_xlpm.CSVVal
)),"")</f>
        <v/>
      </c>
      <c r="J154" s="45" t="str" cm="1">
        <f t="array" ref="J154">IFERROR(_xlfn.LET(
_xlpm.CSVVal,_xlfn.XLOOKUP($A154,CSV!$A:$A,CSV!J:J,""),
_xlpm.MacVal,_xlfn.XLOOKUP($A154,Output_Mac!$A:$A,Output_Mac!K:K,""),
_xlpm.MyAuditVal,_xlfn.XLOOKUP($A154,My_Audit!$A:$A,My_Audit!I:I,""),
_xlfn.IFS(_xlpm.MyAuditVal&lt;&gt;"",UPPER(_xlpm.MyAuditVal),_xlpm.MacVal&lt;&gt;"",_xlpm.MacVal,_xlpm.CSVVal&lt;&gt;"",_xlpm.CSVVal
)),"")</f>
        <v/>
      </c>
      <c r="K154" s="45" t="str" cm="1">
        <f t="array" ref="K154">IFERROR(_xlfn.LET(
_xlpm.CSVVal,_xlfn.XLOOKUP($A154,CSV!$A:$A,CSV!N:N,""),
_xlpm.MacVal,_xlfn.XLOOKUP($A154,Output_Mac!$A:$A,Output_Mac!L:L,""),
_xlpm.MyAuditVal,_xlfn.XLOOKUP($A154,My_Audit!$A:$A,My_Audit!J:J,""),
_xlfn.IFS(_xlpm.MyAuditVal&lt;&gt;"",UPPER(_xlpm.MyAuditVal),_xlpm.MacVal&lt;&gt;"",_xlpm.MacVal,_xlpm.CSVVal&lt;&gt;"",_xlpm.CSVVal
)),"")</f>
        <v/>
      </c>
      <c r="L154" s="46" t="str" cm="1">
        <f t="array" ref="L154">IFERROR(_xlfn.LET(
_xlpm.CSVVal,_xlfn.XLOOKUP($A154,CSV!$A:$A,CSV!Q:Q,""),
_xlpm.MacVal,_xlfn.XLOOKUP($A154,Output_Mac!$A:$A,Output_Mac!M:M,""),
_xlpm.MyAuditVal,_xlfn.XLOOKUP($A154,My_Audit!$A:$A,My_Audit!K:K,""),
_xlfn.IFS(_xlpm.MyAuditVal&lt;&gt;"",UPPER(_xlpm.MyAuditVal),_xlpm.MacVal&lt;&gt;"",_xlpm.MacVal,_xlpm.CSVVal&lt;&gt;"",_xlpm.CSVVal
)),"")</f>
        <v/>
      </c>
      <c r="M154" s="45" t="str">
        <f>_xlfn.LET(
    _xlpm.CSVVal, _xlfn.XLOOKUP($A154, CSV!$A:$A, CSV!AE:AE, ""),
    _xlpm.MacVal, _xlfn.XLOOKUP($A154, Output_Mac!$A:$A, Output_Mac!S:S, ""),
    _xlpm.MyAuditVal, _xlfn.XLOOKUP($A154, My_Audit!$A:$A, My_Audit!N:N, ""),
    _xlfn.TEXTJOIN(", ", TRUE, _xlpm.MyAuditVal, _xlpm.MacVal, _xlpm.CSVVal)
)</f>
        <v/>
      </c>
      <c r="N154" s="45" t="str" cm="1">
        <f t="array" ref="N154">IFERROR(_xlfn.LET(
_xlpm.CSVVal,_xlfn.XLOOKUP($A154,CSV!$A:$A,CSV!AG:AG,""),
_xlpm.MacVal,_xlfn.XLOOKUP($A154,Output_Mac!$A:$A,Output_Mac!U:U,""),
_xlpm.MyAuditVal,_xlfn.XLOOKUP($A154,My_Audit!$A:$A,My_Audit!O:O,""),
_xlfn.IFS(_xlpm.MyAuditVal&lt;&gt;"",UPPER(_xlpm.MyAuditVal),_xlpm.MacVal&lt;&gt;"",_xlpm.MacVal,_xlpm.CSVVal&lt;&gt;"",_xlpm.CSVVal
)),"")</f>
        <v/>
      </c>
      <c r="O154" s="46" t="str">
        <f>_xlfn.XLOOKUP(C154,My_Audit!B:B,My_Audit!P:P,"")&amp;""</f>
        <v/>
      </c>
      <c r="P154" s="45"/>
      <c r="Q154" s="46" t="str">
        <f>IF(LEFT(N154,4)="Pass","Nist SP 800-88",My_Audit!R154)&amp;""</f>
        <v/>
      </c>
      <c r="R154" s="45"/>
      <c r="S154" s="45"/>
      <c r="T154" s="46" t="str">
        <f>_xlfn.XLOOKUP(E154,Models!I:I,Models!J:J,"")</f>
        <v/>
      </c>
      <c r="U154" s="45"/>
      <c r="V154" s="45"/>
      <c r="W154" s="38" t="str">
        <f>_xlfn.LET(
    _xlpm.MacVal, _xlfn.XLOOKUP($A154, Output_Mac!$A:$A, Output_Mac!AB:AB, ""),
    _xlpm.MyAuditVal, _xlfn.XLOOKUP($A154, My_Audit!$A:$A, My_Audit!L:L, ""),
    _xlfn.TEXTJOIN(", ", TRUE, _xlpm.MyAuditVal, _xlpm.MacVal)
)</f>
        <v/>
      </c>
    </row>
    <row r="155" spans="1:23">
      <c r="A155" s="45" t="str">
        <f>_xlfn.TEXTJOIN("",TRUE,Input!$B$2,ROW(My_Audit!A154))</f>
        <v>XX154</v>
      </c>
      <c r="B155" s="45" t="str">
        <f>_xlfn.TEXTJOIN("-",TRUE,"ITD",Input!$A$2,A155)</f>
        <v>ITD-SHRXXX-XX154</v>
      </c>
      <c r="C155" s="45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46" t="str" cm="1">
        <f t="array" ref="D155">IFERROR(_xlfn.LET(
_xlpm.CSVVal,_xlfn.XLOOKUP($A155,CSV!$A:$A,CSV!C:C,""),
_xlpm.MacVal,_xlfn.XLOOKUP($A155,Output_Mac!$A:$A,Output_Mac!D:D,""),
_xlpm.MyAuditVal,_xlfn.XLOOKUP($A155,My_Audit!$A:$A,My_Audit!C:C,""),
_xlfn.IFS(_xlpm.MyAuditVal&lt;&gt;"",UPPER(_xlpm.MyAuditVal),_xlpm.MacVal&lt;&gt;"",_xlpm.MacVal,_xlpm.CSVVal&lt;&gt;"",_xlpm.CSVVal
)),"")</f>
        <v/>
      </c>
      <c r="E155" s="46" t="str" cm="1">
        <f t="array" ref="E155">IFERROR(_xlfn.LET(
_xlpm.CSVVal,_xlfn.XLOOKUP($A155,CSV!$A:$A,CSV!E:E,""),
_xlpm.MacVal,_xlfn.XLOOKUP($A155,Output_Mac!$A:$A,Output_Mac!C:C,""),
_xlpm.MyAuditVal,_xlfn.XLOOKUP($A155,My_Audit!$A:$A,My_Audit!D:D,""),
_xlfn.IFS(_xlpm.MyAuditVal&lt;&gt;"",_xlpm.MyAuditVal,_xlpm.MacVal&lt;&gt;"",_xlpm.MacVal,_xlpm.CSVVal&lt;&gt;"",_xlpm.CSVVal
)),"")</f>
        <v/>
      </c>
      <c r="F155" s="45" t="str" cm="1">
        <f t="array" ref="F155">IFERROR(_xlfn.LET(
_xlpm.CSVVal,_xlfn.XLOOKUP($A155,CSV!$A:$A,CSV!F:F,""),
_xlpm.MacVal,_xlfn.XLOOKUP($A155,Output_Mac!$A:$A,Output_Mac!F:F,""),
_xlpm.MyAuditVal,_xlfn.XLOOKUP($A155,My_Audit!$A:$A,My_Audit!E:E,""),
_xlfn.IFS(_xlpm.MyAuditVal&lt;&gt;"",_xlpm.MyAuditVal,_xlpm.MacVal&lt;&gt;"",_xlpm.MacVal,_xlpm.CSVVal&lt;&gt;"",PROPER(_xlpm.CSVVal)
)),"")</f>
        <v/>
      </c>
      <c r="G155" s="45" t="str" cm="1">
        <f t="array" ref="G155">IFERROR(_xlfn.LET(
_xlpm.CSVVal,_xlfn.XLOOKUP($A155,CSV!$A:$A,CSV!G:G,""),
_xlpm.MacVal,_xlfn.XLOOKUP($A155,Output_Mac!$A:$A,Output_Mac!H:H,""),
_xlpm.MyAuditVal,_xlfn.XLOOKUP($A155,My_Audit!$A:$A,My_Audit!F:F,""),
_xlfn.IFS(_xlpm.MyAuditVal&lt;&gt;"",_xlpm.MyAuditVal,_xlpm.MacVal&lt;&gt;"",_xlpm.MacVal,_xlpm.CSVVal&lt;&gt;"",_xlpm.CSVVal
)),"")</f>
        <v/>
      </c>
      <c r="H155" s="45" t="str">
        <f>_xlfn.XLOOKUP(A155,Output_Mac!A:A,Output_Mac!I:I,"")</f>
        <v/>
      </c>
      <c r="I155" s="45" t="str" cm="1">
        <f t="array" ref="I155">IFERROR(_xlfn.LET(
_xlpm.CSVVal,_xlfn.XLOOKUP($A155,CSV!$A:$A,CSV!H:H,""),
_xlpm.MacVal,_xlfn.XLOOKUP($A155,Output_Mac!$A:$A,Output_Mac!J:J,""),
_xlpm.MyAuditVal,_xlfn.XLOOKUP($A155,My_Audit!$A:$A,My_Audit!H:H,""),
_xlfn.IFS(_xlpm.MyAuditVal&lt;&gt;"",UPPER(_xlpm.MyAuditVal),_xlpm.MacVal&lt;&gt;"",_xlpm.MacVal,_xlpm.CSVVal&lt;&gt;"",_xlpm.CSVVal
)),"")</f>
        <v/>
      </c>
      <c r="J155" s="45" t="str" cm="1">
        <f t="array" ref="J155">IFERROR(_xlfn.LET(
_xlpm.CSVVal,_xlfn.XLOOKUP($A155,CSV!$A:$A,CSV!J:J,""),
_xlpm.MacVal,_xlfn.XLOOKUP($A155,Output_Mac!$A:$A,Output_Mac!K:K,""),
_xlpm.MyAuditVal,_xlfn.XLOOKUP($A155,My_Audit!$A:$A,My_Audit!I:I,""),
_xlfn.IFS(_xlpm.MyAuditVal&lt;&gt;"",UPPER(_xlpm.MyAuditVal),_xlpm.MacVal&lt;&gt;"",_xlpm.MacVal,_xlpm.CSVVal&lt;&gt;"",_xlpm.CSVVal
)),"")</f>
        <v/>
      </c>
      <c r="K155" s="45" t="str" cm="1">
        <f t="array" ref="K155">IFERROR(_xlfn.LET(
_xlpm.CSVVal,_xlfn.XLOOKUP($A155,CSV!$A:$A,CSV!N:N,""),
_xlpm.MacVal,_xlfn.XLOOKUP($A155,Output_Mac!$A:$A,Output_Mac!L:L,""),
_xlpm.MyAuditVal,_xlfn.XLOOKUP($A155,My_Audit!$A:$A,My_Audit!J:J,""),
_xlfn.IFS(_xlpm.MyAuditVal&lt;&gt;"",UPPER(_xlpm.MyAuditVal),_xlpm.MacVal&lt;&gt;"",_xlpm.MacVal,_xlpm.CSVVal&lt;&gt;"",_xlpm.CSVVal
)),"")</f>
        <v/>
      </c>
      <c r="L155" s="46" t="str" cm="1">
        <f t="array" ref="L155">IFERROR(_xlfn.LET(
_xlpm.CSVVal,_xlfn.XLOOKUP($A155,CSV!$A:$A,CSV!Q:Q,""),
_xlpm.MacVal,_xlfn.XLOOKUP($A155,Output_Mac!$A:$A,Output_Mac!M:M,""),
_xlpm.MyAuditVal,_xlfn.XLOOKUP($A155,My_Audit!$A:$A,My_Audit!K:K,""),
_xlfn.IFS(_xlpm.MyAuditVal&lt;&gt;"",UPPER(_xlpm.MyAuditVal),_xlpm.MacVal&lt;&gt;"",_xlpm.MacVal,_xlpm.CSVVal&lt;&gt;"",_xlpm.CSVVal
)),"")</f>
        <v/>
      </c>
      <c r="M155" s="45" t="str">
        <f>_xlfn.LET(
    _xlpm.CSVVal, _xlfn.XLOOKUP($A155, CSV!$A:$A, CSV!AE:AE, ""),
    _xlpm.MacVal, _xlfn.XLOOKUP($A155, Output_Mac!$A:$A, Output_Mac!S:S, ""),
    _xlpm.MyAuditVal, _xlfn.XLOOKUP($A155, My_Audit!$A:$A, My_Audit!N:N, ""),
    _xlfn.TEXTJOIN(", ", TRUE, _xlpm.MyAuditVal, _xlpm.MacVal, _xlpm.CSVVal)
)</f>
        <v/>
      </c>
      <c r="N155" s="45" t="str" cm="1">
        <f t="array" ref="N155">IFERROR(_xlfn.LET(
_xlpm.CSVVal,_xlfn.XLOOKUP($A155,CSV!$A:$A,CSV!AG:AG,""),
_xlpm.MacVal,_xlfn.XLOOKUP($A155,Output_Mac!$A:$A,Output_Mac!U:U,""),
_xlpm.MyAuditVal,_xlfn.XLOOKUP($A155,My_Audit!$A:$A,My_Audit!O:O,""),
_xlfn.IFS(_xlpm.MyAuditVal&lt;&gt;"",UPPER(_xlpm.MyAuditVal),_xlpm.MacVal&lt;&gt;"",_xlpm.MacVal,_xlpm.CSVVal&lt;&gt;"",_xlpm.CSVVal
)),"")</f>
        <v/>
      </c>
      <c r="O155" s="46" t="str">
        <f>_xlfn.XLOOKUP(C155,My_Audit!B:B,My_Audit!P:P,"")&amp;""</f>
        <v/>
      </c>
      <c r="P155" s="45"/>
      <c r="Q155" s="46" t="str">
        <f>IF(LEFT(N155,4)="Pass","Nist SP 800-88",My_Audit!R155)&amp;""</f>
        <v/>
      </c>
      <c r="R155" s="45"/>
      <c r="S155" s="45"/>
      <c r="T155" s="46" t="str">
        <f>_xlfn.XLOOKUP(E155,Models!I:I,Models!J:J,"")</f>
        <v/>
      </c>
      <c r="U155" s="45"/>
      <c r="V155" s="45"/>
      <c r="W155" s="38" t="str">
        <f>_xlfn.LET(
    _xlpm.MacVal, _xlfn.XLOOKUP($A155, Output_Mac!$A:$A, Output_Mac!AB:AB, ""),
    _xlpm.MyAuditVal, _xlfn.XLOOKUP($A155, My_Audit!$A:$A, My_Audit!L:L, ""),
    _xlfn.TEXTJOIN(", ", TRUE, _xlpm.MyAuditVal, _xlpm.MacVal)
)</f>
        <v/>
      </c>
    </row>
    <row r="156" spans="1:23">
      <c r="A156" s="45" t="str">
        <f>_xlfn.TEXTJOIN("",TRUE,Input!$B$2,ROW(My_Audit!A155))</f>
        <v>XX155</v>
      </c>
      <c r="B156" s="45" t="str">
        <f>_xlfn.TEXTJOIN("-",TRUE,"ITD",Input!$A$2,A156)</f>
        <v>ITD-SHRXXX-XX155</v>
      </c>
      <c r="C156" s="45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46" t="str" cm="1">
        <f t="array" ref="D156">IFERROR(_xlfn.LET(
_xlpm.CSVVal,_xlfn.XLOOKUP($A156,CSV!$A:$A,CSV!C:C,""),
_xlpm.MacVal,_xlfn.XLOOKUP($A156,Output_Mac!$A:$A,Output_Mac!D:D,""),
_xlpm.MyAuditVal,_xlfn.XLOOKUP($A156,My_Audit!$A:$A,My_Audit!C:C,""),
_xlfn.IFS(_xlpm.MyAuditVal&lt;&gt;"",UPPER(_xlpm.MyAuditVal),_xlpm.MacVal&lt;&gt;"",_xlpm.MacVal,_xlpm.CSVVal&lt;&gt;"",_xlpm.CSVVal
)),"")</f>
        <v/>
      </c>
      <c r="E156" s="46" t="str" cm="1">
        <f t="array" ref="E156">IFERROR(_xlfn.LET(
_xlpm.CSVVal,_xlfn.XLOOKUP($A156,CSV!$A:$A,CSV!E:E,""),
_xlpm.MacVal,_xlfn.XLOOKUP($A156,Output_Mac!$A:$A,Output_Mac!C:C,""),
_xlpm.MyAuditVal,_xlfn.XLOOKUP($A156,My_Audit!$A:$A,My_Audit!D:D,""),
_xlfn.IFS(_xlpm.MyAuditVal&lt;&gt;"",_xlpm.MyAuditVal,_xlpm.MacVal&lt;&gt;"",_xlpm.MacVal,_xlpm.CSVVal&lt;&gt;"",_xlpm.CSVVal
)),"")</f>
        <v/>
      </c>
      <c r="F156" s="45" t="str" cm="1">
        <f t="array" ref="F156">IFERROR(_xlfn.LET(
_xlpm.CSVVal,_xlfn.XLOOKUP($A156,CSV!$A:$A,CSV!F:F,""),
_xlpm.MacVal,_xlfn.XLOOKUP($A156,Output_Mac!$A:$A,Output_Mac!F:F,""),
_xlpm.MyAuditVal,_xlfn.XLOOKUP($A156,My_Audit!$A:$A,My_Audit!E:E,""),
_xlfn.IFS(_xlpm.MyAuditVal&lt;&gt;"",_xlpm.MyAuditVal,_xlpm.MacVal&lt;&gt;"",_xlpm.MacVal,_xlpm.CSVVal&lt;&gt;"",PROPER(_xlpm.CSVVal)
)),"")</f>
        <v/>
      </c>
      <c r="G156" s="45" t="str" cm="1">
        <f t="array" ref="G156">IFERROR(_xlfn.LET(
_xlpm.CSVVal,_xlfn.XLOOKUP($A156,CSV!$A:$A,CSV!G:G,""),
_xlpm.MacVal,_xlfn.XLOOKUP($A156,Output_Mac!$A:$A,Output_Mac!H:H,""),
_xlpm.MyAuditVal,_xlfn.XLOOKUP($A156,My_Audit!$A:$A,My_Audit!F:F,""),
_xlfn.IFS(_xlpm.MyAuditVal&lt;&gt;"",_xlpm.MyAuditVal,_xlpm.MacVal&lt;&gt;"",_xlpm.MacVal,_xlpm.CSVVal&lt;&gt;"",_xlpm.CSVVal
)),"")</f>
        <v/>
      </c>
      <c r="H156" s="45" t="str">
        <f>_xlfn.XLOOKUP(A156,Output_Mac!A:A,Output_Mac!I:I,"")</f>
        <v/>
      </c>
      <c r="I156" s="45" t="str" cm="1">
        <f t="array" ref="I156">IFERROR(_xlfn.LET(
_xlpm.CSVVal,_xlfn.XLOOKUP($A156,CSV!$A:$A,CSV!H:H,""),
_xlpm.MacVal,_xlfn.XLOOKUP($A156,Output_Mac!$A:$A,Output_Mac!J:J,""),
_xlpm.MyAuditVal,_xlfn.XLOOKUP($A156,My_Audit!$A:$A,My_Audit!H:H,""),
_xlfn.IFS(_xlpm.MyAuditVal&lt;&gt;"",UPPER(_xlpm.MyAuditVal),_xlpm.MacVal&lt;&gt;"",_xlpm.MacVal,_xlpm.CSVVal&lt;&gt;"",_xlpm.CSVVal
)),"")</f>
        <v/>
      </c>
      <c r="J156" s="45" t="str" cm="1">
        <f t="array" ref="J156">IFERROR(_xlfn.LET(
_xlpm.CSVVal,_xlfn.XLOOKUP($A156,CSV!$A:$A,CSV!J:J,""),
_xlpm.MacVal,_xlfn.XLOOKUP($A156,Output_Mac!$A:$A,Output_Mac!K:K,""),
_xlpm.MyAuditVal,_xlfn.XLOOKUP($A156,My_Audit!$A:$A,My_Audit!I:I,""),
_xlfn.IFS(_xlpm.MyAuditVal&lt;&gt;"",UPPER(_xlpm.MyAuditVal),_xlpm.MacVal&lt;&gt;"",_xlpm.MacVal,_xlpm.CSVVal&lt;&gt;"",_xlpm.CSVVal
)),"")</f>
        <v/>
      </c>
      <c r="K156" s="45" t="str" cm="1">
        <f t="array" ref="K156">IFERROR(_xlfn.LET(
_xlpm.CSVVal,_xlfn.XLOOKUP($A156,CSV!$A:$A,CSV!N:N,""),
_xlpm.MacVal,_xlfn.XLOOKUP($A156,Output_Mac!$A:$A,Output_Mac!L:L,""),
_xlpm.MyAuditVal,_xlfn.XLOOKUP($A156,My_Audit!$A:$A,My_Audit!J:J,""),
_xlfn.IFS(_xlpm.MyAuditVal&lt;&gt;"",UPPER(_xlpm.MyAuditVal),_xlpm.MacVal&lt;&gt;"",_xlpm.MacVal,_xlpm.CSVVal&lt;&gt;"",_xlpm.CSVVal
)),"")</f>
        <v/>
      </c>
      <c r="L156" s="46" t="str" cm="1">
        <f t="array" ref="L156">IFERROR(_xlfn.LET(
_xlpm.CSVVal,_xlfn.XLOOKUP($A156,CSV!$A:$A,CSV!Q:Q,""),
_xlpm.MacVal,_xlfn.XLOOKUP($A156,Output_Mac!$A:$A,Output_Mac!M:M,""),
_xlpm.MyAuditVal,_xlfn.XLOOKUP($A156,My_Audit!$A:$A,My_Audit!K:K,""),
_xlfn.IFS(_xlpm.MyAuditVal&lt;&gt;"",UPPER(_xlpm.MyAuditVal),_xlpm.MacVal&lt;&gt;"",_xlpm.MacVal,_xlpm.CSVVal&lt;&gt;"",_xlpm.CSVVal
)),"")</f>
        <v/>
      </c>
      <c r="M156" s="45" t="str">
        <f>_xlfn.LET(
    _xlpm.CSVVal, _xlfn.XLOOKUP($A156, CSV!$A:$A, CSV!AE:AE, ""),
    _xlpm.MacVal, _xlfn.XLOOKUP($A156, Output_Mac!$A:$A, Output_Mac!S:S, ""),
    _xlpm.MyAuditVal, _xlfn.XLOOKUP($A156, My_Audit!$A:$A, My_Audit!N:N, ""),
    _xlfn.TEXTJOIN(", ", TRUE, _xlpm.MyAuditVal, _xlpm.MacVal, _xlpm.CSVVal)
)</f>
        <v/>
      </c>
      <c r="N156" s="45" t="str" cm="1">
        <f t="array" ref="N156">IFERROR(_xlfn.LET(
_xlpm.CSVVal,_xlfn.XLOOKUP($A156,CSV!$A:$A,CSV!AG:AG,""),
_xlpm.MacVal,_xlfn.XLOOKUP($A156,Output_Mac!$A:$A,Output_Mac!U:U,""),
_xlpm.MyAuditVal,_xlfn.XLOOKUP($A156,My_Audit!$A:$A,My_Audit!O:O,""),
_xlfn.IFS(_xlpm.MyAuditVal&lt;&gt;"",UPPER(_xlpm.MyAuditVal),_xlpm.MacVal&lt;&gt;"",_xlpm.MacVal,_xlpm.CSVVal&lt;&gt;"",_xlpm.CSVVal
)),"")</f>
        <v/>
      </c>
      <c r="O156" s="46" t="str">
        <f>_xlfn.XLOOKUP(C156,My_Audit!B:B,My_Audit!P:P,"")&amp;""</f>
        <v/>
      </c>
      <c r="P156" s="45"/>
      <c r="Q156" s="46" t="str">
        <f>IF(LEFT(N156,4)="Pass","Nist SP 800-88",My_Audit!R156)&amp;""</f>
        <v/>
      </c>
      <c r="R156" s="45"/>
      <c r="S156" s="45"/>
      <c r="T156" s="46" t="str">
        <f>_xlfn.XLOOKUP(E156,Models!I:I,Models!J:J,"")</f>
        <v/>
      </c>
      <c r="U156" s="45"/>
      <c r="V156" s="45"/>
      <c r="W156" s="38" t="str">
        <f>_xlfn.LET(
    _xlpm.MacVal, _xlfn.XLOOKUP($A156, Output_Mac!$A:$A, Output_Mac!AB:AB, ""),
    _xlpm.MyAuditVal, _xlfn.XLOOKUP($A156, My_Audit!$A:$A, My_Audit!L:L, ""),
    _xlfn.TEXTJOIN(", ", TRUE, _xlpm.MyAuditVal, _xlpm.MacVal)
)</f>
        <v/>
      </c>
    </row>
    <row r="157" spans="1:23">
      <c r="A157" s="45" t="str">
        <f>_xlfn.TEXTJOIN("",TRUE,Input!$B$2,ROW(My_Audit!A156))</f>
        <v>XX156</v>
      </c>
      <c r="B157" s="45" t="str">
        <f>_xlfn.TEXTJOIN("-",TRUE,"ITD",Input!$A$2,A157)</f>
        <v>ITD-SHRXXX-XX156</v>
      </c>
      <c r="C157" s="45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46" t="str" cm="1">
        <f t="array" ref="D157">IFERROR(_xlfn.LET(
_xlpm.CSVVal,_xlfn.XLOOKUP($A157,CSV!$A:$A,CSV!C:C,""),
_xlpm.MacVal,_xlfn.XLOOKUP($A157,Output_Mac!$A:$A,Output_Mac!D:D,""),
_xlpm.MyAuditVal,_xlfn.XLOOKUP($A157,My_Audit!$A:$A,My_Audit!C:C,""),
_xlfn.IFS(_xlpm.MyAuditVal&lt;&gt;"",UPPER(_xlpm.MyAuditVal),_xlpm.MacVal&lt;&gt;"",_xlpm.MacVal,_xlpm.CSVVal&lt;&gt;"",_xlpm.CSVVal
)),"")</f>
        <v/>
      </c>
      <c r="E157" s="46" t="str" cm="1">
        <f t="array" ref="E157">IFERROR(_xlfn.LET(
_xlpm.CSVVal,_xlfn.XLOOKUP($A157,CSV!$A:$A,CSV!E:E,""),
_xlpm.MacVal,_xlfn.XLOOKUP($A157,Output_Mac!$A:$A,Output_Mac!C:C,""),
_xlpm.MyAuditVal,_xlfn.XLOOKUP($A157,My_Audit!$A:$A,My_Audit!D:D,""),
_xlfn.IFS(_xlpm.MyAuditVal&lt;&gt;"",_xlpm.MyAuditVal,_xlpm.MacVal&lt;&gt;"",_xlpm.MacVal,_xlpm.CSVVal&lt;&gt;"",_xlpm.CSVVal
)),"")</f>
        <v/>
      </c>
      <c r="F157" s="45" t="str" cm="1">
        <f t="array" ref="F157">IFERROR(_xlfn.LET(
_xlpm.CSVVal,_xlfn.XLOOKUP($A157,CSV!$A:$A,CSV!F:F,""),
_xlpm.MacVal,_xlfn.XLOOKUP($A157,Output_Mac!$A:$A,Output_Mac!F:F,""),
_xlpm.MyAuditVal,_xlfn.XLOOKUP($A157,My_Audit!$A:$A,My_Audit!E:E,""),
_xlfn.IFS(_xlpm.MyAuditVal&lt;&gt;"",_xlpm.MyAuditVal,_xlpm.MacVal&lt;&gt;"",_xlpm.MacVal,_xlpm.CSVVal&lt;&gt;"",PROPER(_xlpm.CSVVal)
)),"")</f>
        <v/>
      </c>
      <c r="G157" s="45" t="str" cm="1">
        <f t="array" ref="G157">IFERROR(_xlfn.LET(
_xlpm.CSVVal,_xlfn.XLOOKUP($A157,CSV!$A:$A,CSV!G:G,""),
_xlpm.MacVal,_xlfn.XLOOKUP($A157,Output_Mac!$A:$A,Output_Mac!H:H,""),
_xlpm.MyAuditVal,_xlfn.XLOOKUP($A157,My_Audit!$A:$A,My_Audit!F:F,""),
_xlfn.IFS(_xlpm.MyAuditVal&lt;&gt;"",_xlpm.MyAuditVal,_xlpm.MacVal&lt;&gt;"",_xlpm.MacVal,_xlpm.CSVVal&lt;&gt;"",_xlpm.CSVVal
)),"")</f>
        <v/>
      </c>
      <c r="H157" s="45" t="str">
        <f>_xlfn.XLOOKUP(A157,Output_Mac!A:A,Output_Mac!I:I,"")</f>
        <v/>
      </c>
      <c r="I157" s="45" t="str" cm="1">
        <f t="array" ref="I157">IFERROR(_xlfn.LET(
_xlpm.CSVVal,_xlfn.XLOOKUP($A157,CSV!$A:$A,CSV!H:H,""),
_xlpm.MacVal,_xlfn.XLOOKUP($A157,Output_Mac!$A:$A,Output_Mac!J:J,""),
_xlpm.MyAuditVal,_xlfn.XLOOKUP($A157,My_Audit!$A:$A,My_Audit!H:H,""),
_xlfn.IFS(_xlpm.MyAuditVal&lt;&gt;"",UPPER(_xlpm.MyAuditVal),_xlpm.MacVal&lt;&gt;"",_xlpm.MacVal,_xlpm.CSVVal&lt;&gt;"",_xlpm.CSVVal
)),"")</f>
        <v/>
      </c>
      <c r="J157" s="45" t="str" cm="1">
        <f t="array" ref="J157">IFERROR(_xlfn.LET(
_xlpm.CSVVal,_xlfn.XLOOKUP($A157,CSV!$A:$A,CSV!J:J,""),
_xlpm.MacVal,_xlfn.XLOOKUP($A157,Output_Mac!$A:$A,Output_Mac!K:K,""),
_xlpm.MyAuditVal,_xlfn.XLOOKUP($A157,My_Audit!$A:$A,My_Audit!I:I,""),
_xlfn.IFS(_xlpm.MyAuditVal&lt;&gt;"",UPPER(_xlpm.MyAuditVal),_xlpm.MacVal&lt;&gt;"",_xlpm.MacVal,_xlpm.CSVVal&lt;&gt;"",_xlpm.CSVVal
)),"")</f>
        <v/>
      </c>
      <c r="K157" s="45" t="str" cm="1">
        <f t="array" ref="K157">IFERROR(_xlfn.LET(
_xlpm.CSVVal,_xlfn.XLOOKUP($A157,CSV!$A:$A,CSV!N:N,""),
_xlpm.MacVal,_xlfn.XLOOKUP($A157,Output_Mac!$A:$A,Output_Mac!L:L,""),
_xlpm.MyAuditVal,_xlfn.XLOOKUP($A157,My_Audit!$A:$A,My_Audit!J:J,""),
_xlfn.IFS(_xlpm.MyAuditVal&lt;&gt;"",UPPER(_xlpm.MyAuditVal),_xlpm.MacVal&lt;&gt;"",_xlpm.MacVal,_xlpm.CSVVal&lt;&gt;"",_xlpm.CSVVal
)),"")</f>
        <v/>
      </c>
      <c r="L157" s="46" t="str" cm="1">
        <f t="array" ref="L157">IFERROR(_xlfn.LET(
_xlpm.CSVVal,_xlfn.XLOOKUP($A157,CSV!$A:$A,CSV!Q:Q,""),
_xlpm.MacVal,_xlfn.XLOOKUP($A157,Output_Mac!$A:$A,Output_Mac!M:M,""),
_xlpm.MyAuditVal,_xlfn.XLOOKUP($A157,My_Audit!$A:$A,My_Audit!K:K,""),
_xlfn.IFS(_xlpm.MyAuditVal&lt;&gt;"",UPPER(_xlpm.MyAuditVal),_xlpm.MacVal&lt;&gt;"",_xlpm.MacVal,_xlpm.CSVVal&lt;&gt;"",_xlpm.CSVVal
)),"")</f>
        <v/>
      </c>
      <c r="M157" s="45" t="str">
        <f>_xlfn.LET(
    _xlpm.CSVVal, _xlfn.XLOOKUP($A157, CSV!$A:$A, CSV!AE:AE, ""),
    _xlpm.MacVal, _xlfn.XLOOKUP($A157, Output_Mac!$A:$A, Output_Mac!S:S, ""),
    _xlpm.MyAuditVal, _xlfn.XLOOKUP($A157, My_Audit!$A:$A, My_Audit!N:N, ""),
    _xlfn.TEXTJOIN(", ", TRUE, _xlpm.MyAuditVal, _xlpm.MacVal, _xlpm.CSVVal)
)</f>
        <v/>
      </c>
      <c r="N157" s="45" t="str" cm="1">
        <f t="array" ref="N157">IFERROR(_xlfn.LET(
_xlpm.CSVVal,_xlfn.XLOOKUP($A157,CSV!$A:$A,CSV!AG:AG,""),
_xlpm.MacVal,_xlfn.XLOOKUP($A157,Output_Mac!$A:$A,Output_Mac!U:U,""),
_xlpm.MyAuditVal,_xlfn.XLOOKUP($A157,My_Audit!$A:$A,My_Audit!O:O,""),
_xlfn.IFS(_xlpm.MyAuditVal&lt;&gt;"",UPPER(_xlpm.MyAuditVal),_xlpm.MacVal&lt;&gt;"",_xlpm.MacVal,_xlpm.CSVVal&lt;&gt;"",_xlpm.CSVVal
)),"")</f>
        <v/>
      </c>
      <c r="O157" s="46" t="str">
        <f>_xlfn.XLOOKUP(C157,My_Audit!B:B,My_Audit!P:P,"")&amp;""</f>
        <v/>
      </c>
      <c r="P157" s="45"/>
      <c r="Q157" s="46" t="str">
        <f>IF(LEFT(N157,4)="Pass","Nist SP 800-88",My_Audit!R157)&amp;""</f>
        <v/>
      </c>
      <c r="R157" s="45"/>
      <c r="S157" s="45"/>
      <c r="T157" s="46" t="str">
        <f>_xlfn.XLOOKUP(E157,Models!I:I,Models!J:J,"")</f>
        <v/>
      </c>
      <c r="U157" s="45"/>
      <c r="V157" s="45"/>
      <c r="W157" s="38" t="str">
        <f>_xlfn.LET(
    _xlpm.MacVal, _xlfn.XLOOKUP($A157, Output_Mac!$A:$A, Output_Mac!AB:AB, ""),
    _xlpm.MyAuditVal, _xlfn.XLOOKUP($A157, My_Audit!$A:$A, My_Audit!L:L, ""),
    _xlfn.TEXTJOIN(", ", TRUE, _xlpm.MyAuditVal, _xlpm.MacVal)
)</f>
        <v/>
      </c>
    </row>
    <row r="158" spans="1:23">
      <c r="A158" s="45" t="str">
        <f>_xlfn.TEXTJOIN("",TRUE,Input!$B$2,ROW(My_Audit!A157))</f>
        <v>XX157</v>
      </c>
      <c r="B158" s="45" t="str">
        <f>_xlfn.TEXTJOIN("-",TRUE,"ITD",Input!$A$2,A158)</f>
        <v>ITD-SHRXXX-XX157</v>
      </c>
      <c r="C158" s="45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46" t="str" cm="1">
        <f t="array" ref="D158">IFERROR(_xlfn.LET(
_xlpm.CSVVal,_xlfn.XLOOKUP($A158,CSV!$A:$A,CSV!C:C,""),
_xlpm.MacVal,_xlfn.XLOOKUP($A158,Output_Mac!$A:$A,Output_Mac!D:D,""),
_xlpm.MyAuditVal,_xlfn.XLOOKUP($A158,My_Audit!$A:$A,My_Audit!C:C,""),
_xlfn.IFS(_xlpm.MyAuditVal&lt;&gt;"",UPPER(_xlpm.MyAuditVal),_xlpm.MacVal&lt;&gt;"",_xlpm.MacVal,_xlpm.CSVVal&lt;&gt;"",_xlpm.CSVVal
)),"")</f>
        <v/>
      </c>
      <c r="E158" s="46" t="str" cm="1">
        <f t="array" ref="E158">IFERROR(_xlfn.LET(
_xlpm.CSVVal,_xlfn.XLOOKUP($A158,CSV!$A:$A,CSV!E:E,""),
_xlpm.MacVal,_xlfn.XLOOKUP($A158,Output_Mac!$A:$A,Output_Mac!C:C,""),
_xlpm.MyAuditVal,_xlfn.XLOOKUP($A158,My_Audit!$A:$A,My_Audit!D:D,""),
_xlfn.IFS(_xlpm.MyAuditVal&lt;&gt;"",_xlpm.MyAuditVal,_xlpm.MacVal&lt;&gt;"",_xlpm.MacVal,_xlpm.CSVVal&lt;&gt;"",_xlpm.CSVVal
)),"")</f>
        <v/>
      </c>
      <c r="F158" s="45" t="str" cm="1">
        <f t="array" ref="F158">IFERROR(_xlfn.LET(
_xlpm.CSVVal,_xlfn.XLOOKUP($A158,CSV!$A:$A,CSV!F:F,""),
_xlpm.MacVal,_xlfn.XLOOKUP($A158,Output_Mac!$A:$A,Output_Mac!F:F,""),
_xlpm.MyAuditVal,_xlfn.XLOOKUP($A158,My_Audit!$A:$A,My_Audit!E:E,""),
_xlfn.IFS(_xlpm.MyAuditVal&lt;&gt;"",_xlpm.MyAuditVal,_xlpm.MacVal&lt;&gt;"",_xlpm.MacVal,_xlpm.CSVVal&lt;&gt;"",PROPER(_xlpm.CSVVal)
)),"")</f>
        <v/>
      </c>
      <c r="G158" s="45" t="str" cm="1">
        <f t="array" ref="G158">IFERROR(_xlfn.LET(
_xlpm.CSVVal,_xlfn.XLOOKUP($A158,CSV!$A:$A,CSV!G:G,""),
_xlpm.MacVal,_xlfn.XLOOKUP($A158,Output_Mac!$A:$A,Output_Mac!H:H,""),
_xlpm.MyAuditVal,_xlfn.XLOOKUP($A158,My_Audit!$A:$A,My_Audit!F:F,""),
_xlfn.IFS(_xlpm.MyAuditVal&lt;&gt;"",_xlpm.MyAuditVal,_xlpm.MacVal&lt;&gt;"",_xlpm.MacVal,_xlpm.CSVVal&lt;&gt;"",_xlpm.CSVVal
)),"")</f>
        <v/>
      </c>
      <c r="H158" s="45" t="str">
        <f>_xlfn.XLOOKUP(A158,Output_Mac!A:A,Output_Mac!I:I,"")</f>
        <v/>
      </c>
      <c r="I158" s="45" t="str" cm="1">
        <f t="array" ref="I158">IFERROR(_xlfn.LET(
_xlpm.CSVVal,_xlfn.XLOOKUP($A158,CSV!$A:$A,CSV!H:H,""),
_xlpm.MacVal,_xlfn.XLOOKUP($A158,Output_Mac!$A:$A,Output_Mac!J:J,""),
_xlpm.MyAuditVal,_xlfn.XLOOKUP($A158,My_Audit!$A:$A,My_Audit!H:H,""),
_xlfn.IFS(_xlpm.MyAuditVal&lt;&gt;"",UPPER(_xlpm.MyAuditVal),_xlpm.MacVal&lt;&gt;"",_xlpm.MacVal,_xlpm.CSVVal&lt;&gt;"",_xlpm.CSVVal
)),"")</f>
        <v/>
      </c>
      <c r="J158" s="45" t="str" cm="1">
        <f t="array" ref="J158">IFERROR(_xlfn.LET(
_xlpm.CSVVal,_xlfn.XLOOKUP($A158,CSV!$A:$A,CSV!J:J,""),
_xlpm.MacVal,_xlfn.XLOOKUP($A158,Output_Mac!$A:$A,Output_Mac!K:K,""),
_xlpm.MyAuditVal,_xlfn.XLOOKUP($A158,My_Audit!$A:$A,My_Audit!I:I,""),
_xlfn.IFS(_xlpm.MyAuditVal&lt;&gt;"",UPPER(_xlpm.MyAuditVal),_xlpm.MacVal&lt;&gt;"",_xlpm.MacVal,_xlpm.CSVVal&lt;&gt;"",_xlpm.CSVVal
)),"")</f>
        <v/>
      </c>
      <c r="K158" s="45" t="str" cm="1">
        <f t="array" ref="K158">IFERROR(_xlfn.LET(
_xlpm.CSVVal,_xlfn.XLOOKUP($A158,CSV!$A:$A,CSV!N:N,""),
_xlpm.MacVal,_xlfn.XLOOKUP($A158,Output_Mac!$A:$A,Output_Mac!L:L,""),
_xlpm.MyAuditVal,_xlfn.XLOOKUP($A158,My_Audit!$A:$A,My_Audit!J:J,""),
_xlfn.IFS(_xlpm.MyAuditVal&lt;&gt;"",UPPER(_xlpm.MyAuditVal),_xlpm.MacVal&lt;&gt;"",_xlpm.MacVal,_xlpm.CSVVal&lt;&gt;"",_xlpm.CSVVal
)),"")</f>
        <v/>
      </c>
      <c r="L158" s="46" t="str" cm="1">
        <f t="array" ref="L158">IFERROR(_xlfn.LET(
_xlpm.CSVVal,_xlfn.XLOOKUP($A158,CSV!$A:$A,CSV!Q:Q,""),
_xlpm.MacVal,_xlfn.XLOOKUP($A158,Output_Mac!$A:$A,Output_Mac!M:M,""),
_xlpm.MyAuditVal,_xlfn.XLOOKUP($A158,My_Audit!$A:$A,My_Audit!K:K,""),
_xlfn.IFS(_xlpm.MyAuditVal&lt;&gt;"",UPPER(_xlpm.MyAuditVal),_xlpm.MacVal&lt;&gt;"",_xlpm.MacVal,_xlpm.CSVVal&lt;&gt;"",_xlpm.CSVVal
)),"")</f>
        <v/>
      </c>
      <c r="M158" s="45" t="str">
        <f>_xlfn.LET(
    _xlpm.CSVVal, _xlfn.XLOOKUP($A158, CSV!$A:$A, CSV!AE:AE, ""),
    _xlpm.MacVal, _xlfn.XLOOKUP($A158, Output_Mac!$A:$A, Output_Mac!S:S, ""),
    _xlpm.MyAuditVal, _xlfn.XLOOKUP($A158, My_Audit!$A:$A, My_Audit!N:N, ""),
    _xlfn.TEXTJOIN(", ", TRUE, _xlpm.MyAuditVal, _xlpm.MacVal, _xlpm.CSVVal)
)</f>
        <v/>
      </c>
      <c r="N158" s="45" t="str" cm="1">
        <f t="array" ref="N158">IFERROR(_xlfn.LET(
_xlpm.CSVVal,_xlfn.XLOOKUP($A158,CSV!$A:$A,CSV!AG:AG,""),
_xlpm.MacVal,_xlfn.XLOOKUP($A158,Output_Mac!$A:$A,Output_Mac!U:U,""),
_xlpm.MyAuditVal,_xlfn.XLOOKUP($A158,My_Audit!$A:$A,My_Audit!O:O,""),
_xlfn.IFS(_xlpm.MyAuditVal&lt;&gt;"",UPPER(_xlpm.MyAuditVal),_xlpm.MacVal&lt;&gt;"",_xlpm.MacVal,_xlpm.CSVVal&lt;&gt;"",_xlpm.CSVVal
)),"")</f>
        <v/>
      </c>
      <c r="O158" s="46" t="str">
        <f>_xlfn.XLOOKUP(C158,My_Audit!B:B,My_Audit!P:P,"")&amp;""</f>
        <v/>
      </c>
      <c r="P158" s="45"/>
      <c r="Q158" s="46" t="str">
        <f>IF(LEFT(N158,4)="Pass","Nist SP 800-88",My_Audit!R158)&amp;""</f>
        <v/>
      </c>
      <c r="R158" s="45"/>
      <c r="S158" s="45"/>
      <c r="T158" s="46" t="str">
        <f>_xlfn.XLOOKUP(E158,Models!I:I,Models!J:J,"")</f>
        <v/>
      </c>
      <c r="U158" s="45"/>
      <c r="V158" s="45"/>
      <c r="W158" s="38" t="str">
        <f>_xlfn.LET(
    _xlpm.MacVal, _xlfn.XLOOKUP($A158, Output_Mac!$A:$A, Output_Mac!AB:AB, ""),
    _xlpm.MyAuditVal, _xlfn.XLOOKUP($A158, My_Audit!$A:$A, My_Audit!L:L, ""),
    _xlfn.TEXTJOIN(", ", TRUE, _xlpm.MyAuditVal, _xlpm.MacVal)
)</f>
        <v/>
      </c>
    </row>
    <row r="159" spans="1:23">
      <c r="A159" s="45" t="str">
        <f>_xlfn.TEXTJOIN("",TRUE,Input!$B$2,ROW(My_Audit!A158))</f>
        <v>XX158</v>
      </c>
      <c r="B159" s="45" t="str">
        <f>_xlfn.TEXTJOIN("-",TRUE,"ITD",Input!$A$2,A159)</f>
        <v>ITD-SHRXXX-XX158</v>
      </c>
      <c r="C159" s="45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46" t="str" cm="1">
        <f t="array" ref="D159">IFERROR(_xlfn.LET(
_xlpm.CSVVal,_xlfn.XLOOKUP($A159,CSV!$A:$A,CSV!C:C,""),
_xlpm.MacVal,_xlfn.XLOOKUP($A159,Output_Mac!$A:$A,Output_Mac!D:D,""),
_xlpm.MyAuditVal,_xlfn.XLOOKUP($A159,My_Audit!$A:$A,My_Audit!C:C,""),
_xlfn.IFS(_xlpm.MyAuditVal&lt;&gt;"",UPPER(_xlpm.MyAuditVal),_xlpm.MacVal&lt;&gt;"",_xlpm.MacVal,_xlpm.CSVVal&lt;&gt;"",_xlpm.CSVVal
)),"")</f>
        <v/>
      </c>
      <c r="E159" s="46" t="str" cm="1">
        <f t="array" ref="E159">IFERROR(_xlfn.LET(
_xlpm.CSVVal,_xlfn.XLOOKUP($A159,CSV!$A:$A,CSV!E:E,""),
_xlpm.MacVal,_xlfn.XLOOKUP($A159,Output_Mac!$A:$A,Output_Mac!C:C,""),
_xlpm.MyAuditVal,_xlfn.XLOOKUP($A159,My_Audit!$A:$A,My_Audit!D:D,""),
_xlfn.IFS(_xlpm.MyAuditVal&lt;&gt;"",_xlpm.MyAuditVal,_xlpm.MacVal&lt;&gt;"",_xlpm.MacVal,_xlpm.CSVVal&lt;&gt;"",_xlpm.CSVVal
)),"")</f>
        <v/>
      </c>
      <c r="F159" s="45" t="str" cm="1">
        <f t="array" ref="F159">IFERROR(_xlfn.LET(
_xlpm.CSVVal,_xlfn.XLOOKUP($A159,CSV!$A:$A,CSV!F:F,""),
_xlpm.MacVal,_xlfn.XLOOKUP($A159,Output_Mac!$A:$A,Output_Mac!F:F,""),
_xlpm.MyAuditVal,_xlfn.XLOOKUP($A159,My_Audit!$A:$A,My_Audit!E:E,""),
_xlfn.IFS(_xlpm.MyAuditVal&lt;&gt;"",_xlpm.MyAuditVal,_xlpm.MacVal&lt;&gt;"",_xlpm.MacVal,_xlpm.CSVVal&lt;&gt;"",PROPER(_xlpm.CSVVal)
)),"")</f>
        <v/>
      </c>
      <c r="G159" s="45" t="str" cm="1">
        <f t="array" ref="G159">IFERROR(_xlfn.LET(
_xlpm.CSVVal,_xlfn.XLOOKUP($A159,CSV!$A:$A,CSV!G:G,""),
_xlpm.MacVal,_xlfn.XLOOKUP($A159,Output_Mac!$A:$A,Output_Mac!H:H,""),
_xlpm.MyAuditVal,_xlfn.XLOOKUP($A159,My_Audit!$A:$A,My_Audit!F:F,""),
_xlfn.IFS(_xlpm.MyAuditVal&lt;&gt;"",_xlpm.MyAuditVal,_xlpm.MacVal&lt;&gt;"",_xlpm.MacVal,_xlpm.CSVVal&lt;&gt;"",_xlpm.CSVVal
)),"")</f>
        <v/>
      </c>
      <c r="H159" s="45" t="str">
        <f>_xlfn.XLOOKUP(A159,Output_Mac!A:A,Output_Mac!I:I,"")</f>
        <v/>
      </c>
      <c r="I159" s="45" t="str" cm="1">
        <f t="array" ref="I159">IFERROR(_xlfn.LET(
_xlpm.CSVVal,_xlfn.XLOOKUP($A159,CSV!$A:$A,CSV!H:H,""),
_xlpm.MacVal,_xlfn.XLOOKUP($A159,Output_Mac!$A:$A,Output_Mac!J:J,""),
_xlpm.MyAuditVal,_xlfn.XLOOKUP($A159,My_Audit!$A:$A,My_Audit!H:H,""),
_xlfn.IFS(_xlpm.MyAuditVal&lt;&gt;"",UPPER(_xlpm.MyAuditVal),_xlpm.MacVal&lt;&gt;"",_xlpm.MacVal,_xlpm.CSVVal&lt;&gt;"",_xlpm.CSVVal
)),"")</f>
        <v/>
      </c>
      <c r="J159" s="45" t="str" cm="1">
        <f t="array" ref="J159">IFERROR(_xlfn.LET(
_xlpm.CSVVal,_xlfn.XLOOKUP($A159,CSV!$A:$A,CSV!J:J,""),
_xlpm.MacVal,_xlfn.XLOOKUP($A159,Output_Mac!$A:$A,Output_Mac!K:K,""),
_xlpm.MyAuditVal,_xlfn.XLOOKUP($A159,My_Audit!$A:$A,My_Audit!I:I,""),
_xlfn.IFS(_xlpm.MyAuditVal&lt;&gt;"",UPPER(_xlpm.MyAuditVal),_xlpm.MacVal&lt;&gt;"",_xlpm.MacVal,_xlpm.CSVVal&lt;&gt;"",_xlpm.CSVVal
)),"")</f>
        <v/>
      </c>
      <c r="K159" s="45" t="str" cm="1">
        <f t="array" ref="K159">IFERROR(_xlfn.LET(
_xlpm.CSVVal,_xlfn.XLOOKUP($A159,CSV!$A:$A,CSV!N:N,""),
_xlpm.MacVal,_xlfn.XLOOKUP($A159,Output_Mac!$A:$A,Output_Mac!L:L,""),
_xlpm.MyAuditVal,_xlfn.XLOOKUP($A159,My_Audit!$A:$A,My_Audit!J:J,""),
_xlfn.IFS(_xlpm.MyAuditVal&lt;&gt;"",UPPER(_xlpm.MyAuditVal),_xlpm.MacVal&lt;&gt;"",_xlpm.MacVal,_xlpm.CSVVal&lt;&gt;"",_xlpm.CSVVal
)),"")</f>
        <v/>
      </c>
      <c r="L159" s="46" t="str" cm="1">
        <f t="array" ref="L159">IFERROR(_xlfn.LET(
_xlpm.CSVVal,_xlfn.XLOOKUP($A159,CSV!$A:$A,CSV!Q:Q,""),
_xlpm.MacVal,_xlfn.XLOOKUP($A159,Output_Mac!$A:$A,Output_Mac!M:M,""),
_xlpm.MyAuditVal,_xlfn.XLOOKUP($A159,My_Audit!$A:$A,My_Audit!K:K,""),
_xlfn.IFS(_xlpm.MyAuditVal&lt;&gt;"",UPPER(_xlpm.MyAuditVal),_xlpm.MacVal&lt;&gt;"",_xlpm.MacVal,_xlpm.CSVVal&lt;&gt;"",_xlpm.CSVVal
)),"")</f>
        <v/>
      </c>
      <c r="M159" s="45" t="str">
        <f>_xlfn.LET(
    _xlpm.CSVVal, _xlfn.XLOOKUP($A159, CSV!$A:$A, CSV!AE:AE, ""),
    _xlpm.MacVal, _xlfn.XLOOKUP($A159, Output_Mac!$A:$A, Output_Mac!S:S, ""),
    _xlpm.MyAuditVal, _xlfn.XLOOKUP($A159, My_Audit!$A:$A, My_Audit!N:N, ""),
    _xlfn.TEXTJOIN(", ", TRUE, _xlpm.MyAuditVal, _xlpm.MacVal, _xlpm.CSVVal)
)</f>
        <v/>
      </c>
      <c r="N159" s="45" t="str" cm="1">
        <f t="array" ref="N159">IFERROR(_xlfn.LET(
_xlpm.CSVVal,_xlfn.XLOOKUP($A159,CSV!$A:$A,CSV!AG:AG,""),
_xlpm.MacVal,_xlfn.XLOOKUP($A159,Output_Mac!$A:$A,Output_Mac!U:U,""),
_xlpm.MyAuditVal,_xlfn.XLOOKUP($A159,My_Audit!$A:$A,My_Audit!O:O,""),
_xlfn.IFS(_xlpm.MyAuditVal&lt;&gt;"",UPPER(_xlpm.MyAuditVal),_xlpm.MacVal&lt;&gt;"",_xlpm.MacVal,_xlpm.CSVVal&lt;&gt;"",_xlpm.CSVVal
)),"")</f>
        <v/>
      </c>
      <c r="O159" s="46" t="str">
        <f>_xlfn.XLOOKUP(C159,My_Audit!B:B,My_Audit!P:P,"")&amp;""</f>
        <v/>
      </c>
      <c r="P159" s="45"/>
      <c r="Q159" s="46" t="str">
        <f>IF(LEFT(N159,4)="Pass","Nist SP 800-88",My_Audit!R159)&amp;""</f>
        <v/>
      </c>
      <c r="R159" s="45"/>
      <c r="S159" s="45"/>
      <c r="T159" s="46" t="str">
        <f>_xlfn.XLOOKUP(E159,Models!I:I,Models!J:J,"")</f>
        <v/>
      </c>
      <c r="U159" s="45"/>
      <c r="V159" s="45"/>
      <c r="W159" s="38" t="str">
        <f>_xlfn.LET(
    _xlpm.MacVal, _xlfn.XLOOKUP($A159, Output_Mac!$A:$A, Output_Mac!AB:AB, ""),
    _xlpm.MyAuditVal, _xlfn.XLOOKUP($A159, My_Audit!$A:$A, My_Audit!L:L, ""),
    _xlfn.TEXTJOIN(", ", TRUE, _xlpm.MyAuditVal, _xlpm.MacVal)
)</f>
        <v/>
      </c>
    </row>
    <row r="160" spans="1:23">
      <c r="A160" s="45" t="str">
        <f>_xlfn.TEXTJOIN("",TRUE,Input!$B$2,ROW(My_Audit!A159))</f>
        <v>XX159</v>
      </c>
      <c r="B160" s="45" t="str">
        <f>_xlfn.TEXTJOIN("-",TRUE,"ITD",Input!$A$2,A160)</f>
        <v>ITD-SHRXXX-XX159</v>
      </c>
      <c r="C160" s="45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46" t="str" cm="1">
        <f t="array" ref="D160">IFERROR(_xlfn.LET(
_xlpm.CSVVal,_xlfn.XLOOKUP($A160,CSV!$A:$A,CSV!C:C,""),
_xlpm.MacVal,_xlfn.XLOOKUP($A160,Output_Mac!$A:$A,Output_Mac!D:D,""),
_xlpm.MyAuditVal,_xlfn.XLOOKUP($A160,My_Audit!$A:$A,My_Audit!C:C,""),
_xlfn.IFS(_xlpm.MyAuditVal&lt;&gt;"",UPPER(_xlpm.MyAuditVal),_xlpm.MacVal&lt;&gt;"",_xlpm.MacVal,_xlpm.CSVVal&lt;&gt;"",_xlpm.CSVVal
)),"")</f>
        <v/>
      </c>
      <c r="E160" s="46" t="str" cm="1">
        <f t="array" ref="E160">IFERROR(_xlfn.LET(
_xlpm.CSVVal,_xlfn.XLOOKUP($A160,CSV!$A:$A,CSV!E:E,""),
_xlpm.MacVal,_xlfn.XLOOKUP($A160,Output_Mac!$A:$A,Output_Mac!C:C,""),
_xlpm.MyAuditVal,_xlfn.XLOOKUP($A160,My_Audit!$A:$A,My_Audit!D:D,""),
_xlfn.IFS(_xlpm.MyAuditVal&lt;&gt;"",_xlpm.MyAuditVal,_xlpm.MacVal&lt;&gt;"",_xlpm.MacVal,_xlpm.CSVVal&lt;&gt;"",_xlpm.CSVVal
)),"")</f>
        <v/>
      </c>
      <c r="F160" s="45" t="str" cm="1">
        <f t="array" ref="F160">IFERROR(_xlfn.LET(
_xlpm.CSVVal,_xlfn.XLOOKUP($A160,CSV!$A:$A,CSV!F:F,""),
_xlpm.MacVal,_xlfn.XLOOKUP($A160,Output_Mac!$A:$A,Output_Mac!F:F,""),
_xlpm.MyAuditVal,_xlfn.XLOOKUP($A160,My_Audit!$A:$A,My_Audit!E:E,""),
_xlfn.IFS(_xlpm.MyAuditVal&lt;&gt;"",_xlpm.MyAuditVal,_xlpm.MacVal&lt;&gt;"",_xlpm.MacVal,_xlpm.CSVVal&lt;&gt;"",PROPER(_xlpm.CSVVal)
)),"")</f>
        <v/>
      </c>
      <c r="G160" s="45" t="str" cm="1">
        <f t="array" ref="G160">IFERROR(_xlfn.LET(
_xlpm.CSVVal,_xlfn.XLOOKUP($A160,CSV!$A:$A,CSV!G:G,""),
_xlpm.MacVal,_xlfn.XLOOKUP($A160,Output_Mac!$A:$A,Output_Mac!H:H,""),
_xlpm.MyAuditVal,_xlfn.XLOOKUP($A160,My_Audit!$A:$A,My_Audit!F:F,""),
_xlfn.IFS(_xlpm.MyAuditVal&lt;&gt;"",_xlpm.MyAuditVal,_xlpm.MacVal&lt;&gt;"",_xlpm.MacVal,_xlpm.CSVVal&lt;&gt;"",_xlpm.CSVVal
)),"")</f>
        <v/>
      </c>
      <c r="H160" s="45" t="str">
        <f>_xlfn.XLOOKUP(A160,Output_Mac!A:A,Output_Mac!I:I,"")</f>
        <v/>
      </c>
      <c r="I160" s="45" t="str" cm="1">
        <f t="array" ref="I160">IFERROR(_xlfn.LET(
_xlpm.CSVVal,_xlfn.XLOOKUP($A160,CSV!$A:$A,CSV!H:H,""),
_xlpm.MacVal,_xlfn.XLOOKUP($A160,Output_Mac!$A:$A,Output_Mac!J:J,""),
_xlpm.MyAuditVal,_xlfn.XLOOKUP($A160,My_Audit!$A:$A,My_Audit!H:H,""),
_xlfn.IFS(_xlpm.MyAuditVal&lt;&gt;"",UPPER(_xlpm.MyAuditVal),_xlpm.MacVal&lt;&gt;"",_xlpm.MacVal,_xlpm.CSVVal&lt;&gt;"",_xlpm.CSVVal
)),"")</f>
        <v/>
      </c>
      <c r="J160" s="45" t="str" cm="1">
        <f t="array" ref="J160">IFERROR(_xlfn.LET(
_xlpm.CSVVal,_xlfn.XLOOKUP($A160,CSV!$A:$A,CSV!J:J,""),
_xlpm.MacVal,_xlfn.XLOOKUP($A160,Output_Mac!$A:$A,Output_Mac!K:K,""),
_xlpm.MyAuditVal,_xlfn.XLOOKUP($A160,My_Audit!$A:$A,My_Audit!I:I,""),
_xlfn.IFS(_xlpm.MyAuditVal&lt;&gt;"",UPPER(_xlpm.MyAuditVal),_xlpm.MacVal&lt;&gt;"",_xlpm.MacVal,_xlpm.CSVVal&lt;&gt;"",_xlpm.CSVVal
)),"")</f>
        <v/>
      </c>
      <c r="K160" s="45" t="str" cm="1">
        <f t="array" ref="K160">IFERROR(_xlfn.LET(
_xlpm.CSVVal,_xlfn.XLOOKUP($A160,CSV!$A:$A,CSV!N:N,""),
_xlpm.MacVal,_xlfn.XLOOKUP($A160,Output_Mac!$A:$A,Output_Mac!L:L,""),
_xlpm.MyAuditVal,_xlfn.XLOOKUP($A160,My_Audit!$A:$A,My_Audit!J:J,""),
_xlfn.IFS(_xlpm.MyAuditVal&lt;&gt;"",UPPER(_xlpm.MyAuditVal),_xlpm.MacVal&lt;&gt;"",_xlpm.MacVal,_xlpm.CSVVal&lt;&gt;"",_xlpm.CSVVal
)),"")</f>
        <v/>
      </c>
      <c r="L160" s="46" t="str" cm="1">
        <f t="array" ref="L160">IFERROR(_xlfn.LET(
_xlpm.CSVVal,_xlfn.XLOOKUP($A160,CSV!$A:$A,CSV!Q:Q,""),
_xlpm.MacVal,_xlfn.XLOOKUP($A160,Output_Mac!$A:$A,Output_Mac!M:M,""),
_xlpm.MyAuditVal,_xlfn.XLOOKUP($A160,My_Audit!$A:$A,My_Audit!K:K,""),
_xlfn.IFS(_xlpm.MyAuditVal&lt;&gt;"",UPPER(_xlpm.MyAuditVal),_xlpm.MacVal&lt;&gt;"",_xlpm.MacVal,_xlpm.CSVVal&lt;&gt;"",_xlpm.CSVVal
)),"")</f>
        <v/>
      </c>
      <c r="M160" s="45" t="str">
        <f>_xlfn.LET(
    _xlpm.CSVVal, _xlfn.XLOOKUP($A160, CSV!$A:$A, CSV!AE:AE, ""),
    _xlpm.MacVal, _xlfn.XLOOKUP($A160, Output_Mac!$A:$A, Output_Mac!S:S, ""),
    _xlpm.MyAuditVal, _xlfn.XLOOKUP($A160, My_Audit!$A:$A, My_Audit!N:N, ""),
    _xlfn.TEXTJOIN(", ", TRUE, _xlpm.MyAuditVal, _xlpm.MacVal, _xlpm.CSVVal)
)</f>
        <v/>
      </c>
      <c r="N160" s="45" t="str" cm="1">
        <f t="array" ref="N160">IFERROR(_xlfn.LET(
_xlpm.CSVVal,_xlfn.XLOOKUP($A160,CSV!$A:$A,CSV!AG:AG,""),
_xlpm.MacVal,_xlfn.XLOOKUP($A160,Output_Mac!$A:$A,Output_Mac!U:U,""),
_xlpm.MyAuditVal,_xlfn.XLOOKUP($A160,My_Audit!$A:$A,My_Audit!O:O,""),
_xlfn.IFS(_xlpm.MyAuditVal&lt;&gt;"",UPPER(_xlpm.MyAuditVal),_xlpm.MacVal&lt;&gt;"",_xlpm.MacVal,_xlpm.CSVVal&lt;&gt;"",_xlpm.CSVVal
)),"")</f>
        <v/>
      </c>
      <c r="O160" s="46" t="str">
        <f>_xlfn.XLOOKUP(C160,My_Audit!B:B,My_Audit!P:P,"")&amp;""</f>
        <v/>
      </c>
      <c r="P160" s="45"/>
      <c r="Q160" s="46" t="str">
        <f>IF(LEFT(N160,4)="Pass","Nist SP 800-88",My_Audit!R160)&amp;""</f>
        <v/>
      </c>
      <c r="R160" s="45"/>
      <c r="S160" s="45"/>
      <c r="T160" s="46" t="str">
        <f>_xlfn.XLOOKUP(E160,Models!I:I,Models!J:J,"")</f>
        <v/>
      </c>
      <c r="U160" s="45"/>
      <c r="V160" s="45"/>
      <c r="W160" s="38" t="str">
        <f>_xlfn.LET(
    _xlpm.MacVal, _xlfn.XLOOKUP($A160, Output_Mac!$A:$A, Output_Mac!AB:AB, ""),
    _xlpm.MyAuditVal, _xlfn.XLOOKUP($A160, My_Audit!$A:$A, My_Audit!L:L, ""),
    _xlfn.TEXTJOIN(", ", TRUE, _xlpm.MyAuditVal, _xlpm.MacVal)
)</f>
        <v/>
      </c>
    </row>
    <row r="161" spans="1:23">
      <c r="A161" s="45" t="str">
        <f>_xlfn.TEXTJOIN("",TRUE,Input!$B$2,ROW(My_Audit!A160))</f>
        <v>XX160</v>
      </c>
      <c r="B161" s="45" t="str">
        <f>_xlfn.TEXTJOIN("-",TRUE,"ITD",Input!$A$2,A161)</f>
        <v>ITD-SHRXXX-XX160</v>
      </c>
      <c r="C161" s="45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46" t="str" cm="1">
        <f t="array" ref="D161">IFERROR(_xlfn.LET(
_xlpm.CSVVal,_xlfn.XLOOKUP($A161,CSV!$A:$A,CSV!C:C,""),
_xlpm.MacVal,_xlfn.XLOOKUP($A161,Output_Mac!$A:$A,Output_Mac!D:D,""),
_xlpm.MyAuditVal,_xlfn.XLOOKUP($A161,My_Audit!$A:$A,My_Audit!C:C,""),
_xlfn.IFS(_xlpm.MyAuditVal&lt;&gt;"",UPPER(_xlpm.MyAuditVal),_xlpm.MacVal&lt;&gt;"",_xlpm.MacVal,_xlpm.CSVVal&lt;&gt;"",_xlpm.CSVVal
)),"")</f>
        <v/>
      </c>
      <c r="E161" s="46" t="str" cm="1">
        <f t="array" ref="E161">IFERROR(_xlfn.LET(
_xlpm.CSVVal,_xlfn.XLOOKUP($A161,CSV!$A:$A,CSV!E:E,""),
_xlpm.MacVal,_xlfn.XLOOKUP($A161,Output_Mac!$A:$A,Output_Mac!C:C,""),
_xlpm.MyAuditVal,_xlfn.XLOOKUP($A161,My_Audit!$A:$A,My_Audit!D:D,""),
_xlfn.IFS(_xlpm.MyAuditVal&lt;&gt;"",_xlpm.MyAuditVal,_xlpm.MacVal&lt;&gt;"",_xlpm.MacVal,_xlpm.CSVVal&lt;&gt;"",_xlpm.CSVVal
)),"")</f>
        <v/>
      </c>
      <c r="F161" s="45" t="str" cm="1">
        <f t="array" ref="F161">IFERROR(_xlfn.LET(
_xlpm.CSVVal,_xlfn.XLOOKUP($A161,CSV!$A:$A,CSV!F:F,""),
_xlpm.MacVal,_xlfn.XLOOKUP($A161,Output_Mac!$A:$A,Output_Mac!F:F,""),
_xlpm.MyAuditVal,_xlfn.XLOOKUP($A161,My_Audit!$A:$A,My_Audit!E:E,""),
_xlfn.IFS(_xlpm.MyAuditVal&lt;&gt;"",_xlpm.MyAuditVal,_xlpm.MacVal&lt;&gt;"",_xlpm.MacVal,_xlpm.CSVVal&lt;&gt;"",PROPER(_xlpm.CSVVal)
)),"")</f>
        <v/>
      </c>
      <c r="G161" s="45" t="str" cm="1">
        <f t="array" ref="G161">IFERROR(_xlfn.LET(
_xlpm.CSVVal,_xlfn.XLOOKUP($A161,CSV!$A:$A,CSV!G:G,""),
_xlpm.MacVal,_xlfn.XLOOKUP($A161,Output_Mac!$A:$A,Output_Mac!H:H,""),
_xlpm.MyAuditVal,_xlfn.XLOOKUP($A161,My_Audit!$A:$A,My_Audit!F:F,""),
_xlfn.IFS(_xlpm.MyAuditVal&lt;&gt;"",_xlpm.MyAuditVal,_xlpm.MacVal&lt;&gt;"",_xlpm.MacVal,_xlpm.CSVVal&lt;&gt;"",_xlpm.CSVVal
)),"")</f>
        <v/>
      </c>
      <c r="H161" s="45" t="str">
        <f>_xlfn.XLOOKUP(A161,Output_Mac!A:A,Output_Mac!I:I,"")</f>
        <v/>
      </c>
      <c r="I161" s="45" t="str" cm="1">
        <f t="array" ref="I161">IFERROR(_xlfn.LET(
_xlpm.CSVVal,_xlfn.XLOOKUP($A161,CSV!$A:$A,CSV!H:H,""),
_xlpm.MacVal,_xlfn.XLOOKUP($A161,Output_Mac!$A:$A,Output_Mac!J:J,""),
_xlpm.MyAuditVal,_xlfn.XLOOKUP($A161,My_Audit!$A:$A,My_Audit!H:H,""),
_xlfn.IFS(_xlpm.MyAuditVal&lt;&gt;"",UPPER(_xlpm.MyAuditVal),_xlpm.MacVal&lt;&gt;"",_xlpm.MacVal,_xlpm.CSVVal&lt;&gt;"",_xlpm.CSVVal
)),"")</f>
        <v/>
      </c>
      <c r="J161" s="45" t="str" cm="1">
        <f t="array" ref="J161">IFERROR(_xlfn.LET(
_xlpm.CSVVal,_xlfn.XLOOKUP($A161,CSV!$A:$A,CSV!J:J,""),
_xlpm.MacVal,_xlfn.XLOOKUP($A161,Output_Mac!$A:$A,Output_Mac!K:K,""),
_xlpm.MyAuditVal,_xlfn.XLOOKUP($A161,My_Audit!$A:$A,My_Audit!I:I,""),
_xlfn.IFS(_xlpm.MyAuditVal&lt;&gt;"",UPPER(_xlpm.MyAuditVal),_xlpm.MacVal&lt;&gt;"",_xlpm.MacVal,_xlpm.CSVVal&lt;&gt;"",_xlpm.CSVVal
)),"")</f>
        <v/>
      </c>
      <c r="K161" s="45" t="str" cm="1">
        <f t="array" ref="K161">IFERROR(_xlfn.LET(
_xlpm.CSVVal,_xlfn.XLOOKUP($A161,CSV!$A:$A,CSV!N:N,""),
_xlpm.MacVal,_xlfn.XLOOKUP($A161,Output_Mac!$A:$A,Output_Mac!L:L,""),
_xlpm.MyAuditVal,_xlfn.XLOOKUP($A161,My_Audit!$A:$A,My_Audit!J:J,""),
_xlfn.IFS(_xlpm.MyAuditVal&lt;&gt;"",UPPER(_xlpm.MyAuditVal),_xlpm.MacVal&lt;&gt;"",_xlpm.MacVal,_xlpm.CSVVal&lt;&gt;"",_xlpm.CSVVal
)),"")</f>
        <v/>
      </c>
      <c r="L161" s="46" t="str" cm="1">
        <f t="array" ref="L161">IFERROR(_xlfn.LET(
_xlpm.CSVVal,_xlfn.XLOOKUP($A161,CSV!$A:$A,CSV!Q:Q,""),
_xlpm.MacVal,_xlfn.XLOOKUP($A161,Output_Mac!$A:$A,Output_Mac!M:M,""),
_xlpm.MyAuditVal,_xlfn.XLOOKUP($A161,My_Audit!$A:$A,My_Audit!K:K,""),
_xlfn.IFS(_xlpm.MyAuditVal&lt;&gt;"",UPPER(_xlpm.MyAuditVal),_xlpm.MacVal&lt;&gt;"",_xlpm.MacVal,_xlpm.CSVVal&lt;&gt;"",_xlpm.CSVVal
)),"")</f>
        <v/>
      </c>
      <c r="M161" s="45" t="str">
        <f>_xlfn.LET(
    _xlpm.CSVVal, _xlfn.XLOOKUP($A161, CSV!$A:$A, CSV!AE:AE, ""),
    _xlpm.MacVal, _xlfn.XLOOKUP($A161, Output_Mac!$A:$A, Output_Mac!S:S, ""),
    _xlpm.MyAuditVal, _xlfn.XLOOKUP($A161, My_Audit!$A:$A, My_Audit!N:N, ""),
    _xlfn.TEXTJOIN(", ", TRUE, _xlpm.MyAuditVal, _xlpm.MacVal, _xlpm.CSVVal)
)</f>
        <v/>
      </c>
      <c r="N161" s="45" t="str" cm="1">
        <f t="array" ref="N161">IFERROR(_xlfn.LET(
_xlpm.CSVVal,_xlfn.XLOOKUP($A161,CSV!$A:$A,CSV!AG:AG,""),
_xlpm.MacVal,_xlfn.XLOOKUP($A161,Output_Mac!$A:$A,Output_Mac!U:U,""),
_xlpm.MyAuditVal,_xlfn.XLOOKUP($A161,My_Audit!$A:$A,My_Audit!O:O,""),
_xlfn.IFS(_xlpm.MyAuditVal&lt;&gt;"",UPPER(_xlpm.MyAuditVal),_xlpm.MacVal&lt;&gt;"",_xlpm.MacVal,_xlpm.CSVVal&lt;&gt;"",_xlpm.CSVVal
)),"")</f>
        <v/>
      </c>
      <c r="O161" s="46" t="str">
        <f>_xlfn.XLOOKUP(C161,My_Audit!B:B,My_Audit!P:P,"")&amp;""</f>
        <v/>
      </c>
      <c r="P161" s="45"/>
      <c r="Q161" s="46" t="str">
        <f>IF(LEFT(N161,4)="Pass","Nist SP 800-88",My_Audit!R161)&amp;""</f>
        <v/>
      </c>
      <c r="R161" s="45"/>
      <c r="S161" s="45"/>
      <c r="T161" s="46" t="str">
        <f>_xlfn.XLOOKUP(E161,Models!I:I,Models!J:J,"")</f>
        <v/>
      </c>
      <c r="U161" s="45"/>
      <c r="V161" s="45"/>
      <c r="W161" s="38" t="str">
        <f>_xlfn.LET(
    _xlpm.MacVal, _xlfn.XLOOKUP($A161, Output_Mac!$A:$A, Output_Mac!AB:AB, ""),
    _xlpm.MyAuditVal, _xlfn.XLOOKUP($A161, My_Audit!$A:$A, My_Audit!L:L, ""),
    _xlfn.TEXTJOIN(", ", TRUE, _xlpm.MyAuditVal, _xlpm.MacVal)
)</f>
        <v/>
      </c>
    </row>
    <row r="162" spans="1:23">
      <c r="A162" s="45" t="str">
        <f>_xlfn.TEXTJOIN("",TRUE,Input!$B$2,ROW(My_Audit!A161))</f>
        <v>XX161</v>
      </c>
      <c r="B162" s="45" t="str">
        <f>_xlfn.TEXTJOIN("-",TRUE,"ITD",Input!$A$2,A162)</f>
        <v>ITD-SHRXXX-XX161</v>
      </c>
      <c r="C162" s="45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46" t="str" cm="1">
        <f t="array" ref="D162">IFERROR(_xlfn.LET(
_xlpm.CSVVal,_xlfn.XLOOKUP($A162,CSV!$A:$A,CSV!C:C,""),
_xlpm.MacVal,_xlfn.XLOOKUP($A162,Output_Mac!$A:$A,Output_Mac!D:D,""),
_xlpm.MyAuditVal,_xlfn.XLOOKUP($A162,My_Audit!$A:$A,My_Audit!C:C,""),
_xlfn.IFS(_xlpm.MyAuditVal&lt;&gt;"",UPPER(_xlpm.MyAuditVal),_xlpm.MacVal&lt;&gt;"",_xlpm.MacVal,_xlpm.CSVVal&lt;&gt;"",_xlpm.CSVVal
)),"")</f>
        <v/>
      </c>
      <c r="E162" s="46" t="str" cm="1">
        <f t="array" ref="E162">IFERROR(_xlfn.LET(
_xlpm.CSVVal,_xlfn.XLOOKUP($A162,CSV!$A:$A,CSV!E:E,""),
_xlpm.MacVal,_xlfn.XLOOKUP($A162,Output_Mac!$A:$A,Output_Mac!C:C,""),
_xlpm.MyAuditVal,_xlfn.XLOOKUP($A162,My_Audit!$A:$A,My_Audit!D:D,""),
_xlfn.IFS(_xlpm.MyAuditVal&lt;&gt;"",_xlpm.MyAuditVal,_xlpm.MacVal&lt;&gt;"",_xlpm.MacVal,_xlpm.CSVVal&lt;&gt;"",_xlpm.CSVVal
)),"")</f>
        <v/>
      </c>
      <c r="F162" s="45" t="str" cm="1">
        <f t="array" ref="F162">IFERROR(_xlfn.LET(
_xlpm.CSVVal,_xlfn.XLOOKUP($A162,CSV!$A:$A,CSV!F:F,""),
_xlpm.MacVal,_xlfn.XLOOKUP($A162,Output_Mac!$A:$A,Output_Mac!F:F,""),
_xlpm.MyAuditVal,_xlfn.XLOOKUP($A162,My_Audit!$A:$A,My_Audit!E:E,""),
_xlfn.IFS(_xlpm.MyAuditVal&lt;&gt;"",_xlpm.MyAuditVal,_xlpm.MacVal&lt;&gt;"",_xlpm.MacVal,_xlpm.CSVVal&lt;&gt;"",PROPER(_xlpm.CSVVal)
)),"")</f>
        <v/>
      </c>
      <c r="G162" s="45" t="str" cm="1">
        <f t="array" ref="G162">IFERROR(_xlfn.LET(
_xlpm.CSVVal,_xlfn.XLOOKUP($A162,CSV!$A:$A,CSV!G:G,""),
_xlpm.MacVal,_xlfn.XLOOKUP($A162,Output_Mac!$A:$A,Output_Mac!H:H,""),
_xlpm.MyAuditVal,_xlfn.XLOOKUP($A162,My_Audit!$A:$A,My_Audit!F:F,""),
_xlfn.IFS(_xlpm.MyAuditVal&lt;&gt;"",_xlpm.MyAuditVal,_xlpm.MacVal&lt;&gt;"",_xlpm.MacVal,_xlpm.CSVVal&lt;&gt;"",_xlpm.CSVVal
)),"")</f>
        <v/>
      </c>
      <c r="H162" s="45" t="str">
        <f>_xlfn.XLOOKUP(A162,Output_Mac!A:A,Output_Mac!I:I,"")</f>
        <v/>
      </c>
      <c r="I162" s="45" t="str" cm="1">
        <f t="array" ref="I162">IFERROR(_xlfn.LET(
_xlpm.CSVVal,_xlfn.XLOOKUP($A162,CSV!$A:$A,CSV!H:H,""),
_xlpm.MacVal,_xlfn.XLOOKUP($A162,Output_Mac!$A:$A,Output_Mac!J:J,""),
_xlpm.MyAuditVal,_xlfn.XLOOKUP($A162,My_Audit!$A:$A,My_Audit!H:H,""),
_xlfn.IFS(_xlpm.MyAuditVal&lt;&gt;"",UPPER(_xlpm.MyAuditVal),_xlpm.MacVal&lt;&gt;"",_xlpm.MacVal,_xlpm.CSVVal&lt;&gt;"",_xlpm.CSVVal
)),"")</f>
        <v/>
      </c>
      <c r="J162" s="45" t="str" cm="1">
        <f t="array" ref="J162">IFERROR(_xlfn.LET(
_xlpm.CSVVal,_xlfn.XLOOKUP($A162,CSV!$A:$A,CSV!J:J,""),
_xlpm.MacVal,_xlfn.XLOOKUP($A162,Output_Mac!$A:$A,Output_Mac!K:K,""),
_xlpm.MyAuditVal,_xlfn.XLOOKUP($A162,My_Audit!$A:$A,My_Audit!I:I,""),
_xlfn.IFS(_xlpm.MyAuditVal&lt;&gt;"",UPPER(_xlpm.MyAuditVal),_xlpm.MacVal&lt;&gt;"",_xlpm.MacVal,_xlpm.CSVVal&lt;&gt;"",_xlpm.CSVVal
)),"")</f>
        <v/>
      </c>
      <c r="K162" s="45" t="str" cm="1">
        <f t="array" ref="K162">IFERROR(_xlfn.LET(
_xlpm.CSVVal,_xlfn.XLOOKUP($A162,CSV!$A:$A,CSV!N:N,""),
_xlpm.MacVal,_xlfn.XLOOKUP($A162,Output_Mac!$A:$A,Output_Mac!L:L,""),
_xlpm.MyAuditVal,_xlfn.XLOOKUP($A162,My_Audit!$A:$A,My_Audit!J:J,""),
_xlfn.IFS(_xlpm.MyAuditVal&lt;&gt;"",UPPER(_xlpm.MyAuditVal),_xlpm.MacVal&lt;&gt;"",_xlpm.MacVal,_xlpm.CSVVal&lt;&gt;"",_xlpm.CSVVal
)),"")</f>
        <v/>
      </c>
      <c r="L162" s="46" t="str" cm="1">
        <f t="array" ref="L162">IFERROR(_xlfn.LET(
_xlpm.CSVVal,_xlfn.XLOOKUP($A162,CSV!$A:$A,CSV!Q:Q,""),
_xlpm.MacVal,_xlfn.XLOOKUP($A162,Output_Mac!$A:$A,Output_Mac!M:M,""),
_xlpm.MyAuditVal,_xlfn.XLOOKUP($A162,My_Audit!$A:$A,My_Audit!K:K,""),
_xlfn.IFS(_xlpm.MyAuditVal&lt;&gt;"",UPPER(_xlpm.MyAuditVal),_xlpm.MacVal&lt;&gt;"",_xlpm.MacVal,_xlpm.CSVVal&lt;&gt;"",_xlpm.CSVVal
)),"")</f>
        <v/>
      </c>
      <c r="M162" s="45" t="str">
        <f>_xlfn.LET(
    _xlpm.CSVVal, _xlfn.XLOOKUP($A162, CSV!$A:$A, CSV!AE:AE, ""),
    _xlpm.MacVal, _xlfn.XLOOKUP($A162, Output_Mac!$A:$A, Output_Mac!S:S, ""),
    _xlpm.MyAuditVal, _xlfn.XLOOKUP($A162, My_Audit!$A:$A, My_Audit!N:N, ""),
    _xlfn.TEXTJOIN(", ", TRUE, _xlpm.MyAuditVal, _xlpm.MacVal, _xlpm.CSVVal)
)</f>
        <v/>
      </c>
      <c r="N162" s="45" t="str" cm="1">
        <f t="array" ref="N162">IFERROR(_xlfn.LET(
_xlpm.CSVVal,_xlfn.XLOOKUP($A162,CSV!$A:$A,CSV!AG:AG,""),
_xlpm.MacVal,_xlfn.XLOOKUP($A162,Output_Mac!$A:$A,Output_Mac!U:U,""),
_xlpm.MyAuditVal,_xlfn.XLOOKUP($A162,My_Audit!$A:$A,My_Audit!O:O,""),
_xlfn.IFS(_xlpm.MyAuditVal&lt;&gt;"",UPPER(_xlpm.MyAuditVal),_xlpm.MacVal&lt;&gt;"",_xlpm.MacVal,_xlpm.CSVVal&lt;&gt;"",_xlpm.CSVVal
)),"")</f>
        <v/>
      </c>
      <c r="O162" s="46" t="str">
        <f>_xlfn.XLOOKUP(C162,My_Audit!B:B,My_Audit!P:P,"")&amp;""</f>
        <v/>
      </c>
      <c r="P162" s="45"/>
      <c r="Q162" s="46" t="str">
        <f>IF(LEFT(N162,4)="Pass","Nist SP 800-88",My_Audit!R162)&amp;""</f>
        <v/>
      </c>
      <c r="R162" s="45"/>
      <c r="S162" s="45"/>
      <c r="T162" s="46" t="str">
        <f>_xlfn.XLOOKUP(E162,Models!I:I,Models!J:J,"")</f>
        <v/>
      </c>
      <c r="U162" s="45"/>
      <c r="V162" s="45"/>
      <c r="W162" s="38" t="str">
        <f>_xlfn.LET(
    _xlpm.MacVal, _xlfn.XLOOKUP($A162, Output_Mac!$A:$A, Output_Mac!AB:AB, ""),
    _xlpm.MyAuditVal, _xlfn.XLOOKUP($A162, My_Audit!$A:$A, My_Audit!L:L, ""),
    _xlfn.TEXTJOIN(", ", TRUE, _xlpm.MyAuditVal, _xlpm.MacVal)
)</f>
        <v/>
      </c>
    </row>
    <row r="163" spans="1:23">
      <c r="A163" s="45" t="str">
        <f>_xlfn.TEXTJOIN("",TRUE,Input!$B$2,ROW(My_Audit!A162))</f>
        <v>XX162</v>
      </c>
      <c r="B163" s="45" t="str">
        <f>_xlfn.TEXTJOIN("-",TRUE,"ITD",Input!$A$2,A163)</f>
        <v>ITD-SHRXXX-XX162</v>
      </c>
      <c r="C163" s="45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46" t="str" cm="1">
        <f t="array" ref="D163">IFERROR(_xlfn.LET(
_xlpm.CSVVal,_xlfn.XLOOKUP($A163,CSV!$A:$A,CSV!C:C,""),
_xlpm.MacVal,_xlfn.XLOOKUP($A163,Output_Mac!$A:$A,Output_Mac!D:D,""),
_xlpm.MyAuditVal,_xlfn.XLOOKUP($A163,My_Audit!$A:$A,My_Audit!C:C,""),
_xlfn.IFS(_xlpm.MyAuditVal&lt;&gt;"",UPPER(_xlpm.MyAuditVal),_xlpm.MacVal&lt;&gt;"",_xlpm.MacVal,_xlpm.CSVVal&lt;&gt;"",_xlpm.CSVVal
)),"")</f>
        <v/>
      </c>
      <c r="E163" s="46" t="str" cm="1">
        <f t="array" ref="E163">IFERROR(_xlfn.LET(
_xlpm.CSVVal,_xlfn.XLOOKUP($A163,CSV!$A:$A,CSV!E:E,""),
_xlpm.MacVal,_xlfn.XLOOKUP($A163,Output_Mac!$A:$A,Output_Mac!C:C,""),
_xlpm.MyAuditVal,_xlfn.XLOOKUP($A163,My_Audit!$A:$A,My_Audit!D:D,""),
_xlfn.IFS(_xlpm.MyAuditVal&lt;&gt;"",_xlpm.MyAuditVal,_xlpm.MacVal&lt;&gt;"",_xlpm.MacVal,_xlpm.CSVVal&lt;&gt;"",_xlpm.CSVVal
)),"")</f>
        <v/>
      </c>
      <c r="F163" s="45" t="str" cm="1">
        <f t="array" ref="F163">IFERROR(_xlfn.LET(
_xlpm.CSVVal,_xlfn.XLOOKUP($A163,CSV!$A:$A,CSV!F:F,""),
_xlpm.MacVal,_xlfn.XLOOKUP($A163,Output_Mac!$A:$A,Output_Mac!F:F,""),
_xlpm.MyAuditVal,_xlfn.XLOOKUP($A163,My_Audit!$A:$A,My_Audit!E:E,""),
_xlfn.IFS(_xlpm.MyAuditVal&lt;&gt;"",_xlpm.MyAuditVal,_xlpm.MacVal&lt;&gt;"",_xlpm.MacVal,_xlpm.CSVVal&lt;&gt;"",PROPER(_xlpm.CSVVal)
)),"")</f>
        <v/>
      </c>
      <c r="G163" s="45" t="str" cm="1">
        <f t="array" ref="G163">IFERROR(_xlfn.LET(
_xlpm.CSVVal,_xlfn.XLOOKUP($A163,CSV!$A:$A,CSV!G:G,""),
_xlpm.MacVal,_xlfn.XLOOKUP($A163,Output_Mac!$A:$A,Output_Mac!H:H,""),
_xlpm.MyAuditVal,_xlfn.XLOOKUP($A163,My_Audit!$A:$A,My_Audit!F:F,""),
_xlfn.IFS(_xlpm.MyAuditVal&lt;&gt;"",_xlpm.MyAuditVal,_xlpm.MacVal&lt;&gt;"",_xlpm.MacVal,_xlpm.CSVVal&lt;&gt;"",_xlpm.CSVVal
)),"")</f>
        <v/>
      </c>
      <c r="H163" s="45" t="str">
        <f>_xlfn.XLOOKUP(A163,Output_Mac!A:A,Output_Mac!I:I,"")</f>
        <v/>
      </c>
      <c r="I163" s="45" t="str" cm="1">
        <f t="array" ref="I163">IFERROR(_xlfn.LET(
_xlpm.CSVVal,_xlfn.XLOOKUP($A163,CSV!$A:$A,CSV!H:H,""),
_xlpm.MacVal,_xlfn.XLOOKUP($A163,Output_Mac!$A:$A,Output_Mac!J:J,""),
_xlpm.MyAuditVal,_xlfn.XLOOKUP($A163,My_Audit!$A:$A,My_Audit!H:H,""),
_xlfn.IFS(_xlpm.MyAuditVal&lt;&gt;"",UPPER(_xlpm.MyAuditVal),_xlpm.MacVal&lt;&gt;"",_xlpm.MacVal,_xlpm.CSVVal&lt;&gt;"",_xlpm.CSVVal
)),"")</f>
        <v/>
      </c>
      <c r="J163" s="45" t="str" cm="1">
        <f t="array" ref="J163">IFERROR(_xlfn.LET(
_xlpm.CSVVal,_xlfn.XLOOKUP($A163,CSV!$A:$A,CSV!J:J,""),
_xlpm.MacVal,_xlfn.XLOOKUP($A163,Output_Mac!$A:$A,Output_Mac!K:K,""),
_xlpm.MyAuditVal,_xlfn.XLOOKUP($A163,My_Audit!$A:$A,My_Audit!I:I,""),
_xlfn.IFS(_xlpm.MyAuditVal&lt;&gt;"",UPPER(_xlpm.MyAuditVal),_xlpm.MacVal&lt;&gt;"",_xlpm.MacVal,_xlpm.CSVVal&lt;&gt;"",_xlpm.CSVVal
)),"")</f>
        <v/>
      </c>
      <c r="K163" s="45" t="str" cm="1">
        <f t="array" ref="K163">IFERROR(_xlfn.LET(
_xlpm.CSVVal,_xlfn.XLOOKUP($A163,CSV!$A:$A,CSV!N:N,""),
_xlpm.MacVal,_xlfn.XLOOKUP($A163,Output_Mac!$A:$A,Output_Mac!L:L,""),
_xlpm.MyAuditVal,_xlfn.XLOOKUP($A163,My_Audit!$A:$A,My_Audit!J:J,""),
_xlfn.IFS(_xlpm.MyAuditVal&lt;&gt;"",UPPER(_xlpm.MyAuditVal),_xlpm.MacVal&lt;&gt;"",_xlpm.MacVal,_xlpm.CSVVal&lt;&gt;"",_xlpm.CSVVal
)),"")</f>
        <v/>
      </c>
      <c r="L163" s="46" t="str" cm="1">
        <f t="array" ref="L163">IFERROR(_xlfn.LET(
_xlpm.CSVVal,_xlfn.XLOOKUP($A163,CSV!$A:$A,CSV!Q:Q,""),
_xlpm.MacVal,_xlfn.XLOOKUP($A163,Output_Mac!$A:$A,Output_Mac!M:M,""),
_xlpm.MyAuditVal,_xlfn.XLOOKUP($A163,My_Audit!$A:$A,My_Audit!K:K,""),
_xlfn.IFS(_xlpm.MyAuditVal&lt;&gt;"",UPPER(_xlpm.MyAuditVal),_xlpm.MacVal&lt;&gt;"",_xlpm.MacVal,_xlpm.CSVVal&lt;&gt;"",_xlpm.CSVVal
)),"")</f>
        <v/>
      </c>
      <c r="M163" s="45" t="str">
        <f>_xlfn.LET(
    _xlpm.CSVVal, _xlfn.XLOOKUP($A163, CSV!$A:$A, CSV!AE:AE, ""),
    _xlpm.MacVal, _xlfn.XLOOKUP($A163, Output_Mac!$A:$A, Output_Mac!S:S, ""),
    _xlpm.MyAuditVal, _xlfn.XLOOKUP($A163, My_Audit!$A:$A, My_Audit!N:N, ""),
    _xlfn.TEXTJOIN(", ", TRUE, _xlpm.MyAuditVal, _xlpm.MacVal, _xlpm.CSVVal)
)</f>
        <v/>
      </c>
      <c r="N163" s="45" t="str" cm="1">
        <f t="array" ref="N163">IFERROR(_xlfn.LET(
_xlpm.CSVVal,_xlfn.XLOOKUP($A163,CSV!$A:$A,CSV!AG:AG,""),
_xlpm.MacVal,_xlfn.XLOOKUP($A163,Output_Mac!$A:$A,Output_Mac!U:U,""),
_xlpm.MyAuditVal,_xlfn.XLOOKUP($A163,My_Audit!$A:$A,My_Audit!O:O,""),
_xlfn.IFS(_xlpm.MyAuditVal&lt;&gt;"",UPPER(_xlpm.MyAuditVal),_xlpm.MacVal&lt;&gt;"",_xlpm.MacVal,_xlpm.CSVVal&lt;&gt;"",_xlpm.CSVVal
)),"")</f>
        <v/>
      </c>
      <c r="O163" s="46" t="str">
        <f>_xlfn.XLOOKUP(C163,My_Audit!B:B,My_Audit!P:P,"")&amp;""</f>
        <v/>
      </c>
      <c r="P163" s="45"/>
      <c r="Q163" s="46" t="str">
        <f>IF(LEFT(N163,4)="Pass","Nist SP 800-88",My_Audit!R163)&amp;""</f>
        <v/>
      </c>
      <c r="R163" s="45"/>
      <c r="S163" s="45"/>
      <c r="T163" s="46" t="str">
        <f>_xlfn.XLOOKUP(E163,Models!I:I,Models!J:J,"")</f>
        <v/>
      </c>
      <c r="U163" s="45"/>
      <c r="V163" s="45"/>
      <c r="W163" s="38" t="str">
        <f>_xlfn.LET(
    _xlpm.MacVal, _xlfn.XLOOKUP($A163, Output_Mac!$A:$A, Output_Mac!AB:AB, ""),
    _xlpm.MyAuditVal, _xlfn.XLOOKUP($A163, My_Audit!$A:$A, My_Audit!L:L, ""),
    _xlfn.TEXTJOIN(", ", TRUE, _xlpm.MyAuditVal, _xlpm.MacVal)
)</f>
        <v/>
      </c>
    </row>
    <row r="164" spans="1:23">
      <c r="A164" s="45" t="str">
        <f>_xlfn.TEXTJOIN("",TRUE,Input!$B$2,ROW(My_Audit!A163))</f>
        <v>XX163</v>
      </c>
      <c r="B164" s="45" t="str">
        <f>_xlfn.TEXTJOIN("-",TRUE,"ITD",Input!$A$2,A164)</f>
        <v>ITD-SHRXXX-XX163</v>
      </c>
      <c r="C164" s="45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46" t="str" cm="1">
        <f t="array" ref="D164">IFERROR(_xlfn.LET(
_xlpm.CSVVal,_xlfn.XLOOKUP($A164,CSV!$A:$A,CSV!C:C,""),
_xlpm.MacVal,_xlfn.XLOOKUP($A164,Output_Mac!$A:$A,Output_Mac!D:D,""),
_xlpm.MyAuditVal,_xlfn.XLOOKUP($A164,My_Audit!$A:$A,My_Audit!C:C,""),
_xlfn.IFS(_xlpm.MyAuditVal&lt;&gt;"",UPPER(_xlpm.MyAuditVal),_xlpm.MacVal&lt;&gt;"",_xlpm.MacVal,_xlpm.CSVVal&lt;&gt;"",_xlpm.CSVVal
)),"")</f>
        <v/>
      </c>
      <c r="E164" s="46" t="str" cm="1">
        <f t="array" ref="E164">IFERROR(_xlfn.LET(
_xlpm.CSVVal,_xlfn.XLOOKUP($A164,CSV!$A:$A,CSV!E:E,""),
_xlpm.MacVal,_xlfn.XLOOKUP($A164,Output_Mac!$A:$A,Output_Mac!C:C,""),
_xlpm.MyAuditVal,_xlfn.XLOOKUP($A164,My_Audit!$A:$A,My_Audit!D:D,""),
_xlfn.IFS(_xlpm.MyAuditVal&lt;&gt;"",_xlpm.MyAuditVal,_xlpm.MacVal&lt;&gt;"",_xlpm.MacVal,_xlpm.CSVVal&lt;&gt;"",_xlpm.CSVVal
)),"")</f>
        <v/>
      </c>
      <c r="F164" s="45" t="str" cm="1">
        <f t="array" ref="F164">IFERROR(_xlfn.LET(
_xlpm.CSVVal,_xlfn.XLOOKUP($A164,CSV!$A:$A,CSV!F:F,""),
_xlpm.MacVal,_xlfn.XLOOKUP($A164,Output_Mac!$A:$A,Output_Mac!F:F,""),
_xlpm.MyAuditVal,_xlfn.XLOOKUP($A164,My_Audit!$A:$A,My_Audit!E:E,""),
_xlfn.IFS(_xlpm.MyAuditVal&lt;&gt;"",_xlpm.MyAuditVal,_xlpm.MacVal&lt;&gt;"",_xlpm.MacVal,_xlpm.CSVVal&lt;&gt;"",PROPER(_xlpm.CSVVal)
)),"")</f>
        <v/>
      </c>
      <c r="G164" s="45" t="str" cm="1">
        <f t="array" ref="G164">IFERROR(_xlfn.LET(
_xlpm.CSVVal,_xlfn.XLOOKUP($A164,CSV!$A:$A,CSV!G:G,""),
_xlpm.MacVal,_xlfn.XLOOKUP($A164,Output_Mac!$A:$A,Output_Mac!H:H,""),
_xlpm.MyAuditVal,_xlfn.XLOOKUP($A164,My_Audit!$A:$A,My_Audit!F:F,""),
_xlfn.IFS(_xlpm.MyAuditVal&lt;&gt;"",_xlpm.MyAuditVal,_xlpm.MacVal&lt;&gt;"",_xlpm.MacVal,_xlpm.CSVVal&lt;&gt;"",_xlpm.CSVVal
)),"")</f>
        <v/>
      </c>
      <c r="H164" s="45" t="str">
        <f>_xlfn.XLOOKUP(A164,Output_Mac!A:A,Output_Mac!I:I,"")</f>
        <v/>
      </c>
      <c r="I164" s="45" t="str" cm="1">
        <f t="array" ref="I164">IFERROR(_xlfn.LET(
_xlpm.CSVVal,_xlfn.XLOOKUP($A164,CSV!$A:$A,CSV!H:H,""),
_xlpm.MacVal,_xlfn.XLOOKUP($A164,Output_Mac!$A:$A,Output_Mac!J:J,""),
_xlpm.MyAuditVal,_xlfn.XLOOKUP($A164,My_Audit!$A:$A,My_Audit!H:H,""),
_xlfn.IFS(_xlpm.MyAuditVal&lt;&gt;"",UPPER(_xlpm.MyAuditVal),_xlpm.MacVal&lt;&gt;"",_xlpm.MacVal,_xlpm.CSVVal&lt;&gt;"",_xlpm.CSVVal
)),"")</f>
        <v/>
      </c>
      <c r="J164" s="45" t="str" cm="1">
        <f t="array" ref="J164">IFERROR(_xlfn.LET(
_xlpm.CSVVal,_xlfn.XLOOKUP($A164,CSV!$A:$A,CSV!J:J,""),
_xlpm.MacVal,_xlfn.XLOOKUP($A164,Output_Mac!$A:$A,Output_Mac!K:K,""),
_xlpm.MyAuditVal,_xlfn.XLOOKUP($A164,My_Audit!$A:$A,My_Audit!I:I,""),
_xlfn.IFS(_xlpm.MyAuditVal&lt;&gt;"",UPPER(_xlpm.MyAuditVal),_xlpm.MacVal&lt;&gt;"",_xlpm.MacVal,_xlpm.CSVVal&lt;&gt;"",_xlpm.CSVVal
)),"")</f>
        <v/>
      </c>
      <c r="K164" s="45" t="str" cm="1">
        <f t="array" ref="K164">IFERROR(_xlfn.LET(
_xlpm.CSVVal,_xlfn.XLOOKUP($A164,CSV!$A:$A,CSV!N:N,""),
_xlpm.MacVal,_xlfn.XLOOKUP($A164,Output_Mac!$A:$A,Output_Mac!L:L,""),
_xlpm.MyAuditVal,_xlfn.XLOOKUP($A164,My_Audit!$A:$A,My_Audit!J:J,""),
_xlfn.IFS(_xlpm.MyAuditVal&lt;&gt;"",UPPER(_xlpm.MyAuditVal),_xlpm.MacVal&lt;&gt;"",_xlpm.MacVal,_xlpm.CSVVal&lt;&gt;"",_xlpm.CSVVal
)),"")</f>
        <v/>
      </c>
      <c r="L164" s="46" t="str" cm="1">
        <f t="array" ref="L164">IFERROR(_xlfn.LET(
_xlpm.CSVVal,_xlfn.XLOOKUP($A164,CSV!$A:$A,CSV!Q:Q,""),
_xlpm.MacVal,_xlfn.XLOOKUP($A164,Output_Mac!$A:$A,Output_Mac!M:M,""),
_xlpm.MyAuditVal,_xlfn.XLOOKUP($A164,My_Audit!$A:$A,My_Audit!K:K,""),
_xlfn.IFS(_xlpm.MyAuditVal&lt;&gt;"",UPPER(_xlpm.MyAuditVal),_xlpm.MacVal&lt;&gt;"",_xlpm.MacVal,_xlpm.CSVVal&lt;&gt;"",_xlpm.CSVVal
)),"")</f>
        <v/>
      </c>
      <c r="M164" s="45" t="str">
        <f>_xlfn.LET(
    _xlpm.CSVVal, _xlfn.XLOOKUP($A164, CSV!$A:$A, CSV!AE:AE, ""),
    _xlpm.MacVal, _xlfn.XLOOKUP($A164, Output_Mac!$A:$A, Output_Mac!S:S, ""),
    _xlpm.MyAuditVal, _xlfn.XLOOKUP($A164, My_Audit!$A:$A, My_Audit!N:N, ""),
    _xlfn.TEXTJOIN(", ", TRUE, _xlpm.MyAuditVal, _xlpm.MacVal, _xlpm.CSVVal)
)</f>
        <v/>
      </c>
      <c r="N164" s="45" t="str" cm="1">
        <f t="array" ref="N164">IFERROR(_xlfn.LET(
_xlpm.CSVVal,_xlfn.XLOOKUP($A164,CSV!$A:$A,CSV!AG:AG,""),
_xlpm.MacVal,_xlfn.XLOOKUP($A164,Output_Mac!$A:$A,Output_Mac!U:U,""),
_xlpm.MyAuditVal,_xlfn.XLOOKUP($A164,My_Audit!$A:$A,My_Audit!O:O,""),
_xlfn.IFS(_xlpm.MyAuditVal&lt;&gt;"",UPPER(_xlpm.MyAuditVal),_xlpm.MacVal&lt;&gt;"",_xlpm.MacVal,_xlpm.CSVVal&lt;&gt;"",_xlpm.CSVVal
)),"")</f>
        <v/>
      </c>
      <c r="O164" s="46" t="str">
        <f>_xlfn.XLOOKUP(C164,My_Audit!B:B,My_Audit!P:P,"")&amp;""</f>
        <v/>
      </c>
      <c r="P164" s="45"/>
      <c r="Q164" s="46" t="str">
        <f>IF(LEFT(N164,4)="Pass","Nist SP 800-88",My_Audit!R164)&amp;""</f>
        <v/>
      </c>
      <c r="R164" s="45"/>
      <c r="S164" s="45"/>
      <c r="T164" s="46" t="str">
        <f>_xlfn.XLOOKUP(E164,Models!I:I,Models!J:J,"")</f>
        <v/>
      </c>
      <c r="U164" s="45"/>
      <c r="V164" s="45"/>
      <c r="W164" s="38" t="str">
        <f>_xlfn.LET(
    _xlpm.MacVal, _xlfn.XLOOKUP($A164, Output_Mac!$A:$A, Output_Mac!AB:AB, ""),
    _xlpm.MyAuditVal, _xlfn.XLOOKUP($A164, My_Audit!$A:$A, My_Audit!L:L, ""),
    _xlfn.TEXTJOIN(", ", TRUE, _xlpm.MyAuditVal, _xlpm.MacVal)
)</f>
        <v/>
      </c>
    </row>
    <row r="165" spans="1:23">
      <c r="A165" s="45" t="str">
        <f>_xlfn.TEXTJOIN("",TRUE,Input!$B$2,ROW(My_Audit!A164))</f>
        <v>XX164</v>
      </c>
      <c r="B165" s="45" t="str">
        <f>_xlfn.TEXTJOIN("-",TRUE,"ITD",Input!$A$2,A165)</f>
        <v>ITD-SHRXXX-XX164</v>
      </c>
      <c r="C165" s="45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46" t="str" cm="1">
        <f t="array" ref="D165">IFERROR(_xlfn.LET(
_xlpm.CSVVal,_xlfn.XLOOKUP($A165,CSV!$A:$A,CSV!C:C,""),
_xlpm.MacVal,_xlfn.XLOOKUP($A165,Output_Mac!$A:$A,Output_Mac!D:D,""),
_xlpm.MyAuditVal,_xlfn.XLOOKUP($A165,My_Audit!$A:$A,My_Audit!C:C,""),
_xlfn.IFS(_xlpm.MyAuditVal&lt;&gt;"",UPPER(_xlpm.MyAuditVal),_xlpm.MacVal&lt;&gt;"",_xlpm.MacVal,_xlpm.CSVVal&lt;&gt;"",_xlpm.CSVVal
)),"")</f>
        <v/>
      </c>
      <c r="E165" s="46" t="str" cm="1">
        <f t="array" ref="E165">IFERROR(_xlfn.LET(
_xlpm.CSVVal,_xlfn.XLOOKUP($A165,CSV!$A:$A,CSV!E:E,""),
_xlpm.MacVal,_xlfn.XLOOKUP($A165,Output_Mac!$A:$A,Output_Mac!C:C,""),
_xlpm.MyAuditVal,_xlfn.XLOOKUP($A165,My_Audit!$A:$A,My_Audit!D:D,""),
_xlfn.IFS(_xlpm.MyAuditVal&lt;&gt;"",_xlpm.MyAuditVal,_xlpm.MacVal&lt;&gt;"",_xlpm.MacVal,_xlpm.CSVVal&lt;&gt;"",_xlpm.CSVVal
)),"")</f>
        <v/>
      </c>
      <c r="F165" s="45" t="str" cm="1">
        <f t="array" ref="F165">IFERROR(_xlfn.LET(
_xlpm.CSVVal,_xlfn.XLOOKUP($A165,CSV!$A:$A,CSV!F:F,""),
_xlpm.MacVal,_xlfn.XLOOKUP($A165,Output_Mac!$A:$A,Output_Mac!F:F,""),
_xlpm.MyAuditVal,_xlfn.XLOOKUP($A165,My_Audit!$A:$A,My_Audit!E:E,""),
_xlfn.IFS(_xlpm.MyAuditVal&lt;&gt;"",_xlpm.MyAuditVal,_xlpm.MacVal&lt;&gt;"",_xlpm.MacVal,_xlpm.CSVVal&lt;&gt;"",PROPER(_xlpm.CSVVal)
)),"")</f>
        <v/>
      </c>
      <c r="G165" s="45" t="str" cm="1">
        <f t="array" ref="G165">IFERROR(_xlfn.LET(
_xlpm.CSVVal,_xlfn.XLOOKUP($A165,CSV!$A:$A,CSV!G:G,""),
_xlpm.MacVal,_xlfn.XLOOKUP($A165,Output_Mac!$A:$A,Output_Mac!H:H,""),
_xlpm.MyAuditVal,_xlfn.XLOOKUP($A165,My_Audit!$A:$A,My_Audit!F:F,""),
_xlfn.IFS(_xlpm.MyAuditVal&lt;&gt;"",_xlpm.MyAuditVal,_xlpm.MacVal&lt;&gt;"",_xlpm.MacVal,_xlpm.CSVVal&lt;&gt;"",_xlpm.CSVVal
)),"")</f>
        <v/>
      </c>
      <c r="H165" s="45" t="str">
        <f>_xlfn.XLOOKUP(A165,Output_Mac!A:A,Output_Mac!I:I,"")</f>
        <v/>
      </c>
      <c r="I165" s="45" t="str" cm="1">
        <f t="array" ref="I165">IFERROR(_xlfn.LET(
_xlpm.CSVVal,_xlfn.XLOOKUP($A165,CSV!$A:$A,CSV!H:H,""),
_xlpm.MacVal,_xlfn.XLOOKUP($A165,Output_Mac!$A:$A,Output_Mac!J:J,""),
_xlpm.MyAuditVal,_xlfn.XLOOKUP($A165,My_Audit!$A:$A,My_Audit!H:H,""),
_xlfn.IFS(_xlpm.MyAuditVal&lt;&gt;"",UPPER(_xlpm.MyAuditVal),_xlpm.MacVal&lt;&gt;"",_xlpm.MacVal,_xlpm.CSVVal&lt;&gt;"",_xlpm.CSVVal
)),"")</f>
        <v/>
      </c>
      <c r="J165" s="45" t="str" cm="1">
        <f t="array" ref="J165">IFERROR(_xlfn.LET(
_xlpm.CSVVal,_xlfn.XLOOKUP($A165,CSV!$A:$A,CSV!J:J,""),
_xlpm.MacVal,_xlfn.XLOOKUP($A165,Output_Mac!$A:$A,Output_Mac!K:K,""),
_xlpm.MyAuditVal,_xlfn.XLOOKUP($A165,My_Audit!$A:$A,My_Audit!I:I,""),
_xlfn.IFS(_xlpm.MyAuditVal&lt;&gt;"",UPPER(_xlpm.MyAuditVal),_xlpm.MacVal&lt;&gt;"",_xlpm.MacVal,_xlpm.CSVVal&lt;&gt;"",_xlpm.CSVVal
)),"")</f>
        <v/>
      </c>
      <c r="K165" s="45" t="str" cm="1">
        <f t="array" ref="K165">IFERROR(_xlfn.LET(
_xlpm.CSVVal,_xlfn.XLOOKUP($A165,CSV!$A:$A,CSV!N:N,""),
_xlpm.MacVal,_xlfn.XLOOKUP($A165,Output_Mac!$A:$A,Output_Mac!L:L,""),
_xlpm.MyAuditVal,_xlfn.XLOOKUP($A165,My_Audit!$A:$A,My_Audit!J:J,""),
_xlfn.IFS(_xlpm.MyAuditVal&lt;&gt;"",UPPER(_xlpm.MyAuditVal),_xlpm.MacVal&lt;&gt;"",_xlpm.MacVal,_xlpm.CSVVal&lt;&gt;"",_xlpm.CSVVal
)),"")</f>
        <v/>
      </c>
      <c r="L165" s="46" t="str" cm="1">
        <f t="array" ref="L165">IFERROR(_xlfn.LET(
_xlpm.CSVVal,_xlfn.XLOOKUP($A165,CSV!$A:$A,CSV!Q:Q,""),
_xlpm.MacVal,_xlfn.XLOOKUP($A165,Output_Mac!$A:$A,Output_Mac!M:M,""),
_xlpm.MyAuditVal,_xlfn.XLOOKUP($A165,My_Audit!$A:$A,My_Audit!K:K,""),
_xlfn.IFS(_xlpm.MyAuditVal&lt;&gt;"",UPPER(_xlpm.MyAuditVal),_xlpm.MacVal&lt;&gt;"",_xlpm.MacVal,_xlpm.CSVVal&lt;&gt;"",_xlpm.CSVVal
)),"")</f>
        <v/>
      </c>
      <c r="M165" s="45" t="str">
        <f>_xlfn.LET(
    _xlpm.CSVVal, _xlfn.XLOOKUP($A165, CSV!$A:$A, CSV!AE:AE, ""),
    _xlpm.MacVal, _xlfn.XLOOKUP($A165, Output_Mac!$A:$A, Output_Mac!S:S, ""),
    _xlpm.MyAuditVal, _xlfn.XLOOKUP($A165, My_Audit!$A:$A, My_Audit!N:N, ""),
    _xlfn.TEXTJOIN(", ", TRUE, _xlpm.MyAuditVal, _xlpm.MacVal, _xlpm.CSVVal)
)</f>
        <v/>
      </c>
      <c r="N165" s="45" t="str" cm="1">
        <f t="array" ref="N165">IFERROR(_xlfn.LET(
_xlpm.CSVVal,_xlfn.XLOOKUP($A165,CSV!$A:$A,CSV!AG:AG,""),
_xlpm.MacVal,_xlfn.XLOOKUP($A165,Output_Mac!$A:$A,Output_Mac!U:U,""),
_xlpm.MyAuditVal,_xlfn.XLOOKUP($A165,My_Audit!$A:$A,My_Audit!O:O,""),
_xlfn.IFS(_xlpm.MyAuditVal&lt;&gt;"",UPPER(_xlpm.MyAuditVal),_xlpm.MacVal&lt;&gt;"",_xlpm.MacVal,_xlpm.CSVVal&lt;&gt;"",_xlpm.CSVVal
)),"")</f>
        <v/>
      </c>
      <c r="O165" s="46" t="str">
        <f>_xlfn.XLOOKUP(C165,My_Audit!B:B,My_Audit!P:P,"")&amp;""</f>
        <v/>
      </c>
      <c r="P165" s="45"/>
      <c r="Q165" s="46" t="str">
        <f>IF(LEFT(N165,4)="Pass","Nist SP 800-88",My_Audit!R165)&amp;""</f>
        <v/>
      </c>
      <c r="R165" s="45"/>
      <c r="S165" s="45"/>
      <c r="T165" s="46" t="str">
        <f>_xlfn.XLOOKUP(E165,Models!I:I,Models!J:J,"")</f>
        <v/>
      </c>
      <c r="U165" s="45"/>
      <c r="V165" s="45"/>
      <c r="W165" s="38" t="str">
        <f>_xlfn.LET(
    _xlpm.MacVal, _xlfn.XLOOKUP($A165, Output_Mac!$A:$A, Output_Mac!AB:AB, ""),
    _xlpm.MyAuditVal, _xlfn.XLOOKUP($A165, My_Audit!$A:$A, My_Audit!L:L, ""),
    _xlfn.TEXTJOIN(", ", TRUE, _xlpm.MyAuditVal, _xlpm.MacVal)
)</f>
        <v/>
      </c>
    </row>
    <row r="166" spans="1:23">
      <c r="A166" s="45" t="str">
        <f>_xlfn.TEXTJOIN("",TRUE,Input!$B$2,ROW(My_Audit!A165))</f>
        <v>XX165</v>
      </c>
      <c r="B166" s="45" t="str">
        <f>_xlfn.TEXTJOIN("-",TRUE,"ITD",Input!$A$2,A166)</f>
        <v>ITD-SHRXXX-XX165</v>
      </c>
      <c r="C166" s="45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46" t="str" cm="1">
        <f t="array" ref="D166">IFERROR(_xlfn.LET(
_xlpm.CSVVal,_xlfn.XLOOKUP($A166,CSV!$A:$A,CSV!C:C,""),
_xlpm.MacVal,_xlfn.XLOOKUP($A166,Output_Mac!$A:$A,Output_Mac!D:D,""),
_xlpm.MyAuditVal,_xlfn.XLOOKUP($A166,My_Audit!$A:$A,My_Audit!C:C,""),
_xlfn.IFS(_xlpm.MyAuditVal&lt;&gt;"",UPPER(_xlpm.MyAuditVal),_xlpm.MacVal&lt;&gt;"",_xlpm.MacVal,_xlpm.CSVVal&lt;&gt;"",_xlpm.CSVVal
)),"")</f>
        <v/>
      </c>
      <c r="E166" s="46" t="str" cm="1">
        <f t="array" ref="E166">IFERROR(_xlfn.LET(
_xlpm.CSVVal,_xlfn.XLOOKUP($A166,CSV!$A:$A,CSV!E:E,""),
_xlpm.MacVal,_xlfn.XLOOKUP($A166,Output_Mac!$A:$A,Output_Mac!C:C,""),
_xlpm.MyAuditVal,_xlfn.XLOOKUP($A166,My_Audit!$A:$A,My_Audit!D:D,""),
_xlfn.IFS(_xlpm.MyAuditVal&lt;&gt;"",_xlpm.MyAuditVal,_xlpm.MacVal&lt;&gt;"",_xlpm.MacVal,_xlpm.CSVVal&lt;&gt;"",_xlpm.CSVVal
)),"")</f>
        <v/>
      </c>
      <c r="F166" s="45" t="str" cm="1">
        <f t="array" ref="F166">IFERROR(_xlfn.LET(
_xlpm.CSVVal,_xlfn.XLOOKUP($A166,CSV!$A:$A,CSV!F:F,""),
_xlpm.MacVal,_xlfn.XLOOKUP($A166,Output_Mac!$A:$A,Output_Mac!F:F,""),
_xlpm.MyAuditVal,_xlfn.XLOOKUP($A166,My_Audit!$A:$A,My_Audit!E:E,""),
_xlfn.IFS(_xlpm.MyAuditVal&lt;&gt;"",_xlpm.MyAuditVal,_xlpm.MacVal&lt;&gt;"",_xlpm.MacVal,_xlpm.CSVVal&lt;&gt;"",PROPER(_xlpm.CSVVal)
)),"")</f>
        <v/>
      </c>
      <c r="G166" s="45" t="str" cm="1">
        <f t="array" ref="G166">IFERROR(_xlfn.LET(
_xlpm.CSVVal,_xlfn.XLOOKUP($A166,CSV!$A:$A,CSV!G:G,""),
_xlpm.MacVal,_xlfn.XLOOKUP($A166,Output_Mac!$A:$A,Output_Mac!H:H,""),
_xlpm.MyAuditVal,_xlfn.XLOOKUP($A166,My_Audit!$A:$A,My_Audit!F:F,""),
_xlfn.IFS(_xlpm.MyAuditVal&lt;&gt;"",_xlpm.MyAuditVal,_xlpm.MacVal&lt;&gt;"",_xlpm.MacVal,_xlpm.CSVVal&lt;&gt;"",_xlpm.CSVVal
)),"")</f>
        <v/>
      </c>
      <c r="H166" s="45" t="str">
        <f>_xlfn.XLOOKUP(A166,Output_Mac!A:A,Output_Mac!I:I,"")</f>
        <v/>
      </c>
      <c r="I166" s="45" t="str" cm="1">
        <f t="array" ref="I166">IFERROR(_xlfn.LET(
_xlpm.CSVVal,_xlfn.XLOOKUP($A166,CSV!$A:$A,CSV!H:H,""),
_xlpm.MacVal,_xlfn.XLOOKUP($A166,Output_Mac!$A:$A,Output_Mac!J:J,""),
_xlpm.MyAuditVal,_xlfn.XLOOKUP($A166,My_Audit!$A:$A,My_Audit!H:H,""),
_xlfn.IFS(_xlpm.MyAuditVal&lt;&gt;"",UPPER(_xlpm.MyAuditVal),_xlpm.MacVal&lt;&gt;"",_xlpm.MacVal,_xlpm.CSVVal&lt;&gt;"",_xlpm.CSVVal
)),"")</f>
        <v/>
      </c>
      <c r="J166" s="45" t="str" cm="1">
        <f t="array" ref="J166">IFERROR(_xlfn.LET(
_xlpm.CSVVal,_xlfn.XLOOKUP($A166,CSV!$A:$A,CSV!J:J,""),
_xlpm.MacVal,_xlfn.XLOOKUP($A166,Output_Mac!$A:$A,Output_Mac!K:K,""),
_xlpm.MyAuditVal,_xlfn.XLOOKUP($A166,My_Audit!$A:$A,My_Audit!I:I,""),
_xlfn.IFS(_xlpm.MyAuditVal&lt;&gt;"",UPPER(_xlpm.MyAuditVal),_xlpm.MacVal&lt;&gt;"",_xlpm.MacVal,_xlpm.CSVVal&lt;&gt;"",_xlpm.CSVVal
)),"")</f>
        <v/>
      </c>
      <c r="K166" s="45" t="str" cm="1">
        <f t="array" ref="K166">IFERROR(_xlfn.LET(
_xlpm.CSVVal,_xlfn.XLOOKUP($A166,CSV!$A:$A,CSV!N:N,""),
_xlpm.MacVal,_xlfn.XLOOKUP($A166,Output_Mac!$A:$A,Output_Mac!L:L,""),
_xlpm.MyAuditVal,_xlfn.XLOOKUP($A166,My_Audit!$A:$A,My_Audit!J:J,""),
_xlfn.IFS(_xlpm.MyAuditVal&lt;&gt;"",UPPER(_xlpm.MyAuditVal),_xlpm.MacVal&lt;&gt;"",_xlpm.MacVal,_xlpm.CSVVal&lt;&gt;"",_xlpm.CSVVal
)),"")</f>
        <v/>
      </c>
      <c r="L166" s="46" t="str" cm="1">
        <f t="array" ref="L166">IFERROR(_xlfn.LET(
_xlpm.CSVVal,_xlfn.XLOOKUP($A166,CSV!$A:$A,CSV!Q:Q,""),
_xlpm.MacVal,_xlfn.XLOOKUP($A166,Output_Mac!$A:$A,Output_Mac!M:M,""),
_xlpm.MyAuditVal,_xlfn.XLOOKUP($A166,My_Audit!$A:$A,My_Audit!K:K,""),
_xlfn.IFS(_xlpm.MyAuditVal&lt;&gt;"",UPPER(_xlpm.MyAuditVal),_xlpm.MacVal&lt;&gt;"",_xlpm.MacVal,_xlpm.CSVVal&lt;&gt;"",_xlpm.CSVVal
)),"")</f>
        <v/>
      </c>
      <c r="M166" s="45" t="str">
        <f>_xlfn.LET(
    _xlpm.CSVVal, _xlfn.XLOOKUP($A166, CSV!$A:$A, CSV!AE:AE, ""),
    _xlpm.MacVal, _xlfn.XLOOKUP($A166, Output_Mac!$A:$A, Output_Mac!S:S, ""),
    _xlpm.MyAuditVal, _xlfn.XLOOKUP($A166, My_Audit!$A:$A, My_Audit!N:N, ""),
    _xlfn.TEXTJOIN(", ", TRUE, _xlpm.MyAuditVal, _xlpm.MacVal, _xlpm.CSVVal)
)</f>
        <v/>
      </c>
      <c r="N166" s="45" t="str" cm="1">
        <f t="array" ref="N166">IFERROR(_xlfn.LET(
_xlpm.CSVVal,_xlfn.XLOOKUP($A166,CSV!$A:$A,CSV!AG:AG,""),
_xlpm.MacVal,_xlfn.XLOOKUP($A166,Output_Mac!$A:$A,Output_Mac!U:U,""),
_xlpm.MyAuditVal,_xlfn.XLOOKUP($A166,My_Audit!$A:$A,My_Audit!O:O,""),
_xlfn.IFS(_xlpm.MyAuditVal&lt;&gt;"",UPPER(_xlpm.MyAuditVal),_xlpm.MacVal&lt;&gt;"",_xlpm.MacVal,_xlpm.CSVVal&lt;&gt;"",_xlpm.CSVVal
)),"")</f>
        <v/>
      </c>
      <c r="O166" s="46" t="str">
        <f>_xlfn.XLOOKUP(C166,My_Audit!B:B,My_Audit!P:P,"")&amp;""</f>
        <v/>
      </c>
      <c r="P166" s="45"/>
      <c r="Q166" s="46" t="str">
        <f>IF(LEFT(N166,4)="Pass","Nist SP 800-88",My_Audit!R166)&amp;""</f>
        <v/>
      </c>
      <c r="R166" s="45"/>
      <c r="S166" s="45"/>
      <c r="T166" s="46" t="str">
        <f>_xlfn.XLOOKUP(E166,Models!I:I,Models!J:J,"")</f>
        <v/>
      </c>
      <c r="U166" s="45"/>
      <c r="V166" s="45"/>
      <c r="W166" s="38" t="str">
        <f>_xlfn.LET(
    _xlpm.MacVal, _xlfn.XLOOKUP($A166, Output_Mac!$A:$A, Output_Mac!AB:AB, ""),
    _xlpm.MyAuditVal, _xlfn.XLOOKUP($A166, My_Audit!$A:$A, My_Audit!L:L, ""),
    _xlfn.TEXTJOIN(", ", TRUE, _xlpm.MyAuditVal, _xlpm.MacVal)
)</f>
        <v/>
      </c>
    </row>
    <row r="167" spans="1:23">
      <c r="A167" s="45" t="str">
        <f>_xlfn.TEXTJOIN("",TRUE,Input!$B$2,ROW(My_Audit!A166))</f>
        <v>XX166</v>
      </c>
      <c r="B167" s="45" t="str">
        <f>_xlfn.TEXTJOIN("-",TRUE,"ITD",Input!$A$2,A167)</f>
        <v>ITD-SHRXXX-XX166</v>
      </c>
      <c r="C167" s="45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46" t="str" cm="1">
        <f t="array" ref="D167">IFERROR(_xlfn.LET(
_xlpm.CSVVal,_xlfn.XLOOKUP($A167,CSV!$A:$A,CSV!C:C,""),
_xlpm.MacVal,_xlfn.XLOOKUP($A167,Output_Mac!$A:$A,Output_Mac!D:D,""),
_xlpm.MyAuditVal,_xlfn.XLOOKUP($A167,My_Audit!$A:$A,My_Audit!C:C,""),
_xlfn.IFS(_xlpm.MyAuditVal&lt;&gt;"",UPPER(_xlpm.MyAuditVal),_xlpm.MacVal&lt;&gt;"",_xlpm.MacVal,_xlpm.CSVVal&lt;&gt;"",_xlpm.CSVVal
)),"")</f>
        <v/>
      </c>
      <c r="E167" s="46" t="str" cm="1">
        <f t="array" ref="E167">IFERROR(_xlfn.LET(
_xlpm.CSVVal,_xlfn.XLOOKUP($A167,CSV!$A:$A,CSV!E:E,""),
_xlpm.MacVal,_xlfn.XLOOKUP($A167,Output_Mac!$A:$A,Output_Mac!C:C,""),
_xlpm.MyAuditVal,_xlfn.XLOOKUP($A167,My_Audit!$A:$A,My_Audit!D:D,""),
_xlfn.IFS(_xlpm.MyAuditVal&lt;&gt;"",_xlpm.MyAuditVal,_xlpm.MacVal&lt;&gt;"",_xlpm.MacVal,_xlpm.CSVVal&lt;&gt;"",_xlpm.CSVVal
)),"")</f>
        <v/>
      </c>
      <c r="F167" s="45" t="str" cm="1">
        <f t="array" ref="F167">IFERROR(_xlfn.LET(
_xlpm.CSVVal,_xlfn.XLOOKUP($A167,CSV!$A:$A,CSV!F:F,""),
_xlpm.MacVal,_xlfn.XLOOKUP($A167,Output_Mac!$A:$A,Output_Mac!F:F,""),
_xlpm.MyAuditVal,_xlfn.XLOOKUP($A167,My_Audit!$A:$A,My_Audit!E:E,""),
_xlfn.IFS(_xlpm.MyAuditVal&lt;&gt;"",_xlpm.MyAuditVal,_xlpm.MacVal&lt;&gt;"",_xlpm.MacVal,_xlpm.CSVVal&lt;&gt;"",PROPER(_xlpm.CSVVal)
)),"")</f>
        <v/>
      </c>
      <c r="G167" s="45" t="str" cm="1">
        <f t="array" ref="G167">IFERROR(_xlfn.LET(
_xlpm.CSVVal,_xlfn.XLOOKUP($A167,CSV!$A:$A,CSV!G:G,""),
_xlpm.MacVal,_xlfn.XLOOKUP($A167,Output_Mac!$A:$A,Output_Mac!H:H,""),
_xlpm.MyAuditVal,_xlfn.XLOOKUP($A167,My_Audit!$A:$A,My_Audit!F:F,""),
_xlfn.IFS(_xlpm.MyAuditVal&lt;&gt;"",_xlpm.MyAuditVal,_xlpm.MacVal&lt;&gt;"",_xlpm.MacVal,_xlpm.CSVVal&lt;&gt;"",_xlpm.CSVVal
)),"")</f>
        <v/>
      </c>
      <c r="H167" s="45" t="str">
        <f>_xlfn.XLOOKUP(A167,Output_Mac!A:A,Output_Mac!I:I,"")</f>
        <v/>
      </c>
      <c r="I167" s="45" t="str" cm="1">
        <f t="array" ref="I167">IFERROR(_xlfn.LET(
_xlpm.CSVVal,_xlfn.XLOOKUP($A167,CSV!$A:$A,CSV!H:H,""),
_xlpm.MacVal,_xlfn.XLOOKUP($A167,Output_Mac!$A:$A,Output_Mac!J:J,""),
_xlpm.MyAuditVal,_xlfn.XLOOKUP($A167,My_Audit!$A:$A,My_Audit!H:H,""),
_xlfn.IFS(_xlpm.MyAuditVal&lt;&gt;"",UPPER(_xlpm.MyAuditVal),_xlpm.MacVal&lt;&gt;"",_xlpm.MacVal,_xlpm.CSVVal&lt;&gt;"",_xlpm.CSVVal
)),"")</f>
        <v/>
      </c>
      <c r="J167" s="45" t="str" cm="1">
        <f t="array" ref="J167">IFERROR(_xlfn.LET(
_xlpm.CSVVal,_xlfn.XLOOKUP($A167,CSV!$A:$A,CSV!J:J,""),
_xlpm.MacVal,_xlfn.XLOOKUP($A167,Output_Mac!$A:$A,Output_Mac!K:K,""),
_xlpm.MyAuditVal,_xlfn.XLOOKUP($A167,My_Audit!$A:$A,My_Audit!I:I,""),
_xlfn.IFS(_xlpm.MyAuditVal&lt;&gt;"",UPPER(_xlpm.MyAuditVal),_xlpm.MacVal&lt;&gt;"",_xlpm.MacVal,_xlpm.CSVVal&lt;&gt;"",_xlpm.CSVVal
)),"")</f>
        <v/>
      </c>
      <c r="K167" s="45" t="str" cm="1">
        <f t="array" ref="K167">IFERROR(_xlfn.LET(
_xlpm.CSVVal,_xlfn.XLOOKUP($A167,CSV!$A:$A,CSV!N:N,""),
_xlpm.MacVal,_xlfn.XLOOKUP($A167,Output_Mac!$A:$A,Output_Mac!L:L,""),
_xlpm.MyAuditVal,_xlfn.XLOOKUP($A167,My_Audit!$A:$A,My_Audit!J:J,""),
_xlfn.IFS(_xlpm.MyAuditVal&lt;&gt;"",UPPER(_xlpm.MyAuditVal),_xlpm.MacVal&lt;&gt;"",_xlpm.MacVal,_xlpm.CSVVal&lt;&gt;"",_xlpm.CSVVal
)),"")</f>
        <v/>
      </c>
      <c r="L167" s="46" t="str" cm="1">
        <f t="array" ref="L167">IFERROR(_xlfn.LET(
_xlpm.CSVVal,_xlfn.XLOOKUP($A167,CSV!$A:$A,CSV!Q:Q,""),
_xlpm.MacVal,_xlfn.XLOOKUP($A167,Output_Mac!$A:$A,Output_Mac!M:M,""),
_xlpm.MyAuditVal,_xlfn.XLOOKUP($A167,My_Audit!$A:$A,My_Audit!K:K,""),
_xlfn.IFS(_xlpm.MyAuditVal&lt;&gt;"",UPPER(_xlpm.MyAuditVal),_xlpm.MacVal&lt;&gt;"",_xlpm.MacVal,_xlpm.CSVVal&lt;&gt;"",_xlpm.CSVVal
)),"")</f>
        <v/>
      </c>
      <c r="M167" s="45" t="str">
        <f>_xlfn.LET(
    _xlpm.CSVVal, _xlfn.XLOOKUP($A167, CSV!$A:$A, CSV!AE:AE, ""),
    _xlpm.MacVal, _xlfn.XLOOKUP($A167, Output_Mac!$A:$A, Output_Mac!S:S, ""),
    _xlpm.MyAuditVal, _xlfn.XLOOKUP($A167, My_Audit!$A:$A, My_Audit!N:N, ""),
    _xlfn.TEXTJOIN(", ", TRUE, _xlpm.MyAuditVal, _xlpm.MacVal, _xlpm.CSVVal)
)</f>
        <v/>
      </c>
      <c r="N167" s="45" t="str" cm="1">
        <f t="array" ref="N167">IFERROR(_xlfn.LET(
_xlpm.CSVVal,_xlfn.XLOOKUP($A167,CSV!$A:$A,CSV!AG:AG,""),
_xlpm.MacVal,_xlfn.XLOOKUP($A167,Output_Mac!$A:$A,Output_Mac!U:U,""),
_xlpm.MyAuditVal,_xlfn.XLOOKUP($A167,My_Audit!$A:$A,My_Audit!O:O,""),
_xlfn.IFS(_xlpm.MyAuditVal&lt;&gt;"",UPPER(_xlpm.MyAuditVal),_xlpm.MacVal&lt;&gt;"",_xlpm.MacVal,_xlpm.CSVVal&lt;&gt;"",_xlpm.CSVVal
)),"")</f>
        <v/>
      </c>
      <c r="O167" s="46" t="str">
        <f>_xlfn.XLOOKUP(C167,My_Audit!B:B,My_Audit!P:P,"")&amp;""</f>
        <v/>
      </c>
      <c r="P167" s="45"/>
      <c r="Q167" s="46" t="str">
        <f>IF(LEFT(N167,4)="Pass","Nist SP 800-88",My_Audit!R167)&amp;""</f>
        <v/>
      </c>
      <c r="R167" s="45"/>
      <c r="S167" s="45"/>
      <c r="T167" s="46" t="str">
        <f>_xlfn.XLOOKUP(E167,Models!I:I,Models!J:J,"")</f>
        <v/>
      </c>
      <c r="U167" s="45"/>
      <c r="V167" s="45"/>
      <c r="W167" s="38"/>
    </row>
    <row r="168" spans="1:23">
      <c r="A168" s="45" t="str">
        <f>_xlfn.TEXTJOIN("",TRUE,Input!$B$2,ROW(My_Audit!A167))</f>
        <v>XX167</v>
      </c>
      <c r="B168" s="45" t="str">
        <f>_xlfn.TEXTJOIN("-",TRUE,"ITD",Input!$A$2,A168)</f>
        <v>ITD-SHRXXX-XX167</v>
      </c>
      <c r="C168" s="45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46" t="str" cm="1">
        <f t="array" ref="D168">IFERROR(_xlfn.LET(
_xlpm.CSVVal,_xlfn.XLOOKUP($A168,CSV!$A:$A,CSV!C:C,""),
_xlpm.MacVal,_xlfn.XLOOKUP($A168,Output_Mac!$A:$A,Output_Mac!D:D,""),
_xlpm.MyAuditVal,_xlfn.XLOOKUP($A168,My_Audit!$A:$A,My_Audit!C:C,""),
_xlfn.IFS(_xlpm.MyAuditVal&lt;&gt;"",UPPER(_xlpm.MyAuditVal),_xlpm.MacVal&lt;&gt;"",_xlpm.MacVal,_xlpm.CSVVal&lt;&gt;"",_xlpm.CSVVal
)),"")</f>
        <v/>
      </c>
      <c r="E168" s="46" t="str" cm="1">
        <f t="array" ref="E168">IFERROR(_xlfn.LET(
_xlpm.CSVVal,_xlfn.XLOOKUP($A168,CSV!$A:$A,CSV!E:E,""),
_xlpm.MacVal,_xlfn.XLOOKUP($A168,Output_Mac!$A:$A,Output_Mac!C:C,""),
_xlpm.MyAuditVal,_xlfn.XLOOKUP($A168,My_Audit!$A:$A,My_Audit!D:D,""),
_xlfn.IFS(_xlpm.MyAuditVal&lt;&gt;"",_xlpm.MyAuditVal,_xlpm.MacVal&lt;&gt;"",_xlpm.MacVal,_xlpm.CSVVal&lt;&gt;"",_xlpm.CSVVal
)),"")</f>
        <v/>
      </c>
      <c r="F168" s="45" t="str" cm="1">
        <f t="array" ref="F168">IFERROR(_xlfn.LET(
_xlpm.CSVVal,_xlfn.XLOOKUP($A168,CSV!$A:$A,CSV!F:F,""),
_xlpm.MacVal,_xlfn.XLOOKUP($A168,Output_Mac!$A:$A,Output_Mac!F:F,""),
_xlpm.MyAuditVal,_xlfn.XLOOKUP($A168,My_Audit!$A:$A,My_Audit!E:E,""),
_xlfn.IFS(_xlpm.MyAuditVal&lt;&gt;"",_xlpm.MyAuditVal,_xlpm.MacVal&lt;&gt;"",_xlpm.MacVal,_xlpm.CSVVal&lt;&gt;"",PROPER(_xlpm.CSVVal)
)),"")</f>
        <v/>
      </c>
      <c r="G168" s="45" t="str" cm="1">
        <f t="array" ref="G168">IFERROR(_xlfn.LET(
_xlpm.CSVVal,_xlfn.XLOOKUP($A168,CSV!$A:$A,CSV!G:G,""),
_xlpm.MacVal,_xlfn.XLOOKUP($A168,Output_Mac!$A:$A,Output_Mac!H:H,""),
_xlpm.MyAuditVal,_xlfn.XLOOKUP($A168,My_Audit!$A:$A,My_Audit!F:F,""),
_xlfn.IFS(_xlpm.MyAuditVal&lt;&gt;"",_xlpm.MyAuditVal,_xlpm.MacVal&lt;&gt;"",_xlpm.MacVal,_xlpm.CSVVal&lt;&gt;"",_xlpm.CSVVal
)),"")</f>
        <v/>
      </c>
      <c r="H168" s="45" t="str">
        <f>_xlfn.XLOOKUP(A168,Output_Mac!A:A,Output_Mac!I:I,"")</f>
        <v/>
      </c>
      <c r="I168" s="45" t="str" cm="1">
        <f t="array" ref="I168">IFERROR(_xlfn.LET(
_xlpm.CSVVal,_xlfn.XLOOKUP($A168,CSV!$A:$A,CSV!H:H,""),
_xlpm.MacVal,_xlfn.XLOOKUP($A168,Output_Mac!$A:$A,Output_Mac!J:J,""),
_xlpm.MyAuditVal,_xlfn.XLOOKUP($A168,My_Audit!$A:$A,My_Audit!H:H,""),
_xlfn.IFS(_xlpm.MyAuditVal&lt;&gt;"",UPPER(_xlpm.MyAuditVal),_xlpm.MacVal&lt;&gt;"",_xlpm.MacVal,_xlpm.CSVVal&lt;&gt;"",_xlpm.CSVVal
)),"")</f>
        <v/>
      </c>
      <c r="J168" s="45" t="str" cm="1">
        <f t="array" ref="J168">IFERROR(_xlfn.LET(
_xlpm.CSVVal,_xlfn.XLOOKUP($A168,CSV!$A:$A,CSV!J:J,""),
_xlpm.MacVal,_xlfn.XLOOKUP($A168,Output_Mac!$A:$A,Output_Mac!K:K,""),
_xlpm.MyAuditVal,_xlfn.XLOOKUP($A168,My_Audit!$A:$A,My_Audit!I:I,""),
_xlfn.IFS(_xlpm.MyAuditVal&lt;&gt;"",UPPER(_xlpm.MyAuditVal),_xlpm.MacVal&lt;&gt;"",_xlpm.MacVal,_xlpm.CSVVal&lt;&gt;"",_xlpm.CSVVal
)),"")</f>
        <v/>
      </c>
      <c r="K168" s="45" t="str" cm="1">
        <f t="array" ref="K168">IFERROR(_xlfn.LET(
_xlpm.CSVVal,_xlfn.XLOOKUP($A168,CSV!$A:$A,CSV!N:N,""),
_xlpm.MacVal,_xlfn.XLOOKUP($A168,Output_Mac!$A:$A,Output_Mac!L:L,""),
_xlpm.MyAuditVal,_xlfn.XLOOKUP($A168,My_Audit!$A:$A,My_Audit!J:J,""),
_xlfn.IFS(_xlpm.MyAuditVal&lt;&gt;"",UPPER(_xlpm.MyAuditVal),_xlpm.MacVal&lt;&gt;"",_xlpm.MacVal,_xlpm.CSVVal&lt;&gt;"",_xlpm.CSVVal
)),"")</f>
        <v/>
      </c>
      <c r="L168" s="46" t="str" cm="1">
        <f t="array" ref="L168">IFERROR(_xlfn.LET(
_xlpm.CSVVal,_xlfn.XLOOKUP($A168,CSV!$A:$A,CSV!Q:Q,""),
_xlpm.MacVal,_xlfn.XLOOKUP($A168,Output_Mac!$A:$A,Output_Mac!M:M,""),
_xlpm.MyAuditVal,_xlfn.XLOOKUP($A168,My_Audit!$A:$A,My_Audit!K:K,""),
_xlfn.IFS(_xlpm.MyAuditVal&lt;&gt;"",UPPER(_xlpm.MyAuditVal),_xlpm.MacVal&lt;&gt;"",_xlpm.MacVal,_xlpm.CSVVal&lt;&gt;"",_xlpm.CSVVal
)),"")</f>
        <v/>
      </c>
      <c r="M168" s="45" t="str">
        <f>_xlfn.LET(
    _xlpm.CSVVal, _xlfn.XLOOKUP($A168, CSV!$A:$A, CSV!AE:AE, ""),
    _xlpm.MacVal, _xlfn.XLOOKUP($A168, Output_Mac!$A:$A, Output_Mac!S:S, ""),
    _xlpm.MyAuditVal, _xlfn.XLOOKUP($A168, My_Audit!$A:$A, My_Audit!N:N, ""),
    _xlfn.TEXTJOIN(", ", TRUE, _xlpm.MyAuditVal, _xlpm.MacVal, _xlpm.CSVVal)
)</f>
        <v/>
      </c>
      <c r="N168" s="45" t="str" cm="1">
        <f t="array" ref="N168">IFERROR(_xlfn.LET(
_xlpm.CSVVal,_xlfn.XLOOKUP($A168,CSV!$A:$A,CSV!AG:AG,""),
_xlpm.MacVal,_xlfn.XLOOKUP($A168,Output_Mac!$A:$A,Output_Mac!U:U,""),
_xlpm.MyAuditVal,_xlfn.XLOOKUP($A168,My_Audit!$A:$A,My_Audit!O:O,""),
_xlfn.IFS(_xlpm.MyAuditVal&lt;&gt;"",UPPER(_xlpm.MyAuditVal),_xlpm.MacVal&lt;&gt;"",_xlpm.MacVal,_xlpm.CSVVal&lt;&gt;"",_xlpm.CSVVal
)),"")</f>
        <v/>
      </c>
      <c r="O168" s="46" t="str">
        <f>_xlfn.XLOOKUP(C168,My_Audit!B:B,My_Audit!P:P,"")&amp;""</f>
        <v/>
      </c>
      <c r="P168" s="45"/>
      <c r="Q168" s="46" t="str">
        <f>IF(LEFT(N168,4)="Pass","Nist SP 800-88",My_Audit!R168)&amp;""</f>
        <v/>
      </c>
      <c r="R168" s="45"/>
      <c r="S168" s="45"/>
      <c r="T168" s="46" t="str">
        <f>_xlfn.XLOOKUP(E168,Models!I:I,Models!J:J,"")</f>
        <v/>
      </c>
      <c r="U168" s="45"/>
      <c r="V168" s="45"/>
      <c r="W168" s="38"/>
    </row>
    <row r="169" spans="1:23">
      <c r="A169" s="45" t="str">
        <f>_xlfn.TEXTJOIN("",TRUE,Input!$B$2,ROW(My_Audit!A168))</f>
        <v>XX168</v>
      </c>
      <c r="B169" s="45" t="str">
        <f>_xlfn.TEXTJOIN("-",TRUE,"ITD",Input!$A$2,A169)</f>
        <v>ITD-SHRXXX-XX168</v>
      </c>
      <c r="C169" s="45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46" t="str" cm="1">
        <f t="array" ref="D169">IFERROR(_xlfn.LET(
_xlpm.CSVVal,_xlfn.XLOOKUP($A169,CSV!$A:$A,CSV!C:C,""),
_xlpm.MacVal,_xlfn.XLOOKUP($A169,Output_Mac!$A:$A,Output_Mac!D:D,""),
_xlpm.MyAuditVal,_xlfn.XLOOKUP($A169,My_Audit!$A:$A,My_Audit!C:C,""),
_xlfn.IFS(_xlpm.MyAuditVal&lt;&gt;"",UPPER(_xlpm.MyAuditVal),_xlpm.MacVal&lt;&gt;"",_xlpm.MacVal,_xlpm.CSVVal&lt;&gt;"",_xlpm.CSVVal
)),"")</f>
        <v/>
      </c>
      <c r="E169" s="46" t="str" cm="1">
        <f t="array" ref="E169">IFERROR(_xlfn.LET(
_xlpm.CSVVal,_xlfn.XLOOKUP($A169,CSV!$A:$A,CSV!E:E,""),
_xlpm.MacVal,_xlfn.XLOOKUP($A169,Output_Mac!$A:$A,Output_Mac!C:C,""),
_xlpm.MyAuditVal,_xlfn.XLOOKUP($A169,My_Audit!$A:$A,My_Audit!D:D,""),
_xlfn.IFS(_xlpm.MyAuditVal&lt;&gt;"",_xlpm.MyAuditVal,_xlpm.MacVal&lt;&gt;"",_xlpm.MacVal,_xlpm.CSVVal&lt;&gt;"",_xlpm.CSVVal
)),"")</f>
        <v/>
      </c>
      <c r="F169" s="45" t="str" cm="1">
        <f t="array" ref="F169">IFERROR(_xlfn.LET(
_xlpm.CSVVal,_xlfn.XLOOKUP($A169,CSV!$A:$A,CSV!F:F,""),
_xlpm.MacVal,_xlfn.XLOOKUP($A169,Output_Mac!$A:$A,Output_Mac!F:F,""),
_xlpm.MyAuditVal,_xlfn.XLOOKUP($A169,My_Audit!$A:$A,My_Audit!E:E,""),
_xlfn.IFS(_xlpm.MyAuditVal&lt;&gt;"",_xlpm.MyAuditVal,_xlpm.MacVal&lt;&gt;"",_xlpm.MacVal,_xlpm.CSVVal&lt;&gt;"",PROPER(_xlpm.CSVVal)
)),"")</f>
        <v/>
      </c>
      <c r="G169" s="45" t="str" cm="1">
        <f t="array" ref="G169">IFERROR(_xlfn.LET(
_xlpm.CSVVal,_xlfn.XLOOKUP($A169,CSV!$A:$A,CSV!G:G,""),
_xlpm.MacVal,_xlfn.XLOOKUP($A169,Output_Mac!$A:$A,Output_Mac!H:H,""),
_xlpm.MyAuditVal,_xlfn.XLOOKUP($A169,My_Audit!$A:$A,My_Audit!F:F,""),
_xlfn.IFS(_xlpm.MyAuditVal&lt;&gt;"",_xlpm.MyAuditVal,_xlpm.MacVal&lt;&gt;"",_xlpm.MacVal,_xlpm.CSVVal&lt;&gt;"",_xlpm.CSVVal
)),"")</f>
        <v/>
      </c>
      <c r="H169" s="45" t="str">
        <f>_xlfn.XLOOKUP(A169,Output_Mac!A:A,Output_Mac!I:I,"")</f>
        <v/>
      </c>
      <c r="I169" s="45" t="str" cm="1">
        <f t="array" ref="I169">IFERROR(_xlfn.LET(
_xlpm.CSVVal,_xlfn.XLOOKUP($A169,CSV!$A:$A,CSV!H:H,""),
_xlpm.MacVal,_xlfn.XLOOKUP($A169,Output_Mac!$A:$A,Output_Mac!J:J,""),
_xlpm.MyAuditVal,_xlfn.XLOOKUP($A169,My_Audit!$A:$A,My_Audit!H:H,""),
_xlfn.IFS(_xlpm.MyAuditVal&lt;&gt;"",UPPER(_xlpm.MyAuditVal),_xlpm.MacVal&lt;&gt;"",_xlpm.MacVal,_xlpm.CSVVal&lt;&gt;"",_xlpm.CSVVal
)),"")</f>
        <v/>
      </c>
      <c r="J169" s="45" t="str" cm="1">
        <f t="array" ref="J169">IFERROR(_xlfn.LET(
_xlpm.CSVVal,_xlfn.XLOOKUP($A169,CSV!$A:$A,CSV!J:J,""),
_xlpm.MacVal,_xlfn.XLOOKUP($A169,Output_Mac!$A:$A,Output_Mac!K:K,""),
_xlpm.MyAuditVal,_xlfn.XLOOKUP($A169,My_Audit!$A:$A,My_Audit!I:I,""),
_xlfn.IFS(_xlpm.MyAuditVal&lt;&gt;"",UPPER(_xlpm.MyAuditVal),_xlpm.MacVal&lt;&gt;"",_xlpm.MacVal,_xlpm.CSVVal&lt;&gt;"",_xlpm.CSVVal
)),"")</f>
        <v/>
      </c>
      <c r="K169" s="45" t="str" cm="1">
        <f t="array" ref="K169">IFERROR(_xlfn.LET(
_xlpm.CSVVal,_xlfn.XLOOKUP($A169,CSV!$A:$A,CSV!N:N,""),
_xlpm.MacVal,_xlfn.XLOOKUP($A169,Output_Mac!$A:$A,Output_Mac!L:L,""),
_xlpm.MyAuditVal,_xlfn.XLOOKUP($A169,My_Audit!$A:$A,My_Audit!J:J,""),
_xlfn.IFS(_xlpm.MyAuditVal&lt;&gt;"",UPPER(_xlpm.MyAuditVal),_xlpm.MacVal&lt;&gt;"",_xlpm.MacVal,_xlpm.CSVVal&lt;&gt;"",_xlpm.CSVVal
)),"")</f>
        <v/>
      </c>
      <c r="L169" s="46" t="str" cm="1">
        <f t="array" ref="L169">IFERROR(_xlfn.LET(
_xlpm.CSVVal,_xlfn.XLOOKUP($A169,CSV!$A:$A,CSV!Q:Q,""),
_xlpm.MacVal,_xlfn.XLOOKUP($A169,Output_Mac!$A:$A,Output_Mac!M:M,""),
_xlpm.MyAuditVal,_xlfn.XLOOKUP($A169,My_Audit!$A:$A,My_Audit!K:K,""),
_xlfn.IFS(_xlpm.MyAuditVal&lt;&gt;"",UPPER(_xlpm.MyAuditVal),_xlpm.MacVal&lt;&gt;"",_xlpm.MacVal,_xlpm.CSVVal&lt;&gt;"",_xlpm.CSVVal
)),"")</f>
        <v/>
      </c>
      <c r="M169" s="45" t="str">
        <f>_xlfn.LET(
    _xlpm.CSVVal, _xlfn.XLOOKUP($A169, CSV!$A:$A, CSV!AE:AE, ""),
    _xlpm.MacVal, _xlfn.XLOOKUP($A169, Output_Mac!$A:$A, Output_Mac!S:S, ""),
    _xlpm.MyAuditVal, _xlfn.XLOOKUP($A169, My_Audit!$A:$A, My_Audit!N:N, ""),
    _xlfn.TEXTJOIN(", ", TRUE, _xlpm.MyAuditVal, _xlpm.MacVal, _xlpm.CSVVal)
)</f>
        <v/>
      </c>
      <c r="N169" s="45" t="str" cm="1">
        <f t="array" ref="N169">IFERROR(_xlfn.LET(
_xlpm.CSVVal,_xlfn.XLOOKUP($A169,CSV!$A:$A,CSV!AG:AG,""),
_xlpm.MacVal,_xlfn.XLOOKUP($A169,Output_Mac!$A:$A,Output_Mac!U:U,""),
_xlpm.MyAuditVal,_xlfn.XLOOKUP($A169,My_Audit!$A:$A,My_Audit!O:O,""),
_xlfn.IFS(_xlpm.MyAuditVal&lt;&gt;"",UPPER(_xlpm.MyAuditVal),_xlpm.MacVal&lt;&gt;"",_xlpm.MacVal,_xlpm.CSVVal&lt;&gt;"",_xlpm.CSVVal
)),"")</f>
        <v/>
      </c>
      <c r="O169" s="46" t="str">
        <f>_xlfn.XLOOKUP(C169,My_Audit!B:B,My_Audit!P:P,"")&amp;""</f>
        <v/>
      </c>
      <c r="P169" s="45"/>
      <c r="Q169" s="46" t="str">
        <f>IF(LEFT(N169,4)="Pass","Nist SP 800-88",My_Audit!R169)&amp;""</f>
        <v/>
      </c>
      <c r="R169" s="45"/>
      <c r="S169" s="45"/>
      <c r="T169" s="46" t="str">
        <f>_xlfn.XLOOKUP(E169,Models!I:I,Models!J:J,"")</f>
        <v/>
      </c>
      <c r="U169" s="45"/>
      <c r="V169" s="45"/>
      <c r="W169" s="38"/>
    </row>
    <row r="170" spans="1:23">
      <c r="A170" s="45" t="str">
        <f>_xlfn.TEXTJOIN("",TRUE,Input!$B$2,ROW(My_Audit!A169))</f>
        <v>XX169</v>
      </c>
      <c r="B170" s="45" t="str">
        <f>_xlfn.TEXTJOIN("-",TRUE,"ITD",Input!$A$2,A170)</f>
        <v>ITD-SHRXXX-XX169</v>
      </c>
      <c r="C170" s="45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46" t="str" cm="1">
        <f t="array" ref="D170">IFERROR(_xlfn.LET(
_xlpm.CSVVal,_xlfn.XLOOKUP($A170,CSV!$A:$A,CSV!C:C,""),
_xlpm.MacVal,_xlfn.XLOOKUP($A170,Output_Mac!$A:$A,Output_Mac!D:D,""),
_xlpm.MyAuditVal,_xlfn.XLOOKUP($A170,My_Audit!$A:$A,My_Audit!C:C,""),
_xlfn.IFS(_xlpm.MyAuditVal&lt;&gt;"",UPPER(_xlpm.MyAuditVal),_xlpm.MacVal&lt;&gt;"",_xlpm.MacVal,_xlpm.CSVVal&lt;&gt;"",_xlpm.CSVVal
)),"")</f>
        <v/>
      </c>
      <c r="E170" s="46" t="str" cm="1">
        <f t="array" ref="E170">IFERROR(_xlfn.LET(
_xlpm.CSVVal,_xlfn.XLOOKUP($A170,CSV!$A:$A,CSV!E:E,""),
_xlpm.MacVal,_xlfn.XLOOKUP($A170,Output_Mac!$A:$A,Output_Mac!C:C,""),
_xlpm.MyAuditVal,_xlfn.XLOOKUP($A170,My_Audit!$A:$A,My_Audit!D:D,""),
_xlfn.IFS(_xlpm.MyAuditVal&lt;&gt;"",_xlpm.MyAuditVal,_xlpm.MacVal&lt;&gt;"",_xlpm.MacVal,_xlpm.CSVVal&lt;&gt;"",_xlpm.CSVVal
)),"")</f>
        <v/>
      </c>
      <c r="F170" s="45" t="str" cm="1">
        <f t="array" ref="F170">IFERROR(_xlfn.LET(
_xlpm.CSVVal,_xlfn.XLOOKUP($A170,CSV!$A:$A,CSV!F:F,""),
_xlpm.MacVal,_xlfn.XLOOKUP($A170,Output_Mac!$A:$A,Output_Mac!F:F,""),
_xlpm.MyAuditVal,_xlfn.XLOOKUP($A170,My_Audit!$A:$A,My_Audit!E:E,""),
_xlfn.IFS(_xlpm.MyAuditVal&lt;&gt;"",_xlpm.MyAuditVal,_xlpm.MacVal&lt;&gt;"",_xlpm.MacVal,_xlpm.CSVVal&lt;&gt;"",PROPER(_xlpm.CSVVal)
)),"")</f>
        <v/>
      </c>
      <c r="G170" s="45" t="str" cm="1">
        <f t="array" ref="G170">IFERROR(_xlfn.LET(
_xlpm.CSVVal,_xlfn.XLOOKUP($A170,CSV!$A:$A,CSV!G:G,""),
_xlpm.MacVal,_xlfn.XLOOKUP($A170,Output_Mac!$A:$A,Output_Mac!H:H,""),
_xlpm.MyAuditVal,_xlfn.XLOOKUP($A170,My_Audit!$A:$A,My_Audit!F:F,""),
_xlfn.IFS(_xlpm.MyAuditVal&lt;&gt;"",_xlpm.MyAuditVal,_xlpm.MacVal&lt;&gt;"",_xlpm.MacVal,_xlpm.CSVVal&lt;&gt;"",_xlpm.CSVVal
)),"")</f>
        <v/>
      </c>
      <c r="H170" s="45" t="str">
        <f>_xlfn.XLOOKUP(A170,Output_Mac!A:A,Output_Mac!I:I,"")</f>
        <v/>
      </c>
      <c r="I170" s="45" t="str" cm="1">
        <f t="array" ref="I170">IFERROR(_xlfn.LET(
_xlpm.CSVVal,_xlfn.XLOOKUP($A170,CSV!$A:$A,CSV!H:H,""),
_xlpm.MacVal,_xlfn.XLOOKUP($A170,Output_Mac!$A:$A,Output_Mac!J:J,""),
_xlpm.MyAuditVal,_xlfn.XLOOKUP($A170,My_Audit!$A:$A,My_Audit!H:H,""),
_xlfn.IFS(_xlpm.MyAuditVal&lt;&gt;"",UPPER(_xlpm.MyAuditVal),_xlpm.MacVal&lt;&gt;"",_xlpm.MacVal,_xlpm.CSVVal&lt;&gt;"",_xlpm.CSVVal
)),"")</f>
        <v/>
      </c>
      <c r="J170" s="45" t="str" cm="1">
        <f t="array" ref="J170">IFERROR(_xlfn.LET(
_xlpm.CSVVal,_xlfn.XLOOKUP($A170,CSV!$A:$A,CSV!J:J,""),
_xlpm.MacVal,_xlfn.XLOOKUP($A170,Output_Mac!$A:$A,Output_Mac!K:K,""),
_xlpm.MyAuditVal,_xlfn.XLOOKUP($A170,My_Audit!$A:$A,My_Audit!I:I,""),
_xlfn.IFS(_xlpm.MyAuditVal&lt;&gt;"",UPPER(_xlpm.MyAuditVal),_xlpm.MacVal&lt;&gt;"",_xlpm.MacVal,_xlpm.CSVVal&lt;&gt;"",_xlpm.CSVVal
)),"")</f>
        <v/>
      </c>
      <c r="K170" s="45" t="str" cm="1">
        <f t="array" ref="K170">IFERROR(_xlfn.LET(
_xlpm.CSVVal,_xlfn.XLOOKUP($A170,CSV!$A:$A,CSV!N:N,""),
_xlpm.MacVal,_xlfn.XLOOKUP($A170,Output_Mac!$A:$A,Output_Mac!L:L,""),
_xlpm.MyAuditVal,_xlfn.XLOOKUP($A170,My_Audit!$A:$A,My_Audit!J:J,""),
_xlfn.IFS(_xlpm.MyAuditVal&lt;&gt;"",UPPER(_xlpm.MyAuditVal),_xlpm.MacVal&lt;&gt;"",_xlpm.MacVal,_xlpm.CSVVal&lt;&gt;"",_xlpm.CSVVal
)),"")</f>
        <v/>
      </c>
      <c r="L170" s="46" t="str" cm="1">
        <f t="array" ref="L170">IFERROR(_xlfn.LET(
_xlpm.CSVVal,_xlfn.XLOOKUP($A170,CSV!$A:$A,CSV!Q:Q,""),
_xlpm.MacVal,_xlfn.XLOOKUP($A170,Output_Mac!$A:$A,Output_Mac!M:M,""),
_xlpm.MyAuditVal,_xlfn.XLOOKUP($A170,My_Audit!$A:$A,My_Audit!K:K,""),
_xlfn.IFS(_xlpm.MyAuditVal&lt;&gt;"",UPPER(_xlpm.MyAuditVal),_xlpm.MacVal&lt;&gt;"",_xlpm.MacVal,_xlpm.CSVVal&lt;&gt;"",_xlpm.CSVVal
)),"")</f>
        <v/>
      </c>
      <c r="M170" s="45" t="str">
        <f>_xlfn.LET(
    _xlpm.CSVVal, _xlfn.XLOOKUP($A170, CSV!$A:$A, CSV!AE:AE, ""),
    _xlpm.MacVal, _xlfn.XLOOKUP($A170, Output_Mac!$A:$A, Output_Mac!S:S, ""),
    _xlpm.MyAuditVal, _xlfn.XLOOKUP($A170, My_Audit!$A:$A, My_Audit!N:N, ""),
    _xlfn.TEXTJOIN(", ", TRUE, _xlpm.MyAuditVal, _xlpm.MacVal, _xlpm.CSVVal)
)</f>
        <v/>
      </c>
      <c r="N170" s="45" t="str" cm="1">
        <f t="array" ref="N170">IFERROR(_xlfn.LET(
_xlpm.CSVVal,_xlfn.XLOOKUP($A170,CSV!$A:$A,CSV!AG:AG,""),
_xlpm.MacVal,_xlfn.XLOOKUP($A170,Output_Mac!$A:$A,Output_Mac!U:U,""),
_xlpm.MyAuditVal,_xlfn.XLOOKUP($A170,My_Audit!$A:$A,My_Audit!O:O,""),
_xlfn.IFS(_xlpm.MyAuditVal&lt;&gt;"",UPPER(_xlpm.MyAuditVal),_xlpm.MacVal&lt;&gt;"",_xlpm.MacVal,_xlpm.CSVVal&lt;&gt;"",_xlpm.CSVVal
)),"")</f>
        <v/>
      </c>
      <c r="O170" s="46" t="str">
        <f>_xlfn.XLOOKUP(C170,My_Audit!B:B,My_Audit!P:P,"")&amp;""</f>
        <v/>
      </c>
      <c r="P170" s="45"/>
      <c r="Q170" s="46" t="str">
        <f>IF(LEFT(N170,4)="Pass","Nist SP 800-88",My_Audit!R170)&amp;""</f>
        <v/>
      </c>
      <c r="R170" s="45"/>
      <c r="S170" s="45"/>
      <c r="T170" s="46" t="str">
        <f>_xlfn.XLOOKUP(E170,Models!I:I,Models!J:J,"")</f>
        <v/>
      </c>
      <c r="U170" s="45"/>
      <c r="V170" s="45"/>
      <c r="W170" s="38"/>
    </row>
    <row r="171" spans="1:23">
      <c r="A171" s="45" t="str">
        <f>_xlfn.TEXTJOIN("",TRUE,Input!$B$2,ROW(My_Audit!A170))</f>
        <v>XX170</v>
      </c>
      <c r="B171" s="45" t="str">
        <f>_xlfn.TEXTJOIN("-",TRUE,"ITD",Input!$A$2,A171)</f>
        <v>ITD-SHRXXX-XX170</v>
      </c>
      <c r="C171" s="45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46" t="str" cm="1">
        <f t="array" ref="D171">IFERROR(_xlfn.LET(
_xlpm.CSVVal,_xlfn.XLOOKUP($A171,CSV!$A:$A,CSV!C:C,""),
_xlpm.MacVal,_xlfn.XLOOKUP($A171,Output_Mac!$A:$A,Output_Mac!D:D,""),
_xlpm.MyAuditVal,_xlfn.XLOOKUP($A171,My_Audit!$A:$A,My_Audit!C:C,""),
_xlfn.IFS(_xlpm.MyAuditVal&lt;&gt;"",UPPER(_xlpm.MyAuditVal),_xlpm.MacVal&lt;&gt;"",_xlpm.MacVal,_xlpm.CSVVal&lt;&gt;"",_xlpm.CSVVal
)),"")</f>
        <v/>
      </c>
      <c r="E171" s="46" t="str" cm="1">
        <f t="array" ref="E171">IFERROR(_xlfn.LET(
_xlpm.CSVVal,_xlfn.XLOOKUP($A171,CSV!$A:$A,CSV!E:E,""),
_xlpm.MacVal,_xlfn.XLOOKUP($A171,Output_Mac!$A:$A,Output_Mac!C:C,""),
_xlpm.MyAuditVal,_xlfn.XLOOKUP($A171,My_Audit!$A:$A,My_Audit!D:D,""),
_xlfn.IFS(_xlpm.MyAuditVal&lt;&gt;"",_xlpm.MyAuditVal,_xlpm.MacVal&lt;&gt;"",_xlpm.MacVal,_xlpm.CSVVal&lt;&gt;"",_xlpm.CSVVal
)),"")</f>
        <v/>
      </c>
      <c r="F171" s="45" t="str" cm="1">
        <f t="array" ref="F171">IFERROR(_xlfn.LET(
_xlpm.CSVVal,_xlfn.XLOOKUP($A171,CSV!$A:$A,CSV!F:F,""),
_xlpm.MacVal,_xlfn.XLOOKUP($A171,Output_Mac!$A:$A,Output_Mac!F:F,""),
_xlpm.MyAuditVal,_xlfn.XLOOKUP($A171,My_Audit!$A:$A,My_Audit!E:E,""),
_xlfn.IFS(_xlpm.MyAuditVal&lt;&gt;"",_xlpm.MyAuditVal,_xlpm.MacVal&lt;&gt;"",_xlpm.MacVal,_xlpm.CSVVal&lt;&gt;"",PROPER(_xlpm.CSVVal)
)),"")</f>
        <v/>
      </c>
      <c r="G171" s="45" t="str" cm="1">
        <f t="array" ref="G171">IFERROR(_xlfn.LET(
_xlpm.CSVVal,_xlfn.XLOOKUP($A171,CSV!$A:$A,CSV!G:G,""),
_xlpm.MacVal,_xlfn.XLOOKUP($A171,Output_Mac!$A:$A,Output_Mac!H:H,""),
_xlpm.MyAuditVal,_xlfn.XLOOKUP($A171,My_Audit!$A:$A,My_Audit!F:F,""),
_xlfn.IFS(_xlpm.MyAuditVal&lt;&gt;"",_xlpm.MyAuditVal,_xlpm.MacVal&lt;&gt;"",_xlpm.MacVal,_xlpm.CSVVal&lt;&gt;"",_xlpm.CSVVal
)),"")</f>
        <v/>
      </c>
      <c r="H171" s="45" t="str">
        <f>_xlfn.XLOOKUP(A171,Output_Mac!A:A,Output_Mac!I:I,"")</f>
        <v/>
      </c>
      <c r="I171" s="45" t="str" cm="1">
        <f t="array" ref="I171">IFERROR(_xlfn.LET(
_xlpm.CSVVal,_xlfn.XLOOKUP($A171,CSV!$A:$A,CSV!H:H,""),
_xlpm.MacVal,_xlfn.XLOOKUP($A171,Output_Mac!$A:$A,Output_Mac!J:J,""),
_xlpm.MyAuditVal,_xlfn.XLOOKUP($A171,My_Audit!$A:$A,My_Audit!H:H,""),
_xlfn.IFS(_xlpm.MyAuditVal&lt;&gt;"",UPPER(_xlpm.MyAuditVal),_xlpm.MacVal&lt;&gt;"",_xlpm.MacVal,_xlpm.CSVVal&lt;&gt;"",_xlpm.CSVVal
)),"")</f>
        <v/>
      </c>
      <c r="J171" s="45" t="str" cm="1">
        <f t="array" ref="J171">IFERROR(_xlfn.LET(
_xlpm.CSVVal,_xlfn.XLOOKUP($A171,CSV!$A:$A,CSV!J:J,""),
_xlpm.MacVal,_xlfn.XLOOKUP($A171,Output_Mac!$A:$A,Output_Mac!K:K,""),
_xlpm.MyAuditVal,_xlfn.XLOOKUP($A171,My_Audit!$A:$A,My_Audit!I:I,""),
_xlfn.IFS(_xlpm.MyAuditVal&lt;&gt;"",UPPER(_xlpm.MyAuditVal),_xlpm.MacVal&lt;&gt;"",_xlpm.MacVal,_xlpm.CSVVal&lt;&gt;"",_xlpm.CSVVal
)),"")</f>
        <v/>
      </c>
      <c r="K171" s="45" t="str" cm="1">
        <f t="array" ref="K171">IFERROR(_xlfn.LET(
_xlpm.CSVVal,_xlfn.XLOOKUP($A171,CSV!$A:$A,CSV!N:N,""),
_xlpm.MacVal,_xlfn.XLOOKUP($A171,Output_Mac!$A:$A,Output_Mac!L:L,""),
_xlpm.MyAuditVal,_xlfn.XLOOKUP($A171,My_Audit!$A:$A,My_Audit!J:J,""),
_xlfn.IFS(_xlpm.MyAuditVal&lt;&gt;"",UPPER(_xlpm.MyAuditVal),_xlpm.MacVal&lt;&gt;"",_xlpm.MacVal,_xlpm.CSVVal&lt;&gt;"",_xlpm.CSVVal
)),"")</f>
        <v/>
      </c>
      <c r="L171" s="46" t="str" cm="1">
        <f t="array" ref="L171">IFERROR(_xlfn.LET(
_xlpm.CSVVal,_xlfn.XLOOKUP($A171,CSV!$A:$A,CSV!Q:Q,""),
_xlpm.MacVal,_xlfn.XLOOKUP($A171,Output_Mac!$A:$A,Output_Mac!M:M,""),
_xlpm.MyAuditVal,_xlfn.XLOOKUP($A171,My_Audit!$A:$A,My_Audit!K:K,""),
_xlfn.IFS(_xlpm.MyAuditVal&lt;&gt;"",UPPER(_xlpm.MyAuditVal),_xlpm.MacVal&lt;&gt;"",_xlpm.MacVal,_xlpm.CSVVal&lt;&gt;"",_xlpm.CSVVal
)),"")</f>
        <v/>
      </c>
      <c r="M171" s="45" t="str">
        <f>_xlfn.LET(
    _xlpm.CSVVal, _xlfn.XLOOKUP($A171, CSV!$A:$A, CSV!AE:AE, ""),
    _xlpm.MacVal, _xlfn.XLOOKUP($A171, Output_Mac!$A:$A, Output_Mac!S:S, ""),
    _xlpm.MyAuditVal, _xlfn.XLOOKUP($A171, My_Audit!$A:$A, My_Audit!N:N, ""),
    _xlfn.TEXTJOIN(", ", TRUE, _xlpm.MyAuditVal, _xlpm.MacVal, _xlpm.CSVVal)
)</f>
        <v/>
      </c>
      <c r="N171" s="45" t="str" cm="1">
        <f t="array" ref="N171">IFERROR(_xlfn.LET(
_xlpm.CSVVal,_xlfn.XLOOKUP($A171,CSV!$A:$A,CSV!AG:AG,""),
_xlpm.MacVal,_xlfn.XLOOKUP($A171,Output_Mac!$A:$A,Output_Mac!U:U,""),
_xlpm.MyAuditVal,_xlfn.XLOOKUP($A171,My_Audit!$A:$A,My_Audit!O:O,""),
_xlfn.IFS(_xlpm.MyAuditVal&lt;&gt;"",UPPER(_xlpm.MyAuditVal),_xlpm.MacVal&lt;&gt;"",_xlpm.MacVal,_xlpm.CSVVal&lt;&gt;"",_xlpm.CSVVal
)),"")</f>
        <v/>
      </c>
      <c r="O171" s="46" t="str">
        <f>_xlfn.XLOOKUP(C171,My_Audit!B:B,My_Audit!P:P,"")&amp;""</f>
        <v/>
      </c>
      <c r="P171" s="45"/>
      <c r="Q171" s="46" t="str">
        <f>IF(LEFT(N171,4)="Pass","Nist SP 800-88",My_Audit!R171)&amp;""</f>
        <v/>
      </c>
      <c r="R171" s="45"/>
      <c r="S171" s="45"/>
      <c r="T171" s="46" t="str">
        <f>_xlfn.XLOOKUP(E171,Models!I:I,Models!J:J,"")</f>
        <v/>
      </c>
      <c r="U171" s="45"/>
      <c r="V171" s="45"/>
      <c r="W171" s="38"/>
    </row>
    <row r="172" spans="1:23">
      <c r="A172" s="45" t="str">
        <f>_xlfn.TEXTJOIN("",TRUE,Input!$B$2,ROW(My_Audit!A171))</f>
        <v>XX171</v>
      </c>
      <c r="B172" s="45" t="str">
        <f>_xlfn.TEXTJOIN("-",TRUE,"ITD",Input!$A$2,A172)</f>
        <v>ITD-SHRXXX-XX171</v>
      </c>
      <c r="C172" s="45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46" t="str" cm="1">
        <f t="array" ref="D172">IFERROR(_xlfn.LET(
_xlpm.CSVVal,_xlfn.XLOOKUP($A172,CSV!$A:$A,CSV!C:C,""),
_xlpm.MacVal,_xlfn.XLOOKUP($A172,Output_Mac!$A:$A,Output_Mac!D:D,""),
_xlpm.MyAuditVal,_xlfn.XLOOKUP($A172,My_Audit!$A:$A,My_Audit!C:C,""),
_xlfn.IFS(_xlpm.MyAuditVal&lt;&gt;"",UPPER(_xlpm.MyAuditVal),_xlpm.MacVal&lt;&gt;"",_xlpm.MacVal,_xlpm.CSVVal&lt;&gt;"",_xlpm.CSVVal
)),"")</f>
        <v/>
      </c>
      <c r="E172" s="46" t="str" cm="1">
        <f t="array" ref="E172">IFERROR(_xlfn.LET(
_xlpm.CSVVal,_xlfn.XLOOKUP($A172,CSV!$A:$A,CSV!E:E,""),
_xlpm.MacVal,_xlfn.XLOOKUP($A172,Output_Mac!$A:$A,Output_Mac!C:C,""),
_xlpm.MyAuditVal,_xlfn.XLOOKUP($A172,My_Audit!$A:$A,My_Audit!D:D,""),
_xlfn.IFS(_xlpm.MyAuditVal&lt;&gt;"",_xlpm.MyAuditVal,_xlpm.MacVal&lt;&gt;"",_xlpm.MacVal,_xlpm.CSVVal&lt;&gt;"",_xlpm.CSVVal
)),"")</f>
        <v/>
      </c>
      <c r="F172" s="45" t="str" cm="1">
        <f t="array" ref="F172">IFERROR(_xlfn.LET(
_xlpm.CSVVal,_xlfn.XLOOKUP($A172,CSV!$A:$A,CSV!F:F,""),
_xlpm.MacVal,_xlfn.XLOOKUP($A172,Output_Mac!$A:$A,Output_Mac!F:F,""),
_xlpm.MyAuditVal,_xlfn.XLOOKUP($A172,My_Audit!$A:$A,My_Audit!E:E,""),
_xlfn.IFS(_xlpm.MyAuditVal&lt;&gt;"",_xlpm.MyAuditVal,_xlpm.MacVal&lt;&gt;"",_xlpm.MacVal,_xlpm.CSVVal&lt;&gt;"",PROPER(_xlpm.CSVVal)
)),"")</f>
        <v/>
      </c>
      <c r="G172" s="45" t="str" cm="1">
        <f t="array" ref="G172">IFERROR(_xlfn.LET(
_xlpm.CSVVal,_xlfn.XLOOKUP($A172,CSV!$A:$A,CSV!G:G,""),
_xlpm.MacVal,_xlfn.XLOOKUP($A172,Output_Mac!$A:$A,Output_Mac!H:H,""),
_xlpm.MyAuditVal,_xlfn.XLOOKUP($A172,My_Audit!$A:$A,My_Audit!F:F,""),
_xlfn.IFS(_xlpm.MyAuditVal&lt;&gt;"",_xlpm.MyAuditVal,_xlpm.MacVal&lt;&gt;"",_xlpm.MacVal,_xlpm.CSVVal&lt;&gt;"",_xlpm.CSVVal
)),"")</f>
        <v/>
      </c>
      <c r="H172" s="45" t="str">
        <f>_xlfn.XLOOKUP(A172,Output_Mac!A:A,Output_Mac!I:I,"")</f>
        <v/>
      </c>
      <c r="I172" s="45" t="str" cm="1">
        <f t="array" ref="I172">IFERROR(_xlfn.LET(
_xlpm.CSVVal,_xlfn.XLOOKUP($A172,CSV!$A:$A,CSV!H:H,""),
_xlpm.MacVal,_xlfn.XLOOKUP($A172,Output_Mac!$A:$A,Output_Mac!J:J,""),
_xlpm.MyAuditVal,_xlfn.XLOOKUP($A172,My_Audit!$A:$A,My_Audit!H:H,""),
_xlfn.IFS(_xlpm.MyAuditVal&lt;&gt;"",UPPER(_xlpm.MyAuditVal),_xlpm.MacVal&lt;&gt;"",_xlpm.MacVal,_xlpm.CSVVal&lt;&gt;"",_xlpm.CSVVal
)),"")</f>
        <v/>
      </c>
      <c r="J172" s="45" t="str" cm="1">
        <f t="array" ref="J172">IFERROR(_xlfn.LET(
_xlpm.CSVVal,_xlfn.XLOOKUP($A172,CSV!$A:$A,CSV!J:J,""),
_xlpm.MacVal,_xlfn.XLOOKUP($A172,Output_Mac!$A:$A,Output_Mac!K:K,""),
_xlpm.MyAuditVal,_xlfn.XLOOKUP($A172,My_Audit!$A:$A,My_Audit!I:I,""),
_xlfn.IFS(_xlpm.MyAuditVal&lt;&gt;"",UPPER(_xlpm.MyAuditVal),_xlpm.MacVal&lt;&gt;"",_xlpm.MacVal,_xlpm.CSVVal&lt;&gt;"",_xlpm.CSVVal
)),"")</f>
        <v/>
      </c>
      <c r="K172" s="45" t="str" cm="1">
        <f t="array" ref="K172">IFERROR(_xlfn.LET(
_xlpm.CSVVal,_xlfn.XLOOKUP($A172,CSV!$A:$A,CSV!N:N,""),
_xlpm.MacVal,_xlfn.XLOOKUP($A172,Output_Mac!$A:$A,Output_Mac!L:L,""),
_xlpm.MyAuditVal,_xlfn.XLOOKUP($A172,My_Audit!$A:$A,My_Audit!J:J,""),
_xlfn.IFS(_xlpm.MyAuditVal&lt;&gt;"",UPPER(_xlpm.MyAuditVal),_xlpm.MacVal&lt;&gt;"",_xlpm.MacVal,_xlpm.CSVVal&lt;&gt;"",_xlpm.CSVVal
)),"")</f>
        <v/>
      </c>
      <c r="L172" s="46" t="str" cm="1">
        <f t="array" ref="L172">IFERROR(_xlfn.LET(
_xlpm.CSVVal,_xlfn.XLOOKUP($A172,CSV!$A:$A,CSV!Q:Q,""),
_xlpm.MacVal,_xlfn.XLOOKUP($A172,Output_Mac!$A:$A,Output_Mac!M:M,""),
_xlpm.MyAuditVal,_xlfn.XLOOKUP($A172,My_Audit!$A:$A,My_Audit!K:K,""),
_xlfn.IFS(_xlpm.MyAuditVal&lt;&gt;"",UPPER(_xlpm.MyAuditVal),_xlpm.MacVal&lt;&gt;"",_xlpm.MacVal,_xlpm.CSVVal&lt;&gt;"",_xlpm.CSVVal
)),"")</f>
        <v/>
      </c>
      <c r="M172" s="45" t="str">
        <f>_xlfn.LET(
    _xlpm.CSVVal, _xlfn.XLOOKUP($A172, CSV!$A:$A, CSV!AE:AE, ""),
    _xlpm.MacVal, _xlfn.XLOOKUP($A172, Output_Mac!$A:$A, Output_Mac!S:S, ""),
    _xlpm.MyAuditVal, _xlfn.XLOOKUP($A172, My_Audit!$A:$A, My_Audit!N:N, ""),
    _xlfn.TEXTJOIN(", ", TRUE, _xlpm.MyAuditVal, _xlpm.MacVal, _xlpm.CSVVal)
)</f>
        <v/>
      </c>
      <c r="N172" s="45" t="str" cm="1">
        <f t="array" ref="N172">IFERROR(_xlfn.LET(
_xlpm.CSVVal,_xlfn.XLOOKUP($A172,CSV!$A:$A,CSV!AG:AG,""),
_xlpm.MacVal,_xlfn.XLOOKUP($A172,Output_Mac!$A:$A,Output_Mac!U:U,""),
_xlpm.MyAuditVal,_xlfn.XLOOKUP($A172,My_Audit!$A:$A,My_Audit!O:O,""),
_xlfn.IFS(_xlpm.MyAuditVal&lt;&gt;"",UPPER(_xlpm.MyAuditVal),_xlpm.MacVal&lt;&gt;"",_xlpm.MacVal,_xlpm.CSVVal&lt;&gt;"",_xlpm.CSVVal
)),"")</f>
        <v/>
      </c>
      <c r="O172" s="46" t="str">
        <f>_xlfn.XLOOKUP(C172,My_Audit!B:B,My_Audit!P:P,"")&amp;""</f>
        <v/>
      </c>
      <c r="P172" s="45"/>
      <c r="Q172" s="46" t="str">
        <f>IF(LEFT(N172,4)="Pass","Nist SP 800-88",My_Audit!R172)&amp;""</f>
        <v/>
      </c>
      <c r="R172" s="45"/>
      <c r="S172" s="45"/>
      <c r="T172" s="46" t="str">
        <f>_xlfn.XLOOKUP(E172,Models!I:I,Models!J:J,"")</f>
        <v/>
      </c>
      <c r="U172" s="45"/>
      <c r="V172" s="45"/>
      <c r="W172" s="38"/>
    </row>
    <row r="173" spans="1:23">
      <c r="A173" s="45" t="str">
        <f>_xlfn.TEXTJOIN("",TRUE,Input!$B$2,ROW(My_Audit!A172))</f>
        <v>XX172</v>
      </c>
      <c r="B173" s="45" t="str">
        <f>_xlfn.TEXTJOIN("-",TRUE,"ITD",Input!$A$2,A173)</f>
        <v>ITD-SHRXXX-XX172</v>
      </c>
      <c r="C173" s="45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46" t="str" cm="1">
        <f t="array" ref="D173">IFERROR(_xlfn.LET(
_xlpm.CSVVal,_xlfn.XLOOKUP($A173,CSV!$A:$A,CSV!C:C,""),
_xlpm.MacVal,_xlfn.XLOOKUP($A173,Output_Mac!$A:$A,Output_Mac!D:D,""),
_xlpm.MyAuditVal,_xlfn.XLOOKUP($A173,My_Audit!$A:$A,My_Audit!C:C,""),
_xlfn.IFS(_xlpm.MyAuditVal&lt;&gt;"",UPPER(_xlpm.MyAuditVal),_xlpm.MacVal&lt;&gt;"",_xlpm.MacVal,_xlpm.CSVVal&lt;&gt;"",_xlpm.CSVVal
)),"")</f>
        <v/>
      </c>
      <c r="E173" s="46" t="str" cm="1">
        <f t="array" ref="E173">IFERROR(_xlfn.LET(
_xlpm.CSVVal,_xlfn.XLOOKUP($A173,CSV!$A:$A,CSV!E:E,""),
_xlpm.MacVal,_xlfn.XLOOKUP($A173,Output_Mac!$A:$A,Output_Mac!C:C,""),
_xlpm.MyAuditVal,_xlfn.XLOOKUP($A173,My_Audit!$A:$A,My_Audit!D:D,""),
_xlfn.IFS(_xlpm.MyAuditVal&lt;&gt;"",_xlpm.MyAuditVal,_xlpm.MacVal&lt;&gt;"",_xlpm.MacVal,_xlpm.CSVVal&lt;&gt;"",_xlpm.CSVVal
)),"")</f>
        <v/>
      </c>
      <c r="F173" s="45" t="str" cm="1">
        <f t="array" ref="F173">IFERROR(_xlfn.LET(
_xlpm.CSVVal,_xlfn.XLOOKUP($A173,CSV!$A:$A,CSV!F:F,""),
_xlpm.MacVal,_xlfn.XLOOKUP($A173,Output_Mac!$A:$A,Output_Mac!F:F,""),
_xlpm.MyAuditVal,_xlfn.XLOOKUP($A173,My_Audit!$A:$A,My_Audit!E:E,""),
_xlfn.IFS(_xlpm.MyAuditVal&lt;&gt;"",_xlpm.MyAuditVal,_xlpm.MacVal&lt;&gt;"",_xlpm.MacVal,_xlpm.CSVVal&lt;&gt;"",PROPER(_xlpm.CSVVal)
)),"")</f>
        <v/>
      </c>
      <c r="G173" s="45" t="str" cm="1">
        <f t="array" ref="G173">IFERROR(_xlfn.LET(
_xlpm.CSVVal,_xlfn.XLOOKUP($A173,CSV!$A:$A,CSV!G:G,""),
_xlpm.MacVal,_xlfn.XLOOKUP($A173,Output_Mac!$A:$A,Output_Mac!H:H,""),
_xlpm.MyAuditVal,_xlfn.XLOOKUP($A173,My_Audit!$A:$A,My_Audit!F:F,""),
_xlfn.IFS(_xlpm.MyAuditVal&lt;&gt;"",_xlpm.MyAuditVal,_xlpm.MacVal&lt;&gt;"",_xlpm.MacVal,_xlpm.CSVVal&lt;&gt;"",_xlpm.CSVVal
)),"")</f>
        <v/>
      </c>
      <c r="H173" s="45" t="str">
        <f>_xlfn.XLOOKUP(A173,Output_Mac!A:A,Output_Mac!I:I,"")</f>
        <v/>
      </c>
      <c r="I173" s="45" t="str" cm="1">
        <f t="array" ref="I173">IFERROR(_xlfn.LET(
_xlpm.CSVVal,_xlfn.XLOOKUP($A173,CSV!$A:$A,CSV!H:H,""),
_xlpm.MacVal,_xlfn.XLOOKUP($A173,Output_Mac!$A:$A,Output_Mac!J:J,""),
_xlpm.MyAuditVal,_xlfn.XLOOKUP($A173,My_Audit!$A:$A,My_Audit!H:H,""),
_xlfn.IFS(_xlpm.MyAuditVal&lt;&gt;"",UPPER(_xlpm.MyAuditVal),_xlpm.MacVal&lt;&gt;"",_xlpm.MacVal,_xlpm.CSVVal&lt;&gt;"",_xlpm.CSVVal
)),"")</f>
        <v/>
      </c>
      <c r="J173" s="45" t="str" cm="1">
        <f t="array" ref="J173">IFERROR(_xlfn.LET(
_xlpm.CSVVal,_xlfn.XLOOKUP($A173,CSV!$A:$A,CSV!J:J,""),
_xlpm.MacVal,_xlfn.XLOOKUP($A173,Output_Mac!$A:$A,Output_Mac!K:K,""),
_xlpm.MyAuditVal,_xlfn.XLOOKUP($A173,My_Audit!$A:$A,My_Audit!I:I,""),
_xlfn.IFS(_xlpm.MyAuditVal&lt;&gt;"",UPPER(_xlpm.MyAuditVal),_xlpm.MacVal&lt;&gt;"",_xlpm.MacVal,_xlpm.CSVVal&lt;&gt;"",_xlpm.CSVVal
)),"")</f>
        <v/>
      </c>
      <c r="K173" s="45" t="str" cm="1">
        <f t="array" ref="K173">IFERROR(_xlfn.LET(
_xlpm.CSVVal,_xlfn.XLOOKUP($A173,CSV!$A:$A,CSV!N:N,""),
_xlpm.MacVal,_xlfn.XLOOKUP($A173,Output_Mac!$A:$A,Output_Mac!L:L,""),
_xlpm.MyAuditVal,_xlfn.XLOOKUP($A173,My_Audit!$A:$A,My_Audit!J:J,""),
_xlfn.IFS(_xlpm.MyAuditVal&lt;&gt;"",UPPER(_xlpm.MyAuditVal),_xlpm.MacVal&lt;&gt;"",_xlpm.MacVal,_xlpm.CSVVal&lt;&gt;"",_xlpm.CSVVal
)),"")</f>
        <v/>
      </c>
      <c r="L173" s="46" t="str" cm="1">
        <f t="array" ref="L173">IFERROR(_xlfn.LET(
_xlpm.CSVVal,_xlfn.XLOOKUP($A173,CSV!$A:$A,CSV!Q:Q,""),
_xlpm.MacVal,_xlfn.XLOOKUP($A173,Output_Mac!$A:$A,Output_Mac!M:M,""),
_xlpm.MyAuditVal,_xlfn.XLOOKUP($A173,My_Audit!$A:$A,My_Audit!K:K,""),
_xlfn.IFS(_xlpm.MyAuditVal&lt;&gt;"",UPPER(_xlpm.MyAuditVal),_xlpm.MacVal&lt;&gt;"",_xlpm.MacVal,_xlpm.CSVVal&lt;&gt;"",_xlpm.CSVVal
)),"")</f>
        <v/>
      </c>
      <c r="M173" s="45" t="str">
        <f>_xlfn.LET(
    _xlpm.CSVVal, _xlfn.XLOOKUP($A173, CSV!$A:$A, CSV!AE:AE, ""),
    _xlpm.MacVal, _xlfn.XLOOKUP($A173, Output_Mac!$A:$A, Output_Mac!S:S, ""),
    _xlpm.MyAuditVal, _xlfn.XLOOKUP($A173, My_Audit!$A:$A, My_Audit!N:N, ""),
    _xlfn.TEXTJOIN(", ", TRUE, _xlpm.MyAuditVal, _xlpm.MacVal, _xlpm.CSVVal)
)</f>
        <v/>
      </c>
      <c r="N173" s="45" t="str" cm="1">
        <f t="array" ref="N173">IFERROR(_xlfn.LET(
_xlpm.CSVVal,_xlfn.XLOOKUP($A173,CSV!$A:$A,CSV!AG:AG,""),
_xlpm.MacVal,_xlfn.XLOOKUP($A173,Output_Mac!$A:$A,Output_Mac!U:U,""),
_xlpm.MyAuditVal,_xlfn.XLOOKUP($A173,My_Audit!$A:$A,My_Audit!O:O,""),
_xlfn.IFS(_xlpm.MyAuditVal&lt;&gt;"",UPPER(_xlpm.MyAuditVal),_xlpm.MacVal&lt;&gt;"",_xlpm.MacVal,_xlpm.CSVVal&lt;&gt;"",_xlpm.CSVVal
)),"")</f>
        <v/>
      </c>
      <c r="O173" s="46" t="str">
        <f>_xlfn.XLOOKUP(C173,My_Audit!B:B,My_Audit!P:P,"")&amp;""</f>
        <v/>
      </c>
      <c r="P173" s="45"/>
      <c r="Q173" s="46" t="str">
        <f>IF(LEFT(N173,4)="Pass","Nist SP 800-88",My_Audit!R173)&amp;""</f>
        <v/>
      </c>
      <c r="R173" s="45"/>
      <c r="S173" s="45"/>
      <c r="T173" s="46" t="str">
        <f>_xlfn.XLOOKUP(E173,Models!I:I,Models!J:J,"")</f>
        <v/>
      </c>
      <c r="U173" s="45"/>
      <c r="V173" s="45"/>
      <c r="W173" s="38"/>
    </row>
    <row r="174" spans="1:23">
      <c r="A174" s="45" t="str">
        <f>_xlfn.TEXTJOIN("",TRUE,Input!$B$2,ROW(My_Audit!A173))</f>
        <v>XX173</v>
      </c>
      <c r="B174" s="45" t="str">
        <f>_xlfn.TEXTJOIN("-",TRUE,"ITD",Input!$A$2,A174)</f>
        <v>ITD-SHRXXX-XX173</v>
      </c>
      <c r="C174" s="45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46" t="str" cm="1">
        <f t="array" ref="D174">IFERROR(_xlfn.LET(
_xlpm.CSVVal,_xlfn.XLOOKUP($A174,CSV!$A:$A,CSV!C:C,""),
_xlpm.MacVal,_xlfn.XLOOKUP($A174,Output_Mac!$A:$A,Output_Mac!D:D,""),
_xlpm.MyAuditVal,_xlfn.XLOOKUP($A174,My_Audit!$A:$A,My_Audit!C:C,""),
_xlfn.IFS(_xlpm.MyAuditVal&lt;&gt;"",UPPER(_xlpm.MyAuditVal),_xlpm.MacVal&lt;&gt;"",_xlpm.MacVal,_xlpm.CSVVal&lt;&gt;"",_xlpm.CSVVal
)),"")</f>
        <v/>
      </c>
      <c r="E174" s="46" t="str" cm="1">
        <f t="array" ref="E174">IFERROR(_xlfn.LET(
_xlpm.CSVVal,_xlfn.XLOOKUP($A174,CSV!$A:$A,CSV!E:E,""),
_xlpm.MacVal,_xlfn.XLOOKUP($A174,Output_Mac!$A:$A,Output_Mac!C:C,""),
_xlpm.MyAuditVal,_xlfn.XLOOKUP($A174,My_Audit!$A:$A,My_Audit!D:D,""),
_xlfn.IFS(_xlpm.MyAuditVal&lt;&gt;"",_xlpm.MyAuditVal,_xlpm.MacVal&lt;&gt;"",_xlpm.MacVal,_xlpm.CSVVal&lt;&gt;"",_xlpm.CSVVal
)),"")</f>
        <v/>
      </c>
      <c r="F174" s="45" t="str" cm="1">
        <f t="array" ref="F174">IFERROR(_xlfn.LET(
_xlpm.CSVVal,_xlfn.XLOOKUP($A174,CSV!$A:$A,CSV!F:F,""),
_xlpm.MacVal,_xlfn.XLOOKUP($A174,Output_Mac!$A:$A,Output_Mac!F:F,""),
_xlpm.MyAuditVal,_xlfn.XLOOKUP($A174,My_Audit!$A:$A,My_Audit!E:E,""),
_xlfn.IFS(_xlpm.MyAuditVal&lt;&gt;"",_xlpm.MyAuditVal,_xlpm.MacVal&lt;&gt;"",_xlpm.MacVal,_xlpm.CSVVal&lt;&gt;"",PROPER(_xlpm.CSVVal)
)),"")</f>
        <v/>
      </c>
      <c r="G174" s="45" t="str" cm="1">
        <f t="array" ref="G174">IFERROR(_xlfn.LET(
_xlpm.CSVVal,_xlfn.XLOOKUP($A174,CSV!$A:$A,CSV!G:G,""),
_xlpm.MacVal,_xlfn.XLOOKUP($A174,Output_Mac!$A:$A,Output_Mac!H:H,""),
_xlpm.MyAuditVal,_xlfn.XLOOKUP($A174,My_Audit!$A:$A,My_Audit!F:F,""),
_xlfn.IFS(_xlpm.MyAuditVal&lt;&gt;"",_xlpm.MyAuditVal,_xlpm.MacVal&lt;&gt;"",_xlpm.MacVal,_xlpm.CSVVal&lt;&gt;"",_xlpm.CSVVal
)),"")</f>
        <v/>
      </c>
      <c r="H174" s="45" t="str">
        <f>_xlfn.XLOOKUP(A174,Output_Mac!A:A,Output_Mac!I:I,"")</f>
        <v/>
      </c>
      <c r="I174" s="45" t="str" cm="1">
        <f t="array" ref="I174">IFERROR(_xlfn.LET(
_xlpm.CSVVal,_xlfn.XLOOKUP($A174,CSV!$A:$A,CSV!H:H,""),
_xlpm.MacVal,_xlfn.XLOOKUP($A174,Output_Mac!$A:$A,Output_Mac!J:J,""),
_xlpm.MyAuditVal,_xlfn.XLOOKUP($A174,My_Audit!$A:$A,My_Audit!H:H,""),
_xlfn.IFS(_xlpm.MyAuditVal&lt;&gt;"",UPPER(_xlpm.MyAuditVal),_xlpm.MacVal&lt;&gt;"",_xlpm.MacVal,_xlpm.CSVVal&lt;&gt;"",_xlpm.CSVVal
)),"")</f>
        <v/>
      </c>
      <c r="J174" s="45" t="str" cm="1">
        <f t="array" ref="J174">IFERROR(_xlfn.LET(
_xlpm.CSVVal,_xlfn.XLOOKUP($A174,CSV!$A:$A,CSV!J:J,""),
_xlpm.MacVal,_xlfn.XLOOKUP($A174,Output_Mac!$A:$A,Output_Mac!K:K,""),
_xlpm.MyAuditVal,_xlfn.XLOOKUP($A174,My_Audit!$A:$A,My_Audit!I:I,""),
_xlfn.IFS(_xlpm.MyAuditVal&lt;&gt;"",UPPER(_xlpm.MyAuditVal),_xlpm.MacVal&lt;&gt;"",_xlpm.MacVal,_xlpm.CSVVal&lt;&gt;"",_xlpm.CSVVal
)),"")</f>
        <v/>
      </c>
      <c r="K174" s="45" t="str" cm="1">
        <f t="array" ref="K174">IFERROR(_xlfn.LET(
_xlpm.CSVVal,_xlfn.XLOOKUP($A174,CSV!$A:$A,CSV!N:N,""),
_xlpm.MacVal,_xlfn.XLOOKUP($A174,Output_Mac!$A:$A,Output_Mac!L:L,""),
_xlpm.MyAuditVal,_xlfn.XLOOKUP($A174,My_Audit!$A:$A,My_Audit!J:J,""),
_xlfn.IFS(_xlpm.MyAuditVal&lt;&gt;"",UPPER(_xlpm.MyAuditVal),_xlpm.MacVal&lt;&gt;"",_xlpm.MacVal,_xlpm.CSVVal&lt;&gt;"",_xlpm.CSVVal
)),"")</f>
        <v/>
      </c>
      <c r="L174" s="46" t="str" cm="1">
        <f t="array" ref="L174">IFERROR(_xlfn.LET(
_xlpm.CSVVal,_xlfn.XLOOKUP($A174,CSV!$A:$A,CSV!Q:Q,""),
_xlpm.MacVal,_xlfn.XLOOKUP($A174,Output_Mac!$A:$A,Output_Mac!M:M,""),
_xlpm.MyAuditVal,_xlfn.XLOOKUP($A174,My_Audit!$A:$A,My_Audit!K:K,""),
_xlfn.IFS(_xlpm.MyAuditVal&lt;&gt;"",UPPER(_xlpm.MyAuditVal),_xlpm.MacVal&lt;&gt;"",_xlpm.MacVal,_xlpm.CSVVal&lt;&gt;"",_xlpm.CSVVal
)),"")</f>
        <v/>
      </c>
      <c r="M174" s="45" t="str">
        <f>_xlfn.LET(
    _xlpm.CSVVal, _xlfn.XLOOKUP($A174, CSV!$A:$A, CSV!AE:AE, ""),
    _xlpm.MacVal, _xlfn.XLOOKUP($A174, Output_Mac!$A:$A, Output_Mac!S:S, ""),
    _xlpm.MyAuditVal, _xlfn.XLOOKUP($A174, My_Audit!$A:$A, My_Audit!N:N, ""),
    _xlfn.TEXTJOIN(", ", TRUE, _xlpm.MyAuditVal, _xlpm.MacVal, _xlpm.CSVVal)
)</f>
        <v/>
      </c>
      <c r="N174" s="45" t="str" cm="1">
        <f t="array" ref="N174">IFERROR(_xlfn.LET(
_xlpm.CSVVal,_xlfn.XLOOKUP($A174,CSV!$A:$A,CSV!AG:AG,""),
_xlpm.MacVal,_xlfn.XLOOKUP($A174,Output_Mac!$A:$A,Output_Mac!U:U,""),
_xlpm.MyAuditVal,_xlfn.XLOOKUP($A174,My_Audit!$A:$A,My_Audit!O:O,""),
_xlfn.IFS(_xlpm.MyAuditVal&lt;&gt;"",UPPER(_xlpm.MyAuditVal),_xlpm.MacVal&lt;&gt;"",_xlpm.MacVal,_xlpm.CSVVal&lt;&gt;"",_xlpm.CSVVal
)),"")</f>
        <v/>
      </c>
      <c r="O174" s="46" t="str">
        <f>_xlfn.XLOOKUP(C174,My_Audit!B:B,My_Audit!P:P,"")&amp;""</f>
        <v/>
      </c>
      <c r="P174" s="45"/>
      <c r="Q174" s="46" t="str">
        <f>IF(LEFT(N174,4)="Pass","Nist SP 800-88",My_Audit!R174)&amp;""</f>
        <v/>
      </c>
      <c r="R174" s="45"/>
      <c r="S174" s="45"/>
      <c r="T174" s="46" t="str">
        <f>_xlfn.XLOOKUP(E174,Models!I:I,Models!J:J,"")</f>
        <v/>
      </c>
      <c r="U174" s="45"/>
      <c r="V174" s="45"/>
      <c r="W174" s="38"/>
    </row>
    <row r="175" spans="1:23">
      <c r="A175" s="45" t="str">
        <f>_xlfn.TEXTJOIN("",TRUE,Input!$B$2,ROW(My_Audit!A174))</f>
        <v>XX174</v>
      </c>
      <c r="B175" s="45" t="str">
        <f>_xlfn.TEXTJOIN("-",TRUE,"ITD",Input!$A$2,A175)</f>
        <v>ITD-SHRXXX-XX174</v>
      </c>
      <c r="C175" s="45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46" t="str" cm="1">
        <f t="array" ref="D175">IFERROR(_xlfn.LET(
_xlpm.CSVVal,_xlfn.XLOOKUP($A175,CSV!$A:$A,CSV!C:C,""),
_xlpm.MacVal,_xlfn.XLOOKUP($A175,Output_Mac!$A:$A,Output_Mac!D:D,""),
_xlpm.MyAuditVal,_xlfn.XLOOKUP($A175,My_Audit!$A:$A,My_Audit!C:C,""),
_xlfn.IFS(_xlpm.MyAuditVal&lt;&gt;"",UPPER(_xlpm.MyAuditVal),_xlpm.MacVal&lt;&gt;"",_xlpm.MacVal,_xlpm.CSVVal&lt;&gt;"",_xlpm.CSVVal
)),"")</f>
        <v/>
      </c>
      <c r="E175" s="46" t="str" cm="1">
        <f t="array" ref="E175">IFERROR(_xlfn.LET(
_xlpm.CSVVal,_xlfn.XLOOKUP($A175,CSV!$A:$A,CSV!E:E,""),
_xlpm.MacVal,_xlfn.XLOOKUP($A175,Output_Mac!$A:$A,Output_Mac!C:C,""),
_xlpm.MyAuditVal,_xlfn.XLOOKUP($A175,My_Audit!$A:$A,My_Audit!D:D,""),
_xlfn.IFS(_xlpm.MyAuditVal&lt;&gt;"",_xlpm.MyAuditVal,_xlpm.MacVal&lt;&gt;"",_xlpm.MacVal,_xlpm.CSVVal&lt;&gt;"",_xlpm.CSVVal
)),"")</f>
        <v/>
      </c>
      <c r="F175" s="45" t="str" cm="1">
        <f t="array" ref="F175">IFERROR(_xlfn.LET(
_xlpm.CSVVal,_xlfn.XLOOKUP($A175,CSV!$A:$A,CSV!F:F,""),
_xlpm.MacVal,_xlfn.XLOOKUP($A175,Output_Mac!$A:$A,Output_Mac!F:F,""),
_xlpm.MyAuditVal,_xlfn.XLOOKUP($A175,My_Audit!$A:$A,My_Audit!E:E,""),
_xlfn.IFS(_xlpm.MyAuditVal&lt;&gt;"",_xlpm.MyAuditVal,_xlpm.MacVal&lt;&gt;"",_xlpm.MacVal,_xlpm.CSVVal&lt;&gt;"",PROPER(_xlpm.CSVVal)
)),"")</f>
        <v/>
      </c>
      <c r="G175" s="45" t="str" cm="1">
        <f t="array" ref="G175">IFERROR(_xlfn.LET(
_xlpm.CSVVal,_xlfn.XLOOKUP($A175,CSV!$A:$A,CSV!G:G,""),
_xlpm.MacVal,_xlfn.XLOOKUP($A175,Output_Mac!$A:$A,Output_Mac!H:H,""),
_xlpm.MyAuditVal,_xlfn.XLOOKUP($A175,My_Audit!$A:$A,My_Audit!F:F,""),
_xlfn.IFS(_xlpm.MyAuditVal&lt;&gt;"",_xlpm.MyAuditVal,_xlpm.MacVal&lt;&gt;"",_xlpm.MacVal,_xlpm.CSVVal&lt;&gt;"",_xlpm.CSVVal
)),"")</f>
        <v/>
      </c>
      <c r="H175" s="45" t="str">
        <f>_xlfn.XLOOKUP(A175,Output_Mac!A:A,Output_Mac!I:I,"")</f>
        <v/>
      </c>
      <c r="I175" s="45" t="str" cm="1">
        <f t="array" ref="I175">IFERROR(_xlfn.LET(
_xlpm.CSVVal,_xlfn.XLOOKUP($A175,CSV!$A:$A,CSV!H:H,""),
_xlpm.MacVal,_xlfn.XLOOKUP($A175,Output_Mac!$A:$A,Output_Mac!J:J,""),
_xlpm.MyAuditVal,_xlfn.XLOOKUP($A175,My_Audit!$A:$A,My_Audit!H:H,""),
_xlfn.IFS(_xlpm.MyAuditVal&lt;&gt;"",UPPER(_xlpm.MyAuditVal),_xlpm.MacVal&lt;&gt;"",_xlpm.MacVal,_xlpm.CSVVal&lt;&gt;"",_xlpm.CSVVal
)),"")</f>
        <v/>
      </c>
      <c r="J175" s="45" t="str" cm="1">
        <f t="array" ref="J175">IFERROR(_xlfn.LET(
_xlpm.CSVVal,_xlfn.XLOOKUP($A175,CSV!$A:$A,CSV!J:J,""),
_xlpm.MacVal,_xlfn.XLOOKUP($A175,Output_Mac!$A:$A,Output_Mac!K:K,""),
_xlpm.MyAuditVal,_xlfn.XLOOKUP($A175,My_Audit!$A:$A,My_Audit!I:I,""),
_xlfn.IFS(_xlpm.MyAuditVal&lt;&gt;"",UPPER(_xlpm.MyAuditVal),_xlpm.MacVal&lt;&gt;"",_xlpm.MacVal,_xlpm.CSVVal&lt;&gt;"",_xlpm.CSVVal
)),"")</f>
        <v/>
      </c>
      <c r="K175" s="45" t="str" cm="1">
        <f t="array" ref="K175">IFERROR(_xlfn.LET(
_xlpm.CSVVal,_xlfn.XLOOKUP($A175,CSV!$A:$A,CSV!N:N,""),
_xlpm.MacVal,_xlfn.XLOOKUP($A175,Output_Mac!$A:$A,Output_Mac!L:L,""),
_xlpm.MyAuditVal,_xlfn.XLOOKUP($A175,My_Audit!$A:$A,My_Audit!J:J,""),
_xlfn.IFS(_xlpm.MyAuditVal&lt;&gt;"",UPPER(_xlpm.MyAuditVal),_xlpm.MacVal&lt;&gt;"",_xlpm.MacVal,_xlpm.CSVVal&lt;&gt;"",_xlpm.CSVVal
)),"")</f>
        <v/>
      </c>
      <c r="L175" s="46" t="str" cm="1">
        <f t="array" ref="L175">IFERROR(_xlfn.LET(
_xlpm.CSVVal,_xlfn.XLOOKUP($A175,CSV!$A:$A,CSV!Q:Q,""),
_xlpm.MacVal,_xlfn.XLOOKUP($A175,Output_Mac!$A:$A,Output_Mac!M:M,""),
_xlpm.MyAuditVal,_xlfn.XLOOKUP($A175,My_Audit!$A:$A,My_Audit!K:K,""),
_xlfn.IFS(_xlpm.MyAuditVal&lt;&gt;"",UPPER(_xlpm.MyAuditVal),_xlpm.MacVal&lt;&gt;"",_xlpm.MacVal,_xlpm.CSVVal&lt;&gt;"",_xlpm.CSVVal
)),"")</f>
        <v/>
      </c>
      <c r="M175" s="45" t="str">
        <f>_xlfn.LET(
    _xlpm.CSVVal, _xlfn.XLOOKUP($A175, CSV!$A:$A, CSV!AE:AE, ""),
    _xlpm.MacVal, _xlfn.XLOOKUP($A175, Output_Mac!$A:$A, Output_Mac!S:S, ""),
    _xlpm.MyAuditVal, _xlfn.XLOOKUP($A175, My_Audit!$A:$A, My_Audit!N:N, ""),
    _xlfn.TEXTJOIN(", ", TRUE, _xlpm.MyAuditVal, _xlpm.MacVal, _xlpm.CSVVal)
)</f>
        <v/>
      </c>
      <c r="N175" s="45" t="str" cm="1">
        <f t="array" ref="N175">IFERROR(_xlfn.LET(
_xlpm.CSVVal,_xlfn.XLOOKUP($A175,CSV!$A:$A,CSV!AG:AG,""),
_xlpm.MacVal,_xlfn.XLOOKUP($A175,Output_Mac!$A:$A,Output_Mac!U:U,""),
_xlpm.MyAuditVal,_xlfn.XLOOKUP($A175,My_Audit!$A:$A,My_Audit!O:O,""),
_xlfn.IFS(_xlpm.MyAuditVal&lt;&gt;"",UPPER(_xlpm.MyAuditVal),_xlpm.MacVal&lt;&gt;"",_xlpm.MacVal,_xlpm.CSVVal&lt;&gt;"",_xlpm.CSVVal
)),"")</f>
        <v/>
      </c>
      <c r="O175" s="46" t="str">
        <f>_xlfn.XLOOKUP(C175,My_Audit!B:B,My_Audit!P:P,"")&amp;""</f>
        <v/>
      </c>
      <c r="P175" s="45"/>
      <c r="Q175" s="46" t="str">
        <f>IF(LEFT(N175,4)="Pass","Nist SP 800-88",My_Audit!R175)&amp;""</f>
        <v/>
      </c>
      <c r="R175" s="45"/>
      <c r="S175" s="45"/>
      <c r="T175" s="46" t="str">
        <f>_xlfn.XLOOKUP(E175,Models!I:I,Models!J:J,"")</f>
        <v/>
      </c>
      <c r="U175" s="45"/>
      <c r="V175" s="45"/>
      <c r="W175" s="38"/>
    </row>
    <row r="176" spans="1:23">
      <c r="A176" s="45" t="str">
        <f>_xlfn.TEXTJOIN("",TRUE,Input!$B$2,ROW(My_Audit!A175))</f>
        <v>XX175</v>
      </c>
      <c r="B176" s="45" t="str">
        <f>_xlfn.TEXTJOIN("-",TRUE,"ITD",Input!$A$2,A176)</f>
        <v>ITD-SHRXXX-XX175</v>
      </c>
      <c r="C176" s="45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46" t="str" cm="1">
        <f t="array" ref="D176">IFERROR(_xlfn.LET(
_xlpm.CSVVal,_xlfn.XLOOKUP($A176,CSV!$A:$A,CSV!C:C,""),
_xlpm.MacVal,_xlfn.XLOOKUP($A176,Output_Mac!$A:$A,Output_Mac!D:D,""),
_xlpm.MyAuditVal,_xlfn.XLOOKUP($A176,My_Audit!$A:$A,My_Audit!C:C,""),
_xlfn.IFS(_xlpm.MyAuditVal&lt;&gt;"",UPPER(_xlpm.MyAuditVal),_xlpm.MacVal&lt;&gt;"",_xlpm.MacVal,_xlpm.CSVVal&lt;&gt;"",_xlpm.CSVVal
)),"")</f>
        <v/>
      </c>
      <c r="E176" s="46" t="str" cm="1">
        <f t="array" ref="E176">IFERROR(_xlfn.LET(
_xlpm.CSVVal,_xlfn.XLOOKUP($A176,CSV!$A:$A,CSV!E:E,""),
_xlpm.MacVal,_xlfn.XLOOKUP($A176,Output_Mac!$A:$A,Output_Mac!C:C,""),
_xlpm.MyAuditVal,_xlfn.XLOOKUP($A176,My_Audit!$A:$A,My_Audit!D:D,""),
_xlfn.IFS(_xlpm.MyAuditVal&lt;&gt;"",_xlpm.MyAuditVal,_xlpm.MacVal&lt;&gt;"",_xlpm.MacVal,_xlpm.CSVVal&lt;&gt;"",_xlpm.CSVVal
)),"")</f>
        <v/>
      </c>
      <c r="F176" s="45" t="str" cm="1">
        <f t="array" ref="F176">IFERROR(_xlfn.LET(
_xlpm.CSVVal,_xlfn.XLOOKUP($A176,CSV!$A:$A,CSV!F:F,""),
_xlpm.MacVal,_xlfn.XLOOKUP($A176,Output_Mac!$A:$A,Output_Mac!F:F,""),
_xlpm.MyAuditVal,_xlfn.XLOOKUP($A176,My_Audit!$A:$A,My_Audit!E:E,""),
_xlfn.IFS(_xlpm.MyAuditVal&lt;&gt;"",_xlpm.MyAuditVal,_xlpm.MacVal&lt;&gt;"",_xlpm.MacVal,_xlpm.CSVVal&lt;&gt;"",PROPER(_xlpm.CSVVal)
)),"")</f>
        <v/>
      </c>
      <c r="G176" s="45" t="str" cm="1">
        <f t="array" ref="G176">IFERROR(_xlfn.LET(
_xlpm.CSVVal,_xlfn.XLOOKUP($A176,CSV!$A:$A,CSV!G:G,""),
_xlpm.MacVal,_xlfn.XLOOKUP($A176,Output_Mac!$A:$A,Output_Mac!H:H,""),
_xlpm.MyAuditVal,_xlfn.XLOOKUP($A176,My_Audit!$A:$A,My_Audit!F:F,""),
_xlfn.IFS(_xlpm.MyAuditVal&lt;&gt;"",_xlpm.MyAuditVal,_xlpm.MacVal&lt;&gt;"",_xlpm.MacVal,_xlpm.CSVVal&lt;&gt;"",_xlpm.CSVVal
)),"")</f>
        <v/>
      </c>
      <c r="H176" s="45" t="str">
        <f>_xlfn.XLOOKUP(A176,Output_Mac!A:A,Output_Mac!I:I,"")</f>
        <v/>
      </c>
      <c r="I176" s="45" t="str" cm="1">
        <f t="array" ref="I176">IFERROR(_xlfn.LET(
_xlpm.CSVVal,_xlfn.XLOOKUP($A176,CSV!$A:$A,CSV!H:H,""),
_xlpm.MacVal,_xlfn.XLOOKUP($A176,Output_Mac!$A:$A,Output_Mac!J:J,""),
_xlpm.MyAuditVal,_xlfn.XLOOKUP($A176,My_Audit!$A:$A,My_Audit!H:H,""),
_xlfn.IFS(_xlpm.MyAuditVal&lt;&gt;"",UPPER(_xlpm.MyAuditVal),_xlpm.MacVal&lt;&gt;"",_xlpm.MacVal,_xlpm.CSVVal&lt;&gt;"",_xlpm.CSVVal
)),"")</f>
        <v/>
      </c>
      <c r="J176" s="45" t="str" cm="1">
        <f t="array" ref="J176">IFERROR(_xlfn.LET(
_xlpm.CSVVal,_xlfn.XLOOKUP($A176,CSV!$A:$A,CSV!J:J,""),
_xlpm.MacVal,_xlfn.XLOOKUP($A176,Output_Mac!$A:$A,Output_Mac!K:K,""),
_xlpm.MyAuditVal,_xlfn.XLOOKUP($A176,My_Audit!$A:$A,My_Audit!I:I,""),
_xlfn.IFS(_xlpm.MyAuditVal&lt;&gt;"",UPPER(_xlpm.MyAuditVal),_xlpm.MacVal&lt;&gt;"",_xlpm.MacVal,_xlpm.CSVVal&lt;&gt;"",_xlpm.CSVVal
)),"")</f>
        <v/>
      </c>
      <c r="K176" s="45" t="str" cm="1">
        <f t="array" ref="K176">IFERROR(_xlfn.LET(
_xlpm.CSVVal,_xlfn.XLOOKUP($A176,CSV!$A:$A,CSV!N:N,""),
_xlpm.MacVal,_xlfn.XLOOKUP($A176,Output_Mac!$A:$A,Output_Mac!L:L,""),
_xlpm.MyAuditVal,_xlfn.XLOOKUP($A176,My_Audit!$A:$A,My_Audit!J:J,""),
_xlfn.IFS(_xlpm.MyAuditVal&lt;&gt;"",UPPER(_xlpm.MyAuditVal),_xlpm.MacVal&lt;&gt;"",_xlpm.MacVal,_xlpm.CSVVal&lt;&gt;"",_xlpm.CSVVal
)),"")</f>
        <v/>
      </c>
      <c r="L176" s="46" t="str" cm="1">
        <f t="array" ref="L176">IFERROR(_xlfn.LET(
_xlpm.CSVVal,_xlfn.XLOOKUP($A176,CSV!$A:$A,CSV!Q:Q,""),
_xlpm.MacVal,_xlfn.XLOOKUP($A176,Output_Mac!$A:$A,Output_Mac!M:M,""),
_xlpm.MyAuditVal,_xlfn.XLOOKUP($A176,My_Audit!$A:$A,My_Audit!K:K,""),
_xlfn.IFS(_xlpm.MyAuditVal&lt;&gt;"",UPPER(_xlpm.MyAuditVal),_xlpm.MacVal&lt;&gt;"",_xlpm.MacVal,_xlpm.CSVVal&lt;&gt;"",_xlpm.CSVVal
)),"")</f>
        <v/>
      </c>
      <c r="M176" s="45" t="str">
        <f>_xlfn.LET(
    _xlpm.CSVVal, _xlfn.XLOOKUP($A176, CSV!$A:$A, CSV!AE:AE, ""),
    _xlpm.MacVal, _xlfn.XLOOKUP($A176, Output_Mac!$A:$A, Output_Mac!S:S, ""),
    _xlpm.MyAuditVal, _xlfn.XLOOKUP($A176, My_Audit!$A:$A, My_Audit!N:N, ""),
    _xlfn.TEXTJOIN(", ", TRUE, _xlpm.MyAuditVal, _xlpm.MacVal, _xlpm.CSVVal)
)</f>
        <v/>
      </c>
      <c r="N176" s="45" t="str" cm="1">
        <f t="array" ref="N176">IFERROR(_xlfn.LET(
_xlpm.CSVVal,_xlfn.XLOOKUP($A176,CSV!$A:$A,CSV!AG:AG,""),
_xlpm.MacVal,_xlfn.XLOOKUP($A176,Output_Mac!$A:$A,Output_Mac!U:U,""),
_xlpm.MyAuditVal,_xlfn.XLOOKUP($A176,My_Audit!$A:$A,My_Audit!O:O,""),
_xlfn.IFS(_xlpm.MyAuditVal&lt;&gt;"",UPPER(_xlpm.MyAuditVal),_xlpm.MacVal&lt;&gt;"",_xlpm.MacVal,_xlpm.CSVVal&lt;&gt;"",_xlpm.CSVVal
)),"")</f>
        <v/>
      </c>
      <c r="O176" s="46" t="str">
        <f>_xlfn.XLOOKUP(C176,My_Audit!B:B,My_Audit!P:P,"")&amp;""</f>
        <v/>
      </c>
      <c r="P176" s="45"/>
      <c r="Q176" s="46" t="str">
        <f>IF(LEFT(N176,4)="Pass","Nist SP 800-88",My_Audit!R176)&amp;""</f>
        <v/>
      </c>
      <c r="R176" s="45"/>
      <c r="S176" s="45"/>
      <c r="T176" s="46" t="str">
        <f>_xlfn.XLOOKUP(E176,Models!I:I,Models!J:J,"")</f>
        <v/>
      </c>
      <c r="U176" s="45"/>
      <c r="V176" s="45"/>
      <c r="W176" s="38"/>
    </row>
    <row r="177" spans="1:23">
      <c r="A177" s="45" t="str">
        <f>_xlfn.TEXTJOIN("",TRUE,Input!$B$2,ROW(My_Audit!A176))</f>
        <v>XX176</v>
      </c>
      <c r="B177" s="45" t="str">
        <f>_xlfn.TEXTJOIN("-",TRUE,"ITD",Input!$A$2,A177)</f>
        <v>ITD-SHRXXX-XX176</v>
      </c>
      <c r="C177" s="45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46" t="str" cm="1">
        <f t="array" ref="D177">IFERROR(_xlfn.LET(
_xlpm.CSVVal,_xlfn.XLOOKUP($A177,CSV!$A:$A,CSV!C:C,""),
_xlpm.MacVal,_xlfn.XLOOKUP($A177,Output_Mac!$A:$A,Output_Mac!D:D,""),
_xlpm.MyAuditVal,_xlfn.XLOOKUP($A177,My_Audit!$A:$A,My_Audit!C:C,""),
_xlfn.IFS(_xlpm.MyAuditVal&lt;&gt;"",UPPER(_xlpm.MyAuditVal),_xlpm.MacVal&lt;&gt;"",_xlpm.MacVal,_xlpm.CSVVal&lt;&gt;"",_xlpm.CSVVal
)),"")</f>
        <v/>
      </c>
      <c r="E177" s="46" t="str" cm="1">
        <f t="array" ref="E177">IFERROR(_xlfn.LET(
_xlpm.CSVVal,_xlfn.XLOOKUP($A177,CSV!$A:$A,CSV!E:E,""),
_xlpm.MacVal,_xlfn.XLOOKUP($A177,Output_Mac!$A:$A,Output_Mac!C:C,""),
_xlpm.MyAuditVal,_xlfn.XLOOKUP($A177,My_Audit!$A:$A,My_Audit!D:D,""),
_xlfn.IFS(_xlpm.MyAuditVal&lt;&gt;"",_xlpm.MyAuditVal,_xlpm.MacVal&lt;&gt;"",_xlpm.MacVal,_xlpm.CSVVal&lt;&gt;"",_xlpm.CSVVal
)),"")</f>
        <v/>
      </c>
      <c r="F177" s="45" t="str" cm="1">
        <f t="array" ref="F177">IFERROR(_xlfn.LET(
_xlpm.CSVVal,_xlfn.XLOOKUP($A177,CSV!$A:$A,CSV!F:F,""),
_xlpm.MacVal,_xlfn.XLOOKUP($A177,Output_Mac!$A:$A,Output_Mac!F:F,""),
_xlpm.MyAuditVal,_xlfn.XLOOKUP($A177,My_Audit!$A:$A,My_Audit!E:E,""),
_xlfn.IFS(_xlpm.MyAuditVal&lt;&gt;"",_xlpm.MyAuditVal,_xlpm.MacVal&lt;&gt;"",_xlpm.MacVal,_xlpm.CSVVal&lt;&gt;"",PROPER(_xlpm.CSVVal)
)),"")</f>
        <v/>
      </c>
      <c r="G177" s="45" t="str" cm="1">
        <f t="array" ref="G177">IFERROR(_xlfn.LET(
_xlpm.CSVVal,_xlfn.XLOOKUP($A177,CSV!$A:$A,CSV!G:G,""),
_xlpm.MacVal,_xlfn.XLOOKUP($A177,Output_Mac!$A:$A,Output_Mac!H:H,""),
_xlpm.MyAuditVal,_xlfn.XLOOKUP($A177,My_Audit!$A:$A,My_Audit!F:F,""),
_xlfn.IFS(_xlpm.MyAuditVal&lt;&gt;"",_xlpm.MyAuditVal,_xlpm.MacVal&lt;&gt;"",_xlpm.MacVal,_xlpm.CSVVal&lt;&gt;"",_xlpm.CSVVal
)),"")</f>
        <v/>
      </c>
      <c r="H177" s="45" t="str">
        <f>_xlfn.XLOOKUP(A177,Output_Mac!A:A,Output_Mac!I:I,"")</f>
        <v/>
      </c>
      <c r="I177" s="45" t="str" cm="1">
        <f t="array" ref="I177">IFERROR(_xlfn.LET(
_xlpm.CSVVal,_xlfn.XLOOKUP($A177,CSV!$A:$A,CSV!H:H,""),
_xlpm.MacVal,_xlfn.XLOOKUP($A177,Output_Mac!$A:$A,Output_Mac!J:J,""),
_xlpm.MyAuditVal,_xlfn.XLOOKUP($A177,My_Audit!$A:$A,My_Audit!H:H,""),
_xlfn.IFS(_xlpm.MyAuditVal&lt;&gt;"",UPPER(_xlpm.MyAuditVal),_xlpm.MacVal&lt;&gt;"",_xlpm.MacVal,_xlpm.CSVVal&lt;&gt;"",_xlpm.CSVVal
)),"")</f>
        <v/>
      </c>
      <c r="J177" s="45" t="str" cm="1">
        <f t="array" ref="J177">IFERROR(_xlfn.LET(
_xlpm.CSVVal,_xlfn.XLOOKUP($A177,CSV!$A:$A,CSV!J:J,""),
_xlpm.MacVal,_xlfn.XLOOKUP($A177,Output_Mac!$A:$A,Output_Mac!K:K,""),
_xlpm.MyAuditVal,_xlfn.XLOOKUP($A177,My_Audit!$A:$A,My_Audit!I:I,""),
_xlfn.IFS(_xlpm.MyAuditVal&lt;&gt;"",UPPER(_xlpm.MyAuditVal),_xlpm.MacVal&lt;&gt;"",_xlpm.MacVal,_xlpm.CSVVal&lt;&gt;"",_xlpm.CSVVal
)),"")</f>
        <v/>
      </c>
      <c r="K177" s="45" t="str" cm="1">
        <f t="array" ref="K177">IFERROR(_xlfn.LET(
_xlpm.CSVVal,_xlfn.XLOOKUP($A177,CSV!$A:$A,CSV!N:N,""),
_xlpm.MacVal,_xlfn.XLOOKUP($A177,Output_Mac!$A:$A,Output_Mac!L:L,""),
_xlpm.MyAuditVal,_xlfn.XLOOKUP($A177,My_Audit!$A:$A,My_Audit!J:J,""),
_xlfn.IFS(_xlpm.MyAuditVal&lt;&gt;"",UPPER(_xlpm.MyAuditVal),_xlpm.MacVal&lt;&gt;"",_xlpm.MacVal,_xlpm.CSVVal&lt;&gt;"",_xlpm.CSVVal
)),"")</f>
        <v/>
      </c>
      <c r="L177" s="46" t="str" cm="1">
        <f t="array" ref="L177">IFERROR(_xlfn.LET(
_xlpm.CSVVal,_xlfn.XLOOKUP($A177,CSV!$A:$A,CSV!Q:Q,""),
_xlpm.MacVal,_xlfn.XLOOKUP($A177,Output_Mac!$A:$A,Output_Mac!M:M,""),
_xlpm.MyAuditVal,_xlfn.XLOOKUP($A177,My_Audit!$A:$A,My_Audit!K:K,""),
_xlfn.IFS(_xlpm.MyAuditVal&lt;&gt;"",UPPER(_xlpm.MyAuditVal),_xlpm.MacVal&lt;&gt;"",_xlpm.MacVal,_xlpm.CSVVal&lt;&gt;"",_xlpm.CSVVal
)),"")</f>
        <v/>
      </c>
      <c r="M177" s="45" t="str">
        <f>_xlfn.LET(
    _xlpm.CSVVal, _xlfn.XLOOKUP($A177, CSV!$A:$A, CSV!AE:AE, ""),
    _xlpm.MacVal, _xlfn.XLOOKUP($A177, Output_Mac!$A:$A, Output_Mac!S:S, ""),
    _xlpm.MyAuditVal, _xlfn.XLOOKUP($A177, My_Audit!$A:$A, My_Audit!N:N, ""),
    _xlfn.TEXTJOIN(", ", TRUE, _xlpm.MyAuditVal, _xlpm.MacVal, _xlpm.CSVVal)
)</f>
        <v/>
      </c>
      <c r="N177" s="45" t="str" cm="1">
        <f t="array" ref="N177">IFERROR(_xlfn.LET(
_xlpm.CSVVal,_xlfn.XLOOKUP($A177,CSV!$A:$A,CSV!AG:AG,""),
_xlpm.MacVal,_xlfn.XLOOKUP($A177,Output_Mac!$A:$A,Output_Mac!U:U,""),
_xlpm.MyAuditVal,_xlfn.XLOOKUP($A177,My_Audit!$A:$A,My_Audit!O:O,""),
_xlfn.IFS(_xlpm.MyAuditVal&lt;&gt;"",UPPER(_xlpm.MyAuditVal),_xlpm.MacVal&lt;&gt;"",_xlpm.MacVal,_xlpm.CSVVal&lt;&gt;"",_xlpm.CSVVal
)),"")</f>
        <v/>
      </c>
      <c r="O177" s="46" t="str">
        <f>_xlfn.XLOOKUP(C177,My_Audit!B:B,My_Audit!P:P,"")&amp;""</f>
        <v/>
      </c>
      <c r="P177" s="45"/>
      <c r="Q177" s="46" t="str">
        <f>IF(LEFT(N177,4)="Pass","Nist SP 800-88",My_Audit!R177)&amp;""</f>
        <v/>
      </c>
      <c r="R177" s="45"/>
      <c r="S177" s="45"/>
      <c r="T177" s="46" t="str">
        <f>_xlfn.XLOOKUP(E177,Models!I:I,Models!J:J,"")</f>
        <v/>
      </c>
      <c r="U177" s="45"/>
      <c r="V177" s="45"/>
      <c r="W177" s="38"/>
    </row>
    <row r="178" spans="1:23">
      <c r="A178" s="45" t="str">
        <f>_xlfn.TEXTJOIN("",TRUE,Input!$B$2,ROW(My_Audit!A177))</f>
        <v>XX177</v>
      </c>
      <c r="B178" s="45" t="str">
        <f>_xlfn.TEXTJOIN("-",TRUE,"ITD",Input!$A$2,A178)</f>
        <v>ITD-SHRXXX-XX177</v>
      </c>
      <c r="C178" s="45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46" t="str" cm="1">
        <f t="array" ref="D178">IFERROR(_xlfn.LET(
_xlpm.CSVVal,_xlfn.XLOOKUP($A178,CSV!$A:$A,CSV!C:C,""),
_xlpm.MacVal,_xlfn.XLOOKUP($A178,Output_Mac!$A:$A,Output_Mac!D:D,""),
_xlpm.MyAuditVal,_xlfn.XLOOKUP($A178,My_Audit!$A:$A,My_Audit!C:C,""),
_xlfn.IFS(_xlpm.MyAuditVal&lt;&gt;"",UPPER(_xlpm.MyAuditVal),_xlpm.MacVal&lt;&gt;"",_xlpm.MacVal,_xlpm.CSVVal&lt;&gt;"",_xlpm.CSVVal
)),"")</f>
        <v/>
      </c>
      <c r="E178" s="46" t="str" cm="1">
        <f t="array" ref="E178">IFERROR(_xlfn.LET(
_xlpm.CSVVal,_xlfn.XLOOKUP($A178,CSV!$A:$A,CSV!E:E,""),
_xlpm.MacVal,_xlfn.XLOOKUP($A178,Output_Mac!$A:$A,Output_Mac!C:C,""),
_xlpm.MyAuditVal,_xlfn.XLOOKUP($A178,My_Audit!$A:$A,My_Audit!D:D,""),
_xlfn.IFS(_xlpm.MyAuditVal&lt;&gt;"",_xlpm.MyAuditVal,_xlpm.MacVal&lt;&gt;"",_xlpm.MacVal,_xlpm.CSVVal&lt;&gt;"",_xlpm.CSVVal
)),"")</f>
        <v/>
      </c>
      <c r="F178" s="45" t="str" cm="1">
        <f t="array" ref="F178">IFERROR(_xlfn.LET(
_xlpm.CSVVal,_xlfn.XLOOKUP($A178,CSV!$A:$A,CSV!F:F,""),
_xlpm.MacVal,_xlfn.XLOOKUP($A178,Output_Mac!$A:$A,Output_Mac!F:F,""),
_xlpm.MyAuditVal,_xlfn.XLOOKUP($A178,My_Audit!$A:$A,My_Audit!E:E,""),
_xlfn.IFS(_xlpm.MyAuditVal&lt;&gt;"",_xlpm.MyAuditVal,_xlpm.MacVal&lt;&gt;"",_xlpm.MacVal,_xlpm.CSVVal&lt;&gt;"",PROPER(_xlpm.CSVVal)
)),"")</f>
        <v/>
      </c>
      <c r="G178" s="45" t="str" cm="1">
        <f t="array" ref="G178">IFERROR(_xlfn.LET(
_xlpm.CSVVal,_xlfn.XLOOKUP($A178,CSV!$A:$A,CSV!G:G,""),
_xlpm.MacVal,_xlfn.XLOOKUP($A178,Output_Mac!$A:$A,Output_Mac!H:H,""),
_xlpm.MyAuditVal,_xlfn.XLOOKUP($A178,My_Audit!$A:$A,My_Audit!F:F,""),
_xlfn.IFS(_xlpm.MyAuditVal&lt;&gt;"",_xlpm.MyAuditVal,_xlpm.MacVal&lt;&gt;"",_xlpm.MacVal,_xlpm.CSVVal&lt;&gt;"",_xlpm.CSVVal
)),"")</f>
        <v/>
      </c>
      <c r="H178" s="45" t="str">
        <f>_xlfn.XLOOKUP(A178,Output_Mac!A:A,Output_Mac!I:I,"")</f>
        <v/>
      </c>
      <c r="I178" s="45" t="str" cm="1">
        <f t="array" ref="I178">IFERROR(_xlfn.LET(
_xlpm.CSVVal,_xlfn.XLOOKUP($A178,CSV!$A:$A,CSV!H:H,""),
_xlpm.MacVal,_xlfn.XLOOKUP($A178,Output_Mac!$A:$A,Output_Mac!J:J,""),
_xlpm.MyAuditVal,_xlfn.XLOOKUP($A178,My_Audit!$A:$A,My_Audit!H:H,""),
_xlfn.IFS(_xlpm.MyAuditVal&lt;&gt;"",UPPER(_xlpm.MyAuditVal),_xlpm.MacVal&lt;&gt;"",_xlpm.MacVal,_xlpm.CSVVal&lt;&gt;"",_xlpm.CSVVal
)),"")</f>
        <v/>
      </c>
      <c r="J178" s="45" t="str" cm="1">
        <f t="array" ref="J178">IFERROR(_xlfn.LET(
_xlpm.CSVVal,_xlfn.XLOOKUP($A178,CSV!$A:$A,CSV!J:J,""),
_xlpm.MacVal,_xlfn.XLOOKUP($A178,Output_Mac!$A:$A,Output_Mac!K:K,""),
_xlpm.MyAuditVal,_xlfn.XLOOKUP($A178,My_Audit!$A:$A,My_Audit!I:I,""),
_xlfn.IFS(_xlpm.MyAuditVal&lt;&gt;"",UPPER(_xlpm.MyAuditVal),_xlpm.MacVal&lt;&gt;"",_xlpm.MacVal,_xlpm.CSVVal&lt;&gt;"",_xlpm.CSVVal
)),"")</f>
        <v/>
      </c>
      <c r="K178" s="45" t="str" cm="1">
        <f t="array" ref="K178">IFERROR(_xlfn.LET(
_xlpm.CSVVal,_xlfn.XLOOKUP($A178,CSV!$A:$A,CSV!N:N,""),
_xlpm.MacVal,_xlfn.XLOOKUP($A178,Output_Mac!$A:$A,Output_Mac!L:L,""),
_xlpm.MyAuditVal,_xlfn.XLOOKUP($A178,My_Audit!$A:$A,My_Audit!J:J,""),
_xlfn.IFS(_xlpm.MyAuditVal&lt;&gt;"",UPPER(_xlpm.MyAuditVal),_xlpm.MacVal&lt;&gt;"",_xlpm.MacVal,_xlpm.CSVVal&lt;&gt;"",_xlpm.CSVVal
)),"")</f>
        <v/>
      </c>
      <c r="L178" s="46" t="str" cm="1">
        <f t="array" ref="L178">IFERROR(_xlfn.LET(
_xlpm.CSVVal,_xlfn.XLOOKUP($A178,CSV!$A:$A,CSV!Q:Q,""),
_xlpm.MacVal,_xlfn.XLOOKUP($A178,Output_Mac!$A:$A,Output_Mac!M:M,""),
_xlpm.MyAuditVal,_xlfn.XLOOKUP($A178,My_Audit!$A:$A,My_Audit!K:K,""),
_xlfn.IFS(_xlpm.MyAuditVal&lt;&gt;"",UPPER(_xlpm.MyAuditVal),_xlpm.MacVal&lt;&gt;"",_xlpm.MacVal,_xlpm.CSVVal&lt;&gt;"",_xlpm.CSVVal
)),"")</f>
        <v/>
      </c>
      <c r="M178" s="45" t="str">
        <f>_xlfn.LET(
    _xlpm.CSVVal, _xlfn.XLOOKUP($A178, CSV!$A:$A, CSV!AE:AE, ""),
    _xlpm.MacVal, _xlfn.XLOOKUP($A178, Output_Mac!$A:$A, Output_Mac!S:S, ""),
    _xlpm.MyAuditVal, _xlfn.XLOOKUP($A178, My_Audit!$A:$A, My_Audit!N:N, ""),
    _xlfn.TEXTJOIN(", ", TRUE, _xlpm.MyAuditVal, _xlpm.MacVal, _xlpm.CSVVal)
)</f>
        <v/>
      </c>
      <c r="N178" s="45" t="str" cm="1">
        <f t="array" ref="N178">IFERROR(_xlfn.LET(
_xlpm.CSVVal,_xlfn.XLOOKUP($A178,CSV!$A:$A,CSV!AG:AG,""),
_xlpm.MacVal,_xlfn.XLOOKUP($A178,Output_Mac!$A:$A,Output_Mac!U:U,""),
_xlpm.MyAuditVal,_xlfn.XLOOKUP($A178,My_Audit!$A:$A,My_Audit!O:O,""),
_xlfn.IFS(_xlpm.MyAuditVal&lt;&gt;"",UPPER(_xlpm.MyAuditVal),_xlpm.MacVal&lt;&gt;"",_xlpm.MacVal,_xlpm.CSVVal&lt;&gt;"",_xlpm.CSVVal
)),"")</f>
        <v/>
      </c>
      <c r="O178" s="46" t="str">
        <f>_xlfn.XLOOKUP(C178,My_Audit!B:B,My_Audit!P:P,"")&amp;""</f>
        <v/>
      </c>
      <c r="P178" s="45"/>
      <c r="Q178" s="46" t="str">
        <f>IF(LEFT(N178,4)="Pass","Nist SP 800-88",My_Audit!R178)&amp;""</f>
        <v/>
      </c>
      <c r="R178" s="45"/>
      <c r="S178" s="45"/>
      <c r="T178" s="46" t="str">
        <f>_xlfn.XLOOKUP(E178,Models!I:I,Models!J:J,"")</f>
        <v/>
      </c>
      <c r="U178" s="45"/>
      <c r="V178" s="45"/>
      <c r="W178" s="38"/>
    </row>
    <row r="179" spans="1:23">
      <c r="A179" s="45" t="str">
        <f>_xlfn.TEXTJOIN("",TRUE,Input!$B$2,ROW(My_Audit!A178))</f>
        <v>XX178</v>
      </c>
      <c r="B179" s="45" t="str">
        <f>_xlfn.TEXTJOIN("-",TRUE,"ITD",Input!$A$2,A179)</f>
        <v>ITD-SHRXXX-XX178</v>
      </c>
      <c r="C179" s="45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46" t="str" cm="1">
        <f t="array" ref="D179">IFERROR(_xlfn.LET(
_xlpm.CSVVal,_xlfn.XLOOKUP($A179,CSV!$A:$A,CSV!C:C,""),
_xlpm.MacVal,_xlfn.XLOOKUP($A179,Output_Mac!$A:$A,Output_Mac!D:D,""),
_xlpm.MyAuditVal,_xlfn.XLOOKUP($A179,My_Audit!$A:$A,My_Audit!C:C,""),
_xlfn.IFS(_xlpm.MyAuditVal&lt;&gt;"",UPPER(_xlpm.MyAuditVal),_xlpm.MacVal&lt;&gt;"",_xlpm.MacVal,_xlpm.CSVVal&lt;&gt;"",_xlpm.CSVVal
)),"")</f>
        <v/>
      </c>
      <c r="E179" s="46" t="str" cm="1">
        <f t="array" ref="E179">IFERROR(_xlfn.LET(
_xlpm.CSVVal,_xlfn.XLOOKUP($A179,CSV!$A:$A,CSV!E:E,""),
_xlpm.MacVal,_xlfn.XLOOKUP($A179,Output_Mac!$A:$A,Output_Mac!C:C,""),
_xlpm.MyAuditVal,_xlfn.XLOOKUP($A179,My_Audit!$A:$A,My_Audit!D:D,""),
_xlfn.IFS(_xlpm.MyAuditVal&lt;&gt;"",_xlpm.MyAuditVal,_xlpm.MacVal&lt;&gt;"",_xlpm.MacVal,_xlpm.CSVVal&lt;&gt;"",_xlpm.CSVVal
)),"")</f>
        <v/>
      </c>
      <c r="F179" s="45" t="str" cm="1">
        <f t="array" ref="F179">IFERROR(_xlfn.LET(
_xlpm.CSVVal,_xlfn.XLOOKUP($A179,CSV!$A:$A,CSV!F:F,""),
_xlpm.MacVal,_xlfn.XLOOKUP($A179,Output_Mac!$A:$A,Output_Mac!F:F,""),
_xlpm.MyAuditVal,_xlfn.XLOOKUP($A179,My_Audit!$A:$A,My_Audit!E:E,""),
_xlfn.IFS(_xlpm.MyAuditVal&lt;&gt;"",_xlpm.MyAuditVal,_xlpm.MacVal&lt;&gt;"",_xlpm.MacVal,_xlpm.CSVVal&lt;&gt;"",PROPER(_xlpm.CSVVal)
)),"")</f>
        <v/>
      </c>
      <c r="G179" s="45" t="str" cm="1">
        <f t="array" ref="G179">IFERROR(_xlfn.LET(
_xlpm.CSVVal,_xlfn.XLOOKUP($A179,CSV!$A:$A,CSV!G:G,""),
_xlpm.MacVal,_xlfn.XLOOKUP($A179,Output_Mac!$A:$A,Output_Mac!H:H,""),
_xlpm.MyAuditVal,_xlfn.XLOOKUP($A179,My_Audit!$A:$A,My_Audit!F:F,""),
_xlfn.IFS(_xlpm.MyAuditVal&lt;&gt;"",_xlpm.MyAuditVal,_xlpm.MacVal&lt;&gt;"",_xlpm.MacVal,_xlpm.CSVVal&lt;&gt;"",_xlpm.CSVVal
)),"")</f>
        <v/>
      </c>
      <c r="H179" s="45" t="str">
        <f>_xlfn.XLOOKUP(A179,Output_Mac!A:A,Output_Mac!I:I,"")</f>
        <v/>
      </c>
      <c r="I179" s="45" t="str" cm="1">
        <f t="array" ref="I179">IFERROR(_xlfn.LET(
_xlpm.CSVVal,_xlfn.XLOOKUP($A179,CSV!$A:$A,CSV!H:H,""),
_xlpm.MacVal,_xlfn.XLOOKUP($A179,Output_Mac!$A:$A,Output_Mac!J:J,""),
_xlpm.MyAuditVal,_xlfn.XLOOKUP($A179,My_Audit!$A:$A,My_Audit!H:H,""),
_xlfn.IFS(_xlpm.MyAuditVal&lt;&gt;"",UPPER(_xlpm.MyAuditVal),_xlpm.MacVal&lt;&gt;"",_xlpm.MacVal,_xlpm.CSVVal&lt;&gt;"",_xlpm.CSVVal
)),"")</f>
        <v/>
      </c>
      <c r="J179" s="45" t="str" cm="1">
        <f t="array" ref="J179">IFERROR(_xlfn.LET(
_xlpm.CSVVal,_xlfn.XLOOKUP($A179,CSV!$A:$A,CSV!J:J,""),
_xlpm.MacVal,_xlfn.XLOOKUP($A179,Output_Mac!$A:$A,Output_Mac!K:K,""),
_xlpm.MyAuditVal,_xlfn.XLOOKUP($A179,My_Audit!$A:$A,My_Audit!I:I,""),
_xlfn.IFS(_xlpm.MyAuditVal&lt;&gt;"",UPPER(_xlpm.MyAuditVal),_xlpm.MacVal&lt;&gt;"",_xlpm.MacVal,_xlpm.CSVVal&lt;&gt;"",_xlpm.CSVVal
)),"")</f>
        <v/>
      </c>
      <c r="K179" s="45" t="str" cm="1">
        <f t="array" ref="K179">IFERROR(_xlfn.LET(
_xlpm.CSVVal,_xlfn.XLOOKUP($A179,CSV!$A:$A,CSV!N:N,""),
_xlpm.MacVal,_xlfn.XLOOKUP($A179,Output_Mac!$A:$A,Output_Mac!L:L,""),
_xlpm.MyAuditVal,_xlfn.XLOOKUP($A179,My_Audit!$A:$A,My_Audit!J:J,""),
_xlfn.IFS(_xlpm.MyAuditVal&lt;&gt;"",UPPER(_xlpm.MyAuditVal),_xlpm.MacVal&lt;&gt;"",_xlpm.MacVal,_xlpm.CSVVal&lt;&gt;"",_xlpm.CSVVal
)),"")</f>
        <v/>
      </c>
      <c r="L179" s="46" t="str" cm="1">
        <f t="array" ref="L179">IFERROR(_xlfn.LET(
_xlpm.CSVVal,_xlfn.XLOOKUP($A179,CSV!$A:$A,CSV!Q:Q,""),
_xlpm.MacVal,_xlfn.XLOOKUP($A179,Output_Mac!$A:$A,Output_Mac!M:M,""),
_xlpm.MyAuditVal,_xlfn.XLOOKUP($A179,My_Audit!$A:$A,My_Audit!K:K,""),
_xlfn.IFS(_xlpm.MyAuditVal&lt;&gt;"",UPPER(_xlpm.MyAuditVal),_xlpm.MacVal&lt;&gt;"",_xlpm.MacVal,_xlpm.CSVVal&lt;&gt;"",_xlpm.CSVVal
)),"")</f>
        <v/>
      </c>
      <c r="M179" s="45" t="str">
        <f>_xlfn.LET(
    _xlpm.CSVVal, _xlfn.XLOOKUP($A179, CSV!$A:$A, CSV!AE:AE, ""),
    _xlpm.MacVal, _xlfn.XLOOKUP($A179, Output_Mac!$A:$A, Output_Mac!S:S, ""),
    _xlpm.MyAuditVal, _xlfn.XLOOKUP($A179, My_Audit!$A:$A, My_Audit!N:N, ""),
    _xlfn.TEXTJOIN(", ", TRUE, _xlpm.MyAuditVal, _xlpm.MacVal, _xlpm.CSVVal)
)</f>
        <v/>
      </c>
      <c r="N179" s="45" t="str" cm="1">
        <f t="array" ref="N179">IFERROR(_xlfn.LET(
_xlpm.CSVVal,_xlfn.XLOOKUP($A179,CSV!$A:$A,CSV!AG:AG,""),
_xlpm.MacVal,_xlfn.XLOOKUP($A179,Output_Mac!$A:$A,Output_Mac!U:U,""),
_xlpm.MyAuditVal,_xlfn.XLOOKUP($A179,My_Audit!$A:$A,My_Audit!O:O,""),
_xlfn.IFS(_xlpm.MyAuditVal&lt;&gt;"",UPPER(_xlpm.MyAuditVal),_xlpm.MacVal&lt;&gt;"",_xlpm.MacVal,_xlpm.CSVVal&lt;&gt;"",_xlpm.CSVVal
)),"")</f>
        <v/>
      </c>
      <c r="O179" s="46" t="str">
        <f>_xlfn.XLOOKUP(C179,My_Audit!B:B,My_Audit!P:P,"")&amp;""</f>
        <v/>
      </c>
      <c r="P179" s="45"/>
      <c r="Q179" s="46" t="str">
        <f>IF(LEFT(N179,4)="Pass","Nist SP 800-88",My_Audit!R179)&amp;""</f>
        <v/>
      </c>
      <c r="R179" s="45"/>
      <c r="S179" s="45"/>
      <c r="T179" s="46" t="str">
        <f>_xlfn.XLOOKUP(E179,Models!I:I,Models!J:J,"")</f>
        <v/>
      </c>
      <c r="U179" s="45"/>
      <c r="V179" s="45"/>
      <c r="W179" s="38"/>
    </row>
    <row r="180" spans="1:23">
      <c r="A180" s="45" t="str">
        <f>_xlfn.TEXTJOIN("",TRUE,Input!$B$2,ROW(My_Audit!A179))</f>
        <v>XX179</v>
      </c>
      <c r="B180" s="45" t="str">
        <f>_xlfn.TEXTJOIN("-",TRUE,"ITD",Input!$A$2,A180)</f>
        <v>ITD-SHRXXX-XX179</v>
      </c>
      <c r="C180" s="45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46" t="str" cm="1">
        <f t="array" ref="D180">IFERROR(_xlfn.LET(
_xlpm.CSVVal,_xlfn.XLOOKUP($A180,CSV!$A:$A,CSV!C:C,""),
_xlpm.MacVal,_xlfn.XLOOKUP($A180,Output_Mac!$A:$A,Output_Mac!D:D,""),
_xlpm.MyAuditVal,_xlfn.XLOOKUP($A180,My_Audit!$A:$A,My_Audit!C:C,""),
_xlfn.IFS(_xlpm.MyAuditVal&lt;&gt;"",UPPER(_xlpm.MyAuditVal),_xlpm.MacVal&lt;&gt;"",_xlpm.MacVal,_xlpm.CSVVal&lt;&gt;"",_xlpm.CSVVal
)),"")</f>
        <v/>
      </c>
      <c r="E180" s="46" t="str" cm="1">
        <f t="array" ref="E180">IFERROR(_xlfn.LET(
_xlpm.CSVVal,_xlfn.XLOOKUP($A180,CSV!$A:$A,CSV!E:E,""),
_xlpm.MacVal,_xlfn.XLOOKUP($A180,Output_Mac!$A:$A,Output_Mac!C:C,""),
_xlpm.MyAuditVal,_xlfn.XLOOKUP($A180,My_Audit!$A:$A,My_Audit!D:D,""),
_xlfn.IFS(_xlpm.MyAuditVal&lt;&gt;"",_xlpm.MyAuditVal,_xlpm.MacVal&lt;&gt;"",_xlpm.MacVal,_xlpm.CSVVal&lt;&gt;"",_xlpm.CSVVal
)),"")</f>
        <v/>
      </c>
      <c r="F180" s="45" t="str" cm="1">
        <f t="array" ref="F180">IFERROR(_xlfn.LET(
_xlpm.CSVVal,_xlfn.XLOOKUP($A180,CSV!$A:$A,CSV!F:F,""),
_xlpm.MacVal,_xlfn.XLOOKUP($A180,Output_Mac!$A:$A,Output_Mac!F:F,""),
_xlpm.MyAuditVal,_xlfn.XLOOKUP($A180,My_Audit!$A:$A,My_Audit!E:E,""),
_xlfn.IFS(_xlpm.MyAuditVal&lt;&gt;"",_xlpm.MyAuditVal,_xlpm.MacVal&lt;&gt;"",_xlpm.MacVal,_xlpm.CSVVal&lt;&gt;"",PROPER(_xlpm.CSVVal)
)),"")</f>
        <v/>
      </c>
      <c r="G180" s="45" t="str" cm="1">
        <f t="array" ref="G180">IFERROR(_xlfn.LET(
_xlpm.CSVVal,_xlfn.XLOOKUP($A180,CSV!$A:$A,CSV!G:G,""),
_xlpm.MacVal,_xlfn.XLOOKUP($A180,Output_Mac!$A:$A,Output_Mac!H:H,""),
_xlpm.MyAuditVal,_xlfn.XLOOKUP($A180,My_Audit!$A:$A,My_Audit!F:F,""),
_xlfn.IFS(_xlpm.MyAuditVal&lt;&gt;"",_xlpm.MyAuditVal,_xlpm.MacVal&lt;&gt;"",_xlpm.MacVal,_xlpm.CSVVal&lt;&gt;"",_xlpm.CSVVal
)),"")</f>
        <v/>
      </c>
      <c r="H180" s="45" t="str">
        <f>_xlfn.XLOOKUP(A180,Output_Mac!A:A,Output_Mac!I:I,"")</f>
        <v/>
      </c>
      <c r="I180" s="45" t="str" cm="1">
        <f t="array" ref="I180">IFERROR(_xlfn.LET(
_xlpm.CSVVal,_xlfn.XLOOKUP($A180,CSV!$A:$A,CSV!H:H,""),
_xlpm.MacVal,_xlfn.XLOOKUP($A180,Output_Mac!$A:$A,Output_Mac!J:J,""),
_xlpm.MyAuditVal,_xlfn.XLOOKUP($A180,My_Audit!$A:$A,My_Audit!H:H,""),
_xlfn.IFS(_xlpm.MyAuditVal&lt;&gt;"",UPPER(_xlpm.MyAuditVal),_xlpm.MacVal&lt;&gt;"",_xlpm.MacVal,_xlpm.CSVVal&lt;&gt;"",_xlpm.CSVVal
)),"")</f>
        <v/>
      </c>
      <c r="J180" s="45" t="str" cm="1">
        <f t="array" ref="J180">IFERROR(_xlfn.LET(
_xlpm.CSVVal,_xlfn.XLOOKUP($A180,CSV!$A:$A,CSV!J:J,""),
_xlpm.MacVal,_xlfn.XLOOKUP($A180,Output_Mac!$A:$A,Output_Mac!K:K,""),
_xlpm.MyAuditVal,_xlfn.XLOOKUP($A180,My_Audit!$A:$A,My_Audit!I:I,""),
_xlfn.IFS(_xlpm.MyAuditVal&lt;&gt;"",UPPER(_xlpm.MyAuditVal),_xlpm.MacVal&lt;&gt;"",_xlpm.MacVal,_xlpm.CSVVal&lt;&gt;"",_xlpm.CSVVal
)),"")</f>
        <v/>
      </c>
      <c r="K180" s="45" t="str" cm="1">
        <f t="array" ref="K180">IFERROR(_xlfn.LET(
_xlpm.CSVVal,_xlfn.XLOOKUP($A180,CSV!$A:$A,CSV!N:N,""),
_xlpm.MacVal,_xlfn.XLOOKUP($A180,Output_Mac!$A:$A,Output_Mac!L:L,""),
_xlpm.MyAuditVal,_xlfn.XLOOKUP($A180,My_Audit!$A:$A,My_Audit!J:J,""),
_xlfn.IFS(_xlpm.MyAuditVal&lt;&gt;"",UPPER(_xlpm.MyAuditVal),_xlpm.MacVal&lt;&gt;"",_xlpm.MacVal,_xlpm.CSVVal&lt;&gt;"",_xlpm.CSVVal
)),"")</f>
        <v/>
      </c>
      <c r="L180" s="46" t="str" cm="1">
        <f t="array" ref="L180">IFERROR(_xlfn.LET(
_xlpm.CSVVal,_xlfn.XLOOKUP($A180,CSV!$A:$A,CSV!Q:Q,""),
_xlpm.MacVal,_xlfn.XLOOKUP($A180,Output_Mac!$A:$A,Output_Mac!M:M,""),
_xlpm.MyAuditVal,_xlfn.XLOOKUP($A180,My_Audit!$A:$A,My_Audit!K:K,""),
_xlfn.IFS(_xlpm.MyAuditVal&lt;&gt;"",UPPER(_xlpm.MyAuditVal),_xlpm.MacVal&lt;&gt;"",_xlpm.MacVal,_xlpm.CSVVal&lt;&gt;"",_xlpm.CSVVal
)),"")</f>
        <v/>
      </c>
      <c r="M180" s="45" t="str">
        <f>_xlfn.LET(
    _xlpm.CSVVal, _xlfn.XLOOKUP($A180, CSV!$A:$A, CSV!AE:AE, ""),
    _xlpm.MacVal, _xlfn.XLOOKUP($A180, Output_Mac!$A:$A, Output_Mac!S:S, ""),
    _xlpm.MyAuditVal, _xlfn.XLOOKUP($A180, My_Audit!$A:$A, My_Audit!N:N, ""),
    _xlfn.TEXTJOIN(", ", TRUE, _xlpm.MyAuditVal, _xlpm.MacVal, _xlpm.CSVVal)
)</f>
        <v/>
      </c>
      <c r="N180" s="45" t="str" cm="1">
        <f t="array" ref="N180">IFERROR(_xlfn.LET(
_xlpm.CSVVal,_xlfn.XLOOKUP($A180,CSV!$A:$A,CSV!AG:AG,""),
_xlpm.MacVal,_xlfn.XLOOKUP($A180,Output_Mac!$A:$A,Output_Mac!U:U,""),
_xlpm.MyAuditVal,_xlfn.XLOOKUP($A180,My_Audit!$A:$A,My_Audit!O:O,""),
_xlfn.IFS(_xlpm.MyAuditVal&lt;&gt;"",UPPER(_xlpm.MyAuditVal),_xlpm.MacVal&lt;&gt;"",_xlpm.MacVal,_xlpm.CSVVal&lt;&gt;"",_xlpm.CSVVal
)),"")</f>
        <v/>
      </c>
      <c r="O180" s="46" t="str">
        <f>_xlfn.XLOOKUP(C180,My_Audit!B:B,My_Audit!P:P,"")&amp;""</f>
        <v/>
      </c>
      <c r="P180" s="45"/>
      <c r="Q180" s="46" t="str">
        <f>IF(LEFT(N180,4)="Pass","Nist SP 800-88",My_Audit!R180)&amp;""</f>
        <v/>
      </c>
      <c r="R180" s="45"/>
      <c r="S180" s="45"/>
      <c r="T180" s="46" t="str">
        <f>_xlfn.XLOOKUP(E180,Models!I:I,Models!J:J,"")</f>
        <v/>
      </c>
      <c r="U180" s="45"/>
      <c r="V180" s="45"/>
      <c r="W180" s="38"/>
    </row>
    <row r="181" spans="1:23">
      <c r="A181" s="45" t="str">
        <f>_xlfn.TEXTJOIN("",TRUE,Input!$B$2,ROW(My_Audit!A180))</f>
        <v>XX180</v>
      </c>
      <c r="B181" s="45" t="str">
        <f>_xlfn.TEXTJOIN("-",TRUE,"ITD",Input!$A$2,A181)</f>
        <v>ITD-SHRXXX-XX180</v>
      </c>
      <c r="C181" s="45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46" t="str" cm="1">
        <f t="array" ref="D181">IFERROR(_xlfn.LET(
_xlpm.CSVVal,_xlfn.XLOOKUP($A181,CSV!$A:$A,CSV!C:C,""),
_xlpm.MacVal,_xlfn.XLOOKUP($A181,Output_Mac!$A:$A,Output_Mac!D:D,""),
_xlpm.MyAuditVal,_xlfn.XLOOKUP($A181,My_Audit!$A:$A,My_Audit!C:C,""),
_xlfn.IFS(_xlpm.MyAuditVal&lt;&gt;"",UPPER(_xlpm.MyAuditVal),_xlpm.MacVal&lt;&gt;"",_xlpm.MacVal,_xlpm.CSVVal&lt;&gt;"",_xlpm.CSVVal
)),"")</f>
        <v/>
      </c>
      <c r="E181" s="46" t="str" cm="1">
        <f t="array" ref="E181">IFERROR(_xlfn.LET(
_xlpm.CSVVal,_xlfn.XLOOKUP($A181,CSV!$A:$A,CSV!E:E,""),
_xlpm.MacVal,_xlfn.XLOOKUP($A181,Output_Mac!$A:$A,Output_Mac!C:C,""),
_xlpm.MyAuditVal,_xlfn.XLOOKUP($A181,My_Audit!$A:$A,My_Audit!D:D,""),
_xlfn.IFS(_xlpm.MyAuditVal&lt;&gt;"",_xlpm.MyAuditVal,_xlpm.MacVal&lt;&gt;"",_xlpm.MacVal,_xlpm.CSVVal&lt;&gt;"",_xlpm.CSVVal
)),"")</f>
        <v/>
      </c>
      <c r="F181" s="45" t="str" cm="1">
        <f t="array" ref="F181">IFERROR(_xlfn.LET(
_xlpm.CSVVal,_xlfn.XLOOKUP($A181,CSV!$A:$A,CSV!F:F,""),
_xlpm.MacVal,_xlfn.XLOOKUP($A181,Output_Mac!$A:$A,Output_Mac!F:F,""),
_xlpm.MyAuditVal,_xlfn.XLOOKUP($A181,My_Audit!$A:$A,My_Audit!E:E,""),
_xlfn.IFS(_xlpm.MyAuditVal&lt;&gt;"",_xlpm.MyAuditVal,_xlpm.MacVal&lt;&gt;"",_xlpm.MacVal,_xlpm.CSVVal&lt;&gt;"",PROPER(_xlpm.CSVVal)
)),"")</f>
        <v/>
      </c>
      <c r="G181" s="45" t="str" cm="1">
        <f t="array" ref="G181">IFERROR(_xlfn.LET(
_xlpm.CSVVal,_xlfn.XLOOKUP($A181,CSV!$A:$A,CSV!G:G,""),
_xlpm.MacVal,_xlfn.XLOOKUP($A181,Output_Mac!$A:$A,Output_Mac!H:H,""),
_xlpm.MyAuditVal,_xlfn.XLOOKUP($A181,My_Audit!$A:$A,My_Audit!F:F,""),
_xlfn.IFS(_xlpm.MyAuditVal&lt;&gt;"",_xlpm.MyAuditVal,_xlpm.MacVal&lt;&gt;"",_xlpm.MacVal,_xlpm.CSVVal&lt;&gt;"",_xlpm.CSVVal
)),"")</f>
        <v/>
      </c>
      <c r="H181" s="45" t="str">
        <f>_xlfn.XLOOKUP(A181,Output_Mac!A:A,Output_Mac!I:I,"")</f>
        <v/>
      </c>
      <c r="I181" s="45" t="str" cm="1">
        <f t="array" ref="I181">IFERROR(_xlfn.LET(
_xlpm.CSVVal,_xlfn.XLOOKUP($A181,CSV!$A:$A,CSV!H:H,""),
_xlpm.MacVal,_xlfn.XLOOKUP($A181,Output_Mac!$A:$A,Output_Mac!J:J,""),
_xlpm.MyAuditVal,_xlfn.XLOOKUP($A181,My_Audit!$A:$A,My_Audit!H:H,""),
_xlfn.IFS(_xlpm.MyAuditVal&lt;&gt;"",UPPER(_xlpm.MyAuditVal),_xlpm.MacVal&lt;&gt;"",_xlpm.MacVal,_xlpm.CSVVal&lt;&gt;"",_xlpm.CSVVal
)),"")</f>
        <v/>
      </c>
      <c r="J181" s="45" t="str" cm="1">
        <f t="array" ref="J181">IFERROR(_xlfn.LET(
_xlpm.CSVVal,_xlfn.XLOOKUP($A181,CSV!$A:$A,CSV!J:J,""),
_xlpm.MacVal,_xlfn.XLOOKUP($A181,Output_Mac!$A:$A,Output_Mac!K:K,""),
_xlpm.MyAuditVal,_xlfn.XLOOKUP($A181,My_Audit!$A:$A,My_Audit!I:I,""),
_xlfn.IFS(_xlpm.MyAuditVal&lt;&gt;"",UPPER(_xlpm.MyAuditVal),_xlpm.MacVal&lt;&gt;"",_xlpm.MacVal,_xlpm.CSVVal&lt;&gt;"",_xlpm.CSVVal
)),"")</f>
        <v/>
      </c>
      <c r="K181" s="45" t="str" cm="1">
        <f t="array" ref="K181">IFERROR(_xlfn.LET(
_xlpm.CSVVal,_xlfn.XLOOKUP($A181,CSV!$A:$A,CSV!N:N,""),
_xlpm.MacVal,_xlfn.XLOOKUP($A181,Output_Mac!$A:$A,Output_Mac!L:L,""),
_xlpm.MyAuditVal,_xlfn.XLOOKUP($A181,My_Audit!$A:$A,My_Audit!J:J,""),
_xlfn.IFS(_xlpm.MyAuditVal&lt;&gt;"",UPPER(_xlpm.MyAuditVal),_xlpm.MacVal&lt;&gt;"",_xlpm.MacVal,_xlpm.CSVVal&lt;&gt;"",_xlpm.CSVVal
)),"")</f>
        <v/>
      </c>
      <c r="L181" s="46" t="str" cm="1">
        <f t="array" ref="L181">IFERROR(_xlfn.LET(
_xlpm.CSVVal,_xlfn.XLOOKUP($A181,CSV!$A:$A,CSV!Q:Q,""),
_xlpm.MacVal,_xlfn.XLOOKUP($A181,Output_Mac!$A:$A,Output_Mac!M:M,""),
_xlpm.MyAuditVal,_xlfn.XLOOKUP($A181,My_Audit!$A:$A,My_Audit!K:K,""),
_xlfn.IFS(_xlpm.MyAuditVal&lt;&gt;"",UPPER(_xlpm.MyAuditVal),_xlpm.MacVal&lt;&gt;"",_xlpm.MacVal,_xlpm.CSVVal&lt;&gt;"",_xlpm.CSVVal
)),"")</f>
        <v/>
      </c>
      <c r="M181" s="45" t="str">
        <f>_xlfn.LET(
    _xlpm.CSVVal, _xlfn.XLOOKUP($A181, CSV!$A:$A, CSV!AE:AE, ""),
    _xlpm.MacVal, _xlfn.XLOOKUP($A181, Output_Mac!$A:$A, Output_Mac!S:S, ""),
    _xlpm.MyAuditVal, _xlfn.XLOOKUP($A181, My_Audit!$A:$A, My_Audit!N:N, ""),
    _xlfn.TEXTJOIN(", ", TRUE, _xlpm.MyAuditVal, _xlpm.MacVal, _xlpm.CSVVal)
)</f>
        <v/>
      </c>
      <c r="N181" s="45" t="str" cm="1">
        <f t="array" ref="N181">IFERROR(_xlfn.LET(
_xlpm.CSVVal,_xlfn.XLOOKUP($A181,CSV!$A:$A,CSV!AG:AG,""),
_xlpm.MacVal,_xlfn.XLOOKUP($A181,Output_Mac!$A:$A,Output_Mac!U:U,""),
_xlpm.MyAuditVal,_xlfn.XLOOKUP($A181,My_Audit!$A:$A,My_Audit!O:O,""),
_xlfn.IFS(_xlpm.MyAuditVal&lt;&gt;"",UPPER(_xlpm.MyAuditVal),_xlpm.MacVal&lt;&gt;"",_xlpm.MacVal,_xlpm.CSVVal&lt;&gt;"",_xlpm.CSVVal
)),"")</f>
        <v/>
      </c>
      <c r="O181" s="46" t="str">
        <f>_xlfn.XLOOKUP(C181,My_Audit!B:B,My_Audit!P:P,"")&amp;""</f>
        <v/>
      </c>
      <c r="P181" s="45"/>
      <c r="Q181" s="46" t="str">
        <f>IF(LEFT(N181,4)="Pass","Nist SP 800-88",My_Audit!R181)&amp;""</f>
        <v/>
      </c>
      <c r="R181" s="45"/>
      <c r="S181" s="45"/>
      <c r="T181" s="46" t="str">
        <f>_xlfn.XLOOKUP(E181,Models!I:I,Models!J:J,"")</f>
        <v/>
      </c>
      <c r="U181" s="45"/>
      <c r="V181" s="45"/>
      <c r="W181" s="38"/>
    </row>
    <row r="182" spans="1:23">
      <c r="A182" s="45" t="str">
        <f>_xlfn.TEXTJOIN("",TRUE,Input!$B$2,ROW(My_Audit!A181))</f>
        <v>XX181</v>
      </c>
      <c r="B182" s="45" t="str">
        <f>_xlfn.TEXTJOIN("-",TRUE,"ITD",Input!$A$2,A182)</f>
        <v>ITD-SHRXXX-XX181</v>
      </c>
      <c r="C182" s="45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46" t="str" cm="1">
        <f t="array" ref="D182">IFERROR(_xlfn.LET(
_xlpm.CSVVal,_xlfn.XLOOKUP($A182,CSV!$A:$A,CSV!C:C,""),
_xlpm.MacVal,_xlfn.XLOOKUP($A182,Output_Mac!$A:$A,Output_Mac!D:D,""),
_xlpm.MyAuditVal,_xlfn.XLOOKUP($A182,My_Audit!$A:$A,My_Audit!C:C,""),
_xlfn.IFS(_xlpm.MyAuditVal&lt;&gt;"",UPPER(_xlpm.MyAuditVal),_xlpm.MacVal&lt;&gt;"",_xlpm.MacVal,_xlpm.CSVVal&lt;&gt;"",_xlpm.CSVVal
)),"")</f>
        <v/>
      </c>
      <c r="E182" s="46" t="str" cm="1">
        <f t="array" ref="E182">IFERROR(_xlfn.LET(
_xlpm.CSVVal,_xlfn.XLOOKUP($A182,CSV!$A:$A,CSV!E:E,""),
_xlpm.MacVal,_xlfn.XLOOKUP($A182,Output_Mac!$A:$A,Output_Mac!C:C,""),
_xlpm.MyAuditVal,_xlfn.XLOOKUP($A182,My_Audit!$A:$A,My_Audit!D:D,""),
_xlfn.IFS(_xlpm.MyAuditVal&lt;&gt;"",_xlpm.MyAuditVal,_xlpm.MacVal&lt;&gt;"",_xlpm.MacVal,_xlpm.CSVVal&lt;&gt;"",_xlpm.CSVVal
)),"")</f>
        <v/>
      </c>
      <c r="F182" s="45" t="str" cm="1">
        <f t="array" ref="F182">IFERROR(_xlfn.LET(
_xlpm.CSVVal,_xlfn.XLOOKUP($A182,CSV!$A:$A,CSV!F:F,""),
_xlpm.MacVal,_xlfn.XLOOKUP($A182,Output_Mac!$A:$A,Output_Mac!F:F,""),
_xlpm.MyAuditVal,_xlfn.XLOOKUP($A182,My_Audit!$A:$A,My_Audit!E:E,""),
_xlfn.IFS(_xlpm.MyAuditVal&lt;&gt;"",_xlpm.MyAuditVal,_xlpm.MacVal&lt;&gt;"",_xlpm.MacVal,_xlpm.CSVVal&lt;&gt;"",PROPER(_xlpm.CSVVal)
)),"")</f>
        <v/>
      </c>
      <c r="G182" s="45" t="str" cm="1">
        <f t="array" ref="G182">IFERROR(_xlfn.LET(
_xlpm.CSVVal,_xlfn.XLOOKUP($A182,CSV!$A:$A,CSV!G:G,""),
_xlpm.MacVal,_xlfn.XLOOKUP($A182,Output_Mac!$A:$A,Output_Mac!H:H,""),
_xlpm.MyAuditVal,_xlfn.XLOOKUP($A182,My_Audit!$A:$A,My_Audit!F:F,""),
_xlfn.IFS(_xlpm.MyAuditVal&lt;&gt;"",_xlpm.MyAuditVal,_xlpm.MacVal&lt;&gt;"",_xlpm.MacVal,_xlpm.CSVVal&lt;&gt;"",_xlpm.CSVVal
)),"")</f>
        <v/>
      </c>
      <c r="H182" s="45" t="str">
        <f>_xlfn.XLOOKUP(A182,Output_Mac!A:A,Output_Mac!I:I,"")</f>
        <v/>
      </c>
      <c r="I182" s="45" t="str" cm="1">
        <f t="array" ref="I182">IFERROR(_xlfn.LET(
_xlpm.CSVVal,_xlfn.XLOOKUP($A182,CSV!$A:$A,CSV!H:H,""),
_xlpm.MacVal,_xlfn.XLOOKUP($A182,Output_Mac!$A:$A,Output_Mac!J:J,""),
_xlpm.MyAuditVal,_xlfn.XLOOKUP($A182,My_Audit!$A:$A,My_Audit!H:H,""),
_xlfn.IFS(_xlpm.MyAuditVal&lt;&gt;"",UPPER(_xlpm.MyAuditVal),_xlpm.MacVal&lt;&gt;"",_xlpm.MacVal,_xlpm.CSVVal&lt;&gt;"",_xlpm.CSVVal
)),"")</f>
        <v/>
      </c>
      <c r="J182" s="45" t="str" cm="1">
        <f t="array" ref="J182">IFERROR(_xlfn.LET(
_xlpm.CSVVal,_xlfn.XLOOKUP($A182,CSV!$A:$A,CSV!J:J,""),
_xlpm.MacVal,_xlfn.XLOOKUP($A182,Output_Mac!$A:$A,Output_Mac!K:K,""),
_xlpm.MyAuditVal,_xlfn.XLOOKUP($A182,My_Audit!$A:$A,My_Audit!I:I,""),
_xlfn.IFS(_xlpm.MyAuditVal&lt;&gt;"",UPPER(_xlpm.MyAuditVal),_xlpm.MacVal&lt;&gt;"",_xlpm.MacVal,_xlpm.CSVVal&lt;&gt;"",_xlpm.CSVVal
)),"")</f>
        <v/>
      </c>
      <c r="K182" s="45" t="str" cm="1">
        <f t="array" ref="K182">IFERROR(_xlfn.LET(
_xlpm.CSVVal,_xlfn.XLOOKUP($A182,CSV!$A:$A,CSV!N:N,""),
_xlpm.MacVal,_xlfn.XLOOKUP($A182,Output_Mac!$A:$A,Output_Mac!L:L,""),
_xlpm.MyAuditVal,_xlfn.XLOOKUP($A182,My_Audit!$A:$A,My_Audit!J:J,""),
_xlfn.IFS(_xlpm.MyAuditVal&lt;&gt;"",UPPER(_xlpm.MyAuditVal),_xlpm.MacVal&lt;&gt;"",_xlpm.MacVal,_xlpm.CSVVal&lt;&gt;"",_xlpm.CSVVal
)),"")</f>
        <v/>
      </c>
      <c r="L182" s="46" t="str" cm="1">
        <f t="array" ref="L182">IFERROR(_xlfn.LET(
_xlpm.CSVVal,_xlfn.XLOOKUP($A182,CSV!$A:$A,CSV!Q:Q,""),
_xlpm.MacVal,_xlfn.XLOOKUP($A182,Output_Mac!$A:$A,Output_Mac!M:M,""),
_xlpm.MyAuditVal,_xlfn.XLOOKUP($A182,My_Audit!$A:$A,My_Audit!K:K,""),
_xlfn.IFS(_xlpm.MyAuditVal&lt;&gt;"",UPPER(_xlpm.MyAuditVal),_xlpm.MacVal&lt;&gt;"",_xlpm.MacVal,_xlpm.CSVVal&lt;&gt;"",_xlpm.CSVVal
)),"")</f>
        <v/>
      </c>
      <c r="M182" s="45" t="str">
        <f>_xlfn.LET(
    _xlpm.CSVVal, _xlfn.XLOOKUP($A182, CSV!$A:$A, CSV!AE:AE, ""),
    _xlpm.MacVal, _xlfn.XLOOKUP($A182, Output_Mac!$A:$A, Output_Mac!S:S, ""),
    _xlpm.MyAuditVal, _xlfn.XLOOKUP($A182, My_Audit!$A:$A, My_Audit!N:N, ""),
    _xlfn.TEXTJOIN(", ", TRUE, _xlpm.MyAuditVal, _xlpm.MacVal, _xlpm.CSVVal)
)</f>
        <v/>
      </c>
      <c r="N182" s="45" t="str" cm="1">
        <f t="array" ref="N182">IFERROR(_xlfn.LET(
_xlpm.CSVVal,_xlfn.XLOOKUP($A182,CSV!$A:$A,CSV!AG:AG,""),
_xlpm.MacVal,_xlfn.XLOOKUP($A182,Output_Mac!$A:$A,Output_Mac!U:U,""),
_xlpm.MyAuditVal,_xlfn.XLOOKUP($A182,My_Audit!$A:$A,My_Audit!O:O,""),
_xlfn.IFS(_xlpm.MyAuditVal&lt;&gt;"",UPPER(_xlpm.MyAuditVal),_xlpm.MacVal&lt;&gt;"",_xlpm.MacVal,_xlpm.CSVVal&lt;&gt;"",_xlpm.CSVVal
)),"")</f>
        <v/>
      </c>
      <c r="O182" s="46" t="str">
        <f>_xlfn.XLOOKUP(C182,My_Audit!B:B,My_Audit!P:P,"")&amp;""</f>
        <v/>
      </c>
      <c r="P182" s="45"/>
      <c r="Q182" s="46" t="str">
        <f>IF(LEFT(N182,4)="Pass","Nist SP 800-88",My_Audit!R182)&amp;""</f>
        <v/>
      </c>
      <c r="R182" s="45"/>
      <c r="S182" s="45"/>
      <c r="T182" s="46" t="str">
        <f>_xlfn.XLOOKUP(E182,Models!I:I,Models!J:J,"")</f>
        <v/>
      </c>
      <c r="U182" s="45"/>
      <c r="V182" s="45"/>
      <c r="W182" s="38"/>
    </row>
    <row r="183" spans="1:23">
      <c r="A183" s="45" t="str">
        <f>_xlfn.TEXTJOIN("",TRUE,Input!$B$2,ROW(My_Audit!A182))</f>
        <v>XX182</v>
      </c>
      <c r="B183" s="45" t="str">
        <f>_xlfn.TEXTJOIN("-",TRUE,"ITD",Input!$A$2,A183)</f>
        <v>ITD-SHRXXX-XX182</v>
      </c>
      <c r="C183" s="45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46" t="str" cm="1">
        <f t="array" ref="D183">IFERROR(_xlfn.LET(
_xlpm.CSVVal,_xlfn.XLOOKUP($A183,CSV!$A:$A,CSV!C:C,""),
_xlpm.MacVal,_xlfn.XLOOKUP($A183,Output_Mac!$A:$A,Output_Mac!D:D,""),
_xlpm.MyAuditVal,_xlfn.XLOOKUP($A183,My_Audit!$A:$A,My_Audit!C:C,""),
_xlfn.IFS(_xlpm.MyAuditVal&lt;&gt;"",UPPER(_xlpm.MyAuditVal),_xlpm.MacVal&lt;&gt;"",_xlpm.MacVal,_xlpm.CSVVal&lt;&gt;"",_xlpm.CSVVal
)),"")</f>
        <v/>
      </c>
      <c r="E183" s="46" t="str" cm="1">
        <f t="array" ref="E183">IFERROR(_xlfn.LET(
_xlpm.CSVVal,_xlfn.XLOOKUP($A183,CSV!$A:$A,CSV!E:E,""),
_xlpm.MacVal,_xlfn.XLOOKUP($A183,Output_Mac!$A:$A,Output_Mac!C:C,""),
_xlpm.MyAuditVal,_xlfn.XLOOKUP($A183,My_Audit!$A:$A,My_Audit!D:D,""),
_xlfn.IFS(_xlpm.MyAuditVal&lt;&gt;"",_xlpm.MyAuditVal,_xlpm.MacVal&lt;&gt;"",_xlpm.MacVal,_xlpm.CSVVal&lt;&gt;"",_xlpm.CSVVal
)),"")</f>
        <v/>
      </c>
      <c r="F183" s="45" t="str" cm="1">
        <f t="array" ref="F183">IFERROR(_xlfn.LET(
_xlpm.CSVVal,_xlfn.XLOOKUP($A183,CSV!$A:$A,CSV!F:F,""),
_xlpm.MacVal,_xlfn.XLOOKUP($A183,Output_Mac!$A:$A,Output_Mac!F:F,""),
_xlpm.MyAuditVal,_xlfn.XLOOKUP($A183,My_Audit!$A:$A,My_Audit!E:E,""),
_xlfn.IFS(_xlpm.MyAuditVal&lt;&gt;"",_xlpm.MyAuditVal,_xlpm.MacVal&lt;&gt;"",_xlpm.MacVal,_xlpm.CSVVal&lt;&gt;"",PROPER(_xlpm.CSVVal)
)),"")</f>
        <v/>
      </c>
      <c r="G183" s="45" t="str" cm="1">
        <f t="array" ref="G183">IFERROR(_xlfn.LET(
_xlpm.CSVVal,_xlfn.XLOOKUP($A183,CSV!$A:$A,CSV!G:G,""),
_xlpm.MacVal,_xlfn.XLOOKUP($A183,Output_Mac!$A:$A,Output_Mac!H:H,""),
_xlpm.MyAuditVal,_xlfn.XLOOKUP($A183,My_Audit!$A:$A,My_Audit!F:F,""),
_xlfn.IFS(_xlpm.MyAuditVal&lt;&gt;"",_xlpm.MyAuditVal,_xlpm.MacVal&lt;&gt;"",_xlpm.MacVal,_xlpm.CSVVal&lt;&gt;"",_xlpm.CSVVal
)),"")</f>
        <v/>
      </c>
      <c r="H183" s="45" t="str">
        <f>_xlfn.XLOOKUP(A183,Output_Mac!A:A,Output_Mac!I:I,"")</f>
        <v/>
      </c>
      <c r="I183" s="45" t="str" cm="1">
        <f t="array" ref="I183">IFERROR(_xlfn.LET(
_xlpm.CSVVal,_xlfn.XLOOKUP($A183,CSV!$A:$A,CSV!H:H,""),
_xlpm.MacVal,_xlfn.XLOOKUP($A183,Output_Mac!$A:$A,Output_Mac!J:J,""),
_xlpm.MyAuditVal,_xlfn.XLOOKUP($A183,My_Audit!$A:$A,My_Audit!H:H,""),
_xlfn.IFS(_xlpm.MyAuditVal&lt;&gt;"",UPPER(_xlpm.MyAuditVal),_xlpm.MacVal&lt;&gt;"",_xlpm.MacVal,_xlpm.CSVVal&lt;&gt;"",_xlpm.CSVVal
)),"")</f>
        <v/>
      </c>
      <c r="J183" s="45" t="str" cm="1">
        <f t="array" ref="J183">IFERROR(_xlfn.LET(
_xlpm.CSVVal,_xlfn.XLOOKUP($A183,CSV!$A:$A,CSV!J:J,""),
_xlpm.MacVal,_xlfn.XLOOKUP($A183,Output_Mac!$A:$A,Output_Mac!K:K,""),
_xlpm.MyAuditVal,_xlfn.XLOOKUP($A183,My_Audit!$A:$A,My_Audit!I:I,""),
_xlfn.IFS(_xlpm.MyAuditVal&lt;&gt;"",UPPER(_xlpm.MyAuditVal),_xlpm.MacVal&lt;&gt;"",_xlpm.MacVal,_xlpm.CSVVal&lt;&gt;"",_xlpm.CSVVal
)),"")</f>
        <v/>
      </c>
      <c r="K183" s="45" t="str" cm="1">
        <f t="array" ref="K183">IFERROR(_xlfn.LET(
_xlpm.CSVVal,_xlfn.XLOOKUP($A183,CSV!$A:$A,CSV!N:N,""),
_xlpm.MacVal,_xlfn.XLOOKUP($A183,Output_Mac!$A:$A,Output_Mac!L:L,""),
_xlpm.MyAuditVal,_xlfn.XLOOKUP($A183,My_Audit!$A:$A,My_Audit!J:J,""),
_xlfn.IFS(_xlpm.MyAuditVal&lt;&gt;"",UPPER(_xlpm.MyAuditVal),_xlpm.MacVal&lt;&gt;"",_xlpm.MacVal,_xlpm.CSVVal&lt;&gt;"",_xlpm.CSVVal
)),"")</f>
        <v/>
      </c>
      <c r="L183" s="46" t="str" cm="1">
        <f t="array" ref="L183">IFERROR(_xlfn.LET(
_xlpm.CSVVal,_xlfn.XLOOKUP($A183,CSV!$A:$A,CSV!Q:Q,""),
_xlpm.MacVal,_xlfn.XLOOKUP($A183,Output_Mac!$A:$A,Output_Mac!M:M,""),
_xlpm.MyAuditVal,_xlfn.XLOOKUP($A183,My_Audit!$A:$A,My_Audit!K:K,""),
_xlfn.IFS(_xlpm.MyAuditVal&lt;&gt;"",UPPER(_xlpm.MyAuditVal),_xlpm.MacVal&lt;&gt;"",_xlpm.MacVal,_xlpm.CSVVal&lt;&gt;"",_xlpm.CSVVal
)),"")</f>
        <v/>
      </c>
      <c r="M183" s="45" t="str">
        <f>_xlfn.LET(
    _xlpm.CSVVal, _xlfn.XLOOKUP($A183, CSV!$A:$A, CSV!AE:AE, ""),
    _xlpm.MacVal, _xlfn.XLOOKUP($A183, Output_Mac!$A:$A, Output_Mac!S:S, ""),
    _xlpm.MyAuditVal, _xlfn.XLOOKUP($A183, My_Audit!$A:$A, My_Audit!N:N, ""),
    _xlfn.TEXTJOIN(", ", TRUE, _xlpm.MyAuditVal, _xlpm.MacVal, _xlpm.CSVVal)
)</f>
        <v/>
      </c>
      <c r="N183" s="45" t="str" cm="1">
        <f t="array" ref="N183">IFERROR(_xlfn.LET(
_xlpm.CSVVal,_xlfn.XLOOKUP($A183,CSV!$A:$A,CSV!AG:AG,""),
_xlpm.MacVal,_xlfn.XLOOKUP($A183,Output_Mac!$A:$A,Output_Mac!U:U,""),
_xlpm.MyAuditVal,_xlfn.XLOOKUP($A183,My_Audit!$A:$A,My_Audit!O:O,""),
_xlfn.IFS(_xlpm.MyAuditVal&lt;&gt;"",UPPER(_xlpm.MyAuditVal),_xlpm.MacVal&lt;&gt;"",_xlpm.MacVal,_xlpm.CSVVal&lt;&gt;"",_xlpm.CSVVal
)),"")</f>
        <v/>
      </c>
      <c r="O183" s="46" t="str">
        <f>_xlfn.XLOOKUP(C183,My_Audit!B:B,My_Audit!P:P,"")&amp;""</f>
        <v/>
      </c>
      <c r="P183" s="45"/>
      <c r="Q183" s="46" t="str">
        <f>IF(LEFT(N183,4)="Pass","Nist SP 800-88",My_Audit!R183)&amp;""</f>
        <v/>
      </c>
      <c r="R183" s="45"/>
      <c r="S183" s="45"/>
      <c r="T183" s="46" t="str">
        <f>_xlfn.XLOOKUP(E183,Models!I:I,Models!J:J,"")</f>
        <v/>
      </c>
      <c r="U183" s="45"/>
      <c r="V183" s="45"/>
      <c r="W183" s="38"/>
    </row>
    <row r="184" spans="1:23">
      <c r="A184" s="45" t="str">
        <f>_xlfn.TEXTJOIN("",TRUE,Input!$B$2,ROW(My_Audit!A183))</f>
        <v>XX183</v>
      </c>
      <c r="B184" s="45" t="str">
        <f>_xlfn.TEXTJOIN("-",TRUE,"ITD",Input!$A$2,A184)</f>
        <v>ITD-SHRXXX-XX183</v>
      </c>
      <c r="C184" s="45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46" t="str" cm="1">
        <f t="array" ref="D184">IFERROR(_xlfn.LET(
_xlpm.CSVVal,_xlfn.XLOOKUP($A184,CSV!$A:$A,CSV!C:C,""),
_xlpm.MacVal,_xlfn.XLOOKUP($A184,Output_Mac!$A:$A,Output_Mac!D:D,""),
_xlpm.MyAuditVal,_xlfn.XLOOKUP($A184,My_Audit!$A:$A,My_Audit!C:C,""),
_xlfn.IFS(_xlpm.MyAuditVal&lt;&gt;"",UPPER(_xlpm.MyAuditVal),_xlpm.MacVal&lt;&gt;"",_xlpm.MacVal,_xlpm.CSVVal&lt;&gt;"",_xlpm.CSVVal
)),"")</f>
        <v/>
      </c>
      <c r="E184" s="46" t="str" cm="1">
        <f t="array" ref="E184">IFERROR(_xlfn.LET(
_xlpm.CSVVal,_xlfn.XLOOKUP($A184,CSV!$A:$A,CSV!E:E,""),
_xlpm.MacVal,_xlfn.XLOOKUP($A184,Output_Mac!$A:$A,Output_Mac!C:C,""),
_xlpm.MyAuditVal,_xlfn.XLOOKUP($A184,My_Audit!$A:$A,My_Audit!D:D,""),
_xlfn.IFS(_xlpm.MyAuditVal&lt;&gt;"",_xlpm.MyAuditVal,_xlpm.MacVal&lt;&gt;"",_xlpm.MacVal,_xlpm.CSVVal&lt;&gt;"",_xlpm.CSVVal
)),"")</f>
        <v/>
      </c>
      <c r="F184" s="45" t="str" cm="1">
        <f t="array" ref="F184">IFERROR(_xlfn.LET(
_xlpm.CSVVal,_xlfn.XLOOKUP($A184,CSV!$A:$A,CSV!F:F,""),
_xlpm.MacVal,_xlfn.XLOOKUP($A184,Output_Mac!$A:$A,Output_Mac!F:F,""),
_xlpm.MyAuditVal,_xlfn.XLOOKUP($A184,My_Audit!$A:$A,My_Audit!E:E,""),
_xlfn.IFS(_xlpm.MyAuditVal&lt;&gt;"",_xlpm.MyAuditVal,_xlpm.MacVal&lt;&gt;"",_xlpm.MacVal,_xlpm.CSVVal&lt;&gt;"",PROPER(_xlpm.CSVVal)
)),"")</f>
        <v/>
      </c>
      <c r="G184" s="45" t="str" cm="1">
        <f t="array" ref="G184">IFERROR(_xlfn.LET(
_xlpm.CSVVal,_xlfn.XLOOKUP($A184,CSV!$A:$A,CSV!G:G,""),
_xlpm.MacVal,_xlfn.XLOOKUP($A184,Output_Mac!$A:$A,Output_Mac!H:H,""),
_xlpm.MyAuditVal,_xlfn.XLOOKUP($A184,My_Audit!$A:$A,My_Audit!F:F,""),
_xlfn.IFS(_xlpm.MyAuditVal&lt;&gt;"",_xlpm.MyAuditVal,_xlpm.MacVal&lt;&gt;"",_xlpm.MacVal,_xlpm.CSVVal&lt;&gt;"",_xlpm.CSVVal
)),"")</f>
        <v/>
      </c>
      <c r="H184" s="45" t="str">
        <f>_xlfn.XLOOKUP(A184,Output_Mac!A:A,Output_Mac!I:I,"")</f>
        <v/>
      </c>
      <c r="I184" s="45" t="str" cm="1">
        <f t="array" ref="I184">IFERROR(_xlfn.LET(
_xlpm.CSVVal,_xlfn.XLOOKUP($A184,CSV!$A:$A,CSV!H:H,""),
_xlpm.MacVal,_xlfn.XLOOKUP($A184,Output_Mac!$A:$A,Output_Mac!J:J,""),
_xlpm.MyAuditVal,_xlfn.XLOOKUP($A184,My_Audit!$A:$A,My_Audit!H:H,""),
_xlfn.IFS(_xlpm.MyAuditVal&lt;&gt;"",UPPER(_xlpm.MyAuditVal),_xlpm.MacVal&lt;&gt;"",_xlpm.MacVal,_xlpm.CSVVal&lt;&gt;"",_xlpm.CSVVal
)),"")</f>
        <v/>
      </c>
      <c r="J184" s="45" t="str" cm="1">
        <f t="array" ref="J184">IFERROR(_xlfn.LET(
_xlpm.CSVVal,_xlfn.XLOOKUP($A184,CSV!$A:$A,CSV!J:J,""),
_xlpm.MacVal,_xlfn.XLOOKUP($A184,Output_Mac!$A:$A,Output_Mac!K:K,""),
_xlpm.MyAuditVal,_xlfn.XLOOKUP($A184,My_Audit!$A:$A,My_Audit!I:I,""),
_xlfn.IFS(_xlpm.MyAuditVal&lt;&gt;"",UPPER(_xlpm.MyAuditVal),_xlpm.MacVal&lt;&gt;"",_xlpm.MacVal,_xlpm.CSVVal&lt;&gt;"",_xlpm.CSVVal
)),"")</f>
        <v/>
      </c>
      <c r="K184" s="45" t="str" cm="1">
        <f t="array" ref="K184">IFERROR(_xlfn.LET(
_xlpm.CSVVal,_xlfn.XLOOKUP($A184,CSV!$A:$A,CSV!N:N,""),
_xlpm.MacVal,_xlfn.XLOOKUP($A184,Output_Mac!$A:$A,Output_Mac!L:L,""),
_xlpm.MyAuditVal,_xlfn.XLOOKUP($A184,My_Audit!$A:$A,My_Audit!J:J,""),
_xlfn.IFS(_xlpm.MyAuditVal&lt;&gt;"",UPPER(_xlpm.MyAuditVal),_xlpm.MacVal&lt;&gt;"",_xlpm.MacVal,_xlpm.CSVVal&lt;&gt;"",_xlpm.CSVVal
)),"")</f>
        <v/>
      </c>
      <c r="L184" s="46" t="str" cm="1">
        <f t="array" ref="L184">IFERROR(_xlfn.LET(
_xlpm.CSVVal,_xlfn.XLOOKUP($A184,CSV!$A:$A,CSV!Q:Q,""),
_xlpm.MacVal,_xlfn.XLOOKUP($A184,Output_Mac!$A:$A,Output_Mac!M:M,""),
_xlpm.MyAuditVal,_xlfn.XLOOKUP($A184,My_Audit!$A:$A,My_Audit!K:K,""),
_xlfn.IFS(_xlpm.MyAuditVal&lt;&gt;"",UPPER(_xlpm.MyAuditVal),_xlpm.MacVal&lt;&gt;"",_xlpm.MacVal,_xlpm.CSVVal&lt;&gt;"",_xlpm.CSVVal
)),"")</f>
        <v/>
      </c>
      <c r="M184" s="45" t="str">
        <f>_xlfn.LET(
    _xlpm.CSVVal, _xlfn.XLOOKUP($A184, CSV!$A:$A, CSV!AE:AE, ""),
    _xlpm.MacVal, _xlfn.XLOOKUP($A184, Output_Mac!$A:$A, Output_Mac!S:S, ""),
    _xlpm.MyAuditVal, _xlfn.XLOOKUP($A184, My_Audit!$A:$A, My_Audit!N:N, ""),
    _xlfn.TEXTJOIN(", ", TRUE, _xlpm.MyAuditVal, _xlpm.MacVal, _xlpm.CSVVal)
)</f>
        <v/>
      </c>
      <c r="N184" s="45" t="str" cm="1">
        <f t="array" ref="N184">IFERROR(_xlfn.LET(
_xlpm.CSVVal,_xlfn.XLOOKUP($A184,CSV!$A:$A,CSV!AG:AG,""),
_xlpm.MacVal,_xlfn.XLOOKUP($A184,Output_Mac!$A:$A,Output_Mac!U:U,""),
_xlpm.MyAuditVal,_xlfn.XLOOKUP($A184,My_Audit!$A:$A,My_Audit!O:O,""),
_xlfn.IFS(_xlpm.MyAuditVal&lt;&gt;"",UPPER(_xlpm.MyAuditVal),_xlpm.MacVal&lt;&gt;"",_xlpm.MacVal,_xlpm.CSVVal&lt;&gt;"",_xlpm.CSVVal
)),"")</f>
        <v/>
      </c>
      <c r="O184" s="46" t="str">
        <f>_xlfn.XLOOKUP(C184,My_Audit!B:B,My_Audit!P:P,"")&amp;""</f>
        <v/>
      </c>
      <c r="P184" s="45"/>
      <c r="Q184" s="46" t="str">
        <f>IF(LEFT(N184,4)="Pass","Nist SP 800-88",My_Audit!R184)&amp;""</f>
        <v/>
      </c>
      <c r="R184" s="45"/>
      <c r="S184" s="45"/>
      <c r="T184" s="46" t="str">
        <f>_xlfn.XLOOKUP(E184,Models!I:I,Models!J:J,"")</f>
        <v/>
      </c>
      <c r="U184" s="45"/>
      <c r="V184" s="45"/>
      <c r="W184" s="38"/>
    </row>
    <row r="185" spans="1:23">
      <c r="A185" s="45" t="str">
        <f>_xlfn.TEXTJOIN("",TRUE,Input!$B$2,ROW(My_Audit!A184))</f>
        <v>XX184</v>
      </c>
      <c r="B185" s="45" t="str">
        <f>_xlfn.TEXTJOIN("-",TRUE,"ITD",Input!$A$2,A185)</f>
        <v>ITD-SHRXXX-XX184</v>
      </c>
      <c r="C185" s="45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46" t="str" cm="1">
        <f t="array" ref="D185">IFERROR(_xlfn.LET(
_xlpm.CSVVal,_xlfn.XLOOKUP($A185,CSV!$A:$A,CSV!C:C,""),
_xlpm.MacVal,_xlfn.XLOOKUP($A185,Output_Mac!$A:$A,Output_Mac!D:D,""),
_xlpm.MyAuditVal,_xlfn.XLOOKUP($A185,My_Audit!$A:$A,My_Audit!C:C,""),
_xlfn.IFS(_xlpm.MyAuditVal&lt;&gt;"",UPPER(_xlpm.MyAuditVal),_xlpm.MacVal&lt;&gt;"",_xlpm.MacVal,_xlpm.CSVVal&lt;&gt;"",_xlpm.CSVVal
)),"")</f>
        <v/>
      </c>
      <c r="E185" s="46" t="str" cm="1">
        <f t="array" ref="E185">IFERROR(_xlfn.LET(
_xlpm.CSVVal,_xlfn.XLOOKUP($A185,CSV!$A:$A,CSV!E:E,""),
_xlpm.MacVal,_xlfn.XLOOKUP($A185,Output_Mac!$A:$A,Output_Mac!C:C,""),
_xlpm.MyAuditVal,_xlfn.XLOOKUP($A185,My_Audit!$A:$A,My_Audit!D:D,""),
_xlfn.IFS(_xlpm.MyAuditVal&lt;&gt;"",_xlpm.MyAuditVal,_xlpm.MacVal&lt;&gt;"",_xlpm.MacVal,_xlpm.CSVVal&lt;&gt;"",_xlpm.CSVVal
)),"")</f>
        <v/>
      </c>
      <c r="F185" s="45" t="str" cm="1">
        <f t="array" ref="F185">IFERROR(_xlfn.LET(
_xlpm.CSVVal,_xlfn.XLOOKUP($A185,CSV!$A:$A,CSV!F:F,""),
_xlpm.MacVal,_xlfn.XLOOKUP($A185,Output_Mac!$A:$A,Output_Mac!F:F,""),
_xlpm.MyAuditVal,_xlfn.XLOOKUP($A185,My_Audit!$A:$A,My_Audit!E:E,""),
_xlfn.IFS(_xlpm.MyAuditVal&lt;&gt;"",_xlpm.MyAuditVal,_xlpm.MacVal&lt;&gt;"",_xlpm.MacVal,_xlpm.CSVVal&lt;&gt;"",PROPER(_xlpm.CSVVal)
)),"")</f>
        <v/>
      </c>
      <c r="G185" s="45" t="str" cm="1">
        <f t="array" ref="G185">IFERROR(_xlfn.LET(
_xlpm.CSVVal,_xlfn.XLOOKUP($A185,CSV!$A:$A,CSV!G:G,""),
_xlpm.MacVal,_xlfn.XLOOKUP($A185,Output_Mac!$A:$A,Output_Mac!H:H,""),
_xlpm.MyAuditVal,_xlfn.XLOOKUP($A185,My_Audit!$A:$A,My_Audit!F:F,""),
_xlfn.IFS(_xlpm.MyAuditVal&lt;&gt;"",_xlpm.MyAuditVal,_xlpm.MacVal&lt;&gt;"",_xlpm.MacVal,_xlpm.CSVVal&lt;&gt;"",_xlpm.CSVVal
)),"")</f>
        <v/>
      </c>
      <c r="H185" s="45" t="str">
        <f>_xlfn.XLOOKUP(A185,Output_Mac!A:A,Output_Mac!I:I,"")</f>
        <v/>
      </c>
      <c r="I185" s="45" t="str" cm="1">
        <f t="array" ref="I185">IFERROR(_xlfn.LET(
_xlpm.CSVVal,_xlfn.XLOOKUP($A185,CSV!$A:$A,CSV!H:H,""),
_xlpm.MacVal,_xlfn.XLOOKUP($A185,Output_Mac!$A:$A,Output_Mac!J:J,""),
_xlpm.MyAuditVal,_xlfn.XLOOKUP($A185,My_Audit!$A:$A,My_Audit!H:H,""),
_xlfn.IFS(_xlpm.MyAuditVal&lt;&gt;"",UPPER(_xlpm.MyAuditVal),_xlpm.MacVal&lt;&gt;"",_xlpm.MacVal,_xlpm.CSVVal&lt;&gt;"",_xlpm.CSVVal
)),"")</f>
        <v/>
      </c>
      <c r="J185" s="45" t="str" cm="1">
        <f t="array" ref="J185">IFERROR(_xlfn.LET(
_xlpm.CSVVal,_xlfn.XLOOKUP($A185,CSV!$A:$A,CSV!J:J,""),
_xlpm.MacVal,_xlfn.XLOOKUP($A185,Output_Mac!$A:$A,Output_Mac!K:K,""),
_xlpm.MyAuditVal,_xlfn.XLOOKUP($A185,My_Audit!$A:$A,My_Audit!I:I,""),
_xlfn.IFS(_xlpm.MyAuditVal&lt;&gt;"",UPPER(_xlpm.MyAuditVal),_xlpm.MacVal&lt;&gt;"",_xlpm.MacVal,_xlpm.CSVVal&lt;&gt;"",_xlpm.CSVVal
)),"")</f>
        <v/>
      </c>
      <c r="K185" s="45" t="str" cm="1">
        <f t="array" ref="K185">IFERROR(_xlfn.LET(
_xlpm.CSVVal,_xlfn.XLOOKUP($A185,CSV!$A:$A,CSV!N:N,""),
_xlpm.MacVal,_xlfn.XLOOKUP($A185,Output_Mac!$A:$A,Output_Mac!L:L,""),
_xlpm.MyAuditVal,_xlfn.XLOOKUP($A185,My_Audit!$A:$A,My_Audit!J:J,""),
_xlfn.IFS(_xlpm.MyAuditVal&lt;&gt;"",UPPER(_xlpm.MyAuditVal),_xlpm.MacVal&lt;&gt;"",_xlpm.MacVal,_xlpm.CSVVal&lt;&gt;"",_xlpm.CSVVal
)),"")</f>
        <v/>
      </c>
      <c r="L185" s="46" t="str" cm="1">
        <f t="array" ref="L185">IFERROR(_xlfn.LET(
_xlpm.CSVVal,_xlfn.XLOOKUP($A185,CSV!$A:$A,CSV!Q:Q,""),
_xlpm.MacVal,_xlfn.XLOOKUP($A185,Output_Mac!$A:$A,Output_Mac!M:M,""),
_xlpm.MyAuditVal,_xlfn.XLOOKUP($A185,My_Audit!$A:$A,My_Audit!K:K,""),
_xlfn.IFS(_xlpm.MyAuditVal&lt;&gt;"",UPPER(_xlpm.MyAuditVal),_xlpm.MacVal&lt;&gt;"",_xlpm.MacVal,_xlpm.CSVVal&lt;&gt;"",_xlpm.CSVVal
)),"")</f>
        <v/>
      </c>
      <c r="M185" s="45" t="str">
        <f>_xlfn.LET(
    _xlpm.CSVVal, _xlfn.XLOOKUP($A185, CSV!$A:$A, CSV!AE:AE, ""),
    _xlpm.MacVal, _xlfn.XLOOKUP($A185, Output_Mac!$A:$A, Output_Mac!S:S, ""),
    _xlpm.MyAuditVal, _xlfn.XLOOKUP($A185, My_Audit!$A:$A, My_Audit!N:N, ""),
    _xlfn.TEXTJOIN(", ", TRUE, _xlpm.MyAuditVal, _xlpm.MacVal, _xlpm.CSVVal)
)</f>
        <v/>
      </c>
      <c r="N185" s="45" t="str" cm="1">
        <f t="array" ref="N185">IFERROR(_xlfn.LET(
_xlpm.CSVVal,_xlfn.XLOOKUP($A185,CSV!$A:$A,CSV!AG:AG,""),
_xlpm.MacVal,_xlfn.XLOOKUP($A185,Output_Mac!$A:$A,Output_Mac!U:U,""),
_xlpm.MyAuditVal,_xlfn.XLOOKUP($A185,My_Audit!$A:$A,My_Audit!O:O,""),
_xlfn.IFS(_xlpm.MyAuditVal&lt;&gt;"",UPPER(_xlpm.MyAuditVal),_xlpm.MacVal&lt;&gt;"",_xlpm.MacVal,_xlpm.CSVVal&lt;&gt;"",_xlpm.CSVVal
)),"")</f>
        <v/>
      </c>
      <c r="O185" s="46" t="str">
        <f>_xlfn.XLOOKUP(C185,My_Audit!B:B,My_Audit!P:P,"")&amp;""</f>
        <v/>
      </c>
      <c r="P185" s="45"/>
      <c r="Q185" s="46" t="str">
        <f>IF(LEFT(N185,4)="Pass","Nist SP 800-88",My_Audit!R185)&amp;""</f>
        <v/>
      </c>
      <c r="R185" s="45"/>
      <c r="S185" s="45"/>
      <c r="T185" s="46" t="str">
        <f>_xlfn.XLOOKUP(E185,Models!I:I,Models!J:J,"")</f>
        <v/>
      </c>
      <c r="U185" s="45"/>
      <c r="V185" s="45"/>
      <c r="W185" s="38"/>
    </row>
    <row r="186" spans="1:23">
      <c r="A186" s="45" t="str">
        <f>_xlfn.TEXTJOIN("",TRUE,Input!$B$2,ROW(My_Audit!A185))</f>
        <v>XX185</v>
      </c>
      <c r="B186" s="45" t="str">
        <f>_xlfn.TEXTJOIN("-",TRUE,"ITD",Input!$A$2,A186)</f>
        <v>ITD-SHRXXX-XX185</v>
      </c>
      <c r="C186" s="45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46" t="str" cm="1">
        <f t="array" ref="D186">IFERROR(_xlfn.LET(
_xlpm.CSVVal,_xlfn.XLOOKUP($A186,CSV!$A:$A,CSV!C:C,""),
_xlpm.MacVal,_xlfn.XLOOKUP($A186,Output_Mac!$A:$A,Output_Mac!D:D,""),
_xlpm.MyAuditVal,_xlfn.XLOOKUP($A186,My_Audit!$A:$A,My_Audit!C:C,""),
_xlfn.IFS(_xlpm.MyAuditVal&lt;&gt;"",UPPER(_xlpm.MyAuditVal),_xlpm.MacVal&lt;&gt;"",_xlpm.MacVal,_xlpm.CSVVal&lt;&gt;"",_xlpm.CSVVal
)),"")</f>
        <v/>
      </c>
      <c r="E186" s="46" t="str" cm="1">
        <f t="array" ref="E186">IFERROR(_xlfn.LET(
_xlpm.CSVVal,_xlfn.XLOOKUP($A186,CSV!$A:$A,CSV!E:E,""),
_xlpm.MacVal,_xlfn.XLOOKUP($A186,Output_Mac!$A:$A,Output_Mac!C:C,""),
_xlpm.MyAuditVal,_xlfn.XLOOKUP($A186,My_Audit!$A:$A,My_Audit!D:D,""),
_xlfn.IFS(_xlpm.MyAuditVal&lt;&gt;"",_xlpm.MyAuditVal,_xlpm.MacVal&lt;&gt;"",_xlpm.MacVal,_xlpm.CSVVal&lt;&gt;"",_xlpm.CSVVal
)),"")</f>
        <v/>
      </c>
      <c r="F186" s="45" t="str" cm="1">
        <f t="array" ref="F186">IFERROR(_xlfn.LET(
_xlpm.CSVVal,_xlfn.XLOOKUP($A186,CSV!$A:$A,CSV!F:F,""),
_xlpm.MacVal,_xlfn.XLOOKUP($A186,Output_Mac!$A:$A,Output_Mac!F:F,""),
_xlpm.MyAuditVal,_xlfn.XLOOKUP($A186,My_Audit!$A:$A,My_Audit!E:E,""),
_xlfn.IFS(_xlpm.MyAuditVal&lt;&gt;"",_xlpm.MyAuditVal,_xlpm.MacVal&lt;&gt;"",_xlpm.MacVal,_xlpm.CSVVal&lt;&gt;"",PROPER(_xlpm.CSVVal)
)),"")</f>
        <v/>
      </c>
      <c r="G186" s="45" t="str" cm="1">
        <f t="array" ref="G186">IFERROR(_xlfn.LET(
_xlpm.CSVVal,_xlfn.XLOOKUP($A186,CSV!$A:$A,CSV!G:G,""),
_xlpm.MacVal,_xlfn.XLOOKUP($A186,Output_Mac!$A:$A,Output_Mac!H:H,""),
_xlpm.MyAuditVal,_xlfn.XLOOKUP($A186,My_Audit!$A:$A,My_Audit!F:F,""),
_xlfn.IFS(_xlpm.MyAuditVal&lt;&gt;"",_xlpm.MyAuditVal,_xlpm.MacVal&lt;&gt;"",_xlpm.MacVal,_xlpm.CSVVal&lt;&gt;"",_xlpm.CSVVal
)),"")</f>
        <v/>
      </c>
      <c r="H186" s="45" t="str">
        <f>_xlfn.XLOOKUP(A186,Output_Mac!A:A,Output_Mac!I:I,"")</f>
        <v/>
      </c>
      <c r="I186" s="45" t="str" cm="1">
        <f t="array" ref="I186">IFERROR(_xlfn.LET(
_xlpm.CSVVal,_xlfn.XLOOKUP($A186,CSV!$A:$A,CSV!H:H,""),
_xlpm.MacVal,_xlfn.XLOOKUP($A186,Output_Mac!$A:$A,Output_Mac!J:J,""),
_xlpm.MyAuditVal,_xlfn.XLOOKUP($A186,My_Audit!$A:$A,My_Audit!H:H,""),
_xlfn.IFS(_xlpm.MyAuditVal&lt;&gt;"",UPPER(_xlpm.MyAuditVal),_xlpm.MacVal&lt;&gt;"",_xlpm.MacVal,_xlpm.CSVVal&lt;&gt;"",_xlpm.CSVVal
)),"")</f>
        <v/>
      </c>
      <c r="J186" s="45" t="str" cm="1">
        <f t="array" ref="J186">IFERROR(_xlfn.LET(
_xlpm.CSVVal,_xlfn.XLOOKUP($A186,CSV!$A:$A,CSV!J:J,""),
_xlpm.MacVal,_xlfn.XLOOKUP($A186,Output_Mac!$A:$A,Output_Mac!K:K,""),
_xlpm.MyAuditVal,_xlfn.XLOOKUP($A186,My_Audit!$A:$A,My_Audit!I:I,""),
_xlfn.IFS(_xlpm.MyAuditVal&lt;&gt;"",UPPER(_xlpm.MyAuditVal),_xlpm.MacVal&lt;&gt;"",_xlpm.MacVal,_xlpm.CSVVal&lt;&gt;"",_xlpm.CSVVal
)),"")</f>
        <v/>
      </c>
      <c r="K186" s="45" t="str" cm="1">
        <f t="array" ref="K186">IFERROR(_xlfn.LET(
_xlpm.CSVVal,_xlfn.XLOOKUP($A186,CSV!$A:$A,CSV!N:N,""),
_xlpm.MacVal,_xlfn.XLOOKUP($A186,Output_Mac!$A:$A,Output_Mac!L:L,""),
_xlpm.MyAuditVal,_xlfn.XLOOKUP($A186,My_Audit!$A:$A,My_Audit!J:J,""),
_xlfn.IFS(_xlpm.MyAuditVal&lt;&gt;"",UPPER(_xlpm.MyAuditVal),_xlpm.MacVal&lt;&gt;"",_xlpm.MacVal,_xlpm.CSVVal&lt;&gt;"",_xlpm.CSVVal
)),"")</f>
        <v/>
      </c>
      <c r="L186" s="46" t="str" cm="1">
        <f t="array" ref="L186">IFERROR(_xlfn.LET(
_xlpm.CSVVal,_xlfn.XLOOKUP($A186,CSV!$A:$A,CSV!Q:Q,""),
_xlpm.MacVal,_xlfn.XLOOKUP($A186,Output_Mac!$A:$A,Output_Mac!M:M,""),
_xlpm.MyAuditVal,_xlfn.XLOOKUP($A186,My_Audit!$A:$A,My_Audit!K:K,""),
_xlfn.IFS(_xlpm.MyAuditVal&lt;&gt;"",UPPER(_xlpm.MyAuditVal),_xlpm.MacVal&lt;&gt;"",_xlpm.MacVal,_xlpm.CSVVal&lt;&gt;"",_xlpm.CSVVal
)),"")</f>
        <v/>
      </c>
      <c r="M186" s="45" t="str">
        <f>_xlfn.LET(
    _xlpm.CSVVal, _xlfn.XLOOKUP($A186, CSV!$A:$A, CSV!AE:AE, ""),
    _xlpm.MacVal, _xlfn.XLOOKUP($A186, Output_Mac!$A:$A, Output_Mac!S:S, ""),
    _xlpm.MyAuditVal, _xlfn.XLOOKUP($A186, My_Audit!$A:$A, My_Audit!N:N, ""),
    _xlfn.TEXTJOIN(", ", TRUE, _xlpm.MyAuditVal, _xlpm.MacVal, _xlpm.CSVVal)
)</f>
        <v/>
      </c>
      <c r="N186" s="45" t="str" cm="1">
        <f t="array" ref="N186">IFERROR(_xlfn.LET(
_xlpm.CSVVal,_xlfn.XLOOKUP($A186,CSV!$A:$A,CSV!AG:AG,""),
_xlpm.MacVal,_xlfn.XLOOKUP($A186,Output_Mac!$A:$A,Output_Mac!U:U,""),
_xlpm.MyAuditVal,_xlfn.XLOOKUP($A186,My_Audit!$A:$A,My_Audit!O:O,""),
_xlfn.IFS(_xlpm.MyAuditVal&lt;&gt;"",UPPER(_xlpm.MyAuditVal),_xlpm.MacVal&lt;&gt;"",_xlpm.MacVal,_xlpm.CSVVal&lt;&gt;"",_xlpm.CSVVal
)),"")</f>
        <v/>
      </c>
      <c r="O186" s="46" t="str">
        <f>_xlfn.XLOOKUP(C186,My_Audit!B:B,My_Audit!P:P,"")&amp;""</f>
        <v/>
      </c>
      <c r="P186" s="45"/>
      <c r="Q186" s="46" t="str">
        <f>IF(LEFT(N186,4)="Pass","Nist SP 800-88",My_Audit!R186)&amp;""</f>
        <v/>
      </c>
      <c r="R186" s="45"/>
      <c r="S186" s="45"/>
      <c r="T186" s="46" t="str">
        <f>_xlfn.XLOOKUP(E186,Models!I:I,Models!J:J,"")</f>
        <v/>
      </c>
      <c r="U186" s="45"/>
      <c r="V186" s="45"/>
      <c r="W186" s="38"/>
    </row>
    <row r="187" spans="1:23">
      <c r="A187" s="45" t="str">
        <f>_xlfn.TEXTJOIN("",TRUE,Input!$B$2,ROW(My_Audit!A186))</f>
        <v>XX186</v>
      </c>
      <c r="B187" s="45" t="str">
        <f>_xlfn.TEXTJOIN("-",TRUE,"ITD",Input!$A$2,A187)</f>
        <v>ITD-SHRXXX-XX186</v>
      </c>
      <c r="C187" s="45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46" t="str" cm="1">
        <f t="array" ref="D187">IFERROR(_xlfn.LET(
_xlpm.CSVVal,_xlfn.XLOOKUP($A187,CSV!$A:$A,CSV!C:C,""),
_xlpm.MacVal,_xlfn.XLOOKUP($A187,Output_Mac!$A:$A,Output_Mac!D:D,""),
_xlpm.MyAuditVal,_xlfn.XLOOKUP($A187,My_Audit!$A:$A,My_Audit!C:C,""),
_xlfn.IFS(_xlpm.MyAuditVal&lt;&gt;"",UPPER(_xlpm.MyAuditVal),_xlpm.MacVal&lt;&gt;"",_xlpm.MacVal,_xlpm.CSVVal&lt;&gt;"",_xlpm.CSVVal
)),"")</f>
        <v/>
      </c>
      <c r="E187" s="46" t="str" cm="1">
        <f t="array" ref="E187">IFERROR(_xlfn.LET(
_xlpm.CSVVal,_xlfn.XLOOKUP($A187,CSV!$A:$A,CSV!E:E,""),
_xlpm.MacVal,_xlfn.XLOOKUP($A187,Output_Mac!$A:$A,Output_Mac!C:C,""),
_xlpm.MyAuditVal,_xlfn.XLOOKUP($A187,My_Audit!$A:$A,My_Audit!D:D,""),
_xlfn.IFS(_xlpm.MyAuditVal&lt;&gt;"",_xlpm.MyAuditVal,_xlpm.MacVal&lt;&gt;"",_xlpm.MacVal,_xlpm.CSVVal&lt;&gt;"",_xlpm.CSVVal
)),"")</f>
        <v/>
      </c>
      <c r="F187" s="45" t="str" cm="1">
        <f t="array" ref="F187">IFERROR(_xlfn.LET(
_xlpm.CSVVal,_xlfn.XLOOKUP($A187,CSV!$A:$A,CSV!F:F,""),
_xlpm.MacVal,_xlfn.XLOOKUP($A187,Output_Mac!$A:$A,Output_Mac!F:F,""),
_xlpm.MyAuditVal,_xlfn.XLOOKUP($A187,My_Audit!$A:$A,My_Audit!E:E,""),
_xlfn.IFS(_xlpm.MyAuditVal&lt;&gt;"",_xlpm.MyAuditVal,_xlpm.MacVal&lt;&gt;"",_xlpm.MacVal,_xlpm.CSVVal&lt;&gt;"",PROPER(_xlpm.CSVVal)
)),"")</f>
        <v/>
      </c>
      <c r="G187" s="45" t="str" cm="1">
        <f t="array" ref="G187">IFERROR(_xlfn.LET(
_xlpm.CSVVal,_xlfn.XLOOKUP($A187,CSV!$A:$A,CSV!G:G,""),
_xlpm.MacVal,_xlfn.XLOOKUP($A187,Output_Mac!$A:$A,Output_Mac!H:H,""),
_xlpm.MyAuditVal,_xlfn.XLOOKUP($A187,My_Audit!$A:$A,My_Audit!F:F,""),
_xlfn.IFS(_xlpm.MyAuditVal&lt;&gt;"",_xlpm.MyAuditVal,_xlpm.MacVal&lt;&gt;"",_xlpm.MacVal,_xlpm.CSVVal&lt;&gt;"",_xlpm.CSVVal
)),"")</f>
        <v/>
      </c>
      <c r="H187" s="45" t="str">
        <f>_xlfn.XLOOKUP(A187,Output_Mac!A:A,Output_Mac!I:I,"")</f>
        <v/>
      </c>
      <c r="I187" s="45" t="str" cm="1">
        <f t="array" ref="I187">IFERROR(_xlfn.LET(
_xlpm.CSVVal,_xlfn.XLOOKUP($A187,CSV!$A:$A,CSV!H:H,""),
_xlpm.MacVal,_xlfn.XLOOKUP($A187,Output_Mac!$A:$A,Output_Mac!J:J,""),
_xlpm.MyAuditVal,_xlfn.XLOOKUP($A187,My_Audit!$A:$A,My_Audit!H:H,""),
_xlfn.IFS(_xlpm.MyAuditVal&lt;&gt;"",UPPER(_xlpm.MyAuditVal),_xlpm.MacVal&lt;&gt;"",_xlpm.MacVal,_xlpm.CSVVal&lt;&gt;"",_xlpm.CSVVal
)),"")</f>
        <v/>
      </c>
      <c r="J187" s="45" t="str" cm="1">
        <f t="array" ref="J187">IFERROR(_xlfn.LET(
_xlpm.CSVVal,_xlfn.XLOOKUP($A187,CSV!$A:$A,CSV!J:J,""),
_xlpm.MacVal,_xlfn.XLOOKUP($A187,Output_Mac!$A:$A,Output_Mac!K:K,""),
_xlpm.MyAuditVal,_xlfn.XLOOKUP($A187,My_Audit!$A:$A,My_Audit!I:I,""),
_xlfn.IFS(_xlpm.MyAuditVal&lt;&gt;"",UPPER(_xlpm.MyAuditVal),_xlpm.MacVal&lt;&gt;"",_xlpm.MacVal,_xlpm.CSVVal&lt;&gt;"",_xlpm.CSVVal
)),"")</f>
        <v/>
      </c>
      <c r="K187" s="45" t="str" cm="1">
        <f t="array" ref="K187">IFERROR(_xlfn.LET(
_xlpm.CSVVal,_xlfn.XLOOKUP($A187,CSV!$A:$A,CSV!N:N,""),
_xlpm.MacVal,_xlfn.XLOOKUP($A187,Output_Mac!$A:$A,Output_Mac!L:L,""),
_xlpm.MyAuditVal,_xlfn.XLOOKUP($A187,My_Audit!$A:$A,My_Audit!J:J,""),
_xlfn.IFS(_xlpm.MyAuditVal&lt;&gt;"",UPPER(_xlpm.MyAuditVal),_xlpm.MacVal&lt;&gt;"",_xlpm.MacVal,_xlpm.CSVVal&lt;&gt;"",_xlpm.CSVVal
)),"")</f>
        <v/>
      </c>
      <c r="L187" s="46" t="str" cm="1">
        <f t="array" ref="L187">IFERROR(_xlfn.LET(
_xlpm.CSVVal,_xlfn.XLOOKUP($A187,CSV!$A:$A,CSV!Q:Q,""),
_xlpm.MacVal,_xlfn.XLOOKUP($A187,Output_Mac!$A:$A,Output_Mac!M:M,""),
_xlpm.MyAuditVal,_xlfn.XLOOKUP($A187,My_Audit!$A:$A,My_Audit!K:K,""),
_xlfn.IFS(_xlpm.MyAuditVal&lt;&gt;"",UPPER(_xlpm.MyAuditVal),_xlpm.MacVal&lt;&gt;"",_xlpm.MacVal,_xlpm.CSVVal&lt;&gt;"",_xlpm.CSVVal
)),"")</f>
        <v/>
      </c>
      <c r="M187" s="45" t="str">
        <f>_xlfn.LET(
    _xlpm.CSVVal, _xlfn.XLOOKUP($A187, CSV!$A:$A, CSV!AE:AE, ""),
    _xlpm.MacVal, _xlfn.XLOOKUP($A187, Output_Mac!$A:$A, Output_Mac!S:S, ""),
    _xlpm.MyAuditVal, _xlfn.XLOOKUP($A187, My_Audit!$A:$A, My_Audit!N:N, ""),
    _xlfn.TEXTJOIN(", ", TRUE, _xlpm.MyAuditVal, _xlpm.MacVal, _xlpm.CSVVal)
)</f>
        <v/>
      </c>
      <c r="N187" s="45" t="str" cm="1">
        <f t="array" ref="N187">IFERROR(_xlfn.LET(
_xlpm.CSVVal,_xlfn.XLOOKUP($A187,CSV!$A:$A,CSV!AG:AG,""),
_xlpm.MacVal,_xlfn.XLOOKUP($A187,Output_Mac!$A:$A,Output_Mac!U:U,""),
_xlpm.MyAuditVal,_xlfn.XLOOKUP($A187,My_Audit!$A:$A,My_Audit!O:O,""),
_xlfn.IFS(_xlpm.MyAuditVal&lt;&gt;"",UPPER(_xlpm.MyAuditVal),_xlpm.MacVal&lt;&gt;"",_xlpm.MacVal,_xlpm.CSVVal&lt;&gt;"",_xlpm.CSVVal
)),"")</f>
        <v/>
      </c>
      <c r="O187" s="46" t="str">
        <f>_xlfn.XLOOKUP(C187,My_Audit!B:B,My_Audit!P:P,"")&amp;""</f>
        <v/>
      </c>
      <c r="P187" s="45"/>
      <c r="Q187" s="46" t="str">
        <f>IF(LEFT(N187,4)="Pass","Nist SP 800-88",My_Audit!R187)&amp;""</f>
        <v/>
      </c>
      <c r="R187" s="45"/>
      <c r="S187" s="45"/>
      <c r="T187" s="46" t="str">
        <f>_xlfn.XLOOKUP(E187,Models!I:I,Models!J:J,"")</f>
        <v/>
      </c>
      <c r="U187" s="45"/>
      <c r="V187" s="45"/>
      <c r="W187" s="38"/>
    </row>
    <row r="188" spans="1:23">
      <c r="A188" s="45" t="str">
        <f>_xlfn.TEXTJOIN("",TRUE,Input!$B$2,ROW(My_Audit!A187))</f>
        <v>XX187</v>
      </c>
      <c r="B188" s="45" t="str">
        <f>_xlfn.TEXTJOIN("-",TRUE,"ITD",Input!$A$2,A188)</f>
        <v>ITD-SHRXXX-XX187</v>
      </c>
      <c r="C188" s="45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46" t="str" cm="1">
        <f t="array" ref="D188">IFERROR(_xlfn.LET(
_xlpm.CSVVal,_xlfn.XLOOKUP($A188,CSV!$A:$A,CSV!C:C,""),
_xlpm.MacVal,_xlfn.XLOOKUP($A188,Output_Mac!$A:$A,Output_Mac!D:D,""),
_xlpm.MyAuditVal,_xlfn.XLOOKUP($A188,My_Audit!$A:$A,My_Audit!C:C,""),
_xlfn.IFS(_xlpm.MyAuditVal&lt;&gt;"",UPPER(_xlpm.MyAuditVal),_xlpm.MacVal&lt;&gt;"",_xlpm.MacVal,_xlpm.CSVVal&lt;&gt;"",_xlpm.CSVVal
)),"")</f>
        <v/>
      </c>
      <c r="E188" s="46" t="str" cm="1">
        <f t="array" ref="E188">IFERROR(_xlfn.LET(
_xlpm.CSVVal,_xlfn.XLOOKUP($A188,CSV!$A:$A,CSV!E:E,""),
_xlpm.MacVal,_xlfn.XLOOKUP($A188,Output_Mac!$A:$A,Output_Mac!C:C,""),
_xlpm.MyAuditVal,_xlfn.XLOOKUP($A188,My_Audit!$A:$A,My_Audit!D:D,""),
_xlfn.IFS(_xlpm.MyAuditVal&lt;&gt;"",_xlpm.MyAuditVal,_xlpm.MacVal&lt;&gt;"",_xlpm.MacVal,_xlpm.CSVVal&lt;&gt;"",_xlpm.CSVVal
)),"")</f>
        <v/>
      </c>
      <c r="F188" s="45" t="str" cm="1">
        <f t="array" ref="F188">IFERROR(_xlfn.LET(
_xlpm.CSVVal,_xlfn.XLOOKUP($A188,CSV!$A:$A,CSV!F:F,""),
_xlpm.MacVal,_xlfn.XLOOKUP($A188,Output_Mac!$A:$A,Output_Mac!F:F,""),
_xlpm.MyAuditVal,_xlfn.XLOOKUP($A188,My_Audit!$A:$A,My_Audit!E:E,""),
_xlfn.IFS(_xlpm.MyAuditVal&lt;&gt;"",_xlpm.MyAuditVal,_xlpm.MacVal&lt;&gt;"",_xlpm.MacVal,_xlpm.CSVVal&lt;&gt;"",PROPER(_xlpm.CSVVal)
)),"")</f>
        <v/>
      </c>
      <c r="G188" s="45" t="str" cm="1">
        <f t="array" ref="G188">IFERROR(_xlfn.LET(
_xlpm.CSVVal,_xlfn.XLOOKUP($A188,CSV!$A:$A,CSV!G:G,""),
_xlpm.MacVal,_xlfn.XLOOKUP($A188,Output_Mac!$A:$A,Output_Mac!H:H,""),
_xlpm.MyAuditVal,_xlfn.XLOOKUP($A188,My_Audit!$A:$A,My_Audit!F:F,""),
_xlfn.IFS(_xlpm.MyAuditVal&lt;&gt;"",_xlpm.MyAuditVal,_xlpm.MacVal&lt;&gt;"",_xlpm.MacVal,_xlpm.CSVVal&lt;&gt;"",_xlpm.CSVVal
)),"")</f>
        <v/>
      </c>
      <c r="H188" s="45" t="str">
        <f>_xlfn.XLOOKUP(A188,Output_Mac!A:A,Output_Mac!I:I,"")</f>
        <v/>
      </c>
      <c r="I188" s="45" t="str" cm="1">
        <f t="array" ref="I188">IFERROR(_xlfn.LET(
_xlpm.CSVVal,_xlfn.XLOOKUP($A188,CSV!$A:$A,CSV!H:H,""),
_xlpm.MacVal,_xlfn.XLOOKUP($A188,Output_Mac!$A:$A,Output_Mac!J:J,""),
_xlpm.MyAuditVal,_xlfn.XLOOKUP($A188,My_Audit!$A:$A,My_Audit!H:H,""),
_xlfn.IFS(_xlpm.MyAuditVal&lt;&gt;"",UPPER(_xlpm.MyAuditVal),_xlpm.MacVal&lt;&gt;"",_xlpm.MacVal,_xlpm.CSVVal&lt;&gt;"",_xlpm.CSVVal
)),"")</f>
        <v/>
      </c>
      <c r="J188" s="45" t="str" cm="1">
        <f t="array" ref="J188">IFERROR(_xlfn.LET(
_xlpm.CSVVal,_xlfn.XLOOKUP($A188,CSV!$A:$A,CSV!J:J,""),
_xlpm.MacVal,_xlfn.XLOOKUP($A188,Output_Mac!$A:$A,Output_Mac!K:K,""),
_xlpm.MyAuditVal,_xlfn.XLOOKUP($A188,My_Audit!$A:$A,My_Audit!I:I,""),
_xlfn.IFS(_xlpm.MyAuditVal&lt;&gt;"",UPPER(_xlpm.MyAuditVal),_xlpm.MacVal&lt;&gt;"",_xlpm.MacVal,_xlpm.CSVVal&lt;&gt;"",_xlpm.CSVVal
)),"")</f>
        <v/>
      </c>
      <c r="K188" s="45" t="str" cm="1">
        <f t="array" ref="K188">IFERROR(_xlfn.LET(
_xlpm.CSVVal,_xlfn.XLOOKUP($A188,CSV!$A:$A,CSV!N:N,""),
_xlpm.MacVal,_xlfn.XLOOKUP($A188,Output_Mac!$A:$A,Output_Mac!L:L,""),
_xlpm.MyAuditVal,_xlfn.XLOOKUP($A188,My_Audit!$A:$A,My_Audit!J:J,""),
_xlfn.IFS(_xlpm.MyAuditVal&lt;&gt;"",UPPER(_xlpm.MyAuditVal),_xlpm.MacVal&lt;&gt;"",_xlpm.MacVal,_xlpm.CSVVal&lt;&gt;"",_xlpm.CSVVal
)),"")</f>
        <v/>
      </c>
      <c r="L188" s="46" t="str" cm="1">
        <f t="array" ref="L188">IFERROR(_xlfn.LET(
_xlpm.CSVVal,_xlfn.XLOOKUP($A188,CSV!$A:$A,CSV!Q:Q,""),
_xlpm.MacVal,_xlfn.XLOOKUP($A188,Output_Mac!$A:$A,Output_Mac!M:M,""),
_xlpm.MyAuditVal,_xlfn.XLOOKUP($A188,My_Audit!$A:$A,My_Audit!K:K,""),
_xlfn.IFS(_xlpm.MyAuditVal&lt;&gt;"",UPPER(_xlpm.MyAuditVal),_xlpm.MacVal&lt;&gt;"",_xlpm.MacVal,_xlpm.CSVVal&lt;&gt;"",_xlpm.CSVVal
)),"")</f>
        <v/>
      </c>
      <c r="M188" s="45" t="str">
        <f>_xlfn.LET(
    _xlpm.CSVVal, _xlfn.XLOOKUP($A188, CSV!$A:$A, CSV!AE:AE, ""),
    _xlpm.MacVal, _xlfn.XLOOKUP($A188, Output_Mac!$A:$A, Output_Mac!S:S, ""),
    _xlpm.MyAuditVal, _xlfn.XLOOKUP($A188, My_Audit!$A:$A, My_Audit!N:N, ""),
    _xlfn.TEXTJOIN(", ", TRUE, _xlpm.MyAuditVal, _xlpm.MacVal, _xlpm.CSVVal)
)</f>
        <v/>
      </c>
      <c r="N188" s="45" t="str" cm="1">
        <f t="array" ref="N188">IFERROR(_xlfn.LET(
_xlpm.CSVVal,_xlfn.XLOOKUP($A188,CSV!$A:$A,CSV!AG:AG,""),
_xlpm.MacVal,_xlfn.XLOOKUP($A188,Output_Mac!$A:$A,Output_Mac!U:U,""),
_xlpm.MyAuditVal,_xlfn.XLOOKUP($A188,My_Audit!$A:$A,My_Audit!O:O,""),
_xlfn.IFS(_xlpm.MyAuditVal&lt;&gt;"",UPPER(_xlpm.MyAuditVal),_xlpm.MacVal&lt;&gt;"",_xlpm.MacVal,_xlpm.CSVVal&lt;&gt;"",_xlpm.CSVVal
)),"")</f>
        <v/>
      </c>
      <c r="O188" s="46" t="str">
        <f>_xlfn.XLOOKUP(C188,My_Audit!B:B,My_Audit!P:P,"")&amp;""</f>
        <v/>
      </c>
      <c r="P188" s="45"/>
      <c r="Q188" s="46" t="str">
        <f>IF(LEFT(N188,4)="Pass","Nist SP 800-88",My_Audit!R188)&amp;""</f>
        <v/>
      </c>
      <c r="R188" s="45"/>
      <c r="S188" s="45"/>
      <c r="T188" s="46" t="str">
        <f>_xlfn.XLOOKUP(E188,Models!I:I,Models!J:J,"")</f>
        <v/>
      </c>
      <c r="U188" s="45"/>
      <c r="V188" s="45"/>
      <c r="W188" s="38"/>
    </row>
    <row r="189" spans="1:23">
      <c r="A189" s="45" t="str">
        <f>_xlfn.TEXTJOIN("",TRUE,Input!$B$2,ROW(My_Audit!A188))</f>
        <v>XX188</v>
      </c>
      <c r="B189" s="45" t="str">
        <f>_xlfn.TEXTJOIN("-",TRUE,"ITD",Input!$A$2,A189)</f>
        <v>ITD-SHRXXX-XX188</v>
      </c>
      <c r="C189" s="45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46" t="str" cm="1">
        <f t="array" ref="D189">IFERROR(_xlfn.LET(
_xlpm.CSVVal,_xlfn.XLOOKUP($A189,CSV!$A:$A,CSV!C:C,""),
_xlpm.MacVal,_xlfn.XLOOKUP($A189,Output_Mac!$A:$A,Output_Mac!D:D,""),
_xlpm.MyAuditVal,_xlfn.XLOOKUP($A189,My_Audit!$A:$A,My_Audit!C:C,""),
_xlfn.IFS(_xlpm.MyAuditVal&lt;&gt;"",UPPER(_xlpm.MyAuditVal),_xlpm.MacVal&lt;&gt;"",_xlpm.MacVal,_xlpm.CSVVal&lt;&gt;"",_xlpm.CSVVal
)),"")</f>
        <v/>
      </c>
      <c r="E189" s="46" t="str" cm="1">
        <f t="array" ref="E189">IFERROR(_xlfn.LET(
_xlpm.CSVVal,_xlfn.XLOOKUP($A189,CSV!$A:$A,CSV!E:E,""),
_xlpm.MacVal,_xlfn.XLOOKUP($A189,Output_Mac!$A:$A,Output_Mac!C:C,""),
_xlpm.MyAuditVal,_xlfn.XLOOKUP($A189,My_Audit!$A:$A,My_Audit!D:D,""),
_xlfn.IFS(_xlpm.MyAuditVal&lt;&gt;"",_xlpm.MyAuditVal,_xlpm.MacVal&lt;&gt;"",_xlpm.MacVal,_xlpm.CSVVal&lt;&gt;"",_xlpm.CSVVal
)),"")</f>
        <v/>
      </c>
      <c r="F189" s="45" t="str" cm="1">
        <f t="array" ref="F189">IFERROR(_xlfn.LET(
_xlpm.CSVVal,_xlfn.XLOOKUP($A189,CSV!$A:$A,CSV!F:F,""),
_xlpm.MacVal,_xlfn.XLOOKUP($A189,Output_Mac!$A:$A,Output_Mac!F:F,""),
_xlpm.MyAuditVal,_xlfn.XLOOKUP($A189,My_Audit!$A:$A,My_Audit!E:E,""),
_xlfn.IFS(_xlpm.MyAuditVal&lt;&gt;"",_xlpm.MyAuditVal,_xlpm.MacVal&lt;&gt;"",_xlpm.MacVal,_xlpm.CSVVal&lt;&gt;"",PROPER(_xlpm.CSVVal)
)),"")</f>
        <v/>
      </c>
      <c r="G189" s="45" t="str" cm="1">
        <f t="array" ref="G189">IFERROR(_xlfn.LET(
_xlpm.CSVVal,_xlfn.XLOOKUP($A189,CSV!$A:$A,CSV!G:G,""),
_xlpm.MacVal,_xlfn.XLOOKUP($A189,Output_Mac!$A:$A,Output_Mac!H:H,""),
_xlpm.MyAuditVal,_xlfn.XLOOKUP($A189,My_Audit!$A:$A,My_Audit!F:F,""),
_xlfn.IFS(_xlpm.MyAuditVal&lt;&gt;"",_xlpm.MyAuditVal,_xlpm.MacVal&lt;&gt;"",_xlpm.MacVal,_xlpm.CSVVal&lt;&gt;"",_xlpm.CSVVal
)),"")</f>
        <v/>
      </c>
      <c r="H189" s="45" t="str">
        <f>_xlfn.XLOOKUP(A189,Output_Mac!A:A,Output_Mac!I:I,"")</f>
        <v/>
      </c>
      <c r="I189" s="45" t="str" cm="1">
        <f t="array" ref="I189">IFERROR(_xlfn.LET(
_xlpm.CSVVal,_xlfn.XLOOKUP($A189,CSV!$A:$A,CSV!H:H,""),
_xlpm.MacVal,_xlfn.XLOOKUP($A189,Output_Mac!$A:$A,Output_Mac!J:J,""),
_xlpm.MyAuditVal,_xlfn.XLOOKUP($A189,My_Audit!$A:$A,My_Audit!H:H,""),
_xlfn.IFS(_xlpm.MyAuditVal&lt;&gt;"",UPPER(_xlpm.MyAuditVal),_xlpm.MacVal&lt;&gt;"",_xlpm.MacVal,_xlpm.CSVVal&lt;&gt;"",_xlpm.CSVVal
)),"")</f>
        <v/>
      </c>
      <c r="J189" s="45" t="str" cm="1">
        <f t="array" ref="J189">IFERROR(_xlfn.LET(
_xlpm.CSVVal,_xlfn.XLOOKUP($A189,CSV!$A:$A,CSV!J:J,""),
_xlpm.MacVal,_xlfn.XLOOKUP($A189,Output_Mac!$A:$A,Output_Mac!K:K,""),
_xlpm.MyAuditVal,_xlfn.XLOOKUP($A189,My_Audit!$A:$A,My_Audit!I:I,""),
_xlfn.IFS(_xlpm.MyAuditVal&lt;&gt;"",UPPER(_xlpm.MyAuditVal),_xlpm.MacVal&lt;&gt;"",_xlpm.MacVal,_xlpm.CSVVal&lt;&gt;"",_xlpm.CSVVal
)),"")</f>
        <v/>
      </c>
      <c r="K189" s="45" t="str" cm="1">
        <f t="array" ref="K189">IFERROR(_xlfn.LET(
_xlpm.CSVVal,_xlfn.XLOOKUP($A189,CSV!$A:$A,CSV!N:N,""),
_xlpm.MacVal,_xlfn.XLOOKUP($A189,Output_Mac!$A:$A,Output_Mac!L:L,""),
_xlpm.MyAuditVal,_xlfn.XLOOKUP($A189,My_Audit!$A:$A,My_Audit!J:J,""),
_xlfn.IFS(_xlpm.MyAuditVal&lt;&gt;"",UPPER(_xlpm.MyAuditVal),_xlpm.MacVal&lt;&gt;"",_xlpm.MacVal,_xlpm.CSVVal&lt;&gt;"",_xlpm.CSVVal
)),"")</f>
        <v/>
      </c>
      <c r="L189" s="46" t="str" cm="1">
        <f t="array" ref="L189">IFERROR(_xlfn.LET(
_xlpm.CSVVal,_xlfn.XLOOKUP($A189,CSV!$A:$A,CSV!Q:Q,""),
_xlpm.MacVal,_xlfn.XLOOKUP($A189,Output_Mac!$A:$A,Output_Mac!M:M,""),
_xlpm.MyAuditVal,_xlfn.XLOOKUP($A189,My_Audit!$A:$A,My_Audit!K:K,""),
_xlfn.IFS(_xlpm.MyAuditVal&lt;&gt;"",UPPER(_xlpm.MyAuditVal),_xlpm.MacVal&lt;&gt;"",_xlpm.MacVal,_xlpm.CSVVal&lt;&gt;"",_xlpm.CSVVal
)),"")</f>
        <v/>
      </c>
      <c r="M189" s="45" t="str">
        <f>_xlfn.LET(
    _xlpm.CSVVal, _xlfn.XLOOKUP($A189, CSV!$A:$A, CSV!AE:AE, ""),
    _xlpm.MacVal, _xlfn.XLOOKUP($A189, Output_Mac!$A:$A, Output_Mac!S:S, ""),
    _xlpm.MyAuditVal, _xlfn.XLOOKUP($A189, My_Audit!$A:$A, My_Audit!N:N, ""),
    _xlfn.TEXTJOIN(", ", TRUE, _xlpm.MyAuditVal, _xlpm.MacVal, _xlpm.CSVVal)
)</f>
        <v/>
      </c>
      <c r="N189" s="45" t="str" cm="1">
        <f t="array" ref="N189">IFERROR(_xlfn.LET(
_xlpm.CSVVal,_xlfn.XLOOKUP($A189,CSV!$A:$A,CSV!AG:AG,""),
_xlpm.MacVal,_xlfn.XLOOKUP($A189,Output_Mac!$A:$A,Output_Mac!U:U,""),
_xlpm.MyAuditVal,_xlfn.XLOOKUP($A189,My_Audit!$A:$A,My_Audit!O:O,""),
_xlfn.IFS(_xlpm.MyAuditVal&lt;&gt;"",UPPER(_xlpm.MyAuditVal),_xlpm.MacVal&lt;&gt;"",_xlpm.MacVal,_xlpm.CSVVal&lt;&gt;"",_xlpm.CSVVal
)),"")</f>
        <v/>
      </c>
      <c r="O189" s="46" t="str">
        <f>_xlfn.XLOOKUP(C189,My_Audit!B:B,My_Audit!P:P,"")&amp;""</f>
        <v/>
      </c>
      <c r="P189" s="45"/>
      <c r="Q189" s="46" t="str">
        <f>IF(LEFT(N189,4)="Pass","Nist SP 800-88",My_Audit!R189)&amp;""</f>
        <v/>
      </c>
      <c r="R189" s="45"/>
      <c r="S189" s="45"/>
      <c r="T189" s="46" t="str">
        <f>_xlfn.XLOOKUP(E189,Models!I:I,Models!J:J,"")</f>
        <v/>
      </c>
      <c r="U189" s="45"/>
      <c r="V189" s="45"/>
      <c r="W189" s="38"/>
    </row>
    <row r="190" spans="1:23">
      <c r="A190" s="45" t="str">
        <f>_xlfn.TEXTJOIN("",TRUE,Input!$B$2,ROW(My_Audit!A189))</f>
        <v>XX189</v>
      </c>
      <c r="B190" s="45" t="str">
        <f>_xlfn.TEXTJOIN("-",TRUE,"ITD",Input!$A$2,A190)</f>
        <v>ITD-SHRXXX-XX189</v>
      </c>
      <c r="C190" s="45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46" t="str" cm="1">
        <f t="array" ref="D190">IFERROR(_xlfn.LET(
_xlpm.CSVVal,_xlfn.XLOOKUP($A190,CSV!$A:$A,CSV!C:C,""),
_xlpm.MacVal,_xlfn.XLOOKUP($A190,Output_Mac!$A:$A,Output_Mac!D:D,""),
_xlpm.MyAuditVal,_xlfn.XLOOKUP($A190,My_Audit!$A:$A,My_Audit!C:C,""),
_xlfn.IFS(_xlpm.MyAuditVal&lt;&gt;"",UPPER(_xlpm.MyAuditVal),_xlpm.MacVal&lt;&gt;"",_xlpm.MacVal,_xlpm.CSVVal&lt;&gt;"",_xlpm.CSVVal
)),"")</f>
        <v/>
      </c>
      <c r="E190" s="46" t="str" cm="1">
        <f t="array" ref="E190">IFERROR(_xlfn.LET(
_xlpm.CSVVal,_xlfn.XLOOKUP($A190,CSV!$A:$A,CSV!E:E,""),
_xlpm.MacVal,_xlfn.XLOOKUP($A190,Output_Mac!$A:$A,Output_Mac!C:C,""),
_xlpm.MyAuditVal,_xlfn.XLOOKUP($A190,My_Audit!$A:$A,My_Audit!D:D,""),
_xlfn.IFS(_xlpm.MyAuditVal&lt;&gt;"",_xlpm.MyAuditVal,_xlpm.MacVal&lt;&gt;"",_xlpm.MacVal,_xlpm.CSVVal&lt;&gt;"",_xlpm.CSVVal
)),"")</f>
        <v/>
      </c>
      <c r="F190" s="45" t="str" cm="1">
        <f t="array" ref="F190">IFERROR(_xlfn.LET(
_xlpm.CSVVal,_xlfn.XLOOKUP($A190,CSV!$A:$A,CSV!F:F,""),
_xlpm.MacVal,_xlfn.XLOOKUP($A190,Output_Mac!$A:$A,Output_Mac!F:F,""),
_xlpm.MyAuditVal,_xlfn.XLOOKUP($A190,My_Audit!$A:$A,My_Audit!E:E,""),
_xlfn.IFS(_xlpm.MyAuditVal&lt;&gt;"",_xlpm.MyAuditVal,_xlpm.MacVal&lt;&gt;"",_xlpm.MacVal,_xlpm.CSVVal&lt;&gt;"",PROPER(_xlpm.CSVVal)
)),"")</f>
        <v/>
      </c>
      <c r="G190" s="45" t="str" cm="1">
        <f t="array" ref="G190">IFERROR(_xlfn.LET(
_xlpm.CSVVal,_xlfn.XLOOKUP($A190,CSV!$A:$A,CSV!G:G,""),
_xlpm.MacVal,_xlfn.XLOOKUP($A190,Output_Mac!$A:$A,Output_Mac!H:H,""),
_xlpm.MyAuditVal,_xlfn.XLOOKUP($A190,My_Audit!$A:$A,My_Audit!F:F,""),
_xlfn.IFS(_xlpm.MyAuditVal&lt;&gt;"",_xlpm.MyAuditVal,_xlpm.MacVal&lt;&gt;"",_xlpm.MacVal,_xlpm.CSVVal&lt;&gt;"",_xlpm.CSVVal
)),"")</f>
        <v/>
      </c>
      <c r="H190" s="45" t="str">
        <f>_xlfn.XLOOKUP(A190,Output_Mac!A:A,Output_Mac!I:I,"")</f>
        <v/>
      </c>
      <c r="I190" s="45" t="str" cm="1">
        <f t="array" ref="I190">IFERROR(_xlfn.LET(
_xlpm.CSVVal,_xlfn.XLOOKUP($A190,CSV!$A:$A,CSV!H:H,""),
_xlpm.MacVal,_xlfn.XLOOKUP($A190,Output_Mac!$A:$A,Output_Mac!J:J,""),
_xlpm.MyAuditVal,_xlfn.XLOOKUP($A190,My_Audit!$A:$A,My_Audit!H:H,""),
_xlfn.IFS(_xlpm.MyAuditVal&lt;&gt;"",UPPER(_xlpm.MyAuditVal),_xlpm.MacVal&lt;&gt;"",_xlpm.MacVal,_xlpm.CSVVal&lt;&gt;"",_xlpm.CSVVal
)),"")</f>
        <v/>
      </c>
      <c r="J190" s="45" t="str" cm="1">
        <f t="array" ref="J190">IFERROR(_xlfn.LET(
_xlpm.CSVVal,_xlfn.XLOOKUP($A190,CSV!$A:$A,CSV!J:J,""),
_xlpm.MacVal,_xlfn.XLOOKUP($A190,Output_Mac!$A:$A,Output_Mac!K:K,""),
_xlpm.MyAuditVal,_xlfn.XLOOKUP($A190,My_Audit!$A:$A,My_Audit!I:I,""),
_xlfn.IFS(_xlpm.MyAuditVal&lt;&gt;"",UPPER(_xlpm.MyAuditVal),_xlpm.MacVal&lt;&gt;"",_xlpm.MacVal,_xlpm.CSVVal&lt;&gt;"",_xlpm.CSVVal
)),"")</f>
        <v/>
      </c>
      <c r="K190" s="45" t="str" cm="1">
        <f t="array" ref="K190">IFERROR(_xlfn.LET(
_xlpm.CSVVal,_xlfn.XLOOKUP($A190,CSV!$A:$A,CSV!N:N,""),
_xlpm.MacVal,_xlfn.XLOOKUP($A190,Output_Mac!$A:$A,Output_Mac!L:L,""),
_xlpm.MyAuditVal,_xlfn.XLOOKUP($A190,My_Audit!$A:$A,My_Audit!J:J,""),
_xlfn.IFS(_xlpm.MyAuditVal&lt;&gt;"",UPPER(_xlpm.MyAuditVal),_xlpm.MacVal&lt;&gt;"",_xlpm.MacVal,_xlpm.CSVVal&lt;&gt;"",_xlpm.CSVVal
)),"")</f>
        <v/>
      </c>
      <c r="L190" s="46" t="str" cm="1">
        <f t="array" ref="L190">IFERROR(_xlfn.LET(
_xlpm.CSVVal,_xlfn.XLOOKUP($A190,CSV!$A:$A,CSV!Q:Q,""),
_xlpm.MacVal,_xlfn.XLOOKUP($A190,Output_Mac!$A:$A,Output_Mac!M:M,""),
_xlpm.MyAuditVal,_xlfn.XLOOKUP($A190,My_Audit!$A:$A,My_Audit!K:K,""),
_xlfn.IFS(_xlpm.MyAuditVal&lt;&gt;"",UPPER(_xlpm.MyAuditVal),_xlpm.MacVal&lt;&gt;"",_xlpm.MacVal,_xlpm.CSVVal&lt;&gt;"",_xlpm.CSVVal
)),"")</f>
        <v/>
      </c>
      <c r="M190" s="45" t="str">
        <f>_xlfn.LET(
    _xlpm.CSVVal, _xlfn.XLOOKUP($A190, CSV!$A:$A, CSV!AE:AE, ""),
    _xlpm.MacVal, _xlfn.XLOOKUP($A190, Output_Mac!$A:$A, Output_Mac!S:S, ""),
    _xlpm.MyAuditVal, _xlfn.XLOOKUP($A190, My_Audit!$A:$A, My_Audit!N:N, ""),
    _xlfn.TEXTJOIN(", ", TRUE, _xlpm.MyAuditVal, _xlpm.MacVal, _xlpm.CSVVal)
)</f>
        <v/>
      </c>
      <c r="N190" s="45" t="str" cm="1">
        <f t="array" ref="N190">IFERROR(_xlfn.LET(
_xlpm.CSVVal,_xlfn.XLOOKUP($A190,CSV!$A:$A,CSV!AG:AG,""),
_xlpm.MacVal,_xlfn.XLOOKUP($A190,Output_Mac!$A:$A,Output_Mac!U:U,""),
_xlpm.MyAuditVal,_xlfn.XLOOKUP($A190,My_Audit!$A:$A,My_Audit!O:O,""),
_xlfn.IFS(_xlpm.MyAuditVal&lt;&gt;"",UPPER(_xlpm.MyAuditVal),_xlpm.MacVal&lt;&gt;"",_xlpm.MacVal,_xlpm.CSVVal&lt;&gt;"",_xlpm.CSVVal
)),"")</f>
        <v/>
      </c>
      <c r="O190" s="46" t="str">
        <f>_xlfn.XLOOKUP(C190,My_Audit!B:B,My_Audit!P:P,"")&amp;""</f>
        <v/>
      </c>
      <c r="P190" s="45"/>
      <c r="Q190" s="46" t="str">
        <f>IF(LEFT(N190,4)="Pass","Nist SP 800-88",My_Audit!R190)&amp;""</f>
        <v/>
      </c>
      <c r="R190" s="45"/>
      <c r="S190" s="45"/>
      <c r="T190" s="46" t="str">
        <f>_xlfn.XLOOKUP(E190,Models!I:I,Models!J:J,"")</f>
        <v/>
      </c>
      <c r="U190" s="45"/>
      <c r="V190" s="45"/>
      <c r="W190" s="38"/>
    </row>
    <row r="191" spans="1:23">
      <c r="A191" s="45" t="str">
        <f>_xlfn.TEXTJOIN("",TRUE,Input!$B$2,ROW(My_Audit!A190))</f>
        <v>XX190</v>
      </c>
      <c r="B191" s="45" t="str">
        <f>_xlfn.TEXTJOIN("-",TRUE,"ITD",Input!$A$2,A191)</f>
        <v>ITD-SHRXXX-XX190</v>
      </c>
      <c r="C191" s="45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46" t="str" cm="1">
        <f t="array" ref="D191">IFERROR(_xlfn.LET(
_xlpm.CSVVal,_xlfn.XLOOKUP($A191,CSV!$A:$A,CSV!C:C,""),
_xlpm.MacVal,_xlfn.XLOOKUP($A191,Output_Mac!$A:$A,Output_Mac!D:D,""),
_xlpm.MyAuditVal,_xlfn.XLOOKUP($A191,My_Audit!$A:$A,My_Audit!C:C,""),
_xlfn.IFS(_xlpm.MyAuditVal&lt;&gt;"",UPPER(_xlpm.MyAuditVal),_xlpm.MacVal&lt;&gt;"",_xlpm.MacVal,_xlpm.CSVVal&lt;&gt;"",_xlpm.CSVVal
)),"")</f>
        <v/>
      </c>
      <c r="E191" s="46" t="str" cm="1">
        <f t="array" ref="E191">IFERROR(_xlfn.LET(
_xlpm.CSVVal,_xlfn.XLOOKUP($A191,CSV!$A:$A,CSV!E:E,""),
_xlpm.MacVal,_xlfn.XLOOKUP($A191,Output_Mac!$A:$A,Output_Mac!C:C,""),
_xlpm.MyAuditVal,_xlfn.XLOOKUP($A191,My_Audit!$A:$A,My_Audit!D:D,""),
_xlfn.IFS(_xlpm.MyAuditVal&lt;&gt;"",_xlpm.MyAuditVal,_xlpm.MacVal&lt;&gt;"",_xlpm.MacVal,_xlpm.CSVVal&lt;&gt;"",_xlpm.CSVVal
)),"")</f>
        <v/>
      </c>
      <c r="F191" s="45" t="str" cm="1">
        <f t="array" ref="F191">IFERROR(_xlfn.LET(
_xlpm.CSVVal,_xlfn.XLOOKUP($A191,CSV!$A:$A,CSV!F:F,""),
_xlpm.MacVal,_xlfn.XLOOKUP($A191,Output_Mac!$A:$A,Output_Mac!F:F,""),
_xlpm.MyAuditVal,_xlfn.XLOOKUP($A191,My_Audit!$A:$A,My_Audit!E:E,""),
_xlfn.IFS(_xlpm.MyAuditVal&lt;&gt;"",_xlpm.MyAuditVal,_xlpm.MacVal&lt;&gt;"",_xlpm.MacVal,_xlpm.CSVVal&lt;&gt;"",PROPER(_xlpm.CSVVal)
)),"")</f>
        <v/>
      </c>
      <c r="G191" s="45" t="str" cm="1">
        <f t="array" ref="G191">IFERROR(_xlfn.LET(
_xlpm.CSVVal,_xlfn.XLOOKUP($A191,CSV!$A:$A,CSV!G:G,""),
_xlpm.MacVal,_xlfn.XLOOKUP($A191,Output_Mac!$A:$A,Output_Mac!H:H,""),
_xlpm.MyAuditVal,_xlfn.XLOOKUP($A191,My_Audit!$A:$A,My_Audit!F:F,""),
_xlfn.IFS(_xlpm.MyAuditVal&lt;&gt;"",_xlpm.MyAuditVal,_xlpm.MacVal&lt;&gt;"",_xlpm.MacVal,_xlpm.CSVVal&lt;&gt;"",_xlpm.CSVVal
)),"")</f>
        <v/>
      </c>
      <c r="H191" s="45" t="str">
        <f>_xlfn.XLOOKUP(A191,Output_Mac!A:A,Output_Mac!I:I,"")</f>
        <v/>
      </c>
      <c r="I191" s="45" t="str" cm="1">
        <f t="array" ref="I191">IFERROR(_xlfn.LET(
_xlpm.CSVVal,_xlfn.XLOOKUP($A191,CSV!$A:$A,CSV!H:H,""),
_xlpm.MacVal,_xlfn.XLOOKUP($A191,Output_Mac!$A:$A,Output_Mac!J:J,""),
_xlpm.MyAuditVal,_xlfn.XLOOKUP($A191,My_Audit!$A:$A,My_Audit!H:H,""),
_xlfn.IFS(_xlpm.MyAuditVal&lt;&gt;"",UPPER(_xlpm.MyAuditVal),_xlpm.MacVal&lt;&gt;"",_xlpm.MacVal,_xlpm.CSVVal&lt;&gt;"",_xlpm.CSVVal
)),"")</f>
        <v/>
      </c>
      <c r="J191" s="45" t="str" cm="1">
        <f t="array" ref="J191">IFERROR(_xlfn.LET(
_xlpm.CSVVal,_xlfn.XLOOKUP($A191,CSV!$A:$A,CSV!J:J,""),
_xlpm.MacVal,_xlfn.XLOOKUP($A191,Output_Mac!$A:$A,Output_Mac!K:K,""),
_xlpm.MyAuditVal,_xlfn.XLOOKUP($A191,My_Audit!$A:$A,My_Audit!I:I,""),
_xlfn.IFS(_xlpm.MyAuditVal&lt;&gt;"",UPPER(_xlpm.MyAuditVal),_xlpm.MacVal&lt;&gt;"",_xlpm.MacVal,_xlpm.CSVVal&lt;&gt;"",_xlpm.CSVVal
)),"")</f>
        <v/>
      </c>
      <c r="K191" s="45" t="str" cm="1">
        <f t="array" ref="K191">IFERROR(_xlfn.LET(
_xlpm.CSVVal,_xlfn.XLOOKUP($A191,CSV!$A:$A,CSV!N:N,""),
_xlpm.MacVal,_xlfn.XLOOKUP($A191,Output_Mac!$A:$A,Output_Mac!L:L,""),
_xlpm.MyAuditVal,_xlfn.XLOOKUP($A191,My_Audit!$A:$A,My_Audit!J:J,""),
_xlfn.IFS(_xlpm.MyAuditVal&lt;&gt;"",UPPER(_xlpm.MyAuditVal),_xlpm.MacVal&lt;&gt;"",_xlpm.MacVal,_xlpm.CSVVal&lt;&gt;"",_xlpm.CSVVal
)),"")</f>
        <v/>
      </c>
      <c r="L191" s="46" t="str" cm="1">
        <f t="array" ref="L191">IFERROR(_xlfn.LET(
_xlpm.CSVVal,_xlfn.XLOOKUP($A191,CSV!$A:$A,CSV!Q:Q,""),
_xlpm.MacVal,_xlfn.XLOOKUP($A191,Output_Mac!$A:$A,Output_Mac!M:M,""),
_xlpm.MyAuditVal,_xlfn.XLOOKUP($A191,My_Audit!$A:$A,My_Audit!K:K,""),
_xlfn.IFS(_xlpm.MyAuditVal&lt;&gt;"",UPPER(_xlpm.MyAuditVal),_xlpm.MacVal&lt;&gt;"",_xlpm.MacVal,_xlpm.CSVVal&lt;&gt;"",_xlpm.CSVVal
)),"")</f>
        <v/>
      </c>
      <c r="M191" s="45" t="str">
        <f>_xlfn.LET(
    _xlpm.CSVVal, _xlfn.XLOOKUP($A191, CSV!$A:$A, CSV!AE:AE, ""),
    _xlpm.MacVal, _xlfn.XLOOKUP($A191, Output_Mac!$A:$A, Output_Mac!S:S, ""),
    _xlpm.MyAuditVal, _xlfn.XLOOKUP($A191, My_Audit!$A:$A, My_Audit!N:N, ""),
    _xlfn.TEXTJOIN(", ", TRUE, _xlpm.MyAuditVal, _xlpm.MacVal, _xlpm.CSVVal)
)</f>
        <v/>
      </c>
      <c r="N191" s="45" t="str" cm="1">
        <f t="array" ref="N191">IFERROR(_xlfn.LET(
_xlpm.CSVVal,_xlfn.XLOOKUP($A191,CSV!$A:$A,CSV!AG:AG,""),
_xlpm.MacVal,_xlfn.XLOOKUP($A191,Output_Mac!$A:$A,Output_Mac!U:U,""),
_xlpm.MyAuditVal,_xlfn.XLOOKUP($A191,My_Audit!$A:$A,My_Audit!O:O,""),
_xlfn.IFS(_xlpm.MyAuditVal&lt;&gt;"",UPPER(_xlpm.MyAuditVal),_xlpm.MacVal&lt;&gt;"",_xlpm.MacVal,_xlpm.CSVVal&lt;&gt;"",_xlpm.CSVVal
)),"")</f>
        <v/>
      </c>
      <c r="O191" s="46" t="str">
        <f>_xlfn.XLOOKUP(C191,My_Audit!B:B,My_Audit!P:P,"")&amp;""</f>
        <v/>
      </c>
      <c r="P191" s="45"/>
      <c r="Q191" s="46" t="str">
        <f>IF(LEFT(N191,4)="Pass","Nist SP 800-88",My_Audit!R191)&amp;""</f>
        <v/>
      </c>
      <c r="R191" s="45"/>
      <c r="S191" s="45"/>
      <c r="T191" s="46" t="str">
        <f>_xlfn.XLOOKUP(E191,Models!I:I,Models!J:J,"")</f>
        <v/>
      </c>
      <c r="U191" s="45"/>
      <c r="V191" s="45"/>
      <c r="W191" s="38"/>
    </row>
    <row r="192" spans="1:23">
      <c r="A192" s="45" t="str">
        <f>_xlfn.TEXTJOIN("",TRUE,Input!$B$2,ROW(My_Audit!A191))</f>
        <v>XX191</v>
      </c>
      <c r="B192" s="45" t="str">
        <f>_xlfn.TEXTJOIN("-",TRUE,"ITD",Input!$A$2,A192)</f>
        <v>ITD-SHRXXX-XX191</v>
      </c>
      <c r="C192" s="45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46" t="str" cm="1">
        <f t="array" ref="D192">IFERROR(_xlfn.LET(
_xlpm.CSVVal,_xlfn.XLOOKUP($A192,CSV!$A:$A,CSV!C:C,""),
_xlpm.MacVal,_xlfn.XLOOKUP($A192,Output_Mac!$A:$A,Output_Mac!D:D,""),
_xlpm.MyAuditVal,_xlfn.XLOOKUP($A192,My_Audit!$A:$A,My_Audit!C:C,""),
_xlfn.IFS(_xlpm.MyAuditVal&lt;&gt;"",UPPER(_xlpm.MyAuditVal),_xlpm.MacVal&lt;&gt;"",_xlpm.MacVal,_xlpm.CSVVal&lt;&gt;"",_xlpm.CSVVal
)),"")</f>
        <v/>
      </c>
      <c r="E192" s="46" t="str" cm="1">
        <f t="array" ref="E192">IFERROR(_xlfn.LET(
_xlpm.CSVVal,_xlfn.XLOOKUP($A192,CSV!$A:$A,CSV!E:E,""),
_xlpm.MacVal,_xlfn.XLOOKUP($A192,Output_Mac!$A:$A,Output_Mac!C:C,""),
_xlpm.MyAuditVal,_xlfn.XLOOKUP($A192,My_Audit!$A:$A,My_Audit!D:D,""),
_xlfn.IFS(_xlpm.MyAuditVal&lt;&gt;"",_xlpm.MyAuditVal,_xlpm.MacVal&lt;&gt;"",_xlpm.MacVal,_xlpm.CSVVal&lt;&gt;"",_xlpm.CSVVal
)),"")</f>
        <v/>
      </c>
      <c r="F192" s="45" t="str" cm="1">
        <f t="array" ref="F192">IFERROR(_xlfn.LET(
_xlpm.CSVVal,_xlfn.XLOOKUP($A192,CSV!$A:$A,CSV!F:F,""),
_xlpm.MacVal,_xlfn.XLOOKUP($A192,Output_Mac!$A:$A,Output_Mac!F:F,""),
_xlpm.MyAuditVal,_xlfn.XLOOKUP($A192,My_Audit!$A:$A,My_Audit!E:E,""),
_xlfn.IFS(_xlpm.MyAuditVal&lt;&gt;"",_xlpm.MyAuditVal,_xlpm.MacVal&lt;&gt;"",_xlpm.MacVal,_xlpm.CSVVal&lt;&gt;"",PROPER(_xlpm.CSVVal)
)),"")</f>
        <v/>
      </c>
      <c r="G192" s="45" t="str" cm="1">
        <f t="array" ref="G192">IFERROR(_xlfn.LET(
_xlpm.CSVVal,_xlfn.XLOOKUP($A192,CSV!$A:$A,CSV!G:G,""),
_xlpm.MacVal,_xlfn.XLOOKUP($A192,Output_Mac!$A:$A,Output_Mac!H:H,""),
_xlpm.MyAuditVal,_xlfn.XLOOKUP($A192,My_Audit!$A:$A,My_Audit!F:F,""),
_xlfn.IFS(_xlpm.MyAuditVal&lt;&gt;"",_xlpm.MyAuditVal,_xlpm.MacVal&lt;&gt;"",_xlpm.MacVal,_xlpm.CSVVal&lt;&gt;"",_xlpm.CSVVal
)),"")</f>
        <v/>
      </c>
      <c r="H192" s="45" t="str">
        <f>_xlfn.XLOOKUP(A192,Output_Mac!A:A,Output_Mac!I:I,"")</f>
        <v/>
      </c>
      <c r="I192" s="45" t="str" cm="1">
        <f t="array" ref="I192">IFERROR(_xlfn.LET(
_xlpm.CSVVal,_xlfn.XLOOKUP($A192,CSV!$A:$A,CSV!H:H,""),
_xlpm.MacVal,_xlfn.XLOOKUP($A192,Output_Mac!$A:$A,Output_Mac!J:J,""),
_xlpm.MyAuditVal,_xlfn.XLOOKUP($A192,My_Audit!$A:$A,My_Audit!H:H,""),
_xlfn.IFS(_xlpm.MyAuditVal&lt;&gt;"",UPPER(_xlpm.MyAuditVal),_xlpm.MacVal&lt;&gt;"",_xlpm.MacVal,_xlpm.CSVVal&lt;&gt;"",_xlpm.CSVVal
)),"")</f>
        <v/>
      </c>
      <c r="J192" s="45" t="str" cm="1">
        <f t="array" ref="J192">IFERROR(_xlfn.LET(
_xlpm.CSVVal,_xlfn.XLOOKUP($A192,CSV!$A:$A,CSV!J:J,""),
_xlpm.MacVal,_xlfn.XLOOKUP($A192,Output_Mac!$A:$A,Output_Mac!K:K,""),
_xlpm.MyAuditVal,_xlfn.XLOOKUP($A192,My_Audit!$A:$A,My_Audit!I:I,""),
_xlfn.IFS(_xlpm.MyAuditVal&lt;&gt;"",UPPER(_xlpm.MyAuditVal),_xlpm.MacVal&lt;&gt;"",_xlpm.MacVal,_xlpm.CSVVal&lt;&gt;"",_xlpm.CSVVal
)),"")</f>
        <v/>
      </c>
      <c r="K192" s="45" t="str" cm="1">
        <f t="array" ref="K192">IFERROR(_xlfn.LET(
_xlpm.CSVVal,_xlfn.XLOOKUP($A192,CSV!$A:$A,CSV!N:N,""),
_xlpm.MacVal,_xlfn.XLOOKUP($A192,Output_Mac!$A:$A,Output_Mac!L:L,""),
_xlpm.MyAuditVal,_xlfn.XLOOKUP($A192,My_Audit!$A:$A,My_Audit!J:J,""),
_xlfn.IFS(_xlpm.MyAuditVal&lt;&gt;"",UPPER(_xlpm.MyAuditVal),_xlpm.MacVal&lt;&gt;"",_xlpm.MacVal,_xlpm.CSVVal&lt;&gt;"",_xlpm.CSVVal
)),"")</f>
        <v/>
      </c>
      <c r="L192" s="46" t="str" cm="1">
        <f t="array" ref="L192">IFERROR(_xlfn.LET(
_xlpm.CSVVal,_xlfn.XLOOKUP($A192,CSV!$A:$A,CSV!Q:Q,""),
_xlpm.MacVal,_xlfn.XLOOKUP($A192,Output_Mac!$A:$A,Output_Mac!M:M,""),
_xlpm.MyAuditVal,_xlfn.XLOOKUP($A192,My_Audit!$A:$A,My_Audit!K:K,""),
_xlfn.IFS(_xlpm.MyAuditVal&lt;&gt;"",UPPER(_xlpm.MyAuditVal),_xlpm.MacVal&lt;&gt;"",_xlpm.MacVal,_xlpm.CSVVal&lt;&gt;"",_xlpm.CSVVal
)),"")</f>
        <v/>
      </c>
      <c r="M192" s="45" t="str">
        <f>_xlfn.LET(
    _xlpm.CSVVal, _xlfn.XLOOKUP($A192, CSV!$A:$A, CSV!AE:AE, ""),
    _xlpm.MacVal, _xlfn.XLOOKUP($A192, Output_Mac!$A:$A, Output_Mac!S:S, ""),
    _xlpm.MyAuditVal, _xlfn.XLOOKUP($A192, My_Audit!$A:$A, My_Audit!N:N, ""),
    _xlfn.TEXTJOIN(", ", TRUE, _xlpm.MyAuditVal, _xlpm.MacVal, _xlpm.CSVVal)
)</f>
        <v/>
      </c>
      <c r="N192" s="45" t="str" cm="1">
        <f t="array" ref="N192">IFERROR(_xlfn.LET(
_xlpm.CSVVal,_xlfn.XLOOKUP($A192,CSV!$A:$A,CSV!AG:AG,""),
_xlpm.MacVal,_xlfn.XLOOKUP($A192,Output_Mac!$A:$A,Output_Mac!U:U,""),
_xlpm.MyAuditVal,_xlfn.XLOOKUP($A192,My_Audit!$A:$A,My_Audit!O:O,""),
_xlfn.IFS(_xlpm.MyAuditVal&lt;&gt;"",UPPER(_xlpm.MyAuditVal),_xlpm.MacVal&lt;&gt;"",_xlpm.MacVal,_xlpm.CSVVal&lt;&gt;"",_xlpm.CSVVal
)),"")</f>
        <v/>
      </c>
      <c r="O192" s="46" t="str">
        <f>_xlfn.XLOOKUP(C192,My_Audit!B:B,My_Audit!P:P,"")&amp;""</f>
        <v/>
      </c>
      <c r="P192" s="45"/>
      <c r="Q192" s="46" t="str">
        <f>IF(LEFT(N192,4)="Pass","Nist SP 800-88",My_Audit!R192)&amp;""</f>
        <v/>
      </c>
      <c r="R192" s="45"/>
      <c r="S192" s="45"/>
      <c r="T192" s="46" t="str">
        <f>_xlfn.XLOOKUP(E192,Models!I:I,Models!J:J,"")</f>
        <v/>
      </c>
      <c r="U192" s="45"/>
      <c r="V192" s="45"/>
      <c r="W192" s="38"/>
    </row>
    <row r="193" spans="1:23">
      <c r="A193" s="45" t="str">
        <f>_xlfn.TEXTJOIN("",TRUE,Input!$B$2,ROW(My_Audit!A192))</f>
        <v>XX192</v>
      </c>
      <c r="B193" s="45" t="str">
        <f>_xlfn.TEXTJOIN("-",TRUE,"ITD",Input!$A$2,A193)</f>
        <v>ITD-SHRXXX-XX192</v>
      </c>
      <c r="C193" s="45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46" t="str" cm="1">
        <f t="array" ref="D193">IFERROR(_xlfn.LET(
_xlpm.CSVVal,_xlfn.XLOOKUP($A193,CSV!$A:$A,CSV!C:C,""),
_xlpm.MacVal,_xlfn.XLOOKUP($A193,Output_Mac!$A:$A,Output_Mac!D:D,""),
_xlpm.MyAuditVal,_xlfn.XLOOKUP($A193,My_Audit!$A:$A,My_Audit!C:C,""),
_xlfn.IFS(_xlpm.MyAuditVal&lt;&gt;"",UPPER(_xlpm.MyAuditVal),_xlpm.MacVal&lt;&gt;"",_xlpm.MacVal,_xlpm.CSVVal&lt;&gt;"",_xlpm.CSVVal
)),"")</f>
        <v/>
      </c>
      <c r="E193" s="46" t="str" cm="1">
        <f t="array" ref="E193">IFERROR(_xlfn.LET(
_xlpm.CSVVal,_xlfn.XLOOKUP($A193,CSV!$A:$A,CSV!E:E,""),
_xlpm.MacVal,_xlfn.XLOOKUP($A193,Output_Mac!$A:$A,Output_Mac!C:C,""),
_xlpm.MyAuditVal,_xlfn.XLOOKUP($A193,My_Audit!$A:$A,My_Audit!D:D,""),
_xlfn.IFS(_xlpm.MyAuditVal&lt;&gt;"",_xlpm.MyAuditVal,_xlpm.MacVal&lt;&gt;"",_xlpm.MacVal,_xlpm.CSVVal&lt;&gt;"",_xlpm.CSVVal
)),"")</f>
        <v/>
      </c>
      <c r="F193" s="45" t="str" cm="1">
        <f t="array" ref="F193">IFERROR(_xlfn.LET(
_xlpm.CSVVal,_xlfn.XLOOKUP($A193,CSV!$A:$A,CSV!F:F,""),
_xlpm.MacVal,_xlfn.XLOOKUP($A193,Output_Mac!$A:$A,Output_Mac!F:F,""),
_xlpm.MyAuditVal,_xlfn.XLOOKUP($A193,My_Audit!$A:$A,My_Audit!E:E,""),
_xlfn.IFS(_xlpm.MyAuditVal&lt;&gt;"",_xlpm.MyAuditVal,_xlpm.MacVal&lt;&gt;"",_xlpm.MacVal,_xlpm.CSVVal&lt;&gt;"",PROPER(_xlpm.CSVVal)
)),"")</f>
        <v/>
      </c>
      <c r="G193" s="45" t="str" cm="1">
        <f t="array" ref="G193">IFERROR(_xlfn.LET(
_xlpm.CSVVal,_xlfn.XLOOKUP($A193,CSV!$A:$A,CSV!G:G,""),
_xlpm.MacVal,_xlfn.XLOOKUP($A193,Output_Mac!$A:$A,Output_Mac!H:H,""),
_xlpm.MyAuditVal,_xlfn.XLOOKUP($A193,My_Audit!$A:$A,My_Audit!F:F,""),
_xlfn.IFS(_xlpm.MyAuditVal&lt;&gt;"",_xlpm.MyAuditVal,_xlpm.MacVal&lt;&gt;"",_xlpm.MacVal,_xlpm.CSVVal&lt;&gt;"",_xlpm.CSVVal
)),"")</f>
        <v/>
      </c>
      <c r="H193" s="45" t="str">
        <f>_xlfn.XLOOKUP(A193,Output_Mac!A:A,Output_Mac!I:I,"")</f>
        <v/>
      </c>
      <c r="I193" s="45" t="str" cm="1">
        <f t="array" ref="I193">IFERROR(_xlfn.LET(
_xlpm.CSVVal,_xlfn.XLOOKUP($A193,CSV!$A:$A,CSV!H:H,""),
_xlpm.MacVal,_xlfn.XLOOKUP($A193,Output_Mac!$A:$A,Output_Mac!J:J,""),
_xlpm.MyAuditVal,_xlfn.XLOOKUP($A193,My_Audit!$A:$A,My_Audit!H:H,""),
_xlfn.IFS(_xlpm.MyAuditVal&lt;&gt;"",UPPER(_xlpm.MyAuditVal),_xlpm.MacVal&lt;&gt;"",_xlpm.MacVal,_xlpm.CSVVal&lt;&gt;"",_xlpm.CSVVal
)),"")</f>
        <v/>
      </c>
      <c r="J193" s="45" t="str" cm="1">
        <f t="array" ref="J193">IFERROR(_xlfn.LET(
_xlpm.CSVVal,_xlfn.XLOOKUP($A193,CSV!$A:$A,CSV!J:J,""),
_xlpm.MacVal,_xlfn.XLOOKUP($A193,Output_Mac!$A:$A,Output_Mac!K:K,""),
_xlpm.MyAuditVal,_xlfn.XLOOKUP($A193,My_Audit!$A:$A,My_Audit!I:I,""),
_xlfn.IFS(_xlpm.MyAuditVal&lt;&gt;"",UPPER(_xlpm.MyAuditVal),_xlpm.MacVal&lt;&gt;"",_xlpm.MacVal,_xlpm.CSVVal&lt;&gt;"",_xlpm.CSVVal
)),"")</f>
        <v/>
      </c>
      <c r="K193" s="45" t="str" cm="1">
        <f t="array" ref="K193">IFERROR(_xlfn.LET(
_xlpm.CSVVal,_xlfn.XLOOKUP($A193,CSV!$A:$A,CSV!N:N,""),
_xlpm.MacVal,_xlfn.XLOOKUP($A193,Output_Mac!$A:$A,Output_Mac!L:L,""),
_xlpm.MyAuditVal,_xlfn.XLOOKUP($A193,My_Audit!$A:$A,My_Audit!J:J,""),
_xlfn.IFS(_xlpm.MyAuditVal&lt;&gt;"",UPPER(_xlpm.MyAuditVal),_xlpm.MacVal&lt;&gt;"",_xlpm.MacVal,_xlpm.CSVVal&lt;&gt;"",_xlpm.CSVVal
)),"")</f>
        <v/>
      </c>
      <c r="L193" s="46" t="str" cm="1">
        <f t="array" ref="L193">IFERROR(_xlfn.LET(
_xlpm.CSVVal,_xlfn.XLOOKUP($A193,CSV!$A:$A,CSV!Q:Q,""),
_xlpm.MacVal,_xlfn.XLOOKUP($A193,Output_Mac!$A:$A,Output_Mac!M:M,""),
_xlpm.MyAuditVal,_xlfn.XLOOKUP($A193,My_Audit!$A:$A,My_Audit!K:K,""),
_xlfn.IFS(_xlpm.MyAuditVal&lt;&gt;"",UPPER(_xlpm.MyAuditVal),_xlpm.MacVal&lt;&gt;"",_xlpm.MacVal,_xlpm.CSVVal&lt;&gt;"",_xlpm.CSVVal
)),"")</f>
        <v/>
      </c>
      <c r="M193" s="45" t="str">
        <f>_xlfn.LET(
    _xlpm.CSVVal, _xlfn.XLOOKUP($A193, CSV!$A:$A, CSV!AE:AE, ""),
    _xlpm.MacVal, _xlfn.XLOOKUP($A193, Output_Mac!$A:$A, Output_Mac!S:S, ""),
    _xlpm.MyAuditVal, _xlfn.XLOOKUP($A193, My_Audit!$A:$A, My_Audit!N:N, ""),
    _xlfn.TEXTJOIN(", ", TRUE, _xlpm.MyAuditVal, _xlpm.MacVal, _xlpm.CSVVal)
)</f>
        <v/>
      </c>
      <c r="N193" s="45" t="str" cm="1">
        <f t="array" ref="N193">IFERROR(_xlfn.LET(
_xlpm.CSVVal,_xlfn.XLOOKUP($A193,CSV!$A:$A,CSV!AG:AG,""),
_xlpm.MacVal,_xlfn.XLOOKUP($A193,Output_Mac!$A:$A,Output_Mac!U:U,""),
_xlpm.MyAuditVal,_xlfn.XLOOKUP($A193,My_Audit!$A:$A,My_Audit!O:O,""),
_xlfn.IFS(_xlpm.MyAuditVal&lt;&gt;"",UPPER(_xlpm.MyAuditVal),_xlpm.MacVal&lt;&gt;"",_xlpm.MacVal,_xlpm.CSVVal&lt;&gt;"",_xlpm.CSVVal
)),"")</f>
        <v/>
      </c>
      <c r="O193" s="46" t="str">
        <f>_xlfn.XLOOKUP(C193,My_Audit!B:B,My_Audit!P:P,"")&amp;""</f>
        <v/>
      </c>
      <c r="P193" s="45"/>
      <c r="Q193" s="46" t="str">
        <f>IF(LEFT(N193,4)="Pass","Nist SP 800-88",My_Audit!R193)&amp;""</f>
        <v/>
      </c>
      <c r="R193" s="45"/>
      <c r="S193" s="45"/>
      <c r="T193" s="46" t="str">
        <f>_xlfn.XLOOKUP(E193,Models!I:I,Models!J:J,"")</f>
        <v/>
      </c>
      <c r="U193" s="45"/>
      <c r="V193" s="45"/>
      <c r="W193" s="38"/>
    </row>
    <row r="194" spans="1:23">
      <c r="A194" s="45" t="str">
        <f>_xlfn.TEXTJOIN("",TRUE,Input!$B$2,ROW(My_Audit!A193))</f>
        <v>XX193</v>
      </c>
      <c r="B194" s="45" t="str">
        <f>_xlfn.TEXTJOIN("-",TRUE,"ITD",Input!$A$2,A194)</f>
        <v>ITD-SHRXXX-XX193</v>
      </c>
      <c r="C194" s="45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46" t="str" cm="1">
        <f t="array" ref="D194">IFERROR(_xlfn.LET(
_xlpm.CSVVal,_xlfn.XLOOKUP($A194,CSV!$A:$A,CSV!C:C,""),
_xlpm.MacVal,_xlfn.XLOOKUP($A194,Output_Mac!$A:$A,Output_Mac!D:D,""),
_xlpm.MyAuditVal,_xlfn.XLOOKUP($A194,My_Audit!$A:$A,My_Audit!C:C,""),
_xlfn.IFS(_xlpm.MyAuditVal&lt;&gt;"",UPPER(_xlpm.MyAuditVal),_xlpm.MacVal&lt;&gt;"",_xlpm.MacVal,_xlpm.CSVVal&lt;&gt;"",_xlpm.CSVVal
)),"")</f>
        <v/>
      </c>
      <c r="E194" s="46" t="str" cm="1">
        <f t="array" ref="E194">IFERROR(_xlfn.LET(
_xlpm.CSVVal,_xlfn.XLOOKUP($A194,CSV!$A:$A,CSV!E:E,""),
_xlpm.MacVal,_xlfn.XLOOKUP($A194,Output_Mac!$A:$A,Output_Mac!C:C,""),
_xlpm.MyAuditVal,_xlfn.XLOOKUP($A194,My_Audit!$A:$A,My_Audit!D:D,""),
_xlfn.IFS(_xlpm.MyAuditVal&lt;&gt;"",_xlpm.MyAuditVal,_xlpm.MacVal&lt;&gt;"",_xlpm.MacVal,_xlpm.CSVVal&lt;&gt;"",_xlpm.CSVVal
)),"")</f>
        <v/>
      </c>
      <c r="F194" s="45" t="str" cm="1">
        <f t="array" ref="F194">IFERROR(_xlfn.LET(
_xlpm.CSVVal,_xlfn.XLOOKUP($A194,CSV!$A:$A,CSV!F:F,""),
_xlpm.MacVal,_xlfn.XLOOKUP($A194,Output_Mac!$A:$A,Output_Mac!F:F,""),
_xlpm.MyAuditVal,_xlfn.XLOOKUP($A194,My_Audit!$A:$A,My_Audit!E:E,""),
_xlfn.IFS(_xlpm.MyAuditVal&lt;&gt;"",_xlpm.MyAuditVal,_xlpm.MacVal&lt;&gt;"",_xlpm.MacVal,_xlpm.CSVVal&lt;&gt;"",PROPER(_xlpm.CSVVal)
)),"")</f>
        <v/>
      </c>
      <c r="G194" s="45" t="str" cm="1">
        <f t="array" ref="G194">IFERROR(_xlfn.LET(
_xlpm.CSVVal,_xlfn.XLOOKUP($A194,CSV!$A:$A,CSV!G:G,""),
_xlpm.MacVal,_xlfn.XLOOKUP($A194,Output_Mac!$A:$A,Output_Mac!H:H,""),
_xlpm.MyAuditVal,_xlfn.XLOOKUP($A194,My_Audit!$A:$A,My_Audit!F:F,""),
_xlfn.IFS(_xlpm.MyAuditVal&lt;&gt;"",_xlpm.MyAuditVal,_xlpm.MacVal&lt;&gt;"",_xlpm.MacVal,_xlpm.CSVVal&lt;&gt;"",_xlpm.CSVVal
)),"")</f>
        <v/>
      </c>
      <c r="H194" s="45" t="str">
        <f>_xlfn.XLOOKUP(A194,Output_Mac!A:A,Output_Mac!I:I,"")</f>
        <v/>
      </c>
      <c r="I194" s="45" t="str" cm="1">
        <f t="array" ref="I194">IFERROR(_xlfn.LET(
_xlpm.CSVVal,_xlfn.XLOOKUP($A194,CSV!$A:$A,CSV!H:H,""),
_xlpm.MacVal,_xlfn.XLOOKUP($A194,Output_Mac!$A:$A,Output_Mac!J:J,""),
_xlpm.MyAuditVal,_xlfn.XLOOKUP($A194,My_Audit!$A:$A,My_Audit!H:H,""),
_xlfn.IFS(_xlpm.MyAuditVal&lt;&gt;"",UPPER(_xlpm.MyAuditVal),_xlpm.MacVal&lt;&gt;"",_xlpm.MacVal,_xlpm.CSVVal&lt;&gt;"",_xlpm.CSVVal
)),"")</f>
        <v/>
      </c>
      <c r="J194" s="45" t="str" cm="1">
        <f t="array" ref="J194">IFERROR(_xlfn.LET(
_xlpm.CSVVal,_xlfn.XLOOKUP($A194,CSV!$A:$A,CSV!J:J,""),
_xlpm.MacVal,_xlfn.XLOOKUP($A194,Output_Mac!$A:$A,Output_Mac!K:K,""),
_xlpm.MyAuditVal,_xlfn.XLOOKUP($A194,My_Audit!$A:$A,My_Audit!I:I,""),
_xlfn.IFS(_xlpm.MyAuditVal&lt;&gt;"",UPPER(_xlpm.MyAuditVal),_xlpm.MacVal&lt;&gt;"",_xlpm.MacVal,_xlpm.CSVVal&lt;&gt;"",_xlpm.CSVVal
)),"")</f>
        <v/>
      </c>
      <c r="K194" s="45" t="str" cm="1">
        <f t="array" ref="K194">IFERROR(_xlfn.LET(
_xlpm.CSVVal,_xlfn.XLOOKUP($A194,CSV!$A:$A,CSV!N:N,""),
_xlpm.MacVal,_xlfn.XLOOKUP($A194,Output_Mac!$A:$A,Output_Mac!L:L,""),
_xlpm.MyAuditVal,_xlfn.XLOOKUP($A194,My_Audit!$A:$A,My_Audit!J:J,""),
_xlfn.IFS(_xlpm.MyAuditVal&lt;&gt;"",UPPER(_xlpm.MyAuditVal),_xlpm.MacVal&lt;&gt;"",_xlpm.MacVal,_xlpm.CSVVal&lt;&gt;"",_xlpm.CSVVal
)),"")</f>
        <v/>
      </c>
      <c r="L194" s="46" t="str" cm="1">
        <f t="array" ref="L194">IFERROR(_xlfn.LET(
_xlpm.CSVVal,_xlfn.XLOOKUP($A194,CSV!$A:$A,CSV!Q:Q,""),
_xlpm.MacVal,_xlfn.XLOOKUP($A194,Output_Mac!$A:$A,Output_Mac!M:M,""),
_xlpm.MyAuditVal,_xlfn.XLOOKUP($A194,My_Audit!$A:$A,My_Audit!K:K,""),
_xlfn.IFS(_xlpm.MyAuditVal&lt;&gt;"",UPPER(_xlpm.MyAuditVal),_xlpm.MacVal&lt;&gt;"",_xlpm.MacVal,_xlpm.CSVVal&lt;&gt;"",_xlpm.CSVVal
)),"")</f>
        <v/>
      </c>
      <c r="M194" s="45" t="str">
        <f>_xlfn.LET(
    _xlpm.CSVVal, _xlfn.XLOOKUP($A194, CSV!$A:$A, CSV!AE:AE, ""),
    _xlpm.MacVal, _xlfn.XLOOKUP($A194, Output_Mac!$A:$A, Output_Mac!S:S, ""),
    _xlpm.MyAuditVal, _xlfn.XLOOKUP($A194, My_Audit!$A:$A, My_Audit!N:N, ""),
    _xlfn.TEXTJOIN(", ", TRUE, _xlpm.MyAuditVal, _xlpm.MacVal, _xlpm.CSVVal)
)</f>
        <v/>
      </c>
      <c r="N194" s="45" t="str" cm="1">
        <f t="array" ref="N194">IFERROR(_xlfn.LET(
_xlpm.CSVVal,_xlfn.XLOOKUP($A194,CSV!$A:$A,CSV!AG:AG,""),
_xlpm.MacVal,_xlfn.XLOOKUP($A194,Output_Mac!$A:$A,Output_Mac!U:U,""),
_xlpm.MyAuditVal,_xlfn.XLOOKUP($A194,My_Audit!$A:$A,My_Audit!O:O,""),
_xlfn.IFS(_xlpm.MyAuditVal&lt;&gt;"",UPPER(_xlpm.MyAuditVal),_xlpm.MacVal&lt;&gt;"",_xlpm.MacVal,_xlpm.CSVVal&lt;&gt;"",_xlpm.CSVVal
)),"")</f>
        <v/>
      </c>
      <c r="O194" s="46" t="str">
        <f>_xlfn.XLOOKUP(C194,My_Audit!B:B,My_Audit!P:P,"")&amp;""</f>
        <v/>
      </c>
      <c r="P194" s="45"/>
      <c r="Q194" s="46" t="str">
        <f>IF(LEFT(N194,4)="Pass","Nist SP 800-88",My_Audit!R194)&amp;""</f>
        <v/>
      </c>
      <c r="R194" s="45"/>
      <c r="S194" s="45"/>
      <c r="T194" s="46" t="str">
        <f>_xlfn.XLOOKUP(E194,Models!I:I,Models!J:J,"")</f>
        <v/>
      </c>
      <c r="U194" s="45"/>
      <c r="V194" s="45"/>
      <c r="W194" s="38"/>
    </row>
    <row r="195" spans="1:23">
      <c r="A195" s="45" t="str">
        <f>_xlfn.TEXTJOIN("",TRUE,Input!$B$2,ROW(My_Audit!A194))</f>
        <v>XX194</v>
      </c>
      <c r="B195" s="45" t="str">
        <f>_xlfn.TEXTJOIN("-",TRUE,"ITD",Input!$A$2,A195)</f>
        <v>ITD-SHRXXX-XX194</v>
      </c>
      <c r="C195" s="45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46" t="str" cm="1">
        <f t="array" ref="D195">IFERROR(_xlfn.LET(
_xlpm.CSVVal,_xlfn.XLOOKUP($A195,CSV!$A:$A,CSV!C:C,""),
_xlpm.MacVal,_xlfn.XLOOKUP($A195,Output_Mac!$A:$A,Output_Mac!D:D,""),
_xlpm.MyAuditVal,_xlfn.XLOOKUP($A195,My_Audit!$A:$A,My_Audit!C:C,""),
_xlfn.IFS(_xlpm.MyAuditVal&lt;&gt;"",UPPER(_xlpm.MyAuditVal),_xlpm.MacVal&lt;&gt;"",_xlpm.MacVal,_xlpm.CSVVal&lt;&gt;"",_xlpm.CSVVal
)),"")</f>
        <v/>
      </c>
      <c r="E195" s="46" t="str" cm="1">
        <f t="array" ref="E195">IFERROR(_xlfn.LET(
_xlpm.CSVVal,_xlfn.XLOOKUP($A195,CSV!$A:$A,CSV!E:E,""),
_xlpm.MacVal,_xlfn.XLOOKUP($A195,Output_Mac!$A:$A,Output_Mac!C:C,""),
_xlpm.MyAuditVal,_xlfn.XLOOKUP($A195,My_Audit!$A:$A,My_Audit!D:D,""),
_xlfn.IFS(_xlpm.MyAuditVal&lt;&gt;"",_xlpm.MyAuditVal,_xlpm.MacVal&lt;&gt;"",_xlpm.MacVal,_xlpm.CSVVal&lt;&gt;"",_xlpm.CSVVal
)),"")</f>
        <v/>
      </c>
      <c r="F195" s="45" t="str" cm="1">
        <f t="array" ref="F195">IFERROR(_xlfn.LET(
_xlpm.CSVVal,_xlfn.XLOOKUP($A195,CSV!$A:$A,CSV!F:F,""),
_xlpm.MacVal,_xlfn.XLOOKUP($A195,Output_Mac!$A:$A,Output_Mac!F:F,""),
_xlpm.MyAuditVal,_xlfn.XLOOKUP($A195,My_Audit!$A:$A,My_Audit!E:E,""),
_xlfn.IFS(_xlpm.MyAuditVal&lt;&gt;"",_xlpm.MyAuditVal,_xlpm.MacVal&lt;&gt;"",_xlpm.MacVal,_xlpm.CSVVal&lt;&gt;"",PROPER(_xlpm.CSVVal)
)),"")</f>
        <v/>
      </c>
      <c r="G195" s="45" t="str" cm="1">
        <f t="array" ref="G195">IFERROR(_xlfn.LET(
_xlpm.CSVVal,_xlfn.XLOOKUP($A195,CSV!$A:$A,CSV!G:G,""),
_xlpm.MacVal,_xlfn.XLOOKUP($A195,Output_Mac!$A:$A,Output_Mac!H:H,""),
_xlpm.MyAuditVal,_xlfn.XLOOKUP($A195,My_Audit!$A:$A,My_Audit!F:F,""),
_xlfn.IFS(_xlpm.MyAuditVal&lt;&gt;"",_xlpm.MyAuditVal,_xlpm.MacVal&lt;&gt;"",_xlpm.MacVal,_xlpm.CSVVal&lt;&gt;"",_xlpm.CSVVal
)),"")</f>
        <v/>
      </c>
      <c r="H195" s="45" t="str">
        <f>_xlfn.XLOOKUP(A195,Output_Mac!A:A,Output_Mac!I:I,"")</f>
        <v/>
      </c>
      <c r="I195" s="45" t="str" cm="1">
        <f t="array" ref="I195">IFERROR(_xlfn.LET(
_xlpm.CSVVal,_xlfn.XLOOKUP($A195,CSV!$A:$A,CSV!H:H,""),
_xlpm.MacVal,_xlfn.XLOOKUP($A195,Output_Mac!$A:$A,Output_Mac!J:J,""),
_xlpm.MyAuditVal,_xlfn.XLOOKUP($A195,My_Audit!$A:$A,My_Audit!H:H,""),
_xlfn.IFS(_xlpm.MyAuditVal&lt;&gt;"",UPPER(_xlpm.MyAuditVal),_xlpm.MacVal&lt;&gt;"",_xlpm.MacVal,_xlpm.CSVVal&lt;&gt;"",_xlpm.CSVVal
)),"")</f>
        <v/>
      </c>
      <c r="J195" s="45" t="str" cm="1">
        <f t="array" ref="J195">IFERROR(_xlfn.LET(
_xlpm.CSVVal,_xlfn.XLOOKUP($A195,CSV!$A:$A,CSV!J:J,""),
_xlpm.MacVal,_xlfn.XLOOKUP($A195,Output_Mac!$A:$A,Output_Mac!K:K,""),
_xlpm.MyAuditVal,_xlfn.XLOOKUP($A195,My_Audit!$A:$A,My_Audit!I:I,""),
_xlfn.IFS(_xlpm.MyAuditVal&lt;&gt;"",UPPER(_xlpm.MyAuditVal),_xlpm.MacVal&lt;&gt;"",_xlpm.MacVal,_xlpm.CSVVal&lt;&gt;"",_xlpm.CSVVal
)),"")</f>
        <v/>
      </c>
      <c r="K195" s="45" t="str" cm="1">
        <f t="array" ref="K195">IFERROR(_xlfn.LET(
_xlpm.CSVVal,_xlfn.XLOOKUP($A195,CSV!$A:$A,CSV!N:N,""),
_xlpm.MacVal,_xlfn.XLOOKUP($A195,Output_Mac!$A:$A,Output_Mac!L:L,""),
_xlpm.MyAuditVal,_xlfn.XLOOKUP($A195,My_Audit!$A:$A,My_Audit!J:J,""),
_xlfn.IFS(_xlpm.MyAuditVal&lt;&gt;"",UPPER(_xlpm.MyAuditVal),_xlpm.MacVal&lt;&gt;"",_xlpm.MacVal,_xlpm.CSVVal&lt;&gt;"",_xlpm.CSVVal
)),"")</f>
        <v/>
      </c>
      <c r="L195" s="46" t="str" cm="1">
        <f t="array" ref="L195">IFERROR(_xlfn.LET(
_xlpm.CSVVal,_xlfn.XLOOKUP($A195,CSV!$A:$A,CSV!Q:Q,""),
_xlpm.MacVal,_xlfn.XLOOKUP($A195,Output_Mac!$A:$A,Output_Mac!M:M,""),
_xlpm.MyAuditVal,_xlfn.XLOOKUP($A195,My_Audit!$A:$A,My_Audit!K:K,""),
_xlfn.IFS(_xlpm.MyAuditVal&lt;&gt;"",UPPER(_xlpm.MyAuditVal),_xlpm.MacVal&lt;&gt;"",_xlpm.MacVal,_xlpm.CSVVal&lt;&gt;"",_xlpm.CSVVal
)),"")</f>
        <v/>
      </c>
      <c r="M195" s="45" t="str">
        <f>_xlfn.LET(
    _xlpm.CSVVal, _xlfn.XLOOKUP($A195, CSV!$A:$A, CSV!AE:AE, ""),
    _xlpm.MacVal, _xlfn.XLOOKUP($A195, Output_Mac!$A:$A, Output_Mac!S:S, ""),
    _xlpm.MyAuditVal, _xlfn.XLOOKUP($A195, My_Audit!$A:$A, My_Audit!N:N, ""),
    _xlfn.TEXTJOIN(", ", TRUE, _xlpm.MyAuditVal, _xlpm.MacVal, _xlpm.CSVVal)
)</f>
        <v/>
      </c>
      <c r="N195" s="45" t="str" cm="1">
        <f t="array" ref="N195">IFERROR(_xlfn.LET(
_xlpm.CSVVal,_xlfn.XLOOKUP($A195,CSV!$A:$A,CSV!AG:AG,""),
_xlpm.MacVal,_xlfn.XLOOKUP($A195,Output_Mac!$A:$A,Output_Mac!U:U,""),
_xlpm.MyAuditVal,_xlfn.XLOOKUP($A195,My_Audit!$A:$A,My_Audit!O:O,""),
_xlfn.IFS(_xlpm.MyAuditVal&lt;&gt;"",UPPER(_xlpm.MyAuditVal),_xlpm.MacVal&lt;&gt;"",_xlpm.MacVal,_xlpm.CSVVal&lt;&gt;"",_xlpm.CSVVal
)),"")</f>
        <v/>
      </c>
      <c r="O195" s="46" t="str">
        <f>_xlfn.XLOOKUP(C195,My_Audit!B:B,My_Audit!P:P,"")&amp;""</f>
        <v/>
      </c>
      <c r="P195" s="45"/>
      <c r="Q195" s="46" t="str">
        <f>IF(LEFT(N195,4)="Pass","Nist SP 800-88",My_Audit!R195)&amp;""</f>
        <v/>
      </c>
      <c r="R195" s="45"/>
      <c r="S195" s="45"/>
      <c r="T195" s="46" t="str">
        <f>_xlfn.XLOOKUP(E195,Models!I:I,Models!J:J,"")</f>
        <v/>
      </c>
      <c r="U195" s="45"/>
      <c r="V195" s="45"/>
      <c r="W195" s="38"/>
    </row>
    <row r="196" spans="1:23">
      <c r="A196" s="45" t="str">
        <f>_xlfn.TEXTJOIN("",TRUE,Input!$B$2,ROW(My_Audit!A195))</f>
        <v>XX195</v>
      </c>
      <c r="B196" s="45" t="str">
        <f>_xlfn.TEXTJOIN("-",TRUE,"ITD",Input!$A$2,A196)</f>
        <v>ITD-SHRXXX-XX195</v>
      </c>
      <c r="C196" s="45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46" t="str" cm="1">
        <f t="array" ref="D196">IFERROR(_xlfn.LET(
_xlpm.CSVVal,_xlfn.XLOOKUP($A196,CSV!$A:$A,CSV!C:C,""),
_xlpm.MacVal,_xlfn.XLOOKUP($A196,Output_Mac!$A:$A,Output_Mac!D:D,""),
_xlpm.MyAuditVal,_xlfn.XLOOKUP($A196,My_Audit!$A:$A,My_Audit!C:C,""),
_xlfn.IFS(_xlpm.MyAuditVal&lt;&gt;"",UPPER(_xlpm.MyAuditVal),_xlpm.MacVal&lt;&gt;"",_xlpm.MacVal,_xlpm.CSVVal&lt;&gt;"",_xlpm.CSVVal
)),"")</f>
        <v/>
      </c>
      <c r="E196" s="46" t="str" cm="1">
        <f t="array" ref="E196">IFERROR(_xlfn.LET(
_xlpm.CSVVal,_xlfn.XLOOKUP($A196,CSV!$A:$A,CSV!E:E,""),
_xlpm.MacVal,_xlfn.XLOOKUP($A196,Output_Mac!$A:$A,Output_Mac!C:C,""),
_xlpm.MyAuditVal,_xlfn.XLOOKUP($A196,My_Audit!$A:$A,My_Audit!D:D,""),
_xlfn.IFS(_xlpm.MyAuditVal&lt;&gt;"",_xlpm.MyAuditVal,_xlpm.MacVal&lt;&gt;"",_xlpm.MacVal,_xlpm.CSVVal&lt;&gt;"",_xlpm.CSVVal
)),"")</f>
        <v/>
      </c>
      <c r="F196" s="45" t="str" cm="1">
        <f t="array" ref="F196">IFERROR(_xlfn.LET(
_xlpm.CSVVal,_xlfn.XLOOKUP($A196,CSV!$A:$A,CSV!F:F,""),
_xlpm.MacVal,_xlfn.XLOOKUP($A196,Output_Mac!$A:$A,Output_Mac!F:F,""),
_xlpm.MyAuditVal,_xlfn.XLOOKUP($A196,My_Audit!$A:$A,My_Audit!E:E,""),
_xlfn.IFS(_xlpm.MyAuditVal&lt;&gt;"",_xlpm.MyAuditVal,_xlpm.MacVal&lt;&gt;"",_xlpm.MacVal,_xlpm.CSVVal&lt;&gt;"",PROPER(_xlpm.CSVVal)
)),"")</f>
        <v/>
      </c>
      <c r="G196" s="45" t="str" cm="1">
        <f t="array" ref="G196">IFERROR(_xlfn.LET(
_xlpm.CSVVal,_xlfn.XLOOKUP($A196,CSV!$A:$A,CSV!G:G,""),
_xlpm.MacVal,_xlfn.XLOOKUP($A196,Output_Mac!$A:$A,Output_Mac!H:H,""),
_xlpm.MyAuditVal,_xlfn.XLOOKUP($A196,My_Audit!$A:$A,My_Audit!F:F,""),
_xlfn.IFS(_xlpm.MyAuditVal&lt;&gt;"",_xlpm.MyAuditVal,_xlpm.MacVal&lt;&gt;"",_xlpm.MacVal,_xlpm.CSVVal&lt;&gt;"",_xlpm.CSVVal
)),"")</f>
        <v/>
      </c>
      <c r="H196" s="45" t="str">
        <f>_xlfn.XLOOKUP(A196,Output_Mac!A:A,Output_Mac!I:I,"")</f>
        <v/>
      </c>
      <c r="I196" s="45" t="str" cm="1">
        <f t="array" ref="I196">IFERROR(_xlfn.LET(
_xlpm.CSVVal,_xlfn.XLOOKUP($A196,CSV!$A:$A,CSV!H:H,""),
_xlpm.MacVal,_xlfn.XLOOKUP($A196,Output_Mac!$A:$A,Output_Mac!J:J,""),
_xlpm.MyAuditVal,_xlfn.XLOOKUP($A196,My_Audit!$A:$A,My_Audit!H:H,""),
_xlfn.IFS(_xlpm.MyAuditVal&lt;&gt;"",UPPER(_xlpm.MyAuditVal),_xlpm.MacVal&lt;&gt;"",_xlpm.MacVal,_xlpm.CSVVal&lt;&gt;"",_xlpm.CSVVal
)),"")</f>
        <v/>
      </c>
      <c r="J196" s="45" t="str" cm="1">
        <f t="array" ref="J196">IFERROR(_xlfn.LET(
_xlpm.CSVVal,_xlfn.XLOOKUP($A196,CSV!$A:$A,CSV!J:J,""),
_xlpm.MacVal,_xlfn.XLOOKUP($A196,Output_Mac!$A:$A,Output_Mac!K:K,""),
_xlpm.MyAuditVal,_xlfn.XLOOKUP($A196,My_Audit!$A:$A,My_Audit!I:I,""),
_xlfn.IFS(_xlpm.MyAuditVal&lt;&gt;"",UPPER(_xlpm.MyAuditVal),_xlpm.MacVal&lt;&gt;"",_xlpm.MacVal,_xlpm.CSVVal&lt;&gt;"",_xlpm.CSVVal
)),"")</f>
        <v/>
      </c>
      <c r="K196" s="45" t="str" cm="1">
        <f t="array" ref="K196">IFERROR(_xlfn.LET(
_xlpm.CSVVal,_xlfn.XLOOKUP($A196,CSV!$A:$A,CSV!N:N,""),
_xlpm.MacVal,_xlfn.XLOOKUP($A196,Output_Mac!$A:$A,Output_Mac!L:L,""),
_xlpm.MyAuditVal,_xlfn.XLOOKUP($A196,My_Audit!$A:$A,My_Audit!J:J,""),
_xlfn.IFS(_xlpm.MyAuditVal&lt;&gt;"",UPPER(_xlpm.MyAuditVal),_xlpm.MacVal&lt;&gt;"",_xlpm.MacVal,_xlpm.CSVVal&lt;&gt;"",_xlpm.CSVVal
)),"")</f>
        <v/>
      </c>
      <c r="L196" s="46" t="str" cm="1">
        <f t="array" ref="L196">IFERROR(_xlfn.LET(
_xlpm.CSVVal,_xlfn.XLOOKUP($A196,CSV!$A:$A,CSV!Q:Q,""),
_xlpm.MacVal,_xlfn.XLOOKUP($A196,Output_Mac!$A:$A,Output_Mac!M:M,""),
_xlpm.MyAuditVal,_xlfn.XLOOKUP($A196,My_Audit!$A:$A,My_Audit!K:K,""),
_xlfn.IFS(_xlpm.MyAuditVal&lt;&gt;"",UPPER(_xlpm.MyAuditVal),_xlpm.MacVal&lt;&gt;"",_xlpm.MacVal,_xlpm.CSVVal&lt;&gt;"",_xlpm.CSVVal
)),"")</f>
        <v/>
      </c>
      <c r="M196" s="45" t="str">
        <f>_xlfn.LET(
    _xlpm.CSVVal, _xlfn.XLOOKUP($A196, CSV!$A:$A, CSV!AE:AE, ""),
    _xlpm.MacVal, _xlfn.XLOOKUP($A196, Output_Mac!$A:$A, Output_Mac!S:S, ""),
    _xlpm.MyAuditVal, _xlfn.XLOOKUP($A196, My_Audit!$A:$A, My_Audit!N:N, ""),
    _xlfn.TEXTJOIN(", ", TRUE, _xlpm.MyAuditVal, _xlpm.MacVal, _xlpm.CSVVal)
)</f>
        <v/>
      </c>
      <c r="N196" s="45" t="str" cm="1">
        <f t="array" ref="N196">IFERROR(_xlfn.LET(
_xlpm.CSVVal,_xlfn.XLOOKUP($A196,CSV!$A:$A,CSV!AG:AG,""),
_xlpm.MacVal,_xlfn.XLOOKUP($A196,Output_Mac!$A:$A,Output_Mac!U:U,""),
_xlpm.MyAuditVal,_xlfn.XLOOKUP($A196,My_Audit!$A:$A,My_Audit!O:O,""),
_xlfn.IFS(_xlpm.MyAuditVal&lt;&gt;"",UPPER(_xlpm.MyAuditVal),_xlpm.MacVal&lt;&gt;"",_xlpm.MacVal,_xlpm.CSVVal&lt;&gt;"",_xlpm.CSVVal
)),"")</f>
        <v/>
      </c>
      <c r="O196" s="46" t="str">
        <f>_xlfn.XLOOKUP(C196,My_Audit!B:B,My_Audit!P:P,"")&amp;""</f>
        <v/>
      </c>
      <c r="P196" s="45"/>
      <c r="Q196" s="46" t="str">
        <f>IF(LEFT(N196,4)="Pass","Nist SP 800-88",My_Audit!R196)&amp;""</f>
        <v/>
      </c>
      <c r="R196" s="45"/>
      <c r="S196" s="45"/>
      <c r="T196" s="46" t="str">
        <f>_xlfn.XLOOKUP(E196,Models!I:I,Models!J:J,"")</f>
        <v/>
      </c>
      <c r="U196" s="45"/>
      <c r="V196" s="45"/>
      <c r="W196" s="38"/>
    </row>
    <row r="197" spans="1:23">
      <c r="A197" s="45" t="str">
        <f>_xlfn.TEXTJOIN("",TRUE,Input!$B$2,ROW(My_Audit!A196))</f>
        <v>XX196</v>
      </c>
      <c r="B197" s="45" t="str">
        <f>_xlfn.TEXTJOIN("-",TRUE,"ITD",Input!$A$2,A197)</f>
        <v>ITD-SHRXXX-XX196</v>
      </c>
      <c r="C197" s="45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46" t="str" cm="1">
        <f t="array" ref="D197">IFERROR(_xlfn.LET(
_xlpm.CSVVal,_xlfn.XLOOKUP($A197,CSV!$A:$A,CSV!C:C,""),
_xlpm.MacVal,_xlfn.XLOOKUP($A197,Output_Mac!$A:$A,Output_Mac!D:D,""),
_xlpm.MyAuditVal,_xlfn.XLOOKUP($A197,My_Audit!$A:$A,My_Audit!C:C,""),
_xlfn.IFS(_xlpm.MyAuditVal&lt;&gt;"",UPPER(_xlpm.MyAuditVal),_xlpm.MacVal&lt;&gt;"",_xlpm.MacVal,_xlpm.CSVVal&lt;&gt;"",_xlpm.CSVVal
)),"")</f>
        <v/>
      </c>
      <c r="E197" s="46" t="str" cm="1">
        <f t="array" ref="E197">IFERROR(_xlfn.LET(
_xlpm.CSVVal,_xlfn.XLOOKUP($A197,CSV!$A:$A,CSV!E:E,""),
_xlpm.MacVal,_xlfn.XLOOKUP($A197,Output_Mac!$A:$A,Output_Mac!C:C,""),
_xlpm.MyAuditVal,_xlfn.XLOOKUP($A197,My_Audit!$A:$A,My_Audit!D:D,""),
_xlfn.IFS(_xlpm.MyAuditVal&lt;&gt;"",_xlpm.MyAuditVal,_xlpm.MacVal&lt;&gt;"",_xlpm.MacVal,_xlpm.CSVVal&lt;&gt;"",_xlpm.CSVVal
)),"")</f>
        <v/>
      </c>
      <c r="F197" s="45" t="str" cm="1">
        <f t="array" ref="F197">IFERROR(_xlfn.LET(
_xlpm.CSVVal,_xlfn.XLOOKUP($A197,CSV!$A:$A,CSV!F:F,""),
_xlpm.MacVal,_xlfn.XLOOKUP($A197,Output_Mac!$A:$A,Output_Mac!F:F,""),
_xlpm.MyAuditVal,_xlfn.XLOOKUP($A197,My_Audit!$A:$A,My_Audit!E:E,""),
_xlfn.IFS(_xlpm.MyAuditVal&lt;&gt;"",_xlpm.MyAuditVal,_xlpm.MacVal&lt;&gt;"",_xlpm.MacVal,_xlpm.CSVVal&lt;&gt;"",PROPER(_xlpm.CSVVal)
)),"")</f>
        <v/>
      </c>
      <c r="G197" s="45" t="str" cm="1">
        <f t="array" ref="G197">IFERROR(_xlfn.LET(
_xlpm.CSVVal,_xlfn.XLOOKUP($A197,CSV!$A:$A,CSV!G:G,""),
_xlpm.MacVal,_xlfn.XLOOKUP($A197,Output_Mac!$A:$A,Output_Mac!H:H,""),
_xlpm.MyAuditVal,_xlfn.XLOOKUP($A197,My_Audit!$A:$A,My_Audit!F:F,""),
_xlfn.IFS(_xlpm.MyAuditVal&lt;&gt;"",_xlpm.MyAuditVal,_xlpm.MacVal&lt;&gt;"",_xlpm.MacVal,_xlpm.CSVVal&lt;&gt;"",_xlpm.CSVVal
)),"")</f>
        <v/>
      </c>
      <c r="H197" s="45" t="str">
        <f>_xlfn.XLOOKUP(A197,Output_Mac!A:A,Output_Mac!I:I,"")</f>
        <v/>
      </c>
      <c r="I197" s="45" t="str" cm="1">
        <f t="array" ref="I197">IFERROR(_xlfn.LET(
_xlpm.CSVVal,_xlfn.XLOOKUP($A197,CSV!$A:$A,CSV!H:H,""),
_xlpm.MacVal,_xlfn.XLOOKUP($A197,Output_Mac!$A:$A,Output_Mac!J:J,""),
_xlpm.MyAuditVal,_xlfn.XLOOKUP($A197,My_Audit!$A:$A,My_Audit!H:H,""),
_xlfn.IFS(_xlpm.MyAuditVal&lt;&gt;"",UPPER(_xlpm.MyAuditVal),_xlpm.MacVal&lt;&gt;"",_xlpm.MacVal,_xlpm.CSVVal&lt;&gt;"",_xlpm.CSVVal
)),"")</f>
        <v/>
      </c>
      <c r="J197" s="45" t="str" cm="1">
        <f t="array" ref="J197">IFERROR(_xlfn.LET(
_xlpm.CSVVal,_xlfn.XLOOKUP($A197,CSV!$A:$A,CSV!J:J,""),
_xlpm.MacVal,_xlfn.XLOOKUP($A197,Output_Mac!$A:$A,Output_Mac!K:K,""),
_xlpm.MyAuditVal,_xlfn.XLOOKUP($A197,My_Audit!$A:$A,My_Audit!I:I,""),
_xlfn.IFS(_xlpm.MyAuditVal&lt;&gt;"",UPPER(_xlpm.MyAuditVal),_xlpm.MacVal&lt;&gt;"",_xlpm.MacVal,_xlpm.CSVVal&lt;&gt;"",_xlpm.CSVVal
)),"")</f>
        <v/>
      </c>
      <c r="K197" s="45" t="str" cm="1">
        <f t="array" ref="K197">IFERROR(_xlfn.LET(
_xlpm.CSVVal,_xlfn.XLOOKUP($A197,CSV!$A:$A,CSV!N:N,""),
_xlpm.MacVal,_xlfn.XLOOKUP($A197,Output_Mac!$A:$A,Output_Mac!L:L,""),
_xlpm.MyAuditVal,_xlfn.XLOOKUP($A197,My_Audit!$A:$A,My_Audit!J:J,""),
_xlfn.IFS(_xlpm.MyAuditVal&lt;&gt;"",UPPER(_xlpm.MyAuditVal),_xlpm.MacVal&lt;&gt;"",_xlpm.MacVal,_xlpm.CSVVal&lt;&gt;"",_xlpm.CSVVal
)),"")</f>
        <v/>
      </c>
      <c r="L197" s="46" t="str" cm="1">
        <f t="array" ref="L197">IFERROR(_xlfn.LET(
_xlpm.CSVVal,_xlfn.XLOOKUP($A197,CSV!$A:$A,CSV!Q:Q,""),
_xlpm.MacVal,_xlfn.XLOOKUP($A197,Output_Mac!$A:$A,Output_Mac!M:M,""),
_xlpm.MyAuditVal,_xlfn.XLOOKUP($A197,My_Audit!$A:$A,My_Audit!K:K,""),
_xlfn.IFS(_xlpm.MyAuditVal&lt;&gt;"",UPPER(_xlpm.MyAuditVal),_xlpm.MacVal&lt;&gt;"",_xlpm.MacVal,_xlpm.CSVVal&lt;&gt;"",_xlpm.CSVVal
)),"")</f>
        <v/>
      </c>
      <c r="M197" s="45" t="str">
        <f>_xlfn.LET(
    _xlpm.CSVVal, _xlfn.XLOOKUP($A197, CSV!$A:$A, CSV!AE:AE, ""),
    _xlpm.MacVal, _xlfn.XLOOKUP($A197, Output_Mac!$A:$A, Output_Mac!S:S, ""),
    _xlpm.MyAuditVal, _xlfn.XLOOKUP($A197, My_Audit!$A:$A, My_Audit!N:N, ""),
    _xlfn.TEXTJOIN(", ", TRUE, _xlpm.MyAuditVal, _xlpm.MacVal, _xlpm.CSVVal)
)</f>
        <v/>
      </c>
      <c r="N197" s="45" t="str" cm="1">
        <f t="array" ref="N197">IFERROR(_xlfn.LET(
_xlpm.CSVVal,_xlfn.XLOOKUP($A197,CSV!$A:$A,CSV!AG:AG,""),
_xlpm.MacVal,_xlfn.XLOOKUP($A197,Output_Mac!$A:$A,Output_Mac!U:U,""),
_xlpm.MyAuditVal,_xlfn.XLOOKUP($A197,My_Audit!$A:$A,My_Audit!O:O,""),
_xlfn.IFS(_xlpm.MyAuditVal&lt;&gt;"",UPPER(_xlpm.MyAuditVal),_xlpm.MacVal&lt;&gt;"",_xlpm.MacVal,_xlpm.CSVVal&lt;&gt;"",_xlpm.CSVVal
)),"")</f>
        <v/>
      </c>
      <c r="O197" s="46" t="str">
        <f>_xlfn.XLOOKUP(C197,My_Audit!B:B,My_Audit!P:P,"")&amp;""</f>
        <v/>
      </c>
      <c r="P197" s="45"/>
      <c r="Q197" s="46" t="str">
        <f>IF(LEFT(N197,4)="Pass","Nist SP 800-88",My_Audit!R197)&amp;""</f>
        <v/>
      </c>
      <c r="R197" s="45"/>
      <c r="S197" s="45"/>
      <c r="T197" s="46" t="str">
        <f>_xlfn.XLOOKUP(E197,Models!I:I,Models!J:J,"")</f>
        <v/>
      </c>
      <c r="U197" s="45"/>
      <c r="V197" s="45"/>
      <c r="W197" s="38"/>
    </row>
    <row r="198" spans="1:23">
      <c r="A198" s="45" t="str">
        <f>_xlfn.TEXTJOIN("",TRUE,Input!$B$2,ROW(My_Audit!A197))</f>
        <v>XX197</v>
      </c>
      <c r="B198" s="45" t="str">
        <f>_xlfn.TEXTJOIN("-",TRUE,"ITD",Input!$A$2,A198)</f>
        <v>ITD-SHRXXX-XX197</v>
      </c>
      <c r="C198" s="45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46" t="str" cm="1">
        <f t="array" ref="D198">IFERROR(_xlfn.LET(
_xlpm.CSVVal,_xlfn.XLOOKUP($A198,CSV!$A:$A,CSV!C:C,""),
_xlpm.MacVal,_xlfn.XLOOKUP($A198,Output_Mac!$A:$A,Output_Mac!D:D,""),
_xlpm.MyAuditVal,_xlfn.XLOOKUP($A198,My_Audit!$A:$A,My_Audit!C:C,""),
_xlfn.IFS(_xlpm.MyAuditVal&lt;&gt;"",UPPER(_xlpm.MyAuditVal),_xlpm.MacVal&lt;&gt;"",_xlpm.MacVal,_xlpm.CSVVal&lt;&gt;"",_xlpm.CSVVal
)),"")</f>
        <v/>
      </c>
      <c r="E198" s="46" t="str" cm="1">
        <f t="array" ref="E198">IFERROR(_xlfn.LET(
_xlpm.CSVVal,_xlfn.XLOOKUP($A198,CSV!$A:$A,CSV!E:E,""),
_xlpm.MacVal,_xlfn.XLOOKUP($A198,Output_Mac!$A:$A,Output_Mac!C:C,""),
_xlpm.MyAuditVal,_xlfn.XLOOKUP($A198,My_Audit!$A:$A,My_Audit!D:D,""),
_xlfn.IFS(_xlpm.MyAuditVal&lt;&gt;"",_xlpm.MyAuditVal,_xlpm.MacVal&lt;&gt;"",_xlpm.MacVal,_xlpm.CSVVal&lt;&gt;"",_xlpm.CSVVal
)),"")</f>
        <v/>
      </c>
      <c r="F198" s="45" t="str" cm="1">
        <f t="array" ref="F198">IFERROR(_xlfn.LET(
_xlpm.CSVVal,_xlfn.XLOOKUP($A198,CSV!$A:$A,CSV!F:F,""),
_xlpm.MacVal,_xlfn.XLOOKUP($A198,Output_Mac!$A:$A,Output_Mac!F:F,""),
_xlpm.MyAuditVal,_xlfn.XLOOKUP($A198,My_Audit!$A:$A,My_Audit!E:E,""),
_xlfn.IFS(_xlpm.MyAuditVal&lt;&gt;"",_xlpm.MyAuditVal,_xlpm.MacVal&lt;&gt;"",_xlpm.MacVal,_xlpm.CSVVal&lt;&gt;"",PROPER(_xlpm.CSVVal)
)),"")</f>
        <v/>
      </c>
      <c r="G198" s="45" t="str" cm="1">
        <f t="array" ref="G198">IFERROR(_xlfn.LET(
_xlpm.CSVVal,_xlfn.XLOOKUP($A198,CSV!$A:$A,CSV!G:G,""),
_xlpm.MacVal,_xlfn.XLOOKUP($A198,Output_Mac!$A:$A,Output_Mac!H:H,""),
_xlpm.MyAuditVal,_xlfn.XLOOKUP($A198,My_Audit!$A:$A,My_Audit!F:F,""),
_xlfn.IFS(_xlpm.MyAuditVal&lt;&gt;"",_xlpm.MyAuditVal,_xlpm.MacVal&lt;&gt;"",_xlpm.MacVal,_xlpm.CSVVal&lt;&gt;"",_xlpm.CSVVal
)),"")</f>
        <v/>
      </c>
      <c r="H198" s="45" t="str">
        <f>_xlfn.XLOOKUP(A198,Output_Mac!A:A,Output_Mac!I:I,"")</f>
        <v/>
      </c>
      <c r="I198" s="45" t="str" cm="1">
        <f t="array" ref="I198">IFERROR(_xlfn.LET(
_xlpm.CSVVal,_xlfn.XLOOKUP($A198,CSV!$A:$A,CSV!H:H,""),
_xlpm.MacVal,_xlfn.XLOOKUP($A198,Output_Mac!$A:$A,Output_Mac!J:J,""),
_xlpm.MyAuditVal,_xlfn.XLOOKUP($A198,My_Audit!$A:$A,My_Audit!H:H,""),
_xlfn.IFS(_xlpm.MyAuditVal&lt;&gt;"",UPPER(_xlpm.MyAuditVal),_xlpm.MacVal&lt;&gt;"",_xlpm.MacVal,_xlpm.CSVVal&lt;&gt;"",_xlpm.CSVVal
)),"")</f>
        <v/>
      </c>
      <c r="J198" s="45" t="str" cm="1">
        <f t="array" ref="J198">IFERROR(_xlfn.LET(
_xlpm.CSVVal,_xlfn.XLOOKUP($A198,CSV!$A:$A,CSV!J:J,""),
_xlpm.MacVal,_xlfn.XLOOKUP($A198,Output_Mac!$A:$A,Output_Mac!K:K,""),
_xlpm.MyAuditVal,_xlfn.XLOOKUP($A198,My_Audit!$A:$A,My_Audit!I:I,""),
_xlfn.IFS(_xlpm.MyAuditVal&lt;&gt;"",UPPER(_xlpm.MyAuditVal),_xlpm.MacVal&lt;&gt;"",_xlpm.MacVal,_xlpm.CSVVal&lt;&gt;"",_xlpm.CSVVal
)),"")</f>
        <v/>
      </c>
      <c r="K198" s="45" t="str" cm="1">
        <f t="array" ref="K198">IFERROR(_xlfn.LET(
_xlpm.CSVVal,_xlfn.XLOOKUP($A198,CSV!$A:$A,CSV!N:N,""),
_xlpm.MacVal,_xlfn.XLOOKUP($A198,Output_Mac!$A:$A,Output_Mac!L:L,""),
_xlpm.MyAuditVal,_xlfn.XLOOKUP($A198,My_Audit!$A:$A,My_Audit!J:J,""),
_xlfn.IFS(_xlpm.MyAuditVal&lt;&gt;"",UPPER(_xlpm.MyAuditVal),_xlpm.MacVal&lt;&gt;"",_xlpm.MacVal,_xlpm.CSVVal&lt;&gt;"",_xlpm.CSVVal
)),"")</f>
        <v/>
      </c>
      <c r="L198" s="46" t="str" cm="1">
        <f t="array" ref="L198">IFERROR(_xlfn.LET(
_xlpm.CSVVal,_xlfn.XLOOKUP($A198,CSV!$A:$A,CSV!Q:Q,""),
_xlpm.MacVal,_xlfn.XLOOKUP($A198,Output_Mac!$A:$A,Output_Mac!M:M,""),
_xlpm.MyAuditVal,_xlfn.XLOOKUP($A198,My_Audit!$A:$A,My_Audit!K:K,""),
_xlfn.IFS(_xlpm.MyAuditVal&lt;&gt;"",UPPER(_xlpm.MyAuditVal),_xlpm.MacVal&lt;&gt;"",_xlpm.MacVal,_xlpm.CSVVal&lt;&gt;"",_xlpm.CSVVal
)),"")</f>
        <v/>
      </c>
      <c r="M198" s="45" t="str">
        <f>_xlfn.LET(
    _xlpm.CSVVal, _xlfn.XLOOKUP($A198, CSV!$A:$A, CSV!AE:AE, ""),
    _xlpm.MacVal, _xlfn.XLOOKUP($A198, Output_Mac!$A:$A, Output_Mac!S:S, ""),
    _xlpm.MyAuditVal, _xlfn.XLOOKUP($A198, My_Audit!$A:$A, My_Audit!N:N, ""),
    _xlfn.TEXTJOIN(", ", TRUE, _xlpm.MyAuditVal, _xlpm.MacVal, _xlpm.CSVVal)
)</f>
        <v/>
      </c>
      <c r="N198" s="45" t="str" cm="1">
        <f t="array" ref="N198">IFERROR(_xlfn.LET(
_xlpm.CSVVal,_xlfn.XLOOKUP($A198,CSV!$A:$A,CSV!AG:AG,""),
_xlpm.MacVal,_xlfn.XLOOKUP($A198,Output_Mac!$A:$A,Output_Mac!U:U,""),
_xlpm.MyAuditVal,_xlfn.XLOOKUP($A198,My_Audit!$A:$A,My_Audit!O:O,""),
_xlfn.IFS(_xlpm.MyAuditVal&lt;&gt;"",UPPER(_xlpm.MyAuditVal),_xlpm.MacVal&lt;&gt;"",_xlpm.MacVal,_xlpm.CSVVal&lt;&gt;"",_xlpm.CSVVal
)),"")</f>
        <v/>
      </c>
      <c r="O198" s="46" t="str">
        <f>_xlfn.XLOOKUP(C198,My_Audit!B:B,My_Audit!P:P,"")&amp;""</f>
        <v/>
      </c>
      <c r="P198" s="45"/>
      <c r="Q198" s="46" t="str">
        <f>IF(LEFT(N198,4)="Pass","Nist SP 800-88",My_Audit!R198)&amp;""</f>
        <v/>
      </c>
      <c r="R198" s="45"/>
      <c r="S198" s="45"/>
      <c r="T198" s="46" t="str">
        <f>_xlfn.XLOOKUP(E198,Models!I:I,Models!J:J,"")</f>
        <v/>
      </c>
      <c r="U198" s="45"/>
      <c r="V198" s="45"/>
      <c r="W198" s="38"/>
    </row>
    <row r="199" spans="1:23">
      <c r="A199" s="45" t="str">
        <f>_xlfn.TEXTJOIN("",TRUE,Input!$B$2,ROW(My_Audit!A198))</f>
        <v>XX198</v>
      </c>
      <c r="B199" s="45" t="str">
        <f>_xlfn.TEXTJOIN("-",TRUE,"ITD",Input!$A$2,A199)</f>
        <v>ITD-SHRXXX-XX198</v>
      </c>
      <c r="C199" s="45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46" t="str" cm="1">
        <f t="array" ref="D199">IFERROR(_xlfn.LET(
_xlpm.CSVVal,_xlfn.XLOOKUP($A199,CSV!$A:$A,CSV!C:C,""),
_xlpm.MacVal,_xlfn.XLOOKUP($A199,Output_Mac!$A:$A,Output_Mac!D:D,""),
_xlpm.MyAuditVal,_xlfn.XLOOKUP($A199,My_Audit!$A:$A,My_Audit!C:C,""),
_xlfn.IFS(_xlpm.MyAuditVal&lt;&gt;"",UPPER(_xlpm.MyAuditVal),_xlpm.MacVal&lt;&gt;"",_xlpm.MacVal,_xlpm.CSVVal&lt;&gt;"",_xlpm.CSVVal
)),"")</f>
        <v/>
      </c>
      <c r="E199" s="46" t="str" cm="1">
        <f t="array" ref="E199">IFERROR(_xlfn.LET(
_xlpm.CSVVal,_xlfn.XLOOKUP($A199,CSV!$A:$A,CSV!E:E,""),
_xlpm.MacVal,_xlfn.XLOOKUP($A199,Output_Mac!$A:$A,Output_Mac!C:C,""),
_xlpm.MyAuditVal,_xlfn.XLOOKUP($A199,My_Audit!$A:$A,My_Audit!D:D,""),
_xlfn.IFS(_xlpm.MyAuditVal&lt;&gt;"",_xlpm.MyAuditVal,_xlpm.MacVal&lt;&gt;"",_xlpm.MacVal,_xlpm.CSVVal&lt;&gt;"",_xlpm.CSVVal
)),"")</f>
        <v/>
      </c>
      <c r="F199" s="45" t="str" cm="1">
        <f t="array" ref="F199">IFERROR(_xlfn.LET(
_xlpm.CSVVal,_xlfn.XLOOKUP($A199,CSV!$A:$A,CSV!F:F,""),
_xlpm.MacVal,_xlfn.XLOOKUP($A199,Output_Mac!$A:$A,Output_Mac!F:F,""),
_xlpm.MyAuditVal,_xlfn.XLOOKUP($A199,My_Audit!$A:$A,My_Audit!E:E,""),
_xlfn.IFS(_xlpm.MyAuditVal&lt;&gt;"",_xlpm.MyAuditVal,_xlpm.MacVal&lt;&gt;"",_xlpm.MacVal,_xlpm.CSVVal&lt;&gt;"",PROPER(_xlpm.CSVVal)
)),"")</f>
        <v/>
      </c>
      <c r="G199" s="45" t="str" cm="1">
        <f t="array" ref="G199">IFERROR(_xlfn.LET(
_xlpm.CSVVal,_xlfn.XLOOKUP($A199,CSV!$A:$A,CSV!G:G,""),
_xlpm.MacVal,_xlfn.XLOOKUP($A199,Output_Mac!$A:$A,Output_Mac!H:H,""),
_xlpm.MyAuditVal,_xlfn.XLOOKUP($A199,My_Audit!$A:$A,My_Audit!F:F,""),
_xlfn.IFS(_xlpm.MyAuditVal&lt;&gt;"",_xlpm.MyAuditVal,_xlpm.MacVal&lt;&gt;"",_xlpm.MacVal,_xlpm.CSVVal&lt;&gt;"",_xlpm.CSVVal
)),"")</f>
        <v/>
      </c>
      <c r="H199" s="45" t="str">
        <f>_xlfn.XLOOKUP(A199,Output_Mac!A:A,Output_Mac!I:I,"")</f>
        <v/>
      </c>
      <c r="I199" s="45" t="str" cm="1">
        <f t="array" ref="I199">IFERROR(_xlfn.LET(
_xlpm.CSVVal,_xlfn.XLOOKUP($A199,CSV!$A:$A,CSV!H:H,""),
_xlpm.MacVal,_xlfn.XLOOKUP($A199,Output_Mac!$A:$A,Output_Mac!J:J,""),
_xlpm.MyAuditVal,_xlfn.XLOOKUP($A199,My_Audit!$A:$A,My_Audit!H:H,""),
_xlfn.IFS(_xlpm.MyAuditVal&lt;&gt;"",UPPER(_xlpm.MyAuditVal),_xlpm.MacVal&lt;&gt;"",_xlpm.MacVal,_xlpm.CSVVal&lt;&gt;"",_xlpm.CSVVal
)),"")</f>
        <v/>
      </c>
      <c r="J199" s="45" t="str" cm="1">
        <f t="array" ref="J199">IFERROR(_xlfn.LET(
_xlpm.CSVVal,_xlfn.XLOOKUP($A199,CSV!$A:$A,CSV!J:J,""),
_xlpm.MacVal,_xlfn.XLOOKUP($A199,Output_Mac!$A:$A,Output_Mac!K:K,""),
_xlpm.MyAuditVal,_xlfn.XLOOKUP($A199,My_Audit!$A:$A,My_Audit!I:I,""),
_xlfn.IFS(_xlpm.MyAuditVal&lt;&gt;"",UPPER(_xlpm.MyAuditVal),_xlpm.MacVal&lt;&gt;"",_xlpm.MacVal,_xlpm.CSVVal&lt;&gt;"",_xlpm.CSVVal
)),"")</f>
        <v/>
      </c>
      <c r="K199" s="45" t="str" cm="1">
        <f t="array" ref="K199">IFERROR(_xlfn.LET(
_xlpm.CSVVal,_xlfn.XLOOKUP($A199,CSV!$A:$A,CSV!N:N,""),
_xlpm.MacVal,_xlfn.XLOOKUP($A199,Output_Mac!$A:$A,Output_Mac!L:L,""),
_xlpm.MyAuditVal,_xlfn.XLOOKUP($A199,My_Audit!$A:$A,My_Audit!J:J,""),
_xlfn.IFS(_xlpm.MyAuditVal&lt;&gt;"",UPPER(_xlpm.MyAuditVal),_xlpm.MacVal&lt;&gt;"",_xlpm.MacVal,_xlpm.CSVVal&lt;&gt;"",_xlpm.CSVVal
)),"")</f>
        <v/>
      </c>
      <c r="L199" s="46" t="str" cm="1">
        <f t="array" ref="L199">IFERROR(_xlfn.LET(
_xlpm.CSVVal,_xlfn.XLOOKUP($A199,CSV!$A:$A,CSV!Q:Q,""),
_xlpm.MacVal,_xlfn.XLOOKUP($A199,Output_Mac!$A:$A,Output_Mac!M:M,""),
_xlpm.MyAuditVal,_xlfn.XLOOKUP($A199,My_Audit!$A:$A,My_Audit!K:K,""),
_xlfn.IFS(_xlpm.MyAuditVal&lt;&gt;"",UPPER(_xlpm.MyAuditVal),_xlpm.MacVal&lt;&gt;"",_xlpm.MacVal,_xlpm.CSVVal&lt;&gt;"",_xlpm.CSVVal
)),"")</f>
        <v/>
      </c>
      <c r="M199" s="45" t="str">
        <f>_xlfn.LET(
    _xlpm.CSVVal, _xlfn.XLOOKUP($A199, CSV!$A:$A, CSV!AE:AE, ""),
    _xlpm.MacVal, _xlfn.XLOOKUP($A199, Output_Mac!$A:$A, Output_Mac!S:S, ""),
    _xlpm.MyAuditVal, _xlfn.XLOOKUP($A199, My_Audit!$A:$A, My_Audit!N:N, ""),
    _xlfn.TEXTJOIN(", ", TRUE, _xlpm.MyAuditVal, _xlpm.MacVal, _xlpm.CSVVal)
)</f>
        <v/>
      </c>
      <c r="N199" s="45" t="str" cm="1">
        <f t="array" ref="N199">IFERROR(_xlfn.LET(
_xlpm.CSVVal,_xlfn.XLOOKUP($A199,CSV!$A:$A,CSV!AG:AG,""),
_xlpm.MacVal,_xlfn.XLOOKUP($A199,Output_Mac!$A:$A,Output_Mac!U:U,""),
_xlpm.MyAuditVal,_xlfn.XLOOKUP($A199,My_Audit!$A:$A,My_Audit!O:O,""),
_xlfn.IFS(_xlpm.MyAuditVal&lt;&gt;"",UPPER(_xlpm.MyAuditVal),_xlpm.MacVal&lt;&gt;"",_xlpm.MacVal,_xlpm.CSVVal&lt;&gt;"",_xlpm.CSVVal
)),"")</f>
        <v/>
      </c>
      <c r="O199" s="46" t="str">
        <f>_xlfn.XLOOKUP(C199,My_Audit!B:B,My_Audit!P:P,"")&amp;""</f>
        <v/>
      </c>
      <c r="P199" s="45"/>
      <c r="Q199" s="46" t="str">
        <f>IF(LEFT(N199,4)="Pass","Nist SP 800-88",My_Audit!R199)&amp;""</f>
        <v/>
      </c>
      <c r="R199" s="45"/>
      <c r="S199" s="45"/>
      <c r="T199" s="46" t="str">
        <f>_xlfn.XLOOKUP(E199,Models!I:I,Models!J:J,"")</f>
        <v/>
      </c>
      <c r="U199" s="45"/>
      <c r="V199" s="45"/>
      <c r="W199" s="38"/>
    </row>
    <row r="200" spans="1:23">
      <c r="A200" s="45" t="str">
        <f>_xlfn.TEXTJOIN("",TRUE,Input!$B$2,ROW(My_Audit!A199))</f>
        <v>XX199</v>
      </c>
      <c r="B200" s="45" t="str">
        <f>_xlfn.TEXTJOIN("-",TRUE,"ITD",Input!$A$2,A200)</f>
        <v>ITD-SHRXXX-XX199</v>
      </c>
      <c r="C200" s="45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46" t="str" cm="1">
        <f t="array" ref="D200">IFERROR(_xlfn.LET(
_xlpm.CSVVal,_xlfn.XLOOKUP($A200,CSV!$A:$A,CSV!C:C,""),
_xlpm.MacVal,_xlfn.XLOOKUP($A200,Output_Mac!$A:$A,Output_Mac!D:D,""),
_xlpm.MyAuditVal,_xlfn.XLOOKUP($A200,My_Audit!$A:$A,My_Audit!C:C,""),
_xlfn.IFS(_xlpm.MyAuditVal&lt;&gt;"",UPPER(_xlpm.MyAuditVal),_xlpm.MacVal&lt;&gt;"",_xlpm.MacVal,_xlpm.CSVVal&lt;&gt;"",_xlpm.CSVVal
)),"")</f>
        <v/>
      </c>
      <c r="E200" s="46" t="str" cm="1">
        <f t="array" ref="E200">IFERROR(_xlfn.LET(
_xlpm.CSVVal,_xlfn.XLOOKUP($A200,CSV!$A:$A,CSV!E:E,""),
_xlpm.MacVal,_xlfn.XLOOKUP($A200,Output_Mac!$A:$A,Output_Mac!C:C,""),
_xlpm.MyAuditVal,_xlfn.XLOOKUP($A200,My_Audit!$A:$A,My_Audit!D:D,""),
_xlfn.IFS(_xlpm.MyAuditVal&lt;&gt;"",_xlpm.MyAuditVal,_xlpm.MacVal&lt;&gt;"",_xlpm.MacVal,_xlpm.CSVVal&lt;&gt;"",_xlpm.CSVVal
)),"")</f>
        <v/>
      </c>
      <c r="F200" s="45" t="str" cm="1">
        <f t="array" ref="F200">IFERROR(_xlfn.LET(
_xlpm.CSVVal,_xlfn.XLOOKUP($A200,CSV!$A:$A,CSV!F:F,""),
_xlpm.MacVal,_xlfn.XLOOKUP($A200,Output_Mac!$A:$A,Output_Mac!F:F,""),
_xlpm.MyAuditVal,_xlfn.XLOOKUP($A200,My_Audit!$A:$A,My_Audit!E:E,""),
_xlfn.IFS(_xlpm.MyAuditVal&lt;&gt;"",_xlpm.MyAuditVal,_xlpm.MacVal&lt;&gt;"",_xlpm.MacVal,_xlpm.CSVVal&lt;&gt;"",PROPER(_xlpm.CSVVal)
)),"")</f>
        <v/>
      </c>
      <c r="G200" s="45" t="str" cm="1">
        <f t="array" ref="G200">IFERROR(_xlfn.LET(
_xlpm.CSVVal,_xlfn.XLOOKUP($A200,CSV!$A:$A,CSV!G:G,""),
_xlpm.MacVal,_xlfn.XLOOKUP($A200,Output_Mac!$A:$A,Output_Mac!H:H,""),
_xlpm.MyAuditVal,_xlfn.XLOOKUP($A200,My_Audit!$A:$A,My_Audit!F:F,""),
_xlfn.IFS(_xlpm.MyAuditVal&lt;&gt;"",_xlpm.MyAuditVal,_xlpm.MacVal&lt;&gt;"",_xlpm.MacVal,_xlpm.CSVVal&lt;&gt;"",_xlpm.CSVVal
)),"")</f>
        <v/>
      </c>
      <c r="H200" s="45" t="str">
        <f>_xlfn.XLOOKUP(A200,Output_Mac!A:A,Output_Mac!I:I,"")</f>
        <v/>
      </c>
      <c r="I200" s="45" t="str" cm="1">
        <f t="array" ref="I200">IFERROR(_xlfn.LET(
_xlpm.CSVVal,_xlfn.XLOOKUP($A200,CSV!$A:$A,CSV!H:H,""),
_xlpm.MacVal,_xlfn.XLOOKUP($A200,Output_Mac!$A:$A,Output_Mac!J:J,""),
_xlpm.MyAuditVal,_xlfn.XLOOKUP($A200,My_Audit!$A:$A,My_Audit!H:H,""),
_xlfn.IFS(_xlpm.MyAuditVal&lt;&gt;"",UPPER(_xlpm.MyAuditVal),_xlpm.MacVal&lt;&gt;"",_xlpm.MacVal,_xlpm.CSVVal&lt;&gt;"",_xlpm.CSVVal
)),"")</f>
        <v/>
      </c>
      <c r="J200" s="45" t="str" cm="1">
        <f t="array" ref="J200">IFERROR(_xlfn.LET(
_xlpm.CSVVal,_xlfn.XLOOKUP($A200,CSV!$A:$A,CSV!J:J,""),
_xlpm.MacVal,_xlfn.XLOOKUP($A200,Output_Mac!$A:$A,Output_Mac!K:K,""),
_xlpm.MyAuditVal,_xlfn.XLOOKUP($A200,My_Audit!$A:$A,My_Audit!I:I,""),
_xlfn.IFS(_xlpm.MyAuditVal&lt;&gt;"",UPPER(_xlpm.MyAuditVal),_xlpm.MacVal&lt;&gt;"",_xlpm.MacVal,_xlpm.CSVVal&lt;&gt;"",_xlpm.CSVVal
)),"")</f>
        <v/>
      </c>
      <c r="K200" s="45" t="str" cm="1">
        <f t="array" ref="K200">IFERROR(_xlfn.LET(
_xlpm.CSVVal,_xlfn.XLOOKUP($A200,CSV!$A:$A,CSV!N:N,""),
_xlpm.MacVal,_xlfn.XLOOKUP($A200,Output_Mac!$A:$A,Output_Mac!L:L,""),
_xlpm.MyAuditVal,_xlfn.XLOOKUP($A200,My_Audit!$A:$A,My_Audit!J:J,""),
_xlfn.IFS(_xlpm.MyAuditVal&lt;&gt;"",UPPER(_xlpm.MyAuditVal),_xlpm.MacVal&lt;&gt;"",_xlpm.MacVal,_xlpm.CSVVal&lt;&gt;"",_xlpm.CSVVal
)),"")</f>
        <v/>
      </c>
      <c r="L200" s="46" t="str" cm="1">
        <f t="array" ref="L200">IFERROR(_xlfn.LET(
_xlpm.CSVVal,_xlfn.XLOOKUP($A200,CSV!$A:$A,CSV!Q:Q,""),
_xlpm.MacVal,_xlfn.XLOOKUP($A200,Output_Mac!$A:$A,Output_Mac!M:M,""),
_xlpm.MyAuditVal,_xlfn.XLOOKUP($A200,My_Audit!$A:$A,My_Audit!K:K,""),
_xlfn.IFS(_xlpm.MyAuditVal&lt;&gt;"",UPPER(_xlpm.MyAuditVal),_xlpm.MacVal&lt;&gt;"",_xlpm.MacVal,_xlpm.CSVVal&lt;&gt;"",_xlpm.CSVVal
)),"")</f>
        <v/>
      </c>
      <c r="M200" s="45" t="str">
        <f>_xlfn.LET(
    _xlpm.CSVVal, _xlfn.XLOOKUP($A200, CSV!$A:$A, CSV!AE:AE, ""),
    _xlpm.MacVal, _xlfn.XLOOKUP($A200, Output_Mac!$A:$A, Output_Mac!S:S, ""),
    _xlpm.MyAuditVal, _xlfn.XLOOKUP($A200, My_Audit!$A:$A, My_Audit!N:N, ""),
    _xlfn.TEXTJOIN(", ", TRUE, _xlpm.MyAuditVal, _xlpm.MacVal, _xlpm.CSVVal)
)</f>
        <v/>
      </c>
      <c r="N200" s="45" t="str" cm="1">
        <f t="array" ref="N200">IFERROR(_xlfn.LET(
_xlpm.CSVVal,_xlfn.XLOOKUP($A200,CSV!$A:$A,CSV!AG:AG,""),
_xlpm.MacVal,_xlfn.XLOOKUP($A200,Output_Mac!$A:$A,Output_Mac!U:U,""),
_xlpm.MyAuditVal,_xlfn.XLOOKUP($A200,My_Audit!$A:$A,My_Audit!O:O,""),
_xlfn.IFS(_xlpm.MyAuditVal&lt;&gt;"",UPPER(_xlpm.MyAuditVal),_xlpm.MacVal&lt;&gt;"",_xlpm.MacVal,_xlpm.CSVVal&lt;&gt;"",_xlpm.CSVVal
)),"")</f>
        <v/>
      </c>
      <c r="O200" s="46" t="str">
        <f>_xlfn.XLOOKUP(C200,My_Audit!B:B,My_Audit!P:P,"")&amp;""</f>
        <v/>
      </c>
      <c r="P200" s="45"/>
      <c r="Q200" s="46" t="str">
        <f>IF(LEFT(N200,4)="Pass","Nist SP 800-88",My_Audit!R200)&amp;""</f>
        <v/>
      </c>
      <c r="R200" s="45"/>
      <c r="S200" s="45"/>
      <c r="T200" s="46" t="str">
        <f>_xlfn.XLOOKUP(E200,Models!I:I,Models!J:J,"")</f>
        <v/>
      </c>
      <c r="U200" s="45"/>
      <c r="V200" s="45"/>
      <c r="W200" s="38"/>
    </row>
    <row r="201" spans="1:23">
      <c r="A201" s="45" t="str">
        <f>_xlfn.TEXTJOIN("",TRUE,Input!$B$2,ROW(My_Audit!A200))</f>
        <v>XX200</v>
      </c>
      <c r="B201" s="45" t="str">
        <f>_xlfn.TEXTJOIN("-",TRUE,"ITD",Input!$A$2,A201)</f>
        <v>ITD-SHRXXX-XX200</v>
      </c>
      <c r="C201" s="45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46" t="str" cm="1">
        <f t="array" ref="D201">IFERROR(_xlfn.LET(
_xlpm.CSVVal,_xlfn.XLOOKUP($A201,CSV!$A:$A,CSV!C:C,""),
_xlpm.MacVal,_xlfn.XLOOKUP($A201,Output_Mac!$A:$A,Output_Mac!D:D,""),
_xlpm.MyAuditVal,_xlfn.XLOOKUP($A201,My_Audit!$A:$A,My_Audit!C:C,""),
_xlfn.IFS(_xlpm.MyAuditVal&lt;&gt;"",UPPER(_xlpm.MyAuditVal),_xlpm.MacVal&lt;&gt;"",_xlpm.MacVal,_xlpm.CSVVal&lt;&gt;"",_xlpm.CSVVal
)),"")</f>
        <v/>
      </c>
      <c r="E201" s="46" t="str" cm="1">
        <f t="array" ref="E201">IFERROR(_xlfn.LET(
_xlpm.CSVVal,_xlfn.XLOOKUP($A201,CSV!$A:$A,CSV!E:E,""),
_xlpm.MacVal,_xlfn.XLOOKUP($A201,Output_Mac!$A:$A,Output_Mac!C:C,""),
_xlpm.MyAuditVal,_xlfn.XLOOKUP($A201,My_Audit!$A:$A,My_Audit!D:D,""),
_xlfn.IFS(_xlpm.MyAuditVal&lt;&gt;"",_xlpm.MyAuditVal,_xlpm.MacVal&lt;&gt;"",_xlpm.MacVal,_xlpm.CSVVal&lt;&gt;"",_xlpm.CSVVal
)),"")</f>
        <v/>
      </c>
      <c r="F201" s="45" t="str" cm="1">
        <f t="array" ref="F201">IFERROR(_xlfn.LET(
_xlpm.CSVVal,_xlfn.XLOOKUP($A201,CSV!$A:$A,CSV!F:F,""),
_xlpm.MacVal,_xlfn.XLOOKUP($A201,Output_Mac!$A:$A,Output_Mac!F:F,""),
_xlpm.MyAuditVal,_xlfn.XLOOKUP($A201,My_Audit!$A:$A,My_Audit!E:E,""),
_xlfn.IFS(_xlpm.MyAuditVal&lt;&gt;"",_xlpm.MyAuditVal,_xlpm.MacVal&lt;&gt;"",_xlpm.MacVal,_xlpm.CSVVal&lt;&gt;"",PROPER(_xlpm.CSVVal)
)),"")</f>
        <v/>
      </c>
      <c r="G201" s="45" t="str" cm="1">
        <f t="array" ref="G201">IFERROR(_xlfn.LET(
_xlpm.CSVVal,_xlfn.XLOOKUP($A201,CSV!$A:$A,CSV!G:G,""),
_xlpm.MacVal,_xlfn.XLOOKUP($A201,Output_Mac!$A:$A,Output_Mac!H:H,""),
_xlpm.MyAuditVal,_xlfn.XLOOKUP($A201,My_Audit!$A:$A,My_Audit!F:F,""),
_xlfn.IFS(_xlpm.MyAuditVal&lt;&gt;"",_xlpm.MyAuditVal,_xlpm.MacVal&lt;&gt;"",_xlpm.MacVal,_xlpm.CSVVal&lt;&gt;"",_xlpm.CSVVal
)),"")</f>
        <v/>
      </c>
      <c r="H201" s="45" t="str">
        <f>_xlfn.XLOOKUP(A201,Output_Mac!A:A,Output_Mac!I:I,"")</f>
        <v/>
      </c>
      <c r="I201" s="45" t="str" cm="1">
        <f t="array" ref="I201">IFERROR(_xlfn.LET(
_xlpm.CSVVal,_xlfn.XLOOKUP($A201,CSV!$A:$A,CSV!H:H,""),
_xlpm.MacVal,_xlfn.XLOOKUP($A201,Output_Mac!$A:$A,Output_Mac!J:J,""),
_xlpm.MyAuditVal,_xlfn.XLOOKUP($A201,My_Audit!$A:$A,My_Audit!H:H,""),
_xlfn.IFS(_xlpm.MyAuditVal&lt;&gt;"",UPPER(_xlpm.MyAuditVal),_xlpm.MacVal&lt;&gt;"",_xlpm.MacVal,_xlpm.CSVVal&lt;&gt;"",_xlpm.CSVVal
)),"")</f>
        <v/>
      </c>
      <c r="J201" s="45" t="str" cm="1">
        <f t="array" ref="J201">IFERROR(_xlfn.LET(
_xlpm.CSVVal,_xlfn.XLOOKUP($A201,CSV!$A:$A,CSV!J:J,""),
_xlpm.MacVal,_xlfn.XLOOKUP($A201,Output_Mac!$A:$A,Output_Mac!K:K,""),
_xlpm.MyAuditVal,_xlfn.XLOOKUP($A201,My_Audit!$A:$A,My_Audit!I:I,""),
_xlfn.IFS(_xlpm.MyAuditVal&lt;&gt;"",UPPER(_xlpm.MyAuditVal),_xlpm.MacVal&lt;&gt;"",_xlpm.MacVal,_xlpm.CSVVal&lt;&gt;"",_xlpm.CSVVal
)),"")</f>
        <v/>
      </c>
      <c r="K201" s="45" t="str" cm="1">
        <f t="array" ref="K201">IFERROR(_xlfn.LET(
_xlpm.CSVVal,_xlfn.XLOOKUP($A201,CSV!$A:$A,CSV!N:N,""),
_xlpm.MacVal,_xlfn.XLOOKUP($A201,Output_Mac!$A:$A,Output_Mac!L:L,""),
_xlpm.MyAuditVal,_xlfn.XLOOKUP($A201,My_Audit!$A:$A,My_Audit!J:J,""),
_xlfn.IFS(_xlpm.MyAuditVal&lt;&gt;"",UPPER(_xlpm.MyAuditVal),_xlpm.MacVal&lt;&gt;"",_xlpm.MacVal,_xlpm.CSVVal&lt;&gt;"",_xlpm.CSVVal
)),"")</f>
        <v/>
      </c>
      <c r="L201" s="46" t="str" cm="1">
        <f t="array" ref="L201">IFERROR(_xlfn.LET(
_xlpm.CSVVal,_xlfn.XLOOKUP($A201,CSV!$A:$A,CSV!Q:Q,""),
_xlpm.MacVal,_xlfn.XLOOKUP($A201,Output_Mac!$A:$A,Output_Mac!M:M,""),
_xlpm.MyAuditVal,_xlfn.XLOOKUP($A201,My_Audit!$A:$A,My_Audit!K:K,""),
_xlfn.IFS(_xlpm.MyAuditVal&lt;&gt;"",UPPER(_xlpm.MyAuditVal),_xlpm.MacVal&lt;&gt;"",_xlpm.MacVal,_xlpm.CSVVal&lt;&gt;"",_xlpm.CSVVal
)),"")</f>
        <v/>
      </c>
      <c r="M201" s="45" t="str">
        <f>_xlfn.LET(
    _xlpm.CSVVal, _xlfn.XLOOKUP($A201, CSV!$A:$A, CSV!AE:AE, ""),
    _xlpm.MacVal, _xlfn.XLOOKUP($A201, Output_Mac!$A:$A, Output_Mac!S:S, ""),
    _xlpm.MyAuditVal, _xlfn.XLOOKUP($A201, My_Audit!$A:$A, My_Audit!N:N, ""),
    _xlfn.TEXTJOIN(", ", TRUE, _xlpm.MyAuditVal, _xlpm.MacVal, _xlpm.CSVVal)
)</f>
        <v/>
      </c>
      <c r="N201" s="45" t="str" cm="1">
        <f t="array" ref="N201">IFERROR(_xlfn.LET(
_xlpm.CSVVal,_xlfn.XLOOKUP($A201,CSV!$A:$A,CSV!AG:AG,""),
_xlpm.MacVal,_xlfn.XLOOKUP($A201,Output_Mac!$A:$A,Output_Mac!U:U,""),
_xlpm.MyAuditVal,_xlfn.XLOOKUP($A201,My_Audit!$A:$A,My_Audit!O:O,""),
_xlfn.IFS(_xlpm.MyAuditVal&lt;&gt;"",UPPER(_xlpm.MyAuditVal),_xlpm.MacVal&lt;&gt;"",_xlpm.MacVal,_xlpm.CSVVal&lt;&gt;"",_xlpm.CSVVal
)),"")</f>
        <v/>
      </c>
      <c r="O201" s="46" t="str">
        <f>_xlfn.XLOOKUP(C201,My_Audit!B:B,My_Audit!P:P,"")&amp;""</f>
        <v/>
      </c>
      <c r="P201" s="45"/>
      <c r="Q201" s="46" t="str">
        <f>IF(LEFT(N201,4)="Pass","Nist SP 800-88",My_Audit!R201)&amp;""</f>
        <v/>
      </c>
      <c r="R201" s="45"/>
      <c r="S201" s="45"/>
      <c r="T201" s="46" t="str">
        <f>_xlfn.XLOOKUP(E201,Models!I:I,Models!J:J,"")</f>
        <v/>
      </c>
      <c r="U201" s="45"/>
      <c r="V201" s="45"/>
      <c r="W201" s="38"/>
    </row>
    <row r="202" spans="1:23">
      <c r="A202" s="45" t="str">
        <f>_xlfn.TEXTJOIN("",TRUE,Input!$B$2,ROW(My_Audit!A201))</f>
        <v>XX201</v>
      </c>
      <c r="B202" s="45" t="str">
        <f>_xlfn.TEXTJOIN("-",TRUE,"ITD",Input!$A$2,A202)</f>
        <v>ITD-SHRXXX-XX201</v>
      </c>
      <c r="C202" s="45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46" t="str" cm="1">
        <f t="array" ref="D202">IFERROR(_xlfn.LET(
_xlpm.CSVVal,_xlfn.XLOOKUP($A202,CSV!$A:$A,CSV!C:C,""),
_xlpm.MacVal,_xlfn.XLOOKUP($A202,Output_Mac!$A:$A,Output_Mac!D:D,""),
_xlpm.MyAuditVal,_xlfn.XLOOKUP($A202,My_Audit!$A:$A,My_Audit!C:C,""),
_xlfn.IFS(_xlpm.MyAuditVal&lt;&gt;"",UPPER(_xlpm.MyAuditVal),_xlpm.MacVal&lt;&gt;"",_xlpm.MacVal,_xlpm.CSVVal&lt;&gt;"",_xlpm.CSVVal
)),"")</f>
        <v/>
      </c>
      <c r="E202" s="46" t="str" cm="1">
        <f t="array" ref="E202">IFERROR(_xlfn.LET(
_xlpm.CSVVal,_xlfn.XLOOKUP($A202,CSV!$A:$A,CSV!E:E,""),
_xlpm.MacVal,_xlfn.XLOOKUP($A202,Output_Mac!$A:$A,Output_Mac!C:C,""),
_xlpm.MyAuditVal,_xlfn.XLOOKUP($A202,My_Audit!$A:$A,My_Audit!D:D,""),
_xlfn.IFS(_xlpm.MyAuditVal&lt;&gt;"",_xlpm.MyAuditVal,_xlpm.MacVal&lt;&gt;"",_xlpm.MacVal,_xlpm.CSVVal&lt;&gt;"",_xlpm.CSVVal
)),"")</f>
        <v/>
      </c>
      <c r="F202" s="45" t="str" cm="1">
        <f t="array" ref="F202">IFERROR(_xlfn.LET(
_xlpm.CSVVal,_xlfn.XLOOKUP($A202,CSV!$A:$A,CSV!F:F,""),
_xlpm.MacVal,_xlfn.XLOOKUP($A202,Output_Mac!$A:$A,Output_Mac!F:F,""),
_xlpm.MyAuditVal,_xlfn.XLOOKUP($A202,My_Audit!$A:$A,My_Audit!E:E,""),
_xlfn.IFS(_xlpm.MyAuditVal&lt;&gt;"",_xlpm.MyAuditVal,_xlpm.MacVal&lt;&gt;"",_xlpm.MacVal,_xlpm.CSVVal&lt;&gt;"",PROPER(_xlpm.CSVVal)
)),"")</f>
        <v/>
      </c>
      <c r="G202" s="45" t="str" cm="1">
        <f t="array" ref="G202">IFERROR(_xlfn.LET(
_xlpm.CSVVal,_xlfn.XLOOKUP($A202,CSV!$A:$A,CSV!G:G,""),
_xlpm.MacVal,_xlfn.XLOOKUP($A202,Output_Mac!$A:$A,Output_Mac!H:H,""),
_xlpm.MyAuditVal,_xlfn.XLOOKUP($A202,My_Audit!$A:$A,My_Audit!F:F,""),
_xlfn.IFS(_xlpm.MyAuditVal&lt;&gt;"",_xlpm.MyAuditVal,_xlpm.MacVal&lt;&gt;"",_xlpm.MacVal,_xlpm.CSVVal&lt;&gt;"",_xlpm.CSVVal
)),"")</f>
        <v/>
      </c>
      <c r="H202" s="45" t="str">
        <f>_xlfn.XLOOKUP(A202,Output_Mac!A:A,Output_Mac!I:I,"")</f>
        <v/>
      </c>
      <c r="I202" s="45" t="str" cm="1">
        <f t="array" ref="I202">IFERROR(_xlfn.LET(
_xlpm.CSVVal,_xlfn.XLOOKUP($A202,CSV!$A:$A,CSV!H:H,""),
_xlpm.MacVal,_xlfn.XLOOKUP($A202,Output_Mac!$A:$A,Output_Mac!J:J,""),
_xlpm.MyAuditVal,_xlfn.XLOOKUP($A202,My_Audit!$A:$A,My_Audit!H:H,""),
_xlfn.IFS(_xlpm.MyAuditVal&lt;&gt;"",UPPER(_xlpm.MyAuditVal),_xlpm.MacVal&lt;&gt;"",_xlpm.MacVal,_xlpm.CSVVal&lt;&gt;"",_xlpm.CSVVal
)),"")</f>
        <v/>
      </c>
      <c r="J202" s="45" t="str" cm="1">
        <f t="array" ref="J202">IFERROR(_xlfn.LET(
_xlpm.CSVVal,_xlfn.XLOOKUP($A202,CSV!$A:$A,CSV!J:J,""),
_xlpm.MacVal,_xlfn.XLOOKUP($A202,Output_Mac!$A:$A,Output_Mac!K:K,""),
_xlpm.MyAuditVal,_xlfn.XLOOKUP($A202,My_Audit!$A:$A,My_Audit!I:I,""),
_xlfn.IFS(_xlpm.MyAuditVal&lt;&gt;"",UPPER(_xlpm.MyAuditVal),_xlpm.MacVal&lt;&gt;"",_xlpm.MacVal,_xlpm.CSVVal&lt;&gt;"",_xlpm.CSVVal
)),"")</f>
        <v/>
      </c>
      <c r="K202" s="45" t="str" cm="1">
        <f t="array" ref="K202">IFERROR(_xlfn.LET(
_xlpm.CSVVal,_xlfn.XLOOKUP($A202,CSV!$A:$A,CSV!N:N,""),
_xlpm.MacVal,_xlfn.XLOOKUP($A202,Output_Mac!$A:$A,Output_Mac!L:L,""),
_xlpm.MyAuditVal,_xlfn.XLOOKUP($A202,My_Audit!$A:$A,My_Audit!J:J,""),
_xlfn.IFS(_xlpm.MyAuditVal&lt;&gt;"",UPPER(_xlpm.MyAuditVal),_xlpm.MacVal&lt;&gt;"",_xlpm.MacVal,_xlpm.CSVVal&lt;&gt;"",_xlpm.CSVVal
)),"")</f>
        <v/>
      </c>
      <c r="L202" s="46" t="str" cm="1">
        <f t="array" ref="L202">IFERROR(_xlfn.LET(
_xlpm.CSVVal,_xlfn.XLOOKUP($A202,CSV!$A:$A,CSV!Q:Q,""),
_xlpm.MacVal,_xlfn.XLOOKUP($A202,Output_Mac!$A:$A,Output_Mac!M:M,""),
_xlpm.MyAuditVal,_xlfn.XLOOKUP($A202,My_Audit!$A:$A,My_Audit!K:K,""),
_xlfn.IFS(_xlpm.MyAuditVal&lt;&gt;"",UPPER(_xlpm.MyAuditVal),_xlpm.MacVal&lt;&gt;"",_xlpm.MacVal,_xlpm.CSVVal&lt;&gt;"",_xlpm.CSVVal
)),"")</f>
        <v/>
      </c>
      <c r="M202" s="45" t="str">
        <f>_xlfn.LET(
    _xlpm.CSVVal, _xlfn.XLOOKUP($A202, CSV!$A:$A, CSV!AE:AE, ""),
    _xlpm.MacVal, _xlfn.XLOOKUP($A202, Output_Mac!$A:$A, Output_Mac!S:S, ""),
    _xlpm.MyAuditVal, _xlfn.XLOOKUP($A202, My_Audit!$A:$A, My_Audit!N:N, ""),
    _xlfn.TEXTJOIN(", ", TRUE, _xlpm.MyAuditVal, _xlpm.MacVal, _xlpm.CSVVal)
)</f>
        <v/>
      </c>
      <c r="N202" s="45" t="str" cm="1">
        <f t="array" ref="N202">IFERROR(_xlfn.LET(
_xlpm.CSVVal,_xlfn.XLOOKUP($A202,CSV!$A:$A,CSV!AG:AG,""),
_xlpm.MacVal,_xlfn.XLOOKUP($A202,Output_Mac!$A:$A,Output_Mac!U:U,""),
_xlpm.MyAuditVal,_xlfn.XLOOKUP($A202,My_Audit!$A:$A,My_Audit!O:O,""),
_xlfn.IFS(_xlpm.MyAuditVal&lt;&gt;"",UPPER(_xlpm.MyAuditVal),_xlpm.MacVal&lt;&gt;"",_xlpm.MacVal,_xlpm.CSVVal&lt;&gt;"",_xlpm.CSVVal
)),"")</f>
        <v/>
      </c>
      <c r="O202" s="46" t="str">
        <f>_xlfn.XLOOKUP(C202,My_Audit!B:B,My_Audit!P:P,"")&amp;""</f>
        <v/>
      </c>
      <c r="P202" s="45"/>
      <c r="Q202" s="46" t="str">
        <f>IF(LEFT(N202,4)="Pass","Nist SP 800-88",My_Audit!R202)&amp;""</f>
        <v/>
      </c>
      <c r="R202" s="45"/>
      <c r="S202" s="45"/>
      <c r="T202" s="46" t="str">
        <f>_xlfn.XLOOKUP(E202,Models!I:I,Models!J:J,"")</f>
        <v/>
      </c>
      <c r="U202" s="45"/>
      <c r="V202" s="45"/>
      <c r="W202" s="38"/>
    </row>
    <row r="203" spans="1:23">
      <c r="A203" s="45" t="str">
        <f>_xlfn.TEXTJOIN("",TRUE,Input!$B$2,ROW(My_Audit!A202))</f>
        <v>XX202</v>
      </c>
      <c r="B203" s="45" t="str">
        <f>_xlfn.TEXTJOIN("-",TRUE,"ITD",Input!$A$2,A203)</f>
        <v>ITD-SHRXXX-XX202</v>
      </c>
      <c r="C203" s="45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46" t="str" cm="1">
        <f t="array" ref="D203">IFERROR(_xlfn.LET(
_xlpm.CSVVal,_xlfn.XLOOKUP($A203,CSV!$A:$A,CSV!C:C,""),
_xlpm.MacVal,_xlfn.XLOOKUP($A203,Output_Mac!$A:$A,Output_Mac!D:D,""),
_xlpm.MyAuditVal,_xlfn.XLOOKUP($A203,My_Audit!$A:$A,My_Audit!C:C,""),
_xlfn.IFS(_xlpm.MyAuditVal&lt;&gt;"",UPPER(_xlpm.MyAuditVal),_xlpm.MacVal&lt;&gt;"",_xlpm.MacVal,_xlpm.CSVVal&lt;&gt;"",_xlpm.CSVVal
)),"")</f>
        <v/>
      </c>
      <c r="E203" s="46" t="str" cm="1">
        <f t="array" ref="E203">IFERROR(_xlfn.LET(
_xlpm.CSVVal,_xlfn.XLOOKUP($A203,CSV!$A:$A,CSV!E:E,""),
_xlpm.MacVal,_xlfn.XLOOKUP($A203,Output_Mac!$A:$A,Output_Mac!C:C,""),
_xlpm.MyAuditVal,_xlfn.XLOOKUP($A203,My_Audit!$A:$A,My_Audit!D:D,""),
_xlfn.IFS(_xlpm.MyAuditVal&lt;&gt;"",_xlpm.MyAuditVal,_xlpm.MacVal&lt;&gt;"",_xlpm.MacVal,_xlpm.CSVVal&lt;&gt;"",_xlpm.CSVVal
)),"")</f>
        <v/>
      </c>
      <c r="F203" s="45" t="str" cm="1">
        <f t="array" ref="F203">IFERROR(_xlfn.LET(
_xlpm.CSVVal,_xlfn.XLOOKUP($A203,CSV!$A:$A,CSV!F:F,""),
_xlpm.MacVal,_xlfn.XLOOKUP($A203,Output_Mac!$A:$A,Output_Mac!F:F,""),
_xlpm.MyAuditVal,_xlfn.XLOOKUP($A203,My_Audit!$A:$A,My_Audit!E:E,""),
_xlfn.IFS(_xlpm.MyAuditVal&lt;&gt;"",_xlpm.MyAuditVal,_xlpm.MacVal&lt;&gt;"",_xlpm.MacVal,_xlpm.CSVVal&lt;&gt;"",PROPER(_xlpm.CSVVal)
)),"")</f>
        <v/>
      </c>
      <c r="G203" s="45" t="str" cm="1">
        <f t="array" ref="G203">IFERROR(_xlfn.LET(
_xlpm.CSVVal,_xlfn.XLOOKUP($A203,CSV!$A:$A,CSV!G:G,""),
_xlpm.MacVal,_xlfn.XLOOKUP($A203,Output_Mac!$A:$A,Output_Mac!H:H,""),
_xlpm.MyAuditVal,_xlfn.XLOOKUP($A203,My_Audit!$A:$A,My_Audit!F:F,""),
_xlfn.IFS(_xlpm.MyAuditVal&lt;&gt;"",_xlpm.MyAuditVal,_xlpm.MacVal&lt;&gt;"",_xlpm.MacVal,_xlpm.CSVVal&lt;&gt;"",_xlpm.CSVVal
)),"")</f>
        <v/>
      </c>
      <c r="H203" s="45" t="str">
        <f>_xlfn.XLOOKUP(A203,Output_Mac!A:A,Output_Mac!I:I,"")</f>
        <v/>
      </c>
      <c r="I203" s="45" t="str" cm="1">
        <f t="array" ref="I203">IFERROR(_xlfn.LET(
_xlpm.CSVVal,_xlfn.XLOOKUP($A203,CSV!$A:$A,CSV!H:H,""),
_xlpm.MacVal,_xlfn.XLOOKUP($A203,Output_Mac!$A:$A,Output_Mac!J:J,""),
_xlpm.MyAuditVal,_xlfn.XLOOKUP($A203,My_Audit!$A:$A,My_Audit!H:H,""),
_xlfn.IFS(_xlpm.MyAuditVal&lt;&gt;"",UPPER(_xlpm.MyAuditVal),_xlpm.MacVal&lt;&gt;"",_xlpm.MacVal,_xlpm.CSVVal&lt;&gt;"",_xlpm.CSVVal
)),"")</f>
        <v/>
      </c>
      <c r="J203" s="45" t="str" cm="1">
        <f t="array" ref="J203">IFERROR(_xlfn.LET(
_xlpm.CSVVal,_xlfn.XLOOKUP($A203,CSV!$A:$A,CSV!J:J,""),
_xlpm.MacVal,_xlfn.XLOOKUP($A203,Output_Mac!$A:$A,Output_Mac!K:K,""),
_xlpm.MyAuditVal,_xlfn.XLOOKUP($A203,My_Audit!$A:$A,My_Audit!I:I,""),
_xlfn.IFS(_xlpm.MyAuditVal&lt;&gt;"",UPPER(_xlpm.MyAuditVal),_xlpm.MacVal&lt;&gt;"",_xlpm.MacVal,_xlpm.CSVVal&lt;&gt;"",_xlpm.CSVVal
)),"")</f>
        <v/>
      </c>
      <c r="K203" s="45" t="str" cm="1">
        <f t="array" ref="K203">IFERROR(_xlfn.LET(
_xlpm.CSVVal,_xlfn.XLOOKUP($A203,CSV!$A:$A,CSV!N:N,""),
_xlpm.MacVal,_xlfn.XLOOKUP($A203,Output_Mac!$A:$A,Output_Mac!L:L,""),
_xlpm.MyAuditVal,_xlfn.XLOOKUP($A203,My_Audit!$A:$A,My_Audit!J:J,""),
_xlfn.IFS(_xlpm.MyAuditVal&lt;&gt;"",UPPER(_xlpm.MyAuditVal),_xlpm.MacVal&lt;&gt;"",_xlpm.MacVal,_xlpm.CSVVal&lt;&gt;"",_xlpm.CSVVal
)),"")</f>
        <v/>
      </c>
      <c r="L203" s="46" t="str" cm="1">
        <f t="array" ref="L203">IFERROR(_xlfn.LET(
_xlpm.CSVVal,_xlfn.XLOOKUP($A203,CSV!$A:$A,CSV!Q:Q,""),
_xlpm.MacVal,_xlfn.XLOOKUP($A203,Output_Mac!$A:$A,Output_Mac!M:M,""),
_xlpm.MyAuditVal,_xlfn.XLOOKUP($A203,My_Audit!$A:$A,My_Audit!K:K,""),
_xlfn.IFS(_xlpm.MyAuditVal&lt;&gt;"",UPPER(_xlpm.MyAuditVal),_xlpm.MacVal&lt;&gt;"",_xlpm.MacVal,_xlpm.CSVVal&lt;&gt;"",_xlpm.CSVVal
)),"")</f>
        <v/>
      </c>
      <c r="M203" s="45" t="str">
        <f>_xlfn.LET(
    _xlpm.CSVVal, _xlfn.XLOOKUP($A203, CSV!$A:$A, CSV!AE:AE, ""),
    _xlpm.MacVal, _xlfn.XLOOKUP($A203, Output_Mac!$A:$A, Output_Mac!S:S, ""),
    _xlpm.MyAuditVal, _xlfn.XLOOKUP($A203, My_Audit!$A:$A, My_Audit!N:N, ""),
    _xlfn.TEXTJOIN(", ", TRUE, _xlpm.MyAuditVal, _xlpm.MacVal, _xlpm.CSVVal)
)</f>
        <v/>
      </c>
      <c r="N203" s="45" t="str" cm="1">
        <f t="array" ref="N203">IFERROR(_xlfn.LET(
_xlpm.CSVVal,_xlfn.XLOOKUP($A203,CSV!$A:$A,CSV!AG:AG,""),
_xlpm.MacVal,_xlfn.XLOOKUP($A203,Output_Mac!$A:$A,Output_Mac!U:U,""),
_xlpm.MyAuditVal,_xlfn.XLOOKUP($A203,My_Audit!$A:$A,My_Audit!O:O,""),
_xlfn.IFS(_xlpm.MyAuditVal&lt;&gt;"",UPPER(_xlpm.MyAuditVal),_xlpm.MacVal&lt;&gt;"",_xlpm.MacVal,_xlpm.CSVVal&lt;&gt;"",_xlpm.CSVVal
)),"")</f>
        <v/>
      </c>
      <c r="O203" s="46" t="str">
        <f>_xlfn.XLOOKUP(C203,My_Audit!B:B,My_Audit!P:P,"")&amp;""</f>
        <v/>
      </c>
      <c r="P203" s="45"/>
      <c r="Q203" s="46" t="str">
        <f>IF(LEFT(N203,4)="Pass","Nist SP 800-88",My_Audit!R203)&amp;""</f>
        <v/>
      </c>
      <c r="R203" s="45"/>
      <c r="S203" s="45"/>
      <c r="T203" s="46" t="str">
        <f>_xlfn.XLOOKUP(E203,Models!I:I,Models!J:J,"")</f>
        <v/>
      </c>
      <c r="U203" s="45"/>
      <c r="V203" s="45"/>
      <c r="W203" s="38"/>
    </row>
    <row r="204" spans="1:23">
      <c r="A204" s="45" t="str">
        <f>_xlfn.TEXTJOIN("",TRUE,Input!$B$2,ROW(My_Audit!A203))</f>
        <v>XX203</v>
      </c>
      <c r="B204" s="45" t="str">
        <f>_xlfn.TEXTJOIN("-",TRUE,"ITD",Input!$A$2,A204)</f>
        <v>ITD-SHRXXX-XX203</v>
      </c>
      <c r="C204" s="45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46" t="str" cm="1">
        <f t="array" ref="D204">IFERROR(_xlfn.LET(
_xlpm.CSVVal,_xlfn.XLOOKUP($A204,CSV!$A:$A,CSV!C:C,""),
_xlpm.MacVal,_xlfn.XLOOKUP($A204,Output_Mac!$A:$A,Output_Mac!D:D,""),
_xlpm.MyAuditVal,_xlfn.XLOOKUP($A204,My_Audit!$A:$A,My_Audit!C:C,""),
_xlfn.IFS(_xlpm.MyAuditVal&lt;&gt;"",UPPER(_xlpm.MyAuditVal),_xlpm.MacVal&lt;&gt;"",_xlpm.MacVal,_xlpm.CSVVal&lt;&gt;"",_xlpm.CSVVal
)),"")</f>
        <v/>
      </c>
      <c r="E204" s="46" t="str" cm="1">
        <f t="array" ref="E204">IFERROR(_xlfn.LET(
_xlpm.CSVVal,_xlfn.XLOOKUP($A204,CSV!$A:$A,CSV!E:E,""),
_xlpm.MacVal,_xlfn.XLOOKUP($A204,Output_Mac!$A:$A,Output_Mac!C:C,""),
_xlpm.MyAuditVal,_xlfn.XLOOKUP($A204,My_Audit!$A:$A,My_Audit!D:D,""),
_xlfn.IFS(_xlpm.MyAuditVal&lt;&gt;"",_xlpm.MyAuditVal,_xlpm.MacVal&lt;&gt;"",_xlpm.MacVal,_xlpm.CSVVal&lt;&gt;"",_xlpm.CSVVal
)),"")</f>
        <v/>
      </c>
      <c r="F204" s="45" t="str" cm="1">
        <f t="array" ref="F204">IFERROR(_xlfn.LET(
_xlpm.CSVVal,_xlfn.XLOOKUP($A204,CSV!$A:$A,CSV!F:F,""),
_xlpm.MacVal,_xlfn.XLOOKUP($A204,Output_Mac!$A:$A,Output_Mac!F:F,""),
_xlpm.MyAuditVal,_xlfn.XLOOKUP($A204,My_Audit!$A:$A,My_Audit!E:E,""),
_xlfn.IFS(_xlpm.MyAuditVal&lt;&gt;"",_xlpm.MyAuditVal,_xlpm.MacVal&lt;&gt;"",_xlpm.MacVal,_xlpm.CSVVal&lt;&gt;"",PROPER(_xlpm.CSVVal)
)),"")</f>
        <v/>
      </c>
      <c r="G204" s="45" t="str" cm="1">
        <f t="array" ref="G204">IFERROR(_xlfn.LET(
_xlpm.CSVVal,_xlfn.XLOOKUP($A204,CSV!$A:$A,CSV!G:G,""),
_xlpm.MacVal,_xlfn.XLOOKUP($A204,Output_Mac!$A:$A,Output_Mac!H:H,""),
_xlpm.MyAuditVal,_xlfn.XLOOKUP($A204,My_Audit!$A:$A,My_Audit!F:F,""),
_xlfn.IFS(_xlpm.MyAuditVal&lt;&gt;"",_xlpm.MyAuditVal,_xlpm.MacVal&lt;&gt;"",_xlpm.MacVal,_xlpm.CSVVal&lt;&gt;"",_xlpm.CSVVal
)),"")</f>
        <v/>
      </c>
      <c r="H204" s="45" t="str">
        <f>_xlfn.XLOOKUP(A204,Output_Mac!A:A,Output_Mac!I:I,"")</f>
        <v/>
      </c>
      <c r="I204" s="45" t="str" cm="1">
        <f t="array" ref="I204">IFERROR(_xlfn.LET(
_xlpm.CSVVal,_xlfn.XLOOKUP($A204,CSV!$A:$A,CSV!H:H,""),
_xlpm.MacVal,_xlfn.XLOOKUP($A204,Output_Mac!$A:$A,Output_Mac!J:J,""),
_xlpm.MyAuditVal,_xlfn.XLOOKUP($A204,My_Audit!$A:$A,My_Audit!H:H,""),
_xlfn.IFS(_xlpm.MyAuditVal&lt;&gt;"",UPPER(_xlpm.MyAuditVal),_xlpm.MacVal&lt;&gt;"",_xlpm.MacVal,_xlpm.CSVVal&lt;&gt;"",_xlpm.CSVVal
)),"")</f>
        <v/>
      </c>
      <c r="J204" s="45" t="str" cm="1">
        <f t="array" ref="J204">IFERROR(_xlfn.LET(
_xlpm.CSVVal,_xlfn.XLOOKUP($A204,CSV!$A:$A,CSV!J:J,""),
_xlpm.MacVal,_xlfn.XLOOKUP($A204,Output_Mac!$A:$A,Output_Mac!K:K,""),
_xlpm.MyAuditVal,_xlfn.XLOOKUP($A204,My_Audit!$A:$A,My_Audit!I:I,""),
_xlfn.IFS(_xlpm.MyAuditVal&lt;&gt;"",UPPER(_xlpm.MyAuditVal),_xlpm.MacVal&lt;&gt;"",_xlpm.MacVal,_xlpm.CSVVal&lt;&gt;"",_xlpm.CSVVal
)),"")</f>
        <v/>
      </c>
      <c r="K204" s="45" t="str" cm="1">
        <f t="array" ref="K204">IFERROR(_xlfn.LET(
_xlpm.CSVVal,_xlfn.XLOOKUP($A204,CSV!$A:$A,CSV!N:N,""),
_xlpm.MacVal,_xlfn.XLOOKUP($A204,Output_Mac!$A:$A,Output_Mac!L:L,""),
_xlpm.MyAuditVal,_xlfn.XLOOKUP($A204,My_Audit!$A:$A,My_Audit!J:J,""),
_xlfn.IFS(_xlpm.MyAuditVal&lt;&gt;"",UPPER(_xlpm.MyAuditVal),_xlpm.MacVal&lt;&gt;"",_xlpm.MacVal,_xlpm.CSVVal&lt;&gt;"",_xlpm.CSVVal
)),"")</f>
        <v/>
      </c>
      <c r="L204" s="46" t="str" cm="1">
        <f t="array" ref="L204">IFERROR(_xlfn.LET(
_xlpm.CSVVal,_xlfn.XLOOKUP($A204,CSV!$A:$A,CSV!Q:Q,""),
_xlpm.MacVal,_xlfn.XLOOKUP($A204,Output_Mac!$A:$A,Output_Mac!M:M,""),
_xlpm.MyAuditVal,_xlfn.XLOOKUP($A204,My_Audit!$A:$A,My_Audit!K:K,""),
_xlfn.IFS(_xlpm.MyAuditVal&lt;&gt;"",UPPER(_xlpm.MyAuditVal),_xlpm.MacVal&lt;&gt;"",_xlpm.MacVal,_xlpm.CSVVal&lt;&gt;"",_xlpm.CSVVal
)),"")</f>
        <v/>
      </c>
      <c r="M204" s="45" t="str">
        <f>_xlfn.LET(
    _xlpm.CSVVal, _xlfn.XLOOKUP($A204, CSV!$A:$A, CSV!AE:AE, ""),
    _xlpm.MacVal, _xlfn.XLOOKUP($A204, Output_Mac!$A:$A, Output_Mac!S:S, ""),
    _xlpm.MyAuditVal, _xlfn.XLOOKUP($A204, My_Audit!$A:$A, My_Audit!N:N, ""),
    _xlfn.TEXTJOIN(", ", TRUE, _xlpm.MyAuditVal, _xlpm.MacVal, _xlpm.CSVVal)
)</f>
        <v/>
      </c>
      <c r="N204" s="45" t="str" cm="1">
        <f t="array" ref="N204">IFERROR(_xlfn.LET(
_xlpm.CSVVal,_xlfn.XLOOKUP($A204,CSV!$A:$A,CSV!AG:AG,""),
_xlpm.MacVal,_xlfn.XLOOKUP($A204,Output_Mac!$A:$A,Output_Mac!U:U,""),
_xlpm.MyAuditVal,_xlfn.XLOOKUP($A204,My_Audit!$A:$A,My_Audit!O:O,""),
_xlfn.IFS(_xlpm.MyAuditVal&lt;&gt;"",UPPER(_xlpm.MyAuditVal),_xlpm.MacVal&lt;&gt;"",_xlpm.MacVal,_xlpm.CSVVal&lt;&gt;"",_xlpm.CSVVal
)),"")</f>
        <v/>
      </c>
      <c r="O204" s="46" t="str">
        <f>_xlfn.XLOOKUP(C204,My_Audit!B:B,My_Audit!P:P,"")&amp;""</f>
        <v/>
      </c>
      <c r="P204" s="45"/>
      <c r="Q204" s="46" t="str">
        <f>IF(LEFT(N204,4)="Pass","Nist SP 800-88",My_Audit!R204)&amp;""</f>
        <v/>
      </c>
      <c r="R204" s="45"/>
      <c r="S204" s="45"/>
      <c r="T204" s="46" t="str">
        <f>_xlfn.XLOOKUP(E204,Models!I:I,Models!J:J,"")</f>
        <v/>
      </c>
      <c r="U204" s="45"/>
      <c r="V204" s="45"/>
      <c r="W204" s="38"/>
    </row>
    <row r="205" spans="1:23">
      <c r="A205" s="45" t="str">
        <f>_xlfn.TEXTJOIN("",TRUE,Input!$B$2,ROW(My_Audit!A204))</f>
        <v>XX204</v>
      </c>
      <c r="B205" s="45" t="str">
        <f>_xlfn.TEXTJOIN("-",TRUE,"ITD",Input!$A$2,A205)</f>
        <v>ITD-SHRXXX-XX204</v>
      </c>
      <c r="C205" s="45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46" t="str" cm="1">
        <f t="array" ref="D205">IFERROR(_xlfn.LET(
_xlpm.CSVVal,_xlfn.XLOOKUP($A205,CSV!$A:$A,CSV!C:C,""),
_xlpm.MacVal,_xlfn.XLOOKUP($A205,Output_Mac!$A:$A,Output_Mac!D:D,""),
_xlpm.MyAuditVal,_xlfn.XLOOKUP($A205,My_Audit!$A:$A,My_Audit!C:C,""),
_xlfn.IFS(_xlpm.MyAuditVal&lt;&gt;"",UPPER(_xlpm.MyAuditVal),_xlpm.MacVal&lt;&gt;"",_xlpm.MacVal,_xlpm.CSVVal&lt;&gt;"",_xlpm.CSVVal
)),"")</f>
        <v/>
      </c>
      <c r="E205" s="46" t="str" cm="1">
        <f t="array" ref="E205">IFERROR(_xlfn.LET(
_xlpm.CSVVal,_xlfn.XLOOKUP($A205,CSV!$A:$A,CSV!E:E,""),
_xlpm.MacVal,_xlfn.XLOOKUP($A205,Output_Mac!$A:$A,Output_Mac!C:C,""),
_xlpm.MyAuditVal,_xlfn.XLOOKUP($A205,My_Audit!$A:$A,My_Audit!D:D,""),
_xlfn.IFS(_xlpm.MyAuditVal&lt;&gt;"",_xlpm.MyAuditVal,_xlpm.MacVal&lt;&gt;"",_xlpm.MacVal,_xlpm.CSVVal&lt;&gt;"",_xlpm.CSVVal
)),"")</f>
        <v/>
      </c>
      <c r="F205" s="45" t="str" cm="1">
        <f t="array" ref="F205">IFERROR(_xlfn.LET(
_xlpm.CSVVal,_xlfn.XLOOKUP($A205,CSV!$A:$A,CSV!F:F,""),
_xlpm.MacVal,_xlfn.XLOOKUP($A205,Output_Mac!$A:$A,Output_Mac!F:F,""),
_xlpm.MyAuditVal,_xlfn.XLOOKUP($A205,My_Audit!$A:$A,My_Audit!E:E,""),
_xlfn.IFS(_xlpm.MyAuditVal&lt;&gt;"",_xlpm.MyAuditVal,_xlpm.MacVal&lt;&gt;"",_xlpm.MacVal,_xlpm.CSVVal&lt;&gt;"",PROPER(_xlpm.CSVVal)
)),"")</f>
        <v/>
      </c>
      <c r="G205" s="45" t="str" cm="1">
        <f t="array" ref="G205">IFERROR(_xlfn.LET(
_xlpm.CSVVal,_xlfn.XLOOKUP($A205,CSV!$A:$A,CSV!G:G,""),
_xlpm.MacVal,_xlfn.XLOOKUP($A205,Output_Mac!$A:$A,Output_Mac!H:H,""),
_xlpm.MyAuditVal,_xlfn.XLOOKUP($A205,My_Audit!$A:$A,My_Audit!F:F,""),
_xlfn.IFS(_xlpm.MyAuditVal&lt;&gt;"",_xlpm.MyAuditVal,_xlpm.MacVal&lt;&gt;"",_xlpm.MacVal,_xlpm.CSVVal&lt;&gt;"",_xlpm.CSVVal
)),"")</f>
        <v/>
      </c>
      <c r="H205" s="45" t="str">
        <f>_xlfn.XLOOKUP(A205,Output_Mac!A:A,Output_Mac!I:I,"")</f>
        <v/>
      </c>
      <c r="I205" s="45" t="str" cm="1">
        <f t="array" ref="I205">IFERROR(_xlfn.LET(
_xlpm.CSVVal,_xlfn.XLOOKUP($A205,CSV!$A:$A,CSV!H:H,""),
_xlpm.MacVal,_xlfn.XLOOKUP($A205,Output_Mac!$A:$A,Output_Mac!J:J,""),
_xlpm.MyAuditVal,_xlfn.XLOOKUP($A205,My_Audit!$A:$A,My_Audit!H:H,""),
_xlfn.IFS(_xlpm.MyAuditVal&lt;&gt;"",UPPER(_xlpm.MyAuditVal),_xlpm.MacVal&lt;&gt;"",_xlpm.MacVal,_xlpm.CSVVal&lt;&gt;"",_xlpm.CSVVal
)),"")</f>
        <v/>
      </c>
      <c r="J205" s="45" t="str" cm="1">
        <f t="array" ref="J205">IFERROR(_xlfn.LET(
_xlpm.CSVVal,_xlfn.XLOOKUP($A205,CSV!$A:$A,CSV!J:J,""),
_xlpm.MacVal,_xlfn.XLOOKUP($A205,Output_Mac!$A:$A,Output_Mac!K:K,""),
_xlpm.MyAuditVal,_xlfn.XLOOKUP($A205,My_Audit!$A:$A,My_Audit!I:I,""),
_xlfn.IFS(_xlpm.MyAuditVal&lt;&gt;"",UPPER(_xlpm.MyAuditVal),_xlpm.MacVal&lt;&gt;"",_xlpm.MacVal,_xlpm.CSVVal&lt;&gt;"",_xlpm.CSVVal
)),"")</f>
        <v/>
      </c>
      <c r="K205" s="45" t="str" cm="1">
        <f t="array" ref="K205">IFERROR(_xlfn.LET(
_xlpm.CSVVal,_xlfn.XLOOKUP($A205,CSV!$A:$A,CSV!N:N,""),
_xlpm.MacVal,_xlfn.XLOOKUP($A205,Output_Mac!$A:$A,Output_Mac!L:L,""),
_xlpm.MyAuditVal,_xlfn.XLOOKUP($A205,My_Audit!$A:$A,My_Audit!J:J,""),
_xlfn.IFS(_xlpm.MyAuditVal&lt;&gt;"",UPPER(_xlpm.MyAuditVal),_xlpm.MacVal&lt;&gt;"",_xlpm.MacVal,_xlpm.CSVVal&lt;&gt;"",_xlpm.CSVVal
)),"")</f>
        <v/>
      </c>
      <c r="L205" s="46" t="str" cm="1">
        <f t="array" ref="L205">IFERROR(_xlfn.LET(
_xlpm.CSVVal,_xlfn.XLOOKUP($A205,CSV!$A:$A,CSV!Q:Q,""),
_xlpm.MacVal,_xlfn.XLOOKUP($A205,Output_Mac!$A:$A,Output_Mac!M:M,""),
_xlpm.MyAuditVal,_xlfn.XLOOKUP($A205,My_Audit!$A:$A,My_Audit!K:K,""),
_xlfn.IFS(_xlpm.MyAuditVal&lt;&gt;"",UPPER(_xlpm.MyAuditVal),_xlpm.MacVal&lt;&gt;"",_xlpm.MacVal,_xlpm.CSVVal&lt;&gt;"",_xlpm.CSVVal
)),"")</f>
        <v/>
      </c>
      <c r="M205" s="45" t="str">
        <f>_xlfn.LET(
    _xlpm.CSVVal, _xlfn.XLOOKUP($A205, CSV!$A:$A, CSV!AE:AE, ""),
    _xlpm.MacVal, _xlfn.XLOOKUP($A205, Output_Mac!$A:$A, Output_Mac!S:S, ""),
    _xlpm.MyAuditVal, _xlfn.XLOOKUP($A205, My_Audit!$A:$A, My_Audit!N:N, ""),
    _xlfn.TEXTJOIN(", ", TRUE, _xlpm.MyAuditVal, _xlpm.MacVal, _xlpm.CSVVal)
)</f>
        <v/>
      </c>
      <c r="N205" s="45" t="str" cm="1">
        <f t="array" ref="N205">IFERROR(_xlfn.LET(
_xlpm.CSVVal,_xlfn.XLOOKUP($A205,CSV!$A:$A,CSV!AG:AG,""),
_xlpm.MacVal,_xlfn.XLOOKUP($A205,Output_Mac!$A:$A,Output_Mac!U:U,""),
_xlpm.MyAuditVal,_xlfn.XLOOKUP($A205,My_Audit!$A:$A,My_Audit!O:O,""),
_xlfn.IFS(_xlpm.MyAuditVal&lt;&gt;"",UPPER(_xlpm.MyAuditVal),_xlpm.MacVal&lt;&gt;"",_xlpm.MacVal,_xlpm.CSVVal&lt;&gt;"",_xlpm.CSVVal
)),"")</f>
        <v/>
      </c>
      <c r="O205" s="46" t="str">
        <f>_xlfn.XLOOKUP(C205,My_Audit!B:B,My_Audit!P:P,"")&amp;""</f>
        <v/>
      </c>
      <c r="P205" s="45"/>
      <c r="Q205" s="46" t="str">
        <f>IF(LEFT(N205,4)="Pass","Nist SP 800-88",My_Audit!R205)&amp;""</f>
        <v/>
      </c>
      <c r="R205" s="45"/>
      <c r="S205" s="45"/>
      <c r="T205" s="46" t="str">
        <f>_xlfn.XLOOKUP(E205,Models!I:I,Models!J:J,"")</f>
        <v/>
      </c>
      <c r="U205" s="45"/>
      <c r="V205" s="45"/>
      <c r="W205" s="38"/>
    </row>
    <row r="206" spans="1:23">
      <c r="A206" s="45" t="str">
        <f>_xlfn.TEXTJOIN("",TRUE,Input!$B$2,ROW(My_Audit!A205))</f>
        <v>XX205</v>
      </c>
      <c r="B206" s="45" t="str">
        <f>_xlfn.TEXTJOIN("-",TRUE,"ITD",Input!$A$2,A206)</f>
        <v>ITD-SHRXXX-XX205</v>
      </c>
      <c r="C206" s="45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46" t="str" cm="1">
        <f t="array" ref="D206">IFERROR(_xlfn.LET(
_xlpm.CSVVal,_xlfn.XLOOKUP($A206,CSV!$A:$A,CSV!C:C,""),
_xlpm.MacVal,_xlfn.XLOOKUP($A206,Output_Mac!$A:$A,Output_Mac!D:D,""),
_xlpm.MyAuditVal,_xlfn.XLOOKUP($A206,My_Audit!$A:$A,My_Audit!C:C,""),
_xlfn.IFS(_xlpm.MyAuditVal&lt;&gt;"",UPPER(_xlpm.MyAuditVal),_xlpm.MacVal&lt;&gt;"",_xlpm.MacVal,_xlpm.CSVVal&lt;&gt;"",_xlpm.CSVVal
)),"")</f>
        <v/>
      </c>
      <c r="E206" s="46" t="str" cm="1">
        <f t="array" ref="E206">IFERROR(_xlfn.LET(
_xlpm.CSVVal,_xlfn.XLOOKUP($A206,CSV!$A:$A,CSV!E:E,""),
_xlpm.MacVal,_xlfn.XLOOKUP($A206,Output_Mac!$A:$A,Output_Mac!C:C,""),
_xlpm.MyAuditVal,_xlfn.XLOOKUP($A206,My_Audit!$A:$A,My_Audit!D:D,""),
_xlfn.IFS(_xlpm.MyAuditVal&lt;&gt;"",_xlpm.MyAuditVal,_xlpm.MacVal&lt;&gt;"",_xlpm.MacVal,_xlpm.CSVVal&lt;&gt;"",_xlpm.CSVVal
)),"")</f>
        <v/>
      </c>
      <c r="F206" s="45" t="str" cm="1">
        <f t="array" ref="F206">IFERROR(_xlfn.LET(
_xlpm.CSVVal,_xlfn.XLOOKUP($A206,CSV!$A:$A,CSV!F:F,""),
_xlpm.MacVal,_xlfn.XLOOKUP($A206,Output_Mac!$A:$A,Output_Mac!F:F,""),
_xlpm.MyAuditVal,_xlfn.XLOOKUP($A206,My_Audit!$A:$A,My_Audit!E:E,""),
_xlfn.IFS(_xlpm.MyAuditVal&lt;&gt;"",_xlpm.MyAuditVal,_xlpm.MacVal&lt;&gt;"",_xlpm.MacVal,_xlpm.CSVVal&lt;&gt;"",PROPER(_xlpm.CSVVal)
)),"")</f>
        <v/>
      </c>
      <c r="G206" s="45" t="str" cm="1">
        <f t="array" ref="G206">IFERROR(_xlfn.LET(
_xlpm.CSVVal,_xlfn.XLOOKUP($A206,CSV!$A:$A,CSV!G:G,""),
_xlpm.MacVal,_xlfn.XLOOKUP($A206,Output_Mac!$A:$A,Output_Mac!H:H,""),
_xlpm.MyAuditVal,_xlfn.XLOOKUP($A206,My_Audit!$A:$A,My_Audit!F:F,""),
_xlfn.IFS(_xlpm.MyAuditVal&lt;&gt;"",_xlpm.MyAuditVal,_xlpm.MacVal&lt;&gt;"",_xlpm.MacVal,_xlpm.CSVVal&lt;&gt;"",_xlpm.CSVVal
)),"")</f>
        <v/>
      </c>
      <c r="H206" s="45" t="str">
        <f>_xlfn.XLOOKUP(A206,Output_Mac!A:A,Output_Mac!I:I,"")</f>
        <v/>
      </c>
      <c r="I206" s="45" t="str" cm="1">
        <f t="array" ref="I206">IFERROR(_xlfn.LET(
_xlpm.CSVVal,_xlfn.XLOOKUP($A206,CSV!$A:$A,CSV!H:H,""),
_xlpm.MacVal,_xlfn.XLOOKUP($A206,Output_Mac!$A:$A,Output_Mac!J:J,""),
_xlpm.MyAuditVal,_xlfn.XLOOKUP($A206,My_Audit!$A:$A,My_Audit!H:H,""),
_xlfn.IFS(_xlpm.MyAuditVal&lt;&gt;"",UPPER(_xlpm.MyAuditVal),_xlpm.MacVal&lt;&gt;"",_xlpm.MacVal,_xlpm.CSVVal&lt;&gt;"",_xlpm.CSVVal
)),"")</f>
        <v/>
      </c>
      <c r="J206" s="45" t="str" cm="1">
        <f t="array" ref="J206">IFERROR(_xlfn.LET(
_xlpm.CSVVal,_xlfn.XLOOKUP($A206,CSV!$A:$A,CSV!J:J,""),
_xlpm.MacVal,_xlfn.XLOOKUP($A206,Output_Mac!$A:$A,Output_Mac!K:K,""),
_xlpm.MyAuditVal,_xlfn.XLOOKUP($A206,My_Audit!$A:$A,My_Audit!I:I,""),
_xlfn.IFS(_xlpm.MyAuditVal&lt;&gt;"",UPPER(_xlpm.MyAuditVal),_xlpm.MacVal&lt;&gt;"",_xlpm.MacVal,_xlpm.CSVVal&lt;&gt;"",_xlpm.CSVVal
)),"")</f>
        <v/>
      </c>
      <c r="K206" s="45" t="str" cm="1">
        <f t="array" ref="K206">IFERROR(_xlfn.LET(
_xlpm.CSVVal,_xlfn.XLOOKUP($A206,CSV!$A:$A,CSV!N:N,""),
_xlpm.MacVal,_xlfn.XLOOKUP($A206,Output_Mac!$A:$A,Output_Mac!L:L,""),
_xlpm.MyAuditVal,_xlfn.XLOOKUP($A206,My_Audit!$A:$A,My_Audit!J:J,""),
_xlfn.IFS(_xlpm.MyAuditVal&lt;&gt;"",UPPER(_xlpm.MyAuditVal),_xlpm.MacVal&lt;&gt;"",_xlpm.MacVal,_xlpm.CSVVal&lt;&gt;"",_xlpm.CSVVal
)),"")</f>
        <v/>
      </c>
      <c r="L206" s="46" t="str" cm="1">
        <f t="array" ref="L206">IFERROR(_xlfn.LET(
_xlpm.CSVVal,_xlfn.XLOOKUP($A206,CSV!$A:$A,CSV!Q:Q,""),
_xlpm.MacVal,_xlfn.XLOOKUP($A206,Output_Mac!$A:$A,Output_Mac!M:M,""),
_xlpm.MyAuditVal,_xlfn.XLOOKUP($A206,My_Audit!$A:$A,My_Audit!K:K,""),
_xlfn.IFS(_xlpm.MyAuditVal&lt;&gt;"",UPPER(_xlpm.MyAuditVal),_xlpm.MacVal&lt;&gt;"",_xlpm.MacVal,_xlpm.CSVVal&lt;&gt;"",_xlpm.CSVVal
)),"")</f>
        <v/>
      </c>
      <c r="M206" s="45" t="str">
        <f>_xlfn.LET(
    _xlpm.CSVVal, _xlfn.XLOOKUP($A206, CSV!$A:$A, CSV!AE:AE, ""),
    _xlpm.MacVal, _xlfn.XLOOKUP($A206, Output_Mac!$A:$A, Output_Mac!S:S, ""),
    _xlpm.MyAuditVal, _xlfn.XLOOKUP($A206, My_Audit!$A:$A, My_Audit!N:N, ""),
    _xlfn.TEXTJOIN(", ", TRUE, _xlpm.MyAuditVal, _xlpm.MacVal, _xlpm.CSVVal)
)</f>
        <v/>
      </c>
      <c r="N206" s="45" t="str" cm="1">
        <f t="array" ref="N206">IFERROR(_xlfn.LET(
_xlpm.CSVVal,_xlfn.XLOOKUP($A206,CSV!$A:$A,CSV!AG:AG,""),
_xlpm.MacVal,_xlfn.XLOOKUP($A206,Output_Mac!$A:$A,Output_Mac!U:U,""),
_xlpm.MyAuditVal,_xlfn.XLOOKUP($A206,My_Audit!$A:$A,My_Audit!O:O,""),
_xlfn.IFS(_xlpm.MyAuditVal&lt;&gt;"",UPPER(_xlpm.MyAuditVal),_xlpm.MacVal&lt;&gt;"",_xlpm.MacVal,_xlpm.CSVVal&lt;&gt;"",_xlpm.CSVVal
)),"")</f>
        <v/>
      </c>
      <c r="O206" s="46" t="str">
        <f>_xlfn.XLOOKUP(C206,My_Audit!B:B,My_Audit!P:P,"")&amp;""</f>
        <v/>
      </c>
      <c r="P206" s="45"/>
      <c r="Q206" s="46" t="str">
        <f>IF(LEFT(N206,4)="Pass","Nist SP 800-88",My_Audit!R206)&amp;""</f>
        <v/>
      </c>
      <c r="R206" s="45"/>
      <c r="S206" s="45"/>
      <c r="T206" s="46" t="str">
        <f>_xlfn.XLOOKUP(E206,Models!I:I,Models!J:J,"")</f>
        <v/>
      </c>
      <c r="U206" s="45"/>
      <c r="V206" s="45"/>
      <c r="W206" s="38"/>
    </row>
    <row r="207" spans="1:23">
      <c r="A207" s="45" t="str">
        <f>_xlfn.TEXTJOIN("",TRUE,Input!$B$2,ROW(My_Audit!A206))</f>
        <v>XX206</v>
      </c>
      <c r="B207" s="45" t="str">
        <f>_xlfn.TEXTJOIN("-",TRUE,"ITD",Input!$A$2,A207)</f>
        <v>ITD-SHRXXX-XX206</v>
      </c>
      <c r="C207" s="45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46" t="str" cm="1">
        <f t="array" ref="D207">IFERROR(_xlfn.LET(
_xlpm.CSVVal,_xlfn.XLOOKUP($A207,CSV!$A:$A,CSV!C:C,""),
_xlpm.MacVal,_xlfn.XLOOKUP($A207,Output_Mac!$A:$A,Output_Mac!D:D,""),
_xlpm.MyAuditVal,_xlfn.XLOOKUP($A207,My_Audit!$A:$A,My_Audit!C:C,""),
_xlfn.IFS(_xlpm.MyAuditVal&lt;&gt;"",UPPER(_xlpm.MyAuditVal),_xlpm.MacVal&lt;&gt;"",_xlpm.MacVal,_xlpm.CSVVal&lt;&gt;"",_xlpm.CSVVal
)),"")</f>
        <v/>
      </c>
      <c r="E207" s="46" t="str" cm="1">
        <f t="array" ref="E207">IFERROR(_xlfn.LET(
_xlpm.CSVVal,_xlfn.XLOOKUP($A207,CSV!$A:$A,CSV!E:E,""),
_xlpm.MacVal,_xlfn.XLOOKUP($A207,Output_Mac!$A:$A,Output_Mac!C:C,""),
_xlpm.MyAuditVal,_xlfn.XLOOKUP($A207,My_Audit!$A:$A,My_Audit!D:D,""),
_xlfn.IFS(_xlpm.MyAuditVal&lt;&gt;"",_xlpm.MyAuditVal,_xlpm.MacVal&lt;&gt;"",_xlpm.MacVal,_xlpm.CSVVal&lt;&gt;"",_xlpm.CSVVal
)),"")</f>
        <v/>
      </c>
      <c r="F207" s="45" t="str" cm="1">
        <f t="array" ref="F207">IFERROR(_xlfn.LET(
_xlpm.CSVVal,_xlfn.XLOOKUP($A207,CSV!$A:$A,CSV!F:F,""),
_xlpm.MacVal,_xlfn.XLOOKUP($A207,Output_Mac!$A:$A,Output_Mac!F:F,""),
_xlpm.MyAuditVal,_xlfn.XLOOKUP($A207,My_Audit!$A:$A,My_Audit!E:E,""),
_xlfn.IFS(_xlpm.MyAuditVal&lt;&gt;"",_xlpm.MyAuditVal,_xlpm.MacVal&lt;&gt;"",_xlpm.MacVal,_xlpm.CSVVal&lt;&gt;"",PROPER(_xlpm.CSVVal)
)),"")</f>
        <v/>
      </c>
      <c r="G207" s="45" t="str" cm="1">
        <f t="array" ref="G207">IFERROR(_xlfn.LET(
_xlpm.CSVVal,_xlfn.XLOOKUP($A207,CSV!$A:$A,CSV!G:G,""),
_xlpm.MacVal,_xlfn.XLOOKUP($A207,Output_Mac!$A:$A,Output_Mac!H:H,""),
_xlpm.MyAuditVal,_xlfn.XLOOKUP($A207,My_Audit!$A:$A,My_Audit!F:F,""),
_xlfn.IFS(_xlpm.MyAuditVal&lt;&gt;"",_xlpm.MyAuditVal,_xlpm.MacVal&lt;&gt;"",_xlpm.MacVal,_xlpm.CSVVal&lt;&gt;"",_xlpm.CSVVal
)),"")</f>
        <v/>
      </c>
      <c r="H207" s="45" t="str">
        <f>_xlfn.XLOOKUP(A207,Output_Mac!A:A,Output_Mac!I:I,"")</f>
        <v/>
      </c>
      <c r="I207" s="45" t="str" cm="1">
        <f t="array" ref="I207">IFERROR(_xlfn.LET(
_xlpm.CSVVal,_xlfn.XLOOKUP($A207,CSV!$A:$A,CSV!H:H,""),
_xlpm.MacVal,_xlfn.XLOOKUP($A207,Output_Mac!$A:$A,Output_Mac!J:J,""),
_xlpm.MyAuditVal,_xlfn.XLOOKUP($A207,My_Audit!$A:$A,My_Audit!H:H,""),
_xlfn.IFS(_xlpm.MyAuditVal&lt;&gt;"",UPPER(_xlpm.MyAuditVal),_xlpm.MacVal&lt;&gt;"",_xlpm.MacVal,_xlpm.CSVVal&lt;&gt;"",_xlpm.CSVVal
)),"")</f>
        <v/>
      </c>
      <c r="J207" s="45" t="str" cm="1">
        <f t="array" ref="J207">IFERROR(_xlfn.LET(
_xlpm.CSVVal,_xlfn.XLOOKUP($A207,CSV!$A:$A,CSV!J:J,""),
_xlpm.MacVal,_xlfn.XLOOKUP($A207,Output_Mac!$A:$A,Output_Mac!K:K,""),
_xlpm.MyAuditVal,_xlfn.XLOOKUP($A207,My_Audit!$A:$A,My_Audit!I:I,""),
_xlfn.IFS(_xlpm.MyAuditVal&lt;&gt;"",UPPER(_xlpm.MyAuditVal),_xlpm.MacVal&lt;&gt;"",_xlpm.MacVal,_xlpm.CSVVal&lt;&gt;"",_xlpm.CSVVal
)),"")</f>
        <v/>
      </c>
      <c r="K207" s="45" t="str" cm="1">
        <f t="array" ref="K207">IFERROR(_xlfn.LET(
_xlpm.CSVVal,_xlfn.XLOOKUP($A207,CSV!$A:$A,CSV!N:N,""),
_xlpm.MacVal,_xlfn.XLOOKUP($A207,Output_Mac!$A:$A,Output_Mac!L:L,""),
_xlpm.MyAuditVal,_xlfn.XLOOKUP($A207,My_Audit!$A:$A,My_Audit!J:J,""),
_xlfn.IFS(_xlpm.MyAuditVal&lt;&gt;"",UPPER(_xlpm.MyAuditVal),_xlpm.MacVal&lt;&gt;"",_xlpm.MacVal,_xlpm.CSVVal&lt;&gt;"",_xlpm.CSVVal
)),"")</f>
        <v/>
      </c>
      <c r="L207" s="46" t="str" cm="1">
        <f t="array" ref="L207">IFERROR(_xlfn.LET(
_xlpm.CSVVal,_xlfn.XLOOKUP($A207,CSV!$A:$A,CSV!Q:Q,""),
_xlpm.MacVal,_xlfn.XLOOKUP($A207,Output_Mac!$A:$A,Output_Mac!M:M,""),
_xlpm.MyAuditVal,_xlfn.XLOOKUP($A207,My_Audit!$A:$A,My_Audit!K:K,""),
_xlfn.IFS(_xlpm.MyAuditVal&lt;&gt;"",UPPER(_xlpm.MyAuditVal),_xlpm.MacVal&lt;&gt;"",_xlpm.MacVal,_xlpm.CSVVal&lt;&gt;"",_xlpm.CSVVal
)),"")</f>
        <v/>
      </c>
      <c r="M207" s="45" t="str">
        <f>_xlfn.LET(
    _xlpm.CSVVal, _xlfn.XLOOKUP($A207, CSV!$A:$A, CSV!AE:AE, ""),
    _xlpm.MacVal, _xlfn.XLOOKUP($A207, Output_Mac!$A:$A, Output_Mac!S:S, ""),
    _xlpm.MyAuditVal, _xlfn.XLOOKUP($A207, My_Audit!$A:$A, My_Audit!N:N, ""),
    _xlfn.TEXTJOIN(", ", TRUE, _xlpm.MyAuditVal, _xlpm.MacVal, _xlpm.CSVVal)
)</f>
        <v/>
      </c>
      <c r="N207" s="45" t="str" cm="1">
        <f t="array" ref="N207">IFERROR(_xlfn.LET(
_xlpm.CSVVal,_xlfn.XLOOKUP($A207,CSV!$A:$A,CSV!AG:AG,""),
_xlpm.MacVal,_xlfn.XLOOKUP($A207,Output_Mac!$A:$A,Output_Mac!U:U,""),
_xlpm.MyAuditVal,_xlfn.XLOOKUP($A207,My_Audit!$A:$A,My_Audit!O:O,""),
_xlfn.IFS(_xlpm.MyAuditVal&lt;&gt;"",UPPER(_xlpm.MyAuditVal),_xlpm.MacVal&lt;&gt;"",_xlpm.MacVal,_xlpm.CSVVal&lt;&gt;"",_xlpm.CSVVal
)),"")</f>
        <v/>
      </c>
      <c r="O207" s="46" t="str">
        <f>_xlfn.XLOOKUP(C207,My_Audit!B:B,My_Audit!P:P,"")&amp;""</f>
        <v/>
      </c>
      <c r="P207" s="45"/>
      <c r="Q207" s="46" t="str">
        <f>IF(LEFT(N207,4)="Pass","Nist SP 800-88",My_Audit!R207)&amp;""</f>
        <v/>
      </c>
      <c r="R207" s="45"/>
      <c r="S207" s="45"/>
      <c r="T207" s="46" t="str">
        <f>_xlfn.XLOOKUP(E207,Models!I:I,Models!J:J,"")</f>
        <v/>
      </c>
      <c r="U207" s="45"/>
      <c r="V207" s="45"/>
      <c r="W207" s="38"/>
    </row>
    <row r="208" spans="1:23">
      <c r="A208" s="45" t="str">
        <f>_xlfn.TEXTJOIN("",TRUE,Input!$B$2,ROW(My_Audit!A207))</f>
        <v>XX207</v>
      </c>
      <c r="B208" s="45" t="str">
        <f>_xlfn.TEXTJOIN("-",TRUE,"ITD",Input!$A$2,A208)</f>
        <v>ITD-SHRXXX-XX207</v>
      </c>
      <c r="C208" s="45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46" t="str" cm="1">
        <f t="array" ref="D208">IFERROR(_xlfn.LET(
_xlpm.CSVVal,_xlfn.XLOOKUP($A208,CSV!$A:$A,CSV!C:C,""),
_xlpm.MacVal,_xlfn.XLOOKUP($A208,Output_Mac!$A:$A,Output_Mac!D:D,""),
_xlpm.MyAuditVal,_xlfn.XLOOKUP($A208,My_Audit!$A:$A,My_Audit!C:C,""),
_xlfn.IFS(_xlpm.MyAuditVal&lt;&gt;"",UPPER(_xlpm.MyAuditVal),_xlpm.MacVal&lt;&gt;"",_xlpm.MacVal,_xlpm.CSVVal&lt;&gt;"",_xlpm.CSVVal
)),"")</f>
        <v/>
      </c>
      <c r="E208" s="46" t="str" cm="1">
        <f t="array" ref="E208">IFERROR(_xlfn.LET(
_xlpm.CSVVal,_xlfn.XLOOKUP($A208,CSV!$A:$A,CSV!E:E,""),
_xlpm.MacVal,_xlfn.XLOOKUP($A208,Output_Mac!$A:$A,Output_Mac!C:C,""),
_xlpm.MyAuditVal,_xlfn.XLOOKUP($A208,My_Audit!$A:$A,My_Audit!D:D,""),
_xlfn.IFS(_xlpm.MyAuditVal&lt;&gt;"",_xlpm.MyAuditVal,_xlpm.MacVal&lt;&gt;"",_xlpm.MacVal,_xlpm.CSVVal&lt;&gt;"",_xlpm.CSVVal
)),"")</f>
        <v/>
      </c>
      <c r="F208" s="45" t="str" cm="1">
        <f t="array" ref="F208">IFERROR(_xlfn.LET(
_xlpm.CSVVal,_xlfn.XLOOKUP($A208,CSV!$A:$A,CSV!F:F,""),
_xlpm.MacVal,_xlfn.XLOOKUP($A208,Output_Mac!$A:$A,Output_Mac!F:F,""),
_xlpm.MyAuditVal,_xlfn.XLOOKUP($A208,My_Audit!$A:$A,My_Audit!E:E,""),
_xlfn.IFS(_xlpm.MyAuditVal&lt;&gt;"",_xlpm.MyAuditVal,_xlpm.MacVal&lt;&gt;"",_xlpm.MacVal,_xlpm.CSVVal&lt;&gt;"",PROPER(_xlpm.CSVVal)
)),"")</f>
        <v/>
      </c>
      <c r="G208" s="45" t="str" cm="1">
        <f t="array" ref="G208">IFERROR(_xlfn.LET(
_xlpm.CSVVal,_xlfn.XLOOKUP($A208,CSV!$A:$A,CSV!G:G,""),
_xlpm.MacVal,_xlfn.XLOOKUP($A208,Output_Mac!$A:$A,Output_Mac!H:H,""),
_xlpm.MyAuditVal,_xlfn.XLOOKUP($A208,My_Audit!$A:$A,My_Audit!F:F,""),
_xlfn.IFS(_xlpm.MyAuditVal&lt;&gt;"",_xlpm.MyAuditVal,_xlpm.MacVal&lt;&gt;"",_xlpm.MacVal,_xlpm.CSVVal&lt;&gt;"",_xlpm.CSVVal
)),"")</f>
        <v/>
      </c>
      <c r="H208" s="45" t="str">
        <f>_xlfn.XLOOKUP(A208,Output_Mac!A:A,Output_Mac!I:I,"")</f>
        <v/>
      </c>
      <c r="I208" s="45" t="str" cm="1">
        <f t="array" ref="I208">IFERROR(_xlfn.LET(
_xlpm.CSVVal,_xlfn.XLOOKUP($A208,CSV!$A:$A,CSV!H:H,""),
_xlpm.MacVal,_xlfn.XLOOKUP($A208,Output_Mac!$A:$A,Output_Mac!J:J,""),
_xlpm.MyAuditVal,_xlfn.XLOOKUP($A208,My_Audit!$A:$A,My_Audit!H:H,""),
_xlfn.IFS(_xlpm.MyAuditVal&lt;&gt;"",UPPER(_xlpm.MyAuditVal),_xlpm.MacVal&lt;&gt;"",_xlpm.MacVal,_xlpm.CSVVal&lt;&gt;"",_xlpm.CSVVal
)),"")</f>
        <v/>
      </c>
      <c r="J208" s="45" t="str" cm="1">
        <f t="array" ref="J208">IFERROR(_xlfn.LET(
_xlpm.CSVVal,_xlfn.XLOOKUP($A208,CSV!$A:$A,CSV!J:J,""),
_xlpm.MacVal,_xlfn.XLOOKUP($A208,Output_Mac!$A:$A,Output_Mac!K:K,""),
_xlpm.MyAuditVal,_xlfn.XLOOKUP($A208,My_Audit!$A:$A,My_Audit!I:I,""),
_xlfn.IFS(_xlpm.MyAuditVal&lt;&gt;"",UPPER(_xlpm.MyAuditVal),_xlpm.MacVal&lt;&gt;"",_xlpm.MacVal,_xlpm.CSVVal&lt;&gt;"",_xlpm.CSVVal
)),"")</f>
        <v/>
      </c>
      <c r="K208" s="45" t="str" cm="1">
        <f t="array" ref="K208">IFERROR(_xlfn.LET(
_xlpm.CSVVal,_xlfn.XLOOKUP($A208,CSV!$A:$A,CSV!N:N,""),
_xlpm.MacVal,_xlfn.XLOOKUP($A208,Output_Mac!$A:$A,Output_Mac!L:L,""),
_xlpm.MyAuditVal,_xlfn.XLOOKUP($A208,My_Audit!$A:$A,My_Audit!J:J,""),
_xlfn.IFS(_xlpm.MyAuditVal&lt;&gt;"",UPPER(_xlpm.MyAuditVal),_xlpm.MacVal&lt;&gt;"",_xlpm.MacVal,_xlpm.CSVVal&lt;&gt;"",_xlpm.CSVVal
)),"")</f>
        <v/>
      </c>
      <c r="L208" s="46" t="str" cm="1">
        <f t="array" ref="L208">IFERROR(_xlfn.LET(
_xlpm.CSVVal,_xlfn.XLOOKUP($A208,CSV!$A:$A,CSV!Q:Q,""),
_xlpm.MacVal,_xlfn.XLOOKUP($A208,Output_Mac!$A:$A,Output_Mac!M:M,""),
_xlpm.MyAuditVal,_xlfn.XLOOKUP($A208,My_Audit!$A:$A,My_Audit!K:K,""),
_xlfn.IFS(_xlpm.MyAuditVal&lt;&gt;"",UPPER(_xlpm.MyAuditVal),_xlpm.MacVal&lt;&gt;"",_xlpm.MacVal,_xlpm.CSVVal&lt;&gt;"",_xlpm.CSVVal
)),"")</f>
        <v/>
      </c>
      <c r="M208" s="45" t="str">
        <f>_xlfn.LET(
    _xlpm.CSVVal, _xlfn.XLOOKUP($A208, CSV!$A:$A, CSV!AE:AE, ""),
    _xlpm.MacVal, _xlfn.XLOOKUP($A208, Output_Mac!$A:$A, Output_Mac!S:S, ""),
    _xlpm.MyAuditVal, _xlfn.XLOOKUP($A208, My_Audit!$A:$A, My_Audit!N:N, ""),
    _xlfn.TEXTJOIN(", ", TRUE, _xlpm.MyAuditVal, _xlpm.MacVal, _xlpm.CSVVal)
)</f>
        <v/>
      </c>
      <c r="N208" s="45" t="str" cm="1">
        <f t="array" ref="N208">IFERROR(_xlfn.LET(
_xlpm.CSVVal,_xlfn.XLOOKUP($A208,CSV!$A:$A,CSV!AG:AG,""),
_xlpm.MacVal,_xlfn.XLOOKUP($A208,Output_Mac!$A:$A,Output_Mac!U:U,""),
_xlpm.MyAuditVal,_xlfn.XLOOKUP($A208,My_Audit!$A:$A,My_Audit!O:O,""),
_xlfn.IFS(_xlpm.MyAuditVal&lt;&gt;"",UPPER(_xlpm.MyAuditVal),_xlpm.MacVal&lt;&gt;"",_xlpm.MacVal,_xlpm.CSVVal&lt;&gt;"",_xlpm.CSVVal
)),"")</f>
        <v/>
      </c>
      <c r="O208" s="46" t="str">
        <f>_xlfn.XLOOKUP(C208,My_Audit!B:B,My_Audit!P:P,"")&amp;""</f>
        <v/>
      </c>
      <c r="P208" s="45"/>
      <c r="Q208" s="46" t="str">
        <f>IF(LEFT(N208,4)="Pass","Nist SP 800-88",My_Audit!R208)&amp;""</f>
        <v/>
      </c>
      <c r="R208" s="45"/>
      <c r="S208" s="45"/>
      <c r="T208" s="46" t="str">
        <f>_xlfn.XLOOKUP(E208,Models!I:I,Models!J:J,"")</f>
        <v/>
      </c>
      <c r="U208" s="45"/>
      <c r="V208" s="45"/>
      <c r="W208" s="38"/>
    </row>
    <row r="209" spans="1:23">
      <c r="A209" s="45" t="str">
        <f>_xlfn.TEXTJOIN("",TRUE,Input!$B$2,ROW(My_Audit!A208))</f>
        <v>XX208</v>
      </c>
      <c r="B209" s="45" t="str">
        <f>_xlfn.TEXTJOIN("-",TRUE,"ITD",Input!$A$2,A209)</f>
        <v>ITD-SHRXXX-XX208</v>
      </c>
      <c r="C209" s="45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46" t="str" cm="1">
        <f t="array" ref="D209">IFERROR(_xlfn.LET(
_xlpm.CSVVal,_xlfn.XLOOKUP($A209,CSV!$A:$A,CSV!C:C,""),
_xlpm.MacVal,_xlfn.XLOOKUP($A209,Output_Mac!$A:$A,Output_Mac!D:D,""),
_xlpm.MyAuditVal,_xlfn.XLOOKUP($A209,My_Audit!$A:$A,My_Audit!C:C,""),
_xlfn.IFS(_xlpm.MyAuditVal&lt;&gt;"",UPPER(_xlpm.MyAuditVal),_xlpm.MacVal&lt;&gt;"",_xlpm.MacVal,_xlpm.CSVVal&lt;&gt;"",_xlpm.CSVVal
)),"")</f>
        <v/>
      </c>
      <c r="E209" s="46" t="str" cm="1">
        <f t="array" ref="E209">IFERROR(_xlfn.LET(
_xlpm.CSVVal,_xlfn.XLOOKUP($A209,CSV!$A:$A,CSV!E:E,""),
_xlpm.MacVal,_xlfn.XLOOKUP($A209,Output_Mac!$A:$A,Output_Mac!C:C,""),
_xlpm.MyAuditVal,_xlfn.XLOOKUP($A209,My_Audit!$A:$A,My_Audit!D:D,""),
_xlfn.IFS(_xlpm.MyAuditVal&lt;&gt;"",_xlpm.MyAuditVal,_xlpm.MacVal&lt;&gt;"",_xlpm.MacVal,_xlpm.CSVVal&lt;&gt;"",_xlpm.CSVVal
)),"")</f>
        <v/>
      </c>
      <c r="F209" s="45" t="str" cm="1">
        <f t="array" ref="F209">IFERROR(_xlfn.LET(
_xlpm.CSVVal,_xlfn.XLOOKUP($A209,CSV!$A:$A,CSV!F:F,""),
_xlpm.MacVal,_xlfn.XLOOKUP($A209,Output_Mac!$A:$A,Output_Mac!F:F,""),
_xlpm.MyAuditVal,_xlfn.XLOOKUP($A209,My_Audit!$A:$A,My_Audit!E:E,""),
_xlfn.IFS(_xlpm.MyAuditVal&lt;&gt;"",_xlpm.MyAuditVal,_xlpm.MacVal&lt;&gt;"",_xlpm.MacVal,_xlpm.CSVVal&lt;&gt;"",PROPER(_xlpm.CSVVal)
)),"")</f>
        <v/>
      </c>
      <c r="G209" s="45" t="str" cm="1">
        <f t="array" ref="G209">IFERROR(_xlfn.LET(
_xlpm.CSVVal,_xlfn.XLOOKUP($A209,CSV!$A:$A,CSV!G:G,""),
_xlpm.MacVal,_xlfn.XLOOKUP($A209,Output_Mac!$A:$A,Output_Mac!H:H,""),
_xlpm.MyAuditVal,_xlfn.XLOOKUP($A209,My_Audit!$A:$A,My_Audit!F:F,""),
_xlfn.IFS(_xlpm.MyAuditVal&lt;&gt;"",_xlpm.MyAuditVal,_xlpm.MacVal&lt;&gt;"",_xlpm.MacVal,_xlpm.CSVVal&lt;&gt;"",_xlpm.CSVVal
)),"")</f>
        <v/>
      </c>
      <c r="H209" s="45" t="str">
        <f>_xlfn.XLOOKUP(A209,Output_Mac!A:A,Output_Mac!I:I,"")</f>
        <v/>
      </c>
      <c r="I209" s="45" t="str" cm="1">
        <f t="array" ref="I209">IFERROR(_xlfn.LET(
_xlpm.CSVVal,_xlfn.XLOOKUP($A209,CSV!$A:$A,CSV!H:H,""),
_xlpm.MacVal,_xlfn.XLOOKUP($A209,Output_Mac!$A:$A,Output_Mac!J:J,""),
_xlpm.MyAuditVal,_xlfn.XLOOKUP($A209,My_Audit!$A:$A,My_Audit!H:H,""),
_xlfn.IFS(_xlpm.MyAuditVal&lt;&gt;"",UPPER(_xlpm.MyAuditVal),_xlpm.MacVal&lt;&gt;"",_xlpm.MacVal,_xlpm.CSVVal&lt;&gt;"",_xlpm.CSVVal
)),"")</f>
        <v/>
      </c>
      <c r="J209" s="45" t="str" cm="1">
        <f t="array" ref="J209">IFERROR(_xlfn.LET(
_xlpm.CSVVal,_xlfn.XLOOKUP($A209,CSV!$A:$A,CSV!J:J,""),
_xlpm.MacVal,_xlfn.XLOOKUP($A209,Output_Mac!$A:$A,Output_Mac!K:K,""),
_xlpm.MyAuditVal,_xlfn.XLOOKUP($A209,My_Audit!$A:$A,My_Audit!I:I,""),
_xlfn.IFS(_xlpm.MyAuditVal&lt;&gt;"",UPPER(_xlpm.MyAuditVal),_xlpm.MacVal&lt;&gt;"",_xlpm.MacVal,_xlpm.CSVVal&lt;&gt;"",_xlpm.CSVVal
)),"")</f>
        <v/>
      </c>
      <c r="K209" s="45" t="str" cm="1">
        <f t="array" ref="K209">IFERROR(_xlfn.LET(
_xlpm.CSVVal,_xlfn.XLOOKUP($A209,CSV!$A:$A,CSV!N:N,""),
_xlpm.MacVal,_xlfn.XLOOKUP($A209,Output_Mac!$A:$A,Output_Mac!L:L,""),
_xlpm.MyAuditVal,_xlfn.XLOOKUP($A209,My_Audit!$A:$A,My_Audit!J:J,""),
_xlfn.IFS(_xlpm.MyAuditVal&lt;&gt;"",UPPER(_xlpm.MyAuditVal),_xlpm.MacVal&lt;&gt;"",_xlpm.MacVal,_xlpm.CSVVal&lt;&gt;"",_xlpm.CSVVal
)),"")</f>
        <v/>
      </c>
      <c r="L209" s="46" t="str" cm="1">
        <f t="array" ref="L209">IFERROR(_xlfn.LET(
_xlpm.CSVVal,_xlfn.XLOOKUP($A209,CSV!$A:$A,CSV!Q:Q,""),
_xlpm.MacVal,_xlfn.XLOOKUP($A209,Output_Mac!$A:$A,Output_Mac!M:M,""),
_xlpm.MyAuditVal,_xlfn.XLOOKUP($A209,My_Audit!$A:$A,My_Audit!K:K,""),
_xlfn.IFS(_xlpm.MyAuditVal&lt;&gt;"",UPPER(_xlpm.MyAuditVal),_xlpm.MacVal&lt;&gt;"",_xlpm.MacVal,_xlpm.CSVVal&lt;&gt;"",_xlpm.CSVVal
)),"")</f>
        <v/>
      </c>
      <c r="M209" s="45" t="str">
        <f>_xlfn.LET(
    _xlpm.CSVVal, _xlfn.XLOOKUP($A209, CSV!$A:$A, CSV!AE:AE, ""),
    _xlpm.MacVal, _xlfn.XLOOKUP($A209, Output_Mac!$A:$A, Output_Mac!S:S, ""),
    _xlpm.MyAuditVal, _xlfn.XLOOKUP($A209, My_Audit!$A:$A, My_Audit!N:N, ""),
    _xlfn.TEXTJOIN(", ", TRUE, _xlpm.MyAuditVal, _xlpm.MacVal, _xlpm.CSVVal)
)</f>
        <v/>
      </c>
      <c r="N209" s="45" t="str" cm="1">
        <f t="array" ref="N209">IFERROR(_xlfn.LET(
_xlpm.CSVVal,_xlfn.XLOOKUP($A209,CSV!$A:$A,CSV!AG:AG,""),
_xlpm.MacVal,_xlfn.XLOOKUP($A209,Output_Mac!$A:$A,Output_Mac!U:U,""),
_xlpm.MyAuditVal,_xlfn.XLOOKUP($A209,My_Audit!$A:$A,My_Audit!O:O,""),
_xlfn.IFS(_xlpm.MyAuditVal&lt;&gt;"",UPPER(_xlpm.MyAuditVal),_xlpm.MacVal&lt;&gt;"",_xlpm.MacVal,_xlpm.CSVVal&lt;&gt;"",_xlpm.CSVVal
)),"")</f>
        <v/>
      </c>
      <c r="O209" s="46" t="str">
        <f>_xlfn.XLOOKUP(C209,My_Audit!B:B,My_Audit!P:P,"")&amp;""</f>
        <v/>
      </c>
      <c r="P209" s="45"/>
      <c r="Q209" s="46" t="str">
        <f>IF(LEFT(N209,4)="Pass","Nist SP 800-88",My_Audit!R209)&amp;""</f>
        <v/>
      </c>
      <c r="R209" s="45"/>
      <c r="S209" s="45"/>
      <c r="T209" s="46" t="str">
        <f>_xlfn.XLOOKUP(E209,Models!I:I,Models!J:J,"")</f>
        <v/>
      </c>
      <c r="U209" s="45"/>
      <c r="V209" s="45"/>
      <c r="W209" s="38"/>
    </row>
    <row r="210" spans="1:23">
      <c r="A210" s="45" t="str">
        <f>_xlfn.TEXTJOIN("",TRUE,Input!$B$2,ROW(My_Audit!A209))</f>
        <v>XX209</v>
      </c>
      <c r="B210" s="45" t="str">
        <f>_xlfn.TEXTJOIN("-",TRUE,"ITD",Input!$A$2,A210)</f>
        <v>ITD-SHRXXX-XX209</v>
      </c>
      <c r="C210" s="45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46" t="str" cm="1">
        <f t="array" ref="D210">IFERROR(_xlfn.LET(
_xlpm.CSVVal,_xlfn.XLOOKUP($A210,CSV!$A:$A,CSV!C:C,""),
_xlpm.MacVal,_xlfn.XLOOKUP($A210,Output_Mac!$A:$A,Output_Mac!D:D,""),
_xlpm.MyAuditVal,_xlfn.XLOOKUP($A210,My_Audit!$A:$A,My_Audit!C:C,""),
_xlfn.IFS(_xlpm.MyAuditVal&lt;&gt;"",UPPER(_xlpm.MyAuditVal),_xlpm.MacVal&lt;&gt;"",_xlpm.MacVal,_xlpm.CSVVal&lt;&gt;"",_xlpm.CSVVal
)),"")</f>
        <v/>
      </c>
      <c r="E210" s="46" t="str" cm="1">
        <f t="array" ref="E210">IFERROR(_xlfn.LET(
_xlpm.CSVVal,_xlfn.XLOOKUP($A210,CSV!$A:$A,CSV!E:E,""),
_xlpm.MacVal,_xlfn.XLOOKUP($A210,Output_Mac!$A:$A,Output_Mac!C:C,""),
_xlpm.MyAuditVal,_xlfn.XLOOKUP($A210,My_Audit!$A:$A,My_Audit!D:D,""),
_xlfn.IFS(_xlpm.MyAuditVal&lt;&gt;"",_xlpm.MyAuditVal,_xlpm.MacVal&lt;&gt;"",_xlpm.MacVal,_xlpm.CSVVal&lt;&gt;"",_xlpm.CSVVal
)),"")</f>
        <v/>
      </c>
      <c r="F210" s="45" t="str" cm="1">
        <f t="array" ref="F210">IFERROR(_xlfn.LET(
_xlpm.CSVVal,_xlfn.XLOOKUP($A210,CSV!$A:$A,CSV!F:F,""),
_xlpm.MacVal,_xlfn.XLOOKUP($A210,Output_Mac!$A:$A,Output_Mac!F:F,""),
_xlpm.MyAuditVal,_xlfn.XLOOKUP($A210,My_Audit!$A:$A,My_Audit!E:E,""),
_xlfn.IFS(_xlpm.MyAuditVal&lt;&gt;"",_xlpm.MyAuditVal,_xlpm.MacVal&lt;&gt;"",_xlpm.MacVal,_xlpm.CSVVal&lt;&gt;"",PROPER(_xlpm.CSVVal)
)),"")</f>
        <v/>
      </c>
      <c r="G210" s="45" t="str" cm="1">
        <f t="array" ref="G210">IFERROR(_xlfn.LET(
_xlpm.CSVVal,_xlfn.XLOOKUP($A210,CSV!$A:$A,CSV!G:G,""),
_xlpm.MacVal,_xlfn.XLOOKUP($A210,Output_Mac!$A:$A,Output_Mac!H:H,""),
_xlpm.MyAuditVal,_xlfn.XLOOKUP($A210,My_Audit!$A:$A,My_Audit!F:F,""),
_xlfn.IFS(_xlpm.MyAuditVal&lt;&gt;"",_xlpm.MyAuditVal,_xlpm.MacVal&lt;&gt;"",_xlpm.MacVal,_xlpm.CSVVal&lt;&gt;"",_xlpm.CSVVal
)),"")</f>
        <v/>
      </c>
      <c r="H210" s="45" t="str">
        <f>_xlfn.XLOOKUP(A210,Output_Mac!A:A,Output_Mac!I:I,"")</f>
        <v/>
      </c>
      <c r="I210" s="45" t="str" cm="1">
        <f t="array" ref="I210">IFERROR(_xlfn.LET(
_xlpm.CSVVal,_xlfn.XLOOKUP($A210,CSV!$A:$A,CSV!H:H,""),
_xlpm.MacVal,_xlfn.XLOOKUP($A210,Output_Mac!$A:$A,Output_Mac!J:J,""),
_xlpm.MyAuditVal,_xlfn.XLOOKUP($A210,My_Audit!$A:$A,My_Audit!H:H,""),
_xlfn.IFS(_xlpm.MyAuditVal&lt;&gt;"",UPPER(_xlpm.MyAuditVal),_xlpm.MacVal&lt;&gt;"",_xlpm.MacVal,_xlpm.CSVVal&lt;&gt;"",_xlpm.CSVVal
)),"")</f>
        <v/>
      </c>
      <c r="J210" s="45" t="str" cm="1">
        <f t="array" ref="J210">IFERROR(_xlfn.LET(
_xlpm.CSVVal,_xlfn.XLOOKUP($A210,CSV!$A:$A,CSV!J:J,""),
_xlpm.MacVal,_xlfn.XLOOKUP($A210,Output_Mac!$A:$A,Output_Mac!K:K,""),
_xlpm.MyAuditVal,_xlfn.XLOOKUP($A210,My_Audit!$A:$A,My_Audit!I:I,""),
_xlfn.IFS(_xlpm.MyAuditVal&lt;&gt;"",UPPER(_xlpm.MyAuditVal),_xlpm.MacVal&lt;&gt;"",_xlpm.MacVal,_xlpm.CSVVal&lt;&gt;"",_xlpm.CSVVal
)),"")</f>
        <v/>
      </c>
      <c r="K210" s="45" t="str" cm="1">
        <f t="array" ref="K210">IFERROR(_xlfn.LET(
_xlpm.CSVVal,_xlfn.XLOOKUP($A210,CSV!$A:$A,CSV!N:N,""),
_xlpm.MacVal,_xlfn.XLOOKUP($A210,Output_Mac!$A:$A,Output_Mac!L:L,""),
_xlpm.MyAuditVal,_xlfn.XLOOKUP($A210,My_Audit!$A:$A,My_Audit!J:J,""),
_xlfn.IFS(_xlpm.MyAuditVal&lt;&gt;"",UPPER(_xlpm.MyAuditVal),_xlpm.MacVal&lt;&gt;"",_xlpm.MacVal,_xlpm.CSVVal&lt;&gt;"",_xlpm.CSVVal
)),"")</f>
        <v/>
      </c>
      <c r="L210" s="46" t="str" cm="1">
        <f t="array" ref="L210">IFERROR(_xlfn.LET(
_xlpm.CSVVal,_xlfn.XLOOKUP($A210,CSV!$A:$A,CSV!Q:Q,""),
_xlpm.MacVal,_xlfn.XLOOKUP($A210,Output_Mac!$A:$A,Output_Mac!M:M,""),
_xlpm.MyAuditVal,_xlfn.XLOOKUP($A210,My_Audit!$A:$A,My_Audit!K:K,""),
_xlfn.IFS(_xlpm.MyAuditVal&lt;&gt;"",UPPER(_xlpm.MyAuditVal),_xlpm.MacVal&lt;&gt;"",_xlpm.MacVal,_xlpm.CSVVal&lt;&gt;"",_xlpm.CSVVal
)),"")</f>
        <v/>
      </c>
      <c r="M210" s="45" t="str">
        <f>_xlfn.LET(
    _xlpm.CSVVal, _xlfn.XLOOKUP($A210, CSV!$A:$A, CSV!AE:AE, ""),
    _xlpm.MacVal, _xlfn.XLOOKUP($A210, Output_Mac!$A:$A, Output_Mac!S:S, ""),
    _xlpm.MyAuditVal, _xlfn.XLOOKUP($A210, My_Audit!$A:$A, My_Audit!N:N, ""),
    _xlfn.TEXTJOIN(", ", TRUE, _xlpm.MyAuditVal, _xlpm.MacVal, _xlpm.CSVVal)
)</f>
        <v/>
      </c>
      <c r="N210" s="45" t="str" cm="1">
        <f t="array" ref="N210">IFERROR(_xlfn.LET(
_xlpm.CSVVal,_xlfn.XLOOKUP($A210,CSV!$A:$A,CSV!AG:AG,""),
_xlpm.MacVal,_xlfn.XLOOKUP($A210,Output_Mac!$A:$A,Output_Mac!U:U,""),
_xlpm.MyAuditVal,_xlfn.XLOOKUP($A210,My_Audit!$A:$A,My_Audit!O:O,""),
_xlfn.IFS(_xlpm.MyAuditVal&lt;&gt;"",UPPER(_xlpm.MyAuditVal),_xlpm.MacVal&lt;&gt;"",_xlpm.MacVal,_xlpm.CSVVal&lt;&gt;"",_xlpm.CSVVal
)),"")</f>
        <v/>
      </c>
      <c r="O210" s="46" t="str">
        <f>_xlfn.XLOOKUP(C210,My_Audit!B:B,My_Audit!P:P,"")&amp;""</f>
        <v/>
      </c>
      <c r="P210" s="45"/>
      <c r="Q210" s="46" t="str">
        <f>IF(LEFT(N210,4)="Pass","Nist SP 800-88",My_Audit!R210)&amp;""</f>
        <v/>
      </c>
      <c r="R210" s="45"/>
      <c r="S210" s="45"/>
      <c r="T210" s="46" t="str">
        <f>_xlfn.XLOOKUP(E210,Models!I:I,Models!J:J,"")</f>
        <v/>
      </c>
      <c r="U210" s="45"/>
      <c r="V210" s="45"/>
      <c r="W210" s="38"/>
    </row>
    <row r="211" spans="1:23">
      <c r="A211" s="45" t="str">
        <f>_xlfn.TEXTJOIN("",TRUE,Input!$B$2,ROW(My_Audit!A210))</f>
        <v>XX210</v>
      </c>
      <c r="B211" s="45" t="str">
        <f>_xlfn.TEXTJOIN("-",TRUE,"ITD",Input!$A$2,A211)</f>
        <v>ITD-SHRXXX-XX210</v>
      </c>
      <c r="C211" s="45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46" t="str" cm="1">
        <f t="array" ref="D211">IFERROR(_xlfn.LET(
_xlpm.CSVVal,_xlfn.XLOOKUP($A211,CSV!$A:$A,CSV!C:C,""),
_xlpm.MacVal,_xlfn.XLOOKUP($A211,Output_Mac!$A:$A,Output_Mac!D:D,""),
_xlpm.MyAuditVal,_xlfn.XLOOKUP($A211,My_Audit!$A:$A,My_Audit!C:C,""),
_xlfn.IFS(_xlpm.MyAuditVal&lt;&gt;"",UPPER(_xlpm.MyAuditVal),_xlpm.MacVal&lt;&gt;"",_xlpm.MacVal,_xlpm.CSVVal&lt;&gt;"",_xlpm.CSVVal
)),"")</f>
        <v/>
      </c>
      <c r="E211" s="46" t="str" cm="1">
        <f t="array" ref="E211">IFERROR(_xlfn.LET(
_xlpm.CSVVal,_xlfn.XLOOKUP($A211,CSV!$A:$A,CSV!E:E,""),
_xlpm.MacVal,_xlfn.XLOOKUP($A211,Output_Mac!$A:$A,Output_Mac!C:C,""),
_xlpm.MyAuditVal,_xlfn.XLOOKUP($A211,My_Audit!$A:$A,My_Audit!D:D,""),
_xlfn.IFS(_xlpm.MyAuditVal&lt;&gt;"",_xlpm.MyAuditVal,_xlpm.MacVal&lt;&gt;"",_xlpm.MacVal,_xlpm.CSVVal&lt;&gt;"",_xlpm.CSVVal
)),"")</f>
        <v/>
      </c>
      <c r="F211" s="45" t="str" cm="1">
        <f t="array" ref="F211">IFERROR(_xlfn.LET(
_xlpm.CSVVal,_xlfn.XLOOKUP($A211,CSV!$A:$A,CSV!F:F,""),
_xlpm.MacVal,_xlfn.XLOOKUP($A211,Output_Mac!$A:$A,Output_Mac!F:F,""),
_xlpm.MyAuditVal,_xlfn.XLOOKUP($A211,My_Audit!$A:$A,My_Audit!E:E,""),
_xlfn.IFS(_xlpm.MyAuditVal&lt;&gt;"",_xlpm.MyAuditVal,_xlpm.MacVal&lt;&gt;"",_xlpm.MacVal,_xlpm.CSVVal&lt;&gt;"",PROPER(_xlpm.CSVVal)
)),"")</f>
        <v/>
      </c>
      <c r="G211" s="45" t="str" cm="1">
        <f t="array" ref="G211">IFERROR(_xlfn.LET(
_xlpm.CSVVal,_xlfn.XLOOKUP($A211,CSV!$A:$A,CSV!G:G,""),
_xlpm.MacVal,_xlfn.XLOOKUP($A211,Output_Mac!$A:$A,Output_Mac!H:H,""),
_xlpm.MyAuditVal,_xlfn.XLOOKUP($A211,My_Audit!$A:$A,My_Audit!F:F,""),
_xlfn.IFS(_xlpm.MyAuditVal&lt;&gt;"",_xlpm.MyAuditVal,_xlpm.MacVal&lt;&gt;"",_xlpm.MacVal,_xlpm.CSVVal&lt;&gt;"",_xlpm.CSVVal
)),"")</f>
        <v/>
      </c>
      <c r="H211" s="45" t="str">
        <f>_xlfn.XLOOKUP(A211,Output_Mac!A:A,Output_Mac!I:I,"")</f>
        <v/>
      </c>
      <c r="I211" s="45" t="str" cm="1">
        <f t="array" ref="I211">IFERROR(_xlfn.LET(
_xlpm.CSVVal,_xlfn.XLOOKUP($A211,CSV!$A:$A,CSV!H:H,""),
_xlpm.MacVal,_xlfn.XLOOKUP($A211,Output_Mac!$A:$A,Output_Mac!J:J,""),
_xlpm.MyAuditVal,_xlfn.XLOOKUP($A211,My_Audit!$A:$A,My_Audit!H:H,""),
_xlfn.IFS(_xlpm.MyAuditVal&lt;&gt;"",UPPER(_xlpm.MyAuditVal),_xlpm.MacVal&lt;&gt;"",_xlpm.MacVal,_xlpm.CSVVal&lt;&gt;"",_xlpm.CSVVal
)),"")</f>
        <v/>
      </c>
      <c r="J211" s="45" t="str" cm="1">
        <f t="array" ref="J211">IFERROR(_xlfn.LET(
_xlpm.CSVVal,_xlfn.XLOOKUP($A211,CSV!$A:$A,CSV!J:J,""),
_xlpm.MacVal,_xlfn.XLOOKUP($A211,Output_Mac!$A:$A,Output_Mac!K:K,""),
_xlpm.MyAuditVal,_xlfn.XLOOKUP($A211,My_Audit!$A:$A,My_Audit!I:I,""),
_xlfn.IFS(_xlpm.MyAuditVal&lt;&gt;"",UPPER(_xlpm.MyAuditVal),_xlpm.MacVal&lt;&gt;"",_xlpm.MacVal,_xlpm.CSVVal&lt;&gt;"",_xlpm.CSVVal
)),"")</f>
        <v/>
      </c>
      <c r="K211" s="45" t="str" cm="1">
        <f t="array" ref="K211">IFERROR(_xlfn.LET(
_xlpm.CSVVal,_xlfn.XLOOKUP($A211,CSV!$A:$A,CSV!N:N,""),
_xlpm.MacVal,_xlfn.XLOOKUP($A211,Output_Mac!$A:$A,Output_Mac!L:L,""),
_xlpm.MyAuditVal,_xlfn.XLOOKUP($A211,My_Audit!$A:$A,My_Audit!J:J,""),
_xlfn.IFS(_xlpm.MyAuditVal&lt;&gt;"",UPPER(_xlpm.MyAuditVal),_xlpm.MacVal&lt;&gt;"",_xlpm.MacVal,_xlpm.CSVVal&lt;&gt;"",_xlpm.CSVVal
)),"")</f>
        <v/>
      </c>
      <c r="L211" s="46" t="str" cm="1">
        <f t="array" ref="L211">IFERROR(_xlfn.LET(
_xlpm.CSVVal,_xlfn.XLOOKUP($A211,CSV!$A:$A,CSV!Q:Q,""),
_xlpm.MacVal,_xlfn.XLOOKUP($A211,Output_Mac!$A:$A,Output_Mac!M:M,""),
_xlpm.MyAuditVal,_xlfn.XLOOKUP($A211,My_Audit!$A:$A,My_Audit!K:K,""),
_xlfn.IFS(_xlpm.MyAuditVal&lt;&gt;"",UPPER(_xlpm.MyAuditVal),_xlpm.MacVal&lt;&gt;"",_xlpm.MacVal,_xlpm.CSVVal&lt;&gt;"",_xlpm.CSVVal
)),"")</f>
        <v/>
      </c>
      <c r="M211" s="45" t="str">
        <f>_xlfn.LET(
    _xlpm.CSVVal, _xlfn.XLOOKUP($A211, CSV!$A:$A, CSV!AE:AE, ""),
    _xlpm.MacVal, _xlfn.XLOOKUP($A211, Output_Mac!$A:$A, Output_Mac!S:S, ""),
    _xlpm.MyAuditVal, _xlfn.XLOOKUP($A211, My_Audit!$A:$A, My_Audit!N:N, ""),
    _xlfn.TEXTJOIN(", ", TRUE, _xlpm.MyAuditVal, _xlpm.MacVal, _xlpm.CSVVal)
)</f>
        <v/>
      </c>
      <c r="N211" s="45" t="str" cm="1">
        <f t="array" ref="N211">IFERROR(_xlfn.LET(
_xlpm.CSVVal,_xlfn.XLOOKUP($A211,CSV!$A:$A,CSV!AG:AG,""),
_xlpm.MacVal,_xlfn.XLOOKUP($A211,Output_Mac!$A:$A,Output_Mac!U:U,""),
_xlpm.MyAuditVal,_xlfn.XLOOKUP($A211,My_Audit!$A:$A,My_Audit!O:O,""),
_xlfn.IFS(_xlpm.MyAuditVal&lt;&gt;"",UPPER(_xlpm.MyAuditVal),_xlpm.MacVal&lt;&gt;"",_xlpm.MacVal,_xlpm.CSVVal&lt;&gt;"",_xlpm.CSVVal
)),"")</f>
        <v/>
      </c>
      <c r="O211" s="46" t="str">
        <f>_xlfn.XLOOKUP(C211,My_Audit!B:B,My_Audit!P:P,"")&amp;""</f>
        <v/>
      </c>
      <c r="P211" s="45"/>
      <c r="Q211" s="46" t="str">
        <f>IF(LEFT(N211,4)="Pass","Nist SP 800-88",My_Audit!R211)&amp;""</f>
        <v/>
      </c>
      <c r="R211" s="45"/>
      <c r="S211" s="45"/>
      <c r="T211" s="46" t="str">
        <f>_xlfn.XLOOKUP(E211,Models!I:I,Models!J:J,"")</f>
        <v/>
      </c>
      <c r="U211" s="45"/>
      <c r="V211" s="45"/>
      <c r="W211" s="38"/>
    </row>
    <row r="212" spans="1:23">
      <c r="A212" s="45" t="str">
        <f>_xlfn.TEXTJOIN("",TRUE,Input!$B$2,ROW(My_Audit!A211))</f>
        <v>XX211</v>
      </c>
      <c r="B212" s="45" t="str">
        <f>_xlfn.TEXTJOIN("-",TRUE,"ITD",Input!$A$2,A212)</f>
        <v>ITD-SHRXXX-XX211</v>
      </c>
      <c r="C212" s="45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46" t="str" cm="1">
        <f t="array" ref="D212">IFERROR(_xlfn.LET(
_xlpm.CSVVal,_xlfn.XLOOKUP($A212,CSV!$A:$A,CSV!C:C,""),
_xlpm.MacVal,_xlfn.XLOOKUP($A212,Output_Mac!$A:$A,Output_Mac!D:D,""),
_xlpm.MyAuditVal,_xlfn.XLOOKUP($A212,My_Audit!$A:$A,My_Audit!C:C,""),
_xlfn.IFS(_xlpm.MyAuditVal&lt;&gt;"",UPPER(_xlpm.MyAuditVal),_xlpm.MacVal&lt;&gt;"",_xlpm.MacVal,_xlpm.CSVVal&lt;&gt;"",_xlpm.CSVVal
)),"")</f>
        <v/>
      </c>
      <c r="E212" s="46" t="str" cm="1">
        <f t="array" ref="E212">IFERROR(_xlfn.LET(
_xlpm.CSVVal,_xlfn.XLOOKUP($A212,CSV!$A:$A,CSV!E:E,""),
_xlpm.MacVal,_xlfn.XLOOKUP($A212,Output_Mac!$A:$A,Output_Mac!C:C,""),
_xlpm.MyAuditVal,_xlfn.XLOOKUP($A212,My_Audit!$A:$A,My_Audit!D:D,""),
_xlfn.IFS(_xlpm.MyAuditVal&lt;&gt;"",_xlpm.MyAuditVal,_xlpm.MacVal&lt;&gt;"",_xlpm.MacVal,_xlpm.CSVVal&lt;&gt;"",_xlpm.CSVVal
)),"")</f>
        <v/>
      </c>
      <c r="F212" s="45" t="str" cm="1">
        <f t="array" ref="F212">IFERROR(_xlfn.LET(
_xlpm.CSVVal,_xlfn.XLOOKUP($A212,CSV!$A:$A,CSV!F:F,""),
_xlpm.MacVal,_xlfn.XLOOKUP($A212,Output_Mac!$A:$A,Output_Mac!F:F,""),
_xlpm.MyAuditVal,_xlfn.XLOOKUP($A212,My_Audit!$A:$A,My_Audit!E:E,""),
_xlfn.IFS(_xlpm.MyAuditVal&lt;&gt;"",_xlpm.MyAuditVal,_xlpm.MacVal&lt;&gt;"",_xlpm.MacVal,_xlpm.CSVVal&lt;&gt;"",PROPER(_xlpm.CSVVal)
)),"")</f>
        <v/>
      </c>
      <c r="G212" s="45" t="str" cm="1">
        <f t="array" ref="G212">IFERROR(_xlfn.LET(
_xlpm.CSVVal,_xlfn.XLOOKUP($A212,CSV!$A:$A,CSV!G:G,""),
_xlpm.MacVal,_xlfn.XLOOKUP($A212,Output_Mac!$A:$A,Output_Mac!H:H,""),
_xlpm.MyAuditVal,_xlfn.XLOOKUP($A212,My_Audit!$A:$A,My_Audit!F:F,""),
_xlfn.IFS(_xlpm.MyAuditVal&lt;&gt;"",_xlpm.MyAuditVal,_xlpm.MacVal&lt;&gt;"",_xlpm.MacVal,_xlpm.CSVVal&lt;&gt;"",_xlpm.CSVVal
)),"")</f>
        <v/>
      </c>
      <c r="H212" s="45" t="str">
        <f>_xlfn.XLOOKUP(A212,Output_Mac!A:A,Output_Mac!I:I,"")</f>
        <v/>
      </c>
      <c r="I212" s="45" t="str" cm="1">
        <f t="array" ref="I212">IFERROR(_xlfn.LET(
_xlpm.CSVVal,_xlfn.XLOOKUP($A212,CSV!$A:$A,CSV!H:H,""),
_xlpm.MacVal,_xlfn.XLOOKUP($A212,Output_Mac!$A:$A,Output_Mac!J:J,""),
_xlpm.MyAuditVal,_xlfn.XLOOKUP($A212,My_Audit!$A:$A,My_Audit!H:H,""),
_xlfn.IFS(_xlpm.MyAuditVal&lt;&gt;"",UPPER(_xlpm.MyAuditVal),_xlpm.MacVal&lt;&gt;"",_xlpm.MacVal,_xlpm.CSVVal&lt;&gt;"",_xlpm.CSVVal
)),"")</f>
        <v/>
      </c>
      <c r="J212" s="45" t="str" cm="1">
        <f t="array" ref="J212">IFERROR(_xlfn.LET(
_xlpm.CSVVal,_xlfn.XLOOKUP($A212,CSV!$A:$A,CSV!J:J,""),
_xlpm.MacVal,_xlfn.XLOOKUP($A212,Output_Mac!$A:$A,Output_Mac!K:K,""),
_xlpm.MyAuditVal,_xlfn.XLOOKUP($A212,My_Audit!$A:$A,My_Audit!I:I,""),
_xlfn.IFS(_xlpm.MyAuditVal&lt;&gt;"",UPPER(_xlpm.MyAuditVal),_xlpm.MacVal&lt;&gt;"",_xlpm.MacVal,_xlpm.CSVVal&lt;&gt;"",_xlpm.CSVVal
)),"")</f>
        <v/>
      </c>
      <c r="K212" s="45" t="str" cm="1">
        <f t="array" ref="K212">IFERROR(_xlfn.LET(
_xlpm.CSVVal,_xlfn.XLOOKUP($A212,CSV!$A:$A,CSV!N:N,""),
_xlpm.MacVal,_xlfn.XLOOKUP($A212,Output_Mac!$A:$A,Output_Mac!L:L,""),
_xlpm.MyAuditVal,_xlfn.XLOOKUP($A212,My_Audit!$A:$A,My_Audit!J:J,""),
_xlfn.IFS(_xlpm.MyAuditVal&lt;&gt;"",UPPER(_xlpm.MyAuditVal),_xlpm.MacVal&lt;&gt;"",_xlpm.MacVal,_xlpm.CSVVal&lt;&gt;"",_xlpm.CSVVal
)),"")</f>
        <v/>
      </c>
      <c r="L212" s="46" t="str" cm="1">
        <f t="array" ref="L212">IFERROR(_xlfn.LET(
_xlpm.CSVVal,_xlfn.XLOOKUP($A212,CSV!$A:$A,CSV!Q:Q,""),
_xlpm.MacVal,_xlfn.XLOOKUP($A212,Output_Mac!$A:$A,Output_Mac!M:M,""),
_xlpm.MyAuditVal,_xlfn.XLOOKUP($A212,My_Audit!$A:$A,My_Audit!K:K,""),
_xlfn.IFS(_xlpm.MyAuditVal&lt;&gt;"",UPPER(_xlpm.MyAuditVal),_xlpm.MacVal&lt;&gt;"",_xlpm.MacVal,_xlpm.CSVVal&lt;&gt;"",_xlpm.CSVVal
)),"")</f>
        <v/>
      </c>
      <c r="M212" s="45" t="str">
        <f>_xlfn.LET(
    _xlpm.CSVVal, _xlfn.XLOOKUP($A212, CSV!$A:$A, CSV!AE:AE, ""),
    _xlpm.MacVal, _xlfn.XLOOKUP($A212, Output_Mac!$A:$A, Output_Mac!S:S, ""),
    _xlpm.MyAuditVal, _xlfn.XLOOKUP($A212, My_Audit!$A:$A, My_Audit!N:N, ""),
    _xlfn.TEXTJOIN(", ", TRUE, _xlpm.MyAuditVal, _xlpm.MacVal, _xlpm.CSVVal)
)</f>
        <v/>
      </c>
      <c r="N212" s="45" t="str" cm="1">
        <f t="array" ref="N212">IFERROR(_xlfn.LET(
_xlpm.CSVVal,_xlfn.XLOOKUP($A212,CSV!$A:$A,CSV!AG:AG,""),
_xlpm.MacVal,_xlfn.XLOOKUP($A212,Output_Mac!$A:$A,Output_Mac!U:U,""),
_xlpm.MyAuditVal,_xlfn.XLOOKUP($A212,My_Audit!$A:$A,My_Audit!O:O,""),
_xlfn.IFS(_xlpm.MyAuditVal&lt;&gt;"",UPPER(_xlpm.MyAuditVal),_xlpm.MacVal&lt;&gt;"",_xlpm.MacVal,_xlpm.CSVVal&lt;&gt;"",_xlpm.CSVVal
)),"")</f>
        <v/>
      </c>
      <c r="O212" s="46" t="str">
        <f>_xlfn.XLOOKUP(C212,My_Audit!B:B,My_Audit!P:P,"")&amp;""</f>
        <v/>
      </c>
      <c r="P212" s="45"/>
      <c r="Q212" s="46" t="str">
        <f>IF(LEFT(N212,4)="Pass","Nist SP 800-88",My_Audit!R212)&amp;""</f>
        <v/>
      </c>
      <c r="R212" s="45"/>
      <c r="S212" s="45"/>
      <c r="T212" s="46" t="str">
        <f>_xlfn.XLOOKUP(E212,Models!I:I,Models!J:J,"")</f>
        <v/>
      </c>
      <c r="U212" s="45"/>
      <c r="V212" s="45"/>
      <c r="W212" s="38"/>
    </row>
    <row r="213" spans="1:23">
      <c r="A213" s="45" t="str">
        <f>_xlfn.TEXTJOIN("",TRUE,Input!$B$2,ROW(My_Audit!A212))</f>
        <v>XX212</v>
      </c>
      <c r="B213" s="45" t="str">
        <f>_xlfn.TEXTJOIN("-",TRUE,"ITD",Input!$A$2,A213)</f>
        <v>ITD-SHRXXX-XX212</v>
      </c>
      <c r="C213" s="45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46" t="str" cm="1">
        <f t="array" ref="D213">IFERROR(_xlfn.LET(
_xlpm.CSVVal,_xlfn.XLOOKUP($A213,CSV!$A:$A,CSV!C:C,""),
_xlpm.MacVal,_xlfn.XLOOKUP($A213,Output_Mac!$A:$A,Output_Mac!D:D,""),
_xlpm.MyAuditVal,_xlfn.XLOOKUP($A213,My_Audit!$A:$A,My_Audit!C:C,""),
_xlfn.IFS(_xlpm.MyAuditVal&lt;&gt;"",UPPER(_xlpm.MyAuditVal),_xlpm.MacVal&lt;&gt;"",_xlpm.MacVal,_xlpm.CSVVal&lt;&gt;"",_xlpm.CSVVal
)),"")</f>
        <v/>
      </c>
      <c r="E213" s="46" t="str" cm="1">
        <f t="array" ref="E213">IFERROR(_xlfn.LET(
_xlpm.CSVVal,_xlfn.XLOOKUP($A213,CSV!$A:$A,CSV!E:E,""),
_xlpm.MacVal,_xlfn.XLOOKUP($A213,Output_Mac!$A:$A,Output_Mac!C:C,""),
_xlpm.MyAuditVal,_xlfn.XLOOKUP($A213,My_Audit!$A:$A,My_Audit!D:D,""),
_xlfn.IFS(_xlpm.MyAuditVal&lt;&gt;"",_xlpm.MyAuditVal,_xlpm.MacVal&lt;&gt;"",_xlpm.MacVal,_xlpm.CSVVal&lt;&gt;"",_xlpm.CSVVal
)),"")</f>
        <v/>
      </c>
      <c r="F213" s="45" t="str" cm="1">
        <f t="array" ref="F213">IFERROR(_xlfn.LET(
_xlpm.CSVVal,_xlfn.XLOOKUP($A213,CSV!$A:$A,CSV!F:F,""),
_xlpm.MacVal,_xlfn.XLOOKUP($A213,Output_Mac!$A:$A,Output_Mac!F:F,""),
_xlpm.MyAuditVal,_xlfn.XLOOKUP($A213,My_Audit!$A:$A,My_Audit!E:E,""),
_xlfn.IFS(_xlpm.MyAuditVal&lt;&gt;"",_xlpm.MyAuditVal,_xlpm.MacVal&lt;&gt;"",_xlpm.MacVal,_xlpm.CSVVal&lt;&gt;"",PROPER(_xlpm.CSVVal)
)),"")</f>
        <v/>
      </c>
      <c r="G213" s="45" t="str" cm="1">
        <f t="array" ref="G213">IFERROR(_xlfn.LET(
_xlpm.CSVVal,_xlfn.XLOOKUP($A213,CSV!$A:$A,CSV!G:G,""),
_xlpm.MacVal,_xlfn.XLOOKUP($A213,Output_Mac!$A:$A,Output_Mac!H:H,""),
_xlpm.MyAuditVal,_xlfn.XLOOKUP($A213,My_Audit!$A:$A,My_Audit!F:F,""),
_xlfn.IFS(_xlpm.MyAuditVal&lt;&gt;"",_xlpm.MyAuditVal,_xlpm.MacVal&lt;&gt;"",_xlpm.MacVal,_xlpm.CSVVal&lt;&gt;"",_xlpm.CSVVal
)),"")</f>
        <v/>
      </c>
      <c r="H213" s="45" t="str">
        <f>_xlfn.XLOOKUP(A213,Output_Mac!A:A,Output_Mac!I:I,"")</f>
        <v/>
      </c>
      <c r="I213" s="45" t="str" cm="1">
        <f t="array" ref="I213">IFERROR(_xlfn.LET(
_xlpm.CSVVal,_xlfn.XLOOKUP($A213,CSV!$A:$A,CSV!H:H,""),
_xlpm.MacVal,_xlfn.XLOOKUP($A213,Output_Mac!$A:$A,Output_Mac!J:J,""),
_xlpm.MyAuditVal,_xlfn.XLOOKUP($A213,My_Audit!$A:$A,My_Audit!H:H,""),
_xlfn.IFS(_xlpm.MyAuditVal&lt;&gt;"",UPPER(_xlpm.MyAuditVal),_xlpm.MacVal&lt;&gt;"",_xlpm.MacVal,_xlpm.CSVVal&lt;&gt;"",_xlpm.CSVVal
)),"")</f>
        <v/>
      </c>
      <c r="J213" s="45" t="str" cm="1">
        <f t="array" ref="J213">IFERROR(_xlfn.LET(
_xlpm.CSVVal,_xlfn.XLOOKUP($A213,CSV!$A:$A,CSV!J:J,""),
_xlpm.MacVal,_xlfn.XLOOKUP($A213,Output_Mac!$A:$A,Output_Mac!K:K,""),
_xlpm.MyAuditVal,_xlfn.XLOOKUP($A213,My_Audit!$A:$A,My_Audit!I:I,""),
_xlfn.IFS(_xlpm.MyAuditVal&lt;&gt;"",UPPER(_xlpm.MyAuditVal),_xlpm.MacVal&lt;&gt;"",_xlpm.MacVal,_xlpm.CSVVal&lt;&gt;"",_xlpm.CSVVal
)),"")</f>
        <v/>
      </c>
      <c r="K213" s="45" t="str" cm="1">
        <f t="array" ref="K213">IFERROR(_xlfn.LET(
_xlpm.CSVVal,_xlfn.XLOOKUP($A213,CSV!$A:$A,CSV!N:N,""),
_xlpm.MacVal,_xlfn.XLOOKUP($A213,Output_Mac!$A:$A,Output_Mac!L:L,""),
_xlpm.MyAuditVal,_xlfn.XLOOKUP($A213,My_Audit!$A:$A,My_Audit!J:J,""),
_xlfn.IFS(_xlpm.MyAuditVal&lt;&gt;"",UPPER(_xlpm.MyAuditVal),_xlpm.MacVal&lt;&gt;"",_xlpm.MacVal,_xlpm.CSVVal&lt;&gt;"",_xlpm.CSVVal
)),"")</f>
        <v/>
      </c>
      <c r="L213" s="46" t="str" cm="1">
        <f t="array" ref="L213">IFERROR(_xlfn.LET(
_xlpm.CSVVal,_xlfn.XLOOKUP($A213,CSV!$A:$A,CSV!Q:Q,""),
_xlpm.MacVal,_xlfn.XLOOKUP($A213,Output_Mac!$A:$A,Output_Mac!M:M,""),
_xlpm.MyAuditVal,_xlfn.XLOOKUP($A213,My_Audit!$A:$A,My_Audit!K:K,""),
_xlfn.IFS(_xlpm.MyAuditVal&lt;&gt;"",UPPER(_xlpm.MyAuditVal),_xlpm.MacVal&lt;&gt;"",_xlpm.MacVal,_xlpm.CSVVal&lt;&gt;"",_xlpm.CSVVal
)),"")</f>
        <v/>
      </c>
      <c r="M213" s="45" t="str">
        <f>_xlfn.LET(
    _xlpm.CSVVal, _xlfn.XLOOKUP($A213, CSV!$A:$A, CSV!AE:AE, ""),
    _xlpm.MacVal, _xlfn.XLOOKUP($A213, Output_Mac!$A:$A, Output_Mac!S:S, ""),
    _xlpm.MyAuditVal, _xlfn.XLOOKUP($A213, My_Audit!$A:$A, My_Audit!N:N, ""),
    _xlfn.TEXTJOIN(", ", TRUE, _xlpm.MyAuditVal, _xlpm.MacVal, _xlpm.CSVVal)
)</f>
        <v/>
      </c>
      <c r="N213" s="45" t="str" cm="1">
        <f t="array" ref="N213">IFERROR(_xlfn.LET(
_xlpm.CSVVal,_xlfn.XLOOKUP($A213,CSV!$A:$A,CSV!AG:AG,""),
_xlpm.MacVal,_xlfn.XLOOKUP($A213,Output_Mac!$A:$A,Output_Mac!U:U,""),
_xlpm.MyAuditVal,_xlfn.XLOOKUP($A213,My_Audit!$A:$A,My_Audit!O:O,""),
_xlfn.IFS(_xlpm.MyAuditVal&lt;&gt;"",UPPER(_xlpm.MyAuditVal),_xlpm.MacVal&lt;&gt;"",_xlpm.MacVal,_xlpm.CSVVal&lt;&gt;"",_xlpm.CSVVal
)),"")</f>
        <v/>
      </c>
      <c r="O213" s="46" t="str">
        <f>_xlfn.XLOOKUP(C213,My_Audit!B:B,My_Audit!P:P,"")&amp;""</f>
        <v/>
      </c>
      <c r="P213" s="45"/>
      <c r="Q213" s="46" t="str">
        <f>IF(LEFT(N213,4)="Pass","Nist SP 800-88",My_Audit!R213)&amp;""</f>
        <v/>
      </c>
      <c r="R213" s="45"/>
      <c r="S213" s="45"/>
      <c r="T213" s="46" t="str">
        <f>_xlfn.XLOOKUP(E213,Models!I:I,Models!J:J,"")</f>
        <v/>
      </c>
      <c r="U213" s="45"/>
      <c r="V213" s="45"/>
      <c r="W213" s="38"/>
    </row>
    <row r="214" spans="1:23">
      <c r="A214" s="45" t="str">
        <f>_xlfn.TEXTJOIN("",TRUE,Input!$B$2,ROW(My_Audit!A213))</f>
        <v>XX213</v>
      </c>
      <c r="B214" s="45" t="str">
        <f>_xlfn.TEXTJOIN("-",TRUE,"ITD",Input!$A$2,A214)</f>
        <v>ITD-SHRXXX-XX213</v>
      </c>
      <c r="C214" s="45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46" t="str" cm="1">
        <f t="array" ref="D214">IFERROR(_xlfn.LET(
_xlpm.CSVVal,_xlfn.XLOOKUP($A214,CSV!$A:$A,CSV!C:C,""),
_xlpm.MacVal,_xlfn.XLOOKUP($A214,Output_Mac!$A:$A,Output_Mac!D:D,""),
_xlpm.MyAuditVal,_xlfn.XLOOKUP($A214,My_Audit!$A:$A,My_Audit!C:C,""),
_xlfn.IFS(_xlpm.MyAuditVal&lt;&gt;"",UPPER(_xlpm.MyAuditVal),_xlpm.MacVal&lt;&gt;"",_xlpm.MacVal,_xlpm.CSVVal&lt;&gt;"",_xlpm.CSVVal
)),"")</f>
        <v/>
      </c>
      <c r="E214" s="46" t="str" cm="1">
        <f t="array" ref="E214">IFERROR(_xlfn.LET(
_xlpm.CSVVal,_xlfn.XLOOKUP($A214,CSV!$A:$A,CSV!E:E,""),
_xlpm.MacVal,_xlfn.XLOOKUP($A214,Output_Mac!$A:$A,Output_Mac!C:C,""),
_xlpm.MyAuditVal,_xlfn.XLOOKUP($A214,My_Audit!$A:$A,My_Audit!D:D,""),
_xlfn.IFS(_xlpm.MyAuditVal&lt;&gt;"",_xlpm.MyAuditVal,_xlpm.MacVal&lt;&gt;"",_xlpm.MacVal,_xlpm.CSVVal&lt;&gt;"",_xlpm.CSVVal
)),"")</f>
        <v/>
      </c>
      <c r="F214" s="45" t="str" cm="1">
        <f t="array" ref="F214">IFERROR(_xlfn.LET(
_xlpm.CSVVal,_xlfn.XLOOKUP($A214,CSV!$A:$A,CSV!F:F,""),
_xlpm.MacVal,_xlfn.XLOOKUP($A214,Output_Mac!$A:$A,Output_Mac!F:F,""),
_xlpm.MyAuditVal,_xlfn.XLOOKUP($A214,My_Audit!$A:$A,My_Audit!E:E,""),
_xlfn.IFS(_xlpm.MyAuditVal&lt;&gt;"",_xlpm.MyAuditVal,_xlpm.MacVal&lt;&gt;"",_xlpm.MacVal,_xlpm.CSVVal&lt;&gt;"",PROPER(_xlpm.CSVVal)
)),"")</f>
        <v/>
      </c>
      <c r="G214" s="45" t="str" cm="1">
        <f t="array" ref="G214">IFERROR(_xlfn.LET(
_xlpm.CSVVal,_xlfn.XLOOKUP($A214,CSV!$A:$A,CSV!G:G,""),
_xlpm.MacVal,_xlfn.XLOOKUP($A214,Output_Mac!$A:$A,Output_Mac!H:H,""),
_xlpm.MyAuditVal,_xlfn.XLOOKUP($A214,My_Audit!$A:$A,My_Audit!F:F,""),
_xlfn.IFS(_xlpm.MyAuditVal&lt;&gt;"",_xlpm.MyAuditVal,_xlpm.MacVal&lt;&gt;"",_xlpm.MacVal,_xlpm.CSVVal&lt;&gt;"",_xlpm.CSVVal
)),"")</f>
        <v/>
      </c>
      <c r="H214" s="45" t="str">
        <f>_xlfn.XLOOKUP(A214,Output_Mac!A:A,Output_Mac!I:I,"")</f>
        <v/>
      </c>
      <c r="I214" s="45" t="str" cm="1">
        <f t="array" ref="I214">IFERROR(_xlfn.LET(
_xlpm.CSVVal,_xlfn.XLOOKUP($A214,CSV!$A:$A,CSV!H:H,""),
_xlpm.MacVal,_xlfn.XLOOKUP($A214,Output_Mac!$A:$A,Output_Mac!J:J,""),
_xlpm.MyAuditVal,_xlfn.XLOOKUP($A214,My_Audit!$A:$A,My_Audit!H:H,""),
_xlfn.IFS(_xlpm.MyAuditVal&lt;&gt;"",UPPER(_xlpm.MyAuditVal),_xlpm.MacVal&lt;&gt;"",_xlpm.MacVal,_xlpm.CSVVal&lt;&gt;"",_xlpm.CSVVal
)),"")</f>
        <v/>
      </c>
      <c r="J214" s="45" t="str" cm="1">
        <f t="array" ref="J214">IFERROR(_xlfn.LET(
_xlpm.CSVVal,_xlfn.XLOOKUP($A214,CSV!$A:$A,CSV!J:J,""),
_xlpm.MacVal,_xlfn.XLOOKUP($A214,Output_Mac!$A:$A,Output_Mac!K:K,""),
_xlpm.MyAuditVal,_xlfn.XLOOKUP($A214,My_Audit!$A:$A,My_Audit!I:I,""),
_xlfn.IFS(_xlpm.MyAuditVal&lt;&gt;"",UPPER(_xlpm.MyAuditVal),_xlpm.MacVal&lt;&gt;"",_xlpm.MacVal,_xlpm.CSVVal&lt;&gt;"",_xlpm.CSVVal
)),"")</f>
        <v/>
      </c>
      <c r="K214" s="45" t="str" cm="1">
        <f t="array" ref="K214">IFERROR(_xlfn.LET(
_xlpm.CSVVal,_xlfn.XLOOKUP($A214,CSV!$A:$A,CSV!N:N,""),
_xlpm.MacVal,_xlfn.XLOOKUP($A214,Output_Mac!$A:$A,Output_Mac!L:L,""),
_xlpm.MyAuditVal,_xlfn.XLOOKUP($A214,My_Audit!$A:$A,My_Audit!J:J,""),
_xlfn.IFS(_xlpm.MyAuditVal&lt;&gt;"",UPPER(_xlpm.MyAuditVal),_xlpm.MacVal&lt;&gt;"",_xlpm.MacVal,_xlpm.CSVVal&lt;&gt;"",_xlpm.CSVVal
)),"")</f>
        <v/>
      </c>
      <c r="L214" s="46" t="str" cm="1">
        <f t="array" ref="L214">IFERROR(_xlfn.LET(
_xlpm.CSVVal,_xlfn.XLOOKUP($A214,CSV!$A:$A,CSV!Q:Q,""),
_xlpm.MacVal,_xlfn.XLOOKUP($A214,Output_Mac!$A:$A,Output_Mac!M:M,""),
_xlpm.MyAuditVal,_xlfn.XLOOKUP($A214,My_Audit!$A:$A,My_Audit!K:K,""),
_xlfn.IFS(_xlpm.MyAuditVal&lt;&gt;"",UPPER(_xlpm.MyAuditVal),_xlpm.MacVal&lt;&gt;"",_xlpm.MacVal,_xlpm.CSVVal&lt;&gt;"",_xlpm.CSVVal
)),"")</f>
        <v/>
      </c>
      <c r="M214" s="45" t="str">
        <f>_xlfn.LET(
    _xlpm.CSVVal, _xlfn.XLOOKUP($A214, CSV!$A:$A, CSV!AE:AE, ""),
    _xlpm.MacVal, _xlfn.XLOOKUP($A214, Output_Mac!$A:$A, Output_Mac!S:S, ""),
    _xlpm.MyAuditVal, _xlfn.XLOOKUP($A214, My_Audit!$A:$A, My_Audit!N:N, ""),
    _xlfn.TEXTJOIN(", ", TRUE, _xlpm.MyAuditVal, _xlpm.MacVal, _xlpm.CSVVal)
)</f>
        <v/>
      </c>
      <c r="N214" s="45" t="str" cm="1">
        <f t="array" ref="N214">IFERROR(_xlfn.LET(
_xlpm.CSVVal,_xlfn.XLOOKUP($A214,CSV!$A:$A,CSV!AG:AG,""),
_xlpm.MacVal,_xlfn.XLOOKUP($A214,Output_Mac!$A:$A,Output_Mac!U:U,""),
_xlpm.MyAuditVal,_xlfn.XLOOKUP($A214,My_Audit!$A:$A,My_Audit!O:O,""),
_xlfn.IFS(_xlpm.MyAuditVal&lt;&gt;"",UPPER(_xlpm.MyAuditVal),_xlpm.MacVal&lt;&gt;"",_xlpm.MacVal,_xlpm.CSVVal&lt;&gt;"",_xlpm.CSVVal
)),"")</f>
        <v/>
      </c>
      <c r="O214" s="46" t="str">
        <f>_xlfn.XLOOKUP(C214,My_Audit!B:B,My_Audit!P:P,"")&amp;""</f>
        <v/>
      </c>
      <c r="P214" s="45"/>
      <c r="Q214" s="46" t="str">
        <f>IF(LEFT(N214,4)="Pass","Nist SP 800-88",My_Audit!R214)&amp;""</f>
        <v/>
      </c>
      <c r="R214" s="45"/>
      <c r="S214" s="45"/>
      <c r="T214" s="46" t="str">
        <f>_xlfn.XLOOKUP(E214,Models!I:I,Models!J:J,"")</f>
        <v/>
      </c>
      <c r="U214" s="45"/>
      <c r="V214" s="45"/>
      <c r="W214" s="38"/>
    </row>
    <row r="215" spans="1:23">
      <c r="A215" s="45" t="str">
        <f>_xlfn.TEXTJOIN("",TRUE,Input!$B$2,ROW(My_Audit!A214))</f>
        <v>XX214</v>
      </c>
      <c r="B215" s="45" t="str">
        <f>_xlfn.TEXTJOIN("-",TRUE,"ITD",Input!$A$2,A215)</f>
        <v>ITD-SHRXXX-XX214</v>
      </c>
      <c r="C215" s="45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46" t="str" cm="1">
        <f t="array" ref="D215">IFERROR(_xlfn.LET(
_xlpm.CSVVal,_xlfn.XLOOKUP($A215,CSV!$A:$A,CSV!C:C,""),
_xlpm.MacVal,_xlfn.XLOOKUP($A215,Output_Mac!$A:$A,Output_Mac!D:D,""),
_xlpm.MyAuditVal,_xlfn.XLOOKUP($A215,My_Audit!$A:$A,My_Audit!C:C,""),
_xlfn.IFS(_xlpm.MyAuditVal&lt;&gt;"",UPPER(_xlpm.MyAuditVal),_xlpm.MacVal&lt;&gt;"",_xlpm.MacVal,_xlpm.CSVVal&lt;&gt;"",_xlpm.CSVVal
)),"")</f>
        <v/>
      </c>
      <c r="E215" s="46" t="str" cm="1">
        <f t="array" ref="E215">IFERROR(_xlfn.LET(
_xlpm.CSVVal,_xlfn.XLOOKUP($A215,CSV!$A:$A,CSV!E:E,""),
_xlpm.MacVal,_xlfn.XLOOKUP($A215,Output_Mac!$A:$A,Output_Mac!C:C,""),
_xlpm.MyAuditVal,_xlfn.XLOOKUP($A215,My_Audit!$A:$A,My_Audit!D:D,""),
_xlfn.IFS(_xlpm.MyAuditVal&lt;&gt;"",_xlpm.MyAuditVal,_xlpm.MacVal&lt;&gt;"",_xlpm.MacVal,_xlpm.CSVVal&lt;&gt;"",_xlpm.CSVVal
)),"")</f>
        <v/>
      </c>
      <c r="F215" s="45" t="str" cm="1">
        <f t="array" ref="F215">IFERROR(_xlfn.LET(
_xlpm.CSVVal,_xlfn.XLOOKUP($A215,CSV!$A:$A,CSV!F:F,""),
_xlpm.MacVal,_xlfn.XLOOKUP($A215,Output_Mac!$A:$A,Output_Mac!F:F,""),
_xlpm.MyAuditVal,_xlfn.XLOOKUP($A215,My_Audit!$A:$A,My_Audit!E:E,""),
_xlfn.IFS(_xlpm.MyAuditVal&lt;&gt;"",_xlpm.MyAuditVal,_xlpm.MacVal&lt;&gt;"",_xlpm.MacVal,_xlpm.CSVVal&lt;&gt;"",PROPER(_xlpm.CSVVal)
)),"")</f>
        <v/>
      </c>
      <c r="G215" s="45" t="str" cm="1">
        <f t="array" ref="G215">IFERROR(_xlfn.LET(
_xlpm.CSVVal,_xlfn.XLOOKUP($A215,CSV!$A:$A,CSV!G:G,""),
_xlpm.MacVal,_xlfn.XLOOKUP($A215,Output_Mac!$A:$A,Output_Mac!H:H,""),
_xlpm.MyAuditVal,_xlfn.XLOOKUP($A215,My_Audit!$A:$A,My_Audit!F:F,""),
_xlfn.IFS(_xlpm.MyAuditVal&lt;&gt;"",_xlpm.MyAuditVal,_xlpm.MacVal&lt;&gt;"",_xlpm.MacVal,_xlpm.CSVVal&lt;&gt;"",_xlpm.CSVVal
)),"")</f>
        <v/>
      </c>
      <c r="H215" s="45" t="str">
        <f>_xlfn.XLOOKUP(A215,Output_Mac!A:A,Output_Mac!I:I,"")</f>
        <v/>
      </c>
      <c r="I215" s="45" t="str" cm="1">
        <f t="array" ref="I215">IFERROR(_xlfn.LET(
_xlpm.CSVVal,_xlfn.XLOOKUP($A215,CSV!$A:$A,CSV!H:H,""),
_xlpm.MacVal,_xlfn.XLOOKUP($A215,Output_Mac!$A:$A,Output_Mac!J:J,""),
_xlpm.MyAuditVal,_xlfn.XLOOKUP($A215,My_Audit!$A:$A,My_Audit!H:H,""),
_xlfn.IFS(_xlpm.MyAuditVal&lt;&gt;"",UPPER(_xlpm.MyAuditVal),_xlpm.MacVal&lt;&gt;"",_xlpm.MacVal,_xlpm.CSVVal&lt;&gt;"",_xlpm.CSVVal
)),"")</f>
        <v/>
      </c>
      <c r="J215" s="45" t="str" cm="1">
        <f t="array" ref="J215">IFERROR(_xlfn.LET(
_xlpm.CSVVal,_xlfn.XLOOKUP($A215,CSV!$A:$A,CSV!J:J,""),
_xlpm.MacVal,_xlfn.XLOOKUP($A215,Output_Mac!$A:$A,Output_Mac!K:K,""),
_xlpm.MyAuditVal,_xlfn.XLOOKUP($A215,My_Audit!$A:$A,My_Audit!I:I,""),
_xlfn.IFS(_xlpm.MyAuditVal&lt;&gt;"",UPPER(_xlpm.MyAuditVal),_xlpm.MacVal&lt;&gt;"",_xlpm.MacVal,_xlpm.CSVVal&lt;&gt;"",_xlpm.CSVVal
)),"")</f>
        <v/>
      </c>
      <c r="K215" s="45" t="str" cm="1">
        <f t="array" ref="K215">IFERROR(_xlfn.LET(
_xlpm.CSVVal,_xlfn.XLOOKUP($A215,CSV!$A:$A,CSV!N:N,""),
_xlpm.MacVal,_xlfn.XLOOKUP($A215,Output_Mac!$A:$A,Output_Mac!L:L,""),
_xlpm.MyAuditVal,_xlfn.XLOOKUP($A215,My_Audit!$A:$A,My_Audit!J:J,""),
_xlfn.IFS(_xlpm.MyAuditVal&lt;&gt;"",UPPER(_xlpm.MyAuditVal),_xlpm.MacVal&lt;&gt;"",_xlpm.MacVal,_xlpm.CSVVal&lt;&gt;"",_xlpm.CSVVal
)),"")</f>
        <v/>
      </c>
      <c r="L215" s="46" t="str" cm="1">
        <f t="array" ref="L215">IFERROR(_xlfn.LET(
_xlpm.CSVVal,_xlfn.XLOOKUP($A215,CSV!$A:$A,CSV!Q:Q,""),
_xlpm.MacVal,_xlfn.XLOOKUP($A215,Output_Mac!$A:$A,Output_Mac!M:M,""),
_xlpm.MyAuditVal,_xlfn.XLOOKUP($A215,My_Audit!$A:$A,My_Audit!K:K,""),
_xlfn.IFS(_xlpm.MyAuditVal&lt;&gt;"",UPPER(_xlpm.MyAuditVal),_xlpm.MacVal&lt;&gt;"",_xlpm.MacVal,_xlpm.CSVVal&lt;&gt;"",_xlpm.CSVVal
)),"")</f>
        <v/>
      </c>
      <c r="M215" s="45" t="str">
        <f>_xlfn.LET(
    _xlpm.CSVVal, _xlfn.XLOOKUP($A215, CSV!$A:$A, CSV!AE:AE, ""),
    _xlpm.MacVal, _xlfn.XLOOKUP($A215, Output_Mac!$A:$A, Output_Mac!S:S, ""),
    _xlpm.MyAuditVal, _xlfn.XLOOKUP($A215, My_Audit!$A:$A, My_Audit!N:N, ""),
    _xlfn.TEXTJOIN(", ", TRUE, _xlpm.MyAuditVal, _xlpm.MacVal, _xlpm.CSVVal)
)</f>
        <v/>
      </c>
      <c r="N215" s="45" t="str" cm="1">
        <f t="array" ref="N215">IFERROR(_xlfn.LET(
_xlpm.CSVVal,_xlfn.XLOOKUP($A215,CSV!$A:$A,CSV!AG:AG,""),
_xlpm.MacVal,_xlfn.XLOOKUP($A215,Output_Mac!$A:$A,Output_Mac!U:U,""),
_xlpm.MyAuditVal,_xlfn.XLOOKUP($A215,My_Audit!$A:$A,My_Audit!O:O,""),
_xlfn.IFS(_xlpm.MyAuditVal&lt;&gt;"",UPPER(_xlpm.MyAuditVal),_xlpm.MacVal&lt;&gt;"",_xlpm.MacVal,_xlpm.CSVVal&lt;&gt;"",_xlpm.CSVVal
)),"")</f>
        <v/>
      </c>
      <c r="O215" s="46" t="str">
        <f>_xlfn.XLOOKUP(C215,My_Audit!B:B,My_Audit!P:P,"")&amp;""</f>
        <v/>
      </c>
      <c r="P215" s="45"/>
      <c r="Q215" s="46" t="str">
        <f>IF(LEFT(N215,4)="Pass","Nist SP 800-88",My_Audit!R215)&amp;""</f>
        <v/>
      </c>
      <c r="R215" s="45"/>
      <c r="S215" s="45"/>
      <c r="T215" s="46" t="str">
        <f>_xlfn.XLOOKUP(E215,Models!I:I,Models!J:J,"")</f>
        <v/>
      </c>
      <c r="U215" s="45"/>
      <c r="V215" s="45"/>
      <c r="W215" s="38"/>
    </row>
    <row r="216" spans="1:23">
      <c r="A216" s="45" t="str">
        <f>_xlfn.TEXTJOIN("",TRUE,Input!$B$2,ROW(My_Audit!A215))</f>
        <v>XX215</v>
      </c>
      <c r="B216" s="45" t="str">
        <f>_xlfn.TEXTJOIN("-",TRUE,"ITD",Input!$A$2,A216)</f>
        <v>ITD-SHRXXX-XX215</v>
      </c>
      <c r="C216" s="45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46" t="str" cm="1">
        <f t="array" ref="D216">IFERROR(_xlfn.LET(
_xlpm.CSVVal,_xlfn.XLOOKUP($A216,CSV!$A:$A,CSV!C:C,""),
_xlpm.MacVal,_xlfn.XLOOKUP($A216,Output_Mac!$A:$A,Output_Mac!D:D,""),
_xlpm.MyAuditVal,_xlfn.XLOOKUP($A216,My_Audit!$A:$A,My_Audit!C:C,""),
_xlfn.IFS(_xlpm.MyAuditVal&lt;&gt;"",UPPER(_xlpm.MyAuditVal),_xlpm.MacVal&lt;&gt;"",_xlpm.MacVal,_xlpm.CSVVal&lt;&gt;"",_xlpm.CSVVal
)),"")</f>
        <v/>
      </c>
      <c r="E216" s="46" t="str" cm="1">
        <f t="array" ref="E216">IFERROR(_xlfn.LET(
_xlpm.CSVVal,_xlfn.XLOOKUP($A216,CSV!$A:$A,CSV!E:E,""),
_xlpm.MacVal,_xlfn.XLOOKUP($A216,Output_Mac!$A:$A,Output_Mac!C:C,""),
_xlpm.MyAuditVal,_xlfn.XLOOKUP($A216,My_Audit!$A:$A,My_Audit!D:D,""),
_xlfn.IFS(_xlpm.MyAuditVal&lt;&gt;"",_xlpm.MyAuditVal,_xlpm.MacVal&lt;&gt;"",_xlpm.MacVal,_xlpm.CSVVal&lt;&gt;"",_xlpm.CSVVal
)),"")</f>
        <v/>
      </c>
      <c r="F216" s="45" t="str" cm="1">
        <f t="array" ref="F216">IFERROR(_xlfn.LET(
_xlpm.CSVVal,_xlfn.XLOOKUP($A216,CSV!$A:$A,CSV!F:F,""),
_xlpm.MacVal,_xlfn.XLOOKUP($A216,Output_Mac!$A:$A,Output_Mac!F:F,""),
_xlpm.MyAuditVal,_xlfn.XLOOKUP($A216,My_Audit!$A:$A,My_Audit!E:E,""),
_xlfn.IFS(_xlpm.MyAuditVal&lt;&gt;"",_xlpm.MyAuditVal,_xlpm.MacVal&lt;&gt;"",_xlpm.MacVal,_xlpm.CSVVal&lt;&gt;"",PROPER(_xlpm.CSVVal)
)),"")</f>
        <v/>
      </c>
      <c r="G216" s="45" t="str" cm="1">
        <f t="array" ref="G216">IFERROR(_xlfn.LET(
_xlpm.CSVVal,_xlfn.XLOOKUP($A216,CSV!$A:$A,CSV!G:G,""),
_xlpm.MacVal,_xlfn.XLOOKUP($A216,Output_Mac!$A:$A,Output_Mac!H:H,""),
_xlpm.MyAuditVal,_xlfn.XLOOKUP($A216,My_Audit!$A:$A,My_Audit!F:F,""),
_xlfn.IFS(_xlpm.MyAuditVal&lt;&gt;"",_xlpm.MyAuditVal,_xlpm.MacVal&lt;&gt;"",_xlpm.MacVal,_xlpm.CSVVal&lt;&gt;"",_xlpm.CSVVal
)),"")</f>
        <v/>
      </c>
      <c r="H216" s="45" t="str">
        <f>_xlfn.XLOOKUP(A216,Output_Mac!A:A,Output_Mac!I:I,"")</f>
        <v/>
      </c>
      <c r="I216" s="45" t="str" cm="1">
        <f t="array" ref="I216">IFERROR(_xlfn.LET(
_xlpm.CSVVal,_xlfn.XLOOKUP($A216,CSV!$A:$A,CSV!H:H,""),
_xlpm.MacVal,_xlfn.XLOOKUP($A216,Output_Mac!$A:$A,Output_Mac!J:J,""),
_xlpm.MyAuditVal,_xlfn.XLOOKUP($A216,My_Audit!$A:$A,My_Audit!H:H,""),
_xlfn.IFS(_xlpm.MyAuditVal&lt;&gt;"",UPPER(_xlpm.MyAuditVal),_xlpm.MacVal&lt;&gt;"",_xlpm.MacVal,_xlpm.CSVVal&lt;&gt;"",_xlpm.CSVVal
)),"")</f>
        <v/>
      </c>
      <c r="J216" s="45" t="str" cm="1">
        <f t="array" ref="J216">IFERROR(_xlfn.LET(
_xlpm.CSVVal,_xlfn.XLOOKUP($A216,CSV!$A:$A,CSV!J:J,""),
_xlpm.MacVal,_xlfn.XLOOKUP($A216,Output_Mac!$A:$A,Output_Mac!K:K,""),
_xlpm.MyAuditVal,_xlfn.XLOOKUP($A216,My_Audit!$A:$A,My_Audit!I:I,""),
_xlfn.IFS(_xlpm.MyAuditVal&lt;&gt;"",UPPER(_xlpm.MyAuditVal),_xlpm.MacVal&lt;&gt;"",_xlpm.MacVal,_xlpm.CSVVal&lt;&gt;"",_xlpm.CSVVal
)),"")</f>
        <v/>
      </c>
      <c r="K216" s="45" t="str" cm="1">
        <f t="array" ref="K216">IFERROR(_xlfn.LET(
_xlpm.CSVVal,_xlfn.XLOOKUP($A216,CSV!$A:$A,CSV!N:N,""),
_xlpm.MacVal,_xlfn.XLOOKUP($A216,Output_Mac!$A:$A,Output_Mac!L:L,""),
_xlpm.MyAuditVal,_xlfn.XLOOKUP($A216,My_Audit!$A:$A,My_Audit!J:J,""),
_xlfn.IFS(_xlpm.MyAuditVal&lt;&gt;"",UPPER(_xlpm.MyAuditVal),_xlpm.MacVal&lt;&gt;"",_xlpm.MacVal,_xlpm.CSVVal&lt;&gt;"",_xlpm.CSVVal
)),"")</f>
        <v/>
      </c>
      <c r="L216" s="46" t="str" cm="1">
        <f t="array" ref="L216">IFERROR(_xlfn.LET(
_xlpm.CSVVal,_xlfn.XLOOKUP($A216,CSV!$A:$A,CSV!Q:Q,""),
_xlpm.MacVal,_xlfn.XLOOKUP($A216,Output_Mac!$A:$A,Output_Mac!M:M,""),
_xlpm.MyAuditVal,_xlfn.XLOOKUP($A216,My_Audit!$A:$A,My_Audit!K:K,""),
_xlfn.IFS(_xlpm.MyAuditVal&lt;&gt;"",UPPER(_xlpm.MyAuditVal),_xlpm.MacVal&lt;&gt;"",_xlpm.MacVal,_xlpm.CSVVal&lt;&gt;"",_xlpm.CSVVal
)),"")</f>
        <v/>
      </c>
      <c r="M216" s="45" t="str">
        <f>_xlfn.LET(
    _xlpm.CSVVal, _xlfn.XLOOKUP($A216, CSV!$A:$A, CSV!AE:AE, ""),
    _xlpm.MacVal, _xlfn.XLOOKUP($A216, Output_Mac!$A:$A, Output_Mac!S:S, ""),
    _xlpm.MyAuditVal, _xlfn.XLOOKUP($A216, My_Audit!$A:$A, My_Audit!N:N, ""),
    _xlfn.TEXTJOIN(", ", TRUE, _xlpm.MyAuditVal, _xlpm.MacVal, _xlpm.CSVVal)
)</f>
        <v/>
      </c>
      <c r="N216" s="45" t="str" cm="1">
        <f t="array" ref="N216">IFERROR(_xlfn.LET(
_xlpm.CSVVal,_xlfn.XLOOKUP($A216,CSV!$A:$A,CSV!AG:AG,""),
_xlpm.MacVal,_xlfn.XLOOKUP($A216,Output_Mac!$A:$A,Output_Mac!U:U,""),
_xlpm.MyAuditVal,_xlfn.XLOOKUP($A216,My_Audit!$A:$A,My_Audit!O:O,""),
_xlfn.IFS(_xlpm.MyAuditVal&lt;&gt;"",UPPER(_xlpm.MyAuditVal),_xlpm.MacVal&lt;&gt;"",_xlpm.MacVal,_xlpm.CSVVal&lt;&gt;"",_xlpm.CSVVal
)),"")</f>
        <v/>
      </c>
      <c r="O216" s="46" t="str">
        <f>_xlfn.XLOOKUP(C216,My_Audit!B:B,My_Audit!P:P,"")&amp;""</f>
        <v/>
      </c>
      <c r="P216" s="45"/>
      <c r="Q216" s="46" t="str">
        <f>IF(LEFT(N216,4)="Pass","Nist SP 800-88",My_Audit!R216)&amp;""</f>
        <v/>
      </c>
      <c r="R216" s="45"/>
      <c r="S216" s="45"/>
      <c r="T216" s="46" t="str">
        <f>_xlfn.XLOOKUP(E216,Models!I:I,Models!J:J,"")</f>
        <v/>
      </c>
      <c r="U216" s="45"/>
      <c r="V216" s="45"/>
      <c r="W216" s="38"/>
    </row>
    <row r="217" spans="1:23">
      <c r="A217" s="45" t="str">
        <f>_xlfn.TEXTJOIN("",TRUE,Input!$B$2,ROW(My_Audit!A216))</f>
        <v>XX216</v>
      </c>
      <c r="B217" s="45" t="str">
        <f>_xlfn.TEXTJOIN("-",TRUE,"ITD",Input!$A$2,A217)</f>
        <v>ITD-SHRXXX-XX216</v>
      </c>
      <c r="C217" s="45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46" t="str" cm="1">
        <f t="array" ref="D217">IFERROR(_xlfn.LET(
_xlpm.CSVVal,_xlfn.XLOOKUP($A217,CSV!$A:$A,CSV!C:C,""),
_xlpm.MacVal,_xlfn.XLOOKUP($A217,Output_Mac!$A:$A,Output_Mac!D:D,""),
_xlpm.MyAuditVal,_xlfn.XLOOKUP($A217,My_Audit!$A:$A,My_Audit!C:C,""),
_xlfn.IFS(_xlpm.MyAuditVal&lt;&gt;"",UPPER(_xlpm.MyAuditVal),_xlpm.MacVal&lt;&gt;"",_xlpm.MacVal,_xlpm.CSVVal&lt;&gt;"",_xlpm.CSVVal
)),"")</f>
        <v/>
      </c>
      <c r="E217" s="46" t="str" cm="1">
        <f t="array" ref="E217">IFERROR(_xlfn.LET(
_xlpm.CSVVal,_xlfn.XLOOKUP($A217,CSV!$A:$A,CSV!E:E,""),
_xlpm.MacVal,_xlfn.XLOOKUP($A217,Output_Mac!$A:$A,Output_Mac!C:C,""),
_xlpm.MyAuditVal,_xlfn.XLOOKUP($A217,My_Audit!$A:$A,My_Audit!D:D,""),
_xlfn.IFS(_xlpm.MyAuditVal&lt;&gt;"",_xlpm.MyAuditVal,_xlpm.MacVal&lt;&gt;"",_xlpm.MacVal,_xlpm.CSVVal&lt;&gt;"",_xlpm.CSVVal
)),"")</f>
        <v/>
      </c>
      <c r="F217" s="45" t="str" cm="1">
        <f t="array" ref="F217">IFERROR(_xlfn.LET(
_xlpm.CSVVal,_xlfn.XLOOKUP($A217,CSV!$A:$A,CSV!F:F,""),
_xlpm.MacVal,_xlfn.XLOOKUP($A217,Output_Mac!$A:$A,Output_Mac!F:F,""),
_xlpm.MyAuditVal,_xlfn.XLOOKUP($A217,My_Audit!$A:$A,My_Audit!E:E,""),
_xlfn.IFS(_xlpm.MyAuditVal&lt;&gt;"",_xlpm.MyAuditVal,_xlpm.MacVal&lt;&gt;"",_xlpm.MacVal,_xlpm.CSVVal&lt;&gt;"",PROPER(_xlpm.CSVVal)
)),"")</f>
        <v/>
      </c>
      <c r="G217" s="45" t="str" cm="1">
        <f t="array" ref="G217">IFERROR(_xlfn.LET(
_xlpm.CSVVal,_xlfn.XLOOKUP($A217,CSV!$A:$A,CSV!G:G,""),
_xlpm.MacVal,_xlfn.XLOOKUP($A217,Output_Mac!$A:$A,Output_Mac!H:H,""),
_xlpm.MyAuditVal,_xlfn.XLOOKUP($A217,My_Audit!$A:$A,My_Audit!F:F,""),
_xlfn.IFS(_xlpm.MyAuditVal&lt;&gt;"",_xlpm.MyAuditVal,_xlpm.MacVal&lt;&gt;"",_xlpm.MacVal,_xlpm.CSVVal&lt;&gt;"",_xlpm.CSVVal
)),"")</f>
        <v/>
      </c>
      <c r="H217" s="45" t="str">
        <f>_xlfn.XLOOKUP(A217,Output_Mac!A:A,Output_Mac!I:I,"")</f>
        <v/>
      </c>
      <c r="I217" s="45" t="str" cm="1">
        <f t="array" ref="I217">IFERROR(_xlfn.LET(
_xlpm.CSVVal,_xlfn.XLOOKUP($A217,CSV!$A:$A,CSV!H:H,""),
_xlpm.MacVal,_xlfn.XLOOKUP($A217,Output_Mac!$A:$A,Output_Mac!J:J,""),
_xlpm.MyAuditVal,_xlfn.XLOOKUP($A217,My_Audit!$A:$A,My_Audit!H:H,""),
_xlfn.IFS(_xlpm.MyAuditVal&lt;&gt;"",UPPER(_xlpm.MyAuditVal),_xlpm.MacVal&lt;&gt;"",_xlpm.MacVal,_xlpm.CSVVal&lt;&gt;"",_xlpm.CSVVal
)),"")</f>
        <v/>
      </c>
      <c r="J217" s="45" t="str" cm="1">
        <f t="array" ref="J217">IFERROR(_xlfn.LET(
_xlpm.CSVVal,_xlfn.XLOOKUP($A217,CSV!$A:$A,CSV!J:J,""),
_xlpm.MacVal,_xlfn.XLOOKUP($A217,Output_Mac!$A:$A,Output_Mac!K:K,""),
_xlpm.MyAuditVal,_xlfn.XLOOKUP($A217,My_Audit!$A:$A,My_Audit!I:I,""),
_xlfn.IFS(_xlpm.MyAuditVal&lt;&gt;"",UPPER(_xlpm.MyAuditVal),_xlpm.MacVal&lt;&gt;"",_xlpm.MacVal,_xlpm.CSVVal&lt;&gt;"",_xlpm.CSVVal
)),"")</f>
        <v/>
      </c>
      <c r="K217" s="45" t="str" cm="1">
        <f t="array" ref="K217">IFERROR(_xlfn.LET(
_xlpm.CSVVal,_xlfn.XLOOKUP($A217,CSV!$A:$A,CSV!N:N,""),
_xlpm.MacVal,_xlfn.XLOOKUP($A217,Output_Mac!$A:$A,Output_Mac!L:L,""),
_xlpm.MyAuditVal,_xlfn.XLOOKUP($A217,My_Audit!$A:$A,My_Audit!J:J,""),
_xlfn.IFS(_xlpm.MyAuditVal&lt;&gt;"",UPPER(_xlpm.MyAuditVal),_xlpm.MacVal&lt;&gt;"",_xlpm.MacVal,_xlpm.CSVVal&lt;&gt;"",_xlpm.CSVVal
)),"")</f>
        <v/>
      </c>
      <c r="L217" s="46" t="str" cm="1">
        <f t="array" ref="L217">IFERROR(_xlfn.LET(
_xlpm.CSVVal,_xlfn.XLOOKUP($A217,CSV!$A:$A,CSV!Q:Q,""),
_xlpm.MacVal,_xlfn.XLOOKUP($A217,Output_Mac!$A:$A,Output_Mac!M:M,""),
_xlpm.MyAuditVal,_xlfn.XLOOKUP($A217,My_Audit!$A:$A,My_Audit!K:K,""),
_xlfn.IFS(_xlpm.MyAuditVal&lt;&gt;"",UPPER(_xlpm.MyAuditVal),_xlpm.MacVal&lt;&gt;"",_xlpm.MacVal,_xlpm.CSVVal&lt;&gt;"",_xlpm.CSVVal
)),"")</f>
        <v/>
      </c>
      <c r="M217" s="45" t="str">
        <f>_xlfn.LET(
    _xlpm.CSVVal, _xlfn.XLOOKUP($A217, CSV!$A:$A, CSV!AE:AE, ""),
    _xlpm.MacVal, _xlfn.XLOOKUP($A217, Output_Mac!$A:$A, Output_Mac!S:S, ""),
    _xlpm.MyAuditVal, _xlfn.XLOOKUP($A217, My_Audit!$A:$A, My_Audit!N:N, ""),
    _xlfn.TEXTJOIN(", ", TRUE, _xlpm.MyAuditVal, _xlpm.MacVal, _xlpm.CSVVal)
)</f>
        <v/>
      </c>
      <c r="N217" s="45" t="str" cm="1">
        <f t="array" ref="N217">IFERROR(_xlfn.LET(
_xlpm.CSVVal,_xlfn.XLOOKUP($A217,CSV!$A:$A,CSV!AG:AG,""),
_xlpm.MacVal,_xlfn.XLOOKUP($A217,Output_Mac!$A:$A,Output_Mac!U:U,""),
_xlpm.MyAuditVal,_xlfn.XLOOKUP($A217,My_Audit!$A:$A,My_Audit!O:O,""),
_xlfn.IFS(_xlpm.MyAuditVal&lt;&gt;"",UPPER(_xlpm.MyAuditVal),_xlpm.MacVal&lt;&gt;"",_xlpm.MacVal,_xlpm.CSVVal&lt;&gt;"",_xlpm.CSVVal
)),"")</f>
        <v/>
      </c>
      <c r="O217" s="46" t="str">
        <f>_xlfn.XLOOKUP(C217,My_Audit!B:B,My_Audit!P:P,"")&amp;""</f>
        <v/>
      </c>
      <c r="P217" s="45"/>
      <c r="Q217" s="46" t="str">
        <f>IF(LEFT(N217,4)="Pass","Nist SP 800-88",My_Audit!R217)&amp;""</f>
        <v/>
      </c>
      <c r="R217" s="45"/>
      <c r="S217" s="45"/>
      <c r="T217" s="46" t="str">
        <f>_xlfn.XLOOKUP(E217,Models!I:I,Models!J:J,"")</f>
        <v/>
      </c>
      <c r="U217" s="45"/>
      <c r="V217" s="45"/>
      <c r="W217" s="38"/>
    </row>
    <row r="218" spans="1:23">
      <c r="A218" s="45" t="str">
        <f>_xlfn.TEXTJOIN("",TRUE,Input!$B$2,ROW(My_Audit!A217))</f>
        <v>XX217</v>
      </c>
      <c r="B218" s="45" t="str">
        <f>_xlfn.TEXTJOIN("-",TRUE,"ITD",Input!$A$2,A218)</f>
        <v>ITD-SHRXXX-XX217</v>
      </c>
      <c r="C218" s="45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46" t="str" cm="1">
        <f t="array" ref="D218">IFERROR(_xlfn.LET(
_xlpm.CSVVal,_xlfn.XLOOKUP($A218,CSV!$A:$A,CSV!C:C,""),
_xlpm.MacVal,_xlfn.XLOOKUP($A218,Output_Mac!$A:$A,Output_Mac!D:D,""),
_xlpm.MyAuditVal,_xlfn.XLOOKUP($A218,My_Audit!$A:$A,My_Audit!C:C,""),
_xlfn.IFS(_xlpm.MyAuditVal&lt;&gt;"",UPPER(_xlpm.MyAuditVal),_xlpm.MacVal&lt;&gt;"",_xlpm.MacVal,_xlpm.CSVVal&lt;&gt;"",_xlpm.CSVVal
)),"")</f>
        <v/>
      </c>
      <c r="E218" s="46" t="str" cm="1">
        <f t="array" ref="E218">IFERROR(_xlfn.LET(
_xlpm.CSVVal,_xlfn.XLOOKUP($A218,CSV!$A:$A,CSV!E:E,""),
_xlpm.MacVal,_xlfn.XLOOKUP($A218,Output_Mac!$A:$A,Output_Mac!C:C,""),
_xlpm.MyAuditVal,_xlfn.XLOOKUP($A218,My_Audit!$A:$A,My_Audit!D:D,""),
_xlfn.IFS(_xlpm.MyAuditVal&lt;&gt;"",_xlpm.MyAuditVal,_xlpm.MacVal&lt;&gt;"",_xlpm.MacVal,_xlpm.CSVVal&lt;&gt;"",_xlpm.CSVVal
)),"")</f>
        <v/>
      </c>
      <c r="F218" s="45" t="str" cm="1">
        <f t="array" ref="F218">IFERROR(_xlfn.LET(
_xlpm.CSVVal,_xlfn.XLOOKUP($A218,CSV!$A:$A,CSV!F:F,""),
_xlpm.MacVal,_xlfn.XLOOKUP($A218,Output_Mac!$A:$A,Output_Mac!F:F,""),
_xlpm.MyAuditVal,_xlfn.XLOOKUP($A218,My_Audit!$A:$A,My_Audit!E:E,""),
_xlfn.IFS(_xlpm.MyAuditVal&lt;&gt;"",_xlpm.MyAuditVal,_xlpm.MacVal&lt;&gt;"",_xlpm.MacVal,_xlpm.CSVVal&lt;&gt;"",PROPER(_xlpm.CSVVal)
)),"")</f>
        <v/>
      </c>
      <c r="G218" s="45" t="str" cm="1">
        <f t="array" ref="G218">IFERROR(_xlfn.LET(
_xlpm.CSVVal,_xlfn.XLOOKUP($A218,CSV!$A:$A,CSV!G:G,""),
_xlpm.MacVal,_xlfn.XLOOKUP($A218,Output_Mac!$A:$A,Output_Mac!H:H,""),
_xlpm.MyAuditVal,_xlfn.XLOOKUP($A218,My_Audit!$A:$A,My_Audit!F:F,""),
_xlfn.IFS(_xlpm.MyAuditVal&lt;&gt;"",_xlpm.MyAuditVal,_xlpm.MacVal&lt;&gt;"",_xlpm.MacVal,_xlpm.CSVVal&lt;&gt;"",_xlpm.CSVVal
)),"")</f>
        <v/>
      </c>
      <c r="H218" s="45" t="str">
        <f>_xlfn.XLOOKUP(A218,Output_Mac!A:A,Output_Mac!I:I,"")</f>
        <v/>
      </c>
      <c r="I218" s="45" t="str" cm="1">
        <f t="array" ref="I218">IFERROR(_xlfn.LET(
_xlpm.CSVVal,_xlfn.XLOOKUP($A218,CSV!$A:$A,CSV!H:H,""),
_xlpm.MacVal,_xlfn.XLOOKUP($A218,Output_Mac!$A:$A,Output_Mac!J:J,""),
_xlpm.MyAuditVal,_xlfn.XLOOKUP($A218,My_Audit!$A:$A,My_Audit!H:H,""),
_xlfn.IFS(_xlpm.MyAuditVal&lt;&gt;"",UPPER(_xlpm.MyAuditVal),_xlpm.MacVal&lt;&gt;"",_xlpm.MacVal,_xlpm.CSVVal&lt;&gt;"",_xlpm.CSVVal
)),"")</f>
        <v/>
      </c>
      <c r="J218" s="45" t="str" cm="1">
        <f t="array" ref="J218">IFERROR(_xlfn.LET(
_xlpm.CSVVal,_xlfn.XLOOKUP($A218,CSV!$A:$A,CSV!J:J,""),
_xlpm.MacVal,_xlfn.XLOOKUP($A218,Output_Mac!$A:$A,Output_Mac!K:K,""),
_xlpm.MyAuditVal,_xlfn.XLOOKUP($A218,My_Audit!$A:$A,My_Audit!I:I,""),
_xlfn.IFS(_xlpm.MyAuditVal&lt;&gt;"",UPPER(_xlpm.MyAuditVal),_xlpm.MacVal&lt;&gt;"",_xlpm.MacVal,_xlpm.CSVVal&lt;&gt;"",_xlpm.CSVVal
)),"")</f>
        <v/>
      </c>
      <c r="K218" s="45" t="str" cm="1">
        <f t="array" ref="K218">IFERROR(_xlfn.LET(
_xlpm.CSVVal,_xlfn.XLOOKUP($A218,CSV!$A:$A,CSV!N:N,""),
_xlpm.MacVal,_xlfn.XLOOKUP($A218,Output_Mac!$A:$A,Output_Mac!L:L,""),
_xlpm.MyAuditVal,_xlfn.XLOOKUP($A218,My_Audit!$A:$A,My_Audit!J:J,""),
_xlfn.IFS(_xlpm.MyAuditVal&lt;&gt;"",UPPER(_xlpm.MyAuditVal),_xlpm.MacVal&lt;&gt;"",_xlpm.MacVal,_xlpm.CSVVal&lt;&gt;"",_xlpm.CSVVal
)),"")</f>
        <v/>
      </c>
      <c r="L218" s="46" t="str" cm="1">
        <f t="array" ref="L218">IFERROR(_xlfn.LET(
_xlpm.CSVVal,_xlfn.XLOOKUP($A218,CSV!$A:$A,CSV!Q:Q,""),
_xlpm.MacVal,_xlfn.XLOOKUP($A218,Output_Mac!$A:$A,Output_Mac!M:M,""),
_xlpm.MyAuditVal,_xlfn.XLOOKUP($A218,My_Audit!$A:$A,My_Audit!K:K,""),
_xlfn.IFS(_xlpm.MyAuditVal&lt;&gt;"",UPPER(_xlpm.MyAuditVal),_xlpm.MacVal&lt;&gt;"",_xlpm.MacVal,_xlpm.CSVVal&lt;&gt;"",_xlpm.CSVVal
)),"")</f>
        <v/>
      </c>
      <c r="M218" s="45" t="str">
        <f>_xlfn.LET(
    _xlpm.CSVVal, _xlfn.XLOOKUP($A218, CSV!$A:$A, CSV!AE:AE, ""),
    _xlpm.MacVal, _xlfn.XLOOKUP($A218, Output_Mac!$A:$A, Output_Mac!S:S, ""),
    _xlpm.MyAuditVal, _xlfn.XLOOKUP($A218, My_Audit!$A:$A, My_Audit!N:N, ""),
    _xlfn.TEXTJOIN(", ", TRUE, _xlpm.MyAuditVal, _xlpm.MacVal, _xlpm.CSVVal)
)</f>
        <v/>
      </c>
      <c r="N218" s="45" t="str" cm="1">
        <f t="array" ref="N218">IFERROR(_xlfn.LET(
_xlpm.CSVVal,_xlfn.XLOOKUP($A218,CSV!$A:$A,CSV!AG:AG,""),
_xlpm.MacVal,_xlfn.XLOOKUP($A218,Output_Mac!$A:$A,Output_Mac!U:U,""),
_xlpm.MyAuditVal,_xlfn.XLOOKUP($A218,My_Audit!$A:$A,My_Audit!O:O,""),
_xlfn.IFS(_xlpm.MyAuditVal&lt;&gt;"",UPPER(_xlpm.MyAuditVal),_xlpm.MacVal&lt;&gt;"",_xlpm.MacVal,_xlpm.CSVVal&lt;&gt;"",_xlpm.CSVVal
)),"")</f>
        <v/>
      </c>
      <c r="O218" s="46" t="str">
        <f>_xlfn.XLOOKUP(C218,My_Audit!B:B,My_Audit!P:P,"")&amp;""</f>
        <v/>
      </c>
      <c r="P218" s="45"/>
      <c r="Q218" s="46" t="str">
        <f>IF(LEFT(N218,4)="Pass","Nist SP 800-88",My_Audit!R218)&amp;""</f>
        <v/>
      </c>
      <c r="R218" s="45"/>
      <c r="S218" s="45"/>
      <c r="T218" s="46" t="str">
        <f>_xlfn.XLOOKUP(E218,Models!I:I,Models!J:J,"")</f>
        <v/>
      </c>
      <c r="U218" s="45"/>
      <c r="V218" s="45"/>
      <c r="W218" s="38"/>
    </row>
    <row r="219" spans="1:23">
      <c r="A219" s="45" t="str">
        <f>_xlfn.TEXTJOIN("",TRUE,Input!$B$2,ROW(My_Audit!A218))</f>
        <v>XX218</v>
      </c>
      <c r="B219" s="45" t="str">
        <f>_xlfn.TEXTJOIN("-",TRUE,"ITD",Input!$A$2,A219)</f>
        <v>ITD-SHRXXX-XX218</v>
      </c>
      <c r="C219" s="45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46" t="str" cm="1">
        <f t="array" ref="D219">IFERROR(_xlfn.LET(
_xlpm.CSVVal,_xlfn.XLOOKUP($A219,CSV!$A:$A,CSV!C:C,""),
_xlpm.MacVal,_xlfn.XLOOKUP($A219,Output_Mac!$A:$A,Output_Mac!D:D,""),
_xlpm.MyAuditVal,_xlfn.XLOOKUP($A219,My_Audit!$A:$A,My_Audit!C:C,""),
_xlfn.IFS(_xlpm.MyAuditVal&lt;&gt;"",UPPER(_xlpm.MyAuditVal),_xlpm.MacVal&lt;&gt;"",_xlpm.MacVal,_xlpm.CSVVal&lt;&gt;"",_xlpm.CSVVal
)),"")</f>
        <v/>
      </c>
      <c r="E219" s="46" t="str" cm="1">
        <f t="array" ref="E219">IFERROR(_xlfn.LET(
_xlpm.CSVVal,_xlfn.XLOOKUP($A219,CSV!$A:$A,CSV!E:E,""),
_xlpm.MacVal,_xlfn.XLOOKUP($A219,Output_Mac!$A:$A,Output_Mac!C:C,""),
_xlpm.MyAuditVal,_xlfn.XLOOKUP($A219,My_Audit!$A:$A,My_Audit!D:D,""),
_xlfn.IFS(_xlpm.MyAuditVal&lt;&gt;"",_xlpm.MyAuditVal,_xlpm.MacVal&lt;&gt;"",_xlpm.MacVal,_xlpm.CSVVal&lt;&gt;"",_xlpm.CSVVal
)),"")</f>
        <v/>
      </c>
      <c r="F219" s="45" t="str" cm="1">
        <f t="array" ref="F219">IFERROR(_xlfn.LET(
_xlpm.CSVVal,_xlfn.XLOOKUP($A219,CSV!$A:$A,CSV!F:F,""),
_xlpm.MacVal,_xlfn.XLOOKUP($A219,Output_Mac!$A:$A,Output_Mac!F:F,""),
_xlpm.MyAuditVal,_xlfn.XLOOKUP($A219,My_Audit!$A:$A,My_Audit!E:E,""),
_xlfn.IFS(_xlpm.MyAuditVal&lt;&gt;"",_xlpm.MyAuditVal,_xlpm.MacVal&lt;&gt;"",_xlpm.MacVal,_xlpm.CSVVal&lt;&gt;"",PROPER(_xlpm.CSVVal)
)),"")</f>
        <v/>
      </c>
      <c r="G219" s="45" t="str" cm="1">
        <f t="array" ref="G219">IFERROR(_xlfn.LET(
_xlpm.CSVVal,_xlfn.XLOOKUP($A219,CSV!$A:$A,CSV!G:G,""),
_xlpm.MacVal,_xlfn.XLOOKUP($A219,Output_Mac!$A:$A,Output_Mac!H:H,""),
_xlpm.MyAuditVal,_xlfn.XLOOKUP($A219,My_Audit!$A:$A,My_Audit!F:F,""),
_xlfn.IFS(_xlpm.MyAuditVal&lt;&gt;"",_xlpm.MyAuditVal,_xlpm.MacVal&lt;&gt;"",_xlpm.MacVal,_xlpm.CSVVal&lt;&gt;"",_xlpm.CSVVal
)),"")</f>
        <v/>
      </c>
      <c r="H219" s="45" t="str">
        <f>_xlfn.XLOOKUP(A219,Output_Mac!A:A,Output_Mac!I:I,"")</f>
        <v/>
      </c>
      <c r="I219" s="45" t="str" cm="1">
        <f t="array" ref="I219">IFERROR(_xlfn.LET(
_xlpm.CSVVal,_xlfn.XLOOKUP($A219,CSV!$A:$A,CSV!H:H,""),
_xlpm.MacVal,_xlfn.XLOOKUP($A219,Output_Mac!$A:$A,Output_Mac!J:J,""),
_xlpm.MyAuditVal,_xlfn.XLOOKUP($A219,My_Audit!$A:$A,My_Audit!H:H,""),
_xlfn.IFS(_xlpm.MyAuditVal&lt;&gt;"",UPPER(_xlpm.MyAuditVal),_xlpm.MacVal&lt;&gt;"",_xlpm.MacVal,_xlpm.CSVVal&lt;&gt;"",_xlpm.CSVVal
)),"")</f>
        <v/>
      </c>
      <c r="J219" s="45" t="str" cm="1">
        <f t="array" ref="J219">IFERROR(_xlfn.LET(
_xlpm.CSVVal,_xlfn.XLOOKUP($A219,CSV!$A:$A,CSV!J:J,""),
_xlpm.MacVal,_xlfn.XLOOKUP($A219,Output_Mac!$A:$A,Output_Mac!K:K,""),
_xlpm.MyAuditVal,_xlfn.XLOOKUP($A219,My_Audit!$A:$A,My_Audit!I:I,""),
_xlfn.IFS(_xlpm.MyAuditVal&lt;&gt;"",UPPER(_xlpm.MyAuditVal),_xlpm.MacVal&lt;&gt;"",_xlpm.MacVal,_xlpm.CSVVal&lt;&gt;"",_xlpm.CSVVal
)),"")</f>
        <v/>
      </c>
      <c r="K219" s="45" t="str" cm="1">
        <f t="array" ref="K219">IFERROR(_xlfn.LET(
_xlpm.CSVVal,_xlfn.XLOOKUP($A219,CSV!$A:$A,CSV!N:N,""),
_xlpm.MacVal,_xlfn.XLOOKUP($A219,Output_Mac!$A:$A,Output_Mac!L:L,""),
_xlpm.MyAuditVal,_xlfn.XLOOKUP($A219,My_Audit!$A:$A,My_Audit!J:J,""),
_xlfn.IFS(_xlpm.MyAuditVal&lt;&gt;"",UPPER(_xlpm.MyAuditVal),_xlpm.MacVal&lt;&gt;"",_xlpm.MacVal,_xlpm.CSVVal&lt;&gt;"",_xlpm.CSVVal
)),"")</f>
        <v/>
      </c>
      <c r="L219" s="46" t="str" cm="1">
        <f t="array" ref="L219">IFERROR(_xlfn.LET(
_xlpm.CSVVal,_xlfn.XLOOKUP($A219,CSV!$A:$A,CSV!Q:Q,""),
_xlpm.MacVal,_xlfn.XLOOKUP($A219,Output_Mac!$A:$A,Output_Mac!M:M,""),
_xlpm.MyAuditVal,_xlfn.XLOOKUP($A219,My_Audit!$A:$A,My_Audit!K:K,""),
_xlfn.IFS(_xlpm.MyAuditVal&lt;&gt;"",UPPER(_xlpm.MyAuditVal),_xlpm.MacVal&lt;&gt;"",_xlpm.MacVal,_xlpm.CSVVal&lt;&gt;"",_xlpm.CSVVal
)),"")</f>
        <v/>
      </c>
      <c r="M219" s="45" t="str">
        <f>_xlfn.LET(
    _xlpm.CSVVal, _xlfn.XLOOKUP($A219, CSV!$A:$A, CSV!AE:AE, ""),
    _xlpm.MacVal, _xlfn.XLOOKUP($A219, Output_Mac!$A:$A, Output_Mac!S:S, ""),
    _xlpm.MyAuditVal, _xlfn.XLOOKUP($A219, My_Audit!$A:$A, My_Audit!N:N, ""),
    _xlfn.TEXTJOIN(", ", TRUE, _xlpm.MyAuditVal, _xlpm.MacVal, _xlpm.CSVVal)
)</f>
        <v/>
      </c>
      <c r="N219" s="45" t="str" cm="1">
        <f t="array" ref="N219">IFERROR(_xlfn.LET(
_xlpm.CSVVal,_xlfn.XLOOKUP($A219,CSV!$A:$A,CSV!AG:AG,""),
_xlpm.MacVal,_xlfn.XLOOKUP($A219,Output_Mac!$A:$A,Output_Mac!U:U,""),
_xlpm.MyAuditVal,_xlfn.XLOOKUP($A219,My_Audit!$A:$A,My_Audit!O:O,""),
_xlfn.IFS(_xlpm.MyAuditVal&lt;&gt;"",UPPER(_xlpm.MyAuditVal),_xlpm.MacVal&lt;&gt;"",_xlpm.MacVal,_xlpm.CSVVal&lt;&gt;"",_xlpm.CSVVal
)),"")</f>
        <v/>
      </c>
      <c r="O219" s="46" t="str">
        <f>_xlfn.XLOOKUP(C219,My_Audit!B:B,My_Audit!P:P,"")&amp;""</f>
        <v/>
      </c>
      <c r="P219" s="45"/>
      <c r="Q219" s="46" t="str">
        <f>IF(LEFT(N219,4)="Pass","Nist SP 800-88",My_Audit!R219)&amp;""</f>
        <v/>
      </c>
      <c r="R219" s="45"/>
      <c r="S219" s="45"/>
      <c r="T219" s="46" t="str">
        <f>_xlfn.XLOOKUP(E219,Models!I:I,Models!J:J,"")</f>
        <v/>
      </c>
      <c r="U219" s="45"/>
      <c r="V219" s="45"/>
      <c r="W219" s="38"/>
    </row>
    <row r="220" spans="1:23">
      <c r="A220" s="45" t="str">
        <f>_xlfn.TEXTJOIN("",TRUE,Input!$B$2,ROW(My_Audit!A219))</f>
        <v>XX219</v>
      </c>
      <c r="B220" s="45" t="str">
        <f>_xlfn.TEXTJOIN("-",TRUE,"ITD",Input!$A$2,A220)</f>
        <v>ITD-SHRXXX-XX219</v>
      </c>
      <c r="C220" s="45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46" t="str" cm="1">
        <f t="array" ref="D220">IFERROR(_xlfn.LET(
_xlpm.CSVVal,_xlfn.XLOOKUP($A220,CSV!$A:$A,CSV!C:C,""),
_xlpm.MacVal,_xlfn.XLOOKUP($A220,Output_Mac!$A:$A,Output_Mac!D:D,""),
_xlpm.MyAuditVal,_xlfn.XLOOKUP($A220,My_Audit!$A:$A,My_Audit!C:C,""),
_xlfn.IFS(_xlpm.MyAuditVal&lt;&gt;"",UPPER(_xlpm.MyAuditVal),_xlpm.MacVal&lt;&gt;"",_xlpm.MacVal,_xlpm.CSVVal&lt;&gt;"",_xlpm.CSVVal
)),"")</f>
        <v/>
      </c>
      <c r="E220" s="46" t="str" cm="1">
        <f t="array" ref="E220">IFERROR(_xlfn.LET(
_xlpm.CSVVal,_xlfn.XLOOKUP($A220,CSV!$A:$A,CSV!E:E,""),
_xlpm.MacVal,_xlfn.XLOOKUP($A220,Output_Mac!$A:$A,Output_Mac!C:C,""),
_xlpm.MyAuditVal,_xlfn.XLOOKUP($A220,My_Audit!$A:$A,My_Audit!D:D,""),
_xlfn.IFS(_xlpm.MyAuditVal&lt;&gt;"",_xlpm.MyAuditVal,_xlpm.MacVal&lt;&gt;"",_xlpm.MacVal,_xlpm.CSVVal&lt;&gt;"",_xlpm.CSVVal
)),"")</f>
        <v/>
      </c>
      <c r="F220" s="45" t="str" cm="1">
        <f t="array" ref="F220">IFERROR(_xlfn.LET(
_xlpm.CSVVal,_xlfn.XLOOKUP($A220,CSV!$A:$A,CSV!F:F,""),
_xlpm.MacVal,_xlfn.XLOOKUP($A220,Output_Mac!$A:$A,Output_Mac!F:F,""),
_xlpm.MyAuditVal,_xlfn.XLOOKUP($A220,My_Audit!$A:$A,My_Audit!E:E,""),
_xlfn.IFS(_xlpm.MyAuditVal&lt;&gt;"",_xlpm.MyAuditVal,_xlpm.MacVal&lt;&gt;"",_xlpm.MacVal,_xlpm.CSVVal&lt;&gt;"",PROPER(_xlpm.CSVVal)
)),"")</f>
        <v/>
      </c>
      <c r="G220" s="45" t="str" cm="1">
        <f t="array" ref="G220">IFERROR(_xlfn.LET(
_xlpm.CSVVal,_xlfn.XLOOKUP($A220,CSV!$A:$A,CSV!G:G,""),
_xlpm.MacVal,_xlfn.XLOOKUP($A220,Output_Mac!$A:$A,Output_Mac!H:H,""),
_xlpm.MyAuditVal,_xlfn.XLOOKUP($A220,My_Audit!$A:$A,My_Audit!F:F,""),
_xlfn.IFS(_xlpm.MyAuditVal&lt;&gt;"",_xlpm.MyAuditVal,_xlpm.MacVal&lt;&gt;"",_xlpm.MacVal,_xlpm.CSVVal&lt;&gt;"",_xlpm.CSVVal
)),"")</f>
        <v/>
      </c>
      <c r="H220" s="45" t="str">
        <f>_xlfn.XLOOKUP(A220,Output_Mac!A:A,Output_Mac!I:I,"")</f>
        <v/>
      </c>
      <c r="I220" s="45" t="str" cm="1">
        <f t="array" ref="I220">IFERROR(_xlfn.LET(
_xlpm.CSVVal,_xlfn.XLOOKUP($A220,CSV!$A:$A,CSV!H:H,""),
_xlpm.MacVal,_xlfn.XLOOKUP($A220,Output_Mac!$A:$A,Output_Mac!J:J,""),
_xlpm.MyAuditVal,_xlfn.XLOOKUP($A220,My_Audit!$A:$A,My_Audit!H:H,""),
_xlfn.IFS(_xlpm.MyAuditVal&lt;&gt;"",UPPER(_xlpm.MyAuditVal),_xlpm.MacVal&lt;&gt;"",_xlpm.MacVal,_xlpm.CSVVal&lt;&gt;"",_xlpm.CSVVal
)),"")</f>
        <v/>
      </c>
      <c r="J220" s="45" t="str" cm="1">
        <f t="array" ref="J220">IFERROR(_xlfn.LET(
_xlpm.CSVVal,_xlfn.XLOOKUP($A220,CSV!$A:$A,CSV!J:J,""),
_xlpm.MacVal,_xlfn.XLOOKUP($A220,Output_Mac!$A:$A,Output_Mac!K:K,""),
_xlpm.MyAuditVal,_xlfn.XLOOKUP($A220,My_Audit!$A:$A,My_Audit!I:I,""),
_xlfn.IFS(_xlpm.MyAuditVal&lt;&gt;"",UPPER(_xlpm.MyAuditVal),_xlpm.MacVal&lt;&gt;"",_xlpm.MacVal,_xlpm.CSVVal&lt;&gt;"",_xlpm.CSVVal
)),"")</f>
        <v/>
      </c>
      <c r="K220" s="45" t="str" cm="1">
        <f t="array" ref="K220">IFERROR(_xlfn.LET(
_xlpm.CSVVal,_xlfn.XLOOKUP($A220,CSV!$A:$A,CSV!N:N,""),
_xlpm.MacVal,_xlfn.XLOOKUP($A220,Output_Mac!$A:$A,Output_Mac!L:L,""),
_xlpm.MyAuditVal,_xlfn.XLOOKUP($A220,My_Audit!$A:$A,My_Audit!J:J,""),
_xlfn.IFS(_xlpm.MyAuditVal&lt;&gt;"",UPPER(_xlpm.MyAuditVal),_xlpm.MacVal&lt;&gt;"",_xlpm.MacVal,_xlpm.CSVVal&lt;&gt;"",_xlpm.CSVVal
)),"")</f>
        <v/>
      </c>
      <c r="L220" s="46" t="str" cm="1">
        <f t="array" ref="L220">IFERROR(_xlfn.LET(
_xlpm.CSVVal,_xlfn.XLOOKUP($A220,CSV!$A:$A,CSV!Q:Q,""),
_xlpm.MacVal,_xlfn.XLOOKUP($A220,Output_Mac!$A:$A,Output_Mac!M:M,""),
_xlpm.MyAuditVal,_xlfn.XLOOKUP($A220,My_Audit!$A:$A,My_Audit!K:K,""),
_xlfn.IFS(_xlpm.MyAuditVal&lt;&gt;"",UPPER(_xlpm.MyAuditVal),_xlpm.MacVal&lt;&gt;"",_xlpm.MacVal,_xlpm.CSVVal&lt;&gt;"",_xlpm.CSVVal
)),"")</f>
        <v/>
      </c>
      <c r="M220" s="45" t="str">
        <f>_xlfn.LET(
    _xlpm.CSVVal, _xlfn.XLOOKUP($A220, CSV!$A:$A, CSV!AE:AE, ""),
    _xlpm.MacVal, _xlfn.XLOOKUP($A220, Output_Mac!$A:$A, Output_Mac!S:S, ""),
    _xlpm.MyAuditVal, _xlfn.XLOOKUP($A220, My_Audit!$A:$A, My_Audit!N:N, ""),
    _xlfn.TEXTJOIN(", ", TRUE, _xlpm.MyAuditVal, _xlpm.MacVal, _xlpm.CSVVal)
)</f>
        <v/>
      </c>
      <c r="N220" s="45" t="str" cm="1">
        <f t="array" ref="N220">IFERROR(_xlfn.LET(
_xlpm.CSVVal,_xlfn.XLOOKUP($A220,CSV!$A:$A,CSV!AG:AG,""),
_xlpm.MacVal,_xlfn.XLOOKUP($A220,Output_Mac!$A:$A,Output_Mac!U:U,""),
_xlpm.MyAuditVal,_xlfn.XLOOKUP($A220,My_Audit!$A:$A,My_Audit!O:O,""),
_xlfn.IFS(_xlpm.MyAuditVal&lt;&gt;"",UPPER(_xlpm.MyAuditVal),_xlpm.MacVal&lt;&gt;"",_xlpm.MacVal,_xlpm.CSVVal&lt;&gt;"",_xlpm.CSVVal
)),"")</f>
        <v/>
      </c>
      <c r="O220" s="46" t="str">
        <f>_xlfn.XLOOKUP(C220,My_Audit!B:B,My_Audit!P:P,"")&amp;""</f>
        <v/>
      </c>
      <c r="P220" s="45"/>
      <c r="Q220" s="46" t="str">
        <f>IF(LEFT(N220,4)="Pass","Nist SP 800-88",My_Audit!R220)&amp;""</f>
        <v/>
      </c>
      <c r="R220" s="45"/>
      <c r="S220" s="45"/>
      <c r="T220" s="46" t="str">
        <f>_xlfn.XLOOKUP(E220,Models!I:I,Models!J:J,"")</f>
        <v/>
      </c>
      <c r="U220" s="45"/>
      <c r="V220" s="45"/>
      <c r="W220" s="38"/>
    </row>
    <row r="221" spans="1:23">
      <c r="A221" s="45" t="str">
        <f>_xlfn.TEXTJOIN("",TRUE,Input!$B$2,ROW(My_Audit!A220))</f>
        <v>XX220</v>
      </c>
      <c r="B221" s="45" t="str">
        <f>_xlfn.TEXTJOIN("-",TRUE,"ITD",Input!$A$2,A221)</f>
        <v>ITD-SHRXXX-XX220</v>
      </c>
      <c r="C221" s="45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46" t="str" cm="1">
        <f t="array" ref="D221">IFERROR(_xlfn.LET(
_xlpm.CSVVal,_xlfn.XLOOKUP($A221,CSV!$A:$A,CSV!C:C,""),
_xlpm.MacVal,_xlfn.XLOOKUP($A221,Output_Mac!$A:$A,Output_Mac!D:D,""),
_xlpm.MyAuditVal,_xlfn.XLOOKUP($A221,My_Audit!$A:$A,My_Audit!C:C,""),
_xlfn.IFS(_xlpm.MyAuditVal&lt;&gt;"",UPPER(_xlpm.MyAuditVal),_xlpm.MacVal&lt;&gt;"",_xlpm.MacVal,_xlpm.CSVVal&lt;&gt;"",_xlpm.CSVVal
)),"")</f>
        <v/>
      </c>
      <c r="E221" s="46" t="str" cm="1">
        <f t="array" ref="E221">IFERROR(_xlfn.LET(
_xlpm.CSVVal,_xlfn.XLOOKUP($A221,CSV!$A:$A,CSV!E:E,""),
_xlpm.MacVal,_xlfn.XLOOKUP($A221,Output_Mac!$A:$A,Output_Mac!C:C,""),
_xlpm.MyAuditVal,_xlfn.XLOOKUP($A221,My_Audit!$A:$A,My_Audit!D:D,""),
_xlfn.IFS(_xlpm.MyAuditVal&lt;&gt;"",_xlpm.MyAuditVal,_xlpm.MacVal&lt;&gt;"",_xlpm.MacVal,_xlpm.CSVVal&lt;&gt;"",_xlpm.CSVVal
)),"")</f>
        <v/>
      </c>
      <c r="F221" s="45" t="str" cm="1">
        <f t="array" ref="F221">IFERROR(_xlfn.LET(
_xlpm.CSVVal,_xlfn.XLOOKUP($A221,CSV!$A:$A,CSV!F:F,""),
_xlpm.MacVal,_xlfn.XLOOKUP($A221,Output_Mac!$A:$A,Output_Mac!F:F,""),
_xlpm.MyAuditVal,_xlfn.XLOOKUP($A221,My_Audit!$A:$A,My_Audit!E:E,""),
_xlfn.IFS(_xlpm.MyAuditVal&lt;&gt;"",_xlpm.MyAuditVal,_xlpm.MacVal&lt;&gt;"",_xlpm.MacVal,_xlpm.CSVVal&lt;&gt;"",PROPER(_xlpm.CSVVal)
)),"")</f>
        <v/>
      </c>
      <c r="G221" s="45" t="str" cm="1">
        <f t="array" ref="G221">IFERROR(_xlfn.LET(
_xlpm.CSVVal,_xlfn.XLOOKUP($A221,CSV!$A:$A,CSV!G:G,""),
_xlpm.MacVal,_xlfn.XLOOKUP($A221,Output_Mac!$A:$A,Output_Mac!H:H,""),
_xlpm.MyAuditVal,_xlfn.XLOOKUP($A221,My_Audit!$A:$A,My_Audit!F:F,""),
_xlfn.IFS(_xlpm.MyAuditVal&lt;&gt;"",_xlpm.MyAuditVal,_xlpm.MacVal&lt;&gt;"",_xlpm.MacVal,_xlpm.CSVVal&lt;&gt;"",_xlpm.CSVVal
)),"")</f>
        <v/>
      </c>
      <c r="H221" s="45" t="str">
        <f>_xlfn.XLOOKUP(A221,Output_Mac!A:A,Output_Mac!I:I,"")</f>
        <v/>
      </c>
      <c r="I221" s="45" t="str" cm="1">
        <f t="array" ref="I221">IFERROR(_xlfn.LET(
_xlpm.CSVVal,_xlfn.XLOOKUP($A221,CSV!$A:$A,CSV!H:H,""),
_xlpm.MacVal,_xlfn.XLOOKUP($A221,Output_Mac!$A:$A,Output_Mac!J:J,""),
_xlpm.MyAuditVal,_xlfn.XLOOKUP($A221,My_Audit!$A:$A,My_Audit!H:H,""),
_xlfn.IFS(_xlpm.MyAuditVal&lt;&gt;"",UPPER(_xlpm.MyAuditVal),_xlpm.MacVal&lt;&gt;"",_xlpm.MacVal,_xlpm.CSVVal&lt;&gt;"",_xlpm.CSVVal
)),"")</f>
        <v/>
      </c>
      <c r="J221" s="45" t="str" cm="1">
        <f t="array" ref="J221">IFERROR(_xlfn.LET(
_xlpm.CSVVal,_xlfn.XLOOKUP($A221,CSV!$A:$A,CSV!J:J,""),
_xlpm.MacVal,_xlfn.XLOOKUP($A221,Output_Mac!$A:$A,Output_Mac!K:K,""),
_xlpm.MyAuditVal,_xlfn.XLOOKUP($A221,My_Audit!$A:$A,My_Audit!I:I,""),
_xlfn.IFS(_xlpm.MyAuditVal&lt;&gt;"",UPPER(_xlpm.MyAuditVal),_xlpm.MacVal&lt;&gt;"",_xlpm.MacVal,_xlpm.CSVVal&lt;&gt;"",_xlpm.CSVVal
)),"")</f>
        <v/>
      </c>
      <c r="K221" s="45" t="str" cm="1">
        <f t="array" ref="K221">IFERROR(_xlfn.LET(
_xlpm.CSVVal,_xlfn.XLOOKUP($A221,CSV!$A:$A,CSV!N:N,""),
_xlpm.MacVal,_xlfn.XLOOKUP($A221,Output_Mac!$A:$A,Output_Mac!L:L,""),
_xlpm.MyAuditVal,_xlfn.XLOOKUP($A221,My_Audit!$A:$A,My_Audit!J:J,""),
_xlfn.IFS(_xlpm.MyAuditVal&lt;&gt;"",UPPER(_xlpm.MyAuditVal),_xlpm.MacVal&lt;&gt;"",_xlpm.MacVal,_xlpm.CSVVal&lt;&gt;"",_xlpm.CSVVal
)),"")</f>
        <v/>
      </c>
      <c r="L221" s="46" t="str" cm="1">
        <f t="array" ref="L221">IFERROR(_xlfn.LET(
_xlpm.CSVVal,_xlfn.XLOOKUP($A221,CSV!$A:$A,CSV!Q:Q,""),
_xlpm.MacVal,_xlfn.XLOOKUP($A221,Output_Mac!$A:$A,Output_Mac!M:M,""),
_xlpm.MyAuditVal,_xlfn.XLOOKUP($A221,My_Audit!$A:$A,My_Audit!K:K,""),
_xlfn.IFS(_xlpm.MyAuditVal&lt;&gt;"",UPPER(_xlpm.MyAuditVal),_xlpm.MacVal&lt;&gt;"",_xlpm.MacVal,_xlpm.CSVVal&lt;&gt;"",_xlpm.CSVVal
)),"")</f>
        <v/>
      </c>
      <c r="M221" s="45" t="str">
        <f>_xlfn.LET(
    _xlpm.CSVVal, _xlfn.XLOOKUP($A221, CSV!$A:$A, CSV!AE:AE, ""),
    _xlpm.MacVal, _xlfn.XLOOKUP($A221, Output_Mac!$A:$A, Output_Mac!S:S, ""),
    _xlpm.MyAuditVal, _xlfn.XLOOKUP($A221, My_Audit!$A:$A, My_Audit!N:N, ""),
    _xlfn.TEXTJOIN(", ", TRUE, _xlpm.MyAuditVal, _xlpm.MacVal, _xlpm.CSVVal)
)</f>
        <v/>
      </c>
      <c r="N221" s="45" t="str" cm="1">
        <f t="array" ref="N221">IFERROR(_xlfn.LET(
_xlpm.CSVVal,_xlfn.XLOOKUP($A221,CSV!$A:$A,CSV!AG:AG,""),
_xlpm.MacVal,_xlfn.XLOOKUP($A221,Output_Mac!$A:$A,Output_Mac!U:U,""),
_xlpm.MyAuditVal,_xlfn.XLOOKUP($A221,My_Audit!$A:$A,My_Audit!O:O,""),
_xlfn.IFS(_xlpm.MyAuditVal&lt;&gt;"",UPPER(_xlpm.MyAuditVal),_xlpm.MacVal&lt;&gt;"",_xlpm.MacVal,_xlpm.CSVVal&lt;&gt;"",_xlpm.CSVVal
)),"")</f>
        <v/>
      </c>
      <c r="O221" s="46" t="str">
        <f>_xlfn.XLOOKUP(C221,My_Audit!B:B,My_Audit!P:P,"")&amp;""</f>
        <v/>
      </c>
      <c r="P221" s="45"/>
      <c r="Q221" s="46" t="str">
        <f>IF(LEFT(N221,4)="Pass","Nist SP 800-88",My_Audit!R221)&amp;""</f>
        <v/>
      </c>
      <c r="R221" s="45"/>
      <c r="S221" s="45"/>
      <c r="T221" s="46" t="str">
        <f>_xlfn.XLOOKUP(E221,Models!I:I,Models!J:J,"")</f>
        <v/>
      </c>
      <c r="U221" s="45"/>
      <c r="V221" s="45"/>
      <c r="W221" s="38"/>
    </row>
    <row r="222" spans="1:23">
      <c r="A222" s="45" t="str">
        <f>_xlfn.TEXTJOIN("",TRUE,Input!$B$2,ROW(My_Audit!A221))</f>
        <v>XX221</v>
      </c>
      <c r="B222" s="45" t="str">
        <f>_xlfn.TEXTJOIN("-",TRUE,"ITD",Input!$A$2,A222)</f>
        <v>ITD-SHRXXX-XX221</v>
      </c>
      <c r="C222" s="45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46" t="str" cm="1">
        <f t="array" ref="D222">IFERROR(_xlfn.LET(
_xlpm.CSVVal,_xlfn.XLOOKUP($A222,CSV!$A:$A,CSV!C:C,""),
_xlpm.MacVal,_xlfn.XLOOKUP($A222,Output_Mac!$A:$A,Output_Mac!D:D,""),
_xlpm.MyAuditVal,_xlfn.XLOOKUP($A222,My_Audit!$A:$A,My_Audit!C:C,""),
_xlfn.IFS(_xlpm.MyAuditVal&lt;&gt;"",UPPER(_xlpm.MyAuditVal),_xlpm.MacVal&lt;&gt;"",_xlpm.MacVal,_xlpm.CSVVal&lt;&gt;"",_xlpm.CSVVal
)),"")</f>
        <v/>
      </c>
      <c r="E222" s="46" t="str" cm="1">
        <f t="array" ref="E222">IFERROR(_xlfn.LET(
_xlpm.CSVVal,_xlfn.XLOOKUP($A222,CSV!$A:$A,CSV!E:E,""),
_xlpm.MacVal,_xlfn.XLOOKUP($A222,Output_Mac!$A:$A,Output_Mac!C:C,""),
_xlpm.MyAuditVal,_xlfn.XLOOKUP($A222,My_Audit!$A:$A,My_Audit!D:D,""),
_xlfn.IFS(_xlpm.MyAuditVal&lt;&gt;"",_xlpm.MyAuditVal,_xlpm.MacVal&lt;&gt;"",_xlpm.MacVal,_xlpm.CSVVal&lt;&gt;"",_xlpm.CSVVal
)),"")</f>
        <v/>
      </c>
      <c r="F222" s="45" t="str" cm="1">
        <f t="array" ref="F222">IFERROR(_xlfn.LET(
_xlpm.CSVVal,_xlfn.XLOOKUP($A222,CSV!$A:$A,CSV!F:F,""),
_xlpm.MacVal,_xlfn.XLOOKUP($A222,Output_Mac!$A:$A,Output_Mac!F:F,""),
_xlpm.MyAuditVal,_xlfn.XLOOKUP($A222,My_Audit!$A:$A,My_Audit!E:E,""),
_xlfn.IFS(_xlpm.MyAuditVal&lt;&gt;"",_xlpm.MyAuditVal,_xlpm.MacVal&lt;&gt;"",_xlpm.MacVal,_xlpm.CSVVal&lt;&gt;"",PROPER(_xlpm.CSVVal)
)),"")</f>
        <v/>
      </c>
      <c r="G222" s="45" t="str" cm="1">
        <f t="array" ref="G222">IFERROR(_xlfn.LET(
_xlpm.CSVVal,_xlfn.XLOOKUP($A222,CSV!$A:$A,CSV!G:G,""),
_xlpm.MacVal,_xlfn.XLOOKUP($A222,Output_Mac!$A:$A,Output_Mac!H:H,""),
_xlpm.MyAuditVal,_xlfn.XLOOKUP($A222,My_Audit!$A:$A,My_Audit!F:F,""),
_xlfn.IFS(_xlpm.MyAuditVal&lt;&gt;"",_xlpm.MyAuditVal,_xlpm.MacVal&lt;&gt;"",_xlpm.MacVal,_xlpm.CSVVal&lt;&gt;"",_xlpm.CSVVal
)),"")</f>
        <v/>
      </c>
      <c r="H222" s="45" t="str">
        <f>_xlfn.XLOOKUP(A222,Output_Mac!A:A,Output_Mac!I:I,"")</f>
        <v/>
      </c>
      <c r="I222" s="45" t="str" cm="1">
        <f t="array" ref="I222">IFERROR(_xlfn.LET(
_xlpm.CSVVal,_xlfn.XLOOKUP($A222,CSV!$A:$A,CSV!H:H,""),
_xlpm.MacVal,_xlfn.XLOOKUP($A222,Output_Mac!$A:$A,Output_Mac!J:J,""),
_xlpm.MyAuditVal,_xlfn.XLOOKUP($A222,My_Audit!$A:$A,My_Audit!H:H,""),
_xlfn.IFS(_xlpm.MyAuditVal&lt;&gt;"",UPPER(_xlpm.MyAuditVal),_xlpm.MacVal&lt;&gt;"",_xlpm.MacVal,_xlpm.CSVVal&lt;&gt;"",_xlpm.CSVVal
)),"")</f>
        <v/>
      </c>
      <c r="J222" s="45" t="str" cm="1">
        <f t="array" ref="J222">IFERROR(_xlfn.LET(
_xlpm.CSVVal,_xlfn.XLOOKUP($A222,CSV!$A:$A,CSV!J:J,""),
_xlpm.MacVal,_xlfn.XLOOKUP($A222,Output_Mac!$A:$A,Output_Mac!K:K,""),
_xlpm.MyAuditVal,_xlfn.XLOOKUP($A222,My_Audit!$A:$A,My_Audit!I:I,""),
_xlfn.IFS(_xlpm.MyAuditVal&lt;&gt;"",UPPER(_xlpm.MyAuditVal),_xlpm.MacVal&lt;&gt;"",_xlpm.MacVal,_xlpm.CSVVal&lt;&gt;"",_xlpm.CSVVal
)),"")</f>
        <v/>
      </c>
      <c r="K222" s="45" t="str" cm="1">
        <f t="array" ref="K222">IFERROR(_xlfn.LET(
_xlpm.CSVVal,_xlfn.XLOOKUP($A222,CSV!$A:$A,CSV!N:N,""),
_xlpm.MacVal,_xlfn.XLOOKUP($A222,Output_Mac!$A:$A,Output_Mac!L:L,""),
_xlpm.MyAuditVal,_xlfn.XLOOKUP($A222,My_Audit!$A:$A,My_Audit!J:J,""),
_xlfn.IFS(_xlpm.MyAuditVal&lt;&gt;"",UPPER(_xlpm.MyAuditVal),_xlpm.MacVal&lt;&gt;"",_xlpm.MacVal,_xlpm.CSVVal&lt;&gt;"",_xlpm.CSVVal
)),"")</f>
        <v/>
      </c>
      <c r="L222" s="46" t="str" cm="1">
        <f t="array" ref="L222">IFERROR(_xlfn.LET(
_xlpm.CSVVal,_xlfn.XLOOKUP($A222,CSV!$A:$A,CSV!Q:Q,""),
_xlpm.MacVal,_xlfn.XLOOKUP($A222,Output_Mac!$A:$A,Output_Mac!M:M,""),
_xlpm.MyAuditVal,_xlfn.XLOOKUP($A222,My_Audit!$A:$A,My_Audit!K:K,""),
_xlfn.IFS(_xlpm.MyAuditVal&lt;&gt;"",UPPER(_xlpm.MyAuditVal),_xlpm.MacVal&lt;&gt;"",_xlpm.MacVal,_xlpm.CSVVal&lt;&gt;"",_xlpm.CSVVal
)),"")</f>
        <v/>
      </c>
      <c r="M222" s="45" t="str">
        <f>_xlfn.LET(
    _xlpm.CSVVal, _xlfn.XLOOKUP($A222, CSV!$A:$A, CSV!AE:AE, ""),
    _xlpm.MacVal, _xlfn.XLOOKUP($A222, Output_Mac!$A:$A, Output_Mac!S:S, ""),
    _xlpm.MyAuditVal, _xlfn.XLOOKUP($A222, My_Audit!$A:$A, My_Audit!N:N, ""),
    _xlfn.TEXTJOIN(", ", TRUE, _xlpm.MyAuditVal, _xlpm.MacVal, _xlpm.CSVVal)
)</f>
        <v/>
      </c>
      <c r="N222" s="45" t="str" cm="1">
        <f t="array" ref="N222">IFERROR(_xlfn.LET(
_xlpm.CSVVal,_xlfn.XLOOKUP($A222,CSV!$A:$A,CSV!AG:AG,""),
_xlpm.MacVal,_xlfn.XLOOKUP($A222,Output_Mac!$A:$A,Output_Mac!U:U,""),
_xlpm.MyAuditVal,_xlfn.XLOOKUP($A222,My_Audit!$A:$A,My_Audit!O:O,""),
_xlfn.IFS(_xlpm.MyAuditVal&lt;&gt;"",UPPER(_xlpm.MyAuditVal),_xlpm.MacVal&lt;&gt;"",_xlpm.MacVal,_xlpm.CSVVal&lt;&gt;"",_xlpm.CSVVal
)),"")</f>
        <v/>
      </c>
      <c r="O222" s="46" t="str">
        <f>_xlfn.XLOOKUP(C222,My_Audit!B:B,My_Audit!P:P,"")&amp;""</f>
        <v/>
      </c>
      <c r="P222" s="45"/>
      <c r="Q222" s="46" t="str">
        <f>IF(LEFT(N222,4)="Pass","Nist SP 800-88",My_Audit!R222)&amp;""</f>
        <v/>
      </c>
      <c r="R222" s="45"/>
      <c r="S222" s="45"/>
      <c r="T222" s="46" t="str">
        <f>_xlfn.XLOOKUP(E222,Models!I:I,Models!J:J,"")</f>
        <v/>
      </c>
      <c r="U222" s="45"/>
      <c r="V222" s="45"/>
      <c r="W222" s="38"/>
    </row>
    <row r="223" spans="1:23">
      <c r="A223" s="45" t="str">
        <f>_xlfn.TEXTJOIN("",TRUE,Input!$B$2,ROW(My_Audit!A222))</f>
        <v>XX222</v>
      </c>
      <c r="B223" s="45" t="str">
        <f>_xlfn.TEXTJOIN("-",TRUE,"ITD",Input!$A$2,A223)</f>
        <v>ITD-SHRXXX-XX222</v>
      </c>
      <c r="C223" s="45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46" t="str" cm="1">
        <f t="array" ref="D223">IFERROR(_xlfn.LET(
_xlpm.CSVVal,_xlfn.XLOOKUP($A223,CSV!$A:$A,CSV!C:C,""),
_xlpm.MacVal,_xlfn.XLOOKUP($A223,Output_Mac!$A:$A,Output_Mac!D:D,""),
_xlpm.MyAuditVal,_xlfn.XLOOKUP($A223,My_Audit!$A:$A,My_Audit!C:C,""),
_xlfn.IFS(_xlpm.MyAuditVal&lt;&gt;"",UPPER(_xlpm.MyAuditVal),_xlpm.MacVal&lt;&gt;"",_xlpm.MacVal,_xlpm.CSVVal&lt;&gt;"",_xlpm.CSVVal
)),"")</f>
        <v/>
      </c>
      <c r="E223" s="46" t="str" cm="1">
        <f t="array" ref="E223">IFERROR(_xlfn.LET(
_xlpm.CSVVal,_xlfn.XLOOKUP($A223,CSV!$A:$A,CSV!E:E,""),
_xlpm.MacVal,_xlfn.XLOOKUP($A223,Output_Mac!$A:$A,Output_Mac!C:C,""),
_xlpm.MyAuditVal,_xlfn.XLOOKUP($A223,My_Audit!$A:$A,My_Audit!D:D,""),
_xlfn.IFS(_xlpm.MyAuditVal&lt;&gt;"",_xlpm.MyAuditVal,_xlpm.MacVal&lt;&gt;"",_xlpm.MacVal,_xlpm.CSVVal&lt;&gt;"",_xlpm.CSVVal
)),"")</f>
        <v/>
      </c>
      <c r="F223" s="45" t="str" cm="1">
        <f t="array" ref="F223">IFERROR(_xlfn.LET(
_xlpm.CSVVal,_xlfn.XLOOKUP($A223,CSV!$A:$A,CSV!F:F,""),
_xlpm.MacVal,_xlfn.XLOOKUP($A223,Output_Mac!$A:$A,Output_Mac!F:F,""),
_xlpm.MyAuditVal,_xlfn.XLOOKUP($A223,My_Audit!$A:$A,My_Audit!E:E,""),
_xlfn.IFS(_xlpm.MyAuditVal&lt;&gt;"",_xlpm.MyAuditVal,_xlpm.MacVal&lt;&gt;"",_xlpm.MacVal,_xlpm.CSVVal&lt;&gt;"",PROPER(_xlpm.CSVVal)
)),"")</f>
        <v/>
      </c>
      <c r="G223" s="45" t="str" cm="1">
        <f t="array" ref="G223">IFERROR(_xlfn.LET(
_xlpm.CSVVal,_xlfn.XLOOKUP($A223,CSV!$A:$A,CSV!G:G,""),
_xlpm.MacVal,_xlfn.XLOOKUP($A223,Output_Mac!$A:$A,Output_Mac!H:H,""),
_xlpm.MyAuditVal,_xlfn.XLOOKUP($A223,My_Audit!$A:$A,My_Audit!F:F,""),
_xlfn.IFS(_xlpm.MyAuditVal&lt;&gt;"",_xlpm.MyAuditVal,_xlpm.MacVal&lt;&gt;"",_xlpm.MacVal,_xlpm.CSVVal&lt;&gt;"",_xlpm.CSVVal
)),"")</f>
        <v/>
      </c>
      <c r="H223" s="45" t="str">
        <f>_xlfn.XLOOKUP(A223,Output_Mac!A:A,Output_Mac!I:I,"")</f>
        <v/>
      </c>
      <c r="I223" s="45" t="str" cm="1">
        <f t="array" ref="I223">IFERROR(_xlfn.LET(
_xlpm.CSVVal,_xlfn.XLOOKUP($A223,CSV!$A:$A,CSV!H:H,""),
_xlpm.MacVal,_xlfn.XLOOKUP($A223,Output_Mac!$A:$A,Output_Mac!J:J,""),
_xlpm.MyAuditVal,_xlfn.XLOOKUP($A223,My_Audit!$A:$A,My_Audit!H:H,""),
_xlfn.IFS(_xlpm.MyAuditVal&lt;&gt;"",UPPER(_xlpm.MyAuditVal),_xlpm.MacVal&lt;&gt;"",_xlpm.MacVal,_xlpm.CSVVal&lt;&gt;"",_xlpm.CSVVal
)),"")</f>
        <v/>
      </c>
      <c r="J223" s="45" t="str" cm="1">
        <f t="array" ref="J223">IFERROR(_xlfn.LET(
_xlpm.CSVVal,_xlfn.XLOOKUP($A223,CSV!$A:$A,CSV!J:J,""),
_xlpm.MacVal,_xlfn.XLOOKUP($A223,Output_Mac!$A:$A,Output_Mac!K:K,""),
_xlpm.MyAuditVal,_xlfn.XLOOKUP($A223,My_Audit!$A:$A,My_Audit!I:I,""),
_xlfn.IFS(_xlpm.MyAuditVal&lt;&gt;"",UPPER(_xlpm.MyAuditVal),_xlpm.MacVal&lt;&gt;"",_xlpm.MacVal,_xlpm.CSVVal&lt;&gt;"",_xlpm.CSVVal
)),"")</f>
        <v/>
      </c>
      <c r="K223" s="45" t="str" cm="1">
        <f t="array" ref="K223">IFERROR(_xlfn.LET(
_xlpm.CSVVal,_xlfn.XLOOKUP($A223,CSV!$A:$A,CSV!N:N,""),
_xlpm.MacVal,_xlfn.XLOOKUP($A223,Output_Mac!$A:$A,Output_Mac!L:L,""),
_xlpm.MyAuditVal,_xlfn.XLOOKUP($A223,My_Audit!$A:$A,My_Audit!J:J,""),
_xlfn.IFS(_xlpm.MyAuditVal&lt;&gt;"",UPPER(_xlpm.MyAuditVal),_xlpm.MacVal&lt;&gt;"",_xlpm.MacVal,_xlpm.CSVVal&lt;&gt;"",_xlpm.CSVVal
)),"")</f>
        <v/>
      </c>
      <c r="L223" s="46" t="str" cm="1">
        <f t="array" ref="L223">IFERROR(_xlfn.LET(
_xlpm.CSVVal,_xlfn.XLOOKUP($A223,CSV!$A:$A,CSV!Q:Q,""),
_xlpm.MacVal,_xlfn.XLOOKUP($A223,Output_Mac!$A:$A,Output_Mac!M:M,""),
_xlpm.MyAuditVal,_xlfn.XLOOKUP($A223,My_Audit!$A:$A,My_Audit!K:K,""),
_xlfn.IFS(_xlpm.MyAuditVal&lt;&gt;"",UPPER(_xlpm.MyAuditVal),_xlpm.MacVal&lt;&gt;"",_xlpm.MacVal,_xlpm.CSVVal&lt;&gt;"",_xlpm.CSVVal
)),"")</f>
        <v/>
      </c>
      <c r="M223" s="45" t="str">
        <f>_xlfn.LET(
    _xlpm.CSVVal, _xlfn.XLOOKUP($A223, CSV!$A:$A, CSV!AE:AE, ""),
    _xlpm.MacVal, _xlfn.XLOOKUP($A223, Output_Mac!$A:$A, Output_Mac!S:S, ""),
    _xlpm.MyAuditVal, _xlfn.XLOOKUP($A223, My_Audit!$A:$A, My_Audit!N:N, ""),
    _xlfn.TEXTJOIN(", ", TRUE, _xlpm.MyAuditVal, _xlpm.MacVal, _xlpm.CSVVal)
)</f>
        <v/>
      </c>
      <c r="N223" s="45" t="str" cm="1">
        <f t="array" ref="N223">IFERROR(_xlfn.LET(
_xlpm.CSVVal,_xlfn.XLOOKUP($A223,CSV!$A:$A,CSV!AG:AG,""),
_xlpm.MacVal,_xlfn.XLOOKUP($A223,Output_Mac!$A:$A,Output_Mac!U:U,""),
_xlpm.MyAuditVal,_xlfn.XLOOKUP($A223,My_Audit!$A:$A,My_Audit!O:O,""),
_xlfn.IFS(_xlpm.MyAuditVal&lt;&gt;"",UPPER(_xlpm.MyAuditVal),_xlpm.MacVal&lt;&gt;"",_xlpm.MacVal,_xlpm.CSVVal&lt;&gt;"",_xlpm.CSVVal
)),"")</f>
        <v/>
      </c>
      <c r="O223" s="46" t="str">
        <f>_xlfn.XLOOKUP(C223,My_Audit!B:B,My_Audit!P:P,"")&amp;""</f>
        <v/>
      </c>
      <c r="P223" s="45"/>
      <c r="Q223" s="46" t="str">
        <f>IF(LEFT(N223,4)="Pass","Nist SP 800-88",My_Audit!R223)&amp;""</f>
        <v/>
      </c>
      <c r="R223" s="45"/>
      <c r="S223" s="45"/>
      <c r="T223" s="46" t="str">
        <f>_xlfn.XLOOKUP(E223,Models!I:I,Models!J:J,"")</f>
        <v/>
      </c>
      <c r="U223" s="45"/>
      <c r="V223" s="45"/>
      <c r="W223" s="38"/>
    </row>
    <row r="224" spans="1:23">
      <c r="A224" s="45" t="str">
        <f>_xlfn.TEXTJOIN("",TRUE,Input!$B$2,ROW(My_Audit!A223))</f>
        <v>XX223</v>
      </c>
      <c r="B224" s="45" t="str">
        <f>_xlfn.TEXTJOIN("-",TRUE,"ITD",Input!$A$2,A224)</f>
        <v>ITD-SHRXXX-XX223</v>
      </c>
      <c r="C224" s="45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46" t="str" cm="1">
        <f t="array" ref="D224">IFERROR(_xlfn.LET(
_xlpm.CSVVal,_xlfn.XLOOKUP($A224,CSV!$A:$A,CSV!C:C,""),
_xlpm.MacVal,_xlfn.XLOOKUP($A224,Output_Mac!$A:$A,Output_Mac!D:D,""),
_xlpm.MyAuditVal,_xlfn.XLOOKUP($A224,My_Audit!$A:$A,My_Audit!C:C,""),
_xlfn.IFS(_xlpm.MyAuditVal&lt;&gt;"",UPPER(_xlpm.MyAuditVal),_xlpm.MacVal&lt;&gt;"",_xlpm.MacVal,_xlpm.CSVVal&lt;&gt;"",_xlpm.CSVVal
)),"")</f>
        <v/>
      </c>
      <c r="E224" s="46" t="str" cm="1">
        <f t="array" ref="E224">IFERROR(_xlfn.LET(
_xlpm.CSVVal,_xlfn.XLOOKUP($A224,CSV!$A:$A,CSV!E:E,""),
_xlpm.MacVal,_xlfn.XLOOKUP($A224,Output_Mac!$A:$A,Output_Mac!C:C,""),
_xlpm.MyAuditVal,_xlfn.XLOOKUP($A224,My_Audit!$A:$A,My_Audit!D:D,""),
_xlfn.IFS(_xlpm.MyAuditVal&lt;&gt;"",_xlpm.MyAuditVal,_xlpm.MacVal&lt;&gt;"",_xlpm.MacVal,_xlpm.CSVVal&lt;&gt;"",_xlpm.CSVVal
)),"")</f>
        <v/>
      </c>
      <c r="F224" s="45" t="str" cm="1">
        <f t="array" ref="F224">IFERROR(_xlfn.LET(
_xlpm.CSVVal,_xlfn.XLOOKUP($A224,CSV!$A:$A,CSV!F:F,""),
_xlpm.MacVal,_xlfn.XLOOKUP($A224,Output_Mac!$A:$A,Output_Mac!F:F,""),
_xlpm.MyAuditVal,_xlfn.XLOOKUP($A224,My_Audit!$A:$A,My_Audit!E:E,""),
_xlfn.IFS(_xlpm.MyAuditVal&lt;&gt;"",_xlpm.MyAuditVal,_xlpm.MacVal&lt;&gt;"",_xlpm.MacVal,_xlpm.CSVVal&lt;&gt;"",PROPER(_xlpm.CSVVal)
)),"")</f>
        <v/>
      </c>
      <c r="G224" s="45" t="str" cm="1">
        <f t="array" ref="G224">IFERROR(_xlfn.LET(
_xlpm.CSVVal,_xlfn.XLOOKUP($A224,CSV!$A:$A,CSV!G:G,""),
_xlpm.MacVal,_xlfn.XLOOKUP($A224,Output_Mac!$A:$A,Output_Mac!H:H,""),
_xlpm.MyAuditVal,_xlfn.XLOOKUP($A224,My_Audit!$A:$A,My_Audit!F:F,""),
_xlfn.IFS(_xlpm.MyAuditVal&lt;&gt;"",_xlpm.MyAuditVal,_xlpm.MacVal&lt;&gt;"",_xlpm.MacVal,_xlpm.CSVVal&lt;&gt;"",_xlpm.CSVVal
)),"")</f>
        <v/>
      </c>
      <c r="H224" s="45" t="str">
        <f>_xlfn.XLOOKUP(A224,Output_Mac!A:A,Output_Mac!I:I,"")</f>
        <v/>
      </c>
      <c r="I224" s="45" t="str" cm="1">
        <f t="array" ref="I224">IFERROR(_xlfn.LET(
_xlpm.CSVVal,_xlfn.XLOOKUP($A224,CSV!$A:$A,CSV!H:H,""),
_xlpm.MacVal,_xlfn.XLOOKUP($A224,Output_Mac!$A:$A,Output_Mac!J:J,""),
_xlpm.MyAuditVal,_xlfn.XLOOKUP($A224,My_Audit!$A:$A,My_Audit!H:H,""),
_xlfn.IFS(_xlpm.MyAuditVal&lt;&gt;"",UPPER(_xlpm.MyAuditVal),_xlpm.MacVal&lt;&gt;"",_xlpm.MacVal,_xlpm.CSVVal&lt;&gt;"",_xlpm.CSVVal
)),"")</f>
        <v/>
      </c>
      <c r="J224" s="45" t="str" cm="1">
        <f t="array" ref="J224">IFERROR(_xlfn.LET(
_xlpm.CSVVal,_xlfn.XLOOKUP($A224,CSV!$A:$A,CSV!J:J,""),
_xlpm.MacVal,_xlfn.XLOOKUP($A224,Output_Mac!$A:$A,Output_Mac!K:K,""),
_xlpm.MyAuditVal,_xlfn.XLOOKUP($A224,My_Audit!$A:$A,My_Audit!I:I,""),
_xlfn.IFS(_xlpm.MyAuditVal&lt;&gt;"",UPPER(_xlpm.MyAuditVal),_xlpm.MacVal&lt;&gt;"",_xlpm.MacVal,_xlpm.CSVVal&lt;&gt;"",_xlpm.CSVVal
)),"")</f>
        <v/>
      </c>
      <c r="K224" s="45" t="str" cm="1">
        <f t="array" ref="K224">IFERROR(_xlfn.LET(
_xlpm.CSVVal,_xlfn.XLOOKUP($A224,CSV!$A:$A,CSV!N:N,""),
_xlpm.MacVal,_xlfn.XLOOKUP($A224,Output_Mac!$A:$A,Output_Mac!L:L,""),
_xlpm.MyAuditVal,_xlfn.XLOOKUP($A224,My_Audit!$A:$A,My_Audit!J:J,""),
_xlfn.IFS(_xlpm.MyAuditVal&lt;&gt;"",UPPER(_xlpm.MyAuditVal),_xlpm.MacVal&lt;&gt;"",_xlpm.MacVal,_xlpm.CSVVal&lt;&gt;"",_xlpm.CSVVal
)),"")</f>
        <v/>
      </c>
      <c r="L224" s="46" t="str" cm="1">
        <f t="array" ref="L224">IFERROR(_xlfn.LET(
_xlpm.CSVVal,_xlfn.XLOOKUP($A224,CSV!$A:$A,CSV!Q:Q,""),
_xlpm.MacVal,_xlfn.XLOOKUP($A224,Output_Mac!$A:$A,Output_Mac!M:M,""),
_xlpm.MyAuditVal,_xlfn.XLOOKUP($A224,My_Audit!$A:$A,My_Audit!K:K,""),
_xlfn.IFS(_xlpm.MyAuditVal&lt;&gt;"",UPPER(_xlpm.MyAuditVal),_xlpm.MacVal&lt;&gt;"",_xlpm.MacVal,_xlpm.CSVVal&lt;&gt;"",_xlpm.CSVVal
)),"")</f>
        <v/>
      </c>
      <c r="M224" s="45" t="str">
        <f>_xlfn.LET(
    _xlpm.CSVVal, _xlfn.XLOOKUP($A224, CSV!$A:$A, CSV!AE:AE, ""),
    _xlpm.MacVal, _xlfn.XLOOKUP($A224, Output_Mac!$A:$A, Output_Mac!S:S, ""),
    _xlpm.MyAuditVal, _xlfn.XLOOKUP($A224, My_Audit!$A:$A, My_Audit!N:N, ""),
    _xlfn.TEXTJOIN(", ", TRUE, _xlpm.MyAuditVal, _xlpm.MacVal, _xlpm.CSVVal)
)</f>
        <v/>
      </c>
      <c r="N224" s="45" t="str" cm="1">
        <f t="array" ref="N224">IFERROR(_xlfn.LET(
_xlpm.CSVVal,_xlfn.XLOOKUP($A224,CSV!$A:$A,CSV!AG:AG,""),
_xlpm.MacVal,_xlfn.XLOOKUP($A224,Output_Mac!$A:$A,Output_Mac!U:U,""),
_xlpm.MyAuditVal,_xlfn.XLOOKUP($A224,My_Audit!$A:$A,My_Audit!O:O,""),
_xlfn.IFS(_xlpm.MyAuditVal&lt;&gt;"",UPPER(_xlpm.MyAuditVal),_xlpm.MacVal&lt;&gt;"",_xlpm.MacVal,_xlpm.CSVVal&lt;&gt;"",_xlpm.CSVVal
)),"")</f>
        <v/>
      </c>
      <c r="O224" s="46" t="str">
        <f>_xlfn.XLOOKUP(C224,My_Audit!B:B,My_Audit!P:P,"")&amp;""</f>
        <v/>
      </c>
      <c r="P224" s="45"/>
      <c r="Q224" s="46" t="str">
        <f>IF(LEFT(N224,4)="Pass","Nist SP 800-88",My_Audit!R224)&amp;""</f>
        <v/>
      </c>
      <c r="R224" s="45"/>
      <c r="S224" s="45"/>
      <c r="T224" s="46" t="str">
        <f>_xlfn.XLOOKUP(E224,Models!I:I,Models!J:J,"")</f>
        <v/>
      </c>
      <c r="U224" s="45"/>
      <c r="V224" s="45"/>
      <c r="W224" s="38"/>
    </row>
    <row r="225" spans="1:23">
      <c r="A225" s="45" t="str">
        <f>_xlfn.TEXTJOIN("",TRUE,Input!$B$2,ROW(My_Audit!A224))</f>
        <v>XX224</v>
      </c>
      <c r="B225" s="45" t="str">
        <f>_xlfn.TEXTJOIN("-",TRUE,"ITD",Input!$A$2,A225)</f>
        <v>ITD-SHRXXX-XX224</v>
      </c>
      <c r="C225" s="45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46" t="str" cm="1">
        <f t="array" ref="D225">IFERROR(_xlfn.LET(
_xlpm.CSVVal,_xlfn.XLOOKUP($A225,CSV!$A:$A,CSV!C:C,""),
_xlpm.MacVal,_xlfn.XLOOKUP($A225,Output_Mac!$A:$A,Output_Mac!D:D,""),
_xlpm.MyAuditVal,_xlfn.XLOOKUP($A225,My_Audit!$A:$A,My_Audit!C:C,""),
_xlfn.IFS(_xlpm.MyAuditVal&lt;&gt;"",UPPER(_xlpm.MyAuditVal),_xlpm.MacVal&lt;&gt;"",_xlpm.MacVal,_xlpm.CSVVal&lt;&gt;"",_xlpm.CSVVal
)),"")</f>
        <v/>
      </c>
      <c r="E225" s="46" t="str" cm="1">
        <f t="array" ref="E225">IFERROR(_xlfn.LET(
_xlpm.CSVVal,_xlfn.XLOOKUP($A225,CSV!$A:$A,CSV!E:E,""),
_xlpm.MacVal,_xlfn.XLOOKUP($A225,Output_Mac!$A:$A,Output_Mac!C:C,""),
_xlpm.MyAuditVal,_xlfn.XLOOKUP($A225,My_Audit!$A:$A,My_Audit!D:D,""),
_xlfn.IFS(_xlpm.MyAuditVal&lt;&gt;"",_xlpm.MyAuditVal,_xlpm.MacVal&lt;&gt;"",_xlpm.MacVal,_xlpm.CSVVal&lt;&gt;"",_xlpm.CSVVal
)),"")</f>
        <v/>
      </c>
      <c r="F225" s="45" t="str" cm="1">
        <f t="array" ref="F225">IFERROR(_xlfn.LET(
_xlpm.CSVVal,_xlfn.XLOOKUP($A225,CSV!$A:$A,CSV!F:F,""),
_xlpm.MacVal,_xlfn.XLOOKUP($A225,Output_Mac!$A:$A,Output_Mac!F:F,""),
_xlpm.MyAuditVal,_xlfn.XLOOKUP($A225,My_Audit!$A:$A,My_Audit!E:E,""),
_xlfn.IFS(_xlpm.MyAuditVal&lt;&gt;"",_xlpm.MyAuditVal,_xlpm.MacVal&lt;&gt;"",_xlpm.MacVal,_xlpm.CSVVal&lt;&gt;"",PROPER(_xlpm.CSVVal)
)),"")</f>
        <v/>
      </c>
      <c r="G225" s="45" t="str" cm="1">
        <f t="array" ref="G225">IFERROR(_xlfn.LET(
_xlpm.CSVVal,_xlfn.XLOOKUP($A225,CSV!$A:$A,CSV!G:G,""),
_xlpm.MacVal,_xlfn.XLOOKUP($A225,Output_Mac!$A:$A,Output_Mac!H:H,""),
_xlpm.MyAuditVal,_xlfn.XLOOKUP($A225,My_Audit!$A:$A,My_Audit!F:F,""),
_xlfn.IFS(_xlpm.MyAuditVal&lt;&gt;"",_xlpm.MyAuditVal,_xlpm.MacVal&lt;&gt;"",_xlpm.MacVal,_xlpm.CSVVal&lt;&gt;"",_xlpm.CSVVal
)),"")</f>
        <v/>
      </c>
      <c r="H225" s="45" t="str">
        <f>_xlfn.XLOOKUP(A225,Output_Mac!A:A,Output_Mac!I:I,"")</f>
        <v/>
      </c>
      <c r="I225" s="45" t="str" cm="1">
        <f t="array" ref="I225">IFERROR(_xlfn.LET(
_xlpm.CSVVal,_xlfn.XLOOKUP($A225,CSV!$A:$A,CSV!H:H,""),
_xlpm.MacVal,_xlfn.XLOOKUP($A225,Output_Mac!$A:$A,Output_Mac!J:J,""),
_xlpm.MyAuditVal,_xlfn.XLOOKUP($A225,My_Audit!$A:$A,My_Audit!H:H,""),
_xlfn.IFS(_xlpm.MyAuditVal&lt;&gt;"",UPPER(_xlpm.MyAuditVal),_xlpm.MacVal&lt;&gt;"",_xlpm.MacVal,_xlpm.CSVVal&lt;&gt;"",_xlpm.CSVVal
)),"")</f>
        <v/>
      </c>
      <c r="J225" s="45" t="str" cm="1">
        <f t="array" ref="J225">IFERROR(_xlfn.LET(
_xlpm.CSVVal,_xlfn.XLOOKUP($A225,CSV!$A:$A,CSV!J:J,""),
_xlpm.MacVal,_xlfn.XLOOKUP($A225,Output_Mac!$A:$A,Output_Mac!K:K,""),
_xlpm.MyAuditVal,_xlfn.XLOOKUP($A225,My_Audit!$A:$A,My_Audit!I:I,""),
_xlfn.IFS(_xlpm.MyAuditVal&lt;&gt;"",UPPER(_xlpm.MyAuditVal),_xlpm.MacVal&lt;&gt;"",_xlpm.MacVal,_xlpm.CSVVal&lt;&gt;"",_xlpm.CSVVal
)),"")</f>
        <v/>
      </c>
      <c r="K225" s="45" t="str" cm="1">
        <f t="array" ref="K225">IFERROR(_xlfn.LET(
_xlpm.CSVVal,_xlfn.XLOOKUP($A225,CSV!$A:$A,CSV!N:N,""),
_xlpm.MacVal,_xlfn.XLOOKUP($A225,Output_Mac!$A:$A,Output_Mac!L:L,""),
_xlpm.MyAuditVal,_xlfn.XLOOKUP($A225,My_Audit!$A:$A,My_Audit!J:J,""),
_xlfn.IFS(_xlpm.MyAuditVal&lt;&gt;"",UPPER(_xlpm.MyAuditVal),_xlpm.MacVal&lt;&gt;"",_xlpm.MacVal,_xlpm.CSVVal&lt;&gt;"",_xlpm.CSVVal
)),"")</f>
        <v/>
      </c>
      <c r="L225" s="46" t="str" cm="1">
        <f t="array" ref="L225">IFERROR(_xlfn.LET(
_xlpm.CSVVal,_xlfn.XLOOKUP($A225,CSV!$A:$A,CSV!Q:Q,""),
_xlpm.MacVal,_xlfn.XLOOKUP($A225,Output_Mac!$A:$A,Output_Mac!M:M,""),
_xlpm.MyAuditVal,_xlfn.XLOOKUP($A225,My_Audit!$A:$A,My_Audit!K:K,""),
_xlfn.IFS(_xlpm.MyAuditVal&lt;&gt;"",UPPER(_xlpm.MyAuditVal),_xlpm.MacVal&lt;&gt;"",_xlpm.MacVal,_xlpm.CSVVal&lt;&gt;"",_xlpm.CSVVal
)),"")</f>
        <v/>
      </c>
      <c r="M225" s="45" t="str">
        <f>_xlfn.LET(
    _xlpm.CSVVal, _xlfn.XLOOKUP($A225, CSV!$A:$A, CSV!AE:AE, ""),
    _xlpm.MacVal, _xlfn.XLOOKUP($A225, Output_Mac!$A:$A, Output_Mac!S:S, ""),
    _xlpm.MyAuditVal, _xlfn.XLOOKUP($A225, My_Audit!$A:$A, My_Audit!N:N, ""),
    _xlfn.TEXTJOIN(", ", TRUE, _xlpm.MyAuditVal, _xlpm.MacVal, _xlpm.CSVVal)
)</f>
        <v/>
      </c>
      <c r="N225" s="45" t="str" cm="1">
        <f t="array" ref="N225">IFERROR(_xlfn.LET(
_xlpm.CSVVal,_xlfn.XLOOKUP($A225,CSV!$A:$A,CSV!AG:AG,""),
_xlpm.MacVal,_xlfn.XLOOKUP($A225,Output_Mac!$A:$A,Output_Mac!U:U,""),
_xlpm.MyAuditVal,_xlfn.XLOOKUP($A225,My_Audit!$A:$A,My_Audit!O:O,""),
_xlfn.IFS(_xlpm.MyAuditVal&lt;&gt;"",UPPER(_xlpm.MyAuditVal),_xlpm.MacVal&lt;&gt;"",_xlpm.MacVal,_xlpm.CSVVal&lt;&gt;"",_xlpm.CSVVal
)),"")</f>
        <v/>
      </c>
      <c r="O225" s="46" t="str">
        <f>_xlfn.XLOOKUP(C225,My_Audit!B:B,My_Audit!P:P,"")&amp;""</f>
        <v/>
      </c>
      <c r="P225" s="45"/>
      <c r="Q225" s="46" t="str">
        <f>IF(LEFT(N225,4)="Pass","Nist SP 800-88",My_Audit!R225)&amp;""</f>
        <v/>
      </c>
      <c r="R225" s="45"/>
      <c r="S225" s="45"/>
      <c r="T225" s="46" t="str">
        <f>_xlfn.XLOOKUP(E225,Models!I:I,Models!J:J,"")</f>
        <v/>
      </c>
      <c r="U225" s="45"/>
      <c r="V225" s="45"/>
      <c r="W225" s="38"/>
    </row>
    <row r="226" spans="1:23">
      <c r="A226" s="45" t="str">
        <f>_xlfn.TEXTJOIN("",TRUE,Input!$B$2,ROW(My_Audit!A225))</f>
        <v>XX225</v>
      </c>
      <c r="B226" s="45" t="str">
        <f>_xlfn.TEXTJOIN("-",TRUE,"ITD",Input!$A$2,A226)</f>
        <v>ITD-SHRXXX-XX225</v>
      </c>
      <c r="C226" s="45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46" t="str" cm="1">
        <f t="array" ref="D226">IFERROR(_xlfn.LET(
_xlpm.CSVVal,_xlfn.XLOOKUP($A226,CSV!$A:$A,CSV!C:C,""),
_xlpm.MacVal,_xlfn.XLOOKUP($A226,Output_Mac!$A:$A,Output_Mac!D:D,""),
_xlpm.MyAuditVal,_xlfn.XLOOKUP($A226,My_Audit!$A:$A,My_Audit!C:C,""),
_xlfn.IFS(_xlpm.MyAuditVal&lt;&gt;"",UPPER(_xlpm.MyAuditVal),_xlpm.MacVal&lt;&gt;"",_xlpm.MacVal,_xlpm.CSVVal&lt;&gt;"",_xlpm.CSVVal
)),"")</f>
        <v/>
      </c>
      <c r="E226" s="46" t="str" cm="1">
        <f t="array" ref="E226">IFERROR(_xlfn.LET(
_xlpm.CSVVal,_xlfn.XLOOKUP($A226,CSV!$A:$A,CSV!E:E,""),
_xlpm.MacVal,_xlfn.XLOOKUP($A226,Output_Mac!$A:$A,Output_Mac!C:C,""),
_xlpm.MyAuditVal,_xlfn.XLOOKUP($A226,My_Audit!$A:$A,My_Audit!D:D,""),
_xlfn.IFS(_xlpm.MyAuditVal&lt;&gt;"",_xlpm.MyAuditVal,_xlpm.MacVal&lt;&gt;"",_xlpm.MacVal,_xlpm.CSVVal&lt;&gt;"",_xlpm.CSVVal
)),"")</f>
        <v/>
      </c>
      <c r="F226" s="45" t="str" cm="1">
        <f t="array" ref="F226">IFERROR(_xlfn.LET(
_xlpm.CSVVal,_xlfn.XLOOKUP($A226,CSV!$A:$A,CSV!F:F,""),
_xlpm.MacVal,_xlfn.XLOOKUP($A226,Output_Mac!$A:$A,Output_Mac!F:F,""),
_xlpm.MyAuditVal,_xlfn.XLOOKUP($A226,My_Audit!$A:$A,My_Audit!E:E,""),
_xlfn.IFS(_xlpm.MyAuditVal&lt;&gt;"",_xlpm.MyAuditVal,_xlpm.MacVal&lt;&gt;"",_xlpm.MacVal,_xlpm.CSVVal&lt;&gt;"",PROPER(_xlpm.CSVVal)
)),"")</f>
        <v/>
      </c>
      <c r="G226" s="45" t="str" cm="1">
        <f t="array" ref="G226">IFERROR(_xlfn.LET(
_xlpm.CSVVal,_xlfn.XLOOKUP($A226,CSV!$A:$A,CSV!G:G,""),
_xlpm.MacVal,_xlfn.XLOOKUP($A226,Output_Mac!$A:$A,Output_Mac!H:H,""),
_xlpm.MyAuditVal,_xlfn.XLOOKUP($A226,My_Audit!$A:$A,My_Audit!F:F,""),
_xlfn.IFS(_xlpm.MyAuditVal&lt;&gt;"",_xlpm.MyAuditVal,_xlpm.MacVal&lt;&gt;"",_xlpm.MacVal,_xlpm.CSVVal&lt;&gt;"",_xlpm.CSVVal
)),"")</f>
        <v/>
      </c>
      <c r="H226" s="45" t="str">
        <f>_xlfn.XLOOKUP(A226,Output_Mac!A:A,Output_Mac!I:I,"")</f>
        <v/>
      </c>
      <c r="I226" s="45" t="str" cm="1">
        <f t="array" ref="I226">IFERROR(_xlfn.LET(
_xlpm.CSVVal,_xlfn.XLOOKUP($A226,CSV!$A:$A,CSV!H:H,""),
_xlpm.MacVal,_xlfn.XLOOKUP($A226,Output_Mac!$A:$A,Output_Mac!J:J,""),
_xlpm.MyAuditVal,_xlfn.XLOOKUP($A226,My_Audit!$A:$A,My_Audit!H:H,""),
_xlfn.IFS(_xlpm.MyAuditVal&lt;&gt;"",UPPER(_xlpm.MyAuditVal),_xlpm.MacVal&lt;&gt;"",_xlpm.MacVal,_xlpm.CSVVal&lt;&gt;"",_xlpm.CSVVal
)),"")</f>
        <v/>
      </c>
      <c r="J226" s="45" t="str" cm="1">
        <f t="array" ref="J226">IFERROR(_xlfn.LET(
_xlpm.CSVVal,_xlfn.XLOOKUP($A226,CSV!$A:$A,CSV!J:J,""),
_xlpm.MacVal,_xlfn.XLOOKUP($A226,Output_Mac!$A:$A,Output_Mac!K:K,""),
_xlpm.MyAuditVal,_xlfn.XLOOKUP($A226,My_Audit!$A:$A,My_Audit!I:I,""),
_xlfn.IFS(_xlpm.MyAuditVal&lt;&gt;"",UPPER(_xlpm.MyAuditVal),_xlpm.MacVal&lt;&gt;"",_xlpm.MacVal,_xlpm.CSVVal&lt;&gt;"",_xlpm.CSVVal
)),"")</f>
        <v/>
      </c>
      <c r="K226" s="45" t="str" cm="1">
        <f t="array" ref="K226">IFERROR(_xlfn.LET(
_xlpm.CSVVal,_xlfn.XLOOKUP($A226,CSV!$A:$A,CSV!N:N,""),
_xlpm.MacVal,_xlfn.XLOOKUP($A226,Output_Mac!$A:$A,Output_Mac!L:L,""),
_xlpm.MyAuditVal,_xlfn.XLOOKUP($A226,My_Audit!$A:$A,My_Audit!J:J,""),
_xlfn.IFS(_xlpm.MyAuditVal&lt;&gt;"",UPPER(_xlpm.MyAuditVal),_xlpm.MacVal&lt;&gt;"",_xlpm.MacVal,_xlpm.CSVVal&lt;&gt;"",_xlpm.CSVVal
)),"")</f>
        <v/>
      </c>
      <c r="L226" s="46" t="str" cm="1">
        <f t="array" ref="L226">IFERROR(_xlfn.LET(
_xlpm.CSVVal,_xlfn.XLOOKUP($A226,CSV!$A:$A,CSV!Q:Q,""),
_xlpm.MacVal,_xlfn.XLOOKUP($A226,Output_Mac!$A:$A,Output_Mac!M:M,""),
_xlpm.MyAuditVal,_xlfn.XLOOKUP($A226,My_Audit!$A:$A,My_Audit!K:K,""),
_xlfn.IFS(_xlpm.MyAuditVal&lt;&gt;"",UPPER(_xlpm.MyAuditVal),_xlpm.MacVal&lt;&gt;"",_xlpm.MacVal,_xlpm.CSVVal&lt;&gt;"",_xlpm.CSVVal
)),"")</f>
        <v/>
      </c>
      <c r="M226" s="45" t="str">
        <f>_xlfn.LET(
    _xlpm.CSVVal, _xlfn.XLOOKUP($A226, CSV!$A:$A, CSV!AE:AE, ""),
    _xlpm.MacVal, _xlfn.XLOOKUP($A226, Output_Mac!$A:$A, Output_Mac!S:S, ""),
    _xlpm.MyAuditVal, _xlfn.XLOOKUP($A226, My_Audit!$A:$A, My_Audit!N:N, ""),
    _xlfn.TEXTJOIN(", ", TRUE, _xlpm.MyAuditVal, _xlpm.MacVal, _xlpm.CSVVal)
)</f>
        <v/>
      </c>
      <c r="N226" s="45" t="str" cm="1">
        <f t="array" ref="N226">IFERROR(_xlfn.LET(
_xlpm.CSVVal,_xlfn.XLOOKUP($A226,CSV!$A:$A,CSV!AG:AG,""),
_xlpm.MacVal,_xlfn.XLOOKUP($A226,Output_Mac!$A:$A,Output_Mac!U:U,""),
_xlpm.MyAuditVal,_xlfn.XLOOKUP($A226,My_Audit!$A:$A,My_Audit!O:O,""),
_xlfn.IFS(_xlpm.MyAuditVal&lt;&gt;"",UPPER(_xlpm.MyAuditVal),_xlpm.MacVal&lt;&gt;"",_xlpm.MacVal,_xlpm.CSVVal&lt;&gt;"",_xlpm.CSVVal
)),"")</f>
        <v/>
      </c>
      <c r="O226" s="46" t="str">
        <f>_xlfn.XLOOKUP(C226,My_Audit!B:B,My_Audit!P:P,"")&amp;""</f>
        <v/>
      </c>
      <c r="P226" s="45"/>
      <c r="Q226" s="46" t="str">
        <f>IF(LEFT(N226,4)="Pass","Nist SP 800-88",My_Audit!R226)&amp;""</f>
        <v/>
      </c>
      <c r="R226" s="45"/>
      <c r="S226" s="45"/>
      <c r="T226" s="46" t="str">
        <f>_xlfn.XLOOKUP(E226,Models!I:I,Models!J:J,"")</f>
        <v/>
      </c>
      <c r="U226" s="45"/>
      <c r="V226" s="45"/>
      <c r="W226" s="38"/>
    </row>
    <row r="227" spans="1:23">
      <c r="A227" s="45" t="str">
        <f>_xlfn.TEXTJOIN("",TRUE,Input!$B$2,ROW(My_Audit!A226))</f>
        <v>XX226</v>
      </c>
      <c r="B227" s="45" t="str">
        <f>_xlfn.TEXTJOIN("-",TRUE,"ITD",Input!$A$2,A227)</f>
        <v>ITD-SHRXXX-XX226</v>
      </c>
      <c r="C227" s="45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46" t="str" cm="1">
        <f t="array" ref="D227">IFERROR(_xlfn.LET(
_xlpm.CSVVal,_xlfn.XLOOKUP($A227,CSV!$A:$A,CSV!C:C,""),
_xlpm.MacVal,_xlfn.XLOOKUP($A227,Output_Mac!$A:$A,Output_Mac!D:D,""),
_xlpm.MyAuditVal,_xlfn.XLOOKUP($A227,My_Audit!$A:$A,My_Audit!C:C,""),
_xlfn.IFS(_xlpm.MyAuditVal&lt;&gt;"",UPPER(_xlpm.MyAuditVal),_xlpm.MacVal&lt;&gt;"",_xlpm.MacVal,_xlpm.CSVVal&lt;&gt;"",_xlpm.CSVVal
)),"")</f>
        <v/>
      </c>
      <c r="E227" s="46" t="str" cm="1">
        <f t="array" ref="E227">IFERROR(_xlfn.LET(
_xlpm.CSVVal,_xlfn.XLOOKUP($A227,CSV!$A:$A,CSV!E:E,""),
_xlpm.MacVal,_xlfn.XLOOKUP($A227,Output_Mac!$A:$A,Output_Mac!C:C,""),
_xlpm.MyAuditVal,_xlfn.XLOOKUP($A227,My_Audit!$A:$A,My_Audit!D:D,""),
_xlfn.IFS(_xlpm.MyAuditVal&lt;&gt;"",_xlpm.MyAuditVal,_xlpm.MacVal&lt;&gt;"",_xlpm.MacVal,_xlpm.CSVVal&lt;&gt;"",_xlpm.CSVVal
)),"")</f>
        <v/>
      </c>
      <c r="F227" s="45" t="str" cm="1">
        <f t="array" ref="F227">IFERROR(_xlfn.LET(
_xlpm.CSVVal,_xlfn.XLOOKUP($A227,CSV!$A:$A,CSV!F:F,""),
_xlpm.MacVal,_xlfn.XLOOKUP($A227,Output_Mac!$A:$A,Output_Mac!F:F,""),
_xlpm.MyAuditVal,_xlfn.XLOOKUP($A227,My_Audit!$A:$A,My_Audit!E:E,""),
_xlfn.IFS(_xlpm.MyAuditVal&lt;&gt;"",_xlpm.MyAuditVal,_xlpm.MacVal&lt;&gt;"",_xlpm.MacVal,_xlpm.CSVVal&lt;&gt;"",PROPER(_xlpm.CSVVal)
)),"")</f>
        <v/>
      </c>
      <c r="G227" s="45" t="str" cm="1">
        <f t="array" ref="G227">IFERROR(_xlfn.LET(
_xlpm.CSVVal,_xlfn.XLOOKUP($A227,CSV!$A:$A,CSV!G:G,""),
_xlpm.MacVal,_xlfn.XLOOKUP($A227,Output_Mac!$A:$A,Output_Mac!H:H,""),
_xlpm.MyAuditVal,_xlfn.XLOOKUP($A227,My_Audit!$A:$A,My_Audit!F:F,""),
_xlfn.IFS(_xlpm.MyAuditVal&lt;&gt;"",_xlpm.MyAuditVal,_xlpm.MacVal&lt;&gt;"",_xlpm.MacVal,_xlpm.CSVVal&lt;&gt;"",_xlpm.CSVVal
)),"")</f>
        <v/>
      </c>
      <c r="H227" s="45" t="str">
        <f>_xlfn.XLOOKUP(A227,Output_Mac!A:A,Output_Mac!I:I,"")</f>
        <v/>
      </c>
      <c r="I227" s="45" t="str" cm="1">
        <f t="array" ref="I227">IFERROR(_xlfn.LET(
_xlpm.CSVVal,_xlfn.XLOOKUP($A227,CSV!$A:$A,CSV!H:H,""),
_xlpm.MacVal,_xlfn.XLOOKUP($A227,Output_Mac!$A:$A,Output_Mac!J:J,""),
_xlpm.MyAuditVal,_xlfn.XLOOKUP($A227,My_Audit!$A:$A,My_Audit!H:H,""),
_xlfn.IFS(_xlpm.MyAuditVal&lt;&gt;"",UPPER(_xlpm.MyAuditVal),_xlpm.MacVal&lt;&gt;"",_xlpm.MacVal,_xlpm.CSVVal&lt;&gt;"",_xlpm.CSVVal
)),"")</f>
        <v/>
      </c>
      <c r="J227" s="45" t="str" cm="1">
        <f t="array" ref="J227">IFERROR(_xlfn.LET(
_xlpm.CSVVal,_xlfn.XLOOKUP($A227,CSV!$A:$A,CSV!J:J,""),
_xlpm.MacVal,_xlfn.XLOOKUP($A227,Output_Mac!$A:$A,Output_Mac!K:K,""),
_xlpm.MyAuditVal,_xlfn.XLOOKUP($A227,My_Audit!$A:$A,My_Audit!I:I,""),
_xlfn.IFS(_xlpm.MyAuditVal&lt;&gt;"",UPPER(_xlpm.MyAuditVal),_xlpm.MacVal&lt;&gt;"",_xlpm.MacVal,_xlpm.CSVVal&lt;&gt;"",_xlpm.CSVVal
)),"")</f>
        <v/>
      </c>
      <c r="K227" s="45" t="str" cm="1">
        <f t="array" ref="K227">IFERROR(_xlfn.LET(
_xlpm.CSVVal,_xlfn.XLOOKUP($A227,CSV!$A:$A,CSV!N:N,""),
_xlpm.MacVal,_xlfn.XLOOKUP($A227,Output_Mac!$A:$A,Output_Mac!L:L,""),
_xlpm.MyAuditVal,_xlfn.XLOOKUP($A227,My_Audit!$A:$A,My_Audit!J:J,""),
_xlfn.IFS(_xlpm.MyAuditVal&lt;&gt;"",UPPER(_xlpm.MyAuditVal),_xlpm.MacVal&lt;&gt;"",_xlpm.MacVal,_xlpm.CSVVal&lt;&gt;"",_xlpm.CSVVal
)),"")</f>
        <v/>
      </c>
      <c r="L227" s="46" t="str" cm="1">
        <f t="array" ref="L227">IFERROR(_xlfn.LET(
_xlpm.CSVVal,_xlfn.XLOOKUP($A227,CSV!$A:$A,CSV!Q:Q,""),
_xlpm.MacVal,_xlfn.XLOOKUP($A227,Output_Mac!$A:$A,Output_Mac!M:M,""),
_xlpm.MyAuditVal,_xlfn.XLOOKUP($A227,My_Audit!$A:$A,My_Audit!K:K,""),
_xlfn.IFS(_xlpm.MyAuditVal&lt;&gt;"",UPPER(_xlpm.MyAuditVal),_xlpm.MacVal&lt;&gt;"",_xlpm.MacVal,_xlpm.CSVVal&lt;&gt;"",_xlpm.CSVVal
)),"")</f>
        <v/>
      </c>
      <c r="M227" s="45" t="str">
        <f>_xlfn.LET(
    _xlpm.CSVVal, _xlfn.XLOOKUP($A227, CSV!$A:$A, CSV!AE:AE, ""),
    _xlpm.MacVal, _xlfn.XLOOKUP($A227, Output_Mac!$A:$A, Output_Mac!S:S, ""),
    _xlpm.MyAuditVal, _xlfn.XLOOKUP($A227, My_Audit!$A:$A, My_Audit!N:N, ""),
    _xlfn.TEXTJOIN(", ", TRUE, _xlpm.MyAuditVal, _xlpm.MacVal, _xlpm.CSVVal)
)</f>
        <v/>
      </c>
      <c r="N227" s="45" t="str" cm="1">
        <f t="array" ref="N227">IFERROR(_xlfn.LET(
_xlpm.CSVVal,_xlfn.XLOOKUP($A227,CSV!$A:$A,CSV!AG:AG,""),
_xlpm.MacVal,_xlfn.XLOOKUP($A227,Output_Mac!$A:$A,Output_Mac!U:U,""),
_xlpm.MyAuditVal,_xlfn.XLOOKUP($A227,My_Audit!$A:$A,My_Audit!O:O,""),
_xlfn.IFS(_xlpm.MyAuditVal&lt;&gt;"",UPPER(_xlpm.MyAuditVal),_xlpm.MacVal&lt;&gt;"",_xlpm.MacVal,_xlpm.CSVVal&lt;&gt;"",_xlpm.CSVVal
)),"")</f>
        <v/>
      </c>
      <c r="O227" s="46" t="str">
        <f>_xlfn.XLOOKUP(C227,My_Audit!B:B,My_Audit!P:P,"")&amp;""</f>
        <v/>
      </c>
      <c r="P227" s="45"/>
      <c r="Q227" s="46" t="str">
        <f>IF(LEFT(N227,4)="Pass","Nist SP 800-88",My_Audit!R227)&amp;""</f>
        <v/>
      </c>
      <c r="R227" s="45"/>
      <c r="S227" s="45"/>
      <c r="T227" s="46" t="str">
        <f>_xlfn.XLOOKUP(E227,Models!I:I,Models!J:J,"")</f>
        <v/>
      </c>
      <c r="U227" s="45"/>
      <c r="V227" s="45"/>
      <c r="W227" s="38"/>
    </row>
    <row r="228" spans="1:23">
      <c r="A228" s="45" t="str">
        <f>_xlfn.TEXTJOIN("",TRUE,Input!$B$2,ROW(My_Audit!A227))</f>
        <v>XX227</v>
      </c>
      <c r="B228" s="45" t="str">
        <f>_xlfn.TEXTJOIN("-",TRUE,"ITD",Input!$A$2,A228)</f>
        <v>ITD-SHRXXX-XX227</v>
      </c>
      <c r="C228" s="45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46" t="str" cm="1">
        <f t="array" ref="D228">IFERROR(_xlfn.LET(
_xlpm.CSVVal,_xlfn.XLOOKUP($A228,CSV!$A:$A,CSV!C:C,""),
_xlpm.MacVal,_xlfn.XLOOKUP($A228,Output_Mac!$A:$A,Output_Mac!D:D,""),
_xlpm.MyAuditVal,_xlfn.XLOOKUP($A228,My_Audit!$A:$A,My_Audit!C:C,""),
_xlfn.IFS(_xlpm.MyAuditVal&lt;&gt;"",UPPER(_xlpm.MyAuditVal),_xlpm.MacVal&lt;&gt;"",_xlpm.MacVal,_xlpm.CSVVal&lt;&gt;"",_xlpm.CSVVal
)),"")</f>
        <v/>
      </c>
      <c r="E228" s="46" t="str" cm="1">
        <f t="array" ref="E228">IFERROR(_xlfn.LET(
_xlpm.CSVVal,_xlfn.XLOOKUP($A228,CSV!$A:$A,CSV!E:E,""),
_xlpm.MacVal,_xlfn.XLOOKUP($A228,Output_Mac!$A:$A,Output_Mac!C:C,""),
_xlpm.MyAuditVal,_xlfn.XLOOKUP($A228,My_Audit!$A:$A,My_Audit!D:D,""),
_xlfn.IFS(_xlpm.MyAuditVal&lt;&gt;"",_xlpm.MyAuditVal,_xlpm.MacVal&lt;&gt;"",_xlpm.MacVal,_xlpm.CSVVal&lt;&gt;"",_xlpm.CSVVal
)),"")</f>
        <v/>
      </c>
      <c r="F228" s="45" t="str" cm="1">
        <f t="array" ref="F228">IFERROR(_xlfn.LET(
_xlpm.CSVVal,_xlfn.XLOOKUP($A228,CSV!$A:$A,CSV!F:F,""),
_xlpm.MacVal,_xlfn.XLOOKUP($A228,Output_Mac!$A:$A,Output_Mac!F:F,""),
_xlpm.MyAuditVal,_xlfn.XLOOKUP($A228,My_Audit!$A:$A,My_Audit!E:E,""),
_xlfn.IFS(_xlpm.MyAuditVal&lt;&gt;"",_xlpm.MyAuditVal,_xlpm.MacVal&lt;&gt;"",_xlpm.MacVal,_xlpm.CSVVal&lt;&gt;"",PROPER(_xlpm.CSVVal)
)),"")</f>
        <v/>
      </c>
      <c r="G228" s="45" t="str" cm="1">
        <f t="array" ref="G228">IFERROR(_xlfn.LET(
_xlpm.CSVVal,_xlfn.XLOOKUP($A228,CSV!$A:$A,CSV!G:G,""),
_xlpm.MacVal,_xlfn.XLOOKUP($A228,Output_Mac!$A:$A,Output_Mac!H:H,""),
_xlpm.MyAuditVal,_xlfn.XLOOKUP($A228,My_Audit!$A:$A,My_Audit!F:F,""),
_xlfn.IFS(_xlpm.MyAuditVal&lt;&gt;"",_xlpm.MyAuditVal,_xlpm.MacVal&lt;&gt;"",_xlpm.MacVal,_xlpm.CSVVal&lt;&gt;"",_xlpm.CSVVal
)),"")</f>
        <v/>
      </c>
      <c r="H228" s="45" t="str">
        <f>_xlfn.XLOOKUP(A228,Output_Mac!A:A,Output_Mac!I:I,"")</f>
        <v/>
      </c>
      <c r="I228" s="45" t="str" cm="1">
        <f t="array" ref="I228">IFERROR(_xlfn.LET(
_xlpm.CSVVal,_xlfn.XLOOKUP($A228,CSV!$A:$A,CSV!H:H,""),
_xlpm.MacVal,_xlfn.XLOOKUP($A228,Output_Mac!$A:$A,Output_Mac!J:J,""),
_xlpm.MyAuditVal,_xlfn.XLOOKUP($A228,My_Audit!$A:$A,My_Audit!H:H,""),
_xlfn.IFS(_xlpm.MyAuditVal&lt;&gt;"",UPPER(_xlpm.MyAuditVal),_xlpm.MacVal&lt;&gt;"",_xlpm.MacVal,_xlpm.CSVVal&lt;&gt;"",_xlpm.CSVVal
)),"")</f>
        <v/>
      </c>
      <c r="J228" s="45" t="str" cm="1">
        <f t="array" ref="J228">IFERROR(_xlfn.LET(
_xlpm.CSVVal,_xlfn.XLOOKUP($A228,CSV!$A:$A,CSV!J:J,""),
_xlpm.MacVal,_xlfn.XLOOKUP($A228,Output_Mac!$A:$A,Output_Mac!K:K,""),
_xlpm.MyAuditVal,_xlfn.XLOOKUP($A228,My_Audit!$A:$A,My_Audit!I:I,""),
_xlfn.IFS(_xlpm.MyAuditVal&lt;&gt;"",UPPER(_xlpm.MyAuditVal),_xlpm.MacVal&lt;&gt;"",_xlpm.MacVal,_xlpm.CSVVal&lt;&gt;"",_xlpm.CSVVal
)),"")</f>
        <v/>
      </c>
      <c r="K228" s="45" t="str" cm="1">
        <f t="array" ref="K228">IFERROR(_xlfn.LET(
_xlpm.CSVVal,_xlfn.XLOOKUP($A228,CSV!$A:$A,CSV!N:N,""),
_xlpm.MacVal,_xlfn.XLOOKUP($A228,Output_Mac!$A:$A,Output_Mac!L:L,""),
_xlpm.MyAuditVal,_xlfn.XLOOKUP($A228,My_Audit!$A:$A,My_Audit!J:J,""),
_xlfn.IFS(_xlpm.MyAuditVal&lt;&gt;"",UPPER(_xlpm.MyAuditVal),_xlpm.MacVal&lt;&gt;"",_xlpm.MacVal,_xlpm.CSVVal&lt;&gt;"",_xlpm.CSVVal
)),"")</f>
        <v/>
      </c>
      <c r="L228" s="46" t="str" cm="1">
        <f t="array" ref="L228">IFERROR(_xlfn.LET(
_xlpm.CSVVal,_xlfn.XLOOKUP($A228,CSV!$A:$A,CSV!Q:Q,""),
_xlpm.MacVal,_xlfn.XLOOKUP($A228,Output_Mac!$A:$A,Output_Mac!M:M,""),
_xlpm.MyAuditVal,_xlfn.XLOOKUP($A228,My_Audit!$A:$A,My_Audit!K:K,""),
_xlfn.IFS(_xlpm.MyAuditVal&lt;&gt;"",UPPER(_xlpm.MyAuditVal),_xlpm.MacVal&lt;&gt;"",_xlpm.MacVal,_xlpm.CSVVal&lt;&gt;"",_xlpm.CSVVal
)),"")</f>
        <v/>
      </c>
      <c r="M228" s="45" t="str">
        <f>_xlfn.LET(
    _xlpm.CSVVal, _xlfn.XLOOKUP($A228, CSV!$A:$A, CSV!AE:AE, ""),
    _xlpm.MacVal, _xlfn.XLOOKUP($A228, Output_Mac!$A:$A, Output_Mac!S:S, ""),
    _xlpm.MyAuditVal, _xlfn.XLOOKUP($A228, My_Audit!$A:$A, My_Audit!N:N, ""),
    _xlfn.TEXTJOIN(", ", TRUE, _xlpm.MyAuditVal, _xlpm.MacVal, _xlpm.CSVVal)
)</f>
        <v/>
      </c>
      <c r="N228" s="45" t="str" cm="1">
        <f t="array" ref="N228">IFERROR(_xlfn.LET(
_xlpm.CSVVal,_xlfn.XLOOKUP($A228,CSV!$A:$A,CSV!AG:AG,""),
_xlpm.MacVal,_xlfn.XLOOKUP($A228,Output_Mac!$A:$A,Output_Mac!U:U,""),
_xlpm.MyAuditVal,_xlfn.XLOOKUP($A228,My_Audit!$A:$A,My_Audit!O:O,""),
_xlfn.IFS(_xlpm.MyAuditVal&lt;&gt;"",UPPER(_xlpm.MyAuditVal),_xlpm.MacVal&lt;&gt;"",_xlpm.MacVal,_xlpm.CSVVal&lt;&gt;"",_xlpm.CSVVal
)),"")</f>
        <v/>
      </c>
      <c r="O228" s="46" t="str">
        <f>_xlfn.XLOOKUP(C228,My_Audit!B:B,My_Audit!P:P,"")&amp;""</f>
        <v/>
      </c>
      <c r="P228" s="45"/>
      <c r="Q228" s="46" t="str">
        <f>IF(LEFT(N228,4)="Pass","Nist SP 800-88",My_Audit!R228)&amp;""</f>
        <v/>
      </c>
      <c r="R228" s="45"/>
      <c r="S228" s="45"/>
      <c r="T228" s="46" t="str">
        <f>_xlfn.XLOOKUP(E228,Models!I:I,Models!J:J,"")</f>
        <v/>
      </c>
      <c r="U228" s="45"/>
      <c r="V228" s="45"/>
      <c r="W228" s="38"/>
    </row>
    <row r="229" spans="1:23">
      <c r="A229" s="45" t="str">
        <f>_xlfn.TEXTJOIN("",TRUE,Input!$B$2,ROW(My_Audit!A228))</f>
        <v>XX228</v>
      </c>
      <c r="B229" s="45" t="str">
        <f>_xlfn.TEXTJOIN("-",TRUE,"ITD",Input!$A$2,A229)</f>
        <v>ITD-SHRXXX-XX228</v>
      </c>
      <c r="C229" s="45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46" t="str" cm="1">
        <f t="array" ref="D229">IFERROR(_xlfn.LET(
_xlpm.CSVVal,_xlfn.XLOOKUP($A229,CSV!$A:$A,CSV!C:C,""),
_xlpm.MacVal,_xlfn.XLOOKUP($A229,Output_Mac!$A:$A,Output_Mac!D:D,""),
_xlpm.MyAuditVal,_xlfn.XLOOKUP($A229,My_Audit!$A:$A,My_Audit!C:C,""),
_xlfn.IFS(_xlpm.MyAuditVal&lt;&gt;"",UPPER(_xlpm.MyAuditVal),_xlpm.MacVal&lt;&gt;"",_xlpm.MacVal,_xlpm.CSVVal&lt;&gt;"",_xlpm.CSVVal
)),"")</f>
        <v/>
      </c>
      <c r="E229" s="46" t="str" cm="1">
        <f t="array" ref="E229">IFERROR(_xlfn.LET(
_xlpm.CSVVal,_xlfn.XLOOKUP($A229,CSV!$A:$A,CSV!E:E,""),
_xlpm.MacVal,_xlfn.XLOOKUP($A229,Output_Mac!$A:$A,Output_Mac!C:C,""),
_xlpm.MyAuditVal,_xlfn.XLOOKUP($A229,My_Audit!$A:$A,My_Audit!D:D,""),
_xlfn.IFS(_xlpm.MyAuditVal&lt;&gt;"",_xlpm.MyAuditVal,_xlpm.MacVal&lt;&gt;"",_xlpm.MacVal,_xlpm.CSVVal&lt;&gt;"",_xlpm.CSVVal
)),"")</f>
        <v/>
      </c>
      <c r="F229" s="45" t="str" cm="1">
        <f t="array" ref="F229">IFERROR(_xlfn.LET(
_xlpm.CSVVal,_xlfn.XLOOKUP($A229,CSV!$A:$A,CSV!F:F,""),
_xlpm.MacVal,_xlfn.XLOOKUP($A229,Output_Mac!$A:$A,Output_Mac!F:F,""),
_xlpm.MyAuditVal,_xlfn.XLOOKUP($A229,My_Audit!$A:$A,My_Audit!E:E,""),
_xlfn.IFS(_xlpm.MyAuditVal&lt;&gt;"",_xlpm.MyAuditVal,_xlpm.MacVal&lt;&gt;"",_xlpm.MacVal,_xlpm.CSVVal&lt;&gt;"",PROPER(_xlpm.CSVVal)
)),"")</f>
        <v/>
      </c>
      <c r="G229" s="45" t="str" cm="1">
        <f t="array" ref="G229">IFERROR(_xlfn.LET(
_xlpm.CSVVal,_xlfn.XLOOKUP($A229,CSV!$A:$A,CSV!G:G,""),
_xlpm.MacVal,_xlfn.XLOOKUP($A229,Output_Mac!$A:$A,Output_Mac!H:H,""),
_xlpm.MyAuditVal,_xlfn.XLOOKUP($A229,My_Audit!$A:$A,My_Audit!F:F,""),
_xlfn.IFS(_xlpm.MyAuditVal&lt;&gt;"",_xlpm.MyAuditVal,_xlpm.MacVal&lt;&gt;"",_xlpm.MacVal,_xlpm.CSVVal&lt;&gt;"",_xlpm.CSVVal
)),"")</f>
        <v/>
      </c>
      <c r="H229" s="45" t="str">
        <f>_xlfn.XLOOKUP(A229,Output_Mac!A:A,Output_Mac!I:I,"")</f>
        <v/>
      </c>
      <c r="I229" s="45" t="str" cm="1">
        <f t="array" ref="I229">IFERROR(_xlfn.LET(
_xlpm.CSVVal,_xlfn.XLOOKUP($A229,CSV!$A:$A,CSV!H:H,""),
_xlpm.MacVal,_xlfn.XLOOKUP($A229,Output_Mac!$A:$A,Output_Mac!J:J,""),
_xlpm.MyAuditVal,_xlfn.XLOOKUP($A229,My_Audit!$A:$A,My_Audit!H:H,""),
_xlfn.IFS(_xlpm.MyAuditVal&lt;&gt;"",UPPER(_xlpm.MyAuditVal),_xlpm.MacVal&lt;&gt;"",_xlpm.MacVal,_xlpm.CSVVal&lt;&gt;"",_xlpm.CSVVal
)),"")</f>
        <v/>
      </c>
      <c r="J229" s="45" t="str" cm="1">
        <f t="array" ref="J229">IFERROR(_xlfn.LET(
_xlpm.CSVVal,_xlfn.XLOOKUP($A229,CSV!$A:$A,CSV!J:J,""),
_xlpm.MacVal,_xlfn.XLOOKUP($A229,Output_Mac!$A:$A,Output_Mac!K:K,""),
_xlpm.MyAuditVal,_xlfn.XLOOKUP($A229,My_Audit!$A:$A,My_Audit!I:I,""),
_xlfn.IFS(_xlpm.MyAuditVal&lt;&gt;"",UPPER(_xlpm.MyAuditVal),_xlpm.MacVal&lt;&gt;"",_xlpm.MacVal,_xlpm.CSVVal&lt;&gt;"",_xlpm.CSVVal
)),"")</f>
        <v/>
      </c>
      <c r="K229" s="45" t="str" cm="1">
        <f t="array" ref="K229">IFERROR(_xlfn.LET(
_xlpm.CSVVal,_xlfn.XLOOKUP($A229,CSV!$A:$A,CSV!N:N,""),
_xlpm.MacVal,_xlfn.XLOOKUP($A229,Output_Mac!$A:$A,Output_Mac!L:L,""),
_xlpm.MyAuditVal,_xlfn.XLOOKUP($A229,My_Audit!$A:$A,My_Audit!J:J,""),
_xlfn.IFS(_xlpm.MyAuditVal&lt;&gt;"",UPPER(_xlpm.MyAuditVal),_xlpm.MacVal&lt;&gt;"",_xlpm.MacVal,_xlpm.CSVVal&lt;&gt;"",_xlpm.CSVVal
)),"")</f>
        <v/>
      </c>
      <c r="L229" s="46" t="str" cm="1">
        <f t="array" ref="L229">IFERROR(_xlfn.LET(
_xlpm.CSVVal,_xlfn.XLOOKUP($A229,CSV!$A:$A,CSV!Q:Q,""),
_xlpm.MacVal,_xlfn.XLOOKUP($A229,Output_Mac!$A:$A,Output_Mac!M:M,""),
_xlpm.MyAuditVal,_xlfn.XLOOKUP($A229,My_Audit!$A:$A,My_Audit!K:K,""),
_xlfn.IFS(_xlpm.MyAuditVal&lt;&gt;"",UPPER(_xlpm.MyAuditVal),_xlpm.MacVal&lt;&gt;"",_xlpm.MacVal,_xlpm.CSVVal&lt;&gt;"",_xlpm.CSVVal
)),"")</f>
        <v/>
      </c>
      <c r="M229" s="45" t="str">
        <f>_xlfn.LET(
    _xlpm.CSVVal, _xlfn.XLOOKUP($A229, CSV!$A:$A, CSV!AE:AE, ""),
    _xlpm.MacVal, _xlfn.XLOOKUP($A229, Output_Mac!$A:$A, Output_Mac!S:S, ""),
    _xlpm.MyAuditVal, _xlfn.XLOOKUP($A229, My_Audit!$A:$A, My_Audit!N:N, ""),
    _xlfn.TEXTJOIN(", ", TRUE, _xlpm.MyAuditVal, _xlpm.MacVal, _xlpm.CSVVal)
)</f>
        <v/>
      </c>
      <c r="N229" s="45" t="str" cm="1">
        <f t="array" ref="N229">IFERROR(_xlfn.LET(
_xlpm.CSVVal,_xlfn.XLOOKUP($A229,CSV!$A:$A,CSV!AG:AG,""),
_xlpm.MacVal,_xlfn.XLOOKUP($A229,Output_Mac!$A:$A,Output_Mac!U:U,""),
_xlpm.MyAuditVal,_xlfn.XLOOKUP($A229,My_Audit!$A:$A,My_Audit!O:O,""),
_xlfn.IFS(_xlpm.MyAuditVal&lt;&gt;"",UPPER(_xlpm.MyAuditVal),_xlpm.MacVal&lt;&gt;"",_xlpm.MacVal,_xlpm.CSVVal&lt;&gt;"",_xlpm.CSVVal
)),"")</f>
        <v/>
      </c>
      <c r="O229" s="46" t="str">
        <f>_xlfn.XLOOKUP(C229,My_Audit!B:B,My_Audit!P:P,"")&amp;""</f>
        <v/>
      </c>
      <c r="P229" s="45"/>
      <c r="Q229" s="46" t="str">
        <f>IF(LEFT(N229,4)="Pass","Nist SP 800-88",My_Audit!R229)&amp;""</f>
        <v/>
      </c>
      <c r="R229" s="45"/>
      <c r="S229" s="45"/>
      <c r="T229" s="46" t="str">
        <f>_xlfn.XLOOKUP(E229,Models!I:I,Models!J:J,"")</f>
        <v/>
      </c>
      <c r="U229" s="45"/>
      <c r="V229" s="45"/>
      <c r="W229" s="38"/>
    </row>
    <row r="230" spans="1:23">
      <c r="A230" s="45" t="str">
        <f>_xlfn.TEXTJOIN("",TRUE,Input!$B$2,ROW(My_Audit!A229))</f>
        <v>XX229</v>
      </c>
      <c r="B230" s="45" t="str">
        <f>_xlfn.TEXTJOIN("-",TRUE,"ITD",Input!$A$2,A230)</f>
        <v>ITD-SHRXXX-XX229</v>
      </c>
      <c r="C230" s="45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46" t="str" cm="1">
        <f t="array" ref="D230">IFERROR(_xlfn.LET(
_xlpm.CSVVal,_xlfn.XLOOKUP($A230,CSV!$A:$A,CSV!C:C,""),
_xlpm.MacVal,_xlfn.XLOOKUP($A230,Output_Mac!$A:$A,Output_Mac!D:D,""),
_xlpm.MyAuditVal,_xlfn.XLOOKUP($A230,My_Audit!$A:$A,My_Audit!C:C,""),
_xlfn.IFS(_xlpm.MyAuditVal&lt;&gt;"",UPPER(_xlpm.MyAuditVal),_xlpm.MacVal&lt;&gt;"",_xlpm.MacVal,_xlpm.CSVVal&lt;&gt;"",_xlpm.CSVVal
)),"")</f>
        <v/>
      </c>
      <c r="E230" s="46" t="str" cm="1">
        <f t="array" ref="E230">IFERROR(_xlfn.LET(
_xlpm.CSVVal,_xlfn.XLOOKUP($A230,CSV!$A:$A,CSV!E:E,""),
_xlpm.MacVal,_xlfn.XLOOKUP($A230,Output_Mac!$A:$A,Output_Mac!C:C,""),
_xlpm.MyAuditVal,_xlfn.XLOOKUP($A230,My_Audit!$A:$A,My_Audit!D:D,""),
_xlfn.IFS(_xlpm.MyAuditVal&lt;&gt;"",_xlpm.MyAuditVal,_xlpm.MacVal&lt;&gt;"",_xlpm.MacVal,_xlpm.CSVVal&lt;&gt;"",_xlpm.CSVVal
)),"")</f>
        <v/>
      </c>
      <c r="F230" s="45" t="str" cm="1">
        <f t="array" ref="F230">IFERROR(_xlfn.LET(
_xlpm.CSVVal,_xlfn.XLOOKUP($A230,CSV!$A:$A,CSV!F:F,""),
_xlpm.MacVal,_xlfn.XLOOKUP($A230,Output_Mac!$A:$A,Output_Mac!F:F,""),
_xlpm.MyAuditVal,_xlfn.XLOOKUP($A230,My_Audit!$A:$A,My_Audit!E:E,""),
_xlfn.IFS(_xlpm.MyAuditVal&lt;&gt;"",_xlpm.MyAuditVal,_xlpm.MacVal&lt;&gt;"",_xlpm.MacVal,_xlpm.CSVVal&lt;&gt;"",PROPER(_xlpm.CSVVal)
)),"")</f>
        <v/>
      </c>
      <c r="G230" s="45" t="str" cm="1">
        <f t="array" ref="G230">IFERROR(_xlfn.LET(
_xlpm.CSVVal,_xlfn.XLOOKUP($A230,CSV!$A:$A,CSV!G:G,""),
_xlpm.MacVal,_xlfn.XLOOKUP($A230,Output_Mac!$A:$A,Output_Mac!H:H,""),
_xlpm.MyAuditVal,_xlfn.XLOOKUP($A230,My_Audit!$A:$A,My_Audit!F:F,""),
_xlfn.IFS(_xlpm.MyAuditVal&lt;&gt;"",_xlpm.MyAuditVal,_xlpm.MacVal&lt;&gt;"",_xlpm.MacVal,_xlpm.CSVVal&lt;&gt;"",_xlpm.CSVVal
)),"")</f>
        <v/>
      </c>
      <c r="H230" s="45" t="str">
        <f>_xlfn.XLOOKUP(A230,Output_Mac!A:A,Output_Mac!I:I,"")</f>
        <v/>
      </c>
      <c r="I230" s="45" t="str" cm="1">
        <f t="array" ref="I230">IFERROR(_xlfn.LET(
_xlpm.CSVVal,_xlfn.XLOOKUP($A230,CSV!$A:$A,CSV!H:H,""),
_xlpm.MacVal,_xlfn.XLOOKUP($A230,Output_Mac!$A:$A,Output_Mac!J:J,""),
_xlpm.MyAuditVal,_xlfn.XLOOKUP($A230,My_Audit!$A:$A,My_Audit!H:H,""),
_xlfn.IFS(_xlpm.MyAuditVal&lt;&gt;"",UPPER(_xlpm.MyAuditVal),_xlpm.MacVal&lt;&gt;"",_xlpm.MacVal,_xlpm.CSVVal&lt;&gt;"",_xlpm.CSVVal
)),"")</f>
        <v/>
      </c>
      <c r="J230" s="45" t="str" cm="1">
        <f t="array" ref="J230">IFERROR(_xlfn.LET(
_xlpm.CSVVal,_xlfn.XLOOKUP($A230,CSV!$A:$A,CSV!J:J,""),
_xlpm.MacVal,_xlfn.XLOOKUP($A230,Output_Mac!$A:$A,Output_Mac!K:K,""),
_xlpm.MyAuditVal,_xlfn.XLOOKUP($A230,My_Audit!$A:$A,My_Audit!I:I,""),
_xlfn.IFS(_xlpm.MyAuditVal&lt;&gt;"",UPPER(_xlpm.MyAuditVal),_xlpm.MacVal&lt;&gt;"",_xlpm.MacVal,_xlpm.CSVVal&lt;&gt;"",_xlpm.CSVVal
)),"")</f>
        <v/>
      </c>
      <c r="K230" s="45" t="str" cm="1">
        <f t="array" ref="K230">IFERROR(_xlfn.LET(
_xlpm.CSVVal,_xlfn.XLOOKUP($A230,CSV!$A:$A,CSV!N:N,""),
_xlpm.MacVal,_xlfn.XLOOKUP($A230,Output_Mac!$A:$A,Output_Mac!L:L,""),
_xlpm.MyAuditVal,_xlfn.XLOOKUP($A230,My_Audit!$A:$A,My_Audit!J:J,""),
_xlfn.IFS(_xlpm.MyAuditVal&lt;&gt;"",UPPER(_xlpm.MyAuditVal),_xlpm.MacVal&lt;&gt;"",_xlpm.MacVal,_xlpm.CSVVal&lt;&gt;"",_xlpm.CSVVal
)),"")</f>
        <v/>
      </c>
      <c r="L230" s="46" t="str" cm="1">
        <f t="array" ref="L230">IFERROR(_xlfn.LET(
_xlpm.CSVVal,_xlfn.XLOOKUP($A230,CSV!$A:$A,CSV!Q:Q,""),
_xlpm.MacVal,_xlfn.XLOOKUP($A230,Output_Mac!$A:$A,Output_Mac!M:M,""),
_xlpm.MyAuditVal,_xlfn.XLOOKUP($A230,My_Audit!$A:$A,My_Audit!K:K,""),
_xlfn.IFS(_xlpm.MyAuditVal&lt;&gt;"",UPPER(_xlpm.MyAuditVal),_xlpm.MacVal&lt;&gt;"",_xlpm.MacVal,_xlpm.CSVVal&lt;&gt;"",_xlpm.CSVVal
)),"")</f>
        <v/>
      </c>
      <c r="M230" s="45" t="str">
        <f>_xlfn.LET(
    _xlpm.CSVVal, _xlfn.XLOOKUP($A230, CSV!$A:$A, CSV!AE:AE, ""),
    _xlpm.MacVal, _xlfn.XLOOKUP($A230, Output_Mac!$A:$A, Output_Mac!S:S, ""),
    _xlpm.MyAuditVal, _xlfn.XLOOKUP($A230, My_Audit!$A:$A, My_Audit!N:N, ""),
    _xlfn.TEXTJOIN(", ", TRUE, _xlpm.MyAuditVal, _xlpm.MacVal, _xlpm.CSVVal)
)</f>
        <v/>
      </c>
      <c r="N230" s="45" t="str" cm="1">
        <f t="array" ref="N230">IFERROR(_xlfn.LET(
_xlpm.CSVVal,_xlfn.XLOOKUP($A230,CSV!$A:$A,CSV!AG:AG,""),
_xlpm.MacVal,_xlfn.XLOOKUP($A230,Output_Mac!$A:$A,Output_Mac!U:U,""),
_xlpm.MyAuditVal,_xlfn.XLOOKUP($A230,My_Audit!$A:$A,My_Audit!O:O,""),
_xlfn.IFS(_xlpm.MyAuditVal&lt;&gt;"",UPPER(_xlpm.MyAuditVal),_xlpm.MacVal&lt;&gt;"",_xlpm.MacVal,_xlpm.CSVVal&lt;&gt;"",_xlpm.CSVVal
)),"")</f>
        <v/>
      </c>
      <c r="O230" s="46" t="str">
        <f>_xlfn.XLOOKUP(C230,My_Audit!B:B,My_Audit!P:P,"")&amp;""</f>
        <v/>
      </c>
      <c r="P230" s="45"/>
      <c r="Q230" s="46" t="str">
        <f>IF(LEFT(N230,4)="Pass","Nist SP 800-88",My_Audit!R230)&amp;""</f>
        <v/>
      </c>
      <c r="R230" s="45"/>
      <c r="S230" s="45"/>
      <c r="T230" s="46" t="str">
        <f>_xlfn.XLOOKUP(E230,Models!I:I,Models!J:J,"")</f>
        <v/>
      </c>
      <c r="U230" s="45"/>
      <c r="V230" s="45"/>
      <c r="W230" s="38"/>
    </row>
    <row r="231" spans="1:23">
      <c r="A231" s="45" t="str">
        <f>_xlfn.TEXTJOIN("",TRUE,Input!$B$2,ROW(My_Audit!A230))</f>
        <v>XX230</v>
      </c>
      <c r="B231" s="45" t="str">
        <f>_xlfn.TEXTJOIN("-",TRUE,"ITD",Input!$A$2,A231)</f>
        <v>ITD-SHRXXX-XX230</v>
      </c>
      <c r="C231" s="45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46" t="str" cm="1">
        <f t="array" ref="D231">IFERROR(_xlfn.LET(
_xlpm.CSVVal,_xlfn.XLOOKUP($A231,CSV!$A:$A,CSV!C:C,""),
_xlpm.MacVal,_xlfn.XLOOKUP($A231,Output_Mac!$A:$A,Output_Mac!D:D,""),
_xlpm.MyAuditVal,_xlfn.XLOOKUP($A231,My_Audit!$A:$A,My_Audit!C:C,""),
_xlfn.IFS(_xlpm.MyAuditVal&lt;&gt;"",UPPER(_xlpm.MyAuditVal),_xlpm.MacVal&lt;&gt;"",_xlpm.MacVal,_xlpm.CSVVal&lt;&gt;"",_xlpm.CSVVal
)),"")</f>
        <v/>
      </c>
      <c r="E231" s="46" t="str" cm="1">
        <f t="array" ref="E231">IFERROR(_xlfn.LET(
_xlpm.CSVVal,_xlfn.XLOOKUP($A231,CSV!$A:$A,CSV!E:E,""),
_xlpm.MacVal,_xlfn.XLOOKUP($A231,Output_Mac!$A:$A,Output_Mac!C:C,""),
_xlpm.MyAuditVal,_xlfn.XLOOKUP($A231,My_Audit!$A:$A,My_Audit!D:D,""),
_xlfn.IFS(_xlpm.MyAuditVal&lt;&gt;"",_xlpm.MyAuditVal,_xlpm.MacVal&lt;&gt;"",_xlpm.MacVal,_xlpm.CSVVal&lt;&gt;"",_xlpm.CSVVal
)),"")</f>
        <v/>
      </c>
      <c r="F231" s="45" t="str" cm="1">
        <f t="array" ref="F231">IFERROR(_xlfn.LET(
_xlpm.CSVVal,_xlfn.XLOOKUP($A231,CSV!$A:$A,CSV!F:F,""),
_xlpm.MacVal,_xlfn.XLOOKUP($A231,Output_Mac!$A:$A,Output_Mac!F:F,""),
_xlpm.MyAuditVal,_xlfn.XLOOKUP($A231,My_Audit!$A:$A,My_Audit!E:E,""),
_xlfn.IFS(_xlpm.MyAuditVal&lt;&gt;"",_xlpm.MyAuditVal,_xlpm.MacVal&lt;&gt;"",_xlpm.MacVal,_xlpm.CSVVal&lt;&gt;"",PROPER(_xlpm.CSVVal)
)),"")</f>
        <v/>
      </c>
      <c r="G231" s="45" t="str" cm="1">
        <f t="array" ref="G231">IFERROR(_xlfn.LET(
_xlpm.CSVVal,_xlfn.XLOOKUP($A231,CSV!$A:$A,CSV!G:G,""),
_xlpm.MacVal,_xlfn.XLOOKUP($A231,Output_Mac!$A:$A,Output_Mac!H:H,""),
_xlpm.MyAuditVal,_xlfn.XLOOKUP($A231,My_Audit!$A:$A,My_Audit!F:F,""),
_xlfn.IFS(_xlpm.MyAuditVal&lt;&gt;"",_xlpm.MyAuditVal,_xlpm.MacVal&lt;&gt;"",_xlpm.MacVal,_xlpm.CSVVal&lt;&gt;"",_xlpm.CSVVal
)),"")</f>
        <v/>
      </c>
      <c r="H231" s="45" t="str">
        <f>_xlfn.XLOOKUP(A231,Output_Mac!A:A,Output_Mac!I:I,"")</f>
        <v/>
      </c>
      <c r="I231" s="45" t="str" cm="1">
        <f t="array" ref="I231">IFERROR(_xlfn.LET(
_xlpm.CSVVal,_xlfn.XLOOKUP($A231,CSV!$A:$A,CSV!H:H,""),
_xlpm.MacVal,_xlfn.XLOOKUP($A231,Output_Mac!$A:$A,Output_Mac!J:J,""),
_xlpm.MyAuditVal,_xlfn.XLOOKUP($A231,My_Audit!$A:$A,My_Audit!H:H,""),
_xlfn.IFS(_xlpm.MyAuditVal&lt;&gt;"",UPPER(_xlpm.MyAuditVal),_xlpm.MacVal&lt;&gt;"",_xlpm.MacVal,_xlpm.CSVVal&lt;&gt;"",_xlpm.CSVVal
)),"")</f>
        <v/>
      </c>
      <c r="J231" s="45" t="str" cm="1">
        <f t="array" ref="J231">IFERROR(_xlfn.LET(
_xlpm.CSVVal,_xlfn.XLOOKUP($A231,CSV!$A:$A,CSV!J:J,""),
_xlpm.MacVal,_xlfn.XLOOKUP($A231,Output_Mac!$A:$A,Output_Mac!K:K,""),
_xlpm.MyAuditVal,_xlfn.XLOOKUP($A231,My_Audit!$A:$A,My_Audit!I:I,""),
_xlfn.IFS(_xlpm.MyAuditVal&lt;&gt;"",UPPER(_xlpm.MyAuditVal),_xlpm.MacVal&lt;&gt;"",_xlpm.MacVal,_xlpm.CSVVal&lt;&gt;"",_xlpm.CSVVal
)),"")</f>
        <v/>
      </c>
      <c r="K231" s="45" t="str" cm="1">
        <f t="array" ref="K231">IFERROR(_xlfn.LET(
_xlpm.CSVVal,_xlfn.XLOOKUP($A231,CSV!$A:$A,CSV!N:N,""),
_xlpm.MacVal,_xlfn.XLOOKUP($A231,Output_Mac!$A:$A,Output_Mac!L:L,""),
_xlpm.MyAuditVal,_xlfn.XLOOKUP($A231,My_Audit!$A:$A,My_Audit!J:J,""),
_xlfn.IFS(_xlpm.MyAuditVal&lt;&gt;"",UPPER(_xlpm.MyAuditVal),_xlpm.MacVal&lt;&gt;"",_xlpm.MacVal,_xlpm.CSVVal&lt;&gt;"",_xlpm.CSVVal
)),"")</f>
        <v/>
      </c>
      <c r="L231" s="46" t="str" cm="1">
        <f t="array" ref="L231">IFERROR(_xlfn.LET(
_xlpm.CSVVal,_xlfn.XLOOKUP($A231,CSV!$A:$A,CSV!Q:Q,""),
_xlpm.MacVal,_xlfn.XLOOKUP($A231,Output_Mac!$A:$A,Output_Mac!M:M,""),
_xlpm.MyAuditVal,_xlfn.XLOOKUP($A231,My_Audit!$A:$A,My_Audit!K:K,""),
_xlfn.IFS(_xlpm.MyAuditVal&lt;&gt;"",UPPER(_xlpm.MyAuditVal),_xlpm.MacVal&lt;&gt;"",_xlpm.MacVal,_xlpm.CSVVal&lt;&gt;"",_xlpm.CSVVal
)),"")</f>
        <v/>
      </c>
      <c r="M231" s="45" t="str">
        <f>_xlfn.LET(
    _xlpm.CSVVal, _xlfn.XLOOKUP($A231, CSV!$A:$A, CSV!AE:AE, ""),
    _xlpm.MacVal, _xlfn.XLOOKUP($A231, Output_Mac!$A:$A, Output_Mac!S:S, ""),
    _xlpm.MyAuditVal, _xlfn.XLOOKUP($A231, My_Audit!$A:$A, My_Audit!N:N, ""),
    _xlfn.TEXTJOIN(", ", TRUE, _xlpm.MyAuditVal, _xlpm.MacVal, _xlpm.CSVVal)
)</f>
        <v/>
      </c>
      <c r="N231" s="45" t="str" cm="1">
        <f t="array" ref="N231">IFERROR(_xlfn.LET(
_xlpm.CSVVal,_xlfn.XLOOKUP($A231,CSV!$A:$A,CSV!AG:AG,""),
_xlpm.MacVal,_xlfn.XLOOKUP($A231,Output_Mac!$A:$A,Output_Mac!U:U,""),
_xlpm.MyAuditVal,_xlfn.XLOOKUP($A231,My_Audit!$A:$A,My_Audit!O:O,""),
_xlfn.IFS(_xlpm.MyAuditVal&lt;&gt;"",UPPER(_xlpm.MyAuditVal),_xlpm.MacVal&lt;&gt;"",_xlpm.MacVal,_xlpm.CSVVal&lt;&gt;"",_xlpm.CSVVal
)),"")</f>
        <v/>
      </c>
      <c r="O231" s="46" t="str">
        <f>_xlfn.XLOOKUP(C231,My_Audit!B:B,My_Audit!P:P,"")&amp;""</f>
        <v/>
      </c>
      <c r="P231" s="45"/>
      <c r="Q231" s="46" t="str">
        <f>IF(LEFT(N231,4)="Pass","Nist SP 800-88",My_Audit!R231)&amp;""</f>
        <v/>
      </c>
      <c r="R231" s="45"/>
      <c r="S231" s="45"/>
      <c r="T231" s="46" t="str">
        <f>_xlfn.XLOOKUP(E231,Models!I:I,Models!J:J,"")</f>
        <v/>
      </c>
      <c r="U231" s="45"/>
      <c r="V231" s="45"/>
      <c r="W231" s="38"/>
    </row>
    <row r="232" spans="1:23">
      <c r="A232" s="45" t="str">
        <f>_xlfn.TEXTJOIN("",TRUE,Input!$B$2,ROW(My_Audit!A231))</f>
        <v>XX231</v>
      </c>
      <c r="B232" s="45" t="str">
        <f>_xlfn.TEXTJOIN("-",TRUE,"ITD",Input!$A$2,A232)</f>
        <v>ITD-SHRXXX-XX231</v>
      </c>
      <c r="C232" s="45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46" t="str" cm="1">
        <f t="array" ref="D232">IFERROR(_xlfn.LET(
_xlpm.CSVVal,_xlfn.XLOOKUP($A232,CSV!$A:$A,CSV!C:C,""),
_xlpm.MacVal,_xlfn.XLOOKUP($A232,Output_Mac!$A:$A,Output_Mac!D:D,""),
_xlpm.MyAuditVal,_xlfn.XLOOKUP($A232,My_Audit!$A:$A,My_Audit!C:C,""),
_xlfn.IFS(_xlpm.MyAuditVal&lt;&gt;"",UPPER(_xlpm.MyAuditVal),_xlpm.MacVal&lt;&gt;"",_xlpm.MacVal,_xlpm.CSVVal&lt;&gt;"",_xlpm.CSVVal
)),"")</f>
        <v/>
      </c>
      <c r="E232" s="46" t="str" cm="1">
        <f t="array" ref="E232">IFERROR(_xlfn.LET(
_xlpm.CSVVal,_xlfn.XLOOKUP($A232,CSV!$A:$A,CSV!E:E,""),
_xlpm.MacVal,_xlfn.XLOOKUP($A232,Output_Mac!$A:$A,Output_Mac!C:C,""),
_xlpm.MyAuditVal,_xlfn.XLOOKUP($A232,My_Audit!$A:$A,My_Audit!D:D,""),
_xlfn.IFS(_xlpm.MyAuditVal&lt;&gt;"",_xlpm.MyAuditVal,_xlpm.MacVal&lt;&gt;"",_xlpm.MacVal,_xlpm.CSVVal&lt;&gt;"",_xlpm.CSVVal
)),"")</f>
        <v/>
      </c>
      <c r="F232" s="45" t="str" cm="1">
        <f t="array" ref="F232">IFERROR(_xlfn.LET(
_xlpm.CSVVal,_xlfn.XLOOKUP($A232,CSV!$A:$A,CSV!F:F,""),
_xlpm.MacVal,_xlfn.XLOOKUP($A232,Output_Mac!$A:$A,Output_Mac!F:F,""),
_xlpm.MyAuditVal,_xlfn.XLOOKUP($A232,My_Audit!$A:$A,My_Audit!E:E,""),
_xlfn.IFS(_xlpm.MyAuditVal&lt;&gt;"",_xlpm.MyAuditVal,_xlpm.MacVal&lt;&gt;"",_xlpm.MacVal,_xlpm.CSVVal&lt;&gt;"",PROPER(_xlpm.CSVVal)
)),"")</f>
        <v/>
      </c>
      <c r="G232" s="45" t="str" cm="1">
        <f t="array" ref="G232">IFERROR(_xlfn.LET(
_xlpm.CSVVal,_xlfn.XLOOKUP($A232,CSV!$A:$A,CSV!G:G,""),
_xlpm.MacVal,_xlfn.XLOOKUP($A232,Output_Mac!$A:$A,Output_Mac!H:H,""),
_xlpm.MyAuditVal,_xlfn.XLOOKUP($A232,My_Audit!$A:$A,My_Audit!F:F,""),
_xlfn.IFS(_xlpm.MyAuditVal&lt;&gt;"",_xlpm.MyAuditVal,_xlpm.MacVal&lt;&gt;"",_xlpm.MacVal,_xlpm.CSVVal&lt;&gt;"",_xlpm.CSVVal
)),"")</f>
        <v/>
      </c>
      <c r="H232" s="45" t="str">
        <f>_xlfn.XLOOKUP(A232,Output_Mac!A:A,Output_Mac!I:I,"")</f>
        <v/>
      </c>
      <c r="I232" s="45" t="str" cm="1">
        <f t="array" ref="I232">IFERROR(_xlfn.LET(
_xlpm.CSVVal,_xlfn.XLOOKUP($A232,CSV!$A:$A,CSV!H:H,""),
_xlpm.MacVal,_xlfn.XLOOKUP($A232,Output_Mac!$A:$A,Output_Mac!J:J,""),
_xlpm.MyAuditVal,_xlfn.XLOOKUP($A232,My_Audit!$A:$A,My_Audit!H:H,""),
_xlfn.IFS(_xlpm.MyAuditVal&lt;&gt;"",UPPER(_xlpm.MyAuditVal),_xlpm.MacVal&lt;&gt;"",_xlpm.MacVal,_xlpm.CSVVal&lt;&gt;"",_xlpm.CSVVal
)),"")</f>
        <v/>
      </c>
      <c r="J232" s="45" t="str" cm="1">
        <f t="array" ref="J232">IFERROR(_xlfn.LET(
_xlpm.CSVVal,_xlfn.XLOOKUP($A232,CSV!$A:$A,CSV!J:J,""),
_xlpm.MacVal,_xlfn.XLOOKUP($A232,Output_Mac!$A:$A,Output_Mac!K:K,""),
_xlpm.MyAuditVal,_xlfn.XLOOKUP($A232,My_Audit!$A:$A,My_Audit!I:I,""),
_xlfn.IFS(_xlpm.MyAuditVal&lt;&gt;"",UPPER(_xlpm.MyAuditVal),_xlpm.MacVal&lt;&gt;"",_xlpm.MacVal,_xlpm.CSVVal&lt;&gt;"",_xlpm.CSVVal
)),"")</f>
        <v/>
      </c>
      <c r="K232" s="45" t="str" cm="1">
        <f t="array" ref="K232">IFERROR(_xlfn.LET(
_xlpm.CSVVal,_xlfn.XLOOKUP($A232,CSV!$A:$A,CSV!N:N,""),
_xlpm.MacVal,_xlfn.XLOOKUP($A232,Output_Mac!$A:$A,Output_Mac!L:L,""),
_xlpm.MyAuditVal,_xlfn.XLOOKUP($A232,My_Audit!$A:$A,My_Audit!J:J,""),
_xlfn.IFS(_xlpm.MyAuditVal&lt;&gt;"",UPPER(_xlpm.MyAuditVal),_xlpm.MacVal&lt;&gt;"",_xlpm.MacVal,_xlpm.CSVVal&lt;&gt;"",_xlpm.CSVVal
)),"")</f>
        <v/>
      </c>
      <c r="L232" s="46" t="str" cm="1">
        <f t="array" ref="L232">IFERROR(_xlfn.LET(
_xlpm.CSVVal,_xlfn.XLOOKUP($A232,CSV!$A:$A,CSV!Q:Q,""),
_xlpm.MacVal,_xlfn.XLOOKUP($A232,Output_Mac!$A:$A,Output_Mac!M:M,""),
_xlpm.MyAuditVal,_xlfn.XLOOKUP($A232,My_Audit!$A:$A,My_Audit!K:K,""),
_xlfn.IFS(_xlpm.MyAuditVal&lt;&gt;"",UPPER(_xlpm.MyAuditVal),_xlpm.MacVal&lt;&gt;"",_xlpm.MacVal,_xlpm.CSVVal&lt;&gt;"",_xlpm.CSVVal
)),"")</f>
        <v/>
      </c>
      <c r="M232" s="45" t="str">
        <f>_xlfn.LET(
    _xlpm.CSVVal, _xlfn.XLOOKUP($A232, CSV!$A:$A, CSV!AE:AE, ""),
    _xlpm.MacVal, _xlfn.XLOOKUP($A232, Output_Mac!$A:$A, Output_Mac!S:S, ""),
    _xlpm.MyAuditVal, _xlfn.XLOOKUP($A232, My_Audit!$A:$A, My_Audit!N:N, ""),
    _xlfn.TEXTJOIN(", ", TRUE, _xlpm.MyAuditVal, _xlpm.MacVal, _xlpm.CSVVal)
)</f>
        <v/>
      </c>
      <c r="N232" s="45" t="str" cm="1">
        <f t="array" ref="N232">IFERROR(_xlfn.LET(
_xlpm.CSVVal,_xlfn.XLOOKUP($A232,CSV!$A:$A,CSV!AG:AG,""),
_xlpm.MacVal,_xlfn.XLOOKUP($A232,Output_Mac!$A:$A,Output_Mac!U:U,""),
_xlpm.MyAuditVal,_xlfn.XLOOKUP($A232,My_Audit!$A:$A,My_Audit!O:O,""),
_xlfn.IFS(_xlpm.MyAuditVal&lt;&gt;"",UPPER(_xlpm.MyAuditVal),_xlpm.MacVal&lt;&gt;"",_xlpm.MacVal,_xlpm.CSVVal&lt;&gt;"",_xlpm.CSVVal
)),"")</f>
        <v/>
      </c>
      <c r="O232" s="46" t="str">
        <f>_xlfn.XLOOKUP(C232,My_Audit!B:B,My_Audit!P:P,"")&amp;""</f>
        <v/>
      </c>
      <c r="P232" s="45"/>
      <c r="Q232" s="46" t="str">
        <f>IF(LEFT(N232,4)="Pass","Nist SP 800-88",My_Audit!R232)&amp;""</f>
        <v/>
      </c>
      <c r="R232" s="45"/>
      <c r="S232" s="45"/>
      <c r="T232" s="46" t="str">
        <f>_xlfn.XLOOKUP(E232,Models!I:I,Models!J:J,"")</f>
        <v/>
      </c>
      <c r="U232" s="45"/>
      <c r="V232" s="45"/>
      <c r="W232" s="38"/>
    </row>
    <row r="233" spans="1:23">
      <c r="A233" s="45" t="str">
        <f>_xlfn.TEXTJOIN("",TRUE,Input!$B$2,ROW(My_Audit!A232))</f>
        <v>XX232</v>
      </c>
      <c r="B233" s="45" t="str">
        <f>_xlfn.TEXTJOIN("-",TRUE,"ITD",Input!$A$2,A233)</f>
        <v>ITD-SHRXXX-XX232</v>
      </c>
      <c r="C233" s="45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46" t="str" cm="1">
        <f t="array" ref="D233">IFERROR(_xlfn.LET(
_xlpm.CSVVal,_xlfn.XLOOKUP($A233,CSV!$A:$A,CSV!C:C,""),
_xlpm.MacVal,_xlfn.XLOOKUP($A233,Output_Mac!$A:$A,Output_Mac!D:D,""),
_xlpm.MyAuditVal,_xlfn.XLOOKUP($A233,My_Audit!$A:$A,My_Audit!C:C,""),
_xlfn.IFS(_xlpm.MyAuditVal&lt;&gt;"",UPPER(_xlpm.MyAuditVal),_xlpm.MacVal&lt;&gt;"",_xlpm.MacVal,_xlpm.CSVVal&lt;&gt;"",_xlpm.CSVVal
)),"")</f>
        <v/>
      </c>
      <c r="E233" s="46" t="str" cm="1">
        <f t="array" ref="E233">IFERROR(_xlfn.LET(
_xlpm.CSVVal,_xlfn.XLOOKUP($A233,CSV!$A:$A,CSV!E:E,""),
_xlpm.MacVal,_xlfn.XLOOKUP($A233,Output_Mac!$A:$A,Output_Mac!C:C,""),
_xlpm.MyAuditVal,_xlfn.XLOOKUP($A233,My_Audit!$A:$A,My_Audit!D:D,""),
_xlfn.IFS(_xlpm.MyAuditVal&lt;&gt;"",_xlpm.MyAuditVal,_xlpm.MacVal&lt;&gt;"",_xlpm.MacVal,_xlpm.CSVVal&lt;&gt;"",_xlpm.CSVVal
)),"")</f>
        <v/>
      </c>
      <c r="F233" s="45" t="str" cm="1">
        <f t="array" ref="F233">IFERROR(_xlfn.LET(
_xlpm.CSVVal,_xlfn.XLOOKUP($A233,CSV!$A:$A,CSV!F:F,""),
_xlpm.MacVal,_xlfn.XLOOKUP($A233,Output_Mac!$A:$A,Output_Mac!F:F,""),
_xlpm.MyAuditVal,_xlfn.XLOOKUP($A233,My_Audit!$A:$A,My_Audit!E:E,""),
_xlfn.IFS(_xlpm.MyAuditVal&lt;&gt;"",_xlpm.MyAuditVal,_xlpm.MacVal&lt;&gt;"",_xlpm.MacVal,_xlpm.CSVVal&lt;&gt;"",PROPER(_xlpm.CSVVal)
)),"")</f>
        <v/>
      </c>
      <c r="G233" s="45" t="str" cm="1">
        <f t="array" ref="G233">IFERROR(_xlfn.LET(
_xlpm.CSVVal,_xlfn.XLOOKUP($A233,CSV!$A:$A,CSV!G:G,""),
_xlpm.MacVal,_xlfn.XLOOKUP($A233,Output_Mac!$A:$A,Output_Mac!H:H,""),
_xlpm.MyAuditVal,_xlfn.XLOOKUP($A233,My_Audit!$A:$A,My_Audit!F:F,""),
_xlfn.IFS(_xlpm.MyAuditVal&lt;&gt;"",_xlpm.MyAuditVal,_xlpm.MacVal&lt;&gt;"",_xlpm.MacVal,_xlpm.CSVVal&lt;&gt;"",_xlpm.CSVVal
)),"")</f>
        <v/>
      </c>
      <c r="H233" s="45" t="str">
        <f>_xlfn.XLOOKUP(A233,Output_Mac!A:A,Output_Mac!I:I,"")</f>
        <v/>
      </c>
      <c r="I233" s="45" t="str" cm="1">
        <f t="array" ref="I233">IFERROR(_xlfn.LET(
_xlpm.CSVVal,_xlfn.XLOOKUP($A233,CSV!$A:$A,CSV!H:H,""),
_xlpm.MacVal,_xlfn.XLOOKUP($A233,Output_Mac!$A:$A,Output_Mac!J:J,""),
_xlpm.MyAuditVal,_xlfn.XLOOKUP($A233,My_Audit!$A:$A,My_Audit!H:H,""),
_xlfn.IFS(_xlpm.MyAuditVal&lt;&gt;"",UPPER(_xlpm.MyAuditVal),_xlpm.MacVal&lt;&gt;"",_xlpm.MacVal,_xlpm.CSVVal&lt;&gt;"",_xlpm.CSVVal
)),"")</f>
        <v/>
      </c>
      <c r="J233" s="45" t="str" cm="1">
        <f t="array" ref="J233">IFERROR(_xlfn.LET(
_xlpm.CSVVal,_xlfn.XLOOKUP($A233,CSV!$A:$A,CSV!J:J,""),
_xlpm.MacVal,_xlfn.XLOOKUP($A233,Output_Mac!$A:$A,Output_Mac!K:K,""),
_xlpm.MyAuditVal,_xlfn.XLOOKUP($A233,My_Audit!$A:$A,My_Audit!I:I,""),
_xlfn.IFS(_xlpm.MyAuditVal&lt;&gt;"",UPPER(_xlpm.MyAuditVal),_xlpm.MacVal&lt;&gt;"",_xlpm.MacVal,_xlpm.CSVVal&lt;&gt;"",_xlpm.CSVVal
)),"")</f>
        <v/>
      </c>
      <c r="K233" s="45" t="str" cm="1">
        <f t="array" ref="K233">IFERROR(_xlfn.LET(
_xlpm.CSVVal,_xlfn.XLOOKUP($A233,CSV!$A:$A,CSV!N:N,""),
_xlpm.MacVal,_xlfn.XLOOKUP($A233,Output_Mac!$A:$A,Output_Mac!L:L,""),
_xlpm.MyAuditVal,_xlfn.XLOOKUP($A233,My_Audit!$A:$A,My_Audit!J:J,""),
_xlfn.IFS(_xlpm.MyAuditVal&lt;&gt;"",UPPER(_xlpm.MyAuditVal),_xlpm.MacVal&lt;&gt;"",_xlpm.MacVal,_xlpm.CSVVal&lt;&gt;"",_xlpm.CSVVal
)),"")</f>
        <v/>
      </c>
      <c r="L233" s="46" t="str" cm="1">
        <f t="array" ref="L233">IFERROR(_xlfn.LET(
_xlpm.CSVVal,_xlfn.XLOOKUP($A233,CSV!$A:$A,CSV!Q:Q,""),
_xlpm.MacVal,_xlfn.XLOOKUP($A233,Output_Mac!$A:$A,Output_Mac!M:M,""),
_xlpm.MyAuditVal,_xlfn.XLOOKUP($A233,My_Audit!$A:$A,My_Audit!K:K,""),
_xlfn.IFS(_xlpm.MyAuditVal&lt;&gt;"",UPPER(_xlpm.MyAuditVal),_xlpm.MacVal&lt;&gt;"",_xlpm.MacVal,_xlpm.CSVVal&lt;&gt;"",_xlpm.CSVVal
)),"")</f>
        <v/>
      </c>
      <c r="M233" s="45" t="str">
        <f>_xlfn.LET(
    _xlpm.CSVVal, _xlfn.XLOOKUP($A233, CSV!$A:$A, CSV!AE:AE, ""),
    _xlpm.MacVal, _xlfn.XLOOKUP($A233, Output_Mac!$A:$A, Output_Mac!S:S, ""),
    _xlpm.MyAuditVal, _xlfn.XLOOKUP($A233, My_Audit!$A:$A, My_Audit!N:N, ""),
    _xlfn.TEXTJOIN(", ", TRUE, _xlpm.MyAuditVal, _xlpm.MacVal, _xlpm.CSVVal)
)</f>
        <v/>
      </c>
      <c r="N233" s="45" t="str" cm="1">
        <f t="array" ref="N233">IFERROR(_xlfn.LET(
_xlpm.CSVVal,_xlfn.XLOOKUP($A233,CSV!$A:$A,CSV!AG:AG,""),
_xlpm.MacVal,_xlfn.XLOOKUP($A233,Output_Mac!$A:$A,Output_Mac!U:U,""),
_xlpm.MyAuditVal,_xlfn.XLOOKUP($A233,My_Audit!$A:$A,My_Audit!O:O,""),
_xlfn.IFS(_xlpm.MyAuditVal&lt;&gt;"",UPPER(_xlpm.MyAuditVal),_xlpm.MacVal&lt;&gt;"",_xlpm.MacVal,_xlpm.CSVVal&lt;&gt;"",_xlpm.CSVVal
)),"")</f>
        <v/>
      </c>
      <c r="O233" s="46" t="str">
        <f>_xlfn.XLOOKUP(C233,My_Audit!B:B,My_Audit!P:P,"")&amp;""</f>
        <v/>
      </c>
      <c r="P233" s="45"/>
      <c r="Q233" s="46" t="str">
        <f>IF(LEFT(N233,4)="Pass","Nist SP 800-88",My_Audit!R233)&amp;""</f>
        <v/>
      </c>
      <c r="R233" s="45"/>
      <c r="S233" s="45"/>
      <c r="T233" s="46" t="str">
        <f>_xlfn.XLOOKUP(E233,Models!I:I,Models!J:J,"")</f>
        <v/>
      </c>
      <c r="U233" s="45"/>
      <c r="V233" s="45"/>
      <c r="W233" s="38"/>
    </row>
    <row r="234" spans="1:23">
      <c r="A234" s="45" t="str">
        <f>_xlfn.TEXTJOIN("",TRUE,Input!$B$2,ROW(My_Audit!A233))</f>
        <v>XX233</v>
      </c>
      <c r="B234" s="45" t="str">
        <f>_xlfn.TEXTJOIN("-",TRUE,"ITD",Input!$A$2,A234)</f>
        <v>ITD-SHRXXX-XX233</v>
      </c>
      <c r="C234" s="45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46" t="str" cm="1">
        <f t="array" ref="D234">IFERROR(_xlfn.LET(
_xlpm.CSVVal,_xlfn.XLOOKUP($A234,CSV!$A:$A,CSV!C:C,""),
_xlpm.MacVal,_xlfn.XLOOKUP($A234,Output_Mac!$A:$A,Output_Mac!D:D,""),
_xlpm.MyAuditVal,_xlfn.XLOOKUP($A234,My_Audit!$A:$A,My_Audit!C:C,""),
_xlfn.IFS(_xlpm.MyAuditVal&lt;&gt;"",UPPER(_xlpm.MyAuditVal),_xlpm.MacVal&lt;&gt;"",_xlpm.MacVal,_xlpm.CSVVal&lt;&gt;"",_xlpm.CSVVal
)),"")</f>
        <v/>
      </c>
      <c r="E234" s="46" t="str" cm="1">
        <f t="array" ref="E234">IFERROR(_xlfn.LET(
_xlpm.CSVVal,_xlfn.XLOOKUP($A234,CSV!$A:$A,CSV!E:E,""),
_xlpm.MacVal,_xlfn.XLOOKUP($A234,Output_Mac!$A:$A,Output_Mac!C:C,""),
_xlpm.MyAuditVal,_xlfn.XLOOKUP($A234,My_Audit!$A:$A,My_Audit!D:D,""),
_xlfn.IFS(_xlpm.MyAuditVal&lt;&gt;"",_xlpm.MyAuditVal,_xlpm.MacVal&lt;&gt;"",_xlpm.MacVal,_xlpm.CSVVal&lt;&gt;"",_xlpm.CSVVal
)),"")</f>
        <v/>
      </c>
      <c r="F234" s="45" t="str" cm="1">
        <f t="array" ref="F234">IFERROR(_xlfn.LET(
_xlpm.CSVVal,_xlfn.XLOOKUP($A234,CSV!$A:$A,CSV!F:F,""),
_xlpm.MacVal,_xlfn.XLOOKUP($A234,Output_Mac!$A:$A,Output_Mac!F:F,""),
_xlpm.MyAuditVal,_xlfn.XLOOKUP($A234,My_Audit!$A:$A,My_Audit!E:E,""),
_xlfn.IFS(_xlpm.MyAuditVal&lt;&gt;"",_xlpm.MyAuditVal,_xlpm.MacVal&lt;&gt;"",_xlpm.MacVal,_xlpm.CSVVal&lt;&gt;"",PROPER(_xlpm.CSVVal)
)),"")</f>
        <v/>
      </c>
      <c r="G234" s="45" t="str" cm="1">
        <f t="array" ref="G234">IFERROR(_xlfn.LET(
_xlpm.CSVVal,_xlfn.XLOOKUP($A234,CSV!$A:$A,CSV!G:G,""),
_xlpm.MacVal,_xlfn.XLOOKUP($A234,Output_Mac!$A:$A,Output_Mac!H:H,""),
_xlpm.MyAuditVal,_xlfn.XLOOKUP($A234,My_Audit!$A:$A,My_Audit!F:F,""),
_xlfn.IFS(_xlpm.MyAuditVal&lt;&gt;"",_xlpm.MyAuditVal,_xlpm.MacVal&lt;&gt;"",_xlpm.MacVal,_xlpm.CSVVal&lt;&gt;"",_xlpm.CSVVal
)),"")</f>
        <v/>
      </c>
      <c r="H234" s="45" t="str">
        <f>_xlfn.XLOOKUP(A234,Output_Mac!A:A,Output_Mac!I:I,"")</f>
        <v/>
      </c>
      <c r="I234" s="45" t="str" cm="1">
        <f t="array" ref="I234">IFERROR(_xlfn.LET(
_xlpm.CSVVal,_xlfn.XLOOKUP($A234,CSV!$A:$A,CSV!H:H,""),
_xlpm.MacVal,_xlfn.XLOOKUP($A234,Output_Mac!$A:$A,Output_Mac!J:J,""),
_xlpm.MyAuditVal,_xlfn.XLOOKUP($A234,My_Audit!$A:$A,My_Audit!H:H,""),
_xlfn.IFS(_xlpm.MyAuditVal&lt;&gt;"",UPPER(_xlpm.MyAuditVal),_xlpm.MacVal&lt;&gt;"",_xlpm.MacVal,_xlpm.CSVVal&lt;&gt;"",_xlpm.CSVVal
)),"")</f>
        <v/>
      </c>
      <c r="J234" s="45" t="str" cm="1">
        <f t="array" ref="J234">IFERROR(_xlfn.LET(
_xlpm.CSVVal,_xlfn.XLOOKUP($A234,CSV!$A:$A,CSV!J:J,""),
_xlpm.MacVal,_xlfn.XLOOKUP($A234,Output_Mac!$A:$A,Output_Mac!K:K,""),
_xlpm.MyAuditVal,_xlfn.XLOOKUP($A234,My_Audit!$A:$A,My_Audit!I:I,""),
_xlfn.IFS(_xlpm.MyAuditVal&lt;&gt;"",UPPER(_xlpm.MyAuditVal),_xlpm.MacVal&lt;&gt;"",_xlpm.MacVal,_xlpm.CSVVal&lt;&gt;"",_xlpm.CSVVal
)),"")</f>
        <v/>
      </c>
      <c r="K234" s="45" t="str" cm="1">
        <f t="array" ref="K234">IFERROR(_xlfn.LET(
_xlpm.CSVVal,_xlfn.XLOOKUP($A234,CSV!$A:$A,CSV!N:N,""),
_xlpm.MacVal,_xlfn.XLOOKUP($A234,Output_Mac!$A:$A,Output_Mac!L:L,""),
_xlpm.MyAuditVal,_xlfn.XLOOKUP($A234,My_Audit!$A:$A,My_Audit!J:J,""),
_xlfn.IFS(_xlpm.MyAuditVal&lt;&gt;"",UPPER(_xlpm.MyAuditVal),_xlpm.MacVal&lt;&gt;"",_xlpm.MacVal,_xlpm.CSVVal&lt;&gt;"",_xlpm.CSVVal
)),"")</f>
        <v/>
      </c>
      <c r="L234" s="46" t="str" cm="1">
        <f t="array" ref="L234">IFERROR(_xlfn.LET(
_xlpm.CSVVal,_xlfn.XLOOKUP($A234,CSV!$A:$A,CSV!Q:Q,""),
_xlpm.MacVal,_xlfn.XLOOKUP($A234,Output_Mac!$A:$A,Output_Mac!M:M,""),
_xlpm.MyAuditVal,_xlfn.XLOOKUP($A234,My_Audit!$A:$A,My_Audit!K:K,""),
_xlfn.IFS(_xlpm.MyAuditVal&lt;&gt;"",UPPER(_xlpm.MyAuditVal),_xlpm.MacVal&lt;&gt;"",_xlpm.MacVal,_xlpm.CSVVal&lt;&gt;"",_xlpm.CSVVal
)),"")</f>
        <v/>
      </c>
      <c r="M234" s="45" t="str">
        <f>_xlfn.LET(
    _xlpm.CSVVal, _xlfn.XLOOKUP($A234, CSV!$A:$A, CSV!AE:AE, ""),
    _xlpm.MacVal, _xlfn.XLOOKUP($A234, Output_Mac!$A:$A, Output_Mac!S:S, ""),
    _xlpm.MyAuditVal, _xlfn.XLOOKUP($A234, My_Audit!$A:$A, My_Audit!N:N, ""),
    _xlfn.TEXTJOIN(", ", TRUE, _xlpm.MyAuditVal, _xlpm.MacVal, _xlpm.CSVVal)
)</f>
        <v/>
      </c>
      <c r="N234" s="45" t="str" cm="1">
        <f t="array" ref="N234">IFERROR(_xlfn.LET(
_xlpm.CSVVal,_xlfn.XLOOKUP($A234,CSV!$A:$A,CSV!AG:AG,""),
_xlpm.MacVal,_xlfn.XLOOKUP($A234,Output_Mac!$A:$A,Output_Mac!U:U,""),
_xlpm.MyAuditVal,_xlfn.XLOOKUP($A234,My_Audit!$A:$A,My_Audit!O:O,""),
_xlfn.IFS(_xlpm.MyAuditVal&lt;&gt;"",UPPER(_xlpm.MyAuditVal),_xlpm.MacVal&lt;&gt;"",_xlpm.MacVal,_xlpm.CSVVal&lt;&gt;"",_xlpm.CSVVal
)),"")</f>
        <v/>
      </c>
      <c r="O234" s="46" t="str">
        <f>_xlfn.XLOOKUP(C234,My_Audit!B:B,My_Audit!P:P,"")&amp;""</f>
        <v/>
      </c>
      <c r="P234" s="45"/>
      <c r="Q234" s="46" t="str">
        <f>IF(LEFT(N234,4)="Pass","Nist SP 800-88",My_Audit!R234)&amp;""</f>
        <v/>
      </c>
      <c r="R234" s="45"/>
      <c r="S234" s="45"/>
      <c r="T234" s="46" t="str">
        <f>_xlfn.XLOOKUP(E234,Models!I:I,Models!J:J,"")</f>
        <v/>
      </c>
      <c r="U234" s="45"/>
      <c r="V234" s="45"/>
      <c r="W234" s="38"/>
    </row>
    <row r="235" spans="1:23">
      <c r="A235" s="45" t="str">
        <f>_xlfn.TEXTJOIN("",TRUE,Input!$B$2,ROW(My_Audit!A234))</f>
        <v>XX234</v>
      </c>
      <c r="B235" s="45" t="str">
        <f>_xlfn.TEXTJOIN("-",TRUE,"ITD",Input!$A$2,A235)</f>
        <v>ITD-SHRXXX-XX234</v>
      </c>
      <c r="C235" s="45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46" t="str" cm="1">
        <f t="array" ref="D235">IFERROR(_xlfn.LET(
_xlpm.CSVVal,_xlfn.XLOOKUP($A235,CSV!$A:$A,CSV!C:C,""),
_xlpm.MacVal,_xlfn.XLOOKUP($A235,Output_Mac!$A:$A,Output_Mac!D:D,""),
_xlpm.MyAuditVal,_xlfn.XLOOKUP($A235,My_Audit!$A:$A,My_Audit!C:C,""),
_xlfn.IFS(_xlpm.MyAuditVal&lt;&gt;"",UPPER(_xlpm.MyAuditVal),_xlpm.MacVal&lt;&gt;"",_xlpm.MacVal,_xlpm.CSVVal&lt;&gt;"",_xlpm.CSVVal
)),"")</f>
        <v/>
      </c>
      <c r="E235" s="46" t="str" cm="1">
        <f t="array" ref="E235">IFERROR(_xlfn.LET(
_xlpm.CSVVal,_xlfn.XLOOKUP($A235,CSV!$A:$A,CSV!E:E,""),
_xlpm.MacVal,_xlfn.XLOOKUP($A235,Output_Mac!$A:$A,Output_Mac!C:C,""),
_xlpm.MyAuditVal,_xlfn.XLOOKUP($A235,My_Audit!$A:$A,My_Audit!D:D,""),
_xlfn.IFS(_xlpm.MyAuditVal&lt;&gt;"",_xlpm.MyAuditVal,_xlpm.MacVal&lt;&gt;"",_xlpm.MacVal,_xlpm.CSVVal&lt;&gt;"",_xlpm.CSVVal
)),"")</f>
        <v/>
      </c>
      <c r="F235" s="45" t="str" cm="1">
        <f t="array" ref="F235">IFERROR(_xlfn.LET(
_xlpm.CSVVal,_xlfn.XLOOKUP($A235,CSV!$A:$A,CSV!F:F,""),
_xlpm.MacVal,_xlfn.XLOOKUP($A235,Output_Mac!$A:$A,Output_Mac!F:F,""),
_xlpm.MyAuditVal,_xlfn.XLOOKUP($A235,My_Audit!$A:$A,My_Audit!E:E,""),
_xlfn.IFS(_xlpm.MyAuditVal&lt;&gt;"",_xlpm.MyAuditVal,_xlpm.MacVal&lt;&gt;"",_xlpm.MacVal,_xlpm.CSVVal&lt;&gt;"",PROPER(_xlpm.CSVVal)
)),"")</f>
        <v/>
      </c>
      <c r="G235" s="45" t="str" cm="1">
        <f t="array" ref="G235">IFERROR(_xlfn.LET(
_xlpm.CSVVal,_xlfn.XLOOKUP($A235,CSV!$A:$A,CSV!G:G,""),
_xlpm.MacVal,_xlfn.XLOOKUP($A235,Output_Mac!$A:$A,Output_Mac!H:H,""),
_xlpm.MyAuditVal,_xlfn.XLOOKUP($A235,My_Audit!$A:$A,My_Audit!F:F,""),
_xlfn.IFS(_xlpm.MyAuditVal&lt;&gt;"",_xlpm.MyAuditVal,_xlpm.MacVal&lt;&gt;"",_xlpm.MacVal,_xlpm.CSVVal&lt;&gt;"",_xlpm.CSVVal
)),"")</f>
        <v/>
      </c>
      <c r="H235" s="45" t="str">
        <f>_xlfn.XLOOKUP(A235,Output_Mac!A:A,Output_Mac!I:I,"")</f>
        <v/>
      </c>
      <c r="I235" s="45" t="str" cm="1">
        <f t="array" ref="I235">IFERROR(_xlfn.LET(
_xlpm.CSVVal,_xlfn.XLOOKUP($A235,CSV!$A:$A,CSV!H:H,""),
_xlpm.MacVal,_xlfn.XLOOKUP($A235,Output_Mac!$A:$A,Output_Mac!J:J,""),
_xlpm.MyAuditVal,_xlfn.XLOOKUP($A235,My_Audit!$A:$A,My_Audit!H:H,""),
_xlfn.IFS(_xlpm.MyAuditVal&lt;&gt;"",UPPER(_xlpm.MyAuditVal),_xlpm.MacVal&lt;&gt;"",_xlpm.MacVal,_xlpm.CSVVal&lt;&gt;"",_xlpm.CSVVal
)),"")</f>
        <v/>
      </c>
      <c r="J235" s="45" t="str" cm="1">
        <f t="array" ref="J235">IFERROR(_xlfn.LET(
_xlpm.CSVVal,_xlfn.XLOOKUP($A235,CSV!$A:$A,CSV!J:J,""),
_xlpm.MacVal,_xlfn.XLOOKUP($A235,Output_Mac!$A:$A,Output_Mac!K:K,""),
_xlpm.MyAuditVal,_xlfn.XLOOKUP($A235,My_Audit!$A:$A,My_Audit!I:I,""),
_xlfn.IFS(_xlpm.MyAuditVal&lt;&gt;"",UPPER(_xlpm.MyAuditVal),_xlpm.MacVal&lt;&gt;"",_xlpm.MacVal,_xlpm.CSVVal&lt;&gt;"",_xlpm.CSVVal
)),"")</f>
        <v/>
      </c>
      <c r="K235" s="45" t="str" cm="1">
        <f t="array" ref="K235">IFERROR(_xlfn.LET(
_xlpm.CSVVal,_xlfn.XLOOKUP($A235,CSV!$A:$A,CSV!N:N,""),
_xlpm.MacVal,_xlfn.XLOOKUP($A235,Output_Mac!$A:$A,Output_Mac!L:L,""),
_xlpm.MyAuditVal,_xlfn.XLOOKUP($A235,My_Audit!$A:$A,My_Audit!J:J,""),
_xlfn.IFS(_xlpm.MyAuditVal&lt;&gt;"",UPPER(_xlpm.MyAuditVal),_xlpm.MacVal&lt;&gt;"",_xlpm.MacVal,_xlpm.CSVVal&lt;&gt;"",_xlpm.CSVVal
)),"")</f>
        <v/>
      </c>
      <c r="L235" s="46" t="str" cm="1">
        <f t="array" ref="L235">IFERROR(_xlfn.LET(
_xlpm.CSVVal,_xlfn.XLOOKUP($A235,CSV!$A:$A,CSV!Q:Q,""),
_xlpm.MacVal,_xlfn.XLOOKUP($A235,Output_Mac!$A:$A,Output_Mac!M:M,""),
_xlpm.MyAuditVal,_xlfn.XLOOKUP($A235,My_Audit!$A:$A,My_Audit!K:K,""),
_xlfn.IFS(_xlpm.MyAuditVal&lt;&gt;"",UPPER(_xlpm.MyAuditVal),_xlpm.MacVal&lt;&gt;"",_xlpm.MacVal,_xlpm.CSVVal&lt;&gt;"",_xlpm.CSVVal
)),"")</f>
        <v/>
      </c>
      <c r="M235" s="45" t="str">
        <f>_xlfn.LET(
    _xlpm.CSVVal, _xlfn.XLOOKUP($A235, CSV!$A:$A, CSV!AE:AE, ""),
    _xlpm.MacVal, _xlfn.XLOOKUP($A235, Output_Mac!$A:$A, Output_Mac!S:S, ""),
    _xlpm.MyAuditVal, _xlfn.XLOOKUP($A235, My_Audit!$A:$A, My_Audit!N:N, ""),
    _xlfn.TEXTJOIN(", ", TRUE, _xlpm.MyAuditVal, _xlpm.MacVal, _xlpm.CSVVal)
)</f>
        <v/>
      </c>
      <c r="N235" s="45" t="str" cm="1">
        <f t="array" ref="N235">IFERROR(_xlfn.LET(
_xlpm.CSVVal,_xlfn.XLOOKUP($A235,CSV!$A:$A,CSV!AG:AG,""),
_xlpm.MacVal,_xlfn.XLOOKUP($A235,Output_Mac!$A:$A,Output_Mac!U:U,""),
_xlpm.MyAuditVal,_xlfn.XLOOKUP($A235,My_Audit!$A:$A,My_Audit!O:O,""),
_xlfn.IFS(_xlpm.MyAuditVal&lt;&gt;"",UPPER(_xlpm.MyAuditVal),_xlpm.MacVal&lt;&gt;"",_xlpm.MacVal,_xlpm.CSVVal&lt;&gt;"",_xlpm.CSVVal
)),"")</f>
        <v/>
      </c>
      <c r="O235" s="46" t="str">
        <f>_xlfn.XLOOKUP(C235,My_Audit!B:B,My_Audit!P:P,"")&amp;""</f>
        <v/>
      </c>
      <c r="P235" s="45"/>
      <c r="Q235" s="46" t="str">
        <f>IF(LEFT(N235,4)="Pass","Nist SP 800-88",My_Audit!R235)&amp;""</f>
        <v/>
      </c>
      <c r="R235" s="45"/>
      <c r="S235" s="45"/>
      <c r="T235" s="46" t="str">
        <f>_xlfn.XLOOKUP(E235,Models!I:I,Models!J:J,"")</f>
        <v/>
      </c>
      <c r="U235" s="45"/>
      <c r="V235" s="45"/>
      <c r="W235" s="38"/>
    </row>
    <row r="236" spans="1:23">
      <c r="A236" s="45" t="str">
        <f>_xlfn.TEXTJOIN("",TRUE,Input!$B$2,ROW(My_Audit!A235))</f>
        <v>XX235</v>
      </c>
      <c r="B236" s="45" t="str">
        <f>_xlfn.TEXTJOIN("-",TRUE,"ITD",Input!$A$2,A236)</f>
        <v>ITD-SHRXXX-XX235</v>
      </c>
      <c r="C236" s="45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46" t="str" cm="1">
        <f t="array" ref="D236">IFERROR(_xlfn.LET(
_xlpm.CSVVal,_xlfn.XLOOKUP($A236,CSV!$A:$A,CSV!C:C,""),
_xlpm.MacVal,_xlfn.XLOOKUP($A236,Output_Mac!$A:$A,Output_Mac!D:D,""),
_xlpm.MyAuditVal,_xlfn.XLOOKUP($A236,My_Audit!$A:$A,My_Audit!C:C,""),
_xlfn.IFS(_xlpm.MyAuditVal&lt;&gt;"",UPPER(_xlpm.MyAuditVal),_xlpm.MacVal&lt;&gt;"",_xlpm.MacVal,_xlpm.CSVVal&lt;&gt;"",_xlpm.CSVVal
)),"")</f>
        <v/>
      </c>
      <c r="E236" s="46" t="str" cm="1">
        <f t="array" ref="E236">IFERROR(_xlfn.LET(
_xlpm.CSVVal,_xlfn.XLOOKUP($A236,CSV!$A:$A,CSV!E:E,""),
_xlpm.MacVal,_xlfn.XLOOKUP($A236,Output_Mac!$A:$A,Output_Mac!C:C,""),
_xlpm.MyAuditVal,_xlfn.XLOOKUP($A236,My_Audit!$A:$A,My_Audit!D:D,""),
_xlfn.IFS(_xlpm.MyAuditVal&lt;&gt;"",_xlpm.MyAuditVal,_xlpm.MacVal&lt;&gt;"",_xlpm.MacVal,_xlpm.CSVVal&lt;&gt;"",_xlpm.CSVVal
)),"")</f>
        <v/>
      </c>
      <c r="F236" s="45" t="str" cm="1">
        <f t="array" ref="F236">IFERROR(_xlfn.LET(
_xlpm.CSVVal,_xlfn.XLOOKUP($A236,CSV!$A:$A,CSV!F:F,""),
_xlpm.MacVal,_xlfn.XLOOKUP($A236,Output_Mac!$A:$A,Output_Mac!F:F,""),
_xlpm.MyAuditVal,_xlfn.XLOOKUP($A236,My_Audit!$A:$A,My_Audit!E:E,""),
_xlfn.IFS(_xlpm.MyAuditVal&lt;&gt;"",_xlpm.MyAuditVal,_xlpm.MacVal&lt;&gt;"",_xlpm.MacVal,_xlpm.CSVVal&lt;&gt;"",PROPER(_xlpm.CSVVal)
)),"")</f>
        <v/>
      </c>
      <c r="G236" s="45" t="str" cm="1">
        <f t="array" ref="G236">IFERROR(_xlfn.LET(
_xlpm.CSVVal,_xlfn.XLOOKUP($A236,CSV!$A:$A,CSV!G:G,""),
_xlpm.MacVal,_xlfn.XLOOKUP($A236,Output_Mac!$A:$A,Output_Mac!H:H,""),
_xlpm.MyAuditVal,_xlfn.XLOOKUP($A236,My_Audit!$A:$A,My_Audit!F:F,""),
_xlfn.IFS(_xlpm.MyAuditVal&lt;&gt;"",_xlpm.MyAuditVal,_xlpm.MacVal&lt;&gt;"",_xlpm.MacVal,_xlpm.CSVVal&lt;&gt;"",_xlpm.CSVVal
)),"")</f>
        <v/>
      </c>
      <c r="H236" s="45" t="str">
        <f>_xlfn.XLOOKUP(A236,Output_Mac!A:A,Output_Mac!I:I,"")</f>
        <v/>
      </c>
      <c r="I236" s="45" t="str" cm="1">
        <f t="array" ref="I236">IFERROR(_xlfn.LET(
_xlpm.CSVVal,_xlfn.XLOOKUP($A236,CSV!$A:$A,CSV!H:H,""),
_xlpm.MacVal,_xlfn.XLOOKUP($A236,Output_Mac!$A:$A,Output_Mac!J:J,""),
_xlpm.MyAuditVal,_xlfn.XLOOKUP($A236,My_Audit!$A:$A,My_Audit!H:H,""),
_xlfn.IFS(_xlpm.MyAuditVal&lt;&gt;"",UPPER(_xlpm.MyAuditVal),_xlpm.MacVal&lt;&gt;"",_xlpm.MacVal,_xlpm.CSVVal&lt;&gt;"",_xlpm.CSVVal
)),"")</f>
        <v/>
      </c>
      <c r="J236" s="45" t="str" cm="1">
        <f t="array" ref="J236">IFERROR(_xlfn.LET(
_xlpm.CSVVal,_xlfn.XLOOKUP($A236,CSV!$A:$A,CSV!J:J,""),
_xlpm.MacVal,_xlfn.XLOOKUP($A236,Output_Mac!$A:$A,Output_Mac!K:K,""),
_xlpm.MyAuditVal,_xlfn.XLOOKUP($A236,My_Audit!$A:$A,My_Audit!I:I,""),
_xlfn.IFS(_xlpm.MyAuditVal&lt;&gt;"",UPPER(_xlpm.MyAuditVal),_xlpm.MacVal&lt;&gt;"",_xlpm.MacVal,_xlpm.CSVVal&lt;&gt;"",_xlpm.CSVVal
)),"")</f>
        <v/>
      </c>
      <c r="K236" s="45" t="str" cm="1">
        <f t="array" ref="K236">IFERROR(_xlfn.LET(
_xlpm.CSVVal,_xlfn.XLOOKUP($A236,CSV!$A:$A,CSV!N:N,""),
_xlpm.MacVal,_xlfn.XLOOKUP($A236,Output_Mac!$A:$A,Output_Mac!L:L,""),
_xlpm.MyAuditVal,_xlfn.XLOOKUP($A236,My_Audit!$A:$A,My_Audit!J:J,""),
_xlfn.IFS(_xlpm.MyAuditVal&lt;&gt;"",UPPER(_xlpm.MyAuditVal),_xlpm.MacVal&lt;&gt;"",_xlpm.MacVal,_xlpm.CSVVal&lt;&gt;"",_xlpm.CSVVal
)),"")</f>
        <v/>
      </c>
      <c r="L236" s="46" t="str" cm="1">
        <f t="array" ref="L236">IFERROR(_xlfn.LET(
_xlpm.CSVVal,_xlfn.XLOOKUP($A236,CSV!$A:$A,CSV!Q:Q,""),
_xlpm.MacVal,_xlfn.XLOOKUP($A236,Output_Mac!$A:$A,Output_Mac!M:M,""),
_xlpm.MyAuditVal,_xlfn.XLOOKUP($A236,My_Audit!$A:$A,My_Audit!K:K,""),
_xlfn.IFS(_xlpm.MyAuditVal&lt;&gt;"",UPPER(_xlpm.MyAuditVal),_xlpm.MacVal&lt;&gt;"",_xlpm.MacVal,_xlpm.CSVVal&lt;&gt;"",_xlpm.CSVVal
)),"")</f>
        <v/>
      </c>
      <c r="M236" s="45" t="str">
        <f>_xlfn.LET(
    _xlpm.CSVVal, _xlfn.XLOOKUP($A236, CSV!$A:$A, CSV!AE:AE, ""),
    _xlpm.MacVal, _xlfn.XLOOKUP($A236, Output_Mac!$A:$A, Output_Mac!S:S, ""),
    _xlpm.MyAuditVal, _xlfn.XLOOKUP($A236, My_Audit!$A:$A, My_Audit!N:N, ""),
    _xlfn.TEXTJOIN(", ", TRUE, _xlpm.MyAuditVal, _xlpm.MacVal, _xlpm.CSVVal)
)</f>
        <v/>
      </c>
      <c r="N236" s="45" t="str" cm="1">
        <f t="array" ref="N236">IFERROR(_xlfn.LET(
_xlpm.CSVVal,_xlfn.XLOOKUP($A236,CSV!$A:$A,CSV!AG:AG,""),
_xlpm.MacVal,_xlfn.XLOOKUP($A236,Output_Mac!$A:$A,Output_Mac!U:U,""),
_xlpm.MyAuditVal,_xlfn.XLOOKUP($A236,My_Audit!$A:$A,My_Audit!O:O,""),
_xlfn.IFS(_xlpm.MyAuditVal&lt;&gt;"",UPPER(_xlpm.MyAuditVal),_xlpm.MacVal&lt;&gt;"",_xlpm.MacVal,_xlpm.CSVVal&lt;&gt;"",_xlpm.CSVVal
)),"")</f>
        <v/>
      </c>
      <c r="O236" s="46" t="str">
        <f>_xlfn.XLOOKUP(C236,My_Audit!B:B,My_Audit!P:P,"")&amp;""</f>
        <v/>
      </c>
      <c r="P236" s="45"/>
      <c r="Q236" s="46" t="str">
        <f>IF(LEFT(N236,4)="Pass","Nist SP 800-88",My_Audit!R236)&amp;""</f>
        <v/>
      </c>
      <c r="R236" s="45"/>
      <c r="S236" s="45"/>
      <c r="T236" s="46" t="str">
        <f>_xlfn.XLOOKUP(E236,Models!I:I,Models!J:J,"")</f>
        <v/>
      </c>
      <c r="U236" s="45"/>
      <c r="V236" s="45"/>
      <c r="W236" s="38"/>
    </row>
    <row r="237" spans="1:23">
      <c r="A237" s="45" t="str">
        <f>_xlfn.TEXTJOIN("",TRUE,Input!$B$2,ROW(My_Audit!A236))</f>
        <v>XX236</v>
      </c>
      <c r="B237" s="45" t="str">
        <f>_xlfn.TEXTJOIN("-",TRUE,"ITD",Input!$A$2,A237)</f>
        <v>ITD-SHRXXX-XX236</v>
      </c>
      <c r="C237" s="45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46" t="str" cm="1">
        <f t="array" ref="D237">IFERROR(_xlfn.LET(
_xlpm.CSVVal,_xlfn.XLOOKUP($A237,CSV!$A:$A,CSV!C:C,""),
_xlpm.MacVal,_xlfn.XLOOKUP($A237,Output_Mac!$A:$A,Output_Mac!D:D,""),
_xlpm.MyAuditVal,_xlfn.XLOOKUP($A237,My_Audit!$A:$A,My_Audit!C:C,""),
_xlfn.IFS(_xlpm.MyAuditVal&lt;&gt;"",UPPER(_xlpm.MyAuditVal),_xlpm.MacVal&lt;&gt;"",_xlpm.MacVal,_xlpm.CSVVal&lt;&gt;"",_xlpm.CSVVal
)),"")</f>
        <v/>
      </c>
      <c r="E237" s="46" t="str" cm="1">
        <f t="array" ref="E237">IFERROR(_xlfn.LET(
_xlpm.CSVVal,_xlfn.XLOOKUP($A237,CSV!$A:$A,CSV!E:E,""),
_xlpm.MacVal,_xlfn.XLOOKUP($A237,Output_Mac!$A:$A,Output_Mac!C:C,""),
_xlpm.MyAuditVal,_xlfn.XLOOKUP($A237,My_Audit!$A:$A,My_Audit!D:D,""),
_xlfn.IFS(_xlpm.MyAuditVal&lt;&gt;"",_xlpm.MyAuditVal,_xlpm.MacVal&lt;&gt;"",_xlpm.MacVal,_xlpm.CSVVal&lt;&gt;"",_xlpm.CSVVal
)),"")</f>
        <v/>
      </c>
      <c r="F237" s="45" t="str" cm="1">
        <f t="array" ref="F237">IFERROR(_xlfn.LET(
_xlpm.CSVVal,_xlfn.XLOOKUP($A237,CSV!$A:$A,CSV!F:F,""),
_xlpm.MacVal,_xlfn.XLOOKUP($A237,Output_Mac!$A:$A,Output_Mac!F:F,""),
_xlpm.MyAuditVal,_xlfn.XLOOKUP($A237,My_Audit!$A:$A,My_Audit!E:E,""),
_xlfn.IFS(_xlpm.MyAuditVal&lt;&gt;"",_xlpm.MyAuditVal,_xlpm.MacVal&lt;&gt;"",_xlpm.MacVal,_xlpm.CSVVal&lt;&gt;"",PROPER(_xlpm.CSVVal)
)),"")</f>
        <v/>
      </c>
      <c r="G237" s="45" t="str" cm="1">
        <f t="array" ref="G237">IFERROR(_xlfn.LET(
_xlpm.CSVVal,_xlfn.XLOOKUP($A237,CSV!$A:$A,CSV!G:G,""),
_xlpm.MacVal,_xlfn.XLOOKUP($A237,Output_Mac!$A:$A,Output_Mac!H:H,""),
_xlpm.MyAuditVal,_xlfn.XLOOKUP($A237,My_Audit!$A:$A,My_Audit!F:F,""),
_xlfn.IFS(_xlpm.MyAuditVal&lt;&gt;"",_xlpm.MyAuditVal,_xlpm.MacVal&lt;&gt;"",_xlpm.MacVal,_xlpm.CSVVal&lt;&gt;"",_xlpm.CSVVal
)),"")</f>
        <v/>
      </c>
      <c r="H237" s="45" t="str">
        <f>_xlfn.XLOOKUP(A237,Output_Mac!A:A,Output_Mac!I:I,"")</f>
        <v/>
      </c>
      <c r="I237" s="45" t="str" cm="1">
        <f t="array" ref="I237">IFERROR(_xlfn.LET(
_xlpm.CSVVal,_xlfn.XLOOKUP($A237,CSV!$A:$A,CSV!H:H,""),
_xlpm.MacVal,_xlfn.XLOOKUP($A237,Output_Mac!$A:$A,Output_Mac!J:J,""),
_xlpm.MyAuditVal,_xlfn.XLOOKUP($A237,My_Audit!$A:$A,My_Audit!H:H,""),
_xlfn.IFS(_xlpm.MyAuditVal&lt;&gt;"",UPPER(_xlpm.MyAuditVal),_xlpm.MacVal&lt;&gt;"",_xlpm.MacVal,_xlpm.CSVVal&lt;&gt;"",_xlpm.CSVVal
)),"")</f>
        <v/>
      </c>
      <c r="J237" s="45" t="str" cm="1">
        <f t="array" ref="J237">IFERROR(_xlfn.LET(
_xlpm.CSVVal,_xlfn.XLOOKUP($A237,CSV!$A:$A,CSV!J:J,""),
_xlpm.MacVal,_xlfn.XLOOKUP($A237,Output_Mac!$A:$A,Output_Mac!K:K,""),
_xlpm.MyAuditVal,_xlfn.XLOOKUP($A237,My_Audit!$A:$A,My_Audit!I:I,""),
_xlfn.IFS(_xlpm.MyAuditVal&lt;&gt;"",UPPER(_xlpm.MyAuditVal),_xlpm.MacVal&lt;&gt;"",_xlpm.MacVal,_xlpm.CSVVal&lt;&gt;"",_xlpm.CSVVal
)),"")</f>
        <v/>
      </c>
      <c r="K237" s="45" t="str" cm="1">
        <f t="array" ref="K237">IFERROR(_xlfn.LET(
_xlpm.CSVVal,_xlfn.XLOOKUP($A237,CSV!$A:$A,CSV!N:N,""),
_xlpm.MacVal,_xlfn.XLOOKUP($A237,Output_Mac!$A:$A,Output_Mac!L:L,""),
_xlpm.MyAuditVal,_xlfn.XLOOKUP($A237,My_Audit!$A:$A,My_Audit!J:J,""),
_xlfn.IFS(_xlpm.MyAuditVal&lt;&gt;"",UPPER(_xlpm.MyAuditVal),_xlpm.MacVal&lt;&gt;"",_xlpm.MacVal,_xlpm.CSVVal&lt;&gt;"",_xlpm.CSVVal
)),"")</f>
        <v/>
      </c>
      <c r="L237" s="46" t="str" cm="1">
        <f t="array" ref="L237">IFERROR(_xlfn.LET(
_xlpm.CSVVal,_xlfn.XLOOKUP($A237,CSV!$A:$A,CSV!Q:Q,""),
_xlpm.MacVal,_xlfn.XLOOKUP($A237,Output_Mac!$A:$A,Output_Mac!M:M,""),
_xlpm.MyAuditVal,_xlfn.XLOOKUP($A237,My_Audit!$A:$A,My_Audit!K:K,""),
_xlfn.IFS(_xlpm.MyAuditVal&lt;&gt;"",UPPER(_xlpm.MyAuditVal),_xlpm.MacVal&lt;&gt;"",_xlpm.MacVal,_xlpm.CSVVal&lt;&gt;"",_xlpm.CSVVal
)),"")</f>
        <v/>
      </c>
      <c r="M237" s="45" t="str">
        <f>_xlfn.LET(
    _xlpm.CSVVal, _xlfn.XLOOKUP($A237, CSV!$A:$A, CSV!AE:AE, ""),
    _xlpm.MacVal, _xlfn.XLOOKUP($A237, Output_Mac!$A:$A, Output_Mac!S:S, ""),
    _xlpm.MyAuditVal, _xlfn.XLOOKUP($A237, My_Audit!$A:$A, My_Audit!N:N, ""),
    _xlfn.TEXTJOIN(", ", TRUE, _xlpm.MyAuditVal, _xlpm.MacVal, _xlpm.CSVVal)
)</f>
        <v/>
      </c>
      <c r="N237" s="45" t="str" cm="1">
        <f t="array" ref="N237">IFERROR(_xlfn.LET(
_xlpm.CSVVal,_xlfn.XLOOKUP($A237,CSV!$A:$A,CSV!AG:AG,""),
_xlpm.MacVal,_xlfn.XLOOKUP($A237,Output_Mac!$A:$A,Output_Mac!U:U,""),
_xlpm.MyAuditVal,_xlfn.XLOOKUP($A237,My_Audit!$A:$A,My_Audit!O:O,""),
_xlfn.IFS(_xlpm.MyAuditVal&lt;&gt;"",UPPER(_xlpm.MyAuditVal),_xlpm.MacVal&lt;&gt;"",_xlpm.MacVal,_xlpm.CSVVal&lt;&gt;"",_xlpm.CSVVal
)),"")</f>
        <v/>
      </c>
      <c r="O237" s="46" t="str">
        <f>_xlfn.XLOOKUP(C237,My_Audit!B:B,My_Audit!P:P,"")&amp;""</f>
        <v/>
      </c>
      <c r="P237" s="45"/>
      <c r="Q237" s="46" t="str">
        <f>IF(LEFT(N237,4)="Pass","Nist SP 800-88",My_Audit!R237)&amp;""</f>
        <v/>
      </c>
      <c r="R237" s="45"/>
      <c r="S237" s="45"/>
      <c r="T237" s="46" t="str">
        <f>_xlfn.XLOOKUP(E237,Models!I:I,Models!J:J,"")</f>
        <v/>
      </c>
      <c r="U237" s="45"/>
      <c r="V237" s="45"/>
      <c r="W237" s="38"/>
    </row>
    <row r="238" spans="1:23">
      <c r="A238" s="45" t="str">
        <f>_xlfn.TEXTJOIN("",TRUE,Input!$B$2,ROW(My_Audit!A237))</f>
        <v>XX237</v>
      </c>
      <c r="B238" s="45" t="str">
        <f>_xlfn.TEXTJOIN("-",TRUE,"ITD",Input!$A$2,A238)</f>
        <v>ITD-SHRXXX-XX237</v>
      </c>
      <c r="C238" s="45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46" t="str" cm="1">
        <f t="array" ref="D238">IFERROR(_xlfn.LET(
_xlpm.CSVVal,_xlfn.XLOOKUP($A238,CSV!$A:$A,CSV!C:C,""),
_xlpm.MacVal,_xlfn.XLOOKUP($A238,Output_Mac!$A:$A,Output_Mac!D:D,""),
_xlpm.MyAuditVal,_xlfn.XLOOKUP($A238,My_Audit!$A:$A,My_Audit!C:C,""),
_xlfn.IFS(_xlpm.MyAuditVal&lt;&gt;"",UPPER(_xlpm.MyAuditVal),_xlpm.MacVal&lt;&gt;"",_xlpm.MacVal,_xlpm.CSVVal&lt;&gt;"",_xlpm.CSVVal
)),"")</f>
        <v/>
      </c>
      <c r="E238" s="46" t="str" cm="1">
        <f t="array" ref="E238">IFERROR(_xlfn.LET(
_xlpm.CSVVal,_xlfn.XLOOKUP($A238,CSV!$A:$A,CSV!E:E,""),
_xlpm.MacVal,_xlfn.XLOOKUP($A238,Output_Mac!$A:$A,Output_Mac!C:C,""),
_xlpm.MyAuditVal,_xlfn.XLOOKUP($A238,My_Audit!$A:$A,My_Audit!D:D,""),
_xlfn.IFS(_xlpm.MyAuditVal&lt;&gt;"",_xlpm.MyAuditVal,_xlpm.MacVal&lt;&gt;"",_xlpm.MacVal,_xlpm.CSVVal&lt;&gt;"",_xlpm.CSVVal
)),"")</f>
        <v/>
      </c>
      <c r="F238" s="45" t="str" cm="1">
        <f t="array" ref="F238">IFERROR(_xlfn.LET(
_xlpm.CSVVal,_xlfn.XLOOKUP($A238,CSV!$A:$A,CSV!F:F,""),
_xlpm.MacVal,_xlfn.XLOOKUP($A238,Output_Mac!$A:$A,Output_Mac!F:F,""),
_xlpm.MyAuditVal,_xlfn.XLOOKUP($A238,My_Audit!$A:$A,My_Audit!E:E,""),
_xlfn.IFS(_xlpm.MyAuditVal&lt;&gt;"",_xlpm.MyAuditVal,_xlpm.MacVal&lt;&gt;"",_xlpm.MacVal,_xlpm.CSVVal&lt;&gt;"",PROPER(_xlpm.CSVVal)
)),"")</f>
        <v/>
      </c>
      <c r="G238" s="45" t="str" cm="1">
        <f t="array" ref="G238">IFERROR(_xlfn.LET(
_xlpm.CSVVal,_xlfn.XLOOKUP($A238,CSV!$A:$A,CSV!G:G,""),
_xlpm.MacVal,_xlfn.XLOOKUP($A238,Output_Mac!$A:$A,Output_Mac!H:H,""),
_xlpm.MyAuditVal,_xlfn.XLOOKUP($A238,My_Audit!$A:$A,My_Audit!F:F,""),
_xlfn.IFS(_xlpm.MyAuditVal&lt;&gt;"",_xlpm.MyAuditVal,_xlpm.MacVal&lt;&gt;"",_xlpm.MacVal,_xlpm.CSVVal&lt;&gt;"",_xlpm.CSVVal
)),"")</f>
        <v/>
      </c>
      <c r="H238" s="45" t="str">
        <f>_xlfn.XLOOKUP(A238,Output_Mac!A:A,Output_Mac!I:I,"")</f>
        <v/>
      </c>
      <c r="I238" s="45" t="str" cm="1">
        <f t="array" ref="I238">IFERROR(_xlfn.LET(
_xlpm.CSVVal,_xlfn.XLOOKUP($A238,CSV!$A:$A,CSV!H:H,""),
_xlpm.MacVal,_xlfn.XLOOKUP($A238,Output_Mac!$A:$A,Output_Mac!J:J,""),
_xlpm.MyAuditVal,_xlfn.XLOOKUP($A238,My_Audit!$A:$A,My_Audit!H:H,""),
_xlfn.IFS(_xlpm.MyAuditVal&lt;&gt;"",UPPER(_xlpm.MyAuditVal),_xlpm.MacVal&lt;&gt;"",_xlpm.MacVal,_xlpm.CSVVal&lt;&gt;"",_xlpm.CSVVal
)),"")</f>
        <v/>
      </c>
      <c r="J238" s="45" t="str" cm="1">
        <f t="array" ref="J238">IFERROR(_xlfn.LET(
_xlpm.CSVVal,_xlfn.XLOOKUP($A238,CSV!$A:$A,CSV!J:J,""),
_xlpm.MacVal,_xlfn.XLOOKUP($A238,Output_Mac!$A:$A,Output_Mac!K:K,""),
_xlpm.MyAuditVal,_xlfn.XLOOKUP($A238,My_Audit!$A:$A,My_Audit!I:I,""),
_xlfn.IFS(_xlpm.MyAuditVal&lt;&gt;"",UPPER(_xlpm.MyAuditVal),_xlpm.MacVal&lt;&gt;"",_xlpm.MacVal,_xlpm.CSVVal&lt;&gt;"",_xlpm.CSVVal
)),"")</f>
        <v/>
      </c>
      <c r="K238" s="45" t="str" cm="1">
        <f t="array" ref="K238">IFERROR(_xlfn.LET(
_xlpm.CSVVal,_xlfn.XLOOKUP($A238,CSV!$A:$A,CSV!N:N,""),
_xlpm.MacVal,_xlfn.XLOOKUP($A238,Output_Mac!$A:$A,Output_Mac!L:L,""),
_xlpm.MyAuditVal,_xlfn.XLOOKUP($A238,My_Audit!$A:$A,My_Audit!J:J,""),
_xlfn.IFS(_xlpm.MyAuditVal&lt;&gt;"",UPPER(_xlpm.MyAuditVal),_xlpm.MacVal&lt;&gt;"",_xlpm.MacVal,_xlpm.CSVVal&lt;&gt;"",_xlpm.CSVVal
)),"")</f>
        <v/>
      </c>
      <c r="L238" s="46" t="str" cm="1">
        <f t="array" ref="L238">IFERROR(_xlfn.LET(
_xlpm.CSVVal,_xlfn.XLOOKUP($A238,CSV!$A:$A,CSV!Q:Q,""),
_xlpm.MacVal,_xlfn.XLOOKUP($A238,Output_Mac!$A:$A,Output_Mac!M:M,""),
_xlpm.MyAuditVal,_xlfn.XLOOKUP($A238,My_Audit!$A:$A,My_Audit!K:K,""),
_xlfn.IFS(_xlpm.MyAuditVal&lt;&gt;"",UPPER(_xlpm.MyAuditVal),_xlpm.MacVal&lt;&gt;"",_xlpm.MacVal,_xlpm.CSVVal&lt;&gt;"",_xlpm.CSVVal
)),"")</f>
        <v/>
      </c>
      <c r="M238" s="45" t="str">
        <f>_xlfn.LET(
    _xlpm.CSVVal, _xlfn.XLOOKUP($A238, CSV!$A:$A, CSV!AE:AE, ""),
    _xlpm.MacVal, _xlfn.XLOOKUP($A238, Output_Mac!$A:$A, Output_Mac!S:S, ""),
    _xlpm.MyAuditVal, _xlfn.XLOOKUP($A238, My_Audit!$A:$A, My_Audit!N:N, ""),
    _xlfn.TEXTJOIN(", ", TRUE, _xlpm.MyAuditVal, _xlpm.MacVal, _xlpm.CSVVal)
)</f>
        <v/>
      </c>
      <c r="N238" s="45" t="str" cm="1">
        <f t="array" ref="N238">IFERROR(_xlfn.LET(
_xlpm.CSVVal,_xlfn.XLOOKUP($A238,CSV!$A:$A,CSV!AG:AG,""),
_xlpm.MacVal,_xlfn.XLOOKUP($A238,Output_Mac!$A:$A,Output_Mac!U:U,""),
_xlpm.MyAuditVal,_xlfn.XLOOKUP($A238,My_Audit!$A:$A,My_Audit!O:O,""),
_xlfn.IFS(_xlpm.MyAuditVal&lt;&gt;"",UPPER(_xlpm.MyAuditVal),_xlpm.MacVal&lt;&gt;"",_xlpm.MacVal,_xlpm.CSVVal&lt;&gt;"",_xlpm.CSVVal
)),"")</f>
        <v/>
      </c>
      <c r="O238" s="46" t="str">
        <f>_xlfn.XLOOKUP(C238,My_Audit!B:B,My_Audit!P:P,"")&amp;""</f>
        <v/>
      </c>
      <c r="P238" s="45"/>
      <c r="Q238" s="46" t="str">
        <f>IF(LEFT(N238,4)="Pass","Nist SP 800-88",My_Audit!R238)&amp;""</f>
        <v/>
      </c>
      <c r="R238" s="45"/>
      <c r="S238" s="45"/>
      <c r="T238" s="46" t="str">
        <f>_xlfn.XLOOKUP(E238,Models!I:I,Models!J:J,"")</f>
        <v/>
      </c>
      <c r="U238" s="45"/>
      <c r="V238" s="45"/>
      <c r="W238" s="38"/>
    </row>
    <row r="239" spans="1:23">
      <c r="A239" s="45" t="str">
        <f>_xlfn.TEXTJOIN("",TRUE,Input!$B$2,ROW(My_Audit!A238))</f>
        <v>XX238</v>
      </c>
      <c r="B239" s="45" t="str">
        <f>_xlfn.TEXTJOIN("-",TRUE,"ITD",Input!$A$2,A239)</f>
        <v>ITD-SHRXXX-XX238</v>
      </c>
      <c r="C239" s="45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46" t="str" cm="1">
        <f t="array" ref="D239">IFERROR(_xlfn.LET(
_xlpm.CSVVal,_xlfn.XLOOKUP($A239,CSV!$A:$A,CSV!C:C,""),
_xlpm.MacVal,_xlfn.XLOOKUP($A239,Output_Mac!$A:$A,Output_Mac!D:D,""),
_xlpm.MyAuditVal,_xlfn.XLOOKUP($A239,My_Audit!$A:$A,My_Audit!C:C,""),
_xlfn.IFS(_xlpm.MyAuditVal&lt;&gt;"",UPPER(_xlpm.MyAuditVal),_xlpm.MacVal&lt;&gt;"",_xlpm.MacVal,_xlpm.CSVVal&lt;&gt;"",_xlpm.CSVVal
)),"")</f>
        <v/>
      </c>
      <c r="E239" s="46" t="str" cm="1">
        <f t="array" ref="E239">IFERROR(_xlfn.LET(
_xlpm.CSVVal,_xlfn.XLOOKUP($A239,CSV!$A:$A,CSV!E:E,""),
_xlpm.MacVal,_xlfn.XLOOKUP($A239,Output_Mac!$A:$A,Output_Mac!C:C,""),
_xlpm.MyAuditVal,_xlfn.XLOOKUP($A239,My_Audit!$A:$A,My_Audit!D:D,""),
_xlfn.IFS(_xlpm.MyAuditVal&lt;&gt;"",_xlpm.MyAuditVal,_xlpm.MacVal&lt;&gt;"",_xlpm.MacVal,_xlpm.CSVVal&lt;&gt;"",_xlpm.CSVVal
)),"")</f>
        <v/>
      </c>
      <c r="F239" s="45" t="str" cm="1">
        <f t="array" ref="F239">IFERROR(_xlfn.LET(
_xlpm.CSVVal,_xlfn.XLOOKUP($A239,CSV!$A:$A,CSV!F:F,""),
_xlpm.MacVal,_xlfn.XLOOKUP($A239,Output_Mac!$A:$A,Output_Mac!F:F,""),
_xlpm.MyAuditVal,_xlfn.XLOOKUP($A239,My_Audit!$A:$A,My_Audit!E:E,""),
_xlfn.IFS(_xlpm.MyAuditVal&lt;&gt;"",_xlpm.MyAuditVal,_xlpm.MacVal&lt;&gt;"",_xlpm.MacVal,_xlpm.CSVVal&lt;&gt;"",PROPER(_xlpm.CSVVal)
)),"")</f>
        <v/>
      </c>
      <c r="G239" s="45" t="str" cm="1">
        <f t="array" ref="G239">IFERROR(_xlfn.LET(
_xlpm.CSVVal,_xlfn.XLOOKUP($A239,CSV!$A:$A,CSV!G:G,""),
_xlpm.MacVal,_xlfn.XLOOKUP($A239,Output_Mac!$A:$A,Output_Mac!H:H,""),
_xlpm.MyAuditVal,_xlfn.XLOOKUP($A239,My_Audit!$A:$A,My_Audit!F:F,""),
_xlfn.IFS(_xlpm.MyAuditVal&lt;&gt;"",_xlpm.MyAuditVal,_xlpm.MacVal&lt;&gt;"",_xlpm.MacVal,_xlpm.CSVVal&lt;&gt;"",_xlpm.CSVVal
)),"")</f>
        <v/>
      </c>
      <c r="H239" s="45" t="str">
        <f>_xlfn.XLOOKUP(A239,Output_Mac!A:A,Output_Mac!I:I,"")</f>
        <v/>
      </c>
      <c r="I239" s="45" t="str" cm="1">
        <f t="array" ref="I239">IFERROR(_xlfn.LET(
_xlpm.CSVVal,_xlfn.XLOOKUP($A239,CSV!$A:$A,CSV!H:H,""),
_xlpm.MacVal,_xlfn.XLOOKUP($A239,Output_Mac!$A:$A,Output_Mac!J:J,""),
_xlpm.MyAuditVal,_xlfn.XLOOKUP($A239,My_Audit!$A:$A,My_Audit!H:H,""),
_xlfn.IFS(_xlpm.MyAuditVal&lt;&gt;"",UPPER(_xlpm.MyAuditVal),_xlpm.MacVal&lt;&gt;"",_xlpm.MacVal,_xlpm.CSVVal&lt;&gt;"",_xlpm.CSVVal
)),"")</f>
        <v/>
      </c>
      <c r="J239" s="45" t="str" cm="1">
        <f t="array" ref="J239">IFERROR(_xlfn.LET(
_xlpm.CSVVal,_xlfn.XLOOKUP($A239,CSV!$A:$A,CSV!J:J,""),
_xlpm.MacVal,_xlfn.XLOOKUP($A239,Output_Mac!$A:$A,Output_Mac!K:K,""),
_xlpm.MyAuditVal,_xlfn.XLOOKUP($A239,My_Audit!$A:$A,My_Audit!I:I,""),
_xlfn.IFS(_xlpm.MyAuditVal&lt;&gt;"",UPPER(_xlpm.MyAuditVal),_xlpm.MacVal&lt;&gt;"",_xlpm.MacVal,_xlpm.CSVVal&lt;&gt;"",_xlpm.CSVVal
)),"")</f>
        <v/>
      </c>
      <c r="K239" s="45" t="str" cm="1">
        <f t="array" ref="K239">IFERROR(_xlfn.LET(
_xlpm.CSVVal,_xlfn.XLOOKUP($A239,CSV!$A:$A,CSV!N:N,""),
_xlpm.MacVal,_xlfn.XLOOKUP($A239,Output_Mac!$A:$A,Output_Mac!L:L,""),
_xlpm.MyAuditVal,_xlfn.XLOOKUP($A239,My_Audit!$A:$A,My_Audit!J:J,""),
_xlfn.IFS(_xlpm.MyAuditVal&lt;&gt;"",UPPER(_xlpm.MyAuditVal),_xlpm.MacVal&lt;&gt;"",_xlpm.MacVal,_xlpm.CSVVal&lt;&gt;"",_xlpm.CSVVal
)),"")</f>
        <v/>
      </c>
      <c r="L239" s="46" t="str" cm="1">
        <f t="array" ref="L239">IFERROR(_xlfn.LET(
_xlpm.CSVVal,_xlfn.XLOOKUP($A239,CSV!$A:$A,CSV!Q:Q,""),
_xlpm.MacVal,_xlfn.XLOOKUP($A239,Output_Mac!$A:$A,Output_Mac!M:M,""),
_xlpm.MyAuditVal,_xlfn.XLOOKUP($A239,My_Audit!$A:$A,My_Audit!K:K,""),
_xlfn.IFS(_xlpm.MyAuditVal&lt;&gt;"",UPPER(_xlpm.MyAuditVal),_xlpm.MacVal&lt;&gt;"",_xlpm.MacVal,_xlpm.CSVVal&lt;&gt;"",_xlpm.CSVVal
)),"")</f>
        <v/>
      </c>
      <c r="M239" s="45" t="str">
        <f>_xlfn.LET(
    _xlpm.CSVVal, _xlfn.XLOOKUP($A239, CSV!$A:$A, CSV!AE:AE, ""),
    _xlpm.MacVal, _xlfn.XLOOKUP($A239, Output_Mac!$A:$A, Output_Mac!S:S, ""),
    _xlpm.MyAuditVal, _xlfn.XLOOKUP($A239, My_Audit!$A:$A, My_Audit!N:N, ""),
    _xlfn.TEXTJOIN(", ", TRUE, _xlpm.MyAuditVal, _xlpm.MacVal, _xlpm.CSVVal)
)</f>
        <v/>
      </c>
      <c r="N239" s="45" t="str" cm="1">
        <f t="array" ref="N239">IFERROR(_xlfn.LET(
_xlpm.CSVVal,_xlfn.XLOOKUP($A239,CSV!$A:$A,CSV!AG:AG,""),
_xlpm.MacVal,_xlfn.XLOOKUP($A239,Output_Mac!$A:$A,Output_Mac!U:U,""),
_xlpm.MyAuditVal,_xlfn.XLOOKUP($A239,My_Audit!$A:$A,My_Audit!O:O,""),
_xlfn.IFS(_xlpm.MyAuditVal&lt;&gt;"",UPPER(_xlpm.MyAuditVal),_xlpm.MacVal&lt;&gt;"",_xlpm.MacVal,_xlpm.CSVVal&lt;&gt;"",_xlpm.CSVVal
)),"")</f>
        <v/>
      </c>
      <c r="O239" s="46" t="str">
        <f>_xlfn.XLOOKUP(C239,My_Audit!B:B,My_Audit!P:P,"")&amp;""</f>
        <v/>
      </c>
      <c r="P239" s="45"/>
      <c r="Q239" s="46" t="str">
        <f>IF(LEFT(N239,4)="Pass","Nist SP 800-88",My_Audit!R239)&amp;""</f>
        <v/>
      </c>
      <c r="R239" s="45"/>
      <c r="S239" s="45"/>
      <c r="T239" s="46" t="str">
        <f>_xlfn.XLOOKUP(E239,Models!I:I,Models!J:J,"")</f>
        <v/>
      </c>
      <c r="U239" s="45"/>
      <c r="V239" s="45"/>
      <c r="W239" s="38"/>
    </row>
    <row r="240" spans="1:23">
      <c r="A240" s="45" t="str">
        <f>_xlfn.TEXTJOIN("",TRUE,Input!$B$2,ROW(My_Audit!A239))</f>
        <v>XX239</v>
      </c>
      <c r="B240" s="45" t="str">
        <f>_xlfn.TEXTJOIN("-",TRUE,"ITD",Input!$A$2,A240)</f>
        <v>ITD-SHRXXX-XX239</v>
      </c>
      <c r="C240" s="45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46" t="str" cm="1">
        <f t="array" ref="D240">IFERROR(_xlfn.LET(
_xlpm.CSVVal,_xlfn.XLOOKUP($A240,CSV!$A:$A,CSV!C:C,""),
_xlpm.MacVal,_xlfn.XLOOKUP($A240,Output_Mac!$A:$A,Output_Mac!D:D,""),
_xlpm.MyAuditVal,_xlfn.XLOOKUP($A240,My_Audit!$A:$A,My_Audit!C:C,""),
_xlfn.IFS(_xlpm.MyAuditVal&lt;&gt;"",UPPER(_xlpm.MyAuditVal),_xlpm.MacVal&lt;&gt;"",_xlpm.MacVal,_xlpm.CSVVal&lt;&gt;"",_xlpm.CSVVal
)),"")</f>
        <v/>
      </c>
      <c r="E240" s="46" t="str" cm="1">
        <f t="array" ref="E240">IFERROR(_xlfn.LET(
_xlpm.CSVVal,_xlfn.XLOOKUP($A240,CSV!$A:$A,CSV!E:E,""),
_xlpm.MacVal,_xlfn.XLOOKUP($A240,Output_Mac!$A:$A,Output_Mac!C:C,""),
_xlpm.MyAuditVal,_xlfn.XLOOKUP($A240,My_Audit!$A:$A,My_Audit!D:D,""),
_xlfn.IFS(_xlpm.MyAuditVal&lt;&gt;"",_xlpm.MyAuditVal,_xlpm.MacVal&lt;&gt;"",_xlpm.MacVal,_xlpm.CSVVal&lt;&gt;"",_xlpm.CSVVal
)),"")</f>
        <v/>
      </c>
      <c r="F240" s="45" t="str" cm="1">
        <f t="array" ref="F240">IFERROR(_xlfn.LET(
_xlpm.CSVVal,_xlfn.XLOOKUP($A240,CSV!$A:$A,CSV!F:F,""),
_xlpm.MacVal,_xlfn.XLOOKUP($A240,Output_Mac!$A:$A,Output_Mac!F:F,""),
_xlpm.MyAuditVal,_xlfn.XLOOKUP($A240,My_Audit!$A:$A,My_Audit!E:E,""),
_xlfn.IFS(_xlpm.MyAuditVal&lt;&gt;"",_xlpm.MyAuditVal,_xlpm.MacVal&lt;&gt;"",_xlpm.MacVal,_xlpm.CSVVal&lt;&gt;"",PROPER(_xlpm.CSVVal)
)),"")</f>
        <v/>
      </c>
      <c r="G240" s="45" t="str" cm="1">
        <f t="array" ref="G240">IFERROR(_xlfn.LET(
_xlpm.CSVVal,_xlfn.XLOOKUP($A240,CSV!$A:$A,CSV!G:G,""),
_xlpm.MacVal,_xlfn.XLOOKUP($A240,Output_Mac!$A:$A,Output_Mac!H:H,""),
_xlpm.MyAuditVal,_xlfn.XLOOKUP($A240,My_Audit!$A:$A,My_Audit!F:F,""),
_xlfn.IFS(_xlpm.MyAuditVal&lt;&gt;"",_xlpm.MyAuditVal,_xlpm.MacVal&lt;&gt;"",_xlpm.MacVal,_xlpm.CSVVal&lt;&gt;"",_xlpm.CSVVal
)),"")</f>
        <v/>
      </c>
      <c r="H240" s="45" t="str">
        <f>_xlfn.XLOOKUP(A240,Output_Mac!A:A,Output_Mac!I:I,"")</f>
        <v/>
      </c>
      <c r="I240" s="45" t="str" cm="1">
        <f t="array" ref="I240">IFERROR(_xlfn.LET(
_xlpm.CSVVal,_xlfn.XLOOKUP($A240,CSV!$A:$A,CSV!H:H,""),
_xlpm.MacVal,_xlfn.XLOOKUP($A240,Output_Mac!$A:$A,Output_Mac!J:J,""),
_xlpm.MyAuditVal,_xlfn.XLOOKUP($A240,My_Audit!$A:$A,My_Audit!H:H,""),
_xlfn.IFS(_xlpm.MyAuditVal&lt;&gt;"",UPPER(_xlpm.MyAuditVal),_xlpm.MacVal&lt;&gt;"",_xlpm.MacVal,_xlpm.CSVVal&lt;&gt;"",_xlpm.CSVVal
)),"")</f>
        <v/>
      </c>
      <c r="J240" s="45" t="str" cm="1">
        <f t="array" ref="J240">IFERROR(_xlfn.LET(
_xlpm.CSVVal,_xlfn.XLOOKUP($A240,CSV!$A:$A,CSV!J:J,""),
_xlpm.MacVal,_xlfn.XLOOKUP($A240,Output_Mac!$A:$A,Output_Mac!K:K,""),
_xlpm.MyAuditVal,_xlfn.XLOOKUP($A240,My_Audit!$A:$A,My_Audit!I:I,""),
_xlfn.IFS(_xlpm.MyAuditVal&lt;&gt;"",UPPER(_xlpm.MyAuditVal),_xlpm.MacVal&lt;&gt;"",_xlpm.MacVal,_xlpm.CSVVal&lt;&gt;"",_xlpm.CSVVal
)),"")</f>
        <v/>
      </c>
      <c r="K240" s="45" t="str" cm="1">
        <f t="array" ref="K240">IFERROR(_xlfn.LET(
_xlpm.CSVVal,_xlfn.XLOOKUP($A240,CSV!$A:$A,CSV!N:N,""),
_xlpm.MacVal,_xlfn.XLOOKUP($A240,Output_Mac!$A:$A,Output_Mac!L:L,""),
_xlpm.MyAuditVal,_xlfn.XLOOKUP($A240,My_Audit!$A:$A,My_Audit!J:J,""),
_xlfn.IFS(_xlpm.MyAuditVal&lt;&gt;"",UPPER(_xlpm.MyAuditVal),_xlpm.MacVal&lt;&gt;"",_xlpm.MacVal,_xlpm.CSVVal&lt;&gt;"",_xlpm.CSVVal
)),"")</f>
        <v/>
      </c>
      <c r="L240" s="46" t="str" cm="1">
        <f t="array" ref="L240">IFERROR(_xlfn.LET(
_xlpm.CSVVal,_xlfn.XLOOKUP($A240,CSV!$A:$A,CSV!Q:Q,""),
_xlpm.MacVal,_xlfn.XLOOKUP($A240,Output_Mac!$A:$A,Output_Mac!M:M,""),
_xlpm.MyAuditVal,_xlfn.XLOOKUP($A240,My_Audit!$A:$A,My_Audit!K:K,""),
_xlfn.IFS(_xlpm.MyAuditVal&lt;&gt;"",UPPER(_xlpm.MyAuditVal),_xlpm.MacVal&lt;&gt;"",_xlpm.MacVal,_xlpm.CSVVal&lt;&gt;"",_xlpm.CSVVal
)),"")</f>
        <v/>
      </c>
      <c r="M240" s="45" t="str">
        <f>_xlfn.LET(
    _xlpm.CSVVal, _xlfn.XLOOKUP($A240, CSV!$A:$A, CSV!AE:AE, ""),
    _xlpm.MacVal, _xlfn.XLOOKUP($A240, Output_Mac!$A:$A, Output_Mac!S:S, ""),
    _xlpm.MyAuditVal, _xlfn.XLOOKUP($A240, My_Audit!$A:$A, My_Audit!N:N, ""),
    _xlfn.TEXTJOIN(", ", TRUE, _xlpm.MyAuditVal, _xlpm.MacVal, _xlpm.CSVVal)
)</f>
        <v/>
      </c>
      <c r="N240" s="45" t="str" cm="1">
        <f t="array" ref="N240">IFERROR(_xlfn.LET(
_xlpm.CSVVal,_xlfn.XLOOKUP($A240,CSV!$A:$A,CSV!AG:AG,""),
_xlpm.MacVal,_xlfn.XLOOKUP($A240,Output_Mac!$A:$A,Output_Mac!U:U,""),
_xlpm.MyAuditVal,_xlfn.XLOOKUP($A240,My_Audit!$A:$A,My_Audit!O:O,""),
_xlfn.IFS(_xlpm.MyAuditVal&lt;&gt;"",UPPER(_xlpm.MyAuditVal),_xlpm.MacVal&lt;&gt;"",_xlpm.MacVal,_xlpm.CSVVal&lt;&gt;"",_xlpm.CSVVal
)),"")</f>
        <v/>
      </c>
      <c r="O240" s="46" t="str">
        <f>_xlfn.XLOOKUP(C240,My_Audit!B:B,My_Audit!P:P,"")&amp;""</f>
        <v/>
      </c>
      <c r="P240" s="45"/>
      <c r="Q240" s="46" t="str">
        <f>IF(LEFT(N240,4)="Pass","Nist SP 800-88",My_Audit!R240)&amp;""</f>
        <v/>
      </c>
      <c r="R240" s="45"/>
      <c r="S240" s="45"/>
      <c r="T240" s="46" t="str">
        <f>_xlfn.XLOOKUP(E240,Models!I:I,Models!J:J,"")</f>
        <v/>
      </c>
      <c r="U240" s="45"/>
      <c r="V240" s="45"/>
      <c r="W240" s="38"/>
    </row>
    <row r="241" spans="1:23">
      <c r="A241" s="45" t="str">
        <f>_xlfn.TEXTJOIN("",TRUE,Input!$B$2,ROW(My_Audit!A240))</f>
        <v>XX240</v>
      </c>
      <c r="B241" s="45" t="str">
        <f>_xlfn.TEXTJOIN("-",TRUE,"ITD",Input!$A$2,A241)</f>
        <v>ITD-SHRXXX-XX240</v>
      </c>
      <c r="C241" s="45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46" t="str" cm="1">
        <f t="array" ref="D241">IFERROR(_xlfn.LET(
_xlpm.CSVVal,_xlfn.XLOOKUP($A241,CSV!$A:$A,CSV!C:C,""),
_xlpm.MacVal,_xlfn.XLOOKUP($A241,Output_Mac!$A:$A,Output_Mac!D:D,""),
_xlpm.MyAuditVal,_xlfn.XLOOKUP($A241,My_Audit!$A:$A,My_Audit!C:C,""),
_xlfn.IFS(_xlpm.MyAuditVal&lt;&gt;"",UPPER(_xlpm.MyAuditVal),_xlpm.MacVal&lt;&gt;"",_xlpm.MacVal,_xlpm.CSVVal&lt;&gt;"",_xlpm.CSVVal
)),"")</f>
        <v/>
      </c>
      <c r="E241" s="46" t="str" cm="1">
        <f t="array" ref="E241">IFERROR(_xlfn.LET(
_xlpm.CSVVal,_xlfn.XLOOKUP($A241,CSV!$A:$A,CSV!E:E,""),
_xlpm.MacVal,_xlfn.XLOOKUP($A241,Output_Mac!$A:$A,Output_Mac!C:C,""),
_xlpm.MyAuditVal,_xlfn.XLOOKUP($A241,My_Audit!$A:$A,My_Audit!D:D,""),
_xlfn.IFS(_xlpm.MyAuditVal&lt;&gt;"",_xlpm.MyAuditVal,_xlpm.MacVal&lt;&gt;"",_xlpm.MacVal,_xlpm.CSVVal&lt;&gt;"",_xlpm.CSVVal
)),"")</f>
        <v/>
      </c>
      <c r="F241" s="45" t="str" cm="1">
        <f t="array" ref="F241">IFERROR(_xlfn.LET(
_xlpm.CSVVal,_xlfn.XLOOKUP($A241,CSV!$A:$A,CSV!F:F,""),
_xlpm.MacVal,_xlfn.XLOOKUP($A241,Output_Mac!$A:$A,Output_Mac!F:F,""),
_xlpm.MyAuditVal,_xlfn.XLOOKUP($A241,My_Audit!$A:$A,My_Audit!E:E,""),
_xlfn.IFS(_xlpm.MyAuditVal&lt;&gt;"",_xlpm.MyAuditVal,_xlpm.MacVal&lt;&gt;"",_xlpm.MacVal,_xlpm.CSVVal&lt;&gt;"",PROPER(_xlpm.CSVVal)
)),"")</f>
        <v/>
      </c>
      <c r="G241" s="45" t="str" cm="1">
        <f t="array" ref="G241">IFERROR(_xlfn.LET(
_xlpm.CSVVal,_xlfn.XLOOKUP($A241,CSV!$A:$A,CSV!G:G,""),
_xlpm.MacVal,_xlfn.XLOOKUP($A241,Output_Mac!$A:$A,Output_Mac!H:H,""),
_xlpm.MyAuditVal,_xlfn.XLOOKUP($A241,My_Audit!$A:$A,My_Audit!F:F,""),
_xlfn.IFS(_xlpm.MyAuditVal&lt;&gt;"",_xlpm.MyAuditVal,_xlpm.MacVal&lt;&gt;"",_xlpm.MacVal,_xlpm.CSVVal&lt;&gt;"",_xlpm.CSVVal
)),"")</f>
        <v/>
      </c>
      <c r="H241" s="45" t="str">
        <f>_xlfn.XLOOKUP(A241,Output_Mac!A:A,Output_Mac!I:I,"")</f>
        <v/>
      </c>
      <c r="I241" s="45" t="str" cm="1">
        <f t="array" ref="I241">IFERROR(_xlfn.LET(
_xlpm.CSVVal,_xlfn.XLOOKUP($A241,CSV!$A:$A,CSV!H:H,""),
_xlpm.MacVal,_xlfn.XLOOKUP($A241,Output_Mac!$A:$A,Output_Mac!J:J,""),
_xlpm.MyAuditVal,_xlfn.XLOOKUP($A241,My_Audit!$A:$A,My_Audit!H:H,""),
_xlfn.IFS(_xlpm.MyAuditVal&lt;&gt;"",UPPER(_xlpm.MyAuditVal),_xlpm.MacVal&lt;&gt;"",_xlpm.MacVal,_xlpm.CSVVal&lt;&gt;"",_xlpm.CSVVal
)),"")</f>
        <v/>
      </c>
      <c r="J241" s="45" t="str" cm="1">
        <f t="array" ref="J241">IFERROR(_xlfn.LET(
_xlpm.CSVVal,_xlfn.XLOOKUP($A241,CSV!$A:$A,CSV!J:J,""),
_xlpm.MacVal,_xlfn.XLOOKUP($A241,Output_Mac!$A:$A,Output_Mac!K:K,""),
_xlpm.MyAuditVal,_xlfn.XLOOKUP($A241,My_Audit!$A:$A,My_Audit!I:I,""),
_xlfn.IFS(_xlpm.MyAuditVal&lt;&gt;"",UPPER(_xlpm.MyAuditVal),_xlpm.MacVal&lt;&gt;"",_xlpm.MacVal,_xlpm.CSVVal&lt;&gt;"",_xlpm.CSVVal
)),"")</f>
        <v/>
      </c>
      <c r="K241" s="45" t="str" cm="1">
        <f t="array" ref="K241">IFERROR(_xlfn.LET(
_xlpm.CSVVal,_xlfn.XLOOKUP($A241,CSV!$A:$A,CSV!N:N,""),
_xlpm.MacVal,_xlfn.XLOOKUP($A241,Output_Mac!$A:$A,Output_Mac!L:L,""),
_xlpm.MyAuditVal,_xlfn.XLOOKUP($A241,My_Audit!$A:$A,My_Audit!J:J,""),
_xlfn.IFS(_xlpm.MyAuditVal&lt;&gt;"",UPPER(_xlpm.MyAuditVal),_xlpm.MacVal&lt;&gt;"",_xlpm.MacVal,_xlpm.CSVVal&lt;&gt;"",_xlpm.CSVVal
)),"")</f>
        <v/>
      </c>
      <c r="L241" s="46" t="str" cm="1">
        <f t="array" ref="L241">IFERROR(_xlfn.LET(
_xlpm.CSVVal,_xlfn.XLOOKUP($A241,CSV!$A:$A,CSV!Q:Q,""),
_xlpm.MacVal,_xlfn.XLOOKUP($A241,Output_Mac!$A:$A,Output_Mac!M:M,""),
_xlpm.MyAuditVal,_xlfn.XLOOKUP($A241,My_Audit!$A:$A,My_Audit!K:K,""),
_xlfn.IFS(_xlpm.MyAuditVal&lt;&gt;"",UPPER(_xlpm.MyAuditVal),_xlpm.MacVal&lt;&gt;"",_xlpm.MacVal,_xlpm.CSVVal&lt;&gt;"",_xlpm.CSVVal
)),"")</f>
        <v/>
      </c>
      <c r="M241" s="45" t="str">
        <f>_xlfn.LET(
    _xlpm.CSVVal, _xlfn.XLOOKUP($A241, CSV!$A:$A, CSV!AE:AE, ""),
    _xlpm.MacVal, _xlfn.XLOOKUP($A241, Output_Mac!$A:$A, Output_Mac!S:S, ""),
    _xlpm.MyAuditVal, _xlfn.XLOOKUP($A241, My_Audit!$A:$A, My_Audit!N:N, ""),
    _xlfn.TEXTJOIN(", ", TRUE, _xlpm.MyAuditVal, _xlpm.MacVal, _xlpm.CSVVal)
)</f>
        <v/>
      </c>
      <c r="N241" s="45" t="str" cm="1">
        <f t="array" ref="N241">IFERROR(_xlfn.LET(
_xlpm.CSVVal,_xlfn.XLOOKUP($A241,CSV!$A:$A,CSV!AG:AG,""),
_xlpm.MacVal,_xlfn.XLOOKUP($A241,Output_Mac!$A:$A,Output_Mac!U:U,""),
_xlpm.MyAuditVal,_xlfn.XLOOKUP($A241,My_Audit!$A:$A,My_Audit!O:O,""),
_xlfn.IFS(_xlpm.MyAuditVal&lt;&gt;"",UPPER(_xlpm.MyAuditVal),_xlpm.MacVal&lt;&gt;"",_xlpm.MacVal,_xlpm.CSVVal&lt;&gt;"",_xlpm.CSVVal
)),"")</f>
        <v/>
      </c>
      <c r="O241" s="46" t="str">
        <f>_xlfn.XLOOKUP(C241,My_Audit!B:B,My_Audit!P:P,"")&amp;""</f>
        <v/>
      </c>
      <c r="P241" s="45"/>
      <c r="Q241" s="46" t="str">
        <f>IF(LEFT(N241,4)="Pass","Nist SP 800-88",My_Audit!R241)&amp;""</f>
        <v/>
      </c>
      <c r="R241" s="45"/>
      <c r="S241" s="45"/>
      <c r="T241" s="46" t="str">
        <f>_xlfn.XLOOKUP(E241,Models!I:I,Models!J:J,"")</f>
        <v/>
      </c>
      <c r="U241" s="45"/>
      <c r="V241" s="45"/>
      <c r="W241" s="38"/>
    </row>
    <row r="242" spans="1:23">
      <c r="A242" s="45" t="str">
        <f>_xlfn.TEXTJOIN("",TRUE,Input!$B$2,ROW(My_Audit!A241))</f>
        <v>XX241</v>
      </c>
      <c r="B242" s="45" t="str">
        <f>_xlfn.TEXTJOIN("-",TRUE,"ITD",Input!$A$2,A242)</f>
        <v>ITD-SHRXXX-XX241</v>
      </c>
      <c r="C242" s="45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46" t="str" cm="1">
        <f t="array" ref="D242">IFERROR(_xlfn.LET(
_xlpm.CSVVal,_xlfn.XLOOKUP($A242,CSV!$A:$A,CSV!C:C,""),
_xlpm.MacVal,_xlfn.XLOOKUP($A242,Output_Mac!$A:$A,Output_Mac!D:D,""),
_xlpm.MyAuditVal,_xlfn.XLOOKUP($A242,My_Audit!$A:$A,My_Audit!C:C,""),
_xlfn.IFS(_xlpm.MyAuditVal&lt;&gt;"",UPPER(_xlpm.MyAuditVal),_xlpm.MacVal&lt;&gt;"",_xlpm.MacVal,_xlpm.CSVVal&lt;&gt;"",_xlpm.CSVVal
)),"")</f>
        <v/>
      </c>
      <c r="E242" s="46" t="str" cm="1">
        <f t="array" ref="E242">IFERROR(_xlfn.LET(
_xlpm.CSVVal,_xlfn.XLOOKUP($A242,CSV!$A:$A,CSV!E:E,""),
_xlpm.MacVal,_xlfn.XLOOKUP($A242,Output_Mac!$A:$A,Output_Mac!C:C,""),
_xlpm.MyAuditVal,_xlfn.XLOOKUP($A242,My_Audit!$A:$A,My_Audit!D:D,""),
_xlfn.IFS(_xlpm.MyAuditVal&lt;&gt;"",_xlpm.MyAuditVal,_xlpm.MacVal&lt;&gt;"",_xlpm.MacVal,_xlpm.CSVVal&lt;&gt;"",_xlpm.CSVVal
)),"")</f>
        <v/>
      </c>
      <c r="F242" s="45" t="str" cm="1">
        <f t="array" ref="F242">IFERROR(_xlfn.LET(
_xlpm.CSVVal,_xlfn.XLOOKUP($A242,CSV!$A:$A,CSV!F:F,""),
_xlpm.MacVal,_xlfn.XLOOKUP($A242,Output_Mac!$A:$A,Output_Mac!F:F,""),
_xlpm.MyAuditVal,_xlfn.XLOOKUP($A242,My_Audit!$A:$A,My_Audit!E:E,""),
_xlfn.IFS(_xlpm.MyAuditVal&lt;&gt;"",_xlpm.MyAuditVal,_xlpm.MacVal&lt;&gt;"",_xlpm.MacVal,_xlpm.CSVVal&lt;&gt;"",PROPER(_xlpm.CSVVal)
)),"")</f>
        <v/>
      </c>
      <c r="G242" s="45" t="str" cm="1">
        <f t="array" ref="G242">IFERROR(_xlfn.LET(
_xlpm.CSVVal,_xlfn.XLOOKUP($A242,CSV!$A:$A,CSV!G:G,""),
_xlpm.MacVal,_xlfn.XLOOKUP($A242,Output_Mac!$A:$A,Output_Mac!H:H,""),
_xlpm.MyAuditVal,_xlfn.XLOOKUP($A242,My_Audit!$A:$A,My_Audit!F:F,""),
_xlfn.IFS(_xlpm.MyAuditVal&lt;&gt;"",_xlpm.MyAuditVal,_xlpm.MacVal&lt;&gt;"",_xlpm.MacVal,_xlpm.CSVVal&lt;&gt;"",_xlpm.CSVVal
)),"")</f>
        <v/>
      </c>
      <c r="H242" s="45" t="str">
        <f>_xlfn.XLOOKUP(A242,Output_Mac!A:A,Output_Mac!I:I,"")</f>
        <v/>
      </c>
      <c r="I242" s="45" t="str" cm="1">
        <f t="array" ref="I242">IFERROR(_xlfn.LET(
_xlpm.CSVVal,_xlfn.XLOOKUP($A242,CSV!$A:$A,CSV!H:H,""),
_xlpm.MacVal,_xlfn.XLOOKUP($A242,Output_Mac!$A:$A,Output_Mac!J:J,""),
_xlpm.MyAuditVal,_xlfn.XLOOKUP($A242,My_Audit!$A:$A,My_Audit!H:H,""),
_xlfn.IFS(_xlpm.MyAuditVal&lt;&gt;"",UPPER(_xlpm.MyAuditVal),_xlpm.MacVal&lt;&gt;"",_xlpm.MacVal,_xlpm.CSVVal&lt;&gt;"",_xlpm.CSVVal
)),"")</f>
        <v/>
      </c>
      <c r="J242" s="45" t="str" cm="1">
        <f t="array" ref="J242">IFERROR(_xlfn.LET(
_xlpm.CSVVal,_xlfn.XLOOKUP($A242,CSV!$A:$A,CSV!J:J,""),
_xlpm.MacVal,_xlfn.XLOOKUP($A242,Output_Mac!$A:$A,Output_Mac!K:K,""),
_xlpm.MyAuditVal,_xlfn.XLOOKUP($A242,My_Audit!$A:$A,My_Audit!I:I,""),
_xlfn.IFS(_xlpm.MyAuditVal&lt;&gt;"",UPPER(_xlpm.MyAuditVal),_xlpm.MacVal&lt;&gt;"",_xlpm.MacVal,_xlpm.CSVVal&lt;&gt;"",_xlpm.CSVVal
)),"")</f>
        <v/>
      </c>
      <c r="K242" s="45" t="str" cm="1">
        <f t="array" ref="K242">IFERROR(_xlfn.LET(
_xlpm.CSVVal,_xlfn.XLOOKUP($A242,CSV!$A:$A,CSV!N:N,""),
_xlpm.MacVal,_xlfn.XLOOKUP($A242,Output_Mac!$A:$A,Output_Mac!L:L,""),
_xlpm.MyAuditVal,_xlfn.XLOOKUP($A242,My_Audit!$A:$A,My_Audit!J:J,""),
_xlfn.IFS(_xlpm.MyAuditVal&lt;&gt;"",UPPER(_xlpm.MyAuditVal),_xlpm.MacVal&lt;&gt;"",_xlpm.MacVal,_xlpm.CSVVal&lt;&gt;"",_xlpm.CSVVal
)),"")</f>
        <v/>
      </c>
      <c r="L242" s="46" t="str" cm="1">
        <f t="array" ref="L242">IFERROR(_xlfn.LET(
_xlpm.CSVVal,_xlfn.XLOOKUP($A242,CSV!$A:$A,CSV!Q:Q,""),
_xlpm.MacVal,_xlfn.XLOOKUP($A242,Output_Mac!$A:$A,Output_Mac!M:M,""),
_xlpm.MyAuditVal,_xlfn.XLOOKUP($A242,My_Audit!$A:$A,My_Audit!K:K,""),
_xlfn.IFS(_xlpm.MyAuditVal&lt;&gt;"",UPPER(_xlpm.MyAuditVal),_xlpm.MacVal&lt;&gt;"",_xlpm.MacVal,_xlpm.CSVVal&lt;&gt;"",_xlpm.CSVVal
)),"")</f>
        <v/>
      </c>
      <c r="M242" s="45" t="str">
        <f>_xlfn.LET(
    _xlpm.CSVVal, _xlfn.XLOOKUP($A242, CSV!$A:$A, CSV!AE:AE, ""),
    _xlpm.MacVal, _xlfn.XLOOKUP($A242, Output_Mac!$A:$A, Output_Mac!S:S, ""),
    _xlpm.MyAuditVal, _xlfn.XLOOKUP($A242, My_Audit!$A:$A, My_Audit!N:N, ""),
    _xlfn.TEXTJOIN(", ", TRUE, _xlpm.MyAuditVal, _xlpm.MacVal, _xlpm.CSVVal)
)</f>
        <v/>
      </c>
      <c r="N242" s="45" t="str" cm="1">
        <f t="array" ref="N242">IFERROR(_xlfn.LET(
_xlpm.CSVVal,_xlfn.XLOOKUP($A242,CSV!$A:$A,CSV!AG:AG,""),
_xlpm.MacVal,_xlfn.XLOOKUP($A242,Output_Mac!$A:$A,Output_Mac!U:U,""),
_xlpm.MyAuditVal,_xlfn.XLOOKUP($A242,My_Audit!$A:$A,My_Audit!O:O,""),
_xlfn.IFS(_xlpm.MyAuditVal&lt;&gt;"",UPPER(_xlpm.MyAuditVal),_xlpm.MacVal&lt;&gt;"",_xlpm.MacVal,_xlpm.CSVVal&lt;&gt;"",_xlpm.CSVVal
)),"")</f>
        <v/>
      </c>
      <c r="O242" s="46" t="str">
        <f>_xlfn.XLOOKUP(C242,My_Audit!B:B,My_Audit!P:P,"")&amp;""</f>
        <v/>
      </c>
      <c r="P242" s="45"/>
      <c r="Q242" s="46" t="str">
        <f>IF(LEFT(N242,4)="Pass","Nist SP 800-88",My_Audit!R242)&amp;""</f>
        <v/>
      </c>
      <c r="R242" s="45"/>
      <c r="S242" s="45"/>
      <c r="T242" s="46" t="str">
        <f>_xlfn.XLOOKUP(E242,Models!I:I,Models!J:J,"")</f>
        <v/>
      </c>
      <c r="U242" s="45"/>
      <c r="V242" s="45"/>
      <c r="W242" s="38"/>
    </row>
    <row r="243" spans="1:23">
      <c r="A243" s="45" t="str">
        <f>_xlfn.TEXTJOIN("",TRUE,Input!$B$2,ROW(My_Audit!A242))</f>
        <v>XX242</v>
      </c>
      <c r="B243" s="45" t="str">
        <f>_xlfn.TEXTJOIN("-",TRUE,"ITD",Input!$A$2,A243)</f>
        <v>ITD-SHRXXX-XX242</v>
      </c>
      <c r="C243" s="45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46" t="str" cm="1">
        <f t="array" ref="D243">IFERROR(_xlfn.LET(
_xlpm.CSVVal,_xlfn.XLOOKUP($A243,CSV!$A:$A,CSV!C:C,""),
_xlpm.MacVal,_xlfn.XLOOKUP($A243,Output_Mac!$A:$A,Output_Mac!D:D,""),
_xlpm.MyAuditVal,_xlfn.XLOOKUP($A243,My_Audit!$A:$A,My_Audit!C:C,""),
_xlfn.IFS(_xlpm.MyAuditVal&lt;&gt;"",UPPER(_xlpm.MyAuditVal),_xlpm.MacVal&lt;&gt;"",_xlpm.MacVal,_xlpm.CSVVal&lt;&gt;"",_xlpm.CSVVal
)),"")</f>
        <v/>
      </c>
      <c r="E243" s="46" t="str" cm="1">
        <f t="array" ref="E243">IFERROR(_xlfn.LET(
_xlpm.CSVVal,_xlfn.XLOOKUP($A243,CSV!$A:$A,CSV!E:E,""),
_xlpm.MacVal,_xlfn.XLOOKUP($A243,Output_Mac!$A:$A,Output_Mac!C:C,""),
_xlpm.MyAuditVal,_xlfn.XLOOKUP($A243,My_Audit!$A:$A,My_Audit!D:D,""),
_xlfn.IFS(_xlpm.MyAuditVal&lt;&gt;"",_xlpm.MyAuditVal,_xlpm.MacVal&lt;&gt;"",_xlpm.MacVal,_xlpm.CSVVal&lt;&gt;"",_xlpm.CSVVal
)),"")</f>
        <v/>
      </c>
      <c r="F243" s="45" t="str" cm="1">
        <f t="array" ref="F243">IFERROR(_xlfn.LET(
_xlpm.CSVVal,_xlfn.XLOOKUP($A243,CSV!$A:$A,CSV!F:F,""),
_xlpm.MacVal,_xlfn.XLOOKUP($A243,Output_Mac!$A:$A,Output_Mac!F:F,""),
_xlpm.MyAuditVal,_xlfn.XLOOKUP($A243,My_Audit!$A:$A,My_Audit!E:E,""),
_xlfn.IFS(_xlpm.MyAuditVal&lt;&gt;"",_xlpm.MyAuditVal,_xlpm.MacVal&lt;&gt;"",_xlpm.MacVal,_xlpm.CSVVal&lt;&gt;"",PROPER(_xlpm.CSVVal)
)),"")</f>
        <v/>
      </c>
      <c r="G243" s="45" t="str" cm="1">
        <f t="array" ref="G243">IFERROR(_xlfn.LET(
_xlpm.CSVVal,_xlfn.XLOOKUP($A243,CSV!$A:$A,CSV!G:G,""),
_xlpm.MacVal,_xlfn.XLOOKUP($A243,Output_Mac!$A:$A,Output_Mac!H:H,""),
_xlpm.MyAuditVal,_xlfn.XLOOKUP($A243,My_Audit!$A:$A,My_Audit!F:F,""),
_xlfn.IFS(_xlpm.MyAuditVal&lt;&gt;"",_xlpm.MyAuditVal,_xlpm.MacVal&lt;&gt;"",_xlpm.MacVal,_xlpm.CSVVal&lt;&gt;"",_xlpm.CSVVal
)),"")</f>
        <v/>
      </c>
      <c r="H243" s="45" t="str">
        <f>_xlfn.XLOOKUP(A243,Output_Mac!A:A,Output_Mac!I:I,"")</f>
        <v/>
      </c>
      <c r="I243" s="45" t="str" cm="1">
        <f t="array" ref="I243">IFERROR(_xlfn.LET(
_xlpm.CSVVal,_xlfn.XLOOKUP($A243,CSV!$A:$A,CSV!H:H,""),
_xlpm.MacVal,_xlfn.XLOOKUP($A243,Output_Mac!$A:$A,Output_Mac!J:J,""),
_xlpm.MyAuditVal,_xlfn.XLOOKUP($A243,My_Audit!$A:$A,My_Audit!H:H,""),
_xlfn.IFS(_xlpm.MyAuditVal&lt;&gt;"",UPPER(_xlpm.MyAuditVal),_xlpm.MacVal&lt;&gt;"",_xlpm.MacVal,_xlpm.CSVVal&lt;&gt;"",_xlpm.CSVVal
)),"")</f>
        <v/>
      </c>
      <c r="J243" s="45" t="str" cm="1">
        <f t="array" ref="J243">IFERROR(_xlfn.LET(
_xlpm.CSVVal,_xlfn.XLOOKUP($A243,CSV!$A:$A,CSV!J:J,""),
_xlpm.MacVal,_xlfn.XLOOKUP($A243,Output_Mac!$A:$A,Output_Mac!K:K,""),
_xlpm.MyAuditVal,_xlfn.XLOOKUP($A243,My_Audit!$A:$A,My_Audit!I:I,""),
_xlfn.IFS(_xlpm.MyAuditVal&lt;&gt;"",UPPER(_xlpm.MyAuditVal),_xlpm.MacVal&lt;&gt;"",_xlpm.MacVal,_xlpm.CSVVal&lt;&gt;"",_xlpm.CSVVal
)),"")</f>
        <v/>
      </c>
      <c r="K243" s="45" t="str" cm="1">
        <f t="array" ref="K243">IFERROR(_xlfn.LET(
_xlpm.CSVVal,_xlfn.XLOOKUP($A243,CSV!$A:$A,CSV!N:N,""),
_xlpm.MacVal,_xlfn.XLOOKUP($A243,Output_Mac!$A:$A,Output_Mac!L:L,""),
_xlpm.MyAuditVal,_xlfn.XLOOKUP($A243,My_Audit!$A:$A,My_Audit!J:J,""),
_xlfn.IFS(_xlpm.MyAuditVal&lt;&gt;"",UPPER(_xlpm.MyAuditVal),_xlpm.MacVal&lt;&gt;"",_xlpm.MacVal,_xlpm.CSVVal&lt;&gt;"",_xlpm.CSVVal
)),"")</f>
        <v/>
      </c>
      <c r="L243" s="46" t="str" cm="1">
        <f t="array" ref="L243">IFERROR(_xlfn.LET(
_xlpm.CSVVal,_xlfn.XLOOKUP($A243,CSV!$A:$A,CSV!Q:Q,""),
_xlpm.MacVal,_xlfn.XLOOKUP($A243,Output_Mac!$A:$A,Output_Mac!M:M,""),
_xlpm.MyAuditVal,_xlfn.XLOOKUP($A243,My_Audit!$A:$A,My_Audit!K:K,""),
_xlfn.IFS(_xlpm.MyAuditVal&lt;&gt;"",UPPER(_xlpm.MyAuditVal),_xlpm.MacVal&lt;&gt;"",_xlpm.MacVal,_xlpm.CSVVal&lt;&gt;"",_xlpm.CSVVal
)),"")</f>
        <v/>
      </c>
      <c r="M243" s="45" t="str">
        <f>_xlfn.LET(
    _xlpm.CSVVal, _xlfn.XLOOKUP($A243, CSV!$A:$A, CSV!AE:AE, ""),
    _xlpm.MacVal, _xlfn.XLOOKUP($A243, Output_Mac!$A:$A, Output_Mac!S:S, ""),
    _xlpm.MyAuditVal, _xlfn.XLOOKUP($A243, My_Audit!$A:$A, My_Audit!N:N, ""),
    _xlfn.TEXTJOIN(", ", TRUE, _xlpm.MyAuditVal, _xlpm.MacVal, _xlpm.CSVVal)
)</f>
        <v/>
      </c>
      <c r="N243" s="45" t="str" cm="1">
        <f t="array" ref="N243">IFERROR(_xlfn.LET(
_xlpm.CSVVal,_xlfn.XLOOKUP($A243,CSV!$A:$A,CSV!AG:AG,""),
_xlpm.MacVal,_xlfn.XLOOKUP($A243,Output_Mac!$A:$A,Output_Mac!U:U,""),
_xlpm.MyAuditVal,_xlfn.XLOOKUP($A243,My_Audit!$A:$A,My_Audit!O:O,""),
_xlfn.IFS(_xlpm.MyAuditVal&lt;&gt;"",UPPER(_xlpm.MyAuditVal),_xlpm.MacVal&lt;&gt;"",_xlpm.MacVal,_xlpm.CSVVal&lt;&gt;"",_xlpm.CSVVal
)),"")</f>
        <v/>
      </c>
      <c r="O243" s="46" t="str">
        <f>_xlfn.XLOOKUP(C243,My_Audit!B:B,My_Audit!P:P,"")&amp;""</f>
        <v/>
      </c>
      <c r="P243" s="45"/>
      <c r="Q243" s="46" t="str">
        <f>IF(LEFT(N243,4)="Pass","Nist SP 800-88",My_Audit!R243)&amp;""</f>
        <v/>
      </c>
      <c r="R243" s="45"/>
      <c r="S243" s="45"/>
      <c r="T243" s="46" t="str">
        <f>_xlfn.XLOOKUP(E243,Models!I:I,Models!J:J,"")</f>
        <v/>
      </c>
      <c r="U243" s="45"/>
      <c r="V243" s="45"/>
      <c r="W243" s="38"/>
    </row>
    <row r="244" spans="1:23">
      <c r="A244" s="45" t="str">
        <f>_xlfn.TEXTJOIN("",TRUE,Input!$B$2,ROW(My_Audit!A243))</f>
        <v>XX243</v>
      </c>
      <c r="B244" s="45" t="str">
        <f>_xlfn.TEXTJOIN("-",TRUE,"ITD",Input!$A$2,A244)</f>
        <v>ITD-SHRXXX-XX243</v>
      </c>
      <c r="C244" s="45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46" t="str" cm="1">
        <f t="array" ref="D244">IFERROR(_xlfn.LET(
_xlpm.CSVVal,_xlfn.XLOOKUP($A244,CSV!$A:$A,CSV!C:C,""),
_xlpm.MacVal,_xlfn.XLOOKUP($A244,Output_Mac!$A:$A,Output_Mac!D:D,""),
_xlpm.MyAuditVal,_xlfn.XLOOKUP($A244,My_Audit!$A:$A,My_Audit!C:C,""),
_xlfn.IFS(_xlpm.MyAuditVal&lt;&gt;"",UPPER(_xlpm.MyAuditVal),_xlpm.MacVal&lt;&gt;"",_xlpm.MacVal,_xlpm.CSVVal&lt;&gt;"",_xlpm.CSVVal
)),"")</f>
        <v/>
      </c>
      <c r="E244" s="46" t="str" cm="1">
        <f t="array" ref="E244">IFERROR(_xlfn.LET(
_xlpm.CSVVal,_xlfn.XLOOKUP($A244,CSV!$A:$A,CSV!E:E,""),
_xlpm.MacVal,_xlfn.XLOOKUP($A244,Output_Mac!$A:$A,Output_Mac!C:C,""),
_xlpm.MyAuditVal,_xlfn.XLOOKUP($A244,My_Audit!$A:$A,My_Audit!D:D,""),
_xlfn.IFS(_xlpm.MyAuditVal&lt;&gt;"",_xlpm.MyAuditVal,_xlpm.MacVal&lt;&gt;"",_xlpm.MacVal,_xlpm.CSVVal&lt;&gt;"",_xlpm.CSVVal
)),"")</f>
        <v/>
      </c>
      <c r="F244" s="45" t="str" cm="1">
        <f t="array" ref="F244">IFERROR(_xlfn.LET(
_xlpm.CSVVal,_xlfn.XLOOKUP($A244,CSV!$A:$A,CSV!F:F,""),
_xlpm.MacVal,_xlfn.XLOOKUP($A244,Output_Mac!$A:$A,Output_Mac!F:F,""),
_xlpm.MyAuditVal,_xlfn.XLOOKUP($A244,My_Audit!$A:$A,My_Audit!E:E,""),
_xlfn.IFS(_xlpm.MyAuditVal&lt;&gt;"",_xlpm.MyAuditVal,_xlpm.MacVal&lt;&gt;"",_xlpm.MacVal,_xlpm.CSVVal&lt;&gt;"",PROPER(_xlpm.CSVVal)
)),"")</f>
        <v/>
      </c>
      <c r="G244" s="45" t="str" cm="1">
        <f t="array" ref="G244">IFERROR(_xlfn.LET(
_xlpm.CSVVal,_xlfn.XLOOKUP($A244,CSV!$A:$A,CSV!G:G,""),
_xlpm.MacVal,_xlfn.XLOOKUP($A244,Output_Mac!$A:$A,Output_Mac!H:H,""),
_xlpm.MyAuditVal,_xlfn.XLOOKUP($A244,My_Audit!$A:$A,My_Audit!F:F,""),
_xlfn.IFS(_xlpm.MyAuditVal&lt;&gt;"",_xlpm.MyAuditVal,_xlpm.MacVal&lt;&gt;"",_xlpm.MacVal,_xlpm.CSVVal&lt;&gt;"",_xlpm.CSVVal
)),"")</f>
        <v/>
      </c>
      <c r="H244" s="45" t="str">
        <f>_xlfn.XLOOKUP(A244,Output_Mac!A:A,Output_Mac!I:I,"")</f>
        <v/>
      </c>
      <c r="I244" s="45" t="str" cm="1">
        <f t="array" ref="I244">IFERROR(_xlfn.LET(
_xlpm.CSVVal,_xlfn.XLOOKUP($A244,CSV!$A:$A,CSV!H:H,""),
_xlpm.MacVal,_xlfn.XLOOKUP($A244,Output_Mac!$A:$A,Output_Mac!J:J,""),
_xlpm.MyAuditVal,_xlfn.XLOOKUP($A244,My_Audit!$A:$A,My_Audit!H:H,""),
_xlfn.IFS(_xlpm.MyAuditVal&lt;&gt;"",UPPER(_xlpm.MyAuditVal),_xlpm.MacVal&lt;&gt;"",_xlpm.MacVal,_xlpm.CSVVal&lt;&gt;"",_xlpm.CSVVal
)),"")</f>
        <v/>
      </c>
      <c r="J244" s="45" t="str" cm="1">
        <f t="array" ref="J244">IFERROR(_xlfn.LET(
_xlpm.CSVVal,_xlfn.XLOOKUP($A244,CSV!$A:$A,CSV!J:J,""),
_xlpm.MacVal,_xlfn.XLOOKUP($A244,Output_Mac!$A:$A,Output_Mac!K:K,""),
_xlpm.MyAuditVal,_xlfn.XLOOKUP($A244,My_Audit!$A:$A,My_Audit!I:I,""),
_xlfn.IFS(_xlpm.MyAuditVal&lt;&gt;"",UPPER(_xlpm.MyAuditVal),_xlpm.MacVal&lt;&gt;"",_xlpm.MacVal,_xlpm.CSVVal&lt;&gt;"",_xlpm.CSVVal
)),"")</f>
        <v/>
      </c>
      <c r="K244" s="45" t="str" cm="1">
        <f t="array" ref="K244">IFERROR(_xlfn.LET(
_xlpm.CSVVal,_xlfn.XLOOKUP($A244,CSV!$A:$A,CSV!N:N,""),
_xlpm.MacVal,_xlfn.XLOOKUP($A244,Output_Mac!$A:$A,Output_Mac!L:L,""),
_xlpm.MyAuditVal,_xlfn.XLOOKUP($A244,My_Audit!$A:$A,My_Audit!J:J,""),
_xlfn.IFS(_xlpm.MyAuditVal&lt;&gt;"",UPPER(_xlpm.MyAuditVal),_xlpm.MacVal&lt;&gt;"",_xlpm.MacVal,_xlpm.CSVVal&lt;&gt;"",_xlpm.CSVVal
)),"")</f>
        <v/>
      </c>
      <c r="L244" s="46" t="str" cm="1">
        <f t="array" ref="L244">IFERROR(_xlfn.LET(
_xlpm.CSVVal,_xlfn.XLOOKUP($A244,CSV!$A:$A,CSV!Q:Q,""),
_xlpm.MacVal,_xlfn.XLOOKUP($A244,Output_Mac!$A:$A,Output_Mac!M:M,""),
_xlpm.MyAuditVal,_xlfn.XLOOKUP($A244,My_Audit!$A:$A,My_Audit!K:K,""),
_xlfn.IFS(_xlpm.MyAuditVal&lt;&gt;"",UPPER(_xlpm.MyAuditVal),_xlpm.MacVal&lt;&gt;"",_xlpm.MacVal,_xlpm.CSVVal&lt;&gt;"",_xlpm.CSVVal
)),"")</f>
        <v/>
      </c>
      <c r="M244" s="45" t="str">
        <f>_xlfn.LET(
    _xlpm.CSVVal, _xlfn.XLOOKUP($A244, CSV!$A:$A, CSV!AE:AE, ""),
    _xlpm.MacVal, _xlfn.XLOOKUP($A244, Output_Mac!$A:$A, Output_Mac!S:S, ""),
    _xlpm.MyAuditVal, _xlfn.XLOOKUP($A244, My_Audit!$A:$A, My_Audit!N:N, ""),
    _xlfn.TEXTJOIN(", ", TRUE, _xlpm.MyAuditVal, _xlpm.MacVal, _xlpm.CSVVal)
)</f>
        <v/>
      </c>
      <c r="N244" s="45" t="str" cm="1">
        <f t="array" ref="N244">IFERROR(_xlfn.LET(
_xlpm.CSVVal,_xlfn.XLOOKUP($A244,CSV!$A:$A,CSV!AG:AG,""),
_xlpm.MacVal,_xlfn.XLOOKUP($A244,Output_Mac!$A:$A,Output_Mac!U:U,""),
_xlpm.MyAuditVal,_xlfn.XLOOKUP($A244,My_Audit!$A:$A,My_Audit!O:O,""),
_xlfn.IFS(_xlpm.MyAuditVal&lt;&gt;"",UPPER(_xlpm.MyAuditVal),_xlpm.MacVal&lt;&gt;"",_xlpm.MacVal,_xlpm.CSVVal&lt;&gt;"",_xlpm.CSVVal
)),"")</f>
        <v/>
      </c>
      <c r="O244" s="46" t="str">
        <f>_xlfn.XLOOKUP(C244,My_Audit!B:B,My_Audit!P:P,"")&amp;""</f>
        <v/>
      </c>
      <c r="P244" s="45"/>
      <c r="Q244" s="46" t="str">
        <f>IF(LEFT(N244,4)="Pass","Nist SP 800-88",My_Audit!R244)&amp;""</f>
        <v/>
      </c>
      <c r="R244" s="45"/>
      <c r="S244" s="45"/>
      <c r="T244" s="46" t="str">
        <f>_xlfn.XLOOKUP(E244,Models!I:I,Models!J:J,"")</f>
        <v/>
      </c>
      <c r="U244" s="45"/>
      <c r="V244" s="45"/>
      <c r="W244" s="38"/>
    </row>
    <row r="245" spans="1:23">
      <c r="A245" s="45" t="str">
        <f>_xlfn.TEXTJOIN("",TRUE,Input!$B$2,ROW(My_Audit!A244))</f>
        <v>XX244</v>
      </c>
      <c r="B245" s="45" t="str">
        <f>_xlfn.TEXTJOIN("-",TRUE,"ITD",Input!$A$2,A245)</f>
        <v>ITD-SHRXXX-XX244</v>
      </c>
      <c r="C245" s="45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46" t="str" cm="1">
        <f t="array" ref="D245">IFERROR(_xlfn.LET(
_xlpm.CSVVal,_xlfn.XLOOKUP($A245,CSV!$A:$A,CSV!C:C,""),
_xlpm.MacVal,_xlfn.XLOOKUP($A245,Output_Mac!$A:$A,Output_Mac!D:D,""),
_xlpm.MyAuditVal,_xlfn.XLOOKUP($A245,My_Audit!$A:$A,My_Audit!C:C,""),
_xlfn.IFS(_xlpm.MyAuditVal&lt;&gt;"",UPPER(_xlpm.MyAuditVal),_xlpm.MacVal&lt;&gt;"",_xlpm.MacVal,_xlpm.CSVVal&lt;&gt;"",_xlpm.CSVVal
)),"")</f>
        <v/>
      </c>
      <c r="E245" s="46" t="str" cm="1">
        <f t="array" ref="E245">IFERROR(_xlfn.LET(
_xlpm.CSVVal,_xlfn.XLOOKUP($A245,CSV!$A:$A,CSV!E:E,""),
_xlpm.MacVal,_xlfn.XLOOKUP($A245,Output_Mac!$A:$A,Output_Mac!C:C,""),
_xlpm.MyAuditVal,_xlfn.XLOOKUP($A245,My_Audit!$A:$A,My_Audit!D:D,""),
_xlfn.IFS(_xlpm.MyAuditVal&lt;&gt;"",_xlpm.MyAuditVal,_xlpm.MacVal&lt;&gt;"",_xlpm.MacVal,_xlpm.CSVVal&lt;&gt;"",_xlpm.CSVVal
)),"")</f>
        <v/>
      </c>
      <c r="F245" s="45" t="str" cm="1">
        <f t="array" ref="F245">IFERROR(_xlfn.LET(
_xlpm.CSVVal,_xlfn.XLOOKUP($A245,CSV!$A:$A,CSV!F:F,""),
_xlpm.MacVal,_xlfn.XLOOKUP($A245,Output_Mac!$A:$A,Output_Mac!F:F,""),
_xlpm.MyAuditVal,_xlfn.XLOOKUP($A245,My_Audit!$A:$A,My_Audit!E:E,""),
_xlfn.IFS(_xlpm.MyAuditVal&lt;&gt;"",_xlpm.MyAuditVal,_xlpm.MacVal&lt;&gt;"",_xlpm.MacVal,_xlpm.CSVVal&lt;&gt;"",PROPER(_xlpm.CSVVal)
)),"")</f>
        <v/>
      </c>
      <c r="G245" s="45" t="str" cm="1">
        <f t="array" ref="G245">IFERROR(_xlfn.LET(
_xlpm.CSVVal,_xlfn.XLOOKUP($A245,CSV!$A:$A,CSV!G:G,""),
_xlpm.MacVal,_xlfn.XLOOKUP($A245,Output_Mac!$A:$A,Output_Mac!H:H,""),
_xlpm.MyAuditVal,_xlfn.XLOOKUP($A245,My_Audit!$A:$A,My_Audit!F:F,""),
_xlfn.IFS(_xlpm.MyAuditVal&lt;&gt;"",_xlpm.MyAuditVal,_xlpm.MacVal&lt;&gt;"",_xlpm.MacVal,_xlpm.CSVVal&lt;&gt;"",_xlpm.CSVVal
)),"")</f>
        <v/>
      </c>
      <c r="H245" s="45" t="str">
        <f>_xlfn.XLOOKUP(A245,Output_Mac!A:A,Output_Mac!I:I,"")</f>
        <v/>
      </c>
      <c r="I245" s="45" t="str" cm="1">
        <f t="array" ref="I245">IFERROR(_xlfn.LET(
_xlpm.CSVVal,_xlfn.XLOOKUP($A245,CSV!$A:$A,CSV!H:H,""),
_xlpm.MacVal,_xlfn.XLOOKUP($A245,Output_Mac!$A:$A,Output_Mac!J:J,""),
_xlpm.MyAuditVal,_xlfn.XLOOKUP($A245,My_Audit!$A:$A,My_Audit!H:H,""),
_xlfn.IFS(_xlpm.MyAuditVal&lt;&gt;"",UPPER(_xlpm.MyAuditVal),_xlpm.MacVal&lt;&gt;"",_xlpm.MacVal,_xlpm.CSVVal&lt;&gt;"",_xlpm.CSVVal
)),"")</f>
        <v/>
      </c>
      <c r="J245" s="45" t="str" cm="1">
        <f t="array" ref="J245">IFERROR(_xlfn.LET(
_xlpm.CSVVal,_xlfn.XLOOKUP($A245,CSV!$A:$A,CSV!J:J,""),
_xlpm.MacVal,_xlfn.XLOOKUP($A245,Output_Mac!$A:$A,Output_Mac!K:K,""),
_xlpm.MyAuditVal,_xlfn.XLOOKUP($A245,My_Audit!$A:$A,My_Audit!I:I,""),
_xlfn.IFS(_xlpm.MyAuditVal&lt;&gt;"",UPPER(_xlpm.MyAuditVal),_xlpm.MacVal&lt;&gt;"",_xlpm.MacVal,_xlpm.CSVVal&lt;&gt;"",_xlpm.CSVVal
)),"")</f>
        <v/>
      </c>
      <c r="K245" s="45" t="str" cm="1">
        <f t="array" ref="K245">IFERROR(_xlfn.LET(
_xlpm.CSVVal,_xlfn.XLOOKUP($A245,CSV!$A:$A,CSV!N:N,""),
_xlpm.MacVal,_xlfn.XLOOKUP($A245,Output_Mac!$A:$A,Output_Mac!L:L,""),
_xlpm.MyAuditVal,_xlfn.XLOOKUP($A245,My_Audit!$A:$A,My_Audit!J:J,""),
_xlfn.IFS(_xlpm.MyAuditVal&lt;&gt;"",UPPER(_xlpm.MyAuditVal),_xlpm.MacVal&lt;&gt;"",_xlpm.MacVal,_xlpm.CSVVal&lt;&gt;"",_xlpm.CSVVal
)),"")</f>
        <v/>
      </c>
      <c r="L245" s="46" t="str" cm="1">
        <f t="array" ref="L245">IFERROR(_xlfn.LET(
_xlpm.CSVVal,_xlfn.XLOOKUP($A245,CSV!$A:$A,CSV!Q:Q,""),
_xlpm.MacVal,_xlfn.XLOOKUP($A245,Output_Mac!$A:$A,Output_Mac!M:M,""),
_xlpm.MyAuditVal,_xlfn.XLOOKUP($A245,My_Audit!$A:$A,My_Audit!K:K,""),
_xlfn.IFS(_xlpm.MyAuditVal&lt;&gt;"",UPPER(_xlpm.MyAuditVal),_xlpm.MacVal&lt;&gt;"",_xlpm.MacVal,_xlpm.CSVVal&lt;&gt;"",_xlpm.CSVVal
)),"")</f>
        <v/>
      </c>
      <c r="M245" s="45" t="str">
        <f>_xlfn.LET(
    _xlpm.CSVVal, _xlfn.XLOOKUP($A245, CSV!$A:$A, CSV!AE:AE, ""),
    _xlpm.MacVal, _xlfn.XLOOKUP($A245, Output_Mac!$A:$A, Output_Mac!S:S, ""),
    _xlpm.MyAuditVal, _xlfn.XLOOKUP($A245, My_Audit!$A:$A, My_Audit!N:N, ""),
    _xlfn.TEXTJOIN(", ", TRUE, _xlpm.MyAuditVal, _xlpm.MacVal, _xlpm.CSVVal)
)</f>
        <v/>
      </c>
      <c r="N245" s="45" t="str" cm="1">
        <f t="array" ref="N245">IFERROR(_xlfn.LET(
_xlpm.CSVVal,_xlfn.XLOOKUP($A245,CSV!$A:$A,CSV!AG:AG,""),
_xlpm.MacVal,_xlfn.XLOOKUP($A245,Output_Mac!$A:$A,Output_Mac!U:U,""),
_xlpm.MyAuditVal,_xlfn.XLOOKUP($A245,My_Audit!$A:$A,My_Audit!O:O,""),
_xlfn.IFS(_xlpm.MyAuditVal&lt;&gt;"",UPPER(_xlpm.MyAuditVal),_xlpm.MacVal&lt;&gt;"",_xlpm.MacVal,_xlpm.CSVVal&lt;&gt;"",_xlpm.CSVVal
)),"")</f>
        <v/>
      </c>
      <c r="O245" s="46" t="str">
        <f>_xlfn.XLOOKUP(C245,My_Audit!B:B,My_Audit!P:P,"")&amp;""</f>
        <v/>
      </c>
      <c r="P245" s="45"/>
      <c r="Q245" s="46" t="str">
        <f>IF(LEFT(N245,4)="Pass","Nist SP 800-88",My_Audit!R245)&amp;""</f>
        <v/>
      </c>
      <c r="R245" s="45"/>
      <c r="S245" s="45"/>
      <c r="T245" s="46" t="str">
        <f>_xlfn.XLOOKUP(E245,Models!I:I,Models!J:J,"")</f>
        <v/>
      </c>
      <c r="U245" s="45"/>
      <c r="V245" s="45"/>
      <c r="W245" s="38"/>
    </row>
    <row r="246" spans="1:23">
      <c r="A246" s="45" t="str">
        <f>_xlfn.TEXTJOIN("",TRUE,Input!$B$2,ROW(My_Audit!A245))</f>
        <v>XX245</v>
      </c>
      <c r="B246" s="45" t="str">
        <f>_xlfn.TEXTJOIN("-",TRUE,"ITD",Input!$A$2,A246)</f>
        <v>ITD-SHRXXX-XX245</v>
      </c>
      <c r="C246" s="45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46" t="str" cm="1">
        <f t="array" ref="D246">IFERROR(_xlfn.LET(
_xlpm.CSVVal,_xlfn.XLOOKUP($A246,CSV!$A:$A,CSV!C:C,""),
_xlpm.MacVal,_xlfn.XLOOKUP($A246,Output_Mac!$A:$A,Output_Mac!D:D,""),
_xlpm.MyAuditVal,_xlfn.XLOOKUP($A246,My_Audit!$A:$A,My_Audit!C:C,""),
_xlfn.IFS(_xlpm.MyAuditVal&lt;&gt;"",UPPER(_xlpm.MyAuditVal),_xlpm.MacVal&lt;&gt;"",_xlpm.MacVal,_xlpm.CSVVal&lt;&gt;"",_xlpm.CSVVal
)),"")</f>
        <v/>
      </c>
      <c r="E246" s="46" t="str" cm="1">
        <f t="array" ref="E246">IFERROR(_xlfn.LET(
_xlpm.CSVVal,_xlfn.XLOOKUP($A246,CSV!$A:$A,CSV!E:E,""),
_xlpm.MacVal,_xlfn.XLOOKUP($A246,Output_Mac!$A:$A,Output_Mac!C:C,""),
_xlpm.MyAuditVal,_xlfn.XLOOKUP($A246,My_Audit!$A:$A,My_Audit!D:D,""),
_xlfn.IFS(_xlpm.MyAuditVal&lt;&gt;"",_xlpm.MyAuditVal,_xlpm.MacVal&lt;&gt;"",_xlpm.MacVal,_xlpm.CSVVal&lt;&gt;"",_xlpm.CSVVal
)),"")</f>
        <v/>
      </c>
      <c r="F246" s="45" t="str" cm="1">
        <f t="array" ref="F246">IFERROR(_xlfn.LET(
_xlpm.CSVVal,_xlfn.XLOOKUP($A246,CSV!$A:$A,CSV!F:F,""),
_xlpm.MacVal,_xlfn.XLOOKUP($A246,Output_Mac!$A:$A,Output_Mac!F:F,""),
_xlpm.MyAuditVal,_xlfn.XLOOKUP($A246,My_Audit!$A:$A,My_Audit!E:E,""),
_xlfn.IFS(_xlpm.MyAuditVal&lt;&gt;"",_xlpm.MyAuditVal,_xlpm.MacVal&lt;&gt;"",_xlpm.MacVal,_xlpm.CSVVal&lt;&gt;"",PROPER(_xlpm.CSVVal)
)),"")</f>
        <v/>
      </c>
      <c r="G246" s="45" t="str" cm="1">
        <f t="array" ref="G246">IFERROR(_xlfn.LET(
_xlpm.CSVVal,_xlfn.XLOOKUP($A246,CSV!$A:$A,CSV!G:G,""),
_xlpm.MacVal,_xlfn.XLOOKUP($A246,Output_Mac!$A:$A,Output_Mac!H:H,""),
_xlpm.MyAuditVal,_xlfn.XLOOKUP($A246,My_Audit!$A:$A,My_Audit!F:F,""),
_xlfn.IFS(_xlpm.MyAuditVal&lt;&gt;"",_xlpm.MyAuditVal,_xlpm.MacVal&lt;&gt;"",_xlpm.MacVal,_xlpm.CSVVal&lt;&gt;"",_xlpm.CSVVal
)),"")</f>
        <v/>
      </c>
      <c r="H246" s="45" t="str">
        <f>_xlfn.XLOOKUP(A246,Output_Mac!A:A,Output_Mac!I:I,"")</f>
        <v/>
      </c>
      <c r="I246" s="45" t="str" cm="1">
        <f t="array" ref="I246">IFERROR(_xlfn.LET(
_xlpm.CSVVal,_xlfn.XLOOKUP($A246,CSV!$A:$A,CSV!H:H,""),
_xlpm.MacVal,_xlfn.XLOOKUP($A246,Output_Mac!$A:$A,Output_Mac!J:J,""),
_xlpm.MyAuditVal,_xlfn.XLOOKUP($A246,My_Audit!$A:$A,My_Audit!H:H,""),
_xlfn.IFS(_xlpm.MyAuditVal&lt;&gt;"",UPPER(_xlpm.MyAuditVal),_xlpm.MacVal&lt;&gt;"",_xlpm.MacVal,_xlpm.CSVVal&lt;&gt;"",_xlpm.CSVVal
)),"")</f>
        <v/>
      </c>
      <c r="J246" s="45" t="str" cm="1">
        <f t="array" ref="J246">IFERROR(_xlfn.LET(
_xlpm.CSVVal,_xlfn.XLOOKUP($A246,CSV!$A:$A,CSV!J:J,""),
_xlpm.MacVal,_xlfn.XLOOKUP($A246,Output_Mac!$A:$A,Output_Mac!K:K,""),
_xlpm.MyAuditVal,_xlfn.XLOOKUP($A246,My_Audit!$A:$A,My_Audit!I:I,""),
_xlfn.IFS(_xlpm.MyAuditVal&lt;&gt;"",UPPER(_xlpm.MyAuditVal),_xlpm.MacVal&lt;&gt;"",_xlpm.MacVal,_xlpm.CSVVal&lt;&gt;"",_xlpm.CSVVal
)),"")</f>
        <v/>
      </c>
      <c r="K246" s="45" t="str" cm="1">
        <f t="array" ref="K246">IFERROR(_xlfn.LET(
_xlpm.CSVVal,_xlfn.XLOOKUP($A246,CSV!$A:$A,CSV!N:N,""),
_xlpm.MacVal,_xlfn.XLOOKUP($A246,Output_Mac!$A:$A,Output_Mac!L:L,""),
_xlpm.MyAuditVal,_xlfn.XLOOKUP($A246,My_Audit!$A:$A,My_Audit!J:J,""),
_xlfn.IFS(_xlpm.MyAuditVal&lt;&gt;"",UPPER(_xlpm.MyAuditVal),_xlpm.MacVal&lt;&gt;"",_xlpm.MacVal,_xlpm.CSVVal&lt;&gt;"",_xlpm.CSVVal
)),"")</f>
        <v/>
      </c>
      <c r="L246" s="46" t="str" cm="1">
        <f t="array" ref="L246">IFERROR(_xlfn.LET(
_xlpm.CSVVal,_xlfn.XLOOKUP($A246,CSV!$A:$A,CSV!Q:Q,""),
_xlpm.MacVal,_xlfn.XLOOKUP($A246,Output_Mac!$A:$A,Output_Mac!M:M,""),
_xlpm.MyAuditVal,_xlfn.XLOOKUP($A246,My_Audit!$A:$A,My_Audit!K:K,""),
_xlfn.IFS(_xlpm.MyAuditVal&lt;&gt;"",UPPER(_xlpm.MyAuditVal),_xlpm.MacVal&lt;&gt;"",_xlpm.MacVal,_xlpm.CSVVal&lt;&gt;"",_xlpm.CSVVal
)),"")</f>
        <v/>
      </c>
      <c r="M246" s="45" t="str">
        <f>_xlfn.LET(
    _xlpm.CSVVal, _xlfn.XLOOKUP($A246, CSV!$A:$A, CSV!AE:AE, ""),
    _xlpm.MacVal, _xlfn.XLOOKUP($A246, Output_Mac!$A:$A, Output_Mac!S:S, ""),
    _xlpm.MyAuditVal, _xlfn.XLOOKUP($A246, My_Audit!$A:$A, My_Audit!N:N, ""),
    _xlfn.TEXTJOIN(", ", TRUE, _xlpm.MyAuditVal, _xlpm.MacVal, _xlpm.CSVVal)
)</f>
        <v/>
      </c>
      <c r="N246" s="45" t="str" cm="1">
        <f t="array" ref="N246">IFERROR(_xlfn.LET(
_xlpm.CSVVal,_xlfn.XLOOKUP($A246,CSV!$A:$A,CSV!AG:AG,""),
_xlpm.MacVal,_xlfn.XLOOKUP($A246,Output_Mac!$A:$A,Output_Mac!U:U,""),
_xlpm.MyAuditVal,_xlfn.XLOOKUP($A246,My_Audit!$A:$A,My_Audit!O:O,""),
_xlfn.IFS(_xlpm.MyAuditVal&lt;&gt;"",UPPER(_xlpm.MyAuditVal),_xlpm.MacVal&lt;&gt;"",_xlpm.MacVal,_xlpm.CSVVal&lt;&gt;"",_xlpm.CSVVal
)),"")</f>
        <v/>
      </c>
      <c r="O246" s="46" t="str">
        <f>_xlfn.XLOOKUP(C246,My_Audit!B:B,My_Audit!P:P,"")&amp;""</f>
        <v/>
      </c>
      <c r="P246" s="45"/>
      <c r="Q246" s="46" t="str">
        <f>IF(LEFT(N246,4)="Pass","Nist SP 800-88",My_Audit!R246)&amp;""</f>
        <v/>
      </c>
      <c r="R246" s="45"/>
      <c r="S246" s="45"/>
      <c r="T246" s="46" t="str">
        <f>_xlfn.XLOOKUP(E246,Models!I:I,Models!J:J,"")</f>
        <v/>
      </c>
      <c r="U246" s="45"/>
      <c r="V246" s="45"/>
      <c r="W246" s="38"/>
    </row>
    <row r="247" spans="1:23">
      <c r="A247" s="45" t="str">
        <f>_xlfn.TEXTJOIN("",TRUE,Input!$B$2,ROW(My_Audit!A246))</f>
        <v>XX246</v>
      </c>
      <c r="B247" s="45" t="str">
        <f>_xlfn.TEXTJOIN("-",TRUE,"ITD",Input!$A$2,A247)</f>
        <v>ITD-SHRXXX-XX246</v>
      </c>
      <c r="C247" s="45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46" t="str" cm="1">
        <f t="array" ref="D247">IFERROR(_xlfn.LET(
_xlpm.CSVVal,_xlfn.XLOOKUP($A247,CSV!$A:$A,CSV!C:C,""),
_xlpm.MacVal,_xlfn.XLOOKUP($A247,Output_Mac!$A:$A,Output_Mac!D:D,""),
_xlpm.MyAuditVal,_xlfn.XLOOKUP($A247,My_Audit!$A:$A,My_Audit!C:C,""),
_xlfn.IFS(_xlpm.MyAuditVal&lt;&gt;"",UPPER(_xlpm.MyAuditVal),_xlpm.MacVal&lt;&gt;"",_xlpm.MacVal,_xlpm.CSVVal&lt;&gt;"",_xlpm.CSVVal
)),"")</f>
        <v/>
      </c>
      <c r="E247" s="46" t="str" cm="1">
        <f t="array" ref="E247">IFERROR(_xlfn.LET(
_xlpm.CSVVal,_xlfn.XLOOKUP($A247,CSV!$A:$A,CSV!E:E,""),
_xlpm.MacVal,_xlfn.XLOOKUP($A247,Output_Mac!$A:$A,Output_Mac!C:C,""),
_xlpm.MyAuditVal,_xlfn.XLOOKUP($A247,My_Audit!$A:$A,My_Audit!D:D,""),
_xlfn.IFS(_xlpm.MyAuditVal&lt;&gt;"",_xlpm.MyAuditVal,_xlpm.MacVal&lt;&gt;"",_xlpm.MacVal,_xlpm.CSVVal&lt;&gt;"",_xlpm.CSVVal
)),"")</f>
        <v/>
      </c>
      <c r="F247" s="45" t="str" cm="1">
        <f t="array" ref="F247">IFERROR(_xlfn.LET(
_xlpm.CSVVal,_xlfn.XLOOKUP($A247,CSV!$A:$A,CSV!F:F,""),
_xlpm.MacVal,_xlfn.XLOOKUP($A247,Output_Mac!$A:$A,Output_Mac!F:F,""),
_xlpm.MyAuditVal,_xlfn.XLOOKUP($A247,My_Audit!$A:$A,My_Audit!E:E,""),
_xlfn.IFS(_xlpm.MyAuditVal&lt;&gt;"",_xlpm.MyAuditVal,_xlpm.MacVal&lt;&gt;"",_xlpm.MacVal,_xlpm.CSVVal&lt;&gt;"",PROPER(_xlpm.CSVVal)
)),"")</f>
        <v/>
      </c>
      <c r="G247" s="45" t="str" cm="1">
        <f t="array" ref="G247">IFERROR(_xlfn.LET(
_xlpm.CSVVal,_xlfn.XLOOKUP($A247,CSV!$A:$A,CSV!G:G,""),
_xlpm.MacVal,_xlfn.XLOOKUP($A247,Output_Mac!$A:$A,Output_Mac!H:H,""),
_xlpm.MyAuditVal,_xlfn.XLOOKUP($A247,My_Audit!$A:$A,My_Audit!F:F,""),
_xlfn.IFS(_xlpm.MyAuditVal&lt;&gt;"",_xlpm.MyAuditVal,_xlpm.MacVal&lt;&gt;"",_xlpm.MacVal,_xlpm.CSVVal&lt;&gt;"",_xlpm.CSVVal
)),"")</f>
        <v/>
      </c>
      <c r="H247" s="45" t="str">
        <f>_xlfn.XLOOKUP(A247,Output_Mac!A:A,Output_Mac!I:I,"")</f>
        <v/>
      </c>
      <c r="I247" s="45" t="str" cm="1">
        <f t="array" ref="I247">IFERROR(_xlfn.LET(
_xlpm.CSVVal,_xlfn.XLOOKUP($A247,CSV!$A:$A,CSV!H:H,""),
_xlpm.MacVal,_xlfn.XLOOKUP($A247,Output_Mac!$A:$A,Output_Mac!J:J,""),
_xlpm.MyAuditVal,_xlfn.XLOOKUP($A247,My_Audit!$A:$A,My_Audit!H:H,""),
_xlfn.IFS(_xlpm.MyAuditVal&lt;&gt;"",UPPER(_xlpm.MyAuditVal),_xlpm.MacVal&lt;&gt;"",_xlpm.MacVal,_xlpm.CSVVal&lt;&gt;"",_xlpm.CSVVal
)),"")</f>
        <v/>
      </c>
      <c r="J247" s="45" t="str" cm="1">
        <f t="array" ref="J247">IFERROR(_xlfn.LET(
_xlpm.CSVVal,_xlfn.XLOOKUP($A247,CSV!$A:$A,CSV!J:J,""),
_xlpm.MacVal,_xlfn.XLOOKUP($A247,Output_Mac!$A:$A,Output_Mac!K:K,""),
_xlpm.MyAuditVal,_xlfn.XLOOKUP($A247,My_Audit!$A:$A,My_Audit!I:I,""),
_xlfn.IFS(_xlpm.MyAuditVal&lt;&gt;"",UPPER(_xlpm.MyAuditVal),_xlpm.MacVal&lt;&gt;"",_xlpm.MacVal,_xlpm.CSVVal&lt;&gt;"",_xlpm.CSVVal
)),"")</f>
        <v/>
      </c>
      <c r="K247" s="45" t="str" cm="1">
        <f t="array" ref="K247">IFERROR(_xlfn.LET(
_xlpm.CSVVal,_xlfn.XLOOKUP($A247,CSV!$A:$A,CSV!N:N,""),
_xlpm.MacVal,_xlfn.XLOOKUP($A247,Output_Mac!$A:$A,Output_Mac!L:L,""),
_xlpm.MyAuditVal,_xlfn.XLOOKUP($A247,My_Audit!$A:$A,My_Audit!J:J,""),
_xlfn.IFS(_xlpm.MyAuditVal&lt;&gt;"",UPPER(_xlpm.MyAuditVal),_xlpm.MacVal&lt;&gt;"",_xlpm.MacVal,_xlpm.CSVVal&lt;&gt;"",_xlpm.CSVVal
)),"")</f>
        <v/>
      </c>
      <c r="L247" s="46" t="str" cm="1">
        <f t="array" ref="L247">IFERROR(_xlfn.LET(
_xlpm.CSVVal,_xlfn.XLOOKUP($A247,CSV!$A:$A,CSV!Q:Q,""),
_xlpm.MacVal,_xlfn.XLOOKUP($A247,Output_Mac!$A:$A,Output_Mac!M:M,""),
_xlpm.MyAuditVal,_xlfn.XLOOKUP($A247,My_Audit!$A:$A,My_Audit!K:K,""),
_xlfn.IFS(_xlpm.MyAuditVal&lt;&gt;"",UPPER(_xlpm.MyAuditVal),_xlpm.MacVal&lt;&gt;"",_xlpm.MacVal,_xlpm.CSVVal&lt;&gt;"",_xlpm.CSVVal
)),"")</f>
        <v/>
      </c>
      <c r="M247" s="45" t="str">
        <f>_xlfn.LET(
    _xlpm.CSVVal, _xlfn.XLOOKUP($A247, CSV!$A:$A, CSV!AE:AE, ""),
    _xlpm.MacVal, _xlfn.XLOOKUP($A247, Output_Mac!$A:$A, Output_Mac!S:S, ""),
    _xlpm.MyAuditVal, _xlfn.XLOOKUP($A247, My_Audit!$A:$A, My_Audit!N:N, ""),
    _xlfn.TEXTJOIN(", ", TRUE, _xlpm.MyAuditVal, _xlpm.MacVal, _xlpm.CSVVal)
)</f>
        <v/>
      </c>
      <c r="N247" s="45" t="str" cm="1">
        <f t="array" ref="N247">IFERROR(_xlfn.LET(
_xlpm.CSVVal,_xlfn.XLOOKUP($A247,CSV!$A:$A,CSV!AG:AG,""),
_xlpm.MacVal,_xlfn.XLOOKUP($A247,Output_Mac!$A:$A,Output_Mac!U:U,""),
_xlpm.MyAuditVal,_xlfn.XLOOKUP($A247,My_Audit!$A:$A,My_Audit!O:O,""),
_xlfn.IFS(_xlpm.MyAuditVal&lt;&gt;"",UPPER(_xlpm.MyAuditVal),_xlpm.MacVal&lt;&gt;"",_xlpm.MacVal,_xlpm.CSVVal&lt;&gt;"",_xlpm.CSVVal
)),"")</f>
        <v/>
      </c>
      <c r="O247" s="46" t="str">
        <f>_xlfn.XLOOKUP(C247,My_Audit!B:B,My_Audit!P:P,"")&amp;""</f>
        <v/>
      </c>
      <c r="P247" s="45"/>
      <c r="Q247" s="46" t="str">
        <f>IF(LEFT(N247,4)="Pass","Nist SP 800-88",My_Audit!R247)&amp;""</f>
        <v/>
      </c>
      <c r="R247" s="45"/>
      <c r="S247" s="45"/>
      <c r="T247" s="46" t="str">
        <f>_xlfn.XLOOKUP(E247,Models!I:I,Models!J:J,"")</f>
        <v/>
      </c>
      <c r="U247" s="45"/>
      <c r="V247" s="45"/>
      <c r="W247" s="38"/>
    </row>
    <row r="248" spans="1:23">
      <c r="A248" s="45" t="str">
        <f>_xlfn.TEXTJOIN("",TRUE,Input!$B$2,ROW(My_Audit!A247))</f>
        <v>XX247</v>
      </c>
      <c r="B248" s="45" t="str">
        <f>_xlfn.TEXTJOIN("-",TRUE,"ITD",Input!$A$2,A248)</f>
        <v>ITD-SHRXXX-XX247</v>
      </c>
      <c r="C248" s="45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46" t="str" cm="1">
        <f t="array" ref="D248">IFERROR(_xlfn.LET(
_xlpm.CSVVal,_xlfn.XLOOKUP($A248,CSV!$A:$A,CSV!C:C,""),
_xlpm.MacVal,_xlfn.XLOOKUP($A248,Output_Mac!$A:$A,Output_Mac!D:D,""),
_xlpm.MyAuditVal,_xlfn.XLOOKUP($A248,My_Audit!$A:$A,My_Audit!C:C,""),
_xlfn.IFS(_xlpm.MyAuditVal&lt;&gt;"",UPPER(_xlpm.MyAuditVal),_xlpm.MacVal&lt;&gt;"",_xlpm.MacVal,_xlpm.CSVVal&lt;&gt;"",_xlpm.CSVVal
)),"")</f>
        <v/>
      </c>
      <c r="E248" s="46" t="str" cm="1">
        <f t="array" ref="E248">IFERROR(_xlfn.LET(
_xlpm.CSVVal,_xlfn.XLOOKUP($A248,CSV!$A:$A,CSV!E:E,""),
_xlpm.MacVal,_xlfn.XLOOKUP($A248,Output_Mac!$A:$A,Output_Mac!C:C,""),
_xlpm.MyAuditVal,_xlfn.XLOOKUP($A248,My_Audit!$A:$A,My_Audit!D:D,""),
_xlfn.IFS(_xlpm.MyAuditVal&lt;&gt;"",_xlpm.MyAuditVal,_xlpm.MacVal&lt;&gt;"",_xlpm.MacVal,_xlpm.CSVVal&lt;&gt;"",_xlpm.CSVVal
)),"")</f>
        <v/>
      </c>
      <c r="F248" s="45" t="str" cm="1">
        <f t="array" ref="F248">IFERROR(_xlfn.LET(
_xlpm.CSVVal,_xlfn.XLOOKUP($A248,CSV!$A:$A,CSV!F:F,""),
_xlpm.MacVal,_xlfn.XLOOKUP($A248,Output_Mac!$A:$A,Output_Mac!F:F,""),
_xlpm.MyAuditVal,_xlfn.XLOOKUP($A248,My_Audit!$A:$A,My_Audit!E:E,""),
_xlfn.IFS(_xlpm.MyAuditVal&lt;&gt;"",_xlpm.MyAuditVal,_xlpm.MacVal&lt;&gt;"",_xlpm.MacVal,_xlpm.CSVVal&lt;&gt;"",PROPER(_xlpm.CSVVal)
)),"")</f>
        <v/>
      </c>
      <c r="G248" s="45" t="str" cm="1">
        <f t="array" ref="G248">IFERROR(_xlfn.LET(
_xlpm.CSVVal,_xlfn.XLOOKUP($A248,CSV!$A:$A,CSV!G:G,""),
_xlpm.MacVal,_xlfn.XLOOKUP($A248,Output_Mac!$A:$A,Output_Mac!H:H,""),
_xlpm.MyAuditVal,_xlfn.XLOOKUP($A248,My_Audit!$A:$A,My_Audit!F:F,""),
_xlfn.IFS(_xlpm.MyAuditVal&lt;&gt;"",_xlpm.MyAuditVal,_xlpm.MacVal&lt;&gt;"",_xlpm.MacVal,_xlpm.CSVVal&lt;&gt;"",_xlpm.CSVVal
)),"")</f>
        <v/>
      </c>
      <c r="H248" s="45" t="str">
        <f>_xlfn.XLOOKUP(A248,Output_Mac!A:A,Output_Mac!I:I,"")</f>
        <v/>
      </c>
      <c r="I248" s="45" t="str" cm="1">
        <f t="array" ref="I248">IFERROR(_xlfn.LET(
_xlpm.CSVVal,_xlfn.XLOOKUP($A248,CSV!$A:$A,CSV!H:H,""),
_xlpm.MacVal,_xlfn.XLOOKUP($A248,Output_Mac!$A:$A,Output_Mac!J:J,""),
_xlpm.MyAuditVal,_xlfn.XLOOKUP($A248,My_Audit!$A:$A,My_Audit!H:H,""),
_xlfn.IFS(_xlpm.MyAuditVal&lt;&gt;"",UPPER(_xlpm.MyAuditVal),_xlpm.MacVal&lt;&gt;"",_xlpm.MacVal,_xlpm.CSVVal&lt;&gt;"",_xlpm.CSVVal
)),"")</f>
        <v/>
      </c>
      <c r="J248" s="45" t="str" cm="1">
        <f t="array" ref="J248">IFERROR(_xlfn.LET(
_xlpm.CSVVal,_xlfn.XLOOKUP($A248,CSV!$A:$A,CSV!J:J,""),
_xlpm.MacVal,_xlfn.XLOOKUP($A248,Output_Mac!$A:$A,Output_Mac!K:K,""),
_xlpm.MyAuditVal,_xlfn.XLOOKUP($A248,My_Audit!$A:$A,My_Audit!I:I,""),
_xlfn.IFS(_xlpm.MyAuditVal&lt;&gt;"",UPPER(_xlpm.MyAuditVal),_xlpm.MacVal&lt;&gt;"",_xlpm.MacVal,_xlpm.CSVVal&lt;&gt;"",_xlpm.CSVVal
)),"")</f>
        <v/>
      </c>
      <c r="K248" s="45" t="str" cm="1">
        <f t="array" ref="K248">IFERROR(_xlfn.LET(
_xlpm.CSVVal,_xlfn.XLOOKUP($A248,CSV!$A:$A,CSV!N:N,""),
_xlpm.MacVal,_xlfn.XLOOKUP($A248,Output_Mac!$A:$A,Output_Mac!L:L,""),
_xlpm.MyAuditVal,_xlfn.XLOOKUP($A248,My_Audit!$A:$A,My_Audit!J:J,""),
_xlfn.IFS(_xlpm.MyAuditVal&lt;&gt;"",UPPER(_xlpm.MyAuditVal),_xlpm.MacVal&lt;&gt;"",_xlpm.MacVal,_xlpm.CSVVal&lt;&gt;"",_xlpm.CSVVal
)),"")</f>
        <v/>
      </c>
      <c r="L248" s="46" t="str" cm="1">
        <f t="array" ref="L248">IFERROR(_xlfn.LET(
_xlpm.CSVVal,_xlfn.XLOOKUP($A248,CSV!$A:$A,CSV!Q:Q,""),
_xlpm.MacVal,_xlfn.XLOOKUP($A248,Output_Mac!$A:$A,Output_Mac!M:M,""),
_xlpm.MyAuditVal,_xlfn.XLOOKUP($A248,My_Audit!$A:$A,My_Audit!K:K,""),
_xlfn.IFS(_xlpm.MyAuditVal&lt;&gt;"",UPPER(_xlpm.MyAuditVal),_xlpm.MacVal&lt;&gt;"",_xlpm.MacVal,_xlpm.CSVVal&lt;&gt;"",_xlpm.CSVVal
)),"")</f>
        <v/>
      </c>
      <c r="M248" s="45" t="str">
        <f>_xlfn.LET(
    _xlpm.CSVVal, _xlfn.XLOOKUP($A248, CSV!$A:$A, CSV!AE:AE, ""),
    _xlpm.MacVal, _xlfn.XLOOKUP($A248, Output_Mac!$A:$A, Output_Mac!S:S, ""),
    _xlpm.MyAuditVal, _xlfn.XLOOKUP($A248, My_Audit!$A:$A, My_Audit!N:N, ""),
    _xlfn.TEXTJOIN(", ", TRUE, _xlpm.MyAuditVal, _xlpm.MacVal, _xlpm.CSVVal)
)</f>
        <v/>
      </c>
      <c r="N248" s="45" t="str" cm="1">
        <f t="array" ref="N248">IFERROR(_xlfn.LET(
_xlpm.CSVVal,_xlfn.XLOOKUP($A248,CSV!$A:$A,CSV!AG:AG,""),
_xlpm.MacVal,_xlfn.XLOOKUP($A248,Output_Mac!$A:$A,Output_Mac!U:U,""),
_xlpm.MyAuditVal,_xlfn.XLOOKUP($A248,My_Audit!$A:$A,My_Audit!O:O,""),
_xlfn.IFS(_xlpm.MyAuditVal&lt;&gt;"",UPPER(_xlpm.MyAuditVal),_xlpm.MacVal&lt;&gt;"",_xlpm.MacVal,_xlpm.CSVVal&lt;&gt;"",_xlpm.CSVVal
)),"")</f>
        <v/>
      </c>
      <c r="O248" s="46" t="str">
        <f>_xlfn.XLOOKUP(C248,My_Audit!B:B,My_Audit!P:P,"")&amp;""</f>
        <v/>
      </c>
      <c r="P248" s="45"/>
      <c r="Q248" s="46" t="str">
        <f>IF(LEFT(N248,4)="Pass","Nist SP 800-88",My_Audit!R248)&amp;""</f>
        <v/>
      </c>
      <c r="R248" s="45"/>
      <c r="S248" s="45"/>
      <c r="T248" s="46" t="str">
        <f>_xlfn.XLOOKUP(E248,Models!I:I,Models!J:J,"")</f>
        <v/>
      </c>
      <c r="U248" s="45"/>
      <c r="V248" s="45"/>
      <c r="W248" s="38"/>
    </row>
    <row r="249" spans="1:23">
      <c r="A249" s="45" t="str">
        <f>_xlfn.TEXTJOIN("",TRUE,Input!$B$2,ROW(My_Audit!A248))</f>
        <v>XX248</v>
      </c>
      <c r="B249" s="45" t="str">
        <f>_xlfn.TEXTJOIN("-",TRUE,"ITD",Input!$A$2,A249)</f>
        <v>ITD-SHRXXX-XX248</v>
      </c>
      <c r="C249" s="45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46" t="str" cm="1">
        <f t="array" ref="D249">IFERROR(_xlfn.LET(
_xlpm.CSVVal,_xlfn.XLOOKUP($A249,CSV!$A:$A,CSV!C:C,""),
_xlpm.MacVal,_xlfn.XLOOKUP($A249,Output_Mac!$A:$A,Output_Mac!D:D,""),
_xlpm.MyAuditVal,_xlfn.XLOOKUP($A249,My_Audit!$A:$A,My_Audit!C:C,""),
_xlfn.IFS(_xlpm.MyAuditVal&lt;&gt;"",UPPER(_xlpm.MyAuditVal),_xlpm.MacVal&lt;&gt;"",_xlpm.MacVal,_xlpm.CSVVal&lt;&gt;"",_xlpm.CSVVal
)),"")</f>
        <v/>
      </c>
      <c r="E249" s="46" t="str" cm="1">
        <f t="array" ref="E249">IFERROR(_xlfn.LET(
_xlpm.CSVVal,_xlfn.XLOOKUP($A249,CSV!$A:$A,CSV!E:E,""),
_xlpm.MacVal,_xlfn.XLOOKUP($A249,Output_Mac!$A:$A,Output_Mac!C:C,""),
_xlpm.MyAuditVal,_xlfn.XLOOKUP($A249,My_Audit!$A:$A,My_Audit!D:D,""),
_xlfn.IFS(_xlpm.MyAuditVal&lt;&gt;"",_xlpm.MyAuditVal,_xlpm.MacVal&lt;&gt;"",_xlpm.MacVal,_xlpm.CSVVal&lt;&gt;"",_xlpm.CSVVal
)),"")</f>
        <v/>
      </c>
      <c r="F249" s="45" t="str" cm="1">
        <f t="array" ref="F249">IFERROR(_xlfn.LET(
_xlpm.CSVVal,_xlfn.XLOOKUP($A249,CSV!$A:$A,CSV!F:F,""),
_xlpm.MacVal,_xlfn.XLOOKUP($A249,Output_Mac!$A:$A,Output_Mac!F:F,""),
_xlpm.MyAuditVal,_xlfn.XLOOKUP($A249,My_Audit!$A:$A,My_Audit!E:E,""),
_xlfn.IFS(_xlpm.MyAuditVal&lt;&gt;"",_xlpm.MyAuditVal,_xlpm.MacVal&lt;&gt;"",_xlpm.MacVal,_xlpm.CSVVal&lt;&gt;"",PROPER(_xlpm.CSVVal)
)),"")</f>
        <v/>
      </c>
      <c r="G249" s="45" t="str" cm="1">
        <f t="array" ref="G249">IFERROR(_xlfn.LET(
_xlpm.CSVVal,_xlfn.XLOOKUP($A249,CSV!$A:$A,CSV!G:G,""),
_xlpm.MacVal,_xlfn.XLOOKUP($A249,Output_Mac!$A:$A,Output_Mac!H:H,""),
_xlpm.MyAuditVal,_xlfn.XLOOKUP($A249,My_Audit!$A:$A,My_Audit!F:F,""),
_xlfn.IFS(_xlpm.MyAuditVal&lt;&gt;"",_xlpm.MyAuditVal,_xlpm.MacVal&lt;&gt;"",_xlpm.MacVal,_xlpm.CSVVal&lt;&gt;"",_xlpm.CSVVal
)),"")</f>
        <v/>
      </c>
      <c r="H249" s="45" t="str">
        <f>_xlfn.XLOOKUP(A249,Output_Mac!A:A,Output_Mac!I:I,"")</f>
        <v/>
      </c>
      <c r="I249" s="45" t="str" cm="1">
        <f t="array" ref="I249">IFERROR(_xlfn.LET(
_xlpm.CSVVal,_xlfn.XLOOKUP($A249,CSV!$A:$A,CSV!H:H,""),
_xlpm.MacVal,_xlfn.XLOOKUP($A249,Output_Mac!$A:$A,Output_Mac!J:J,""),
_xlpm.MyAuditVal,_xlfn.XLOOKUP($A249,My_Audit!$A:$A,My_Audit!H:H,""),
_xlfn.IFS(_xlpm.MyAuditVal&lt;&gt;"",UPPER(_xlpm.MyAuditVal),_xlpm.MacVal&lt;&gt;"",_xlpm.MacVal,_xlpm.CSVVal&lt;&gt;"",_xlpm.CSVVal
)),"")</f>
        <v/>
      </c>
      <c r="J249" s="45" t="str" cm="1">
        <f t="array" ref="J249">IFERROR(_xlfn.LET(
_xlpm.CSVVal,_xlfn.XLOOKUP($A249,CSV!$A:$A,CSV!J:J,""),
_xlpm.MacVal,_xlfn.XLOOKUP($A249,Output_Mac!$A:$A,Output_Mac!K:K,""),
_xlpm.MyAuditVal,_xlfn.XLOOKUP($A249,My_Audit!$A:$A,My_Audit!I:I,""),
_xlfn.IFS(_xlpm.MyAuditVal&lt;&gt;"",UPPER(_xlpm.MyAuditVal),_xlpm.MacVal&lt;&gt;"",_xlpm.MacVal,_xlpm.CSVVal&lt;&gt;"",_xlpm.CSVVal
)),"")</f>
        <v/>
      </c>
      <c r="K249" s="45" t="str" cm="1">
        <f t="array" ref="K249">IFERROR(_xlfn.LET(
_xlpm.CSVVal,_xlfn.XLOOKUP($A249,CSV!$A:$A,CSV!N:N,""),
_xlpm.MacVal,_xlfn.XLOOKUP($A249,Output_Mac!$A:$A,Output_Mac!L:L,""),
_xlpm.MyAuditVal,_xlfn.XLOOKUP($A249,My_Audit!$A:$A,My_Audit!J:J,""),
_xlfn.IFS(_xlpm.MyAuditVal&lt;&gt;"",UPPER(_xlpm.MyAuditVal),_xlpm.MacVal&lt;&gt;"",_xlpm.MacVal,_xlpm.CSVVal&lt;&gt;"",_xlpm.CSVVal
)),"")</f>
        <v/>
      </c>
      <c r="L249" s="46" t="str" cm="1">
        <f t="array" ref="L249">IFERROR(_xlfn.LET(
_xlpm.CSVVal,_xlfn.XLOOKUP($A249,CSV!$A:$A,CSV!Q:Q,""),
_xlpm.MacVal,_xlfn.XLOOKUP($A249,Output_Mac!$A:$A,Output_Mac!M:M,""),
_xlpm.MyAuditVal,_xlfn.XLOOKUP($A249,My_Audit!$A:$A,My_Audit!K:K,""),
_xlfn.IFS(_xlpm.MyAuditVal&lt;&gt;"",UPPER(_xlpm.MyAuditVal),_xlpm.MacVal&lt;&gt;"",_xlpm.MacVal,_xlpm.CSVVal&lt;&gt;"",_xlpm.CSVVal
)),"")</f>
        <v/>
      </c>
      <c r="M249" s="45" t="str">
        <f>_xlfn.LET(
    _xlpm.CSVVal, _xlfn.XLOOKUP($A249, CSV!$A:$A, CSV!AE:AE, ""),
    _xlpm.MacVal, _xlfn.XLOOKUP($A249, Output_Mac!$A:$A, Output_Mac!S:S, ""),
    _xlpm.MyAuditVal, _xlfn.XLOOKUP($A249, My_Audit!$A:$A, My_Audit!N:N, ""),
    _xlfn.TEXTJOIN(", ", TRUE, _xlpm.MyAuditVal, _xlpm.MacVal, _xlpm.CSVVal)
)</f>
        <v/>
      </c>
      <c r="N249" s="45" t="str" cm="1">
        <f t="array" ref="N249">IFERROR(_xlfn.LET(
_xlpm.CSVVal,_xlfn.XLOOKUP($A249,CSV!$A:$A,CSV!AG:AG,""),
_xlpm.MacVal,_xlfn.XLOOKUP($A249,Output_Mac!$A:$A,Output_Mac!U:U,""),
_xlpm.MyAuditVal,_xlfn.XLOOKUP($A249,My_Audit!$A:$A,My_Audit!O:O,""),
_xlfn.IFS(_xlpm.MyAuditVal&lt;&gt;"",UPPER(_xlpm.MyAuditVal),_xlpm.MacVal&lt;&gt;"",_xlpm.MacVal,_xlpm.CSVVal&lt;&gt;"",_xlpm.CSVVal
)),"")</f>
        <v/>
      </c>
      <c r="O249" s="46" t="str">
        <f>_xlfn.XLOOKUP(C249,My_Audit!B:B,My_Audit!P:P,"")&amp;""</f>
        <v/>
      </c>
      <c r="P249" s="45"/>
      <c r="Q249" s="46" t="str">
        <f>IF(LEFT(N249,4)="Pass","Nist SP 800-88",My_Audit!R249)&amp;""</f>
        <v/>
      </c>
      <c r="R249" s="45"/>
      <c r="S249" s="45"/>
      <c r="T249" s="46" t="str">
        <f>_xlfn.XLOOKUP(E249,Models!I:I,Models!J:J,"")</f>
        <v/>
      </c>
      <c r="U249" s="45"/>
      <c r="V249" s="45"/>
      <c r="W249" s="38"/>
    </row>
    <row r="250" spans="1:23">
      <c r="A250" s="45" t="str">
        <f>_xlfn.TEXTJOIN("",TRUE,Input!$B$2,ROW(My_Audit!A249))</f>
        <v>XX249</v>
      </c>
      <c r="B250" s="45" t="str">
        <f>_xlfn.TEXTJOIN("-",TRUE,"ITD",Input!$A$2,A250)</f>
        <v>ITD-SHRXXX-XX249</v>
      </c>
      <c r="C250" s="45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46" t="str" cm="1">
        <f t="array" ref="D250">IFERROR(_xlfn.LET(
_xlpm.CSVVal,_xlfn.XLOOKUP($A250,CSV!$A:$A,CSV!C:C,""),
_xlpm.MacVal,_xlfn.XLOOKUP($A250,Output_Mac!$A:$A,Output_Mac!D:D,""),
_xlpm.MyAuditVal,_xlfn.XLOOKUP($A250,My_Audit!$A:$A,My_Audit!C:C,""),
_xlfn.IFS(_xlpm.MyAuditVal&lt;&gt;"",UPPER(_xlpm.MyAuditVal),_xlpm.MacVal&lt;&gt;"",_xlpm.MacVal,_xlpm.CSVVal&lt;&gt;"",_xlpm.CSVVal
)),"")</f>
        <v/>
      </c>
      <c r="E250" s="46" t="str" cm="1">
        <f t="array" ref="E250">IFERROR(_xlfn.LET(
_xlpm.CSVVal,_xlfn.XLOOKUP($A250,CSV!$A:$A,CSV!E:E,""),
_xlpm.MacVal,_xlfn.XLOOKUP($A250,Output_Mac!$A:$A,Output_Mac!C:C,""),
_xlpm.MyAuditVal,_xlfn.XLOOKUP($A250,My_Audit!$A:$A,My_Audit!D:D,""),
_xlfn.IFS(_xlpm.MyAuditVal&lt;&gt;"",_xlpm.MyAuditVal,_xlpm.MacVal&lt;&gt;"",_xlpm.MacVal,_xlpm.CSVVal&lt;&gt;"",_xlpm.CSVVal
)),"")</f>
        <v/>
      </c>
      <c r="F250" s="45" t="str" cm="1">
        <f t="array" ref="F250">IFERROR(_xlfn.LET(
_xlpm.CSVVal,_xlfn.XLOOKUP($A250,CSV!$A:$A,CSV!F:F,""),
_xlpm.MacVal,_xlfn.XLOOKUP($A250,Output_Mac!$A:$A,Output_Mac!F:F,""),
_xlpm.MyAuditVal,_xlfn.XLOOKUP($A250,My_Audit!$A:$A,My_Audit!E:E,""),
_xlfn.IFS(_xlpm.MyAuditVal&lt;&gt;"",_xlpm.MyAuditVal,_xlpm.MacVal&lt;&gt;"",_xlpm.MacVal,_xlpm.CSVVal&lt;&gt;"",PROPER(_xlpm.CSVVal)
)),"")</f>
        <v/>
      </c>
      <c r="G250" s="45" t="str" cm="1">
        <f t="array" ref="G250">IFERROR(_xlfn.LET(
_xlpm.CSVVal,_xlfn.XLOOKUP($A250,CSV!$A:$A,CSV!G:G,""),
_xlpm.MacVal,_xlfn.XLOOKUP($A250,Output_Mac!$A:$A,Output_Mac!H:H,""),
_xlpm.MyAuditVal,_xlfn.XLOOKUP($A250,My_Audit!$A:$A,My_Audit!F:F,""),
_xlfn.IFS(_xlpm.MyAuditVal&lt;&gt;"",_xlpm.MyAuditVal,_xlpm.MacVal&lt;&gt;"",_xlpm.MacVal,_xlpm.CSVVal&lt;&gt;"",_xlpm.CSVVal
)),"")</f>
        <v/>
      </c>
      <c r="H250" s="45" t="str">
        <f>_xlfn.XLOOKUP(A250,Output_Mac!A:A,Output_Mac!I:I,"")</f>
        <v/>
      </c>
      <c r="I250" s="45" t="str" cm="1">
        <f t="array" ref="I250">IFERROR(_xlfn.LET(
_xlpm.CSVVal,_xlfn.XLOOKUP($A250,CSV!$A:$A,CSV!H:H,""),
_xlpm.MacVal,_xlfn.XLOOKUP($A250,Output_Mac!$A:$A,Output_Mac!J:J,""),
_xlpm.MyAuditVal,_xlfn.XLOOKUP($A250,My_Audit!$A:$A,My_Audit!H:H,""),
_xlfn.IFS(_xlpm.MyAuditVal&lt;&gt;"",UPPER(_xlpm.MyAuditVal),_xlpm.MacVal&lt;&gt;"",_xlpm.MacVal,_xlpm.CSVVal&lt;&gt;"",_xlpm.CSVVal
)),"")</f>
        <v/>
      </c>
      <c r="J250" s="45" t="str" cm="1">
        <f t="array" ref="J250">IFERROR(_xlfn.LET(
_xlpm.CSVVal,_xlfn.XLOOKUP($A250,CSV!$A:$A,CSV!J:J,""),
_xlpm.MacVal,_xlfn.XLOOKUP($A250,Output_Mac!$A:$A,Output_Mac!K:K,""),
_xlpm.MyAuditVal,_xlfn.XLOOKUP($A250,My_Audit!$A:$A,My_Audit!I:I,""),
_xlfn.IFS(_xlpm.MyAuditVal&lt;&gt;"",UPPER(_xlpm.MyAuditVal),_xlpm.MacVal&lt;&gt;"",_xlpm.MacVal,_xlpm.CSVVal&lt;&gt;"",_xlpm.CSVVal
)),"")</f>
        <v/>
      </c>
      <c r="K250" s="45" t="str" cm="1">
        <f t="array" ref="K250">IFERROR(_xlfn.LET(
_xlpm.CSVVal,_xlfn.XLOOKUP($A250,CSV!$A:$A,CSV!N:N,""),
_xlpm.MacVal,_xlfn.XLOOKUP($A250,Output_Mac!$A:$A,Output_Mac!L:L,""),
_xlpm.MyAuditVal,_xlfn.XLOOKUP($A250,My_Audit!$A:$A,My_Audit!J:J,""),
_xlfn.IFS(_xlpm.MyAuditVal&lt;&gt;"",UPPER(_xlpm.MyAuditVal),_xlpm.MacVal&lt;&gt;"",_xlpm.MacVal,_xlpm.CSVVal&lt;&gt;"",_xlpm.CSVVal
)),"")</f>
        <v/>
      </c>
      <c r="L250" s="46" t="str" cm="1">
        <f t="array" ref="L250">IFERROR(_xlfn.LET(
_xlpm.CSVVal,_xlfn.XLOOKUP($A250,CSV!$A:$A,CSV!Q:Q,""),
_xlpm.MacVal,_xlfn.XLOOKUP($A250,Output_Mac!$A:$A,Output_Mac!M:M,""),
_xlpm.MyAuditVal,_xlfn.XLOOKUP($A250,My_Audit!$A:$A,My_Audit!K:K,""),
_xlfn.IFS(_xlpm.MyAuditVal&lt;&gt;"",UPPER(_xlpm.MyAuditVal),_xlpm.MacVal&lt;&gt;"",_xlpm.MacVal,_xlpm.CSVVal&lt;&gt;"",_xlpm.CSVVal
)),"")</f>
        <v/>
      </c>
      <c r="M250" s="45" t="str">
        <f>_xlfn.LET(
    _xlpm.CSVVal, _xlfn.XLOOKUP($A250, CSV!$A:$A, CSV!AE:AE, ""),
    _xlpm.MacVal, _xlfn.XLOOKUP($A250, Output_Mac!$A:$A, Output_Mac!S:S, ""),
    _xlpm.MyAuditVal, _xlfn.XLOOKUP($A250, My_Audit!$A:$A, My_Audit!N:N, ""),
    _xlfn.TEXTJOIN(", ", TRUE, _xlpm.MyAuditVal, _xlpm.MacVal, _xlpm.CSVVal)
)</f>
        <v/>
      </c>
      <c r="N250" s="45" t="str" cm="1">
        <f t="array" ref="N250">IFERROR(_xlfn.LET(
_xlpm.CSVVal,_xlfn.XLOOKUP($A250,CSV!$A:$A,CSV!AG:AG,""),
_xlpm.MacVal,_xlfn.XLOOKUP($A250,Output_Mac!$A:$A,Output_Mac!U:U,""),
_xlpm.MyAuditVal,_xlfn.XLOOKUP($A250,My_Audit!$A:$A,My_Audit!O:O,""),
_xlfn.IFS(_xlpm.MyAuditVal&lt;&gt;"",UPPER(_xlpm.MyAuditVal),_xlpm.MacVal&lt;&gt;"",_xlpm.MacVal,_xlpm.CSVVal&lt;&gt;"",_xlpm.CSVVal
)),"")</f>
        <v/>
      </c>
      <c r="O250" s="46" t="str">
        <f>_xlfn.XLOOKUP(C250,My_Audit!B:B,My_Audit!P:P,"")&amp;""</f>
        <v/>
      </c>
      <c r="P250" s="45"/>
      <c r="Q250" s="46" t="str">
        <f>IF(LEFT(N250,4)="Pass","Nist SP 800-88",My_Audit!R250)&amp;""</f>
        <v/>
      </c>
      <c r="R250" s="45"/>
      <c r="S250" s="45"/>
      <c r="T250" s="46" t="str">
        <f>_xlfn.XLOOKUP(E250,Models!I:I,Models!J:J,"")</f>
        <v/>
      </c>
      <c r="U250" s="45"/>
      <c r="V250" s="45"/>
      <c r="W250" s="38"/>
    </row>
    <row r="251" spans="1:23">
      <c r="A251" s="45" t="str">
        <f>_xlfn.TEXTJOIN("",TRUE,Input!$B$2,ROW(My_Audit!A250))</f>
        <v>XX250</v>
      </c>
      <c r="B251" s="45" t="str">
        <f>_xlfn.TEXTJOIN("-",TRUE,"ITD",Input!$A$2,A251)</f>
        <v>ITD-SHRXXX-XX250</v>
      </c>
      <c r="C251" s="45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46" t="str" cm="1">
        <f t="array" ref="D251">IFERROR(_xlfn.LET(
_xlpm.CSVVal,_xlfn.XLOOKUP($A251,CSV!$A:$A,CSV!C:C,""),
_xlpm.MacVal,_xlfn.XLOOKUP($A251,Output_Mac!$A:$A,Output_Mac!D:D,""),
_xlpm.MyAuditVal,_xlfn.XLOOKUP($A251,My_Audit!$A:$A,My_Audit!C:C,""),
_xlfn.IFS(_xlpm.MyAuditVal&lt;&gt;"",UPPER(_xlpm.MyAuditVal),_xlpm.MacVal&lt;&gt;"",_xlpm.MacVal,_xlpm.CSVVal&lt;&gt;"",_xlpm.CSVVal
)),"")</f>
        <v/>
      </c>
      <c r="E251" s="46" t="str" cm="1">
        <f t="array" ref="E251">IFERROR(_xlfn.LET(
_xlpm.CSVVal,_xlfn.XLOOKUP($A251,CSV!$A:$A,CSV!E:E,""),
_xlpm.MacVal,_xlfn.XLOOKUP($A251,Output_Mac!$A:$A,Output_Mac!C:C,""),
_xlpm.MyAuditVal,_xlfn.XLOOKUP($A251,My_Audit!$A:$A,My_Audit!D:D,""),
_xlfn.IFS(_xlpm.MyAuditVal&lt;&gt;"",_xlpm.MyAuditVal,_xlpm.MacVal&lt;&gt;"",_xlpm.MacVal,_xlpm.CSVVal&lt;&gt;"",_xlpm.CSVVal
)),"")</f>
        <v/>
      </c>
      <c r="F251" s="45" t="str" cm="1">
        <f t="array" ref="F251">IFERROR(_xlfn.LET(
_xlpm.CSVVal,_xlfn.XLOOKUP($A251,CSV!$A:$A,CSV!F:F,""),
_xlpm.MacVal,_xlfn.XLOOKUP($A251,Output_Mac!$A:$A,Output_Mac!F:F,""),
_xlpm.MyAuditVal,_xlfn.XLOOKUP($A251,My_Audit!$A:$A,My_Audit!E:E,""),
_xlfn.IFS(_xlpm.MyAuditVal&lt;&gt;"",_xlpm.MyAuditVal,_xlpm.MacVal&lt;&gt;"",_xlpm.MacVal,_xlpm.CSVVal&lt;&gt;"",PROPER(_xlpm.CSVVal)
)),"")</f>
        <v/>
      </c>
      <c r="G251" s="45" t="str" cm="1">
        <f t="array" ref="G251">IFERROR(_xlfn.LET(
_xlpm.CSVVal,_xlfn.XLOOKUP($A251,CSV!$A:$A,CSV!G:G,""),
_xlpm.MacVal,_xlfn.XLOOKUP($A251,Output_Mac!$A:$A,Output_Mac!H:H,""),
_xlpm.MyAuditVal,_xlfn.XLOOKUP($A251,My_Audit!$A:$A,My_Audit!F:F,""),
_xlfn.IFS(_xlpm.MyAuditVal&lt;&gt;"",_xlpm.MyAuditVal,_xlpm.MacVal&lt;&gt;"",_xlpm.MacVal,_xlpm.CSVVal&lt;&gt;"",_xlpm.CSVVal
)),"")</f>
        <v/>
      </c>
      <c r="H251" s="45" t="str">
        <f>_xlfn.XLOOKUP(A251,Output_Mac!A:A,Output_Mac!I:I,"")</f>
        <v/>
      </c>
      <c r="I251" s="45" t="str" cm="1">
        <f t="array" ref="I251">IFERROR(_xlfn.LET(
_xlpm.CSVVal,_xlfn.XLOOKUP($A251,CSV!$A:$A,CSV!H:H,""),
_xlpm.MacVal,_xlfn.XLOOKUP($A251,Output_Mac!$A:$A,Output_Mac!J:J,""),
_xlpm.MyAuditVal,_xlfn.XLOOKUP($A251,My_Audit!$A:$A,My_Audit!H:H,""),
_xlfn.IFS(_xlpm.MyAuditVal&lt;&gt;"",UPPER(_xlpm.MyAuditVal),_xlpm.MacVal&lt;&gt;"",_xlpm.MacVal,_xlpm.CSVVal&lt;&gt;"",_xlpm.CSVVal
)),"")</f>
        <v/>
      </c>
      <c r="J251" s="45" t="str" cm="1">
        <f t="array" ref="J251">IFERROR(_xlfn.LET(
_xlpm.CSVVal,_xlfn.XLOOKUP($A251,CSV!$A:$A,CSV!J:J,""),
_xlpm.MacVal,_xlfn.XLOOKUP($A251,Output_Mac!$A:$A,Output_Mac!K:K,""),
_xlpm.MyAuditVal,_xlfn.XLOOKUP($A251,My_Audit!$A:$A,My_Audit!I:I,""),
_xlfn.IFS(_xlpm.MyAuditVal&lt;&gt;"",UPPER(_xlpm.MyAuditVal),_xlpm.MacVal&lt;&gt;"",_xlpm.MacVal,_xlpm.CSVVal&lt;&gt;"",_xlpm.CSVVal
)),"")</f>
        <v/>
      </c>
      <c r="K251" s="45" t="str" cm="1">
        <f t="array" ref="K251">IFERROR(_xlfn.LET(
_xlpm.CSVVal,_xlfn.XLOOKUP($A251,CSV!$A:$A,CSV!N:N,""),
_xlpm.MacVal,_xlfn.XLOOKUP($A251,Output_Mac!$A:$A,Output_Mac!L:L,""),
_xlpm.MyAuditVal,_xlfn.XLOOKUP($A251,My_Audit!$A:$A,My_Audit!J:J,""),
_xlfn.IFS(_xlpm.MyAuditVal&lt;&gt;"",UPPER(_xlpm.MyAuditVal),_xlpm.MacVal&lt;&gt;"",_xlpm.MacVal,_xlpm.CSVVal&lt;&gt;"",_xlpm.CSVVal
)),"")</f>
        <v/>
      </c>
      <c r="L251" s="46" t="str" cm="1">
        <f t="array" ref="L251">IFERROR(_xlfn.LET(
_xlpm.CSVVal,_xlfn.XLOOKUP($A251,CSV!$A:$A,CSV!Q:Q,""),
_xlpm.MacVal,_xlfn.XLOOKUP($A251,Output_Mac!$A:$A,Output_Mac!M:M,""),
_xlpm.MyAuditVal,_xlfn.XLOOKUP($A251,My_Audit!$A:$A,My_Audit!K:K,""),
_xlfn.IFS(_xlpm.MyAuditVal&lt;&gt;"",UPPER(_xlpm.MyAuditVal),_xlpm.MacVal&lt;&gt;"",_xlpm.MacVal,_xlpm.CSVVal&lt;&gt;"",_xlpm.CSVVal
)),"")</f>
        <v/>
      </c>
      <c r="M251" s="45" t="str">
        <f>_xlfn.LET(
    _xlpm.CSVVal, _xlfn.XLOOKUP($A251, CSV!$A:$A, CSV!AE:AE, ""),
    _xlpm.MacVal, _xlfn.XLOOKUP($A251, Output_Mac!$A:$A, Output_Mac!S:S, ""),
    _xlpm.MyAuditVal, _xlfn.XLOOKUP($A251, My_Audit!$A:$A, My_Audit!N:N, ""),
    _xlfn.TEXTJOIN(", ", TRUE, _xlpm.MyAuditVal, _xlpm.MacVal, _xlpm.CSVVal)
)</f>
        <v/>
      </c>
      <c r="N251" s="45" t="str" cm="1">
        <f t="array" ref="N251">IFERROR(_xlfn.LET(
_xlpm.CSVVal,_xlfn.XLOOKUP($A251,CSV!$A:$A,CSV!AG:AG,""),
_xlpm.MacVal,_xlfn.XLOOKUP($A251,Output_Mac!$A:$A,Output_Mac!U:U,""),
_xlpm.MyAuditVal,_xlfn.XLOOKUP($A251,My_Audit!$A:$A,My_Audit!O:O,""),
_xlfn.IFS(_xlpm.MyAuditVal&lt;&gt;"",UPPER(_xlpm.MyAuditVal),_xlpm.MacVal&lt;&gt;"",_xlpm.MacVal,_xlpm.CSVVal&lt;&gt;"",_xlpm.CSVVal
)),"")</f>
        <v/>
      </c>
      <c r="O251" s="46" t="str">
        <f>_xlfn.XLOOKUP(C251,My_Audit!B:B,My_Audit!P:P,"")&amp;""</f>
        <v/>
      </c>
      <c r="P251" s="45"/>
      <c r="Q251" s="46" t="str">
        <f>IF(LEFT(N251,4)="Pass","Nist SP 800-88",My_Audit!R251)&amp;""</f>
        <v/>
      </c>
      <c r="R251" s="45"/>
      <c r="S251" s="45"/>
      <c r="T251" s="46" t="str">
        <f>_xlfn.XLOOKUP(E251,Models!I:I,Models!J:J,"")</f>
        <v/>
      </c>
      <c r="U251" s="45"/>
      <c r="V251" s="45"/>
      <c r="W251" s="38"/>
    </row>
    <row r="252" spans="1:23">
      <c r="A252" s="45" t="str">
        <f>_xlfn.TEXTJOIN("",TRUE,Input!$B$2,ROW(My_Audit!A251))</f>
        <v>XX251</v>
      </c>
      <c r="B252" s="45" t="str">
        <f>_xlfn.TEXTJOIN("-",TRUE,"ITD",Input!$A$2,A252)</f>
        <v>ITD-SHRXXX-XX251</v>
      </c>
      <c r="C252" s="45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46" t="str" cm="1">
        <f t="array" ref="D252">IFERROR(_xlfn.LET(
_xlpm.CSVVal,_xlfn.XLOOKUP($A252,CSV!$A:$A,CSV!C:C,""),
_xlpm.MacVal,_xlfn.XLOOKUP($A252,Output_Mac!$A:$A,Output_Mac!D:D,""),
_xlpm.MyAuditVal,_xlfn.XLOOKUP($A252,My_Audit!$A:$A,My_Audit!C:C,""),
_xlfn.IFS(_xlpm.MyAuditVal&lt;&gt;"",UPPER(_xlpm.MyAuditVal),_xlpm.MacVal&lt;&gt;"",_xlpm.MacVal,_xlpm.CSVVal&lt;&gt;"",_xlpm.CSVVal
)),"")</f>
        <v/>
      </c>
      <c r="E252" s="46" t="str" cm="1">
        <f t="array" ref="E252">IFERROR(_xlfn.LET(
_xlpm.CSVVal,_xlfn.XLOOKUP($A252,CSV!$A:$A,CSV!E:E,""),
_xlpm.MacVal,_xlfn.XLOOKUP($A252,Output_Mac!$A:$A,Output_Mac!C:C,""),
_xlpm.MyAuditVal,_xlfn.XLOOKUP($A252,My_Audit!$A:$A,My_Audit!D:D,""),
_xlfn.IFS(_xlpm.MyAuditVal&lt;&gt;"",_xlpm.MyAuditVal,_xlpm.MacVal&lt;&gt;"",_xlpm.MacVal,_xlpm.CSVVal&lt;&gt;"",_xlpm.CSVVal
)),"")</f>
        <v/>
      </c>
      <c r="F252" s="45" t="str" cm="1">
        <f t="array" ref="F252">IFERROR(_xlfn.LET(
_xlpm.CSVVal,_xlfn.XLOOKUP($A252,CSV!$A:$A,CSV!F:F,""),
_xlpm.MacVal,_xlfn.XLOOKUP($A252,Output_Mac!$A:$A,Output_Mac!F:F,""),
_xlpm.MyAuditVal,_xlfn.XLOOKUP($A252,My_Audit!$A:$A,My_Audit!E:E,""),
_xlfn.IFS(_xlpm.MyAuditVal&lt;&gt;"",_xlpm.MyAuditVal,_xlpm.MacVal&lt;&gt;"",_xlpm.MacVal,_xlpm.CSVVal&lt;&gt;"",PROPER(_xlpm.CSVVal)
)),"")</f>
        <v/>
      </c>
      <c r="G252" s="45" t="str" cm="1">
        <f t="array" ref="G252">IFERROR(_xlfn.LET(
_xlpm.CSVVal,_xlfn.XLOOKUP($A252,CSV!$A:$A,CSV!G:G,""),
_xlpm.MacVal,_xlfn.XLOOKUP($A252,Output_Mac!$A:$A,Output_Mac!H:H,""),
_xlpm.MyAuditVal,_xlfn.XLOOKUP($A252,My_Audit!$A:$A,My_Audit!F:F,""),
_xlfn.IFS(_xlpm.MyAuditVal&lt;&gt;"",_xlpm.MyAuditVal,_xlpm.MacVal&lt;&gt;"",_xlpm.MacVal,_xlpm.CSVVal&lt;&gt;"",_xlpm.CSVVal
)),"")</f>
        <v/>
      </c>
      <c r="H252" s="45" t="str">
        <f>_xlfn.XLOOKUP(A252,Output_Mac!A:A,Output_Mac!I:I,"")</f>
        <v/>
      </c>
      <c r="I252" s="45" t="str" cm="1">
        <f t="array" ref="I252">IFERROR(_xlfn.LET(
_xlpm.CSVVal,_xlfn.XLOOKUP($A252,CSV!$A:$A,CSV!H:H,""),
_xlpm.MacVal,_xlfn.XLOOKUP($A252,Output_Mac!$A:$A,Output_Mac!J:J,""),
_xlpm.MyAuditVal,_xlfn.XLOOKUP($A252,My_Audit!$A:$A,My_Audit!H:H,""),
_xlfn.IFS(_xlpm.MyAuditVal&lt;&gt;"",UPPER(_xlpm.MyAuditVal),_xlpm.MacVal&lt;&gt;"",_xlpm.MacVal,_xlpm.CSVVal&lt;&gt;"",_xlpm.CSVVal
)),"")</f>
        <v/>
      </c>
      <c r="J252" s="45" t="str" cm="1">
        <f t="array" ref="J252">IFERROR(_xlfn.LET(
_xlpm.CSVVal,_xlfn.XLOOKUP($A252,CSV!$A:$A,CSV!J:J,""),
_xlpm.MacVal,_xlfn.XLOOKUP($A252,Output_Mac!$A:$A,Output_Mac!K:K,""),
_xlpm.MyAuditVal,_xlfn.XLOOKUP($A252,My_Audit!$A:$A,My_Audit!I:I,""),
_xlfn.IFS(_xlpm.MyAuditVal&lt;&gt;"",UPPER(_xlpm.MyAuditVal),_xlpm.MacVal&lt;&gt;"",_xlpm.MacVal,_xlpm.CSVVal&lt;&gt;"",_xlpm.CSVVal
)),"")</f>
        <v/>
      </c>
      <c r="K252" s="45" t="str" cm="1">
        <f t="array" ref="K252">IFERROR(_xlfn.LET(
_xlpm.CSVVal,_xlfn.XLOOKUP($A252,CSV!$A:$A,CSV!N:N,""),
_xlpm.MacVal,_xlfn.XLOOKUP($A252,Output_Mac!$A:$A,Output_Mac!L:L,""),
_xlpm.MyAuditVal,_xlfn.XLOOKUP($A252,My_Audit!$A:$A,My_Audit!J:J,""),
_xlfn.IFS(_xlpm.MyAuditVal&lt;&gt;"",UPPER(_xlpm.MyAuditVal),_xlpm.MacVal&lt;&gt;"",_xlpm.MacVal,_xlpm.CSVVal&lt;&gt;"",_xlpm.CSVVal
)),"")</f>
        <v/>
      </c>
      <c r="L252" s="46" t="str" cm="1">
        <f t="array" ref="L252">IFERROR(_xlfn.LET(
_xlpm.CSVVal,_xlfn.XLOOKUP($A252,CSV!$A:$A,CSV!Q:Q,""),
_xlpm.MacVal,_xlfn.XLOOKUP($A252,Output_Mac!$A:$A,Output_Mac!M:M,""),
_xlpm.MyAuditVal,_xlfn.XLOOKUP($A252,My_Audit!$A:$A,My_Audit!K:K,""),
_xlfn.IFS(_xlpm.MyAuditVal&lt;&gt;"",UPPER(_xlpm.MyAuditVal),_xlpm.MacVal&lt;&gt;"",_xlpm.MacVal,_xlpm.CSVVal&lt;&gt;"",_xlpm.CSVVal
)),"")</f>
        <v/>
      </c>
      <c r="M252" s="45" t="str">
        <f>_xlfn.LET(
    _xlpm.CSVVal, _xlfn.XLOOKUP($A252, CSV!$A:$A, CSV!AE:AE, ""),
    _xlpm.MacVal, _xlfn.XLOOKUP($A252, Output_Mac!$A:$A, Output_Mac!S:S, ""),
    _xlpm.MyAuditVal, _xlfn.XLOOKUP($A252, My_Audit!$A:$A, My_Audit!N:N, ""),
    _xlfn.TEXTJOIN(", ", TRUE, _xlpm.MyAuditVal, _xlpm.MacVal, _xlpm.CSVVal)
)</f>
        <v/>
      </c>
      <c r="N252" s="45" t="str" cm="1">
        <f t="array" ref="N252">IFERROR(_xlfn.LET(
_xlpm.CSVVal,_xlfn.XLOOKUP($A252,CSV!$A:$A,CSV!AG:AG,""),
_xlpm.MacVal,_xlfn.XLOOKUP($A252,Output_Mac!$A:$A,Output_Mac!U:U,""),
_xlpm.MyAuditVal,_xlfn.XLOOKUP($A252,My_Audit!$A:$A,My_Audit!O:O,""),
_xlfn.IFS(_xlpm.MyAuditVal&lt;&gt;"",UPPER(_xlpm.MyAuditVal),_xlpm.MacVal&lt;&gt;"",_xlpm.MacVal,_xlpm.CSVVal&lt;&gt;"",_xlpm.CSVVal
)),"")</f>
        <v/>
      </c>
      <c r="O252" s="46" t="str">
        <f>_xlfn.XLOOKUP(C252,My_Audit!B:B,My_Audit!P:P,"")&amp;""</f>
        <v/>
      </c>
      <c r="P252" s="45"/>
      <c r="Q252" s="46" t="str">
        <f>IF(LEFT(N252,4)="Pass","Nist SP 800-88",My_Audit!R252)&amp;""</f>
        <v/>
      </c>
      <c r="R252" s="45"/>
      <c r="S252" s="45"/>
      <c r="T252" s="46" t="str">
        <f>_xlfn.XLOOKUP(E252,Models!I:I,Models!J:J,"")</f>
        <v/>
      </c>
      <c r="U252" s="45"/>
      <c r="V252" s="45"/>
      <c r="W252" s="38"/>
    </row>
    <row r="253" spans="1:23">
      <c r="A253" s="45" t="str">
        <f>_xlfn.TEXTJOIN("",TRUE,Input!$B$2,ROW(My_Audit!A252))</f>
        <v>XX252</v>
      </c>
      <c r="B253" s="45" t="str">
        <f>_xlfn.TEXTJOIN("-",TRUE,"ITD",Input!$A$2,A253)</f>
        <v>ITD-SHRXXX-XX252</v>
      </c>
      <c r="C253" s="45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46" t="str" cm="1">
        <f t="array" ref="D253">IFERROR(_xlfn.LET(
_xlpm.CSVVal,_xlfn.XLOOKUP($A253,CSV!$A:$A,CSV!C:C,""),
_xlpm.MacVal,_xlfn.XLOOKUP($A253,Output_Mac!$A:$A,Output_Mac!D:D,""),
_xlpm.MyAuditVal,_xlfn.XLOOKUP($A253,My_Audit!$A:$A,My_Audit!C:C,""),
_xlfn.IFS(_xlpm.MyAuditVal&lt;&gt;"",UPPER(_xlpm.MyAuditVal),_xlpm.MacVal&lt;&gt;"",_xlpm.MacVal,_xlpm.CSVVal&lt;&gt;"",_xlpm.CSVVal
)),"")</f>
        <v/>
      </c>
      <c r="E253" s="46" t="str" cm="1">
        <f t="array" ref="E253">IFERROR(_xlfn.LET(
_xlpm.CSVVal,_xlfn.XLOOKUP($A253,CSV!$A:$A,CSV!E:E,""),
_xlpm.MacVal,_xlfn.XLOOKUP($A253,Output_Mac!$A:$A,Output_Mac!C:C,""),
_xlpm.MyAuditVal,_xlfn.XLOOKUP($A253,My_Audit!$A:$A,My_Audit!D:D,""),
_xlfn.IFS(_xlpm.MyAuditVal&lt;&gt;"",_xlpm.MyAuditVal,_xlpm.MacVal&lt;&gt;"",_xlpm.MacVal,_xlpm.CSVVal&lt;&gt;"",_xlpm.CSVVal
)),"")</f>
        <v/>
      </c>
      <c r="F253" s="45" t="str" cm="1">
        <f t="array" ref="F253">IFERROR(_xlfn.LET(
_xlpm.CSVVal,_xlfn.XLOOKUP($A253,CSV!$A:$A,CSV!F:F,""),
_xlpm.MacVal,_xlfn.XLOOKUP($A253,Output_Mac!$A:$A,Output_Mac!F:F,""),
_xlpm.MyAuditVal,_xlfn.XLOOKUP($A253,My_Audit!$A:$A,My_Audit!E:E,""),
_xlfn.IFS(_xlpm.MyAuditVal&lt;&gt;"",_xlpm.MyAuditVal,_xlpm.MacVal&lt;&gt;"",_xlpm.MacVal,_xlpm.CSVVal&lt;&gt;"",PROPER(_xlpm.CSVVal)
)),"")</f>
        <v/>
      </c>
      <c r="G253" s="45" t="str" cm="1">
        <f t="array" ref="G253">IFERROR(_xlfn.LET(
_xlpm.CSVVal,_xlfn.XLOOKUP($A253,CSV!$A:$A,CSV!G:G,""),
_xlpm.MacVal,_xlfn.XLOOKUP($A253,Output_Mac!$A:$A,Output_Mac!H:H,""),
_xlpm.MyAuditVal,_xlfn.XLOOKUP($A253,My_Audit!$A:$A,My_Audit!F:F,""),
_xlfn.IFS(_xlpm.MyAuditVal&lt;&gt;"",_xlpm.MyAuditVal,_xlpm.MacVal&lt;&gt;"",_xlpm.MacVal,_xlpm.CSVVal&lt;&gt;"",_xlpm.CSVVal
)),"")</f>
        <v/>
      </c>
      <c r="H253" s="45" t="str">
        <f>_xlfn.XLOOKUP(A253,Output_Mac!A:A,Output_Mac!I:I,"")</f>
        <v/>
      </c>
      <c r="I253" s="45" t="str" cm="1">
        <f t="array" ref="I253">IFERROR(_xlfn.LET(
_xlpm.CSVVal,_xlfn.XLOOKUP($A253,CSV!$A:$A,CSV!H:H,""),
_xlpm.MacVal,_xlfn.XLOOKUP($A253,Output_Mac!$A:$A,Output_Mac!J:J,""),
_xlpm.MyAuditVal,_xlfn.XLOOKUP($A253,My_Audit!$A:$A,My_Audit!H:H,""),
_xlfn.IFS(_xlpm.MyAuditVal&lt;&gt;"",UPPER(_xlpm.MyAuditVal),_xlpm.MacVal&lt;&gt;"",_xlpm.MacVal,_xlpm.CSVVal&lt;&gt;"",_xlpm.CSVVal
)),"")</f>
        <v/>
      </c>
      <c r="J253" s="45" t="str" cm="1">
        <f t="array" ref="J253">IFERROR(_xlfn.LET(
_xlpm.CSVVal,_xlfn.XLOOKUP($A253,CSV!$A:$A,CSV!J:J,""),
_xlpm.MacVal,_xlfn.XLOOKUP($A253,Output_Mac!$A:$A,Output_Mac!K:K,""),
_xlpm.MyAuditVal,_xlfn.XLOOKUP($A253,My_Audit!$A:$A,My_Audit!I:I,""),
_xlfn.IFS(_xlpm.MyAuditVal&lt;&gt;"",UPPER(_xlpm.MyAuditVal),_xlpm.MacVal&lt;&gt;"",_xlpm.MacVal,_xlpm.CSVVal&lt;&gt;"",_xlpm.CSVVal
)),"")</f>
        <v/>
      </c>
      <c r="K253" s="45" t="str" cm="1">
        <f t="array" ref="K253">IFERROR(_xlfn.LET(
_xlpm.CSVVal,_xlfn.XLOOKUP($A253,CSV!$A:$A,CSV!N:N,""),
_xlpm.MacVal,_xlfn.XLOOKUP($A253,Output_Mac!$A:$A,Output_Mac!L:L,""),
_xlpm.MyAuditVal,_xlfn.XLOOKUP($A253,My_Audit!$A:$A,My_Audit!J:J,""),
_xlfn.IFS(_xlpm.MyAuditVal&lt;&gt;"",UPPER(_xlpm.MyAuditVal),_xlpm.MacVal&lt;&gt;"",_xlpm.MacVal,_xlpm.CSVVal&lt;&gt;"",_xlpm.CSVVal
)),"")</f>
        <v/>
      </c>
      <c r="L253" s="46" t="str" cm="1">
        <f t="array" ref="L253">IFERROR(_xlfn.LET(
_xlpm.CSVVal,_xlfn.XLOOKUP($A253,CSV!$A:$A,CSV!Q:Q,""),
_xlpm.MacVal,_xlfn.XLOOKUP($A253,Output_Mac!$A:$A,Output_Mac!M:M,""),
_xlpm.MyAuditVal,_xlfn.XLOOKUP($A253,My_Audit!$A:$A,My_Audit!K:K,""),
_xlfn.IFS(_xlpm.MyAuditVal&lt;&gt;"",UPPER(_xlpm.MyAuditVal),_xlpm.MacVal&lt;&gt;"",_xlpm.MacVal,_xlpm.CSVVal&lt;&gt;"",_xlpm.CSVVal
)),"")</f>
        <v/>
      </c>
      <c r="M253" s="45" t="str">
        <f>_xlfn.LET(
    _xlpm.CSVVal, _xlfn.XLOOKUP($A253, CSV!$A:$A, CSV!AE:AE, ""),
    _xlpm.MacVal, _xlfn.XLOOKUP($A253, Output_Mac!$A:$A, Output_Mac!S:S, ""),
    _xlpm.MyAuditVal, _xlfn.XLOOKUP($A253, My_Audit!$A:$A, My_Audit!N:N, ""),
    _xlfn.TEXTJOIN(", ", TRUE, _xlpm.MyAuditVal, _xlpm.MacVal, _xlpm.CSVVal)
)</f>
        <v/>
      </c>
      <c r="N253" s="45" t="str" cm="1">
        <f t="array" ref="N253">IFERROR(_xlfn.LET(
_xlpm.CSVVal,_xlfn.XLOOKUP($A253,CSV!$A:$A,CSV!AG:AG,""),
_xlpm.MacVal,_xlfn.XLOOKUP($A253,Output_Mac!$A:$A,Output_Mac!U:U,""),
_xlpm.MyAuditVal,_xlfn.XLOOKUP($A253,My_Audit!$A:$A,My_Audit!O:O,""),
_xlfn.IFS(_xlpm.MyAuditVal&lt;&gt;"",UPPER(_xlpm.MyAuditVal),_xlpm.MacVal&lt;&gt;"",_xlpm.MacVal,_xlpm.CSVVal&lt;&gt;"",_xlpm.CSVVal
)),"")</f>
        <v/>
      </c>
      <c r="O253" s="46" t="str">
        <f>_xlfn.XLOOKUP(C253,My_Audit!B:B,My_Audit!P:P,"")&amp;""</f>
        <v/>
      </c>
      <c r="P253" s="45"/>
      <c r="Q253" s="46" t="str">
        <f>IF(LEFT(N253,4)="Pass","Nist SP 800-88",My_Audit!R253)&amp;""</f>
        <v/>
      </c>
      <c r="R253" s="45"/>
      <c r="S253" s="45"/>
      <c r="T253" s="46" t="str">
        <f>_xlfn.XLOOKUP(E253,Models!I:I,Models!J:J,"")</f>
        <v/>
      </c>
      <c r="U253" s="45"/>
      <c r="V253" s="45"/>
      <c r="W253" s="38"/>
    </row>
    <row r="254" spans="1:23">
      <c r="A254" s="45" t="str">
        <f>_xlfn.TEXTJOIN("",TRUE,Input!$B$2,ROW(My_Audit!A253))</f>
        <v>XX253</v>
      </c>
      <c r="B254" s="45" t="str">
        <f>_xlfn.TEXTJOIN("-",TRUE,"ITD",Input!$A$2,A254)</f>
        <v>ITD-SHRXXX-XX253</v>
      </c>
      <c r="C254" s="45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46" t="str" cm="1">
        <f t="array" ref="D254">IFERROR(_xlfn.LET(
_xlpm.CSVVal,_xlfn.XLOOKUP($A254,CSV!$A:$A,CSV!C:C,""),
_xlpm.MacVal,_xlfn.XLOOKUP($A254,Output_Mac!$A:$A,Output_Mac!D:D,""),
_xlpm.MyAuditVal,_xlfn.XLOOKUP($A254,My_Audit!$A:$A,My_Audit!C:C,""),
_xlfn.IFS(_xlpm.MyAuditVal&lt;&gt;"",UPPER(_xlpm.MyAuditVal),_xlpm.MacVal&lt;&gt;"",_xlpm.MacVal,_xlpm.CSVVal&lt;&gt;"",_xlpm.CSVVal
)),"")</f>
        <v/>
      </c>
      <c r="E254" s="46" t="str" cm="1">
        <f t="array" ref="E254">IFERROR(_xlfn.LET(
_xlpm.CSVVal,_xlfn.XLOOKUP($A254,CSV!$A:$A,CSV!E:E,""),
_xlpm.MacVal,_xlfn.XLOOKUP($A254,Output_Mac!$A:$A,Output_Mac!C:C,""),
_xlpm.MyAuditVal,_xlfn.XLOOKUP($A254,My_Audit!$A:$A,My_Audit!D:D,""),
_xlfn.IFS(_xlpm.MyAuditVal&lt;&gt;"",_xlpm.MyAuditVal,_xlpm.MacVal&lt;&gt;"",_xlpm.MacVal,_xlpm.CSVVal&lt;&gt;"",_xlpm.CSVVal
)),"")</f>
        <v/>
      </c>
      <c r="F254" s="45" t="str" cm="1">
        <f t="array" ref="F254">IFERROR(_xlfn.LET(
_xlpm.CSVVal,_xlfn.XLOOKUP($A254,CSV!$A:$A,CSV!F:F,""),
_xlpm.MacVal,_xlfn.XLOOKUP($A254,Output_Mac!$A:$A,Output_Mac!F:F,""),
_xlpm.MyAuditVal,_xlfn.XLOOKUP($A254,My_Audit!$A:$A,My_Audit!E:E,""),
_xlfn.IFS(_xlpm.MyAuditVal&lt;&gt;"",_xlpm.MyAuditVal,_xlpm.MacVal&lt;&gt;"",_xlpm.MacVal,_xlpm.CSVVal&lt;&gt;"",PROPER(_xlpm.CSVVal)
)),"")</f>
        <v/>
      </c>
      <c r="G254" s="45" t="str" cm="1">
        <f t="array" ref="G254">IFERROR(_xlfn.LET(
_xlpm.CSVVal,_xlfn.XLOOKUP($A254,CSV!$A:$A,CSV!G:G,""),
_xlpm.MacVal,_xlfn.XLOOKUP($A254,Output_Mac!$A:$A,Output_Mac!H:H,""),
_xlpm.MyAuditVal,_xlfn.XLOOKUP($A254,My_Audit!$A:$A,My_Audit!F:F,""),
_xlfn.IFS(_xlpm.MyAuditVal&lt;&gt;"",_xlpm.MyAuditVal,_xlpm.MacVal&lt;&gt;"",_xlpm.MacVal,_xlpm.CSVVal&lt;&gt;"",_xlpm.CSVVal
)),"")</f>
        <v/>
      </c>
      <c r="H254" s="45" t="str">
        <f>_xlfn.XLOOKUP(A254,Output_Mac!A:A,Output_Mac!I:I,"")</f>
        <v/>
      </c>
      <c r="I254" s="45" t="str" cm="1">
        <f t="array" ref="I254">IFERROR(_xlfn.LET(
_xlpm.CSVVal,_xlfn.XLOOKUP($A254,CSV!$A:$A,CSV!H:H,""),
_xlpm.MacVal,_xlfn.XLOOKUP($A254,Output_Mac!$A:$A,Output_Mac!J:J,""),
_xlpm.MyAuditVal,_xlfn.XLOOKUP($A254,My_Audit!$A:$A,My_Audit!H:H,""),
_xlfn.IFS(_xlpm.MyAuditVal&lt;&gt;"",UPPER(_xlpm.MyAuditVal),_xlpm.MacVal&lt;&gt;"",_xlpm.MacVal,_xlpm.CSVVal&lt;&gt;"",_xlpm.CSVVal
)),"")</f>
        <v/>
      </c>
      <c r="J254" s="45" t="str" cm="1">
        <f t="array" ref="J254">IFERROR(_xlfn.LET(
_xlpm.CSVVal,_xlfn.XLOOKUP($A254,CSV!$A:$A,CSV!J:J,""),
_xlpm.MacVal,_xlfn.XLOOKUP($A254,Output_Mac!$A:$A,Output_Mac!K:K,""),
_xlpm.MyAuditVal,_xlfn.XLOOKUP($A254,My_Audit!$A:$A,My_Audit!I:I,""),
_xlfn.IFS(_xlpm.MyAuditVal&lt;&gt;"",UPPER(_xlpm.MyAuditVal),_xlpm.MacVal&lt;&gt;"",_xlpm.MacVal,_xlpm.CSVVal&lt;&gt;"",_xlpm.CSVVal
)),"")</f>
        <v/>
      </c>
      <c r="K254" s="45" t="str" cm="1">
        <f t="array" ref="K254">IFERROR(_xlfn.LET(
_xlpm.CSVVal,_xlfn.XLOOKUP($A254,CSV!$A:$A,CSV!N:N,""),
_xlpm.MacVal,_xlfn.XLOOKUP($A254,Output_Mac!$A:$A,Output_Mac!L:L,""),
_xlpm.MyAuditVal,_xlfn.XLOOKUP($A254,My_Audit!$A:$A,My_Audit!J:J,""),
_xlfn.IFS(_xlpm.MyAuditVal&lt;&gt;"",UPPER(_xlpm.MyAuditVal),_xlpm.MacVal&lt;&gt;"",_xlpm.MacVal,_xlpm.CSVVal&lt;&gt;"",_xlpm.CSVVal
)),"")</f>
        <v/>
      </c>
      <c r="L254" s="46" t="str" cm="1">
        <f t="array" ref="L254">IFERROR(_xlfn.LET(
_xlpm.CSVVal,_xlfn.XLOOKUP($A254,CSV!$A:$A,CSV!Q:Q,""),
_xlpm.MacVal,_xlfn.XLOOKUP($A254,Output_Mac!$A:$A,Output_Mac!M:M,""),
_xlpm.MyAuditVal,_xlfn.XLOOKUP($A254,My_Audit!$A:$A,My_Audit!K:K,""),
_xlfn.IFS(_xlpm.MyAuditVal&lt;&gt;"",UPPER(_xlpm.MyAuditVal),_xlpm.MacVal&lt;&gt;"",_xlpm.MacVal,_xlpm.CSVVal&lt;&gt;"",_xlpm.CSVVal
)),"")</f>
        <v/>
      </c>
      <c r="M254" s="45" t="str">
        <f>_xlfn.LET(
    _xlpm.CSVVal, _xlfn.XLOOKUP($A254, CSV!$A:$A, CSV!AE:AE, ""),
    _xlpm.MacVal, _xlfn.XLOOKUP($A254, Output_Mac!$A:$A, Output_Mac!S:S, ""),
    _xlpm.MyAuditVal, _xlfn.XLOOKUP($A254, My_Audit!$A:$A, My_Audit!N:N, ""),
    _xlfn.TEXTJOIN(", ", TRUE, _xlpm.MyAuditVal, _xlpm.MacVal, _xlpm.CSVVal)
)</f>
        <v/>
      </c>
      <c r="N254" s="45" t="str" cm="1">
        <f t="array" ref="N254">IFERROR(_xlfn.LET(
_xlpm.CSVVal,_xlfn.XLOOKUP($A254,CSV!$A:$A,CSV!AG:AG,""),
_xlpm.MacVal,_xlfn.XLOOKUP($A254,Output_Mac!$A:$A,Output_Mac!U:U,""),
_xlpm.MyAuditVal,_xlfn.XLOOKUP($A254,My_Audit!$A:$A,My_Audit!O:O,""),
_xlfn.IFS(_xlpm.MyAuditVal&lt;&gt;"",UPPER(_xlpm.MyAuditVal),_xlpm.MacVal&lt;&gt;"",_xlpm.MacVal,_xlpm.CSVVal&lt;&gt;"",_xlpm.CSVVal
)),"")</f>
        <v/>
      </c>
      <c r="O254" s="46" t="str">
        <f>_xlfn.XLOOKUP(C254,My_Audit!B:B,My_Audit!P:P,"")&amp;""</f>
        <v/>
      </c>
      <c r="P254" s="45"/>
      <c r="Q254" s="46" t="str">
        <f>IF(LEFT(N254,4)="Pass","Nist SP 800-88",My_Audit!R254)&amp;""</f>
        <v/>
      </c>
      <c r="R254" s="45"/>
      <c r="S254" s="45"/>
      <c r="T254" s="46" t="str">
        <f>_xlfn.XLOOKUP(E254,Models!I:I,Models!J:J,"")</f>
        <v/>
      </c>
      <c r="U254" s="45"/>
      <c r="V254" s="45"/>
      <c r="W254" s="38"/>
    </row>
    <row r="255" spans="1:23">
      <c r="A255" s="45" t="str">
        <f>_xlfn.TEXTJOIN("",TRUE,Input!$B$2,ROW(My_Audit!A254))</f>
        <v>XX254</v>
      </c>
      <c r="B255" s="45" t="str">
        <f>_xlfn.TEXTJOIN("-",TRUE,"ITD",Input!$A$2,A255)</f>
        <v>ITD-SHRXXX-XX254</v>
      </c>
      <c r="C255" s="45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46" t="str" cm="1">
        <f t="array" ref="D255">IFERROR(_xlfn.LET(
_xlpm.CSVVal,_xlfn.XLOOKUP($A255,CSV!$A:$A,CSV!C:C,""),
_xlpm.MacVal,_xlfn.XLOOKUP($A255,Output_Mac!$A:$A,Output_Mac!D:D,""),
_xlpm.MyAuditVal,_xlfn.XLOOKUP($A255,My_Audit!$A:$A,My_Audit!C:C,""),
_xlfn.IFS(_xlpm.MyAuditVal&lt;&gt;"",UPPER(_xlpm.MyAuditVal),_xlpm.MacVal&lt;&gt;"",_xlpm.MacVal,_xlpm.CSVVal&lt;&gt;"",_xlpm.CSVVal
)),"")</f>
        <v/>
      </c>
      <c r="E255" s="46" t="str" cm="1">
        <f t="array" ref="E255">IFERROR(_xlfn.LET(
_xlpm.CSVVal,_xlfn.XLOOKUP($A255,CSV!$A:$A,CSV!E:E,""),
_xlpm.MacVal,_xlfn.XLOOKUP($A255,Output_Mac!$A:$A,Output_Mac!C:C,""),
_xlpm.MyAuditVal,_xlfn.XLOOKUP($A255,My_Audit!$A:$A,My_Audit!D:D,""),
_xlfn.IFS(_xlpm.MyAuditVal&lt;&gt;"",_xlpm.MyAuditVal,_xlpm.MacVal&lt;&gt;"",_xlpm.MacVal,_xlpm.CSVVal&lt;&gt;"",_xlpm.CSVVal
)),"")</f>
        <v/>
      </c>
      <c r="F255" s="45" t="str" cm="1">
        <f t="array" ref="F255">IFERROR(_xlfn.LET(
_xlpm.CSVVal,_xlfn.XLOOKUP($A255,CSV!$A:$A,CSV!F:F,""),
_xlpm.MacVal,_xlfn.XLOOKUP($A255,Output_Mac!$A:$A,Output_Mac!F:F,""),
_xlpm.MyAuditVal,_xlfn.XLOOKUP($A255,My_Audit!$A:$A,My_Audit!E:E,""),
_xlfn.IFS(_xlpm.MyAuditVal&lt;&gt;"",_xlpm.MyAuditVal,_xlpm.MacVal&lt;&gt;"",_xlpm.MacVal,_xlpm.CSVVal&lt;&gt;"",PROPER(_xlpm.CSVVal)
)),"")</f>
        <v/>
      </c>
      <c r="G255" s="45" t="str" cm="1">
        <f t="array" ref="G255">IFERROR(_xlfn.LET(
_xlpm.CSVVal,_xlfn.XLOOKUP($A255,CSV!$A:$A,CSV!G:G,""),
_xlpm.MacVal,_xlfn.XLOOKUP($A255,Output_Mac!$A:$A,Output_Mac!H:H,""),
_xlpm.MyAuditVal,_xlfn.XLOOKUP($A255,My_Audit!$A:$A,My_Audit!F:F,""),
_xlfn.IFS(_xlpm.MyAuditVal&lt;&gt;"",_xlpm.MyAuditVal,_xlpm.MacVal&lt;&gt;"",_xlpm.MacVal,_xlpm.CSVVal&lt;&gt;"",_xlpm.CSVVal
)),"")</f>
        <v/>
      </c>
      <c r="H255" s="45" t="str">
        <f>_xlfn.XLOOKUP(A255,Output_Mac!A:A,Output_Mac!I:I,"")</f>
        <v/>
      </c>
      <c r="I255" s="45" t="str" cm="1">
        <f t="array" ref="I255">IFERROR(_xlfn.LET(
_xlpm.CSVVal,_xlfn.XLOOKUP($A255,CSV!$A:$A,CSV!H:H,""),
_xlpm.MacVal,_xlfn.XLOOKUP($A255,Output_Mac!$A:$A,Output_Mac!J:J,""),
_xlpm.MyAuditVal,_xlfn.XLOOKUP($A255,My_Audit!$A:$A,My_Audit!H:H,""),
_xlfn.IFS(_xlpm.MyAuditVal&lt;&gt;"",UPPER(_xlpm.MyAuditVal),_xlpm.MacVal&lt;&gt;"",_xlpm.MacVal,_xlpm.CSVVal&lt;&gt;"",_xlpm.CSVVal
)),"")</f>
        <v/>
      </c>
      <c r="J255" s="45" t="str" cm="1">
        <f t="array" ref="J255">IFERROR(_xlfn.LET(
_xlpm.CSVVal,_xlfn.XLOOKUP($A255,CSV!$A:$A,CSV!J:J,""),
_xlpm.MacVal,_xlfn.XLOOKUP($A255,Output_Mac!$A:$A,Output_Mac!K:K,""),
_xlpm.MyAuditVal,_xlfn.XLOOKUP($A255,My_Audit!$A:$A,My_Audit!I:I,""),
_xlfn.IFS(_xlpm.MyAuditVal&lt;&gt;"",UPPER(_xlpm.MyAuditVal),_xlpm.MacVal&lt;&gt;"",_xlpm.MacVal,_xlpm.CSVVal&lt;&gt;"",_xlpm.CSVVal
)),"")</f>
        <v/>
      </c>
      <c r="K255" s="45" t="str" cm="1">
        <f t="array" ref="K255">IFERROR(_xlfn.LET(
_xlpm.CSVVal,_xlfn.XLOOKUP($A255,CSV!$A:$A,CSV!N:N,""),
_xlpm.MacVal,_xlfn.XLOOKUP($A255,Output_Mac!$A:$A,Output_Mac!L:L,""),
_xlpm.MyAuditVal,_xlfn.XLOOKUP($A255,My_Audit!$A:$A,My_Audit!J:J,""),
_xlfn.IFS(_xlpm.MyAuditVal&lt;&gt;"",UPPER(_xlpm.MyAuditVal),_xlpm.MacVal&lt;&gt;"",_xlpm.MacVal,_xlpm.CSVVal&lt;&gt;"",_xlpm.CSVVal
)),"")</f>
        <v/>
      </c>
      <c r="L255" s="46" t="str" cm="1">
        <f t="array" ref="L255">IFERROR(_xlfn.LET(
_xlpm.CSVVal,_xlfn.XLOOKUP($A255,CSV!$A:$A,CSV!Q:Q,""),
_xlpm.MacVal,_xlfn.XLOOKUP($A255,Output_Mac!$A:$A,Output_Mac!M:M,""),
_xlpm.MyAuditVal,_xlfn.XLOOKUP($A255,My_Audit!$A:$A,My_Audit!K:K,""),
_xlfn.IFS(_xlpm.MyAuditVal&lt;&gt;"",UPPER(_xlpm.MyAuditVal),_xlpm.MacVal&lt;&gt;"",_xlpm.MacVal,_xlpm.CSVVal&lt;&gt;"",_xlpm.CSVVal
)),"")</f>
        <v/>
      </c>
      <c r="M255" s="45" t="str">
        <f>_xlfn.LET(
    _xlpm.CSVVal, _xlfn.XLOOKUP($A255, CSV!$A:$A, CSV!AE:AE, ""),
    _xlpm.MacVal, _xlfn.XLOOKUP($A255, Output_Mac!$A:$A, Output_Mac!S:S, ""),
    _xlpm.MyAuditVal, _xlfn.XLOOKUP($A255, My_Audit!$A:$A, My_Audit!N:N, ""),
    _xlfn.TEXTJOIN(", ", TRUE, _xlpm.MyAuditVal, _xlpm.MacVal, _xlpm.CSVVal)
)</f>
        <v/>
      </c>
      <c r="N255" s="45" t="str" cm="1">
        <f t="array" ref="N255">IFERROR(_xlfn.LET(
_xlpm.CSVVal,_xlfn.XLOOKUP($A255,CSV!$A:$A,CSV!AG:AG,""),
_xlpm.MacVal,_xlfn.XLOOKUP($A255,Output_Mac!$A:$A,Output_Mac!U:U,""),
_xlpm.MyAuditVal,_xlfn.XLOOKUP($A255,My_Audit!$A:$A,My_Audit!O:O,""),
_xlfn.IFS(_xlpm.MyAuditVal&lt;&gt;"",UPPER(_xlpm.MyAuditVal),_xlpm.MacVal&lt;&gt;"",_xlpm.MacVal,_xlpm.CSVVal&lt;&gt;"",_xlpm.CSVVal
)),"")</f>
        <v/>
      </c>
      <c r="O255" s="46" t="str">
        <f>_xlfn.XLOOKUP(C255,My_Audit!B:B,My_Audit!P:P,"")&amp;""</f>
        <v/>
      </c>
      <c r="P255" s="45"/>
      <c r="Q255" s="46" t="str">
        <f>IF(LEFT(N255,4)="Pass","Nist SP 800-88",My_Audit!R255)&amp;""</f>
        <v/>
      </c>
      <c r="R255" s="45"/>
      <c r="S255" s="45"/>
      <c r="T255" s="46" t="str">
        <f>_xlfn.XLOOKUP(E255,Models!I:I,Models!J:J,"")</f>
        <v/>
      </c>
      <c r="U255" s="45"/>
      <c r="V255" s="45"/>
      <c r="W255" s="38"/>
    </row>
    <row r="256" spans="1:23">
      <c r="A256" s="45" t="str">
        <f>_xlfn.TEXTJOIN("",TRUE,Input!$B$2,ROW(My_Audit!A255))</f>
        <v>XX255</v>
      </c>
      <c r="B256" s="45" t="str">
        <f>_xlfn.TEXTJOIN("-",TRUE,"ITD",Input!$A$2,A256)</f>
        <v>ITD-SHRXXX-XX255</v>
      </c>
      <c r="C256" s="45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46" t="str" cm="1">
        <f t="array" ref="D256">IFERROR(_xlfn.LET(
_xlpm.CSVVal,_xlfn.XLOOKUP($A256,CSV!$A:$A,CSV!C:C,""),
_xlpm.MacVal,_xlfn.XLOOKUP($A256,Output_Mac!$A:$A,Output_Mac!D:D,""),
_xlpm.MyAuditVal,_xlfn.XLOOKUP($A256,My_Audit!$A:$A,My_Audit!C:C,""),
_xlfn.IFS(_xlpm.MyAuditVal&lt;&gt;"",UPPER(_xlpm.MyAuditVal),_xlpm.MacVal&lt;&gt;"",_xlpm.MacVal,_xlpm.CSVVal&lt;&gt;"",_xlpm.CSVVal
)),"")</f>
        <v/>
      </c>
      <c r="E256" s="46" t="str" cm="1">
        <f t="array" ref="E256">IFERROR(_xlfn.LET(
_xlpm.CSVVal,_xlfn.XLOOKUP($A256,CSV!$A:$A,CSV!E:E,""),
_xlpm.MacVal,_xlfn.XLOOKUP($A256,Output_Mac!$A:$A,Output_Mac!C:C,""),
_xlpm.MyAuditVal,_xlfn.XLOOKUP($A256,My_Audit!$A:$A,My_Audit!D:D,""),
_xlfn.IFS(_xlpm.MyAuditVal&lt;&gt;"",_xlpm.MyAuditVal,_xlpm.MacVal&lt;&gt;"",_xlpm.MacVal,_xlpm.CSVVal&lt;&gt;"",_xlpm.CSVVal
)),"")</f>
        <v/>
      </c>
      <c r="F256" s="45" t="str" cm="1">
        <f t="array" ref="F256">IFERROR(_xlfn.LET(
_xlpm.CSVVal,_xlfn.XLOOKUP($A256,CSV!$A:$A,CSV!F:F,""),
_xlpm.MacVal,_xlfn.XLOOKUP($A256,Output_Mac!$A:$A,Output_Mac!F:F,""),
_xlpm.MyAuditVal,_xlfn.XLOOKUP($A256,My_Audit!$A:$A,My_Audit!E:E,""),
_xlfn.IFS(_xlpm.MyAuditVal&lt;&gt;"",_xlpm.MyAuditVal,_xlpm.MacVal&lt;&gt;"",_xlpm.MacVal,_xlpm.CSVVal&lt;&gt;"",PROPER(_xlpm.CSVVal)
)),"")</f>
        <v/>
      </c>
      <c r="G256" s="45" t="str" cm="1">
        <f t="array" ref="G256">IFERROR(_xlfn.LET(
_xlpm.CSVVal,_xlfn.XLOOKUP($A256,CSV!$A:$A,CSV!G:G,""),
_xlpm.MacVal,_xlfn.XLOOKUP($A256,Output_Mac!$A:$A,Output_Mac!H:H,""),
_xlpm.MyAuditVal,_xlfn.XLOOKUP($A256,My_Audit!$A:$A,My_Audit!F:F,""),
_xlfn.IFS(_xlpm.MyAuditVal&lt;&gt;"",_xlpm.MyAuditVal,_xlpm.MacVal&lt;&gt;"",_xlpm.MacVal,_xlpm.CSVVal&lt;&gt;"",_xlpm.CSVVal
)),"")</f>
        <v/>
      </c>
      <c r="H256" s="45" t="str">
        <f>_xlfn.XLOOKUP(A256,Output_Mac!A:A,Output_Mac!I:I,"")</f>
        <v/>
      </c>
      <c r="I256" s="45" t="str" cm="1">
        <f t="array" ref="I256">IFERROR(_xlfn.LET(
_xlpm.CSVVal,_xlfn.XLOOKUP($A256,CSV!$A:$A,CSV!H:H,""),
_xlpm.MacVal,_xlfn.XLOOKUP($A256,Output_Mac!$A:$A,Output_Mac!J:J,""),
_xlpm.MyAuditVal,_xlfn.XLOOKUP($A256,My_Audit!$A:$A,My_Audit!H:H,""),
_xlfn.IFS(_xlpm.MyAuditVal&lt;&gt;"",UPPER(_xlpm.MyAuditVal),_xlpm.MacVal&lt;&gt;"",_xlpm.MacVal,_xlpm.CSVVal&lt;&gt;"",_xlpm.CSVVal
)),"")</f>
        <v/>
      </c>
      <c r="J256" s="45" t="str" cm="1">
        <f t="array" ref="J256">IFERROR(_xlfn.LET(
_xlpm.CSVVal,_xlfn.XLOOKUP($A256,CSV!$A:$A,CSV!J:J,""),
_xlpm.MacVal,_xlfn.XLOOKUP($A256,Output_Mac!$A:$A,Output_Mac!K:K,""),
_xlpm.MyAuditVal,_xlfn.XLOOKUP($A256,My_Audit!$A:$A,My_Audit!I:I,""),
_xlfn.IFS(_xlpm.MyAuditVal&lt;&gt;"",UPPER(_xlpm.MyAuditVal),_xlpm.MacVal&lt;&gt;"",_xlpm.MacVal,_xlpm.CSVVal&lt;&gt;"",_xlpm.CSVVal
)),"")</f>
        <v/>
      </c>
      <c r="K256" s="45" t="str" cm="1">
        <f t="array" ref="K256">IFERROR(_xlfn.LET(
_xlpm.CSVVal,_xlfn.XLOOKUP($A256,CSV!$A:$A,CSV!N:N,""),
_xlpm.MacVal,_xlfn.XLOOKUP($A256,Output_Mac!$A:$A,Output_Mac!L:L,""),
_xlpm.MyAuditVal,_xlfn.XLOOKUP($A256,My_Audit!$A:$A,My_Audit!J:J,""),
_xlfn.IFS(_xlpm.MyAuditVal&lt;&gt;"",UPPER(_xlpm.MyAuditVal),_xlpm.MacVal&lt;&gt;"",_xlpm.MacVal,_xlpm.CSVVal&lt;&gt;"",_xlpm.CSVVal
)),"")</f>
        <v/>
      </c>
      <c r="L256" s="46" t="str" cm="1">
        <f t="array" ref="L256">IFERROR(_xlfn.LET(
_xlpm.CSVVal,_xlfn.XLOOKUP($A256,CSV!$A:$A,CSV!Q:Q,""),
_xlpm.MacVal,_xlfn.XLOOKUP($A256,Output_Mac!$A:$A,Output_Mac!M:M,""),
_xlpm.MyAuditVal,_xlfn.XLOOKUP($A256,My_Audit!$A:$A,My_Audit!K:K,""),
_xlfn.IFS(_xlpm.MyAuditVal&lt;&gt;"",UPPER(_xlpm.MyAuditVal),_xlpm.MacVal&lt;&gt;"",_xlpm.MacVal,_xlpm.CSVVal&lt;&gt;"",_xlpm.CSVVal
)),"")</f>
        <v/>
      </c>
      <c r="M256" s="45" t="str">
        <f>_xlfn.LET(
    _xlpm.CSVVal, _xlfn.XLOOKUP($A256, CSV!$A:$A, CSV!AE:AE, ""),
    _xlpm.MacVal, _xlfn.XLOOKUP($A256, Output_Mac!$A:$A, Output_Mac!S:S, ""),
    _xlpm.MyAuditVal, _xlfn.XLOOKUP($A256, My_Audit!$A:$A, My_Audit!N:N, ""),
    _xlfn.TEXTJOIN(", ", TRUE, _xlpm.MyAuditVal, _xlpm.MacVal, _xlpm.CSVVal)
)</f>
        <v/>
      </c>
      <c r="N256" s="45" t="str" cm="1">
        <f t="array" ref="N256">IFERROR(_xlfn.LET(
_xlpm.CSVVal,_xlfn.XLOOKUP($A256,CSV!$A:$A,CSV!AG:AG,""),
_xlpm.MacVal,_xlfn.XLOOKUP($A256,Output_Mac!$A:$A,Output_Mac!U:U,""),
_xlpm.MyAuditVal,_xlfn.XLOOKUP($A256,My_Audit!$A:$A,My_Audit!O:O,""),
_xlfn.IFS(_xlpm.MyAuditVal&lt;&gt;"",UPPER(_xlpm.MyAuditVal),_xlpm.MacVal&lt;&gt;"",_xlpm.MacVal,_xlpm.CSVVal&lt;&gt;"",_xlpm.CSVVal
)),"")</f>
        <v/>
      </c>
      <c r="O256" s="46" t="str">
        <f>_xlfn.XLOOKUP(C256,My_Audit!B:B,My_Audit!P:P,"")&amp;""</f>
        <v/>
      </c>
      <c r="P256" s="45"/>
      <c r="Q256" s="46" t="str">
        <f>IF(LEFT(N256,4)="Pass","Nist SP 800-88",My_Audit!R256)&amp;""</f>
        <v/>
      </c>
      <c r="R256" s="45"/>
      <c r="S256" s="45"/>
      <c r="T256" s="46" t="str">
        <f>_xlfn.XLOOKUP(E256,Models!I:I,Models!J:J,"")</f>
        <v/>
      </c>
      <c r="U256" s="45"/>
      <c r="V256" s="45"/>
      <c r="W256" s="38"/>
    </row>
    <row r="257" spans="1:23">
      <c r="A257" s="45" t="str">
        <f>_xlfn.TEXTJOIN("",TRUE,Input!$B$2,ROW(My_Audit!A256))</f>
        <v>XX256</v>
      </c>
      <c r="B257" s="45" t="str">
        <f>_xlfn.TEXTJOIN("-",TRUE,"ITD",Input!$A$2,A257)</f>
        <v>ITD-SHRXXX-XX256</v>
      </c>
      <c r="C257" s="45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46" t="str" cm="1">
        <f t="array" ref="D257">IFERROR(_xlfn.LET(
_xlpm.CSVVal,_xlfn.XLOOKUP($A257,CSV!$A:$A,CSV!C:C,""),
_xlpm.MacVal,_xlfn.XLOOKUP($A257,Output_Mac!$A:$A,Output_Mac!D:D,""),
_xlpm.MyAuditVal,_xlfn.XLOOKUP($A257,My_Audit!$A:$A,My_Audit!C:C,""),
_xlfn.IFS(_xlpm.MyAuditVal&lt;&gt;"",UPPER(_xlpm.MyAuditVal),_xlpm.MacVal&lt;&gt;"",_xlpm.MacVal,_xlpm.CSVVal&lt;&gt;"",_xlpm.CSVVal
)),"")</f>
        <v/>
      </c>
      <c r="E257" s="46" t="str" cm="1">
        <f t="array" ref="E257">IFERROR(_xlfn.LET(
_xlpm.CSVVal,_xlfn.XLOOKUP($A257,CSV!$A:$A,CSV!E:E,""),
_xlpm.MacVal,_xlfn.XLOOKUP($A257,Output_Mac!$A:$A,Output_Mac!C:C,""),
_xlpm.MyAuditVal,_xlfn.XLOOKUP($A257,My_Audit!$A:$A,My_Audit!D:D,""),
_xlfn.IFS(_xlpm.MyAuditVal&lt;&gt;"",_xlpm.MyAuditVal,_xlpm.MacVal&lt;&gt;"",_xlpm.MacVal,_xlpm.CSVVal&lt;&gt;"",_xlpm.CSVVal
)),"")</f>
        <v/>
      </c>
      <c r="F257" s="45" t="str" cm="1">
        <f t="array" ref="F257">IFERROR(_xlfn.LET(
_xlpm.CSVVal,_xlfn.XLOOKUP($A257,CSV!$A:$A,CSV!F:F,""),
_xlpm.MacVal,_xlfn.XLOOKUP($A257,Output_Mac!$A:$A,Output_Mac!F:F,""),
_xlpm.MyAuditVal,_xlfn.XLOOKUP($A257,My_Audit!$A:$A,My_Audit!E:E,""),
_xlfn.IFS(_xlpm.MyAuditVal&lt;&gt;"",_xlpm.MyAuditVal,_xlpm.MacVal&lt;&gt;"",_xlpm.MacVal,_xlpm.CSVVal&lt;&gt;"",PROPER(_xlpm.CSVVal)
)),"")</f>
        <v/>
      </c>
      <c r="G257" s="45" t="str" cm="1">
        <f t="array" ref="G257">IFERROR(_xlfn.LET(
_xlpm.CSVVal,_xlfn.XLOOKUP($A257,CSV!$A:$A,CSV!G:G,""),
_xlpm.MacVal,_xlfn.XLOOKUP($A257,Output_Mac!$A:$A,Output_Mac!H:H,""),
_xlpm.MyAuditVal,_xlfn.XLOOKUP($A257,My_Audit!$A:$A,My_Audit!F:F,""),
_xlfn.IFS(_xlpm.MyAuditVal&lt;&gt;"",_xlpm.MyAuditVal,_xlpm.MacVal&lt;&gt;"",_xlpm.MacVal,_xlpm.CSVVal&lt;&gt;"",_xlpm.CSVVal
)),"")</f>
        <v/>
      </c>
      <c r="H257" s="45" t="str">
        <f>_xlfn.XLOOKUP(A257,Output_Mac!A:A,Output_Mac!I:I,"")</f>
        <v/>
      </c>
      <c r="I257" s="45" t="str" cm="1">
        <f t="array" ref="I257">IFERROR(_xlfn.LET(
_xlpm.CSVVal,_xlfn.XLOOKUP($A257,CSV!$A:$A,CSV!H:H,""),
_xlpm.MacVal,_xlfn.XLOOKUP($A257,Output_Mac!$A:$A,Output_Mac!J:J,""),
_xlpm.MyAuditVal,_xlfn.XLOOKUP($A257,My_Audit!$A:$A,My_Audit!H:H,""),
_xlfn.IFS(_xlpm.MyAuditVal&lt;&gt;"",UPPER(_xlpm.MyAuditVal),_xlpm.MacVal&lt;&gt;"",_xlpm.MacVal,_xlpm.CSVVal&lt;&gt;"",_xlpm.CSVVal
)),"")</f>
        <v/>
      </c>
      <c r="J257" s="45" t="str" cm="1">
        <f t="array" ref="J257">IFERROR(_xlfn.LET(
_xlpm.CSVVal,_xlfn.XLOOKUP($A257,CSV!$A:$A,CSV!J:J,""),
_xlpm.MacVal,_xlfn.XLOOKUP($A257,Output_Mac!$A:$A,Output_Mac!K:K,""),
_xlpm.MyAuditVal,_xlfn.XLOOKUP($A257,My_Audit!$A:$A,My_Audit!I:I,""),
_xlfn.IFS(_xlpm.MyAuditVal&lt;&gt;"",UPPER(_xlpm.MyAuditVal),_xlpm.MacVal&lt;&gt;"",_xlpm.MacVal,_xlpm.CSVVal&lt;&gt;"",_xlpm.CSVVal
)),"")</f>
        <v/>
      </c>
      <c r="K257" s="45" t="str" cm="1">
        <f t="array" ref="K257">IFERROR(_xlfn.LET(
_xlpm.CSVVal,_xlfn.XLOOKUP($A257,CSV!$A:$A,CSV!N:N,""),
_xlpm.MacVal,_xlfn.XLOOKUP($A257,Output_Mac!$A:$A,Output_Mac!L:L,""),
_xlpm.MyAuditVal,_xlfn.XLOOKUP($A257,My_Audit!$A:$A,My_Audit!J:J,""),
_xlfn.IFS(_xlpm.MyAuditVal&lt;&gt;"",UPPER(_xlpm.MyAuditVal),_xlpm.MacVal&lt;&gt;"",_xlpm.MacVal,_xlpm.CSVVal&lt;&gt;"",_xlpm.CSVVal
)),"")</f>
        <v/>
      </c>
      <c r="L257" s="46" t="str" cm="1">
        <f t="array" ref="L257">IFERROR(_xlfn.LET(
_xlpm.CSVVal,_xlfn.XLOOKUP($A257,CSV!$A:$A,CSV!Q:Q,""),
_xlpm.MacVal,_xlfn.XLOOKUP($A257,Output_Mac!$A:$A,Output_Mac!M:M,""),
_xlpm.MyAuditVal,_xlfn.XLOOKUP($A257,My_Audit!$A:$A,My_Audit!K:K,""),
_xlfn.IFS(_xlpm.MyAuditVal&lt;&gt;"",UPPER(_xlpm.MyAuditVal),_xlpm.MacVal&lt;&gt;"",_xlpm.MacVal,_xlpm.CSVVal&lt;&gt;"",_xlpm.CSVVal
)),"")</f>
        <v/>
      </c>
      <c r="M257" s="45" t="str">
        <f>_xlfn.LET(
    _xlpm.CSVVal, _xlfn.XLOOKUP($A257, CSV!$A:$A, CSV!AE:AE, ""),
    _xlpm.MacVal, _xlfn.XLOOKUP($A257, Output_Mac!$A:$A, Output_Mac!S:S, ""),
    _xlpm.MyAuditVal, _xlfn.XLOOKUP($A257, My_Audit!$A:$A, My_Audit!N:N, ""),
    _xlfn.TEXTJOIN(", ", TRUE, _xlpm.MyAuditVal, _xlpm.MacVal, _xlpm.CSVVal)
)</f>
        <v/>
      </c>
      <c r="N257" s="45" t="str" cm="1">
        <f t="array" ref="N257">IFERROR(_xlfn.LET(
_xlpm.CSVVal,_xlfn.XLOOKUP($A257,CSV!$A:$A,CSV!AG:AG,""),
_xlpm.MacVal,_xlfn.XLOOKUP($A257,Output_Mac!$A:$A,Output_Mac!U:U,""),
_xlpm.MyAuditVal,_xlfn.XLOOKUP($A257,My_Audit!$A:$A,My_Audit!O:O,""),
_xlfn.IFS(_xlpm.MyAuditVal&lt;&gt;"",UPPER(_xlpm.MyAuditVal),_xlpm.MacVal&lt;&gt;"",_xlpm.MacVal,_xlpm.CSVVal&lt;&gt;"",_xlpm.CSVVal
)),"")</f>
        <v/>
      </c>
      <c r="O257" s="46" t="str">
        <f>_xlfn.XLOOKUP(C257,My_Audit!B:B,My_Audit!P:P,"")&amp;""</f>
        <v/>
      </c>
      <c r="P257" s="45"/>
      <c r="Q257" s="46" t="str">
        <f>IF(LEFT(N257,4)="Pass","Nist SP 800-88",My_Audit!R257)&amp;""</f>
        <v/>
      </c>
      <c r="R257" s="45"/>
      <c r="S257" s="45"/>
      <c r="T257" s="46" t="str">
        <f>_xlfn.XLOOKUP(E257,Models!I:I,Models!J:J,"")</f>
        <v/>
      </c>
      <c r="U257" s="45"/>
      <c r="V257" s="45"/>
      <c r="W257" s="38"/>
    </row>
    <row r="258" spans="1:23">
      <c r="A258" s="45" t="str">
        <f>_xlfn.TEXTJOIN("",TRUE,Input!$B$2,ROW(My_Audit!A257))</f>
        <v>XX257</v>
      </c>
      <c r="B258" s="45" t="str">
        <f>_xlfn.TEXTJOIN("-",TRUE,"ITD",Input!$A$2,A258)</f>
        <v>ITD-SHRXXX-XX257</v>
      </c>
      <c r="C258" s="45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46" t="str" cm="1">
        <f t="array" ref="D258">IFERROR(_xlfn.LET(
_xlpm.CSVVal,_xlfn.XLOOKUP($A258,CSV!$A:$A,CSV!C:C,""),
_xlpm.MacVal,_xlfn.XLOOKUP($A258,Output_Mac!$A:$A,Output_Mac!D:D,""),
_xlpm.MyAuditVal,_xlfn.XLOOKUP($A258,My_Audit!$A:$A,My_Audit!C:C,""),
_xlfn.IFS(_xlpm.MyAuditVal&lt;&gt;"",UPPER(_xlpm.MyAuditVal),_xlpm.MacVal&lt;&gt;"",_xlpm.MacVal,_xlpm.CSVVal&lt;&gt;"",_xlpm.CSVVal
)),"")</f>
        <v/>
      </c>
      <c r="E258" s="46" t="str" cm="1">
        <f t="array" ref="E258">IFERROR(_xlfn.LET(
_xlpm.CSVVal,_xlfn.XLOOKUP($A258,CSV!$A:$A,CSV!E:E,""),
_xlpm.MacVal,_xlfn.XLOOKUP($A258,Output_Mac!$A:$A,Output_Mac!C:C,""),
_xlpm.MyAuditVal,_xlfn.XLOOKUP($A258,My_Audit!$A:$A,My_Audit!D:D,""),
_xlfn.IFS(_xlpm.MyAuditVal&lt;&gt;"",_xlpm.MyAuditVal,_xlpm.MacVal&lt;&gt;"",_xlpm.MacVal,_xlpm.CSVVal&lt;&gt;"",_xlpm.CSVVal
)),"")</f>
        <v/>
      </c>
      <c r="F258" s="45" t="str" cm="1">
        <f t="array" ref="F258">IFERROR(_xlfn.LET(
_xlpm.CSVVal,_xlfn.XLOOKUP($A258,CSV!$A:$A,CSV!F:F,""),
_xlpm.MacVal,_xlfn.XLOOKUP($A258,Output_Mac!$A:$A,Output_Mac!F:F,""),
_xlpm.MyAuditVal,_xlfn.XLOOKUP($A258,My_Audit!$A:$A,My_Audit!E:E,""),
_xlfn.IFS(_xlpm.MyAuditVal&lt;&gt;"",_xlpm.MyAuditVal,_xlpm.MacVal&lt;&gt;"",_xlpm.MacVal,_xlpm.CSVVal&lt;&gt;"",PROPER(_xlpm.CSVVal)
)),"")</f>
        <v/>
      </c>
      <c r="G258" s="45" t="str" cm="1">
        <f t="array" ref="G258">IFERROR(_xlfn.LET(
_xlpm.CSVVal,_xlfn.XLOOKUP($A258,CSV!$A:$A,CSV!G:G,""),
_xlpm.MacVal,_xlfn.XLOOKUP($A258,Output_Mac!$A:$A,Output_Mac!H:H,""),
_xlpm.MyAuditVal,_xlfn.XLOOKUP($A258,My_Audit!$A:$A,My_Audit!F:F,""),
_xlfn.IFS(_xlpm.MyAuditVal&lt;&gt;"",_xlpm.MyAuditVal,_xlpm.MacVal&lt;&gt;"",_xlpm.MacVal,_xlpm.CSVVal&lt;&gt;"",_xlpm.CSVVal
)),"")</f>
        <v/>
      </c>
      <c r="H258" s="45" t="str">
        <f>_xlfn.XLOOKUP(A258,Output_Mac!A:A,Output_Mac!I:I,"")</f>
        <v/>
      </c>
      <c r="I258" s="45" t="str" cm="1">
        <f t="array" ref="I258">IFERROR(_xlfn.LET(
_xlpm.CSVVal,_xlfn.XLOOKUP($A258,CSV!$A:$A,CSV!H:H,""),
_xlpm.MacVal,_xlfn.XLOOKUP($A258,Output_Mac!$A:$A,Output_Mac!J:J,""),
_xlpm.MyAuditVal,_xlfn.XLOOKUP($A258,My_Audit!$A:$A,My_Audit!H:H,""),
_xlfn.IFS(_xlpm.MyAuditVal&lt;&gt;"",UPPER(_xlpm.MyAuditVal),_xlpm.MacVal&lt;&gt;"",_xlpm.MacVal,_xlpm.CSVVal&lt;&gt;"",_xlpm.CSVVal
)),"")</f>
        <v/>
      </c>
      <c r="J258" s="45" t="str" cm="1">
        <f t="array" ref="J258">IFERROR(_xlfn.LET(
_xlpm.CSVVal,_xlfn.XLOOKUP($A258,CSV!$A:$A,CSV!J:J,""),
_xlpm.MacVal,_xlfn.XLOOKUP($A258,Output_Mac!$A:$A,Output_Mac!K:K,""),
_xlpm.MyAuditVal,_xlfn.XLOOKUP($A258,My_Audit!$A:$A,My_Audit!I:I,""),
_xlfn.IFS(_xlpm.MyAuditVal&lt;&gt;"",UPPER(_xlpm.MyAuditVal),_xlpm.MacVal&lt;&gt;"",_xlpm.MacVal,_xlpm.CSVVal&lt;&gt;"",_xlpm.CSVVal
)),"")</f>
        <v/>
      </c>
      <c r="K258" s="45" t="str" cm="1">
        <f t="array" ref="K258">IFERROR(_xlfn.LET(
_xlpm.CSVVal,_xlfn.XLOOKUP($A258,CSV!$A:$A,CSV!N:N,""),
_xlpm.MacVal,_xlfn.XLOOKUP($A258,Output_Mac!$A:$A,Output_Mac!L:L,""),
_xlpm.MyAuditVal,_xlfn.XLOOKUP($A258,My_Audit!$A:$A,My_Audit!J:J,""),
_xlfn.IFS(_xlpm.MyAuditVal&lt;&gt;"",UPPER(_xlpm.MyAuditVal),_xlpm.MacVal&lt;&gt;"",_xlpm.MacVal,_xlpm.CSVVal&lt;&gt;"",_xlpm.CSVVal
)),"")</f>
        <v/>
      </c>
      <c r="L258" s="46" t="str" cm="1">
        <f t="array" ref="L258">IFERROR(_xlfn.LET(
_xlpm.CSVVal,_xlfn.XLOOKUP($A258,CSV!$A:$A,CSV!Q:Q,""),
_xlpm.MacVal,_xlfn.XLOOKUP($A258,Output_Mac!$A:$A,Output_Mac!M:M,""),
_xlpm.MyAuditVal,_xlfn.XLOOKUP($A258,My_Audit!$A:$A,My_Audit!K:K,""),
_xlfn.IFS(_xlpm.MyAuditVal&lt;&gt;"",UPPER(_xlpm.MyAuditVal),_xlpm.MacVal&lt;&gt;"",_xlpm.MacVal,_xlpm.CSVVal&lt;&gt;"",_xlpm.CSVVal
)),"")</f>
        <v/>
      </c>
      <c r="M258" s="45" t="str">
        <f>_xlfn.LET(
    _xlpm.CSVVal, _xlfn.XLOOKUP($A258, CSV!$A:$A, CSV!AE:AE, ""),
    _xlpm.MacVal, _xlfn.XLOOKUP($A258, Output_Mac!$A:$A, Output_Mac!S:S, ""),
    _xlpm.MyAuditVal, _xlfn.XLOOKUP($A258, My_Audit!$A:$A, My_Audit!N:N, ""),
    _xlfn.TEXTJOIN(", ", TRUE, _xlpm.MyAuditVal, _xlpm.MacVal, _xlpm.CSVVal)
)</f>
        <v/>
      </c>
      <c r="N258" s="45" t="str" cm="1">
        <f t="array" ref="N258">IFERROR(_xlfn.LET(
_xlpm.CSVVal,_xlfn.XLOOKUP($A258,CSV!$A:$A,CSV!AG:AG,""),
_xlpm.MacVal,_xlfn.XLOOKUP($A258,Output_Mac!$A:$A,Output_Mac!U:U,""),
_xlpm.MyAuditVal,_xlfn.XLOOKUP($A258,My_Audit!$A:$A,My_Audit!O:O,""),
_xlfn.IFS(_xlpm.MyAuditVal&lt;&gt;"",UPPER(_xlpm.MyAuditVal),_xlpm.MacVal&lt;&gt;"",_xlpm.MacVal,_xlpm.CSVVal&lt;&gt;"",_xlpm.CSVVal
)),"")</f>
        <v/>
      </c>
      <c r="O258" s="46" t="str">
        <f>_xlfn.XLOOKUP(C258,My_Audit!B:B,My_Audit!P:P,"")&amp;""</f>
        <v/>
      </c>
      <c r="P258" s="45"/>
      <c r="Q258" s="46" t="str">
        <f>IF(LEFT(N258,4)="Pass","Nist SP 800-88",My_Audit!R258)&amp;""</f>
        <v/>
      </c>
      <c r="R258" s="45"/>
      <c r="S258" s="45"/>
      <c r="T258" s="46" t="str">
        <f>_xlfn.XLOOKUP(E258,Models!I:I,Models!J:J,"")</f>
        <v/>
      </c>
      <c r="U258" s="45"/>
      <c r="V258" s="45"/>
      <c r="W258" s="38"/>
    </row>
    <row r="259" spans="1:23">
      <c r="A259" s="45" t="str">
        <f>_xlfn.TEXTJOIN("",TRUE,Input!$B$2,ROW(My_Audit!A258))</f>
        <v>XX258</v>
      </c>
      <c r="B259" s="45" t="str">
        <f>_xlfn.TEXTJOIN("-",TRUE,"ITD",Input!$A$2,A259)</f>
        <v>ITD-SHRXXX-XX258</v>
      </c>
      <c r="C259" s="45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46" t="str" cm="1">
        <f t="array" ref="D259">IFERROR(_xlfn.LET(
_xlpm.CSVVal,_xlfn.XLOOKUP($A259,CSV!$A:$A,CSV!C:C,""),
_xlpm.MacVal,_xlfn.XLOOKUP($A259,Output_Mac!$A:$A,Output_Mac!D:D,""),
_xlpm.MyAuditVal,_xlfn.XLOOKUP($A259,My_Audit!$A:$A,My_Audit!C:C,""),
_xlfn.IFS(_xlpm.MyAuditVal&lt;&gt;"",UPPER(_xlpm.MyAuditVal),_xlpm.MacVal&lt;&gt;"",_xlpm.MacVal,_xlpm.CSVVal&lt;&gt;"",_xlpm.CSVVal
)),"")</f>
        <v/>
      </c>
      <c r="E259" s="46" t="str" cm="1">
        <f t="array" ref="E259">IFERROR(_xlfn.LET(
_xlpm.CSVVal,_xlfn.XLOOKUP($A259,CSV!$A:$A,CSV!E:E,""),
_xlpm.MacVal,_xlfn.XLOOKUP($A259,Output_Mac!$A:$A,Output_Mac!C:C,""),
_xlpm.MyAuditVal,_xlfn.XLOOKUP($A259,My_Audit!$A:$A,My_Audit!D:D,""),
_xlfn.IFS(_xlpm.MyAuditVal&lt;&gt;"",_xlpm.MyAuditVal,_xlpm.MacVal&lt;&gt;"",_xlpm.MacVal,_xlpm.CSVVal&lt;&gt;"",_xlpm.CSVVal
)),"")</f>
        <v/>
      </c>
      <c r="F259" s="45" t="str" cm="1">
        <f t="array" ref="F259">IFERROR(_xlfn.LET(
_xlpm.CSVVal,_xlfn.XLOOKUP($A259,CSV!$A:$A,CSV!F:F,""),
_xlpm.MacVal,_xlfn.XLOOKUP($A259,Output_Mac!$A:$A,Output_Mac!F:F,""),
_xlpm.MyAuditVal,_xlfn.XLOOKUP($A259,My_Audit!$A:$A,My_Audit!E:E,""),
_xlfn.IFS(_xlpm.MyAuditVal&lt;&gt;"",_xlpm.MyAuditVal,_xlpm.MacVal&lt;&gt;"",_xlpm.MacVal,_xlpm.CSVVal&lt;&gt;"",PROPER(_xlpm.CSVVal)
)),"")</f>
        <v/>
      </c>
      <c r="G259" s="45" t="str" cm="1">
        <f t="array" ref="G259">IFERROR(_xlfn.LET(
_xlpm.CSVVal,_xlfn.XLOOKUP($A259,CSV!$A:$A,CSV!G:G,""),
_xlpm.MacVal,_xlfn.XLOOKUP($A259,Output_Mac!$A:$A,Output_Mac!H:H,""),
_xlpm.MyAuditVal,_xlfn.XLOOKUP($A259,My_Audit!$A:$A,My_Audit!F:F,""),
_xlfn.IFS(_xlpm.MyAuditVal&lt;&gt;"",_xlpm.MyAuditVal,_xlpm.MacVal&lt;&gt;"",_xlpm.MacVal,_xlpm.CSVVal&lt;&gt;"",_xlpm.CSVVal
)),"")</f>
        <v/>
      </c>
      <c r="H259" s="45" t="str">
        <f>_xlfn.XLOOKUP(A259,Output_Mac!A:A,Output_Mac!I:I,"")</f>
        <v/>
      </c>
      <c r="I259" s="45" t="str" cm="1">
        <f t="array" ref="I259">IFERROR(_xlfn.LET(
_xlpm.CSVVal,_xlfn.XLOOKUP($A259,CSV!$A:$A,CSV!H:H,""),
_xlpm.MacVal,_xlfn.XLOOKUP($A259,Output_Mac!$A:$A,Output_Mac!J:J,""),
_xlpm.MyAuditVal,_xlfn.XLOOKUP($A259,My_Audit!$A:$A,My_Audit!H:H,""),
_xlfn.IFS(_xlpm.MyAuditVal&lt;&gt;"",UPPER(_xlpm.MyAuditVal),_xlpm.MacVal&lt;&gt;"",_xlpm.MacVal,_xlpm.CSVVal&lt;&gt;"",_xlpm.CSVVal
)),"")</f>
        <v/>
      </c>
      <c r="J259" s="45" t="str" cm="1">
        <f t="array" ref="J259">IFERROR(_xlfn.LET(
_xlpm.CSVVal,_xlfn.XLOOKUP($A259,CSV!$A:$A,CSV!J:J,""),
_xlpm.MacVal,_xlfn.XLOOKUP($A259,Output_Mac!$A:$A,Output_Mac!K:K,""),
_xlpm.MyAuditVal,_xlfn.XLOOKUP($A259,My_Audit!$A:$A,My_Audit!I:I,""),
_xlfn.IFS(_xlpm.MyAuditVal&lt;&gt;"",UPPER(_xlpm.MyAuditVal),_xlpm.MacVal&lt;&gt;"",_xlpm.MacVal,_xlpm.CSVVal&lt;&gt;"",_xlpm.CSVVal
)),"")</f>
        <v/>
      </c>
      <c r="K259" s="45" t="str" cm="1">
        <f t="array" ref="K259">IFERROR(_xlfn.LET(
_xlpm.CSVVal,_xlfn.XLOOKUP($A259,CSV!$A:$A,CSV!N:N,""),
_xlpm.MacVal,_xlfn.XLOOKUP($A259,Output_Mac!$A:$A,Output_Mac!L:L,""),
_xlpm.MyAuditVal,_xlfn.XLOOKUP($A259,My_Audit!$A:$A,My_Audit!J:J,""),
_xlfn.IFS(_xlpm.MyAuditVal&lt;&gt;"",UPPER(_xlpm.MyAuditVal),_xlpm.MacVal&lt;&gt;"",_xlpm.MacVal,_xlpm.CSVVal&lt;&gt;"",_xlpm.CSVVal
)),"")</f>
        <v/>
      </c>
      <c r="L259" s="46" t="str" cm="1">
        <f t="array" ref="L259">IFERROR(_xlfn.LET(
_xlpm.CSVVal,_xlfn.XLOOKUP($A259,CSV!$A:$A,CSV!Q:Q,""),
_xlpm.MacVal,_xlfn.XLOOKUP($A259,Output_Mac!$A:$A,Output_Mac!M:M,""),
_xlpm.MyAuditVal,_xlfn.XLOOKUP($A259,My_Audit!$A:$A,My_Audit!K:K,""),
_xlfn.IFS(_xlpm.MyAuditVal&lt;&gt;"",UPPER(_xlpm.MyAuditVal),_xlpm.MacVal&lt;&gt;"",_xlpm.MacVal,_xlpm.CSVVal&lt;&gt;"",_xlpm.CSVVal
)),"")</f>
        <v/>
      </c>
      <c r="M259" s="45" t="str">
        <f>_xlfn.LET(
    _xlpm.CSVVal, _xlfn.XLOOKUP($A259, CSV!$A:$A, CSV!AE:AE, ""),
    _xlpm.MacVal, _xlfn.XLOOKUP($A259, Output_Mac!$A:$A, Output_Mac!S:S, ""),
    _xlpm.MyAuditVal, _xlfn.XLOOKUP($A259, My_Audit!$A:$A, My_Audit!N:N, ""),
    _xlfn.TEXTJOIN(", ", TRUE, _xlpm.MyAuditVal, _xlpm.MacVal, _xlpm.CSVVal)
)</f>
        <v/>
      </c>
      <c r="N259" s="45" t="str" cm="1">
        <f t="array" ref="N259">IFERROR(_xlfn.LET(
_xlpm.CSVVal,_xlfn.XLOOKUP($A259,CSV!$A:$A,CSV!AG:AG,""),
_xlpm.MacVal,_xlfn.XLOOKUP($A259,Output_Mac!$A:$A,Output_Mac!U:U,""),
_xlpm.MyAuditVal,_xlfn.XLOOKUP($A259,My_Audit!$A:$A,My_Audit!O:O,""),
_xlfn.IFS(_xlpm.MyAuditVal&lt;&gt;"",UPPER(_xlpm.MyAuditVal),_xlpm.MacVal&lt;&gt;"",_xlpm.MacVal,_xlpm.CSVVal&lt;&gt;"",_xlpm.CSVVal
)),"")</f>
        <v/>
      </c>
      <c r="O259" s="46" t="str">
        <f>_xlfn.XLOOKUP(C259,My_Audit!B:B,My_Audit!P:P,"")&amp;""</f>
        <v/>
      </c>
      <c r="P259" s="45"/>
      <c r="Q259" s="46" t="str">
        <f>IF(LEFT(N259,4)="Pass","Nist SP 800-88",My_Audit!R259)&amp;""</f>
        <v/>
      </c>
      <c r="R259" s="45"/>
      <c r="S259" s="45"/>
      <c r="T259" s="46" t="str">
        <f>_xlfn.XLOOKUP(E259,Models!I:I,Models!J:J,"")</f>
        <v/>
      </c>
      <c r="U259" s="45"/>
      <c r="V259" s="45"/>
      <c r="W259" s="38"/>
    </row>
    <row r="260" spans="1:23">
      <c r="A260" s="45" t="str">
        <f>_xlfn.TEXTJOIN("",TRUE,Input!$B$2,ROW(My_Audit!A259))</f>
        <v>XX259</v>
      </c>
      <c r="B260" s="45" t="str">
        <f>_xlfn.TEXTJOIN("-",TRUE,"ITD",Input!$A$2,A260)</f>
        <v>ITD-SHRXXX-XX259</v>
      </c>
      <c r="C260" s="45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46" t="str" cm="1">
        <f t="array" ref="D260">IFERROR(_xlfn.LET(
_xlpm.CSVVal,_xlfn.XLOOKUP($A260,CSV!$A:$A,CSV!C:C,""),
_xlpm.MacVal,_xlfn.XLOOKUP($A260,Output_Mac!$A:$A,Output_Mac!D:D,""),
_xlpm.MyAuditVal,_xlfn.XLOOKUP($A260,My_Audit!$A:$A,My_Audit!C:C,""),
_xlfn.IFS(_xlpm.MyAuditVal&lt;&gt;"",UPPER(_xlpm.MyAuditVal),_xlpm.MacVal&lt;&gt;"",_xlpm.MacVal,_xlpm.CSVVal&lt;&gt;"",_xlpm.CSVVal
)),"")</f>
        <v/>
      </c>
      <c r="E260" s="46" t="str" cm="1">
        <f t="array" ref="E260">IFERROR(_xlfn.LET(
_xlpm.CSVVal,_xlfn.XLOOKUP($A260,CSV!$A:$A,CSV!E:E,""),
_xlpm.MacVal,_xlfn.XLOOKUP($A260,Output_Mac!$A:$A,Output_Mac!C:C,""),
_xlpm.MyAuditVal,_xlfn.XLOOKUP($A260,My_Audit!$A:$A,My_Audit!D:D,""),
_xlfn.IFS(_xlpm.MyAuditVal&lt;&gt;"",_xlpm.MyAuditVal,_xlpm.MacVal&lt;&gt;"",_xlpm.MacVal,_xlpm.CSVVal&lt;&gt;"",_xlpm.CSVVal
)),"")</f>
        <v/>
      </c>
      <c r="F260" s="45" t="str" cm="1">
        <f t="array" ref="F260">IFERROR(_xlfn.LET(
_xlpm.CSVVal,_xlfn.XLOOKUP($A260,CSV!$A:$A,CSV!F:F,""),
_xlpm.MacVal,_xlfn.XLOOKUP($A260,Output_Mac!$A:$A,Output_Mac!F:F,""),
_xlpm.MyAuditVal,_xlfn.XLOOKUP($A260,My_Audit!$A:$A,My_Audit!E:E,""),
_xlfn.IFS(_xlpm.MyAuditVal&lt;&gt;"",_xlpm.MyAuditVal,_xlpm.MacVal&lt;&gt;"",_xlpm.MacVal,_xlpm.CSVVal&lt;&gt;"",PROPER(_xlpm.CSVVal)
)),"")</f>
        <v/>
      </c>
      <c r="G260" s="45" t="str" cm="1">
        <f t="array" ref="G260">IFERROR(_xlfn.LET(
_xlpm.CSVVal,_xlfn.XLOOKUP($A260,CSV!$A:$A,CSV!G:G,""),
_xlpm.MacVal,_xlfn.XLOOKUP($A260,Output_Mac!$A:$A,Output_Mac!H:H,""),
_xlpm.MyAuditVal,_xlfn.XLOOKUP($A260,My_Audit!$A:$A,My_Audit!F:F,""),
_xlfn.IFS(_xlpm.MyAuditVal&lt;&gt;"",_xlpm.MyAuditVal,_xlpm.MacVal&lt;&gt;"",_xlpm.MacVal,_xlpm.CSVVal&lt;&gt;"",_xlpm.CSVVal
)),"")</f>
        <v/>
      </c>
      <c r="H260" s="45" t="str">
        <f>_xlfn.XLOOKUP(A260,Output_Mac!A:A,Output_Mac!I:I,"")</f>
        <v/>
      </c>
      <c r="I260" s="45" t="str" cm="1">
        <f t="array" ref="I260">IFERROR(_xlfn.LET(
_xlpm.CSVVal,_xlfn.XLOOKUP($A260,CSV!$A:$A,CSV!H:H,""),
_xlpm.MacVal,_xlfn.XLOOKUP($A260,Output_Mac!$A:$A,Output_Mac!J:J,""),
_xlpm.MyAuditVal,_xlfn.XLOOKUP($A260,My_Audit!$A:$A,My_Audit!H:H,""),
_xlfn.IFS(_xlpm.MyAuditVal&lt;&gt;"",UPPER(_xlpm.MyAuditVal),_xlpm.MacVal&lt;&gt;"",_xlpm.MacVal,_xlpm.CSVVal&lt;&gt;"",_xlpm.CSVVal
)),"")</f>
        <v/>
      </c>
      <c r="J260" s="45" t="str" cm="1">
        <f t="array" ref="J260">IFERROR(_xlfn.LET(
_xlpm.CSVVal,_xlfn.XLOOKUP($A260,CSV!$A:$A,CSV!J:J,""),
_xlpm.MacVal,_xlfn.XLOOKUP($A260,Output_Mac!$A:$A,Output_Mac!K:K,""),
_xlpm.MyAuditVal,_xlfn.XLOOKUP($A260,My_Audit!$A:$A,My_Audit!I:I,""),
_xlfn.IFS(_xlpm.MyAuditVal&lt;&gt;"",UPPER(_xlpm.MyAuditVal),_xlpm.MacVal&lt;&gt;"",_xlpm.MacVal,_xlpm.CSVVal&lt;&gt;"",_xlpm.CSVVal
)),"")</f>
        <v/>
      </c>
      <c r="K260" s="45" t="str" cm="1">
        <f t="array" ref="K260">IFERROR(_xlfn.LET(
_xlpm.CSVVal,_xlfn.XLOOKUP($A260,CSV!$A:$A,CSV!N:N,""),
_xlpm.MacVal,_xlfn.XLOOKUP($A260,Output_Mac!$A:$A,Output_Mac!L:L,""),
_xlpm.MyAuditVal,_xlfn.XLOOKUP($A260,My_Audit!$A:$A,My_Audit!J:J,""),
_xlfn.IFS(_xlpm.MyAuditVal&lt;&gt;"",UPPER(_xlpm.MyAuditVal),_xlpm.MacVal&lt;&gt;"",_xlpm.MacVal,_xlpm.CSVVal&lt;&gt;"",_xlpm.CSVVal
)),"")</f>
        <v/>
      </c>
      <c r="L260" s="46" t="str" cm="1">
        <f t="array" ref="L260">IFERROR(_xlfn.LET(
_xlpm.CSVVal,_xlfn.XLOOKUP($A260,CSV!$A:$A,CSV!Q:Q,""),
_xlpm.MacVal,_xlfn.XLOOKUP($A260,Output_Mac!$A:$A,Output_Mac!M:M,""),
_xlpm.MyAuditVal,_xlfn.XLOOKUP($A260,My_Audit!$A:$A,My_Audit!K:K,""),
_xlfn.IFS(_xlpm.MyAuditVal&lt;&gt;"",UPPER(_xlpm.MyAuditVal),_xlpm.MacVal&lt;&gt;"",_xlpm.MacVal,_xlpm.CSVVal&lt;&gt;"",_xlpm.CSVVal
)),"")</f>
        <v/>
      </c>
      <c r="M260" s="45" t="str">
        <f>_xlfn.LET(
    _xlpm.CSVVal, _xlfn.XLOOKUP($A260, CSV!$A:$A, CSV!AE:AE, ""),
    _xlpm.MacVal, _xlfn.XLOOKUP($A260, Output_Mac!$A:$A, Output_Mac!S:S, ""),
    _xlpm.MyAuditVal, _xlfn.XLOOKUP($A260, My_Audit!$A:$A, My_Audit!N:N, ""),
    _xlfn.TEXTJOIN(", ", TRUE, _xlpm.MyAuditVal, _xlpm.MacVal, _xlpm.CSVVal)
)</f>
        <v/>
      </c>
      <c r="N260" s="45" t="str" cm="1">
        <f t="array" ref="N260">IFERROR(_xlfn.LET(
_xlpm.CSVVal,_xlfn.XLOOKUP($A260,CSV!$A:$A,CSV!AG:AG,""),
_xlpm.MacVal,_xlfn.XLOOKUP($A260,Output_Mac!$A:$A,Output_Mac!U:U,""),
_xlpm.MyAuditVal,_xlfn.XLOOKUP($A260,My_Audit!$A:$A,My_Audit!O:O,""),
_xlfn.IFS(_xlpm.MyAuditVal&lt;&gt;"",UPPER(_xlpm.MyAuditVal),_xlpm.MacVal&lt;&gt;"",_xlpm.MacVal,_xlpm.CSVVal&lt;&gt;"",_xlpm.CSVVal
)),"")</f>
        <v/>
      </c>
      <c r="O260" s="46" t="str">
        <f>_xlfn.XLOOKUP(C260,My_Audit!B:B,My_Audit!P:P,"")&amp;""</f>
        <v/>
      </c>
      <c r="P260" s="45"/>
      <c r="Q260" s="46" t="str">
        <f>IF(LEFT(N260,4)="Pass","Nist SP 800-88",My_Audit!R260)&amp;""</f>
        <v/>
      </c>
      <c r="R260" s="45"/>
      <c r="S260" s="45"/>
      <c r="T260" s="46" t="str">
        <f>_xlfn.XLOOKUP(E260,Models!I:I,Models!J:J,"")</f>
        <v/>
      </c>
      <c r="U260" s="45"/>
      <c r="V260" s="45"/>
      <c r="W260" s="38"/>
    </row>
    <row r="261" spans="1:23">
      <c r="A261" s="45" t="str">
        <f>_xlfn.TEXTJOIN("",TRUE,Input!$B$2,ROW(My_Audit!A260))</f>
        <v>XX260</v>
      </c>
      <c r="B261" s="45" t="str">
        <f>_xlfn.TEXTJOIN("-",TRUE,"ITD",Input!$A$2,A261)</f>
        <v>ITD-SHRXXX-XX260</v>
      </c>
      <c r="C261" s="45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46" t="str" cm="1">
        <f t="array" ref="D261">IFERROR(_xlfn.LET(
_xlpm.CSVVal,_xlfn.XLOOKUP($A261,CSV!$A:$A,CSV!C:C,""),
_xlpm.MacVal,_xlfn.XLOOKUP($A261,Output_Mac!$A:$A,Output_Mac!D:D,""),
_xlpm.MyAuditVal,_xlfn.XLOOKUP($A261,My_Audit!$A:$A,My_Audit!C:C,""),
_xlfn.IFS(_xlpm.MyAuditVal&lt;&gt;"",UPPER(_xlpm.MyAuditVal),_xlpm.MacVal&lt;&gt;"",_xlpm.MacVal,_xlpm.CSVVal&lt;&gt;"",_xlpm.CSVVal
)),"")</f>
        <v/>
      </c>
      <c r="E261" s="46" t="str" cm="1">
        <f t="array" ref="E261">IFERROR(_xlfn.LET(
_xlpm.CSVVal,_xlfn.XLOOKUP($A261,CSV!$A:$A,CSV!E:E,""),
_xlpm.MacVal,_xlfn.XLOOKUP($A261,Output_Mac!$A:$A,Output_Mac!C:C,""),
_xlpm.MyAuditVal,_xlfn.XLOOKUP($A261,My_Audit!$A:$A,My_Audit!D:D,""),
_xlfn.IFS(_xlpm.MyAuditVal&lt;&gt;"",_xlpm.MyAuditVal,_xlpm.MacVal&lt;&gt;"",_xlpm.MacVal,_xlpm.CSVVal&lt;&gt;"",_xlpm.CSVVal
)),"")</f>
        <v/>
      </c>
      <c r="F261" s="45" t="str" cm="1">
        <f t="array" ref="F261">IFERROR(_xlfn.LET(
_xlpm.CSVVal,_xlfn.XLOOKUP($A261,CSV!$A:$A,CSV!F:F,""),
_xlpm.MacVal,_xlfn.XLOOKUP($A261,Output_Mac!$A:$A,Output_Mac!F:F,""),
_xlpm.MyAuditVal,_xlfn.XLOOKUP($A261,My_Audit!$A:$A,My_Audit!E:E,""),
_xlfn.IFS(_xlpm.MyAuditVal&lt;&gt;"",_xlpm.MyAuditVal,_xlpm.MacVal&lt;&gt;"",_xlpm.MacVal,_xlpm.CSVVal&lt;&gt;"",PROPER(_xlpm.CSVVal)
)),"")</f>
        <v/>
      </c>
      <c r="G261" s="45" t="str" cm="1">
        <f t="array" ref="G261">IFERROR(_xlfn.LET(
_xlpm.CSVVal,_xlfn.XLOOKUP($A261,CSV!$A:$A,CSV!G:G,""),
_xlpm.MacVal,_xlfn.XLOOKUP($A261,Output_Mac!$A:$A,Output_Mac!H:H,""),
_xlpm.MyAuditVal,_xlfn.XLOOKUP($A261,My_Audit!$A:$A,My_Audit!F:F,""),
_xlfn.IFS(_xlpm.MyAuditVal&lt;&gt;"",_xlpm.MyAuditVal,_xlpm.MacVal&lt;&gt;"",_xlpm.MacVal,_xlpm.CSVVal&lt;&gt;"",_xlpm.CSVVal
)),"")</f>
        <v/>
      </c>
      <c r="H261" s="45" t="str">
        <f>_xlfn.XLOOKUP(A261,Output_Mac!A:A,Output_Mac!I:I,"")</f>
        <v/>
      </c>
      <c r="I261" s="45" t="str" cm="1">
        <f t="array" ref="I261">IFERROR(_xlfn.LET(
_xlpm.CSVVal,_xlfn.XLOOKUP($A261,CSV!$A:$A,CSV!H:H,""),
_xlpm.MacVal,_xlfn.XLOOKUP($A261,Output_Mac!$A:$A,Output_Mac!J:J,""),
_xlpm.MyAuditVal,_xlfn.XLOOKUP($A261,My_Audit!$A:$A,My_Audit!H:H,""),
_xlfn.IFS(_xlpm.MyAuditVal&lt;&gt;"",UPPER(_xlpm.MyAuditVal),_xlpm.MacVal&lt;&gt;"",_xlpm.MacVal,_xlpm.CSVVal&lt;&gt;"",_xlpm.CSVVal
)),"")</f>
        <v/>
      </c>
      <c r="J261" s="45" t="str" cm="1">
        <f t="array" ref="J261">IFERROR(_xlfn.LET(
_xlpm.CSVVal,_xlfn.XLOOKUP($A261,CSV!$A:$A,CSV!J:J,""),
_xlpm.MacVal,_xlfn.XLOOKUP($A261,Output_Mac!$A:$A,Output_Mac!K:K,""),
_xlpm.MyAuditVal,_xlfn.XLOOKUP($A261,My_Audit!$A:$A,My_Audit!I:I,""),
_xlfn.IFS(_xlpm.MyAuditVal&lt;&gt;"",UPPER(_xlpm.MyAuditVal),_xlpm.MacVal&lt;&gt;"",_xlpm.MacVal,_xlpm.CSVVal&lt;&gt;"",_xlpm.CSVVal
)),"")</f>
        <v/>
      </c>
      <c r="K261" s="45" t="str" cm="1">
        <f t="array" ref="K261">IFERROR(_xlfn.LET(
_xlpm.CSVVal,_xlfn.XLOOKUP($A261,CSV!$A:$A,CSV!N:N,""),
_xlpm.MacVal,_xlfn.XLOOKUP($A261,Output_Mac!$A:$A,Output_Mac!L:L,""),
_xlpm.MyAuditVal,_xlfn.XLOOKUP($A261,My_Audit!$A:$A,My_Audit!J:J,""),
_xlfn.IFS(_xlpm.MyAuditVal&lt;&gt;"",UPPER(_xlpm.MyAuditVal),_xlpm.MacVal&lt;&gt;"",_xlpm.MacVal,_xlpm.CSVVal&lt;&gt;"",_xlpm.CSVVal
)),"")</f>
        <v/>
      </c>
      <c r="L261" s="46" t="str" cm="1">
        <f t="array" ref="L261">IFERROR(_xlfn.LET(
_xlpm.CSVVal,_xlfn.XLOOKUP($A261,CSV!$A:$A,CSV!Q:Q,""),
_xlpm.MacVal,_xlfn.XLOOKUP($A261,Output_Mac!$A:$A,Output_Mac!M:M,""),
_xlpm.MyAuditVal,_xlfn.XLOOKUP($A261,My_Audit!$A:$A,My_Audit!K:K,""),
_xlfn.IFS(_xlpm.MyAuditVal&lt;&gt;"",UPPER(_xlpm.MyAuditVal),_xlpm.MacVal&lt;&gt;"",_xlpm.MacVal,_xlpm.CSVVal&lt;&gt;"",_xlpm.CSVVal
)),"")</f>
        <v/>
      </c>
      <c r="M261" s="45" t="str">
        <f>_xlfn.LET(
    _xlpm.CSVVal, _xlfn.XLOOKUP($A261, CSV!$A:$A, CSV!AE:AE, ""),
    _xlpm.MacVal, _xlfn.XLOOKUP($A261, Output_Mac!$A:$A, Output_Mac!S:S, ""),
    _xlpm.MyAuditVal, _xlfn.XLOOKUP($A261, My_Audit!$A:$A, My_Audit!N:N, ""),
    _xlfn.TEXTJOIN(", ", TRUE, _xlpm.MyAuditVal, _xlpm.MacVal, _xlpm.CSVVal)
)</f>
        <v/>
      </c>
      <c r="N261" s="45" t="str" cm="1">
        <f t="array" ref="N261">IFERROR(_xlfn.LET(
_xlpm.CSVVal,_xlfn.XLOOKUP($A261,CSV!$A:$A,CSV!AG:AG,""),
_xlpm.MacVal,_xlfn.XLOOKUP($A261,Output_Mac!$A:$A,Output_Mac!U:U,""),
_xlpm.MyAuditVal,_xlfn.XLOOKUP($A261,My_Audit!$A:$A,My_Audit!O:O,""),
_xlfn.IFS(_xlpm.MyAuditVal&lt;&gt;"",UPPER(_xlpm.MyAuditVal),_xlpm.MacVal&lt;&gt;"",_xlpm.MacVal,_xlpm.CSVVal&lt;&gt;"",_xlpm.CSVVal
)),"")</f>
        <v/>
      </c>
      <c r="O261" s="46" t="str">
        <f>_xlfn.XLOOKUP(C261,My_Audit!B:B,My_Audit!P:P,"")&amp;""</f>
        <v/>
      </c>
      <c r="P261" s="45"/>
      <c r="Q261" s="46" t="str">
        <f>IF(LEFT(N261,4)="Pass","Nist SP 800-88",My_Audit!R261)&amp;""</f>
        <v/>
      </c>
      <c r="R261" s="45"/>
      <c r="S261" s="45"/>
      <c r="T261" s="46" t="str">
        <f>_xlfn.XLOOKUP(E261,Models!I:I,Models!J:J,"")</f>
        <v/>
      </c>
      <c r="U261" s="45"/>
      <c r="V261" s="45"/>
      <c r="W261" s="38"/>
    </row>
    <row r="262" spans="1:23">
      <c r="A262" s="45" t="str">
        <f>_xlfn.TEXTJOIN("",TRUE,Input!$B$2,ROW(My_Audit!A261))</f>
        <v>XX261</v>
      </c>
      <c r="B262" s="45" t="str">
        <f>_xlfn.TEXTJOIN("-",TRUE,"ITD",Input!$A$2,A262)</f>
        <v>ITD-SHRXXX-XX261</v>
      </c>
      <c r="C262" s="45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46" t="str" cm="1">
        <f t="array" ref="D262">IFERROR(_xlfn.LET(
_xlpm.CSVVal,_xlfn.XLOOKUP($A262,CSV!$A:$A,CSV!C:C,""),
_xlpm.MacVal,_xlfn.XLOOKUP($A262,Output_Mac!$A:$A,Output_Mac!D:D,""),
_xlpm.MyAuditVal,_xlfn.XLOOKUP($A262,My_Audit!$A:$A,My_Audit!C:C,""),
_xlfn.IFS(_xlpm.MyAuditVal&lt;&gt;"",UPPER(_xlpm.MyAuditVal),_xlpm.MacVal&lt;&gt;"",_xlpm.MacVal,_xlpm.CSVVal&lt;&gt;"",_xlpm.CSVVal
)),"")</f>
        <v/>
      </c>
      <c r="E262" s="46" t="str" cm="1">
        <f t="array" ref="E262">IFERROR(_xlfn.LET(
_xlpm.CSVVal,_xlfn.XLOOKUP($A262,CSV!$A:$A,CSV!E:E,""),
_xlpm.MacVal,_xlfn.XLOOKUP($A262,Output_Mac!$A:$A,Output_Mac!C:C,""),
_xlpm.MyAuditVal,_xlfn.XLOOKUP($A262,My_Audit!$A:$A,My_Audit!D:D,""),
_xlfn.IFS(_xlpm.MyAuditVal&lt;&gt;"",_xlpm.MyAuditVal,_xlpm.MacVal&lt;&gt;"",_xlpm.MacVal,_xlpm.CSVVal&lt;&gt;"",_xlpm.CSVVal
)),"")</f>
        <v/>
      </c>
      <c r="F262" s="45" t="str" cm="1">
        <f t="array" ref="F262">IFERROR(_xlfn.LET(
_xlpm.CSVVal,_xlfn.XLOOKUP($A262,CSV!$A:$A,CSV!F:F,""),
_xlpm.MacVal,_xlfn.XLOOKUP($A262,Output_Mac!$A:$A,Output_Mac!F:F,""),
_xlpm.MyAuditVal,_xlfn.XLOOKUP($A262,My_Audit!$A:$A,My_Audit!E:E,""),
_xlfn.IFS(_xlpm.MyAuditVal&lt;&gt;"",_xlpm.MyAuditVal,_xlpm.MacVal&lt;&gt;"",_xlpm.MacVal,_xlpm.CSVVal&lt;&gt;"",PROPER(_xlpm.CSVVal)
)),"")</f>
        <v/>
      </c>
      <c r="G262" s="45" t="str" cm="1">
        <f t="array" ref="G262">IFERROR(_xlfn.LET(
_xlpm.CSVVal,_xlfn.XLOOKUP($A262,CSV!$A:$A,CSV!G:G,""),
_xlpm.MacVal,_xlfn.XLOOKUP($A262,Output_Mac!$A:$A,Output_Mac!H:H,""),
_xlpm.MyAuditVal,_xlfn.XLOOKUP($A262,My_Audit!$A:$A,My_Audit!F:F,""),
_xlfn.IFS(_xlpm.MyAuditVal&lt;&gt;"",_xlpm.MyAuditVal,_xlpm.MacVal&lt;&gt;"",_xlpm.MacVal,_xlpm.CSVVal&lt;&gt;"",_xlpm.CSVVal
)),"")</f>
        <v/>
      </c>
      <c r="H262" s="45" t="str">
        <f>_xlfn.XLOOKUP(A262,Output_Mac!A:A,Output_Mac!I:I,"")</f>
        <v/>
      </c>
      <c r="I262" s="45" t="str" cm="1">
        <f t="array" ref="I262">IFERROR(_xlfn.LET(
_xlpm.CSVVal,_xlfn.XLOOKUP($A262,CSV!$A:$A,CSV!H:H,""),
_xlpm.MacVal,_xlfn.XLOOKUP($A262,Output_Mac!$A:$A,Output_Mac!J:J,""),
_xlpm.MyAuditVal,_xlfn.XLOOKUP($A262,My_Audit!$A:$A,My_Audit!H:H,""),
_xlfn.IFS(_xlpm.MyAuditVal&lt;&gt;"",UPPER(_xlpm.MyAuditVal),_xlpm.MacVal&lt;&gt;"",_xlpm.MacVal,_xlpm.CSVVal&lt;&gt;"",_xlpm.CSVVal
)),"")</f>
        <v/>
      </c>
      <c r="J262" s="45" t="str" cm="1">
        <f t="array" ref="J262">IFERROR(_xlfn.LET(
_xlpm.CSVVal,_xlfn.XLOOKUP($A262,CSV!$A:$A,CSV!J:J,""),
_xlpm.MacVal,_xlfn.XLOOKUP($A262,Output_Mac!$A:$A,Output_Mac!K:K,""),
_xlpm.MyAuditVal,_xlfn.XLOOKUP($A262,My_Audit!$A:$A,My_Audit!I:I,""),
_xlfn.IFS(_xlpm.MyAuditVal&lt;&gt;"",UPPER(_xlpm.MyAuditVal),_xlpm.MacVal&lt;&gt;"",_xlpm.MacVal,_xlpm.CSVVal&lt;&gt;"",_xlpm.CSVVal
)),"")</f>
        <v/>
      </c>
      <c r="K262" s="45" t="str" cm="1">
        <f t="array" ref="K262">IFERROR(_xlfn.LET(
_xlpm.CSVVal,_xlfn.XLOOKUP($A262,CSV!$A:$A,CSV!N:N,""),
_xlpm.MacVal,_xlfn.XLOOKUP($A262,Output_Mac!$A:$A,Output_Mac!L:L,""),
_xlpm.MyAuditVal,_xlfn.XLOOKUP($A262,My_Audit!$A:$A,My_Audit!J:J,""),
_xlfn.IFS(_xlpm.MyAuditVal&lt;&gt;"",UPPER(_xlpm.MyAuditVal),_xlpm.MacVal&lt;&gt;"",_xlpm.MacVal,_xlpm.CSVVal&lt;&gt;"",_xlpm.CSVVal
)),"")</f>
        <v/>
      </c>
      <c r="L262" s="46" t="str" cm="1">
        <f t="array" ref="L262">IFERROR(_xlfn.LET(
_xlpm.CSVVal,_xlfn.XLOOKUP($A262,CSV!$A:$A,CSV!Q:Q,""),
_xlpm.MacVal,_xlfn.XLOOKUP($A262,Output_Mac!$A:$A,Output_Mac!M:M,""),
_xlpm.MyAuditVal,_xlfn.XLOOKUP($A262,My_Audit!$A:$A,My_Audit!K:K,""),
_xlfn.IFS(_xlpm.MyAuditVal&lt;&gt;"",UPPER(_xlpm.MyAuditVal),_xlpm.MacVal&lt;&gt;"",_xlpm.MacVal,_xlpm.CSVVal&lt;&gt;"",_xlpm.CSVVal
)),"")</f>
        <v/>
      </c>
      <c r="M262" s="45" t="str">
        <f>_xlfn.LET(
    _xlpm.CSVVal, _xlfn.XLOOKUP($A262, CSV!$A:$A, CSV!AE:AE, ""),
    _xlpm.MacVal, _xlfn.XLOOKUP($A262, Output_Mac!$A:$A, Output_Mac!S:S, ""),
    _xlpm.MyAuditVal, _xlfn.XLOOKUP($A262, My_Audit!$A:$A, My_Audit!N:N, ""),
    _xlfn.TEXTJOIN(", ", TRUE, _xlpm.MyAuditVal, _xlpm.MacVal, _xlpm.CSVVal)
)</f>
        <v/>
      </c>
      <c r="N262" s="45" t="str" cm="1">
        <f t="array" ref="N262">IFERROR(_xlfn.LET(
_xlpm.CSVVal,_xlfn.XLOOKUP($A262,CSV!$A:$A,CSV!AG:AG,""),
_xlpm.MacVal,_xlfn.XLOOKUP($A262,Output_Mac!$A:$A,Output_Mac!U:U,""),
_xlpm.MyAuditVal,_xlfn.XLOOKUP($A262,My_Audit!$A:$A,My_Audit!O:O,""),
_xlfn.IFS(_xlpm.MyAuditVal&lt;&gt;"",UPPER(_xlpm.MyAuditVal),_xlpm.MacVal&lt;&gt;"",_xlpm.MacVal,_xlpm.CSVVal&lt;&gt;"",_xlpm.CSVVal
)),"")</f>
        <v/>
      </c>
      <c r="O262" s="46" t="str">
        <f>_xlfn.XLOOKUP(C262,My_Audit!B:B,My_Audit!P:P,"")&amp;""</f>
        <v/>
      </c>
      <c r="P262" s="45"/>
      <c r="Q262" s="46" t="str">
        <f>IF(LEFT(N262,4)="Pass","Nist SP 800-88",My_Audit!R262)&amp;""</f>
        <v/>
      </c>
      <c r="R262" s="45"/>
      <c r="S262" s="45"/>
      <c r="T262" s="46" t="str">
        <f>_xlfn.XLOOKUP(E262,Models!I:I,Models!J:J,"")</f>
        <v/>
      </c>
      <c r="U262" s="45"/>
      <c r="V262" s="45"/>
      <c r="W262" s="38"/>
    </row>
    <row r="263" spans="1:23">
      <c r="A263" s="45" t="str">
        <f>_xlfn.TEXTJOIN("",TRUE,Input!$B$2,ROW(My_Audit!A262))</f>
        <v>XX262</v>
      </c>
      <c r="B263" s="45" t="str">
        <f>_xlfn.TEXTJOIN("-",TRUE,"ITD",Input!$A$2,A263)</f>
        <v>ITD-SHRXXX-XX262</v>
      </c>
      <c r="C263" s="45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46" t="str" cm="1">
        <f t="array" ref="D263">IFERROR(_xlfn.LET(
_xlpm.CSVVal,_xlfn.XLOOKUP($A263,CSV!$A:$A,CSV!C:C,""),
_xlpm.MacVal,_xlfn.XLOOKUP($A263,Output_Mac!$A:$A,Output_Mac!D:D,""),
_xlpm.MyAuditVal,_xlfn.XLOOKUP($A263,My_Audit!$A:$A,My_Audit!C:C,""),
_xlfn.IFS(_xlpm.MyAuditVal&lt;&gt;"",UPPER(_xlpm.MyAuditVal),_xlpm.MacVal&lt;&gt;"",_xlpm.MacVal,_xlpm.CSVVal&lt;&gt;"",_xlpm.CSVVal
)),"")</f>
        <v/>
      </c>
      <c r="E263" s="46" t="str" cm="1">
        <f t="array" ref="E263">IFERROR(_xlfn.LET(
_xlpm.CSVVal,_xlfn.XLOOKUP($A263,CSV!$A:$A,CSV!E:E,""),
_xlpm.MacVal,_xlfn.XLOOKUP($A263,Output_Mac!$A:$A,Output_Mac!C:C,""),
_xlpm.MyAuditVal,_xlfn.XLOOKUP($A263,My_Audit!$A:$A,My_Audit!D:D,""),
_xlfn.IFS(_xlpm.MyAuditVal&lt;&gt;"",_xlpm.MyAuditVal,_xlpm.MacVal&lt;&gt;"",_xlpm.MacVal,_xlpm.CSVVal&lt;&gt;"",_xlpm.CSVVal
)),"")</f>
        <v/>
      </c>
      <c r="F263" s="45" t="str" cm="1">
        <f t="array" ref="F263">IFERROR(_xlfn.LET(
_xlpm.CSVVal,_xlfn.XLOOKUP($A263,CSV!$A:$A,CSV!F:F,""),
_xlpm.MacVal,_xlfn.XLOOKUP($A263,Output_Mac!$A:$A,Output_Mac!F:F,""),
_xlpm.MyAuditVal,_xlfn.XLOOKUP($A263,My_Audit!$A:$A,My_Audit!E:E,""),
_xlfn.IFS(_xlpm.MyAuditVal&lt;&gt;"",_xlpm.MyAuditVal,_xlpm.MacVal&lt;&gt;"",_xlpm.MacVal,_xlpm.CSVVal&lt;&gt;"",PROPER(_xlpm.CSVVal)
)),"")</f>
        <v/>
      </c>
      <c r="G263" s="45" t="str" cm="1">
        <f t="array" ref="G263">IFERROR(_xlfn.LET(
_xlpm.CSVVal,_xlfn.XLOOKUP($A263,CSV!$A:$A,CSV!G:G,""),
_xlpm.MacVal,_xlfn.XLOOKUP($A263,Output_Mac!$A:$A,Output_Mac!H:H,""),
_xlpm.MyAuditVal,_xlfn.XLOOKUP($A263,My_Audit!$A:$A,My_Audit!F:F,""),
_xlfn.IFS(_xlpm.MyAuditVal&lt;&gt;"",_xlpm.MyAuditVal,_xlpm.MacVal&lt;&gt;"",_xlpm.MacVal,_xlpm.CSVVal&lt;&gt;"",_xlpm.CSVVal
)),"")</f>
        <v/>
      </c>
      <c r="H263" s="45" t="str">
        <f>_xlfn.XLOOKUP(A263,Output_Mac!A:A,Output_Mac!I:I,"")</f>
        <v/>
      </c>
      <c r="I263" s="45" t="str" cm="1">
        <f t="array" ref="I263">IFERROR(_xlfn.LET(
_xlpm.CSVVal,_xlfn.XLOOKUP($A263,CSV!$A:$A,CSV!H:H,""),
_xlpm.MacVal,_xlfn.XLOOKUP($A263,Output_Mac!$A:$A,Output_Mac!J:J,""),
_xlpm.MyAuditVal,_xlfn.XLOOKUP($A263,My_Audit!$A:$A,My_Audit!H:H,""),
_xlfn.IFS(_xlpm.MyAuditVal&lt;&gt;"",UPPER(_xlpm.MyAuditVal),_xlpm.MacVal&lt;&gt;"",_xlpm.MacVal,_xlpm.CSVVal&lt;&gt;"",_xlpm.CSVVal
)),"")</f>
        <v/>
      </c>
      <c r="J263" s="45" t="str" cm="1">
        <f t="array" ref="J263">IFERROR(_xlfn.LET(
_xlpm.CSVVal,_xlfn.XLOOKUP($A263,CSV!$A:$A,CSV!J:J,""),
_xlpm.MacVal,_xlfn.XLOOKUP($A263,Output_Mac!$A:$A,Output_Mac!K:K,""),
_xlpm.MyAuditVal,_xlfn.XLOOKUP($A263,My_Audit!$A:$A,My_Audit!I:I,""),
_xlfn.IFS(_xlpm.MyAuditVal&lt;&gt;"",UPPER(_xlpm.MyAuditVal),_xlpm.MacVal&lt;&gt;"",_xlpm.MacVal,_xlpm.CSVVal&lt;&gt;"",_xlpm.CSVVal
)),"")</f>
        <v/>
      </c>
      <c r="K263" s="45" t="str" cm="1">
        <f t="array" ref="K263">IFERROR(_xlfn.LET(
_xlpm.CSVVal,_xlfn.XLOOKUP($A263,CSV!$A:$A,CSV!N:N,""),
_xlpm.MacVal,_xlfn.XLOOKUP($A263,Output_Mac!$A:$A,Output_Mac!L:L,""),
_xlpm.MyAuditVal,_xlfn.XLOOKUP($A263,My_Audit!$A:$A,My_Audit!J:J,""),
_xlfn.IFS(_xlpm.MyAuditVal&lt;&gt;"",UPPER(_xlpm.MyAuditVal),_xlpm.MacVal&lt;&gt;"",_xlpm.MacVal,_xlpm.CSVVal&lt;&gt;"",_xlpm.CSVVal
)),"")</f>
        <v/>
      </c>
      <c r="L263" s="46" t="str" cm="1">
        <f t="array" ref="L263">IFERROR(_xlfn.LET(
_xlpm.CSVVal,_xlfn.XLOOKUP($A263,CSV!$A:$A,CSV!Q:Q,""),
_xlpm.MacVal,_xlfn.XLOOKUP($A263,Output_Mac!$A:$A,Output_Mac!M:M,""),
_xlpm.MyAuditVal,_xlfn.XLOOKUP($A263,My_Audit!$A:$A,My_Audit!K:K,""),
_xlfn.IFS(_xlpm.MyAuditVal&lt;&gt;"",UPPER(_xlpm.MyAuditVal),_xlpm.MacVal&lt;&gt;"",_xlpm.MacVal,_xlpm.CSVVal&lt;&gt;"",_xlpm.CSVVal
)),"")</f>
        <v/>
      </c>
      <c r="M263" s="45" t="str">
        <f>_xlfn.LET(
    _xlpm.CSVVal, _xlfn.XLOOKUP($A263, CSV!$A:$A, CSV!AE:AE, ""),
    _xlpm.MacVal, _xlfn.XLOOKUP($A263, Output_Mac!$A:$A, Output_Mac!S:S, ""),
    _xlpm.MyAuditVal, _xlfn.XLOOKUP($A263, My_Audit!$A:$A, My_Audit!N:N, ""),
    _xlfn.TEXTJOIN(", ", TRUE, _xlpm.MyAuditVal, _xlpm.MacVal, _xlpm.CSVVal)
)</f>
        <v/>
      </c>
      <c r="N263" s="45" t="str" cm="1">
        <f t="array" ref="N263">IFERROR(_xlfn.LET(
_xlpm.CSVVal,_xlfn.XLOOKUP($A263,CSV!$A:$A,CSV!AG:AG,""),
_xlpm.MacVal,_xlfn.XLOOKUP($A263,Output_Mac!$A:$A,Output_Mac!U:U,""),
_xlpm.MyAuditVal,_xlfn.XLOOKUP($A263,My_Audit!$A:$A,My_Audit!O:O,""),
_xlfn.IFS(_xlpm.MyAuditVal&lt;&gt;"",UPPER(_xlpm.MyAuditVal),_xlpm.MacVal&lt;&gt;"",_xlpm.MacVal,_xlpm.CSVVal&lt;&gt;"",_xlpm.CSVVal
)),"")</f>
        <v/>
      </c>
      <c r="O263" s="46" t="str">
        <f>_xlfn.XLOOKUP(C263,My_Audit!B:B,My_Audit!P:P,"")&amp;""</f>
        <v/>
      </c>
      <c r="P263" s="45"/>
      <c r="Q263" s="46" t="str">
        <f>IF(LEFT(N263,4)="Pass","Nist SP 800-88",My_Audit!R263)&amp;""</f>
        <v/>
      </c>
      <c r="R263" s="45"/>
      <c r="S263" s="45"/>
      <c r="T263" s="46" t="str">
        <f>_xlfn.XLOOKUP(E263,Models!I:I,Models!J:J,"")</f>
        <v/>
      </c>
      <c r="U263" s="45"/>
      <c r="V263" s="45"/>
      <c r="W263" s="38"/>
    </row>
    <row r="264" spans="1:23">
      <c r="A264" s="45" t="str">
        <f>_xlfn.TEXTJOIN("",TRUE,Input!$B$2,ROW(My_Audit!A263))</f>
        <v>XX263</v>
      </c>
      <c r="B264" s="45" t="str">
        <f>_xlfn.TEXTJOIN("-",TRUE,"ITD",Input!$A$2,A264)</f>
        <v>ITD-SHRXXX-XX263</v>
      </c>
      <c r="C264" s="45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46" t="str" cm="1">
        <f t="array" ref="D264">IFERROR(_xlfn.LET(
_xlpm.CSVVal,_xlfn.XLOOKUP($A264,CSV!$A:$A,CSV!C:C,""),
_xlpm.MacVal,_xlfn.XLOOKUP($A264,Output_Mac!$A:$A,Output_Mac!D:D,""),
_xlpm.MyAuditVal,_xlfn.XLOOKUP($A264,My_Audit!$A:$A,My_Audit!C:C,""),
_xlfn.IFS(_xlpm.MyAuditVal&lt;&gt;"",UPPER(_xlpm.MyAuditVal),_xlpm.MacVal&lt;&gt;"",_xlpm.MacVal,_xlpm.CSVVal&lt;&gt;"",_xlpm.CSVVal
)),"")</f>
        <v/>
      </c>
      <c r="E264" s="46" t="str" cm="1">
        <f t="array" ref="E264">IFERROR(_xlfn.LET(
_xlpm.CSVVal,_xlfn.XLOOKUP($A264,CSV!$A:$A,CSV!E:E,""),
_xlpm.MacVal,_xlfn.XLOOKUP($A264,Output_Mac!$A:$A,Output_Mac!C:C,""),
_xlpm.MyAuditVal,_xlfn.XLOOKUP($A264,My_Audit!$A:$A,My_Audit!D:D,""),
_xlfn.IFS(_xlpm.MyAuditVal&lt;&gt;"",_xlpm.MyAuditVal,_xlpm.MacVal&lt;&gt;"",_xlpm.MacVal,_xlpm.CSVVal&lt;&gt;"",_xlpm.CSVVal
)),"")</f>
        <v/>
      </c>
      <c r="F264" s="45" t="str" cm="1">
        <f t="array" ref="F264">IFERROR(_xlfn.LET(
_xlpm.CSVVal,_xlfn.XLOOKUP($A264,CSV!$A:$A,CSV!F:F,""),
_xlpm.MacVal,_xlfn.XLOOKUP($A264,Output_Mac!$A:$A,Output_Mac!F:F,""),
_xlpm.MyAuditVal,_xlfn.XLOOKUP($A264,My_Audit!$A:$A,My_Audit!E:E,""),
_xlfn.IFS(_xlpm.MyAuditVal&lt;&gt;"",_xlpm.MyAuditVal,_xlpm.MacVal&lt;&gt;"",_xlpm.MacVal,_xlpm.CSVVal&lt;&gt;"",PROPER(_xlpm.CSVVal)
)),"")</f>
        <v/>
      </c>
      <c r="G264" s="45" t="str" cm="1">
        <f t="array" ref="G264">IFERROR(_xlfn.LET(
_xlpm.CSVVal,_xlfn.XLOOKUP($A264,CSV!$A:$A,CSV!G:G,""),
_xlpm.MacVal,_xlfn.XLOOKUP($A264,Output_Mac!$A:$A,Output_Mac!H:H,""),
_xlpm.MyAuditVal,_xlfn.XLOOKUP($A264,My_Audit!$A:$A,My_Audit!F:F,""),
_xlfn.IFS(_xlpm.MyAuditVal&lt;&gt;"",_xlpm.MyAuditVal,_xlpm.MacVal&lt;&gt;"",_xlpm.MacVal,_xlpm.CSVVal&lt;&gt;"",_xlpm.CSVVal
)),"")</f>
        <v/>
      </c>
      <c r="H264" s="45" t="str">
        <f>_xlfn.XLOOKUP(A264,Output_Mac!A:A,Output_Mac!I:I,"")</f>
        <v/>
      </c>
      <c r="I264" s="45" t="str" cm="1">
        <f t="array" ref="I264">IFERROR(_xlfn.LET(
_xlpm.CSVVal,_xlfn.XLOOKUP($A264,CSV!$A:$A,CSV!H:H,""),
_xlpm.MacVal,_xlfn.XLOOKUP($A264,Output_Mac!$A:$A,Output_Mac!J:J,""),
_xlpm.MyAuditVal,_xlfn.XLOOKUP($A264,My_Audit!$A:$A,My_Audit!H:H,""),
_xlfn.IFS(_xlpm.MyAuditVal&lt;&gt;"",UPPER(_xlpm.MyAuditVal),_xlpm.MacVal&lt;&gt;"",_xlpm.MacVal,_xlpm.CSVVal&lt;&gt;"",_xlpm.CSVVal
)),"")</f>
        <v/>
      </c>
      <c r="J264" s="45" t="str" cm="1">
        <f t="array" ref="J264">IFERROR(_xlfn.LET(
_xlpm.CSVVal,_xlfn.XLOOKUP($A264,CSV!$A:$A,CSV!J:J,""),
_xlpm.MacVal,_xlfn.XLOOKUP($A264,Output_Mac!$A:$A,Output_Mac!K:K,""),
_xlpm.MyAuditVal,_xlfn.XLOOKUP($A264,My_Audit!$A:$A,My_Audit!I:I,""),
_xlfn.IFS(_xlpm.MyAuditVal&lt;&gt;"",UPPER(_xlpm.MyAuditVal),_xlpm.MacVal&lt;&gt;"",_xlpm.MacVal,_xlpm.CSVVal&lt;&gt;"",_xlpm.CSVVal
)),"")</f>
        <v/>
      </c>
      <c r="K264" s="45" t="str" cm="1">
        <f t="array" ref="K264">IFERROR(_xlfn.LET(
_xlpm.CSVVal,_xlfn.XLOOKUP($A264,CSV!$A:$A,CSV!N:N,""),
_xlpm.MacVal,_xlfn.XLOOKUP($A264,Output_Mac!$A:$A,Output_Mac!L:L,""),
_xlpm.MyAuditVal,_xlfn.XLOOKUP($A264,My_Audit!$A:$A,My_Audit!J:J,""),
_xlfn.IFS(_xlpm.MyAuditVal&lt;&gt;"",UPPER(_xlpm.MyAuditVal),_xlpm.MacVal&lt;&gt;"",_xlpm.MacVal,_xlpm.CSVVal&lt;&gt;"",_xlpm.CSVVal
)),"")</f>
        <v/>
      </c>
      <c r="L264" s="46" t="str" cm="1">
        <f t="array" ref="L264">IFERROR(_xlfn.LET(
_xlpm.CSVVal,_xlfn.XLOOKUP($A264,CSV!$A:$A,CSV!Q:Q,""),
_xlpm.MacVal,_xlfn.XLOOKUP($A264,Output_Mac!$A:$A,Output_Mac!M:M,""),
_xlpm.MyAuditVal,_xlfn.XLOOKUP($A264,My_Audit!$A:$A,My_Audit!K:K,""),
_xlfn.IFS(_xlpm.MyAuditVal&lt;&gt;"",UPPER(_xlpm.MyAuditVal),_xlpm.MacVal&lt;&gt;"",_xlpm.MacVal,_xlpm.CSVVal&lt;&gt;"",_xlpm.CSVVal
)),"")</f>
        <v/>
      </c>
      <c r="M264" s="45" t="str">
        <f>_xlfn.LET(
    _xlpm.CSVVal, _xlfn.XLOOKUP($A264, CSV!$A:$A, CSV!AE:AE, ""),
    _xlpm.MacVal, _xlfn.XLOOKUP($A264, Output_Mac!$A:$A, Output_Mac!S:S, ""),
    _xlpm.MyAuditVal, _xlfn.XLOOKUP($A264, My_Audit!$A:$A, My_Audit!N:N, ""),
    _xlfn.TEXTJOIN(", ", TRUE, _xlpm.MyAuditVal, _xlpm.MacVal, _xlpm.CSVVal)
)</f>
        <v/>
      </c>
      <c r="N264" s="45" t="str" cm="1">
        <f t="array" ref="N264">IFERROR(_xlfn.LET(
_xlpm.CSVVal,_xlfn.XLOOKUP($A264,CSV!$A:$A,CSV!AG:AG,""),
_xlpm.MacVal,_xlfn.XLOOKUP($A264,Output_Mac!$A:$A,Output_Mac!U:U,""),
_xlpm.MyAuditVal,_xlfn.XLOOKUP($A264,My_Audit!$A:$A,My_Audit!O:O,""),
_xlfn.IFS(_xlpm.MyAuditVal&lt;&gt;"",UPPER(_xlpm.MyAuditVal),_xlpm.MacVal&lt;&gt;"",_xlpm.MacVal,_xlpm.CSVVal&lt;&gt;"",_xlpm.CSVVal
)),"")</f>
        <v/>
      </c>
      <c r="O264" s="46" t="str">
        <f>_xlfn.XLOOKUP(C264,My_Audit!B:B,My_Audit!P:P,"")&amp;""</f>
        <v/>
      </c>
      <c r="P264" s="45"/>
      <c r="Q264" s="46" t="str">
        <f>IF(LEFT(N264,4)="Pass","Nist SP 800-88",My_Audit!R264)&amp;""</f>
        <v/>
      </c>
      <c r="R264" s="45"/>
      <c r="S264" s="45"/>
      <c r="T264" s="46" t="str">
        <f>_xlfn.XLOOKUP(E264,Models!I:I,Models!J:J,"")</f>
        <v/>
      </c>
      <c r="U264" s="45"/>
      <c r="V264" s="45"/>
      <c r="W264" s="38"/>
    </row>
    <row r="265" spans="1:23">
      <c r="A265" s="45" t="str">
        <f>_xlfn.TEXTJOIN("",TRUE,Input!$B$2,ROW(My_Audit!A264))</f>
        <v>XX264</v>
      </c>
      <c r="B265" s="45" t="str">
        <f>_xlfn.TEXTJOIN("-",TRUE,"ITD",Input!$A$2,A265)</f>
        <v>ITD-SHRXXX-XX264</v>
      </c>
      <c r="C265" s="45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46" t="str" cm="1">
        <f t="array" ref="D265">IFERROR(_xlfn.LET(
_xlpm.CSVVal,_xlfn.XLOOKUP($A265,CSV!$A:$A,CSV!C:C,""),
_xlpm.MacVal,_xlfn.XLOOKUP($A265,Output_Mac!$A:$A,Output_Mac!D:D,""),
_xlpm.MyAuditVal,_xlfn.XLOOKUP($A265,My_Audit!$A:$A,My_Audit!C:C,""),
_xlfn.IFS(_xlpm.MyAuditVal&lt;&gt;"",UPPER(_xlpm.MyAuditVal),_xlpm.MacVal&lt;&gt;"",_xlpm.MacVal,_xlpm.CSVVal&lt;&gt;"",_xlpm.CSVVal
)),"")</f>
        <v/>
      </c>
      <c r="E265" s="46" t="str" cm="1">
        <f t="array" ref="E265">IFERROR(_xlfn.LET(
_xlpm.CSVVal,_xlfn.XLOOKUP($A265,CSV!$A:$A,CSV!E:E,""),
_xlpm.MacVal,_xlfn.XLOOKUP($A265,Output_Mac!$A:$A,Output_Mac!C:C,""),
_xlpm.MyAuditVal,_xlfn.XLOOKUP($A265,My_Audit!$A:$A,My_Audit!D:D,""),
_xlfn.IFS(_xlpm.MyAuditVal&lt;&gt;"",_xlpm.MyAuditVal,_xlpm.MacVal&lt;&gt;"",_xlpm.MacVal,_xlpm.CSVVal&lt;&gt;"",_xlpm.CSVVal
)),"")</f>
        <v/>
      </c>
      <c r="F265" s="45" t="str" cm="1">
        <f t="array" ref="F265">IFERROR(_xlfn.LET(
_xlpm.CSVVal,_xlfn.XLOOKUP($A265,CSV!$A:$A,CSV!F:F,""),
_xlpm.MacVal,_xlfn.XLOOKUP($A265,Output_Mac!$A:$A,Output_Mac!F:F,""),
_xlpm.MyAuditVal,_xlfn.XLOOKUP($A265,My_Audit!$A:$A,My_Audit!E:E,""),
_xlfn.IFS(_xlpm.MyAuditVal&lt;&gt;"",_xlpm.MyAuditVal,_xlpm.MacVal&lt;&gt;"",_xlpm.MacVal,_xlpm.CSVVal&lt;&gt;"",PROPER(_xlpm.CSVVal)
)),"")</f>
        <v/>
      </c>
      <c r="G265" s="45" t="str" cm="1">
        <f t="array" ref="G265">IFERROR(_xlfn.LET(
_xlpm.CSVVal,_xlfn.XLOOKUP($A265,CSV!$A:$A,CSV!G:G,""),
_xlpm.MacVal,_xlfn.XLOOKUP($A265,Output_Mac!$A:$A,Output_Mac!H:H,""),
_xlpm.MyAuditVal,_xlfn.XLOOKUP($A265,My_Audit!$A:$A,My_Audit!F:F,""),
_xlfn.IFS(_xlpm.MyAuditVal&lt;&gt;"",_xlpm.MyAuditVal,_xlpm.MacVal&lt;&gt;"",_xlpm.MacVal,_xlpm.CSVVal&lt;&gt;"",_xlpm.CSVVal
)),"")</f>
        <v/>
      </c>
      <c r="H265" s="45" t="str">
        <f>_xlfn.XLOOKUP(A265,Output_Mac!A:A,Output_Mac!I:I,"")</f>
        <v/>
      </c>
      <c r="I265" s="45" t="str" cm="1">
        <f t="array" ref="I265">IFERROR(_xlfn.LET(
_xlpm.CSVVal,_xlfn.XLOOKUP($A265,CSV!$A:$A,CSV!H:H,""),
_xlpm.MacVal,_xlfn.XLOOKUP($A265,Output_Mac!$A:$A,Output_Mac!J:J,""),
_xlpm.MyAuditVal,_xlfn.XLOOKUP($A265,My_Audit!$A:$A,My_Audit!H:H,""),
_xlfn.IFS(_xlpm.MyAuditVal&lt;&gt;"",UPPER(_xlpm.MyAuditVal),_xlpm.MacVal&lt;&gt;"",_xlpm.MacVal,_xlpm.CSVVal&lt;&gt;"",_xlpm.CSVVal
)),"")</f>
        <v/>
      </c>
      <c r="J265" s="45" t="str" cm="1">
        <f t="array" ref="J265">IFERROR(_xlfn.LET(
_xlpm.CSVVal,_xlfn.XLOOKUP($A265,CSV!$A:$A,CSV!J:J,""),
_xlpm.MacVal,_xlfn.XLOOKUP($A265,Output_Mac!$A:$A,Output_Mac!K:K,""),
_xlpm.MyAuditVal,_xlfn.XLOOKUP($A265,My_Audit!$A:$A,My_Audit!I:I,""),
_xlfn.IFS(_xlpm.MyAuditVal&lt;&gt;"",UPPER(_xlpm.MyAuditVal),_xlpm.MacVal&lt;&gt;"",_xlpm.MacVal,_xlpm.CSVVal&lt;&gt;"",_xlpm.CSVVal
)),"")</f>
        <v/>
      </c>
      <c r="K265" s="45" t="str" cm="1">
        <f t="array" ref="K265">IFERROR(_xlfn.LET(
_xlpm.CSVVal,_xlfn.XLOOKUP($A265,CSV!$A:$A,CSV!N:N,""),
_xlpm.MacVal,_xlfn.XLOOKUP($A265,Output_Mac!$A:$A,Output_Mac!L:L,""),
_xlpm.MyAuditVal,_xlfn.XLOOKUP($A265,My_Audit!$A:$A,My_Audit!J:J,""),
_xlfn.IFS(_xlpm.MyAuditVal&lt;&gt;"",UPPER(_xlpm.MyAuditVal),_xlpm.MacVal&lt;&gt;"",_xlpm.MacVal,_xlpm.CSVVal&lt;&gt;"",_xlpm.CSVVal
)),"")</f>
        <v/>
      </c>
      <c r="L265" s="46" t="str" cm="1">
        <f t="array" ref="L265">IFERROR(_xlfn.LET(
_xlpm.CSVVal,_xlfn.XLOOKUP($A265,CSV!$A:$A,CSV!Q:Q,""),
_xlpm.MacVal,_xlfn.XLOOKUP($A265,Output_Mac!$A:$A,Output_Mac!M:M,""),
_xlpm.MyAuditVal,_xlfn.XLOOKUP($A265,My_Audit!$A:$A,My_Audit!K:K,""),
_xlfn.IFS(_xlpm.MyAuditVal&lt;&gt;"",UPPER(_xlpm.MyAuditVal),_xlpm.MacVal&lt;&gt;"",_xlpm.MacVal,_xlpm.CSVVal&lt;&gt;"",_xlpm.CSVVal
)),"")</f>
        <v/>
      </c>
      <c r="M265" s="45" t="str">
        <f>_xlfn.LET(
    _xlpm.CSVVal, _xlfn.XLOOKUP($A265, CSV!$A:$A, CSV!AE:AE, ""),
    _xlpm.MacVal, _xlfn.XLOOKUP($A265, Output_Mac!$A:$A, Output_Mac!S:S, ""),
    _xlpm.MyAuditVal, _xlfn.XLOOKUP($A265, My_Audit!$A:$A, My_Audit!N:N, ""),
    _xlfn.TEXTJOIN(", ", TRUE, _xlpm.MyAuditVal, _xlpm.MacVal, _xlpm.CSVVal)
)</f>
        <v/>
      </c>
      <c r="N265" s="45" t="str" cm="1">
        <f t="array" ref="N265">IFERROR(_xlfn.LET(
_xlpm.CSVVal,_xlfn.XLOOKUP($A265,CSV!$A:$A,CSV!AG:AG,""),
_xlpm.MacVal,_xlfn.XLOOKUP($A265,Output_Mac!$A:$A,Output_Mac!U:U,""),
_xlpm.MyAuditVal,_xlfn.XLOOKUP($A265,My_Audit!$A:$A,My_Audit!O:O,""),
_xlfn.IFS(_xlpm.MyAuditVal&lt;&gt;"",UPPER(_xlpm.MyAuditVal),_xlpm.MacVal&lt;&gt;"",_xlpm.MacVal,_xlpm.CSVVal&lt;&gt;"",_xlpm.CSVVal
)),"")</f>
        <v/>
      </c>
      <c r="O265" s="46" t="str">
        <f>_xlfn.XLOOKUP(C265,My_Audit!B:B,My_Audit!P:P,"")&amp;""</f>
        <v/>
      </c>
      <c r="P265" s="45"/>
      <c r="Q265" s="46" t="str">
        <f>IF(LEFT(N265,4)="Pass","Nist SP 800-88",My_Audit!R265)&amp;""</f>
        <v/>
      </c>
      <c r="R265" s="45"/>
      <c r="S265" s="45"/>
      <c r="T265" s="46" t="str">
        <f>_xlfn.XLOOKUP(E265,Models!I:I,Models!J:J,"")</f>
        <v/>
      </c>
      <c r="U265" s="45"/>
      <c r="V265" s="45"/>
      <c r="W265" s="38"/>
    </row>
    <row r="266" spans="1:23">
      <c r="A266" s="45" t="str">
        <f>_xlfn.TEXTJOIN("",TRUE,Input!$B$2,ROW(My_Audit!A265))</f>
        <v>XX265</v>
      </c>
      <c r="B266" s="45" t="str">
        <f>_xlfn.TEXTJOIN("-",TRUE,"ITD",Input!$A$2,A266)</f>
        <v>ITD-SHRXXX-XX265</v>
      </c>
      <c r="C266" s="45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46" t="str" cm="1">
        <f t="array" ref="D266">IFERROR(_xlfn.LET(
_xlpm.CSVVal,_xlfn.XLOOKUP($A266,CSV!$A:$A,CSV!C:C,""),
_xlpm.MacVal,_xlfn.XLOOKUP($A266,Output_Mac!$A:$A,Output_Mac!D:D,""),
_xlpm.MyAuditVal,_xlfn.XLOOKUP($A266,My_Audit!$A:$A,My_Audit!C:C,""),
_xlfn.IFS(_xlpm.MyAuditVal&lt;&gt;"",UPPER(_xlpm.MyAuditVal),_xlpm.MacVal&lt;&gt;"",_xlpm.MacVal,_xlpm.CSVVal&lt;&gt;"",_xlpm.CSVVal
)),"")</f>
        <v/>
      </c>
      <c r="E266" s="46" t="str" cm="1">
        <f t="array" ref="E266">IFERROR(_xlfn.LET(
_xlpm.CSVVal,_xlfn.XLOOKUP($A266,CSV!$A:$A,CSV!E:E,""),
_xlpm.MacVal,_xlfn.XLOOKUP($A266,Output_Mac!$A:$A,Output_Mac!C:C,""),
_xlpm.MyAuditVal,_xlfn.XLOOKUP($A266,My_Audit!$A:$A,My_Audit!D:D,""),
_xlfn.IFS(_xlpm.MyAuditVal&lt;&gt;"",_xlpm.MyAuditVal,_xlpm.MacVal&lt;&gt;"",_xlpm.MacVal,_xlpm.CSVVal&lt;&gt;"",_xlpm.CSVVal
)),"")</f>
        <v/>
      </c>
      <c r="F266" s="45" t="str" cm="1">
        <f t="array" ref="F266">IFERROR(_xlfn.LET(
_xlpm.CSVVal,_xlfn.XLOOKUP($A266,CSV!$A:$A,CSV!F:F,""),
_xlpm.MacVal,_xlfn.XLOOKUP($A266,Output_Mac!$A:$A,Output_Mac!F:F,""),
_xlpm.MyAuditVal,_xlfn.XLOOKUP($A266,My_Audit!$A:$A,My_Audit!E:E,""),
_xlfn.IFS(_xlpm.MyAuditVal&lt;&gt;"",_xlpm.MyAuditVal,_xlpm.MacVal&lt;&gt;"",_xlpm.MacVal,_xlpm.CSVVal&lt;&gt;"",PROPER(_xlpm.CSVVal)
)),"")</f>
        <v/>
      </c>
      <c r="G266" s="45" t="str" cm="1">
        <f t="array" ref="G266">IFERROR(_xlfn.LET(
_xlpm.CSVVal,_xlfn.XLOOKUP($A266,CSV!$A:$A,CSV!G:G,""),
_xlpm.MacVal,_xlfn.XLOOKUP($A266,Output_Mac!$A:$A,Output_Mac!H:H,""),
_xlpm.MyAuditVal,_xlfn.XLOOKUP($A266,My_Audit!$A:$A,My_Audit!F:F,""),
_xlfn.IFS(_xlpm.MyAuditVal&lt;&gt;"",_xlpm.MyAuditVal,_xlpm.MacVal&lt;&gt;"",_xlpm.MacVal,_xlpm.CSVVal&lt;&gt;"",_xlpm.CSVVal
)),"")</f>
        <v/>
      </c>
      <c r="H266" s="45" t="str">
        <f>_xlfn.XLOOKUP(A266,Output_Mac!A:A,Output_Mac!I:I,"")</f>
        <v/>
      </c>
      <c r="I266" s="45" t="str" cm="1">
        <f t="array" ref="I266">IFERROR(_xlfn.LET(
_xlpm.CSVVal,_xlfn.XLOOKUP($A266,CSV!$A:$A,CSV!H:H,""),
_xlpm.MacVal,_xlfn.XLOOKUP($A266,Output_Mac!$A:$A,Output_Mac!J:J,""),
_xlpm.MyAuditVal,_xlfn.XLOOKUP($A266,My_Audit!$A:$A,My_Audit!H:H,""),
_xlfn.IFS(_xlpm.MyAuditVal&lt;&gt;"",UPPER(_xlpm.MyAuditVal),_xlpm.MacVal&lt;&gt;"",_xlpm.MacVal,_xlpm.CSVVal&lt;&gt;"",_xlpm.CSVVal
)),"")</f>
        <v/>
      </c>
      <c r="J266" s="45" t="str" cm="1">
        <f t="array" ref="J266">IFERROR(_xlfn.LET(
_xlpm.CSVVal,_xlfn.XLOOKUP($A266,CSV!$A:$A,CSV!J:J,""),
_xlpm.MacVal,_xlfn.XLOOKUP($A266,Output_Mac!$A:$A,Output_Mac!K:K,""),
_xlpm.MyAuditVal,_xlfn.XLOOKUP($A266,My_Audit!$A:$A,My_Audit!I:I,""),
_xlfn.IFS(_xlpm.MyAuditVal&lt;&gt;"",UPPER(_xlpm.MyAuditVal),_xlpm.MacVal&lt;&gt;"",_xlpm.MacVal,_xlpm.CSVVal&lt;&gt;"",_xlpm.CSVVal
)),"")</f>
        <v/>
      </c>
      <c r="K266" s="45" t="str" cm="1">
        <f t="array" ref="K266">IFERROR(_xlfn.LET(
_xlpm.CSVVal,_xlfn.XLOOKUP($A266,CSV!$A:$A,CSV!N:N,""),
_xlpm.MacVal,_xlfn.XLOOKUP($A266,Output_Mac!$A:$A,Output_Mac!L:L,""),
_xlpm.MyAuditVal,_xlfn.XLOOKUP($A266,My_Audit!$A:$A,My_Audit!J:J,""),
_xlfn.IFS(_xlpm.MyAuditVal&lt;&gt;"",UPPER(_xlpm.MyAuditVal),_xlpm.MacVal&lt;&gt;"",_xlpm.MacVal,_xlpm.CSVVal&lt;&gt;"",_xlpm.CSVVal
)),"")</f>
        <v/>
      </c>
      <c r="L266" s="46" t="str" cm="1">
        <f t="array" ref="L266">IFERROR(_xlfn.LET(
_xlpm.CSVVal,_xlfn.XLOOKUP($A266,CSV!$A:$A,CSV!Q:Q,""),
_xlpm.MacVal,_xlfn.XLOOKUP($A266,Output_Mac!$A:$A,Output_Mac!M:M,""),
_xlpm.MyAuditVal,_xlfn.XLOOKUP($A266,My_Audit!$A:$A,My_Audit!K:K,""),
_xlfn.IFS(_xlpm.MyAuditVal&lt;&gt;"",UPPER(_xlpm.MyAuditVal),_xlpm.MacVal&lt;&gt;"",_xlpm.MacVal,_xlpm.CSVVal&lt;&gt;"",_xlpm.CSVVal
)),"")</f>
        <v/>
      </c>
      <c r="M266" s="45" t="str">
        <f>_xlfn.LET(
    _xlpm.CSVVal, _xlfn.XLOOKUP($A266, CSV!$A:$A, CSV!AE:AE, ""),
    _xlpm.MacVal, _xlfn.XLOOKUP($A266, Output_Mac!$A:$A, Output_Mac!S:S, ""),
    _xlpm.MyAuditVal, _xlfn.XLOOKUP($A266, My_Audit!$A:$A, My_Audit!N:N, ""),
    _xlfn.TEXTJOIN(", ", TRUE, _xlpm.MyAuditVal, _xlpm.MacVal, _xlpm.CSVVal)
)</f>
        <v/>
      </c>
      <c r="N266" s="45" t="str" cm="1">
        <f t="array" ref="N266">IFERROR(_xlfn.LET(
_xlpm.CSVVal,_xlfn.XLOOKUP($A266,CSV!$A:$A,CSV!AG:AG,""),
_xlpm.MacVal,_xlfn.XLOOKUP($A266,Output_Mac!$A:$A,Output_Mac!U:U,""),
_xlpm.MyAuditVal,_xlfn.XLOOKUP($A266,My_Audit!$A:$A,My_Audit!O:O,""),
_xlfn.IFS(_xlpm.MyAuditVal&lt;&gt;"",UPPER(_xlpm.MyAuditVal),_xlpm.MacVal&lt;&gt;"",_xlpm.MacVal,_xlpm.CSVVal&lt;&gt;"",_xlpm.CSVVal
)),"")</f>
        <v/>
      </c>
      <c r="O266" s="46" t="str">
        <f>_xlfn.XLOOKUP(C266,My_Audit!B:B,My_Audit!P:P,"")&amp;""</f>
        <v/>
      </c>
      <c r="P266" s="45"/>
      <c r="Q266" s="46" t="str">
        <f>IF(LEFT(N266,4)="Pass","Nist SP 800-88",My_Audit!R266)&amp;""</f>
        <v/>
      </c>
      <c r="R266" s="45"/>
      <c r="S266" s="45"/>
      <c r="T266" s="46" t="str">
        <f>_xlfn.XLOOKUP(E266,Models!I:I,Models!J:J,"")</f>
        <v/>
      </c>
      <c r="U266" s="45"/>
      <c r="V266" s="45"/>
      <c r="W266" s="38"/>
    </row>
    <row r="267" spans="1:23">
      <c r="A267" s="45" t="str">
        <f>_xlfn.TEXTJOIN("",TRUE,Input!$B$2,ROW(My_Audit!A266))</f>
        <v>XX266</v>
      </c>
      <c r="B267" s="45" t="str">
        <f>_xlfn.TEXTJOIN("-",TRUE,"ITD",Input!$A$2,A267)</f>
        <v>ITD-SHRXXX-XX266</v>
      </c>
      <c r="C267" s="45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46" t="str" cm="1">
        <f t="array" ref="D267">IFERROR(_xlfn.LET(
_xlpm.CSVVal,_xlfn.XLOOKUP($A267,CSV!$A:$A,CSV!C:C,""),
_xlpm.MacVal,_xlfn.XLOOKUP($A267,Output_Mac!$A:$A,Output_Mac!D:D,""),
_xlpm.MyAuditVal,_xlfn.XLOOKUP($A267,My_Audit!$A:$A,My_Audit!C:C,""),
_xlfn.IFS(_xlpm.MyAuditVal&lt;&gt;"",UPPER(_xlpm.MyAuditVal),_xlpm.MacVal&lt;&gt;"",_xlpm.MacVal,_xlpm.CSVVal&lt;&gt;"",_xlpm.CSVVal
)),"")</f>
        <v/>
      </c>
      <c r="E267" s="46" t="str" cm="1">
        <f t="array" ref="E267">IFERROR(_xlfn.LET(
_xlpm.CSVVal,_xlfn.XLOOKUP($A267,CSV!$A:$A,CSV!E:E,""),
_xlpm.MacVal,_xlfn.XLOOKUP($A267,Output_Mac!$A:$A,Output_Mac!C:C,""),
_xlpm.MyAuditVal,_xlfn.XLOOKUP($A267,My_Audit!$A:$A,My_Audit!D:D,""),
_xlfn.IFS(_xlpm.MyAuditVal&lt;&gt;"",_xlpm.MyAuditVal,_xlpm.MacVal&lt;&gt;"",_xlpm.MacVal,_xlpm.CSVVal&lt;&gt;"",_xlpm.CSVVal
)),"")</f>
        <v/>
      </c>
      <c r="F267" s="45" t="str" cm="1">
        <f t="array" ref="F267">IFERROR(_xlfn.LET(
_xlpm.CSVVal,_xlfn.XLOOKUP($A267,CSV!$A:$A,CSV!F:F,""),
_xlpm.MacVal,_xlfn.XLOOKUP($A267,Output_Mac!$A:$A,Output_Mac!F:F,""),
_xlpm.MyAuditVal,_xlfn.XLOOKUP($A267,My_Audit!$A:$A,My_Audit!E:E,""),
_xlfn.IFS(_xlpm.MyAuditVal&lt;&gt;"",_xlpm.MyAuditVal,_xlpm.MacVal&lt;&gt;"",_xlpm.MacVal,_xlpm.CSVVal&lt;&gt;"",PROPER(_xlpm.CSVVal)
)),"")</f>
        <v/>
      </c>
      <c r="G267" s="45" t="str" cm="1">
        <f t="array" ref="G267">IFERROR(_xlfn.LET(
_xlpm.CSVVal,_xlfn.XLOOKUP($A267,CSV!$A:$A,CSV!G:G,""),
_xlpm.MacVal,_xlfn.XLOOKUP($A267,Output_Mac!$A:$A,Output_Mac!H:H,""),
_xlpm.MyAuditVal,_xlfn.XLOOKUP($A267,My_Audit!$A:$A,My_Audit!F:F,""),
_xlfn.IFS(_xlpm.MyAuditVal&lt;&gt;"",_xlpm.MyAuditVal,_xlpm.MacVal&lt;&gt;"",_xlpm.MacVal,_xlpm.CSVVal&lt;&gt;"",_xlpm.CSVVal
)),"")</f>
        <v/>
      </c>
      <c r="H267" s="45" t="str">
        <f>_xlfn.XLOOKUP(A267,Output_Mac!A:A,Output_Mac!I:I,"")</f>
        <v/>
      </c>
      <c r="I267" s="45" t="str" cm="1">
        <f t="array" ref="I267">IFERROR(_xlfn.LET(
_xlpm.CSVVal,_xlfn.XLOOKUP($A267,CSV!$A:$A,CSV!H:H,""),
_xlpm.MacVal,_xlfn.XLOOKUP($A267,Output_Mac!$A:$A,Output_Mac!J:J,""),
_xlpm.MyAuditVal,_xlfn.XLOOKUP($A267,My_Audit!$A:$A,My_Audit!H:H,""),
_xlfn.IFS(_xlpm.MyAuditVal&lt;&gt;"",UPPER(_xlpm.MyAuditVal),_xlpm.MacVal&lt;&gt;"",_xlpm.MacVal,_xlpm.CSVVal&lt;&gt;"",_xlpm.CSVVal
)),"")</f>
        <v/>
      </c>
      <c r="J267" s="45" t="str" cm="1">
        <f t="array" ref="J267">IFERROR(_xlfn.LET(
_xlpm.CSVVal,_xlfn.XLOOKUP($A267,CSV!$A:$A,CSV!J:J,""),
_xlpm.MacVal,_xlfn.XLOOKUP($A267,Output_Mac!$A:$A,Output_Mac!K:K,""),
_xlpm.MyAuditVal,_xlfn.XLOOKUP($A267,My_Audit!$A:$A,My_Audit!I:I,""),
_xlfn.IFS(_xlpm.MyAuditVal&lt;&gt;"",UPPER(_xlpm.MyAuditVal),_xlpm.MacVal&lt;&gt;"",_xlpm.MacVal,_xlpm.CSVVal&lt;&gt;"",_xlpm.CSVVal
)),"")</f>
        <v/>
      </c>
      <c r="K267" s="45" t="str" cm="1">
        <f t="array" ref="K267">IFERROR(_xlfn.LET(
_xlpm.CSVVal,_xlfn.XLOOKUP($A267,CSV!$A:$A,CSV!N:N,""),
_xlpm.MacVal,_xlfn.XLOOKUP($A267,Output_Mac!$A:$A,Output_Mac!L:L,""),
_xlpm.MyAuditVal,_xlfn.XLOOKUP($A267,My_Audit!$A:$A,My_Audit!J:J,""),
_xlfn.IFS(_xlpm.MyAuditVal&lt;&gt;"",UPPER(_xlpm.MyAuditVal),_xlpm.MacVal&lt;&gt;"",_xlpm.MacVal,_xlpm.CSVVal&lt;&gt;"",_xlpm.CSVVal
)),"")</f>
        <v/>
      </c>
      <c r="L267" s="46" t="str" cm="1">
        <f t="array" ref="L267">IFERROR(_xlfn.LET(
_xlpm.CSVVal,_xlfn.XLOOKUP($A267,CSV!$A:$A,CSV!Q:Q,""),
_xlpm.MacVal,_xlfn.XLOOKUP($A267,Output_Mac!$A:$A,Output_Mac!M:M,""),
_xlpm.MyAuditVal,_xlfn.XLOOKUP($A267,My_Audit!$A:$A,My_Audit!K:K,""),
_xlfn.IFS(_xlpm.MyAuditVal&lt;&gt;"",UPPER(_xlpm.MyAuditVal),_xlpm.MacVal&lt;&gt;"",_xlpm.MacVal,_xlpm.CSVVal&lt;&gt;"",_xlpm.CSVVal
)),"")</f>
        <v/>
      </c>
      <c r="M267" s="45" t="str">
        <f>_xlfn.LET(
    _xlpm.CSVVal, _xlfn.XLOOKUP($A267, CSV!$A:$A, CSV!AE:AE, ""),
    _xlpm.MacVal, _xlfn.XLOOKUP($A267, Output_Mac!$A:$A, Output_Mac!S:S, ""),
    _xlpm.MyAuditVal, _xlfn.XLOOKUP($A267, My_Audit!$A:$A, My_Audit!N:N, ""),
    _xlfn.TEXTJOIN(", ", TRUE, _xlpm.MyAuditVal, _xlpm.MacVal, _xlpm.CSVVal)
)</f>
        <v/>
      </c>
      <c r="N267" s="45" t="str" cm="1">
        <f t="array" ref="N267">IFERROR(_xlfn.LET(
_xlpm.CSVVal,_xlfn.XLOOKUP($A267,CSV!$A:$A,CSV!AG:AG,""),
_xlpm.MacVal,_xlfn.XLOOKUP($A267,Output_Mac!$A:$A,Output_Mac!U:U,""),
_xlpm.MyAuditVal,_xlfn.XLOOKUP($A267,My_Audit!$A:$A,My_Audit!O:O,""),
_xlfn.IFS(_xlpm.MyAuditVal&lt;&gt;"",UPPER(_xlpm.MyAuditVal),_xlpm.MacVal&lt;&gt;"",_xlpm.MacVal,_xlpm.CSVVal&lt;&gt;"",_xlpm.CSVVal
)),"")</f>
        <v/>
      </c>
      <c r="O267" s="46" t="str">
        <f>_xlfn.XLOOKUP(C267,My_Audit!B:B,My_Audit!P:P,"")&amp;""</f>
        <v/>
      </c>
      <c r="P267" s="45"/>
      <c r="Q267" s="46" t="str">
        <f>IF(LEFT(N267,4)="Pass","Nist SP 800-88",My_Audit!R267)&amp;""</f>
        <v/>
      </c>
      <c r="R267" s="45"/>
      <c r="S267" s="45"/>
      <c r="T267" s="46" t="str">
        <f>_xlfn.XLOOKUP(E267,Models!I:I,Models!J:J,"")</f>
        <v/>
      </c>
      <c r="U267" s="45"/>
      <c r="V267" s="45"/>
      <c r="W267" s="38"/>
    </row>
    <row r="268" spans="1:23">
      <c r="A268" s="45" t="str">
        <f>_xlfn.TEXTJOIN("",TRUE,Input!$B$2,ROW(My_Audit!A267))</f>
        <v>XX267</v>
      </c>
      <c r="B268" s="45" t="str">
        <f>_xlfn.TEXTJOIN("-",TRUE,"ITD",Input!$A$2,A268)</f>
        <v>ITD-SHRXXX-XX267</v>
      </c>
      <c r="C268" s="45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46" t="str" cm="1">
        <f t="array" ref="D268">IFERROR(_xlfn.LET(
_xlpm.CSVVal,_xlfn.XLOOKUP($A268,CSV!$A:$A,CSV!C:C,""),
_xlpm.MacVal,_xlfn.XLOOKUP($A268,Output_Mac!$A:$A,Output_Mac!D:D,""),
_xlpm.MyAuditVal,_xlfn.XLOOKUP($A268,My_Audit!$A:$A,My_Audit!C:C,""),
_xlfn.IFS(_xlpm.MyAuditVal&lt;&gt;"",UPPER(_xlpm.MyAuditVal),_xlpm.MacVal&lt;&gt;"",_xlpm.MacVal,_xlpm.CSVVal&lt;&gt;"",_xlpm.CSVVal
)),"")</f>
        <v/>
      </c>
      <c r="E268" s="46" t="str" cm="1">
        <f t="array" ref="E268">IFERROR(_xlfn.LET(
_xlpm.CSVVal,_xlfn.XLOOKUP($A268,CSV!$A:$A,CSV!E:E,""),
_xlpm.MacVal,_xlfn.XLOOKUP($A268,Output_Mac!$A:$A,Output_Mac!C:C,""),
_xlpm.MyAuditVal,_xlfn.XLOOKUP($A268,My_Audit!$A:$A,My_Audit!D:D,""),
_xlfn.IFS(_xlpm.MyAuditVal&lt;&gt;"",_xlpm.MyAuditVal,_xlpm.MacVal&lt;&gt;"",_xlpm.MacVal,_xlpm.CSVVal&lt;&gt;"",_xlpm.CSVVal
)),"")</f>
        <v/>
      </c>
      <c r="F268" s="45" t="str" cm="1">
        <f t="array" ref="F268">IFERROR(_xlfn.LET(
_xlpm.CSVVal,_xlfn.XLOOKUP($A268,CSV!$A:$A,CSV!F:F,""),
_xlpm.MacVal,_xlfn.XLOOKUP($A268,Output_Mac!$A:$A,Output_Mac!F:F,""),
_xlpm.MyAuditVal,_xlfn.XLOOKUP($A268,My_Audit!$A:$A,My_Audit!E:E,""),
_xlfn.IFS(_xlpm.MyAuditVal&lt;&gt;"",_xlpm.MyAuditVal,_xlpm.MacVal&lt;&gt;"",_xlpm.MacVal,_xlpm.CSVVal&lt;&gt;"",PROPER(_xlpm.CSVVal)
)),"")</f>
        <v/>
      </c>
      <c r="G268" s="45" t="str" cm="1">
        <f t="array" ref="G268">IFERROR(_xlfn.LET(
_xlpm.CSVVal,_xlfn.XLOOKUP($A268,CSV!$A:$A,CSV!G:G,""),
_xlpm.MacVal,_xlfn.XLOOKUP($A268,Output_Mac!$A:$A,Output_Mac!H:H,""),
_xlpm.MyAuditVal,_xlfn.XLOOKUP($A268,My_Audit!$A:$A,My_Audit!F:F,""),
_xlfn.IFS(_xlpm.MyAuditVal&lt;&gt;"",_xlpm.MyAuditVal,_xlpm.MacVal&lt;&gt;"",_xlpm.MacVal,_xlpm.CSVVal&lt;&gt;"",_xlpm.CSVVal
)),"")</f>
        <v/>
      </c>
      <c r="H268" s="45" t="str">
        <f>_xlfn.XLOOKUP(A268,Output_Mac!A:A,Output_Mac!I:I,"")</f>
        <v/>
      </c>
      <c r="I268" s="45" t="str" cm="1">
        <f t="array" ref="I268">IFERROR(_xlfn.LET(
_xlpm.CSVVal,_xlfn.XLOOKUP($A268,CSV!$A:$A,CSV!H:H,""),
_xlpm.MacVal,_xlfn.XLOOKUP($A268,Output_Mac!$A:$A,Output_Mac!J:J,""),
_xlpm.MyAuditVal,_xlfn.XLOOKUP($A268,My_Audit!$A:$A,My_Audit!H:H,""),
_xlfn.IFS(_xlpm.MyAuditVal&lt;&gt;"",UPPER(_xlpm.MyAuditVal),_xlpm.MacVal&lt;&gt;"",_xlpm.MacVal,_xlpm.CSVVal&lt;&gt;"",_xlpm.CSVVal
)),"")</f>
        <v/>
      </c>
      <c r="J268" s="45" t="str" cm="1">
        <f t="array" ref="J268">IFERROR(_xlfn.LET(
_xlpm.CSVVal,_xlfn.XLOOKUP($A268,CSV!$A:$A,CSV!J:J,""),
_xlpm.MacVal,_xlfn.XLOOKUP($A268,Output_Mac!$A:$A,Output_Mac!K:K,""),
_xlpm.MyAuditVal,_xlfn.XLOOKUP($A268,My_Audit!$A:$A,My_Audit!I:I,""),
_xlfn.IFS(_xlpm.MyAuditVal&lt;&gt;"",UPPER(_xlpm.MyAuditVal),_xlpm.MacVal&lt;&gt;"",_xlpm.MacVal,_xlpm.CSVVal&lt;&gt;"",_xlpm.CSVVal
)),"")</f>
        <v/>
      </c>
      <c r="K268" s="45" t="str" cm="1">
        <f t="array" ref="K268">IFERROR(_xlfn.LET(
_xlpm.CSVVal,_xlfn.XLOOKUP($A268,CSV!$A:$A,CSV!N:N,""),
_xlpm.MacVal,_xlfn.XLOOKUP($A268,Output_Mac!$A:$A,Output_Mac!L:L,""),
_xlpm.MyAuditVal,_xlfn.XLOOKUP($A268,My_Audit!$A:$A,My_Audit!J:J,""),
_xlfn.IFS(_xlpm.MyAuditVal&lt;&gt;"",UPPER(_xlpm.MyAuditVal),_xlpm.MacVal&lt;&gt;"",_xlpm.MacVal,_xlpm.CSVVal&lt;&gt;"",_xlpm.CSVVal
)),"")</f>
        <v/>
      </c>
      <c r="L268" s="46" t="str" cm="1">
        <f t="array" ref="L268">IFERROR(_xlfn.LET(
_xlpm.CSVVal,_xlfn.XLOOKUP($A268,CSV!$A:$A,CSV!Q:Q,""),
_xlpm.MacVal,_xlfn.XLOOKUP($A268,Output_Mac!$A:$A,Output_Mac!M:M,""),
_xlpm.MyAuditVal,_xlfn.XLOOKUP($A268,My_Audit!$A:$A,My_Audit!K:K,""),
_xlfn.IFS(_xlpm.MyAuditVal&lt;&gt;"",UPPER(_xlpm.MyAuditVal),_xlpm.MacVal&lt;&gt;"",_xlpm.MacVal,_xlpm.CSVVal&lt;&gt;"",_xlpm.CSVVal
)),"")</f>
        <v/>
      </c>
      <c r="M268" s="45" t="str">
        <f>_xlfn.LET(
    _xlpm.CSVVal, _xlfn.XLOOKUP($A268, CSV!$A:$A, CSV!AE:AE, ""),
    _xlpm.MacVal, _xlfn.XLOOKUP($A268, Output_Mac!$A:$A, Output_Mac!S:S, ""),
    _xlpm.MyAuditVal, _xlfn.XLOOKUP($A268, My_Audit!$A:$A, My_Audit!N:N, ""),
    _xlfn.TEXTJOIN(", ", TRUE, _xlpm.MyAuditVal, _xlpm.MacVal, _xlpm.CSVVal)
)</f>
        <v/>
      </c>
      <c r="N268" s="45" t="str" cm="1">
        <f t="array" ref="N268">IFERROR(_xlfn.LET(
_xlpm.CSVVal,_xlfn.XLOOKUP($A268,CSV!$A:$A,CSV!AG:AG,""),
_xlpm.MacVal,_xlfn.XLOOKUP($A268,Output_Mac!$A:$A,Output_Mac!U:U,""),
_xlpm.MyAuditVal,_xlfn.XLOOKUP($A268,My_Audit!$A:$A,My_Audit!O:O,""),
_xlfn.IFS(_xlpm.MyAuditVal&lt;&gt;"",UPPER(_xlpm.MyAuditVal),_xlpm.MacVal&lt;&gt;"",_xlpm.MacVal,_xlpm.CSVVal&lt;&gt;"",_xlpm.CSVVal
)),"")</f>
        <v/>
      </c>
      <c r="O268" s="46" t="str">
        <f>_xlfn.XLOOKUP(C268,My_Audit!B:B,My_Audit!P:P,"")&amp;""</f>
        <v/>
      </c>
      <c r="P268" s="45"/>
      <c r="Q268" s="46" t="str">
        <f>IF(LEFT(N268,4)="Pass","Nist SP 800-88",My_Audit!R268)&amp;""</f>
        <v/>
      </c>
      <c r="R268" s="45"/>
      <c r="S268" s="45"/>
      <c r="T268" s="46" t="str">
        <f>_xlfn.XLOOKUP(E268,Models!I:I,Models!J:J,"")</f>
        <v/>
      </c>
      <c r="U268" s="45"/>
      <c r="V268" s="45"/>
      <c r="W268" s="38"/>
    </row>
    <row r="269" spans="1:23">
      <c r="A269" s="45" t="str">
        <f>_xlfn.TEXTJOIN("",TRUE,Input!$B$2,ROW(My_Audit!A268))</f>
        <v>XX268</v>
      </c>
      <c r="B269" s="45" t="str">
        <f>_xlfn.TEXTJOIN("-",TRUE,"ITD",Input!$A$2,A269)</f>
        <v>ITD-SHRXXX-XX268</v>
      </c>
      <c r="C269" s="45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46" t="str" cm="1">
        <f t="array" ref="D269">IFERROR(_xlfn.LET(
_xlpm.CSVVal,_xlfn.XLOOKUP($A269,CSV!$A:$A,CSV!C:C,""),
_xlpm.MacVal,_xlfn.XLOOKUP($A269,Output_Mac!$A:$A,Output_Mac!D:D,""),
_xlpm.MyAuditVal,_xlfn.XLOOKUP($A269,My_Audit!$A:$A,My_Audit!C:C,""),
_xlfn.IFS(_xlpm.MyAuditVal&lt;&gt;"",UPPER(_xlpm.MyAuditVal),_xlpm.MacVal&lt;&gt;"",_xlpm.MacVal,_xlpm.CSVVal&lt;&gt;"",_xlpm.CSVVal
)),"")</f>
        <v/>
      </c>
      <c r="E269" s="46" t="str" cm="1">
        <f t="array" ref="E269">IFERROR(_xlfn.LET(
_xlpm.CSVVal,_xlfn.XLOOKUP($A269,CSV!$A:$A,CSV!E:E,""),
_xlpm.MacVal,_xlfn.XLOOKUP($A269,Output_Mac!$A:$A,Output_Mac!C:C,""),
_xlpm.MyAuditVal,_xlfn.XLOOKUP($A269,My_Audit!$A:$A,My_Audit!D:D,""),
_xlfn.IFS(_xlpm.MyAuditVal&lt;&gt;"",_xlpm.MyAuditVal,_xlpm.MacVal&lt;&gt;"",_xlpm.MacVal,_xlpm.CSVVal&lt;&gt;"",_xlpm.CSVVal
)),"")</f>
        <v/>
      </c>
      <c r="F269" s="45" t="str" cm="1">
        <f t="array" ref="F269">IFERROR(_xlfn.LET(
_xlpm.CSVVal,_xlfn.XLOOKUP($A269,CSV!$A:$A,CSV!F:F,""),
_xlpm.MacVal,_xlfn.XLOOKUP($A269,Output_Mac!$A:$A,Output_Mac!F:F,""),
_xlpm.MyAuditVal,_xlfn.XLOOKUP($A269,My_Audit!$A:$A,My_Audit!E:E,""),
_xlfn.IFS(_xlpm.MyAuditVal&lt;&gt;"",_xlpm.MyAuditVal,_xlpm.MacVal&lt;&gt;"",_xlpm.MacVal,_xlpm.CSVVal&lt;&gt;"",PROPER(_xlpm.CSVVal)
)),"")</f>
        <v/>
      </c>
      <c r="G269" s="45" t="str" cm="1">
        <f t="array" ref="G269">IFERROR(_xlfn.LET(
_xlpm.CSVVal,_xlfn.XLOOKUP($A269,CSV!$A:$A,CSV!G:G,""),
_xlpm.MacVal,_xlfn.XLOOKUP($A269,Output_Mac!$A:$A,Output_Mac!H:H,""),
_xlpm.MyAuditVal,_xlfn.XLOOKUP($A269,My_Audit!$A:$A,My_Audit!F:F,""),
_xlfn.IFS(_xlpm.MyAuditVal&lt;&gt;"",_xlpm.MyAuditVal,_xlpm.MacVal&lt;&gt;"",_xlpm.MacVal,_xlpm.CSVVal&lt;&gt;"",_xlpm.CSVVal
)),"")</f>
        <v/>
      </c>
      <c r="H269" s="45" t="str">
        <f>_xlfn.XLOOKUP(A269,Output_Mac!A:A,Output_Mac!I:I,"")</f>
        <v/>
      </c>
      <c r="I269" s="45" t="str" cm="1">
        <f t="array" ref="I269">IFERROR(_xlfn.LET(
_xlpm.CSVVal,_xlfn.XLOOKUP($A269,CSV!$A:$A,CSV!H:H,""),
_xlpm.MacVal,_xlfn.XLOOKUP($A269,Output_Mac!$A:$A,Output_Mac!J:J,""),
_xlpm.MyAuditVal,_xlfn.XLOOKUP($A269,My_Audit!$A:$A,My_Audit!H:H,""),
_xlfn.IFS(_xlpm.MyAuditVal&lt;&gt;"",UPPER(_xlpm.MyAuditVal),_xlpm.MacVal&lt;&gt;"",_xlpm.MacVal,_xlpm.CSVVal&lt;&gt;"",_xlpm.CSVVal
)),"")</f>
        <v/>
      </c>
      <c r="J269" s="45" t="str" cm="1">
        <f t="array" ref="J269">IFERROR(_xlfn.LET(
_xlpm.CSVVal,_xlfn.XLOOKUP($A269,CSV!$A:$A,CSV!J:J,""),
_xlpm.MacVal,_xlfn.XLOOKUP($A269,Output_Mac!$A:$A,Output_Mac!K:K,""),
_xlpm.MyAuditVal,_xlfn.XLOOKUP($A269,My_Audit!$A:$A,My_Audit!I:I,""),
_xlfn.IFS(_xlpm.MyAuditVal&lt;&gt;"",UPPER(_xlpm.MyAuditVal),_xlpm.MacVal&lt;&gt;"",_xlpm.MacVal,_xlpm.CSVVal&lt;&gt;"",_xlpm.CSVVal
)),"")</f>
        <v/>
      </c>
      <c r="K269" s="45" t="str" cm="1">
        <f t="array" ref="K269">IFERROR(_xlfn.LET(
_xlpm.CSVVal,_xlfn.XLOOKUP($A269,CSV!$A:$A,CSV!N:N,""),
_xlpm.MacVal,_xlfn.XLOOKUP($A269,Output_Mac!$A:$A,Output_Mac!L:L,""),
_xlpm.MyAuditVal,_xlfn.XLOOKUP($A269,My_Audit!$A:$A,My_Audit!J:J,""),
_xlfn.IFS(_xlpm.MyAuditVal&lt;&gt;"",UPPER(_xlpm.MyAuditVal),_xlpm.MacVal&lt;&gt;"",_xlpm.MacVal,_xlpm.CSVVal&lt;&gt;"",_xlpm.CSVVal
)),"")</f>
        <v/>
      </c>
      <c r="L269" s="46" t="str" cm="1">
        <f t="array" ref="L269">IFERROR(_xlfn.LET(
_xlpm.CSVVal,_xlfn.XLOOKUP($A269,CSV!$A:$A,CSV!Q:Q,""),
_xlpm.MacVal,_xlfn.XLOOKUP($A269,Output_Mac!$A:$A,Output_Mac!M:M,""),
_xlpm.MyAuditVal,_xlfn.XLOOKUP($A269,My_Audit!$A:$A,My_Audit!K:K,""),
_xlfn.IFS(_xlpm.MyAuditVal&lt;&gt;"",UPPER(_xlpm.MyAuditVal),_xlpm.MacVal&lt;&gt;"",_xlpm.MacVal,_xlpm.CSVVal&lt;&gt;"",_xlpm.CSVVal
)),"")</f>
        <v/>
      </c>
      <c r="M269" s="45" t="str">
        <f>_xlfn.LET(
    _xlpm.CSVVal, _xlfn.XLOOKUP($A269, CSV!$A:$A, CSV!AE:AE, ""),
    _xlpm.MacVal, _xlfn.XLOOKUP($A269, Output_Mac!$A:$A, Output_Mac!S:S, ""),
    _xlpm.MyAuditVal, _xlfn.XLOOKUP($A269, My_Audit!$A:$A, My_Audit!N:N, ""),
    _xlfn.TEXTJOIN(", ", TRUE, _xlpm.MyAuditVal, _xlpm.MacVal, _xlpm.CSVVal)
)</f>
        <v/>
      </c>
      <c r="N269" s="45" t="str" cm="1">
        <f t="array" ref="N269">IFERROR(_xlfn.LET(
_xlpm.CSVVal,_xlfn.XLOOKUP($A269,CSV!$A:$A,CSV!AG:AG,""),
_xlpm.MacVal,_xlfn.XLOOKUP($A269,Output_Mac!$A:$A,Output_Mac!U:U,""),
_xlpm.MyAuditVal,_xlfn.XLOOKUP($A269,My_Audit!$A:$A,My_Audit!O:O,""),
_xlfn.IFS(_xlpm.MyAuditVal&lt;&gt;"",UPPER(_xlpm.MyAuditVal),_xlpm.MacVal&lt;&gt;"",_xlpm.MacVal,_xlpm.CSVVal&lt;&gt;"",_xlpm.CSVVal
)),"")</f>
        <v/>
      </c>
      <c r="O269" s="46" t="str">
        <f>_xlfn.XLOOKUP(C269,My_Audit!B:B,My_Audit!P:P,"")&amp;""</f>
        <v/>
      </c>
      <c r="P269" s="45"/>
      <c r="Q269" s="46" t="str">
        <f>IF(LEFT(N269,4)="Pass","Nist SP 800-88",My_Audit!R269)&amp;""</f>
        <v/>
      </c>
      <c r="R269" s="45"/>
      <c r="S269" s="45"/>
      <c r="T269" s="46" t="str">
        <f>_xlfn.XLOOKUP(E269,Models!I:I,Models!J:J,"")</f>
        <v/>
      </c>
      <c r="U269" s="45"/>
      <c r="V269" s="45"/>
      <c r="W269" s="38"/>
    </row>
    <row r="270" spans="1:23">
      <c r="A270" s="45" t="str">
        <f>_xlfn.TEXTJOIN("",TRUE,Input!$B$2,ROW(My_Audit!A269))</f>
        <v>XX269</v>
      </c>
      <c r="B270" s="45" t="str">
        <f>_xlfn.TEXTJOIN("-",TRUE,"ITD",Input!$A$2,A270)</f>
        <v>ITD-SHRXXX-XX269</v>
      </c>
      <c r="C270" s="45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46" t="str" cm="1">
        <f t="array" ref="D270">IFERROR(_xlfn.LET(
_xlpm.CSVVal,_xlfn.XLOOKUP($A270,CSV!$A:$A,CSV!C:C,""),
_xlpm.MacVal,_xlfn.XLOOKUP($A270,Output_Mac!$A:$A,Output_Mac!D:D,""),
_xlpm.MyAuditVal,_xlfn.XLOOKUP($A270,My_Audit!$A:$A,My_Audit!C:C,""),
_xlfn.IFS(_xlpm.MyAuditVal&lt;&gt;"",UPPER(_xlpm.MyAuditVal),_xlpm.MacVal&lt;&gt;"",_xlpm.MacVal,_xlpm.CSVVal&lt;&gt;"",_xlpm.CSVVal
)),"")</f>
        <v/>
      </c>
      <c r="E270" s="46" t="str" cm="1">
        <f t="array" ref="E270">IFERROR(_xlfn.LET(
_xlpm.CSVVal,_xlfn.XLOOKUP($A270,CSV!$A:$A,CSV!E:E,""),
_xlpm.MacVal,_xlfn.XLOOKUP($A270,Output_Mac!$A:$A,Output_Mac!C:C,""),
_xlpm.MyAuditVal,_xlfn.XLOOKUP($A270,My_Audit!$A:$A,My_Audit!D:D,""),
_xlfn.IFS(_xlpm.MyAuditVal&lt;&gt;"",_xlpm.MyAuditVal,_xlpm.MacVal&lt;&gt;"",_xlpm.MacVal,_xlpm.CSVVal&lt;&gt;"",_xlpm.CSVVal
)),"")</f>
        <v/>
      </c>
      <c r="F270" s="45" t="str" cm="1">
        <f t="array" ref="F270">IFERROR(_xlfn.LET(
_xlpm.CSVVal,_xlfn.XLOOKUP($A270,CSV!$A:$A,CSV!F:F,""),
_xlpm.MacVal,_xlfn.XLOOKUP($A270,Output_Mac!$A:$A,Output_Mac!F:F,""),
_xlpm.MyAuditVal,_xlfn.XLOOKUP($A270,My_Audit!$A:$A,My_Audit!E:E,""),
_xlfn.IFS(_xlpm.MyAuditVal&lt;&gt;"",_xlpm.MyAuditVal,_xlpm.MacVal&lt;&gt;"",_xlpm.MacVal,_xlpm.CSVVal&lt;&gt;"",PROPER(_xlpm.CSVVal)
)),"")</f>
        <v/>
      </c>
      <c r="G270" s="45" t="str" cm="1">
        <f t="array" ref="G270">IFERROR(_xlfn.LET(
_xlpm.CSVVal,_xlfn.XLOOKUP($A270,CSV!$A:$A,CSV!G:G,""),
_xlpm.MacVal,_xlfn.XLOOKUP($A270,Output_Mac!$A:$A,Output_Mac!H:H,""),
_xlpm.MyAuditVal,_xlfn.XLOOKUP($A270,My_Audit!$A:$A,My_Audit!F:F,""),
_xlfn.IFS(_xlpm.MyAuditVal&lt;&gt;"",_xlpm.MyAuditVal,_xlpm.MacVal&lt;&gt;"",_xlpm.MacVal,_xlpm.CSVVal&lt;&gt;"",_xlpm.CSVVal
)),"")</f>
        <v/>
      </c>
      <c r="H270" s="45" t="str">
        <f>_xlfn.XLOOKUP(A270,Output_Mac!A:A,Output_Mac!I:I,"")</f>
        <v/>
      </c>
      <c r="I270" s="45" t="str" cm="1">
        <f t="array" ref="I270">IFERROR(_xlfn.LET(
_xlpm.CSVVal,_xlfn.XLOOKUP($A270,CSV!$A:$A,CSV!H:H,""),
_xlpm.MacVal,_xlfn.XLOOKUP($A270,Output_Mac!$A:$A,Output_Mac!J:J,""),
_xlpm.MyAuditVal,_xlfn.XLOOKUP($A270,My_Audit!$A:$A,My_Audit!H:H,""),
_xlfn.IFS(_xlpm.MyAuditVal&lt;&gt;"",UPPER(_xlpm.MyAuditVal),_xlpm.MacVal&lt;&gt;"",_xlpm.MacVal,_xlpm.CSVVal&lt;&gt;"",_xlpm.CSVVal
)),"")</f>
        <v/>
      </c>
      <c r="J270" s="45" t="str" cm="1">
        <f t="array" ref="J270">IFERROR(_xlfn.LET(
_xlpm.CSVVal,_xlfn.XLOOKUP($A270,CSV!$A:$A,CSV!J:J,""),
_xlpm.MacVal,_xlfn.XLOOKUP($A270,Output_Mac!$A:$A,Output_Mac!K:K,""),
_xlpm.MyAuditVal,_xlfn.XLOOKUP($A270,My_Audit!$A:$A,My_Audit!I:I,""),
_xlfn.IFS(_xlpm.MyAuditVal&lt;&gt;"",UPPER(_xlpm.MyAuditVal),_xlpm.MacVal&lt;&gt;"",_xlpm.MacVal,_xlpm.CSVVal&lt;&gt;"",_xlpm.CSVVal
)),"")</f>
        <v/>
      </c>
      <c r="K270" s="45" t="str" cm="1">
        <f t="array" ref="K270">IFERROR(_xlfn.LET(
_xlpm.CSVVal,_xlfn.XLOOKUP($A270,CSV!$A:$A,CSV!N:N,""),
_xlpm.MacVal,_xlfn.XLOOKUP($A270,Output_Mac!$A:$A,Output_Mac!L:L,""),
_xlpm.MyAuditVal,_xlfn.XLOOKUP($A270,My_Audit!$A:$A,My_Audit!J:J,""),
_xlfn.IFS(_xlpm.MyAuditVal&lt;&gt;"",UPPER(_xlpm.MyAuditVal),_xlpm.MacVal&lt;&gt;"",_xlpm.MacVal,_xlpm.CSVVal&lt;&gt;"",_xlpm.CSVVal
)),"")</f>
        <v/>
      </c>
      <c r="L270" s="46" t="str" cm="1">
        <f t="array" ref="L270">IFERROR(_xlfn.LET(
_xlpm.CSVVal,_xlfn.XLOOKUP($A270,CSV!$A:$A,CSV!Q:Q,""),
_xlpm.MacVal,_xlfn.XLOOKUP($A270,Output_Mac!$A:$A,Output_Mac!M:M,""),
_xlpm.MyAuditVal,_xlfn.XLOOKUP($A270,My_Audit!$A:$A,My_Audit!K:K,""),
_xlfn.IFS(_xlpm.MyAuditVal&lt;&gt;"",UPPER(_xlpm.MyAuditVal),_xlpm.MacVal&lt;&gt;"",_xlpm.MacVal,_xlpm.CSVVal&lt;&gt;"",_xlpm.CSVVal
)),"")</f>
        <v/>
      </c>
      <c r="M270" s="45" t="str">
        <f>_xlfn.LET(
    _xlpm.CSVVal, _xlfn.XLOOKUP($A270, CSV!$A:$A, CSV!AE:AE, ""),
    _xlpm.MacVal, _xlfn.XLOOKUP($A270, Output_Mac!$A:$A, Output_Mac!S:S, ""),
    _xlpm.MyAuditVal, _xlfn.XLOOKUP($A270, My_Audit!$A:$A, My_Audit!N:N, ""),
    _xlfn.TEXTJOIN(", ", TRUE, _xlpm.MyAuditVal, _xlpm.MacVal, _xlpm.CSVVal)
)</f>
        <v/>
      </c>
      <c r="N270" s="45" t="str" cm="1">
        <f t="array" ref="N270">IFERROR(_xlfn.LET(
_xlpm.CSVVal,_xlfn.XLOOKUP($A270,CSV!$A:$A,CSV!AG:AG,""),
_xlpm.MacVal,_xlfn.XLOOKUP($A270,Output_Mac!$A:$A,Output_Mac!U:U,""),
_xlpm.MyAuditVal,_xlfn.XLOOKUP($A270,My_Audit!$A:$A,My_Audit!O:O,""),
_xlfn.IFS(_xlpm.MyAuditVal&lt;&gt;"",UPPER(_xlpm.MyAuditVal),_xlpm.MacVal&lt;&gt;"",_xlpm.MacVal,_xlpm.CSVVal&lt;&gt;"",_xlpm.CSVVal
)),"")</f>
        <v/>
      </c>
      <c r="O270" s="46" t="str">
        <f>_xlfn.XLOOKUP(C270,My_Audit!B:B,My_Audit!P:P,"")&amp;""</f>
        <v/>
      </c>
      <c r="P270" s="45"/>
      <c r="Q270" s="46" t="str">
        <f>IF(LEFT(N270,4)="Pass","Nist SP 800-88",My_Audit!R270)&amp;""</f>
        <v/>
      </c>
      <c r="R270" s="45"/>
      <c r="S270" s="45"/>
      <c r="T270" s="46" t="str">
        <f>_xlfn.XLOOKUP(E270,Models!I:I,Models!J:J,"")</f>
        <v/>
      </c>
      <c r="U270" s="45"/>
      <c r="V270" s="45"/>
      <c r="W270" s="38"/>
    </row>
    <row r="271" spans="1:23">
      <c r="A271" s="45" t="str">
        <f>_xlfn.TEXTJOIN("",TRUE,Input!$B$2,ROW(My_Audit!A270))</f>
        <v>XX270</v>
      </c>
      <c r="B271" s="45" t="str">
        <f>_xlfn.TEXTJOIN("-",TRUE,"ITD",Input!$A$2,A271)</f>
        <v>ITD-SHRXXX-XX270</v>
      </c>
      <c r="C271" s="45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46" t="str" cm="1">
        <f t="array" ref="D271">IFERROR(_xlfn.LET(
_xlpm.CSVVal,_xlfn.XLOOKUP($A271,CSV!$A:$A,CSV!C:C,""),
_xlpm.MacVal,_xlfn.XLOOKUP($A271,Output_Mac!$A:$A,Output_Mac!D:D,""),
_xlpm.MyAuditVal,_xlfn.XLOOKUP($A271,My_Audit!$A:$A,My_Audit!C:C,""),
_xlfn.IFS(_xlpm.MyAuditVal&lt;&gt;"",UPPER(_xlpm.MyAuditVal),_xlpm.MacVal&lt;&gt;"",_xlpm.MacVal,_xlpm.CSVVal&lt;&gt;"",_xlpm.CSVVal
)),"")</f>
        <v/>
      </c>
      <c r="E271" s="46" t="str" cm="1">
        <f t="array" ref="E271">IFERROR(_xlfn.LET(
_xlpm.CSVVal,_xlfn.XLOOKUP($A271,CSV!$A:$A,CSV!E:E,""),
_xlpm.MacVal,_xlfn.XLOOKUP($A271,Output_Mac!$A:$A,Output_Mac!C:C,""),
_xlpm.MyAuditVal,_xlfn.XLOOKUP($A271,My_Audit!$A:$A,My_Audit!D:D,""),
_xlfn.IFS(_xlpm.MyAuditVal&lt;&gt;"",_xlpm.MyAuditVal,_xlpm.MacVal&lt;&gt;"",_xlpm.MacVal,_xlpm.CSVVal&lt;&gt;"",_xlpm.CSVVal
)),"")</f>
        <v/>
      </c>
      <c r="F271" s="45" t="str" cm="1">
        <f t="array" ref="F271">IFERROR(_xlfn.LET(
_xlpm.CSVVal,_xlfn.XLOOKUP($A271,CSV!$A:$A,CSV!F:F,""),
_xlpm.MacVal,_xlfn.XLOOKUP($A271,Output_Mac!$A:$A,Output_Mac!F:F,""),
_xlpm.MyAuditVal,_xlfn.XLOOKUP($A271,My_Audit!$A:$A,My_Audit!E:E,""),
_xlfn.IFS(_xlpm.MyAuditVal&lt;&gt;"",_xlpm.MyAuditVal,_xlpm.MacVal&lt;&gt;"",_xlpm.MacVal,_xlpm.CSVVal&lt;&gt;"",PROPER(_xlpm.CSVVal)
)),"")</f>
        <v/>
      </c>
      <c r="G271" s="45" t="str" cm="1">
        <f t="array" ref="G271">IFERROR(_xlfn.LET(
_xlpm.CSVVal,_xlfn.XLOOKUP($A271,CSV!$A:$A,CSV!G:G,""),
_xlpm.MacVal,_xlfn.XLOOKUP($A271,Output_Mac!$A:$A,Output_Mac!H:H,""),
_xlpm.MyAuditVal,_xlfn.XLOOKUP($A271,My_Audit!$A:$A,My_Audit!F:F,""),
_xlfn.IFS(_xlpm.MyAuditVal&lt;&gt;"",_xlpm.MyAuditVal,_xlpm.MacVal&lt;&gt;"",_xlpm.MacVal,_xlpm.CSVVal&lt;&gt;"",_xlpm.CSVVal
)),"")</f>
        <v/>
      </c>
      <c r="H271" s="45" t="str">
        <f>_xlfn.XLOOKUP(A271,Output_Mac!A:A,Output_Mac!I:I,"")</f>
        <v/>
      </c>
      <c r="I271" s="45" t="str" cm="1">
        <f t="array" ref="I271">IFERROR(_xlfn.LET(
_xlpm.CSVVal,_xlfn.XLOOKUP($A271,CSV!$A:$A,CSV!H:H,""),
_xlpm.MacVal,_xlfn.XLOOKUP($A271,Output_Mac!$A:$A,Output_Mac!J:J,""),
_xlpm.MyAuditVal,_xlfn.XLOOKUP($A271,My_Audit!$A:$A,My_Audit!H:H,""),
_xlfn.IFS(_xlpm.MyAuditVal&lt;&gt;"",UPPER(_xlpm.MyAuditVal),_xlpm.MacVal&lt;&gt;"",_xlpm.MacVal,_xlpm.CSVVal&lt;&gt;"",_xlpm.CSVVal
)),"")</f>
        <v/>
      </c>
      <c r="J271" s="45" t="str" cm="1">
        <f t="array" ref="J271">IFERROR(_xlfn.LET(
_xlpm.CSVVal,_xlfn.XLOOKUP($A271,CSV!$A:$A,CSV!J:J,""),
_xlpm.MacVal,_xlfn.XLOOKUP($A271,Output_Mac!$A:$A,Output_Mac!K:K,""),
_xlpm.MyAuditVal,_xlfn.XLOOKUP($A271,My_Audit!$A:$A,My_Audit!I:I,""),
_xlfn.IFS(_xlpm.MyAuditVal&lt;&gt;"",UPPER(_xlpm.MyAuditVal),_xlpm.MacVal&lt;&gt;"",_xlpm.MacVal,_xlpm.CSVVal&lt;&gt;"",_xlpm.CSVVal
)),"")</f>
        <v/>
      </c>
      <c r="K271" s="45" t="str" cm="1">
        <f t="array" ref="K271">IFERROR(_xlfn.LET(
_xlpm.CSVVal,_xlfn.XLOOKUP($A271,CSV!$A:$A,CSV!N:N,""),
_xlpm.MacVal,_xlfn.XLOOKUP($A271,Output_Mac!$A:$A,Output_Mac!L:L,""),
_xlpm.MyAuditVal,_xlfn.XLOOKUP($A271,My_Audit!$A:$A,My_Audit!J:J,""),
_xlfn.IFS(_xlpm.MyAuditVal&lt;&gt;"",UPPER(_xlpm.MyAuditVal),_xlpm.MacVal&lt;&gt;"",_xlpm.MacVal,_xlpm.CSVVal&lt;&gt;"",_xlpm.CSVVal
)),"")</f>
        <v/>
      </c>
      <c r="L271" s="46" t="str" cm="1">
        <f t="array" ref="L271">IFERROR(_xlfn.LET(
_xlpm.CSVVal,_xlfn.XLOOKUP($A271,CSV!$A:$A,CSV!Q:Q,""),
_xlpm.MacVal,_xlfn.XLOOKUP($A271,Output_Mac!$A:$A,Output_Mac!M:M,""),
_xlpm.MyAuditVal,_xlfn.XLOOKUP($A271,My_Audit!$A:$A,My_Audit!K:K,""),
_xlfn.IFS(_xlpm.MyAuditVal&lt;&gt;"",UPPER(_xlpm.MyAuditVal),_xlpm.MacVal&lt;&gt;"",_xlpm.MacVal,_xlpm.CSVVal&lt;&gt;"",_xlpm.CSVVal
)),"")</f>
        <v/>
      </c>
      <c r="M271" s="45" t="str">
        <f>_xlfn.LET(
    _xlpm.CSVVal, _xlfn.XLOOKUP($A271, CSV!$A:$A, CSV!AE:AE, ""),
    _xlpm.MacVal, _xlfn.XLOOKUP($A271, Output_Mac!$A:$A, Output_Mac!S:S, ""),
    _xlpm.MyAuditVal, _xlfn.XLOOKUP($A271, My_Audit!$A:$A, My_Audit!N:N, ""),
    _xlfn.TEXTJOIN(", ", TRUE, _xlpm.MyAuditVal, _xlpm.MacVal, _xlpm.CSVVal)
)</f>
        <v/>
      </c>
      <c r="N271" s="45" t="str" cm="1">
        <f t="array" ref="N271">IFERROR(_xlfn.LET(
_xlpm.CSVVal,_xlfn.XLOOKUP($A271,CSV!$A:$A,CSV!AG:AG,""),
_xlpm.MacVal,_xlfn.XLOOKUP($A271,Output_Mac!$A:$A,Output_Mac!U:U,""),
_xlpm.MyAuditVal,_xlfn.XLOOKUP($A271,My_Audit!$A:$A,My_Audit!O:O,""),
_xlfn.IFS(_xlpm.MyAuditVal&lt;&gt;"",UPPER(_xlpm.MyAuditVal),_xlpm.MacVal&lt;&gt;"",_xlpm.MacVal,_xlpm.CSVVal&lt;&gt;"",_xlpm.CSVVal
)),"")</f>
        <v/>
      </c>
      <c r="O271" s="46" t="str">
        <f>_xlfn.XLOOKUP(C271,My_Audit!B:B,My_Audit!P:P,"")&amp;""</f>
        <v/>
      </c>
      <c r="P271" s="45"/>
      <c r="Q271" s="46" t="str">
        <f>IF(LEFT(N271,4)="Pass","Nist SP 800-88",My_Audit!R271)&amp;""</f>
        <v/>
      </c>
      <c r="R271" s="45"/>
      <c r="S271" s="45"/>
      <c r="T271" s="46" t="str">
        <f>_xlfn.XLOOKUP(E271,Models!I:I,Models!J:J,"")</f>
        <v/>
      </c>
      <c r="U271" s="45"/>
      <c r="V271" s="45"/>
      <c r="W271" s="38"/>
    </row>
    <row r="272" spans="1:23">
      <c r="A272" s="45" t="str">
        <f>_xlfn.TEXTJOIN("",TRUE,Input!$B$2,ROW(My_Audit!A271))</f>
        <v>XX271</v>
      </c>
      <c r="B272" s="45" t="str">
        <f>_xlfn.TEXTJOIN("-",TRUE,"ITD",Input!$A$2,A272)</f>
        <v>ITD-SHRXXX-XX271</v>
      </c>
      <c r="C272" s="45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46" t="str" cm="1">
        <f t="array" ref="D272">IFERROR(_xlfn.LET(
_xlpm.CSVVal,_xlfn.XLOOKUP($A272,CSV!$A:$A,CSV!C:C,""),
_xlpm.MacVal,_xlfn.XLOOKUP($A272,Output_Mac!$A:$A,Output_Mac!D:D,""),
_xlpm.MyAuditVal,_xlfn.XLOOKUP($A272,My_Audit!$A:$A,My_Audit!C:C,""),
_xlfn.IFS(_xlpm.MyAuditVal&lt;&gt;"",UPPER(_xlpm.MyAuditVal),_xlpm.MacVal&lt;&gt;"",_xlpm.MacVal,_xlpm.CSVVal&lt;&gt;"",_xlpm.CSVVal
)),"")</f>
        <v/>
      </c>
      <c r="E272" s="46" t="str" cm="1">
        <f t="array" ref="E272">IFERROR(_xlfn.LET(
_xlpm.CSVVal,_xlfn.XLOOKUP($A272,CSV!$A:$A,CSV!E:E,""),
_xlpm.MacVal,_xlfn.XLOOKUP($A272,Output_Mac!$A:$A,Output_Mac!C:C,""),
_xlpm.MyAuditVal,_xlfn.XLOOKUP($A272,My_Audit!$A:$A,My_Audit!D:D,""),
_xlfn.IFS(_xlpm.MyAuditVal&lt;&gt;"",_xlpm.MyAuditVal,_xlpm.MacVal&lt;&gt;"",_xlpm.MacVal,_xlpm.CSVVal&lt;&gt;"",_xlpm.CSVVal
)),"")</f>
        <v/>
      </c>
      <c r="F272" s="45" t="str" cm="1">
        <f t="array" ref="F272">IFERROR(_xlfn.LET(
_xlpm.CSVVal,_xlfn.XLOOKUP($A272,CSV!$A:$A,CSV!F:F,""),
_xlpm.MacVal,_xlfn.XLOOKUP($A272,Output_Mac!$A:$A,Output_Mac!F:F,""),
_xlpm.MyAuditVal,_xlfn.XLOOKUP($A272,My_Audit!$A:$A,My_Audit!E:E,""),
_xlfn.IFS(_xlpm.MyAuditVal&lt;&gt;"",_xlpm.MyAuditVal,_xlpm.MacVal&lt;&gt;"",_xlpm.MacVal,_xlpm.CSVVal&lt;&gt;"",PROPER(_xlpm.CSVVal)
)),"")</f>
        <v/>
      </c>
      <c r="G272" s="45" t="str" cm="1">
        <f t="array" ref="G272">IFERROR(_xlfn.LET(
_xlpm.CSVVal,_xlfn.XLOOKUP($A272,CSV!$A:$A,CSV!G:G,""),
_xlpm.MacVal,_xlfn.XLOOKUP($A272,Output_Mac!$A:$A,Output_Mac!H:H,""),
_xlpm.MyAuditVal,_xlfn.XLOOKUP($A272,My_Audit!$A:$A,My_Audit!F:F,""),
_xlfn.IFS(_xlpm.MyAuditVal&lt;&gt;"",_xlpm.MyAuditVal,_xlpm.MacVal&lt;&gt;"",_xlpm.MacVal,_xlpm.CSVVal&lt;&gt;"",_xlpm.CSVVal
)),"")</f>
        <v/>
      </c>
      <c r="H272" s="45" t="str">
        <f>_xlfn.XLOOKUP(A272,Output_Mac!A:A,Output_Mac!I:I,"")</f>
        <v/>
      </c>
      <c r="I272" s="45" t="str" cm="1">
        <f t="array" ref="I272">IFERROR(_xlfn.LET(
_xlpm.CSVVal,_xlfn.XLOOKUP($A272,CSV!$A:$A,CSV!H:H,""),
_xlpm.MacVal,_xlfn.XLOOKUP($A272,Output_Mac!$A:$A,Output_Mac!J:J,""),
_xlpm.MyAuditVal,_xlfn.XLOOKUP($A272,My_Audit!$A:$A,My_Audit!H:H,""),
_xlfn.IFS(_xlpm.MyAuditVal&lt;&gt;"",UPPER(_xlpm.MyAuditVal),_xlpm.MacVal&lt;&gt;"",_xlpm.MacVal,_xlpm.CSVVal&lt;&gt;"",_xlpm.CSVVal
)),"")</f>
        <v/>
      </c>
      <c r="J272" s="45" t="str" cm="1">
        <f t="array" ref="J272">IFERROR(_xlfn.LET(
_xlpm.CSVVal,_xlfn.XLOOKUP($A272,CSV!$A:$A,CSV!J:J,""),
_xlpm.MacVal,_xlfn.XLOOKUP($A272,Output_Mac!$A:$A,Output_Mac!K:K,""),
_xlpm.MyAuditVal,_xlfn.XLOOKUP($A272,My_Audit!$A:$A,My_Audit!I:I,""),
_xlfn.IFS(_xlpm.MyAuditVal&lt;&gt;"",UPPER(_xlpm.MyAuditVal),_xlpm.MacVal&lt;&gt;"",_xlpm.MacVal,_xlpm.CSVVal&lt;&gt;"",_xlpm.CSVVal
)),"")</f>
        <v/>
      </c>
      <c r="K272" s="45" t="str" cm="1">
        <f t="array" ref="K272">IFERROR(_xlfn.LET(
_xlpm.CSVVal,_xlfn.XLOOKUP($A272,CSV!$A:$A,CSV!N:N,""),
_xlpm.MacVal,_xlfn.XLOOKUP($A272,Output_Mac!$A:$A,Output_Mac!L:L,""),
_xlpm.MyAuditVal,_xlfn.XLOOKUP($A272,My_Audit!$A:$A,My_Audit!J:J,""),
_xlfn.IFS(_xlpm.MyAuditVal&lt;&gt;"",UPPER(_xlpm.MyAuditVal),_xlpm.MacVal&lt;&gt;"",_xlpm.MacVal,_xlpm.CSVVal&lt;&gt;"",_xlpm.CSVVal
)),"")</f>
        <v/>
      </c>
      <c r="L272" s="46" t="str" cm="1">
        <f t="array" ref="L272">IFERROR(_xlfn.LET(
_xlpm.CSVVal,_xlfn.XLOOKUP($A272,CSV!$A:$A,CSV!Q:Q,""),
_xlpm.MacVal,_xlfn.XLOOKUP($A272,Output_Mac!$A:$A,Output_Mac!M:M,""),
_xlpm.MyAuditVal,_xlfn.XLOOKUP($A272,My_Audit!$A:$A,My_Audit!K:K,""),
_xlfn.IFS(_xlpm.MyAuditVal&lt;&gt;"",UPPER(_xlpm.MyAuditVal),_xlpm.MacVal&lt;&gt;"",_xlpm.MacVal,_xlpm.CSVVal&lt;&gt;"",_xlpm.CSVVal
)),"")</f>
        <v/>
      </c>
      <c r="M272" s="45" t="str">
        <f>_xlfn.LET(
    _xlpm.CSVVal, _xlfn.XLOOKUP($A272, CSV!$A:$A, CSV!AE:AE, ""),
    _xlpm.MacVal, _xlfn.XLOOKUP($A272, Output_Mac!$A:$A, Output_Mac!S:S, ""),
    _xlpm.MyAuditVal, _xlfn.XLOOKUP($A272, My_Audit!$A:$A, My_Audit!N:N, ""),
    _xlfn.TEXTJOIN(", ", TRUE, _xlpm.MyAuditVal, _xlpm.MacVal, _xlpm.CSVVal)
)</f>
        <v/>
      </c>
      <c r="N272" s="45" t="str" cm="1">
        <f t="array" ref="N272">IFERROR(_xlfn.LET(
_xlpm.CSVVal,_xlfn.XLOOKUP($A272,CSV!$A:$A,CSV!AG:AG,""),
_xlpm.MacVal,_xlfn.XLOOKUP($A272,Output_Mac!$A:$A,Output_Mac!U:U,""),
_xlpm.MyAuditVal,_xlfn.XLOOKUP($A272,My_Audit!$A:$A,My_Audit!O:O,""),
_xlfn.IFS(_xlpm.MyAuditVal&lt;&gt;"",UPPER(_xlpm.MyAuditVal),_xlpm.MacVal&lt;&gt;"",_xlpm.MacVal,_xlpm.CSVVal&lt;&gt;"",_xlpm.CSVVal
)),"")</f>
        <v/>
      </c>
      <c r="O272" s="46" t="str">
        <f>_xlfn.XLOOKUP(C272,My_Audit!B:B,My_Audit!P:P,"")&amp;""</f>
        <v/>
      </c>
      <c r="P272" s="45"/>
      <c r="Q272" s="46" t="str">
        <f>IF(LEFT(N272,4)="Pass","Nist SP 800-88",My_Audit!R272)&amp;""</f>
        <v/>
      </c>
      <c r="R272" s="45"/>
      <c r="S272" s="45"/>
      <c r="T272" s="46" t="str">
        <f>_xlfn.XLOOKUP(E272,Models!I:I,Models!J:J,"")</f>
        <v/>
      </c>
      <c r="U272" s="45"/>
      <c r="V272" s="45"/>
      <c r="W272" s="38"/>
    </row>
    <row r="273" spans="1:23">
      <c r="A273" s="45" t="str">
        <f>_xlfn.TEXTJOIN("",TRUE,Input!$B$2,ROW(My_Audit!A272))</f>
        <v>XX272</v>
      </c>
      <c r="B273" s="45" t="str">
        <f>_xlfn.TEXTJOIN("-",TRUE,"ITD",Input!$A$2,A273)</f>
        <v>ITD-SHRXXX-XX272</v>
      </c>
      <c r="C273" s="45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46" t="str" cm="1">
        <f t="array" ref="D273">IFERROR(_xlfn.LET(
_xlpm.CSVVal,_xlfn.XLOOKUP($A273,CSV!$A:$A,CSV!C:C,""),
_xlpm.MacVal,_xlfn.XLOOKUP($A273,Output_Mac!$A:$A,Output_Mac!D:D,""),
_xlpm.MyAuditVal,_xlfn.XLOOKUP($A273,My_Audit!$A:$A,My_Audit!C:C,""),
_xlfn.IFS(_xlpm.MyAuditVal&lt;&gt;"",UPPER(_xlpm.MyAuditVal),_xlpm.MacVal&lt;&gt;"",_xlpm.MacVal,_xlpm.CSVVal&lt;&gt;"",_xlpm.CSVVal
)),"")</f>
        <v/>
      </c>
      <c r="E273" s="46" t="str" cm="1">
        <f t="array" ref="E273">IFERROR(_xlfn.LET(
_xlpm.CSVVal,_xlfn.XLOOKUP($A273,CSV!$A:$A,CSV!E:E,""),
_xlpm.MacVal,_xlfn.XLOOKUP($A273,Output_Mac!$A:$A,Output_Mac!C:C,""),
_xlpm.MyAuditVal,_xlfn.XLOOKUP($A273,My_Audit!$A:$A,My_Audit!D:D,""),
_xlfn.IFS(_xlpm.MyAuditVal&lt;&gt;"",_xlpm.MyAuditVal,_xlpm.MacVal&lt;&gt;"",_xlpm.MacVal,_xlpm.CSVVal&lt;&gt;"",_xlpm.CSVVal
)),"")</f>
        <v/>
      </c>
      <c r="F273" s="45" t="str" cm="1">
        <f t="array" ref="F273">IFERROR(_xlfn.LET(
_xlpm.CSVVal,_xlfn.XLOOKUP($A273,CSV!$A:$A,CSV!F:F,""),
_xlpm.MacVal,_xlfn.XLOOKUP($A273,Output_Mac!$A:$A,Output_Mac!F:F,""),
_xlpm.MyAuditVal,_xlfn.XLOOKUP($A273,My_Audit!$A:$A,My_Audit!E:E,""),
_xlfn.IFS(_xlpm.MyAuditVal&lt;&gt;"",_xlpm.MyAuditVal,_xlpm.MacVal&lt;&gt;"",_xlpm.MacVal,_xlpm.CSVVal&lt;&gt;"",PROPER(_xlpm.CSVVal)
)),"")</f>
        <v/>
      </c>
      <c r="G273" s="45" t="str" cm="1">
        <f t="array" ref="G273">IFERROR(_xlfn.LET(
_xlpm.CSVVal,_xlfn.XLOOKUP($A273,CSV!$A:$A,CSV!G:G,""),
_xlpm.MacVal,_xlfn.XLOOKUP($A273,Output_Mac!$A:$A,Output_Mac!H:H,""),
_xlpm.MyAuditVal,_xlfn.XLOOKUP($A273,My_Audit!$A:$A,My_Audit!F:F,""),
_xlfn.IFS(_xlpm.MyAuditVal&lt;&gt;"",_xlpm.MyAuditVal,_xlpm.MacVal&lt;&gt;"",_xlpm.MacVal,_xlpm.CSVVal&lt;&gt;"",_xlpm.CSVVal
)),"")</f>
        <v/>
      </c>
      <c r="H273" s="45" t="str">
        <f>_xlfn.XLOOKUP(A273,Output_Mac!A:A,Output_Mac!I:I,"")</f>
        <v/>
      </c>
      <c r="I273" s="45" t="str" cm="1">
        <f t="array" ref="I273">IFERROR(_xlfn.LET(
_xlpm.CSVVal,_xlfn.XLOOKUP($A273,CSV!$A:$A,CSV!H:H,""),
_xlpm.MacVal,_xlfn.XLOOKUP($A273,Output_Mac!$A:$A,Output_Mac!J:J,""),
_xlpm.MyAuditVal,_xlfn.XLOOKUP($A273,My_Audit!$A:$A,My_Audit!H:H,""),
_xlfn.IFS(_xlpm.MyAuditVal&lt;&gt;"",UPPER(_xlpm.MyAuditVal),_xlpm.MacVal&lt;&gt;"",_xlpm.MacVal,_xlpm.CSVVal&lt;&gt;"",_xlpm.CSVVal
)),"")</f>
        <v/>
      </c>
      <c r="J273" s="45" t="str" cm="1">
        <f t="array" ref="J273">IFERROR(_xlfn.LET(
_xlpm.CSVVal,_xlfn.XLOOKUP($A273,CSV!$A:$A,CSV!J:J,""),
_xlpm.MacVal,_xlfn.XLOOKUP($A273,Output_Mac!$A:$A,Output_Mac!K:K,""),
_xlpm.MyAuditVal,_xlfn.XLOOKUP($A273,My_Audit!$A:$A,My_Audit!I:I,""),
_xlfn.IFS(_xlpm.MyAuditVal&lt;&gt;"",UPPER(_xlpm.MyAuditVal),_xlpm.MacVal&lt;&gt;"",_xlpm.MacVal,_xlpm.CSVVal&lt;&gt;"",_xlpm.CSVVal
)),"")</f>
        <v/>
      </c>
      <c r="K273" s="45" t="str" cm="1">
        <f t="array" ref="K273">IFERROR(_xlfn.LET(
_xlpm.CSVVal,_xlfn.XLOOKUP($A273,CSV!$A:$A,CSV!N:N,""),
_xlpm.MacVal,_xlfn.XLOOKUP($A273,Output_Mac!$A:$A,Output_Mac!L:L,""),
_xlpm.MyAuditVal,_xlfn.XLOOKUP($A273,My_Audit!$A:$A,My_Audit!J:J,""),
_xlfn.IFS(_xlpm.MyAuditVal&lt;&gt;"",UPPER(_xlpm.MyAuditVal),_xlpm.MacVal&lt;&gt;"",_xlpm.MacVal,_xlpm.CSVVal&lt;&gt;"",_xlpm.CSVVal
)),"")</f>
        <v/>
      </c>
      <c r="L273" s="46" t="str" cm="1">
        <f t="array" ref="L273">IFERROR(_xlfn.LET(
_xlpm.CSVVal,_xlfn.XLOOKUP($A273,CSV!$A:$A,CSV!Q:Q,""),
_xlpm.MacVal,_xlfn.XLOOKUP($A273,Output_Mac!$A:$A,Output_Mac!M:M,""),
_xlpm.MyAuditVal,_xlfn.XLOOKUP($A273,My_Audit!$A:$A,My_Audit!K:K,""),
_xlfn.IFS(_xlpm.MyAuditVal&lt;&gt;"",UPPER(_xlpm.MyAuditVal),_xlpm.MacVal&lt;&gt;"",_xlpm.MacVal,_xlpm.CSVVal&lt;&gt;"",_xlpm.CSVVal
)),"")</f>
        <v/>
      </c>
      <c r="M273" s="45" t="str">
        <f>_xlfn.LET(
    _xlpm.CSVVal, _xlfn.XLOOKUP($A273, CSV!$A:$A, CSV!AE:AE, ""),
    _xlpm.MacVal, _xlfn.XLOOKUP($A273, Output_Mac!$A:$A, Output_Mac!S:S, ""),
    _xlpm.MyAuditVal, _xlfn.XLOOKUP($A273, My_Audit!$A:$A, My_Audit!N:N, ""),
    _xlfn.TEXTJOIN(", ", TRUE, _xlpm.MyAuditVal, _xlpm.MacVal, _xlpm.CSVVal)
)</f>
        <v/>
      </c>
      <c r="N273" s="45" t="str" cm="1">
        <f t="array" ref="N273">IFERROR(_xlfn.LET(
_xlpm.CSVVal,_xlfn.XLOOKUP($A273,CSV!$A:$A,CSV!AG:AG,""),
_xlpm.MacVal,_xlfn.XLOOKUP($A273,Output_Mac!$A:$A,Output_Mac!U:U,""),
_xlpm.MyAuditVal,_xlfn.XLOOKUP($A273,My_Audit!$A:$A,My_Audit!O:O,""),
_xlfn.IFS(_xlpm.MyAuditVal&lt;&gt;"",UPPER(_xlpm.MyAuditVal),_xlpm.MacVal&lt;&gt;"",_xlpm.MacVal,_xlpm.CSVVal&lt;&gt;"",_xlpm.CSVVal
)),"")</f>
        <v/>
      </c>
      <c r="O273" s="46" t="str">
        <f>_xlfn.XLOOKUP(C273,My_Audit!B:B,My_Audit!P:P,"")&amp;""</f>
        <v/>
      </c>
      <c r="P273" s="45"/>
      <c r="Q273" s="46" t="str">
        <f>IF(LEFT(N273,4)="Pass","Nist SP 800-88",My_Audit!R273)&amp;""</f>
        <v/>
      </c>
      <c r="R273" s="45"/>
      <c r="S273" s="45"/>
      <c r="T273" s="46" t="str">
        <f>_xlfn.XLOOKUP(E273,Models!I:I,Models!J:J,"")</f>
        <v/>
      </c>
      <c r="U273" s="45"/>
      <c r="V273" s="45"/>
      <c r="W273" s="38"/>
    </row>
    <row r="274" spans="1:23">
      <c r="A274" s="45" t="str">
        <f>_xlfn.TEXTJOIN("",TRUE,Input!$B$2,ROW(My_Audit!A273))</f>
        <v>XX273</v>
      </c>
      <c r="B274" s="45" t="str">
        <f>_xlfn.TEXTJOIN("-",TRUE,"ITD",Input!$A$2,A274)</f>
        <v>ITD-SHRXXX-XX273</v>
      </c>
      <c r="C274" s="45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46" t="str" cm="1">
        <f t="array" ref="D274">IFERROR(_xlfn.LET(
_xlpm.CSVVal,_xlfn.XLOOKUP($A274,CSV!$A:$A,CSV!C:C,""),
_xlpm.MacVal,_xlfn.XLOOKUP($A274,Output_Mac!$A:$A,Output_Mac!D:D,""),
_xlpm.MyAuditVal,_xlfn.XLOOKUP($A274,My_Audit!$A:$A,My_Audit!C:C,""),
_xlfn.IFS(_xlpm.MyAuditVal&lt;&gt;"",UPPER(_xlpm.MyAuditVal),_xlpm.MacVal&lt;&gt;"",_xlpm.MacVal,_xlpm.CSVVal&lt;&gt;"",_xlpm.CSVVal
)),"")</f>
        <v/>
      </c>
      <c r="E274" s="46" t="str" cm="1">
        <f t="array" ref="E274">IFERROR(_xlfn.LET(
_xlpm.CSVVal,_xlfn.XLOOKUP($A274,CSV!$A:$A,CSV!E:E,""),
_xlpm.MacVal,_xlfn.XLOOKUP($A274,Output_Mac!$A:$A,Output_Mac!C:C,""),
_xlpm.MyAuditVal,_xlfn.XLOOKUP($A274,My_Audit!$A:$A,My_Audit!D:D,""),
_xlfn.IFS(_xlpm.MyAuditVal&lt;&gt;"",_xlpm.MyAuditVal,_xlpm.MacVal&lt;&gt;"",_xlpm.MacVal,_xlpm.CSVVal&lt;&gt;"",_xlpm.CSVVal
)),"")</f>
        <v/>
      </c>
      <c r="F274" s="45" t="str" cm="1">
        <f t="array" ref="F274">IFERROR(_xlfn.LET(
_xlpm.CSVVal,_xlfn.XLOOKUP($A274,CSV!$A:$A,CSV!F:F,""),
_xlpm.MacVal,_xlfn.XLOOKUP($A274,Output_Mac!$A:$A,Output_Mac!F:F,""),
_xlpm.MyAuditVal,_xlfn.XLOOKUP($A274,My_Audit!$A:$A,My_Audit!E:E,""),
_xlfn.IFS(_xlpm.MyAuditVal&lt;&gt;"",_xlpm.MyAuditVal,_xlpm.MacVal&lt;&gt;"",_xlpm.MacVal,_xlpm.CSVVal&lt;&gt;"",PROPER(_xlpm.CSVVal)
)),"")</f>
        <v/>
      </c>
      <c r="G274" s="45" t="str" cm="1">
        <f t="array" ref="G274">IFERROR(_xlfn.LET(
_xlpm.CSVVal,_xlfn.XLOOKUP($A274,CSV!$A:$A,CSV!G:G,""),
_xlpm.MacVal,_xlfn.XLOOKUP($A274,Output_Mac!$A:$A,Output_Mac!H:H,""),
_xlpm.MyAuditVal,_xlfn.XLOOKUP($A274,My_Audit!$A:$A,My_Audit!F:F,""),
_xlfn.IFS(_xlpm.MyAuditVal&lt;&gt;"",_xlpm.MyAuditVal,_xlpm.MacVal&lt;&gt;"",_xlpm.MacVal,_xlpm.CSVVal&lt;&gt;"",_xlpm.CSVVal
)),"")</f>
        <v/>
      </c>
      <c r="H274" s="45" t="str">
        <f>_xlfn.XLOOKUP(A274,Output_Mac!A:A,Output_Mac!I:I,"")</f>
        <v/>
      </c>
      <c r="I274" s="45" t="str" cm="1">
        <f t="array" ref="I274">IFERROR(_xlfn.LET(
_xlpm.CSVVal,_xlfn.XLOOKUP($A274,CSV!$A:$A,CSV!H:H,""),
_xlpm.MacVal,_xlfn.XLOOKUP($A274,Output_Mac!$A:$A,Output_Mac!J:J,""),
_xlpm.MyAuditVal,_xlfn.XLOOKUP($A274,My_Audit!$A:$A,My_Audit!H:H,""),
_xlfn.IFS(_xlpm.MyAuditVal&lt;&gt;"",UPPER(_xlpm.MyAuditVal),_xlpm.MacVal&lt;&gt;"",_xlpm.MacVal,_xlpm.CSVVal&lt;&gt;"",_xlpm.CSVVal
)),"")</f>
        <v/>
      </c>
      <c r="J274" s="45" t="str" cm="1">
        <f t="array" ref="J274">IFERROR(_xlfn.LET(
_xlpm.CSVVal,_xlfn.XLOOKUP($A274,CSV!$A:$A,CSV!J:J,""),
_xlpm.MacVal,_xlfn.XLOOKUP($A274,Output_Mac!$A:$A,Output_Mac!K:K,""),
_xlpm.MyAuditVal,_xlfn.XLOOKUP($A274,My_Audit!$A:$A,My_Audit!I:I,""),
_xlfn.IFS(_xlpm.MyAuditVal&lt;&gt;"",UPPER(_xlpm.MyAuditVal),_xlpm.MacVal&lt;&gt;"",_xlpm.MacVal,_xlpm.CSVVal&lt;&gt;"",_xlpm.CSVVal
)),"")</f>
        <v/>
      </c>
      <c r="K274" s="45" t="str" cm="1">
        <f t="array" ref="K274">IFERROR(_xlfn.LET(
_xlpm.CSVVal,_xlfn.XLOOKUP($A274,CSV!$A:$A,CSV!N:N,""),
_xlpm.MacVal,_xlfn.XLOOKUP($A274,Output_Mac!$A:$A,Output_Mac!L:L,""),
_xlpm.MyAuditVal,_xlfn.XLOOKUP($A274,My_Audit!$A:$A,My_Audit!J:J,""),
_xlfn.IFS(_xlpm.MyAuditVal&lt;&gt;"",UPPER(_xlpm.MyAuditVal),_xlpm.MacVal&lt;&gt;"",_xlpm.MacVal,_xlpm.CSVVal&lt;&gt;"",_xlpm.CSVVal
)),"")</f>
        <v/>
      </c>
      <c r="L274" s="46" t="str" cm="1">
        <f t="array" ref="L274">IFERROR(_xlfn.LET(
_xlpm.CSVVal,_xlfn.XLOOKUP($A274,CSV!$A:$A,CSV!Q:Q,""),
_xlpm.MacVal,_xlfn.XLOOKUP($A274,Output_Mac!$A:$A,Output_Mac!M:M,""),
_xlpm.MyAuditVal,_xlfn.XLOOKUP($A274,My_Audit!$A:$A,My_Audit!K:K,""),
_xlfn.IFS(_xlpm.MyAuditVal&lt;&gt;"",UPPER(_xlpm.MyAuditVal),_xlpm.MacVal&lt;&gt;"",_xlpm.MacVal,_xlpm.CSVVal&lt;&gt;"",_xlpm.CSVVal
)),"")</f>
        <v/>
      </c>
      <c r="M274" s="45" t="str">
        <f>_xlfn.LET(
    _xlpm.CSVVal, _xlfn.XLOOKUP($A274, CSV!$A:$A, CSV!AE:AE, ""),
    _xlpm.MacVal, _xlfn.XLOOKUP($A274, Output_Mac!$A:$A, Output_Mac!S:S, ""),
    _xlpm.MyAuditVal, _xlfn.XLOOKUP($A274, My_Audit!$A:$A, My_Audit!N:N, ""),
    _xlfn.TEXTJOIN(", ", TRUE, _xlpm.MyAuditVal, _xlpm.MacVal, _xlpm.CSVVal)
)</f>
        <v/>
      </c>
      <c r="N274" s="45" t="str" cm="1">
        <f t="array" ref="N274">IFERROR(_xlfn.LET(
_xlpm.CSVVal,_xlfn.XLOOKUP($A274,CSV!$A:$A,CSV!AG:AG,""),
_xlpm.MacVal,_xlfn.XLOOKUP($A274,Output_Mac!$A:$A,Output_Mac!U:U,""),
_xlpm.MyAuditVal,_xlfn.XLOOKUP($A274,My_Audit!$A:$A,My_Audit!O:O,""),
_xlfn.IFS(_xlpm.MyAuditVal&lt;&gt;"",UPPER(_xlpm.MyAuditVal),_xlpm.MacVal&lt;&gt;"",_xlpm.MacVal,_xlpm.CSVVal&lt;&gt;"",_xlpm.CSVVal
)),"")</f>
        <v/>
      </c>
      <c r="O274" s="46" t="str">
        <f>_xlfn.XLOOKUP(C274,My_Audit!B:B,My_Audit!P:P,"")&amp;""</f>
        <v/>
      </c>
      <c r="P274" s="45"/>
      <c r="Q274" s="46" t="str">
        <f>IF(LEFT(N274,4)="Pass","Nist SP 800-88",My_Audit!R274)&amp;""</f>
        <v/>
      </c>
      <c r="R274" s="45"/>
      <c r="S274" s="45"/>
      <c r="T274" s="46" t="str">
        <f>_xlfn.XLOOKUP(E274,Models!I:I,Models!J:J,"")</f>
        <v/>
      </c>
      <c r="U274" s="45"/>
      <c r="V274" s="45"/>
      <c r="W274" s="38"/>
    </row>
    <row r="275" spans="1:23">
      <c r="A275" s="45" t="str">
        <f>_xlfn.TEXTJOIN("",TRUE,Input!$B$2,ROW(My_Audit!A274))</f>
        <v>XX274</v>
      </c>
      <c r="B275" s="45" t="str">
        <f>_xlfn.TEXTJOIN("-",TRUE,"ITD",Input!$A$2,A275)</f>
        <v>ITD-SHRXXX-XX274</v>
      </c>
      <c r="C275" s="45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46" t="str" cm="1">
        <f t="array" ref="D275">IFERROR(_xlfn.LET(
_xlpm.CSVVal,_xlfn.XLOOKUP($A275,CSV!$A:$A,CSV!C:C,""),
_xlpm.MacVal,_xlfn.XLOOKUP($A275,Output_Mac!$A:$A,Output_Mac!D:D,""),
_xlpm.MyAuditVal,_xlfn.XLOOKUP($A275,My_Audit!$A:$A,My_Audit!C:C,""),
_xlfn.IFS(_xlpm.MyAuditVal&lt;&gt;"",UPPER(_xlpm.MyAuditVal),_xlpm.MacVal&lt;&gt;"",_xlpm.MacVal,_xlpm.CSVVal&lt;&gt;"",_xlpm.CSVVal
)),"")</f>
        <v/>
      </c>
      <c r="E275" s="46" t="str" cm="1">
        <f t="array" ref="E275">IFERROR(_xlfn.LET(
_xlpm.CSVVal,_xlfn.XLOOKUP($A275,CSV!$A:$A,CSV!E:E,""),
_xlpm.MacVal,_xlfn.XLOOKUP($A275,Output_Mac!$A:$A,Output_Mac!C:C,""),
_xlpm.MyAuditVal,_xlfn.XLOOKUP($A275,My_Audit!$A:$A,My_Audit!D:D,""),
_xlfn.IFS(_xlpm.MyAuditVal&lt;&gt;"",_xlpm.MyAuditVal,_xlpm.MacVal&lt;&gt;"",_xlpm.MacVal,_xlpm.CSVVal&lt;&gt;"",_xlpm.CSVVal
)),"")</f>
        <v/>
      </c>
      <c r="F275" s="45" t="str" cm="1">
        <f t="array" ref="F275">IFERROR(_xlfn.LET(
_xlpm.CSVVal,_xlfn.XLOOKUP($A275,CSV!$A:$A,CSV!F:F,""),
_xlpm.MacVal,_xlfn.XLOOKUP($A275,Output_Mac!$A:$A,Output_Mac!F:F,""),
_xlpm.MyAuditVal,_xlfn.XLOOKUP($A275,My_Audit!$A:$A,My_Audit!E:E,""),
_xlfn.IFS(_xlpm.MyAuditVal&lt;&gt;"",_xlpm.MyAuditVal,_xlpm.MacVal&lt;&gt;"",_xlpm.MacVal,_xlpm.CSVVal&lt;&gt;"",PROPER(_xlpm.CSVVal)
)),"")</f>
        <v/>
      </c>
      <c r="G275" s="45" t="str" cm="1">
        <f t="array" ref="G275">IFERROR(_xlfn.LET(
_xlpm.CSVVal,_xlfn.XLOOKUP($A275,CSV!$A:$A,CSV!G:G,""),
_xlpm.MacVal,_xlfn.XLOOKUP($A275,Output_Mac!$A:$A,Output_Mac!H:H,""),
_xlpm.MyAuditVal,_xlfn.XLOOKUP($A275,My_Audit!$A:$A,My_Audit!F:F,""),
_xlfn.IFS(_xlpm.MyAuditVal&lt;&gt;"",_xlpm.MyAuditVal,_xlpm.MacVal&lt;&gt;"",_xlpm.MacVal,_xlpm.CSVVal&lt;&gt;"",_xlpm.CSVVal
)),"")</f>
        <v/>
      </c>
      <c r="H275" s="45" t="str">
        <f>_xlfn.XLOOKUP(A275,Output_Mac!A:A,Output_Mac!I:I,"")</f>
        <v/>
      </c>
      <c r="I275" s="45" t="str" cm="1">
        <f t="array" ref="I275">IFERROR(_xlfn.LET(
_xlpm.CSVVal,_xlfn.XLOOKUP($A275,CSV!$A:$A,CSV!H:H,""),
_xlpm.MacVal,_xlfn.XLOOKUP($A275,Output_Mac!$A:$A,Output_Mac!J:J,""),
_xlpm.MyAuditVal,_xlfn.XLOOKUP($A275,My_Audit!$A:$A,My_Audit!H:H,""),
_xlfn.IFS(_xlpm.MyAuditVal&lt;&gt;"",UPPER(_xlpm.MyAuditVal),_xlpm.MacVal&lt;&gt;"",_xlpm.MacVal,_xlpm.CSVVal&lt;&gt;"",_xlpm.CSVVal
)),"")</f>
        <v/>
      </c>
      <c r="J275" s="45" t="str" cm="1">
        <f t="array" ref="J275">IFERROR(_xlfn.LET(
_xlpm.CSVVal,_xlfn.XLOOKUP($A275,CSV!$A:$A,CSV!J:J,""),
_xlpm.MacVal,_xlfn.XLOOKUP($A275,Output_Mac!$A:$A,Output_Mac!K:K,""),
_xlpm.MyAuditVal,_xlfn.XLOOKUP($A275,My_Audit!$A:$A,My_Audit!I:I,""),
_xlfn.IFS(_xlpm.MyAuditVal&lt;&gt;"",UPPER(_xlpm.MyAuditVal),_xlpm.MacVal&lt;&gt;"",_xlpm.MacVal,_xlpm.CSVVal&lt;&gt;"",_xlpm.CSVVal
)),"")</f>
        <v/>
      </c>
      <c r="K275" s="45" t="str" cm="1">
        <f t="array" ref="K275">IFERROR(_xlfn.LET(
_xlpm.CSVVal,_xlfn.XLOOKUP($A275,CSV!$A:$A,CSV!N:N,""),
_xlpm.MacVal,_xlfn.XLOOKUP($A275,Output_Mac!$A:$A,Output_Mac!L:L,""),
_xlpm.MyAuditVal,_xlfn.XLOOKUP($A275,My_Audit!$A:$A,My_Audit!J:J,""),
_xlfn.IFS(_xlpm.MyAuditVal&lt;&gt;"",UPPER(_xlpm.MyAuditVal),_xlpm.MacVal&lt;&gt;"",_xlpm.MacVal,_xlpm.CSVVal&lt;&gt;"",_xlpm.CSVVal
)),"")</f>
        <v/>
      </c>
      <c r="L275" s="46" t="str" cm="1">
        <f t="array" ref="L275">IFERROR(_xlfn.LET(
_xlpm.CSVVal,_xlfn.XLOOKUP($A275,CSV!$A:$A,CSV!Q:Q,""),
_xlpm.MacVal,_xlfn.XLOOKUP($A275,Output_Mac!$A:$A,Output_Mac!M:M,""),
_xlpm.MyAuditVal,_xlfn.XLOOKUP($A275,My_Audit!$A:$A,My_Audit!K:K,""),
_xlfn.IFS(_xlpm.MyAuditVal&lt;&gt;"",UPPER(_xlpm.MyAuditVal),_xlpm.MacVal&lt;&gt;"",_xlpm.MacVal,_xlpm.CSVVal&lt;&gt;"",_xlpm.CSVVal
)),"")</f>
        <v/>
      </c>
      <c r="M275" s="45" t="str">
        <f>_xlfn.LET(
    _xlpm.CSVVal, _xlfn.XLOOKUP($A275, CSV!$A:$A, CSV!AE:AE, ""),
    _xlpm.MacVal, _xlfn.XLOOKUP($A275, Output_Mac!$A:$A, Output_Mac!S:S, ""),
    _xlpm.MyAuditVal, _xlfn.XLOOKUP($A275, My_Audit!$A:$A, My_Audit!N:N, ""),
    _xlfn.TEXTJOIN(", ", TRUE, _xlpm.MyAuditVal, _xlpm.MacVal, _xlpm.CSVVal)
)</f>
        <v/>
      </c>
      <c r="N275" s="45" t="str" cm="1">
        <f t="array" ref="N275">IFERROR(_xlfn.LET(
_xlpm.CSVVal,_xlfn.XLOOKUP($A275,CSV!$A:$A,CSV!AG:AG,""),
_xlpm.MacVal,_xlfn.XLOOKUP($A275,Output_Mac!$A:$A,Output_Mac!U:U,""),
_xlpm.MyAuditVal,_xlfn.XLOOKUP($A275,My_Audit!$A:$A,My_Audit!O:O,""),
_xlfn.IFS(_xlpm.MyAuditVal&lt;&gt;"",UPPER(_xlpm.MyAuditVal),_xlpm.MacVal&lt;&gt;"",_xlpm.MacVal,_xlpm.CSVVal&lt;&gt;"",_xlpm.CSVVal
)),"")</f>
        <v/>
      </c>
      <c r="O275" s="46" t="str">
        <f>_xlfn.XLOOKUP(C275,My_Audit!B:B,My_Audit!P:P,"")&amp;""</f>
        <v/>
      </c>
      <c r="P275" s="45"/>
      <c r="Q275" s="46" t="str">
        <f>IF(LEFT(N275,4)="Pass","Nist SP 800-88",My_Audit!R275)&amp;""</f>
        <v/>
      </c>
      <c r="R275" s="45"/>
      <c r="S275" s="45"/>
      <c r="T275" s="46" t="str">
        <f>_xlfn.XLOOKUP(E275,Models!I:I,Models!J:J,"")</f>
        <v/>
      </c>
      <c r="U275" s="45"/>
      <c r="V275" s="45"/>
      <c r="W275" s="38"/>
    </row>
    <row r="276" spans="1:23">
      <c r="A276" s="45" t="str">
        <f>_xlfn.TEXTJOIN("",TRUE,Input!$B$2,ROW(My_Audit!A275))</f>
        <v>XX275</v>
      </c>
      <c r="B276" s="45" t="str">
        <f>_xlfn.TEXTJOIN("-",TRUE,"ITD",Input!$A$2,A276)</f>
        <v>ITD-SHRXXX-XX275</v>
      </c>
      <c r="C276" s="45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46" t="str" cm="1">
        <f t="array" ref="D276">IFERROR(_xlfn.LET(
_xlpm.CSVVal,_xlfn.XLOOKUP($A276,CSV!$A:$A,CSV!C:C,""),
_xlpm.MacVal,_xlfn.XLOOKUP($A276,Output_Mac!$A:$A,Output_Mac!D:D,""),
_xlpm.MyAuditVal,_xlfn.XLOOKUP($A276,My_Audit!$A:$A,My_Audit!C:C,""),
_xlfn.IFS(_xlpm.MyAuditVal&lt;&gt;"",UPPER(_xlpm.MyAuditVal),_xlpm.MacVal&lt;&gt;"",_xlpm.MacVal,_xlpm.CSVVal&lt;&gt;"",_xlpm.CSVVal
)),"")</f>
        <v/>
      </c>
      <c r="E276" s="46" t="str" cm="1">
        <f t="array" ref="E276">IFERROR(_xlfn.LET(
_xlpm.CSVVal,_xlfn.XLOOKUP($A276,CSV!$A:$A,CSV!E:E,""),
_xlpm.MacVal,_xlfn.XLOOKUP($A276,Output_Mac!$A:$A,Output_Mac!C:C,""),
_xlpm.MyAuditVal,_xlfn.XLOOKUP($A276,My_Audit!$A:$A,My_Audit!D:D,""),
_xlfn.IFS(_xlpm.MyAuditVal&lt;&gt;"",_xlpm.MyAuditVal,_xlpm.MacVal&lt;&gt;"",_xlpm.MacVal,_xlpm.CSVVal&lt;&gt;"",_xlpm.CSVVal
)),"")</f>
        <v/>
      </c>
      <c r="F276" s="45" t="str" cm="1">
        <f t="array" ref="F276">IFERROR(_xlfn.LET(
_xlpm.CSVVal,_xlfn.XLOOKUP($A276,CSV!$A:$A,CSV!F:F,""),
_xlpm.MacVal,_xlfn.XLOOKUP($A276,Output_Mac!$A:$A,Output_Mac!F:F,""),
_xlpm.MyAuditVal,_xlfn.XLOOKUP($A276,My_Audit!$A:$A,My_Audit!E:E,""),
_xlfn.IFS(_xlpm.MyAuditVal&lt;&gt;"",_xlpm.MyAuditVal,_xlpm.MacVal&lt;&gt;"",_xlpm.MacVal,_xlpm.CSVVal&lt;&gt;"",PROPER(_xlpm.CSVVal)
)),"")</f>
        <v/>
      </c>
      <c r="G276" s="45" t="str" cm="1">
        <f t="array" ref="G276">IFERROR(_xlfn.LET(
_xlpm.CSVVal,_xlfn.XLOOKUP($A276,CSV!$A:$A,CSV!G:G,""),
_xlpm.MacVal,_xlfn.XLOOKUP($A276,Output_Mac!$A:$A,Output_Mac!H:H,""),
_xlpm.MyAuditVal,_xlfn.XLOOKUP($A276,My_Audit!$A:$A,My_Audit!F:F,""),
_xlfn.IFS(_xlpm.MyAuditVal&lt;&gt;"",_xlpm.MyAuditVal,_xlpm.MacVal&lt;&gt;"",_xlpm.MacVal,_xlpm.CSVVal&lt;&gt;"",_xlpm.CSVVal
)),"")</f>
        <v/>
      </c>
      <c r="H276" s="45" t="str">
        <f>_xlfn.XLOOKUP(A276,Output_Mac!A:A,Output_Mac!I:I,"")</f>
        <v/>
      </c>
      <c r="I276" s="45" t="str" cm="1">
        <f t="array" ref="I276">IFERROR(_xlfn.LET(
_xlpm.CSVVal,_xlfn.XLOOKUP($A276,CSV!$A:$A,CSV!H:H,""),
_xlpm.MacVal,_xlfn.XLOOKUP($A276,Output_Mac!$A:$A,Output_Mac!J:J,""),
_xlpm.MyAuditVal,_xlfn.XLOOKUP($A276,My_Audit!$A:$A,My_Audit!H:H,""),
_xlfn.IFS(_xlpm.MyAuditVal&lt;&gt;"",UPPER(_xlpm.MyAuditVal),_xlpm.MacVal&lt;&gt;"",_xlpm.MacVal,_xlpm.CSVVal&lt;&gt;"",_xlpm.CSVVal
)),"")</f>
        <v/>
      </c>
      <c r="J276" s="45" t="str" cm="1">
        <f t="array" ref="J276">IFERROR(_xlfn.LET(
_xlpm.CSVVal,_xlfn.XLOOKUP($A276,CSV!$A:$A,CSV!J:J,""),
_xlpm.MacVal,_xlfn.XLOOKUP($A276,Output_Mac!$A:$A,Output_Mac!K:K,""),
_xlpm.MyAuditVal,_xlfn.XLOOKUP($A276,My_Audit!$A:$A,My_Audit!I:I,""),
_xlfn.IFS(_xlpm.MyAuditVal&lt;&gt;"",UPPER(_xlpm.MyAuditVal),_xlpm.MacVal&lt;&gt;"",_xlpm.MacVal,_xlpm.CSVVal&lt;&gt;"",_xlpm.CSVVal
)),"")</f>
        <v/>
      </c>
      <c r="K276" s="45" t="str" cm="1">
        <f t="array" ref="K276">IFERROR(_xlfn.LET(
_xlpm.CSVVal,_xlfn.XLOOKUP($A276,CSV!$A:$A,CSV!N:N,""),
_xlpm.MacVal,_xlfn.XLOOKUP($A276,Output_Mac!$A:$A,Output_Mac!L:L,""),
_xlpm.MyAuditVal,_xlfn.XLOOKUP($A276,My_Audit!$A:$A,My_Audit!J:J,""),
_xlfn.IFS(_xlpm.MyAuditVal&lt;&gt;"",UPPER(_xlpm.MyAuditVal),_xlpm.MacVal&lt;&gt;"",_xlpm.MacVal,_xlpm.CSVVal&lt;&gt;"",_xlpm.CSVVal
)),"")</f>
        <v/>
      </c>
      <c r="L276" s="46" t="str" cm="1">
        <f t="array" ref="L276">IFERROR(_xlfn.LET(
_xlpm.CSVVal,_xlfn.XLOOKUP($A276,CSV!$A:$A,CSV!Q:Q,""),
_xlpm.MacVal,_xlfn.XLOOKUP($A276,Output_Mac!$A:$A,Output_Mac!M:M,""),
_xlpm.MyAuditVal,_xlfn.XLOOKUP($A276,My_Audit!$A:$A,My_Audit!K:K,""),
_xlfn.IFS(_xlpm.MyAuditVal&lt;&gt;"",UPPER(_xlpm.MyAuditVal),_xlpm.MacVal&lt;&gt;"",_xlpm.MacVal,_xlpm.CSVVal&lt;&gt;"",_xlpm.CSVVal
)),"")</f>
        <v/>
      </c>
      <c r="M276" s="45" t="str">
        <f>_xlfn.LET(
    _xlpm.CSVVal, _xlfn.XLOOKUP($A276, CSV!$A:$A, CSV!AE:AE, ""),
    _xlpm.MacVal, _xlfn.XLOOKUP($A276, Output_Mac!$A:$A, Output_Mac!S:S, ""),
    _xlpm.MyAuditVal, _xlfn.XLOOKUP($A276, My_Audit!$A:$A, My_Audit!N:N, ""),
    _xlfn.TEXTJOIN(", ", TRUE, _xlpm.MyAuditVal, _xlpm.MacVal, _xlpm.CSVVal)
)</f>
        <v/>
      </c>
      <c r="N276" s="45" t="str" cm="1">
        <f t="array" ref="N276">IFERROR(_xlfn.LET(
_xlpm.CSVVal,_xlfn.XLOOKUP($A276,CSV!$A:$A,CSV!AG:AG,""),
_xlpm.MacVal,_xlfn.XLOOKUP($A276,Output_Mac!$A:$A,Output_Mac!U:U,""),
_xlpm.MyAuditVal,_xlfn.XLOOKUP($A276,My_Audit!$A:$A,My_Audit!O:O,""),
_xlfn.IFS(_xlpm.MyAuditVal&lt;&gt;"",UPPER(_xlpm.MyAuditVal),_xlpm.MacVal&lt;&gt;"",_xlpm.MacVal,_xlpm.CSVVal&lt;&gt;"",_xlpm.CSVVal
)),"")</f>
        <v/>
      </c>
      <c r="O276" s="46" t="str">
        <f>_xlfn.XLOOKUP(C276,My_Audit!B:B,My_Audit!P:P,"")&amp;""</f>
        <v/>
      </c>
      <c r="P276" s="45"/>
      <c r="Q276" s="46" t="str">
        <f>IF(LEFT(N276,4)="Pass","Nist SP 800-88",My_Audit!R276)&amp;""</f>
        <v/>
      </c>
      <c r="R276" s="45"/>
      <c r="S276" s="45"/>
      <c r="T276" s="46" t="str">
        <f>_xlfn.XLOOKUP(E276,Models!I:I,Models!J:J,"")</f>
        <v/>
      </c>
      <c r="U276" s="45"/>
      <c r="V276" s="45"/>
      <c r="W276" s="38"/>
    </row>
    <row r="277" spans="1:23">
      <c r="A277" s="45" t="str">
        <f>_xlfn.TEXTJOIN("",TRUE,Input!$B$2,ROW(My_Audit!A276))</f>
        <v>XX276</v>
      </c>
      <c r="B277" s="45" t="str">
        <f>_xlfn.TEXTJOIN("-",TRUE,"ITD",Input!$A$2,A277)</f>
        <v>ITD-SHRXXX-XX276</v>
      </c>
      <c r="C277" s="45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46" t="str" cm="1">
        <f t="array" ref="D277">IFERROR(_xlfn.LET(
_xlpm.CSVVal,_xlfn.XLOOKUP($A277,CSV!$A:$A,CSV!C:C,""),
_xlpm.MacVal,_xlfn.XLOOKUP($A277,Output_Mac!$A:$A,Output_Mac!D:D,""),
_xlpm.MyAuditVal,_xlfn.XLOOKUP($A277,My_Audit!$A:$A,My_Audit!C:C,""),
_xlfn.IFS(_xlpm.MyAuditVal&lt;&gt;"",UPPER(_xlpm.MyAuditVal),_xlpm.MacVal&lt;&gt;"",_xlpm.MacVal,_xlpm.CSVVal&lt;&gt;"",_xlpm.CSVVal
)),"")</f>
        <v/>
      </c>
      <c r="E277" s="46" t="str" cm="1">
        <f t="array" ref="E277">IFERROR(_xlfn.LET(
_xlpm.CSVVal,_xlfn.XLOOKUP($A277,CSV!$A:$A,CSV!E:E,""),
_xlpm.MacVal,_xlfn.XLOOKUP($A277,Output_Mac!$A:$A,Output_Mac!C:C,""),
_xlpm.MyAuditVal,_xlfn.XLOOKUP($A277,My_Audit!$A:$A,My_Audit!D:D,""),
_xlfn.IFS(_xlpm.MyAuditVal&lt;&gt;"",_xlpm.MyAuditVal,_xlpm.MacVal&lt;&gt;"",_xlpm.MacVal,_xlpm.CSVVal&lt;&gt;"",_xlpm.CSVVal
)),"")</f>
        <v/>
      </c>
      <c r="F277" s="45" t="str" cm="1">
        <f t="array" ref="F277">IFERROR(_xlfn.LET(
_xlpm.CSVVal,_xlfn.XLOOKUP($A277,CSV!$A:$A,CSV!F:F,""),
_xlpm.MacVal,_xlfn.XLOOKUP($A277,Output_Mac!$A:$A,Output_Mac!F:F,""),
_xlpm.MyAuditVal,_xlfn.XLOOKUP($A277,My_Audit!$A:$A,My_Audit!E:E,""),
_xlfn.IFS(_xlpm.MyAuditVal&lt;&gt;"",_xlpm.MyAuditVal,_xlpm.MacVal&lt;&gt;"",_xlpm.MacVal,_xlpm.CSVVal&lt;&gt;"",PROPER(_xlpm.CSVVal)
)),"")</f>
        <v/>
      </c>
      <c r="G277" s="45" t="str" cm="1">
        <f t="array" ref="G277">IFERROR(_xlfn.LET(
_xlpm.CSVVal,_xlfn.XLOOKUP($A277,CSV!$A:$A,CSV!G:G,""),
_xlpm.MacVal,_xlfn.XLOOKUP($A277,Output_Mac!$A:$A,Output_Mac!H:H,""),
_xlpm.MyAuditVal,_xlfn.XLOOKUP($A277,My_Audit!$A:$A,My_Audit!F:F,""),
_xlfn.IFS(_xlpm.MyAuditVal&lt;&gt;"",_xlpm.MyAuditVal,_xlpm.MacVal&lt;&gt;"",_xlpm.MacVal,_xlpm.CSVVal&lt;&gt;"",_xlpm.CSVVal
)),"")</f>
        <v/>
      </c>
      <c r="H277" s="45" t="str">
        <f>_xlfn.XLOOKUP(A277,Output_Mac!A:A,Output_Mac!I:I,"")</f>
        <v/>
      </c>
      <c r="I277" s="45" t="str" cm="1">
        <f t="array" ref="I277">IFERROR(_xlfn.LET(
_xlpm.CSVVal,_xlfn.XLOOKUP($A277,CSV!$A:$A,CSV!H:H,""),
_xlpm.MacVal,_xlfn.XLOOKUP($A277,Output_Mac!$A:$A,Output_Mac!J:J,""),
_xlpm.MyAuditVal,_xlfn.XLOOKUP($A277,My_Audit!$A:$A,My_Audit!H:H,""),
_xlfn.IFS(_xlpm.MyAuditVal&lt;&gt;"",UPPER(_xlpm.MyAuditVal),_xlpm.MacVal&lt;&gt;"",_xlpm.MacVal,_xlpm.CSVVal&lt;&gt;"",_xlpm.CSVVal
)),"")</f>
        <v/>
      </c>
      <c r="J277" s="45" t="str" cm="1">
        <f t="array" ref="J277">IFERROR(_xlfn.LET(
_xlpm.CSVVal,_xlfn.XLOOKUP($A277,CSV!$A:$A,CSV!J:J,""),
_xlpm.MacVal,_xlfn.XLOOKUP($A277,Output_Mac!$A:$A,Output_Mac!K:K,""),
_xlpm.MyAuditVal,_xlfn.XLOOKUP($A277,My_Audit!$A:$A,My_Audit!I:I,""),
_xlfn.IFS(_xlpm.MyAuditVal&lt;&gt;"",UPPER(_xlpm.MyAuditVal),_xlpm.MacVal&lt;&gt;"",_xlpm.MacVal,_xlpm.CSVVal&lt;&gt;"",_xlpm.CSVVal
)),"")</f>
        <v/>
      </c>
      <c r="K277" s="45" t="str" cm="1">
        <f t="array" ref="K277">IFERROR(_xlfn.LET(
_xlpm.CSVVal,_xlfn.XLOOKUP($A277,CSV!$A:$A,CSV!N:N,""),
_xlpm.MacVal,_xlfn.XLOOKUP($A277,Output_Mac!$A:$A,Output_Mac!L:L,""),
_xlpm.MyAuditVal,_xlfn.XLOOKUP($A277,My_Audit!$A:$A,My_Audit!J:J,""),
_xlfn.IFS(_xlpm.MyAuditVal&lt;&gt;"",UPPER(_xlpm.MyAuditVal),_xlpm.MacVal&lt;&gt;"",_xlpm.MacVal,_xlpm.CSVVal&lt;&gt;"",_xlpm.CSVVal
)),"")</f>
        <v/>
      </c>
      <c r="L277" s="46" t="str" cm="1">
        <f t="array" ref="L277">IFERROR(_xlfn.LET(
_xlpm.CSVVal,_xlfn.XLOOKUP($A277,CSV!$A:$A,CSV!Q:Q,""),
_xlpm.MacVal,_xlfn.XLOOKUP($A277,Output_Mac!$A:$A,Output_Mac!M:M,""),
_xlpm.MyAuditVal,_xlfn.XLOOKUP($A277,My_Audit!$A:$A,My_Audit!K:K,""),
_xlfn.IFS(_xlpm.MyAuditVal&lt;&gt;"",UPPER(_xlpm.MyAuditVal),_xlpm.MacVal&lt;&gt;"",_xlpm.MacVal,_xlpm.CSVVal&lt;&gt;"",_xlpm.CSVVal
)),"")</f>
        <v/>
      </c>
      <c r="M277" s="45" t="str">
        <f>_xlfn.LET(
    _xlpm.CSVVal, _xlfn.XLOOKUP($A277, CSV!$A:$A, CSV!AE:AE, ""),
    _xlpm.MacVal, _xlfn.XLOOKUP($A277, Output_Mac!$A:$A, Output_Mac!S:S, ""),
    _xlpm.MyAuditVal, _xlfn.XLOOKUP($A277, My_Audit!$A:$A, My_Audit!N:N, ""),
    _xlfn.TEXTJOIN(", ", TRUE, _xlpm.MyAuditVal, _xlpm.MacVal, _xlpm.CSVVal)
)</f>
        <v/>
      </c>
      <c r="N277" s="45" t="str" cm="1">
        <f t="array" ref="N277">IFERROR(_xlfn.LET(
_xlpm.CSVVal,_xlfn.XLOOKUP($A277,CSV!$A:$A,CSV!AG:AG,""),
_xlpm.MacVal,_xlfn.XLOOKUP($A277,Output_Mac!$A:$A,Output_Mac!U:U,""),
_xlpm.MyAuditVal,_xlfn.XLOOKUP($A277,My_Audit!$A:$A,My_Audit!O:O,""),
_xlfn.IFS(_xlpm.MyAuditVal&lt;&gt;"",UPPER(_xlpm.MyAuditVal),_xlpm.MacVal&lt;&gt;"",_xlpm.MacVal,_xlpm.CSVVal&lt;&gt;"",_xlpm.CSVVal
)),"")</f>
        <v/>
      </c>
      <c r="O277" s="46" t="str">
        <f>_xlfn.XLOOKUP(C277,My_Audit!B:B,My_Audit!P:P,"")&amp;""</f>
        <v/>
      </c>
      <c r="P277" s="45"/>
      <c r="Q277" s="46" t="str">
        <f>IF(LEFT(N277,4)="Pass","Nist SP 800-88",My_Audit!R277)&amp;""</f>
        <v/>
      </c>
      <c r="R277" s="45"/>
      <c r="S277" s="45"/>
      <c r="T277" s="46" t="str">
        <f>_xlfn.XLOOKUP(E277,Models!I:I,Models!J:J,"")</f>
        <v/>
      </c>
      <c r="U277" s="45"/>
      <c r="V277" s="45"/>
      <c r="W277" s="38"/>
    </row>
    <row r="278" spans="1:23">
      <c r="A278" s="45" t="str">
        <f>_xlfn.TEXTJOIN("",TRUE,Input!$B$2,ROW(My_Audit!A277))</f>
        <v>XX277</v>
      </c>
      <c r="B278" s="45" t="str">
        <f>_xlfn.TEXTJOIN("-",TRUE,"ITD",Input!$A$2,A278)</f>
        <v>ITD-SHRXXX-XX277</v>
      </c>
      <c r="C278" s="45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46" t="str" cm="1">
        <f t="array" ref="D278">IFERROR(_xlfn.LET(
_xlpm.CSVVal,_xlfn.XLOOKUP($A278,CSV!$A:$A,CSV!C:C,""),
_xlpm.MacVal,_xlfn.XLOOKUP($A278,Output_Mac!$A:$A,Output_Mac!D:D,""),
_xlpm.MyAuditVal,_xlfn.XLOOKUP($A278,My_Audit!$A:$A,My_Audit!C:C,""),
_xlfn.IFS(_xlpm.MyAuditVal&lt;&gt;"",UPPER(_xlpm.MyAuditVal),_xlpm.MacVal&lt;&gt;"",_xlpm.MacVal,_xlpm.CSVVal&lt;&gt;"",_xlpm.CSVVal
)),"")</f>
        <v/>
      </c>
      <c r="E278" s="46" t="str" cm="1">
        <f t="array" ref="E278">IFERROR(_xlfn.LET(
_xlpm.CSVVal,_xlfn.XLOOKUP($A278,CSV!$A:$A,CSV!E:E,""),
_xlpm.MacVal,_xlfn.XLOOKUP($A278,Output_Mac!$A:$A,Output_Mac!C:C,""),
_xlpm.MyAuditVal,_xlfn.XLOOKUP($A278,My_Audit!$A:$A,My_Audit!D:D,""),
_xlfn.IFS(_xlpm.MyAuditVal&lt;&gt;"",_xlpm.MyAuditVal,_xlpm.MacVal&lt;&gt;"",_xlpm.MacVal,_xlpm.CSVVal&lt;&gt;"",_xlpm.CSVVal
)),"")</f>
        <v/>
      </c>
      <c r="F278" s="45" t="str" cm="1">
        <f t="array" ref="F278">IFERROR(_xlfn.LET(
_xlpm.CSVVal,_xlfn.XLOOKUP($A278,CSV!$A:$A,CSV!F:F,""),
_xlpm.MacVal,_xlfn.XLOOKUP($A278,Output_Mac!$A:$A,Output_Mac!F:F,""),
_xlpm.MyAuditVal,_xlfn.XLOOKUP($A278,My_Audit!$A:$A,My_Audit!E:E,""),
_xlfn.IFS(_xlpm.MyAuditVal&lt;&gt;"",_xlpm.MyAuditVal,_xlpm.MacVal&lt;&gt;"",_xlpm.MacVal,_xlpm.CSVVal&lt;&gt;"",PROPER(_xlpm.CSVVal)
)),"")</f>
        <v/>
      </c>
      <c r="G278" s="45" t="str" cm="1">
        <f t="array" ref="G278">IFERROR(_xlfn.LET(
_xlpm.CSVVal,_xlfn.XLOOKUP($A278,CSV!$A:$A,CSV!G:G,""),
_xlpm.MacVal,_xlfn.XLOOKUP($A278,Output_Mac!$A:$A,Output_Mac!H:H,""),
_xlpm.MyAuditVal,_xlfn.XLOOKUP($A278,My_Audit!$A:$A,My_Audit!F:F,""),
_xlfn.IFS(_xlpm.MyAuditVal&lt;&gt;"",_xlpm.MyAuditVal,_xlpm.MacVal&lt;&gt;"",_xlpm.MacVal,_xlpm.CSVVal&lt;&gt;"",_xlpm.CSVVal
)),"")</f>
        <v/>
      </c>
      <c r="H278" s="45" t="str">
        <f>_xlfn.XLOOKUP(A278,Output_Mac!A:A,Output_Mac!I:I,"")</f>
        <v/>
      </c>
      <c r="I278" s="45" t="str" cm="1">
        <f t="array" ref="I278">IFERROR(_xlfn.LET(
_xlpm.CSVVal,_xlfn.XLOOKUP($A278,CSV!$A:$A,CSV!H:H,""),
_xlpm.MacVal,_xlfn.XLOOKUP($A278,Output_Mac!$A:$A,Output_Mac!J:J,""),
_xlpm.MyAuditVal,_xlfn.XLOOKUP($A278,My_Audit!$A:$A,My_Audit!H:H,""),
_xlfn.IFS(_xlpm.MyAuditVal&lt;&gt;"",UPPER(_xlpm.MyAuditVal),_xlpm.MacVal&lt;&gt;"",_xlpm.MacVal,_xlpm.CSVVal&lt;&gt;"",_xlpm.CSVVal
)),"")</f>
        <v/>
      </c>
      <c r="J278" s="45" t="str" cm="1">
        <f t="array" ref="J278">IFERROR(_xlfn.LET(
_xlpm.CSVVal,_xlfn.XLOOKUP($A278,CSV!$A:$A,CSV!J:J,""),
_xlpm.MacVal,_xlfn.XLOOKUP($A278,Output_Mac!$A:$A,Output_Mac!K:K,""),
_xlpm.MyAuditVal,_xlfn.XLOOKUP($A278,My_Audit!$A:$A,My_Audit!I:I,""),
_xlfn.IFS(_xlpm.MyAuditVal&lt;&gt;"",UPPER(_xlpm.MyAuditVal),_xlpm.MacVal&lt;&gt;"",_xlpm.MacVal,_xlpm.CSVVal&lt;&gt;"",_xlpm.CSVVal
)),"")</f>
        <v/>
      </c>
      <c r="K278" s="45" t="str" cm="1">
        <f t="array" ref="K278">IFERROR(_xlfn.LET(
_xlpm.CSVVal,_xlfn.XLOOKUP($A278,CSV!$A:$A,CSV!N:N,""),
_xlpm.MacVal,_xlfn.XLOOKUP($A278,Output_Mac!$A:$A,Output_Mac!L:L,""),
_xlpm.MyAuditVal,_xlfn.XLOOKUP($A278,My_Audit!$A:$A,My_Audit!J:J,""),
_xlfn.IFS(_xlpm.MyAuditVal&lt;&gt;"",UPPER(_xlpm.MyAuditVal),_xlpm.MacVal&lt;&gt;"",_xlpm.MacVal,_xlpm.CSVVal&lt;&gt;"",_xlpm.CSVVal
)),"")</f>
        <v/>
      </c>
      <c r="L278" s="46" t="str" cm="1">
        <f t="array" ref="L278">IFERROR(_xlfn.LET(
_xlpm.CSVVal,_xlfn.XLOOKUP($A278,CSV!$A:$A,CSV!Q:Q,""),
_xlpm.MacVal,_xlfn.XLOOKUP($A278,Output_Mac!$A:$A,Output_Mac!M:M,""),
_xlpm.MyAuditVal,_xlfn.XLOOKUP($A278,My_Audit!$A:$A,My_Audit!K:K,""),
_xlfn.IFS(_xlpm.MyAuditVal&lt;&gt;"",UPPER(_xlpm.MyAuditVal),_xlpm.MacVal&lt;&gt;"",_xlpm.MacVal,_xlpm.CSVVal&lt;&gt;"",_xlpm.CSVVal
)),"")</f>
        <v/>
      </c>
      <c r="M278" s="45" t="str">
        <f>_xlfn.LET(
    _xlpm.CSVVal, _xlfn.XLOOKUP($A278, CSV!$A:$A, CSV!AE:AE, ""),
    _xlpm.MacVal, _xlfn.XLOOKUP($A278, Output_Mac!$A:$A, Output_Mac!S:S, ""),
    _xlpm.MyAuditVal, _xlfn.XLOOKUP($A278, My_Audit!$A:$A, My_Audit!N:N, ""),
    _xlfn.TEXTJOIN(", ", TRUE, _xlpm.MyAuditVal, _xlpm.MacVal, _xlpm.CSVVal)
)</f>
        <v/>
      </c>
      <c r="N278" s="45" t="str" cm="1">
        <f t="array" ref="N278">IFERROR(_xlfn.LET(
_xlpm.CSVVal,_xlfn.XLOOKUP($A278,CSV!$A:$A,CSV!AG:AG,""),
_xlpm.MacVal,_xlfn.XLOOKUP($A278,Output_Mac!$A:$A,Output_Mac!U:U,""),
_xlpm.MyAuditVal,_xlfn.XLOOKUP($A278,My_Audit!$A:$A,My_Audit!O:O,""),
_xlfn.IFS(_xlpm.MyAuditVal&lt;&gt;"",UPPER(_xlpm.MyAuditVal),_xlpm.MacVal&lt;&gt;"",_xlpm.MacVal,_xlpm.CSVVal&lt;&gt;"",_xlpm.CSVVal
)),"")</f>
        <v/>
      </c>
      <c r="O278" s="46" t="str">
        <f>_xlfn.XLOOKUP(C278,My_Audit!B:B,My_Audit!P:P,"")&amp;""</f>
        <v/>
      </c>
      <c r="P278" s="45"/>
      <c r="Q278" s="46" t="str">
        <f>IF(LEFT(N278,4)="Pass","Nist SP 800-88",My_Audit!R278)&amp;""</f>
        <v/>
      </c>
      <c r="R278" s="45"/>
      <c r="S278" s="45"/>
      <c r="T278" s="46" t="str">
        <f>_xlfn.XLOOKUP(E278,Models!I:I,Models!J:J,"")</f>
        <v/>
      </c>
      <c r="U278" s="45"/>
      <c r="V278" s="45"/>
      <c r="W278" s="38"/>
    </row>
    <row r="279" spans="1:23">
      <c r="A279" s="45" t="str">
        <f>_xlfn.TEXTJOIN("",TRUE,Input!$B$2,ROW(My_Audit!A278))</f>
        <v>XX278</v>
      </c>
      <c r="B279" s="45" t="str">
        <f>_xlfn.TEXTJOIN("-",TRUE,"ITD",Input!$A$2,A279)</f>
        <v>ITD-SHRXXX-XX278</v>
      </c>
      <c r="C279" s="45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46" t="str" cm="1">
        <f t="array" ref="D279">IFERROR(_xlfn.LET(
_xlpm.CSVVal,_xlfn.XLOOKUP($A279,CSV!$A:$A,CSV!C:C,""),
_xlpm.MacVal,_xlfn.XLOOKUP($A279,Output_Mac!$A:$A,Output_Mac!D:D,""),
_xlpm.MyAuditVal,_xlfn.XLOOKUP($A279,My_Audit!$A:$A,My_Audit!C:C,""),
_xlfn.IFS(_xlpm.MyAuditVal&lt;&gt;"",UPPER(_xlpm.MyAuditVal),_xlpm.MacVal&lt;&gt;"",_xlpm.MacVal,_xlpm.CSVVal&lt;&gt;"",_xlpm.CSVVal
)),"")</f>
        <v/>
      </c>
      <c r="E279" s="46" t="str" cm="1">
        <f t="array" ref="E279">IFERROR(_xlfn.LET(
_xlpm.CSVVal,_xlfn.XLOOKUP($A279,CSV!$A:$A,CSV!E:E,""),
_xlpm.MacVal,_xlfn.XLOOKUP($A279,Output_Mac!$A:$A,Output_Mac!C:C,""),
_xlpm.MyAuditVal,_xlfn.XLOOKUP($A279,My_Audit!$A:$A,My_Audit!D:D,""),
_xlfn.IFS(_xlpm.MyAuditVal&lt;&gt;"",_xlpm.MyAuditVal,_xlpm.MacVal&lt;&gt;"",_xlpm.MacVal,_xlpm.CSVVal&lt;&gt;"",_xlpm.CSVVal
)),"")</f>
        <v/>
      </c>
      <c r="F279" s="45" t="str" cm="1">
        <f t="array" ref="F279">IFERROR(_xlfn.LET(
_xlpm.CSVVal,_xlfn.XLOOKUP($A279,CSV!$A:$A,CSV!F:F,""),
_xlpm.MacVal,_xlfn.XLOOKUP($A279,Output_Mac!$A:$A,Output_Mac!F:F,""),
_xlpm.MyAuditVal,_xlfn.XLOOKUP($A279,My_Audit!$A:$A,My_Audit!E:E,""),
_xlfn.IFS(_xlpm.MyAuditVal&lt;&gt;"",_xlpm.MyAuditVal,_xlpm.MacVal&lt;&gt;"",_xlpm.MacVal,_xlpm.CSVVal&lt;&gt;"",PROPER(_xlpm.CSVVal)
)),"")</f>
        <v/>
      </c>
      <c r="G279" s="45" t="str" cm="1">
        <f t="array" ref="G279">IFERROR(_xlfn.LET(
_xlpm.CSVVal,_xlfn.XLOOKUP($A279,CSV!$A:$A,CSV!G:G,""),
_xlpm.MacVal,_xlfn.XLOOKUP($A279,Output_Mac!$A:$A,Output_Mac!H:H,""),
_xlpm.MyAuditVal,_xlfn.XLOOKUP($A279,My_Audit!$A:$A,My_Audit!F:F,""),
_xlfn.IFS(_xlpm.MyAuditVal&lt;&gt;"",_xlpm.MyAuditVal,_xlpm.MacVal&lt;&gt;"",_xlpm.MacVal,_xlpm.CSVVal&lt;&gt;"",_xlpm.CSVVal
)),"")</f>
        <v/>
      </c>
      <c r="H279" s="45" t="str">
        <f>_xlfn.XLOOKUP(A279,Output_Mac!A:A,Output_Mac!I:I,"")</f>
        <v/>
      </c>
      <c r="I279" s="45" t="str" cm="1">
        <f t="array" ref="I279">IFERROR(_xlfn.LET(
_xlpm.CSVVal,_xlfn.XLOOKUP($A279,CSV!$A:$A,CSV!H:H,""),
_xlpm.MacVal,_xlfn.XLOOKUP($A279,Output_Mac!$A:$A,Output_Mac!J:J,""),
_xlpm.MyAuditVal,_xlfn.XLOOKUP($A279,My_Audit!$A:$A,My_Audit!H:H,""),
_xlfn.IFS(_xlpm.MyAuditVal&lt;&gt;"",UPPER(_xlpm.MyAuditVal),_xlpm.MacVal&lt;&gt;"",_xlpm.MacVal,_xlpm.CSVVal&lt;&gt;"",_xlpm.CSVVal
)),"")</f>
        <v/>
      </c>
      <c r="J279" s="45" t="str" cm="1">
        <f t="array" ref="J279">IFERROR(_xlfn.LET(
_xlpm.CSVVal,_xlfn.XLOOKUP($A279,CSV!$A:$A,CSV!J:J,""),
_xlpm.MacVal,_xlfn.XLOOKUP($A279,Output_Mac!$A:$A,Output_Mac!K:K,""),
_xlpm.MyAuditVal,_xlfn.XLOOKUP($A279,My_Audit!$A:$A,My_Audit!I:I,""),
_xlfn.IFS(_xlpm.MyAuditVal&lt;&gt;"",UPPER(_xlpm.MyAuditVal),_xlpm.MacVal&lt;&gt;"",_xlpm.MacVal,_xlpm.CSVVal&lt;&gt;"",_xlpm.CSVVal
)),"")</f>
        <v/>
      </c>
      <c r="K279" s="45" t="str" cm="1">
        <f t="array" ref="K279">IFERROR(_xlfn.LET(
_xlpm.CSVVal,_xlfn.XLOOKUP($A279,CSV!$A:$A,CSV!N:N,""),
_xlpm.MacVal,_xlfn.XLOOKUP($A279,Output_Mac!$A:$A,Output_Mac!L:L,""),
_xlpm.MyAuditVal,_xlfn.XLOOKUP($A279,My_Audit!$A:$A,My_Audit!J:J,""),
_xlfn.IFS(_xlpm.MyAuditVal&lt;&gt;"",UPPER(_xlpm.MyAuditVal),_xlpm.MacVal&lt;&gt;"",_xlpm.MacVal,_xlpm.CSVVal&lt;&gt;"",_xlpm.CSVVal
)),"")</f>
        <v/>
      </c>
      <c r="L279" s="46" t="str" cm="1">
        <f t="array" ref="L279">IFERROR(_xlfn.LET(
_xlpm.CSVVal,_xlfn.XLOOKUP($A279,CSV!$A:$A,CSV!Q:Q,""),
_xlpm.MacVal,_xlfn.XLOOKUP($A279,Output_Mac!$A:$A,Output_Mac!M:M,""),
_xlpm.MyAuditVal,_xlfn.XLOOKUP($A279,My_Audit!$A:$A,My_Audit!K:K,""),
_xlfn.IFS(_xlpm.MyAuditVal&lt;&gt;"",UPPER(_xlpm.MyAuditVal),_xlpm.MacVal&lt;&gt;"",_xlpm.MacVal,_xlpm.CSVVal&lt;&gt;"",_xlpm.CSVVal
)),"")</f>
        <v/>
      </c>
      <c r="M279" s="45" t="str">
        <f>_xlfn.LET(
    _xlpm.CSVVal, _xlfn.XLOOKUP($A279, CSV!$A:$A, CSV!AE:AE, ""),
    _xlpm.MacVal, _xlfn.XLOOKUP($A279, Output_Mac!$A:$A, Output_Mac!S:S, ""),
    _xlpm.MyAuditVal, _xlfn.XLOOKUP($A279, My_Audit!$A:$A, My_Audit!N:N, ""),
    _xlfn.TEXTJOIN(", ", TRUE, _xlpm.MyAuditVal, _xlpm.MacVal, _xlpm.CSVVal)
)</f>
        <v/>
      </c>
      <c r="N279" s="45" t="str" cm="1">
        <f t="array" ref="N279">IFERROR(_xlfn.LET(
_xlpm.CSVVal,_xlfn.XLOOKUP($A279,CSV!$A:$A,CSV!AG:AG,""),
_xlpm.MacVal,_xlfn.XLOOKUP($A279,Output_Mac!$A:$A,Output_Mac!U:U,""),
_xlpm.MyAuditVal,_xlfn.XLOOKUP($A279,My_Audit!$A:$A,My_Audit!O:O,""),
_xlfn.IFS(_xlpm.MyAuditVal&lt;&gt;"",UPPER(_xlpm.MyAuditVal),_xlpm.MacVal&lt;&gt;"",_xlpm.MacVal,_xlpm.CSVVal&lt;&gt;"",_xlpm.CSVVal
)),"")</f>
        <v/>
      </c>
      <c r="O279" s="46" t="str">
        <f>_xlfn.XLOOKUP(C279,My_Audit!B:B,My_Audit!P:P,"")&amp;""</f>
        <v/>
      </c>
      <c r="P279" s="45"/>
      <c r="Q279" s="46" t="str">
        <f>IF(LEFT(N279,4)="Pass","Nist SP 800-88",My_Audit!R279)&amp;""</f>
        <v/>
      </c>
      <c r="R279" s="45"/>
      <c r="S279" s="45"/>
      <c r="T279" s="46" t="str">
        <f>_xlfn.XLOOKUP(E279,Models!I:I,Models!J:J,"")</f>
        <v/>
      </c>
      <c r="U279" s="45"/>
      <c r="V279" s="45"/>
      <c r="W279" s="38"/>
    </row>
    <row r="280" spans="1:23">
      <c r="A280" s="45" t="str">
        <f>_xlfn.TEXTJOIN("",TRUE,Input!$B$2,ROW(My_Audit!A279))</f>
        <v>XX279</v>
      </c>
      <c r="B280" s="45" t="str">
        <f>_xlfn.TEXTJOIN("-",TRUE,"ITD",Input!$A$2,A280)</f>
        <v>ITD-SHRXXX-XX279</v>
      </c>
      <c r="C280" s="45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46" t="str" cm="1">
        <f t="array" ref="D280">IFERROR(_xlfn.LET(
_xlpm.CSVVal,_xlfn.XLOOKUP($A280,CSV!$A:$A,CSV!C:C,""),
_xlpm.MacVal,_xlfn.XLOOKUP($A280,Output_Mac!$A:$A,Output_Mac!D:D,""),
_xlpm.MyAuditVal,_xlfn.XLOOKUP($A280,My_Audit!$A:$A,My_Audit!C:C,""),
_xlfn.IFS(_xlpm.MyAuditVal&lt;&gt;"",UPPER(_xlpm.MyAuditVal),_xlpm.MacVal&lt;&gt;"",_xlpm.MacVal,_xlpm.CSVVal&lt;&gt;"",_xlpm.CSVVal
)),"")</f>
        <v/>
      </c>
      <c r="E280" s="46" t="str" cm="1">
        <f t="array" ref="E280">IFERROR(_xlfn.LET(
_xlpm.CSVVal,_xlfn.XLOOKUP($A280,CSV!$A:$A,CSV!E:E,""),
_xlpm.MacVal,_xlfn.XLOOKUP($A280,Output_Mac!$A:$A,Output_Mac!C:C,""),
_xlpm.MyAuditVal,_xlfn.XLOOKUP($A280,My_Audit!$A:$A,My_Audit!D:D,""),
_xlfn.IFS(_xlpm.MyAuditVal&lt;&gt;"",_xlpm.MyAuditVal,_xlpm.MacVal&lt;&gt;"",_xlpm.MacVal,_xlpm.CSVVal&lt;&gt;"",_xlpm.CSVVal
)),"")</f>
        <v/>
      </c>
      <c r="F280" s="45" t="str" cm="1">
        <f t="array" ref="F280">IFERROR(_xlfn.LET(
_xlpm.CSVVal,_xlfn.XLOOKUP($A280,CSV!$A:$A,CSV!F:F,""),
_xlpm.MacVal,_xlfn.XLOOKUP($A280,Output_Mac!$A:$A,Output_Mac!F:F,""),
_xlpm.MyAuditVal,_xlfn.XLOOKUP($A280,My_Audit!$A:$A,My_Audit!E:E,""),
_xlfn.IFS(_xlpm.MyAuditVal&lt;&gt;"",_xlpm.MyAuditVal,_xlpm.MacVal&lt;&gt;"",_xlpm.MacVal,_xlpm.CSVVal&lt;&gt;"",PROPER(_xlpm.CSVVal)
)),"")</f>
        <v/>
      </c>
      <c r="G280" s="45" t="str" cm="1">
        <f t="array" ref="G280">IFERROR(_xlfn.LET(
_xlpm.CSVVal,_xlfn.XLOOKUP($A280,CSV!$A:$A,CSV!G:G,""),
_xlpm.MacVal,_xlfn.XLOOKUP($A280,Output_Mac!$A:$A,Output_Mac!H:H,""),
_xlpm.MyAuditVal,_xlfn.XLOOKUP($A280,My_Audit!$A:$A,My_Audit!F:F,""),
_xlfn.IFS(_xlpm.MyAuditVal&lt;&gt;"",_xlpm.MyAuditVal,_xlpm.MacVal&lt;&gt;"",_xlpm.MacVal,_xlpm.CSVVal&lt;&gt;"",_xlpm.CSVVal
)),"")</f>
        <v/>
      </c>
      <c r="H280" s="45" t="str">
        <f>_xlfn.XLOOKUP(A280,Output_Mac!A:A,Output_Mac!I:I,"")</f>
        <v/>
      </c>
      <c r="I280" s="45" t="str" cm="1">
        <f t="array" ref="I280">IFERROR(_xlfn.LET(
_xlpm.CSVVal,_xlfn.XLOOKUP($A280,CSV!$A:$A,CSV!H:H,""),
_xlpm.MacVal,_xlfn.XLOOKUP($A280,Output_Mac!$A:$A,Output_Mac!J:J,""),
_xlpm.MyAuditVal,_xlfn.XLOOKUP($A280,My_Audit!$A:$A,My_Audit!H:H,""),
_xlfn.IFS(_xlpm.MyAuditVal&lt;&gt;"",UPPER(_xlpm.MyAuditVal),_xlpm.MacVal&lt;&gt;"",_xlpm.MacVal,_xlpm.CSVVal&lt;&gt;"",_xlpm.CSVVal
)),"")</f>
        <v/>
      </c>
      <c r="J280" s="45" t="str" cm="1">
        <f t="array" ref="J280">IFERROR(_xlfn.LET(
_xlpm.CSVVal,_xlfn.XLOOKUP($A280,CSV!$A:$A,CSV!J:J,""),
_xlpm.MacVal,_xlfn.XLOOKUP($A280,Output_Mac!$A:$A,Output_Mac!K:K,""),
_xlpm.MyAuditVal,_xlfn.XLOOKUP($A280,My_Audit!$A:$A,My_Audit!I:I,""),
_xlfn.IFS(_xlpm.MyAuditVal&lt;&gt;"",UPPER(_xlpm.MyAuditVal),_xlpm.MacVal&lt;&gt;"",_xlpm.MacVal,_xlpm.CSVVal&lt;&gt;"",_xlpm.CSVVal
)),"")</f>
        <v/>
      </c>
      <c r="K280" s="45" t="str" cm="1">
        <f t="array" ref="K280">IFERROR(_xlfn.LET(
_xlpm.CSVVal,_xlfn.XLOOKUP($A280,CSV!$A:$A,CSV!N:N,""),
_xlpm.MacVal,_xlfn.XLOOKUP($A280,Output_Mac!$A:$A,Output_Mac!L:L,""),
_xlpm.MyAuditVal,_xlfn.XLOOKUP($A280,My_Audit!$A:$A,My_Audit!J:J,""),
_xlfn.IFS(_xlpm.MyAuditVal&lt;&gt;"",UPPER(_xlpm.MyAuditVal),_xlpm.MacVal&lt;&gt;"",_xlpm.MacVal,_xlpm.CSVVal&lt;&gt;"",_xlpm.CSVVal
)),"")</f>
        <v/>
      </c>
      <c r="L280" s="46" t="str" cm="1">
        <f t="array" ref="L280">IFERROR(_xlfn.LET(
_xlpm.CSVVal,_xlfn.XLOOKUP($A280,CSV!$A:$A,CSV!Q:Q,""),
_xlpm.MacVal,_xlfn.XLOOKUP($A280,Output_Mac!$A:$A,Output_Mac!M:M,""),
_xlpm.MyAuditVal,_xlfn.XLOOKUP($A280,My_Audit!$A:$A,My_Audit!K:K,""),
_xlfn.IFS(_xlpm.MyAuditVal&lt;&gt;"",UPPER(_xlpm.MyAuditVal),_xlpm.MacVal&lt;&gt;"",_xlpm.MacVal,_xlpm.CSVVal&lt;&gt;"",_xlpm.CSVVal
)),"")</f>
        <v/>
      </c>
      <c r="M280" s="45" t="str">
        <f>_xlfn.LET(
    _xlpm.CSVVal, _xlfn.XLOOKUP($A280, CSV!$A:$A, CSV!AE:AE, ""),
    _xlpm.MacVal, _xlfn.XLOOKUP($A280, Output_Mac!$A:$A, Output_Mac!S:S, ""),
    _xlpm.MyAuditVal, _xlfn.XLOOKUP($A280, My_Audit!$A:$A, My_Audit!N:N, ""),
    _xlfn.TEXTJOIN(", ", TRUE, _xlpm.MyAuditVal, _xlpm.MacVal, _xlpm.CSVVal)
)</f>
        <v/>
      </c>
      <c r="N280" s="45" t="str" cm="1">
        <f t="array" ref="N280">IFERROR(_xlfn.LET(
_xlpm.CSVVal,_xlfn.XLOOKUP($A280,CSV!$A:$A,CSV!AG:AG,""),
_xlpm.MacVal,_xlfn.XLOOKUP($A280,Output_Mac!$A:$A,Output_Mac!U:U,""),
_xlpm.MyAuditVal,_xlfn.XLOOKUP($A280,My_Audit!$A:$A,My_Audit!O:O,""),
_xlfn.IFS(_xlpm.MyAuditVal&lt;&gt;"",UPPER(_xlpm.MyAuditVal),_xlpm.MacVal&lt;&gt;"",_xlpm.MacVal,_xlpm.CSVVal&lt;&gt;"",_xlpm.CSVVal
)),"")</f>
        <v/>
      </c>
      <c r="O280" s="46" t="str">
        <f>_xlfn.XLOOKUP(C280,My_Audit!B:B,My_Audit!P:P,"")&amp;""</f>
        <v/>
      </c>
      <c r="P280" s="45"/>
      <c r="Q280" s="46" t="str">
        <f>IF(LEFT(N280,4)="Pass","Nist SP 800-88",My_Audit!R280)&amp;""</f>
        <v/>
      </c>
      <c r="R280" s="45"/>
      <c r="S280" s="45"/>
      <c r="T280" s="46" t="str">
        <f>_xlfn.XLOOKUP(E280,Models!I:I,Models!J:J,"")</f>
        <v/>
      </c>
      <c r="U280" s="45"/>
      <c r="V280" s="45"/>
      <c r="W280" s="38"/>
    </row>
    <row r="281" spans="1:23">
      <c r="A281" s="45" t="str">
        <f>_xlfn.TEXTJOIN("",TRUE,Input!$B$2,ROW(My_Audit!A280))</f>
        <v>XX280</v>
      </c>
      <c r="B281" s="45" t="str">
        <f>_xlfn.TEXTJOIN("-",TRUE,"ITD",Input!$A$2,A281)</f>
        <v>ITD-SHRXXX-XX280</v>
      </c>
      <c r="C281" s="45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46" t="str" cm="1">
        <f t="array" ref="D281">IFERROR(_xlfn.LET(
_xlpm.CSVVal,_xlfn.XLOOKUP($A281,CSV!$A:$A,CSV!C:C,""),
_xlpm.MacVal,_xlfn.XLOOKUP($A281,Output_Mac!$A:$A,Output_Mac!D:D,""),
_xlpm.MyAuditVal,_xlfn.XLOOKUP($A281,My_Audit!$A:$A,My_Audit!C:C,""),
_xlfn.IFS(_xlpm.MyAuditVal&lt;&gt;"",UPPER(_xlpm.MyAuditVal),_xlpm.MacVal&lt;&gt;"",_xlpm.MacVal,_xlpm.CSVVal&lt;&gt;"",_xlpm.CSVVal
)),"")</f>
        <v/>
      </c>
      <c r="E281" s="46" t="str" cm="1">
        <f t="array" ref="E281">IFERROR(_xlfn.LET(
_xlpm.CSVVal,_xlfn.XLOOKUP($A281,CSV!$A:$A,CSV!E:E,""),
_xlpm.MacVal,_xlfn.XLOOKUP($A281,Output_Mac!$A:$A,Output_Mac!C:C,""),
_xlpm.MyAuditVal,_xlfn.XLOOKUP($A281,My_Audit!$A:$A,My_Audit!D:D,""),
_xlfn.IFS(_xlpm.MyAuditVal&lt;&gt;"",_xlpm.MyAuditVal,_xlpm.MacVal&lt;&gt;"",_xlpm.MacVal,_xlpm.CSVVal&lt;&gt;"",_xlpm.CSVVal
)),"")</f>
        <v/>
      </c>
      <c r="F281" s="45" t="str" cm="1">
        <f t="array" ref="F281">IFERROR(_xlfn.LET(
_xlpm.CSVVal,_xlfn.XLOOKUP($A281,CSV!$A:$A,CSV!F:F,""),
_xlpm.MacVal,_xlfn.XLOOKUP($A281,Output_Mac!$A:$A,Output_Mac!F:F,""),
_xlpm.MyAuditVal,_xlfn.XLOOKUP($A281,My_Audit!$A:$A,My_Audit!E:E,""),
_xlfn.IFS(_xlpm.MyAuditVal&lt;&gt;"",_xlpm.MyAuditVal,_xlpm.MacVal&lt;&gt;"",_xlpm.MacVal,_xlpm.CSVVal&lt;&gt;"",PROPER(_xlpm.CSVVal)
)),"")</f>
        <v/>
      </c>
      <c r="G281" s="45" t="str" cm="1">
        <f t="array" ref="G281">IFERROR(_xlfn.LET(
_xlpm.CSVVal,_xlfn.XLOOKUP($A281,CSV!$A:$A,CSV!G:G,""),
_xlpm.MacVal,_xlfn.XLOOKUP($A281,Output_Mac!$A:$A,Output_Mac!H:H,""),
_xlpm.MyAuditVal,_xlfn.XLOOKUP($A281,My_Audit!$A:$A,My_Audit!F:F,""),
_xlfn.IFS(_xlpm.MyAuditVal&lt;&gt;"",_xlpm.MyAuditVal,_xlpm.MacVal&lt;&gt;"",_xlpm.MacVal,_xlpm.CSVVal&lt;&gt;"",_xlpm.CSVVal
)),"")</f>
        <v/>
      </c>
      <c r="H281" s="45" t="str">
        <f>_xlfn.XLOOKUP(A281,Output_Mac!A:A,Output_Mac!I:I,"")</f>
        <v/>
      </c>
      <c r="I281" s="45" t="str" cm="1">
        <f t="array" ref="I281">IFERROR(_xlfn.LET(
_xlpm.CSVVal,_xlfn.XLOOKUP($A281,CSV!$A:$A,CSV!H:H,""),
_xlpm.MacVal,_xlfn.XLOOKUP($A281,Output_Mac!$A:$A,Output_Mac!J:J,""),
_xlpm.MyAuditVal,_xlfn.XLOOKUP($A281,My_Audit!$A:$A,My_Audit!H:H,""),
_xlfn.IFS(_xlpm.MyAuditVal&lt;&gt;"",UPPER(_xlpm.MyAuditVal),_xlpm.MacVal&lt;&gt;"",_xlpm.MacVal,_xlpm.CSVVal&lt;&gt;"",_xlpm.CSVVal
)),"")</f>
        <v/>
      </c>
      <c r="J281" s="45" t="str" cm="1">
        <f t="array" ref="J281">IFERROR(_xlfn.LET(
_xlpm.CSVVal,_xlfn.XLOOKUP($A281,CSV!$A:$A,CSV!J:J,""),
_xlpm.MacVal,_xlfn.XLOOKUP($A281,Output_Mac!$A:$A,Output_Mac!K:K,""),
_xlpm.MyAuditVal,_xlfn.XLOOKUP($A281,My_Audit!$A:$A,My_Audit!I:I,""),
_xlfn.IFS(_xlpm.MyAuditVal&lt;&gt;"",UPPER(_xlpm.MyAuditVal),_xlpm.MacVal&lt;&gt;"",_xlpm.MacVal,_xlpm.CSVVal&lt;&gt;"",_xlpm.CSVVal
)),"")</f>
        <v/>
      </c>
      <c r="K281" s="45" t="str" cm="1">
        <f t="array" ref="K281">IFERROR(_xlfn.LET(
_xlpm.CSVVal,_xlfn.XLOOKUP($A281,CSV!$A:$A,CSV!N:N,""),
_xlpm.MacVal,_xlfn.XLOOKUP($A281,Output_Mac!$A:$A,Output_Mac!L:L,""),
_xlpm.MyAuditVal,_xlfn.XLOOKUP($A281,My_Audit!$A:$A,My_Audit!J:J,""),
_xlfn.IFS(_xlpm.MyAuditVal&lt;&gt;"",UPPER(_xlpm.MyAuditVal),_xlpm.MacVal&lt;&gt;"",_xlpm.MacVal,_xlpm.CSVVal&lt;&gt;"",_xlpm.CSVVal
)),"")</f>
        <v/>
      </c>
      <c r="L281" s="46" t="str" cm="1">
        <f t="array" ref="L281">IFERROR(_xlfn.LET(
_xlpm.CSVVal,_xlfn.XLOOKUP($A281,CSV!$A:$A,CSV!Q:Q,""),
_xlpm.MacVal,_xlfn.XLOOKUP($A281,Output_Mac!$A:$A,Output_Mac!M:M,""),
_xlpm.MyAuditVal,_xlfn.XLOOKUP($A281,My_Audit!$A:$A,My_Audit!K:K,""),
_xlfn.IFS(_xlpm.MyAuditVal&lt;&gt;"",UPPER(_xlpm.MyAuditVal),_xlpm.MacVal&lt;&gt;"",_xlpm.MacVal,_xlpm.CSVVal&lt;&gt;"",_xlpm.CSVVal
)),"")</f>
        <v/>
      </c>
      <c r="M281" s="45" t="str">
        <f>_xlfn.LET(
    _xlpm.CSVVal, _xlfn.XLOOKUP($A281, CSV!$A:$A, CSV!AE:AE, ""),
    _xlpm.MacVal, _xlfn.XLOOKUP($A281, Output_Mac!$A:$A, Output_Mac!S:S, ""),
    _xlpm.MyAuditVal, _xlfn.XLOOKUP($A281, My_Audit!$A:$A, My_Audit!N:N, ""),
    _xlfn.TEXTJOIN(", ", TRUE, _xlpm.MyAuditVal, _xlpm.MacVal, _xlpm.CSVVal)
)</f>
        <v/>
      </c>
      <c r="N281" s="45" t="str" cm="1">
        <f t="array" ref="N281">IFERROR(_xlfn.LET(
_xlpm.CSVVal,_xlfn.XLOOKUP($A281,CSV!$A:$A,CSV!AG:AG,""),
_xlpm.MacVal,_xlfn.XLOOKUP($A281,Output_Mac!$A:$A,Output_Mac!U:U,""),
_xlpm.MyAuditVal,_xlfn.XLOOKUP($A281,My_Audit!$A:$A,My_Audit!O:O,""),
_xlfn.IFS(_xlpm.MyAuditVal&lt;&gt;"",UPPER(_xlpm.MyAuditVal),_xlpm.MacVal&lt;&gt;"",_xlpm.MacVal,_xlpm.CSVVal&lt;&gt;"",_xlpm.CSVVal
)),"")</f>
        <v/>
      </c>
      <c r="O281" s="46" t="str">
        <f>_xlfn.XLOOKUP(C281,My_Audit!B:B,My_Audit!P:P,"")&amp;""</f>
        <v/>
      </c>
      <c r="P281" s="45"/>
      <c r="Q281" s="46" t="str">
        <f>IF(LEFT(N281,4)="Pass","Nist SP 800-88",My_Audit!R281)&amp;""</f>
        <v/>
      </c>
      <c r="R281" s="45"/>
      <c r="S281" s="45"/>
      <c r="T281" s="46" t="str">
        <f>_xlfn.XLOOKUP(E281,Models!I:I,Models!J:J,"")</f>
        <v/>
      </c>
      <c r="U281" s="45"/>
      <c r="V281" s="45"/>
      <c r="W281" s="38"/>
    </row>
    <row r="282" spans="1:23">
      <c r="A282" s="45" t="str">
        <f>_xlfn.TEXTJOIN("",TRUE,Input!$B$2,ROW(My_Audit!A281))</f>
        <v>XX281</v>
      </c>
      <c r="B282" s="45" t="str">
        <f>_xlfn.TEXTJOIN("-",TRUE,"ITD",Input!$A$2,A282)</f>
        <v>ITD-SHRXXX-XX281</v>
      </c>
      <c r="C282" s="45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46" t="str" cm="1">
        <f t="array" ref="D282">IFERROR(_xlfn.LET(
_xlpm.CSVVal,_xlfn.XLOOKUP($A282,CSV!$A:$A,CSV!C:C,""),
_xlpm.MacVal,_xlfn.XLOOKUP($A282,Output_Mac!$A:$A,Output_Mac!D:D,""),
_xlpm.MyAuditVal,_xlfn.XLOOKUP($A282,My_Audit!$A:$A,My_Audit!C:C,""),
_xlfn.IFS(_xlpm.MyAuditVal&lt;&gt;"",UPPER(_xlpm.MyAuditVal),_xlpm.MacVal&lt;&gt;"",_xlpm.MacVal,_xlpm.CSVVal&lt;&gt;"",_xlpm.CSVVal
)),"")</f>
        <v/>
      </c>
      <c r="E282" s="46" t="str" cm="1">
        <f t="array" ref="E282">IFERROR(_xlfn.LET(
_xlpm.CSVVal,_xlfn.XLOOKUP($A282,CSV!$A:$A,CSV!E:E,""),
_xlpm.MacVal,_xlfn.XLOOKUP($A282,Output_Mac!$A:$A,Output_Mac!C:C,""),
_xlpm.MyAuditVal,_xlfn.XLOOKUP($A282,My_Audit!$A:$A,My_Audit!D:D,""),
_xlfn.IFS(_xlpm.MyAuditVal&lt;&gt;"",_xlpm.MyAuditVal,_xlpm.MacVal&lt;&gt;"",_xlpm.MacVal,_xlpm.CSVVal&lt;&gt;"",_xlpm.CSVVal
)),"")</f>
        <v/>
      </c>
      <c r="F282" s="45" t="str" cm="1">
        <f t="array" ref="F282">IFERROR(_xlfn.LET(
_xlpm.CSVVal,_xlfn.XLOOKUP($A282,CSV!$A:$A,CSV!F:F,""),
_xlpm.MacVal,_xlfn.XLOOKUP($A282,Output_Mac!$A:$A,Output_Mac!F:F,""),
_xlpm.MyAuditVal,_xlfn.XLOOKUP($A282,My_Audit!$A:$A,My_Audit!E:E,""),
_xlfn.IFS(_xlpm.MyAuditVal&lt;&gt;"",_xlpm.MyAuditVal,_xlpm.MacVal&lt;&gt;"",_xlpm.MacVal,_xlpm.CSVVal&lt;&gt;"",PROPER(_xlpm.CSVVal)
)),"")</f>
        <v/>
      </c>
      <c r="G282" s="45" t="str" cm="1">
        <f t="array" ref="G282">IFERROR(_xlfn.LET(
_xlpm.CSVVal,_xlfn.XLOOKUP($A282,CSV!$A:$A,CSV!G:G,""),
_xlpm.MacVal,_xlfn.XLOOKUP($A282,Output_Mac!$A:$A,Output_Mac!H:H,""),
_xlpm.MyAuditVal,_xlfn.XLOOKUP($A282,My_Audit!$A:$A,My_Audit!F:F,""),
_xlfn.IFS(_xlpm.MyAuditVal&lt;&gt;"",_xlpm.MyAuditVal,_xlpm.MacVal&lt;&gt;"",_xlpm.MacVal,_xlpm.CSVVal&lt;&gt;"",_xlpm.CSVVal
)),"")</f>
        <v/>
      </c>
      <c r="H282" s="45" t="str">
        <f>_xlfn.XLOOKUP(A282,Output_Mac!A:A,Output_Mac!I:I,"")</f>
        <v/>
      </c>
      <c r="I282" s="45" t="str" cm="1">
        <f t="array" ref="I282">IFERROR(_xlfn.LET(
_xlpm.CSVVal,_xlfn.XLOOKUP($A282,CSV!$A:$A,CSV!H:H,""),
_xlpm.MacVal,_xlfn.XLOOKUP($A282,Output_Mac!$A:$A,Output_Mac!J:J,""),
_xlpm.MyAuditVal,_xlfn.XLOOKUP($A282,My_Audit!$A:$A,My_Audit!H:H,""),
_xlfn.IFS(_xlpm.MyAuditVal&lt;&gt;"",UPPER(_xlpm.MyAuditVal),_xlpm.MacVal&lt;&gt;"",_xlpm.MacVal,_xlpm.CSVVal&lt;&gt;"",_xlpm.CSVVal
)),"")</f>
        <v/>
      </c>
      <c r="J282" s="45" t="str" cm="1">
        <f t="array" ref="J282">IFERROR(_xlfn.LET(
_xlpm.CSVVal,_xlfn.XLOOKUP($A282,CSV!$A:$A,CSV!J:J,""),
_xlpm.MacVal,_xlfn.XLOOKUP($A282,Output_Mac!$A:$A,Output_Mac!K:K,""),
_xlpm.MyAuditVal,_xlfn.XLOOKUP($A282,My_Audit!$A:$A,My_Audit!I:I,""),
_xlfn.IFS(_xlpm.MyAuditVal&lt;&gt;"",UPPER(_xlpm.MyAuditVal),_xlpm.MacVal&lt;&gt;"",_xlpm.MacVal,_xlpm.CSVVal&lt;&gt;"",_xlpm.CSVVal
)),"")</f>
        <v/>
      </c>
      <c r="K282" s="45" t="str" cm="1">
        <f t="array" ref="K282">IFERROR(_xlfn.LET(
_xlpm.CSVVal,_xlfn.XLOOKUP($A282,CSV!$A:$A,CSV!N:N,""),
_xlpm.MacVal,_xlfn.XLOOKUP($A282,Output_Mac!$A:$A,Output_Mac!L:L,""),
_xlpm.MyAuditVal,_xlfn.XLOOKUP($A282,My_Audit!$A:$A,My_Audit!J:J,""),
_xlfn.IFS(_xlpm.MyAuditVal&lt;&gt;"",UPPER(_xlpm.MyAuditVal),_xlpm.MacVal&lt;&gt;"",_xlpm.MacVal,_xlpm.CSVVal&lt;&gt;"",_xlpm.CSVVal
)),"")</f>
        <v/>
      </c>
      <c r="L282" s="46" t="str" cm="1">
        <f t="array" ref="L282">IFERROR(_xlfn.LET(
_xlpm.CSVVal,_xlfn.XLOOKUP($A282,CSV!$A:$A,CSV!Q:Q,""),
_xlpm.MacVal,_xlfn.XLOOKUP($A282,Output_Mac!$A:$A,Output_Mac!M:M,""),
_xlpm.MyAuditVal,_xlfn.XLOOKUP($A282,My_Audit!$A:$A,My_Audit!K:K,""),
_xlfn.IFS(_xlpm.MyAuditVal&lt;&gt;"",UPPER(_xlpm.MyAuditVal),_xlpm.MacVal&lt;&gt;"",_xlpm.MacVal,_xlpm.CSVVal&lt;&gt;"",_xlpm.CSVVal
)),"")</f>
        <v/>
      </c>
      <c r="M282" s="45" t="str">
        <f>_xlfn.LET(
    _xlpm.CSVVal, _xlfn.XLOOKUP($A282, CSV!$A:$A, CSV!AE:AE, ""),
    _xlpm.MacVal, _xlfn.XLOOKUP($A282, Output_Mac!$A:$A, Output_Mac!S:S, ""),
    _xlpm.MyAuditVal, _xlfn.XLOOKUP($A282, My_Audit!$A:$A, My_Audit!N:N, ""),
    _xlfn.TEXTJOIN(", ", TRUE, _xlpm.MyAuditVal, _xlpm.MacVal, _xlpm.CSVVal)
)</f>
        <v/>
      </c>
      <c r="N282" s="45" t="str" cm="1">
        <f t="array" ref="N282">IFERROR(_xlfn.LET(
_xlpm.CSVVal,_xlfn.XLOOKUP($A282,CSV!$A:$A,CSV!AG:AG,""),
_xlpm.MacVal,_xlfn.XLOOKUP($A282,Output_Mac!$A:$A,Output_Mac!U:U,""),
_xlpm.MyAuditVal,_xlfn.XLOOKUP($A282,My_Audit!$A:$A,My_Audit!O:O,""),
_xlfn.IFS(_xlpm.MyAuditVal&lt;&gt;"",UPPER(_xlpm.MyAuditVal),_xlpm.MacVal&lt;&gt;"",_xlpm.MacVal,_xlpm.CSVVal&lt;&gt;"",_xlpm.CSVVal
)),"")</f>
        <v/>
      </c>
      <c r="O282" s="46" t="str">
        <f>_xlfn.XLOOKUP(C282,My_Audit!B:B,My_Audit!P:P,"")&amp;""</f>
        <v/>
      </c>
      <c r="P282" s="45"/>
      <c r="Q282" s="46" t="str">
        <f>IF(LEFT(N282,4)="Pass","Nist SP 800-88",My_Audit!R282)&amp;""</f>
        <v/>
      </c>
      <c r="R282" s="45"/>
      <c r="S282" s="45"/>
      <c r="T282" s="46" t="str">
        <f>_xlfn.XLOOKUP(E282,Models!I:I,Models!J:J,"")</f>
        <v/>
      </c>
      <c r="U282" s="45"/>
      <c r="V282" s="45"/>
      <c r="W282" s="38"/>
    </row>
    <row r="283" spans="1:23">
      <c r="A283" s="45" t="str">
        <f>_xlfn.TEXTJOIN("",TRUE,Input!$B$2,ROW(My_Audit!A282))</f>
        <v>XX282</v>
      </c>
      <c r="B283" s="45" t="str">
        <f>_xlfn.TEXTJOIN("-",TRUE,"ITD",Input!$A$2,A283)</f>
        <v>ITD-SHRXXX-XX282</v>
      </c>
      <c r="C283" s="45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46" t="str" cm="1">
        <f t="array" ref="D283">IFERROR(_xlfn.LET(
_xlpm.CSVVal,_xlfn.XLOOKUP($A283,CSV!$A:$A,CSV!C:C,""),
_xlpm.MacVal,_xlfn.XLOOKUP($A283,Output_Mac!$A:$A,Output_Mac!D:D,""),
_xlpm.MyAuditVal,_xlfn.XLOOKUP($A283,My_Audit!$A:$A,My_Audit!C:C,""),
_xlfn.IFS(_xlpm.MyAuditVal&lt;&gt;"",UPPER(_xlpm.MyAuditVal),_xlpm.MacVal&lt;&gt;"",_xlpm.MacVal,_xlpm.CSVVal&lt;&gt;"",_xlpm.CSVVal
)),"")</f>
        <v/>
      </c>
      <c r="E283" s="46" t="str" cm="1">
        <f t="array" ref="E283">IFERROR(_xlfn.LET(
_xlpm.CSVVal,_xlfn.XLOOKUP($A283,CSV!$A:$A,CSV!E:E,""),
_xlpm.MacVal,_xlfn.XLOOKUP($A283,Output_Mac!$A:$A,Output_Mac!C:C,""),
_xlpm.MyAuditVal,_xlfn.XLOOKUP($A283,My_Audit!$A:$A,My_Audit!D:D,""),
_xlfn.IFS(_xlpm.MyAuditVal&lt;&gt;"",_xlpm.MyAuditVal,_xlpm.MacVal&lt;&gt;"",_xlpm.MacVal,_xlpm.CSVVal&lt;&gt;"",_xlpm.CSVVal
)),"")</f>
        <v/>
      </c>
      <c r="F283" s="45" t="str" cm="1">
        <f t="array" ref="F283">IFERROR(_xlfn.LET(
_xlpm.CSVVal,_xlfn.XLOOKUP($A283,CSV!$A:$A,CSV!F:F,""),
_xlpm.MacVal,_xlfn.XLOOKUP($A283,Output_Mac!$A:$A,Output_Mac!F:F,""),
_xlpm.MyAuditVal,_xlfn.XLOOKUP($A283,My_Audit!$A:$A,My_Audit!E:E,""),
_xlfn.IFS(_xlpm.MyAuditVal&lt;&gt;"",_xlpm.MyAuditVal,_xlpm.MacVal&lt;&gt;"",_xlpm.MacVal,_xlpm.CSVVal&lt;&gt;"",PROPER(_xlpm.CSVVal)
)),"")</f>
        <v/>
      </c>
      <c r="G283" s="45" t="str" cm="1">
        <f t="array" ref="G283">IFERROR(_xlfn.LET(
_xlpm.CSVVal,_xlfn.XLOOKUP($A283,CSV!$A:$A,CSV!G:G,""),
_xlpm.MacVal,_xlfn.XLOOKUP($A283,Output_Mac!$A:$A,Output_Mac!H:H,""),
_xlpm.MyAuditVal,_xlfn.XLOOKUP($A283,My_Audit!$A:$A,My_Audit!F:F,""),
_xlfn.IFS(_xlpm.MyAuditVal&lt;&gt;"",_xlpm.MyAuditVal,_xlpm.MacVal&lt;&gt;"",_xlpm.MacVal,_xlpm.CSVVal&lt;&gt;"",_xlpm.CSVVal
)),"")</f>
        <v/>
      </c>
      <c r="H283" s="45" t="str">
        <f>_xlfn.XLOOKUP(A283,Output_Mac!A:A,Output_Mac!I:I,"")</f>
        <v/>
      </c>
      <c r="I283" s="45" t="str" cm="1">
        <f t="array" ref="I283">IFERROR(_xlfn.LET(
_xlpm.CSVVal,_xlfn.XLOOKUP($A283,CSV!$A:$A,CSV!H:H,""),
_xlpm.MacVal,_xlfn.XLOOKUP($A283,Output_Mac!$A:$A,Output_Mac!J:J,""),
_xlpm.MyAuditVal,_xlfn.XLOOKUP($A283,My_Audit!$A:$A,My_Audit!H:H,""),
_xlfn.IFS(_xlpm.MyAuditVal&lt;&gt;"",UPPER(_xlpm.MyAuditVal),_xlpm.MacVal&lt;&gt;"",_xlpm.MacVal,_xlpm.CSVVal&lt;&gt;"",_xlpm.CSVVal
)),"")</f>
        <v/>
      </c>
      <c r="J283" s="45" t="str" cm="1">
        <f t="array" ref="J283">IFERROR(_xlfn.LET(
_xlpm.CSVVal,_xlfn.XLOOKUP($A283,CSV!$A:$A,CSV!J:J,""),
_xlpm.MacVal,_xlfn.XLOOKUP($A283,Output_Mac!$A:$A,Output_Mac!K:K,""),
_xlpm.MyAuditVal,_xlfn.XLOOKUP($A283,My_Audit!$A:$A,My_Audit!I:I,""),
_xlfn.IFS(_xlpm.MyAuditVal&lt;&gt;"",UPPER(_xlpm.MyAuditVal),_xlpm.MacVal&lt;&gt;"",_xlpm.MacVal,_xlpm.CSVVal&lt;&gt;"",_xlpm.CSVVal
)),"")</f>
        <v/>
      </c>
      <c r="K283" s="45" t="str" cm="1">
        <f t="array" ref="K283">IFERROR(_xlfn.LET(
_xlpm.CSVVal,_xlfn.XLOOKUP($A283,CSV!$A:$A,CSV!N:N,""),
_xlpm.MacVal,_xlfn.XLOOKUP($A283,Output_Mac!$A:$A,Output_Mac!L:L,""),
_xlpm.MyAuditVal,_xlfn.XLOOKUP($A283,My_Audit!$A:$A,My_Audit!J:J,""),
_xlfn.IFS(_xlpm.MyAuditVal&lt;&gt;"",UPPER(_xlpm.MyAuditVal),_xlpm.MacVal&lt;&gt;"",_xlpm.MacVal,_xlpm.CSVVal&lt;&gt;"",_xlpm.CSVVal
)),"")</f>
        <v/>
      </c>
      <c r="L283" s="46" t="str" cm="1">
        <f t="array" ref="L283">IFERROR(_xlfn.LET(
_xlpm.CSVVal,_xlfn.XLOOKUP($A283,CSV!$A:$A,CSV!Q:Q,""),
_xlpm.MacVal,_xlfn.XLOOKUP($A283,Output_Mac!$A:$A,Output_Mac!M:M,""),
_xlpm.MyAuditVal,_xlfn.XLOOKUP($A283,My_Audit!$A:$A,My_Audit!K:K,""),
_xlfn.IFS(_xlpm.MyAuditVal&lt;&gt;"",UPPER(_xlpm.MyAuditVal),_xlpm.MacVal&lt;&gt;"",_xlpm.MacVal,_xlpm.CSVVal&lt;&gt;"",_xlpm.CSVVal
)),"")</f>
        <v/>
      </c>
      <c r="M283" s="45" t="str">
        <f>_xlfn.LET(
    _xlpm.CSVVal, _xlfn.XLOOKUP($A283, CSV!$A:$A, CSV!AE:AE, ""),
    _xlpm.MacVal, _xlfn.XLOOKUP($A283, Output_Mac!$A:$A, Output_Mac!S:S, ""),
    _xlpm.MyAuditVal, _xlfn.XLOOKUP($A283, My_Audit!$A:$A, My_Audit!N:N, ""),
    _xlfn.TEXTJOIN(", ", TRUE, _xlpm.MyAuditVal, _xlpm.MacVal, _xlpm.CSVVal)
)</f>
        <v/>
      </c>
      <c r="N283" s="45" t="str" cm="1">
        <f t="array" ref="N283">IFERROR(_xlfn.LET(
_xlpm.CSVVal,_xlfn.XLOOKUP($A283,CSV!$A:$A,CSV!AG:AG,""),
_xlpm.MacVal,_xlfn.XLOOKUP($A283,Output_Mac!$A:$A,Output_Mac!U:U,""),
_xlpm.MyAuditVal,_xlfn.XLOOKUP($A283,My_Audit!$A:$A,My_Audit!O:O,""),
_xlfn.IFS(_xlpm.MyAuditVal&lt;&gt;"",UPPER(_xlpm.MyAuditVal),_xlpm.MacVal&lt;&gt;"",_xlpm.MacVal,_xlpm.CSVVal&lt;&gt;"",_xlpm.CSVVal
)),"")</f>
        <v/>
      </c>
      <c r="O283" s="46" t="str">
        <f>_xlfn.XLOOKUP(C283,My_Audit!B:B,My_Audit!P:P,"")&amp;""</f>
        <v/>
      </c>
      <c r="P283" s="45"/>
      <c r="Q283" s="46" t="str">
        <f>IF(LEFT(N283,4)="Pass","Nist SP 800-88",My_Audit!R283)&amp;""</f>
        <v/>
      </c>
      <c r="R283" s="45"/>
      <c r="S283" s="45"/>
      <c r="T283" s="46" t="str">
        <f>_xlfn.XLOOKUP(E283,Models!I:I,Models!J:J,"")</f>
        <v/>
      </c>
      <c r="U283" s="45"/>
      <c r="V283" s="45"/>
      <c r="W283" s="38"/>
    </row>
    <row r="284" spans="1:23">
      <c r="A284" s="45" t="str">
        <f>_xlfn.TEXTJOIN("",TRUE,Input!$B$2,ROW(My_Audit!A283))</f>
        <v>XX283</v>
      </c>
      <c r="B284" s="45" t="str">
        <f>_xlfn.TEXTJOIN("-",TRUE,"ITD",Input!$A$2,A284)</f>
        <v>ITD-SHRXXX-XX283</v>
      </c>
      <c r="C284" s="45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46" t="str" cm="1">
        <f t="array" ref="D284">IFERROR(_xlfn.LET(
_xlpm.CSVVal,_xlfn.XLOOKUP($A284,CSV!$A:$A,CSV!C:C,""),
_xlpm.MacVal,_xlfn.XLOOKUP($A284,Output_Mac!$A:$A,Output_Mac!D:D,""),
_xlpm.MyAuditVal,_xlfn.XLOOKUP($A284,My_Audit!$A:$A,My_Audit!C:C,""),
_xlfn.IFS(_xlpm.MyAuditVal&lt;&gt;"",UPPER(_xlpm.MyAuditVal),_xlpm.MacVal&lt;&gt;"",_xlpm.MacVal,_xlpm.CSVVal&lt;&gt;"",_xlpm.CSVVal
)),"")</f>
        <v/>
      </c>
      <c r="E284" s="46" t="str" cm="1">
        <f t="array" ref="E284">IFERROR(_xlfn.LET(
_xlpm.CSVVal,_xlfn.XLOOKUP($A284,CSV!$A:$A,CSV!E:E,""),
_xlpm.MacVal,_xlfn.XLOOKUP($A284,Output_Mac!$A:$A,Output_Mac!C:C,""),
_xlpm.MyAuditVal,_xlfn.XLOOKUP($A284,My_Audit!$A:$A,My_Audit!D:D,""),
_xlfn.IFS(_xlpm.MyAuditVal&lt;&gt;"",_xlpm.MyAuditVal,_xlpm.MacVal&lt;&gt;"",_xlpm.MacVal,_xlpm.CSVVal&lt;&gt;"",_xlpm.CSVVal
)),"")</f>
        <v/>
      </c>
      <c r="F284" s="45" t="str" cm="1">
        <f t="array" ref="F284">IFERROR(_xlfn.LET(
_xlpm.CSVVal,_xlfn.XLOOKUP($A284,CSV!$A:$A,CSV!F:F,""),
_xlpm.MacVal,_xlfn.XLOOKUP($A284,Output_Mac!$A:$A,Output_Mac!F:F,""),
_xlpm.MyAuditVal,_xlfn.XLOOKUP($A284,My_Audit!$A:$A,My_Audit!E:E,""),
_xlfn.IFS(_xlpm.MyAuditVal&lt;&gt;"",_xlpm.MyAuditVal,_xlpm.MacVal&lt;&gt;"",_xlpm.MacVal,_xlpm.CSVVal&lt;&gt;"",PROPER(_xlpm.CSVVal)
)),"")</f>
        <v/>
      </c>
      <c r="G284" s="45" t="str" cm="1">
        <f t="array" ref="G284">IFERROR(_xlfn.LET(
_xlpm.CSVVal,_xlfn.XLOOKUP($A284,CSV!$A:$A,CSV!G:G,""),
_xlpm.MacVal,_xlfn.XLOOKUP($A284,Output_Mac!$A:$A,Output_Mac!H:H,""),
_xlpm.MyAuditVal,_xlfn.XLOOKUP($A284,My_Audit!$A:$A,My_Audit!F:F,""),
_xlfn.IFS(_xlpm.MyAuditVal&lt;&gt;"",_xlpm.MyAuditVal,_xlpm.MacVal&lt;&gt;"",_xlpm.MacVal,_xlpm.CSVVal&lt;&gt;"",_xlpm.CSVVal
)),"")</f>
        <v/>
      </c>
      <c r="H284" s="45" t="str">
        <f>_xlfn.XLOOKUP(A284,Output_Mac!A:A,Output_Mac!I:I,"")</f>
        <v/>
      </c>
      <c r="I284" s="45" t="str" cm="1">
        <f t="array" ref="I284">IFERROR(_xlfn.LET(
_xlpm.CSVVal,_xlfn.XLOOKUP($A284,CSV!$A:$A,CSV!H:H,""),
_xlpm.MacVal,_xlfn.XLOOKUP($A284,Output_Mac!$A:$A,Output_Mac!J:J,""),
_xlpm.MyAuditVal,_xlfn.XLOOKUP($A284,My_Audit!$A:$A,My_Audit!H:H,""),
_xlfn.IFS(_xlpm.MyAuditVal&lt;&gt;"",UPPER(_xlpm.MyAuditVal),_xlpm.MacVal&lt;&gt;"",_xlpm.MacVal,_xlpm.CSVVal&lt;&gt;"",_xlpm.CSVVal
)),"")</f>
        <v/>
      </c>
      <c r="J284" s="45" t="str" cm="1">
        <f t="array" ref="J284">IFERROR(_xlfn.LET(
_xlpm.CSVVal,_xlfn.XLOOKUP($A284,CSV!$A:$A,CSV!J:J,""),
_xlpm.MacVal,_xlfn.XLOOKUP($A284,Output_Mac!$A:$A,Output_Mac!K:K,""),
_xlpm.MyAuditVal,_xlfn.XLOOKUP($A284,My_Audit!$A:$A,My_Audit!I:I,""),
_xlfn.IFS(_xlpm.MyAuditVal&lt;&gt;"",UPPER(_xlpm.MyAuditVal),_xlpm.MacVal&lt;&gt;"",_xlpm.MacVal,_xlpm.CSVVal&lt;&gt;"",_xlpm.CSVVal
)),"")</f>
        <v/>
      </c>
      <c r="K284" s="45" t="str" cm="1">
        <f t="array" ref="K284">IFERROR(_xlfn.LET(
_xlpm.CSVVal,_xlfn.XLOOKUP($A284,CSV!$A:$A,CSV!N:N,""),
_xlpm.MacVal,_xlfn.XLOOKUP($A284,Output_Mac!$A:$A,Output_Mac!L:L,""),
_xlpm.MyAuditVal,_xlfn.XLOOKUP($A284,My_Audit!$A:$A,My_Audit!J:J,""),
_xlfn.IFS(_xlpm.MyAuditVal&lt;&gt;"",UPPER(_xlpm.MyAuditVal),_xlpm.MacVal&lt;&gt;"",_xlpm.MacVal,_xlpm.CSVVal&lt;&gt;"",_xlpm.CSVVal
)),"")</f>
        <v/>
      </c>
      <c r="L284" s="46" t="str" cm="1">
        <f t="array" ref="L284">IFERROR(_xlfn.LET(
_xlpm.CSVVal,_xlfn.XLOOKUP($A284,CSV!$A:$A,CSV!Q:Q,""),
_xlpm.MacVal,_xlfn.XLOOKUP($A284,Output_Mac!$A:$A,Output_Mac!M:M,""),
_xlpm.MyAuditVal,_xlfn.XLOOKUP($A284,My_Audit!$A:$A,My_Audit!K:K,""),
_xlfn.IFS(_xlpm.MyAuditVal&lt;&gt;"",UPPER(_xlpm.MyAuditVal),_xlpm.MacVal&lt;&gt;"",_xlpm.MacVal,_xlpm.CSVVal&lt;&gt;"",_xlpm.CSVVal
)),"")</f>
        <v/>
      </c>
      <c r="M284" s="45" t="str">
        <f>_xlfn.LET(
    _xlpm.CSVVal, _xlfn.XLOOKUP($A284, CSV!$A:$A, CSV!AE:AE, ""),
    _xlpm.MacVal, _xlfn.XLOOKUP($A284, Output_Mac!$A:$A, Output_Mac!S:S, ""),
    _xlpm.MyAuditVal, _xlfn.XLOOKUP($A284, My_Audit!$A:$A, My_Audit!N:N, ""),
    _xlfn.TEXTJOIN(", ", TRUE, _xlpm.MyAuditVal, _xlpm.MacVal, _xlpm.CSVVal)
)</f>
        <v/>
      </c>
      <c r="N284" s="45" t="str" cm="1">
        <f t="array" ref="N284">IFERROR(_xlfn.LET(
_xlpm.CSVVal,_xlfn.XLOOKUP($A284,CSV!$A:$A,CSV!AG:AG,""),
_xlpm.MacVal,_xlfn.XLOOKUP($A284,Output_Mac!$A:$A,Output_Mac!U:U,""),
_xlpm.MyAuditVal,_xlfn.XLOOKUP($A284,My_Audit!$A:$A,My_Audit!O:O,""),
_xlfn.IFS(_xlpm.MyAuditVal&lt;&gt;"",UPPER(_xlpm.MyAuditVal),_xlpm.MacVal&lt;&gt;"",_xlpm.MacVal,_xlpm.CSVVal&lt;&gt;"",_xlpm.CSVVal
)),"")</f>
        <v/>
      </c>
      <c r="O284" s="46" t="str">
        <f>_xlfn.XLOOKUP(C284,My_Audit!B:B,My_Audit!P:P,"")&amp;""</f>
        <v/>
      </c>
      <c r="P284" s="45"/>
      <c r="Q284" s="46" t="str">
        <f>IF(LEFT(N284,4)="Pass","Nist SP 800-88",My_Audit!R284)&amp;""</f>
        <v/>
      </c>
      <c r="R284" s="45"/>
      <c r="S284" s="45"/>
      <c r="T284" s="46" t="str">
        <f>_xlfn.XLOOKUP(E284,Models!I:I,Models!J:J,"")</f>
        <v/>
      </c>
      <c r="U284" s="45"/>
      <c r="V284" s="45"/>
      <c r="W284" s="38"/>
    </row>
    <row r="285" spans="1:23">
      <c r="A285" s="45" t="str">
        <f>_xlfn.TEXTJOIN("",TRUE,Input!$B$2,ROW(My_Audit!A284))</f>
        <v>XX284</v>
      </c>
      <c r="B285" s="45" t="str">
        <f>_xlfn.TEXTJOIN("-",TRUE,"ITD",Input!$A$2,A285)</f>
        <v>ITD-SHRXXX-XX284</v>
      </c>
      <c r="C285" s="45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46" t="str" cm="1">
        <f t="array" ref="D285">IFERROR(_xlfn.LET(
_xlpm.CSVVal,_xlfn.XLOOKUP($A285,CSV!$A:$A,CSV!C:C,""),
_xlpm.MacVal,_xlfn.XLOOKUP($A285,Output_Mac!$A:$A,Output_Mac!D:D,""),
_xlpm.MyAuditVal,_xlfn.XLOOKUP($A285,My_Audit!$A:$A,My_Audit!C:C,""),
_xlfn.IFS(_xlpm.MyAuditVal&lt;&gt;"",UPPER(_xlpm.MyAuditVal),_xlpm.MacVal&lt;&gt;"",_xlpm.MacVal,_xlpm.CSVVal&lt;&gt;"",_xlpm.CSVVal
)),"")</f>
        <v/>
      </c>
      <c r="E285" s="46" t="str" cm="1">
        <f t="array" ref="E285">IFERROR(_xlfn.LET(
_xlpm.CSVVal,_xlfn.XLOOKUP($A285,CSV!$A:$A,CSV!E:E,""),
_xlpm.MacVal,_xlfn.XLOOKUP($A285,Output_Mac!$A:$A,Output_Mac!C:C,""),
_xlpm.MyAuditVal,_xlfn.XLOOKUP($A285,My_Audit!$A:$A,My_Audit!D:D,""),
_xlfn.IFS(_xlpm.MyAuditVal&lt;&gt;"",_xlpm.MyAuditVal,_xlpm.MacVal&lt;&gt;"",_xlpm.MacVal,_xlpm.CSVVal&lt;&gt;"",_xlpm.CSVVal
)),"")</f>
        <v/>
      </c>
      <c r="F285" s="45" t="str" cm="1">
        <f t="array" ref="F285">IFERROR(_xlfn.LET(
_xlpm.CSVVal,_xlfn.XLOOKUP($A285,CSV!$A:$A,CSV!F:F,""),
_xlpm.MacVal,_xlfn.XLOOKUP($A285,Output_Mac!$A:$A,Output_Mac!F:F,""),
_xlpm.MyAuditVal,_xlfn.XLOOKUP($A285,My_Audit!$A:$A,My_Audit!E:E,""),
_xlfn.IFS(_xlpm.MyAuditVal&lt;&gt;"",_xlpm.MyAuditVal,_xlpm.MacVal&lt;&gt;"",_xlpm.MacVal,_xlpm.CSVVal&lt;&gt;"",PROPER(_xlpm.CSVVal)
)),"")</f>
        <v/>
      </c>
      <c r="G285" s="45" t="str" cm="1">
        <f t="array" ref="G285">IFERROR(_xlfn.LET(
_xlpm.CSVVal,_xlfn.XLOOKUP($A285,CSV!$A:$A,CSV!G:G,""),
_xlpm.MacVal,_xlfn.XLOOKUP($A285,Output_Mac!$A:$A,Output_Mac!H:H,""),
_xlpm.MyAuditVal,_xlfn.XLOOKUP($A285,My_Audit!$A:$A,My_Audit!F:F,""),
_xlfn.IFS(_xlpm.MyAuditVal&lt;&gt;"",_xlpm.MyAuditVal,_xlpm.MacVal&lt;&gt;"",_xlpm.MacVal,_xlpm.CSVVal&lt;&gt;"",_xlpm.CSVVal
)),"")</f>
        <v/>
      </c>
      <c r="H285" s="45" t="str">
        <f>_xlfn.XLOOKUP(A285,Output_Mac!A:A,Output_Mac!I:I,"")</f>
        <v/>
      </c>
      <c r="I285" s="45" t="str" cm="1">
        <f t="array" ref="I285">IFERROR(_xlfn.LET(
_xlpm.CSVVal,_xlfn.XLOOKUP($A285,CSV!$A:$A,CSV!H:H,""),
_xlpm.MacVal,_xlfn.XLOOKUP($A285,Output_Mac!$A:$A,Output_Mac!J:J,""),
_xlpm.MyAuditVal,_xlfn.XLOOKUP($A285,My_Audit!$A:$A,My_Audit!H:H,""),
_xlfn.IFS(_xlpm.MyAuditVal&lt;&gt;"",UPPER(_xlpm.MyAuditVal),_xlpm.MacVal&lt;&gt;"",_xlpm.MacVal,_xlpm.CSVVal&lt;&gt;"",_xlpm.CSVVal
)),"")</f>
        <v/>
      </c>
      <c r="J285" s="45" t="str" cm="1">
        <f t="array" ref="J285">IFERROR(_xlfn.LET(
_xlpm.CSVVal,_xlfn.XLOOKUP($A285,CSV!$A:$A,CSV!J:J,""),
_xlpm.MacVal,_xlfn.XLOOKUP($A285,Output_Mac!$A:$A,Output_Mac!K:K,""),
_xlpm.MyAuditVal,_xlfn.XLOOKUP($A285,My_Audit!$A:$A,My_Audit!I:I,""),
_xlfn.IFS(_xlpm.MyAuditVal&lt;&gt;"",UPPER(_xlpm.MyAuditVal),_xlpm.MacVal&lt;&gt;"",_xlpm.MacVal,_xlpm.CSVVal&lt;&gt;"",_xlpm.CSVVal
)),"")</f>
        <v/>
      </c>
      <c r="K285" s="45" t="str" cm="1">
        <f t="array" ref="K285">IFERROR(_xlfn.LET(
_xlpm.CSVVal,_xlfn.XLOOKUP($A285,CSV!$A:$A,CSV!N:N,""),
_xlpm.MacVal,_xlfn.XLOOKUP($A285,Output_Mac!$A:$A,Output_Mac!L:L,""),
_xlpm.MyAuditVal,_xlfn.XLOOKUP($A285,My_Audit!$A:$A,My_Audit!J:J,""),
_xlfn.IFS(_xlpm.MyAuditVal&lt;&gt;"",UPPER(_xlpm.MyAuditVal),_xlpm.MacVal&lt;&gt;"",_xlpm.MacVal,_xlpm.CSVVal&lt;&gt;"",_xlpm.CSVVal
)),"")</f>
        <v/>
      </c>
      <c r="L285" s="46" t="str" cm="1">
        <f t="array" ref="L285">IFERROR(_xlfn.LET(
_xlpm.CSVVal,_xlfn.XLOOKUP($A285,CSV!$A:$A,CSV!Q:Q,""),
_xlpm.MacVal,_xlfn.XLOOKUP($A285,Output_Mac!$A:$A,Output_Mac!M:M,""),
_xlpm.MyAuditVal,_xlfn.XLOOKUP($A285,My_Audit!$A:$A,My_Audit!K:K,""),
_xlfn.IFS(_xlpm.MyAuditVal&lt;&gt;"",UPPER(_xlpm.MyAuditVal),_xlpm.MacVal&lt;&gt;"",_xlpm.MacVal,_xlpm.CSVVal&lt;&gt;"",_xlpm.CSVVal
)),"")</f>
        <v/>
      </c>
      <c r="M285" s="45" t="str">
        <f>_xlfn.LET(
    _xlpm.CSVVal, _xlfn.XLOOKUP($A285, CSV!$A:$A, CSV!AE:AE, ""),
    _xlpm.MacVal, _xlfn.XLOOKUP($A285, Output_Mac!$A:$A, Output_Mac!S:S, ""),
    _xlpm.MyAuditVal, _xlfn.XLOOKUP($A285, My_Audit!$A:$A, My_Audit!N:N, ""),
    _xlfn.TEXTJOIN(", ", TRUE, _xlpm.MyAuditVal, _xlpm.MacVal, _xlpm.CSVVal)
)</f>
        <v/>
      </c>
      <c r="N285" s="45" t="str" cm="1">
        <f t="array" ref="N285">IFERROR(_xlfn.LET(
_xlpm.CSVVal,_xlfn.XLOOKUP($A285,CSV!$A:$A,CSV!AG:AG,""),
_xlpm.MacVal,_xlfn.XLOOKUP($A285,Output_Mac!$A:$A,Output_Mac!U:U,""),
_xlpm.MyAuditVal,_xlfn.XLOOKUP($A285,My_Audit!$A:$A,My_Audit!O:O,""),
_xlfn.IFS(_xlpm.MyAuditVal&lt;&gt;"",UPPER(_xlpm.MyAuditVal),_xlpm.MacVal&lt;&gt;"",_xlpm.MacVal,_xlpm.CSVVal&lt;&gt;"",_xlpm.CSVVal
)),"")</f>
        <v/>
      </c>
      <c r="O285" s="46" t="str">
        <f>_xlfn.XLOOKUP(C285,My_Audit!B:B,My_Audit!P:P,"")&amp;""</f>
        <v/>
      </c>
      <c r="P285" s="45"/>
      <c r="Q285" s="46" t="str">
        <f>IF(LEFT(N285,4)="Pass","Nist SP 800-88",My_Audit!R285)&amp;""</f>
        <v/>
      </c>
      <c r="R285" s="45"/>
      <c r="S285" s="45"/>
      <c r="T285" s="46" t="str">
        <f>_xlfn.XLOOKUP(E285,Models!I:I,Models!J:J,"")</f>
        <v/>
      </c>
      <c r="U285" s="45"/>
      <c r="V285" s="45"/>
      <c r="W285" s="38"/>
    </row>
    <row r="286" spans="1:23">
      <c r="A286" s="45" t="str">
        <f>_xlfn.TEXTJOIN("",TRUE,Input!$B$2,ROW(My_Audit!A285))</f>
        <v>XX285</v>
      </c>
      <c r="B286" s="45" t="str">
        <f>_xlfn.TEXTJOIN("-",TRUE,"ITD",Input!$A$2,A286)</f>
        <v>ITD-SHRXXX-XX285</v>
      </c>
      <c r="C286" s="45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46" t="str" cm="1">
        <f t="array" ref="D286">IFERROR(_xlfn.LET(
_xlpm.CSVVal,_xlfn.XLOOKUP($A286,CSV!$A:$A,CSV!C:C,""),
_xlpm.MacVal,_xlfn.XLOOKUP($A286,Output_Mac!$A:$A,Output_Mac!D:D,""),
_xlpm.MyAuditVal,_xlfn.XLOOKUP($A286,My_Audit!$A:$A,My_Audit!C:C,""),
_xlfn.IFS(_xlpm.MyAuditVal&lt;&gt;"",UPPER(_xlpm.MyAuditVal),_xlpm.MacVal&lt;&gt;"",_xlpm.MacVal,_xlpm.CSVVal&lt;&gt;"",_xlpm.CSVVal
)),"")</f>
        <v/>
      </c>
      <c r="E286" s="46" t="str" cm="1">
        <f t="array" ref="E286">IFERROR(_xlfn.LET(
_xlpm.CSVVal,_xlfn.XLOOKUP($A286,CSV!$A:$A,CSV!E:E,""),
_xlpm.MacVal,_xlfn.XLOOKUP($A286,Output_Mac!$A:$A,Output_Mac!C:C,""),
_xlpm.MyAuditVal,_xlfn.XLOOKUP($A286,My_Audit!$A:$A,My_Audit!D:D,""),
_xlfn.IFS(_xlpm.MyAuditVal&lt;&gt;"",_xlpm.MyAuditVal,_xlpm.MacVal&lt;&gt;"",_xlpm.MacVal,_xlpm.CSVVal&lt;&gt;"",_xlpm.CSVVal
)),"")</f>
        <v/>
      </c>
      <c r="F286" s="45" t="str" cm="1">
        <f t="array" ref="F286">IFERROR(_xlfn.LET(
_xlpm.CSVVal,_xlfn.XLOOKUP($A286,CSV!$A:$A,CSV!F:F,""),
_xlpm.MacVal,_xlfn.XLOOKUP($A286,Output_Mac!$A:$A,Output_Mac!F:F,""),
_xlpm.MyAuditVal,_xlfn.XLOOKUP($A286,My_Audit!$A:$A,My_Audit!E:E,""),
_xlfn.IFS(_xlpm.MyAuditVal&lt;&gt;"",_xlpm.MyAuditVal,_xlpm.MacVal&lt;&gt;"",_xlpm.MacVal,_xlpm.CSVVal&lt;&gt;"",PROPER(_xlpm.CSVVal)
)),"")</f>
        <v/>
      </c>
      <c r="G286" s="45" t="str" cm="1">
        <f t="array" ref="G286">IFERROR(_xlfn.LET(
_xlpm.CSVVal,_xlfn.XLOOKUP($A286,CSV!$A:$A,CSV!G:G,""),
_xlpm.MacVal,_xlfn.XLOOKUP($A286,Output_Mac!$A:$A,Output_Mac!H:H,""),
_xlpm.MyAuditVal,_xlfn.XLOOKUP($A286,My_Audit!$A:$A,My_Audit!F:F,""),
_xlfn.IFS(_xlpm.MyAuditVal&lt;&gt;"",_xlpm.MyAuditVal,_xlpm.MacVal&lt;&gt;"",_xlpm.MacVal,_xlpm.CSVVal&lt;&gt;"",_xlpm.CSVVal
)),"")</f>
        <v/>
      </c>
      <c r="H286" s="45" t="str">
        <f>_xlfn.XLOOKUP(A286,Output_Mac!A:A,Output_Mac!I:I,"")</f>
        <v/>
      </c>
      <c r="I286" s="45" t="str" cm="1">
        <f t="array" ref="I286">IFERROR(_xlfn.LET(
_xlpm.CSVVal,_xlfn.XLOOKUP($A286,CSV!$A:$A,CSV!H:H,""),
_xlpm.MacVal,_xlfn.XLOOKUP($A286,Output_Mac!$A:$A,Output_Mac!J:J,""),
_xlpm.MyAuditVal,_xlfn.XLOOKUP($A286,My_Audit!$A:$A,My_Audit!H:H,""),
_xlfn.IFS(_xlpm.MyAuditVal&lt;&gt;"",UPPER(_xlpm.MyAuditVal),_xlpm.MacVal&lt;&gt;"",_xlpm.MacVal,_xlpm.CSVVal&lt;&gt;"",_xlpm.CSVVal
)),"")</f>
        <v/>
      </c>
      <c r="J286" s="45" t="str" cm="1">
        <f t="array" ref="J286">IFERROR(_xlfn.LET(
_xlpm.CSVVal,_xlfn.XLOOKUP($A286,CSV!$A:$A,CSV!J:J,""),
_xlpm.MacVal,_xlfn.XLOOKUP($A286,Output_Mac!$A:$A,Output_Mac!K:K,""),
_xlpm.MyAuditVal,_xlfn.XLOOKUP($A286,My_Audit!$A:$A,My_Audit!I:I,""),
_xlfn.IFS(_xlpm.MyAuditVal&lt;&gt;"",UPPER(_xlpm.MyAuditVal),_xlpm.MacVal&lt;&gt;"",_xlpm.MacVal,_xlpm.CSVVal&lt;&gt;"",_xlpm.CSVVal
)),"")</f>
        <v/>
      </c>
      <c r="K286" s="45" t="str" cm="1">
        <f t="array" ref="K286">IFERROR(_xlfn.LET(
_xlpm.CSVVal,_xlfn.XLOOKUP($A286,CSV!$A:$A,CSV!N:N,""),
_xlpm.MacVal,_xlfn.XLOOKUP($A286,Output_Mac!$A:$A,Output_Mac!L:L,""),
_xlpm.MyAuditVal,_xlfn.XLOOKUP($A286,My_Audit!$A:$A,My_Audit!J:J,""),
_xlfn.IFS(_xlpm.MyAuditVal&lt;&gt;"",UPPER(_xlpm.MyAuditVal),_xlpm.MacVal&lt;&gt;"",_xlpm.MacVal,_xlpm.CSVVal&lt;&gt;"",_xlpm.CSVVal
)),"")</f>
        <v/>
      </c>
      <c r="L286" s="46" t="str" cm="1">
        <f t="array" ref="L286">IFERROR(_xlfn.LET(
_xlpm.CSVVal,_xlfn.XLOOKUP($A286,CSV!$A:$A,CSV!Q:Q,""),
_xlpm.MacVal,_xlfn.XLOOKUP($A286,Output_Mac!$A:$A,Output_Mac!M:M,""),
_xlpm.MyAuditVal,_xlfn.XLOOKUP($A286,My_Audit!$A:$A,My_Audit!K:K,""),
_xlfn.IFS(_xlpm.MyAuditVal&lt;&gt;"",UPPER(_xlpm.MyAuditVal),_xlpm.MacVal&lt;&gt;"",_xlpm.MacVal,_xlpm.CSVVal&lt;&gt;"",_xlpm.CSVVal
)),"")</f>
        <v/>
      </c>
      <c r="M286" s="45" t="str">
        <f>_xlfn.LET(
    _xlpm.CSVVal, _xlfn.XLOOKUP($A286, CSV!$A:$A, CSV!AE:AE, ""),
    _xlpm.MacVal, _xlfn.XLOOKUP($A286, Output_Mac!$A:$A, Output_Mac!S:S, ""),
    _xlpm.MyAuditVal, _xlfn.XLOOKUP($A286, My_Audit!$A:$A, My_Audit!N:N, ""),
    _xlfn.TEXTJOIN(", ", TRUE, _xlpm.MyAuditVal, _xlpm.MacVal, _xlpm.CSVVal)
)</f>
        <v/>
      </c>
      <c r="N286" s="45" t="str" cm="1">
        <f t="array" ref="N286">IFERROR(_xlfn.LET(
_xlpm.CSVVal,_xlfn.XLOOKUP($A286,CSV!$A:$A,CSV!AG:AG,""),
_xlpm.MacVal,_xlfn.XLOOKUP($A286,Output_Mac!$A:$A,Output_Mac!U:U,""),
_xlpm.MyAuditVal,_xlfn.XLOOKUP($A286,My_Audit!$A:$A,My_Audit!O:O,""),
_xlfn.IFS(_xlpm.MyAuditVal&lt;&gt;"",UPPER(_xlpm.MyAuditVal),_xlpm.MacVal&lt;&gt;"",_xlpm.MacVal,_xlpm.CSVVal&lt;&gt;"",_xlpm.CSVVal
)),"")</f>
        <v/>
      </c>
      <c r="O286" s="46" t="str">
        <f>_xlfn.XLOOKUP(C286,My_Audit!B:B,My_Audit!P:P,"")&amp;""</f>
        <v/>
      </c>
      <c r="P286" s="45"/>
      <c r="Q286" s="46" t="str">
        <f>IF(LEFT(N286,4)="Pass","Nist SP 800-88",My_Audit!R286)&amp;""</f>
        <v/>
      </c>
      <c r="R286" s="45"/>
      <c r="S286" s="45"/>
      <c r="T286" s="46" t="str">
        <f>_xlfn.XLOOKUP(E286,Models!I:I,Models!J:J,"")</f>
        <v/>
      </c>
      <c r="U286" s="45"/>
      <c r="V286" s="45"/>
      <c r="W286" s="38"/>
    </row>
    <row r="287" spans="1:23">
      <c r="A287" s="45" t="str">
        <f>_xlfn.TEXTJOIN("",TRUE,Input!$B$2,ROW(My_Audit!A286))</f>
        <v>XX286</v>
      </c>
      <c r="B287" s="45" t="str">
        <f>_xlfn.TEXTJOIN("-",TRUE,"ITD",Input!$A$2,A287)</f>
        <v>ITD-SHRXXX-XX286</v>
      </c>
      <c r="C287" s="45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46" t="str" cm="1">
        <f t="array" ref="D287">IFERROR(_xlfn.LET(
_xlpm.CSVVal,_xlfn.XLOOKUP($A287,CSV!$A:$A,CSV!C:C,""),
_xlpm.MacVal,_xlfn.XLOOKUP($A287,Output_Mac!$A:$A,Output_Mac!D:D,""),
_xlpm.MyAuditVal,_xlfn.XLOOKUP($A287,My_Audit!$A:$A,My_Audit!C:C,""),
_xlfn.IFS(_xlpm.MyAuditVal&lt;&gt;"",UPPER(_xlpm.MyAuditVal),_xlpm.MacVal&lt;&gt;"",_xlpm.MacVal,_xlpm.CSVVal&lt;&gt;"",_xlpm.CSVVal
)),"")</f>
        <v/>
      </c>
      <c r="E287" s="46" t="str" cm="1">
        <f t="array" ref="E287">IFERROR(_xlfn.LET(
_xlpm.CSVVal,_xlfn.XLOOKUP($A287,CSV!$A:$A,CSV!E:E,""),
_xlpm.MacVal,_xlfn.XLOOKUP($A287,Output_Mac!$A:$A,Output_Mac!C:C,""),
_xlpm.MyAuditVal,_xlfn.XLOOKUP($A287,My_Audit!$A:$A,My_Audit!D:D,""),
_xlfn.IFS(_xlpm.MyAuditVal&lt;&gt;"",_xlpm.MyAuditVal,_xlpm.MacVal&lt;&gt;"",_xlpm.MacVal,_xlpm.CSVVal&lt;&gt;"",_xlpm.CSVVal
)),"")</f>
        <v/>
      </c>
      <c r="F287" s="45" t="str" cm="1">
        <f t="array" ref="F287">IFERROR(_xlfn.LET(
_xlpm.CSVVal,_xlfn.XLOOKUP($A287,CSV!$A:$A,CSV!F:F,""),
_xlpm.MacVal,_xlfn.XLOOKUP($A287,Output_Mac!$A:$A,Output_Mac!F:F,""),
_xlpm.MyAuditVal,_xlfn.XLOOKUP($A287,My_Audit!$A:$A,My_Audit!E:E,""),
_xlfn.IFS(_xlpm.MyAuditVal&lt;&gt;"",_xlpm.MyAuditVal,_xlpm.MacVal&lt;&gt;"",_xlpm.MacVal,_xlpm.CSVVal&lt;&gt;"",PROPER(_xlpm.CSVVal)
)),"")</f>
        <v/>
      </c>
      <c r="G287" s="45" t="str" cm="1">
        <f t="array" ref="G287">IFERROR(_xlfn.LET(
_xlpm.CSVVal,_xlfn.XLOOKUP($A287,CSV!$A:$A,CSV!G:G,""),
_xlpm.MacVal,_xlfn.XLOOKUP($A287,Output_Mac!$A:$A,Output_Mac!H:H,""),
_xlpm.MyAuditVal,_xlfn.XLOOKUP($A287,My_Audit!$A:$A,My_Audit!F:F,""),
_xlfn.IFS(_xlpm.MyAuditVal&lt;&gt;"",_xlpm.MyAuditVal,_xlpm.MacVal&lt;&gt;"",_xlpm.MacVal,_xlpm.CSVVal&lt;&gt;"",_xlpm.CSVVal
)),"")</f>
        <v/>
      </c>
      <c r="H287" s="45" t="str">
        <f>_xlfn.XLOOKUP(A287,Output_Mac!A:A,Output_Mac!I:I,"")</f>
        <v/>
      </c>
      <c r="I287" s="45" t="str" cm="1">
        <f t="array" ref="I287">IFERROR(_xlfn.LET(
_xlpm.CSVVal,_xlfn.XLOOKUP($A287,CSV!$A:$A,CSV!H:H,""),
_xlpm.MacVal,_xlfn.XLOOKUP($A287,Output_Mac!$A:$A,Output_Mac!J:J,""),
_xlpm.MyAuditVal,_xlfn.XLOOKUP($A287,My_Audit!$A:$A,My_Audit!H:H,""),
_xlfn.IFS(_xlpm.MyAuditVal&lt;&gt;"",UPPER(_xlpm.MyAuditVal),_xlpm.MacVal&lt;&gt;"",_xlpm.MacVal,_xlpm.CSVVal&lt;&gt;"",_xlpm.CSVVal
)),"")</f>
        <v/>
      </c>
      <c r="J287" s="45" t="str" cm="1">
        <f t="array" ref="J287">IFERROR(_xlfn.LET(
_xlpm.CSVVal,_xlfn.XLOOKUP($A287,CSV!$A:$A,CSV!J:J,""),
_xlpm.MacVal,_xlfn.XLOOKUP($A287,Output_Mac!$A:$A,Output_Mac!K:K,""),
_xlpm.MyAuditVal,_xlfn.XLOOKUP($A287,My_Audit!$A:$A,My_Audit!I:I,""),
_xlfn.IFS(_xlpm.MyAuditVal&lt;&gt;"",UPPER(_xlpm.MyAuditVal),_xlpm.MacVal&lt;&gt;"",_xlpm.MacVal,_xlpm.CSVVal&lt;&gt;"",_xlpm.CSVVal
)),"")</f>
        <v/>
      </c>
      <c r="K287" s="45" t="str" cm="1">
        <f t="array" ref="K287">IFERROR(_xlfn.LET(
_xlpm.CSVVal,_xlfn.XLOOKUP($A287,CSV!$A:$A,CSV!N:N,""),
_xlpm.MacVal,_xlfn.XLOOKUP($A287,Output_Mac!$A:$A,Output_Mac!L:L,""),
_xlpm.MyAuditVal,_xlfn.XLOOKUP($A287,My_Audit!$A:$A,My_Audit!J:J,""),
_xlfn.IFS(_xlpm.MyAuditVal&lt;&gt;"",UPPER(_xlpm.MyAuditVal),_xlpm.MacVal&lt;&gt;"",_xlpm.MacVal,_xlpm.CSVVal&lt;&gt;"",_xlpm.CSVVal
)),"")</f>
        <v/>
      </c>
      <c r="L287" s="46" t="str" cm="1">
        <f t="array" ref="L287">IFERROR(_xlfn.LET(
_xlpm.CSVVal,_xlfn.XLOOKUP($A287,CSV!$A:$A,CSV!Q:Q,""),
_xlpm.MacVal,_xlfn.XLOOKUP($A287,Output_Mac!$A:$A,Output_Mac!M:M,""),
_xlpm.MyAuditVal,_xlfn.XLOOKUP($A287,My_Audit!$A:$A,My_Audit!K:K,""),
_xlfn.IFS(_xlpm.MyAuditVal&lt;&gt;"",UPPER(_xlpm.MyAuditVal),_xlpm.MacVal&lt;&gt;"",_xlpm.MacVal,_xlpm.CSVVal&lt;&gt;"",_xlpm.CSVVal
)),"")</f>
        <v/>
      </c>
      <c r="M287" s="45" t="str">
        <f>_xlfn.LET(
    _xlpm.CSVVal, _xlfn.XLOOKUP($A287, CSV!$A:$A, CSV!AE:AE, ""),
    _xlpm.MacVal, _xlfn.XLOOKUP($A287, Output_Mac!$A:$A, Output_Mac!S:S, ""),
    _xlpm.MyAuditVal, _xlfn.XLOOKUP($A287, My_Audit!$A:$A, My_Audit!N:N, ""),
    _xlfn.TEXTJOIN(", ", TRUE, _xlpm.MyAuditVal, _xlpm.MacVal, _xlpm.CSVVal)
)</f>
        <v/>
      </c>
      <c r="N287" s="45" t="str" cm="1">
        <f t="array" ref="N287">IFERROR(_xlfn.LET(
_xlpm.CSVVal,_xlfn.XLOOKUP($A287,CSV!$A:$A,CSV!AG:AG,""),
_xlpm.MacVal,_xlfn.XLOOKUP($A287,Output_Mac!$A:$A,Output_Mac!U:U,""),
_xlpm.MyAuditVal,_xlfn.XLOOKUP($A287,My_Audit!$A:$A,My_Audit!O:O,""),
_xlfn.IFS(_xlpm.MyAuditVal&lt;&gt;"",UPPER(_xlpm.MyAuditVal),_xlpm.MacVal&lt;&gt;"",_xlpm.MacVal,_xlpm.CSVVal&lt;&gt;"",_xlpm.CSVVal
)),"")</f>
        <v/>
      </c>
      <c r="O287" s="46" t="str">
        <f>_xlfn.XLOOKUP(C287,My_Audit!B:B,My_Audit!P:P,"")&amp;""</f>
        <v/>
      </c>
      <c r="P287" s="45"/>
      <c r="Q287" s="46" t="str">
        <f>IF(LEFT(N287,4)="Pass","Nist SP 800-88",My_Audit!R287)&amp;""</f>
        <v/>
      </c>
      <c r="R287" s="45"/>
      <c r="S287" s="45"/>
      <c r="T287" s="46" t="str">
        <f>_xlfn.XLOOKUP(E287,Models!I:I,Models!J:J,"")</f>
        <v/>
      </c>
      <c r="U287" s="45"/>
      <c r="V287" s="45"/>
      <c r="W287" s="38"/>
    </row>
    <row r="288" spans="1:23">
      <c r="A288" s="45" t="str">
        <f>_xlfn.TEXTJOIN("",TRUE,Input!$B$2,ROW(My_Audit!A287))</f>
        <v>XX287</v>
      </c>
      <c r="B288" s="45" t="str">
        <f>_xlfn.TEXTJOIN("-",TRUE,"ITD",Input!$A$2,A288)</f>
        <v>ITD-SHRXXX-XX287</v>
      </c>
      <c r="C288" s="45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46" t="str" cm="1">
        <f t="array" ref="D288">IFERROR(_xlfn.LET(
_xlpm.CSVVal,_xlfn.XLOOKUP($A288,CSV!$A:$A,CSV!C:C,""),
_xlpm.MacVal,_xlfn.XLOOKUP($A288,Output_Mac!$A:$A,Output_Mac!D:D,""),
_xlpm.MyAuditVal,_xlfn.XLOOKUP($A288,My_Audit!$A:$A,My_Audit!C:C,""),
_xlfn.IFS(_xlpm.MyAuditVal&lt;&gt;"",UPPER(_xlpm.MyAuditVal),_xlpm.MacVal&lt;&gt;"",_xlpm.MacVal,_xlpm.CSVVal&lt;&gt;"",_xlpm.CSVVal
)),"")</f>
        <v/>
      </c>
      <c r="E288" s="46" t="str" cm="1">
        <f t="array" ref="E288">IFERROR(_xlfn.LET(
_xlpm.CSVVal,_xlfn.XLOOKUP($A288,CSV!$A:$A,CSV!E:E,""),
_xlpm.MacVal,_xlfn.XLOOKUP($A288,Output_Mac!$A:$A,Output_Mac!C:C,""),
_xlpm.MyAuditVal,_xlfn.XLOOKUP($A288,My_Audit!$A:$A,My_Audit!D:D,""),
_xlfn.IFS(_xlpm.MyAuditVal&lt;&gt;"",_xlpm.MyAuditVal,_xlpm.MacVal&lt;&gt;"",_xlpm.MacVal,_xlpm.CSVVal&lt;&gt;"",_xlpm.CSVVal
)),"")</f>
        <v/>
      </c>
      <c r="F288" s="45" t="str" cm="1">
        <f t="array" ref="F288">IFERROR(_xlfn.LET(
_xlpm.CSVVal,_xlfn.XLOOKUP($A288,CSV!$A:$A,CSV!F:F,""),
_xlpm.MacVal,_xlfn.XLOOKUP($A288,Output_Mac!$A:$A,Output_Mac!F:F,""),
_xlpm.MyAuditVal,_xlfn.XLOOKUP($A288,My_Audit!$A:$A,My_Audit!E:E,""),
_xlfn.IFS(_xlpm.MyAuditVal&lt;&gt;"",_xlpm.MyAuditVal,_xlpm.MacVal&lt;&gt;"",_xlpm.MacVal,_xlpm.CSVVal&lt;&gt;"",PROPER(_xlpm.CSVVal)
)),"")</f>
        <v/>
      </c>
      <c r="G288" s="45" t="str" cm="1">
        <f t="array" ref="G288">IFERROR(_xlfn.LET(
_xlpm.CSVVal,_xlfn.XLOOKUP($A288,CSV!$A:$A,CSV!G:G,""),
_xlpm.MacVal,_xlfn.XLOOKUP($A288,Output_Mac!$A:$A,Output_Mac!H:H,""),
_xlpm.MyAuditVal,_xlfn.XLOOKUP($A288,My_Audit!$A:$A,My_Audit!F:F,""),
_xlfn.IFS(_xlpm.MyAuditVal&lt;&gt;"",_xlpm.MyAuditVal,_xlpm.MacVal&lt;&gt;"",_xlpm.MacVal,_xlpm.CSVVal&lt;&gt;"",_xlpm.CSVVal
)),"")</f>
        <v/>
      </c>
      <c r="H288" s="45" t="str">
        <f>_xlfn.XLOOKUP(A288,Output_Mac!A:A,Output_Mac!I:I,"")</f>
        <v/>
      </c>
      <c r="I288" s="45" t="str" cm="1">
        <f t="array" ref="I288">IFERROR(_xlfn.LET(
_xlpm.CSVVal,_xlfn.XLOOKUP($A288,CSV!$A:$A,CSV!H:H,""),
_xlpm.MacVal,_xlfn.XLOOKUP($A288,Output_Mac!$A:$A,Output_Mac!J:J,""),
_xlpm.MyAuditVal,_xlfn.XLOOKUP($A288,My_Audit!$A:$A,My_Audit!H:H,""),
_xlfn.IFS(_xlpm.MyAuditVal&lt;&gt;"",UPPER(_xlpm.MyAuditVal),_xlpm.MacVal&lt;&gt;"",_xlpm.MacVal,_xlpm.CSVVal&lt;&gt;"",_xlpm.CSVVal
)),"")</f>
        <v/>
      </c>
      <c r="J288" s="45" t="str" cm="1">
        <f t="array" ref="J288">IFERROR(_xlfn.LET(
_xlpm.CSVVal,_xlfn.XLOOKUP($A288,CSV!$A:$A,CSV!J:J,""),
_xlpm.MacVal,_xlfn.XLOOKUP($A288,Output_Mac!$A:$A,Output_Mac!K:K,""),
_xlpm.MyAuditVal,_xlfn.XLOOKUP($A288,My_Audit!$A:$A,My_Audit!I:I,""),
_xlfn.IFS(_xlpm.MyAuditVal&lt;&gt;"",UPPER(_xlpm.MyAuditVal),_xlpm.MacVal&lt;&gt;"",_xlpm.MacVal,_xlpm.CSVVal&lt;&gt;"",_xlpm.CSVVal
)),"")</f>
        <v/>
      </c>
      <c r="K288" s="45" t="str" cm="1">
        <f t="array" ref="K288">IFERROR(_xlfn.LET(
_xlpm.CSVVal,_xlfn.XLOOKUP($A288,CSV!$A:$A,CSV!N:N,""),
_xlpm.MacVal,_xlfn.XLOOKUP($A288,Output_Mac!$A:$A,Output_Mac!L:L,""),
_xlpm.MyAuditVal,_xlfn.XLOOKUP($A288,My_Audit!$A:$A,My_Audit!J:J,""),
_xlfn.IFS(_xlpm.MyAuditVal&lt;&gt;"",UPPER(_xlpm.MyAuditVal),_xlpm.MacVal&lt;&gt;"",_xlpm.MacVal,_xlpm.CSVVal&lt;&gt;"",_xlpm.CSVVal
)),"")</f>
        <v/>
      </c>
      <c r="L288" s="46" t="str" cm="1">
        <f t="array" ref="L288">IFERROR(_xlfn.LET(
_xlpm.CSVVal,_xlfn.XLOOKUP($A288,CSV!$A:$A,CSV!Q:Q,""),
_xlpm.MacVal,_xlfn.XLOOKUP($A288,Output_Mac!$A:$A,Output_Mac!M:M,""),
_xlpm.MyAuditVal,_xlfn.XLOOKUP($A288,My_Audit!$A:$A,My_Audit!K:K,""),
_xlfn.IFS(_xlpm.MyAuditVal&lt;&gt;"",UPPER(_xlpm.MyAuditVal),_xlpm.MacVal&lt;&gt;"",_xlpm.MacVal,_xlpm.CSVVal&lt;&gt;"",_xlpm.CSVVal
)),"")</f>
        <v/>
      </c>
      <c r="M288" s="45" t="str">
        <f>_xlfn.LET(
    _xlpm.CSVVal, _xlfn.XLOOKUP($A288, CSV!$A:$A, CSV!AE:AE, ""),
    _xlpm.MacVal, _xlfn.XLOOKUP($A288, Output_Mac!$A:$A, Output_Mac!S:S, ""),
    _xlpm.MyAuditVal, _xlfn.XLOOKUP($A288, My_Audit!$A:$A, My_Audit!N:N, ""),
    _xlfn.TEXTJOIN(", ", TRUE, _xlpm.MyAuditVal, _xlpm.MacVal, _xlpm.CSVVal)
)</f>
        <v/>
      </c>
      <c r="N288" s="45" t="str" cm="1">
        <f t="array" ref="N288">IFERROR(_xlfn.LET(
_xlpm.CSVVal,_xlfn.XLOOKUP($A288,CSV!$A:$A,CSV!AG:AG,""),
_xlpm.MacVal,_xlfn.XLOOKUP($A288,Output_Mac!$A:$A,Output_Mac!U:U,""),
_xlpm.MyAuditVal,_xlfn.XLOOKUP($A288,My_Audit!$A:$A,My_Audit!O:O,""),
_xlfn.IFS(_xlpm.MyAuditVal&lt;&gt;"",UPPER(_xlpm.MyAuditVal),_xlpm.MacVal&lt;&gt;"",_xlpm.MacVal,_xlpm.CSVVal&lt;&gt;"",_xlpm.CSVVal
)),"")</f>
        <v/>
      </c>
      <c r="O288" s="46" t="str">
        <f>_xlfn.XLOOKUP(C288,My_Audit!B:B,My_Audit!P:P,"")&amp;""</f>
        <v/>
      </c>
      <c r="P288" s="45"/>
      <c r="Q288" s="46" t="str">
        <f>IF(LEFT(N288,4)="Pass","Nist SP 800-88",My_Audit!R288)&amp;""</f>
        <v/>
      </c>
      <c r="R288" s="45"/>
      <c r="S288" s="45"/>
      <c r="T288" s="46" t="str">
        <f>_xlfn.XLOOKUP(E288,Models!I:I,Models!J:J,"")</f>
        <v/>
      </c>
      <c r="U288" s="45"/>
      <c r="V288" s="45"/>
      <c r="W288" s="38"/>
    </row>
    <row r="289" spans="1:23">
      <c r="A289" s="45" t="str">
        <f>_xlfn.TEXTJOIN("",TRUE,Input!$B$2,ROW(My_Audit!A288))</f>
        <v>XX288</v>
      </c>
      <c r="B289" s="45" t="str">
        <f>_xlfn.TEXTJOIN("-",TRUE,"ITD",Input!$A$2,A289)</f>
        <v>ITD-SHRXXX-XX288</v>
      </c>
      <c r="C289" s="45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46" t="str" cm="1">
        <f t="array" ref="D289">IFERROR(_xlfn.LET(
_xlpm.CSVVal,_xlfn.XLOOKUP($A289,CSV!$A:$A,CSV!C:C,""),
_xlpm.MacVal,_xlfn.XLOOKUP($A289,Output_Mac!$A:$A,Output_Mac!D:D,""),
_xlpm.MyAuditVal,_xlfn.XLOOKUP($A289,My_Audit!$A:$A,My_Audit!C:C,""),
_xlfn.IFS(_xlpm.MyAuditVal&lt;&gt;"",UPPER(_xlpm.MyAuditVal),_xlpm.MacVal&lt;&gt;"",_xlpm.MacVal,_xlpm.CSVVal&lt;&gt;"",_xlpm.CSVVal
)),"")</f>
        <v/>
      </c>
      <c r="E289" s="46" t="str" cm="1">
        <f t="array" ref="E289">IFERROR(_xlfn.LET(
_xlpm.CSVVal,_xlfn.XLOOKUP($A289,CSV!$A:$A,CSV!E:E,""),
_xlpm.MacVal,_xlfn.XLOOKUP($A289,Output_Mac!$A:$A,Output_Mac!C:C,""),
_xlpm.MyAuditVal,_xlfn.XLOOKUP($A289,My_Audit!$A:$A,My_Audit!D:D,""),
_xlfn.IFS(_xlpm.MyAuditVal&lt;&gt;"",_xlpm.MyAuditVal,_xlpm.MacVal&lt;&gt;"",_xlpm.MacVal,_xlpm.CSVVal&lt;&gt;"",_xlpm.CSVVal
)),"")</f>
        <v/>
      </c>
      <c r="F289" s="45" t="str" cm="1">
        <f t="array" ref="F289">IFERROR(_xlfn.LET(
_xlpm.CSVVal,_xlfn.XLOOKUP($A289,CSV!$A:$A,CSV!F:F,""),
_xlpm.MacVal,_xlfn.XLOOKUP($A289,Output_Mac!$A:$A,Output_Mac!F:F,""),
_xlpm.MyAuditVal,_xlfn.XLOOKUP($A289,My_Audit!$A:$A,My_Audit!E:E,""),
_xlfn.IFS(_xlpm.MyAuditVal&lt;&gt;"",_xlpm.MyAuditVal,_xlpm.MacVal&lt;&gt;"",_xlpm.MacVal,_xlpm.CSVVal&lt;&gt;"",PROPER(_xlpm.CSVVal)
)),"")</f>
        <v/>
      </c>
      <c r="G289" s="45" t="str" cm="1">
        <f t="array" ref="G289">IFERROR(_xlfn.LET(
_xlpm.CSVVal,_xlfn.XLOOKUP($A289,CSV!$A:$A,CSV!G:G,""),
_xlpm.MacVal,_xlfn.XLOOKUP($A289,Output_Mac!$A:$A,Output_Mac!H:H,""),
_xlpm.MyAuditVal,_xlfn.XLOOKUP($A289,My_Audit!$A:$A,My_Audit!F:F,""),
_xlfn.IFS(_xlpm.MyAuditVal&lt;&gt;"",_xlpm.MyAuditVal,_xlpm.MacVal&lt;&gt;"",_xlpm.MacVal,_xlpm.CSVVal&lt;&gt;"",_xlpm.CSVVal
)),"")</f>
        <v/>
      </c>
      <c r="H289" s="45" t="str">
        <f>_xlfn.XLOOKUP(A289,Output_Mac!A:A,Output_Mac!I:I,"")</f>
        <v/>
      </c>
      <c r="I289" s="45" t="str" cm="1">
        <f t="array" ref="I289">IFERROR(_xlfn.LET(
_xlpm.CSVVal,_xlfn.XLOOKUP($A289,CSV!$A:$A,CSV!H:H,""),
_xlpm.MacVal,_xlfn.XLOOKUP($A289,Output_Mac!$A:$A,Output_Mac!J:J,""),
_xlpm.MyAuditVal,_xlfn.XLOOKUP($A289,My_Audit!$A:$A,My_Audit!H:H,""),
_xlfn.IFS(_xlpm.MyAuditVal&lt;&gt;"",UPPER(_xlpm.MyAuditVal),_xlpm.MacVal&lt;&gt;"",_xlpm.MacVal,_xlpm.CSVVal&lt;&gt;"",_xlpm.CSVVal
)),"")</f>
        <v/>
      </c>
      <c r="J289" s="45" t="str" cm="1">
        <f t="array" ref="J289">IFERROR(_xlfn.LET(
_xlpm.CSVVal,_xlfn.XLOOKUP($A289,CSV!$A:$A,CSV!J:J,""),
_xlpm.MacVal,_xlfn.XLOOKUP($A289,Output_Mac!$A:$A,Output_Mac!K:K,""),
_xlpm.MyAuditVal,_xlfn.XLOOKUP($A289,My_Audit!$A:$A,My_Audit!I:I,""),
_xlfn.IFS(_xlpm.MyAuditVal&lt;&gt;"",UPPER(_xlpm.MyAuditVal),_xlpm.MacVal&lt;&gt;"",_xlpm.MacVal,_xlpm.CSVVal&lt;&gt;"",_xlpm.CSVVal
)),"")</f>
        <v/>
      </c>
      <c r="K289" s="45" t="str" cm="1">
        <f t="array" ref="K289">IFERROR(_xlfn.LET(
_xlpm.CSVVal,_xlfn.XLOOKUP($A289,CSV!$A:$A,CSV!N:N,""),
_xlpm.MacVal,_xlfn.XLOOKUP($A289,Output_Mac!$A:$A,Output_Mac!L:L,""),
_xlpm.MyAuditVal,_xlfn.XLOOKUP($A289,My_Audit!$A:$A,My_Audit!J:J,""),
_xlfn.IFS(_xlpm.MyAuditVal&lt;&gt;"",UPPER(_xlpm.MyAuditVal),_xlpm.MacVal&lt;&gt;"",_xlpm.MacVal,_xlpm.CSVVal&lt;&gt;"",_xlpm.CSVVal
)),"")</f>
        <v/>
      </c>
      <c r="L289" s="46" t="str" cm="1">
        <f t="array" ref="L289">IFERROR(_xlfn.LET(
_xlpm.CSVVal,_xlfn.XLOOKUP($A289,CSV!$A:$A,CSV!Q:Q,""),
_xlpm.MacVal,_xlfn.XLOOKUP($A289,Output_Mac!$A:$A,Output_Mac!M:M,""),
_xlpm.MyAuditVal,_xlfn.XLOOKUP($A289,My_Audit!$A:$A,My_Audit!K:K,""),
_xlfn.IFS(_xlpm.MyAuditVal&lt;&gt;"",UPPER(_xlpm.MyAuditVal),_xlpm.MacVal&lt;&gt;"",_xlpm.MacVal,_xlpm.CSVVal&lt;&gt;"",_xlpm.CSVVal
)),"")</f>
        <v/>
      </c>
      <c r="M289" s="45" t="str">
        <f>_xlfn.LET(
    _xlpm.CSVVal, _xlfn.XLOOKUP($A289, CSV!$A:$A, CSV!AE:AE, ""),
    _xlpm.MacVal, _xlfn.XLOOKUP($A289, Output_Mac!$A:$A, Output_Mac!S:S, ""),
    _xlpm.MyAuditVal, _xlfn.XLOOKUP($A289, My_Audit!$A:$A, My_Audit!N:N, ""),
    _xlfn.TEXTJOIN(", ", TRUE, _xlpm.MyAuditVal, _xlpm.MacVal, _xlpm.CSVVal)
)</f>
        <v/>
      </c>
      <c r="N289" s="45" t="str" cm="1">
        <f t="array" ref="N289">IFERROR(_xlfn.LET(
_xlpm.CSVVal,_xlfn.XLOOKUP($A289,CSV!$A:$A,CSV!AG:AG,""),
_xlpm.MacVal,_xlfn.XLOOKUP($A289,Output_Mac!$A:$A,Output_Mac!U:U,""),
_xlpm.MyAuditVal,_xlfn.XLOOKUP($A289,My_Audit!$A:$A,My_Audit!O:O,""),
_xlfn.IFS(_xlpm.MyAuditVal&lt;&gt;"",UPPER(_xlpm.MyAuditVal),_xlpm.MacVal&lt;&gt;"",_xlpm.MacVal,_xlpm.CSVVal&lt;&gt;"",_xlpm.CSVVal
)),"")</f>
        <v/>
      </c>
      <c r="O289" s="46" t="str">
        <f>_xlfn.XLOOKUP(C289,My_Audit!B:B,My_Audit!P:P,"")&amp;""</f>
        <v/>
      </c>
      <c r="P289" s="45"/>
      <c r="Q289" s="46" t="str">
        <f>IF(LEFT(N289,4)="Pass","Nist SP 800-88",My_Audit!R289)&amp;""</f>
        <v/>
      </c>
      <c r="R289" s="45"/>
      <c r="S289" s="45"/>
      <c r="T289" s="46" t="str">
        <f>_xlfn.XLOOKUP(E289,Models!I:I,Models!J:J,"")</f>
        <v/>
      </c>
      <c r="U289" s="45"/>
      <c r="V289" s="45"/>
      <c r="W289" s="38"/>
    </row>
    <row r="290" spans="1:23">
      <c r="A290" s="45" t="str">
        <f>_xlfn.TEXTJOIN("",TRUE,Input!$B$2,ROW(My_Audit!A289))</f>
        <v>XX289</v>
      </c>
      <c r="B290" s="45" t="str">
        <f>_xlfn.TEXTJOIN("-",TRUE,"ITD",Input!$A$2,A290)</f>
        <v>ITD-SHRXXX-XX289</v>
      </c>
      <c r="C290" s="45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46" t="str" cm="1">
        <f t="array" ref="D290">IFERROR(_xlfn.LET(
_xlpm.CSVVal,_xlfn.XLOOKUP($A290,CSV!$A:$A,CSV!C:C,""),
_xlpm.MacVal,_xlfn.XLOOKUP($A290,Output_Mac!$A:$A,Output_Mac!D:D,""),
_xlpm.MyAuditVal,_xlfn.XLOOKUP($A290,My_Audit!$A:$A,My_Audit!C:C,""),
_xlfn.IFS(_xlpm.MyAuditVal&lt;&gt;"",UPPER(_xlpm.MyAuditVal),_xlpm.MacVal&lt;&gt;"",_xlpm.MacVal,_xlpm.CSVVal&lt;&gt;"",_xlpm.CSVVal
)),"")</f>
        <v/>
      </c>
      <c r="E290" s="46" t="str" cm="1">
        <f t="array" ref="E290">IFERROR(_xlfn.LET(
_xlpm.CSVVal,_xlfn.XLOOKUP($A290,CSV!$A:$A,CSV!E:E,""),
_xlpm.MacVal,_xlfn.XLOOKUP($A290,Output_Mac!$A:$A,Output_Mac!C:C,""),
_xlpm.MyAuditVal,_xlfn.XLOOKUP($A290,My_Audit!$A:$A,My_Audit!D:D,""),
_xlfn.IFS(_xlpm.MyAuditVal&lt;&gt;"",_xlpm.MyAuditVal,_xlpm.MacVal&lt;&gt;"",_xlpm.MacVal,_xlpm.CSVVal&lt;&gt;"",_xlpm.CSVVal
)),"")</f>
        <v/>
      </c>
      <c r="F290" s="45" t="str" cm="1">
        <f t="array" ref="F290">IFERROR(_xlfn.LET(
_xlpm.CSVVal,_xlfn.XLOOKUP($A290,CSV!$A:$A,CSV!F:F,""),
_xlpm.MacVal,_xlfn.XLOOKUP($A290,Output_Mac!$A:$A,Output_Mac!F:F,""),
_xlpm.MyAuditVal,_xlfn.XLOOKUP($A290,My_Audit!$A:$A,My_Audit!E:E,""),
_xlfn.IFS(_xlpm.MyAuditVal&lt;&gt;"",_xlpm.MyAuditVal,_xlpm.MacVal&lt;&gt;"",_xlpm.MacVal,_xlpm.CSVVal&lt;&gt;"",PROPER(_xlpm.CSVVal)
)),"")</f>
        <v/>
      </c>
      <c r="G290" s="45" t="str" cm="1">
        <f t="array" ref="G290">IFERROR(_xlfn.LET(
_xlpm.CSVVal,_xlfn.XLOOKUP($A290,CSV!$A:$A,CSV!G:G,""),
_xlpm.MacVal,_xlfn.XLOOKUP($A290,Output_Mac!$A:$A,Output_Mac!H:H,""),
_xlpm.MyAuditVal,_xlfn.XLOOKUP($A290,My_Audit!$A:$A,My_Audit!F:F,""),
_xlfn.IFS(_xlpm.MyAuditVal&lt;&gt;"",_xlpm.MyAuditVal,_xlpm.MacVal&lt;&gt;"",_xlpm.MacVal,_xlpm.CSVVal&lt;&gt;"",_xlpm.CSVVal
)),"")</f>
        <v/>
      </c>
      <c r="H290" s="45" t="str">
        <f>_xlfn.XLOOKUP(A290,Output_Mac!A:A,Output_Mac!I:I,"")</f>
        <v/>
      </c>
      <c r="I290" s="45" t="str" cm="1">
        <f t="array" ref="I290">IFERROR(_xlfn.LET(
_xlpm.CSVVal,_xlfn.XLOOKUP($A290,CSV!$A:$A,CSV!H:H,""),
_xlpm.MacVal,_xlfn.XLOOKUP($A290,Output_Mac!$A:$A,Output_Mac!J:J,""),
_xlpm.MyAuditVal,_xlfn.XLOOKUP($A290,My_Audit!$A:$A,My_Audit!H:H,""),
_xlfn.IFS(_xlpm.MyAuditVal&lt;&gt;"",UPPER(_xlpm.MyAuditVal),_xlpm.MacVal&lt;&gt;"",_xlpm.MacVal,_xlpm.CSVVal&lt;&gt;"",_xlpm.CSVVal
)),"")</f>
        <v/>
      </c>
      <c r="J290" s="45" t="str" cm="1">
        <f t="array" ref="J290">IFERROR(_xlfn.LET(
_xlpm.CSVVal,_xlfn.XLOOKUP($A290,CSV!$A:$A,CSV!J:J,""),
_xlpm.MacVal,_xlfn.XLOOKUP($A290,Output_Mac!$A:$A,Output_Mac!K:K,""),
_xlpm.MyAuditVal,_xlfn.XLOOKUP($A290,My_Audit!$A:$A,My_Audit!I:I,""),
_xlfn.IFS(_xlpm.MyAuditVal&lt;&gt;"",UPPER(_xlpm.MyAuditVal),_xlpm.MacVal&lt;&gt;"",_xlpm.MacVal,_xlpm.CSVVal&lt;&gt;"",_xlpm.CSVVal
)),"")</f>
        <v/>
      </c>
      <c r="K290" s="45" t="str" cm="1">
        <f t="array" ref="K290">IFERROR(_xlfn.LET(
_xlpm.CSVVal,_xlfn.XLOOKUP($A290,CSV!$A:$A,CSV!N:N,""),
_xlpm.MacVal,_xlfn.XLOOKUP($A290,Output_Mac!$A:$A,Output_Mac!L:L,""),
_xlpm.MyAuditVal,_xlfn.XLOOKUP($A290,My_Audit!$A:$A,My_Audit!J:J,""),
_xlfn.IFS(_xlpm.MyAuditVal&lt;&gt;"",UPPER(_xlpm.MyAuditVal),_xlpm.MacVal&lt;&gt;"",_xlpm.MacVal,_xlpm.CSVVal&lt;&gt;"",_xlpm.CSVVal
)),"")</f>
        <v/>
      </c>
      <c r="L290" s="46" t="str" cm="1">
        <f t="array" ref="L290">IFERROR(_xlfn.LET(
_xlpm.CSVVal,_xlfn.XLOOKUP($A290,CSV!$A:$A,CSV!Q:Q,""),
_xlpm.MacVal,_xlfn.XLOOKUP($A290,Output_Mac!$A:$A,Output_Mac!M:M,""),
_xlpm.MyAuditVal,_xlfn.XLOOKUP($A290,My_Audit!$A:$A,My_Audit!K:K,""),
_xlfn.IFS(_xlpm.MyAuditVal&lt;&gt;"",UPPER(_xlpm.MyAuditVal),_xlpm.MacVal&lt;&gt;"",_xlpm.MacVal,_xlpm.CSVVal&lt;&gt;"",_xlpm.CSVVal
)),"")</f>
        <v/>
      </c>
      <c r="M290" s="45" t="str">
        <f>_xlfn.LET(
    _xlpm.CSVVal, _xlfn.XLOOKUP($A290, CSV!$A:$A, CSV!AE:AE, ""),
    _xlpm.MacVal, _xlfn.XLOOKUP($A290, Output_Mac!$A:$A, Output_Mac!S:S, ""),
    _xlpm.MyAuditVal, _xlfn.XLOOKUP($A290, My_Audit!$A:$A, My_Audit!N:N, ""),
    _xlfn.TEXTJOIN(", ", TRUE, _xlpm.MyAuditVal, _xlpm.MacVal, _xlpm.CSVVal)
)</f>
        <v/>
      </c>
      <c r="N290" s="45" t="str" cm="1">
        <f t="array" ref="N290">IFERROR(_xlfn.LET(
_xlpm.CSVVal,_xlfn.XLOOKUP($A290,CSV!$A:$A,CSV!AG:AG,""),
_xlpm.MacVal,_xlfn.XLOOKUP($A290,Output_Mac!$A:$A,Output_Mac!U:U,""),
_xlpm.MyAuditVal,_xlfn.XLOOKUP($A290,My_Audit!$A:$A,My_Audit!O:O,""),
_xlfn.IFS(_xlpm.MyAuditVal&lt;&gt;"",UPPER(_xlpm.MyAuditVal),_xlpm.MacVal&lt;&gt;"",_xlpm.MacVal,_xlpm.CSVVal&lt;&gt;"",_xlpm.CSVVal
)),"")</f>
        <v/>
      </c>
      <c r="O290" s="46" t="str">
        <f>_xlfn.XLOOKUP(C290,My_Audit!B:B,My_Audit!P:P,"")&amp;""</f>
        <v/>
      </c>
      <c r="P290" s="45"/>
      <c r="Q290" s="46" t="str">
        <f>IF(LEFT(N290,4)="Pass","Nist SP 800-88",My_Audit!R290)&amp;""</f>
        <v/>
      </c>
      <c r="R290" s="45"/>
      <c r="S290" s="45"/>
      <c r="T290" s="46" t="str">
        <f>_xlfn.XLOOKUP(E290,Models!I:I,Models!J:J,"")</f>
        <v/>
      </c>
      <c r="U290" s="45"/>
      <c r="V290" s="45"/>
      <c r="W290" s="38"/>
    </row>
    <row r="291" spans="1:23">
      <c r="A291" s="45" t="str">
        <f>_xlfn.TEXTJOIN("",TRUE,Input!$B$2,ROW(My_Audit!A290))</f>
        <v>XX290</v>
      </c>
      <c r="B291" s="45" t="str">
        <f>_xlfn.TEXTJOIN("-",TRUE,"ITD",Input!$A$2,A291)</f>
        <v>ITD-SHRXXX-XX290</v>
      </c>
      <c r="C291" s="45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46" t="str" cm="1">
        <f t="array" ref="D291">IFERROR(_xlfn.LET(
_xlpm.CSVVal,_xlfn.XLOOKUP($A291,CSV!$A:$A,CSV!C:C,""),
_xlpm.MacVal,_xlfn.XLOOKUP($A291,Output_Mac!$A:$A,Output_Mac!D:D,""),
_xlpm.MyAuditVal,_xlfn.XLOOKUP($A291,My_Audit!$A:$A,My_Audit!C:C,""),
_xlfn.IFS(_xlpm.MyAuditVal&lt;&gt;"",UPPER(_xlpm.MyAuditVal),_xlpm.MacVal&lt;&gt;"",_xlpm.MacVal,_xlpm.CSVVal&lt;&gt;"",_xlpm.CSVVal
)),"")</f>
        <v/>
      </c>
      <c r="E291" s="46" t="str" cm="1">
        <f t="array" ref="E291">IFERROR(_xlfn.LET(
_xlpm.CSVVal,_xlfn.XLOOKUP($A291,CSV!$A:$A,CSV!E:E,""),
_xlpm.MacVal,_xlfn.XLOOKUP($A291,Output_Mac!$A:$A,Output_Mac!C:C,""),
_xlpm.MyAuditVal,_xlfn.XLOOKUP($A291,My_Audit!$A:$A,My_Audit!D:D,""),
_xlfn.IFS(_xlpm.MyAuditVal&lt;&gt;"",_xlpm.MyAuditVal,_xlpm.MacVal&lt;&gt;"",_xlpm.MacVal,_xlpm.CSVVal&lt;&gt;"",_xlpm.CSVVal
)),"")</f>
        <v/>
      </c>
      <c r="F291" s="45" t="str" cm="1">
        <f t="array" ref="F291">IFERROR(_xlfn.LET(
_xlpm.CSVVal,_xlfn.XLOOKUP($A291,CSV!$A:$A,CSV!F:F,""),
_xlpm.MacVal,_xlfn.XLOOKUP($A291,Output_Mac!$A:$A,Output_Mac!F:F,""),
_xlpm.MyAuditVal,_xlfn.XLOOKUP($A291,My_Audit!$A:$A,My_Audit!E:E,""),
_xlfn.IFS(_xlpm.MyAuditVal&lt;&gt;"",_xlpm.MyAuditVal,_xlpm.MacVal&lt;&gt;"",_xlpm.MacVal,_xlpm.CSVVal&lt;&gt;"",PROPER(_xlpm.CSVVal)
)),"")</f>
        <v/>
      </c>
      <c r="G291" s="45" t="str" cm="1">
        <f t="array" ref="G291">IFERROR(_xlfn.LET(
_xlpm.CSVVal,_xlfn.XLOOKUP($A291,CSV!$A:$A,CSV!G:G,""),
_xlpm.MacVal,_xlfn.XLOOKUP($A291,Output_Mac!$A:$A,Output_Mac!H:H,""),
_xlpm.MyAuditVal,_xlfn.XLOOKUP($A291,My_Audit!$A:$A,My_Audit!F:F,""),
_xlfn.IFS(_xlpm.MyAuditVal&lt;&gt;"",_xlpm.MyAuditVal,_xlpm.MacVal&lt;&gt;"",_xlpm.MacVal,_xlpm.CSVVal&lt;&gt;"",_xlpm.CSVVal
)),"")</f>
        <v/>
      </c>
      <c r="H291" s="45" t="str">
        <f>_xlfn.XLOOKUP(A291,Output_Mac!A:A,Output_Mac!I:I,"")</f>
        <v/>
      </c>
      <c r="I291" s="45" t="str" cm="1">
        <f t="array" ref="I291">IFERROR(_xlfn.LET(
_xlpm.CSVVal,_xlfn.XLOOKUP($A291,CSV!$A:$A,CSV!H:H,""),
_xlpm.MacVal,_xlfn.XLOOKUP($A291,Output_Mac!$A:$A,Output_Mac!J:J,""),
_xlpm.MyAuditVal,_xlfn.XLOOKUP($A291,My_Audit!$A:$A,My_Audit!H:H,""),
_xlfn.IFS(_xlpm.MyAuditVal&lt;&gt;"",UPPER(_xlpm.MyAuditVal),_xlpm.MacVal&lt;&gt;"",_xlpm.MacVal,_xlpm.CSVVal&lt;&gt;"",_xlpm.CSVVal
)),"")</f>
        <v/>
      </c>
      <c r="J291" s="45" t="str" cm="1">
        <f t="array" ref="J291">IFERROR(_xlfn.LET(
_xlpm.CSVVal,_xlfn.XLOOKUP($A291,CSV!$A:$A,CSV!J:J,""),
_xlpm.MacVal,_xlfn.XLOOKUP($A291,Output_Mac!$A:$A,Output_Mac!K:K,""),
_xlpm.MyAuditVal,_xlfn.XLOOKUP($A291,My_Audit!$A:$A,My_Audit!I:I,""),
_xlfn.IFS(_xlpm.MyAuditVal&lt;&gt;"",UPPER(_xlpm.MyAuditVal),_xlpm.MacVal&lt;&gt;"",_xlpm.MacVal,_xlpm.CSVVal&lt;&gt;"",_xlpm.CSVVal
)),"")</f>
        <v/>
      </c>
      <c r="K291" s="45" t="str" cm="1">
        <f t="array" ref="K291">IFERROR(_xlfn.LET(
_xlpm.CSVVal,_xlfn.XLOOKUP($A291,CSV!$A:$A,CSV!N:N,""),
_xlpm.MacVal,_xlfn.XLOOKUP($A291,Output_Mac!$A:$A,Output_Mac!L:L,""),
_xlpm.MyAuditVal,_xlfn.XLOOKUP($A291,My_Audit!$A:$A,My_Audit!J:J,""),
_xlfn.IFS(_xlpm.MyAuditVal&lt;&gt;"",UPPER(_xlpm.MyAuditVal),_xlpm.MacVal&lt;&gt;"",_xlpm.MacVal,_xlpm.CSVVal&lt;&gt;"",_xlpm.CSVVal
)),"")</f>
        <v/>
      </c>
      <c r="L291" s="46" t="str" cm="1">
        <f t="array" ref="L291">IFERROR(_xlfn.LET(
_xlpm.CSVVal,_xlfn.XLOOKUP($A291,CSV!$A:$A,CSV!Q:Q,""),
_xlpm.MacVal,_xlfn.XLOOKUP($A291,Output_Mac!$A:$A,Output_Mac!M:M,""),
_xlpm.MyAuditVal,_xlfn.XLOOKUP($A291,My_Audit!$A:$A,My_Audit!K:K,""),
_xlfn.IFS(_xlpm.MyAuditVal&lt;&gt;"",UPPER(_xlpm.MyAuditVal),_xlpm.MacVal&lt;&gt;"",_xlpm.MacVal,_xlpm.CSVVal&lt;&gt;"",_xlpm.CSVVal
)),"")</f>
        <v/>
      </c>
      <c r="M291" s="45" t="str">
        <f>_xlfn.LET(
    _xlpm.CSVVal, _xlfn.XLOOKUP($A291, CSV!$A:$A, CSV!AE:AE, ""),
    _xlpm.MacVal, _xlfn.XLOOKUP($A291, Output_Mac!$A:$A, Output_Mac!S:S, ""),
    _xlpm.MyAuditVal, _xlfn.XLOOKUP($A291, My_Audit!$A:$A, My_Audit!N:N, ""),
    _xlfn.TEXTJOIN(", ", TRUE, _xlpm.MyAuditVal, _xlpm.MacVal, _xlpm.CSVVal)
)</f>
        <v/>
      </c>
      <c r="N291" s="45" t="str" cm="1">
        <f t="array" ref="N291">IFERROR(_xlfn.LET(
_xlpm.CSVVal,_xlfn.XLOOKUP($A291,CSV!$A:$A,CSV!AG:AG,""),
_xlpm.MacVal,_xlfn.XLOOKUP($A291,Output_Mac!$A:$A,Output_Mac!U:U,""),
_xlpm.MyAuditVal,_xlfn.XLOOKUP($A291,My_Audit!$A:$A,My_Audit!O:O,""),
_xlfn.IFS(_xlpm.MyAuditVal&lt;&gt;"",UPPER(_xlpm.MyAuditVal),_xlpm.MacVal&lt;&gt;"",_xlpm.MacVal,_xlpm.CSVVal&lt;&gt;"",_xlpm.CSVVal
)),"")</f>
        <v/>
      </c>
      <c r="O291" s="46" t="str">
        <f>_xlfn.XLOOKUP(C291,My_Audit!B:B,My_Audit!P:P,"")&amp;""</f>
        <v/>
      </c>
      <c r="P291" s="45"/>
      <c r="Q291" s="46" t="str">
        <f>IF(LEFT(N291,4)="Pass","Nist SP 800-88",My_Audit!R291)&amp;""</f>
        <v/>
      </c>
      <c r="R291" s="45"/>
      <c r="S291" s="45"/>
      <c r="T291" s="46" t="str">
        <f>_xlfn.XLOOKUP(E291,Models!I:I,Models!J:J,"")</f>
        <v/>
      </c>
      <c r="U291" s="45"/>
      <c r="V291" s="45"/>
      <c r="W291" s="38"/>
    </row>
    <row r="292" spans="1:23">
      <c r="A292" s="45" t="str">
        <f>_xlfn.TEXTJOIN("",TRUE,Input!$B$2,ROW(My_Audit!A291))</f>
        <v>XX291</v>
      </c>
      <c r="B292" s="45" t="str">
        <f>_xlfn.TEXTJOIN("-",TRUE,"ITD",Input!$A$2,A292)</f>
        <v>ITD-SHRXXX-XX291</v>
      </c>
      <c r="C292" s="45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46" t="str" cm="1">
        <f t="array" ref="D292">IFERROR(_xlfn.LET(
_xlpm.CSVVal,_xlfn.XLOOKUP($A292,CSV!$A:$A,CSV!C:C,""),
_xlpm.MacVal,_xlfn.XLOOKUP($A292,Output_Mac!$A:$A,Output_Mac!D:D,""),
_xlpm.MyAuditVal,_xlfn.XLOOKUP($A292,My_Audit!$A:$A,My_Audit!C:C,""),
_xlfn.IFS(_xlpm.MyAuditVal&lt;&gt;"",UPPER(_xlpm.MyAuditVal),_xlpm.MacVal&lt;&gt;"",_xlpm.MacVal,_xlpm.CSVVal&lt;&gt;"",_xlpm.CSVVal
)),"")</f>
        <v/>
      </c>
      <c r="E292" s="46" t="str" cm="1">
        <f t="array" ref="E292">IFERROR(_xlfn.LET(
_xlpm.CSVVal,_xlfn.XLOOKUP($A292,CSV!$A:$A,CSV!E:E,""),
_xlpm.MacVal,_xlfn.XLOOKUP($A292,Output_Mac!$A:$A,Output_Mac!C:C,""),
_xlpm.MyAuditVal,_xlfn.XLOOKUP($A292,My_Audit!$A:$A,My_Audit!D:D,""),
_xlfn.IFS(_xlpm.MyAuditVal&lt;&gt;"",_xlpm.MyAuditVal,_xlpm.MacVal&lt;&gt;"",_xlpm.MacVal,_xlpm.CSVVal&lt;&gt;"",_xlpm.CSVVal
)),"")</f>
        <v/>
      </c>
      <c r="F292" s="45" t="str" cm="1">
        <f t="array" ref="F292">IFERROR(_xlfn.LET(
_xlpm.CSVVal,_xlfn.XLOOKUP($A292,CSV!$A:$A,CSV!F:F,""),
_xlpm.MacVal,_xlfn.XLOOKUP($A292,Output_Mac!$A:$A,Output_Mac!F:F,""),
_xlpm.MyAuditVal,_xlfn.XLOOKUP($A292,My_Audit!$A:$A,My_Audit!E:E,""),
_xlfn.IFS(_xlpm.MyAuditVal&lt;&gt;"",_xlpm.MyAuditVal,_xlpm.MacVal&lt;&gt;"",_xlpm.MacVal,_xlpm.CSVVal&lt;&gt;"",PROPER(_xlpm.CSVVal)
)),"")</f>
        <v/>
      </c>
      <c r="G292" s="45" t="str" cm="1">
        <f t="array" ref="G292">IFERROR(_xlfn.LET(
_xlpm.CSVVal,_xlfn.XLOOKUP($A292,CSV!$A:$A,CSV!G:G,""),
_xlpm.MacVal,_xlfn.XLOOKUP($A292,Output_Mac!$A:$A,Output_Mac!H:H,""),
_xlpm.MyAuditVal,_xlfn.XLOOKUP($A292,My_Audit!$A:$A,My_Audit!F:F,""),
_xlfn.IFS(_xlpm.MyAuditVal&lt;&gt;"",_xlpm.MyAuditVal,_xlpm.MacVal&lt;&gt;"",_xlpm.MacVal,_xlpm.CSVVal&lt;&gt;"",_xlpm.CSVVal
)),"")</f>
        <v/>
      </c>
      <c r="H292" s="45" t="str">
        <f>_xlfn.XLOOKUP(A292,Output_Mac!A:A,Output_Mac!I:I,"")</f>
        <v/>
      </c>
      <c r="I292" s="45" t="str" cm="1">
        <f t="array" ref="I292">IFERROR(_xlfn.LET(
_xlpm.CSVVal,_xlfn.XLOOKUP($A292,CSV!$A:$A,CSV!H:H,""),
_xlpm.MacVal,_xlfn.XLOOKUP($A292,Output_Mac!$A:$A,Output_Mac!J:J,""),
_xlpm.MyAuditVal,_xlfn.XLOOKUP($A292,My_Audit!$A:$A,My_Audit!H:H,""),
_xlfn.IFS(_xlpm.MyAuditVal&lt;&gt;"",UPPER(_xlpm.MyAuditVal),_xlpm.MacVal&lt;&gt;"",_xlpm.MacVal,_xlpm.CSVVal&lt;&gt;"",_xlpm.CSVVal
)),"")</f>
        <v/>
      </c>
      <c r="J292" s="45" t="str" cm="1">
        <f t="array" ref="J292">IFERROR(_xlfn.LET(
_xlpm.CSVVal,_xlfn.XLOOKUP($A292,CSV!$A:$A,CSV!J:J,""),
_xlpm.MacVal,_xlfn.XLOOKUP($A292,Output_Mac!$A:$A,Output_Mac!K:K,""),
_xlpm.MyAuditVal,_xlfn.XLOOKUP($A292,My_Audit!$A:$A,My_Audit!I:I,""),
_xlfn.IFS(_xlpm.MyAuditVal&lt;&gt;"",UPPER(_xlpm.MyAuditVal),_xlpm.MacVal&lt;&gt;"",_xlpm.MacVal,_xlpm.CSVVal&lt;&gt;"",_xlpm.CSVVal
)),"")</f>
        <v/>
      </c>
      <c r="K292" s="45" t="str" cm="1">
        <f t="array" ref="K292">IFERROR(_xlfn.LET(
_xlpm.CSVVal,_xlfn.XLOOKUP($A292,CSV!$A:$A,CSV!N:N,""),
_xlpm.MacVal,_xlfn.XLOOKUP($A292,Output_Mac!$A:$A,Output_Mac!L:L,""),
_xlpm.MyAuditVal,_xlfn.XLOOKUP($A292,My_Audit!$A:$A,My_Audit!J:J,""),
_xlfn.IFS(_xlpm.MyAuditVal&lt;&gt;"",UPPER(_xlpm.MyAuditVal),_xlpm.MacVal&lt;&gt;"",_xlpm.MacVal,_xlpm.CSVVal&lt;&gt;"",_xlpm.CSVVal
)),"")</f>
        <v/>
      </c>
      <c r="L292" s="46" t="str" cm="1">
        <f t="array" ref="L292">IFERROR(_xlfn.LET(
_xlpm.CSVVal,_xlfn.XLOOKUP($A292,CSV!$A:$A,CSV!Q:Q,""),
_xlpm.MacVal,_xlfn.XLOOKUP($A292,Output_Mac!$A:$A,Output_Mac!M:M,""),
_xlpm.MyAuditVal,_xlfn.XLOOKUP($A292,My_Audit!$A:$A,My_Audit!K:K,""),
_xlfn.IFS(_xlpm.MyAuditVal&lt;&gt;"",UPPER(_xlpm.MyAuditVal),_xlpm.MacVal&lt;&gt;"",_xlpm.MacVal,_xlpm.CSVVal&lt;&gt;"",_xlpm.CSVVal
)),"")</f>
        <v/>
      </c>
      <c r="M292" s="45" t="str">
        <f>_xlfn.LET(
    _xlpm.CSVVal, _xlfn.XLOOKUP($A292, CSV!$A:$A, CSV!AE:AE, ""),
    _xlpm.MacVal, _xlfn.XLOOKUP($A292, Output_Mac!$A:$A, Output_Mac!S:S, ""),
    _xlpm.MyAuditVal, _xlfn.XLOOKUP($A292, My_Audit!$A:$A, My_Audit!N:N, ""),
    _xlfn.TEXTJOIN(", ", TRUE, _xlpm.MyAuditVal, _xlpm.MacVal, _xlpm.CSVVal)
)</f>
        <v/>
      </c>
      <c r="N292" s="45" t="str" cm="1">
        <f t="array" ref="N292">IFERROR(_xlfn.LET(
_xlpm.CSVVal,_xlfn.XLOOKUP($A292,CSV!$A:$A,CSV!AG:AG,""),
_xlpm.MacVal,_xlfn.XLOOKUP($A292,Output_Mac!$A:$A,Output_Mac!U:U,""),
_xlpm.MyAuditVal,_xlfn.XLOOKUP($A292,My_Audit!$A:$A,My_Audit!O:O,""),
_xlfn.IFS(_xlpm.MyAuditVal&lt;&gt;"",UPPER(_xlpm.MyAuditVal),_xlpm.MacVal&lt;&gt;"",_xlpm.MacVal,_xlpm.CSVVal&lt;&gt;"",_xlpm.CSVVal
)),"")</f>
        <v/>
      </c>
      <c r="O292" s="46" t="str">
        <f>_xlfn.XLOOKUP(C292,My_Audit!B:B,My_Audit!P:P,"")&amp;""</f>
        <v/>
      </c>
      <c r="P292" s="45"/>
      <c r="Q292" s="46" t="str">
        <f>IF(LEFT(N292,4)="Pass","Nist SP 800-88",My_Audit!R292)&amp;""</f>
        <v/>
      </c>
      <c r="R292" s="45"/>
      <c r="S292" s="45"/>
      <c r="T292" s="46" t="str">
        <f>_xlfn.XLOOKUP(E292,Models!I:I,Models!J:J,"")</f>
        <v/>
      </c>
      <c r="U292" s="45"/>
      <c r="V292" s="45"/>
      <c r="W292" s="38"/>
    </row>
    <row r="293" spans="1:23">
      <c r="A293" s="45" t="str">
        <f>_xlfn.TEXTJOIN("",TRUE,Input!$B$2,ROW(My_Audit!A292))</f>
        <v>XX292</v>
      </c>
      <c r="B293" s="45" t="str">
        <f>_xlfn.TEXTJOIN("-",TRUE,"ITD",Input!$A$2,A293)</f>
        <v>ITD-SHRXXX-XX292</v>
      </c>
      <c r="C293" s="45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46" t="str" cm="1">
        <f t="array" ref="D293">IFERROR(_xlfn.LET(
_xlpm.CSVVal,_xlfn.XLOOKUP($A293,CSV!$A:$A,CSV!C:C,""),
_xlpm.MacVal,_xlfn.XLOOKUP($A293,Output_Mac!$A:$A,Output_Mac!D:D,""),
_xlpm.MyAuditVal,_xlfn.XLOOKUP($A293,My_Audit!$A:$A,My_Audit!C:C,""),
_xlfn.IFS(_xlpm.MyAuditVal&lt;&gt;"",UPPER(_xlpm.MyAuditVal),_xlpm.MacVal&lt;&gt;"",_xlpm.MacVal,_xlpm.CSVVal&lt;&gt;"",_xlpm.CSVVal
)),"")</f>
        <v/>
      </c>
      <c r="E293" s="46" t="str" cm="1">
        <f t="array" ref="E293">IFERROR(_xlfn.LET(
_xlpm.CSVVal,_xlfn.XLOOKUP($A293,CSV!$A:$A,CSV!E:E,""),
_xlpm.MacVal,_xlfn.XLOOKUP($A293,Output_Mac!$A:$A,Output_Mac!C:C,""),
_xlpm.MyAuditVal,_xlfn.XLOOKUP($A293,My_Audit!$A:$A,My_Audit!D:D,""),
_xlfn.IFS(_xlpm.MyAuditVal&lt;&gt;"",_xlpm.MyAuditVal,_xlpm.MacVal&lt;&gt;"",_xlpm.MacVal,_xlpm.CSVVal&lt;&gt;"",_xlpm.CSVVal
)),"")</f>
        <v/>
      </c>
      <c r="F293" s="45" t="str" cm="1">
        <f t="array" ref="F293">IFERROR(_xlfn.LET(
_xlpm.CSVVal,_xlfn.XLOOKUP($A293,CSV!$A:$A,CSV!F:F,""),
_xlpm.MacVal,_xlfn.XLOOKUP($A293,Output_Mac!$A:$A,Output_Mac!F:F,""),
_xlpm.MyAuditVal,_xlfn.XLOOKUP($A293,My_Audit!$A:$A,My_Audit!E:E,""),
_xlfn.IFS(_xlpm.MyAuditVal&lt;&gt;"",_xlpm.MyAuditVal,_xlpm.MacVal&lt;&gt;"",_xlpm.MacVal,_xlpm.CSVVal&lt;&gt;"",PROPER(_xlpm.CSVVal)
)),"")</f>
        <v/>
      </c>
      <c r="G293" s="45" t="str" cm="1">
        <f t="array" ref="G293">IFERROR(_xlfn.LET(
_xlpm.CSVVal,_xlfn.XLOOKUP($A293,CSV!$A:$A,CSV!G:G,""),
_xlpm.MacVal,_xlfn.XLOOKUP($A293,Output_Mac!$A:$A,Output_Mac!H:H,""),
_xlpm.MyAuditVal,_xlfn.XLOOKUP($A293,My_Audit!$A:$A,My_Audit!F:F,""),
_xlfn.IFS(_xlpm.MyAuditVal&lt;&gt;"",_xlpm.MyAuditVal,_xlpm.MacVal&lt;&gt;"",_xlpm.MacVal,_xlpm.CSVVal&lt;&gt;"",_xlpm.CSVVal
)),"")</f>
        <v/>
      </c>
      <c r="H293" s="45" t="str">
        <f>_xlfn.XLOOKUP(A293,Output_Mac!A:A,Output_Mac!I:I,"")</f>
        <v/>
      </c>
      <c r="I293" s="45" t="str" cm="1">
        <f t="array" ref="I293">IFERROR(_xlfn.LET(
_xlpm.CSVVal,_xlfn.XLOOKUP($A293,CSV!$A:$A,CSV!H:H,""),
_xlpm.MacVal,_xlfn.XLOOKUP($A293,Output_Mac!$A:$A,Output_Mac!J:J,""),
_xlpm.MyAuditVal,_xlfn.XLOOKUP($A293,My_Audit!$A:$A,My_Audit!H:H,""),
_xlfn.IFS(_xlpm.MyAuditVal&lt;&gt;"",UPPER(_xlpm.MyAuditVal),_xlpm.MacVal&lt;&gt;"",_xlpm.MacVal,_xlpm.CSVVal&lt;&gt;"",_xlpm.CSVVal
)),"")</f>
        <v/>
      </c>
      <c r="J293" s="45" t="str" cm="1">
        <f t="array" ref="J293">IFERROR(_xlfn.LET(
_xlpm.CSVVal,_xlfn.XLOOKUP($A293,CSV!$A:$A,CSV!J:J,""),
_xlpm.MacVal,_xlfn.XLOOKUP($A293,Output_Mac!$A:$A,Output_Mac!K:K,""),
_xlpm.MyAuditVal,_xlfn.XLOOKUP($A293,My_Audit!$A:$A,My_Audit!I:I,""),
_xlfn.IFS(_xlpm.MyAuditVal&lt;&gt;"",UPPER(_xlpm.MyAuditVal),_xlpm.MacVal&lt;&gt;"",_xlpm.MacVal,_xlpm.CSVVal&lt;&gt;"",_xlpm.CSVVal
)),"")</f>
        <v/>
      </c>
      <c r="K293" s="45" t="str" cm="1">
        <f t="array" ref="K293">IFERROR(_xlfn.LET(
_xlpm.CSVVal,_xlfn.XLOOKUP($A293,CSV!$A:$A,CSV!N:N,""),
_xlpm.MacVal,_xlfn.XLOOKUP($A293,Output_Mac!$A:$A,Output_Mac!L:L,""),
_xlpm.MyAuditVal,_xlfn.XLOOKUP($A293,My_Audit!$A:$A,My_Audit!J:J,""),
_xlfn.IFS(_xlpm.MyAuditVal&lt;&gt;"",UPPER(_xlpm.MyAuditVal),_xlpm.MacVal&lt;&gt;"",_xlpm.MacVal,_xlpm.CSVVal&lt;&gt;"",_xlpm.CSVVal
)),"")</f>
        <v/>
      </c>
      <c r="L293" s="46" t="str" cm="1">
        <f t="array" ref="L293">IFERROR(_xlfn.LET(
_xlpm.CSVVal,_xlfn.XLOOKUP($A293,CSV!$A:$A,CSV!Q:Q,""),
_xlpm.MacVal,_xlfn.XLOOKUP($A293,Output_Mac!$A:$A,Output_Mac!M:M,""),
_xlpm.MyAuditVal,_xlfn.XLOOKUP($A293,My_Audit!$A:$A,My_Audit!K:K,""),
_xlfn.IFS(_xlpm.MyAuditVal&lt;&gt;"",UPPER(_xlpm.MyAuditVal),_xlpm.MacVal&lt;&gt;"",_xlpm.MacVal,_xlpm.CSVVal&lt;&gt;"",_xlpm.CSVVal
)),"")</f>
        <v/>
      </c>
      <c r="M293" s="45" t="str">
        <f>_xlfn.LET(
    _xlpm.CSVVal, _xlfn.XLOOKUP($A293, CSV!$A:$A, CSV!AE:AE, ""),
    _xlpm.MacVal, _xlfn.XLOOKUP($A293, Output_Mac!$A:$A, Output_Mac!S:S, ""),
    _xlpm.MyAuditVal, _xlfn.XLOOKUP($A293, My_Audit!$A:$A, My_Audit!N:N, ""),
    _xlfn.TEXTJOIN(", ", TRUE, _xlpm.MyAuditVal, _xlpm.MacVal, _xlpm.CSVVal)
)</f>
        <v/>
      </c>
      <c r="N293" s="45" t="str" cm="1">
        <f t="array" ref="N293">IFERROR(_xlfn.LET(
_xlpm.CSVVal,_xlfn.XLOOKUP($A293,CSV!$A:$A,CSV!AG:AG,""),
_xlpm.MacVal,_xlfn.XLOOKUP($A293,Output_Mac!$A:$A,Output_Mac!U:U,""),
_xlpm.MyAuditVal,_xlfn.XLOOKUP($A293,My_Audit!$A:$A,My_Audit!O:O,""),
_xlfn.IFS(_xlpm.MyAuditVal&lt;&gt;"",UPPER(_xlpm.MyAuditVal),_xlpm.MacVal&lt;&gt;"",_xlpm.MacVal,_xlpm.CSVVal&lt;&gt;"",_xlpm.CSVVal
)),"")</f>
        <v/>
      </c>
      <c r="O293" s="46" t="str">
        <f>_xlfn.XLOOKUP(C293,My_Audit!B:B,My_Audit!P:P,"")&amp;""</f>
        <v/>
      </c>
      <c r="P293" s="45"/>
      <c r="Q293" s="46" t="str">
        <f>IF(LEFT(N293,4)="Pass","Nist SP 800-88",My_Audit!R293)&amp;""</f>
        <v/>
      </c>
      <c r="R293" s="45"/>
      <c r="S293" s="45"/>
      <c r="T293" s="46" t="str">
        <f>_xlfn.XLOOKUP(E293,Models!I:I,Models!J:J,"")</f>
        <v/>
      </c>
      <c r="U293" s="45"/>
      <c r="V293" s="45"/>
      <c r="W293" s="38"/>
    </row>
    <row r="294" spans="1:23">
      <c r="A294" s="45" t="str">
        <f>_xlfn.TEXTJOIN("",TRUE,Input!$B$2,ROW(My_Audit!A293))</f>
        <v>XX293</v>
      </c>
      <c r="B294" s="45" t="str">
        <f>_xlfn.TEXTJOIN("-",TRUE,"ITD",Input!$A$2,A294)</f>
        <v>ITD-SHRXXX-XX293</v>
      </c>
      <c r="C294" s="45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46" t="str" cm="1">
        <f t="array" ref="D294">IFERROR(_xlfn.LET(
_xlpm.CSVVal,_xlfn.XLOOKUP($A294,CSV!$A:$A,CSV!C:C,""),
_xlpm.MacVal,_xlfn.XLOOKUP($A294,Output_Mac!$A:$A,Output_Mac!D:D,""),
_xlpm.MyAuditVal,_xlfn.XLOOKUP($A294,My_Audit!$A:$A,My_Audit!C:C,""),
_xlfn.IFS(_xlpm.MyAuditVal&lt;&gt;"",UPPER(_xlpm.MyAuditVal),_xlpm.MacVal&lt;&gt;"",_xlpm.MacVal,_xlpm.CSVVal&lt;&gt;"",_xlpm.CSVVal
)),"")</f>
        <v/>
      </c>
      <c r="E294" s="46" t="str" cm="1">
        <f t="array" ref="E294">IFERROR(_xlfn.LET(
_xlpm.CSVVal,_xlfn.XLOOKUP($A294,CSV!$A:$A,CSV!E:E,""),
_xlpm.MacVal,_xlfn.XLOOKUP($A294,Output_Mac!$A:$A,Output_Mac!C:C,""),
_xlpm.MyAuditVal,_xlfn.XLOOKUP($A294,My_Audit!$A:$A,My_Audit!D:D,""),
_xlfn.IFS(_xlpm.MyAuditVal&lt;&gt;"",_xlpm.MyAuditVal,_xlpm.MacVal&lt;&gt;"",_xlpm.MacVal,_xlpm.CSVVal&lt;&gt;"",_xlpm.CSVVal
)),"")</f>
        <v/>
      </c>
      <c r="F294" s="45" t="str" cm="1">
        <f t="array" ref="F294">IFERROR(_xlfn.LET(
_xlpm.CSVVal,_xlfn.XLOOKUP($A294,CSV!$A:$A,CSV!F:F,""),
_xlpm.MacVal,_xlfn.XLOOKUP($A294,Output_Mac!$A:$A,Output_Mac!F:F,""),
_xlpm.MyAuditVal,_xlfn.XLOOKUP($A294,My_Audit!$A:$A,My_Audit!E:E,""),
_xlfn.IFS(_xlpm.MyAuditVal&lt;&gt;"",_xlpm.MyAuditVal,_xlpm.MacVal&lt;&gt;"",_xlpm.MacVal,_xlpm.CSVVal&lt;&gt;"",PROPER(_xlpm.CSVVal)
)),"")</f>
        <v/>
      </c>
      <c r="G294" s="45" t="str" cm="1">
        <f t="array" ref="G294">IFERROR(_xlfn.LET(
_xlpm.CSVVal,_xlfn.XLOOKUP($A294,CSV!$A:$A,CSV!G:G,""),
_xlpm.MacVal,_xlfn.XLOOKUP($A294,Output_Mac!$A:$A,Output_Mac!H:H,""),
_xlpm.MyAuditVal,_xlfn.XLOOKUP($A294,My_Audit!$A:$A,My_Audit!F:F,""),
_xlfn.IFS(_xlpm.MyAuditVal&lt;&gt;"",_xlpm.MyAuditVal,_xlpm.MacVal&lt;&gt;"",_xlpm.MacVal,_xlpm.CSVVal&lt;&gt;"",_xlpm.CSVVal
)),"")</f>
        <v/>
      </c>
      <c r="H294" s="45" t="str">
        <f>_xlfn.XLOOKUP(A294,Output_Mac!A:A,Output_Mac!I:I,"")</f>
        <v/>
      </c>
      <c r="I294" s="45" t="str" cm="1">
        <f t="array" ref="I294">IFERROR(_xlfn.LET(
_xlpm.CSVVal,_xlfn.XLOOKUP($A294,CSV!$A:$A,CSV!H:H,""),
_xlpm.MacVal,_xlfn.XLOOKUP($A294,Output_Mac!$A:$A,Output_Mac!J:J,""),
_xlpm.MyAuditVal,_xlfn.XLOOKUP($A294,My_Audit!$A:$A,My_Audit!H:H,""),
_xlfn.IFS(_xlpm.MyAuditVal&lt;&gt;"",UPPER(_xlpm.MyAuditVal),_xlpm.MacVal&lt;&gt;"",_xlpm.MacVal,_xlpm.CSVVal&lt;&gt;"",_xlpm.CSVVal
)),"")</f>
        <v/>
      </c>
      <c r="J294" s="45" t="str" cm="1">
        <f t="array" ref="J294">IFERROR(_xlfn.LET(
_xlpm.CSVVal,_xlfn.XLOOKUP($A294,CSV!$A:$A,CSV!J:J,""),
_xlpm.MacVal,_xlfn.XLOOKUP($A294,Output_Mac!$A:$A,Output_Mac!K:K,""),
_xlpm.MyAuditVal,_xlfn.XLOOKUP($A294,My_Audit!$A:$A,My_Audit!I:I,""),
_xlfn.IFS(_xlpm.MyAuditVal&lt;&gt;"",UPPER(_xlpm.MyAuditVal),_xlpm.MacVal&lt;&gt;"",_xlpm.MacVal,_xlpm.CSVVal&lt;&gt;"",_xlpm.CSVVal
)),"")</f>
        <v/>
      </c>
      <c r="K294" s="45" t="str" cm="1">
        <f t="array" ref="K294">IFERROR(_xlfn.LET(
_xlpm.CSVVal,_xlfn.XLOOKUP($A294,CSV!$A:$A,CSV!N:N,""),
_xlpm.MacVal,_xlfn.XLOOKUP($A294,Output_Mac!$A:$A,Output_Mac!L:L,""),
_xlpm.MyAuditVal,_xlfn.XLOOKUP($A294,My_Audit!$A:$A,My_Audit!J:J,""),
_xlfn.IFS(_xlpm.MyAuditVal&lt;&gt;"",UPPER(_xlpm.MyAuditVal),_xlpm.MacVal&lt;&gt;"",_xlpm.MacVal,_xlpm.CSVVal&lt;&gt;"",_xlpm.CSVVal
)),"")</f>
        <v/>
      </c>
      <c r="L294" s="46" t="str" cm="1">
        <f t="array" ref="L294">IFERROR(_xlfn.LET(
_xlpm.CSVVal,_xlfn.XLOOKUP($A294,CSV!$A:$A,CSV!Q:Q,""),
_xlpm.MacVal,_xlfn.XLOOKUP($A294,Output_Mac!$A:$A,Output_Mac!M:M,""),
_xlpm.MyAuditVal,_xlfn.XLOOKUP($A294,My_Audit!$A:$A,My_Audit!K:K,""),
_xlfn.IFS(_xlpm.MyAuditVal&lt;&gt;"",UPPER(_xlpm.MyAuditVal),_xlpm.MacVal&lt;&gt;"",_xlpm.MacVal,_xlpm.CSVVal&lt;&gt;"",_xlpm.CSVVal
)),"")</f>
        <v/>
      </c>
      <c r="M294" s="45" t="str">
        <f>_xlfn.LET(
    _xlpm.CSVVal, _xlfn.XLOOKUP($A294, CSV!$A:$A, CSV!AE:AE, ""),
    _xlpm.MacVal, _xlfn.XLOOKUP($A294, Output_Mac!$A:$A, Output_Mac!S:S, ""),
    _xlpm.MyAuditVal, _xlfn.XLOOKUP($A294, My_Audit!$A:$A, My_Audit!N:N, ""),
    _xlfn.TEXTJOIN(", ", TRUE, _xlpm.MyAuditVal, _xlpm.MacVal, _xlpm.CSVVal)
)</f>
        <v/>
      </c>
      <c r="N294" s="45" t="str" cm="1">
        <f t="array" ref="N294">IFERROR(_xlfn.LET(
_xlpm.CSVVal,_xlfn.XLOOKUP($A294,CSV!$A:$A,CSV!AG:AG,""),
_xlpm.MacVal,_xlfn.XLOOKUP($A294,Output_Mac!$A:$A,Output_Mac!U:U,""),
_xlpm.MyAuditVal,_xlfn.XLOOKUP($A294,My_Audit!$A:$A,My_Audit!O:O,""),
_xlfn.IFS(_xlpm.MyAuditVal&lt;&gt;"",UPPER(_xlpm.MyAuditVal),_xlpm.MacVal&lt;&gt;"",_xlpm.MacVal,_xlpm.CSVVal&lt;&gt;"",_xlpm.CSVVal
)),"")</f>
        <v/>
      </c>
      <c r="O294" s="46" t="str">
        <f>_xlfn.XLOOKUP(C294,My_Audit!B:B,My_Audit!P:P,"")&amp;""</f>
        <v/>
      </c>
      <c r="P294" s="45"/>
      <c r="Q294" s="46" t="str">
        <f>IF(LEFT(N294,4)="Pass","Nist SP 800-88",My_Audit!R294)&amp;""</f>
        <v/>
      </c>
      <c r="R294" s="45"/>
      <c r="S294" s="45"/>
      <c r="T294" s="46" t="str">
        <f>_xlfn.XLOOKUP(E294,Models!I:I,Models!J:J,"")</f>
        <v/>
      </c>
      <c r="U294" s="45"/>
      <c r="V294" s="45"/>
      <c r="W294" s="38"/>
    </row>
    <row r="295" spans="1:23">
      <c r="A295" s="45" t="str">
        <f>_xlfn.TEXTJOIN("",TRUE,Input!$B$2,ROW(My_Audit!A294))</f>
        <v>XX294</v>
      </c>
      <c r="B295" s="45" t="str">
        <f>_xlfn.TEXTJOIN("-",TRUE,"ITD",Input!$A$2,A295)</f>
        <v>ITD-SHRXXX-XX294</v>
      </c>
      <c r="C295" s="45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46" t="str" cm="1">
        <f t="array" ref="D295">IFERROR(_xlfn.LET(
_xlpm.CSVVal,_xlfn.XLOOKUP($A295,CSV!$A:$A,CSV!C:C,""),
_xlpm.MacVal,_xlfn.XLOOKUP($A295,Output_Mac!$A:$A,Output_Mac!D:D,""),
_xlpm.MyAuditVal,_xlfn.XLOOKUP($A295,My_Audit!$A:$A,My_Audit!C:C,""),
_xlfn.IFS(_xlpm.MyAuditVal&lt;&gt;"",UPPER(_xlpm.MyAuditVal),_xlpm.MacVal&lt;&gt;"",_xlpm.MacVal,_xlpm.CSVVal&lt;&gt;"",_xlpm.CSVVal
)),"")</f>
        <v/>
      </c>
      <c r="E295" s="46" t="str" cm="1">
        <f t="array" ref="E295">IFERROR(_xlfn.LET(
_xlpm.CSVVal,_xlfn.XLOOKUP($A295,CSV!$A:$A,CSV!E:E,""),
_xlpm.MacVal,_xlfn.XLOOKUP($A295,Output_Mac!$A:$A,Output_Mac!C:C,""),
_xlpm.MyAuditVal,_xlfn.XLOOKUP($A295,My_Audit!$A:$A,My_Audit!D:D,""),
_xlfn.IFS(_xlpm.MyAuditVal&lt;&gt;"",_xlpm.MyAuditVal,_xlpm.MacVal&lt;&gt;"",_xlpm.MacVal,_xlpm.CSVVal&lt;&gt;"",_xlpm.CSVVal
)),"")</f>
        <v/>
      </c>
      <c r="F295" s="45" t="str" cm="1">
        <f t="array" ref="F295">IFERROR(_xlfn.LET(
_xlpm.CSVVal,_xlfn.XLOOKUP($A295,CSV!$A:$A,CSV!F:F,""),
_xlpm.MacVal,_xlfn.XLOOKUP($A295,Output_Mac!$A:$A,Output_Mac!F:F,""),
_xlpm.MyAuditVal,_xlfn.XLOOKUP($A295,My_Audit!$A:$A,My_Audit!E:E,""),
_xlfn.IFS(_xlpm.MyAuditVal&lt;&gt;"",_xlpm.MyAuditVal,_xlpm.MacVal&lt;&gt;"",_xlpm.MacVal,_xlpm.CSVVal&lt;&gt;"",PROPER(_xlpm.CSVVal)
)),"")</f>
        <v/>
      </c>
      <c r="G295" s="45" t="str" cm="1">
        <f t="array" ref="G295">IFERROR(_xlfn.LET(
_xlpm.CSVVal,_xlfn.XLOOKUP($A295,CSV!$A:$A,CSV!G:G,""),
_xlpm.MacVal,_xlfn.XLOOKUP($A295,Output_Mac!$A:$A,Output_Mac!H:H,""),
_xlpm.MyAuditVal,_xlfn.XLOOKUP($A295,My_Audit!$A:$A,My_Audit!F:F,""),
_xlfn.IFS(_xlpm.MyAuditVal&lt;&gt;"",_xlpm.MyAuditVal,_xlpm.MacVal&lt;&gt;"",_xlpm.MacVal,_xlpm.CSVVal&lt;&gt;"",_xlpm.CSVVal
)),"")</f>
        <v/>
      </c>
      <c r="H295" s="45" t="str">
        <f>_xlfn.XLOOKUP(A295,Output_Mac!A:A,Output_Mac!I:I,"")</f>
        <v/>
      </c>
      <c r="I295" s="45" t="str" cm="1">
        <f t="array" ref="I295">IFERROR(_xlfn.LET(
_xlpm.CSVVal,_xlfn.XLOOKUP($A295,CSV!$A:$A,CSV!H:H,""),
_xlpm.MacVal,_xlfn.XLOOKUP($A295,Output_Mac!$A:$A,Output_Mac!J:J,""),
_xlpm.MyAuditVal,_xlfn.XLOOKUP($A295,My_Audit!$A:$A,My_Audit!H:H,""),
_xlfn.IFS(_xlpm.MyAuditVal&lt;&gt;"",UPPER(_xlpm.MyAuditVal),_xlpm.MacVal&lt;&gt;"",_xlpm.MacVal,_xlpm.CSVVal&lt;&gt;"",_xlpm.CSVVal
)),"")</f>
        <v/>
      </c>
      <c r="J295" s="45" t="str" cm="1">
        <f t="array" ref="J295">IFERROR(_xlfn.LET(
_xlpm.CSVVal,_xlfn.XLOOKUP($A295,CSV!$A:$A,CSV!J:J,""),
_xlpm.MacVal,_xlfn.XLOOKUP($A295,Output_Mac!$A:$A,Output_Mac!K:K,""),
_xlpm.MyAuditVal,_xlfn.XLOOKUP($A295,My_Audit!$A:$A,My_Audit!I:I,""),
_xlfn.IFS(_xlpm.MyAuditVal&lt;&gt;"",UPPER(_xlpm.MyAuditVal),_xlpm.MacVal&lt;&gt;"",_xlpm.MacVal,_xlpm.CSVVal&lt;&gt;"",_xlpm.CSVVal
)),"")</f>
        <v/>
      </c>
      <c r="K295" s="45" t="str" cm="1">
        <f t="array" ref="K295">IFERROR(_xlfn.LET(
_xlpm.CSVVal,_xlfn.XLOOKUP($A295,CSV!$A:$A,CSV!N:N,""),
_xlpm.MacVal,_xlfn.XLOOKUP($A295,Output_Mac!$A:$A,Output_Mac!L:L,""),
_xlpm.MyAuditVal,_xlfn.XLOOKUP($A295,My_Audit!$A:$A,My_Audit!J:J,""),
_xlfn.IFS(_xlpm.MyAuditVal&lt;&gt;"",UPPER(_xlpm.MyAuditVal),_xlpm.MacVal&lt;&gt;"",_xlpm.MacVal,_xlpm.CSVVal&lt;&gt;"",_xlpm.CSVVal
)),"")</f>
        <v/>
      </c>
      <c r="L295" s="46" t="str" cm="1">
        <f t="array" ref="L295">IFERROR(_xlfn.LET(
_xlpm.CSVVal,_xlfn.XLOOKUP($A295,CSV!$A:$A,CSV!Q:Q,""),
_xlpm.MacVal,_xlfn.XLOOKUP($A295,Output_Mac!$A:$A,Output_Mac!M:M,""),
_xlpm.MyAuditVal,_xlfn.XLOOKUP($A295,My_Audit!$A:$A,My_Audit!K:K,""),
_xlfn.IFS(_xlpm.MyAuditVal&lt;&gt;"",UPPER(_xlpm.MyAuditVal),_xlpm.MacVal&lt;&gt;"",_xlpm.MacVal,_xlpm.CSVVal&lt;&gt;"",_xlpm.CSVVal
)),"")</f>
        <v/>
      </c>
      <c r="M295" s="45" t="str">
        <f>_xlfn.LET(
    _xlpm.CSVVal, _xlfn.XLOOKUP($A295, CSV!$A:$A, CSV!AE:AE, ""),
    _xlpm.MacVal, _xlfn.XLOOKUP($A295, Output_Mac!$A:$A, Output_Mac!S:S, ""),
    _xlpm.MyAuditVal, _xlfn.XLOOKUP($A295, My_Audit!$A:$A, My_Audit!N:N, ""),
    _xlfn.TEXTJOIN(", ", TRUE, _xlpm.MyAuditVal, _xlpm.MacVal, _xlpm.CSVVal)
)</f>
        <v/>
      </c>
      <c r="N295" s="45" t="str" cm="1">
        <f t="array" ref="N295">IFERROR(_xlfn.LET(
_xlpm.CSVVal,_xlfn.XLOOKUP($A295,CSV!$A:$A,CSV!AG:AG,""),
_xlpm.MacVal,_xlfn.XLOOKUP($A295,Output_Mac!$A:$A,Output_Mac!U:U,""),
_xlpm.MyAuditVal,_xlfn.XLOOKUP($A295,My_Audit!$A:$A,My_Audit!O:O,""),
_xlfn.IFS(_xlpm.MyAuditVal&lt;&gt;"",UPPER(_xlpm.MyAuditVal),_xlpm.MacVal&lt;&gt;"",_xlpm.MacVal,_xlpm.CSVVal&lt;&gt;"",_xlpm.CSVVal
)),"")</f>
        <v/>
      </c>
      <c r="O295" s="46" t="str">
        <f>_xlfn.XLOOKUP(C295,My_Audit!B:B,My_Audit!P:P,"")&amp;""</f>
        <v/>
      </c>
      <c r="P295" s="45"/>
      <c r="Q295" s="46" t="str">
        <f>IF(LEFT(N295,4)="Pass","Nist SP 800-88",My_Audit!R295)&amp;""</f>
        <v/>
      </c>
      <c r="R295" s="45"/>
      <c r="S295" s="45"/>
      <c r="T295" s="46" t="str">
        <f>_xlfn.XLOOKUP(E295,Models!I:I,Models!J:J,"")</f>
        <v/>
      </c>
      <c r="U295" s="45"/>
      <c r="V295" s="45"/>
      <c r="W295" s="38"/>
    </row>
    <row r="296" spans="1:23">
      <c r="A296" s="45" t="str">
        <f>_xlfn.TEXTJOIN("",TRUE,Input!$B$2,ROW(My_Audit!A295))</f>
        <v>XX295</v>
      </c>
      <c r="B296" s="45" t="str">
        <f>_xlfn.TEXTJOIN("-",TRUE,"ITD",Input!$A$2,A296)</f>
        <v>ITD-SHRXXX-XX295</v>
      </c>
      <c r="C296" s="45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46" t="str" cm="1">
        <f t="array" ref="D296">IFERROR(_xlfn.LET(
_xlpm.CSVVal,_xlfn.XLOOKUP($A296,CSV!$A:$A,CSV!C:C,""),
_xlpm.MacVal,_xlfn.XLOOKUP($A296,Output_Mac!$A:$A,Output_Mac!D:D,""),
_xlpm.MyAuditVal,_xlfn.XLOOKUP($A296,My_Audit!$A:$A,My_Audit!C:C,""),
_xlfn.IFS(_xlpm.MyAuditVal&lt;&gt;"",UPPER(_xlpm.MyAuditVal),_xlpm.MacVal&lt;&gt;"",_xlpm.MacVal,_xlpm.CSVVal&lt;&gt;"",_xlpm.CSVVal
)),"")</f>
        <v/>
      </c>
      <c r="E296" s="46" t="str" cm="1">
        <f t="array" ref="E296">IFERROR(_xlfn.LET(
_xlpm.CSVVal,_xlfn.XLOOKUP($A296,CSV!$A:$A,CSV!E:E,""),
_xlpm.MacVal,_xlfn.XLOOKUP($A296,Output_Mac!$A:$A,Output_Mac!C:C,""),
_xlpm.MyAuditVal,_xlfn.XLOOKUP($A296,My_Audit!$A:$A,My_Audit!D:D,""),
_xlfn.IFS(_xlpm.MyAuditVal&lt;&gt;"",_xlpm.MyAuditVal,_xlpm.MacVal&lt;&gt;"",_xlpm.MacVal,_xlpm.CSVVal&lt;&gt;"",_xlpm.CSVVal
)),"")</f>
        <v/>
      </c>
      <c r="F296" s="45" t="str" cm="1">
        <f t="array" ref="F296">IFERROR(_xlfn.LET(
_xlpm.CSVVal,_xlfn.XLOOKUP($A296,CSV!$A:$A,CSV!F:F,""),
_xlpm.MacVal,_xlfn.XLOOKUP($A296,Output_Mac!$A:$A,Output_Mac!F:F,""),
_xlpm.MyAuditVal,_xlfn.XLOOKUP($A296,My_Audit!$A:$A,My_Audit!E:E,""),
_xlfn.IFS(_xlpm.MyAuditVal&lt;&gt;"",_xlpm.MyAuditVal,_xlpm.MacVal&lt;&gt;"",_xlpm.MacVal,_xlpm.CSVVal&lt;&gt;"",PROPER(_xlpm.CSVVal)
)),"")</f>
        <v/>
      </c>
      <c r="G296" s="45" t="str" cm="1">
        <f t="array" ref="G296">IFERROR(_xlfn.LET(
_xlpm.CSVVal,_xlfn.XLOOKUP($A296,CSV!$A:$A,CSV!G:G,""),
_xlpm.MacVal,_xlfn.XLOOKUP($A296,Output_Mac!$A:$A,Output_Mac!H:H,""),
_xlpm.MyAuditVal,_xlfn.XLOOKUP($A296,My_Audit!$A:$A,My_Audit!F:F,""),
_xlfn.IFS(_xlpm.MyAuditVal&lt;&gt;"",_xlpm.MyAuditVal,_xlpm.MacVal&lt;&gt;"",_xlpm.MacVal,_xlpm.CSVVal&lt;&gt;"",_xlpm.CSVVal
)),"")</f>
        <v/>
      </c>
      <c r="H296" s="45" t="str">
        <f>_xlfn.XLOOKUP(A296,Output_Mac!A:A,Output_Mac!I:I,"")</f>
        <v/>
      </c>
      <c r="I296" s="45" t="str" cm="1">
        <f t="array" ref="I296">IFERROR(_xlfn.LET(
_xlpm.CSVVal,_xlfn.XLOOKUP($A296,CSV!$A:$A,CSV!H:H,""),
_xlpm.MacVal,_xlfn.XLOOKUP($A296,Output_Mac!$A:$A,Output_Mac!J:J,""),
_xlpm.MyAuditVal,_xlfn.XLOOKUP($A296,My_Audit!$A:$A,My_Audit!H:H,""),
_xlfn.IFS(_xlpm.MyAuditVal&lt;&gt;"",UPPER(_xlpm.MyAuditVal),_xlpm.MacVal&lt;&gt;"",_xlpm.MacVal,_xlpm.CSVVal&lt;&gt;"",_xlpm.CSVVal
)),"")</f>
        <v/>
      </c>
      <c r="J296" s="45" t="str" cm="1">
        <f t="array" ref="J296">IFERROR(_xlfn.LET(
_xlpm.CSVVal,_xlfn.XLOOKUP($A296,CSV!$A:$A,CSV!J:J,""),
_xlpm.MacVal,_xlfn.XLOOKUP($A296,Output_Mac!$A:$A,Output_Mac!K:K,""),
_xlpm.MyAuditVal,_xlfn.XLOOKUP($A296,My_Audit!$A:$A,My_Audit!I:I,""),
_xlfn.IFS(_xlpm.MyAuditVal&lt;&gt;"",UPPER(_xlpm.MyAuditVal),_xlpm.MacVal&lt;&gt;"",_xlpm.MacVal,_xlpm.CSVVal&lt;&gt;"",_xlpm.CSVVal
)),"")</f>
        <v/>
      </c>
      <c r="K296" s="45" t="str" cm="1">
        <f t="array" ref="K296">IFERROR(_xlfn.LET(
_xlpm.CSVVal,_xlfn.XLOOKUP($A296,CSV!$A:$A,CSV!N:N,""),
_xlpm.MacVal,_xlfn.XLOOKUP($A296,Output_Mac!$A:$A,Output_Mac!L:L,""),
_xlpm.MyAuditVal,_xlfn.XLOOKUP($A296,My_Audit!$A:$A,My_Audit!J:J,""),
_xlfn.IFS(_xlpm.MyAuditVal&lt;&gt;"",UPPER(_xlpm.MyAuditVal),_xlpm.MacVal&lt;&gt;"",_xlpm.MacVal,_xlpm.CSVVal&lt;&gt;"",_xlpm.CSVVal
)),"")</f>
        <v/>
      </c>
      <c r="L296" s="46" t="str" cm="1">
        <f t="array" ref="L296">IFERROR(_xlfn.LET(
_xlpm.CSVVal,_xlfn.XLOOKUP($A296,CSV!$A:$A,CSV!Q:Q,""),
_xlpm.MacVal,_xlfn.XLOOKUP($A296,Output_Mac!$A:$A,Output_Mac!M:M,""),
_xlpm.MyAuditVal,_xlfn.XLOOKUP($A296,My_Audit!$A:$A,My_Audit!K:K,""),
_xlfn.IFS(_xlpm.MyAuditVal&lt;&gt;"",UPPER(_xlpm.MyAuditVal),_xlpm.MacVal&lt;&gt;"",_xlpm.MacVal,_xlpm.CSVVal&lt;&gt;"",_xlpm.CSVVal
)),"")</f>
        <v/>
      </c>
      <c r="M296" s="45" t="str">
        <f>_xlfn.LET(
    _xlpm.CSVVal, _xlfn.XLOOKUP($A296, CSV!$A:$A, CSV!AE:AE, ""),
    _xlpm.MacVal, _xlfn.XLOOKUP($A296, Output_Mac!$A:$A, Output_Mac!S:S, ""),
    _xlpm.MyAuditVal, _xlfn.XLOOKUP($A296, My_Audit!$A:$A, My_Audit!N:N, ""),
    _xlfn.TEXTJOIN(", ", TRUE, _xlpm.MyAuditVal, _xlpm.MacVal, _xlpm.CSVVal)
)</f>
        <v/>
      </c>
      <c r="N296" s="45" t="str" cm="1">
        <f t="array" ref="N296">IFERROR(_xlfn.LET(
_xlpm.CSVVal,_xlfn.XLOOKUP($A296,CSV!$A:$A,CSV!AG:AG,""),
_xlpm.MacVal,_xlfn.XLOOKUP($A296,Output_Mac!$A:$A,Output_Mac!U:U,""),
_xlpm.MyAuditVal,_xlfn.XLOOKUP($A296,My_Audit!$A:$A,My_Audit!O:O,""),
_xlfn.IFS(_xlpm.MyAuditVal&lt;&gt;"",UPPER(_xlpm.MyAuditVal),_xlpm.MacVal&lt;&gt;"",_xlpm.MacVal,_xlpm.CSVVal&lt;&gt;"",_xlpm.CSVVal
)),"")</f>
        <v/>
      </c>
      <c r="O296" s="46" t="str">
        <f>_xlfn.XLOOKUP(C296,My_Audit!B:B,My_Audit!P:P,"")&amp;""</f>
        <v/>
      </c>
      <c r="P296" s="45"/>
      <c r="Q296" s="46" t="str">
        <f>IF(LEFT(N296,4)="Pass","Nist SP 800-88",My_Audit!R296)&amp;""</f>
        <v/>
      </c>
      <c r="R296" s="45"/>
      <c r="S296" s="45"/>
      <c r="T296" s="46" t="str">
        <f>_xlfn.XLOOKUP(E296,Models!I:I,Models!J:J,"")</f>
        <v/>
      </c>
      <c r="U296" s="45"/>
      <c r="V296" s="45"/>
      <c r="W296" s="38"/>
    </row>
    <row r="297" spans="1:23">
      <c r="A297" s="45" t="str">
        <f>_xlfn.TEXTJOIN("",TRUE,Input!$B$2,ROW(My_Audit!A296))</f>
        <v>XX296</v>
      </c>
      <c r="B297" s="45" t="str">
        <f>_xlfn.TEXTJOIN("-",TRUE,"ITD",Input!$A$2,A297)</f>
        <v>ITD-SHRXXX-XX296</v>
      </c>
      <c r="C297" s="45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46" t="str" cm="1">
        <f t="array" ref="D297">IFERROR(_xlfn.LET(
_xlpm.CSVVal,_xlfn.XLOOKUP($A297,CSV!$A:$A,CSV!C:C,""),
_xlpm.MacVal,_xlfn.XLOOKUP($A297,Output_Mac!$A:$A,Output_Mac!D:D,""),
_xlpm.MyAuditVal,_xlfn.XLOOKUP($A297,My_Audit!$A:$A,My_Audit!C:C,""),
_xlfn.IFS(_xlpm.MyAuditVal&lt;&gt;"",UPPER(_xlpm.MyAuditVal),_xlpm.MacVal&lt;&gt;"",_xlpm.MacVal,_xlpm.CSVVal&lt;&gt;"",_xlpm.CSVVal
)),"")</f>
        <v/>
      </c>
      <c r="E297" s="46" t="str" cm="1">
        <f t="array" ref="E297">IFERROR(_xlfn.LET(
_xlpm.CSVVal,_xlfn.XLOOKUP($A297,CSV!$A:$A,CSV!E:E,""),
_xlpm.MacVal,_xlfn.XLOOKUP($A297,Output_Mac!$A:$A,Output_Mac!C:C,""),
_xlpm.MyAuditVal,_xlfn.XLOOKUP($A297,My_Audit!$A:$A,My_Audit!D:D,""),
_xlfn.IFS(_xlpm.MyAuditVal&lt;&gt;"",_xlpm.MyAuditVal,_xlpm.MacVal&lt;&gt;"",_xlpm.MacVal,_xlpm.CSVVal&lt;&gt;"",_xlpm.CSVVal
)),"")</f>
        <v/>
      </c>
      <c r="F297" s="45" t="str" cm="1">
        <f t="array" ref="F297">IFERROR(_xlfn.LET(
_xlpm.CSVVal,_xlfn.XLOOKUP($A297,CSV!$A:$A,CSV!F:F,""),
_xlpm.MacVal,_xlfn.XLOOKUP($A297,Output_Mac!$A:$A,Output_Mac!F:F,""),
_xlpm.MyAuditVal,_xlfn.XLOOKUP($A297,My_Audit!$A:$A,My_Audit!E:E,""),
_xlfn.IFS(_xlpm.MyAuditVal&lt;&gt;"",_xlpm.MyAuditVal,_xlpm.MacVal&lt;&gt;"",_xlpm.MacVal,_xlpm.CSVVal&lt;&gt;"",PROPER(_xlpm.CSVVal)
)),"")</f>
        <v/>
      </c>
      <c r="G297" s="45" t="str" cm="1">
        <f t="array" ref="G297">IFERROR(_xlfn.LET(
_xlpm.CSVVal,_xlfn.XLOOKUP($A297,CSV!$A:$A,CSV!G:G,""),
_xlpm.MacVal,_xlfn.XLOOKUP($A297,Output_Mac!$A:$A,Output_Mac!H:H,""),
_xlpm.MyAuditVal,_xlfn.XLOOKUP($A297,My_Audit!$A:$A,My_Audit!F:F,""),
_xlfn.IFS(_xlpm.MyAuditVal&lt;&gt;"",_xlpm.MyAuditVal,_xlpm.MacVal&lt;&gt;"",_xlpm.MacVal,_xlpm.CSVVal&lt;&gt;"",_xlpm.CSVVal
)),"")</f>
        <v/>
      </c>
      <c r="H297" s="45" t="str">
        <f>_xlfn.XLOOKUP(A297,Output_Mac!A:A,Output_Mac!I:I,"")</f>
        <v/>
      </c>
      <c r="I297" s="45" t="str" cm="1">
        <f t="array" ref="I297">IFERROR(_xlfn.LET(
_xlpm.CSVVal,_xlfn.XLOOKUP($A297,CSV!$A:$A,CSV!H:H,""),
_xlpm.MacVal,_xlfn.XLOOKUP($A297,Output_Mac!$A:$A,Output_Mac!J:J,""),
_xlpm.MyAuditVal,_xlfn.XLOOKUP($A297,My_Audit!$A:$A,My_Audit!H:H,""),
_xlfn.IFS(_xlpm.MyAuditVal&lt;&gt;"",UPPER(_xlpm.MyAuditVal),_xlpm.MacVal&lt;&gt;"",_xlpm.MacVal,_xlpm.CSVVal&lt;&gt;"",_xlpm.CSVVal
)),"")</f>
        <v/>
      </c>
      <c r="J297" s="45" t="str" cm="1">
        <f t="array" ref="J297">IFERROR(_xlfn.LET(
_xlpm.CSVVal,_xlfn.XLOOKUP($A297,CSV!$A:$A,CSV!J:J,""),
_xlpm.MacVal,_xlfn.XLOOKUP($A297,Output_Mac!$A:$A,Output_Mac!K:K,""),
_xlpm.MyAuditVal,_xlfn.XLOOKUP($A297,My_Audit!$A:$A,My_Audit!I:I,""),
_xlfn.IFS(_xlpm.MyAuditVal&lt;&gt;"",UPPER(_xlpm.MyAuditVal),_xlpm.MacVal&lt;&gt;"",_xlpm.MacVal,_xlpm.CSVVal&lt;&gt;"",_xlpm.CSVVal
)),"")</f>
        <v/>
      </c>
      <c r="K297" s="45" t="str" cm="1">
        <f t="array" ref="K297">IFERROR(_xlfn.LET(
_xlpm.CSVVal,_xlfn.XLOOKUP($A297,CSV!$A:$A,CSV!N:N,""),
_xlpm.MacVal,_xlfn.XLOOKUP($A297,Output_Mac!$A:$A,Output_Mac!L:L,""),
_xlpm.MyAuditVal,_xlfn.XLOOKUP($A297,My_Audit!$A:$A,My_Audit!J:J,""),
_xlfn.IFS(_xlpm.MyAuditVal&lt;&gt;"",UPPER(_xlpm.MyAuditVal),_xlpm.MacVal&lt;&gt;"",_xlpm.MacVal,_xlpm.CSVVal&lt;&gt;"",_xlpm.CSVVal
)),"")</f>
        <v/>
      </c>
      <c r="L297" s="46" t="str" cm="1">
        <f t="array" ref="L297">IFERROR(_xlfn.LET(
_xlpm.CSVVal,_xlfn.XLOOKUP($A297,CSV!$A:$A,CSV!Q:Q,""),
_xlpm.MacVal,_xlfn.XLOOKUP($A297,Output_Mac!$A:$A,Output_Mac!M:M,""),
_xlpm.MyAuditVal,_xlfn.XLOOKUP($A297,My_Audit!$A:$A,My_Audit!K:K,""),
_xlfn.IFS(_xlpm.MyAuditVal&lt;&gt;"",UPPER(_xlpm.MyAuditVal),_xlpm.MacVal&lt;&gt;"",_xlpm.MacVal,_xlpm.CSVVal&lt;&gt;"",_xlpm.CSVVal
)),"")</f>
        <v/>
      </c>
      <c r="M297" s="45" t="str">
        <f>_xlfn.LET(
    _xlpm.CSVVal, _xlfn.XLOOKUP($A297, CSV!$A:$A, CSV!AE:AE, ""),
    _xlpm.MacVal, _xlfn.XLOOKUP($A297, Output_Mac!$A:$A, Output_Mac!S:S, ""),
    _xlpm.MyAuditVal, _xlfn.XLOOKUP($A297, My_Audit!$A:$A, My_Audit!N:N, ""),
    _xlfn.TEXTJOIN(", ", TRUE, _xlpm.MyAuditVal, _xlpm.MacVal, _xlpm.CSVVal)
)</f>
        <v/>
      </c>
      <c r="N297" s="45" t="str" cm="1">
        <f t="array" ref="N297">IFERROR(_xlfn.LET(
_xlpm.CSVVal,_xlfn.XLOOKUP($A297,CSV!$A:$A,CSV!AG:AG,""),
_xlpm.MacVal,_xlfn.XLOOKUP($A297,Output_Mac!$A:$A,Output_Mac!U:U,""),
_xlpm.MyAuditVal,_xlfn.XLOOKUP($A297,My_Audit!$A:$A,My_Audit!O:O,""),
_xlfn.IFS(_xlpm.MyAuditVal&lt;&gt;"",UPPER(_xlpm.MyAuditVal),_xlpm.MacVal&lt;&gt;"",_xlpm.MacVal,_xlpm.CSVVal&lt;&gt;"",_xlpm.CSVVal
)),"")</f>
        <v/>
      </c>
      <c r="O297" s="46" t="str">
        <f>_xlfn.XLOOKUP(C297,My_Audit!B:B,My_Audit!P:P,"")&amp;""</f>
        <v/>
      </c>
      <c r="P297" s="45"/>
      <c r="Q297" s="46" t="str">
        <f>IF(LEFT(N297,4)="Pass","Nist SP 800-88",My_Audit!R297)&amp;""</f>
        <v/>
      </c>
      <c r="R297" s="45"/>
      <c r="S297" s="45"/>
      <c r="T297" s="46" t="str">
        <f>_xlfn.XLOOKUP(E297,Models!I:I,Models!J:J,"")</f>
        <v/>
      </c>
      <c r="U297" s="45"/>
      <c r="V297" s="45"/>
      <c r="W297" s="38"/>
    </row>
    <row r="298" spans="1:23">
      <c r="A298" s="45" t="str">
        <f>_xlfn.TEXTJOIN("",TRUE,Input!$B$2,ROW(My_Audit!A297))</f>
        <v>XX297</v>
      </c>
      <c r="B298" s="45" t="str">
        <f>_xlfn.TEXTJOIN("-",TRUE,"ITD",Input!$A$2,A298)</f>
        <v>ITD-SHRXXX-XX297</v>
      </c>
      <c r="C298" s="45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46" t="str" cm="1">
        <f t="array" ref="D298">IFERROR(_xlfn.LET(
_xlpm.CSVVal,_xlfn.XLOOKUP($A298,CSV!$A:$A,CSV!C:C,""),
_xlpm.MacVal,_xlfn.XLOOKUP($A298,Output_Mac!$A:$A,Output_Mac!D:D,""),
_xlpm.MyAuditVal,_xlfn.XLOOKUP($A298,My_Audit!$A:$A,My_Audit!C:C,""),
_xlfn.IFS(_xlpm.MyAuditVal&lt;&gt;"",UPPER(_xlpm.MyAuditVal),_xlpm.MacVal&lt;&gt;"",_xlpm.MacVal,_xlpm.CSVVal&lt;&gt;"",_xlpm.CSVVal
)),"")</f>
        <v/>
      </c>
      <c r="E298" s="46" t="str" cm="1">
        <f t="array" ref="E298">IFERROR(_xlfn.LET(
_xlpm.CSVVal,_xlfn.XLOOKUP($A298,CSV!$A:$A,CSV!E:E,""),
_xlpm.MacVal,_xlfn.XLOOKUP($A298,Output_Mac!$A:$A,Output_Mac!C:C,""),
_xlpm.MyAuditVal,_xlfn.XLOOKUP($A298,My_Audit!$A:$A,My_Audit!D:D,""),
_xlfn.IFS(_xlpm.MyAuditVal&lt;&gt;"",_xlpm.MyAuditVal,_xlpm.MacVal&lt;&gt;"",_xlpm.MacVal,_xlpm.CSVVal&lt;&gt;"",_xlpm.CSVVal
)),"")</f>
        <v/>
      </c>
      <c r="F298" s="45" t="str" cm="1">
        <f t="array" ref="F298">IFERROR(_xlfn.LET(
_xlpm.CSVVal,_xlfn.XLOOKUP($A298,CSV!$A:$A,CSV!F:F,""),
_xlpm.MacVal,_xlfn.XLOOKUP($A298,Output_Mac!$A:$A,Output_Mac!F:F,""),
_xlpm.MyAuditVal,_xlfn.XLOOKUP($A298,My_Audit!$A:$A,My_Audit!E:E,""),
_xlfn.IFS(_xlpm.MyAuditVal&lt;&gt;"",_xlpm.MyAuditVal,_xlpm.MacVal&lt;&gt;"",_xlpm.MacVal,_xlpm.CSVVal&lt;&gt;"",PROPER(_xlpm.CSVVal)
)),"")</f>
        <v/>
      </c>
      <c r="G298" s="45" t="str" cm="1">
        <f t="array" ref="G298">IFERROR(_xlfn.LET(
_xlpm.CSVVal,_xlfn.XLOOKUP($A298,CSV!$A:$A,CSV!G:G,""),
_xlpm.MacVal,_xlfn.XLOOKUP($A298,Output_Mac!$A:$A,Output_Mac!H:H,""),
_xlpm.MyAuditVal,_xlfn.XLOOKUP($A298,My_Audit!$A:$A,My_Audit!F:F,""),
_xlfn.IFS(_xlpm.MyAuditVal&lt;&gt;"",_xlpm.MyAuditVal,_xlpm.MacVal&lt;&gt;"",_xlpm.MacVal,_xlpm.CSVVal&lt;&gt;"",_xlpm.CSVVal
)),"")</f>
        <v/>
      </c>
      <c r="H298" s="45" t="str">
        <f>_xlfn.XLOOKUP(A298,Output_Mac!A:A,Output_Mac!I:I,"")</f>
        <v/>
      </c>
      <c r="I298" s="45" t="str" cm="1">
        <f t="array" ref="I298">IFERROR(_xlfn.LET(
_xlpm.CSVVal,_xlfn.XLOOKUP($A298,CSV!$A:$A,CSV!H:H,""),
_xlpm.MacVal,_xlfn.XLOOKUP($A298,Output_Mac!$A:$A,Output_Mac!J:J,""),
_xlpm.MyAuditVal,_xlfn.XLOOKUP($A298,My_Audit!$A:$A,My_Audit!H:H,""),
_xlfn.IFS(_xlpm.MyAuditVal&lt;&gt;"",UPPER(_xlpm.MyAuditVal),_xlpm.MacVal&lt;&gt;"",_xlpm.MacVal,_xlpm.CSVVal&lt;&gt;"",_xlpm.CSVVal
)),"")</f>
        <v/>
      </c>
      <c r="J298" s="45" t="str" cm="1">
        <f t="array" ref="J298">IFERROR(_xlfn.LET(
_xlpm.CSVVal,_xlfn.XLOOKUP($A298,CSV!$A:$A,CSV!J:J,""),
_xlpm.MacVal,_xlfn.XLOOKUP($A298,Output_Mac!$A:$A,Output_Mac!K:K,""),
_xlpm.MyAuditVal,_xlfn.XLOOKUP($A298,My_Audit!$A:$A,My_Audit!I:I,""),
_xlfn.IFS(_xlpm.MyAuditVal&lt;&gt;"",UPPER(_xlpm.MyAuditVal),_xlpm.MacVal&lt;&gt;"",_xlpm.MacVal,_xlpm.CSVVal&lt;&gt;"",_xlpm.CSVVal
)),"")</f>
        <v/>
      </c>
      <c r="K298" s="45" t="str" cm="1">
        <f t="array" ref="K298">IFERROR(_xlfn.LET(
_xlpm.CSVVal,_xlfn.XLOOKUP($A298,CSV!$A:$A,CSV!N:N,""),
_xlpm.MacVal,_xlfn.XLOOKUP($A298,Output_Mac!$A:$A,Output_Mac!L:L,""),
_xlpm.MyAuditVal,_xlfn.XLOOKUP($A298,My_Audit!$A:$A,My_Audit!J:J,""),
_xlfn.IFS(_xlpm.MyAuditVal&lt;&gt;"",UPPER(_xlpm.MyAuditVal),_xlpm.MacVal&lt;&gt;"",_xlpm.MacVal,_xlpm.CSVVal&lt;&gt;"",_xlpm.CSVVal
)),"")</f>
        <v/>
      </c>
      <c r="L298" s="46" t="str" cm="1">
        <f t="array" ref="L298">IFERROR(_xlfn.LET(
_xlpm.CSVVal,_xlfn.XLOOKUP($A298,CSV!$A:$A,CSV!Q:Q,""),
_xlpm.MacVal,_xlfn.XLOOKUP($A298,Output_Mac!$A:$A,Output_Mac!M:M,""),
_xlpm.MyAuditVal,_xlfn.XLOOKUP($A298,My_Audit!$A:$A,My_Audit!K:K,""),
_xlfn.IFS(_xlpm.MyAuditVal&lt;&gt;"",UPPER(_xlpm.MyAuditVal),_xlpm.MacVal&lt;&gt;"",_xlpm.MacVal,_xlpm.CSVVal&lt;&gt;"",_xlpm.CSVVal
)),"")</f>
        <v/>
      </c>
      <c r="M298" s="45" t="str">
        <f>_xlfn.LET(
    _xlpm.CSVVal, _xlfn.XLOOKUP($A298, CSV!$A:$A, CSV!AE:AE, ""),
    _xlpm.MacVal, _xlfn.XLOOKUP($A298, Output_Mac!$A:$A, Output_Mac!S:S, ""),
    _xlpm.MyAuditVal, _xlfn.XLOOKUP($A298, My_Audit!$A:$A, My_Audit!N:N, ""),
    _xlfn.TEXTJOIN(", ", TRUE, _xlpm.MyAuditVal, _xlpm.MacVal, _xlpm.CSVVal)
)</f>
        <v/>
      </c>
      <c r="N298" s="45" t="str" cm="1">
        <f t="array" ref="N298">IFERROR(_xlfn.LET(
_xlpm.CSVVal,_xlfn.XLOOKUP($A298,CSV!$A:$A,CSV!AG:AG,""),
_xlpm.MacVal,_xlfn.XLOOKUP($A298,Output_Mac!$A:$A,Output_Mac!U:U,""),
_xlpm.MyAuditVal,_xlfn.XLOOKUP($A298,My_Audit!$A:$A,My_Audit!O:O,""),
_xlfn.IFS(_xlpm.MyAuditVal&lt;&gt;"",UPPER(_xlpm.MyAuditVal),_xlpm.MacVal&lt;&gt;"",_xlpm.MacVal,_xlpm.CSVVal&lt;&gt;"",_xlpm.CSVVal
)),"")</f>
        <v/>
      </c>
      <c r="O298" s="46" t="str">
        <f>_xlfn.XLOOKUP(C298,My_Audit!B:B,My_Audit!P:P,"")&amp;""</f>
        <v/>
      </c>
      <c r="P298" s="45"/>
      <c r="Q298" s="46" t="str">
        <f>IF(LEFT(N298,4)="Pass","Nist SP 800-88",My_Audit!R298)&amp;""</f>
        <v/>
      </c>
      <c r="R298" s="45"/>
      <c r="S298" s="45"/>
      <c r="T298" s="46" t="str">
        <f>_xlfn.XLOOKUP(E298,Models!I:I,Models!J:J,"")</f>
        <v/>
      </c>
      <c r="U298" s="45"/>
      <c r="V298" s="45"/>
      <c r="W298" s="38"/>
    </row>
    <row r="299" spans="1:23">
      <c r="A299" s="45" t="str">
        <f>_xlfn.TEXTJOIN("",TRUE,Input!$B$2,ROW(My_Audit!A298))</f>
        <v>XX298</v>
      </c>
      <c r="B299" s="45" t="str">
        <f>_xlfn.TEXTJOIN("-",TRUE,"ITD",Input!$A$2,A299)</f>
        <v>ITD-SHRXXX-XX298</v>
      </c>
      <c r="C299" s="45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46" t="str" cm="1">
        <f t="array" ref="D299">IFERROR(_xlfn.LET(
_xlpm.CSVVal,_xlfn.XLOOKUP($A299,CSV!$A:$A,CSV!C:C,""),
_xlpm.MacVal,_xlfn.XLOOKUP($A299,Output_Mac!$A:$A,Output_Mac!D:D,""),
_xlpm.MyAuditVal,_xlfn.XLOOKUP($A299,My_Audit!$A:$A,My_Audit!C:C,""),
_xlfn.IFS(_xlpm.MyAuditVal&lt;&gt;"",UPPER(_xlpm.MyAuditVal),_xlpm.MacVal&lt;&gt;"",_xlpm.MacVal,_xlpm.CSVVal&lt;&gt;"",_xlpm.CSVVal
)),"")</f>
        <v/>
      </c>
      <c r="E299" s="46" t="str" cm="1">
        <f t="array" ref="E299">IFERROR(_xlfn.LET(
_xlpm.CSVVal,_xlfn.XLOOKUP($A299,CSV!$A:$A,CSV!E:E,""),
_xlpm.MacVal,_xlfn.XLOOKUP($A299,Output_Mac!$A:$A,Output_Mac!C:C,""),
_xlpm.MyAuditVal,_xlfn.XLOOKUP($A299,My_Audit!$A:$A,My_Audit!D:D,""),
_xlfn.IFS(_xlpm.MyAuditVal&lt;&gt;"",_xlpm.MyAuditVal,_xlpm.MacVal&lt;&gt;"",_xlpm.MacVal,_xlpm.CSVVal&lt;&gt;"",_xlpm.CSVVal
)),"")</f>
        <v/>
      </c>
      <c r="F299" s="45" t="str" cm="1">
        <f t="array" ref="F299">IFERROR(_xlfn.LET(
_xlpm.CSVVal,_xlfn.XLOOKUP($A299,CSV!$A:$A,CSV!F:F,""),
_xlpm.MacVal,_xlfn.XLOOKUP($A299,Output_Mac!$A:$A,Output_Mac!F:F,""),
_xlpm.MyAuditVal,_xlfn.XLOOKUP($A299,My_Audit!$A:$A,My_Audit!E:E,""),
_xlfn.IFS(_xlpm.MyAuditVal&lt;&gt;"",_xlpm.MyAuditVal,_xlpm.MacVal&lt;&gt;"",_xlpm.MacVal,_xlpm.CSVVal&lt;&gt;"",PROPER(_xlpm.CSVVal)
)),"")</f>
        <v/>
      </c>
      <c r="G299" s="45" t="str" cm="1">
        <f t="array" ref="G299">IFERROR(_xlfn.LET(
_xlpm.CSVVal,_xlfn.XLOOKUP($A299,CSV!$A:$A,CSV!G:G,""),
_xlpm.MacVal,_xlfn.XLOOKUP($A299,Output_Mac!$A:$A,Output_Mac!H:H,""),
_xlpm.MyAuditVal,_xlfn.XLOOKUP($A299,My_Audit!$A:$A,My_Audit!F:F,""),
_xlfn.IFS(_xlpm.MyAuditVal&lt;&gt;"",_xlpm.MyAuditVal,_xlpm.MacVal&lt;&gt;"",_xlpm.MacVal,_xlpm.CSVVal&lt;&gt;"",_xlpm.CSVVal
)),"")</f>
        <v/>
      </c>
      <c r="H299" s="45" t="str">
        <f>_xlfn.XLOOKUP(A299,Output_Mac!A:A,Output_Mac!I:I,"")</f>
        <v/>
      </c>
      <c r="I299" s="45" t="str" cm="1">
        <f t="array" ref="I299">IFERROR(_xlfn.LET(
_xlpm.CSVVal,_xlfn.XLOOKUP($A299,CSV!$A:$A,CSV!H:H,""),
_xlpm.MacVal,_xlfn.XLOOKUP($A299,Output_Mac!$A:$A,Output_Mac!J:J,""),
_xlpm.MyAuditVal,_xlfn.XLOOKUP($A299,My_Audit!$A:$A,My_Audit!H:H,""),
_xlfn.IFS(_xlpm.MyAuditVal&lt;&gt;"",UPPER(_xlpm.MyAuditVal),_xlpm.MacVal&lt;&gt;"",_xlpm.MacVal,_xlpm.CSVVal&lt;&gt;"",_xlpm.CSVVal
)),"")</f>
        <v/>
      </c>
      <c r="J299" s="45" t="str" cm="1">
        <f t="array" ref="J299">IFERROR(_xlfn.LET(
_xlpm.CSVVal,_xlfn.XLOOKUP($A299,CSV!$A:$A,CSV!J:J,""),
_xlpm.MacVal,_xlfn.XLOOKUP($A299,Output_Mac!$A:$A,Output_Mac!K:K,""),
_xlpm.MyAuditVal,_xlfn.XLOOKUP($A299,My_Audit!$A:$A,My_Audit!I:I,""),
_xlfn.IFS(_xlpm.MyAuditVal&lt;&gt;"",UPPER(_xlpm.MyAuditVal),_xlpm.MacVal&lt;&gt;"",_xlpm.MacVal,_xlpm.CSVVal&lt;&gt;"",_xlpm.CSVVal
)),"")</f>
        <v/>
      </c>
      <c r="K299" s="45" t="str" cm="1">
        <f t="array" ref="K299">IFERROR(_xlfn.LET(
_xlpm.CSVVal,_xlfn.XLOOKUP($A299,CSV!$A:$A,CSV!N:N,""),
_xlpm.MacVal,_xlfn.XLOOKUP($A299,Output_Mac!$A:$A,Output_Mac!L:L,""),
_xlpm.MyAuditVal,_xlfn.XLOOKUP($A299,My_Audit!$A:$A,My_Audit!J:J,""),
_xlfn.IFS(_xlpm.MyAuditVal&lt;&gt;"",UPPER(_xlpm.MyAuditVal),_xlpm.MacVal&lt;&gt;"",_xlpm.MacVal,_xlpm.CSVVal&lt;&gt;"",_xlpm.CSVVal
)),"")</f>
        <v/>
      </c>
      <c r="L299" s="46" t="str" cm="1">
        <f t="array" ref="L299">IFERROR(_xlfn.LET(
_xlpm.CSVVal,_xlfn.XLOOKUP($A299,CSV!$A:$A,CSV!Q:Q,""),
_xlpm.MacVal,_xlfn.XLOOKUP($A299,Output_Mac!$A:$A,Output_Mac!M:M,""),
_xlpm.MyAuditVal,_xlfn.XLOOKUP($A299,My_Audit!$A:$A,My_Audit!K:K,""),
_xlfn.IFS(_xlpm.MyAuditVal&lt;&gt;"",UPPER(_xlpm.MyAuditVal),_xlpm.MacVal&lt;&gt;"",_xlpm.MacVal,_xlpm.CSVVal&lt;&gt;"",_xlpm.CSVVal
)),"")</f>
        <v/>
      </c>
      <c r="M299" s="45" t="str">
        <f>_xlfn.LET(
    _xlpm.CSVVal, _xlfn.XLOOKUP($A299, CSV!$A:$A, CSV!AE:AE, ""),
    _xlpm.MacVal, _xlfn.XLOOKUP($A299, Output_Mac!$A:$A, Output_Mac!S:S, ""),
    _xlpm.MyAuditVal, _xlfn.XLOOKUP($A299, My_Audit!$A:$A, My_Audit!N:N, ""),
    _xlfn.TEXTJOIN(", ", TRUE, _xlpm.MyAuditVal, _xlpm.MacVal, _xlpm.CSVVal)
)</f>
        <v/>
      </c>
      <c r="N299" s="45" t="str" cm="1">
        <f t="array" ref="N299">IFERROR(_xlfn.LET(
_xlpm.CSVVal,_xlfn.XLOOKUP($A299,CSV!$A:$A,CSV!AG:AG,""),
_xlpm.MacVal,_xlfn.XLOOKUP($A299,Output_Mac!$A:$A,Output_Mac!U:U,""),
_xlpm.MyAuditVal,_xlfn.XLOOKUP($A299,My_Audit!$A:$A,My_Audit!O:O,""),
_xlfn.IFS(_xlpm.MyAuditVal&lt;&gt;"",UPPER(_xlpm.MyAuditVal),_xlpm.MacVal&lt;&gt;"",_xlpm.MacVal,_xlpm.CSVVal&lt;&gt;"",_xlpm.CSVVal
)),"")</f>
        <v/>
      </c>
      <c r="O299" s="46" t="str">
        <f>_xlfn.XLOOKUP(C299,My_Audit!B:B,My_Audit!P:P,"")&amp;""</f>
        <v/>
      </c>
      <c r="P299" s="45"/>
      <c r="Q299" s="46" t="str">
        <f>IF(LEFT(N299,4)="Pass","Nist SP 800-88",My_Audit!R299)&amp;""</f>
        <v/>
      </c>
      <c r="R299" s="45"/>
      <c r="S299" s="45"/>
      <c r="T299" s="46" t="str">
        <f>_xlfn.XLOOKUP(E299,Models!I:I,Models!J:J,"")</f>
        <v/>
      </c>
      <c r="U299" s="45"/>
      <c r="V299" s="45"/>
      <c r="W299" s="38"/>
    </row>
    <row r="300" spans="1:23">
      <c r="A300" s="45" t="str">
        <f>_xlfn.TEXTJOIN("",TRUE,Input!$B$2,ROW(My_Audit!A299))</f>
        <v>XX299</v>
      </c>
      <c r="B300" s="45" t="str">
        <f>_xlfn.TEXTJOIN("-",TRUE,"ITD",Input!$A$2,A300)</f>
        <v>ITD-SHRXXX-XX299</v>
      </c>
      <c r="C300" s="45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46" t="str" cm="1">
        <f t="array" ref="D300">IFERROR(_xlfn.LET(
_xlpm.CSVVal,_xlfn.XLOOKUP($A300,CSV!$A:$A,CSV!C:C,""),
_xlpm.MacVal,_xlfn.XLOOKUP($A300,Output_Mac!$A:$A,Output_Mac!D:D,""),
_xlpm.MyAuditVal,_xlfn.XLOOKUP($A300,My_Audit!$A:$A,My_Audit!C:C,""),
_xlfn.IFS(_xlpm.MyAuditVal&lt;&gt;"",UPPER(_xlpm.MyAuditVal),_xlpm.MacVal&lt;&gt;"",_xlpm.MacVal,_xlpm.CSVVal&lt;&gt;"",_xlpm.CSVVal
)),"")</f>
        <v/>
      </c>
      <c r="E300" s="46" t="str" cm="1">
        <f t="array" ref="E300">IFERROR(_xlfn.LET(
_xlpm.CSVVal,_xlfn.XLOOKUP($A300,CSV!$A:$A,CSV!E:E,""),
_xlpm.MacVal,_xlfn.XLOOKUP($A300,Output_Mac!$A:$A,Output_Mac!C:C,""),
_xlpm.MyAuditVal,_xlfn.XLOOKUP($A300,My_Audit!$A:$A,My_Audit!D:D,""),
_xlfn.IFS(_xlpm.MyAuditVal&lt;&gt;"",_xlpm.MyAuditVal,_xlpm.MacVal&lt;&gt;"",_xlpm.MacVal,_xlpm.CSVVal&lt;&gt;"",_xlpm.CSVVal
)),"")</f>
        <v/>
      </c>
      <c r="F300" s="45" t="str" cm="1">
        <f t="array" ref="F300">IFERROR(_xlfn.LET(
_xlpm.CSVVal,_xlfn.XLOOKUP($A300,CSV!$A:$A,CSV!F:F,""),
_xlpm.MacVal,_xlfn.XLOOKUP($A300,Output_Mac!$A:$A,Output_Mac!F:F,""),
_xlpm.MyAuditVal,_xlfn.XLOOKUP($A300,My_Audit!$A:$A,My_Audit!E:E,""),
_xlfn.IFS(_xlpm.MyAuditVal&lt;&gt;"",_xlpm.MyAuditVal,_xlpm.MacVal&lt;&gt;"",_xlpm.MacVal,_xlpm.CSVVal&lt;&gt;"",PROPER(_xlpm.CSVVal)
)),"")</f>
        <v/>
      </c>
      <c r="G300" s="45" t="str" cm="1">
        <f t="array" ref="G300">IFERROR(_xlfn.LET(
_xlpm.CSVVal,_xlfn.XLOOKUP($A300,CSV!$A:$A,CSV!G:G,""),
_xlpm.MacVal,_xlfn.XLOOKUP($A300,Output_Mac!$A:$A,Output_Mac!H:H,""),
_xlpm.MyAuditVal,_xlfn.XLOOKUP($A300,My_Audit!$A:$A,My_Audit!F:F,""),
_xlfn.IFS(_xlpm.MyAuditVal&lt;&gt;"",_xlpm.MyAuditVal,_xlpm.MacVal&lt;&gt;"",_xlpm.MacVal,_xlpm.CSVVal&lt;&gt;"",_xlpm.CSVVal
)),"")</f>
        <v/>
      </c>
      <c r="H300" s="45" t="str">
        <f>_xlfn.XLOOKUP(A300,Output_Mac!A:A,Output_Mac!I:I,"")</f>
        <v/>
      </c>
      <c r="I300" s="45" t="str" cm="1">
        <f t="array" ref="I300">IFERROR(_xlfn.LET(
_xlpm.CSVVal,_xlfn.XLOOKUP($A300,CSV!$A:$A,CSV!H:H,""),
_xlpm.MacVal,_xlfn.XLOOKUP($A300,Output_Mac!$A:$A,Output_Mac!J:J,""),
_xlpm.MyAuditVal,_xlfn.XLOOKUP($A300,My_Audit!$A:$A,My_Audit!H:H,""),
_xlfn.IFS(_xlpm.MyAuditVal&lt;&gt;"",UPPER(_xlpm.MyAuditVal),_xlpm.MacVal&lt;&gt;"",_xlpm.MacVal,_xlpm.CSVVal&lt;&gt;"",_xlpm.CSVVal
)),"")</f>
        <v/>
      </c>
      <c r="J300" s="45" t="str" cm="1">
        <f t="array" ref="J300">IFERROR(_xlfn.LET(
_xlpm.CSVVal,_xlfn.XLOOKUP($A300,CSV!$A:$A,CSV!J:J,""),
_xlpm.MacVal,_xlfn.XLOOKUP($A300,Output_Mac!$A:$A,Output_Mac!K:K,""),
_xlpm.MyAuditVal,_xlfn.XLOOKUP($A300,My_Audit!$A:$A,My_Audit!I:I,""),
_xlfn.IFS(_xlpm.MyAuditVal&lt;&gt;"",UPPER(_xlpm.MyAuditVal),_xlpm.MacVal&lt;&gt;"",_xlpm.MacVal,_xlpm.CSVVal&lt;&gt;"",_xlpm.CSVVal
)),"")</f>
        <v/>
      </c>
      <c r="K300" s="45" t="str" cm="1">
        <f t="array" ref="K300">IFERROR(_xlfn.LET(
_xlpm.CSVVal,_xlfn.XLOOKUP($A300,CSV!$A:$A,CSV!N:N,""),
_xlpm.MacVal,_xlfn.XLOOKUP($A300,Output_Mac!$A:$A,Output_Mac!L:L,""),
_xlpm.MyAuditVal,_xlfn.XLOOKUP($A300,My_Audit!$A:$A,My_Audit!J:J,""),
_xlfn.IFS(_xlpm.MyAuditVal&lt;&gt;"",UPPER(_xlpm.MyAuditVal),_xlpm.MacVal&lt;&gt;"",_xlpm.MacVal,_xlpm.CSVVal&lt;&gt;"",_xlpm.CSVVal
)),"")</f>
        <v/>
      </c>
      <c r="L300" s="46" t="str" cm="1">
        <f t="array" ref="L300">IFERROR(_xlfn.LET(
_xlpm.CSVVal,_xlfn.XLOOKUP($A300,CSV!$A:$A,CSV!Q:Q,""),
_xlpm.MacVal,_xlfn.XLOOKUP($A300,Output_Mac!$A:$A,Output_Mac!M:M,""),
_xlpm.MyAuditVal,_xlfn.XLOOKUP($A300,My_Audit!$A:$A,My_Audit!K:K,""),
_xlfn.IFS(_xlpm.MyAuditVal&lt;&gt;"",UPPER(_xlpm.MyAuditVal),_xlpm.MacVal&lt;&gt;"",_xlpm.MacVal,_xlpm.CSVVal&lt;&gt;"",_xlpm.CSVVal
)),"")</f>
        <v/>
      </c>
      <c r="M300" s="45" t="str">
        <f>_xlfn.LET(
    _xlpm.CSVVal, _xlfn.XLOOKUP($A300, CSV!$A:$A, CSV!AE:AE, ""),
    _xlpm.MacVal, _xlfn.XLOOKUP($A300, Output_Mac!$A:$A, Output_Mac!S:S, ""),
    _xlpm.MyAuditVal, _xlfn.XLOOKUP($A300, My_Audit!$A:$A, My_Audit!N:N, ""),
    _xlfn.TEXTJOIN(", ", TRUE, _xlpm.MyAuditVal, _xlpm.MacVal, _xlpm.CSVVal)
)</f>
        <v/>
      </c>
      <c r="N300" s="45" t="str" cm="1">
        <f t="array" ref="N300">IFERROR(_xlfn.LET(
_xlpm.CSVVal,_xlfn.XLOOKUP($A300,CSV!$A:$A,CSV!AG:AG,""),
_xlpm.MacVal,_xlfn.XLOOKUP($A300,Output_Mac!$A:$A,Output_Mac!U:U,""),
_xlpm.MyAuditVal,_xlfn.XLOOKUP($A300,My_Audit!$A:$A,My_Audit!O:O,""),
_xlfn.IFS(_xlpm.MyAuditVal&lt;&gt;"",UPPER(_xlpm.MyAuditVal),_xlpm.MacVal&lt;&gt;"",_xlpm.MacVal,_xlpm.CSVVal&lt;&gt;"",_xlpm.CSVVal
)),"")</f>
        <v/>
      </c>
      <c r="O300" s="46" t="str">
        <f>_xlfn.XLOOKUP(C300,My_Audit!B:B,My_Audit!P:P,"")&amp;""</f>
        <v/>
      </c>
      <c r="P300" s="45"/>
      <c r="Q300" s="46" t="str">
        <f>IF(LEFT(N300,4)="Pass","Nist SP 800-88",My_Audit!R300)&amp;""</f>
        <v/>
      </c>
      <c r="R300" s="45"/>
      <c r="S300" s="45"/>
      <c r="T300" s="46" t="str">
        <f>_xlfn.XLOOKUP(E300,Models!I:I,Models!J:J,"")</f>
        <v/>
      </c>
      <c r="U300" s="45"/>
      <c r="V300" s="45"/>
      <c r="W300" s="38"/>
    </row>
    <row r="301" spans="1:23">
      <c r="A301" s="45" t="str">
        <f>_xlfn.TEXTJOIN("",TRUE,Input!$B$2,ROW(My_Audit!A300))</f>
        <v>XX300</v>
      </c>
      <c r="B301" s="45" t="str">
        <f>_xlfn.TEXTJOIN("-",TRUE,"ITD",Input!$A$2,A301)</f>
        <v>ITD-SHRXXX-XX300</v>
      </c>
      <c r="C301" s="45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46" t="str" cm="1">
        <f t="array" ref="D301">IFERROR(_xlfn.LET(
_xlpm.CSVVal,_xlfn.XLOOKUP($A301,CSV!$A:$A,CSV!C:C,""),
_xlpm.MacVal,_xlfn.XLOOKUP($A301,Output_Mac!$A:$A,Output_Mac!D:D,""),
_xlpm.MyAuditVal,_xlfn.XLOOKUP($A301,My_Audit!$A:$A,My_Audit!C:C,""),
_xlfn.IFS(_xlpm.MyAuditVal&lt;&gt;"",UPPER(_xlpm.MyAuditVal),_xlpm.MacVal&lt;&gt;"",_xlpm.MacVal,_xlpm.CSVVal&lt;&gt;"",_xlpm.CSVVal
)),"")</f>
        <v/>
      </c>
      <c r="E301" s="46" t="str" cm="1">
        <f t="array" ref="E301">IFERROR(_xlfn.LET(
_xlpm.CSVVal,_xlfn.XLOOKUP($A301,CSV!$A:$A,CSV!E:E,""),
_xlpm.MacVal,_xlfn.XLOOKUP($A301,Output_Mac!$A:$A,Output_Mac!C:C,""),
_xlpm.MyAuditVal,_xlfn.XLOOKUP($A301,My_Audit!$A:$A,My_Audit!D:D,""),
_xlfn.IFS(_xlpm.MyAuditVal&lt;&gt;"",_xlpm.MyAuditVal,_xlpm.MacVal&lt;&gt;"",_xlpm.MacVal,_xlpm.CSVVal&lt;&gt;"",_xlpm.CSVVal
)),"")</f>
        <v/>
      </c>
      <c r="F301" s="45" t="str" cm="1">
        <f t="array" ref="F301">IFERROR(_xlfn.LET(
_xlpm.CSVVal,_xlfn.XLOOKUP($A301,CSV!$A:$A,CSV!F:F,""),
_xlpm.MacVal,_xlfn.XLOOKUP($A301,Output_Mac!$A:$A,Output_Mac!F:F,""),
_xlpm.MyAuditVal,_xlfn.XLOOKUP($A301,My_Audit!$A:$A,My_Audit!E:E,""),
_xlfn.IFS(_xlpm.MyAuditVal&lt;&gt;"",_xlpm.MyAuditVal,_xlpm.MacVal&lt;&gt;"",_xlpm.MacVal,_xlpm.CSVVal&lt;&gt;"",PROPER(_xlpm.CSVVal)
)),"")</f>
        <v/>
      </c>
      <c r="G301" s="45" t="str" cm="1">
        <f t="array" ref="G301">IFERROR(_xlfn.LET(
_xlpm.CSVVal,_xlfn.XLOOKUP($A301,CSV!$A:$A,CSV!G:G,""),
_xlpm.MacVal,_xlfn.XLOOKUP($A301,Output_Mac!$A:$A,Output_Mac!H:H,""),
_xlpm.MyAuditVal,_xlfn.XLOOKUP($A301,My_Audit!$A:$A,My_Audit!F:F,""),
_xlfn.IFS(_xlpm.MyAuditVal&lt;&gt;"",_xlpm.MyAuditVal,_xlpm.MacVal&lt;&gt;"",_xlpm.MacVal,_xlpm.CSVVal&lt;&gt;"",_xlpm.CSVVal
)),"")</f>
        <v/>
      </c>
      <c r="H301" s="45" t="str">
        <f>_xlfn.XLOOKUP(A301,Output_Mac!A:A,Output_Mac!I:I,"")</f>
        <v/>
      </c>
      <c r="I301" s="45" t="str" cm="1">
        <f t="array" ref="I301">IFERROR(_xlfn.LET(
_xlpm.CSVVal,_xlfn.XLOOKUP($A301,CSV!$A:$A,CSV!H:H,""),
_xlpm.MacVal,_xlfn.XLOOKUP($A301,Output_Mac!$A:$A,Output_Mac!J:J,""),
_xlpm.MyAuditVal,_xlfn.XLOOKUP($A301,My_Audit!$A:$A,My_Audit!H:H,""),
_xlfn.IFS(_xlpm.MyAuditVal&lt;&gt;"",UPPER(_xlpm.MyAuditVal),_xlpm.MacVal&lt;&gt;"",_xlpm.MacVal,_xlpm.CSVVal&lt;&gt;"",_xlpm.CSVVal
)),"")</f>
        <v/>
      </c>
      <c r="J301" s="45" t="str" cm="1">
        <f t="array" ref="J301">IFERROR(_xlfn.LET(
_xlpm.CSVVal,_xlfn.XLOOKUP($A301,CSV!$A:$A,CSV!J:J,""),
_xlpm.MacVal,_xlfn.XLOOKUP($A301,Output_Mac!$A:$A,Output_Mac!K:K,""),
_xlpm.MyAuditVal,_xlfn.XLOOKUP($A301,My_Audit!$A:$A,My_Audit!I:I,""),
_xlfn.IFS(_xlpm.MyAuditVal&lt;&gt;"",UPPER(_xlpm.MyAuditVal),_xlpm.MacVal&lt;&gt;"",_xlpm.MacVal,_xlpm.CSVVal&lt;&gt;"",_xlpm.CSVVal
)),"")</f>
        <v/>
      </c>
      <c r="K301" s="45" t="str" cm="1">
        <f t="array" ref="K301">IFERROR(_xlfn.LET(
_xlpm.CSVVal,_xlfn.XLOOKUP($A301,CSV!$A:$A,CSV!N:N,""),
_xlpm.MacVal,_xlfn.XLOOKUP($A301,Output_Mac!$A:$A,Output_Mac!L:L,""),
_xlpm.MyAuditVal,_xlfn.XLOOKUP($A301,My_Audit!$A:$A,My_Audit!J:J,""),
_xlfn.IFS(_xlpm.MyAuditVal&lt;&gt;"",UPPER(_xlpm.MyAuditVal),_xlpm.MacVal&lt;&gt;"",_xlpm.MacVal,_xlpm.CSVVal&lt;&gt;"",_xlpm.CSVVal
)),"")</f>
        <v/>
      </c>
      <c r="L301" s="46" t="str" cm="1">
        <f t="array" ref="L301">IFERROR(_xlfn.LET(
_xlpm.CSVVal,_xlfn.XLOOKUP($A301,CSV!$A:$A,CSV!Q:Q,""),
_xlpm.MacVal,_xlfn.XLOOKUP($A301,Output_Mac!$A:$A,Output_Mac!M:M,""),
_xlpm.MyAuditVal,_xlfn.XLOOKUP($A301,My_Audit!$A:$A,My_Audit!K:K,""),
_xlfn.IFS(_xlpm.MyAuditVal&lt;&gt;"",UPPER(_xlpm.MyAuditVal),_xlpm.MacVal&lt;&gt;"",_xlpm.MacVal,_xlpm.CSVVal&lt;&gt;"",_xlpm.CSVVal
)),"")</f>
        <v/>
      </c>
      <c r="M301" s="45" t="str">
        <f>_xlfn.LET(
    _xlpm.CSVVal, _xlfn.XLOOKUP($A301, CSV!$A:$A, CSV!AE:AE, ""),
    _xlpm.MacVal, _xlfn.XLOOKUP($A301, Output_Mac!$A:$A, Output_Mac!S:S, ""),
    _xlpm.MyAuditVal, _xlfn.XLOOKUP($A301, My_Audit!$A:$A, My_Audit!N:N, ""),
    _xlfn.TEXTJOIN(", ", TRUE, _xlpm.MyAuditVal, _xlpm.MacVal, _xlpm.CSVVal)
)</f>
        <v/>
      </c>
      <c r="N301" s="45" t="str" cm="1">
        <f t="array" ref="N301">IFERROR(_xlfn.LET(
_xlpm.CSVVal,_xlfn.XLOOKUP($A301,CSV!$A:$A,CSV!AG:AG,""),
_xlpm.MacVal,_xlfn.XLOOKUP($A301,Output_Mac!$A:$A,Output_Mac!U:U,""),
_xlpm.MyAuditVal,_xlfn.XLOOKUP($A301,My_Audit!$A:$A,My_Audit!O:O,""),
_xlfn.IFS(_xlpm.MyAuditVal&lt;&gt;"",UPPER(_xlpm.MyAuditVal),_xlpm.MacVal&lt;&gt;"",_xlpm.MacVal,_xlpm.CSVVal&lt;&gt;"",_xlpm.CSVVal
)),"")</f>
        <v/>
      </c>
      <c r="O301" s="46" t="str">
        <f>_xlfn.XLOOKUP(C301,My_Audit!B:B,My_Audit!P:P,"")&amp;""</f>
        <v/>
      </c>
      <c r="P301" s="45"/>
      <c r="Q301" s="46" t="str">
        <f>IF(LEFT(N301,4)="Pass","Nist SP 800-88",My_Audit!R301)&amp;""</f>
        <v/>
      </c>
      <c r="R301" s="45"/>
      <c r="S301" s="45"/>
      <c r="T301" s="46" t="str">
        <f>_xlfn.XLOOKUP(E301,Models!I:I,Models!J:J,"")</f>
        <v/>
      </c>
      <c r="U301" s="45"/>
      <c r="V301" s="45"/>
      <c r="W301" s="38"/>
    </row>
    <row r="302" spans="1:23">
      <c r="A302" s="45" t="str">
        <f>_xlfn.TEXTJOIN("",TRUE,Input!$B$2,ROW(My_Audit!A301))</f>
        <v>XX301</v>
      </c>
      <c r="B302" s="45" t="str">
        <f>_xlfn.TEXTJOIN("-",TRUE,"ITD",Input!$A$2,A302)</f>
        <v>ITD-SHRXXX-XX301</v>
      </c>
      <c r="C302" s="45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46" t="str" cm="1">
        <f t="array" ref="D302">IFERROR(_xlfn.LET(
_xlpm.CSVVal,_xlfn.XLOOKUP($A302,CSV!$A:$A,CSV!C:C,""),
_xlpm.MacVal,_xlfn.XLOOKUP($A302,Output_Mac!$A:$A,Output_Mac!D:D,""),
_xlpm.MyAuditVal,_xlfn.XLOOKUP($A302,My_Audit!$A:$A,My_Audit!C:C,""),
_xlfn.IFS(_xlpm.MyAuditVal&lt;&gt;"",UPPER(_xlpm.MyAuditVal),_xlpm.MacVal&lt;&gt;"",_xlpm.MacVal,_xlpm.CSVVal&lt;&gt;"",_xlpm.CSVVal
)),"")</f>
        <v/>
      </c>
      <c r="E302" s="46" t="str" cm="1">
        <f t="array" ref="E302">IFERROR(_xlfn.LET(
_xlpm.CSVVal,_xlfn.XLOOKUP($A302,CSV!$A:$A,CSV!E:E,""),
_xlpm.MacVal,_xlfn.XLOOKUP($A302,Output_Mac!$A:$A,Output_Mac!C:C,""),
_xlpm.MyAuditVal,_xlfn.XLOOKUP($A302,My_Audit!$A:$A,My_Audit!D:D,""),
_xlfn.IFS(_xlpm.MyAuditVal&lt;&gt;"",_xlpm.MyAuditVal,_xlpm.MacVal&lt;&gt;"",_xlpm.MacVal,_xlpm.CSVVal&lt;&gt;"",_xlpm.CSVVal
)),"")</f>
        <v/>
      </c>
      <c r="F302" s="45" t="str" cm="1">
        <f t="array" ref="F302">IFERROR(_xlfn.LET(
_xlpm.CSVVal,_xlfn.XLOOKUP($A302,CSV!$A:$A,CSV!F:F,""),
_xlpm.MacVal,_xlfn.XLOOKUP($A302,Output_Mac!$A:$A,Output_Mac!F:F,""),
_xlpm.MyAuditVal,_xlfn.XLOOKUP($A302,My_Audit!$A:$A,My_Audit!E:E,""),
_xlfn.IFS(_xlpm.MyAuditVal&lt;&gt;"",_xlpm.MyAuditVal,_xlpm.MacVal&lt;&gt;"",_xlpm.MacVal,_xlpm.CSVVal&lt;&gt;"",PROPER(_xlpm.CSVVal)
)),"")</f>
        <v/>
      </c>
      <c r="G302" s="45" t="str" cm="1">
        <f t="array" ref="G302">IFERROR(_xlfn.LET(
_xlpm.CSVVal,_xlfn.XLOOKUP($A302,CSV!$A:$A,CSV!G:G,""),
_xlpm.MacVal,_xlfn.XLOOKUP($A302,Output_Mac!$A:$A,Output_Mac!H:H,""),
_xlpm.MyAuditVal,_xlfn.XLOOKUP($A302,My_Audit!$A:$A,My_Audit!F:F,""),
_xlfn.IFS(_xlpm.MyAuditVal&lt;&gt;"",_xlpm.MyAuditVal,_xlpm.MacVal&lt;&gt;"",_xlpm.MacVal,_xlpm.CSVVal&lt;&gt;"",_xlpm.CSVVal
)),"")</f>
        <v/>
      </c>
      <c r="H302" s="45" t="str">
        <f>_xlfn.XLOOKUP(A302,Output_Mac!A:A,Output_Mac!I:I,"")</f>
        <v/>
      </c>
      <c r="I302" s="45" t="str" cm="1">
        <f t="array" ref="I302">IFERROR(_xlfn.LET(
_xlpm.CSVVal,_xlfn.XLOOKUP($A302,CSV!$A:$A,CSV!H:H,""),
_xlpm.MacVal,_xlfn.XLOOKUP($A302,Output_Mac!$A:$A,Output_Mac!J:J,""),
_xlpm.MyAuditVal,_xlfn.XLOOKUP($A302,My_Audit!$A:$A,My_Audit!H:H,""),
_xlfn.IFS(_xlpm.MyAuditVal&lt;&gt;"",UPPER(_xlpm.MyAuditVal),_xlpm.MacVal&lt;&gt;"",_xlpm.MacVal,_xlpm.CSVVal&lt;&gt;"",_xlpm.CSVVal
)),"")</f>
        <v/>
      </c>
      <c r="J302" s="45" t="str" cm="1">
        <f t="array" ref="J302">IFERROR(_xlfn.LET(
_xlpm.CSVVal,_xlfn.XLOOKUP($A302,CSV!$A:$A,CSV!J:J,""),
_xlpm.MacVal,_xlfn.XLOOKUP($A302,Output_Mac!$A:$A,Output_Mac!K:K,""),
_xlpm.MyAuditVal,_xlfn.XLOOKUP($A302,My_Audit!$A:$A,My_Audit!I:I,""),
_xlfn.IFS(_xlpm.MyAuditVal&lt;&gt;"",UPPER(_xlpm.MyAuditVal),_xlpm.MacVal&lt;&gt;"",_xlpm.MacVal,_xlpm.CSVVal&lt;&gt;"",_xlpm.CSVVal
)),"")</f>
        <v/>
      </c>
      <c r="K302" s="45" t="str" cm="1">
        <f t="array" ref="K302">IFERROR(_xlfn.LET(
_xlpm.CSVVal,_xlfn.XLOOKUP($A302,CSV!$A:$A,CSV!N:N,""),
_xlpm.MacVal,_xlfn.XLOOKUP($A302,Output_Mac!$A:$A,Output_Mac!L:L,""),
_xlpm.MyAuditVal,_xlfn.XLOOKUP($A302,My_Audit!$A:$A,My_Audit!J:J,""),
_xlfn.IFS(_xlpm.MyAuditVal&lt;&gt;"",UPPER(_xlpm.MyAuditVal),_xlpm.MacVal&lt;&gt;"",_xlpm.MacVal,_xlpm.CSVVal&lt;&gt;"",_xlpm.CSVVal
)),"")</f>
        <v/>
      </c>
      <c r="L302" s="46" t="str" cm="1">
        <f t="array" ref="L302">IFERROR(_xlfn.LET(
_xlpm.CSVVal,_xlfn.XLOOKUP($A302,CSV!$A:$A,CSV!Q:Q,""),
_xlpm.MacVal,_xlfn.XLOOKUP($A302,Output_Mac!$A:$A,Output_Mac!M:M,""),
_xlpm.MyAuditVal,_xlfn.XLOOKUP($A302,My_Audit!$A:$A,My_Audit!K:K,""),
_xlfn.IFS(_xlpm.MyAuditVal&lt;&gt;"",UPPER(_xlpm.MyAuditVal),_xlpm.MacVal&lt;&gt;"",_xlpm.MacVal,_xlpm.CSVVal&lt;&gt;"",_xlpm.CSVVal
)),"")</f>
        <v/>
      </c>
      <c r="M302" s="45" t="str">
        <f>_xlfn.LET(
    _xlpm.CSVVal, _xlfn.XLOOKUP($A302, CSV!$A:$A, CSV!AE:AE, ""),
    _xlpm.MacVal, _xlfn.XLOOKUP($A302, Output_Mac!$A:$A, Output_Mac!S:S, ""),
    _xlpm.MyAuditVal, _xlfn.XLOOKUP($A302, My_Audit!$A:$A, My_Audit!N:N, ""),
    _xlfn.TEXTJOIN(", ", TRUE, _xlpm.MyAuditVal, _xlpm.MacVal, _xlpm.CSVVal)
)</f>
        <v/>
      </c>
      <c r="N302" s="45" t="str" cm="1">
        <f t="array" ref="N302">IFERROR(_xlfn.LET(
_xlpm.CSVVal,_xlfn.XLOOKUP($A302,CSV!$A:$A,CSV!AG:AG,""),
_xlpm.MacVal,_xlfn.XLOOKUP($A302,Output_Mac!$A:$A,Output_Mac!U:U,""),
_xlpm.MyAuditVal,_xlfn.XLOOKUP($A302,My_Audit!$A:$A,My_Audit!O:O,""),
_xlfn.IFS(_xlpm.MyAuditVal&lt;&gt;"",UPPER(_xlpm.MyAuditVal),_xlpm.MacVal&lt;&gt;"",_xlpm.MacVal,_xlpm.CSVVal&lt;&gt;"",_xlpm.CSVVal
)),"")</f>
        <v/>
      </c>
      <c r="O302" s="46" t="str">
        <f>_xlfn.XLOOKUP(C302,My_Audit!B:B,My_Audit!P:P,"")&amp;""</f>
        <v/>
      </c>
      <c r="P302" s="45"/>
      <c r="Q302" s="46" t="str">
        <f>IF(LEFT(N302,4)="Pass","Nist SP 800-88",My_Audit!R302)&amp;""</f>
        <v/>
      </c>
      <c r="R302" s="45"/>
      <c r="S302" s="45"/>
      <c r="T302" s="46" t="str">
        <f>_xlfn.XLOOKUP(E302,Models!I:I,Models!J:J,"")</f>
        <v/>
      </c>
      <c r="U302" s="45"/>
      <c r="V302" s="45"/>
      <c r="W302" s="38"/>
    </row>
    <row r="303" spans="1:23">
      <c r="A303" s="45" t="str">
        <f>_xlfn.TEXTJOIN("",TRUE,Input!$B$2,ROW(My_Audit!A302))</f>
        <v>XX302</v>
      </c>
      <c r="B303" s="45" t="str">
        <f>_xlfn.TEXTJOIN("-",TRUE,"ITD",Input!$A$2,A303)</f>
        <v>ITD-SHRXXX-XX302</v>
      </c>
      <c r="C303" s="45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46" t="str" cm="1">
        <f t="array" ref="D303">IFERROR(_xlfn.LET(
_xlpm.CSVVal,_xlfn.XLOOKUP($A303,CSV!$A:$A,CSV!C:C,""),
_xlpm.MacVal,_xlfn.XLOOKUP($A303,Output_Mac!$A:$A,Output_Mac!D:D,""),
_xlpm.MyAuditVal,_xlfn.XLOOKUP($A303,My_Audit!$A:$A,My_Audit!C:C,""),
_xlfn.IFS(_xlpm.MyAuditVal&lt;&gt;"",UPPER(_xlpm.MyAuditVal),_xlpm.MacVal&lt;&gt;"",_xlpm.MacVal,_xlpm.CSVVal&lt;&gt;"",_xlpm.CSVVal
)),"")</f>
        <v/>
      </c>
      <c r="E303" s="46" t="str" cm="1">
        <f t="array" ref="E303">IFERROR(_xlfn.LET(
_xlpm.CSVVal,_xlfn.XLOOKUP($A303,CSV!$A:$A,CSV!E:E,""),
_xlpm.MacVal,_xlfn.XLOOKUP($A303,Output_Mac!$A:$A,Output_Mac!C:C,""),
_xlpm.MyAuditVal,_xlfn.XLOOKUP($A303,My_Audit!$A:$A,My_Audit!D:D,""),
_xlfn.IFS(_xlpm.MyAuditVal&lt;&gt;"",_xlpm.MyAuditVal,_xlpm.MacVal&lt;&gt;"",_xlpm.MacVal,_xlpm.CSVVal&lt;&gt;"",_xlpm.CSVVal
)),"")</f>
        <v/>
      </c>
      <c r="F303" s="45" t="str" cm="1">
        <f t="array" ref="F303">IFERROR(_xlfn.LET(
_xlpm.CSVVal,_xlfn.XLOOKUP($A303,CSV!$A:$A,CSV!F:F,""),
_xlpm.MacVal,_xlfn.XLOOKUP($A303,Output_Mac!$A:$A,Output_Mac!F:F,""),
_xlpm.MyAuditVal,_xlfn.XLOOKUP($A303,My_Audit!$A:$A,My_Audit!E:E,""),
_xlfn.IFS(_xlpm.MyAuditVal&lt;&gt;"",_xlpm.MyAuditVal,_xlpm.MacVal&lt;&gt;"",_xlpm.MacVal,_xlpm.CSVVal&lt;&gt;"",PROPER(_xlpm.CSVVal)
)),"")</f>
        <v/>
      </c>
      <c r="G303" s="45" t="str" cm="1">
        <f t="array" ref="G303">IFERROR(_xlfn.LET(
_xlpm.CSVVal,_xlfn.XLOOKUP($A303,CSV!$A:$A,CSV!G:G,""),
_xlpm.MacVal,_xlfn.XLOOKUP($A303,Output_Mac!$A:$A,Output_Mac!H:H,""),
_xlpm.MyAuditVal,_xlfn.XLOOKUP($A303,My_Audit!$A:$A,My_Audit!F:F,""),
_xlfn.IFS(_xlpm.MyAuditVal&lt;&gt;"",_xlpm.MyAuditVal,_xlpm.MacVal&lt;&gt;"",_xlpm.MacVal,_xlpm.CSVVal&lt;&gt;"",_xlpm.CSVVal
)),"")</f>
        <v/>
      </c>
      <c r="H303" s="45" t="str">
        <f>_xlfn.XLOOKUP(A303,Output_Mac!A:A,Output_Mac!I:I,"")</f>
        <v/>
      </c>
      <c r="I303" s="45" t="str" cm="1">
        <f t="array" ref="I303">IFERROR(_xlfn.LET(
_xlpm.CSVVal,_xlfn.XLOOKUP($A303,CSV!$A:$A,CSV!H:H,""),
_xlpm.MacVal,_xlfn.XLOOKUP($A303,Output_Mac!$A:$A,Output_Mac!J:J,""),
_xlpm.MyAuditVal,_xlfn.XLOOKUP($A303,My_Audit!$A:$A,My_Audit!H:H,""),
_xlfn.IFS(_xlpm.MyAuditVal&lt;&gt;"",UPPER(_xlpm.MyAuditVal),_xlpm.MacVal&lt;&gt;"",_xlpm.MacVal,_xlpm.CSVVal&lt;&gt;"",_xlpm.CSVVal
)),"")</f>
        <v/>
      </c>
      <c r="J303" s="45" t="str" cm="1">
        <f t="array" ref="J303">IFERROR(_xlfn.LET(
_xlpm.CSVVal,_xlfn.XLOOKUP($A303,CSV!$A:$A,CSV!J:J,""),
_xlpm.MacVal,_xlfn.XLOOKUP($A303,Output_Mac!$A:$A,Output_Mac!K:K,""),
_xlpm.MyAuditVal,_xlfn.XLOOKUP($A303,My_Audit!$A:$A,My_Audit!I:I,""),
_xlfn.IFS(_xlpm.MyAuditVal&lt;&gt;"",UPPER(_xlpm.MyAuditVal),_xlpm.MacVal&lt;&gt;"",_xlpm.MacVal,_xlpm.CSVVal&lt;&gt;"",_xlpm.CSVVal
)),"")</f>
        <v/>
      </c>
      <c r="K303" s="45" t="str" cm="1">
        <f t="array" ref="K303">IFERROR(_xlfn.LET(
_xlpm.CSVVal,_xlfn.XLOOKUP($A303,CSV!$A:$A,CSV!N:N,""),
_xlpm.MacVal,_xlfn.XLOOKUP($A303,Output_Mac!$A:$A,Output_Mac!L:L,""),
_xlpm.MyAuditVal,_xlfn.XLOOKUP($A303,My_Audit!$A:$A,My_Audit!J:J,""),
_xlfn.IFS(_xlpm.MyAuditVal&lt;&gt;"",UPPER(_xlpm.MyAuditVal),_xlpm.MacVal&lt;&gt;"",_xlpm.MacVal,_xlpm.CSVVal&lt;&gt;"",_xlpm.CSVVal
)),"")</f>
        <v/>
      </c>
      <c r="L303" s="46" t="str" cm="1">
        <f t="array" ref="L303">IFERROR(_xlfn.LET(
_xlpm.CSVVal,_xlfn.XLOOKUP($A303,CSV!$A:$A,CSV!Q:Q,""),
_xlpm.MacVal,_xlfn.XLOOKUP($A303,Output_Mac!$A:$A,Output_Mac!M:M,""),
_xlpm.MyAuditVal,_xlfn.XLOOKUP($A303,My_Audit!$A:$A,My_Audit!K:K,""),
_xlfn.IFS(_xlpm.MyAuditVal&lt;&gt;"",UPPER(_xlpm.MyAuditVal),_xlpm.MacVal&lt;&gt;"",_xlpm.MacVal,_xlpm.CSVVal&lt;&gt;"",_xlpm.CSVVal
)),"")</f>
        <v/>
      </c>
      <c r="M303" s="45" t="str">
        <f>_xlfn.LET(
    _xlpm.CSVVal, _xlfn.XLOOKUP($A303, CSV!$A:$A, CSV!AE:AE, ""),
    _xlpm.MacVal, _xlfn.XLOOKUP($A303, Output_Mac!$A:$A, Output_Mac!S:S, ""),
    _xlpm.MyAuditVal, _xlfn.XLOOKUP($A303, My_Audit!$A:$A, My_Audit!N:N, ""),
    _xlfn.TEXTJOIN(", ", TRUE, _xlpm.MyAuditVal, _xlpm.MacVal, _xlpm.CSVVal)
)</f>
        <v/>
      </c>
      <c r="N303" s="45" t="str" cm="1">
        <f t="array" ref="N303">IFERROR(_xlfn.LET(
_xlpm.CSVVal,_xlfn.XLOOKUP($A303,CSV!$A:$A,CSV!AG:AG,""),
_xlpm.MacVal,_xlfn.XLOOKUP($A303,Output_Mac!$A:$A,Output_Mac!U:U,""),
_xlpm.MyAuditVal,_xlfn.XLOOKUP($A303,My_Audit!$A:$A,My_Audit!O:O,""),
_xlfn.IFS(_xlpm.MyAuditVal&lt;&gt;"",UPPER(_xlpm.MyAuditVal),_xlpm.MacVal&lt;&gt;"",_xlpm.MacVal,_xlpm.CSVVal&lt;&gt;"",_xlpm.CSVVal
)),"")</f>
        <v/>
      </c>
      <c r="O303" s="46" t="str">
        <f>_xlfn.XLOOKUP(C303,My_Audit!B:B,My_Audit!P:P,"")&amp;""</f>
        <v/>
      </c>
      <c r="P303" s="45"/>
      <c r="Q303" s="46" t="str">
        <f>IF(LEFT(N303,4)="Pass","Nist SP 800-88",My_Audit!R303)&amp;""</f>
        <v/>
      </c>
      <c r="R303" s="45"/>
      <c r="S303" s="45"/>
      <c r="T303" s="46" t="str">
        <f>_xlfn.XLOOKUP(E303,Models!I:I,Models!J:J,"")</f>
        <v/>
      </c>
      <c r="U303" s="45"/>
      <c r="V303" s="45"/>
      <c r="W303" s="38"/>
    </row>
    <row r="304" spans="1:23">
      <c r="A304" s="45" t="str">
        <f>_xlfn.TEXTJOIN("",TRUE,Input!$B$2,ROW(My_Audit!A303))</f>
        <v>XX303</v>
      </c>
      <c r="B304" s="45" t="str">
        <f>_xlfn.TEXTJOIN("-",TRUE,"ITD",Input!$A$2,A304)</f>
        <v>ITD-SHRXXX-XX303</v>
      </c>
      <c r="C304" s="45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46" t="str" cm="1">
        <f t="array" ref="D304">IFERROR(_xlfn.LET(
_xlpm.CSVVal,_xlfn.XLOOKUP($A304,CSV!$A:$A,CSV!C:C,""),
_xlpm.MacVal,_xlfn.XLOOKUP($A304,Output_Mac!$A:$A,Output_Mac!D:D,""),
_xlpm.MyAuditVal,_xlfn.XLOOKUP($A304,My_Audit!$A:$A,My_Audit!C:C,""),
_xlfn.IFS(_xlpm.MyAuditVal&lt;&gt;"",UPPER(_xlpm.MyAuditVal),_xlpm.MacVal&lt;&gt;"",_xlpm.MacVal,_xlpm.CSVVal&lt;&gt;"",_xlpm.CSVVal
)),"")</f>
        <v/>
      </c>
      <c r="E304" s="46" t="str" cm="1">
        <f t="array" ref="E304">IFERROR(_xlfn.LET(
_xlpm.CSVVal,_xlfn.XLOOKUP($A304,CSV!$A:$A,CSV!E:E,""),
_xlpm.MacVal,_xlfn.XLOOKUP($A304,Output_Mac!$A:$A,Output_Mac!C:C,""),
_xlpm.MyAuditVal,_xlfn.XLOOKUP($A304,My_Audit!$A:$A,My_Audit!D:D,""),
_xlfn.IFS(_xlpm.MyAuditVal&lt;&gt;"",_xlpm.MyAuditVal,_xlpm.MacVal&lt;&gt;"",_xlpm.MacVal,_xlpm.CSVVal&lt;&gt;"",_xlpm.CSVVal
)),"")</f>
        <v/>
      </c>
      <c r="F304" s="45" t="str" cm="1">
        <f t="array" ref="F304">IFERROR(_xlfn.LET(
_xlpm.CSVVal,_xlfn.XLOOKUP($A304,CSV!$A:$A,CSV!F:F,""),
_xlpm.MacVal,_xlfn.XLOOKUP($A304,Output_Mac!$A:$A,Output_Mac!F:F,""),
_xlpm.MyAuditVal,_xlfn.XLOOKUP($A304,My_Audit!$A:$A,My_Audit!E:E,""),
_xlfn.IFS(_xlpm.MyAuditVal&lt;&gt;"",_xlpm.MyAuditVal,_xlpm.MacVal&lt;&gt;"",_xlpm.MacVal,_xlpm.CSVVal&lt;&gt;"",PROPER(_xlpm.CSVVal)
)),"")</f>
        <v/>
      </c>
      <c r="G304" s="45" t="str" cm="1">
        <f t="array" ref="G304">IFERROR(_xlfn.LET(
_xlpm.CSVVal,_xlfn.XLOOKUP($A304,CSV!$A:$A,CSV!G:G,""),
_xlpm.MacVal,_xlfn.XLOOKUP($A304,Output_Mac!$A:$A,Output_Mac!H:H,""),
_xlpm.MyAuditVal,_xlfn.XLOOKUP($A304,My_Audit!$A:$A,My_Audit!F:F,""),
_xlfn.IFS(_xlpm.MyAuditVal&lt;&gt;"",_xlpm.MyAuditVal,_xlpm.MacVal&lt;&gt;"",_xlpm.MacVal,_xlpm.CSVVal&lt;&gt;"",_xlpm.CSVVal
)),"")</f>
        <v/>
      </c>
      <c r="H304" s="45" t="str">
        <f>_xlfn.XLOOKUP(A304,Output_Mac!A:A,Output_Mac!I:I,"")</f>
        <v/>
      </c>
      <c r="I304" s="45" t="str" cm="1">
        <f t="array" ref="I304">IFERROR(_xlfn.LET(
_xlpm.CSVVal,_xlfn.XLOOKUP($A304,CSV!$A:$A,CSV!H:H,""),
_xlpm.MacVal,_xlfn.XLOOKUP($A304,Output_Mac!$A:$A,Output_Mac!J:J,""),
_xlpm.MyAuditVal,_xlfn.XLOOKUP($A304,My_Audit!$A:$A,My_Audit!H:H,""),
_xlfn.IFS(_xlpm.MyAuditVal&lt;&gt;"",UPPER(_xlpm.MyAuditVal),_xlpm.MacVal&lt;&gt;"",_xlpm.MacVal,_xlpm.CSVVal&lt;&gt;"",_xlpm.CSVVal
)),"")</f>
        <v/>
      </c>
      <c r="J304" s="45" t="str" cm="1">
        <f t="array" ref="J304">IFERROR(_xlfn.LET(
_xlpm.CSVVal,_xlfn.XLOOKUP($A304,CSV!$A:$A,CSV!J:J,""),
_xlpm.MacVal,_xlfn.XLOOKUP($A304,Output_Mac!$A:$A,Output_Mac!K:K,""),
_xlpm.MyAuditVal,_xlfn.XLOOKUP($A304,My_Audit!$A:$A,My_Audit!I:I,""),
_xlfn.IFS(_xlpm.MyAuditVal&lt;&gt;"",UPPER(_xlpm.MyAuditVal),_xlpm.MacVal&lt;&gt;"",_xlpm.MacVal,_xlpm.CSVVal&lt;&gt;"",_xlpm.CSVVal
)),"")</f>
        <v/>
      </c>
      <c r="K304" s="45" t="str" cm="1">
        <f t="array" ref="K304">IFERROR(_xlfn.LET(
_xlpm.CSVVal,_xlfn.XLOOKUP($A304,CSV!$A:$A,CSV!N:N,""),
_xlpm.MacVal,_xlfn.XLOOKUP($A304,Output_Mac!$A:$A,Output_Mac!L:L,""),
_xlpm.MyAuditVal,_xlfn.XLOOKUP($A304,My_Audit!$A:$A,My_Audit!J:J,""),
_xlfn.IFS(_xlpm.MyAuditVal&lt;&gt;"",UPPER(_xlpm.MyAuditVal),_xlpm.MacVal&lt;&gt;"",_xlpm.MacVal,_xlpm.CSVVal&lt;&gt;"",_xlpm.CSVVal
)),"")</f>
        <v/>
      </c>
      <c r="L304" s="46" t="str" cm="1">
        <f t="array" ref="L304">IFERROR(_xlfn.LET(
_xlpm.CSVVal,_xlfn.XLOOKUP($A304,CSV!$A:$A,CSV!Q:Q,""),
_xlpm.MacVal,_xlfn.XLOOKUP($A304,Output_Mac!$A:$A,Output_Mac!M:M,""),
_xlpm.MyAuditVal,_xlfn.XLOOKUP($A304,My_Audit!$A:$A,My_Audit!K:K,""),
_xlfn.IFS(_xlpm.MyAuditVal&lt;&gt;"",UPPER(_xlpm.MyAuditVal),_xlpm.MacVal&lt;&gt;"",_xlpm.MacVal,_xlpm.CSVVal&lt;&gt;"",_xlpm.CSVVal
)),"")</f>
        <v/>
      </c>
      <c r="M304" s="45" t="str">
        <f>_xlfn.LET(
    _xlpm.CSVVal, _xlfn.XLOOKUP($A304, CSV!$A:$A, CSV!AE:AE, ""),
    _xlpm.MacVal, _xlfn.XLOOKUP($A304, Output_Mac!$A:$A, Output_Mac!S:S, ""),
    _xlpm.MyAuditVal, _xlfn.XLOOKUP($A304, My_Audit!$A:$A, My_Audit!N:N, ""),
    _xlfn.TEXTJOIN(", ", TRUE, _xlpm.MyAuditVal, _xlpm.MacVal, _xlpm.CSVVal)
)</f>
        <v/>
      </c>
      <c r="N304" s="45" t="str" cm="1">
        <f t="array" ref="N304">IFERROR(_xlfn.LET(
_xlpm.CSVVal,_xlfn.XLOOKUP($A304,CSV!$A:$A,CSV!AG:AG,""),
_xlpm.MacVal,_xlfn.XLOOKUP($A304,Output_Mac!$A:$A,Output_Mac!U:U,""),
_xlpm.MyAuditVal,_xlfn.XLOOKUP($A304,My_Audit!$A:$A,My_Audit!O:O,""),
_xlfn.IFS(_xlpm.MyAuditVal&lt;&gt;"",UPPER(_xlpm.MyAuditVal),_xlpm.MacVal&lt;&gt;"",_xlpm.MacVal,_xlpm.CSVVal&lt;&gt;"",_xlpm.CSVVal
)),"")</f>
        <v/>
      </c>
      <c r="O304" s="46" t="str">
        <f>_xlfn.XLOOKUP(C304,My_Audit!B:B,My_Audit!P:P,"")&amp;""</f>
        <v/>
      </c>
      <c r="P304" s="45"/>
      <c r="Q304" s="46" t="str">
        <f>IF(LEFT(N304,4)="Pass","Nist SP 800-88",My_Audit!R304)&amp;""</f>
        <v/>
      </c>
      <c r="R304" s="45"/>
      <c r="S304" s="45"/>
      <c r="T304" s="46" t="str">
        <f>_xlfn.XLOOKUP(E304,Models!I:I,Models!J:J,"")</f>
        <v/>
      </c>
      <c r="U304" s="45"/>
      <c r="V304" s="45"/>
      <c r="W304" s="38"/>
    </row>
    <row r="305" spans="1:23">
      <c r="A305" s="45" t="str">
        <f>_xlfn.TEXTJOIN("",TRUE,Input!$B$2,ROW(My_Audit!A304))</f>
        <v>XX304</v>
      </c>
      <c r="B305" s="45" t="str">
        <f>_xlfn.TEXTJOIN("-",TRUE,"ITD",Input!$A$2,A305)</f>
        <v>ITD-SHRXXX-XX304</v>
      </c>
      <c r="C305" s="45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46" t="str" cm="1">
        <f t="array" ref="D305">IFERROR(_xlfn.LET(
_xlpm.CSVVal,_xlfn.XLOOKUP($A305,CSV!$A:$A,CSV!C:C,""),
_xlpm.MacVal,_xlfn.XLOOKUP($A305,Output_Mac!$A:$A,Output_Mac!D:D,""),
_xlpm.MyAuditVal,_xlfn.XLOOKUP($A305,My_Audit!$A:$A,My_Audit!C:C,""),
_xlfn.IFS(_xlpm.MyAuditVal&lt;&gt;"",UPPER(_xlpm.MyAuditVal),_xlpm.MacVal&lt;&gt;"",_xlpm.MacVal,_xlpm.CSVVal&lt;&gt;"",_xlpm.CSVVal
)),"")</f>
        <v/>
      </c>
      <c r="E305" s="46" t="str" cm="1">
        <f t="array" ref="E305">IFERROR(_xlfn.LET(
_xlpm.CSVVal,_xlfn.XLOOKUP($A305,CSV!$A:$A,CSV!E:E,""),
_xlpm.MacVal,_xlfn.XLOOKUP($A305,Output_Mac!$A:$A,Output_Mac!C:C,""),
_xlpm.MyAuditVal,_xlfn.XLOOKUP($A305,My_Audit!$A:$A,My_Audit!D:D,""),
_xlfn.IFS(_xlpm.MyAuditVal&lt;&gt;"",_xlpm.MyAuditVal,_xlpm.MacVal&lt;&gt;"",_xlpm.MacVal,_xlpm.CSVVal&lt;&gt;"",_xlpm.CSVVal
)),"")</f>
        <v/>
      </c>
      <c r="F305" s="45" t="str" cm="1">
        <f t="array" ref="F305">IFERROR(_xlfn.LET(
_xlpm.CSVVal,_xlfn.XLOOKUP($A305,CSV!$A:$A,CSV!F:F,""),
_xlpm.MacVal,_xlfn.XLOOKUP($A305,Output_Mac!$A:$A,Output_Mac!F:F,""),
_xlpm.MyAuditVal,_xlfn.XLOOKUP($A305,My_Audit!$A:$A,My_Audit!E:E,""),
_xlfn.IFS(_xlpm.MyAuditVal&lt;&gt;"",_xlpm.MyAuditVal,_xlpm.MacVal&lt;&gt;"",_xlpm.MacVal,_xlpm.CSVVal&lt;&gt;"",PROPER(_xlpm.CSVVal)
)),"")</f>
        <v/>
      </c>
      <c r="G305" s="45" t="str" cm="1">
        <f t="array" ref="G305">IFERROR(_xlfn.LET(
_xlpm.CSVVal,_xlfn.XLOOKUP($A305,CSV!$A:$A,CSV!G:G,""),
_xlpm.MacVal,_xlfn.XLOOKUP($A305,Output_Mac!$A:$A,Output_Mac!H:H,""),
_xlpm.MyAuditVal,_xlfn.XLOOKUP($A305,My_Audit!$A:$A,My_Audit!F:F,""),
_xlfn.IFS(_xlpm.MyAuditVal&lt;&gt;"",_xlpm.MyAuditVal,_xlpm.MacVal&lt;&gt;"",_xlpm.MacVal,_xlpm.CSVVal&lt;&gt;"",_xlpm.CSVVal
)),"")</f>
        <v/>
      </c>
      <c r="H305" s="45" t="str">
        <f>_xlfn.XLOOKUP(A305,Output_Mac!A:A,Output_Mac!I:I,"")</f>
        <v/>
      </c>
      <c r="I305" s="45" t="str" cm="1">
        <f t="array" ref="I305">IFERROR(_xlfn.LET(
_xlpm.CSVVal,_xlfn.XLOOKUP($A305,CSV!$A:$A,CSV!H:H,""),
_xlpm.MacVal,_xlfn.XLOOKUP($A305,Output_Mac!$A:$A,Output_Mac!J:J,""),
_xlpm.MyAuditVal,_xlfn.XLOOKUP($A305,My_Audit!$A:$A,My_Audit!H:H,""),
_xlfn.IFS(_xlpm.MyAuditVal&lt;&gt;"",UPPER(_xlpm.MyAuditVal),_xlpm.MacVal&lt;&gt;"",_xlpm.MacVal,_xlpm.CSVVal&lt;&gt;"",_xlpm.CSVVal
)),"")</f>
        <v/>
      </c>
      <c r="J305" s="45" t="str" cm="1">
        <f t="array" ref="J305">IFERROR(_xlfn.LET(
_xlpm.CSVVal,_xlfn.XLOOKUP($A305,CSV!$A:$A,CSV!J:J,""),
_xlpm.MacVal,_xlfn.XLOOKUP($A305,Output_Mac!$A:$A,Output_Mac!K:K,""),
_xlpm.MyAuditVal,_xlfn.XLOOKUP($A305,My_Audit!$A:$A,My_Audit!I:I,""),
_xlfn.IFS(_xlpm.MyAuditVal&lt;&gt;"",UPPER(_xlpm.MyAuditVal),_xlpm.MacVal&lt;&gt;"",_xlpm.MacVal,_xlpm.CSVVal&lt;&gt;"",_xlpm.CSVVal
)),"")</f>
        <v/>
      </c>
      <c r="K305" s="45" t="str" cm="1">
        <f t="array" ref="K305">IFERROR(_xlfn.LET(
_xlpm.CSVVal,_xlfn.XLOOKUP($A305,CSV!$A:$A,CSV!N:N,""),
_xlpm.MacVal,_xlfn.XLOOKUP($A305,Output_Mac!$A:$A,Output_Mac!L:L,""),
_xlpm.MyAuditVal,_xlfn.XLOOKUP($A305,My_Audit!$A:$A,My_Audit!J:J,""),
_xlfn.IFS(_xlpm.MyAuditVal&lt;&gt;"",UPPER(_xlpm.MyAuditVal),_xlpm.MacVal&lt;&gt;"",_xlpm.MacVal,_xlpm.CSVVal&lt;&gt;"",_xlpm.CSVVal
)),"")</f>
        <v/>
      </c>
      <c r="L305" s="46" t="str" cm="1">
        <f t="array" ref="L305">IFERROR(_xlfn.LET(
_xlpm.CSVVal,_xlfn.XLOOKUP($A305,CSV!$A:$A,CSV!Q:Q,""),
_xlpm.MacVal,_xlfn.XLOOKUP($A305,Output_Mac!$A:$A,Output_Mac!M:M,""),
_xlpm.MyAuditVal,_xlfn.XLOOKUP($A305,My_Audit!$A:$A,My_Audit!K:K,""),
_xlfn.IFS(_xlpm.MyAuditVal&lt;&gt;"",UPPER(_xlpm.MyAuditVal),_xlpm.MacVal&lt;&gt;"",_xlpm.MacVal,_xlpm.CSVVal&lt;&gt;"",_xlpm.CSVVal
)),"")</f>
        <v/>
      </c>
      <c r="M305" s="45" t="str">
        <f>_xlfn.LET(
    _xlpm.CSVVal, _xlfn.XLOOKUP($A305, CSV!$A:$A, CSV!AE:AE, ""),
    _xlpm.MacVal, _xlfn.XLOOKUP($A305, Output_Mac!$A:$A, Output_Mac!S:S, ""),
    _xlpm.MyAuditVal, _xlfn.XLOOKUP($A305, My_Audit!$A:$A, My_Audit!N:N, ""),
    _xlfn.TEXTJOIN(", ", TRUE, _xlpm.MyAuditVal, _xlpm.MacVal, _xlpm.CSVVal)
)</f>
        <v/>
      </c>
      <c r="N305" s="45" t="str" cm="1">
        <f t="array" ref="N305">IFERROR(_xlfn.LET(
_xlpm.CSVVal,_xlfn.XLOOKUP($A305,CSV!$A:$A,CSV!AG:AG,""),
_xlpm.MacVal,_xlfn.XLOOKUP($A305,Output_Mac!$A:$A,Output_Mac!U:U,""),
_xlpm.MyAuditVal,_xlfn.XLOOKUP($A305,My_Audit!$A:$A,My_Audit!O:O,""),
_xlfn.IFS(_xlpm.MyAuditVal&lt;&gt;"",UPPER(_xlpm.MyAuditVal),_xlpm.MacVal&lt;&gt;"",_xlpm.MacVal,_xlpm.CSVVal&lt;&gt;"",_xlpm.CSVVal
)),"")</f>
        <v/>
      </c>
      <c r="O305" s="46" t="str">
        <f>_xlfn.XLOOKUP(C305,My_Audit!B:B,My_Audit!P:P,"")&amp;""</f>
        <v/>
      </c>
      <c r="P305" s="45"/>
      <c r="Q305" s="46" t="str">
        <f>IF(LEFT(N305,4)="Pass","Nist SP 800-88",My_Audit!R305)&amp;""</f>
        <v/>
      </c>
      <c r="R305" s="45"/>
      <c r="S305" s="45"/>
      <c r="T305" s="46" t="str">
        <f>_xlfn.XLOOKUP(E305,Models!I:I,Models!J:J,"")</f>
        <v/>
      </c>
      <c r="U305" s="45"/>
      <c r="V305" s="45"/>
      <c r="W305" s="38"/>
    </row>
    <row r="306" spans="1:23">
      <c r="A306" s="45" t="str">
        <f>_xlfn.TEXTJOIN("",TRUE,Input!$B$2,ROW(My_Audit!A305))</f>
        <v>XX305</v>
      </c>
      <c r="B306" s="45" t="str">
        <f>_xlfn.TEXTJOIN("-",TRUE,"ITD",Input!$A$2,A306)</f>
        <v>ITD-SHRXXX-XX305</v>
      </c>
      <c r="C306" s="45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46" t="str" cm="1">
        <f t="array" ref="D306">IFERROR(_xlfn.LET(
_xlpm.CSVVal,_xlfn.XLOOKUP($A306,CSV!$A:$A,CSV!C:C,""),
_xlpm.MacVal,_xlfn.XLOOKUP($A306,Output_Mac!$A:$A,Output_Mac!D:D,""),
_xlpm.MyAuditVal,_xlfn.XLOOKUP($A306,My_Audit!$A:$A,My_Audit!C:C,""),
_xlfn.IFS(_xlpm.MyAuditVal&lt;&gt;"",UPPER(_xlpm.MyAuditVal),_xlpm.MacVal&lt;&gt;"",_xlpm.MacVal,_xlpm.CSVVal&lt;&gt;"",_xlpm.CSVVal
)),"")</f>
        <v/>
      </c>
      <c r="E306" s="46" t="str" cm="1">
        <f t="array" ref="E306">IFERROR(_xlfn.LET(
_xlpm.CSVVal,_xlfn.XLOOKUP($A306,CSV!$A:$A,CSV!E:E,""),
_xlpm.MacVal,_xlfn.XLOOKUP($A306,Output_Mac!$A:$A,Output_Mac!C:C,""),
_xlpm.MyAuditVal,_xlfn.XLOOKUP($A306,My_Audit!$A:$A,My_Audit!D:D,""),
_xlfn.IFS(_xlpm.MyAuditVal&lt;&gt;"",_xlpm.MyAuditVal,_xlpm.MacVal&lt;&gt;"",_xlpm.MacVal,_xlpm.CSVVal&lt;&gt;"",_xlpm.CSVVal
)),"")</f>
        <v/>
      </c>
      <c r="F306" s="45" t="str" cm="1">
        <f t="array" ref="F306">IFERROR(_xlfn.LET(
_xlpm.CSVVal,_xlfn.XLOOKUP($A306,CSV!$A:$A,CSV!F:F,""),
_xlpm.MacVal,_xlfn.XLOOKUP($A306,Output_Mac!$A:$A,Output_Mac!F:F,""),
_xlpm.MyAuditVal,_xlfn.XLOOKUP($A306,My_Audit!$A:$A,My_Audit!E:E,""),
_xlfn.IFS(_xlpm.MyAuditVal&lt;&gt;"",_xlpm.MyAuditVal,_xlpm.MacVal&lt;&gt;"",_xlpm.MacVal,_xlpm.CSVVal&lt;&gt;"",PROPER(_xlpm.CSVVal)
)),"")</f>
        <v/>
      </c>
      <c r="G306" s="45" t="str" cm="1">
        <f t="array" ref="G306">IFERROR(_xlfn.LET(
_xlpm.CSVVal,_xlfn.XLOOKUP($A306,CSV!$A:$A,CSV!G:G,""),
_xlpm.MacVal,_xlfn.XLOOKUP($A306,Output_Mac!$A:$A,Output_Mac!H:H,""),
_xlpm.MyAuditVal,_xlfn.XLOOKUP($A306,My_Audit!$A:$A,My_Audit!F:F,""),
_xlfn.IFS(_xlpm.MyAuditVal&lt;&gt;"",_xlpm.MyAuditVal,_xlpm.MacVal&lt;&gt;"",_xlpm.MacVal,_xlpm.CSVVal&lt;&gt;"",_xlpm.CSVVal
)),"")</f>
        <v/>
      </c>
      <c r="H306" s="45" t="str">
        <f>_xlfn.XLOOKUP(A306,Output_Mac!A:A,Output_Mac!I:I,"")</f>
        <v/>
      </c>
      <c r="I306" s="45" t="str" cm="1">
        <f t="array" ref="I306">IFERROR(_xlfn.LET(
_xlpm.CSVVal,_xlfn.XLOOKUP($A306,CSV!$A:$A,CSV!H:H,""),
_xlpm.MacVal,_xlfn.XLOOKUP($A306,Output_Mac!$A:$A,Output_Mac!J:J,""),
_xlpm.MyAuditVal,_xlfn.XLOOKUP($A306,My_Audit!$A:$A,My_Audit!H:H,""),
_xlfn.IFS(_xlpm.MyAuditVal&lt;&gt;"",UPPER(_xlpm.MyAuditVal),_xlpm.MacVal&lt;&gt;"",_xlpm.MacVal,_xlpm.CSVVal&lt;&gt;"",_xlpm.CSVVal
)),"")</f>
        <v/>
      </c>
      <c r="J306" s="45" t="str" cm="1">
        <f t="array" ref="J306">IFERROR(_xlfn.LET(
_xlpm.CSVVal,_xlfn.XLOOKUP($A306,CSV!$A:$A,CSV!J:J,""),
_xlpm.MacVal,_xlfn.XLOOKUP($A306,Output_Mac!$A:$A,Output_Mac!K:K,""),
_xlpm.MyAuditVal,_xlfn.XLOOKUP($A306,My_Audit!$A:$A,My_Audit!I:I,""),
_xlfn.IFS(_xlpm.MyAuditVal&lt;&gt;"",UPPER(_xlpm.MyAuditVal),_xlpm.MacVal&lt;&gt;"",_xlpm.MacVal,_xlpm.CSVVal&lt;&gt;"",_xlpm.CSVVal
)),"")</f>
        <v/>
      </c>
      <c r="K306" s="45" t="str" cm="1">
        <f t="array" ref="K306">IFERROR(_xlfn.LET(
_xlpm.CSVVal,_xlfn.XLOOKUP($A306,CSV!$A:$A,CSV!N:N,""),
_xlpm.MacVal,_xlfn.XLOOKUP($A306,Output_Mac!$A:$A,Output_Mac!L:L,""),
_xlpm.MyAuditVal,_xlfn.XLOOKUP($A306,My_Audit!$A:$A,My_Audit!J:J,""),
_xlfn.IFS(_xlpm.MyAuditVal&lt;&gt;"",UPPER(_xlpm.MyAuditVal),_xlpm.MacVal&lt;&gt;"",_xlpm.MacVal,_xlpm.CSVVal&lt;&gt;"",_xlpm.CSVVal
)),"")</f>
        <v/>
      </c>
      <c r="L306" s="46" t="str" cm="1">
        <f t="array" ref="L306">IFERROR(_xlfn.LET(
_xlpm.CSVVal,_xlfn.XLOOKUP($A306,CSV!$A:$A,CSV!Q:Q,""),
_xlpm.MacVal,_xlfn.XLOOKUP($A306,Output_Mac!$A:$A,Output_Mac!M:M,""),
_xlpm.MyAuditVal,_xlfn.XLOOKUP($A306,My_Audit!$A:$A,My_Audit!K:K,""),
_xlfn.IFS(_xlpm.MyAuditVal&lt;&gt;"",UPPER(_xlpm.MyAuditVal),_xlpm.MacVal&lt;&gt;"",_xlpm.MacVal,_xlpm.CSVVal&lt;&gt;"",_xlpm.CSVVal
)),"")</f>
        <v/>
      </c>
      <c r="M306" s="45" t="str">
        <f>_xlfn.LET(
    _xlpm.CSVVal, _xlfn.XLOOKUP($A306, CSV!$A:$A, CSV!AE:AE, ""),
    _xlpm.MacVal, _xlfn.XLOOKUP($A306, Output_Mac!$A:$A, Output_Mac!S:S, ""),
    _xlpm.MyAuditVal, _xlfn.XLOOKUP($A306, My_Audit!$A:$A, My_Audit!N:N, ""),
    _xlfn.TEXTJOIN(", ", TRUE, _xlpm.MyAuditVal, _xlpm.MacVal, _xlpm.CSVVal)
)</f>
        <v/>
      </c>
      <c r="N306" s="45" t="str" cm="1">
        <f t="array" ref="N306">IFERROR(_xlfn.LET(
_xlpm.CSVVal,_xlfn.XLOOKUP($A306,CSV!$A:$A,CSV!AG:AG,""),
_xlpm.MacVal,_xlfn.XLOOKUP($A306,Output_Mac!$A:$A,Output_Mac!U:U,""),
_xlpm.MyAuditVal,_xlfn.XLOOKUP($A306,My_Audit!$A:$A,My_Audit!O:O,""),
_xlfn.IFS(_xlpm.MyAuditVal&lt;&gt;"",UPPER(_xlpm.MyAuditVal),_xlpm.MacVal&lt;&gt;"",_xlpm.MacVal,_xlpm.CSVVal&lt;&gt;"",_xlpm.CSVVal
)),"")</f>
        <v/>
      </c>
      <c r="O306" s="46" t="str">
        <f>_xlfn.XLOOKUP(C306,My_Audit!B:B,My_Audit!P:P,"")&amp;""</f>
        <v/>
      </c>
      <c r="P306" s="45"/>
      <c r="Q306" s="46" t="str">
        <f>IF(LEFT(N306,4)="Pass","Nist SP 800-88",My_Audit!R306)&amp;""</f>
        <v/>
      </c>
      <c r="R306" s="45"/>
      <c r="S306" s="45"/>
      <c r="T306" s="46" t="str">
        <f>_xlfn.XLOOKUP(E306,Models!I:I,Models!J:J,"")</f>
        <v/>
      </c>
      <c r="U306" s="45"/>
      <c r="V306" s="45"/>
      <c r="W306" s="38"/>
    </row>
    <row r="307" spans="1:23">
      <c r="A307" s="45" t="str">
        <f>_xlfn.TEXTJOIN("",TRUE,Input!$B$2,ROW(My_Audit!A306))</f>
        <v>XX306</v>
      </c>
      <c r="B307" s="45" t="str">
        <f>_xlfn.TEXTJOIN("-",TRUE,"ITD",Input!$A$2,A307)</f>
        <v>ITD-SHRXXX-XX306</v>
      </c>
      <c r="C307" s="45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46" t="str" cm="1">
        <f t="array" ref="D307">IFERROR(_xlfn.LET(
_xlpm.CSVVal,_xlfn.XLOOKUP($A307,CSV!$A:$A,CSV!C:C,""),
_xlpm.MacVal,_xlfn.XLOOKUP($A307,Output_Mac!$A:$A,Output_Mac!D:D,""),
_xlpm.MyAuditVal,_xlfn.XLOOKUP($A307,My_Audit!$A:$A,My_Audit!C:C,""),
_xlfn.IFS(_xlpm.MyAuditVal&lt;&gt;"",UPPER(_xlpm.MyAuditVal),_xlpm.MacVal&lt;&gt;"",_xlpm.MacVal,_xlpm.CSVVal&lt;&gt;"",_xlpm.CSVVal
)),"")</f>
        <v/>
      </c>
      <c r="E307" s="46" t="str" cm="1">
        <f t="array" ref="E307">IFERROR(_xlfn.LET(
_xlpm.CSVVal,_xlfn.XLOOKUP($A307,CSV!$A:$A,CSV!E:E,""),
_xlpm.MacVal,_xlfn.XLOOKUP($A307,Output_Mac!$A:$A,Output_Mac!C:C,""),
_xlpm.MyAuditVal,_xlfn.XLOOKUP($A307,My_Audit!$A:$A,My_Audit!D:D,""),
_xlfn.IFS(_xlpm.MyAuditVal&lt;&gt;"",_xlpm.MyAuditVal,_xlpm.MacVal&lt;&gt;"",_xlpm.MacVal,_xlpm.CSVVal&lt;&gt;"",_xlpm.CSVVal
)),"")</f>
        <v/>
      </c>
      <c r="F307" s="45" t="str" cm="1">
        <f t="array" ref="F307">IFERROR(_xlfn.LET(
_xlpm.CSVVal,_xlfn.XLOOKUP($A307,CSV!$A:$A,CSV!F:F,""),
_xlpm.MacVal,_xlfn.XLOOKUP($A307,Output_Mac!$A:$A,Output_Mac!F:F,""),
_xlpm.MyAuditVal,_xlfn.XLOOKUP($A307,My_Audit!$A:$A,My_Audit!E:E,""),
_xlfn.IFS(_xlpm.MyAuditVal&lt;&gt;"",_xlpm.MyAuditVal,_xlpm.MacVal&lt;&gt;"",_xlpm.MacVal,_xlpm.CSVVal&lt;&gt;"",PROPER(_xlpm.CSVVal)
)),"")</f>
        <v/>
      </c>
      <c r="G307" s="45" t="str" cm="1">
        <f t="array" ref="G307">IFERROR(_xlfn.LET(
_xlpm.CSVVal,_xlfn.XLOOKUP($A307,CSV!$A:$A,CSV!G:G,""),
_xlpm.MacVal,_xlfn.XLOOKUP($A307,Output_Mac!$A:$A,Output_Mac!H:H,""),
_xlpm.MyAuditVal,_xlfn.XLOOKUP($A307,My_Audit!$A:$A,My_Audit!F:F,""),
_xlfn.IFS(_xlpm.MyAuditVal&lt;&gt;"",_xlpm.MyAuditVal,_xlpm.MacVal&lt;&gt;"",_xlpm.MacVal,_xlpm.CSVVal&lt;&gt;"",_xlpm.CSVVal
)),"")</f>
        <v/>
      </c>
      <c r="H307" s="45" t="str">
        <f>_xlfn.XLOOKUP(A307,Output_Mac!A:A,Output_Mac!I:I,"")</f>
        <v/>
      </c>
      <c r="I307" s="45" t="str" cm="1">
        <f t="array" ref="I307">IFERROR(_xlfn.LET(
_xlpm.CSVVal,_xlfn.XLOOKUP($A307,CSV!$A:$A,CSV!H:H,""),
_xlpm.MacVal,_xlfn.XLOOKUP($A307,Output_Mac!$A:$A,Output_Mac!J:J,""),
_xlpm.MyAuditVal,_xlfn.XLOOKUP($A307,My_Audit!$A:$A,My_Audit!H:H,""),
_xlfn.IFS(_xlpm.MyAuditVal&lt;&gt;"",UPPER(_xlpm.MyAuditVal),_xlpm.MacVal&lt;&gt;"",_xlpm.MacVal,_xlpm.CSVVal&lt;&gt;"",_xlpm.CSVVal
)),"")</f>
        <v/>
      </c>
      <c r="J307" s="45" t="str" cm="1">
        <f t="array" ref="J307">IFERROR(_xlfn.LET(
_xlpm.CSVVal,_xlfn.XLOOKUP($A307,CSV!$A:$A,CSV!J:J,""),
_xlpm.MacVal,_xlfn.XLOOKUP($A307,Output_Mac!$A:$A,Output_Mac!K:K,""),
_xlpm.MyAuditVal,_xlfn.XLOOKUP($A307,My_Audit!$A:$A,My_Audit!I:I,""),
_xlfn.IFS(_xlpm.MyAuditVal&lt;&gt;"",UPPER(_xlpm.MyAuditVal),_xlpm.MacVal&lt;&gt;"",_xlpm.MacVal,_xlpm.CSVVal&lt;&gt;"",_xlpm.CSVVal
)),"")</f>
        <v/>
      </c>
      <c r="K307" s="45" t="str" cm="1">
        <f t="array" ref="K307">IFERROR(_xlfn.LET(
_xlpm.CSVVal,_xlfn.XLOOKUP($A307,CSV!$A:$A,CSV!N:N,""),
_xlpm.MacVal,_xlfn.XLOOKUP($A307,Output_Mac!$A:$A,Output_Mac!L:L,""),
_xlpm.MyAuditVal,_xlfn.XLOOKUP($A307,My_Audit!$A:$A,My_Audit!J:J,""),
_xlfn.IFS(_xlpm.MyAuditVal&lt;&gt;"",UPPER(_xlpm.MyAuditVal),_xlpm.MacVal&lt;&gt;"",_xlpm.MacVal,_xlpm.CSVVal&lt;&gt;"",_xlpm.CSVVal
)),"")</f>
        <v/>
      </c>
      <c r="L307" s="46" t="str" cm="1">
        <f t="array" ref="L307">IFERROR(_xlfn.LET(
_xlpm.CSVVal,_xlfn.XLOOKUP($A307,CSV!$A:$A,CSV!Q:Q,""),
_xlpm.MacVal,_xlfn.XLOOKUP($A307,Output_Mac!$A:$A,Output_Mac!M:M,""),
_xlpm.MyAuditVal,_xlfn.XLOOKUP($A307,My_Audit!$A:$A,My_Audit!K:K,""),
_xlfn.IFS(_xlpm.MyAuditVal&lt;&gt;"",UPPER(_xlpm.MyAuditVal),_xlpm.MacVal&lt;&gt;"",_xlpm.MacVal,_xlpm.CSVVal&lt;&gt;"",_xlpm.CSVVal
)),"")</f>
        <v/>
      </c>
      <c r="M307" s="45" t="str">
        <f>_xlfn.LET(
    _xlpm.CSVVal, _xlfn.XLOOKUP($A307, CSV!$A:$A, CSV!AE:AE, ""),
    _xlpm.MacVal, _xlfn.XLOOKUP($A307, Output_Mac!$A:$A, Output_Mac!S:S, ""),
    _xlpm.MyAuditVal, _xlfn.XLOOKUP($A307, My_Audit!$A:$A, My_Audit!N:N, ""),
    _xlfn.TEXTJOIN(", ", TRUE, _xlpm.MyAuditVal, _xlpm.MacVal, _xlpm.CSVVal)
)</f>
        <v/>
      </c>
      <c r="N307" s="45" t="str" cm="1">
        <f t="array" ref="N307">IFERROR(_xlfn.LET(
_xlpm.CSVVal,_xlfn.XLOOKUP($A307,CSV!$A:$A,CSV!AG:AG,""),
_xlpm.MacVal,_xlfn.XLOOKUP($A307,Output_Mac!$A:$A,Output_Mac!U:U,""),
_xlpm.MyAuditVal,_xlfn.XLOOKUP($A307,My_Audit!$A:$A,My_Audit!O:O,""),
_xlfn.IFS(_xlpm.MyAuditVal&lt;&gt;"",UPPER(_xlpm.MyAuditVal),_xlpm.MacVal&lt;&gt;"",_xlpm.MacVal,_xlpm.CSVVal&lt;&gt;"",_xlpm.CSVVal
)),"")</f>
        <v/>
      </c>
      <c r="O307" s="46" t="str">
        <f>_xlfn.XLOOKUP(C307,My_Audit!B:B,My_Audit!P:P,"")&amp;""</f>
        <v/>
      </c>
      <c r="P307" s="45"/>
      <c r="Q307" s="46" t="str">
        <f>IF(LEFT(N307,4)="Pass","Nist SP 800-88",My_Audit!R307)&amp;""</f>
        <v/>
      </c>
      <c r="R307" s="45"/>
      <c r="S307" s="45"/>
      <c r="T307" s="46" t="str">
        <f>_xlfn.XLOOKUP(E307,Models!I:I,Models!J:J,"")</f>
        <v/>
      </c>
      <c r="U307" s="45"/>
      <c r="V307" s="45"/>
      <c r="W307" s="38"/>
    </row>
    <row r="308" spans="1:23">
      <c r="A308" s="45" t="str">
        <f>_xlfn.TEXTJOIN("",TRUE,Input!$B$2,ROW(My_Audit!A307))</f>
        <v>XX307</v>
      </c>
      <c r="B308" s="45" t="str">
        <f>_xlfn.TEXTJOIN("-",TRUE,"ITD",Input!$A$2,A308)</f>
        <v>ITD-SHRXXX-XX307</v>
      </c>
      <c r="C308" s="45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46" t="str" cm="1">
        <f t="array" ref="D308">IFERROR(_xlfn.LET(
_xlpm.CSVVal,_xlfn.XLOOKUP($A308,CSV!$A:$A,CSV!C:C,""),
_xlpm.MacVal,_xlfn.XLOOKUP($A308,Output_Mac!$A:$A,Output_Mac!D:D,""),
_xlpm.MyAuditVal,_xlfn.XLOOKUP($A308,My_Audit!$A:$A,My_Audit!C:C,""),
_xlfn.IFS(_xlpm.MyAuditVal&lt;&gt;"",UPPER(_xlpm.MyAuditVal),_xlpm.MacVal&lt;&gt;"",_xlpm.MacVal,_xlpm.CSVVal&lt;&gt;"",_xlpm.CSVVal
)),"")</f>
        <v/>
      </c>
      <c r="E308" s="46" t="str" cm="1">
        <f t="array" ref="E308">IFERROR(_xlfn.LET(
_xlpm.CSVVal,_xlfn.XLOOKUP($A308,CSV!$A:$A,CSV!E:E,""),
_xlpm.MacVal,_xlfn.XLOOKUP($A308,Output_Mac!$A:$A,Output_Mac!C:C,""),
_xlpm.MyAuditVal,_xlfn.XLOOKUP($A308,My_Audit!$A:$A,My_Audit!D:D,""),
_xlfn.IFS(_xlpm.MyAuditVal&lt;&gt;"",_xlpm.MyAuditVal,_xlpm.MacVal&lt;&gt;"",_xlpm.MacVal,_xlpm.CSVVal&lt;&gt;"",_xlpm.CSVVal
)),"")</f>
        <v/>
      </c>
      <c r="F308" s="45" t="str" cm="1">
        <f t="array" ref="F308">IFERROR(_xlfn.LET(
_xlpm.CSVVal,_xlfn.XLOOKUP($A308,CSV!$A:$A,CSV!F:F,""),
_xlpm.MacVal,_xlfn.XLOOKUP($A308,Output_Mac!$A:$A,Output_Mac!F:F,""),
_xlpm.MyAuditVal,_xlfn.XLOOKUP($A308,My_Audit!$A:$A,My_Audit!E:E,""),
_xlfn.IFS(_xlpm.MyAuditVal&lt;&gt;"",_xlpm.MyAuditVal,_xlpm.MacVal&lt;&gt;"",_xlpm.MacVal,_xlpm.CSVVal&lt;&gt;"",PROPER(_xlpm.CSVVal)
)),"")</f>
        <v/>
      </c>
      <c r="G308" s="45" t="str" cm="1">
        <f t="array" ref="G308">IFERROR(_xlfn.LET(
_xlpm.CSVVal,_xlfn.XLOOKUP($A308,CSV!$A:$A,CSV!G:G,""),
_xlpm.MacVal,_xlfn.XLOOKUP($A308,Output_Mac!$A:$A,Output_Mac!H:H,""),
_xlpm.MyAuditVal,_xlfn.XLOOKUP($A308,My_Audit!$A:$A,My_Audit!F:F,""),
_xlfn.IFS(_xlpm.MyAuditVal&lt;&gt;"",_xlpm.MyAuditVal,_xlpm.MacVal&lt;&gt;"",_xlpm.MacVal,_xlpm.CSVVal&lt;&gt;"",_xlpm.CSVVal
)),"")</f>
        <v/>
      </c>
      <c r="H308" s="45" t="str">
        <f>_xlfn.XLOOKUP(A308,Output_Mac!A:A,Output_Mac!I:I,"")</f>
        <v/>
      </c>
      <c r="I308" s="45" t="str" cm="1">
        <f t="array" ref="I308">IFERROR(_xlfn.LET(
_xlpm.CSVVal,_xlfn.XLOOKUP($A308,CSV!$A:$A,CSV!H:H,""),
_xlpm.MacVal,_xlfn.XLOOKUP($A308,Output_Mac!$A:$A,Output_Mac!J:J,""),
_xlpm.MyAuditVal,_xlfn.XLOOKUP($A308,My_Audit!$A:$A,My_Audit!H:H,""),
_xlfn.IFS(_xlpm.MyAuditVal&lt;&gt;"",UPPER(_xlpm.MyAuditVal),_xlpm.MacVal&lt;&gt;"",_xlpm.MacVal,_xlpm.CSVVal&lt;&gt;"",_xlpm.CSVVal
)),"")</f>
        <v/>
      </c>
      <c r="J308" s="45" t="str" cm="1">
        <f t="array" ref="J308">IFERROR(_xlfn.LET(
_xlpm.CSVVal,_xlfn.XLOOKUP($A308,CSV!$A:$A,CSV!J:J,""),
_xlpm.MacVal,_xlfn.XLOOKUP($A308,Output_Mac!$A:$A,Output_Mac!K:K,""),
_xlpm.MyAuditVal,_xlfn.XLOOKUP($A308,My_Audit!$A:$A,My_Audit!I:I,""),
_xlfn.IFS(_xlpm.MyAuditVal&lt;&gt;"",UPPER(_xlpm.MyAuditVal),_xlpm.MacVal&lt;&gt;"",_xlpm.MacVal,_xlpm.CSVVal&lt;&gt;"",_xlpm.CSVVal
)),"")</f>
        <v/>
      </c>
      <c r="K308" s="45" t="str" cm="1">
        <f t="array" ref="K308">IFERROR(_xlfn.LET(
_xlpm.CSVVal,_xlfn.XLOOKUP($A308,CSV!$A:$A,CSV!N:N,""),
_xlpm.MacVal,_xlfn.XLOOKUP($A308,Output_Mac!$A:$A,Output_Mac!L:L,""),
_xlpm.MyAuditVal,_xlfn.XLOOKUP($A308,My_Audit!$A:$A,My_Audit!J:J,""),
_xlfn.IFS(_xlpm.MyAuditVal&lt;&gt;"",UPPER(_xlpm.MyAuditVal),_xlpm.MacVal&lt;&gt;"",_xlpm.MacVal,_xlpm.CSVVal&lt;&gt;"",_xlpm.CSVVal
)),"")</f>
        <v/>
      </c>
      <c r="L308" s="46" t="str" cm="1">
        <f t="array" ref="L308">IFERROR(_xlfn.LET(
_xlpm.CSVVal,_xlfn.XLOOKUP($A308,CSV!$A:$A,CSV!Q:Q,""),
_xlpm.MacVal,_xlfn.XLOOKUP($A308,Output_Mac!$A:$A,Output_Mac!M:M,""),
_xlpm.MyAuditVal,_xlfn.XLOOKUP($A308,My_Audit!$A:$A,My_Audit!K:K,""),
_xlfn.IFS(_xlpm.MyAuditVal&lt;&gt;"",UPPER(_xlpm.MyAuditVal),_xlpm.MacVal&lt;&gt;"",_xlpm.MacVal,_xlpm.CSVVal&lt;&gt;"",_xlpm.CSVVal
)),"")</f>
        <v/>
      </c>
      <c r="M308" s="45" t="str">
        <f>_xlfn.LET(
    _xlpm.CSVVal, _xlfn.XLOOKUP($A308, CSV!$A:$A, CSV!AE:AE, ""),
    _xlpm.MacVal, _xlfn.XLOOKUP($A308, Output_Mac!$A:$A, Output_Mac!S:S, ""),
    _xlpm.MyAuditVal, _xlfn.XLOOKUP($A308, My_Audit!$A:$A, My_Audit!N:N, ""),
    _xlfn.TEXTJOIN(", ", TRUE, _xlpm.MyAuditVal, _xlpm.MacVal, _xlpm.CSVVal)
)</f>
        <v/>
      </c>
      <c r="N308" s="45" t="str" cm="1">
        <f t="array" ref="N308">IFERROR(_xlfn.LET(
_xlpm.CSVVal,_xlfn.XLOOKUP($A308,CSV!$A:$A,CSV!AG:AG,""),
_xlpm.MacVal,_xlfn.XLOOKUP($A308,Output_Mac!$A:$A,Output_Mac!U:U,""),
_xlpm.MyAuditVal,_xlfn.XLOOKUP($A308,My_Audit!$A:$A,My_Audit!O:O,""),
_xlfn.IFS(_xlpm.MyAuditVal&lt;&gt;"",UPPER(_xlpm.MyAuditVal),_xlpm.MacVal&lt;&gt;"",_xlpm.MacVal,_xlpm.CSVVal&lt;&gt;"",_xlpm.CSVVal
)),"")</f>
        <v/>
      </c>
      <c r="O308" s="46" t="str">
        <f>_xlfn.XLOOKUP(C308,My_Audit!B:B,My_Audit!P:P,"")&amp;""</f>
        <v/>
      </c>
      <c r="P308" s="45"/>
      <c r="Q308" s="46" t="str">
        <f>IF(LEFT(N308,4)="Pass","Nist SP 800-88",My_Audit!R308)&amp;""</f>
        <v/>
      </c>
      <c r="R308" s="45"/>
      <c r="S308" s="45"/>
      <c r="T308" s="46" t="str">
        <f>_xlfn.XLOOKUP(E308,Models!I:I,Models!J:J,"")</f>
        <v/>
      </c>
      <c r="U308" s="45"/>
      <c r="V308" s="45"/>
      <c r="W308" s="38"/>
    </row>
    <row r="309" spans="1:23">
      <c r="A309" s="45" t="str">
        <f>_xlfn.TEXTJOIN("",TRUE,Input!$B$2,ROW(My_Audit!A308))</f>
        <v>XX308</v>
      </c>
      <c r="B309" s="45" t="str">
        <f>_xlfn.TEXTJOIN("-",TRUE,"ITD",Input!$A$2,A309)</f>
        <v>ITD-SHRXXX-XX308</v>
      </c>
      <c r="C309" s="45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46" t="str" cm="1">
        <f t="array" ref="D309">IFERROR(_xlfn.LET(
_xlpm.CSVVal,_xlfn.XLOOKUP($A309,CSV!$A:$A,CSV!C:C,""),
_xlpm.MacVal,_xlfn.XLOOKUP($A309,Output_Mac!$A:$A,Output_Mac!D:D,""),
_xlpm.MyAuditVal,_xlfn.XLOOKUP($A309,My_Audit!$A:$A,My_Audit!C:C,""),
_xlfn.IFS(_xlpm.MyAuditVal&lt;&gt;"",UPPER(_xlpm.MyAuditVal),_xlpm.MacVal&lt;&gt;"",_xlpm.MacVal,_xlpm.CSVVal&lt;&gt;"",_xlpm.CSVVal
)),"")</f>
        <v/>
      </c>
      <c r="E309" s="46" t="str" cm="1">
        <f t="array" ref="E309">IFERROR(_xlfn.LET(
_xlpm.CSVVal,_xlfn.XLOOKUP($A309,CSV!$A:$A,CSV!E:E,""),
_xlpm.MacVal,_xlfn.XLOOKUP($A309,Output_Mac!$A:$A,Output_Mac!C:C,""),
_xlpm.MyAuditVal,_xlfn.XLOOKUP($A309,My_Audit!$A:$A,My_Audit!D:D,""),
_xlfn.IFS(_xlpm.MyAuditVal&lt;&gt;"",_xlpm.MyAuditVal,_xlpm.MacVal&lt;&gt;"",_xlpm.MacVal,_xlpm.CSVVal&lt;&gt;"",_xlpm.CSVVal
)),"")</f>
        <v/>
      </c>
      <c r="F309" s="45" t="str" cm="1">
        <f t="array" ref="F309">IFERROR(_xlfn.LET(
_xlpm.CSVVal,_xlfn.XLOOKUP($A309,CSV!$A:$A,CSV!F:F,""),
_xlpm.MacVal,_xlfn.XLOOKUP($A309,Output_Mac!$A:$A,Output_Mac!F:F,""),
_xlpm.MyAuditVal,_xlfn.XLOOKUP($A309,My_Audit!$A:$A,My_Audit!E:E,""),
_xlfn.IFS(_xlpm.MyAuditVal&lt;&gt;"",_xlpm.MyAuditVal,_xlpm.MacVal&lt;&gt;"",_xlpm.MacVal,_xlpm.CSVVal&lt;&gt;"",PROPER(_xlpm.CSVVal)
)),"")</f>
        <v/>
      </c>
      <c r="G309" s="45" t="str" cm="1">
        <f t="array" ref="G309">IFERROR(_xlfn.LET(
_xlpm.CSVVal,_xlfn.XLOOKUP($A309,CSV!$A:$A,CSV!G:G,""),
_xlpm.MacVal,_xlfn.XLOOKUP($A309,Output_Mac!$A:$A,Output_Mac!H:H,""),
_xlpm.MyAuditVal,_xlfn.XLOOKUP($A309,My_Audit!$A:$A,My_Audit!F:F,""),
_xlfn.IFS(_xlpm.MyAuditVal&lt;&gt;"",_xlpm.MyAuditVal,_xlpm.MacVal&lt;&gt;"",_xlpm.MacVal,_xlpm.CSVVal&lt;&gt;"",_xlpm.CSVVal
)),"")</f>
        <v/>
      </c>
      <c r="H309" s="45" t="str">
        <f>_xlfn.XLOOKUP(A309,Output_Mac!A:A,Output_Mac!I:I,"")</f>
        <v/>
      </c>
      <c r="I309" s="45" t="str" cm="1">
        <f t="array" ref="I309">IFERROR(_xlfn.LET(
_xlpm.CSVVal,_xlfn.XLOOKUP($A309,CSV!$A:$A,CSV!H:H,""),
_xlpm.MacVal,_xlfn.XLOOKUP($A309,Output_Mac!$A:$A,Output_Mac!J:J,""),
_xlpm.MyAuditVal,_xlfn.XLOOKUP($A309,My_Audit!$A:$A,My_Audit!H:H,""),
_xlfn.IFS(_xlpm.MyAuditVal&lt;&gt;"",UPPER(_xlpm.MyAuditVal),_xlpm.MacVal&lt;&gt;"",_xlpm.MacVal,_xlpm.CSVVal&lt;&gt;"",_xlpm.CSVVal
)),"")</f>
        <v/>
      </c>
      <c r="J309" s="45" t="str" cm="1">
        <f t="array" ref="J309">IFERROR(_xlfn.LET(
_xlpm.CSVVal,_xlfn.XLOOKUP($A309,CSV!$A:$A,CSV!J:J,""),
_xlpm.MacVal,_xlfn.XLOOKUP($A309,Output_Mac!$A:$A,Output_Mac!K:K,""),
_xlpm.MyAuditVal,_xlfn.XLOOKUP($A309,My_Audit!$A:$A,My_Audit!I:I,""),
_xlfn.IFS(_xlpm.MyAuditVal&lt;&gt;"",UPPER(_xlpm.MyAuditVal),_xlpm.MacVal&lt;&gt;"",_xlpm.MacVal,_xlpm.CSVVal&lt;&gt;"",_xlpm.CSVVal
)),"")</f>
        <v/>
      </c>
      <c r="K309" s="45" t="str" cm="1">
        <f t="array" ref="K309">IFERROR(_xlfn.LET(
_xlpm.CSVVal,_xlfn.XLOOKUP($A309,CSV!$A:$A,CSV!N:N,""),
_xlpm.MacVal,_xlfn.XLOOKUP($A309,Output_Mac!$A:$A,Output_Mac!L:L,""),
_xlpm.MyAuditVal,_xlfn.XLOOKUP($A309,My_Audit!$A:$A,My_Audit!J:J,""),
_xlfn.IFS(_xlpm.MyAuditVal&lt;&gt;"",UPPER(_xlpm.MyAuditVal),_xlpm.MacVal&lt;&gt;"",_xlpm.MacVal,_xlpm.CSVVal&lt;&gt;"",_xlpm.CSVVal
)),"")</f>
        <v/>
      </c>
      <c r="L309" s="46" t="str" cm="1">
        <f t="array" ref="L309">IFERROR(_xlfn.LET(
_xlpm.CSVVal,_xlfn.XLOOKUP($A309,CSV!$A:$A,CSV!Q:Q,""),
_xlpm.MacVal,_xlfn.XLOOKUP($A309,Output_Mac!$A:$A,Output_Mac!M:M,""),
_xlpm.MyAuditVal,_xlfn.XLOOKUP($A309,My_Audit!$A:$A,My_Audit!K:K,""),
_xlfn.IFS(_xlpm.MyAuditVal&lt;&gt;"",UPPER(_xlpm.MyAuditVal),_xlpm.MacVal&lt;&gt;"",_xlpm.MacVal,_xlpm.CSVVal&lt;&gt;"",_xlpm.CSVVal
)),"")</f>
        <v/>
      </c>
      <c r="M309" s="45" t="str">
        <f>_xlfn.LET(
    _xlpm.CSVVal, _xlfn.XLOOKUP($A309, CSV!$A:$A, CSV!AE:AE, ""),
    _xlpm.MacVal, _xlfn.XLOOKUP($A309, Output_Mac!$A:$A, Output_Mac!S:S, ""),
    _xlpm.MyAuditVal, _xlfn.XLOOKUP($A309, My_Audit!$A:$A, My_Audit!N:N, ""),
    _xlfn.TEXTJOIN(", ", TRUE, _xlpm.MyAuditVal, _xlpm.MacVal, _xlpm.CSVVal)
)</f>
        <v/>
      </c>
      <c r="N309" s="45" t="str" cm="1">
        <f t="array" ref="N309">IFERROR(_xlfn.LET(
_xlpm.CSVVal,_xlfn.XLOOKUP($A309,CSV!$A:$A,CSV!AG:AG,""),
_xlpm.MacVal,_xlfn.XLOOKUP($A309,Output_Mac!$A:$A,Output_Mac!U:U,""),
_xlpm.MyAuditVal,_xlfn.XLOOKUP($A309,My_Audit!$A:$A,My_Audit!O:O,""),
_xlfn.IFS(_xlpm.MyAuditVal&lt;&gt;"",UPPER(_xlpm.MyAuditVal),_xlpm.MacVal&lt;&gt;"",_xlpm.MacVal,_xlpm.CSVVal&lt;&gt;"",_xlpm.CSVVal
)),"")</f>
        <v/>
      </c>
      <c r="O309" s="46" t="str">
        <f>_xlfn.XLOOKUP(C309,My_Audit!B:B,My_Audit!P:P,"")&amp;""</f>
        <v/>
      </c>
      <c r="P309" s="45"/>
      <c r="Q309" s="46" t="str">
        <f>IF(LEFT(N309,4)="Pass","Nist SP 800-88",My_Audit!R309)&amp;""</f>
        <v/>
      </c>
      <c r="R309" s="45"/>
      <c r="S309" s="45"/>
      <c r="T309" s="46" t="str">
        <f>_xlfn.XLOOKUP(E309,Models!I:I,Models!J:J,"")</f>
        <v/>
      </c>
      <c r="U309" s="45"/>
      <c r="V309" s="45"/>
      <c r="W309" s="38"/>
    </row>
    <row r="310" spans="1:23">
      <c r="A310" s="45" t="str">
        <f>_xlfn.TEXTJOIN("",TRUE,Input!$B$2,ROW(My_Audit!A309))</f>
        <v>XX309</v>
      </c>
      <c r="B310" s="45" t="str">
        <f>_xlfn.TEXTJOIN("-",TRUE,"ITD",Input!$A$2,A310)</f>
        <v>ITD-SHRXXX-XX309</v>
      </c>
      <c r="C310" s="45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46" t="str" cm="1">
        <f t="array" ref="D310">IFERROR(_xlfn.LET(
_xlpm.CSVVal,_xlfn.XLOOKUP($A310,CSV!$A:$A,CSV!C:C,""),
_xlpm.MacVal,_xlfn.XLOOKUP($A310,Output_Mac!$A:$A,Output_Mac!D:D,""),
_xlpm.MyAuditVal,_xlfn.XLOOKUP($A310,My_Audit!$A:$A,My_Audit!C:C,""),
_xlfn.IFS(_xlpm.MyAuditVal&lt;&gt;"",UPPER(_xlpm.MyAuditVal),_xlpm.MacVal&lt;&gt;"",_xlpm.MacVal,_xlpm.CSVVal&lt;&gt;"",_xlpm.CSVVal
)),"")</f>
        <v/>
      </c>
      <c r="E310" s="46" t="str" cm="1">
        <f t="array" ref="E310">IFERROR(_xlfn.LET(
_xlpm.CSVVal,_xlfn.XLOOKUP($A310,CSV!$A:$A,CSV!E:E,""),
_xlpm.MacVal,_xlfn.XLOOKUP($A310,Output_Mac!$A:$A,Output_Mac!C:C,""),
_xlpm.MyAuditVal,_xlfn.XLOOKUP($A310,My_Audit!$A:$A,My_Audit!D:D,""),
_xlfn.IFS(_xlpm.MyAuditVal&lt;&gt;"",_xlpm.MyAuditVal,_xlpm.MacVal&lt;&gt;"",_xlpm.MacVal,_xlpm.CSVVal&lt;&gt;"",_xlpm.CSVVal
)),"")</f>
        <v/>
      </c>
      <c r="F310" s="45" t="str" cm="1">
        <f t="array" ref="F310">IFERROR(_xlfn.LET(
_xlpm.CSVVal,_xlfn.XLOOKUP($A310,CSV!$A:$A,CSV!F:F,""),
_xlpm.MacVal,_xlfn.XLOOKUP($A310,Output_Mac!$A:$A,Output_Mac!F:F,""),
_xlpm.MyAuditVal,_xlfn.XLOOKUP($A310,My_Audit!$A:$A,My_Audit!E:E,""),
_xlfn.IFS(_xlpm.MyAuditVal&lt;&gt;"",_xlpm.MyAuditVal,_xlpm.MacVal&lt;&gt;"",_xlpm.MacVal,_xlpm.CSVVal&lt;&gt;"",PROPER(_xlpm.CSVVal)
)),"")</f>
        <v/>
      </c>
      <c r="G310" s="45" t="str" cm="1">
        <f t="array" ref="G310">IFERROR(_xlfn.LET(
_xlpm.CSVVal,_xlfn.XLOOKUP($A310,CSV!$A:$A,CSV!G:G,""),
_xlpm.MacVal,_xlfn.XLOOKUP($A310,Output_Mac!$A:$A,Output_Mac!H:H,""),
_xlpm.MyAuditVal,_xlfn.XLOOKUP($A310,My_Audit!$A:$A,My_Audit!F:F,""),
_xlfn.IFS(_xlpm.MyAuditVal&lt;&gt;"",_xlpm.MyAuditVal,_xlpm.MacVal&lt;&gt;"",_xlpm.MacVal,_xlpm.CSVVal&lt;&gt;"",_xlpm.CSVVal
)),"")</f>
        <v/>
      </c>
      <c r="H310" s="45" t="str">
        <f>_xlfn.XLOOKUP(A310,Output_Mac!A:A,Output_Mac!I:I,"")</f>
        <v/>
      </c>
      <c r="I310" s="45" t="str" cm="1">
        <f t="array" ref="I310">IFERROR(_xlfn.LET(
_xlpm.CSVVal,_xlfn.XLOOKUP($A310,CSV!$A:$A,CSV!H:H,""),
_xlpm.MacVal,_xlfn.XLOOKUP($A310,Output_Mac!$A:$A,Output_Mac!J:J,""),
_xlpm.MyAuditVal,_xlfn.XLOOKUP($A310,My_Audit!$A:$A,My_Audit!H:H,""),
_xlfn.IFS(_xlpm.MyAuditVal&lt;&gt;"",UPPER(_xlpm.MyAuditVal),_xlpm.MacVal&lt;&gt;"",_xlpm.MacVal,_xlpm.CSVVal&lt;&gt;"",_xlpm.CSVVal
)),"")</f>
        <v/>
      </c>
      <c r="J310" s="45" t="str" cm="1">
        <f t="array" ref="J310">IFERROR(_xlfn.LET(
_xlpm.CSVVal,_xlfn.XLOOKUP($A310,CSV!$A:$A,CSV!J:J,""),
_xlpm.MacVal,_xlfn.XLOOKUP($A310,Output_Mac!$A:$A,Output_Mac!K:K,""),
_xlpm.MyAuditVal,_xlfn.XLOOKUP($A310,My_Audit!$A:$A,My_Audit!I:I,""),
_xlfn.IFS(_xlpm.MyAuditVal&lt;&gt;"",UPPER(_xlpm.MyAuditVal),_xlpm.MacVal&lt;&gt;"",_xlpm.MacVal,_xlpm.CSVVal&lt;&gt;"",_xlpm.CSVVal
)),"")</f>
        <v/>
      </c>
      <c r="K310" s="45" t="str" cm="1">
        <f t="array" ref="K310">IFERROR(_xlfn.LET(
_xlpm.CSVVal,_xlfn.XLOOKUP($A310,CSV!$A:$A,CSV!N:N,""),
_xlpm.MacVal,_xlfn.XLOOKUP($A310,Output_Mac!$A:$A,Output_Mac!L:L,""),
_xlpm.MyAuditVal,_xlfn.XLOOKUP($A310,My_Audit!$A:$A,My_Audit!J:J,""),
_xlfn.IFS(_xlpm.MyAuditVal&lt;&gt;"",UPPER(_xlpm.MyAuditVal),_xlpm.MacVal&lt;&gt;"",_xlpm.MacVal,_xlpm.CSVVal&lt;&gt;"",_xlpm.CSVVal
)),"")</f>
        <v/>
      </c>
      <c r="L310" s="46" t="str" cm="1">
        <f t="array" ref="L310">IFERROR(_xlfn.LET(
_xlpm.CSVVal,_xlfn.XLOOKUP($A310,CSV!$A:$A,CSV!Q:Q,""),
_xlpm.MacVal,_xlfn.XLOOKUP($A310,Output_Mac!$A:$A,Output_Mac!M:M,""),
_xlpm.MyAuditVal,_xlfn.XLOOKUP($A310,My_Audit!$A:$A,My_Audit!K:K,""),
_xlfn.IFS(_xlpm.MyAuditVal&lt;&gt;"",UPPER(_xlpm.MyAuditVal),_xlpm.MacVal&lt;&gt;"",_xlpm.MacVal,_xlpm.CSVVal&lt;&gt;"",_xlpm.CSVVal
)),"")</f>
        <v/>
      </c>
      <c r="M310" s="45" t="str">
        <f>_xlfn.LET(
    _xlpm.CSVVal, _xlfn.XLOOKUP($A310, CSV!$A:$A, CSV!AE:AE, ""),
    _xlpm.MacVal, _xlfn.XLOOKUP($A310, Output_Mac!$A:$A, Output_Mac!S:S, ""),
    _xlpm.MyAuditVal, _xlfn.XLOOKUP($A310, My_Audit!$A:$A, My_Audit!N:N, ""),
    _xlfn.TEXTJOIN(", ", TRUE, _xlpm.MyAuditVal, _xlpm.MacVal, _xlpm.CSVVal)
)</f>
        <v/>
      </c>
      <c r="N310" s="45" t="str" cm="1">
        <f t="array" ref="N310">IFERROR(_xlfn.LET(
_xlpm.CSVVal,_xlfn.XLOOKUP($A310,CSV!$A:$A,CSV!AG:AG,""),
_xlpm.MacVal,_xlfn.XLOOKUP($A310,Output_Mac!$A:$A,Output_Mac!U:U,""),
_xlpm.MyAuditVal,_xlfn.XLOOKUP($A310,My_Audit!$A:$A,My_Audit!O:O,""),
_xlfn.IFS(_xlpm.MyAuditVal&lt;&gt;"",UPPER(_xlpm.MyAuditVal),_xlpm.MacVal&lt;&gt;"",_xlpm.MacVal,_xlpm.CSVVal&lt;&gt;"",_xlpm.CSVVal
)),"")</f>
        <v/>
      </c>
      <c r="O310" s="46" t="str">
        <f>_xlfn.XLOOKUP(C310,My_Audit!B:B,My_Audit!P:P,"")&amp;""</f>
        <v/>
      </c>
      <c r="P310" s="45"/>
      <c r="Q310" s="46" t="str">
        <f>IF(LEFT(N310,4)="Pass","Nist SP 800-88",My_Audit!R310)&amp;""</f>
        <v/>
      </c>
      <c r="R310" s="45"/>
      <c r="S310" s="45"/>
      <c r="T310" s="46" t="str">
        <f>_xlfn.XLOOKUP(E310,Models!I:I,Models!J:J,"")</f>
        <v/>
      </c>
      <c r="U310" s="45"/>
      <c r="V310" s="45"/>
      <c r="W310" s="38"/>
    </row>
    <row r="311" spans="1:23">
      <c r="A311" s="45" t="str">
        <f>_xlfn.TEXTJOIN("",TRUE,Input!$B$2,ROW(My_Audit!A310))</f>
        <v>XX310</v>
      </c>
      <c r="B311" s="45" t="str">
        <f>_xlfn.TEXTJOIN("-",TRUE,"ITD",Input!$A$2,A311)</f>
        <v>ITD-SHRXXX-XX310</v>
      </c>
      <c r="C311" s="45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46" t="str" cm="1">
        <f t="array" ref="D311">IFERROR(_xlfn.LET(
_xlpm.CSVVal,_xlfn.XLOOKUP($A311,CSV!$A:$A,CSV!C:C,""),
_xlpm.MacVal,_xlfn.XLOOKUP($A311,Output_Mac!$A:$A,Output_Mac!D:D,""),
_xlpm.MyAuditVal,_xlfn.XLOOKUP($A311,My_Audit!$A:$A,My_Audit!C:C,""),
_xlfn.IFS(_xlpm.MyAuditVal&lt;&gt;"",UPPER(_xlpm.MyAuditVal),_xlpm.MacVal&lt;&gt;"",_xlpm.MacVal,_xlpm.CSVVal&lt;&gt;"",_xlpm.CSVVal
)),"")</f>
        <v/>
      </c>
      <c r="E311" s="46" t="str" cm="1">
        <f t="array" ref="E311">IFERROR(_xlfn.LET(
_xlpm.CSVVal,_xlfn.XLOOKUP($A311,CSV!$A:$A,CSV!E:E,""),
_xlpm.MacVal,_xlfn.XLOOKUP($A311,Output_Mac!$A:$A,Output_Mac!C:C,""),
_xlpm.MyAuditVal,_xlfn.XLOOKUP($A311,My_Audit!$A:$A,My_Audit!D:D,""),
_xlfn.IFS(_xlpm.MyAuditVal&lt;&gt;"",_xlpm.MyAuditVal,_xlpm.MacVal&lt;&gt;"",_xlpm.MacVal,_xlpm.CSVVal&lt;&gt;"",_xlpm.CSVVal
)),"")</f>
        <v/>
      </c>
      <c r="F311" s="45" t="str" cm="1">
        <f t="array" ref="F311">IFERROR(_xlfn.LET(
_xlpm.CSVVal,_xlfn.XLOOKUP($A311,CSV!$A:$A,CSV!F:F,""),
_xlpm.MacVal,_xlfn.XLOOKUP($A311,Output_Mac!$A:$A,Output_Mac!F:F,""),
_xlpm.MyAuditVal,_xlfn.XLOOKUP($A311,My_Audit!$A:$A,My_Audit!E:E,""),
_xlfn.IFS(_xlpm.MyAuditVal&lt;&gt;"",_xlpm.MyAuditVal,_xlpm.MacVal&lt;&gt;"",_xlpm.MacVal,_xlpm.CSVVal&lt;&gt;"",PROPER(_xlpm.CSVVal)
)),"")</f>
        <v/>
      </c>
      <c r="G311" s="45" t="str" cm="1">
        <f t="array" ref="G311">IFERROR(_xlfn.LET(
_xlpm.CSVVal,_xlfn.XLOOKUP($A311,CSV!$A:$A,CSV!G:G,""),
_xlpm.MacVal,_xlfn.XLOOKUP($A311,Output_Mac!$A:$A,Output_Mac!H:H,""),
_xlpm.MyAuditVal,_xlfn.XLOOKUP($A311,My_Audit!$A:$A,My_Audit!F:F,""),
_xlfn.IFS(_xlpm.MyAuditVal&lt;&gt;"",_xlpm.MyAuditVal,_xlpm.MacVal&lt;&gt;"",_xlpm.MacVal,_xlpm.CSVVal&lt;&gt;"",_xlpm.CSVVal
)),"")</f>
        <v/>
      </c>
      <c r="H311" s="45" t="str">
        <f>_xlfn.XLOOKUP(A311,Output_Mac!A:A,Output_Mac!I:I,"")</f>
        <v/>
      </c>
      <c r="I311" s="45" t="str" cm="1">
        <f t="array" ref="I311">IFERROR(_xlfn.LET(
_xlpm.CSVVal,_xlfn.XLOOKUP($A311,CSV!$A:$A,CSV!H:H,""),
_xlpm.MacVal,_xlfn.XLOOKUP($A311,Output_Mac!$A:$A,Output_Mac!J:J,""),
_xlpm.MyAuditVal,_xlfn.XLOOKUP($A311,My_Audit!$A:$A,My_Audit!H:H,""),
_xlfn.IFS(_xlpm.MyAuditVal&lt;&gt;"",UPPER(_xlpm.MyAuditVal),_xlpm.MacVal&lt;&gt;"",_xlpm.MacVal,_xlpm.CSVVal&lt;&gt;"",_xlpm.CSVVal
)),"")</f>
        <v/>
      </c>
      <c r="J311" s="45" t="str" cm="1">
        <f t="array" ref="J311">IFERROR(_xlfn.LET(
_xlpm.CSVVal,_xlfn.XLOOKUP($A311,CSV!$A:$A,CSV!J:J,""),
_xlpm.MacVal,_xlfn.XLOOKUP($A311,Output_Mac!$A:$A,Output_Mac!K:K,""),
_xlpm.MyAuditVal,_xlfn.XLOOKUP($A311,My_Audit!$A:$A,My_Audit!I:I,""),
_xlfn.IFS(_xlpm.MyAuditVal&lt;&gt;"",UPPER(_xlpm.MyAuditVal),_xlpm.MacVal&lt;&gt;"",_xlpm.MacVal,_xlpm.CSVVal&lt;&gt;"",_xlpm.CSVVal
)),"")</f>
        <v/>
      </c>
      <c r="K311" s="45" t="str" cm="1">
        <f t="array" ref="K311">IFERROR(_xlfn.LET(
_xlpm.CSVVal,_xlfn.XLOOKUP($A311,CSV!$A:$A,CSV!N:N,""),
_xlpm.MacVal,_xlfn.XLOOKUP($A311,Output_Mac!$A:$A,Output_Mac!L:L,""),
_xlpm.MyAuditVal,_xlfn.XLOOKUP($A311,My_Audit!$A:$A,My_Audit!J:J,""),
_xlfn.IFS(_xlpm.MyAuditVal&lt;&gt;"",UPPER(_xlpm.MyAuditVal),_xlpm.MacVal&lt;&gt;"",_xlpm.MacVal,_xlpm.CSVVal&lt;&gt;"",_xlpm.CSVVal
)),"")</f>
        <v/>
      </c>
      <c r="L311" s="46" t="str" cm="1">
        <f t="array" ref="L311">IFERROR(_xlfn.LET(
_xlpm.CSVVal,_xlfn.XLOOKUP($A311,CSV!$A:$A,CSV!Q:Q,""),
_xlpm.MacVal,_xlfn.XLOOKUP($A311,Output_Mac!$A:$A,Output_Mac!M:M,""),
_xlpm.MyAuditVal,_xlfn.XLOOKUP($A311,My_Audit!$A:$A,My_Audit!K:K,""),
_xlfn.IFS(_xlpm.MyAuditVal&lt;&gt;"",UPPER(_xlpm.MyAuditVal),_xlpm.MacVal&lt;&gt;"",_xlpm.MacVal,_xlpm.CSVVal&lt;&gt;"",_xlpm.CSVVal
)),"")</f>
        <v/>
      </c>
      <c r="M311" s="45" t="str">
        <f>_xlfn.LET(
    _xlpm.CSVVal, _xlfn.XLOOKUP($A311, CSV!$A:$A, CSV!AE:AE, ""),
    _xlpm.MacVal, _xlfn.XLOOKUP($A311, Output_Mac!$A:$A, Output_Mac!S:S, ""),
    _xlpm.MyAuditVal, _xlfn.XLOOKUP($A311, My_Audit!$A:$A, My_Audit!N:N, ""),
    _xlfn.TEXTJOIN(", ", TRUE, _xlpm.MyAuditVal, _xlpm.MacVal, _xlpm.CSVVal)
)</f>
        <v/>
      </c>
      <c r="N311" s="45" t="str" cm="1">
        <f t="array" ref="N311">IFERROR(_xlfn.LET(
_xlpm.CSVVal,_xlfn.XLOOKUP($A311,CSV!$A:$A,CSV!AG:AG,""),
_xlpm.MacVal,_xlfn.XLOOKUP($A311,Output_Mac!$A:$A,Output_Mac!U:U,""),
_xlpm.MyAuditVal,_xlfn.XLOOKUP($A311,My_Audit!$A:$A,My_Audit!O:O,""),
_xlfn.IFS(_xlpm.MyAuditVal&lt;&gt;"",UPPER(_xlpm.MyAuditVal),_xlpm.MacVal&lt;&gt;"",_xlpm.MacVal,_xlpm.CSVVal&lt;&gt;"",_xlpm.CSVVal
)),"")</f>
        <v/>
      </c>
      <c r="O311" s="46" t="str">
        <f>_xlfn.XLOOKUP(C311,My_Audit!B:B,My_Audit!P:P,"")&amp;""</f>
        <v/>
      </c>
      <c r="P311" s="45"/>
      <c r="Q311" s="46" t="str">
        <f>IF(LEFT(N311,4)="Pass","Nist SP 800-88",My_Audit!R311)&amp;""</f>
        <v/>
      </c>
      <c r="R311" s="45"/>
      <c r="S311" s="45"/>
      <c r="T311" s="46" t="str">
        <f>_xlfn.XLOOKUP(E311,Models!I:I,Models!J:J,"")</f>
        <v/>
      </c>
      <c r="U311" s="45"/>
      <c r="V311" s="45"/>
      <c r="W311" s="38"/>
    </row>
    <row r="312" spans="1:23">
      <c r="A312" s="45" t="str">
        <f>_xlfn.TEXTJOIN("",TRUE,Input!$B$2,ROW(My_Audit!A311))</f>
        <v>XX311</v>
      </c>
      <c r="B312" s="45" t="str">
        <f>_xlfn.TEXTJOIN("-",TRUE,"ITD",Input!$A$2,A312)</f>
        <v>ITD-SHRXXX-XX311</v>
      </c>
      <c r="C312" s="45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46" t="str" cm="1">
        <f t="array" ref="D312">IFERROR(_xlfn.LET(
_xlpm.CSVVal,_xlfn.XLOOKUP($A312,CSV!$A:$A,CSV!C:C,""),
_xlpm.MacVal,_xlfn.XLOOKUP($A312,Output_Mac!$A:$A,Output_Mac!D:D,""),
_xlpm.MyAuditVal,_xlfn.XLOOKUP($A312,My_Audit!$A:$A,My_Audit!C:C,""),
_xlfn.IFS(_xlpm.MyAuditVal&lt;&gt;"",UPPER(_xlpm.MyAuditVal),_xlpm.MacVal&lt;&gt;"",_xlpm.MacVal,_xlpm.CSVVal&lt;&gt;"",_xlpm.CSVVal
)),"")</f>
        <v/>
      </c>
      <c r="E312" s="46" t="str" cm="1">
        <f t="array" ref="E312">IFERROR(_xlfn.LET(
_xlpm.CSVVal,_xlfn.XLOOKUP($A312,CSV!$A:$A,CSV!E:E,""),
_xlpm.MacVal,_xlfn.XLOOKUP($A312,Output_Mac!$A:$A,Output_Mac!C:C,""),
_xlpm.MyAuditVal,_xlfn.XLOOKUP($A312,My_Audit!$A:$A,My_Audit!D:D,""),
_xlfn.IFS(_xlpm.MyAuditVal&lt;&gt;"",_xlpm.MyAuditVal,_xlpm.MacVal&lt;&gt;"",_xlpm.MacVal,_xlpm.CSVVal&lt;&gt;"",_xlpm.CSVVal
)),"")</f>
        <v/>
      </c>
      <c r="F312" s="45" t="str" cm="1">
        <f t="array" ref="F312">IFERROR(_xlfn.LET(
_xlpm.CSVVal,_xlfn.XLOOKUP($A312,CSV!$A:$A,CSV!F:F,""),
_xlpm.MacVal,_xlfn.XLOOKUP($A312,Output_Mac!$A:$A,Output_Mac!F:F,""),
_xlpm.MyAuditVal,_xlfn.XLOOKUP($A312,My_Audit!$A:$A,My_Audit!E:E,""),
_xlfn.IFS(_xlpm.MyAuditVal&lt;&gt;"",_xlpm.MyAuditVal,_xlpm.MacVal&lt;&gt;"",_xlpm.MacVal,_xlpm.CSVVal&lt;&gt;"",PROPER(_xlpm.CSVVal)
)),"")</f>
        <v/>
      </c>
      <c r="G312" s="45" t="str" cm="1">
        <f t="array" ref="G312">IFERROR(_xlfn.LET(
_xlpm.CSVVal,_xlfn.XLOOKUP($A312,CSV!$A:$A,CSV!G:G,""),
_xlpm.MacVal,_xlfn.XLOOKUP($A312,Output_Mac!$A:$A,Output_Mac!H:H,""),
_xlpm.MyAuditVal,_xlfn.XLOOKUP($A312,My_Audit!$A:$A,My_Audit!F:F,""),
_xlfn.IFS(_xlpm.MyAuditVal&lt;&gt;"",_xlpm.MyAuditVal,_xlpm.MacVal&lt;&gt;"",_xlpm.MacVal,_xlpm.CSVVal&lt;&gt;"",_xlpm.CSVVal
)),"")</f>
        <v/>
      </c>
      <c r="H312" s="45" t="str">
        <f>_xlfn.XLOOKUP(A312,Output_Mac!A:A,Output_Mac!I:I,"")</f>
        <v/>
      </c>
      <c r="I312" s="45" t="str" cm="1">
        <f t="array" ref="I312">IFERROR(_xlfn.LET(
_xlpm.CSVVal,_xlfn.XLOOKUP($A312,CSV!$A:$A,CSV!H:H,""),
_xlpm.MacVal,_xlfn.XLOOKUP($A312,Output_Mac!$A:$A,Output_Mac!J:J,""),
_xlpm.MyAuditVal,_xlfn.XLOOKUP($A312,My_Audit!$A:$A,My_Audit!H:H,""),
_xlfn.IFS(_xlpm.MyAuditVal&lt;&gt;"",UPPER(_xlpm.MyAuditVal),_xlpm.MacVal&lt;&gt;"",_xlpm.MacVal,_xlpm.CSVVal&lt;&gt;"",_xlpm.CSVVal
)),"")</f>
        <v/>
      </c>
      <c r="J312" s="45" t="str" cm="1">
        <f t="array" ref="J312">IFERROR(_xlfn.LET(
_xlpm.CSVVal,_xlfn.XLOOKUP($A312,CSV!$A:$A,CSV!J:J,""),
_xlpm.MacVal,_xlfn.XLOOKUP($A312,Output_Mac!$A:$A,Output_Mac!K:K,""),
_xlpm.MyAuditVal,_xlfn.XLOOKUP($A312,My_Audit!$A:$A,My_Audit!I:I,""),
_xlfn.IFS(_xlpm.MyAuditVal&lt;&gt;"",UPPER(_xlpm.MyAuditVal),_xlpm.MacVal&lt;&gt;"",_xlpm.MacVal,_xlpm.CSVVal&lt;&gt;"",_xlpm.CSVVal
)),"")</f>
        <v/>
      </c>
      <c r="K312" s="45" t="str" cm="1">
        <f t="array" ref="K312">IFERROR(_xlfn.LET(
_xlpm.CSVVal,_xlfn.XLOOKUP($A312,CSV!$A:$A,CSV!N:N,""),
_xlpm.MacVal,_xlfn.XLOOKUP($A312,Output_Mac!$A:$A,Output_Mac!L:L,""),
_xlpm.MyAuditVal,_xlfn.XLOOKUP($A312,My_Audit!$A:$A,My_Audit!J:J,""),
_xlfn.IFS(_xlpm.MyAuditVal&lt;&gt;"",UPPER(_xlpm.MyAuditVal),_xlpm.MacVal&lt;&gt;"",_xlpm.MacVal,_xlpm.CSVVal&lt;&gt;"",_xlpm.CSVVal
)),"")</f>
        <v/>
      </c>
      <c r="L312" s="46" t="str" cm="1">
        <f t="array" ref="L312">IFERROR(_xlfn.LET(
_xlpm.CSVVal,_xlfn.XLOOKUP($A312,CSV!$A:$A,CSV!Q:Q,""),
_xlpm.MacVal,_xlfn.XLOOKUP($A312,Output_Mac!$A:$A,Output_Mac!M:M,""),
_xlpm.MyAuditVal,_xlfn.XLOOKUP($A312,My_Audit!$A:$A,My_Audit!K:K,""),
_xlfn.IFS(_xlpm.MyAuditVal&lt;&gt;"",UPPER(_xlpm.MyAuditVal),_xlpm.MacVal&lt;&gt;"",_xlpm.MacVal,_xlpm.CSVVal&lt;&gt;"",_xlpm.CSVVal
)),"")</f>
        <v/>
      </c>
      <c r="M312" s="45" t="str">
        <f>_xlfn.LET(
    _xlpm.CSVVal, _xlfn.XLOOKUP($A312, CSV!$A:$A, CSV!AE:AE, ""),
    _xlpm.MacVal, _xlfn.XLOOKUP($A312, Output_Mac!$A:$A, Output_Mac!S:S, ""),
    _xlpm.MyAuditVal, _xlfn.XLOOKUP($A312, My_Audit!$A:$A, My_Audit!N:N, ""),
    _xlfn.TEXTJOIN(", ", TRUE, _xlpm.MyAuditVal, _xlpm.MacVal, _xlpm.CSVVal)
)</f>
        <v/>
      </c>
      <c r="N312" s="45" t="str" cm="1">
        <f t="array" ref="N312">IFERROR(_xlfn.LET(
_xlpm.CSVVal,_xlfn.XLOOKUP($A312,CSV!$A:$A,CSV!AG:AG,""),
_xlpm.MacVal,_xlfn.XLOOKUP($A312,Output_Mac!$A:$A,Output_Mac!U:U,""),
_xlpm.MyAuditVal,_xlfn.XLOOKUP($A312,My_Audit!$A:$A,My_Audit!O:O,""),
_xlfn.IFS(_xlpm.MyAuditVal&lt;&gt;"",UPPER(_xlpm.MyAuditVal),_xlpm.MacVal&lt;&gt;"",_xlpm.MacVal,_xlpm.CSVVal&lt;&gt;"",_xlpm.CSVVal
)),"")</f>
        <v/>
      </c>
      <c r="O312" s="46" t="str">
        <f>_xlfn.XLOOKUP(C312,My_Audit!B:B,My_Audit!P:P,"")&amp;""</f>
        <v/>
      </c>
      <c r="P312" s="45"/>
      <c r="Q312" s="46" t="str">
        <f>IF(LEFT(N312,4)="Pass","Nist SP 800-88",My_Audit!R312)&amp;""</f>
        <v/>
      </c>
      <c r="R312" s="45"/>
      <c r="S312" s="45"/>
      <c r="T312" s="46" t="str">
        <f>_xlfn.XLOOKUP(E312,Models!I:I,Models!J:J,"")</f>
        <v/>
      </c>
      <c r="U312" s="45"/>
      <c r="V312" s="45"/>
      <c r="W312" s="38"/>
    </row>
    <row r="313" spans="1:23">
      <c r="A313" s="45" t="str">
        <f>_xlfn.TEXTJOIN("",TRUE,Input!$B$2,ROW(My_Audit!A312))</f>
        <v>XX312</v>
      </c>
      <c r="B313" s="45" t="str">
        <f>_xlfn.TEXTJOIN("-",TRUE,"ITD",Input!$A$2,A313)</f>
        <v>ITD-SHRXXX-XX312</v>
      </c>
      <c r="C313" s="45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46" t="str" cm="1">
        <f t="array" ref="D313">IFERROR(_xlfn.LET(
_xlpm.CSVVal,_xlfn.XLOOKUP($A313,CSV!$A:$A,CSV!C:C,""),
_xlpm.MacVal,_xlfn.XLOOKUP($A313,Output_Mac!$A:$A,Output_Mac!D:D,""),
_xlpm.MyAuditVal,_xlfn.XLOOKUP($A313,My_Audit!$A:$A,My_Audit!C:C,""),
_xlfn.IFS(_xlpm.MyAuditVal&lt;&gt;"",UPPER(_xlpm.MyAuditVal),_xlpm.MacVal&lt;&gt;"",_xlpm.MacVal,_xlpm.CSVVal&lt;&gt;"",_xlpm.CSVVal
)),"")</f>
        <v/>
      </c>
      <c r="E313" s="46" t="str" cm="1">
        <f t="array" ref="E313">IFERROR(_xlfn.LET(
_xlpm.CSVVal,_xlfn.XLOOKUP($A313,CSV!$A:$A,CSV!E:E,""),
_xlpm.MacVal,_xlfn.XLOOKUP($A313,Output_Mac!$A:$A,Output_Mac!C:C,""),
_xlpm.MyAuditVal,_xlfn.XLOOKUP($A313,My_Audit!$A:$A,My_Audit!D:D,""),
_xlfn.IFS(_xlpm.MyAuditVal&lt;&gt;"",_xlpm.MyAuditVal,_xlpm.MacVal&lt;&gt;"",_xlpm.MacVal,_xlpm.CSVVal&lt;&gt;"",_xlpm.CSVVal
)),"")</f>
        <v/>
      </c>
      <c r="F313" s="45" t="str" cm="1">
        <f t="array" ref="F313">IFERROR(_xlfn.LET(
_xlpm.CSVVal,_xlfn.XLOOKUP($A313,CSV!$A:$A,CSV!F:F,""),
_xlpm.MacVal,_xlfn.XLOOKUP($A313,Output_Mac!$A:$A,Output_Mac!F:F,""),
_xlpm.MyAuditVal,_xlfn.XLOOKUP($A313,My_Audit!$A:$A,My_Audit!E:E,""),
_xlfn.IFS(_xlpm.MyAuditVal&lt;&gt;"",_xlpm.MyAuditVal,_xlpm.MacVal&lt;&gt;"",_xlpm.MacVal,_xlpm.CSVVal&lt;&gt;"",PROPER(_xlpm.CSVVal)
)),"")</f>
        <v/>
      </c>
      <c r="G313" s="45" t="str" cm="1">
        <f t="array" ref="G313">IFERROR(_xlfn.LET(
_xlpm.CSVVal,_xlfn.XLOOKUP($A313,CSV!$A:$A,CSV!G:G,""),
_xlpm.MacVal,_xlfn.XLOOKUP($A313,Output_Mac!$A:$A,Output_Mac!H:H,""),
_xlpm.MyAuditVal,_xlfn.XLOOKUP($A313,My_Audit!$A:$A,My_Audit!F:F,""),
_xlfn.IFS(_xlpm.MyAuditVal&lt;&gt;"",_xlpm.MyAuditVal,_xlpm.MacVal&lt;&gt;"",_xlpm.MacVal,_xlpm.CSVVal&lt;&gt;"",_xlpm.CSVVal
)),"")</f>
        <v/>
      </c>
      <c r="H313" s="45" t="str">
        <f>_xlfn.XLOOKUP(A313,Output_Mac!A:A,Output_Mac!I:I,"")</f>
        <v/>
      </c>
      <c r="I313" s="45" t="str" cm="1">
        <f t="array" ref="I313">IFERROR(_xlfn.LET(
_xlpm.CSVVal,_xlfn.XLOOKUP($A313,CSV!$A:$A,CSV!H:H,""),
_xlpm.MacVal,_xlfn.XLOOKUP($A313,Output_Mac!$A:$A,Output_Mac!J:J,""),
_xlpm.MyAuditVal,_xlfn.XLOOKUP($A313,My_Audit!$A:$A,My_Audit!H:H,""),
_xlfn.IFS(_xlpm.MyAuditVal&lt;&gt;"",UPPER(_xlpm.MyAuditVal),_xlpm.MacVal&lt;&gt;"",_xlpm.MacVal,_xlpm.CSVVal&lt;&gt;"",_xlpm.CSVVal
)),"")</f>
        <v/>
      </c>
      <c r="J313" s="45" t="str" cm="1">
        <f t="array" ref="J313">IFERROR(_xlfn.LET(
_xlpm.CSVVal,_xlfn.XLOOKUP($A313,CSV!$A:$A,CSV!J:J,""),
_xlpm.MacVal,_xlfn.XLOOKUP($A313,Output_Mac!$A:$A,Output_Mac!K:K,""),
_xlpm.MyAuditVal,_xlfn.XLOOKUP($A313,My_Audit!$A:$A,My_Audit!I:I,""),
_xlfn.IFS(_xlpm.MyAuditVal&lt;&gt;"",UPPER(_xlpm.MyAuditVal),_xlpm.MacVal&lt;&gt;"",_xlpm.MacVal,_xlpm.CSVVal&lt;&gt;"",_xlpm.CSVVal
)),"")</f>
        <v/>
      </c>
      <c r="K313" s="45" t="str" cm="1">
        <f t="array" ref="K313">IFERROR(_xlfn.LET(
_xlpm.CSVVal,_xlfn.XLOOKUP($A313,CSV!$A:$A,CSV!N:N,""),
_xlpm.MacVal,_xlfn.XLOOKUP($A313,Output_Mac!$A:$A,Output_Mac!L:L,""),
_xlpm.MyAuditVal,_xlfn.XLOOKUP($A313,My_Audit!$A:$A,My_Audit!J:J,""),
_xlfn.IFS(_xlpm.MyAuditVal&lt;&gt;"",UPPER(_xlpm.MyAuditVal),_xlpm.MacVal&lt;&gt;"",_xlpm.MacVal,_xlpm.CSVVal&lt;&gt;"",_xlpm.CSVVal
)),"")</f>
        <v/>
      </c>
      <c r="L313" s="46" t="str" cm="1">
        <f t="array" ref="L313">IFERROR(_xlfn.LET(
_xlpm.CSVVal,_xlfn.XLOOKUP($A313,CSV!$A:$A,CSV!Q:Q,""),
_xlpm.MacVal,_xlfn.XLOOKUP($A313,Output_Mac!$A:$A,Output_Mac!M:M,""),
_xlpm.MyAuditVal,_xlfn.XLOOKUP($A313,My_Audit!$A:$A,My_Audit!K:K,""),
_xlfn.IFS(_xlpm.MyAuditVal&lt;&gt;"",UPPER(_xlpm.MyAuditVal),_xlpm.MacVal&lt;&gt;"",_xlpm.MacVal,_xlpm.CSVVal&lt;&gt;"",_xlpm.CSVVal
)),"")</f>
        <v/>
      </c>
      <c r="M313" s="45" t="str">
        <f>_xlfn.LET(
    _xlpm.CSVVal, _xlfn.XLOOKUP($A313, CSV!$A:$A, CSV!AE:AE, ""),
    _xlpm.MacVal, _xlfn.XLOOKUP($A313, Output_Mac!$A:$A, Output_Mac!S:S, ""),
    _xlpm.MyAuditVal, _xlfn.XLOOKUP($A313, My_Audit!$A:$A, My_Audit!N:N, ""),
    _xlfn.TEXTJOIN(", ", TRUE, _xlpm.MyAuditVal, _xlpm.MacVal, _xlpm.CSVVal)
)</f>
        <v/>
      </c>
      <c r="N313" s="45" t="str" cm="1">
        <f t="array" ref="N313">IFERROR(_xlfn.LET(
_xlpm.CSVVal,_xlfn.XLOOKUP($A313,CSV!$A:$A,CSV!AG:AG,""),
_xlpm.MacVal,_xlfn.XLOOKUP($A313,Output_Mac!$A:$A,Output_Mac!U:U,""),
_xlpm.MyAuditVal,_xlfn.XLOOKUP($A313,My_Audit!$A:$A,My_Audit!O:O,""),
_xlfn.IFS(_xlpm.MyAuditVal&lt;&gt;"",UPPER(_xlpm.MyAuditVal),_xlpm.MacVal&lt;&gt;"",_xlpm.MacVal,_xlpm.CSVVal&lt;&gt;"",_xlpm.CSVVal
)),"")</f>
        <v/>
      </c>
      <c r="O313" s="46" t="str">
        <f>_xlfn.XLOOKUP(C313,My_Audit!B:B,My_Audit!P:P,"")&amp;""</f>
        <v/>
      </c>
      <c r="P313" s="45"/>
      <c r="Q313" s="46" t="str">
        <f>IF(LEFT(N313,4)="Pass","Nist SP 800-88",My_Audit!R313)&amp;""</f>
        <v/>
      </c>
      <c r="R313" s="45"/>
      <c r="S313" s="45"/>
      <c r="T313" s="46" t="str">
        <f>_xlfn.XLOOKUP(E313,Models!I:I,Models!J:J,"")</f>
        <v/>
      </c>
      <c r="U313" s="45"/>
      <c r="V313" s="45"/>
      <c r="W313" s="38"/>
    </row>
    <row r="314" spans="1:23">
      <c r="A314" s="45" t="str">
        <f>_xlfn.TEXTJOIN("",TRUE,Input!$B$2,ROW(My_Audit!A313))</f>
        <v>XX313</v>
      </c>
      <c r="B314" s="45" t="str">
        <f>_xlfn.TEXTJOIN("-",TRUE,"ITD",Input!$A$2,A314)</f>
        <v>ITD-SHRXXX-XX313</v>
      </c>
      <c r="C314" s="45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46" t="str" cm="1">
        <f t="array" ref="D314">IFERROR(_xlfn.LET(
_xlpm.CSVVal,_xlfn.XLOOKUP($A314,CSV!$A:$A,CSV!C:C,""),
_xlpm.MacVal,_xlfn.XLOOKUP($A314,Output_Mac!$A:$A,Output_Mac!D:D,""),
_xlpm.MyAuditVal,_xlfn.XLOOKUP($A314,My_Audit!$A:$A,My_Audit!C:C,""),
_xlfn.IFS(_xlpm.MyAuditVal&lt;&gt;"",UPPER(_xlpm.MyAuditVal),_xlpm.MacVal&lt;&gt;"",_xlpm.MacVal,_xlpm.CSVVal&lt;&gt;"",_xlpm.CSVVal
)),"")</f>
        <v/>
      </c>
      <c r="E314" s="46" t="str" cm="1">
        <f t="array" ref="E314">IFERROR(_xlfn.LET(
_xlpm.CSVVal,_xlfn.XLOOKUP($A314,CSV!$A:$A,CSV!E:E,""),
_xlpm.MacVal,_xlfn.XLOOKUP($A314,Output_Mac!$A:$A,Output_Mac!C:C,""),
_xlpm.MyAuditVal,_xlfn.XLOOKUP($A314,My_Audit!$A:$A,My_Audit!D:D,""),
_xlfn.IFS(_xlpm.MyAuditVal&lt;&gt;"",_xlpm.MyAuditVal,_xlpm.MacVal&lt;&gt;"",_xlpm.MacVal,_xlpm.CSVVal&lt;&gt;"",_xlpm.CSVVal
)),"")</f>
        <v/>
      </c>
      <c r="F314" s="45" t="str" cm="1">
        <f t="array" ref="F314">IFERROR(_xlfn.LET(
_xlpm.CSVVal,_xlfn.XLOOKUP($A314,CSV!$A:$A,CSV!F:F,""),
_xlpm.MacVal,_xlfn.XLOOKUP($A314,Output_Mac!$A:$A,Output_Mac!F:F,""),
_xlpm.MyAuditVal,_xlfn.XLOOKUP($A314,My_Audit!$A:$A,My_Audit!E:E,""),
_xlfn.IFS(_xlpm.MyAuditVal&lt;&gt;"",_xlpm.MyAuditVal,_xlpm.MacVal&lt;&gt;"",_xlpm.MacVal,_xlpm.CSVVal&lt;&gt;"",PROPER(_xlpm.CSVVal)
)),"")</f>
        <v/>
      </c>
      <c r="G314" s="45" t="str" cm="1">
        <f t="array" ref="G314">IFERROR(_xlfn.LET(
_xlpm.CSVVal,_xlfn.XLOOKUP($A314,CSV!$A:$A,CSV!G:G,""),
_xlpm.MacVal,_xlfn.XLOOKUP($A314,Output_Mac!$A:$A,Output_Mac!H:H,""),
_xlpm.MyAuditVal,_xlfn.XLOOKUP($A314,My_Audit!$A:$A,My_Audit!F:F,""),
_xlfn.IFS(_xlpm.MyAuditVal&lt;&gt;"",_xlpm.MyAuditVal,_xlpm.MacVal&lt;&gt;"",_xlpm.MacVal,_xlpm.CSVVal&lt;&gt;"",_xlpm.CSVVal
)),"")</f>
        <v/>
      </c>
      <c r="H314" s="45" t="str">
        <f>_xlfn.XLOOKUP(A314,Output_Mac!A:A,Output_Mac!I:I,"")</f>
        <v/>
      </c>
      <c r="I314" s="45" t="str" cm="1">
        <f t="array" ref="I314">IFERROR(_xlfn.LET(
_xlpm.CSVVal,_xlfn.XLOOKUP($A314,CSV!$A:$A,CSV!H:H,""),
_xlpm.MacVal,_xlfn.XLOOKUP($A314,Output_Mac!$A:$A,Output_Mac!J:J,""),
_xlpm.MyAuditVal,_xlfn.XLOOKUP($A314,My_Audit!$A:$A,My_Audit!H:H,""),
_xlfn.IFS(_xlpm.MyAuditVal&lt;&gt;"",UPPER(_xlpm.MyAuditVal),_xlpm.MacVal&lt;&gt;"",_xlpm.MacVal,_xlpm.CSVVal&lt;&gt;"",_xlpm.CSVVal
)),"")</f>
        <v/>
      </c>
      <c r="J314" s="45" t="str" cm="1">
        <f t="array" ref="J314">IFERROR(_xlfn.LET(
_xlpm.CSVVal,_xlfn.XLOOKUP($A314,CSV!$A:$A,CSV!J:J,""),
_xlpm.MacVal,_xlfn.XLOOKUP($A314,Output_Mac!$A:$A,Output_Mac!K:K,""),
_xlpm.MyAuditVal,_xlfn.XLOOKUP($A314,My_Audit!$A:$A,My_Audit!I:I,""),
_xlfn.IFS(_xlpm.MyAuditVal&lt;&gt;"",UPPER(_xlpm.MyAuditVal),_xlpm.MacVal&lt;&gt;"",_xlpm.MacVal,_xlpm.CSVVal&lt;&gt;"",_xlpm.CSVVal
)),"")</f>
        <v/>
      </c>
      <c r="K314" s="45" t="str" cm="1">
        <f t="array" ref="K314">IFERROR(_xlfn.LET(
_xlpm.CSVVal,_xlfn.XLOOKUP($A314,CSV!$A:$A,CSV!N:N,""),
_xlpm.MacVal,_xlfn.XLOOKUP($A314,Output_Mac!$A:$A,Output_Mac!L:L,""),
_xlpm.MyAuditVal,_xlfn.XLOOKUP($A314,My_Audit!$A:$A,My_Audit!J:J,""),
_xlfn.IFS(_xlpm.MyAuditVal&lt;&gt;"",UPPER(_xlpm.MyAuditVal),_xlpm.MacVal&lt;&gt;"",_xlpm.MacVal,_xlpm.CSVVal&lt;&gt;"",_xlpm.CSVVal
)),"")</f>
        <v/>
      </c>
      <c r="L314" s="46" t="str" cm="1">
        <f t="array" ref="L314">IFERROR(_xlfn.LET(
_xlpm.CSVVal,_xlfn.XLOOKUP($A314,CSV!$A:$A,CSV!Q:Q,""),
_xlpm.MacVal,_xlfn.XLOOKUP($A314,Output_Mac!$A:$A,Output_Mac!M:M,""),
_xlpm.MyAuditVal,_xlfn.XLOOKUP($A314,My_Audit!$A:$A,My_Audit!K:K,""),
_xlfn.IFS(_xlpm.MyAuditVal&lt;&gt;"",UPPER(_xlpm.MyAuditVal),_xlpm.MacVal&lt;&gt;"",_xlpm.MacVal,_xlpm.CSVVal&lt;&gt;"",_xlpm.CSVVal
)),"")</f>
        <v/>
      </c>
      <c r="M314" s="45" t="str">
        <f>_xlfn.LET(
    _xlpm.CSVVal, _xlfn.XLOOKUP($A314, CSV!$A:$A, CSV!AE:AE, ""),
    _xlpm.MacVal, _xlfn.XLOOKUP($A314, Output_Mac!$A:$A, Output_Mac!S:S, ""),
    _xlpm.MyAuditVal, _xlfn.XLOOKUP($A314, My_Audit!$A:$A, My_Audit!N:N, ""),
    _xlfn.TEXTJOIN(", ", TRUE, _xlpm.MyAuditVal, _xlpm.MacVal, _xlpm.CSVVal)
)</f>
        <v/>
      </c>
      <c r="N314" s="45" t="str" cm="1">
        <f t="array" ref="N314">IFERROR(_xlfn.LET(
_xlpm.CSVVal,_xlfn.XLOOKUP($A314,CSV!$A:$A,CSV!AG:AG,""),
_xlpm.MacVal,_xlfn.XLOOKUP($A314,Output_Mac!$A:$A,Output_Mac!U:U,""),
_xlpm.MyAuditVal,_xlfn.XLOOKUP($A314,My_Audit!$A:$A,My_Audit!O:O,""),
_xlfn.IFS(_xlpm.MyAuditVal&lt;&gt;"",UPPER(_xlpm.MyAuditVal),_xlpm.MacVal&lt;&gt;"",_xlpm.MacVal,_xlpm.CSVVal&lt;&gt;"",_xlpm.CSVVal
)),"")</f>
        <v/>
      </c>
      <c r="O314" s="46" t="str">
        <f>_xlfn.XLOOKUP(C314,My_Audit!B:B,My_Audit!P:P,"")&amp;""</f>
        <v/>
      </c>
      <c r="P314" s="45"/>
      <c r="Q314" s="46" t="str">
        <f>IF(LEFT(N314,4)="Pass","Nist SP 800-88",My_Audit!R314)&amp;""</f>
        <v/>
      </c>
      <c r="R314" s="45"/>
      <c r="S314" s="45"/>
      <c r="T314" s="46" t="str">
        <f>_xlfn.XLOOKUP(E314,Models!I:I,Models!J:J,"")</f>
        <v/>
      </c>
      <c r="U314" s="45"/>
      <c r="V314" s="45"/>
      <c r="W314" s="38"/>
    </row>
    <row r="315" spans="1:23">
      <c r="A315" s="45" t="str">
        <f>_xlfn.TEXTJOIN("",TRUE,Input!$B$2,ROW(My_Audit!A314))</f>
        <v>XX314</v>
      </c>
      <c r="B315" s="45" t="str">
        <f>_xlfn.TEXTJOIN("-",TRUE,"ITD",Input!$A$2,A315)</f>
        <v>ITD-SHRXXX-XX314</v>
      </c>
      <c r="C315" s="45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46" t="str" cm="1">
        <f t="array" ref="D315">IFERROR(_xlfn.LET(
_xlpm.CSVVal,_xlfn.XLOOKUP($A315,CSV!$A:$A,CSV!C:C,""),
_xlpm.MacVal,_xlfn.XLOOKUP($A315,Output_Mac!$A:$A,Output_Mac!D:D,""),
_xlpm.MyAuditVal,_xlfn.XLOOKUP($A315,My_Audit!$A:$A,My_Audit!C:C,""),
_xlfn.IFS(_xlpm.MyAuditVal&lt;&gt;"",UPPER(_xlpm.MyAuditVal),_xlpm.MacVal&lt;&gt;"",_xlpm.MacVal,_xlpm.CSVVal&lt;&gt;"",_xlpm.CSVVal
)),"")</f>
        <v/>
      </c>
      <c r="E315" s="46" t="str" cm="1">
        <f t="array" ref="E315">IFERROR(_xlfn.LET(
_xlpm.CSVVal,_xlfn.XLOOKUP($A315,CSV!$A:$A,CSV!E:E,""),
_xlpm.MacVal,_xlfn.XLOOKUP($A315,Output_Mac!$A:$A,Output_Mac!C:C,""),
_xlpm.MyAuditVal,_xlfn.XLOOKUP($A315,My_Audit!$A:$A,My_Audit!D:D,""),
_xlfn.IFS(_xlpm.MyAuditVal&lt;&gt;"",_xlpm.MyAuditVal,_xlpm.MacVal&lt;&gt;"",_xlpm.MacVal,_xlpm.CSVVal&lt;&gt;"",_xlpm.CSVVal
)),"")</f>
        <v/>
      </c>
      <c r="F315" s="45" t="str" cm="1">
        <f t="array" ref="F315">IFERROR(_xlfn.LET(
_xlpm.CSVVal,_xlfn.XLOOKUP($A315,CSV!$A:$A,CSV!F:F,""),
_xlpm.MacVal,_xlfn.XLOOKUP($A315,Output_Mac!$A:$A,Output_Mac!F:F,""),
_xlpm.MyAuditVal,_xlfn.XLOOKUP($A315,My_Audit!$A:$A,My_Audit!E:E,""),
_xlfn.IFS(_xlpm.MyAuditVal&lt;&gt;"",_xlpm.MyAuditVal,_xlpm.MacVal&lt;&gt;"",_xlpm.MacVal,_xlpm.CSVVal&lt;&gt;"",PROPER(_xlpm.CSVVal)
)),"")</f>
        <v/>
      </c>
      <c r="G315" s="45" t="str" cm="1">
        <f t="array" ref="G315">IFERROR(_xlfn.LET(
_xlpm.CSVVal,_xlfn.XLOOKUP($A315,CSV!$A:$A,CSV!G:G,""),
_xlpm.MacVal,_xlfn.XLOOKUP($A315,Output_Mac!$A:$A,Output_Mac!H:H,""),
_xlpm.MyAuditVal,_xlfn.XLOOKUP($A315,My_Audit!$A:$A,My_Audit!F:F,""),
_xlfn.IFS(_xlpm.MyAuditVal&lt;&gt;"",_xlpm.MyAuditVal,_xlpm.MacVal&lt;&gt;"",_xlpm.MacVal,_xlpm.CSVVal&lt;&gt;"",_xlpm.CSVVal
)),"")</f>
        <v/>
      </c>
      <c r="H315" s="45" t="str">
        <f>_xlfn.XLOOKUP(A315,Output_Mac!A:A,Output_Mac!I:I,"")</f>
        <v/>
      </c>
      <c r="I315" s="45" t="str" cm="1">
        <f t="array" ref="I315">IFERROR(_xlfn.LET(
_xlpm.CSVVal,_xlfn.XLOOKUP($A315,CSV!$A:$A,CSV!H:H,""),
_xlpm.MacVal,_xlfn.XLOOKUP($A315,Output_Mac!$A:$A,Output_Mac!J:J,""),
_xlpm.MyAuditVal,_xlfn.XLOOKUP($A315,My_Audit!$A:$A,My_Audit!H:H,""),
_xlfn.IFS(_xlpm.MyAuditVal&lt;&gt;"",UPPER(_xlpm.MyAuditVal),_xlpm.MacVal&lt;&gt;"",_xlpm.MacVal,_xlpm.CSVVal&lt;&gt;"",_xlpm.CSVVal
)),"")</f>
        <v/>
      </c>
      <c r="J315" s="45" t="str" cm="1">
        <f t="array" ref="J315">IFERROR(_xlfn.LET(
_xlpm.CSVVal,_xlfn.XLOOKUP($A315,CSV!$A:$A,CSV!J:J,""),
_xlpm.MacVal,_xlfn.XLOOKUP($A315,Output_Mac!$A:$A,Output_Mac!K:K,""),
_xlpm.MyAuditVal,_xlfn.XLOOKUP($A315,My_Audit!$A:$A,My_Audit!I:I,""),
_xlfn.IFS(_xlpm.MyAuditVal&lt;&gt;"",UPPER(_xlpm.MyAuditVal),_xlpm.MacVal&lt;&gt;"",_xlpm.MacVal,_xlpm.CSVVal&lt;&gt;"",_xlpm.CSVVal
)),"")</f>
        <v/>
      </c>
      <c r="K315" s="45" t="str" cm="1">
        <f t="array" ref="K315">IFERROR(_xlfn.LET(
_xlpm.CSVVal,_xlfn.XLOOKUP($A315,CSV!$A:$A,CSV!N:N,""),
_xlpm.MacVal,_xlfn.XLOOKUP($A315,Output_Mac!$A:$A,Output_Mac!L:L,""),
_xlpm.MyAuditVal,_xlfn.XLOOKUP($A315,My_Audit!$A:$A,My_Audit!J:J,""),
_xlfn.IFS(_xlpm.MyAuditVal&lt;&gt;"",UPPER(_xlpm.MyAuditVal),_xlpm.MacVal&lt;&gt;"",_xlpm.MacVal,_xlpm.CSVVal&lt;&gt;"",_xlpm.CSVVal
)),"")</f>
        <v/>
      </c>
      <c r="L315" s="46" t="str" cm="1">
        <f t="array" ref="L315">IFERROR(_xlfn.LET(
_xlpm.CSVVal,_xlfn.XLOOKUP($A315,CSV!$A:$A,CSV!Q:Q,""),
_xlpm.MacVal,_xlfn.XLOOKUP($A315,Output_Mac!$A:$A,Output_Mac!M:M,""),
_xlpm.MyAuditVal,_xlfn.XLOOKUP($A315,My_Audit!$A:$A,My_Audit!K:K,""),
_xlfn.IFS(_xlpm.MyAuditVal&lt;&gt;"",UPPER(_xlpm.MyAuditVal),_xlpm.MacVal&lt;&gt;"",_xlpm.MacVal,_xlpm.CSVVal&lt;&gt;"",_xlpm.CSVVal
)),"")</f>
        <v/>
      </c>
      <c r="M315" s="45" t="str">
        <f>_xlfn.LET(
    _xlpm.CSVVal, _xlfn.XLOOKUP($A315, CSV!$A:$A, CSV!AE:AE, ""),
    _xlpm.MacVal, _xlfn.XLOOKUP($A315, Output_Mac!$A:$A, Output_Mac!S:S, ""),
    _xlpm.MyAuditVal, _xlfn.XLOOKUP($A315, My_Audit!$A:$A, My_Audit!N:N, ""),
    _xlfn.TEXTJOIN(", ", TRUE, _xlpm.MyAuditVal, _xlpm.MacVal, _xlpm.CSVVal)
)</f>
        <v/>
      </c>
      <c r="N315" s="45" t="str" cm="1">
        <f t="array" ref="N315">IFERROR(_xlfn.LET(
_xlpm.CSVVal,_xlfn.XLOOKUP($A315,CSV!$A:$A,CSV!AG:AG,""),
_xlpm.MacVal,_xlfn.XLOOKUP($A315,Output_Mac!$A:$A,Output_Mac!U:U,""),
_xlpm.MyAuditVal,_xlfn.XLOOKUP($A315,My_Audit!$A:$A,My_Audit!O:O,""),
_xlfn.IFS(_xlpm.MyAuditVal&lt;&gt;"",UPPER(_xlpm.MyAuditVal),_xlpm.MacVal&lt;&gt;"",_xlpm.MacVal,_xlpm.CSVVal&lt;&gt;"",_xlpm.CSVVal
)),"")</f>
        <v/>
      </c>
      <c r="O315" s="46" t="str">
        <f>_xlfn.XLOOKUP(C315,My_Audit!B:B,My_Audit!P:P,"")&amp;""</f>
        <v/>
      </c>
      <c r="P315" s="45"/>
      <c r="Q315" s="46" t="str">
        <f>IF(LEFT(N315,4)="Pass","Nist SP 800-88",My_Audit!R315)&amp;""</f>
        <v/>
      </c>
      <c r="R315" s="45"/>
      <c r="S315" s="45"/>
      <c r="T315" s="46" t="str">
        <f>_xlfn.XLOOKUP(E315,Models!I:I,Models!J:J,"")</f>
        <v/>
      </c>
      <c r="U315" s="45"/>
      <c r="V315" s="45"/>
      <c r="W315" s="38"/>
    </row>
    <row r="316" spans="1:23">
      <c r="A316" s="45" t="str">
        <f>_xlfn.TEXTJOIN("",TRUE,Input!$B$2,ROW(My_Audit!A315))</f>
        <v>XX315</v>
      </c>
      <c r="B316" s="45" t="str">
        <f>_xlfn.TEXTJOIN("-",TRUE,"ITD",Input!$A$2,A316)</f>
        <v>ITD-SHRXXX-XX315</v>
      </c>
      <c r="C316" s="45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46" t="str" cm="1">
        <f t="array" ref="D316">IFERROR(_xlfn.LET(
_xlpm.CSVVal,_xlfn.XLOOKUP($A316,CSV!$A:$A,CSV!C:C,""),
_xlpm.MacVal,_xlfn.XLOOKUP($A316,Output_Mac!$A:$A,Output_Mac!D:D,""),
_xlpm.MyAuditVal,_xlfn.XLOOKUP($A316,My_Audit!$A:$A,My_Audit!C:C,""),
_xlfn.IFS(_xlpm.MyAuditVal&lt;&gt;"",UPPER(_xlpm.MyAuditVal),_xlpm.MacVal&lt;&gt;"",_xlpm.MacVal,_xlpm.CSVVal&lt;&gt;"",_xlpm.CSVVal
)),"")</f>
        <v/>
      </c>
      <c r="E316" s="46" t="str" cm="1">
        <f t="array" ref="E316">IFERROR(_xlfn.LET(
_xlpm.CSVVal,_xlfn.XLOOKUP($A316,CSV!$A:$A,CSV!E:E,""),
_xlpm.MacVal,_xlfn.XLOOKUP($A316,Output_Mac!$A:$A,Output_Mac!C:C,""),
_xlpm.MyAuditVal,_xlfn.XLOOKUP($A316,My_Audit!$A:$A,My_Audit!D:D,""),
_xlfn.IFS(_xlpm.MyAuditVal&lt;&gt;"",_xlpm.MyAuditVal,_xlpm.MacVal&lt;&gt;"",_xlpm.MacVal,_xlpm.CSVVal&lt;&gt;"",_xlpm.CSVVal
)),"")</f>
        <v/>
      </c>
      <c r="F316" s="45" t="str" cm="1">
        <f t="array" ref="F316">IFERROR(_xlfn.LET(
_xlpm.CSVVal,_xlfn.XLOOKUP($A316,CSV!$A:$A,CSV!F:F,""),
_xlpm.MacVal,_xlfn.XLOOKUP($A316,Output_Mac!$A:$A,Output_Mac!F:F,""),
_xlpm.MyAuditVal,_xlfn.XLOOKUP($A316,My_Audit!$A:$A,My_Audit!E:E,""),
_xlfn.IFS(_xlpm.MyAuditVal&lt;&gt;"",_xlpm.MyAuditVal,_xlpm.MacVal&lt;&gt;"",_xlpm.MacVal,_xlpm.CSVVal&lt;&gt;"",PROPER(_xlpm.CSVVal)
)),"")</f>
        <v/>
      </c>
      <c r="G316" s="45" t="str" cm="1">
        <f t="array" ref="G316">IFERROR(_xlfn.LET(
_xlpm.CSVVal,_xlfn.XLOOKUP($A316,CSV!$A:$A,CSV!G:G,""),
_xlpm.MacVal,_xlfn.XLOOKUP($A316,Output_Mac!$A:$A,Output_Mac!H:H,""),
_xlpm.MyAuditVal,_xlfn.XLOOKUP($A316,My_Audit!$A:$A,My_Audit!F:F,""),
_xlfn.IFS(_xlpm.MyAuditVal&lt;&gt;"",_xlpm.MyAuditVal,_xlpm.MacVal&lt;&gt;"",_xlpm.MacVal,_xlpm.CSVVal&lt;&gt;"",_xlpm.CSVVal
)),"")</f>
        <v/>
      </c>
      <c r="H316" s="45" t="str">
        <f>_xlfn.XLOOKUP(A316,Output_Mac!A:A,Output_Mac!I:I,"")</f>
        <v/>
      </c>
      <c r="I316" s="45" t="str" cm="1">
        <f t="array" ref="I316">IFERROR(_xlfn.LET(
_xlpm.CSVVal,_xlfn.XLOOKUP($A316,CSV!$A:$A,CSV!H:H,""),
_xlpm.MacVal,_xlfn.XLOOKUP($A316,Output_Mac!$A:$A,Output_Mac!J:J,""),
_xlpm.MyAuditVal,_xlfn.XLOOKUP($A316,My_Audit!$A:$A,My_Audit!H:H,""),
_xlfn.IFS(_xlpm.MyAuditVal&lt;&gt;"",UPPER(_xlpm.MyAuditVal),_xlpm.MacVal&lt;&gt;"",_xlpm.MacVal,_xlpm.CSVVal&lt;&gt;"",_xlpm.CSVVal
)),"")</f>
        <v/>
      </c>
      <c r="J316" s="45" t="str" cm="1">
        <f t="array" ref="J316">IFERROR(_xlfn.LET(
_xlpm.CSVVal,_xlfn.XLOOKUP($A316,CSV!$A:$A,CSV!J:J,""),
_xlpm.MacVal,_xlfn.XLOOKUP($A316,Output_Mac!$A:$A,Output_Mac!K:K,""),
_xlpm.MyAuditVal,_xlfn.XLOOKUP($A316,My_Audit!$A:$A,My_Audit!I:I,""),
_xlfn.IFS(_xlpm.MyAuditVal&lt;&gt;"",UPPER(_xlpm.MyAuditVal),_xlpm.MacVal&lt;&gt;"",_xlpm.MacVal,_xlpm.CSVVal&lt;&gt;"",_xlpm.CSVVal
)),"")</f>
        <v/>
      </c>
      <c r="K316" s="45" t="str" cm="1">
        <f t="array" ref="K316">IFERROR(_xlfn.LET(
_xlpm.CSVVal,_xlfn.XLOOKUP($A316,CSV!$A:$A,CSV!N:N,""),
_xlpm.MacVal,_xlfn.XLOOKUP($A316,Output_Mac!$A:$A,Output_Mac!L:L,""),
_xlpm.MyAuditVal,_xlfn.XLOOKUP($A316,My_Audit!$A:$A,My_Audit!J:J,""),
_xlfn.IFS(_xlpm.MyAuditVal&lt;&gt;"",UPPER(_xlpm.MyAuditVal),_xlpm.MacVal&lt;&gt;"",_xlpm.MacVal,_xlpm.CSVVal&lt;&gt;"",_xlpm.CSVVal
)),"")</f>
        <v/>
      </c>
      <c r="L316" s="46" t="str" cm="1">
        <f t="array" ref="L316">IFERROR(_xlfn.LET(
_xlpm.CSVVal,_xlfn.XLOOKUP($A316,CSV!$A:$A,CSV!Q:Q,""),
_xlpm.MacVal,_xlfn.XLOOKUP($A316,Output_Mac!$A:$A,Output_Mac!M:M,""),
_xlpm.MyAuditVal,_xlfn.XLOOKUP($A316,My_Audit!$A:$A,My_Audit!K:K,""),
_xlfn.IFS(_xlpm.MyAuditVal&lt;&gt;"",UPPER(_xlpm.MyAuditVal),_xlpm.MacVal&lt;&gt;"",_xlpm.MacVal,_xlpm.CSVVal&lt;&gt;"",_xlpm.CSVVal
)),"")</f>
        <v/>
      </c>
      <c r="M316" s="45" t="str">
        <f>_xlfn.LET(
    _xlpm.CSVVal, _xlfn.XLOOKUP($A316, CSV!$A:$A, CSV!AE:AE, ""),
    _xlpm.MacVal, _xlfn.XLOOKUP($A316, Output_Mac!$A:$A, Output_Mac!S:S, ""),
    _xlpm.MyAuditVal, _xlfn.XLOOKUP($A316, My_Audit!$A:$A, My_Audit!N:N, ""),
    _xlfn.TEXTJOIN(", ", TRUE, _xlpm.MyAuditVal, _xlpm.MacVal, _xlpm.CSVVal)
)</f>
        <v/>
      </c>
      <c r="N316" s="45" t="str" cm="1">
        <f t="array" ref="N316">IFERROR(_xlfn.LET(
_xlpm.CSVVal,_xlfn.XLOOKUP($A316,CSV!$A:$A,CSV!AG:AG,""),
_xlpm.MacVal,_xlfn.XLOOKUP($A316,Output_Mac!$A:$A,Output_Mac!U:U,""),
_xlpm.MyAuditVal,_xlfn.XLOOKUP($A316,My_Audit!$A:$A,My_Audit!O:O,""),
_xlfn.IFS(_xlpm.MyAuditVal&lt;&gt;"",UPPER(_xlpm.MyAuditVal),_xlpm.MacVal&lt;&gt;"",_xlpm.MacVal,_xlpm.CSVVal&lt;&gt;"",_xlpm.CSVVal
)),"")</f>
        <v/>
      </c>
      <c r="O316" s="46" t="str">
        <f>_xlfn.XLOOKUP(C316,My_Audit!B:B,My_Audit!P:P,"")&amp;""</f>
        <v/>
      </c>
      <c r="P316" s="45"/>
      <c r="Q316" s="46" t="str">
        <f>IF(LEFT(N316,4)="Pass","Nist SP 800-88",My_Audit!R316)&amp;""</f>
        <v/>
      </c>
      <c r="R316" s="45"/>
      <c r="S316" s="45"/>
      <c r="T316" s="46" t="str">
        <f>_xlfn.XLOOKUP(E316,Models!I:I,Models!J:J,"")</f>
        <v/>
      </c>
      <c r="U316" s="45"/>
      <c r="V316" s="45"/>
      <c r="W316" s="38"/>
    </row>
    <row r="317" spans="1:23">
      <c r="A317" s="45" t="str">
        <f>_xlfn.TEXTJOIN("",TRUE,Input!$B$2,ROW(My_Audit!A316))</f>
        <v>XX316</v>
      </c>
      <c r="B317" s="45" t="str">
        <f>_xlfn.TEXTJOIN("-",TRUE,"ITD",Input!$A$2,A317)</f>
        <v>ITD-SHRXXX-XX316</v>
      </c>
      <c r="C317" s="45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46" t="str" cm="1">
        <f t="array" ref="D317">IFERROR(_xlfn.LET(
_xlpm.CSVVal,_xlfn.XLOOKUP($A317,CSV!$A:$A,CSV!C:C,""),
_xlpm.MacVal,_xlfn.XLOOKUP($A317,Output_Mac!$A:$A,Output_Mac!D:D,""),
_xlpm.MyAuditVal,_xlfn.XLOOKUP($A317,My_Audit!$A:$A,My_Audit!C:C,""),
_xlfn.IFS(_xlpm.MyAuditVal&lt;&gt;"",UPPER(_xlpm.MyAuditVal),_xlpm.MacVal&lt;&gt;"",_xlpm.MacVal,_xlpm.CSVVal&lt;&gt;"",_xlpm.CSVVal
)),"")</f>
        <v/>
      </c>
      <c r="E317" s="46" t="str" cm="1">
        <f t="array" ref="E317">IFERROR(_xlfn.LET(
_xlpm.CSVVal,_xlfn.XLOOKUP($A317,CSV!$A:$A,CSV!E:E,""),
_xlpm.MacVal,_xlfn.XLOOKUP($A317,Output_Mac!$A:$A,Output_Mac!C:C,""),
_xlpm.MyAuditVal,_xlfn.XLOOKUP($A317,My_Audit!$A:$A,My_Audit!D:D,""),
_xlfn.IFS(_xlpm.MyAuditVal&lt;&gt;"",_xlpm.MyAuditVal,_xlpm.MacVal&lt;&gt;"",_xlpm.MacVal,_xlpm.CSVVal&lt;&gt;"",_xlpm.CSVVal
)),"")</f>
        <v/>
      </c>
      <c r="F317" s="45" t="str" cm="1">
        <f t="array" ref="F317">IFERROR(_xlfn.LET(
_xlpm.CSVVal,_xlfn.XLOOKUP($A317,CSV!$A:$A,CSV!F:F,""),
_xlpm.MacVal,_xlfn.XLOOKUP($A317,Output_Mac!$A:$A,Output_Mac!F:F,""),
_xlpm.MyAuditVal,_xlfn.XLOOKUP($A317,My_Audit!$A:$A,My_Audit!E:E,""),
_xlfn.IFS(_xlpm.MyAuditVal&lt;&gt;"",_xlpm.MyAuditVal,_xlpm.MacVal&lt;&gt;"",_xlpm.MacVal,_xlpm.CSVVal&lt;&gt;"",PROPER(_xlpm.CSVVal)
)),"")</f>
        <v/>
      </c>
      <c r="G317" s="45" t="str" cm="1">
        <f t="array" ref="G317">IFERROR(_xlfn.LET(
_xlpm.CSVVal,_xlfn.XLOOKUP($A317,CSV!$A:$A,CSV!G:G,""),
_xlpm.MacVal,_xlfn.XLOOKUP($A317,Output_Mac!$A:$A,Output_Mac!H:H,""),
_xlpm.MyAuditVal,_xlfn.XLOOKUP($A317,My_Audit!$A:$A,My_Audit!F:F,""),
_xlfn.IFS(_xlpm.MyAuditVal&lt;&gt;"",_xlpm.MyAuditVal,_xlpm.MacVal&lt;&gt;"",_xlpm.MacVal,_xlpm.CSVVal&lt;&gt;"",_xlpm.CSVVal
)),"")</f>
        <v/>
      </c>
      <c r="H317" s="45" t="str">
        <f>_xlfn.XLOOKUP(A317,Output_Mac!A:A,Output_Mac!I:I,"")</f>
        <v/>
      </c>
      <c r="I317" s="45" t="str" cm="1">
        <f t="array" ref="I317">IFERROR(_xlfn.LET(
_xlpm.CSVVal,_xlfn.XLOOKUP($A317,CSV!$A:$A,CSV!H:H,""),
_xlpm.MacVal,_xlfn.XLOOKUP($A317,Output_Mac!$A:$A,Output_Mac!J:J,""),
_xlpm.MyAuditVal,_xlfn.XLOOKUP($A317,My_Audit!$A:$A,My_Audit!H:H,""),
_xlfn.IFS(_xlpm.MyAuditVal&lt;&gt;"",UPPER(_xlpm.MyAuditVal),_xlpm.MacVal&lt;&gt;"",_xlpm.MacVal,_xlpm.CSVVal&lt;&gt;"",_xlpm.CSVVal
)),"")</f>
        <v/>
      </c>
      <c r="J317" s="45" t="str" cm="1">
        <f t="array" ref="J317">IFERROR(_xlfn.LET(
_xlpm.CSVVal,_xlfn.XLOOKUP($A317,CSV!$A:$A,CSV!J:J,""),
_xlpm.MacVal,_xlfn.XLOOKUP($A317,Output_Mac!$A:$A,Output_Mac!K:K,""),
_xlpm.MyAuditVal,_xlfn.XLOOKUP($A317,My_Audit!$A:$A,My_Audit!I:I,""),
_xlfn.IFS(_xlpm.MyAuditVal&lt;&gt;"",UPPER(_xlpm.MyAuditVal),_xlpm.MacVal&lt;&gt;"",_xlpm.MacVal,_xlpm.CSVVal&lt;&gt;"",_xlpm.CSVVal
)),"")</f>
        <v/>
      </c>
      <c r="K317" s="45" t="str" cm="1">
        <f t="array" ref="K317">IFERROR(_xlfn.LET(
_xlpm.CSVVal,_xlfn.XLOOKUP($A317,CSV!$A:$A,CSV!N:N,""),
_xlpm.MacVal,_xlfn.XLOOKUP($A317,Output_Mac!$A:$A,Output_Mac!L:L,""),
_xlpm.MyAuditVal,_xlfn.XLOOKUP($A317,My_Audit!$A:$A,My_Audit!J:J,""),
_xlfn.IFS(_xlpm.MyAuditVal&lt;&gt;"",UPPER(_xlpm.MyAuditVal),_xlpm.MacVal&lt;&gt;"",_xlpm.MacVal,_xlpm.CSVVal&lt;&gt;"",_xlpm.CSVVal
)),"")</f>
        <v/>
      </c>
      <c r="L317" s="46" t="str" cm="1">
        <f t="array" ref="L317">IFERROR(_xlfn.LET(
_xlpm.CSVVal,_xlfn.XLOOKUP($A317,CSV!$A:$A,CSV!Q:Q,""),
_xlpm.MacVal,_xlfn.XLOOKUP($A317,Output_Mac!$A:$A,Output_Mac!M:M,""),
_xlpm.MyAuditVal,_xlfn.XLOOKUP($A317,My_Audit!$A:$A,My_Audit!K:K,""),
_xlfn.IFS(_xlpm.MyAuditVal&lt;&gt;"",UPPER(_xlpm.MyAuditVal),_xlpm.MacVal&lt;&gt;"",_xlpm.MacVal,_xlpm.CSVVal&lt;&gt;"",_xlpm.CSVVal
)),"")</f>
        <v/>
      </c>
      <c r="M317" s="45" t="str">
        <f>_xlfn.LET(
    _xlpm.CSVVal, _xlfn.XLOOKUP($A317, CSV!$A:$A, CSV!AE:AE, ""),
    _xlpm.MacVal, _xlfn.XLOOKUP($A317, Output_Mac!$A:$A, Output_Mac!S:S, ""),
    _xlpm.MyAuditVal, _xlfn.XLOOKUP($A317, My_Audit!$A:$A, My_Audit!N:N, ""),
    _xlfn.TEXTJOIN(", ", TRUE, _xlpm.MyAuditVal, _xlpm.MacVal, _xlpm.CSVVal)
)</f>
        <v/>
      </c>
      <c r="N317" s="45" t="str" cm="1">
        <f t="array" ref="N317">IFERROR(_xlfn.LET(
_xlpm.CSVVal,_xlfn.XLOOKUP($A317,CSV!$A:$A,CSV!AG:AG,""),
_xlpm.MacVal,_xlfn.XLOOKUP($A317,Output_Mac!$A:$A,Output_Mac!U:U,""),
_xlpm.MyAuditVal,_xlfn.XLOOKUP($A317,My_Audit!$A:$A,My_Audit!O:O,""),
_xlfn.IFS(_xlpm.MyAuditVal&lt;&gt;"",UPPER(_xlpm.MyAuditVal),_xlpm.MacVal&lt;&gt;"",_xlpm.MacVal,_xlpm.CSVVal&lt;&gt;"",_xlpm.CSVVal
)),"")</f>
        <v/>
      </c>
      <c r="O317" s="46" t="str">
        <f>_xlfn.XLOOKUP(C317,My_Audit!B:B,My_Audit!P:P,"")&amp;""</f>
        <v/>
      </c>
      <c r="P317" s="45"/>
      <c r="Q317" s="46" t="str">
        <f>IF(LEFT(N317,4)="Pass","Nist SP 800-88",My_Audit!R317)&amp;""</f>
        <v/>
      </c>
      <c r="R317" s="45"/>
      <c r="S317" s="45"/>
      <c r="T317" s="46" t="str">
        <f>_xlfn.XLOOKUP(E317,Models!I:I,Models!J:J,"")</f>
        <v/>
      </c>
      <c r="U317" s="45"/>
      <c r="V317" s="45"/>
      <c r="W317" s="38"/>
    </row>
    <row r="318" spans="1:23">
      <c r="A318" s="45" t="str">
        <f>_xlfn.TEXTJOIN("",TRUE,Input!$B$2,ROW(My_Audit!A317))</f>
        <v>XX317</v>
      </c>
      <c r="B318" s="45" t="str">
        <f>_xlfn.TEXTJOIN("-",TRUE,"ITD",Input!$A$2,A318)</f>
        <v>ITD-SHRXXX-XX317</v>
      </c>
      <c r="C318" s="45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46" t="str" cm="1">
        <f t="array" ref="D318">IFERROR(_xlfn.LET(
_xlpm.CSVVal,_xlfn.XLOOKUP($A318,CSV!$A:$A,CSV!C:C,""),
_xlpm.MacVal,_xlfn.XLOOKUP($A318,Output_Mac!$A:$A,Output_Mac!D:D,""),
_xlpm.MyAuditVal,_xlfn.XLOOKUP($A318,My_Audit!$A:$A,My_Audit!C:C,""),
_xlfn.IFS(_xlpm.MyAuditVal&lt;&gt;"",UPPER(_xlpm.MyAuditVal),_xlpm.MacVal&lt;&gt;"",_xlpm.MacVal,_xlpm.CSVVal&lt;&gt;"",_xlpm.CSVVal
)),"")</f>
        <v/>
      </c>
      <c r="E318" s="46" t="str" cm="1">
        <f t="array" ref="E318">IFERROR(_xlfn.LET(
_xlpm.CSVVal,_xlfn.XLOOKUP($A318,CSV!$A:$A,CSV!E:E,""),
_xlpm.MacVal,_xlfn.XLOOKUP($A318,Output_Mac!$A:$A,Output_Mac!C:C,""),
_xlpm.MyAuditVal,_xlfn.XLOOKUP($A318,My_Audit!$A:$A,My_Audit!D:D,""),
_xlfn.IFS(_xlpm.MyAuditVal&lt;&gt;"",_xlpm.MyAuditVal,_xlpm.MacVal&lt;&gt;"",_xlpm.MacVal,_xlpm.CSVVal&lt;&gt;"",_xlpm.CSVVal
)),"")</f>
        <v/>
      </c>
      <c r="F318" s="45" t="str" cm="1">
        <f t="array" ref="F318">IFERROR(_xlfn.LET(
_xlpm.CSVVal,_xlfn.XLOOKUP($A318,CSV!$A:$A,CSV!F:F,""),
_xlpm.MacVal,_xlfn.XLOOKUP($A318,Output_Mac!$A:$A,Output_Mac!F:F,""),
_xlpm.MyAuditVal,_xlfn.XLOOKUP($A318,My_Audit!$A:$A,My_Audit!E:E,""),
_xlfn.IFS(_xlpm.MyAuditVal&lt;&gt;"",_xlpm.MyAuditVal,_xlpm.MacVal&lt;&gt;"",_xlpm.MacVal,_xlpm.CSVVal&lt;&gt;"",PROPER(_xlpm.CSVVal)
)),"")</f>
        <v/>
      </c>
      <c r="G318" s="45" t="str" cm="1">
        <f t="array" ref="G318">IFERROR(_xlfn.LET(
_xlpm.CSVVal,_xlfn.XLOOKUP($A318,CSV!$A:$A,CSV!G:G,""),
_xlpm.MacVal,_xlfn.XLOOKUP($A318,Output_Mac!$A:$A,Output_Mac!H:H,""),
_xlpm.MyAuditVal,_xlfn.XLOOKUP($A318,My_Audit!$A:$A,My_Audit!F:F,""),
_xlfn.IFS(_xlpm.MyAuditVal&lt;&gt;"",_xlpm.MyAuditVal,_xlpm.MacVal&lt;&gt;"",_xlpm.MacVal,_xlpm.CSVVal&lt;&gt;"",_xlpm.CSVVal
)),"")</f>
        <v/>
      </c>
      <c r="H318" s="45" t="str">
        <f>_xlfn.XLOOKUP(A318,Output_Mac!A:A,Output_Mac!I:I,"")</f>
        <v/>
      </c>
      <c r="I318" s="45" t="str" cm="1">
        <f t="array" ref="I318">IFERROR(_xlfn.LET(
_xlpm.CSVVal,_xlfn.XLOOKUP($A318,CSV!$A:$A,CSV!H:H,""),
_xlpm.MacVal,_xlfn.XLOOKUP($A318,Output_Mac!$A:$A,Output_Mac!J:J,""),
_xlpm.MyAuditVal,_xlfn.XLOOKUP($A318,My_Audit!$A:$A,My_Audit!H:H,""),
_xlfn.IFS(_xlpm.MyAuditVal&lt;&gt;"",UPPER(_xlpm.MyAuditVal),_xlpm.MacVal&lt;&gt;"",_xlpm.MacVal,_xlpm.CSVVal&lt;&gt;"",_xlpm.CSVVal
)),"")</f>
        <v/>
      </c>
      <c r="J318" s="45" t="str" cm="1">
        <f t="array" ref="J318">IFERROR(_xlfn.LET(
_xlpm.CSVVal,_xlfn.XLOOKUP($A318,CSV!$A:$A,CSV!J:J,""),
_xlpm.MacVal,_xlfn.XLOOKUP($A318,Output_Mac!$A:$A,Output_Mac!K:K,""),
_xlpm.MyAuditVal,_xlfn.XLOOKUP($A318,My_Audit!$A:$A,My_Audit!I:I,""),
_xlfn.IFS(_xlpm.MyAuditVal&lt;&gt;"",UPPER(_xlpm.MyAuditVal),_xlpm.MacVal&lt;&gt;"",_xlpm.MacVal,_xlpm.CSVVal&lt;&gt;"",_xlpm.CSVVal
)),"")</f>
        <v/>
      </c>
      <c r="K318" s="45" t="str" cm="1">
        <f t="array" ref="K318">IFERROR(_xlfn.LET(
_xlpm.CSVVal,_xlfn.XLOOKUP($A318,CSV!$A:$A,CSV!N:N,""),
_xlpm.MacVal,_xlfn.XLOOKUP($A318,Output_Mac!$A:$A,Output_Mac!L:L,""),
_xlpm.MyAuditVal,_xlfn.XLOOKUP($A318,My_Audit!$A:$A,My_Audit!J:J,""),
_xlfn.IFS(_xlpm.MyAuditVal&lt;&gt;"",UPPER(_xlpm.MyAuditVal),_xlpm.MacVal&lt;&gt;"",_xlpm.MacVal,_xlpm.CSVVal&lt;&gt;"",_xlpm.CSVVal
)),"")</f>
        <v/>
      </c>
      <c r="L318" s="46" t="str" cm="1">
        <f t="array" ref="L318">IFERROR(_xlfn.LET(
_xlpm.CSVVal,_xlfn.XLOOKUP($A318,CSV!$A:$A,CSV!Q:Q,""),
_xlpm.MacVal,_xlfn.XLOOKUP($A318,Output_Mac!$A:$A,Output_Mac!M:M,""),
_xlpm.MyAuditVal,_xlfn.XLOOKUP($A318,My_Audit!$A:$A,My_Audit!K:K,""),
_xlfn.IFS(_xlpm.MyAuditVal&lt;&gt;"",UPPER(_xlpm.MyAuditVal),_xlpm.MacVal&lt;&gt;"",_xlpm.MacVal,_xlpm.CSVVal&lt;&gt;"",_xlpm.CSVVal
)),"")</f>
        <v/>
      </c>
      <c r="M318" s="45" t="str">
        <f>_xlfn.LET(
    _xlpm.CSVVal, _xlfn.XLOOKUP($A318, CSV!$A:$A, CSV!AE:AE, ""),
    _xlpm.MacVal, _xlfn.XLOOKUP($A318, Output_Mac!$A:$A, Output_Mac!S:S, ""),
    _xlpm.MyAuditVal, _xlfn.XLOOKUP($A318, My_Audit!$A:$A, My_Audit!N:N, ""),
    _xlfn.TEXTJOIN(", ", TRUE, _xlpm.MyAuditVal, _xlpm.MacVal, _xlpm.CSVVal)
)</f>
        <v/>
      </c>
      <c r="N318" s="45" t="str" cm="1">
        <f t="array" ref="N318">IFERROR(_xlfn.LET(
_xlpm.CSVVal,_xlfn.XLOOKUP($A318,CSV!$A:$A,CSV!AG:AG,""),
_xlpm.MacVal,_xlfn.XLOOKUP($A318,Output_Mac!$A:$A,Output_Mac!U:U,""),
_xlpm.MyAuditVal,_xlfn.XLOOKUP($A318,My_Audit!$A:$A,My_Audit!O:O,""),
_xlfn.IFS(_xlpm.MyAuditVal&lt;&gt;"",UPPER(_xlpm.MyAuditVal),_xlpm.MacVal&lt;&gt;"",_xlpm.MacVal,_xlpm.CSVVal&lt;&gt;"",_xlpm.CSVVal
)),"")</f>
        <v/>
      </c>
      <c r="O318" s="46" t="str">
        <f>_xlfn.XLOOKUP(C318,My_Audit!B:B,My_Audit!P:P,"")&amp;""</f>
        <v/>
      </c>
      <c r="P318" s="45"/>
      <c r="Q318" s="46" t="str">
        <f>IF(LEFT(N318,4)="Pass","Nist SP 800-88",My_Audit!R318)&amp;""</f>
        <v/>
      </c>
      <c r="R318" s="45"/>
      <c r="S318" s="45"/>
      <c r="T318" s="46" t="str">
        <f>_xlfn.XLOOKUP(E318,Models!I:I,Models!J:J,"")</f>
        <v/>
      </c>
      <c r="U318" s="45"/>
      <c r="V318" s="45"/>
      <c r="W318" s="38"/>
    </row>
    <row r="319" spans="1:23">
      <c r="A319" s="45" t="str">
        <f>_xlfn.TEXTJOIN("",TRUE,Input!$B$2,ROW(My_Audit!A318))</f>
        <v>XX318</v>
      </c>
      <c r="B319" s="45" t="str">
        <f>_xlfn.TEXTJOIN("-",TRUE,"ITD",Input!$A$2,A319)</f>
        <v>ITD-SHRXXX-XX318</v>
      </c>
      <c r="C319" s="45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46" t="str" cm="1">
        <f t="array" ref="D319">IFERROR(_xlfn.LET(
_xlpm.CSVVal,_xlfn.XLOOKUP($A319,CSV!$A:$A,CSV!C:C,""),
_xlpm.MacVal,_xlfn.XLOOKUP($A319,Output_Mac!$A:$A,Output_Mac!D:D,""),
_xlpm.MyAuditVal,_xlfn.XLOOKUP($A319,My_Audit!$A:$A,My_Audit!C:C,""),
_xlfn.IFS(_xlpm.MyAuditVal&lt;&gt;"",UPPER(_xlpm.MyAuditVal),_xlpm.MacVal&lt;&gt;"",_xlpm.MacVal,_xlpm.CSVVal&lt;&gt;"",_xlpm.CSVVal
)),"")</f>
        <v/>
      </c>
      <c r="E319" s="46" t="str" cm="1">
        <f t="array" ref="E319">IFERROR(_xlfn.LET(
_xlpm.CSVVal,_xlfn.XLOOKUP($A319,CSV!$A:$A,CSV!E:E,""),
_xlpm.MacVal,_xlfn.XLOOKUP($A319,Output_Mac!$A:$A,Output_Mac!C:C,""),
_xlpm.MyAuditVal,_xlfn.XLOOKUP($A319,My_Audit!$A:$A,My_Audit!D:D,""),
_xlfn.IFS(_xlpm.MyAuditVal&lt;&gt;"",_xlpm.MyAuditVal,_xlpm.MacVal&lt;&gt;"",_xlpm.MacVal,_xlpm.CSVVal&lt;&gt;"",_xlpm.CSVVal
)),"")</f>
        <v/>
      </c>
      <c r="F319" s="45" t="str" cm="1">
        <f t="array" ref="F319">IFERROR(_xlfn.LET(
_xlpm.CSVVal,_xlfn.XLOOKUP($A319,CSV!$A:$A,CSV!F:F,""),
_xlpm.MacVal,_xlfn.XLOOKUP($A319,Output_Mac!$A:$A,Output_Mac!F:F,""),
_xlpm.MyAuditVal,_xlfn.XLOOKUP($A319,My_Audit!$A:$A,My_Audit!E:E,""),
_xlfn.IFS(_xlpm.MyAuditVal&lt;&gt;"",_xlpm.MyAuditVal,_xlpm.MacVal&lt;&gt;"",_xlpm.MacVal,_xlpm.CSVVal&lt;&gt;"",PROPER(_xlpm.CSVVal)
)),"")</f>
        <v/>
      </c>
      <c r="G319" s="45" t="str" cm="1">
        <f t="array" ref="G319">IFERROR(_xlfn.LET(
_xlpm.CSVVal,_xlfn.XLOOKUP($A319,CSV!$A:$A,CSV!G:G,""),
_xlpm.MacVal,_xlfn.XLOOKUP($A319,Output_Mac!$A:$A,Output_Mac!H:H,""),
_xlpm.MyAuditVal,_xlfn.XLOOKUP($A319,My_Audit!$A:$A,My_Audit!F:F,""),
_xlfn.IFS(_xlpm.MyAuditVal&lt;&gt;"",_xlpm.MyAuditVal,_xlpm.MacVal&lt;&gt;"",_xlpm.MacVal,_xlpm.CSVVal&lt;&gt;"",_xlpm.CSVVal
)),"")</f>
        <v/>
      </c>
      <c r="H319" s="45" t="str">
        <f>_xlfn.XLOOKUP(A319,Output_Mac!A:A,Output_Mac!I:I,"")</f>
        <v/>
      </c>
      <c r="I319" s="45" t="str" cm="1">
        <f t="array" ref="I319">IFERROR(_xlfn.LET(
_xlpm.CSVVal,_xlfn.XLOOKUP($A319,CSV!$A:$A,CSV!H:H,""),
_xlpm.MacVal,_xlfn.XLOOKUP($A319,Output_Mac!$A:$A,Output_Mac!J:J,""),
_xlpm.MyAuditVal,_xlfn.XLOOKUP($A319,My_Audit!$A:$A,My_Audit!H:H,""),
_xlfn.IFS(_xlpm.MyAuditVal&lt;&gt;"",UPPER(_xlpm.MyAuditVal),_xlpm.MacVal&lt;&gt;"",_xlpm.MacVal,_xlpm.CSVVal&lt;&gt;"",_xlpm.CSVVal
)),"")</f>
        <v/>
      </c>
      <c r="J319" s="45" t="str" cm="1">
        <f t="array" ref="J319">IFERROR(_xlfn.LET(
_xlpm.CSVVal,_xlfn.XLOOKUP($A319,CSV!$A:$A,CSV!J:J,""),
_xlpm.MacVal,_xlfn.XLOOKUP($A319,Output_Mac!$A:$A,Output_Mac!K:K,""),
_xlpm.MyAuditVal,_xlfn.XLOOKUP($A319,My_Audit!$A:$A,My_Audit!I:I,""),
_xlfn.IFS(_xlpm.MyAuditVal&lt;&gt;"",UPPER(_xlpm.MyAuditVal),_xlpm.MacVal&lt;&gt;"",_xlpm.MacVal,_xlpm.CSVVal&lt;&gt;"",_xlpm.CSVVal
)),"")</f>
        <v/>
      </c>
      <c r="K319" s="45" t="str" cm="1">
        <f t="array" ref="K319">IFERROR(_xlfn.LET(
_xlpm.CSVVal,_xlfn.XLOOKUP($A319,CSV!$A:$A,CSV!N:N,""),
_xlpm.MacVal,_xlfn.XLOOKUP($A319,Output_Mac!$A:$A,Output_Mac!L:L,""),
_xlpm.MyAuditVal,_xlfn.XLOOKUP($A319,My_Audit!$A:$A,My_Audit!J:J,""),
_xlfn.IFS(_xlpm.MyAuditVal&lt;&gt;"",UPPER(_xlpm.MyAuditVal),_xlpm.MacVal&lt;&gt;"",_xlpm.MacVal,_xlpm.CSVVal&lt;&gt;"",_xlpm.CSVVal
)),"")</f>
        <v/>
      </c>
      <c r="L319" s="46" t="str" cm="1">
        <f t="array" ref="L319">IFERROR(_xlfn.LET(
_xlpm.CSVVal,_xlfn.XLOOKUP($A319,CSV!$A:$A,CSV!Q:Q,""),
_xlpm.MacVal,_xlfn.XLOOKUP($A319,Output_Mac!$A:$A,Output_Mac!M:M,""),
_xlpm.MyAuditVal,_xlfn.XLOOKUP($A319,My_Audit!$A:$A,My_Audit!K:K,""),
_xlfn.IFS(_xlpm.MyAuditVal&lt;&gt;"",UPPER(_xlpm.MyAuditVal),_xlpm.MacVal&lt;&gt;"",_xlpm.MacVal,_xlpm.CSVVal&lt;&gt;"",_xlpm.CSVVal
)),"")</f>
        <v/>
      </c>
      <c r="M319" s="45" t="str">
        <f>_xlfn.LET(
    _xlpm.CSVVal, _xlfn.XLOOKUP($A319, CSV!$A:$A, CSV!AE:AE, ""),
    _xlpm.MacVal, _xlfn.XLOOKUP($A319, Output_Mac!$A:$A, Output_Mac!S:S, ""),
    _xlpm.MyAuditVal, _xlfn.XLOOKUP($A319, My_Audit!$A:$A, My_Audit!N:N, ""),
    _xlfn.TEXTJOIN(", ", TRUE, _xlpm.MyAuditVal, _xlpm.MacVal, _xlpm.CSVVal)
)</f>
        <v/>
      </c>
      <c r="N319" s="45" t="str" cm="1">
        <f t="array" ref="N319">IFERROR(_xlfn.LET(
_xlpm.CSVVal,_xlfn.XLOOKUP($A319,CSV!$A:$A,CSV!AG:AG,""),
_xlpm.MacVal,_xlfn.XLOOKUP($A319,Output_Mac!$A:$A,Output_Mac!U:U,""),
_xlpm.MyAuditVal,_xlfn.XLOOKUP($A319,My_Audit!$A:$A,My_Audit!O:O,""),
_xlfn.IFS(_xlpm.MyAuditVal&lt;&gt;"",UPPER(_xlpm.MyAuditVal),_xlpm.MacVal&lt;&gt;"",_xlpm.MacVal,_xlpm.CSVVal&lt;&gt;"",_xlpm.CSVVal
)),"")</f>
        <v/>
      </c>
      <c r="O319" s="46" t="str">
        <f>_xlfn.XLOOKUP(C319,My_Audit!B:B,My_Audit!P:P,"")&amp;""</f>
        <v/>
      </c>
      <c r="P319" s="45"/>
      <c r="Q319" s="46" t="str">
        <f>IF(LEFT(N319,4)="Pass","Nist SP 800-88",My_Audit!R319)&amp;""</f>
        <v/>
      </c>
      <c r="R319" s="45"/>
      <c r="S319" s="45"/>
      <c r="T319" s="46" t="str">
        <f>_xlfn.XLOOKUP(E319,Models!I:I,Models!J:J,"")</f>
        <v/>
      </c>
      <c r="U319" s="45"/>
      <c r="V319" s="45"/>
      <c r="W319" s="38"/>
    </row>
    <row r="320" spans="1:23">
      <c r="A320" s="45" t="str">
        <f>_xlfn.TEXTJOIN("",TRUE,Input!$B$2,ROW(My_Audit!A319))</f>
        <v>XX319</v>
      </c>
      <c r="B320" s="45" t="str">
        <f>_xlfn.TEXTJOIN("-",TRUE,"ITD",Input!$A$2,A320)</f>
        <v>ITD-SHRXXX-XX319</v>
      </c>
      <c r="C320" s="45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46" t="str" cm="1">
        <f t="array" ref="D320">IFERROR(_xlfn.LET(
_xlpm.CSVVal,_xlfn.XLOOKUP($A320,CSV!$A:$A,CSV!C:C,""),
_xlpm.MacVal,_xlfn.XLOOKUP($A320,Output_Mac!$A:$A,Output_Mac!D:D,""),
_xlpm.MyAuditVal,_xlfn.XLOOKUP($A320,My_Audit!$A:$A,My_Audit!C:C,""),
_xlfn.IFS(_xlpm.MyAuditVal&lt;&gt;"",UPPER(_xlpm.MyAuditVal),_xlpm.MacVal&lt;&gt;"",_xlpm.MacVal,_xlpm.CSVVal&lt;&gt;"",_xlpm.CSVVal
)),"")</f>
        <v/>
      </c>
      <c r="E320" s="46" t="str" cm="1">
        <f t="array" ref="E320">IFERROR(_xlfn.LET(
_xlpm.CSVVal,_xlfn.XLOOKUP($A320,CSV!$A:$A,CSV!E:E,""),
_xlpm.MacVal,_xlfn.XLOOKUP($A320,Output_Mac!$A:$A,Output_Mac!C:C,""),
_xlpm.MyAuditVal,_xlfn.XLOOKUP($A320,My_Audit!$A:$A,My_Audit!D:D,""),
_xlfn.IFS(_xlpm.MyAuditVal&lt;&gt;"",_xlpm.MyAuditVal,_xlpm.MacVal&lt;&gt;"",_xlpm.MacVal,_xlpm.CSVVal&lt;&gt;"",_xlpm.CSVVal
)),"")</f>
        <v/>
      </c>
      <c r="F320" s="45" t="str" cm="1">
        <f t="array" ref="F320">IFERROR(_xlfn.LET(
_xlpm.CSVVal,_xlfn.XLOOKUP($A320,CSV!$A:$A,CSV!F:F,""),
_xlpm.MacVal,_xlfn.XLOOKUP($A320,Output_Mac!$A:$A,Output_Mac!F:F,""),
_xlpm.MyAuditVal,_xlfn.XLOOKUP($A320,My_Audit!$A:$A,My_Audit!E:E,""),
_xlfn.IFS(_xlpm.MyAuditVal&lt;&gt;"",_xlpm.MyAuditVal,_xlpm.MacVal&lt;&gt;"",_xlpm.MacVal,_xlpm.CSVVal&lt;&gt;"",PROPER(_xlpm.CSVVal)
)),"")</f>
        <v/>
      </c>
      <c r="G320" s="45" t="str" cm="1">
        <f t="array" ref="G320">IFERROR(_xlfn.LET(
_xlpm.CSVVal,_xlfn.XLOOKUP($A320,CSV!$A:$A,CSV!G:G,""),
_xlpm.MacVal,_xlfn.XLOOKUP($A320,Output_Mac!$A:$A,Output_Mac!H:H,""),
_xlpm.MyAuditVal,_xlfn.XLOOKUP($A320,My_Audit!$A:$A,My_Audit!F:F,""),
_xlfn.IFS(_xlpm.MyAuditVal&lt;&gt;"",_xlpm.MyAuditVal,_xlpm.MacVal&lt;&gt;"",_xlpm.MacVal,_xlpm.CSVVal&lt;&gt;"",_xlpm.CSVVal
)),"")</f>
        <v/>
      </c>
      <c r="H320" s="45" t="str">
        <f>_xlfn.XLOOKUP(A320,Output_Mac!A:A,Output_Mac!I:I,"")</f>
        <v/>
      </c>
      <c r="I320" s="45" t="str" cm="1">
        <f t="array" ref="I320">IFERROR(_xlfn.LET(
_xlpm.CSVVal,_xlfn.XLOOKUP($A320,CSV!$A:$A,CSV!H:H,""),
_xlpm.MacVal,_xlfn.XLOOKUP($A320,Output_Mac!$A:$A,Output_Mac!J:J,""),
_xlpm.MyAuditVal,_xlfn.XLOOKUP($A320,My_Audit!$A:$A,My_Audit!H:H,""),
_xlfn.IFS(_xlpm.MyAuditVal&lt;&gt;"",UPPER(_xlpm.MyAuditVal),_xlpm.MacVal&lt;&gt;"",_xlpm.MacVal,_xlpm.CSVVal&lt;&gt;"",_xlpm.CSVVal
)),"")</f>
        <v/>
      </c>
      <c r="J320" s="45" t="str" cm="1">
        <f t="array" ref="J320">IFERROR(_xlfn.LET(
_xlpm.CSVVal,_xlfn.XLOOKUP($A320,CSV!$A:$A,CSV!J:J,""),
_xlpm.MacVal,_xlfn.XLOOKUP($A320,Output_Mac!$A:$A,Output_Mac!K:K,""),
_xlpm.MyAuditVal,_xlfn.XLOOKUP($A320,My_Audit!$A:$A,My_Audit!I:I,""),
_xlfn.IFS(_xlpm.MyAuditVal&lt;&gt;"",UPPER(_xlpm.MyAuditVal),_xlpm.MacVal&lt;&gt;"",_xlpm.MacVal,_xlpm.CSVVal&lt;&gt;"",_xlpm.CSVVal
)),"")</f>
        <v/>
      </c>
      <c r="K320" s="45" t="str" cm="1">
        <f t="array" ref="K320">IFERROR(_xlfn.LET(
_xlpm.CSVVal,_xlfn.XLOOKUP($A320,CSV!$A:$A,CSV!N:N,""),
_xlpm.MacVal,_xlfn.XLOOKUP($A320,Output_Mac!$A:$A,Output_Mac!L:L,""),
_xlpm.MyAuditVal,_xlfn.XLOOKUP($A320,My_Audit!$A:$A,My_Audit!J:J,""),
_xlfn.IFS(_xlpm.MyAuditVal&lt;&gt;"",UPPER(_xlpm.MyAuditVal),_xlpm.MacVal&lt;&gt;"",_xlpm.MacVal,_xlpm.CSVVal&lt;&gt;"",_xlpm.CSVVal
)),"")</f>
        <v/>
      </c>
      <c r="L320" s="46" t="str" cm="1">
        <f t="array" ref="L320">IFERROR(_xlfn.LET(
_xlpm.CSVVal,_xlfn.XLOOKUP($A320,CSV!$A:$A,CSV!Q:Q,""),
_xlpm.MacVal,_xlfn.XLOOKUP($A320,Output_Mac!$A:$A,Output_Mac!M:M,""),
_xlpm.MyAuditVal,_xlfn.XLOOKUP($A320,My_Audit!$A:$A,My_Audit!K:K,""),
_xlfn.IFS(_xlpm.MyAuditVal&lt;&gt;"",UPPER(_xlpm.MyAuditVal),_xlpm.MacVal&lt;&gt;"",_xlpm.MacVal,_xlpm.CSVVal&lt;&gt;"",_xlpm.CSVVal
)),"")</f>
        <v/>
      </c>
      <c r="M320" s="45" t="str">
        <f>_xlfn.LET(
    _xlpm.CSVVal, _xlfn.XLOOKUP($A320, CSV!$A:$A, CSV!AE:AE, ""),
    _xlpm.MacVal, _xlfn.XLOOKUP($A320, Output_Mac!$A:$A, Output_Mac!S:S, ""),
    _xlpm.MyAuditVal, _xlfn.XLOOKUP($A320, My_Audit!$A:$A, My_Audit!N:N, ""),
    _xlfn.TEXTJOIN(", ", TRUE, _xlpm.MyAuditVal, _xlpm.MacVal, _xlpm.CSVVal)
)</f>
        <v/>
      </c>
      <c r="N320" s="45" t="str" cm="1">
        <f t="array" ref="N320">IFERROR(_xlfn.LET(
_xlpm.CSVVal,_xlfn.XLOOKUP($A320,CSV!$A:$A,CSV!AG:AG,""),
_xlpm.MacVal,_xlfn.XLOOKUP($A320,Output_Mac!$A:$A,Output_Mac!U:U,""),
_xlpm.MyAuditVal,_xlfn.XLOOKUP($A320,My_Audit!$A:$A,My_Audit!O:O,""),
_xlfn.IFS(_xlpm.MyAuditVal&lt;&gt;"",UPPER(_xlpm.MyAuditVal),_xlpm.MacVal&lt;&gt;"",_xlpm.MacVal,_xlpm.CSVVal&lt;&gt;"",_xlpm.CSVVal
)),"")</f>
        <v/>
      </c>
      <c r="O320" s="46" t="str">
        <f>_xlfn.XLOOKUP(C320,My_Audit!B:B,My_Audit!P:P,"")&amp;""</f>
        <v/>
      </c>
      <c r="P320" s="45"/>
      <c r="Q320" s="46" t="str">
        <f>IF(LEFT(N320,4)="Pass","Nist SP 800-88",My_Audit!R320)&amp;""</f>
        <v/>
      </c>
      <c r="R320" s="45"/>
      <c r="S320" s="45"/>
      <c r="T320" s="46" t="str">
        <f>_xlfn.XLOOKUP(E320,Models!I:I,Models!J:J,"")</f>
        <v/>
      </c>
      <c r="U320" s="45"/>
      <c r="V320" s="45"/>
      <c r="W320" s="38"/>
    </row>
    <row r="321" spans="1:23">
      <c r="A321" s="45" t="str">
        <f>_xlfn.TEXTJOIN("",TRUE,Input!$B$2,ROW(My_Audit!A320))</f>
        <v>XX320</v>
      </c>
      <c r="B321" s="45" t="str">
        <f>_xlfn.TEXTJOIN("-",TRUE,"ITD",Input!$A$2,A321)</f>
        <v>ITD-SHRXXX-XX320</v>
      </c>
      <c r="C321" s="45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46" t="str" cm="1">
        <f t="array" ref="D321">IFERROR(_xlfn.LET(
_xlpm.CSVVal,_xlfn.XLOOKUP($A321,CSV!$A:$A,CSV!C:C,""),
_xlpm.MacVal,_xlfn.XLOOKUP($A321,Output_Mac!$A:$A,Output_Mac!D:D,""),
_xlpm.MyAuditVal,_xlfn.XLOOKUP($A321,My_Audit!$A:$A,My_Audit!C:C,""),
_xlfn.IFS(_xlpm.MyAuditVal&lt;&gt;"",UPPER(_xlpm.MyAuditVal),_xlpm.MacVal&lt;&gt;"",_xlpm.MacVal,_xlpm.CSVVal&lt;&gt;"",_xlpm.CSVVal
)),"")</f>
        <v/>
      </c>
      <c r="E321" s="46" t="str" cm="1">
        <f t="array" ref="E321">IFERROR(_xlfn.LET(
_xlpm.CSVVal,_xlfn.XLOOKUP($A321,CSV!$A:$A,CSV!E:E,""),
_xlpm.MacVal,_xlfn.XLOOKUP($A321,Output_Mac!$A:$A,Output_Mac!C:C,""),
_xlpm.MyAuditVal,_xlfn.XLOOKUP($A321,My_Audit!$A:$A,My_Audit!D:D,""),
_xlfn.IFS(_xlpm.MyAuditVal&lt;&gt;"",_xlpm.MyAuditVal,_xlpm.MacVal&lt;&gt;"",_xlpm.MacVal,_xlpm.CSVVal&lt;&gt;"",_xlpm.CSVVal
)),"")</f>
        <v/>
      </c>
      <c r="F321" s="45" t="str" cm="1">
        <f t="array" ref="F321">IFERROR(_xlfn.LET(
_xlpm.CSVVal,_xlfn.XLOOKUP($A321,CSV!$A:$A,CSV!F:F,""),
_xlpm.MacVal,_xlfn.XLOOKUP($A321,Output_Mac!$A:$A,Output_Mac!F:F,""),
_xlpm.MyAuditVal,_xlfn.XLOOKUP($A321,My_Audit!$A:$A,My_Audit!E:E,""),
_xlfn.IFS(_xlpm.MyAuditVal&lt;&gt;"",_xlpm.MyAuditVal,_xlpm.MacVal&lt;&gt;"",_xlpm.MacVal,_xlpm.CSVVal&lt;&gt;"",PROPER(_xlpm.CSVVal)
)),"")</f>
        <v/>
      </c>
      <c r="G321" s="45" t="str" cm="1">
        <f t="array" ref="G321">IFERROR(_xlfn.LET(
_xlpm.CSVVal,_xlfn.XLOOKUP($A321,CSV!$A:$A,CSV!G:G,""),
_xlpm.MacVal,_xlfn.XLOOKUP($A321,Output_Mac!$A:$A,Output_Mac!H:H,""),
_xlpm.MyAuditVal,_xlfn.XLOOKUP($A321,My_Audit!$A:$A,My_Audit!F:F,""),
_xlfn.IFS(_xlpm.MyAuditVal&lt;&gt;"",_xlpm.MyAuditVal,_xlpm.MacVal&lt;&gt;"",_xlpm.MacVal,_xlpm.CSVVal&lt;&gt;"",_xlpm.CSVVal
)),"")</f>
        <v/>
      </c>
      <c r="H321" s="45" t="str">
        <f>_xlfn.XLOOKUP(A321,Output_Mac!A:A,Output_Mac!I:I,"")</f>
        <v/>
      </c>
      <c r="I321" s="45" t="str" cm="1">
        <f t="array" ref="I321">IFERROR(_xlfn.LET(
_xlpm.CSVVal,_xlfn.XLOOKUP($A321,CSV!$A:$A,CSV!H:H,""),
_xlpm.MacVal,_xlfn.XLOOKUP($A321,Output_Mac!$A:$A,Output_Mac!J:J,""),
_xlpm.MyAuditVal,_xlfn.XLOOKUP($A321,My_Audit!$A:$A,My_Audit!H:H,""),
_xlfn.IFS(_xlpm.MyAuditVal&lt;&gt;"",UPPER(_xlpm.MyAuditVal),_xlpm.MacVal&lt;&gt;"",_xlpm.MacVal,_xlpm.CSVVal&lt;&gt;"",_xlpm.CSVVal
)),"")</f>
        <v/>
      </c>
      <c r="J321" s="45" t="str" cm="1">
        <f t="array" ref="J321">IFERROR(_xlfn.LET(
_xlpm.CSVVal,_xlfn.XLOOKUP($A321,CSV!$A:$A,CSV!J:J,""),
_xlpm.MacVal,_xlfn.XLOOKUP($A321,Output_Mac!$A:$A,Output_Mac!K:K,""),
_xlpm.MyAuditVal,_xlfn.XLOOKUP($A321,My_Audit!$A:$A,My_Audit!I:I,""),
_xlfn.IFS(_xlpm.MyAuditVal&lt;&gt;"",UPPER(_xlpm.MyAuditVal),_xlpm.MacVal&lt;&gt;"",_xlpm.MacVal,_xlpm.CSVVal&lt;&gt;"",_xlpm.CSVVal
)),"")</f>
        <v/>
      </c>
      <c r="K321" s="45" t="str" cm="1">
        <f t="array" ref="K321">IFERROR(_xlfn.LET(
_xlpm.CSVVal,_xlfn.XLOOKUP($A321,CSV!$A:$A,CSV!N:N,""),
_xlpm.MacVal,_xlfn.XLOOKUP($A321,Output_Mac!$A:$A,Output_Mac!L:L,""),
_xlpm.MyAuditVal,_xlfn.XLOOKUP($A321,My_Audit!$A:$A,My_Audit!J:J,""),
_xlfn.IFS(_xlpm.MyAuditVal&lt;&gt;"",UPPER(_xlpm.MyAuditVal),_xlpm.MacVal&lt;&gt;"",_xlpm.MacVal,_xlpm.CSVVal&lt;&gt;"",_xlpm.CSVVal
)),"")</f>
        <v/>
      </c>
      <c r="L321" s="46" t="str" cm="1">
        <f t="array" ref="L321">IFERROR(_xlfn.LET(
_xlpm.CSVVal,_xlfn.XLOOKUP($A321,CSV!$A:$A,CSV!Q:Q,""),
_xlpm.MacVal,_xlfn.XLOOKUP($A321,Output_Mac!$A:$A,Output_Mac!M:M,""),
_xlpm.MyAuditVal,_xlfn.XLOOKUP($A321,My_Audit!$A:$A,My_Audit!K:K,""),
_xlfn.IFS(_xlpm.MyAuditVal&lt;&gt;"",UPPER(_xlpm.MyAuditVal),_xlpm.MacVal&lt;&gt;"",_xlpm.MacVal,_xlpm.CSVVal&lt;&gt;"",_xlpm.CSVVal
)),"")</f>
        <v/>
      </c>
      <c r="M321" s="45" t="str">
        <f>_xlfn.LET(
    _xlpm.CSVVal, _xlfn.XLOOKUP($A321, CSV!$A:$A, CSV!AE:AE, ""),
    _xlpm.MacVal, _xlfn.XLOOKUP($A321, Output_Mac!$A:$A, Output_Mac!S:S, ""),
    _xlpm.MyAuditVal, _xlfn.XLOOKUP($A321, My_Audit!$A:$A, My_Audit!N:N, ""),
    _xlfn.TEXTJOIN(", ", TRUE, _xlpm.MyAuditVal, _xlpm.MacVal, _xlpm.CSVVal)
)</f>
        <v/>
      </c>
      <c r="N321" s="45" t="str" cm="1">
        <f t="array" ref="N321">IFERROR(_xlfn.LET(
_xlpm.CSVVal,_xlfn.XLOOKUP($A321,CSV!$A:$A,CSV!AG:AG,""),
_xlpm.MacVal,_xlfn.XLOOKUP($A321,Output_Mac!$A:$A,Output_Mac!U:U,""),
_xlpm.MyAuditVal,_xlfn.XLOOKUP($A321,My_Audit!$A:$A,My_Audit!O:O,""),
_xlfn.IFS(_xlpm.MyAuditVal&lt;&gt;"",UPPER(_xlpm.MyAuditVal),_xlpm.MacVal&lt;&gt;"",_xlpm.MacVal,_xlpm.CSVVal&lt;&gt;"",_xlpm.CSVVal
)),"")</f>
        <v/>
      </c>
      <c r="O321" s="46" t="str">
        <f>_xlfn.XLOOKUP(C321,My_Audit!B:B,My_Audit!P:P,"")&amp;""</f>
        <v/>
      </c>
      <c r="P321" s="45"/>
      <c r="Q321" s="46" t="str">
        <f>IF(LEFT(N321,4)="Pass","Nist SP 800-88",My_Audit!R321)&amp;""</f>
        <v/>
      </c>
      <c r="R321" s="45"/>
      <c r="S321" s="45"/>
      <c r="T321" s="46" t="str">
        <f>_xlfn.XLOOKUP(E321,Models!I:I,Models!J:J,"")</f>
        <v/>
      </c>
      <c r="U321" s="45"/>
      <c r="V321" s="45"/>
      <c r="W321" s="38"/>
    </row>
    <row r="322" spans="1:23">
      <c r="A322" s="45" t="str">
        <f>_xlfn.TEXTJOIN("",TRUE,Input!$B$2,ROW(My_Audit!A321))</f>
        <v>XX321</v>
      </c>
      <c r="B322" s="45" t="str">
        <f>_xlfn.TEXTJOIN("-",TRUE,"ITD",Input!$A$2,A322)</f>
        <v>ITD-SHRXXX-XX321</v>
      </c>
      <c r="C322" s="45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46" t="str" cm="1">
        <f t="array" ref="D322">IFERROR(_xlfn.LET(
_xlpm.CSVVal,_xlfn.XLOOKUP($A322,CSV!$A:$A,CSV!C:C,""),
_xlpm.MacVal,_xlfn.XLOOKUP($A322,Output_Mac!$A:$A,Output_Mac!D:D,""),
_xlpm.MyAuditVal,_xlfn.XLOOKUP($A322,My_Audit!$A:$A,My_Audit!C:C,""),
_xlfn.IFS(_xlpm.MyAuditVal&lt;&gt;"",UPPER(_xlpm.MyAuditVal),_xlpm.MacVal&lt;&gt;"",_xlpm.MacVal,_xlpm.CSVVal&lt;&gt;"",_xlpm.CSVVal
)),"")</f>
        <v/>
      </c>
      <c r="E322" s="46" t="str" cm="1">
        <f t="array" ref="E322">IFERROR(_xlfn.LET(
_xlpm.CSVVal,_xlfn.XLOOKUP($A322,CSV!$A:$A,CSV!E:E,""),
_xlpm.MacVal,_xlfn.XLOOKUP($A322,Output_Mac!$A:$A,Output_Mac!C:C,""),
_xlpm.MyAuditVal,_xlfn.XLOOKUP($A322,My_Audit!$A:$A,My_Audit!D:D,""),
_xlfn.IFS(_xlpm.MyAuditVal&lt;&gt;"",_xlpm.MyAuditVal,_xlpm.MacVal&lt;&gt;"",_xlpm.MacVal,_xlpm.CSVVal&lt;&gt;"",_xlpm.CSVVal
)),"")</f>
        <v/>
      </c>
      <c r="F322" s="45" t="str" cm="1">
        <f t="array" ref="F322">IFERROR(_xlfn.LET(
_xlpm.CSVVal,_xlfn.XLOOKUP($A322,CSV!$A:$A,CSV!F:F,""),
_xlpm.MacVal,_xlfn.XLOOKUP($A322,Output_Mac!$A:$A,Output_Mac!F:F,""),
_xlpm.MyAuditVal,_xlfn.XLOOKUP($A322,My_Audit!$A:$A,My_Audit!E:E,""),
_xlfn.IFS(_xlpm.MyAuditVal&lt;&gt;"",_xlpm.MyAuditVal,_xlpm.MacVal&lt;&gt;"",_xlpm.MacVal,_xlpm.CSVVal&lt;&gt;"",PROPER(_xlpm.CSVVal)
)),"")</f>
        <v/>
      </c>
      <c r="G322" s="45" t="str" cm="1">
        <f t="array" ref="G322">IFERROR(_xlfn.LET(
_xlpm.CSVVal,_xlfn.XLOOKUP($A322,CSV!$A:$A,CSV!G:G,""),
_xlpm.MacVal,_xlfn.XLOOKUP($A322,Output_Mac!$A:$A,Output_Mac!H:H,""),
_xlpm.MyAuditVal,_xlfn.XLOOKUP($A322,My_Audit!$A:$A,My_Audit!F:F,""),
_xlfn.IFS(_xlpm.MyAuditVal&lt;&gt;"",_xlpm.MyAuditVal,_xlpm.MacVal&lt;&gt;"",_xlpm.MacVal,_xlpm.CSVVal&lt;&gt;"",_xlpm.CSVVal
)),"")</f>
        <v/>
      </c>
      <c r="H322" s="45" t="str">
        <f>_xlfn.XLOOKUP(A322,Output_Mac!A:A,Output_Mac!I:I,"")</f>
        <v/>
      </c>
      <c r="I322" s="45" t="str" cm="1">
        <f t="array" ref="I322">IFERROR(_xlfn.LET(
_xlpm.CSVVal,_xlfn.XLOOKUP($A322,CSV!$A:$A,CSV!H:H,""),
_xlpm.MacVal,_xlfn.XLOOKUP($A322,Output_Mac!$A:$A,Output_Mac!J:J,""),
_xlpm.MyAuditVal,_xlfn.XLOOKUP($A322,My_Audit!$A:$A,My_Audit!H:H,""),
_xlfn.IFS(_xlpm.MyAuditVal&lt;&gt;"",UPPER(_xlpm.MyAuditVal),_xlpm.MacVal&lt;&gt;"",_xlpm.MacVal,_xlpm.CSVVal&lt;&gt;"",_xlpm.CSVVal
)),"")</f>
        <v/>
      </c>
      <c r="J322" s="45" t="str" cm="1">
        <f t="array" ref="J322">IFERROR(_xlfn.LET(
_xlpm.CSVVal,_xlfn.XLOOKUP($A322,CSV!$A:$A,CSV!J:J,""),
_xlpm.MacVal,_xlfn.XLOOKUP($A322,Output_Mac!$A:$A,Output_Mac!K:K,""),
_xlpm.MyAuditVal,_xlfn.XLOOKUP($A322,My_Audit!$A:$A,My_Audit!I:I,""),
_xlfn.IFS(_xlpm.MyAuditVal&lt;&gt;"",UPPER(_xlpm.MyAuditVal),_xlpm.MacVal&lt;&gt;"",_xlpm.MacVal,_xlpm.CSVVal&lt;&gt;"",_xlpm.CSVVal
)),"")</f>
        <v/>
      </c>
      <c r="K322" s="45" t="str" cm="1">
        <f t="array" ref="K322">IFERROR(_xlfn.LET(
_xlpm.CSVVal,_xlfn.XLOOKUP($A322,CSV!$A:$A,CSV!N:N,""),
_xlpm.MacVal,_xlfn.XLOOKUP($A322,Output_Mac!$A:$A,Output_Mac!L:L,""),
_xlpm.MyAuditVal,_xlfn.XLOOKUP($A322,My_Audit!$A:$A,My_Audit!J:J,""),
_xlfn.IFS(_xlpm.MyAuditVal&lt;&gt;"",UPPER(_xlpm.MyAuditVal),_xlpm.MacVal&lt;&gt;"",_xlpm.MacVal,_xlpm.CSVVal&lt;&gt;"",_xlpm.CSVVal
)),"")</f>
        <v/>
      </c>
      <c r="L322" s="46" t="str" cm="1">
        <f t="array" ref="L322">IFERROR(_xlfn.LET(
_xlpm.CSVVal,_xlfn.XLOOKUP($A322,CSV!$A:$A,CSV!Q:Q,""),
_xlpm.MacVal,_xlfn.XLOOKUP($A322,Output_Mac!$A:$A,Output_Mac!M:M,""),
_xlpm.MyAuditVal,_xlfn.XLOOKUP($A322,My_Audit!$A:$A,My_Audit!K:K,""),
_xlfn.IFS(_xlpm.MyAuditVal&lt;&gt;"",UPPER(_xlpm.MyAuditVal),_xlpm.MacVal&lt;&gt;"",_xlpm.MacVal,_xlpm.CSVVal&lt;&gt;"",_xlpm.CSVVal
)),"")</f>
        <v/>
      </c>
      <c r="M322" s="45" t="str">
        <f>_xlfn.LET(
    _xlpm.CSVVal, _xlfn.XLOOKUP($A322, CSV!$A:$A, CSV!AE:AE, ""),
    _xlpm.MacVal, _xlfn.XLOOKUP($A322, Output_Mac!$A:$A, Output_Mac!S:S, ""),
    _xlpm.MyAuditVal, _xlfn.XLOOKUP($A322, My_Audit!$A:$A, My_Audit!N:N, ""),
    _xlfn.TEXTJOIN(", ", TRUE, _xlpm.MyAuditVal, _xlpm.MacVal, _xlpm.CSVVal)
)</f>
        <v/>
      </c>
      <c r="N322" s="45" t="str" cm="1">
        <f t="array" ref="N322">IFERROR(_xlfn.LET(
_xlpm.CSVVal,_xlfn.XLOOKUP($A322,CSV!$A:$A,CSV!AG:AG,""),
_xlpm.MacVal,_xlfn.XLOOKUP($A322,Output_Mac!$A:$A,Output_Mac!U:U,""),
_xlpm.MyAuditVal,_xlfn.XLOOKUP($A322,My_Audit!$A:$A,My_Audit!O:O,""),
_xlfn.IFS(_xlpm.MyAuditVal&lt;&gt;"",UPPER(_xlpm.MyAuditVal),_xlpm.MacVal&lt;&gt;"",_xlpm.MacVal,_xlpm.CSVVal&lt;&gt;"",_xlpm.CSVVal
)),"")</f>
        <v/>
      </c>
      <c r="O322" s="46" t="str">
        <f>_xlfn.XLOOKUP(C322,My_Audit!B:B,My_Audit!P:P,"")&amp;""</f>
        <v/>
      </c>
      <c r="P322" s="45"/>
      <c r="Q322" s="46" t="str">
        <f>IF(LEFT(N322,4)="Pass","Nist SP 800-88",My_Audit!R322)&amp;""</f>
        <v/>
      </c>
      <c r="R322" s="45"/>
      <c r="S322" s="45"/>
      <c r="T322" s="46" t="str">
        <f>_xlfn.XLOOKUP(E322,Models!I:I,Models!J:J,"")</f>
        <v/>
      </c>
      <c r="U322" s="45"/>
      <c r="V322" s="45"/>
      <c r="W322" s="38"/>
    </row>
    <row r="323" spans="1:23">
      <c r="A323" s="45" t="str">
        <f>_xlfn.TEXTJOIN("",TRUE,Input!$B$2,ROW(My_Audit!A322))</f>
        <v>XX322</v>
      </c>
      <c r="B323" s="45" t="str">
        <f>_xlfn.TEXTJOIN("-",TRUE,"ITD",Input!$A$2,A323)</f>
        <v>ITD-SHRXXX-XX322</v>
      </c>
      <c r="C323" s="45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46" t="str" cm="1">
        <f t="array" ref="D323">IFERROR(_xlfn.LET(
_xlpm.CSVVal,_xlfn.XLOOKUP($A323,CSV!$A:$A,CSV!C:C,""),
_xlpm.MacVal,_xlfn.XLOOKUP($A323,Output_Mac!$A:$A,Output_Mac!D:D,""),
_xlpm.MyAuditVal,_xlfn.XLOOKUP($A323,My_Audit!$A:$A,My_Audit!C:C,""),
_xlfn.IFS(_xlpm.MyAuditVal&lt;&gt;"",UPPER(_xlpm.MyAuditVal),_xlpm.MacVal&lt;&gt;"",_xlpm.MacVal,_xlpm.CSVVal&lt;&gt;"",_xlpm.CSVVal
)),"")</f>
        <v/>
      </c>
      <c r="E323" s="46" t="str" cm="1">
        <f t="array" ref="E323">IFERROR(_xlfn.LET(
_xlpm.CSVVal,_xlfn.XLOOKUP($A323,CSV!$A:$A,CSV!E:E,""),
_xlpm.MacVal,_xlfn.XLOOKUP($A323,Output_Mac!$A:$A,Output_Mac!C:C,""),
_xlpm.MyAuditVal,_xlfn.XLOOKUP($A323,My_Audit!$A:$A,My_Audit!D:D,""),
_xlfn.IFS(_xlpm.MyAuditVal&lt;&gt;"",_xlpm.MyAuditVal,_xlpm.MacVal&lt;&gt;"",_xlpm.MacVal,_xlpm.CSVVal&lt;&gt;"",_xlpm.CSVVal
)),"")</f>
        <v/>
      </c>
      <c r="F323" s="45" t="str" cm="1">
        <f t="array" ref="F323">IFERROR(_xlfn.LET(
_xlpm.CSVVal,_xlfn.XLOOKUP($A323,CSV!$A:$A,CSV!F:F,""),
_xlpm.MacVal,_xlfn.XLOOKUP($A323,Output_Mac!$A:$A,Output_Mac!F:F,""),
_xlpm.MyAuditVal,_xlfn.XLOOKUP($A323,My_Audit!$A:$A,My_Audit!E:E,""),
_xlfn.IFS(_xlpm.MyAuditVal&lt;&gt;"",_xlpm.MyAuditVal,_xlpm.MacVal&lt;&gt;"",_xlpm.MacVal,_xlpm.CSVVal&lt;&gt;"",PROPER(_xlpm.CSVVal)
)),"")</f>
        <v/>
      </c>
      <c r="G323" s="45" t="str" cm="1">
        <f t="array" ref="G323">IFERROR(_xlfn.LET(
_xlpm.CSVVal,_xlfn.XLOOKUP($A323,CSV!$A:$A,CSV!G:G,""),
_xlpm.MacVal,_xlfn.XLOOKUP($A323,Output_Mac!$A:$A,Output_Mac!H:H,""),
_xlpm.MyAuditVal,_xlfn.XLOOKUP($A323,My_Audit!$A:$A,My_Audit!F:F,""),
_xlfn.IFS(_xlpm.MyAuditVal&lt;&gt;"",_xlpm.MyAuditVal,_xlpm.MacVal&lt;&gt;"",_xlpm.MacVal,_xlpm.CSVVal&lt;&gt;"",_xlpm.CSVVal
)),"")</f>
        <v/>
      </c>
      <c r="H323" s="45" t="str">
        <f>_xlfn.XLOOKUP(A323,Output_Mac!A:A,Output_Mac!I:I,"")</f>
        <v/>
      </c>
      <c r="I323" s="45" t="str" cm="1">
        <f t="array" ref="I323">IFERROR(_xlfn.LET(
_xlpm.CSVVal,_xlfn.XLOOKUP($A323,CSV!$A:$A,CSV!H:H,""),
_xlpm.MacVal,_xlfn.XLOOKUP($A323,Output_Mac!$A:$A,Output_Mac!J:J,""),
_xlpm.MyAuditVal,_xlfn.XLOOKUP($A323,My_Audit!$A:$A,My_Audit!H:H,""),
_xlfn.IFS(_xlpm.MyAuditVal&lt;&gt;"",UPPER(_xlpm.MyAuditVal),_xlpm.MacVal&lt;&gt;"",_xlpm.MacVal,_xlpm.CSVVal&lt;&gt;"",_xlpm.CSVVal
)),"")</f>
        <v/>
      </c>
      <c r="J323" s="45" t="str" cm="1">
        <f t="array" ref="J323">IFERROR(_xlfn.LET(
_xlpm.CSVVal,_xlfn.XLOOKUP($A323,CSV!$A:$A,CSV!J:J,""),
_xlpm.MacVal,_xlfn.XLOOKUP($A323,Output_Mac!$A:$A,Output_Mac!K:K,""),
_xlpm.MyAuditVal,_xlfn.XLOOKUP($A323,My_Audit!$A:$A,My_Audit!I:I,""),
_xlfn.IFS(_xlpm.MyAuditVal&lt;&gt;"",UPPER(_xlpm.MyAuditVal),_xlpm.MacVal&lt;&gt;"",_xlpm.MacVal,_xlpm.CSVVal&lt;&gt;"",_xlpm.CSVVal
)),"")</f>
        <v/>
      </c>
      <c r="K323" s="45" t="str" cm="1">
        <f t="array" ref="K323">IFERROR(_xlfn.LET(
_xlpm.CSVVal,_xlfn.XLOOKUP($A323,CSV!$A:$A,CSV!N:N,""),
_xlpm.MacVal,_xlfn.XLOOKUP($A323,Output_Mac!$A:$A,Output_Mac!L:L,""),
_xlpm.MyAuditVal,_xlfn.XLOOKUP($A323,My_Audit!$A:$A,My_Audit!J:J,""),
_xlfn.IFS(_xlpm.MyAuditVal&lt;&gt;"",UPPER(_xlpm.MyAuditVal),_xlpm.MacVal&lt;&gt;"",_xlpm.MacVal,_xlpm.CSVVal&lt;&gt;"",_xlpm.CSVVal
)),"")</f>
        <v/>
      </c>
      <c r="L323" s="46" t="str" cm="1">
        <f t="array" ref="L323">IFERROR(_xlfn.LET(
_xlpm.CSVVal,_xlfn.XLOOKUP($A323,CSV!$A:$A,CSV!Q:Q,""),
_xlpm.MacVal,_xlfn.XLOOKUP($A323,Output_Mac!$A:$A,Output_Mac!M:M,""),
_xlpm.MyAuditVal,_xlfn.XLOOKUP($A323,My_Audit!$A:$A,My_Audit!K:K,""),
_xlfn.IFS(_xlpm.MyAuditVal&lt;&gt;"",UPPER(_xlpm.MyAuditVal),_xlpm.MacVal&lt;&gt;"",_xlpm.MacVal,_xlpm.CSVVal&lt;&gt;"",_xlpm.CSVVal
)),"")</f>
        <v/>
      </c>
      <c r="M323" s="45" t="str">
        <f>_xlfn.LET(
    _xlpm.CSVVal, _xlfn.XLOOKUP($A323, CSV!$A:$A, CSV!AE:AE, ""),
    _xlpm.MacVal, _xlfn.XLOOKUP($A323, Output_Mac!$A:$A, Output_Mac!S:S, ""),
    _xlpm.MyAuditVal, _xlfn.XLOOKUP($A323, My_Audit!$A:$A, My_Audit!N:N, ""),
    _xlfn.TEXTJOIN(", ", TRUE, _xlpm.MyAuditVal, _xlpm.MacVal, _xlpm.CSVVal)
)</f>
        <v/>
      </c>
      <c r="N323" s="45" t="str" cm="1">
        <f t="array" ref="N323">IFERROR(_xlfn.LET(
_xlpm.CSVVal,_xlfn.XLOOKUP($A323,CSV!$A:$A,CSV!AG:AG,""),
_xlpm.MacVal,_xlfn.XLOOKUP($A323,Output_Mac!$A:$A,Output_Mac!U:U,""),
_xlpm.MyAuditVal,_xlfn.XLOOKUP($A323,My_Audit!$A:$A,My_Audit!O:O,""),
_xlfn.IFS(_xlpm.MyAuditVal&lt;&gt;"",UPPER(_xlpm.MyAuditVal),_xlpm.MacVal&lt;&gt;"",_xlpm.MacVal,_xlpm.CSVVal&lt;&gt;"",_xlpm.CSVVal
)),"")</f>
        <v/>
      </c>
      <c r="O323" s="46" t="str">
        <f>_xlfn.XLOOKUP(C323,My_Audit!B:B,My_Audit!P:P,"")&amp;""</f>
        <v/>
      </c>
      <c r="P323" s="45"/>
      <c r="Q323" s="46" t="str">
        <f>IF(LEFT(N323,4)="Pass","Nist SP 800-88",My_Audit!R323)&amp;""</f>
        <v/>
      </c>
      <c r="R323" s="45"/>
      <c r="S323" s="45"/>
      <c r="T323" s="46" t="str">
        <f>_xlfn.XLOOKUP(E323,Models!I:I,Models!J:J,"")</f>
        <v/>
      </c>
      <c r="U323" s="45"/>
      <c r="V323" s="45"/>
      <c r="W323" s="38"/>
    </row>
    <row r="324" spans="1:23">
      <c r="A324" s="45" t="str">
        <f>_xlfn.TEXTJOIN("",TRUE,Input!$B$2,ROW(My_Audit!A323))</f>
        <v>XX323</v>
      </c>
      <c r="B324" s="45" t="str">
        <f>_xlfn.TEXTJOIN("-",TRUE,"ITD",Input!$A$2,A324)</f>
        <v>ITD-SHRXXX-XX323</v>
      </c>
      <c r="C324" s="45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46" t="str" cm="1">
        <f t="array" ref="D324">IFERROR(_xlfn.LET(
_xlpm.CSVVal,_xlfn.XLOOKUP($A324,CSV!$A:$A,CSV!C:C,""),
_xlpm.MacVal,_xlfn.XLOOKUP($A324,Output_Mac!$A:$A,Output_Mac!D:D,""),
_xlpm.MyAuditVal,_xlfn.XLOOKUP($A324,My_Audit!$A:$A,My_Audit!C:C,""),
_xlfn.IFS(_xlpm.MyAuditVal&lt;&gt;"",UPPER(_xlpm.MyAuditVal),_xlpm.MacVal&lt;&gt;"",_xlpm.MacVal,_xlpm.CSVVal&lt;&gt;"",_xlpm.CSVVal
)),"")</f>
        <v/>
      </c>
      <c r="E324" s="46" t="str" cm="1">
        <f t="array" ref="E324">IFERROR(_xlfn.LET(
_xlpm.CSVVal,_xlfn.XLOOKUP($A324,CSV!$A:$A,CSV!E:E,""),
_xlpm.MacVal,_xlfn.XLOOKUP($A324,Output_Mac!$A:$A,Output_Mac!C:C,""),
_xlpm.MyAuditVal,_xlfn.XLOOKUP($A324,My_Audit!$A:$A,My_Audit!D:D,""),
_xlfn.IFS(_xlpm.MyAuditVal&lt;&gt;"",_xlpm.MyAuditVal,_xlpm.MacVal&lt;&gt;"",_xlpm.MacVal,_xlpm.CSVVal&lt;&gt;"",_xlpm.CSVVal
)),"")</f>
        <v/>
      </c>
      <c r="F324" s="45" t="str" cm="1">
        <f t="array" ref="F324">IFERROR(_xlfn.LET(
_xlpm.CSVVal,_xlfn.XLOOKUP($A324,CSV!$A:$A,CSV!F:F,""),
_xlpm.MacVal,_xlfn.XLOOKUP($A324,Output_Mac!$A:$A,Output_Mac!F:F,""),
_xlpm.MyAuditVal,_xlfn.XLOOKUP($A324,My_Audit!$A:$A,My_Audit!E:E,""),
_xlfn.IFS(_xlpm.MyAuditVal&lt;&gt;"",_xlpm.MyAuditVal,_xlpm.MacVal&lt;&gt;"",_xlpm.MacVal,_xlpm.CSVVal&lt;&gt;"",PROPER(_xlpm.CSVVal)
)),"")</f>
        <v/>
      </c>
      <c r="G324" s="45" t="str" cm="1">
        <f t="array" ref="G324">IFERROR(_xlfn.LET(
_xlpm.CSVVal,_xlfn.XLOOKUP($A324,CSV!$A:$A,CSV!G:G,""),
_xlpm.MacVal,_xlfn.XLOOKUP($A324,Output_Mac!$A:$A,Output_Mac!H:H,""),
_xlpm.MyAuditVal,_xlfn.XLOOKUP($A324,My_Audit!$A:$A,My_Audit!F:F,""),
_xlfn.IFS(_xlpm.MyAuditVal&lt;&gt;"",_xlpm.MyAuditVal,_xlpm.MacVal&lt;&gt;"",_xlpm.MacVal,_xlpm.CSVVal&lt;&gt;"",_xlpm.CSVVal
)),"")</f>
        <v/>
      </c>
      <c r="H324" s="45" t="str">
        <f>_xlfn.XLOOKUP(A324,Output_Mac!A:A,Output_Mac!I:I,"")</f>
        <v/>
      </c>
      <c r="I324" s="45" t="str" cm="1">
        <f t="array" ref="I324">IFERROR(_xlfn.LET(
_xlpm.CSVVal,_xlfn.XLOOKUP($A324,CSV!$A:$A,CSV!H:H,""),
_xlpm.MacVal,_xlfn.XLOOKUP($A324,Output_Mac!$A:$A,Output_Mac!J:J,""),
_xlpm.MyAuditVal,_xlfn.XLOOKUP($A324,My_Audit!$A:$A,My_Audit!H:H,""),
_xlfn.IFS(_xlpm.MyAuditVal&lt;&gt;"",UPPER(_xlpm.MyAuditVal),_xlpm.MacVal&lt;&gt;"",_xlpm.MacVal,_xlpm.CSVVal&lt;&gt;"",_xlpm.CSVVal
)),"")</f>
        <v/>
      </c>
      <c r="J324" s="45" t="str" cm="1">
        <f t="array" ref="J324">IFERROR(_xlfn.LET(
_xlpm.CSVVal,_xlfn.XLOOKUP($A324,CSV!$A:$A,CSV!J:J,""),
_xlpm.MacVal,_xlfn.XLOOKUP($A324,Output_Mac!$A:$A,Output_Mac!K:K,""),
_xlpm.MyAuditVal,_xlfn.XLOOKUP($A324,My_Audit!$A:$A,My_Audit!I:I,""),
_xlfn.IFS(_xlpm.MyAuditVal&lt;&gt;"",UPPER(_xlpm.MyAuditVal),_xlpm.MacVal&lt;&gt;"",_xlpm.MacVal,_xlpm.CSVVal&lt;&gt;"",_xlpm.CSVVal
)),"")</f>
        <v/>
      </c>
      <c r="K324" s="45" t="str" cm="1">
        <f t="array" ref="K324">IFERROR(_xlfn.LET(
_xlpm.CSVVal,_xlfn.XLOOKUP($A324,CSV!$A:$A,CSV!N:N,""),
_xlpm.MacVal,_xlfn.XLOOKUP($A324,Output_Mac!$A:$A,Output_Mac!L:L,""),
_xlpm.MyAuditVal,_xlfn.XLOOKUP($A324,My_Audit!$A:$A,My_Audit!J:J,""),
_xlfn.IFS(_xlpm.MyAuditVal&lt;&gt;"",UPPER(_xlpm.MyAuditVal),_xlpm.MacVal&lt;&gt;"",_xlpm.MacVal,_xlpm.CSVVal&lt;&gt;"",_xlpm.CSVVal
)),"")</f>
        <v/>
      </c>
      <c r="L324" s="46" t="str" cm="1">
        <f t="array" ref="L324">IFERROR(_xlfn.LET(
_xlpm.CSVVal,_xlfn.XLOOKUP($A324,CSV!$A:$A,CSV!Q:Q,""),
_xlpm.MacVal,_xlfn.XLOOKUP($A324,Output_Mac!$A:$A,Output_Mac!M:M,""),
_xlpm.MyAuditVal,_xlfn.XLOOKUP($A324,My_Audit!$A:$A,My_Audit!K:K,""),
_xlfn.IFS(_xlpm.MyAuditVal&lt;&gt;"",UPPER(_xlpm.MyAuditVal),_xlpm.MacVal&lt;&gt;"",_xlpm.MacVal,_xlpm.CSVVal&lt;&gt;"",_xlpm.CSVVal
)),"")</f>
        <v/>
      </c>
      <c r="M324" s="45" t="str">
        <f>_xlfn.LET(
    _xlpm.CSVVal, _xlfn.XLOOKUP($A324, CSV!$A:$A, CSV!AE:AE, ""),
    _xlpm.MacVal, _xlfn.XLOOKUP($A324, Output_Mac!$A:$A, Output_Mac!S:S, ""),
    _xlpm.MyAuditVal, _xlfn.XLOOKUP($A324, My_Audit!$A:$A, My_Audit!N:N, ""),
    _xlfn.TEXTJOIN(", ", TRUE, _xlpm.MyAuditVal, _xlpm.MacVal, _xlpm.CSVVal)
)</f>
        <v/>
      </c>
      <c r="N324" s="45" t="str" cm="1">
        <f t="array" ref="N324">IFERROR(_xlfn.LET(
_xlpm.CSVVal,_xlfn.XLOOKUP($A324,CSV!$A:$A,CSV!AG:AG,""),
_xlpm.MacVal,_xlfn.XLOOKUP($A324,Output_Mac!$A:$A,Output_Mac!U:U,""),
_xlpm.MyAuditVal,_xlfn.XLOOKUP($A324,My_Audit!$A:$A,My_Audit!O:O,""),
_xlfn.IFS(_xlpm.MyAuditVal&lt;&gt;"",UPPER(_xlpm.MyAuditVal),_xlpm.MacVal&lt;&gt;"",_xlpm.MacVal,_xlpm.CSVVal&lt;&gt;"",_xlpm.CSVVal
)),"")</f>
        <v/>
      </c>
      <c r="O324" s="46" t="str">
        <f>_xlfn.XLOOKUP(C324,My_Audit!B:B,My_Audit!P:P,"")&amp;""</f>
        <v/>
      </c>
      <c r="P324" s="45"/>
      <c r="Q324" s="46" t="str">
        <f>IF(LEFT(N324,4)="Pass","Nist SP 800-88",My_Audit!R324)&amp;""</f>
        <v/>
      </c>
      <c r="R324" s="45"/>
      <c r="S324" s="45"/>
      <c r="T324" s="46" t="str">
        <f>_xlfn.XLOOKUP(E324,Models!I:I,Models!J:J,"")</f>
        <v/>
      </c>
      <c r="U324" s="45"/>
      <c r="V324" s="45"/>
      <c r="W324" s="38"/>
    </row>
    <row r="325" spans="1:23">
      <c r="A325" s="45" t="str">
        <f>_xlfn.TEXTJOIN("",TRUE,Input!$B$2,ROW(My_Audit!A324))</f>
        <v>XX324</v>
      </c>
      <c r="B325" s="45" t="str">
        <f>_xlfn.TEXTJOIN("-",TRUE,"ITD",Input!$A$2,A325)</f>
        <v>ITD-SHRXXX-XX324</v>
      </c>
      <c r="C325" s="45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46" t="str" cm="1">
        <f t="array" ref="D325">IFERROR(_xlfn.LET(
_xlpm.CSVVal,_xlfn.XLOOKUP($A325,CSV!$A:$A,CSV!C:C,""),
_xlpm.MacVal,_xlfn.XLOOKUP($A325,Output_Mac!$A:$A,Output_Mac!D:D,""),
_xlpm.MyAuditVal,_xlfn.XLOOKUP($A325,My_Audit!$A:$A,My_Audit!C:C,""),
_xlfn.IFS(_xlpm.MyAuditVal&lt;&gt;"",UPPER(_xlpm.MyAuditVal),_xlpm.MacVal&lt;&gt;"",_xlpm.MacVal,_xlpm.CSVVal&lt;&gt;"",_xlpm.CSVVal
)),"")</f>
        <v/>
      </c>
      <c r="E325" s="46" t="str" cm="1">
        <f t="array" ref="E325">IFERROR(_xlfn.LET(
_xlpm.CSVVal,_xlfn.XLOOKUP($A325,CSV!$A:$A,CSV!E:E,""),
_xlpm.MacVal,_xlfn.XLOOKUP($A325,Output_Mac!$A:$A,Output_Mac!C:C,""),
_xlpm.MyAuditVal,_xlfn.XLOOKUP($A325,My_Audit!$A:$A,My_Audit!D:D,""),
_xlfn.IFS(_xlpm.MyAuditVal&lt;&gt;"",_xlpm.MyAuditVal,_xlpm.MacVal&lt;&gt;"",_xlpm.MacVal,_xlpm.CSVVal&lt;&gt;"",_xlpm.CSVVal
)),"")</f>
        <v/>
      </c>
      <c r="F325" s="45" t="str" cm="1">
        <f t="array" ref="F325">IFERROR(_xlfn.LET(
_xlpm.CSVVal,_xlfn.XLOOKUP($A325,CSV!$A:$A,CSV!F:F,""),
_xlpm.MacVal,_xlfn.XLOOKUP($A325,Output_Mac!$A:$A,Output_Mac!F:F,""),
_xlpm.MyAuditVal,_xlfn.XLOOKUP($A325,My_Audit!$A:$A,My_Audit!E:E,""),
_xlfn.IFS(_xlpm.MyAuditVal&lt;&gt;"",_xlpm.MyAuditVal,_xlpm.MacVal&lt;&gt;"",_xlpm.MacVal,_xlpm.CSVVal&lt;&gt;"",PROPER(_xlpm.CSVVal)
)),"")</f>
        <v/>
      </c>
      <c r="G325" s="45" t="str" cm="1">
        <f t="array" ref="G325">IFERROR(_xlfn.LET(
_xlpm.CSVVal,_xlfn.XLOOKUP($A325,CSV!$A:$A,CSV!G:G,""),
_xlpm.MacVal,_xlfn.XLOOKUP($A325,Output_Mac!$A:$A,Output_Mac!H:H,""),
_xlpm.MyAuditVal,_xlfn.XLOOKUP($A325,My_Audit!$A:$A,My_Audit!F:F,""),
_xlfn.IFS(_xlpm.MyAuditVal&lt;&gt;"",_xlpm.MyAuditVal,_xlpm.MacVal&lt;&gt;"",_xlpm.MacVal,_xlpm.CSVVal&lt;&gt;"",_xlpm.CSVVal
)),"")</f>
        <v/>
      </c>
      <c r="H325" s="45" t="str">
        <f>_xlfn.XLOOKUP(A325,Output_Mac!A:A,Output_Mac!I:I,"")</f>
        <v/>
      </c>
      <c r="I325" s="45" t="str" cm="1">
        <f t="array" ref="I325">IFERROR(_xlfn.LET(
_xlpm.CSVVal,_xlfn.XLOOKUP($A325,CSV!$A:$A,CSV!H:H,""),
_xlpm.MacVal,_xlfn.XLOOKUP($A325,Output_Mac!$A:$A,Output_Mac!J:J,""),
_xlpm.MyAuditVal,_xlfn.XLOOKUP($A325,My_Audit!$A:$A,My_Audit!H:H,""),
_xlfn.IFS(_xlpm.MyAuditVal&lt;&gt;"",UPPER(_xlpm.MyAuditVal),_xlpm.MacVal&lt;&gt;"",_xlpm.MacVal,_xlpm.CSVVal&lt;&gt;"",_xlpm.CSVVal
)),"")</f>
        <v/>
      </c>
      <c r="J325" s="45" t="str" cm="1">
        <f t="array" ref="J325">IFERROR(_xlfn.LET(
_xlpm.CSVVal,_xlfn.XLOOKUP($A325,CSV!$A:$A,CSV!J:J,""),
_xlpm.MacVal,_xlfn.XLOOKUP($A325,Output_Mac!$A:$A,Output_Mac!K:K,""),
_xlpm.MyAuditVal,_xlfn.XLOOKUP($A325,My_Audit!$A:$A,My_Audit!I:I,""),
_xlfn.IFS(_xlpm.MyAuditVal&lt;&gt;"",UPPER(_xlpm.MyAuditVal),_xlpm.MacVal&lt;&gt;"",_xlpm.MacVal,_xlpm.CSVVal&lt;&gt;"",_xlpm.CSVVal
)),"")</f>
        <v/>
      </c>
      <c r="K325" s="45" t="str" cm="1">
        <f t="array" ref="K325">IFERROR(_xlfn.LET(
_xlpm.CSVVal,_xlfn.XLOOKUP($A325,CSV!$A:$A,CSV!N:N,""),
_xlpm.MacVal,_xlfn.XLOOKUP($A325,Output_Mac!$A:$A,Output_Mac!L:L,""),
_xlpm.MyAuditVal,_xlfn.XLOOKUP($A325,My_Audit!$A:$A,My_Audit!J:J,""),
_xlfn.IFS(_xlpm.MyAuditVal&lt;&gt;"",UPPER(_xlpm.MyAuditVal),_xlpm.MacVal&lt;&gt;"",_xlpm.MacVal,_xlpm.CSVVal&lt;&gt;"",_xlpm.CSVVal
)),"")</f>
        <v/>
      </c>
      <c r="L325" s="46" t="str" cm="1">
        <f t="array" ref="L325">IFERROR(_xlfn.LET(
_xlpm.CSVVal,_xlfn.XLOOKUP($A325,CSV!$A:$A,CSV!Q:Q,""),
_xlpm.MacVal,_xlfn.XLOOKUP($A325,Output_Mac!$A:$A,Output_Mac!M:M,""),
_xlpm.MyAuditVal,_xlfn.XLOOKUP($A325,My_Audit!$A:$A,My_Audit!K:K,""),
_xlfn.IFS(_xlpm.MyAuditVal&lt;&gt;"",UPPER(_xlpm.MyAuditVal),_xlpm.MacVal&lt;&gt;"",_xlpm.MacVal,_xlpm.CSVVal&lt;&gt;"",_xlpm.CSVVal
)),"")</f>
        <v/>
      </c>
      <c r="M325" s="45" t="str">
        <f>_xlfn.LET(
    _xlpm.CSVVal, _xlfn.XLOOKUP($A325, CSV!$A:$A, CSV!AE:AE, ""),
    _xlpm.MacVal, _xlfn.XLOOKUP($A325, Output_Mac!$A:$A, Output_Mac!S:S, ""),
    _xlpm.MyAuditVal, _xlfn.XLOOKUP($A325, My_Audit!$A:$A, My_Audit!N:N, ""),
    _xlfn.TEXTJOIN(", ", TRUE, _xlpm.MyAuditVal, _xlpm.MacVal, _xlpm.CSVVal)
)</f>
        <v/>
      </c>
      <c r="N325" s="45" t="str" cm="1">
        <f t="array" ref="N325">IFERROR(_xlfn.LET(
_xlpm.CSVVal,_xlfn.XLOOKUP($A325,CSV!$A:$A,CSV!AG:AG,""),
_xlpm.MacVal,_xlfn.XLOOKUP($A325,Output_Mac!$A:$A,Output_Mac!U:U,""),
_xlpm.MyAuditVal,_xlfn.XLOOKUP($A325,My_Audit!$A:$A,My_Audit!O:O,""),
_xlfn.IFS(_xlpm.MyAuditVal&lt;&gt;"",UPPER(_xlpm.MyAuditVal),_xlpm.MacVal&lt;&gt;"",_xlpm.MacVal,_xlpm.CSVVal&lt;&gt;"",_xlpm.CSVVal
)),"")</f>
        <v/>
      </c>
      <c r="O325" s="46" t="str">
        <f>_xlfn.XLOOKUP(C325,My_Audit!B:B,My_Audit!P:P,"")&amp;""</f>
        <v/>
      </c>
      <c r="P325" s="45"/>
      <c r="Q325" s="46" t="str">
        <f>IF(LEFT(N325,4)="Pass","Nist SP 800-88",My_Audit!R325)&amp;""</f>
        <v/>
      </c>
      <c r="R325" s="45"/>
      <c r="S325" s="45"/>
      <c r="T325" s="46" t="str">
        <f>_xlfn.XLOOKUP(E325,Models!I:I,Models!J:J,"")</f>
        <v/>
      </c>
      <c r="U325" s="45"/>
      <c r="V325" s="45"/>
      <c r="W325" s="38"/>
    </row>
    <row r="326" spans="1:23">
      <c r="A326" s="45" t="str">
        <f>_xlfn.TEXTJOIN("",TRUE,Input!$B$2,ROW(My_Audit!A325))</f>
        <v>XX325</v>
      </c>
      <c r="B326" s="45" t="str">
        <f>_xlfn.TEXTJOIN("-",TRUE,"ITD",Input!$A$2,A326)</f>
        <v>ITD-SHRXXX-XX325</v>
      </c>
      <c r="C326" s="45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46" t="str" cm="1">
        <f t="array" ref="D326">IFERROR(_xlfn.LET(
_xlpm.CSVVal,_xlfn.XLOOKUP($A326,CSV!$A:$A,CSV!C:C,""),
_xlpm.MacVal,_xlfn.XLOOKUP($A326,Output_Mac!$A:$A,Output_Mac!D:D,""),
_xlpm.MyAuditVal,_xlfn.XLOOKUP($A326,My_Audit!$A:$A,My_Audit!C:C,""),
_xlfn.IFS(_xlpm.MyAuditVal&lt;&gt;"",UPPER(_xlpm.MyAuditVal),_xlpm.MacVal&lt;&gt;"",_xlpm.MacVal,_xlpm.CSVVal&lt;&gt;"",_xlpm.CSVVal
)),"")</f>
        <v/>
      </c>
      <c r="E326" s="46" t="str" cm="1">
        <f t="array" ref="E326">IFERROR(_xlfn.LET(
_xlpm.CSVVal,_xlfn.XLOOKUP($A326,CSV!$A:$A,CSV!E:E,""),
_xlpm.MacVal,_xlfn.XLOOKUP($A326,Output_Mac!$A:$A,Output_Mac!C:C,""),
_xlpm.MyAuditVal,_xlfn.XLOOKUP($A326,My_Audit!$A:$A,My_Audit!D:D,""),
_xlfn.IFS(_xlpm.MyAuditVal&lt;&gt;"",_xlpm.MyAuditVal,_xlpm.MacVal&lt;&gt;"",_xlpm.MacVal,_xlpm.CSVVal&lt;&gt;"",_xlpm.CSVVal
)),"")</f>
        <v/>
      </c>
      <c r="F326" s="45" t="str" cm="1">
        <f t="array" ref="F326">IFERROR(_xlfn.LET(
_xlpm.CSVVal,_xlfn.XLOOKUP($A326,CSV!$A:$A,CSV!F:F,""),
_xlpm.MacVal,_xlfn.XLOOKUP($A326,Output_Mac!$A:$A,Output_Mac!F:F,""),
_xlpm.MyAuditVal,_xlfn.XLOOKUP($A326,My_Audit!$A:$A,My_Audit!E:E,""),
_xlfn.IFS(_xlpm.MyAuditVal&lt;&gt;"",_xlpm.MyAuditVal,_xlpm.MacVal&lt;&gt;"",_xlpm.MacVal,_xlpm.CSVVal&lt;&gt;"",PROPER(_xlpm.CSVVal)
)),"")</f>
        <v/>
      </c>
      <c r="G326" s="45" t="str" cm="1">
        <f t="array" ref="G326">IFERROR(_xlfn.LET(
_xlpm.CSVVal,_xlfn.XLOOKUP($A326,CSV!$A:$A,CSV!G:G,""),
_xlpm.MacVal,_xlfn.XLOOKUP($A326,Output_Mac!$A:$A,Output_Mac!H:H,""),
_xlpm.MyAuditVal,_xlfn.XLOOKUP($A326,My_Audit!$A:$A,My_Audit!F:F,""),
_xlfn.IFS(_xlpm.MyAuditVal&lt;&gt;"",_xlpm.MyAuditVal,_xlpm.MacVal&lt;&gt;"",_xlpm.MacVal,_xlpm.CSVVal&lt;&gt;"",_xlpm.CSVVal
)),"")</f>
        <v/>
      </c>
      <c r="H326" s="45" t="str">
        <f>_xlfn.XLOOKUP(A326,Output_Mac!A:A,Output_Mac!I:I,"")</f>
        <v/>
      </c>
      <c r="I326" s="45" t="str" cm="1">
        <f t="array" ref="I326">IFERROR(_xlfn.LET(
_xlpm.CSVVal,_xlfn.XLOOKUP($A326,CSV!$A:$A,CSV!H:H,""),
_xlpm.MacVal,_xlfn.XLOOKUP($A326,Output_Mac!$A:$A,Output_Mac!J:J,""),
_xlpm.MyAuditVal,_xlfn.XLOOKUP($A326,My_Audit!$A:$A,My_Audit!H:H,""),
_xlfn.IFS(_xlpm.MyAuditVal&lt;&gt;"",UPPER(_xlpm.MyAuditVal),_xlpm.MacVal&lt;&gt;"",_xlpm.MacVal,_xlpm.CSVVal&lt;&gt;"",_xlpm.CSVVal
)),"")</f>
        <v/>
      </c>
      <c r="J326" s="45" t="str" cm="1">
        <f t="array" ref="J326">IFERROR(_xlfn.LET(
_xlpm.CSVVal,_xlfn.XLOOKUP($A326,CSV!$A:$A,CSV!J:J,""),
_xlpm.MacVal,_xlfn.XLOOKUP($A326,Output_Mac!$A:$A,Output_Mac!K:K,""),
_xlpm.MyAuditVal,_xlfn.XLOOKUP($A326,My_Audit!$A:$A,My_Audit!I:I,""),
_xlfn.IFS(_xlpm.MyAuditVal&lt;&gt;"",UPPER(_xlpm.MyAuditVal),_xlpm.MacVal&lt;&gt;"",_xlpm.MacVal,_xlpm.CSVVal&lt;&gt;"",_xlpm.CSVVal
)),"")</f>
        <v/>
      </c>
      <c r="K326" s="45" t="str" cm="1">
        <f t="array" ref="K326">IFERROR(_xlfn.LET(
_xlpm.CSVVal,_xlfn.XLOOKUP($A326,CSV!$A:$A,CSV!N:N,""),
_xlpm.MacVal,_xlfn.XLOOKUP($A326,Output_Mac!$A:$A,Output_Mac!L:L,""),
_xlpm.MyAuditVal,_xlfn.XLOOKUP($A326,My_Audit!$A:$A,My_Audit!J:J,""),
_xlfn.IFS(_xlpm.MyAuditVal&lt;&gt;"",UPPER(_xlpm.MyAuditVal),_xlpm.MacVal&lt;&gt;"",_xlpm.MacVal,_xlpm.CSVVal&lt;&gt;"",_xlpm.CSVVal
)),"")</f>
        <v/>
      </c>
      <c r="L326" s="46" t="str" cm="1">
        <f t="array" ref="L326">IFERROR(_xlfn.LET(
_xlpm.CSVVal,_xlfn.XLOOKUP($A326,CSV!$A:$A,CSV!Q:Q,""),
_xlpm.MacVal,_xlfn.XLOOKUP($A326,Output_Mac!$A:$A,Output_Mac!M:M,""),
_xlpm.MyAuditVal,_xlfn.XLOOKUP($A326,My_Audit!$A:$A,My_Audit!K:K,""),
_xlfn.IFS(_xlpm.MyAuditVal&lt;&gt;"",UPPER(_xlpm.MyAuditVal),_xlpm.MacVal&lt;&gt;"",_xlpm.MacVal,_xlpm.CSVVal&lt;&gt;"",_xlpm.CSVVal
)),"")</f>
        <v/>
      </c>
      <c r="M326" s="45" t="str">
        <f>_xlfn.LET(
    _xlpm.CSVVal, _xlfn.XLOOKUP($A326, CSV!$A:$A, CSV!AE:AE, ""),
    _xlpm.MacVal, _xlfn.XLOOKUP($A326, Output_Mac!$A:$A, Output_Mac!S:S, ""),
    _xlpm.MyAuditVal, _xlfn.XLOOKUP($A326, My_Audit!$A:$A, My_Audit!N:N, ""),
    _xlfn.TEXTJOIN(", ", TRUE, _xlpm.MyAuditVal, _xlpm.MacVal, _xlpm.CSVVal)
)</f>
        <v/>
      </c>
      <c r="N326" s="45" t="str" cm="1">
        <f t="array" ref="N326">IFERROR(_xlfn.LET(
_xlpm.CSVVal,_xlfn.XLOOKUP($A326,CSV!$A:$A,CSV!AG:AG,""),
_xlpm.MacVal,_xlfn.XLOOKUP($A326,Output_Mac!$A:$A,Output_Mac!U:U,""),
_xlpm.MyAuditVal,_xlfn.XLOOKUP($A326,My_Audit!$A:$A,My_Audit!O:O,""),
_xlfn.IFS(_xlpm.MyAuditVal&lt;&gt;"",UPPER(_xlpm.MyAuditVal),_xlpm.MacVal&lt;&gt;"",_xlpm.MacVal,_xlpm.CSVVal&lt;&gt;"",_xlpm.CSVVal
)),"")</f>
        <v/>
      </c>
      <c r="O326" s="46" t="str">
        <f>_xlfn.XLOOKUP(C326,My_Audit!B:B,My_Audit!P:P,"")&amp;""</f>
        <v/>
      </c>
      <c r="P326" s="45"/>
      <c r="Q326" s="46" t="str">
        <f>IF(LEFT(N326,4)="Pass","Nist SP 800-88",My_Audit!R326)&amp;""</f>
        <v/>
      </c>
      <c r="R326" s="45"/>
      <c r="S326" s="45"/>
      <c r="T326" s="46" t="str">
        <f>_xlfn.XLOOKUP(E326,Models!I:I,Models!J:J,"")</f>
        <v/>
      </c>
      <c r="U326" s="45"/>
      <c r="V326" s="45"/>
      <c r="W326" s="38"/>
    </row>
    <row r="327" spans="1:23">
      <c r="A327" s="45" t="str">
        <f>_xlfn.TEXTJOIN("",TRUE,Input!$B$2,ROW(My_Audit!A326))</f>
        <v>XX326</v>
      </c>
      <c r="B327" s="45" t="str">
        <f>_xlfn.TEXTJOIN("-",TRUE,"ITD",Input!$A$2,A327)</f>
        <v>ITD-SHRXXX-XX326</v>
      </c>
      <c r="C327" s="45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46" t="str" cm="1">
        <f t="array" ref="D327">IFERROR(_xlfn.LET(
_xlpm.CSVVal,_xlfn.XLOOKUP($A327,CSV!$A:$A,CSV!C:C,""),
_xlpm.MacVal,_xlfn.XLOOKUP($A327,Output_Mac!$A:$A,Output_Mac!D:D,""),
_xlpm.MyAuditVal,_xlfn.XLOOKUP($A327,My_Audit!$A:$A,My_Audit!C:C,""),
_xlfn.IFS(_xlpm.MyAuditVal&lt;&gt;"",UPPER(_xlpm.MyAuditVal),_xlpm.MacVal&lt;&gt;"",_xlpm.MacVal,_xlpm.CSVVal&lt;&gt;"",_xlpm.CSVVal
)),"")</f>
        <v/>
      </c>
      <c r="E327" s="46" t="str" cm="1">
        <f t="array" ref="E327">IFERROR(_xlfn.LET(
_xlpm.CSVVal,_xlfn.XLOOKUP($A327,CSV!$A:$A,CSV!E:E,""),
_xlpm.MacVal,_xlfn.XLOOKUP($A327,Output_Mac!$A:$A,Output_Mac!C:C,""),
_xlpm.MyAuditVal,_xlfn.XLOOKUP($A327,My_Audit!$A:$A,My_Audit!D:D,""),
_xlfn.IFS(_xlpm.MyAuditVal&lt;&gt;"",_xlpm.MyAuditVal,_xlpm.MacVal&lt;&gt;"",_xlpm.MacVal,_xlpm.CSVVal&lt;&gt;"",_xlpm.CSVVal
)),"")</f>
        <v/>
      </c>
      <c r="F327" s="45" t="str" cm="1">
        <f t="array" ref="F327">IFERROR(_xlfn.LET(
_xlpm.CSVVal,_xlfn.XLOOKUP($A327,CSV!$A:$A,CSV!F:F,""),
_xlpm.MacVal,_xlfn.XLOOKUP($A327,Output_Mac!$A:$A,Output_Mac!F:F,""),
_xlpm.MyAuditVal,_xlfn.XLOOKUP($A327,My_Audit!$A:$A,My_Audit!E:E,""),
_xlfn.IFS(_xlpm.MyAuditVal&lt;&gt;"",_xlpm.MyAuditVal,_xlpm.MacVal&lt;&gt;"",_xlpm.MacVal,_xlpm.CSVVal&lt;&gt;"",PROPER(_xlpm.CSVVal)
)),"")</f>
        <v/>
      </c>
      <c r="G327" s="45" t="str" cm="1">
        <f t="array" ref="G327">IFERROR(_xlfn.LET(
_xlpm.CSVVal,_xlfn.XLOOKUP($A327,CSV!$A:$A,CSV!G:G,""),
_xlpm.MacVal,_xlfn.XLOOKUP($A327,Output_Mac!$A:$A,Output_Mac!H:H,""),
_xlpm.MyAuditVal,_xlfn.XLOOKUP($A327,My_Audit!$A:$A,My_Audit!F:F,""),
_xlfn.IFS(_xlpm.MyAuditVal&lt;&gt;"",_xlpm.MyAuditVal,_xlpm.MacVal&lt;&gt;"",_xlpm.MacVal,_xlpm.CSVVal&lt;&gt;"",_xlpm.CSVVal
)),"")</f>
        <v/>
      </c>
      <c r="H327" s="45" t="str">
        <f>_xlfn.XLOOKUP(A327,Output_Mac!A:A,Output_Mac!I:I,"")</f>
        <v/>
      </c>
      <c r="I327" s="45" t="str" cm="1">
        <f t="array" ref="I327">IFERROR(_xlfn.LET(
_xlpm.CSVVal,_xlfn.XLOOKUP($A327,CSV!$A:$A,CSV!H:H,""),
_xlpm.MacVal,_xlfn.XLOOKUP($A327,Output_Mac!$A:$A,Output_Mac!J:J,""),
_xlpm.MyAuditVal,_xlfn.XLOOKUP($A327,My_Audit!$A:$A,My_Audit!H:H,""),
_xlfn.IFS(_xlpm.MyAuditVal&lt;&gt;"",UPPER(_xlpm.MyAuditVal),_xlpm.MacVal&lt;&gt;"",_xlpm.MacVal,_xlpm.CSVVal&lt;&gt;"",_xlpm.CSVVal
)),"")</f>
        <v/>
      </c>
      <c r="J327" s="45" t="str" cm="1">
        <f t="array" ref="J327">IFERROR(_xlfn.LET(
_xlpm.CSVVal,_xlfn.XLOOKUP($A327,CSV!$A:$A,CSV!J:J,""),
_xlpm.MacVal,_xlfn.XLOOKUP($A327,Output_Mac!$A:$A,Output_Mac!K:K,""),
_xlpm.MyAuditVal,_xlfn.XLOOKUP($A327,My_Audit!$A:$A,My_Audit!I:I,""),
_xlfn.IFS(_xlpm.MyAuditVal&lt;&gt;"",UPPER(_xlpm.MyAuditVal),_xlpm.MacVal&lt;&gt;"",_xlpm.MacVal,_xlpm.CSVVal&lt;&gt;"",_xlpm.CSVVal
)),"")</f>
        <v/>
      </c>
      <c r="K327" s="45" t="str" cm="1">
        <f t="array" ref="K327">IFERROR(_xlfn.LET(
_xlpm.CSVVal,_xlfn.XLOOKUP($A327,CSV!$A:$A,CSV!N:N,""),
_xlpm.MacVal,_xlfn.XLOOKUP($A327,Output_Mac!$A:$A,Output_Mac!L:L,""),
_xlpm.MyAuditVal,_xlfn.XLOOKUP($A327,My_Audit!$A:$A,My_Audit!J:J,""),
_xlfn.IFS(_xlpm.MyAuditVal&lt;&gt;"",UPPER(_xlpm.MyAuditVal),_xlpm.MacVal&lt;&gt;"",_xlpm.MacVal,_xlpm.CSVVal&lt;&gt;"",_xlpm.CSVVal
)),"")</f>
        <v/>
      </c>
      <c r="L327" s="46" t="str" cm="1">
        <f t="array" ref="L327">IFERROR(_xlfn.LET(
_xlpm.CSVVal,_xlfn.XLOOKUP($A327,CSV!$A:$A,CSV!Q:Q,""),
_xlpm.MacVal,_xlfn.XLOOKUP($A327,Output_Mac!$A:$A,Output_Mac!M:M,""),
_xlpm.MyAuditVal,_xlfn.XLOOKUP($A327,My_Audit!$A:$A,My_Audit!K:K,""),
_xlfn.IFS(_xlpm.MyAuditVal&lt;&gt;"",UPPER(_xlpm.MyAuditVal),_xlpm.MacVal&lt;&gt;"",_xlpm.MacVal,_xlpm.CSVVal&lt;&gt;"",_xlpm.CSVVal
)),"")</f>
        <v/>
      </c>
      <c r="M327" s="45" t="str">
        <f>_xlfn.LET(
    _xlpm.CSVVal, _xlfn.XLOOKUP($A327, CSV!$A:$A, CSV!AE:AE, ""),
    _xlpm.MacVal, _xlfn.XLOOKUP($A327, Output_Mac!$A:$A, Output_Mac!S:S, ""),
    _xlpm.MyAuditVal, _xlfn.XLOOKUP($A327, My_Audit!$A:$A, My_Audit!N:N, ""),
    _xlfn.TEXTJOIN(", ", TRUE, _xlpm.MyAuditVal, _xlpm.MacVal, _xlpm.CSVVal)
)</f>
        <v/>
      </c>
      <c r="N327" s="45" t="str" cm="1">
        <f t="array" ref="N327">IFERROR(_xlfn.LET(
_xlpm.CSVVal,_xlfn.XLOOKUP($A327,CSV!$A:$A,CSV!AG:AG,""),
_xlpm.MacVal,_xlfn.XLOOKUP($A327,Output_Mac!$A:$A,Output_Mac!U:U,""),
_xlpm.MyAuditVal,_xlfn.XLOOKUP($A327,My_Audit!$A:$A,My_Audit!O:O,""),
_xlfn.IFS(_xlpm.MyAuditVal&lt;&gt;"",UPPER(_xlpm.MyAuditVal),_xlpm.MacVal&lt;&gt;"",_xlpm.MacVal,_xlpm.CSVVal&lt;&gt;"",_xlpm.CSVVal
)),"")</f>
        <v/>
      </c>
      <c r="O327" s="46" t="str">
        <f>_xlfn.XLOOKUP(C327,My_Audit!B:B,My_Audit!P:P,"")&amp;""</f>
        <v/>
      </c>
      <c r="P327" s="45"/>
      <c r="Q327" s="46" t="str">
        <f>IF(LEFT(N327,4)="Pass","Nist SP 800-88",My_Audit!R327)&amp;""</f>
        <v/>
      </c>
      <c r="R327" s="45"/>
      <c r="S327" s="45"/>
      <c r="T327" s="46" t="str">
        <f>_xlfn.XLOOKUP(E327,Models!I:I,Models!J:J,"")</f>
        <v/>
      </c>
      <c r="U327" s="45"/>
      <c r="V327" s="45"/>
      <c r="W327" s="38"/>
    </row>
    <row r="328" spans="1:23">
      <c r="A328" s="45" t="str">
        <f>_xlfn.TEXTJOIN("",TRUE,Input!$B$2,ROW(My_Audit!A327))</f>
        <v>XX327</v>
      </c>
      <c r="B328" s="45" t="str">
        <f>_xlfn.TEXTJOIN("-",TRUE,"ITD",Input!$A$2,A328)</f>
        <v>ITD-SHRXXX-XX327</v>
      </c>
      <c r="C328" s="45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46" t="str" cm="1">
        <f t="array" ref="D328">IFERROR(_xlfn.LET(
_xlpm.CSVVal,_xlfn.XLOOKUP($A328,CSV!$A:$A,CSV!C:C,""),
_xlpm.MacVal,_xlfn.XLOOKUP($A328,Output_Mac!$A:$A,Output_Mac!D:D,""),
_xlpm.MyAuditVal,_xlfn.XLOOKUP($A328,My_Audit!$A:$A,My_Audit!C:C,""),
_xlfn.IFS(_xlpm.MyAuditVal&lt;&gt;"",UPPER(_xlpm.MyAuditVal),_xlpm.MacVal&lt;&gt;"",_xlpm.MacVal,_xlpm.CSVVal&lt;&gt;"",_xlpm.CSVVal
)),"")</f>
        <v/>
      </c>
      <c r="E328" s="46" t="str" cm="1">
        <f t="array" ref="E328">IFERROR(_xlfn.LET(
_xlpm.CSVVal,_xlfn.XLOOKUP($A328,CSV!$A:$A,CSV!E:E,""),
_xlpm.MacVal,_xlfn.XLOOKUP($A328,Output_Mac!$A:$A,Output_Mac!C:C,""),
_xlpm.MyAuditVal,_xlfn.XLOOKUP($A328,My_Audit!$A:$A,My_Audit!D:D,""),
_xlfn.IFS(_xlpm.MyAuditVal&lt;&gt;"",_xlpm.MyAuditVal,_xlpm.MacVal&lt;&gt;"",_xlpm.MacVal,_xlpm.CSVVal&lt;&gt;"",_xlpm.CSVVal
)),"")</f>
        <v/>
      </c>
      <c r="F328" s="45" t="str" cm="1">
        <f t="array" ref="F328">IFERROR(_xlfn.LET(
_xlpm.CSVVal,_xlfn.XLOOKUP($A328,CSV!$A:$A,CSV!F:F,""),
_xlpm.MacVal,_xlfn.XLOOKUP($A328,Output_Mac!$A:$A,Output_Mac!F:F,""),
_xlpm.MyAuditVal,_xlfn.XLOOKUP($A328,My_Audit!$A:$A,My_Audit!E:E,""),
_xlfn.IFS(_xlpm.MyAuditVal&lt;&gt;"",_xlpm.MyAuditVal,_xlpm.MacVal&lt;&gt;"",_xlpm.MacVal,_xlpm.CSVVal&lt;&gt;"",PROPER(_xlpm.CSVVal)
)),"")</f>
        <v/>
      </c>
      <c r="G328" s="45" t="str" cm="1">
        <f t="array" ref="G328">IFERROR(_xlfn.LET(
_xlpm.CSVVal,_xlfn.XLOOKUP($A328,CSV!$A:$A,CSV!G:G,""),
_xlpm.MacVal,_xlfn.XLOOKUP($A328,Output_Mac!$A:$A,Output_Mac!H:H,""),
_xlpm.MyAuditVal,_xlfn.XLOOKUP($A328,My_Audit!$A:$A,My_Audit!F:F,""),
_xlfn.IFS(_xlpm.MyAuditVal&lt;&gt;"",_xlpm.MyAuditVal,_xlpm.MacVal&lt;&gt;"",_xlpm.MacVal,_xlpm.CSVVal&lt;&gt;"",_xlpm.CSVVal
)),"")</f>
        <v/>
      </c>
      <c r="H328" s="45" t="str">
        <f>_xlfn.XLOOKUP(A328,Output_Mac!A:A,Output_Mac!I:I,"")</f>
        <v/>
      </c>
      <c r="I328" s="45" t="str" cm="1">
        <f t="array" ref="I328">IFERROR(_xlfn.LET(
_xlpm.CSVVal,_xlfn.XLOOKUP($A328,CSV!$A:$A,CSV!H:H,""),
_xlpm.MacVal,_xlfn.XLOOKUP($A328,Output_Mac!$A:$A,Output_Mac!J:J,""),
_xlpm.MyAuditVal,_xlfn.XLOOKUP($A328,My_Audit!$A:$A,My_Audit!H:H,""),
_xlfn.IFS(_xlpm.MyAuditVal&lt;&gt;"",UPPER(_xlpm.MyAuditVal),_xlpm.MacVal&lt;&gt;"",_xlpm.MacVal,_xlpm.CSVVal&lt;&gt;"",_xlpm.CSVVal
)),"")</f>
        <v/>
      </c>
      <c r="J328" s="45" t="str" cm="1">
        <f t="array" ref="J328">IFERROR(_xlfn.LET(
_xlpm.CSVVal,_xlfn.XLOOKUP($A328,CSV!$A:$A,CSV!J:J,""),
_xlpm.MacVal,_xlfn.XLOOKUP($A328,Output_Mac!$A:$A,Output_Mac!K:K,""),
_xlpm.MyAuditVal,_xlfn.XLOOKUP($A328,My_Audit!$A:$A,My_Audit!I:I,""),
_xlfn.IFS(_xlpm.MyAuditVal&lt;&gt;"",UPPER(_xlpm.MyAuditVal),_xlpm.MacVal&lt;&gt;"",_xlpm.MacVal,_xlpm.CSVVal&lt;&gt;"",_xlpm.CSVVal
)),"")</f>
        <v/>
      </c>
      <c r="K328" s="45" t="str" cm="1">
        <f t="array" ref="K328">IFERROR(_xlfn.LET(
_xlpm.CSVVal,_xlfn.XLOOKUP($A328,CSV!$A:$A,CSV!N:N,""),
_xlpm.MacVal,_xlfn.XLOOKUP($A328,Output_Mac!$A:$A,Output_Mac!L:L,""),
_xlpm.MyAuditVal,_xlfn.XLOOKUP($A328,My_Audit!$A:$A,My_Audit!J:J,""),
_xlfn.IFS(_xlpm.MyAuditVal&lt;&gt;"",UPPER(_xlpm.MyAuditVal),_xlpm.MacVal&lt;&gt;"",_xlpm.MacVal,_xlpm.CSVVal&lt;&gt;"",_xlpm.CSVVal
)),"")</f>
        <v/>
      </c>
      <c r="L328" s="46" t="str" cm="1">
        <f t="array" ref="L328">IFERROR(_xlfn.LET(
_xlpm.CSVVal,_xlfn.XLOOKUP($A328,CSV!$A:$A,CSV!Q:Q,""),
_xlpm.MacVal,_xlfn.XLOOKUP($A328,Output_Mac!$A:$A,Output_Mac!M:M,""),
_xlpm.MyAuditVal,_xlfn.XLOOKUP($A328,My_Audit!$A:$A,My_Audit!K:K,""),
_xlfn.IFS(_xlpm.MyAuditVal&lt;&gt;"",UPPER(_xlpm.MyAuditVal),_xlpm.MacVal&lt;&gt;"",_xlpm.MacVal,_xlpm.CSVVal&lt;&gt;"",_xlpm.CSVVal
)),"")</f>
        <v/>
      </c>
      <c r="M328" s="45" t="str">
        <f>_xlfn.LET(
    _xlpm.CSVVal, _xlfn.XLOOKUP($A328, CSV!$A:$A, CSV!AE:AE, ""),
    _xlpm.MacVal, _xlfn.XLOOKUP($A328, Output_Mac!$A:$A, Output_Mac!S:S, ""),
    _xlpm.MyAuditVal, _xlfn.XLOOKUP($A328, My_Audit!$A:$A, My_Audit!N:N, ""),
    _xlfn.TEXTJOIN(", ", TRUE, _xlpm.MyAuditVal, _xlpm.MacVal, _xlpm.CSVVal)
)</f>
        <v/>
      </c>
      <c r="N328" s="45" t="str" cm="1">
        <f t="array" ref="N328">IFERROR(_xlfn.LET(
_xlpm.CSVVal,_xlfn.XLOOKUP($A328,CSV!$A:$A,CSV!AG:AG,""),
_xlpm.MacVal,_xlfn.XLOOKUP($A328,Output_Mac!$A:$A,Output_Mac!U:U,""),
_xlpm.MyAuditVal,_xlfn.XLOOKUP($A328,My_Audit!$A:$A,My_Audit!O:O,""),
_xlfn.IFS(_xlpm.MyAuditVal&lt;&gt;"",UPPER(_xlpm.MyAuditVal),_xlpm.MacVal&lt;&gt;"",_xlpm.MacVal,_xlpm.CSVVal&lt;&gt;"",_xlpm.CSVVal
)),"")</f>
        <v/>
      </c>
      <c r="O328" s="46" t="str">
        <f>_xlfn.XLOOKUP(C328,My_Audit!B:B,My_Audit!P:P,"")&amp;""</f>
        <v/>
      </c>
      <c r="P328" s="45"/>
      <c r="Q328" s="46" t="str">
        <f>IF(LEFT(N328,4)="Pass","Nist SP 800-88",My_Audit!R328)&amp;""</f>
        <v/>
      </c>
      <c r="R328" s="45"/>
      <c r="S328" s="45"/>
      <c r="T328" s="46" t="str">
        <f>_xlfn.XLOOKUP(E328,Models!I:I,Models!J:J,"")</f>
        <v/>
      </c>
      <c r="U328" s="45"/>
      <c r="V328" s="45"/>
      <c r="W328" s="38"/>
    </row>
    <row r="329" spans="1:23">
      <c r="A329" s="45" t="str">
        <f>_xlfn.TEXTJOIN("",TRUE,Input!$B$2,ROW(My_Audit!A328))</f>
        <v>XX328</v>
      </c>
      <c r="B329" s="45" t="str">
        <f>_xlfn.TEXTJOIN("-",TRUE,"ITD",Input!$A$2,A329)</f>
        <v>ITD-SHRXXX-XX328</v>
      </c>
      <c r="C329" s="45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46" t="str" cm="1">
        <f t="array" ref="D329">IFERROR(_xlfn.LET(
_xlpm.CSVVal,_xlfn.XLOOKUP($A329,CSV!$A:$A,CSV!C:C,""),
_xlpm.MacVal,_xlfn.XLOOKUP($A329,Output_Mac!$A:$A,Output_Mac!D:D,""),
_xlpm.MyAuditVal,_xlfn.XLOOKUP($A329,My_Audit!$A:$A,My_Audit!C:C,""),
_xlfn.IFS(_xlpm.MyAuditVal&lt;&gt;"",UPPER(_xlpm.MyAuditVal),_xlpm.MacVal&lt;&gt;"",_xlpm.MacVal,_xlpm.CSVVal&lt;&gt;"",_xlpm.CSVVal
)),"")</f>
        <v/>
      </c>
      <c r="E329" s="46" t="str" cm="1">
        <f t="array" ref="E329">IFERROR(_xlfn.LET(
_xlpm.CSVVal,_xlfn.XLOOKUP($A329,CSV!$A:$A,CSV!E:E,""),
_xlpm.MacVal,_xlfn.XLOOKUP($A329,Output_Mac!$A:$A,Output_Mac!C:C,""),
_xlpm.MyAuditVal,_xlfn.XLOOKUP($A329,My_Audit!$A:$A,My_Audit!D:D,""),
_xlfn.IFS(_xlpm.MyAuditVal&lt;&gt;"",_xlpm.MyAuditVal,_xlpm.MacVal&lt;&gt;"",_xlpm.MacVal,_xlpm.CSVVal&lt;&gt;"",_xlpm.CSVVal
)),"")</f>
        <v/>
      </c>
      <c r="F329" s="45" t="str" cm="1">
        <f t="array" ref="F329">IFERROR(_xlfn.LET(
_xlpm.CSVVal,_xlfn.XLOOKUP($A329,CSV!$A:$A,CSV!F:F,""),
_xlpm.MacVal,_xlfn.XLOOKUP($A329,Output_Mac!$A:$A,Output_Mac!F:F,""),
_xlpm.MyAuditVal,_xlfn.XLOOKUP($A329,My_Audit!$A:$A,My_Audit!E:E,""),
_xlfn.IFS(_xlpm.MyAuditVal&lt;&gt;"",_xlpm.MyAuditVal,_xlpm.MacVal&lt;&gt;"",_xlpm.MacVal,_xlpm.CSVVal&lt;&gt;"",PROPER(_xlpm.CSVVal)
)),"")</f>
        <v/>
      </c>
      <c r="G329" s="45" t="str" cm="1">
        <f t="array" ref="G329">IFERROR(_xlfn.LET(
_xlpm.CSVVal,_xlfn.XLOOKUP($A329,CSV!$A:$A,CSV!G:G,""),
_xlpm.MacVal,_xlfn.XLOOKUP($A329,Output_Mac!$A:$A,Output_Mac!H:H,""),
_xlpm.MyAuditVal,_xlfn.XLOOKUP($A329,My_Audit!$A:$A,My_Audit!F:F,""),
_xlfn.IFS(_xlpm.MyAuditVal&lt;&gt;"",_xlpm.MyAuditVal,_xlpm.MacVal&lt;&gt;"",_xlpm.MacVal,_xlpm.CSVVal&lt;&gt;"",_xlpm.CSVVal
)),"")</f>
        <v/>
      </c>
      <c r="H329" s="45" t="str">
        <f>_xlfn.XLOOKUP(A329,Output_Mac!A:A,Output_Mac!I:I,"")</f>
        <v/>
      </c>
      <c r="I329" s="45" t="str" cm="1">
        <f t="array" ref="I329">IFERROR(_xlfn.LET(
_xlpm.CSVVal,_xlfn.XLOOKUP($A329,CSV!$A:$A,CSV!H:H,""),
_xlpm.MacVal,_xlfn.XLOOKUP($A329,Output_Mac!$A:$A,Output_Mac!J:J,""),
_xlpm.MyAuditVal,_xlfn.XLOOKUP($A329,My_Audit!$A:$A,My_Audit!H:H,""),
_xlfn.IFS(_xlpm.MyAuditVal&lt;&gt;"",UPPER(_xlpm.MyAuditVal),_xlpm.MacVal&lt;&gt;"",_xlpm.MacVal,_xlpm.CSVVal&lt;&gt;"",_xlpm.CSVVal
)),"")</f>
        <v/>
      </c>
      <c r="J329" s="45" t="str" cm="1">
        <f t="array" ref="J329">IFERROR(_xlfn.LET(
_xlpm.CSVVal,_xlfn.XLOOKUP($A329,CSV!$A:$A,CSV!J:J,""),
_xlpm.MacVal,_xlfn.XLOOKUP($A329,Output_Mac!$A:$A,Output_Mac!K:K,""),
_xlpm.MyAuditVal,_xlfn.XLOOKUP($A329,My_Audit!$A:$A,My_Audit!I:I,""),
_xlfn.IFS(_xlpm.MyAuditVal&lt;&gt;"",UPPER(_xlpm.MyAuditVal),_xlpm.MacVal&lt;&gt;"",_xlpm.MacVal,_xlpm.CSVVal&lt;&gt;"",_xlpm.CSVVal
)),"")</f>
        <v/>
      </c>
      <c r="K329" s="45" t="str" cm="1">
        <f t="array" ref="K329">IFERROR(_xlfn.LET(
_xlpm.CSVVal,_xlfn.XLOOKUP($A329,CSV!$A:$A,CSV!N:N,""),
_xlpm.MacVal,_xlfn.XLOOKUP($A329,Output_Mac!$A:$A,Output_Mac!L:L,""),
_xlpm.MyAuditVal,_xlfn.XLOOKUP($A329,My_Audit!$A:$A,My_Audit!J:J,""),
_xlfn.IFS(_xlpm.MyAuditVal&lt;&gt;"",UPPER(_xlpm.MyAuditVal),_xlpm.MacVal&lt;&gt;"",_xlpm.MacVal,_xlpm.CSVVal&lt;&gt;"",_xlpm.CSVVal
)),"")</f>
        <v/>
      </c>
      <c r="L329" s="46" t="str" cm="1">
        <f t="array" ref="L329">IFERROR(_xlfn.LET(
_xlpm.CSVVal,_xlfn.XLOOKUP($A329,CSV!$A:$A,CSV!Q:Q,""),
_xlpm.MacVal,_xlfn.XLOOKUP($A329,Output_Mac!$A:$A,Output_Mac!M:M,""),
_xlpm.MyAuditVal,_xlfn.XLOOKUP($A329,My_Audit!$A:$A,My_Audit!K:K,""),
_xlfn.IFS(_xlpm.MyAuditVal&lt;&gt;"",UPPER(_xlpm.MyAuditVal),_xlpm.MacVal&lt;&gt;"",_xlpm.MacVal,_xlpm.CSVVal&lt;&gt;"",_xlpm.CSVVal
)),"")</f>
        <v/>
      </c>
      <c r="M329" s="45" t="str">
        <f>_xlfn.LET(
    _xlpm.CSVVal, _xlfn.XLOOKUP($A329, CSV!$A:$A, CSV!AE:AE, ""),
    _xlpm.MacVal, _xlfn.XLOOKUP($A329, Output_Mac!$A:$A, Output_Mac!S:S, ""),
    _xlpm.MyAuditVal, _xlfn.XLOOKUP($A329, My_Audit!$A:$A, My_Audit!N:N, ""),
    _xlfn.TEXTJOIN(", ", TRUE, _xlpm.MyAuditVal, _xlpm.MacVal, _xlpm.CSVVal)
)</f>
        <v/>
      </c>
      <c r="N329" s="45" t="str" cm="1">
        <f t="array" ref="N329">IFERROR(_xlfn.LET(
_xlpm.CSVVal,_xlfn.XLOOKUP($A329,CSV!$A:$A,CSV!AG:AG,""),
_xlpm.MacVal,_xlfn.XLOOKUP($A329,Output_Mac!$A:$A,Output_Mac!U:U,""),
_xlpm.MyAuditVal,_xlfn.XLOOKUP($A329,My_Audit!$A:$A,My_Audit!O:O,""),
_xlfn.IFS(_xlpm.MyAuditVal&lt;&gt;"",UPPER(_xlpm.MyAuditVal),_xlpm.MacVal&lt;&gt;"",_xlpm.MacVal,_xlpm.CSVVal&lt;&gt;"",_xlpm.CSVVal
)),"")</f>
        <v/>
      </c>
      <c r="O329" s="46" t="str">
        <f>_xlfn.XLOOKUP(C329,My_Audit!B:B,My_Audit!P:P,"")&amp;""</f>
        <v/>
      </c>
      <c r="P329" s="45"/>
      <c r="Q329" s="46" t="str">
        <f>IF(LEFT(N329,4)="Pass","Nist SP 800-88",My_Audit!R329)&amp;""</f>
        <v/>
      </c>
      <c r="R329" s="45"/>
      <c r="S329" s="45"/>
      <c r="T329" s="46" t="str">
        <f>_xlfn.XLOOKUP(E329,Models!I:I,Models!J:J,"")</f>
        <v/>
      </c>
      <c r="U329" s="45"/>
      <c r="V329" s="45"/>
      <c r="W329" s="38"/>
    </row>
    <row r="330" spans="1:23">
      <c r="A330" s="45" t="str">
        <f>_xlfn.TEXTJOIN("",TRUE,Input!$B$2,ROW(My_Audit!A329))</f>
        <v>XX329</v>
      </c>
      <c r="B330" s="45" t="str">
        <f>_xlfn.TEXTJOIN("-",TRUE,"ITD",Input!$A$2,A330)</f>
        <v>ITD-SHRXXX-XX329</v>
      </c>
      <c r="C330" s="45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46" t="str" cm="1">
        <f t="array" ref="D330">IFERROR(_xlfn.LET(
_xlpm.CSVVal,_xlfn.XLOOKUP($A330,CSV!$A:$A,CSV!C:C,""),
_xlpm.MacVal,_xlfn.XLOOKUP($A330,Output_Mac!$A:$A,Output_Mac!D:D,""),
_xlpm.MyAuditVal,_xlfn.XLOOKUP($A330,My_Audit!$A:$A,My_Audit!C:C,""),
_xlfn.IFS(_xlpm.MyAuditVal&lt;&gt;"",UPPER(_xlpm.MyAuditVal),_xlpm.MacVal&lt;&gt;"",_xlpm.MacVal,_xlpm.CSVVal&lt;&gt;"",_xlpm.CSVVal
)),"")</f>
        <v/>
      </c>
      <c r="E330" s="46" t="str" cm="1">
        <f t="array" ref="E330">IFERROR(_xlfn.LET(
_xlpm.CSVVal,_xlfn.XLOOKUP($A330,CSV!$A:$A,CSV!E:E,""),
_xlpm.MacVal,_xlfn.XLOOKUP($A330,Output_Mac!$A:$A,Output_Mac!C:C,""),
_xlpm.MyAuditVal,_xlfn.XLOOKUP($A330,My_Audit!$A:$A,My_Audit!D:D,""),
_xlfn.IFS(_xlpm.MyAuditVal&lt;&gt;"",_xlpm.MyAuditVal,_xlpm.MacVal&lt;&gt;"",_xlpm.MacVal,_xlpm.CSVVal&lt;&gt;"",_xlpm.CSVVal
)),"")</f>
        <v/>
      </c>
      <c r="F330" s="45" t="str" cm="1">
        <f t="array" ref="F330">IFERROR(_xlfn.LET(
_xlpm.CSVVal,_xlfn.XLOOKUP($A330,CSV!$A:$A,CSV!F:F,""),
_xlpm.MacVal,_xlfn.XLOOKUP($A330,Output_Mac!$A:$A,Output_Mac!F:F,""),
_xlpm.MyAuditVal,_xlfn.XLOOKUP($A330,My_Audit!$A:$A,My_Audit!E:E,""),
_xlfn.IFS(_xlpm.MyAuditVal&lt;&gt;"",_xlpm.MyAuditVal,_xlpm.MacVal&lt;&gt;"",_xlpm.MacVal,_xlpm.CSVVal&lt;&gt;"",PROPER(_xlpm.CSVVal)
)),"")</f>
        <v/>
      </c>
      <c r="G330" s="45" t="str" cm="1">
        <f t="array" ref="G330">IFERROR(_xlfn.LET(
_xlpm.CSVVal,_xlfn.XLOOKUP($A330,CSV!$A:$A,CSV!G:G,""),
_xlpm.MacVal,_xlfn.XLOOKUP($A330,Output_Mac!$A:$A,Output_Mac!H:H,""),
_xlpm.MyAuditVal,_xlfn.XLOOKUP($A330,My_Audit!$A:$A,My_Audit!F:F,""),
_xlfn.IFS(_xlpm.MyAuditVal&lt;&gt;"",_xlpm.MyAuditVal,_xlpm.MacVal&lt;&gt;"",_xlpm.MacVal,_xlpm.CSVVal&lt;&gt;"",_xlpm.CSVVal
)),"")</f>
        <v/>
      </c>
      <c r="H330" s="45" t="str">
        <f>_xlfn.XLOOKUP(A330,Output_Mac!A:A,Output_Mac!I:I,"")</f>
        <v/>
      </c>
      <c r="I330" s="45" t="str" cm="1">
        <f t="array" ref="I330">IFERROR(_xlfn.LET(
_xlpm.CSVVal,_xlfn.XLOOKUP($A330,CSV!$A:$A,CSV!H:H,""),
_xlpm.MacVal,_xlfn.XLOOKUP($A330,Output_Mac!$A:$A,Output_Mac!J:J,""),
_xlpm.MyAuditVal,_xlfn.XLOOKUP($A330,My_Audit!$A:$A,My_Audit!H:H,""),
_xlfn.IFS(_xlpm.MyAuditVal&lt;&gt;"",UPPER(_xlpm.MyAuditVal),_xlpm.MacVal&lt;&gt;"",_xlpm.MacVal,_xlpm.CSVVal&lt;&gt;"",_xlpm.CSVVal
)),"")</f>
        <v/>
      </c>
      <c r="J330" s="45" t="str" cm="1">
        <f t="array" ref="J330">IFERROR(_xlfn.LET(
_xlpm.CSVVal,_xlfn.XLOOKUP($A330,CSV!$A:$A,CSV!J:J,""),
_xlpm.MacVal,_xlfn.XLOOKUP($A330,Output_Mac!$A:$A,Output_Mac!K:K,""),
_xlpm.MyAuditVal,_xlfn.XLOOKUP($A330,My_Audit!$A:$A,My_Audit!I:I,""),
_xlfn.IFS(_xlpm.MyAuditVal&lt;&gt;"",UPPER(_xlpm.MyAuditVal),_xlpm.MacVal&lt;&gt;"",_xlpm.MacVal,_xlpm.CSVVal&lt;&gt;"",_xlpm.CSVVal
)),"")</f>
        <v/>
      </c>
      <c r="K330" s="45" t="str" cm="1">
        <f t="array" ref="K330">IFERROR(_xlfn.LET(
_xlpm.CSVVal,_xlfn.XLOOKUP($A330,CSV!$A:$A,CSV!N:N,""),
_xlpm.MacVal,_xlfn.XLOOKUP($A330,Output_Mac!$A:$A,Output_Mac!L:L,""),
_xlpm.MyAuditVal,_xlfn.XLOOKUP($A330,My_Audit!$A:$A,My_Audit!J:J,""),
_xlfn.IFS(_xlpm.MyAuditVal&lt;&gt;"",UPPER(_xlpm.MyAuditVal),_xlpm.MacVal&lt;&gt;"",_xlpm.MacVal,_xlpm.CSVVal&lt;&gt;"",_xlpm.CSVVal
)),"")</f>
        <v/>
      </c>
      <c r="L330" s="46" t="str" cm="1">
        <f t="array" ref="L330">IFERROR(_xlfn.LET(
_xlpm.CSVVal,_xlfn.XLOOKUP($A330,CSV!$A:$A,CSV!Q:Q,""),
_xlpm.MacVal,_xlfn.XLOOKUP($A330,Output_Mac!$A:$A,Output_Mac!M:M,""),
_xlpm.MyAuditVal,_xlfn.XLOOKUP($A330,My_Audit!$A:$A,My_Audit!K:K,""),
_xlfn.IFS(_xlpm.MyAuditVal&lt;&gt;"",UPPER(_xlpm.MyAuditVal),_xlpm.MacVal&lt;&gt;"",_xlpm.MacVal,_xlpm.CSVVal&lt;&gt;"",_xlpm.CSVVal
)),"")</f>
        <v/>
      </c>
      <c r="M330" s="45" t="str">
        <f>_xlfn.LET(
    _xlpm.CSVVal, _xlfn.XLOOKUP($A330, CSV!$A:$A, CSV!AE:AE, ""),
    _xlpm.MacVal, _xlfn.XLOOKUP($A330, Output_Mac!$A:$A, Output_Mac!S:S, ""),
    _xlpm.MyAuditVal, _xlfn.XLOOKUP($A330, My_Audit!$A:$A, My_Audit!N:N, ""),
    _xlfn.TEXTJOIN(", ", TRUE, _xlpm.MyAuditVal, _xlpm.MacVal, _xlpm.CSVVal)
)</f>
        <v/>
      </c>
      <c r="N330" s="45" t="str" cm="1">
        <f t="array" ref="N330">IFERROR(_xlfn.LET(
_xlpm.CSVVal,_xlfn.XLOOKUP($A330,CSV!$A:$A,CSV!AG:AG,""),
_xlpm.MacVal,_xlfn.XLOOKUP($A330,Output_Mac!$A:$A,Output_Mac!U:U,""),
_xlpm.MyAuditVal,_xlfn.XLOOKUP($A330,My_Audit!$A:$A,My_Audit!O:O,""),
_xlfn.IFS(_xlpm.MyAuditVal&lt;&gt;"",UPPER(_xlpm.MyAuditVal),_xlpm.MacVal&lt;&gt;"",_xlpm.MacVal,_xlpm.CSVVal&lt;&gt;"",_xlpm.CSVVal
)),"")</f>
        <v/>
      </c>
      <c r="O330" s="46" t="str">
        <f>_xlfn.XLOOKUP(C330,My_Audit!B:B,My_Audit!P:P,"")&amp;""</f>
        <v/>
      </c>
      <c r="P330" s="45"/>
      <c r="Q330" s="46" t="str">
        <f>IF(LEFT(N330,4)="Pass","Nist SP 800-88",My_Audit!R330)&amp;""</f>
        <v/>
      </c>
      <c r="R330" s="45"/>
      <c r="S330" s="45"/>
      <c r="T330" s="46" t="str">
        <f>_xlfn.XLOOKUP(E330,Models!I:I,Models!J:J,"")</f>
        <v/>
      </c>
      <c r="U330" s="45"/>
      <c r="V330" s="45"/>
      <c r="W330" s="38"/>
    </row>
    <row r="331" spans="1:23">
      <c r="A331" s="45" t="str">
        <f>_xlfn.TEXTJOIN("",TRUE,Input!$B$2,ROW(My_Audit!A330))</f>
        <v>XX330</v>
      </c>
      <c r="B331" s="45" t="str">
        <f>_xlfn.TEXTJOIN("-",TRUE,"ITD",Input!$A$2,A331)</f>
        <v>ITD-SHRXXX-XX330</v>
      </c>
      <c r="C331" s="45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46" t="str" cm="1">
        <f t="array" ref="D331">IFERROR(_xlfn.LET(
_xlpm.CSVVal,_xlfn.XLOOKUP($A331,CSV!$A:$A,CSV!C:C,""),
_xlpm.MacVal,_xlfn.XLOOKUP($A331,Output_Mac!$A:$A,Output_Mac!D:D,""),
_xlpm.MyAuditVal,_xlfn.XLOOKUP($A331,My_Audit!$A:$A,My_Audit!C:C,""),
_xlfn.IFS(_xlpm.MyAuditVal&lt;&gt;"",UPPER(_xlpm.MyAuditVal),_xlpm.MacVal&lt;&gt;"",_xlpm.MacVal,_xlpm.CSVVal&lt;&gt;"",_xlpm.CSVVal
)),"")</f>
        <v/>
      </c>
      <c r="E331" s="46" t="str" cm="1">
        <f t="array" ref="E331">IFERROR(_xlfn.LET(
_xlpm.CSVVal,_xlfn.XLOOKUP($A331,CSV!$A:$A,CSV!E:E,""),
_xlpm.MacVal,_xlfn.XLOOKUP($A331,Output_Mac!$A:$A,Output_Mac!C:C,""),
_xlpm.MyAuditVal,_xlfn.XLOOKUP($A331,My_Audit!$A:$A,My_Audit!D:D,""),
_xlfn.IFS(_xlpm.MyAuditVal&lt;&gt;"",_xlpm.MyAuditVal,_xlpm.MacVal&lt;&gt;"",_xlpm.MacVal,_xlpm.CSVVal&lt;&gt;"",_xlpm.CSVVal
)),"")</f>
        <v/>
      </c>
      <c r="F331" s="45" t="str" cm="1">
        <f t="array" ref="F331">IFERROR(_xlfn.LET(
_xlpm.CSVVal,_xlfn.XLOOKUP($A331,CSV!$A:$A,CSV!F:F,""),
_xlpm.MacVal,_xlfn.XLOOKUP($A331,Output_Mac!$A:$A,Output_Mac!F:F,""),
_xlpm.MyAuditVal,_xlfn.XLOOKUP($A331,My_Audit!$A:$A,My_Audit!E:E,""),
_xlfn.IFS(_xlpm.MyAuditVal&lt;&gt;"",_xlpm.MyAuditVal,_xlpm.MacVal&lt;&gt;"",_xlpm.MacVal,_xlpm.CSVVal&lt;&gt;"",PROPER(_xlpm.CSVVal)
)),"")</f>
        <v/>
      </c>
      <c r="G331" s="45" t="str" cm="1">
        <f t="array" ref="G331">IFERROR(_xlfn.LET(
_xlpm.CSVVal,_xlfn.XLOOKUP($A331,CSV!$A:$A,CSV!G:G,""),
_xlpm.MacVal,_xlfn.XLOOKUP($A331,Output_Mac!$A:$A,Output_Mac!H:H,""),
_xlpm.MyAuditVal,_xlfn.XLOOKUP($A331,My_Audit!$A:$A,My_Audit!F:F,""),
_xlfn.IFS(_xlpm.MyAuditVal&lt;&gt;"",_xlpm.MyAuditVal,_xlpm.MacVal&lt;&gt;"",_xlpm.MacVal,_xlpm.CSVVal&lt;&gt;"",_xlpm.CSVVal
)),"")</f>
        <v/>
      </c>
      <c r="H331" s="45" t="str">
        <f>_xlfn.XLOOKUP(A331,Output_Mac!A:A,Output_Mac!I:I,"")</f>
        <v/>
      </c>
      <c r="I331" s="45" t="str" cm="1">
        <f t="array" ref="I331">IFERROR(_xlfn.LET(
_xlpm.CSVVal,_xlfn.XLOOKUP($A331,CSV!$A:$A,CSV!H:H,""),
_xlpm.MacVal,_xlfn.XLOOKUP($A331,Output_Mac!$A:$A,Output_Mac!J:J,""),
_xlpm.MyAuditVal,_xlfn.XLOOKUP($A331,My_Audit!$A:$A,My_Audit!H:H,""),
_xlfn.IFS(_xlpm.MyAuditVal&lt;&gt;"",UPPER(_xlpm.MyAuditVal),_xlpm.MacVal&lt;&gt;"",_xlpm.MacVal,_xlpm.CSVVal&lt;&gt;"",_xlpm.CSVVal
)),"")</f>
        <v/>
      </c>
      <c r="J331" s="45" t="str" cm="1">
        <f t="array" ref="J331">IFERROR(_xlfn.LET(
_xlpm.CSVVal,_xlfn.XLOOKUP($A331,CSV!$A:$A,CSV!J:J,""),
_xlpm.MacVal,_xlfn.XLOOKUP($A331,Output_Mac!$A:$A,Output_Mac!K:K,""),
_xlpm.MyAuditVal,_xlfn.XLOOKUP($A331,My_Audit!$A:$A,My_Audit!I:I,""),
_xlfn.IFS(_xlpm.MyAuditVal&lt;&gt;"",UPPER(_xlpm.MyAuditVal),_xlpm.MacVal&lt;&gt;"",_xlpm.MacVal,_xlpm.CSVVal&lt;&gt;"",_xlpm.CSVVal
)),"")</f>
        <v/>
      </c>
      <c r="K331" s="45" t="str" cm="1">
        <f t="array" ref="K331">IFERROR(_xlfn.LET(
_xlpm.CSVVal,_xlfn.XLOOKUP($A331,CSV!$A:$A,CSV!N:N,""),
_xlpm.MacVal,_xlfn.XLOOKUP($A331,Output_Mac!$A:$A,Output_Mac!L:L,""),
_xlpm.MyAuditVal,_xlfn.XLOOKUP($A331,My_Audit!$A:$A,My_Audit!J:J,""),
_xlfn.IFS(_xlpm.MyAuditVal&lt;&gt;"",UPPER(_xlpm.MyAuditVal),_xlpm.MacVal&lt;&gt;"",_xlpm.MacVal,_xlpm.CSVVal&lt;&gt;"",_xlpm.CSVVal
)),"")</f>
        <v/>
      </c>
      <c r="L331" s="46" t="str" cm="1">
        <f t="array" ref="L331">IFERROR(_xlfn.LET(
_xlpm.CSVVal,_xlfn.XLOOKUP($A331,CSV!$A:$A,CSV!Q:Q,""),
_xlpm.MacVal,_xlfn.XLOOKUP($A331,Output_Mac!$A:$A,Output_Mac!M:M,""),
_xlpm.MyAuditVal,_xlfn.XLOOKUP($A331,My_Audit!$A:$A,My_Audit!K:K,""),
_xlfn.IFS(_xlpm.MyAuditVal&lt;&gt;"",UPPER(_xlpm.MyAuditVal),_xlpm.MacVal&lt;&gt;"",_xlpm.MacVal,_xlpm.CSVVal&lt;&gt;"",_xlpm.CSVVal
)),"")</f>
        <v/>
      </c>
      <c r="M331" s="45" t="str">
        <f>_xlfn.LET(
    _xlpm.CSVVal, _xlfn.XLOOKUP($A331, CSV!$A:$A, CSV!AE:AE, ""),
    _xlpm.MacVal, _xlfn.XLOOKUP($A331, Output_Mac!$A:$A, Output_Mac!S:S, ""),
    _xlpm.MyAuditVal, _xlfn.XLOOKUP($A331, My_Audit!$A:$A, My_Audit!N:N, ""),
    _xlfn.TEXTJOIN(", ", TRUE, _xlpm.MyAuditVal, _xlpm.MacVal, _xlpm.CSVVal)
)</f>
        <v/>
      </c>
      <c r="N331" s="45" t="str" cm="1">
        <f t="array" ref="N331">IFERROR(_xlfn.LET(
_xlpm.CSVVal,_xlfn.XLOOKUP($A331,CSV!$A:$A,CSV!AG:AG,""),
_xlpm.MacVal,_xlfn.XLOOKUP($A331,Output_Mac!$A:$A,Output_Mac!U:U,""),
_xlpm.MyAuditVal,_xlfn.XLOOKUP($A331,My_Audit!$A:$A,My_Audit!O:O,""),
_xlfn.IFS(_xlpm.MyAuditVal&lt;&gt;"",UPPER(_xlpm.MyAuditVal),_xlpm.MacVal&lt;&gt;"",_xlpm.MacVal,_xlpm.CSVVal&lt;&gt;"",_xlpm.CSVVal
)),"")</f>
        <v/>
      </c>
      <c r="O331" s="46" t="str">
        <f>_xlfn.XLOOKUP(C331,My_Audit!B:B,My_Audit!P:P,"")&amp;""</f>
        <v/>
      </c>
      <c r="P331" s="45"/>
      <c r="Q331" s="46" t="str">
        <f>IF(LEFT(N331,4)="Pass","Nist SP 800-88",My_Audit!R331)&amp;""</f>
        <v/>
      </c>
      <c r="R331" s="45"/>
      <c r="S331" s="45"/>
      <c r="T331" s="46" t="str">
        <f>_xlfn.XLOOKUP(E331,Models!I:I,Models!J:J,"")</f>
        <v/>
      </c>
      <c r="U331" s="45"/>
      <c r="V331" s="45"/>
      <c r="W331" s="38"/>
    </row>
    <row r="332" spans="1:23">
      <c r="A332" s="45" t="str">
        <f>_xlfn.TEXTJOIN("",TRUE,Input!$B$2,ROW(My_Audit!A331))</f>
        <v>XX331</v>
      </c>
      <c r="B332" s="45" t="str">
        <f>_xlfn.TEXTJOIN("-",TRUE,"ITD",Input!$A$2,A332)</f>
        <v>ITD-SHRXXX-XX331</v>
      </c>
      <c r="C332" s="45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46" t="str" cm="1">
        <f t="array" ref="D332">IFERROR(_xlfn.LET(
_xlpm.CSVVal,_xlfn.XLOOKUP($A332,CSV!$A:$A,CSV!C:C,""),
_xlpm.MacVal,_xlfn.XLOOKUP($A332,Output_Mac!$A:$A,Output_Mac!D:D,""),
_xlpm.MyAuditVal,_xlfn.XLOOKUP($A332,My_Audit!$A:$A,My_Audit!C:C,""),
_xlfn.IFS(_xlpm.MyAuditVal&lt;&gt;"",UPPER(_xlpm.MyAuditVal),_xlpm.MacVal&lt;&gt;"",_xlpm.MacVal,_xlpm.CSVVal&lt;&gt;"",_xlpm.CSVVal
)),"")</f>
        <v/>
      </c>
      <c r="E332" s="46" t="str" cm="1">
        <f t="array" ref="E332">IFERROR(_xlfn.LET(
_xlpm.CSVVal,_xlfn.XLOOKUP($A332,CSV!$A:$A,CSV!E:E,""),
_xlpm.MacVal,_xlfn.XLOOKUP($A332,Output_Mac!$A:$A,Output_Mac!C:C,""),
_xlpm.MyAuditVal,_xlfn.XLOOKUP($A332,My_Audit!$A:$A,My_Audit!D:D,""),
_xlfn.IFS(_xlpm.MyAuditVal&lt;&gt;"",_xlpm.MyAuditVal,_xlpm.MacVal&lt;&gt;"",_xlpm.MacVal,_xlpm.CSVVal&lt;&gt;"",_xlpm.CSVVal
)),"")</f>
        <v/>
      </c>
      <c r="F332" s="45" t="str" cm="1">
        <f t="array" ref="F332">IFERROR(_xlfn.LET(
_xlpm.CSVVal,_xlfn.XLOOKUP($A332,CSV!$A:$A,CSV!F:F,""),
_xlpm.MacVal,_xlfn.XLOOKUP($A332,Output_Mac!$A:$A,Output_Mac!F:F,""),
_xlpm.MyAuditVal,_xlfn.XLOOKUP($A332,My_Audit!$A:$A,My_Audit!E:E,""),
_xlfn.IFS(_xlpm.MyAuditVal&lt;&gt;"",_xlpm.MyAuditVal,_xlpm.MacVal&lt;&gt;"",_xlpm.MacVal,_xlpm.CSVVal&lt;&gt;"",PROPER(_xlpm.CSVVal)
)),"")</f>
        <v/>
      </c>
      <c r="G332" s="45" t="str" cm="1">
        <f t="array" ref="G332">IFERROR(_xlfn.LET(
_xlpm.CSVVal,_xlfn.XLOOKUP($A332,CSV!$A:$A,CSV!G:G,""),
_xlpm.MacVal,_xlfn.XLOOKUP($A332,Output_Mac!$A:$A,Output_Mac!H:H,""),
_xlpm.MyAuditVal,_xlfn.XLOOKUP($A332,My_Audit!$A:$A,My_Audit!F:F,""),
_xlfn.IFS(_xlpm.MyAuditVal&lt;&gt;"",_xlpm.MyAuditVal,_xlpm.MacVal&lt;&gt;"",_xlpm.MacVal,_xlpm.CSVVal&lt;&gt;"",_xlpm.CSVVal
)),"")</f>
        <v/>
      </c>
      <c r="H332" s="45" t="str">
        <f>_xlfn.XLOOKUP(A332,Output_Mac!A:A,Output_Mac!I:I,"")</f>
        <v/>
      </c>
      <c r="I332" s="45" t="str" cm="1">
        <f t="array" ref="I332">IFERROR(_xlfn.LET(
_xlpm.CSVVal,_xlfn.XLOOKUP($A332,CSV!$A:$A,CSV!H:H,""),
_xlpm.MacVal,_xlfn.XLOOKUP($A332,Output_Mac!$A:$A,Output_Mac!J:J,""),
_xlpm.MyAuditVal,_xlfn.XLOOKUP($A332,My_Audit!$A:$A,My_Audit!H:H,""),
_xlfn.IFS(_xlpm.MyAuditVal&lt;&gt;"",UPPER(_xlpm.MyAuditVal),_xlpm.MacVal&lt;&gt;"",_xlpm.MacVal,_xlpm.CSVVal&lt;&gt;"",_xlpm.CSVVal
)),"")</f>
        <v/>
      </c>
      <c r="J332" s="45" t="str" cm="1">
        <f t="array" ref="J332">IFERROR(_xlfn.LET(
_xlpm.CSVVal,_xlfn.XLOOKUP($A332,CSV!$A:$A,CSV!J:J,""),
_xlpm.MacVal,_xlfn.XLOOKUP($A332,Output_Mac!$A:$A,Output_Mac!K:K,""),
_xlpm.MyAuditVal,_xlfn.XLOOKUP($A332,My_Audit!$A:$A,My_Audit!I:I,""),
_xlfn.IFS(_xlpm.MyAuditVal&lt;&gt;"",UPPER(_xlpm.MyAuditVal),_xlpm.MacVal&lt;&gt;"",_xlpm.MacVal,_xlpm.CSVVal&lt;&gt;"",_xlpm.CSVVal
)),"")</f>
        <v/>
      </c>
      <c r="K332" s="45" t="str" cm="1">
        <f t="array" ref="K332">IFERROR(_xlfn.LET(
_xlpm.CSVVal,_xlfn.XLOOKUP($A332,CSV!$A:$A,CSV!N:N,""),
_xlpm.MacVal,_xlfn.XLOOKUP($A332,Output_Mac!$A:$A,Output_Mac!L:L,""),
_xlpm.MyAuditVal,_xlfn.XLOOKUP($A332,My_Audit!$A:$A,My_Audit!J:J,""),
_xlfn.IFS(_xlpm.MyAuditVal&lt;&gt;"",UPPER(_xlpm.MyAuditVal),_xlpm.MacVal&lt;&gt;"",_xlpm.MacVal,_xlpm.CSVVal&lt;&gt;"",_xlpm.CSVVal
)),"")</f>
        <v/>
      </c>
      <c r="L332" s="46" t="str" cm="1">
        <f t="array" ref="L332">IFERROR(_xlfn.LET(
_xlpm.CSVVal,_xlfn.XLOOKUP($A332,CSV!$A:$A,CSV!Q:Q,""),
_xlpm.MacVal,_xlfn.XLOOKUP($A332,Output_Mac!$A:$A,Output_Mac!M:M,""),
_xlpm.MyAuditVal,_xlfn.XLOOKUP($A332,My_Audit!$A:$A,My_Audit!K:K,""),
_xlfn.IFS(_xlpm.MyAuditVal&lt;&gt;"",UPPER(_xlpm.MyAuditVal),_xlpm.MacVal&lt;&gt;"",_xlpm.MacVal,_xlpm.CSVVal&lt;&gt;"",_xlpm.CSVVal
)),"")</f>
        <v/>
      </c>
      <c r="M332" s="45" t="str">
        <f>_xlfn.LET(
    _xlpm.CSVVal, _xlfn.XLOOKUP($A332, CSV!$A:$A, CSV!AE:AE, ""),
    _xlpm.MacVal, _xlfn.XLOOKUP($A332, Output_Mac!$A:$A, Output_Mac!S:S, ""),
    _xlpm.MyAuditVal, _xlfn.XLOOKUP($A332, My_Audit!$A:$A, My_Audit!N:N, ""),
    _xlfn.TEXTJOIN(", ", TRUE, _xlpm.MyAuditVal, _xlpm.MacVal, _xlpm.CSVVal)
)</f>
        <v/>
      </c>
      <c r="N332" s="45" t="str" cm="1">
        <f t="array" ref="N332">IFERROR(_xlfn.LET(
_xlpm.CSVVal,_xlfn.XLOOKUP($A332,CSV!$A:$A,CSV!AG:AG,""),
_xlpm.MacVal,_xlfn.XLOOKUP($A332,Output_Mac!$A:$A,Output_Mac!U:U,""),
_xlpm.MyAuditVal,_xlfn.XLOOKUP($A332,My_Audit!$A:$A,My_Audit!O:O,""),
_xlfn.IFS(_xlpm.MyAuditVal&lt;&gt;"",UPPER(_xlpm.MyAuditVal),_xlpm.MacVal&lt;&gt;"",_xlpm.MacVal,_xlpm.CSVVal&lt;&gt;"",_xlpm.CSVVal
)),"")</f>
        <v/>
      </c>
      <c r="O332" s="46" t="str">
        <f>_xlfn.XLOOKUP(C332,My_Audit!B:B,My_Audit!P:P,"")&amp;""</f>
        <v/>
      </c>
      <c r="P332" s="45"/>
      <c r="Q332" s="46" t="str">
        <f>IF(LEFT(N332,4)="Pass","Nist SP 800-88",My_Audit!R332)&amp;""</f>
        <v/>
      </c>
      <c r="R332" s="45"/>
      <c r="S332" s="45"/>
      <c r="T332" s="46" t="str">
        <f>_xlfn.XLOOKUP(E332,Models!I:I,Models!J:J,"")</f>
        <v/>
      </c>
      <c r="U332" s="45"/>
      <c r="V332" s="45"/>
      <c r="W332" s="38"/>
    </row>
    <row r="333" spans="1:23">
      <c r="A333" s="45" t="str">
        <f>_xlfn.TEXTJOIN("",TRUE,Input!$B$2,ROW(My_Audit!A332))</f>
        <v>XX332</v>
      </c>
      <c r="B333" s="45" t="str">
        <f>_xlfn.TEXTJOIN("-",TRUE,"ITD",Input!$A$2,A333)</f>
        <v>ITD-SHRXXX-XX332</v>
      </c>
      <c r="C333" s="45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46" t="str" cm="1">
        <f t="array" ref="D333">IFERROR(_xlfn.LET(
_xlpm.CSVVal,_xlfn.XLOOKUP($A333,CSV!$A:$A,CSV!C:C,""),
_xlpm.MacVal,_xlfn.XLOOKUP($A333,Output_Mac!$A:$A,Output_Mac!D:D,""),
_xlpm.MyAuditVal,_xlfn.XLOOKUP($A333,My_Audit!$A:$A,My_Audit!C:C,""),
_xlfn.IFS(_xlpm.MyAuditVal&lt;&gt;"",UPPER(_xlpm.MyAuditVal),_xlpm.MacVal&lt;&gt;"",_xlpm.MacVal,_xlpm.CSVVal&lt;&gt;"",_xlpm.CSVVal
)),"")</f>
        <v/>
      </c>
      <c r="E333" s="46" t="str" cm="1">
        <f t="array" ref="E333">IFERROR(_xlfn.LET(
_xlpm.CSVVal,_xlfn.XLOOKUP($A333,CSV!$A:$A,CSV!E:E,""),
_xlpm.MacVal,_xlfn.XLOOKUP($A333,Output_Mac!$A:$A,Output_Mac!C:C,""),
_xlpm.MyAuditVal,_xlfn.XLOOKUP($A333,My_Audit!$A:$A,My_Audit!D:D,""),
_xlfn.IFS(_xlpm.MyAuditVal&lt;&gt;"",_xlpm.MyAuditVal,_xlpm.MacVal&lt;&gt;"",_xlpm.MacVal,_xlpm.CSVVal&lt;&gt;"",_xlpm.CSVVal
)),"")</f>
        <v/>
      </c>
      <c r="F333" s="45" t="str" cm="1">
        <f t="array" ref="F333">IFERROR(_xlfn.LET(
_xlpm.CSVVal,_xlfn.XLOOKUP($A333,CSV!$A:$A,CSV!F:F,""),
_xlpm.MacVal,_xlfn.XLOOKUP($A333,Output_Mac!$A:$A,Output_Mac!F:F,""),
_xlpm.MyAuditVal,_xlfn.XLOOKUP($A333,My_Audit!$A:$A,My_Audit!E:E,""),
_xlfn.IFS(_xlpm.MyAuditVal&lt;&gt;"",_xlpm.MyAuditVal,_xlpm.MacVal&lt;&gt;"",_xlpm.MacVal,_xlpm.CSVVal&lt;&gt;"",PROPER(_xlpm.CSVVal)
)),"")</f>
        <v/>
      </c>
      <c r="G333" s="45" t="str" cm="1">
        <f t="array" ref="G333">IFERROR(_xlfn.LET(
_xlpm.CSVVal,_xlfn.XLOOKUP($A333,CSV!$A:$A,CSV!G:G,""),
_xlpm.MacVal,_xlfn.XLOOKUP($A333,Output_Mac!$A:$A,Output_Mac!H:H,""),
_xlpm.MyAuditVal,_xlfn.XLOOKUP($A333,My_Audit!$A:$A,My_Audit!F:F,""),
_xlfn.IFS(_xlpm.MyAuditVal&lt;&gt;"",_xlpm.MyAuditVal,_xlpm.MacVal&lt;&gt;"",_xlpm.MacVal,_xlpm.CSVVal&lt;&gt;"",_xlpm.CSVVal
)),"")</f>
        <v/>
      </c>
      <c r="H333" s="45" t="str">
        <f>_xlfn.XLOOKUP(A333,Output_Mac!A:A,Output_Mac!I:I,"")</f>
        <v/>
      </c>
      <c r="I333" s="45" t="str" cm="1">
        <f t="array" ref="I333">IFERROR(_xlfn.LET(
_xlpm.CSVVal,_xlfn.XLOOKUP($A333,CSV!$A:$A,CSV!H:H,""),
_xlpm.MacVal,_xlfn.XLOOKUP($A333,Output_Mac!$A:$A,Output_Mac!J:J,""),
_xlpm.MyAuditVal,_xlfn.XLOOKUP($A333,My_Audit!$A:$A,My_Audit!H:H,""),
_xlfn.IFS(_xlpm.MyAuditVal&lt;&gt;"",UPPER(_xlpm.MyAuditVal),_xlpm.MacVal&lt;&gt;"",_xlpm.MacVal,_xlpm.CSVVal&lt;&gt;"",_xlpm.CSVVal
)),"")</f>
        <v/>
      </c>
      <c r="J333" s="45" t="str" cm="1">
        <f t="array" ref="J333">IFERROR(_xlfn.LET(
_xlpm.CSVVal,_xlfn.XLOOKUP($A333,CSV!$A:$A,CSV!J:J,""),
_xlpm.MacVal,_xlfn.XLOOKUP($A333,Output_Mac!$A:$A,Output_Mac!K:K,""),
_xlpm.MyAuditVal,_xlfn.XLOOKUP($A333,My_Audit!$A:$A,My_Audit!I:I,""),
_xlfn.IFS(_xlpm.MyAuditVal&lt;&gt;"",UPPER(_xlpm.MyAuditVal),_xlpm.MacVal&lt;&gt;"",_xlpm.MacVal,_xlpm.CSVVal&lt;&gt;"",_xlpm.CSVVal
)),"")</f>
        <v/>
      </c>
      <c r="K333" s="45" t="str" cm="1">
        <f t="array" ref="K333">IFERROR(_xlfn.LET(
_xlpm.CSVVal,_xlfn.XLOOKUP($A333,CSV!$A:$A,CSV!N:N,""),
_xlpm.MacVal,_xlfn.XLOOKUP($A333,Output_Mac!$A:$A,Output_Mac!L:L,""),
_xlpm.MyAuditVal,_xlfn.XLOOKUP($A333,My_Audit!$A:$A,My_Audit!J:J,""),
_xlfn.IFS(_xlpm.MyAuditVal&lt;&gt;"",UPPER(_xlpm.MyAuditVal),_xlpm.MacVal&lt;&gt;"",_xlpm.MacVal,_xlpm.CSVVal&lt;&gt;"",_xlpm.CSVVal
)),"")</f>
        <v/>
      </c>
      <c r="L333" s="46" t="str" cm="1">
        <f t="array" ref="L333">IFERROR(_xlfn.LET(
_xlpm.CSVVal,_xlfn.XLOOKUP($A333,CSV!$A:$A,CSV!Q:Q,""),
_xlpm.MacVal,_xlfn.XLOOKUP($A333,Output_Mac!$A:$A,Output_Mac!M:M,""),
_xlpm.MyAuditVal,_xlfn.XLOOKUP($A333,My_Audit!$A:$A,My_Audit!K:K,""),
_xlfn.IFS(_xlpm.MyAuditVal&lt;&gt;"",UPPER(_xlpm.MyAuditVal),_xlpm.MacVal&lt;&gt;"",_xlpm.MacVal,_xlpm.CSVVal&lt;&gt;"",_xlpm.CSVVal
)),"")</f>
        <v/>
      </c>
      <c r="M333" s="45" t="str">
        <f>_xlfn.LET(
    _xlpm.CSVVal, _xlfn.XLOOKUP($A333, CSV!$A:$A, CSV!AE:AE, ""),
    _xlpm.MacVal, _xlfn.XLOOKUP($A333, Output_Mac!$A:$A, Output_Mac!S:S, ""),
    _xlpm.MyAuditVal, _xlfn.XLOOKUP($A333, My_Audit!$A:$A, My_Audit!N:N, ""),
    _xlfn.TEXTJOIN(", ", TRUE, _xlpm.MyAuditVal, _xlpm.MacVal, _xlpm.CSVVal)
)</f>
        <v/>
      </c>
      <c r="N333" s="45" t="str" cm="1">
        <f t="array" ref="N333">IFERROR(_xlfn.LET(
_xlpm.CSVVal,_xlfn.XLOOKUP($A333,CSV!$A:$A,CSV!AG:AG,""),
_xlpm.MacVal,_xlfn.XLOOKUP($A333,Output_Mac!$A:$A,Output_Mac!U:U,""),
_xlpm.MyAuditVal,_xlfn.XLOOKUP($A333,My_Audit!$A:$A,My_Audit!O:O,""),
_xlfn.IFS(_xlpm.MyAuditVal&lt;&gt;"",UPPER(_xlpm.MyAuditVal),_xlpm.MacVal&lt;&gt;"",_xlpm.MacVal,_xlpm.CSVVal&lt;&gt;"",_xlpm.CSVVal
)),"")</f>
        <v/>
      </c>
      <c r="O333" s="46" t="str">
        <f>_xlfn.XLOOKUP(C333,My_Audit!B:B,My_Audit!P:P,"")&amp;""</f>
        <v/>
      </c>
      <c r="P333" s="45"/>
      <c r="Q333" s="46" t="str">
        <f>IF(LEFT(N333,4)="Pass","Nist SP 800-88",My_Audit!R333)&amp;""</f>
        <v/>
      </c>
      <c r="R333" s="45"/>
      <c r="S333" s="45"/>
      <c r="T333" s="46" t="str">
        <f>_xlfn.XLOOKUP(E333,Models!I:I,Models!J:J,"")</f>
        <v/>
      </c>
      <c r="U333" s="45"/>
      <c r="V333" s="45"/>
      <c r="W333" s="38"/>
    </row>
    <row r="334" spans="1:23">
      <c r="A334" s="45" t="str">
        <f>_xlfn.TEXTJOIN("",TRUE,Input!$B$2,ROW(My_Audit!A333))</f>
        <v>XX333</v>
      </c>
      <c r="B334" s="45" t="str">
        <f>_xlfn.TEXTJOIN("-",TRUE,"ITD",Input!$A$2,A334)</f>
        <v>ITD-SHRXXX-XX333</v>
      </c>
      <c r="C334" s="45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46" t="str" cm="1">
        <f t="array" ref="D334">IFERROR(_xlfn.LET(
_xlpm.CSVVal,_xlfn.XLOOKUP($A334,CSV!$A:$A,CSV!C:C,""),
_xlpm.MacVal,_xlfn.XLOOKUP($A334,Output_Mac!$A:$A,Output_Mac!D:D,""),
_xlpm.MyAuditVal,_xlfn.XLOOKUP($A334,My_Audit!$A:$A,My_Audit!C:C,""),
_xlfn.IFS(_xlpm.MyAuditVal&lt;&gt;"",UPPER(_xlpm.MyAuditVal),_xlpm.MacVal&lt;&gt;"",_xlpm.MacVal,_xlpm.CSVVal&lt;&gt;"",_xlpm.CSVVal
)),"")</f>
        <v/>
      </c>
      <c r="E334" s="46" t="str" cm="1">
        <f t="array" ref="E334">IFERROR(_xlfn.LET(
_xlpm.CSVVal,_xlfn.XLOOKUP($A334,CSV!$A:$A,CSV!E:E,""),
_xlpm.MacVal,_xlfn.XLOOKUP($A334,Output_Mac!$A:$A,Output_Mac!C:C,""),
_xlpm.MyAuditVal,_xlfn.XLOOKUP($A334,My_Audit!$A:$A,My_Audit!D:D,""),
_xlfn.IFS(_xlpm.MyAuditVal&lt;&gt;"",_xlpm.MyAuditVal,_xlpm.MacVal&lt;&gt;"",_xlpm.MacVal,_xlpm.CSVVal&lt;&gt;"",_xlpm.CSVVal
)),"")</f>
        <v/>
      </c>
      <c r="F334" s="45" t="str" cm="1">
        <f t="array" ref="F334">IFERROR(_xlfn.LET(
_xlpm.CSVVal,_xlfn.XLOOKUP($A334,CSV!$A:$A,CSV!F:F,""),
_xlpm.MacVal,_xlfn.XLOOKUP($A334,Output_Mac!$A:$A,Output_Mac!F:F,""),
_xlpm.MyAuditVal,_xlfn.XLOOKUP($A334,My_Audit!$A:$A,My_Audit!E:E,""),
_xlfn.IFS(_xlpm.MyAuditVal&lt;&gt;"",_xlpm.MyAuditVal,_xlpm.MacVal&lt;&gt;"",_xlpm.MacVal,_xlpm.CSVVal&lt;&gt;"",PROPER(_xlpm.CSVVal)
)),"")</f>
        <v/>
      </c>
      <c r="G334" s="45" t="str" cm="1">
        <f t="array" ref="G334">IFERROR(_xlfn.LET(
_xlpm.CSVVal,_xlfn.XLOOKUP($A334,CSV!$A:$A,CSV!G:G,""),
_xlpm.MacVal,_xlfn.XLOOKUP($A334,Output_Mac!$A:$A,Output_Mac!H:H,""),
_xlpm.MyAuditVal,_xlfn.XLOOKUP($A334,My_Audit!$A:$A,My_Audit!F:F,""),
_xlfn.IFS(_xlpm.MyAuditVal&lt;&gt;"",_xlpm.MyAuditVal,_xlpm.MacVal&lt;&gt;"",_xlpm.MacVal,_xlpm.CSVVal&lt;&gt;"",_xlpm.CSVVal
)),"")</f>
        <v/>
      </c>
      <c r="H334" s="45" t="str">
        <f>_xlfn.XLOOKUP(A334,Output_Mac!A:A,Output_Mac!I:I,"")</f>
        <v/>
      </c>
      <c r="I334" s="45" t="str" cm="1">
        <f t="array" ref="I334">IFERROR(_xlfn.LET(
_xlpm.CSVVal,_xlfn.XLOOKUP($A334,CSV!$A:$A,CSV!H:H,""),
_xlpm.MacVal,_xlfn.XLOOKUP($A334,Output_Mac!$A:$A,Output_Mac!J:J,""),
_xlpm.MyAuditVal,_xlfn.XLOOKUP($A334,My_Audit!$A:$A,My_Audit!H:H,""),
_xlfn.IFS(_xlpm.MyAuditVal&lt;&gt;"",UPPER(_xlpm.MyAuditVal),_xlpm.MacVal&lt;&gt;"",_xlpm.MacVal,_xlpm.CSVVal&lt;&gt;"",_xlpm.CSVVal
)),"")</f>
        <v/>
      </c>
      <c r="J334" s="45" t="str" cm="1">
        <f t="array" ref="J334">IFERROR(_xlfn.LET(
_xlpm.CSVVal,_xlfn.XLOOKUP($A334,CSV!$A:$A,CSV!J:J,""),
_xlpm.MacVal,_xlfn.XLOOKUP($A334,Output_Mac!$A:$A,Output_Mac!K:K,""),
_xlpm.MyAuditVal,_xlfn.XLOOKUP($A334,My_Audit!$A:$A,My_Audit!I:I,""),
_xlfn.IFS(_xlpm.MyAuditVal&lt;&gt;"",UPPER(_xlpm.MyAuditVal),_xlpm.MacVal&lt;&gt;"",_xlpm.MacVal,_xlpm.CSVVal&lt;&gt;"",_xlpm.CSVVal
)),"")</f>
        <v/>
      </c>
      <c r="K334" s="45" t="str" cm="1">
        <f t="array" ref="K334">IFERROR(_xlfn.LET(
_xlpm.CSVVal,_xlfn.XLOOKUP($A334,CSV!$A:$A,CSV!N:N,""),
_xlpm.MacVal,_xlfn.XLOOKUP($A334,Output_Mac!$A:$A,Output_Mac!L:L,""),
_xlpm.MyAuditVal,_xlfn.XLOOKUP($A334,My_Audit!$A:$A,My_Audit!J:J,""),
_xlfn.IFS(_xlpm.MyAuditVal&lt;&gt;"",UPPER(_xlpm.MyAuditVal),_xlpm.MacVal&lt;&gt;"",_xlpm.MacVal,_xlpm.CSVVal&lt;&gt;"",_xlpm.CSVVal
)),"")</f>
        <v/>
      </c>
      <c r="L334" s="46" t="str" cm="1">
        <f t="array" ref="L334">IFERROR(_xlfn.LET(
_xlpm.CSVVal,_xlfn.XLOOKUP($A334,CSV!$A:$A,CSV!Q:Q,""),
_xlpm.MacVal,_xlfn.XLOOKUP($A334,Output_Mac!$A:$A,Output_Mac!M:M,""),
_xlpm.MyAuditVal,_xlfn.XLOOKUP($A334,My_Audit!$A:$A,My_Audit!K:K,""),
_xlfn.IFS(_xlpm.MyAuditVal&lt;&gt;"",UPPER(_xlpm.MyAuditVal),_xlpm.MacVal&lt;&gt;"",_xlpm.MacVal,_xlpm.CSVVal&lt;&gt;"",_xlpm.CSVVal
)),"")</f>
        <v/>
      </c>
      <c r="M334" s="45" t="str">
        <f>_xlfn.LET(
    _xlpm.CSVVal, _xlfn.XLOOKUP($A334, CSV!$A:$A, CSV!AE:AE, ""),
    _xlpm.MacVal, _xlfn.XLOOKUP($A334, Output_Mac!$A:$A, Output_Mac!S:S, ""),
    _xlpm.MyAuditVal, _xlfn.XLOOKUP($A334, My_Audit!$A:$A, My_Audit!N:N, ""),
    _xlfn.TEXTJOIN(", ", TRUE, _xlpm.MyAuditVal, _xlpm.MacVal, _xlpm.CSVVal)
)</f>
        <v/>
      </c>
      <c r="N334" s="45" t="str" cm="1">
        <f t="array" ref="N334">IFERROR(_xlfn.LET(
_xlpm.CSVVal,_xlfn.XLOOKUP($A334,CSV!$A:$A,CSV!AG:AG,""),
_xlpm.MacVal,_xlfn.XLOOKUP($A334,Output_Mac!$A:$A,Output_Mac!U:U,""),
_xlpm.MyAuditVal,_xlfn.XLOOKUP($A334,My_Audit!$A:$A,My_Audit!O:O,""),
_xlfn.IFS(_xlpm.MyAuditVal&lt;&gt;"",UPPER(_xlpm.MyAuditVal),_xlpm.MacVal&lt;&gt;"",_xlpm.MacVal,_xlpm.CSVVal&lt;&gt;"",_xlpm.CSVVal
)),"")</f>
        <v/>
      </c>
      <c r="O334" s="46" t="str">
        <f>_xlfn.XLOOKUP(C334,My_Audit!B:B,My_Audit!P:P,"")&amp;""</f>
        <v/>
      </c>
      <c r="P334" s="45"/>
      <c r="Q334" s="46" t="str">
        <f>IF(LEFT(N334,4)="Pass","Nist SP 800-88",My_Audit!R334)&amp;""</f>
        <v/>
      </c>
      <c r="R334" s="45"/>
      <c r="S334" s="45"/>
      <c r="T334" s="46" t="str">
        <f>_xlfn.XLOOKUP(E334,Models!I:I,Models!J:J,"")</f>
        <v/>
      </c>
      <c r="U334" s="45"/>
      <c r="V334" s="45"/>
      <c r="W334" s="38"/>
    </row>
    <row r="335" spans="1:23">
      <c r="A335" s="45" t="str">
        <f>_xlfn.TEXTJOIN("",TRUE,Input!$B$2,ROW(My_Audit!A334))</f>
        <v>XX334</v>
      </c>
      <c r="B335" s="45" t="str">
        <f>_xlfn.TEXTJOIN("-",TRUE,"ITD",Input!$A$2,A335)</f>
        <v>ITD-SHRXXX-XX334</v>
      </c>
      <c r="C335" s="45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46" t="str" cm="1">
        <f t="array" ref="D335">IFERROR(_xlfn.LET(
_xlpm.CSVVal,_xlfn.XLOOKUP($A335,CSV!$A:$A,CSV!C:C,""),
_xlpm.MacVal,_xlfn.XLOOKUP($A335,Output_Mac!$A:$A,Output_Mac!D:D,""),
_xlpm.MyAuditVal,_xlfn.XLOOKUP($A335,My_Audit!$A:$A,My_Audit!C:C,""),
_xlfn.IFS(_xlpm.MyAuditVal&lt;&gt;"",UPPER(_xlpm.MyAuditVal),_xlpm.MacVal&lt;&gt;"",_xlpm.MacVal,_xlpm.CSVVal&lt;&gt;"",_xlpm.CSVVal
)),"")</f>
        <v/>
      </c>
      <c r="E335" s="46" t="str" cm="1">
        <f t="array" ref="E335">IFERROR(_xlfn.LET(
_xlpm.CSVVal,_xlfn.XLOOKUP($A335,CSV!$A:$A,CSV!E:E,""),
_xlpm.MacVal,_xlfn.XLOOKUP($A335,Output_Mac!$A:$A,Output_Mac!C:C,""),
_xlpm.MyAuditVal,_xlfn.XLOOKUP($A335,My_Audit!$A:$A,My_Audit!D:D,""),
_xlfn.IFS(_xlpm.MyAuditVal&lt;&gt;"",_xlpm.MyAuditVal,_xlpm.MacVal&lt;&gt;"",_xlpm.MacVal,_xlpm.CSVVal&lt;&gt;"",_xlpm.CSVVal
)),"")</f>
        <v/>
      </c>
      <c r="F335" s="45" t="str" cm="1">
        <f t="array" ref="F335">IFERROR(_xlfn.LET(
_xlpm.CSVVal,_xlfn.XLOOKUP($A335,CSV!$A:$A,CSV!F:F,""),
_xlpm.MacVal,_xlfn.XLOOKUP($A335,Output_Mac!$A:$A,Output_Mac!F:F,""),
_xlpm.MyAuditVal,_xlfn.XLOOKUP($A335,My_Audit!$A:$A,My_Audit!E:E,""),
_xlfn.IFS(_xlpm.MyAuditVal&lt;&gt;"",_xlpm.MyAuditVal,_xlpm.MacVal&lt;&gt;"",_xlpm.MacVal,_xlpm.CSVVal&lt;&gt;"",PROPER(_xlpm.CSVVal)
)),"")</f>
        <v/>
      </c>
      <c r="G335" s="45" t="str" cm="1">
        <f t="array" ref="G335">IFERROR(_xlfn.LET(
_xlpm.CSVVal,_xlfn.XLOOKUP($A335,CSV!$A:$A,CSV!G:G,""),
_xlpm.MacVal,_xlfn.XLOOKUP($A335,Output_Mac!$A:$A,Output_Mac!H:H,""),
_xlpm.MyAuditVal,_xlfn.XLOOKUP($A335,My_Audit!$A:$A,My_Audit!F:F,""),
_xlfn.IFS(_xlpm.MyAuditVal&lt;&gt;"",_xlpm.MyAuditVal,_xlpm.MacVal&lt;&gt;"",_xlpm.MacVal,_xlpm.CSVVal&lt;&gt;"",_xlpm.CSVVal
)),"")</f>
        <v/>
      </c>
      <c r="H335" s="45" t="str">
        <f>_xlfn.XLOOKUP(A335,Output_Mac!A:A,Output_Mac!I:I,"")</f>
        <v/>
      </c>
      <c r="I335" s="45" t="str" cm="1">
        <f t="array" ref="I335">IFERROR(_xlfn.LET(
_xlpm.CSVVal,_xlfn.XLOOKUP($A335,CSV!$A:$A,CSV!H:H,""),
_xlpm.MacVal,_xlfn.XLOOKUP($A335,Output_Mac!$A:$A,Output_Mac!J:J,""),
_xlpm.MyAuditVal,_xlfn.XLOOKUP($A335,My_Audit!$A:$A,My_Audit!H:H,""),
_xlfn.IFS(_xlpm.MyAuditVal&lt;&gt;"",UPPER(_xlpm.MyAuditVal),_xlpm.MacVal&lt;&gt;"",_xlpm.MacVal,_xlpm.CSVVal&lt;&gt;"",_xlpm.CSVVal
)),"")</f>
        <v/>
      </c>
      <c r="J335" s="45" t="str" cm="1">
        <f t="array" ref="J335">IFERROR(_xlfn.LET(
_xlpm.CSVVal,_xlfn.XLOOKUP($A335,CSV!$A:$A,CSV!J:J,""),
_xlpm.MacVal,_xlfn.XLOOKUP($A335,Output_Mac!$A:$A,Output_Mac!K:K,""),
_xlpm.MyAuditVal,_xlfn.XLOOKUP($A335,My_Audit!$A:$A,My_Audit!I:I,""),
_xlfn.IFS(_xlpm.MyAuditVal&lt;&gt;"",UPPER(_xlpm.MyAuditVal),_xlpm.MacVal&lt;&gt;"",_xlpm.MacVal,_xlpm.CSVVal&lt;&gt;"",_xlpm.CSVVal
)),"")</f>
        <v/>
      </c>
      <c r="K335" s="45" t="str" cm="1">
        <f t="array" ref="K335">IFERROR(_xlfn.LET(
_xlpm.CSVVal,_xlfn.XLOOKUP($A335,CSV!$A:$A,CSV!N:N,""),
_xlpm.MacVal,_xlfn.XLOOKUP($A335,Output_Mac!$A:$A,Output_Mac!L:L,""),
_xlpm.MyAuditVal,_xlfn.XLOOKUP($A335,My_Audit!$A:$A,My_Audit!J:J,""),
_xlfn.IFS(_xlpm.MyAuditVal&lt;&gt;"",UPPER(_xlpm.MyAuditVal),_xlpm.MacVal&lt;&gt;"",_xlpm.MacVal,_xlpm.CSVVal&lt;&gt;"",_xlpm.CSVVal
)),"")</f>
        <v/>
      </c>
      <c r="L335" s="46" t="str" cm="1">
        <f t="array" ref="L335">IFERROR(_xlfn.LET(
_xlpm.CSVVal,_xlfn.XLOOKUP($A335,CSV!$A:$A,CSV!Q:Q,""),
_xlpm.MacVal,_xlfn.XLOOKUP($A335,Output_Mac!$A:$A,Output_Mac!M:M,""),
_xlpm.MyAuditVal,_xlfn.XLOOKUP($A335,My_Audit!$A:$A,My_Audit!K:K,""),
_xlfn.IFS(_xlpm.MyAuditVal&lt;&gt;"",UPPER(_xlpm.MyAuditVal),_xlpm.MacVal&lt;&gt;"",_xlpm.MacVal,_xlpm.CSVVal&lt;&gt;"",_xlpm.CSVVal
)),"")</f>
        <v/>
      </c>
      <c r="M335" s="45" t="str">
        <f>_xlfn.LET(
    _xlpm.CSVVal, _xlfn.XLOOKUP($A335, CSV!$A:$A, CSV!AE:AE, ""),
    _xlpm.MacVal, _xlfn.XLOOKUP($A335, Output_Mac!$A:$A, Output_Mac!S:S, ""),
    _xlpm.MyAuditVal, _xlfn.XLOOKUP($A335, My_Audit!$A:$A, My_Audit!N:N, ""),
    _xlfn.TEXTJOIN(", ", TRUE, _xlpm.MyAuditVal, _xlpm.MacVal, _xlpm.CSVVal)
)</f>
        <v/>
      </c>
      <c r="N335" s="45" t="str" cm="1">
        <f t="array" ref="N335">IFERROR(_xlfn.LET(
_xlpm.CSVVal,_xlfn.XLOOKUP($A335,CSV!$A:$A,CSV!AG:AG,""),
_xlpm.MacVal,_xlfn.XLOOKUP($A335,Output_Mac!$A:$A,Output_Mac!U:U,""),
_xlpm.MyAuditVal,_xlfn.XLOOKUP($A335,My_Audit!$A:$A,My_Audit!O:O,""),
_xlfn.IFS(_xlpm.MyAuditVal&lt;&gt;"",UPPER(_xlpm.MyAuditVal),_xlpm.MacVal&lt;&gt;"",_xlpm.MacVal,_xlpm.CSVVal&lt;&gt;"",_xlpm.CSVVal
)),"")</f>
        <v/>
      </c>
      <c r="O335" s="46" t="str">
        <f>_xlfn.XLOOKUP(C335,My_Audit!B:B,My_Audit!P:P,"")&amp;""</f>
        <v/>
      </c>
      <c r="P335" s="45"/>
      <c r="Q335" s="46" t="str">
        <f>IF(LEFT(N335,4)="Pass","Nist SP 800-88",My_Audit!R335)&amp;""</f>
        <v/>
      </c>
      <c r="R335" s="45"/>
      <c r="S335" s="45"/>
      <c r="T335" s="46" t="str">
        <f>_xlfn.XLOOKUP(E335,Models!I:I,Models!J:J,"")</f>
        <v/>
      </c>
      <c r="U335" s="45"/>
      <c r="V335" s="45"/>
      <c r="W335" s="38"/>
    </row>
    <row r="336" spans="1:23">
      <c r="A336" s="45" t="str">
        <f>_xlfn.TEXTJOIN("",TRUE,Input!$B$2,ROW(My_Audit!A335))</f>
        <v>XX335</v>
      </c>
      <c r="B336" s="45" t="str">
        <f>_xlfn.TEXTJOIN("-",TRUE,"ITD",Input!$A$2,A336)</f>
        <v>ITD-SHRXXX-XX335</v>
      </c>
      <c r="C336" s="45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46" t="str" cm="1">
        <f t="array" ref="D336">IFERROR(_xlfn.LET(
_xlpm.CSVVal,_xlfn.XLOOKUP($A336,CSV!$A:$A,CSV!C:C,""),
_xlpm.MacVal,_xlfn.XLOOKUP($A336,Output_Mac!$A:$A,Output_Mac!D:D,""),
_xlpm.MyAuditVal,_xlfn.XLOOKUP($A336,My_Audit!$A:$A,My_Audit!C:C,""),
_xlfn.IFS(_xlpm.MyAuditVal&lt;&gt;"",UPPER(_xlpm.MyAuditVal),_xlpm.MacVal&lt;&gt;"",_xlpm.MacVal,_xlpm.CSVVal&lt;&gt;"",_xlpm.CSVVal
)),"")</f>
        <v/>
      </c>
      <c r="E336" s="46" t="str" cm="1">
        <f t="array" ref="E336">IFERROR(_xlfn.LET(
_xlpm.CSVVal,_xlfn.XLOOKUP($A336,CSV!$A:$A,CSV!E:E,""),
_xlpm.MacVal,_xlfn.XLOOKUP($A336,Output_Mac!$A:$A,Output_Mac!C:C,""),
_xlpm.MyAuditVal,_xlfn.XLOOKUP($A336,My_Audit!$A:$A,My_Audit!D:D,""),
_xlfn.IFS(_xlpm.MyAuditVal&lt;&gt;"",_xlpm.MyAuditVal,_xlpm.MacVal&lt;&gt;"",_xlpm.MacVal,_xlpm.CSVVal&lt;&gt;"",_xlpm.CSVVal
)),"")</f>
        <v/>
      </c>
      <c r="F336" s="45" t="str" cm="1">
        <f t="array" ref="F336">IFERROR(_xlfn.LET(
_xlpm.CSVVal,_xlfn.XLOOKUP($A336,CSV!$A:$A,CSV!F:F,""),
_xlpm.MacVal,_xlfn.XLOOKUP($A336,Output_Mac!$A:$A,Output_Mac!F:F,""),
_xlpm.MyAuditVal,_xlfn.XLOOKUP($A336,My_Audit!$A:$A,My_Audit!E:E,""),
_xlfn.IFS(_xlpm.MyAuditVal&lt;&gt;"",_xlpm.MyAuditVal,_xlpm.MacVal&lt;&gt;"",_xlpm.MacVal,_xlpm.CSVVal&lt;&gt;"",PROPER(_xlpm.CSVVal)
)),"")</f>
        <v/>
      </c>
      <c r="G336" s="45" t="str" cm="1">
        <f t="array" ref="G336">IFERROR(_xlfn.LET(
_xlpm.CSVVal,_xlfn.XLOOKUP($A336,CSV!$A:$A,CSV!G:G,""),
_xlpm.MacVal,_xlfn.XLOOKUP($A336,Output_Mac!$A:$A,Output_Mac!H:H,""),
_xlpm.MyAuditVal,_xlfn.XLOOKUP($A336,My_Audit!$A:$A,My_Audit!F:F,""),
_xlfn.IFS(_xlpm.MyAuditVal&lt;&gt;"",_xlpm.MyAuditVal,_xlpm.MacVal&lt;&gt;"",_xlpm.MacVal,_xlpm.CSVVal&lt;&gt;"",_xlpm.CSVVal
)),"")</f>
        <v/>
      </c>
      <c r="H336" s="45" t="str">
        <f>_xlfn.XLOOKUP(A336,Output_Mac!A:A,Output_Mac!I:I,"")</f>
        <v/>
      </c>
      <c r="I336" s="45" t="str" cm="1">
        <f t="array" ref="I336">IFERROR(_xlfn.LET(
_xlpm.CSVVal,_xlfn.XLOOKUP($A336,CSV!$A:$A,CSV!H:H,""),
_xlpm.MacVal,_xlfn.XLOOKUP($A336,Output_Mac!$A:$A,Output_Mac!J:J,""),
_xlpm.MyAuditVal,_xlfn.XLOOKUP($A336,My_Audit!$A:$A,My_Audit!H:H,""),
_xlfn.IFS(_xlpm.MyAuditVal&lt;&gt;"",UPPER(_xlpm.MyAuditVal),_xlpm.MacVal&lt;&gt;"",_xlpm.MacVal,_xlpm.CSVVal&lt;&gt;"",_xlpm.CSVVal
)),"")</f>
        <v/>
      </c>
      <c r="J336" s="45" t="str" cm="1">
        <f t="array" ref="J336">IFERROR(_xlfn.LET(
_xlpm.CSVVal,_xlfn.XLOOKUP($A336,CSV!$A:$A,CSV!J:J,""),
_xlpm.MacVal,_xlfn.XLOOKUP($A336,Output_Mac!$A:$A,Output_Mac!K:K,""),
_xlpm.MyAuditVal,_xlfn.XLOOKUP($A336,My_Audit!$A:$A,My_Audit!I:I,""),
_xlfn.IFS(_xlpm.MyAuditVal&lt;&gt;"",UPPER(_xlpm.MyAuditVal),_xlpm.MacVal&lt;&gt;"",_xlpm.MacVal,_xlpm.CSVVal&lt;&gt;"",_xlpm.CSVVal
)),"")</f>
        <v/>
      </c>
      <c r="K336" s="45" t="str" cm="1">
        <f t="array" ref="K336">IFERROR(_xlfn.LET(
_xlpm.CSVVal,_xlfn.XLOOKUP($A336,CSV!$A:$A,CSV!N:N,""),
_xlpm.MacVal,_xlfn.XLOOKUP($A336,Output_Mac!$A:$A,Output_Mac!L:L,""),
_xlpm.MyAuditVal,_xlfn.XLOOKUP($A336,My_Audit!$A:$A,My_Audit!J:J,""),
_xlfn.IFS(_xlpm.MyAuditVal&lt;&gt;"",UPPER(_xlpm.MyAuditVal),_xlpm.MacVal&lt;&gt;"",_xlpm.MacVal,_xlpm.CSVVal&lt;&gt;"",_xlpm.CSVVal
)),"")</f>
        <v/>
      </c>
      <c r="L336" s="46" t="str" cm="1">
        <f t="array" ref="L336">IFERROR(_xlfn.LET(
_xlpm.CSVVal,_xlfn.XLOOKUP($A336,CSV!$A:$A,CSV!Q:Q,""),
_xlpm.MacVal,_xlfn.XLOOKUP($A336,Output_Mac!$A:$A,Output_Mac!M:M,""),
_xlpm.MyAuditVal,_xlfn.XLOOKUP($A336,My_Audit!$A:$A,My_Audit!K:K,""),
_xlfn.IFS(_xlpm.MyAuditVal&lt;&gt;"",UPPER(_xlpm.MyAuditVal),_xlpm.MacVal&lt;&gt;"",_xlpm.MacVal,_xlpm.CSVVal&lt;&gt;"",_xlpm.CSVVal
)),"")</f>
        <v/>
      </c>
      <c r="M336" s="45" t="str">
        <f>_xlfn.LET(
    _xlpm.CSVVal, _xlfn.XLOOKUP($A336, CSV!$A:$A, CSV!AE:AE, ""),
    _xlpm.MacVal, _xlfn.XLOOKUP($A336, Output_Mac!$A:$A, Output_Mac!S:S, ""),
    _xlpm.MyAuditVal, _xlfn.XLOOKUP($A336, My_Audit!$A:$A, My_Audit!N:N, ""),
    _xlfn.TEXTJOIN(", ", TRUE, _xlpm.MyAuditVal, _xlpm.MacVal, _xlpm.CSVVal)
)</f>
        <v/>
      </c>
      <c r="N336" s="45" t="str" cm="1">
        <f t="array" ref="N336">IFERROR(_xlfn.LET(
_xlpm.CSVVal,_xlfn.XLOOKUP($A336,CSV!$A:$A,CSV!AG:AG,""),
_xlpm.MacVal,_xlfn.XLOOKUP($A336,Output_Mac!$A:$A,Output_Mac!U:U,""),
_xlpm.MyAuditVal,_xlfn.XLOOKUP($A336,My_Audit!$A:$A,My_Audit!O:O,""),
_xlfn.IFS(_xlpm.MyAuditVal&lt;&gt;"",UPPER(_xlpm.MyAuditVal),_xlpm.MacVal&lt;&gt;"",_xlpm.MacVal,_xlpm.CSVVal&lt;&gt;"",_xlpm.CSVVal
)),"")</f>
        <v/>
      </c>
      <c r="O336" s="46" t="str">
        <f>_xlfn.XLOOKUP(C336,My_Audit!B:B,My_Audit!P:P,"")&amp;""</f>
        <v/>
      </c>
      <c r="P336" s="45"/>
      <c r="Q336" s="46" t="str">
        <f>IF(LEFT(N336,4)="Pass","Nist SP 800-88",My_Audit!R336)&amp;""</f>
        <v/>
      </c>
      <c r="R336" s="45"/>
      <c r="S336" s="45"/>
      <c r="T336" s="46" t="str">
        <f>_xlfn.XLOOKUP(E336,Models!I:I,Models!J:J,"")</f>
        <v/>
      </c>
      <c r="U336" s="45"/>
      <c r="V336" s="45"/>
      <c r="W336" s="38"/>
    </row>
    <row r="337" spans="1:23">
      <c r="A337" s="45" t="str">
        <f>_xlfn.TEXTJOIN("",TRUE,Input!$B$2,ROW(My_Audit!A336))</f>
        <v>XX336</v>
      </c>
      <c r="B337" s="45" t="str">
        <f>_xlfn.TEXTJOIN("-",TRUE,"ITD",Input!$A$2,A337)</f>
        <v>ITD-SHRXXX-XX336</v>
      </c>
      <c r="C337" s="45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46" t="str" cm="1">
        <f t="array" ref="D337">IFERROR(_xlfn.LET(
_xlpm.CSVVal,_xlfn.XLOOKUP($A337,CSV!$A:$A,CSV!C:C,""),
_xlpm.MacVal,_xlfn.XLOOKUP($A337,Output_Mac!$A:$A,Output_Mac!D:D,""),
_xlpm.MyAuditVal,_xlfn.XLOOKUP($A337,My_Audit!$A:$A,My_Audit!C:C,""),
_xlfn.IFS(_xlpm.MyAuditVal&lt;&gt;"",UPPER(_xlpm.MyAuditVal),_xlpm.MacVal&lt;&gt;"",_xlpm.MacVal,_xlpm.CSVVal&lt;&gt;"",_xlpm.CSVVal
)),"")</f>
        <v/>
      </c>
      <c r="E337" s="46" t="str" cm="1">
        <f t="array" ref="E337">IFERROR(_xlfn.LET(
_xlpm.CSVVal,_xlfn.XLOOKUP($A337,CSV!$A:$A,CSV!E:E,""),
_xlpm.MacVal,_xlfn.XLOOKUP($A337,Output_Mac!$A:$A,Output_Mac!C:C,""),
_xlpm.MyAuditVal,_xlfn.XLOOKUP($A337,My_Audit!$A:$A,My_Audit!D:D,""),
_xlfn.IFS(_xlpm.MyAuditVal&lt;&gt;"",_xlpm.MyAuditVal,_xlpm.MacVal&lt;&gt;"",_xlpm.MacVal,_xlpm.CSVVal&lt;&gt;"",_xlpm.CSVVal
)),"")</f>
        <v/>
      </c>
      <c r="F337" s="45" t="str" cm="1">
        <f t="array" ref="F337">IFERROR(_xlfn.LET(
_xlpm.CSVVal,_xlfn.XLOOKUP($A337,CSV!$A:$A,CSV!F:F,""),
_xlpm.MacVal,_xlfn.XLOOKUP($A337,Output_Mac!$A:$A,Output_Mac!F:F,""),
_xlpm.MyAuditVal,_xlfn.XLOOKUP($A337,My_Audit!$A:$A,My_Audit!E:E,""),
_xlfn.IFS(_xlpm.MyAuditVal&lt;&gt;"",_xlpm.MyAuditVal,_xlpm.MacVal&lt;&gt;"",_xlpm.MacVal,_xlpm.CSVVal&lt;&gt;"",PROPER(_xlpm.CSVVal)
)),"")</f>
        <v/>
      </c>
      <c r="G337" s="45" t="str" cm="1">
        <f t="array" ref="G337">IFERROR(_xlfn.LET(
_xlpm.CSVVal,_xlfn.XLOOKUP($A337,CSV!$A:$A,CSV!G:G,""),
_xlpm.MacVal,_xlfn.XLOOKUP($A337,Output_Mac!$A:$A,Output_Mac!H:H,""),
_xlpm.MyAuditVal,_xlfn.XLOOKUP($A337,My_Audit!$A:$A,My_Audit!F:F,""),
_xlfn.IFS(_xlpm.MyAuditVal&lt;&gt;"",_xlpm.MyAuditVal,_xlpm.MacVal&lt;&gt;"",_xlpm.MacVal,_xlpm.CSVVal&lt;&gt;"",_xlpm.CSVVal
)),"")</f>
        <v/>
      </c>
      <c r="H337" s="45" t="str">
        <f>_xlfn.XLOOKUP(A337,Output_Mac!A:A,Output_Mac!I:I,"")</f>
        <v/>
      </c>
      <c r="I337" s="45" t="str" cm="1">
        <f t="array" ref="I337">IFERROR(_xlfn.LET(
_xlpm.CSVVal,_xlfn.XLOOKUP($A337,CSV!$A:$A,CSV!H:H,""),
_xlpm.MacVal,_xlfn.XLOOKUP($A337,Output_Mac!$A:$A,Output_Mac!J:J,""),
_xlpm.MyAuditVal,_xlfn.XLOOKUP($A337,My_Audit!$A:$A,My_Audit!H:H,""),
_xlfn.IFS(_xlpm.MyAuditVal&lt;&gt;"",UPPER(_xlpm.MyAuditVal),_xlpm.MacVal&lt;&gt;"",_xlpm.MacVal,_xlpm.CSVVal&lt;&gt;"",_xlpm.CSVVal
)),"")</f>
        <v/>
      </c>
      <c r="J337" s="45" t="str" cm="1">
        <f t="array" ref="J337">IFERROR(_xlfn.LET(
_xlpm.CSVVal,_xlfn.XLOOKUP($A337,CSV!$A:$A,CSV!J:J,""),
_xlpm.MacVal,_xlfn.XLOOKUP($A337,Output_Mac!$A:$A,Output_Mac!K:K,""),
_xlpm.MyAuditVal,_xlfn.XLOOKUP($A337,My_Audit!$A:$A,My_Audit!I:I,""),
_xlfn.IFS(_xlpm.MyAuditVal&lt;&gt;"",UPPER(_xlpm.MyAuditVal),_xlpm.MacVal&lt;&gt;"",_xlpm.MacVal,_xlpm.CSVVal&lt;&gt;"",_xlpm.CSVVal
)),"")</f>
        <v/>
      </c>
      <c r="K337" s="45" t="str" cm="1">
        <f t="array" ref="K337">IFERROR(_xlfn.LET(
_xlpm.CSVVal,_xlfn.XLOOKUP($A337,CSV!$A:$A,CSV!N:N,""),
_xlpm.MacVal,_xlfn.XLOOKUP($A337,Output_Mac!$A:$A,Output_Mac!L:L,""),
_xlpm.MyAuditVal,_xlfn.XLOOKUP($A337,My_Audit!$A:$A,My_Audit!J:J,""),
_xlfn.IFS(_xlpm.MyAuditVal&lt;&gt;"",UPPER(_xlpm.MyAuditVal),_xlpm.MacVal&lt;&gt;"",_xlpm.MacVal,_xlpm.CSVVal&lt;&gt;"",_xlpm.CSVVal
)),"")</f>
        <v/>
      </c>
      <c r="L337" s="46" t="str" cm="1">
        <f t="array" ref="L337">IFERROR(_xlfn.LET(
_xlpm.CSVVal,_xlfn.XLOOKUP($A337,CSV!$A:$A,CSV!Q:Q,""),
_xlpm.MacVal,_xlfn.XLOOKUP($A337,Output_Mac!$A:$A,Output_Mac!M:M,""),
_xlpm.MyAuditVal,_xlfn.XLOOKUP($A337,My_Audit!$A:$A,My_Audit!K:K,""),
_xlfn.IFS(_xlpm.MyAuditVal&lt;&gt;"",UPPER(_xlpm.MyAuditVal),_xlpm.MacVal&lt;&gt;"",_xlpm.MacVal,_xlpm.CSVVal&lt;&gt;"",_xlpm.CSVVal
)),"")</f>
        <v/>
      </c>
      <c r="M337" s="45" t="str">
        <f>_xlfn.LET(
    _xlpm.CSVVal, _xlfn.XLOOKUP($A337, CSV!$A:$A, CSV!AE:AE, ""),
    _xlpm.MacVal, _xlfn.XLOOKUP($A337, Output_Mac!$A:$A, Output_Mac!S:S, ""),
    _xlpm.MyAuditVal, _xlfn.XLOOKUP($A337, My_Audit!$A:$A, My_Audit!N:N, ""),
    _xlfn.TEXTJOIN(", ", TRUE, _xlpm.MyAuditVal, _xlpm.MacVal, _xlpm.CSVVal)
)</f>
        <v/>
      </c>
      <c r="N337" s="45" t="str" cm="1">
        <f t="array" ref="N337">IFERROR(_xlfn.LET(
_xlpm.CSVVal,_xlfn.XLOOKUP($A337,CSV!$A:$A,CSV!AG:AG,""),
_xlpm.MacVal,_xlfn.XLOOKUP($A337,Output_Mac!$A:$A,Output_Mac!U:U,""),
_xlpm.MyAuditVal,_xlfn.XLOOKUP($A337,My_Audit!$A:$A,My_Audit!O:O,""),
_xlfn.IFS(_xlpm.MyAuditVal&lt;&gt;"",UPPER(_xlpm.MyAuditVal),_xlpm.MacVal&lt;&gt;"",_xlpm.MacVal,_xlpm.CSVVal&lt;&gt;"",_xlpm.CSVVal
)),"")</f>
        <v/>
      </c>
      <c r="O337" s="46" t="str">
        <f>_xlfn.XLOOKUP(C337,My_Audit!B:B,My_Audit!P:P,"")&amp;""</f>
        <v/>
      </c>
      <c r="P337" s="45"/>
      <c r="Q337" s="46" t="str">
        <f>IF(LEFT(N337,4)="Pass","Nist SP 800-88",My_Audit!R337)&amp;""</f>
        <v/>
      </c>
      <c r="R337" s="45"/>
      <c r="S337" s="45"/>
      <c r="T337" s="46" t="str">
        <f>_xlfn.XLOOKUP(E337,Models!I:I,Models!J:J,"")</f>
        <v/>
      </c>
      <c r="U337" s="45"/>
      <c r="V337" s="45"/>
      <c r="W337" s="38"/>
    </row>
    <row r="338" spans="1:23">
      <c r="A338" s="45" t="str">
        <f>_xlfn.TEXTJOIN("",TRUE,Input!$B$2,ROW(My_Audit!A337))</f>
        <v>XX337</v>
      </c>
      <c r="B338" s="45" t="str">
        <f>_xlfn.TEXTJOIN("-",TRUE,"ITD",Input!$A$2,A338)</f>
        <v>ITD-SHRXXX-XX337</v>
      </c>
      <c r="C338" s="45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46" t="str" cm="1">
        <f t="array" ref="D338">IFERROR(_xlfn.LET(
_xlpm.CSVVal,_xlfn.XLOOKUP($A338,CSV!$A:$A,CSV!C:C,""),
_xlpm.MacVal,_xlfn.XLOOKUP($A338,Output_Mac!$A:$A,Output_Mac!D:D,""),
_xlpm.MyAuditVal,_xlfn.XLOOKUP($A338,My_Audit!$A:$A,My_Audit!C:C,""),
_xlfn.IFS(_xlpm.MyAuditVal&lt;&gt;"",UPPER(_xlpm.MyAuditVal),_xlpm.MacVal&lt;&gt;"",_xlpm.MacVal,_xlpm.CSVVal&lt;&gt;"",_xlpm.CSVVal
)),"")</f>
        <v/>
      </c>
      <c r="E338" s="46" t="str" cm="1">
        <f t="array" ref="E338">IFERROR(_xlfn.LET(
_xlpm.CSVVal,_xlfn.XLOOKUP($A338,CSV!$A:$A,CSV!E:E,""),
_xlpm.MacVal,_xlfn.XLOOKUP($A338,Output_Mac!$A:$A,Output_Mac!C:C,""),
_xlpm.MyAuditVal,_xlfn.XLOOKUP($A338,My_Audit!$A:$A,My_Audit!D:D,""),
_xlfn.IFS(_xlpm.MyAuditVal&lt;&gt;"",_xlpm.MyAuditVal,_xlpm.MacVal&lt;&gt;"",_xlpm.MacVal,_xlpm.CSVVal&lt;&gt;"",_xlpm.CSVVal
)),"")</f>
        <v/>
      </c>
      <c r="F338" s="45" t="str" cm="1">
        <f t="array" ref="F338">IFERROR(_xlfn.LET(
_xlpm.CSVVal,_xlfn.XLOOKUP($A338,CSV!$A:$A,CSV!F:F,""),
_xlpm.MacVal,_xlfn.XLOOKUP($A338,Output_Mac!$A:$A,Output_Mac!F:F,""),
_xlpm.MyAuditVal,_xlfn.XLOOKUP($A338,My_Audit!$A:$A,My_Audit!E:E,""),
_xlfn.IFS(_xlpm.MyAuditVal&lt;&gt;"",_xlpm.MyAuditVal,_xlpm.MacVal&lt;&gt;"",_xlpm.MacVal,_xlpm.CSVVal&lt;&gt;"",PROPER(_xlpm.CSVVal)
)),"")</f>
        <v/>
      </c>
      <c r="G338" s="45" t="str" cm="1">
        <f t="array" ref="G338">IFERROR(_xlfn.LET(
_xlpm.CSVVal,_xlfn.XLOOKUP($A338,CSV!$A:$A,CSV!G:G,""),
_xlpm.MacVal,_xlfn.XLOOKUP($A338,Output_Mac!$A:$A,Output_Mac!H:H,""),
_xlpm.MyAuditVal,_xlfn.XLOOKUP($A338,My_Audit!$A:$A,My_Audit!F:F,""),
_xlfn.IFS(_xlpm.MyAuditVal&lt;&gt;"",_xlpm.MyAuditVal,_xlpm.MacVal&lt;&gt;"",_xlpm.MacVal,_xlpm.CSVVal&lt;&gt;"",_xlpm.CSVVal
)),"")</f>
        <v/>
      </c>
      <c r="H338" s="45" t="str">
        <f>_xlfn.XLOOKUP(A338,Output_Mac!A:A,Output_Mac!I:I,"")</f>
        <v/>
      </c>
      <c r="I338" s="45" t="str" cm="1">
        <f t="array" ref="I338">IFERROR(_xlfn.LET(
_xlpm.CSVVal,_xlfn.XLOOKUP($A338,CSV!$A:$A,CSV!H:H,""),
_xlpm.MacVal,_xlfn.XLOOKUP($A338,Output_Mac!$A:$A,Output_Mac!J:J,""),
_xlpm.MyAuditVal,_xlfn.XLOOKUP($A338,My_Audit!$A:$A,My_Audit!H:H,""),
_xlfn.IFS(_xlpm.MyAuditVal&lt;&gt;"",UPPER(_xlpm.MyAuditVal),_xlpm.MacVal&lt;&gt;"",_xlpm.MacVal,_xlpm.CSVVal&lt;&gt;"",_xlpm.CSVVal
)),"")</f>
        <v/>
      </c>
      <c r="J338" s="45" t="str" cm="1">
        <f t="array" ref="J338">IFERROR(_xlfn.LET(
_xlpm.CSVVal,_xlfn.XLOOKUP($A338,CSV!$A:$A,CSV!J:J,""),
_xlpm.MacVal,_xlfn.XLOOKUP($A338,Output_Mac!$A:$A,Output_Mac!K:K,""),
_xlpm.MyAuditVal,_xlfn.XLOOKUP($A338,My_Audit!$A:$A,My_Audit!I:I,""),
_xlfn.IFS(_xlpm.MyAuditVal&lt;&gt;"",UPPER(_xlpm.MyAuditVal),_xlpm.MacVal&lt;&gt;"",_xlpm.MacVal,_xlpm.CSVVal&lt;&gt;"",_xlpm.CSVVal
)),"")</f>
        <v/>
      </c>
      <c r="K338" s="45" t="str" cm="1">
        <f t="array" ref="K338">IFERROR(_xlfn.LET(
_xlpm.CSVVal,_xlfn.XLOOKUP($A338,CSV!$A:$A,CSV!N:N,""),
_xlpm.MacVal,_xlfn.XLOOKUP($A338,Output_Mac!$A:$A,Output_Mac!L:L,""),
_xlpm.MyAuditVal,_xlfn.XLOOKUP($A338,My_Audit!$A:$A,My_Audit!J:J,""),
_xlfn.IFS(_xlpm.MyAuditVal&lt;&gt;"",UPPER(_xlpm.MyAuditVal),_xlpm.MacVal&lt;&gt;"",_xlpm.MacVal,_xlpm.CSVVal&lt;&gt;"",_xlpm.CSVVal
)),"")</f>
        <v/>
      </c>
      <c r="L338" s="46" t="str" cm="1">
        <f t="array" ref="L338">IFERROR(_xlfn.LET(
_xlpm.CSVVal,_xlfn.XLOOKUP($A338,CSV!$A:$A,CSV!Q:Q,""),
_xlpm.MacVal,_xlfn.XLOOKUP($A338,Output_Mac!$A:$A,Output_Mac!M:M,""),
_xlpm.MyAuditVal,_xlfn.XLOOKUP($A338,My_Audit!$A:$A,My_Audit!K:K,""),
_xlfn.IFS(_xlpm.MyAuditVal&lt;&gt;"",UPPER(_xlpm.MyAuditVal),_xlpm.MacVal&lt;&gt;"",_xlpm.MacVal,_xlpm.CSVVal&lt;&gt;"",_xlpm.CSVVal
)),"")</f>
        <v/>
      </c>
      <c r="M338" s="45" t="str">
        <f>_xlfn.LET(
    _xlpm.CSVVal, _xlfn.XLOOKUP($A338, CSV!$A:$A, CSV!AE:AE, ""),
    _xlpm.MacVal, _xlfn.XLOOKUP($A338, Output_Mac!$A:$A, Output_Mac!S:S, ""),
    _xlpm.MyAuditVal, _xlfn.XLOOKUP($A338, My_Audit!$A:$A, My_Audit!N:N, ""),
    _xlfn.TEXTJOIN(", ", TRUE, _xlpm.MyAuditVal, _xlpm.MacVal, _xlpm.CSVVal)
)</f>
        <v/>
      </c>
      <c r="N338" s="45" t="str" cm="1">
        <f t="array" ref="N338">IFERROR(_xlfn.LET(
_xlpm.CSVVal,_xlfn.XLOOKUP($A338,CSV!$A:$A,CSV!AG:AG,""),
_xlpm.MacVal,_xlfn.XLOOKUP($A338,Output_Mac!$A:$A,Output_Mac!U:U,""),
_xlpm.MyAuditVal,_xlfn.XLOOKUP($A338,My_Audit!$A:$A,My_Audit!O:O,""),
_xlfn.IFS(_xlpm.MyAuditVal&lt;&gt;"",UPPER(_xlpm.MyAuditVal),_xlpm.MacVal&lt;&gt;"",_xlpm.MacVal,_xlpm.CSVVal&lt;&gt;"",_xlpm.CSVVal
)),"")</f>
        <v/>
      </c>
      <c r="O338" s="46" t="str">
        <f>_xlfn.XLOOKUP(C338,My_Audit!B:B,My_Audit!P:P,"")&amp;""</f>
        <v/>
      </c>
      <c r="P338" s="45"/>
      <c r="Q338" s="46" t="str">
        <f>IF(LEFT(N338,4)="Pass","Nist SP 800-88",My_Audit!R338)&amp;""</f>
        <v/>
      </c>
      <c r="R338" s="45"/>
      <c r="S338" s="45"/>
      <c r="T338" s="46" t="str">
        <f>_xlfn.XLOOKUP(E338,Models!I:I,Models!J:J,"")</f>
        <v/>
      </c>
      <c r="U338" s="45"/>
      <c r="V338" s="45"/>
      <c r="W338" s="38"/>
    </row>
    <row r="339" spans="1:23">
      <c r="A339" s="45" t="str">
        <f>_xlfn.TEXTJOIN("",TRUE,Input!$B$2,ROW(My_Audit!A338))</f>
        <v>XX338</v>
      </c>
      <c r="B339" s="45" t="str">
        <f>_xlfn.TEXTJOIN("-",TRUE,"ITD",Input!$A$2,A339)</f>
        <v>ITD-SHRXXX-XX338</v>
      </c>
      <c r="C339" s="45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46" t="str" cm="1">
        <f t="array" ref="D339">IFERROR(_xlfn.LET(
_xlpm.CSVVal,_xlfn.XLOOKUP($A339,CSV!$A:$A,CSV!C:C,""),
_xlpm.MacVal,_xlfn.XLOOKUP($A339,Output_Mac!$A:$A,Output_Mac!D:D,""),
_xlpm.MyAuditVal,_xlfn.XLOOKUP($A339,My_Audit!$A:$A,My_Audit!C:C,""),
_xlfn.IFS(_xlpm.MyAuditVal&lt;&gt;"",UPPER(_xlpm.MyAuditVal),_xlpm.MacVal&lt;&gt;"",_xlpm.MacVal,_xlpm.CSVVal&lt;&gt;"",_xlpm.CSVVal
)),"")</f>
        <v/>
      </c>
      <c r="E339" s="46" t="str" cm="1">
        <f t="array" ref="E339">IFERROR(_xlfn.LET(
_xlpm.CSVVal,_xlfn.XLOOKUP($A339,CSV!$A:$A,CSV!E:E,""),
_xlpm.MacVal,_xlfn.XLOOKUP($A339,Output_Mac!$A:$A,Output_Mac!C:C,""),
_xlpm.MyAuditVal,_xlfn.XLOOKUP($A339,My_Audit!$A:$A,My_Audit!D:D,""),
_xlfn.IFS(_xlpm.MyAuditVal&lt;&gt;"",_xlpm.MyAuditVal,_xlpm.MacVal&lt;&gt;"",_xlpm.MacVal,_xlpm.CSVVal&lt;&gt;"",_xlpm.CSVVal
)),"")</f>
        <v/>
      </c>
      <c r="F339" s="45" t="str" cm="1">
        <f t="array" ref="F339">IFERROR(_xlfn.LET(
_xlpm.CSVVal,_xlfn.XLOOKUP($A339,CSV!$A:$A,CSV!F:F,""),
_xlpm.MacVal,_xlfn.XLOOKUP($A339,Output_Mac!$A:$A,Output_Mac!F:F,""),
_xlpm.MyAuditVal,_xlfn.XLOOKUP($A339,My_Audit!$A:$A,My_Audit!E:E,""),
_xlfn.IFS(_xlpm.MyAuditVal&lt;&gt;"",_xlpm.MyAuditVal,_xlpm.MacVal&lt;&gt;"",_xlpm.MacVal,_xlpm.CSVVal&lt;&gt;"",PROPER(_xlpm.CSVVal)
)),"")</f>
        <v/>
      </c>
      <c r="G339" s="45" t="str" cm="1">
        <f t="array" ref="G339">IFERROR(_xlfn.LET(
_xlpm.CSVVal,_xlfn.XLOOKUP($A339,CSV!$A:$A,CSV!G:G,""),
_xlpm.MacVal,_xlfn.XLOOKUP($A339,Output_Mac!$A:$A,Output_Mac!H:H,""),
_xlpm.MyAuditVal,_xlfn.XLOOKUP($A339,My_Audit!$A:$A,My_Audit!F:F,""),
_xlfn.IFS(_xlpm.MyAuditVal&lt;&gt;"",_xlpm.MyAuditVal,_xlpm.MacVal&lt;&gt;"",_xlpm.MacVal,_xlpm.CSVVal&lt;&gt;"",_xlpm.CSVVal
)),"")</f>
        <v/>
      </c>
      <c r="H339" s="45" t="str">
        <f>_xlfn.XLOOKUP(A339,Output_Mac!A:A,Output_Mac!I:I,"")</f>
        <v/>
      </c>
      <c r="I339" s="45" t="str" cm="1">
        <f t="array" ref="I339">IFERROR(_xlfn.LET(
_xlpm.CSVVal,_xlfn.XLOOKUP($A339,CSV!$A:$A,CSV!H:H,""),
_xlpm.MacVal,_xlfn.XLOOKUP($A339,Output_Mac!$A:$A,Output_Mac!J:J,""),
_xlpm.MyAuditVal,_xlfn.XLOOKUP($A339,My_Audit!$A:$A,My_Audit!H:H,""),
_xlfn.IFS(_xlpm.MyAuditVal&lt;&gt;"",UPPER(_xlpm.MyAuditVal),_xlpm.MacVal&lt;&gt;"",_xlpm.MacVal,_xlpm.CSVVal&lt;&gt;"",_xlpm.CSVVal
)),"")</f>
        <v/>
      </c>
      <c r="J339" s="45" t="str" cm="1">
        <f t="array" ref="J339">IFERROR(_xlfn.LET(
_xlpm.CSVVal,_xlfn.XLOOKUP($A339,CSV!$A:$A,CSV!J:J,""),
_xlpm.MacVal,_xlfn.XLOOKUP($A339,Output_Mac!$A:$A,Output_Mac!K:K,""),
_xlpm.MyAuditVal,_xlfn.XLOOKUP($A339,My_Audit!$A:$A,My_Audit!I:I,""),
_xlfn.IFS(_xlpm.MyAuditVal&lt;&gt;"",UPPER(_xlpm.MyAuditVal),_xlpm.MacVal&lt;&gt;"",_xlpm.MacVal,_xlpm.CSVVal&lt;&gt;"",_xlpm.CSVVal
)),"")</f>
        <v/>
      </c>
      <c r="K339" s="45" t="str" cm="1">
        <f t="array" ref="K339">IFERROR(_xlfn.LET(
_xlpm.CSVVal,_xlfn.XLOOKUP($A339,CSV!$A:$A,CSV!N:N,""),
_xlpm.MacVal,_xlfn.XLOOKUP($A339,Output_Mac!$A:$A,Output_Mac!L:L,""),
_xlpm.MyAuditVal,_xlfn.XLOOKUP($A339,My_Audit!$A:$A,My_Audit!J:J,""),
_xlfn.IFS(_xlpm.MyAuditVal&lt;&gt;"",UPPER(_xlpm.MyAuditVal),_xlpm.MacVal&lt;&gt;"",_xlpm.MacVal,_xlpm.CSVVal&lt;&gt;"",_xlpm.CSVVal
)),"")</f>
        <v/>
      </c>
      <c r="L339" s="46" t="str" cm="1">
        <f t="array" ref="L339">IFERROR(_xlfn.LET(
_xlpm.CSVVal,_xlfn.XLOOKUP($A339,CSV!$A:$A,CSV!Q:Q,""),
_xlpm.MacVal,_xlfn.XLOOKUP($A339,Output_Mac!$A:$A,Output_Mac!M:M,""),
_xlpm.MyAuditVal,_xlfn.XLOOKUP($A339,My_Audit!$A:$A,My_Audit!K:K,""),
_xlfn.IFS(_xlpm.MyAuditVal&lt;&gt;"",UPPER(_xlpm.MyAuditVal),_xlpm.MacVal&lt;&gt;"",_xlpm.MacVal,_xlpm.CSVVal&lt;&gt;"",_xlpm.CSVVal
)),"")</f>
        <v/>
      </c>
      <c r="M339" s="45" t="str">
        <f>_xlfn.LET(
    _xlpm.CSVVal, _xlfn.XLOOKUP($A339, CSV!$A:$A, CSV!AE:AE, ""),
    _xlpm.MacVal, _xlfn.XLOOKUP($A339, Output_Mac!$A:$A, Output_Mac!S:S, ""),
    _xlpm.MyAuditVal, _xlfn.XLOOKUP($A339, My_Audit!$A:$A, My_Audit!N:N, ""),
    _xlfn.TEXTJOIN(", ", TRUE, _xlpm.MyAuditVal, _xlpm.MacVal, _xlpm.CSVVal)
)</f>
        <v/>
      </c>
      <c r="N339" s="45" t="str" cm="1">
        <f t="array" ref="N339">IFERROR(_xlfn.LET(
_xlpm.CSVVal,_xlfn.XLOOKUP($A339,CSV!$A:$A,CSV!AG:AG,""),
_xlpm.MacVal,_xlfn.XLOOKUP($A339,Output_Mac!$A:$A,Output_Mac!U:U,""),
_xlpm.MyAuditVal,_xlfn.XLOOKUP($A339,My_Audit!$A:$A,My_Audit!O:O,""),
_xlfn.IFS(_xlpm.MyAuditVal&lt;&gt;"",UPPER(_xlpm.MyAuditVal),_xlpm.MacVal&lt;&gt;"",_xlpm.MacVal,_xlpm.CSVVal&lt;&gt;"",_xlpm.CSVVal
)),"")</f>
        <v/>
      </c>
      <c r="O339" s="46" t="str">
        <f>_xlfn.XLOOKUP(C339,My_Audit!B:B,My_Audit!P:P,"")&amp;""</f>
        <v/>
      </c>
      <c r="P339" s="45"/>
      <c r="Q339" s="46" t="str">
        <f>IF(LEFT(N339,4)="Pass","Nist SP 800-88",My_Audit!R339)&amp;""</f>
        <v/>
      </c>
      <c r="R339" s="45"/>
      <c r="S339" s="45"/>
      <c r="T339" s="46" t="str">
        <f>_xlfn.XLOOKUP(E339,Models!I:I,Models!J:J,"")</f>
        <v/>
      </c>
      <c r="U339" s="45"/>
      <c r="V339" s="45"/>
      <c r="W339" s="38"/>
    </row>
    <row r="340" spans="1:23">
      <c r="A340" s="45" t="str">
        <f>_xlfn.TEXTJOIN("",TRUE,Input!$B$2,ROW(My_Audit!A339))</f>
        <v>XX339</v>
      </c>
      <c r="B340" s="45" t="str">
        <f>_xlfn.TEXTJOIN("-",TRUE,"ITD",Input!$A$2,A340)</f>
        <v>ITD-SHRXXX-XX339</v>
      </c>
      <c r="C340" s="45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46" t="str" cm="1">
        <f t="array" ref="D340">IFERROR(_xlfn.LET(
_xlpm.CSVVal,_xlfn.XLOOKUP($A340,CSV!$A:$A,CSV!C:C,""),
_xlpm.MacVal,_xlfn.XLOOKUP($A340,Output_Mac!$A:$A,Output_Mac!D:D,""),
_xlpm.MyAuditVal,_xlfn.XLOOKUP($A340,My_Audit!$A:$A,My_Audit!C:C,""),
_xlfn.IFS(_xlpm.MyAuditVal&lt;&gt;"",UPPER(_xlpm.MyAuditVal),_xlpm.MacVal&lt;&gt;"",_xlpm.MacVal,_xlpm.CSVVal&lt;&gt;"",_xlpm.CSVVal
)),"")</f>
        <v/>
      </c>
      <c r="E340" s="46" t="str" cm="1">
        <f t="array" ref="E340">IFERROR(_xlfn.LET(
_xlpm.CSVVal,_xlfn.XLOOKUP($A340,CSV!$A:$A,CSV!E:E,""),
_xlpm.MacVal,_xlfn.XLOOKUP($A340,Output_Mac!$A:$A,Output_Mac!C:C,""),
_xlpm.MyAuditVal,_xlfn.XLOOKUP($A340,My_Audit!$A:$A,My_Audit!D:D,""),
_xlfn.IFS(_xlpm.MyAuditVal&lt;&gt;"",_xlpm.MyAuditVal,_xlpm.MacVal&lt;&gt;"",_xlpm.MacVal,_xlpm.CSVVal&lt;&gt;"",_xlpm.CSVVal
)),"")</f>
        <v/>
      </c>
      <c r="F340" s="45" t="str" cm="1">
        <f t="array" ref="F340">IFERROR(_xlfn.LET(
_xlpm.CSVVal,_xlfn.XLOOKUP($A340,CSV!$A:$A,CSV!F:F,""),
_xlpm.MacVal,_xlfn.XLOOKUP($A340,Output_Mac!$A:$A,Output_Mac!F:F,""),
_xlpm.MyAuditVal,_xlfn.XLOOKUP($A340,My_Audit!$A:$A,My_Audit!E:E,""),
_xlfn.IFS(_xlpm.MyAuditVal&lt;&gt;"",_xlpm.MyAuditVal,_xlpm.MacVal&lt;&gt;"",_xlpm.MacVal,_xlpm.CSVVal&lt;&gt;"",PROPER(_xlpm.CSVVal)
)),"")</f>
        <v/>
      </c>
      <c r="G340" s="45" t="str" cm="1">
        <f t="array" ref="G340">IFERROR(_xlfn.LET(
_xlpm.CSVVal,_xlfn.XLOOKUP($A340,CSV!$A:$A,CSV!G:G,""),
_xlpm.MacVal,_xlfn.XLOOKUP($A340,Output_Mac!$A:$A,Output_Mac!H:H,""),
_xlpm.MyAuditVal,_xlfn.XLOOKUP($A340,My_Audit!$A:$A,My_Audit!F:F,""),
_xlfn.IFS(_xlpm.MyAuditVal&lt;&gt;"",_xlpm.MyAuditVal,_xlpm.MacVal&lt;&gt;"",_xlpm.MacVal,_xlpm.CSVVal&lt;&gt;"",_xlpm.CSVVal
)),"")</f>
        <v/>
      </c>
      <c r="H340" s="45" t="str">
        <f>_xlfn.XLOOKUP(A340,Output_Mac!A:A,Output_Mac!I:I,"")</f>
        <v/>
      </c>
      <c r="I340" s="45" t="str" cm="1">
        <f t="array" ref="I340">IFERROR(_xlfn.LET(
_xlpm.CSVVal,_xlfn.XLOOKUP($A340,CSV!$A:$A,CSV!H:H,""),
_xlpm.MacVal,_xlfn.XLOOKUP($A340,Output_Mac!$A:$A,Output_Mac!J:J,""),
_xlpm.MyAuditVal,_xlfn.XLOOKUP($A340,My_Audit!$A:$A,My_Audit!H:H,""),
_xlfn.IFS(_xlpm.MyAuditVal&lt;&gt;"",UPPER(_xlpm.MyAuditVal),_xlpm.MacVal&lt;&gt;"",_xlpm.MacVal,_xlpm.CSVVal&lt;&gt;"",_xlpm.CSVVal
)),"")</f>
        <v/>
      </c>
      <c r="J340" s="45" t="str" cm="1">
        <f t="array" ref="J340">IFERROR(_xlfn.LET(
_xlpm.CSVVal,_xlfn.XLOOKUP($A340,CSV!$A:$A,CSV!J:J,""),
_xlpm.MacVal,_xlfn.XLOOKUP($A340,Output_Mac!$A:$A,Output_Mac!K:K,""),
_xlpm.MyAuditVal,_xlfn.XLOOKUP($A340,My_Audit!$A:$A,My_Audit!I:I,""),
_xlfn.IFS(_xlpm.MyAuditVal&lt;&gt;"",UPPER(_xlpm.MyAuditVal),_xlpm.MacVal&lt;&gt;"",_xlpm.MacVal,_xlpm.CSVVal&lt;&gt;"",_xlpm.CSVVal
)),"")</f>
        <v/>
      </c>
      <c r="K340" s="45" t="str" cm="1">
        <f t="array" ref="K340">IFERROR(_xlfn.LET(
_xlpm.CSVVal,_xlfn.XLOOKUP($A340,CSV!$A:$A,CSV!N:N,""),
_xlpm.MacVal,_xlfn.XLOOKUP($A340,Output_Mac!$A:$A,Output_Mac!L:L,""),
_xlpm.MyAuditVal,_xlfn.XLOOKUP($A340,My_Audit!$A:$A,My_Audit!J:J,""),
_xlfn.IFS(_xlpm.MyAuditVal&lt;&gt;"",UPPER(_xlpm.MyAuditVal),_xlpm.MacVal&lt;&gt;"",_xlpm.MacVal,_xlpm.CSVVal&lt;&gt;"",_xlpm.CSVVal
)),"")</f>
        <v/>
      </c>
      <c r="L340" s="46" t="str" cm="1">
        <f t="array" ref="L340">IFERROR(_xlfn.LET(
_xlpm.CSVVal,_xlfn.XLOOKUP($A340,CSV!$A:$A,CSV!Q:Q,""),
_xlpm.MacVal,_xlfn.XLOOKUP($A340,Output_Mac!$A:$A,Output_Mac!M:M,""),
_xlpm.MyAuditVal,_xlfn.XLOOKUP($A340,My_Audit!$A:$A,My_Audit!K:K,""),
_xlfn.IFS(_xlpm.MyAuditVal&lt;&gt;"",UPPER(_xlpm.MyAuditVal),_xlpm.MacVal&lt;&gt;"",_xlpm.MacVal,_xlpm.CSVVal&lt;&gt;"",_xlpm.CSVVal
)),"")</f>
        <v/>
      </c>
      <c r="M340" s="45" t="str">
        <f>_xlfn.LET(
    _xlpm.CSVVal, _xlfn.XLOOKUP($A340, CSV!$A:$A, CSV!AE:AE, ""),
    _xlpm.MacVal, _xlfn.XLOOKUP($A340, Output_Mac!$A:$A, Output_Mac!S:S, ""),
    _xlpm.MyAuditVal, _xlfn.XLOOKUP($A340, My_Audit!$A:$A, My_Audit!N:N, ""),
    _xlfn.TEXTJOIN(", ", TRUE, _xlpm.MyAuditVal, _xlpm.MacVal, _xlpm.CSVVal)
)</f>
        <v/>
      </c>
      <c r="N340" s="45" t="str" cm="1">
        <f t="array" ref="N340">IFERROR(_xlfn.LET(
_xlpm.CSVVal,_xlfn.XLOOKUP($A340,CSV!$A:$A,CSV!AG:AG,""),
_xlpm.MacVal,_xlfn.XLOOKUP($A340,Output_Mac!$A:$A,Output_Mac!U:U,""),
_xlpm.MyAuditVal,_xlfn.XLOOKUP($A340,My_Audit!$A:$A,My_Audit!O:O,""),
_xlfn.IFS(_xlpm.MyAuditVal&lt;&gt;"",UPPER(_xlpm.MyAuditVal),_xlpm.MacVal&lt;&gt;"",_xlpm.MacVal,_xlpm.CSVVal&lt;&gt;"",_xlpm.CSVVal
)),"")</f>
        <v/>
      </c>
      <c r="O340" s="46" t="str">
        <f>_xlfn.XLOOKUP(C340,My_Audit!B:B,My_Audit!P:P,"")&amp;""</f>
        <v/>
      </c>
      <c r="P340" s="45"/>
      <c r="Q340" s="46" t="str">
        <f>IF(LEFT(N340,4)="Pass","Nist SP 800-88",My_Audit!R340)&amp;""</f>
        <v/>
      </c>
      <c r="R340" s="45"/>
      <c r="S340" s="45"/>
      <c r="T340" s="46" t="str">
        <f>_xlfn.XLOOKUP(E340,Models!I:I,Models!J:J,"")</f>
        <v/>
      </c>
      <c r="U340" s="45"/>
      <c r="V340" s="45"/>
      <c r="W340" s="38"/>
    </row>
    <row r="341" spans="1:23">
      <c r="A341" s="45" t="str">
        <f>_xlfn.TEXTJOIN("",TRUE,Input!$B$2,ROW(My_Audit!A340))</f>
        <v>XX340</v>
      </c>
      <c r="B341" s="45" t="str">
        <f>_xlfn.TEXTJOIN("-",TRUE,"ITD",Input!$A$2,A341)</f>
        <v>ITD-SHRXXX-XX340</v>
      </c>
      <c r="C341" s="45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46" t="str" cm="1">
        <f t="array" ref="D341">IFERROR(_xlfn.LET(
_xlpm.CSVVal,_xlfn.XLOOKUP($A341,CSV!$A:$A,CSV!C:C,""),
_xlpm.MacVal,_xlfn.XLOOKUP($A341,Output_Mac!$A:$A,Output_Mac!D:D,""),
_xlpm.MyAuditVal,_xlfn.XLOOKUP($A341,My_Audit!$A:$A,My_Audit!C:C,""),
_xlfn.IFS(_xlpm.MyAuditVal&lt;&gt;"",UPPER(_xlpm.MyAuditVal),_xlpm.MacVal&lt;&gt;"",_xlpm.MacVal,_xlpm.CSVVal&lt;&gt;"",_xlpm.CSVVal
)),"")</f>
        <v/>
      </c>
      <c r="E341" s="46" t="str" cm="1">
        <f t="array" ref="E341">IFERROR(_xlfn.LET(
_xlpm.CSVVal,_xlfn.XLOOKUP($A341,CSV!$A:$A,CSV!E:E,""),
_xlpm.MacVal,_xlfn.XLOOKUP($A341,Output_Mac!$A:$A,Output_Mac!C:C,""),
_xlpm.MyAuditVal,_xlfn.XLOOKUP($A341,My_Audit!$A:$A,My_Audit!D:D,""),
_xlfn.IFS(_xlpm.MyAuditVal&lt;&gt;"",_xlpm.MyAuditVal,_xlpm.MacVal&lt;&gt;"",_xlpm.MacVal,_xlpm.CSVVal&lt;&gt;"",_xlpm.CSVVal
)),"")</f>
        <v/>
      </c>
      <c r="F341" s="45" t="str" cm="1">
        <f t="array" ref="F341">IFERROR(_xlfn.LET(
_xlpm.CSVVal,_xlfn.XLOOKUP($A341,CSV!$A:$A,CSV!F:F,""),
_xlpm.MacVal,_xlfn.XLOOKUP($A341,Output_Mac!$A:$A,Output_Mac!F:F,""),
_xlpm.MyAuditVal,_xlfn.XLOOKUP($A341,My_Audit!$A:$A,My_Audit!E:E,""),
_xlfn.IFS(_xlpm.MyAuditVal&lt;&gt;"",_xlpm.MyAuditVal,_xlpm.MacVal&lt;&gt;"",_xlpm.MacVal,_xlpm.CSVVal&lt;&gt;"",PROPER(_xlpm.CSVVal)
)),"")</f>
        <v/>
      </c>
      <c r="G341" s="45" t="str" cm="1">
        <f t="array" ref="G341">IFERROR(_xlfn.LET(
_xlpm.CSVVal,_xlfn.XLOOKUP($A341,CSV!$A:$A,CSV!G:G,""),
_xlpm.MacVal,_xlfn.XLOOKUP($A341,Output_Mac!$A:$A,Output_Mac!H:H,""),
_xlpm.MyAuditVal,_xlfn.XLOOKUP($A341,My_Audit!$A:$A,My_Audit!F:F,""),
_xlfn.IFS(_xlpm.MyAuditVal&lt;&gt;"",_xlpm.MyAuditVal,_xlpm.MacVal&lt;&gt;"",_xlpm.MacVal,_xlpm.CSVVal&lt;&gt;"",_xlpm.CSVVal
)),"")</f>
        <v/>
      </c>
      <c r="H341" s="45" t="str">
        <f>_xlfn.XLOOKUP(A341,Output_Mac!A:A,Output_Mac!I:I,"")</f>
        <v/>
      </c>
      <c r="I341" s="45" t="str" cm="1">
        <f t="array" ref="I341">IFERROR(_xlfn.LET(
_xlpm.CSVVal,_xlfn.XLOOKUP($A341,CSV!$A:$A,CSV!H:H,""),
_xlpm.MacVal,_xlfn.XLOOKUP($A341,Output_Mac!$A:$A,Output_Mac!J:J,""),
_xlpm.MyAuditVal,_xlfn.XLOOKUP($A341,My_Audit!$A:$A,My_Audit!H:H,""),
_xlfn.IFS(_xlpm.MyAuditVal&lt;&gt;"",UPPER(_xlpm.MyAuditVal),_xlpm.MacVal&lt;&gt;"",_xlpm.MacVal,_xlpm.CSVVal&lt;&gt;"",_xlpm.CSVVal
)),"")</f>
        <v/>
      </c>
      <c r="J341" s="45" t="str" cm="1">
        <f t="array" ref="J341">IFERROR(_xlfn.LET(
_xlpm.CSVVal,_xlfn.XLOOKUP($A341,CSV!$A:$A,CSV!J:J,""),
_xlpm.MacVal,_xlfn.XLOOKUP($A341,Output_Mac!$A:$A,Output_Mac!K:K,""),
_xlpm.MyAuditVal,_xlfn.XLOOKUP($A341,My_Audit!$A:$A,My_Audit!I:I,""),
_xlfn.IFS(_xlpm.MyAuditVal&lt;&gt;"",UPPER(_xlpm.MyAuditVal),_xlpm.MacVal&lt;&gt;"",_xlpm.MacVal,_xlpm.CSVVal&lt;&gt;"",_xlpm.CSVVal
)),"")</f>
        <v/>
      </c>
      <c r="K341" s="45" t="str" cm="1">
        <f t="array" ref="K341">IFERROR(_xlfn.LET(
_xlpm.CSVVal,_xlfn.XLOOKUP($A341,CSV!$A:$A,CSV!N:N,""),
_xlpm.MacVal,_xlfn.XLOOKUP($A341,Output_Mac!$A:$A,Output_Mac!L:L,""),
_xlpm.MyAuditVal,_xlfn.XLOOKUP($A341,My_Audit!$A:$A,My_Audit!J:J,""),
_xlfn.IFS(_xlpm.MyAuditVal&lt;&gt;"",UPPER(_xlpm.MyAuditVal),_xlpm.MacVal&lt;&gt;"",_xlpm.MacVal,_xlpm.CSVVal&lt;&gt;"",_xlpm.CSVVal
)),"")</f>
        <v/>
      </c>
      <c r="L341" s="46" t="str" cm="1">
        <f t="array" ref="L341">IFERROR(_xlfn.LET(
_xlpm.CSVVal,_xlfn.XLOOKUP($A341,CSV!$A:$A,CSV!Q:Q,""),
_xlpm.MacVal,_xlfn.XLOOKUP($A341,Output_Mac!$A:$A,Output_Mac!M:M,""),
_xlpm.MyAuditVal,_xlfn.XLOOKUP($A341,My_Audit!$A:$A,My_Audit!K:K,""),
_xlfn.IFS(_xlpm.MyAuditVal&lt;&gt;"",UPPER(_xlpm.MyAuditVal),_xlpm.MacVal&lt;&gt;"",_xlpm.MacVal,_xlpm.CSVVal&lt;&gt;"",_xlpm.CSVVal
)),"")</f>
        <v/>
      </c>
      <c r="M341" s="45" t="str">
        <f>_xlfn.LET(
    _xlpm.CSVVal, _xlfn.XLOOKUP($A341, CSV!$A:$A, CSV!AE:AE, ""),
    _xlpm.MacVal, _xlfn.XLOOKUP($A341, Output_Mac!$A:$A, Output_Mac!S:S, ""),
    _xlpm.MyAuditVal, _xlfn.XLOOKUP($A341, My_Audit!$A:$A, My_Audit!N:N, ""),
    _xlfn.TEXTJOIN(", ", TRUE, _xlpm.MyAuditVal, _xlpm.MacVal, _xlpm.CSVVal)
)</f>
        <v/>
      </c>
      <c r="N341" s="45" t="str" cm="1">
        <f t="array" ref="N341">IFERROR(_xlfn.LET(
_xlpm.CSVVal,_xlfn.XLOOKUP($A341,CSV!$A:$A,CSV!AG:AG,""),
_xlpm.MacVal,_xlfn.XLOOKUP($A341,Output_Mac!$A:$A,Output_Mac!U:U,""),
_xlpm.MyAuditVal,_xlfn.XLOOKUP($A341,My_Audit!$A:$A,My_Audit!O:O,""),
_xlfn.IFS(_xlpm.MyAuditVal&lt;&gt;"",UPPER(_xlpm.MyAuditVal),_xlpm.MacVal&lt;&gt;"",_xlpm.MacVal,_xlpm.CSVVal&lt;&gt;"",_xlpm.CSVVal
)),"")</f>
        <v/>
      </c>
      <c r="O341" s="46" t="str">
        <f>_xlfn.XLOOKUP(C341,My_Audit!B:B,My_Audit!P:P,"")&amp;""</f>
        <v/>
      </c>
      <c r="P341" s="45"/>
      <c r="Q341" s="46" t="str">
        <f>IF(LEFT(N341,4)="Pass","Nist SP 800-88",My_Audit!R341)&amp;""</f>
        <v/>
      </c>
      <c r="R341" s="45"/>
      <c r="S341" s="45"/>
      <c r="T341" s="46" t="str">
        <f>_xlfn.XLOOKUP(E341,Models!I:I,Models!J:J,"")</f>
        <v/>
      </c>
      <c r="U341" s="45"/>
      <c r="V341" s="45"/>
      <c r="W341" s="38"/>
    </row>
    <row r="342" spans="1:23">
      <c r="A342" s="45" t="str">
        <f>_xlfn.TEXTJOIN("",TRUE,Input!$B$2,ROW(My_Audit!A341))</f>
        <v>XX341</v>
      </c>
      <c r="B342" s="45" t="str">
        <f>_xlfn.TEXTJOIN("-",TRUE,"ITD",Input!$A$2,A342)</f>
        <v>ITD-SHRXXX-XX341</v>
      </c>
      <c r="C342" s="45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46" t="str" cm="1">
        <f t="array" ref="D342">IFERROR(_xlfn.LET(
_xlpm.CSVVal,_xlfn.XLOOKUP($A342,CSV!$A:$A,CSV!C:C,""),
_xlpm.MacVal,_xlfn.XLOOKUP($A342,Output_Mac!$A:$A,Output_Mac!D:D,""),
_xlpm.MyAuditVal,_xlfn.XLOOKUP($A342,My_Audit!$A:$A,My_Audit!C:C,""),
_xlfn.IFS(_xlpm.MyAuditVal&lt;&gt;"",UPPER(_xlpm.MyAuditVal),_xlpm.MacVal&lt;&gt;"",_xlpm.MacVal,_xlpm.CSVVal&lt;&gt;"",_xlpm.CSVVal
)),"")</f>
        <v/>
      </c>
      <c r="E342" s="46" t="str" cm="1">
        <f t="array" ref="E342">IFERROR(_xlfn.LET(
_xlpm.CSVVal,_xlfn.XLOOKUP($A342,CSV!$A:$A,CSV!E:E,""),
_xlpm.MacVal,_xlfn.XLOOKUP($A342,Output_Mac!$A:$A,Output_Mac!C:C,""),
_xlpm.MyAuditVal,_xlfn.XLOOKUP($A342,My_Audit!$A:$A,My_Audit!D:D,""),
_xlfn.IFS(_xlpm.MyAuditVal&lt;&gt;"",_xlpm.MyAuditVal,_xlpm.MacVal&lt;&gt;"",_xlpm.MacVal,_xlpm.CSVVal&lt;&gt;"",_xlpm.CSVVal
)),"")</f>
        <v/>
      </c>
      <c r="F342" s="45" t="str" cm="1">
        <f t="array" ref="F342">IFERROR(_xlfn.LET(
_xlpm.CSVVal,_xlfn.XLOOKUP($A342,CSV!$A:$A,CSV!F:F,""),
_xlpm.MacVal,_xlfn.XLOOKUP($A342,Output_Mac!$A:$A,Output_Mac!F:F,""),
_xlpm.MyAuditVal,_xlfn.XLOOKUP($A342,My_Audit!$A:$A,My_Audit!E:E,""),
_xlfn.IFS(_xlpm.MyAuditVal&lt;&gt;"",_xlpm.MyAuditVal,_xlpm.MacVal&lt;&gt;"",_xlpm.MacVal,_xlpm.CSVVal&lt;&gt;"",PROPER(_xlpm.CSVVal)
)),"")</f>
        <v/>
      </c>
      <c r="G342" s="45" t="str" cm="1">
        <f t="array" ref="G342">IFERROR(_xlfn.LET(
_xlpm.CSVVal,_xlfn.XLOOKUP($A342,CSV!$A:$A,CSV!G:G,""),
_xlpm.MacVal,_xlfn.XLOOKUP($A342,Output_Mac!$A:$A,Output_Mac!H:H,""),
_xlpm.MyAuditVal,_xlfn.XLOOKUP($A342,My_Audit!$A:$A,My_Audit!F:F,""),
_xlfn.IFS(_xlpm.MyAuditVal&lt;&gt;"",_xlpm.MyAuditVal,_xlpm.MacVal&lt;&gt;"",_xlpm.MacVal,_xlpm.CSVVal&lt;&gt;"",_xlpm.CSVVal
)),"")</f>
        <v/>
      </c>
      <c r="H342" s="45" t="str">
        <f>_xlfn.XLOOKUP(A342,Output_Mac!A:A,Output_Mac!I:I,"")</f>
        <v/>
      </c>
      <c r="I342" s="45" t="str" cm="1">
        <f t="array" ref="I342">IFERROR(_xlfn.LET(
_xlpm.CSVVal,_xlfn.XLOOKUP($A342,CSV!$A:$A,CSV!H:H,""),
_xlpm.MacVal,_xlfn.XLOOKUP($A342,Output_Mac!$A:$A,Output_Mac!J:J,""),
_xlpm.MyAuditVal,_xlfn.XLOOKUP($A342,My_Audit!$A:$A,My_Audit!H:H,""),
_xlfn.IFS(_xlpm.MyAuditVal&lt;&gt;"",UPPER(_xlpm.MyAuditVal),_xlpm.MacVal&lt;&gt;"",_xlpm.MacVal,_xlpm.CSVVal&lt;&gt;"",_xlpm.CSVVal
)),"")</f>
        <v/>
      </c>
      <c r="J342" s="45" t="str" cm="1">
        <f t="array" ref="J342">IFERROR(_xlfn.LET(
_xlpm.CSVVal,_xlfn.XLOOKUP($A342,CSV!$A:$A,CSV!J:J,""),
_xlpm.MacVal,_xlfn.XLOOKUP($A342,Output_Mac!$A:$A,Output_Mac!K:K,""),
_xlpm.MyAuditVal,_xlfn.XLOOKUP($A342,My_Audit!$A:$A,My_Audit!I:I,""),
_xlfn.IFS(_xlpm.MyAuditVal&lt;&gt;"",UPPER(_xlpm.MyAuditVal),_xlpm.MacVal&lt;&gt;"",_xlpm.MacVal,_xlpm.CSVVal&lt;&gt;"",_xlpm.CSVVal
)),"")</f>
        <v/>
      </c>
      <c r="K342" s="45" t="str" cm="1">
        <f t="array" ref="K342">IFERROR(_xlfn.LET(
_xlpm.CSVVal,_xlfn.XLOOKUP($A342,CSV!$A:$A,CSV!N:N,""),
_xlpm.MacVal,_xlfn.XLOOKUP($A342,Output_Mac!$A:$A,Output_Mac!L:L,""),
_xlpm.MyAuditVal,_xlfn.XLOOKUP($A342,My_Audit!$A:$A,My_Audit!J:J,""),
_xlfn.IFS(_xlpm.MyAuditVal&lt;&gt;"",UPPER(_xlpm.MyAuditVal),_xlpm.MacVal&lt;&gt;"",_xlpm.MacVal,_xlpm.CSVVal&lt;&gt;"",_xlpm.CSVVal
)),"")</f>
        <v/>
      </c>
      <c r="L342" s="46" t="str" cm="1">
        <f t="array" ref="L342">IFERROR(_xlfn.LET(
_xlpm.CSVVal,_xlfn.XLOOKUP($A342,CSV!$A:$A,CSV!Q:Q,""),
_xlpm.MacVal,_xlfn.XLOOKUP($A342,Output_Mac!$A:$A,Output_Mac!M:M,""),
_xlpm.MyAuditVal,_xlfn.XLOOKUP($A342,My_Audit!$A:$A,My_Audit!K:K,""),
_xlfn.IFS(_xlpm.MyAuditVal&lt;&gt;"",UPPER(_xlpm.MyAuditVal),_xlpm.MacVal&lt;&gt;"",_xlpm.MacVal,_xlpm.CSVVal&lt;&gt;"",_xlpm.CSVVal
)),"")</f>
        <v/>
      </c>
      <c r="M342" s="45" t="str">
        <f>_xlfn.LET(
    _xlpm.CSVVal, _xlfn.XLOOKUP($A342, CSV!$A:$A, CSV!AE:AE, ""),
    _xlpm.MacVal, _xlfn.XLOOKUP($A342, Output_Mac!$A:$A, Output_Mac!S:S, ""),
    _xlpm.MyAuditVal, _xlfn.XLOOKUP($A342, My_Audit!$A:$A, My_Audit!N:N, ""),
    _xlfn.TEXTJOIN(", ", TRUE, _xlpm.MyAuditVal, _xlpm.MacVal, _xlpm.CSVVal)
)</f>
        <v/>
      </c>
      <c r="N342" s="45" t="str" cm="1">
        <f t="array" ref="N342">IFERROR(_xlfn.LET(
_xlpm.CSVVal,_xlfn.XLOOKUP($A342,CSV!$A:$A,CSV!AG:AG,""),
_xlpm.MacVal,_xlfn.XLOOKUP($A342,Output_Mac!$A:$A,Output_Mac!U:U,""),
_xlpm.MyAuditVal,_xlfn.XLOOKUP($A342,My_Audit!$A:$A,My_Audit!O:O,""),
_xlfn.IFS(_xlpm.MyAuditVal&lt;&gt;"",UPPER(_xlpm.MyAuditVal),_xlpm.MacVal&lt;&gt;"",_xlpm.MacVal,_xlpm.CSVVal&lt;&gt;"",_xlpm.CSVVal
)),"")</f>
        <v/>
      </c>
      <c r="O342" s="46" t="str">
        <f>_xlfn.XLOOKUP(C342,My_Audit!B:B,My_Audit!P:P,"")&amp;""</f>
        <v/>
      </c>
      <c r="P342" s="45"/>
      <c r="Q342" s="46" t="str">
        <f>IF(LEFT(N342,4)="Pass","Nist SP 800-88",My_Audit!R342)&amp;""</f>
        <v/>
      </c>
      <c r="R342" s="45"/>
      <c r="S342" s="45"/>
      <c r="T342" s="46" t="str">
        <f>_xlfn.XLOOKUP(E342,Models!I:I,Models!J:J,"")</f>
        <v/>
      </c>
      <c r="U342" s="45"/>
      <c r="V342" s="45"/>
      <c r="W342" s="38"/>
    </row>
    <row r="343" spans="1:23">
      <c r="A343" s="45" t="str">
        <f>_xlfn.TEXTJOIN("",TRUE,Input!$B$2,ROW(My_Audit!A342))</f>
        <v>XX342</v>
      </c>
      <c r="B343" s="45" t="str">
        <f>_xlfn.TEXTJOIN("-",TRUE,"ITD",Input!$A$2,A343)</f>
        <v>ITD-SHRXXX-XX342</v>
      </c>
      <c r="C343" s="45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46" t="str" cm="1">
        <f t="array" ref="D343">IFERROR(_xlfn.LET(
_xlpm.CSVVal,_xlfn.XLOOKUP($A343,CSV!$A:$A,CSV!C:C,""),
_xlpm.MacVal,_xlfn.XLOOKUP($A343,Output_Mac!$A:$A,Output_Mac!D:D,""),
_xlpm.MyAuditVal,_xlfn.XLOOKUP($A343,My_Audit!$A:$A,My_Audit!C:C,""),
_xlfn.IFS(_xlpm.MyAuditVal&lt;&gt;"",UPPER(_xlpm.MyAuditVal),_xlpm.MacVal&lt;&gt;"",_xlpm.MacVal,_xlpm.CSVVal&lt;&gt;"",_xlpm.CSVVal
)),"")</f>
        <v/>
      </c>
      <c r="E343" s="46" t="str" cm="1">
        <f t="array" ref="E343">IFERROR(_xlfn.LET(
_xlpm.CSVVal,_xlfn.XLOOKUP($A343,CSV!$A:$A,CSV!E:E,""),
_xlpm.MacVal,_xlfn.XLOOKUP($A343,Output_Mac!$A:$A,Output_Mac!C:C,""),
_xlpm.MyAuditVal,_xlfn.XLOOKUP($A343,My_Audit!$A:$A,My_Audit!D:D,""),
_xlfn.IFS(_xlpm.MyAuditVal&lt;&gt;"",_xlpm.MyAuditVal,_xlpm.MacVal&lt;&gt;"",_xlpm.MacVal,_xlpm.CSVVal&lt;&gt;"",_xlpm.CSVVal
)),"")</f>
        <v/>
      </c>
      <c r="F343" s="45" t="str" cm="1">
        <f t="array" ref="F343">IFERROR(_xlfn.LET(
_xlpm.CSVVal,_xlfn.XLOOKUP($A343,CSV!$A:$A,CSV!F:F,""),
_xlpm.MacVal,_xlfn.XLOOKUP($A343,Output_Mac!$A:$A,Output_Mac!F:F,""),
_xlpm.MyAuditVal,_xlfn.XLOOKUP($A343,My_Audit!$A:$A,My_Audit!E:E,""),
_xlfn.IFS(_xlpm.MyAuditVal&lt;&gt;"",_xlpm.MyAuditVal,_xlpm.MacVal&lt;&gt;"",_xlpm.MacVal,_xlpm.CSVVal&lt;&gt;"",PROPER(_xlpm.CSVVal)
)),"")</f>
        <v/>
      </c>
      <c r="G343" s="45" t="str" cm="1">
        <f t="array" ref="G343">IFERROR(_xlfn.LET(
_xlpm.CSVVal,_xlfn.XLOOKUP($A343,CSV!$A:$A,CSV!G:G,""),
_xlpm.MacVal,_xlfn.XLOOKUP($A343,Output_Mac!$A:$A,Output_Mac!H:H,""),
_xlpm.MyAuditVal,_xlfn.XLOOKUP($A343,My_Audit!$A:$A,My_Audit!F:F,""),
_xlfn.IFS(_xlpm.MyAuditVal&lt;&gt;"",_xlpm.MyAuditVal,_xlpm.MacVal&lt;&gt;"",_xlpm.MacVal,_xlpm.CSVVal&lt;&gt;"",_xlpm.CSVVal
)),"")</f>
        <v/>
      </c>
      <c r="H343" s="45" t="str">
        <f>_xlfn.XLOOKUP(A343,Output_Mac!A:A,Output_Mac!I:I,"")</f>
        <v/>
      </c>
      <c r="I343" s="45" t="str" cm="1">
        <f t="array" ref="I343">IFERROR(_xlfn.LET(
_xlpm.CSVVal,_xlfn.XLOOKUP($A343,CSV!$A:$A,CSV!H:H,""),
_xlpm.MacVal,_xlfn.XLOOKUP($A343,Output_Mac!$A:$A,Output_Mac!J:J,""),
_xlpm.MyAuditVal,_xlfn.XLOOKUP($A343,My_Audit!$A:$A,My_Audit!H:H,""),
_xlfn.IFS(_xlpm.MyAuditVal&lt;&gt;"",UPPER(_xlpm.MyAuditVal),_xlpm.MacVal&lt;&gt;"",_xlpm.MacVal,_xlpm.CSVVal&lt;&gt;"",_xlpm.CSVVal
)),"")</f>
        <v/>
      </c>
      <c r="J343" s="45" t="str" cm="1">
        <f t="array" ref="J343">IFERROR(_xlfn.LET(
_xlpm.CSVVal,_xlfn.XLOOKUP($A343,CSV!$A:$A,CSV!J:J,""),
_xlpm.MacVal,_xlfn.XLOOKUP($A343,Output_Mac!$A:$A,Output_Mac!K:K,""),
_xlpm.MyAuditVal,_xlfn.XLOOKUP($A343,My_Audit!$A:$A,My_Audit!I:I,""),
_xlfn.IFS(_xlpm.MyAuditVal&lt;&gt;"",UPPER(_xlpm.MyAuditVal),_xlpm.MacVal&lt;&gt;"",_xlpm.MacVal,_xlpm.CSVVal&lt;&gt;"",_xlpm.CSVVal
)),"")</f>
        <v/>
      </c>
      <c r="K343" s="45" t="str" cm="1">
        <f t="array" ref="K343">IFERROR(_xlfn.LET(
_xlpm.CSVVal,_xlfn.XLOOKUP($A343,CSV!$A:$A,CSV!N:N,""),
_xlpm.MacVal,_xlfn.XLOOKUP($A343,Output_Mac!$A:$A,Output_Mac!L:L,""),
_xlpm.MyAuditVal,_xlfn.XLOOKUP($A343,My_Audit!$A:$A,My_Audit!J:J,""),
_xlfn.IFS(_xlpm.MyAuditVal&lt;&gt;"",UPPER(_xlpm.MyAuditVal),_xlpm.MacVal&lt;&gt;"",_xlpm.MacVal,_xlpm.CSVVal&lt;&gt;"",_xlpm.CSVVal
)),"")</f>
        <v/>
      </c>
      <c r="L343" s="46" t="str" cm="1">
        <f t="array" ref="L343">IFERROR(_xlfn.LET(
_xlpm.CSVVal,_xlfn.XLOOKUP($A343,CSV!$A:$A,CSV!Q:Q,""),
_xlpm.MacVal,_xlfn.XLOOKUP($A343,Output_Mac!$A:$A,Output_Mac!M:M,""),
_xlpm.MyAuditVal,_xlfn.XLOOKUP($A343,My_Audit!$A:$A,My_Audit!K:K,""),
_xlfn.IFS(_xlpm.MyAuditVal&lt;&gt;"",UPPER(_xlpm.MyAuditVal),_xlpm.MacVal&lt;&gt;"",_xlpm.MacVal,_xlpm.CSVVal&lt;&gt;"",_xlpm.CSVVal
)),"")</f>
        <v/>
      </c>
      <c r="M343" s="45" t="str">
        <f>_xlfn.LET(
    _xlpm.CSVVal, _xlfn.XLOOKUP($A343, CSV!$A:$A, CSV!AE:AE, ""),
    _xlpm.MacVal, _xlfn.XLOOKUP($A343, Output_Mac!$A:$A, Output_Mac!S:S, ""),
    _xlpm.MyAuditVal, _xlfn.XLOOKUP($A343, My_Audit!$A:$A, My_Audit!N:N, ""),
    _xlfn.TEXTJOIN(", ", TRUE, _xlpm.MyAuditVal, _xlpm.MacVal, _xlpm.CSVVal)
)</f>
        <v/>
      </c>
      <c r="N343" s="45" t="str" cm="1">
        <f t="array" ref="N343">IFERROR(_xlfn.LET(
_xlpm.CSVVal,_xlfn.XLOOKUP($A343,CSV!$A:$A,CSV!AG:AG,""),
_xlpm.MacVal,_xlfn.XLOOKUP($A343,Output_Mac!$A:$A,Output_Mac!U:U,""),
_xlpm.MyAuditVal,_xlfn.XLOOKUP($A343,My_Audit!$A:$A,My_Audit!O:O,""),
_xlfn.IFS(_xlpm.MyAuditVal&lt;&gt;"",UPPER(_xlpm.MyAuditVal),_xlpm.MacVal&lt;&gt;"",_xlpm.MacVal,_xlpm.CSVVal&lt;&gt;"",_xlpm.CSVVal
)),"")</f>
        <v/>
      </c>
      <c r="O343" s="46" t="str">
        <f>_xlfn.XLOOKUP(C343,My_Audit!B:B,My_Audit!P:P,"")&amp;""</f>
        <v/>
      </c>
      <c r="P343" s="45"/>
      <c r="Q343" s="46" t="str">
        <f>IF(LEFT(N343,4)="Pass","Nist SP 800-88",My_Audit!R343)&amp;""</f>
        <v/>
      </c>
      <c r="R343" s="45"/>
      <c r="S343" s="45"/>
      <c r="T343" s="46" t="str">
        <f>_xlfn.XLOOKUP(E343,Models!I:I,Models!J:J,"")</f>
        <v/>
      </c>
      <c r="U343" s="45"/>
      <c r="V343" s="45"/>
      <c r="W343" s="38"/>
    </row>
    <row r="344" spans="1:23">
      <c r="A344" s="45" t="str">
        <f>_xlfn.TEXTJOIN("",TRUE,Input!$B$2,ROW(My_Audit!A343))</f>
        <v>XX343</v>
      </c>
      <c r="B344" s="45" t="str">
        <f>_xlfn.TEXTJOIN("-",TRUE,"ITD",Input!$A$2,A344)</f>
        <v>ITD-SHRXXX-XX343</v>
      </c>
      <c r="C344" s="45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46" t="str" cm="1">
        <f t="array" ref="D344">IFERROR(_xlfn.LET(
_xlpm.CSVVal,_xlfn.XLOOKUP($A344,CSV!$A:$A,CSV!C:C,""),
_xlpm.MacVal,_xlfn.XLOOKUP($A344,Output_Mac!$A:$A,Output_Mac!D:D,""),
_xlpm.MyAuditVal,_xlfn.XLOOKUP($A344,My_Audit!$A:$A,My_Audit!C:C,""),
_xlfn.IFS(_xlpm.MyAuditVal&lt;&gt;"",UPPER(_xlpm.MyAuditVal),_xlpm.MacVal&lt;&gt;"",_xlpm.MacVal,_xlpm.CSVVal&lt;&gt;"",_xlpm.CSVVal
)),"")</f>
        <v/>
      </c>
      <c r="E344" s="46" t="str" cm="1">
        <f t="array" ref="E344">IFERROR(_xlfn.LET(
_xlpm.CSVVal,_xlfn.XLOOKUP($A344,CSV!$A:$A,CSV!E:E,""),
_xlpm.MacVal,_xlfn.XLOOKUP($A344,Output_Mac!$A:$A,Output_Mac!C:C,""),
_xlpm.MyAuditVal,_xlfn.XLOOKUP($A344,My_Audit!$A:$A,My_Audit!D:D,""),
_xlfn.IFS(_xlpm.MyAuditVal&lt;&gt;"",_xlpm.MyAuditVal,_xlpm.MacVal&lt;&gt;"",_xlpm.MacVal,_xlpm.CSVVal&lt;&gt;"",_xlpm.CSVVal
)),"")</f>
        <v/>
      </c>
      <c r="F344" s="45" t="str" cm="1">
        <f t="array" ref="F344">IFERROR(_xlfn.LET(
_xlpm.CSVVal,_xlfn.XLOOKUP($A344,CSV!$A:$A,CSV!F:F,""),
_xlpm.MacVal,_xlfn.XLOOKUP($A344,Output_Mac!$A:$A,Output_Mac!F:F,""),
_xlpm.MyAuditVal,_xlfn.XLOOKUP($A344,My_Audit!$A:$A,My_Audit!E:E,""),
_xlfn.IFS(_xlpm.MyAuditVal&lt;&gt;"",_xlpm.MyAuditVal,_xlpm.MacVal&lt;&gt;"",_xlpm.MacVal,_xlpm.CSVVal&lt;&gt;"",PROPER(_xlpm.CSVVal)
)),"")</f>
        <v/>
      </c>
      <c r="G344" s="45" t="str" cm="1">
        <f t="array" ref="G344">IFERROR(_xlfn.LET(
_xlpm.CSVVal,_xlfn.XLOOKUP($A344,CSV!$A:$A,CSV!G:G,""),
_xlpm.MacVal,_xlfn.XLOOKUP($A344,Output_Mac!$A:$A,Output_Mac!H:H,""),
_xlpm.MyAuditVal,_xlfn.XLOOKUP($A344,My_Audit!$A:$A,My_Audit!F:F,""),
_xlfn.IFS(_xlpm.MyAuditVal&lt;&gt;"",_xlpm.MyAuditVal,_xlpm.MacVal&lt;&gt;"",_xlpm.MacVal,_xlpm.CSVVal&lt;&gt;"",_xlpm.CSVVal
)),"")</f>
        <v/>
      </c>
      <c r="H344" s="45" t="str">
        <f>_xlfn.XLOOKUP(A344,Output_Mac!A:A,Output_Mac!I:I,"")</f>
        <v/>
      </c>
      <c r="I344" s="45" t="str" cm="1">
        <f t="array" ref="I344">IFERROR(_xlfn.LET(
_xlpm.CSVVal,_xlfn.XLOOKUP($A344,CSV!$A:$A,CSV!H:H,""),
_xlpm.MacVal,_xlfn.XLOOKUP($A344,Output_Mac!$A:$A,Output_Mac!J:J,""),
_xlpm.MyAuditVal,_xlfn.XLOOKUP($A344,My_Audit!$A:$A,My_Audit!H:H,""),
_xlfn.IFS(_xlpm.MyAuditVal&lt;&gt;"",UPPER(_xlpm.MyAuditVal),_xlpm.MacVal&lt;&gt;"",_xlpm.MacVal,_xlpm.CSVVal&lt;&gt;"",_xlpm.CSVVal
)),"")</f>
        <v/>
      </c>
      <c r="J344" s="45" t="str" cm="1">
        <f t="array" ref="J344">IFERROR(_xlfn.LET(
_xlpm.CSVVal,_xlfn.XLOOKUP($A344,CSV!$A:$A,CSV!J:J,""),
_xlpm.MacVal,_xlfn.XLOOKUP($A344,Output_Mac!$A:$A,Output_Mac!K:K,""),
_xlpm.MyAuditVal,_xlfn.XLOOKUP($A344,My_Audit!$A:$A,My_Audit!I:I,""),
_xlfn.IFS(_xlpm.MyAuditVal&lt;&gt;"",UPPER(_xlpm.MyAuditVal),_xlpm.MacVal&lt;&gt;"",_xlpm.MacVal,_xlpm.CSVVal&lt;&gt;"",_xlpm.CSVVal
)),"")</f>
        <v/>
      </c>
      <c r="K344" s="45" t="str" cm="1">
        <f t="array" ref="K344">IFERROR(_xlfn.LET(
_xlpm.CSVVal,_xlfn.XLOOKUP($A344,CSV!$A:$A,CSV!N:N,""),
_xlpm.MacVal,_xlfn.XLOOKUP($A344,Output_Mac!$A:$A,Output_Mac!L:L,""),
_xlpm.MyAuditVal,_xlfn.XLOOKUP($A344,My_Audit!$A:$A,My_Audit!J:J,""),
_xlfn.IFS(_xlpm.MyAuditVal&lt;&gt;"",UPPER(_xlpm.MyAuditVal),_xlpm.MacVal&lt;&gt;"",_xlpm.MacVal,_xlpm.CSVVal&lt;&gt;"",_xlpm.CSVVal
)),"")</f>
        <v/>
      </c>
      <c r="L344" s="46" t="str" cm="1">
        <f t="array" ref="L344">IFERROR(_xlfn.LET(
_xlpm.CSVVal,_xlfn.XLOOKUP($A344,CSV!$A:$A,CSV!Q:Q,""),
_xlpm.MacVal,_xlfn.XLOOKUP($A344,Output_Mac!$A:$A,Output_Mac!M:M,""),
_xlpm.MyAuditVal,_xlfn.XLOOKUP($A344,My_Audit!$A:$A,My_Audit!K:K,""),
_xlfn.IFS(_xlpm.MyAuditVal&lt;&gt;"",UPPER(_xlpm.MyAuditVal),_xlpm.MacVal&lt;&gt;"",_xlpm.MacVal,_xlpm.CSVVal&lt;&gt;"",_xlpm.CSVVal
)),"")</f>
        <v/>
      </c>
      <c r="M344" s="45" t="str">
        <f>_xlfn.LET(
    _xlpm.CSVVal, _xlfn.XLOOKUP($A344, CSV!$A:$A, CSV!AE:AE, ""),
    _xlpm.MacVal, _xlfn.XLOOKUP($A344, Output_Mac!$A:$A, Output_Mac!S:S, ""),
    _xlpm.MyAuditVal, _xlfn.XLOOKUP($A344, My_Audit!$A:$A, My_Audit!N:N, ""),
    _xlfn.TEXTJOIN(", ", TRUE, _xlpm.MyAuditVal, _xlpm.MacVal, _xlpm.CSVVal)
)</f>
        <v/>
      </c>
      <c r="N344" s="45" t="str" cm="1">
        <f t="array" ref="N344">IFERROR(_xlfn.LET(
_xlpm.CSVVal,_xlfn.XLOOKUP($A344,CSV!$A:$A,CSV!AG:AG,""),
_xlpm.MacVal,_xlfn.XLOOKUP($A344,Output_Mac!$A:$A,Output_Mac!U:U,""),
_xlpm.MyAuditVal,_xlfn.XLOOKUP($A344,My_Audit!$A:$A,My_Audit!O:O,""),
_xlfn.IFS(_xlpm.MyAuditVal&lt;&gt;"",UPPER(_xlpm.MyAuditVal),_xlpm.MacVal&lt;&gt;"",_xlpm.MacVal,_xlpm.CSVVal&lt;&gt;"",_xlpm.CSVVal
)),"")</f>
        <v/>
      </c>
      <c r="O344" s="46" t="str">
        <f>_xlfn.XLOOKUP(C344,My_Audit!B:B,My_Audit!P:P,"")&amp;""</f>
        <v/>
      </c>
      <c r="P344" s="45"/>
      <c r="Q344" s="46" t="str">
        <f>IF(LEFT(N344,4)="Pass","Nist SP 800-88",My_Audit!R344)&amp;""</f>
        <v/>
      </c>
      <c r="R344" s="45"/>
      <c r="S344" s="45"/>
      <c r="T344" s="46" t="str">
        <f>_xlfn.XLOOKUP(E344,Models!I:I,Models!J:J,"")</f>
        <v/>
      </c>
      <c r="U344" s="45"/>
      <c r="V344" s="45"/>
      <c r="W344" s="38"/>
    </row>
    <row r="345" spans="1:23">
      <c r="A345" s="45" t="str">
        <f>_xlfn.TEXTJOIN("",TRUE,Input!$B$2,ROW(My_Audit!A344))</f>
        <v>XX344</v>
      </c>
      <c r="B345" s="45" t="str">
        <f>_xlfn.TEXTJOIN("-",TRUE,"ITD",Input!$A$2,A345)</f>
        <v>ITD-SHRXXX-XX344</v>
      </c>
      <c r="C345" s="45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46" t="str" cm="1">
        <f t="array" ref="D345">IFERROR(_xlfn.LET(
_xlpm.CSVVal,_xlfn.XLOOKUP($A345,CSV!$A:$A,CSV!C:C,""),
_xlpm.MacVal,_xlfn.XLOOKUP($A345,Output_Mac!$A:$A,Output_Mac!D:D,""),
_xlpm.MyAuditVal,_xlfn.XLOOKUP($A345,My_Audit!$A:$A,My_Audit!C:C,""),
_xlfn.IFS(_xlpm.MyAuditVal&lt;&gt;"",UPPER(_xlpm.MyAuditVal),_xlpm.MacVal&lt;&gt;"",_xlpm.MacVal,_xlpm.CSVVal&lt;&gt;"",_xlpm.CSVVal
)),"")</f>
        <v/>
      </c>
      <c r="E345" s="46" t="str" cm="1">
        <f t="array" ref="E345">IFERROR(_xlfn.LET(
_xlpm.CSVVal,_xlfn.XLOOKUP($A345,CSV!$A:$A,CSV!E:E,""),
_xlpm.MacVal,_xlfn.XLOOKUP($A345,Output_Mac!$A:$A,Output_Mac!C:C,""),
_xlpm.MyAuditVal,_xlfn.XLOOKUP($A345,My_Audit!$A:$A,My_Audit!D:D,""),
_xlfn.IFS(_xlpm.MyAuditVal&lt;&gt;"",_xlpm.MyAuditVal,_xlpm.MacVal&lt;&gt;"",_xlpm.MacVal,_xlpm.CSVVal&lt;&gt;"",_xlpm.CSVVal
)),"")</f>
        <v/>
      </c>
      <c r="F345" s="45" t="str" cm="1">
        <f t="array" ref="F345">IFERROR(_xlfn.LET(
_xlpm.CSVVal,_xlfn.XLOOKUP($A345,CSV!$A:$A,CSV!F:F,""),
_xlpm.MacVal,_xlfn.XLOOKUP($A345,Output_Mac!$A:$A,Output_Mac!F:F,""),
_xlpm.MyAuditVal,_xlfn.XLOOKUP($A345,My_Audit!$A:$A,My_Audit!E:E,""),
_xlfn.IFS(_xlpm.MyAuditVal&lt;&gt;"",_xlpm.MyAuditVal,_xlpm.MacVal&lt;&gt;"",_xlpm.MacVal,_xlpm.CSVVal&lt;&gt;"",PROPER(_xlpm.CSVVal)
)),"")</f>
        <v/>
      </c>
      <c r="G345" s="45" t="str" cm="1">
        <f t="array" ref="G345">IFERROR(_xlfn.LET(
_xlpm.CSVVal,_xlfn.XLOOKUP($A345,CSV!$A:$A,CSV!G:G,""),
_xlpm.MacVal,_xlfn.XLOOKUP($A345,Output_Mac!$A:$A,Output_Mac!H:H,""),
_xlpm.MyAuditVal,_xlfn.XLOOKUP($A345,My_Audit!$A:$A,My_Audit!F:F,""),
_xlfn.IFS(_xlpm.MyAuditVal&lt;&gt;"",_xlpm.MyAuditVal,_xlpm.MacVal&lt;&gt;"",_xlpm.MacVal,_xlpm.CSVVal&lt;&gt;"",_xlpm.CSVVal
)),"")</f>
        <v/>
      </c>
      <c r="H345" s="45" t="str">
        <f>_xlfn.XLOOKUP(A345,Output_Mac!A:A,Output_Mac!I:I,"")</f>
        <v/>
      </c>
      <c r="I345" s="45" t="str" cm="1">
        <f t="array" ref="I345">IFERROR(_xlfn.LET(
_xlpm.CSVVal,_xlfn.XLOOKUP($A345,CSV!$A:$A,CSV!H:H,""),
_xlpm.MacVal,_xlfn.XLOOKUP($A345,Output_Mac!$A:$A,Output_Mac!J:J,""),
_xlpm.MyAuditVal,_xlfn.XLOOKUP($A345,My_Audit!$A:$A,My_Audit!H:H,""),
_xlfn.IFS(_xlpm.MyAuditVal&lt;&gt;"",UPPER(_xlpm.MyAuditVal),_xlpm.MacVal&lt;&gt;"",_xlpm.MacVal,_xlpm.CSVVal&lt;&gt;"",_xlpm.CSVVal
)),"")</f>
        <v/>
      </c>
      <c r="J345" s="45" t="str" cm="1">
        <f t="array" ref="J345">IFERROR(_xlfn.LET(
_xlpm.CSVVal,_xlfn.XLOOKUP($A345,CSV!$A:$A,CSV!J:J,""),
_xlpm.MacVal,_xlfn.XLOOKUP($A345,Output_Mac!$A:$A,Output_Mac!K:K,""),
_xlpm.MyAuditVal,_xlfn.XLOOKUP($A345,My_Audit!$A:$A,My_Audit!I:I,""),
_xlfn.IFS(_xlpm.MyAuditVal&lt;&gt;"",UPPER(_xlpm.MyAuditVal),_xlpm.MacVal&lt;&gt;"",_xlpm.MacVal,_xlpm.CSVVal&lt;&gt;"",_xlpm.CSVVal
)),"")</f>
        <v/>
      </c>
      <c r="K345" s="45" t="str" cm="1">
        <f t="array" ref="K345">IFERROR(_xlfn.LET(
_xlpm.CSVVal,_xlfn.XLOOKUP($A345,CSV!$A:$A,CSV!N:N,""),
_xlpm.MacVal,_xlfn.XLOOKUP($A345,Output_Mac!$A:$A,Output_Mac!L:L,""),
_xlpm.MyAuditVal,_xlfn.XLOOKUP($A345,My_Audit!$A:$A,My_Audit!J:J,""),
_xlfn.IFS(_xlpm.MyAuditVal&lt;&gt;"",UPPER(_xlpm.MyAuditVal),_xlpm.MacVal&lt;&gt;"",_xlpm.MacVal,_xlpm.CSVVal&lt;&gt;"",_xlpm.CSVVal
)),"")</f>
        <v/>
      </c>
      <c r="L345" s="46" t="str" cm="1">
        <f t="array" ref="L345">IFERROR(_xlfn.LET(
_xlpm.CSVVal,_xlfn.XLOOKUP($A345,CSV!$A:$A,CSV!Q:Q,""),
_xlpm.MacVal,_xlfn.XLOOKUP($A345,Output_Mac!$A:$A,Output_Mac!M:M,""),
_xlpm.MyAuditVal,_xlfn.XLOOKUP($A345,My_Audit!$A:$A,My_Audit!K:K,""),
_xlfn.IFS(_xlpm.MyAuditVal&lt;&gt;"",UPPER(_xlpm.MyAuditVal),_xlpm.MacVal&lt;&gt;"",_xlpm.MacVal,_xlpm.CSVVal&lt;&gt;"",_xlpm.CSVVal
)),"")</f>
        <v/>
      </c>
      <c r="M345" s="45" t="str">
        <f>_xlfn.LET(
    _xlpm.CSVVal, _xlfn.XLOOKUP($A345, CSV!$A:$A, CSV!AE:AE, ""),
    _xlpm.MacVal, _xlfn.XLOOKUP($A345, Output_Mac!$A:$A, Output_Mac!S:S, ""),
    _xlpm.MyAuditVal, _xlfn.XLOOKUP($A345, My_Audit!$A:$A, My_Audit!N:N, ""),
    _xlfn.TEXTJOIN(", ", TRUE, _xlpm.MyAuditVal, _xlpm.MacVal, _xlpm.CSVVal)
)</f>
        <v/>
      </c>
      <c r="N345" s="45" t="str" cm="1">
        <f t="array" ref="N345">IFERROR(_xlfn.LET(
_xlpm.CSVVal,_xlfn.XLOOKUP($A345,CSV!$A:$A,CSV!AG:AG,""),
_xlpm.MacVal,_xlfn.XLOOKUP($A345,Output_Mac!$A:$A,Output_Mac!U:U,""),
_xlpm.MyAuditVal,_xlfn.XLOOKUP($A345,My_Audit!$A:$A,My_Audit!O:O,""),
_xlfn.IFS(_xlpm.MyAuditVal&lt;&gt;"",UPPER(_xlpm.MyAuditVal),_xlpm.MacVal&lt;&gt;"",_xlpm.MacVal,_xlpm.CSVVal&lt;&gt;"",_xlpm.CSVVal
)),"")</f>
        <v/>
      </c>
      <c r="O345" s="46" t="str">
        <f>_xlfn.XLOOKUP(C345,My_Audit!B:B,My_Audit!P:P,"")&amp;""</f>
        <v/>
      </c>
      <c r="P345" s="45"/>
      <c r="Q345" s="46" t="str">
        <f>IF(LEFT(N345,4)="Pass","Nist SP 800-88",My_Audit!R345)&amp;""</f>
        <v/>
      </c>
      <c r="R345" s="45"/>
      <c r="S345" s="45"/>
      <c r="T345" s="46" t="str">
        <f>_xlfn.XLOOKUP(E345,Models!I:I,Models!J:J,"")</f>
        <v/>
      </c>
      <c r="U345" s="45"/>
      <c r="V345" s="45"/>
      <c r="W345" s="38"/>
    </row>
    <row r="346" spans="1:23">
      <c r="A346" s="45" t="str">
        <f>_xlfn.TEXTJOIN("",TRUE,Input!$B$2,ROW(My_Audit!A345))</f>
        <v>XX345</v>
      </c>
      <c r="B346" s="45" t="str">
        <f>_xlfn.TEXTJOIN("-",TRUE,"ITD",Input!$A$2,A346)</f>
        <v>ITD-SHRXXX-XX345</v>
      </c>
      <c r="C346" s="45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46" t="str" cm="1">
        <f t="array" ref="D346">IFERROR(_xlfn.LET(
_xlpm.CSVVal,_xlfn.XLOOKUP($A346,CSV!$A:$A,CSV!C:C,""),
_xlpm.MacVal,_xlfn.XLOOKUP($A346,Output_Mac!$A:$A,Output_Mac!D:D,""),
_xlpm.MyAuditVal,_xlfn.XLOOKUP($A346,My_Audit!$A:$A,My_Audit!C:C,""),
_xlfn.IFS(_xlpm.MyAuditVal&lt;&gt;"",UPPER(_xlpm.MyAuditVal),_xlpm.MacVal&lt;&gt;"",_xlpm.MacVal,_xlpm.CSVVal&lt;&gt;"",_xlpm.CSVVal
)),"")</f>
        <v/>
      </c>
      <c r="E346" s="46" t="str" cm="1">
        <f t="array" ref="E346">IFERROR(_xlfn.LET(
_xlpm.CSVVal,_xlfn.XLOOKUP($A346,CSV!$A:$A,CSV!E:E,""),
_xlpm.MacVal,_xlfn.XLOOKUP($A346,Output_Mac!$A:$A,Output_Mac!C:C,""),
_xlpm.MyAuditVal,_xlfn.XLOOKUP($A346,My_Audit!$A:$A,My_Audit!D:D,""),
_xlfn.IFS(_xlpm.MyAuditVal&lt;&gt;"",_xlpm.MyAuditVal,_xlpm.MacVal&lt;&gt;"",_xlpm.MacVal,_xlpm.CSVVal&lt;&gt;"",_xlpm.CSVVal
)),"")</f>
        <v/>
      </c>
      <c r="F346" s="45" t="str" cm="1">
        <f t="array" ref="F346">IFERROR(_xlfn.LET(
_xlpm.CSVVal,_xlfn.XLOOKUP($A346,CSV!$A:$A,CSV!F:F,""),
_xlpm.MacVal,_xlfn.XLOOKUP($A346,Output_Mac!$A:$A,Output_Mac!F:F,""),
_xlpm.MyAuditVal,_xlfn.XLOOKUP($A346,My_Audit!$A:$A,My_Audit!E:E,""),
_xlfn.IFS(_xlpm.MyAuditVal&lt;&gt;"",_xlpm.MyAuditVal,_xlpm.MacVal&lt;&gt;"",_xlpm.MacVal,_xlpm.CSVVal&lt;&gt;"",PROPER(_xlpm.CSVVal)
)),"")</f>
        <v/>
      </c>
      <c r="G346" s="45" t="str" cm="1">
        <f t="array" ref="G346">IFERROR(_xlfn.LET(
_xlpm.CSVVal,_xlfn.XLOOKUP($A346,CSV!$A:$A,CSV!G:G,""),
_xlpm.MacVal,_xlfn.XLOOKUP($A346,Output_Mac!$A:$A,Output_Mac!H:H,""),
_xlpm.MyAuditVal,_xlfn.XLOOKUP($A346,My_Audit!$A:$A,My_Audit!F:F,""),
_xlfn.IFS(_xlpm.MyAuditVal&lt;&gt;"",_xlpm.MyAuditVal,_xlpm.MacVal&lt;&gt;"",_xlpm.MacVal,_xlpm.CSVVal&lt;&gt;"",_xlpm.CSVVal
)),"")</f>
        <v/>
      </c>
      <c r="H346" s="45" t="str">
        <f>_xlfn.XLOOKUP(A346,Output_Mac!A:A,Output_Mac!I:I,"")</f>
        <v/>
      </c>
      <c r="I346" s="45" t="str" cm="1">
        <f t="array" ref="I346">IFERROR(_xlfn.LET(
_xlpm.CSVVal,_xlfn.XLOOKUP($A346,CSV!$A:$A,CSV!H:H,""),
_xlpm.MacVal,_xlfn.XLOOKUP($A346,Output_Mac!$A:$A,Output_Mac!J:J,""),
_xlpm.MyAuditVal,_xlfn.XLOOKUP($A346,My_Audit!$A:$A,My_Audit!H:H,""),
_xlfn.IFS(_xlpm.MyAuditVal&lt;&gt;"",UPPER(_xlpm.MyAuditVal),_xlpm.MacVal&lt;&gt;"",_xlpm.MacVal,_xlpm.CSVVal&lt;&gt;"",_xlpm.CSVVal
)),"")</f>
        <v/>
      </c>
      <c r="J346" s="45" t="str" cm="1">
        <f t="array" ref="J346">IFERROR(_xlfn.LET(
_xlpm.CSVVal,_xlfn.XLOOKUP($A346,CSV!$A:$A,CSV!J:J,""),
_xlpm.MacVal,_xlfn.XLOOKUP($A346,Output_Mac!$A:$A,Output_Mac!K:K,""),
_xlpm.MyAuditVal,_xlfn.XLOOKUP($A346,My_Audit!$A:$A,My_Audit!I:I,""),
_xlfn.IFS(_xlpm.MyAuditVal&lt;&gt;"",UPPER(_xlpm.MyAuditVal),_xlpm.MacVal&lt;&gt;"",_xlpm.MacVal,_xlpm.CSVVal&lt;&gt;"",_xlpm.CSVVal
)),"")</f>
        <v/>
      </c>
      <c r="K346" s="45" t="str" cm="1">
        <f t="array" ref="K346">IFERROR(_xlfn.LET(
_xlpm.CSVVal,_xlfn.XLOOKUP($A346,CSV!$A:$A,CSV!N:N,""),
_xlpm.MacVal,_xlfn.XLOOKUP($A346,Output_Mac!$A:$A,Output_Mac!L:L,""),
_xlpm.MyAuditVal,_xlfn.XLOOKUP($A346,My_Audit!$A:$A,My_Audit!J:J,""),
_xlfn.IFS(_xlpm.MyAuditVal&lt;&gt;"",UPPER(_xlpm.MyAuditVal),_xlpm.MacVal&lt;&gt;"",_xlpm.MacVal,_xlpm.CSVVal&lt;&gt;"",_xlpm.CSVVal
)),"")</f>
        <v/>
      </c>
      <c r="L346" s="46" t="str" cm="1">
        <f t="array" ref="L346">IFERROR(_xlfn.LET(
_xlpm.CSVVal,_xlfn.XLOOKUP($A346,CSV!$A:$A,CSV!Q:Q,""),
_xlpm.MacVal,_xlfn.XLOOKUP($A346,Output_Mac!$A:$A,Output_Mac!M:M,""),
_xlpm.MyAuditVal,_xlfn.XLOOKUP($A346,My_Audit!$A:$A,My_Audit!K:K,""),
_xlfn.IFS(_xlpm.MyAuditVal&lt;&gt;"",UPPER(_xlpm.MyAuditVal),_xlpm.MacVal&lt;&gt;"",_xlpm.MacVal,_xlpm.CSVVal&lt;&gt;"",_xlpm.CSVVal
)),"")</f>
        <v/>
      </c>
      <c r="M346" s="45" t="str">
        <f>_xlfn.LET(
    _xlpm.CSVVal, _xlfn.XLOOKUP($A346, CSV!$A:$A, CSV!AE:AE, ""),
    _xlpm.MacVal, _xlfn.XLOOKUP($A346, Output_Mac!$A:$A, Output_Mac!S:S, ""),
    _xlpm.MyAuditVal, _xlfn.XLOOKUP($A346, My_Audit!$A:$A, My_Audit!N:N, ""),
    _xlfn.TEXTJOIN(", ", TRUE, _xlpm.MyAuditVal, _xlpm.MacVal, _xlpm.CSVVal)
)</f>
        <v/>
      </c>
      <c r="N346" s="45" t="str" cm="1">
        <f t="array" ref="N346">IFERROR(_xlfn.LET(
_xlpm.CSVVal,_xlfn.XLOOKUP($A346,CSV!$A:$A,CSV!AG:AG,""),
_xlpm.MacVal,_xlfn.XLOOKUP($A346,Output_Mac!$A:$A,Output_Mac!U:U,""),
_xlpm.MyAuditVal,_xlfn.XLOOKUP($A346,My_Audit!$A:$A,My_Audit!O:O,""),
_xlfn.IFS(_xlpm.MyAuditVal&lt;&gt;"",UPPER(_xlpm.MyAuditVal),_xlpm.MacVal&lt;&gt;"",_xlpm.MacVal,_xlpm.CSVVal&lt;&gt;"",_xlpm.CSVVal
)),"")</f>
        <v/>
      </c>
      <c r="O346" s="46" t="str">
        <f>_xlfn.XLOOKUP(C346,My_Audit!B:B,My_Audit!P:P,"")&amp;""</f>
        <v/>
      </c>
      <c r="P346" s="45"/>
      <c r="Q346" s="46" t="str">
        <f>IF(LEFT(N346,4)="Pass","Nist SP 800-88",My_Audit!R346)&amp;""</f>
        <v/>
      </c>
      <c r="R346" s="45"/>
      <c r="S346" s="45"/>
      <c r="T346" s="46" t="str">
        <f>_xlfn.XLOOKUP(E346,Models!I:I,Models!J:J,"")</f>
        <v/>
      </c>
      <c r="U346" s="45"/>
      <c r="V346" s="45"/>
      <c r="W346" s="38"/>
    </row>
    <row r="347" spans="1:23">
      <c r="A347" s="45" t="str">
        <f>_xlfn.TEXTJOIN("",TRUE,Input!$B$2,ROW(My_Audit!A346))</f>
        <v>XX346</v>
      </c>
      <c r="B347" s="45" t="str">
        <f>_xlfn.TEXTJOIN("-",TRUE,"ITD",Input!$A$2,A347)</f>
        <v>ITD-SHRXXX-XX346</v>
      </c>
      <c r="C347" s="45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46" t="str" cm="1">
        <f t="array" ref="D347">IFERROR(_xlfn.LET(
_xlpm.CSVVal,_xlfn.XLOOKUP($A347,CSV!$A:$A,CSV!C:C,""),
_xlpm.MacVal,_xlfn.XLOOKUP($A347,Output_Mac!$A:$A,Output_Mac!D:D,""),
_xlpm.MyAuditVal,_xlfn.XLOOKUP($A347,My_Audit!$A:$A,My_Audit!C:C,""),
_xlfn.IFS(_xlpm.MyAuditVal&lt;&gt;"",UPPER(_xlpm.MyAuditVal),_xlpm.MacVal&lt;&gt;"",_xlpm.MacVal,_xlpm.CSVVal&lt;&gt;"",_xlpm.CSVVal
)),"")</f>
        <v/>
      </c>
      <c r="E347" s="46" t="str" cm="1">
        <f t="array" ref="E347">IFERROR(_xlfn.LET(
_xlpm.CSVVal,_xlfn.XLOOKUP($A347,CSV!$A:$A,CSV!E:E,""),
_xlpm.MacVal,_xlfn.XLOOKUP($A347,Output_Mac!$A:$A,Output_Mac!C:C,""),
_xlpm.MyAuditVal,_xlfn.XLOOKUP($A347,My_Audit!$A:$A,My_Audit!D:D,""),
_xlfn.IFS(_xlpm.MyAuditVal&lt;&gt;"",_xlpm.MyAuditVal,_xlpm.MacVal&lt;&gt;"",_xlpm.MacVal,_xlpm.CSVVal&lt;&gt;"",_xlpm.CSVVal
)),"")</f>
        <v/>
      </c>
      <c r="F347" s="45" t="str" cm="1">
        <f t="array" ref="F347">IFERROR(_xlfn.LET(
_xlpm.CSVVal,_xlfn.XLOOKUP($A347,CSV!$A:$A,CSV!F:F,""),
_xlpm.MacVal,_xlfn.XLOOKUP($A347,Output_Mac!$A:$A,Output_Mac!F:F,""),
_xlpm.MyAuditVal,_xlfn.XLOOKUP($A347,My_Audit!$A:$A,My_Audit!E:E,""),
_xlfn.IFS(_xlpm.MyAuditVal&lt;&gt;"",_xlpm.MyAuditVal,_xlpm.MacVal&lt;&gt;"",_xlpm.MacVal,_xlpm.CSVVal&lt;&gt;"",PROPER(_xlpm.CSVVal)
)),"")</f>
        <v/>
      </c>
      <c r="G347" s="45" t="str" cm="1">
        <f t="array" ref="G347">IFERROR(_xlfn.LET(
_xlpm.CSVVal,_xlfn.XLOOKUP($A347,CSV!$A:$A,CSV!G:G,""),
_xlpm.MacVal,_xlfn.XLOOKUP($A347,Output_Mac!$A:$A,Output_Mac!H:H,""),
_xlpm.MyAuditVal,_xlfn.XLOOKUP($A347,My_Audit!$A:$A,My_Audit!F:F,""),
_xlfn.IFS(_xlpm.MyAuditVal&lt;&gt;"",_xlpm.MyAuditVal,_xlpm.MacVal&lt;&gt;"",_xlpm.MacVal,_xlpm.CSVVal&lt;&gt;"",_xlpm.CSVVal
)),"")</f>
        <v/>
      </c>
      <c r="H347" s="45" t="str">
        <f>_xlfn.XLOOKUP(A347,Output_Mac!A:A,Output_Mac!I:I,"")</f>
        <v/>
      </c>
      <c r="I347" s="45" t="str" cm="1">
        <f t="array" ref="I347">IFERROR(_xlfn.LET(
_xlpm.CSVVal,_xlfn.XLOOKUP($A347,CSV!$A:$A,CSV!H:H,""),
_xlpm.MacVal,_xlfn.XLOOKUP($A347,Output_Mac!$A:$A,Output_Mac!J:J,""),
_xlpm.MyAuditVal,_xlfn.XLOOKUP($A347,My_Audit!$A:$A,My_Audit!H:H,""),
_xlfn.IFS(_xlpm.MyAuditVal&lt;&gt;"",UPPER(_xlpm.MyAuditVal),_xlpm.MacVal&lt;&gt;"",_xlpm.MacVal,_xlpm.CSVVal&lt;&gt;"",_xlpm.CSVVal
)),"")</f>
        <v/>
      </c>
      <c r="J347" s="45" t="str" cm="1">
        <f t="array" ref="J347">IFERROR(_xlfn.LET(
_xlpm.CSVVal,_xlfn.XLOOKUP($A347,CSV!$A:$A,CSV!J:J,""),
_xlpm.MacVal,_xlfn.XLOOKUP($A347,Output_Mac!$A:$A,Output_Mac!K:K,""),
_xlpm.MyAuditVal,_xlfn.XLOOKUP($A347,My_Audit!$A:$A,My_Audit!I:I,""),
_xlfn.IFS(_xlpm.MyAuditVal&lt;&gt;"",UPPER(_xlpm.MyAuditVal),_xlpm.MacVal&lt;&gt;"",_xlpm.MacVal,_xlpm.CSVVal&lt;&gt;"",_xlpm.CSVVal
)),"")</f>
        <v/>
      </c>
      <c r="K347" s="45" t="str" cm="1">
        <f t="array" ref="K347">IFERROR(_xlfn.LET(
_xlpm.CSVVal,_xlfn.XLOOKUP($A347,CSV!$A:$A,CSV!N:N,""),
_xlpm.MacVal,_xlfn.XLOOKUP($A347,Output_Mac!$A:$A,Output_Mac!L:L,""),
_xlpm.MyAuditVal,_xlfn.XLOOKUP($A347,My_Audit!$A:$A,My_Audit!J:J,""),
_xlfn.IFS(_xlpm.MyAuditVal&lt;&gt;"",UPPER(_xlpm.MyAuditVal),_xlpm.MacVal&lt;&gt;"",_xlpm.MacVal,_xlpm.CSVVal&lt;&gt;"",_xlpm.CSVVal
)),"")</f>
        <v/>
      </c>
      <c r="L347" s="46" t="str" cm="1">
        <f t="array" ref="L347">IFERROR(_xlfn.LET(
_xlpm.CSVVal,_xlfn.XLOOKUP($A347,CSV!$A:$A,CSV!Q:Q,""),
_xlpm.MacVal,_xlfn.XLOOKUP($A347,Output_Mac!$A:$A,Output_Mac!M:M,""),
_xlpm.MyAuditVal,_xlfn.XLOOKUP($A347,My_Audit!$A:$A,My_Audit!K:K,""),
_xlfn.IFS(_xlpm.MyAuditVal&lt;&gt;"",UPPER(_xlpm.MyAuditVal),_xlpm.MacVal&lt;&gt;"",_xlpm.MacVal,_xlpm.CSVVal&lt;&gt;"",_xlpm.CSVVal
)),"")</f>
        <v/>
      </c>
      <c r="M347" s="45" t="str">
        <f>_xlfn.LET(
    _xlpm.CSVVal, _xlfn.XLOOKUP($A347, CSV!$A:$A, CSV!AE:AE, ""),
    _xlpm.MacVal, _xlfn.XLOOKUP($A347, Output_Mac!$A:$A, Output_Mac!S:S, ""),
    _xlpm.MyAuditVal, _xlfn.XLOOKUP($A347, My_Audit!$A:$A, My_Audit!N:N, ""),
    _xlfn.TEXTJOIN(", ", TRUE, _xlpm.MyAuditVal, _xlpm.MacVal, _xlpm.CSVVal)
)</f>
        <v/>
      </c>
      <c r="N347" s="45" t="str" cm="1">
        <f t="array" ref="N347">IFERROR(_xlfn.LET(
_xlpm.CSVVal,_xlfn.XLOOKUP($A347,CSV!$A:$A,CSV!AG:AG,""),
_xlpm.MacVal,_xlfn.XLOOKUP($A347,Output_Mac!$A:$A,Output_Mac!U:U,""),
_xlpm.MyAuditVal,_xlfn.XLOOKUP($A347,My_Audit!$A:$A,My_Audit!O:O,""),
_xlfn.IFS(_xlpm.MyAuditVal&lt;&gt;"",UPPER(_xlpm.MyAuditVal),_xlpm.MacVal&lt;&gt;"",_xlpm.MacVal,_xlpm.CSVVal&lt;&gt;"",_xlpm.CSVVal
)),"")</f>
        <v/>
      </c>
      <c r="O347" s="46" t="str">
        <f>_xlfn.XLOOKUP(C347,My_Audit!B:B,My_Audit!P:P,"")&amp;""</f>
        <v/>
      </c>
      <c r="P347" s="45"/>
      <c r="Q347" s="46" t="str">
        <f>IF(LEFT(N347,4)="Pass","Nist SP 800-88",My_Audit!R347)&amp;""</f>
        <v/>
      </c>
      <c r="R347" s="45"/>
      <c r="S347" s="45"/>
      <c r="T347" s="46" t="str">
        <f>_xlfn.XLOOKUP(E347,Models!I:I,Models!J:J,"")</f>
        <v/>
      </c>
      <c r="U347" s="45"/>
      <c r="V347" s="45"/>
      <c r="W347" s="38"/>
    </row>
    <row r="348" spans="1:23">
      <c r="A348" s="45" t="str">
        <f>_xlfn.TEXTJOIN("",TRUE,Input!$B$2,ROW(My_Audit!A347))</f>
        <v>XX347</v>
      </c>
      <c r="B348" s="45" t="str">
        <f>_xlfn.TEXTJOIN("-",TRUE,"ITD",Input!$A$2,A348)</f>
        <v>ITD-SHRXXX-XX347</v>
      </c>
      <c r="C348" s="45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46" t="str" cm="1">
        <f t="array" ref="D348">IFERROR(_xlfn.LET(
_xlpm.CSVVal,_xlfn.XLOOKUP($A348,CSV!$A:$A,CSV!C:C,""),
_xlpm.MacVal,_xlfn.XLOOKUP($A348,Output_Mac!$A:$A,Output_Mac!D:D,""),
_xlpm.MyAuditVal,_xlfn.XLOOKUP($A348,My_Audit!$A:$A,My_Audit!C:C,""),
_xlfn.IFS(_xlpm.MyAuditVal&lt;&gt;"",UPPER(_xlpm.MyAuditVal),_xlpm.MacVal&lt;&gt;"",_xlpm.MacVal,_xlpm.CSVVal&lt;&gt;"",_xlpm.CSVVal
)),"")</f>
        <v/>
      </c>
      <c r="E348" s="46" t="str" cm="1">
        <f t="array" ref="E348">IFERROR(_xlfn.LET(
_xlpm.CSVVal,_xlfn.XLOOKUP($A348,CSV!$A:$A,CSV!E:E,""),
_xlpm.MacVal,_xlfn.XLOOKUP($A348,Output_Mac!$A:$A,Output_Mac!C:C,""),
_xlpm.MyAuditVal,_xlfn.XLOOKUP($A348,My_Audit!$A:$A,My_Audit!D:D,""),
_xlfn.IFS(_xlpm.MyAuditVal&lt;&gt;"",_xlpm.MyAuditVal,_xlpm.MacVal&lt;&gt;"",_xlpm.MacVal,_xlpm.CSVVal&lt;&gt;"",_xlpm.CSVVal
)),"")</f>
        <v/>
      </c>
      <c r="F348" s="45" t="str" cm="1">
        <f t="array" ref="F348">IFERROR(_xlfn.LET(
_xlpm.CSVVal,_xlfn.XLOOKUP($A348,CSV!$A:$A,CSV!F:F,""),
_xlpm.MacVal,_xlfn.XLOOKUP($A348,Output_Mac!$A:$A,Output_Mac!F:F,""),
_xlpm.MyAuditVal,_xlfn.XLOOKUP($A348,My_Audit!$A:$A,My_Audit!E:E,""),
_xlfn.IFS(_xlpm.MyAuditVal&lt;&gt;"",_xlpm.MyAuditVal,_xlpm.MacVal&lt;&gt;"",_xlpm.MacVal,_xlpm.CSVVal&lt;&gt;"",PROPER(_xlpm.CSVVal)
)),"")</f>
        <v/>
      </c>
      <c r="G348" s="45" t="str" cm="1">
        <f t="array" ref="G348">IFERROR(_xlfn.LET(
_xlpm.CSVVal,_xlfn.XLOOKUP($A348,CSV!$A:$A,CSV!G:G,""),
_xlpm.MacVal,_xlfn.XLOOKUP($A348,Output_Mac!$A:$A,Output_Mac!H:H,""),
_xlpm.MyAuditVal,_xlfn.XLOOKUP($A348,My_Audit!$A:$A,My_Audit!F:F,""),
_xlfn.IFS(_xlpm.MyAuditVal&lt;&gt;"",_xlpm.MyAuditVal,_xlpm.MacVal&lt;&gt;"",_xlpm.MacVal,_xlpm.CSVVal&lt;&gt;"",_xlpm.CSVVal
)),"")</f>
        <v/>
      </c>
      <c r="H348" s="45" t="str">
        <f>_xlfn.XLOOKUP(A348,Output_Mac!A:A,Output_Mac!I:I,"")</f>
        <v/>
      </c>
      <c r="I348" s="45" t="str" cm="1">
        <f t="array" ref="I348">IFERROR(_xlfn.LET(
_xlpm.CSVVal,_xlfn.XLOOKUP($A348,CSV!$A:$A,CSV!H:H,""),
_xlpm.MacVal,_xlfn.XLOOKUP($A348,Output_Mac!$A:$A,Output_Mac!J:J,""),
_xlpm.MyAuditVal,_xlfn.XLOOKUP($A348,My_Audit!$A:$A,My_Audit!H:H,""),
_xlfn.IFS(_xlpm.MyAuditVal&lt;&gt;"",UPPER(_xlpm.MyAuditVal),_xlpm.MacVal&lt;&gt;"",_xlpm.MacVal,_xlpm.CSVVal&lt;&gt;"",_xlpm.CSVVal
)),"")</f>
        <v/>
      </c>
      <c r="J348" s="45" t="str" cm="1">
        <f t="array" ref="J348">IFERROR(_xlfn.LET(
_xlpm.CSVVal,_xlfn.XLOOKUP($A348,CSV!$A:$A,CSV!J:J,""),
_xlpm.MacVal,_xlfn.XLOOKUP($A348,Output_Mac!$A:$A,Output_Mac!K:K,""),
_xlpm.MyAuditVal,_xlfn.XLOOKUP($A348,My_Audit!$A:$A,My_Audit!I:I,""),
_xlfn.IFS(_xlpm.MyAuditVal&lt;&gt;"",UPPER(_xlpm.MyAuditVal),_xlpm.MacVal&lt;&gt;"",_xlpm.MacVal,_xlpm.CSVVal&lt;&gt;"",_xlpm.CSVVal
)),"")</f>
        <v/>
      </c>
      <c r="K348" s="45" t="str" cm="1">
        <f t="array" ref="K348">IFERROR(_xlfn.LET(
_xlpm.CSVVal,_xlfn.XLOOKUP($A348,CSV!$A:$A,CSV!N:N,""),
_xlpm.MacVal,_xlfn.XLOOKUP($A348,Output_Mac!$A:$A,Output_Mac!L:L,""),
_xlpm.MyAuditVal,_xlfn.XLOOKUP($A348,My_Audit!$A:$A,My_Audit!J:J,""),
_xlfn.IFS(_xlpm.MyAuditVal&lt;&gt;"",UPPER(_xlpm.MyAuditVal),_xlpm.MacVal&lt;&gt;"",_xlpm.MacVal,_xlpm.CSVVal&lt;&gt;"",_xlpm.CSVVal
)),"")</f>
        <v/>
      </c>
      <c r="L348" s="46" t="str" cm="1">
        <f t="array" ref="L348">IFERROR(_xlfn.LET(
_xlpm.CSVVal,_xlfn.XLOOKUP($A348,CSV!$A:$A,CSV!Q:Q,""),
_xlpm.MacVal,_xlfn.XLOOKUP($A348,Output_Mac!$A:$A,Output_Mac!M:M,""),
_xlpm.MyAuditVal,_xlfn.XLOOKUP($A348,My_Audit!$A:$A,My_Audit!K:K,""),
_xlfn.IFS(_xlpm.MyAuditVal&lt;&gt;"",UPPER(_xlpm.MyAuditVal),_xlpm.MacVal&lt;&gt;"",_xlpm.MacVal,_xlpm.CSVVal&lt;&gt;"",_xlpm.CSVVal
)),"")</f>
        <v/>
      </c>
      <c r="M348" s="45" t="str">
        <f>_xlfn.LET(
    _xlpm.CSVVal, _xlfn.XLOOKUP($A348, CSV!$A:$A, CSV!AE:AE, ""),
    _xlpm.MacVal, _xlfn.XLOOKUP($A348, Output_Mac!$A:$A, Output_Mac!S:S, ""),
    _xlpm.MyAuditVal, _xlfn.XLOOKUP($A348, My_Audit!$A:$A, My_Audit!N:N, ""),
    _xlfn.TEXTJOIN(", ", TRUE, _xlpm.MyAuditVal, _xlpm.MacVal, _xlpm.CSVVal)
)</f>
        <v/>
      </c>
      <c r="N348" s="45" t="str" cm="1">
        <f t="array" ref="N348">IFERROR(_xlfn.LET(
_xlpm.CSVVal,_xlfn.XLOOKUP($A348,CSV!$A:$A,CSV!AG:AG,""),
_xlpm.MacVal,_xlfn.XLOOKUP($A348,Output_Mac!$A:$A,Output_Mac!U:U,""),
_xlpm.MyAuditVal,_xlfn.XLOOKUP($A348,My_Audit!$A:$A,My_Audit!O:O,""),
_xlfn.IFS(_xlpm.MyAuditVal&lt;&gt;"",UPPER(_xlpm.MyAuditVal),_xlpm.MacVal&lt;&gt;"",_xlpm.MacVal,_xlpm.CSVVal&lt;&gt;"",_xlpm.CSVVal
)),"")</f>
        <v/>
      </c>
      <c r="O348" s="46" t="str">
        <f>_xlfn.XLOOKUP(C348,My_Audit!B:B,My_Audit!P:P,"")&amp;""</f>
        <v/>
      </c>
      <c r="P348" s="45"/>
      <c r="Q348" s="46" t="str">
        <f>IF(LEFT(N348,4)="Pass","Nist SP 800-88",My_Audit!R348)&amp;""</f>
        <v/>
      </c>
      <c r="R348" s="45"/>
      <c r="S348" s="45"/>
      <c r="T348" s="46" t="str">
        <f>_xlfn.XLOOKUP(E348,Models!I:I,Models!J:J,"")</f>
        <v/>
      </c>
      <c r="U348" s="45"/>
      <c r="V348" s="45"/>
      <c r="W348" s="38"/>
    </row>
    <row r="349" spans="1:23">
      <c r="A349" s="45" t="str">
        <f>_xlfn.TEXTJOIN("",TRUE,Input!$B$2,ROW(My_Audit!A348))</f>
        <v>XX348</v>
      </c>
      <c r="B349" s="45" t="str">
        <f>_xlfn.TEXTJOIN("-",TRUE,"ITD",Input!$A$2,A349)</f>
        <v>ITD-SHRXXX-XX348</v>
      </c>
      <c r="C349" s="45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46" t="str" cm="1">
        <f t="array" ref="D349">IFERROR(_xlfn.LET(
_xlpm.CSVVal,_xlfn.XLOOKUP($A349,CSV!$A:$A,CSV!C:C,""),
_xlpm.MacVal,_xlfn.XLOOKUP($A349,Output_Mac!$A:$A,Output_Mac!D:D,""),
_xlpm.MyAuditVal,_xlfn.XLOOKUP($A349,My_Audit!$A:$A,My_Audit!C:C,""),
_xlfn.IFS(_xlpm.MyAuditVal&lt;&gt;"",UPPER(_xlpm.MyAuditVal),_xlpm.MacVal&lt;&gt;"",_xlpm.MacVal,_xlpm.CSVVal&lt;&gt;"",_xlpm.CSVVal
)),"")</f>
        <v/>
      </c>
      <c r="E349" s="46" t="str" cm="1">
        <f t="array" ref="E349">IFERROR(_xlfn.LET(
_xlpm.CSVVal,_xlfn.XLOOKUP($A349,CSV!$A:$A,CSV!E:E,""),
_xlpm.MacVal,_xlfn.XLOOKUP($A349,Output_Mac!$A:$A,Output_Mac!C:C,""),
_xlpm.MyAuditVal,_xlfn.XLOOKUP($A349,My_Audit!$A:$A,My_Audit!D:D,""),
_xlfn.IFS(_xlpm.MyAuditVal&lt;&gt;"",_xlpm.MyAuditVal,_xlpm.MacVal&lt;&gt;"",_xlpm.MacVal,_xlpm.CSVVal&lt;&gt;"",_xlpm.CSVVal
)),"")</f>
        <v/>
      </c>
      <c r="F349" s="45" t="str" cm="1">
        <f t="array" ref="F349">IFERROR(_xlfn.LET(
_xlpm.CSVVal,_xlfn.XLOOKUP($A349,CSV!$A:$A,CSV!F:F,""),
_xlpm.MacVal,_xlfn.XLOOKUP($A349,Output_Mac!$A:$A,Output_Mac!F:F,""),
_xlpm.MyAuditVal,_xlfn.XLOOKUP($A349,My_Audit!$A:$A,My_Audit!E:E,""),
_xlfn.IFS(_xlpm.MyAuditVal&lt;&gt;"",_xlpm.MyAuditVal,_xlpm.MacVal&lt;&gt;"",_xlpm.MacVal,_xlpm.CSVVal&lt;&gt;"",PROPER(_xlpm.CSVVal)
)),"")</f>
        <v/>
      </c>
      <c r="G349" s="45" t="str" cm="1">
        <f t="array" ref="G349">IFERROR(_xlfn.LET(
_xlpm.CSVVal,_xlfn.XLOOKUP($A349,CSV!$A:$A,CSV!G:G,""),
_xlpm.MacVal,_xlfn.XLOOKUP($A349,Output_Mac!$A:$A,Output_Mac!H:H,""),
_xlpm.MyAuditVal,_xlfn.XLOOKUP($A349,My_Audit!$A:$A,My_Audit!F:F,""),
_xlfn.IFS(_xlpm.MyAuditVal&lt;&gt;"",_xlpm.MyAuditVal,_xlpm.MacVal&lt;&gt;"",_xlpm.MacVal,_xlpm.CSVVal&lt;&gt;"",_xlpm.CSVVal
)),"")</f>
        <v/>
      </c>
      <c r="H349" s="45" t="str">
        <f>_xlfn.XLOOKUP(A349,Output_Mac!A:A,Output_Mac!I:I,"")</f>
        <v/>
      </c>
      <c r="I349" s="45" t="str" cm="1">
        <f t="array" ref="I349">IFERROR(_xlfn.LET(
_xlpm.CSVVal,_xlfn.XLOOKUP($A349,CSV!$A:$A,CSV!H:H,""),
_xlpm.MacVal,_xlfn.XLOOKUP($A349,Output_Mac!$A:$A,Output_Mac!J:J,""),
_xlpm.MyAuditVal,_xlfn.XLOOKUP($A349,My_Audit!$A:$A,My_Audit!H:H,""),
_xlfn.IFS(_xlpm.MyAuditVal&lt;&gt;"",UPPER(_xlpm.MyAuditVal),_xlpm.MacVal&lt;&gt;"",_xlpm.MacVal,_xlpm.CSVVal&lt;&gt;"",_xlpm.CSVVal
)),"")</f>
        <v/>
      </c>
      <c r="J349" s="45" t="str" cm="1">
        <f t="array" ref="J349">IFERROR(_xlfn.LET(
_xlpm.CSVVal,_xlfn.XLOOKUP($A349,CSV!$A:$A,CSV!J:J,""),
_xlpm.MacVal,_xlfn.XLOOKUP($A349,Output_Mac!$A:$A,Output_Mac!K:K,""),
_xlpm.MyAuditVal,_xlfn.XLOOKUP($A349,My_Audit!$A:$A,My_Audit!I:I,""),
_xlfn.IFS(_xlpm.MyAuditVal&lt;&gt;"",UPPER(_xlpm.MyAuditVal),_xlpm.MacVal&lt;&gt;"",_xlpm.MacVal,_xlpm.CSVVal&lt;&gt;"",_xlpm.CSVVal
)),"")</f>
        <v/>
      </c>
      <c r="K349" s="45" t="str" cm="1">
        <f t="array" ref="K349">IFERROR(_xlfn.LET(
_xlpm.CSVVal,_xlfn.XLOOKUP($A349,CSV!$A:$A,CSV!N:N,""),
_xlpm.MacVal,_xlfn.XLOOKUP($A349,Output_Mac!$A:$A,Output_Mac!L:L,""),
_xlpm.MyAuditVal,_xlfn.XLOOKUP($A349,My_Audit!$A:$A,My_Audit!J:J,""),
_xlfn.IFS(_xlpm.MyAuditVal&lt;&gt;"",UPPER(_xlpm.MyAuditVal),_xlpm.MacVal&lt;&gt;"",_xlpm.MacVal,_xlpm.CSVVal&lt;&gt;"",_xlpm.CSVVal
)),"")</f>
        <v/>
      </c>
      <c r="L349" s="46" t="str" cm="1">
        <f t="array" ref="L349">IFERROR(_xlfn.LET(
_xlpm.CSVVal,_xlfn.XLOOKUP($A349,CSV!$A:$A,CSV!Q:Q,""),
_xlpm.MacVal,_xlfn.XLOOKUP($A349,Output_Mac!$A:$A,Output_Mac!M:M,""),
_xlpm.MyAuditVal,_xlfn.XLOOKUP($A349,My_Audit!$A:$A,My_Audit!K:K,""),
_xlfn.IFS(_xlpm.MyAuditVal&lt;&gt;"",UPPER(_xlpm.MyAuditVal),_xlpm.MacVal&lt;&gt;"",_xlpm.MacVal,_xlpm.CSVVal&lt;&gt;"",_xlpm.CSVVal
)),"")</f>
        <v/>
      </c>
      <c r="M349" s="45" t="str">
        <f>_xlfn.LET(
    _xlpm.CSVVal, _xlfn.XLOOKUP($A349, CSV!$A:$A, CSV!AE:AE, ""),
    _xlpm.MacVal, _xlfn.XLOOKUP($A349, Output_Mac!$A:$A, Output_Mac!S:S, ""),
    _xlpm.MyAuditVal, _xlfn.XLOOKUP($A349, My_Audit!$A:$A, My_Audit!N:N, ""),
    _xlfn.TEXTJOIN(", ", TRUE, _xlpm.MyAuditVal, _xlpm.MacVal, _xlpm.CSVVal)
)</f>
        <v/>
      </c>
      <c r="N349" s="45" t="str" cm="1">
        <f t="array" ref="N349">IFERROR(_xlfn.LET(
_xlpm.CSVVal,_xlfn.XLOOKUP($A349,CSV!$A:$A,CSV!AG:AG,""),
_xlpm.MacVal,_xlfn.XLOOKUP($A349,Output_Mac!$A:$A,Output_Mac!U:U,""),
_xlpm.MyAuditVal,_xlfn.XLOOKUP($A349,My_Audit!$A:$A,My_Audit!O:O,""),
_xlfn.IFS(_xlpm.MyAuditVal&lt;&gt;"",UPPER(_xlpm.MyAuditVal),_xlpm.MacVal&lt;&gt;"",_xlpm.MacVal,_xlpm.CSVVal&lt;&gt;"",_xlpm.CSVVal
)),"")</f>
        <v/>
      </c>
      <c r="O349" s="46" t="str">
        <f>_xlfn.XLOOKUP(C349,My_Audit!B:B,My_Audit!P:P,"")&amp;""</f>
        <v/>
      </c>
      <c r="P349" s="45"/>
      <c r="Q349" s="46" t="str">
        <f>IF(LEFT(N349,4)="Pass","Nist SP 800-88",My_Audit!R349)&amp;""</f>
        <v/>
      </c>
      <c r="R349" s="45"/>
      <c r="S349" s="45"/>
      <c r="T349" s="46" t="str">
        <f>_xlfn.XLOOKUP(E349,Models!I:I,Models!J:J,"")</f>
        <v/>
      </c>
      <c r="U349" s="45"/>
      <c r="V349" s="45"/>
      <c r="W349" s="38"/>
    </row>
    <row r="350" spans="1:23">
      <c r="A350" s="45" t="str">
        <f>_xlfn.TEXTJOIN("",TRUE,Input!$B$2,ROW(My_Audit!A349))</f>
        <v>XX349</v>
      </c>
      <c r="B350" s="45" t="str">
        <f>_xlfn.TEXTJOIN("-",TRUE,"ITD",Input!$A$2,A350)</f>
        <v>ITD-SHRXXX-XX349</v>
      </c>
      <c r="C350" s="45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46" t="str" cm="1">
        <f t="array" ref="D350">IFERROR(_xlfn.LET(
_xlpm.CSVVal,_xlfn.XLOOKUP($A350,CSV!$A:$A,CSV!C:C,""),
_xlpm.MacVal,_xlfn.XLOOKUP($A350,Output_Mac!$A:$A,Output_Mac!D:D,""),
_xlpm.MyAuditVal,_xlfn.XLOOKUP($A350,My_Audit!$A:$A,My_Audit!C:C,""),
_xlfn.IFS(_xlpm.MyAuditVal&lt;&gt;"",UPPER(_xlpm.MyAuditVal),_xlpm.MacVal&lt;&gt;"",_xlpm.MacVal,_xlpm.CSVVal&lt;&gt;"",_xlpm.CSVVal
)),"")</f>
        <v/>
      </c>
      <c r="E350" s="46" t="str" cm="1">
        <f t="array" ref="E350">IFERROR(_xlfn.LET(
_xlpm.CSVVal,_xlfn.XLOOKUP($A350,CSV!$A:$A,CSV!E:E,""),
_xlpm.MacVal,_xlfn.XLOOKUP($A350,Output_Mac!$A:$A,Output_Mac!C:C,""),
_xlpm.MyAuditVal,_xlfn.XLOOKUP($A350,My_Audit!$A:$A,My_Audit!D:D,""),
_xlfn.IFS(_xlpm.MyAuditVal&lt;&gt;"",_xlpm.MyAuditVal,_xlpm.MacVal&lt;&gt;"",_xlpm.MacVal,_xlpm.CSVVal&lt;&gt;"",_xlpm.CSVVal
)),"")</f>
        <v/>
      </c>
      <c r="F350" s="45" t="str" cm="1">
        <f t="array" ref="F350">IFERROR(_xlfn.LET(
_xlpm.CSVVal,_xlfn.XLOOKUP($A350,CSV!$A:$A,CSV!F:F,""),
_xlpm.MacVal,_xlfn.XLOOKUP($A350,Output_Mac!$A:$A,Output_Mac!F:F,""),
_xlpm.MyAuditVal,_xlfn.XLOOKUP($A350,My_Audit!$A:$A,My_Audit!E:E,""),
_xlfn.IFS(_xlpm.MyAuditVal&lt;&gt;"",_xlpm.MyAuditVal,_xlpm.MacVal&lt;&gt;"",_xlpm.MacVal,_xlpm.CSVVal&lt;&gt;"",PROPER(_xlpm.CSVVal)
)),"")</f>
        <v/>
      </c>
      <c r="G350" s="45" t="str" cm="1">
        <f t="array" ref="G350">IFERROR(_xlfn.LET(
_xlpm.CSVVal,_xlfn.XLOOKUP($A350,CSV!$A:$A,CSV!G:G,""),
_xlpm.MacVal,_xlfn.XLOOKUP($A350,Output_Mac!$A:$A,Output_Mac!H:H,""),
_xlpm.MyAuditVal,_xlfn.XLOOKUP($A350,My_Audit!$A:$A,My_Audit!F:F,""),
_xlfn.IFS(_xlpm.MyAuditVal&lt;&gt;"",_xlpm.MyAuditVal,_xlpm.MacVal&lt;&gt;"",_xlpm.MacVal,_xlpm.CSVVal&lt;&gt;"",_xlpm.CSVVal
)),"")</f>
        <v/>
      </c>
      <c r="H350" s="45" t="str">
        <f>_xlfn.XLOOKUP(A350,Output_Mac!A:A,Output_Mac!I:I,"")</f>
        <v/>
      </c>
      <c r="I350" s="45" t="str" cm="1">
        <f t="array" ref="I350">IFERROR(_xlfn.LET(
_xlpm.CSVVal,_xlfn.XLOOKUP($A350,CSV!$A:$A,CSV!H:H,""),
_xlpm.MacVal,_xlfn.XLOOKUP($A350,Output_Mac!$A:$A,Output_Mac!J:J,""),
_xlpm.MyAuditVal,_xlfn.XLOOKUP($A350,My_Audit!$A:$A,My_Audit!H:H,""),
_xlfn.IFS(_xlpm.MyAuditVal&lt;&gt;"",UPPER(_xlpm.MyAuditVal),_xlpm.MacVal&lt;&gt;"",_xlpm.MacVal,_xlpm.CSVVal&lt;&gt;"",_xlpm.CSVVal
)),"")</f>
        <v/>
      </c>
      <c r="J350" s="45" t="str" cm="1">
        <f t="array" ref="J350">IFERROR(_xlfn.LET(
_xlpm.CSVVal,_xlfn.XLOOKUP($A350,CSV!$A:$A,CSV!J:J,""),
_xlpm.MacVal,_xlfn.XLOOKUP($A350,Output_Mac!$A:$A,Output_Mac!K:K,""),
_xlpm.MyAuditVal,_xlfn.XLOOKUP($A350,My_Audit!$A:$A,My_Audit!I:I,""),
_xlfn.IFS(_xlpm.MyAuditVal&lt;&gt;"",UPPER(_xlpm.MyAuditVal),_xlpm.MacVal&lt;&gt;"",_xlpm.MacVal,_xlpm.CSVVal&lt;&gt;"",_xlpm.CSVVal
)),"")</f>
        <v/>
      </c>
      <c r="K350" s="45" t="str" cm="1">
        <f t="array" ref="K350">IFERROR(_xlfn.LET(
_xlpm.CSVVal,_xlfn.XLOOKUP($A350,CSV!$A:$A,CSV!N:N,""),
_xlpm.MacVal,_xlfn.XLOOKUP($A350,Output_Mac!$A:$A,Output_Mac!L:L,""),
_xlpm.MyAuditVal,_xlfn.XLOOKUP($A350,My_Audit!$A:$A,My_Audit!J:J,""),
_xlfn.IFS(_xlpm.MyAuditVal&lt;&gt;"",UPPER(_xlpm.MyAuditVal),_xlpm.MacVal&lt;&gt;"",_xlpm.MacVal,_xlpm.CSVVal&lt;&gt;"",_xlpm.CSVVal
)),"")</f>
        <v/>
      </c>
      <c r="L350" s="46" t="str" cm="1">
        <f t="array" ref="L350">IFERROR(_xlfn.LET(
_xlpm.CSVVal,_xlfn.XLOOKUP($A350,CSV!$A:$A,CSV!Q:Q,""),
_xlpm.MacVal,_xlfn.XLOOKUP($A350,Output_Mac!$A:$A,Output_Mac!M:M,""),
_xlpm.MyAuditVal,_xlfn.XLOOKUP($A350,My_Audit!$A:$A,My_Audit!K:K,""),
_xlfn.IFS(_xlpm.MyAuditVal&lt;&gt;"",UPPER(_xlpm.MyAuditVal),_xlpm.MacVal&lt;&gt;"",_xlpm.MacVal,_xlpm.CSVVal&lt;&gt;"",_xlpm.CSVVal
)),"")</f>
        <v/>
      </c>
      <c r="M350" s="45" t="str">
        <f>_xlfn.LET(
    _xlpm.CSVVal, _xlfn.XLOOKUP($A350, CSV!$A:$A, CSV!AE:AE, ""),
    _xlpm.MacVal, _xlfn.XLOOKUP($A350, Output_Mac!$A:$A, Output_Mac!S:S, ""),
    _xlpm.MyAuditVal, _xlfn.XLOOKUP($A350, My_Audit!$A:$A, My_Audit!N:N, ""),
    _xlfn.TEXTJOIN(", ", TRUE, _xlpm.MyAuditVal, _xlpm.MacVal, _xlpm.CSVVal)
)</f>
        <v/>
      </c>
      <c r="N350" s="45" t="str" cm="1">
        <f t="array" ref="N350">IFERROR(_xlfn.LET(
_xlpm.CSVVal,_xlfn.XLOOKUP($A350,CSV!$A:$A,CSV!AG:AG,""),
_xlpm.MacVal,_xlfn.XLOOKUP($A350,Output_Mac!$A:$A,Output_Mac!U:U,""),
_xlpm.MyAuditVal,_xlfn.XLOOKUP($A350,My_Audit!$A:$A,My_Audit!O:O,""),
_xlfn.IFS(_xlpm.MyAuditVal&lt;&gt;"",UPPER(_xlpm.MyAuditVal),_xlpm.MacVal&lt;&gt;"",_xlpm.MacVal,_xlpm.CSVVal&lt;&gt;"",_xlpm.CSVVal
)),"")</f>
        <v/>
      </c>
      <c r="O350" s="46" t="str">
        <f>_xlfn.XLOOKUP(C350,My_Audit!B:B,My_Audit!P:P,"")&amp;""</f>
        <v/>
      </c>
      <c r="P350" s="45"/>
      <c r="Q350" s="46" t="str">
        <f>IF(LEFT(N350,4)="Pass","Nist SP 800-88",My_Audit!R350)&amp;""</f>
        <v/>
      </c>
      <c r="R350" s="45"/>
      <c r="S350" s="45"/>
      <c r="T350" s="46" t="str">
        <f>_xlfn.XLOOKUP(E350,Models!I:I,Models!J:J,"")</f>
        <v/>
      </c>
      <c r="U350" s="45"/>
      <c r="V350" s="45"/>
      <c r="W350" s="38"/>
    </row>
    <row r="351" spans="1:23">
      <c r="A351" s="45" t="str">
        <f>_xlfn.TEXTJOIN("",TRUE,Input!$B$2,ROW(My_Audit!A350))</f>
        <v>XX350</v>
      </c>
      <c r="B351" s="45" t="str">
        <f>_xlfn.TEXTJOIN("-",TRUE,"ITD",Input!$A$2,A351)</f>
        <v>ITD-SHRXXX-XX350</v>
      </c>
      <c r="C351" s="45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46" t="str" cm="1">
        <f t="array" ref="D351">IFERROR(_xlfn.LET(
_xlpm.CSVVal,_xlfn.XLOOKUP($A351,CSV!$A:$A,CSV!C:C,""),
_xlpm.MacVal,_xlfn.XLOOKUP($A351,Output_Mac!$A:$A,Output_Mac!D:D,""),
_xlpm.MyAuditVal,_xlfn.XLOOKUP($A351,My_Audit!$A:$A,My_Audit!C:C,""),
_xlfn.IFS(_xlpm.MyAuditVal&lt;&gt;"",UPPER(_xlpm.MyAuditVal),_xlpm.MacVal&lt;&gt;"",_xlpm.MacVal,_xlpm.CSVVal&lt;&gt;"",_xlpm.CSVVal
)),"")</f>
        <v/>
      </c>
      <c r="E351" s="46" t="str" cm="1">
        <f t="array" ref="E351">IFERROR(_xlfn.LET(
_xlpm.CSVVal,_xlfn.XLOOKUP($A351,CSV!$A:$A,CSV!E:E,""),
_xlpm.MacVal,_xlfn.XLOOKUP($A351,Output_Mac!$A:$A,Output_Mac!C:C,""),
_xlpm.MyAuditVal,_xlfn.XLOOKUP($A351,My_Audit!$A:$A,My_Audit!D:D,""),
_xlfn.IFS(_xlpm.MyAuditVal&lt;&gt;"",_xlpm.MyAuditVal,_xlpm.MacVal&lt;&gt;"",_xlpm.MacVal,_xlpm.CSVVal&lt;&gt;"",_xlpm.CSVVal
)),"")</f>
        <v/>
      </c>
      <c r="F351" s="45" t="str" cm="1">
        <f t="array" ref="F351">IFERROR(_xlfn.LET(
_xlpm.CSVVal,_xlfn.XLOOKUP($A351,CSV!$A:$A,CSV!F:F,""),
_xlpm.MacVal,_xlfn.XLOOKUP($A351,Output_Mac!$A:$A,Output_Mac!F:F,""),
_xlpm.MyAuditVal,_xlfn.XLOOKUP($A351,My_Audit!$A:$A,My_Audit!E:E,""),
_xlfn.IFS(_xlpm.MyAuditVal&lt;&gt;"",_xlpm.MyAuditVal,_xlpm.MacVal&lt;&gt;"",_xlpm.MacVal,_xlpm.CSVVal&lt;&gt;"",PROPER(_xlpm.CSVVal)
)),"")</f>
        <v/>
      </c>
      <c r="G351" s="45" t="str" cm="1">
        <f t="array" ref="G351">IFERROR(_xlfn.LET(
_xlpm.CSVVal,_xlfn.XLOOKUP($A351,CSV!$A:$A,CSV!G:G,""),
_xlpm.MacVal,_xlfn.XLOOKUP($A351,Output_Mac!$A:$A,Output_Mac!H:H,""),
_xlpm.MyAuditVal,_xlfn.XLOOKUP($A351,My_Audit!$A:$A,My_Audit!F:F,""),
_xlfn.IFS(_xlpm.MyAuditVal&lt;&gt;"",_xlpm.MyAuditVal,_xlpm.MacVal&lt;&gt;"",_xlpm.MacVal,_xlpm.CSVVal&lt;&gt;"",_xlpm.CSVVal
)),"")</f>
        <v/>
      </c>
      <c r="H351" s="45" t="str">
        <f>_xlfn.XLOOKUP(A351,Output_Mac!A:A,Output_Mac!I:I,"")</f>
        <v/>
      </c>
      <c r="I351" s="45" t="str" cm="1">
        <f t="array" ref="I351">IFERROR(_xlfn.LET(
_xlpm.CSVVal,_xlfn.XLOOKUP($A351,CSV!$A:$A,CSV!H:H,""),
_xlpm.MacVal,_xlfn.XLOOKUP($A351,Output_Mac!$A:$A,Output_Mac!J:J,""),
_xlpm.MyAuditVal,_xlfn.XLOOKUP($A351,My_Audit!$A:$A,My_Audit!H:H,""),
_xlfn.IFS(_xlpm.MyAuditVal&lt;&gt;"",UPPER(_xlpm.MyAuditVal),_xlpm.MacVal&lt;&gt;"",_xlpm.MacVal,_xlpm.CSVVal&lt;&gt;"",_xlpm.CSVVal
)),"")</f>
        <v/>
      </c>
      <c r="J351" s="45" t="str" cm="1">
        <f t="array" ref="J351">IFERROR(_xlfn.LET(
_xlpm.CSVVal,_xlfn.XLOOKUP($A351,CSV!$A:$A,CSV!J:J,""),
_xlpm.MacVal,_xlfn.XLOOKUP($A351,Output_Mac!$A:$A,Output_Mac!K:K,""),
_xlpm.MyAuditVal,_xlfn.XLOOKUP($A351,My_Audit!$A:$A,My_Audit!I:I,""),
_xlfn.IFS(_xlpm.MyAuditVal&lt;&gt;"",UPPER(_xlpm.MyAuditVal),_xlpm.MacVal&lt;&gt;"",_xlpm.MacVal,_xlpm.CSVVal&lt;&gt;"",_xlpm.CSVVal
)),"")</f>
        <v/>
      </c>
      <c r="K351" s="45" t="str" cm="1">
        <f t="array" ref="K351">IFERROR(_xlfn.LET(
_xlpm.CSVVal,_xlfn.XLOOKUP($A351,CSV!$A:$A,CSV!N:N,""),
_xlpm.MacVal,_xlfn.XLOOKUP($A351,Output_Mac!$A:$A,Output_Mac!L:L,""),
_xlpm.MyAuditVal,_xlfn.XLOOKUP($A351,My_Audit!$A:$A,My_Audit!J:J,""),
_xlfn.IFS(_xlpm.MyAuditVal&lt;&gt;"",UPPER(_xlpm.MyAuditVal),_xlpm.MacVal&lt;&gt;"",_xlpm.MacVal,_xlpm.CSVVal&lt;&gt;"",_xlpm.CSVVal
)),"")</f>
        <v/>
      </c>
      <c r="L351" s="46" t="str" cm="1">
        <f t="array" ref="L351">IFERROR(_xlfn.LET(
_xlpm.CSVVal,_xlfn.XLOOKUP($A351,CSV!$A:$A,CSV!Q:Q,""),
_xlpm.MacVal,_xlfn.XLOOKUP($A351,Output_Mac!$A:$A,Output_Mac!M:M,""),
_xlpm.MyAuditVal,_xlfn.XLOOKUP($A351,My_Audit!$A:$A,My_Audit!K:K,""),
_xlfn.IFS(_xlpm.MyAuditVal&lt;&gt;"",UPPER(_xlpm.MyAuditVal),_xlpm.MacVal&lt;&gt;"",_xlpm.MacVal,_xlpm.CSVVal&lt;&gt;"",_xlpm.CSVVal
)),"")</f>
        <v/>
      </c>
      <c r="M351" s="45" t="str">
        <f>_xlfn.LET(
    _xlpm.CSVVal, _xlfn.XLOOKUP($A351, CSV!$A:$A, CSV!AE:AE, ""),
    _xlpm.MacVal, _xlfn.XLOOKUP($A351, Output_Mac!$A:$A, Output_Mac!S:S, ""),
    _xlpm.MyAuditVal, _xlfn.XLOOKUP($A351, My_Audit!$A:$A, My_Audit!N:N, ""),
    _xlfn.TEXTJOIN(", ", TRUE, _xlpm.MyAuditVal, _xlpm.MacVal, _xlpm.CSVVal)
)</f>
        <v/>
      </c>
      <c r="N351" s="45" t="str" cm="1">
        <f t="array" ref="N351">IFERROR(_xlfn.LET(
_xlpm.CSVVal,_xlfn.XLOOKUP($A351,CSV!$A:$A,CSV!AG:AG,""),
_xlpm.MacVal,_xlfn.XLOOKUP($A351,Output_Mac!$A:$A,Output_Mac!U:U,""),
_xlpm.MyAuditVal,_xlfn.XLOOKUP($A351,My_Audit!$A:$A,My_Audit!O:O,""),
_xlfn.IFS(_xlpm.MyAuditVal&lt;&gt;"",UPPER(_xlpm.MyAuditVal),_xlpm.MacVal&lt;&gt;"",_xlpm.MacVal,_xlpm.CSVVal&lt;&gt;"",_xlpm.CSVVal
)),"")</f>
        <v/>
      </c>
      <c r="O351" s="46" t="str">
        <f>_xlfn.XLOOKUP(C351,My_Audit!B:B,My_Audit!P:P,"")&amp;""</f>
        <v/>
      </c>
      <c r="P351" s="45"/>
      <c r="Q351" s="46" t="str">
        <f>IF(LEFT(N351,4)="Pass","Nist SP 800-88",My_Audit!R351)&amp;""</f>
        <v/>
      </c>
      <c r="R351" s="45"/>
      <c r="S351" s="45"/>
      <c r="T351" s="46" t="str">
        <f>_xlfn.XLOOKUP(E351,Models!I:I,Models!J:J,"")</f>
        <v/>
      </c>
      <c r="U351" s="45"/>
      <c r="V351" s="45"/>
      <c r="W351" s="38"/>
    </row>
    <row r="352" spans="1:23">
      <c r="A352" s="45" t="str">
        <f>_xlfn.TEXTJOIN("",TRUE,Input!$B$2,ROW(My_Audit!A351))</f>
        <v>XX351</v>
      </c>
      <c r="B352" s="45" t="str">
        <f>_xlfn.TEXTJOIN("-",TRUE,"ITD",Input!$A$2,A352)</f>
        <v>ITD-SHRXXX-XX351</v>
      </c>
      <c r="C352" s="45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46" t="str" cm="1">
        <f t="array" ref="D352">IFERROR(_xlfn.LET(
_xlpm.CSVVal,_xlfn.XLOOKUP($A352,CSV!$A:$A,CSV!C:C,""),
_xlpm.MacVal,_xlfn.XLOOKUP($A352,Output_Mac!$A:$A,Output_Mac!D:D,""),
_xlpm.MyAuditVal,_xlfn.XLOOKUP($A352,My_Audit!$A:$A,My_Audit!C:C,""),
_xlfn.IFS(_xlpm.MyAuditVal&lt;&gt;"",UPPER(_xlpm.MyAuditVal),_xlpm.MacVal&lt;&gt;"",_xlpm.MacVal,_xlpm.CSVVal&lt;&gt;"",_xlpm.CSVVal
)),"")</f>
        <v/>
      </c>
      <c r="E352" s="46" t="str" cm="1">
        <f t="array" ref="E352">IFERROR(_xlfn.LET(
_xlpm.CSVVal,_xlfn.XLOOKUP($A352,CSV!$A:$A,CSV!E:E,""),
_xlpm.MacVal,_xlfn.XLOOKUP($A352,Output_Mac!$A:$A,Output_Mac!C:C,""),
_xlpm.MyAuditVal,_xlfn.XLOOKUP($A352,My_Audit!$A:$A,My_Audit!D:D,""),
_xlfn.IFS(_xlpm.MyAuditVal&lt;&gt;"",_xlpm.MyAuditVal,_xlpm.MacVal&lt;&gt;"",_xlpm.MacVal,_xlpm.CSVVal&lt;&gt;"",_xlpm.CSVVal
)),"")</f>
        <v/>
      </c>
      <c r="F352" s="45" t="str" cm="1">
        <f t="array" ref="F352">IFERROR(_xlfn.LET(
_xlpm.CSVVal,_xlfn.XLOOKUP($A352,CSV!$A:$A,CSV!F:F,""),
_xlpm.MacVal,_xlfn.XLOOKUP($A352,Output_Mac!$A:$A,Output_Mac!F:F,""),
_xlpm.MyAuditVal,_xlfn.XLOOKUP($A352,My_Audit!$A:$A,My_Audit!E:E,""),
_xlfn.IFS(_xlpm.MyAuditVal&lt;&gt;"",_xlpm.MyAuditVal,_xlpm.MacVal&lt;&gt;"",_xlpm.MacVal,_xlpm.CSVVal&lt;&gt;"",PROPER(_xlpm.CSVVal)
)),"")</f>
        <v/>
      </c>
      <c r="G352" s="45" t="str" cm="1">
        <f t="array" ref="G352">IFERROR(_xlfn.LET(
_xlpm.CSVVal,_xlfn.XLOOKUP($A352,CSV!$A:$A,CSV!G:G,""),
_xlpm.MacVal,_xlfn.XLOOKUP($A352,Output_Mac!$A:$A,Output_Mac!H:H,""),
_xlpm.MyAuditVal,_xlfn.XLOOKUP($A352,My_Audit!$A:$A,My_Audit!F:F,""),
_xlfn.IFS(_xlpm.MyAuditVal&lt;&gt;"",_xlpm.MyAuditVal,_xlpm.MacVal&lt;&gt;"",_xlpm.MacVal,_xlpm.CSVVal&lt;&gt;"",_xlpm.CSVVal
)),"")</f>
        <v/>
      </c>
      <c r="H352" s="45" t="str">
        <f>_xlfn.XLOOKUP(A352,Output_Mac!A:A,Output_Mac!I:I,"")</f>
        <v/>
      </c>
      <c r="I352" s="45" t="str" cm="1">
        <f t="array" ref="I352">IFERROR(_xlfn.LET(
_xlpm.CSVVal,_xlfn.XLOOKUP($A352,CSV!$A:$A,CSV!H:H,""),
_xlpm.MacVal,_xlfn.XLOOKUP($A352,Output_Mac!$A:$A,Output_Mac!J:J,""),
_xlpm.MyAuditVal,_xlfn.XLOOKUP($A352,My_Audit!$A:$A,My_Audit!H:H,""),
_xlfn.IFS(_xlpm.MyAuditVal&lt;&gt;"",UPPER(_xlpm.MyAuditVal),_xlpm.MacVal&lt;&gt;"",_xlpm.MacVal,_xlpm.CSVVal&lt;&gt;"",_xlpm.CSVVal
)),"")</f>
        <v/>
      </c>
      <c r="J352" s="45" t="str" cm="1">
        <f t="array" ref="J352">IFERROR(_xlfn.LET(
_xlpm.CSVVal,_xlfn.XLOOKUP($A352,CSV!$A:$A,CSV!J:J,""),
_xlpm.MacVal,_xlfn.XLOOKUP($A352,Output_Mac!$A:$A,Output_Mac!K:K,""),
_xlpm.MyAuditVal,_xlfn.XLOOKUP($A352,My_Audit!$A:$A,My_Audit!I:I,""),
_xlfn.IFS(_xlpm.MyAuditVal&lt;&gt;"",UPPER(_xlpm.MyAuditVal),_xlpm.MacVal&lt;&gt;"",_xlpm.MacVal,_xlpm.CSVVal&lt;&gt;"",_xlpm.CSVVal
)),"")</f>
        <v/>
      </c>
      <c r="K352" s="45" t="str" cm="1">
        <f t="array" ref="K352">IFERROR(_xlfn.LET(
_xlpm.CSVVal,_xlfn.XLOOKUP($A352,CSV!$A:$A,CSV!N:N,""),
_xlpm.MacVal,_xlfn.XLOOKUP($A352,Output_Mac!$A:$A,Output_Mac!L:L,""),
_xlpm.MyAuditVal,_xlfn.XLOOKUP($A352,My_Audit!$A:$A,My_Audit!J:J,""),
_xlfn.IFS(_xlpm.MyAuditVal&lt;&gt;"",UPPER(_xlpm.MyAuditVal),_xlpm.MacVal&lt;&gt;"",_xlpm.MacVal,_xlpm.CSVVal&lt;&gt;"",_xlpm.CSVVal
)),"")</f>
        <v/>
      </c>
      <c r="L352" s="46" t="str" cm="1">
        <f t="array" ref="L352">IFERROR(_xlfn.LET(
_xlpm.CSVVal,_xlfn.XLOOKUP($A352,CSV!$A:$A,CSV!Q:Q,""),
_xlpm.MacVal,_xlfn.XLOOKUP($A352,Output_Mac!$A:$A,Output_Mac!M:M,""),
_xlpm.MyAuditVal,_xlfn.XLOOKUP($A352,My_Audit!$A:$A,My_Audit!K:K,""),
_xlfn.IFS(_xlpm.MyAuditVal&lt;&gt;"",UPPER(_xlpm.MyAuditVal),_xlpm.MacVal&lt;&gt;"",_xlpm.MacVal,_xlpm.CSVVal&lt;&gt;"",_xlpm.CSVVal
)),"")</f>
        <v/>
      </c>
      <c r="M352" s="45" t="str">
        <f>_xlfn.LET(
    _xlpm.CSVVal, _xlfn.XLOOKUP($A352, CSV!$A:$A, CSV!AE:AE, ""),
    _xlpm.MacVal, _xlfn.XLOOKUP($A352, Output_Mac!$A:$A, Output_Mac!S:S, ""),
    _xlpm.MyAuditVal, _xlfn.XLOOKUP($A352, My_Audit!$A:$A, My_Audit!N:N, ""),
    _xlfn.TEXTJOIN(", ", TRUE, _xlpm.MyAuditVal, _xlpm.MacVal, _xlpm.CSVVal)
)</f>
        <v/>
      </c>
      <c r="N352" s="45" t="str" cm="1">
        <f t="array" ref="N352">IFERROR(_xlfn.LET(
_xlpm.CSVVal,_xlfn.XLOOKUP($A352,CSV!$A:$A,CSV!AG:AG,""),
_xlpm.MacVal,_xlfn.XLOOKUP($A352,Output_Mac!$A:$A,Output_Mac!U:U,""),
_xlpm.MyAuditVal,_xlfn.XLOOKUP($A352,My_Audit!$A:$A,My_Audit!O:O,""),
_xlfn.IFS(_xlpm.MyAuditVal&lt;&gt;"",UPPER(_xlpm.MyAuditVal),_xlpm.MacVal&lt;&gt;"",_xlpm.MacVal,_xlpm.CSVVal&lt;&gt;"",_xlpm.CSVVal
)),"")</f>
        <v/>
      </c>
      <c r="O352" s="46" t="str">
        <f>_xlfn.XLOOKUP(C352,My_Audit!B:B,My_Audit!P:P,"")&amp;""</f>
        <v/>
      </c>
      <c r="P352" s="45"/>
      <c r="Q352" s="46" t="str">
        <f>IF(LEFT(N352,4)="Pass","Nist SP 800-88",My_Audit!R352)&amp;""</f>
        <v/>
      </c>
      <c r="R352" s="45"/>
      <c r="S352" s="45"/>
      <c r="T352" s="46" t="str">
        <f>_xlfn.XLOOKUP(E352,Models!I:I,Models!J:J,"")</f>
        <v/>
      </c>
      <c r="U352" s="45"/>
      <c r="V352" s="45"/>
      <c r="W352" s="38"/>
    </row>
    <row r="353" spans="1:23">
      <c r="A353" s="45" t="str">
        <f>_xlfn.TEXTJOIN("",TRUE,Input!$B$2,ROW(My_Audit!A352))</f>
        <v>XX352</v>
      </c>
      <c r="B353" s="45" t="str">
        <f>_xlfn.TEXTJOIN("-",TRUE,"ITD",Input!$A$2,A353)</f>
        <v>ITD-SHRXXX-XX352</v>
      </c>
      <c r="C353" s="45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46" t="str" cm="1">
        <f t="array" ref="D353">IFERROR(_xlfn.LET(
_xlpm.CSVVal,_xlfn.XLOOKUP($A353,CSV!$A:$A,CSV!C:C,""),
_xlpm.MacVal,_xlfn.XLOOKUP($A353,Output_Mac!$A:$A,Output_Mac!D:D,""),
_xlpm.MyAuditVal,_xlfn.XLOOKUP($A353,My_Audit!$A:$A,My_Audit!C:C,""),
_xlfn.IFS(_xlpm.MyAuditVal&lt;&gt;"",UPPER(_xlpm.MyAuditVal),_xlpm.MacVal&lt;&gt;"",_xlpm.MacVal,_xlpm.CSVVal&lt;&gt;"",_xlpm.CSVVal
)),"")</f>
        <v/>
      </c>
      <c r="E353" s="46" t="str" cm="1">
        <f t="array" ref="E353">IFERROR(_xlfn.LET(
_xlpm.CSVVal,_xlfn.XLOOKUP($A353,CSV!$A:$A,CSV!E:E,""),
_xlpm.MacVal,_xlfn.XLOOKUP($A353,Output_Mac!$A:$A,Output_Mac!C:C,""),
_xlpm.MyAuditVal,_xlfn.XLOOKUP($A353,My_Audit!$A:$A,My_Audit!D:D,""),
_xlfn.IFS(_xlpm.MyAuditVal&lt;&gt;"",_xlpm.MyAuditVal,_xlpm.MacVal&lt;&gt;"",_xlpm.MacVal,_xlpm.CSVVal&lt;&gt;"",_xlpm.CSVVal
)),"")</f>
        <v/>
      </c>
      <c r="F353" s="45" t="str" cm="1">
        <f t="array" ref="F353">IFERROR(_xlfn.LET(
_xlpm.CSVVal,_xlfn.XLOOKUP($A353,CSV!$A:$A,CSV!F:F,""),
_xlpm.MacVal,_xlfn.XLOOKUP($A353,Output_Mac!$A:$A,Output_Mac!F:F,""),
_xlpm.MyAuditVal,_xlfn.XLOOKUP($A353,My_Audit!$A:$A,My_Audit!E:E,""),
_xlfn.IFS(_xlpm.MyAuditVal&lt;&gt;"",_xlpm.MyAuditVal,_xlpm.MacVal&lt;&gt;"",_xlpm.MacVal,_xlpm.CSVVal&lt;&gt;"",PROPER(_xlpm.CSVVal)
)),"")</f>
        <v/>
      </c>
      <c r="G353" s="45" t="str" cm="1">
        <f t="array" ref="G353">IFERROR(_xlfn.LET(
_xlpm.CSVVal,_xlfn.XLOOKUP($A353,CSV!$A:$A,CSV!G:G,""),
_xlpm.MacVal,_xlfn.XLOOKUP($A353,Output_Mac!$A:$A,Output_Mac!H:H,""),
_xlpm.MyAuditVal,_xlfn.XLOOKUP($A353,My_Audit!$A:$A,My_Audit!F:F,""),
_xlfn.IFS(_xlpm.MyAuditVal&lt;&gt;"",_xlpm.MyAuditVal,_xlpm.MacVal&lt;&gt;"",_xlpm.MacVal,_xlpm.CSVVal&lt;&gt;"",_xlpm.CSVVal
)),"")</f>
        <v/>
      </c>
      <c r="H353" s="45" t="str">
        <f>_xlfn.XLOOKUP(A353,Output_Mac!A:A,Output_Mac!I:I,"")</f>
        <v/>
      </c>
      <c r="I353" s="45" t="str" cm="1">
        <f t="array" ref="I353">IFERROR(_xlfn.LET(
_xlpm.CSVVal,_xlfn.XLOOKUP($A353,CSV!$A:$A,CSV!H:H,""),
_xlpm.MacVal,_xlfn.XLOOKUP($A353,Output_Mac!$A:$A,Output_Mac!J:J,""),
_xlpm.MyAuditVal,_xlfn.XLOOKUP($A353,My_Audit!$A:$A,My_Audit!H:H,""),
_xlfn.IFS(_xlpm.MyAuditVal&lt;&gt;"",UPPER(_xlpm.MyAuditVal),_xlpm.MacVal&lt;&gt;"",_xlpm.MacVal,_xlpm.CSVVal&lt;&gt;"",_xlpm.CSVVal
)),"")</f>
        <v/>
      </c>
      <c r="J353" s="45" t="str" cm="1">
        <f t="array" ref="J353">IFERROR(_xlfn.LET(
_xlpm.CSVVal,_xlfn.XLOOKUP($A353,CSV!$A:$A,CSV!J:J,""),
_xlpm.MacVal,_xlfn.XLOOKUP($A353,Output_Mac!$A:$A,Output_Mac!K:K,""),
_xlpm.MyAuditVal,_xlfn.XLOOKUP($A353,My_Audit!$A:$A,My_Audit!I:I,""),
_xlfn.IFS(_xlpm.MyAuditVal&lt;&gt;"",UPPER(_xlpm.MyAuditVal),_xlpm.MacVal&lt;&gt;"",_xlpm.MacVal,_xlpm.CSVVal&lt;&gt;"",_xlpm.CSVVal
)),"")</f>
        <v/>
      </c>
      <c r="K353" s="45" t="str" cm="1">
        <f t="array" ref="K353">IFERROR(_xlfn.LET(
_xlpm.CSVVal,_xlfn.XLOOKUP($A353,CSV!$A:$A,CSV!N:N,""),
_xlpm.MacVal,_xlfn.XLOOKUP($A353,Output_Mac!$A:$A,Output_Mac!L:L,""),
_xlpm.MyAuditVal,_xlfn.XLOOKUP($A353,My_Audit!$A:$A,My_Audit!J:J,""),
_xlfn.IFS(_xlpm.MyAuditVal&lt;&gt;"",UPPER(_xlpm.MyAuditVal),_xlpm.MacVal&lt;&gt;"",_xlpm.MacVal,_xlpm.CSVVal&lt;&gt;"",_xlpm.CSVVal
)),"")</f>
        <v/>
      </c>
      <c r="L353" s="46" t="str" cm="1">
        <f t="array" ref="L353">IFERROR(_xlfn.LET(
_xlpm.CSVVal,_xlfn.XLOOKUP($A353,CSV!$A:$A,CSV!Q:Q,""),
_xlpm.MacVal,_xlfn.XLOOKUP($A353,Output_Mac!$A:$A,Output_Mac!M:M,""),
_xlpm.MyAuditVal,_xlfn.XLOOKUP($A353,My_Audit!$A:$A,My_Audit!K:K,""),
_xlfn.IFS(_xlpm.MyAuditVal&lt;&gt;"",UPPER(_xlpm.MyAuditVal),_xlpm.MacVal&lt;&gt;"",_xlpm.MacVal,_xlpm.CSVVal&lt;&gt;"",_xlpm.CSVVal
)),"")</f>
        <v/>
      </c>
      <c r="M353" s="45" t="str">
        <f>_xlfn.LET(
    _xlpm.CSVVal, _xlfn.XLOOKUP($A353, CSV!$A:$A, CSV!AE:AE, ""),
    _xlpm.MacVal, _xlfn.XLOOKUP($A353, Output_Mac!$A:$A, Output_Mac!S:S, ""),
    _xlpm.MyAuditVal, _xlfn.XLOOKUP($A353, My_Audit!$A:$A, My_Audit!N:N, ""),
    _xlfn.TEXTJOIN(", ", TRUE, _xlpm.MyAuditVal, _xlpm.MacVal, _xlpm.CSVVal)
)</f>
        <v/>
      </c>
      <c r="N353" s="45" t="str" cm="1">
        <f t="array" ref="N353">IFERROR(_xlfn.LET(
_xlpm.CSVVal,_xlfn.XLOOKUP($A353,CSV!$A:$A,CSV!AG:AG,""),
_xlpm.MacVal,_xlfn.XLOOKUP($A353,Output_Mac!$A:$A,Output_Mac!U:U,""),
_xlpm.MyAuditVal,_xlfn.XLOOKUP($A353,My_Audit!$A:$A,My_Audit!O:O,""),
_xlfn.IFS(_xlpm.MyAuditVal&lt;&gt;"",UPPER(_xlpm.MyAuditVal),_xlpm.MacVal&lt;&gt;"",_xlpm.MacVal,_xlpm.CSVVal&lt;&gt;"",_xlpm.CSVVal
)),"")</f>
        <v/>
      </c>
      <c r="O353" s="46" t="str">
        <f>_xlfn.XLOOKUP(C353,My_Audit!B:B,My_Audit!P:P,"")&amp;""</f>
        <v/>
      </c>
      <c r="P353" s="45"/>
      <c r="Q353" s="46" t="str">
        <f>IF(LEFT(N353,4)="Pass","Nist SP 800-88",My_Audit!R353)&amp;""</f>
        <v/>
      </c>
      <c r="R353" s="45"/>
      <c r="S353" s="45"/>
      <c r="T353" s="46" t="str">
        <f>_xlfn.XLOOKUP(E353,Models!I:I,Models!J:J,"")</f>
        <v/>
      </c>
      <c r="U353" s="45"/>
      <c r="V353" s="45"/>
      <c r="W353" s="38"/>
    </row>
    <row r="354" spans="1:23">
      <c r="A354" s="45" t="str">
        <f>_xlfn.TEXTJOIN("",TRUE,Input!$B$2,ROW(My_Audit!A353))</f>
        <v>XX353</v>
      </c>
      <c r="B354" s="45" t="str">
        <f>_xlfn.TEXTJOIN("-",TRUE,"ITD",Input!$A$2,A354)</f>
        <v>ITD-SHRXXX-XX353</v>
      </c>
      <c r="C354" s="45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46" t="str" cm="1">
        <f t="array" ref="D354">IFERROR(_xlfn.LET(
_xlpm.CSVVal,_xlfn.XLOOKUP($A354,CSV!$A:$A,CSV!C:C,""),
_xlpm.MacVal,_xlfn.XLOOKUP($A354,Output_Mac!$A:$A,Output_Mac!D:D,""),
_xlpm.MyAuditVal,_xlfn.XLOOKUP($A354,My_Audit!$A:$A,My_Audit!C:C,""),
_xlfn.IFS(_xlpm.MyAuditVal&lt;&gt;"",UPPER(_xlpm.MyAuditVal),_xlpm.MacVal&lt;&gt;"",_xlpm.MacVal,_xlpm.CSVVal&lt;&gt;"",_xlpm.CSVVal
)),"")</f>
        <v/>
      </c>
      <c r="E354" s="46" t="str" cm="1">
        <f t="array" ref="E354">IFERROR(_xlfn.LET(
_xlpm.CSVVal,_xlfn.XLOOKUP($A354,CSV!$A:$A,CSV!E:E,""),
_xlpm.MacVal,_xlfn.XLOOKUP($A354,Output_Mac!$A:$A,Output_Mac!C:C,""),
_xlpm.MyAuditVal,_xlfn.XLOOKUP($A354,My_Audit!$A:$A,My_Audit!D:D,""),
_xlfn.IFS(_xlpm.MyAuditVal&lt;&gt;"",_xlpm.MyAuditVal,_xlpm.MacVal&lt;&gt;"",_xlpm.MacVal,_xlpm.CSVVal&lt;&gt;"",_xlpm.CSVVal
)),"")</f>
        <v/>
      </c>
      <c r="F354" s="45" t="str" cm="1">
        <f t="array" ref="F354">IFERROR(_xlfn.LET(
_xlpm.CSVVal,_xlfn.XLOOKUP($A354,CSV!$A:$A,CSV!F:F,""),
_xlpm.MacVal,_xlfn.XLOOKUP($A354,Output_Mac!$A:$A,Output_Mac!F:F,""),
_xlpm.MyAuditVal,_xlfn.XLOOKUP($A354,My_Audit!$A:$A,My_Audit!E:E,""),
_xlfn.IFS(_xlpm.MyAuditVal&lt;&gt;"",_xlpm.MyAuditVal,_xlpm.MacVal&lt;&gt;"",_xlpm.MacVal,_xlpm.CSVVal&lt;&gt;"",PROPER(_xlpm.CSVVal)
)),"")</f>
        <v/>
      </c>
      <c r="G354" s="45" t="str" cm="1">
        <f t="array" ref="G354">IFERROR(_xlfn.LET(
_xlpm.CSVVal,_xlfn.XLOOKUP($A354,CSV!$A:$A,CSV!G:G,""),
_xlpm.MacVal,_xlfn.XLOOKUP($A354,Output_Mac!$A:$A,Output_Mac!H:H,""),
_xlpm.MyAuditVal,_xlfn.XLOOKUP($A354,My_Audit!$A:$A,My_Audit!F:F,""),
_xlfn.IFS(_xlpm.MyAuditVal&lt;&gt;"",_xlpm.MyAuditVal,_xlpm.MacVal&lt;&gt;"",_xlpm.MacVal,_xlpm.CSVVal&lt;&gt;"",_xlpm.CSVVal
)),"")</f>
        <v/>
      </c>
      <c r="H354" s="45" t="str">
        <f>_xlfn.XLOOKUP(A354,Output_Mac!A:A,Output_Mac!I:I,"")</f>
        <v/>
      </c>
      <c r="I354" s="45" t="str" cm="1">
        <f t="array" ref="I354">IFERROR(_xlfn.LET(
_xlpm.CSVVal,_xlfn.XLOOKUP($A354,CSV!$A:$A,CSV!H:H,""),
_xlpm.MacVal,_xlfn.XLOOKUP($A354,Output_Mac!$A:$A,Output_Mac!J:J,""),
_xlpm.MyAuditVal,_xlfn.XLOOKUP($A354,My_Audit!$A:$A,My_Audit!H:H,""),
_xlfn.IFS(_xlpm.MyAuditVal&lt;&gt;"",UPPER(_xlpm.MyAuditVal),_xlpm.MacVal&lt;&gt;"",_xlpm.MacVal,_xlpm.CSVVal&lt;&gt;"",_xlpm.CSVVal
)),"")</f>
        <v/>
      </c>
      <c r="J354" s="45" t="str" cm="1">
        <f t="array" ref="J354">IFERROR(_xlfn.LET(
_xlpm.CSVVal,_xlfn.XLOOKUP($A354,CSV!$A:$A,CSV!J:J,""),
_xlpm.MacVal,_xlfn.XLOOKUP($A354,Output_Mac!$A:$A,Output_Mac!K:K,""),
_xlpm.MyAuditVal,_xlfn.XLOOKUP($A354,My_Audit!$A:$A,My_Audit!I:I,""),
_xlfn.IFS(_xlpm.MyAuditVal&lt;&gt;"",UPPER(_xlpm.MyAuditVal),_xlpm.MacVal&lt;&gt;"",_xlpm.MacVal,_xlpm.CSVVal&lt;&gt;"",_xlpm.CSVVal
)),"")</f>
        <v/>
      </c>
      <c r="K354" s="45" t="str" cm="1">
        <f t="array" ref="K354">IFERROR(_xlfn.LET(
_xlpm.CSVVal,_xlfn.XLOOKUP($A354,CSV!$A:$A,CSV!N:N,""),
_xlpm.MacVal,_xlfn.XLOOKUP($A354,Output_Mac!$A:$A,Output_Mac!L:L,""),
_xlpm.MyAuditVal,_xlfn.XLOOKUP($A354,My_Audit!$A:$A,My_Audit!J:J,""),
_xlfn.IFS(_xlpm.MyAuditVal&lt;&gt;"",UPPER(_xlpm.MyAuditVal),_xlpm.MacVal&lt;&gt;"",_xlpm.MacVal,_xlpm.CSVVal&lt;&gt;"",_xlpm.CSVVal
)),"")</f>
        <v/>
      </c>
      <c r="L354" s="46" t="str" cm="1">
        <f t="array" ref="L354">IFERROR(_xlfn.LET(
_xlpm.CSVVal,_xlfn.XLOOKUP($A354,CSV!$A:$A,CSV!Q:Q,""),
_xlpm.MacVal,_xlfn.XLOOKUP($A354,Output_Mac!$A:$A,Output_Mac!M:M,""),
_xlpm.MyAuditVal,_xlfn.XLOOKUP($A354,My_Audit!$A:$A,My_Audit!K:K,""),
_xlfn.IFS(_xlpm.MyAuditVal&lt;&gt;"",UPPER(_xlpm.MyAuditVal),_xlpm.MacVal&lt;&gt;"",_xlpm.MacVal,_xlpm.CSVVal&lt;&gt;"",_xlpm.CSVVal
)),"")</f>
        <v/>
      </c>
      <c r="M354" s="45" t="str">
        <f>_xlfn.LET(
    _xlpm.CSVVal, _xlfn.XLOOKUP($A354, CSV!$A:$A, CSV!AE:AE, ""),
    _xlpm.MacVal, _xlfn.XLOOKUP($A354, Output_Mac!$A:$A, Output_Mac!S:S, ""),
    _xlpm.MyAuditVal, _xlfn.XLOOKUP($A354, My_Audit!$A:$A, My_Audit!N:N, ""),
    _xlfn.TEXTJOIN(", ", TRUE, _xlpm.MyAuditVal, _xlpm.MacVal, _xlpm.CSVVal)
)</f>
        <v/>
      </c>
      <c r="N354" s="45" t="str" cm="1">
        <f t="array" ref="N354">IFERROR(_xlfn.LET(
_xlpm.CSVVal,_xlfn.XLOOKUP($A354,CSV!$A:$A,CSV!AG:AG,""),
_xlpm.MacVal,_xlfn.XLOOKUP($A354,Output_Mac!$A:$A,Output_Mac!U:U,""),
_xlpm.MyAuditVal,_xlfn.XLOOKUP($A354,My_Audit!$A:$A,My_Audit!O:O,""),
_xlfn.IFS(_xlpm.MyAuditVal&lt;&gt;"",UPPER(_xlpm.MyAuditVal),_xlpm.MacVal&lt;&gt;"",_xlpm.MacVal,_xlpm.CSVVal&lt;&gt;"",_xlpm.CSVVal
)),"")</f>
        <v/>
      </c>
      <c r="O354" s="46" t="str">
        <f>_xlfn.XLOOKUP(C354,My_Audit!B:B,My_Audit!P:P,"")&amp;""</f>
        <v/>
      </c>
      <c r="P354" s="45"/>
      <c r="Q354" s="46" t="str">
        <f>IF(LEFT(N354,4)="Pass","Nist SP 800-88",My_Audit!R354)&amp;""</f>
        <v/>
      </c>
      <c r="R354" s="45"/>
      <c r="S354" s="45"/>
      <c r="T354" s="46" t="str">
        <f>_xlfn.XLOOKUP(E354,Models!I:I,Models!J:J,"")</f>
        <v/>
      </c>
      <c r="U354" s="45"/>
      <c r="V354" s="45"/>
      <c r="W354" s="38"/>
    </row>
    <row r="355" spans="1:23">
      <c r="A355" s="45" t="str">
        <f>_xlfn.TEXTJOIN("",TRUE,Input!$B$2,ROW(My_Audit!A354))</f>
        <v>XX354</v>
      </c>
      <c r="B355" s="45" t="str">
        <f>_xlfn.TEXTJOIN("-",TRUE,"ITD",Input!$A$2,A355)</f>
        <v>ITD-SHRXXX-XX354</v>
      </c>
      <c r="C355" s="45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46" t="str" cm="1">
        <f t="array" ref="D355">IFERROR(_xlfn.LET(
_xlpm.CSVVal,_xlfn.XLOOKUP($A355,CSV!$A:$A,CSV!C:C,""),
_xlpm.MacVal,_xlfn.XLOOKUP($A355,Output_Mac!$A:$A,Output_Mac!D:D,""),
_xlpm.MyAuditVal,_xlfn.XLOOKUP($A355,My_Audit!$A:$A,My_Audit!C:C,""),
_xlfn.IFS(_xlpm.MyAuditVal&lt;&gt;"",UPPER(_xlpm.MyAuditVal),_xlpm.MacVal&lt;&gt;"",_xlpm.MacVal,_xlpm.CSVVal&lt;&gt;"",_xlpm.CSVVal
)),"")</f>
        <v/>
      </c>
      <c r="E355" s="46" t="str" cm="1">
        <f t="array" ref="E355">IFERROR(_xlfn.LET(
_xlpm.CSVVal,_xlfn.XLOOKUP($A355,CSV!$A:$A,CSV!E:E,""),
_xlpm.MacVal,_xlfn.XLOOKUP($A355,Output_Mac!$A:$A,Output_Mac!C:C,""),
_xlpm.MyAuditVal,_xlfn.XLOOKUP($A355,My_Audit!$A:$A,My_Audit!D:D,""),
_xlfn.IFS(_xlpm.MyAuditVal&lt;&gt;"",_xlpm.MyAuditVal,_xlpm.MacVal&lt;&gt;"",_xlpm.MacVal,_xlpm.CSVVal&lt;&gt;"",_xlpm.CSVVal
)),"")</f>
        <v/>
      </c>
      <c r="F355" s="45" t="str" cm="1">
        <f t="array" ref="F355">IFERROR(_xlfn.LET(
_xlpm.CSVVal,_xlfn.XLOOKUP($A355,CSV!$A:$A,CSV!F:F,""),
_xlpm.MacVal,_xlfn.XLOOKUP($A355,Output_Mac!$A:$A,Output_Mac!F:F,""),
_xlpm.MyAuditVal,_xlfn.XLOOKUP($A355,My_Audit!$A:$A,My_Audit!E:E,""),
_xlfn.IFS(_xlpm.MyAuditVal&lt;&gt;"",_xlpm.MyAuditVal,_xlpm.MacVal&lt;&gt;"",_xlpm.MacVal,_xlpm.CSVVal&lt;&gt;"",PROPER(_xlpm.CSVVal)
)),"")</f>
        <v/>
      </c>
      <c r="G355" s="45" t="str" cm="1">
        <f t="array" ref="G355">IFERROR(_xlfn.LET(
_xlpm.CSVVal,_xlfn.XLOOKUP($A355,CSV!$A:$A,CSV!G:G,""),
_xlpm.MacVal,_xlfn.XLOOKUP($A355,Output_Mac!$A:$A,Output_Mac!H:H,""),
_xlpm.MyAuditVal,_xlfn.XLOOKUP($A355,My_Audit!$A:$A,My_Audit!F:F,""),
_xlfn.IFS(_xlpm.MyAuditVal&lt;&gt;"",_xlpm.MyAuditVal,_xlpm.MacVal&lt;&gt;"",_xlpm.MacVal,_xlpm.CSVVal&lt;&gt;"",_xlpm.CSVVal
)),"")</f>
        <v/>
      </c>
      <c r="H355" s="45" t="str">
        <f>_xlfn.XLOOKUP(A355,Output_Mac!A:A,Output_Mac!I:I,"")</f>
        <v/>
      </c>
      <c r="I355" s="45" t="str" cm="1">
        <f t="array" ref="I355">IFERROR(_xlfn.LET(
_xlpm.CSVVal,_xlfn.XLOOKUP($A355,CSV!$A:$A,CSV!H:H,""),
_xlpm.MacVal,_xlfn.XLOOKUP($A355,Output_Mac!$A:$A,Output_Mac!J:J,""),
_xlpm.MyAuditVal,_xlfn.XLOOKUP($A355,My_Audit!$A:$A,My_Audit!H:H,""),
_xlfn.IFS(_xlpm.MyAuditVal&lt;&gt;"",UPPER(_xlpm.MyAuditVal),_xlpm.MacVal&lt;&gt;"",_xlpm.MacVal,_xlpm.CSVVal&lt;&gt;"",_xlpm.CSVVal
)),"")</f>
        <v/>
      </c>
      <c r="J355" s="45" t="str" cm="1">
        <f t="array" ref="J355">IFERROR(_xlfn.LET(
_xlpm.CSVVal,_xlfn.XLOOKUP($A355,CSV!$A:$A,CSV!J:J,""),
_xlpm.MacVal,_xlfn.XLOOKUP($A355,Output_Mac!$A:$A,Output_Mac!K:K,""),
_xlpm.MyAuditVal,_xlfn.XLOOKUP($A355,My_Audit!$A:$A,My_Audit!I:I,""),
_xlfn.IFS(_xlpm.MyAuditVal&lt;&gt;"",UPPER(_xlpm.MyAuditVal),_xlpm.MacVal&lt;&gt;"",_xlpm.MacVal,_xlpm.CSVVal&lt;&gt;"",_xlpm.CSVVal
)),"")</f>
        <v/>
      </c>
      <c r="K355" s="45" t="str" cm="1">
        <f t="array" ref="K355">IFERROR(_xlfn.LET(
_xlpm.CSVVal,_xlfn.XLOOKUP($A355,CSV!$A:$A,CSV!N:N,""),
_xlpm.MacVal,_xlfn.XLOOKUP($A355,Output_Mac!$A:$A,Output_Mac!L:L,""),
_xlpm.MyAuditVal,_xlfn.XLOOKUP($A355,My_Audit!$A:$A,My_Audit!J:J,""),
_xlfn.IFS(_xlpm.MyAuditVal&lt;&gt;"",UPPER(_xlpm.MyAuditVal),_xlpm.MacVal&lt;&gt;"",_xlpm.MacVal,_xlpm.CSVVal&lt;&gt;"",_xlpm.CSVVal
)),"")</f>
        <v/>
      </c>
      <c r="L355" s="46" t="str" cm="1">
        <f t="array" ref="L355">IFERROR(_xlfn.LET(
_xlpm.CSVVal,_xlfn.XLOOKUP($A355,CSV!$A:$A,CSV!Q:Q,""),
_xlpm.MacVal,_xlfn.XLOOKUP($A355,Output_Mac!$A:$A,Output_Mac!M:M,""),
_xlpm.MyAuditVal,_xlfn.XLOOKUP($A355,My_Audit!$A:$A,My_Audit!K:K,""),
_xlfn.IFS(_xlpm.MyAuditVal&lt;&gt;"",UPPER(_xlpm.MyAuditVal),_xlpm.MacVal&lt;&gt;"",_xlpm.MacVal,_xlpm.CSVVal&lt;&gt;"",_xlpm.CSVVal
)),"")</f>
        <v/>
      </c>
      <c r="M355" s="45" t="str">
        <f>_xlfn.LET(
    _xlpm.CSVVal, _xlfn.XLOOKUP($A355, CSV!$A:$A, CSV!AE:AE, ""),
    _xlpm.MacVal, _xlfn.XLOOKUP($A355, Output_Mac!$A:$A, Output_Mac!S:S, ""),
    _xlpm.MyAuditVal, _xlfn.XLOOKUP($A355, My_Audit!$A:$A, My_Audit!N:N, ""),
    _xlfn.TEXTJOIN(", ", TRUE, _xlpm.MyAuditVal, _xlpm.MacVal, _xlpm.CSVVal)
)</f>
        <v/>
      </c>
      <c r="N355" s="45" t="str" cm="1">
        <f t="array" ref="N355">IFERROR(_xlfn.LET(
_xlpm.CSVVal,_xlfn.XLOOKUP($A355,CSV!$A:$A,CSV!AG:AG,""),
_xlpm.MacVal,_xlfn.XLOOKUP($A355,Output_Mac!$A:$A,Output_Mac!U:U,""),
_xlpm.MyAuditVal,_xlfn.XLOOKUP($A355,My_Audit!$A:$A,My_Audit!O:O,""),
_xlfn.IFS(_xlpm.MyAuditVal&lt;&gt;"",UPPER(_xlpm.MyAuditVal),_xlpm.MacVal&lt;&gt;"",_xlpm.MacVal,_xlpm.CSVVal&lt;&gt;"",_xlpm.CSVVal
)),"")</f>
        <v/>
      </c>
      <c r="O355" s="46" t="str">
        <f>_xlfn.XLOOKUP(C355,My_Audit!B:B,My_Audit!P:P,"")&amp;""</f>
        <v/>
      </c>
      <c r="P355" s="45"/>
      <c r="Q355" s="46" t="str">
        <f>IF(LEFT(N355,4)="Pass","Nist SP 800-88",My_Audit!R355)&amp;""</f>
        <v/>
      </c>
      <c r="R355" s="45"/>
      <c r="S355" s="45"/>
      <c r="T355" s="46" t="str">
        <f>_xlfn.XLOOKUP(E355,Models!I:I,Models!J:J,"")</f>
        <v/>
      </c>
      <c r="U355" s="45"/>
      <c r="V355" s="45"/>
      <c r="W355" s="38"/>
    </row>
    <row r="356" spans="1:23">
      <c r="A356" s="45" t="str">
        <f>_xlfn.TEXTJOIN("",TRUE,Input!$B$2,ROW(My_Audit!A355))</f>
        <v>XX355</v>
      </c>
      <c r="B356" s="45" t="str">
        <f>_xlfn.TEXTJOIN("-",TRUE,"ITD",Input!$A$2,A356)</f>
        <v>ITD-SHRXXX-XX355</v>
      </c>
      <c r="C356" s="45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46" t="str" cm="1">
        <f t="array" ref="D356">IFERROR(_xlfn.LET(
_xlpm.CSVVal,_xlfn.XLOOKUP($A356,CSV!$A:$A,CSV!C:C,""),
_xlpm.MacVal,_xlfn.XLOOKUP($A356,Output_Mac!$A:$A,Output_Mac!D:D,""),
_xlpm.MyAuditVal,_xlfn.XLOOKUP($A356,My_Audit!$A:$A,My_Audit!C:C,""),
_xlfn.IFS(_xlpm.MyAuditVal&lt;&gt;"",UPPER(_xlpm.MyAuditVal),_xlpm.MacVal&lt;&gt;"",_xlpm.MacVal,_xlpm.CSVVal&lt;&gt;"",_xlpm.CSVVal
)),"")</f>
        <v/>
      </c>
      <c r="E356" s="46" t="str" cm="1">
        <f t="array" ref="E356">IFERROR(_xlfn.LET(
_xlpm.CSVVal,_xlfn.XLOOKUP($A356,CSV!$A:$A,CSV!E:E,""),
_xlpm.MacVal,_xlfn.XLOOKUP($A356,Output_Mac!$A:$A,Output_Mac!C:C,""),
_xlpm.MyAuditVal,_xlfn.XLOOKUP($A356,My_Audit!$A:$A,My_Audit!D:D,""),
_xlfn.IFS(_xlpm.MyAuditVal&lt;&gt;"",_xlpm.MyAuditVal,_xlpm.MacVal&lt;&gt;"",_xlpm.MacVal,_xlpm.CSVVal&lt;&gt;"",_xlpm.CSVVal
)),"")</f>
        <v/>
      </c>
      <c r="F356" s="45" t="str" cm="1">
        <f t="array" ref="F356">IFERROR(_xlfn.LET(
_xlpm.CSVVal,_xlfn.XLOOKUP($A356,CSV!$A:$A,CSV!F:F,""),
_xlpm.MacVal,_xlfn.XLOOKUP($A356,Output_Mac!$A:$A,Output_Mac!F:F,""),
_xlpm.MyAuditVal,_xlfn.XLOOKUP($A356,My_Audit!$A:$A,My_Audit!E:E,""),
_xlfn.IFS(_xlpm.MyAuditVal&lt;&gt;"",_xlpm.MyAuditVal,_xlpm.MacVal&lt;&gt;"",_xlpm.MacVal,_xlpm.CSVVal&lt;&gt;"",PROPER(_xlpm.CSVVal)
)),"")</f>
        <v/>
      </c>
      <c r="G356" s="45" t="str" cm="1">
        <f t="array" ref="G356">IFERROR(_xlfn.LET(
_xlpm.CSVVal,_xlfn.XLOOKUP($A356,CSV!$A:$A,CSV!G:G,""),
_xlpm.MacVal,_xlfn.XLOOKUP($A356,Output_Mac!$A:$A,Output_Mac!H:H,""),
_xlpm.MyAuditVal,_xlfn.XLOOKUP($A356,My_Audit!$A:$A,My_Audit!F:F,""),
_xlfn.IFS(_xlpm.MyAuditVal&lt;&gt;"",_xlpm.MyAuditVal,_xlpm.MacVal&lt;&gt;"",_xlpm.MacVal,_xlpm.CSVVal&lt;&gt;"",_xlpm.CSVVal
)),"")</f>
        <v/>
      </c>
      <c r="H356" s="45" t="str">
        <f>_xlfn.XLOOKUP(A356,Output_Mac!A:A,Output_Mac!I:I,"")</f>
        <v/>
      </c>
      <c r="I356" s="45" t="str" cm="1">
        <f t="array" ref="I356">IFERROR(_xlfn.LET(
_xlpm.CSVVal,_xlfn.XLOOKUP($A356,CSV!$A:$A,CSV!H:H,""),
_xlpm.MacVal,_xlfn.XLOOKUP($A356,Output_Mac!$A:$A,Output_Mac!J:J,""),
_xlpm.MyAuditVal,_xlfn.XLOOKUP($A356,My_Audit!$A:$A,My_Audit!H:H,""),
_xlfn.IFS(_xlpm.MyAuditVal&lt;&gt;"",UPPER(_xlpm.MyAuditVal),_xlpm.MacVal&lt;&gt;"",_xlpm.MacVal,_xlpm.CSVVal&lt;&gt;"",_xlpm.CSVVal
)),"")</f>
        <v/>
      </c>
      <c r="J356" s="45" t="str" cm="1">
        <f t="array" ref="J356">IFERROR(_xlfn.LET(
_xlpm.CSVVal,_xlfn.XLOOKUP($A356,CSV!$A:$A,CSV!J:J,""),
_xlpm.MacVal,_xlfn.XLOOKUP($A356,Output_Mac!$A:$A,Output_Mac!K:K,""),
_xlpm.MyAuditVal,_xlfn.XLOOKUP($A356,My_Audit!$A:$A,My_Audit!I:I,""),
_xlfn.IFS(_xlpm.MyAuditVal&lt;&gt;"",UPPER(_xlpm.MyAuditVal),_xlpm.MacVal&lt;&gt;"",_xlpm.MacVal,_xlpm.CSVVal&lt;&gt;"",_xlpm.CSVVal
)),"")</f>
        <v/>
      </c>
      <c r="K356" s="45" t="str" cm="1">
        <f t="array" ref="K356">IFERROR(_xlfn.LET(
_xlpm.CSVVal,_xlfn.XLOOKUP($A356,CSV!$A:$A,CSV!N:N,""),
_xlpm.MacVal,_xlfn.XLOOKUP($A356,Output_Mac!$A:$A,Output_Mac!L:L,""),
_xlpm.MyAuditVal,_xlfn.XLOOKUP($A356,My_Audit!$A:$A,My_Audit!J:J,""),
_xlfn.IFS(_xlpm.MyAuditVal&lt;&gt;"",UPPER(_xlpm.MyAuditVal),_xlpm.MacVal&lt;&gt;"",_xlpm.MacVal,_xlpm.CSVVal&lt;&gt;"",_xlpm.CSVVal
)),"")</f>
        <v/>
      </c>
      <c r="L356" s="46" t="str" cm="1">
        <f t="array" ref="L356">IFERROR(_xlfn.LET(
_xlpm.CSVVal,_xlfn.XLOOKUP($A356,CSV!$A:$A,CSV!Q:Q,""),
_xlpm.MacVal,_xlfn.XLOOKUP($A356,Output_Mac!$A:$A,Output_Mac!M:M,""),
_xlpm.MyAuditVal,_xlfn.XLOOKUP($A356,My_Audit!$A:$A,My_Audit!K:K,""),
_xlfn.IFS(_xlpm.MyAuditVal&lt;&gt;"",UPPER(_xlpm.MyAuditVal),_xlpm.MacVal&lt;&gt;"",_xlpm.MacVal,_xlpm.CSVVal&lt;&gt;"",_xlpm.CSVVal
)),"")</f>
        <v/>
      </c>
      <c r="M356" s="45" t="str">
        <f>_xlfn.LET(
    _xlpm.CSVVal, _xlfn.XLOOKUP($A356, CSV!$A:$A, CSV!AE:AE, ""),
    _xlpm.MacVal, _xlfn.XLOOKUP($A356, Output_Mac!$A:$A, Output_Mac!S:S, ""),
    _xlpm.MyAuditVal, _xlfn.XLOOKUP($A356, My_Audit!$A:$A, My_Audit!N:N, ""),
    _xlfn.TEXTJOIN(", ", TRUE, _xlpm.MyAuditVal, _xlpm.MacVal, _xlpm.CSVVal)
)</f>
        <v/>
      </c>
      <c r="N356" s="45" t="str" cm="1">
        <f t="array" ref="N356">IFERROR(_xlfn.LET(
_xlpm.CSVVal,_xlfn.XLOOKUP($A356,CSV!$A:$A,CSV!AG:AG,""),
_xlpm.MacVal,_xlfn.XLOOKUP($A356,Output_Mac!$A:$A,Output_Mac!U:U,""),
_xlpm.MyAuditVal,_xlfn.XLOOKUP($A356,My_Audit!$A:$A,My_Audit!O:O,""),
_xlfn.IFS(_xlpm.MyAuditVal&lt;&gt;"",UPPER(_xlpm.MyAuditVal),_xlpm.MacVal&lt;&gt;"",_xlpm.MacVal,_xlpm.CSVVal&lt;&gt;"",_xlpm.CSVVal
)),"")</f>
        <v/>
      </c>
      <c r="O356" s="46" t="str">
        <f>_xlfn.XLOOKUP(C356,My_Audit!B:B,My_Audit!P:P,"")&amp;""</f>
        <v/>
      </c>
      <c r="P356" s="45"/>
      <c r="Q356" s="46" t="str">
        <f>IF(LEFT(N356,4)="Pass","Nist SP 800-88",My_Audit!R356)&amp;""</f>
        <v/>
      </c>
      <c r="R356" s="45"/>
      <c r="S356" s="45"/>
      <c r="T356" s="46" t="str">
        <f>_xlfn.XLOOKUP(E356,Models!I:I,Models!J:J,"")</f>
        <v/>
      </c>
      <c r="U356" s="45"/>
      <c r="V356" s="45"/>
      <c r="W356" s="38"/>
    </row>
    <row r="357" spans="1:23">
      <c r="A357" s="45" t="str">
        <f>_xlfn.TEXTJOIN("",TRUE,Input!$B$2,ROW(My_Audit!A356))</f>
        <v>XX356</v>
      </c>
      <c r="B357" s="45" t="str">
        <f>_xlfn.TEXTJOIN("-",TRUE,"ITD",Input!$A$2,A357)</f>
        <v>ITD-SHRXXX-XX356</v>
      </c>
      <c r="C357" s="45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46" t="str" cm="1">
        <f t="array" ref="D357">IFERROR(_xlfn.LET(
_xlpm.CSVVal,_xlfn.XLOOKUP($A357,CSV!$A:$A,CSV!C:C,""),
_xlpm.MacVal,_xlfn.XLOOKUP($A357,Output_Mac!$A:$A,Output_Mac!D:D,""),
_xlpm.MyAuditVal,_xlfn.XLOOKUP($A357,My_Audit!$A:$A,My_Audit!C:C,""),
_xlfn.IFS(_xlpm.MyAuditVal&lt;&gt;"",UPPER(_xlpm.MyAuditVal),_xlpm.MacVal&lt;&gt;"",_xlpm.MacVal,_xlpm.CSVVal&lt;&gt;"",_xlpm.CSVVal
)),"")</f>
        <v/>
      </c>
      <c r="E357" s="46" t="str" cm="1">
        <f t="array" ref="E357">IFERROR(_xlfn.LET(
_xlpm.CSVVal,_xlfn.XLOOKUP($A357,CSV!$A:$A,CSV!E:E,""),
_xlpm.MacVal,_xlfn.XLOOKUP($A357,Output_Mac!$A:$A,Output_Mac!C:C,""),
_xlpm.MyAuditVal,_xlfn.XLOOKUP($A357,My_Audit!$A:$A,My_Audit!D:D,""),
_xlfn.IFS(_xlpm.MyAuditVal&lt;&gt;"",_xlpm.MyAuditVal,_xlpm.MacVal&lt;&gt;"",_xlpm.MacVal,_xlpm.CSVVal&lt;&gt;"",_xlpm.CSVVal
)),"")</f>
        <v/>
      </c>
      <c r="F357" s="45" t="str" cm="1">
        <f t="array" ref="F357">IFERROR(_xlfn.LET(
_xlpm.CSVVal,_xlfn.XLOOKUP($A357,CSV!$A:$A,CSV!F:F,""),
_xlpm.MacVal,_xlfn.XLOOKUP($A357,Output_Mac!$A:$A,Output_Mac!F:F,""),
_xlpm.MyAuditVal,_xlfn.XLOOKUP($A357,My_Audit!$A:$A,My_Audit!E:E,""),
_xlfn.IFS(_xlpm.MyAuditVal&lt;&gt;"",_xlpm.MyAuditVal,_xlpm.MacVal&lt;&gt;"",_xlpm.MacVal,_xlpm.CSVVal&lt;&gt;"",PROPER(_xlpm.CSVVal)
)),"")</f>
        <v/>
      </c>
      <c r="G357" s="45" t="str" cm="1">
        <f t="array" ref="G357">IFERROR(_xlfn.LET(
_xlpm.CSVVal,_xlfn.XLOOKUP($A357,CSV!$A:$A,CSV!G:G,""),
_xlpm.MacVal,_xlfn.XLOOKUP($A357,Output_Mac!$A:$A,Output_Mac!H:H,""),
_xlpm.MyAuditVal,_xlfn.XLOOKUP($A357,My_Audit!$A:$A,My_Audit!F:F,""),
_xlfn.IFS(_xlpm.MyAuditVal&lt;&gt;"",_xlpm.MyAuditVal,_xlpm.MacVal&lt;&gt;"",_xlpm.MacVal,_xlpm.CSVVal&lt;&gt;"",_xlpm.CSVVal
)),"")</f>
        <v/>
      </c>
      <c r="H357" s="45" t="str">
        <f>_xlfn.XLOOKUP(A357,Output_Mac!A:A,Output_Mac!I:I,"")</f>
        <v/>
      </c>
      <c r="I357" s="45" t="str" cm="1">
        <f t="array" ref="I357">IFERROR(_xlfn.LET(
_xlpm.CSVVal,_xlfn.XLOOKUP($A357,CSV!$A:$A,CSV!H:H,""),
_xlpm.MacVal,_xlfn.XLOOKUP($A357,Output_Mac!$A:$A,Output_Mac!J:J,""),
_xlpm.MyAuditVal,_xlfn.XLOOKUP($A357,My_Audit!$A:$A,My_Audit!H:H,""),
_xlfn.IFS(_xlpm.MyAuditVal&lt;&gt;"",UPPER(_xlpm.MyAuditVal),_xlpm.MacVal&lt;&gt;"",_xlpm.MacVal,_xlpm.CSVVal&lt;&gt;"",_xlpm.CSVVal
)),"")</f>
        <v/>
      </c>
      <c r="J357" s="45" t="str" cm="1">
        <f t="array" ref="J357">IFERROR(_xlfn.LET(
_xlpm.CSVVal,_xlfn.XLOOKUP($A357,CSV!$A:$A,CSV!J:J,""),
_xlpm.MacVal,_xlfn.XLOOKUP($A357,Output_Mac!$A:$A,Output_Mac!K:K,""),
_xlpm.MyAuditVal,_xlfn.XLOOKUP($A357,My_Audit!$A:$A,My_Audit!I:I,""),
_xlfn.IFS(_xlpm.MyAuditVal&lt;&gt;"",UPPER(_xlpm.MyAuditVal),_xlpm.MacVal&lt;&gt;"",_xlpm.MacVal,_xlpm.CSVVal&lt;&gt;"",_xlpm.CSVVal
)),"")</f>
        <v/>
      </c>
      <c r="K357" s="45" t="str" cm="1">
        <f t="array" ref="K357">IFERROR(_xlfn.LET(
_xlpm.CSVVal,_xlfn.XLOOKUP($A357,CSV!$A:$A,CSV!N:N,""),
_xlpm.MacVal,_xlfn.XLOOKUP($A357,Output_Mac!$A:$A,Output_Mac!L:L,""),
_xlpm.MyAuditVal,_xlfn.XLOOKUP($A357,My_Audit!$A:$A,My_Audit!J:J,""),
_xlfn.IFS(_xlpm.MyAuditVal&lt;&gt;"",UPPER(_xlpm.MyAuditVal),_xlpm.MacVal&lt;&gt;"",_xlpm.MacVal,_xlpm.CSVVal&lt;&gt;"",_xlpm.CSVVal
)),"")</f>
        <v/>
      </c>
      <c r="L357" s="46" t="str" cm="1">
        <f t="array" ref="L357">IFERROR(_xlfn.LET(
_xlpm.CSVVal,_xlfn.XLOOKUP($A357,CSV!$A:$A,CSV!Q:Q,""),
_xlpm.MacVal,_xlfn.XLOOKUP($A357,Output_Mac!$A:$A,Output_Mac!M:M,""),
_xlpm.MyAuditVal,_xlfn.XLOOKUP($A357,My_Audit!$A:$A,My_Audit!K:K,""),
_xlfn.IFS(_xlpm.MyAuditVal&lt;&gt;"",UPPER(_xlpm.MyAuditVal),_xlpm.MacVal&lt;&gt;"",_xlpm.MacVal,_xlpm.CSVVal&lt;&gt;"",_xlpm.CSVVal
)),"")</f>
        <v/>
      </c>
      <c r="M357" s="45" t="str">
        <f>_xlfn.LET(
    _xlpm.CSVVal, _xlfn.XLOOKUP($A357, CSV!$A:$A, CSV!AE:AE, ""),
    _xlpm.MacVal, _xlfn.XLOOKUP($A357, Output_Mac!$A:$A, Output_Mac!S:S, ""),
    _xlpm.MyAuditVal, _xlfn.XLOOKUP($A357, My_Audit!$A:$A, My_Audit!N:N, ""),
    _xlfn.TEXTJOIN(", ", TRUE, _xlpm.MyAuditVal, _xlpm.MacVal, _xlpm.CSVVal)
)</f>
        <v/>
      </c>
      <c r="N357" s="45" t="str" cm="1">
        <f t="array" ref="N357">IFERROR(_xlfn.LET(
_xlpm.CSVVal,_xlfn.XLOOKUP($A357,CSV!$A:$A,CSV!AG:AG,""),
_xlpm.MacVal,_xlfn.XLOOKUP($A357,Output_Mac!$A:$A,Output_Mac!U:U,""),
_xlpm.MyAuditVal,_xlfn.XLOOKUP($A357,My_Audit!$A:$A,My_Audit!O:O,""),
_xlfn.IFS(_xlpm.MyAuditVal&lt;&gt;"",UPPER(_xlpm.MyAuditVal),_xlpm.MacVal&lt;&gt;"",_xlpm.MacVal,_xlpm.CSVVal&lt;&gt;"",_xlpm.CSVVal
)),"")</f>
        <v/>
      </c>
      <c r="O357" s="46" t="str">
        <f>_xlfn.XLOOKUP(C357,My_Audit!B:B,My_Audit!P:P,"")&amp;""</f>
        <v/>
      </c>
      <c r="P357" s="45"/>
      <c r="Q357" s="46" t="str">
        <f>IF(LEFT(N357,4)="Pass","Nist SP 800-88",My_Audit!R357)&amp;""</f>
        <v/>
      </c>
      <c r="R357" s="45"/>
      <c r="S357" s="45"/>
      <c r="T357" s="46" t="str">
        <f>_xlfn.XLOOKUP(E357,Models!I:I,Models!J:J,"")</f>
        <v/>
      </c>
      <c r="U357" s="45"/>
      <c r="V357" s="45"/>
      <c r="W357" s="38"/>
    </row>
    <row r="358" spans="1:23">
      <c r="A358" s="45" t="str">
        <f>_xlfn.TEXTJOIN("",TRUE,Input!$B$2,ROW(My_Audit!A357))</f>
        <v>XX357</v>
      </c>
      <c r="B358" s="45" t="str">
        <f>_xlfn.TEXTJOIN("-",TRUE,"ITD",Input!$A$2,A358)</f>
        <v>ITD-SHRXXX-XX357</v>
      </c>
      <c r="C358" s="45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46" t="str" cm="1">
        <f t="array" ref="D358">IFERROR(_xlfn.LET(
_xlpm.CSVVal,_xlfn.XLOOKUP($A358,CSV!$A:$A,CSV!C:C,""),
_xlpm.MacVal,_xlfn.XLOOKUP($A358,Output_Mac!$A:$A,Output_Mac!D:D,""),
_xlpm.MyAuditVal,_xlfn.XLOOKUP($A358,My_Audit!$A:$A,My_Audit!C:C,""),
_xlfn.IFS(_xlpm.MyAuditVal&lt;&gt;"",UPPER(_xlpm.MyAuditVal),_xlpm.MacVal&lt;&gt;"",_xlpm.MacVal,_xlpm.CSVVal&lt;&gt;"",_xlpm.CSVVal
)),"")</f>
        <v/>
      </c>
      <c r="E358" s="46" t="str" cm="1">
        <f t="array" ref="E358">IFERROR(_xlfn.LET(
_xlpm.CSVVal,_xlfn.XLOOKUP($A358,CSV!$A:$A,CSV!E:E,""),
_xlpm.MacVal,_xlfn.XLOOKUP($A358,Output_Mac!$A:$A,Output_Mac!C:C,""),
_xlpm.MyAuditVal,_xlfn.XLOOKUP($A358,My_Audit!$A:$A,My_Audit!D:D,""),
_xlfn.IFS(_xlpm.MyAuditVal&lt;&gt;"",_xlpm.MyAuditVal,_xlpm.MacVal&lt;&gt;"",_xlpm.MacVal,_xlpm.CSVVal&lt;&gt;"",_xlpm.CSVVal
)),"")</f>
        <v/>
      </c>
      <c r="F358" s="45" t="str" cm="1">
        <f t="array" ref="F358">IFERROR(_xlfn.LET(
_xlpm.CSVVal,_xlfn.XLOOKUP($A358,CSV!$A:$A,CSV!F:F,""),
_xlpm.MacVal,_xlfn.XLOOKUP($A358,Output_Mac!$A:$A,Output_Mac!F:F,""),
_xlpm.MyAuditVal,_xlfn.XLOOKUP($A358,My_Audit!$A:$A,My_Audit!E:E,""),
_xlfn.IFS(_xlpm.MyAuditVal&lt;&gt;"",_xlpm.MyAuditVal,_xlpm.MacVal&lt;&gt;"",_xlpm.MacVal,_xlpm.CSVVal&lt;&gt;"",PROPER(_xlpm.CSVVal)
)),"")</f>
        <v/>
      </c>
      <c r="G358" s="45" t="str" cm="1">
        <f t="array" ref="G358">IFERROR(_xlfn.LET(
_xlpm.CSVVal,_xlfn.XLOOKUP($A358,CSV!$A:$A,CSV!G:G,""),
_xlpm.MacVal,_xlfn.XLOOKUP($A358,Output_Mac!$A:$A,Output_Mac!H:H,""),
_xlpm.MyAuditVal,_xlfn.XLOOKUP($A358,My_Audit!$A:$A,My_Audit!F:F,""),
_xlfn.IFS(_xlpm.MyAuditVal&lt;&gt;"",_xlpm.MyAuditVal,_xlpm.MacVal&lt;&gt;"",_xlpm.MacVal,_xlpm.CSVVal&lt;&gt;"",_xlpm.CSVVal
)),"")</f>
        <v/>
      </c>
      <c r="H358" s="45" t="str">
        <f>_xlfn.XLOOKUP(A358,Output_Mac!A:A,Output_Mac!I:I,"")</f>
        <v/>
      </c>
      <c r="I358" s="45" t="str" cm="1">
        <f t="array" ref="I358">IFERROR(_xlfn.LET(
_xlpm.CSVVal,_xlfn.XLOOKUP($A358,CSV!$A:$A,CSV!H:H,""),
_xlpm.MacVal,_xlfn.XLOOKUP($A358,Output_Mac!$A:$A,Output_Mac!J:J,""),
_xlpm.MyAuditVal,_xlfn.XLOOKUP($A358,My_Audit!$A:$A,My_Audit!H:H,""),
_xlfn.IFS(_xlpm.MyAuditVal&lt;&gt;"",UPPER(_xlpm.MyAuditVal),_xlpm.MacVal&lt;&gt;"",_xlpm.MacVal,_xlpm.CSVVal&lt;&gt;"",_xlpm.CSVVal
)),"")</f>
        <v/>
      </c>
      <c r="J358" s="45" t="str" cm="1">
        <f t="array" ref="J358">IFERROR(_xlfn.LET(
_xlpm.CSVVal,_xlfn.XLOOKUP($A358,CSV!$A:$A,CSV!J:J,""),
_xlpm.MacVal,_xlfn.XLOOKUP($A358,Output_Mac!$A:$A,Output_Mac!K:K,""),
_xlpm.MyAuditVal,_xlfn.XLOOKUP($A358,My_Audit!$A:$A,My_Audit!I:I,""),
_xlfn.IFS(_xlpm.MyAuditVal&lt;&gt;"",UPPER(_xlpm.MyAuditVal),_xlpm.MacVal&lt;&gt;"",_xlpm.MacVal,_xlpm.CSVVal&lt;&gt;"",_xlpm.CSVVal
)),"")</f>
        <v/>
      </c>
      <c r="K358" s="45" t="str" cm="1">
        <f t="array" ref="K358">IFERROR(_xlfn.LET(
_xlpm.CSVVal,_xlfn.XLOOKUP($A358,CSV!$A:$A,CSV!N:N,""),
_xlpm.MacVal,_xlfn.XLOOKUP($A358,Output_Mac!$A:$A,Output_Mac!L:L,""),
_xlpm.MyAuditVal,_xlfn.XLOOKUP($A358,My_Audit!$A:$A,My_Audit!J:J,""),
_xlfn.IFS(_xlpm.MyAuditVal&lt;&gt;"",UPPER(_xlpm.MyAuditVal),_xlpm.MacVal&lt;&gt;"",_xlpm.MacVal,_xlpm.CSVVal&lt;&gt;"",_xlpm.CSVVal
)),"")</f>
        <v/>
      </c>
      <c r="L358" s="46" t="str" cm="1">
        <f t="array" ref="L358">IFERROR(_xlfn.LET(
_xlpm.CSVVal,_xlfn.XLOOKUP($A358,CSV!$A:$A,CSV!Q:Q,""),
_xlpm.MacVal,_xlfn.XLOOKUP($A358,Output_Mac!$A:$A,Output_Mac!M:M,""),
_xlpm.MyAuditVal,_xlfn.XLOOKUP($A358,My_Audit!$A:$A,My_Audit!K:K,""),
_xlfn.IFS(_xlpm.MyAuditVal&lt;&gt;"",UPPER(_xlpm.MyAuditVal),_xlpm.MacVal&lt;&gt;"",_xlpm.MacVal,_xlpm.CSVVal&lt;&gt;"",_xlpm.CSVVal
)),"")</f>
        <v/>
      </c>
      <c r="M358" s="45" t="str">
        <f>_xlfn.LET(
    _xlpm.CSVVal, _xlfn.XLOOKUP($A358, CSV!$A:$A, CSV!AE:AE, ""),
    _xlpm.MacVal, _xlfn.XLOOKUP($A358, Output_Mac!$A:$A, Output_Mac!S:S, ""),
    _xlpm.MyAuditVal, _xlfn.XLOOKUP($A358, My_Audit!$A:$A, My_Audit!N:N, ""),
    _xlfn.TEXTJOIN(", ", TRUE, _xlpm.MyAuditVal, _xlpm.MacVal, _xlpm.CSVVal)
)</f>
        <v/>
      </c>
      <c r="N358" s="45" t="str" cm="1">
        <f t="array" ref="N358">IFERROR(_xlfn.LET(
_xlpm.CSVVal,_xlfn.XLOOKUP($A358,CSV!$A:$A,CSV!AG:AG,""),
_xlpm.MacVal,_xlfn.XLOOKUP($A358,Output_Mac!$A:$A,Output_Mac!U:U,""),
_xlpm.MyAuditVal,_xlfn.XLOOKUP($A358,My_Audit!$A:$A,My_Audit!O:O,""),
_xlfn.IFS(_xlpm.MyAuditVal&lt;&gt;"",UPPER(_xlpm.MyAuditVal),_xlpm.MacVal&lt;&gt;"",_xlpm.MacVal,_xlpm.CSVVal&lt;&gt;"",_xlpm.CSVVal
)),"")</f>
        <v/>
      </c>
      <c r="O358" s="46" t="str">
        <f>_xlfn.XLOOKUP(C358,My_Audit!B:B,My_Audit!P:P,"")&amp;""</f>
        <v/>
      </c>
      <c r="P358" s="45"/>
      <c r="Q358" s="46" t="str">
        <f>IF(LEFT(N358,4)="Pass","Nist SP 800-88",My_Audit!R358)&amp;""</f>
        <v/>
      </c>
      <c r="R358" s="45"/>
      <c r="S358" s="45"/>
      <c r="T358" s="46" t="str">
        <f>_xlfn.XLOOKUP(E358,Models!I:I,Models!J:J,"")</f>
        <v/>
      </c>
      <c r="U358" s="45"/>
      <c r="V358" s="45"/>
      <c r="W358" s="38"/>
    </row>
    <row r="359" spans="1:23">
      <c r="A359" s="45" t="str">
        <f>_xlfn.TEXTJOIN("",TRUE,Input!$B$2,ROW(My_Audit!A358))</f>
        <v>XX358</v>
      </c>
      <c r="B359" s="45" t="str">
        <f>_xlfn.TEXTJOIN("-",TRUE,"ITD",Input!$A$2,A359)</f>
        <v>ITD-SHRXXX-XX358</v>
      </c>
      <c r="C359" s="45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46" t="str" cm="1">
        <f t="array" ref="D359">IFERROR(_xlfn.LET(
_xlpm.CSVVal,_xlfn.XLOOKUP($A359,CSV!$A:$A,CSV!C:C,""),
_xlpm.MacVal,_xlfn.XLOOKUP($A359,Output_Mac!$A:$A,Output_Mac!D:D,""),
_xlpm.MyAuditVal,_xlfn.XLOOKUP($A359,My_Audit!$A:$A,My_Audit!C:C,""),
_xlfn.IFS(_xlpm.MyAuditVal&lt;&gt;"",UPPER(_xlpm.MyAuditVal),_xlpm.MacVal&lt;&gt;"",_xlpm.MacVal,_xlpm.CSVVal&lt;&gt;"",_xlpm.CSVVal
)),"")</f>
        <v/>
      </c>
      <c r="E359" s="46" t="str" cm="1">
        <f t="array" ref="E359">IFERROR(_xlfn.LET(
_xlpm.CSVVal,_xlfn.XLOOKUP($A359,CSV!$A:$A,CSV!E:E,""),
_xlpm.MacVal,_xlfn.XLOOKUP($A359,Output_Mac!$A:$A,Output_Mac!C:C,""),
_xlpm.MyAuditVal,_xlfn.XLOOKUP($A359,My_Audit!$A:$A,My_Audit!D:D,""),
_xlfn.IFS(_xlpm.MyAuditVal&lt;&gt;"",_xlpm.MyAuditVal,_xlpm.MacVal&lt;&gt;"",_xlpm.MacVal,_xlpm.CSVVal&lt;&gt;"",_xlpm.CSVVal
)),"")</f>
        <v/>
      </c>
      <c r="F359" s="45" t="str" cm="1">
        <f t="array" ref="F359">IFERROR(_xlfn.LET(
_xlpm.CSVVal,_xlfn.XLOOKUP($A359,CSV!$A:$A,CSV!F:F,""),
_xlpm.MacVal,_xlfn.XLOOKUP($A359,Output_Mac!$A:$A,Output_Mac!F:F,""),
_xlpm.MyAuditVal,_xlfn.XLOOKUP($A359,My_Audit!$A:$A,My_Audit!E:E,""),
_xlfn.IFS(_xlpm.MyAuditVal&lt;&gt;"",_xlpm.MyAuditVal,_xlpm.MacVal&lt;&gt;"",_xlpm.MacVal,_xlpm.CSVVal&lt;&gt;"",PROPER(_xlpm.CSVVal)
)),"")</f>
        <v/>
      </c>
      <c r="G359" s="45" t="str" cm="1">
        <f t="array" ref="G359">IFERROR(_xlfn.LET(
_xlpm.CSVVal,_xlfn.XLOOKUP($A359,CSV!$A:$A,CSV!G:G,""),
_xlpm.MacVal,_xlfn.XLOOKUP($A359,Output_Mac!$A:$A,Output_Mac!H:H,""),
_xlpm.MyAuditVal,_xlfn.XLOOKUP($A359,My_Audit!$A:$A,My_Audit!F:F,""),
_xlfn.IFS(_xlpm.MyAuditVal&lt;&gt;"",_xlpm.MyAuditVal,_xlpm.MacVal&lt;&gt;"",_xlpm.MacVal,_xlpm.CSVVal&lt;&gt;"",_xlpm.CSVVal
)),"")</f>
        <v/>
      </c>
      <c r="H359" s="45" t="str">
        <f>_xlfn.XLOOKUP(A359,Output_Mac!A:A,Output_Mac!I:I,"")</f>
        <v/>
      </c>
      <c r="I359" s="45" t="str" cm="1">
        <f t="array" ref="I359">IFERROR(_xlfn.LET(
_xlpm.CSVVal,_xlfn.XLOOKUP($A359,CSV!$A:$A,CSV!H:H,""),
_xlpm.MacVal,_xlfn.XLOOKUP($A359,Output_Mac!$A:$A,Output_Mac!J:J,""),
_xlpm.MyAuditVal,_xlfn.XLOOKUP($A359,My_Audit!$A:$A,My_Audit!H:H,""),
_xlfn.IFS(_xlpm.MyAuditVal&lt;&gt;"",UPPER(_xlpm.MyAuditVal),_xlpm.MacVal&lt;&gt;"",_xlpm.MacVal,_xlpm.CSVVal&lt;&gt;"",_xlpm.CSVVal
)),"")</f>
        <v/>
      </c>
      <c r="J359" s="45" t="str" cm="1">
        <f t="array" ref="J359">IFERROR(_xlfn.LET(
_xlpm.CSVVal,_xlfn.XLOOKUP($A359,CSV!$A:$A,CSV!J:J,""),
_xlpm.MacVal,_xlfn.XLOOKUP($A359,Output_Mac!$A:$A,Output_Mac!K:K,""),
_xlpm.MyAuditVal,_xlfn.XLOOKUP($A359,My_Audit!$A:$A,My_Audit!I:I,""),
_xlfn.IFS(_xlpm.MyAuditVal&lt;&gt;"",UPPER(_xlpm.MyAuditVal),_xlpm.MacVal&lt;&gt;"",_xlpm.MacVal,_xlpm.CSVVal&lt;&gt;"",_xlpm.CSVVal
)),"")</f>
        <v/>
      </c>
      <c r="K359" s="45" t="str" cm="1">
        <f t="array" ref="K359">IFERROR(_xlfn.LET(
_xlpm.CSVVal,_xlfn.XLOOKUP($A359,CSV!$A:$A,CSV!N:N,""),
_xlpm.MacVal,_xlfn.XLOOKUP($A359,Output_Mac!$A:$A,Output_Mac!L:L,""),
_xlpm.MyAuditVal,_xlfn.XLOOKUP($A359,My_Audit!$A:$A,My_Audit!J:J,""),
_xlfn.IFS(_xlpm.MyAuditVal&lt;&gt;"",UPPER(_xlpm.MyAuditVal),_xlpm.MacVal&lt;&gt;"",_xlpm.MacVal,_xlpm.CSVVal&lt;&gt;"",_xlpm.CSVVal
)),"")</f>
        <v/>
      </c>
      <c r="L359" s="46" t="str" cm="1">
        <f t="array" ref="L359">IFERROR(_xlfn.LET(
_xlpm.CSVVal,_xlfn.XLOOKUP($A359,CSV!$A:$A,CSV!Q:Q,""),
_xlpm.MacVal,_xlfn.XLOOKUP($A359,Output_Mac!$A:$A,Output_Mac!M:M,""),
_xlpm.MyAuditVal,_xlfn.XLOOKUP($A359,My_Audit!$A:$A,My_Audit!K:K,""),
_xlfn.IFS(_xlpm.MyAuditVal&lt;&gt;"",UPPER(_xlpm.MyAuditVal),_xlpm.MacVal&lt;&gt;"",_xlpm.MacVal,_xlpm.CSVVal&lt;&gt;"",_xlpm.CSVVal
)),"")</f>
        <v/>
      </c>
      <c r="M359" s="45" t="str">
        <f>_xlfn.LET(
    _xlpm.CSVVal, _xlfn.XLOOKUP($A359, CSV!$A:$A, CSV!AE:AE, ""),
    _xlpm.MacVal, _xlfn.XLOOKUP($A359, Output_Mac!$A:$A, Output_Mac!S:S, ""),
    _xlpm.MyAuditVal, _xlfn.XLOOKUP($A359, My_Audit!$A:$A, My_Audit!N:N, ""),
    _xlfn.TEXTJOIN(", ", TRUE, _xlpm.MyAuditVal, _xlpm.MacVal, _xlpm.CSVVal)
)</f>
        <v/>
      </c>
      <c r="N359" s="45" t="str" cm="1">
        <f t="array" ref="N359">IFERROR(_xlfn.LET(
_xlpm.CSVVal,_xlfn.XLOOKUP($A359,CSV!$A:$A,CSV!AG:AG,""),
_xlpm.MacVal,_xlfn.XLOOKUP($A359,Output_Mac!$A:$A,Output_Mac!U:U,""),
_xlpm.MyAuditVal,_xlfn.XLOOKUP($A359,My_Audit!$A:$A,My_Audit!O:O,""),
_xlfn.IFS(_xlpm.MyAuditVal&lt;&gt;"",UPPER(_xlpm.MyAuditVal),_xlpm.MacVal&lt;&gt;"",_xlpm.MacVal,_xlpm.CSVVal&lt;&gt;"",_xlpm.CSVVal
)),"")</f>
        <v/>
      </c>
      <c r="O359" s="46" t="str">
        <f>_xlfn.XLOOKUP(C359,My_Audit!B:B,My_Audit!P:P,"")&amp;""</f>
        <v/>
      </c>
      <c r="P359" s="45"/>
      <c r="Q359" s="46" t="str">
        <f>IF(LEFT(N359,4)="Pass","Nist SP 800-88",My_Audit!R359)&amp;""</f>
        <v/>
      </c>
      <c r="R359" s="45"/>
      <c r="S359" s="45"/>
      <c r="T359" s="46" t="str">
        <f>_xlfn.XLOOKUP(E359,Models!I:I,Models!J:J,"")</f>
        <v/>
      </c>
      <c r="U359" s="45"/>
      <c r="V359" s="45"/>
      <c r="W359" s="38"/>
    </row>
    <row r="360" spans="1:23">
      <c r="A360" s="45" t="str">
        <f>_xlfn.TEXTJOIN("",TRUE,Input!$B$2,ROW(My_Audit!A359))</f>
        <v>XX359</v>
      </c>
      <c r="B360" s="45" t="str">
        <f>_xlfn.TEXTJOIN("-",TRUE,"ITD",Input!$A$2,A360)</f>
        <v>ITD-SHRXXX-XX359</v>
      </c>
      <c r="C360" s="45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46" t="str" cm="1">
        <f t="array" ref="D360">IFERROR(_xlfn.LET(
_xlpm.CSVVal,_xlfn.XLOOKUP($A360,CSV!$A:$A,CSV!C:C,""),
_xlpm.MacVal,_xlfn.XLOOKUP($A360,Output_Mac!$A:$A,Output_Mac!D:D,""),
_xlpm.MyAuditVal,_xlfn.XLOOKUP($A360,My_Audit!$A:$A,My_Audit!C:C,""),
_xlfn.IFS(_xlpm.MyAuditVal&lt;&gt;"",UPPER(_xlpm.MyAuditVal),_xlpm.MacVal&lt;&gt;"",_xlpm.MacVal,_xlpm.CSVVal&lt;&gt;"",_xlpm.CSVVal
)),"")</f>
        <v/>
      </c>
      <c r="E360" s="46" t="str" cm="1">
        <f t="array" ref="E360">IFERROR(_xlfn.LET(
_xlpm.CSVVal,_xlfn.XLOOKUP($A360,CSV!$A:$A,CSV!E:E,""),
_xlpm.MacVal,_xlfn.XLOOKUP($A360,Output_Mac!$A:$A,Output_Mac!C:C,""),
_xlpm.MyAuditVal,_xlfn.XLOOKUP($A360,My_Audit!$A:$A,My_Audit!D:D,""),
_xlfn.IFS(_xlpm.MyAuditVal&lt;&gt;"",_xlpm.MyAuditVal,_xlpm.MacVal&lt;&gt;"",_xlpm.MacVal,_xlpm.CSVVal&lt;&gt;"",_xlpm.CSVVal
)),"")</f>
        <v/>
      </c>
      <c r="F360" s="45" t="str" cm="1">
        <f t="array" ref="F360">IFERROR(_xlfn.LET(
_xlpm.CSVVal,_xlfn.XLOOKUP($A360,CSV!$A:$A,CSV!F:F,""),
_xlpm.MacVal,_xlfn.XLOOKUP($A360,Output_Mac!$A:$A,Output_Mac!F:F,""),
_xlpm.MyAuditVal,_xlfn.XLOOKUP($A360,My_Audit!$A:$A,My_Audit!E:E,""),
_xlfn.IFS(_xlpm.MyAuditVal&lt;&gt;"",_xlpm.MyAuditVal,_xlpm.MacVal&lt;&gt;"",_xlpm.MacVal,_xlpm.CSVVal&lt;&gt;"",PROPER(_xlpm.CSVVal)
)),"")</f>
        <v/>
      </c>
      <c r="G360" s="45" t="str" cm="1">
        <f t="array" ref="G360">IFERROR(_xlfn.LET(
_xlpm.CSVVal,_xlfn.XLOOKUP($A360,CSV!$A:$A,CSV!G:G,""),
_xlpm.MacVal,_xlfn.XLOOKUP($A360,Output_Mac!$A:$A,Output_Mac!H:H,""),
_xlpm.MyAuditVal,_xlfn.XLOOKUP($A360,My_Audit!$A:$A,My_Audit!F:F,""),
_xlfn.IFS(_xlpm.MyAuditVal&lt;&gt;"",_xlpm.MyAuditVal,_xlpm.MacVal&lt;&gt;"",_xlpm.MacVal,_xlpm.CSVVal&lt;&gt;"",_xlpm.CSVVal
)),"")</f>
        <v/>
      </c>
      <c r="H360" s="45" t="str">
        <f>_xlfn.XLOOKUP(A360,Output_Mac!A:A,Output_Mac!I:I,"")</f>
        <v/>
      </c>
      <c r="I360" s="45" t="str" cm="1">
        <f t="array" ref="I360">IFERROR(_xlfn.LET(
_xlpm.CSVVal,_xlfn.XLOOKUP($A360,CSV!$A:$A,CSV!H:H,""),
_xlpm.MacVal,_xlfn.XLOOKUP($A360,Output_Mac!$A:$A,Output_Mac!J:J,""),
_xlpm.MyAuditVal,_xlfn.XLOOKUP($A360,My_Audit!$A:$A,My_Audit!H:H,""),
_xlfn.IFS(_xlpm.MyAuditVal&lt;&gt;"",UPPER(_xlpm.MyAuditVal),_xlpm.MacVal&lt;&gt;"",_xlpm.MacVal,_xlpm.CSVVal&lt;&gt;"",_xlpm.CSVVal
)),"")</f>
        <v/>
      </c>
      <c r="J360" s="45" t="str" cm="1">
        <f t="array" ref="J360">IFERROR(_xlfn.LET(
_xlpm.CSVVal,_xlfn.XLOOKUP($A360,CSV!$A:$A,CSV!J:J,""),
_xlpm.MacVal,_xlfn.XLOOKUP($A360,Output_Mac!$A:$A,Output_Mac!K:K,""),
_xlpm.MyAuditVal,_xlfn.XLOOKUP($A360,My_Audit!$A:$A,My_Audit!I:I,""),
_xlfn.IFS(_xlpm.MyAuditVal&lt;&gt;"",UPPER(_xlpm.MyAuditVal),_xlpm.MacVal&lt;&gt;"",_xlpm.MacVal,_xlpm.CSVVal&lt;&gt;"",_xlpm.CSVVal
)),"")</f>
        <v/>
      </c>
      <c r="K360" s="45" t="str" cm="1">
        <f t="array" ref="K360">IFERROR(_xlfn.LET(
_xlpm.CSVVal,_xlfn.XLOOKUP($A360,CSV!$A:$A,CSV!N:N,""),
_xlpm.MacVal,_xlfn.XLOOKUP($A360,Output_Mac!$A:$A,Output_Mac!L:L,""),
_xlpm.MyAuditVal,_xlfn.XLOOKUP($A360,My_Audit!$A:$A,My_Audit!J:J,""),
_xlfn.IFS(_xlpm.MyAuditVal&lt;&gt;"",UPPER(_xlpm.MyAuditVal),_xlpm.MacVal&lt;&gt;"",_xlpm.MacVal,_xlpm.CSVVal&lt;&gt;"",_xlpm.CSVVal
)),"")</f>
        <v/>
      </c>
      <c r="L360" s="46" t="str" cm="1">
        <f t="array" ref="L360">IFERROR(_xlfn.LET(
_xlpm.CSVVal,_xlfn.XLOOKUP($A360,CSV!$A:$A,CSV!Q:Q,""),
_xlpm.MacVal,_xlfn.XLOOKUP($A360,Output_Mac!$A:$A,Output_Mac!M:M,""),
_xlpm.MyAuditVal,_xlfn.XLOOKUP($A360,My_Audit!$A:$A,My_Audit!K:K,""),
_xlfn.IFS(_xlpm.MyAuditVal&lt;&gt;"",UPPER(_xlpm.MyAuditVal),_xlpm.MacVal&lt;&gt;"",_xlpm.MacVal,_xlpm.CSVVal&lt;&gt;"",_xlpm.CSVVal
)),"")</f>
        <v/>
      </c>
      <c r="M360" s="45" t="str">
        <f>_xlfn.LET(
    _xlpm.CSVVal, _xlfn.XLOOKUP($A360, CSV!$A:$A, CSV!AE:AE, ""),
    _xlpm.MacVal, _xlfn.XLOOKUP($A360, Output_Mac!$A:$A, Output_Mac!S:S, ""),
    _xlpm.MyAuditVal, _xlfn.XLOOKUP($A360, My_Audit!$A:$A, My_Audit!N:N, ""),
    _xlfn.TEXTJOIN(", ", TRUE, _xlpm.MyAuditVal, _xlpm.MacVal, _xlpm.CSVVal)
)</f>
        <v/>
      </c>
      <c r="N360" s="45" t="str" cm="1">
        <f t="array" ref="N360">IFERROR(_xlfn.LET(
_xlpm.CSVVal,_xlfn.XLOOKUP($A360,CSV!$A:$A,CSV!AG:AG,""),
_xlpm.MacVal,_xlfn.XLOOKUP($A360,Output_Mac!$A:$A,Output_Mac!U:U,""),
_xlpm.MyAuditVal,_xlfn.XLOOKUP($A360,My_Audit!$A:$A,My_Audit!O:O,""),
_xlfn.IFS(_xlpm.MyAuditVal&lt;&gt;"",UPPER(_xlpm.MyAuditVal),_xlpm.MacVal&lt;&gt;"",_xlpm.MacVal,_xlpm.CSVVal&lt;&gt;"",_xlpm.CSVVal
)),"")</f>
        <v/>
      </c>
      <c r="O360" s="46" t="str">
        <f>_xlfn.XLOOKUP(C360,My_Audit!B:B,My_Audit!P:P,"")&amp;""</f>
        <v/>
      </c>
      <c r="P360" s="45"/>
      <c r="Q360" s="46" t="str">
        <f>IF(LEFT(N360,4)="Pass","Nist SP 800-88",My_Audit!R360)&amp;""</f>
        <v/>
      </c>
      <c r="R360" s="45"/>
      <c r="S360" s="45"/>
      <c r="T360" s="46" t="str">
        <f>_xlfn.XLOOKUP(E360,Models!I:I,Models!J:J,"")</f>
        <v/>
      </c>
      <c r="U360" s="45"/>
      <c r="V360" s="45"/>
      <c r="W360" s="38"/>
    </row>
    <row r="361" spans="1:23">
      <c r="A361" s="45" t="str">
        <f>_xlfn.TEXTJOIN("",TRUE,Input!$B$2,ROW(My_Audit!A360))</f>
        <v>XX360</v>
      </c>
      <c r="B361" s="45" t="str">
        <f>_xlfn.TEXTJOIN("-",TRUE,"ITD",Input!$A$2,A361)</f>
        <v>ITD-SHRXXX-XX360</v>
      </c>
      <c r="C361" s="45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46" t="str" cm="1">
        <f t="array" ref="D361">IFERROR(_xlfn.LET(
_xlpm.CSVVal,_xlfn.XLOOKUP($A361,CSV!$A:$A,CSV!C:C,""),
_xlpm.MacVal,_xlfn.XLOOKUP($A361,Output_Mac!$A:$A,Output_Mac!D:D,""),
_xlpm.MyAuditVal,_xlfn.XLOOKUP($A361,My_Audit!$A:$A,My_Audit!C:C,""),
_xlfn.IFS(_xlpm.MyAuditVal&lt;&gt;"",UPPER(_xlpm.MyAuditVal),_xlpm.MacVal&lt;&gt;"",_xlpm.MacVal,_xlpm.CSVVal&lt;&gt;"",_xlpm.CSVVal
)),"")</f>
        <v/>
      </c>
      <c r="E361" s="46" t="str" cm="1">
        <f t="array" ref="E361">IFERROR(_xlfn.LET(
_xlpm.CSVVal,_xlfn.XLOOKUP($A361,CSV!$A:$A,CSV!E:E,""),
_xlpm.MacVal,_xlfn.XLOOKUP($A361,Output_Mac!$A:$A,Output_Mac!C:C,""),
_xlpm.MyAuditVal,_xlfn.XLOOKUP($A361,My_Audit!$A:$A,My_Audit!D:D,""),
_xlfn.IFS(_xlpm.MyAuditVal&lt;&gt;"",_xlpm.MyAuditVal,_xlpm.MacVal&lt;&gt;"",_xlpm.MacVal,_xlpm.CSVVal&lt;&gt;"",_xlpm.CSVVal
)),"")</f>
        <v/>
      </c>
      <c r="F361" s="45" t="str" cm="1">
        <f t="array" ref="F361">IFERROR(_xlfn.LET(
_xlpm.CSVVal,_xlfn.XLOOKUP($A361,CSV!$A:$A,CSV!F:F,""),
_xlpm.MacVal,_xlfn.XLOOKUP($A361,Output_Mac!$A:$A,Output_Mac!F:F,""),
_xlpm.MyAuditVal,_xlfn.XLOOKUP($A361,My_Audit!$A:$A,My_Audit!E:E,""),
_xlfn.IFS(_xlpm.MyAuditVal&lt;&gt;"",_xlpm.MyAuditVal,_xlpm.MacVal&lt;&gt;"",_xlpm.MacVal,_xlpm.CSVVal&lt;&gt;"",PROPER(_xlpm.CSVVal)
)),"")</f>
        <v/>
      </c>
      <c r="G361" s="45" t="str" cm="1">
        <f t="array" ref="G361">IFERROR(_xlfn.LET(
_xlpm.CSVVal,_xlfn.XLOOKUP($A361,CSV!$A:$A,CSV!G:G,""),
_xlpm.MacVal,_xlfn.XLOOKUP($A361,Output_Mac!$A:$A,Output_Mac!H:H,""),
_xlpm.MyAuditVal,_xlfn.XLOOKUP($A361,My_Audit!$A:$A,My_Audit!F:F,""),
_xlfn.IFS(_xlpm.MyAuditVal&lt;&gt;"",_xlpm.MyAuditVal,_xlpm.MacVal&lt;&gt;"",_xlpm.MacVal,_xlpm.CSVVal&lt;&gt;"",_xlpm.CSVVal
)),"")</f>
        <v/>
      </c>
      <c r="H361" s="45" t="str">
        <f>_xlfn.XLOOKUP(A361,Output_Mac!A:A,Output_Mac!I:I,"")</f>
        <v/>
      </c>
      <c r="I361" s="45" t="str" cm="1">
        <f t="array" ref="I361">IFERROR(_xlfn.LET(
_xlpm.CSVVal,_xlfn.XLOOKUP($A361,CSV!$A:$A,CSV!H:H,""),
_xlpm.MacVal,_xlfn.XLOOKUP($A361,Output_Mac!$A:$A,Output_Mac!J:J,""),
_xlpm.MyAuditVal,_xlfn.XLOOKUP($A361,My_Audit!$A:$A,My_Audit!H:H,""),
_xlfn.IFS(_xlpm.MyAuditVal&lt;&gt;"",UPPER(_xlpm.MyAuditVal),_xlpm.MacVal&lt;&gt;"",_xlpm.MacVal,_xlpm.CSVVal&lt;&gt;"",_xlpm.CSVVal
)),"")</f>
        <v/>
      </c>
      <c r="J361" s="45" t="str" cm="1">
        <f t="array" ref="J361">IFERROR(_xlfn.LET(
_xlpm.CSVVal,_xlfn.XLOOKUP($A361,CSV!$A:$A,CSV!J:J,""),
_xlpm.MacVal,_xlfn.XLOOKUP($A361,Output_Mac!$A:$A,Output_Mac!K:K,""),
_xlpm.MyAuditVal,_xlfn.XLOOKUP($A361,My_Audit!$A:$A,My_Audit!I:I,""),
_xlfn.IFS(_xlpm.MyAuditVal&lt;&gt;"",UPPER(_xlpm.MyAuditVal),_xlpm.MacVal&lt;&gt;"",_xlpm.MacVal,_xlpm.CSVVal&lt;&gt;"",_xlpm.CSVVal
)),"")</f>
        <v/>
      </c>
      <c r="K361" s="45" t="str" cm="1">
        <f t="array" ref="K361">IFERROR(_xlfn.LET(
_xlpm.CSVVal,_xlfn.XLOOKUP($A361,CSV!$A:$A,CSV!N:N,""),
_xlpm.MacVal,_xlfn.XLOOKUP($A361,Output_Mac!$A:$A,Output_Mac!L:L,""),
_xlpm.MyAuditVal,_xlfn.XLOOKUP($A361,My_Audit!$A:$A,My_Audit!J:J,""),
_xlfn.IFS(_xlpm.MyAuditVal&lt;&gt;"",UPPER(_xlpm.MyAuditVal),_xlpm.MacVal&lt;&gt;"",_xlpm.MacVal,_xlpm.CSVVal&lt;&gt;"",_xlpm.CSVVal
)),"")</f>
        <v/>
      </c>
      <c r="L361" s="46" t="str" cm="1">
        <f t="array" ref="L361">IFERROR(_xlfn.LET(
_xlpm.CSVVal,_xlfn.XLOOKUP($A361,CSV!$A:$A,CSV!Q:Q,""),
_xlpm.MacVal,_xlfn.XLOOKUP($A361,Output_Mac!$A:$A,Output_Mac!M:M,""),
_xlpm.MyAuditVal,_xlfn.XLOOKUP($A361,My_Audit!$A:$A,My_Audit!K:K,""),
_xlfn.IFS(_xlpm.MyAuditVal&lt;&gt;"",UPPER(_xlpm.MyAuditVal),_xlpm.MacVal&lt;&gt;"",_xlpm.MacVal,_xlpm.CSVVal&lt;&gt;"",_xlpm.CSVVal
)),"")</f>
        <v/>
      </c>
      <c r="M361" s="45" t="str">
        <f>_xlfn.LET(
    _xlpm.CSVVal, _xlfn.XLOOKUP($A361, CSV!$A:$A, CSV!AE:AE, ""),
    _xlpm.MacVal, _xlfn.XLOOKUP($A361, Output_Mac!$A:$A, Output_Mac!S:S, ""),
    _xlpm.MyAuditVal, _xlfn.XLOOKUP($A361, My_Audit!$A:$A, My_Audit!N:N, ""),
    _xlfn.TEXTJOIN(", ", TRUE, _xlpm.MyAuditVal, _xlpm.MacVal, _xlpm.CSVVal)
)</f>
        <v/>
      </c>
      <c r="N361" s="45" t="str" cm="1">
        <f t="array" ref="N361">IFERROR(_xlfn.LET(
_xlpm.CSVVal,_xlfn.XLOOKUP($A361,CSV!$A:$A,CSV!AG:AG,""),
_xlpm.MacVal,_xlfn.XLOOKUP($A361,Output_Mac!$A:$A,Output_Mac!U:U,""),
_xlpm.MyAuditVal,_xlfn.XLOOKUP($A361,My_Audit!$A:$A,My_Audit!O:O,""),
_xlfn.IFS(_xlpm.MyAuditVal&lt;&gt;"",UPPER(_xlpm.MyAuditVal),_xlpm.MacVal&lt;&gt;"",_xlpm.MacVal,_xlpm.CSVVal&lt;&gt;"",_xlpm.CSVVal
)),"")</f>
        <v/>
      </c>
      <c r="O361" s="46" t="str">
        <f>_xlfn.XLOOKUP(C361,My_Audit!B:B,My_Audit!P:P,"")&amp;""</f>
        <v/>
      </c>
      <c r="P361" s="45"/>
      <c r="Q361" s="46" t="str">
        <f>IF(LEFT(N361,4)="Pass","Nist SP 800-88",My_Audit!R361)&amp;""</f>
        <v/>
      </c>
      <c r="R361" s="45"/>
      <c r="S361" s="45"/>
      <c r="T361" s="46" t="str">
        <f>_xlfn.XLOOKUP(E361,Models!I:I,Models!J:J,"")</f>
        <v/>
      </c>
      <c r="U361" s="45"/>
      <c r="V361" s="45"/>
      <c r="W361" s="38"/>
    </row>
    <row r="362" spans="1:23">
      <c r="A362" s="45" t="str">
        <f>_xlfn.TEXTJOIN("",TRUE,Input!$B$2,ROW(My_Audit!A361))</f>
        <v>XX361</v>
      </c>
      <c r="B362" s="45" t="str">
        <f>_xlfn.TEXTJOIN("-",TRUE,"ITD",Input!$A$2,A362)</f>
        <v>ITD-SHRXXX-XX361</v>
      </c>
      <c r="C362" s="45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46" t="str" cm="1">
        <f t="array" ref="D362">IFERROR(_xlfn.LET(
_xlpm.CSVVal,_xlfn.XLOOKUP($A362,CSV!$A:$A,CSV!C:C,""),
_xlpm.MacVal,_xlfn.XLOOKUP($A362,Output_Mac!$A:$A,Output_Mac!D:D,""),
_xlpm.MyAuditVal,_xlfn.XLOOKUP($A362,My_Audit!$A:$A,My_Audit!C:C,""),
_xlfn.IFS(_xlpm.MyAuditVal&lt;&gt;"",UPPER(_xlpm.MyAuditVal),_xlpm.MacVal&lt;&gt;"",_xlpm.MacVal,_xlpm.CSVVal&lt;&gt;"",_xlpm.CSVVal
)),"")</f>
        <v/>
      </c>
      <c r="E362" s="46" t="str" cm="1">
        <f t="array" ref="E362">IFERROR(_xlfn.LET(
_xlpm.CSVVal,_xlfn.XLOOKUP($A362,CSV!$A:$A,CSV!E:E,""),
_xlpm.MacVal,_xlfn.XLOOKUP($A362,Output_Mac!$A:$A,Output_Mac!C:C,""),
_xlpm.MyAuditVal,_xlfn.XLOOKUP($A362,My_Audit!$A:$A,My_Audit!D:D,""),
_xlfn.IFS(_xlpm.MyAuditVal&lt;&gt;"",_xlpm.MyAuditVal,_xlpm.MacVal&lt;&gt;"",_xlpm.MacVal,_xlpm.CSVVal&lt;&gt;"",_xlpm.CSVVal
)),"")</f>
        <v/>
      </c>
      <c r="F362" s="45" t="str" cm="1">
        <f t="array" ref="F362">IFERROR(_xlfn.LET(
_xlpm.CSVVal,_xlfn.XLOOKUP($A362,CSV!$A:$A,CSV!F:F,""),
_xlpm.MacVal,_xlfn.XLOOKUP($A362,Output_Mac!$A:$A,Output_Mac!F:F,""),
_xlpm.MyAuditVal,_xlfn.XLOOKUP($A362,My_Audit!$A:$A,My_Audit!E:E,""),
_xlfn.IFS(_xlpm.MyAuditVal&lt;&gt;"",_xlpm.MyAuditVal,_xlpm.MacVal&lt;&gt;"",_xlpm.MacVal,_xlpm.CSVVal&lt;&gt;"",PROPER(_xlpm.CSVVal)
)),"")</f>
        <v/>
      </c>
      <c r="G362" s="45" t="str" cm="1">
        <f t="array" ref="G362">IFERROR(_xlfn.LET(
_xlpm.CSVVal,_xlfn.XLOOKUP($A362,CSV!$A:$A,CSV!G:G,""),
_xlpm.MacVal,_xlfn.XLOOKUP($A362,Output_Mac!$A:$A,Output_Mac!H:H,""),
_xlpm.MyAuditVal,_xlfn.XLOOKUP($A362,My_Audit!$A:$A,My_Audit!F:F,""),
_xlfn.IFS(_xlpm.MyAuditVal&lt;&gt;"",_xlpm.MyAuditVal,_xlpm.MacVal&lt;&gt;"",_xlpm.MacVal,_xlpm.CSVVal&lt;&gt;"",_xlpm.CSVVal
)),"")</f>
        <v/>
      </c>
      <c r="H362" s="45" t="str">
        <f>_xlfn.XLOOKUP(A362,Output_Mac!A:A,Output_Mac!I:I,"")</f>
        <v/>
      </c>
      <c r="I362" s="45" t="str" cm="1">
        <f t="array" ref="I362">IFERROR(_xlfn.LET(
_xlpm.CSVVal,_xlfn.XLOOKUP($A362,CSV!$A:$A,CSV!H:H,""),
_xlpm.MacVal,_xlfn.XLOOKUP($A362,Output_Mac!$A:$A,Output_Mac!J:J,""),
_xlpm.MyAuditVal,_xlfn.XLOOKUP($A362,My_Audit!$A:$A,My_Audit!H:H,""),
_xlfn.IFS(_xlpm.MyAuditVal&lt;&gt;"",UPPER(_xlpm.MyAuditVal),_xlpm.MacVal&lt;&gt;"",_xlpm.MacVal,_xlpm.CSVVal&lt;&gt;"",_xlpm.CSVVal
)),"")</f>
        <v/>
      </c>
      <c r="J362" s="45" t="str" cm="1">
        <f t="array" ref="J362">IFERROR(_xlfn.LET(
_xlpm.CSVVal,_xlfn.XLOOKUP($A362,CSV!$A:$A,CSV!J:J,""),
_xlpm.MacVal,_xlfn.XLOOKUP($A362,Output_Mac!$A:$A,Output_Mac!K:K,""),
_xlpm.MyAuditVal,_xlfn.XLOOKUP($A362,My_Audit!$A:$A,My_Audit!I:I,""),
_xlfn.IFS(_xlpm.MyAuditVal&lt;&gt;"",UPPER(_xlpm.MyAuditVal),_xlpm.MacVal&lt;&gt;"",_xlpm.MacVal,_xlpm.CSVVal&lt;&gt;"",_xlpm.CSVVal
)),"")</f>
        <v/>
      </c>
      <c r="K362" s="45" t="str" cm="1">
        <f t="array" ref="K362">IFERROR(_xlfn.LET(
_xlpm.CSVVal,_xlfn.XLOOKUP($A362,CSV!$A:$A,CSV!N:N,""),
_xlpm.MacVal,_xlfn.XLOOKUP($A362,Output_Mac!$A:$A,Output_Mac!L:L,""),
_xlpm.MyAuditVal,_xlfn.XLOOKUP($A362,My_Audit!$A:$A,My_Audit!J:J,""),
_xlfn.IFS(_xlpm.MyAuditVal&lt;&gt;"",UPPER(_xlpm.MyAuditVal),_xlpm.MacVal&lt;&gt;"",_xlpm.MacVal,_xlpm.CSVVal&lt;&gt;"",_xlpm.CSVVal
)),"")</f>
        <v/>
      </c>
      <c r="L362" s="46" t="str" cm="1">
        <f t="array" ref="L362">IFERROR(_xlfn.LET(
_xlpm.CSVVal,_xlfn.XLOOKUP($A362,CSV!$A:$A,CSV!Q:Q,""),
_xlpm.MacVal,_xlfn.XLOOKUP($A362,Output_Mac!$A:$A,Output_Mac!M:M,""),
_xlpm.MyAuditVal,_xlfn.XLOOKUP($A362,My_Audit!$A:$A,My_Audit!K:K,""),
_xlfn.IFS(_xlpm.MyAuditVal&lt;&gt;"",UPPER(_xlpm.MyAuditVal),_xlpm.MacVal&lt;&gt;"",_xlpm.MacVal,_xlpm.CSVVal&lt;&gt;"",_xlpm.CSVVal
)),"")</f>
        <v/>
      </c>
      <c r="M362" s="45" t="str">
        <f>_xlfn.LET(
    _xlpm.CSVVal, _xlfn.XLOOKUP($A362, CSV!$A:$A, CSV!AE:AE, ""),
    _xlpm.MacVal, _xlfn.XLOOKUP($A362, Output_Mac!$A:$A, Output_Mac!S:S, ""),
    _xlpm.MyAuditVal, _xlfn.XLOOKUP($A362, My_Audit!$A:$A, My_Audit!N:N, ""),
    _xlfn.TEXTJOIN(", ", TRUE, _xlpm.MyAuditVal, _xlpm.MacVal, _xlpm.CSVVal)
)</f>
        <v/>
      </c>
      <c r="N362" s="45" t="str" cm="1">
        <f t="array" ref="N362">IFERROR(_xlfn.LET(
_xlpm.CSVVal,_xlfn.XLOOKUP($A362,CSV!$A:$A,CSV!AG:AG,""),
_xlpm.MacVal,_xlfn.XLOOKUP($A362,Output_Mac!$A:$A,Output_Mac!U:U,""),
_xlpm.MyAuditVal,_xlfn.XLOOKUP($A362,My_Audit!$A:$A,My_Audit!O:O,""),
_xlfn.IFS(_xlpm.MyAuditVal&lt;&gt;"",UPPER(_xlpm.MyAuditVal),_xlpm.MacVal&lt;&gt;"",_xlpm.MacVal,_xlpm.CSVVal&lt;&gt;"",_xlpm.CSVVal
)),"")</f>
        <v/>
      </c>
      <c r="O362" s="46" t="str">
        <f>_xlfn.XLOOKUP(C362,My_Audit!B:B,My_Audit!P:P,"")&amp;""</f>
        <v/>
      </c>
      <c r="P362" s="45"/>
      <c r="Q362" s="46" t="str">
        <f>IF(LEFT(N362,4)="Pass","Nist SP 800-88",My_Audit!R362)&amp;""</f>
        <v/>
      </c>
      <c r="R362" s="45"/>
      <c r="S362" s="45"/>
      <c r="T362" s="46" t="str">
        <f>_xlfn.XLOOKUP(E362,Models!I:I,Models!J:J,"")</f>
        <v/>
      </c>
      <c r="U362" s="45"/>
      <c r="V362" s="45"/>
      <c r="W362" s="38"/>
    </row>
    <row r="363" spans="1:23">
      <c r="A363" s="45" t="str">
        <f>_xlfn.TEXTJOIN("",TRUE,Input!$B$2,ROW(My_Audit!A362))</f>
        <v>XX362</v>
      </c>
      <c r="B363" s="45" t="str">
        <f>_xlfn.TEXTJOIN("-",TRUE,"ITD",Input!$A$2,A363)</f>
        <v>ITD-SHRXXX-XX362</v>
      </c>
      <c r="C363" s="45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46" t="str" cm="1">
        <f t="array" ref="D363">IFERROR(_xlfn.LET(
_xlpm.CSVVal,_xlfn.XLOOKUP($A363,CSV!$A:$A,CSV!C:C,""),
_xlpm.MacVal,_xlfn.XLOOKUP($A363,Output_Mac!$A:$A,Output_Mac!D:D,""),
_xlpm.MyAuditVal,_xlfn.XLOOKUP($A363,My_Audit!$A:$A,My_Audit!C:C,""),
_xlfn.IFS(_xlpm.MyAuditVal&lt;&gt;"",UPPER(_xlpm.MyAuditVal),_xlpm.MacVal&lt;&gt;"",_xlpm.MacVal,_xlpm.CSVVal&lt;&gt;"",_xlpm.CSVVal
)),"")</f>
        <v/>
      </c>
      <c r="E363" s="46" t="str" cm="1">
        <f t="array" ref="E363">IFERROR(_xlfn.LET(
_xlpm.CSVVal,_xlfn.XLOOKUP($A363,CSV!$A:$A,CSV!E:E,""),
_xlpm.MacVal,_xlfn.XLOOKUP($A363,Output_Mac!$A:$A,Output_Mac!C:C,""),
_xlpm.MyAuditVal,_xlfn.XLOOKUP($A363,My_Audit!$A:$A,My_Audit!D:D,""),
_xlfn.IFS(_xlpm.MyAuditVal&lt;&gt;"",_xlpm.MyAuditVal,_xlpm.MacVal&lt;&gt;"",_xlpm.MacVal,_xlpm.CSVVal&lt;&gt;"",_xlpm.CSVVal
)),"")</f>
        <v/>
      </c>
      <c r="F363" s="45" t="str" cm="1">
        <f t="array" ref="F363">IFERROR(_xlfn.LET(
_xlpm.CSVVal,_xlfn.XLOOKUP($A363,CSV!$A:$A,CSV!F:F,""),
_xlpm.MacVal,_xlfn.XLOOKUP($A363,Output_Mac!$A:$A,Output_Mac!F:F,""),
_xlpm.MyAuditVal,_xlfn.XLOOKUP($A363,My_Audit!$A:$A,My_Audit!E:E,""),
_xlfn.IFS(_xlpm.MyAuditVal&lt;&gt;"",_xlpm.MyAuditVal,_xlpm.MacVal&lt;&gt;"",_xlpm.MacVal,_xlpm.CSVVal&lt;&gt;"",PROPER(_xlpm.CSVVal)
)),"")</f>
        <v/>
      </c>
      <c r="G363" s="45" t="str" cm="1">
        <f t="array" ref="G363">IFERROR(_xlfn.LET(
_xlpm.CSVVal,_xlfn.XLOOKUP($A363,CSV!$A:$A,CSV!G:G,""),
_xlpm.MacVal,_xlfn.XLOOKUP($A363,Output_Mac!$A:$A,Output_Mac!H:H,""),
_xlpm.MyAuditVal,_xlfn.XLOOKUP($A363,My_Audit!$A:$A,My_Audit!F:F,""),
_xlfn.IFS(_xlpm.MyAuditVal&lt;&gt;"",_xlpm.MyAuditVal,_xlpm.MacVal&lt;&gt;"",_xlpm.MacVal,_xlpm.CSVVal&lt;&gt;"",_xlpm.CSVVal
)),"")</f>
        <v/>
      </c>
      <c r="H363" s="45" t="str">
        <f>_xlfn.XLOOKUP(A363,Output_Mac!A:A,Output_Mac!I:I,"")</f>
        <v/>
      </c>
      <c r="I363" s="45" t="str" cm="1">
        <f t="array" ref="I363">IFERROR(_xlfn.LET(
_xlpm.CSVVal,_xlfn.XLOOKUP($A363,CSV!$A:$A,CSV!H:H,""),
_xlpm.MacVal,_xlfn.XLOOKUP($A363,Output_Mac!$A:$A,Output_Mac!J:J,""),
_xlpm.MyAuditVal,_xlfn.XLOOKUP($A363,My_Audit!$A:$A,My_Audit!H:H,""),
_xlfn.IFS(_xlpm.MyAuditVal&lt;&gt;"",UPPER(_xlpm.MyAuditVal),_xlpm.MacVal&lt;&gt;"",_xlpm.MacVal,_xlpm.CSVVal&lt;&gt;"",_xlpm.CSVVal
)),"")</f>
        <v/>
      </c>
      <c r="J363" s="45" t="str" cm="1">
        <f t="array" ref="J363">IFERROR(_xlfn.LET(
_xlpm.CSVVal,_xlfn.XLOOKUP($A363,CSV!$A:$A,CSV!J:J,""),
_xlpm.MacVal,_xlfn.XLOOKUP($A363,Output_Mac!$A:$A,Output_Mac!K:K,""),
_xlpm.MyAuditVal,_xlfn.XLOOKUP($A363,My_Audit!$A:$A,My_Audit!I:I,""),
_xlfn.IFS(_xlpm.MyAuditVal&lt;&gt;"",UPPER(_xlpm.MyAuditVal),_xlpm.MacVal&lt;&gt;"",_xlpm.MacVal,_xlpm.CSVVal&lt;&gt;"",_xlpm.CSVVal
)),"")</f>
        <v/>
      </c>
      <c r="K363" s="45" t="str" cm="1">
        <f t="array" ref="K363">IFERROR(_xlfn.LET(
_xlpm.CSVVal,_xlfn.XLOOKUP($A363,CSV!$A:$A,CSV!N:N,""),
_xlpm.MacVal,_xlfn.XLOOKUP($A363,Output_Mac!$A:$A,Output_Mac!L:L,""),
_xlpm.MyAuditVal,_xlfn.XLOOKUP($A363,My_Audit!$A:$A,My_Audit!J:J,""),
_xlfn.IFS(_xlpm.MyAuditVal&lt;&gt;"",UPPER(_xlpm.MyAuditVal),_xlpm.MacVal&lt;&gt;"",_xlpm.MacVal,_xlpm.CSVVal&lt;&gt;"",_xlpm.CSVVal
)),"")</f>
        <v/>
      </c>
      <c r="L363" s="46" t="str" cm="1">
        <f t="array" ref="L363">IFERROR(_xlfn.LET(
_xlpm.CSVVal,_xlfn.XLOOKUP($A363,CSV!$A:$A,CSV!Q:Q,""),
_xlpm.MacVal,_xlfn.XLOOKUP($A363,Output_Mac!$A:$A,Output_Mac!M:M,""),
_xlpm.MyAuditVal,_xlfn.XLOOKUP($A363,My_Audit!$A:$A,My_Audit!K:K,""),
_xlfn.IFS(_xlpm.MyAuditVal&lt;&gt;"",UPPER(_xlpm.MyAuditVal),_xlpm.MacVal&lt;&gt;"",_xlpm.MacVal,_xlpm.CSVVal&lt;&gt;"",_xlpm.CSVVal
)),"")</f>
        <v/>
      </c>
      <c r="M363" s="45" t="str">
        <f>_xlfn.LET(
    _xlpm.CSVVal, _xlfn.XLOOKUP($A363, CSV!$A:$A, CSV!AE:AE, ""),
    _xlpm.MacVal, _xlfn.XLOOKUP($A363, Output_Mac!$A:$A, Output_Mac!S:S, ""),
    _xlpm.MyAuditVal, _xlfn.XLOOKUP($A363, My_Audit!$A:$A, My_Audit!N:N, ""),
    _xlfn.TEXTJOIN(", ", TRUE, _xlpm.MyAuditVal, _xlpm.MacVal, _xlpm.CSVVal)
)</f>
        <v/>
      </c>
      <c r="N363" s="45" t="str" cm="1">
        <f t="array" ref="N363">IFERROR(_xlfn.LET(
_xlpm.CSVVal,_xlfn.XLOOKUP($A363,CSV!$A:$A,CSV!AG:AG,""),
_xlpm.MacVal,_xlfn.XLOOKUP($A363,Output_Mac!$A:$A,Output_Mac!U:U,""),
_xlpm.MyAuditVal,_xlfn.XLOOKUP($A363,My_Audit!$A:$A,My_Audit!O:O,""),
_xlfn.IFS(_xlpm.MyAuditVal&lt;&gt;"",UPPER(_xlpm.MyAuditVal),_xlpm.MacVal&lt;&gt;"",_xlpm.MacVal,_xlpm.CSVVal&lt;&gt;"",_xlpm.CSVVal
)),"")</f>
        <v/>
      </c>
      <c r="O363" s="46" t="str">
        <f>_xlfn.XLOOKUP(C363,My_Audit!B:B,My_Audit!P:P,"")&amp;""</f>
        <v/>
      </c>
      <c r="P363" s="45"/>
      <c r="Q363" s="46" t="str">
        <f>IF(LEFT(N363,4)="Pass","Nist SP 800-88",My_Audit!R363)&amp;""</f>
        <v/>
      </c>
      <c r="R363" s="45"/>
      <c r="S363" s="45"/>
      <c r="T363" s="46" t="str">
        <f>_xlfn.XLOOKUP(E363,Models!I:I,Models!J:J,"")</f>
        <v/>
      </c>
      <c r="U363" s="45"/>
      <c r="V363" s="45"/>
      <c r="W363" s="38"/>
    </row>
    <row r="364" spans="1:23">
      <c r="A364" s="45" t="str">
        <f>_xlfn.TEXTJOIN("",TRUE,Input!$B$2,ROW(My_Audit!A363))</f>
        <v>XX363</v>
      </c>
      <c r="B364" s="45" t="str">
        <f>_xlfn.TEXTJOIN("-",TRUE,"ITD",Input!$A$2,A364)</f>
        <v>ITD-SHRXXX-XX363</v>
      </c>
      <c r="C364" s="45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46" t="str" cm="1">
        <f t="array" ref="D364">IFERROR(_xlfn.LET(
_xlpm.CSVVal,_xlfn.XLOOKUP($A364,CSV!$A:$A,CSV!C:C,""),
_xlpm.MacVal,_xlfn.XLOOKUP($A364,Output_Mac!$A:$A,Output_Mac!D:D,""),
_xlpm.MyAuditVal,_xlfn.XLOOKUP($A364,My_Audit!$A:$A,My_Audit!C:C,""),
_xlfn.IFS(_xlpm.MyAuditVal&lt;&gt;"",UPPER(_xlpm.MyAuditVal),_xlpm.MacVal&lt;&gt;"",_xlpm.MacVal,_xlpm.CSVVal&lt;&gt;"",_xlpm.CSVVal
)),"")</f>
        <v/>
      </c>
      <c r="E364" s="46" t="str" cm="1">
        <f t="array" ref="E364">IFERROR(_xlfn.LET(
_xlpm.CSVVal,_xlfn.XLOOKUP($A364,CSV!$A:$A,CSV!E:E,""),
_xlpm.MacVal,_xlfn.XLOOKUP($A364,Output_Mac!$A:$A,Output_Mac!C:C,""),
_xlpm.MyAuditVal,_xlfn.XLOOKUP($A364,My_Audit!$A:$A,My_Audit!D:D,""),
_xlfn.IFS(_xlpm.MyAuditVal&lt;&gt;"",_xlpm.MyAuditVal,_xlpm.MacVal&lt;&gt;"",_xlpm.MacVal,_xlpm.CSVVal&lt;&gt;"",_xlpm.CSVVal
)),"")</f>
        <v/>
      </c>
      <c r="F364" s="45" t="str" cm="1">
        <f t="array" ref="F364">IFERROR(_xlfn.LET(
_xlpm.CSVVal,_xlfn.XLOOKUP($A364,CSV!$A:$A,CSV!F:F,""),
_xlpm.MacVal,_xlfn.XLOOKUP($A364,Output_Mac!$A:$A,Output_Mac!F:F,""),
_xlpm.MyAuditVal,_xlfn.XLOOKUP($A364,My_Audit!$A:$A,My_Audit!E:E,""),
_xlfn.IFS(_xlpm.MyAuditVal&lt;&gt;"",_xlpm.MyAuditVal,_xlpm.MacVal&lt;&gt;"",_xlpm.MacVal,_xlpm.CSVVal&lt;&gt;"",PROPER(_xlpm.CSVVal)
)),"")</f>
        <v/>
      </c>
      <c r="G364" s="45" t="str" cm="1">
        <f t="array" ref="G364">IFERROR(_xlfn.LET(
_xlpm.CSVVal,_xlfn.XLOOKUP($A364,CSV!$A:$A,CSV!G:G,""),
_xlpm.MacVal,_xlfn.XLOOKUP($A364,Output_Mac!$A:$A,Output_Mac!H:H,""),
_xlpm.MyAuditVal,_xlfn.XLOOKUP($A364,My_Audit!$A:$A,My_Audit!F:F,""),
_xlfn.IFS(_xlpm.MyAuditVal&lt;&gt;"",_xlpm.MyAuditVal,_xlpm.MacVal&lt;&gt;"",_xlpm.MacVal,_xlpm.CSVVal&lt;&gt;"",_xlpm.CSVVal
)),"")</f>
        <v/>
      </c>
      <c r="H364" s="45" t="str">
        <f>_xlfn.XLOOKUP(A364,Output_Mac!A:A,Output_Mac!I:I,"")</f>
        <v/>
      </c>
      <c r="I364" s="45" t="str" cm="1">
        <f t="array" ref="I364">IFERROR(_xlfn.LET(
_xlpm.CSVVal,_xlfn.XLOOKUP($A364,CSV!$A:$A,CSV!H:H,""),
_xlpm.MacVal,_xlfn.XLOOKUP($A364,Output_Mac!$A:$A,Output_Mac!J:J,""),
_xlpm.MyAuditVal,_xlfn.XLOOKUP($A364,My_Audit!$A:$A,My_Audit!H:H,""),
_xlfn.IFS(_xlpm.MyAuditVal&lt;&gt;"",UPPER(_xlpm.MyAuditVal),_xlpm.MacVal&lt;&gt;"",_xlpm.MacVal,_xlpm.CSVVal&lt;&gt;"",_xlpm.CSVVal
)),"")</f>
        <v/>
      </c>
      <c r="J364" s="45" t="str" cm="1">
        <f t="array" ref="J364">IFERROR(_xlfn.LET(
_xlpm.CSVVal,_xlfn.XLOOKUP($A364,CSV!$A:$A,CSV!J:J,""),
_xlpm.MacVal,_xlfn.XLOOKUP($A364,Output_Mac!$A:$A,Output_Mac!K:K,""),
_xlpm.MyAuditVal,_xlfn.XLOOKUP($A364,My_Audit!$A:$A,My_Audit!I:I,""),
_xlfn.IFS(_xlpm.MyAuditVal&lt;&gt;"",UPPER(_xlpm.MyAuditVal),_xlpm.MacVal&lt;&gt;"",_xlpm.MacVal,_xlpm.CSVVal&lt;&gt;"",_xlpm.CSVVal
)),"")</f>
        <v/>
      </c>
      <c r="K364" s="45" t="str" cm="1">
        <f t="array" ref="K364">IFERROR(_xlfn.LET(
_xlpm.CSVVal,_xlfn.XLOOKUP($A364,CSV!$A:$A,CSV!N:N,""),
_xlpm.MacVal,_xlfn.XLOOKUP($A364,Output_Mac!$A:$A,Output_Mac!L:L,""),
_xlpm.MyAuditVal,_xlfn.XLOOKUP($A364,My_Audit!$A:$A,My_Audit!J:J,""),
_xlfn.IFS(_xlpm.MyAuditVal&lt;&gt;"",UPPER(_xlpm.MyAuditVal),_xlpm.MacVal&lt;&gt;"",_xlpm.MacVal,_xlpm.CSVVal&lt;&gt;"",_xlpm.CSVVal
)),"")</f>
        <v/>
      </c>
      <c r="L364" s="46" t="str" cm="1">
        <f t="array" ref="L364">IFERROR(_xlfn.LET(
_xlpm.CSVVal,_xlfn.XLOOKUP($A364,CSV!$A:$A,CSV!Q:Q,""),
_xlpm.MacVal,_xlfn.XLOOKUP($A364,Output_Mac!$A:$A,Output_Mac!M:M,""),
_xlpm.MyAuditVal,_xlfn.XLOOKUP($A364,My_Audit!$A:$A,My_Audit!K:K,""),
_xlfn.IFS(_xlpm.MyAuditVal&lt;&gt;"",UPPER(_xlpm.MyAuditVal),_xlpm.MacVal&lt;&gt;"",_xlpm.MacVal,_xlpm.CSVVal&lt;&gt;"",_xlpm.CSVVal
)),"")</f>
        <v/>
      </c>
      <c r="M364" s="45" t="str">
        <f>_xlfn.LET(
    _xlpm.CSVVal, _xlfn.XLOOKUP($A364, CSV!$A:$A, CSV!AE:AE, ""),
    _xlpm.MacVal, _xlfn.XLOOKUP($A364, Output_Mac!$A:$A, Output_Mac!S:S, ""),
    _xlpm.MyAuditVal, _xlfn.XLOOKUP($A364, My_Audit!$A:$A, My_Audit!N:N, ""),
    _xlfn.TEXTJOIN(", ", TRUE, _xlpm.MyAuditVal, _xlpm.MacVal, _xlpm.CSVVal)
)</f>
        <v/>
      </c>
      <c r="N364" s="45" t="str" cm="1">
        <f t="array" ref="N364">IFERROR(_xlfn.LET(
_xlpm.CSVVal,_xlfn.XLOOKUP($A364,CSV!$A:$A,CSV!AG:AG,""),
_xlpm.MacVal,_xlfn.XLOOKUP($A364,Output_Mac!$A:$A,Output_Mac!U:U,""),
_xlpm.MyAuditVal,_xlfn.XLOOKUP($A364,My_Audit!$A:$A,My_Audit!O:O,""),
_xlfn.IFS(_xlpm.MyAuditVal&lt;&gt;"",UPPER(_xlpm.MyAuditVal),_xlpm.MacVal&lt;&gt;"",_xlpm.MacVal,_xlpm.CSVVal&lt;&gt;"",_xlpm.CSVVal
)),"")</f>
        <v/>
      </c>
      <c r="O364" s="46" t="str">
        <f>_xlfn.XLOOKUP(C364,My_Audit!B:B,My_Audit!P:P,"")&amp;""</f>
        <v/>
      </c>
      <c r="P364" s="45"/>
      <c r="Q364" s="46" t="str">
        <f>IF(LEFT(N364,4)="Pass","Nist SP 800-88",My_Audit!R364)&amp;""</f>
        <v/>
      </c>
      <c r="R364" s="45"/>
      <c r="S364" s="45"/>
      <c r="T364" s="46" t="str">
        <f>_xlfn.XLOOKUP(E364,Models!I:I,Models!J:J,"")</f>
        <v/>
      </c>
      <c r="U364" s="45"/>
      <c r="V364" s="45"/>
      <c r="W364" s="38"/>
    </row>
    <row r="365" spans="1:23">
      <c r="A365" s="45" t="str">
        <f>_xlfn.TEXTJOIN("",TRUE,Input!$B$2,ROW(My_Audit!A364))</f>
        <v>XX364</v>
      </c>
      <c r="B365" s="45" t="str">
        <f>_xlfn.TEXTJOIN("-",TRUE,"ITD",Input!$A$2,A365)</f>
        <v>ITD-SHRXXX-XX364</v>
      </c>
      <c r="C365" s="45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46" t="str" cm="1">
        <f t="array" ref="D365">IFERROR(_xlfn.LET(
_xlpm.CSVVal,_xlfn.XLOOKUP($A365,CSV!$A:$A,CSV!C:C,""),
_xlpm.MacVal,_xlfn.XLOOKUP($A365,Output_Mac!$A:$A,Output_Mac!D:D,""),
_xlpm.MyAuditVal,_xlfn.XLOOKUP($A365,My_Audit!$A:$A,My_Audit!C:C,""),
_xlfn.IFS(_xlpm.MyAuditVal&lt;&gt;"",UPPER(_xlpm.MyAuditVal),_xlpm.MacVal&lt;&gt;"",_xlpm.MacVal,_xlpm.CSVVal&lt;&gt;"",_xlpm.CSVVal
)),"")</f>
        <v/>
      </c>
      <c r="E365" s="46" t="str" cm="1">
        <f t="array" ref="E365">IFERROR(_xlfn.LET(
_xlpm.CSVVal,_xlfn.XLOOKUP($A365,CSV!$A:$A,CSV!E:E,""),
_xlpm.MacVal,_xlfn.XLOOKUP($A365,Output_Mac!$A:$A,Output_Mac!C:C,""),
_xlpm.MyAuditVal,_xlfn.XLOOKUP($A365,My_Audit!$A:$A,My_Audit!D:D,""),
_xlfn.IFS(_xlpm.MyAuditVal&lt;&gt;"",_xlpm.MyAuditVal,_xlpm.MacVal&lt;&gt;"",_xlpm.MacVal,_xlpm.CSVVal&lt;&gt;"",_xlpm.CSVVal
)),"")</f>
        <v/>
      </c>
      <c r="F365" s="45" t="str" cm="1">
        <f t="array" ref="F365">IFERROR(_xlfn.LET(
_xlpm.CSVVal,_xlfn.XLOOKUP($A365,CSV!$A:$A,CSV!F:F,""),
_xlpm.MacVal,_xlfn.XLOOKUP($A365,Output_Mac!$A:$A,Output_Mac!F:F,""),
_xlpm.MyAuditVal,_xlfn.XLOOKUP($A365,My_Audit!$A:$A,My_Audit!E:E,""),
_xlfn.IFS(_xlpm.MyAuditVal&lt;&gt;"",_xlpm.MyAuditVal,_xlpm.MacVal&lt;&gt;"",_xlpm.MacVal,_xlpm.CSVVal&lt;&gt;"",PROPER(_xlpm.CSVVal)
)),"")</f>
        <v/>
      </c>
      <c r="G365" s="45" t="str" cm="1">
        <f t="array" ref="G365">IFERROR(_xlfn.LET(
_xlpm.CSVVal,_xlfn.XLOOKUP($A365,CSV!$A:$A,CSV!G:G,""),
_xlpm.MacVal,_xlfn.XLOOKUP($A365,Output_Mac!$A:$A,Output_Mac!H:H,""),
_xlpm.MyAuditVal,_xlfn.XLOOKUP($A365,My_Audit!$A:$A,My_Audit!F:F,""),
_xlfn.IFS(_xlpm.MyAuditVal&lt;&gt;"",_xlpm.MyAuditVal,_xlpm.MacVal&lt;&gt;"",_xlpm.MacVal,_xlpm.CSVVal&lt;&gt;"",_xlpm.CSVVal
)),"")</f>
        <v/>
      </c>
      <c r="H365" s="45" t="str">
        <f>_xlfn.XLOOKUP(A365,Output_Mac!A:A,Output_Mac!I:I,"")</f>
        <v/>
      </c>
      <c r="I365" s="45" t="str" cm="1">
        <f t="array" ref="I365">IFERROR(_xlfn.LET(
_xlpm.CSVVal,_xlfn.XLOOKUP($A365,CSV!$A:$A,CSV!H:H,""),
_xlpm.MacVal,_xlfn.XLOOKUP($A365,Output_Mac!$A:$A,Output_Mac!J:J,""),
_xlpm.MyAuditVal,_xlfn.XLOOKUP($A365,My_Audit!$A:$A,My_Audit!H:H,""),
_xlfn.IFS(_xlpm.MyAuditVal&lt;&gt;"",UPPER(_xlpm.MyAuditVal),_xlpm.MacVal&lt;&gt;"",_xlpm.MacVal,_xlpm.CSVVal&lt;&gt;"",_xlpm.CSVVal
)),"")</f>
        <v/>
      </c>
      <c r="J365" s="45" t="str" cm="1">
        <f t="array" ref="J365">IFERROR(_xlfn.LET(
_xlpm.CSVVal,_xlfn.XLOOKUP($A365,CSV!$A:$A,CSV!J:J,""),
_xlpm.MacVal,_xlfn.XLOOKUP($A365,Output_Mac!$A:$A,Output_Mac!K:K,""),
_xlpm.MyAuditVal,_xlfn.XLOOKUP($A365,My_Audit!$A:$A,My_Audit!I:I,""),
_xlfn.IFS(_xlpm.MyAuditVal&lt;&gt;"",UPPER(_xlpm.MyAuditVal),_xlpm.MacVal&lt;&gt;"",_xlpm.MacVal,_xlpm.CSVVal&lt;&gt;"",_xlpm.CSVVal
)),"")</f>
        <v/>
      </c>
      <c r="K365" s="45" t="str" cm="1">
        <f t="array" ref="K365">IFERROR(_xlfn.LET(
_xlpm.CSVVal,_xlfn.XLOOKUP($A365,CSV!$A:$A,CSV!N:N,""),
_xlpm.MacVal,_xlfn.XLOOKUP($A365,Output_Mac!$A:$A,Output_Mac!L:L,""),
_xlpm.MyAuditVal,_xlfn.XLOOKUP($A365,My_Audit!$A:$A,My_Audit!J:J,""),
_xlfn.IFS(_xlpm.MyAuditVal&lt;&gt;"",UPPER(_xlpm.MyAuditVal),_xlpm.MacVal&lt;&gt;"",_xlpm.MacVal,_xlpm.CSVVal&lt;&gt;"",_xlpm.CSVVal
)),"")</f>
        <v/>
      </c>
      <c r="L365" s="46" t="str" cm="1">
        <f t="array" ref="L365">IFERROR(_xlfn.LET(
_xlpm.CSVVal,_xlfn.XLOOKUP($A365,CSV!$A:$A,CSV!Q:Q,""),
_xlpm.MacVal,_xlfn.XLOOKUP($A365,Output_Mac!$A:$A,Output_Mac!M:M,""),
_xlpm.MyAuditVal,_xlfn.XLOOKUP($A365,My_Audit!$A:$A,My_Audit!K:K,""),
_xlfn.IFS(_xlpm.MyAuditVal&lt;&gt;"",UPPER(_xlpm.MyAuditVal),_xlpm.MacVal&lt;&gt;"",_xlpm.MacVal,_xlpm.CSVVal&lt;&gt;"",_xlpm.CSVVal
)),"")</f>
        <v/>
      </c>
      <c r="M365" s="45" t="str">
        <f>_xlfn.LET(
    _xlpm.CSVVal, _xlfn.XLOOKUP($A365, CSV!$A:$A, CSV!AE:AE, ""),
    _xlpm.MacVal, _xlfn.XLOOKUP($A365, Output_Mac!$A:$A, Output_Mac!S:S, ""),
    _xlpm.MyAuditVal, _xlfn.XLOOKUP($A365, My_Audit!$A:$A, My_Audit!N:N, ""),
    _xlfn.TEXTJOIN(", ", TRUE, _xlpm.MyAuditVal, _xlpm.MacVal, _xlpm.CSVVal)
)</f>
        <v/>
      </c>
      <c r="N365" s="45" t="str" cm="1">
        <f t="array" ref="N365">IFERROR(_xlfn.LET(
_xlpm.CSVVal,_xlfn.XLOOKUP($A365,CSV!$A:$A,CSV!AG:AG,""),
_xlpm.MacVal,_xlfn.XLOOKUP($A365,Output_Mac!$A:$A,Output_Mac!U:U,""),
_xlpm.MyAuditVal,_xlfn.XLOOKUP($A365,My_Audit!$A:$A,My_Audit!O:O,""),
_xlfn.IFS(_xlpm.MyAuditVal&lt;&gt;"",UPPER(_xlpm.MyAuditVal),_xlpm.MacVal&lt;&gt;"",_xlpm.MacVal,_xlpm.CSVVal&lt;&gt;"",_xlpm.CSVVal
)),"")</f>
        <v/>
      </c>
      <c r="O365" s="46" t="str">
        <f>_xlfn.XLOOKUP(C365,My_Audit!B:B,My_Audit!P:P,"")&amp;""</f>
        <v/>
      </c>
      <c r="P365" s="45"/>
      <c r="Q365" s="46" t="str">
        <f>IF(LEFT(N365,4)="Pass","Nist SP 800-88",My_Audit!R365)&amp;""</f>
        <v/>
      </c>
      <c r="R365" s="45"/>
      <c r="S365" s="45"/>
      <c r="T365" s="46" t="str">
        <f>_xlfn.XLOOKUP(E365,Models!I:I,Models!J:J,"")</f>
        <v/>
      </c>
      <c r="U365" s="45"/>
      <c r="V365" s="45"/>
      <c r="W365" s="38"/>
    </row>
    <row r="366" spans="1:23">
      <c r="A366" s="45" t="str">
        <f>_xlfn.TEXTJOIN("",TRUE,Input!$B$2,ROW(My_Audit!A365))</f>
        <v>XX365</v>
      </c>
      <c r="B366" s="45" t="str">
        <f>_xlfn.TEXTJOIN("-",TRUE,"ITD",Input!$A$2,A366)</f>
        <v>ITD-SHRXXX-XX365</v>
      </c>
      <c r="C366" s="45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46" t="str" cm="1">
        <f t="array" ref="D366">IFERROR(_xlfn.LET(
_xlpm.CSVVal,_xlfn.XLOOKUP($A366,CSV!$A:$A,CSV!C:C,""),
_xlpm.MacVal,_xlfn.XLOOKUP($A366,Output_Mac!$A:$A,Output_Mac!D:D,""),
_xlpm.MyAuditVal,_xlfn.XLOOKUP($A366,My_Audit!$A:$A,My_Audit!C:C,""),
_xlfn.IFS(_xlpm.MyAuditVal&lt;&gt;"",UPPER(_xlpm.MyAuditVal),_xlpm.MacVal&lt;&gt;"",_xlpm.MacVal,_xlpm.CSVVal&lt;&gt;"",_xlpm.CSVVal
)),"")</f>
        <v/>
      </c>
      <c r="E366" s="46" t="str" cm="1">
        <f t="array" ref="E366">IFERROR(_xlfn.LET(
_xlpm.CSVVal,_xlfn.XLOOKUP($A366,CSV!$A:$A,CSV!E:E,""),
_xlpm.MacVal,_xlfn.XLOOKUP($A366,Output_Mac!$A:$A,Output_Mac!C:C,""),
_xlpm.MyAuditVal,_xlfn.XLOOKUP($A366,My_Audit!$A:$A,My_Audit!D:D,""),
_xlfn.IFS(_xlpm.MyAuditVal&lt;&gt;"",_xlpm.MyAuditVal,_xlpm.MacVal&lt;&gt;"",_xlpm.MacVal,_xlpm.CSVVal&lt;&gt;"",_xlpm.CSVVal
)),"")</f>
        <v/>
      </c>
      <c r="F366" s="45" t="str" cm="1">
        <f t="array" ref="F366">IFERROR(_xlfn.LET(
_xlpm.CSVVal,_xlfn.XLOOKUP($A366,CSV!$A:$A,CSV!F:F,""),
_xlpm.MacVal,_xlfn.XLOOKUP($A366,Output_Mac!$A:$A,Output_Mac!F:F,""),
_xlpm.MyAuditVal,_xlfn.XLOOKUP($A366,My_Audit!$A:$A,My_Audit!E:E,""),
_xlfn.IFS(_xlpm.MyAuditVal&lt;&gt;"",_xlpm.MyAuditVal,_xlpm.MacVal&lt;&gt;"",_xlpm.MacVal,_xlpm.CSVVal&lt;&gt;"",PROPER(_xlpm.CSVVal)
)),"")</f>
        <v/>
      </c>
      <c r="G366" s="45" t="str" cm="1">
        <f t="array" ref="G366">IFERROR(_xlfn.LET(
_xlpm.CSVVal,_xlfn.XLOOKUP($A366,CSV!$A:$A,CSV!G:G,""),
_xlpm.MacVal,_xlfn.XLOOKUP($A366,Output_Mac!$A:$A,Output_Mac!H:H,""),
_xlpm.MyAuditVal,_xlfn.XLOOKUP($A366,My_Audit!$A:$A,My_Audit!F:F,""),
_xlfn.IFS(_xlpm.MyAuditVal&lt;&gt;"",_xlpm.MyAuditVal,_xlpm.MacVal&lt;&gt;"",_xlpm.MacVal,_xlpm.CSVVal&lt;&gt;"",_xlpm.CSVVal
)),"")</f>
        <v/>
      </c>
      <c r="H366" s="45" t="str">
        <f>_xlfn.XLOOKUP(A366,Output_Mac!A:A,Output_Mac!I:I,"")</f>
        <v/>
      </c>
      <c r="I366" s="45" t="str" cm="1">
        <f t="array" ref="I366">IFERROR(_xlfn.LET(
_xlpm.CSVVal,_xlfn.XLOOKUP($A366,CSV!$A:$A,CSV!H:H,""),
_xlpm.MacVal,_xlfn.XLOOKUP($A366,Output_Mac!$A:$A,Output_Mac!J:J,""),
_xlpm.MyAuditVal,_xlfn.XLOOKUP($A366,My_Audit!$A:$A,My_Audit!H:H,""),
_xlfn.IFS(_xlpm.MyAuditVal&lt;&gt;"",UPPER(_xlpm.MyAuditVal),_xlpm.MacVal&lt;&gt;"",_xlpm.MacVal,_xlpm.CSVVal&lt;&gt;"",_xlpm.CSVVal
)),"")</f>
        <v/>
      </c>
      <c r="J366" s="45" t="str" cm="1">
        <f t="array" ref="J366">IFERROR(_xlfn.LET(
_xlpm.CSVVal,_xlfn.XLOOKUP($A366,CSV!$A:$A,CSV!J:J,""),
_xlpm.MacVal,_xlfn.XLOOKUP($A366,Output_Mac!$A:$A,Output_Mac!K:K,""),
_xlpm.MyAuditVal,_xlfn.XLOOKUP($A366,My_Audit!$A:$A,My_Audit!I:I,""),
_xlfn.IFS(_xlpm.MyAuditVal&lt;&gt;"",UPPER(_xlpm.MyAuditVal),_xlpm.MacVal&lt;&gt;"",_xlpm.MacVal,_xlpm.CSVVal&lt;&gt;"",_xlpm.CSVVal
)),"")</f>
        <v/>
      </c>
      <c r="K366" s="45" t="str" cm="1">
        <f t="array" ref="K366">IFERROR(_xlfn.LET(
_xlpm.CSVVal,_xlfn.XLOOKUP($A366,CSV!$A:$A,CSV!N:N,""),
_xlpm.MacVal,_xlfn.XLOOKUP($A366,Output_Mac!$A:$A,Output_Mac!L:L,""),
_xlpm.MyAuditVal,_xlfn.XLOOKUP($A366,My_Audit!$A:$A,My_Audit!J:J,""),
_xlfn.IFS(_xlpm.MyAuditVal&lt;&gt;"",UPPER(_xlpm.MyAuditVal),_xlpm.MacVal&lt;&gt;"",_xlpm.MacVal,_xlpm.CSVVal&lt;&gt;"",_xlpm.CSVVal
)),"")</f>
        <v/>
      </c>
      <c r="L366" s="46" t="str" cm="1">
        <f t="array" ref="L366">IFERROR(_xlfn.LET(
_xlpm.CSVVal,_xlfn.XLOOKUP($A366,CSV!$A:$A,CSV!Q:Q,""),
_xlpm.MacVal,_xlfn.XLOOKUP($A366,Output_Mac!$A:$A,Output_Mac!M:M,""),
_xlpm.MyAuditVal,_xlfn.XLOOKUP($A366,My_Audit!$A:$A,My_Audit!K:K,""),
_xlfn.IFS(_xlpm.MyAuditVal&lt;&gt;"",UPPER(_xlpm.MyAuditVal),_xlpm.MacVal&lt;&gt;"",_xlpm.MacVal,_xlpm.CSVVal&lt;&gt;"",_xlpm.CSVVal
)),"")</f>
        <v/>
      </c>
      <c r="M366" s="45" t="str">
        <f>_xlfn.LET(
    _xlpm.CSVVal, _xlfn.XLOOKUP($A366, CSV!$A:$A, CSV!AE:AE, ""),
    _xlpm.MacVal, _xlfn.XLOOKUP($A366, Output_Mac!$A:$A, Output_Mac!S:S, ""),
    _xlpm.MyAuditVal, _xlfn.XLOOKUP($A366, My_Audit!$A:$A, My_Audit!N:N, ""),
    _xlfn.TEXTJOIN(", ", TRUE, _xlpm.MyAuditVal, _xlpm.MacVal, _xlpm.CSVVal)
)</f>
        <v/>
      </c>
      <c r="N366" s="45" t="str" cm="1">
        <f t="array" ref="N366">IFERROR(_xlfn.LET(
_xlpm.CSVVal,_xlfn.XLOOKUP($A366,CSV!$A:$A,CSV!AG:AG,""),
_xlpm.MacVal,_xlfn.XLOOKUP($A366,Output_Mac!$A:$A,Output_Mac!U:U,""),
_xlpm.MyAuditVal,_xlfn.XLOOKUP($A366,My_Audit!$A:$A,My_Audit!O:O,""),
_xlfn.IFS(_xlpm.MyAuditVal&lt;&gt;"",UPPER(_xlpm.MyAuditVal),_xlpm.MacVal&lt;&gt;"",_xlpm.MacVal,_xlpm.CSVVal&lt;&gt;"",_xlpm.CSVVal
)),"")</f>
        <v/>
      </c>
      <c r="O366" s="46" t="str">
        <f>_xlfn.XLOOKUP(C366,My_Audit!B:B,My_Audit!P:P,"")&amp;""</f>
        <v/>
      </c>
      <c r="P366" s="45"/>
      <c r="Q366" s="46" t="str">
        <f>IF(LEFT(N366,4)="Pass","Nist SP 800-88",My_Audit!R366)&amp;""</f>
        <v/>
      </c>
      <c r="R366" s="45"/>
      <c r="S366" s="45"/>
      <c r="T366" s="46" t="str">
        <f>_xlfn.XLOOKUP(E366,Models!I:I,Models!J:J,"")</f>
        <v/>
      </c>
      <c r="U366" s="45"/>
      <c r="V366" s="45"/>
      <c r="W366" s="38"/>
    </row>
    <row r="367" spans="1:23">
      <c r="A367" s="45" t="str">
        <f>_xlfn.TEXTJOIN("",TRUE,Input!$B$2,ROW(My_Audit!A366))</f>
        <v>XX366</v>
      </c>
      <c r="B367" s="45" t="str">
        <f>_xlfn.TEXTJOIN("-",TRUE,"ITD",Input!$A$2,A367)</f>
        <v>ITD-SHRXXX-XX366</v>
      </c>
      <c r="C367" s="45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46" t="str" cm="1">
        <f t="array" ref="D367">IFERROR(_xlfn.LET(
_xlpm.CSVVal,_xlfn.XLOOKUP($A367,CSV!$A:$A,CSV!C:C,""),
_xlpm.MacVal,_xlfn.XLOOKUP($A367,Output_Mac!$A:$A,Output_Mac!D:D,""),
_xlpm.MyAuditVal,_xlfn.XLOOKUP($A367,My_Audit!$A:$A,My_Audit!C:C,""),
_xlfn.IFS(_xlpm.MyAuditVal&lt;&gt;"",UPPER(_xlpm.MyAuditVal),_xlpm.MacVal&lt;&gt;"",_xlpm.MacVal,_xlpm.CSVVal&lt;&gt;"",_xlpm.CSVVal
)),"")</f>
        <v/>
      </c>
      <c r="E367" s="46" t="str" cm="1">
        <f t="array" ref="E367">IFERROR(_xlfn.LET(
_xlpm.CSVVal,_xlfn.XLOOKUP($A367,CSV!$A:$A,CSV!E:E,""),
_xlpm.MacVal,_xlfn.XLOOKUP($A367,Output_Mac!$A:$A,Output_Mac!C:C,""),
_xlpm.MyAuditVal,_xlfn.XLOOKUP($A367,My_Audit!$A:$A,My_Audit!D:D,""),
_xlfn.IFS(_xlpm.MyAuditVal&lt;&gt;"",_xlpm.MyAuditVal,_xlpm.MacVal&lt;&gt;"",_xlpm.MacVal,_xlpm.CSVVal&lt;&gt;"",_xlpm.CSVVal
)),"")</f>
        <v/>
      </c>
      <c r="F367" s="45" t="str" cm="1">
        <f t="array" ref="F367">IFERROR(_xlfn.LET(
_xlpm.CSVVal,_xlfn.XLOOKUP($A367,CSV!$A:$A,CSV!F:F,""),
_xlpm.MacVal,_xlfn.XLOOKUP($A367,Output_Mac!$A:$A,Output_Mac!F:F,""),
_xlpm.MyAuditVal,_xlfn.XLOOKUP($A367,My_Audit!$A:$A,My_Audit!E:E,""),
_xlfn.IFS(_xlpm.MyAuditVal&lt;&gt;"",_xlpm.MyAuditVal,_xlpm.MacVal&lt;&gt;"",_xlpm.MacVal,_xlpm.CSVVal&lt;&gt;"",PROPER(_xlpm.CSVVal)
)),"")</f>
        <v/>
      </c>
      <c r="G367" s="45" t="str" cm="1">
        <f t="array" ref="G367">IFERROR(_xlfn.LET(
_xlpm.CSVVal,_xlfn.XLOOKUP($A367,CSV!$A:$A,CSV!G:G,""),
_xlpm.MacVal,_xlfn.XLOOKUP($A367,Output_Mac!$A:$A,Output_Mac!H:H,""),
_xlpm.MyAuditVal,_xlfn.XLOOKUP($A367,My_Audit!$A:$A,My_Audit!F:F,""),
_xlfn.IFS(_xlpm.MyAuditVal&lt;&gt;"",_xlpm.MyAuditVal,_xlpm.MacVal&lt;&gt;"",_xlpm.MacVal,_xlpm.CSVVal&lt;&gt;"",_xlpm.CSVVal
)),"")</f>
        <v/>
      </c>
      <c r="H367" s="45" t="str">
        <f>_xlfn.XLOOKUP(A367,Output_Mac!A:A,Output_Mac!I:I,"")</f>
        <v/>
      </c>
      <c r="I367" s="45" t="str" cm="1">
        <f t="array" ref="I367">IFERROR(_xlfn.LET(
_xlpm.CSVVal,_xlfn.XLOOKUP($A367,CSV!$A:$A,CSV!H:H,""),
_xlpm.MacVal,_xlfn.XLOOKUP($A367,Output_Mac!$A:$A,Output_Mac!J:J,""),
_xlpm.MyAuditVal,_xlfn.XLOOKUP($A367,My_Audit!$A:$A,My_Audit!H:H,""),
_xlfn.IFS(_xlpm.MyAuditVal&lt;&gt;"",UPPER(_xlpm.MyAuditVal),_xlpm.MacVal&lt;&gt;"",_xlpm.MacVal,_xlpm.CSVVal&lt;&gt;"",_xlpm.CSVVal
)),"")</f>
        <v/>
      </c>
      <c r="J367" s="45" t="str" cm="1">
        <f t="array" ref="J367">IFERROR(_xlfn.LET(
_xlpm.CSVVal,_xlfn.XLOOKUP($A367,CSV!$A:$A,CSV!J:J,""),
_xlpm.MacVal,_xlfn.XLOOKUP($A367,Output_Mac!$A:$A,Output_Mac!K:K,""),
_xlpm.MyAuditVal,_xlfn.XLOOKUP($A367,My_Audit!$A:$A,My_Audit!I:I,""),
_xlfn.IFS(_xlpm.MyAuditVal&lt;&gt;"",UPPER(_xlpm.MyAuditVal),_xlpm.MacVal&lt;&gt;"",_xlpm.MacVal,_xlpm.CSVVal&lt;&gt;"",_xlpm.CSVVal
)),"")</f>
        <v/>
      </c>
      <c r="K367" s="45" t="str" cm="1">
        <f t="array" ref="K367">IFERROR(_xlfn.LET(
_xlpm.CSVVal,_xlfn.XLOOKUP($A367,CSV!$A:$A,CSV!N:N,""),
_xlpm.MacVal,_xlfn.XLOOKUP($A367,Output_Mac!$A:$A,Output_Mac!L:L,""),
_xlpm.MyAuditVal,_xlfn.XLOOKUP($A367,My_Audit!$A:$A,My_Audit!J:J,""),
_xlfn.IFS(_xlpm.MyAuditVal&lt;&gt;"",UPPER(_xlpm.MyAuditVal),_xlpm.MacVal&lt;&gt;"",_xlpm.MacVal,_xlpm.CSVVal&lt;&gt;"",_xlpm.CSVVal
)),"")</f>
        <v/>
      </c>
      <c r="L367" s="46" t="str" cm="1">
        <f t="array" ref="L367">IFERROR(_xlfn.LET(
_xlpm.CSVVal,_xlfn.XLOOKUP($A367,CSV!$A:$A,CSV!Q:Q,""),
_xlpm.MacVal,_xlfn.XLOOKUP($A367,Output_Mac!$A:$A,Output_Mac!M:M,""),
_xlpm.MyAuditVal,_xlfn.XLOOKUP($A367,My_Audit!$A:$A,My_Audit!K:K,""),
_xlfn.IFS(_xlpm.MyAuditVal&lt;&gt;"",UPPER(_xlpm.MyAuditVal),_xlpm.MacVal&lt;&gt;"",_xlpm.MacVal,_xlpm.CSVVal&lt;&gt;"",_xlpm.CSVVal
)),"")</f>
        <v/>
      </c>
      <c r="M367" s="45" t="str">
        <f>_xlfn.LET(
    _xlpm.CSVVal, _xlfn.XLOOKUP($A367, CSV!$A:$A, CSV!AE:AE, ""),
    _xlpm.MacVal, _xlfn.XLOOKUP($A367, Output_Mac!$A:$A, Output_Mac!S:S, ""),
    _xlpm.MyAuditVal, _xlfn.XLOOKUP($A367, My_Audit!$A:$A, My_Audit!N:N, ""),
    _xlfn.TEXTJOIN(", ", TRUE, _xlpm.MyAuditVal, _xlpm.MacVal, _xlpm.CSVVal)
)</f>
        <v/>
      </c>
      <c r="N367" s="45" t="str" cm="1">
        <f t="array" ref="N367">IFERROR(_xlfn.LET(
_xlpm.CSVVal,_xlfn.XLOOKUP($A367,CSV!$A:$A,CSV!AG:AG,""),
_xlpm.MacVal,_xlfn.XLOOKUP($A367,Output_Mac!$A:$A,Output_Mac!U:U,""),
_xlpm.MyAuditVal,_xlfn.XLOOKUP($A367,My_Audit!$A:$A,My_Audit!O:O,""),
_xlfn.IFS(_xlpm.MyAuditVal&lt;&gt;"",UPPER(_xlpm.MyAuditVal),_xlpm.MacVal&lt;&gt;"",_xlpm.MacVal,_xlpm.CSVVal&lt;&gt;"",_xlpm.CSVVal
)),"")</f>
        <v/>
      </c>
      <c r="O367" s="46" t="str">
        <f>_xlfn.XLOOKUP(C367,My_Audit!B:B,My_Audit!P:P,"")&amp;""</f>
        <v/>
      </c>
      <c r="P367" s="45"/>
      <c r="Q367" s="46" t="str">
        <f>IF(LEFT(N367,4)="Pass","Nist SP 800-88",My_Audit!R367)&amp;""</f>
        <v/>
      </c>
      <c r="R367" s="45"/>
      <c r="S367" s="45"/>
      <c r="T367" s="46" t="str">
        <f>_xlfn.XLOOKUP(E367,Models!I:I,Models!J:J,"")</f>
        <v/>
      </c>
      <c r="U367" s="45"/>
      <c r="V367" s="45"/>
      <c r="W367" s="38"/>
    </row>
    <row r="368" spans="1:23">
      <c r="A368" s="45" t="str">
        <f>_xlfn.TEXTJOIN("",TRUE,Input!$B$2,ROW(My_Audit!A367))</f>
        <v>XX367</v>
      </c>
      <c r="B368" s="45" t="str">
        <f>_xlfn.TEXTJOIN("-",TRUE,"ITD",Input!$A$2,A368)</f>
        <v>ITD-SHRXXX-XX367</v>
      </c>
      <c r="C368" s="45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46" t="str" cm="1">
        <f t="array" ref="D368">IFERROR(_xlfn.LET(
_xlpm.CSVVal,_xlfn.XLOOKUP($A368,CSV!$A:$A,CSV!C:C,""),
_xlpm.MacVal,_xlfn.XLOOKUP($A368,Output_Mac!$A:$A,Output_Mac!D:D,""),
_xlpm.MyAuditVal,_xlfn.XLOOKUP($A368,My_Audit!$A:$A,My_Audit!C:C,""),
_xlfn.IFS(_xlpm.MyAuditVal&lt;&gt;"",UPPER(_xlpm.MyAuditVal),_xlpm.MacVal&lt;&gt;"",_xlpm.MacVal,_xlpm.CSVVal&lt;&gt;"",_xlpm.CSVVal
)),"")</f>
        <v/>
      </c>
      <c r="E368" s="46" t="str" cm="1">
        <f t="array" ref="E368">IFERROR(_xlfn.LET(
_xlpm.CSVVal,_xlfn.XLOOKUP($A368,CSV!$A:$A,CSV!E:E,""),
_xlpm.MacVal,_xlfn.XLOOKUP($A368,Output_Mac!$A:$A,Output_Mac!C:C,""),
_xlpm.MyAuditVal,_xlfn.XLOOKUP($A368,My_Audit!$A:$A,My_Audit!D:D,""),
_xlfn.IFS(_xlpm.MyAuditVal&lt;&gt;"",_xlpm.MyAuditVal,_xlpm.MacVal&lt;&gt;"",_xlpm.MacVal,_xlpm.CSVVal&lt;&gt;"",_xlpm.CSVVal
)),"")</f>
        <v/>
      </c>
      <c r="F368" s="45" t="str" cm="1">
        <f t="array" ref="F368">IFERROR(_xlfn.LET(
_xlpm.CSVVal,_xlfn.XLOOKUP($A368,CSV!$A:$A,CSV!F:F,""),
_xlpm.MacVal,_xlfn.XLOOKUP($A368,Output_Mac!$A:$A,Output_Mac!F:F,""),
_xlpm.MyAuditVal,_xlfn.XLOOKUP($A368,My_Audit!$A:$A,My_Audit!E:E,""),
_xlfn.IFS(_xlpm.MyAuditVal&lt;&gt;"",_xlpm.MyAuditVal,_xlpm.MacVal&lt;&gt;"",_xlpm.MacVal,_xlpm.CSVVal&lt;&gt;"",PROPER(_xlpm.CSVVal)
)),"")</f>
        <v/>
      </c>
      <c r="G368" s="45" t="str" cm="1">
        <f t="array" ref="G368">IFERROR(_xlfn.LET(
_xlpm.CSVVal,_xlfn.XLOOKUP($A368,CSV!$A:$A,CSV!G:G,""),
_xlpm.MacVal,_xlfn.XLOOKUP($A368,Output_Mac!$A:$A,Output_Mac!H:H,""),
_xlpm.MyAuditVal,_xlfn.XLOOKUP($A368,My_Audit!$A:$A,My_Audit!F:F,""),
_xlfn.IFS(_xlpm.MyAuditVal&lt;&gt;"",_xlpm.MyAuditVal,_xlpm.MacVal&lt;&gt;"",_xlpm.MacVal,_xlpm.CSVVal&lt;&gt;"",_xlpm.CSVVal
)),"")</f>
        <v/>
      </c>
      <c r="H368" s="45" t="str">
        <f>_xlfn.XLOOKUP(A368,Output_Mac!A:A,Output_Mac!I:I,"")</f>
        <v/>
      </c>
      <c r="I368" s="45" t="str" cm="1">
        <f t="array" ref="I368">IFERROR(_xlfn.LET(
_xlpm.CSVVal,_xlfn.XLOOKUP($A368,CSV!$A:$A,CSV!H:H,""),
_xlpm.MacVal,_xlfn.XLOOKUP($A368,Output_Mac!$A:$A,Output_Mac!J:J,""),
_xlpm.MyAuditVal,_xlfn.XLOOKUP($A368,My_Audit!$A:$A,My_Audit!H:H,""),
_xlfn.IFS(_xlpm.MyAuditVal&lt;&gt;"",UPPER(_xlpm.MyAuditVal),_xlpm.MacVal&lt;&gt;"",_xlpm.MacVal,_xlpm.CSVVal&lt;&gt;"",_xlpm.CSVVal
)),"")</f>
        <v/>
      </c>
      <c r="J368" s="45" t="str" cm="1">
        <f t="array" ref="J368">IFERROR(_xlfn.LET(
_xlpm.CSVVal,_xlfn.XLOOKUP($A368,CSV!$A:$A,CSV!J:J,""),
_xlpm.MacVal,_xlfn.XLOOKUP($A368,Output_Mac!$A:$A,Output_Mac!K:K,""),
_xlpm.MyAuditVal,_xlfn.XLOOKUP($A368,My_Audit!$A:$A,My_Audit!I:I,""),
_xlfn.IFS(_xlpm.MyAuditVal&lt;&gt;"",UPPER(_xlpm.MyAuditVal),_xlpm.MacVal&lt;&gt;"",_xlpm.MacVal,_xlpm.CSVVal&lt;&gt;"",_xlpm.CSVVal
)),"")</f>
        <v/>
      </c>
      <c r="K368" s="45" t="str" cm="1">
        <f t="array" ref="K368">IFERROR(_xlfn.LET(
_xlpm.CSVVal,_xlfn.XLOOKUP($A368,CSV!$A:$A,CSV!N:N,""),
_xlpm.MacVal,_xlfn.XLOOKUP($A368,Output_Mac!$A:$A,Output_Mac!L:L,""),
_xlpm.MyAuditVal,_xlfn.XLOOKUP($A368,My_Audit!$A:$A,My_Audit!J:J,""),
_xlfn.IFS(_xlpm.MyAuditVal&lt;&gt;"",UPPER(_xlpm.MyAuditVal),_xlpm.MacVal&lt;&gt;"",_xlpm.MacVal,_xlpm.CSVVal&lt;&gt;"",_xlpm.CSVVal
)),"")</f>
        <v/>
      </c>
      <c r="L368" s="46" t="str" cm="1">
        <f t="array" ref="L368">IFERROR(_xlfn.LET(
_xlpm.CSVVal,_xlfn.XLOOKUP($A368,CSV!$A:$A,CSV!Q:Q,""),
_xlpm.MacVal,_xlfn.XLOOKUP($A368,Output_Mac!$A:$A,Output_Mac!M:M,""),
_xlpm.MyAuditVal,_xlfn.XLOOKUP($A368,My_Audit!$A:$A,My_Audit!K:K,""),
_xlfn.IFS(_xlpm.MyAuditVal&lt;&gt;"",UPPER(_xlpm.MyAuditVal),_xlpm.MacVal&lt;&gt;"",_xlpm.MacVal,_xlpm.CSVVal&lt;&gt;"",_xlpm.CSVVal
)),"")</f>
        <v/>
      </c>
      <c r="M368" s="45" t="str">
        <f>_xlfn.LET(
    _xlpm.CSVVal, _xlfn.XLOOKUP($A368, CSV!$A:$A, CSV!AE:AE, ""),
    _xlpm.MacVal, _xlfn.XLOOKUP($A368, Output_Mac!$A:$A, Output_Mac!S:S, ""),
    _xlpm.MyAuditVal, _xlfn.XLOOKUP($A368, My_Audit!$A:$A, My_Audit!N:N, ""),
    _xlfn.TEXTJOIN(", ", TRUE, _xlpm.MyAuditVal, _xlpm.MacVal, _xlpm.CSVVal)
)</f>
        <v/>
      </c>
      <c r="N368" s="45" t="str" cm="1">
        <f t="array" ref="N368">IFERROR(_xlfn.LET(
_xlpm.CSVVal,_xlfn.XLOOKUP($A368,CSV!$A:$A,CSV!AG:AG,""),
_xlpm.MacVal,_xlfn.XLOOKUP($A368,Output_Mac!$A:$A,Output_Mac!U:U,""),
_xlpm.MyAuditVal,_xlfn.XLOOKUP($A368,My_Audit!$A:$A,My_Audit!O:O,""),
_xlfn.IFS(_xlpm.MyAuditVal&lt;&gt;"",UPPER(_xlpm.MyAuditVal),_xlpm.MacVal&lt;&gt;"",_xlpm.MacVal,_xlpm.CSVVal&lt;&gt;"",_xlpm.CSVVal
)),"")</f>
        <v/>
      </c>
      <c r="O368" s="46" t="str">
        <f>_xlfn.XLOOKUP(C368,My_Audit!B:B,My_Audit!P:P,"")&amp;""</f>
        <v/>
      </c>
      <c r="P368" s="45"/>
      <c r="Q368" s="46" t="str">
        <f>IF(LEFT(N368,4)="Pass","Nist SP 800-88",My_Audit!R368)&amp;""</f>
        <v/>
      </c>
      <c r="R368" s="45"/>
      <c r="S368" s="45"/>
      <c r="T368" s="46" t="str">
        <f>_xlfn.XLOOKUP(E368,Models!I:I,Models!J:J,"")</f>
        <v/>
      </c>
      <c r="U368" s="45"/>
      <c r="V368" s="45"/>
      <c r="W368" s="38"/>
    </row>
    <row r="369" spans="1:23">
      <c r="A369" s="45" t="str">
        <f>_xlfn.TEXTJOIN("",TRUE,Input!$B$2,ROW(My_Audit!A368))</f>
        <v>XX368</v>
      </c>
      <c r="B369" s="45" t="str">
        <f>_xlfn.TEXTJOIN("-",TRUE,"ITD",Input!$A$2,A369)</f>
        <v>ITD-SHRXXX-XX368</v>
      </c>
      <c r="C369" s="45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46" t="str" cm="1">
        <f t="array" ref="D369">IFERROR(_xlfn.LET(
_xlpm.CSVVal,_xlfn.XLOOKUP($A369,CSV!$A:$A,CSV!C:C,""),
_xlpm.MacVal,_xlfn.XLOOKUP($A369,Output_Mac!$A:$A,Output_Mac!D:D,""),
_xlpm.MyAuditVal,_xlfn.XLOOKUP($A369,My_Audit!$A:$A,My_Audit!C:C,""),
_xlfn.IFS(_xlpm.MyAuditVal&lt;&gt;"",UPPER(_xlpm.MyAuditVal),_xlpm.MacVal&lt;&gt;"",_xlpm.MacVal,_xlpm.CSVVal&lt;&gt;"",_xlpm.CSVVal
)),"")</f>
        <v/>
      </c>
      <c r="E369" s="46" t="str" cm="1">
        <f t="array" ref="E369">IFERROR(_xlfn.LET(
_xlpm.CSVVal,_xlfn.XLOOKUP($A369,CSV!$A:$A,CSV!E:E,""),
_xlpm.MacVal,_xlfn.XLOOKUP($A369,Output_Mac!$A:$A,Output_Mac!C:C,""),
_xlpm.MyAuditVal,_xlfn.XLOOKUP($A369,My_Audit!$A:$A,My_Audit!D:D,""),
_xlfn.IFS(_xlpm.MyAuditVal&lt;&gt;"",_xlpm.MyAuditVal,_xlpm.MacVal&lt;&gt;"",_xlpm.MacVal,_xlpm.CSVVal&lt;&gt;"",_xlpm.CSVVal
)),"")</f>
        <v/>
      </c>
      <c r="F369" s="45" t="str" cm="1">
        <f t="array" ref="F369">IFERROR(_xlfn.LET(
_xlpm.CSVVal,_xlfn.XLOOKUP($A369,CSV!$A:$A,CSV!F:F,""),
_xlpm.MacVal,_xlfn.XLOOKUP($A369,Output_Mac!$A:$A,Output_Mac!F:F,""),
_xlpm.MyAuditVal,_xlfn.XLOOKUP($A369,My_Audit!$A:$A,My_Audit!E:E,""),
_xlfn.IFS(_xlpm.MyAuditVal&lt;&gt;"",_xlpm.MyAuditVal,_xlpm.MacVal&lt;&gt;"",_xlpm.MacVal,_xlpm.CSVVal&lt;&gt;"",PROPER(_xlpm.CSVVal)
)),"")</f>
        <v/>
      </c>
      <c r="G369" s="45" t="str" cm="1">
        <f t="array" ref="G369">IFERROR(_xlfn.LET(
_xlpm.CSVVal,_xlfn.XLOOKUP($A369,CSV!$A:$A,CSV!G:G,""),
_xlpm.MacVal,_xlfn.XLOOKUP($A369,Output_Mac!$A:$A,Output_Mac!H:H,""),
_xlpm.MyAuditVal,_xlfn.XLOOKUP($A369,My_Audit!$A:$A,My_Audit!F:F,""),
_xlfn.IFS(_xlpm.MyAuditVal&lt;&gt;"",_xlpm.MyAuditVal,_xlpm.MacVal&lt;&gt;"",_xlpm.MacVal,_xlpm.CSVVal&lt;&gt;"",_xlpm.CSVVal
)),"")</f>
        <v/>
      </c>
      <c r="H369" s="45" t="str">
        <f>_xlfn.XLOOKUP(A369,Output_Mac!A:A,Output_Mac!I:I,"")</f>
        <v/>
      </c>
      <c r="I369" s="45" t="str" cm="1">
        <f t="array" ref="I369">IFERROR(_xlfn.LET(
_xlpm.CSVVal,_xlfn.XLOOKUP($A369,CSV!$A:$A,CSV!H:H,""),
_xlpm.MacVal,_xlfn.XLOOKUP($A369,Output_Mac!$A:$A,Output_Mac!J:J,""),
_xlpm.MyAuditVal,_xlfn.XLOOKUP($A369,My_Audit!$A:$A,My_Audit!H:H,""),
_xlfn.IFS(_xlpm.MyAuditVal&lt;&gt;"",UPPER(_xlpm.MyAuditVal),_xlpm.MacVal&lt;&gt;"",_xlpm.MacVal,_xlpm.CSVVal&lt;&gt;"",_xlpm.CSVVal
)),"")</f>
        <v/>
      </c>
      <c r="J369" s="45" t="str" cm="1">
        <f t="array" ref="J369">IFERROR(_xlfn.LET(
_xlpm.CSVVal,_xlfn.XLOOKUP($A369,CSV!$A:$A,CSV!J:J,""),
_xlpm.MacVal,_xlfn.XLOOKUP($A369,Output_Mac!$A:$A,Output_Mac!K:K,""),
_xlpm.MyAuditVal,_xlfn.XLOOKUP($A369,My_Audit!$A:$A,My_Audit!I:I,""),
_xlfn.IFS(_xlpm.MyAuditVal&lt;&gt;"",UPPER(_xlpm.MyAuditVal),_xlpm.MacVal&lt;&gt;"",_xlpm.MacVal,_xlpm.CSVVal&lt;&gt;"",_xlpm.CSVVal
)),"")</f>
        <v/>
      </c>
      <c r="K369" s="45" t="str" cm="1">
        <f t="array" ref="K369">IFERROR(_xlfn.LET(
_xlpm.CSVVal,_xlfn.XLOOKUP($A369,CSV!$A:$A,CSV!N:N,""),
_xlpm.MacVal,_xlfn.XLOOKUP($A369,Output_Mac!$A:$A,Output_Mac!L:L,""),
_xlpm.MyAuditVal,_xlfn.XLOOKUP($A369,My_Audit!$A:$A,My_Audit!J:J,""),
_xlfn.IFS(_xlpm.MyAuditVal&lt;&gt;"",UPPER(_xlpm.MyAuditVal),_xlpm.MacVal&lt;&gt;"",_xlpm.MacVal,_xlpm.CSVVal&lt;&gt;"",_xlpm.CSVVal
)),"")</f>
        <v/>
      </c>
      <c r="L369" s="46" t="str" cm="1">
        <f t="array" ref="L369">IFERROR(_xlfn.LET(
_xlpm.CSVVal,_xlfn.XLOOKUP($A369,CSV!$A:$A,CSV!Q:Q,""),
_xlpm.MacVal,_xlfn.XLOOKUP($A369,Output_Mac!$A:$A,Output_Mac!M:M,""),
_xlpm.MyAuditVal,_xlfn.XLOOKUP($A369,My_Audit!$A:$A,My_Audit!K:K,""),
_xlfn.IFS(_xlpm.MyAuditVal&lt;&gt;"",UPPER(_xlpm.MyAuditVal),_xlpm.MacVal&lt;&gt;"",_xlpm.MacVal,_xlpm.CSVVal&lt;&gt;"",_xlpm.CSVVal
)),"")</f>
        <v/>
      </c>
      <c r="M369" s="45" t="str">
        <f>_xlfn.LET(
    _xlpm.CSVVal, _xlfn.XLOOKUP($A369, CSV!$A:$A, CSV!AE:AE, ""),
    _xlpm.MacVal, _xlfn.XLOOKUP($A369, Output_Mac!$A:$A, Output_Mac!S:S, ""),
    _xlpm.MyAuditVal, _xlfn.XLOOKUP($A369, My_Audit!$A:$A, My_Audit!N:N, ""),
    _xlfn.TEXTJOIN(", ", TRUE, _xlpm.MyAuditVal, _xlpm.MacVal, _xlpm.CSVVal)
)</f>
        <v/>
      </c>
      <c r="N369" s="45" t="str" cm="1">
        <f t="array" ref="N369">IFERROR(_xlfn.LET(
_xlpm.CSVVal,_xlfn.XLOOKUP($A369,CSV!$A:$A,CSV!AG:AG,""),
_xlpm.MacVal,_xlfn.XLOOKUP($A369,Output_Mac!$A:$A,Output_Mac!U:U,""),
_xlpm.MyAuditVal,_xlfn.XLOOKUP($A369,My_Audit!$A:$A,My_Audit!O:O,""),
_xlfn.IFS(_xlpm.MyAuditVal&lt;&gt;"",UPPER(_xlpm.MyAuditVal),_xlpm.MacVal&lt;&gt;"",_xlpm.MacVal,_xlpm.CSVVal&lt;&gt;"",_xlpm.CSVVal
)),"")</f>
        <v/>
      </c>
      <c r="O369" s="46" t="str">
        <f>_xlfn.XLOOKUP(C369,My_Audit!B:B,My_Audit!P:P,"")&amp;""</f>
        <v/>
      </c>
      <c r="P369" s="45"/>
      <c r="Q369" s="46" t="str">
        <f>IF(LEFT(N369,4)="Pass","Nist SP 800-88",My_Audit!R369)&amp;""</f>
        <v/>
      </c>
      <c r="R369" s="45"/>
      <c r="S369" s="45"/>
      <c r="T369" s="46" t="str">
        <f>_xlfn.XLOOKUP(E369,Models!I:I,Models!J:J,"")</f>
        <v/>
      </c>
      <c r="U369" s="45"/>
      <c r="V369" s="45"/>
      <c r="W369" s="38"/>
    </row>
    <row r="370" spans="1:23">
      <c r="A370" s="45" t="str">
        <f>_xlfn.TEXTJOIN("",TRUE,Input!$B$2,ROW(My_Audit!A369))</f>
        <v>XX369</v>
      </c>
      <c r="B370" s="45" t="str">
        <f>_xlfn.TEXTJOIN("-",TRUE,"ITD",Input!$A$2,A370)</f>
        <v>ITD-SHRXXX-XX369</v>
      </c>
      <c r="C370" s="45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46" t="str" cm="1">
        <f t="array" ref="D370">IFERROR(_xlfn.LET(
_xlpm.CSVVal,_xlfn.XLOOKUP($A370,CSV!$A:$A,CSV!C:C,""),
_xlpm.MacVal,_xlfn.XLOOKUP($A370,Output_Mac!$A:$A,Output_Mac!D:D,""),
_xlpm.MyAuditVal,_xlfn.XLOOKUP($A370,My_Audit!$A:$A,My_Audit!C:C,""),
_xlfn.IFS(_xlpm.MyAuditVal&lt;&gt;"",UPPER(_xlpm.MyAuditVal),_xlpm.MacVal&lt;&gt;"",_xlpm.MacVal,_xlpm.CSVVal&lt;&gt;"",_xlpm.CSVVal
)),"")</f>
        <v/>
      </c>
      <c r="E370" s="46" t="str" cm="1">
        <f t="array" ref="E370">IFERROR(_xlfn.LET(
_xlpm.CSVVal,_xlfn.XLOOKUP($A370,CSV!$A:$A,CSV!E:E,""),
_xlpm.MacVal,_xlfn.XLOOKUP($A370,Output_Mac!$A:$A,Output_Mac!C:C,""),
_xlpm.MyAuditVal,_xlfn.XLOOKUP($A370,My_Audit!$A:$A,My_Audit!D:D,""),
_xlfn.IFS(_xlpm.MyAuditVal&lt;&gt;"",_xlpm.MyAuditVal,_xlpm.MacVal&lt;&gt;"",_xlpm.MacVal,_xlpm.CSVVal&lt;&gt;"",_xlpm.CSVVal
)),"")</f>
        <v/>
      </c>
      <c r="F370" s="45" t="str" cm="1">
        <f t="array" ref="F370">IFERROR(_xlfn.LET(
_xlpm.CSVVal,_xlfn.XLOOKUP($A370,CSV!$A:$A,CSV!F:F,""),
_xlpm.MacVal,_xlfn.XLOOKUP($A370,Output_Mac!$A:$A,Output_Mac!F:F,""),
_xlpm.MyAuditVal,_xlfn.XLOOKUP($A370,My_Audit!$A:$A,My_Audit!E:E,""),
_xlfn.IFS(_xlpm.MyAuditVal&lt;&gt;"",_xlpm.MyAuditVal,_xlpm.MacVal&lt;&gt;"",_xlpm.MacVal,_xlpm.CSVVal&lt;&gt;"",PROPER(_xlpm.CSVVal)
)),"")</f>
        <v/>
      </c>
      <c r="G370" s="45" t="str" cm="1">
        <f t="array" ref="G370">IFERROR(_xlfn.LET(
_xlpm.CSVVal,_xlfn.XLOOKUP($A370,CSV!$A:$A,CSV!G:G,""),
_xlpm.MacVal,_xlfn.XLOOKUP($A370,Output_Mac!$A:$A,Output_Mac!H:H,""),
_xlpm.MyAuditVal,_xlfn.XLOOKUP($A370,My_Audit!$A:$A,My_Audit!F:F,""),
_xlfn.IFS(_xlpm.MyAuditVal&lt;&gt;"",_xlpm.MyAuditVal,_xlpm.MacVal&lt;&gt;"",_xlpm.MacVal,_xlpm.CSVVal&lt;&gt;"",_xlpm.CSVVal
)),"")</f>
        <v/>
      </c>
      <c r="H370" s="45" t="str">
        <f>_xlfn.XLOOKUP(A370,Output_Mac!A:A,Output_Mac!I:I,"")</f>
        <v/>
      </c>
      <c r="I370" s="45" t="str" cm="1">
        <f t="array" ref="I370">IFERROR(_xlfn.LET(
_xlpm.CSVVal,_xlfn.XLOOKUP($A370,CSV!$A:$A,CSV!H:H,""),
_xlpm.MacVal,_xlfn.XLOOKUP($A370,Output_Mac!$A:$A,Output_Mac!J:J,""),
_xlpm.MyAuditVal,_xlfn.XLOOKUP($A370,My_Audit!$A:$A,My_Audit!H:H,""),
_xlfn.IFS(_xlpm.MyAuditVal&lt;&gt;"",UPPER(_xlpm.MyAuditVal),_xlpm.MacVal&lt;&gt;"",_xlpm.MacVal,_xlpm.CSVVal&lt;&gt;"",_xlpm.CSVVal
)),"")</f>
        <v/>
      </c>
      <c r="J370" s="45" t="str" cm="1">
        <f t="array" ref="J370">IFERROR(_xlfn.LET(
_xlpm.CSVVal,_xlfn.XLOOKUP($A370,CSV!$A:$A,CSV!J:J,""),
_xlpm.MacVal,_xlfn.XLOOKUP($A370,Output_Mac!$A:$A,Output_Mac!K:K,""),
_xlpm.MyAuditVal,_xlfn.XLOOKUP($A370,My_Audit!$A:$A,My_Audit!I:I,""),
_xlfn.IFS(_xlpm.MyAuditVal&lt;&gt;"",UPPER(_xlpm.MyAuditVal),_xlpm.MacVal&lt;&gt;"",_xlpm.MacVal,_xlpm.CSVVal&lt;&gt;"",_xlpm.CSVVal
)),"")</f>
        <v/>
      </c>
      <c r="K370" s="45" t="str" cm="1">
        <f t="array" ref="K370">IFERROR(_xlfn.LET(
_xlpm.CSVVal,_xlfn.XLOOKUP($A370,CSV!$A:$A,CSV!N:N,""),
_xlpm.MacVal,_xlfn.XLOOKUP($A370,Output_Mac!$A:$A,Output_Mac!L:L,""),
_xlpm.MyAuditVal,_xlfn.XLOOKUP($A370,My_Audit!$A:$A,My_Audit!J:J,""),
_xlfn.IFS(_xlpm.MyAuditVal&lt;&gt;"",UPPER(_xlpm.MyAuditVal),_xlpm.MacVal&lt;&gt;"",_xlpm.MacVal,_xlpm.CSVVal&lt;&gt;"",_xlpm.CSVVal
)),"")</f>
        <v/>
      </c>
      <c r="L370" s="46" t="str" cm="1">
        <f t="array" ref="L370">IFERROR(_xlfn.LET(
_xlpm.CSVVal,_xlfn.XLOOKUP($A370,CSV!$A:$A,CSV!Q:Q,""),
_xlpm.MacVal,_xlfn.XLOOKUP($A370,Output_Mac!$A:$A,Output_Mac!M:M,""),
_xlpm.MyAuditVal,_xlfn.XLOOKUP($A370,My_Audit!$A:$A,My_Audit!K:K,""),
_xlfn.IFS(_xlpm.MyAuditVal&lt;&gt;"",UPPER(_xlpm.MyAuditVal),_xlpm.MacVal&lt;&gt;"",_xlpm.MacVal,_xlpm.CSVVal&lt;&gt;"",_xlpm.CSVVal
)),"")</f>
        <v/>
      </c>
      <c r="M370" s="45" t="str">
        <f>_xlfn.LET(
    _xlpm.CSVVal, _xlfn.XLOOKUP($A370, CSV!$A:$A, CSV!AE:AE, ""),
    _xlpm.MacVal, _xlfn.XLOOKUP($A370, Output_Mac!$A:$A, Output_Mac!S:S, ""),
    _xlpm.MyAuditVal, _xlfn.XLOOKUP($A370, My_Audit!$A:$A, My_Audit!N:N, ""),
    _xlfn.TEXTJOIN(", ", TRUE, _xlpm.MyAuditVal, _xlpm.MacVal, _xlpm.CSVVal)
)</f>
        <v/>
      </c>
      <c r="N370" s="45" t="str" cm="1">
        <f t="array" ref="N370">IFERROR(_xlfn.LET(
_xlpm.CSVVal,_xlfn.XLOOKUP($A370,CSV!$A:$A,CSV!AG:AG,""),
_xlpm.MacVal,_xlfn.XLOOKUP($A370,Output_Mac!$A:$A,Output_Mac!U:U,""),
_xlpm.MyAuditVal,_xlfn.XLOOKUP($A370,My_Audit!$A:$A,My_Audit!O:O,""),
_xlfn.IFS(_xlpm.MyAuditVal&lt;&gt;"",UPPER(_xlpm.MyAuditVal),_xlpm.MacVal&lt;&gt;"",_xlpm.MacVal,_xlpm.CSVVal&lt;&gt;"",_xlpm.CSVVal
)),"")</f>
        <v/>
      </c>
      <c r="O370" s="46" t="str">
        <f>_xlfn.XLOOKUP(C370,My_Audit!B:B,My_Audit!P:P,"")&amp;""</f>
        <v/>
      </c>
      <c r="P370" s="45"/>
      <c r="Q370" s="46" t="str">
        <f>IF(LEFT(N370,4)="Pass","Nist SP 800-88",My_Audit!R370)&amp;""</f>
        <v/>
      </c>
      <c r="R370" s="45"/>
      <c r="S370" s="45"/>
      <c r="T370" s="46" t="str">
        <f>_xlfn.XLOOKUP(E370,Models!I:I,Models!J:J,"")</f>
        <v/>
      </c>
      <c r="U370" s="45"/>
      <c r="V370" s="45"/>
      <c r="W370" s="38"/>
    </row>
    <row r="371" spans="1:23">
      <c r="A371" s="45" t="str">
        <f>_xlfn.TEXTJOIN("",TRUE,Input!$B$2,ROW(My_Audit!A370))</f>
        <v>XX370</v>
      </c>
      <c r="B371" s="45" t="str">
        <f>_xlfn.TEXTJOIN("-",TRUE,"ITD",Input!$A$2,A371)</f>
        <v>ITD-SHRXXX-XX370</v>
      </c>
      <c r="C371" s="45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46" t="str" cm="1">
        <f t="array" ref="D371">IFERROR(_xlfn.LET(
_xlpm.CSVVal,_xlfn.XLOOKUP($A371,CSV!$A:$A,CSV!C:C,""),
_xlpm.MacVal,_xlfn.XLOOKUP($A371,Output_Mac!$A:$A,Output_Mac!D:D,""),
_xlpm.MyAuditVal,_xlfn.XLOOKUP($A371,My_Audit!$A:$A,My_Audit!C:C,""),
_xlfn.IFS(_xlpm.MyAuditVal&lt;&gt;"",UPPER(_xlpm.MyAuditVal),_xlpm.MacVal&lt;&gt;"",_xlpm.MacVal,_xlpm.CSVVal&lt;&gt;"",_xlpm.CSVVal
)),"")</f>
        <v/>
      </c>
      <c r="E371" s="46" t="str" cm="1">
        <f t="array" ref="E371">IFERROR(_xlfn.LET(
_xlpm.CSVVal,_xlfn.XLOOKUP($A371,CSV!$A:$A,CSV!E:E,""),
_xlpm.MacVal,_xlfn.XLOOKUP($A371,Output_Mac!$A:$A,Output_Mac!C:C,""),
_xlpm.MyAuditVal,_xlfn.XLOOKUP($A371,My_Audit!$A:$A,My_Audit!D:D,""),
_xlfn.IFS(_xlpm.MyAuditVal&lt;&gt;"",_xlpm.MyAuditVal,_xlpm.MacVal&lt;&gt;"",_xlpm.MacVal,_xlpm.CSVVal&lt;&gt;"",_xlpm.CSVVal
)),"")</f>
        <v/>
      </c>
      <c r="F371" s="45" t="str" cm="1">
        <f t="array" ref="F371">IFERROR(_xlfn.LET(
_xlpm.CSVVal,_xlfn.XLOOKUP($A371,CSV!$A:$A,CSV!F:F,""),
_xlpm.MacVal,_xlfn.XLOOKUP($A371,Output_Mac!$A:$A,Output_Mac!F:F,""),
_xlpm.MyAuditVal,_xlfn.XLOOKUP($A371,My_Audit!$A:$A,My_Audit!E:E,""),
_xlfn.IFS(_xlpm.MyAuditVal&lt;&gt;"",_xlpm.MyAuditVal,_xlpm.MacVal&lt;&gt;"",_xlpm.MacVal,_xlpm.CSVVal&lt;&gt;"",PROPER(_xlpm.CSVVal)
)),"")</f>
        <v/>
      </c>
      <c r="G371" s="45" t="str" cm="1">
        <f t="array" ref="G371">IFERROR(_xlfn.LET(
_xlpm.CSVVal,_xlfn.XLOOKUP($A371,CSV!$A:$A,CSV!G:G,""),
_xlpm.MacVal,_xlfn.XLOOKUP($A371,Output_Mac!$A:$A,Output_Mac!H:H,""),
_xlpm.MyAuditVal,_xlfn.XLOOKUP($A371,My_Audit!$A:$A,My_Audit!F:F,""),
_xlfn.IFS(_xlpm.MyAuditVal&lt;&gt;"",_xlpm.MyAuditVal,_xlpm.MacVal&lt;&gt;"",_xlpm.MacVal,_xlpm.CSVVal&lt;&gt;"",_xlpm.CSVVal
)),"")</f>
        <v/>
      </c>
      <c r="H371" s="45" t="str">
        <f>_xlfn.XLOOKUP(A371,Output_Mac!A:A,Output_Mac!I:I,"")</f>
        <v/>
      </c>
      <c r="I371" s="45" t="str" cm="1">
        <f t="array" ref="I371">IFERROR(_xlfn.LET(
_xlpm.CSVVal,_xlfn.XLOOKUP($A371,CSV!$A:$A,CSV!H:H,""),
_xlpm.MacVal,_xlfn.XLOOKUP($A371,Output_Mac!$A:$A,Output_Mac!J:J,""),
_xlpm.MyAuditVal,_xlfn.XLOOKUP($A371,My_Audit!$A:$A,My_Audit!H:H,""),
_xlfn.IFS(_xlpm.MyAuditVal&lt;&gt;"",UPPER(_xlpm.MyAuditVal),_xlpm.MacVal&lt;&gt;"",_xlpm.MacVal,_xlpm.CSVVal&lt;&gt;"",_xlpm.CSVVal
)),"")</f>
        <v/>
      </c>
      <c r="J371" s="45" t="str" cm="1">
        <f t="array" ref="J371">IFERROR(_xlfn.LET(
_xlpm.CSVVal,_xlfn.XLOOKUP($A371,CSV!$A:$A,CSV!J:J,""),
_xlpm.MacVal,_xlfn.XLOOKUP($A371,Output_Mac!$A:$A,Output_Mac!K:K,""),
_xlpm.MyAuditVal,_xlfn.XLOOKUP($A371,My_Audit!$A:$A,My_Audit!I:I,""),
_xlfn.IFS(_xlpm.MyAuditVal&lt;&gt;"",UPPER(_xlpm.MyAuditVal),_xlpm.MacVal&lt;&gt;"",_xlpm.MacVal,_xlpm.CSVVal&lt;&gt;"",_xlpm.CSVVal
)),"")</f>
        <v/>
      </c>
      <c r="K371" s="45" t="str" cm="1">
        <f t="array" ref="K371">IFERROR(_xlfn.LET(
_xlpm.CSVVal,_xlfn.XLOOKUP($A371,CSV!$A:$A,CSV!N:N,""),
_xlpm.MacVal,_xlfn.XLOOKUP($A371,Output_Mac!$A:$A,Output_Mac!L:L,""),
_xlpm.MyAuditVal,_xlfn.XLOOKUP($A371,My_Audit!$A:$A,My_Audit!J:J,""),
_xlfn.IFS(_xlpm.MyAuditVal&lt;&gt;"",UPPER(_xlpm.MyAuditVal),_xlpm.MacVal&lt;&gt;"",_xlpm.MacVal,_xlpm.CSVVal&lt;&gt;"",_xlpm.CSVVal
)),"")</f>
        <v/>
      </c>
      <c r="L371" s="46" t="str" cm="1">
        <f t="array" ref="L371">IFERROR(_xlfn.LET(
_xlpm.CSVVal,_xlfn.XLOOKUP($A371,CSV!$A:$A,CSV!Q:Q,""),
_xlpm.MacVal,_xlfn.XLOOKUP($A371,Output_Mac!$A:$A,Output_Mac!M:M,""),
_xlpm.MyAuditVal,_xlfn.XLOOKUP($A371,My_Audit!$A:$A,My_Audit!K:K,""),
_xlfn.IFS(_xlpm.MyAuditVal&lt;&gt;"",UPPER(_xlpm.MyAuditVal),_xlpm.MacVal&lt;&gt;"",_xlpm.MacVal,_xlpm.CSVVal&lt;&gt;"",_xlpm.CSVVal
)),"")</f>
        <v/>
      </c>
      <c r="M371" s="45" t="str">
        <f>_xlfn.LET(
    _xlpm.CSVVal, _xlfn.XLOOKUP($A371, CSV!$A:$A, CSV!AE:AE, ""),
    _xlpm.MacVal, _xlfn.XLOOKUP($A371, Output_Mac!$A:$A, Output_Mac!S:S, ""),
    _xlpm.MyAuditVal, _xlfn.XLOOKUP($A371, My_Audit!$A:$A, My_Audit!N:N, ""),
    _xlfn.TEXTJOIN(", ", TRUE, _xlpm.MyAuditVal, _xlpm.MacVal, _xlpm.CSVVal)
)</f>
        <v/>
      </c>
      <c r="N371" s="45" t="str" cm="1">
        <f t="array" ref="N371">IFERROR(_xlfn.LET(
_xlpm.CSVVal,_xlfn.XLOOKUP($A371,CSV!$A:$A,CSV!AG:AG,""),
_xlpm.MacVal,_xlfn.XLOOKUP($A371,Output_Mac!$A:$A,Output_Mac!U:U,""),
_xlpm.MyAuditVal,_xlfn.XLOOKUP($A371,My_Audit!$A:$A,My_Audit!O:O,""),
_xlfn.IFS(_xlpm.MyAuditVal&lt;&gt;"",UPPER(_xlpm.MyAuditVal),_xlpm.MacVal&lt;&gt;"",_xlpm.MacVal,_xlpm.CSVVal&lt;&gt;"",_xlpm.CSVVal
)),"")</f>
        <v/>
      </c>
      <c r="O371" s="46" t="str">
        <f>_xlfn.XLOOKUP(C371,My_Audit!B:B,My_Audit!P:P,"")&amp;""</f>
        <v/>
      </c>
      <c r="P371" s="45"/>
      <c r="Q371" s="46" t="str">
        <f>IF(LEFT(N371,4)="Pass","Nist SP 800-88",My_Audit!R371)&amp;""</f>
        <v/>
      </c>
      <c r="R371" s="45"/>
      <c r="S371" s="45"/>
      <c r="T371" s="46" t="str">
        <f>_xlfn.XLOOKUP(E371,Models!I:I,Models!J:J,"")</f>
        <v/>
      </c>
      <c r="U371" s="45"/>
      <c r="V371" s="45"/>
      <c r="W371" s="38"/>
    </row>
    <row r="372" spans="1:23">
      <c r="A372" s="45" t="str">
        <f>_xlfn.TEXTJOIN("",TRUE,Input!$B$2,ROW(My_Audit!A371))</f>
        <v>XX371</v>
      </c>
      <c r="B372" s="45" t="str">
        <f>_xlfn.TEXTJOIN("-",TRUE,"ITD",Input!$A$2,A372)</f>
        <v>ITD-SHRXXX-XX371</v>
      </c>
      <c r="C372" s="45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46" t="str" cm="1">
        <f t="array" ref="D372">IFERROR(_xlfn.LET(
_xlpm.CSVVal,_xlfn.XLOOKUP($A372,CSV!$A:$A,CSV!C:C,""),
_xlpm.MacVal,_xlfn.XLOOKUP($A372,Output_Mac!$A:$A,Output_Mac!D:D,""),
_xlpm.MyAuditVal,_xlfn.XLOOKUP($A372,My_Audit!$A:$A,My_Audit!C:C,""),
_xlfn.IFS(_xlpm.MyAuditVal&lt;&gt;"",UPPER(_xlpm.MyAuditVal),_xlpm.MacVal&lt;&gt;"",_xlpm.MacVal,_xlpm.CSVVal&lt;&gt;"",_xlpm.CSVVal
)),"")</f>
        <v/>
      </c>
      <c r="E372" s="46" t="str" cm="1">
        <f t="array" ref="E372">IFERROR(_xlfn.LET(
_xlpm.CSVVal,_xlfn.XLOOKUP($A372,CSV!$A:$A,CSV!E:E,""),
_xlpm.MacVal,_xlfn.XLOOKUP($A372,Output_Mac!$A:$A,Output_Mac!C:C,""),
_xlpm.MyAuditVal,_xlfn.XLOOKUP($A372,My_Audit!$A:$A,My_Audit!D:D,""),
_xlfn.IFS(_xlpm.MyAuditVal&lt;&gt;"",_xlpm.MyAuditVal,_xlpm.MacVal&lt;&gt;"",_xlpm.MacVal,_xlpm.CSVVal&lt;&gt;"",_xlpm.CSVVal
)),"")</f>
        <v/>
      </c>
      <c r="F372" s="45" t="str" cm="1">
        <f t="array" ref="F372">IFERROR(_xlfn.LET(
_xlpm.CSVVal,_xlfn.XLOOKUP($A372,CSV!$A:$A,CSV!F:F,""),
_xlpm.MacVal,_xlfn.XLOOKUP($A372,Output_Mac!$A:$A,Output_Mac!F:F,""),
_xlpm.MyAuditVal,_xlfn.XLOOKUP($A372,My_Audit!$A:$A,My_Audit!E:E,""),
_xlfn.IFS(_xlpm.MyAuditVal&lt;&gt;"",_xlpm.MyAuditVal,_xlpm.MacVal&lt;&gt;"",_xlpm.MacVal,_xlpm.CSVVal&lt;&gt;"",PROPER(_xlpm.CSVVal)
)),"")</f>
        <v/>
      </c>
      <c r="G372" s="45" t="str" cm="1">
        <f t="array" ref="G372">IFERROR(_xlfn.LET(
_xlpm.CSVVal,_xlfn.XLOOKUP($A372,CSV!$A:$A,CSV!G:G,""),
_xlpm.MacVal,_xlfn.XLOOKUP($A372,Output_Mac!$A:$A,Output_Mac!H:H,""),
_xlpm.MyAuditVal,_xlfn.XLOOKUP($A372,My_Audit!$A:$A,My_Audit!F:F,""),
_xlfn.IFS(_xlpm.MyAuditVal&lt;&gt;"",_xlpm.MyAuditVal,_xlpm.MacVal&lt;&gt;"",_xlpm.MacVal,_xlpm.CSVVal&lt;&gt;"",_xlpm.CSVVal
)),"")</f>
        <v/>
      </c>
      <c r="H372" s="45" t="str">
        <f>_xlfn.XLOOKUP(A372,Output_Mac!A:A,Output_Mac!I:I,"")</f>
        <v/>
      </c>
      <c r="I372" s="45" t="str" cm="1">
        <f t="array" ref="I372">IFERROR(_xlfn.LET(
_xlpm.CSVVal,_xlfn.XLOOKUP($A372,CSV!$A:$A,CSV!H:H,""),
_xlpm.MacVal,_xlfn.XLOOKUP($A372,Output_Mac!$A:$A,Output_Mac!J:J,""),
_xlpm.MyAuditVal,_xlfn.XLOOKUP($A372,My_Audit!$A:$A,My_Audit!H:H,""),
_xlfn.IFS(_xlpm.MyAuditVal&lt;&gt;"",UPPER(_xlpm.MyAuditVal),_xlpm.MacVal&lt;&gt;"",_xlpm.MacVal,_xlpm.CSVVal&lt;&gt;"",_xlpm.CSVVal
)),"")</f>
        <v/>
      </c>
      <c r="J372" s="45" t="str" cm="1">
        <f t="array" ref="J372">IFERROR(_xlfn.LET(
_xlpm.CSVVal,_xlfn.XLOOKUP($A372,CSV!$A:$A,CSV!J:J,""),
_xlpm.MacVal,_xlfn.XLOOKUP($A372,Output_Mac!$A:$A,Output_Mac!K:K,""),
_xlpm.MyAuditVal,_xlfn.XLOOKUP($A372,My_Audit!$A:$A,My_Audit!I:I,""),
_xlfn.IFS(_xlpm.MyAuditVal&lt;&gt;"",UPPER(_xlpm.MyAuditVal),_xlpm.MacVal&lt;&gt;"",_xlpm.MacVal,_xlpm.CSVVal&lt;&gt;"",_xlpm.CSVVal
)),"")</f>
        <v/>
      </c>
      <c r="K372" s="45" t="str" cm="1">
        <f t="array" ref="K372">IFERROR(_xlfn.LET(
_xlpm.CSVVal,_xlfn.XLOOKUP($A372,CSV!$A:$A,CSV!N:N,""),
_xlpm.MacVal,_xlfn.XLOOKUP($A372,Output_Mac!$A:$A,Output_Mac!L:L,""),
_xlpm.MyAuditVal,_xlfn.XLOOKUP($A372,My_Audit!$A:$A,My_Audit!J:J,""),
_xlfn.IFS(_xlpm.MyAuditVal&lt;&gt;"",UPPER(_xlpm.MyAuditVal),_xlpm.MacVal&lt;&gt;"",_xlpm.MacVal,_xlpm.CSVVal&lt;&gt;"",_xlpm.CSVVal
)),"")</f>
        <v/>
      </c>
      <c r="L372" s="46" t="str" cm="1">
        <f t="array" ref="L372">IFERROR(_xlfn.LET(
_xlpm.CSVVal,_xlfn.XLOOKUP($A372,CSV!$A:$A,CSV!Q:Q,""),
_xlpm.MacVal,_xlfn.XLOOKUP($A372,Output_Mac!$A:$A,Output_Mac!M:M,""),
_xlpm.MyAuditVal,_xlfn.XLOOKUP($A372,My_Audit!$A:$A,My_Audit!K:K,""),
_xlfn.IFS(_xlpm.MyAuditVal&lt;&gt;"",UPPER(_xlpm.MyAuditVal),_xlpm.MacVal&lt;&gt;"",_xlpm.MacVal,_xlpm.CSVVal&lt;&gt;"",_xlpm.CSVVal
)),"")</f>
        <v/>
      </c>
      <c r="M372" s="45" t="str">
        <f>_xlfn.LET(
    _xlpm.CSVVal, _xlfn.XLOOKUP($A372, CSV!$A:$A, CSV!AE:AE, ""),
    _xlpm.MacVal, _xlfn.XLOOKUP($A372, Output_Mac!$A:$A, Output_Mac!S:S, ""),
    _xlpm.MyAuditVal, _xlfn.XLOOKUP($A372, My_Audit!$A:$A, My_Audit!N:N, ""),
    _xlfn.TEXTJOIN(", ", TRUE, _xlpm.MyAuditVal, _xlpm.MacVal, _xlpm.CSVVal)
)</f>
        <v/>
      </c>
      <c r="N372" s="45" t="str" cm="1">
        <f t="array" ref="N372">IFERROR(_xlfn.LET(
_xlpm.CSVVal,_xlfn.XLOOKUP($A372,CSV!$A:$A,CSV!AG:AG,""),
_xlpm.MacVal,_xlfn.XLOOKUP($A372,Output_Mac!$A:$A,Output_Mac!U:U,""),
_xlpm.MyAuditVal,_xlfn.XLOOKUP($A372,My_Audit!$A:$A,My_Audit!O:O,""),
_xlfn.IFS(_xlpm.MyAuditVal&lt;&gt;"",UPPER(_xlpm.MyAuditVal),_xlpm.MacVal&lt;&gt;"",_xlpm.MacVal,_xlpm.CSVVal&lt;&gt;"",_xlpm.CSVVal
)),"")</f>
        <v/>
      </c>
      <c r="O372" s="46" t="str">
        <f>_xlfn.XLOOKUP(C372,My_Audit!B:B,My_Audit!P:P,"")&amp;""</f>
        <v/>
      </c>
      <c r="P372" s="45"/>
      <c r="Q372" s="46" t="str">
        <f>IF(LEFT(N372,4)="Pass","Nist SP 800-88",My_Audit!R372)&amp;""</f>
        <v/>
      </c>
      <c r="R372" s="45"/>
      <c r="S372" s="45"/>
      <c r="T372" s="46" t="str">
        <f>_xlfn.XLOOKUP(E372,Models!I:I,Models!J:J,"")</f>
        <v/>
      </c>
      <c r="U372" s="45"/>
      <c r="V372" s="45"/>
      <c r="W372" s="38"/>
    </row>
    <row r="373" spans="1:23">
      <c r="A373" s="45" t="str">
        <f>_xlfn.TEXTJOIN("",TRUE,Input!$B$2,ROW(My_Audit!A372))</f>
        <v>XX372</v>
      </c>
      <c r="B373" s="45" t="str">
        <f>_xlfn.TEXTJOIN("-",TRUE,"ITD",Input!$A$2,A373)</f>
        <v>ITD-SHRXXX-XX372</v>
      </c>
      <c r="C373" s="45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46" t="str" cm="1">
        <f t="array" ref="D373">IFERROR(_xlfn.LET(
_xlpm.CSVVal,_xlfn.XLOOKUP($A373,CSV!$A:$A,CSV!C:C,""),
_xlpm.MacVal,_xlfn.XLOOKUP($A373,Output_Mac!$A:$A,Output_Mac!D:D,""),
_xlpm.MyAuditVal,_xlfn.XLOOKUP($A373,My_Audit!$A:$A,My_Audit!C:C,""),
_xlfn.IFS(_xlpm.MyAuditVal&lt;&gt;"",UPPER(_xlpm.MyAuditVal),_xlpm.MacVal&lt;&gt;"",_xlpm.MacVal,_xlpm.CSVVal&lt;&gt;"",_xlpm.CSVVal
)),"")</f>
        <v/>
      </c>
      <c r="E373" s="46" t="str" cm="1">
        <f t="array" ref="E373">IFERROR(_xlfn.LET(
_xlpm.CSVVal,_xlfn.XLOOKUP($A373,CSV!$A:$A,CSV!E:E,""),
_xlpm.MacVal,_xlfn.XLOOKUP($A373,Output_Mac!$A:$A,Output_Mac!C:C,""),
_xlpm.MyAuditVal,_xlfn.XLOOKUP($A373,My_Audit!$A:$A,My_Audit!D:D,""),
_xlfn.IFS(_xlpm.MyAuditVal&lt;&gt;"",_xlpm.MyAuditVal,_xlpm.MacVal&lt;&gt;"",_xlpm.MacVal,_xlpm.CSVVal&lt;&gt;"",_xlpm.CSVVal
)),"")</f>
        <v/>
      </c>
      <c r="F373" s="45" t="str" cm="1">
        <f t="array" ref="F373">IFERROR(_xlfn.LET(
_xlpm.CSVVal,_xlfn.XLOOKUP($A373,CSV!$A:$A,CSV!F:F,""),
_xlpm.MacVal,_xlfn.XLOOKUP($A373,Output_Mac!$A:$A,Output_Mac!F:F,""),
_xlpm.MyAuditVal,_xlfn.XLOOKUP($A373,My_Audit!$A:$A,My_Audit!E:E,""),
_xlfn.IFS(_xlpm.MyAuditVal&lt;&gt;"",_xlpm.MyAuditVal,_xlpm.MacVal&lt;&gt;"",_xlpm.MacVal,_xlpm.CSVVal&lt;&gt;"",PROPER(_xlpm.CSVVal)
)),"")</f>
        <v/>
      </c>
      <c r="G373" s="45" t="str" cm="1">
        <f t="array" ref="G373">IFERROR(_xlfn.LET(
_xlpm.CSVVal,_xlfn.XLOOKUP($A373,CSV!$A:$A,CSV!G:G,""),
_xlpm.MacVal,_xlfn.XLOOKUP($A373,Output_Mac!$A:$A,Output_Mac!H:H,""),
_xlpm.MyAuditVal,_xlfn.XLOOKUP($A373,My_Audit!$A:$A,My_Audit!F:F,""),
_xlfn.IFS(_xlpm.MyAuditVal&lt;&gt;"",_xlpm.MyAuditVal,_xlpm.MacVal&lt;&gt;"",_xlpm.MacVal,_xlpm.CSVVal&lt;&gt;"",_xlpm.CSVVal
)),"")</f>
        <v/>
      </c>
      <c r="H373" s="45" t="str">
        <f>_xlfn.XLOOKUP(A373,Output_Mac!A:A,Output_Mac!I:I,"")</f>
        <v/>
      </c>
      <c r="I373" s="45" t="str" cm="1">
        <f t="array" ref="I373">IFERROR(_xlfn.LET(
_xlpm.CSVVal,_xlfn.XLOOKUP($A373,CSV!$A:$A,CSV!H:H,""),
_xlpm.MacVal,_xlfn.XLOOKUP($A373,Output_Mac!$A:$A,Output_Mac!J:J,""),
_xlpm.MyAuditVal,_xlfn.XLOOKUP($A373,My_Audit!$A:$A,My_Audit!H:H,""),
_xlfn.IFS(_xlpm.MyAuditVal&lt;&gt;"",UPPER(_xlpm.MyAuditVal),_xlpm.MacVal&lt;&gt;"",_xlpm.MacVal,_xlpm.CSVVal&lt;&gt;"",_xlpm.CSVVal
)),"")</f>
        <v/>
      </c>
      <c r="J373" s="45" t="str" cm="1">
        <f t="array" ref="J373">IFERROR(_xlfn.LET(
_xlpm.CSVVal,_xlfn.XLOOKUP($A373,CSV!$A:$A,CSV!J:J,""),
_xlpm.MacVal,_xlfn.XLOOKUP($A373,Output_Mac!$A:$A,Output_Mac!K:K,""),
_xlpm.MyAuditVal,_xlfn.XLOOKUP($A373,My_Audit!$A:$A,My_Audit!I:I,""),
_xlfn.IFS(_xlpm.MyAuditVal&lt;&gt;"",UPPER(_xlpm.MyAuditVal),_xlpm.MacVal&lt;&gt;"",_xlpm.MacVal,_xlpm.CSVVal&lt;&gt;"",_xlpm.CSVVal
)),"")</f>
        <v/>
      </c>
      <c r="K373" s="45" t="str" cm="1">
        <f t="array" ref="K373">IFERROR(_xlfn.LET(
_xlpm.CSVVal,_xlfn.XLOOKUP($A373,CSV!$A:$A,CSV!N:N,""),
_xlpm.MacVal,_xlfn.XLOOKUP($A373,Output_Mac!$A:$A,Output_Mac!L:L,""),
_xlpm.MyAuditVal,_xlfn.XLOOKUP($A373,My_Audit!$A:$A,My_Audit!J:J,""),
_xlfn.IFS(_xlpm.MyAuditVal&lt;&gt;"",UPPER(_xlpm.MyAuditVal),_xlpm.MacVal&lt;&gt;"",_xlpm.MacVal,_xlpm.CSVVal&lt;&gt;"",_xlpm.CSVVal
)),"")</f>
        <v/>
      </c>
      <c r="L373" s="46" t="str" cm="1">
        <f t="array" ref="L373">IFERROR(_xlfn.LET(
_xlpm.CSVVal,_xlfn.XLOOKUP($A373,CSV!$A:$A,CSV!Q:Q,""),
_xlpm.MacVal,_xlfn.XLOOKUP($A373,Output_Mac!$A:$A,Output_Mac!M:M,""),
_xlpm.MyAuditVal,_xlfn.XLOOKUP($A373,My_Audit!$A:$A,My_Audit!K:K,""),
_xlfn.IFS(_xlpm.MyAuditVal&lt;&gt;"",UPPER(_xlpm.MyAuditVal),_xlpm.MacVal&lt;&gt;"",_xlpm.MacVal,_xlpm.CSVVal&lt;&gt;"",_xlpm.CSVVal
)),"")</f>
        <v/>
      </c>
      <c r="M373" s="45" t="str">
        <f>_xlfn.LET(
    _xlpm.CSVVal, _xlfn.XLOOKUP($A373, CSV!$A:$A, CSV!AE:AE, ""),
    _xlpm.MacVal, _xlfn.XLOOKUP($A373, Output_Mac!$A:$A, Output_Mac!S:S, ""),
    _xlpm.MyAuditVal, _xlfn.XLOOKUP($A373, My_Audit!$A:$A, My_Audit!N:N, ""),
    _xlfn.TEXTJOIN(", ", TRUE, _xlpm.MyAuditVal, _xlpm.MacVal, _xlpm.CSVVal)
)</f>
        <v/>
      </c>
      <c r="N373" s="45" t="str" cm="1">
        <f t="array" ref="N373">IFERROR(_xlfn.LET(
_xlpm.CSVVal,_xlfn.XLOOKUP($A373,CSV!$A:$A,CSV!AG:AG,""),
_xlpm.MacVal,_xlfn.XLOOKUP($A373,Output_Mac!$A:$A,Output_Mac!U:U,""),
_xlpm.MyAuditVal,_xlfn.XLOOKUP($A373,My_Audit!$A:$A,My_Audit!O:O,""),
_xlfn.IFS(_xlpm.MyAuditVal&lt;&gt;"",UPPER(_xlpm.MyAuditVal),_xlpm.MacVal&lt;&gt;"",_xlpm.MacVal,_xlpm.CSVVal&lt;&gt;"",_xlpm.CSVVal
)),"")</f>
        <v/>
      </c>
      <c r="O373" s="46" t="str">
        <f>_xlfn.XLOOKUP(C373,My_Audit!B:B,My_Audit!P:P,"")&amp;""</f>
        <v/>
      </c>
      <c r="P373" s="45"/>
      <c r="Q373" s="46" t="str">
        <f>IF(LEFT(N373,4)="Pass","Nist SP 800-88",My_Audit!R373)&amp;""</f>
        <v/>
      </c>
      <c r="R373" s="45"/>
      <c r="S373" s="45"/>
      <c r="T373" s="46" t="str">
        <f>_xlfn.XLOOKUP(E373,Models!I:I,Models!J:J,"")</f>
        <v/>
      </c>
      <c r="U373" s="45"/>
      <c r="V373" s="45"/>
      <c r="W373" s="38"/>
    </row>
    <row r="374" spans="1:23">
      <c r="A374" s="45" t="str">
        <f>_xlfn.TEXTJOIN("",TRUE,Input!$B$2,ROW(My_Audit!A373))</f>
        <v>XX373</v>
      </c>
      <c r="B374" s="45" t="str">
        <f>_xlfn.TEXTJOIN("-",TRUE,"ITD",Input!$A$2,A374)</f>
        <v>ITD-SHRXXX-XX373</v>
      </c>
      <c r="C374" s="45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46" t="str" cm="1">
        <f t="array" ref="D374">IFERROR(_xlfn.LET(
_xlpm.CSVVal,_xlfn.XLOOKUP($A374,CSV!$A:$A,CSV!C:C,""),
_xlpm.MacVal,_xlfn.XLOOKUP($A374,Output_Mac!$A:$A,Output_Mac!D:D,""),
_xlpm.MyAuditVal,_xlfn.XLOOKUP($A374,My_Audit!$A:$A,My_Audit!C:C,""),
_xlfn.IFS(_xlpm.MyAuditVal&lt;&gt;"",UPPER(_xlpm.MyAuditVal),_xlpm.MacVal&lt;&gt;"",_xlpm.MacVal,_xlpm.CSVVal&lt;&gt;"",_xlpm.CSVVal
)),"")</f>
        <v/>
      </c>
      <c r="E374" s="46" t="str" cm="1">
        <f t="array" ref="E374">IFERROR(_xlfn.LET(
_xlpm.CSVVal,_xlfn.XLOOKUP($A374,CSV!$A:$A,CSV!E:E,""),
_xlpm.MacVal,_xlfn.XLOOKUP($A374,Output_Mac!$A:$A,Output_Mac!C:C,""),
_xlpm.MyAuditVal,_xlfn.XLOOKUP($A374,My_Audit!$A:$A,My_Audit!D:D,""),
_xlfn.IFS(_xlpm.MyAuditVal&lt;&gt;"",_xlpm.MyAuditVal,_xlpm.MacVal&lt;&gt;"",_xlpm.MacVal,_xlpm.CSVVal&lt;&gt;"",_xlpm.CSVVal
)),"")</f>
        <v/>
      </c>
      <c r="F374" s="45" t="str" cm="1">
        <f t="array" ref="F374">IFERROR(_xlfn.LET(
_xlpm.CSVVal,_xlfn.XLOOKUP($A374,CSV!$A:$A,CSV!F:F,""),
_xlpm.MacVal,_xlfn.XLOOKUP($A374,Output_Mac!$A:$A,Output_Mac!F:F,""),
_xlpm.MyAuditVal,_xlfn.XLOOKUP($A374,My_Audit!$A:$A,My_Audit!E:E,""),
_xlfn.IFS(_xlpm.MyAuditVal&lt;&gt;"",_xlpm.MyAuditVal,_xlpm.MacVal&lt;&gt;"",_xlpm.MacVal,_xlpm.CSVVal&lt;&gt;"",PROPER(_xlpm.CSVVal)
)),"")</f>
        <v/>
      </c>
      <c r="G374" s="45" t="str" cm="1">
        <f t="array" ref="G374">IFERROR(_xlfn.LET(
_xlpm.CSVVal,_xlfn.XLOOKUP($A374,CSV!$A:$A,CSV!G:G,""),
_xlpm.MacVal,_xlfn.XLOOKUP($A374,Output_Mac!$A:$A,Output_Mac!H:H,""),
_xlpm.MyAuditVal,_xlfn.XLOOKUP($A374,My_Audit!$A:$A,My_Audit!F:F,""),
_xlfn.IFS(_xlpm.MyAuditVal&lt;&gt;"",_xlpm.MyAuditVal,_xlpm.MacVal&lt;&gt;"",_xlpm.MacVal,_xlpm.CSVVal&lt;&gt;"",_xlpm.CSVVal
)),"")</f>
        <v/>
      </c>
      <c r="H374" s="45" t="str">
        <f>_xlfn.XLOOKUP(A374,Output_Mac!A:A,Output_Mac!I:I,"")</f>
        <v/>
      </c>
      <c r="I374" s="45" t="str" cm="1">
        <f t="array" ref="I374">IFERROR(_xlfn.LET(
_xlpm.CSVVal,_xlfn.XLOOKUP($A374,CSV!$A:$A,CSV!H:H,""),
_xlpm.MacVal,_xlfn.XLOOKUP($A374,Output_Mac!$A:$A,Output_Mac!J:J,""),
_xlpm.MyAuditVal,_xlfn.XLOOKUP($A374,My_Audit!$A:$A,My_Audit!H:H,""),
_xlfn.IFS(_xlpm.MyAuditVal&lt;&gt;"",UPPER(_xlpm.MyAuditVal),_xlpm.MacVal&lt;&gt;"",_xlpm.MacVal,_xlpm.CSVVal&lt;&gt;"",_xlpm.CSVVal
)),"")</f>
        <v/>
      </c>
      <c r="J374" s="45" t="str" cm="1">
        <f t="array" ref="J374">IFERROR(_xlfn.LET(
_xlpm.CSVVal,_xlfn.XLOOKUP($A374,CSV!$A:$A,CSV!J:J,""),
_xlpm.MacVal,_xlfn.XLOOKUP($A374,Output_Mac!$A:$A,Output_Mac!K:K,""),
_xlpm.MyAuditVal,_xlfn.XLOOKUP($A374,My_Audit!$A:$A,My_Audit!I:I,""),
_xlfn.IFS(_xlpm.MyAuditVal&lt;&gt;"",UPPER(_xlpm.MyAuditVal),_xlpm.MacVal&lt;&gt;"",_xlpm.MacVal,_xlpm.CSVVal&lt;&gt;"",_xlpm.CSVVal
)),"")</f>
        <v/>
      </c>
      <c r="K374" s="45" t="str" cm="1">
        <f t="array" ref="K374">IFERROR(_xlfn.LET(
_xlpm.CSVVal,_xlfn.XLOOKUP($A374,CSV!$A:$A,CSV!N:N,""),
_xlpm.MacVal,_xlfn.XLOOKUP($A374,Output_Mac!$A:$A,Output_Mac!L:L,""),
_xlpm.MyAuditVal,_xlfn.XLOOKUP($A374,My_Audit!$A:$A,My_Audit!J:J,""),
_xlfn.IFS(_xlpm.MyAuditVal&lt;&gt;"",UPPER(_xlpm.MyAuditVal),_xlpm.MacVal&lt;&gt;"",_xlpm.MacVal,_xlpm.CSVVal&lt;&gt;"",_xlpm.CSVVal
)),"")</f>
        <v/>
      </c>
      <c r="L374" s="46" t="str" cm="1">
        <f t="array" ref="L374">IFERROR(_xlfn.LET(
_xlpm.CSVVal,_xlfn.XLOOKUP($A374,CSV!$A:$A,CSV!Q:Q,""),
_xlpm.MacVal,_xlfn.XLOOKUP($A374,Output_Mac!$A:$A,Output_Mac!M:M,""),
_xlpm.MyAuditVal,_xlfn.XLOOKUP($A374,My_Audit!$A:$A,My_Audit!K:K,""),
_xlfn.IFS(_xlpm.MyAuditVal&lt;&gt;"",UPPER(_xlpm.MyAuditVal),_xlpm.MacVal&lt;&gt;"",_xlpm.MacVal,_xlpm.CSVVal&lt;&gt;"",_xlpm.CSVVal
)),"")</f>
        <v/>
      </c>
      <c r="M374" s="45" t="str">
        <f>_xlfn.LET(
    _xlpm.CSVVal, _xlfn.XLOOKUP($A374, CSV!$A:$A, CSV!AE:AE, ""),
    _xlpm.MacVal, _xlfn.XLOOKUP($A374, Output_Mac!$A:$A, Output_Mac!S:S, ""),
    _xlpm.MyAuditVal, _xlfn.XLOOKUP($A374, My_Audit!$A:$A, My_Audit!N:N, ""),
    _xlfn.TEXTJOIN(", ", TRUE, _xlpm.MyAuditVal, _xlpm.MacVal, _xlpm.CSVVal)
)</f>
        <v/>
      </c>
      <c r="N374" s="45" t="str" cm="1">
        <f t="array" ref="N374">IFERROR(_xlfn.LET(
_xlpm.CSVVal,_xlfn.XLOOKUP($A374,CSV!$A:$A,CSV!AG:AG,""),
_xlpm.MacVal,_xlfn.XLOOKUP($A374,Output_Mac!$A:$A,Output_Mac!U:U,""),
_xlpm.MyAuditVal,_xlfn.XLOOKUP($A374,My_Audit!$A:$A,My_Audit!O:O,""),
_xlfn.IFS(_xlpm.MyAuditVal&lt;&gt;"",UPPER(_xlpm.MyAuditVal),_xlpm.MacVal&lt;&gt;"",_xlpm.MacVal,_xlpm.CSVVal&lt;&gt;"",_xlpm.CSVVal
)),"")</f>
        <v/>
      </c>
      <c r="O374" s="46" t="str">
        <f>_xlfn.XLOOKUP(C374,My_Audit!B:B,My_Audit!P:P,"")&amp;""</f>
        <v/>
      </c>
      <c r="P374" s="45"/>
      <c r="Q374" s="46" t="str">
        <f>IF(LEFT(N374,4)="Pass","Nist SP 800-88",My_Audit!R374)&amp;""</f>
        <v/>
      </c>
      <c r="R374" s="45"/>
      <c r="S374" s="45"/>
      <c r="T374" s="46" t="str">
        <f>_xlfn.XLOOKUP(E374,Models!I:I,Models!J:J,"")</f>
        <v/>
      </c>
      <c r="U374" s="45"/>
      <c r="V374" s="45"/>
      <c r="W374" s="38"/>
    </row>
    <row r="375" spans="1:23">
      <c r="A375" s="45" t="str">
        <f>_xlfn.TEXTJOIN("",TRUE,Input!$B$2,ROW(My_Audit!A374))</f>
        <v>XX374</v>
      </c>
      <c r="B375" s="45" t="str">
        <f>_xlfn.TEXTJOIN("-",TRUE,"ITD",Input!$A$2,A375)</f>
        <v>ITD-SHRXXX-XX374</v>
      </c>
      <c r="C375" s="45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46" t="str" cm="1">
        <f t="array" ref="D375">IFERROR(_xlfn.LET(
_xlpm.CSVVal,_xlfn.XLOOKUP($A375,CSV!$A:$A,CSV!C:C,""),
_xlpm.MacVal,_xlfn.XLOOKUP($A375,Output_Mac!$A:$A,Output_Mac!D:D,""),
_xlpm.MyAuditVal,_xlfn.XLOOKUP($A375,My_Audit!$A:$A,My_Audit!C:C,""),
_xlfn.IFS(_xlpm.MyAuditVal&lt;&gt;"",UPPER(_xlpm.MyAuditVal),_xlpm.MacVal&lt;&gt;"",_xlpm.MacVal,_xlpm.CSVVal&lt;&gt;"",_xlpm.CSVVal
)),"")</f>
        <v/>
      </c>
      <c r="E375" s="46" t="str" cm="1">
        <f t="array" ref="E375">IFERROR(_xlfn.LET(
_xlpm.CSVVal,_xlfn.XLOOKUP($A375,CSV!$A:$A,CSV!E:E,""),
_xlpm.MacVal,_xlfn.XLOOKUP($A375,Output_Mac!$A:$A,Output_Mac!C:C,""),
_xlpm.MyAuditVal,_xlfn.XLOOKUP($A375,My_Audit!$A:$A,My_Audit!D:D,""),
_xlfn.IFS(_xlpm.MyAuditVal&lt;&gt;"",_xlpm.MyAuditVal,_xlpm.MacVal&lt;&gt;"",_xlpm.MacVal,_xlpm.CSVVal&lt;&gt;"",_xlpm.CSVVal
)),"")</f>
        <v/>
      </c>
      <c r="F375" s="45" t="str" cm="1">
        <f t="array" ref="F375">IFERROR(_xlfn.LET(
_xlpm.CSVVal,_xlfn.XLOOKUP($A375,CSV!$A:$A,CSV!F:F,""),
_xlpm.MacVal,_xlfn.XLOOKUP($A375,Output_Mac!$A:$A,Output_Mac!F:F,""),
_xlpm.MyAuditVal,_xlfn.XLOOKUP($A375,My_Audit!$A:$A,My_Audit!E:E,""),
_xlfn.IFS(_xlpm.MyAuditVal&lt;&gt;"",_xlpm.MyAuditVal,_xlpm.MacVal&lt;&gt;"",_xlpm.MacVal,_xlpm.CSVVal&lt;&gt;"",PROPER(_xlpm.CSVVal)
)),"")</f>
        <v/>
      </c>
      <c r="G375" s="45" t="str" cm="1">
        <f t="array" ref="G375">IFERROR(_xlfn.LET(
_xlpm.CSVVal,_xlfn.XLOOKUP($A375,CSV!$A:$A,CSV!G:G,""),
_xlpm.MacVal,_xlfn.XLOOKUP($A375,Output_Mac!$A:$A,Output_Mac!H:H,""),
_xlpm.MyAuditVal,_xlfn.XLOOKUP($A375,My_Audit!$A:$A,My_Audit!F:F,""),
_xlfn.IFS(_xlpm.MyAuditVal&lt;&gt;"",_xlpm.MyAuditVal,_xlpm.MacVal&lt;&gt;"",_xlpm.MacVal,_xlpm.CSVVal&lt;&gt;"",_xlpm.CSVVal
)),"")</f>
        <v/>
      </c>
      <c r="H375" s="45" t="str">
        <f>_xlfn.XLOOKUP(A375,Output_Mac!A:A,Output_Mac!I:I,"")</f>
        <v/>
      </c>
      <c r="I375" s="45" t="str" cm="1">
        <f t="array" ref="I375">IFERROR(_xlfn.LET(
_xlpm.CSVVal,_xlfn.XLOOKUP($A375,CSV!$A:$A,CSV!H:H,""),
_xlpm.MacVal,_xlfn.XLOOKUP($A375,Output_Mac!$A:$A,Output_Mac!J:J,""),
_xlpm.MyAuditVal,_xlfn.XLOOKUP($A375,My_Audit!$A:$A,My_Audit!H:H,""),
_xlfn.IFS(_xlpm.MyAuditVal&lt;&gt;"",UPPER(_xlpm.MyAuditVal),_xlpm.MacVal&lt;&gt;"",_xlpm.MacVal,_xlpm.CSVVal&lt;&gt;"",_xlpm.CSVVal
)),"")</f>
        <v/>
      </c>
      <c r="J375" s="45" t="str" cm="1">
        <f t="array" ref="J375">IFERROR(_xlfn.LET(
_xlpm.CSVVal,_xlfn.XLOOKUP($A375,CSV!$A:$A,CSV!J:J,""),
_xlpm.MacVal,_xlfn.XLOOKUP($A375,Output_Mac!$A:$A,Output_Mac!K:K,""),
_xlpm.MyAuditVal,_xlfn.XLOOKUP($A375,My_Audit!$A:$A,My_Audit!I:I,""),
_xlfn.IFS(_xlpm.MyAuditVal&lt;&gt;"",UPPER(_xlpm.MyAuditVal),_xlpm.MacVal&lt;&gt;"",_xlpm.MacVal,_xlpm.CSVVal&lt;&gt;"",_xlpm.CSVVal
)),"")</f>
        <v/>
      </c>
      <c r="K375" s="45" t="str" cm="1">
        <f t="array" ref="K375">IFERROR(_xlfn.LET(
_xlpm.CSVVal,_xlfn.XLOOKUP($A375,CSV!$A:$A,CSV!N:N,""),
_xlpm.MacVal,_xlfn.XLOOKUP($A375,Output_Mac!$A:$A,Output_Mac!L:L,""),
_xlpm.MyAuditVal,_xlfn.XLOOKUP($A375,My_Audit!$A:$A,My_Audit!J:J,""),
_xlfn.IFS(_xlpm.MyAuditVal&lt;&gt;"",UPPER(_xlpm.MyAuditVal),_xlpm.MacVal&lt;&gt;"",_xlpm.MacVal,_xlpm.CSVVal&lt;&gt;"",_xlpm.CSVVal
)),"")</f>
        <v/>
      </c>
      <c r="L375" s="46" t="str" cm="1">
        <f t="array" ref="L375">IFERROR(_xlfn.LET(
_xlpm.CSVVal,_xlfn.XLOOKUP($A375,CSV!$A:$A,CSV!Q:Q,""),
_xlpm.MacVal,_xlfn.XLOOKUP($A375,Output_Mac!$A:$A,Output_Mac!M:M,""),
_xlpm.MyAuditVal,_xlfn.XLOOKUP($A375,My_Audit!$A:$A,My_Audit!K:K,""),
_xlfn.IFS(_xlpm.MyAuditVal&lt;&gt;"",UPPER(_xlpm.MyAuditVal),_xlpm.MacVal&lt;&gt;"",_xlpm.MacVal,_xlpm.CSVVal&lt;&gt;"",_xlpm.CSVVal
)),"")</f>
        <v/>
      </c>
      <c r="M375" s="45" t="str">
        <f>_xlfn.LET(
    _xlpm.CSVVal, _xlfn.XLOOKUP($A375, CSV!$A:$A, CSV!AE:AE, ""),
    _xlpm.MacVal, _xlfn.XLOOKUP($A375, Output_Mac!$A:$A, Output_Mac!S:S, ""),
    _xlpm.MyAuditVal, _xlfn.XLOOKUP($A375, My_Audit!$A:$A, My_Audit!N:N, ""),
    _xlfn.TEXTJOIN(", ", TRUE, _xlpm.MyAuditVal, _xlpm.MacVal, _xlpm.CSVVal)
)</f>
        <v/>
      </c>
      <c r="N375" s="45" t="str" cm="1">
        <f t="array" ref="N375">IFERROR(_xlfn.LET(
_xlpm.CSVVal,_xlfn.XLOOKUP($A375,CSV!$A:$A,CSV!AG:AG,""),
_xlpm.MacVal,_xlfn.XLOOKUP($A375,Output_Mac!$A:$A,Output_Mac!U:U,""),
_xlpm.MyAuditVal,_xlfn.XLOOKUP($A375,My_Audit!$A:$A,My_Audit!O:O,""),
_xlfn.IFS(_xlpm.MyAuditVal&lt;&gt;"",UPPER(_xlpm.MyAuditVal),_xlpm.MacVal&lt;&gt;"",_xlpm.MacVal,_xlpm.CSVVal&lt;&gt;"",_xlpm.CSVVal
)),"")</f>
        <v/>
      </c>
      <c r="O375" s="46" t="str">
        <f>_xlfn.XLOOKUP(C375,My_Audit!B:B,My_Audit!P:P,"")&amp;""</f>
        <v/>
      </c>
      <c r="P375" s="45"/>
      <c r="Q375" s="46" t="str">
        <f>IF(LEFT(N375,4)="Pass","Nist SP 800-88",My_Audit!R375)&amp;""</f>
        <v/>
      </c>
      <c r="R375" s="45"/>
      <c r="S375" s="45"/>
      <c r="T375" s="46" t="str">
        <f>_xlfn.XLOOKUP(E375,Models!I:I,Models!J:J,"")</f>
        <v/>
      </c>
      <c r="U375" s="45"/>
      <c r="V375" s="45"/>
      <c r="W375" s="38"/>
    </row>
    <row r="376" spans="1:23">
      <c r="A376" s="45" t="str">
        <f>_xlfn.TEXTJOIN("",TRUE,Input!$B$2,ROW(My_Audit!A375))</f>
        <v>XX375</v>
      </c>
      <c r="B376" s="45" t="str">
        <f>_xlfn.TEXTJOIN("-",TRUE,"ITD",Input!$A$2,A376)</f>
        <v>ITD-SHRXXX-XX375</v>
      </c>
      <c r="C376" s="45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46" t="str" cm="1">
        <f t="array" ref="D376">IFERROR(_xlfn.LET(
_xlpm.CSVVal,_xlfn.XLOOKUP($A376,CSV!$A:$A,CSV!C:C,""),
_xlpm.MacVal,_xlfn.XLOOKUP($A376,Output_Mac!$A:$A,Output_Mac!D:D,""),
_xlpm.MyAuditVal,_xlfn.XLOOKUP($A376,My_Audit!$A:$A,My_Audit!C:C,""),
_xlfn.IFS(_xlpm.MyAuditVal&lt;&gt;"",UPPER(_xlpm.MyAuditVal),_xlpm.MacVal&lt;&gt;"",_xlpm.MacVal,_xlpm.CSVVal&lt;&gt;"",_xlpm.CSVVal
)),"")</f>
        <v/>
      </c>
      <c r="E376" s="46" t="str" cm="1">
        <f t="array" ref="E376">IFERROR(_xlfn.LET(
_xlpm.CSVVal,_xlfn.XLOOKUP($A376,CSV!$A:$A,CSV!E:E,""),
_xlpm.MacVal,_xlfn.XLOOKUP($A376,Output_Mac!$A:$A,Output_Mac!C:C,""),
_xlpm.MyAuditVal,_xlfn.XLOOKUP($A376,My_Audit!$A:$A,My_Audit!D:D,""),
_xlfn.IFS(_xlpm.MyAuditVal&lt;&gt;"",_xlpm.MyAuditVal,_xlpm.MacVal&lt;&gt;"",_xlpm.MacVal,_xlpm.CSVVal&lt;&gt;"",_xlpm.CSVVal
)),"")</f>
        <v/>
      </c>
      <c r="F376" s="45" t="str" cm="1">
        <f t="array" ref="F376">IFERROR(_xlfn.LET(
_xlpm.CSVVal,_xlfn.XLOOKUP($A376,CSV!$A:$A,CSV!F:F,""),
_xlpm.MacVal,_xlfn.XLOOKUP($A376,Output_Mac!$A:$A,Output_Mac!F:F,""),
_xlpm.MyAuditVal,_xlfn.XLOOKUP($A376,My_Audit!$A:$A,My_Audit!E:E,""),
_xlfn.IFS(_xlpm.MyAuditVal&lt;&gt;"",_xlpm.MyAuditVal,_xlpm.MacVal&lt;&gt;"",_xlpm.MacVal,_xlpm.CSVVal&lt;&gt;"",PROPER(_xlpm.CSVVal)
)),"")</f>
        <v/>
      </c>
      <c r="G376" s="45" t="str" cm="1">
        <f t="array" ref="G376">IFERROR(_xlfn.LET(
_xlpm.CSVVal,_xlfn.XLOOKUP($A376,CSV!$A:$A,CSV!G:G,""),
_xlpm.MacVal,_xlfn.XLOOKUP($A376,Output_Mac!$A:$A,Output_Mac!H:H,""),
_xlpm.MyAuditVal,_xlfn.XLOOKUP($A376,My_Audit!$A:$A,My_Audit!F:F,""),
_xlfn.IFS(_xlpm.MyAuditVal&lt;&gt;"",_xlpm.MyAuditVal,_xlpm.MacVal&lt;&gt;"",_xlpm.MacVal,_xlpm.CSVVal&lt;&gt;"",_xlpm.CSVVal
)),"")</f>
        <v/>
      </c>
      <c r="H376" s="45" t="str">
        <f>_xlfn.XLOOKUP(A376,Output_Mac!A:A,Output_Mac!I:I,"")</f>
        <v/>
      </c>
      <c r="I376" s="45" t="str" cm="1">
        <f t="array" ref="I376">IFERROR(_xlfn.LET(
_xlpm.CSVVal,_xlfn.XLOOKUP($A376,CSV!$A:$A,CSV!H:H,""),
_xlpm.MacVal,_xlfn.XLOOKUP($A376,Output_Mac!$A:$A,Output_Mac!J:J,""),
_xlpm.MyAuditVal,_xlfn.XLOOKUP($A376,My_Audit!$A:$A,My_Audit!H:H,""),
_xlfn.IFS(_xlpm.MyAuditVal&lt;&gt;"",UPPER(_xlpm.MyAuditVal),_xlpm.MacVal&lt;&gt;"",_xlpm.MacVal,_xlpm.CSVVal&lt;&gt;"",_xlpm.CSVVal
)),"")</f>
        <v/>
      </c>
      <c r="J376" s="45" t="str" cm="1">
        <f t="array" ref="J376">IFERROR(_xlfn.LET(
_xlpm.CSVVal,_xlfn.XLOOKUP($A376,CSV!$A:$A,CSV!J:J,""),
_xlpm.MacVal,_xlfn.XLOOKUP($A376,Output_Mac!$A:$A,Output_Mac!K:K,""),
_xlpm.MyAuditVal,_xlfn.XLOOKUP($A376,My_Audit!$A:$A,My_Audit!I:I,""),
_xlfn.IFS(_xlpm.MyAuditVal&lt;&gt;"",UPPER(_xlpm.MyAuditVal),_xlpm.MacVal&lt;&gt;"",_xlpm.MacVal,_xlpm.CSVVal&lt;&gt;"",_xlpm.CSVVal
)),"")</f>
        <v/>
      </c>
      <c r="K376" s="45" t="str" cm="1">
        <f t="array" ref="K376">IFERROR(_xlfn.LET(
_xlpm.CSVVal,_xlfn.XLOOKUP($A376,CSV!$A:$A,CSV!N:N,""),
_xlpm.MacVal,_xlfn.XLOOKUP($A376,Output_Mac!$A:$A,Output_Mac!L:L,""),
_xlpm.MyAuditVal,_xlfn.XLOOKUP($A376,My_Audit!$A:$A,My_Audit!J:J,""),
_xlfn.IFS(_xlpm.MyAuditVal&lt;&gt;"",UPPER(_xlpm.MyAuditVal),_xlpm.MacVal&lt;&gt;"",_xlpm.MacVal,_xlpm.CSVVal&lt;&gt;"",_xlpm.CSVVal
)),"")</f>
        <v/>
      </c>
      <c r="L376" s="46" t="str" cm="1">
        <f t="array" ref="L376">IFERROR(_xlfn.LET(
_xlpm.CSVVal,_xlfn.XLOOKUP($A376,CSV!$A:$A,CSV!Q:Q,""),
_xlpm.MacVal,_xlfn.XLOOKUP($A376,Output_Mac!$A:$A,Output_Mac!M:M,""),
_xlpm.MyAuditVal,_xlfn.XLOOKUP($A376,My_Audit!$A:$A,My_Audit!K:K,""),
_xlfn.IFS(_xlpm.MyAuditVal&lt;&gt;"",UPPER(_xlpm.MyAuditVal),_xlpm.MacVal&lt;&gt;"",_xlpm.MacVal,_xlpm.CSVVal&lt;&gt;"",_xlpm.CSVVal
)),"")</f>
        <v/>
      </c>
      <c r="M376" s="45" t="str">
        <f>_xlfn.LET(
    _xlpm.CSVVal, _xlfn.XLOOKUP($A376, CSV!$A:$A, CSV!AE:AE, ""),
    _xlpm.MacVal, _xlfn.XLOOKUP($A376, Output_Mac!$A:$A, Output_Mac!S:S, ""),
    _xlpm.MyAuditVal, _xlfn.XLOOKUP($A376, My_Audit!$A:$A, My_Audit!N:N, ""),
    _xlfn.TEXTJOIN(", ", TRUE, _xlpm.MyAuditVal, _xlpm.MacVal, _xlpm.CSVVal)
)</f>
        <v/>
      </c>
      <c r="N376" s="45" t="str" cm="1">
        <f t="array" ref="N376">IFERROR(_xlfn.LET(
_xlpm.CSVVal,_xlfn.XLOOKUP($A376,CSV!$A:$A,CSV!AG:AG,""),
_xlpm.MacVal,_xlfn.XLOOKUP($A376,Output_Mac!$A:$A,Output_Mac!U:U,""),
_xlpm.MyAuditVal,_xlfn.XLOOKUP($A376,My_Audit!$A:$A,My_Audit!O:O,""),
_xlfn.IFS(_xlpm.MyAuditVal&lt;&gt;"",UPPER(_xlpm.MyAuditVal),_xlpm.MacVal&lt;&gt;"",_xlpm.MacVal,_xlpm.CSVVal&lt;&gt;"",_xlpm.CSVVal
)),"")</f>
        <v/>
      </c>
      <c r="O376" s="46" t="str">
        <f>_xlfn.XLOOKUP(C376,My_Audit!B:B,My_Audit!P:P,"")&amp;""</f>
        <v/>
      </c>
      <c r="P376" s="45"/>
      <c r="Q376" s="46" t="str">
        <f>IF(LEFT(N376,4)="Pass","Nist SP 800-88",My_Audit!R376)&amp;""</f>
        <v/>
      </c>
      <c r="R376" s="45"/>
      <c r="S376" s="45"/>
      <c r="T376" s="46" t="str">
        <f>_xlfn.XLOOKUP(E376,Models!I:I,Models!J:J,"")</f>
        <v/>
      </c>
      <c r="U376" s="45"/>
      <c r="V376" s="45"/>
      <c r="W376" s="38"/>
    </row>
    <row r="377" spans="1:23">
      <c r="A377" s="45" t="str">
        <f>_xlfn.TEXTJOIN("",TRUE,Input!$B$2,ROW(My_Audit!A376))</f>
        <v>XX376</v>
      </c>
      <c r="B377" s="45" t="str">
        <f>_xlfn.TEXTJOIN("-",TRUE,"ITD",Input!$A$2,A377)</f>
        <v>ITD-SHRXXX-XX376</v>
      </c>
      <c r="C377" s="45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46" t="str" cm="1">
        <f t="array" ref="D377">IFERROR(_xlfn.LET(
_xlpm.CSVVal,_xlfn.XLOOKUP($A377,CSV!$A:$A,CSV!C:C,""),
_xlpm.MacVal,_xlfn.XLOOKUP($A377,Output_Mac!$A:$A,Output_Mac!D:D,""),
_xlpm.MyAuditVal,_xlfn.XLOOKUP($A377,My_Audit!$A:$A,My_Audit!C:C,""),
_xlfn.IFS(_xlpm.MyAuditVal&lt;&gt;"",UPPER(_xlpm.MyAuditVal),_xlpm.MacVal&lt;&gt;"",_xlpm.MacVal,_xlpm.CSVVal&lt;&gt;"",_xlpm.CSVVal
)),"")</f>
        <v/>
      </c>
      <c r="E377" s="46" t="str" cm="1">
        <f t="array" ref="E377">IFERROR(_xlfn.LET(
_xlpm.CSVVal,_xlfn.XLOOKUP($A377,CSV!$A:$A,CSV!E:E,""),
_xlpm.MacVal,_xlfn.XLOOKUP($A377,Output_Mac!$A:$A,Output_Mac!C:C,""),
_xlpm.MyAuditVal,_xlfn.XLOOKUP($A377,My_Audit!$A:$A,My_Audit!D:D,""),
_xlfn.IFS(_xlpm.MyAuditVal&lt;&gt;"",_xlpm.MyAuditVal,_xlpm.MacVal&lt;&gt;"",_xlpm.MacVal,_xlpm.CSVVal&lt;&gt;"",_xlpm.CSVVal
)),"")</f>
        <v/>
      </c>
      <c r="F377" s="45" t="str" cm="1">
        <f t="array" ref="F377">IFERROR(_xlfn.LET(
_xlpm.CSVVal,_xlfn.XLOOKUP($A377,CSV!$A:$A,CSV!F:F,""),
_xlpm.MacVal,_xlfn.XLOOKUP($A377,Output_Mac!$A:$A,Output_Mac!F:F,""),
_xlpm.MyAuditVal,_xlfn.XLOOKUP($A377,My_Audit!$A:$A,My_Audit!E:E,""),
_xlfn.IFS(_xlpm.MyAuditVal&lt;&gt;"",_xlpm.MyAuditVal,_xlpm.MacVal&lt;&gt;"",_xlpm.MacVal,_xlpm.CSVVal&lt;&gt;"",PROPER(_xlpm.CSVVal)
)),"")</f>
        <v/>
      </c>
      <c r="G377" s="45" t="str" cm="1">
        <f t="array" ref="G377">IFERROR(_xlfn.LET(
_xlpm.CSVVal,_xlfn.XLOOKUP($A377,CSV!$A:$A,CSV!G:G,""),
_xlpm.MacVal,_xlfn.XLOOKUP($A377,Output_Mac!$A:$A,Output_Mac!H:H,""),
_xlpm.MyAuditVal,_xlfn.XLOOKUP($A377,My_Audit!$A:$A,My_Audit!F:F,""),
_xlfn.IFS(_xlpm.MyAuditVal&lt;&gt;"",_xlpm.MyAuditVal,_xlpm.MacVal&lt;&gt;"",_xlpm.MacVal,_xlpm.CSVVal&lt;&gt;"",_xlpm.CSVVal
)),"")</f>
        <v/>
      </c>
      <c r="H377" s="45" t="str">
        <f>_xlfn.XLOOKUP(A377,Output_Mac!A:A,Output_Mac!I:I,"")</f>
        <v/>
      </c>
      <c r="I377" s="45" t="str" cm="1">
        <f t="array" ref="I377">IFERROR(_xlfn.LET(
_xlpm.CSVVal,_xlfn.XLOOKUP($A377,CSV!$A:$A,CSV!H:H,""),
_xlpm.MacVal,_xlfn.XLOOKUP($A377,Output_Mac!$A:$A,Output_Mac!J:J,""),
_xlpm.MyAuditVal,_xlfn.XLOOKUP($A377,My_Audit!$A:$A,My_Audit!H:H,""),
_xlfn.IFS(_xlpm.MyAuditVal&lt;&gt;"",UPPER(_xlpm.MyAuditVal),_xlpm.MacVal&lt;&gt;"",_xlpm.MacVal,_xlpm.CSVVal&lt;&gt;"",_xlpm.CSVVal
)),"")</f>
        <v/>
      </c>
      <c r="J377" s="45" t="str" cm="1">
        <f t="array" ref="J377">IFERROR(_xlfn.LET(
_xlpm.CSVVal,_xlfn.XLOOKUP($A377,CSV!$A:$A,CSV!J:J,""),
_xlpm.MacVal,_xlfn.XLOOKUP($A377,Output_Mac!$A:$A,Output_Mac!K:K,""),
_xlpm.MyAuditVal,_xlfn.XLOOKUP($A377,My_Audit!$A:$A,My_Audit!I:I,""),
_xlfn.IFS(_xlpm.MyAuditVal&lt;&gt;"",UPPER(_xlpm.MyAuditVal),_xlpm.MacVal&lt;&gt;"",_xlpm.MacVal,_xlpm.CSVVal&lt;&gt;"",_xlpm.CSVVal
)),"")</f>
        <v/>
      </c>
      <c r="K377" s="45" t="str" cm="1">
        <f t="array" ref="K377">IFERROR(_xlfn.LET(
_xlpm.CSVVal,_xlfn.XLOOKUP($A377,CSV!$A:$A,CSV!N:N,""),
_xlpm.MacVal,_xlfn.XLOOKUP($A377,Output_Mac!$A:$A,Output_Mac!L:L,""),
_xlpm.MyAuditVal,_xlfn.XLOOKUP($A377,My_Audit!$A:$A,My_Audit!J:J,""),
_xlfn.IFS(_xlpm.MyAuditVal&lt;&gt;"",UPPER(_xlpm.MyAuditVal),_xlpm.MacVal&lt;&gt;"",_xlpm.MacVal,_xlpm.CSVVal&lt;&gt;"",_xlpm.CSVVal
)),"")</f>
        <v/>
      </c>
      <c r="L377" s="46" t="str" cm="1">
        <f t="array" ref="L377">IFERROR(_xlfn.LET(
_xlpm.CSVVal,_xlfn.XLOOKUP($A377,CSV!$A:$A,CSV!Q:Q,""),
_xlpm.MacVal,_xlfn.XLOOKUP($A377,Output_Mac!$A:$A,Output_Mac!M:M,""),
_xlpm.MyAuditVal,_xlfn.XLOOKUP($A377,My_Audit!$A:$A,My_Audit!K:K,""),
_xlfn.IFS(_xlpm.MyAuditVal&lt;&gt;"",UPPER(_xlpm.MyAuditVal),_xlpm.MacVal&lt;&gt;"",_xlpm.MacVal,_xlpm.CSVVal&lt;&gt;"",_xlpm.CSVVal
)),"")</f>
        <v/>
      </c>
      <c r="M377" s="45" t="str">
        <f>_xlfn.LET(
    _xlpm.CSVVal, _xlfn.XLOOKUP($A377, CSV!$A:$A, CSV!AE:AE, ""),
    _xlpm.MacVal, _xlfn.XLOOKUP($A377, Output_Mac!$A:$A, Output_Mac!S:S, ""),
    _xlpm.MyAuditVal, _xlfn.XLOOKUP($A377, My_Audit!$A:$A, My_Audit!N:N, ""),
    _xlfn.TEXTJOIN(", ", TRUE, _xlpm.MyAuditVal, _xlpm.MacVal, _xlpm.CSVVal)
)</f>
        <v/>
      </c>
      <c r="N377" s="45" t="str" cm="1">
        <f t="array" ref="N377">IFERROR(_xlfn.LET(
_xlpm.CSVVal,_xlfn.XLOOKUP($A377,CSV!$A:$A,CSV!AG:AG,""),
_xlpm.MacVal,_xlfn.XLOOKUP($A377,Output_Mac!$A:$A,Output_Mac!U:U,""),
_xlpm.MyAuditVal,_xlfn.XLOOKUP($A377,My_Audit!$A:$A,My_Audit!O:O,""),
_xlfn.IFS(_xlpm.MyAuditVal&lt;&gt;"",UPPER(_xlpm.MyAuditVal),_xlpm.MacVal&lt;&gt;"",_xlpm.MacVal,_xlpm.CSVVal&lt;&gt;"",_xlpm.CSVVal
)),"")</f>
        <v/>
      </c>
      <c r="O377" s="46" t="str">
        <f>_xlfn.XLOOKUP(C377,My_Audit!B:B,My_Audit!P:P,"")&amp;""</f>
        <v/>
      </c>
      <c r="P377" s="45"/>
      <c r="Q377" s="46" t="str">
        <f>IF(LEFT(N377,4)="Pass","Nist SP 800-88",My_Audit!R377)&amp;""</f>
        <v/>
      </c>
      <c r="R377" s="45"/>
      <c r="S377" s="45"/>
      <c r="T377" s="46" t="str">
        <f>_xlfn.XLOOKUP(E377,Models!I:I,Models!J:J,"")</f>
        <v/>
      </c>
      <c r="U377" s="45"/>
      <c r="V377" s="45"/>
      <c r="W377" s="38"/>
    </row>
    <row r="378" spans="1:23">
      <c r="A378" s="45" t="str">
        <f>_xlfn.TEXTJOIN("",TRUE,Input!$B$2,ROW(My_Audit!A377))</f>
        <v>XX377</v>
      </c>
      <c r="B378" s="45" t="str">
        <f>_xlfn.TEXTJOIN("-",TRUE,"ITD",Input!$A$2,A378)</f>
        <v>ITD-SHRXXX-XX377</v>
      </c>
      <c r="C378" s="45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46" t="str" cm="1">
        <f t="array" ref="D378">IFERROR(_xlfn.LET(
_xlpm.CSVVal,_xlfn.XLOOKUP($A378,CSV!$A:$A,CSV!C:C,""),
_xlpm.MacVal,_xlfn.XLOOKUP($A378,Output_Mac!$A:$A,Output_Mac!D:D,""),
_xlpm.MyAuditVal,_xlfn.XLOOKUP($A378,My_Audit!$A:$A,My_Audit!C:C,""),
_xlfn.IFS(_xlpm.MyAuditVal&lt;&gt;"",UPPER(_xlpm.MyAuditVal),_xlpm.MacVal&lt;&gt;"",_xlpm.MacVal,_xlpm.CSVVal&lt;&gt;"",_xlpm.CSVVal
)),"")</f>
        <v/>
      </c>
      <c r="E378" s="46" t="str" cm="1">
        <f t="array" ref="E378">IFERROR(_xlfn.LET(
_xlpm.CSVVal,_xlfn.XLOOKUP($A378,CSV!$A:$A,CSV!E:E,""),
_xlpm.MacVal,_xlfn.XLOOKUP($A378,Output_Mac!$A:$A,Output_Mac!C:C,""),
_xlpm.MyAuditVal,_xlfn.XLOOKUP($A378,My_Audit!$A:$A,My_Audit!D:D,""),
_xlfn.IFS(_xlpm.MyAuditVal&lt;&gt;"",_xlpm.MyAuditVal,_xlpm.MacVal&lt;&gt;"",_xlpm.MacVal,_xlpm.CSVVal&lt;&gt;"",_xlpm.CSVVal
)),"")</f>
        <v/>
      </c>
      <c r="F378" s="45" t="str" cm="1">
        <f t="array" ref="F378">IFERROR(_xlfn.LET(
_xlpm.CSVVal,_xlfn.XLOOKUP($A378,CSV!$A:$A,CSV!F:F,""),
_xlpm.MacVal,_xlfn.XLOOKUP($A378,Output_Mac!$A:$A,Output_Mac!F:F,""),
_xlpm.MyAuditVal,_xlfn.XLOOKUP($A378,My_Audit!$A:$A,My_Audit!E:E,""),
_xlfn.IFS(_xlpm.MyAuditVal&lt;&gt;"",_xlpm.MyAuditVal,_xlpm.MacVal&lt;&gt;"",_xlpm.MacVal,_xlpm.CSVVal&lt;&gt;"",PROPER(_xlpm.CSVVal)
)),"")</f>
        <v/>
      </c>
      <c r="G378" s="45" t="str" cm="1">
        <f t="array" ref="G378">IFERROR(_xlfn.LET(
_xlpm.CSVVal,_xlfn.XLOOKUP($A378,CSV!$A:$A,CSV!G:G,""),
_xlpm.MacVal,_xlfn.XLOOKUP($A378,Output_Mac!$A:$A,Output_Mac!H:H,""),
_xlpm.MyAuditVal,_xlfn.XLOOKUP($A378,My_Audit!$A:$A,My_Audit!F:F,""),
_xlfn.IFS(_xlpm.MyAuditVal&lt;&gt;"",_xlpm.MyAuditVal,_xlpm.MacVal&lt;&gt;"",_xlpm.MacVal,_xlpm.CSVVal&lt;&gt;"",_xlpm.CSVVal
)),"")</f>
        <v/>
      </c>
      <c r="H378" s="45" t="str">
        <f>_xlfn.XLOOKUP(A378,Output_Mac!A:A,Output_Mac!I:I,"")</f>
        <v/>
      </c>
      <c r="I378" s="45" t="str" cm="1">
        <f t="array" ref="I378">IFERROR(_xlfn.LET(
_xlpm.CSVVal,_xlfn.XLOOKUP($A378,CSV!$A:$A,CSV!H:H,""),
_xlpm.MacVal,_xlfn.XLOOKUP($A378,Output_Mac!$A:$A,Output_Mac!J:J,""),
_xlpm.MyAuditVal,_xlfn.XLOOKUP($A378,My_Audit!$A:$A,My_Audit!H:H,""),
_xlfn.IFS(_xlpm.MyAuditVal&lt;&gt;"",UPPER(_xlpm.MyAuditVal),_xlpm.MacVal&lt;&gt;"",_xlpm.MacVal,_xlpm.CSVVal&lt;&gt;"",_xlpm.CSVVal
)),"")</f>
        <v/>
      </c>
      <c r="J378" s="45" t="str" cm="1">
        <f t="array" ref="J378">IFERROR(_xlfn.LET(
_xlpm.CSVVal,_xlfn.XLOOKUP($A378,CSV!$A:$A,CSV!J:J,""),
_xlpm.MacVal,_xlfn.XLOOKUP($A378,Output_Mac!$A:$A,Output_Mac!K:K,""),
_xlpm.MyAuditVal,_xlfn.XLOOKUP($A378,My_Audit!$A:$A,My_Audit!I:I,""),
_xlfn.IFS(_xlpm.MyAuditVal&lt;&gt;"",UPPER(_xlpm.MyAuditVal),_xlpm.MacVal&lt;&gt;"",_xlpm.MacVal,_xlpm.CSVVal&lt;&gt;"",_xlpm.CSVVal
)),"")</f>
        <v/>
      </c>
      <c r="K378" s="45" t="str" cm="1">
        <f t="array" ref="K378">IFERROR(_xlfn.LET(
_xlpm.CSVVal,_xlfn.XLOOKUP($A378,CSV!$A:$A,CSV!N:N,""),
_xlpm.MacVal,_xlfn.XLOOKUP($A378,Output_Mac!$A:$A,Output_Mac!L:L,""),
_xlpm.MyAuditVal,_xlfn.XLOOKUP($A378,My_Audit!$A:$A,My_Audit!J:J,""),
_xlfn.IFS(_xlpm.MyAuditVal&lt;&gt;"",UPPER(_xlpm.MyAuditVal),_xlpm.MacVal&lt;&gt;"",_xlpm.MacVal,_xlpm.CSVVal&lt;&gt;"",_xlpm.CSVVal
)),"")</f>
        <v/>
      </c>
      <c r="L378" s="46" t="str" cm="1">
        <f t="array" ref="L378">IFERROR(_xlfn.LET(
_xlpm.CSVVal,_xlfn.XLOOKUP($A378,CSV!$A:$A,CSV!Q:Q,""),
_xlpm.MacVal,_xlfn.XLOOKUP($A378,Output_Mac!$A:$A,Output_Mac!M:M,""),
_xlpm.MyAuditVal,_xlfn.XLOOKUP($A378,My_Audit!$A:$A,My_Audit!K:K,""),
_xlfn.IFS(_xlpm.MyAuditVal&lt;&gt;"",UPPER(_xlpm.MyAuditVal),_xlpm.MacVal&lt;&gt;"",_xlpm.MacVal,_xlpm.CSVVal&lt;&gt;"",_xlpm.CSVVal
)),"")</f>
        <v/>
      </c>
      <c r="M378" s="45" t="str">
        <f>_xlfn.LET(
    _xlpm.CSVVal, _xlfn.XLOOKUP($A378, CSV!$A:$A, CSV!AE:AE, ""),
    _xlpm.MacVal, _xlfn.XLOOKUP($A378, Output_Mac!$A:$A, Output_Mac!S:S, ""),
    _xlpm.MyAuditVal, _xlfn.XLOOKUP($A378, My_Audit!$A:$A, My_Audit!N:N, ""),
    _xlfn.TEXTJOIN(", ", TRUE, _xlpm.MyAuditVal, _xlpm.MacVal, _xlpm.CSVVal)
)</f>
        <v/>
      </c>
      <c r="N378" s="45" t="str" cm="1">
        <f t="array" ref="N378">IFERROR(_xlfn.LET(
_xlpm.CSVVal,_xlfn.XLOOKUP($A378,CSV!$A:$A,CSV!AG:AG,""),
_xlpm.MacVal,_xlfn.XLOOKUP($A378,Output_Mac!$A:$A,Output_Mac!U:U,""),
_xlpm.MyAuditVal,_xlfn.XLOOKUP($A378,My_Audit!$A:$A,My_Audit!O:O,""),
_xlfn.IFS(_xlpm.MyAuditVal&lt;&gt;"",UPPER(_xlpm.MyAuditVal),_xlpm.MacVal&lt;&gt;"",_xlpm.MacVal,_xlpm.CSVVal&lt;&gt;"",_xlpm.CSVVal
)),"")</f>
        <v/>
      </c>
      <c r="O378" s="46" t="str">
        <f>_xlfn.XLOOKUP(C378,My_Audit!B:B,My_Audit!P:P,"")&amp;""</f>
        <v/>
      </c>
      <c r="P378" s="45"/>
      <c r="Q378" s="46" t="str">
        <f>IF(LEFT(N378,4)="Pass","Nist SP 800-88",My_Audit!R378)&amp;""</f>
        <v/>
      </c>
      <c r="R378" s="45"/>
      <c r="S378" s="45"/>
      <c r="T378" s="46" t="str">
        <f>_xlfn.XLOOKUP(E378,Models!I:I,Models!J:J,"")</f>
        <v/>
      </c>
      <c r="U378" s="45"/>
      <c r="V378" s="45"/>
      <c r="W378" s="38"/>
    </row>
    <row r="379" spans="1:23">
      <c r="A379" s="45" t="str">
        <f>_xlfn.TEXTJOIN("",TRUE,Input!$B$2,ROW(My_Audit!A378))</f>
        <v>XX378</v>
      </c>
      <c r="B379" s="45" t="str">
        <f>_xlfn.TEXTJOIN("-",TRUE,"ITD",Input!$A$2,A379)</f>
        <v>ITD-SHRXXX-XX378</v>
      </c>
      <c r="C379" s="45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46" t="str" cm="1">
        <f t="array" ref="D379">IFERROR(_xlfn.LET(
_xlpm.CSVVal,_xlfn.XLOOKUP($A379,CSV!$A:$A,CSV!C:C,""),
_xlpm.MacVal,_xlfn.XLOOKUP($A379,Output_Mac!$A:$A,Output_Mac!D:D,""),
_xlpm.MyAuditVal,_xlfn.XLOOKUP($A379,My_Audit!$A:$A,My_Audit!C:C,""),
_xlfn.IFS(_xlpm.MyAuditVal&lt;&gt;"",UPPER(_xlpm.MyAuditVal),_xlpm.MacVal&lt;&gt;"",_xlpm.MacVal,_xlpm.CSVVal&lt;&gt;"",_xlpm.CSVVal
)),"")</f>
        <v/>
      </c>
      <c r="E379" s="46" t="str" cm="1">
        <f t="array" ref="E379">IFERROR(_xlfn.LET(
_xlpm.CSVVal,_xlfn.XLOOKUP($A379,CSV!$A:$A,CSV!E:E,""),
_xlpm.MacVal,_xlfn.XLOOKUP($A379,Output_Mac!$A:$A,Output_Mac!C:C,""),
_xlpm.MyAuditVal,_xlfn.XLOOKUP($A379,My_Audit!$A:$A,My_Audit!D:D,""),
_xlfn.IFS(_xlpm.MyAuditVal&lt;&gt;"",_xlpm.MyAuditVal,_xlpm.MacVal&lt;&gt;"",_xlpm.MacVal,_xlpm.CSVVal&lt;&gt;"",_xlpm.CSVVal
)),"")</f>
        <v/>
      </c>
      <c r="F379" s="45" t="str" cm="1">
        <f t="array" ref="F379">IFERROR(_xlfn.LET(
_xlpm.CSVVal,_xlfn.XLOOKUP($A379,CSV!$A:$A,CSV!F:F,""),
_xlpm.MacVal,_xlfn.XLOOKUP($A379,Output_Mac!$A:$A,Output_Mac!F:F,""),
_xlpm.MyAuditVal,_xlfn.XLOOKUP($A379,My_Audit!$A:$A,My_Audit!E:E,""),
_xlfn.IFS(_xlpm.MyAuditVal&lt;&gt;"",_xlpm.MyAuditVal,_xlpm.MacVal&lt;&gt;"",_xlpm.MacVal,_xlpm.CSVVal&lt;&gt;"",PROPER(_xlpm.CSVVal)
)),"")</f>
        <v/>
      </c>
      <c r="G379" s="45" t="str" cm="1">
        <f t="array" ref="G379">IFERROR(_xlfn.LET(
_xlpm.CSVVal,_xlfn.XLOOKUP($A379,CSV!$A:$A,CSV!G:G,""),
_xlpm.MacVal,_xlfn.XLOOKUP($A379,Output_Mac!$A:$A,Output_Mac!H:H,""),
_xlpm.MyAuditVal,_xlfn.XLOOKUP($A379,My_Audit!$A:$A,My_Audit!F:F,""),
_xlfn.IFS(_xlpm.MyAuditVal&lt;&gt;"",_xlpm.MyAuditVal,_xlpm.MacVal&lt;&gt;"",_xlpm.MacVal,_xlpm.CSVVal&lt;&gt;"",_xlpm.CSVVal
)),"")</f>
        <v/>
      </c>
      <c r="H379" s="45" t="str">
        <f>_xlfn.XLOOKUP(A379,Output_Mac!A:A,Output_Mac!I:I,"")</f>
        <v/>
      </c>
      <c r="I379" s="45" t="str" cm="1">
        <f t="array" ref="I379">IFERROR(_xlfn.LET(
_xlpm.CSVVal,_xlfn.XLOOKUP($A379,CSV!$A:$A,CSV!H:H,""),
_xlpm.MacVal,_xlfn.XLOOKUP($A379,Output_Mac!$A:$A,Output_Mac!J:J,""),
_xlpm.MyAuditVal,_xlfn.XLOOKUP($A379,My_Audit!$A:$A,My_Audit!H:H,""),
_xlfn.IFS(_xlpm.MyAuditVal&lt;&gt;"",UPPER(_xlpm.MyAuditVal),_xlpm.MacVal&lt;&gt;"",_xlpm.MacVal,_xlpm.CSVVal&lt;&gt;"",_xlpm.CSVVal
)),"")</f>
        <v/>
      </c>
      <c r="J379" s="45" t="str" cm="1">
        <f t="array" ref="J379">IFERROR(_xlfn.LET(
_xlpm.CSVVal,_xlfn.XLOOKUP($A379,CSV!$A:$A,CSV!J:J,""),
_xlpm.MacVal,_xlfn.XLOOKUP($A379,Output_Mac!$A:$A,Output_Mac!K:K,""),
_xlpm.MyAuditVal,_xlfn.XLOOKUP($A379,My_Audit!$A:$A,My_Audit!I:I,""),
_xlfn.IFS(_xlpm.MyAuditVal&lt;&gt;"",UPPER(_xlpm.MyAuditVal),_xlpm.MacVal&lt;&gt;"",_xlpm.MacVal,_xlpm.CSVVal&lt;&gt;"",_xlpm.CSVVal
)),"")</f>
        <v/>
      </c>
      <c r="K379" s="45" t="str" cm="1">
        <f t="array" ref="K379">IFERROR(_xlfn.LET(
_xlpm.CSVVal,_xlfn.XLOOKUP($A379,CSV!$A:$A,CSV!N:N,""),
_xlpm.MacVal,_xlfn.XLOOKUP($A379,Output_Mac!$A:$A,Output_Mac!L:L,""),
_xlpm.MyAuditVal,_xlfn.XLOOKUP($A379,My_Audit!$A:$A,My_Audit!J:J,""),
_xlfn.IFS(_xlpm.MyAuditVal&lt;&gt;"",UPPER(_xlpm.MyAuditVal),_xlpm.MacVal&lt;&gt;"",_xlpm.MacVal,_xlpm.CSVVal&lt;&gt;"",_xlpm.CSVVal
)),"")</f>
        <v/>
      </c>
      <c r="L379" s="46" t="str" cm="1">
        <f t="array" ref="L379">IFERROR(_xlfn.LET(
_xlpm.CSVVal,_xlfn.XLOOKUP($A379,CSV!$A:$A,CSV!Q:Q,""),
_xlpm.MacVal,_xlfn.XLOOKUP($A379,Output_Mac!$A:$A,Output_Mac!M:M,""),
_xlpm.MyAuditVal,_xlfn.XLOOKUP($A379,My_Audit!$A:$A,My_Audit!K:K,""),
_xlfn.IFS(_xlpm.MyAuditVal&lt;&gt;"",UPPER(_xlpm.MyAuditVal),_xlpm.MacVal&lt;&gt;"",_xlpm.MacVal,_xlpm.CSVVal&lt;&gt;"",_xlpm.CSVVal
)),"")</f>
        <v/>
      </c>
      <c r="M379" s="45" t="str">
        <f>_xlfn.LET(
    _xlpm.CSVVal, _xlfn.XLOOKUP($A379, CSV!$A:$A, CSV!AE:AE, ""),
    _xlpm.MacVal, _xlfn.XLOOKUP($A379, Output_Mac!$A:$A, Output_Mac!S:S, ""),
    _xlpm.MyAuditVal, _xlfn.XLOOKUP($A379, My_Audit!$A:$A, My_Audit!N:N, ""),
    _xlfn.TEXTJOIN(", ", TRUE, _xlpm.MyAuditVal, _xlpm.MacVal, _xlpm.CSVVal)
)</f>
        <v/>
      </c>
      <c r="N379" s="45" t="str" cm="1">
        <f t="array" ref="N379">IFERROR(_xlfn.LET(
_xlpm.CSVVal,_xlfn.XLOOKUP($A379,CSV!$A:$A,CSV!AG:AG,""),
_xlpm.MacVal,_xlfn.XLOOKUP($A379,Output_Mac!$A:$A,Output_Mac!U:U,""),
_xlpm.MyAuditVal,_xlfn.XLOOKUP($A379,My_Audit!$A:$A,My_Audit!O:O,""),
_xlfn.IFS(_xlpm.MyAuditVal&lt;&gt;"",UPPER(_xlpm.MyAuditVal),_xlpm.MacVal&lt;&gt;"",_xlpm.MacVal,_xlpm.CSVVal&lt;&gt;"",_xlpm.CSVVal
)),"")</f>
        <v/>
      </c>
      <c r="O379" s="46" t="str">
        <f>_xlfn.XLOOKUP(C379,My_Audit!B:B,My_Audit!P:P,"")&amp;""</f>
        <v/>
      </c>
      <c r="P379" s="45"/>
      <c r="Q379" s="46" t="str">
        <f>IF(LEFT(N379,4)="Pass","Nist SP 800-88",My_Audit!R379)&amp;""</f>
        <v/>
      </c>
      <c r="R379" s="45"/>
      <c r="S379" s="45"/>
      <c r="T379" s="46" t="str">
        <f>_xlfn.XLOOKUP(E379,Models!I:I,Models!J:J,"")</f>
        <v/>
      </c>
      <c r="U379" s="45"/>
      <c r="V379" s="45"/>
      <c r="W379" s="38"/>
    </row>
    <row r="380" spans="1:23">
      <c r="A380" s="45" t="str">
        <f>_xlfn.TEXTJOIN("",TRUE,Input!$B$2,ROW(My_Audit!A379))</f>
        <v>XX379</v>
      </c>
      <c r="B380" s="45" t="str">
        <f>_xlfn.TEXTJOIN("-",TRUE,"ITD",Input!$A$2,A380)</f>
        <v>ITD-SHRXXX-XX379</v>
      </c>
      <c r="C380" s="45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46" t="str" cm="1">
        <f t="array" ref="D380">IFERROR(_xlfn.LET(
_xlpm.CSVVal,_xlfn.XLOOKUP($A380,CSV!$A:$A,CSV!C:C,""),
_xlpm.MacVal,_xlfn.XLOOKUP($A380,Output_Mac!$A:$A,Output_Mac!D:D,""),
_xlpm.MyAuditVal,_xlfn.XLOOKUP($A380,My_Audit!$A:$A,My_Audit!C:C,""),
_xlfn.IFS(_xlpm.MyAuditVal&lt;&gt;"",UPPER(_xlpm.MyAuditVal),_xlpm.MacVal&lt;&gt;"",_xlpm.MacVal,_xlpm.CSVVal&lt;&gt;"",_xlpm.CSVVal
)),"")</f>
        <v/>
      </c>
      <c r="E380" s="46" t="str" cm="1">
        <f t="array" ref="E380">IFERROR(_xlfn.LET(
_xlpm.CSVVal,_xlfn.XLOOKUP($A380,CSV!$A:$A,CSV!E:E,""),
_xlpm.MacVal,_xlfn.XLOOKUP($A380,Output_Mac!$A:$A,Output_Mac!C:C,""),
_xlpm.MyAuditVal,_xlfn.XLOOKUP($A380,My_Audit!$A:$A,My_Audit!D:D,""),
_xlfn.IFS(_xlpm.MyAuditVal&lt;&gt;"",_xlpm.MyAuditVal,_xlpm.MacVal&lt;&gt;"",_xlpm.MacVal,_xlpm.CSVVal&lt;&gt;"",_xlpm.CSVVal
)),"")</f>
        <v/>
      </c>
      <c r="F380" s="45" t="str" cm="1">
        <f t="array" ref="F380">IFERROR(_xlfn.LET(
_xlpm.CSVVal,_xlfn.XLOOKUP($A380,CSV!$A:$A,CSV!F:F,""),
_xlpm.MacVal,_xlfn.XLOOKUP($A380,Output_Mac!$A:$A,Output_Mac!F:F,""),
_xlpm.MyAuditVal,_xlfn.XLOOKUP($A380,My_Audit!$A:$A,My_Audit!E:E,""),
_xlfn.IFS(_xlpm.MyAuditVal&lt;&gt;"",_xlpm.MyAuditVal,_xlpm.MacVal&lt;&gt;"",_xlpm.MacVal,_xlpm.CSVVal&lt;&gt;"",PROPER(_xlpm.CSVVal)
)),"")</f>
        <v/>
      </c>
      <c r="G380" s="45" t="str" cm="1">
        <f t="array" ref="G380">IFERROR(_xlfn.LET(
_xlpm.CSVVal,_xlfn.XLOOKUP($A380,CSV!$A:$A,CSV!G:G,""),
_xlpm.MacVal,_xlfn.XLOOKUP($A380,Output_Mac!$A:$A,Output_Mac!H:H,""),
_xlpm.MyAuditVal,_xlfn.XLOOKUP($A380,My_Audit!$A:$A,My_Audit!F:F,""),
_xlfn.IFS(_xlpm.MyAuditVal&lt;&gt;"",_xlpm.MyAuditVal,_xlpm.MacVal&lt;&gt;"",_xlpm.MacVal,_xlpm.CSVVal&lt;&gt;"",_xlpm.CSVVal
)),"")</f>
        <v/>
      </c>
      <c r="H380" s="45" t="str">
        <f>_xlfn.XLOOKUP(A380,Output_Mac!A:A,Output_Mac!I:I,"")</f>
        <v/>
      </c>
      <c r="I380" s="45" t="str" cm="1">
        <f t="array" ref="I380">IFERROR(_xlfn.LET(
_xlpm.CSVVal,_xlfn.XLOOKUP($A380,CSV!$A:$A,CSV!H:H,""),
_xlpm.MacVal,_xlfn.XLOOKUP($A380,Output_Mac!$A:$A,Output_Mac!J:J,""),
_xlpm.MyAuditVal,_xlfn.XLOOKUP($A380,My_Audit!$A:$A,My_Audit!H:H,""),
_xlfn.IFS(_xlpm.MyAuditVal&lt;&gt;"",UPPER(_xlpm.MyAuditVal),_xlpm.MacVal&lt;&gt;"",_xlpm.MacVal,_xlpm.CSVVal&lt;&gt;"",_xlpm.CSVVal
)),"")</f>
        <v/>
      </c>
      <c r="J380" s="45" t="str" cm="1">
        <f t="array" ref="J380">IFERROR(_xlfn.LET(
_xlpm.CSVVal,_xlfn.XLOOKUP($A380,CSV!$A:$A,CSV!J:J,""),
_xlpm.MacVal,_xlfn.XLOOKUP($A380,Output_Mac!$A:$A,Output_Mac!K:K,""),
_xlpm.MyAuditVal,_xlfn.XLOOKUP($A380,My_Audit!$A:$A,My_Audit!I:I,""),
_xlfn.IFS(_xlpm.MyAuditVal&lt;&gt;"",UPPER(_xlpm.MyAuditVal),_xlpm.MacVal&lt;&gt;"",_xlpm.MacVal,_xlpm.CSVVal&lt;&gt;"",_xlpm.CSVVal
)),"")</f>
        <v/>
      </c>
      <c r="K380" s="45" t="str" cm="1">
        <f t="array" ref="K380">IFERROR(_xlfn.LET(
_xlpm.CSVVal,_xlfn.XLOOKUP($A380,CSV!$A:$A,CSV!N:N,""),
_xlpm.MacVal,_xlfn.XLOOKUP($A380,Output_Mac!$A:$A,Output_Mac!L:L,""),
_xlpm.MyAuditVal,_xlfn.XLOOKUP($A380,My_Audit!$A:$A,My_Audit!J:J,""),
_xlfn.IFS(_xlpm.MyAuditVal&lt;&gt;"",UPPER(_xlpm.MyAuditVal),_xlpm.MacVal&lt;&gt;"",_xlpm.MacVal,_xlpm.CSVVal&lt;&gt;"",_xlpm.CSVVal
)),"")</f>
        <v/>
      </c>
      <c r="L380" s="46" t="str" cm="1">
        <f t="array" ref="L380">IFERROR(_xlfn.LET(
_xlpm.CSVVal,_xlfn.XLOOKUP($A380,CSV!$A:$A,CSV!Q:Q,""),
_xlpm.MacVal,_xlfn.XLOOKUP($A380,Output_Mac!$A:$A,Output_Mac!M:M,""),
_xlpm.MyAuditVal,_xlfn.XLOOKUP($A380,My_Audit!$A:$A,My_Audit!K:K,""),
_xlfn.IFS(_xlpm.MyAuditVal&lt;&gt;"",UPPER(_xlpm.MyAuditVal),_xlpm.MacVal&lt;&gt;"",_xlpm.MacVal,_xlpm.CSVVal&lt;&gt;"",_xlpm.CSVVal
)),"")</f>
        <v/>
      </c>
      <c r="M380" s="45" t="str">
        <f>_xlfn.LET(
    _xlpm.CSVVal, _xlfn.XLOOKUP($A380, CSV!$A:$A, CSV!AE:AE, ""),
    _xlpm.MacVal, _xlfn.XLOOKUP($A380, Output_Mac!$A:$A, Output_Mac!S:S, ""),
    _xlpm.MyAuditVal, _xlfn.XLOOKUP($A380, My_Audit!$A:$A, My_Audit!N:N, ""),
    _xlfn.TEXTJOIN(", ", TRUE, _xlpm.MyAuditVal, _xlpm.MacVal, _xlpm.CSVVal)
)</f>
        <v/>
      </c>
      <c r="N380" s="45" t="str" cm="1">
        <f t="array" ref="N380">IFERROR(_xlfn.LET(
_xlpm.CSVVal,_xlfn.XLOOKUP($A380,CSV!$A:$A,CSV!AG:AG,""),
_xlpm.MacVal,_xlfn.XLOOKUP($A380,Output_Mac!$A:$A,Output_Mac!U:U,""),
_xlpm.MyAuditVal,_xlfn.XLOOKUP($A380,My_Audit!$A:$A,My_Audit!O:O,""),
_xlfn.IFS(_xlpm.MyAuditVal&lt;&gt;"",UPPER(_xlpm.MyAuditVal),_xlpm.MacVal&lt;&gt;"",_xlpm.MacVal,_xlpm.CSVVal&lt;&gt;"",_xlpm.CSVVal
)),"")</f>
        <v/>
      </c>
      <c r="O380" s="46" t="str">
        <f>_xlfn.XLOOKUP(C380,My_Audit!B:B,My_Audit!P:P,"")&amp;""</f>
        <v/>
      </c>
      <c r="P380" s="45"/>
      <c r="Q380" s="46" t="str">
        <f>IF(LEFT(N380,4)="Pass","Nist SP 800-88",My_Audit!R380)&amp;""</f>
        <v/>
      </c>
      <c r="R380" s="45"/>
      <c r="S380" s="45"/>
      <c r="T380" s="46" t="str">
        <f>_xlfn.XLOOKUP(E380,Models!I:I,Models!J:J,"")</f>
        <v/>
      </c>
      <c r="U380" s="45"/>
      <c r="V380" s="45"/>
      <c r="W380" s="38"/>
    </row>
    <row r="381" spans="1:23">
      <c r="A381" s="45" t="str">
        <f>_xlfn.TEXTJOIN("",TRUE,Input!$B$2,ROW(My_Audit!A380))</f>
        <v>XX380</v>
      </c>
      <c r="B381" s="45" t="str">
        <f>_xlfn.TEXTJOIN("-",TRUE,"ITD",Input!$A$2,A381)</f>
        <v>ITD-SHRXXX-XX380</v>
      </c>
      <c r="C381" s="45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46" t="str" cm="1">
        <f t="array" ref="D381">IFERROR(_xlfn.LET(
_xlpm.CSVVal,_xlfn.XLOOKUP($A381,CSV!$A:$A,CSV!C:C,""),
_xlpm.MacVal,_xlfn.XLOOKUP($A381,Output_Mac!$A:$A,Output_Mac!D:D,""),
_xlpm.MyAuditVal,_xlfn.XLOOKUP($A381,My_Audit!$A:$A,My_Audit!C:C,""),
_xlfn.IFS(_xlpm.MyAuditVal&lt;&gt;"",UPPER(_xlpm.MyAuditVal),_xlpm.MacVal&lt;&gt;"",_xlpm.MacVal,_xlpm.CSVVal&lt;&gt;"",_xlpm.CSVVal
)),"")</f>
        <v/>
      </c>
      <c r="E381" s="46" t="str" cm="1">
        <f t="array" ref="E381">IFERROR(_xlfn.LET(
_xlpm.CSVVal,_xlfn.XLOOKUP($A381,CSV!$A:$A,CSV!E:E,""),
_xlpm.MacVal,_xlfn.XLOOKUP($A381,Output_Mac!$A:$A,Output_Mac!C:C,""),
_xlpm.MyAuditVal,_xlfn.XLOOKUP($A381,My_Audit!$A:$A,My_Audit!D:D,""),
_xlfn.IFS(_xlpm.MyAuditVal&lt;&gt;"",_xlpm.MyAuditVal,_xlpm.MacVal&lt;&gt;"",_xlpm.MacVal,_xlpm.CSVVal&lt;&gt;"",_xlpm.CSVVal
)),"")</f>
        <v/>
      </c>
      <c r="F381" s="45" t="str" cm="1">
        <f t="array" ref="F381">IFERROR(_xlfn.LET(
_xlpm.CSVVal,_xlfn.XLOOKUP($A381,CSV!$A:$A,CSV!F:F,""),
_xlpm.MacVal,_xlfn.XLOOKUP($A381,Output_Mac!$A:$A,Output_Mac!F:F,""),
_xlpm.MyAuditVal,_xlfn.XLOOKUP($A381,My_Audit!$A:$A,My_Audit!E:E,""),
_xlfn.IFS(_xlpm.MyAuditVal&lt;&gt;"",_xlpm.MyAuditVal,_xlpm.MacVal&lt;&gt;"",_xlpm.MacVal,_xlpm.CSVVal&lt;&gt;"",PROPER(_xlpm.CSVVal)
)),"")</f>
        <v/>
      </c>
      <c r="G381" s="45" t="str" cm="1">
        <f t="array" ref="G381">IFERROR(_xlfn.LET(
_xlpm.CSVVal,_xlfn.XLOOKUP($A381,CSV!$A:$A,CSV!G:G,""),
_xlpm.MacVal,_xlfn.XLOOKUP($A381,Output_Mac!$A:$A,Output_Mac!H:H,""),
_xlpm.MyAuditVal,_xlfn.XLOOKUP($A381,My_Audit!$A:$A,My_Audit!F:F,""),
_xlfn.IFS(_xlpm.MyAuditVal&lt;&gt;"",_xlpm.MyAuditVal,_xlpm.MacVal&lt;&gt;"",_xlpm.MacVal,_xlpm.CSVVal&lt;&gt;"",_xlpm.CSVVal
)),"")</f>
        <v/>
      </c>
      <c r="H381" s="45" t="str">
        <f>_xlfn.XLOOKUP(A381,Output_Mac!A:A,Output_Mac!I:I,"")</f>
        <v/>
      </c>
      <c r="I381" s="45" t="str" cm="1">
        <f t="array" ref="I381">IFERROR(_xlfn.LET(
_xlpm.CSVVal,_xlfn.XLOOKUP($A381,CSV!$A:$A,CSV!H:H,""),
_xlpm.MacVal,_xlfn.XLOOKUP($A381,Output_Mac!$A:$A,Output_Mac!J:J,""),
_xlpm.MyAuditVal,_xlfn.XLOOKUP($A381,My_Audit!$A:$A,My_Audit!H:H,""),
_xlfn.IFS(_xlpm.MyAuditVal&lt;&gt;"",UPPER(_xlpm.MyAuditVal),_xlpm.MacVal&lt;&gt;"",_xlpm.MacVal,_xlpm.CSVVal&lt;&gt;"",_xlpm.CSVVal
)),"")</f>
        <v/>
      </c>
      <c r="J381" s="45" t="str" cm="1">
        <f t="array" ref="J381">IFERROR(_xlfn.LET(
_xlpm.CSVVal,_xlfn.XLOOKUP($A381,CSV!$A:$A,CSV!J:J,""),
_xlpm.MacVal,_xlfn.XLOOKUP($A381,Output_Mac!$A:$A,Output_Mac!K:K,""),
_xlpm.MyAuditVal,_xlfn.XLOOKUP($A381,My_Audit!$A:$A,My_Audit!I:I,""),
_xlfn.IFS(_xlpm.MyAuditVal&lt;&gt;"",UPPER(_xlpm.MyAuditVal),_xlpm.MacVal&lt;&gt;"",_xlpm.MacVal,_xlpm.CSVVal&lt;&gt;"",_xlpm.CSVVal
)),"")</f>
        <v/>
      </c>
      <c r="K381" s="45" t="str" cm="1">
        <f t="array" ref="K381">IFERROR(_xlfn.LET(
_xlpm.CSVVal,_xlfn.XLOOKUP($A381,CSV!$A:$A,CSV!N:N,""),
_xlpm.MacVal,_xlfn.XLOOKUP($A381,Output_Mac!$A:$A,Output_Mac!L:L,""),
_xlpm.MyAuditVal,_xlfn.XLOOKUP($A381,My_Audit!$A:$A,My_Audit!J:J,""),
_xlfn.IFS(_xlpm.MyAuditVal&lt;&gt;"",UPPER(_xlpm.MyAuditVal),_xlpm.MacVal&lt;&gt;"",_xlpm.MacVal,_xlpm.CSVVal&lt;&gt;"",_xlpm.CSVVal
)),"")</f>
        <v/>
      </c>
      <c r="L381" s="46" t="str" cm="1">
        <f t="array" ref="L381">IFERROR(_xlfn.LET(
_xlpm.CSVVal,_xlfn.XLOOKUP($A381,CSV!$A:$A,CSV!Q:Q,""),
_xlpm.MacVal,_xlfn.XLOOKUP($A381,Output_Mac!$A:$A,Output_Mac!M:M,""),
_xlpm.MyAuditVal,_xlfn.XLOOKUP($A381,My_Audit!$A:$A,My_Audit!K:K,""),
_xlfn.IFS(_xlpm.MyAuditVal&lt;&gt;"",UPPER(_xlpm.MyAuditVal),_xlpm.MacVal&lt;&gt;"",_xlpm.MacVal,_xlpm.CSVVal&lt;&gt;"",_xlpm.CSVVal
)),"")</f>
        <v/>
      </c>
      <c r="M381" s="45" t="str">
        <f>_xlfn.LET(
    _xlpm.CSVVal, _xlfn.XLOOKUP($A381, CSV!$A:$A, CSV!AE:AE, ""),
    _xlpm.MacVal, _xlfn.XLOOKUP($A381, Output_Mac!$A:$A, Output_Mac!S:S, ""),
    _xlpm.MyAuditVal, _xlfn.XLOOKUP($A381, My_Audit!$A:$A, My_Audit!N:N, ""),
    _xlfn.TEXTJOIN(", ", TRUE, _xlpm.MyAuditVal, _xlpm.MacVal, _xlpm.CSVVal)
)</f>
        <v/>
      </c>
      <c r="N381" s="45" t="str" cm="1">
        <f t="array" ref="N381">IFERROR(_xlfn.LET(
_xlpm.CSVVal,_xlfn.XLOOKUP($A381,CSV!$A:$A,CSV!AG:AG,""),
_xlpm.MacVal,_xlfn.XLOOKUP($A381,Output_Mac!$A:$A,Output_Mac!U:U,""),
_xlpm.MyAuditVal,_xlfn.XLOOKUP($A381,My_Audit!$A:$A,My_Audit!O:O,""),
_xlfn.IFS(_xlpm.MyAuditVal&lt;&gt;"",UPPER(_xlpm.MyAuditVal),_xlpm.MacVal&lt;&gt;"",_xlpm.MacVal,_xlpm.CSVVal&lt;&gt;"",_xlpm.CSVVal
)),"")</f>
        <v/>
      </c>
      <c r="O381" s="46" t="str">
        <f>_xlfn.XLOOKUP(C381,My_Audit!B:B,My_Audit!P:P,"")&amp;""</f>
        <v/>
      </c>
      <c r="P381" s="45"/>
      <c r="Q381" s="46" t="str">
        <f>IF(LEFT(N381,4)="Pass","Nist SP 800-88",My_Audit!R381)&amp;""</f>
        <v/>
      </c>
      <c r="R381" s="45"/>
      <c r="S381" s="45"/>
      <c r="T381" s="46" t="str">
        <f>_xlfn.XLOOKUP(E381,Models!I:I,Models!J:J,"")</f>
        <v/>
      </c>
      <c r="U381" s="45"/>
      <c r="V381" s="45"/>
      <c r="W381" s="38"/>
    </row>
    <row r="382" spans="1:23">
      <c r="A382" s="45" t="str">
        <f>_xlfn.TEXTJOIN("",TRUE,Input!$B$2,ROW(My_Audit!A381))</f>
        <v>XX381</v>
      </c>
      <c r="B382" s="45" t="str">
        <f>_xlfn.TEXTJOIN("-",TRUE,"ITD",Input!$A$2,A382)</f>
        <v>ITD-SHRXXX-XX381</v>
      </c>
      <c r="C382" s="45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46" t="str" cm="1">
        <f t="array" ref="D382">IFERROR(_xlfn.LET(
_xlpm.CSVVal,_xlfn.XLOOKUP($A382,CSV!$A:$A,CSV!C:C,""),
_xlpm.MacVal,_xlfn.XLOOKUP($A382,Output_Mac!$A:$A,Output_Mac!D:D,""),
_xlpm.MyAuditVal,_xlfn.XLOOKUP($A382,My_Audit!$A:$A,My_Audit!C:C,""),
_xlfn.IFS(_xlpm.MyAuditVal&lt;&gt;"",UPPER(_xlpm.MyAuditVal),_xlpm.MacVal&lt;&gt;"",_xlpm.MacVal,_xlpm.CSVVal&lt;&gt;"",_xlpm.CSVVal
)),"")</f>
        <v/>
      </c>
      <c r="E382" s="46" t="str" cm="1">
        <f t="array" ref="E382">IFERROR(_xlfn.LET(
_xlpm.CSVVal,_xlfn.XLOOKUP($A382,CSV!$A:$A,CSV!E:E,""),
_xlpm.MacVal,_xlfn.XLOOKUP($A382,Output_Mac!$A:$A,Output_Mac!C:C,""),
_xlpm.MyAuditVal,_xlfn.XLOOKUP($A382,My_Audit!$A:$A,My_Audit!D:D,""),
_xlfn.IFS(_xlpm.MyAuditVal&lt;&gt;"",_xlpm.MyAuditVal,_xlpm.MacVal&lt;&gt;"",_xlpm.MacVal,_xlpm.CSVVal&lt;&gt;"",_xlpm.CSVVal
)),"")</f>
        <v/>
      </c>
      <c r="F382" s="45" t="str" cm="1">
        <f t="array" ref="F382">IFERROR(_xlfn.LET(
_xlpm.CSVVal,_xlfn.XLOOKUP($A382,CSV!$A:$A,CSV!F:F,""),
_xlpm.MacVal,_xlfn.XLOOKUP($A382,Output_Mac!$A:$A,Output_Mac!F:F,""),
_xlpm.MyAuditVal,_xlfn.XLOOKUP($A382,My_Audit!$A:$A,My_Audit!E:E,""),
_xlfn.IFS(_xlpm.MyAuditVal&lt;&gt;"",_xlpm.MyAuditVal,_xlpm.MacVal&lt;&gt;"",_xlpm.MacVal,_xlpm.CSVVal&lt;&gt;"",PROPER(_xlpm.CSVVal)
)),"")</f>
        <v/>
      </c>
      <c r="G382" s="45" t="str" cm="1">
        <f t="array" ref="G382">IFERROR(_xlfn.LET(
_xlpm.CSVVal,_xlfn.XLOOKUP($A382,CSV!$A:$A,CSV!G:G,""),
_xlpm.MacVal,_xlfn.XLOOKUP($A382,Output_Mac!$A:$A,Output_Mac!H:H,""),
_xlpm.MyAuditVal,_xlfn.XLOOKUP($A382,My_Audit!$A:$A,My_Audit!F:F,""),
_xlfn.IFS(_xlpm.MyAuditVal&lt;&gt;"",_xlpm.MyAuditVal,_xlpm.MacVal&lt;&gt;"",_xlpm.MacVal,_xlpm.CSVVal&lt;&gt;"",_xlpm.CSVVal
)),"")</f>
        <v/>
      </c>
      <c r="H382" s="45" t="str">
        <f>_xlfn.XLOOKUP(A382,Output_Mac!A:A,Output_Mac!I:I,"")</f>
        <v/>
      </c>
      <c r="I382" s="45" t="str" cm="1">
        <f t="array" ref="I382">IFERROR(_xlfn.LET(
_xlpm.CSVVal,_xlfn.XLOOKUP($A382,CSV!$A:$A,CSV!H:H,""),
_xlpm.MacVal,_xlfn.XLOOKUP($A382,Output_Mac!$A:$A,Output_Mac!J:J,""),
_xlpm.MyAuditVal,_xlfn.XLOOKUP($A382,My_Audit!$A:$A,My_Audit!H:H,""),
_xlfn.IFS(_xlpm.MyAuditVal&lt;&gt;"",UPPER(_xlpm.MyAuditVal),_xlpm.MacVal&lt;&gt;"",_xlpm.MacVal,_xlpm.CSVVal&lt;&gt;"",_xlpm.CSVVal
)),"")</f>
        <v/>
      </c>
      <c r="J382" s="45" t="str" cm="1">
        <f t="array" ref="J382">IFERROR(_xlfn.LET(
_xlpm.CSVVal,_xlfn.XLOOKUP($A382,CSV!$A:$A,CSV!J:J,""),
_xlpm.MacVal,_xlfn.XLOOKUP($A382,Output_Mac!$A:$A,Output_Mac!K:K,""),
_xlpm.MyAuditVal,_xlfn.XLOOKUP($A382,My_Audit!$A:$A,My_Audit!I:I,""),
_xlfn.IFS(_xlpm.MyAuditVal&lt;&gt;"",UPPER(_xlpm.MyAuditVal),_xlpm.MacVal&lt;&gt;"",_xlpm.MacVal,_xlpm.CSVVal&lt;&gt;"",_xlpm.CSVVal
)),"")</f>
        <v/>
      </c>
      <c r="K382" s="45" t="str" cm="1">
        <f t="array" ref="K382">IFERROR(_xlfn.LET(
_xlpm.CSVVal,_xlfn.XLOOKUP($A382,CSV!$A:$A,CSV!N:N,""),
_xlpm.MacVal,_xlfn.XLOOKUP($A382,Output_Mac!$A:$A,Output_Mac!L:L,""),
_xlpm.MyAuditVal,_xlfn.XLOOKUP($A382,My_Audit!$A:$A,My_Audit!J:J,""),
_xlfn.IFS(_xlpm.MyAuditVal&lt;&gt;"",UPPER(_xlpm.MyAuditVal),_xlpm.MacVal&lt;&gt;"",_xlpm.MacVal,_xlpm.CSVVal&lt;&gt;"",_xlpm.CSVVal
)),"")</f>
        <v/>
      </c>
      <c r="L382" s="46" t="str" cm="1">
        <f t="array" ref="L382">IFERROR(_xlfn.LET(
_xlpm.CSVVal,_xlfn.XLOOKUP($A382,CSV!$A:$A,CSV!Q:Q,""),
_xlpm.MacVal,_xlfn.XLOOKUP($A382,Output_Mac!$A:$A,Output_Mac!M:M,""),
_xlpm.MyAuditVal,_xlfn.XLOOKUP($A382,My_Audit!$A:$A,My_Audit!K:K,""),
_xlfn.IFS(_xlpm.MyAuditVal&lt;&gt;"",UPPER(_xlpm.MyAuditVal),_xlpm.MacVal&lt;&gt;"",_xlpm.MacVal,_xlpm.CSVVal&lt;&gt;"",_xlpm.CSVVal
)),"")</f>
        <v/>
      </c>
      <c r="M382" s="45" t="str">
        <f>_xlfn.LET(
    _xlpm.CSVVal, _xlfn.XLOOKUP($A382, CSV!$A:$A, CSV!AE:AE, ""),
    _xlpm.MacVal, _xlfn.XLOOKUP($A382, Output_Mac!$A:$A, Output_Mac!S:S, ""),
    _xlpm.MyAuditVal, _xlfn.XLOOKUP($A382, My_Audit!$A:$A, My_Audit!N:N, ""),
    _xlfn.TEXTJOIN(", ", TRUE, _xlpm.MyAuditVal, _xlpm.MacVal, _xlpm.CSVVal)
)</f>
        <v/>
      </c>
      <c r="N382" s="45" t="str" cm="1">
        <f t="array" ref="N382">IFERROR(_xlfn.LET(
_xlpm.CSVVal,_xlfn.XLOOKUP($A382,CSV!$A:$A,CSV!AG:AG,""),
_xlpm.MacVal,_xlfn.XLOOKUP($A382,Output_Mac!$A:$A,Output_Mac!U:U,""),
_xlpm.MyAuditVal,_xlfn.XLOOKUP($A382,My_Audit!$A:$A,My_Audit!O:O,""),
_xlfn.IFS(_xlpm.MyAuditVal&lt;&gt;"",UPPER(_xlpm.MyAuditVal),_xlpm.MacVal&lt;&gt;"",_xlpm.MacVal,_xlpm.CSVVal&lt;&gt;"",_xlpm.CSVVal
)),"")</f>
        <v/>
      </c>
      <c r="O382" s="46" t="str">
        <f>_xlfn.XLOOKUP(C382,My_Audit!B:B,My_Audit!P:P,"")&amp;""</f>
        <v/>
      </c>
      <c r="P382" s="45"/>
      <c r="Q382" s="46" t="str">
        <f>IF(LEFT(N382,4)="Pass","Nist SP 800-88",My_Audit!R382)&amp;""</f>
        <v/>
      </c>
      <c r="R382" s="45"/>
      <c r="S382" s="45"/>
      <c r="T382" s="46" t="str">
        <f>_xlfn.XLOOKUP(E382,Models!I:I,Models!J:J,"")</f>
        <v/>
      </c>
      <c r="U382" s="45"/>
      <c r="V382" s="45"/>
      <c r="W382" s="38"/>
    </row>
    <row r="383" spans="1:23">
      <c r="A383" s="45" t="str">
        <f>_xlfn.TEXTJOIN("",TRUE,Input!$B$2,ROW(My_Audit!A382))</f>
        <v>XX382</v>
      </c>
      <c r="B383" s="45" t="str">
        <f>_xlfn.TEXTJOIN("-",TRUE,"ITD",Input!$A$2,A383)</f>
        <v>ITD-SHRXXX-XX382</v>
      </c>
      <c r="C383" s="45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46" t="str" cm="1">
        <f t="array" ref="D383">IFERROR(_xlfn.LET(
_xlpm.CSVVal,_xlfn.XLOOKUP($A383,CSV!$A:$A,CSV!C:C,""),
_xlpm.MacVal,_xlfn.XLOOKUP($A383,Output_Mac!$A:$A,Output_Mac!D:D,""),
_xlpm.MyAuditVal,_xlfn.XLOOKUP($A383,My_Audit!$A:$A,My_Audit!C:C,""),
_xlfn.IFS(_xlpm.MyAuditVal&lt;&gt;"",UPPER(_xlpm.MyAuditVal),_xlpm.MacVal&lt;&gt;"",_xlpm.MacVal,_xlpm.CSVVal&lt;&gt;"",_xlpm.CSVVal
)),"")</f>
        <v/>
      </c>
      <c r="E383" s="46" t="str" cm="1">
        <f t="array" ref="E383">IFERROR(_xlfn.LET(
_xlpm.CSVVal,_xlfn.XLOOKUP($A383,CSV!$A:$A,CSV!E:E,""),
_xlpm.MacVal,_xlfn.XLOOKUP($A383,Output_Mac!$A:$A,Output_Mac!C:C,""),
_xlpm.MyAuditVal,_xlfn.XLOOKUP($A383,My_Audit!$A:$A,My_Audit!D:D,""),
_xlfn.IFS(_xlpm.MyAuditVal&lt;&gt;"",_xlpm.MyAuditVal,_xlpm.MacVal&lt;&gt;"",_xlpm.MacVal,_xlpm.CSVVal&lt;&gt;"",_xlpm.CSVVal
)),"")</f>
        <v/>
      </c>
      <c r="F383" s="45" t="str" cm="1">
        <f t="array" ref="F383">IFERROR(_xlfn.LET(
_xlpm.CSVVal,_xlfn.XLOOKUP($A383,CSV!$A:$A,CSV!F:F,""),
_xlpm.MacVal,_xlfn.XLOOKUP($A383,Output_Mac!$A:$A,Output_Mac!F:F,""),
_xlpm.MyAuditVal,_xlfn.XLOOKUP($A383,My_Audit!$A:$A,My_Audit!E:E,""),
_xlfn.IFS(_xlpm.MyAuditVal&lt;&gt;"",_xlpm.MyAuditVal,_xlpm.MacVal&lt;&gt;"",_xlpm.MacVal,_xlpm.CSVVal&lt;&gt;"",PROPER(_xlpm.CSVVal)
)),"")</f>
        <v/>
      </c>
      <c r="G383" s="45" t="str" cm="1">
        <f t="array" ref="G383">IFERROR(_xlfn.LET(
_xlpm.CSVVal,_xlfn.XLOOKUP($A383,CSV!$A:$A,CSV!G:G,""),
_xlpm.MacVal,_xlfn.XLOOKUP($A383,Output_Mac!$A:$A,Output_Mac!H:H,""),
_xlpm.MyAuditVal,_xlfn.XLOOKUP($A383,My_Audit!$A:$A,My_Audit!F:F,""),
_xlfn.IFS(_xlpm.MyAuditVal&lt;&gt;"",_xlpm.MyAuditVal,_xlpm.MacVal&lt;&gt;"",_xlpm.MacVal,_xlpm.CSVVal&lt;&gt;"",_xlpm.CSVVal
)),"")</f>
        <v/>
      </c>
      <c r="H383" s="45" t="str">
        <f>_xlfn.XLOOKUP(A383,Output_Mac!A:A,Output_Mac!I:I,"")</f>
        <v/>
      </c>
      <c r="I383" s="45" t="str" cm="1">
        <f t="array" ref="I383">IFERROR(_xlfn.LET(
_xlpm.CSVVal,_xlfn.XLOOKUP($A383,CSV!$A:$A,CSV!H:H,""),
_xlpm.MacVal,_xlfn.XLOOKUP($A383,Output_Mac!$A:$A,Output_Mac!J:J,""),
_xlpm.MyAuditVal,_xlfn.XLOOKUP($A383,My_Audit!$A:$A,My_Audit!H:H,""),
_xlfn.IFS(_xlpm.MyAuditVal&lt;&gt;"",UPPER(_xlpm.MyAuditVal),_xlpm.MacVal&lt;&gt;"",_xlpm.MacVal,_xlpm.CSVVal&lt;&gt;"",_xlpm.CSVVal
)),"")</f>
        <v/>
      </c>
      <c r="J383" s="45" t="str" cm="1">
        <f t="array" ref="J383">IFERROR(_xlfn.LET(
_xlpm.CSVVal,_xlfn.XLOOKUP($A383,CSV!$A:$A,CSV!J:J,""),
_xlpm.MacVal,_xlfn.XLOOKUP($A383,Output_Mac!$A:$A,Output_Mac!K:K,""),
_xlpm.MyAuditVal,_xlfn.XLOOKUP($A383,My_Audit!$A:$A,My_Audit!I:I,""),
_xlfn.IFS(_xlpm.MyAuditVal&lt;&gt;"",UPPER(_xlpm.MyAuditVal),_xlpm.MacVal&lt;&gt;"",_xlpm.MacVal,_xlpm.CSVVal&lt;&gt;"",_xlpm.CSVVal
)),"")</f>
        <v/>
      </c>
      <c r="K383" s="45" t="str" cm="1">
        <f t="array" ref="K383">IFERROR(_xlfn.LET(
_xlpm.CSVVal,_xlfn.XLOOKUP($A383,CSV!$A:$A,CSV!N:N,""),
_xlpm.MacVal,_xlfn.XLOOKUP($A383,Output_Mac!$A:$A,Output_Mac!L:L,""),
_xlpm.MyAuditVal,_xlfn.XLOOKUP($A383,My_Audit!$A:$A,My_Audit!J:J,""),
_xlfn.IFS(_xlpm.MyAuditVal&lt;&gt;"",UPPER(_xlpm.MyAuditVal),_xlpm.MacVal&lt;&gt;"",_xlpm.MacVal,_xlpm.CSVVal&lt;&gt;"",_xlpm.CSVVal
)),"")</f>
        <v/>
      </c>
      <c r="L383" s="46" t="str" cm="1">
        <f t="array" ref="L383">IFERROR(_xlfn.LET(
_xlpm.CSVVal,_xlfn.XLOOKUP($A383,CSV!$A:$A,CSV!Q:Q,""),
_xlpm.MacVal,_xlfn.XLOOKUP($A383,Output_Mac!$A:$A,Output_Mac!M:M,""),
_xlpm.MyAuditVal,_xlfn.XLOOKUP($A383,My_Audit!$A:$A,My_Audit!K:K,""),
_xlfn.IFS(_xlpm.MyAuditVal&lt;&gt;"",UPPER(_xlpm.MyAuditVal),_xlpm.MacVal&lt;&gt;"",_xlpm.MacVal,_xlpm.CSVVal&lt;&gt;"",_xlpm.CSVVal
)),"")</f>
        <v/>
      </c>
      <c r="M383" s="45" t="str">
        <f>_xlfn.LET(
    _xlpm.CSVVal, _xlfn.XLOOKUP($A383, CSV!$A:$A, CSV!AE:AE, ""),
    _xlpm.MacVal, _xlfn.XLOOKUP($A383, Output_Mac!$A:$A, Output_Mac!S:S, ""),
    _xlpm.MyAuditVal, _xlfn.XLOOKUP($A383, My_Audit!$A:$A, My_Audit!N:N, ""),
    _xlfn.TEXTJOIN(", ", TRUE, _xlpm.MyAuditVal, _xlpm.MacVal, _xlpm.CSVVal)
)</f>
        <v/>
      </c>
      <c r="N383" s="45" t="str" cm="1">
        <f t="array" ref="N383">IFERROR(_xlfn.LET(
_xlpm.CSVVal,_xlfn.XLOOKUP($A383,CSV!$A:$A,CSV!AG:AG,""),
_xlpm.MacVal,_xlfn.XLOOKUP($A383,Output_Mac!$A:$A,Output_Mac!U:U,""),
_xlpm.MyAuditVal,_xlfn.XLOOKUP($A383,My_Audit!$A:$A,My_Audit!O:O,""),
_xlfn.IFS(_xlpm.MyAuditVal&lt;&gt;"",UPPER(_xlpm.MyAuditVal),_xlpm.MacVal&lt;&gt;"",_xlpm.MacVal,_xlpm.CSVVal&lt;&gt;"",_xlpm.CSVVal
)),"")</f>
        <v/>
      </c>
      <c r="O383" s="46" t="str">
        <f>_xlfn.XLOOKUP(C383,My_Audit!B:B,My_Audit!P:P,"")&amp;""</f>
        <v/>
      </c>
      <c r="P383" s="45"/>
      <c r="Q383" s="46" t="str">
        <f>IF(LEFT(N383,4)="Pass","Nist SP 800-88",My_Audit!R383)&amp;""</f>
        <v/>
      </c>
      <c r="R383" s="45"/>
      <c r="S383" s="45"/>
      <c r="T383" s="46" t="str">
        <f>_xlfn.XLOOKUP(E383,Models!I:I,Models!J:J,"")</f>
        <v/>
      </c>
      <c r="U383" s="45"/>
      <c r="V383" s="45"/>
      <c r="W383" s="38"/>
    </row>
    <row r="384" spans="1:23">
      <c r="A384" s="45" t="str">
        <f>_xlfn.TEXTJOIN("",TRUE,Input!$B$2,ROW(My_Audit!A383))</f>
        <v>XX383</v>
      </c>
      <c r="B384" s="45" t="str">
        <f>_xlfn.TEXTJOIN("-",TRUE,"ITD",Input!$A$2,A384)</f>
        <v>ITD-SHRXXX-XX383</v>
      </c>
      <c r="C384" s="45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46" t="str" cm="1">
        <f t="array" ref="D384">IFERROR(_xlfn.LET(
_xlpm.CSVVal,_xlfn.XLOOKUP($A384,CSV!$A:$A,CSV!C:C,""),
_xlpm.MacVal,_xlfn.XLOOKUP($A384,Output_Mac!$A:$A,Output_Mac!D:D,""),
_xlpm.MyAuditVal,_xlfn.XLOOKUP($A384,My_Audit!$A:$A,My_Audit!C:C,""),
_xlfn.IFS(_xlpm.MyAuditVal&lt;&gt;"",UPPER(_xlpm.MyAuditVal),_xlpm.MacVal&lt;&gt;"",_xlpm.MacVal,_xlpm.CSVVal&lt;&gt;"",_xlpm.CSVVal
)),"")</f>
        <v/>
      </c>
      <c r="E384" s="46" t="str" cm="1">
        <f t="array" ref="E384">IFERROR(_xlfn.LET(
_xlpm.CSVVal,_xlfn.XLOOKUP($A384,CSV!$A:$A,CSV!E:E,""),
_xlpm.MacVal,_xlfn.XLOOKUP($A384,Output_Mac!$A:$A,Output_Mac!C:C,""),
_xlpm.MyAuditVal,_xlfn.XLOOKUP($A384,My_Audit!$A:$A,My_Audit!D:D,""),
_xlfn.IFS(_xlpm.MyAuditVal&lt;&gt;"",_xlpm.MyAuditVal,_xlpm.MacVal&lt;&gt;"",_xlpm.MacVal,_xlpm.CSVVal&lt;&gt;"",_xlpm.CSVVal
)),"")</f>
        <v/>
      </c>
      <c r="F384" s="45" t="str" cm="1">
        <f t="array" ref="F384">IFERROR(_xlfn.LET(
_xlpm.CSVVal,_xlfn.XLOOKUP($A384,CSV!$A:$A,CSV!F:F,""),
_xlpm.MacVal,_xlfn.XLOOKUP($A384,Output_Mac!$A:$A,Output_Mac!F:F,""),
_xlpm.MyAuditVal,_xlfn.XLOOKUP($A384,My_Audit!$A:$A,My_Audit!E:E,""),
_xlfn.IFS(_xlpm.MyAuditVal&lt;&gt;"",_xlpm.MyAuditVal,_xlpm.MacVal&lt;&gt;"",_xlpm.MacVal,_xlpm.CSVVal&lt;&gt;"",PROPER(_xlpm.CSVVal)
)),"")</f>
        <v/>
      </c>
      <c r="G384" s="45" t="str" cm="1">
        <f t="array" ref="G384">IFERROR(_xlfn.LET(
_xlpm.CSVVal,_xlfn.XLOOKUP($A384,CSV!$A:$A,CSV!G:G,""),
_xlpm.MacVal,_xlfn.XLOOKUP($A384,Output_Mac!$A:$A,Output_Mac!H:H,""),
_xlpm.MyAuditVal,_xlfn.XLOOKUP($A384,My_Audit!$A:$A,My_Audit!F:F,""),
_xlfn.IFS(_xlpm.MyAuditVal&lt;&gt;"",_xlpm.MyAuditVal,_xlpm.MacVal&lt;&gt;"",_xlpm.MacVal,_xlpm.CSVVal&lt;&gt;"",_xlpm.CSVVal
)),"")</f>
        <v/>
      </c>
      <c r="H384" s="45" t="str">
        <f>_xlfn.XLOOKUP(A384,Output_Mac!A:A,Output_Mac!I:I,"")</f>
        <v/>
      </c>
      <c r="I384" s="45" t="str" cm="1">
        <f t="array" ref="I384">IFERROR(_xlfn.LET(
_xlpm.CSVVal,_xlfn.XLOOKUP($A384,CSV!$A:$A,CSV!H:H,""),
_xlpm.MacVal,_xlfn.XLOOKUP($A384,Output_Mac!$A:$A,Output_Mac!J:J,""),
_xlpm.MyAuditVal,_xlfn.XLOOKUP($A384,My_Audit!$A:$A,My_Audit!H:H,""),
_xlfn.IFS(_xlpm.MyAuditVal&lt;&gt;"",UPPER(_xlpm.MyAuditVal),_xlpm.MacVal&lt;&gt;"",_xlpm.MacVal,_xlpm.CSVVal&lt;&gt;"",_xlpm.CSVVal
)),"")</f>
        <v/>
      </c>
      <c r="J384" s="45" t="str" cm="1">
        <f t="array" ref="J384">IFERROR(_xlfn.LET(
_xlpm.CSVVal,_xlfn.XLOOKUP($A384,CSV!$A:$A,CSV!J:J,""),
_xlpm.MacVal,_xlfn.XLOOKUP($A384,Output_Mac!$A:$A,Output_Mac!K:K,""),
_xlpm.MyAuditVal,_xlfn.XLOOKUP($A384,My_Audit!$A:$A,My_Audit!I:I,""),
_xlfn.IFS(_xlpm.MyAuditVal&lt;&gt;"",UPPER(_xlpm.MyAuditVal),_xlpm.MacVal&lt;&gt;"",_xlpm.MacVal,_xlpm.CSVVal&lt;&gt;"",_xlpm.CSVVal
)),"")</f>
        <v/>
      </c>
      <c r="K384" s="45" t="str" cm="1">
        <f t="array" ref="K384">IFERROR(_xlfn.LET(
_xlpm.CSVVal,_xlfn.XLOOKUP($A384,CSV!$A:$A,CSV!N:N,""),
_xlpm.MacVal,_xlfn.XLOOKUP($A384,Output_Mac!$A:$A,Output_Mac!L:L,""),
_xlpm.MyAuditVal,_xlfn.XLOOKUP($A384,My_Audit!$A:$A,My_Audit!J:J,""),
_xlfn.IFS(_xlpm.MyAuditVal&lt;&gt;"",UPPER(_xlpm.MyAuditVal),_xlpm.MacVal&lt;&gt;"",_xlpm.MacVal,_xlpm.CSVVal&lt;&gt;"",_xlpm.CSVVal
)),"")</f>
        <v/>
      </c>
      <c r="L384" s="46" t="str" cm="1">
        <f t="array" ref="L384">IFERROR(_xlfn.LET(
_xlpm.CSVVal,_xlfn.XLOOKUP($A384,CSV!$A:$A,CSV!Q:Q,""),
_xlpm.MacVal,_xlfn.XLOOKUP($A384,Output_Mac!$A:$A,Output_Mac!M:M,""),
_xlpm.MyAuditVal,_xlfn.XLOOKUP($A384,My_Audit!$A:$A,My_Audit!K:K,""),
_xlfn.IFS(_xlpm.MyAuditVal&lt;&gt;"",UPPER(_xlpm.MyAuditVal),_xlpm.MacVal&lt;&gt;"",_xlpm.MacVal,_xlpm.CSVVal&lt;&gt;"",_xlpm.CSVVal
)),"")</f>
        <v/>
      </c>
      <c r="M384" s="45" t="str">
        <f>_xlfn.LET(
    _xlpm.CSVVal, _xlfn.XLOOKUP($A384, CSV!$A:$A, CSV!AE:AE, ""),
    _xlpm.MacVal, _xlfn.XLOOKUP($A384, Output_Mac!$A:$A, Output_Mac!S:S, ""),
    _xlpm.MyAuditVal, _xlfn.XLOOKUP($A384, My_Audit!$A:$A, My_Audit!N:N, ""),
    _xlfn.TEXTJOIN(", ", TRUE, _xlpm.MyAuditVal, _xlpm.MacVal, _xlpm.CSVVal)
)</f>
        <v/>
      </c>
      <c r="N384" s="45" t="str" cm="1">
        <f t="array" ref="N384">IFERROR(_xlfn.LET(
_xlpm.CSVVal,_xlfn.XLOOKUP($A384,CSV!$A:$A,CSV!AG:AG,""),
_xlpm.MacVal,_xlfn.XLOOKUP($A384,Output_Mac!$A:$A,Output_Mac!U:U,""),
_xlpm.MyAuditVal,_xlfn.XLOOKUP($A384,My_Audit!$A:$A,My_Audit!O:O,""),
_xlfn.IFS(_xlpm.MyAuditVal&lt;&gt;"",UPPER(_xlpm.MyAuditVal),_xlpm.MacVal&lt;&gt;"",_xlpm.MacVal,_xlpm.CSVVal&lt;&gt;"",_xlpm.CSVVal
)),"")</f>
        <v/>
      </c>
      <c r="O384" s="46" t="str">
        <f>_xlfn.XLOOKUP(C384,My_Audit!B:B,My_Audit!P:P,"")&amp;""</f>
        <v/>
      </c>
      <c r="P384" s="45"/>
      <c r="Q384" s="46" t="str">
        <f>IF(LEFT(N384,4)="Pass","Nist SP 800-88",My_Audit!R384)&amp;""</f>
        <v/>
      </c>
      <c r="R384" s="45"/>
      <c r="S384" s="45"/>
      <c r="T384" s="46" t="str">
        <f>_xlfn.XLOOKUP(E384,Models!I:I,Models!J:J,"")</f>
        <v/>
      </c>
      <c r="U384" s="45"/>
      <c r="V384" s="45"/>
      <c r="W384" s="38"/>
    </row>
    <row r="385" spans="1:23">
      <c r="A385" s="45" t="str">
        <f>_xlfn.TEXTJOIN("",TRUE,Input!$B$2,ROW(My_Audit!A384))</f>
        <v>XX384</v>
      </c>
      <c r="B385" s="45" t="str">
        <f>_xlfn.TEXTJOIN("-",TRUE,"ITD",Input!$A$2,A385)</f>
        <v>ITD-SHRXXX-XX384</v>
      </c>
      <c r="C385" s="45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46" t="str" cm="1">
        <f t="array" ref="D385">IFERROR(_xlfn.LET(
_xlpm.CSVVal,_xlfn.XLOOKUP($A385,CSV!$A:$A,CSV!C:C,""),
_xlpm.MacVal,_xlfn.XLOOKUP($A385,Output_Mac!$A:$A,Output_Mac!D:D,""),
_xlpm.MyAuditVal,_xlfn.XLOOKUP($A385,My_Audit!$A:$A,My_Audit!C:C,""),
_xlfn.IFS(_xlpm.MyAuditVal&lt;&gt;"",UPPER(_xlpm.MyAuditVal),_xlpm.MacVal&lt;&gt;"",_xlpm.MacVal,_xlpm.CSVVal&lt;&gt;"",_xlpm.CSVVal
)),"")</f>
        <v/>
      </c>
      <c r="E385" s="46" t="str" cm="1">
        <f t="array" ref="E385">IFERROR(_xlfn.LET(
_xlpm.CSVVal,_xlfn.XLOOKUP($A385,CSV!$A:$A,CSV!E:E,""),
_xlpm.MacVal,_xlfn.XLOOKUP($A385,Output_Mac!$A:$A,Output_Mac!C:C,""),
_xlpm.MyAuditVal,_xlfn.XLOOKUP($A385,My_Audit!$A:$A,My_Audit!D:D,""),
_xlfn.IFS(_xlpm.MyAuditVal&lt;&gt;"",_xlpm.MyAuditVal,_xlpm.MacVal&lt;&gt;"",_xlpm.MacVal,_xlpm.CSVVal&lt;&gt;"",_xlpm.CSVVal
)),"")</f>
        <v/>
      </c>
      <c r="F385" s="45" t="str" cm="1">
        <f t="array" ref="F385">IFERROR(_xlfn.LET(
_xlpm.CSVVal,_xlfn.XLOOKUP($A385,CSV!$A:$A,CSV!F:F,""),
_xlpm.MacVal,_xlfn.XLOOKUP($A385,Output_Mac!$A:$A,Output_Mac!F:F,""),
_xlpm.MyAuditVal,_xlfn.XLOOKUP($A385,My_Audit!$A:$A,My_Audit!E:E,""),
_xlfn.IFS(_xlpm.MyAuditVal&lt;&gt;"",_xlpm.MyAuditVal,_xlpm.MacVal&lt;&gt;"",_xlpm.MacVal,_xlpm.CSVVal&lt;&gt;"",PROPER(_xlpm.CSVVal)
)),"")</f>
        <v/>
      </c>
      <c r="G385" s="45" t="str" cm="1">
        <f t="array" ref="G385">IFERROR(_xlfn.LET(
_xlpm.CSVVal,_xlfn.XLOOKUP($A385,CSV!$A:$A,CSV!G:G,""),
_xlpm.MacVal,_xlfn.XLOOKUP($A385,Output_Mac!$A:$A,Output_Mac!H:H,""),
_xlpm.MyAuditVal,_xlfn.XLOOKUP($A385,My_Audit!$A:$A,My_Audit!F:F,""),
_xlfn.IFS(_xlpm.MyAuditVal&lt;&gt;"",_xlpm.MyAuditVal,_xlpm.MacVal&lt;&gt;"",_xlpm.MacVal,_xlpm.CSVVal&lt;&gt;"",_xlpm.CSVVal
)),"")</f>
        <v/>
      </c>
      <c r="H385" s="45" t="str">
        <f>_xlfn.XLOOKUP(A385,Output_Mac!A:A,Output_Mac!I:I,"")</f>
        <v/>
      </c>
      <c r="I385" s="45" t="str" cm="1">
        <f t="array" ref="I385">IFERROR(_xlfn.LET(
_xlpm.CSVVal,_xlfn.XLOOKUP($A385,CSV!$A:$A,CSV!H:H,""),
_xlpm.MacVal,_xlfn.XLOOKUP($A385,Output_Mac!$A:$A,Output_Mac!J:J,""),
_xlpm.MyAuditVal,_xlfn.XLOOKUP($A385,My_Audit!$A:$A,My_Audit!H:H,""),
_xlfn.IFS(_xlpm.MyAuditVal&lt;&gt;"",UPPER(_xlpm.MyAuditVal),_xlpm.MacVal&lt;&gt;"",_xlpm.MacVal,_xlpm.CSVVal&lt;&gt;"",_xlpm.CSVVal
)),"")</f>
        <v/>
      </c>
      <c r="J385" s="45" t="str" cm="1">
        <f t="array" ref="J385">IFERROR(_xlfn.LET(
_xlpm.CSVVal,_xlfn.XLOOKUP($A385,CSV!$A:$A,CSV!J:J,""),
_xlpm.MacVal,_xlfn.XLOOKUP($A385,Output_Mac!$A:$A,Output_Mac!K:K,""),
_xlpm.MyAuditVal,_xlfn.XLOOKUP($A385,My_Audit!$A:$A,My_Audit!I:I,""),
_xlfn.IFS(_xlpm.MyAuditVal&lt;&gt;"",UPPER(_xlpm.MyAuditVal),_xlpm.MacVal&lt;&gt;"",_xlpm.MacVal,_xlpm.CSVVal&lt;&gt;"",_xlpm.CSVVal
)),"")</f>
        <v/>
      </c>
      <c r="K385" s="45" t="str" cm="1">
        <f t="array" ref="K385">IFERROR(_xlfn.LET(
_xlpm.CSVVal,_xlfn.XLOOKUP($A385,CSV!$A:$A,CSV!N:N,""),
_xlpm.MacVal,_xlfn.XLOOKUP($A385,Output_Mac!$A:$A,Output_Mac!L:L,""),
_xlpm.MyAuditVal,_xlfn.XLOOKUP($A385,My_Audit!$A:$A,My_Audit!J:J,""),
_xlfn.IFS(_xlpm.MyAuditVal&lt;&gt;"",UPPER(_xlpm.MyAuditVal),_xlpm.MacVal&lt;&gt;"",_xlpm.MacVal,_xlpm.CSVVal&lt;&gt;"",_xlpm.CSVVal
)),"")</f>
        <v/>
      </c>
      <c r="L385" s="46" t="str" cm="1">
        <f t="array" ref="L385">IFERROR(_xlfn.LET(
_xlpm.CSVVal,_xlfn.XLOOKUP($A385,CSV!$A:$A,CSV!Q:Q,""),
_xlpm.MacVal,_xlfn.XLOOKUP($A385,Output_Mac!$A:$A,Output_Mac!M:M,""),
_xlpm.MyAuditVal,_xlfn.XLOOKUP($A385,My_Audit!$A:$A,My_Audit!K:K,""),
_xlfn.IFS(_xlpm.MyAuditVal&lt;&gt;"",UPPER(_xlpm.MyAuditVal),_xlpm.MacVal&lt;&gt;"",_xlpm.MacVal,_xlpm.CSVVal&lt;&gt;"",_xlpm.CSVVal
)),"")</f>
        <v/>
      </c>
      <c r="M385" s="45" t="str">
        <f>_xlfn.LET(
    _xlpm.CSVVal, _xlfn.XLOOKUP($A385, CSV!$A:$A, CSV!AE:AE, ""),
    _xlpm.MacVal, _xlfn.XLOOKUP($A385, Output_Mac!$A:$A, Output_Mac!S:S, ""),
    _xlpm.MyAuditVal, _xlfn.XLOOKUP($A385, My_Audit!$A:$A, My_Audit!N:N, ""),
    _xlfn.TEXTJOIN(", ", TRUE, _xlpm.MyAuditVal, _xlpm.MacVal, _xlpm.CSVVal)
)</f>
        <v/>
      </c>
      <c r="N385" s="45" t="str" cm="1">
        <f t="array" ref="N385">IFERROR(_xlfn.LET(
_xlpm.CSVVal,_xlfn.XLOOKUP($A385,CSV!$A:$A,CSV!AG:AG,""),
_xlpm.MacVal,_xlfn.XLOOKUP($A385,Output_Mac!$A:$A,Output_Mac!U:U,""),
_xlpm.MyAuditVal,_xlfn.XLOOKUP($A385,My_Audit!$A:$A,My_Audit!O:O,""),
_xlfn.IFS(_xlpm.MyAuditVal&lt;&gt;"",UPPER(_xlpm.MyAuditVal),_xlpm.MacVal&lt;&gt;"",_xlpm.MacVal,_xlpm.CSVVal&lt;&gt;"",_xlpm.CSVVal
)),"")</f>
        <v/>
      </c>
      <c r="O385" s="46" t="str">
        <f>_xlfn.XLOOKUP(C385,My_Audit!B:B,My_Audit!P:P,"")&amp;""</f>
        <v/>
      </c>
      <c r="P385" s="45"/>
      <c r="Q385" s="46" t="str">
        <f>IF(LEFT(N385,4)="Pass","Nist SP 800-88",My_Audit!R385)&amp;""</f>
        <v/>
      </c>
      <c r="R385" s="45"/>
      <c r="S385" s="45"/>
      <c r="T385" s="46" t="str">
        <f>_xlfn.XLOOKUP(E385,Models!I:I,Models!J:J,"")</f>
        <v/>
      </c>
      <c r="U385" s="45"/>
      <c r="V385" s="45"/>
      <c r="W385" s="38"/>
    </row>
    <row r="386" spans="1:23">
      <c r="A386" s="45" t="str">
        <f>_xlfn.TEXTJOIN("",TRUE,Input!$B$2,ROW(My_Audit!A385))</f>
        <v>XX385</v>
      </c>
      <c r="B386" s="45" t="str">
        <f>_xlfn.TEXTJOIN("-",TRUE,"ITD",Input!$A$2,A386)</f>
        <v>ITD-SHRXXX-XX385</v>
      </c>
      <c r="C386" s="45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46" t="str" cm="1">
        <f t="array" ref="D386">IFERROR(_xlfn.LET(
_xlpm.CSVVal,_xlfn.XLOOKUP($A386,CSV!$A:$A,CSV!C:C,""),
_xlpm.MacVal,_xlfn.XLOOKUP($A386,Output_Mac!$A:$A,Output_Mac!D:D,""),
_xlpm.MyAuditVal,_xlfn.XLOOKUP($A386,My_Audit!$A:$A,My_Audit!C:C,""),
_xlfn.IFS(_xlpm.MyAuditVal&lt;&gt;"",UPPER(_xlpm.MyAuditVal),_xlpm.MacVal&lt;&gt;"",_xlpm.MacVal,_xlpm.CSVVal&lt;&gt;"",_xlpm.CSVVal
)),"")</f>
        <v/>
      </c>
      <c r="E386" s="46" t="str" cm="1">
        <f t="array" ref="E386">IFERROR(_xlfn.LET(
_xlpm.CSVVal,_xlfn.XLOOKUP($A386,CSV!$A:$A,CSV!E:E,""),
_xlpm.MacVal,_xlfn.XLOOKUP($A386,Output_Mac!$A:$A,Output_Mac!C:C,""),
_xlpm.MyAuditVal,_xlfn.XLOOKUP($A386,My_Audit!$A:$A,My_Audit!D:D,""),
_xlfn.IFS(_xlpm.MyAuditVal&lt;&gt;"",_xlpm.MyAuditVal,_xlpm.MacVal&lt;&gt;"",_xlpm.MacVal,_xlpm.CSVVal&lt;&gt;"",_xlpm.CSVVal
)),"")</f>
        <v/>
      </c>
      <c r="F386" s="45" t="str" cm="1">
        <f t="array" ref="F386">IFERROR(_xlfn.LET(
_xlpm.CSVVal,_xlfn.XLOOKUP($A386,CSV!$A:$A,CSV!F:F,""),
_xlpm.MacVal,_xlfn.XLOOKUP($A386,Output_Mac!$A:$A,Output_Mac!F:F,""),
_xlpm.MyAuditVal,_xlfn.XLOOKUP($A386,My_Audit!$A:$A,My_Audit!E:E,""),
_xlfn.IFS(_xlpm.MyAuditVal&lt;&gt;"",_xlpm.MyAuditVal,_xlpm.MacVal&lt;&gt;"",_xlpm.MacVal,_xlpm.CSVVal&lt;&gt;"",PROPER(_xlpm.CSVVal)
)),"")</f>
        <v/>
      </c>
      <c r="G386" s="45" t="str" cm="1">
        <f t="array" ref="G386">IFERROR(_xlfn.LET(
_xlpm.CSVVal,_xlfn.XLOOKUP($A386,CSV!$A:$A,CSV!G:G,""),
_xlpm.MacVal,_xlfn.XLOOKUP($A386,Output_Mac!$A:$A,Output_Mac!H:H,""),
_xlpm.MyAuditVal,_xlfn.XLOOKUP($A386,My_Audit!$A:$A,My_Audit!F:F,""),
_xlfn.IFS(_xlpm.MyAuditVal&lt;&gt;"",_xlpm.MyAuditVal,_xlpm.MacVal&lt;&gt;"",_xlpm.MacVal,_xlpm.CSVVal&lt;&gt;"",_xlpm.CSVVal
)),"")</f>
        <v/>
      </c>
      <c r="H386" s="45" t="str">
        <f>_xlfn.XLOOKUP(A386,Output_Mac!A:A,Output_Mac!I:I,"")</f>
        <v/>
      </c>
      <c r="I386" s="45" t="str" cm="1">
        <f t="array" ref="I386">IFERROR(_xlfn.LET(
_xlpm.CSVVal,_xlfn.XLOOKUP($A386,CSV!$A:$A,CSV!H:H,""),
_xlpm.MacVal,_xlfn.XLOOKUP($A386,Output_Mac!$A:$A,Output_Mac!J:J,""),
_xlpm.MyAuditVal,_xlfn.XLOOKUP($A386,My_Audit!$A:$A,My_Audit!H:H,""),
_xlfn.IFS(_xlpm.MyAuditVal&lt;&gt;"",UPPER(_xlpm.MyAuditVal),_xlpm.MacVal&lt;&gt;"",_xlpm.MacVal,_xlpm.CSVVal&lt;&gt;"",_xlpm.CSVVal
)),"")</f>
        <v/>
      </c>
      <c r="J386" s="45" t="str" cm="1">
        <f t="array" ref="J386">IFERROR(_xlfn.LET(
_xlpm.CSVVal,_xlfn.XLOOKUP($A386,CSV!$A:$A,CSV!J:J,""),
_xlpm.MacVal,_xlfn.XLOOKUP($A386,Output_Mac!$A:$A,Output_Mac!K:K,""),
_xlpm.MyAuditVal,_xlfn.XLOOKUP($A386,My_Audit!$A:$A,My_Audit!I:I,""),
_xlfn.IFS(_xlpm.MyAuditVal&lt;&gt;"",UPPER(_xlpm.MyAuditVal),_xlpm.MacVal&lt;&gt;"",_xlpm.MacVal,_xlpm.CSVVal&lt;&gt;"",_xlpm.CSVVal
)),"")</f>
        <v/>
      </c>
      <c r="K386" s="45" t="str" cm="1">
        <f t="array" ref="K386">IFERROR(_xlfn.LET(
_xlpm.CSVVal,_xlfn.XLOOKUP($A386,CSV!$A:$A,CSV!N:N,""),
_xlpm.MacVal,_xlfn.XLOOKUP($A386,Output_Mac!$A:$A,Output_Mac!L:L,""),
_xlpm.MyAuditVal,_xlfn.XLOOKUP($A386,My_Audit!$A:$A,My_Audit!J:J,""),
_xlfn.IFS(_xlpm.MyAuditVal&lt;&gt;"",UPPER(_xlpm.MyAuditVal),_xlpm.MacVal&lt;&gt;"",_xlpm.MacVal,_xlpm.CSVVal&lt;&gt;"",_xlpm.CSVVal
)),"")</f>
        <v/>
      </c>
      <c r="L386" s="45" t="str" cm="1">
        <f t="array" ref="L386">IFERROR(_xlfn.LET(
_xlpm.CSVVal,_xlfn.XLOOKUP($A386,CSV!$A:$A,CSV!P:P,""),
_xlpm.MacVal,_xlfn.XLOOKUP($A386,Output_Mac!$A:$A,Output_Mac!M:M,""),
_xlpm.MyAuditVal,_xlfn.XLOOKUP($A386,My_Audit!$A:$A,My_Audit!K:K,""),
_xlfn.IFS(_xlpm.MyAuditVal&lt;&gt;"",UPPER(_xlpm.MyAuditVal),_xlpm.MacVal&lt;&gt;"",_xlpm.MacVal,_xlpm.CSVVal&lt;&gt;"",_xlpm.CSVVal
)),"")</f>
        <v/>
      </c>
      <c r="M386" s="45" t="str">
        <f>_xlfn.LET(
    _xlpm.CSVVal, _xlfn.XLOOKUP($A386, CSV!$A:$A, CSV!AE:AE, ""),
    _xlpm.MacVal, _xlfn.XLOOKUP($A386, Output_Mac!$A:$A, Output_Mac!S:S, ""),
    _xlpm.MyAuditVal, _xlfn.XLOOKUP($A386, My_Audit!$A:$A, My_Audit!N:N, ""),
    _xlfn.TEXTJOIN(", ", TRUE, _xlpm.MyAuditVal, _xlpm.MacVal, _xlpm.CSVVal)
)</f>
        <v/>
      </c>
      <c r="N386" s="45" t="str" cm="1">
        <f t="array" ref="N386">IFERROR(_xlfn.LET(
_xlpm.CSVVal,_xlfn.XLOOKUP($A386,CSV!$A:$A,CSV!AG:AG,""),
_xlpm.MacVal,_xlfn.XLOOKUP($A386,Output_Mac!$A:$A,Output_Mac!U:U,""),
_xlpm.MyAuditVal,_xlfn.XLOOKUP($A386,My_Audit!$A:$A,My_Audit!O:O,""),
_xlfn.IFS(_xlpm.MyAuditVal&lt;&gt;"",UPPER(_xlpm.MyAuditVal),_xlpm.MacVal&lt;&gt;"",_xlpm.MacVal,_xlpm.CSVVal&lt;&gt;"",_xlpm.CSVVal
)),"")</f>
        <v/>
      </c>
      <c r="O386" s="46" t="str">
        <f>_xlfn.XLOOKUP(C386,My_Audit!B:B,My_Audit!P:P,"")&amp;""</f>
        <v/>
      </c>
      <c r="P386" s="45"/>
      <c r="Q386" s="46" t="str">
        <f>IF(LEFT(N386,4)="Pass","Nist SP 800-88",My_Audit!R386)&amp;""</f>
        <v/>
      </c>
      <c r="R386" s="45"/>
      <c r="S386" s="45"/>
      <c r="T386" s="46" t="str">
        <f>_xlfn.XLOOKUP(E386,Models!I:I,Models!J:J,"")</f>
        <v/>
      </c>
      <c r="U386" s="45"/>
      <c r="V386" s="45"/>
      <c r="W386" s="38"/>
    </row>
    <row r="387" spans="1:23">
      <c r="A387" s="45" t="str">
        <f>_xlfn.TEXTJOIN("",TRUE,Input!$B$2,ROW(My_Audit!A386))</f>
        <v>XX386</v>
      </c>
      <c r="B387" s="45" t="str">
        <f>_xlfn.TEXTJOIN("-",TRUE,"ITD",Input!$A$2,A387)</f>
        <v>ITD-SHRXXX-XX386</v>
      </c>
      <c r="C387" s="45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46" t="str" cm="1">
        <f t="array" ref="D387">IFERROR(_xlfn.LET(
_xlpm.CSVVal,_xlfn.XLOOKUP($A387,CSV!$A:$A,CSV!C:C,""),
_xlpm.MacVal,_xlfn.XLOOKUP($A387,Output_Mac!$A:$A,Output_Mac!D:D,""),
_xlpm.MyAuditVal,_xlfn.XLOOKUP($A387,My_Audit!$A:$A,My_Audit!C:C,""),
_xlfn.IFS(_xlpm.MyAuditVal&lt;&gt;"",UPPER(_xlpm.MyAuditVal),_xlpm.MacVal&lt;&gt;"",_xlpm.MacVal,_xlpm.CSVVal&lt;&gt;"",_xlpm.CSVVal
)),"")</f>
        <v/>
      </c>
      <c r="E387" s="46" t="str" cm="1">
        <f t="array" ref="E387">IFERROR(_xlfn.LET(
_xlpm.CSVVal,_xlfn.XLOOKUP($A387,CSV!$A:$A,CSV!E:E,""),
_xlpm.MacVal,_xlfn.XLOOKUP($A387,Output_Mac!$A:$A,Output_Mac!C:C,""),
_xlpm.MyAuditVal,_xlfn.XLOOKUP($A387,My_Audit!$A:$A,My_Audit!D:D,""),
_xlfn.IFS(_xlpm.MyAuditVal&lt;&gt;"",_xlpm.MyAuditVal,_xlpm.MacVal&lt;&gt;"",_xlpm.MacVal,_xlpm.CSVVal&lt;&gt;"",_xlpm.CSVVal
)),"")</f>
        <v/>
      </c>
      <c r="F387" s="45" t="str" cm="1">
        <f t="array" ref="F387">IFERROR(_xlfn.LET(
_xlpm.CSVVal,_xlfn.XLOOKUP($A387,CSV!$A:$A,CSV!F:F,""),
_xlpm.MacVal,_xlfn.XLOOKUP($A387,Output_Mac!$A:$A,Output_Mac!F:F,""),
_xlpm.MyAuditVal,_xlfn.XLOOKUP($A387,My_Audit!$A:$A,My_Audit!E:E,""),
_xlfn.IFS(_xlpm.MyAuditVal&lt;&gt;"",_xlpm.MyAuditVal,_xlpm.MacVal&lt;&gt;"",_xlpm.MacVal,_xlpm.CSVVal&lt;&gt;"",PROPER(_xlpm.CSVVal)
)),"")</f>
        <v/>
      </c>
      <c r="G387" s="45" t="str" cm="1">
        <f t="array" ref="G387">IFERROR(_xlfn.LET(
_xlpm.CSVVal,_xlfn.XLOOKUP($A387,CSV!$A:$A,CSV!G:G,""),
_xlpm.MacVal,_xlfn.XLOOKUP($A387,Output_Mac!$A:$A,Output_Mac!H:H,""),
_xlpm.MyAuditVal,_xlfn.XLOOKUP($A387,My_Audit!$A:$A,My_Audit!F:F,""),
_xlfn.IFS(_xlpm.MyAuditVal&lt;&gt;"",_xlpm.MyAuditVal,_xlpm.MacVal&lt;&gt;"",_xlpm.MacVal,_xlpm.CSVVal&lt;&gt;"",_xlpm.CSVVal
)),"")</f>
        <v/>
      </c>
      <c r="H387" s="45" t="str">
        <f>_xlfn.XLOOKUP(A387,Output_Mac!A:A,Output_Mac!I:I,"")</f>
        <v/>
      </c>
      <c r="I387" s="45" t="str" cm="1">
        <f t="array" ref="I387">IFERROR(_xlfn.LET(
_xlpm.CSVVal,_xlfn.XLOOKUP($A387,CSV!$A:$A,CSV!H:H,""),
_xlpm.MacVal,_xlfn.XLOOKUP($A387,Output_Mac!$A:$A,Output_Mac!J:J,""),
_xlpm.MyAuditVal,_xlfn.XLOOKUP($A387,My_Audit!$A:$A,My_Audit!H:H,""),
_xlfn.IFS(_xlpm.MyAuditVal&lt;&gt;"",UPPER(_xlpm.MyAuditVal),_xlpm.MacVal&lt;&gt;"",_xlpm.MacVal,_xlpm.CSVVal&lt;&gt;"",_xlpm.CSVVal
)),"")</f>
        <v/>
      </c>
      <c r="J387" s="45" t="str" cm="1">
        <f t="array" ref="J387">IFERROR(_xlfn.LET(
_xlpm.CSVVal,_xlfn.XLOOKUP($A387,CSV!$A:$A,CSV!J:J,""),
_xlpm.MacVal,_xlfn.XLOOKUP($A387,Output_Mac!$A:$A,Output_Mac!K:K,""),
_xlpm.MyAuditVal,_xlfn.XLOOKUP($A387,My_Audit!$A:$A,My_Audit!I:I,""),
_xlfn.IFS(_xlpm.MyAuditVal&lt;&gt;"",UPPER(_xlpm.MyAuditVal),_xlpm.MacVal&lt;&gt;"",_xlpm.MacVal,_xlpm.CSVVal&lt;&gt;"",_xlpm.CSVVal
)),"")</f>
        <v/>
      </c>
      <c r="K387" s="45" t="str" cm="1">
        <f t="array" ref="K387">IFERROR(_xlfn.LET(
_xlpm.CSVVal,_xlfn.XLOOKUP($A387,CSV!$A:$A,CSV!N:N,""),
_xlpm.MacVal,_xlfn.XLOOKUP($A387,Output_Mac!$A:$A,Output_Mac!L:L,""),
_xlpm.MyAuditVal,_xlfn.XLOOKUP($A387,My_Audit!$A:$A,My_Audit!J:J,""),
_xlfn.IFS(_xlpm.MyAuditVal&lt;&gt;"",UPPER(_xlpm.MyAuditVal),_xlpm.MacVal&lt;&gt;"",_xlpm.MacVal,_xlpm.CSVVal&lt;&gt;"",_xlpm.CSVVal
)),"")</f>
        <v/>
      </c>
      <c r="L387" s="45" t="str" cm="1">
        <f t="array" ref="L387">IFERROR(_xlfn.LET(
_xlpm.CSVVal,_xlfn.XLOOKUP($A387,CSV!$A:$A,CSV!P:P,""),
_xlpm.MacVal,_xlfn.XLOOKUP($A387,Output_Mac!$A:$A,Output_Mac!M:M,""),
_xlpm.MyAuditVal,_xlfn.XLOOKUP($A387,My_Audit!$A:$A,My_Audit!K:K,""),
_xlfn.IFS(_xlpm.MyAuditVal&lt;&gt;"",UPPER(_xlpm.MyAuditVal),_xlpm.MacVal&lt;&gt;"",_xlpm.MacVal,_xlpm.CSVVal&lt;&gt;"",_xlpm.CSVVal
)),"")</f>
        <v/>
      </c>
      <c r="M387" s="45" t="str">
        <f>_xlfn.LET(
    _xlpm.CSVVal, _xlfn.XLOOKUP($A387, CSV!$A:$A, CSV!AE:AE, ""),
    _xlpm.MacVal, _xlfn.XLOOKUP($A387, Output_Mac!$A:$A, Output_Mac!S:S, ""),
    _xlpm.MyAuditVal, _xlfn.XLOOKUP($A387, My_Audit!$A:$A, My_Audit!N:N, ""),
    _xlfn.TEXTJOIN(", ", TRUE, _xlpm.MyAuditVal, _xlpm.MacVal, _xlpm.CSVVal)
)</f>
        <v/>
      </c>
      <c r="N387" s="45" t="str" cm="1">
        <f t="array" ref="N387">IFERROR(_xlfn.LET(
_xlpm.CSVVal,_xlfn.XLOOKUP($A387,CSV!$A:$A,CSV!AG:AG,""),
_xlpm.MacVal,_xlfn.XLOOKUP($A387,Output_Mac!$A:$A,Output_Mac!U:U,""),
_xlpm.MyAuditVal,_xlfn.XLOOKUP($A387,My_Audit!$A:$A,My_Audit!O:O,""),
_xlfn.IFS(_xlpm.MyAuditVal&lt;&gt;"",UPPER(_xlpm.MyAuditVal),_xlpm.MacVal&lt;&gt;"",_xlpm.MacVal,_xlpm.CSVVal&lt;&gt;"",_xlpm.CSVVal
)),"")</f>
        <v/>
      </c>
      <c r="O387" s="46" t="str">
        <f>_xlfn.XLOOKUP(C387,My_Audit!B:B,My_Audit!P:P,"")&amp;""</f>
        <v/>
      </c>
      <c r="P387" s="45"/>
      <c r="Q387" s="46" t="str">
        <f>IF(LEFT(N387,4)="Pass","Nist SP 800-88",My_Audit!R387)&amp;""</f>
        <v/>
      </c>
      <c r="R387" s="45"/>
      <c r="S387" s="45"/>
      <c r="T387" s="46" t="str">
        <f>_xlfn.XLOOKUP(E387,Models!I:I,Models!J:J,"")</f>
        <v/>
      </c>
      <c r="U387" s="45"/>
      <c r="V387" s="45"/>
      <c r="W387" s="38"/>
    </row>
    <row r="388" spans="1:23">
      <c r="A388" s="45" t="str">
        <f>_xlfn.TEXTJOIN("",TRUE,Input!$B$2,ROW(My_Audit!A387))</f>
        <v>XX387</v>
      </c>
      <c r="B388" s="45" t="str">
        <f>_xlfn.TEXTJOIN("-",TRUE,"ITD",Input!$A$2,A388)</f>
        <v>ITD-SHRXXX-XX387</v>
      </c>
      <c r="C388" s="45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46" t="str" cm="1">
        <f t="array" ref="D388">IFERROR(_xlfn.LET(
_xlpm.CSVVal,_xlfn.XLOOKUP($A388,CSV!$A:$A,CSV!C:C,""),
_xlpm.MacVal,_xlfn.XLOOKUP($A388,Output_Mac!$A:$A,Output_Mac!D:D,""),
_xlpm.MyAuditVal,_xlfn.XLOOKUP($A388,My_Audit!$A:$A,My_Audit!C:C,""),
_xlfn.IFS(_xlpm.MyAuditVal&lt;&gt;"",UPPER(_xlpm.MyAuditVal),_xlpm.MacVal&lt;&gt;"",_xlpm.MacVal,_xlpm.CSVVal&lt;&gt;"",_xlpm.CSVVal
)),"")</f>
        <v/>
      </c>
      <c r="E388" s="46" t="str" cm="1">
        <f t="array" ref="E388">IFERROR(_xlfn.LET(
_xlpm.CSVVal,_xlfn.XLOOKUP($A388,CSV!$A:$A,CSV!E:E,""),
_xlpm.MacVal,_xlfn.XLOOKUP($A388,Output_Mac!$A:$A,Output_Mac!C:C,""),
_xlpm.MyAuditVal,_xlfn.XLOOKUP($A388,My_Audit!$A:$A,My_Audit!D:D,""),
_xlfn.IFS(_xlpm.MyAuditVal&lt;&gt;"",_xlpm.MyAuditVal,_xlpm.MacVal&lt;&gt;"",_xlpm.MacVal,_xlpm.CSVVal&lt;&gt;"",_xlpm.CSVVal
)),"")</f>
        <v/>
      </c>
      <c r="F388" s="45" t="str" cm="1">
        <f t="array" ref="F388">IFERROR(_xlfn.LET(
_xlpm.CSVVal,_xlfn.XLOOKUP($A388,CSV!$A:$A,CSV!F:F,""),
_xlpm.MacVal,_xlfn.XLOOKUP($A388,Output_Mac!$A:$A,Output_Mac!F:F,""),
_xlpm.MyAuditVal,_xlfn.XLOOKUP($A388,My_Audit!$A:$A,My_Audit!E:E,""),
_xlfn.IFS(_xlpm.MyAuditVal&lt;&gt;"",_xlpm.MyAuditVal,_xlpm.MacVal&lt;&gt;"",_xlpm.MacVal,_xlpm.CSVVal&lt;&gt;"",PROPER(_xlpm.CSVVal)
)),"")</f>
        <v/>
      </c>
      <c r="G388" s="45" t="str" cm="1">
        <f t="array" ref="G388">IFERROR(_xlfn.LET(
_xlpm.CSVVal,_xlfn.XLOOKUP($A388,CSV!$A:$A,CSV!G:G,""),
_xlpm.MacVal,_xlfn.XLOOKUP($A388,Output_Mac!$A:$A,Output_Mac!H:H,""),
_xlpm.MyAuditVal,_xlfn.XLOOKUP($A388,My_Audit!$A:$A,My_Audit!F:F,""),
_xlfn.IFS(_xlpm.MyAuditVal&lt;&gt;"",_xlpm.MyAuditVal,_xlpm.MacVal&lt;&gt;"",_xlpm.MacVal,_xlpm.CSVVal&lt;&gt;"",_xlpm.CSVVal
)),"")</f>
        <v/>
      </c>
      <c r="H388" s="45" t="str">
        <f>_xlfn.XLOOKUP(A388,Output_Mac!A:A,Output_Mac!I:I,"")</f>
        <v/>
      </c>
      <c r="I388" s="45" t="str" cm="1">
        <f t="array" ref="I388">IFERROR(_xlfn.LET(
_xlpm.CSVVal,_xlfn.XLOOKUP($A388,CSV!$A:$A,CSV!H:H,""),
_xlpm.MacVal,_xlfn.XLOOKUP($A388,Output_Mac!$A:$A,Output_Mac!J:J,""),
_xlpm.MyAuditVal,_xlfn.XLOOKUP($A388,My_Audit!$A:$A,My_Audit!H:H,""),
_xlfn.IFS(_xlpm.MyAuditVal&lt;&gt;"",UPPER(_xlpm.MyAuditVal),_xlpm.MacVal&lt;&gt;"",_xlpm.MacVal,_xlpm.CSVVal&lt;&gt;"",_xlpm.CSVVal
)),"")</f>
        <v/>
      </c>
      <c r="J388" s="45" t="str" cm="1">
        <f t="array" ref="J388">IFERROR(_xlfn.LET(
_xlpm.CSVVal,_xlfn.XLOOKUP($A388,CSV!$A:$A,CSV!J:J,""),
_xlpm.MacVal,_xlfn.XLOOKUP($A388,Output_Mac!$A:$A,Output_Mac!K:K,""),
_xlpm.MyAuditVal,_xlfn.XLOOKUP($A388,My_Audit!$A:$A,My_Audit!I:I,""),
_xlfn.IFS(_xlpm.MyAuditVal&lt;&gt;"",UPPER(_xlpm.MyAuditVal),_xlpm.MacVal&lt;&gt;"",_xlpm.MacVal,_xlpm.CSVVal&lt;&gt;"",_xlpm.CSVVal
)),"")</f>
        <v/>
      </c>
      <c r="K388" s="45" t="str" cm="1">
        <f t="array" ref="K388">IFERROR(_xlfn.LET(
_xlpm.CSVVal,_xlfn.XLOOKUP($A388,CSV!$A:$A,CSV!N:N,""),
_xlpm.MacVal,_xlfn.XLOOKUP($A388,Output_Mac!$A:$A,Output_Mac!L:L,""),
_xlpm.MyAuditVal,_xlfn.XLOOKUP($A388,My_Audit!$A:$A,My_Audit!J:J,""),
_xlfn.IFS(_xlpm.MyAuditVal&lt;&gt;"",UPPER(_xlpm.MyAuditVal),_xlpm.MacVal&lt;&gt;"",_xlpm.MacVal,_xlpm.CSVVal&lt;&gt;"",_xlpm.CSVVal
)),"")</f>
        <v/>
      </c>
      <c r="L388" s="45" t="str" cm="1">
        <f t="array" ref="L388">IFERROR(_xlfn.LET(
_xlpm.CSVVal,_xlfn.XLOOKUP($A388,CSV!$A:$A,CSV!P:P,""),
_xlpm.MacVal,_xlfn.XLOOKUP($A388,Output_Mac!$A:$A,Output_Mac!M:M,""),
_xlpm.MyAuditVal,_xlfn.XLOOKUP($A388,My_Audit!$A:$A,My_Audit!K:K,""),
_xlfn.IFS(_xlpm.MyAuditVal&lt;&gt;"",UPPER(_xlpm.MyAuditVal),_xlpm.MacVal&lt;&gt;"",_xlpm.MacVal,_xlpm.CSVVal&lt;&gt;"",_xlpm.CSVVal
)),"")</f>
        <v/>
      </c>
      <c r="M388" s="45" t="str">
        <f>_xlfn.LET(
    _xlpm.CSVVal, _xlfn.XLOOKUP($A388, CSV!$A:$A, CSV!AE:AE, ""),
    _xlpm.MacVal, _xlfn.XLOOKUP($A388, Output_Mac!$A:$A, Output_Mac!S:S, ""),
    _xlpm.MyAuditVal, _xlfn.XLOOKUP($A388, My_Audit!$A:$A, My_Audit!N:N, ""),
    _xlfn.TEXTJOIN(", ", TRUE, _xlpm.MyAuditVal, _xlpm.MacVal, _xlpm.CSVVal)
)</f>
        <v/>
      </c>
      <c r="N388" s="45" t="str" cm="1">
        <f t="array" ref="N388">IFERROR(_xlfn.LET(
_xlpm.CSVVal,_xlfn.XLOOKUP($A388,CSV!$A:$A,CSV!AG:AG,""),
_xlpm.MacVal,_xlfn.XLOOKUP($A388,Output_Mac!$A:$A,Output_Mac!U:U,""),
_xlpm.MyAuditVal,_xlfn.XLOOKUP($A388,My_Audit!$A:$A,My_Audit!O:O,""),
_xlfn.IFS(_xlpm.MyAuditVal&lt;&gt;"",UPPER(_xlpm.MyAuditVal),_xlpm.MacVal&lt;&gt;"",_xlpm.MacVal,_xlpm.CSVVal&lt;&gt;"",_xlpm.CSVVal
)),"")</f>
        <v/>
      </c>
      <c r="O388" s="46" t="str">
        <f>_xlfn.XLOOKUP(C388,My_Audit!B:B,My_Audit!P:P,"")&amp;""</f>
        <v/>
      </c>
      <c r="P388" s="45"/>
      <c r="Q388" s="46" t="str">
        <f>IF(LEFT(N388,4)="Pass","Nist SP 800-88",My_Audit!R388)&amp;""</f>
        <v/>
      </c>
      <c r="R388" s="45"/>
      <c r="S388" s="45"/>
      <c r="T388" s="46" t="str">
        <f>_xlfn.XLOOKUP(E388,Models!I:I,Models!J:J,"")</f>
        <v/>
      </c>
      <c r="U388" s="45"/>
      <c r="V388" s="45"/>
      <c r="W388" s="38"/>
    </row>
    <row r="389" spans="1:23">
      <c r="A389" s="45" t="str">
        <f>_xlfn.TEXTJOIN("",TRUE,Input!$B$2,ROW(My_Audit!A388))</f>
        <v>XX388</v>
      </c>
      <c r="B389" s="45" t="str">
        <f>_xlfn.TEXTJOIN("-",TRUE,"ITD",Input!$A$2,A389)</f>
        <v>ITD-SHRXXX-XX388</v>
      </c>
      <c r="C389" s="45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46" t="str" cm="1">
        <f t="array" ref="D389">IFERROR(_xlfn.LET(
_xlpm.CSVVal,_xlfn.XLOOKUP($A389,CSV!$A:$A,CSV!C:C,""),
_xlpm.MacVal,_xlfn.XLOOKUP($A389,Output_Mac!$A:$A,Output_Mac!D:D,""),
_xlpm.MyAuditVal,_xlfn.XLOOKUP($A389,My_Audit!$A:$A,My_Audit!C:C,""),
_xlfn.IFS(_xlpm.MyAuditVal&lt;&gt;"",UPPER(_xlpm.MyAuditVal),_xlpm.MacVal&lt;&gt;"",_xlpm.MacVal,_xlpm.CSVVal&lt;&gt;"",_xlpm.CSVVal
)),"")</f>
        <v/>
      </c>
      <c r="E389" s="46" t="str" cm="1">
        <f t="array" ref="E389">IFERROR(_xlfn.LET(
_xlpm.CSVVal,_xlfn.XLOOKUP($A389,CSV!$A:$A,CSV!E:E,""),
_xlpm.MacVal,_xlfn.XLOOKUP($A389,Output_Mac!$A:$A,Output_Mac!C:C,""),
_xlpm.MyAuditVal,_xlfn.XLOOKUP($A389,My_Audit!$A:$A,My_Audit!D:D,""),
_xlfn.IFS(_xlpm.MyAuditVal&lt;&gt;"",_xlpm.MyAuditVal,_xlpm.MacVal&lt;&gt;"",_xlpm.MacVal,_xlpm.CSVVal&lt;&gt;"",_xlpm.CSVVal
)),"")</f>
        <v/>
      </c>
      <c r="F389" s="45" t="str" cm="1">
        <f t="array" ref="F389">IFERROR(_xlfn.LET(
_xlpm.CSVVal,_xlfn.XLOOKUP($A389,CSV!$A:$A,CSV!F:F,""),
_xlpm.MacVal,_xlfn.XLOOKUP($A389,Output_Mac!$A:$A,Output_Mac!F:F,""),
_xlpm.MyAuditVal,_xlfn.XLOOKUP($A389,My_Audit!$A:$A,My_Audit!E:E,""),
_xlfn.IFS(_xlpm.MyAuditVal&lt;&gt;"",_xlpm.MyAuditVal,_xlpm.MacVal&lt;&gt;"",_xlpm.MacVal,_xlpm.CSVVal&lt;&gt;"",PROPER(_xlpm.CSVVal)
)),"")</f>
        <v/>
      </c>
      <c r="G389" s="45" t="str" cm="1">
        <f t="array" ref="G389">IFERROR(_xlfn.LET(
_xlpm.CSVVal,_xlfn.XLOOKUP($A389,CSV!$A:$A,CSV!G:G,""),
_xlpm.MacVal,_xlfn.XLOOKUP($A389,Output_Mac!$A:$A,Output_Mac!H:H,""),
_xlpm.MyAuditVal,_xlfn.XLOOKUP($A389,My_Audit!$A:$A,My_Audit!F:F,""),
_xlfn.IFS(_xlpm.MyAuditVal&lt;&gt;"",_xlpm.MyAuditVal,_xlpm.MacVal&lt;&gt;"",_xlpm.MacVal,_xlpm.CSVVal&lt;&gt;"",_xlpm.CSVVal
)),"")</f>
        <v/>
      </c>
      <c r="H389" s="45" t="str">
        <f>_xlfn.XLOOKUP(A389,Output_Mac!A:A,Output_Mac!I:I,"")</f>
        <v/>
      </c>
      <c r="I389" s="45" t="str" cm="1">
        <f t="array" ref="I389">IFERROR(_xlfn.LET(
_xlpm.CSVVal,_xlfn.XLOOKUP($A389,CSV!$A:$A,CSV!H:H,""),
_xlpm.MacVal,_xlfn.XLOOKUP($A389,Output_Mac!$A:$A,Output_Mac!J:J,""),
_xlpm.MyAuditVal,_xlfn.XLOOKUP($A389,My_Audit!$A:$A,My_Audit!H:H,""),
_xlfn.IFS(_xlpm.MyAuditVal&lt;&gt;"",UPPER(_xlpm.MyAuditVal),_xlpm.MacVal&lt;&gt;"",_xlpm.MacVal,_xlpm.CSVVal&lt;&gt;"",_xlpm.CSVVal
)),"")</f>
        <v/>
      </c>
      <c r="J389" s="45" t="str" cm="1">
        <f t="array" ref="J389">IFERROR(_xlfn.LET(
_xlpm.CSVVal,_xlfn.XLOOKUP($A389,CSV!$A:$A,CSV!J:J,""),
_xlpm.MacVal,_xlfn.XLOOKUP($A389,Output_Mac!$A:$A,Output_Mac!K:K,""),
_xlpm.MyAuditVal,_xlfn.XLOOKUP($A389,My_Audit!$A:$A,My_Audit!I:I,""),
_xlfn.IFS(_xlpm.MyAuditVal&lt;&gt;"",UPPER(_xlpm.MyAuditVal),_xlpm.MacVal&lt;&gt;"",_xlpm.MacVal,_xlpm.CSVVal&lt;&gt;"",_xlpm.CSVVal
)),"")</f>
        <v/>
      </c>
      <c r="K389" s="45" t="str" cm="1">
        <f t="array" ref="K389">IFERROR(_xlfn.LET(
_xlpm.CSVVal,_xlfn.XLOOKUP($A389,CSV!$A:$A,CSV!N:N,""),
_xlpm.MacVal,_xlfn.XLOOKUP($A389,Output_Mac!$A:$A,Output_Mac!L:L,""),
_xlpm.MyAuditVal,_xlfn.XLOOKUP($A389,My_Audit!$A:$A,My_Audit!J:J,""),
_xlfn.IFS(_xlpm.MyAuditVal&lt;&gt;"",UPPER(_xlpm.MyAuditVal),_xlpm.MacVal&lt;&gt;"",_xlpm.MacVal,_xlpm.CSVVal&lt;&gt;"",_xlpm.CSVVal
)),"")</f>
        <v/>
      </c>
      <c r="L389" s="45" t="str" cm="1">
        <f t="array" ref="L389">IFERROR(_xlfn.LET(
_xlpm.CSVVal,_xlfn.XLOOKUP($A389,CSV!$A:$A,CSV!P:P,""),
_xlpm.MacVal,_xlfn.XLOOKUP($A389,Output_Mac!$A:$A,Output_Mac!M:M,""),
_xlpm.MyAuditVal,_xlfn.XLOOKUP($A389,My_Audit!$A:$A,My_Audit!K:K,""),
_xlfn.IFS(_xlpm.MyAuditVal&lt;&gt;"",UPPER(_xlpm.MyAuditVal),_xlpm.MacVal&lt;&gt;"",_xlpm.MacVal,_xlpm.CSVVal&lt;&gt;"",_xlpm.CSVVal
)),"")</f>
        <v/>
      </c>
      <c r="M389" s="45" t="str">
        <f>_xlfn.LET(
    _xlpm.CSVVal, _xlfn.XLOOKUP($A389, CSV!$A:$A, CSV!AE:AE, ""),
    _xlpm.MacVal, _xlfn.XLOOKUP($A389, Output_Mac!$A:$A, Output_Mac!S:S, ""),
    _xlpm.MyAuditVal, _xlfn.XLOOKUP($A389, My_Audit!$A:$A, My_Audit!N:N, ""),
    _xlfn.TEXTJOIN(", ", TRUE, _xlpm.MyAuditVal, _xlpm.MacVal, _xlpm.CSVVal)
)</f>
        <v/>
      </c>
      <c r="N389" s="45" t="str" cm="1">
        <f t="array" ref="N389">IFERROR(_xlfn.LET(
_xlpm.CSVVal,_xlfn.XLOOKUP($A389,CSV!$A:$A,CSV!AG:AG,""),
_xlpm.MacVal,_xlfn.XLOOKUP($A389,Output_Mac!$A:$A,Output_Mac!U:U,""),
_xlpm.MyAuditVal,_xlfn.XLOOKUP($A389,My_Audit!$A:$A,My_Audit!O:O,""),
_xlfn.IFS(_xlpm.MyAuditVal&lt;&gt;"",UPPER(_xlpm.MyAuditVal),_xlpm.MacVal&lt;&gt;"",_xlpm.MacVal,_xlpm.CSVVal&lt;&gt;"",_xlpm.CSVVal
)),"")</f>
        <v/>
      </c>
      <c r="O389" s="46" t="str">
        <f>_xlfn.XLOOKUP(C389,My_Audit!B:B,My_Audit!P:P,"")&amp;""</f>
        <v/>
      </c>
      <c r="P389" s="45"/>
      <c r="Q389" s="46" t="str">
        <f>IF(LEFT(N389,4)="Pass","Nist SP 800-88",My_Audit!R389)&amp;""</f>
        <v/>
      </c>
      <c r="R389" s="45"/>
      <c r="S389" s="45"/>
      <c r="T389" s="46" t="str">
        <f>_xlfn.XLOOKUP(E389,Models!I:I,Models!J:J,"")</f>
        <v/>
      </c>
      <c r="U389" s="45"/>
      <c r="V389" s="45"/>
      <c r="W389" s="38"/>
    </row>
    <row r="390" spans="1:23">
      <c r="A390" s="45" t="str">
        <f>_xlfn.TEXTJOIN("",TRUE,Input!$B$2,ROW(My_Audit!A389))</f>
        <v>XX389</v>
      </c>
      <c r="B390" s="45" t="str">
        <f>_xlfn.TEXTJOIN("-",TRUE,"ITD",Input!$A$2,A390)</f>
        <v>ITD-SHRXXX-XX389</v>
      </c>
      <c r="C390" s="45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46" t="str" cm="1">
        <f t="array" ref="D390">IFERROR(_xlfn.LET(
_xlpm.CSVVal,_xlfn.XLOOKUP($A390,CSV!$A:$A,CSV!C:C,""),
_xlpm.MacVal,_xlfn.XLOOKUP($A390,Output_Mac!$A:$A,Output_Mac!D:D,""),
_xlpm.MyAuditVal,_xlfn.XLOOKUP($A390,My_Audit!$A:$A,My_Audit!C:C,""),
_xlfn.IFS(_xlpm.MyAuditVal&lt;&gt;"",UPPER(_xlpm.MyAuditVal),_xlpm.MacVal&lt;&gt;"",_xlpm.MacVal,_xlpm.CSVVal&lt;&gt;"",_xlpm.CSVVal
)),"")</f>
        <v/>
      </c>
      <c r="E390" s="46" t="str" cm="1">
        <f t="array" ref="E390">IFERROR(_xlfn.LET(
_xlpm.CSVVal,_xlfn.XLOOKUP($A390,CSV!$A:$A,CSV!E:E,""),
_xlpm.MacVal,_xlfn.XLOOKUP($A390,Output_Mac!$A:$A,Output_Mac!C:C,""),
_xlpm.MyAuditVal,_xlfn.XLOOKUP($A390,My_Audit!$A:$A,My_Audit!D:D,""),
_xlfn.IFS(_xlpm.MyAuditVal&lt;&gt;"",_xlpm.MyAuditVal,_xlpm.MacVal&lt;&gt;"",_xlpm.MacVal,_xlpm.CSVVal&lt;&gt;"",_xlpm.CSVVal
)),"")</f>
        <v/>
      </c>
      <c r="F390" s="45" t="str" cm="1">
        <f t="array" ref="F390">IFERROR(_xlfn.LET(
_xlpm.CSVVal,_xlfn.XLOOKUP($A390,CSV!$A:$A,CSV!F:F,""),
_xlpm.MacVal,_xlfn.XLOOKUP($A390,Output_Mac!$A:$A,Output_Mac!F:F,""),
_xlpm.MyAuditVal,_xlfn.XLOOKUP($A390,My_Audit!$A:$A,My_Audit!E:E,""),
_xlfn.IFS(_xlpm.MyAuditVal&lt;&gt;"",_xlpm.MyAuditVal,_xlpm.MacVal&lt;&gt;"",_xlpm.MacVal,_xlpm.CSVVal&lt;&gt;"",PROPER(_xlpm.CSVVal)
)),"")</f>
        <v/>
      </c>
      <c r="G390" s="45" t="str" cm="1">
        <f t="array" ref="G390">IFERROR(_xlfn.LET(
_xlpm.CSVVal,_xlfn.XLOOKUP($A390,CSV!$A:$A,CSV!G:G,""),
_xlpm.MacVal,_xlfn.XLOOKUP($A390,Output_Mac!$A:$A,Output_Mac!H:H,""),
_xlpm.MyAuditVal,_xlfn.XLOOKUP($A390,My_Audit!$A:$A,My_Audit!F:F,""),
_xlfn.IFS(_xlpm.MyAuditVal&lt;&gt;"",_xlpm.MyAuditVal,_xlpm.MacVal&lt;&gt;"",_xlpm.MacVal,_xlpm.CSVVal&lt;&gt;"",_xlpm.CSVVal
)),"")</f>
        <v/>
      </c>
      <c r="H390" s="45" t="str">
        <f>_xlfn.XLOOKUP(A390,Output_Mac!A:A,Output_Mac!I:I,"")</f>
        <v/>
      </c>
      <c r="I390" s="45" t="str" cm="1">
        <f t="array" ref="I390">IFERROR(_xlfn.LET(
_xlpm.CSVVal,_xlfn.XLOOKUP($A390,CSV!$A:$A,CSV!H:H,""),
_xlpm.MacVal,_xlfn.XLOOKUP($A390,Output_Mac!$A:$A,Output_Mac!J:J,""),
_xlpm.MyAuditVal,_xlfn.XLOOKUP($A390,My_Audit!$A:$A,My_Audit!H:H,""),
_xlfn.IFS(_xlpm.MyAuditVal&lt;&gt;"",UPPER(_xlpm.MyAuditVal),_xlpm.MacVal&lt;&gt;"",_xlpm.MacVal,_xlpm.CSVVal&lt;&gt;"",_xlpm.CSVVal
)),"")</f>
        <v/>
      </c>
      <c r="J390" s="45" t="str" cm="1">
        <f t="array" ref="J390">IFERROR(_xlfn.LET(
_xlpm.CSVVal,_xlfn.XLOOKUP($A390,CSV!$A:$A,CSV!J:J,""),
_xlpm.MacVal,_xlfn.XLOOKUP($A390,Output_Mac!$A:$A,Output_Mac!K:K,""),
_xlpm.MyAuditVal,_xlfn.XLOOKUP($A390,My_Audit!$A:$A,My_Audit!I:I,""),
_xlfn.IFS(_xlpm.MyAuditVal&lt;&gt;"",UPPER(_xlpm.MyAuditVal),_xlpm.MacVal&lt;&gt;"",_xlpm.MacVal,_xlpm.CSVVal&lt;&gt;"",_xlpm.CSVVal
)),"")</f>
        <v/>
      </c>
      <c r="K390" s="45" t="str" cm="1">
        <f t="array" ref="K390">IFERROR(_xlfn.LET(
_xlpm.CSVVal,_xlfn.XLOOKUP($A390,CSV!$A:$A,CSV!N:N,""),
_xlpm.MacVal,_xlfn.XLOOKUP($A390,Output_Mac!$A:$A,Output_Mac!L:L,""),
_xlpm.MyAuditVal,_xlfn.XLOOKUP($A390,My_Audit!$A:$A,My_Audit!J:J,""),
_xlfn.IFS(_xlpm.MyAuditVal&lt;&gt;"",UPPER(_xlpm.MyAuditVal),_xlpm.MacVal&lt;&gt;"",_xlpm.MacVal,_xlpm.CSVVal&lt;&gt;"",_xlpm.CSVVal
)),"")</f>
        <v/>
      </c>
      <c r="L390" s="45" t="str" cm="1">
        <f t="array" ref="L390">IFERROR(_xlfn.LET(
_xlpm.CSVVal,_xlfn.XLOOKUP($A390,CSV!$A:$A,CSV!P:P,""),
_xlpm.MacVal,_xlfn.XLOOKUP($A390,Output_Mac!$A:$A,Output_Mac!M:M,""),
_xlpm.MyAuditVal,_xlfn.XLOOKUP($A390,My_Audit!$A:$A,My_Audit!K:K,""),
_xlfn.IFS(_xlpm.MyAuditVal&lt;&gt;"",UPPER(_xlpm.MyAuditVal),_xlpm.MacVal&lt;&gt;"",_xlpm.MacVal,_xlpm.CSVVal&lt;&gt;"",_xlpm.CSVVal
)),"")</f>
        <v/>
      </c>
      <c r="M390" s="45" t="str">
        <f>_xlfn.LET(
    _xlpm.CSVVal, _xlfn.XLOOKUP($A390, CSV!$A:$A, CSV!AE:AE, ""),
    _xlpm.MacVal, _xlfn.XLOOKUP($A390, Output_Mac!$A:$A, Output_Mac!S:S, ""),
    _xlpm.MyAuditVal, _xlfn.XLOOKUP($A390, My_Audit!$A:$A, My_Audit!N:N, ""),
    _xlfn.TEXTJOIN(", ", TRUE, _xlpm.MyAuditVal, _xlpm.MacVal, _xlpm.CSVVal)
)</f>
        <v/>
      </c>
      <c r="N390" s="45" t="str" cm="1">
        <f t="array" ref="N390">IFERROR(_xlfn.LET(
_xlpm.CSVVal,_xlfn.XLOOKUP($A390,CSV!$A:$A,CSV!AG:AG,""),
_xlpm.MacVal,_xlfn.XLOOKUP($A390,Output_Mac!$A:$A,Output_Mac!U:U,""),
_xlpm.MyAuditVal,_xlfn.XLOOKUP($A390,My_Audit!$A:$A,My_Audit!O:O,""),
_xlfn.IFS(_xlpm.MyAuditVal&lt;&gt;"",UPPER(_xlpm.MyAuditVal),_xlpm.MacVal&lt;&gt;"",_xlpm.MacVal,_xlpm.CSVVal&lt;&gt;"",_xlpm.CSVVal
)),"")</f>
        <v/>
      </c>
      <c r="O390" s="46" t="str">
        <f>_xlfn.XLOOKUP(C390,My_Audit!B:B,My_Audit!P:P,"")&amp;""</f>
        <v/>
      </c>
      <c r="P390" s="45"/>
      <c r="Q390" s="46" t="str">
        <f>IF(LEFT(N390,4)="Pass","Nist SP 800-88",My_Audit!R390)&amp;""</f>
        <v/>
      </c>
      <c r="R390" s="45"/>
      <c r="S390" s="45"/>
      <c r="T390" s="46" t="str">
        <f>_xlfn.XLOOKUP(E390,Models!I:I,Models!J:J,"")</f>
        <v/>
      </c>
      <c r="U390" s="45"/>
      <c r="V390" s="45"/>
      <c r="W390" s="38"/>
    </row>
    <row r="391" spans="1:23">
      <c r="A391" s="45" t="str">
        <f>_xlfn.TEXTJOIN("",TRUE,Input!$B$2,ROW(My_Audit!A390))</f>
        <v>XX390</v>
      </c>
      <c r="B391" s="45" t="str">
        <f>_xlfn.TEXTJOIN("-",TRUE,"ITD",Input!$A$2,A391)</f>
        <v>ITD-SHRXXX-XX390</v>
      </c>
      <c r="C391" s="45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46" t="str" cm="1">
        <f t="array" ref="D391">IFERROR(_xlfn.LET(
_xlpm.CSVVal,_xlfn.XLOOKUP($A391,CSV!$A:$A,CSV!C:C,""),
_xlpm.MacVal,_xlfn.XLOOKUP($A391,Output_Mac!$A:$A,Output_Mac!D:D,""),
_xlpm.MyAuditVal,_xlfn.XLOOKUP($A391,My_Audit!$A:$A,My_Audit!C:C,""),
_xlfn.IFS(_xlpm.MyAuditVal&lt;&gt;"",UPPER(_xlpm.MyAuditVal),_xlpm.MacVal&lt;&gt;"",_xlpm.MacVal,_xlpm.CSVVal&lt;&gt;"",_xlpm.CSVVal
)),"")</f>
        <v/>
      </c>
      <c r="E391" s="46" t="str" cm="1">
        <f t="array" ref="E391">IFERROR(_xlfn.LET(
_xlpm.CSVVal,_xlfn.XLOOKUP($A391,CSV!$A:$A,CSV!E:E,""),
_xlpm.MacVal,_xlfn.XLOOKUP($A391,Output_Mac!$A:$A,Output_Mac!C:C,""),
_xlpm.MyAuditVal,_xlfn.XLOOKUP($A391,My_Audit!$A:$A,My_Audit!D:D,""),
_xlfn.IFS(_xlpm.MyAuditVal&lt;&gt;"",_xlpm.MyAuditVal,_xlpm.MacVal&lt;&gt;"",_xlpm.MacVal,_xlpm.CSVVal&lt;&gt;"",_xlpm.CSVVal
)),"")</f>
        <v/>
      </c>
      <c r="F391" s="45" t="str" cm="1">
        <f t="array" ref="F391">IFERROR(_xlfn.LET(
_xlpm.CSVVal,_xlfn.XLOOKUP($A391,CSV!$A:$A,CSV!F:F,""),
_xlpm.MacVal,_xlfn.XLOOKUP($A391,Output_Mac!$A:$A,Output_Mac!F:F,""),
_xlpm.MyAuditVal,_xlfn.XLOOKUP($A391,My_Audit!$A:$A,My_Audit!E:E,""),
_xlfn.IFS(_xlpm.MyAuditVal&lt;&gt;"",_xlpm.MyAuditVal,_xlpm.MacVal&lt;&gt;"",_xlpm.MacVal,_xlpm.CSVVal&lt;&gt;"",PROPER(_xlpm.CSVVal)
)),"")</f>
        <v/>
      </c>
      <c r="G391" s="45" t="str" cm="1">
        <f t="array" ref="G391">IFERROR(_xlfn.LET(
_xlpm.CSVVal,_xlfn.XLOOKUP($A391,CSV!$A:$A,CSV!G:G,""),
_xlpm.MacVal,_xlfn.XLOOKUP($A391,Output_Mac!$A:$A,Output_Mac!H:H,""),
_xlpm.MyAuditVal,_xlfn.XLOOKUP($A391,My_Audit!$A:$A,My_Audit!F:F,""),
_xlfn.IFS(_xlpm.MyAuditVal&lt;&gt;"",_xlpm.MyAuditVal,_xlpm.MacVal&lt;&gt;"",_xlpm.MacVal,_xlpm.CSVVal&lt;&gt;"",_xlpm.CSVVal
)),"")</f>
        <v/>
      </c>
      <c r="H391" s="45" t="str">
        <f>_xlfn.XLOOKUP(A391,Output_Mac!A:A,Output_Mac!I:I,"")</f>
        <v/>
      </c>
      <c r="I391" s="45" t="str" cm="1">
        <f t="array" ref="I391">IFERROR(_xlfn.LET(
_xlpm.CSVVal,_xlfn.XLOOKUP($A391,CSV!$A:$A,CSV!H:H,""),
_xlpm.MacVal,_xlfn.XLOOKUP($A391,Output_Mac!$A:$A,Output_Mac!J:J,""),
_xlpm.MyAuditVal,_xlfn.XLOOKUP($A391,My_Audit!$A:$A,My_Audit!H:H,""),
_xlfn.IFS(_xlpm.MyAuditVal&lt;&gt;"",UPPER(_xlpm.MyAuditVal),_xlpm.MacVal&lt;&gt;"",_xlpm.MacVal,_xlpm.CSVVal&lt;&gt;"",_xlpm.CSVVal
)),"")</f>
        <v/>
      </c>
      <c r="J391" s="45" t="str" cm="1">
        <f t="array" ref="J391">IFERROR(_xlfn.LET(
_xlpm.CSVVal,_xlfn.XLOOKUP($A391,CSV!$A:$A,CSV!J:J,""),
_xlpm.MacVal,_xlfn.XLOOKUP($A391,Output_Mac!$A:$A,Output_Mac!K:K,""),
_xlpm.MyAuditVal,_xlfn.XLOOKUP($A391,My_Audit!$A:$A,My_Audit!I:I,""),
_xlfn.IFS(_xlpm.MyAuditVal&lt;&gt;"",UPPER(_xlpm.MyAuditVal),_xlpm.MacVal&lt;&gt;"",_xlpm.MacVal,_xlpm.CSVVal&lt;&gt;"",_xlpm.CSVVal
)),"")</f>
        <v/>
      </c>
      <c r="K391" s="45" t="str" cm="1">
        <f t="array" ref="K391">IFERROR(_xlfn.LET(
_xlpm.CSVVal,_xlfn.XLOOKUP($A391,CSV!$A:$A,CSV!N:N,""),
_xlpm.MacVal,_xlfn.XLOOKUP($A391,Output_Mac!$A:$A,Output_Mac!L:L,""),
_xlpm.MyAuditVal,_xlfn.XLOOKUP($A391,My_Audit!$A:$A,My_Audit!J:J,""),
_xlfn.IFS(_xlpm.MyAuditVal&lt;&gt;"",UPPER(_xlpm.MyAuditVal),_xlpm.MacVal&lt;&gt;"",_xlpm.MacVal,_xlpm.CSVVal&lt;&gt;"",_xlpm.CSVVal
)),"")</f>
        <v/>
      </c>
      <c r="L391" s="45" t="str" cm="1">
        <f t="array" ref="L391">IFERROR(_xlfn.LET(
_xlpm.CSVVal,_xlfn.XLOOKUP($A391,CSV!$A:$A,CSV!P:P,""),
_xlpm.MacVal,_xlfn.XLOOKUP($A391,Output_Mac!$A:$A,Output_Mac!M:M,""),
_xlpm.MyAuditVal,_xlfn.XLOOKUP($A391,My_Audit!$A:$A,My_Audit!K:K,""),
_xlfn.IFS(_xlpm.MyAuditVal&lt;&gt;"",UPPER(_xlpm.MyAuditVal),_xlpm.MacVal&lt;&gt;"",_xlpm.MacVal,_xlpm.CSVVal&lt;&gt;"",_xlpm.CSVVal
)),"")</f>
        <v/>
      </c>
      <c r="M391" s="45" t="str">
        <f>_xlfn.LET(
    _xlpm.CSVVal, _xlfn.XLOOKUP($A391, CSV!$A:$A, CSV!AE:AE, ""),
    _xlpm.MacVal, _xlfn.XLOOKUP($A391, Output_Mac!$A:$A, Output_Mac!S:S, ""),
    _xlpm.MyAuditVal, _xlfn.XLOOKUP($A391, My_Audit!$A:$A, My_Audit!N:N, ""),
    _xlfn.TEXTJOIN(", ", TRUE, _xlpm.MyAuditVal, _xlpm.MacVal, _xlpm.CSVVal)
)</f>
        <v/>
      </c>
      <c r="N391" s="45" t="str" cm="1">
        <f t="array" ref="N391">IFERROR(_xlfn.LET(
_xlpm.CSVVal,_xlfn.XLOOKUP($A391,CSV!$A:$A,CSV!AG:AG,""),
_xlpm.MacVal,_xlfn.XLOOKUP($A391,Output_Mac!$A:$A,Output_Mac!U:U,""),
_xlpm.MyAuditVal,_xlfn.XLOOKUP($A391,My_Audit!$A:$A,My_Audit!O:O,""),
_xlfn.IFS(_xlpm.MyAuditVal&lt;&gt;"",UPPER(_xlpm.MyAuditVal),_xlpm.MacVal&lt;&gt;"",_xlpm.MacVal,_xlpm.CSVVal&lt;&gt;"",_xlpm.CSVVal
)),"")</f>
        <v/>
      </c>
      <c r="O391" s="46" t="str">
        <f>_xlfn.XLOOKUP(C391,My_Audit!B:B,My_Audit!P:P,"")&amp;""</f>
        <v/>
      </c>
      <c r="P391" s="45"/>
      <c r="Q391" s="46" t="str">
        <f>IF(LEFT(N391,4)="Pass","Nist SP 800-88",My_Audit!R391)&amp;""</f>
        <v/>
      </c>
      <c r="R391" s="45"/>
      <c r="S391" s="45"/>
      <c r="T391" s="46" t="str">
        <f>_xlfn.XLOOKUP(E391,Models!I:I,Models!J:J,"")</f>
        <v/>
      </c>
      <c r="U391" s="45"/>
      <c r="V391" s="45"/>
      <c r="W391" s="38"/>
    </row>
    <row r="392" spans="1:23">
      <c r="A392" s="45" t="str">
        <f>_xlfn.TEXTJOIN("",TRUE,Input!$B$2,ROW(My_Audit!A391))</f>
        <v>XX391</v>
      </c>
      <c r="B392" s="45" t="str">
        <f>_xlfn.TEXTJOIN("-",TRUE,"ITD",Input!$A$2,A392)</f>
        <v>ITD-SHRXXX-XX391</v>
      </c>
      <c r="C392" s="45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46" t="str" cm="1">
        <f t="array" ref="D392">IFERROR(_xlfn.LET(
_xlpm.CSVVal,_xlfn.XLOOKUP($A392,CSV!$A:$A,CSV!C:C,""),
_xlpm.MacVal,_xlfn.XLOOKUP($A392,Output_Mac!$A:$A,Output_Mac!D:D,""),
_xlpm.MyAuditVal,_xlfn.XLOOKUP($A392,My_Audit!$A:$A,My_Audit!C:C,""),
_xlfn.IFS(_xlpm.MyAuditVal&lt;&gt;"",UPPER(_xlpm.MyAuditVal),_xlpm.MacVal&lt;&gt;"",_xlpm.MacVal,_xlpm.CSVVal&lt;&gt;"",_xlpm.CSVVal
)),"")</f>
        <v/>
      </c>
      <c r="E392" s="46" t="str" cm="1">
        <f t="array" ref="E392">IFERROR(_xlfn.LET(
_xlpm.CSVVal,_xlfn.XLOOKUP($A392,CSV!$A:$A,CSV!E:E,""),
_xlpm.MacVal,_xlfn.XLOOKUP($A392,Output_Mac!$A:$A,Output_Mac!C:C,""),
_xlpm.MyAuditVal,_xlfn.XLOOKUP($A392,My_Audit!$A:$A,My_Audit!D:D,""),
_xlfn.IFS(_xlpm.MyAuditVal&lt;&gt;"",_xlpm.MyAuditVal,_xlpm.MacVal&lt;&gt;"",_xlpm.MacVal,_xlpm.CSVVal&lt;&gt;"",_xlpm.CSVVal
)),"")</f>
        <v/>
      </c>
      <c r="F392" s="45" t="str" cm="1">
        <f t="array" ref="F392">IFERROR(_xlfn.LET(
_xlpm.CSVVal,_xlfn.XLOOKUP($A392,CSV!$A:$A,CSV!F:F,""),
_xlpm.MacVal,_xlfn.XLOOKUP($A392,Output_Mac!$A:$A,Output_Mac!F:F,""),
_xlpm.MyAuditVal,_xlfn.XLOOKUP($A392,My_Audit!$A:$A,My_Audit!E:E,""),
_xlfn.IFS(_xlpm.MyAuditVal&lt;&gt;"",_xlpm.MyAuditVal,_xlpm.MacVal&lt;&gt;"",_xlpm.MacVal,_xlpm.CSVVal&lt;&gt;"",PROPER(_xlpm.CSVVal)
)),"")</f>
        <v/>
      </c>
      <c r="G392" s="45" t="str" cm="1">
        <f t="array" ref="G392">IFERROR(_xlfn.LET(
_xlpm.CSVVal,_xlfn.XLOOKUP($A392,CSV!$A:$A,CSV!G:G,""),
_xlpm.MacVal,_xlfn.XLOOKUP($A392,Output_Mac!$A:$A,Output_Mac!H:H,""),
_xlpm.MyAuditVal,_xlfn.XLOOKUP($A392,My_Audit!$A:$A,My_Audit!F:F,""),
_xlfn.IFS(_xlpm.MyAuditVal&lt;&gt;"",_xlpm.MyAuditVal,_xlpm.MacVal&lt;&gt;"",_xlpm.MacVal,_xlpm.CSVVal&lt;&gt;"",_xlpm.CSVVal
)),"")</f>
        <v/>
      </c>
      <c r="H392" s="45" t="str">
        <f>_xlfn.XLOOKUP(A392,Output_Mac!A:A,Output_Mac!I:I,"")</f>
        <v/>
      </c>
      <c r="I392" s="45" t="str" cm="1">
        <f t="array" ref="I392">IFERROR(_xlfn.LET(
_xlpm.CSVVal,_xlfn.XLOOKUP($A392,CSV!$A:$A,CSV!H:H,""),
_xlpm.MacVal,_xlfn.XLOOKUP($A392,Output_Mac!$A:$A,Output_Mac!J:J,""),
_xlpm.MyAuditVal,_xlfn.XLOOKUP($A392,My_Audit!$A:$A,My_Audit!H:H,""),
_xlfn.IFS(_xlpm.MyAuditVal&lt;&gt;"",UPPER(_xlpm.MyAuditVal),_xlpm.MacVal&lt;&gt;"",_xlpm.MacVal,_xlpm.CSVVal&lt;&gt;"",_xlpm.CSVVal
)),"")</f>
        <v/>
      </c>
      <c r="J392" s="45" t="str" cm="1">
        <f t="array" ref="J392">IFERROR(_xlfn.LET(
_xlpm.CSVVal,_xlfn.XLOOKUP($A392,CSV!$A:$A,CSV!J:J,""),
_xlpm.MacVal,_xlfn.XLOOKUP($A392,Output_Mac!$A:$A,Output_Mac!K:K,""),
_xlpm.MyAuditVal,_xlfn.XLOOKUP($A392,My_Audit!$A:$A,My_Audit!I:I,""),
_xlfn.IFS(_xlpm.MyAuditVal&lt;&gt;"",UPPER(_xlpm.MyAuditVal),_xlpm.MacVal&lt;&gt;"",_xlpm.MacVal,_xlpm.CSVVal&lt;&gt;"",_xlpm.CSVVal
)),"")</f>
        <v/>
      </c>
      <c r="K392" s="45" t="str" cm="1">
        <f t="array" ref="K392">IFERROR(_xlfn.LET(
_xlpm.CSVVal,_xlfn.XLOOKUP($A392,CSV!$A:$A,CSV!N:N,""),
_xlpm.MacVal,_xlfn.XLOOKUP($A392,Output_Mac!$A:$A,Output_Mac!L:L,""),
_xlpm.MyAuditVal,_xlfn.XLOOKUP($A392,My_Audit!$A:$A,My_Audit!J:J,""),
_xlfn.IFS(_xlpm.MyAuditVal&lt;&gt;"",UPPER(_xlpm.MyAuditVal),_xlpm.MacVal&lt;&gt;"",_xlpm.MacVal,_xlpm.CSVVal&lt;&gt;"",_xlpm.CSVVal
)),"")</f>
        <v/>
      </c>
      <c r="L392" s="45" t="str" cm="1">
        <f t="array" ref="L392">IFERROR(_xlfn.LET(
_xlpm.CSVVal,_xlfn.XLOOKUP($A392,CSV!$A:$A,CSV!P:P,""),
_xlpm.MacVal,_xlfn.XLOOKUP($A392,Output_Mac!$A:$A,Output_Mac!M:M,""),
_xlpm.MyAuditVal,_xlfn.XLOOKUP($A392,My_Audit!$A:$A,My_Audit!K:K,""),
_xlfn.IFS(_xlpm.MyAuditVal&lt;&gt;"",UPPER(_xlpm.MyAuditVal),_xlpm.MacVal&lt;&gt;"",_xlpm.MacVal,_xlpm.CSVVal&lt;&gt;"",_xlpm.CSVVal
)),"")</f>
        <v/>
      </c>
      <c r="M392" s="45" t="str">
        <f>_xlfn.LET(
    _xlpm.CSVVal, _xlfn.XLOOKUP($A392, CSV!$A:$A, CSV!AE:AE, ""),
    _xlpm.MacVal, _xlfn.XLOOKUP($A392, Output_Mac!$A:$A, Output_Mac!S:S, ""),
    _xlpm.MyAuditVal, _xlfn.XLOOKUP($A392, My_Audit!$A:$A, My_Audit!N:N, ""),
    _xlfn.TEXTJOIN(", ", TRUE, _xlpm.MyAuditVal, _xlpm.MacVal, _xlpm.CSVVal)
)</f>
        <v/>
      </c>
      <c r="N392" s="45" t="str" cm="1">
        <f t="array" ref="N392">IFERROR(_xlfn.LET(
_xlpm.CSVVal,_xlfn.XLOOKUP($A392,CSV!$A:$A,CSV!AG:AG,""),
_xlpm.MacVal,_xlfn.XLOOKUP($A392,Output_Mac!$A:$A,Output_Mac!U:U,""),
_xlpm.MyAuditVal,_xlfn.XLOOKUP($A392,My_Audit!$A:$A,My_Audit!O:O,""),
_xlfn.IFS(_xlpm.MyAuditVal&lt;&gt;"",UPPER(_xlpm.MyAuditVal),_xlpm.MacVal&lt;&gt;"",_xlpm.MacVal,_xlpm.CSVVal&lt;&gt;"",_xlpm.CSVVal
)),"")</f>
        <v/>
      </c>
      <c r="O392" s="46" t="str">
        <f>_xlfn.XLOOKUP(C392,My_Audit!B:B,My_Audit!P:P,"")&amp;""</f>
        <v/>
      </c>
      <c r="P392" s="45"/>
      <c r="Q392" s="46" t="str">
        <f>IF(LEFT(N392,4)="Pass","Nist SP 800-88",My_Audit!R392)&amp;""</f>
        <v/>
      </c>
      <c r="R392" s="45"/>
      <c r="S392" s="45"/>
      <c r="T392" s="46" t="str">
        <f>_xlfn.XLOOKUP(E392,Models!I:I,Models!J:J,"")</f>
        <v/>
      </c>
      <c r="U392" s="45"/>
      <c r="V392" s="45"/>
      <c r="W392" s="38"/>
    </row>
    <row r="393" spans="1:23">
      <c r="A393" s="45" t="str">
        <f>_xlfn.TEXTJOIN("",TRUE,Input!$B$2,ROW(My_Audit!A392))</f>
        <v>XX392</v>
      </c>
      <c r="B393" s="45" t="str">
        <f>_xlfn.TEXTJOIN("-",TRUE,"ITD",Input!$A$2,A393)</f>
        <v>ITD-SHRXXX-XX392</v>
      </c>
      <c r="C393" s="45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46" t="str" cm="1">
        <f t="array" ref="D393">IFERROR(_xlfn.LET(
_xlpm.CSVVal,_xlfn.XLOOKUP($A393,CSV!$A:$A,CSV!C:C,""),
_xlpm.MacVal,_xlfn.XLOOKUP($A393,Output_Mac!$A:$A,Output_Mac!D:D,""),
_xlpm.MyAuditVal,_xlfn.XLOOKUP($A393,My_Audit!$A:$A,My_Audit!C:C,""),
_xlfn.IFS(_xlpm.MyAuditVal&lt;&gt;"",UPPER(_xlpm.MyAuditVal),_xlpm.MacVal&lt;&gt;"",_xlpm.MacVal,_xlpm.CSVVal&lt;&gt;"",_xlpm.CSVVal
)),"")</f>
        <v/>
      </c>
      <c r="E393" s="46" t="str" cm="1">
        <f t="array" ref="E393">IFERROR(_xlfn.LET(
_xlpm.CSVVal,_xlfn.XLOOKUP($A393,CSV!$A:$A,CSV!E:E,""),
_xlpm.MacVal,_xlfn.XLOOKUP($A393,Output_Mac!$A:$A,Output_Mac!C:C,""),
_xlpm.MyAuditVal,_xlfn.XLOOKUP($A393,My_Audit!$A:$A,My_Audit!D:D,""),
_xlfn.IFS(_xlpm.MyAuditVal&lt;&gt;"",_xlpm.MyAuditVal,_xlpm.MacVal&lt;&gt;"",_xlpm.MacVal,_xlpm.CSVVal&lt;&gt;"",_xlpm.CSVVal
)),"")</f>
        <v/>
      </c>
      <c r="F393" s="45" t="str" cm="1">
        <f t="array" ref="F393">IFERROR(_xlfn.LET(
_xlpm.CSVVal,_xlfn.XLOOKUP($A393,CSV!$A:$A,CSV!F:F,""),
_xlpm.MacVal,_xlfn.XLOOKUP($A393,Output_Mac!$A:$A,Output_Mac!F:F,""),
_xlpm.MyAuditVal,_xlfn.XLOOKUP($A393,My_Audit!$A:$A,My_Audit!E:E,""),
_xlfn.IFS(_xlpm.MyAuditVal&lt;&gt;"",_xlpm.MyAuditVal,_xlpm.MacVal&lt;&gt;"",_xlpm.MacVal,_xlpm.CSVVal&lt;&gt;"",PROPER(_xlpm.CSVVal)
)),"")</f>
        <v/>
      </c>
      <c r="G393" s="45" t="str" cm="1">
        <f t="array" ref="G393">IFERROR(_xlfn.LET(
_xlpm.CSVVal,_xlfn.XLOOKUP($A393,CSV!$A:$A,CSV!G:G,""),
_xlpm.MacVal,_xlfn.XLOOKUP($A393,Output_Mac!$A:$A,Output_Mac!H:H,""),
_xlpm.MyAuditVal,_xlfn.XLOOKUP($A393,My_Audit!$A:$A,My_Audit!F:F,""),
_xlfn.IFS(_xlpm.MyAuditVal&lt;&gt;"",_xlpm.MyAuditVal,_xlpm.MacVal&lt;&gt;"",_xlpm.MacVal,_xlpm.CSVVal&lt;&gt;"",_xlpm.CSVVal
)),"")</f>
        <v/>
      </c>
      <c r="H393" s="45" t="str">
        <f>_xlfn.XLOOKUP(A393,Output_Mac!A:A,Output_Mac!I:I,"")</f>
        <v/>
      </c>
      <c r="I393" s="45" t="str" cm="1">
        <f t="array" ref="I393">IFERROR(_xlfn.LET(
_xlpm.CSVVal,_xlfn.XLOOKUP($A393,CSV!$A:$A,CSV!H:H,""),
_xlpm.MacVal,_xlfn.XLOOKUP($A393,Output_Mac!$A:$A,Output_Mac!J:J,""),
_xlpm.MyAuditVal,_xlfn.XLOOKUP($A393,My_Audit!$A:$A,My_Audit!H:H,""),
_xlfn.IFS(_xlpm.MyAuditVal&lt;&gt;"",UPPER(_xlpm.MyAuditVal),_xlpm.MacVal&lt;&gt;"",_xlpm.MacVal,_xlpm.CSVVal&lt;&gt;"",_xlpm.CSVVal
)),"")</f>
        <v/>
      </c>
      <c r="J393" s="45" t="str" cm="1">
        <f t="array" ref="J393">IFERROR(_xlfn.LET(
_xlpm.CSVVal,_xlfn.XLOOKUP($A393,CSV!$A:$A,CSV!J:J,""),
_xlpm.MacVal,_xlfn.XLOOKUP($A393,Output_Mac!$A:$A,Output_Mac!K:K,""),
_xlpm.MyAuditVal,_xlfn.XLOOKUP($A393,My_Audit!$A:$A,My_Audit!I:I,""),
_xlfn.IFS(_xlpm.MyAuditVal&lt;&gt;"",UPPER(_xlpm.MyAuditVal),_xlpm.MacVal&lt;&gt;"",_xlpm.MacVal,_xlpm.CSVVal&lt;&gt;"",_xlpm.CSVVal
)),"")</f>
        <v/>
      </c>
      <c r="K393" s="45" t="str" cm="1">
        <f t="array" ref="K393">IFERROR(_xlfn.LET(
_xlpm.CSVVal,_xlfn.XLOOKUP($A393,CSV!$A:$A,CSV!N:N,""),
_xlpm.MacVal,_xlfn.XLOOKUP($A393,Output_Mac!$A:$A,Output_Mac!L:L,""),
_xlpm.MyAuditVal,_xlfn.XLOOKUP($A393,My_Audit!$A:$A,My_Audit!J:J,""),
_xlfn.IFS(_xlpm.MyAuditVal&lt;&gt;"",UPPER(_xlpm.MyAuditVal),_xlpm.MacVal&lt;&gt;"",_xlpm.MacVal,_xlpm.CSVVal&lt;&gt;"",_xlpm.CSVVal
)),"")</f>
        <v/>
      </c>
      <c r="L393" s="45" t="str" cm="1">
        <f t="array" ref="L393">IFERROR(_xlfn.LET(
_xlpm.CSVVal,_xlfn.XLOOKUP($A393,CSV!$A:$A,CSV!P:P,""),
_xlpm.MacVal,_xlfn.XLOOKUP($A393,Output_Mac!$A:$A,Output_Mac!M:M,""),
_xlpm.MyAuditVal,_xlfn.XLOOKUP($A393,My_Audit!$A:$A,My_Audit!K:K,""),
_xlfn.IFS(_xlpm.MyAuditVal&lt;&gt;"",UPPER(_xlpm.MyAuditVal),_xlpm.MacVal&lt;&gt;"",_xlpm.MacVal,_xlpm.CSVVal&lt;&gt;"",_xlpm.CSVVal
)),"")</f>
        <v/>
      </c>
      <c r="M393" s="45" t="str">
        <f>_xlfn.LET(
    _xlpm.CSVVal, _xlfn.XLOOKUP($A393, CSV!$A:$A, CSV!AE:AE, ""),
    _xlpm.MacVal, _xlfn.XLOOKUP($A393, Output_Mac!$A:$A, Output_Mac!S:S, ""),
    _xlpm.MyAuditVal, _xlfn.XLOOKUP($A393, My_Audit!$A:$A, My_Audit!N:N, ""),
    _xlfn.TEXTJOIN(", ", TRUE, _xlpm.MyAuditVal, _xlpm.MacVal, _xlpm.CSVVal)
)</f>
        <v/>
      </c>
      <c r="N393" s="45" t="str" cm="1">
        <f t="array" ref="N393">IFERROR(_xlfn.LET(
_xlpm.CSVVal,_xlfn.XLOOKUP($A393,CSV!$A:$A,CSV!AG:AG,""),
_xlpm.MacVal,_xlfn.XLOOKUP($A393,Output_Mac!$A:$A,Output_Mac!U:U,""),
_xlpm.MyAuditVal,_xlfn.XLOOKUP($A393,My_Audit!$A:$A,My_Audit!O:O,""),
_xlfn.IFS(_xlpm.MyAuditVal&lt;&gt;"",UPPER(_xlpm.MyAuditVal),_xlpm.MacVal&lt;&gt;"",_xlpm.MacVal,_xlpm.CSVVal&lt;&gt;"",_xlpm.CSVVal
)),"")</f>
        <v/>
      </c>
      <c r="O393" s="46" t="str">
        <f>_xlfn.XLOOKUP(C393,My_Audit!B:B,My_Audit!P:P,"")&amp;""</f>
        <v/>
      </c>
      <c r="P393" s="45"/>
      <c r="Q393" s="46" t="str">
        <f>IF(LEFT(N393,4)="Pass","Nist SP 800-88",My_Audit!R393)&amp;""</f>
        <v/>
      </c>
      <c r="R393" s="45"/>
      <c r="S393" s="45"/>
      <c r="T393" s="46" t="str">
        <f>_xlfn.XLOOKUP(E393,Models!I:I,Models!J:J,"")</f>
        <v/>
      </c>
      <c r="U393" s="45"/>
      <c r="V393" s="45"/>
      <c r="W393" s="38"/>
    </row>
    <row r="394" spans="1:23">
      <c r="A394" s="45" t="str">
        <f>_xlfn.TEXTJOIN("",TRUE,Input!$B$2,ROW(My_Audit!A393))</f>
        <v>XX393</v>
      </c>
      <c r="B394" s="45" t="str">
        <f>_xlfn.TEXTJOIN("-",TRUE,"ITD",Input!$A$2,A394)</f>
        <v>ITD-SHRXXX-XX393</v>
      </c>
      <c r="C394" s="45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46" t="str" cm="1">
        <f t="array" ref="D394">IFERROR(_xlfn.LET(
_xlpm.CSVVal,_xlfn.XLOOKUP($A394,CSV!$A:$A,CSV!C:C,""),
_xlpm.MacVal,_xlfn.XLOOKUP($A394,Output_Mac!$A:$A,Output_Mac!D:D,""),
_xlpm.MyAuditVal,_xlfn.XLOOKUP($A394,My_Audit!$A:$A,My_Audit!C:C,""),
_xlfn.IFS(_xlpm.MyAuditVal&lt;&gt;"",UPPER(_xlpm.MyAuditVal),_xlpm.MacVal&lt;&gt;"",_xlpm.MacVal,_xlpm.CSVVal&lt;&gt;"",_xlpm.CSVVal
)),"")</f>
        <v/>
      </c>
      <c r="E394" s="46" t="str" cm="1">
        <f t="array" ref="E394">IFERROR(_xlfn.LET(
_xlpm.CSVVal,_xlfn.XLOOKUP($A394,CSV!$A:$A,CSV!E:E,""),
_xlpm.MacVal,_xlfn.XLOOKUP($A394,Output_Mac!$A:$A,Output_Mac!C:C,""),
_xlpm.MyAuditVal,_xlfn.XLOOKUP($A394,My_Audit!$A:$A,My_Audit!D:D,""),
_xlfn.IFS(_xlpm.MyAuditVal&lt;&gt;"",_xlpm.MyAuditVal,_xlpm.MacVal&lt;&gt;"",_xlpm.MacVal,_xlpm.CSVVal&lt;&gt;"",_xlpm.CSVVal
)),"")</f>
        <v/>
      </c>
      <c r="F394" s="45" t="str" cm="1">
        <f t="array" ref="F394">IFERROR(_xlfn.LET(
_xlpm.CSVVal,_xlfn.XLOOKUP($A394,CSV!$A:$A,CSV!F:F,""),
_xlpm.MacVal,_xlfn.XLOOKUP($A394,Output_Mac!$A:$A,Output_Mac!F:F,""),
_xlpm.MyAuditVal,_xlfn.XLOOKUP($A394,My_Audit!$A:$A,My_Audit!E:E,""),
_xlfn.IFS(_xlpm.MyAuditVal&lt;&gt;"",_xlpm.MyAuditVal,_xlpm.MacVal&lt;&gt;"",_xlpm.MacVal,_xlpm.CSVVal&lt;&gt;"",PROPER(_xlpm.CSVVal)
)),"")</f>
        <v/>
      </c>
      <c r="G394" s="45" t="str" cm="1">
        <f t="array" ref="G394">IFERROR(_xlfn.LET(
_xlpm.CSVVal,_xlfn.XLOOKUP($A394,CSV!$A:$A,CSV!G:G,""),
_xlpm.MacVal,_xlfn.XLOOKUP($A394,Output_Mac!$A:$A,Output_Mac!H:H,""),
_xlpm.MyAuditVal,_xlfn.XLOOKUP($A394,My_Audit!$A:$A,My_Audit!F:F,""),
_xlfn.IFS(_xlpm.MyAuditVal&lt;&gt;"",_xlpm.MyAuditVal,_xlpm.MacVal&lt;&gt;"",_xlpm.MacVal,_xlpm.CSVVal&lt;&gt;"",_xlpm.CSVVal
)),"")</f>
        <v/>
      </c>
      <c r="H394" s="45" t="str">
        <f>_xlfn.XLOOKUP(A394,Output_Mac!A:A,Output_Mac!I:I,"")</f>
        <v/>
      </c>
      <c r="I394" s="45" t="str" cm="1">
        <f t="array" ref="I394">IFERROR(_xlfn.LET(
_xlpm.CSVVal,_xlfn.XLOOKUP($A394,CSV!$A:$A,CSV!H:H,""),
_xlpm.MacVal,_xlfn.XLOOKUP($A394,Output_Mac!$A:$A,Output_Mac!J:J,""),
_xlpm.MyAuditVal,_xlfn.XLOOKUP($A394,My_Audit!$A:$A,My_Audit!H:H,""),
_xlfn.IFS(_xlpm.MyAuditVal&lt;&gt;"",UPPER(_xlpm.MyAuditVal),_xlpm.MacVal&lt;&gt;"",_xlpm.MacVal,_xlpm.CSVVal&lt;&gt;"",_xlpm.CSVVal
)),"")</f>
        <v/>
      </c>
      <c r="J394" s="45" t="str" cm="1">
        <f t="array" ref="J394">IFERROR(_xlfn.LET(
_xlpm.CSVVal,_xlfn.XLOOKUP($A394,CSV!$A:$A,CSV!J:J,""),
_xlpm.MacVal,_xlfn.XLOOKUP($A394,Output_Mac!$A:$A,Output_Mac!K:K,""),
_xlpm.MyAuditVal,_xlfn.XLOOKUP($A394,My_Audit!$A:$A,My_Audit!I:I,""),
_xlfn.IFS(_xlpm.MyAuditVal&lt;&gt;"",UPPER(_xlpm.MyAuditVal),_xlpm.MacVal&lt;&gt;"",_xlpm.MacVal,_xlpm.CSVVal&lt;&gt;"",_xlpm.CSVVal
)),"")</f>
        <v/>
      </c>
      <c r="K394" s="45" t="str" cm="1">
        <f t="array" ref="K394">IFERROR(_xlfn.LET(
_xlpm.CSVVal,_xlfn.XLOOKUP($A394,CSV!$A:$A,CSV!N:N,""),
_xlpm.MacVal,_xlfn.XLOOKUP($A394,Output_Mac!$A:$A,Output_Mac!L:L,""),
_xlpm.MyAuditVal,_xlfn.XLOOKUP($A394,My_Audit!$A:$A,My_Audit!J:J,""),
_xlfn.IFS(_xlpm.MyAuditVal&lt;&gt;"",UPPER(_xlpm.MyAuditVal),_xlpm.MacVal&lt;&gt;"",_xlpm.MacVal,_xlpm.CSVVal&lt;&gt;"",_xlpm.CSVVal
)),"")</f>
        <v/>
      </c>
      <c r="L394" s="45" t="str" cm="1">
        <f t="array" ref="L394">IFERROR(_xlfn.LET(
_xlpm.CSVVal,_xlfn.XLOOKUP($A394,CSV!$A:$A,CSV!P:P,""),
_xlpm.MacVal,_xlfn.XLOOKUP($A394,Output_Mac!$A:$A,Output_Mac!M:M,""),
_xlpm.MyAuditVal,_xlfn.XLOOKUP($A394,My_Audit!$A:$A,My_Audit!K:K,""),
_xlfn.IFS(_xlpm.MyAuditVal&lt;&gt;"",UPPER(_xlpm.MyAuditVal),_xlpm.MacVal&lt;&gt;"",_xlpm.MacVal,_xlpm.CSVVal&lt;&gt;"",_xlpm.CSVVal
)),"")</f>
        <v/>
      </c>
      <c r="M394" s="45" t="str">
        <f>_xlfn.LET(
    _xlpm.CSVVal, _xlfn.XLOOKUP($A394, CSV!$A:$A, CSV!AE:AE, ""),
    _xlpm.MacVal, _xlfn.XLOOKUP($A394, Output_Mac!$A:$A, Output_Mac!S:S, ""),
    _xlpm.MyAuditVal, _xlfn.XLOOKUP($A394, My_Audit!$A:$A, My_Audit!N:N, ""),
    _xlfn.TEXTJOIN(", ", TRUE, _xlpm.MyAuditVal, _xlpm.MacVal, _xlpm.CSVVal)
)</f>
        <v/>
      </c>
      <c r="N394" s="45" t="str" cm="1">
        <f t="array" ref="N394">IFERROR(_xlfn.LET(
_xlpm.CSVVal,_xlfn.XLOOKUP($A394,CSV!$A:$A,CSV!AG:AG,""),
_xlpm.MacVal,_xlfn.XLOOKUP($A394,Output_Mac!$A:$A,Output_Mac!U:U,""),
_xlpm.MyAuditVal,_xlfn.XLOOKUP($A394,My_Audit!$A:$A,My_Audit!O:O,""),
_xlfn.IFS(_xlpm.MyAuditVal&lt;&gt;"",UPPER(_xlpm.MyAuditVal),_xlpm.MacVal&lt;&gt;"",_xlpm.MacVal,_xlpm.CSVVal&lt;&gt;"",_xlpm.CSVVal
)),"")</f>
        <v/>
      </c>
      <c r="O394" s="46" t="str">
        <f>_xlfn.XLOOKUP(C394,My_Audit!B:B,My_Audit!P:P,"")&amp;""</f>
        <v/>
      </c>
      <c r="P394" s="45"/>
      <c r="Q394" s="46" t="str">
        <f>IF(LEFT(N394,4)="Pass","Nist SP 800-88",My_Audit!R394)&amp;""</f>
        <v/>
      </c>
      <c r="R394" s="45"/>
      <c r="S394" s="45"/>
      <c r="T394" s="46" t="str">
        <f>_xlfn.XLOOKUP(E394,Models!I:I,Models!J:J,"")</f>
        <v/>
      </c>
      <c r="U394" s="45"/>
      <c r="V394" s="45"/>
      <c r="W394" s="38"/>
    </row>
    <row r="395" spans="1:23">
      <c r="A395" s="45" t="str">
        <f>_xlfn.TEXTJOIN("",TRUE,Input!$B$2,ROW(My_Audit!A394))</f>
        <v>XX394</v>
      </c>
      <c r="B395" s="45" t="str">
        <f>_xlfn.TEXTJOIN("-",TRUE,"ITD",Input!$A$2,A395)</f>
        <v>ITD-SHRXXX-XX394</v>
      </c>
      <c r="C395" s="45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46" t="str" cm="1">
        <f t="array" ref="D395">IFERROR(_xlfn.LET(
_xlpm.CSVVal,_xlfn.XLOOKUP($A395,CSV!$A:$A,CSV!C:C,""),
_xlpm.MacVal,_xlfn.XLOOKUP($A395,Output_Mac!$A:$A,Output_Mac!D:D,""),
_xlpm.MyAuditVal,_xlfn.XLOOKUP($A395,My_Audit!$A:$A,My_Audit!C:C,""),
_xlfn.IFS(_xlpm.MyAuditVal&lt;&gt;"",UPPER(_xlpm.MyAuditVal),_xlpm.MacVal&lt;&gt;"",_xlpm.MacVal,_xlpm.CSVVal&lt;&gt;"",_xlpm.CSVVal
)),"")</f>
        <v/>
      </c>
      <c r="E395" s="46" t="str" cm="1">
        <f t="array" ref="E395">IFERROR(_xlfn.LET(
_xlpm.CSVVal,_xlfn.XLOOKUP($A395,CSV!$A:$A,CSV!E:E,""),
_xlpm.MacVal,_xlfn.XLOOKUP($A395,Output_Mac!$A:$A,Output_Mac!C:C,""),
_xlpm.MyAuditVal,_xlfn.XLOOKUP($A395,My_Audit!$A:$A,My_Audit!D:D,""),
_xlfn.IFS(_xlpm.MyAuditVal&lt;&gt;"",_xlpm.MyAuditVal,_xlpm.MacVal&lt;&gt;"",_xlpm.MacVal,_xlpm.CSVVal&lt;&gt;"",_xlpm.CSVVal
)),"")</f>
        <v/>
      </c>
      <c r="F395" s="45" t="str" cm="1">
        <f t="array" ref="F395">IFERROR(_xlfn.LET(
_xlpm.CSVVal,_xlfn.XLOOKUP($A395,CSV!$A:$A,CSV!F:F,""),
_xlpm.MacVal,_xlfn.XLOOKUP($A395,Output_Mac!$A:$A,Output_Mac!F:F,""),
_xlpm.MyAuditVal,_xlfn.XLOOKUP($A395,My_Audit!$A:$A,My_Audit!E:E,""),
_xlfn.IFS(_xlpm.MyAuditVal&lt;&gt;"",_xlpm.MyAuditVal,_xlpm.MacVal&lt;&gt;"",_xlpm.MacVal,_xlpm.CSVVal&lt;&gt;"",PROPER(_xlpm.CSVVal)
)),"")</f>
        <v/>
      </c>
      <c r="G395" s="45" t="str" cm="1">
        <f t="array" ref="G395">IFERROR(_xlfn.LET(
_xlpm.CSVVal,_xlfn.XLOOKUP($A395,CSV!$A:$A,CSV!G:G,""),
_xlpm.MacVal,_xlfn.XLOOKUP($A395,Output_Mac!$A:$A,Output_Mac!H:H,""),
_xlpm.MyAuditVal,_xlfn.XLOOKUP($A395,My_Audit!$A:$A,My_Audit!F:F,""),
_xlfn.IFS(_xlpm.MyAuditVal&lt;&gt;"",_xlpm.MyAuditVal,_xlpm.MacVal&lt;&gt;"",_xlpm.MacVal,_xlpm.CSVVal&lt;&gt;"",_xlpm.CSVVal
)),"")</f>
        <v/>
      </c>
      <c r="H395" s="45" t="str">
        <f>_xlfn.XLOOKUP(A395,Output_Mac!A:A,Output_Mac!I:I,"")</f>
        <v/>
      </c>
      <c r="I395" s="45" t="str" cm="1">
        <f t="array" ref="I395">IFERROR(_xlfn.LET(
_xlpm.CSVVal,_xlfn.XLOOKUP($A395,CSV!$A:$A,CSV!H:H,""),
_xlpm.MacVal,_xlfn.XLOOKUP($A395,Output_Mac!$A:$A,Output_Mac!J:J,""),
_xlpm.MyAuditVal,_xlfn.XLOOKUP($A395,My_Audit!$A:$A,My_Audit!H:H,""),
_xlfn.IFS(_xlpm.MyAuditVal&lt;&gt;"",UPPER(_xlpm.MyAuditVal),_xlpm.MacVal&lt;&gt;"",_xlpm.MacVal,_xlpm.CSVVal&lt;&gt;"",_xlpm.CSVVal
)),"")</f>
        <v/>
      </c>
      <c r="J395" s="45" t="str" cm="1">
        <f t="array" ref="J395">IFERROR(_xlfn.LET(
_xlpm.CSVVal,_xlfn.XLOOKUP($A395,CSV!$A:$A,CSV!J:J,""),
_xlpm.MacVal,_xlfn.XLOOKUP($A395,Output_Mac!$A:$A,Output_Mac!K:K,""),
_xlpm.MyAuditVal,_xlfn.XLOOKUP($A395,My_Audit!$A:$A,My_Audit!I:I,""),
_xlfn.IFS(_xlpm.MyAuditVal&lt;&gt;"",UPPER(_xlpm.MyAuditVal),_xlpm.MacVal&lt;&gt;"",_xlpm.MacVal,_xlpm.CSVVal&lt;&gt;"",_xlpm.CSVVal
)),"")</f>
        <v/>
      </c>
      <c r="K395" s="45" t="str" cm="1">
        <f t="array" ref="K395">IFERROR(_xlfn.LET(
_xlpm.CSVVal,_xlfn.XLOOKUP($A395,CSV!$A:$A,CSV!N:N,""),
_xlpm.MacVal,_xlfn.XLOOKUP($A395,Output_Mac!$A:$A,Output_Mac!L:L,""),
_xlpm.MyAuditVal,_xlfn.XLOOKUP($A395,My_Audit!$A:$A,My_Audit!J:J,""),
_xlfn.IFS(_xlpm.MyAuditVal&lt;&gt;"",UPPER(_xlpm.MyAuditVal),_xlpm.MacVal&lt;&gt;"",_xlpm.MacVal,_xlpm.CSVVal&lt;&gt;"",_xlpm.CSVVal
)),"")</f>
        <v/>
      </c>
      <c r="L395" s="45" t="str" cm="1">
        <f t="array" ref="L395">IFERROR(_xlfn.LET(
_xlpm.CSVVal,_xlfn.XLOOKUP($A395,CSV!$A:$A,CSV!P:P,""),
_xlpm.MacVal,_xlfn.XLOOKUP($A395,Output_Mac!$A:$A,Output_Mac!M:M,""),
_xlpm.MyAuditVal,_xlfn.XLOOKUP($A395,My_Audit!$A:$A,My_Audit!K:K,""),
_xlfn.IFS(_xlpm.MyAuditVal&lt;&gt;"",UPPER(_xlpm.MyAuditVal),_xlpm.MacVal&lt;&gt;"",_xlpm.MacVal,_xlpm.CSVVal&lt;&gt;"",_xlpm.CSVVal
)),"")</f>
        <v/>
      </c>
      <c r="M395" s="45" t="str">
        <f>_xlfn.LET(
    _xlpm.CSVVal, _xlfn.XLOOKUP($A395, CSV!$A:$A, CSV!AE:AE, ""),
    _xlpm.MacVal, _xlfn.XLOOKUP($A395, Output_Mac!$A:$A, Output_Mac!S:S, ""),
    _xlpm.MyAuditVal, _xlfn.XLOOKUP($A395, My_Audit!$A:$A, My_Audit!N:N, ""),
    _xlfn.TEXTJOIN(", ", TRUE, _xlpm.MyAuditVal, _xlpm.MacVal, _xlpm.CSVVal)
)</f>
        <v/>
      </c>
      <c r="N395" s="45" t="str" cm="1">
        <f t="array" ref="N395">IFERROR(_xlfn.LET(
_xlpm.CSVVal,_xlfn.XLOOKUP($A395,CSV!$A:$A,CSV!AG:AG,""),
_xlpm.MacVal,_xlfn.XLOOKUP($A395,Output_Mac!$A:$A,Output_Mac!U:U,""),
_xlpm.MyAuditVal,_xlfn.XLOOKUP($A395,My_Audit!$A:$A,My_Audit!O:O,""),
_xlfn.IFS(_xlpm.MyAuditVal&lt;&gt;"",UPPER(_xlpm.MyAuditVal),_xlpm.MacVal&lt;&gt;"",_xlpm.MacVal,_xlpm.CSVVal&lt;&gt;"",_xlpm.CSVVal
)),"")</f>
        <v/>
      </c>
      <c r="O395" s="46" t="str">
        <f>_xlfn.XLOOKUP(C395,My_Audit!B:B,My_Audit!P:P,"")&amp;""</f>
        <v/>
      </c>
      <c r="P395" s="45"/>
      <c r="Q395" s="46" t="str">
        <f>IF(LEFT(N395,4)="Pass","Nist SP 800-88",My_Audit!R395)&amp;""</f>
        <v/>
      </c>
      <c r="R395" s="45"/>
      <c r="S395" s="45"/>
      <c r="T395" s="46" t="str">
        <f>_xlfn.XLOOKUP(E395,Models!I:I,Models!J:J,"")</f>
        <v/>
      </c>
      <c r="U395" s="45"/>
      <c r="V395" s="45"/>
      <c r="W395" s="38"/>
    </row>
    <row r="396" spans="1:23">
      <c r="A396" s="45" t="str">
        <f>_xlfn.TEXTJOIN("",TRUE,Input!$B$2,ROW(My_Audit!A395))</f>
        <v>XX395</v>
      </c>
      <c r="B396" s="45" t="str">
        <f>_xlfn.TEXTJOIN("-",TRUE,"ITD",Input!$A$2,A396)</f>
        <v>ITD-SHRXXX-XX395</v>
      </c>
      <c r="C396" s="45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46" t="str" cm="1">
        <f t="array" ref="D396">IFERROR(_xlfn.LET(
_xlpm.CSVVal,_xlfn.XLOOKUP($A396,CSV!$A:$A,CSV!C:C,""),
_xlpm.MacVal,_xlfn.XLOOKUP($A396,Output_Mac!$A:$A,Output_Mac!D:D,""),
_xlpm.MyAuditVal,_xlfn.XLOOKUP($A396,My_Audit!$A:$A,My_Audit!C:C,""),
_xlfn.IFS(_xlpm.MyAuditVal&lt;&gt;"",UPPER(_xlpm.MyAuditVal),_xlpm.MacVal&lt;&gt;"",_xlpm.MacVal,_xlpm.CSVVal&lt;&gt;"",_xlpm.CSVVal
)),"")</f>
        <v/>
      </c>
      <c r="E396" s="46" t="str" cm="1">
        <f t="array" ref="E396">IFERROR(_xlfn.LET(
_xlpm.CSVVal,_xlfn.XLOOKUP($A396,CSV!$A:$A,CSV!E:E,""),
_xlpm.MacVal,_xlfn.XLOOKUP($A396,Output_Mac!$A:$A,Output_Mac!C:C,""),
_xlpm.MyAuditVal,_xlfn.XLOOKUP($A396,My_Audit!$A:$A,My_Audit!D:D,""),
_xlfn.IFS(_xlpm.MyAuditVal&lt;&gt;"",_xlpm.MyAuditVal,_xlpm.MacVal&lt;&gt;"",_xlpm.MacVal,_xlpm.CSVVal&lt;&gt;"",_xlpm.CSVVal
)),"")</f>
        <v/>
      </c>
      <c r="F396" s="45" t="str" cm="1">
        <f t="array" ref="F396">IFERROR(_xlfn.LET(
_xlpm.CSVVal,_xlfn.XLOOKUP($A396,CSV!$A:$A,CSV!F:F,""),
_xlpm.MacVal,_xlfn.XLOOKUP($A396,Output_Mac!$A:$A,Output_Mac!F:F,""),
_xlpm.MyAuditVal,_xlfn.XLOOKUP($A396,My_Audit!$A:$A,My_Audit!E:E,""),
_xlfn.IFS(_xlpm.MyAuditVal&lt;&gt;"",_xlpm.MyAuditVal,_xlpm.MacVal&lt;&gt;"",_xlpm.MacVal,_xlpm.CSVVal&lt;&gt;"",PROPER(_xlpm.CSVVal)
)),"")</f>
        <v/>
      </c>
      <c r="G396" s="45" t="str" cm="1">
        <f t="array" ref="G396">IFERROR(_xlfn.LET(
_xlpm.CSVVal,_xlfn.XLOOKUP($A396,CSV!$A:$A,CSV!G:G,""),
_xlpm.MacVal,_xlfn.XLOOKUP($A396,Output_Mac!$A:$A,Output_Mac!H:H,""),
_xlpm.MyAuditVal,_xlfn.XLOOKUP($A396,My_Audit!$A:$A,My_Audit!F:F,""),
_xlfn.IFS(_xlpm.MyAuditVal&lt;&gt;"",_xlpm.MyAuditVal,_xlpm.MacVal&lt;&gt;"",_xlpm.MacVal,_xlpm.CSVVal&lt;&gt;"",_xlpm.CSVVal
)),"")</f>
        <v/>
      </c>
      <c r="H396" s="45" t="str">
        <f>_xlfn.XLOOKUP(A396,Output_Mac!A:A,Output_Mac!I:I,"")</f>
        <v/>
      </c>
      <c r="I396" s="45" t="str" cm="1">
        <f t="array" ref="I396">IFERROR(_xlfn.LET(
_xlpm.CSVVal,_xlfn.XLOOKUP($A396,CSV!$A:$A,CSV!H:H,""),
_xlpm.MacVal,_xlfn.XLOOKUP($A396,Output_Mac!$A:$A,Output_Mac!J:J,""),
_xlpm.MyAuditVal,_xlfn.XLOOKUP($A396,My_Audit!$A:$A,My_Audit!H:H,""),
_xlfn.IFS(_xlpm.MyAuditVal&lt;&gt;"",UPPER(_xlpm.MyAuditVal),_xlpm.MacVal&lt;&gt;"",_xlpm.MacVal,_xlpm.CSVVal&lt;&gt;"",_xlpm.CSVVal
)),"")</f>
        <v/>
      </c>
      <c r="J396" s="45" t="str" cm="1">
        <f t="array" ref="J396">IFERROR(_xlfn.LET(
_xlpm.CSVVal,_xlfn.XLOOKUP($A396,CSV!$A:$A,CSV!J:J,""),
_xlpm.MacVal,_xlfn.XLOOKUP($A396,Output_Mac!$A:$A,Output_Mac!K:K,""),
_xlpm.MyAuditVal,_xlfn.XLOOKUP($A396,My_Audit!$A:$A,My_Audit!I:I,""),
_xlfn.IFS(_xlpm.MyAuditVal&lt;&gt;"",UPPER(_xlpm.MyAuditVal),_xlpm.MacVal&lt;&gt;"",_xlpm.MacVal,_xlpm.CSVVal&lt;&gt;"",_xlpm.CSVVal
)),"")</f>
        <v/>
      </c>
      <c r="K396" s="45" t="str" cm="1">
        <f t="array" ref="K396">IFERROR(_xlfn.LET(
_xlpm.CSVVal,_xlfn.XLOOKUP($A396,CSV!$A:$A,CSV!N:N,""),
_xlpm.MacVal,_xlfn.XLOOKUP($A396,Output_Mac!$A:$A,Output_Mac!L:L,""),
_xlpm.MyAuditVal,_xlfn.XLOOKUP($A396,My_Audit!$A:$A,My_Audit!J:J,""),
_xlfn.IFS(_xlpm.MyAuditVal&lt;&gt;"",UPPER(_xlpm.MyAuditVal),_xlpm.MacVal&lt;&gt;"",_xlpm.MacVal,_xlpm.CSVVal&lt;&gt;"",_xlpm.CSVVal
)),"")</f>
        <v/>
      </c>
      <c r="L396" s="45" t="str" cm="1">
        <f t="array" ref="L396">IFERROR(_xlfn.LET(
_xlpm.CSVVal,_xlfn.XLOOKUP($A396,CSV!$A:$A,CSV!P:P,""),
_xlpm.MacVal,_xlfn.XLOOKUP($A396,Output_Mac!$A:$A,Output_Mac!M:M,""),
_xlpm.MyAuditVal,_xlfn.XLOOKUP($A396,My_Audit!$A:$A,My_Audit!K:K,""),
_xlfn.IFS(_xlpm.MyAuditVal&lt;&gt;"",UPPER(_xlpm.MyAuditVal),_xlpm.MacVal&lt;&gt;"",_xlpm.MacVal,_xlpm.CSVVal&lt;&gt;"",_xlpm.CSVVal
)),"")</f>
        <v/>
      </c>
      <c r="M396" s="45" t="str">
        <f>_xlfn.LET(
    _xlpm.CSVVal, _xlfn.XLOOKUP($A396, CSV!$A:$A, CSV!AE:AE, ""),
    _xlpm.MacVal, _xlfn.XLOOKUP($A396, Output_Mac!$A:$A, Output_Mac!S:S, ""),
    _xlpm.MyAuditVal, _xlfn.XLOOKUP($A396, My_Audit!$A:$A, My_Audit!N:N, ""),
    _xlfn.TEXTJOIN(", ", TRUE, _xlpm.MyAuditVal, _xlpm.MacVal, _xlpm.CSVVal)
)</f>
        <v/>
      </c>
      <c r="N396" s="45" t="str" cm="1">
        <f t="array" ref="N396">IFERROR(_xlfn.LET(
_xlpm.CSVVal,_xlfn.XLOOKUP($A396,CSV!$A:$A,CSV!AG:AG,""),
_xlpm.MacVal,_xlfn.XLOOKUP($A396,Output_Mac!$A:$A,Output_Mac!U:U,""),
_xlpm.MyAuditVal,_xlfn.XLOOKUP($A396,My_Audit!$A:$A,My_Audit!O:O,""),
_xlfn.IFS(_xlpm.MyAuditVal&lt;&gt;"",UPPER(_xlpm.MyAuditVal),_xlpm.MacVal&lt;&gt;"",_xlpm.MacVal,_xlpm.CSVVal&lt;&gt;"",_xlpm.CSVVal
)),"")</f>
        <v/>
      </c>
      <c r="O396" s="46" t="str">
        <f>_xlfn.XLOOKUP(C396,My_Audit!B:B,My_Audit!P:P,"")&amp;""</f>
        <v/>
      </c>
      <c r="P396" s="45"/>
      <c r="Q396" s="46" t="str">
        <f>IF(LEFT(N396,4)="Pass","Nist SP 800-88",My_Audit!R396)&amp;""</f>
        <v/>
      </c>
      <c r="R396" s="45"/>
      <c r="S396" s="45"/>
      <c r="T396" s="46" t="str">
        <f>_xlfn.XLOOKUP(E396,Models!I:I,Models!J:J,"")</f>
        <v/>
      </c>
      <c r="U396" s="45"/>
      <c r="V396" s="45"/>
      <c r="W396" s="38"/>
    </row>
    <row r="397" spans="1:23">
      <c r="A397" s="45" t="str">
        <f>_xlfn.TEXTJOIN("",TRUE,Input!$B$2,ROW(My_Audit!A396))</f>
        <v>XX396</v>
      </c>
      <c r="B397" s="45" t="str">
        <f>_xlfn.TEXTJOIN("-",TRUE,"ITD",Input!$A$2,A397)</f>
        <v>ITD-SHRXXX-XX396</v>
      </c>
      <c r="C397" s="45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46" t="str" cm="1">
        <f t="array" ref="D397">IFERROR(_xlfn.LET(
_xlpm.CSVVal,_xlfn.XLOOKUP($A397,CSV!$A:$A,CSV!C:C,""),
_xlpm.MacVal,_xlfn.XLOOKUP($A397,Output_Mac!$A:$A,Output_Mac!D:D,""),
_xlpm.MyAuditVal,_xlfn.XLOOKUP($A397,My_Audit!$A:$A,My_Audit!C:C,""),
_xlfn.IFS(_xlpm.MyAuditVal&lt;&gt;"",UPPER(_xlpm.MyAuditVal),_xlpm.MacVal&lt;&gt;"",_xlpm.MacVal,_xlpm.CSVVal&lt;&gt;"",_xlpm.CSVVal
)),"")</f>
        <v/>
      </c>
      <c r="E397" s="46" t="str" cm="1">
        <f t="array" ref="E397">IFERROR(_xlfn.LET(
_xlpm.CSVVal,_xlfn.XLOOKUP($A397,CSV!$A:$A,CSV!E:E,""),
_xlpm.MacVal,_xlfn.XLOOKUP($A397,Output_Mac!$A:$A,Output_Mac!C:C,""),
_xlpm.MyAuditVal,_xlfn.XLOOKUP($A397,My_Audit!$A:$A,My_Audit!D:D,""),
_xlfn.IFS(_xlpm.MyAuditVal&lt;&gt;"",_xlpm.MyAuditVal,_xlpm.MacVal&lt;&gt;"",_xlpm.MacVal,_xlpm.CSVVal&lt;&gt;"",_xlpm.CSVVal
)),"")</f>
        <v/>
      </c>
      <c r="F397" s="45" t="str" cm="1">
        <f t="array" ref="F397">IFERROR(_xlfn.LET(
_xlpm.CSVVal,_xlfn.XLOOKUP($A397,CSV!$A:$A,CSV!F:F,""),
_xlpm.MacVal,_xlfn.XLOOKUP($A397,Output_Mac!$A:$A,Output_Mac!F:F,""),
_xlpm.MyAuditVal,_xlfn.XLOOKUP($A397,My_Audit!$A:$A,My_Audit!E:E,""),
_xlfn.IFS(_xlpm.MyAuditVal&lt;&gt;"",_xlpm.MyAuditVal,_xlpm.MacVal&lt;&gt;"",_xlpm.MacVal,_xlpm.CSVVal&lt;&gt;"",PROPER(_xlpm.CSVVal)
)),"")</f>
        <v/>
      </c>
      <c r="G397" s="45" t="str" cm="1">
        <f t="array" ref="G397">IFERROR(_xlfn.LET(
_xlpm.CSVVal,_xlfn.XLOOKUP($A397,CSV!$A:$A,CSV!G:G,""),
_xlpm.MacVal,_xlfn.XLOOKUP($A397,Output_Mac!$A:$A,Output_Mac!H:H,""),
_xlpm.MyAuditVal,_xlfn.XLOOKUP($A397,My_Audit!$A:$A,My_Audit!F:F,""),
_xlfn.IFS(_xlpm.MyAuditVal&lt;&gt;"",_xlpm.MyAuditVal,_xlpm.MacVal&lt;&gt;"",_xlpm.MacVal,_xlpm.CSVVal&lt;&gt;"",_xlpm.CSVVal
)),"")</f>
        <v/>
      </c>
      <c r="H397" s="45" t="str">
        <f>_xlfn.XLOOKUP(A397,Output_Mac!A:A,Output_Mac!I:I,"")</f>
        <v/>
      </c>
      <c r="I397" s="45" t="str" cm="1">
        <f t="array" ref="I397">IFERROR(_xlfn.LET(
_xlpm.CSVVal,_xlfn.XLOOKUP($A397,CSV!$A:$A,CSV!H:H,""),
_xlpm.MacVal,_xlfn.XLOOKUP($A397,Output_Mac!$A:$A,Output_Mac!J:J,""),
_xlpm.MyAuditVal,_xlfn.XLOOKUP($A397,My_Audit!$A:$A,My_Audit!H:H,""),
_xlfn.IFS(_xlpm.MyAuditVal&lt;&gt;"",UPPER(_xlpm.MyAuditVal),_xlpm.MacVal&lt;&gt;"",_xlpm.MacVal,_xlpm.CSVVal&lt;&gt;"",_xlpm.CSVVal
)),"")</f>
        <v/>
      </c>
      <c r="J397" s="45" t="str" cm="1">
        <f t="array" ref="J397">IFERROR(_xlfn.LET(
_xlpm.CSVVal,_xlfn.XLOOKUP($A397,CSV!$A:$A,CSV!J:J,""),
_xlpm.MacVal,_xlfn.XLOOKUP($A397,Output_Mac!$A:$A,Output_Mac!K:K,""),
_xlpm.MyAuditVal,_xlfn.XLOOKUP($A397,My_Audit!$A:$A,My_Audit!I:I,""),
_xlfn.IFS(_xlpm.MyAuditVal&lt;&gt;"",UPPER(_xlpm.MyAuditVal),_xlpm.MacVal&lt;&gt;"",_xlpm.MacVal,_xlpm.CSVVal&lt;&gt;"",_xlpm.CSVVal
)),"")</f>
        <v/>
      </c>
      <c r="K397" s="45" t="str" cm="1">
        <f t="array" ref="K397">IFERROR(_xlfn.LET(
_xlpm.CSVVal,_xlfn.XLOOKUP($A397,CSV!$A:$A,CSV!N:N,""),
_xlpm.MacVal,_xlfn.XLOOKUP($A397,Output_Mac!$A:$A,Output_Mac!L:L,""),
_xlpm.MyAuditVal,_xlfn.XLOOKUP($A397,My_Audit!$A:$A,My_Audit!J:J,""),
_xlfn.IFS(_xlpm.MyAuditVal&lt;&gt;"",UPPER(_xlpm.MyAuditVal),_xlpm.MacVal&lt;&gt;"",_xlpm.MacVal,_xlpm.CSVVal&lt;&gt;"",_xlpm.CSVVal
)),"")</f>
        <v/>
      </c>
      <c r="L397" s="45" t="str" cm="1">
        <f t="array" ref="L397">IFERROR(_xlfn.LET(
_xlpm.CSVVal,_xlfn.XLOOKUP($A397,CSV!$A:$A,CSV!P:P,""),
_xlpm.MacVal,_xlfn.XLOOKUP($A397,Output_Mac!$A:$A,Output_Mac!M:M,""),
_xlpm.MyAuditVal,_xlfn.XLOOKUP($A397,My_Audit!$A:$A,My_Audit!K:K,""),
_xlfn.IFS(_xlpm.MyAuditVal&lt;&gt;"",UPPER(_xlpm.MyAuditVal),_xlpm.MacVal&lt;&gt;"",_xlpm.MacVal,_xlpm.CSVVal&lt;&gt;"",_xlpm.CSVVal
)),"")</f>
        <v/>
      </c>
      <c r="M397" s="45" t="str">
        <f>_xlfn.LET(
    _xlpm.CSVVal, _xlfn.XLOOKUP($A397, CSV!$A:$A, CSV!AE:AE, ""),
    _xlpm.MacVal, _xlfn.XLOOKUP($A397, Output_Mac!$A:$A, Output_Mac!S:S, ""),
    _xlpm.MyAuditVal, _xlfn.XLOOKUP($A397, My_Audit!$A:$A, My_Audit!N:N, ""),
    _xlfn.TEXTJOIN(", ", TRUE, _xlpm.MyAuditVal, _xlpm.MacVal, _xlpm.CSVVal)
)</f>
        <v/>
      </c>
      <c r="N397" s="45" t="str" cm="1">
        <f t="array" ref="N397">IFERROR(_xlfn.LET(
_xlpm.CSVVal,_xlfn.XLOOKUP($A397,CSV!$A:$A,CSV!AG:AG,""),
_xlpm.MacVal,_xlfn.XLOOKUP($A397,Output_Mac!$A:$A,Output_Mac!U:U,""),
_xlpm.MyAuditVal,_xlfn.XLOOKUP($A397,My_Audit!$A:$A,My_Audit!O:O,""),
_xlfn.IFS(_xlpm.MyAuditVal&lt;&gt;"",UPPER(_xlpm.MyAuditVal),_xlpm.MacVal&lt;&gt;"",_xlpm.MacVal,_xlpm.CSVVal&lt;&gt;"",_xlpm.CSVVal
)),"")</f>
        <v/>
      </c>
      <c r="O397" s="46" t="str">
        <f>_xlfn.XLOOKUP(C397,My_Audit!B:B,My_Audit!P:P,"")&amp;""</f>
        <v/>
      </c>
      <c r="P397" s="45"/>
      <c r="Q397" s="46" t="str">
        <f>IF(LEFT(N397,4)="Pass","Nist SP 800-88",My_Audit!R397)&amp;""</f>
        <v/>
      </c>
      <c r="R397" s="45"/>
      <c r="S397" s="45"/>
      <c r="T397" s="46" t="str">
        <f>_xlfn.XLOOKUP(E397,Models!I:I,Models!J:J,"")</f>
        <v/>
      </c>
      <c r="U397" s="45"/>
      <c r="V397" s="45"/>
      <c r="W397" s="38"/>
    </row>
    <row r="398" spans="1:23">
      <c r="A398" s="45" t="str">
        <f>_xlfn.TEXTJOIN("",TRUE,Input!$B$2,ROW(My_Audit!A397))</f>
        <v>XX397</v>
      </c>
      <c r="B398" s="45" t="str">
        <f>_xlfn.TEXTJOIN("-",TRUE,"ITD",Input!$A$2,A398)</f>
        <v>ITD-SHRXXX-XX397</v>
      </c>
      <c r="C398" s="45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46" t="str" cm="1">
        <f t="array" ref="D398">IFERROR(_xlfn.LET(
_xlpm.CSVVal,_xlfn.XLOOKUP($A398,CSV!$A:$A,CSV!C:C,""),
_xlpm.MacVal,_xlfn.XLOOKUP($A398,Output_Mac!$A:$A,Output_Mac!D:D,""),
_xlpm.MyAuditVal,_xlfn.XLOOKUP($A398,My_Audit!$A:$A,My_Audit!C:C,""),
_xlfn.IFS(_xlpm.MyAuditVal&lt;&gt;"",UPPER(_xlpm.MyAuditVal),_xlpm.MacVal&lt;&gt;"",_xlpm.MacVal,_xlpm.CSVVal&lt;&gt;"",_xlpm.CSVVal
)),"")</f>
        <v/>
      </c>
      <c r="E398" s="46" t="str" cm="1">
        <f t="array" ref="E398">IFERROR(_xlfn.LET(
_xlpm.CSVVal,_xlfn.XLOOKUP($A398,CSV!$A:$A,CSV!E:E,""),
_xlpm.MacVal,_xlfn.XLOOKUP($A398,Output_Mac!$A:$A,Output_Mac!C:C,""),
_xlpm.MyAuditVal,_xlfn.XLOOKUP($A398,My_Audit!$A:$A,My_Audit!D:D,""),
_xlfn.IFS(_xlpm.MyAuditVal&lt;&gt;"",_xlpm.MyAuditVal,_xlpm.MacVal&lt;&gt;"",_xlpm.MacVal,_xlpm.CSVVal&lt;&gt;"",_xlpm.CSVVal
)),"")</f>
        <v/>
      </c>
      <c r="F398" s="45" t="str" cm="1">
        <f t="array" ref="F398">IFERROR(_xlfn.LET(
_xlpm.CSVVal,_xlfn.XLOOKUP($A398,CSV!$A:$A,CSV!F:F,""),
_xlpm.MacVal,_xlfn.XLOOKUP($A398,Output_Mac!$A:$A,Output_Mac!F:F,""),
_xlpm.MyAuditVal,_xlfn.XLOOKUP($A398,My_Audit!$A:$A,My_Audit!E:E,""),
_xlfn.IFS(_xlpm.MyAuditVal&lt;&gt;"",_xlpm.MyAuditVal,_xlpm.MacVal&lt;&gt;"",_xlpm.MacVal,_xlpm.CSVVal&lt;&gt;"",PROPER(_xlpm.CSVVal)
)),"")</f>
        <v/>
      </c>
      <c r="G398" s="45" t="str" cm="1">
        <f t="array" ref="G398">IFERROR(_xlfn.LET(
_xlpm.CSVVal,_xlfn.XLOOKUP($A398,CSV!$A:$A,CSV!G:G,""),
_xlpm.MacVal,_xlfn.XLOOKUP($A398,Output_Mac!$A:$A,Output_Mac!H:H,""),
_xlpm.MyAuditVal,_xlfn.XLOOKUP($A398,My_Audit!$A:$A,My_Audit!F:F,""),
_xlfn.IFS(_xlpm.MyAuditVal&lt;&gt;"",_xlpm.MyAuditVal,_xlpm.MacVal&lt;&gt;"",_xlpm.MacVal,_xlpm.CSVVal&lt;&gt;"",_xlpm.CSVVal
)),"")</f>
        <v/>
      </c>
      <c r="H398" s="45" t="str">
        <f>_xlfn.XLOOKUP(A398,Output_Mac!A:A,Output_Mac!I:I,"")</f>
        <v/>
      </c>
      <c r="I398" s="45" t="str" cm="1">
        <f t="array" ref="I398">IFERROR(_xlfn.LET(
_xlpm.CSVVal,_xlfn.XLOOKUP($A398,CSV!$A:$A,CSV!H:H,""),
_xlpm.MacVal,_xlfn.XLOOKUP($A398,Output_Mac!$A:$A,Output_Mac!J:J,""),
_xlpm.MyAuditVal,_xlfn.XLOOKUP($A398,My_Audit!$A:$A,My_Audit!H:H,""),
_xlfn.IFS(_xlpm.MyAuditVal&lt;&gt;"",UPPER(_xlpm.MyAuditVal),_xlpm.MacVal&lt;&gt;"",_xlpm.MacVal,_xlpm.CSVVal&lt;&gt;"",_xlpm.CSVVal
)),"")</f>
        <v/>
      </c>
      <c r="J398" s="45" t="str" cm="1">
        <f t="array" ref="J398">IFERROR(_xlfn.LET(
_xlpm.CSVVal,_xlfn.XLOOKUP($A398,CSV!$A:$A,CSV!J:J,""),
_xlpm.MacVal,_xlfn.XLOOKUP($A398,Output_Mac!$A:$A,Output_Mac!K:K,""),
_xlpm.MyAuditVal,_xlfn.XLOOKUP($A398,My_Audit!$A:$A,My_Audit!I:I,""),
_xlfn.IFS(_xlpm.MyAuditVal&lt;&gt;"",UPPER(_xlpm.MyAuditVal),_xlpm.MacVal&lt;&gt;"",_xlpm.MacVal,_xlpm.CSVVal&lt;&gt;"",_xlpm.CSVVal
)),"")</f>
        <v/>
      </c>
      <c r="K398" s="45" t="str" cm="1">
        <f t="array" ref="K398">IFERROR(_xlfn.LET(
_xlpm.CSVVal,_xlfn.XLOOKUP($A398,CSV!$A:$A,CSV!N:N,""),
_xlpm.MacVal,_xlfn.XLOOKUP($A398,Output_Mac!$A:$A,Output_Mac!L:L,""),
_xlpm.MyAuditVal,_xlfn.XLOOKUP($A398,My_Audit!$A:$A,My_Audit!J:J,""),
_xlfn.IFS(_xlpm.MyAuditVal&lt;&gt;"",UPPER(_xlpm.MyAuditVal),_xlpm.MacVal&lt;&gt;"",_xlpm.MacVal,_xlpm.CSVVal&lt;&gt;"",_xlpm.CSVVal
)),"")</f>
        <v/>
      </c>
      <c r="L398" s="45" t="str" cm="1">
        <f t="array" ref="L398">IFERROR(_xlfn.LET(
_xlpm.CSVVal,_xlfn.XLOOKUP($A398,CSV!$A:$A,CSV!P:P,""),
_xlpm.MacVal,_xlfn.XLOOKUP($A398,Output_Mac!$A:$A,Output_Mac!M:M,""),
_xlpm.MyAuditVal,_xlfn.XLOOKUP($A398,My_Audit!$A:$A,My_Audit!K:K,""),
_xlfn.IFS(_xlpm.MyAuditVal&lt;&gt;"",UPPER(_xlpm.MyAuditVal),_xlpm.MacVal&lt;&gt;"",_xlpm.MacVal,_xlpm.CSVVal&lt;&gt;"",_xlpm.CSVVal
)),"")</f>
        <v/>
      </c>
      <c r="M398" s="45" t="str">
        <f>_xlfn.LET(
    _xlpm.CSVVal, _xlfn.XLOOKUP($A398, CSV!$A:$A, CSV!AE:AE, ""),
    _xlpm.MacVal, _xlfn.XLOOKUP($A398, Output_Mac!$A:$A, Output_Mac!S:S, ""),
    _xlpm.MyAuditVal, _xlfn.XLOOKUP($A398, My_Audit!$A:$A, My_Audit!N:N, ""),
    _xlfn.TEXTJOIN(", ", TRUE, _xlpm.MyAuditVal, _xlpm.MacVal, _xlpm.CSVVal)
)</f>
        <v/>
      </c>
      <c r="N398" s="45" t="str" cm="1">
        <f t="array" ref="N398">IFERROR(_xlfn.LET(
_xlpm.CSVVal,_xlfn.XLOOKUP($A398,CSV!$A:$A,CSV!AG:AG,""),
_xlpm.MacVal,_xlfn.XLOOKUP($A398,Output_Mac!$A:$A,Output_Mac!U:U,""),
_xlpm.MyAuditVal,_xlfn.XLOOKUP($A398,My_Audit!$A:$A,My_Audit!O:O,""),
_xlfn.IFS(_xlpm.MyAuditVal&lt;&gt;"",UPPER(_xlpm.MyAuditVal),_xlpm.MacVal&lt;&gt;"",_xlpm.MacVal,_xlpm.CSVVal&lt;&gt;"",_xlpm.CSVVal
)),"")</f>
        <v/>
      </c>
      <c r="O398" s="46" t="str">
        <f>_xlfn.XLOOKUP(C398,My_Audit!B:B,My_Audit!P:P,"")&amp;""</f>
        <v/>
      </c>
      <c r="P398" s="45"/>
      <c r="Q398" s="46" t="str">
        <f>IF(LEFT(N398,4)="Pass","Nist SP 800-88",My_Audit!R398)&amp;""</f>
        <v/>
      </c>
      <c r="R398" s="45"/>
      <c r="S398" s="45"/>
      <c r="T398" s="46" t="str">
        <f>_xlfn.XLOOKUP(E398,Models!I:I,Models!J:J,"")</f>
        <v/>
      </c>
      <c r="U398" s="45"/>
      <c r="V398" s="45"/>
      <c r="W398" s="38"/>
    </row>
    <row r="399" spans="1:23">
      <c r="A399" s="45" t="str">
        <f>_xlfn.TEXTJOIN("",TRUE,Input!$B$2,ROW(My_Audit!A398))</f>
        <v>XX398</v>
      </c>
      <c r="B399" s="45" t="str">
        <f>_xlfn.TEXTJOIN("-",TRUE,"ITD",Input!$A$2,A399)</f>
        <v>ITD-SHRXXX-XX398</v>
      </c>
      <c r="C399" s="45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46" t="str" cm="1">
        <f t="array" ref="D399">IFERROR(_xlfn.LET(
_xlpm.CSVVal,_xlfn.XLOOKUP($A399,CSV!$A:$A,CSV!C:C,""),
_xlpm.MacVal,_xlfn.XLOOKUP($A399,Output_Mac!$A:$A,Output_Mac!D:D,""),
_xlpm.MyAuditVal,_xlfn.XLOOKUP($A399,My_Audit!$A:$A,My_Audit!C:C,""),
_xlfn.IFS(_xlpm.MyAuditVal&lt;&gt;"",UPPER(_xlpm.MyAuditVal),_xlpm.MacVal&lt;&gt;"",_xlpm.MacVal,_xlpm.CSVVal&lt;&gt;"",_xlpm.CSVVal
)),"")</f>
        <v/>
      </c>
      <c r="E399" s="46" t="str" cm="1">
        <f t="array" ref="E399">IFERROR(_xlfn.LET(
_xlpm.CSVVal,_xlfn.XLOOKUP($A399,CSV!$A:$A,CSV!E:E,""),
_xlpm.MacVal,_xlfn.XLOOKUP($A399,Output_Mac!$A:$A,Output_Mac!C:C,""),
_xlpm.MyAuditVal,_xlfn.XLOOKUP($A399,My_Audit!$A:$A,My_Audit!D:D,""),
_xlfn.IFS(_xlpm.MyAuditVal&lt;&gt;"",_xlpm.MyAuditVal,_xlpm.MacVal&lt;&gt;"",_xlpm.MacVal,_xlpm.CSVVal&lt;&gt;"",_xlpm.CSVVal
)),"")</f>
        <v/>
      </c>
      <c r="F399" s="45" t="str" cm="1">
        <f t="array" ref="F399">IFERROR(_xlfn.LET(
_xlpm.CSVVal,_xlfn.XLOOKUP($A399,CSV!$A:$A,CSV!F:F,""),
_xlpm.MacVal,_xlfn.XLOOKUP($A399,Output_Mac!$A:$A,Output_Mac!F:F,""),
_xlpm.MyAuditVal,_xlfn.XLOOKUP($A399,My_Audit!$A:$A,My_Audit!E:E,""),
_xlfn.IFS(_xlpm.MyAuditVal&lt;&gt;"",_xlpm.MyAuditVal,_xlpm.MacVal&lt;&gt;"",_xlpm.MacVal,_xlpm.CSVVal&lt;&gt;"",PROPER(_xlpm.CSVVal)
)),"")</f>
        <v/>
      </c>
      <c r="G399" s="45" t="str" cm="1">
        <f t="array" ref="G399">IFERROR(_xlfn.LET(
_xlpm.CSVVal,_xlfn.XLOOKUP($A399,CSV!$A:$A,CSV!G:G,""),
_xlpm.MacVal,_xlfn.XLOOKUP($A399,Output_Mac!$A:$A,Output_Mac!H:H,""),
_xlpm.MyAuditVal,_xlfn.XLOOKUP($A399,My_Audit!$A:$A,My_Audit!F:F,""),
_xlfn.IFS(_xlpm.MyAuditVal&lt;&gt;"",_xlpm.MyAuditVal,_xlpm.MacVal&lt;&gt;"",_xlpm.MacVal,_xlpm.CSVVal&lt;&gt;"",_xlpm.CSVVal
)),"")</f>
        <v/>
      </c>
      <c r="H399" s="45" t="str">
        <f>_xlfn.XLOOKUP(A399,Output_Mac!A:A,Output_Mac!I:I,"")</f>
        <v/>
      </c>
      <c r="I399" s="45" t="str" cm="1">
        <f t="array" ref="I399">IFERROR(_xlfn.LET(
_xlpm.CSVVal,_xlfn.XLOOKUP($A399,CSV!$A:$A,CSV!H:H,""),
_xlpm.MacVal,_xlfn.XLOOKUP($A399,Output_Mac!$A:$A,Output_Mac!J:J,""),
_xlpm.MyAuditVal,_xlfn.XLOOKUP($A399,My_Audit!$A:$A,My_Audit!H:H,""),
_xlfn.IFS(_xlpm.MyAuditVal&lt;&gt;"",UPPER(_xlpm.MyAuditVal),_xlpm.MacVal&lt;&gt;"",_xlpm.MacVal,_xlpm.CSVVal&lt;&gt;"",_xlpm.CSVVal
)),"")</f>
        <v/>
      </c>
      <c r="J399" s="45" t="str" cm="1">
        <f t="array" ref="J399">IFERROR(_xlfn.LET(
_xlpm.CSVVal,_xlfn.XLOOKUP($A399,CSV!$A:$A,CSV!J:J,""),
_xlpm.MacVal,_xlfn.XLOOKUP($A399,Output_Mac!$A:$A,Output_Mac!K:K,""),
_xlpm.MyAuditVal,_xlfn.XLOOKUP($A399,My_Audit!$A:$A,My_Audit!I:I,""),
_xlfn.IFS(_xlpm.MyAuditVal&lt;&gt;"",UPPER(_xlpm.MyAuditVal),_xlpm.MacVal&lt;&gt;"",_xlpm.MacVal,_xlpm.CSVVal&lt;&gt;"",_xlpm.CSVVal
)),"")</f>
        <v/>
      </c>
      <c r="K399" s="45" t="str" cm="1">
        <f t="array" ref="K399">IFERROR(_xlfn.LET(
_xlpm.CSVVal,_xlfn.XLOOKUP($A399,CSV!$A:$A,CSV!N:N,""),
_xlpm.MacVal,_xlfn.XLOOKUP($A399,Output_Mac!$A:$A,Output_Mac!L:L,""),
_xlpm.MyAuditVal,_xlfn.XLOOKUP($A399,My_Audit!$A:$A,My_Audit!J:J,""),
_xlfn.IFS(_xlpm.MyAuditVal&lt;&gt;"",UPPER(_xlpm.MyAuditVal),_xlpm.MacVal&lt;&gt;"",_xlpm.MacVal,_xlpm.CSVVal&lt;&gt;"",_xlpm.CSVVal
)),"")</f>
        <v/>
      </c>
      <c r="L399" s="45" t="str" cm="1">
        <f t="array" ref="L399">IFERROR(_xlfn.LET(
_xlpm.CSVVal,_xlfn.XLOOKUP($A399,CSV!$A:$A,CSV!P:P,""),
_xlpm.MacVal,_xlfn.XLOOKUP($A399,Output_Mac!$A:$A,Output_Mac!M:M,""),
_xlpm.MyAuditVal,_xlfn.XLOOKUP($A399,My_Audit!$A:$A,My_Audit!K:K,""),
_xlfn.IFS(_xlpm.MyAuditVal&lt;&gt;"",UPPER(_xlpm.MyAuditVal),_xlpm.MacVal&lt;&gt;"",_xlpm.MacVal,_xlpm.CSVVal&lt;&gt;"",_xlpm.CSVVal
)),"")</f>
        <v/>
      </c>
      <c r="M399" s="45" t="str">
        <f>_xlfn.LET(
    _xlpm.CSVVal, _xlfn.XLOOKUP($A399, CSV!$A:$A, CSV!AE:AE, ""),
    _xlpm.MacVal, _xlfn.XLOOKUP($A399, Output_Mac!$A:$A, Output_Mac!S:S, ""),
    _xlpm.MyAuditVal, _xlfn.XLOOKUP($A399, My_Audit!$A:$A, My_Audit!N:N, ""),
    _xlfn.TEXTJOIN(", ", TRUE, _xlpm.MyAuditVal, _xlpm.MacVal, _xlpm.CSVVal)
)</f>
        <v/>
      </c>
      <c r="N399" s="45" t="str" cm="1">
        <f t="array" ref="N399">IFERROR(_xlfn.LET(
_xlpm.CSVVal,_xlfn.XLOOKUP($A399,CSV!$A:$A,CSV!AG:AG,""),
_xlpm.MacVal,_xlfn.XLOOKUP($A399,Output_Mac!$A:$A,Output_Mac!U:U,""),
_xlpm.MyAuditVal,_xlfn.XLOOKUP($A399,My_Audit!$A:$A,My_Audit!O:O,""),
_xlfn.IFS(_xlpm.MyAuditVal&lt;&gt;"",UPPER(_xlpm.MyAuditVal),_xlpm.MacVal&lt;&gt;"",_xlpm.MacVal,_xlpm.CSVVal&lt;&gt;"",_xlpm.CSVVal
)),"")</f>
        <v/>
      </c>
      <c r="O399" s="46" t="str">
        <f>_xlfn.XLOOKUP(C399,My_Audit!B:B,My_Audit!P:P,"")&amp;""</f>
        <v/>
      </c>
      <c r="P399" s="45"/>
      <c r="Q399" s="46" t="str">
        <f>IF(LEFT(N399,4)="Pass","Nist SP 800-88",My_Audit!R399)&amp;""</f>
        <v/>
      </c>
      <c r="R399" s="45"/>
      <c r="S399" s="45"/>
      <c r="T399" s="46" t="str">
        <f>_xlfn.XLOOKUP(E399,Models!I:I,Models!J:J,"")</f>
        <v/>
      </c>
      <c r="U399" s="45"/>
      <c r="V399" s="45"/>
      <c r="W399" s="38"/>
    </row>
    <row r="400" spans="1:23">
      <c r="A400" s="45" t="str">
        <f>_xlfn.TEXTJOIN("",TRUE,Input!$B$2,ROW(My_Audit!A399))</f>
        <v>XX399</v>
      </c>
      <c r="B400" s="45" t="str">
        <f>_xlfn.TEXTJOIN("-",TRUE,"ITD",Input!$A$2,A400)</f>
        <v>ITD-SHRXXX-XX399</v>
      </c>
      <c r="C400" s="45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46" t="str" cm="1">
        <f t="array" ref="D400">IFERROR(_xlfn.LET(
_xlpm.CSVVal,_xlfn.XLOOKUP($A400,CSV!$A:$A,CSV!C:C,""),
_xlpm.MacVal,_xlfn.XLOOKUP($A400,Output_Mac!$A:$A,Output_Mac!D:D,""),
_xlpm.MyAuditVal,_xlfn.XLOOKUP($A400,My_Audit!$A:$A,My_Audit!C:C,""),
_xlfn.IFS(_xlpm.MyAuditVal&lt;&gt;"",UPPER(_xlpm.MyAuditVal),_xlpm.MacVal&lt;&gt;"",_xlpm.MacVal,_xlpm.CSVVal&lt;&gt;"",_xlpm.CSVVal
)),"")</f>
        <v/>
      </c>
      <c r="E400" s="46" t="str" cm="1">
        <f t="array" ref="E400">IFERROR(_xlfn.LET(
_xlpm.CSVVal,_xlfn.XLOOKUP($A400,CSV!$A:$A,CSV!E:E,""),
_xlpm.MacVal,_xlfn.XLOOKUP($A400,Output_Mac!$A:$A,Output_Mac!C:C,""),
_xlpm.MyAuditVal,_xlfn.XLOOKUP($A400,My_Audit!$A:$A,My_Audit!D:D,""),
_xlfn.IFS(_xlpm.MyAuditVal&lt;&gt;"",_xlpm.MyAuditVal,_xlpm.MacVal&lt;&gt;"",_xlpm.MacVal,_xlpm.CSVVal&lt;&gt;"",_xlpm.CSVVal
)),"")</f>
        <v/>
      </c>
      <c r="F400" s="45" t="str" cm="1">
        <f t="array" ref="F400">IFERROR(_xlfn.LET(
_xlpm.CSVVal,_xlfn.XLOOKUP($A400,CSV!$A:$A,CSV!F:F,""),
_xlpm.MacVal,_xlfn.XLOOKUP($A400,Output_Mac!$A:$A,Output_Mac!F:F,""),
_xlpm.MyAuditVal,_xlfn.XLOOKUP($A400,My_Audit!$A:$A,My_Audit!E:E,""),
_xlfn.IFS(_xlpm.MyAuditVal&lt;&gt;"",_xlpm.MyAuditVal,_xlpm.MacVal&lt;&gt;"",_xlpm.MacVal,_xlpm.CSVVal&lt;&gt;"",PROPER(_xlpm.CSVVal)
)),"")</f>
        <v/>
      </c>
      <c r="G400" s="45" t="str" cm="1">
        <f t="array" ref="G400">IFERROR(_xlfn.LET(
_xlpm.CSVVal,_xlfn.XLOOKUP($A400,CSV!$A:$A,CSV!G:G,""),
_xlpm.MacVal,_xlfn.XLOOKUP($A400,Output_Mac!$A:$A,Output_Mac!H:H,""),
_xlpm.MyAuditVal,_xlfn.XLOOKUP($A400,My_Audit!$A:$A,My_Audit!F:F,""),
_xlfn.IFS(_xlpm.MyAuditVal&lt;&gt;"",_xlpm.MyAuditVal,_xlpm.MacVal&lt;&gt;"",_xlpm.MacVal,_xlpm.CSVVal&lt;&gt;"",_xlpm.CSVVal
)),"")</f>
        <v/>
      </c>
      <c r="H400" s="45" t="str">
        <f>_xlfn.XLOOKUP(A400,Output_Mac!A:A,Output_Mac!I:I,"")</f>
        <v/>
      </c>
      <c r="I400" s="45" t="str" cm="1">
        <f t="array" ref="I400">IFERROR(_xlfn.LET(
_xlpm.CSVVal,_xlfn.XLOOKUP($A400,CSV!$A:$A,CSV!H:H,""),
_xlpm.MacVal,_xlfn.XLOOKUP($A400,Output_Mac!$A:$A,Output_Mac!J:J,""),
_xlpm.MyAuditVal,_xlfn.XLOOKUP($A400,My_Audit!$A:$A,My_Audit!H:H,""),
_xlfn.IFS(_xlpm.MyAuditVal&lt;&gt;"",UPPER(_xlpm.MyAuditVal),_xlpm.MacVal&lt;&gt;"",_xlpm.MacVal,_xlpm.CSVVal&lt;&gt;"",_xlpm.CSVVal
)),"")</f>
        <v/>
      </c>
      <c r="J400" s="45" t="str" cm="1">
        <f t="array" ref="J400">IFERROR(_xlfn.LET(
_xlpm.CSVVal,_xlfn.XLOOKUP($A400,CSV!$A:$A,CSV!J:J,""),
_xlpm.MacVal,_xlfn.XLOOKUP($A400,Output_Mac!$A:$A,Output_Mac!K:K,""),
_xlpm.MyAuditVal,_xlfn.XLOOKUP($A400,My_Audit!$A:$A,My_Audit!I:I,""),
_xlfn.IFS(_xlpm.MyAuditVal&lt;&gt;"",UPPER(_xlpm.MyAuditVal),_xlpm.MacVal&lt;&gt;"",_xlpm.MacVal,_xlpm.CSVVal&lt;&gt;"",_xlpm.CSVVal
)),"")</f>
        <v/>
      </c>
      <c r="K400" s="45" t="str" cm="1">
        <f t="array" ref="K400">IFERROR(_xlfn.LET(
_xlpm.CSVVal,_xlfn.XLOOKUP($A400,CSV!$A:$A,CSV!N:N,""),
_xlpm.MacVal,_xlfn.XLOOKUP($A400,Output_Mac!$A:$A,Output_Mac!L:L,""),
_xlpm.MyAuditVal,_xlfn.XLOOKUP($A400,My_Audit!$A:$A,My_Audit!J:J,""),
_xlfn.IFS(_xlpm.MyAuditVal&lt;&gt;"",UPPER(_xlpm.MyAuditVal),_xlpm.MacVal&lt;&gt;"",_xlpm.MacVal,_xlpm.CSVVal&lt;&gt;"",_xlpm.CSVVal
)),"")</f>
        <v/>
      </c>
      <c r="L400" s="45" t="str" cm="1">
        <f t="array" ref="L400">IFERROR(_xlfn.LET(
_xlpm.CSVVal,_xlfn.XLOOKUP($A400,CSV!$A:$A,CSV!P:P,""),
_xlpm.MacVal,_xlfn.XLOOKUP($A400,Output_Mac!$A:$A,Output_Mac!M:M,""),
_xlpm.MyAuditVal,_xlfn.XLOOKUP($A400,My_Audit!$A:$A,My_Audit!K:K,""),
_xlfn.IFS(_xlpm.MyAuditVal&lt;&gt;"",UPPER(_xlpm.MyAuditVal),_xlpm.MacVal&lt;&gt;"",_xlpm.MacVal,_xlpm.CSVVal&lt;&gt;"",_xlpm.CSVVal
)),"")</f>
        <v/>
      </c>
      <c r="M400" s="45" t="str">
        <f>_xlfn.LET(
    _xlpm.CSVVal, _xlfn.XLOOKUP($A400, CSV!$A:$A, CSV!AE:AE, ""),
    _xlpm.MacVal, _xlfn.XLOOKUP($A400, Output_Mac!$A:$A, Output_Mac!S:S, ""),
    _xlpm.MyAuditVal, _xlfn.XLOOKUP($A400, My_Audit!$A:$A, My_Audit!N:N, ""),
    _xlfn.TEXTJOIN(", ", TRUE, _xlpm.MyAuditVal, _xlpm.MacVal, _xlpm.CSVVal)
)</f>
        <v/>
      </c>
      <c r="N400" s="45" t="str" cm="1">
        <f t="array" ref="N400">IFERROR(_xlfn.LET(
_xlpm.CSVVal,_xlfn.XLOOKUP($A400,CSV!$A:$A,CSV!AG:AG,""),
_xlpm.MacVal,_xlfn.XLOOKUP($A400,Output_Mac!$A:$A,Output_Mac!U:U,""),
_xlpm.MyAuditVal,_xlfn.XLOOKUP($A400,My_Audit!$A:$A,My_Audit!O:O,""),
_xlfn.IFS(_xlpm.MyAuditVal&lt;&gt;"",UPPER(_xlpm.MyAuditVal),_xlpm.MacVal&lt;&gt;"",_xlpm.MacVal,_xlpm.CSVVal&lt;&gt;"",_xlpm.CSVVal
)),"")</f>
        <v/>
      </c>
      <c r="O400" s="46" t="str">
        <f>_xlfn.XLOOKUP(C400,My_Audit!B:B,My_Audit!P:P,"")&amp;""</f>
        <v/>
      </c>
      <c r="P400" s="45"/>
      <c r="Q400" s="46" t="str">
        <f>IF(LEFT(N400,4)="Pass","Nist SP 800-88",My_Audit!R400)&amp;""</f>
        <v/>
      </c>
      <c r="R400" s="45"/>
      <c r="S400" s="45"/>
      <c r="T400" s="46" t="str">
        <f>_xlfn.XLOOKUP(E400,Models!I:I,Models!J:J,"")</f>
        <v/>
      </c>
      <c r="U400" s="45"/>
      <c r="V400" s="45"/>
      <c r="W400" s="38"/>
    </row>
    <row r="401" spans="1:23">
      <c r="A401" s="45" t="str">
        <f>_xlfn.TEXTJOIN("",TRUE,Input!$B$2,ROW(My_Audit!A400))</f>
        <v>XX400</v>
      </c>
      <c r="B401" s="45" t="str">
        <f>_xlfn.TEXTJOIN("-",TRUE,"ITD",Input!$A$2,A401)</f>
        <v>ITD-SHRXXX-XX400</v>
      </c>
      <c r="C401" s="45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46" t="str" cm="1">
        <f t="array" ref="D401">IFERROR(_xlfn.LET(
_xlpm.CSVVal,_xlfn.XLOOKUP($A401,CSV!$A:$A,CSV!C:C,""),
_xlpm.MacVal,_xlfn.XLOOKUP($A401,Output_Mac!$A:$A,Output_Mac!D:D,""),
_xlpm.MyAuditVal,_xlfn.XLOOKUP($A401,My_Audit!$A:$A,My_Audit!C:C,""),
_xlfn.IFS(_xlpm.MyAuditVal&lt;&gt;"",UPPER(_xlpm.MyAuditVal),_xlpm.MacVal&lt;&gt;"",_xlpm.MacVal,_xlpm.CSVVal&lt;&gt;"",_xlpm.CSVVal
)),"")</f>
        <v/>
      </c>
      <c r="E401" s="46" t="str" cm="1">
        <f t="array" ref="E401">IFERROR(_xlfn.LET(
_xlpm.CSVVal,_xlfn.XLOOKUP($A401,CSV!$A:$A,CSV!E:E,""),
_xlpm.MacVal,_xlfn.XLOOKUP($A401,Output_Mac!$A:$A,Output_Mac!C:C,""),
_xlpm.MyAuditVal,_xlfn.XLOOKUP($A401,My_Audit!$A:$A,My_Audit!D:D,""),
_xlfn.IFS(_xlpm.MyAuditVal&lt;&gt;"",_xlpm.MyAuditVal,_xlpm.MacVal&lt;&gt;"",_xlpm.MacVal,_xlpm.CSVVal&lt;&gt;"",_xlpm.CSVVal
)),"")</f>
        <v/>
      </c>
      <c r="F401" s="45" t="str" cm="1">
        <f t="array" ref="F401">IFERROR(_xlfn.LET(
_xlpm.CSVVal,_xlfn.XLOOKUP($A401,CSV!$A:$A,CSV!F:F,""),
_xlpm.MacVal,_xlfn.XLOOKUP($A401,Output_Mac!$A:$A,Output_Mac!F:F,""),
_xlpm.MyAuditVal,_xlfn.XLOOKUP($A401,My_Audit!$A:$A,My_Audit!E:E,""),
_xlfn.IFS(_xlpm.MyAuditVal&lt;&gt;"",_xlpm.MyAuditVal,_xlpm.MacVal&lt;&gt;"",_xlpm.MacVal,_xlpm.CSVVal&lt;&gt;"",PROPER(_xlpm.CSVVal)
)),"")</f>
        <v/>
      </c>
      <c r="G401" s="45" t="str" cm="1">
        <f t="array" ref="G401">IFERROR(_xlfn.LET(
_xlpm.CSVVal,_xlfn.XLOOKUP($A401,CSV!$A:$A,CSV!G:G,""),
_xlpm.MacVal,_xlfn.XLOOKUP($A401,Output_Mac!$A:$A,Output_Mac!H:H,""),
_xlpm.MyAuditVal,_xlfn.XLOOKUP($A401,My_Audit!$A:$A,My_Audit!F:F,""),
_xlfn.IFS(_xlpm.MyAuditVal&lt;&gt;"",_xlpm.MyAuditVal,_xlpm.MacVal&lt;&gt;"",_xlpm.MacVal,_xlpm.CSVVal&lt;&gt;"",_xlpm.CSVVal
)),"")</f>
        <v/>
      </c>
      <c r="H401" s="45" t="str">
        <f>_xlfn.XLOOKUP(A401,Output_Mac!A:A,Output_Mac!I:I,"")</f>
        <v/>
      </c>
      <c r="I401" s="45" t="str" cm="1">
        <f t="array" ref="I401">IFERROR(_xlfn.LET(
_xlpm.CSVVal,_xlfn.XLOOKUP($A401,CSV!$A:$A,CSV!H:H,""),
_xlpm.MacVal,_xlfn.XLOOKUP($A401,Output_Mac!$A:$A,Output_Mac!J:J,""),
_xlpm.MyAuditVal,_xlfn.XLOOKUP($A401,My_Audit!$A:$A,My_Audit!H:H,""),
_xlfn.IFS(_xlpm.MyAuditVal&lt;&gt;"",UPPER(_xlpm.MyAuditVal),_xlpm.MacVal&lt;&gt;"",_xlpm.MacVal,_xlpm.CSVVal&lt;&gt;"",_xlpm.CSVVal
)),"")</f>
        <v/>
      </c>
      <c r="J401" s="45" t="str" cm="1">
        <f t="array" ref="J401">IFERROR(_xlfn.LET(
_xlpm.CSVVal,_xlfn.XLOOKUP($A401,CSV!$A:$A,CSV!J:J,""),
_xlpm.MacVal,_xlfn.XLOOKUP($A401,Output_Mac!$A:$A,Output_Mac!K:K,""),
_xlpm.MyAuditVal,_xlfn.XLOOKUP($A401,My_Audit!$A:$A,My_Audit!I:I,""),
_xlfn.IFS(_xlpm.MyAuditVal&lt;&gt;"",UPPER(_xlpm.MyAuditVal),_xlpm.MacVal&lt;&gt;"",_xlpm.MacVal,_xlpm.CSVVal&lt;&gt;"",_xlpm.CSVVal
)),"")</f>
        <v/>
      </c>
      <c r="K401" s="45" t="str" cm="1">
        <f t="array" ref="K401">IFERROR(_xlfn.LET(
_xlpm.CSVVal,_xlfn.XLOOKUP($A401,CSV!$A:$A,CSV!N:N,""),
_xlpm.MacVal,_xlfn.XLOOKUP($A401,Output_Mac!$A:$A,Output_Mac!L:L,""),
_xlpm.MyAuditVal,_xlfn.XLOOKUP($A401,My_Audit!$A:$A,My_Audit!J:J,""),
_xlfn.IFS(_xlpm.MyAuditVal&lt;&gt;"",UPPER(_xlpm.MyAuditVal),_xlpm.MacVal&lt;&gt;"",_xlpm.MacVal,_xlpm.CSVVal&lt;&gt;"",_xlpm.CSVVal
)),"")</f>
        <v/>
      </c>
      <c r="L401" s="45" t="str" cm="1">
        <f t="array" ref="L401">IFERROR(_xlfn.LET(
_xlpm.CSVVal,_xlfn.XLOOKUP($A401,CSV!$A:$A,CSV!P:P,""),
_xlpm.MacVal,_xlfn.XLOOKUP($A401,Output_Mac!$A:$A,Output_Mac!M:M,""),
_xlpm.MyAuditVal,_xlfn.XLOOKUP($A401,My_Audit!$A:$A,My_Audit!K:K,""),
_xlfn.IFS(_xlpm.MyAuditVal&lt;&gt;"",UPPER(_xlpm.MyAuditVal),_xlpm.MacVal&lt;&gt;"",_xlpm.MacVal,_xlpm.CSVVal&lt;&gt;"",_xlpm.CSVVal
)),"")</f>
        <v/>
      </c>
      <c r="M401" s="45" t="str">
        <f>_xlfn.LET(
    _xlpm.CSVVal, _xlfn.XLOOKUP($A401, CSV!$A:$A, CSV!AE:AE, ""),
    _xlpm.MacVal, _xlfn.XLOOKUP($A401, Output_Mac!$A:$A, Output_Mac!S:S, ""),
    _xlpm.MyAuditVal, _xlfn.XLOOKUP($A401, My_Audit!$A:$A, My_Audit!N:N, ""),
    _xlfn.TEXTJOIN(", ", TRUE, _xlpm.MyAuditVal, _xlpm.MacVal, _xlpm.CSVVal)
)</f>
        <v/>
      </c>
      <c r="N401" s="45" t="str" cm="1">
        <f t="array" ref="N401">IFERROR(_xlfn.LET(
_xlpm.CSVVal,_xlfn.XLOOKUP($A401,CSV!$A:$A,CSV!AG:AG,""),
_xlpm.MacVal,_xlfn.XLOOKUP($A401,Output_Mac!$A:$A,Output_Mac!U:U,""),
_xlpm.MyAuditVal,_xlfn.XLOOKUP($A401,My_Audit!$A:$A,My_Audit!O:O,""),
_xlfn.IFS(_xlpm.MyAuditVal&lt;&gt;"",UPPER(_xlpm.MyAuditVal),_xlpm.MacVal&lt;&gt;"",_xlpm.MacVal,_xlpm.CSVVal&lt;&gt;"",_xlpm.CSVVal
)),"")</f>
        <v/>
      </c>
      <c r="O401" s="46" t="str">
        <f>_xlfn.XLOOKUP(C401,My_Audit!B:B,My_Audit!P:P,"")&amp;""</f>
        <v/>
      </c>
      <c r="P401" s="45"/>
      <c r="Q401" s="46" t="str">
        <f>IF(LEFT(N401,4)="Pass","Nist SP 800-88",My_Audit!R401)&amp;""</f>
        <v/>
      </c>
      <c r="R401" s="45"/>
      <c r="S401" s="45"/>
      <c r="T401" s="46" t="str">
        <f>_xlfn.XLOOKUP(E401,Models!I:I,Models!J:J,"")</f>
        <v/>
      </c>
      <c r="U401" s="45"/>
      <c r="V401" s="45"/>
      <c r="W401" s="38"/>
    </row>
    <row r="402" spans="1:23">
      <c r="A402" s="45" t="str">
        <f>_xlfn.TEXTJOIN("",TRUE,Input!$B$2,ROW(My_Audit!A401))</f>
        <v>XX401</v>
      </c>
      <c r="B402" s="45" t="str">
        <f>_xlfn.TEXTJOIN("-",TRUE,"ITD",Input!$A$2,A402)</f>
        <v>ITD-SHRXXX-XX401</v>
      </c>
      <c r="C402" s="45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46" t="str" cm="1">
        <f t="array" ref="D402">IFERROR(_xlfn.LET(
_xlpm.CSVVal,_xlfn.XLOOKUP($A402,CSV!$A:$A,CSV!C:C,""),
_xlpm.MacVal,_xlfn.XLOOKUP($A402,Output_Mac!$A:$A,Output_Mac!D:D,""),
_xlpm.MyAuditVal,_xlfn.XLOOKUP($A402,My_Audit!$A:$A,My_Audit!C:C,""),
_xlfn.IFS(_xlpm.MyAuditVal&lt;&gt;"",UPPER(_xlpm.MyAuditVal),_xlpm.MacVal&lt;&gt;"",_xlpm.MacVal,_xlpm.CSVVal&lt;&gt;"",_xlpm.CSVVal
)),"")</f>
        <v/>
      </c>
      <c r="E402" s="46" t="str" cm="1">
        <f t="array" ref="E402">IFERROR(_xlfn.LET(
_xlpm.CSVVal,_xlfn.XLOOKUP($A402,CSV!$A:$A,CSV!E:E,""),
_xlpm.MacVal,_xlfn.XLOOKUP($A402,Output_Mac!$A:$A,Output_Mac!C:C,""),
_xlpm.MyAuditVal,_xlfn.XLOOKUP($A402,My_Audit!$A:$A,My_Audit!D:D,""),
_xlfn.IFS(_xlpm.MyAuditVal&lt;&gt;"",_xlpm.MyAuditVal,_xlpm.MacVal&lt;&gt;"",_xlpm.MacVal,_xlpm.CSVVal&lt;&gt;"",_xlpm.CSVVal
)),"")</f>
        <v/>
      </c>
      <c r="F402" s="45" t="str" cm="1">
        <f t="array" ref="F402">IFERROR(_xlfn.LET(
_xlpm.CSVVal,_xlfn.XLOOKUP($A402,CSV!$A:$A,CSV!F:F,""),
_xlpm.MacVal,_xlfn.XLOOKUP($A402,Output_Mac!$A:$A,Output_Mac!F:F,""),
_xlpm.MyAuditVal,_xlfn.XLOOKUP($A402,My_Audit!$A:$A,My_Audit!E:E,""),
_xlfn.IFS(_xlpm.MyAuditVal&lt;&gt;"",_xlpm.MyAuditVal,_xlpm.MacVal&lt;&gt;"",_xlpm.MacVal,_xlpm.CSVVal&lt;&gt;"",PROPER(_xlpm.CSVVal)
)),"")</f>
        <v/>
      </c>
      <c r="G402" s="45" t="str" cm="1">
        <f t="array" ref="G402">IFERROR(_xlfn.LET(
_xlpm.CSVVal,_xlfn.XLOOKUP($A402,CSV!$A:$A,CSV!G:G,""),
_xlpm.MacVal,_xlfn.XLOOKUP($A402,Output_Mac!$A:$A,Output_Mac!H:H,""),
_xlpm.MyAuditVal,_xlfn.XLOOKUP($A402,My_Audit!$A:$A,My_Audit!F:F,""),
_xlfn.IFS(_xlpm.MyAuditVal&lt;&gt;"",_xlpm.MyAuditVal,_xlpm.MacVal&lt;&gt;"",_xlpm.MacVal,_xlpm.CSVVal&lt;&gt;"",_xlpm.CSVVal
)),"")</f>
        <v/>
      </c>
      <c r="H402" s="45" t="str">
        <f>_xlfn.XLOOKUP(A402,Output_Mac!A:A,Output_Mac!I:I,"")</f>
        <v/>
      </c>
      <c r="I402" s="45" t="str" cm="1">
        <f t="array" ref="I402">IFERROR(_xlfn.LET(
_xlpm.CSVVal,_xlfn.XLOOKUP($A402,CSV!$A:$A,CSV!H:H,""),
_xlpm.MacVal,_xlfn.XLOOKUP($A402,Output_Mac!$A:$A,Output_Mac!J:J,""),
_xlpm.MyAuditVal,_xlfn.XLOOKUP($A402,My_Audit!$A:$A,My_Audit!H:H,""),
_xlfn.IFS(_xlpm.MyAuditVal&lt;&gt;"",UPPER(_xlpm.MyAuditVal),_xlpm.MacVal&lt;&gt;"",_xlpm.MacVal,_xlpm.CSVVal&lt;&gt;"",_xlpm.CSVVal
)),"")</f>
        <v/>
      </c>
      <c r="J402" s="45" t="str" cm="1">
        <f t="array" ref="J402">IFERROR(_xlfn.LET(
_xlpm.CSVVal,_xlfn.XLOOKUP($A402,CSV!$A:$A,CSV!J:J,""),
_xlpm.MacVal,_xlfn.XLOOKUP($A402,Output_Mac!$A:$A,Output_Mac!K:K,""),
_xlpm.MyAuditVal,_xlfn.XLOOKUP($A402,My_Audit!$A:$A,My_Audit!I:I,""),
_xlfn.IFS(_xlpm.MyAuditVal&lt;&gt;"",UPPER(_xlpm.MyAuditVal),_xlpm.MacVal&lt;&gt;"",_xlpm.MacVal,_xlpm.CSVVal&lt;&gt;"",_xlpm.CSVVal
)),"")</f>
        <v/>
      </c>
      <c r="K402" s="45" t="str" cm="1">
        <f t="array" ref="K402">IFERROR(_xlfn.LET(
_xlpm.CSVVal,_xlfn.XLOOKUP($A402,CSV!$A:$A,CSV!N:N,""),
_xlpm.MacVal,_xlfn.XLOOKUP($A402,Output_Mac!$A:$A,Output_Mac!L:L,""),
_xlpm.MyAuditVal,_xlfn.XLOOKUP($A402,My_Audit!$A:$A,My_Audit!J:J,""),
_xlfn.IFS(_xlpm.MyAuditVal&lt;&gt;"",UPPER(_xlpm.MyAuditVal),_xlpm.MacVal&lt;&gt;"",_xlpm.MacVal,_xlpm.CSVVal&lt;&gt;"",_xlpm.CSVVal
)),"")</f>
        <v/>
      </c>
      <c r="L402" s="45" t="str" cm="1">
        <f t="array" ref="L402">IFERROR(_xlfn.LET(
_xlpm.CSVVal,_xlfn.XLOOKUP($A402,CSV!$A:$A,CSV!P:P,""),
_xlpm.MacVal,_xlfn.XLOOKUP($A402,Output_Mac!$A:$A,Output_Mac!M:M,""),
_xlpm.MyAuditVal,_xlfn.XLOOKUP($A402,My_Audit!$A:$A,My_Audit!K:K,""),
_xlfn.IFS(_xlpm.MyAuditVal&lt;&gt;"",UPPER(_xlpm.MyAuditVal),_xlpm.MacVal&lt;&gt;"",_xlpm.MacVal,_xlpm.CSVVal&lt;&gt;"",_xlpm.CSVVal
)),"")</f>
        <v/>
      </c>
      <c r="M402" s="45" t="str">
        <f>_xlfn.LET(
    _xlpm.CSVVal, _xlfn.XLOOKUP($A402, CSV!$A:$A, CSV!AE:AE, ""),
    _xlpm.MacVal, _xlfn.XLOOKUP($A402, Output_Mac!$A:$A, Output_Mac!S:S, ""),
    _xlpm.MyAuditVal, _xlfn.XLOOKUP($A402, My_Audit!$A:$A, My_Audit!N:N, ""),
    _xlfn.TEXTJOIN(", ", TRUE, _xlpm.MyAuditVal, _xlpm.MacVal, _xlpm.CSVVal)
)</f>
        <v/>
      </c>
      <c r="N402" s="45" t="str" cm="1">
        <f t="array" ref="N402">IFERROR(_xlfn.LET(
_xlpm.CSVVal,_xlfn.XLOOKUP($A402,CSV!$A:$A,CSV!AG:AG,""),
_xlpm.MacVal,_xlfn.XLOOKUP($A402,Output_Mac!$A:$A,Output_Mac!U:U,""),
_xlpm.MyAuditVal,_xlfn.XLOOKUP($A402,My_Audit!$A:$A,My_Audit!O:O,""),
_xlfn.IFS(_xlpm.MyAuditVal&lt;&gt;"",UPPER(_xlpm.MyAuditVal),_xlpm.MacVal&lt;&gt;"",_xlpm.MacVal,_xlpm.CSVVal&lt;&gt;"",_xlpm.CSVVal
)),"")</f>
        <v/>
      </c>
      <c r="O402" s="46" t="str">
        <f>_xlfn.XLOOKUP(C402,My_Audit!B:B,My_Audit!P:P,"")&amp;""</f>
        <v/>
      </c>
      <c r="P402" s="45"/>
      <c r="Q402" s="46" t="str">
        <f>IF(LEFT(N402,4)="Pass","Nist SP 800-88",My_Audit!R402)&amp;""</f>
        <v/>
      </c>
      <c r="R402" s="45"/>
      <c r="S402" s="45"/>
      <c r="T402" s="46" t="str">
        <f>_xlfn.XLOOKUP(E402,Models!I:I,Models!J:J,"")</f>
        <v/>
      </c>
      <c r="U402" s="45"/>
      <c r="V402" s="45"/>
      <c r="W402" s="38"/>
    </row>
    <row r="403" spans="1:23">
      <c r="A403" s="45" t="str">
        <f>_xlfn.TEXTJOIN("",TRUE,Input!$B$2,ROW(My_Audit!A402))</f>
        <v>XX402</v>
      </c>
      <c r="B403" s="45" t="str">
        <f>_xlfn.TEXTJOIN("-",TRUE,"ITD",Input!$A$2,A403)</f>
        <v>ITD-SHRXXX-XX402</v>
      </c>
      <c r="C403" s="45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46" t="str" cm="1">
        <f t="array" ref="D403">IFERROR(_xlfn.LET(
_xlpm.CSVVal,_xlfn.XLOOKUP($A403,CSV!$A:$A,CSV!C:C,""),
_xlpm.MacVal,_xlfn.XLOOKUP($A403,Output_Mac!$A:$A,Output_Mac!D:D,""),
_xlpm.MyAuditVal,_xlfn.XLOOKUP($A403,My_Audit!$A:$A,My_Audit!C:C,""),
_xlfn.IFS(_xlpm.MyAuditVal&lt;&gt;"",UPPER(_xlpm.MyAuditVal),_xlpm.MacVal&lt;&gt;"",_xlpm.MacVal,_xlpm.CSVVal&lt;&gt;"",_xlpm.CSVVal
)),"")</f>
        <v/>
      </c>
      <c r="E403" s="46" t="str" cm="1">
        <f t="array" ref="E403">IFERROR(_xlfn.LET(
_xlpm.CSVVal,_xlfn.XLOOKUP($A403,CSV!$A:$A,CSV!E:E,""),
_xlpm.MacVal,_xlfn.XLOOKUP($A403,Output_Mac!$A:$A,Output_Mac!C:C,""),
_xlpm.MyAuditVal,_xlfn.XLOOKUP($A403,My_Audit!$A:$A,My_Audit!D:D,""),
_xlfn.IFS(_xlpm.MyAuditVal&lt;&gt;"",_xlpm.MyAuditVal,_xlpm.MacVal&lt;&gt;"",_xlpm.MacVal,_xlpm.CSVVal&lt;&gt;"",_xlpm.CSVVal
)),"")</f>
        <v/>
      </c>
      <c r="F403" s="45" t="str" cm="1">
        <f t="array" ref="F403">IFERROR(_xlfn.LET(
_xlpm.CSVVal,_xlfn.XLOOKUP($A403,CSV!$A:$A,CSV!F:F,""),
_xlpm.MacVal,_xlfn.XLOOKUP($A403,Output_Mac!$A:$A,Output_Mac!F:F,""),
_xlpm.MyAuditVal,_xlfn.XLOOKUP($A403,My_Audit!$A:$A,My_Audit!E:E,""),
_xlfn.IFS(_xlpm.MyAuditVal&lt;&gt;"",_xlpm.MyAuditVal,_xlpm.MacVal&lt;&gt;"",_xlpm.MacVal,_xlpm.CSVVal&lt;&gt;"",PROPER(_xlpm.CSVVal)
)),"")</f>
        <v/>
      </c>
      <c r="G403" s="45" t="str" cm="1">
        <f t="array" ref="G403">IFERROR(_xlfn.LET(
_xlpm.CSVVal,_xlfn.XLOOKUP($A403,CSV!$A:$A,CSV!G:G,""),
_xlpm.MacVal,_xlfn.XLOOKUP($A403,Output_Mac!$A:$A,Output_Mac!H:H,""),
_xlpm.MyAuditVal,_xlfn.XLOOKUP($A403,My_Audit!$A:$A,My_Audit!F:F,""),
_xlfn.IFS(_xlpm.MyAuditVal&lt;&gt;"",_xlpm.MyAuditVal,_xlpm.MacVal&lt;&gt;"",_xlpm.MacVal,_xlpm.CSVVal&lt;&gt;"",_xlpm.CSVVal
)),"")</f>
        <v/>
      </c>
      <c r="H403" s="45" t="str">
        <f>_xlfn.XLOOKUP(A403,Output_Mac!A:A,Output_Mac!I:I,"")</f>
        <v/>
      </c>
      <c r="I403" s="45" t="str" cm="1">
        <f t="array" ref="I403">IFERROR(_xlfn.LET(
_xlpm.CSVVal,_xlfn.XLOOKUP($A403,CSV!$A:$A,CSV!H:H,""),
_xlpm.MacVal,_xlfn.XLOOKUP($A403,Output_Mac!$A:$A,Output_Mac!J:J,""),
_xlpm.MyAuditVal,_xlfn.XLOOKUP($A403,My_Audit!$A:$A,My_Audit!H:H,""),
_xlfn.IFS(_xlpm.MyAuditVal&lt;&gt;"",UPPER(_xlpm.MyAuditVal),_xlpm.MacVal&lt;&gt;"",_xlpm.MacVal,_xlpm.CSVVal&lt;&gt;"",_xlpm.CSVVal
)),"")</f>
        <v/>
      </c>
      <c r="J403" s="45" t="str" cm="1">
        <f t="array" ref="J403">IFERROR(_xlfn.LET(
_xlpm.CSVVal,_xlfn.XLOOKUP($A403,CSV!$A:$A,CSV!J:J,""),
_xlpm.MacVal,_xlfn.XLOOKUP($A403,Output_Mac!$A:$A,Output_Mac!K:K,""),
_xlpm.MyAuditVal,_xlfn.XLOOKUP($A403,My_Audit!$A:$A,My_Audit!I:I,""),
_xlfn.IFS(_xlpm.MyAuditVal&lt;&gt;"",UPPER(_xlpm.MyAuditVal),_xlpm.MacVal&lt;&gt;"",_xlpm.MacVal,_xlpm.CSVVal&lt;&gt;"",_xlpm.CSVVal
)),"")</f>
        <v/>
      </c>
      <c r="K403" s="45" t="str" cm="1">
        <f t="array" ref="K403">IFERROR(_xlfn.LET(
_xlpm.CSVVal,_xlfn.XLOOKUP($A403,CSV!$A:$A,CSV!N:N,""),
_xlpm.MacVal,_xlfn.XLOOKUP($A403,Output_Mac!$A:$A,Output_Mac!L:L,""),
_xlpm.MyAuditVal,_xlfn.XLOOKUP($A403,My_Audit!$A:$A,My_Audit!J:J,""),
_xlfn.IFS(_xlpm.MyAuditVal&lt;&gt;"",UPPER(_xlpm.MyAuditVal),_xlpm.MacVal&lt;&gt;"",_xlpm.MacVal,_xlpm.CSVVal&lt;&gt;"",_xlpm.CSVVal
)),"")</f>
        <v/>
      </c>
      <c r="L403" s="45" t="str" cm="1">
        <f t="array" ref="L403">IFERROR(_xlfn.LET(
_xlpm.CSVVal,_xlfn.XLOOKUP($A403,CSV!$A:$A,CSV!P:P,""),
_xlpm.MacVal,_xlfn.XLOOKUP($A403,Output_Mac!$A:$A,Output_Mac!M:M,""),
_xlpm.MyAuditVal,_xlfn.XLOOKUP($A403,My_Audit!$A:$A,My_Audit!K:K,""),
_xlfn.IFS(_xlpm.MyAuditVal&lt;&gt;"",UPPER(_xlpm.MyAuditVal),_xlpm.MacVal&lt;&gt;"",_xlpm.MacVal,_xlpm.CSVVal&lt;&gt;"",_xlpm.CSVVal
)),"")</f>
        <v/>
      </c>
      <c r="M403" s="45" t="str">
        <f>_xlfn.LET(
    _xlpm.CSVVal, _xlfn.XLOOKUP($A403, CSV!$A:$A, CSV!AE:AE, ""),
    _xlpm.MacVal, _xlfn.XLOOKUP($A403, Output_Mac!$A:$A, Output_Mac!S:S, ""),
    _xlpm.MyAuditVal, _xlfn.XLOOKUP($A403, My_Audit!$A:$A, My_Audit!N:N, ""),
    _xlfn.TEXTJOIN(", ", TRUE, _xlpm.MyAuditVal, _xlpm.MacVal, _xlpm.CSVVal)
)</f>
        <v/>
      </c>
      <c r="N403" s="45" t="str" cm="1">
        <f t="array" ref="N403">IFERROR(_xlfn.LET(
_xlpm.CSVVal,_xlfn.XLOOKUP($A403,CSV!$A:$A,CSV!AG:AG,""),
_xlpm.MacVal,_xlfn.XLOOKUP($A403,Output_Mac!$A:$A,Output_Mac!U:U,""),
_xlpm.MyAuditVal,_xlfn.XLOOKUP($A403,My_Audit!$A:$A,My_Audit!O:O,""),
_xlfn.IFS(_xlpm.MyAuditVal&lt;&gt;"",UPPER(_xlpm.MyAuditVal),_xlpm.MacVal&lt;&gt;"",_xlpm.MacVal,_xlpm.CSVVal&lt;&gt;"",_xlpm.CSVVal
)),"")</f>
        <v/>
      </c>
      <c r="O403" s="46" t="str">
        <f>_xlfn.XLOOKUP(C403,My_Audit!B:B,My_Audit!P:P,"")&amp;""</f>
        <v/>
      </c>
      <c r="P403" s="45"/>
      <c r="Q403" s="46" t="str">
        <f>IF(LEFT(N403,4)="Pass","Nist SP 800-88",My_Audit!R403)&amp;""</f>
        <v/>
      </c>
      <c r="R403" s="45"/>
      <c r="S403" s="45"/>
      <c r="T403" s="46" t="str">
        <f>_xlfn.XLOOKUP(E403,Models!I:I,Models!J:J,"")</f>
        <v/>
      </c>
      <c r="U403" s="45"/>
      <c r="V403" s="45"/>
      <c r="W403" s="38"/>
    </row>
    <row r="404" spans="1:23">
      <c r="A404" s="45" t="str">
        <f>_xlfn.TEXTJOIN("",TRUE,Input!$B$2,ROW(My_Audit!A403))</f>
        <v>XX403</v>
      </c>
      <c r="B404" s="45" t="str">
        <f>_xlfn.TEXTJOIN("-",TRUE,"ITD",Input!$A$2,A404)</f>
        <v>ITD-SHRXXX-XX403</v>
      </c>
      <c r="C404" s="45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46" t="str" cm="1">
        <f t="array" ref="D404">IFERROR(_xlfn.LET(
_xlpm.CSVVal,_xlfn.XLOOKUP($A404,CSV!$A:$A,CSV!C:C,""),
_xlpm.MacVal,_xlfn.XLOOKUP($A404,Output_Mac!$A:$A,Output_Mac!D:D,""),
_xlpm.MyAuditVal,_xlfn.XLOOKUP($A404,My_Audit!$A:$A,My_Audit!C:C,""),
_xlfn.IFS(_xlpm.MyAuditVal&lt;&gt;"",UPPER(_xlpm.MyAuditVal),_xlpm.MacVal&lt;&gt;"",_xlpm.MacVal,_xlpm.CSVVal&lt;&gt;"",_xlpm.CSVVal
)),"")</f>
        <v/>
      </c>
      <c r="E404" s="46" t="str" cm="1">
        <f t="array" ref="E404">IFERROR(_xlfn.LET(
_xlpm.CSVVal,_xlfn.XLOOKUP($A404,CSV!$A:$A,CSV!E:E,""),
_xlpm.MacVal,_xlfn.XLOOKUP($A404,Output_Mac!$A:$A,Output_Mac!C:C,""),
_xlpm.MyAuditVal,_xlfn.XLOOKUP($A404,My_Audit!$A:$A,My_Audit!D:D,""),
_xlfn.IFS(_xlpm.MyAuditVal&lt;&gt;"",_xlpm.MyAuditVal,_xlpm.MacVal&lt;&gt;"",_xlpm.MacVal,_xlpm.CSVVal&lt;&gt;"",_xlpm.CSVVal
)),"")</f>
        <v/>
      </c>
      <c r="F404" s="45" t="str" cm="1">
        <f t="array" ref="F404">IFERROR(_xlfn.LET(
_xlpm.CSVVal,_xlfn.XLOOKUP($A404,CSV!$A:$A,CSV!F:F,""),
_xlpm.MacVal,_xlfn.XLOOKUP($A404,Output_Mac!$A:$A,Output_Mac!F:F,""),
_xlpm.MyAuditVal,_xlfn.XLOOKUP($A404,My_Audit!$A:$A,My_Audit!E:E,""),
_xlfn.IFS(_xlpm.MyAuditVal&lt;&gt;"",_xlpm.MyAuditVal,_xlpm.MacVal&lt;&gt;"",_xlpm.MacVal,_xlpm.CSVVal&lt;&gt;"",PROPER(_xlpm.CSVVal)
)),"")</f>
        <v/>
      </c>
      <c r="G404" s="45" t="str" cm="1">
        <f t="array" ref="G404">IFERROR(_xlfn.LET(
_xlpm.CSVVal,_xlfn.XLOOKUP($A404,CSV!$A:$A,CSV!G:G,""),
_xlpm.MacVal,_xlfn.XLOOKUP($A404,Output_Mac!$A:$A,Output_Mac!H:H,""),
_xlpm.MyAuditVal,_xlfn.XLOOKUP($A404,My_Audit!$A:$A,My_Audit!F:F,""),
_xlfn.IFS(_xlpm.MyAuditVal&lt;&gt;"",_xlpm.MyAuditVal,_xlpm.MacVal&lt;&gt;"",_xlpm.MacVal,_xlpm.CSVVal&lt;&gt;"",_xlpm.CSVVal
)),"")</f>
        <v/>
      </c>
      <c r="H404" s="45" t="str">
        <f>_xlfn.XLOOKUP(A404,Output_Mac!A:A,Output_Mac!I:I,"")</f>
        <v/>
      </c>
      <c r="I404" s="45" t="str" cm="1">
        <f t="array" ref="I404">IFERROR(_xlfn.LET(
_xlpm.CSVVal,_xlfn.XLOOKUP($A404,CSV!$A:$A,CSV!H:H,""),
_xlpm.MacVal,_xlfn.XLOOKUP($A404,Output_Mac!$A:$A,Output_Mac!J:J,""),
_xlpm.MyAuditVal,_xlfn.XLOOKUP($A404,My_Audit!$A:$A,My_Audit!H:H,""),
_xlfn.IFS(_xlpm.MyAuditVal&lt;&gt;"",UPPER(_xlpm.MyAuditVal),_xlpm.MacVal&lt;&gt;"",_xlpm.MacVal,_xlpm.CSVVal&lt;&gt;"",_xlpm.CSVVal
)),"")</f>
        <v/>
      </c>
      <c r="J404" s="45" t="str" cm="1">
        <f t="array" ref="J404">IFERROR(_xlfn.LET(
_xlpm.CSVVal,_xlfn.XLOOKUP($A404,CSV!$A:$A,CSV!J:J,""),
_xlpm.MacVal,_xlfn.XLOOKUP($A404,Output_Mac!$A:$A,Output_Mac!K:K,""),
_xlpm.MyAuditVal,_xlfn.XLOOKUP($A404,My_Audit!$A:$A,My_Audit!I:I,""),
_xlfn.IFS(_xlpm.MyAuditVal&lt;&gt;"",UPPER(_xlpm.MyAuditVal),_xlpm.MacVal&lt;&gt;"",_xlpm.MacVal,_xlpm.CSVVal&lt;&gt;"",_xlpm.CSVVal
)),"")</f>
        <v/>
      </c>
      <c r="K404" s="45" t="str" cm="1">
        <f t="array" ref="K404">IFERROR(_xlfn.LET(
_xlpm.CSVVal,_xlfn.XLOOKUP($A404,CSV!$A:$A,CSV!N:N,""),
_xlpm.MacVal,_xlfn.XLOOKUP($A404,Output_Mac!$A:$A,Output_Mac!L:L,""),
_xlpm.MyAuditVal,_xlfn.XLOOKUP($A404,My_Audit!$A:$A,My_Audit!J:J,""),
_xlfn.IFS(_xlpm.MyAuditVal&lt;&gt;"",UPPER(_xlpm.MyAuditVal),_xlpm.MacVal&lt;&gt;"",_xlpm.MacVal,_xlpm.CSVVal&lt;&gt;"",_xlpm.CSVVal
)),"")</f>
        <v/>
      </c>
      <c r="L404" s="45" t="str" cm="1">
        <f t="array" ref="L404">IFERROR(_xlfn.LET(
_xlpm.CSVVal,_xlfn.XLOOKUP($A404,CSV!$A:$A,CSV!P:P,""),
_xlpm.MacVal,_xlfn.XLOOKUP($A404,Output_Mac!$A:$A,Output_Mac!M:M,""),
_xlpm.MyAuditVal,_xlfn.XLOOKUP($A404,My_Audit!$A:$A,My_Audit!K:K,""),
_xlfn.IFS(_xlpm.MyAuditVal&lt;&gt;"",UPPER(_xlpm.MyAuditVal),_xlpm.MacVal&lt;&gt;"",_xlpm.MacVal,_xlpm.CSVVal&lt;&gt;"",_xlpm.CSVVal
)),"")</f>
        <v/>
      </c>
      <c r="M404" s="45" t="str">
        <f>_xlfn.LET(
    _xlpm.CSVVal, _xlfn.XLOOKUP($A404, CSV!$A:$A, CSV!AE:AE, ""),
    _xlpm.MacVal, _xlfn.XLOOKUP($A404, Output_Mac!$A:$A, Output_Mac!S:S, ""),
    _xlpm.MyAuditVal, _xlfn.XLOOKUP($A404, My_Audit!$A:$A, My_Audit!N:N, ""),
    _xlfn.TEXTJOIN(", ", TRUE, _xlpm.MyAuditVal, _xlpm.MacVal, _xlpm.CSVVal)
)</f>
        <v/>
      </c>
      <c r="N404" s="45" t="str" cm="1">
        <f t="array" ref="N404">IFERROR(_xlfn.LET(
_xlpm.CSVVal,_xlfn.XLOOKUP($A404,CSV!$A:$A,CSV!AG:AG,""),
_xlpm.MacVal,_xlfn.XLOOKUP($A404,Output_Mac!$A:$A,Output_Mac!U:U,""),
_xlpm.MyAuditVal,_xlfn.XLOOKUP($A404,My_Audit!$A:$A,My_Audit!O:O,""),
_xlfn.IFS(_xlpm.MyAuditVal&lt;&gt;"",UPPER(_xlpm.MyAuditVal),_xlpm.MacVal&lt;&gt;"",_xlpm.MacVal,_xlpm.CSVVal&lt;&gt;"",_xlpm.CSVVal
)),"")</f>
        <v/>
      </c>
      <c r="O404" s="46" t="str">
        <f>_xlfn.XLOOKUP(C404,My_Audit!B:B,My_Audit!P:P,"")&amp;""</f>
        <v/>
      </c>
      <c r="P404" s="45"/>
      <c r="Q404" s="46" t="str">
        <f>IF(LEFT(N404,4)="Pass","Nist SP 800-88",My_Audit!R404)&amp;""</f>
        <v/>
      </c>
      <c r="R404" s="45"/>
      <c r="S404" s="45"/>
      <c r="T404" s="46" t="str">
        <f>_xlfn.XLOOKUP(E404,Models!I:I,Models!J:J,"")</f>
        <v/>
      </c>
      <c r="U404" s="45"/>
      <c r="V404" s="45"/>
      <c r="W404" s="38"/>
    </row>
    <row r="405" spans="1:23">
      <c r="A405" s="45" t="str">
        <f>_xlfn.TEXTJOIN("",TRUE,Input!$B$2,ROW(My_Audit!A404))</f>
        <v>XX404</v>
      </c>
      <c r="B405" s="45" t="str">
        <f>_xlfn.TEXTJOIN("-",TRUE,"ITD",Input!$A$2,A405)</f>
        <v>ITD-SHRXXX-XX404</v>
      </c>
      <c r="C405" s="45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46" t="str" cm="1">
        <f t="array" ref="D405">IFERROR(_xlfn.LET(
_xlpm.CSVVal,_xlfn.XLOOKUP($A405,CSV!$A:$A,CSV!C:C,""),
_xlpm.MacVal,_xlfn.XLOOKUP($A405,Output_Mac!$A:$A,Output_Mac!D:D,""),
_xlpm.MyAuditVal,_xlfn.XLOOKUP($A405,My_Audit!$A:$A,My_Audit!C:C,""),
_xlfn.IFS(_xlpm.MyAuditVal&lt;&gt;"",UPPER(_xlpm.MyAuditVal),_xlpm.MacVal&lt;&gt;"",_xlpm.MacVal,_xlpm.CSVVal&lt;&gt;"",_xlpm.CSVVal
)),"")</f>
        <v/>
      </c>
      <c r="E405" s="46" t="str" cm="1">
        <f t="array" ref="E405">IFERROR(_xlfn.LET(
_xlpm.CSVVal,_xlfn.XLOOKUP($A405,CSV!$A:$A,CSV!E:E,""),
_xlpm.MacVal,_xlfn.XLOOKUP($A405,Output_Mac!$A:$A,Output_Mac!C:C,""),
_xlpm.MyAuditVal,_xlfn.XLOOKUP($A405,My_Audit!$A:$A,My_Audit!D:D,""),
_xlfn.IFS(_xlpm.MyAuditVal&lt;&gt;"",_xlpm.MyAuditVal,_xlpm.MacVal&lt;&gt;"",_xlpm.MacVal,_xlpm.CSVVal&lt;&gt;"",_xlpm.CSVVal
)),"")</f>
        <v/>
      </c>
      <c r="F405" s="45" t="str" cm="1">
        <f t="array" ref="F405">IFERROR(_xlfn.LET(
_xlpm.CSVVal,_xlfn.XLOOKUP($A405,CSV!$A:$A,CSV!F:F,""),
_xlpm.MacVal,_xlfn.XLOOKUP($A405,Output_Mac!$A:$A,Output_Mac!F:F,""),
_xlpm.MyAuditVal,_xlfn.XLOOKUP($A405,My_Audit!$A:$A,My_Audit!E:E,""),
_xlfn.IFS(_xlpm.MyAuditVal&lt;&gt;"",_xlpm.MyAuditVal,_xlpm.MacVal&lt;&gt;"",_xlpm.MacVal,_xlpm.CSVVal&lt;&gt;"",PROPER(_xlpm.CSVVal)
)),"")</f>
        <v/>
      </c>
      <c r="G405" s="45" t="str" cm="1">
        <f t="array" ref="G405">IFERROR(_xlfn.LET(
_xlpm.CSVVal,_xlfn.XLOOKUP($A405,CSV!$A:$A,CSV!G:G,""),
_xlpm.MacVal,_xlfn.XLOOKUP($A405,Output_Mac!$A:$A,Output_Mac!H:H,""),
_xlpm.MyAuditVal,_xlfn.XLOOKUP($A405,My_Audit!$A:$A,My_Audit!F:F,""),
_xlfn.IFS(_xlpm.MyAuditVal&lt;&gt;"",_xlpm.MyAuditVal,_xlpm.MacVal&lt;&gt;"",_xlpm.MacVal,_xlpm.CSVVal&lt;&gt;"",_xlpm.CSVVal
)),"")</f>
        <v/>
      </c>
      <c r="H405" s="45" t="str">
        <f>_xlfn.XLOOKUP(A405,Output_Mac!A:A,Output_Mac!I:I,"")</f>
        <v/>
      </c>
      <c r="I405" s="45" t="str" cm="1">
        <f t="array" ref="I405">IFERROR(_xlfn.LET(
_xlpm.CSVVal,_xlfn.XLOOKUP($A405,CSV!$A:$A,CSV!H:H,""),
_xlpm.MacVal,_xlfn.XLOOKUP($A405,Output_Mac!$A:$A,Output_Mac!J:J,""),
_xlpm.MyAuditVal,_xlfn.XLOOKUP($A405,My_Audit!$A:$A,My_Audit!H:H,""),
_xlfn.IFS(_xlpm.MyAuditVal&lt;&gt;"",UPPER(_xlpm.MyAuditVal),_xlpm.MacVal&lt;&gt;"",_xlpm.MacVal,_xlpm.CSVVal&lt;&gt;"",_xlpm.CSVVal
)),"")</f>
        <v/>
      </c>
      <c r="J405" s="45" t="str" cm="1">
        <f t="array" ref="J405">IFERROR(_xlfn.LET(
_xlpm.CSVVal,_xlfn.XLOOKUP($A405,CSV!$A:$A,CSV!J:J,""),
_xlpm.MacVal,_xlfn.XLOOKUP($A405,Output_Mac!$A:$A,Output_Mac!K:K,""),
_xlpm.MyAuditVal,_xlfn.XLOOKUP($A405,My_Audit!$A:$A,My_Audit!I:I,""),
_xlfn.IFS(_xlpm.MyAuditVal&lt;&gt;"",UPPER(_xlpm.MyAuditVal),_xlpm.MacVal&lt;&gt;"",_xlpm.MacVal,_xlpm.CSVVal&lt;&gt;"",_xlpm.CSVVal
)),"")</f>
        <v/>
      </c>
      <c r="K405" s="45" t="str" cm="1">
        <f t="array" ref="K405">IFERROR(_xlfn.LET(
_xlpm.CSVVal,_xlfn.XLOOKUP($A405,CSV!$A:$A,CSV!N:N,""),
_xlpm.MacVal,_xlfn.XLOOKUP($A405,Output_Mac!$A:$A,Output_Mac!L:L,""),
_xlpm.MyAuditVal,_xlfn.XLOOKUP($A405,My_Audit!$A:$A,My_Audit!J:J,""),
_xlfn.IFS(_xlpm.MyAuditVal&lt;&gt;"",UPPER(_xlpm.MyAuditVal),_xlpm.MacVal&lt;&gt;"",_xlpm.MacVal,_xlpm.CSVVal&lt;&gt;"",_xlpm.CSVVal
)),"")</f>
        <v/>
      </c>
      <c r="L405" s="45" t="str" cm="1">
        <f t="array" ref="L405">IFERROR(_xlfn.LET(
_xlpm.CSVVal,_xlfn.XLOOKUP($A405,CSV!$A:$A,CSV!P:P,""),
_xlpm.MacVal,_xlfn.XLOOKUP($A405,Output_Mac!$A:$A,Output_Mac!M:M,""),
_xlpm.MyAuditVal,_xlfn.XLOOKUP($A405,My_Audit!$A:$A,My_Audit!K:K,""),
_xlfn.IFS(_xlpm.MyAuditVal&lt;&gt;"",UPPER(_xlpm.MyAuditVal),_xlpm.MacVal&lt;&gt;"",_xlpm.MacVal,_xlpm.CSVVal&lt;&gt;"",_xlpm.CSVVal
)),"")</f>
        <v/>
      </c>
      <c r="M405" s="45" t="str">
        <f>_xlfn.LET(
    _xlpm.CSVVal, _xlfn.XLOOKUP($A405, CSV!$A:$A, CSV!AE:AE, ""),
    _xlpm.MacVal, _xlfn.XLOOKUP($A405, Output_Mac!$A:$A, Output_Mac!S:S, ""),
    _xlpm.MyAuditVal, _xlfn.XLOOKUP($A405, My_Audit!$A:$A, My_Audit!N:N, ""),
    _xlfn.TEXTJOIN(", ", TRUE, _xlpm.MyAuditVal, _xlpm.MacVal, _xlpm.CSVVal)
)</f>
        <v/>
      </c>
      <c r="N405" s="45" t="str" cm="1">
        <f t="array" ref="N405">IFERROR(_xlfn.LET(
_xlpm.CSVVal,_xlfn.XLOOKUP($A405,CSV!$A:$A,CSV!AG:AG,""),
_xlpm.MacVal,_xlfn.XLOOKUP($A405,Output_Mac!$A:$A,Output_Mac!U:U,""),
_xlpm.MyAuditVal,_xlfn.XLOOKUP($A405,My_Audit!$A:$A,My_Audit!O:O,""),
_xlfn.IFS(_xlpm.MyAuditVal&lt;&gt;"",UPPER(_xlpm.MyAuditVal),_xlpm.MacVal&lt;&gt;"",_xlpm.MacVal,_xlpm.CSVVal&lt;&gt;"",_xlpm.CSVVal
)),"")</f>
        <v/>
      </c>
      <c r="O405" s="46" t="str">
        <f>_xlfn.XLOOKUP(C405,My_Audit!B:B,My_Audit!P:P,"")&amp;""</f>
        <v/>
      </c>
      <c r="P405" s="45"/>
      <c r="Q405" s="46" t="str">
        <f>IF(LEFT(N405,4)="Pass","Nist SP 800-88",My_Audit!R405)&amp;""</f>
        <v/>
      </c>
      <c r="R405" s="45"/>
      <c r="S405" s="45"/>
      <c r="T405" s="46" t="str">
        <f>_xlfn.XLOOKUP(E405,Models!I:I,Models!J:J,"")</f>
        <v/>
      </c>
      <c r="U405" s="45"/>
      <c r="V405" s="45"/>
      <c r="W405" s="38"/>
    </row>
    <row r="406" spans="1:23">
      <c r="A406" s="45" t="str">
        <f>_xlfn.TEXTJOIN("",TRUE,Input!$B$2,ROW(My_Audit!A405))</f>
        <v>XX405</v>
      </c>
      <c r="B406" s="45" t="str">
        <f>_xlfn.TEXTJOIN("-",TRUE,"ITD",Input!$A$2,A406)</f>
        <v>ITD-SHRXXX-XX405</v>
      </c>
      <c r="C406" s="45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46" t="str" cm="1">
        <f t="array" ref="D406">IFERROR(_xlfn.LET(
_xlpm.CSVVal,_xlfn.XLOOKUP($A406,CSV!$A:$A,CSV!C:C,""),
_xlpm.MacVal,_xlfn.XLOOKUP($A406,Output_Mac!$A:$A,Output_Mac!D:D,""),
_xlpm.MyAuditVal,_xlfn.XLOOKUP($A406,My_Audit!$A:$A,My_Audit!C:C,""),
_xlfn.IFS(_xlpm.MyAuditVal&lt;&gt;"",UPPER(_xlpm.MyAuditVal),_xlpm.MacVal&lt;&gt;"",_xlpm.MacVal,_xlpm.CSVVal&lt;&gt;"",_xlpm.CSVVal
)),"")</f>
        <v/>
      </c>
      <c r="E406" s="46" t="str" cm="1">
        <f t="array" ref="E406">IFERROR(_xlfn.LET(
_xlpm.CSVVal,_xlfn.XLOOKUP($A406,CSV!$A:$A,CSV!E:E,""),
_xlpm.MacVal,_xlfn.XLOOKUP($A406,Output_Mac!$A:$A,Output_Mac!C:C,""),
_xlpm.MyAuditVal,_xlfn.XLOOKUP($A406,My_Audit!$A:$A,My_Audit!D:D,""),
_xlfn.IFS(_xlpm.MyAuditVal&lt;&gt;"",_xlpm.MyAuditVal,_xlpm.MacVal&lt;&gt;"",_xlpm.MacVal,_xlpm.CSVVal&lt;&gt;"",_xlpm.CSVVal
)),"")</f>
        <v/>
      </c>
      <c r="F406" s="45" t="str" cm="1">
        <f t="array" ref="F406">IFERROR(_xlfn.LET(
_xlpm.CSVVal,_xlfn.XLOOKUP($A406,CSV!$A:$A,CSV!F:F,""),
_xlpm.MacVal,_xlfn.XLOOKUP($A406,Output_Mac!$A:$A,Output_Mac!F:F,""),
_xlpm.MyAuditVal,_xlfn.XLOOKUP($A406,My_Audit!$A:$A,My_Audit!E:E,""),
_xlfn.IFS(_xlpm.MyAuditVal&lt;&gt;"",_xlpm.MyAuditVal,_xlpm.MacVal&lt;&gt;"",_xlpm.MacVal,_xlpm.CSVVal&lt;&gt;"",PROPER(_xlpm.CSVVal)
)),"")</f>
        <v/>
      </c>
      <c r="G406" s="45" t="str" cm="1">
        <f t="array" ref="G406">IFERROR(_xlfn.LET(
_xlpm.CSVVal,_xlfn.XLOOKUP($A406,CSV!$A:$A,CSV!G:G,""),
_xlpm.MacVal,_xlfn.XLOOKUP($A406,Output_Mac!$A:$A,Output_Mac!H:H,""),
_xlpm.MyAuditVal,_xlfn.XLOOKUP($A406,My_Audit!$A:$A,My_Audit!F:F,""),
_xlfn.IFS(_xlpm.MyAuditVal&lt;&gt;"",_xlpm.MyAuditVal,_xlpm.MacVal&lt;&gt;"",_xlpm.MacVal,_xlpm.CSVVal&lt;&gt;"",_xlpm.CSVVal
)),"")</f>
        <v/>
      </c>
      <c r="H406" s="45" t="str">
        <f>_xlfn.XLOOKUP(A406,Output_Mac!A:A,Output_Mac!I:I,"")</f>
        <v/>
      </c>
      <c r="I406" s="45" t="str" cm="1">
        <f t="array" ref="I406">IFERROR(_xlfn.LET(
_xlpm.CSVVal,_xlfn.XLOOKUP($A406,CSV!$A:$A,CSV!H:H,""),
_xlpm.MacVal,_xlfn.XLOOKUP($A406,Output_Mac!$A:$A,Output_Mac!J:J,""),
_xlpm.MyAuditVal,_xlfn.XLOOKUP($A406,My_Audit!$A:$A,My_Audit!H:H,""),
_xlfn.IFS(_xlpm.MyAuditVal&lt;&gt;"",UPPER(_xlpm.MyAuditVal),_xlpm.MacVal&lt;&gt;"",_xlpm.MacVal,_xlpm.CSVVal&lt;&gt;"",_xlpm.CSVVal
)),"")</f>
        <v/>
      </c>
      <c r="J406" s="45" t="str" cm="1">
        <f t="array" ref="J406">IFERROR(_xlfn.LET(
_xlpm.CSVVal,_xlfn.XLOOKUP($A406,CSV!$A:$A,CSV!J:J,""),
_xlpm.MacVal,_xlfn.XLOOKUP($A406,Output_Mac!$A:$A,Output_Mac!K:K,""),
_xlpm.MyAuditVal,_xlfn.XLOOKUP($A406,My_Audit!$A:$A,My_Audit!I:I,""),
_xlfn.IFS(_xlpm.MyAuditVal&lt;&gt;"",UPPER(_xlpm.MyAuditVal),_xlpm.MacVal&lt;&gt;"",_xlpm.MacVal,_xlpm.CSVVal&lt;&gt;"",_xlpm.CSVVal
)),"")</f>
        <v/>
      </c>
      <c r="K406" s="45" t="str" cm="1">
        <f t="array" ref="K406">IFERROR(_xlfn.LET(
_xlpm.CSVVal,_xlfn.XLOOKUP($A406,CSV!$A:$A,CSV!N:N,""),
_xlpm.MacVal,_xlfn.XLOOKUP($A406,Output_Mac!$A:$A,Output_Mac!L:L,""),
_xlpm.MyAuditVal,_xlfn.XLOOKUP($A406,My_Audit!$A:$A,My_Audit!J:J,""),
_xlfn.IFS(_xlpm.MyAuditVal&lt;&gt;"",UPPER(_xlpm.MyAuditVal),_xlpm.MacVal&lt;&gt;"",_xlpm.MacVal,_xlpm.CSVVal&lt;&gt;"",_xlpm.CSVVal
)),"")</f>
        <v/>
      </c>
      <c r="L406" s="45" t="str" cm="1">
        <f t="array" ref="L406">IFERROR(_xlfn.LET(
_xlpm.CSVVal,_xlfn.XLOOKUP($A406,CSV!$A:$A,CSV!P:P,""),
_xlpm.MacVal,_xlfn.XLOOKUP($A406,Output_Mac!$A:$A,Output_Mac!M:M,""),
_xlpm.MyAuditVal,_xlfn.XLOOKUP($A406,My_Audit!$A:$A,My_Audit!K:K,""),
_xlfn.IFS(_xlpm.MyAuditVal&lt;&gt;"",UPPER(_xlpm.MyAuditVal),_xlpm.MacVal&lt;&gt;"",_xlpm.MacVal,_xlpm.CSVVal&lt;&gt;"",_xlpm.CSVVal
)),"")</f>
        <v/>
      </c>
      <c r="M406" s="45" t="str">
        <f>_xlfn.LET(
    _xlpm.CSVVal, _xlfn.XLOOKUP($A406, CSV!$A:$A, CSV!AE:AE, ""),
    _xlpm.MacVal, _xlfn.XLOOKUP($A406, Output_Mac!$A:$A, Output_Mac!S:S, ""),
    _xlpm.MyAuditVal, _xlfn.XLOOKUP($A406, My_Audit!$A:$A, My_Audit!N:N, ""),
    _xlfn.TEXTJOIN(", ", TRUE, _xlpm.MyAuditVal, _xlpm.MacVal, _xlpm.CSVVal)
)</f>
        <v/>
      </c>
      <c r="N406" s="45" t="str" cm="1">
        <f t="array" ref="N406">IFERROR(_xlfn.LET(
_xlpm.CSVVal,_xlfn.XLOOKUP($A406,CSV!$A:$A,CSV!AG:AG,""),
_xlpm.MacVal,_xlfn.XLOOKUP($A406,Output_Mac!$A:$A,Output_Mac!U:U,""),
_xlpm.MyAuditVal,_xlfn.XLOOKUP($A406,My_Audit!$A:$A,My_Audit!O:O,""),
_xlfn.IFS(_xlpm.MyAuditVal&lt;&gt;"",UPPER(_xlpm.MyAuditVal),_xlpm.MacVal&lt;&gt;"",_xlpm.MacVal,_xlpm.CSVVal&lt;&gt;"",_xlpm.CSVVal
)),"")</f>
        <v/>
      </c>
      <c r="O406" s="46" t="str">
        <f>_xlfn.XLOOKUP(C406,My_Audit!B:B,My_Audit!P:P,"")&amp;""</f>
        <v/>
      </c>
      <c r="P406" s="45"/>
      <c r="Q406" s="46" t="str">
        <f>IF(LEFT(N406,4)="Pass","Nist SP 800-88",My_Audit!R406)&amp;""</f>
        <v/>
      </c>
      <c r="R406" s="45"/>
      <c r="S406" s="45"/>
      <c r="T406" s="46" t="str">
        <f>_xlfn.XLOOKUP(E406,Models!I:I,Models!J:J,"")</f>
        <v/>
      </c>
      <c r="U406" s="45"/>
      <c r="V406" s="45"/>
      <c r="W406" s="38"/>
    </row>
    <row r="407" spans="1:23">
      <c r="A407" s="45" t="str">
        <f>_xlfn.TEXTJOIN("",TRUE,Input!$B$2,ROW(My_Audit!A406))</f>
        <v>XX406</v>
      </c>
      <c r="B407" s="45" t="str">
        <f>_xlfn.TEXTJOIN("-",TRUE,"ITD",Input!$A$2,A407)</f>
        <v>ITD-SHRXXX-XX406</v>
      </c>
      <c r="C407" s="45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46" t="str" cm="1">
        <f t="array" ref="D407">IFERROR(_xlfn.LET(
_xlpm.CSVVal,_xlfn.XLOOKUP($A407,CSV!$A:$A,CSV!C:C,""),
_xlpm.MacVal,_xlfn.XLOOKUP($A407,Output_Mac!$A:$A,Output_Mac!D:D,""),
_xlpm.MyAuditVal,_xlfn.XLOOKUP($A407,My_Audit!$A:$A,My_Audit!C:C,""),
_xlfn.IFS(_xlpm.MyAuditVal&lt;&gt;"",UPPER(_xlpm.MyAuditVal),_xlpm.MacVal&lt;&gt;"",_xlpm.MacVal,_xlpm.CSVVal&lt;&gt;"",_xlpm.CSVVal
)),"")</f>
        <v/>
      </c>
      <c r="E407" s="46" t="str" cm="1">
        <f t="array" ref="E407">IFERROR(_xlfn.LET(
_xlpm.CSVVal,_xlfn.XLOOKUP($A407,CSV!$A:$A,CSV!E:E,""),
_xlpm.MacVal,_xlfn.XLOOKUP($A407,Output_Mac!$A:$A,Output_Mac!C:C,""),
_xlpm.MyAuditVal,_xlfn.XLOOKUP($A407,My_Audit!$A:$A,My_Audit!D:D,""),
_xlfn.IFS(_xlpm.MyAuditVal&lt;&gt;"",_xlpm.MyAuditVal,_xlpm.MacVal&lt;&gt;"",_xlpm.MacVal,_xlpm.CSVVal&lt;&gt;"",_xlpm.CSVVal
)),"")</f>
        <v/>
      </c>
      <c r="F407" s="45" t="str" cm="1">
        <f t="array" ref="F407">IFERROR(_xlfn.LET(
_xlpm.CSVVal,_xlfn.XLOOKUP($A407,CSV!$A:$A,CSV!F:F,""),
_xlpm.MacVal,_xlfn.XLOOKUP($A407,Output_Mac!$A:$A,Output_Mac!F:F,""),
_xlpm.MyAuditVal,_xlfn.XLOOKUP($A407,My_Audit!$A:$A,My_Audit!E:E,""),
_xlfn.IFS(_xlpm.MyAuditVal&lt;&gt;"",_xlpm.MyAuditVal,_xlpm.MacVal&lt;&gt;"",_xlpm.MacVal,_xlpm.CSVVal&lt;&gt;"",PROPER(_xlpm.CSVVal)
)),"")</f>
        <v/>
      </c>
      <c r="G407" s="45" t="str" cm="1">
        <f t="array" ref="G407">IFERROR(_xlfn.LET(
_xlpm.CSVVal,_xlfn.XLOOKUP($A407,CSV!$A:$A,CSV!G:G,""),
_xlpm.MacVal,_xlfn.XLOOKUP($A407,Output_Mac!$A:$A,Output_Mac!H:H,""),
_xlpm.MyAuditVal,_xlfn.XLOOKUP($A407,My_Audit!$A:$A,My_Audit!F:F,""),
_xlfn.IFS(_xlpm.MyAuditVal&lt;&gt;"",_xlpm.MyAuditVal,_xlpm.MacVal&lt;&gt;"",_xlpm.MacVal,_xlpm.CSVVal&lt;&gt;"",_xlpm.CSVVal
)),"")</f>
        <v/>
      </c>
      <c r="H407" s="45" t="str">
        <f>_xlfn.XLOOKUP(A407,Output_Mac!A:A,Output_Mac!I:I,"")</f>
        <v/>
      </c>
      <c r="I407" s="45" t="str" cm="1">
        <f t="array" ref="I407">IFERROR(_xlfn.LET(
_xlpm.CSVVal,_xlfn.XLOOKUP($A407,CSV!$A:$A,CSV!H:H,""),
_xlpm.MacVal,_xlfn.XLOOKUP($A407,Output_Mac!$A:$A,Output_Mac!J:J,""),
_xlpm.MyAuditVal,_xlfn.XLOOKUP($A407,My_Audit!$A:$A,My_Audit!H:H,""),
_xlfn.IFS(_xlpm.MyAuditVal&lt;&gt;"",UPPER(_xlpm.MyAuditVal),_xlpm.MacVal&lt;&gt;"",_xlpm.MacVal,_xlpm.CSVVal&lt;&gt;"",_xlpm.CSVVal
)),"")</f>
        <v/>
      </c>
      <c r="J407" s="45" t="str" cm="1">
        <f t="array" ref="J407">IFERROR(_xlfn.LET(
_xlpm.CSVVal,_xlfn.XLOOKUP($A407,CSV!$A:$A,CSV!J:J,""),
_xlpm.MacVal,_xlfn.XLOOKUP($A407,Output_Mac!$A:$A,Output_Mac!K:K,""),
_xlpm.MyAuditVal,_xlfn.XLOOKUP($A407,My_Audit!$A:$A,My_Audit!I:I,""),
_xlfn.IFS(_xlpm.MyAuditVal&lt;&gt;"",UPPER(_xlpm.MyAuditVal),_xlpm.MacVal&lt;&gt;"",_xlpm.MacVal,_xlpm.CSVVal&lt;&gt;"",_xlpm.CSVVal
)),"")</f>
        <v/>
      </c>
      <c r="K407" s="45" t="str" cm="1">
        <f t="array" ref="K407">IFERROR(_xlfn.LET(
_xlpm.CSVVal,_xlfn.XLOOKUP($A407,CSV!$A:$A,CSV!N:N,""),
_xlpm.MacVal,_xlfn.XLOOKUP($A407,Output_Mac!$A:$A,Output_Mac!L:L,""),
_xlpm.MyAuditVal,_xlfn.XLOOKUP($A407,My_Audit!$A:$A,My_Audit!J:J,""),
_xlfn.IFS(_xlpm.MyAuditVal&lt;&gt;"",UPPER(_xlpm.MyAuditVal),_xlpm.MacVal&lt;&gt;"",_xlpm.MacVal,_xlpm.CSVVal&lt;&gt;"",_xlpm.CSVVal
)),"")</f>
        <v/>
      </c>
      <c r="L407" s="45" t="str" cm="1">
        <f t="array" ref="L407">IFERROR(_xlfn.LET(
_xlpm.CSVVal,_xlfn.XLOOKUP($A407,CSV!$A:$A,CSV!P:P,""),
_xlpm.MacVal,_xlfn.XLOOKUP($A407,Output_Mac!$A:$A,Output_Mac!M:M,""),
_xlpm.MyAuditVal,_xlfn.XLOOKUP($A407,My_Audit!$A:$A,My_Audit!K:K,""),
_xlfn.IFS(_xlpm.MyAuditVal&lt;&gt;"",UPPER(_xlpm.MyAuditVal),_xlpm.MacVal&lt;&gt;"",_xlpm.MacVal,_xlpm.CSVVal&lt;&gt;"",_xlpm.CSVVal
)),"")</f>
        <v/>
      </c>
      <c r="M407" s="45" t="str">
        <f>_xlfn.LET(
    _xlpm.CSVVal, _xlfn.XLOOKUP($A407, CSV!$A:$A, CSV!AE:AE, ""),
    _xlpm.MacVal, _xlfn.XLOOKUP($A407, Output_Mac!$A:$A, Output_Mac!S:S, ""),
    _xlpm.MyAuditVal, _xlfn.XLOOKUP($A407, My_Audit!$A:$A, My_Audit!N:N, ""),
    _xlfn.TEXTJOIN(", ", TRUE, _xlpm.MyAuditVal, _xlpm.MacVal, _xlpm.CSVVal)
)</f>
        <v/>
      </c>
      <c r="N407" s="45" t="str" cm="1">
        <f t="array" ref="N407">IFERROR(_xlfn.LET(
_xlpm.CSVVal,_xlfn.XLOOKUP($A407,CSV!$A:$A,CSV!AG:AG,""),
_xlpm.MacVal,_xlfn.XLOOKUP($A407,Output_Mac!$A:$A,Output_Mac!U:U,""),
_xlpm.MyAuditVal,_xlfn.XLOOKUP($A407,My_Audit!$A:$A,My_Audit!O:O,""),
_xlfn.IFS(_xlpm.MyAuditVal&lt;&gt;"",UPPER(_xlpm.MyAuditVal),_xlpm.MacVal&lt;&gt;"",_xlpm.MacVal,_xlpm.CSVVal&lt;&gt;"",_xlpm.CSVVal
)),"")</f>
        <v/>
      </c>
      <c r="O407" s="46" t="str">
        <f>_xlfn.XLOOKUP(C407,My_Audit!B:B,My_Audit!P:P,"")&amp;""</f>
        <v/>
      </c>
      <c r="P407" s="45"/>
      <c r="Q407" s="46" t="str">
        <f>IF(LEFT(N407,4)="Pass","Nist SP 800-88",My_Audit!R407)&amp;""</f>
        <v/>
      </c>
      <c r="R407" s="45"/>
      <c r="S407" s="45"/>
      <c r="T407" s="46" t="str">
        <f>_xlfn.XLOOKUP(E407,Models!I:I,Models!J:J,"")</f>
        <v/>
      </c>
      <c r="U407" s="45"/>
      <c r="V407" s="45"/>
      <c r="W407" s="38"/>
    </row>
    <row r="408" spans="1:23">
      <c r="A408" s="45" t="str">
        <f>_xlfn.TEXTJOIN("",TRUE,Input!$B$2,ROW(My_Audit!A407))</f>
        <v>XX407</v>
      </c>
      <c r="B408" s="45" t="str">
        <f>_xlfn.TEXTJOIN("-",TRUE,"ITD",Input!$A$2,A408)</f>
        <v>ITD-SHRXXX-XX407</v>
      </c>
      <c r="C408" s="45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46" t="str" cm="1">
        <f t="array" ref="D408">IFERROR(_xlfn.LET(
_xlpm.CSVVal,_xlfn.XLOOKUP($A408,CSV!$A:$A,CSV!C:C,""),
_xlpm.MacVal,_xlfn.XLOOKUP($A408,Output_Mac!$A:$A,Output_Mac!D:D,""),
_xlpm.MyAuditVal,_xlfn.XLOOKUP($A408,My_Audit!$A:$A,My_Audit!C:C,""),
_xlfn.IFS(_xlpm.MyAuditVal&lt;&gt;"",UPPER(_xlpm.MyAuditVal),_xlpm.MacVal&lt;&gt;"",_xlpm.MacVal,_xlpm.CSVVal&lt;&gt;"",_xlpm.CSVVal
)),"")</f>
        <v/>
      </c>
      <c r="E408" s="46" t="str" cm="1">
        <f t="array" ref="E408">IFERROR(_xlfn.LET(
_xlpm.CSVVal,_xlfn.XLOOKUP($A408,CSV!$A:$A,CSV!E:E,""),
_xlpm.MacVal,_xlfn.XLOOKUP($A408,Output_Mac!$A:$A,Output_Mac!C:C,""),
_xlpm.MyAuditVal,_xlfn.XLOOKUP($A408,My_Audit!$A:$A,My_Audit!D:D,""),
_xlfn.IFS(_xlpm.MyAuditVal&lt;&gt;"",_xlpm.MyAuditVal,_xlpm.MacVal&lt;&gt;"",_xlpm.MacVal,_xlpm.CSVVal&lt;&gt;"",_xlpm.CSVVal
)),"")</f>
        <v/>
      </c>
      <c r="F408" s="45" t="str" cm="1">
        <f t="array" ref="F408">IFERROR(_xlfn.LET(
_xlpm.CSVVal,_xlfn.XLOOKUP($A408,CSV!$A:$A,CSV!F:F,""),
_xlpm.MacVal,_xlfn.XLOOKUP($A408,Output_Mac!$A:$A,Output_Mac!F:F,""),
_xlpm.MyAuditVal,_xlfn.XLOOKUP($A408,My_Audit!$A:$A,My_Audit!E:E,""),
_xlfn.IFS(_xlpm.MyAuditVal&lt;&gt;"",_xlpm.MyAuditVal,_xlpm.MacVal&lt;&gt;"",_xlpm.MacVal,_xlpm.CSVVal&lt;&gt;"",PROPER(_xlpm.CSVVal)
)),"")</f>
        <v/>
      </c>
      <c r="G408" s="45" t="str" cm="1">
        <f t="array" ref="G408">IFERROR(_xlfn.LET(
_xlpm.CSVVal,_xlfn.XLOOKUP($A408,CSV!$A:$A,CSV!G:G,""),
_xlpm.MacVal,_xlfn.XLOOKUP($A408,Output_Mac!$A:$A,Output_Mac!H:H,""),
_xlpm.MyAuditVal,_xlfn.XLOOKUP($A408,My_Audit!$A:$A,My_Audit!F:F,""),
_xlfn.IFS(_xlpm.MyAuditVal&lt;&gt;"",_xlpm.MyAuditVal,_xlpm.MacVal&lt;&gt;"",_xlpm.MacVal,_xlpm.CSVVal&lt;&gt;"",_xlpm.CSVVal
)),"")</f>
        <v/>
      </c>
      <c r="H408" s="45" t="str">
        <f>_xlfn.XLOOKUP(A408,Output_Mac!A:A,Output_Mac!I:I,"")</f>
        <v/>
      </c>
      <c r="I408" s="45" t="str" cm="1">
        <f t="array" ref="I408">IFERROR(_xlfn.LET(
_xlpm.CSVVal,_xlfn.XLOOKUP($A408,CSV!$A:$A,CSV!H:H,""),
_xlpm.MacVal,_xlfn.XLOOKUP($A408,Output_Mac!$A:$A,Output_Mac!J:J,""),
_xlpm.MyAuditVal,_xlfn.XLOOKUP($A408,My_Audit!$A:$A,My_Audit!H:H,""),
_xlfn.IFS(_xlpm.MyAuditVal&lt;&gt;"",UPPER(_xlpm.MyAuditVal),_xlpm.MacVal&lt;&gt;"",_xlpm.MacVal,_xlpm.CSVVal&lt;&gt;"",_xlpm.CSVVal
)),"")</f>
        <v/>
      </c>
      <c r="J408" s="45" t="str" cm="1">
        <f t="array" ref="J408">IFERROR(_xlfn.LET(
_xlpm.CSVVal,_xlfn.XLOOKUP($A408,CSV!$A:$A,CSV!J:J,""),
_xlpm.MacVal,_xlfn.XLOOKUP($A408,Output_Mac!$A:$A,Output_Mac!K:K,""),
_xlpm.MyAuditVal,_xlfn.XLOOKUP($A408,My_Audit!$A:$A,My_Audit!I:I,""),
_xlfn.IFS(_xlpm.MyAuditVal&lt;&gt;"",UPPER(_xlpm.MyAuditVal),_xlpm.MacVal&lt;&gt;"",_xlpm.MacVal,_xlpm.CSVVal&lt;&gt;"",_xlpm.CSVVal
)),"")</f>
        <v/>
      </c>
      <c r="K408" s="45" t="str" cm="1">
        <f t="array" ref="K408">IFERROR(_xlfn.LET(
_xlpm.CSVVal,_xlfn.XLOOKUP($A408,CSV!$A:$A,CSV!N:N,""),
_xlpm.MacVal,_xlfn.XLOOKUP($A408,Output_Mac!$A:$A,Output_Mac!L:L,""),
_xlpm.MyAuditVal,_xlfn.XLOOKUP($A408,My_Audit!$A:$A,My_Audit!J:J,""),
_xlfn.IFS(_xlpm.MyAuditVal&lt;&gt;"",UPPER(_xlpm.MyAuditVal),_xlpm.MacVal&lt;&gt;"",_xlpm.MacVal,_xlpm.CSVVal&lt;&gt;"",_xlpm.CSVVal
)),"")</f>
        <v/>
      </c>
      <c r="L408" s="45" t="str" cm="1">
        <f t="array" ref="L408">IFERROR(_xlfn.LET(
_xlpm.CSVVal,_xlfn.XLOOKUP($A408,CSV!$A:$A,CSV!P:P,""),
_xlpm.MacVal,_xlfn.XLOOKUP($A408,Output_Mac!$A:$A,Output_Mac!M:M,""),
_xlpm.MyAuditVal,_xlfn.XLOOKUP($A408,My_Audit!$A:$A,My_Audit!K:K,""),
_xlfn.IFS(_xlpm.MyAuditVal&lt;&gt;"",UPPER(_xlpm.MyAuditVal),_xlpm.MacVal&lt;&gt;"",_xlpm.MacVal,_xlpm.CSVVal&lt;&gt;"",_xlpm.CSVVal
)),"")</f>
        <v/>
      </c>
      <c r="M408" s="45" t="str">
        <f>_xlfn.LET(
    _xlpm.CSVVal, _xlfn.XLOOKUP($A408, CSV!$A:$A, CSV!AE:AE, ""),
    _xlpm.MacVal, _xlfn.XLOOKUP($A408, Output_Mac!$A:$A, Output_Mac!S:S, ""),
    _xlpm.MyAuditVal, _xlfn.XLOOKUP($A408, My_Audit!$A:$A, My_Audit!N:N, ""),
    _xlfn.TEXTJOIN(", ", TRUE, _xlpm.MyAuditVal, _xlpm.MacVal, _xlpm.CSVVal)
)</f>
        <v/>
      </c>
      <c r="N408" s="45" t="str" cm="1">
        <f t="array" ref="N408">IFERROR(_xlfn.LET(
_xlpm.CSVVal,_xlfn.XLOOKUP($A408,CSV!$A:$A,CSV!AG:AG,""),
_xlpm.MacVal,_xlfn.XLOOKUP($A408,Output_Mac!$A:$A,Output_Mac!U:U,""),
_xlpm.MyAuditVal,_xlfn.XLOOKUP($A408,My_Audit!$A:$A,My_Audit!O:O,""),
_xlfn.IFS(_xlpm.MyAuditVal&lt;&gt;"",UPPER(_xlpm.MyAuditVal),_xlpm.MacVal&lt;&gt;"",_xlpm.MacVal,_xlpm.CSVVal&lt;&gt;"",_xlpm.CSVVal
)),"")</f>
        <v/>
      </c>
      <c r="O408" s="46" t="str">
        <f>_xlfn.XLOOKUP(C408,My_Audit!B:B,My_Audit!P:P,"")&amp;""</f>
        <v/>
      </c>
      <c r="P408" s="45"/>
      <c r="Q408" s="46" t="str">
        <f>IF(LEFT(N408,4)="Pass","Nist SP 800-88",My_Audit!R408)&amp;""</f>
        <v/>
      </c>
      <c r="R408" s="45"/>
      <c r="S408" s="45"/>
      <c r="T408" s="46" t="str">
        <f>_xlfn.XLOOKUP(E408,Models!I:I,Models!J:J,"")</f>
        <v/>
      </c>
      <c r="U408" s="45"/>
      <c r="V408" s="45"/>
      <c r="W408" s="38"/>
    </row>
    <row r="409" spans="1:23">
      <c r="A409" s="45" t="str">
        <f>_xlfn.TEXTJOIN("",TRUE,Input!$B$2,ROW(My_Audit!A408))</f>
        <v>XX408</v>
      </c>
      <c r="B409" s="45" t="str">
        <f>_xlfn.TEXTJOIN("-",TRUE,"ITD",Input!$A$2,A409)</f>
        <v>ITD-SHRXXX-XX408</v>
      </c>
      <c r="C409" s="45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46" t="str" cm="1">
        <f t="array" ref="D409">IFERROR(_xlfn.LET(
_xlpm.CSVVal,_xlfn.XLOOKUP($A409,CSV!$A:$A,CSV!C:C,""),
_xlpm.MacVal,_xlfn.XLOOKUP($A409,Output_Mac!$A:$A,Output_Mac!D:D,""),
_xlpm.MyAuditVal,_xlfn.XLOOKUP($A409,My_Audit!$A:$A,My_Audit!C:C,""),
_xlfn.IFS(_xlpm.MyAuditVal&lt;&gt;"",UPPER(_xlpm.MyAuditVal),_xlpm.MacVal&lt;&gt;"",_xlpm.MacVal,_xlpm.CSVVal&lt;&gt;"",_xlpm.CSVVal
)),"")</f>
        <v/>
      </c>
      <c r="E409" s="46" t="str" cm="1">
        <f t="array" ref="E409">IFERROR(_xlfn.LET(
_xlpm.CSVVal,_xlfn.XLOOKUP($A409,CSV!$A:$A,CSV!E:E,""),
_xlpm.MacVal,_xlfn.XLOOKUP($A409,Output_Mac!$A:$A,Output_Mac!C:C,""),
_xlpm.MyAuditVal,_xlfn.XLOOKUP($A409,My_Audit!$A:$A,My_Audit!D:D,""),
_xlfn.IFS(_xlpm.MyAuditVal&lt;&gt;"",_xlpm.MyAuditVal,_xlpm.MacVal&lt;&gt;"",_xlpm.MacVal,_xlpm.CSVVal&lt;&gt;"",_xlpm.CSVVal
)),"")</f>
        <v/>
      </c>
      <c r="F409" s="45" t="str" cm="1">
        <f t="array" ref="F409">IFERROR(_xlfn.LET(
_xlpm.CSVVal,_xlfn.XLOOKUP($A409,CSV!$A:$A,CSV!F:F,""),
_xlpm.MacVal,_xlfn.XLOOKUP($A409,Output_Mac!$A:$A,Output_Mac!F:F,""),
_xlpm.MyAuditVal,_xlfn.XLOOKUP($A409,My_Audit!$A:$A,My_Audit!E:E,""),
_xlfn.IFS(_xlpm.MyAuditVal&lt;&gt;"",_xlpm.MyAuditVal,_xlpm.MacVal&lt;&gt;"",_xlpm.MacVal,_xlpm.CSVVal&lt;&gt;"",PROPER(_xlpm.CSVVal)
)),"")</f>
        <v/>
      </c>
      <c r="G409" s="45" t="str" cm="1">
        <f t="array" ref="G409">IFERROR(_xlfn.LET(
_xlpm.CSVVal,_xlfn.XLOOKUP($A409,CSV!$A:$A,CSV!G:G,""),
_xlpm.MacVal,_xlfn.XLOOKUP($A409,Output_Mac!$A:$A,Output_Mac!H:H,""),
_xlpm.MyAuditVal,_xlfn.XLOOKUP($A409,My_Audit!$A:$A,My_Audit!F:F,""),
_xlfn.IFS(_xlpm.MyAuditVal&lt;&gt;"",_xlpm.MyAuditVal,_xlpm.MacVal&lt;&gt;"",_xlpm.MacVal,_xlpm.CSVVal&lt;&gt;"",_xlpm.CSVVal
)),"")</f>
        <v/>
      </c>
      <c r="H409" s="45" t="str">
        <f>_xlfn.XLOOKUP(A409,Output_Mac!A:A,Output_Mac!I:I,"")</f>
        <v/>
      </c>
      <c r="I409" s="45" t="str" cm="1">
        <f t="array" ref="I409">IFERROR(_xlfn.LET(
_xlpm.CSVVal,_xlfn.XLOOKUP($A409,CSV!$A:$A,CSV!H:H,""),
_xlpm.MacVal,_xlfn.XLOOKUP($A409,Output_Mac!$A:$A,Output_Mac!J:J,""),
_xlpm.MyAuditVal,_xlfn.XLOOKUP($A409,My_Audit!$A:$A,My_Audit!H:H,""),
_xlfn.IFS(_xlpm.MyAuditVal&lt;&gt;"",UPPER(_xlpm.MyAuditVal),_xlpm.MacVal&lt;&gt;"",_xlpm.MacVal,_xlpm.CSVVal&lt;&gt;"",_xlpm.CSVVal
)),"")</f>
        <v/>
      </c>
      <c r="J409" s="45" t="str" cm="1">
        <f t="array" ref="J409">IFERROR(_xlfn.LET(
_xlpm.CSVVal,_xlfn.XLOOKUP($A409,CSV!$A:$A,CSV!J:J,""),
_xlpm.MacVal,_xlfn.XLOOKUP($A409,Output_Mac!$A:$A,Output_Mac!K:K,""),
_xlpm.MyAuditVal,_xlfn.XLOOKUP($A409,My_Audit!$A:$A,My_Audit!I:I,""),
_xlfn.IFS(_xlpm.MyAuditVal&lt;&gt;"",UPPER(_xlpm.MyAuditVal),_xlpm.MacVal&lt;&gt;"",_xlpm.MacVal,_xlpm.CSVVal&lt;&gt;"",_xlpm.CSVVal
)),"")</f>
        <v/>
      </c>
      <c r="K409" s="45" t="str" cm="1">
        <f t="array" ref="K409">IFERROR(_xlfn.LET(
_xlpm.CSVVal,_xlfn.XLOOKUP($A409,CSV!$A:$A,CSV!N:N,""),
_xlpm.MacVal,_xlfn.XLOOKUP($A409,Output_Mac!$A:$A,Output_Mac!L:L,""),
_xlpm.MyAuditVal,_xlfn.XLOOKUP($A409,My_Audit!$A:$A,My_Audit!J:J,""),
_xlfn.IFS(_xlpm.MyAuditVal&lt;&gt;"",UPPER(_xlpm.MyAuditVal),_xlpm.MacVal&lt;&gt;"",_xlpm.MacVal,_xlpm.CSVVal&lt;&gt;"",_xlpm.CSVVal
)),"")</f>
        <v/>
      </c>
      <c r="L409" s="45" t="str" cm="1">
        <f t="array" ref="L409">IFERROR(_xlfn.LET(
_xlpm.CSVVal,_xlfn.XLOOKUP($A409,CSV!$A:$A,CSV!P:P,""),
_xlpm.MacVal,_xlfn.XLOOKUP($A409,Output_Mac!$A:$A,Output_Mac!M:M,""),
_xlpm.MyAuditVal,_xlfn.XLOOKUP($A409,My_Audit!$A:$A,My_Audit!K:K,""),
_xlfn.IFS(_xlpm.MyAuditVal&lt;&gt;"",UPPER(_xlpm.MyAuditVal),_xlpm.MacVal&lt;&gt;"",_xlpm.MacVal,_xlpm.CSVVal&lt;&gt;"",_xlpm.CSVVal
)),"")</f>
        <v/>
      </c>
      <c r="M409" s="45" t="str">
        <f>_xlfn.LET(
    _xlpm.CSVVal, _xlfn.XLOOKUP($A409, CSV!$A:$A, CSV!AE:AE, ""),
    _xlpm.MacVal, _xlfn.XLOOKUP($A409, Output_Mac!$A:$A, Output_Mac!S:S, ""),
    _xlpm.MyAuditVal, _xlfn.XLOOKUP($A409, My_Audit!$A:$A, My_Audit!N:N, ""),
    _xlfn.TEXTJOIN(", ", TRUE, _xlpm.MyAuditVal, _xlpm.MacVal, _xlpm.CSVVal)
)</f>
        <v/>
      </c>
      <c r="N409" s="45" t="str" cm="1">
        <f t="array" ref="N409">IFERROR(_xlfn.LET(
_xlpm.CSVVal,_xlfn.XLOOKUP($A409,CSV!$A:$A,CSV!AG:AG,""),
_xlpm.MacVal,_xlfn.XLOOKUP($A409,Output_Mac!$A:$A,Output_Mac!U:U,""),
_xlpm.MyAuditVal,_xlfn.XLOOKUP($A409,My_Audit!$A:$A,My_Audit!O:O,""),
_xlfn.IFS(_xlpm.MyAuditVal&lt;&gt;"",UPPER(_xlpm.MyAuditVal),_xlpm.MacVal&lt;&gt;"",_xlpm.MacVal,_xlpm.CSVVal&lt;&gt;"",_xlpm.CSVVal
)),"")</f>
        <v/>
      </c>
      <c r="O409" s="46" t="str">
        <f>_xlfn.XLOOKUP(C409,My_Audit!B:B,My_Audit!P:P,"")&amp;""</f>
        <v/>
      </c>
      <c r="P409" s="45"/>
      <c r="Q409" s="46" t="str">
        <f>IF(LEFT(N409,4)="Pass","Nist SP 800-88",My_Audit!R409)&amp;""</f>
        <v/>
      </c>
      <c r="R409" s="45"/>
      <c r="S409" s="45"/>
      <c r="T409" s="46" t="str">
        <f>_xlfn.XLOOKUP(E409,Models!I:I,Models!J:J,"")</f>
        <v/>
      </c>
      <c r="U409" s="45"/>
      <c r="V409" s="45"/>
      <c r="W409" s="38"/>
    </row>
    <row r="410" spans="1:23">
      <c r="A410" s="45" t="str">
        <f>_xlfn.TEXTJOIN("",TRUE,Input!$B$2,ROW(My_Audit!A409))</f>
        <v>XX409</v>
      </c>
      <c r="B410" s="45" t="str">
        <f>_xlfn.TEXTJOIN("-",TRUE,"ITD",Input!$A$2,A410)</f>
        <v>ITD-SHRXXX-XX409</v>
      </c>
      <c r="C410" s="45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46" t="str" cm="1">
        <f t="array" ref="D410">IFERROR(_xlfn.LET(
_xlpm.CSVVal,_xlfn.XLOOKUP($A410,CSV!$A:$A,CSV!C:C,""),
_xlpm.MacVal,_xlfn.XLOOKUP($A410,Output_Mac!$A:$A,Output_Mac!D:D,""),
_xlpm.MyAuditVal,_xlfn.XLOOKUP($A410,My_Audit!$A:$A,My_Audit!C:C,""),
_xlfn.IFS(_xlpm.MyAuditVal&lt;&gt;"",UPPER(_xlpm.MyAuditVal),_xlpm.MacVal&lt;&gt;"",_xlpm.MacVal,_xlpm.CSVVal&lt;&gt;"",_xlpm.CSVVal
)),"")</f>
        <v/>
      </c>
      <c r="E410" s="46" t="str" cm="1">
        <f t="array" ref="E410">IFERROR(_xlfn.LET(
_xlpm.CSVVal,_xlfn.XLOOKUP($A410,CSV!$A:$A,CSV!E:E,""),
_xlpm.MacVal,_xlfn.XLOOKUP($A410,Output_Mac!$A:$A,Output_Mac!C:C,""),
_xlpm.MyAuditVal,_xlfn.XLOOKUP($A410,My_Audit!$A:$A,My_Audit!D:D,""),
_xlfn.IFS(_xlpm.MyAuditVal&lt;&gt;"",_xlpm.MyAuditVal,_xlpm.MacVal&lt;&gt;"",_xlpm.MacVal,_xlpm.CSVVal&lt;&gt;"",_xlpm.CSVVal
)),"")</f>
        <v/>
      </c>
      <c r="F410" s="45" t="str" cm="1">
        <f t="array" ref="F410">IFERROR(_xlfn.LET(
_xlpm.CSVVal,_xlfn.XLOOKUP($A410,CSV!$A:$A,CSV!F:F,""),
_xlpm.MacVal,_xlfn.XLOOKUP($A410,Output_Mac!$A:$A,Output_Mac!F:F,""),
_xlpm.MyAuditVal,_xlfn.XLOOKUP($A410,My_Audit!$A:$A,My_Audit!E:E,""),
_xlfn.IFS(_xlpm.MyAuditVal&lt;&gt;"",_xlpm.MyAuditVal,_xlpm.MacVal&lt;&gt;"",_xlpm.MacVal,_xlpm.CSVVal&lt;&gt;"",PROPER(_xlpm.CSVVal)
)),"")</f>
        <v/>
      </c>
      <c r="G410" s="45" t="str" cm="1">
        <f t="array" ref="G410">IFERROR(_xlfn.LET(
_xlpm.CSVVal,_xlfn.XLOOKUP($A410,CSV!$A:$A,CSV!G:G,""),
_xlpm.MacVal,_xlfn.XLOOKUP($A410,Output_Mac!$A:$A,Output_Mac!H:H,""),
_xlpm.MyAuditVal,_xlfn.XLOOKUP($A410,My_Audit!$A:$A,My_Audit!F:F,""),
_xlfn.IFS(_xlpm.MyAuditVal&lt;&gt;"",_xlpm.MyAuditVal,_xlpm.MacVal&lt;&gt;"",_xlpm.MacVal,_xlpm.CSVVal&lt;&gt;"",_xlpm.CSVVal
)),"")</f>
        <v/>
      </c>
      <c r="H410" s="45" t="str">
        <f>_xlfn.XLOOKUP(A410,Output_Mac!A:A,Output_Mac!I:I,"")</f>
        <v/>
      </c>
      <c r="I410" s="45" t="str" cm="1">
        <f t="array" ref="I410">IFERROR(_xlfn.LET(
_xlpm.CSVVal,_xlfn.XLOOKUP($A410,CSV!$A:$A,CSV!H:H,""),
_xlpm.MacVal,_xlfn.XLOOKUP($A410,Output_Mac!$A:$A,Output_Mac!J:J,""),
_xlpm.MyAuditVal,_xlfn.XLOOKUP($A410,My_Audit!$A:$A,My_Audit!H:H,""),
_xlfn.IFS(_xlpm.MyAuditVal&lt;&gt;"",UPPER(_xlpm.MyAuditVal),_xlpm.MacVal&lt;&gt;"",_xlpm.MacVal,_xlpm.CSVVal&lt;&gt;"",_xlpm.CSVVal
)),"")</f>
        <v/>
      </c>
      <c r="J410" s="45" t="str" cm="1">
        <f t="array" ref="J410">IFERROR(_xlfn.LET(
_xlpm.CSVVal,_xlfn.XLOOKUP($A410,CSV!$A:$A,CSV!J:J,""),
_xlpm.MacVal,_xlfn.XLOOKUP($A410,Output_Mac!$A:$A,Output_Mac!K:K,""),
_xlpm.MyAuditVal,_xlfn.XLOOKUP($A410,My_Audit!$A:$A,My_Audit!I:I,""),
_xlfn.IFS(_xlpm.MyAuditVal&lt;&gt;"",UPPER(_xlpm.MyAuditVal),_xlpm.MacVal&lt;&gt;"",_xlpm.MacVal,_xlpm.CSVVal&lt;&gt;"",_xlpm.CSVVal
)),"")</f>
        <v/>
      </c>
      <c r="K410" s="45" t="str" cm="1">
        <f t="array" ref="K410">IFERROR(_xlfn.LET(
_xlpm.CSVVal,_xlfn.XLOOKUP($A410,CSV!$A:$A,CSV!N:N,""),
_xlpm.MacVal,_xlfn.XLOOKUP($A410,Output_Mac!$A:$A,Output_Mac!L:L,""),
_xlpm.MyAuditVal,_xlfn.XLOOKUP($A410,My_Audit!$A:$A,My_Audit!J:J,""),
_xlfn.IFS(_xlpm.MyAuditVal&lt;&gt;"",UPPER(_xlpm.MyAuditVal),_xlpm.MacVal&lt;&gt;"",_xlpm.MacVal,_xlpm.CSVVal&lt;&gt;"",_xlpm.CSVVal
)),"")</f>
        <v/>
      </c>
      <c r="L410" s="45" t="str" cm="1">
        <f t="array" ref="L410">IFERROR(_xlfn.LET(
_xlpm.CSVVal,_xlfn.XLOOKUP($A410,CSV!$A:$A,CSV!P:P,""),
_xlpm.MacVal,_xlfn.XLOOKUP($A410,Output_Mac!$A:$A,Output_Mac!M:M,""),
_xlpm.MyAuditVal,_xlfn.XLOOKUP($A410,My_Audit!$A:$A,My_Audit!K:K,""),
_xlfn.IFS(_xlpm.MyAuditVal&lt;&gt;"",UPPER(_xlpm.MyAuditVal),_xlpm.MacVal&lt;&gt;"",_xlpm.MacVal,_xlpm.CSVVal&lt;&gt;"",_xlpm.CSVVal
)),"")</f>
        <v/>
      </c>
      <c r="M410" s="45" t="str">
        <f>_xlfn.LET(
    _xlpm.CSVVal, _xlfn.XLOOKUP($A410, CSV!$A:$A, CSV!AE:AE, ""),
    _xlpm.MacVal, _xlfn.XLOOKUP($A410, Output_Mac!$A:$A, Output_Mac!S:S, ""),
    _xlpm.MyAuditVal, _xlfn.XLOOKUP($A410, My_Audit!$A:$A, My_Audit!N:N, ""),
    _xlfn.TEXTJOIN(", ", TRUE, _xlpm.MyAuditVal, _xlpm.MacVal, _xlpm.CSVVal)
)</f>
        <v/>
      </c>
      <c r="N410" s="45" t="str" cm="1">
        <f t="array" ref="N410">IFERROR(_xlfn.LET(
_xlpm.CSVVal,_xlfn.XLOOKUP($A410,CSV!$A:$A,CSV!AG:AG,""),
_xlpm.MacVal,_xlfn.XLOOKUP($A410,Output_Mac!$A:$A,Output_Mac!U:U,""),
_xlpm.MyAuditVal,_xlfn.XLOOKUP($A410,My_Audit!$A:$A,My_Audit!O:O,""),
_xlfn.IFS(_xlpm.MyAuditVal&lt;&gt;"",UPPER(_xlpm.MyAuditVal),_xlpm.MacVal&lt;&gt;"",_xlpm.MacVal,_xlpm.CSVVal&lt;&gt;"",_xlpm.CSVVal
)),"")</f>
        <v/>
      </c>
      <c r="O410" s="46" t="str">
        <f>_xlfn.XLOOKUP(C410,My_Audit!B:B,My_Audit!P:P,"")&amp;""</f>
        <v/>
      </c>
      <c r="P410" s="45"/>
      <c r="Q410" s="46" t="str">
        <f>IF(LEFT(N410,4)="Pass","Nist SP 800-88",My_Audit!R410)&amp;""</f>
        <v/>
      </c>
      <c r="R410" s="45"/>
      <c r="S410" s="45"/>
      <c r="T410" s="46" t="str">
        <f>_xlfn.XLOOKUP(E410,Models!I:I,Models!J:J,"")</f>
        <v/>
      </c>
      <c r="U410" s="45"/>
      <c r="V410" s="45"/>
      <c r="W410" s="38"/>
    </row>
    <row r="411" spans="1:23">
      <c r="A411" s="45" t="str">
        <f>_xlfn.TEXTJOIN("",TRUE,Input!$B$2,ROW(My_Audit!A410))</f>
        <v>XX410</v>
      </c>
      <c r="B411" s="45" t="str">
        <f>_xlfn.TEXTJOIN("-",TRUE,"ITD",Input!$A$2,A411)</f>
        <v>ITD-SHRXXX-XX410</v>
      </c>
      <c r="C411" s="45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46" t="str" cm="1">
        <f t="array" ref="D411">IFERROR(_xlfn.LET(
_xlpm.CSVVal,_xlfn.XLOOKUP($A411,CSV!$A:$A,CSV!C:C,""),
_xlpm.MacVal,_xlfn.XLOOKUP($A411,Output_Mac!$A:$A,Output_Mac!D:D,""),
_xlpm.MyAuditVal,_xlfn.XLOOKUP($A411,My_Audit!$A:$A,My_Audit!C:C,""),
_xlfn.IFS(_xlpm.MyAuditVal&lt;&gt;"",UPPER(_xlpm.MyAuditVal),_xlpm.MacVal&lt;&gt;"",_xlpm.MacVal,_xlpm.CSVVal&lt;&gt;"",_xlpm.CSVVal
)),"")</f>
        <v/>
      </c>
      <c r="E411" s="46" t="str" cm="1">
        <f t="array" ref="E411">IFERROR(_xlfn.LET(
_xlpm.CSVVal,_xlfn.XLOOKUP($A411,CSV!$A:$A,CSV!E:E,""),
_xlpm.MacVal,_xlfn.XLOOKUP($A411,Output_Mac!$A:$A,Output_Mac!C:C,""),
_xlpm.MyAuditVal,_xlfn.XLOOKUP($A411,My_Audit!$A:$A,My_Audit!D:D,""),
_xlfn.IFS(_xlpm.MyAuditVal&lt;&gt;"",_xlpm.MyAuditVal,_xlpm.MacVal&lt;&gt;"",_xlpm.MacVal,_xlpm.CSVVal&lt;&gt;"",_xlpm.CSVVal
)),"")</f>
        <v/>
      </c>
      <c r="F411" s="45" t="str" cm="1">
        <f t="array" ref="F411">IFERROR(_xlfn.LET(
_xlpm.CSVVal,_xlfn.XLOOKUP($A411,CSV!$A:$A,CSV!F:F,""),
_xlpm.MacVal,_xlfn.XLOOKUP($A411,Output_Mac!$A:$A,Output_Mac!F:F,""),
_xlpm.MyAuditVal,_xlfn.XLOOKUP($A411,My_Audit!$A:$A,My_Audit!E:E,""),
_xlfn.IFS(_xlpm.MyAuditVal&lt;&gt;"",_xlpm.MyAuditVal,_xlpm.MacVal&lt;&gt;"",_xlpm.MacVal,_xlpm.CSVVal&lt;&gt;"",PROPER(_xlpm.CSVVal)
)),"")</f>
        <v/>
      </c>
      <c r="G411" s="45" t="str" cm="1">
        <f t="array" ref="G411">IFERROR(_xlfn.LET(
_xlpm.CSVVal,_xlfn.XLOOKUP($A411,CSV!$A:$A,CSV!G:G,""),
_xlpm.MacVal,_xlfn.XLOOKUP($A411,Output_Mac!$A:$A,Output_Mac!H:H,""),
_xlpm.MyAuditVal,_xlfn.XLOOKUP($A411,My_Audit!$A:$A,My_Audit!F:F,""),
_xlfn.IFS(_xlpm.MyAuditVal&lt;&gt;"",_xlpm.MyAuditVal,_xlpm.MacVal&lt;&gt;"",_xlpm.MacVal,_xlpm.CSVVal&lt;&gt;"",_xlpm.CSVVal
)),"")</f>
        <v/>
      </c>
      <c r="H411" s="45" t="str">
        <f>_xlfn.XLOOKUP(A411,Output_Mac!A:A,Output_Mac!I:I,"")</f>
        <v/>
      </c>
      <c r="I411" s="45" t="str" cm="1">
        <f t="array" ref="I411">IFERROR(_xlfn.LET(
_xlpm.CSVVal,_xlfn.XLOOKUP($A411,CSV!$A:$A,CSV!H:H,""),
_xlpm.MacVal,_xlfn.XLOOKUP($A411,Output_Mac!$A:$A,Output_Mac!J:J,""),
_xlpm.MyAuditVal,_xlfn.XLOOKUP($A411,My_Audit!$A:$A,My_Audit!H:H,""),
_xlfn.IFS(_xlpm.MyAuditVal&lt;&gt;"",UPPER(_xlpm.MyAuditVal),_xlpm.MacVal&lt;&gt;"",_xlpm.MacVal,_xlpm.CSVVal&lt;&gt;"",_xlpm.CSVVal
)),"")</f>
        <v/>
      </c>
      <c r="J411" s="45" t="str" cm="1">
        <f t="array" ref="J411">IFERROR(_xlfn.LET(
_xlpm.CSVVal,_xlfn.XLOOKUP($A411,CSV!$A:$A,CSV!J:J,""),
_xlpm.MacVal,_xlfn.XLOOKUP($A411,Output_Mac!$A:$A,Output_Mac!K:K,""),
_xlpm.MyAuditVal,_xlfn.XLOOKUP($A411,My_Audit!$A:$A,My_Audit!I:I,""),
_xlfn.IFS(_xlpm.MyAuditVal&lt;&gt;"",UPPER(_xlpm.MyAuditVal),_xlpm.MacVal&lt;&gt;"",_xlpm.MacVal,_xlpm.CSVVal&lt;&gt;"",_xlpm.CSVVal
)),"")</f>
        <v/>
      </c>
      <c r="K411" s="45" t="str" cm="1">
        <f t="array" ref="K411">IFERROR(_xlfn.LET(
_xlpm.CSVVal,_xlfn.XLOOKUP($A411,CSV!$A:$A,CSV!N:N,""),
_xlpm.MacVal,_xlfn.XLOOKUP($A411,Output_Mac!$A:$A,Output_Mac!L:L,""),
_xlpm.MyAuditVal,_xlfn.XLOOKUP($A411,My_Audit!$A:$A,My_Audit!J:J,""),
_xlfn.IFS(_xlpm.MyAuditVal&lt;&gt;"",UPPER(_xlpm.MyAuditVal),_xlpm.MacVal&lt;&gt;"",_xlpm.MacVal,_xlpm.CSVVal&lt;&gt;"",_xlpm.CSVVal
)),"")</f>
        <v/>
      </c>
      <c r="L411" s="45" t="str" cm="1">
        <f t="array" ref="L411">IFERROR(_xlfn.LET(
_xlpm.CSVVal,_xlfn.XLOOKUP($A411,CSV!$A:$A,CSV!P:P,""),
_xlpm.MacVal,_xlfn.XLOOKUP($A411,Output_Mac!$A:$A,Output_Mac!M:M,""),
_xlpm.MyAuditVal,_xlfn.XLOOKUP($A411,My_Audit!$A:$A,My_Audit!K:K,""),
_xlfn.IFS(_xlpm.MyAuditVal&lt;&gt;"",UPPER(_xlpm.MyAuditVal),_xlpm.MacVal&lt;&gt;"",_xlpm.MacVal,_xlpm.CSVVal&lt;&gt;"",_xlpm.CSVVal
)),"")</f>
        <v/>
      </c>
      <c r="M411" s="45" t="str">
        <f>_xlfn.LET(
    _xlpm.CSVVal, _xlfn.XLOOKUP($A411, CSV!$A:$A, CSV!AE:AE, ""),
    _xlpm.MacVal, _xlfn.XLOOKUP($A411, Output_Mac!$A:$A, Output_Mac!S:S, ""),
    _xlpm.MyAuditVal, _xlfn.XLOOKUP($A411, My_Audit!$A:$A, My_Audit!N:N, ""),
    _xlfn.TEXTJOIN(", ", TRUE, _xlpm.MyAuditVal, _xlpm.MacVal, _xlpm.CSVVal)
)</f>
        <v/>
      </c>
      <c r="N411" s="45" t="str" cm="1">
        <f t="array" ref="N411">IFERROR(_xlfn.LET(
_xlpm.CSVVal,_xlfn.XLOOKUP($A411,CSV!$A:$A,CSV!AG:AG,""),
_xlpm.MacVal,_xlfn.XLOOKUP($A411,Output_Mac!$A:$A,Output_Mac!U:U,""),
_xlpm.MyAuditVal,_xlfn.XLOOKUP($A411,My_Audit!$A:$A,My_Audit!O:O,""),
_xlfn.IFS(_xlpm.MyAuditVal&lt;&gt;"",UPPER(_xlpm.MyAuditVal),_xlpm.MacVal&lt;&gt;"",_xlpm.MacVal,_xlpm.CSVVal&lt;&gt;"",_xlpm.CSVVal
)),"")</f>
        <v/>
      </c>
      <c r="O411" s="46" t="str">
        <f>_xlfn.XLOOKUP(C411,My_Audit!B:B,My_Audit!P:P,"")&amp;""</f>
        <v/>
      </c>
      <c r="P411" s="45"/>
      <c r="Q411" s="46" t="str">
        <f>IF(LEFT(N411,4)="Pass","Nist SP 800-88",My_Audit!R411)&amp;""</f>
        <v/>
      </c>
      <c r="R411" s="45"/>
      <c r="S411" s="45"/>
      <c r="T411" s="46" t="str">
        <f>_xlfn.XLOOKUP(E411,Models!I:I,Models!J:J,"")</f>
        <v/>
      </c>
      <c r="U411" s="45"/>
      <c r="V411" s="45"/>
      <c r="W411" s="38"/>
    </row>
    <row r="412" spans="1:23">
      <c r="A412" s="45" t="str">
        <f>_xlfn.TEXTJOIN("",TRUE,Input!$B$2,ROW(My_Audit!A411))</f>
        <v>XX411</v>
      </c>
      <c r="B412" s="45" t="str">
        <f>_xlfn.TEXTJOIN("-",TRUE,"ITD",Input!$A$2,A412)</f>
        <v>ITD-SHRXXX-XX411</v>
      </c>
      <c r="C412" s="45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46" t="str" cm="1">
        <f t="array" ref="D412">IFERROR(_xlfn.LET(
_xlpm.CSVVal,_xlfn.XLOOKUP($A412,CSV!$A:$A,CSV!C:C,""),
_xlpm.MacVal,_xlfn.XLOOKUP($A412,Output_Mac!$A:$A,Output_Mac!D:D,""),
_xlpm.MyAuditVal,_xlfn.XLOOKUP($A412,My_Audit!$A:$A,My_Audit!C:C,""),
_xlfn.IFS(_xlpm.MyAuditVal&lt;&gt;"",UPPER(_xlpm.MyAuditVal),_xlpm.MacVal&lt;&gt;"",_xlpm.MacVal,_xlpm.CSVVal&lt;&gt;"",_xlpm.CSVVal
)),"")</f>
        <v/>
      </c>
      <c r="E412" s="46" t="str" cm="1">
        <f t="array" ref="E412">IFERROR(_xlfn.LET(
_xlpm.CSVVal,_xlfn.XLOOKUP($A412,CSV!$A:$A,CSV!E:E,""),
_xlpm.MacVal,_xlfn.XLOOKUP($A412,Output_Mac!$A:$A,Output_Mac!C:C,""),
_xlpm.MyAuditVal,_xlfn.XLOOKUP($A412,My_Audit!$A:$A,My_Audit!D:D,""),
_xlfn.IFS(_xlpm.MyAuditVal&lt;&gt;"",_xlpm.MyAuditVal,_xlpm.MacVal&lt;&gt;"",_xlpm.MacVal,_xlpm.CSVVal&lt;&gt;"",_xlpm.CSVVal
)),"")</f>
        <v/>
      </c>
      <c r="F412" s="45" t="str" cm="1">
        <f t="array" ref="F412">IFERROR(_xlfn.LET(
_xlpm.CSVVal,_xlfn.XLOOKUP($A412,CSV!$A:$A,CSV!F:F,""),
_xlpm.MacVal,_xlfn.XLOOKUP($A412,Output_Mac!$A:$A,Output_Mac!F:F,""),
_xlpm.MyAuditVal,_xlfn.XLOOKUP($A412,My_Audit!$A:$A,My_Audit!E:E,""),
_xlfn.IFS(_xlpm.MyAuditVal&lt;&gt;"",_xlpm.MyAuditVal,_xlpm.MacVal&lt;&gt;"",_xlpm.MacVal,_xlpm.CSVVal&lt;&gt;"",PROPER(_xlpm.CSVVal)
)),"")</f>
        <v/>
      </c>
      <c r="G412" s="45" t="str" cm="1">
        <f t="array" ref="G412">IFERROR(_xlfn.LET(
_xlpm.CSVVal,_xlfn.XLOOKUP($A412,CSV!$A:$A,CSV!G:G,""),
_xlpm.MacVal,_xlfn.XLOOKUP($A412,Output_Mac!$A:$A,Output_Mac!H:H,""),
_xlpm.MyAuditVal,_xlfn.XLOOKUP($A412,My_Audit!$A:$A,My_Audit!F:F,""),
_xlfn.IFS(_xlpm.MyAuditVal&lt;&gt;"",_xlpm.MyAuditVal,_xlpm.MacVal&lt;&gt;"",_xlpm.MacVal,_xlpm.CSVVal&lt;&gt;"",_xlpm.CSVVal
)),"")</f>
        <v/>
      </c>
      <c r="H412" s="45" t="str">
        <f>_xlfn.XLOOKUP(A412,Output_Mac!A:A,Output_Mac!I:I,"")</f>
        <v/>
      </c>
      <c r="I412" s="45" t="str" cm="1">
        <f t="array" ref="I412">IFERROR(_xlfn.LET(
_xlpm.CSVVal,_xlfn.XLOOKUP($A412,CSV!$A:$A,CSV!H:H,""),
_xlpm.MacVal,_xlfn.XLOOKUP($A412,Output_Mac!$A:$A,Output_Mac!J:J,""),
_xlpm.MyAuditVal,_xlfn.XLOOKUP($A412,My_Audit!$A:$A,My_Audit!H:H,""),
_xlfn.IFS(_xlpm.MyAuditVal&lt;&gt;"",UPPER(_xlpm.MyAuditVal),_xlpm.MacVal&lt;&gt;"",_xlpm.MacVal,_xlpm.CSVVal&lt;&gt;"",_xlpm.CSVVal
)),"")</f>
        <v/>
      </c>
      <c r="J412" s="45" t="str" cm="1">
        <f t="array" ref="J412">IFERROR(_xlfn.LET(
_xlpm.CSVVal,_xlfn.XLOOKUP($A412,CSV!$A:$A,CSV!J:J,""),
_xlpm.MacVal,_xlfn.XLOOKUP($A412,Output_Mac!$A:$A,Output_Mac!K:K,""),
_xlpm.MyAuditVal,_xlfn.XLOOKUP($A412,My_Audit!$A:$A,My_Audit!I:I,""),
_xlfn.IFS(_xlpm.MyAuditVal&lt;&gt;"",UPPER(_xlpm.MyAuditVal),_xlpm.MacVal&lt;&gt;"",_xlpm.MacVal,_xlpm.CSVVal&lt;&gt;"",_xlpm.CSVVal
)),"")</f>
        <v/>
      </c>
      <c r="K412" s="45" t="str" cm="1">
        <f t="array" ref="K412">IFERROR(_xlfn.LET(
_xlpm.CSVVal,_xlfn.XLOOKUP($A412,CSV!$A:$A,CSV!N:N,""),
_xlpm.MacVal,_xlfn.XLOOKUP($A412,Output_Mac!$A:$A,Output_Mac!L:L,""),
_xlpm.MyAuditVal,_xlfn.XLOOKUP($A412,My_Audit!$A:$A,My_Audit!J:J,""),
_xlfn.IFS(_xlpm.MyAuditVal&lt;&gt;"",UPPER(_xlpm.MyAuditVal),_xlpm.MacVal&lt;&gt;"",_xlpm.MacVal,_xlpm.CSVVal&lt;&gt;"",_xlpm.CSVVal
)),"")</f>
        <v/>
      </c>
      <c r="L412" s="45" t="str" cm="1">
        <f t="array" ref="L412">IFERROR(_xlfn.LET(
_xlpm.CSVVal,_xlfn.XLOOKUP($A412,CSV!$A:$A,CSV!P:P,""),
_xlpm.MacVal,_xlfn.XLOOKUP($A412,Output_Mac!$A:$A,Output_Mac!M:M,""),
_xlpm.MyAuditVal,_xlfn.XLOOKUP($A412,My_Audit!$A:$A,My_Audit!K:K,""),
_xlfn.IFS(_xlpm.MyAuditVal&lt;&gt;"",UPPER(_xlpm.MyAuditVal),_xlpm.MacVal&lt;&gt;"",_xlpm.MacVal,_xlpm.CSVVal&lt;&gt;"",_xlpm.CSVVal
)),"")</f>
        <v/>
      </c>
      <c r="M412" s="45" t="str">
        <f>_xlfn.LET(
    _xlpm.CSVVal, _xlfn.XLOOKUP($A412, CSV!$A:$A, CSV!AE:AE, ""),
    _xlpm.MacVal, _xlfn.XLOOKUP($A412, Output_Mac!$A:$A, Output_Mac!S:S, ""),
    _xlpm.MyAuditVal, _xlfn.XLOOKUP($A412, My_Audit!$A:$A, My_Audit!N:N, ""),
    _xlfn.TEXTJOIN(", ", TRUE, _xlpm.MyAuditVal, _xlpm.MacVal, _xlpm.CSVVal)
)</f>
        <v/>
      </c>
      <c r="N412" s="45" t="str" cm="1">
        <f t="array" ref="N412">IFERROR(_xlfn.LET(
_xlpm.CSVVal,_xlfn.XLOOKUP($A412,CSV!$A:$A,CSV!AG:AG,""),
_xlpm.MacVal,_xlfn.XLOOKUP($A412,Output_Mac!$A:$A,Output_Mac!U:U,""),
_xlpm.MyAuditVal,_xlfn.XLOOKUP($A412,My_Audit!$A:$A,My_Audit!O:O,""),
_xlfn.IFS(_xlpm.MyAuditVal&lt;&gt;"",UPPER(_xlpm.MyAuditVal),_xlpm.MacVal&lt;&gt;"",_xlpm.MacVal,_xlpm.CSVVal&lt;&gt;"",_xlpm.CSVVal
)),"")</f>
        <v/>
      </c>
      <c r="O412" s="46" t="str">
        <f>_xlfn.XLOOKUP(C412,My_Audit!B:B,My_Audit!P:P,"")&amp;""</f>
        <v/>
      </c>
      <c r="P412" s="45"/>
      <c r="Q412" s="46" t="str">
        <f>IF(LEFT(N412,4)="Pass","Nist SP 800-88",My_Audit!R412)&amp;""</f>
        <v/>
      </c>
      <c r="R412" s="45"/>
      <c r="S412" s="45"/>
      <c r="T412" s="46" t="str">
        <f>_xlfn.XLOOKUP(E412,Models!I:I,Models!J:J,"")</f>
        <v/>
      </c>
      <c r="U412" s="45"/>
      <c r="V412" s="45"/>
      <c r="W412" s="38"/>
    </row>
    <row r="413" spans="1:23">
      <c r="A413" s="45" t="str">
        <f>_xlfn.TEXTJOIN("",TRUE,Input!$B$2,ROW(My_Audit!A412))</f>
        <v>XX412</v>
      </c>
      <c r="B413" s="45" t="str">
        <f>_xlfn.TEXTJOIN("-",TRUE,"ITD",Input!$A$2,A413)</f>
        <v>ITD-SHRXXX-XX412</v>
      </c>
      <c r="C413" s="45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46" t="str" cm="1">
        <f t="array" ref="D413">IFERROR(_xlfn.LET(
_xlpm.CSVVal,_xlfn.XLOOKUP($A413,CSV!$A:$A,CSV!C:C,""),
_xlpm.MacVal,_xlfn.XLOOKUP($A413,Output_Mac!$A:$A,Output_Mac!D:D,""),
_xlpm.MyAuditVal,_xlfn.XLOOKUP($A413,My_Audit!$A:$A,My_Audit!C:C,""),
_xlfn.IFS(_xlpm.MyAuditVal&lt;&gt;"",UPPER(_xlpm.MyAuditVal),_xlpm.MacVal&lt;&gt;"",_xlpm.MacVal,_xlpm.CSVVal&lt;&gt;"",_xlpm.CSVVal
)),"")</f>
        <v/>
      </c>
      <c r="E413" s="46" t="str" cm="1">
        <f t="array" ref="E413">IFERROR(_xlfn.LET(
_xlpm.CSVVal,_xlfn.XLOOKUP($A413,CSV!$A:$A,CSV!E:E,""),
_xlpm.MacVal,_xlfn.XLOOKUP($A413,Output_Mac!$A:$A,Output_Mac!C:C,""),
_xlpm.MyAuditVal,_xlfn.XLOOKUP($A413,My_Audit!$A:$A,My_Audit!D:D,""),
_xlfn.IFS(_xlpm.MyAuditVal&lt;&gt;"",_xlpm.MyAuditVal,_xlpm.MacVal&lt;&gt;"",_xlpm.MacVal,_xlpm.CSVVal&lt;&gt;"",_xlpm.CSVVal
)),"")</f>
        <v/>
      </c>
      <c r="F413" s="45" t="str" cm="1">
        <f t="array" ref="F413">IFERROR(_xlfn.LET(
_xlpm.CSVVal,_xlfn.XLOOKUP($A413,CSV!$A:$A,CSV!F:F,""),
_xlpm.MacVal,_xlfn.XLOOKUP($A413,Output_Mac!$A:$A,Output_Mac!F:F,""),
_xlpm.MyAuditVal,_xlfn.XLOOKUP($A413,My_Audit!$A:$A,My_Audit!E:E,""),
_xlfn.IFS(_xlpm.MyAuditVal&lt;&gt;"",_xlpm.MyAuditVal,_xlpm.MacVal&lt;&gt;"",_xlpm.MacVal,_xlpm.CSVVal&lt;&gt;"",PROPER(_xlpm.CSVVal)
)),"")</f>
        <v/>
      </c>
      <c r="G413" s="45" t="str" cm="1">
        <f t="array" ref="G413">IFERROR(_xlfn.LET(
_xlpm.CSVVal,_xlfn.XLOOKUP($A413,CSV!$A:$A,CSV!G:G,""),
_xlpm.MacVal,_xlfn.XLOOKUP($A413,Output_Mac!$A:$A,Output_Mac!H:H,""),
_xlpm.MyAuditVal,_xlfn.XLOOKUP($A413,My_Audit!$A:$A,My_Audit!F:F,""),
_xlfn.IFS(_xlpm.MyAuditVal&lt;&gt;"",_xlpm.MyAuditVal,_xlpm.MacVal&lt;&gt;"",_xlpm.MacVal,_xlpm.CSVVal&lt;&gt;"",_xlpm.CSVVal
)),"")</f>
        <v/>
      </c>
      <c r="H413" s="45" t="str">
        <f>_xlfn.XLOOKUP(A413,Output_Mac!A:A,Output_Mac!I:I,"")</f>
        <v/>
      </c>
      <c r="I413" s="45" t="str" cm="1">
        <f t="array" ref="I413">IFERROR(_xlfn.LET(
_xlpm.CSVVal,_xlfn.XLOOKUP($A413,CSV!$A:$A,CSV!H:H,""),
_xlpm.MacVal,_xlfn.XLOOKUP($A413,Output_Mac!$A:$A,Output_Mac!J:J,""),
_xlpm.MyAuditVal,_xlfn.XLOOKUP($A413,My_Audit!$A:$A,My_Audit!H:H,""),
_xlfn.IFS(_xlpm.MyAuditVal&lt;&gt;"",UPPER(_xlpm.MyAuditVal),_xlpm.MacVal&lt;&gt;"",_xlpm.MacVal,_xlpm.CSVVal&lt;&gt;"",_xlpm.CSVVal
)),"")</f>
        <v/>
      </c>
      <c r="J413" s="45" t="str" cm="1">
        <f t="array" ref="J413">IFERROR(_xlfn.LET(
_xlpm.CSVVal,_xlfn.XLOOKUP($A413,CSV!$A:$A,CSV!J:J,""),
_xlpm.MacVal,_xlfn.XLOOKUP($A413,Output_Mac!$A:$A,Output_Mac!K:K,""),
_xlpm.MyAuditVal,_xlfn.XLOOKUP($A413,My_Audit!$A:$A,My_Audit!I:I,""),
_xlfn.IFS(_xlpm.MyAuditVal&lt;&gt;"",UPPER(_xlpm.MyAuditVal),_xlpm.MacVal&lt;&gt;"",_xlpm.MacVal,_xlpm.CSVVal&lt;&gt;"",_xlpm.CSVVal
)),"")</f>
        <v/>
      </c>
      <c r="K413" s="45" t="str" cm="1">
        <f t="array" ref="K413">IFERROR(_xlfn.LET(
_xlpm.CSVVal,_xlfn.XLOOKUP($A413,CSV!$A:$A,CSV!N:N,""),
_xlpm.MacVal,_xlfn.XLOOKUP($A413,Output_Mac!$A:$A,Output_Mac!L:L,""),
_xlpm.MyAuditVal,_xlfn.XLOOKUP($A413,My_Audit!$A:$A,My_Audit!J:J,""),
_xlfn.IFS(_xlpm.MyAuditVal&lt;&gt;"",UPPER(_xlpm.MyAuditVal),_xlpm.MacVal&lt;&gt;"",_xlpm.MacVal,_xlpm.CSVVal&lt;&gt;"",_xlpm.CSVVal
)),"")</f>
        <v/>
      </c>
      <c r="L413" s="45" t="str" cm="1">
        <f t="array" ref="L413">IFERROR(_xlfn.LET(
_xlpm.CSVVal,_xlfn.XLOOKUP($A413,CSV!$A:$A,CSV!P:P,""),
_xlpm.MacVal,_xlfn.XLOOKUP($A413,Output_Mac!$A:$A,Output_Mac!M:M,""),
_xlpm.MyAuditVal,_xlfn.XLOOKUP($A413,My_Audit!$A:$A,My_Audit!K:K,""),
_xlfn.IFS(_xlpm.MyAuditVal&lt;&gt;"",UPPER(_xlpm.MyAuditVal),_xlpm.MacVal&lt;&gt;"",_xlpm.MacVal,_xlpm.CSVVal&lt;&gt;"",_xlpm.CSVVal
)),"")</f>
        <v/>
      </c>
      <c r="M413" s="45" t="str">
        <f>_xlfn.LET(
    _xlpm.CSVVal, _xlfn.XLOOKUP($A413, CSV!$A:$A, CSV!AE:AE, ""),
    _xlpm.MacVal, _xlfn.XLOOKUP($A413, Output_Mac!$A:$A, Output_Mac!S:S, ""),
    _xlpm.MyAuditVal, _xlfn.XLOOKUP($A413, My_Audit!$A:$A, My_Audit!N:N, ""),
    _xlfn.TEXTJOIN(", ", TRUE, _xlpm.MyAuditVal, _xlpm.MacVal, _xlpm.CSVVal)
)</f>
        <v/>
      </c>
      <c r="N413" s="45" t="str" cm="1">
        <f t="array" ref="N413">IFERROR(_xlfn.LET(
_xlpm.CSVVal,_xlfn.XLOOKUP($A413,CSV!$A:$A,CSV!AG:AG,""),
_xlpm.MacVal,_xlfn.XLOOKUP($A413,Output_Mac!$A:$A,Output_Mac!U:U,""),
_xlpm.MyAuditVal,_xlfn.XLOOKUP($A413,My_Audit!$A:$A,My_Audit!O:O,""),
_xlfn.IFS(_xlpm.MyAuditVal&lt;&gt;"",UPPER(_xlpm.MyAuditVal),_xlpm.MacVal&lt;&gt;"",_xlpm.MacVal,_xlpm.CSVVal&lt;&gt;"",_xlpm.CSVVal
)),"")</f>
        <v/>
      </c>
      <c r="O413" s="46" t="str">
        <f>_xlfn.XLOOKUP(C413,My_Audit!B:B,My_Audit!P:P,"")&amp;""</f>
        <v/>
      </c>
      <c r="P413" s="45"/>
      <c r="Q413" s="46" t="str">
        <f>IF(LEFT(N413,4)="Pass","Nist SP 800-88",My_Audit!R413)&amp;""</f>
        <v/>
      </c>
      <c r="R413" s="45"/>
      <c r="S413" s="45"/>
      <c r="T413" s="46" t="str">
        <f>_xlfn.XLOOKUP(E413,Models!I:I,Models!J:J,"")</f>
        <v/>
      </c>
      <c r="U413" s="45"/>
      <c r="V413" s="45"/>
      <c r="W413" s="38"/>
    </row>
    <row r="414" spans="1:23">
      <c r="A414" s="45" t="str">
        <f>_xlfn.TEXTJOIN("",TRUE,Input!$B$2,ROW(My_Audit!A413))</f>
        <v>XX413</v>
      </c>
      <c r="B414" s="45" t="str">
        <f>_xlfn.TEXTJOIN("-",TRUE,"ITD",Input!$A$2,A414)</f>
        <v>ITD-SHRXXX-XX413</v>
      </c>
      <c r="C414" s="45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46" t="str" cm="1">
        <f t="array" ref="D414">IFERROR(_xlfn.LET(
_xlpm.CSVVal,_xlfn.XLOOKUP($A414,CSV!$A:$A,CSV!C:C,""),
_xlpm.MacVal,_xlfn.XLOOKUP($A414,Output_Mac!$A:$A,Output_Mac!D:D,""),
_xlpm.MyAuditVal,_xlfn.XLOOKUP($A414,My_Audit!$A:$A,My_Audit!C:C,""),
_xlfn.IFS(_xlpm.MyAuditVal&lt;&gt;"",UPPER(_xlpm.MyAuditVal),_xlpm.MacVal&lt;&gt;"",_xlpm.MacVal,_xlpm.CSVVal&lt;&gt;"",_xlpm.CSVVal
)),"")</f>
        <v/>
      </c>
      <c r="E414" s="46" t="str" cm="1">
        <f t="array" ref="E414">IFERROR(_xlfn.LET(
_xlpm.CSVVal,_xlfn.XLOOKUP($A414,CSV!$A:$A,CSV!E:E,""),
_xlpm.MacVal,_xlfn.XLOOKUP($A414,Output_Mac!$A:$A,Output_Mac!C:C,""),
_xlpm.MyAuditVal,_xlfn.XLOOKUP($A414,My_Audit!$A:$A,My_Audit!D:D,""),
_xlfn.IFS(_xlpm.MyAuditVal&lt;&gt;"",_xlpm.MyAuditVal,_xlpm.MacVal&lt;&gt;"",_xlpm.MacVal,_xlpm.CSVVal&lt;&gt;"",_xlpm.CSVVal
)),"")</f>
        <v/>
      </c>
      <c r="F414" s="45" t="str" cm="1">
        <f t="array" ref="F414">IFERROR(_xlfn.LET(
_xlpm.CSVVal,_xlfn.XLOOKUP($A414,CSV!$A:$A,CSV!F:F,""),
_xlpm.MacVal,_xlfn.XLOOKUP($A414,Output_Mac!$A:$A,Output_Mac!F:F,""),
_xlpm.MyAuditVal,_xlfn.XLOOKUP($A414,My_Audit!$A:$A,My_Audit!E:E,""),
_xlfn.IFS(_xlpm.MyAuditVal&lt;&gt;"",_xlpm.MyAuditVal,_xlpm.MacVal&lt;&gt;"",_xlpm.MacVal,_xlpm.CSVVal&lt;&gt;"",PROPER(_xlpm.CSVVal)
)),"")</f>
        <v/>
      </c>
      <c r="G414" s="45" t="str" cm="1">
        <f t="array" ref="G414">IFERROR(_xlfn.LET(
_xlpm.CSVVal,_xlfn.XLOOKUP($A414,CSV!$A:$A,CSV!G:G,""),
_xlpm.MacVal,_xlfn.XLOOKUP($A414,Output_Mac!$A:$A,Output_Mac!H:H,""),
_xlpm.MyAuditVal,_xlfn.XLOOKUP($A414,My_Audit!$A:$A,My_Audit!F:F,""),
_xlfn.IFS(_xlpm.MyAuditVal&lt;&gt;"",_xlpm.MyAuditVal,_xlpm.MacVal&lt;&gt;"",_xlpm.MacVal,_xlpm.CSVVal&lt;&gt;"",_xlpm.CSVVal
)),"")</f>
        <v/>
      </c>
      <c r="H414" s="45" t="str">
        <f>_xlfn.XLOOKUP(A414,Output_Mac!A:A,Output_Mac!I:I,"")</f>
        <v/>
      </c>
      <c r="I414" s="45" t="str" cm="1">
        <f t="array" ref="I414">IFERROR(_xlfn.LET(
_xlpm.CSVVal,_xlfn.XLOOKUP($A414,CSV!$A:$A,CSV!H:H,""),
_xlpm.MacVal,_xlfn.XLOOKUP($A414,Output_Mac!$A:$A,Output_Mac!J:J,""),
_xlpm.MyAuditVal,_xlfn.XLOOKUP($A414,My_Audit!$A:$A,My_Audit!H:H,""),
_xlfn.IFS(_xlpm.MyAuditVal&lt;&gt;"",UPPER(_xlpm.MyAuditVal),_xlpm.MacVal&lt;&gt;"",_xlpm.MacVal,_xlpm.CSVVal&lt;&gt;"",_xlpm.CSVVal
)),"")</f>
        <v/>
      </c>
      <c r="J414" s="45" t="str" cm="1">
        <f t="array" ref="J414">IFERROR(_xlfn.LET(
_xlpm.CSVVal,_xlfn.XLOOKUP($A414,CSV!$A:$A,CSV!J:J,""),
_xlpm.MacVal,_xlfn.XLOOKUP($A414,Output_Mac!$A:$A,Output_Mac!K:K,""),
_xlpm.MyAuditVal,_xlfn.XLOOKUP($A414,My_Audit!$A:$A,My_Audit!I:I,""),
_xlfn.IFS(_xlpm.MyAuditVal&lt;&gt;"",UPPER(_xlpm.MyAuditVal),_xlpm.MacVal&lt;&gt;"",_xlpm.MacVal,_xlpm.CSVVal&lt;&gt;"",_xlpm.CSVVal
)),"")</f>
        <v/>
      </c>
      <c r="K414" s="45" t="str" cm="1">
        <f t="array" ref="K414">IFERROR(_xlfn.LET(
_xlpm.CSVVal,_xlfn.XLOOKUP($A414,CSV!$A:$A,CSV!N:N,""),
_xlpm.MacVal,_xlfn.XLOOKUP($A414,Output_Mac!$A:$A,Output_Mac!L:L,""),
_xlpm.MyAuditVal,_xlfn.XLOOKUP($A414,My_Audit!$A:$A,My_Audit!J:J,""),
_xlfn.IFS(_xlpm.MyAuditVal&lt;&gt;"",UPPER(_xlpm.MyAuditVal),_xlpm.MacVal&lt;&gt;"",_xlpm.MacVal,_xlpm.CSVVal&lt;&gt;"",_xlpm.CSVVal
)),"")</f>
        <v/>
      </c>
      <c r="L414" s="45" t="str" cm="1">
        <f t="array" ref="L414">IFERROR(_xlfn.LET(
_xlpm.CSVVal,_xlfn.XLOOKUP($A414,CSV!$A:$A,CSV!P:P,""),
_xlpm.MacVal,_xlfn.XLOOKUP($A414,Output_Mac!$A:$A,Output_Mac!M:M,""),
_xlpm.MyAuditVal,_xlfn.XLOOKUP($A414,My_Audit!$A:$A,My_Audit!K:K,""),
_xlfn.IFS(_xlpm.MyAuditVal&lt;&gt;"",UPPER(_xlpm.MyAuditVal),_xlpm.MacVal&lt;&gt;"",_xlpm.MacVal,_xlpm.CSVVal&lt;&gt;"",_xlpm.CSVVal
)),"")</f>
        <v/>
      </c>
      <c r="M414" s="45" t="str">
        <f>_xlfn.LET(
    _xlpm.CSVVal, _xlfn.XLOOKUP($A414, CSV!$A:$A, CSV!AE:AE, ""),
    _xlpm.MacVal, _xlfn.XLOOKUP($A414, Output_Mac!$A:$A, Output_Mac!S:S, ""),
    _xlpm.MyAuditVal, _xlfn.XLOOKUP($A414, My_Audit!$A:$A, My_Audit!N:N, ""),
    _xlfn.TEXTJOIN(", ", TRUE, _xlpm.MyAuditVal, _xlpm.MacVal, _xlpm.CSVVal)
)</f>
        <v/>
      </c>
      <c r="N414" s="45" t="str" cm="1">
        <f t="array" ref="N414">IFERROR(_xlfn.LET(
_xlpm.CSVVal,_xlfn.XLOOKUP($A414,CSV!$A:$A,CSV!AG:AG,""),
_xlpm.MacVal,_xlfn.XLOOKUP($A414,Output_Mac!$A:$A,Output_Mac!U:U,""),
_xlpm.MyAuditVal,_xlfn.XLOOKUP($A414,My_Audit!$A:$A,My_Audit!O:O,""),
_xlfn.IFS(_xlpm.MyAuditVal&lt;&gt;"",UPPER(_xlpm.MyAuditVal),_xlpm.MacVal&lt;&gt;"",_xlpm.MacVal,_xlpm.CSVVal&lt;&gt;"",_xlpm.CSVVal
)),"")</f>
        <v/>
      </c>
      <c r="O414" s="46" t="str">
        <f>_xlfn.XLOOKUP(C414,My_Audit!B:B,My_Audit!P:P,"")&amp;""</f>
        <v/>
      </c>
      <c r="P414" s="45"/>
      <c r="Q414" s="46" t="str">
        <f>IF(LEFT(N414,4)="Pass","Nist SP 800-88",My_Audit!R414)&amp;""</f>
        <v/>
      </c>
      <c r="R414" s="45"/>
      <c r="S414" s="45"/>
      <c r="T414" s="46" t="str">
        <f>_xlfn.XLOOKUP(E414,Models!I:I,Models!J:J,"")</f>
        <v/>
      </c>
      <c r="U414" s="45"/>
      <c r="V414" s="45"/>
      <c r="W414" s="38"/>
    </row>
    <row r="415" spans="1:23">
      <c r="A415" s="45" t="str">
        <f>_xlfn.TEXTJOIN("",TRUE,Input!$B$2,ROW(My_Audit!A414))</f>
        <v>XX414</v>
      </c>
      <c r="B415" s="45" t="str">
        <f>_xlfn.TEXTJOIN("-",TRUE,"ITD",Input!$A$2,A415)</f>
        <v>ITD-SHRXXX-XX414</v>
      </c>
      <c r="C415" s="45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46" t="str" cm="1">
        <f t="array" ref="D415">IFERROR(_xlfn.LET(
_xlpm.CSVVal,_xlfn.XLOOKUP($A415,CSV!$A:$A,CSV!C:C,""),
_xlpm.MacVal,_xlfn.XLOOKUP($A415,Output_Mac!$A:$A,Output_Mac!D:D,""),
_xlpm.MyAuditVal,_xlfn.XLOOKUP($A415,My_Audit!$A:$A,My_Audit!C:C,""),
_xlfn.IFS(_xlpm.MyAuditVal&lt;&gt;"",UPPER(_xlpm.MyAuditVal),_xlpm.MacVal&lt;&gt;"",_xlpm.MacVal,_xlpm.CSVVal&lt;&gt;"",_xlpm.CSVVal
)),"")</f>
        <v/>
      </c>
      <c r="E415" s="46" t="str" cm="1">
        <f t="array" ref="E415">IFERROR(_xlfn.LET(
_xlpm.CSVVal,_xlfn.XLOOKUP($A415,CSV!$A:$A,CSV!E:E,""),
_xlpm.MacVal,_xlfn.XLOOKUP($A415,Output_Mac!$A:$A,Output_Mac!C:C,""),
_xlpm.MyAuditVal,_xlfn.XLOOKUP($A415,My_Audit!$A:$A,My_Audit!D:D,""),
_xlfn.IFS(_xlpm.MyAuditVal&lt;&gt;"",_xlpm.MyAuditVal,_xlpm.MacVal&lt;&gt;"",_xlpm.MacVal,_xlpm.CSVVal&lt;&gt;"",_xlpm.CSVVal
)),"")</f>
        <v/>
      </c>
      <c r="F415" s="45" t="str" cm="1">
        <f t="array" ref="F415">IFERROR(_xlfn.LET(
_xlpm.CSVVal,_xlfn.XLOOKUP($A415,CSV!$A:$A,CSV!F:F,""),
_xlpm.MacVal,_xlfn.XLOOKUP($A415,Output_Mac!$A:$A,Output_Mac!F:F,""),
_xlpm.MyAuditVal,_xlfn.XLOOKUP($A415,My_Audit!$A:$A,My_Audit!E:E,""),
_xlfn.IFS(_xlpm.MyAuditVal&lt;&gt;"",_xlpm.MyAuditVal,_xlpm.MacVal&lt;&gt;"",_xlpm.MacVal,_xlpm.CSVVal&lt;&gt;"",PROPER(_xlpm.CSVVal)
)),"")</f>
        <v/>
      </c>
      <c r="G415" s="45" t="str" cm="1">
        <f t="array" ref="G415">IFERROR(_xlfn.LET(
_xlpm.CSVVal,_xlfn.XLOOKUP($A415,CSV!$A:$A,CSV!G:G,""),
_xlpm.MacVal,_xlfn.XLOOKUP($A415,Output_Mac!$A:$A,Output_Mac!H:H,""),
_xlpm.MyAuditVal,_xlfn.XLOOKUP($A415,My_Audit!$A:$A,My_Audit!F:F,""),
_xlfn.IFS(_xlpm.MyAuditVal&lt;&gt;"",_xlpm.MyAuditVal,_xlpm.MacVal&lt;&gt;"",_xlpm.MacVal,_xlpm.CSVVal&lt;&gt;"",_xlpm.CSVVal
)),"")</f>
        <v/>
      </c>
      <c r="H415" s="45" t="str">
        <f>_xlfn.XLOOKUP(A415,Output_Mac!A:A,Output_Mac!I:I,"")</f>
        <v/>
      </c>
      <c r="I415" s="45" t="str" cm="1">
        <f t="array" ref="I415">IFERROR(_xlfn.LET(
_xlpm.CSVVal,_xlfn.XLOOKUP($A415,CSV!$A:$A,CSV!H:H,""),
_xlpm.MacVal,_xlfn.XLOOKUP($A415,Output_Mac!$A:$A,Output_Mac!J:J,""),
_xlpm.MyAuditVal,_xlfn.XLOOKUP($A415,My_Audit!$A:$A,My_Audit!H:H,""),
_xlfn.IFS(_xlpm.MyAuditVal&lt;&gt;"",UPPER(_xlpm.MyAuditVal),_xlpm.MacVal&lt;&gt;"",_xlpm.MacVal,_xlpm.CSVVal&lt;&gt;"",_xlpm.CSVVal
)),"")</f>
        <v/>
      </c>
      <c r="J415" s="45" t="str" cm="1">
        <f t="array" ref="J415">IFERROR(_xlfn.LET(
_xlpm.CSVVal,_xlfn.XLOOKUP($A415,CSV!$A:$A,CSV!J:J,""),
_xlpm.MacVal,_xlfn.XLOOKUP($A415,Output_Mac!$A:$A,Output_Mac!K:K,""),
_xlpm.MyAuditVal,_xlfn.XLOOKUP($A415,My_Audit!$A:$A,My_Audit!I:I,""),
_xlfn.IFS(_xlpm.MyAuditVal&lt;&gt;"",UPPER(_xlpm.MyAuditVal),_xlpm.MacVal&lt;&gt;"",_xlpm.MacVal,_xlpm.CSVVal&lt;&gt;"",_xlpm.CSVVal
)),"")</f>
        <v/>
      </c>
      <c r="K415" s="45" t="str" cm="1">
        <f t="array" ref="K415">IFERROR(_xlfn.LET(
_xlpm.CSVVal,_xlfn.XLOOKUP($A415,CSV!$A:$A,CSV!N:N,""),
_xlpm.MacVal,_xlfn.XLOOKUP($A415,Output_Mac!$A:$A,Output_Mac!L:L,""),
_xlpm.MyAuditVal,_xlfn.XLOOKUP($A415,My_Audit!$A:$A,My_Audit!J:J,""),
_xlfn.IFS(_xlpm.MyAuditVal&lt;&gt;"",UPPER(_xlpm.MyAuditVal),_xlpm.MacVal&lt;&gt;"",_xlpm.MacVal,_xlpm.CSVVal&lt;&gt;"",_xlpm.CSVVal
)),"")</f>
        <v/>
      </c>
      <c r="L415" s="45" t="str" cm="1">
        <f t="array" ref="L415">IFERROR(_xlfn.LET(
_xlpm.CSVVal,_xlfn.XLOOKUP($A415,CSV!$A:$A,CSV!P:P,""),
_xlpm.MacVal,_xlfn.XLOOKUP($A415,Output_Mac!$A:$A,Output_Mac!M:M,""),
_xlpm.MyAuditVal,_xlfn.XLOOKUP($A415,My_Audit!$A:$A,My_Audit!K:K,""),
_xlfn.IFS(_xlpm.MyAuditVal&lt;&gt;"",UPPER(_xlpm.MyAuditVal),_xlpm.MacVal&lt;&gt;"",_xlpm.MacVal,_xlpm.CSVVal&lt;&gt;"",_xlpm.CSVVal
)),"")</f>
        <v/>
      </c>
      <c r="M415" s="45" t="str">
        <f>_xlfn.LET(
    _xlpm.CSVVal, _xlfn.XLOOKUP($A415, CSV!$A:$A, CSV!AE:AE, ""),
    _xlpm.MacVal, _xlfn.XLOOKUP($A415, Output_Mac!$A:$A, Output_Mac!S:S, ""),
    _xlpm.MyAuditVal, _xlfn.XLOOKUP($A415, My_Audit!$A:$A, My_Audit!N:N, ""),
    _xlfn.TEXTJOIN(", ", TRUE, _xlpm.MyAuditVal, _xlpm.MacVal, _xlpm.CSVVal)
)</f>
        <v/>
      </c>
      <c r="N415" s="45" t="str" cm="1">
        <f t="array" ref="N415">IFERROR(_xlfn.LET(
_xlpm.CSVVal,_xlfn.XLOOKUP($A415,CSV!$A:$A,CSV!AG:AG,""),
_xlpm.MacVal,_xlfn.XLOOKUP($A415,Output_Mac!$A:$A,Output_Mac!U:U,""),
_xlpm.MyAuditVal,_xlfn.XLOOKUP($A415,My_Audit!$A:$A,My_Audit!O:O,""),
_xlfn.IFS(_xlpm.MyAuditVal&lt;&gt;"",UPPER(_xlpm.MyAuditVal),_xlpm.MacVal&lt;&gt;"",_xlpm.MacVal,_xlpm.CSVVal&lt;&gt;"",_xlpm.CSVVal
)),"")</f>
        <v/>
      </c>
      <c r="O415" s="46" t="str">
        <f>_xlfn.XLOOKUP(C415,My_Audit!B:B,My_Audit!P:P,"")&amp;""</f>
        <v/>
      </c>
      <c r="P415" s="45"/>
      <c r="Q415" s="46" t="str">
        <f>IF(LEFT(N415,4)="Pass","Nist SP 800-88",My_Audit!R415)&amp;""</f>
        <v/>
      </c>
      <c r="R415" s="45"/>
      <c r="S415" s="45"/>
      <c r="T415" s="46" t="str">
        <f>_xlfn.XLOOKUP(E415,Models!I:I,Models!J:J,"")</f>
        <v/>
      </c>
      <c r="U415" s="45"/>
      <c r="V415" s="45"/>
      <c r="W415" s="38"/>
    </row>
    <row r="416" spans="1:23">
      <c r="A416" s="45" t="str">
        <f>_xlfn.TEXTJOIN("",TRUE,Input!$B$2,ROW(My_Audit!A415))</f>
        <v>XX415</v>
      </c>
      <c r="B416" s="45" t="str">
        <f>_xlfn.TEXTJOIN("-",TRUE,"ITD",Input!$A$2,A416)</f>
        <v>ITD-SHRXXX-XX415</v>
      </c>
      <c r="C416" s="45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46" t="str" cm="1">
        <f t="array" ref="D416">IFERROR(_xlfn.LET(
_xlpm.CSVVal,_xlfn.XLOOKUP($A416,CSV!$A:$A,CSV!C:C,""),
_xlpm.MacVal,_xlfn.XLOOKUP($A416,Output_Mac!$A:$A,Output_Mac!D:D,""),
_xlpm.MyAuditVal,_xlfn.XLOOKUP($A416,My_Audit!$A:$A,My_Audit!C:C,""),
_xlfn.IFS(_xlpm.MyAuditVal&lt;&gt;"",UPPER(_xlpm.MyAuditVal),_xlpm.MacVal&lt;&gt;"",_xlpm.MacVal,_xlpm.CSVVal&lt;&gt;"",_xlpm.CSVVal
)),"")</f>
        <v/>
      </c>
      <c r="E416" s="46" t="str" cm="1">
        <f t="array" ref="E416">IFERROR(_xlfn.LET(
_xlpm.CSVVal,_xlfn.XLOOKUP($A416,CSV!$A:$A,CSV!E:E,""),
_xlpm.MacVal,_xlfn.XLOOKUP($A416,Output_Mac!$A:$A,Output_Mac!C:C,""),
_xlpm.MyAuditVal,_xlfn.XLOOKUP($A416,My_Audit!$A:$A,My_Audit!D:D,""),
_xlfn.IFS(_xlpm.MyAuditVal&lt;&gt;"",_xlpm.MyAuditVal,_xlpm.MacVal&lt;&gt;"",_xlpm.MacVal,_xlpm.CSVVal&lt;&gt;"",_xlpm.CSVVal
)),"")</f>
        <v/>
      </c>
      <c r="F416" s="45" t="str" cm="1">
        <f t="array" ref="F416">IFERROR(_xlfn.LET(
_xlpm.CSVVal,_xlfn.XLOOKUP($A416,CSV!$A:$A,CSV!F:F,""),
_xlpm.MacVal,_xlfn.XLOOKUP($A416,Output_Mac!$A:$A,Output_Mac!F:F,""),
_xlpm.MyAuditVal,_xlfn.XLOOKUP($A416,My_Audit!$A:$A,My_Audit!E:E,""),
_xlfn.IFS(_xlpm.MyAuditVal&lt;&gt;"",_xlpm.MyAuditVal,_xlpm.MacVal&lt;&gt;"",_xlpm.MacVal,_xlpm.CSVVal&lt;&gt;"",PROPER(_xlpm.CSVVal)
)),"")</f>
        <v/>
      </c>
      <c r="G416" s="45" t="str" cm="1">
        <f t="array" ref="G416">IFERROR(_xlfn.LET(
_xlpm.CSVVal,_xlfn.XLOOKUP($A416,CSV!$A:$A,CSV!G:G,""),
_xlpm.MacVal,_xlfn.XLOOKUP($A416,Output_Mac!$A:$A,Output_Mac!H:H,""),
_xlpm.MyAuditVal,_xlfn.XLOOKUP($A416,My_Audit!$A:$A,My_Audit!F:F,""),
_xlfn.IFS(_xlpm.MyAuditVal&lt;&gt;"",_xlpm.MyAuditVal,_xlpm.MacVal&lt;&gt;"",_xlpm.MacVal,_xlpm.CSVVal&lt;&gt;"",_xlpm.CSVVal
)),"")</f>
        <v/>
      </c>
      <c r="H416" s="45" t="str">
        <f>_xlfn.XLOOKUP(A416,Output_Mac!A:A,Output_Mac!I:I,"")</f>
        <v/>
      </c>
      <c r="I416" s="45" t="str" cm="1">
        <f t="array" ref="I416">IFERROR(_xlfn.LET(
_xlpm.CSVVal,_xlfn.XLOOKUP($A416,CSV!$A:$A,CSV!H:H,""),
_xlpm.MacVal,_xlfn.XLOOKUP($A416,Output_Mac!$A:$A,Output_Mac!J:J,""),
_xlpm.MyAuditVal,_xlfn.XLOOKUP($A416,My_Audit!$A:$A,My_Audit!H:H,""),
_xlfn.IFS(_xlpm.MyAuditVal&lt;&gt;"",UPPER(_xlpm.MyAuditVal),_xlpm.MacVal&lt;&gt;"",_xlpm.MacVal,_xlpm.CSVVal&lt;&gt;"",_xlpm.CSVVal
)),"")</f>
        <v/>
      </c>
      <c r="J416" s="45" t="str" cm="1">
        <f t="array" ref="J416">IFERROR(_xlfn.LET(
_xlpm.CSVVal,_xlfn.XLOOKUP($A416,CSV!$A:$A,CSV!J:J,""),
_xlpm.MacVal,_xlfn.XLOOKUP($A416,Output_Mac!$A:$A,Output_Mac!K:K,""),
_xlpm.MyAuditVal,_xlfn.XLOOKUP($A416,My_Audit!$A:$A,My_Audit!I:I,""),
_xlfn.IFS(_xlpm.MyAuditVal&lt;&gt;"",UPPER(_xlpm.MyAuditVal),_xlpm.MacVal&lt;&gt;"",_xlpm.MacVal,_xlpm.CSVVal&lt;&gt;"",_xlpm.CSVVal
)),"")</f>
        <v/>
      </c>
      <c r="K416" s="45" t="str" cm="1">
        <f t="array" ref="K416">IFERROR(_xlfn.LET(
_xlpm.CSVVal,_xlfn.XLOOKUP($A416,CSV!$A:$A,CSV!N:N,""),
_xlpm.MacVal,_xlfn.XLOOKUP($A416,Output_Mac!$A:$A,Output_Mac!L:L,""),
_xlpm.MyAuditVal,_xlfn.XLOOKUP($A416,My_Audit!$A:$A,My_Audit!J:J,""),
_xlfn.IFS(_xlpm.MyAuditVal&lt;&gt;"",UPPER(_xlpm.MyAuditVal),_xlpm.MacVal&lt;&gt;"",_xlpm.MacVal,_xlpm.CSVVal&lt;&gt;"",_xlpm.CSVVal
)),"")</f>
        <v/>
      </c>
      <c r="L416" s="45" t="str" cm="1">
        <f t="array" ref="L416">IFERROR(_xlfn.LET(
_xlpm.CSVVal,_xlfn.XLOOKUP($A416,CSV!$A:$A,CSV!P:P,""),
_xlpm.MacVal,_xlfn.XLOOKUP($A416,Output_Mac!$A:$A,Output_Mac!M:M,""),
_xlpm.MyAuditVal,_xlfn.XLOOKUP($A416,My_Audit!$A:$A,My_Audit!K:K,""),
_xlfn.IFS(_xlpm.MyAuditVal&lt;&gt;"",UPPER(_xlpm.MyAuditVal),_xlpm.MacVal&lt;&gt;"",_xlpm.MacVal,_xlpm.CSVVal&lt;&gt;"",_xlpm.CSVVal
)),"")</f>
        <v/>
      </c>
      <c r="M416" s="45" t="str">
        <f>_xlfn.LET(
    _xlpm.CSVVal, _xlfn.XLOOKUP($A416, CSV!$A:$A, CSV!AE:AE, ""),
    _xlpm.MacVal, _xlfn.XLOOKUP($A416, Output_Mac!$A:$A, Output_Mac!S:S, ""),
    _xlpm.MyAuditVal, _xlfn.XLOOKUP($A416, My_Audit!$A:$A, My_Audit!N:N, ""),
    _xlfn.TEXTJOIN(", ", TRUE, _xlpm.MyAuditVal, _xlpm.MacVal, _xlpm.CSVVal)
)</f>
        <v/>
      </c>
      <c r="N416" s="45" t="str" cm="1">
        <f t="array" ref="N416">IFERROR(_xlfn.LET(
_xlpm.CSVVal,_xlfn.XLOOKUP($A416,CSV!$A:$A,CSV!AG:AG,""),
_xlpm.MacVal,_xlfn.XLOOKUP($A416,Output_Mac!$A:$A,Output_Mac!U:U,""),
_xlpm.MyAuditVal,_xlfn.XLOOKUP($A416,My_Audit!$A:$A,My_Audit!O:O,""),
_xlfn.IFS(_xlpm.MyAuditVal&lt;&gt;"",UPPER(_xlpm.MyAuditVal),_xlpm.MacVal&lt;&gt;"",_xlpm.MacVal,_xlpm.CSVVal&lt;&gt;"",_xlpm.CSVVal
)),"")</f>
        <v/>
      </c>
      <c r="O416" s="46" t="str">
        <f>_xlfn.XLOOKUP(C416,My_Audit!B:B,My_Audit!P:P,"")&amp;""</f>
        <v/>
      </c>
      <c r="P416" s="45"/>
      <c r="Q416" s="46" t="str">
        <f>IF(LEFT(N416,4)="Pass","Nist SP 800-88",My_Audit!R416)&amp;""</f>
        <v/>
      </c>
      <c r="R416" s="45"/>
      <c r="S416" s="45"/>
      <c r="T416" s="46" t="str">
        <f>_xlfn.XLOOKUP(E416,Models!I:I,Models!J:J,"")</f>
        <v/>
      </c>
      <c r="U416" s="45"/>
      <c r="V416" s="45"/>
      <c r="W416" s="38"/>
    </row>
    <row r="417" spans="1:23">
      <c r="A417" s="45" t="str">
        <f>_xlfn.TEXTJOIN("",TRUE,Input!$B$2,ROW(My_Audit!A416))</f>
        <v>XX416</v>
      </c>
      <c r="B417" s="45" t="str">
        <f>_xlfn.TEXTJOIN("-",TRUE,"ITD",Input!$A$2,A417)</f>
        <v>ITD-SHRXXX-XX416</v>
      </c>
      <c r="C417" s="45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46" t="str" cm="1">
        <f t="array" ref="D417">IFERROR(_xlfn.LET(
_xlpm.CSVVal,_xlfn.XLOOKUP($A417,CSV!$A:$A,CSV!C:C,""),
_xlpm.MacVal,_xlfn.XLOOKUP($A417,Output_Mac!$A:$A,Output_Mac!D:D,""),
_xlpm.MyAuditVal,_xlfn.XLOOKUP($A417,My_Audit!$A:$A,My_Audit!C:C,""),
_xlfn.IFS(_xlpm.MyAuditVal&lt;&gt;"",UPPER(_xlpm.MyAuditVal),_xlpm.MacVal&lt;&gt;"",_xlpm.MacVal,_xlpm.CSVVal&lt;&gt;"",_xlpm.CSVVal
)),"")</f>
        <v/>
      </c>
      <c r="E417" s="46" t="str" cm="1">
        <f t="array" ref="E417">IFERROR(_xlfn.LET(
_xlpm.CSVVal,_xlfn.XLOOKUP($A417,CSV!$A:$A,CSV!E:E,""),
_xlpm.MacVal,_xlfn.XLOOKUP($A417,Output_Mac!$A:$A,Output_Mac!C:C,""),
_xlpm.MyAuditVal,_xlfn.XLOOKUP($A417,My_Audit!$A:$A,My_Audit!D:D,""),
_xlfn.IFS(_xlpm.MyAuditVal&lt;&gt;"",_xlpm.MyAuditVal,_xlpm.MacVal&lt;&gt;"",_xlpm.MacVal,_xlpm.CSVVal&lt;&gt;"",_xlpm.CSVVal
)),"")</f>
        <v/>
      </c>
      <c r="F417" s="45" t="str" cm="1">
        <f t="array" ref="F417">IFERROR(_xlfn.LET(
_xlpm.CSVVal,_xlfn.XLOOKUP($A417,CSV!$A:$A,CSV!F:F,""),
_xlpm.MacVal,_xlfn.XLOOKUP($A417,Output_Mac!$A:$A,Output_Mac!F:F,""),
_xlpm.MyAuditVal,_xlfn.XLOOKUP($A417,My_Audit!$A:$A,My_Audit!E:E,""),
_xlfn.IFS(_xlpm.MyAuditVal&lt;&gt;"",_xlpm.MyAuditVal,_xlpm.MacVal&lt;&gt;"",_xlpm.MacVal,_xlpm.CSVVal&lt;&gt;"",PROPER(_xlpm.CSVVal)
)),"")</f>
        <v/>
      </c>
      <c r="G417" s="45" t="str" cm="1">
        <f t="array" ref="G417">IFERROR(_xlfn.LET(
_xlpm.CSVVal,_xlfn.XLOOKUP($A417,CSV!$A:$A,CSV!G:G,""),
_xlpm.MacVal,_xlfn.XLOOKUP($A417,Output_Mac!$A:$A,Output_Mac!H:H,""),
_xlpm.MyAuditVal,_xlfn.XLOOKUP($A417,My_Audit!$A:$A,My_Audit!F:F,""),
_xlfn.IFS(_xlpm.MyAuditVal&lt;&gt;"",_xlpm.MyAuditVal,_xlpm.MacVal&lt;&gt;"",_xlpm.MacVal,_xlpm.CSVVal&lt;&gt;"",_xlpm.CSVVal
)),"")</f>
        <v/>
      </c>
      <c r="H417" s="45" t="str">
        <f>_xlfn.XLOOKUP(A417,Output_Mac!A:A,Output_Mac!I:I,"")</f>
        <v/>
      </c>
      <c r="I417" s="45" t="str" cm="1">
        <f t="array" ref="I417">IFERROR(_xlfn.LET(
_xlpm.CSVVal,_xlfn.XLOOKUP($A417,CSV!$A:$A,CSV!H:H,""),
_xlpm.MacVal,_xlfn.XLOOKUP($A417,Output_Mac!$A:$A,Output_Mac!J:J,""),
_xlpm.MyAuditVal,_xlfn.XLOOKUP($A417,My_Audit!$A:$A,My_Audit!H:H,""),
_xlfn.IFS(_xlpm.MyAuditVal&lt;&gt;"",UPPER(_xlpm.MyAuditVal),_xlpm.MacVal&lt;&gt;"",_xlpm.MacVal,_xlpm.CSVVal&lt;&gt;"",_xlpm.CSVVal
)),"")</f>
        <v/>
      </c>
      <c r="J417" s="45" t="str" cm="1">
        <f t="array" ref="J417">IFERROR(_xlfn.LET(
_xlpm.CSVVal,_xlfn.XLOOKUP($A417,CSV!$A:$A,CSV!J:J,""),
_xlpm.MacVal,_xlfn.XLOOKUP($A417,Output_Mac!$A:$A,Output_Mac!K:K,""),
_xlpm.MyAuditVal,_xlfn.XLOOKUP($A417,My_Audit!$A:$A,My_Audit!I:I,""),
_xlfn.IFS(_xlpm.MyAuditVal&lt;&gt;"",UPPER(_xlpm.MyAuditVal),_xlpm.MacVal&lt;&gt;"",_xlpm.MacVal,_xlpm.CSVVal&lt;&gt;"",_xlpm.CSVVal
)),"")</f>
        <v/>
      </c>
      <c r="K417" s="45" t="str" cm="1">
        <f t="array" ref="K417">IFERROR(_xlfn.LET(
_xlpm.CSVVal,_xlfn.XLOOKUP($A417,CSV!$A:$A,CSV!N:N,""),
_xlpm.MacVal,_xlfn.XLOOKUP($A417,Output_Mac!$A:$A,Output_Mac!L:L,""),
_xlpm.MyAuditVal,_xlfn.XLOOKUP($A417,My_Audit!$A:$A,My_Audit!J:J,""),
_xlfn.IFS(_xlpm.MyAuditVal&lt;&gt;"",UPPER(_xlpm.MyAuditVal),_xlpm.MacVal&lt;&gt;"",_xlpm.MacVal,_xlpm.CSVVal&lt;&gt;"",_xlpm.CSVVal
)),"")</f>
        <v/>
      </c>
      <c r="L417" s="45" t="str" cm="1">
        <f t="array" ref="L417">IFERROR(_xlfn.LET(
_xlpm.CSVVal,_xlfn.XLOOKUP($A417,CSV!$A:$A,CSV!P:P,""),
_xlpm.MacVal,_xlfn.XLOOKUP($A417,Output_Mac!$A:$A,Output_Mac!M:M,""),
_xlpm.MyAuditVal,_xlfn.XLOOKUP($A417,My_Audit!$A:$A,My_Audit!K:K,""),
_xlfn.IFS(_xlpm.MyAuditVal&lt;&gt;"",UPPER(_xlpm.MyAuditVal),_xlpm.MacVal&lt;&gt;"",_xlpm.MacVal,_xlpm.CSVVal&lt;&gt;"",_xlpm.CSVVal
)),"")</f>
        <v/>
      </c>
      <c r="M417" s="45" t="str">
        <f>_xlfn.LET(
    _xlpm.CSVVal, _xlfn.XLOOKUP($A417, CSV!$A:$A, CSV!AE:AE, ""),
    _xlpm.MacVal, _xlfn.XLOOKUP($A417, Output_Mac!$A:$A, Output_Mac!S:S, ""),
    _xlpm.MyAuditVal, _xlfn.XLOOKUP($A417, My_Audit!$A:$A, My_Audit!N:N, ""),
    _xlfn.TEXTJOIN(", ", TRUE, _xlpm.MyAuditVal, _xlpm.MacVal, _xlpm.CSVVal)
)</f>
        <v/>
      </c>
      <c r="N417" s="45" t="str" cm="1">
        <f t="array" ref="N417">IFERROR(_xlfn.LET(
_xlpm.CSVVal,_xlfn.XLOOKUP($A417,CSV!$A:$A,CSV!AG:AG,""),
_xlpm.MacVal,_xlfn.XLOOKUP($A417,Output_Mac!$A:$A,Output_Mac!U:U,""),
_xlpm.MyAuditVal,_xlfn.XLOOKUP($A417,My_Audit!$A:$A,My_Audit!O:O,""),
_xlfn.IFS(_xlpm.MyAuditVal&lt;&gt;"",UPPER(_xlpm.MyAuditVal),_xlpm.MacVal&lt;&gt;"",_xlpm.MacVal,_xlpm.CSVVal&lt;&gt;"",_xlpm.CSVVal
)),"")</f>
        <v/>
      </c>
      <c r="O417" s="46" t="str">
        <f>_xlfn.XLOOKUP(C417,My_Audit!B:B,My_Audit!P:P,"")&amp;""</f>
        <v/>
      </c>
      <c r="P417" s="45"/>
      <c r="Q417" s="46" t="str">
        <f>IF(LEFT(N417,4)="Pass","Nist SP 800-88",My_Audit!R417)&amp;""</f>
        <v/>
      </c>
      <c r="R417" s="45"/>
      <c r="S417" s="45"/>
      <c r="T417" s="46" t="str">
        <f>_xlfn.XLOOKUP(E417,Models!I:I,Models!J:J,"")</f>
        <v/>
      </c>
      <c r="U417" s="45"/>
      <c r="V417" s="45"/>
      <c r="W417" s="38"/>
    </row>
    <row r="418" spans="1:23">
      <c r="A418" s="45" t="str">
        <f>_xlfn.TEXTJOIN("",TRUE,Input!$B$2,ROW(My_Audit!A417))</f>
        <v>XX417</v>
      </c>
      <c r="B418" s="45" t="str">
        <f>_xlfn.TEXTJOIN("-",TRUE,"ITD",Input!$A$2,A418)</f>
        <v>ITD-SHRXXX-XX417</v>
      </c>
      <c r="C418" s="45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46" t="str" cm="1">
        <f t="array" ref="D418">IFERROR(_xlfn.LET(
_xlpm.CSVVal,_xlfn.XLOOKUP($A418,CSV!$A:$A,CSV!C:C,""),
_xlpm.MacVal,_xlfn.XLOOKUP($A418,Output_Mac!$A:$A,Output_Mac!D:D,""),
_xlpm.MyAuditVal,_xlfn.XLOOKUP($A418,My_Audit!$A:$A,My_Audit!C:C,""),
_xlfn.IFS(_xlpm.MyAuditVal&lt;&gt;"",UPPER(_xlpm.MyAuditVal),_xlpm.MacVal&lt;&gt;"",_xlpm.MacVal,_xlpm.CSVVal&lt;&gt;"",_xlpm.CSVVal
)),"")</f>
        <v/>
      </c>
      <c r="E418" s="46" t="str" cm="1">
        <f t="array" ref="E418">IFERROR(_xlfn.LET(
_xlpm.CSVVal,_xlfn.XLOOKUP($A418,CSV!$A:$A,CSV!E:E,""),
_xlpm.MacVal,_xlfn.XLOOKUP($A418,Output_Mac!$A:$A,Output_Mac!C:C,""),
_xlpm.MyAuditVal,_xlfn.XLOOKUP($A418,My_Audit!$A:$A,My_Audit!D:D,""),
_xlfn.IFS(_xlpm.MyAuditVal&lt;&gt;"",_xlpm.MyAuditVal,_xlpm.MacVal&lt;&gt;"",_xlpm.MacVal,_xlpm.CSVVal&lt;&gt;"",_xlpm.CSVVal
)),"")</f>
        <v/>
      </c>
      <c r="F418" s="45" t="str" cm="1">
        <f t="array" ref="F418">IFERROR(_xlfn.LET(
_xlpm.CSVVal,_xlfn.XLOOKUP($A418,CSV!$A:$A,CSV!F:F,""),
_xlpm.MacVal,_xlfn.XLOOKUP($A418,Output_Mac!$A:$A,Output_Mac!F:F,""),
_xlpm.MyAuditVal,_xlfn.XLOOKUP($A418,My_Audit!$A:$A,My_Audit!E:E,""),
_xlfn.IFS(_xlpm.MyAuditVal&lt;&gt;"",_xlpm.MyAuditVal,_xlpm.MacVal&lt;&gt;"",_xlpm.MacVal,_xlpm.CSVVal&lt;&gt;"",PROPER(_xlpm.CSVVal)
)),"")</f>
        <v/>
      </c>
      <c r="G418" s="45" t="str" cm="1">
        <f t="array" ref="G418">IFERROR(_xlfn.LET(
_xlpm.CSVVal,_xlfn.XLOOKUP($A418,CSV!$A:$A,CSV!G:G,""),
_xlpm.MacVal,_xlfn.XLOOKUP($A418,Output_Mac!$A:$A,Output_Mac!H:H,""),
_xlpm.MyAuditVal,_xlfn.XLOOKUP($A418,My_Audit!$A:$A,My_Audit!F:F,""),
_xlfn.IFS(_xlpm.MyAuditVal&lt;&gt;"",_xlpm.MyAuditVal,_xlpm.MacVal&lt;&gt;"",_xlpm.MacVal,_xlpm.CSVVal&lt;&gt;"",_xlpm.CSVVal
)),"")</f>
        <v/>
      </c>
      <c r="H418" s="45" t="str">
        <f>_xlfn.XLOOKUP(A418,Output_Mac!A:A,Output_Mac!I:I,"")</f>
        <v/>
      </c>
      <c r="I418" s="45" t="str" cm="1">
        <f t="array" ref="I418">IFERROR(_xlfn.LET(
_xlpm.CSVVal,_xlfn.XLOOKUP($A418,CSV!$A:$A,CSV!H:H,""),
_xlpm.MacVal,_xlfn.XLOOKUP($A418,Output_Mac!$A:$A,Output_Mac!J:J,""),
_xlpm.MyAuditVal,_xlfn.XLOOKUP($A418,My_Audit!$A:$A,My_Audit!H:H,""),
_xlfn.IFS(_xlpm.MyAuditVal&lt;&gt;"",UPPER(_xlpm.MyAuditVal),_xlpm.MacVal&lt;&gt;"",_xlpm.MacVal,_xlpm.CSVVal&lt;&gt;"",_xlpm.CSVVal
)),"")</f>
        <v/>
      </c>
      <c r="J418" s="45" t="str" cm="1">
        <f t="array" ref="J418">IFERROR(_xlfn.LET(
_xlpm.CSVVal,_xlfn.XLOOKUP($A418,CSV!$A:$A,CSV!J:J,""),
_xlpm.MacVal,_xlfn.XLOOKUP($A418,Output_Mac!$A:$A,Output_Mac!K:K,""),
_xlpm.MyAuditVal,_xlfn.XLOOKUP($A418,My_Audit!$A:$A,My_Audit!I:I,""),
_xlfn.IFS(_xlpm.MyAuditVal&lt;&gt;"",UPPER(_xlpm.MyAuditVal),_xlpm.MacVal&lt;&gt;"",_xlpm.MacVal,_xlpm.CSVVal&lt;&gt;"",_xlpm.CSVVal
)),"")</f>
        <v/>
      </c>
      <c r="K418" s="45" t="str" cm="1">
        <f t="array" ref="K418">IFERROR(_xlfn.LET(
_xlpm.CSVVal,_xlfn.XLOOKUP($A418,CSV!$A:$A,CSV!N:N,""),
_xlpm.MacVal,_xlfn.XLOOKUP($A418,Output_Mac!$A:$A,Output_Mac!L:L,""),
_xlpm.MyAuditVal,_xlfn.XLOOKUP($A418,My_Audit!$A:$A,My_Audit!J:J,""),
_xlfn.IFS(_xlpm.MyAuditVal&lt;&gt;"",UPPER(_xlpm.MyAuditVal),_xlpm.MacVal&lt;&gt;"",_xlpm.MacVal,_xlpm.CSVVal&lt;&gt;"",_xlpm.CSVVal
)),"")</f>
        <v/>
      </c>
      <c r="L418" s="45" t="str" cm="1">
        <f t="array" ref="L418">IFERROR(_xlfn.LET(
_xlpm.CSVVal,_xlfn.XLOOKUP($A418,CSV!$A:$A,CSV!P:P,""),
_xlpm.MacVal,_xlfn.XLOOKUP($A418,Output_Mac!$A:$A,Output_Mac!M:M,""),
_xlpm.MyAuditVal,_xlfn.XLOOKUP($A418,My_Audit!$A:$A,My_Audit!K:K,""),
_xlfn.IFS(_xlpm.MyAuditVal&lt;&gt;"",UPPER(_xlpm.MyAuditVal),_xlpm.MacVal&lt;&gt;"",_xlpm.MacVal,_xlpm.CSVVal&lt;&gt;"",_xlpm.CSVVal
)),"")</f>
        <v/>
      </c>
      <c r="M418" s="45" t="str">
        <f>_xlfn.LET(
    _xlpm.CSVVal, _xlfn.XLOOKUP($A418, CSV!$A:$A, CSV!AE:AE, ""),
    _xlpm.MacVal, _xlfn.XLOOKUP($A418, Output_Mac!$A:$A, Output_Mac!S:S, ""),
    _xlpm.MyAuditVal, _xlfn.XLOOKUP($A418, My_Audit!$A:$A, My_Audit!N:N, ""),
    _xlfn.TEXTJOIN(", ", TRUE, _xlpm.MyAuditVal, _xlpm.MacVal, _xlpm.CSVVal)
)</f>
        <v/>
      </c>
      <c r="N418" s="45" t="str" cm="1">
        <f t="array" ref="N418">IFERROR(_xlfn.LET(
_xlpm.CSVVal,_xlfn.XLOOKUP($A418,CSV!$A:$A,CSV!AG:AG,""),
_xlpm.MacVal,_xlfn.XLOOKUP($A418,Output_Mac!$A:$A,Output_Mac!U:U,""),
_xlpm.MyAuditVal,_xlfn.XLOOKUP($A418,My_Audit!$A:$A,My_Audit!O:O,""),
_xlfn.IFS(_xlpm.MyAuditVal&lt;&gt;"",UPPER(_xlpm.MyAuditVal),_xlpm.MacVal&lt;&gt;"",_xlpm.MacVal,_xlpm.CSVVal&lt;&gt;"",_xlpm.CSVVal
)),"")</f>
        <v/>
      </c>
      <c r="O418" s="46" t="str">
        <f>_xlfn.XLOOKUP(C418,My_Audit!B:B,My_Audit!P:P,"")&amp;""</f>
        <v/>
      </c>
      <c r="P418" s="45"/>
      <c r="Q418" s="46" t="str">
        <f>IF(LEFT(N418,4)="Pass","Nist SP 800-88",My_Audit!R418)&amp;""</f>
        <v/>
      </c>
      <c r="R418" s="45"/>
      <c r="S418" s="45"/>
      <c r="T418" s="46" t="str">
        <f>_xlfn.XLOOKUP(E418,Models!I:I,Models!J:J,"")</f>
        <v/>
      </c>
      <c r="U418" s="45"/>
      <c r="V418" s="45"/>
      <c r="W418" s="38"/>
    </row>
    <row r="419" spans="1:23">
      <c r="A419" s="45" t="str">
        <f>_xlfn.TEXTJOIN("",TRUE,Input!$B$2,ROW(My_Audit!A418))</f>
        <v>XX418</v>
      </c>
      <c r="B419" s="45" t="str">
        <f>_xlfn.TEXTJOIN("-",TRUE,"ITD",Input!$A$2,A419)</f>
        <v>ITD-SHRXXX-XX418</v>
      </c>
      <c r="C419" s="45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46" t="str" cm="1">
        <f t="array" ref="D419">IFERROR(_xlfn.LET(
_xlpm.CSVVal,_xlfn.XLOOKUP($A419,CSV!$A:$A,CSV!C:C,""),
_xlpm.MacVal,_xlfn.XLOOKUP($A419,Output_Mac!$A:$A,Output_Mac!D:D,""),
_xlpm.MyAuditVal,_xlfn.XLOOKUP($A419,My_Audit!$A:$A,My_Audit!C:C,""),
_xlfn.IFS(_xlpm.MyAuditVal&lt;&gt;"",UPPER(_xlpm.MyAuditVal),_xlpm.MacVal&lt;&gt;"",_xlpm.MacVal,_xlpm.CSVVal&lt;&gt;"",_xlpm.CSVVal
)),"")</f>
        <v/>
      </c>
      <c r="E419" s="46" t="str" cm="1">
        <f t="array" ref="E419">IFERROR(_xlfn.LET(
_xlpm.CSVVal,_xlfn.XLOOKUP($A419,CSV!$A:$A,CSV!E:E,""),
_xlpm.MacVal,_xlfn.XLOOKUP($A419,Output_Mac!$A:$A,Output_Mac!C:C,""),
_xlpm.MyAuditVal,_xlfn.XLOOKUP($A419,My_Audit!$A:$A,My_Audit!D:D,""),
_xlfn.IFS(_xlpm.MyAuditVal&lt;&gt;"",_xlpm.MyAuditVal,_xlpm.MacVal&lt;&gt;"",_xlpm.MacVal,_xlpm.CSVVal&lt;&gt;"",_xlpm.CSVVal
)),"")</f>
        <v/>
      </c>
      <c r="F419" s="45" t="str" cm="1">
        <f t="array" ref="F419">IFERROR(_xlfn.LET(
_xlpm.CSVVal,_xlfn.XLOOKUP($A419,CSV!$A:$A,CSV!F:F,""),
_xlpm.MacVal,_xlfn.XLOOKUP($A419,Output_Mac!$A:$A,Output_Mac!F:F,""),
_xlpm.MyAuditVal,_xlfn.XLOOKUP($A419,My_Audit!$A:$A,My_Audit!E:E,""),
_xlfn.IFS(_xlpm.MyAuditVal&lt;&gt;"",_xlpm.MyAuditVal,_xlpm.MacVal&lt;&gt;"",_xlpm.MacVal,_xlpm.CSVVal&lt;&gt;"",PROPER(_xlpm.CSVVal)
)),"")</f>
        <v/>
      </c>
      <c r="G419" s="45" t="str" cm="1">
        <f t="array" ref="G419">IFERROR(_xlfn.LET(
_xlpm.CSVVal,_xlfn.XLOOKUP($A419,CSV!$A:$A,CSV!G:G,""),
_xlpm.MacVal,_xlfn.XLOOKUP($A419,Output_Mac!$A:$A,Output_Mac!H:H,""),
_xlpm.MyAuditVal,_xlfn.XLOOKUP($A419,My_Audit!$A:$A,My_Audit!F:F,""),
_xlfn.IFS(_xlpm.MyAuditVal&lt;&gt;"",_xlpm.MyAuditVal,_xlpm.MacVal&lt;&gt;"",_xlpm.MacVal,_xlpm.CSVVal&lt;&gt;"",_xlpm.CSVVal
)),"")</f>
        <v/>
      </c>
      <c r="H419" s="45" t="str">
        <f>_xlfn.XLOOKUP(A419,Output_Mac!A:A,Output_Mac!I:I,"")</f>
        <v/>
      </c>
      <c r="I419" s="45" t="str" cm="1">
        <f t="array" ref="I419">IFERROR(_xlfn.LET(
_xlpm.CSVVal,_xlfn.XLOOKUP($A419,CSV!$A:$A,CSV!H:H,""),
_xlpm.MacVal,_xlfn.XLOOKUP($A419,Output_Mac!$A:$A,Output_Mac!J:J,""),
_xlpm.MyAuditVal,_xlfn.XLOOKUP($A419,My_Audit!$A:$A,My_Audit!H:H,""),
_xlfn.IFS(_xlpm.MyAuditVal&lt;&gt;"",UPPER(_xlpm.MyAuditVal),_xlpm.MacVal&lt;&gt;"",_xlpm.MacVal,_xlpm.CSVVal&lt;&gt;"",_xlpm.CSVVal
)),"")</f>
        <v/>
      </c>
      <c r="J419" s="45" t="str" cm="1">
        <f t="array" ref="J419">IFERROR(_xlfn.LET(
_xlpm.CSVVal,_xlfn.XLOOKUP($A419,CSV!$A:$A,CSV!J:J,""),
_xlpm.MacVal,_xlfn.XLOOKUP($A419,Output_Mac!$A:$A,Output_Mac!K:K,""),
_xlpm.MyAuditVal,_xlfn.XLOOKUP($A419,My_Audit!$A:$A,My_Audit!I:I,""),
_xlfn.IFS(_xlpm.MyAuditVal&lt;&gt;"",UPPER(_xlpm.MyAuditVal),_xlpm.MacVal&lt;&gt;"",_xlpm.MacVal,_xlpm.CSVVal&lt;&gt;"",_xlpm.CSVVal
)),"")</f>
        <v/>
      </c>
      <c r="K419" s="45" t="str" cm="1">
        <f t="array" ref="K419">IFERROR(_xlfn.LET(
_xlpm.CSVVal,_xlfn.XLOOKUP($A419,CSV!$A:$A,CSV!N:N,""),
_xlpm.MacVal,_xlfn.XLOOKUP($A419,Output_Mac!$A:$A,Output_Mac!L:L,""),
_xlpm.MyAuditVal,_xlfn.XLOOKUP($A419,My_Audit!$A:$A,My_Audit!J:J,""),
_xlfn.IFS(_xlpm.MyAuditVal&lt;&gt;"",UPPER(_xlpm.MyAuditVal),_xlpm.MacVal&lt;&gt;"",_xlpm.MacVal,_xlpm.CSVVal&lt;&gt;"",_xlpm.CSVVal
)),"")</f>
        <v/>
      </c>
      <c r="L419" s="45" t="str" cm="1">
        <f t="array" ref="L419">IFERROR(_xlfn.LET(
_xlpm.CSVVal,_xlfn.XLOOKUP($A419,CSV!$A:$A,CSV!P:P,""),
_xlpm.MacVal,_xlfn.XLOOKUP($A419,Output_Mac!$A:$A,Output_Mac!M:M,""),
_xlpm.MyAuditVal,_xlfn.XLOOKUP($A419,My_Audit!$A:$A,My_Audit!K:K,""),
_xlfn.IFS(_xlpm.MyAuditVal&lt;&gt;"",UPPER(_xlpm.MyAuditVal),_xlpm.MacVal&lt;&gt;"",_xlpm.MacVal,_xlpm.CSVVal&lt;&gt;"",_xlpm.CSVVal
)),"")</f>
        <v/>
      </c>
      <c r="M419" s="45" t="str">
        <f>_xlfn.LET(
    _xlpm.CSVVal, _xlfn.XLOOKUP($A419, CSV!$A:$A, CSV!AE:AE, ""),
    _xlpm.MacVal, _xlfn.XLOOKUP($A419, Output_Mac!$A:$A, Output_Mac!S:S, ""),
    _xlpm.MyAuditVal, _xlfn.XLOOKUP($A419, My_Audit!$A:$A, My_Audit!N:N, ""),
    _xlfn.TEXTJOIN(", ", TRUE, _xlpm.MyAuditVal, _xlpm.MacVal, _xlpm.CSVVal)
)</f>
        <v/>
      </c>
      <c r="N419" s="45" t="str" cm="1">
        <f t="array" ref="N419">IFERROR(_xlfn.LET(
_xlpm.CSVVal,_xlfn.XLOOKUP($A419,CSV!$A:$A,CSV!AG:AG,""),
_xlpm.MacVal,_xlfn.XLOOKUP($A419,Output_Mac!$A:$A,Output_Mac!U:U,""),
_xlpm.MyAuditVal,_xlfn.XLOOKUP($A419,My_Audit!$A:$A,My_Audit!O:O,""),
_xlfn.IFS(_xlpm.MyAuditVal&lt;&gt;"",UPPER(_xlpm.MyAuditVal),_xlpm.MacVal&lt;&gt;"",_xlpm.MacVal,_xlpm.CSVVal&lt;&gt;"",_xlpm.CSVVal
)),"")</f>
        <v/>
      </c>
      <c r="O419" s="46" t="str">
        <f>_xlfn.XLOOKUP(C419,My_Audit!B:B,My_Audit!P:P,"")&amp;""</f>
        <v/>
      </c>
      <c r="P419" s="45"/>
      <c r="Q419" s="46" t="str">
        <f>IF(LEFT(N419,4)="Pass","Nist SP 800-88",My_Audit!R419)&amp;""</f>
        <v/>
      </c>
      <c r="R419" s="45"/>
      <c r="S419" s="45"/>
      <c r="T419" s="46" t="str">
        <f>_xlfn.XLOOKUP(E419,Models!I:I,Models!J:J,"")</f>
        <v/>
      </c>
      <c r="U419" s="45"/>
      <c r="V419" s="45"/>
      <c r="W419" s="38"/>
    </row>
    <row r="420" spans="1:23">
      <c r="A420" s="45" t="str">
        <f>_xlfn.TEXTJOIN("",TRUE,Input!$B$2,ROW(My_Audit!A419))</f>
        <v>XX419</v>
      </c>
      <c r="B420" s="45" t="str">
        <f>_xlfn.TEXTJOIN("-",TRUE,"ITD",Input!$A$2,A420)</f>
        <v>ITD-SHRXXX-XX419</v>
      </c>
      <c r="C420" s="45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46" t="str" cm="1">
        <f t="array" ref="D420">IFERROR(_xlfn.LET(
_xlpm.CSVVal,_xlfn.XLOOKUP($A420,CSV!$A:$A,CSV!C:C,""),
_xlpm.MacVal,_xlfn.XLOOKUP($A420,Output_Mac!$A:$A,Output_Mac!D:D,""),
_xlpm.MyAuditVal,_xlfn.XLOOKUP($A420,My_Audit!$A:$A,My_Audit!C:C,""),
_xlfn.IFS(_xlpm.MyAuditVal&lt;&gt;"",UPPER(_xlpm.MyAuditVal),_xlpm.MacVal&lt;&gt;"",_xlpm.MacVal,_xlpm.CSVVal&lt;&gt;"",_xlpm.CSVVal
)),"")</f>
        <v/>
      </c>
      <c r="E420" s="46" t="str" cm="1">
        <f t="array" ref="E420">IFERROR(_xlfn.LET(
_xlpm.CSVVal,_xlfn.XLOOKUP($A420,CSV!$A:$A,CSV!E:E,""),
_xlpm.MacVal,_xlfn.XLOOKUP($A420,Output_Mac!$A:$A,Output_Mac!C:C,""),
_xlpm.MyAuditVal,_xlfn.XLOOKUP($A420,My_Audit!$A:$A,My_Audit!D:D,""),
_xlfn.IFS(_xlpm.MyAuditVal&lt;&gt;"",_xlpm.MyAuditVal,_xlpm.MacVal&lt;&gt;"",_xlpm.MacVal,_xlpm.CSVVal&lt;&gt;"",_xlpm.CSVVal
)),"")</f>
        <v/>
      </c>
      <c r="F420" s="45" t="str" cm="1">
        <f t="array" ref="F420">IFERROR(_xlfn.LET(
_xlpm.CSVVal,_xlfn.XLOOKUP($A420,CSV!$A:$A,CSV!F:F,""),
_xlpm.MacVal,_xlfn.XLOOKUP($A420,Output_Mac!$A:$A,Output_Mac!F:F,""),
_xlpm.MyAuditVal,_xlfn.XLOOKUP($A420,My_Audit!$A:$A,My_Audit!E:E,""),
_xlfn.IFS(_xlpm.MyAuditVal&lt;&gt;"",_xlpm.MyAuditVal,_xlpm.MacVal&lt;&gt;"",_xlpm.MacVal,_xlpm.CSVVal&lt;&gt;"",PROPER(_xlpm.CSVVal)
)),"")</f>
        <v/>
      </c>
      <c r="G420" s="45" t="str" cm="1">
        <f t="array" ref="G420">IFERROR(_xlfn.LET(
_xlpm.CSVVal,_xlfn.XLOOKUP($A420,CSV!$A:$A,CSV!G:G,""),
_xlpm.MacVal,_xlfn.XLOOKUP($A420,Output_Mac!$A:$A,Output_Mac!H:H,""),
_xlpm.MyAuditVal,_xlfn.XLOOKUP($A420,My_Audit!$A:$A,My_Audit!F:F,""),
_xlfn.IFS(_xlpm.MyAuditVal&lt;&gt;"",_xlpm.MyAuditVal,_xlpm.MacVal&lt;&gt;"",_xlpm.MacVal,_xlpm.CSVVal&lt;&gt;"",_xlpm.CSVVal
)),"")</f>
        <v/>
      </c>
      <c r="H420" s="45" t="str">
        <f>_xlfn.XLOOKUP(A420,Output_Mac!A:A,Output_Mac!I:I,"")</f>
        <v/>
      </c>
      <c r="I420" s="45" t="str" cm="1">
        <f t="array" ref="I420">IFERROR(_xlfn.LET(
_xlpm.CSVVal,_xlfn.XLOOKUP($A420,CSV!$A:$A,CSV!H:H,""),
_xlpm.MacVal,_xlfn.XLOOKUP($A420,Output_Mac!$A:$A,Output_Mac!J:J,""),
_xlpm.MyAuditVal,_xlfn.XLOOKUP($A420,My_Audit!$A:$A,My_Audit!H:H,""),
_xlfn.IFS(_xlpm.MyAuditVal&lt;&gt;"",UPPER(_xlpm.MyAuditVal),_xlpm.MacVal&lt;&gt;"",_xlpm.MacVal,_xlpm.CSVVal&lt;&gt;"",_xlpm.CSVVal
)),"")</f>
        <v/>
      </c>
      <c r="J420" s="45" t="str" cm="1">
        <f t="array" ref="J420">IFERROR(_xlfn.LET(
_xlpm.CSVVal,_xlfn.XLOOKUP($A420,CSV!$A:$A,CSV!J:J,""),
_xlpm.MacVal,_xlfn.XLOOKUP($A420,Output_Mac!$A:$A,Output_Mac!K:K,""),
_xlpm.MyAuditVal,_xlfn.XLOOKUP($A420,My_Audit!$A:$A,My_Audit!I:I,""),
_xlfn.IFS(_xlpm.MyAuditVal&lt;&gt;"",UPPER(_xlpm.MyAuditVal),_xlpm.MacVal&lt;&gt;"",_xlpm.MacVal,_xlpm.CSVVal&lt;&gt;"",_xlpm.CSVVal
)),"")</f>
        <v/>
      </c>
      <c r="K420" s="45" t="str" cm="1">
        <f t="array" ref="K420">IFERROR(_xlfn.LET(
_xlpm.CSVVal,_xlfn.XLOOKUP($A420,CSV!$A:$A,CSV!N:N,""),
_xlpm.MacVal,_xlfn.XLOOKUP($A420,Output_Mac!$A:$A,Output_Mac!L:L,""),
_xlpm.MyAuditVal,_xlfn.XLOOKUP($A420,My_Audit!$A:$A,My_Audit!J:J,""),
_xlfn.IFS(_xlpm.MyAuditVal&lt;&gt;"",UPPER(_xlpm.MyAuditVal),_xlpm.MacVal&lt;&gt;"",_xlpm.MacVal,_xlpm.CSVVal&lt;&gt;"",_xlpm.CSVVal
)),"")</f>
        <v/>
      </c>
      <c r="L420" s="45" t="str" cm="1">
        <f t="array" ref="L420">IFERROR(_xlfn.LET(
_xlpm.CSVVal,_xlfn.XLOOKUP($A420,CSV!$A:$A,CSV!P:P,""),
_xlpm.MacVal,_xlfn.XLOOKUP($A420,Output_Mac!$A:$A,Output_Mac!M:M,""),
_xlpm.MyAuditVal,_xlfn.XLOOKUP($A420,My_Audit!$A:$A,My_Audit!K:K,""),
_xlfn.IFS(_xlpm.MyAuditVal&lt;&gt;"",UPPER(_xlpm.MyAuditVal),_xlpm.MacVal&lt;&gt;"",_xlpm.MacVal,_xlpm.CSVVal&lt;&gt;"",_xlpm.CSVVal
)),"")</f>
        <v/>
      </c>
      <c r="M420" s="45" t="str">
        <f>_xlfn.LET(
    _xlpm.CSVVal, _xlfn.XLOOKUP($A420, CSV!$A:$A, CSV!AE:AE, ""),
    _xlpm.MacVal, _xlfn.XLOOKUP($A420, Output_Mac!$A:$A, Output_Mac!S:S, ""),
    _xlpm.MyAuditVal, _xlfn.XLOOKUP($A420, My_Audit!$A:$A, My_Audit!N:N, ""),
    _xlfn.TEXTJOIN(", ", TRUE, _xlpm.MyAuditVal, _xlpm.MacVal, _xlpm.CSVVal)
)</f>
        <v/>
      </c>
      <c r="N420" s="45" t="str" cm="1">
        <f t="array" ref="N420">IFERROR(_xlfn.LET(
_xlpm.CSVVal,_xlfn.XLOOKUP($A420,CSV!$A:$A,CSV!AG:AG,""),
_xlpm.MacVal,_xlfn.XLOOKUP($A420,Output_Mac!$A:$A,Output_Mac!U:U,""),
_xlpm.MyAuditVal,_xlfn.XLOOKUP($A420,My_Audit!$A:$A,My_Audit!O:O,""),
_xlfn.IFS(_xlpm.MyAuditVal&lt;&gt;"",UPPER(_xlpm.MyAuditVal),_xlpm.MacVal&lt;&gt;"",_xlpm.MacVal,_xlpm.CSVVal&lt;&gt;"",_xlpm.CSVVal
)),"")</f>
        <v/>
      </c>
      <c r="O420" s="46" t="str">
        <f>_xlfn.XLOOKUP(C420,My_Audit!B:B,My_Audit!P:P,"")&amp;""</f>
        <v/>
      </c>
      <c r="P420" s="45"/>
      <c r="Q420" s="46" t="str">
        <f>IF(LEFT(N420,4)="Pass","Nist SP 800-88",My_Audit!R420)&amp;""</f>
        <v/>
      </c>
      <c r="R420" s="45"/>
      <c r="S420" s="45"/>
      <c r="T420" s="46" t="str">
        <f>_xlfn.XLOOKUP(E420,Models!I:I,Models!J:J,"")</f>
        <v/>
      </c>
      <c r="U420" s="45"/>
      <c r="V420" s="45"/>
      <c r="W420" s="38"/>
    </row>
    <row r="421" spans="1:23">
      <c r="A421" s="45" t="str">
        <f>_xlfn.TEXTJOIN("",TRUE,Input!$B$2,ROW(My_Audit!A420))</f>
        <v>XX420</v>
      </c>
      <c r="B421" s="45" t="str">
        <f>_xlfn.TEXTJOIN("-",TRUE,"ITD",Input!$A$2,A421)</f>
        <v>ITD-SHRXXX-XX420</v>
      </c>
      <c r="C421" s="45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46" t="str" cm="1">
        <f t="array" ref="D421">IFERROR(_xlfn.LET(
_xlpm.CSVVal,_xlfn.XLOOKUP($A421,CSV!$A:$A,CSV!C:C,""),
_xlpm.MacVal,_xlfn.XLOOKUP($A421,Output_Mac!$A:$A,Output_Mac!D:D,""),
_xlpm.MyAuditVal,_xlfn.XLOOKUP($A421,My_Audit!$A:$A,My_Audit!C:C,""),
_xlfn.IFS(_xlpm.MyAuditVal&lt;&gt;"",UPPER(_xlpm.MyAuditVal),_xlpm.MacVal&lt;&gt;"",_xlpm.MacVal,_xlpm.CSVVal&lt;&gt;"",_xlpm.CSVVal
)),"")</f>
        <v/>
      </c>
      <c r="E421" s="46" t="str" cm="1">
        <f t="array" ref="E421">IFERROR(_xlfn.LET(
_xlpm.CSVVal,_xlfn.XLOOKUP($A421,CSV!$A:$A,CSV!E:E,""),
_xlpm.MacVal,_xlfn.XLOOKUP($A421,Output_Mac!$A:$A,Output_Mac!C:C,""),
_xlpm.MyAuditVal,_xlfn.XLOOKUP($A421,My_Audit!$A:$A,My_Audit!D:D,""),
_xlfn.IFS(_xlpm.MyAuditVal&lt;&gt;"",_xlpm.MyAuditVal,_xlpm.MacVal&lt;&gt;"",_xlpm.MacVal,_xlpm.CSVVal&lt;&gt;"",_xlpm.CSVVal
)),"")</f>
        <v/>
      </c>
      <c r="F421" s="45" t="str" cm="1">
        <f t="array" ref="F421">IFERROR(_xlfn.LET(
_xlpm.CSVVal,_xlfn.XLOOKUP($A421,CSV!$A:$A,CSV!F:F,""),
_xlpm.MacVal,_xlfn.XLOOKUP($A421,Output_Mac!$A:$A,Output_Mac!F:F,""),
_xlpm.MyAuditVal,_xlfn.XLOOKUP($A421,My_Audit!$A:$A,My_Audit!E:E,""),
_xlfn.IFS(_xlpm.MyAuditVal&lt;&gt;"",_xlpm.MyAuditVal,_xlpm.MacVal&lt;&gt;"",_xlpm.MacVal,_xlpm.CSVVal&lt;&gt;"",PROPER(_xlpm.CSVVal)
)),"")</f>
        <v/>
      </c>
      <c r="G421" s="45" t="str" cm="1">
        <f t="array" ref="G421">IFERROR(_xlfn.LET(
_xlpm.CSVVal,_xlfn.XLOOKUP($A421,CSV!$A:$A,CSV!G:G,""),
_xlpm.MacVal,_xlfn.XLOOKUP($A421,Output_Mac!$A:$A,Output_Mac!H:H,""),
_xlpm.MyAuditVal,_xlfn.XLOOKUP($A421,My_Audit!$A:$A,My_Audit!F:F,""),
_xlfn.IFS(_xlpm.MyAuditVal&lt;&gt;"",_xlpm.MyAuditVal,_xlpm.MacVal&lt;&gt;"",_xlpm.MacVal,_xlpm.CSVVal&lt;&gt;"",_xlpm.CSVVal
)),"")</f>
        <v/>
      </c>
      <c r="H421" s="45" t="str">
        <f>_xlfn.XLOOKUP(A421,Output_Mac!A:A,Output_Mac!I:I,"")</f>
        <v/>
      </c>
      <c r="I421" s="45" t="str" cm="1">
        <f t="array" ref="I421">IFERROR(_xlfn.LET(
_xlpm.CSVVal,_xlfn.XLOOKUP($A421,CSV!$A:$A,CSV!H:H,""),
_xlpm.MacVal,_xlfn.XLOOKUP($A421,Output_Mac!$A:$A,Output_Mac!J:J,""),
_xlpm.MyAuditVal,_xlfn.XLOOKUP($A421,My_Audit!$A:$A,My_Audit!H:H,""),
_xlfn.IFS(_xlpm.MyAuditVal&lt;&gt;"",UPPER(_xlpm.MyAuditVal),_xlpm.MacVal&lt;&gt;"",_xlpm.MacVal,_xlpm.CSVVal&lt;&gt;"",_xlpm.CSVVal
)),"")</f>
        <v/>
      </c>
      <c r="J421" s="45" t="str" cm="1">
        <f t="array" ref="J421">IFERROR(_xlfn.LET(
_xlpm.CSVVal,_xlfn.XLOOKUP($A421,CSV!$A:$A,CSV!J:J,""),
_xlpm.MacVal,_xlfn.XLOOKUP($A421,Output_Mac!$A:$A,Output_Mac!K:K,""),
_xlpm.MyAuditVal,_xlfn.XLOOKUP($A421,My_Audit!$A:$A,My_Audit!I:I,""),
_xlfn.IFS(_xlpm.MyAuditVal&lt;&gt;"",UPPER(_xlpm.MyAuditVal),_xlpm.MacVal&lt;&gt;"",_xlpm.MacVal,_xlpm.CSVVal&lt;&gt;"",_xlpm.CSVVal
)),"")</f>
        <v/>
      </c>
      <c r="K421" s="45" t="str" cm="1">
        <f t="array" ref="K421">IFERROR(_xlfn.LET(
_xlpm.CSVVal,_xlfn.XLOOKUP($A421,CSV!$A:$A,CSV!N:N,""),
_xlpm.MacVal,_xlfn.XLOOKUP($A421,Output_Mac!$A:$A,Output_Mac!L:L,""),
_xlpm.MyAuditVal,_xlfn.XLOOKUP($A421,My_Audit!$A:$A,My_Audit!J:J,""),
_xlfn.IFS(_xlpm.MyAuditVal&lt;&gt;"",UPPER(_xlpm.MyAuditVal),_xlpm.MacVal&lt;&gt;"",_xlpm.MacVal,_xlpm.CSVVal&lt;&gt;"",_xlpm.CSVVal
)),"")</f>
        <v/>
      </c>
      <c r="L421" s="45" t="str" cm="1">
        <f t="array" ref="L421">IFERROR(_xlfn.LET(
_xlpm.CSVVal,_xlfn.XLOOKUP($A421,CSV!$A:$A,CSV!P:P,""),
_xlpm.MacVal,_xlfn.XLOOKUP($A421,Output_Mac!$A:$A,Output_Mac!M:M,""),
_xlpm.MyAuditVal,_xlfn.XLOOKUP($A421,My_Audit!$A:$A,My_Audit!K:K,""),
_xlfn.IFS(_xlpm.MyAuditVal&lt;&gt;"",UPPER(_xlpm.MyAuditVal),_xlpm.MacVal&lt;&gt;"",_xlpm.MacVal,_xlpm.CSVVal&lt;&gt;"",_xlpm.CSVVal
)),"")</f>
        <v/>
      </c>
      <c r="M421" s="45" t="str">
        <f>_xlfn.LET(
    _xlpm.CSVVal, _xlfn.XLOOKUP($A421, CSV!$A:$A, CSV!AE:AE, ""),
    _xlpm.MacVal, _xlfn.XLOOKUP($A421, Output_Mac!$A:$A, Output_Mac!S:S, ""),
    _xlpm.MyAuditVal, _xlfn.XLOOKUP($A421, My_Audit!$A:$A, My_Audit!N:N, ""),
    _xlfn.TEXTJOIN(", ", TRUE, _xlpm.MyAuditVal, _xlpm.MacVal, _xlpm.CSVVal)
)</f>
        <v/>
      </c>
      <c r="N421" s="45" t="str" cm="1">
        <f t="array" ref="N421">IFERROR(_xlfn.LET(
_xlpm.CSVVal,_xlfn.XLOOKUP($A421,CSV!$A:$A,CSV!AG:AG,""),
_xlpm.MacVal,_xlfn.XLOOKUP($A421,Output_Mac!$A:$A,Output_Mac!U:U,""),
_xlpm.MyAuditVal,_xlfn.XLOOKUP($A421,My_Audit!$A:$A,My_Audit!O:O,""),
_xlfn.IFS(_xlpm.MyAuditVal&lt;&gt;"",UPPER(_xlpm.MyAuditVal),_xlpm.MacVal&lt;&gt;"",_xlpm.MacVal,_xlpm.CSVVal&lt;&gt;"",_xlpm.CSVVal
)),"")</f>
        <v/>
      </c>
      <c r="O421" s="46" t="str">
        <f>_xlfn.XLOOKUP(C421,My_Audit!B:B,My_Audit!P:P,"")&amp;""</f>
        <v/>
      </c>
      <c r="P421" s="45"/>
      <c r="Q421" s="46" t="str">
        <f>IF(LEFT(N421,4)="Pass","Nist SP 800-88",My_Audit!R421)&amp;""</f>
        <v/>
      </c>
      <c r="R421" s="45"/>
      <c r="S421" s="45"/>
      <c r="T421" s="46" t="str">
        <f>_xlfn.XLOOKUP(E421,Models!I:I,Models!J:J,"")</f>
        <v/>
      </c>
      <c r="U421" s="45"/>
      <c r="V421" s="45"/>
      <c r="W421" s="38"/>
    </row>
    <row r="422" spans="1:23">
      <c r="A422" s="45" t="str">
        <f>_xlfn.TEXTJOIN("",TRUE,Input!$B$2,ROW(My_Audit!A421))</f>
        <v>XX421</v>
      </c>
      <c r="B422" s="45" t="str">
        <f>_xlfn.TEXTJOIN("-",TRUE,"ITD",Input!$A$2,A422)</f>
        <v>ITD-SHRXXX-XX421</v>
      </c>
      <c r="C422" s="45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46" t="str" cm="1">
        <f t="array" ref="D422">IFERROR(_xlfn.LET(
_xlpm.CSVVal,_xlfn.XLOOKUP($A422,CSV!$A:$A,CSV!C:C,""),
_xlpm.MacVal,_xlfn.XLOOKUP($A422,Output_Mac!$A:$A,Output_Mac!D:D,""),
_xlpm.MyAuditVal,_xlfn.XLOOKUP($A422,My_Audit!$A:$A,My_Audit!C:C,""),
_xlfn.IFS(_xlpm.MyAuditVal&lt;&gt;"",UPPER(_xlpm.MyAuditVal),_xlpm.MacVal&lt;&gt;"",_xlpm.MacVal,_xlpm.CSVVal&lt;&gt;"",_xlpm.CSVVal
)),"")</f>
        <v/>
      </c>
      <c r="E422" s="46" t="str" cm="1">
        <f t="array" ref="E422">IFERROR(_xlfn.LET(
_xlpm.CSVVal,_xlfn.XLOOKUP($A422,CSV!$A:$A,CSV!E:E,""),
_xlpm.MacVal,_xlfn.XLOOKUP($A422,Output_Mac!$A:$A,Output_Mac!C:C,""),
_xlpm.MyAuditVal,_xlfn.XLOOKUP($A422,My_Audit!$A:$A,My_Audit!D:D,""),
_xlfn.IFS(_xlpm.MyAuditVal&lt;&gt;"",_xlpm.MyAuditVal,_xlpm.MacVal&lt;&gt;"",_xlpm.MacVal,_xlpm.CSVVal&lt;&gt;"",_xlpm.CSVVal
)),"")</f>
        <v/>
      </c>
      <c r="F422" s="45" t="str" cm="1">
        <f t="array" ref="F422">IFERROR(_xlfn.LET(
_xlpm.CSVVal,_xlfn.XLOOKUP($A422,CSV!$A:$A,CSV!F:F,""),
_xlpm.MacVal,_xlfn.XLOOKUP($A422,Output_Mac!$A:$A,Output_Mac!F:F,""),
_xlpm.MyAuditVal,_xlfn.XLOOKUP($A422,My_Audit!$A:$A,My_Audit!E:E,""),
_xlfn.IFS(_xlpm.MyAuditVal&lt;&gt;"",_xlpm.MyAuditVal,_xlpm.MacVal&lt;&gt;"",_xlpm.MacVal,_xlpm.CSVVal&lt;&gt;"",PROPER(_xlpm.CSVVal)
)),"")</f>
        <v/>
      </c>
      <c r="G422" s="45" t="str" cm="1">
        <f t="array" ref="G422">IFERROR(_xlfn.LET(
_xlpm.CSVVal,_xlfn.XLOOKUP($A422,CSV!$A:$A,CSV!G:G,""),
_xlpm.MacVal,_xlfn.XLOOKUP($A422,Output_Mac!$A:$A,Output_Mac!H:H,""),
_xlpm.MyAuditVal,_xlfn.XLOOKUP($A422,My_Audit!$A:$A,My_Audit!F:F,""),
_xlfn.IFS(_xlpm.MyAuditVal&lt;&gt;"",_xlpm.MyAuditVal,_xlpm.MacVal&lt;&gt;"",_xlpm.MacVal,_xlpm.CSVVal&lt;&gt;"",_xlpm.CSVVal
)),"")</f>
        <v/>
      </c>
      <c r="H422" s="45" t="str">
        <f>_xlfn.XLOOKUP(A422,Output_Mac!A:A,Output_Mac!I:I,"")</f>
        <v/>
      </c>
      <c r="I422" s="45" t="str" cm="1">
        <f t="array" ref="I422">IFERROR(_xlfn.LET(
_xlpm.CSVVal,_xlfn.XLOOKUP($A422,CSV!$A:$A,CSV!H:H,""),
_xlpm.MacVal,_xlfn.XLOOKUP($A422,Output_Mac!$A:$A,Output_Mac!J:J,""),
_xlpm.MyAuditVal,_xlfn.XLOOKUP($A422,My_Audit!$A:$A,My_Audit!H:H,""),
_xlfn.IFS(_xlpm.MyAuditVal&lt;&gt;"",UPPER(_xlpm.MyAuditVal),_xlpm.MacVal&lt;&gt;"",_xlpm.MacVal,_xlpm.CSVVal&lt;&gt;"",_xlpm.CSVVal
)),"")</f>
        <v/>
      </c>
      <c r="J422" s="45" t="str" cm="1">
        <f t="array" ref="J422">IFERROR(_xlfn.LET(
_xlpm.CSVVal,_xlfn.XLOOKUP($A422,CSV!$A:$A,CSV!J:J,""),
_xlpm.MacVal,_xlfn.XLOOKUP($A422,Output_Mac!$A:$A,Output_Mac!K:K,""),
_xlpm.MyAuditVal,_xlfn.XLOOKUP($A422,My_Audit!$A:$A,My_Audit!I:I,""),
_xlfn.IFS(_xlpm.MyAuditVal&lt;&gt;"",UPPER(_xlpm.MyAuditVal),_xlpm.MacVal&lt;&gt;"",_xlpm.MacVal,_xlpm.CSVVal&lt;&gt;"",_xlpm.CSVVal
)),"")</f>
        <v/>
      </c>
      <c r="K422" s="45" t="str" cm="1">
        <f t="array" ref="K422">IFERROR(_xlfn.LET(
_xlpm.CSVVal,_xlfn.XLOOKUP($A422,CSV!$A:$A,CSV!N:N,""),
_xlpm.MacVal,_xlfn.XLOOKUP($A422,Output_Mac!$A:$A,Output_Mac!L:L,""),
_xlpm.MyAuditVal,_xlfn.XLOOKUP($A422,My_Audit!$A:$A,My_Audit!J:J,""),
_xlfn.IFS(_xlpm.MyAuditVal&lt;&gt;"",UPPER(_xlpm.MyAuditVal),_xlpm.MacVal&lt;&gt;"",_xlpm.MacVal,_xlpm.CSVVal&lt;&gt;"",_xlpm.CSVVal
)),"")</f>
        <v/>
      </c>
      <c r="L422" s="45" t="str" cm="1">
        <f t="array" ref="L422">IFERROR(_xlfn.LET(
_xlpm.CSVVal,_xlfn.XLOOKUP($A422,CSV!$A:$A,CSV!P:P,""),
_xlpm.MacVal,_xlfn.XLOOKUP($A422,Output_Mac!$A:$A,Output_Mac!M:M,""),
_xlpm.MyAuditVal,_xlfn.XLOOKUP($A422,My_Audit!$A:$A,My_Audit!K:K,""),
_xlfn.IFS(_xlpm.MyAuditVal&lt;&gt;"",UPPER(_xlpm.MyAuditVal),_xlpm.MacVal&lt;&gt;"",_xlpm.MacVal,_xlpm.CSVVal&lt;&gt;"",_xlpm.CSVVal
)),"")</f>
        <v/>
      </c>
      <c r="M422" s="45" t="str">
        <f>_xlfn.LET(
    _xlpm.CSVVal, _xlfn.XLOOKUP($A422, CSV!$A:$A, CSV!AE:AE, ""),
    _xlpm.MacVal, _xlfn.XLOOKUP($A422, Output_Mac!$A:$A, Output_Mac!S:S, ""),
    _xlpm.MyAuditVal, _xlfn.XLOOKUP($A422, My_Audit!$A:$A, My_Audit!N:N, ""),
    _xlfn.TEXTJOIN(", ", TRUE, _xlpm.MyAuditVal, _xlpm.MacVal, _xlpm.CSVVal)
)</f>
        <v/>
      </c>
      <c r="N422" s="45" t="str" cm="1">
        <f t="array" ref="N422">IFERROR(_xlfn.LET(
_xlpm.CSVVal,_xlfn.XLOOKUP($A422,CSV!$A:$A,CSV!AG:AG,""),
_xlpm.MacVal,_xlfn.XLOOKUP($A422,Output_Mac!$A:$A,Output_Mac!U:U,""),
_xlpm.MyAuditVal,_xlfn.XLOOKUP($A422,My_Audit!$A:$A,My_Audit!O:O,""),
_xlfn.IFS(_xlpm.MyAuditVal&lt;&gt;"",UPPER(_xlpm.MyAuditVal),_xlpm.MacVal&lt;&gt;"",_xlpm.MacVal,_xlpm.CSVVal&lt;&gt;"",_xlpm.CSVVal
)),"")</f>
        <v/>
      </c>
      <c r="O422" s="46" t="str">
        <f>_xlfn.XLOOKUP(C422,My_Audit!B:B,My_Audit!P:P,"")&amp;""</f>
        <v/>
      </c>
      <c r="P422" s="45"/>
      <c r="Q422" s="46" t="str">
        <f>IF(LEFT(N422,4)="Pass","Nist SP 800-88",My_Audit!R422)&amp;""</f>
        <v/>
      </c>
      <c r="R422" s="45"/>
      <c r="S422" s="45"/>
      <c r="T422" s="46" t="str">
        <f>_xlfn.XLOOKUP(E422,Models!I:I,Models!J:J,"")</f>
        <v/>
      </c>
      <c r="U422" s="45"/>
      <c r="V422" s="45"/>
      <c r="W422" s="38"/>
    </row>
    <row r="423" spans="1:23">
      <c r="A423" s="45" t="str">
        <f>_xlfn.TEXTJOIN("",TRUE,Input!$B$2,ROW(My_Audit!A422))</f>
        <v>XX422</v>
      </c>
      <c r="B423" s="45" t="str">
        <f>_xlfn.TEXTJOIN("-",TRUE,"ITD",Input!$A$2,A423)</f>
        <v>ITD-SHRXXX-XX422</v>
      </c>
      <c r="C423" s="45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46" t="str" cm="1">
        <f t="array" ref="D423">IFERROR(_xlfn.LET(
_xlpm.CSVVal,_xlfn.XLOOKUP($A423,CSV!$A:$A,CSV!C:C,""),
_xlpm.MacVal,_xlfn.XLOOKUP($A423,Output_Mac!$A:$A,Output_Mac!D:D,""),
_xlpm.MyAuditVal,_xlfn.XLOOKUP($A423,My_Audit!$A:$A,My_Audit!C:C,""),
_xlfn.IFS(_xlpm.MyAuditVal&lt;&gt;"",UPPER(_xlpm.MyAuditVal),_xlpm.MacVal&lt;&gt;"",_xlpm.MacVal,_xlpm.CSVVal&lt;&gt;"",_xlpm.CSVVal
)),"")</f>
        <v/>
      </c>
      <c r="E423" s="46" t="str" cm="1">
        <f t="array" ref="E423">IFERROR(_xlfn.LET(
_xlpm.CSVVal,_xlfn.XLOOKUP($A423,CSV!$A:$A,CSV!E:E,""),
_xlpm.MacVal,_xlfn.XLOOKUP($A423,Output_Mac!$A:$A,Output_Mac!C:C,""),
_xlpm.MyAuditVal,_xlfn.XLOOKUP($A423,My_Audit!$A:$A,My_Audit!D:D,""),
_xlfn.IFS(_xlpm.MyAuditVal&lt;&gt;"",_xlpm.MyAuditVal,_xlpm.MacVal&lt;&gt;"",_xlpm.MacVal,_xlpm.CSVVal&lt;&gt;"",_xlpm.CSVVal
)),"")</f>
        <v/>
      </c>
      <c r="F423" s="45" t="str" cm="1">
        <f t="array" ref="F423">IFERROR(_xlfn.LET(
_xlpm.CSVVal,_xlfn.XLOOKUP($A423,CSV!$A:$A,CSV!F:F,""),
_xlpm.MacVal,_xlfn.XLOOKUP($A423,Output_Mac!$A:$A,Output_Mac!F:F,""),
_xlpm.MyAuditVal,_xlfn.XLOOKUP($A423,My_Audit!$A:$A,My_Audit!E:E,""),
_xlfn.IFS(_xlpm.MyAuditVal&lt;&gt;"",_xlpm.MyAuditVal,_xlpm.MacVal&lt;&gt;"",_xlpm.MacVal,_xlpm.CSVVal&lt;&gt;"",PROPER(_xlpm.CSVVal)
)),"")</f>
        <v/>
      </c>
      <c r="G423" s="45" t="str" cm="1">
        <f t="array" ref="G423">IFERROR(_xlfn.LET(
_xlpm.CSVVal,_xlfn.XLOOKUP($A423,CSV!$A:$A,CSV!G:G,""),
_xlpm.MacVal,_xlfn.XLOOKUP($A423,Output_Mac!$A:$A,Output_Mac!H:H,""),
_xlpm.MyAuditVal,_xlfn.XLOOKUP($A423,My_Audit!$A:$A,My_Audit!F:F,""),
_xlfn.IFS(_xlpm.MyAuditVal&lt;&gt;"",_xlpm.MyAuditVal,_xlpm.MacVal&lt;&gt;"",_xlpm.MacVal,_xlpm.CSVVal&lt;&gt;"",_xlpm.CSVVal
)),"")</f>
        <v/>
      </c>
      <c r="H423" s="45" t="str">
        <f>_xlfn.XLOOKUP(A423,Output_Mac!A:A,Output_Mac!I:I,"")</f>
        <v/>
      </c>
      <c r="I423" s="45" t="str" cm="1">
        <f t="array" ref="I423">IFERROR(_xlfn.LET(
_xlpm.CSVVal,_xlfn.XLOOKUP($A423,CSV!$A:$A,CSV!H:H,""),
_xlpm.MacVal,_xlfn.XLOOKUP($A423,Output_Mac!$A:$A,Output_Mac!J:J,""),
_xlpm.MyAuditVal,_xlfn.XLOOKUP($A423,My_Audit!$A:$A,My_Audit!H:H,""),
_xlfn.IFS(_xlpm.MyAuditVal&lt;&gt;"",UPPER(_xlpm.MyAuditVal),_xlpm.MacVal&lt;&gt;"",_xlpm.MacVal,_xlpm.CSVVal&lt;&gt;"",_xlpm.CSVVal
)),"")</f>
        <v/>
      </c>
      <c r="J423" s="45" t="str" cm="1">
        <f t="array" ref="J423">IFERROR(_xlfn.LET(
_xlpm.CSVVal,_xlfn.XLOOKUP($A423,CSV!$A:$A,CSV!J:J,""),
_xlpm.MacVal,_xlfn.XLOOKUP($A423,Output_Mac!$A:$A,Output_Mac!K:K,""),
_xlpm.MyAuditVal,_xlfn.XLOOKUP($A423,My_Audit!$A:$A,My_Audit!I:I,""),
_xlfn.IFS(_xlpm.MyAuditVal&lt;&gt;"",UPPER(_xlpm.MyAuditVal),_xlpm.MacVal&lt;&gt;"",_xlpm.MacVal,_xlpm.CSVVal&lt;&gt;"",_xlpm.CSVVal
)),"")</f>
        <v/>
      </c>
      <c r="K423" s="45" t="str" cm="1">
        <f t="array" ref="K423">IFERROR(_xlfn.LET(
_xlpm.CSVVal,_xlfn.XLOOKUP($A423,CSV!$A:$A,CSV!N:N,""),
_xlpm.MacVal,_xlfn.XLOOKUP($A423,Output_Mac!$A:$A,Output_Mac!L:L,""),
_xlpm.MyAuditVal,_xlfn.XLOOKUP($A423,My_Audit!$A:$A,My_Audit!J:J,""),
_xlfn.IFS(_xlpm.MyAuditVal&lt;&gt;"",UPPER(_xlpm.MyAuditVal),_xlpm.MacVal&lt;&gt;"",_xlpm.MacVal,_xlpm.CSVVal&lt;&gt;"",_xlpm.CSVVal
)),"")</f>
        <v/>
      </c>
      <c r="L423" s="45" t="str" cm="1">
        <f t="array" ref="L423">IFERROR(_xlfn.LET(
_xlpm.CSVVal,_xlfn.XLOOKUP($A423,CSV!$A:$A,CSV!P:P,""),
_xlpm.MacVal,_xlfn.XLOOKUP($A423,Output_Mac!$A:$A,Output_Mac!M:M,""),
_xlpm.MyAuditVal,_xlfn.XLOOKUP($A423,My_Audit!$A:$A,My_Audit!K:K,""),
_xlfn.IFS(_xlpm.MyAuditVal&lt;&gt;"",UPPER(_xlpm.MyAuditVal),_xlpm.MacVal&lt;&gt;"",_xlpm.MacVal,_xlpm.CSVVal&lt;&gt;"",_xlpm.CSVVal
)),"")</f>
        <v/>
      </c>
      <c r="M423" s="45" t="str">
        <f>_xlfn.LET(
    _xlpm.CSVVal, _xlfn.XLOOKUP($A423, CSV!$A:$A, CSV!AE:AE, ""),
    _xlpm.MacVal, _xlfn.XLOOKUP($A423, Output_Mac!$A:$A, Output_Mac!S:S, ""),
    _xlpm.MyAuditVal, _xlfn.XLOOKUP($A423, My_Audit!$A:$A, My_Audit!N:N, ""),
    _xlfn.TEXTJOIN(", ", TRUE, _xlpm.MyAuditVal, _xlpm.MacVal, _xlpm.CSVVal)
)</f>
        <v/>
      </c>
      <c r="N423" s="45" t="str" cm="1">
        <f t="array" ref="N423">IFERROR(_xlfn.LET(
_xlpm.CSVVal,_xlfn.XLOOKUP($A423,CSV!$A:$A,CSV!AG:AG,""),
_xlpm.MacVal,_xlfn.XLOOKUP($A423,Output_Mac!$A:$A,Output_Mac!U:U,""),
_xlpm.MyAuditVal,_xlfn.XLOOKUP($A423,My_Audit!$A:$A,My_Audit!O:O,""),
_xlfn.IFS(_xlpm.MyAuditVal&lt;&gt;"",UPPER(_xlpm.MyAuditVal),_xlpm.MacVal&lt;&gt;"",_xlpm.MacVal,_xlpm.CSVVal&lt;&gt;"",_xlpm.CSVVal
)),"")</f>
        <v/>
      </c>
      <c r="O423" s="46" t="str">
        <f>_xlfn.XLOOKUP(C423,My_Audit!B:B,My_Audit!P:P,"")&amp;""</f>
        <v/>
      </c>
      <c r="P423" s="45"/>
      <c r="Q423" s="46" t="str">
        <f>IF(LEFT(N423,4)="Pass","Nist SP 800-88",My_Audit!R423)&amp;""</f>
        <v/>
      </c>
      <c r="R423" s="45"/>
      <c r="S423" s="45"/>
      <c r="T423" s="46" t="str">
        <f>_xlfn.XLOOKUP(E423,Models!I:I,Models!J:J,"")</f>
        <v/>
      </c>
      <c r="U423" s="45"/>
      <c r="V423" s="45"/>
      <c r="W423" s="38"/>
    </row>
    <row r="424" spans="1:23">
      <c r="A424" s="45" t="str">
        <f>_xlfn.TEXTJOIN("",TRUE,Input!$B$2,ROW(My_Audit!A423))</f>
        <v>XX423</v>
      </c>
      <c r="B424" s="45" t="str">
        <f>_xlfn.TEXTJOIN("-",TRUE,"ITD",Input!$A$2,A424)</f>
        <v>ITD-SHRXXX-XX423</v>
      </c>
      <c r="C424" s="45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46" t="str" cm="1">
        <f t="array" ref="D424">IFERROR(_xlfn.LET(
_xlpm.CSVVal,_xlfn.XLOOKUP($A424,CSV!$A:$A,CSV!C:C,""),
_xlpm.MacVal,_xlfn.XLOOKUP($A424,Output_Mac!$A:$A,Output_Mac!D:D,""),
_xlpm.MyAuditVal,_xlfn.XLOOKUP($A424,My_Audit!$A:$A,My_Audit!C:C,""),
_xlfn.IFS(_xlpm.MyAuditVal&lt;&gt;"",UPPER(_xlpm.MyAuditVal),_xlpm.MacVal&lt;&gt;"",_xlpm.MacVal,_xlpm.CSVVal&lt;&gt;"",_xlpm.CSVVal
)),"")</f>
        <v/>
      </c>
      <c r="E424" s="46" t="str" cm="1">
        <f t="array" ref="E424">IFERROR(_xlfn.LET(
_xlpm.CSVVal,_xlfn.XLOOKUP($A424,CSV!$A:$A,CSV!E:E,""),
_xlpm.MacVal,_xlfn.XLOOKUP($A424,Output_Mac!$A:$A,Output_Mac!C:C,""),
_xlpm.MyAuditVal,_xlfn.XLOOKUP($A424,My_Audit!$A:$A,My_Audit!D:D,""),
_xlfn.IFS(_xlpm.MyAuditVal&lt;&gt;"",_xlpm.MyAuditVal,_xlpm.MacVal&lt;&gt;"",_xlpm.MacVal,_xlpm.CSVVal&lt;&gt;"",_xlpm.CSVVal
)),"")</f>
        <v/>
      </c>
      <c r="F424" s="45" t="str" cm="1">
        <f t="array" ref="F424">IFERROR(_xlfn.LET(
_xlpm.CSVVal,_xlfn.XLOOKUP($A424,CSV!$A:$A,CSV!F:F,""),
_xlpm.MacVal,_xlfn.XLOOKUP($A424,Output_Mac!$A:$A,Output_Mac!F:F,""),
_xlpm.MyAuditVal,_xlfn.XLOOKUP($A424,My_Audit!$A:$A,My_Audit!E:E,""),
_xlfn.IFS(_xlpm.MyAuditVal&lt;&gt;"",_xlpm.MyAuditVal,_xlpm.MacVal&lt;&gt;"",_xlpm.MacVal,_xlpm.CSVVal&lt;&gt;"",PROPER(_xlpm.CSVVal)
)),"")</f>
        <v/>
      </c>
      <c r="G424" s="45" t="str" cm="1">
        <f t="array" ref="G424">IFERROR(_xlfn.LET(
_xlpm.CSVVal,_xlfn.XLOOKUP($A424,CSV!$A:$A,CSV!G:G,""),
_xlpm.MacVal,_xlfn.XLOOKUP($A424,Output_Mac!$A:$A,Output_Mac!H:H,""),
_xlpm.MyAuditVal,_xlfn.XLOOKUP($A424,My_Audit!$A:$A,My_Audit!F:F,""),
_xlfn.IFS(_xlpm.MyAuditVal&lt;&gt;"",_xlpm.MyAuditVal,_xlpm.MacVal&lt;&gt;"",_xlpm.MacVal,_xlpm.CSVVal&lt;&gt;"",_xlpm.CSVVal
)),"")</f>
        <v/>
      </c>
      <c r="H424" s="45" t="str">
        <f>_xlfn.XLOOKUP(A424,Output_Mac!A:A,Output_Mac!I:I,"")</f>
        <v/>
      </c>
      <c r="I424" s="45" t="str" cm="1">
        <f t="array" ref="I424">IFERROR(_xlfn.LET(
_xlpm.CSVVal,_xlfn.XLOOKUP($A424,CSV!$A:$A,CSV!H:H,""),
_xlpm.MacVal,_xlfn.XLOOKUP($A424,Output_Mac!$A:$A,Output_Mac!J:J,""),
_xlpm.MyAuditVal,_xlfn.XLOOKUP($A424,My_Audit!$A:$A,My_Audit!H:H,""),
_xlfn.IFS(_xlpm.MyAuditVal&lt;&gt;"",UPPER(_xlpm.MyAuditVal),_xlpm.MacVal&lt;&gt;"",_xlpm.MacVal,_xlpm.CSVVal&lt;&gt;"",_xlpm.CSVVal
)),"")</f>
        <v/>
      </c>
      <c r="J424" s="45" t="str" cm="1">
        <f t="array" ref="J424">IFERROR(_xlfn.LET(
_xlpm.CSVVal,_xlfn.XLOOKUP($A424,CSV!$A:$A,CSV!J:J,""),
_xlpm.MacVal,_xlfn.XLOOKUP($A424,Output_Mac!$A:$A,Output_Mac!K:K,""),
_xlpm.MyAuditVal,_xlfn.XLOOKUP($A424,My_Audit!$A:$A,My_Audit!I:I,""),
_xlfn.IFS(_xlpm.MyAuditVal&lt;&gt;"",UPPER(_xlpm.MyAuditVal),_xlpm.MacVal&lt;&gt;"",_xlpm.MacVal,_xlpm.CSVVal&lt;&gt;"",_xlpm.CSVVal
)),"")</f>
        <v/>
      </c>
      <c r="K424" s="45" t="str" cm="1">
        <f t="array" ref="K424">IFERROR(_xlfn.LET(
_xlpm.CSVVal,_xlfn.XLOOKUP($A424,CSV!$A:$A,CSV!N:N,""),
_xlpm.MacVal,_xlfn.XLOOKUP($A424,Output_Mac!$A:$A,Output_Mac!L:L,""),
_xlpm.MyAuditVal,_xlfn.XLOOKUP($A424,My_Audit!$A:$A,My_Audit!J:J,""),
_xlfn.IFS(_xlpm.MyAuditVal&lt;&gt;"",UPPER(_xlpm.MyAuditVal),_xlpm.MacVal&lt;&gt;"",_xlpm.MacVal,_xlpm.CSVVal&lt;&gt;"",_xlpm.CSVVal
)),"")</f>
        <v/>
      </c>
      <c r="L424" s="45" t="str" cm="1">
        <f t="array" ref="L424">IFERROR(_xlfn.LET(
_xlpm.CSVVal,_xlfn.XLOOKUP($A424,CSV!$A:$A,CSV!P:P,""),
_xlpm.MacVal,_xlfn.XLOOKUP($A424,Output_Mac!$A:$A,Output_Mac!M:M,""),
_xlpm.MyAuditVal,_xlfn.XLOOKUP($A424,My_Audit!$A:$A,My_Audit!K:K,""),
_xlfn.IFS(_xlpm.MyAuditVal&lt;&gt;"",UPPER(_xlpm.MyAuditVal),_xlpm.MacVal&lt;&gt;"",_xlpm.MacVal,_xlpm.CSVVal&lt;&gt;"",_xlpm.CSVVal
)),"")</f>
        <v/>
      </c>
      <c r="M424" s="45" t="str">
        <f>_xlfn.LET(
    _xlpm.CSVVal, _xlfn.XLOOKUP($A424, CSV!$A:$A, CSV!AE:AE, ""),
    _xlpm.MacVal, _xlfn.XLOOKUP($A424, Output_Mac!$A:$A, Output_Mac!S:S, ""),
    _xlpm.MyAuditVal, _xlfn.XLOOKUP($A424, My_Audit!$A:$A, My_Audit!N:N, ""),
    _xlfn.TEXTJOIN(", ", TRUE, _xlpm.MyAuditVal, _xlpm.MacVal, _xlpm.CSVVal)
)</f>
        <v/>
      </c>
      <c r="N424" s="45" t="str" cm="1">
        <f t="array" ref="N424">IFERROR(_xlfn.LET(
_xlpm.CSVVal,_xlfn.XLOOKUP($A424,CSV!$A:$A,CSV!AG:AG,""),
_xlpm.MacVal,_xlfn.XLOOKUP($A424,Output_Mac!$A:$A,Output_Mac!U:U,""),
_xlpm.MyAuditVal,_xlfn.XLOOKUP($A424,My_Audit!$A:$A,My_Audit!O:O,""),
_xlfn.IFS(_xlpm.MyAuditVal&lt;&gt;"",UPPER(_xlpm.MyAuditVal),_xlpm.MacVal&lt;&gt;"",_xlpm.MacVal,_xlpm.CSVVal&lt;&gt;"",_xlpm.CSVVal
)),"")</f>
        <v/>
      </c>
      <c r="O424" s="46" t="str">
        <f>_xlfn.XLOOKUP(C424,My_Audit!B:B,My_Audit!P:P,"")&amp;""</f>
        <v/>
      </c>
      <c r="P424" s="45"/>
      <c r="Q424" s="46" t="str">
        <f>IF(LEFT(N424,4)="Pass","Nist SP 800-88",My_Audit!R424)&amp;""</f>
        <v/>
      </c>
      <c r="R424" s="45"/>
      <c r="S424" s="45"/>
      <c r="T424" s="46" t="str">
        <f>_xlfn.XLOOKUP(E424,Models!I:I,Models!J:J,"")</f>
        <v/>
      </c>
      <c r="U424" s="45"/>
      <c r="V424" s="45"/>
      <c r="W424" s="38"/>
    </row>
    <row r="425" spans="1:23">
      <c r="A425" s="45" t="str">
        <f>_xlfn.TEXTJOIN("",TRUE,Input!$B$2,ROW(My_Audit!A424))</f>
        <v>XX424</v>
      </c>
      <c r="B425" s="45" t="str">
        <f>_xlfn.TEXTJOIN("-",TRUE,"ITD",Input!$A$2,A425)</f>
        <v>ITD-SHRXXX-XX424</v>
      </c>
      <c r="C425" s="45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46" t="str" cm="1">
        <f t="array" ref="D425">IFERROR(_xlfn.LET(
_xlpm.CSVVal,_xlfn.XLOOKUP($A425,CSV!$A:$A,CSV!C:C,""),
_xlpm.MacVal,_xlfn.XLOOKUP($A425,Output_Mac!$A:$A,Output_Mac!D:D,""),
_xlpm.MyAuditVal,_xlfn.XLOOKUP($A425,My_Audit!$A:$A,My_Audit!C:C,""),
_xlfn.IFS(_xlpm.MyAuditVal&lt;&gt;"",UPPER(_xlpm.MyAuditVal),_xlpm.MacVal&lt;&gt;"",_xlpm.MacVal,_xlpm.CSVVal&lt;&gt;"",_xlpm.CSVVal
)),"")</f>
        <v/>
      </c>
      <c r="E425" s="46" t="str" cm="1">
        <f t="array" ref="E425">IFERROR(_xlfn.LET(
_xlpm.CSVVal,_xlfn.XLOOKUP($A425,CSV!$A:$A,CSV!E:E,""),
_xlpm.MacVal,_xlfn.XLOOKUP($A425,Output_Mac!$A:$A,Output_Mac!C:C,""),
_xlpm.MyAuditVal,_xlfn.XLOOKUP($A425,My_Audit!$A:$A,My_Audit!D:D,""),
_xlfn.IFS(_xlpm.MyAuditVal&lt;&gt;"",_xlpm.MyAuditVal,_xlpm.MacVal&lt;&gt;"",_xlpm.MacVal,_xlpm.CSVVal&lt;&gt;"",_xlpm.CSVVal
)),"")</f>
        <v/>
      </c>
      <c r="F425" s="45" t="str" cm="1">
        <f t="array" ref="F425">IFERROR(_xlfn.LET(
_xlpm.CSVVal,_xlfn.XLOOKUP($A425,CSV!$A:$A,CSV!F:F,""),
_xlpm.MacVal,_xlfn.XLOOKUP($A425,Output_Mac!$A:$A,Output_Mac!F:F,""),
_xlpm.MyAuditVal,_xlfn.XLOOKUP($A425,My_Audit!$A:$A,My_Audit!E:E,""),
_xlfn.IFS(_xlpm.MyAuditVal&lt;&gt;"",_xlpm.MyAuditVal,_xlpm.MacVal&lt;&gt;"",_xlpm.MacVal,_xlpm.CSVVal&lt;&gt;"",PROPER(_xlpm.CSVVal)
)),"")</f>
        <v/>
      </c>
      <c r="G425" s="45" t="str" cm="1">
        <f t="array" ref="G425">IFERROR(_xlfn.LET(
_xlpm.CSVVal,_xlfn.XLOOKUP($A425,CSV!$A:$A,CSV!G:G,""),
_xlpm.MacVal,_xlfn.XLOOKUP($A425,Output_Mac!$A:$A,Output_Mac!H:H,""),
_xlpm.MyAuditVal,_xlfn.XLOOKUP($A425,My_Audit!$A:$A,My_Audit!F:F,""),
_xlfn.IFS(_xlpm.MyAuditVal&lt;&gt;"",_xlpm.MyAuditVal,_xlpm.MacVal&lt;&gt;"",_xlpm.MacVal,_xlpm.CSVVal&lt;&gt;"",_xlpm.CSVVal
)),"")</f>
        <v/>
      </c>
      <c r="H425" s="45" t="str">
        <f>_xlfn.XLOOKUP(A425,Output_Mac!A:A,Output_Mac!I:I,"")</f>
        <v/>
      </c>
      <c r="I425" s="45" t="str" cm="1">
        <f t="array" ref="I425">IFERROR(_xlfn.LET(
_xlpm.CSVVal,_xlfn.XLOOKUP($A425,CSV!$A:$A,CSV!H:H,""),
_xlpm.MacVal,_xlfn.XLOOKUP($A425,Output_Mac!$A:$A,Output_Mac!J:J,""),
_xlpm.MyAuditVal,_xlfn.XLOOKUP($A425,My_Audit!$A:$A,My_Audit!H:H,""),
_xlfn.IFS(_xlpm.MyAuditVal&lt;&gt;"",UPPER(_xlpm.MyAuditVal),_xlpm.MacVal&lt;&gt;"",_xlpm.MacVal,_xlpm.CSVVal&lt;&gt;"",_xlpm.CSVVal
)),"")</f>
        <v/>
      </c>
      <c r="J425" s="45" t="str" cm="1">
        <f t="array" ref="J425">IFERROR(_xlfn.LET(
_xlpm.CSVVal,_xlfn.XLOOKUP($A425,CSV!$A:$A,CSV!J:J,""),
_xlpm.MacVal,_xlfn.XLOOKUP($A425,Output_Mac!$A:$A,Output_Mac!K:K,""),
_xlpm.MyAuditVal,_xlfn.XLOOKUP($A425,My_Audit!$A:$A,My_Audit!I:I,""),
_xlfn.IFS(_xlpm.MyAuditVal&lt;&gt;"",UPPER(_xlpm.MyAuditVal),_xlpm.MacVal&lt;&gt;"",_xlpm.MacVal,_xlpm.CSVVal&lt;&gt;"",_xlpm.CSVVal
)),"")</f>
        <v/>
      </c>
      <c r="K425" s="45" t="str" cm="1">
        <f t="array" ref="K425">IFERROR(_xlfn.LET(
_xlpm.CSVVal,_xlfn.XLOOKUP($A425,CSV!$A:$A,CSV!N:N,""),
_xlpm.MacVal,_xlfn.XLOOKUP($A425,Output_Mac!$A:$A,Output_Mac!L:L,""),
_xlpm.MyAuditVal,_xlfn.XLOOKUP($A425,My_Audit!$A:$A,My_Audit!J:J,""),
_xlfn.IFS(_xlpm.MyAuditVal&lt;&gt;"",UPPER(_xlpm.MyAuditVal),_xlpm.MacVal&lt;&gt;"",_xlpm.MacVal,_xlpm.CSVVal&lt;&gt;"",_xlpm.CSVVal
)),"")</f>
        <v/>
      </c>
      <c r="L425" s="45" t="str" cm="1">
        <f t="array" ref="L425">IFERROR(_xlfn.LET(
_xlpm.CSVVal,_xlfn.XLOOKUP($A425,CSV!$A:$A,CSV!P:P,""),
_xlpm.MacVal,_xlfn.XLOOKUP($A425,Output_Mac!$A:$A,Output_Mac!M:M,""),
_xlpm.MyAuditVal,_xlfn.XLOOKUP($A425,My_Audit!$A:$A,My_Audit!K:K,""),
_xlfn.IFS(_xlpm.MyAuditVal&lt;&gt;"",UPPER(_xlpm.MyAuditVal),_xlpm.MacVal&lt;&gt;"",_xlpm.MacVal,_xlpm.CSVVal&lt;&gt;"",_xlpm.CSVVal
)),"")</f>
        <v/>
      </c>
      <c r="M425" s="45" t="str">
        <f>_xlfn.LET(
    _xlpm.CSVVal, _xlfn.XLOOKUP($A425, CSV!$A:$A, CSV!AE:AE, ""),
    _xlpm.MacVal, _xlfn.XLOOKUP($A425, Output_Mac!$A:$A, Output_Mac!S:S, ""),
    _xlpm.MyAuditVal, _xlfn.XLOOKUP($A425, My_Audit!$A:$A, My_Audit!N:N, ""),
    _xlfn.TEXTJOIN(", ", TRUE, _xlpm.MyAuditVal, _xlpm.MacVal, _xlpm.CSVVal)
)</f>
        <v/>
      </c>
      <c r="N425" s="45" t="str" cm="1">
        <f t="array" ref="N425">IFERROR(_xlfn.LET(
_xlpm.CSVVal,_xlfn.XLOOKUP($A425,CSV!$A:$A,CSV!AG:AG,""),
_xlpm.MacVal,_xlfn.XLOOKUP($A425,Output_Mac!$A:$A,Output_Mac!U:U,""),
_xlpm.MyAuditVal,_xlfn.XLOOKUP($A425,My_Audit!$A:$A,My_Audit!O:O,""),
_xlfn.IFS(_xlpm.MyAuditVal&lt;&gt;"",UPPER(_xlpm.MyAuditVal),_xlpm.MacVal&lt;&gt;"",_xlpm.MacVal,_xlpm.CSVVal&lt;&gt;"",_xlpm.CSVVal
)),"")</f>
        <v/>
      </c>
      <c r="O425" s="46" t="str">
        <f>_xlfn.XLOOKUP(C425,My_Audit!B:B,My_Audit!P:P,"")&amp;""</f>
        <v/>
      </c>
      <c r="P425" s="45"/>
      <c r="Q425" s="46" t="str">
        <f>IF(LEFT(N425,4)="Pass","Nist SP 800-88",My_Audit!R425)&amp;""</f>
        <v/>
      </c>
      <c r="R425" s="45"/>
      <c r="S425" s="45"/>
      <c r="T425" s="46" t="str">
        <f>_xlfn.XLOOKUP(E425,Models!I:I,Models!J:J,"")</f>
        <v/>
      </c>
      <c r="U425" s="45"/>
      <c r="V425" s="45"/>
      <c r="W425" s="38"/>
    </row>
    <row r="426" spans="1:23">
      <c r="A426" s="45" t="str">
        <f>_xlfn.TEXTJOIN("",TRUE,Input!$B$2,ROW(My_Audit!A425))</f>
        <v>XX425</v>
      </c>
      <c r="B426" s="45" t="str">
        <f>_xlfn.TEXTJOIN("-",TRUE,"ITD",Input!$A$2,A426)</f>
        <v>ITD-SHRXXX-XX425</v>
      </c>
      <c r="C426" s="45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46" t="str" cm="1">
        <f t="array" ref="D426">IFERROR(_xlfn.LET(
_xlpm.CSVVal,_xlfn.XLOOKUP($A426,CSV!$A:$A,CSV!C:C,""),
_xlpm.MacVal,_xlfn.XLOOKUP($A426,Output_Mac!$A:$A,Output_Mac!D:D,""),
_xlpm.MyAuditVal,_xlfn.XLOOKUP($A426,My_Audit!$A:$A,My_Audit!C:C,""),
_xlfn.IFS(_xlpm.MyAuditVal&lt;&gt;"",UPPER(_xlpm.MyAuditVal),_xlpm.MacVal&lt;&gt;"",_xlpm.MacVal,_xlpm.CSVVal&lt;&gt;"",_xlpm.CSVVal
)),"")</f>
        <v/>
      </c>
      <c r="E426" s="46" t="str" cm="1">
        <f t="array" ref="E426">IFERROR(_xlfn.LET(
_xlpm.CSVVal,_xlfn.XLOOKUP($A426,CSV!$A:$A,CSV!E:E,""),
_xlpm.MacVal,_xlfn.XLOOKUP($A426,Output_Mac!$A:$A,Output_Mac!C:C,""),
_xlpm.MyAuditVal,_xlfn.XLOOKUP($A426,My_Audit!$A:$A,My_Audit!D:D,""),
_xlfn.IFS(_xlpm.MyAuditVal&lt;&gt;"",_xlpm.MyAuditVal,_xlpm.MacVal&lt;&gt;"",_xlpm.MacVal,_xlpm.CSVVal&lt;&gt;"",_xlpm.CSVVal
)),"")</f>
        <v/>
      </c>
      <c r="F426" s="45" t="str" cm="1">
        <f t="array" ref="F426">IFERROR(_xlfn.LET(
_xlpm.CSVVal,_xlfn.XLOOKUP($A426,CSV!$A:$A,CSV!F:F,""),
_xlpm.MacVal,_xlfn.XLOOKUP($A426,Output_Mac!$A:$A,Output_Mac!F:F,""),
_xlpm.MyAuditVal,_xlfn.XLOOKUP($A426,My_Audit!$A:$A,My_Audit!E:E,""),
_xlfn.IFS(_xlpm.MyAuditVal&lt;&gt;"",_xlpm.MyAuditVal,_xlpm.MacVal&lt;&gt;"",_xlpm.MacVal,_xlpm.CSVVal&lt;&gt;"",PROPER(_xlpm.CSVVal)
)),"")</f>
        <v/>
      </c>
      <c r="G426" s="45" t="str" cm="1">
        <f t="array" ref="G426">IFERROR(_xlfn.LET(
_xlpm.CSVVal,_xlfn.XLOOKUP($A426,CSV!$A:$A,CSV!G:G,""),
_xlpm.MacVal,_xlfn.XLOOKUP($A426,Output_Mac!$A:$A,Output_Mac!H:H,""),
_xlpm.MyAuditVal,_xlfn.XLOOKUP($A426,My_Audit!$A:$A,My_Audit!F:F,""),
_xlfn.IFS(_xlpm.MyAuditVal&lt;&gt;"",_xlpm.MyAuditVal,_xlpm.MacVal&lt;&gt;"",_xlpm.MacVal,_xlpm.CSVVal&lt;&gt;"",_xlpm.CSVVal
)),"")</f>
        <v/>
      </c>
      <c r="H426" s="45" t="str">
        <f>_xlfn.XLOOKUP(A426,Output_Mac!A:A,Output_Mac!I:I,"")</f>
        <v/>
      </c>
      <c r="I426" s="45" t="str" cm="1">
        <f t="array" ref="I426">IFERROR(_xlfn.LET(
_xlpm.CSVVal,_xlfn.XLOOKUP($A426,CSV!$A:$A,CSV!H:H,""),
_xlpm.MacVal,_xlfn.XLOOKUP($A426,Output_Mac!$A:$A,Output_Mac!J:J,""),
_xlpm.MyAuditVal,_xlfn.XLOOKUP($A426,My_Audit!$A:$A,My_Audit!H:H,""),
_xlfn.IFS(_xlpm.MyAuditVal&lt;&gt;"",UPPER(_xlpm.MyAuditVal),_xlpm.MacVal&lt;&gt;"",_xlpm.MacVal,_xlpm.CSVVal&lt;&gt;"",_xlpm.CSVVal
)),"")</f>
        <v/>
      </c>
      <c r="J426" s="45" t="str" cm="1">
        <f t="array" ref="J426">IFERROR(_xlfn.LET(
_xlpm.CSVVal,_xlfn.XLOOKUP($A426,CSV!$A:$A,CSV!J:J,""),
_xlpm.MacVal,_xlfn.XLOOKUP($A426,Output_Mac!$A:$A,Output_Mac!K:K,""),
_xlpm.MyAuditVal,_xlfn.XLOOKUP($A426,My_Audit!$A:$A,My_Audit!I:I,""),
_xlfn.IFS(_xlpm.MyAuditVal&lt;&gt;"",UPPER(_xlpm.MyAuditVal),_xlpm.MacVal&lt;&gt;"",_xlpm.MacVal,_xlpm.CSVVal&lt;&gt;"",_xlpm.CSVVal
)),"")</f>
        <v/>
      </c>
      <c r="K426" s="45" t="str" cm="1">
        <f t="array" ref="K426">IFERROR(_xlfn.LET(
_xlpm.CSVVal,_xlfn.XLOOKUP($A426,CSV!$A:$A,CSV!N:N,""),
_xlpm.MacVal,_xlfn.XLOOKUP($A426,Output_Mac!$A:$A,Output_Mac!L:L,""),
_xlpm.MyAuditVal,_xlfn.XLOOKUP($A426,My_Audit!$A:$A,My_Audit!J:J,""),
_xlfn.IFS(_xlpm.MyAuditVal&lt;&gt;"",UPPER(_xlpm.MyAuditVal),_xlpm.MacVal&lt;&gt;"",_xlpm.MacVal,_xlpm.CSVVal&lt;&gt;"",_xlpm.CSVVal
)),"")</f>
        <v/>
      </c>
      <c r="L426" s="45" t="str" cm="1">
        <f t="array" ref="L426">IFERROR(_xlfn.LET(
_xlpm.CSVVal,_xlfn.XLOOKUP($A426,CSV!$A:$A,CSV!P:P,""),
_xlpm.MacVal,_xlfn.XLOOKUP($A426,Output_Mac!$A:$A,Output_Mac!M:M,""),
_xlpm.MyAuditVal,_xlfn.XLOOKUP($A426,My_Audit!$A:$A,My_Audit!K:K,""),
_xlfn.IFS(_xlpm.MyAuditVal&lt;&gt;"",UPPER(_xlpm.MyAuditVal),_xlpm.MacVal&lt;&gt;"",_xlpm.MacVal,_xlpm.CSVVal&lt;&gt;"",_xlpm.CSVVal
)),"")</f>
        <v/>
      </c>
      <c r="M426" s="45" t="str">
        <f>_xlfn.LET(
    _xlpm.CSVVal, _xlfn.XLOOKUP($A426, CSV!$A:$A, CSV!AE:AE, ""),
    _xlpm.MacVal, _xlfn.XLOOKUP($A426, Output_Mac!$A:$A, Output_Mac!S:S, ""),
    _xlpm.MyAuditVal, _xlfn.XLOOKUP($A426, My_Audit!$A:$A, My_Audit!N:N, ""),
    _xlfn.TEXTJOIN(", ", TRUE, _xlpm.MyAuditVal, _xlpm.MacVal, _xlpm.CSVVal)
)</f>
        <v/>
      </c>
      <c r="N426" s="45" t="str" cm="1">
        <f t="array" ref="N426">IFERROR(_xlfn.LET(
_xlpm.CSVVal,_xlfn.XLOOKUP($A426,CSV!$A:$A,CSV!AG:AG,""),
_xlpm.MacVal,_xlfn.XLOOKUP($A426,Output_Mac!$A:$A,Output_Mac!U:U,""),
_xlpm.MyAuditVal,_xlfn.XLOOKUP($A426,My_Audit!$A:$A,My_Audit!O:O,""),
_xlfn.IFS(_xlpm.MyAuditVal&lt;&gt;"",UPPER(_xlpm.MyAuditVal),_xlpm.MacVal&lt;&gt;"",_xlpm.MacVal,_xlpm.CSVVal&lt;&gt;"",_xlpm.CSVVal
)),"")</f>
        <v/>
      </c>
      <c r="O426" s="46" t="str">
        <f>_xlfn.XLOOKUP(C426,My_Audit!B:B,My_Audit!P:P,"")&amp;""</f>
        <v/>
      </c>
      <c r="P426" s="45"/>
      <c r="Q426" s="46" t="str">
        <f>IF(LEFT(N426,4)="Pass","Nist SP 800-88",My_Audit!R426)&amp;""</f>
        <v/>
      </c>
      <c r="R426" s="45"/>
      <c r="S426" s="45"/>
      <c r="T426" s="46" t="str">
        <f>_xlfn.XLOOKUP(E426,Models!I:I,Models!J:J,"")</f>
        <v/>
      </c>
      <c r="U426" s="45"/>
      <c r="V426" s="45"/>
      <c r="W426" s="38"/>
    </row>
    <row r="427" spans="1:23">
      <c r="A427" s="45" t="str">
        <f>_xlfn.TEXTJOIN("",TRUE,Input!$B$2,ROW(My_Audit!A426))</f>
        <v>XX426</v>
      </c>
      <c r="B427" s="45" t="str">
        <f>_xlfn.TEXTJOIN("-",TRUE,"ITD",Input!$A$2,A427)</f>
        <v>ITD-SHRXXX-XX426</v>
      </c>
      <c r="C427" s="45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46" t="str" cm="1">
        <f t="array" ref="D427">IFERROR(_xlfn.LET(
_xlpm.CSVVal,_xlfn.XLOOKUP($A427,CSV!$A:$A,CSV!C:C,""),
_xlpm.MacVal,_xlfn.XLOOKUP($A427,Output_Mac!$A:$A,Output_Mac!D:D,""),
_xlpm.MyAuditVal,_xlfn.XLOOKUP($A427,My_Audit!$A:$A,My_Audit!C:C,""),
_xlfn.IFS(_xlpm.MyAuditVal&lt;&gt;"",UPPER(_xlpm.MyAuditVal),_xlpm.MacVal&lt;&gt;"",_xlpm.MacVal,_xlpm.CSVVal&lt;&gt;"",_xlpm.CSVVal
)),"")</f>
        <v/>
      </c>
      <c r="E427" s="46" t="str" cm="1">
        <f t="array" ref="E427">IFERROR(_xlfn.LET(
_xlpm.CSVVal,_xlfn.XLOOKUP($A427,CSV!$A:$A,CSV!E:E,""),
_xlpm.MacVal,_xlfn.XLOOKUP($A427,Output_Mac!$A:$A,Output_Mac!C:C,""),
_xlpm.MyAuditVal,_xlfn.XLOOKUP($A427,My_Audit!$A:$A,My_Audit!D:D,""),
_xlfn.IFS(_xlpm.MyAuditVal&lt;&gt;"",_xlpm.MyAuditVal,_xlpm.MacVal&lt;&gt;"",_xlpm.MacVal,_xlpm.CSVVal&lt;&gt;"",_xlpm.CSVVal
)),"")</f>
        <v/>
      </c>
      <c r="F427" s="45" t="str" cm="1">
        <f t="array" ref="F427">IFERROR(_xlfn.LET(
_xlpm.CSVVal,_xlfn.XLOOKUP($A427,CSV!$A:$A,CSV!F:F,""),
_xlpm.MacVal,_xlfn.XLOOKUP($A427,Output_Mac!$A:$A,Output_Mac!F:F,""),
_xlpm.MyAuditVal,_xlfn.XLOOKUP($A427,My_Audit!$A:$A,My_Audit!E:E,""),
_xlfn.IFS(_xlpm.MyAuditVal&lt;&gt;"",_xlpm.MyAuditVal,_xlpm.MacVal&lt;&gt;"",_xlpm.MacVal,_xlpm.CSVVal&lt;&gt;"",PROPER(_xlpm.CSVVal)
)),"")</f>
        <v/>
      </c>
      <c r="G427" s="45" t="str" cm="1">
        <f t="array" ref="G427">IFERROR(_xlfn.LET(
_xlpm.CSVVal,_xlfn.XLOOKUP($A427,CSV!$A:$A,CSV!G:G,""),
_xlpm.MacVal,_xlfn.XLOOKUP($A427,Output_Mac!$A:$A,Output_Mac!H:H,""),
_xlpm.MyAuditVal,_xlfn.XLOOKUP($A427,My_Audit!$A:$A,My_Audit!F:F,""),
_xlfn.IFS(_xlpm.MyAuditVal&lt;&gt;"",_xlpm.MyAuditVal,_xlpm.MacVal&lt;&gt;"",_xlpm.MacVal,_xlpm.CSVVal&lt;&gt;"",_xlpm.CSVVal
)),"")</f>
        <v/>
      </c>
      <c r="H427" s="45" t="str">
        <f>_xlfn.XLOOKUP(A427,Output_Mac!A:A,Output_Mac!I:I,"")</f>
        <v/>
      </c>
      <c r="I427" s="45" t="str" cm="1">
        <f t="array" ref="I427">IFERROR(_xlfn.LET(
_xlpm.CSVVal,_xlfn.XLOOKUP($A427,CSV!$A:$A,CSV!H:H,""),
_xlpm.MacVal,_xlfn.XLOOKUP($A427,Output_Mac!$A:$A,Output_Mac!J:J,""),
_xlpm.MyAuditVal,_xlfn.XLOOKUP($A427,My_Audit!$A:$A,My_Audit!H:H,""),
_xlfn.IFS(_xlpm.MyAuditVal&lt;&gt;"",UPPER(_xlpm.MyAuditVal),_xlpm.MacVal&lt;&gt;"",_xlpm.MacVal,_xlpm.CSVVal&lt;&gt;"",_xlpm.CSVVal
)),"")</f>
        <v/>
      </c>
      <c r="J427" s="45" t="str" cm="1">
        <f t="array" ref="J427">IFERROR(_xlfn.LET(
_xlpm.CSVVal,_xlfn.XLOOKUP($A427,CSV!$A:$A,CSV!J:J,""),
_xlpm.MacVal,_xlfn.XLOOKUP($A427,Output_Mac!$A:$A,Output_Mac!K:K,""),
_xlpm.MyAuditVal,_xlfn.XLOOKUP($A427,My_Audit!$A:$A,My_Audit!I:I,""),
_xlfn.IFS(_xlpm.MyAuditVal&lt;&gt;"",UPPER(_xlpm.MyAuditVal),_xlpm.MacVal&lt;&gt;"",_xlpm.MacVal,_xlpm.CSVVal&lt;&gt;"",_xlpm.CSVVal
)),"")</f>
        <v/>
      </c>
      <c r="K427" s="45" t="str" cm="1">
        <f t="array" ref="K427">IFERROR(_xlfn.LET(
_xlpm.CSVVal,_xlfn.XLOOKUP($A427,CSV!$A:$A,CSV!N:N,""),
_xlpm.MacVal,_xlfn.XLOOKUP($A427,Output_Mac!$A:$A,Output_Mac!L:L,""),
_xlpm.MyAuditVal,_xlfn.XLOOKUP($A427,My_Audit!$A:$A,My_Audit!J:J,""),
_xlfn.IFS(_xlpm.MyAuditVal&lt;&gt;"",UPPER(_xlpm.MyAuditVal),_xlpm.MacVal&lt;&gt;"",_xlpm.MacVal,_xlpm.CSVVal&lt;&gt;"",_xlpm.CSVVal
)),"")</f>
        <v/>
      </c>
      <c r="L427" s="45" t="str" cm="1">
        <f t="array" ref="L427">IFERROR(_xlfn.LET(
_xlpm.CSVVal,_xlfn.XLOOKUP($A427,CSV!$A:$A,CSV!P:P,""),
_xlpm.MacVal,_xlfn.XLOOKUP($A427,Output_Mac!$A:$A,Output_Mac!M:M,""),
_xlpm.MyAuditVal,_xlfn.XLOOKUP($A427,My_Audit!$A:$A,My_Audit!K:K,""),
_xlfn.IFS(_xlpm.MyAuditVal&lt;&gt;"",UPPER(_xlpm.MyAuditVal),_xlpm.MacVal&lt;&gt;"",_xlpm.MacVal,_xlpm.CSVVal&lt;&gt;"",_xlpm.CSVVal
)),"")</f>
        <v/>
      </c>
      <c r="M427" s="45" t="str">
        <f>_xlfn.LET(
    _xlpm.CSVVal, _xlfn.XLOOKUP($A427, CSV!$A:$A, CSV!AE:AE, ""),
    _xlpm.MacVal, _xlfn.XLOOKUP($A427, Output_Mac!$A:$A, Output_Mac!S:S, ""),
    _xlpm.MyAuditVal, _xlfn.XLOOKUP($A427, My_Audit!$A:$A, My_Audit!N:N, ""),
    _xlfn.TEXTJOIN(", ", TRUE, _xlpm.MyAuditVal, _xlpm.MacVal, _xlpm.CSVVal)
)</f>
        <v/>
      </c>
      <c r="N427" s="45" t="str" cm="1">
        <f t="array" ref="N427">IFERROR(_xlfn.LET(
_xlpm.CSVVal,_xlfn.XLOOKUP($A427,CSV!$A:$A,CSV!AG:AG,""),
_xlpm.MacVal,_xlfn.XLOOKUP($A427,Output_Mac!$A:$A,Output_Mac!U:U,""),
_xlpm.MyAuditVal,_xlfn.XLOOKUP($A427,My_Audit!$A:$A,My_Audit!O:O,""),
_xlfn.IFS(_xlpm.MyAuditVal&lt;&gt;"",UPPER(_xlpm.MyAuditVal),_xlpm.MacVal&lt;&gt;"",_xlpm.MacVal,_xlpm.CSVVal&lt;&gt;"",_xlpm.CSVVal
)),"")</f>
        <v/>
      </c>
      <c r="O427" s="46" t="str">
        <f>_xlfn.XLOOKUP(C427,My_Audit!B:B,My_Audit!P:P,"")&amp;""</f>
        <v/>
      </c>
      <c r="P427" s="45"/>
      <c r="Q427" s="46" t="str">
        <f>IF(LEFT(N427,4)="Pass","Nist SP 800-88",My_Audit!R427)&amp;""</f>
        <v/>
      </c>
      <c r="R427" s="45"/>
      <c r="S427" s="45"/>
      <c r="T427" s="46" t="str">
        <f>_xlfn.XLOOKUP(E427,Models!I:I,Models!J:J,"")</f>
        <v/>
      </c>
      <c r="U427" s="45"/>
      <c r="V427" s="45"/>
      <c r="W427" s="38"/>
    </row>
    <row r="428" spans="1:23">
      <c r="A428" s="45" t="str">
        <f>_xlfn.TEXTJOIN("",TRUE,Input!$B$2,ROW(My_Audit!A427))</f>
        <v>XX427</v>
      </c>
      <c r="B428" s="45" t="str">
        <f>_xlfn.TEXTJOIN("-",TRUE,"ITD",Input!$A$2,A428)</f>
        <v>ITD-SHRXXX-XX427</v>
      </c>
      <c r="C428" s="45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46" t="str" cm="1">
        <f t="array" ref="D428">IFERROR(_xlfn.LET(
_xlpm.CSVVal,_xlfn.XLOOKUP($A428,CSV!$A:$A,CSV!C:C,""),
_xlpm.MacVal,_xlfn.XLOOKUP($A428,Output_Mac!$A:$A,Output_Mac!D:D,""),
_xlpm.MyAuditVal,_xlfn.XLOOKUP($A428,My_Audit!$A:$A,My_Audit!C:C,""),
_xlfn.IFS(_xlpm.MyAuditVal&lt;&gt;"",UPPER(_xlpm.MyAuditVal),_xlpm.MacVal&lt;&gt;"",_xlpm.MacVal,_xlpm.CSVVal&lt;&gt;"",_xlpm.CSVVal
)),"")</f>
        <v/>
      </c>
      <c r="E428" s="46" t="str" cm="1">
        <f t="array" ref="E428">IFERROR(_xlfn.LET(
_xlpm.CSVVal,_xlfn.XLOOKUP($A428,CSV!$A:$A,CSV!E:E,""),
_xlpm.MacVal,_xlfn.XLOOKUP($A428,Output_Mac!$A:$A,Output_Mac!C:C,""),
_xlpm.MyAuditVal,_xlfn.XLOOKUP($A428,My_Audit!$A:$A,My_Audit!D:D,""),
_xlfn.IFS(_xlpm.MyAuditVal&lt;&gt;"",_xlpm.MyAuditVal,_xlpm.MacVal&lt;&gt;"",_xlpm.MacVal,_xlpm.CSVVal&lt;&gt;"",_xlpm.CSVVal
)),"")</f>
        <v/>
      </c>
      <c r="F428" s="45" t="str" cm="1">
        <f t="array" ref="F428">IFERROR(_xlfn.LET(
_xlpm.CSVVal,_xlfn.XLOOKUP($A428,CSV!$A:$A,CSV!F:F,""),
_xlpm.MacVal,_xlfn.XLOOKUP($A428,Output_Mac!$A:$A,Output_Mac!F:F,""),
_xlpm.MyAuditVal,_xlfn.XLOOKUP($A428,My_Audit!$A:$A,My_Audit!E:E,""),
_xlfn.IFS(_xlpm.MyAuditVal&lt;&gt;"",_xlpm.MyAuditVal,_xlpm.MacVal&lt;&gt;"",_xlpm.MacVal,_xlpm.CSVVal&lt;&gt;"",PROPER(_xlpm.CSVVal)
)),"")</f>
        <v/>
      </c>
      <c r="G428" s="45" t="str" cm="1">
        <f t="array" ref="G428">IFERROR(_xlfn.LET(
_xlpm.CSVVal,_xlfn.XLOOKUP($A428,CSV!$A:$A,CSV!G:G,""),
_xlpm.MacVal,_xlfn.XLOOKUP($A428,Output_Mac!$A:$A,Output_Mac!H:H,""),
_xlpm.MyAuditVal,_xlfn.XLOOKUP($A428,My_Audit!$A:$A,My_Audit!F:F,""),
_xlfn.IFS(_xlpm.MyAuditVal&lt;&gt;"",_xlpm.MyAuditVal,_xlpm.MacVal&lt;&gt;"",_xlpm.MacVal,_xlpm.CSVVal&lt;&gt;"",_xlpm.CSVVal
)),"")</f>
        <v/>
      </c>
      <c r="H428" s="45" t="str">
        <f>_xlfn.XLOOKUP(A428,Output_Mac!A:A,Output_Mac!I:I,"")</f>
        <v/>
      </c>
      <c r="I428" s="45" t="str" cm="1">
        <f t="array" ref="I428">IFERROR(_xlfn.LET(
_xlpm.CSVVal,_xlfn.XLOOKUP($A428,CSV!$A:$A,CSV!H:H,""),
_xlpm.MacVal,_xlfn.XLOOKUP($A428,Output_Mac!$A:$A,Output_Mac!J:J,""),
_xlpm.MyAuditVal,_xlfn.XLOOKUP($A428,My_Audit!$A:$A,My_Audit!H:H,""),
_xlfn.IFS(_xlpm.MyAuditVal&lt;&gt;"",UPPER(_xlpm.MyAuditVal),_xlpm.MacVal&lt;&gt;"",_xlpm.MacVal,_xlpm.CSVVal&lt;&gt;"",_xlpm.CSVVal
)),"")</f>
        <v/>
      </c>
      <c r="J428" s="45" t="str" cm="1">
        <f t="array" ref="J428">IFERROR(_xlfn.LET(
_xlpm.CSVVal,_xlfn.XLOOKUP($A428,CSV!$A:$A,CSV!J:J,""),
_xlpm.MacVal,_xlfn.XLOOKUP($A428,Output_Mac!$A:$A,Output_Mac!K:K,""),
_xlpm.MyAuditVal,_xlfn.XLOOKUP($A428,My_Audit!$A:$A,My_Audit!I:I,""),
_xlfn.IFS(_xlpm.MyAuditVal&lt;&gt;"",UPPER(_xlpm.MyAuditVal),_xlpm.MacVal&lt;&gt;"",_xlpm.MacVal,_xlpm.CSVVal&lt;&gt;"",_xlpm.CSVVal
)),"")</f>
        <v/>
      </c>
      <c r="K428" s="45" t="str" cm="1">
        <f t="array" ref="K428">IFERROR(_xlfn.LET(
_xlpm.CSVVal,_xlfn.XLOOKUP($A428,CSV!$A:$A,CSV!N:N,""),
_xlpm.MacVal,_xlfn.XLOOKUP($A428,Output_Mac!$A:$A,Output_Mac!L:L,""),
_xlpm.MyAuditVal,_xlfn.XLOOKUP($A428,My_Audit!$A:$A,My_Audit!J:J,""),
_xlfn.IFS(_xlpm.MyAuditVal&lt;&gt;"",UPPER(_xlpm.MyAuditVal),_xlpm.MacVal&lt;&gt;"",_xlpm.MacVal,_xlpm.CSVVal&lt;&gt;"",_xlpm.CSVVal
)),"")</f>
        <v/>
      </c>
      <c r="L428" s="45" t="str" cm="1">
        <f t="array" ref="L428">IFERROR(_xlfn.LET(
_xlpm.CSVVal,_xlfn.XLOOKUP($A428,CSV!$A:$A,CSV!P:P,""),
_xlpm.MacVal,_xlfn.XLOOKUP($A428,Output_Mac!$A:$A,Output_Mac!M:M,""),
_xlpm.MyAuditVal,_xlfn.XLOOKUP($A428,My_Audit!$A:$A,My_Audit!K:K,""),
_xlfn.IFS(_xlpm.MyAuditVal&lt;&gt;"",UPPER(_xlpm.MyAuditVal),_xlpm.MacVal&lt;&gt;"",_xlpm.MacVal,_xlpm.CSVVal&lt;&gt;"",_xlpm.CSVVal
)),"")</f>
        <v/>
      </c>
      <c r="M428" s="45" t="str">
        <f>_xlfn.LET(
    _xlpm.CSVVal, _xlfn.XLOOKUP($A428, CSV!$A:$A, CSV!AE:AE, ""),
    _xlpm.MacVal, _xlfn.XLOOKUP($A428, Output_Mac!$A:$A, Output_Mac!S:S, ""),
    _xlpm.MyAuditVal, _xlfn.XLOOKUP($A428, My_Audit!$A:$A, My_Audit!N:N, ""),
    _xlfn.TEXTJOIN(", ", TRUE, _xlpm.MyAuditVal, _xlpm.MacVal, _xlpm.CSVVal)
)</f>
        <v/>
      </c>
      <c r="N428" s="45" t="str" cm="1">
        <f t="array" ref="N428">IFERROR(_xlfn.LET(
_xlpm.CSVVal,_xlfn.XLOOKUP($A428,CSV!$A:$A,CSV!AG:AG,""),
_xlpm.MacVal,_xlfn.XLOOKUP($A428,Output_Mac!$A:$A,Output_Mac!U:U,""),
_xlpm.MyAuditVal,_xlfn.XLOOKUP($A428,My_Audit!$A:$A,My_Audit!O:O,""),
_xlfn.IFS(_xlpm.MyAuditVal&lt;&gt;"",UPPER(_xlpm.MyAuditVal),_xlpm.MacVal&lt;&gt;"",_xlpm.MacVal,_xlpm.CSVVal&lt;&gt;"",_xlpm.CSVVal
)),"")</f>
        <v/>
      </c>
      <c r="O428" s="46" t="str">
        <f>_xlfn.XLOOKUP(C428,My_Audit!B:B,My_Audit!P:P,"")&amp;""</f>
        <v/>
      </c>
      <c r="P428" s="45"/>
      <c r="Q428" s="46" t="str">
        <f>IF(LEFT(N428,4)="Pass","Nist SP 800-88",My_Audit!R428)&amp;""</f>
        <v/>
      </c>
      <c r="R428" s="45"/>
      <c r="S428" s="45"/>
      <c r="T428" s="46" t="str">
        <f>_xlfn.XLOOKUP(E428,Models!I:I,Models!J:J,"")</f>
        <v/>
      </c>
      <c r="U428" s="45"/>
      <c r="V428" s="45"/>
      <c r="W428" s="38"/>
    </row>
    <row r="429" spans="1:23">
      <c r="A429" s="45" t="str">
        <f>_xlfn.TEXTJOIN("",TRUE,Input!$B$2,ROW(My_Audit!A428))</f>
        <v>XX428</v>
      </c>
      <c r="B429" s="45" t="str">
        <f>_xlfn.TEXTJOIN("-",TRUE,"ITD",Input!$A$2,A429)</f>
        <v>ITD-SHRXXX-XX428</v>
      </c>
      <c r="C429" s="45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46" t="str" cm="1">
        <f t="array" ref="D429">IFERROR(_xlfn.LET(
_xlpm.CSVVal,_xlfn.XLOOKUP($A429,CSV!$A:$A,CSV!C:C,""),
_xlpm.MacVal,_xlfn.XLOOKUP($A429,Output_Mac!$A:$A,Output_Mac!D:D,""),
_xlpm.MyAuditVal,_xlfn.XLOOKUP($A429,My_Audit!$A:$A,My_Audit!C:C,""),
_xlfn.IFS(_xlpm.MyAuditVal&lt;&gt;"",UPPER(_xlpm.MyAuditVal),_xlpm.MacVal&lt;&gt;"",_xlpm.MacVal,_xlpm.CSVVal&lt;&gt;"",_xlpm.CSVVal
)),"")</f>
        <v/>
      </c>
      <c r="E429" s="46" t="str" cm="1">
        <f t="array" ref="E429">IFERROR(_xlfn.LET(
_xlpm.CSVVal,_xlfn.XLOOKUP($A429,CSV!$A:$A,CSV!E:E,""),
_xlpm.MacVal,_xlfn.XLOOKUP($A429,Output_Mac!$A:$A,Output_Mac!C:C,""),
_xlpm.MyAuditVal,_xlfn.XLOOKUP($A429,My_Audit!$A:$A,My_Audit!D:D,""),
_xlfn.IFS(_xlpm.MyAuditVal&lt;&gt;"",_xlpm.MyAuditVal,_xlpm.MacVal&lt;&gt;"",_xlpm.MacVal,_xlpm.CSVVal&lt;&gt;"",_xlpm.CSVVal
)),"")</f>
        <v/>
      </c>
      <c r="F429" s="45" t="str" cm="1">
        <f t="array" ref="F429">IFERROR(_xlfn.LET(
_xlpm.CSVVal,_xlfn.XLOOKUP($A429,CSV!$A:$A,CSV!F:F,""),
_xlpm.MacVal,_xlfn.XLOOKUP($A429,Output_Mac!$A:$A,Output_Mac!F:F,""),
_xlpm.MyAuditVal,_xlfn.XLOOKUP($A429,My_Audit!$A:$A,My_Audit!E:E,""),
_xlfn.IFS(_xlpm.MyAuditVal&lt;&gt;"",_xlpm.MyAuditVal,_xlpm.MacVal&lt;&gt;"",_xlpm.MacVal,_xlpm.CSVVal&lt;&gt;"",PROPER(_xlpm.CSVVal)
)),"")</f>
        <v/>
      </c>
      <c r="G429" s="45" t="str" cm="1">
        <f t="array" ref="G429">IFERROR(_xlfn.LET(
_xlpm.CSVVal,_xlfn.XLOOKUP($A429,CSV!$A:$A,CSV!G:G,""),
_xlpm.MacVal,_xlfn.XLOOKUP($A429,Output_Mac!$A:$A,Output_Mac!H:H,""),
_xlpm.MyAuditVal,_xlfn.XLOOKUP($A429,My_Audit!$A:$A,My_Audit!F:F,""),
_xlfn.IFS(_xlpm.MyAuditVal&lt;&gt;"",_xlpm.MyAuditVal,_xlpm.MacVal&lt;&gt;"",_xlpm.MacVal,_xlpm.CSVVal&lt;&gt;"",_xlpm.CSVVal
)),"")</f>
        <v/>
      </c>
      <c r="H429" s="45" t="str">
        <f>_xlfn.XLOOKUP(A429,Output_Mac!A:A,Output_Mac!I:I,"")</f>
        <v/>
      </c>
      <c r="I429" s="45" t="str" cm="1">
        <f t="array" ref="I429">IFERROR(_xlfn.LET(
_xlpm.CSVVal,_xlfn.XLOOKUP($A429,CSV!$A:$A,CSV!H:H,""),
_xlpm.MacVal,_xlfn.XLOOKUP($A429,Output_Mac!$A:$A,Output_Mac!J:J,""),
_xlpm.MyAuditVal,_xlfn.XLOOKUP($A429,My_Audit!$A:$A,My_Audit!H:H,""),
_xlfn.IFS(_xlpm.MyAuditVal&lt;&gt;"",UPPER(_xlpm.MyAuditVal),_xlpm.MacVal&lt;&gt;"",_xlpm.MacVal,_xlpm.CSVVal&lt;&gt;"",_xlpm.CSVVal
)),"")</f>
        <v/>
      </c>
      <c r="J429" s="45" t="str" cm="1">
        <f t="array" ref="J429">IFERROR(_xlfn.LET(
_xlpm.CSVVal,_xlfn.XLOOKUP($A429,CSV!$A:$A,CSV!J:J,""),
_xlpm.MacVal,_xlfn.XLOOKUP($A429,Output_Mac!$A:$A,Output_Mac!K:K,""),
_xlpm.MyAuditVal,_xlfn.XLOOKUP($A429,My_Audit!$A:$A,My_Audit!I:I,""),
_xlfn.IFS(_xlpm.MyAuditVal&lt;&gt;"",UPPER(_xlpm.MyAuditVal),_xlpm.MacVal&lt;&gt;"",_xlpm.MacVal,_xlpm.CSVVal&lt;&gt;"",_xlpm.CSVVal
)),"")</f>
        <v/>
      </c>
      <c r="K429" s="45" t="str" cm="1">
        <f t="array" ref="K429">IFERROR(_xlfn.LET(
_xlpm.CSVVal,_xlfn.XLOOKUP($A429,CSV!$A:$A,CSV!N:N,""),
_xlpm.MacVal,_xlfn.XLOOKUP($A429,Output_Mac!$A:$A,Output_Mac!L:L,""),
_xlpm.MyAuditVal,_xlfn.XLOOKUP($A429,My_Audit!$A:$A,My_Audit!J:J,""),
_xlfn.IFS(_xlpm.MyAuditVal&lt;&gt;"",UPPER(_xlpm.MyAuditVal),_xlpm.MacVal&lt;&gt;"",_xlpm.MacVal,_xlpm.CSVVal&lt;&gt;"",_xlpm.CSVVal
)),"")</f>
        <v/>
      </c>
      <c r="L429" s="45" t="str" cm="1">
        <f t="array" ref="L429">IFERROR(_xlfn.LET(
_xlpm.CSVVal,_xlfn.XLOOKUP($A429,CSV!$A:$A,CSV!P:P,""),
_xlpm.MacVal,_xlfn.XLOOKUP($A429,Output_Mac!$A:$A,Output_Mac!M:M,""),
_xlpm.MyAuditVal,_xlfn.XLOOKUP($A429,My_Audit!$A:$A,My_Audit!K:K,""),
_xlfn.IFS(_xlpm.MyAuditVal&lt;&gt;"",UPPER(_xlpm.MyAuditVal),_xlpm.MacVal&lt;&gt;"",_xlpm.MacVal,_xlpm.CSVVal&lt;&gt;"",_xlpm.CSVVal
)),"")</f>
        <v/>
      </c>
      <c r="M429" s="45" t="str">
        <f>_xlfn.LET(
    _xlpm.CSVVal, _xlfn.XLOOKUP($A429, CSV!$A:$A, CSV!AE:AE, ""),
    _xlpm.MacVal, _xlfn.XLOOKUP($A429, Output_Mac!$A:$A, Output_Mac!S:S, ""),
    _xlpm.MyAuditVal, _xlfn.XLOOKUP($A429, My_Audit!$A:$A, My_Audit!N:N, ""),
    _xlfn.TEXTJOIN(", ", TRUE, _xlpm.MyAuditVal, _xlpm.MacVal, _xlpm.CSVVal)
)</f>
        <v/>
      </c>
      <c r="N429" s="45" t="str" cm="1">
        <f t="array" ref="N429">IFERROR(_xlfn.LET(
_xlpm.CSVVal,_xlfn.XLOOKUP($A429,CSV!$A:$A,CSV!AG:AG,""),
_xlpm.MacVal,_xlfn.XLOOKUP($A429,Output_Mac!$A:$A,Output_Mac!U:U,""),
_xlpm.MyAuditVal,_xlfn.XLOOKUP($A429,My_Audit!$A:$A,My_Audit!O:O,""),
_xlfn.IFS(_xlpm.MyAuditVal&lt;&gt;"",UPPER(_xlpm.MyAuditVal),_xlpm.MacVal&lt;&gt;"",_xlpm.MacVal,_xlpm.CSVVal&lt;&gt;"",_xlpm.CSVVal
)),"")</f>
        <v/>
      </c>
      <c r="O429" s="46" t="str">
        <f>_xlfn.XLOOKUP(C429,My_Audit!B:B,My_Audit!P:P,"")&amp;""</f>
        <v/>
      </c>
      <c r="P429" s="45"/>
      <c r="Q429" s="46" t="str">
        <f>IF(LEFT(N429,4)="Pass","Nist SP 800-88",My_Audit!R429)&amp;""</f>
        <v/>
      </c>
      <c r="R429" s="45"/>
      <c r="S429" s="45"/>
      <c r="T429" s="46" t="str">
        <f>_xlfn.XLOOKUP(E429,Models!I:I,Models!J:J,"")</f>
        <v/>
      </c>
      <c r="U429" s="45"/>
      <c r="V429" s="45"/>
      <c r="W429" s="38"/>
    </row>
    <row r="430" spans="1:23">
      <c r="A430" s="45" t="str">
        <f>_xlfn.TEXTJOIN("",TRUE,Input!$B$2,ROW(My_Audit!A429))</f>
        <v>XX429</v>
      </c>
      <c r="B430" s="45" t="str">
        <f>_xlfn.TEXTJOIN("-",TRUE,"ITD",Input!$A$2,A430)</f>
        <v>ITD-SHRXXX-XX429</v>
      </c>
      <c r="C430" s="45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46" t="str" cm="1">
        <f t="array" ref="D430">IFERROR(_xlfn.LET(
_xlpm.CSVVal,_xlfn.XLOOKUP($A430,CSV!$A:$A,CSV!C:C,""),
_xlpm.MacVal,_xlfn.XLOOKUP($A430,Output_Mac!$A:$A,Output_Mac!D:D,""),
_xlpm.MyAuditVal,_xlfn.XLOOKUP($A430,My_Audit!$A:$A,My_Audit!C:C,""),
_xlfn.IFS(_xlpm.MyAuditVal&lt;&gt;"",UPPER(_xlpm.MyAuditVal),_xlpm.MacVal&lt;&gt;"",_xlpm.MacVal,_xlpm.CSVVal&lt;&gt;"",_xlpm.CSVVal
)),"")</f>
        <v/>
      </c>
      <c r="E430" s="46" t="str" cm="1">
        <f t="array" ref="E430">IFERROR(_xlfn.LET(
_xlpm.CSVVal,_xlfn.XLOOKUP($A430,CSV!$A:$A,CSV!E:E,""),
_xlpm.MacVal,_xlfn.XLOOKUP($A430,Output_Mac!$A:$A,Output_Mac!C:C,""),
_xlpm.MyAuditVal,_xlfn.XLOOKUP($A430,My_Audit!$A:$A,My_Audit!D:D,""),
_xlfn.IFS(_xlpm.MyAuditVal&lt;&gt;"",_xlpm.MyAuditVal,_xlpm.MacVal&lt;&gt;"",_xlpm.MacVal,_xlpm.CSVVal&lt;&gt;"",_xlpm.CSVVal
)),"")</f>
        <v/>
      </c>
      <c r="F430" s="45" t="str" cm="1">
        <f t="array" ref="F430">IFERROR(_xlfn.LET(
_xlpm.CSVVal,_xlfn.XLOOKUP($A430,CSV!$A:$A,CSV!F:F,""),
_xlpm.MacVal,_xlfn.XLOOKUP($A430,Output_Mac!$A:$A,Output_Mac!F:F,""),
_xlpm.MyAuditVal,_xlfn.XLOOKUP($A430,My_Audit!$A:$A,My_Audit!E:E,""),
_xlfn.IFS(_xlpm.MyAuditVal&lt;&gt;"",_xlpm.MyAuditVal,_xlpm.MacVal&lt;&gt;"",_xlpm.MacVal,_xlpm.CSVVal&lt;&gt;"",PROPER(_xlpm.CSVVal)
)),"")</f>
        <v/>
      </c>
      <c r="G430" s="45" t="str" cm="1">
        <f t="array" ref="G430">IFERROR(_xlfn.LET(
_xlpm.CSVVal,_xlfn.XLOOKUP($A430,CSV!$A:$A,CSV!G:G,""),
_xlpm.MacVal,_xlfn.XLOOKUP($A430,Output_Mac!$A:$A,Output_Mac!H:H,""),
_xlpm.MyAuditVal,_xlfn.XLOOKUP($A430,My_Audit!$A:$A,My_Audit!F:F,""),
_xlfn.IFS(_xlpm.MyAuditVal&lt;&gt;"",_xlpm.MyAuditVal,_xlpm.MacVal&lt;&gt;"",_xlpm.MacVal,_xlpm.CSVVal&lt;&gt;"",_xlpm.CSVVal
)),"")</f>
        <v/>
      </c>
      <c r="H430" s="45" t="str">
        <f>_xlfn.XLOOKUP(A430,Output_Mac!A:A,Output_Mac!I:I,"")</f>
        <v/>
      </c>
      <c r="I430" s="45" t="str" cm="1">
        <f t="array" ref="I430">IFERROR(_xlfn.LET(
_xlpm.CSVVal,_xlfn.XLOOKUP($A430,CSV!$A:$A,CSV!H:H,""),
_xlpm.MacVal,_xlfn.XLOOKUP($A430,Output_Mac!$A:$A,Output_Mac!J:J,""),
_xlpm.MyAuditVal,_xlfn.XLOOKUP($A430,My_Audit!$A:$A,My_Audit!H:H,""),
_xlfn.IFS(_xlpm.MyAuditVal&lt;&gt;"",UPPER(_xlpm.MyAuditVal),_xlpm.MacVal&lt;&gt;"",_xlpm.MacVal,_xlpm.CSVVal&lt;&gt;"",_xlpm.CSVVal
)),"")</f>
        <v/>
      </c>
      <c r="J430" s="45" t="str" cm="1">
        <f t="array" ref="J430">IFERROR(_xlfn.LET(
_xlpm.CSVVal,_xlfn.XLOOKUP($A430,CSV!$A:$A,CSV!J:J,""),
_xlpm.MacVal,_xlfn.XLOOKUP($A430,Output_Mac!$A:$A,Output_Mac!K:K,""),
_xlpm.MyAuditVal,_xlfn.XLOOKUP($A430,My_Audit!$A:$A,My_Audit!I:I,""),
_xlfn.IFS(_xlpm.MyAuditVal&lt;&gt;"",UPPER(_xlpm.MyAuditVal),_xlpm.MacVal&lt;&gt;"",_xlpm.MacVal,_xlpm.CSVVal&lt;&gt;"",_xlpm.CSVVal
)),"")</f>
        <v/>
      </c>
      <c r="K430" s="45" t="str" cm="1">
        <f t="array" ref="K430">IFERROR(_xlfn.LET(
_xlpm.CSVVal,_xlfn.XLOOKUP($A430,CSV!$A:$A,CSV!N:N,""),
_xlpm.MacVal,_xlfn.XLOOKUP($A430,Output_Mac!$A:$A,Output_Mac!L:L,""),
_xlpm.MyAuditVal,_xlfn.XLOOKUP($A430,My_Audit!$A:$A,My_Audit!J:J,""),
_xlfn.IFS(_xlpm.MyAuditVal&lt;&gt;"",UPPER(_xlpm.MyAuditVal),_xlpm.MacVal&lt;&gt;"",_xlpm.MacVal,_xlpm.CSVVal&lt;&gt;"",_xlpm.CSVVal
)),"")</f>
        <v/>
      </c>
      <c r="L430" s="45" t="str" cm="1">
        <f t="array" ref="L430">IFERROR(_xlfn.LET(
_xlpm.CSVVal,_xlfn.XLOOKUP($A430,CSV!$A:$A,CSV!P:P,""),
_xlpm.MacVal,_xlfn.XLOOKUP($A430,Output_Mac!$A:$A,Output_Mac!M:M,""),
_xlpm.MyAuditVal,_xlfn.XLOOKUP($A430,My_Audit!$A:$A,My_Audit!K:K,""),
_xlfn.IFS(_xlpm.MyAuditVal&lt;&gt;"",UPPER(_xlpm.MyAuditVal),_xlpm.MacVal&lt;&gt;"",_xlpm.MacVal,_xlpm.CSVVal&lt;&gt;"",_xlpm.CSVVal
)),"")</f>
        <v/>
      </c>
      <c r="M430" s="45" t="str">
        <f>_xlfn.LET(
    _xlpm.CSVVal, _xlfn.XLOOKUP($A430, CSV!$A:$A, CSV!AE:AE, ""),
    _xlpm.MacVal, _xlfn.XLOOKUP($A430, Output_Mac!$A:$A, Output_Mac!S:S, ""),
    _xlpm.MyAuditVal, _xlfn.XLOOKUP($A430, My_Audit!$A:$A, My_Audit!N:N, ""),
    _xlfn.TEXTJOIN(", ", TRUE, _xlpm.MyAuditVal, _xlpm.MacVal, _xlpm.CSVVal)
)</f>
        <v/>
      </c>
      <c r="N430" s="45" t="str" cm="1">
        <f t="array" ref="N430">IFERROR(_xlfn.LET(
_xlpm.CSVVal,_xlfn.XLOOKUP($A430,CSV!$A:$A,CSV!AG:AG,""),
_xlpm.MacVal,_xlfn.XLOOKUP($A430,Output_Mac!$A:$A,Output_Mac!U:U,""),
_xlpm.MyAuditVal,_xlfn.XLOOKUP($A430,My_Audit!$A:$A,My_Audit!O:O,""),
_xlfn.IFS(_xlpm.MyAuditVal&lt;&gt;"",UPPER(_xlpm.MyAuditVal),_xlpm.MacVal&lt;&gt;"",_xlpm.MacVal,_xlpm.CSVVal&lt;&gt;"",_xlpm.CSVVal
)),"")</f>
        <v/>
      </c>
      <c r="O430" s="46" t="str">
        <f>_xlfn.XLOOKUP(C430,My_Audit!B:B,My_Audit!P:P,"")&amp;""</f>
        <v/>
      </c>
      <c r="P430" s="45"/>
      <c r="Q430" s="46" t="str">
        <f>IF(LEFT(N430,4)="Pass","Nist SP 800-88",My_Audit!R430)&amp;""</f>
        <v/>
      </c>
      <c r="R430" s="45"/>
      <c r="S430" s="45"/>
      <c r="T430" s="46" t="str">
        <f>_xlfn.XLOOKUP(E430,Models!I:I,Models!J:J,"")</f>
        <v/>
      </c>
      <c r="U430" s="45"/>
      <c r="V430" s="45"/>
      <c r="W430" s="38"/>
    </row>
    <row r="431" spans="1:23">
      <c r="A431" s="45" t="str">
        <f>_xlfn.TEXTJOIN("",TRUE,Input!$B$2,ROW(My_Audit!A430))</f>
        <v>XX430</v>
      </c>
      <c r="B431" s="45" t="str">
        <f>_xlfn.TEXTJOIN("-",TRUE,"ITD",Input!$A$2,A431)</f>
        <v>ITD-SHRXXX-XX430</v>
      </c>
      <c r="C431" s="45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46" t="str" cm="1">
        <f t="array" ref="D431">IFERROR(_xlfn.LET(
_xlpm.CSVVal,_xlfn.XLOOKUP($A431,CSV!$A:$A,CSV!C:C,""),
_xlpm.MacVal,_xlfn.XLOOKUP($A431,Output_Mac!$A:$A,Output_Mac!D:D,""),
_xlpm.MyAuditVal,_xlfn.XLOOKUP($A431,My_Audit!$A:$A,My_Audit!C:C,""),
_xlfn.IFS(_xlpm.MyAuditVal&lt;&gt;"",UPPER(_xlpm.MyAuditVal),_xlpm.MacVal&lt;&gt;"",_xlpm.MacVal,_xlpm.CSVVal&lt;&gt;"",_xlpm.CSVVal
)),"")</f>
        <v/>
      </c>
      <c r="E431" s="46" t="str" cm="1">
        <f t="array" ref="E431">IFERROR(_xlfn.LET(
_xlpm.CSVVal,_xlfn.XLOOKUP($A431,CSV!$A:$A,CSV!E:E,""),
_xlpm.MacVal,_xlfn.XLOOKUP($A431,Output_Mac!$A:$A,Output_Mac!C:C,""),
_xlpm.MyAuditVal,_xlfn.XLOOKUP($A431,My_Audit!$A:$A,My_Audit!D:D,""),
_xlfn.IFS(_xlpm.MyAuditVal&lt;&gt;"",_xlpm.MyAuditVal,_xlpm.MacVal&lt;&gt;"",_xlpm.MacVal,_xlpm.CSVVal&lt;&gt;"",_xlpm.CSVVal
)),"")</f>
        <v/>
      </c>
      <c r="F431" s="45" t="str" cm="1">
        <f t="array" ref="F431">IFERROR(_xlfn.LET(
_xlpm.CSVVal,_xlfn.XLOOKUP($A431,CSV!$A:$A,CSV!F:F,""),
_xlpm.MacVal,_xlfn.XLOOKUP($A431,Output_Mac!$A:$A,Output_Mac!F:F,""),
_xlpm.MyAuditVal,_xlfn.XLOOKUP($A431,My_Audit!$A:$A,My_Audit!E:E,""),
_xlfn.IFS(_xlpm.MyAuditVal&lt;&gt;"",_xlpm.MyAuditVal,_xlpm.MacVal&lt;&gt;"",_xlpm.MacVal,_xlpm.CSVVal&lt;&gt;"",PROPER(_xlpm.CSVVal)
)),"")</f>
        <v/>
      </c>
      <c r="G431" s="45" t="str" cm="1">
        <f t="array" ref="G431">IFERROR(_xlfn.LET(
_xlpm.CSVVal,_xlfn.XLOOKUP($A431,CSV!$A:$A,CSV!G:G,""),
_xlpm.MacVal,_xlfn.XLOOKUP($A431,Output_Mac!$A:$A,Output_Mac!H:H,""),
_xlpm.MyAuditVal,_xlfn.XLOOKUP($A431,My_Audit!$A:$A,My_Audit!F:F,""),
_xlfn.IFS(_xlpm.MyAuditVal&lt;&gt;"",_xlpm.MyAuditVal,_xlpm.MacVal&lt;&gt;"",_xlpm.MacVal,_xlpm.CSVVal&lt;&gt;"",_xlpm.CSVVal
)),"")</f>
        <v/>
      </c>
      <c r="H431" s="45" t="str">
        <f>_xlfn.XLOOKUP(A431,Output_Mac!A:A,Output_Mac!I:I,"")</f>
        <v/>
      </c>
      <c r="I431" s="45" t="str" cm="1">
        <f t="array" ref="I431">IFERROR(_xlfn.LET(
_xlpm.CSVVal,_xlfn.XLOOKUP($A431,CSV!$A:$A,CSV!H:H,""),
_xlpm.MacVal,_xlfn.XLOOKUP($A431,Output_Mac!$A:$A,Output_Mac!J:J,""),
_xlpm.MyAuditVal,_xlfn.XLOOKUP($A431,My_Audit!$A:$A,My_Audit!H:H,""),
_xlfn.IFS(_xlpm.MyAuditVal&lt;&gt;"",UPPER(_xlpm.MyAuditVal),_xlpm.MacVal&lt;&gt;"",_xlpm.MacVal,_xlpm.CSVVal&lt;&gt;"",_xlpm.CSVVal
)),"")</f>
        <v/>
      </c>
      <c r="J431" s="45" t="str" cm="1">
        <f t="array" ref="J431">IFERROR(_xlfn.LET(
_xlpm.CSVVal,_xlfn.XLOOKUP($A431,CSV!$A:$A,CSV!J:J,""),
_xlpm.MacVal,_xlfn.XLOOKUP($A431,Output_Mac!$A:$A,Output_Mac!K:K,""),
_xlpm.MyAuditVal,_xlfn.XLOOKUP($A431,My_Audit!$A:$A,My_Audit!I:I,""),
_xlfn.IFS(_xlpm.MyAuditVal&lt;&gt;"",UPPER(_xlpm.MyAuditVal),_xlpm.MacVal&lt;&gt;"",_xlpm.MacVal,_xlpm.CSVVal&lt;&gt;"",_xlpm.CSVVal
)),"")</f>
        <v/>
      </c>
      <c r="K431" s="45" t="str" cm="1">
        <f t="array" ref="K431">IFERROR(_xlfn.LET(
_xlpm.CSVVal,_xlfn.XLOOKUP($A431,CSV!$A:$A,CSV!N:N,""),
_xlpm.MacVal,_xlfn.XLOOKUP($A431,Output_Mac!$A:$A,Output_Mac!L:L,""),
_xlpm.MyAuditVal,_xlfn.XLOOKUP($A431,My_Audit!$A:$A,My_Audit!J:J,""),
_xlfn.IFS(_xlpm.MyAuditVal&lt;&gt;"",UPPER(_xlpm.MyAuditVal),_xlpm.MacVal&lt;&gt;"",_xlpm.MacVal,_xlpm.CSVVal&lt;&gt;"",_xlpm.CSVVal
)),"")</f>
        <v/>
      </c>
      <c r="L431" s="45" t="str" cm="1">
        <f t="array" ref="L431">IFERROR(_xlfn.LET(
_xlpm.CSVVal,_xlfn.XLOOKUP($A431,CSV!$A:$A,CSV!P:P,""),
_xlpm.MacVal,_xlfn.XLOOKUP($A431,Output_Mac!$A:$A,Output_Mac!M:M,""),
_xlpm.MyAuditVal,_xlfn.XLOOKUP($A431,My_Audit!$A:$A,My_Audit!K:K,""),
_xlfn.IFS(_xlpm.MyAuditVal&lt;&gt;"",UPPER(_xlpm.MyAuditVal),_xlpm.MacVal&lt;&gt;"",_xlpm.MacVal,_xlpm.CSVVal&lt;&gt;"",_xlpm.CSVVal
)),"")</f>
        <v/>
      </c>
      <c r="M431" s="45" t="str">
        <f>_xlfn.LET(
    _xlpm.CSVVal, _xlfn.XLOOKUP($A431, CSV!$A:$A, CSV!AE:AE, ""),
    _xlpm.MacVal, _xlfn.XLOOKUP($A431, Output_Mac!$A:$A, Output_Mac!S:S, ""),
    _xlpm.MyAuditVal, _xlfn.XLOOKUP($A431, My_Audit!$A:$A, My_Audit!N:N, ""),
    _xlfn.TEXTJOIN(", ", TRUE, _xlpm.MyAuditVal, _xlpm.MacVal, _xlpm.CSVVal)
)</f>
        <v/>
      </c>
      <c r="N431" s="45" t="str" cm="1">
        <f t="array" ref="N431">IFERROR(_xlfn.LET(
_xlpm.CSVVal,_xlfn.XLOOKUP($A431,CSV!$A:$A,CSV!AG:AG,""),
_xlpm.MacVal,_xlfn.XLOOKUP($A431,Output_Mac!$A:$A,Output_Mac!U:U,""),
_xlpm.MyAuditVal,_xlfn.XLOOKUP($A431,My_Audit!$A:$A,My_Audit!O:O,""),
_xlfn.IFS(_xlpm.MyAuditVal&lt;&gt;"",UPPER(_xlpm.MyAuditVal),_xlpm.MacVal&lt;&gt;"",_xlpm.MacVal,_xlpm.CSVVal&lt;&gt;"",_xlpm.CSVVal
)),"")</f>
        <v/>
      </c>
      <c r="O431" s="46" t="str">
        <f>_xlfn.XLOOKUP(C431,My_Audit!B:B,My_Audit!P:P,"")&amp;""</f>
        <v/>
      </c>
      <c r="P431" s="45"/>
      <c r="Q431" s="46" t="str">
        <f>IF(LEFT(N431,4)="Pass","Nist SP 800-88",My_Audit!R431)&amp;""</f>
        <v/>
      </c>
      <c r="R431" s="45"/>
      <c r="S431" s="45"/>
      <c r="T431" s="46" t="str">
        <f>_xlfn.XLOOKUP(E431,Models!I:I,Models!J:J,"")</f>
        <v/>
      </c>
      <c r="U431" s="45"/>
      <c r="V431" s="45"/>
      <c r="W431" s="38"/>
    </row>
    <row r="432" spans="1:23">
      <c r="A432" s="45" t="str">
        <f>_xlfn.TEXTJOIN("",TRUE,Input!$B$2,ROW(My_Audit!A431))</f>
        <v>XX431</v>
      </c>
      <c r="B432" s="45" t="str">
        <f>_xlfn.TEXTJOIN("-",TRUE,"ITD",Input!$A$2,A432)</f>
        <v>ITD-SHRXXX-XX431</v>
      </c>
      <c r="C432" s="45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46" t="str" cm="1">
        <f t="array" ref="D432">IFERROR(_xlfn.LET(
_xlpm.CSVVal,_xlfn.XLOOKUP($A432,CSV!$A:$A,CSV!C:C,""),
_xlpm.MacVal,_xlfn.XLOOKUP($A432,Output_Mac!$A:$A,Output_Mac!D:D,""),
_xlpm.MyAuditVal,_xlfn.XLOOKUP($A432,My_Audit!$A:$A,My_Audit!C:C,""),
_xlfn.IFS(_xlpm.MyAuditVal&lt;&gt;"",UPPER(_xlpm.MyAuditVal),_xlpm.MacVal&lt;&gt;"",_xlpm.MacVal,_xlpm.CSVVal&lt;&gt;"",_xlpm.CSVVal
)),"")</f>
        <v/>
      </c>
      <c r="E432" s="46" t="str" cm="1">
        <f t="array" ref="E432">IFERROR(_xlfn.LET(
_xlpm.CSVVal,_xlfn.XLOOKUP($A432,CSV!$A:$A,CSV!E:E,""),
_xlpm.MacVal,_xlfn.XLOOKUP($A432,Output_Mac!$A:$A,Output_Mac!C:C,""),
_xlpm.MyAuditVal,_xlfn.XLOOKUP($A432,My_Audit!$A:$A,My_Audit!D:D,""),
_xlfn.IFS(_xlpm.MyAuditVal&lt;&gt;"",_xlpm.MyAuditVal,_xlpm.MacVal&lt;&gt;"",_xlpm.MacVal,_xlpm.CSVVal&lt;&gt;"",_xlpm.CSVVal
)),"")</f>
        <v/>
      </c>
      <c r="F432" s="45" t="str" cm="1">
        <f t="array" ref="F432">IFERROR(_xlfn.LET(
_xlpm.CSVVal,_xlfn.XLOOKUP($A432,CSV!$A:$A,CSV!F:F,""),
_xlpm.MacVal,_xlfn.XLOOKUP($A432,Output_Mac!$A:$A,Output_Mac!F:F,""),
_xlpm.MyAuditVal,_xlfn.XLOOKUP($A432,My_Audit!$A:$A,My_Audit!E:E,""),
_xlfn.IFS(_xlpm.MyAuditVal&lt;&gt;"",_xlpm.MyAuditVal,_xlpm.MacVal&lt;&gt;"",_xlpm.MacVal,_xlpm.CSVVal&lt;&gt;"",PROPER(_xlpm.CSVVal)
)),"")</f>
        <v/>
      </c>
      <c r="G432" s="45" t="str" cm="1">
        <f t="array" ref="G432">IFERROR(_xlfn.LET(
_xlpm.CSVVal,_xlfn.XLOOKUP($A432,CSV!$A:$A,CSV!G:G,""),
_xlpm.MacVal,_xlfn.XLOOKUP($A432,Output_Mac!$A:$A,Output_Mac!H:H,""),
_xlpm.MyAuditVal,_xlfn.XLOOKUP($A432,My_Audit!$A:$A,My_Audit!F:F,""),
_xlfn.IFS(_xlpm.MyAuditVal&lt;&gt;"",_xlpm.MyAuditVal,_xlpm.MacVal&lt;&gt;"",_xlpm.MacVal,_xlpm.CSVVal&lt;&gt;"",_xlpm.CSVVal
)),"")</f>
        <v/>
      </c>
      <c r="H432" s="45" t="str">
        <f>_xlfn.XLOOKUP(A432,Output_Mac!A:A,Output_Mac!I:I,"")</f>
        <v/>
      </c>
      <c r="I432" s="45" t="str" cm="1">
        <f t="array" ref="I432">IFERROR(_xlfn.LET(
_xlpm.CSVVal,_xlfn.XLOOKUP($A432,CSV!$A:$A,CSV!H:H,""),
_xlpm.MacVal,_xlfn.XLOOKUP($A432,Output_Mac!$A:$A,Output_Mac!J:J,""),
_xlpm.MyAuditVal,_xlfn.XLOOKUP($A432,My_Audit!$A:$A,My_Audit!H:H,""),
_xlfn.IFS(_xlpm.MyAuditVal&lt;&gt;"",UPPER(_xlpm.MyAuditVal),_xlpm.MacVal&lt;&gt;"",_xlpm.MacVal,_xlpm.CSVVal&lt;&gt;"",_xlpm.CSVVal
)),"")</f>
        <v/>
      </c>
      <c r="J432" s="45" t="str" cm="1">
        <f t="array" ref="J432">IFERROR(_xlfn.LET(
_xlpm.CSVVal,_xlfn.XLOOKUP($A432,CSV!$A:$A,CSV!J:J,""),
_xlpm.MacVal,_xlfn.XLOOKUP($A432,Output_Mac!$A:$A,Output_Mac!K:K,""),
_xlpm.MyAuditVal,_xlfn.XLOOKUP($A432,My_Audit!$A:$A,My_Audit!I:I,""),
_xlfn.IFS(_xlpm.MyAuditVal&lt;&gt;"",UPPER(_xlpm.MyAuditVal),_xlpm.MacVal&lt;&gt;"",_xlpm.MacVal,_xlpm.CSVVal&lt;&gt;"",_xlpm.CSVVal
)),"")</f>
        <v/>
      </c>
      <c r="K432" s="45" t="str" cm="1">
        <f t="array" ref="K432">IFERROR(_xlfn.LET(
_xlpm.CSVVal,_xlfn.XLOOKUP($A432,CSV!$A:$A,CSV!N:N,""),
_xlpm.MacVal,_xlfn.XLOOKUP($A432,Output_Mac!$A:$A,Output_Mac!L:L,""),
_xlpm.MyAuditVal,_xlfn.XLOOKUP($A432,My_Audit!$A:$A,My_Audit!J:J,""),
_xlfn.IFS(_xlpm.MyAuditVal&lt;&gt;"",UPPER(_xlpm.MyAuditVal),_xlpm.MacVal&lt;&gt;"",_xlpm.MacVal,_xlpm.CSVVal&lt;&gt;"",_xlpm.CSVVal
)),"")</f>
        <v/>
      </c>
      <c r="L432" s="45" t="str" cm="1">
        <f t="array" ref="L432">IFERROR(_xlfn.LET(
_xlpm.CSVVal,_xlfn.XLOOKUP($A432,CSV!$A:$A,CSV!P:P,""),
_xlpm.MacVal,_xlfn.XLOOKUP($A432,Output_Mac!$A:$A,Output_Mac!M:M,""),
_xlpm.MyAuditVal,_xlfn.XLOOKUP($A432,My_Audit!$A:$A,My_Audit!K:K,""),
_xlfn.IFS(_xlpm.MyAuditVal&lt;&gt;"",UPPER(_xlpm.MyAuditVal),_xlpm.MacVal&lt;&gt;"",_xlpm.MacVal,_xlpm.CSVVal&lt;&gt;"",_xlpm.CSVVal
)),"")</f>
        <v/>
      </c>
      <c r="M432" s="45" t="str">
        <f>_xlfn.LET(
    _xlpm.CSVVal, _xlfn.XLOOKUP($A432, CSV!$A:$A, CSV!AE:AE, ""),
    _xlpm.MacVal, _xlfn.XLOOKUP($A432, Output_Mac!$A:$A, Output_Mac!S:S, ""),
    _xlpm.MyAuditVal, _xlfn.XLOOKUP($A432, My_Audit!$A:$A, My_Audit!N:N, ""),
    _xlfn.TEXTJOIN(", ", TRUE, _xlpm.MyAuditVal, _xlpm.MacVal, _xlpm.CSVVal)
)</f>
        <v/>
      </c>
      <c r="N432" s="45" t="str" cm="1">
        <f t="array" ref="N432">IFERROR(_xlfn.LET(
_xlpm.CSVVal,_xlfn.XLOOKUP($A432,CSV!$A:$A,CSV!AG:AG,""),
_xlpm.MacVal,_xlfn.XLOOKUP($A432,Output_Mac!$A:$A,Output_Mac!U:U,""),
_xlpm.MyAuditVal,_xlfn.XLOOKUP($A432,My_Audit!$A:$A,My_Audit!O:O,""),
_xlfn.IFS(_xlpm.MyAuditVal&lt;&gt;"",UPPER(_xlpm.MyAuditVal),_xlpm.MacVal&lt;&gt;"",_xlpm.MacVal,_xlpm.CSVVal&lt;&gt;"",_xlpm.CSVVal
)),"")</f>
        <v/>
      </c>
      <c r="O432" s="46" t="str">
        <f>_xlfn.XLOOKUP(C432,My_Audit!B:B,My_Audit!P:P,"")&amp;""</f>
        <v/>
      </c>
      <c r="P432" s="45"/>
      <c r="Q432" s="46" t="str">
        <f>IF(LEFT(N432,4)="Pass","Nist SP 800-88",My_Audit!R432)&amp;""</f>
        <v/>
      </c>
      <c r="R432" s="45"/>
      <c r="S432" s="45"/>
      <c r="T432" s="46" t="str">
        <f>_xlfn.XLOOKUP(E432,Models!I:I,Models!J:J,"")</f>
        <v/>
      </c>
      <c r="U432" s="45"/>
      <c r="V432" s="45"/>
      <c r="W432" s="38"/>
    </row>
    <row r="433" spans="1:23">
      <c r="A433" s="45" t="str">
        <f>_xlfn.TEXTJOIN("",TRUE,Input!$B$2,ROW(My_Audit!A432))</f>
        <v>XX432</v>
      </c>
      <c r="B433" s="45" t="str">
        <f>_xlfn.TEXTJOIN("-",TRUE,"ITD",Input!$A$2,A433)</f>
        <v>ITD-SHRXXX-XX432</v>
      </c>
      <c r="C433" s="45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46" t="str" cm="1">
        <f t="array" ref="D433">IFERROR(_xlfn.LET(
_xlpm.CSVVal,_xlfn.XLOOKUP($A433,CSV!$A:$A,CSV!C:C,""),
_xlpm.MacVal,_xlfn.XLOOKUP($A433,Output_Mac!$A:$A,Output_Mac!D:D,""),
_xlpm.MyAuditVal,_xlfn.XLOOKUP($A433,My_Audit!$A:$A,My_Audit!C:C,""),
_xlfn.IFS(_xlpm.MyAuditVal&lt;&gt;"",UPPER(_xlpm.MyAuditVal),_xlpm.MacVal&lt;&gt;"",_xlpm.MacVal,_xlpm.CSVVal&lt;&gt;"",_xlpm.CSVVal
)),"")</f>
        <v/>
      </c>
      <c r="E433" s="46" t="str" cm="1">
        <f t="array" ref="E433">IFERROR(_xlfn.LET(
_xlpm.CSVVal,_xlfn.XLOOKUP($A433,CSV!$A:$A,CSV!E:E,""),
_xlpm.MacVal,_xlfn.XLOOKUP($A433,Output_Mac!$A:$A,Output_Mac!C:C,""),
_xlpm.MyAuditVal,_xlfn.XLOOKUP($A433,My_Audit!$A:$A,My_Audit!D:D,""),
_xlfn.IFS(_xlpm.MyAuditVal&lt;&gt;"",_xlpm.MyAuditVal,_xlpm.MacVal&lt;&gt;"",_xlpm.MacVal,_xlpm.CSVVal&lt;&gt;"",_xlpm.CSVVal
)),"")</f>
        <v/>
      </c>
      <c r="F433" s="45" t="str" cm="1">
        <f t="array" ref="F433">IFERROR(_xlfn.LET(
_xlpm.CSVVal,_xlfn.XLOOKUP($A433,CSV!$A:$A,CSV!F:F,""),
_xlpm.MacVal,_xlfn.XLOOKUP($A433,Output_Mac!$A:$A,Output_Mac!F:F,""),
_xlpm.MyAuditVal,_xlfn.XLOOKUP($A433,My_Audit!$A:$A,My_Audit!E:E,""),
_xlfn.IFS(_xlpm.MyAuditVal&lt;&gt;"",_xlpm.MyAuditVal,_xlpm.MacVal&lt;&gt;"",_xlpm.MacVal,_xlpm.CSVVal&lt;&gt;"",PROPER(_xlpm.CSVVal)
)),"")</f>
        <v/>
      </c>
      <c r="G433" s="45" t="str" cm="1">
        <f t="array" ref="G433">IFERROR(_xlfn.LET(
_xlpm.CSVVal,_xlfn.XLOOKUP($A433,CSV!$A:$A,CSV!G:G,""),
_xlpm.MacVal,_xlfn.XLOOKUP($A433,Output_Mac!$A:$A,Output_Mac!H:H,""),
_xlpm.MyAuditVal,_xlfn.XLOOKUP($A433,My_Audit!$A:$A,My_Audit!F:F,""),
_xlfn.IFS(_xlpm.MyAuditVal&lt;&gt;"",_xlpm.MyAuditVal,_xlpm.MacVal&lt;&gt;"",_xlpm.MacVal,_xlpm.CSVVal&lt;&gt;"",_xlpm.CSVVal
)),"")</f>
        <v/>
      </c>
      <c r="H433" s="45" t="str">
        <f>_xlfn.XLOOKUP(A433,Output_Mac!A:A,Output_Mac!I:I,"")</f>
        <v/>
      </c>
      <c r="I433" s="45" t="str" cm="1">
        <f t="array" ref="I433">IFERROR(_xlfn.LET(
_xlpm.CSVVal,_xlfn.XLOOKUP($A433,CSV!$A:$A,CSV!H:H,""),
_xlpm.MacVal,_xlfn.XLOOKUP($A433,Output_Mac!$A:$A,Output_Mac!J:J,""),
_xlpm.MyAuditVal,_xlfn.XLOOKUP($A433,My_Audit!$A:$A,My_Audit!H:H,""),
_xlfn.IFS(_xlpm.MyAuditVal&lt;&gt;"",UPPER(_xlpm.MyAuditVal),_xlpm.MacVal&lt;&gt;"",_xlpm.MacVal,_xlpm.CSVVal&lt;&gt;"",_xlpm.CSVVal
)),"")</f>
        <v/>
      </c>
      <c r="J433" s="45" t="str" cm="1">
        <f t="array" ref="J433">IFERROR(_xlfn.LET(
_xlpm.CSVVal,_xlfn.XLOOKUP($A433,CSV!$A:$A,CSV!J:J,""),
_xlpm.MacVal,_xlfn.XLOOKUP($A433,Output_Mac!$A:$A,Output_Mac!K:K,""),
_xlpm.MyAuditVal,_xlfn.XLOOKUP($A433,My_Audit!$A:$A,My_Audit!I:I,""),
_xlfn.IFS(_xlpm.MyAuditVal&lt;&gt;"",UPPER(_xlpm.MyAuditVal),_xlpm.MacVal&lt;&gt;"",_xlpm.MacVal,_xlpm.CSVVal&lt;&gt;"",_xlpm.CSVVal
)),"")</f>
        <v/>
      </c>
      <c r="K433" s="45" t="str" cm="1">
        <f t="array" ref="K433">IFERROR(_xlfn.LET(
_xlpm.CSVVal,_xlfn.XLOOKUP($A433,CSV!$A:$A,CSV!N:N,""),
_xlpm.MacVal,_xlfn.XLOOKUP($A433,Output_Mac!$A:$A,Output_Mac!L:L,""),
_xlpm.MyAuditVal,_xlfn.XLOOKUP($A433,My_Audit!$A:$A,My_Audit!J:J,""),
_xlfn.IFS(_xlpm.MyAuditVal&lt;&gt;"",UPPER(_xlpm.MyAuditVal),_xlpm.MacVal&lt;&gt;"",_xlpm.MacVal,_xlpm.CSVVal&lt;&gt;"",_xlpm.CSVVal
)),"")</f>
        <v/>
      </c>
      <c r="L433" s="45" t="str" cm="1">
        <f t="array" ref="L433">IFERROR(_xlfn.LET(
_xlpm.CSVVal,_xlfn.XLOOKUP($A433,CSV!$A:$A,CSV!P:P,""),
_xlpm.MacVal,_xlfn.XLOOKUP($A433,Output_Mac!$A:$A,Output_Mac!M:M,""),
_xlpm.MyAuditVal,_xlfn.XLOOKUP($A433,My_Audit!$A:$A,My_Audit!K:K,""),
_xlfn.IFS(_xlpm.MyAuditVal&lt;&gt;"",UPPER(_xlpm.MyAuditVal),_xlpm.MacVal&lt;&gt;"",_xlpm.MacVal,_xlpm.CSVVal&lt;&gt;"",_xlpm.CSVVal
)),"")</f>
        <v/>
      </c>
      <c r="M433" s="45" t="str">
        <f>_xlfn.LET(
    _xlpm.CSVVal, _xlfn.XLOOKUP($A433, CSV!$A:$A, CSV!AE:AE, ""),
    _xlpm.MacVal, _xlfn.XLOOKUP($A433, Output_Mac!$A:$A, Output_Mac!S:S, ""),
    _xlpm.MyAuditVal, _xlfn.XLOOKUP($A433, My_Audit!$A:$A, My_Audit!N:N, ""),
    _xlfn.TEXTJOIN(", ", TRUE, _xlpm.MyAuditVal, _xlpm.MacVal, _xlpm.CSVVal)
)</f>
        <v/>
      </c>
      <c r="N433" s="45" t="str" cm="1">
        <f t="array" ref="N433">IFERROR(_xlfn.LET(
_xlpm.CSVVal,_xlfn.XLOOKUP($A433,CSV!$A:$A,CSV!AG:AG,""),
_xlpm.MacVal,_xlfn.XLOOKUP($A433,Output_Mac!$A:$A,Output_Mac!U:U,""),
_xlpm.MyAuditVal,_xlfn.XLOOKUP($A433,My_Audit!$A:$A,My_Audit!O:O,""),
_xlfn.IFS(_xlpm.MyAuditVal&lt;&gt;"",UPPER(_xlpm.MyAuditVal),_xlpm.MacVal&lt;&gt;"",_xlpm.MacVal,_xlpm.CSVVal&lt;&gt;"",_xlpm.CSVVal
)),"")</f>
        <v/>
      </c>
      <c r="O433" s="46" t="str">
        <f>_xlfn.XLOOKUP(C433,My_Audit!B:B,My_Audit!P:P,"")&amp;""</f>
        <v/>
      </c>
      <c r="P433" s="45"/>
      <c r="Q433" s="46" t="str">
        <f>IF(LEFT(N433,4)="Pass","Nist SP 800-88",My_Audit!R433)&amp;""</f>
        <v/>
      </c>
      <c r="R433" s="45"/>
      <c r="S433" s="45"/>
      <c r="T433" s="46" t="str">
        <f>_xlfn.XLOOKUP(E433,Models!I:I,Models!J:J,"")</f>
        <v/>
      </c>
      <c r="U433" s="45"/>
      <c r="V433" s="45"/>
      <c r="W433" s="38"/>
    </row>
    <row r="434" spans="1:23">
      <c r="A434" s="45" t="str">
        <f>_xlfn.TEXTJOIN("",TRUE,Input!$B$2,ROW(My_Audit!A433))</f>
        <v>XX433</v>
      </c>
      <c r="B434" s="45" t="str">
        <f>_xlfn.TEXTJOIN("-",TRUE,"ITD",Input!$A$2,A434)</f>
        <v>ITD-SHRXXX-XX433</v>
      </c>
      <c r="C434" s="45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46" t="str" cm="1">
        <f t="array" ref="D434">IFERROR(_xlfn.LET(
_xlpm.CSVVal,_xlfn.XLOOKUP($A434,CSV!$A:$A,CSV!C:C,""),
_xlpm.MacVal,_xlfn.XLOOKUP($A434,Output_Mac!$A:$A,Output_Mac!D:D,""),
_xlpm.MyAuditVal,_xlfn.XLOOKUP($A434,My_Audit!$A:$A,My_Audit!C:C,""),
_xlfn.IFS(_xlpm.MyAuditVal&lt;&gt;"",UPPER(_xlpm.MyAuditVal),_xlpm.MacVal&lt;&gt;"",_xlpm.MacVal,_xlpm.CSVVal&lt;&gt;"",_xlpm.CSVVal
)),"")</f>
        <v/>
      </c>
      <c r="E434" s="46" t="str" cm="1">
        <f t="array" ref="E434">IFERROR(_xlfn.LET(
_xlpm.CSVVal,_xlfn.XLOOKUP($A434,CSV!$A:$A,CSV!E:E,""),
_xlpm.MacVal,_xlfn.XLOOKUP($A434,Output_Mac!$A:$A,Output_Mac!C:C,""),
_xlpm.MyAuditVal,_xlfn.XLOOKUP($A434,My_Audit!$A:$A,My_Audit!D:D,""),
_xlfn.IFS(_xlpm.MyAuditVal&lt;&gt;"",_xlpm.MyAuditVal,_xlpm.MacVal&lt;&gt;"",_xlpm.MacVal,_xlpm.CSVVal&lt;&gt;"",_xlpm.CSVVal
)),"")</f>
        <v/>
      </c>
      <c r="F434" s="45" t="str" cm="1">
        <f t="array" ref="F434">IFERROR(_xlfn.LET(
_xlpm.CSVVal,_xlfn.XLOOKUP($A434,CSV!$A:$A,CSV!F:F,""),
_xlpm.MacVal,_xlfn.XLOOKUP($A434,Output_Mac!$A:$A,Output_Mac!F:F,""),
_xlpm.MyAuditVal,_xlfn.XLOOKUP($A434,My_Audit!$A:$A,My_Audit!E:E,""),
_xlfn.IFS(_xlpm.MyAuditVal&lt;&gt;"",_xlpm.MyAuditVal,_xlpm.MacVal&lt;&gt;"",_xlpm.MacVal,_xlpm.CSVVal&lt;&gt;"",PROPER(_xlpm.CSVVal)
)),"")</f>
        <v/>
      </c>
      <c r="G434" s="45" t="str" cm="1">
        <f t="array" ref="G434">IFERROR(_xlfn.LET(
_xlpm.CSVVal,_xlfn.XLOOKUP($A434,CSV!$A:$A,CSV!G:G,""),
_xlpm.MacVal,_xlfn.XLOOKUP($A434,Output_Mac!$A:$A,Output_Mac!H:H,""),
_xlpm.MyAuditVal,_xlfn.XLOOKUP($A434,My_Audit!$A:$A,My_Audit!F:F,""),
_xlfn.IFS(_xlpm.MyAuditVal&lt;&gt;"",_xlpm.MyAuditVal,_xlpm.MacVal&lt;&gt;"",_xlpm.MacVal,_xlpm.CSVVal&lt;&gt;"",_xlpm.CSVVal
)),"")</f>
        <v/>
      </c>
      <c r="H434" s="45" t="str">
        <f>_xlfn.XLOOKUP(A434,Output_Mac!A:A,Output_Mac!I:I,"")</f>
        <v/>
      </c>
      <c r="I434" s="45" t="str" cm="1">
        <f t="array" ref="I434">IFERROR(_xlfn.LET(
_xlpm.CSVVal,_xlfn.XLOOKUP($A434,CSV!$A:$A,CSV!H:H,""),
_xlpm.MacVal,_xlfn.XLOOKUP($A434,Output_Mac!$A:$A,Output_Mac!J:J,""),
_xlpm.MyAuditVal,_xlfn.XLOOKUP($A434,My_Audit!$A:$A,My_Audit!H:H,""),
_xlfn.IFS(_xlpm.MyAuditVal&lt;&gt;"",UPPER(_xlpm.MyAuditVal),_xlpm.MacVal&lt;&gt;"",_xlpm.MacVal,_xlpm.CSVVal&lt;&gt;"",_xlpm.CSVVal
)),"")</f>
        <v/>
      </c>
      <c r="J434" s="45" t="str" cm="1">
        <f t="array" ref="J434">IFERROR(_xlfn.LET(
_xlpm.CSVVal,_xlfn.XLOOKUP($A434,CSV!$A:$A,CSV!J:J,""),
_xlpm.MacVal,_xlfn.XLOOKUP($A434,Output_Mac!$A:$A,Output_Mac!K:K,""),
_xlpm.MyAuditVal,_xlfn.XLOOKUP($A434,My_Audit!$A:$A,My_Audit!I:I,""),
_xlfn.IFS(_xlpm.MyAuditVal&lt;&gt;"",UPPER(_xlpm.MyAuditVal),_xlpm.MacVal&lt;&gt;"",_xlpm.MacVal,_xlpm.CSVVal&lt;&gt;"",_xlpm.CSVVal
)),"")</f>
        <v/>
      </c>
      <c r="K434" s="45" t="str" cm="1">
        <f t="array" ref="K434">IFERROR(_xlfn.LET(
_xlpm.CSVVal,_xlfn.XLOOKUP($A434,CSV!$A:$A,CSV!N:N,""),
_xlpm.MacVal,_xlfn.XLOOKUP($A434,Output_Mac!$A:$A,Output_Mac!L:L,""),
_xlpm.MyAuditVal,_xlfn.XLOOKUP($A434,My_Audit!$A:$A,My_Audit!J:J,""),
_xlfn.IFS(_xlpm.MyAuditVal&lt;&gt;"",UPPER(_xlpm.MyAuditVal),_xlpm.MacVal&lt;&gt;"",_xlpm.MacVal,_xlpm.CSVVal&lt;&gt;"",_xlpm.CSVVal
)),"")</f>
        <v/>
      </c>
      <c r="L434" s="45" t="str" cm="1">
        <f t="array" ref="L434">IFERROR(_xlfn.LET(
_xlpm.CSVVal,_xlfn.XLOOKUP($A434,CSV!$A:$A,CSV!P:P,""),
_xlpm.MacVal,_xlfn.XLOOKUP($A434,Output_Mac!$A:$A,Output_Mac!M:M,""),
_xlpm.MyAuditVal,_xlfn.XLOOKUP($A434,My_Audit!$A:$A,My_Audit!K:K,""),
_xlfn.IFS(_xlpm.MyAuditVal&lt;&gt;"",UPPER(_xlpm.MyAuditVal),_xlpm.MacVal&lt;&gt;"",_xlpm.MacVal,_xlpm.CSVVal&lt;&gt;"",_xlpm.CSVVal
)),"")</f>
        <v/>
      </c>
      <c r="M434" s="45" t="str">
        <f>_xlfn.LET(
    _xlpm.CSVVal, _xlfn.XLOOKUP($A434, CSV!$A:$A, CSV!AE:AE, ""),
    _xlpm.MacVal, _xlfn.XLOOKUP($A434, Output_Mac!$A:$A, Output_Mac!S:S, ""),
    _xlpm.MyAuditVal, _xlfn.XLOOKUP($A434, My_Audit!$A:$A, My_Audit!N:N, ""),
    _xlfn.TEXTJOIN(", ", TRUE, _xlpm.MyAuditVal, _xlpm.MacVal, _xlpm.CSVVal)
)</f>
        <v/>
      </c>
      <c r="N434" s="45" t="str" cm="1">
        <f t="array" ref="N434">IFERROR(_xlfn.LET(
_xlpm.CSVVal,_xlfn.XLOOKUP($A434,CSV!$A:$A,CSV!AG:AG,""),
_xlpm.MacVal,_xlfn.XLOOKUP($A434,Output_Mac!$A:$A,Output_Mac!U:U,""),
_xlpm.MyAuditVal,_xlfn.XLOOKUP($A434,My_Audit!$A:$A,My_Audit!O:O,""),
_xlfn.IFS(_xlpm.MyAuditVal&lt;&gt;"",UPPER(_xlpm.MyAuditVal),_xlpm.MacVal&lt;&gt;"",_xlpm.MacVal,_xlpm.CSVVal&lt;&gt;"",_xlpm.CSVVal
)),"")</f>
        <v/>
      </c>
      <c r="O434" s="46" t="str">
        <f>_xlfn.XLOOKUP(C434,My_Audit!B:B,My_Audit!P:P,"")&amp;""</f>
        <v/>
      </c>
      <c r="P434" s="45"/>
      <c r="Q434" s="46" t="str">
        <f>IF(LEFT(N434,4)="Pass","Nist SP 800-88",My_Audit!R434)&amp;""</f>
        <v/>
      </c>
      <c r="R434" s="45"/>
      <c r="S434" s="45"/>
      <c r="T434" s="46" t="str">
        <f>_xlfn.XLOOKUP(E434,Models!I:I,Models!J:J,"")</f>
        <v/>
      </c>
      <c r="U434" s="45"/>
      <c r="V434" s="45"/>
      <c r="W434" s="38"/>
    </row>
    <row r="435" spans="1:23">
      <c r="A435" s="45" t="str">
        <f>_xlfn.TEXTJOIN("",TRUE,Input!$B$2,ROW(My_Audit!A434))</f>
        <v>XX434</v>
      </c>
      <c r="B435" s="45" t="str">
        <f>_xlfn.TEXTJOIN("-",TRUE,"ITD",Input!$A$2,A435)</f>
        <v>ITD-SHRXXX-XX434</v>
      </c>
      <c r="C435" s="45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46" t="str" cm="1">
        <f t="array" ref="D435">IFERROR(_xlfn.LET(
_xlpm.CSVVal,_xlfn.XLOOKUP($A435,CSV!$A:$A,CSV!C:C,""),
_xlpm.MacVal,_xlfn.XLOOKUP($A435,Output_Mac!$A:$A,Output_Mac!D:D,""),
_xlpm.MyAuditVal,_xlfn.XLOOKUP($A435,My_Audit!$A:$A,My_Audit!C:C,""),
_xlfn.IFS(_xlpm.MyAuditVal&lt;&gt;"",UPPER(_xlpm.MyAuditVal),_xlpm.MacVal&lt;&gt;"",_xlpm.MacVal,_xlpm.CSVVal&lt;&gt;"",_xlpm.CSVVal
)),"")</f>
        <v/>
      </c>
      <c r="E435" s="46" t="str" cm="1">
        <f t="array" ref="E435">IFERROR(_xlfn.LET(
_xlpm.CSVVal,_xlfn.XLOOKUP($A435,CSV!$A:$A,CSV!E:E,""),
_xlpm.MacVal,_xlfn.XLOOKUP($A435,Output_Mac!$A:$A,Output_Mac!C:C,""),
_xlpm.MyAuditVal,_xlfn.XLOOKUP($A435,My_Audit!$A:$A,My_Audit!D:D,""),
_xlfn.IFS(_xlpm.MyAuditVal&lt;&gt;"",_xlpm.MyAuditVal,_xlpm.MacVal&lt;&gt;"",_xlpm.MacVal,_xlpm.CSVVal&lt;&gt;"",_xlpm.CSVVal
)),"")</f>
        <v/>
      </c>
      <c r="F435" s="45" t="str" cm="1">
        <f t="array" ref="F435">IFERROR(_xlfn.LET(
_xlpm.CSVVal,_xlfn.XLOOKUP($A435,CSV!$A:$A,CSV!F:F,""),
_xlpm.MacVal,_xlfn.XLOOKUP($A435,Output_Mac!$A:$A,Output_Mac!F:F,""),
_xlpm.MyAuditVal,_xlfn.XLOOKUP($A435,My_Audit!$A:$A,My_Audit!E:E,""),
_xlfn.IFS(_xlpm.MyAuditVal&lt;&gt;"",_xlpm.MyAuditVal,_xlpm.MacVal&lt;&gt;"",_xlpm.MacVal,_xlpm.CSVVal&lt;&gt;"",PROPER(_xlpm.CSVVal)
)),"")</f>
        <v/>
      </c>
      <c r="G435" s="45" t="str" cm="1">
        <f t="array" ref="G435">IFERROR(_xlfn.LET(
_xlpm.CSVVal,_xlfn.XLOOKUP($A435,CSV!$A:$A,CSV!G:G,""),
_xlpm.MacVal,_xlfn.XLOOKUP($A435,Output_Mac!$A:$A,Output_Mac!H:H,""),
_xlpm.MyAuditVal,_xlfn.XLOOKUP($A435,My_Audit!$A:$A,My_Audit!F:F,""),
_xlfn.IFS(_xlpm.MyAuditVal&lt;&gt;"",_xlpm.MyAuditVal,_xlpm.MacVal&lt;&gt;"",_xlpm.MacVal,_xlpm.CSVVal&lt;&gt;"",_xlpm.CSVVal
)),"")</f>
        <v/>
      </c>
      <c r="H435" s="45" t="str">
        <f>_xlfn.XLOOKUP(A435,Output_Mac!A:A,Output_Mac!I:I,"")</f>
        <v/>
      </c>
      <c r="I435" s="45" t="str" cm="1">
        <f t="array" ref="I435">IFERROR(_xlfn.LET(
_xlpm.CSVVal,_xlfn.XLOOKUP($A435,CSV!$A:$A,CSV!H:H,""),
_xlpm.MacVal,_xlfn.XLOOKUP($A435,Output_Mac!$A:$A,Output_Mac!J:J,""),
_xlpm.MyAuditVal,_xlfn.XLOOKUP($A435,My_Audit!$A:$A,My_Audit!H:H,""),
_xlfn.IFS(_xlpm.MyAuditVal&lt;&gt;"",UPPER(_xlpm.MyAuditVal),_xlpm.MacVal&lt;&gt;"",_xlpm.MacVal,_xlpm.CSVVal&lt;&gt;"",_xlpm.CSVVal
)),"")</f>
        <v/>
      </c>
      <c r="J435" s="45" t="str" cm="1">
        <f t="array" ref="J435">IFERROR(_xlfn.LET(
_xlpm.CSVVal,_xlfn.XLOOKUP($A435,CSV!$A:$A,CSV!J:J,""),
_xlpm.MacVal,_xlfn.XLOOKUP($A435,Output_Mac!$A:$A,Output_Mac!K:K,""),
_xlpm.MyAuditVal,_xlfn.XLOOKUP($A435,My_Audit!$A:$A,My_Audit!I:I,""),
_xlfn.IFS(_xlpm.MyAuditVal&lt;&gt;"",UPPER(_xlpm.MyAuditVal),_xlpm.MacVal&lt;&gt;"",_xlpm.MacVal,_xlpm.CSVVal&lt;&gt;"",_xlpm.CSVVal
)),"")</f>
        <v/>
      </c>
      <c r="K435" s="45" t="str" cm="1">
        <f t="array" ref="K435">IFERROR(_xlfn.LET(
_xlpm.CSVVal,_xlfn.XLOOKUP($A435,CSV!$A:$A,CSV!N:N,""),
_xlpm.MacVal,_xlfn.XLOOKUP($A435,Output_Mac!$A:$A,Output_Mac!L:L,""),
_xlpm.MyAuditVal,_xlfn.XLOOKUP($A435,My_Audit!$A:$A,My_Audit!J:J,""),
_xlfn.IFS(_xlpm.MyAuditVal&lt;&gt;"",UPPER(_xlpm.MyAuditVal),_xlpm.MacVal&lt;&gt;"",_xlpm.MacVal,_xlpm.CSVVal&lt;&gt;"",_xlpm.CSVVal
)),"")</f>
        <v/>
      </c>
      <c r="L435" s="45" t="str" cm="1">
        <f t="array" ref="L435">IFERROR(_xlfn.LET(
_xlpm.CSVVal,_xlfn.XLOOKUP($A435,CSV!$A:$A,CSV!P:P,""),
_xlpm.MacVal,_xlfn.XLOOKUP($A435,Output_Mac!$A:$A,Output_Mac!M:M,""),
_xlpm.MyAuditVal,_xlfn.XLOOKUP($A435,My_Audit!$A:$A,My_Audit!K:K,""),
_xlfn.IFS(_xlpm.MyAuditVal&lt;&gt;"",UPPER(_xlpm.MyAuditVal),_xlpm.MacVal&lt;&gt;"",_xlpm.MacVal,_xlpm.CSVVal&lt;&gt;"",_xlpm.CSVVal
)),"")</f>
        <v/>
      </c>
      <c r="M435" s="45" t="str">
        <f>_xlfn.LET(
    _xlpm.CSVVal, _xlfn.XLOOKUP($A435, CSV!$A:$A, CSV!AE:AE, ""),
    _xlpm.MacVal, _xlfn.XLOOKUP($A435, Output_Mac!$A:$A, Output_Mac!S:S, ""),
    _xlpm.MyAuditVal, _xlfn.XLOOKUP($A435, My_Audit!$A:$A, My_Audit!N:N, ""),
    _xlfn.TEXTJOIN(", ", TRUE, _xlpm.MyAuditVal, _xlpm.MacVal, _xlpm.CSVVal)
)</f>
        <v/>
      </c>
      <c r="N435" s="45" t="str" cm="1">
        <f t="array" ref="N435">IFERROR(_xlfn.LET(
_xlpm.CSVVal,_xlfn.XLOOKUP($A435,CSV!$A:$A,CSV!AG:AG,""),
_xlpm.MacVal,_xlfn.XLOOKUP($A435,Output_Mac!$A:$A,Output_Mac!U:U,""),
_xlpm.MyAuditVal,_xlfn.XLOOKUP($A435,My_Audit!$A:$A,My_Audit!O:O,""),
_xlfn.IFS(_xlpm.MyAuditVal&lt;&gt;"",UPPER(_xlpm.MyAuditVal),_xlpm.MacVal&lt;&gt;"",_xlpm.MacVal,_xlpm.CSVVal&lt;&gt;"",_xlpm.CSVVal
)),"")</f>
        <v/>
      </c>
      <c r="O435" s="46" t="str">
        <f>_xlfn.XLOOKUP(C435,My_Audit!B:B,My_Audit!P:P,"")&amp;""</f>
        <v/>
      </c>
      <c r="P435" s="45"/>
      <c r="Q435" s="46" t="str">
        <f>IF(LEFT(N435,4)="Pass","Nist SP 800-88",My_Audit!R435)&amp;""</f>
        <v/>
      </c>
      <c r="R435" s="45"/>
      <c r="S435" s="45"/>
      <c r="T435" s="46" t="str">
        <f>_xlfn.XLOOKUP(E435,Models!I:I,Models!J:J,"")</f>
        <v/>
      </c>
      <c r="U435" s="45"/>
      <c r="V435" s="45"/>
      <c r="W435" s="38"/>
    </row>
    <row r="436" spans="1:23">
      <c r="A436" s="45" t="str">
        <f>_xlfn.TEXTJOIN("",TRUE,Input!$B$2,ROW(My_Audit!A435))</f>
        <v>XX435</v>
      </c>
      <c r="B436" s="45" t="str">
        <f>_xlfn.TEXTJOIN("-",TRUE,"ITD",Input!$A$2,A436)</f>
        <v>ITD-SHRXXX-XX435</v>
      </c>
      <c r="C436" s="45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46" t="str" cm="1">
        <f t="array" ref="D436">IFERROR(_xlfn.LET(
_xlpm.CSVVal,_xlfn.XLOOKUP($A436,CSV!$A:$A,CSV!C:C,""),
_xlpm.MacVal,_xlfn.XLOOKUP($A436,Output_Mac!$A:$A,Output_Mac!D:D,""),
_xlpm.MyAuditVal,_xlfn.XLOOKUP($A436,My_Audit!$A:$A,My_Audit!C:C,""),
_xlfn.IFS(_xlpm.MyAuditVal&lt;&gt;"",UPPER(_xlpm.MyAuditVal),_xlpm.MacVal&lt;&gt;"",_xlpm.MacVal,_xlpm.CSVVal&lt;&gt;"",_xlpm.CSVVal
)),"")</f>
        <v/>
      </c>
      <c r="E436" s="46" t="str" cm="1">
        <f t="array" ref="E436">IFERROR(_xlfn.LET(
_xlpm.CSVVal,_xlfn.XLOOKUP($A436,CSV!$A:$A,CSV!E:E,""),
_xlpm.MacVal,_xlfn.XLOOKUP($A436,Output_Mac!$A:$A,Output_Mac!C:C,""),
_xlpm.MyAuditVal,_xlfn.XLOOKUP($A436,My_Audit!$A:$A,My_Audit!D:D,""),
_xlfn.IFS(_xlpm.MyAuditVal&lt;&gt;"",_xlpm.MyAuditVal,_xlpm.MacVal&lt;&gt;"",_xlpm.MacVal,_xlpm.CSVVal&lt;&gt;"",_xlpm.CSVVal
)),"")</f>
        <v/>
      </c>
      <c r="F436" s="45" t="str" cm="1">
        <f t="array" ref="F436">IFERROR(_xlfn.LET(
_xlpm.CSVVal,_xlfn.XLOOKUP($A436,CSV!$A:$A,CSV!F:F,""),
_xlpm.MacVal,_xlfn.XLOOKUP($A436,Output_Mac!$A:$A,Output_Mac!F:F,""),
_xlpm.MyAuditVal,_xlfn.XLOOKUP($A436,My_Audit!$A:$A,My_Audit!E:E,""),
_xlfn.IFS(_xlpm.MyAuditVal&lt;&gt;"",_xlpm.MyAuditVal,_xlpm.MacVal&lt;&gt;"",_xlpm.MacVal,_xlpm.CSVVal&lt;&gt;"",PROPER(_xlpm.CSVVal)
)),"")</f>
        <v/>
      </c>
      <c r="G436" s="45" t="str" cm="1">
        <f t="array" ref="G436">IFERROR(_xlfn.LET(
_xlpm.CSVVal,_xlfn.XLOOKUP($A436,CSV!$A:$A,CSV!G:G,""),
_xlpm.MacVal,_xlfn.XLOOKUP($A436,Output_Mac!$A:$A,Output_Mac!H:H,""),
_xlpm.MyAuditVal,_xlfn.XLOOKUP($A436,My_Audit!$A:$A,My_Audit!F:F,""),
_xlfn.IFS(_xlpm.MyAuditVal&lt;&gt;"",_xlpm.MyAuditVal,_xlpm.MacVal&lt;&gt;"",_xlpm.MacVal,_xlpm.CSVVal&lt;&gt;"",_xlpm.CSVVal
)),"")</f>
        <v/>
      </c>
      <c r="H436" s="45" t="str">
        <f>_xlfn.XLOOKUP(A436,Output_Mac!A:A,Output_Mac!I:I,"")</f>
        <v/>
      </c>
      <c r="I436" s="45" t="str" cm="1">
        <f t="array" ref="I436">IFERROR(_xlfn.LET(
_xlpm.CSVVal,_xlfn.XLOOKUP($A436,CSV!$A:$A,CSV!H:H,""),
_xlpm.MacVal,_xlfn.XLOOKUP($A436,Output_Mac!$A:$A,Output_Mac!J:J,""),
_xlpm.MyAuditVal,_xlfn.XLOOKUP($A436,My_Audit!$A:$A,My_Audit!H:H,""),
_xlfn.IFS(_xlpm.MyAuditVal&lt;&gt;"",UPPER(_xlpm.MyAuditVal),_xlpm.MacVal&lt;&gt;"",_xlpm.MacVal,_xlpm.CSVVal&lt;&gt;"",_xlpm.CSVVal
)),"")</f>
        <v/>
      </c>
      <c r="J436" s="45" t="str" cm="1">
        <f t="array" ref="J436">IFERROR(_xlfn.LET(
_xlpm.CSVVal,_xlfn.XLOOKUP($A436,CSV!$A:$A,CSV!J:J,""),
_xlpm.MacVal,_xlfn.XLOOKUP($A436,Output_Mac!$A:$A,Output_Mac!K:K,""),
_xlpm.MyAuditVal,_xlfn.XLOOKUP($A436,My_Audit!$A:$A,My_Audit!I:I,""),
_xlfn.IFS(_xlpm.MyAuditVal&lt;&gt;"",UPPER(_xlpm.MyAuditVal),_xlpm.MacVal&lt;&gt;"",_xlpm.MacVal,_xlpm.CSVVal&lt;&gt;"",_xlpm.CSVVal
)),"")</f>
        <v/>
      </c>
      <c r="K436" s="45" t="str" cm="1">
        <f t="array" ref="K436">IFERROR(_xlfn.LET(
_xlpm.CSVVal,_xlfn.XLOOKUP($A436,CSV!$A:$A,CSV!N:N,""),
_xlpm.MacVal,_xlfn.XLOOKUP($A436,Output_Mac!$A:$A,Output_Mac!L:L,""),
_xlpm.MyAuditVal,_xlfn.XLOOKUP($A436,My_Audit!$A:$A,My_Audit!J:J,""),
_xlfn.IFS(_xlpm.MyAuditVal&lt;&gt;"",UPPER(_xlpm.MyAuditVal),_xlpm.MacVal&lt;&gt;"",_xlpm.MacVal,_xlpm.CSVVal&lt;&gt;"",_xlpm.CSVVal
)),"")</f>
        <v/>
      </c>
      <c r="L436" s="45" t="str" cm="1">
        <f t="array" ref="L436">IFERROR(_xlfn.LET(
_xlpm.CSVVal,_xlfn.XLOOKUP($A436,CSV!$A:$A,CSV!P:P,""),
_xlpm.MacVal,_xlfn.XLOOKUP($A436,Output_Mac!$A:$A,Output_Mac!M:M,""),
_xlpm.MyAuditVal,_xlfn.XLOOKUP($A436,My_Audit!$A:$A,My_Audit!K:K,""),
_xlfn.IFS(_xlpm.MyAuditVal&lt;&gt;"",UPPER(_xlpm.MyAuditVal),_xlpm.MacVal&lt;&gt;"",_xlpm.MacVal,_xlpm.CSVVal&lt;&gt;"",_xlpm.CSVVal
)),"")</f>
        <v/>
      </c>
      <c r="M436" s="45" t="str">
        <f>_xlfn.LET(
    _xlpm.CSVVal, _xlfn.XLOOKUP($A436, CSV!$A:$A, CSV!AE:AE, ""),
    _xlpm.MacVal, _xlfn.XLOOKUP($A436, Output_Mac!$A:$A, Output_Mac!S:S, ""),
    _xlpm.MyAuditVal, _xlfn.XLOOKUP($A436, My_Audit!$A:$A, My_Audit!N:N, ""),
    _xlfn.TEXTJOIN(", ", TRUE, _xlpm.MyAuditVal, _xlpm.MacVal, _xlpm.CSVVal)
)</f>
        <v/>
      </c>
      <c r="N436" s="45" t="str" cm="1">
        <f t="array" ref="N436">IFERROR(_xlfn.LET(
_xlpm.CSVVal,_xlfn.XLOOKUP($A436,CSV!$A:$A,CSV!AG:AG,""),
_xlpm.MacVal,_xlfn.XLOOKUP($A436,Output_Mac!$A:$A,Output_Mac!U:U,""),
_xlpm.MyAuditVal,_xlfn.XLOOKUP($A436,My_Audit!$A:$A,My_Audit!O:O,""),
_xlfn.IFS(_xlpm.MyAuditVal&lt;&gt;"",UPPER(_xlpm.MyAuditVal),_xlpm.MacVal&lt;&gt;"",_xlpm.MacVal,_xlpm.CSVVal&lt;&gt;"",_xlpm.CSVVal
)),"")</f>
        <v/>
      </c>
      <c r="O436" s="46" t="str">
        <f>_xlfn.XLOOKUP(C436,My_Audit!B:B,My_Audit!P:P,"")&amp;""</f>
        <v/>
      </c>
      <c r="P436" s="45"/>
      <c r="Q436" s="46" t="str">
        <f>IF(LEFT(N436,4)="Pass","Nist SP 800-88",My_Audit!R436)&amp;""</f>
        <v/>
      </c>
      <c r="R436" s="45"/>
      <c r="S436" s="45"/>
      <c r="T436" s="46" t="str">
        <f>_xlfn.XLOOKUP(E436,Models!I:I,Models!J:J,"")</f>
        <v/>
      </c>
      <c r="U436" s="45"/>
      <c r="V436" s="45"/>
      <c r="W436" s="38"/>
    </row>
    <row r="437" spans="1:23">
      <c r="A437" s="45" t="str">
        <f>_xlfn.TEXTJOIN("",TRUE,Input!$B$2,ROW(My_Audit!A436))</f>
        <v>XX436</v>
      </c>
      <c r="B437" s="45" t="str">
        <f>_xlfn.TEXTJOIN("-",TRUE,"ITD",Input!$A$2,A437)</f>
        <v>ITD-SHRXXX-XX436</v>
      </c>
      <c r="C437" s="45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46" t="str" cm="1">
        <f t="array" ref="D437">IFERROR(_xlfn.LET(
_xlpm.CSVVal,_xlfn.XLOOKUP($A437,CSV!$A:$A,CSV!C:C,""),
_xlpm.MacVal,_xlfn.XLOOKUP($A437,Output_Mac!$A:$A,Output_Mac!D:D,""),
_xlpm.MyAuditVal,_xlfn.XLOOKUP($A437,My_Audit!$A:$A,My_Audit!C:C,""),
_xlfn.IFS(_xlpm.MyAuditVal&lt;&gt;"",UPPER(_xlpm.MyAuditVal),_xlpm.MacVal&lt;&gt;"",_xlpm.MacVal,_xlpm.CSVVal&lt;&gt;"",_xlpm.CSVVal
)),"")</f>
        <v/>
      </c>
      <c r="E437" s="46" t="str" cm="1">
        <f t="array" ref="E437">IFERROR(_xlfn.LET(
_xlpm.CSVVal,_xlfn.XLOOKUP($A437,CSV!$A:$A,CSV!E:E,""),
_xlpm.MacVal,_xlfn.XLOOKUP($A437,Output_Mac!$A:$A,Output_Mac!C:C,""),
_xlpm.MyAuditVal,_xlfn.XLOOKUP($A437,My_Audit!$A:$A,My_Audit!D:D,""),
_xlfn.IFS(_xlpm.MyAuditVal&lt;&gt;"",_xlpm.MyAuditVal,_xlpm.MacVal&lt;&gt;"",_xlpm.MacVal,_xlpm.CSVVal&lt;&gt;"",_xlpm.CSVVal
)),"")</f>
        <v/>
      </c>
      <c r="F437" s="45" t="str" cm="1">
        <f t="array" ref="F437">IFERROR(_xlfn.LET(
_xlpm.CSVVal,_xlfn.XLOOKUP($A437,CSV!$A:$A,CSV!F:F,""),
_xlpm.MacVal,_xlfn.XLOOKUP($A437,Output_Mac!$A:$A,Output_Mac!F:F,""),
_xlpm.MyAuditVal,_xlfn.XLOOKUP($A437,My_Audit!$A:$A,My_Audit!E:E,""),
_xlfn.IFS(_xlpm.MyAuditVal&lt;&gt;"",_xlpm.MyAuditVal,_xlpm.MacVal&lt;&gt;"",_xlpm.MacVal,_xlpm.CSVVal&lt;&gt;"",PROPER(_xlpm.CSVVal)
)),"")</f>
        <v/>
      </c>
      <c r="G437" s="45" t="str" cm="1">
        <f t="array" ref="G437">IFERROR(_xlfn.LET(
_xlpm.CSVVal,_xlfn.XLOOKUP($A437,CSV!$A:$A,CSV!G:G,""),
_xlpm.MacVal,_xlfn.XLOOKUP($A437,Output_Mac!$A:$A,Output_Mac!H:H,""),
_xlpm.MyAuditVal,_xlfn.XLOOKUP($A437,My_Audit!$A:$A,My_Audit!F:F,""),
_xlfn.IFS(_xlpm.MyAuditVal&lt;&gt;"",_xlpm.MyAuditVal,_xlpm.MacVal&lt;&gt;"",_xlpm.MacVal,_xlpm.CSVVal&lt;&gt;"",_xlpm.CSVVal
)),"")</f>
        <v/>
      </c>
      <c r="H437" s="45" t="str">
        <f>_xlfn.XLOOKUP(A437,Output_Mac!A:A,Output_Mac!I:I,"")</f>
        <v/>
      </c>
      <c r="I437" s="45" t="str" cm="1">
        <f t="array" ref="I437">IFERROR(_xlfn.LET(
_xlpm.CSVVal,_xlfn.XLOOKUP($A437,CSV!$A:$A,CSV!H:H,""),
_xlpm.MacVal,_xlfn.XLOOKUP($A437,Output_Mac!$A:$A,Output_Mac!J:J,""),
_xlpm.MyAuditVal,_xlfn.XLOOKUP($A437,My_Audit!$A:$A,My_Audit!H:H,""),
_xlfn.IFS(_xlpm.MyAuditVal&lt;&gt;"",UPPER(_xlpm.MyAuditVal),_xlpm.MacVal&lt;&gt;"",_xlpm.MacVal,_xlpm.CSVVal&lt;&gt;"",_xlpm.CSVVal
)),"")</f>
        <v/>
      </c>
      <c r="J437" s="45" t="str" cm="1">
        <f t="array" ref="J437">IFERROR(_xlfn.LET(
_xlpm.CSVVal,_xlfn.XLOOKUP($A437,CSV!$A:$A,CSV!J:J,""),
_xlpm.MacVal,_xlfn.XLOOKUP($A437,Output_Mac!$A:$A,Output_Mac!K:K,""),
_xlpm.MyAuditVal,_xlfn.XLOOKUP($A437,My_Audit!$A:$A,My_Audit!I:I,""),
_xlfn.IFS(_xlpm.MyAuditVal&lt;&gt;"",UPPER(_xlpm.MyAuditVal),_xlpm.MacVal&lt;&gt;"",_xlpm.MacVal,_xlpm.CSVVal&lt;&gt;"",_xlpm.CSVVal
)),"")</f>
        <v/>
      </c>
      <c r="K437" s="45" t="str" cm="1">
        <f t="array" ref="K437">IFERROR(_xlfn.LET(
_xlpm.CSVVal,_xlfn.XLOOKUP($A437,CSV!$A:$A,CSV!N:N,""),
_xlpm.MacVal,_xlfn.XLOOKUP($A437,Output_Mac!$A:$A,Output_Mac!L:L,""),
_xlpm.MyAuditVal,_xlfn.XLOOKUP($A437,My_Audit!$A:$A,My_Audit!J:J,""),
_xlfn.IFS(_xlpm.MyAuditVal&lt;&gt;"",UPPER(_xlpm.MyAuditVal),_xlpm.MacVal&lt;&gt;"",_xlpm.MacVal,_xlpm.CSVVal&lt;&gt;"",_xlpm.CSVVal
)),"")</f>
        <v/>
      </c>
      <c r="L437" s="45" t="str" cm="1">
        <f t="array" ref="L437">IFERROR(_xlfn.LET(
_xlpm.CSVVal,_xlfn.XLOOKUP($A437,CSV!$A:$A,CSV!P:P,""),
_xlpm.MacVal,_xlfn.XLOOKUP($A437,Output_Mac!$A:$A,Output_Mac!M:M,""),
_xlpm.MyAuditVal,_xlfn.XLOOKUP($A437,My_Audit!$A:$A,My_Audit!K:K,""),
_xlfn.IFS(_xlpm.MyAuditVal&lt;&gt;"",UPPER(_xlpm.MyAuditVal),_xlpm.MacVal&lt;&gt;"",_xlpm.MacVal,_xlpm.CSVVal&lt;&gt;"",_xlpm.CSVVal
)),"")</f>
        <v/>
      </c>
      <c r="M437" s="45" t="str">
        <f>_xlfn.LET(
    _xlpm.CSVVal, _xlfn.XLOOKUP($A437, CSV!$A:$A, CSV!AE:AE, ""),
    _xlpm.MacVal, _xlfn.XLOOKUP($A437, Output_Mac!$A:$A, Output_Mac!S:S, ""),
    _xlpm.MyAuditVal, _xlfn.XLOOKUP($A437, My_Audit!$A:$A, My_Audit!N:N, ""),
    _xlfn.TEXTJOIN(", ", TRUE, _xlpm.MyAuditVal, _xlpm.MacVal, _xlpm.CSVVal)
)</f>
        <v/>
      </c>
      <c r="N437" s="45" t="str" cm="1">
        <f t="array" ref="N437">IFERROR(_xlfn.LET(
_xlpm.CSVVal,_xlfn.XLOOKUP($A437,CSV!$A:$A,CSV!AG:AG,""),
_xlpm.MacVal,_xlfn.XLOOKUP($A437,Output_Mac!$A:$A,Output_Mac!U:U,""),
_xlpm.MyAuditVal,_xlfn.XLOOKUP($A437,My_Audit!$A:$A,My_Audit!O:O,""),
_xlfn.IFS(_xlpm.MyAuditVal&lt;&gt;"",UPPER(_xlpm.MyAuditVal),_xlpm.MacVal&lt;&gt;"",_xlpm.MacVal,_xlpm.CSVVal&lt;&gt;"",_xlpm.CSVVal
)),"")</f>
        <v/>
      </c>
      <c r="O437" s="46" t="str">
        <f>_xlfn.XLOOKUP(C437,My_Audit!B:B,My_Audit!P:P,"")&amp;""</f>
        <v/>
      </c>
      <c r="P437" s="45"/>
      <c r="Q437" s="46" t="str">
        <f>IF(LEFT(N437,4)="Pass","Nist SP 800-88",My_Audit!R437)&amp;""</f>
        <v/>
      </c>
      <c r="R437" s="45"/>
      <c r="S437" s="45"/>
      <c r="T437" s="46" t="str">
        <f>_xlfn.XLOOKUP(E437,Models!I:I,Models!J:J,"")</f>
        <v/>
      </c>
      <c r="U437" s="45"/>
      <c r="V437" s="45"/>
      <c r="W437" s="38"/>
    </row>
    <row r="438" spans="1:23">
      <c r="A438" s="45" t="str">
        <f>_xlfn.TEXTJOIN("",TRUE,Input!$B$2,ROW(My_Audit!A437))</f>
        <v>XX437</v>
      </c>
      <c r="B438" s="45" t="str">
        <f>_xlfn.TEXTJOIN("-",TRUE,"ITD",Input!$A$2,A438)</f>
        <v>ITD-SHRXXX-XX437</v>
      </c>
      <c r="C438" s="45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46" t="str" cm="1">
        <f t="array" ref="D438">IFERROR(_xlfn.LET(
_xlpm.CSVVal,_xlfn.XLOOKUP($A438,CSV!$A:$A,CSV!C:C,""),
_xlpm.MacVal,_xlfn.XLOOKUP($A438,Output_Mac!$A:$A,Output_Mac!D:D,""),
_xlpm.MyAuditVal,_xlfn.XLOOKUP($A438,My_Audit!$A:$A,My_Audit!C:C,""),
_xlfn.IFS(_xlpm.MyAuditVal&lt;&gt;"",UPPER(_xlpm.MyAuditVal),_xlpm.MacVal&lt;&gt;"",_xlpm.MacVal,_xlpm.CSVVal&lt;&gt;"",_xlpm.CSVVal
)),"")</f>
        <v/>
      </c>
      <c r="E438" s="46" t="str" cm="1">
        <f t="array" ref="E438">IFERROR(_xlfn.LET(
_xlpm.CSVVal,_xlfn.XLOOKUP($A438,CSV!$A:$A,CSV!E:E,""),
_xlpm.MacVal,_xlfn.XLOOKUP($A438,Output_Mac!$A:$A,Output_Mac!C:C,""),
_xlpm.MyAuditVal,_xlfn.XLOOKUP($A438,My_Audit!$A:$A,My_Audit!D:D,""),
_xlfn.IFS(_xlpm.MyAuditVal&lt;&gt;"",_xlpm.MyAuditVal,_xlpm.MacVal&lt;&gt;"",_xlpm.MacVal,_xlpm.CSVVal&lt;&gt;"",_xlpm.CSVVal
)),"")</f>
        <v/>
      </c>
      <c r="F438" s="45" t="str" cm="1">
        <f t="array" ref="F438">IFERROR(_xlfn.LET(
_xlpm.CSVVal,_xlfn.XLOOKUP($A438,CSV!$A:$A,CSV!F:F,""),
_xlpm.MacVal,_xlfn.XLOOKUP($A438,Output_Mac!$A:$A,Output_Mac!F:F,""),
_xlpm.MyAuditVal,_xlfn.XLOOKUP($A438,My_Audit!$A:$A,My_Audit!E:E,""),
_xlfn.IFS(_xlpm.MyAuditVal&lt;&gt;"",_xlpm.MyAuditVal,_xlpm.MacVal&lt;&gt;"",_xlpm.MacVal,_xlpm.CSVVal&lt;&gt;"",PROPER(_xlpm.CSVVal)
)),"")</f>
        <v/>
      </c>
      <c r="G438" s="45" t="str" cm="1">
        <f t="array" ref="G438">IFERROR(_xlfn.LET(
_xlpm.CSVVal,_xlfn.XLOOKUP($A438,CSV!$A:$A,CSV!G:G,""),
_xlpm.MacVal,_xlfn.XLOOKUP($A438,Output_Mac!$A:$A,Output_Mac!H:H,""),
_xlpm.MyAuditVal,_xlfn.XLOOKUP($A438,My_Audit!$A:$A,My_Audit!F:F,""),
_xlfn.IFS(_xlpm.MyAuditVal&lt;&gt;"",_xlpm.MyAuditVal,_xlpm.MacVal&lt;&gt;"",_xlpm.MacVal,_xlpm.CSVVal&lt;&gt;"",_xlpm.CSVVal
)),"")</f>
        <v/>
      </c>
      <c r="H438" s="45" t="str">
        <f>_xlfn.XLOOKUP(A438,Output_Mac!A:A,Output_Mac!I:I,"")</f>
        <v/>
      </c>
      <c r="I438" s="45" t="str" cm="1">
        <f t="array" ref="I438">IFERROR(_xlfn.LET(
_xlpm.CSVVal,_xlfn.XLOOKUP($A438,CSV!$A:$A,CSV!H:H,""),
_xlpm.MacVal,_xlfn.XLOOKUP($A438,Output_Mac!$A:$A,Output_Mac!J:J,""),
_xlpm.MyAuditVal,_xlfn.XLOOKUP($A438,My_Audit!$A:$A,My_Audit!H:H,""),
_xlfn.IFS(_xlpm.MyAuditVal&lt;&gt;"",UPPER(_xlpm.MyAuditVal),_xlpm.MacVal&lt;&gt;"",_xlpm.MacVal,_xlpm.CSVVal&lt;&gt;"",_xlpm.CSVVal
)),"")</f>
        <v/>
      </c>
      <c r="J438" s="45" t="str" cm="1">
        <f t="array" ref="J438">IFERROR(_xlfn.LET(
_xlpm.CSVVal,_xlfn.XLOOKUP($A438,CSV!$A:$A,CSV!J:J,""),
_xlpm.MacVal,_xlfn.XLOOKUP($A438,Output_Mac!$A:$A,Output_Mac!K:K,""),
_xlpm.MyAuditVal,_xlfn.XLOOKUP($A438,My_Audit!$A:$A,My_Audit!I:I,""),
_xlfn.IFS(_xlpm.MyAuditVal&lt;&gt;"",UPPER(_xlpm.MyAuditVal),_xlpm.MacVal&lt;&gt;"",_xlpm.MacVal,_xlpm.CSVVal&lt;&gt;"",_xlpm.CSVVal
)),"")</f>
        <v/>
      </c>
      <c r="K438" s="45" t="str" cm="1">
        <f t="array" ref="K438">IFERROR(_xlfn.LET(
_xlpm.CSVVal,_xlfn.XLOOKUP($A438,CSV!$A:$A,CSV!N:N,""),
_xlpm.MacVal,_xlfn.XLOOKUP($A438,Output_Mac!$A:$A,Output_Mac!L:L,""),
_xlpm.MyAuditVal,_xlfn.XLOOKUP($A438,My_Audit!$A:$A,My_Audit!J:J,""),
_xlfn.IFS(_xlpm.MyAuditVal&lt;&gt;"",UPPER(_xlpm.MyAuditVal),_xlpm.MacVal&lt;&gt;"",_xlpm.MacVal,_xlpm.CSVVal&lt;&gt;"",_xlpm.CSVVal
)),"")</f>
        <v/>
      </c>
      <c r="L438" s="45" t="str" cm="1">
        <f t="array" ref="L438">IFERROR(_xlfn.LET(
_xlpm.CSVVal,_xlfn.XLOOKUP($A438,CSV!$A:$A,CSV!P:P,""),
_xlpm.MacVal,_xlfn.XLOOKUP($A438,Output_Mac!$A:$A,Output_Mac!M:M,""),
_xlpm.MyAuditVal,_xlfn.XLOOKUP($A438,My_Audit!$A:$A,My_Audit!K:K,""),
_xlfn.IFS(_xlpm.MyAuditVal&lt;&gt;"",UPPER(_xlpm.MyAuditVal),_xlpm.MacVal&lt;&gt;"",_xlpm.MacVal,_xlpm.CSVVal&lt;&gt;"",_xlpm.CSVVal
)),"")</f>
        <v/>
      </c>
      <c r="M438" s="45" t="str">
        <f>_xlfn.LET(
    _xlpm.CSVVal, _xlfn.XLOOKUP($A438, CSV!$A:$A, CSV!AE:AE, ""),
    _xlpm.MacVal, _xlfn.XLOOKUP($A438, Output_Mac!$A:$A, Output_Mac!S:S, ""),
    _xlpm.MyAuditVal, _xlfn.XLOOKUP($A438, My_Audit!$A:$A, My_Audit!N:N, ""),
    _xlfn.TEXTJOIN(", ", TRUE, _xlpm.MyAuditVal, _xlpm.MacVal, _xlpm.CSVVal)
)</f>
        <v/>
      </c>
      <c r="N438" s="45" t="str" cm="1">
        <f t="array" ref="N438">IFERROR(_xlfn.LET(
_xlpm.CSVVal,_xlfn.XLOOKUP($A438,CSV!$A:$A,CSV!AG:AG,""),
_xlpm.MacVal,_xlfn.XLOOKUP($A438,Output_Mac!$A:$A,Output_Mac!U:U,""),
_xlpm.MyAuditVal,_xlfn.XLOOKUP($A438,My_Audit!$A:$A,My_Audit!O:O,""),
_xlfn.IFS(_xlpm.MyAuditVal&lt;&gt;"",UPPER(_xlpm.MyAuditVal),_xlpm.MacVal&lt;&gt;"",_xlpm.MacVal,_xlpm.CSVVal&lt;&gt;"",_xlpm.CSVVal
)),"")</f>
        <v/>
      </c>
      <c r="O438" s="46" t="str">
        <f>_xlfn.XLOOKUP(C438,My_Audit!B:B,My_Audit!P:P,"")&amp;""</f>
        <v/>
      </c>
      <c r="P438" s="45"/>
      <c r="Q438" s="46" t="str">
        <f>IF(LEFT(N438,4)="Pass","Nist SP 800-88",My_Audit!R438)&amp;""</f>
        <v/>
      </c>
      <c r="R438" s="45"/>
      <c r="S438" s="45"/>
      <c r="T438" s="46" t="str">
        <f>_xlfn.XLOOKUP(E438,Models!I:I,Models!J:J,"")</f>
        <v/>
      </c>
      <c r="U438" s="45"/>
      <c r="V438" s="45"/>
      <c r="W438" s="38"/>
    </row>
    <row r="439" spans="1:23">
      <c r="A439" s="45" t="str">
        <f>_xlfn.TEXTJOIN("",TRUE,Input!$B$2,ROW(My_Audit!A438))</f>
        <v>XX438</v>
      </c>
      <c r="B439" s="45" t="str">
        <f>_xlfn.TEXTJOIN("-",TRUE,"ITD",Input!$A$2,A439)</f>
        <v>ITD-SHRXXX-XX438</v>
      </c>
      <c r="C439" s="45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46" t="str" cm="1">
        <f t="array" ref="D439">IFERROR(_xlfn.LET(
_xlpm.CSVVal,_xlfn.XLOOKUP($A439,CSV!$A:$A,CSV!C:C,""),
_xlpm.MacVal,_xlfn.XLOOKUP($A439,Output_Mac!$A:$A,Output_Mac!D:D,""),
_xlpm.MyAuditVal,_xlfn.XLOOKUP($A439,My_Audit!$A:$A,My_Audit!C:C,""),
_xlfn.IFS(_xlpm.MyAuditVal&lt;&gt;"",UPPER(_xlpm.MyAuditVal),_xlpm.MacVal&lt;&gt;"",_xlpm.MacVal,_xlpm.CSVVal&lt;&gt;"",_xlpm.CSVVal
)),"")</f>
        <v/>
      </c>
      <c r="E439" s="46" t="str" cm="1">
        <f t="array" ref="E439">IFERROR(_xlfn.LET(
_xlpm.CSVVal,_xlfn.XLOOKUP($A439,CSV!$A:$A,CSV!E:E,""),
_xlpm.MacVal,_xlfn.XLOOKUP($A439,Output_Mac!$A:$A,Output_Mac!C:C,""),
_xlpm.MyAuditVal,_xlfn.XLOOKUP($A439,My_Audit!$A:$A,My_Audit!D:D,""),
_xlfn.IFS(_xlpm.MyAuditVal&lt;&gt;"",_xlpm.MyAuditVal,_xlpm.MacVal&lt;&gt;"",_xlpm.MacVal,_xlpm.CSVVal&lt;&gt;"",_xlpm.CSVVal
)),"")</f>
        <v/>
      </c>
      <c r="F439" s="45" t="str" cm="1">
        <f t="array" ref="F439">IFERROR(_xlfn.LET(
_xlpm.CSVVal,_xlfn.XLOOKUP($A439,CSV!$A:$A,CSV!F:F,""),
_xlpm.MacVal,_xlfn.XLOOKUP($A439,Output_Mac!$A:$A,Output_Mac!F:F,""),
_xlpm.MyAuditVal,_xlfn.XLOOKUP($A439,My_Audit!$A:$A,My_Audit!E:E,""),
_xlfn.IFS(_xlpm.MyAuditVal&lt;&gt;"",_xlpm.MyAuditVal,_xlpm.MacVal&lt;&gt;"",_xlpm.MacVal,_xlpm.CSVVal&lt;&gt;"",PROPER(_xlpm.CSVVal)
)),"")</f>
        <v/>
      </c>
      <c r="G439" s="45" t="str" cm="1">
        <f t="array" ref="G439">IFERROR(_xlfn.LET(
_xlpm.CSVVal,_xlfn.XLOOKUP($A439,CSV!$A:$A,CSV!G:G,""),
_xlpm.MacVal,_xlfn.XLOOKUP($A439,Output_Mac!$A:$A,Output_Mac!H:H,""),
_xlpm.MyAuditVal,_xlfn.XLOOKUP($A439,My_Audit!$A:$A,My_Audit!F:F,""),
_xlfn.IFS(_xlpm.MyAuditVal&lt;&gt;"",_xlpm.MyAuditVal,_xlpm.MacVal&lt;&gt;"",_xlpm.MacVal,_xlpm.CSVVal&lt;&gt;"",_xlpm.CSVVal
)),"")</f>
        <v/>
      </c>
      <c r="H439" s="45" t="str">
        <f>_xlfn.XLOOKUP(A439,Output_Mac!A:A,Output_Mac!I:I,"")</f>
        <v/>
      </c>
      <c r="I439" s="45" t="str" cm="1">
        <f t="array" ref="I439">IFERROR(_xlfn.LET(
_xlpm.CSVVal,_xlfn.XLOOKUP($A439,CSV!$A:$A,CSV!H:H,""),
_xlpm.MacVal,_xlfn.XLOOKUP($A439,Output_Mac!$A:$A,Output_Mac!J:J,""),
_xlpm.MyAuditVal,_xlfn.XLOOKUP($A439,My_Audit!$A:$A,My_Audit!H:H,""),
_xlfn.IFS(_xlpm.MyAuditVal&lt;&gt;"",UPPER(_xlpm.MyAuditVal),_xlpm.MacVal&lt;&gt;"",_xlpm.MacVal,_xlpm.CSVVal&lt;&gt;"",_xlpm.CSVVal
)),"")</f>
        <v/>
      </c>
      <c r="J439" s="45" t="str" cm="1">
        <f t="array" ref="J439">IFERROR(_xlfn.LET(
_xlpm.CSVVal,_xlfn.XLOOKUP($A439,CSV!$A:$A,CSV!J:J,""),
_xlpm.MacVal,_xlfn.XLOOKUP($A439,Output_Mac!$A:$A,Output_Mac!K:K,""),
_xlpm.MyAuditVal,_xlfn.XLOOKUP($A439,My_Audit!$A:$A,My_Audit!I:I,""),
_xlfn.IFS(_xlpm.MyAuditVal&lt;&gt;"",UPPER(_xlpm.MyAuditVal),_xlpm.MacVal&lt;&gt;"",_xlpm.MacVal,_xlpm.CSVVal&lt;&gt;"",_xlpm.CSVVal
)),"")</f>
        <v/>
      </c>
      <c r="K439" s="45" t="str" cm="1">
        <f t="array" ref="K439">IFERROR(_xlfn.LET(
_xlpm.CSVVal,_xlfn.XLOOKUP($A439,CSV!$A:$A,CSV!N:N,""),
_xlpm.MacVal,_xlfn.XLOOKUP($A439,Output_Mac!$A:$A,Output_Mac!L:L,""),
_xlpm.MyAuditVal,_xlfn.XLOOKUP($A439,My_Audit!$A:$A,My_Audit!J:J,""),
_xlfn.IFS(_xlpm.MyAuditVal&lt;&gt;"",UPPER(_xlpm.MyAuditVal),_xlpm.MacVal&lt;&gt;"",_xlpm.MacVal,_xlpm.CSVVal&lt;&gt;"",_xlpm.CSVVal
)),"")</f>
        <v/>
      </c>
      <c r="L439" s="45" t="str" cm="1">
        <f t="array" ref="L439">IFERROR(_xlfn.LET(
_xlpm.CSVVal,_xlfn.XLOOKUP($A439,CSV!$A:$A,CSV!P:P,""),
_xlpm.MacVal,_xlfn.XLOOKUP($A439,Output_Mac!$A:$A,Output_Mac!M:M,""),
_xlpm.MyAuditVal,_xlfn.XLOOKUP($A439,My_Audit!$A:$A,My_Audit!K:K,""),
_xlfn.IFS(_xlpm.MyAuditVal&lt;&gt;"",UPPER(_xlpm.MyAuditVal),_xlpm.MacVal&lt;&gt;"",_xlpm.MacVal,_xlpm.CSVVal&lt;&gt;"",_xlpm.CSVVal
)),"")</f>
        <v/>
      </c>
      <c r="M439" s="45" t="str">
        <f>_xlfn.LET(
    _xlpm.CSVVal, _xlfn.XLOOKUP($A439, CSV!$A:$A, CSV!AE:AE, ""),
    _xlpm.MacVal, _xlfn.XLOOKUP($A439, Output_Mac!$A:$A, Output_Mac!S:S, ""),
    _xlpm.MyAuditVal, _xlfn.XLOOKUP($A439, My_Audit!$A:$A, My_Audit!N:N, ""),
    _xlfn.TEXTJOIN(", ", TRUE, _xlpm.MyAuditVal, _xlpm.MacVal, _xlpm.CSVVal)
)</f>
        <v/>
      </c>
      <c r="N439" s="45" t="str" cm="1">
        <f t="array" ref="N439">IFERROR(_xlfn.LET(
_xlpm.CSVVal,_xlfn.XLOOKUP($A439,CSV!$A:$A,CSV!AG:AG,""),
_xlpm.MacVal,_xlfn.XLOOKUP($A439,Output_Mac!$A:$A,Output_Mac!U:U,""),
_xlpm.MyAuditVal,_xlfn.XLOOKUP($A439,My_Audit!$A:$A,My_Audit!O:O,""),
_xlfn.IFS(_xlpm.MyAuditVal&lt;&gt;"",UPPER(_xlpm.MyAuditVal),_xlpm.MacVal&lt;&gt;"",_xlpm.MacVal,_xlpm.CSVVal&lt;&gt;"",_xlpm.CSVVal
)),"")</f>
        <v/>
      </c>
      <c r="O439" s="46" t="str">
        <f>_xlfn.XLOOKUP(C439,My_Audit!B:B,My_Audit!P:P,"")&amp;""</f>
        <v/>
      </c>
      <c r="P439" s="45"/>
      <c r="Q439" s="46" t="str">
        <f>IF(LEFT(N439,4)="Pass","Nist SP 800-88",My_Audit!R439)&amp;""</f>
        <v/>
      </c>
      <c r="R439" s="45"/>
      <c r="S439" s="45"/>
      <c r="T439" s="46" t="str">
        <f>_xlfn.XLOOKUP(E439,Models!I:I,Models!J:J,"")</f>
        <v/>
      </c>
      <c r="U439" s="45"/>
      <c r="V439" s="45"/>
      <c r="W439" s="38"/>
    </row>
    <row r="440" spans="1:23">
      <c r="A440" s="45" t="str">
        <f>_xlfn.TEXTJOIN("",TRUE,Input!$B$2,ROW(My_Audit!A439))</f>
        <v>XX439</v>
      </c>
      <c r="B440" s="45" t="str">
        <f>_xlfn.TEXTJOIN("-",TRUE,"ITD",Input!$A$2,A440)</f>
        <v>ITD-SHRXXX-XX439</v>
      </c>
      <c r="C440" s="45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46" t="str" cm="1">
        <f t="array" ref="D440">IFERROR(_xlfn.LET(
_xlpm.CSVVal,_xlfn.XLOOKUP($A440,CSV!$A:$A,CSV!C:C,""),
_xlpm.MacVal,_xlfn.XLOOKUP($A440,Output_Mac!$A:$A,Output_Mac!D:D,""),
_xlpm.MyAuditVal,_xlfn.XLOOKUP($A440,My_Audit!$A:$A,My_Audit!C:C,""),
_xlfn.IFS(_xlpm.MyAuditVal&lt;&gt;"",UPPER(_xlpm.MyAuditVal),_xlpm.MacVal&lt;&gt;"",_xlpm.MacVal,_xlpm.CSVVal&lt;&gt;"",_xlpm.CSVVal
)),"")</f>
        <v/>
      </c>
      <c r="E440" s="46" t="str" cm="1">
        <f t="array" ref="E440">IFERROR(_xlfn.LET(
_xlpm.CSVVal,_xlfn.XLOOKUP($A440,CSV!$A:$A,CSV!E:E,""),
_xlpm.MacVal,_xlfn.XLOOKUP($A440,Output_Mac!$A:$A,Output_Mac!C:C,""),
_xlpm.MyAuditVal,_xlfn.XLOOKUP($A440,My_Audit!$A:$A,My_Audit!D:D,""),
_xlfn.IFS(_xlpm.MyAuditVal&lt;&gt;"",_xlpm.MyAuditVal,_xlpm.MacVal&lt;&gt;"",_xlpm.MacVal,_xlpm.CSVVal&lt;&gt;"",_xlpm.CSVVal
)),"")</f>
        <v/>
      </c>
      <c r="F440" s="45" t="str" cm="1">
        <f t="array" ref="F440">IFERROR(_xlfn.LET(
_xlpm.CSVVal,_xlfn.XLOOKUP($A440,CSV!$A:$A,CSV!F:F,""),
_xlpm.MacVal,_xlfn.XLOOKUP($A440,Output_Mac!$A:$A,Output_Mac!F:F,""),
_xlpm.MyAuditVal,_xlfn.XLOOKUP($A440,My_Audit!$A:$A,My_Audit!E:E,""),
_xlfn.IFS(_xlpm.MyAuditVal&lt;&gt;"",_xlpm.MyAuditVal,_xlpm.MacVal&lt;&gt;"",_xlpm.MacVal,_xlpm.CSVVal&lt;&gt;"",PROPER(_xlpm.CSVVal)
)),"")</f>
        <v/>
      </c>
      <c r="G440" s="45" t="str" cm="1">
        <f t="array" ref="G440">IFERROR(_xlfn.LET(
_xlpm.CSVVal,_xlfn.XLOOKUP($A440,CSV!$A:$A,CSV!G:G,""),
_xlpm.MacVal,_xlfn.XLOOKUP($A440,Output_Mac!$A:$A,Output_Mac!H:H,""),
_xlpm.MyAuditVal,_xlfn.XLOOKUP($A440,My_Audit!$A:$A,My_Audit!F:F,""),
_xlfn.IFS(_xlpm.MyAuditVal&lt;&gt;"",_xlpm.MyAuditVal,_xlpm.MacVal&lt;&gt;"",_xlpm.MacVal,_xlpm.CSVVal&lt;&gt;"",_xlpm.CSVVal
)),"")</f>
        <v/>
      </c>
      <c r="H440" s="45" t="str">
        <f>_xlfn.XLOOKUP(A440,Output_Mac!A:A,Output_Mac!I:I,"")</f>
        <v/>
      </c>
      <c r="I440" s="45" t="str" cm="1">
        <f t="array" ref="I440">IFERROR(_xlfn.LET(
_xlpm.CSVVal,_xlfn.XLOOKUP($A440,CSV!$A:$A,CSV!H:H,""),
_xlpm.MacVal,_xlfn.XLOOKUP($A440,Output_Mac!$A:$A,Output_Mac!J:J,""),
_xlpm.MyAuditVal,_xlfn.XLOOKUP($A440,My_Audit!$A:$A,My_Audit!H:H,""),
_xlfn.IFS(_xlpm.MyAuditVal&lt;&gt;"",UPPER(_xlpm.MyAuditVal),_xlpm.MacVal&lt;&gt;"",_xlpm.MacVal,_xlpm.CSVVal&lt;&gt;"",_xlpm.CSVVal
)),"")</f>
        <v/>
      </c>
      <c r="J440" s="45" t="str" cm="1">
        <f t="array" ref="J440">IFERROR(_xlfn.LET(
_xlpm.CSVVal,_xlfn.XLOOKUP($A440,CSV!$A:$A,CSV!J:J,""),
_xlpm.MacVal,_xlfn.XLOOKUP($A440,Output_Mac!$A:$A,Output_Mac!K:K,""),
_xlpm.MyAuditVal,_xlfn.XLOOKUP($A440,My_Audit!$A:$A,My_Audit!I:I,""),
_xlfn.IFS(_xlpm.MyAuditVal&lt;&gt;"",UPPER(_xlpm.MyAuditVal),_xlpm.MacVal&lt;&gt;"",_xlpm.MacVal,_xlpm.CSVVal&lt;&gt;"",_xlpm.CSVVal
)),"")</f>
        <v/>
      </c>
      <c r="K440" s="45" t="str" cm="1">
        <f t="array" ref="K440">IFERROR(_xlfn.LET(
_xlpm.CSVVal,_xlfn.XLOOKUP($A440,CSV!$A:$A,CSV!N:N,""),
_xlpm.MacVal,_xlfn.XLOOKUP($A440,Output_Mac!$A:$A,Output_Mac!L:L,""),
_xlpm.MyAuditVal,_xlfn.XLOOKUP($A440,My_Audit!$A:$A,My_Audit!J:J,""),
_xlfn.IFS(_xlpm.MyAuditVal&lt;&gt;"",UPPER(_xlpm.MyAuditVal),_xlpm.MacVal&lt;&gt;"",_xlpm.MacVal,_xlpm.CSVVal&lt;&gt;"",_xlpm.CSVVal
)),"")</f>
        <v/>
      </c>
      <c r="L440" s="45" t="str" cm="1">
        <f t="array" ref="L440">IFERROR(_xlfn.LET(
_xlpm.CSVVal,_xlfn.XLOOKUP($A440,CSV!$A:$A,CSV!P:P,""),
_xlpm.MacVal,_xlfn.XLOOKUP($A440,Output_Mac!$A:$A,Output_Mac!M:M,""),
_xlpm.MyAuditVal,_xlfn.XLOOKUP($A440,My_Audit!$A:$A,My_Audit!K:K,""),
_xlfn.IFS(_xlpm.MyAuditVal&lt;&gt;"",UPPER(_xlpm.MyAuditVal),_xlpm.MacVal&lt;&gt;"",_xlpm.MacVal,_xlpm.CSVVal&lt;&gt;"",_xlpm.CSVVal
)),"")</f>
        <v/>
      </c>
      <c r="M440" s="45" t="str">
        <f>_xlfn.LET(
    _xlpm.CSVVal, _xlfn.XLOOKUP($A440, CSV!$A:$A, CSV!AE:AE, ""),
    _xlpm.MacVal, _xlfn.XLOOKUP($A440, Output_Mac!$A:$A, Output_Mac!S:S, ""),
    _xlpm.MyAuditVal, _xlfn.XLOOKUP($A440, My_Audit!$A:$A, My_Audit!N:N, ""),
    _xlfn.TEXTJOIN(", ", TRUE, _xlpm.MyAuditVal, _xlpm.MacVal, _xlpm.CSVVal)
)</f>
        <v/>
      </c>
      <c r="N440" s="45" t="str" cm="1">
        <f t="array" ref="N440">IFERROR(_xlfn.LET(
_xlpm.CSVVal,_xlfn.XLOOKUP($A440,CSV!$A:$A,CSV!AG:AG,""),
_xlpm.MacVal,_xlfn.XLOOKUP($A440,Output_Mac!$A:$A,Output_Mac!U:U,""),
_xlpm.MyAuditVal,_xlfn.XLOOKUP($A440,My_Audit!$A:$A,My_Audit!O:O,""),
_xlfn.IFS(_xlpm.MyAuditVal&lt;&gt;"",UPPER(_xlpm.MyAuditVal),_xlpm.MacVal&lt;&gt;"",_xlpm.MacVal,_xlpm.CSVVal&lt;&gt;"",_xlpm.CSVVal
)),"")</f>
        <v/>
      </c>
      <c r="O440" s="46" t="str">
        <f>_xlfn.XLOOKUP(C440,My_Audit!B:B,My_Audit!P:P,"")&amp;""</f>
        <v/>
      </c>
      <c r="P440" s="45"/>
      <c r="Q440" s="46" t="str">
        <f>IF(LEFT(N440,4)="Pass","Nist SP 800-88",My_Audit!R440)&amp;""</f>
        <v/>
      </c>
      <c r="R440" s="45"/>
      <c r="S440" s="45"/>
      <c r="T440" s="46" t="str">
        <f>_xlfn.XLOOKUP(E440,Models!I:I,Models!J:J,"")</f>
        <v/>
      </c>
      <c r="U440" s="45"/>
      <c r="V440" s="45"/>
      <c r="W440" s="38"/>
    </row>
    <row r="441" spans="1:23">
      <c r="A441" s="45" t="str">
        <f>_xlfn.TEXTJOIN("",TRUE,Input!$B$2,ROW(My_Audit!A440))</f>
        <v>XX440</v>
      </c>
      <c r="B441" s="45" t="str">
        <f>_xlfn.TEXTJOIN("-",TRUE,"ITD",Input!$A$2,A441)</f>
        <v>ITD-SHRXXX-XX440</v>
      </c>
      <c r="C441" s="45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46" t="str" cm="1">
        <f t="array" ref="D441">IFERROR(_xlfn.LET(
_xlpm.CSVVal,_xlfn.XLOOKUP($A441,CSV!$A:$A,CSV!C:C,""),
_xlpm.MacVal,_xlfn.XLOOKUP($A441,Output_Mac!$A:$A,Output_Mac!D:D,""),
_xlpm.MyAuditVal,_xlfn.XLOOKUP($A441,My_Audit!$A:$A,My_Audit!C:C,""),
_xlfn.IFS(_xlpm.MyAuditVal&lt;&gt;"",UPPER(_xlpm.MyAuditVal),_xlpm.MacVal&lt;&gt;"",_xlpm.MacVal,_xlpm.CSVVal&lt;&gt;"",_xlpm.CSVVal
)),"")</f>
        <v/>
      </c>
      <c r="E441" s="46" t="str" cm="1">
        <f t="array" ref="E441">IFERROR(_xlfn.LET(
_xlpm.CSVVal,_xlfn.XLOOKUP($A441,CSV!$A:$A,CSV!E:E,""),
_xlpm.MacVal,_xlfn.XLOOKUP($A441,Output_Mac!$A:$A,Output_Mac!C:C,""),
_xlpm.MyAuditVal,_xlfn.XLOOKUP($A441,My_Audit!$A:$A,My_Audit!D:D,""),
_xlfn.IFS(_xlpm.MyAuditVal&lt;&gt;"",_xlpm.MyAuditVal,_xlpm.MacVal&lt;&gt;"",_xlpm.MacVal,_xlpm.CSVVal&lt;&gt;"",_xlpm.CSVVal
)),"")</f>
        <v/>
      </c>
      <c r="F441" s="45" t="str" cm="1">
        <f t="array" ref="F441">IFERROR(_xlfn.LET(
_xlpm.CSVVal,_xlfn.XLOOKUP($A441,CSV!$A:$A,CSV!F:F,""),
_xlpm.MacVal,_xlfn.XLOOKUP($A441,Output_Mac!$A:$A,Output_Mac!F:F,""),
_xlpm.MyAuditVal,_xlfn.XLOOKUP($A441,My_Audit!$A:$A,My_Audit!E:E,""),
_xlfn.IFS(_xlpm.MyAuditVal&lt;&gt;"",_xlpm.MyAuditVal,_xlpm.MacVal&lt;&gt;"",_xlpm.MacVal,_xlpm.CSVVal&lt;&gt;"",PROPER(_xlpm.CSVVal)
)),"")</f>
        <v/>
      </c>
      <c r="G441" s="45" t="str" cm="1">
        <f t="array" ref="G441">IFERROR(_xlfn.LET(
_xlpm.CSVVal,_xlfn.XLOOKUP($A441,CSV!$A:$A,CSV!G:G,""),
_xlpm.MacVal,_xlfn.XLOOKUP($A441,Output_Mac!$A:$A,Output_Mac!H:H,""),
_xlpm.MyAuditVal,_xlfn.XLOOKUP($A441,My_Audit!$A:$A,My_Audit!F:F,""),
_xlfn.IFS(_xlpm.MyAuditVal&lt;&gt;"",_xlpm.MyAuditVal,_xlpm.MacVal&lt;&gt;"",_xlpm.MacVal,_xlpm.CSVVal&lt;&gt;"",_xlpm.CSVVal
)),"")</f>
        <v/>
      </c>
      <c r="H441" s="45" t="str">
        <f>_xlfn.XLOOKUP(A441,Output_Mac!A:A,Output_Mac!I:I,"")</f>
        <v/>
      </c>
      <c r="I441" s="45" t="str" cm="1">
        <f t="array" ref="I441">IFERROR(_xlfn.LET(
_xlpm.CSVVal,_xlfn.XLOOKUP($A441,CSV!$A:$A,CSV!H:H,""),
_xlpm.MacVal,_xlfn.XLOOKUP($A441,Output_Mac!$A:$A,Output_Mac!J:J,""),
_xlpm.MyAuditVal,_xlfn.XLOOKUP($A441,My_Audit!$A:$A,My_Audit!H:H,""),
_xlfn.IFS(_xlpm.MyAuditVal&lt;&gt;"",UPPER(_xlpm.MyAuditVal),_xlpm.MacVal&lt;&gt;"",_xlpm.MacVal,_xlpm.CSVVal&lt;&gt;"",_xlpm.CSVVal
)),"")</f>
        <v/>
      </c>
      <c r="J441" s="45" t="str" cm="1">
        <f t="array" ref="J441">IFERROR(_xlfn.LET(
_xlpm.CSVVal,_xlfn.XLOOKUP($A441,CSV!$A:$A,CSV!J:J,""),
_xlpm.MacVal,_xlfn.XLOOKUP($A441,Output_Mac!$A:$A,Output_Mac!K:K,""),
_xlpm.MyAuditVal,_xlfn.XLOOKUP($A441,My_Audit!$A:$A,My_Audit!I:I,""),
_xlfn.IFS(_xlpm.MyAuditVal&lt;&gt;"",UPPER(_xlpm.MyAuditVal),_xlpm.MacVal&lt;&gt;"",_xlpm.MacVal,_xlpm.CSVVal&lt;&gt;"",_xlpm.CSVVal
)),"")</f>
        <v/>
      </c>
      <c r="K441" s="45" t="str" cm="1">
        <f t="array" ref="K441">IFERROR(_xlfn.LET(
_xlpm.CSVVal,_xlfn.XLOOKUP($A441,CSV!$A:$A,CSV!N:N,""),
_xlpm.MacVal,_xlfn.XLOOKUP($A441,Output_Mac!$A:$A,Output_Mac!L:L,""),
_xlpm.MyAuditVal,_xlfn.XLOOKUP($A441,My_Audit!$A:$A,My_Audit!J:J,""),
_xlfn.IFS(_xlpm.MyAuditVal&lt;&gt;"",UPPER(_xlpm.MyAuditVal),_xlpm.MacVal&lt;&gt;"",_xlpm.MacVal,_xlpm.CSVVal&lt;&gt;"",_xlpm.CSVVal
)),"")</f>
        <v/>
      </c>
      <c r="L441" s="45" t="str" cm="1">
        <f t="array" ref="L441">IFERROR(_xlfn.LET(
_xlpm.CSVVal,_xlfn.XLOOKUP($A441,CSV!$A:$A,CSV!P:P,""),
_xlpm.MacVal,_xlfn.XLOOKUP($A441,Output_Mac!$A:$A,Output_Mac!M:M,""),
_xlpm.MyAuditVal,_xlfn.XLOOKUP($A441,My_Audit!$A:$A,My_Audit!K:K,""),
_xlfn.IFS(_xlpm.MyAuditVal&lt;&gt;"",UPPER(_xlpm.MyAuditVal),_xlpm.MacVal&lt;&gt;"",_xlpm.MacVal,_xlpm.CSVVal&lt;&gt;"",_xlpm.CSVVal
)),"")</f>
        <v/>
      </c>
      <c r="M441" s="45" t="str">
        <f>_xlfn.LET(
    _xlpm.CSVVal, _xlfn.XLOOKUP($A441, CSV!$A:$A, CSV!AE:AE, ""),
    _xlpm.MacVal, _xlfn.XLOOKUP($A441, Output_Mac!$A:$A, Output_Mac!S:S, ""),
    _xlpm.MyAuditVal, _xlfn.XLOOKUP($A441, My_Audit!$A:$A, My_Audit!N:N, ""),
    _xlfn.TEXTJOIN(", ", TRUE, _xlpm.MyAuditVal, _xlpm.MacVal, _xlpm.CSVVal)
)</f>
        <v/>
      </c>
      <c r="N441" s="45" t="str" cm="1">
        <f t="array" ref="N441">IFERROR(_xlfn.LET(
_xlpm.CSVVal,_xlfn.XLOOKUP($A441,CSV!$A:$A,CSV!AG:AG,""),
_xlpm.MacVal,_xlfn.XLOOKUP($A441,Output_Mac!$A:$A,Output_Mac!U:U,""),
_xlpm.MyAuditVal,_xlfn.XLOOKUP($A441,My_Audit!$A:$A,My_Audit!O:O,""),
_xlfn.IFS(_xlpm.MyAuditVal&lt;&gt;"",UPPER(_xlpm.MyAuditVal),_xlpm.MacVal&lt;&gt;"",_xlpm.MacVal,_xlpm.CSVVal&lt;&gt;"",_xlpm.CSVVal
)),"")</f>
        <v/>
      </c>
      <c r="O441" s="46" t="str">
        <f>_xlfn.XLOOKUP(C441,My_Audit!B:B,My_Audit!P:P,"")&amp;""</f>
        <v/>
      </c>
      <c r="P441" s="45"/>
      <c r="Q441" s="46" t="str">
        <f>IF(LEFT(N441,4)="Pass","Nist SP 800-88",My_Audit!R441)&amp;""</f>
        <v/>
      </c>
      <c r="R441" s="45"/>
      <c r="S441" s="45"/>
      <c r="T441" s="46" t="str">
        <f>_xlfn.XLOOKUP(E441,Models!I:I,Models!J:J,"")</f>
        <v/>
      </c>
      <c r="U441" s="45"/>
      <c r="V441" s="45"/>
      <c r="W441" s="38"/>
    </row>
    <row r="442" spans="1:23">
      <c r="A442" s="45" t="str">
        <f>_xlfn.TEXTJOIN("",TRUE,Input!$B$2,ROW(My_Audit!A441))</f>
        <v>XX441</v>
      </c>
      <c r="B442" s="45" t="str">
        <f>_xlfn.TEXTJOIN("-",TRUE,"ITD",Input!$A$2,A442)</f>
        <v>ITD-SHRXXX-XX441</v>
      </c>
      <c r="C442" s="45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46" t="str" cm="1">
        <f t="array" ref="D442">IFERROR(_xlfn.LET(
_xlpm.CSVVal,_xlfn.XLOOKUP($A442,CSV!$A:$A,CSV!C:C,""),
_xlpm.MacVal,_xlfn.XLOOKUP($A442,Output_Mac!$A:$A,Output_Mac!D:D,""),
_xlpm.MyAuditVal,_xlfn.XLOOKUP($A442,My_Audit!$A:$A,My_Audit!C:C,""),
_xlfn.IFS(_xlpm.MyAuditVal&lt;&gt;"",UPPER(_xlpm.MyAuditVal),_xlpm.MacVal&lt;&gt;"",_xlpm.MacVal,_xlpm.CSVVal&lt;&gt;"",_xlpm.CSVVal
)),"")</f>
        <v/>
      </c>
      <c r="E442" s="46" t="str" cm="1">
        <f t="array" ref="E442">IFERROR(_xlfn.LET(
_xlpm.CSVVal,_xlfn.XLOOKUP($A442,CSV!$A:$A,CSV!E:E,""),
_xlpm.MacVal,_xlfn.XLOOKUP($A442,Output_Mac!$A:$A,Output_Mac!C:C,""),
_xlpm.MyAuditVal,_xlfn.XLOOKUP($A442,My_Audit!$A:$A,My_Audit!D:D,""),
_xlfn.IFS(_xlpm.MyAuditVal&lt;&gt;"",_xlpm.MyAuditVal,_xlpm.MacVal&lt;&gt;"",_xlpm.MacVal,_xlpm.CSVVal&lt;&gt;"",_xlpm.CSVVal
)),"")</f>
        <v/>
      </c>
      <c r="F442" s="45" t="str" cm="1">
        <f t="array" ref="F442">IFERROR(_xlfn.LET(
_xlpm.CSVVal,_xlfn.XLOOKUP($A442,CSV!$A:$A,CSV!F:F,""),
_xlpm.MacVal,_xlfn.XLOOKUP($A442,Output_Mac!$A:$A,Output_Mac!F:F,""),
_xlpm.MyAuditVal,_xlfn.XLOOKUP($A442,My_Audit!$A:$A,My_Audit!E:E,""),
_xlfn.IFS(_xlpm.MyAuditVal&lt;&gt;"",_xlpm.MyAuditVal,_xlpm.MacVal&lt;&gt;"",_xlpm.MacVal,_xlpm.CSVVal&lt;&gt;"",PROPER(_xlpm.CSVVal)
)),"")</f>
        <v/>
      </c>
      <c r="G442" s="45" t="str" cm="1">
        <f t="array" ref="G442">IFERROR(_xlfn.LET(
_xlpm.CSVVal,_xlfn.XLOOKUP($A442,CSV!$A:$A,CSV!G:G,""),
_xlpm.MacVal,_xlfn.XLOOKUP($A442,Output_Mac!$A:$A,Output_Mac!H:H,""),
_xlpm.MyAuditVal,_xlfn.XLOOKUP($A442,My_Audit!$A:$A,My_Audit!F:F,""),
_xlfn.IFS(_xlpm.MyAuditVal&lt;&gt;"",_xlpm.MyAuditVal,_xlpm.MacVal&lt;&gt;"",_xlpm.MacVal,_xlpm.CSVVal&lt;&gt;"",_xlpm.CSVVal
)),"")</f>
        <v/>
      </c>
      <c r="H442" s="45" t="str">
        <f>_xlfn.XLOOKUP(A442,Output_Mac!A:A,Output_Mac!I:I,"")</f>
        <v/>
      </c>
      <c r="I442" s="45" t="str" cm="1">
        <f t="array" ref="I442">IFERROR(_xlfn.LET(
_xlpm.CSVVal,_xlfn.XLOOKUP($A442,CSV!$A:$A,CSV!H:H,""),
_xlpm.MacVal,_xlfn.XLOOKUP($A442,Output_Mac!$A:$A,Output_Mac!J:J,""),
_xlpm.MyAuditVal,_xlfn.XLOOKUP($A442,My_Audit!$A:$A,My_Audit!H:H,""),
_xlfn.IFS(_xlpm.MyAuditVal&lt;&gt;"",UPPER(_xlpm.MyAuditVal),_xlpm.MacVal&lt;&gt;"",_xlpm.MacVal,_xlpm.CSVVal&lt;&gt;"",_xlpm.CSVVal
)),"")</f>
        <v/>
      </c>
      <c r="J442" s="45" t="str" cm="1">
        <f t="array" ref="J442">IFERROR(_xlfn.LET(
_xlpm.CSVVal,_xlfn.XLOOKUP($A442,CSV!$A:$A,CSV!J:J,""),
_xlpm.MacVal,_xlfn.XLOOKUP($A442,Output_Mac!$A:$A,Output_Mac!K:K,""),
_xlpm.MyAuditVal,_xlfn.XLOOKUP($A442,My_Audit!$A:$A,My_Audit!I:I,""),
_xlfn.IFS(_xlpm.MyAuditVal&lt;&gt;"",UPPER(_xlpm.MyAuditVal),_xlpm.MacVal&lt;&gt;"",_xlpm.MacVal,_xlpm.CSVVal&lt;&gt;"",_xlpm.CSVVal
)),"")</f>
        <v/>
      </c>
      <c r="K442" s="45" t="str" cm="1">
        <f t="array" ref="K442">IFERROR(_xlfn.LET(
_xlpm.CSVVal,_xlfn.XLOOKUP($A442,CSV!$A:$A,CSV!N:N,""),
_xlpm.MacVal,_xlfn.XLOOKUP($A442,Output_Mac!$A:$A,Output_Mac!L:L,""),
_xlpm.MyAuditVal,_xlfn.XLOOKUP($A442,My_Audit!$A:$A,My_Audit!J:J,""),
_xlfn.IFS(_xlpm.MyAuditVal&lt;&gt;"",UPPER(_xlpm.MyAuditVal),_xlpm.MacVal&lt;&gt;"",_xlpm.MacVal,_xlpm.CSVVal&lt;&gt;"",_xlpm.CSVVal
)),"")</f>
        <v/>
      </c>
      <c r="L442" s="45" t="str" cm="1">
        <f t="array" ref="L442">IFERROR(_xlfn.LET(
_xlpm.CSVVal,_xlfn.XLOOKUP($A442,CSV!$A:$A,CSV!P:P,""),
_xlpm.MacVal,_xlfn.XLOOKUP($A442,Output_Mac!$A:$A,Output_Mac!M:M,""),
_xlpm.MyAuditVal,_xlfn.XLOOKUP($A442,My_Audit!$A:$A,My_Audit!K:K,""),
_xlfn.IFS(_xlpm.MyAuditVal&lt;&gt;"",UPPER(_xlpm.MyAuditVal),_xlpm.MacVal&lt;&gt;"",_xlpm.MacVal,_xlpm.CSVVal&lt;&gt;"",_xlpm.CSVVal
)),"")</f>
        <v/>
      </c>
      <c r="M442" s="45" t="str">
        <f>_xlfn.LET(
    _xlpm.CSVVal, _xlfn.XLOOKUP($A442, CSV!$A:$A, CSV!AE:AE, ""),
    _xlpm.MacVal, _xlfn.XLOOKUP($A442, Output_Mac!$A:$A, Output_Mac!S:S, ""),
    _xlpm.MyAuditVal, _xlfn.XLOOKUP($A442, My_Audit!$A:$A, My_Audit!N:N, ""),
    _xlfn.TEXTJOIN(", ", TRUE, _xlpm.MyAuditVal, _xlpm.MacVal, _xlpm.CSVVal)
)</f>
        <v/>
      </c>
      <c r="N442" s="45" t="str" cm="1">
        <f t="array" ref="N442">IFERROR(_xlfn.LET(
_xlpm.CSVVal,_xlfn.XLOOKUP($A442,CSV!$A:$A,CSV!AG:AG,""),
_xlpm.MacVal,_xlfn.XLOOKUP($A442,Output_Mac!$A:$A,Output_Mac!U:U,""),
_xlpm.MyAuditVal,_xlfn.XLOOKUP($A442,My_Audit!$A:$A,My_Audit!O:O,""),
_xlfn.IFS(_xlpm.MyAuditVal&lt;&gt;"",UPPER(_xlpm.MyAuditVal),_xlpm.MacVal&lt;&gt;"",_xlpm.MacVal,_xlpm.CSVVal&lt;&gt;"",_xlpm.CSVVal
)),"")</f>
        <v/>
      </c>
      <c r="O442" s="46" t="str">
        <f>_xlfn.XLOOKUP(C442,My_Audit!B:B,My_Audit!P:P,"")&amp;""</f>
        <v/>
      </c>
      <c r="P442" s="45"/>
      <c r="Q442" s="46" t="str">
        <f>IF(LEFT(N442,4)="Pass","Nist SP 800-88",My_Audit!R442)&amp;""</f>
        <v/>
      </c>
      <c r="R442" s="45"/>
      <c r="S442" s="45"/>
      <c r="T442" s="46" t="str">
        <f>_xlfn.XLOOKUP(E442,Models!I:I,Models!J:J,"")</f>
        <v/>
      </c>
      <c r="U442" s="45"/>
      <c r="V442" s="45"/>
      <c r="W442" s="38"/>
    </row>
    <row r="443" spans="1:23">
      <c r="A443" s="45" t="str">
        <f>_xlfn.TEXTJOIN("",TRUE,Input!$B$2,ROW(My_Audit!A442))</f>
        <v>XX442</v>
      </c>
      <c r="B443" s="45" t="str">
        <f>_xlfn.TEXTJOIN("-",TRUE,"ITD",Input!$A$2,A443)</f>
        <v>ITD-SHRXXX-XX442</v>
      </c>
      <c r="C443" s="45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46" t="str" cm="1">
        <f t="array" ref="D443">IFERROR(_xlfn.LET(
_xlpm.CSVVal,_xlfn.XLOOKUP($A443,CSV!$A:$A,CSV!C:C,""),
_xlpm.MacVal,_xlfn.XLOOKUP($A443,Output_Mac!$A:$A,Output_Mac!D:D,""),
_xlpm.MyAuditVal,_xlfn.XLOOKUP($A443,My_Audit!$A:$A,My_Audit!C:C,""),
_xlfn.IFS(_xlpm.MyAuditVal&lt;&gt;"",UPPER(_xlpm.MyAuditVal),_xlpm.MacVal&lt;&gt;"",_xlpm.MacVal,_xlpm.CSVVal&lt;&gt;"",_xlpm.CSVVal
)),"")</f>
        <v/>
      </c>
      <c r="E443" s="46" t="str" cm="1">
        <f t="array" ref="E443">IFERROR(_xlfn.LET(
_xlpm.CSVVal,_xlfn.XLOOKUP($A443,CSV!$A:$A,CSV!E:E,""),
_xlpm.MacVal,_xlfn.XLOOKUP($A443,Output_Mac!$A:$A,Output_Mac!C:C,""),
_xlpm.MyAuditVal,_xlfn.XLOOKUP($A443,My_Audit!$A:$A,My_Audit!D:D,""),
_xlfn.IFS(_xlpm.MyAuditVal&lt;&gt;"",_xlpm.MyAuditVal,_xlpm.MacVal&lt;&gt;"",_xlpm.MacVal,_xlpm.CSVVal&lt;&gt;"",_xlpm.CSVVal
)),"")</f>
        <v/>
      </c>
      <c r="F443" s="45" t="str" cm="1">
        <f t="array" ref="F443">IFERROR(_xlfn.LET(
_xlpm.CSVVal,_xlfn.XLOOKUP($A443,CSV!$A:$A,CSV!F:F,""),
_xlpm.MacVal,_xlfn.XLOOKUP($A443,Output_Mac!$A:$A,Output_Mac!F:F,""),
_xlpm.MyAuditVal,_xlfn.XLOOKUP($A443,My_Audit!$A:$A,My_Audit!E:E,""),
_xlfn.IFS(_xlpm.MyAuditVal&lt;&gt;"",_xlpm.MyAuditVal,_xlpm.MacVal&lt;&gt;"",_xlpm.MacVal,_xlpm.CSVVal&lt;&gt;"",PROPER(_xlpm.CSVVal)
)),"")</f>
        <v/>
      </c>
      <c r="G443" s="45" t="str" cm="1">
        <f t="array" ref="G443">IFERROR(_xlfn.LET(
_xlpm.CSVVal,_xlfn.XLOOKUP($A443,CSV!$A:$A,CSV!G:G,""),
_xlpm.MacVal,_xlfn.XLOOKUP($A443,Output_Mac!$A:$A,Output_Mac!H:H,""),
_xlpm.MyAuditVal,_xlfn.XLOOKUP($A443,My_Audit!$A:$A,My_Audit!F:F,""),
_xlfn.IFS(_xlpm.MyAuditVal&lt;&gt;"",_xlpm.MyAuditVal,_xlpm.MacVal&lt;&gt;"",_xlpm.MacVal,_xlpm.CSVVal&lt;&gt;"",_xlpm.CSVVal
)),"")</f>
        <v/>
      </c>
      <c r="H443" s="45" t="str">
        <f>_xlfn.XLOOKUP(A443,Output_Mac!A:A,Output_Mac!I:I,"")</f>
        <v/>
      </c>
      <c r="I443" s="45" t="str" cm="1">
        <f t="array" ref="I443">IFERROR(_xlfn.LET(
_xlpm.CSVVal,_xlfn.XLOOKUP($A443,CSV!$A:$A,CSV!H:H,""),
_xlpm.MacVal,_xlfn.XLOOKUP($A443,Output_Mac!$A:$A,Output_Mac!J:J,""),
_xlpm.MyAuditVal,_xlfn.XLOOKUP($A443,My_Audit!$A:$A,My_Audit!H:H,""),
_xlfn.IFS(_xlpm.MyAuditVal&lt;&gt;"",UPPER(_xlpm.MyAuditVal),_xlpm.MacVal&lt;&gt;"",_xlpm.MacVal,_xlpm.CSVVal&lt;&gt;"",_xlpm.CSVVal
)),"")</f>
        <v/>
      </c>
      <c r="J443" s="45" t="str" cm="1">
        <f t="array" ref="J443">IFERROR(_xlfn.LET(
_xlpm.CSVVal,_xlfn.XLOOKUP($A443,CSV!$A:$A,CSV!J:J,""),
_xlpm.MacVal,_xlfn.XLOOKUP($A443,Output_Mac!$A:$A,Output_Mac!K:K,""),
_xlpm.MyAuditVal,_xlfn.XLOOKUP($A443,My_Audit!$A:$A,My_Audit!I:I,""),
_xlfn.IFS(_xlpm.MyAuditVal&lt;&gt;"",UPPER(_xlpm.MyAuditVal),_xlpm.MacVal&lt;&gt;"",_xlpm.MacVal,_xlpm.CSVVal&lt;&gt;"",_xlpm.CSVVal
)),"")</f>
        <v/>
      </c>
      <c r="K443" s="45" t="str" cm="1">
        <f t="array" ref="K443">IFERROR(_xlfn.LET(
_xlpm.CSVVal,_xlfn.XLOOKUP($A443,CSV!$A:$A,CSV!N:N,""),
_xlpm.MacVal,_xlfn.XLOOKUP($A443,Output_Mac!$A:$A,Output_Mac!L:L,""),
_xlpm.MyAuditVal,_xlfn.XLOOKUP($A443,My_Audit!$A:$A,My_Audit!J:J,""),
_xlfn.IFS(_xlpm.MyAuditVal&lt;&gt;"",UPPER(_xlpm.MyAuditVal),_xlpm.MacVal&lt;&gt;"",_xlpm.MacVal,_xlpm.CSVVal&lt;&gt;"",_xlpm.CSVVal
)),"")</f>
        <v/>
      </c>
      <c r="L443" s="45" t="str" cm="1">
        <f t="array" ref="L443">IFERROR(_xlfn.LET(
_xlpm.CSVVal,_xlfn.XLOOKUP($A443,CSV!$A:$A,CSV!P:P,""),
_xlpm.MacVal,_xlfn.XLOOKUP($A443,Output_Mac!$A:$A,Output_Mac!M:M,""),
_xlpm.MyAuditVal,_xlfn.XLOOKUP($A443,My_Audit!$A:$A,My_Audit!K:K,""),
_xlfn.IFS(_xlpm.MyAuditVal&lt;&gt;"",UPPER(_xlpm.MyAuditVal),_xlpm.MacVal&lt;&gt;"",_xlpm.MacVal,_xlpm.CSVVal&lt;&gt;"",_xlpm.CSVVal
)),"")</f>
        <v/>
      </c>
      <c r="M443" s="45" t="str">
        <f>_xlfn.LET(
    _xlpm.CSVVal, _xlfn.XLOOKUP($A443, CSV!$A:$A, CSV!AE:AE, ""),
    _xlpm.MacVal, _xlfn.XLOOKUP($A443, Output_Mac!$A:$A, Output_Mac!S:S, ""),
    _xlpm.MyAuditVal, _xlfn.XLOOKUP($A443, My_Audit!$A:$A, My_Audit!N:N, ""),
    _xlfn.TEXTJOIN(", ", TRUE, _xlpm.MyAuditVal, _xlpm.MacVal, _xlpm.CSVVal)
)</f>
        <v/>
      </c>
      <c r="N443" s="45" t="str" cm="1">
        <f t="array" ref="N443">IFERROR(_xlfn.LET(
_xlpm.CSVVal,_xlfn.XLOOKUP($A443,CSV!$A:$A,CSV!AG:AG,""),
_xlpm.MacVal,_xlfn.XLOOKUP($A443,Output_Mac!$A:$A,Output_Mac!U:U,""),
_xlpm.MyAuditVal,_xlfn.XLOOKUP($A443,My_Audit!$A:$A,My_Audit!O:O,""),
_xlfn.IFS(_xlpm.MyAuditVal&lt;&gt;"",UPPER(_xlpm.MyAuditVal),_xlpm.MacVal&lt;&gt;"",_xlpm.MacVal,_xlpm.CSVVal&lt;&gt;"",_xlpm.CSVVal
)),"")</f>
        <v/>
      </c>
      <c r="O443" s="46" t="str">
        <f>_xlfn.XLOOKUP(C443,My_Audit!B:B,My_Audit!P:P,"")&amp;""</f>
        <v/>
      </c>
      <c r="P443" s="45"/>
      <c r="Q443" s="46" t="str">
        <f>IF(LEFT(N443,4)="Pass","Nist SP 800-88",My_Audit!R443)&amp;""</f>
        <v/>
      </c>
      <c r="R443" s="45"/>
      <c r="S443" s="45"/>
      <c r="T443" s="46" t="str">
        <f>_xlfn.XLOOKUP(E443,Models!I:I,Models!J:J,"")</f>
        <v/>
      </c>
      <c r="U443" s="45"/>
      <c r="V443" s="45"/>
      <c r="W443" s="38"/>
    </row>
    <row r="444" spans="1:23">
      <c r="A444" s="45" t="str">
        <f>_xlfn.TEXTJOIN("",TRUE,Input!$B$2,ROW(My_Audit!A443))</f>
        <v>XX443</v>
      </c>
      <c r="B444" s="45" t="str">
        <f>_xlfn.TEXTJOIN("-",TRUE,"ITD",Input!$A$2,A444)</f>
        <v>ITD-SHRXXX-XX443</v>
      </c>
      <c r="C444" s="45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46" t="str" cm="1">
        <f t="array" ref="D444">IFERROR(_xlfn.LET(
_xlpm.CSVVal,_xlfn.XLOOKUP($A444,CSV!$A:$A,CSV!C:C,""),
_xlpm.MacVal,_xlfn.XLOOKUP($A444,Output_Mac!$A:$A,Output_Mac!D:D,""),
_xlpm.MyAuditVal,_xlfn.XLOOKUP($A444,My_Audit!$A:$A,My_Audit!C:C,""),
_xlfn.IFS(_xlpm.MyAuditVal&lt;&gt;"",UPPER(_xlpm.MyAuditVal),_xlpm.MacVal&lt;&gt;"",_xlpm.MacVal,_xlpm.CSVVal&lt;&gt;"",_xlpm.CSVVal
)),"")</f>
        <v/>
      </c>
      <c r="E444" s="46" t="str" cm="1">
        <f t="array" ref="E444">IFERROR(_xlfn.LET(
_xlpm.CSVVal,_xlfn.XLOOKUP($A444,CSV!$A:$A,CSV!E:E,""),
_xlpm.MacVal,_xlfn.XLOOKUP($A444,Output_Mac!$A:$A,Output_Mac!C:C,""),
_xlpm.MyAuditVal,_xlfn.XLOOKUP($A444,My_Audit!$A:$A,My_Audit!D:D,""),
_xlfn.IFS(_xlpm.MyAuditVal&lt;&gt;"",_xlpm.MyAuditVal,_xlpm.MacVal&lt;&gt;"",_xlpm.MacVal,_xlpm.CSVVal&lt;&gt;"",_xlpm.CSVVal
)),"")</f>
        <v/>
      </c>
      <c r="F444" s="45" t="str" cm="1">
        <f t="array" ref="F444">IFERROR(_xlfn.LET(
_xlpm.CSVVal,_xlfn.XLOOKUP($A444,CSV!$A:$A,CSV!F:F,""),
_xlpm.MacVal,_xlfn.XLOOKUP($A444,Output_Mac!$A:$A,Output_Mac!F:F,""),
_xlpm.MyAuditVal,_xlfn.XLOOKUP($A444,My_Audit!$A:$A,My_Audit!E:E,""),
_xlfn.IFS(_xlpm.MyAuditVal&lt;&gt;"",_xlpm.MyAuditVal,_xlpm.MacVal&lt;&gt;"",_xlpm.MacVal,_xlpm.CSVVal&lt;&gt;"",PROPER(_xlpm.CSVVal)
)),"")</f>
        <v/>
      </c>
      <c r="G444" s="45" t="str" cm="1">
        <f t="array" ref="G444">IFERROR(_xlfn.LET(
_xlpm.CSVVal,_xlfn.XLOOKUP($A444,CSV!$A:$A,CSV!G:G,""),
_xlpm.MacVal,_xlfn.XLOOKUP($A444,Output_Mac!$A:$A,Output_Mac!H:H,""),
_xlpm.MyAuditVal,_xlfn.XLOOKUP($A444,My_Audit!$A:$A,My_Audit!F:F,""),
_xlfn.IFS(_xlpm.MyAuditVal&lt;&gt;"",_xlpm.MyAuditVal,_xlpm.MacVal&lt;&gt;"",_xlpm.MacVal,_xlpm.CSVVal&lt;&gt;"",_xlpm.CSVVal
)),"")</f>
        <v/>
      </c>
      <c r="H444" s="45" t="str">
        <f>_xlfn.XLOOKUP(A444,Output_Mac!A:A,Output_Mac!I:I,"")</f>
        <v/>
      </c>
      <c r="I444" s="45" t="str" cm="1">
        <f t="array" ref="I444">IFERROR(_xlfn.LET(
_xlpm.CSVVal,_xlfn.XLOOKUP($A444,CSV!$A:$A,CSV!H:H,""),
_xlpm.MacVal,_xlfn.XLOOKUP($A444,Output_Mac!$A:$A,Output_Mac!J:J,""),
_xlpm.MyAuditVal,_xlfn.XLOOKUP($A444,My_Audit!$A:$A,My_Audit!H:H,""),
_xlfn.IFS(_xlpm.MyAuditVal&lt;&gt;"",UPPER(_xlpm.MyAuditVal),_xlpm.MacVal&lt;&gt;"",_xlpm.MacVal,_xlpm.CSVVal&lt;&gt;"",_xlpm.CSVVal
)),"")</f>
        <v/>
      </c>
      <c r="J444" s="45" t="str" cm="1">
        <f t="array" ref="J444">IFERROR(_xlfn.LET(
_xlpm.CSVVal,_xlfn.XLOOKUP($A444,CSV!$A:$A,CSV!J:J,""),
_xlpm.MacVal,_xlfn.XLOOKUP($A444,Output_Mac!$A:$A,Output_Mac!K:K,""),
_xlpm.MyAuditVal,_xlfn.XLOOKUP($A444,My_Audit!$A:$A,My_Audit!I:I,""),
_xlfn.IFS(_xlpm.MyAuditVal&lt;&gt;"",UPPER(_xlpm.MyAuditVal),_xlpm.MacVal&lt;&gt;"",_xlpm.MacVal,_xlpm.CSVVal&lt;&gt;"",_xlpm.CSVVal
)),"")</f>
        <v/>
      </c>
      <c r="K444" s="45" t="str" cm="1">
        <f t="array" ref="K444">IFERROR(_xlfn.LET(
_xlpm.CSVVal,_xlfn.XLOOKUP($A444,CSV!$A:$A,CSV!N:N,""),
_xlpm.MacVal,_xlfn.XLOOKUP($A444,Output_Mac!$A:$A,Output_Mac!L:L,""),
_xlpm.MyAuditVal,_xlfn.XLOOKUP($A444,My_Audit!$A:$A,My_Audit!J:J,""),
_xlfn.IFS(_xlpm.MyAuditVal&lt;&gt;"",UPPER(_xlpm.MyAuditVal),_xlpm.MacVal&lt;&gt;"",_xlpm.MacVal,_xlpm.CSVVal&lt;&gt;"",_xlpm.CSVVal
)),"")</f>
        <v/>
      </c>
      <c r="L444" s="45" t="str" cm="1">
        <f t="array" ref="L444">IFERROR(_xlfn.LET(
_xlpm.CSVVal,_xlfn.XLOOKUP($A444,CSV!$A:$A,CSV!P:P,""),
_xlpm.MacVal,_xlfn.XLOOKUP($A444,Output_Mac!$A:$A,Output_Mac!M:M,""),
_xlpm.MyAuditVal,_xlfn.XLOOKUP($A444,My_Audit!$A:$A,My_Audit!K:K,""),
_xlfn.IFS(_xlpm.MyAuditVal&lt;&gt;"",UPPER(_xlpm.MyAuditVal),_xlpm.MacVal&lt;&gt;"",_xlpm.MacVal,_xlpm.CSVVal&lt;&gt;"",_xlpm.CSVVal
)),"")</f>
        <v/>
      </c>
      <c r="M444" s="45" t="str">
        <f>_xlfn.LET(
    _xlpm.CSVVal, _xlfn.XLOOKUP($A444, CSV!$A:$A, CSV!AE:AE, ""),
    _xlpm.MacVal, _xlfn.XLOOKUP($A444, Output_Mac!$A:$A, Output_Mac!S:S, ""),
    _xlpm.MyAuditVal, _xlfn.XLOOKUP($A444, My_Audit!$A:$A, My_Audit!N:N, ""),
    _xlfn.TEXTJOIN(", ", TRUE, _xlpm.MyAuditVal, _xlpm.MacVal, _xlpm.CSVVal)
)</f>
        <v/>
      </c>
      <c r="N444" s="45" t="str" cm="1">
        <f t="array" ref="N444">IFERROR(_xlfn.LET(
_xlpm.CSVVal,_xlfn.XLOOKUP($A444,CSV!$A:$A,CSV!AG:AG,""),
_xlpm.MacVal,_xlfn.XLOOKUP($A444,Output_Mac!$A:$A,Output_Mac!U:U,""),
_xlpm.MyAuditVal,_xlfn.XLOOKUP($A444,My_Audit!$A:$A,My_Audit!O:O,""),
_xlfn.IFS(_xlpm.MyAuditVal&lt;&gt;"",UPPER(_xlpm.MyAuditVal),_xlpm.MacVal&lt;&gt;"",_xlpm.MacVal,_xlpm.CSVVal&lt;&gt;"",_xlpm.CSVVal
)),"")</f>
        <v/>
      </c>
      <c r="O444" s="46" t="str">
        <f>_xlfn.XLOOKUP(C444,My_Audit!B:B,My_Audit!P:P,"")&amp;""</f>
        <v/>
      </c>
      <c r="P444" s="45"/>
      <c r="Q444" s="46" t="str">
        <f>IF(LEFT(N444,4)="Pass","Nist SP 800-88",My_Audit!R444)&amp;""</f>
        <v/>
      </c>
      <c r="R444" s="45"/>
      <c r="S444" s="45"/>
      <c r="T444" s="46" t="str">
        <f>_xlfn.XLOOKUP(E444,Models!I:I,Models!J:J,"")</f>
        <v/>
      </c>
      <c r="U444" s="45"/>
      <c r="V444" s="45"/>
      <c r="W444" s="38"/>
    </row>
    <row r="445" spans="1:23">
      <c r="A445" s="45" t="str">
        <f>_xlfn.TEXTJOIN("",TRUE,Input!$B$2,ROW(My_Audit!A444))</f>
        <v>XX444</v>
      </c>
      <c r="B445" s="45" t="str">
        <f>_xlfn.TEXTJOIN("-",TRUE,"ITD",Input!$A$2,A445)</f>
        <v>ITD-SHRXXX-XX444</v>
      </c>
      <c r="C445" s="45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46" t="str" cm="1">
        <f t="array" ref="D445">IFERROR(_xlfn.LET(
_xlpm.CSVVal,_xlfn.XLOOKUP($A445,CSV!$A:$A,CSV!C:C,""),
_xlpm.MacVal,_xlfn.XLOOKUP($A445,Output_Mac!$A:$A,Output_Mac!D:D,""),
_xlpm.MyAuditVal,_xlfn.XLOOKUP($A445,My_Audit!$A:$A,My_Audit!C:C,""),
_xlfn.IFS(_xlpm.MyAuditVal&lt;&gt;"",UPPER(_xlpm.MyAuditVal),_xlpm.MacVal&lt;&gt;"",_xlpm.MacVal,_xlpm.CSVVal&lt;&gt;"",_xlpm.CSVVal
)),"")</f>
        <v/>
      </c>
      <c r="E445" s="46" t="str" cm="1">
        <f t="array" ref="E445">IFERROR(_xlfn.LET(
_xlpm.CSVVal,_xlfn.XLOOKUP($A445,CSV!$A:$A,CSV!E:E,""),
_xlpm.MacVal,_xlfn.XLOOKUP($A445,Output_Mac!$A:$A,Output_Mac!C:C,""),
_xlpm.MyAuditVal,_xlfn.XLOOKUP($A445,My_Audit!$A:$A,My_Audit!D:D,""),
_xlfn.IFS(_xlpm.MyAuditVal&lt;&gt;"",_xlpm.MyAuditVal,_xlpm.MacVal&lt;&gt;"",_xlpm.MacVal,_xlpm.CSVVal&lt;&gt;"",_xlpm.CSVVal
)),"")</f>
        <v/>
      </c>
      <c r="F445" s="45" t="str" cm="1">
        <f t="array" ref="F445">IFERROR(_xlfn.LET(
_xlpm.CSVVal,_xlfn.XLOOKUP($A445,CSV!$A:$A,CSV!F:F,""),
_xlpm.MacVal,_xlfn.XLOOKUP($A445,Output_Mac!$A:$A,Output_Mac!F:F,""),
_xlpm.MyAuditVal,_xlfn.XLOOKUP($A445,My_Audit!$A:$A,My_Audit!E:E,""),
_xlfn.IFS(_xlpm.MyAuditVal&lt;&gt;"",_xlpm.MyAuditVal,_xlpm.MacVal&lt;&gt;"",_xlpm.MacVal,_xlpm.CSVVal&lt;&gt;"",PROPER(_xlpm.CSVVal)
)),"")</f>
        <v/>
      </c>
      <c r="G445" s="45" t="str" cm="1">
        <f t="array" ref="G445">IFERROR(_xlfn.LET(
_xlpm.CSVVal,_xlfn.XLOOKUP($A445,CSV!$A:$A,CSV!G:G,""),
_xlpm.MacVal,_xlfn.XLOOKUP($A445,Output_Mac!$A:$A,Output_Mac!H:H,""),
_xlpm.MyAuditVal,_xlfn.XLOOKUP($A445,My_Audit!$A:$A,My_Audit!F:F,""),
_xlfn.IFS(_xlpm.MyAuditVal&lt;&gt;"",_xlpm.MyAuditVal,_xlpm.MacVal&lt;&gt;"",_xlpm.MacVal,_xlpm.CSVVal&lt;&gt;"",_xlpm.CSVVal
)),"")</f>
        <v/>
      </c>
      <c r="H445" s="45" t="str">
        <f>_xlfn.XLOOKUP(A445,Output_Mac!A:A,Output_Mac!I:I,"")</f>
        <v/>
      </c>
      <c r="I445" s="45" t="str" cm="1">
        <f t="array" ref="I445">IFERROR(_xlfn.LET(
_xlpm.CSVVal,_xlfn.XLOOKUP($A445,CSV!$A:$A,CSV!H:H,""),
_xlpm.MacVal,_xlfn.XLOOKUP($A445,Output_Mac!$A:$A,Output_Mac!J:J,""),
_xlpm.MyAuditVal,_xlfn.XLOOKUP($A445,My_Audit!$A:$A,My_Audit!H:H,""),
_xlfn.IFS(_xlpm.MyAuditVal&lt;&gt;"",UPPER(_xlpm.MyAuditVal),_xlpm.MacVal&lt;&gt;"",_xlpm.MacVal,_xlpm.CSVVal&lt;&gt;"",_xlpm.CSVVal
)),"")</f>
        <v/>
      </c>
      <c r="J445" s="45" t="str" cm="1">
        <f t="array" ref="J445">IFERROR(_xlfn.LET(
_xlpm.CSVVal,_xlfn.XLOOKUP($A445,CSV!$A:$A,CSV!J:J,""),
_xlpm.MacVal,_xlfn.XLOOKUP($A445,Output_Mac!$A:$A,Output_Mac!K:K,""),
_xlpm.MyAuditVal,_xlfn.XLOOKUP($A445,My_Audit!$A:$A,My_Audit!I:I,""),
_xlfn.IFS(_xlpm.MyAuditVal&lt;&gt;"",UPPER(_xlpm.MyAuditVal),_xlpm.MacVal&lt;&gt;"",_xlpm.MacVal,_xlpm.CSVVal&lt;&gt;"",_xlpm.CSVVal
)),"")</f>
        <v/>
      </c>
      <c r="K445" s="45" t="str" cm="1">
        <f t="array" ref="K445">IFERROR(_xlfn.LET(
_xlpm.CSVVal,_xlfn.XLOOKUP($A445,CSV!$A:$A,CSV!N:N,""),
_xlpm.MacVal,_xlfn.XLOOKUP($A445,Output_Mac!$A:$A,Output_Mac!L:L,""),
_xlpm.MyAuditVal,_xlfn.XLOOKUP($A445,My_Audit!$A:$A,My_Audit!J:J,""),
_xlfn.IFS(_xlpm.MyAuditVal&lt;&gt;"",UPPER(_xlpm.MyAuditVal),_xlpm.MacVal&lt;&gt;"",_xlpm.MacVal,_xlpm.CSVVal&lt;&gt;"",_xlpm.CSVVal
)),"")</f>
        <v/>
      </c>
      <c r="L445" s="45" t="str" cm="1">
        <f t="array" ref="L445">IFERROR(_xlfn.LET(
_xlpm.CSVVal,_xlfn.XLOOKUP($A445,CSV!$A:$A,CSV!P:P,""),
_xlpm.MacVal,_xlfn.XLOOKUP($A445,Output_Mac!$A:$A,Output_Mac!M:M,""),
_xlpm.MyAuditVal,_xlfn.XLOOKUP($A445,My_Audit!$A:$A,My_Audit!K:K,""),
_xlfn.IFS(_xlpm.MyAuditVal&lt;&gt;"",UPPER(_xlpm.MyAuditVal),_xlpm.MacVal&lt;&gt;"",_xlpm.MacVal,_xlpm.CSVVal&lt;&gt;"",_xlpm.CSVVal
)),"")</f>
        <v/>
      </c>
      <c r="M445" s="45" t="str">
        <f>_xlfn.LET(
    _xlpm.CSVVal, _xlfn.XLOOKUP($A445, CSV!$A:$A, CSV!AE:AE, ""),
    _xlpm.MacVal, _xlfn.XLOOKUP($A445, Output_Mac!$A:$A, Output_Mac!S:S, ""),
    _xlpm.MyAuditVal, _xlfn.XLOOKUP($A445, My_Audit!$A:$A, My_Audit!N:N, ""),
    _xlfn.TEXTJOIN(", ", TRUE, _xlpm.MyAuditVal, _xlpm.MacVal, _xlpm.CSVVal)
)</f>
        <v/>
      </c>
      <c r="N445" s="45" t="str" cm="1">
        <f t="array" ref="N445">IFERROR(_xlfn.LET(
_xlpm.CSVVal,_xlfn.XLOOKUP($A445,CSV!$A:$A,CSV!AG:AG,""),
_xlpm.MacVal,_xlfn.XLOOKUP($A445,Output_Mac!$A:$A,Output_Mac!U:U,""),
_xlpm.MyAuditVal,_xlfn.XLOOKUP($A445,My_Audit!$A:$A,My_Audit!O:O,""),
_xlfn.IFS(_xlpm.MyAuditVal&lt;&gt;"",UPPER(_xlpm.MyAuditVal),_xlpm.MacVal&lt;&gt;"",_xlpm.MacVal,_xlpm.CSVVal&lt;&gt;"",_xlpm.CSVVal
)),"")</f>
        <v/>
      </c>
      <c r="O445" s="46" t="str">
        <f>_xlfn.XLOOKUP(C445,My_Audit!B:B,My_Audit!P:P,"")&amp;""</f>
        <v/>
      </c>
      <c r="P445" s="45"/>
      <c r="Q445" s="46" t="str">
        <f>IF(LEFT(N445,4)="Pass","Nist SP 800-88",My_Audit!R445)&amp;""</f>
        <v/>
      </c>
      <c r="R445" s="45"/>
      <c r="S445" s="45"/>
      <c r="T445" s="46" t="str">
        <f>_xlfn.XLOOKUP(E445,Models!I:I,Models!J:J,"")</f>
        <v/>
      </c>
      <c r="U445" s="45"/>
      <c r="V445" s="45"/>
      <c r="W445" s="38"/>
    </row>
    <row r="446" spans="1:23">
      <c r="A446" s="45" t="str">
        <f>_xlfn.TEXTJOIN("",TRUE,Input!$B$2,ROW(My_Audit!A445))</f>
        <v>XX445</v>
      </c>
      <c r="B446" s="45" t="str">
        <f>_xlfn.TEXTJOIN("-",TRUE,"ITD",Input!$A$2,A446)</f>
        <v>ITD-SHRXXX-XX445</v>
      </c>
      <c r="C446" s="45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46" t="str" cm="1">
        <f t="array" ref="D446">IFERROR(_xlfn.LET(
_xlpm.CSVVal,_xlfn.XLOOKUP($A446,CSV!$A:$A,CSV!C:C,""),
_xlpm.MacVal,_xlfn.XLOOKUP($A446,Output_Mac!$A:$A,Output_Mac!D:D,""),
_xlpm.MyAuditVal,_xlfn.XLOOKUP($A446,My_Audit!$A:$A,My_Audit!C:C,""),
_xlfn.IFS(_xlpm.MyAuditVal&lt;&gt;"",UPPER(_xlpm.MyAuditVal),_xlpm.MacVal&lt;&gt;"",_xlpm.MacVal,_xlpm.CSVVal&lt;&gt;"",_xlpm.CSVVal
)),"")</f>
        <v/>
      </c>
      <c r="E446" s="46" t="str" cm="1">
        <f t="array" ref="E446">IFERROR(_xlfn.LET(
_xlpm.CSVVal,_xlfn.XLOOKUP($A446,CSV!$A:$A,CSV!E:E,""),
_xlpm.MacVal,_xlfn.XLOOKUP($A446,Output_Mac!$A:$A,Output_Mac!C:C,""),
_xlpm.MyAuditVal,_xlfn.XLOOKUP($A446,My_Audit!$A:$A,My_Audit!D:D,""),
_xlfn.IFS(_xlpm.MyAuditVal&lt;&gt;"",_xlpm.MyAuditVal,_xlpm.MacVal&lt;&gt;"",_xlpm.MacVal,_xlpm.CSVVal&lt;&gt;"",_xlpm.CSVVal
)),"")</f>
        <v/>
      </c>
      <c r="F446" s="45" t="str" cm="1">
        <f t="array" ref="F446">IFERROR(_xlfn.LET(
_xlpm.CSVVal,_xlfn.XLOOKUP($A446,CSV!$A:$A,CSV!F:F,""),
_xlpm.MacVal,_xlfn.XLOOKUP($A446,Output_Mac!$A:$A,Output_Mac!F:F,""),
_xlpm.MyAuditVal,_xlfn.XLOOKUP($A446,My_Audit!$A:$A,My_Audit!E:E,""),
_xlfn.IFS(_xlpm.MyAuditVal&lt;&gt;"",_xlpm.MyAuditVal,_xlpm.MacVal&lt;&gt;"",_xlpm.MacVal,_xlpm.CSVVal&lt;&gt;"",PROPER(_xlpm.CSVVal)
)),"")</f>
        <v/>
      </c>
      <c r="G446" s="45" t="str" cm="1">
        <f t="array" ref="G446">IFERROR(_xlfn.LET(
_xlpm.CSVVal,_xlfn.XLOOKUP($A446,CSV!$A:$A,CSV!G:G,""),
_xlpm.MacVal,_xlfn.XLOOKUP($A446,Output_Mac!$A:$A,Output_Mac!H:H,""),
_xlpm.MyAuditVal,_xlfn.XLOOKUP($A446,My_Audit!$A:$A,My_Audit!F:F,""),
_xlfn.IFS(_xlpm.MyAuditVal&lt;&gt;"",_xlpm.MyAuditVal,_xlpm.MacVal&lt;&gt;"",_xlpm.MacVal,_xlpm.CSVVal&lt;&gt;"",_xlpm.CSVVal
)),"")</f>
        <v/>
      </c>
      <c r="H446" s="45" t="str">
        <f>_xlfn.XLOOKUP(A446,Output_Mac!A:A,Output_Mac!I:I,"")</f>
        <v/>
      </c>
      <c r="I446" s="45" t="str" cm="1">
        <f t="array" ref="I446">IFERROR(_xlfn.LET(
_xlpm.CSVVal,_xlfn.XLOOKUP($A446,CSV!$A:$A,CSV!H:H,""),
_xlpm.MacVal,_xlfn.XLOOKUP($A446,Output_Mac!$A:$A,Output_Mac!J:J,""),
_xlpm.MyAuditVal,_xlfn.XLOOKUP($A446,My_Audit!$A:$A,My_Audit!H:H,""),
_xlfn.IFS(_xlpm.MyAuditVal&lt;&gt;"",UPPER(_xlpm.MyAuditVal),_xlpm.MacVal&lt;&gt;"",_xlpm.MacVal,_xlpm.CSVVal&lt;&gt;"",_xlpm.CSVVal
)),"")</f>
        <v/>
      </c>
      <c r="J446" s="45" t="str" cm="1">
        <f t="array" ref="J446">IFERROR(_xlfn.LET(
_xlpm.CSVVal,_xlfn.XLOOKUP($A446,CSV!$A:$A,CSV!J:J,""),
_xlpm.MacVal,_xlfn.XLOOKUP($A446,Output_Mac!$A:$A,Output_Mac!K:K,""),
_xlpm.MyAuditVal,_xlfn.XLOOKUP($A446,My_Audit!$A:$A,My_Audit!I:I,""),
_xlfn.IFS(_xlpm.MyAuditVal&lt;&gt;"",UPPER(_xlpm.MyAuditVal),_xlpm.MacVal&lt;&gt;"",_xlpm.MacVal,_xlpm.CSVVal&lt;&gt;"",_xlpm.CSVVal
)),"")</f>
        <v/>
      </c>
      <c r="K446" s="45" t="str" cm="1">
        <f t="array" ref="K446">IFERROR(_xlfn.LET(
_xlpm.CSVVal,_xlfn.XLOOKUP($A446,CSV!$A:$A,CSV!N:N,""),
_xlpm.MacVal,_xlfn.XLOOKUP($A446,Output_Mac!$A:$A,Output_Mac!L:L,""),
_xlpm.MyAuditVal,_xlfn.XLOOKUP($A446,My_Audit!$A:$A,My_Audit!J:J,""),
_xlfn.IFS(_xlpm.MyAuditVal&lt;&gt;"",UPPER(_xlpm.MyAuditVal),_xlpm.MacVal&lt;&gt;"",_xlpm.MacVal,_xlpm.CSVVal&lt;&gt;"",_xlpm.CSVVal
)),"")</f>
        <v/>
      </c>
      <c r="L446" s="45" t="str" cm="1">
        <f t="array" ref="L446">IFERROR(_xlfn.LET(
_xlpm.CSVVal,_xlfn.XLOOKUP($A446,CSV!$A:$A,CSV!P:P,""),
_xlpm.MacVal,_xlfn.XLOOKUP($A446,Output_Mac!$A:$A,Output_Mac!M:M,""),
_xlpm.MyAuditVal,_xlfn.XLOOKUP($A446,My_Audit!$A:$A,My_Audit!K:K,""),
_xlfn.IFS(_xlpm.MyAuditVal&lt;&gt;"",UPPER(_xlpm.MyAuditVal),_xlpm.MacVal&lt;&gt;"",_xlpm.MacVal,_xlpm.CSVVal&lt;&gt;"",_xlpm.CSVVal
)),"")</f>
        <v/>
      </c>
      <c r="M446" s="45" t="str">
        <f>_xlfn.LET(
    _xlpm.CSVVal, _xlfn.XLOOKUP($A446, CSV!$A:$A, CSV!AE:AE, ""),
    _xlpm.MacVal, _xlfn.XLOOKUP($A446, Output_Mac!$A:$A, Output_Mac!S:S, ""),
    _xlpm.MyAuditVal, _xlfn.XLOOKUP($A446, My_Audit!$A:$A, My_Audit!N:N, ""),
    _xlfn.TEXTJOIN(", ", TRUE, _xlpm.MyAuditVal, _xlpm.MacVal, _xlpm.CSVVal)
)</f>
        <v/>
      </c>
      <c r="N446" s="45" t="str" cm="1">
        <f t="array" ref="N446">IFERROR(_xlfn.LET(
_xlpm.CSVVal,_xlfn.XLOOKUP($A446,CSV!$A:$A,CSV!AG:AG,""),
_xlpm.MacVal,_xlfn.XLOOKUP($A446,Output_Mac!$A:$A,Output_Mac!U:U,""),
_xlpm.MyAuditVal,_xlfn.XLOOKUP($A446,My_Audit!$A:$A,My_Audit!O:O,""),
_xlfn.IFS(_xlpm.MyAuditVal&lt;&gt;"",UPPER(_xlpm.MyAuditVal),_xlpm.MacVal&lt;&gt;"",_xlpm.MacVal,_xlpm.CSVVal&lt;&gt;"",_xlpm.CSVVal
)),"")</f>
        <v/>
      </c>
      <c r="O446" s="46" t="str">
        <f>_xlfn.XLOOKUP(C446,My_Audit!B:B,My_Audit!P:P,"")&amp;""</f>
        <v/>
      </c>
      <c r="P446" s="45"/>
      <c r="Q446" s="46" t="str">
        <f>IF(LEFT(N446,4)="Pass","Nist SP 800-88",My_Audit!R446)&amp;""</f>
        <v/>
      </c>
      <c r="R446" s="45"/>
      <c r="S446" s="45"/>
      <c r="T446" s="46" t="str">
        <f>_xlfn.XLOOKUP(E446,Models!I:I,Models!J:J,"")</f>
        <v/>
      </c>
      <c r="U446" s="45"/>
      <c r="V446" s="45"/>
      <c r="W446" s="38"/>
    </row>
    <row r="447" spans="1:23">
      <c r="A447" s="45" t="str">
        <f>_xlfn.TEXTJOIN("",TRUE,Input!$B$2,ROW(My_Audit!A446))</f>
        <v>XX446</v>
      </c>
      <c r="B447" s="45" t="str">
        <f>_xlfn.TEXTJOIN("-",TRUE,"ITD",Input!$A$2,A447)</f>
        <v>ITD-SHRXXX-XX446</v>
      </c>
      <c r="C447" s="45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46" t="str" cm="1">
        <f t="array" ref="D447">IFERROR(_xlfn.LET(
_xlpm.CSVVal,_xlfn.XLOOKUP($A447,CSV!$A:$A,CSV!C:C,""),
_xlpm.MacVal,_xlfn.XLOOKUP($A447,Output_Mac!$A:$A,Output_Mac!D:D,""),
_xlpm.MyAuditVal,_xlfn.XLOOKUP($A447,My_Audit!$A:$A,My_Audit!C:C,""),
_xlfn.IFS(_xlpm.MyAuditVal&lt;&gt;"",UPPER(_xlpm.MyAuditVal),_xlpm.MacVal&lt;&gt;"",_xlpm.MacVal,_xlpm.CSVVal&lt;&gt;"",_xlpm.CSVVal
)),"")</f>
        <v/>
      </c>
      <c r="E447" s="46" t="str" cm="1">
        <f t="array" ref="E447">IFERROR(_xlfn.LET(
_xlpm.CSVVal,_xlfn.XLOOKUP($A447,CSV!$A:$A,CSV!E:E,""),
_xlpm.MacVal,_xlfn.XLOOKUP($A447,Output_Mac!$A:$A,Output_Mac!C:C,""),
_xlpm.MyAuditVal,_xlfn.XLOOKUP($A447,My_Audit!$A:$A,My_Audit!D:D,""),
_xlfn.IFS(_xlpm.MyAuditVal&lt;&gt;"",_xlpm.MyAuditVal,_xlpm.MacVal&lt;&gt;"",_xlpm.MacVal,_xlpm.CSVVal&lt;&gt;"",_xlpm.CSVVal
)),"")</f>
        <v/>
      </c>
      <c r="F447" s="45" t="str" cm="1">
        <f t="array" ref="F447">IFERROR(_xlfn.LET(
_xlpm.CSVVal,_xlfn.XLOOKUP($A447,CSV!$A:$A,CSV!F:F,""),
_xlpm.MacVal,_xlfn.XLOOKUP($A447,Output_Mac!$A:$A,Output_Mac!F:F,""),
_xlpm.MyAuditVal,_xlfn.XLOOKUP($A447,My_Audit!$A:$A,My_Audit!E:E,""),
_xlfn.IFS(_xlpm.MyAuditVal&lt;&gt;"",_xlpm.MyAuditVal,_xlpm.MacVal&lt;&gt;"",_xlpm.MacVal,_xlpm.CSVVal&lt;&gt;"",PROPER(_xlpm.CSVVal)
)),"")</f>
        <v/>
      </c>
      <c r="G447" s="45" t="str" cm="1">
        <f t="array" ref="G447">IFERROR(_xlfn.LET(
_xlpm.CSVVal,_xlfn.XLOOKUP($A447,CSV!$A:$A,CSV!G:G,""),
_xlpm.MacVal,_xlfn.XLOOKUP($A447,Output_Mac!$A:$A,Output_Mac!H:H,""),
_xlpm.MyAuditVal,_xlfn.XLOOKUP($A447,My_Audit!$A:$A,My_Audit!F:F,""),
_xlfn.IFS(_xlpm.MyAuditVal&lt;&gt;"",_xlpm.MyAuditVal,_xlpm.MacVal&lt;&gt;"",_xlpm.MacVal,_xlpm.CSVVal&lt;&gt;"",_xlpm.CSVVal
)),"")</f>
        <v/>
      </c>
      <c r="H447" s="45" t="str">
        <f>_xlfn.XLOOKUP(A447,Output_Mac!A:A,Output_Mac!I:I,"")</f>
        <v/>
      </c>
      <c r="I447" s="45" t="str" cm="1">
        <f t="array" ref="I447">IFERROR(_xlfn.LET(
_xlpm.CSVVal,_xlfn.XLOOKUP($A447,CSV!$A:$A,CSV!H:H,""),
_xlpm.MacVal,_xlfn.XLOOKUP($A447,Output_Mac!$A:$A,Output_Mac!J:J,""),
_xlpm.MyAuditVal,_xlfn.XLOOKUP($A447,My_Audit!$A:$A,My_Audit!H:H,""),
_xlfn.IFS(_xlpm.MyAuditVal&lt;&gt;"",UPPER(_xlpm.MyAuditVal),_xlpm.MacVal&lt;&gt;"",_xlpm.MacVal,_xlpm.CSVVal&lt;&gt;"",_xlpm.CSVVal
)),"")</f>
        <v/>
      </c>
      <c r="J447" s="45" t="str" cm="1">
        <f t="array" ref="J447">IFERROR(_xlfn.LET(
_xlpm.CSVVal,_xlfn.XLOOKUP($A447,CSV!$A:$A,CSV!J:J,""),
_xlpm.MacVal,_xlfn.XLOOKUP($A447,Output_Mac!$A:$A,Output_Mac!K:K,""),
_xlpm.MyAuditVal,_xlfn.XLOOKUP($A447,My_Audit!$A:$A,My_Audit!I:I,""),
_xlfn.IFS(_xlpm.MyAuditVal&lt;&gt;"",UPPER(_xlpm.MyAuditVal),_xlpm.MacVal&lt;&gt;"",_xlpm.MacVal,_xlpm.CSVVal&lt;&gt;"",_xlpm.CSVVal
)),"")</f>
        <v/>
      </c>
      <c r="K447" s="45" t="str" cm="1">
        <f t="array" ref="K447">IFERROR(_xlfn.LET(
_xlpm.CSVVal,_xlfn.XLOOKUP($A447,CSV!$A:$A,CSV!N:N,""),
_xlpm.MacVal,_xlfn.XLOOKUP($A447,Output_Mac!$A:$A,Output_Mac!L:L,""),
_xlpm.MyAuditVal,_xlfn.XLOOKUP($A447,My_Audit!$A:$A,My_Audit!J:J,""),
_xlfn.IFS(_xlpm.MyAuditVal&lt;&gt;"",UPPER(_xlpm.MyAuditVal),_xlpm.MacVal&lt;&gt;"",_xlpm.MacVal,_xlpm.CSVVal&lt;&gt;"",_xlpm.CSVVal
)),"")</f>
        <v/>
      </c>
      <c r="L447" s="45" t="str" cm="1">
        <f t="array" ref="L447">IFERROR(_xlfn.LET(
_xlpm.CSVVal,_xlfn.XLOOKUP($A447,CSV!$A:$A,CSV!P:P,""),
_xlpm.MacVal,_xlfn.XLOOKUP($A447,Output_Mac!$A:$A,Output_Mac!M:M,""),
_xlpm.MyAuditVal,_xlfn.XLOOKUP($A447,My_Audit!$A:$A,My_Audit!K:K,""),
_xlfn.IFS(_xlpm.MyAuditVal&lt;&gt;"",UPPER(_xlpm.MyAuditVal),_xlpm.MacVal&lt;&gt;"",_xlpm.MacVal,_xlpm.CSVVal&lt;&gt;"",_xlpm.CSVVal
)),"")</f>
        <v/>
      </c>
      <c r="M447" s="45" t="str">
        <f>_xlfn.LET(
    _xlpm.CSVVal, _xlfn.XLOOKUP($A447, CSV!$A:$A, CSV!AE:AE, ""),
    _xlpm.MacVal, _xlfn.XLOOKUP($A447, Output_Mac!$A:$A, Output_Mac!S:S, ""),
    _xlpm.MyAuditVal, _xlfn.XLOOKUP($A447, My_Audit!$A:$A, My_Audit!N:N, ""),
    _xlfn.TEXTJOIN(", ", TRUE, _xlpm.MyAuditVal, _xlpm.MacVal, _xlpm.CSVVal)
)</f>
        <v/>
      </c>
      <c r="N447" s="45" t="str" cm="1">
        <f t="array" ref="N447">IFERROR(_xlfn.LET(
_xlpm.CSVVal,_xlfn.XLOOKUP($A447,CSV!$A:$A,CSV!AG:AG,""),
_xlpm.MacVal,_xlfn.XLOOKUP($A447,Output_Mac!$A:$A,Output_Mac!U:U,""),
_xlpm.MyAuditVal,_xlfn.XLOOKUP($A447,My_Audit!$A:$A,My_Audit!O:O,""),
_xlfn.IFS(_xlpm.MyAuditVal&lt;&gt;"",UPPER(_xlpm.MyAuditVal),_xlpm.MacVal&lt;&gt;"",_xlpm.MacVal,_xlpm.CSVVal&lt;&gt;"",_xlpm.CSVVal
)),"")</f>
        <v/>
      </c>
      <c r="O447" s="46" t="str">
        <f>_xlfn.XLOOKUP(C447,My_Audit!B:B,My_Audit!P:P,"")&amp;""</f>
        <v/>
      </c>
      <c r="P447" s="45"/>
      <c r="Q447" s="46" t="str">
        <f>IF(LEFT(N447,4)="Pass","Nist SP 800-88",My_Audit!R447)&amp;""</f>
        <v/>
      </c>
      <c r="R447" s="45"/>
      <c r="S447" s="45"/>
      <c r="T447" s="46" t="str">
        <f>_xlfn.XLOOKUP(E447,Models!I:I,Models!J:J,"")</f>
        <v/>
      </c>
      <c r="U447" s="45"/>
      <c r="V447" s="45"/>
      <c r="W447" s="38"/>
    </row>
    <row r="448" spans="1:23">
      <c r="A448" s="45" t="str">
        <f>_xlfn.TEXTJOIN("",TRUE,Input!$B$2,ROW(My_Audit!A447))</f>
        <v>XX447</v>
      </c>
      <c r="B448" s="45" t="str">
        <f>_xlfn.TEXTJOIN("-",TRUE,"ITD",Input!$A$2,A448)</f>
        <v>ITD-SHRXXX-XX447</v>
      </c>
      <c r="C448" s="45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46" t="str" cm="1">
        <f t="array" ref="D448">IFERROR(_xlfn.LET(
_xlpm.CSVVal,_xlfn.XLOOKUP($A448,CSV!$A:$A,CSV!C:C,""),
_xlpm.MacVal,_xlfn.XLOOKUP($A448,Output_Mac!$A:$A,Output_Mac!D:D,""),
_xlpm.MyAuditVal,_xlfn.XLOOKUP($A448,My_Audit!$A:$A,My_Audit!C:C,""),
_xlfn.IFS(_xlpm.MyAuditVal&lt;&gt;"",UPPER(_xlpm.MyAuditVal),_xlpm.MacVal&lt;&gt;"",_xlpm.MacVal,_xlpm.CSVVal&lt;&gt;"",_xlpm.CSVVal
)),"")</f>
        <v/>
      </c>
      <c r="E448" s="46" t="str" cm="1">
        <f t="array" ref="E448">IFERROR(_xlfn.LET(
_xlpm.CSVVal,_xlfn.XLOOKUP($A448,CSV!$A:$A,CSV!E:E,""),
_xlpm.MacVal,_xlfn.XLOOKUP($A448,Output_Mac!$A:$A,Output_Mac!C:C,""),
_xlpm.MyAuditVal,_xlfn.XLOOKUP($A448,My_Audit!$A:$A,My_Audit!D:D,""),
_xlfn.IFS(_xlpm.MyAuditVal&lt;&gt;"",_xlpm.MyAuditVal,_xlpm.MacVal&lt;&gt;"",_xlpm.MacVal,_xlpm.CSVVal&lt;&gt;"",_xlpm.CSVVal
)),"")</f>
        <v/>
      </c>
      <c r="F448" s="45" t="str" cm="1">
        <f t="array" ref="F448">IFERROR(_xlfn.LET(
_xlpm.CSVVal,_xlfn.XLOOKUP($A448,CSV!$A:$A,CSV!F:F,""),
_xlpm.MacVal,_xlfn.XLOOKUP($A448,Output_Mac!$A:$A,Output_Mac!F:F,""),
_xlpm.MyAuditVal,_xlfn.XLOOKUP($A448,My_Audit!$A:$A,My_Audit!E:E,""),
_xlfn.IFS(_xlpm.MyAuditVal&lt;&gt;"",_xlpm.MyAuditVal,_xlpm.MacVal&lt;&gt;"",_xlpm.MacVal,_xlpm.CSVVal&lt;&gt;"",PROPER(_xlpm.CSVVal)
)),"")</f>
        <v/>
      </c>
      <c r="G448" s="45" t="str" cm="1">
        <f t="array" ref="G448">IFERROR(_xlfn.LET(
_xlpm.CSVVal,_xlfn.XLOOKUP($A448,CSV!$A:$A,CSV!G:G,""),
_xlpm.MacVal,_xlfn.XLOOKUP($A448,Output_Mac!$A:$A,Output_Mac!H:H,""),
_xlpm.MyAuditVal,_xlfn.XLOOKUP($A448,My_Audit!$A:$A,My_Audit!F:F,""),
_xlfn.IFS(_xlpm.MyAuditVal&lt;&gt;"",_xlpm.MyAuditVal,_xlpm.MacVal&lt;&gt;"",_xlpm.MacVal,_xlpm.CSVVal&lt;&gt;"",_xlpm.CSVVal
)),"")</f>
        <v/>
      </c>
      <c r="H448" s="45" t="str">
        <f>_xlfn.XLOOKUP(A448,Output_Mac!A:A,Output_Mac!I:I,"")</f>
        <v/>
      </c>
      <c r="I448" s="45" t="str" cm="1">
        <f t="array" ref="I448">IFERROR(_xlfn.LET(
_xlpm.CSVVal,_xlfn.XLOOKUP($A448,CSV!$A:$A,CSV!H:H,""),
_xlpm.MacVal,_xlfn.XLOOKUP($A448,Output_Mac!$A:$A,Output_Mac!J:J,""),
_xlpm.MyAuditVal,_xlfn.XLOOKUP($A448,My_Audit!$A:$A,My_Audit!H:H,""),
_xlfn.IFS(_xlpm.MyAuditVal&lt;&gt;"",UPPER(_xlpm.MyAuditVal),_xlpm.MacVal&lt;&gt;"",_xlpm.MacVal,_xlpm.CSVVal&lt;&gt;"",_xlpm.CSVVal
)),"")</f>
        <v/>
      </c>
      <c r="J448" s="45" t="str" cm="1">
        <f t="array" ref="J448">IFERROR(_xlfn.LET(
_xlpm.CSVVal,_xlfn.XLOOKUP($A448,CSV!$A:$A,CSV!J:J,""),
_xlpm.MacVal,_xlfn.XLOOKUP($A448,Output_Mac!$A:$A,Output_Mac!K:K,""),
_xlpm.MyAuditVal,_xlfn.XLOOKUP($A448,My_Audit!$A:$A,My_Audit!I:I,""),
_xlfn.IFS(_xlpm.MyAuditVal&lt;&gt;"",UPPER(_xlpm.MyAuditVal),_xlpm.MacVal&lt;&gt;"",_xlpm.MacVal,_xlpm.CSVVal&lt;&gt;"",_xlpm.CSVVal
)),"")</f>
        <v/>
      </c>
      <c r="K448" s="45" t="str" cm="1">
        <f t="array" ref="K448">IFERROR(_xlfn.LET(
_xlpm.CSVVal,_xlfn.XLOOKUP($A448,CSV!$A:$A,CSV!N:N,""),
_xlpm.MacVal,_xlfn.XLOOKUP($A448,Output_Mac!$A:$A,Output_Mac!L:L,""),
_xlpm.MyAuditVal,_xlfn.XLOOKUP($A448,My_Audit!$A:$A,My_Audit!J:J,""),
_xlfn.IFS(_xlpm.MyAuditVal&lt;&gt;"",UPPER(_xlpm.MyAuditVal),_xlpm.MacVal&lt;&gt;"",_xlpm.MacVal,_xlpm.CSVVal&lt;&gt;"",_xlpm.CSVVal
)),"")</f>
        <v/>
      </c>
      <c r="L448" s="45" t="str" cm="1">
        <f t="array" ref="L448">IFERROR(_xlfn.LET(
_xlpm.CSVVal,_xlfn.XLOOKUP($A448,CSV!$A:$A,CSV!P:P,""),
_xlpm.MacVal,_xlfn.XLOOKUP($A448,Output_Mac!$A:$A,Output_Mac!M:M,""),
_xlpm.MyAuditVal,_xlfn.XLOOKUP($A448,My_Audit!$A:$A,My_Audit!K:K,""),
_xlfn.IFS(_xlpm.MyAuditVal&lt;&gt;"",UPPER(_xlpm.MyAuditVal),_xlpm.MacVal&lt;&gt;"",_xlpm.MacVal,_xlpm.CSVVal&lt;&gt;"",_xlpm.CSVVal
)),"")</f>
        <v/>
      </c>
      <c r="M448" s="45" t="str">
        <f>_xlfn.LET(
    _xlpm.CSVVal, _xlfn.XLOOKUP($A448, CSV!$A:$A, CSV!AE:AE, ""),
    _xlpm.MacVal, _xlfn.XLOOKUP($A448, Output_Mac!$A:$A, Output_Mac!S:S, ""),
    _xlpm.MyAuditVal, _xlfn.XLOOKUP($A448, My_Audit!$A:$A, My_Audit!N:N, ""),
    _xlfn.TEXTJOIN(", ", TRUE, _xlpm.MyAuditVal, _xlpm.MacVal, _xlpm.CSVVal)
)</f>
        <v/>
      </c>
      <c r="N448" s="45" t="str" cm="1">
        <f t="array" ref="N448">IFERROR(_xlfn.LET(
_xlpm.CSVVal,_xlfn.XLOOKUP($A448,CSV!$A:$A,CSV!AG:AG,""),
_xlpm.MacVal,_xlfn.XLOOKUP($A448,Output_Mac!$A:$A,Output_Mac!U:U,""),
_xlpm.MyAuditVal,_xlfn.XLOOKUP($A448,My_Audit!$A:$A,My_Audit!O:O,""),
_xlfn.IFS(_xlpm.MyAuditVal&lt;&gt;"",UPPER(_xlpm.MyAuditVal),_xlpm.MacVal&lt;&gt;"",_xlpm.MacVal,_xlpm.CSVVal&lt;&gt;"",_xlpm.CSVVal
)),"")</f>
        <v/>
      </c>
      <c r="O448" s="46" t="str">
        <f>_xlfn.XLOOKUP(C448,My_Audit!B:B,My_Audit!P:P,"")&amp;""</f>
        <v/>
      </c>
      <c r="P448" s="45"/>
      <c r="Q448" s="46" t="str">
        <f>IF(LEFT(N448,4)="Pass","Nist SP 800-88",My_Audit!R448)&amp;""</f>
        <v/>
      </c>
      <c r="R448" s="45"/>
      <c r="S448" s="45"/>
      <c r="T448" s="46" t="str">
        <f>_xlfn.XLOOKUP(E448,Models!I:I,Models!J:J,"")</f>
        <v/>
      </c>
      <c r="U448" s="45"/>
      <c r="V448" s="45"/>
      <c r="W448" s="38"/>
    </row>
    <row r="449" spans="1:23">
      <c r="A449" s="45" t="str">
        <f>_xlfn.TEXTJOIN("",TRUE,Input!$B$2,ROW(My_Audit!A448))</f>
        <v>XX448</v>
      </c>
      <c r="B449" s="45" t="str">
        <f>_xlfn.TEXTJOIN("-",TRUE,"ITD",Input!$A$2,A449)</f>
        <v>ITD-SHRXXX-XX448</v>
      </c>
      <c r="C449" s="45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46" t="str" cm="1">
        <f t="array" ref="D449">IFERROR(_xlfn.LET(
_xlpm.CSVVal,_xlfn.XLOOKUP($A449,CSV!$A:$A,CSV!C:C,""),
_xlpm.MacVal,_xlfn.XLOOKUP($A449,Output_Mac!$A:$A,Output_Mac!D:D,""),
_xlpm.MyAuditVal,_xlfn.XLOOKUP($A449,My_Audit!$A:$A,My_Audit!C:C,""),
_xlfn.IFS(_xlpm.MyAuditVal&lt;&gt;"",UPPER(_xlpm.MyAuditVal),_xlpm.MacVal&lt;&gt;"",_xlpm.MacVal,_xlpm.CSVVal&lt;&gt;"",_xlpm.CSVVal
)),"")</f>
        <v/>
      </c>
      <c r="E449" s="46" t="str" cm="1">
        <f t="array" ref="E449">IFERROR(_xlfn.LET(
_xlpm.CSVVal,_xlfn.XLOOKUP($A449,CSV!$A:$A,CSV!E:E,""),
_xlpm.MacVal,_xlfn.XLOOKUP($A449,Output_Mac!$A:$A,Output_Mac!C:C,""),
_xlpm.MyAuditVal,_xlfn.XLOOKUP($A449,My_Audit!$A:$A,My_Audit!D:D,""),
_xlfn.IFS(_xlpm.MyAuditVal&lt;&gt;"",_xlpm.MyAuditVal,_xlpm.MacVal&lt;&gt;"",_xlpm.MacVal,_xlpm.CSVVal&lt;&gt;"",_xlpm.CSVVal
)),"")</f>
        <v/>
      </c>
      <c r="F449" s="45" t="str" cm="1">
        <f t="array" ref="F449">IFERROR(_xlfn.LET(
_xlpm.CSVVal,_xlfn.XLOOKUP($A449,CSV!$A:$A,CSV!F:F,""),
_xlpm.MacVal,_xlfn.XLOOKUP($A449,Output_Mac!$A:$A,Output_Mac!F:F,""),
_xlpm.MyAuditVal,_xlfn.XLOOKUP($A449,My_Audit!$A:$A,My_Audit!E:E,""),
_xlfn.IFS(_xlpm.MyAuditVal&lt;&gt;"",_xlpm.MyAuditVal,_xlpm.MacVal&lt;&gt;"",_xlpm.MacVal,_xlpm.CSVVal&lt;&gt;"",PROPER(_xlpm.CSVVal)
)),"")</f>
        <v/>
      </c>
      <c r="G449" s="45" t="str" cm="1">
        <f t="array" ref="G449">IFERROR(_xlfn.LET(
_xlpm.CSVVal,_xlfn.XLOOKUP($A449,CSV!$A:$A,CSV!G:G,""),
_xlpm.MacVal,_xlfn.XLOOKUP($A449,Output_Mac!$A:$A,Output_Mac!H:H,""),
_xlpm.MyAuditVal,_xlfn.XLOOKUP($A449,My_Audit!$A:$A,My_Audit!F:F,""),
_xlfn.IFS(_xlpm.MyAuditVal&lt;&gt;"",_xlpm.MyAuditVal,_xlpm.MacVal&lt;&gt;"",_xlpm.MacVal,_xlpm.CSVVal&lt;&gt;"",_xlpm.CSVVal
)),"")</f>
        <v/>
      </c>
      <c r="H449" s="45" t="str">
        <f>_xlfn.XLOOKUP(A449,Output_Mac!A:A,Output_Mac!I:I,"")</f>
        <v/>
      </c>
      <c r="I449" s="45" t="str" cm="1">
        <f t="array" ref="I449">IFERROR(_xlfn.LET(
_xlpm.CSVVal,_xlfn.XLOOKUP($A449,CSV!$A:$A,CSV!H:H,""),
_xlpm.MacVal,_xlfn.XLOOKUP($A449,Output_Mac!$A:$A,Output_Mac!J:J,""),
_xlpm.MyAuditVal,_xlfn.XLOOKUP($A449,My_Audit!$A:$A,My_Audit!H:H,""),
_xlfn.IFS(_xlpm.MyAuditVal&lt;&gt;"",UPPER(_xlpm.MyAuditVal),_xlpm.MacVal&lt;&gt;"",_xlpm.MacVal,_xlpm.CSVVal&lt;&gt;"",_xlpm.CSVVal
)),"")</f>
        <v/>
      </c>
      <c r="J449" s="45" t="str" cm="1">
        <f t="array" ref="J449">IFERROR(_xlfn.LET(
_xlpm.CSVVal,_xlfn.XLOOKUP($A449,CSV!$A:$A,CSV!J:J,""),
_xlpm.MacVal,_xlfn.XLOOKUP($A449,Output_Mac!$A:$A,Output_Mac!K:K,""),
_xlpm.MyAuditVal,_xlfn.XLOOKUP($A449,My_Audit!$A:$A,My_Audit!I:I,""),
_xlfn.IFS(_xlpm.MyAuditVal&lt;&gt;"",UPPER(_xlpm.MyAuditVal),_xlpm.MacVal&lt;&gt;"",_xlpm.MacVal,_xlpm.CSVVal&lt;&gt;"",_xlpm.CSVVal
)),"")</f>
        <v/>
      </c>
      <c r="K449" s="45" t="str" cm="1">
        <f t="array" ref="K449">IFERROR(_xlfn.LET(
_xlpm.CSVVal,_xlfn.XLOOKUP($A449,CSV!$A:$A,CSV!N:N,""),
_xlpm.MacVal,_xlfn.XLOOKUP($A449,Output_Mac!$A:$A,Output_Mac!L:L,""),
_xlpm.MyAuditVal,_xlfn.XLOOKUP($A449,My_Audit!$A:$A,My_Audit!J:J,""),
_xlfn.IFS(_xlpm.MyAuditVal&lt;&gt;"",UPPER(_xlpm.MyAuditVal),_xlpm.MacVal&lt;&gt;"",_xlpm.MacVal,_xlpm.CSVVal&lt;&gt;"",_xlpm.CSVVal
)),"")</f>
        <v/>
      </c>
      <c r="L449" s="45" t="str" cm="1">
        <f t="array" ref="L449">IFERROR(_xlfn.LET(
_xlpm.CSVVal,_xlfn.XLOOKUP($A449,CSV!$A:$A,CSV!P:P,""),
_xlpm.MacVal,_xlfn.XLOOKUP($A449,Output_Mac!$A:$A,Output_Mac!M:M,""),
_xlpm.MyAuditVal,_xlfn.XLOOKUP($A449,My_Audit!$A:$A,My_Audit!K:K,""),
_xlfn.IFS(_xlpm.MyAuditVal&lt;&gt;"",UPPER(_xlpm.MyAuditVal),_xlpm.MacVal&lt;&gt;"",_xlpm.MacVal,_xlpm.CSVVal&lt;&gt;"",_xlpm.CSVVal
)),"")</f>
        <v/>
      </c>
      <c r="M449" s="45" t="str">
        <f>_xlfn.LET(
    _xlpm.CSVVal, _xlfn.XLOOKUP($A449, CSV!$A:$A, CSV!AE:AE, ""),
    _xlpm.MacVal, _xlfn.XLOOKUP($A449, Output_Mac!$A:$A, Output_Mac!S:S, ""),
    _xlpm.MyAuditVal, _xlfn.XLOOKUP($A449, My_Audit!$A:$A, My_Audit!N:N, ""),
    _xlfn.TEXTJOIN(", ", TRUE, _xlpm.MyAuditVal, _xlpm.MacVal, _xlpm.CSVVal)
)</f>
        <v/>
      </c>
      <c r="N449" s="45" t="str" cm="1">
        <f t="array" ref="N449">IFERROR(_xlfn.LET(
_xlpm.CSVVal,_xlfn.XLOOKUP($A449,CSV!$A:$A,CSV!AG:AG,""),
_xlpm.MacVal,_xlfn.XLOOKUP($A449,Output_Mac!$A:$A,Output_Mac!U:U,""),
_xlpm.MyAuditVal,_xlfn.XLOOKUP($A449,My_Audit!$A:$A,My_Audit!O:O,""),
_xlfn.IFS(_xlpm.MyAuditVal&lt;&gt;"",UPPER(_xlpm.MyAuditVal),_xlpm.MacVal&lt;&gt;"",_xlpm.MacVal,_xlpm.CSVVal&lt;&gt;"",_xlpm.CSVVal
)),"")</f>
        <v/>
      </c>
      <c r="O449" s="46" t="str">
        <f>_xlfn.XLOOKUP(C449,My_Audit!B:B,My_Audit!P:P,"")&amp;""</f>
        <v/>
      </c>
      <c r="P449" s="45"/>
      <c r="Q449" s="46" t="str">
        <f>IF(LEFT(N449,4)="Pass","Nist SP 800-88",My_Audit!R449)&amp;""</f>
        <v/>
      </c>
      <c r="R449" s="45"/>
      <c r="S449" s="45"/>
      <c r="T449" s="46" t="str">
        <f>_xlfn.XLOOKUP(E449,Models!I:I,Models!J:J,"")</f>
        <v/>
      </c>
      <c r="U449" s="45"/>
      <c r="V449" s="45"/>
      <c r="W449" s="38"/>
    </row>
    <row r="450" spans="1:23">
      <c r="A450" s="45" t="str">
        <f>_xlfn.TEXTJOIN("",TRUE,Input!$B$2,ROW(My_Audit!A449))</f>
        <v>XX449</v>
      </c>
      <c r="B450" s="45" t="str">
        <f>_xlfn.TEXTJOIN("-",TRUE,"ITD",Input!$A$2,A450)</f>
        <v>ITD-SHRXXX-XX449</v>
      </c>
      <c r="C450" s="45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46" t="str" cm="1">
        <f t="array" ref="D450">IFERROR(_xlfn.LET(
_xlpm.CSVVal,_xlfn.XLOOKUP($A450,CSV!$A:$A,CSV!C:C,""),
_xlpm.MacVal,_xlfn.XLOOKUP($A450,Output_Mac!$A:$A,Output_Mac!D:D,""),
_xlpm.MyAuditVal,_xlfn.XLOOKUP($A450,My_Audit!$A:$A,My_Audit!C:C,""),
_xlfn.IFS(_xlpm.MyAuditVal&lt;&gt;"",UPPER(_xlpm.MyAuditVal),_xlpm.MacVal&lt;&gt;"",_xlpm.MacVal,_xlpm.CSVVal&lt;&gt;"",_xlpm.CSVVal
)),"")</f>
        <v/>
      </c>
      <c r="E450" s="46" t="str" cm="1">
        <f t="array" ref="E450">IFERROR(_xlfn.LET(
_xlpm.CSVVal,_xlfn.XLOOKUP($A450,CSV!$A:$A,CSV!E:E,""),
_xlpm.MacVal,_xlfn.XLOOKUP($A450,Output_Mac!$A:$A,Output_Mac!C:C,""),
_xlpm.MyAuditVal,_xlfn.XLOOKUP($A450,My_Audit!$A:$A,My_Audit!D:D,""),
_xlfn.IFS(_xlpm.MyAuditVal&lt;&gt;"",_xlpm.MyAuditVal,_xlpm.MacVal&lt;&gt;"",_xlpm.MacVal,_xlpm.CSVVal&lt;&gt;"",_xlpm.CSVVal
)),"")</f>
        <v/>
      </c>
      <c r="F450" s="45" t="str" cm="1">
        <f t="array" ref="F450">IFERROR(_xlfn.LET(
_xlpm.CSVVal,_xlfn.XLOOKUP($A450,CSV!$A:$A,CSV!F:F,""),
_xlpm.MacVal,_xlfn.XLOOKUP($A450,Output_Mac!$A:$A,Output_Mac!F:F,""),
_xlpm.MyAuditVal,_xlfn.XLOOKUP($A450,My_Audit!$A:$A,My_Audit!E:E,""),
_xlfn.IFS(_xlpm.MyAuditVal&lt;&gt;"",_xlpm.MyAuditVal,_xlpm.MacVal&lt;&gt;"",_xlpm.MacVal,_xlpm.CSVVal&lt;&gt;"",PROPER(_xlpm.CSVVal)
)),"")</f>
        <v/>
      </c>
      <c r="G450" s="45" t="str" cm="1">
        <f t="array" ref="G450">IFERROR(_xlfn.LET(
_xlpm.CSVVal,_xlfn.XLOOKUP($A450,CSV!$A:$A,CSV!G:G,""),
_xlpm.MacVal,_xlfn.XLOOKUP($A450,Output_Mac!$A:$A,Output_Mac!H:H,""),
_xlpm.MyAuditVal,_xlfn.XLOOKUP($A450,My_Audit!$A:$A,My_Audit!F:F,""),
_xlfn.IFS(_xlpm.MyAuditVal&lt;&gt;"",_xlpm.MyAuditVal,_xlpm.MacVal&lt;&gt;"",_xlpm.MacVal,_xlpm.CSVVal&lt;&gt;"",_xlpm.CSVVal
)),"")</f>
        <v/>
      </c>
      <c r="H450" s="45" t="str">
        <f>_xlfn.XLOOKUP(A450,Output_Mac!A:A,Output_Mac!I:I,"")</f>
        <v/>
      </c>
      <c r="I450" s="45" t="str" cm="1">
        <f t="array" ref="I450">IFERROR(_xlfn.LET(
_xlpm.CSVVal,_xlfn.XLOOKUP($A450,CSV!$A:$A,CSV!H:H,""),
_xlpm.MacVal,_xlfn.XLOOKUP($A450,Output_Mac!$A:$A,Output_Mac!J:J,""),
_xlpm.MyAuditVal,_xlfn.XLOOKUP($A450,My_Audit!$A:$A,My_Audit!H:H,""),
_xlfn.IFS(_xlpm.MyAuditVal&lt;&gt;"",UPPER(_xlpm.MyAuditVal),_xlpm.MacVal&lt;&gt;"",_xlpm.MacVal,_xlpm.CSVVal&lt;&gt;"",_xlpm.CSVVal
)),"")</f>
        <v/>
      </c>
      <c r="J450" s="45" t="str" cm="1">
        <f t="array" ref="J450">IFERROR(_xlfn.LET(
_xlpm.CSVVal,_xlfn.XLOOKUP($A450,CSV!$A:$A,CSV!J:J,""),
_xlpm.MacVal,_xlfn.XLOOKUP($A450,Output_Mac!$A:$A,Output_Mac!K:K,""),
_xlpm.MyAuditVal,_xlfn.XLOOKUP($A450,My_Audit!$A:$A,My_Audit!I:I,""),
_xlfn.IFS(_xlpm.MyAuditVal&lt;&gt;"",UPPER(_xlpm.MyAuditVal),_xlpm.MacVal&lt;&gt;"",_xlpm.MacVal,_xlpm.CSVVal&lt;&gt;"",_xlpm.CSVVal
)),"")</f>
        <v/>
      </c>
      <c r="K450" s="45" t="str" cm="1">
        <f t="array" ref="K450">IFERROR(_xlfn.LET(
_xlpm.CSVVal,_xlfn.XLOOKUP($A450,CSV!$A:$A,CSV!N:N,""),
_xlpm.MacVal,_xlfn.XLOOKUP($A450,Output_Mac!$A:$A,Output_Mac!L:L,""),
_xlpm.MyAuditVal,_xlfn.XLOOKUP($A450,My_Audit!$A:$A,My_Audit!J:J,""),
_xlfn.IFS(_xlpm.MyAuditVal&lt;&gt;"",UPPER(_xlpm.MyAuditVal),_xlpm.MacVal&lt;&gt;"",_xlpm.MacVal,_xlpm.CSVVal&lt;&gt;"",_xlpm.CSVVal
)),"")</f>
        <v/>
      </c>
      <c r="L450" s="45" t="str" cm="1">
        <f t="array" ref="L450">IFERROR(_xlfn.LET(
_xlpm.CSVVal,_xlfn.XLOOKUP($A450,CSV!$A:$A,CSV!P:P,""),
_xlpm.MacVal,_xlfn.XLOOKUP($A450,Output_Mac!$A:$A,Output_Mac!M:M,""),
_xlpm.MyAuditVal,_xlfn.XLOOKUP($A450,My_Audit!$A:$A,My_Audit!K:K,""),
_xlfn.IFS(_xlpm.MyAuditVal&lt;&gt;"",UPPER(_xlpm.MyAuditVal),_xlpm.MacVal&lt;&gt;"",_xlpm.MacVal,_xlpm.CSVVal&lt;&gt;"",_xlpm.CSVVal
)),"")</f>
        <v/>
      </c>
      <c r="M450" s="45" t="str">
        <f>_xlfn.LET(
    _xlpm.CSVVal, _xlfn.XLOOKUP($A450, CSV!$A:$A, CSV!AE:AE, ""),
    _xlpm.MacVal, _xlfn.XLOOKUP($A450, Output_Mac!$A:$A, Output_Mac!S:S, ""),
    _xlpm.MyAuditVal, _xlfn.XLOOKUP($A450, My_Audit!$A:$A, My_Audit!N:N, ""),
    _xlfn.TEXTJOIN(", ", TRUE, _xlpm.MyAuditVal, _xlpm.MacVal, _xlpm.CSVVal)
)</f>
        <v/>
      </c>
      <c r="N450" s="45" t="str" cm="1">
        <f t="array" ref="N450">IFERROR(_xlfn.LET(
_xlpm.CSVVal,_xlfn.XLOOKUP($A450,CSV!$A:$A,CSV!AG:AG,""),
_xlpm.MacVal,_xlfn.XLOOKUP($A450,Output_Mac!$A:$A,Output_Mac!U:U,""),
_xlpm.MyAuditVal,_xlfn.XLOOKUP($A450,My_Audit!$A:$A,My_Audit!O:O,""),
_xlfn.IFS(_xlpm.MyAuditVal&lt;&gt;"",UPPER(_xlpm.MyAuditVal),_xlpm.MacVal&lt;&gt;"",_xlpm.MacVal,_xlpm.CSVVal&lt;&gt;"",_xlpm.CSVVal
)),"")</f>
        <v/>
      </c>
      <c r="O450" s="46" t="str">
        <f>_xlfn.XLOOKUP(C450,My_Audit!B:B,My_Audit!P:P,"")&amp;""</f>
        <v/>
      </c>
      <c r="P450" s="45"/>
      <c r="Q450" s="46" t="str">
        <f>IF(LEFT(N450,4)="Pass","Nist SP 800-88",My_Audit!R450)&amp;""</f>
        <v/>
      </c>
      <c r="R450" s="45"/>
      <c r="S450" s="45"/>
      <c r="T450" s="46" t="str">
        <f>_xlfn.XLOOKUP(E450,Models!I:I,Models!J:J,"")</f>
        <v/>
      </c>
      <c r="U450" s="45"/>
      <c r="V450" s="45"/>
      <c r="W450" s="38"/>
    </row>
    <row r="451" spans="1:23">
      <c r="A451" s="45" t="str">
        <f>_xlfn.TEXTJOIN("",TRUE,Input!$B$2,ROW(My_Audit!A450))</f>
        <v>XX450</v>
      </c>
      <c r="B451" s="45" t="str">
        <f>_xlfn.TEXTJOIN("-",TRUE,"ITD",Input!$A$2,A451)</f>
        <v>ITD-SHRXXX-XX450</v>
      </c>
      <c r="C451" s="45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46" t="str" cm="1">
        <f t="array" ref="D451">IFERROR(_xlfn.LET(
_xlpm.CSVVal,_xlfn.XLOOKUP($A451,CSV!$A:$A,CSV!C:C,""),
_xlpm.MacVal,_xlfn.XLOOKUP($A451,Output_Mac!$A:$A,Output_Mac!D:D,""),
_xlpm.MyAuditVal,_xlfn.XLOOKUP($A451,My_Audit!$A:$A,My_Audit!C:C,""),
_xlfn.IFS(_xlpm.MyAuditVal&lt;&gt;"",UPPER(_xlpm.MyAuditVal),_xlpm.MacVal&lt;&gt;"",_xlpm.MacVal,_xlpm.CSVVal&lt;&gt;"",_xlpm.CSVVal
)),"")</f>
        <v/>
      </c>
      <c r="E451" s="46" t="str" cm="1">
        <f t="array" ref="E451">IFERROR(_xlfn.LET(
_xlpm.CSVVal,_xlfn.XLOOKUP($A451,CSV!$A:$A,CSV!E:E,""),
_xlpm.MacVal,_xlfn.XLOOKUP($A451,Output_Mac!$A:$A,Output_Mac!C:C,""),
_xlpm.MyAuditVal,_xlfn.XLOOKUP($A451,My_Audit!$A:$A,My_Audit!D:D,""),
_xlfn.IFS(_xlpm.MyAuditVal&lt;&gt;"",_xlpm.MyAuditVal,_xlpm.MacVal&lt;&gt;"",_xlpm.MacVal,_xlpm.CSVVal&lt;&gt;"",_xlpm.CSVVal
)),"")</f>
        <v/>
      </c>
      <c r="F451" s="45" t="str" cm="1">
        <f t="array" ref="F451">IFERROR(_xlfn.LET(
_xlpm.CSVVal,_xlfn.XLOOKUP($A451,CSV!$A:$A,CSV!F:F,""),
_xlpm.MacVal,_xlfn.XLOOKUP($A451,Output_Mac!$A:$A,Output_Mac!F:F,""),
_xlpm.MyAuditVal,_xlfn.XLOOKUP($A451,My_Audit!$A:$A,My_Audit!E:E,""),
_xlfn.IFS(_xlpm.MyAuditVal&lt;&gt;"",_xlpm.MyAuditVal,_xlpm.MacVal&lt;&gt;"",_xlpm.MacVal,_xlpm.CSVVal&lt;&gt;"",PROPER(_xlpm.CSVVal)
)),"")</f>
        <v/>
      </c>
      <c r="G451" s="45" t="str" cm="1">
        <f t="array" ref="G451">IFERROR(_xlfn.LET(
_xlpm.CSVVal,_xlfn.XLOOKUP($A451,CSV!$A:$A,CSV!G:G,""),
_xlpm.MacVal,_xlfn.XLOOKUP($A451,Output_Mac!$A:$A,Output_Mac!H:H,""),
_xlpm.MyAuditVal,_xlfn.XLOOKUP($A451,My_Audit!$A:$A,My_Audit!F:F,""),
_xlfn.IFS(_xlpm.MyAuditVal&lt;&gt;"",_xlpm.MyAuditVal,_xlpm.MacVal&lt;&gt;"",_xlpm.MacVal,_xlpm.CSVVal&lt;&gt;"",_xlpm.CSVVal
)),"")</f>
        <v/>
      </c>
      <c r="H451" s="45" t="str">
        <f>_xlfn.XLOOKUP(A451,Output_Mac!A:A,Output_Mac!I:I,"")</f>
        <v/>
      </c>
      <c r="I451" s="45" t="str" cm="1">
        <f t="array" ref="I451">IFERROR(_xlfn.LET(
_xlpm.CSVVal,_xlfn.XLOOKUP($A451,CSV!$A:$A,CSV!H:H,""),
_xlpm.MacVal,_xlfn.XLOOKUP($A451,Output_Mac!$A:$A,Output_Mac!J:J,""),
_xlpm.MyAuditVal,_xlfn.XLOOKUP($A451,My_Audit!$A:$A,My_Audit!H:H,""),
_xlfn.IFS(_xlpm.MyAuditVal&lt;&gt;"",UPPER(_xlpm.MyAuditVal),_xlpm.MacVal&lt;&gt;"",_xlpm.MacVal,_xlpm.CSVVal&lt;&gt;"",_xlpm.CSVVal
)),"")</f>
        <v/>
      </c>
      <c r="J451" s="45" t="str" cm="1">
        <f t="array" ref="J451">IFERROR(_xlfn.LET(
_xlpm.CSVVal,_xlfn.XLOOKUP($A451,CSV!$A:$A,CSV!J:J,""),
_xlpm.MacVal,_xlfn.XLOOKUP($A451,Output_Mac!$A:$A,Output_Mac!K:K,""),
_xlpm.MyAuditVal,_xlfn.XLOOKUP($A451,My_Audit!$A:$A,My_Audit!I:I,""),
_xlfn.IFS(_xlpm.MyAuditVal&lt;&gt;"",UPPER(_xlpm.MyAuditVal),_xlpm.MacVal&lt;&gt;"",_xlpm.MacVal,_xlpm.CSVVal&lt;&gt;"",_xlpm.CSVVal
)),"")</f>
        <v/>
      </c>
      <c r="K451" s="45" t="str" cm="1">
        <f t="array" ref="K451">IFERROR(_xlfn.LET(
_xlpm.CSVVal,_xlfn.XLOOKUP($A451,CSV!$A:$A,CSV!N:N,""),
_xlpm.MacVal,_xlfn.XLOOKUP($A451,Output_Mac!$A:$A,Output_Mac!L:L,""),
_xlpm.MyAuditVal,_xlfn.XLOOKUP($A451,My_Audit!$A:$A,My_Audit!J:J,""),
_xlfn.IFS(_xlpm.MyAuditVal&lt;&gt;"",UPPER(_xlpm.MyAuditVal),_xlpm.MacVal&lt;&gt;"",_xlpm.MacVal,_xlpm.CSVVal&lt;&gt;"",_xlpm.CSVVal
)),"")</f>
        <v/>
      </c>
      <c r="L451" s="45" t="str" cm="1">
        <f t="array" ref="L451">IFERROR(_xlfn.LET(
_xlpm.CSVVal,_xlfn.XLOOKUP($A451,CSV!$A:$A,CSV!P:P,""),
_xlpm.MacVal,_xlfn.XLOOKUP($A451,Output_Mac!$A:$A,Output_Mac!M:M,""),
_xlpm.MyAuditVal,_xlfn.XLOOKUP($A451,My_Audit!$A:$A,My_Audit!K:K,""),
_xlfn.IFS(_xlpm.MyAuditVal&lt;&gt;"",UPPER(_xlpm.MyAuditVal),_xlpm.MacVal&lt;&gt;"",_xlpm.MacVal,_xlpm.CSVVal&lt;&gt;"",_xlpm.CSVVal
)),"")</f>
        <v/>
      </c>
      <c r="M451" s="45" t="str">
        <f>_xlfn.LET(
    _xlpm.CSVVal, _xlfn.XLOOKUP($A451, CSV!$A:$A, CSV!AE:AE, ""),
    _xlpm.MacVal, _xlfn.XLOOKUP($A451, Output_Mac!$A:$A, Output_Mac!S:S, ""),
    _xlpm.MyAuditVal, _xlfn.XLOOKUP($A451, My_Audit!$A:$A, My_Audit!N:N, ""),
    _xlfn.TEXTJOIN(", ", TRUE, _xlpm.MyAuditVal, _xlpm.MacVal, _xlpm.CSVVal)
)</f>
        <v/>
      </c>
      <c r="N451" s="45" t="str" cm="1">
        <f t="array" ref="N451">IFERROR(_xlfn.LET(
_xlpm.CSVVal,_xlfn.XLOOKUP($A451,CSV!$A:$A,CSV!AG:AG,""),
_xlpm.MacVal,_xlfn.XLOOKUP($A451,Output_Mac!$A:$A,Output_Mac!U:U,""),
_xlpm.MyAuditVal,_xlfn.XLOOKUP($A451,My_Audit!$A:$A,My_Audit!O:O,""),
_xlfn.IFS(_xlpm.MyAuditVal&lt;&gt;"",UPPER(_xlpm.MyAuditVal),_xlpm.MacVal&lt;&gt;"",_xlpm.MacVal,_xlpm.CSVVal&lt;&gt;"",_xlpm.CSVVal
)),"")</f>
        <v/>
      </c>
      <c r="O451" s="46" t="str">
        <f>_xlfn.XLOOKUP(C451,My_Audit!B:B,My_Audit!P:P,"")&amp;""</f>
        <v/>
      </c>
      <c r="P451" s="45"/>
      <c r="Q451" s="46" t="str">
        <f>IF(LEFT(N451,4)="Pass","Nist SP 800-88",My_Audit!R451)&amp;""</f>
        <v/>
      </c>
      <c r="R451" s="45"/>
      <c r="S451" s="45"/>
      <c r="T451" s="46" t="str">
        <f>_xlfn.XLOOKUP(E451,Models!I:I,Models!J:J,"")</f>
        <v/>
      </c>
      <c r="U451" s="45"/>
      <c r="V451" s="45"/>
      <c r="W451" s="38"/>
    </row>
    <row r="452" spans="1:23">
      <c r="A452" s="45" t="str">
        <f>_xlfn.TEXTJOIN("",TRUE,Input!$B$2,ROW(My_Audit!A451))</f>
        <v>XX451</v>
      </c>
      <c r="B452" s="45" t="str">
        <f>_xlfn.TEXTJOIN("-",TRUE,"ITD",Input!$A$2,A452)</f>
        <v>ITD-SHRXXX-XX451</v>
      </c>
      <c r="C452" s="45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46" t="str" cm="1">
        <f t="array" ref="D452">IFERROR(_xlfn.LET(
_xlpm.CSVVal,_xlfn.XLOOKUP($A452,CSV!$A:$A,CSV!C:C,""),
_xlpm.MacVal,_xlfn.XLOOKUP($A452,Output_Mac!$A:$A,Output_Mac!D:D,""),
_xlpm.MyAuditVal,_xlfn.XLOOKUP($A452,My_Audit!$A:$A,My_Audit!C:C,""),
_xlfn.IFS(_xlpm.MyAuditVal&lt;&gt;"",UPPER(_xlpm.MyAuditVal),_xlpm.MacVal&lt;&gt;"",_xlpm.MacVal,_xlpm.CSVVal&lt;&gt;"",_xlpm.CSVVal
)),"")</f>
        <v/>
      </c>
      <c r="E452" s="46" t="str" cm="1">
        <f t="array" ref="E452">IFERROR(_xlfn.LET(
_xlpm.CSVVal,_xlfn.XLOOKUP($A452,CSV!$A:$A,CSV!E:E,""),
_xlpm.MacVal,_xlfn.XLOOKUP($A452,Output_Mac!$A:$A,Output_Mac!C:C,""),
_xlpm.MyAuditVal,_xlfn.XLOOKUP($A452,My_Audit!$A:$A,My_Audit!D:D,""),
_xlfn.IFS(_xlpm.MyAuditVal&lt;&gt;"",_xlpm.MyAuditVal,_xlpm.MacVal&lt;&gt;"",_xlpm.MacVal,_xlpm.CSVVal&lt;&gt;"",_xlpm.CSVVal
)),"")</f>
        <v/>
      </c>
      <c r="F452" s="45" t="str" cm="1">
        <f t="array" ref="F452">IFERROR(_xlfn.LET(
_xlpm.CSVVal,_xlfn.XLOOKUP($A452,CSV!$A:$A,CSV!F:F,""),
_xlpm.MacVal,_xlfn.XLOOKUP($A452,Output_Mac!$A:$A,Output_Mac!F:F,""),
_xlpm.MyAuditVal,_xlfn.XLOOKUP($A452,My_Audit!$A:$A,My_Audit!E:E,""),
_xlfn.IFS(_xlpm.MyAuditVal&lt;&gt;"",_xlpm.MyAuditVal,_xlpm.MacVal&lt;&gt;"",_xlpm.MacVal,_xlpm.CSVVal&lt;&gt;"",PROPER(_xlpm.CSVVal)
)),"")</f>
        <v/>
      </c>
      <c r="G452" s="45" t="str" cm="1">
        <f t="array" ref="G452">IFERROR(_xlfn.LET(
_xlpm.CSVVal,_xlfn.XLOOKUP($A452,CSV!$A:$A,CSV!G:G,""),
_xlpm.MacVal,_xlfn.XLOOKUP($A452,Output_Mac!$A:$A,Output_Mac!H:H,""),
_xlpm.MyAuditVal,_xlfn.XLOOKUP($A452,My_Audit!$A:$A,My_Audit!F:F,""),
_xlfn.IFS(_xlpm.MyAuditVal&lt;&gt;"",_xlpm.MyAuditVal,_xlpm.MacVal&lt;&gt;"",_xlpm.MacVal,_xlpm.CSVVal&lt;&gt;"",_xlpm.CSVVal
)),"")</f>
        <v/>
      </c>
      <c r="H452" s="45" t="str">
        <f>_xlfn.XLOOKUP(A452,Output_Mac!A:A,Output_Mac!I:I,"")</f>
        <v/>
      </c>
      <c r="I452" s="45" t="str" cm="1">
        <f t="array" ref="I452">IFERROR(_xlfn.LET(
_xlpm.CSVVal,_xlfn.XLOOKUP($A452,CSV!$A:$A,CSV!H:H,""),
_xlpm.MacVal,_xlfn.XLOOKUP($A452,Output_Mac!$A:$A,Output_Mac!J:J,""),
_xlpm.MyAuditVal,_xlfn.XLOOKUP($A452,My_Audit!$A:$A,My_Audit!H:H,""),
_xlfn.IFS(_xlpm.MyAuditVal&lt;&gt;"",UPPER(_xlpm.MyAuditVal),_xlpm.MacVal&lt;&gt;"",_xlpm.MacVal,_xlpm.CSVVal&lt;&gt;"",_xlpm.CSVVal
)),"")</f>
        <v/>
      </c>
      <c r="J452" s="45" t="str" cm="1">
        <f t="array" ref="J452">IFERROR(_xlfn.LET(
_xlpm.CSVVal,_xlfn.XLOOKUP($A452,CSV!$A:$A,CSV!J:J,""),
_xlpm.MacVal,_xlfn.XLOOKUP($A452,Output_Mac!$A:$A,Output_Mac!K:K,""),
_xlpm.MyAuditVal,_xlfn.XLOOKUP($A452,My_Audit!$A:$A,My_Audit!I:I,""),
_xlfn.IFS(_xlpm.MyAuditVal&lt;&gt;"",UPPER(_xlpm.MyAuditVal),_xlpm.MacVal&lt;&gt;"",_xlpm.MacVal,_xlpm.CSVVal&lt;&gt;"",_xlpm.CSVVal
)),"")</f>
        <v/>
      </c>
      <c r="K452" s="45" t="str" cm="1">
        <f t="array" ref="K452">IFERROR(_xlfn.LET(
_xlpm.CSVVal,_xlfn.XLOOKUP($A452,CSV!$A:$A,CSV!N:N,""),
_xlpm.MacVal,_xlfn.XLOOKUP($A452,Output_Mac!$A:$A,Output_Mac!L:L,""),
_xlpm.MyAuditVal,_xlfn.XLOOKUP($A452,My_Audit!$A:$A,My_Audit!J:J,""),
_xlfn.IFS(_xlpm.MyAuditVal&lt;&gt;"",UPPER(_xlpm.MyAuditVal),_xlpm.MacVal&lt;&gt;"",_xlpm.MacVal,_xlpm.CSVVal&lt;&gt;"",_xlpm.CSVVal
)),"")</f>
        <v/>
      </c>
      <c r="L452" s="45" t="str" cm="1">
        <f t="array" ref="L452">IFERROR(_xlfn.LET(
_xlpm.CSVVal,_xlfn.XLOOKUP($A452,CSV!$A:$A,CSV!P:P,""),
_xlpm.MacVal,_xlfn.XLOOKUP($A452,Output_Mac!$A:$A,Output_Mac!M:M,""),
_xlpm.MyAuditVal,_xlfn.XLOOKUP($A452,My_Audit!$A:$A,My_Audit!K:K,""),
_xlfn.IFS(_xlpm.MyAuditVal&lt;&gt;"",UPPER(_xlpm.MyAuditVal),_xlpm.MacVal&lt;&gt;"",_xlpm.MacVal,_xlpm.CSVVal&lt;&gt;"",_xlpm.CSVVal
)),"")</f>
        <v/>
      </c>
      <c r="M452" s="45" t="str">
        <f>_xlfn.LET(
    _xlpm.CSVVal, _xlfn.XLOOKUP($A452, CSV!$A:$A, CSV!AE:AE, ""),
    _xlpm.MacVal, _xlfn.XLOOKUP($A452, Output_Mac!$A:$A, Output_Mac!S:S, ""),
    _xlpm.MyAuditVal, _xlfn.XLOOKUP($A452, My_Audit!$A:$A, My_Audit!N:N, ""),
    _xlfn.TEXTJOIN(", ", TRUE, _xlpm.MyAuditVal, _xlpm.MacVal, _xlpm.CSVVal)
)</f>
        <v/>
      </c>
      <c r="N452" s="45" t="str" cm="1">
        <f t="array" ref="N452">IFERROR(_xlfn.LET(
_xlpm.CSVVal,_xlfn.XLOOKUP($A452,CSV!$A:$A,CSV!AG:AG,""),
_xlpm.MacVal,_xlfn.XLOOKUP($A452,Output_Mac!$A:$A,Output_Mac!U:U,""),
_xlpm.MyAuditVal,_xlfn.XLOOKUP($A452,My_Audit!$A:$A,My_Audit!O:O,""),
_xlfn.IFS(_xlpm.MyAuditVal&lt;&gt;"",UPPER(_xlpm.MyAuditVal),_xlpm.MacVal&lt;&gt;"",_xlpm.MacVal,_xlpm.CSVVal&lt;&gt;"",_xlpm.CSVVal
)),"")</f>
        <v/>
      </c>
      <c r="O452" s="46" t="str">
        <f>_xlfn.XLOOKUP(C452,My_Audit!B:B,My_Audit!P:P,"")&amp;""</f>
        <v/>
      </c>
      <c r="P452" s="45"/>
      <c r="Q452" s="46" t="str">
        <f>IF(LEFT(N452,4)="Pass","Nist SP 800-88",My_Audit!R452)&amp;""</f>
        <v/>
      </c>
      <c r="R452" s="45"/>
      <c r="S452" s="45"/>
      <c r="T452" s="46" t="str">
        <f>_xlfn.XLOOKUP(E452,Models!I:I,Models!J:J,"")</f>
        <v/>
      </c>
      <c r="U452" s="45"/>
      <c r="V452" s="45"/>
      <c r="W452" s="38"/>
    </row>
    <row r="453" spans="1:23">
      <c r="A453" s="45" t="str">
        <f>_xlfn.TEXTJOIN("",TRUE,Input!$B$2,ROW(My_Audit!A452))</f>
        <v>XX452</v>
      </c>
      <c r="B453" s="45" t="str">
        <f>_xlfn.TEXTJOIN("-",TRUE,"ITD",Input!$A$2,A453)</f>
        <v>ITD-SHRXXX-XX452</v>
      </c>
      <c r="C453" s="45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46" t="str" cm="1">
        <f t="array" ref="D453">IFERROR(_xlfn.LET(
_xlpm.CSVVal,_xlfn.XLOOKUP($A453,CSV!$A:$A,CSV!C:C,""),
_xlpm.MacVal,_xlfn.XLOOKUP($A453,Output_Mac!$A:$A,Output_Mac!D:D,""),
_xlpm.MyAuditVal,_xlfn.XLOOKUP($A453,My_Audit!$A:$A,My_Audit!C:C,""),
_xlfn.IFS(_xlpm.MyAuditVal&lt;&gt;"",UPPER(_xlpm.MyAuditVal),_xlpm.MacVal&lt;&gt;"",_xlpm.MacVal,_xlpm.CSVVal&lt;&gt;"",_xlpm.CSVVal
)),"")</f>
        <v/>
      </c>
      <c r="E453" s="46" t="str" cm="1">
        <f t="array" ref="E453">IFERROR(_xlfn.LET(
_xlpm.CSVVal,_xlfn.XLOOKUP($A453,CSV!$A:$A,CSV!E:E,""),
_xlpm.MacVal,_xlfn.XLOOKUP($A453,Output_Mac!$A:$A,Output_Mac!C:C,""),
_xlpm.MyAuditVal,_xlfn.XLOOKUP($A453,My_Audit!$A:$A,My_Audit!D:D,""),
_xlfn.IFS(_xlpm.MyAuditVal&lt;&gt;"",_xlpm.MyAuditVal,_xlpm.MacVal&lt;&gt;"",_xlpm.MacVal,_xlpm.CSVVal&lt;&gt;"",_xlpm.CSVVal
)),"")</f>
        <v/>
      </c>
      <c r="F453" s="45" t="str" cm="1">
        <f t="array" ref="F453">IFERROR(_xlfn.LET(
_xlpm.CSVVal,_xlfn.XLOOKUP($A453,CSV!$A:$A,CSV!F:F,""),
_xlpm.MacVal,_xlfn.XLOOKUP($A453,Output_Mac!$A:$A,Output_Mac!F:F,""),
_xlpm.MyAuditVal,_xlfn.XLOOKUP($A453,My_Audit!$A:$A,My_Audit!E:E,""),
_xlfn.IFS(_xlpm.MyAuditVal&lt;&gt;"",_xlpm.MyAuditVal,_xlpm.MacVal&lt;&gt;"",_xlpm.MacVal,_xlpm.CSVVal&lt;&gt;"",PROPER(_xlpm.CSVVal)
)),"")</f>
        <v/>
      </c>
      <c r="G453" s="45" t="str" cm="1">
        <f t="array" ref="G453">IFERROR(_xlfn.LET(
_xlpm.CSVVal,_xlfn.XLOOKUP($A453,CSV!$A:$A,CSV!G:G,""),
_xlpm.MacVal,_xlfn.XLOOKUP($A453,Output_Mac!$A:$A,Output_Mac!H:H,""),
_xlpm.MyAuditVal,_xlfn.XLOOKUP($A453,My_Audit!$A:$A,My_Audit!F:F,""),
_xlfn.IFS(_xlpm.MyAuditVal&lt;&gt;"",_xlpm.MyAuditVal,_xlpm.MacVal&lt;&gt;"",_xlpm.MacVal,_xlpm.CSVVal&lt;&gt;"",_xlpm.CSVVal
)),"")</f>
        <v/>
      </c>
      <c r="H453" s="45" t="str">
        <f>_xlfn.XLOOKUP(A453,Output_Mac!A:A,Output_Mac!I:I,"")</f>
        <v/>
      </c>
      <c r="I453" s="45" t="str" cm="1">
        <f t="array" ref="I453">IFERROR(_xlfn.LET(
_xlpm.CSVVal,_xlfn.XLOOKUP($A453,CSV!$A:$A,CSV!H:H,""),
_xlpm.MacVal,_xlfn.XLOOKUP($A453,Output_Mac!$A:$A,Output_Mac!J:J,""),
_xlpm.MyAuditVal,_xlfn.XLOOKUP($A453,My_Audit!$A:$A,My_Audit!H:H,""),
_xlfn.IFS(_xlpm.MyAuditVal&lt;&gt;"",UPPER(_xlpm.MyAuditVal),_xlpm.MacVal&lt;&gt;"",_xlpm.MacVal,_xlpm.CSVVal&lt;&gt;"",_xlpm.CSVVal
)),"")</f>
        <v/>
      </c>
      <c r="J453" s="45" t="str" cm="1">
        <f t="array" ref="J453">IFERROR(_xlfn.LET(
_xlpm.CSVVal,_xlfn.XLOOKUP($A453,CSV!$A:$A,CSV!J:J,""),
_xlpm.MacVal,_xlfn.XLOOKUP($A453,Output_Mac!$A:$A,Output_Mac!K:K,""),
_xlpm.MyAuditVal,_xlfn.XLOOKUP($A453,My_Audit!$A:$A,My_Audit!I:I,""),
_xlfn.IFS(_xlpm.MyAuditVal&lt;&gt;"",UPPER(_xlpm.MyAuditVal),_xlpm.MacVal&lt;&gt;"",_xlpm.MacVal,_xlpm.CSVVal&lt;&gt;"",_xlpm.CSVVal
)),"")</f>
        <v/>
      </c>
      <c r="K453" s="45" t="str" cm="1">
        <f t="array" ref="K453">IFERROR(_xlfn.LET(
_xlpm.CSVVal,_xlfn.XLOOKUP($A453,CSV!$A:$A,CSV!N:N,""),
_xlpm.MacVal,_xlfn.XLOOKUP($A453,Output_Mac!$A:$A,Output_Mac!L:L,""),
_xlpm.MyAuditVal,_xlfn.XLOOKUP($A453,My_Audit!$A:$A,My_Audit!J:J,""),
_xlfn.IFS(_xlpm.MyAuditVal&lt;&gt;"",UPPER(_xlpm.MyAuditVal),_xlpm.MacVal&lt;&gt;"",_xlpm.MacVal,_xlpm.CSVVal&lt;&gt;"",_xlpm.CSVVal
)),"")</f>
        <v/>
      </c>
      <c r="L453" s="45" t="str" cm="1">
        <f t="array" ref="L453">IFERROR(_xlfn.LET(
_xlpm.CSVVal,_xlfn.XLOOKUP($A453,CSV!$A:$A,CSV!P:P,""),
_xlpm.MacVal,_xlfn.XLOOKUP($A453,Output_Mac!$A:$A,Output_Mac!M:M,""),
_xlpm.MyAuditVal,_xlfn.XLOOKUP($A453,My_Audit!$A:$A,My_Audit!K:K,""),
_xlfn.IFS(_xlpm.MyAuditVal&lt;&gt;"",UPPER(_xlpm.MyAuditVal),_xlpm.MacVal&lt;&gt;"",_xlpm.MacVal,_xlpm.CSVVal&lt;&gt;"",_xlpm.CSVVal
)),"")</f>
        <v/>
      </c>
      <c r="M453" s="45" t="str">
        <f>_xlfn.LET(
    _xlpm.CSVVal, _xlfn.XLOOKUP($A453, CSV!$A:$A, CSV!AE:AE, ""),
    _xlpm.MacVal, _xlfn.XLOOKUP($A453, Output_Mac!$A:$A, Output_Mac!S:S, ""),
    _xlpm.MyAuditVal, _xlfn.XLOOKUP($A453, My_Audit!$A:$A, My_Audit!N:N, ""),
    _xlfn.TEXTJOIN(", ", TRUE, _xlpm.MyAuditVal, _xlpm.MacVal, _xlpm.CSVVal)
)</f>
        <v/>
      </c>
      <c r="N453" s="45" t="str" cm="1">
        <f t="array" ref="N453">IFERROR(_xlfn.LET(
_xlpm.CSVVal,_xlfn.XLOOKUP($A453,CSV!$A:$A,CSV!AG:AG,""),
_xlpm.MacVal,_xlfn.XLOOKUP($A453,Output_Mac!$A:$A,Output_Mac!U:U,""),
_xlpm.MyAuditVal,_xlfn.XLOOKUP($A453,My_Audit!$A:$A,My_Audit!O:O,""),
_xlfn.IFS(_xlpm.MyAuditVal&lt;&gt;"",UPPER(_xlpm.MyAuditVal),_xlpm.MacVal&lt;&gt;"",_xlpm.MacVal,_xlpm.CSVVal&lt;&gt;"",_xlpm.CSVVal
)),"")</f>
        <v/>
      </c>
      <c r="O453" s="46" t="str">
        <f>_xlfn.XLOOKUP(C453,My_Audit!B:B,My_Audit!P:P,"")&amp;""</f>
        <v/>
      </c>
      <c r="P453" s="45"/>
      <c r="Q453" s="46" t="str">
        <f>IF(LEFT(N453,4)="Pass","Nist SP 800-88",My_Audit!R453)&amp;""</f>
        <v/>
      </c>
      <c r="R453" s="45"/>
      <c r="S453" s="45"/>
      <c r="T453" s="46" t="str">
        <f>_xlfn.XLOOKUP(E453,Models!I:I,Models!J:J,"")</f>
        <v/>
      </c>
      <c r="U453" s="45"/>
      <c r="V453" s="45"/>
      <c r="W453" s="38"/>
    </row>
    <row r="454" spans="1:23">
      <c r="A454" s="45" t="str">
        <f>_xlfn.TEXTJOIN("",TRUE,Input!$B$2,ROW(My_Audit!A453))</f>
        <v>XX453</v>
      </c>
      <c r="B454" s="45" t="str">
        <f>_xlfn.TEXTJOIN("-",TRUE,"ITD",Input!$A$2,A454)</f>
        <v>ITD-SHRXXX-XX453</v>
      </c>
      <c r="C454" s="45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46" t="str" cm="1">
        <f t="array" ref="D454">IFERROR(_xlfn.LET(
_xlpm.CSVVal,_xlfn.XLOOKUP($A454,CSV!$A:$A,CSV!C:C,""),
_xlpm.MacVal,_xlfn.XLOOKUP($A454,Output_Mac!$A:$A,Output_Mac!D:D,""),
_xlpm.MyAuditVal,_xlfn.XLOOKUP($A454,My_Audit!$A:$A,My_Audit!C:C,""),
_xlfn.IFS(_xlpm.MyAuditVal&lt;&gt;"",UPPER(_xlpm.MyAuditVal),_xlpm.MacVal&lt;&gt;"",_xlpm.MacVal,_xlpm.CSVVal&lt;&gt;"",_xlpm.CSVVal
)),"")</f>
        <v/>
      </c>
      <c r="E454" s="46" t="str" cm="1">
        <f t="array" ref="E454">IFERROR(_xlfn.LET(
_xlpm.CSVVal,_xlfn.XLOOKUP($A454,CSV!$A:$A,CSV!E:E,""),
_xlpm.MacVal,_xlfn.XLOOKUP($A454,Output_Mac!$A:$A,Output_Mac!C:C,""),
_xlpm.MyAuditVal,_xlfn.XLOOKUP($A454,My_Audit!$A:$A,My_Audit!D:D,""),
_xlfn.IFS(_xlpm.MyAuditVal&lt;&gt;"",_xlpm.MyAuditVal,_xlpm.MacVal&lt;&gt;"",_xlpm.MacVal,_xlpm.CSVVal&lt;&gt;"",_xlpm.CSVVal
)),"")</f>
        <v/>
      </c>
      <c r="F454" s="45" t="str" cm="1">
        <f t="array" ref="F454">IFERROR(_xlfn.LET(
_xlpm.CSVVal,_xlfn.XLOOKUP($A454,CSV!$A:$A,CSV!F:F,""),
_xlpm.MacVal,_xlfn.XLOOKUP($A454,Output_Mac!$A:$A,Output_Mac!F:F,""),
_xlpm.MyAuditVal,_xlfn.XLOOKUP($A454,My_Audit!$A:$A,My_Audit!E:E,""),
_xlfn.IFS(_xlpm.MyAuditVal&lt;&gt;"",_xlpm.MyAuditVal,_xlpm.MacVal&lt;&gt;"",_xlpm.MacVal,_xlpm.CSVVal&lt;&gt;"",PROPER(_xlpm.CSVVal)
)),"")</f>
        <v/>
      </c>
      <c r="G454" s="45" t="str" cm="1">
        <f t="array" ref="G454">IFERROR(_xlfn.LET(
_xlpm.CSVVal,_xlfn.XLOOKUP($A454,CSV!$A:$A,CSV!G:G,""),
_xlpm.MacVal,_xlfn.XLOOKUP($A454,Output_Mac!$A:$A,Output_Mac!H:H,""),
_xlpm.MyAuditVal,_xlfn.XLOOKUP($A454,My_Audit!$A:$A,My_Audit!F:F,""),
_xlfn.IFS(_xlpm.MyAuditVal&lt;&gt;"",_xlpm.MyAuditVal,_xlpm.MacVal&lt;&gt;"",_xlpm.MacVal,_xlpm.CSVVal&lt;&gt;"",_xlpm.CSVVal
)),"")</f>
        <v/>
      </c>
      <c r="H454" s="45" t="str">
        <f>_xlfn.XLOOKUP(A454,Output_Mac!A:A,Output_Mac!I:I,"")</f>
        <v/>
      </c>
      <c r="I454" s="45" t="str" cm="1">
        <f t="array" ref="I454">IFERROR(_xlfn.LET(
_xlpm.CSVVal,_xlfn.XLOOKUP($A454,CSV!$A:$A,CSV!H:H,""),
_xlpm.MacVal,_xlfn.XLOOKUP($A454,Output_Mac!$A:$A,Output_Mac!J:J,""),
_xlpm.MyAuditVal,_xlfn.XLOOKUP($A454,My_Audit!$A:$A,My_Audit!H:H,""),
_xlfn.IFS(_xlpm.MyAuditVal&lt;&gt;"",UPPER(_xlpm.MyAuditVal),_xlpm.MacVal&lt;&gt;"",_xlpm.MacVal,_xlpm.CSVVal&lt;&gt;"",_xlpm.CSVVal
)),"")</f>
        <v/>
      </c>
      <c r="J454" s="45" t="str" cm="1">
        <f t="array" ref="J454">IFERROR(_xlfn.LET(
_xlpm.CSVVal,_xlfn.XLOOKUP($A454,CSV!$A:$A,CSV!J:J,""),
_xlpm.MacVal,_xlfn.XLOOKUP($A454,Output_Mac!$A:$A,Output_Mac!K:K,""),
_xlpm.MyAuditVal,_xlfn.XLOOKUP($A454,My_Audit!$A:$A,My_Audit!I:I,""),
_xlfn.IFS(_xlpm.MyAuditVal&lt;&gt;"",UPPER(_xlpm.MyAuditVal),_xlpm.MacVal&lt;&gt;"",_xlpm.MacVal,_xlpm.CSVVal&lt;&gt;"",_xlpm.CSVVal
)),"")</f>
        <v/>
      </c>
      <c r="K454" s="45" t="str" cm="1">
        <f t="array" ref="K454">IFERROR(_xlfn.LET(
_xlpm.CSVVal,_xlfn.XLOOKUP($A454,CSV!$A:$A,CSV!N:N,""),
_xlpm.MacVal,_xlfn.XLOOKUP($A454,Output_Mac!$A:$A,Output_Mac!L:L,""),
_xlpm.MyAuditVal,_xlfn.XLOOKUP($A454,My_Audit!$A:$A,My_Audit!J:J,""),
_xlfn.IFS(_xlpm.MyAuditVal&lt;&gt;"",UPPER(_xlpm.MyAuditVal),_xlpm.MacVal&lt;&gt;"",_xlpm.MacVal,_xlpm.CSVVal&lt;&gt;"",_xlpm.CSVVal
)),"")</f>
        <v/>
      </c>
      <c r="L454" s="45" t="str" cm="1">
        <f t="array" ref="L454">IFERROR(_xlfn.LET(
_xlpm.CSVVal,_xlfn.XLOOKUP($A454,CSV!$A:$A,CSV!P:P,""),
_xlpm.MacVal,_xlfn.XLOOKUP($A454,Output_Mac!$A:$A,Output_Mac!M:M,""),
_xlpm.MyAuditVal,_xlfn.XLOOKUP($A454,My_Audit!$A:$A,My_Audit!K:K,""),
_xlfn.IFS(_xlpm.MyAuditVal&lt;&gt;"",UPPER(_xlpm.MyAuditVal),_xlpm.MacVal&lt;&gt;"",_xlpm.MacVal,_xlpm.CSVVal&lt;&gt;"",_xlpm.CSVVal
)),"")</f>
        <v/>
      </c>
      <c r="M454" s="45" t="str">
        <f>_xlfn.LET(
    _xlpm.CSVVal, _xlfn.XLOOKUP($A454, CSV!$A:$A, CSV!AE:AE, ""),
    _xlpm.MacVal, _xlfn.XLOOKUP($A454, Output_Mac!$A:$A, Output_Mac!S:S, ""),
    _xlpm.MyAuditVal, _xlfn.XLOOKUP($A454, My_Audit!$A:$A, My_Audit!N:N, ""),
    _xlfn.TEXTJOIN(", ", TRUE, _xlpm.MyAuditVal, _xlpm.MacVal, _xlpm.CSVVal)
)</f>
        <v/>
      </c>
      <c r="N454" s="45" t="str" cm="1">
        <f t="array" ref="N454">IFERROR(_xlfn.LET(
_xlpm.CSVVal,_xlfn.XLOOKUP($A454,CSV!$A:$A,CSV!AG:AG,""),
_xlpm.MacVal,_xlfn.XLOOKUP($A454,Output_Mac!$A:$A,Output_Mac!U:U,""),
_xlpm.MyAuditVal,_xlfn.XLOOKUP($A454,My_Audit!$A:$A,My_Audit!O:O,""),
_xlfn.IFS(_xlpm.MyAuditVal&lt;&gt;"",UPPER(_xlpm.MyAuditVal),_xlpm.MacVal&lt;&gt;"",_xlpm.MacVal,_xlpm.CSVVal&lt;&gt;"",_xlpm.CSVVal
)),"")</f>
        <v/>
      </c>
      <c r="O454" s="46" t="str">
        <f>_xlfn.XLOOKUP(C454,My_Audit!B:B,My_Audit!P:P,"")&amp;""</f>
        <v/>
      </c>
      <c r="P454" s="45"/>
      <c r="Q454" s="46" t="str">
        <f>IF(LEFT(N454,4)="Pass","Nist SP 800-88",My_Audit!R454)&amp;""</f>
        <v/>
      </c>
      <c r="R454" s="45"/>
      <c r="S454" s="45"/>
      <c r="T454" s="46" t="str">
        <f>_xlfn.XLOOKUP(E454,Models!I:I,Models!J:J,"")</f>
        <v/>
      </c>
      <c r="U454" s="45"/>
      <c r="V454" s="45"/>
      <c r="W454" s="38"/>
    </row>
    <row r="455" spans="1:23">
      <c r="A455" s="45" t="str">
        <f>_xlfn.TEXTJOIN("",TRUE,Input!$B$2,ROW(My_Audit!A454))</f>
        <v>XX454</v>
      </c>
      <c r="B455" s="45" t="str">
        <f>_xlfn.TEXTJOIN("-",TRUE,"ITD",Input!$A$2,A455)</f>
        <v>ITD-SHRXXX-XX454</v>
      </c>
      <c r="C455" s="45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46" t="str" cm="1">
        <f t="array" ref="D455">IFERROR(_xlfn.LET(
_xlpm.CSVVal,_xlfn.XLOOKUP($A455,CSV!$A:$A,CSV!C:C,""),
_xlpm.MacVal,_xlfn.XLOOKUP($A455,Output_Mac!$A:$A,Output_Mac!D:D,""),
_xlpm.MyAuditVal,_xlfn.XLOOKUP($A455,My_Audit!$A:$A,My_Audit!C:C,""),
_xlfn.IFS(_xlpm.MyAuditVal&lt;&gt;"",UPPER(_xlpm.MyAuditVal),_xlpm.MacVal&lt;&gt;"",_xlpm.MacVal,_xlpm.CSVVal&lt;&gt;"",_xlpm.CSVVal
)),"")</f>
        <v/>
      </c>
      <c r="E455" s="46" t="str" cm="1">
        <f t="array" ref="E455">IFERROR(_xlfn.LET(
_xlpm.CSVVal,_xlfn.XLOOKUP($A455,CSV!$A:$A,CSV!E:E,""),
_xlpm.MacVal,_xlfn.XLOOKUP($A455,Output_Mac!$A:$A,Output_Mac!C:C,""),
_xlpm.MyAuditVal,_xlfn.XLOOKUP($A455,My_Audit!$A:$A,My_Audit!D:D,""),
_xlfn.IFS(_xlpm.MyAuditVal&lt;&gt;"",_xlpm.MyAuditVal,_xlpm.MacVal&lt;&gt;"",_xlpm.MacVal,_xlpm.CSVVal&lt;&gt;"",_xlpm.CSVVal
)),"")</f>
        <v/>
      </c>
      <c r="F455" s="45" t="str" cm="1">
        <f t="array" ref="F455">IFERROR(_xlfn.LET(
_xlpm.CSVVal,_xlfn.XLOOKUP($A455,CSV!$A:$A,CSV!F:F,""),
_xlpm.MacVal,_xlfn.XLOOKUP($A455,Output_Mac!$A:$A,Output_Mac!F:F,""),
_xlpm.MyAuditVal,_xlfn.XLOOKUP($A455,My_Audit!$A:$A,My_Audit!E:E,""),
_xlfn.IFS(_xlpm.MyAuditVal&lt;&gt;"",_xlpm.MyAuditVal,_xlpm.MacVal&lt;&gt;"",_xlpm.MacVal,_xlpm.CSVVal&lt;&gt;"",PROPER(_xlpm.CSVVal)
)),"")</f>
        <v/>
      </c>
      <c r="G455" s="45" t="str" cm="1">
        <f t="array" ref="G455">IFERROR(_xlfn.LET(
_xlpm.CSVVal,_xlfn.XLOOKUP($A455,CSV!$A:$A,CSV!G:G,""),
_xlpm.MacVal,_xlfn.XLOOKUP($A455,Output_Mac!$A:$A,Output_Mac!H:H,""),
_xlpm.MyAuditVal,_xlfn.XLOOKUP($A455,My_Audit!$A:$A,My_Audit!F:F,""),
_xlfn.IFS(_xlpm.MyAuditVal&lt;&gt;"",_xlpm.MyAuditVal,_xlpm.MacVal&lt;&gt;"",_xlpm.MacVal,_xlpm.CSVVal&lt;&gt;"",_xlpm.CSVVal
)),"")</f>
        <v/>
      </c>
      <c r="H455" s="45" t="str">
        <f>_xlfn.XLOOKUP(A455,Output_Mac!A:A,Output_Mac!I:I,"")</f>
        <v/>
      </c>
      <c r="I455" s="45" t="str" cm="1">
        <f t="array" ref="I455">IFERROR(_xlfn.LET(
_xlpm.CSVVal,_xlfn.XLOOKUP($A455,CSV!$A:$A,CSV!H:H,""),
_xlpm.MacVal,_xlfn.XLOOKUP($A455,Output_Mac!$A:$A,Output_Mac!J:J,""),
_xlpm.MyAuditVal,_xlfn.XLOOKUP($A455,My_Audit!$A:$A,My_Audit!H:H,""),
_xlfn.IFS(_xlpm.MyAuditVal&lt;&gt;"",UPPER(_xlpm.MyAuditVal),_xlpm.MacVal&lt;&gt;"",_xlpm.MacVal,_xlpm.CSVVal&lt;&gt;"",_xlpm.CSVVal
)),"")</f>
        <v/>
      </c>
      <c r="J455" s="45" t="str" cm="1">
        <f t="array" ref="J455">IFERROR(_xlfn.LET(
_xlpm.CSVVal,_xlfn.XLOOKUP($A455,CSV!$A:$A,CSV!J:J,""),
_xlpm.MacVal,_xlfn.XLOOKUP($A455,Output_Mac!$A:$A,Output_Mac!K:K,""),
_xlpm.MyAuditVal,_xlfn.XLOOKUP($A455,My_Audit!$A:$A,My_Audit!I:I,""),
_xlfn.IFS(_xlpm.MyAuditVal&lt;&gt;"",UPPER(_xlpm.MyAuditVal),_xlpm.MacVal&lt;&gt;"",_xlpm.MacVal,_xlpm.CSVVal&lt;&gt;"",_xlpm.CSVVal
)),"")</f>
        <v/>
      </c>
      <c r="K455" s="45" t="str" cm="1">
        <f t="array" ref="K455">IFERROR(_xlfn.LET(
_xlpm.CSVVal,_xlfn.XLOOKUP($A455,CSV!$A:$A,CSV!N:N,""),
_xlpm.MacVal,_xlfn.XLOOKUP($A455,Output_Mac!$A:$A,Output_Mac!L:L,""),
_xlpm.MyAuditVal,_xlfn.XLOOKUP($A455,My_Audit!$A:$A,My_Audit!J:J,""),
_xlfn.IFS(_xlpm.MyAuditVal&lt;&gt;"",UPPER(_xlpm.MyAuditVal),_xlpm.MacVal&lt;&gt;"",_xlpm.MacVal,_xlpm.CSVVal&lt;&gt;"",_xlpm.CSVVal
)),"")</f>
        <v/>
      </c>
      <c r="L455" s="45" t="str" cm="1">
        <f t="array" ref="L455">IFERROR(_xlfn.LET(
_xlpm.CSVVal,_xlfn.XLOOKUP($A455,CSV!$A:$A,CSV!P:P,""),
_xlpm.MacVal,_xlfn.XLOOKUP($A455,Output_Mac!$A:$A,Output_Mac!M:M,""),
_xlpm.MyAuditVal,_xlfn.XLOOKUP($A455,My_Audit!$A:$A,My_Audit!K:K,""),
_xlfn.IFS(_xlpm.MyAuditVal&lt;&gt;"",UPPER(_xlpm.MyAuditVal),_xlpm.MacVal&lt;&gt;"",_xlpm.MacVal,_xlpm.CSVVal&lt;&gt;"",_xlpm.CSVVal
)),"")</f>
        <v/>
      </c>
      <c r="M455" s="45" t="str">
        <f>_xlfn.LET(
    _xlpm.CSVVal, _xlfn.XLOOKUP($A455, CSV!$A:$A, CSV!AE:AE, ""),
    _xlpm.MacVal, _xlfn.XLOOKUP($A455, Output_Mac!$A:$A, Output_Mac!S:S, ""),
    _xlpm.MyAuditVal, _xlfn.XLOOKUP($A455, My_Audit!$A:$A, My_Audit!N:N, ""),
    _xlfn.TEXTJOIN(", ", TRUE, _xlpm.MyAuditVal, _xlpm.MacVal, _xlpm.CSVVal)
)</f>
        <v/>
      </c>
      <c r="N455" s="45" t="str" cm="1">
        <f t="array" ref="N455">IFERROR(_xlfn.LET(
_xlpm.CSVVal,_xlfn.XLOOKUP($A455,CSV!$A:$A,CSV!AG:AG,""),
_xlpm.MacVal,_xlfn.XLOOKUP($A455,Output_Mac!$A:$A,Output_Mac!U:U,""),
_xlpm.MyAuditVal,_xlfn.XLOOKUP($A455,My_Audit!$A:$A,My_Audit!O:O,""),
_xlfn.IFS(_xlpm.MyAuditVal&lt;&gt;"",UPPER(_xlpm.MyAuditVal),_xlpm.MacVal&lt;&gt;"",_xlpm.MacVal,_xlpm.CSVVal&lt;&gt;"",_xlpm.CSVVal
)),"")</f>
        <v/>
      </c>
      <c r="O455" s="46" t="str">
        <f>_xlfn.XLOOKUP(C455,My_Audit!B:B,My_Audit!P:P,"")&amp;""</f>
        <v/>
      </c>
      <c r="P455" s="45"/>
      <c r="Q455" s="46" t="str">
        <f>IF(LEFT(N455,4)="Pass","Nist SP 800-88",My_Audit!R455)&amp;""</f>
        <v/>
      </c>
      <c r="R455" s="45"/>
      <c r="S455" s="45"/>
      <c r="T455" s="46" t="str">
        <f>_xlfn.XLOOKUP(E455,Models!I:I,Models!J:J,"")</f>
        <v/>
      </c>
      <c r="U455" s="45"/>
      <c r="V455" s="45"/>
      <c r="W455" s="38"/>
    </row>
    <row r="456" spans="1:23">
      <c r="A456" s="45" t="str">
        <f>_xlfn.TEXTJOIN("",TRUE,Input!$B$2,ROW(My_Audit!A455))</f>
        <v>XX455</v>
      </c>
      <c r="B456" s="45" t="str">
        <f>_xlfn.TEXTJOIN("-",TRUE,"ITD",Input!$A$2,A456)</f>
        <v>ITD-SHRXXX-XX455</v>
      </c>
      <c r="C456" s="45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46" t="str" cm="1">
        <f t="array" ref="D456">IFERROR(_xlfn.LET(
_xlpm.CSVVal,_xlfn.XLOOKUP($A456,CSV!$A:$A,CSV!C:C,""),
_xlpm.MacVal,_xlfn.XLOOKUP($A456,Output_Mac!$A:$A,Output_Mac!D:D,""),
_xlpm.MyAuditVal,_xlfn.XLOOKUP($A456,My_Audit!$A:$A,My_Audit!C:C,""),
_xlfn.IFS(_xlpm.MyAuditVal&lt;&gt;"",UPPER(_xlpm.MyAuditVal),_xlpm.MacVal&lt;&gt;"",_xlpm.MacVal,_xlpm.CSVVal&lt;&gt;"",_xlpm.CSVVal
)),"")</f>
        <v/>
      </c>
      <c r="E456" s="46" t="str" cm="1">
        <f t="array" ref="E456">IFERROR(_xlfn.LET(
_xlpm.CSVVal,_xlfn.XLOOKUP($A456,CSV!$A:$A,CSV!E:E,""),
_xlpm.MacVal,_xlfn.XLOOKUP($A456,Output_Mac!$A:$A,Output_Mac!C:C,""),
_xlpm.MyAuditVal,_xlfn.XLOOKUP($A456,My_Audit!$A:$A,My_Audit!D:D,""),
_xlfn.IFS(_xlpm.MyAuditVal&lt;&gt;"",_xlpm.MyAuditVal,_xlpm.MacVal&lt;&gt;"",_xlpm.MacVal,_xlpm.CSVVal&lt;&gt;"",_xlpm.CSVVal
)),"")</f>
        <v/>
      </c>
      <c r="F456" s="45" t="str" cm="1">
        <f t="array" ref="F456">IFERROR(_xlfn.LET(
_xlpm.CSVVal,_xlfn.XLOOKUP($A456,CSV!$A:$A,CSV!F:F,""),
_xlpm.MacVal,_xlfn.XLOOKUP($A456,Output_Mac!$A:$A,Output_Mac!F:F,""),
_xlpm.MyAuditVal,_xlfn.XLOOKUP($A456,My_Audit!$A:$A,My_Audit!E:E,""),
_xlfn.IFS(_xlpm.MyAuditVal&lt;&gt;"",_xlpm.MyAuditVal,_xlpm.MacVal&lt;&gt;"",_xlpm.MacVal,_xlpm.CSVVal&lt;&gt;"",PROPER(_xlpm.CSVVal)
)),"")</f>
        <v/>
      </c>
      <c r="G456" s="45" t="str" cm="1">
        <f t="array" ref="G456">IFERROR(_xlfn.LET(
_xlpm.CSVVal,_xlfn.XLOOKUP($A456,CSV!$A:$A,CSV!G:G,""),
_xlpm.MacVal,_xlfn.XLOOKUP($A456,Output_Mac!$A:$A,Output_Mac!H:H,""),
_xlpm.MyAuditVal,_xlfn.XLOOKUP($A456,My_Audit!$A:$A,My_Audit!F:F,""),
_xlfn.IFS(_xlpm.MyAuditVal&lt;&gt;"",_xlpm.MyAuditVal,_xlpm.MacVal&lt;&gt;"",_xlpm.MacVal,_xlpm.CSVVal&lt;&gt;"",_xlpm.CSVVal
)),"")</f>
        <v/>
      </c>
      <c r="H456" s="45" t="str">
        <f>_xlfn.XLOOKUP(A456,Output_Mac!A:A,Output_Mac!I:I,"")</f>
        <v/>
      </c>
      <c r="I456" s="45" t="str" cm="1">
        <f t="array" ref="I456">IFERROR(_xlfn.LET(
_xlpm.CSVVal,_xlfn.XLOOKUP($A456,CSV!$A:$A,CSV!H:H,""),
_xlpm.MacVal,_xlfn.XLOOKUP($A456,Output_Mac!$A:$A,Output_Mac!J:J,""),
_xlpm.MyAuditVal,_xlfn.XLOOKUP($A456,My_Audit!$A:$A,My_Audit!H:H,""),
_xlfn.IFS(_xlpm.MyAuditVal&lt;&gt;"",UPPER(_xlpm.MyAuditVal),_xlpm.MacVal&lt;&gt;"",_xlpm.MacVal,_xlpm.CSVVal&lt;&gt;"",_xlpm.CSVVal
)),"")</f>
        <v/>
      </c>
      <c r="J456" s="45" t="str" cm="1">
        <f t="array" ref="J456">IFERROR(_xlfn.LET(
_xlpm.CSVVal,_xlfn.XLOOKUP($A456,CSV!$A:$A,CSV!J:J,""),
_xlpm.MacVal,_xlfn.XLOOKUP($A456,Output_Mac!$A:$A,Output_Mac!K:K,""),
_xlpm.MyAuditVal,_xlfn.XLOOKUP($A456,My_Audit!$A:$A,My_Audit!I:I,""),
_xlfn.IFS(_xlpm.MyAuditVal&lt;&gt;"",UPPER(_xlpm.MyAuditVal),_xlpm.MacVal&lt;&gt;"",_xlpm.MacVal,_xlpm.CSVVal&lt;&gt;"",_xlpm.CSVVal
)),"")</f>
        <v/>
      </c>
      <c r="K456" s="45" t="str" cm="1">
        <f t="array" ref="K456">IFERROR(_xlfn.LET(
_xlpm.CSVVal,_xlfn.XLOOKUP($A456,CSV!$A:$A,CSV!N:N,""),
_xlpm.MacVal,_xlfn.XLOOKUP($A456,Output_Mac!$A:$A,Output_Mac!L:L,""),
_xlpm.MyAuditVal,_xlfn.XLOOKUP($A456,My_Audit!$A:$A,My_Audit!J:J,""),
_xlfn.IFS(_xlpm.MyAuditVal&lt;&gt;"",UPPER(_xlpm.MyAuditVal),_xlpm.MacVal&lt;&gt;"",_xlpm.MacVal,_xlpm.CSVVal&lt;&gt;"",_xlpm.CSVVal
)),"")</f>
        <v/>
      </c>
      <c r="L456" s="45" t="str" cm="1">
        <f t="array" ref="L456">IFERROR(_xlfn.LET(
_xlpm.CSVVal,_xlfn.XLOOKUP($A456,CSV!$A:$A,CSV!P:P,""),
_xlpm.MacVal,_xlfn.XLOOKUP($A456,Output_Mac!$A:$A,Output_Mac!M:M,""),
_xlpm.MyAuditVal,_xlfn.XLOOKUP($A456,My_Audit!$A:$A,My_Audit!K:K,""),
_xlfn.IFS(_xlpm.MyAuditVal&lt;&gt;"",UPPER(_xlpm.MyAuditVal),_xlpm.MacVal&lt;&gt;"",_xlpm.MacVal,_xlpm.CSVVal&lt;&gt;"",_xlpm.CSVVal
)),"")</f>
        <v/>
      </c>
      <c r="M456" s="45" t="str">
        <f>_xlfn.LET(
    _xlpm.CSVVal, _xlfn.XLOOKUP($A456, CSV!$A:$A, CSV!AE:AE, ""),
    _xlpm.MacVal, _xlfn.XLOOKUP($A456, Output_Mac!$A:$A, Output_Mac!S:S, ""),
    _xlpm.MyAuditVal, _xlfn.XLOOKUP($A456, My_Audit!$A:$A, My_Audit!N:N, ""),
    _xlfn.TEXTJOIN(", ", TRUE, _xlpm.MyAuditVal, _xlpm.MacVal, _xlpm.CSVVal)
)</f>
        <v/>
      </c>
      <c r="N456" s="45" t="str" cm="1">
        <f t="array" ref="N456">IFERROR(_xlfn.LET(
_xlpm.CSVVal,_xlfn.XLOOKUP($A456,CSV!$A:$A,CSV!AG:AG,""),
_xlpm.MacVal,_xlfn.XLOOKUP($A456,Output_Mac!$A:$A,Output_Mac!U:U,""),
_xlpm.MyAuditVal,_xlfn.XLOOKUP($A456,My_Audit!$A:$A,My_Audit!O:O,""),
_xlfn.IFS(_xlpm.MyAuditVal&lt;&gt;"",UPPER(_xlpm.MyAuditVal),_xlpm.MacVal&lt;&gt;"",_xlpm.MacVal,_xlpm.CSVVal&lt;&gt;"",_xlpm.CSVVal
)),"")</f>
        <v/>
      </c>
      <c r="O456" s="46" t="str">
        <f>_xlfn.XLOOKUP(C456,My_Audit!B:B,My_Audit!P:P,"")&amp;""</f>
        <v/>
      </c>
      <c r="P456" s="45"/>
      <c r="Q456" s="46" t="str">
        <f>IF(LEFT(N456,4)="Pass","Nist SP 800-88",My_Audit!R456)&amp;""</f>
        <v/>
      </c>
      <c r="R456" s="45"/>
      <c r="S456" s="45"/>
      <c r="T456" s="46" t="str">
        <f>_xlfn.XLOOKUP(E456,Models!I:I,Models!J:J,"")</f>
        <v/>
      </c>
      <c r="U456" s="45"/>
      <c r="V456" s="45"/>
      <c r="W456" s="38"/>
    </row>
    <row r="457" spans="1:23">
      <c r="A457" s="45" t="str">
        <f>_xlfn.TEXTJOIN("",TRUE,Input!$B$2,ROW(My_Audit!A456))</f>
        <v>XX456</v>
      </c>
      <c r="B457" s="45" t="str">
        <f>_xlfn.TEXTJOIN("-",TRUE,"ITD",Input!$A$2,A457)</f>
        <v>ITD-SHRXXX-XX456</v>
      </c>
      <c r="C457" s="45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46" t="str" cm="1">
        <f t="array" ref="D457">IFERROR(_xlfn.LET(
_xlpm.CSVVal,_xlfn.XLOOKUP($A457,CSV!$A:$A,CSV!C:C,""),
_xlpm.MacVal,_xlfn.XLOOKUP($A457,Output_Mac!$A:$A,Output_Mac!D:D,""),
_xlpm.MyAuditVal,_xlfn.XLOOKUP($A457,My_Audit!$A:$A,My_Audit!C:C,""),
_xlfn.IFS(_xlpm.MyAuditVal&lt;&gt;"",UPPER(_xlpm.MyAuditVal),_xlpm.MacVal&lt;&gt;"",_xlpm.MacVal,_xlpm.CSVVal&lt;&gt;"",_xlpm.CSVVal
)),"")</f>
        <v/>
      </c>
      <c r="E457" s="46" t="str" cm="1">
        <f t="array" ref="E457">IFERROR(_xlfn.LET(
_xlpm.CSVVal,_xlfn.XLOOKUP($A457,CSV!$A:$A,CSV!E:E,""),
_xlpm.MacVal,_xlfn.XLOOKUP($A457,Output_Mac!$A:$A,Output_Mac!C:C,""),
_xlpm.MyAuditVal,_xlfn.XLOOKUP($A457,My_Audit!$A:$A,My_Audit!D:D,""),
_xlfn.IFS(_xlpm.MyAuditVal&lt;&gt;"",_xlpm.MyAuditVal,_xlpm.MacVal&lt;&gt;"",_xlpm.MacVal,_xlpm.CSVVal&lt;&gt;"",_xlpm.CSVVal
)),"")</f>
        <v/>
      </c>
      <c r="F457" s="45" t="str" cm="1">
        <f t="array" ref="F457">IFERROR(_xlfn.LET(
_xlpm.CSVVal,_xlfn.XLOOKUP($A457,CSV!$A:$A,CSV!F:F,""),
_xlpm.MacVal,_xlfn.XLOOKUP($A457,Output_Mac!$A:$A,Output_Mac!F:F,""),
_xlpm.MyAuditVal,_xlfn.XLOOKUP($A457,My_Audit!$A:$A,My_Audit!E:E,""),
_xlfn.IFS(_xlpm.MyAuditVal&lt;&gt;"",_xlpm.MyAuditVal,_xlpm.MacVal&lt;&gt;"",_xlpm.MacVal,_xlpm.CSVVal&lt;&gt;"",PROPER(_xlpm.CSVVal)
)),"")</f>
        <v/>
      </c>
      <c r="G457" s="45" t="str" cm="1">
        <f t="array" ref="G457">IFERROR(_xlfn.LET(
_xlpm.CSVVal,_xlfn.XLOOKUP($A457,CSV!$A:$A,CSV!G:G,""),
_xlpm.MacVal,_xlfn.XLOOKUP($A457,Output_Mac!$A:$A,Output_Mac!H:H,""),
_xlpm.MyAuditVal,_xlfn.XLOOKUP($A457,My_Audit!$A:$A,My_Audit!F:F,""),
_xlfn.IFS(_xlpm.MyAuditVal&lt;&gt;"",_xlpm.MyAuditVal,_xlpm.MacVal&lt;&gt;"",_xlpm.MacVal,_xlpm.CSVVal&lt;&gt;"",_xlpm.CSVVal
)),"")</f>
        <v/>
      </c>
      <c r="H457" s="45" t="str">
        <f>_xlfn.XLOOKUP(A457,Output_Mac!A:A,Output_Mac!I:I,"")</f>
        <v/>
      </c>
      <c r="I457" s="45" t="str" cm="1">
        <f t="array" ref="I457">IFERROR(_xlfn.LET(
_xlpm.CSVVal,_xlfn.XLOOKUP($A457,CSV!$A:$A,CSV!H:H,""),
_xlpm.MacVal,_xlfn.XLOOKUP($A457,Output_Mac!$A:$A,Output_Mac!J:J,""),
_xlpm.MyAuditVal,_xlfn.XLOOKUP($A457,My_Audit!$A:$A,My_Audit!H:H,""),
_xlfn.IFS(_xlpm.MyAuditVal&lt;&gt;"",UPPER(_xlpm.MyAuditVal),_xlpm.MacVal&lt;&gt;"",_xlpm.MacVal,_xlpm.CSVVal&lt;&gt;"",_xlpm.CSVVal
)),"")</f>
        <v/>
      </c>
      <c r="J457" s="45" t="str" cm="1">
        <f t="array" ref="J457">IFERROR(_xlfn.LET(
_xlpm.CSVVal,_xlfn.XLOOKUP($A457,CSV!$A:$A,CSV!J:J,""),
_xlpm.MacVal,_xlfn.XLOOKUP($A457,Output_Mac!$A:$A,Output_Mac!K:K,""),
_xlpm.MyAuditVal,_xlfn.XLOOKUP($A457,My_Audit!$A:$A,My_Audit!I:I,""),
_xlfn.IFS(_xlpm.MyAuditVal&lt;&gt;"",UPPER(_xlpm.MyAuditVal),_xlpm.MacVal&lt;&gt;"",_xlpm.MacVal,_xlpm.CSVVal&lt;&gt;"",_xlpm.CSVVal
)),"")</f>
        <v/>
      </c>
      <c r="K457" s="45" t="str" cm="1">
        <f t="array" ref="K457">IFERROR(_xlfn.LET(
_xlpm.CSVVal,_xlfn.XLOOKUP($A457,CSV!$A:$A,CSV!N:N,""),
_xlpm.MacVal,_xlfn.XLOOKUP($A457,Output_Mac!$A:$A,Output_Mac!L:L,""),
_xlpm.MyAuditVal,_xlfn.XLOOKUP($A457,My_Audit!$A:$A,My_Audit!J:J,""),
_xlfn.IFS(_xlpm.MyAuditVal&lt;&gt;"",UPPER(_xlpm.MyAuditVal),_xlpm.MacVal&lt;&gt;"",_xlpm.MacVal,_xlpm.CSVVal&lt;&gt;"",_xlpm.CSVVal
)),"")</f>
        <v/>
      </c>
      <c r="L457" s="45" t="str" cm="1">
        <f t="array" ref="L457">IFERROR(_xlfn.LET(
_xlpm.CSVVal,_xlfn.XLOOKUP($A457,CSV!$A:$A,CSV!P:P,""),
_xlpm.MacVal,_xlfn.XLOOKUP($A457,Output_Mac!$A:$A,Output_Mac!M:M,""),
_xlpm.MyAuditVal,_xlfn.XLOOKUP($A457,My_Audit!$A:$A,My_Audit!K:K,""),
_xlfn.IFS(_xlpm.MyAuditVal&lt;&gt;"",UPPER(_xlpm.MyAuditVal),_xlpm.MacVal&lt;&gt;"",_xlpm.MacVal,_xlpm.CSVVal&lt;&gt;"",_xlpm.CSVVal
)),"")</f>
        <v/>
      </c>
      <c r="M457" s="45" t="str">
        <f>_xlfn.LET(
    _xlpm.CSVVal, _xlfn.XLOOKUP($A457, CSV!$A:$A, CSV!AE:AE, ""),
    _xlpm.MacVal, _xlfn.XLOOKUP($A457, Output_Mac!$A:$A, Output_Mac!S:S, ""),
    _xlpm.MyAuditVal, _xlfn.XLOOKUP($A457, My_Audit!$A:$A, My_Audit!N:N, ""),
    _xlfn.TEXTJOIN(", ", TRUE, _xlpm.MyAuditVal, _xlpm.MacVal, _xlpm.CSVVal)
)</f>
        <v/>
      </c>
      <c r="N457" s="45" t="str" cm="1">
        <f t="array" ref="N457">IFERROR(_xlfn.LET(
_xlpm.CSVVal,_xlfn.XLOOKUP($A457,CSV!$A:$A,CSV!AG:AG,""),
_xlpm.MacVal,_xlfn.XLOOKUP($A457,Output_Mac!$A:$A,Output_Mac!U:U,""),
_xlpm.MyAuditVal,_xlfn.XLOOKUP($A457,My_Audit!$A:$A,My_Audit!O:O,""),
_xlfn.IFS(_xlpm.MyAuditVal&lt;&gt;"",UPPER(_xlpm.MyAuditVal),_xlpm.MacVal&lt;&gt;"",_xlpm.MacVal,_xlpm.CSVVal&lt;&gt;"",_xlpm.CSVVal
)),"")</f>
        <v/>
      </c>
      <c r="O457" s="46" t="str">
        <f>_xlfn.XLOOKUP(C457,My_Audit!B:B,My_Audit!P:P,"")&amp;""</f>
        <v/>
      </c>
      <c r="P457" s="45"/>
      <c r="Q457" s="46" t="str">
        <f>IF(LEFT(N457,4)="Pass","Nist SP 800-88",My_Audit!R457)&amp;""</f>
        <v/>
      </c>
      <c r="R457" s="45"/>
      <c r="S457" s="45"/>
      <c r="T457" s="46" t="str">
        <f>_xlfn.XLOOKUP(E457,Models!I:I,Models!J:J,"")</f>
        <v/>
      </c>
      <c r="U457" s="45"/>
      <c r="V457" s="45"/>
      <c r="W457" s="38"/>
    </row>
    <row r="458" spans="1:23">
      <c r="A458" s="45" t="str">
        <f>_xlfn.TEXTJOIN("",TRUE,Input!$B$2,ROW(My_Audit!A457))</f>
        <v>XX457</v>
      </c>
      <c r="B458" s="45" t="str">
        <f>_xlfn.TEXTJOIN("-",TRUE,"ITD",Input!$A$2,A458)</f>
        <v>ITD-SHRXXX-XX457</v>
      </c>
      <c r="C458" s="45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46" t="str" cm="1">
        <f t="array" ref="D458">IFERROR(_xlfn.LET(
_xlpm.CSVVal,_xlfn.XLOOKUP($A458,CSV!$A:$A,CSV!C:C,""),
_xlpm.MacVal,_xlfn.XLOOKUP($A458,Output_Mac!$A:$A,Output_Mac!D:D,""),
_xlpm.MyAuditVal,_xlfn.XLOOKUP($A458,My_Audit!$A:$A,My_Audit!C:C,""),
_xlfn.IFS(_xlpm.MyAuditVal&lt;&gt;"",UPPER(_xlpm.MyAuditVal),_xlpm.MacVal&lt;&gt;"",_xlpm.MacVal,_xlpm.CSVVal&lt;&gt;"",_xlpm.CSVVal
)),"")</f>
        <v/>
      </c>
      <c r="E458" s="46" t="str" cm="1">
        <f t="array" ref="E458">IFERROR(_xlfn.LET(
_xlpm.CSVVal,_xlfn.XLOOKUP($A458,CSV!$A:$A,CSV!E:E,""),
_xlpm.MacVal,_xlfn.XLOOKUP($A458,Output_Mac!$A:$A,Output_Mac!C:C,""),
_xlpm.MyAuditVal,_xlfn.XLOOKUP($A458,My_Audit!$A:$A,My_Audit!D:D,""),
_xlfn.IFS(_xlpm.MyAuditVal&lt;&gt;"",_xlpm.MyAuditVal,_xlpm.MacVal&lt;&gt;"",_xlpm.MacVal,_xlpm.CSVVal&lt;&gt;"",_xlpm.CSVVal
)),"")</f>
        <v/>
      </c>
      <c r="F458" s="45" t="str" cm="1">
        <f t="array" ref="F458">IFERROR(_xlfn.LET(
_xlpm.CSVVal,_xlfn.XLOOKUP($A458,CSV!$A:$A,CSV!F:F,""),
_xlpm.MacVal,_xlfn.XLOOKUP($A458,Output_Mac!$A:$A,Output_Mac!F:F,""),
_xlpm.MyAuditVal,_xlfn.XLOOKUP($A458,My_Audit!$A:$A,My_Audit!E:E,""),
_xlfn.IFS(_xlpm.MyAuditVal&lt;&gt;"",_xlpm.MyAuditVal,_xlpm.MacVal&lt;&gt;"",_xlpm.MacVal,_xlpm.CSVVal&lt;&gt;"",PROPER(_xlpm.CSVVal)
)),"")</f>
        <v/>
      </c>
      <c r="G458" s="45" t="str" cm="1">
        <f t="array" ref="G458">IFERROR(_xlfn.LET(
_xlpm.CSVVal,_xlfn.XLOOKUP($A458,CSV!$A:$A,CSV!G:G,""),
_xlpm.MacVal,_xlfn.XLOOKUP($A458,Output_Mac!$A:$A,Output_Mac!H:H,""),
_xlpm.MyAuditVal,_xlfn.XLOOKUP($A458,My_Audit!$A:$A,My_Audit!F:F,""),
_xlfn.IFS(_xlpm.MyAuditVal&lt;&gt;"",_xlpm.MyAuditVal,_xlpm.MacVal&lt;&gt;"",_xlpm.MacVal,_xlpm.CSVVal&lt;&gt;"",_xlpm.CSVVal
)),"")</f>
        <v/>
      </c>
      <c r="H458" s="45" t="str">
        <f>_xlfn.XLOOKUP(A458,Output_Mac!A:A,Output_Mac!I:I,"")</f>
        <v/>
      </c>
      <c r="I458" s="45" t="str" cm="1">
        <f t="array" ref="I458">IFERROR(_xlfn.LET(
_xlpm.CSVVal,_xlfn.XLOOKUP($A458,CSV!$A:$A,CSV!H:H,""),
_xlpm.MacVal,_xlfn.XLOOKUP($A458,Output_Mac!$A:$A,Output_Mac!J:J,""),
_xlpm.MyAuditVal,_xlfn.XLOOKUP($A458,My_Audit!$A:$A,My_Audit!H:H,""),
_xlfn.IFS(_xlpm.MyAuditVal&lt;&gt;"",UPPER(_xlpm.MyAuditVal),_xlpm.MacVal&lt;&gt;"",_xlpm.MacVal,_xlpm.CSVVal&lt;&gt;"",_xlpm.CSVVal
)),"")</f>
        <v/>
      </c>
      <c r="J458" s="45" t="str" cm="1">
        <f t="array" ref="J458">IFERROR(_xlfn.LET(
_xlpm.CSVVal,_xlfn.XLOOKUP($A458,CSV!$A:$A,CSV!J:J,""),
_xlpm.MacVal,_xlfn.XLOOKUP($A458,Output_Mac!$A:$A,Output_Mac!K:K,""),
_xlpm.MyAuditVal,_xlfn.XLOOKUP($A458,My_Audit!$A:$A,My_Audit!I:I,""),
_xlfn.IFS(_xlpm.MyAuditVal&lt;&gt;"",UPPER(_xlpm.MyAuditVal),_xlpm.MacVal&lt;&gt;"",_xlpm.MacVal,_xlpm.CSVVal&lt;&gt;"",_xlpm.CSVVal
)),"")</f>
        <v/>
      </c>
      <c r="K458" s="45" t="str" cm="1">
        <f t="array" ref="K458">IFERROR(_xlfn.LET(
_xlpm.CSVVal,_xlfn.XLOOKUP($A458,CSV!$A:$A,CSV!N:N,""),
_xlpm.MacVal,_xlfn.XLOOKUP($A458,Output_Mac!$A:$A,Output_Mac!L:L,""),
_xlpm.MyAuditVal,_xlfn.XLOOKUP($A458,My_Audit!$A:$A,My_Audit!J:J,""),
_xlfn.IFS(_xlpm.MyAuditVal&lt;&gt;"",UPPER(_xlpm.MyAuditVal),_xlpm.MacVal&lt;&gt;"",_xlpm.MacVal,_xlpm.CSVVal&lt;&gt;"",_xlpm.CSVVal
)),"")</f>
        <v/>
      </c>
      <c r="L458" s="45" t="str" cm="1">
        <f t="array" ref="L458">IFERROR(_xlfn.LET(
_xlpm.CSVVal,_xlfn.XLOOKUP($A458,CSV!$A:$A,CSV!P:P,""),
_xlpm.MacVal,_xlfn.XLOOKUP($A458,Output_Mac!$A:$A,Output_Mac!M:M,""),
_xlpm.MyAuditVal,_xlfn.XLOOKUP($A458,My_Audit!$A:$A,My_Audit!K:K,""),
_xlfn.IFS(_xlpm.MyAuditVal&lt;&gt;"",UPPER(_xlpm.MyAuditVal),_xlpm.MacVal&lt;&gt;"",_xlpm.MacVal,_xlpm.CSVVal&lt;&gt;"",_xlpm.CSVVal
)),"")</f>
        <v/>
      </c>
      <c r="M458" s="45" t="str">
        <f>_xlfn.LET(
    _xlpm.CSVVal, _xlfn.XLOOKUP($A458, CSV!$A:$A, CSV!AE:AE, ""),
    _xlpm.MacVal, _xlfn.XLOOKUP($A458, Output_Mac!$A:$A, Output_Mac!S:S, ""),
    _xlpm.MyAuditVal, _xlfn.XLOOKUP($A458, My_Audit!$A:$A, My_Audit!N:N, ""),
    _xlfn.TEXTJOIN(", ", TRUE, _xlpm.MyAuditVal, _xlpm.MacVal, _xlpm.CSVVal)
)</f>
        <v/>
      </c>
      <c r="N458" s="45" t="str" cm="1">
        <f t="array" ref="N458">IFERROR(_xlfn.LET(
_xlpm.CSVVal,_xlfn.XLOOKUP($A458,CSV!$A:$A,CSV!AG:AG,""),
_xlpm.MacVal,_xlfn.XLOOKUP($A458,Output_Mac!$A:$A,Output_Mac!U:U,""),
_xlpm.MyAuditVal,_xlfn.XLOOKUP($A458,My_Audit!$A:$A,My_Audit!O:O,""),
_xlfn.IFS(_xlpm.MyAuditVal&lt;&gt;"",UPPER(_xlpm.MyAuditVal),_xlpm.MacVal&lt;&gt;"",_xlpm.MacVal,_xlpm.CSVVal&lt;&gt;"",_xlpm.CSVVal
)),"")</f>
        <v/>
      </c>
      <c r="O458" s="46" t="str">
        <f>_xlfn.XLOOKUP(C458,My_Audit!B:B,My_Audit!P:P,"")&amp;""</f>
        <v/>
      </c>
      <c r="P458" s="45"/>
      <c r="Q458" s="46" t="str">
        <f>IF(LEFT(N458,4)="Pass","Nist SP 800-88",My_Audit!R458)&amp;""</f>
        <v/>
      </c>
      <c r="R458" s="45"/>
      <c r="S458" s="45"/>
      <c r="T458" s="46" t="str">
        <f>_xlfn.XLOOKUP(E458,Models!I:I,Models!J:J,"")</f>
        <v/>
      </c>
      <c r="U458" s="45"/>
      <c r="V458" s="45"/>
      <c r="W458" s="38"/>
    </row>
    <row r="459" spans="1:23">
      <c r="A459" s="45" t="str">
        <f>_xlfn.TEXTJOIN("",TRUE,Input!$B$2,ROW(My_Audit!A458))</f>
        <v>XX458</v>
      </c>
      <c r="B459" s="45" t="str">
        <f>_xlfn.TEXTJOIN("-",TRUE,"ITD",Input!$A$2,A459)</f>
        <v>ITD-SHRXXX-XX458</v>
      </c>
      <c r="C459" s="45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46" t="str" cm="1">
        <f t="array" ref="D459">IFERROR(_xlfn.LET(
_xlpm.CSVVal,_xlfn.XLOOKUP($A459,CSV!$A:$A,CSV!C:C,""),
_xlpm.MacVal,_xlfn.XLOOKUP($A459,Output_Mac!$A:$A,Output_Mac!D:D,""),
_xlpm.MyAuditVal,_xlfn.XLOOKUP($A459,My_Audit!$A:$A,My_Audit!C:C,""),
_xlfn.IFS(_xlpm.MyAuditVal&lt;&gt;"",UPPER(_xlpm.MyAuditVal),_xlpm.MacVal&lt;&gt;"",_xlpm.MacVal,_xlpm.CSVVal&lt;&gt;"",_xlpm.CSVVal
)),"")</f>
        <v/>
      </c>
      <c r="E459" s="46" t="str" cm="1">
        <f t="array" ref="E459">IFERROR(_xlfn.LET(
_xlpm.CSVVal,_xlfn.XLOOKUP($A459,CSV!$A:$A,CSV!E:E,""),
_xlpm.MacVal,_xlfn.XLOOKUP($A459,Output_Mac!$A:$A,Output_Mac!C:C,""),
_xlpm.MyAuditVal,_xlfn.XLOOKUP($A459,My_Audit!$A:$A,My_Audit!D:D,""),
_xlfn.IFS(_xlpm.MyAuditVal&lt;&gt;"",_xlpm.MyAuditVal,_xlpm.MacVal&lt;&gt;"",_xlpm.MacVal,_xlpm.CSVVal&lt;&gt;"",_xlpm.CSVVal
)),"")</f>
        <v/>
      </c>
      <c r="F459" s="45" t="str" cm="1">
        <f t="array" ref="F459">IFERROR(_xlfn.LET(
_xlpm.CSVVal,_xlfn.XLOOKUP($A459,CSV!$A:$A,CSV!F:F,""),
_xlpm.MacVal,_xlfn.XLOOKUP($A459,Output_Mac!$A:$A,Output_Mac!F:F,""),
_xlpm.MyAuditVal,_xlfn.XLOOKUP($A459,My_Audit!$A:$A,My_Audit!E:E,""),
_xlfn.IFS(_xlpm.MyAuditVal&lt;&gt;"",_xlpm.MyAuditVal,_xlpm.MacVal&lt;&gt;"",_xlpm.MacVal,_xlpm.CSVVal&lt;&gt;"",PROPER(_xlpm.CSVVal)
)),"")</f>
        <v/>
      </c>
      <c r="G459" s="45" t="str" cm="1">
        <f t="array" ref="G459">IFERROR(_xlfn.LET(
_xlpm.CSVVal,_xlfn.XLOOKUP($A459,CSV!$A:$A,CSV!G:G,""),
_xlpm.MacVal,_xlfn.XLOOKUP($A459,Output_Mac!$A:$A,Output_Mac!H:H,""),
_xlpm.MyAuditVal,_xlfn.XLOOKUP($A459,My_Audit!$A:$A,My_Audit!F:F,""),
_xlfn.IFS(_xlpm.MyAuditVal&lt;&gt;"",_xlpm.MyAuditVal,_xlpm.MacVal&lt;&gt;"",_xlpm.MacVal,_xlpm.CSVVal&lt;&gt;"",_xlpm.CSVVal
)),"")</f>
        <v/>
      </c>
      <c r="H459" s="45" t="str">
        <f>_xlfn.XLOOKUP(A459,Output_Mac!A:A,Output_Mac!I:I,"")</f>
        <v/>
      </c>
      <c r="I459" s="45" t="str" cm="1">
        <f t="array" ref="I459">IFERROR(_xlfn.LET(
_xlpm.CSVVal,_xlfn.XLOOKUP($A459,CSV!$A:$A,CSV!H:H,""),
_xlpm.MacVal,_xlfn.XLOOKUP($A459,Output_Mac!$A:$A,Output_Mac!J:J,""),
_xlpm.MyAuditVal,_xlfn.XLOOKUP($A459,My_Audit!$A:$A,My_Audit!H:H,""),
_xlfn.IFS(_xlpm.MyAuditVal&lt;&gt;"",UPPER(_xlpm.MyAuditVal),_xlpm.MacVal&lt;&gt;"",_xlpm.MacVal,_xlpm.CSVVal&lt;&gt;"",_xlpm.CSVVal
)),"")</f>
        <v/>
      </c>
      <c r="J459" s="45" t="str" cm="1">
        <f t="array" ref="J459">IFERROR(_xlfn.LET(
_xlpm.CSVVal,_xlfn.XLOOKUP($A459,CSV!$A:$A,CSV!J:J,""),
_xlpm.MacVal,_xlfn.XLOOKUP($A459,Output_Mac!$A:$A,Output_Mac!K:K,""),
_xlpm.MyAuditVal,_xlfn.XLOOKUP($A459,My_Audit!$A:$A,My_Audit!I:I,""),
_xlfn.IFS(_xlpm.MyAuditVal&lt;&gt;"",UPPER(_xlpm.MyAuditVal),_xlpm.MacVal&lt;&gt;"",_xlpm.MacVal,_xlpm.CSVVal&lt;&gt;"",_xlpm.CSVVal
)),"")</f>
        <v/>
      </c>
      <c r="K459" s="45" t="str" cm="1">
        <f t="array" ref="K459">IFERROR(_xlfn.LET(
_xlpm.CSVVal,_xlfn.XLOOKUP($A459,CSV!$A:$A,CSV!N:N,""),
_xlpm.MacVal,_xlfn.XLOOKUP($A459,Output_Mac!$A:$A,Output_Mac!L:L,""),
_xlpm.MyAuditVal,_xlfn.XLOOKUP($A459,My_Audit!$A:$A,My_Audit!J:J,""),
_xlfn.IFS(_xlpm.MyAuditVal&lt;&gt;"",UPPER(_xlpm.MyAuditVal),_xlpm.MacVal&lt;&gt;"",_xlpm.MacVal,_xlpm.CSVVal&lt;&gt;"",_xlpm.CSVVal
)),"")</f>
        <v/>
      </c>
      <c r="L459" s="45" t="str" cm="1">
        <f t="array" ref="L459">IFERROR(_xlfn.LET(
_xlpm.CSVVal,_xlfn.XLOOKUP($A459,CSV!$A:$A,CSV!P:P,""),
_xlpm.MacVal,_xlfn.XLOOKUP($A459,Output_Mac!$A:$A,Output_Mac!M:M,""),
_xlpm.MyAuditVal,_xlfn.XLOOKUP($A459,My_Audit!$A:$A,My_Audit!K:K,""),
_xlfn.IFS(_xlpm.MyAuditVal&lt;&gt;"",UPPER(_xlpm.MyAuditVal),_xlpm.MacVal&lt;&gt;"",_xlpm.MacVal,_xlpm.CSVVal&lt;&gt;"",_xlpm.CSVVal
)),"")</f>
        <v/>
      </c>
      <c r="M459" s="45" t="str">
        <f>_xlfn.LET(
    _xlpm.CSVVal, _xlfn.XLOOKUP($A459, CSV!$A:$A, CSV!AE:AE, ""),
    _xlpm.MacVal, _xlfn.XLOOKUP($A459, Output_Mac!$A:$A, Output_Mac!S:S, ""),
    _xlpm.MyAuditVal, _xlfn.XLOOKUP($A459, My_Audit!$A:$A, My_Audit!N:N, ""),
    _xlfn.TEXTJOIN(", ", TRUE, _xlpm.MyAuditVal, _xlpm.MacVal, _xlpm.CSVVal)
)</f>
        <v/>
      </c>
      <c r="N459" s="45" t="str" cm="1">
        <f t="array" ref="N459">IFERROR(_xlfn.LET(
_xlpm.CSVVal,_xlfn.XLOOKUP($A459,CSV!$A:$A,CSV!AG:AG,""),
_xlpm.MacVal,_xlfn.XLOOKUP($A459,Output_Mac!$A:$A,Output_Mac!U:U,""),
_xlpm.MyAuditVal,_xlfn.XLOOKUP($A459,My_Audit!$A:$A,My_Audit!O:O,""),
_xlfn.IFS(_xlpm.MyAuditVal&lt;&gt;"",UPPER(_xlpm.MyAuditVal),_xlpm.MacVal&lt;&gt;"",_xlpm.MacVal,_xlpm.CSVVal&lt;&gt;"",_xlpm.CSVVal
)),"")</f>
        <v/>
      </c>
      <c r="O459" s="46" t="str">
        <f>_xlfn.XLOOKUP(C459,My_Audit!B:B,My_Audit!P:P,"")&amp;""</f>
        <v/>
      </c>
      <c r="P459" s="45"/>
      <c r="Q459" s="46" t="str">
        <f>IF(LEFT(N459,4)="Pass","Nist SP 800-88",My_Audit!R459)&amp;""</f>
        <v/>
      </c>
      <c r="R459" s="45"/>
      <c r="S459" s="45"/>
      <c r="T459" s="46" t="str">
        <f>_xlfn.XLOOKUP(E459,Models!I:I,Models!J:J,"")</f>
        <v/>
      </c>
      <c r="U459" s="45"/>
      <c r="V459" s="45"/>
      <c r="W459" s="38"/>
    </row>
    <row r="460" spans="1:23">
      <c r="A460" s="45" t="str">
        <f>_xlfn.TEXTJOIN("",TRUE,Input!$B$2,ROW(My_Audit!A459))</f>
        <v>XX459</v>
      </c>
      <c r="B460" s="45" t="str">
        <f>_xlfn.TEXTJOIN("-",TRUE,"ITD",Input!$A$2,A460)</f>
        <v>ITD-SHRXXX-XX459</v>
      </c>
      <c r="C460" s="45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46" t="str" cm="1">
        <f t="array" ref="D460">IFERROR(_xlfn.LET(
_xlpm.CSVVal,_xlfn.XLOOKUP($A460,CSV!$A:$A,CSV!C:C,""),
_xlpm.MacVal,_xlfn.XLOOKUP($A460,Output_Mac!$A:$A,Output_Mac!D:D,""),
_xlpm.MyAuditVal,_xlfn.XLOOKUP($A460,My_Audit!$A:$A,My_Audit!C:C,""),
_xlfn.IFS(_xlpm.MyAuditVal&lt;&gt;"",UPPER(_xlpm.MyAuditVal),_xlpm.MacVal&lt;&gt;"",_xlpm.MacVal,_xlpm.CSVVal&lt;&gt;"",_xlpm.CSVVal
)),"")</f>
        <v/>
      </c>
      <c r="E460" s="46" t="str" cm="1">
        <f t="array" ref="E460">IFERROR(_xlfn.LET(
_xlpm.CSVVal,_xlfn.XLOOKUP($A460,CSV!$A:$A,CSV!E:E,""),
_xlpm.MacVal,_xlfn.XLOOKUP($A460,Output_Mac!$A:$A,Output_Mac!C:C,""),
_xlpm.MyAuditVal,_xlfn.XLOOKUP($A460,My_Audit!$A:$A,My_Audit!D:D,""),
_xlfn.IFS(_xlpm.MyAuditVal&lt;&gt;"",_xlpm.MyAuditVal,_xlpm.MacVal&lt;&gt;"",_xlpm.MacVal,_xlpm.CSVVal&lt;&gt;"",_xlpm.CSVVal
)),"")</f>
        <v/>
      </c>
      <c r="F460" s="45" t="str" cm="1">
        <f t="array" ref="F460">IFERROR(_xlfn.LET(
_xlpm.CSVVal,_xlfn.XLOOKUP($A460,CSV!$A:$A,CSV!F:F,""),
_xlpm.MacVal,_xlfn.XLOOKUP($A460,Output_Mac!$A:$A,Output_Mac!F:F,""),
_xlpm.MyAuditVal,_xlfn.XLOOKUP($A460,My_Audit!$A:$A,My_Audit!E:E,""),
_xlfn.IFS(_xlpm.MyAuditVal&lt;&gt;"",_xlpm.MyAuditVal,_xlpm.MacVal&lt;&gt;"",_xlpm.MacVal,_xlpm.CSVVal&lt;&gt;"",PROPER(_xlpm.CSVVal)
)),"")</f>
        <v/>
      </c>
      <c r="G460" s="45" t="str" cm="1">
        <f t="array" ref="G460">IFERROR(_xlfn.LET(
_xlpm.CSVVal,_xlfn.XLOOKUP($A460,CSV!$A:$A,CSV!G:G,""),
_xlpm.MacVal,_xlfn.XLOOKUP($A460,Output_Mac!$A:$A,Output_Mac!H:H,""),
_xlpm.MyAuditVal,_xlfn.XLOOKUP($A460,My_Audit!$A:$A,My_Audit!F:F,""),
_xlfn.IFS(_xlpm.MyAuditVal&lt;&gt;"",_xlpm.MyAuditVal,_xlpm.MacVal&lt;&gt;"",_xlpm.MacVal,_xlpm.CSVVal&lt;&gt;"",_xlpm.CSVVal
)),"")</f>
        <v/>
      </c>
      <c r="H460" s="45" t="str">
        <f>_xlfn.XLOOKUP(A460,Output_Mac!A:A,Output_Mac!I:I,"")</f>
        <v/>
      </c>
      <c r="I460" s="45" t="str" cm="1">
        <f t="array" ref="I460">IFERROR(_xlfn.LET(
_xlpm.CSVVal,_xlfn.XLOOKUP($A460,CSV!$A:$A,CSV!H:H,""),
_xlpm.MacVal,_xlfn.XLOOKUP($A460,Output_Mac!$A:$A,Output_Mac!J:J,""),
_xlpm.MyAuditVal,_xlfn.XLOOKUP($A460,My_Audit!$A:$A,My_Audit!H:H,""),
_xlfn.IFS(_xlpm.MyAuditVal&lt;&gt;"",UPPER(_xlpm.MyAuditVal),_xlpm.MacVal&lt;&gt;"",_xlpm.MacVal,_xlpm.CSVVal&lt;&gt;"",_xlpm.CSVVal
)),"")</f>
        <v/>
      </c>
      <c r="J460" s="45" t="str" cm="1">
        <f t="array" ref="J460">IFERROR(_xlfn.LET(
_xlpm.CSVVal,_xlfn.XLOOKUP($A460,CSV!$A:$A,CSV!J:J,""),
_xlpm.MacVal,_xlfn.XLOOKUP($A460,Output_Mac!$A:$A,Output_Mac!K:K,""),
_xlpm.MyAuditVal,_xlfn.XLOOKUP($A460,My_Audit!$A:$A,My_Audit!I:I,""),
_xlfn.IFS(_xlpm.MyAuditVal&lt;&gt;"",UPPER(_xlpm.MyAuditVal),_xlpm.MacVal&lt;&gt;"",_xlpm.MacVal,_xlpm.CSVVal&lt;&gt;"",_xlpm.CSVVal
)),"")</f>
        <v/>
      </c>
      <c r="K460" s="45" t="str" cm="1">
        <f t="array" ref="K460">IFERROR(_xlfn.LET(
_xlpm.CSVVal,_xlfn.XLOOKUP($A460,CSV!$A:$A,CSV!N:N,""),
_xlpm.MacVal,_xlfn.XLOOKUP($A460,Output_Mac!$A:$A,Output_Mac!L:L,""),
_xlpm.MyAuditVal,_xlfn.XLOOKUP($A460,My_Audit!$A:$A,My_Audit!J:J,""),
_xlfn.IFS(_xlpm.MyAuditVal&lt;&gt;"",UPPER(_xlpm.MyAuditVal),_xlpm.MacVal&lt;&gt;"",_xlpm.MacVal,_xlpm.CSVVal&lt;&gt;"",_xlpm.CSVVal
)),"")</f>
        <v/>
      </c>
      <c r="L460" s="45" t="str" cm="1">
        <f t="array" ref="L460">IFERROR(_xlfn.LET(
_xlpm.CSVVal,_xlfn.XLOOKUP($A460,CSV!$A:$A,CSV!P:P,""),
_xlpm.MacVal,_xlfn.XLOOKUP($A460,Output_Mac!$A:$A,Output_Mac!M:M,""),
_xlpm.MyAuditVal,_xlfn.XLOOKUP($A460,My_Audit!$A:$A,My_Audit!K:K,""),
_xlfn.IFS(_xlpm.MyAuditVal&lt;&gt;"",UPPER(_xlpm.MyAuditVal),_xlpm.MacVal&lt;&gt;"",_xlpm.MacVal,_xlpm.CSVVal&lt;&gt;"",_xlpm.CSVVal
)),"")</f>
        <v/>
      </c>
      <c r="M460" s="45" t="str">
        <f>_xlfn.LET(
    _xlpm.CSVVal, _xlfn.XLOOKUP($A460, CSV!$A:$A, CSV!AE:AE, ""),
    _xlpm.MacVal, _xlfn.XLOOKUP($A460, Output_Mac!$A:$A, Output_Mac!S:S, ""),
    _xlpm.MyAuditVal, _xlfn.XLOOKUP($A460, My_Audit!$A:$A, My_Audit!N:N, ""),
    _xlfn.TEXTJOIN(", ", TRUE, _xlpm.MyAuditVal, _xlpm.MacVal, _xlpm.CSVVal)
)</f>
        <v/>
      </c>
      <c r="N460" s="45" t="str" cm="1">
        <f t="array" ref="N460">IFERROR(_xlfn.LET(
_xlpm.CSVVal,_xlfn.XLOOKUP($A460,CSV!$A:$A,CSV!AG:AG,""),
_xlpm.MacVal,_xlfn.XLOOKUP($A460,Output_Mac!$A:$A,Output_Mac!U:U,""),
_xlpm.MyAuditVal,_xlfn.XLOOKUP($A460,My_Audit!$A:$A,My_Audit!O:O,""),
_xlfn.IFS(_xlpm.MyAuditVal&lt;&gt;"",UPPER(_xlpm.MyAuditVal),_xlpm.MacVal&lt;&gt;"",_xlpm.MacVal,_xlpm.CSVVal&lt;&gt;"",_xlpm.CSVVal
)),"")</f>
        <v/>
      </c>
      <c r="O460" s="46" t="str">
        <f>_xlfn.XLOOKUP(C460,My_Audit!B:B,My_Audit!P:P,"")&amp;""</f>
        <v/>
      </c>
      <c r="P460" s="45"/>
      <c r="Q460" s="46" t="str">
        <f>IF(LEFT(N460,4)="Pass","Nist SP 800-88",My_Audit!R460)&amp;""</f>
        <v/>
      </c>
      <c r="R460" s="45"/>
      <c r="S460" s="45"/>
      <c r="T460" s="46" t="str">
        <f>_xlfn.XLOOKUP(E460,Models!I:I,Models!J:J,"")</f>
        <v/>
      </c>
      <c r="U460" s="45"/>
      <c r="V460" s="45"/>
      <c r="W460" s="38"/>
    </row>
    <row r="461" spans="1:23">
      <c r="A461" s="45" t="str">
        <f>_xlfn.TEXTJOIN("",TRUE,Input!$B$2,ROW(My_Audit!A460))</f>
        <v>XX460</v>
      </c>
      <c r="B461" s="45" t="str">
        <f>_xlfn.TEXTJOIN("-",TRUE,"ITD",Input!$A$2,A461)</f>
        <v>ITD-SHRXXX-XX460</v>
      </c>
      <c r="C461" s="45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46" t="str" cm="1">
        <f t="array" ref="D461">IFERROR(_xlfn.LET(
_xlpm.CSVVal,_xlfn.XLOOKUP($A461,CSV!$A:$A,CSV!C:C,""),
_xlpm.MacVal,_xlfn.XLOOKUP($A461,Output_Mac!$A:$A,Output_Mac!D:D,""),
_xlpm.MyAuditVal,_xlfn.XLOOKUP($A461,My_Audit!$A:$A,My_Audit!C:C,""),
_xlfn.IFS(_xlpm.MyAuditVal&lt;&gt;"",UPPER(_xlpm.MyAuditVal),_xlpm.MacVal&lt;&gt;"",_xlpm.MacVal,_xlpm.CSVVal&lt;&gt;"",_xlpm.CSVVal
)),"")</f>
        <v/>
      </c>
      <c r="E461" s="46" t="str" cm="1">
        <f t="array" ref="E461">IFERROR(_xlfn.LET(
_xlpm.CSVVal,_xlfn.XLOOKUP($A461,CSV!$A:$A,CSV!E:E,""),
_xlpm.MacVal,_xlfn.XLOOKUP($A461,Output_Mac!$A:$A,Output_Mac!C:C,""),
_xlpm.MyAuditVal,_xlfn.XLOOKUP($A461,My_Audit!$A:$A,My_Audit!D:D,""),
_xlfn.IFS(_xlpm.MyAuditVal&lt;&gt;"",_xlpm.MyAuditVal,_xlpm.MacVal&lt;&gt;"",_xlpm.MacVal,_xlpm.CSVVal&lt;&gt;"",_xlpm.CSVVal
)),"")</f>
        <v/>
      </c>
      <c r="F461" s="45" t="str" cm="1">
        <f t="array" ref="F461">IFERROR(_xlfn.LET(
_xlpm.CSVVal,_xlfn.XLOOKUP($A461,CSV!$A:$A,CSV!F:F,""),
_xlpm.MacVal,_xlfn.XLOOKUP($A461,Output_Mac!$A:$A,Output_Mac!F:F,""),
_xlpm.MyAuditVal,_xlfn.XLOOKUP($A461,My_Audit!$A:$A,My_Audit!E:E,""),
_xlfn.IFS(_xlpm.MyAuditVal&lt;&gt;"",_xlpm.MyAuditVal,_xlpm.MacVal&lt;&gt;"",_xlpm.MacVal,_xlpm.CSVVal&lt;&gt;"",PROPER(_xlpm.CSVVal)
)),"")</f>
        <v/>
      </c>
      <c r="G461" s="45" t="str" cm="1">
        <f t="array" ref="G461">IFERROR(_xlfn.LET(
_xlpm.CSVVal,_xlfn.XLOOKUP($A461,CSV!$A:$A,CSV!G:G,""),
_xlpm.MacVal,_xlfn.XLOOKUP($A461,Output_Mac!$A:$A,Output_Mac!H:H,""),
_xlpm.MyAuditVal,_xlfn.XLOOKUP($A461,My_Audit!$A:$A,My_Audit!F:F,""),
_xlfn.IFS(_xlpm.MyAuditVal&lt;&gt;"",_xlpm.MyAuditVal,_xlpm.MacVal&lt;&gt;"",_xlpm.MacVal,_xlpm.CSVVal&lt;&gt;"",_xlpm.CSVVal
)),"")</f>
        <v/>
      </c>
      <c r="H461" s="45" t="str">
        <f>_xlfn.XLOOKUP(A461,Output_Mac!A:A,Output_Mac!I:I,"")</f>
        <v/>
      </c>
      <c r="I461" s="45" t="str" cm="1">
        <f t="array" ref="I461">IFERROR(_xlfn.LET(
_xlpm.CSVVal,_xlfn.XLOOKUP($A461,CSV!$A:$A,CSV!H:H,""),
_xlpm.MacVal,_xlfn.XLOOKUP($A461,Output_Mac!$A:$A,Output_Mac!J:J,""),
_xlpm.MyAuditVal,_xlfn.XLOOKUP($A461,My_Audit!$A:$A,My_Audit!H:H,""),
_xlfn.IFS(_xlpm.MyAuditVal&lt;&gt;"",UPPER(_xlpm.MyAuditVal),_xlpm.MacVal&lt;&gt;"",_xlpm.MacVal,_xlpm.CSVVal&lt;&gt;"",_xlpm.CSVVal
)),"")</f>
        <v/>
      </c>
      <c r="J461" s="45" t="str" cm="1">
        <f t="array" ref="J461">IFERROR(_xlfn.LET(
_xlpm.CSVVal,_xlfn.XLOOKUP($A461,CSV!$A:$A,CSV!J:J,""),
_xlpm.MacVal,_xlfn.XLOOKUP($A461,Output_Mac!$A:$A,Output_Mac!K:K,""),
_xlpm.MyAuditVal,_xlfn.XLOOKUP($A461,My_Audit!$A:$A,My_Audit!I:I,""),
_xlfn.IFS(_xlpm.MyAuditVal&lt;&gt;"",UPPER(_xlpm.MyAuditVal),_xlpm.MacVal&lt;&gt;"",_xlpm.MacVal,_xlpm.CSVVal&lt;&gt;"",_xlpm.CSVVal
)),"")</f>
        <v/>
      </c>
      <c r="K461" s="45" t="str" cm="1">
        <f t="array" ref="K461">IFERROR(_xlfn.LET(
_xlpm.CSVVal,_xlfn.XLOOKUP($A461,CSV!$A:$A,CSV!N:N,""),
_xlpm.MacVal,_xlfn.XLOOKUP($A461,Output_Mac!$A:$A,Output_Mac!L:L,""),
_xlpm.MyAuditVal,_xlfn.XLOOKUP($A461,My_Audit!$A:$A,My_Audit!J:J,""),
_xlfn.IFS(_xlpm.MyAuditVal&lt;&gt;"",UPPER(_xlpm.MyAuditVal),_xlpm.MacVal&lt;&gt;"",_xlpm.MacVal,_xlpm.CSVVal&lt;&gt;"",_xlpm.CSVVal
)),"")</f>
        <v/>
      </c>
      <c r="L461" s="45" t="str" cm="1">
        <f t="array" ref="L461">IFERROR(_xlfn.LET(
_xlpm.CSVVal,_xlfn.XLOOKUP($A461,CSV!$A:$A,CSV!P:P,""),
_xlpm.MacVal,_xlfn.XLOOKUP($A461,Output_Mac!$A:$A,Output_Mac!M:M,""),
_xlpm.MyAuditVal,_xlfn.XLOOKUP($A461,My_Audit!$A:$A,My_Audit!K:K,""),
_xlfn.IFS(_xlpm.MyAuditVal&lt;&gt;"",UPPER(_xlpm.MyAuditVal),_xlpm.MacVal&lt;&gt;"",_xlpm.MacVal,_xlpm.CSVVal&lt;&gt;"",_xlpm.CSVVal
)),"")</f>
        <v/>
      </c>
      <c r="M461" s="45" t="str">
        <f>_xlfn.LET(
    _xlpm.CSVVal, _xlfn.XLOOKUP($A461, CSV!$A:$A, CSV!AE:AE, ""),
    _xlpm.MacVal, _xlfn.XLOOKUP($A461, Output_Mac!$A:$A, Output_Mac!S:S, ""),
    _xlpm.MyAuditVal, _xlfn.XLOOKUP($A461, My_Audit!$A:$A, My_Audit!N:N, ""),
    _xlfn.TEXTJOIN(", ", TRUE, _xlpm.MyAuditVal, _xlpm.MacVal, _xlpm.CSVVal)
)</f>
        <v/>
      </c>
      <c r="N461" s="45" t="str" cm="1">
        <f t="array" ref="N461">IFERROR(_xlfn.LET(
_xlpm.CSVVal,_xlfn.XLOOKUP($A461,CSV!$A:$A,CSV!AG:AG,""),
_xlpm.MacVal,_xlfn.XLOOKUP($A461,Output_Mac!$A:$A,Output_Mac!U:U,""),
_xlpm.MyAuditVal,_xlfn.XLOOKUP($A461,My_Audit!$A:$A,My_Audit!O:O,""),
_xlfn.IFS(_xlpm.MyAuditVal&lt;&gt;"",UPPER(_xlpm.MyAuditVal),_xlpm.MacVal&lt;&gt;"",_xlpm.MacVal,_xlpm.CSVVal&lt;&gt;"",_xlpm.CSVVal
)),"")</f>
        <v/>
      </c>
      <c r="O461" s="46" t="str">
        <f>_xlfn.XLOOKUP(C461,My_Audit!B:B,My_Audit!P:P,"")&amp;""</f>
        <v/>
      </c>
      <c r="P461" s="45"/>
      <c r="Q461" s="46" t="str">
        <f>IF(LEFT(N461,4)="Pass","Nist SP 800-88",My_Audit!R461)&amp;""</f>
        <v/>
      </c>
      <c r="R461" s="45"/>
      <c r="S461" s="45"/>
      <c r="T461" s="46" t="str">
        <f>_xlfn.XLOOKUP(E461,Models!I:I,Models!J:J,"")</f>
        <v/>
      </c>
      <c r="U461" s="45"/>
      <c r="V461" s="45"/>
      <c r="W461" s="38"/>
    </row>
    <row r="462" spans="1:23">
      <c r="A462" s="45" t="str">
        <f>_xlfn.TEXTJOIN("",TRUE,Input!$B$2,ROW(My_Audit!A461))</f>
        <v>XX461</v>
      </c>
      <c r="B462" s="45" t="str">
        <f>_xlfn.TEXTJOIN("-",TRUE,"ITD",Input!$A$2,A462)</f>
        <v>ITD-SHRXXX-XX461</v>
      </c>
      <c r="C462" s="45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46" t="str" cm="1">
        <f t="array" ref="D462">IFERROR(_xlfn.LET(
_xlpm.CSVVal,_xlfn.XLOOKUP($A462,CSV!$A:$A,CSV!C:C,""),
_xlpm.MacVal,_xlfn.XLOOKUP($A462,Output_Mac!$A:$A,Output_Mac!D:D,""),
_xlpm.MyAuditVal,_xlfn.XLOOKUP($A462,My_Audit!$A:$A,My_Audit!C:C,""),
_xlfn.IFS(_xlpm.MyAuditVal&lt;&gt;"",UPPER(_xlpm.MyAuditVal),_xlpm.MacVal&lt;&gt;"",_xlpm.MacVal,_xlpm.CSVVal&lt;&gt;"",_xlpm.CSVVal
)),"")</f>
        <v/>
      </c>
      <c r="E462" s="46" t="str" cm="1">
        <f t="array" ref="E462">IFERROR(_xlfn.LET(
_xlpm.CSVVal,_xlfn.XLOOKUP($A462,CSV!$A:$A,CSV!E:E,""),
_xlpm.MacVal,_xlfn.XLOOKUP($A462,Output_Mac!$A:$A,Output_Mac!C:C,""),
_xlpm.MyAuditVal,_xlfn.XLOOKUP($A462,My_Audit!$A:$A,My_Audit!D:D,""),
_xlfn.IFS(_xlpm.MyAuditVal&lt;&gt;"",_xlpm.MyAuditVal,_xlpm.MacVal&lt;&gt;"",_xlpm.MacVal,_xlpm.CSVVal&lt;&gt;"",_xlpm.CSVVal
)),"")</f>
        <v/>
      </c>
      <c r="F462" s="45" t="str" cm="1">
        <f t="array" ref="F462">IFERROR(_xlfn.LET(
_xlpm.CSVVal,_xlfn.XLOOKUP($A462,CSV!$A:$A,CSV!F:F,""),
_xlpm.MacVal,_xlfn.XLOOKUP($A462,Output_Mac!$A:$A,Output_Mac!F:F,""),
_xlpm.MyAuditVal,_xlfn.XLOOKUP($A462,My_Audit!$A:$A,My_Audit!E:E,""),
_xlfn.IFS(_xlpm.MyAuditVal&lt;&gt;"",_xlpm.MyAuditVal,_xlpm.MacVal&lt;&gt;"",_xlpm.MacVal,_xlpm.CSVVal&lt;&gt;"",PROPER(_xlpm.CSVVal)
)),"")</f>
        <v/>
      </c>
      <c r="G462" s="45" t="str" cm="1">
        <f t="array" ref="G462">IFERROR(_xlfn.LET(
_xlpm.CSVVal,_xlfn.XLOOKUP($A462,CSV!$A:$A,CSV!G:G,""),
_xlpm.MacVal,_xlfn.XLOOKUP($A462,Output_Mac!$A:$A,Output_Mac!H:H,""),
_xlpm.MyAuditVal,_xlfn.XLOOKUP($A462,My_Audit!$A:$A,My_Audit!F:F,""),
_xlfn.IFS(_xlpm.MyAuditVal&lt;&gt;"",_xlpm.MyAuditVal,_xlpm.MacVal&lt;&gt;"",_xlpm.MacVal,_xlpm.CSVVal&lt;&gt;"",_xlpm.CSVVal
)),"")</f>
        <v/>
      </c>
      <c r="H462" s="45" t="str">
        <f>_xlfn.XLOOKUP(A462,Output_Mac!A:A,Output_Mac!I:I,"")</f>
        <v/>
      </c>
      <c r="I462" s="45" t="str" cm="1">
        <f t="array" ref="I462">IFERROR(_xlfn.LET(
_xlpm.CSVVal,_xlfn.XLOOKUP($A462,CSV!$A:$A,CSV!H:H,""),
_xlpm.MacVal,_xlfn.XLOOKUP($A462,Output_Mac!$A:$A,Output_Mac!J:J,""),
_xlpm.MyAuditVal,_xlfn.XLOOKUP($A462,My_Audit!$A:$A,My_Audit!H:H,""),
_xlfn.IFS(_xlpm.MyAuditVal&lt;&gt;"",UPPER(_xlpm.MyAuditVal),_xlpm.MacVal&lt;&gt;"",_xlpm.MacVal,_xlpm.CSVVal&lt;&gt;"",_xlpm.CSVVal
)),"")</f>
        <v/>
      </c>
      <c r="J462" s="45" t="str" cm="1">
        <f t="array" ref="J462">IFERROR(_xlfn.LET(
_xlpm.CSVVal,_xlfn.XLOOKUP($A462,CSV!$A:$A,CSV!J:J,""),
_xlpm.MacVal,_xlfn.XLOOKUP($A462,Output_Mac!$A:$A,Output_Mac!K:K,""),
_xlpm.MyAuditVal,_xlfn.XLOOKUP($A462,My_Audit!$A:$A,My_Audit!I:I,""),
_xlfn.IFS(_xlpm.MyAuditVal&lt;&gt;"",UPPER(_xlpm.MyAuditVal),_xlpm.MacVal&lt;&gt;"",_xlpm.MacVal,_xlpm.CSVVal&lt;&gt;"",_xlpm.CSVVal
)),"")</f>
        <v/>
      </c>
      <c r="K462" s="45" t="str" cm="1">
        <f t="array" ref="K462">IFERROR(_xlfn.LET(
_xlpm.CSVVal,_xlfn.XLOOKUP($A462,CSV!$A:$A,CSV!N:N,""),
_xlpm.MacVal,_xlfn.XLOOKUP($A462,Output_Mac!$A:$A,Output_Mac!L:L,""),
_xlpm.MyAuditVal,_xlfn.XLOOKUP($A462,My_Audit!$A:$A,My_Audit!J:J,""),
_xlfn.IFS(_xlpm.MyAuditVal&lt;&gt;"",UPPER(_xlpm.MyAuditVal),_xlpm.MacVal&lt;&gt;"",_xlpm.MacVal,_xlpm.CSVVal&lt;&gt;"",_xlpm.CSVVal
)),"")</f>
        <v/>
      </c>
      <c r="L462" s="45" t="str" cm="1">
        <f t="array" ref="L462">IFERROR(_xlfn.LET(
_xlpm.CSVVal,_xlfn.XLOOKUP($A462,CSV!$A:$A,CSV!P:P,""),
_xlpm.MacVal,_xlfn.XLOOKUP($A462,Output_Mac!$A:$A,Output_Mac!M:M,""),
_xlpm.MyAuditVal,_xlfn.XLOOKUP($A462,My_Audit!$A:$A,My_Audit!K:K,""),
_xlfn.IFS(_xlpm.MyAuditVal&lt;&gt;"",UPPER(_xlpm.MyAuditVal),_xlpm.MacVal&lt;&gt;"",_xlpm.MacVal,_xlpm.CSVVal&lt;&gt;"",_xlpm.CSVVal
)),"")</f>
        <v/>
      </c>
      <c r="M462" s="45" t="str">
        <f>_xlfn.LET(
    _xlpm.CSVVal, _xlfn.XLOOKUP($A462, CSV!$A:$A, CSV!AE:AE, ""),
    _xlpm.MacVal, _xlfn.XLOOKUP($A462, Output_Mac!$A:$A, Output_Mac!S:S, ""),
    _xlpm.MyAuditVal, _xlfn.XLOOKUP($A462, My_Audit!$A:$A, My_Audit!N:N, ""),
    _xlfn.TEXTJOIN(", ", TRUE, _xlpm.MyAuditVal, _xlpm.MacVal, _xlpm.CSVVal)
)</f>
        <v/>
      </c>
      <c r="N462" s="45" t="str" cm="1">
        <f t="array" ref="N462">IFERROR(_xlfn.LET(
_xlpm.CSVVal,_xlfn.XLOOKUP($A462,CSV!$A:$A,CSV!AG:AG,""),
_xlpm.MacVal,_xlfn.XLOOKUP($A462,Output_Mac!$A:$A,Output_Mac!U:U,""),
_xlpm.MyAuditVal,_xlfn.XLOOKUP($A462,My_Audit!$A:$A,My_Audit!O:O,""),
_xlfn.IFS(_xlpm.MyAuditVal&lt;&gt;"",UPPER(_xlpm.MyAuditVal),_xlpm.MacVal&lt;&gt;"",_xlpm.MacVal,_xlpm.CSVVal&lt;&gt;"",_xlpm.CSVVal
)),"")</f>
        <v/>
      </c>
      <c r="O462" s="45"/>
      <c r="P462" s="45"/>
      <c r="Q462" s="46" t="str">
        <f>IF(LEFT(N462,4)="Pass","Nist SP 800-88",My_Audit!R462)&amp;""</f>
        <v/>
      </c>
      <c r="R462" s="45"/>
      <c r="S462" s="45"/>
      <c r="T462" s="46" t="str">
        <f>_xlfn.XLOOKUP(E462,Models!I:I,Models!J:J,"")</f>
        <v/>
      </c>
      <c r="U462" s="45"/>
      <c r="V462" s="45"/>
      <c r="W462" s="38"/>
    </row>
    <row r="463" spans="1:23">
      <c r="A463" s="45" t="str">
        <f>_xlfn.TEXTJOIN("",TRUE,Input!$B$2,ROW(My_Audit!A462))</f>
        <v>XX462</v>
      </c>
      <c r="B463" s="45" t="str">
        <f>_xlfn.TEXTJOIN("-",TRUE,"ITD",Input!$A$2,A463)</f>
        <v>ITD-SHRXXX-XX462</v>
      </c>
      <c r="C463" s="45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46" t="str" cm="1">
        <f t="array" ref="D463">IFERROR(_xlfn.LET(
_xlpm.CSVVal,_xlfn.XLOOKUP($A463,CSV!$A:$A,CSV!C:C,""),
_xlpm.MacVal,_xlfn.XLOOKUP($A463,Output_Mac!$A:$A,Output_Mac!D:D,""),
_xlpm.MyAuditVal,_xlfn.XLOOKUP($A463,My_Audit!$A:$A,My_Audit!C:C,""),
_xlfn.IFS(_xlpm.MyAuditVal&lt;&gt;"",UPPER(_xlpm.MyAuditVal),_xlpm.MacVal&lt;&gt;"",_xlpm.MacVal,_xlpm.CSVVal&lt;&gt;"",_xlpm.CSVVal
)),"")</f>
        <v/>
      </c>
      <c r="E463" s="46" t="str" cm="1">
        <f t="array" ref="E463">IFERROR(_xlfn.LET(
_xlpm.CSVVal,_xlfn.XLOOKUP($A463,CSV!$A:$A,CSV!E:E,""),
_xlpm.MacVal,_xlfn.XLOOKUP($A463,Output_Mac!$A:$A,Output_Mac!C:C,""),
_xlpm.MyAuditVal,_xlfn.XLOOKUP($A463,My_Audit!$A:$A,My_Audit!D:D,""),
_xlfn.IFS(_xlpm.MyAuditVal&lt;&gt;"",_xlpm.MyAuditVal,_xlpm.MacVal&lt;&gt;"",_xlpm.MacVal,_xlpm.CSVVal&lt;&gt;"",_xlpm.CSVVal
)),"")</f>
        <v/>
      </c>
      <c r="F463" s="45" t="str" cm="1">
        <f t="array" ref="F463">IFERROR(_xlfn.LET(
_xlpm.CSVVal,_xlfn.XLOOKUP($A463,CSV!$A:$A,CSV!F:F,""),
_xlpm.MacVal,_xlfn.XLOOKUP($A463,Output_Mac!$A:$A,Output_Mac!F:F,""),
_xlpm.MyAuditVal,_xlfn.XLOOKUP($A463,My_Audit!$A:$A,My_Audit!E:E,""),
_xlfn.IFS(_xlpm.MyAuditVal&lt;&gt;"",_xlpm.MyAuditVal,_xlpm.MacVal&lt;&gt;"",_xlpm.MacVal,_xlpm.CSVVal&lt;&gt;"",PROPER(_xlpm.CSVVal)
)),"")</f>
        <v/>
      </c>
      <c r="G463" s="45" t="str" cm="1">
        <f t="array" ref="G463">IFERROR(_xlfn.LET(
_xlpm.CSVVal,_xlfn.XLOOKUP($A463,CSV!$A:$A,CSV!G:G,""),
_xlpm.MacVal,_xlfn.XLOOKUP($A463,Output_Mac!$A:$A,Output_Mac!H:H,""),
_xlpm.MyAuditVal,_xlfn.XLOOKUP($A463,My_Audit!$A:$A,My_Audit!F:F,""),
_xlfn.IFS(_xlpm.MyAuditVal&lt;&gt;"",_xlpm.MyAuditVal,_xlpm.MacVal&lt;&gt;"",_xlpm.MacVal,_xlpm.CSVVal&lt;&gt;"",_xlpm.CSVVal
)),"")</f>
        <v/>
      </c>
      <c r="H463" s="45" t="str">
        <f>_xlfn.XLOOKUP(A463,Output_Mac!A:A,Output_Mac!I:I,"")</f>
        <v/>
      </c>
      <c r="I463" s="45" t="str" cm="1">
        <f t="array" ref="I463">IFERROR(_xlfn.LET(
_xlpm.CSVVal,_xlfn.XLOOKUP($A463,CSV!$A:$A,CSV!H:H,""),
_xlpm.MacVal,_xlfn.XLOOKUP($A463,Output_Mac!$A:$A,Output_Mac!J:J,""),
_xlpm.MyAuditVal,_xlfn.XLOOKUP($A463,My_Audit!$A:$A,My_Audit!H:H,""),
_xlfn.IFS(_xlpm.MyAuditVal&lt;&gt;"",UPPER(_xlpm.MyAuditVal),_xlpm.MacVal&lt;&gt;"",_xlpm.MacVal,_xlpm.CSVVal&lt;&gt;"",_xlpm.CSVVal
)),"")</f>
        <v/>
      </c>
      <c r="J463" s="45" t="str" cm="1">
        <f t="array" ref="J463">IFERROR(_xlfn.LET(
_xlpm.CSVVal,_xlfn.XLOOKUP($A463,CSV!$A:$A,CSV!J:J,""),
_xlpm.MacVal,_xlfn.XLOOKUP($A463,Output_Mac!$A:$A,Output_Mac!K:K,""),
_xlpm.MyAuditVal,_xlfn.XLOOKUP($A463,My_Audit!$A:$A,My_Audit!I:I,""),
_xlfn.IFS(_xlpm.MyAuditVal&lt;&gt;"",UPPER(_xlpm.MyAuditVal),_xlpm.MacVal&lt;&gt;"",_xlpm.MacVal,_xlpm.CSVVal&lt;&gt;"",_xlpm.CSVVal
)),"")</f>
        <v/>
      </c>
      <c r="K463" s="45" t="str" cm="1">
        <f t="array" ref="K463">IFERROR(_xlfn.LET(
_xlpm.CSVVal,_xlfn.XLOOKUP($A463,CSV!$A:$A,CSV!N:N,""),
_xlpm.MacVal,_xlfn.XLOOKUP($A463,Output_Mac!$A:$A,Output_Mac!L:L,""),
_xlpm.MyAuditVal,_xlfn.XLOOKUP($A463,My_Audit!$A:$A,My_Audit!J:J,""),
_xlfn.IFS(_xlpm.MyAuditVal&lt;&gt;"",UPPER(_xlpm.MyAuditVal),_xlpm.MacVal&lt;&gt;"",_xlpm.MacVal,_xlpm.CSVVal&lt;&gt;"",_xlpm.CSVVal
)),"")</f>
        <v/>
      </c>
      <c r="L463" s="45" t="str" cm="1">
        <f t="array" ref="L463">IFERROR(_xlfn.LET(
_xlpm.CSVVal,_xlfn.XLOOKUP($A463,CSV!$A:$A,CSV!P:P,""),
_xlpm.MacVal,_xlfn.XLOOKUP($A463,Output_Mac!$A:$A,Output_Mac!M:M,""),
_xlpm.MyAuditVal,_xlfn.XLOOKUP($A463,My_Audit!$A:$A,My_Audit!K:K,""),
_xlfn.IFS(_xlpm.MyAuditVal&lt;&gt;"",UPPER(_xlpm.MyAuditVal),_xlpm.MacVal&lt;&gt;"",_xlpm.MacVal,_xlpm.CSVVal&lt;&gt;"",_xlpm.CSVVal
)),"")</f>
        <v/>
      </c>
      <c r="M463" s="45" t="str">
        <f>_xlfn.LET(
    _xlpm.CSVVal, _xlfn.XLOOKUP($A463, CSV!$A:$A, CSV!AE:AE, ""),
    _xlpm.MacVal, _xlfn.XLOOKUP($A463, Output_Mac!$A:$A, Output_Mac!S:S, ""),
    _xlpm.MyAuditVal, _xlfn.XLOOKUP($A463, My_Audit!$A:$A, My_Audit!N:N, ""),
    _xlfn.TEXTJOIN(", ", TRUE, _xlpm.MyAuditVal, _xlpm.MacVal, _xlpm.CSVVal)
)</f>
        <v/>
      </c>
      <c r="N463" s="45" t="str" cm="1">
        <f t="array" ref="N463">IFERROR(_xlfn.LET(
_xlpm.CSVVal,_xlfn.XLOOKUP($A463,CSV!$A:$A,CSV!AG:AG,""),
_xlpm.MacVal,_xlfn.XLOOKUP($A463,Output_Mac!$A:$A,Output_Mac!U:U,""),
_xlpm.MyAuditVal,_xlfn.XLOOKUP($A463,My_Audit!$A:$A,My_Audit!O:O,""),
_xlfn.IFS(_xlpm.MyAuditVal&lt;&gt;"",UPPER(_xlpm.MyAuditVal),_xlpm.MacVal&lt;&gt;"",_xlpm.MacVal,_xlpm.CSVVal&lt;&gt;"",_xlpm.CSVVal
)),"")</f>
        <v/>
      </c>
      <c r="O463" s="45"/>
      <c r="P463" s="45"/>
      <c r="Q463" s="46" t="str">
        <f>IF(LEFT(N463,4)="Pass","Nist SP 800-88",My_Audit!R463)&amp;""</f>
        <v/>
      </c>
      <c r="R463" s="45"/>
      <c r="S463" s="45"/>
      <c r="T463" s="46" t="str">
        <f>_xlfn.XLOOKUP(E463,Models!I:I,Models!J:J,"")</f>
        <v/>
      </c>
      <c r="U463" s="45"/>
      <c r="V463" s="45"/>
      <c r="W463" s="38"/>
    </row>
    <row r="464" spans="1:23">
      <c r="A464" s="45" t="str">
        <f>_xlfn.TEXTJOIN("",TRUE,Input!$B$2,ROW(My_Audit!A463))</f>
        <v>XX463</v>
      </c>
      <c r="B464" s="45" t="str">
        <f>_xlfn.TEXTJOIN("-",TRUE,"ITD",Input!$A$2,A464)</f>
        <v>ITD-SHRXXX-XX463</v>
      </c>
      <c r="C464" s="45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46" t="str" cm="1">
        <f t="array" ref="D464">IFERROR(_xlfn.LET(
_xlpm.CSVVal,_xlfn.XLOOKUP($A464,CSV!$A:$A,CSV!C:C,""),
_xlpm.MacVal,_xlfn.XLOOKUP($A464,Output_Mac!$A:$A,Output_Mac!D:D,""),
_xlpm.MyAuditVal,_xlfn.XLOOKUP($A464,My_Audit!$A:$A,My_Audit!C:C,""),
_xlfn.IFS(_xlpm.MyAuditVal&lt;&gt;"",UPPER(_xlpm.MyAuditVal),_xlpm.MacVal&lt;&gt;"",_xlpm.MacVal,_xlpm.CSVVal&lt;&gt;"",_xlpm.CSVVal
)),"")</f>
        <v/>
      </c>
      <c r="E464" s="46" t="str" cm="1">
        <f t="array" ref="E464">IFERROR(_xlfn.LET(
_xlpm.CSVVal,_xlfn.XLOOKUP($A464,CSV!$A:$A,CSV!E:E,""),
_xlpm.MacVal,_xlfn.XLOOKUP($A464,Output_Mac!$A:$A,Output_Mac!C:C,""),
_xlpm.MyAuditVal,_xlfn.XLOOKUP($A464,My_Audit!$A:$A,My_Audit!D:D,""),
_xlfn.IFS(_xlpm.MyAuditVal&lt;&gt;"",_xlpm.MyAuditVal,_xlpm.MacVal&lt;&gt;"",_xlpm.MacVal,_xlpm.CSVVal&lt;&gt;"",_xlpm.CSVVal
)),"")</f>
        <v/>
      </c>
      <c r="F464" s="45" t="str" cm="1">
        <f t="array" ref="F464">IFERROR(_xlfn.LET(
_xlpm.CSVVal,_xlfn.XLOOKUP($A464,CSV!$A:$A,CSV!F:F,""),
_xlpm.MacVal,_xlfn.XLOOKUP($A464,Output_Mac!$A:$A,Output_Mac!F:F,""),
_xlpm.MyAuditVal,_xlfn.XLOOKUP($A464,My_Audit!$A:$A,My_Audit!E:E,""),
_xlfn.IFS(_xlpm.MyAuditVal&lt;&gt;"",_xlpm.MyAuditVal,_xlpm.MacVal&lt;&gt;"",_xlpm.MacVal,_xlpm.CSVVal&lt;&gt;"",PROPER(_xlpm.CSVVal)
)),"")</f>
        <v/>
      </c>
      <c r="G464" s="45" t="str" cm="1">
        <f t="array" ref="G464">IFERROR(_xlfn.LET(
_xlpm.CSVVal,_xlfn.XLOOKUP($A464,CSV!$A:$A,CSV!G:G,""),
_xlpm.MacVal,_xlfn.XLOOKUP($A464,Output_Mac!$A:$A,Output_Mac!H:H,""),
_xlpm.MyAuditVal,_xlfn.XLOOKUP($A464,My_Audit!$A:$A,My_Audit!F:F,""),
_xlfn.IFS(_xlpm.MyAuditVal&lt;&gt;"",_xlpm.MyAuditVal,_xlpm.MacVal&lt;&gt;"",_xlpm.MacVal,_xlpm.CSVVal&lt;&gt;"",_xlpm.CSVVal
)),"")</f>
        <v/>
      </c>
      <c r="H464" s="45" t="str">
        <f>_xlfn.XLOOKUP(A464,Output_Mac!A:A,Output_Mac!I:I,"")</f>
        <v/>
      </c>
      <c r="I464" s="45" t="str" cm="1">
        <f t="array" ref="I464">IFERROR(_xlfn.LET(
_xlpm.CSVVal,_xlfn.XLOOKUP($A464,CSV!$A:$A,CSV!H:H,""),
_xlpm.MacVal,_xlfn.XLOOKUP($A464,Output_Mac!$A:$A,Output_Mac!J:J,""),
_xlpm.MyAuditVal,_xlfn.XLOOKUP($A464,My_Audit!$A:$A,My_Audit!H:H,""),
_xlfn.IFS(_xlpm.MyAuditVal&lt;&gt;"",UPPER(_xlpm.MyAuditVal),_xlpm.MacVal&lt;&gt;"",_xlpm.MacVal,_xlpm.CSVVal&lt;&gt;"",_xlpm.CSVVal
)),"")</f>
        <v/>
      </c>
      <c r="J464" s="45" t="str" cm="1">
        <f t="array" ref="J464">IFERROR(_xlfn.LET(
_xlpm.CSVVal,_xlfn.XLOOKUP($A464,CSV!$A:$A,CSV!J:J,""),
_xlpm.MacVal,_xlfn.XLOOKUP($A464,Output_Mac!$A:$A,Output_Mac!K:K,""),
_xlpm.MyAuditVal,_xlfn.XLOOKUP($A464,My_Audit!$A:$A,My_Audit!I:I,""),
_xlfn.IFS(_xlpm.MyAuditVal&lt;&gt;"",UPPER(_xlpm.MyAuditVal),_xlpm.MacVal&lt;&gt;"",_xlpm.MacVal,_xlpm.CSVVal&lt;&gt;"",_xlpm.CSVVal
)),"")</f>
        <v/>
      </c>
      <c r="K464" s="45" t="str" cm="1">
        <f t="array" ref="K464">IFERROR(_xlfn.LET(
_xlpm.CSVVal,_xlfn.XLOOKUP($A464,CSV!$A:$A,CSV!N:N,""),
_xlpm.MacVal,_xlfn.XLOOKUP($A464,Output_Mac!$A:$A,Output_Mac!L:L,""),
_xlpm.MyAuditVal,_xlfn.XLOOKUP($A464,My_Audit!$A:$A,My_Audit!J:J,""),
_xlfn.IFS(_xlpm.MyAuditVal&lt;&gt;"",UPPER(_xlpm.MyAuditVal),_xlpm.MacVal&lt;&gt;"",_xlpm.MacVal,_xlpm.CSVVal&lt;&gt;"",_xlpm.CSVVal
)),"")</f>
        <v/>
      </c>
      <c r="L464" s="45" t="str" cm="1">
        <f t="array" ref="L464">IFERROR(_xlfn.LET(
_xlpm.CSVVal,_xlfn.XLOOKUP($A464,CSV!$A:$A,CSV!P:P,""),
_xlpm.MacVal,_xlfn.XLOOKUP($A464,Output_Mac!$A:$A,Output_Mac!M:M,""),
_xlpm.MyAuditVal,_xlfn.XLOOKUP($A464,My_Audit!$A:$A,My_Audit!K:K,""),
_xlfn.IFS(_xlpm.MyAuditVal&lt;&gt;"",UPPER(_xlpm.MyAuditVal),_xlpm.MacVal&lt;&gt;"",_xlpm.MacVal,_xlpm.CSVVal&lt;&gt;"",_xlpm.CSVVal
)),"")</f>
        <v/>
      </c>
      <c r="M464" s="45" t="str">
        <f>_xlfn.LET(
    _xlpm.CSVVal, _xlfn.XLOOKUP($A464, CSV!$A:$A, CSV!AE:AE, ""),
    _xlpm.MacVal, _xlfn.XLOOKUP($A464, Output_Mac!$A:$A, Output_Mac!S:S, ""),
    _xlpm.MyAuditVal, _xlfn.XLOOKUP($A464, My_Audit!$A:$A, My_Audit!N:N, ""),
    _xlfn.TEXTJOIN(", ", TRUE, _xlpm.MyAuditVal, _xlpm.MacVal, _xlpm.CSVVal)
)</f>
        <v/>
      </c>
      <c r="N464" s="45" t="str" cm="1">
        <f t="array" ref="N464">IFERROR(_xlfn.LET(
_xlpm.CSVVal,_xlfn.XLOOKUP($A464,CSV!$A:$A,CSV!AG:AG,""),
_xlpm.MacVal,_xlfn.XLOOKUP($A464,Output_Mac!$A:$A,Output_Mac!U:U,""),
_xlpm.MyAuditVal,_xlfn.XLOOKUP($A464,My_Audit!$A:$A,My_Audit!O:O,""),
_xlfn.IFS(_xlpm.MyAuditVal&lt;&gt;"",UPPER(_xlpm.MyAuditVal),_xlpm.MacVal&lt;&gt;"",_xlpm.MacVal,_xlpm.CSVVal&lt;&gt;"",_xlpm.CSVVal
)),"")</f>
        <v/>
      </c>
      <c r="O464" s="45"/>
      <c r="P464" s="45"/>
      <c r="Q464" s="46" t="str">
        <f>IF(LEFT(N464,4)="Pass","Nist SP 800-88",My_Audit!R464)&amp;""</f>
        <v/>
      </c>
      <c r="R464" s="45"/>
      <c r="S464" s="45"/>
      <c r="T464" s="46" t="str">
        <f>_xlfn.XLOOKUP(E464,Models!I:I,Models!J:J,"")</f>
        <v/>
      </c>
      <c r="U464" s="45"/>
      <c r="V464" s="45"/>
      <c r="W464" s="38"/>
    </row>
    <row r="465" spans="1:23">
      <c r="A465" s="45" t="str">
        <f>_xlfn.TEXTJOIN("",TRUE,Input!$B$2,ROW(My_Audit!A464))</f>
        <v>XX464</v>
      </c>
      <c r="B465" s="45" t="str">
        <f>_xlfn.TEXTJOIN("-",TRUE,"ITD",Input!$A$2,A465)</f>
        <v>ITD-SHRXXX-XX464</v>
      </c>
      <c r="C465" s="45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46" t="str" cm="1">
        <f t="array" ref="D465">IFERROR(_xlfn.LET(
_xlpm.CSVVal,_xlfn.XLOOKUP($A465,CSV!$A:$A,CSV!C:C,""),
_xlpm.MacVal,_xlfn.XLOOKUP($A465,Output_Mac!$A:$A,Output_Mac!D:D,""),
_xlpm.MyAuditVal,_xlfn.XLOOKUP($A465,My_Audit!$A:$A,My_Audit!C:C,""),
_xlfn.IFS(_xlpm.MyAuditVal&lt;&gt;"",UPPER(_xlpm.MyAuditVal),_xlpm.MacVal&lt;&gt;"",_xlpm.MacVal,_xlpm.CSVVal&lt;&gt;"",_xlpm.CSVVal
)),"")</f>
        <v/>
      </c>
      <c r="E465" s="46" t="str" cm="1">
        <f t="array" ref="E465">IFERROR(_xlfn.LET(
_xlpm.CSVVal,_xlfn.XLOOKUP($A465,CSV!$A:$A,CSV!E:E,""),
_xlpm.MacVal,_xlfn.XLOOKUP($A465,Output_Mac!$A:$A,Output_Mac!C:C,""),
_xlpm.MyAuditVal,_xlfn.XLOOKUP($A465,My_Audit!$A:$A,My_Audit!D:D,""),
_xlfn.IFS(_xlpm.MyAuditVal&lt;&gt;"",_xlpm.MyAuditVal,_xlpm.MacVal&lt;&gt;"",_xlpm.MacVal,_xlpm.CSVVal&lt;&gt;"",_xlpm.CSVVal
)),"")</f>
        <v/>
      </c>
      <c r="F465" s="45" t="str" cm="1">
        <f t="array" ref="F465">IFERROR(_xlfn.LET(
_xlpm.CSVVal,_xlfn.XLOOKUP($A465,CSV!$A:$A,CSV!F:F,""),
_xlpm.MacVal,_xlfn.XLOOKUP($A465,Output_Mac!$A:$A,Output_Mac!F:F,""),
_xlpm.MyAuditVal,_xlfn.XLOOKUP($A465,My_Audit!$A:$A,My_Audit!E:E,""),
_xlfn.IFS(_xlpm.MyAuditVal&lt;&gt;"",_xlpm.MyAuditVal,_xlpm.MacVal&lt;&gt;"",_xlpm.MacVal,_xlpm.CSVVal&lt;&gt;"",PROPER(_xlpm.CSVVal)
)),"")</f>
        <v/>
      </c>
      <c r="G465" s="45" t="str" cm="1">
        <f t="array" ref="G465">IFERROR(_xlfn.LET(
_xlpm.CSVVal,_xlfn.XLOOKUP($A465,CSV!$A:$A,CSV!G:G,""),
_xlpm.MacVal,_xlfn.XLOOKUP($A465,Output_Mac!$A:$A,Output_Mac!H:H,""),
_xlpm.MyAuditVal,_xlfn.XLOOKUP($A465,My_Audit!$A:$A,My_Audit!F:F,""),
_xlfn.IFS(_xlpm.MyAuditVal&lt;&gt;"",_xlpm.MyAuditVal,_xlpm.MacVal&lt;&gt;"",_xlpm.MacVal,_xlpm.CSVVal&lt;&gt;"",_xlpm.CSVVal
)),"")</f>
        <v/>
      </c>
      <c r="H465" s="45" t="str">
        <f>_xlfn.XLOOKUP(A465,Output_Mac!A:A,Output_Mac!I:I,"")</f>
        <v/>
      </c>
      <c r="I465" s="45" t="str" cm="1">
        <f t="array" ref="I465">IFERROR(_xlfn.LET(
_xlpm.CSVVal,_xlfn.XLOOKUP($A465,CSV!$A:$A,CSV!H:H,""),
_xlpm.MacVal,_xlfn.XLOOKUP($A465,Output_Mac!$A:$A,Output_Mac!J:J,""),
_xlpm.MyAuditVal,_xlfn.XLOOKUP($A465,My_Audit!$A:$A,My_Audit!H:H,""),
_xlfn.IFS(_xlpm.MyAuditVal&lt;&gt;"",UPPER(_xlpm.MyAuditVal),_xlpm.MacVal&lt;&gt;"",_xlpm.MacVal,_xlpm.CSVVal&lt;&gt;"",_xlpm.CSVVal
)),"")</f>
        <v/>
      </c>
      <c r="J465" s="45" t="str" cm="1">
        <f t="array" ref="J465">IFERROR(_xlfn.LET(
_xlpm.CSVVal,_xlfn.XLOOKUP($A465,CSV!$A:$A,CSV!J:J,""),
_xlpm.MacVal,_xlfn.XLOOKUP($A465,Output_Mac!$A:$A,Output_Mac!K:K,""),
_xlpm.MyAuditVal,_xlfn.XLOOKUP($A465,My_Audit!$A:$A,My_Audit!I:I,""),
_xlfn.IFS(_xlpm.MyAuditVal&lt;&gt;"",UPPER(_xlpm.MyAuditVal),_xlpm.MacVal&lt;&gt;"",_xlpm.MacVal,_xlpm.CSVVal&lt;&gt;"",_xlpm.CSVVal
)),"")</f>
        <v/>
      </c>
      <c r="K465" s="45" t="str" cm="1">
        <f t="array" ref="K465">IFERROR(_xlfn.LET(
_xlpm.CSVVal,_xlfn.XLOOKUP($A465,CSV!$A:$A,CSV!N:N,""),
_xlpm.MacVal,_xlfn.XLOOKUP($A465,Output_Mac!$A:$A,Output_Mac!L:L,""),
_xlpm.MyAuditVal,_xlfn.XLOOKUP($A465,My_Audit!$A:$A,My_Audit!J:J,""),
_xlfn.IFS(_xlpm.MyAuditVal&lt;&gt;"",UPPER(_xlpm.MyAuditVal),_xlpm.MacVal&lt;&gt;"",_xlpm.MacVal,_xlpm.CSVVal&lt;&gt;"",_xlpm.CSVVal
)),"")</f>
        <v/>
      </c>
      <c r="L465" s="45" t="str" cm="1">
        <f t="array" ref="L465">IFERROR(_xlfn.LET(
_xlpm.CSVVal,_xlfn.XLOOKUP($A465,CSV!$A:$A,CSV!P:P,""),
_xlpm.MacVal,_xlfn.XLOOKUP($A465,Output_Mac!$A:$A,Output_Mac!M:M,""),
_xlpm.MyAuditVal,_xlfn.XLOOKUP($A465,My_Audit!$A:$A,My_Audit!K:K,""),
_xlfn.IFS(_xlpm.MyAuditVal&lt;&gt;"",UPPER(_xlpm.MyAuditVal),_xlpm.MacVal&lt;&gt;"",_xlpm.MacVal,_xlpm.CSVVal&lt;&gt;"",_xlpm.CSVVal
)),"")</f>
        <v/>
      </c>
      <c r="M465" s="45" t="str">
        <f>_xlfn.LET(
    _xlpm.CSVVal, _xlfn.XLOOKUP($A465, CSV!$A:$A, CSV!AE:AE, ""),
    _xlpm.MacVal, _xlfn.XLOOKUP($A465, Output_Mac!$A:$A, Output_Mac!S:S, ""),
    _xlpm.MyAuditVal, _xlfn.XLOOKUP($A465, My_Audit!$A:$A, My_Audit!N:N, ""),
    _xlfn.TEXTJOIN(", ", TRUE, _xlpm.MyAuditVal, _xlpm.MacVal, _xlpm.CSVVal)
)</f>
        <v/>
      </c>
      <c r="N465" s="45" t="str" cm="1">
        <f t="array" ref="N465">IFERROR(_xlfn.LET(
_xlpm.CSVVal,_xlfn.XLOOKUP($A465,CSV!$A:$A,CSV!AG:AG,""),
_xlpm.MacVal,_xlfn.XLOOKUP($A465,Output_Mac!$A:$A,Output_Mac!U:U,""),
_xlpm.MyAuditVal,_xlfn.XLOOKUP($A465,My_Audit!$A:$A,My_Audit!O:O,""),
_xlfn.IFS(_xlpm.MyAuditVal&lt;&gt;"",UPPER(_xlpm.MyAuditVal),_xlpm.MacVal&lt;&gt;"",_xlpm.MacVal,_xlpm.CSVVal&lt;&gt;"",_xlpm.CSVVal
)),"")</f>
        <v/>
      </c>
      <c r="O465" s="45"/>
      <c r="P465" s="45"/>
      <c r="Q465" s="46" t="str">
        <f>IF(LEFT(N465,4)="Pass","Nist SP 800-88",My_Audit!R465)&amp;""</f>
        <v/>
      </c>
      <c r="R465" s="45"/>
      <c r="S465" s="45"/>
      <c r="T465" s="46" t="str">
        <f>_xlfn.XLOOKUP(E465,Models!I:I,Models!J:J,"")</f>
        <v/>
      </c>
      <c r="U465" s="45"/>
      <c r="V465" s="45"/>
      <c r="W465" s="38"/>
    </row>
    <row r="466" spans="1:23">
      <c r="A466" s="45" t="str">
        <f>_xlfn.TEXTJOIN("",TRUE,Input!$B$2,ROW(My_Audit!A465))</f>
        <v>XX465</v>
      </c>
      <c r="B466" s="45" t="str">
        <f>_xlfn.TEXTJOIN("-",TRUE,"ITD",Input!$A$2,A466)</f>
        <v>ITD-SHRXXX-XX465</v>
      </c>
      <c r="C466" s="45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46" t="str" cm="1">
        <f t="array" ref="D466">IFERROR(_xlfn.LET(
_xlpm.CSVVal,_xlfn.XLOOKUP($A466,CSV!$A:$A,CSV!C:C,""),
_xlpm.MacVal,_xlfn.XLOOKUP($A466,Output_Mac!$A:$A,Output_Mac!D:D,""),
_xlpm.MyAuditVal,_xlfn.XLOOKUP($A466,My_Audit!$A:$A,My_Audit!C:C,""),
_xlfn.IFS(_xlpm.MyAuditVal&lt;&gt;"",UPPER(_xlpm.MyAuditVal),_xlpm.MacVal&lt;&gt;"",_xlpm.MacVal,_xlpm.CSVVal&lt;&gt;"",_xlpm.CSVVal
)),"")</f>
        <v/>
      </c>
      <c r="E466" s="46" t="str" cm="1">
        <f t="array" ref="E466">IFERROR(_xlfn.LET(
_xlpm.CSVVal,_xlfn.XLOOKUP($A466,CSV!$A:$A,CSV!E:E,""),
_xlpm.MacVal,_xlfn.XLOOKUP($A466,Output_Mac!$A:$A,Output_Mac!C:C,""),
_xlpm.MyAuditVal,_xlfn.XLOOKUP($A466,My_Audit!$A:$A,My_Audit!D:D,""),
_xlfn.IFS(_xlpm.MyAuditVal&lt;&gt;"",_xlpm.MyAuditVal,_xlpm.MacVal&lt;&gt;"",_xlpm.MacVal,_xlpm.CSVVal&lt;&gt;"",_xlpm.CSVVal
)),"")</f>
        <v/>
      </c>
      <c r="F466" s="45" t="str" cm="1">
        <f t="array" ref="F466">IFERROR(_xlfn.LET(
_xlpm.CSVVal,_xlfn.XLOOKUP($A466,CSV!$A:$A,CSV!F:F,""),
_xlpm.MacVal,_xlfn.XLOOKUP($A466,Output_Mac!$A:$A,Output_Mac!F:F,""),
_xlpm.MyAuditVal,_xlfn.XLOOKUP($A466,My_Audit!$A:$A,My_Audit!E:E,""),
_xlfn.IFS(_xlpm.MyAuditVal&lt;&gt;"",_xlpm.MyAuditVal,_xlpm.MacVal&lt;&gt;"",_xlpm.MacVal,_xlpm.CSVVal&lt;&gt;"",PROPER(_xlpm.CSVVal)
)),"")</f>
        <v/>
      </c>
      <c r="G466" s="45" t="str" cm="1">
        <f t="array" ref="G466">IFERROR(_xlfn.LET(
_xlpm.CSVVal,_xlfn.XLOOKUP($A466,CSV!$A:$A,CSV!G:G,""),
_xlpm.MacVal,_xlfn.XLOOKUP($A466,Output_Mac!$A:$A,Output_Mac!H:H,""),
_xlpm.MyAuditVal,_xlfn.XLOOKUP($A466,My_Audit!$A:$A,My_Audit!F:F,""),
_xlfn.IFS(_xlpm.MyAuditVal&lt;&gt;"",_xlpm.MyAuditVal,_xlpm.MacVal&lt;&gt;"",_xlpm.MacVal,_xlpm.CSVVal&lt;&gt;"",_xlpm.CSVVal
)),"")</f>
        <v/>
      </c>
      <c r="H466" s="45" t="str">
        <f>_xlfn.XLOOKUP(A466,Output_Mac!A:A,Output_Mac!I:I,"")</f>
        <v/>
      </c>
      <c r="I466" s="45" t="str" cm="1">
        <f t="array" ref="I466">IFERROR(_xlfn.LET(
_xlpm.CSVVal,_xlfn.XLOOKUP($A466,CSV!$A:$A,CSV!H:H,""),
_xlpm.MacVal,_xlfn.XLOOKUP($A466,Output_Mac!$A:$A,Output_Mac!J:J,""),
_xlpm.MyAuditVal,_xlfn.XLOOKUP($A466,My_Audit!$A:$A,My_Audit!H:H,""),
_xlfn.IFS(_xlpm.MyAuditVal&lt;&gt;"",UPPER(_xlpm.MyAuditVal),_xlpm.MacVal&lt;&gt;"",_xlpm.MacVal,_xlpm.CSVVal&lt;&gt;"",_xlpm.CSVVal
)),"")</f>
        <v/>
      </c>
      <c r="J466" s="45" t="str" cm="1">
        <f t="array" ref="J466">IFERROR(_xlfn.LET(
_xlpm.CSVVal,_xlfn.XLOOKUP($A466,CSV!$A:$A,CSV!J:J,""),
_xlpm.MacVal,_xlfn.XLOOKUP($A466,Output_Mac!$A:$A,Output_Mac!K:K,""),
_xlpm.MyAuditVal,_xlfn.XLOOKUP($A466,My_Audit!$A:$A,My_Audit!I:I,""),
_xlfn.IFS(_xlpm.MyAuditVal&lt;&gt;"",UPPER(_xlpm.MyAuditVal),_xlpm.MacVal&lt;&gt;"",_xlpm.MacVal,_xlpm.CSVVal&lt;&gt;"",_xlpm.CSVVal
)),"")</f>
        <v/>
      </c>
      <c r="K466" s="45" t="str" cm="1">
        <f t="array" ref="K466">IFERROR(_xlfn.LET(
_xlpm.CSVVal,_xlfn.XLOOKUP($A466,CSV!$A:$A,CSV!N:N,""),
_xlpm.MacVal,_xlfn.XLOOKUP($A466,Output_Mac!$A:$A,Output_Mac!L:L,""),
_xlpm.MyAuditVal,_xlfn.XLOOKUP($A466,My_Audit!$A:$A,My_Audit!J:J,""),
_xlfn.IFS(_xlpm.MyAuditVal&lt;&gt;"",UPPER(_xlpm.MyAuditVal),_xlpm.MacVal&lt;&gt;"",_xlpm.MacVal,_xlpm.CSVVal&lt;&gt;"",_xlpm.CSVVal
)),"")</f>
        <v/>
      </c>
      <c r="L466" s="45" t="str" cm="1">
        <f t="array" ref="L466">IFERROR(_xlfn.LET(
_xlpm.CSVVal,_xlfn.XLOOKUP($A466,CSV!$A:$A,CSV!P:P,""),
_xlpm.MacVal,_xlfn.XLOOKUP($A466,Output_Mac!$A:$A,Output_Mac!M:M,""),
_xlpm.MyAuditVal,_xlfn.XLOOKUP($A466,My_Audit!$A:$A,My_Audit!K:K,""),
_xlfn.IFS(_xlpm.MyAuditVal&lt;&gt;"",UPPER(_xlpm.MyAuditVal),_xlpm.MacVal&lt;&gt;"",_xlpm.MacVal,_xlpm.CSVVal&lt;&gt;"",_xlpm.CSVVal
)),"")</f>
        <v/>
      </c>
      <c r="M466" s="45" t="str">
        <f>_xlfn.LET(
    _xlpm.CSVVal, _xlfn.XLOOKUP($A466, CSV!$A:$A, CSV!AE:AE, ""),
    _xlpm.MacVal, _xlfn.XLOOKUP($A466, Output_Mac!$A:$A, Output_Mac!S:S, ""),
    _xlpm.MyAuditVal, _xlfn.XLOOKUP($A466, My_Audit!$A:$A, My_Audit!N:N, ""),
    _xlfn.TEXTJOIN(", ", TRUE, _xlpm.MyAuditVal, _xlpm.MacVal, _xlpm.CSVVal)
)</f>
        <v/>
      </c>
      <c r="N466" s="45" t="str" cm="1">
        <f t="array" ref="N466">IFERROR(_xlfn.LET(
_xlpm.CSVVal,_xlfn.XLOOKUP($A466,CSV!$A:$A,CSV!AG:AG,""),
_xlpm.MacVal,_xlfn.XLOOKUP($A466,Output_Mac!$A:$A,Output_Mac!U:U,""),
_xlpm.MyAuditVal,_xlfn.XLOOKUP($A466,My_Audit!$A:$A,My_Audit!O:O,""),
_xlfn.IFS(_xlpm.MyAuditVal&lt;&gt;"",UPPER(_xlpm.MyAuditVal),_xlpm.MacVal&lt;&gt;"",_xlpm.MacVal,_xlpm.CSVVal&lt;&gt;"",_xlpm.CSVVal
)),"")</f>
        <v/>
      </c>
      <c r="O466" s="45"/>
      <c r="P466" s="45"/>
      <c r="Q466" s="46" t="str">
        <f>IF(LEFT(N466,4)="Pass","Nist SP 800-88",My_Audit!R466)&amp;""</f>
        <v/>
      </c>
      <c r="R466" s="45"/>
      <c r="S466" s="45"/>
      <c r="T466" s="46" t="str">
        <f>_xlfn.XLOOKUP(E466,Models!I:I,Models!J:J,"")</f>
        <v/>
      </c>
      <c r="U466" s="45"/>
      <c r="V466" s="45"/>
      <c r="W466" s="38"/>
    </row>
    <row r="467" spans="1:23">
      <c r="A467" s="45" t="str">
        <f>_xlfn.TEXTJOIN("",TRUE,Input!$B$2,ROW(My_Audit!A466))</f>
        <v>XX466</v>
      </c>
      <c r="B467" s="45" t="str">
        <f>_xlfn.TEXTJOIN("-",TRUE,"ITD",Input!$A$2,A467)</f>
        <v>ITD-SHRXXX-XX466</v>
      </c>
      <c r="C467" s="45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46" t="str" cm="1">
        <f t="array" ref="D467">IFERROR(_xlfn.LET(
_xlpm.CSVVal,_xlfn.XLOOKUP($A467,CSV!$A:$A,CSV!C:C,""),
_xlpm.MacVal,_xlfn.XLOOKUP($A467,Output_Mac!$A:$A,Output_Mac!D:D,""),
_xlpm.MyAuditVal,_xlfn.XLOOKUP($A467,My_Audit!$A:$A,My_Audit!C:C,""),
_xlfn.IFS(_xlpm.MyAuditVal&lt;&gt;"",UPPER(_xlpm.MyAuditVal),_xlpm.MacVal&lt;&gt;"",_xlpm.MacVal,_xlpm.CSVVal&lt;&gt;"",_xlpm.CSVVal
)),"")</f>
        <v/>
      </c>
      <c r="E467" s="46" t="str" cm="1">
        <f t="array" ref="E467">IFERROR(_xlfn.LET(
_xlpm.CSVVal,_xlfn.XLOOKUP($A467,CSV!$A:$A,CSV!E:E,""),
_xlpm.MacVal,_xlfn.XLOOKUP($A467,Output_Mac!$A:$A,Output_Mac!C:C,""),
_xlpm.MyAuditVal,_xlfn.XLOOKUP($A467,My_Audit!$A:$A,My_Audit!D:D,""),
_xlfn.IFS(_xlpm.MyAuditVal&lt;&gt;"",_xlpm.MyAuditVal,_xlpm.MacVal&lt;&gt;"",_xlpm.MacVal,_xlpm.CSVVal&lt;&gt;"",_xlpm.CSVVal
)),"")</f>
        <v/>
      </c>
      <c r="F467" s="45" t="str" cm="1">
        <f t="array" ref="F467">IFERROR(_xlfn.LET(
_xlpm.CSVVal,_xlfn.XLOOKUP($A467,CSV!$A:$A,CSV!F:F,""),
_xlpm.MacVal,_xlfn.XLOOKUP($A467,Output_Mac!$A:$A,Output_Mac!F:F,""),
_xlpm.MyAuditVal,_xlfn.XLOOKUP($A467,My_Audit!$A:$A,My_Audit!E:E,""),
_xlfn.IFS(_xlpm.MyAuditVal&lt;&gt;"",_xlpm.MyAuditVal,_xlpm.MacVal&lt;&gt;"",_xlpm.MacVal,_xlpm.CSVVal&lt;&gt;"",PROPER(_xlpm.CSVVal)
)),"")</f>
        <v/>
      </c>
      <c r="G467" s="45" t="str" cm="1">
        <f t="array" ref="G467">IFERROR(_xlfn.LET(
_xlpm.CSVVal,_xlfn.XLOOKUP($A467,CSV!$A:$A,CSV!G:G,""),
_xlpm.MacVal,_xlfn.XLOOKUP($A467,Output_Mac!$A:$A,Output_Mac!H:H,""),
_xlpm.MyAuditVal,_xlfn.XLOOKUP($A467,My_Audit!$A:$A,My_Audit!F:F,""),
_xlfn.IFS(_xlpm.MyAuditVal&lt;&gt;"",_xlpm.MyAuditVal,_xlpm.MacVal&lt;&gt;"",_xlpm.MacVal,_xlpm.CSVVal&lt;&gt;"",_xlpm.CSVVal
)),"")</f>
        <v/>
      </c>
      <c r="H467" s="45" t="str">
        <f>_xlfn.XLOOKUP(A467,Output_Mac!A:A,Output_Mac!I:I,"")</f>
        <v/>
      </c>
      <c r="I467" s="45" t="str" cm="1">
        <f t="array" ref="I467">IFERROR(_xlfn.LET(
_xlpm.CSVVal,_xlfn.XLOOKUP($A467,CSV!$A:$A,CSV!H:H,""),
_xlpm.MacVal,_xlfn.XLOOKUP($A467,Output_Mac!$A:$A,Output_Mac!J:J,""),
_xlpm.MyAuditVal,_xlfn.XLOOKUP($A467,My_Audit!$A:$A,My_Audit!H:H,""),
_xlfn.IFS(_xlpm.MyAuditVal&lt;&gt;"",UPPER(_xlpm.MyAuditVal),_xlpm.MacVal&lt;&gt;"",_xlpm.MacVal,_xlpm.CSVVal&lt;&gt;"",_xlpm.CSVVal
)),"")</f>
        <v/>
      </c>
      <c r="J467" s="45" t="str" cm="1">
        <f t="array" ref="J467">IFERROR(_xlfn.LET(
_xlpm.CSVVal,_xlfn.XLOOKUP($A467,CSV!$A:$A,CSV!J:J,""),
_xlpm.MacVal,_xlfn.XLOOKUP($A467,Output_Mac!$A:$A,Output_Mac!K:K,""),
_xlpm.MyAuditVal,_xlfn.XLOOKUP($A467,My_Audit!$A:$A,My_Audit!I:I,""),
_xlfn.IFS(_xlpm.MyAuditVal&lt;&gt;"",UPPER(_xlpm.MyAuditVal),_xlpm.MacVal&lt;&gt;"",_xlpm.MacVal,_xlpm.CSVVal&lt;&gt;"",_xlpm.CSVVal
)),"")</f>
        <v/>
      </c>
      <c r="K467" s="45" t="str" cm="1">
        <f t="array" ref="K467">IFERROR(_xlfn.LET(
_xlpm.CSVVal,_xlfn.XLOOKUP($A467,CSV!$A:$A,CSV!N:N,""),
_xlpm.MacVal,_xlfn.XLOOKUP($A467,Output_Mac!$A:$A,Output_Mac!L:L,""),
_xlpm.MyAuditVal,_xlfn.XLOOKUP($A467,My_Audit!$A:$A,My_Audit!J:J,""),
_xlfn.IFS(_xlpm.MyAuditVal&lt;&gt;"",UPPER(_xlpm.MyAuditVal),_xlpm.MacVal&lt;&gt;"",_xlpm.MacVal,_xlpm.CSVVal&lt;&gt;"",_xlpm.CSVVal
)),"")</f>
        <v/>
      </c>
      <c r="L467" s="45" t="str" cm="1">
        <f t="array" ref="L467">IFERROR(_xlfn.LET(
_xlpm.CSVVal,_xlfn.XLOOKUP($A467,CSV!$A:$A,CSV!P:P,""),
_xlpm.MacVal,_xlfn.XLOOKUP($A467,Output_Mac!$A:$A,Output_Mac!M:M,""),
_xlpm.MyAuditVal,_xlfn.XLOOKUP($A467,My_Audit!$A:$A,My_Audit!K:K,""),
_xlfn.IFS(_xlpm.MyAuditVal&lt;&gt;"",UPPER(_xlpm.MyAuditVal),_xlpm.MacVal&lt;&gt;"",_xlpm.MacVal,_xlpm.CSVVal&lt;&gt;"",_xlpm.CSVVal
)),"")</f>
        <v/>
      </c>
      <c r="M467" s="45" t="str">
        <f>_xlfn.LET(
    _xlpm.CSVVal, _xlfn.XLOOKUP($A467, CSV!$A:$A, CSV!AE:AE, ""),
    _xlpm.MacVal, _xlfn.XLOOKUP($A467, Output_Mac!$A:$A, Output_Mac!S:S, ""),
    _xlpm.MyAuditVal, _xlfn.XLOOKUP($A467, My_Audit!$A:$A, My_Audit!N:N, ""),
    _xlfn.TEXTJOIN(", ", TRUE, _xlpm.MyAuditVal, _xlpm.MacVal, _xlpm.CSVVal)
)</f>
        <v/>
      </c>
      <c r="N467" s="45" t="str" cm="1">
        <f t="array" ref="N467">IFERROR(_xlfn.LET(
_xlpm.CSVVal,_xlfn.XLOOKUP($A467,CSV!$A:$A,CSV!AG:AG,""),
_xlpm.MacVal,_xlfn.XLOOKUP($A467,Output_Mac!$A:$A,Output_Mac!U:U,""),
_xlpm.MyAuditVal,_xlfn.XLOOKUP($A467,My_Audit!$A:$A,My_Audit!O:O,""),
_xlfn.IFS(_xlpm.MyAuditVal&lt;&gt;"",UPPER(_xlpm.MyAuditVal),_xlpm.MacVal&lt;&gt;"",_xlpm.MacVal,_xlpm.CSVVal&lt;&gt;"",_xlpm.CSVVal
)),"")</f>
        <v/>
      </c>
      <c r="O467" s="45"/>
      <c r="P467" s="45"/>
      <c r="Q467" s="46" t="str">
        <f>IF(LEFT(N467,4)="Pass","Nist SP 800-88",My_Audit!R467)&amp;""</f>
        <v/>
      </c>
      <c r="R467" s="45"/>
      <c r="S467" s="45"/>
      <c r="T467" s="46" t="str">
        <f>_xlfn.XLOOKUP(E467,Models!I:I,Models!J:J,"")</f>
        <v/>
      </c>
      <c r="U467" s="45"/>
      <c r="V467" s="45"/>
      <c r="W467" s="38"/>
    </row>
    <row r="468" spans="1:23">
      <c r="A468" s="45" t="str">
        <f>_xlfn.TEXTJOIN("",TRUE,Input!$B$2,ROW(My_Audit!A467))</f>
        <v>XX467</v>
      </c>
      <c r="B468" s="45" t="str">
        <f>_xlfn.TEXTJOIN("-",TRUE,"ITD",Input!$A$2,A468)</f>
        <v>ITD-SHRXXX-XX467</v>
      </c>
      <c r="C468" s="45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46" t="str" cm="1">
        <f t="array" ref="D468">IFERROR(_xlfn.LET(
_xlpm.CSVVal,_xlfn.XLOOKUP($A468,CSV!$A:$A,CSV!C:C,""),
_xlpm.MacVal,_xlfn.XLOOKUP($A468,Output_Mac!$A:$A,Output_Mac!D:D,""),
_xlpm.MyAuditVal,_xlfn.XLOOKUP($A468,My_Audit!$A:$A,My_Audit!C:C,""),
_xlfn.IFS(_xlpm.MyAuditVal&lt;&gt;"",UPPER(_xlpm.MyAuditVal),_xlpm.MacVal&lt;&gt;"",_xlpm.MacVal,_xlpm.CSVVal&lt;&gt;"",_xlpm.CSVVal
)),"")</f>
        <v/>
      </c>
      <c r="E468" s="46" t="str" cm="1">
        <f t="array" ref="E468">IFERROR(_xlfn.LET(
_xlpm.CSVVal,_xlfn.XLOOKUP($A468,CSV!$A:$A,CSV!E:E,""),
_xlpm.MacVal,_xlfn.XLOOKUP($A468,Output_Mac!$A:$A,Output_Mac!C:C,""),
_xlpm.MyAuditVal,_xlfn.XLOOKUP($A468,My_Audit!$A:$A,My_Audit!D:D,""),
_xlfn.IFS(_xlpm.MyAuditVal&lt;&gt;"",_xlpm.MyAuditVal,_xlpm.MacVal&lt;&gt;"",_xlpm.MacVal,_xlpm.CSVVal&lt;&gt;"",_xlpm.CSVVal
)),"")</f>
        <v/>
      </c>
      <c r="F468" s="45" t="str" cm="1">
        <f t="array" ref="F468">IFERROR(_xlfn.LET(
_xlpm.CSVVal,_xlfn.XLOOKUP($A468,CSV!$A:$A,CSV!F:F,""),
_xlpm.MacVal,_xlfn.XLOOKUP($A468,Output_Mac!$A:$A,Output_Mac!F:F,""),
_xlpm.MyAuditVal,_xlfn.XLOOKUP($A468,My_Audit!$A:$A,My_Audit!E:E,""),
_xlfn.IFS(_xlpm.MyAuditVal&lt;&gt;"",_xlpm.MyAuditVal,_xlpm.MacVal&lt;&gt;"",_xlpm.MacVal,_xlpm.CSVVal&lt;&gt;"",PROPER(_xlpm.CSVVal)
)),"")</f>
        <v/>
      </c>
      <c r="G468" s="45" t="str" cm="1">
        <f t="array" ref="G468">IFERROR(_xlfn.LET(
_xlpm.CSVVal,_xlfn.XLOOKUP($A468,CSV!$A:$A,CSV!G:G,""),
_xlpm.MacVal,_xlfn.XLOOKUP($A468,Output_Mac!$A:$A,Output_Mac!H:H,""),
_xlpm.MyAuditVal,_xlfn.XLOOKUP($A468,My_Audit!$A:$A,My_Audit!F:F,""),
_xlfn.IFS(_xlpm.MyAuditVal&lt;&gt;"",_xlpm.MyAuditVal,_xlpm.MacVal&lt;&gt;"",_xlpm.MacVal,_xlpm.CSVVal&lt;&gt;"",_xlpm.CSVVal
)),"")</f>
        <v/>
      </c>
      <c r="H468" s="45" t="str">
        <f>_xlfn.XLOOKUP(A468,Output_Mac!A:A,Output_Mac!I:I,"")</f>
        <v/>
      </c>
      <c r="I468" s="45" t="str" cm="1">
        <f t="array" ref="I468">IFERROR(_xlfn.LET(
_xlpm.CSVVal,_xlfn.XLOOKUP($A468,CSV!$A:$A,CSV!H:H,""),
_xlpm.MacVal,_xlfn.XLOOKUP($A468,Output_Mac!$A:$A,Output_Mac!J:J,""),
_xlpm.MyAuditVal,_xlfn.XLOOKUP($A468,My_Audit!$A:$A,My_Audit!H:H,""),
_xlfn.IFS(_xlpm.MyAuditVal&lt;&gt;"",UPPER(_xlpm.MyAuditVal),_xlpm.MacVal&lt;&gt;"",_xlpm.MacVal,_xlpm.CSVVal&lt;&gt;"",_xlpm.CSVVal
)),"")</f>
        <v/>
      </c>
      <c r="J468" s="45" t="str" cm="1">
        <f t="array" ref="J468">IFERROR(_xlfn.LET(
_xlpm.CSVVal,_xlfn.XLOOKUP($A468,CSV!$A:$A,CSV!J:J,""),
_xlpm.MacVal,_xlfn.XLOOKUP($A468,Output_Mac!$A:$A,Output_Mac!K:K,""),
_xlpm.MyAuditVal,_xlfn.XLOOKUP($A468,My_Audit!$A:$A,My_Audit!I:I,""),
_xlfn.IFS(_xlpm.MyAuditVal&lt;&gt;"",UPPER(_xlpm.MyAuditVal),_xlpm.MacVal&lt;&gt;"",_xlpm.MacVal,_xlpm.CSVVal&lt;&gt;"",_xlpm.CSVVal
)),"")</f>
        <v/>
      </c>
      <c r="K468" s="45" t="str" cm="1">
        <f t="array" ref="K468">IFERROR(_xlfn.LET(
_xlpm.CSVVal,_xlfn.XLOOKUP($A468,CSV!$A:$A,CSV!N:N,""),
_xlpm.MacVal,_xlfn.XLOOKUP($A468,Output_Mac!$A:$A,Output_Mac!L:L,""),
_xlpm.MyAuditVal,_xlfn.XLOOKUP($A468,My_Audit!$A:$A,My_Audit!J:J,""),
_xlfn.IFS(_xlpm.MyAuditVal&lt;&gt;"",UPPER(_xlpm.MyAuditVal),_xlpm.MacVal&lt;&gt;"",_xlpm.MacVal,_xlpm.CSVVal&lt;&gt;"",_xlpm.CSVVal
)),"")</f>
        <v/>
      </c>
      <c r="L468" s="45" t="str" cm="1">
        <f t="array" ref="L468">IFERROR(_xlfn.LET(
_xlpm.CSVVal,_xlfn.XLOOKUP($A468,CSV!$A:$A,CSV!P:P,""),
_xlpm.MacVal,_xlfn.XLOOKUP($A468,Output_Mac!$A:$A,Output_Mac!M:M,""),
_xlpm.MyAuditVal,_xlfn.XLOOKUP($A468,My_Audit!$A:$A,My_Audit!K:K,""),
_xlfn.IFS(_xlpm.MyAuditVal&lt;&gt;"",UPPER(_xlpm.MyAuditVal),_xlpm.MacVal&lt;&gt;"",_xlpm.MacVal,_xlpm.CSVVal&lt;&gt;"",_xlpm.CSVVal
)),"")</f>
        <v/>
      </c>
      <c r="M468" s="45" t="str">
        <f>_xlfn.LET(
    _xlpm.CSVVal, _xlfn.XLOOKUP($A468, CSV!$A:$A, CSV!AE:AE, ""),
    _xlpm.MacVal, _xlfn.XLOOKUP($A468, Output_Mac!$A:$A, Output_Mac!S:S, ""),
    _xlpm.MyAuditVal, _xlfn.XLOOKUP($A468, My_Audit!$A:$A, My_Audit!N:N, ""),
    _xlfn.TEXTJOIN(", ", TRUE, _xlpm.MyAuditVal, _xlpm.MacVal, _xlpm.CSVVal)
)</f>
        <v/>
      </c>
      <c r="N468" s="45" t="str" cm="1">
        <f t="array" ref="N468">IFERROR(_xlfn.LET(
_xlpm.CSVVal,_xlfn.XLOOKUP($A468,CSV!$A:$A,CSV!AG:AG,""),
_xlpm.MacVal,_xlfn.XLOOKUP($A468,Output_Mac!$A:$A,Output_Mac!U:U,""),
_xlpm.MyAuditVal,_xlfn.XLOOKUP($A468,My_Audit!$A:$A,My_Audit!O:O,""),
_xlfn.IFS(_xlpm.MyAuditVal&lt;&gt;"",UPPER(_xlpm.MyAuditVal),_xlpm.MacVal&lt;&gt;"",_xlpm.MacVal,_xlpm.CSVVal&lt;&gt;"",_xlpm.CSVVal
)),"")</f>
        <v/>
      </c>
      <c r="O468" s="45"/>
      <c r="P468" s="45"/>
      <c r="Q468" s="46" t="str">
        <f>IF(LEFT(N468,4)="Pass","Nist SP 800-88",My_Audit!R468)&amp;""</f>
        <v/>
      </c>
      <c r="R468" s="45"/>
      <c r="S468" s="45"/>
      <c r="T468" s="46" t="str">
        <f>_xlfn.XLOOKUP(E468,Models!I:I,Models!J:J,"")</f>
        <v/>
      </c>
      <c r="U468" s="45"/>
      <c r="V468" s="45"/>
      <c r="W468" s="38"/>
    </row>
    <row r="469" spans="1:23">
      <c r="A469" s="45" t="str">
        <f>_xlfn.TEXTJOIN("",TRUE,Input!$B$2,ROW(My_Audit!A468))</f>
        <v>XX468</v>
      </c>
      <c r="B469" s="45" t="str">
        <f>_xlfn.TEXTJOIN("-",TRUE,"ITD",Input!$A$2,A469)</f>
        <v>ITD-SHRXXX-XX468</v>
      </c>
      <c r="C469" s="45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46" t="str" cm="1">
        <f t="array" ref="D469">IFERROR(_xlfn.LET(
_xlpm.CSVVal,_xlfn.XLOOKUP($A469,CSV!$A:$A,CSV!C:C,""),
_xlpm.MacVal,_xlfn.XLOOKUP($A469,Output_Mac!$A:$A,Output_Mac!D:D,""),
_xlpm.MyAuditVal,_xlfn.XLOOKUP($A469,My_Audit!$A:$A,My_Audit!C:C,""),
_xlfn.IFS(_xlpm.MyAuditVal&lt;&gt;"",UPPER(_xlpm.MyAuditVal),_xlpm.MacVal&lt;&gt;"",_xlpm.MacVal,_xlpm.CSVVal&lt;&gt;"",_xlpm.CSVVal
)),"")</f>
        <v/>
      </c>
      <c r="E469" s="46" t="str" cm="1">
        <f t="array" ref="E469">IFERROR(_xlfn.LET(
_xlpm.CSVVal,_xlfn.XLOOKUP($A469,CSV!$A:$A,CSV!E:E,""),
_xlpm.MacVal,_xlfn.XLOOKUP($A469,Output_Mac!$A:$A,Output_Mac!C:C,""),
_xlpm.MyAuditVal,_xlfn.XLOOKUP($A469,My_Audit!$A:$A,My_Audit!D:D,""),
_xlfn.IFS(_xlpm.MyAuditVal&lt;&gt;"",_xlpm.MyAuditVal,_xlpm.MacVal&lt;&gt;"",_xlpm.MacVal,_xlpm.CSVVal&lt;&gt;"",_xlpm.CSVVal
)),"")</f>
        <v/>
      </c>
      <c r="F469" s="45" t="str" cm="1">
        <f t="array" ref="F469">IFERROR(_xlfn.LET(
_xlpm.CSVVal,_xlfn.XLOOKUP($A469,CSV!$A:$A,CSV!F:F,""),
_xlpm.MacVal,_xlfn.XLOOKUP($A469,Output_Mac!$A:$A,Output_Mac!F:F,""),
_xlpm.MyAuditVal,_xlfn.XLOOKUP($A469,My_Audit!$A:$A,My_Audit!E:E,""),
_xlfn.IFS(_xlpm.MyAuditVal&lt;&gt;"",_xlpm.MyAuditVal,_xlpm.MacVal&lt;&gt;"",_xlpm.MacVal,_xlpm.CSVVal&lt;&gt;"",PROPER(_xlpm.CSVVal)
)),"")</f>
        <v/>
      </c>
      <c r="G469" s="45" t="str" cm="1">
        <f t="array" ref="G469">IFERROR(_xlfn.LET(
_xlpm.CSVVal,_xlfn.XLOOKUP($A469,CSV!$A:$A,CSV!G:G,""),
_xlpm.MacVal,_xlfn.XLOOKUP($A469,Output_Mac!$A:$A,Output_Mac!H:H,""),
_xlpm.MyAuditVal,_xlfn.XLOOKUP($A469,My_Audit!$A:$A,My_Audit!F:F,""),
_xlfn.IFS(_xlpm.MyAuditVal&lt;&gt;"",_xlpm.MyAuditVal,_xlpm.MacVal&lt;&gt;"",_xlpm.MacVal,_xlpm.CSVVal&lt;&gt;"",_xlpm.CSVVal
)),"")</f>
        <v/>
      </c>
      <c r="H469" s="45" t="str">
        <f>_xlfn.XLOOKUP(A469,Output_Mac!A:A,Output_Mac!I:I,"")</f>
        <v/>
      </c>
      <c r="I469" s="45" t="str" cm="1">
        <f t="array" ref="I469">IFERROR(_xlfn.LET(
_xlpm.CSVVal,_xlfn.XLOOKUP($A469,CSV!$A:$A,CSV!H:H,""),
_xlpm.MacVal,_xlfn.XLOOKUP($A469,Output_Mac!$A:$A,Output_Mac!J:J,""),
_xlpm.MyAuditVal,_xlfn.XLOOKUP($A469,My_Audit!$A:$A,My_Audit!H:H,""),
_xlfn.IFS(_xlpm.MyAuditVal&lt;&gt;"",UPPER(_xlpm.MyAuditVal),_xlpm.MacVal&lt;&gt;"",_xlpm.MacVal,_xlpm.CSVVal&lt;&gt;"",_xlpm.CSVVal
)),"")</f>
        <v/>
      </c>
      <c r="J469" s="45" t="str" cm="1">
        <f t="array" ref="J469">IFERROR(_xlfn.LET(
_xlpm.CSVVal,_xlfn.XLOOKUP($A469,CSV!$A:$A,CSV!J:J,""),
_xlpm.MacVal,_xlfn.XLOOKUP($A469,Output_Mac!$A:$A,Output_Mac!K:K,""),
_xlpm.MyAuditVal,_xlfn.XLOOKUP($A469,My_Audit!$A:$A,My_Audit!I:I,""),
_xlfn.IFS(_xlpm.MyAuditVal&lt;&gt;"",UPPER(_xlpm.MyAuditVal),_xlpm.MacVal&lt;&gt;"",_xlpm.MacVal,_xlpm.CSVVal&lt;&gt;"",_xlpm.CSVVal
)),"")</f>
        <v/>
      </c>
      <c r="K469" s="45" t="str" cm="1">
        <f t="array" ref="K469">IFERROR(_xlfn.LET(
_xlpm.CSVVal,_xlfn.XLOOKUP($A469,CSV!$A:$A,CSV!N:N,""),
_xlpm.MacVal,_xlfn.XLOOKUP($A469,Output_Mac!$A:$A,Output_Mac!L:L,""),
_xlpm.MyAuditVal,_xlfn.XLOOKUP($A469,My_Audit!$A:$A,My_Audit!J:J,""),
_xlfn.IFS(_xlpm.MyAuditVal&lt;&gt;"",UPPER(_xlpm.MyAuditVal),_xlpm.MacVal&lt;&gt;"",_xlpm.MacVal,_xlpm.CSVVal&lt;&gt;"",_xlpm.CSVVal
)),"")</f>
        <v/>
      </c>
      <c r="L469" s="45" t="str" cm="1">
        <f t="array" ref="L469">IFERROR(_xlfn.LET(
_xlpm.CSVVal,_xlfn.XLOOKUP($A469,CSV!$A:$A,CSV!P:P,""),
_xlpm.MacVal,_xlfn.XLOOKUP($A469,Output_Mac!$A:$A,Output_Mac!M:M,""),
_xlpm.MyAuditVal,_xlfn.XLOOKUP($A469,My_Audit!$A:$A,My_Audit!K:K,""),
_xlfn.IFS(_xlpm.MyAuditVal&lt;&gt;"",UPPER(_xlpm.MyAuditVal),_xlpm.MacVal&lt;&gt;"",_xlpm.MacVal,_xlpm.CSVVal&lt;&gt;"",_xlpm.CSVVal
)),"")</f>
        <v/>
      </c>
      <c r="M469" s="45" t="str">
        <f>_xlfn.LET(
    _xlpm.CSVVal, _xlfn.XLOOKUP($A469, CSV!$A:$A, CSV!AE:AE, ""),
    _xlpm.MacVal, _xlfn.XLOOKUP($A469, Output_Mac!$A:$A, Output_Mac!S:S, ""),
    _xlpm.MyAuditVal, _xlfn.XLOOKUP($A469, My_Audit!$A:$A, My_Audit!N:N, ""),
    _xlfn.TEXTJOIN(", ", TRUE, _xlpm.MyAuditVal, _xlpm.MacVal, _xlpm.CSVVal)
)</f>
        <v/>
      </c>
      <c r="N469" s="45" t="str" cm="1">
        <f t="array" ref="N469">IFERROR(_xlfn.LET(
_xlpm.CSVVal,_xlfn.XLOOKUP($A469,CSV!$A:$A,CSV!AG:AG,""),
_xlpm.MacVal,_xlfn.XLOOKUP($A469,Output_Mac!$A:$A,Output_Mac!U:U,""),
_xlpm.MyAuditVal,_xlfn.XLOOKUP($A469,My_Audit!$A:$A,My_Audit!O:O,""),
_xlfn.IFS(_xlpm.MyAuditVal&lt;&gt;"",UPPER(_xlpm.MyAuditVal),_xlpm.MacVal&lt;&gt;"",_xlpm.MacVal,_xlpm.CSVVal&lt;&gt;"",_xlpm.CSVVal
)),"")</f>
        <v/>
      </c>
      <c r="O469" s="45"/>
      <c r="P469" s="45"/>
      <c r="Q469" s="46" t="str">
        <f>IF(LEFT(N469,4)="Pass","Nist SP 800-88",My_Audit!R469)&amp;""</f>
        <v/>
      </c>
      <c r="R469" s="45"/>
      <c r="S469" s="45"/>
      <c r="T469" s="46" t="str">
        <f>_xlfn.XLOOKUP(E469,Models!I:I,Models!J:J,"")</f>
        <v/>
      </c>
      <c r="U469" s="45"/>
      <c r="V469" s="45"/>
      <c r="W469" s="38"/>
    </row>
    <row r="470" spans="1:23">
      <c r="A470" s="45" t="str">
        <f>_xlfn.TEXTJOIN("",TRUE,Input!$B$2,ROW(My_Audit!A469))</f>
        <v>XX469</v>
      </c>
      <c r="B470" s="45" t="str">
        <f>_xlfn.TEXTJOIN("-",TRUE,"ITD",Input!$A$2,A470)</f>
        <v>ITD-SHRXXX-XX469</v>
      </c>
      <c r="C470" s="45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46" t="str" cm="1">
        <f t="array" ref="D470">IFERROR(_xlfn.LET(
_xlpm.CSVVal,_xlfn.XLOOKUP($A470,CSV!$A:$A,CSV!C:C,""),
_xlpm.MacVal,_xlfn.XLOOKUP($A470,Output_Mac!$A:$A,Output_Mac!D:D,""),
_xlpm.MyAuditVal,_xlfn.XLOOKUP($A470,My_Audit!$A:$A,My_Audit!C:C,""),
_xlfn.IFS(_xlpm.MyAuditVal&lt;&gt;"",UPPER(_xlpm.MyAuditVal),_xlpm.MacVal&lt;&gt;"",_xlpm.MacVal,_xlpm.CSVVal&lt;&gt;"",_xlpm.CSVVal
)),"")</f>
        <v/>
      </c>
      <c r="E470" s="46" t="str" cm="1">
        <f t="array" ref="E470">IFERROR(_xlfn.LET(
_xlpm.CSVVal,_xlfn.XLOOKUP($A470,CSV!$A:$A,CSV!E:E,""),
_xlpm.MacVal,_xlfn.XLOOKUP($A470,Output_Mac!$A:$A,Output_Mac!C:C,""),
_xlpm.MyAuditVal,_xlfn.XLOOKUP($A470,My_Audit!$A:$A,My_Audit!D:D,""),
_xlfn.IFS(_xlpm.MyAuditVal&lt;&gt;"",_xlpm.MyAuditVal,_xlpm.MacVal&lt;&gt;"",_xlpm.MacVal,_xlpm.CSVVal&lt;&gt;"",_xlpm.CSVVal
)),"")</f>
        <v/>
      </c>
      <c r="F470" s="45" t="str" cm="1">
        <f t="array" ref="F470">IFERROR(_xlfn.LET(
_xlpm.CSVVal,_xlfn.XLOOKUP($A470,CSV!$A:$A,CSV!F:F,""),
_xlpm.MacVal,_xlfn.XLOOKUP($A470,Output_Mac!$A:$A,Output_Mac!F:F,""),
_xlpm.MyAuditVal,_xlfn.XLOOKUP($A470,My_Audit!$A:$A,My_Audit!E:E,""),
_xlfn.IFS(_xlpm.MyAuditVal&lt;&gt;"",_xlpm.MyAuditVal,_xlpm.MacVal&lt;&gt;"",_xlpm.MacVal,_xlpm.CSVVal&lt;&gt;"",PROPER(_xlpm.CSVVal)
)),"")</f>
        <v/>
      </c>
      <c r="G470" s="45" t="str" cm="1">
        <f t="array" ref="G470">IFERROR(_xlfn.LET(
_xlpm.CSVVal,_xlfn.XLOOKUP($A470,CSV!$A:$A,CSV!G:G,""),
_xlpm.MacVal,_xlfn.XLOOKUP($A470,Output_Mac!$A:$A,Output_Mac!H:H,""),
_xlpm.MyAuditVal,_xlfn.XLOOKUP($A470,My_Audit!$A:$A,My_Audit!F:F,""),
_xlfn.IFS(_xlpm.MyAuditVal&lt;&gt;"",_xlpm.MyAuditVal,_xlpm.MacVal&lt;&gt;"",_xlpm.MacVal,_xlpm.CSVVal&lt;&gt;"",_xlpm.CSVVal
)),"")</f>
        <v/>
      </c>
      <c r="H470" s="45" t="str">
        <f>_xlfn.XLOOKUP(A470,Output_Mac!A:A,Output_Mac!I:I,"")</f>
        <v/>
      </c>
      <c r="I470" s="45" t="str" cm="1">
        <f t="array" ref="I470">IFERROR(_xlfn.LET(
_xlpm.CSVVal,_xlfn.XLOOKUP($A470,CSV!$A:$A,CSV!H:H,""),
_xlpm.MacVal,_xlfn.XLOOKUP($A470,Output_Mac!$A:$A,Output_Mac!J:J,""),
_xlpm.MyAuditVal,_xlfn.XLOOKUP($A470,My_Audit!$A:$A,My_Audit!H:H,""),
_xlfn.IFS(_xlpm.MyAuditVal&lt;&gt;"",UPPER(_xlpm.MyAuditVal),_xlpm.MacVal&lt;&gt;"",_xlpm.MacVal,_xlpm.CSVVal&lt;&gt;"",_xlpm.CSVVal
)),"")</f>
        <v/>
      </c>
      <c r="J470" s="45" t="str" cm="1">
        <f t="array" ref="J470">IFERROR(_xlfn.LET(
_xlpm.CSVVal,_xlfn.XLOOKUP($A470,CSV!$A:$A,CSV!J:J,""),
_xlpm.MacVal,_xlfn.XLOOKUP($A470,Output_Mac!$A:$A,Output_Mac!K:K,""),
_xlpm.MyAuditVal,_xlfn.XLOOKUP($A470,My_Audit!$A:$A,My_Audit!I:I,""),
_xlfn.IFS(_xlpm.MyAuditVal&lt;&gt;"",UPPER(_xlpm.MyAuditVal),_xlpm.MacVal&lt;&gt;"",_xlpm.MacVal,_xlpm.CSVVal&lt;&gt;"",_xlpm.CSVVal
)),"")</f>
        <v/>
      </c>
      <c r="K470" s="45" t="str" cm="1">
        <f t="array" ref="K470">IFERROR(_xlfn.LET(
_xlpm.CSVVal,_xlfn.XLOOKUP($A470,CSV!$A:$A,CSV!N:N,""),
_xlpm.MacVal,_xlfn.XLOOKUP($A470,Output_Mac!$A:$A,Output_Mac!L:L,""),
_xlpm.MyAuditVal,_xlfn.XLOOKUP($A470,My_Audit!$A:$A,My_Audit!J:J,""),
_xlfn.IFS(_xlpm.MyAuditVal&lt;&gt;"",UPPER(_xlpm.MyAuditVal),_xlpm.MacVal&lt;&gt;"",_xlpm.MacVal,_xlpm.CSVVal&lt;&gt;"",_xlpm.CSVVal
)),"")</f>
        <v/>
      </c>
      <c r="L470" s="45" t="str" cm="1">
        <f t="array" ref="L470">IFERROR(_xlfn.LET(
_xlpm.CSVVal,_xlfn.XLOOKUP($A470,CSV!$A:$A,CSV!P:P,""),
_xlpm.MacVal,_xlfn.XLOOKUP($A470,Output_Mac!$A:$A,Output_Mac!M:M,""),
_xlpm.MyAuditVal,_xlfn.XLOOKUP($A470,My_Audit!$A:$A,My_Audit!K:K,""),
_xlfn.IFS(_xlpm.MyAuditVal&lt;&gt;"",UPPER(_xlpm.MyAuditVal),_xlpm.MacVal&lt;&gt;"",_xlpm.MacVal,_xlpm.CSVVal&lt;&gt;"",_xlpm.CSVVal
)),"")</f>
        <v/>
      </c>
      <c r="M470" s="45" t="str">
        <f>_xlfn.LET(
    _xlpm.CSVVal, _xlfn.XLOOKUP($A470, CSV!$A:$A, CSV!AE:AE, ""),
    _xlpm.MacVal, _xlfn.XLOOKUP($A470, Output_Mac!$A:$A, Output_Mac!S:S, ""),
    _xlpm.MyAuditVal, _xlfn.XLOOKUP($A470, My_Audit!$A:$A, My_Audit!N:N, ""),
    _xlfn.TEXTJOIN(", ", TRUE, _xlpm.MyAuditVal, _xlpm.MacVal, _xlpm.CSVVal)
)</f>
        <v/>
      </c>
      <c r="N470" s="45" t="str" cm="1">
        <f t="array" ref="N470">IFERROR(_xlfn.LET(
_xlpm.CSVVal,_xlfn.XLOOKUP($A470,CSV!$A:$A,CSV!AG:AG,""),
_xlpm.MacVal,_xlfn.XLOOKUP($A470,Output_Mac!$A:$A,Output_Mac!U:U,""),
_xlpm.MyAuditVal,_xlfn.XLOOKUP($A470,My_Audit!$A:$A,My_Audit!O:O,""),
_xlfn.IFS(_xlpm.MyAuditVal&lt;&gt;"",UPPER(_xlpm.MyAuditVal),_xlpm.MacVal&lt;&gt;"",_xlpm.MacVal,_xlpm.CSVVal&lt;&gt;"",_xlpm.CSVVal
)),"")</f>
        <v/>
      </c>
      <c r="O470" s="45"/>
      <c r="P470" s="45"/>
      <c r="Q470" s="46" t="str">
        <f>IF(LEFT(N470,4)="Pass","Nist SP 800-88",My_Audit!R470)&amp;""</f>
        <v/>
      </c>
      <c r="R470" s="45"/>
      <c r="S470" s="45"/>
      <c r="T470" s="46" t="str">
        <f>_xlfn.XLOOKUP(E470,Models!I:I,Models!J:J,"")</f>
        <v/>
      </c>
      <c r="U470" s="45"/>
      <c r="V470" s="45"/>
      <c r="W470" s="38"/>
    </row>
    <row r="471" spans="1:23">
      <c r="A471" s="45" t="str">
        <f>_xlfn.TEXTJOIN("",TRUE,Input!$B$2,ROW(My_Audit!A470))</f>
        <v>XX470</v>
      </c>
      <c r="B471" s="45" t="str">
        <f>_xlfn.TEXTJOIN("-",TRUE,"ITD",Input!$A$2,A471)</f>
        <v>ITD-SHRXXX-XX470</v>
      </c>
      <c r="C471" s="45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46" t="str" cm="1">
        <f t="array" ref="D471">IFERROR(_xlfn.LET(
_xlpm.CSVVal,_xlfn.XLOOKUP($A471,CSV!$A:$A,CSV!C:C,""),
_xlpm.MacVal,_xlfn.XLOOKUP($A471,Output_Mac!$A:$A,Output_Mac!D:D,""),
_xlpm.MyAuditVal,_xlfn.XLOOKUP($A471,My_Audit!$A:$A,My_Audit!C:C,""),
_xlfn.IFS(_xlpm.MyAuditVal&lt;&gt;"",UPPER(_xlpm.MyAuditVal),_xlpm.MacVal&lt;&gt;"",_xlpm.MacVal,_xlpm.CSVVal&lt;&gt;"",_xlpm.CSVVal
)),"")</f>
        <v/>
      </c>
      <c r="E471" s="46" t="str" cm="1">
        <f t="array" ref="E471">IFERROR(_xlfn.LET(
_xlpm.CSVVal,_xlfn.XLOOKUP($A471,CSV!$A:$A,CSV!E:E,""),
_xlpm.MacVal,_xlfn.XLOOKUP($A471,Output_Mac!$A:$A,Output_Mac!C:C,""),
_xlpm.MyAuditVal,_xlfn.XLOOKUP($A471,My_Audit!$A:$A,My_Audit!D:D,""),
_xlfn.IFS(_xlpm.MyAuditVal&lt;&gt;"",_xlpm.MyAuditVal,_xlpm.MacVal&lt;&gt;"",_xlpm.MacVal,_xlpm.CSVVal&lt;&gt;"",_xlpm.CSVVal
)),"")</f>
        <v/>
      </c>
      <c r="F471" s="45" t="str" cm="1">
        <f t="array" ref="F471">IFERROR(_xlfn.LET(
_xlpm.CSVVal,_xlfn.XLOOKUP($A471,CSV!$A:$A,CSV!F:F,""),
_xlpm.MacVal,_xlfn.XLOOKUP($A471,Output_Mac!$A:$A,Output_Mac!F:F,""),
_xlpm.MyAuditVal,_xlfn.XLOOKUP($A471,My_Audit!$A:$A,My_Audit!E:E,""),
_xlfn.IFS(_xlpm.MyAuditVal&lt;&gt;"",_xlpm.MyAuditVal,_xlpm.MacVal&lt;&gt;"",_xlpm.MacVal,_xlpm.CSVVal&lt;&gt;"",PROPER(_xlpm.CSVVal)
)),"")</f>
        <v/>
      </c>
      <c r="G471" s="45" t="str" cm="1">
        <f t="array" ref="G471">IFERROR(_xlfn.LET(
_xlpm.CSVVal,_xlfn.XLOOKUP($A471,CSV!$A:$A,CSV!G:G,""),
_xlpm.MacVal,_xlfn.XLOOKUP($A471,Output_Mac!$A:$A,Output_Mac!H:H,""),
_xlpm.MyAuditVal,_xlfn.XLOOKUP($A471,My_Audit!$A:$A,My_Audit!F:F,""),
_xlfn.IFS(_xlpm.MyAuditVal&lt;&gt;"",_xlpm.MyAuditVal,_xlpm.MacVal&lt;&gt;"",_xlpm.MacVal,_xlpm.CSVVal&lt;&gt;"",_xlpm.CSVVal
)),"")</f>
        <v/>
      </c>
      <c r="H471" s="45" t="str">
        <f>_xlfn.XLOOKUP(A471,Output_Mac!A:A,Output_Mac!I:I,"")</f>
        <v/>
      </c>
      <c r="I471" s="45" t="str" cm="1">
        <f t="array" ref="I471">IFERROR(_xlfn.LET(
_xlpm.CSVVal,_xlfn.XLOOKUP($A471,CSV!$A:$A,CSV!H:H,""),
_xlpm.MacVal,_xlfn.XLOOKUP($A471,Output_Mac!$A:$A,Output_Mac!J:J,""),
_xlpm.MyAuditVal,_xlfn.XLOOKUP($A471,My_Audit!$A:$A,My_Audit!H:H,""),
_xlfn.IFS(_xlpm.MyAuditVal&lt;&gt;"",UPPER(_xlpm.MyAuditVal),_xlpm.MacVal&lt;&gt;"",_xlpm.MacVal,_xlpm.CSVVal&lt;&gt;"",_xlpm.CSVVal
)),"")</f>
        <v/>
      </c>
      <c r="J471" s="45" t="str" cm="1">
        <f t="array" ref="J471">IFERROR(_xlfn.LET(
_xlpm.CSVVal,_xlfn.XLOOKUP($A471,CSV!$A:$A,CSV!J:J,""),
_xlpm.MacVal,_xlfn.XLOOKUP($A471,Output_Mac!$A:$A,Output_Mac!K:K,""),
_xlpm.MyAuditVal,_xlfn.XLOOKUP($A471,My_Audit!$A:$A,My_Audit!I:I,""),
_xlfn.IFS(_xlpm.MyAuditVal&lt;&gt;"",UPPER(_xlpm.MyAuditVal),_xlpm.MacVal&lt;&gt;"",_xlpm.MacVal,_xlpm.CSVVal&lt;&gt;"",_xlpm.CSVVal
)),"")</f>
        <v/>
      </c>
      <c r="K471" s="45" t="str" cm="1">
        <f t="array" ref="K471">IFERROR(_xlfn.LET(
_xlpm.CSVVal,_xlfn.XLOOKUP($A471,CSV!$A:$A,CSV!N:N,""),
_xlpm.MacVal,_xlfn.XLOOKUP($A471,Output_Mac!$A:$A,Output_Mac!L:L,""),
_xlpm.MyAuditVal,_xlfn.XLOOKUP($A471,My_Audit!$A:$A,My_Audit!J:J,""),
_xlfn.IFS(_xlpm.MyAuditVal&lt;&gt;"",UPPER(_xlpm.MyAuditVal),_xlpm.MacVal&lt;&gt;"",_xlpm.MacVal,_xlpm.CSVVal&lt;&gt;"",_xlpm.CSVVal
)),"")</f>
        <v/>
      </c>
      <c r="L471" s="45" t="str" cm="1">
        <f t="array" ref="L471">IFERROR(_xlfn.LET(
_xlpm.CSVVal,_xlfn.XLOOKUP($A471,CSV!$A:$A,CSV!P:P,""),
_xlpm.MacVal,_xlfn.XLOOKUP($A471,Output_Mac!$A:$A,Output_Mac!M:M,""),
_xlpm.MyAuditVal,_xlfn.XLOOKUP($A471,My_Audit!$A:$A,My_Audit!K:K,""),
_xlfn.IFS(_xlpm.MyAuditVal&lt;&gt;"",UPPER(_xlpm.MyAuditVal),_xlpm.MacVal&lt;&gt;"",_xlpm.MacVal,_xlpm.CSVVal&lt;&gt;"",_xlpm.CSVVal
)),"")</f>
        <v/>
      </c>
      <c r="M471" s="45" t="str">
        <f>_xlfn.LET(
    _xlpm.CSVVal, _xlfn.XLOOKUP($A471, CSV!$A:$A, CSV!AE:AE, ""),
    _xlpm.MacVal, _xlfn.XLOOKUP($A471, Output_Mac!$A:$A, Output_Mac!S:S, ""),
    _xlpm.MyAuditVal, _xlfn.XLOOKUP($A471, My_Audit!$A:$A, My_Audit!N:N, ""),
    _xlfn.TEXTJOIN(", ", TRUE, _xlpm.MyAuditVal, _xlpm.MacVal, _xlpm.CSVVal)
)</f>
        <v/>
      </c>
      <c r="N471" s="45" t="str" cm="1">
        <f t="array" ref="N471">IFERROR(_xlfn.LET(
_xlpm.CSVVal,_xlfn.XLOOKUP($A471,CSV!$A:$A,CSV!AG:AG,""),
_xlpm.MacVal,_xlfn.XLOOKUP($A471,Output_Mac!$A:$A,Output_Mac!U:U,""),
_xlpm.MyAuditVal,_xlfn.XLOOKUP($A471,My_Audit!$A:$A,My_Audit!O:O,""),
_xlfn.IFS(_xlpm.MyAuditVal&lt;&gt;"",UPPER(_xlpm.MyAuditVal),_xlpm.MacVal&lt;&gt;"",_xlpm.MacVal,_xlpm.CSVVal&lt;&gt;"",_xlpm.CSVVal
)),"")</f>
        <v/>
      </c>
      <c r="O471" s="45"/>
      <c r="P471" s="45"/>
      <c r="Q471" s="46" t="str">
        <f>IF(LEFT(N471,4)="Pass","Nist SP 800-88",My_Audit!R471)&amp;""</f>
        <v/>
      </c>
      <c r="R471" s="45"/>
      <c r="S471" s="45"/>
      <c r="T471" s="46" t="str">
        <f>_xlfn.XLOOKUP(E471,Models!I:I,Models!J:J,"")</f>
        <v/>
      </c>
      <c r="U471" s="45"/>
      <c r="V471" s="45"/>
      <c r="W471" s="38"/>
    </row>
    <row r="472" spans="1:23">
      <c r="A472" s="45" t="str">
        <f>_xlfn.TEXTJOIN("",TRUE,Input!$B$2,ROW(My_Audit!A471))</f>
        <v>XX471</v>
      </c>
      <c r="B472" s="45" t="str">
        <f>_xlfn.TEXTJOIN("-",TRUE,"ITD",Input!$A$2,A472)</f>
        <v>ITD-SHRXXX-XX471</v>
      </c>
      <c r="C472" s="45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46" t="str" cm="1">
        <f t="array" ref="D472">IFERROR(_xlfn.LET(
_xlpm.CSVVal,_xlfn.XLOOKUP($A472,CSV!$A:$A,CSV!C:C,""),
_xlpm.MacVal,_xlfn.XLOOKUP($A472,Output_Mac!$A:$A,Output_Mac!D:D,""),
_xlpm.MyAuditVal,_xlfn.XLOOKUP($A472,My_Audit!$A:$A,My_Audit!C:C,""),
_xlfn.IFS(_xlpm.MyAuditVal&lt;&gt;"",UPPER(_xlpm.MyAuditVal),_xlpm.MacVal&lt;&gt;"",_xlpm.MacVal,_xlpm.CSVVal&lt;&gt;"",_xlpm.CSVVal
)),"")</f>
        <v/>
      </c>
      <c r="E472" s="46" t="str" cm="1">
        <f t="array" ref="E472">IFERROR(_xlfn.LET(
_xlpm.CSVVal,_xlfn.XLOOKUP($A472,CSV!$A:$A,CSV!E:E,""),
_xlpm.MacVal,_xlfn.XLOOKUP($A472,Output_Mac!$A:$A,Output_Mac!C:C,""),
_xlpm.MyAuditVal,_xlfn.XLOOKUP($A472,My_Audit!$A:$A,My_Audit!D:D,""),
_xlfn.IFS(_xlpm.MyAuditVal&lt;&gt;"",_xlpm.MyAuditVal,_xlpm.MacVal&lt;&gt;"",_xlpm.MacVal,_xlpm.CSVVal&lt;&gt;"",_xlpm.CSVVal
)),"")</f>
        <v/>
      </c>
      <c r="F472" s="45" t="str" cm="1">
        <f t="array" ref="F472">IFERROR(_xlfn.LET(
_xlpm.CSVVal,_xlfn.XLOOKUP($A472,CSV!$A:$A,CSV!F:F,""),
_xlpm.MacVal,_xlfn.XLOOKUP($A472,Output_Mac!$A:$A,Output_Mac!F:F,""),
_xlpm.MyAuditVal,_xlfn.XLOOKUP($A472,My_Audit!$A:$A,My_Audit!E:E,""),
_xlfn.IFS(_xlpm.MyAuditVal&lt;&gt;"",_xlpm.MyAuditVal,_xlpm.MacVal&lt;&gt;"",_xlpm.MacVal,_xlpm.CSVVal&lt;&gt;"",PROPER(_xlpm.CSVVal)
)),"")</f>
        <v/>
      </c>
      <c r="G472" s="45" t="str" cm="1">
        <f t="array" ref="G472">IFERROR(_xlfn.LET(
_xlpm.CSVVal,_xlfn.XLOOKUP($A472,CSV!$A:$A,CSV!G:G,""),
_xlpm.MacVal,_xlfn.XLOOKUP($A472,Output_Mac!$A:$A,Output_Mac!H:H,""),
_xlpm.MyAuditVal,_xlfn.XLOOKUP($A472,My_Audit!$A:$A,My_Audit!F:F,""),
_xlfn.IFS(_xlpm.MyAuditVal&lt;&gt;"",_xlpm.MyAuditVal,_xlpm.MacVal&lt;&gt;"",_xlpm.MacVal,_xlpm.CSVVal&lt;&gt;"",_xlpm.CSVVal
)),"")</f>
        <v/>
      </c>
      <c r="H472" s="45" t="str">
        <f>_xlfn.XLOOKUP(A472,Output_Mac!A:A,Output_Mac!I:I,"")</f>
        <v/>
      </c>
      <c r="I472" s="45" t="str" cm="1">
        <f t="array" ref="I472">IFERROR(_xlfn.LET(
_xlpm.CSVVal,_xlfn.XLOOKUP($A472,CSV!$A:$A,CSV!H:H,""),
_xlpm.MacVal,_xlfn.XLOOKUP($A472,Output_Mac!$A:$A,Output_Mac!J:J,""),
_xlpm.MyAuditVal,_xlfn.XLOOKUP($A472,My_Audit!$A:$A,My_Audit!H:H,""),
_xlfn.IFS(_xlpm.MyAuditVal&lt;&gt;"",UPPER(_xlpm.MyAuditVal),_xlpm.MacVal&lt;&gt;"",_xlpm.MacVal,_xlpm.CSVVal&lt;&gt;"",_xlpm.CSVVal
)),"")</f>
        <v/>
      </c>
      <c r="J472" s="45" t="str" cm="1">
        <f t="array" ref="J472">IFERROR(_xlfn.LET(
_xlpm.CSVVal,_xlfn.XLOOKUP($A472,CSV!$A:$A,CSV!J:J,""),
_xlpm.MacVal,_xlfn.XLOOKUP($A472,Output_Mac!$A:$A,Output_Mac!K:K,""),
_xlpm.MyAuditVal,_xlfn.XLOOKUP($A472,My_Audit!$A:$A,My_Audit!I:I,""),
_xlfn.IFS(_xlpm.MyAuditVal&lt;&gt;"",UPPER(_xlpm.MyAuditVal),_xlpm.MacVal&lt;&gt;"",_xlpm.MacVal,_xlpm.CSVVal&lt;&gt;"",_xlpm.CSVVal
)),"")</f>
        <v/>
      </c>
      <c r="K472" s="45" t="str" cm="1">
        <f t="array" ref="K472">IFERROR(_xlfn.LET(
_xlpm.CSVVal,_xlfn.XLOOKUP($A472,CSV!$A:$A,CSV!N:N,""),
_xlpm.MacVal,_xlfn.XLOOKUP($A472,Output_Mac!$A:$A,Output_Mac!L:L,""),
_xlpm.MyAuditVal,_xlfn.XLOOKUP($A472,My_Audit!$A:$A,My_Audit!J:J,""),
_xlfn.IFS(_xlpm.MyAuditVal&lt;&gt;"",UPPER(_xlpm.MyAuditVal),_xlpm.MacVal&lt;&gt;"",_xlpm.MacVal,_xlpm.CSVVal&lt;&gt;"",_xlpm.CSVVal
)),"")</f>
        <v/>
      </c>
      <c r="L472" s="45" t="str" cm="1">
        <f t="array" ref="L472">IFERROR(_xlfn.LET(
_xlpm.CSVVal,_xlfn.XLOOKUP($A472,CSV!$A:$A,CSV!P:P,""),
_xlpm.MacVal,_xlfn.XLOOKUP($A472,Output_Mac!$A:$A,Output_Mac!M:M,""),
_xlpm.MyAuditVal,_xlfn.XLOOKUP($A472,My_Audit!$A:$A,My_Audit!K:K,""),
_xlfn.IFS(_xlpm.MyAuditVal&lt;&gt;"",UPPER(_xlpm.MyAuditVal),_xlpm.MacVal&lt;&gt;"",_xlpm.MacVal,_xlpm.CSVVal&lt;&gt;"",_xlpm.CSVVal
)),"")</f>
        <v/>
      </c>
      <c r="M472" s="45" t="str">
        <f>_xlfn.LET(
    _xlpm.CSVVal, _xlfn.XLOOKUP($A472, CSV!$A:$A, CSV!AE:AE, ""),
    _xlpm.MacVal, _xlfn.XLOOKUP($A472, Output_Mac!$A:$A, Output_Mac!S:S, ""),
    _xlpm.MyAuditVal, _xlfn.XLOOKUP($A472, My_Audit!$A:$A, My_Audit!N:N, ""),
    _xlfn.TEXTJOIN(", ", TRUE, _xlpm.MyAuditVal, _xlpm.MacVal, _xlpm.CSVVal)
)</f>
        <v/>
      </c>
      <c r="N472" s="45" t="str" cm="1">
        <f t="array" ref="N472">IFERROR(_xlfn.LET(
_xlpm.CSVVal,_xlfn.XLOOKUP($A472,CSV!$A:$A,CSV!AG:AG,""),
_xlpm.MacVal,_xlfn.XLOOKUP($A472,Output_Mac!$A:$A,Output_Mac!U:U,""),
_xlpm.MyAuditVal,_xlfn.XLOOKUP($A472,My_Audit!$A:$A,My_Audit!O:O,""),
_xlfn.IFS(_xlpm.MyAuditVal&lt;&gt;"",UPPER(_xlpm.MyAuditVal),_xlpm.MacVal&lt;&gt;"",_xlpm.MacVal,_xlpm.CSVVal&lt;&gt;"",_xlpm.CSVVal
)),"")</f>
        <v/>
      </c>
      <c r="O472" s="45"/>
      <c r="P472" s="45"/>
      <c r="Q472" s="46" t="str">
        <f>IF(LEFT(N472,4)="Pass","Nist SP 800-88",My_Audit!R472)&amp;""</f>
        <v/>
      </c>
      <c r="R472" s="45"/>
      <c r="S472" s="45"/>
      <c r="T472" s="46" t="str">
        <f>_xlfn.XLOOKUP(E472,Models!I:I,Models!J:J,"")</f>
        <v/>
      </c>
      <c r="U472" s="45"/>
      <c r="V472" s="45"/>
      <c r="W472" s="38"/>
    </row>
    <row r="473" spans="1:23">
      <c r="A473" s="45" t="str">
        <f>_xlfn.TEXTJOIN("",TRUE,Input!$B$2,ROW(My_Audit!A472))</f>
        <v>XX472</v>
      </c>
      <c r="B473" s="45" t="str">
        <f>_xlfn.TEXTJOIN("-",TRUE,"ITD",Input!$A$2,A473)</f>
        <v>ITD-SHRXXX-XX472</v>
      </c>
      <c r="C473" s="45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46" t="str" cm="1">
        <f t="array" ref="D473">IFERROR(_xlfn.LET(
_xlpm.CSVVal,_xlfn.XLOOKUP($A473,CSV!$A:$A,CSV!C:C,""),
_xlpm.MacVal,_xlfn.XLOOKUP($A473,Output_Mac!$A:$A,Output_Mac!D:D,""),
_xlpm.MyAuditVal,_xlfn.XLOOKUP($A473,My_Audit!$A:$A,My_Audit!C:C,""),
_xlfn.IFS(_xlpm.MyAuditVal&lt;&gt;"",UPPER(_xlpm.MyAuditVal),_xlpm.MacVal&lt;&gt;"",_xlpm.MacVal,_xlpm.CSVVal&lt;&gt;"",_xlpm.CSVVal
)),"")</f>
        <v/>
      </c>
      <c r="E473" s="46" t="str" cm="1">
        <f t="array" ref="E473">IFERROR(_xlfn.LET(
_xlpm.CSVVal,_xlfn.XLOOKUP($A473,CSV!$A:$A,CSV!E:E,""),
_xlpm.MacVal,_xlfn.XLOOKUP($A473,Output_Mac!$A:$A,Output_Mac!C:C,""),
_xlpm.MyAuditVal,_xlfn.XLOOKUP($A473,My_Audit!$A:$A,My_Audit!D:D,""),
_xlfn.IFS(_xlpm.MyAuditVal&lt;&gt;"",_xlpm.MyAuditVal,_xlpm.MacVal&lt;&gt;"",_xlpm.MacVal,_xlpm.CSVVal&lt;&gt;"",_xlpm.CSVVal
)),"")</f>
        <v/>
      </c>
      <c r="F473" s="45" t="str" cm="1">
        <f t="array" ref="F473">IFERROR(_xlfn.LET(
_xlpm.CSVVal,_xlfn.XLOOKUP($A473,CSV!$A:$A,CSV!F:F,""),
_xlpm.MacVal,_xlfn.XLOOKUP($A473,Output_Mac!$A:$A,Output_Mac!F:F,""),
_xlpm.MyAuditVal,_xlfn.XLOOKUP($A473,My_Audit!$A:$A,My_Audit!E:E,""),
_xlfn.IFS(_xlpm.MyAuditVal&lt;&gt;"",_xlpm.MyAuditVal,_xlpm.MacVal&lt;&gt;"",_xlpm.MacVal,_xlpm.CSVVal&lt;&gt;"",PROPER(_xlpm.CSVVal)
)),"")</f>
        <v/>
      </c>
      <c r="G473" s="45" t="str" cm="1">
        <f t="array" ref="G473">IFERROR(_xlfn.LET(
_xlpm.CSVVal,_xlfn.XLOOKUP($A473,CSV!$A:$A,CSV!G:G,""),
_xlpm.MacVal,_xlfn.XLOOKUP($A473,Output_Mac!$A:$A,Output_Mac!H:H,""),
_xlpm.MyAuditVal,_xlfn.XLOOKUP($A473,My_Audit!$A:$A,My_Audit!F:F,""),
_xlfn.IFS(_xlpm.MyAuditVal&lt;&gt;"",_xlpm.MyAuditVal,_xlpm.MacVal&lt;&gt;"",_xlpm.MacVal,_xlpm.CSVVal&lt;&gt;"",_xlpm.CSVVal
)),"")</f>
        <v/>
      </c>
      <c r="H473" s="45" t="str">
        <f>_xlfn.XLOOKUP(A473,Output_Mac!A:A,Output_Mac!I:I,"")</f>
        <v/>
      </c>
      <c r="I473" s="45" t="str" cm="1">
        <f t="array" ref="I473">IFERROR(_xlfn.LET(
_xlpm.CSVVal,_xlfn.XLOOKUP($A473,CSV!$A:$A,CSV!H:H,""),
_xlpm.MacVal,_xlfn.XLOOKUP($A473,Output_Mac!$A:$A,Output_Mac!J:J,""),
_xlpm.MyAuditVal,_xlfn.XLOOKUP($A473,My_Audit!$A:$A,My_Audit!H:H,""),
_xlfn.IFS(_xlpm.MyAuditVal&lt;&gt;"",UPPER(_xlpm.MyAuditVal),_xlpm.MacVal&lt;&gt;"",_xlpm.MacVal,_xlpm.CSVVal&lt;&gt;"",_xlpm.CSVVal
)),"")</f>
        <v/>
      </c>
      <c r="J473" s="45" t="str" cm="1">
        <f t="array" ref="J473">IFERROR(_xlfn.LET(
_xlpm.CSVVal,_xlfn.XLOOKUP($A473,CSV!$A:$A,CSV!J:J,""),
_xlpm.MacVal,_xlfn.XLOOKUP($A473,Output_Mac!$A:$A,Output_Mac!K:K,""),
_xlpm.MyAuditVal,_xlfn.XLOOKUP($A473,My_Audit!$A:$A,My_Audit!I:I,""),
_xlfn.IFS(_xlpm.MyAuditVal&lt;&gt;"",UPPER(_xlpm.MyAuditVal),_xlpm.MacVal&lt;&gt;"",_xlpm.MacVal,_xlpm.CSVVal&lt;&gt;"",_xlpm.CSVVal
)),"")</f>
        <v/>
      </c>
      <c r="K473" s="45" t="str" cm="1">
        <f t="array" ref="K473">IFERROR(_xlfn.LET(
_xlpm.CSVVal,_xlfn.XLOOKUP($A473,CSV!$A:$A,CSV!N:N,""),
_xlpm.MacVal,_xlfn.XLOOKUP($A473,Output_Mac!$A:$A,Output_Mac!L:L,""),
_xlpm.MyAuditVal,_xlfn.XLOOKUP($A473,My_Audit!$A:$A,My_Audit!J:J,""),
_xlfn.IFS(_xlpm.MyAuditVal&lt;&gt;"",UPPER(_xlpm.MyAuditVal),_xlpm.MacVal&lt;&gt;"",_xlpm.MacVal,_xlpm.CSVVal&lt;&gt;"",_xlpm.CSVVal
)),"")</f>
        <v/>
      </c>
      <c r="L473" s="45" t="str" cm="1">
        <f t="array" ref="L473">IFERROR(_xlfn.LET(
_xlpm.CSVVal,_xlfn.XLOOKUP($A473,CSV!$A:$A,CSV!P:P,""),
_xlpm.MacVal,_xlfn.XLOOKUP($A473,Output_Mac!$A:$A,Output_Mac!M:M,""),
_xlpm.MyAuditVal,_xlfn.XLOOKUP($A473,My_Audit!$A:$A,My_Audit!K:K,""),
_xlfn.IFS(_xlpm.MyAuditVal&lt;&gt;"",UPPER(_xlpm.MyAuditVal),_xlpm.MacVal&lt;&gt;"",_xlpm.MacVal,_xlpm.CSVVal&lt;&gt;"",_xlpm.CSVVal
)),"")</f>
        <v/>
      </c>
      <c r="M473" s="45" t="str">
        <f>_xlfn.LET(
    _xlpm.CSVVal, _xlfn.XLOOKUP($A473, CSV!$A:$A, CSV!AE:AE, ""),
    _xlpm.MacVal, _xlfn.XLOOKUP($A473, Output_Mac!$A:$A, Output_Mac!S:S, ""),
    _xlpm.MyAuditVal, _xlfn.XLOOKUP($A473, My_Audit!$A:$A, My_Audit!N:N, ""),
    _xlfn.TEXTJOIN(", ", TRUE, _xlpm.MyAuditVal, _xlpm.MacVal, _xlpm.CSVVal)
)</f>
        <v/>
      </c>
      <c r="N473" s="45" t="str" cm="1">
        <f t="array" ref="N473">IFERROR(_xlfn.LET(
_xlpm.CSVVal,_xlfn.XLOOKUP($A473,CSV!$A:$A,CSV!AG:AG,""),
_xlpm.MacVal,_xlfn.XLOOKUP($A473,Output_Mac!$A:$A,Output_Mac!U:U,""),
_xlpm.MyAuditVal,_xlfn.XLOOKUP($A473,My_Audit!$A:$A,My_Audit!O:O,""),
_xlfn.IFS(_xlpm.MyAuditVal&lt;&gt;"",UPPER(_xlpm.MyAuditVal),_xlpm.MacVal&lt;&gt;"",_xlpm.MacVal,_xlpm.CSVVal&lt;&gt;"",_xlpm.CSVVal
)),"")</f>
        <v/>
      </c>
      <c r="O473" s="45"/>
      <c r="P473" s="45"/>
      <c r="Q473" s="46" t="str">
        <f>IF(LEFT(N473,4)="Pass","Nist SP 800-88",My_Audit!R473)&amp;""</f>
        <v/>
      </c>
      <c r="R473" s="45"/>
      <c r="S473" s="45"/>
      <c r="T473" s="46" t="str">
        <f>_xlfn.XLOOKUP(E473,Models!I:I,Models!J:J,"")</f>
        <v/>
      </c>
      <c r="U473" s="45"/>
      <c r="V473" s="45"/>
      <c r="W473" s="38"/>
    </row>
    <row r="474" spans="1:23">
      <c r="A474" s="45" t="str">
        <f>_xlfn.TEXTJOIN("",TRUE,Input!$B$2,ROW(My_Audit!A473))</f>
        <v>XX473</v>
      </c>
      <c r="B474" s="45" t="str">
        <f>_xlfn.TEXTJOIN("-",TRUE,"ITD",Input!$A$2,A474)</f>
        <v>ITD-SHRXXX-XX473</v>
      </c>
      <c r="C474" s="45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46" t="str" cm="1">
        <f t="array" ref="D474">IFERROR(_xlfn.LET(
_xlpm.CSVVal,_xlfn.XLOOKUP($A474,CSV!$A:$A,CSV!C:C,""),
_xlpm.MacVal,_xlfn.XLOOKUP($A474,Output_Mac!$A:$A,Output_Mac!D:D,""),
_xlpm.MyAuditVal,_xlfn.XLOOKUP($A474,My_Audit!$A:$A,My_Audit!C:C,""),
_xlfn.IFS(_xlpm.MyAuditVal&lt;&gt;"",UPPER(_xlpm.MyAuditVal),_xlpm.MacVal&lt;&gt;"",_xlpm.MacVal,_xlpm.CSVVal&lt;&gt;"",_xlpm.CSVVal
)),"")</f>
        <v/>
      </c>
      <c r="E474" s="46" t="str" cm="1">
        <f t="array" ref="E474">IFERROR(_xlfn.LET(
_xlpm.CSVVal,_xlfn.XLOOKUP($A474,CSV!$A:$A,CSV!E:E,""),
_xlpm.MacVal,_xlfn.XLOOKUP($A474,Output_Mac!$A:$A,Output_Mac!C:C,""),
_xlpm.MyAuditVal,_xlfn.XLOOKUP($A474,My_Audit!$A:$A,My_Audit!D:D,""),
_xlfn.IFS(_xlpm.MyAuditVal&lt;&gt;"",_xlpm.MyAuditVal,_xlpm.MacVal&lt;&gt;"",_xlpm.MacVal,_xlpm.CSVVal&lt;&gt;"",_xlpm.CSVVal
)),"")</f>
        <v/>
      </c>
      <c r="F474" s="45" t="str" cm="1">
        <f t="array" ref="F474">IFERROR(_xlfn.LET(
_xlpm.CSVVal,_xlfn.XLOOKUP($A474,CSV!$A:$A,CSV!F:F,""),
_xlpm.MacVal,_xlfn.XLOOKUP($A474,Output_Mac!$A:$A,Output_Mac!F:F,""),
_xlpm.MyAuditVal,_xlfn.XLOOKUP($A474,My_Audit!$A:$A,My_Audit!E:E,""),
_xlfn.IFS(_xlpm.MyAuditVal&lt;&gt;"",_xlpm.MyAuditVal,_xlpm.MacVal&lt;&gt;"",_xlpm.MacVal,_xlpm.CSVVal&lt;&gt;"",PROPER(_xlpm.CSVVal)
)),"")</f>
        <v/>
      </c>
      <c r="G474" s="45" t="str" cm="1">
        <f t="array" ref="G474">IFERROR(_xlfn.LET(
_xlpm.CSVVal,_xlfn.XLOOKUP($A474,CSV!$A:$A,CSV!G:G,""),
_xlpm.MacVal,_xlfn.XLOOKUP($A474,Output_Mac!$A:$A,Output_Mac!H:H,""),
_xlpm.MyAuditVal,_xlfn.XLOOKUP($A474,My_Audit!$A:$A,My_Audit!F:F,""),
_xlfn.IFS(_xlpm.MyAuditVal&lt;&gt;"",_xlpm.MyAuditVal,_xlpm.MacVal&lt;&gt;"",_xlpm.MacVal,_xlpm.CSVVal&lt;&gt;"",_xlpm.CSVVal
)),"")</f>
        <v/>
      </c>
      <c r="H474" s="45" t="str">
        <f>_xlfn.XLOOKUP(A474,Output_Mac!A:A,Output_Mac!I:I,"")</f>
        <v/>
      </c>
      <c r="I474" s="45" t="str" cm="1">
        <f t="array" ref="I474">IFERROR(_xlfn.LET(
_xlpm.CSVVal,_xlfn.XLOOKUP($A474,CSV!$A:$A,CSV!H:H,""),
_xlpm.MacVal,_xlfn.XLOOKUP($A474,Output_Mac!$A:$A,Output_Mac!J:J,""),
_xlpm.MyAuditVal,_xlfn.XLOOKUP($A474,My_Audit!$A:$A,My_Audit!H:H,""),
_xlfn.IFS(_xlpm.MyAuditVal&lt;&gt;"",UPPER(_xlpm.MyAuditVal),_xlpm.MacVal&lt;&gt;"",_xlpm.MacVal,_xlpm.CSVVal&lt;&gt;"",_xlpm.CSVVal
)),"")</f>
        <v/>
      </c>
      <c r="J474" s="45" t="str" cm="1">
        <f t="array" ref="J474">IFERROR(_xlfn.LET(
_xlpm.CSVVal,_xlfn.XLOOKUP($A474,CSV!$A:$A,CSV!J:J,""),
_xlpm.MacVal,_xlfn.XLOOKUP($A474,Output_Mac!$A:$A,Output_Mac!K:K,""),
_xlpm.MyAuditVal,_xlfn.XLOOKUP($A474,My_Audit!$A:$A,My_Audit!I:I,""),
_xlfn.IFS(_xlpm.MyAuditVal&lt;&gt;"",UPPER(_xlpm.MyAuditVal),_xlpm.MacVal&lt;&gt;"",_xlpm.MacVal,_xlpm.CSVVal&lt;&gt;"",_xlpm.CSVVal
)),"")</f>
        <v/>
      </c>
      <c r="K474" s="45" t="str" cm="1">
        <f t="array" ref="K474">IFERROR(_xlfn.LET(
_xlpm.CSVVal,_xlfn.XLOOKUP($A474,CSV!$A:$A,CSV!N:N,""),
_xlpm.MacVal,_xlfn.XLOOKUP($A474,Output_Mac!$A:$A,Output_Mac!L:L,""),
_xlpm.MyAuditVal,_xlfn.XLOOKUP($A474,My_Audit!$A:$A,My_Audit!J:J,""),
_xlfn.IFS(_xlpm.MyAuditVal&lt;&gt;"",UPPER(_xlpm.MyAuditVal),_xlpm.MacVal&lt;&gt;"",_xlpm.MacVal,_xlpm.CSVVal&lt;&gt;"",_xlpm.CSVVal
)),"")</f>
        <v/>
      </c>
      <c r="L474" s="45" t="str" cm="1">
        <f t="array" ref="L474">IFERROR(_xlfn.LET(
_xlpm.CSVVal,_xlfn.XLOOKUP($A474,CSV!$A:$A,CSV!P:P,""),
_xlpm.MacVal,_xlfn.XLOOKUP($A474,Output_Mac!$A:$A,Output_Mac!M:M,""),
_xlpm.MyAuditVal,_xlfn.XLOOKUP($A474,My_Audit!$A:$A,My_Audit!K:K,""),
_xlfn.IFS(_xlpm.MyAuditVal&lt;&gt;"",UPPER(_xlpm.MyAuditVal),_xlpm.MacVal&lt;&gt;"",_xlpm.MacVal,_xlpm.CSVVal&lt;&gt;"",_xlpm.CSVVal
)),"")</f>
        <v/>
      </c>
      <c r="M474" s="45" t="str">
        <f>_xlfn.LET(
    _xlpm.CSVVal, _xlfn.XLOOKUP($A474, CSV!$A:$A, CSV!AE:AE, ""),
    _xlpm.MacVal, _xlfn.XLOOKUP($A474, Output_Mac!$A:$A, Output_Mac!S:S, ""),
    _xlpm.MyAuditVal, _xlfn.XLOOKUP($A474, My_Audit!$A:$A, My_Audit!N:N, ""),
    _xlfn.TEXTJOIN(", ", TRUE, _xlpm.MyAuditVal, _xlpm.MacVal, _xlpm.CSVVal)
)</f>
        <v/>
      </c>
      <c r="N474" s="45" t="str" cm="1">
        <f t="array" ref="N474">IFERROR(_xlfn.LET(
_xlpm.CSVVal,_xlfn.XLOOKUP($A474,CSV!$A:$A,CSV!AG:AG,""),
_xlpm.MacVal,_xlfn.XLOOKUP($A474,Output_Mac!$A:$A,Output_Mac!U:U,""),
_xlpm.MyAuditVal,_xlfn.XLOOKUP($A474,My_Audit!$A:$A,My_Audit!O:O,""),
_xlfn.IFS(_xlpm.MyAuditVal&lt;&gt;"",UPPER(_xlpm.MyAuditVal),_xlpm.MacVal&lt;&gt;"",_xlpm.MacVal,_xlpm.CSVVal&lt;&gt;"",_xlpm.CSVVal
)),"")</f>
        <v/>
      </c>
      <c r="O474" s="45"/>
      <c r="P474" s="45"/>
      <c r="Q474" s="46" t="str">
        <f>IF(LEFT(N474,4)="Pass","Nist SP 800-88",My_Audit!R474)&amp;""</f>
        <v/>
      </c>
      <c r="R474" s="45"/>
      <c r="S474" s="45"/>
      <c r="T474" s="46" t="str">
        <f>_xlfn.XLOOKUP(E474,Models!I:I,Models!J:J,"")</f>
        <v/>
      </c>
      <c r="U474" s="45"/>
      <c r="V474" s="45"/>
      <c r="W474" s="38"/>
    </row>
    <row r="475" spans="1:23">
      <c r="A475" s="45" t="str">
        <f>_xlfn.TEXTJOIN("",TRUE,Input!$B$2,ROW(My_Audit!A474))</f>
        <v>XX474</v>
      </c>
      <c r="B475" s="45" t="str">
        <f>_xlfn.TEXTJOIN("-",TRUE,"ITD",Input!$A$2,A475)</f>
        <v>ITD-SHRXXX-XX474</v>
      </c>
      <c r="C475" s="45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46" t="str" cm="1">
        <f t="array" ref="D475">IFERROR(_xlfn.LET(
_xlpm.CSVVal,_xlfn.XLOOKUP($A475,CSV!$A:$A,CSV!C:C,""),
_xlpm.MacVal,_xlfn.XLOOKUP($A475,Output_Mac!$A:$A,Output_Mac!D:D,""),
_xlpm.MyAuditVal,_xlfn.XLOOKUP($A475,My_Audit!$A:$A,My_Audit!C:C,""),
_xlfn.IFS(_xlpm.MyAuditVal&lt;&gt;"",UPPER(_xlpm.MyAuditVal),_xlpm.MacVal&lt;&gt;"",_xlpm.MacVal,_xlpm.CSVVal&lt;&gt;"",_xlpm.CSVVal
)),"")</f>
        <v/>
      </c>
      <c r="E475" s="46" t="str" cm="1">
        <f t="array" ref="E475">IFERROR(_xlfn.LET(
_xlpm.CSVVal,_xlfn.XLOOKUP($A475,CSV!$A:$A,CSV!E:E,""),
_xlpm.MacVal,_xlfn.XLOOKUP($A475,Output_Mac!$A:$A,Output_Mac!C:C,""),
_xlpm.MyAuditVal,_xlfn.XLOOKUP($A475,My_Audit!$A:$A,My_Audit!D:D,""),
_xlfn.IFS(_xlpm.MyAuditVal&lt;&gt;"",_xlpm.MyAuditVal,_xlpm.MacVal&lt;&gt;"",_xlpm.MacVal,_xlpm.CSVVal&lt;&gt;"",_xlpm.CSVVal
)),"")</f>
        <v/>
      </c>
      <c r="F475" s="45" t="str" cm="1">
        <f t="array" ref="F475">IFERROR(_xlfn.LET(
_xlpm.CSVVal,_xlfn.XLOOKUP($A475,CSV!$A:$A,CSV!F:F,""),
_xlpm.MacVal,_xlfn.XLOOKUP($A475,Output_Mac!$A:$A,Output_Mac!F:F,""),
_xlpm.MyAuditVal,_xlfn.XLOOKUP($A475,My_Audit!$A:$A,My_Audit!E:E,""),
_xlfn.IFS(_xlpm.MyAuditVal&lt;&gt;"",_xlpm.MyAuditVal,_xlpm.MacVal&lt;&gt;"",_xlpm.MacVal,_xlpm.CSVVal&lt;&gt;"",PROPER(_xlpm.CSVVal)
)),"")</f>
        <v/>
      </c>
      <c r="G475" s="45" t="str" cm="1">
        <f t="array" ref="G475">IFERROR(_xlfn.LET(
_xlpm.CSVVal,_xlfn.XLOOKUP($A475,CSV!$A:$A,CSV!G:G,""),
_xlpm.MacVal,_xlfn.XLOOKUP($A475,Output_Mac!$A:$A,Output_Mac!H:H,""),
_xlpm.MyAuditVal,_xlfn.XLOOKUP($A475,My_Audit!$A:$A,My_Audit!F:F,""),
_xlfn.IFS(_xlpm.MyAuditVal&lt;&gt;"",_xlpm.MyAuditVal,_xlpm.MacVal&lt;&gt;"",_xlpm.MacVal,_xlpm.CSVVal&lt;&gt;"",_xlpm.CSVVal
)),"")</f>
        <v/>
      </c>
      <c r="H475" s="45" t="str">
        <f>_xlfn.XLOOKUP(A475,Output_Mac!A:A,Output_Mac!I:I,"")</f>
        <v/>
      </c>
      <c r="I475" s="45" t="str" cm="1">
        <f t="array" ref="I475">IFERROR(_xlfn.LET(
_xlpm.CSVVal,_xlfn.XLOOKUP($A475,CSV!$A:$A,CSV!H:H,""),
_xlpm.MacVal,_xlfn.XLOOKUP($A475,Output_Mac!$A:$A,Output_Mac!J:J,""),
_xlpm.MyAuditVal,_xlfn.XLOOKUP($A475,My_Audit!$A:$A,My_Audit!H:H,""),
_xlfn.IFS(_xlpm.MyAuditVal&lt;&gt;"",UPPER(_xlpm.MyAuditVal),_xlpm.MacVal&lt;&gt;"",_xlpm.MacVal,_xlpm.CSVVal&lt;&gt;"",_xlpm.CSVVal
)),"")</f>
        <v/>
      </c>
      <c r="J475" s="45" t="str" cm="1">
        <f t="array" ref="J475">IFERROR(_xlfn.LET(
_xlpm.CSVVal,_xlfn.XLOOKUP($A475,CSV!$A:$A,CSV!J:J,""),
_xlpm.MacVal,_xlfn.XLOOKUP($A475,Output_Mac!$A:$A,Output_Mac!K:K,""),
_xlpm.MyAuditVal,_xlfn.XLOOKUP($A475,My_Audit!$A:$A,My_Audit!I:I,""),
_xlfn.IFS(_xlpm.MyAuditVal&lt;&gt;"",UPPER(_xlpm.MyAuditVal),_xlpm.MacVal&lt;&gt;"",_xlpm.MacVal,_xlpm.CSVVal&lt;&gt;"",_xlpm.CSVVal
)),"")</f>
        <v/>
      </c>
      <c r="K475" s="45" t="str" cm="1">
        <f t="array" ref="K475">IFERROR(_xlfn.LET(
_xlpm.CSVVal,_xlfn.XLOOKUP($A475,CSV!$A:$A,CSV!N:N,""),
_xlpm.MacVal,_xlfn.XLOOKUP($A475,Output_Mac!$A:$A,Output_Mac!L:L,""),
_xlpm.MyAuditVal,_xlfn.XLOOKUP($A475,My_Audit!$A:$A,My_Audit!J:J,""),
_xlfn.IFS(_xlpm.MyAuditVal&lt;&gt;"",UPPER(_xlpm.MyAuditVal),_xlpm.MacVal&lt;&gt;"",_xlpm.MacVal,_xlpm.CSVVal&lt;&gt;"",_xlpm.CSVVal
)),"")</f>
        <v/>
      </c>
      <c r="L475" s="45" t="str" cm="1">
        <f t="array" ref="L475">IFERROR(_xlfn.LET(
_xlpm.CSVVal,_xlfn.XLOOKUP($A475,CSV!$A:$A,CSV!P:P,""),
_xlpm.MacVal,_xlfn.XLOOKUP($A475,Output_Mac!$A:$A,Output_Mac!M:M,""),
_xlpm.MyAuditVal,_xlfn.XLOOKUP($A475,My_Audit!$A:$A,My_Audit!K:K,""),
_xlfn.IFS(_xlpm.MyAuditVal&lt;&gt;"",UPPER(_xlpm.MyAuditVal),_xlpm.MacVal&lt;&gt;"",_xlpm.MacVal,_xlpm.CSVVal&lt;&gt;"",_xlpm.CSVVal
)),"")</f>
        <v/>
      </c>
      <c r="M475" s="45" t="str">
        <f>_xlfn.LET(
    _xlpm.CSVVal, _xlfn.XLOOKUP($A475, CSV!$A:$A, CSV!AE:AE, ""),
    _xlpm.MacVal, _xlfn.XLOOKUP($A475, Output_Mac!$A:$A, Output_Mac!S:S, ""),
    _xlpm.MyAuditVal, _xlfn.XLOOKUP($A475, My_Audit!$A:$A, My_Audit!N:N, ""),
    _xlfn.TEXTJOIN(", ", TRUE, _xlpm.MyAuditVal, _xlpm.MacVal, _xlpm.CSVVal)
)</f>
        <v/>
      </c>
      <c r="N475" s="45" t="str" cm="1">
        <f t="array" ref="N475">IFERROR(_xlfn.LET(
_xlpm.CSVVal,_xlfn.XLOOKUP($A475,CSV!$A:$A,CSV!AG:AG,""),
_xlpm.MacVal,_xlfn.XLOOKUP($A475,Output_Mac!$A:$A,Output_Mac!U:U,""),
_xlpm.MyAuditVal,_xlfn.XLOOKUP($A475,My_Audit!$A:$A,My_Audit!O:O,""),
_xlfn.IFS(_xlpm.MyAuditVal&lt;&gt;"",UPPER(_xlpm.MyAuditVal),_xlpm.MacVal&lt;&gt;"",_xlpm.MacVal,_xlpm.CSVVal&lt;&gt;"",_xlpm.CSVVal
)),"")</f>
        <v/>
      </c>
      <c r="O475" s="45"/>
      <c r="P475" s="45"/>
      <c r="Q475" s="46" t="str">
        <f>IF(LEFT(N475,4)="Pass","Nist SP 800-88",My_Audit!R475)&amp;""</f>
        <v/>
      </c>
      <c r="R475" s="45"/>
      <c r="S475" s="45"/>
      <c r="T475" s="46" t="str">
        <f>_xlfn.XLOOKUP(E475,Models!I:I,Models!J:J,"")</f>
        <v/>
      </c>
      <c r="U475" s="45"/>
      <c r="V475" s="45"/>
      <c r="W475" s="38"/>
    </row>
    <row r="476" spans="1:23">
      <c r="A476" s="45" t="str">
        <f>_xlfn.TEXTJOIN("",TRUE,Input!$B$2,ROW(My_Audit!A475))</f>
        <v>XX475</v>
      </c>
      <c r="B476" s="45" t="str">
        <f>_xlfn.TEXTJOIN("-",TRUE,"ITD",Input!$A$2,A476)</f>
        <v>ITD-SHRXXX-XX475</v>
      </c>
      <c r="C476" s="45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46" t="str" cm="1">
        <f t="array" ref="D476">IFERROR(_xlfn.LET(
_xlpm.CSVVal,_xlfn.XLOOKUP($A476,CSV!$A:$A,CSV!C:C,""),
_xlpm.MacVal,_xlfn.XLOOKUP($A476,Output_Mac!$A:$A,Output_Mac!D:D,""),
_xlpm.MyAuditVal,_xlfn.XLOOKUP($A476,My_Audit!$A:$A,My_Audit!C:C,""),
_xlfn.IFS(_xlpm.MyAuditVal&lt;&gt;"",UPPER(_xlpm.MyAuditVal),_xlpm.MacVal&lt;&gt;"",_xlpm.MacVal,_xlpm.CSVVal&lt;&gt;"",_xlpm.CSVVal
)),"")</f>
        <v/>
      </c>
      <c r="E476" s="46" t="str" cm="1">
        <f t="array" ref="E476">IFERROR(_xlfn.LET(
_xlpm.CSVVal,_xlfn.XLOOKUP($A476,CSV!$A:$A,CSV!E:E,""),
_xlpm.MacVal,_xlfn.XLOOKUP($A476,Output_Mac!$A:$A,Output_Mac!C:C,""),
_xlpm.MyAuditVal,_xlfn.XLOOKUP($A476,My_Audit!$A:$A,My_Audit!D:D,""),
_xlfn.IFS(_xlpm.MyAuditVal&lt;&gt;"",_xlpm.MyAuditVal,_xlpm.MacVal&lt;&gt;"",_xlpm.MacVal,_xlpm.CSVVal&lt;&gt;"",_xlpm.CSVVal
)),"")</f>
        <v/>
      </c>
      <c r="F476" s="45" t="str" cm="1">
        <f t="array" ref="F476">IFERROR(_xlfn.LET(
_xlpm.CSVVal,_xlfn.XLOOKUP($A476,CSV!$A:$A,CSV!F:F,""),
_xlpm.MacVal,_xlfn.XLOOKUP($A476,Output_Mac!$A:$A,Output_Mac!F:F,""),
_xlpm.MyAuditVal,_xlfn.XLOOKUP($A476,My_Audit!$A:$A,My_Audit!E:E,""),
_xlfn.IFS(_xlpm.MyAuditVal&lt;&gt;"",_xlpm.MyAuditVal,_xlpm.MacVal&lt;&gt;"",_xlpm.MacVal,_xlpm.CSVVal&lt;&gt;"",PROPER(_xlpm.CSVVal)
)),"")</f>
        <v/>
      </c>
      <c r="G476" s="45" t="str" cm="1">
        <f t="array" ref="G476">IFERROR(_xlfn.LET(
_xlpm.CSVVal,_xlfn.XLOOKUP($A476,CSV!$A:$A,CSV!G:G,""),
_xlpm.MacVal,_xlfn.XLOOKUP($A476,Output_Mac!$A:$A,Output_Mac!H:H,""),
_xlpm.MyAuditVal,_xlfn.XLOOKUP($A476,My_Audit!$A:$A,My_Audit!F:F,""),
_xlfn.IFS(_xlpm.MyAuditVal&lt;&gt;"",_xlpm.MyAuditVal,_xlpm.MacVal&lt;&gt;"",_xlpm.MacVal,_xlpm.CSVVal&lt;&gt;"",_xlpm.CSVVal
)),"")</f>
        <v/>
      </c>
      <c r="H476" s="45" t="str">
        <f>_xlfn.XLOOKUP(A476,Output_Mac!A:A,Output_Mac!I:I,"")</f>
        <v/>
      </c>
      <c r="I476" s="45" t="str" cm="1">
        <f t="array" ref="I476">IFERROR(_xlfn.LET(
_xlpm.CSVVal,_xlfn.XLOOKUP($A476,CSV!$A:$A,CSV!H:H,""),
_xlpm.MacVal,_xlfn.XLOOKUP($A476,Output_Mac!$A:$A,Output_Mac!J:J,""),
_xlpm.MyAuditVal,_xlfn.XLOOKUP($A476,My_Audit!$A:$A,My_Audit!H:H,""),
_xlfn.IFS(_xlpm.MyAuditVal&lt;&gt;"",UPPER(_xlpm.MyAuditVal),_xlpm.MacVal&lt;&gt;"",_xlpm.MacVal,_xlpm.CSVVal&lt;&gt;"",_xlpm.CSVVal
)),"")</f>
        <v/>
      </c>
      <c r="J476" s="45" t="str" cm="1">
        <f t="array" ref="J476">IFERROR(_xlfn.LET(
_xlpm.CSVVal,_xlfn.XLOOKUP($A476,CSV!$A:$A,CSV!J:J,""),
_xlpm.MacVal,_xlfn.XLOOKUP($A476,Output_Mac!$A:$A,Output_Mac!K:K,""),
_xlpm.MyAuditVal,_xlfn.XLOOKUP($A476,My_Audit!$A:$A,My_Audit!I:I,""),
_xlfn.IFS(_xlpm.MyAuditVal&lt;&gt;"",UPPER(_xlpm.MyAuditVal),_xlpm.MacVal&lt;&gt;"",_xlpm.MacVal,_xlpm.CSVVal&lt;&gt;"",_xlpm.CSVVal
)),"")</f>
        <v/>
      </c>
      <c r="K476" s="45" t="str" cm="1">
        <f t="array" ref="K476">IFERROR(_xlfn.LET(
_xlpm.CSVVal,_xlfn.XLOOKUP($A476,CSV!$A:$A,CSV!N:N,""),
_xlpm.MacVal,_xlfn.XLOOKUP($A476,Output_Mac!$A:$A,Output_Mac!L:L,""),
_xlpm.MyAuditVal,_xlfn.XLOOKUP($A476,My_Audit!$A:$A,My_Audit!J:J,""),
_xlfn.IFS(_xlpm.MyAuditVal&lt;&gt;"",UPPER(_xlpm.MyAuditVal),_xlpm.MacVal&lt;&gt;"",_xlpm.MacVal,_xlpm.CSVVal&lt;&gt;"",_xlpm.CSVVal
)),"")</f>
        <v/>
      </c>
      <c r="L476" s="45" t="str" cm="1">
        <f t="array" ref="L476">IFERROR(_xlfn.LET(
_xlpm.CSVVal,_xlfn.XLOOKUP($A476,CSV!$A:$A,CSV!P:P,""),
_xlpm.MacVal,_xlfn.XLOOKUP($A476,Output_Mac!$A:$A,Output_Mac!M:M,""),
_xlpm.MyAuditVal,_xlfn.XLOOKUP($A476,My_Audit!$A:$A,My_Audit!K:K,""),
_xlfn.IFS(_xlpm.MyAuditVal&lt;&gt;"",UPPER(_xlpm.MyAuditVal),_xlpm.MacVal&lt;&gt;"",_xlpm.MacVal,_xlpm.CSVVal&lt;&gt;"",_xlpm.CSVVal
)),"")</f>
        <v/>
      </c>
      <c r="M476" s="45" t="str">
        <f>_xlfn.LET(
    _xlpm.CSVVal, _xlfn.XLOOKUP($A476, CSV!$A:$A, CSV!AE:AE, ""),
    _xlpm.MacVal, _xlfn.XLOOKUP($A476, Output_Mac!$A:$A, Output_Mac!S:S, ""),
    _xlpm.MyAuditVal, _xlfn.XLOOKUP($A476, My_Audit!$A:$A, My_Audit!N:N, ""),
    _xlfn.TEXTJOIN(", ", TRUE, _xlpm.MyAuditVal, _xlpm.MacVal, _xlpm.CSVVal)
)</f>
        <v/>
      </c>
      <c r="N476" s="45" t="str" cm="1">
        <f t="array" ref="N476">IFERROR(_xlfn.LET(
_xlpm.CSVVal,_xlfn.XLOOKUP($A476,CSV!$A:$A,CSV!AG:AG,""),
_xlpm.MacVal,_xlfn.XLOOKUP($A476,Output_Mac!$A:$A,Output_Mac!U:U,""),
_xlpm.MyAuditVal,_xlfn.XLOOKUP($A476,My_Audit!$A:$A,My_Audit!O:O,""),
_xlfn.IFS(_xlpm.MyAuditVal&lt;&gt;"",UPPER(_xlpm.MyAuditVal),_xlpm.MacVal&lt;&gt;"",_xlpm.MacVal,_xlpm.CSVVal&lt;&gt;"",_xlpm.CSVVal
)),"")</f>
        <v/>
      </c>
      <c r="O476" s="45"/>
      <c r="P476" s="45"/>
      <c r="Q476" s="46" t="str">
        <f>IF(LEFT(N476,4)="Pass","Nist SP 800-88",My_Audit!R476)&amp;""</f>
        <v/>
      </c>
      <c r="R476" s="45"/>
      <c r="S476" s="45"/>
      <c r="T476" s="46" t="str">
        <f>_xlfn.XLOOKUP(E476,Models!I:I,Models!J:J,"")</f>
        <v/>
      </c>
      <c r="U476" s="45"/>
      <c r="V476" s="45"/>
      <c r="W476" s="38"/>
    </row>
    <row r="477" spans="1:23">
      <c r="A477" s="45" t="str">
        <f>_xlfn.TEXTJOIN("",TRUE,Input!$B$2,ROW(My_Audit!A476))</f>
        <v>XX476</v>
      </c>
      <c r="B477" s="45" t="str">
        <f>_xlfn.TEXTJOIN("-",TRUE,"ITD",Input!$A$2,A477)</f>
        <v>ITD-SHRXXX-XX476</v>
      </c>
      <c r="C477" s="45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46" t="str" cm="1">
        <f t="array" ref="D477">IFERROR(_xlfn.LET(
_xlpm.CSVVal,_xlfn.XLOOKUP($A477,CSV!$A:$A,CSV!C:C,""),
_xlpm.MacVal,_xlfn.XLOOKUP($A477,Output_Mac!$A:$A,Output_Mac!D:D,""),
_xlpm.MyAuditVal,_xlfn.XLOOKUP($A477,My_Audit!$A:$A,My_Audit!C:C,""),
_xlfn.IFS(_xlpm.MyAuditVal&lt;&gt;"",UPPER(_xlpm.MyAuditVal),_xlpm.MacVal&lt;&gt;"",_xlpm.MacVal,_xlpm.CSVVal&lt;&gt;"",_xlpm.CSVVal
)),"")</f>
        <v/>
      </c>
      <c r="E477" s="46" t="str" cm="1">
        <f t="array" ref="E477">IFERROR(_xlfn.LET(
_xlpm.CSVVal,_xlfn.XLOOKUP($A477,CSV!$A:$A,CSV!E:E,""),
_xlpm.MacVal,_xlfn.XLOOKUP($A477,Output_Mac!$A:$A,Output_Mac!C:C,""),
_xlpm.MyAuditVal,_xlfn.XLOOKUP($A477,My_Audit!$A:$A,My_Audit!D:D,""),
_xlfn.IFS(_xlpm.MyAuditVal&lt;&gt;"",_xlpm.MyAuditVal,_xlpm.MacVal&lt;&gt;"",_xlpm.MacVal,_xlpm.CSVVal&lt;&gt;"",_xlpm.CSVVal
)),"")</f>
        <v/>
      </c>
      <c r="F477" s="45" t="str" cm="1">
        <f t="array" ref="F477">IFERROR(_xlfn.LET(
_xlpm.CSVVal,_xlfn.XLOOKUP($A477,CSV!$A:$A,CSV!F:F,""),
_xlpm.MacVal,_xlfn.XLOOKUP($A477,Output_Mac!$A:$A,Output_Mac!F:F,""),
_xlpm.MyAuditVal,_xlfn.XLOOKUP($A477,My_Audit!$A:$A,My_Audit!E:E,""),
_xlfn.IFS(_xlpm.MyAuditVal&lt;&gt;"",_xlpm.MyAuditVal,_xlpm.MacVal&lt;&gt;"",_xlpm.MacVal,_xlpm.CSVVal&lt;&gt;"",PROPER(_xlpm.CSVVal)
)),"")</f>
        <v/>
      </c>
      <c r="G477" s="45" t="str" cm="1">
        <f t="array" ref="G477">IFERROR(_xlfn.LET(
_xlpm.CSVVal,_xlfn.XLOOKUP($A477,CSV!$A:$A,CSV!G:G,""),
_xlpm.MacVal,_xlfn.XLOOKUP($A477,Output_Mac!$A:$A,Output_Mac!H:H,""),
_xlpm.MyAuditVal,_xlfn.XLOOKUP($A477,My_Audit!$A:$A,My_Audit!F:F,""),
_xlfn.IFS(_xlpm.MyAuditVal&lt;&gt;"",_xlpm.MyAuditVal,_xlpm.MacVal&lt;&gt;"",_xlpm.MacVal,_xlpm.CSVVal&lt;&gt;"",_xlpm.CSVVal
)),"")</f>
        <v/>
      </c>
      <c r="H477" s="45" t="str">
        <f>_xlfn.XLOOKUP(A477,Output_Mac!A:A,Output_Mac!I:I,"")</f>
        <v/>
      </c>
      <c r="I477" s="45" t="str" cm="1">
        <f t="array" ref="I477">IFERROR(_xlfn.LET(
_xlpm.CSVVal,_xlfn.XLOOKUP($A477,CSV!$A:$A,CSV!H:H,""),
_xlpm.MacVal,_xlfn.XLOOKUP($A477,Output_Mac!$A:$A,Output_Mac!J:J,""),
_xlpm.MyAuditVal,_xlfn.XLOOKUP($A477,My_Audit!$A:$A,My_Audit!H:H,""),
_xlfn.IFS(_xlpm.MyAuditVal&lt;&gt;"",UPPER(_xlpm.MyAuditVal),_xlpm.MacVal&lt;&gt;"",_xlpm.MacVal,_xlpm.CSVVal&lt;&gt;"",_xlpm.CSVVal
)),"")</f>
        <v/>
      </c>
      <c r="J477" s="45" t="str" cm="1">
        <f t="array" ref="J477">IFERROR(_xlfn.LET(
_xlpm.CSVVal,_xlfn.XLOOKUP($A477,CSV!$A:$A,CSV!J:J,""),
_xlpm.MacVal,_xlfn.XLOOKUP($A477,Output_Mac!$A:$A,Output_Mac!K:K,""),
_xlpm.MyAuditVal,_xlfn.XLOOKUP($A477,My_Audit!$A:$A,My_Audit!I:I,""),
_xlfn.IFS(_xlpm.MyAuditVal&lt;&gt;"",UPPER(_xlpm.MyAuditVal),_xlpm.MacVal&lt;&gt;"",_xlpm.MacVal,_xlpm.CSVVal&lt;&gt;"",_xlpm.CSVVal
)),"")</f>
        <v/>
      </c>
      <c r="K477" s="45" t="str" cm="1">
        <f t="array" ref="K477">IFERROR(_xlfn.LET(
_xlpm.CSVVal,_xlfn.XLOOKUP($A477,CSV!$A:$A,CSV!N:N,""),
_xlpm.MacVal,_xlfn.XLOOKUP($A477,Output_Mac!$A:$A,Output_Mac!L:L,""),
_xlpm.MyAuditVal,_xlfn.XLOOKUP($A477,My_Audit!$A:$A,My_Audit!J:J,""),
_xlfn.IFS(_xlpm.MyAuditVal&lt;&gt;"",UPPER(_xlpm.MyAuditVal),_xlpm.MacVal&lt;&gt;"",_xlpm.MacVal,_xlpm.CSVVal&lt;&gt;"",_xlpm.CSVVal
)),"")</f>
        <v/>
      </c>
      <c r="L477" s="45" t="str" cm="1">
        <f t="array" ref="L477">IFERROR(_xlfn.LET(
_xlpm.CSVVal,_xlfn.XLOOKUP($A477,CSV!$A:$A,CSV!P:P,""),
_xlpm.MacVal,_xlfn.XLOOKUP($A477,Output_Mac!$A:$A,Output_Mac!M:M,""),
_xlpm.MyAuditVal,_xlfn.XLOOKUP($A477,My_Audit!$A:$A,My_Audit!K:K,""),
_xlfn.IFS(_xlpm.MyAuditVal&lt;&gt;"",UPPER(_xlpm.MyAuditVal),_xlpm.MacVal&lt;&gt;"",_xlpm.MacVal,_xlpm.CSVVal&lt;&gt;"",_xlpm.CSVVal
)),"")</f>
        <v/>
      </c>
      <c r="M477" s="45" t="str">
        <f>_xlfn.LET(
    _xlpm.CSVVal, _xlfn.XLOOKUP($A477, CSV!$A:$A, CSV!AE:AE, ""),
    _xlpm.MacVal, _xlfn.XLOOKUP($A477, Output_Mac!$A:$A, Output_Mac!S:S, ""),
    _xlpm.MyAuditVal, _xlfn.XLOOKUP($A477, My_Audit!$A:$A, My_Audit!N:N, ""),
    _xlfn.TEXTJOIN(", ", TRUE, _xlpm.MyAuditVal, _xlpm.MacVal, _xlpm.CSVVal)
)</f>
        <v/>
      </c>
      <c r="N477" s="45" t="str" cm="1">
        <f t="array" ref="N477">IFERROR(_xlfn.LET(
_xlpm.CSVVal,_xlfn.XLOOKUP($A477,CSV!$A:$A,CSV!AG:AG,""),
_xlpm.MacVal,_xlfn.XLOOKUP($A477,Output_Mac!$A:$A,Output_Mac!U:U,""),
_xlpm.MyAuditVal,_xlfn.XLOOKUP($A477,My_Audit!$A:$A,My_Audit!O:O,""),
_xlfn.IFS(_xlpm.MyAuditVal&lt;&gt;"",UPPER(_xlpm.MyAuditVal),_xlpm.MacVal&lt;&gt;"",_xlpm.MacVal,_xlpm.CSVVal&lt;&gt;"",_xlpm.CSVVal
)),"")</f>
        <v/>
      </c>
      <c r="O477" s="45"/>
      <c r="P477" s="45"/>
      <c r="Q477" s="46" t="str">
        <f>IF(LEFT(N477,4)="Pass","Nist SP 800-88",My_Audit!R477)&amp;""</f>
        <v/>
      </c>
      <c r="R477" s="45"/>
      <c r="S477" s="45"/>
      <c r="T477" s="46" t="str">
        <f>_xlfn.XLOOKUP(E477,Models!I:I,Models!J:J,"")</f>
        <v/>
      </c>
      <c r="U477" s="45"/>
      <c r="V477" s="45"/>
      <c r="W477" s="38"/>
    </row>
    <row r="478" spans="1:23">
      <c r="A478" s="45" t="str">
        <f>_xlfn.TEXTJOIN("",TRUE,Input!$B$2,ROW(My_Audit!A477))</f>
        <v>XX477</v>
      </c>
      <c r="B478" s="45" t="str">
        <f>_xlfn.TEXTJOIN("-",TRUE,"ITD",Input!$A$2,A478)</f>
        <v>ITD-SHRXXX-XX477</v>
      </c>
      <c r="C478" s="45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46" t="str" cm="1">
        <f t="array" ref="D478">IFERROR(_xlfn.LET(
_xlpm.CSVVal,_xlfn.XLOOKUP($A478,CSV!$A:$A,CSV!C:C,""),
_xlpm.MacVal,_xlfn.XLOOKUP($A478,Output_Mac!$A:$A,Output_Mac!D:D,""),
_xlpm.MyAuditVal,_xlfn.XLOOKUP($A478,My_Audit!$A:$A,My_Audit!C:C,""),
_xlfn.IFS(_xlpm.MyAuditVal&lt;&gt;"",UPPER(_xlpm.MyAuditVal),_xlpm.MacVal&lt;&gt;"",_xlpm.MacVal,_xlpm.CSVVal&lt;&gt;"",_xlpm.CSVVal
)),"")</f>
        <v/>
      </c>
      <c r="E478" s="46" t="str" cm="1">
        <f t="array" ref="E478">IFERROR(_xlfn.LET(
_xlpm.CSVVal,_xlfn.XLOOKUP($A478,CSV!$A:$A,CSV!E:E,""),
_xlpm.MacVal,_xlfn.XLOOKUP($A478,Output_Mac!$A:$A,Output_Mac!C:C,""),
_xlpm.MyAuditVal,_xlfn.XLOOKUP($A478,My_Audit!$A:$A,My_Audit!D:D,""),
_xlfn.IFS(_xlpm.MyAuditVal&lt;&gt;"",_xlpm.MyAuditVal,_xlpm.MacVal&lt;&gt;"",_xlpm.MacVal,_xlpm.CSVVal&lt;&gt;"",_xlpm.CSVVal
)),"")</f>
        <v/>
      </c>
      <c r="F478" s="45" t="str" cm="1">
        <f t="array" ref="F478">IFERROR(_xlfn.LET(
_xlpm.CSVVal,_xlfn.XLOOKUP($A478,CSV!$A:$A,CSV!F:F,""),
_xlpm.MacVal,_xlfn.XLOOKUP($A478,Output_Mac!$A:$A,Output_Mac!F:F,""),
_xlpm.MyAuditVal,_xlfn.XLOOKUP($A478,My_Audit!$A:$A,My_Audit!E:E,""),
_xlfn.IFS(_xlpm.MyAuditVal&lt;&gt;"",_xlpm.MyAuditVal,_xlpm.MacVal&lt;&gt;"",_xlpm.MacVal,_xlpm.CSVVal&lt;&gt;"",PROPER(_xlpm.CSVVal)
)),"")</f>
        <v/>
      </c>
      <c r="G478" s="45" t="str" cm="1">
        <f t="array" ref="G478">IFERROR(_xlfn.LET(
_xlpm.CSVVal,_xlfn.XLOOKUP($A478,CSV!$A:$A,CSV!G:G,""),
_xlpm.MacVal,_xlfn.XLOOKUP($A478,Output_Mac!$A:$A,Output_Mac!H:H,""),
_xlpm.MyAuditVal,_xlfn.XLOOKUP($A478,My_Audit!$A:$A,My_Audit!F:F,""),
_xlfn.IFS(_xlpm.MyAuditVal&lt;&gt;"",_xlpm.MyAuditVal,_xlpm.MacVal&lt;&gt;"",_xlpm.MacVal,_xlpm.CSVVal&lt;&gt;"",_xlpm.CSVVal
)),"")</f>
        <v/>
      </c>
      <c r="H478" s="45" t="str">
        <f>_xlfn.XLOOKUP(A478,Output_Mac!A:A,Output_Mac!I:I,"")</f>
        <v/>
      </c>
      <c r="I478" s="45" t="str" cm="1">
        <f t="array" ref="I478">IFERROR(_xlfn.LET(
_xlpm.CSVVal,_xlfn.XLOOKUP($A478,CSV!$A:$A,CSV!H:H,""),
_xlpm.MacVal,_xlfn.XLOOKUP($A478,Output_Mac!$A:$A,Output_Mac!J:J,""),
_xlpm.MyAuditVal,_xlfn.XLOOKUP($A478,My_Audit!$A:$A,My_Audit!H:H,""),
_xlfn.IFS(_xlpm.MyAuditVal&lt;&gt;"",UPPER(_xlpm.MyAuditVal),_xlpm.MacVal&lt;&gt;"",_xlpm.MacVal,_xlpm.CSVVal&lt;&gt;"",_xlpm.CSVVal
)),"")</f>
        <v/>
      </c>
      <c r="J478" s="45" t="str" cm="1">
        <f t="array" ref="J478">IFERROR(_xlfn.LET(
_xlpm.CSVVal,_xlfn.XLOOKUP($A478,CSV!$A:$A,CSV!J:J,""),
_xlpm.MacVal,_xlfn.XLOOKUP($A478,Output_Mac!$A:$A,Output_Mac!K:K,""),
_xlpm.MyAuditVal,_xlfn.XLOOKUP($A478,My_Audit!$A:$A,My_Audit!I:I,""),
_xlfn.IFS(_xlpm.MyAuditVal&lt;&gt;"",UPPER(_xlpm.MyAuditVal),_xlpm.MacVal&lt;&gt;"",_xlpm.MacVal,_xlpm.CSVVal&lt;&gt;"",_xlpm.CSVVal
)),"")</f>
        <v/>
      </c>
      <c r="K478" s="45" t="str" cm="1">
        <f t="array" ref="K478">IFERROR(_xlfn.LET(
_xlpm.CSVVal,_xlfn.XLOOKUP($A478,CSV!$A:$A,CSV!N:N,""),
_xlpm.MacVal,_xlfn.XLOOKUP($A478,Output_Mac!$A:$A,Output_Mac!L:L,""),
_xlpm.MyAuditVal,_xlfn.XLOOKUP($A478,My_Audit!$A:$A,My_Audit!J:J,""),
_xlfn.IFS(_xlpm.MyAuditVal&lt;&gt;"",UPPER(_xlpm.MyAuditVal),_xlpm.MacVal&lt;&gt;"",_xlpm.MacVal,_xlpm.CSVVal&lt;&gt;"",_xlpm.CSVVal
)),"")</f>
        <v/>
      </c>
      <c r="L478" s="45" t="str" cm="1">
        <f t="array" ref="L478">IFERROR(_xlfn.LET(
_xlpm.CSVVal,_xlfn.XLOOKUP($A478,CSV!$A:$A,CSV!P:P,""),
_xlpm.MacVal,_xlfn.XLOOKUP($A478,Output_Mac!$A:$A,Output_Mac!M:M,""),
_xlpm.MyAuditVal,_xlfn.XLOOKUP($A478,My_Audit!$A:$A,My_Audit!K:K,""),
_xlfn.IFS(_xlpm.MyAuditVal&lt;&gt;"",UPPER(_xlpm.MyAuditVal),_xlpm.MacVal&lt;&gt;"",_xlpm.MacVal,_xlpm.CSVVal&lt;&gt;"",_xlpm.CSVVal
)),"")</f>
        <v/>
      </c>
      <c r="M478" s="45" t="str">
        <f>_xlfn.LET(
    _xlpm.CSVVal, _xlfn.XLOOKUP($A478, CSV!$A:$A, CSV!AE:AE, ""),
    _xlpm.MacVal, _xlfn.XLOOKUP($A478, Output_Mac!$A:$A, Output_Mac!S:S, ""),
    _xlpm.MyAuditVal, _xlfn.XLOOKUP($A478, My_Audit!$A:$A, My_Audit!N:N, ""),
    _xlfn.TEXTJOIN(", ", TRUE, _xlpm.MyAuditVal, _xlpm.MacVal, _xlpm.CSVVal)
)</f>
        <v/>
      </c>
      <c r="N478" s="45" t="str" cm="1">
        <f t="array" ref="N478">IFERROR(_xlfn.LET(
_xlpm.CSVVal,_xlfn.XLOOKUP($A478,CSV!$A:$A,CSV!AG:AG,""),
_xlpm.MacVal,_xlfn.XLOOKUP($A478,Output_Mac!$A:$A,Output_Mac!U:U,""),
_xlpm.MyAuditVal,_xlfn.XLOOKUP($A478,My_Audit!$A:$A,My_Audit!O:O,""),
_xlfn.IFS(_xlpm.MyAuditVal&lt;&gt;"",UPPER(_xlpm.MyAuditVal),_xlpm.MacVal&lt;&gt;"",_xlpm.MacVal,_xlpm.CSVVal&lt;&gt;"",_xlpm.CSVVal
)),"")</f>
        <v/>
      </c>
      <c r="O478" s="45"/>
      <c r="P478" s="45"/>
      <c r="Q478" s="46" t="str">
        <f>IF(LEFT(N478,4)="Pass","Nist SP 800-88",My_Audit!R478)&amp;""</f>
        <v/>
      </c>
      <c r="R478" s="45"/>
      <c r="S478" s="45"/>
      <c r="T478" s="46" t="str">
        <f>_xlfn.XLOOKUP(E478,Models!I:I,Models!J:J,"")</f>
        <v/>
      </c>
      <c r="U478" s="45"/>
      <c r="V478" s="45"/>
      <c r="W478" s="38"/>
    </row>
    <row r="479" spans="1:23">
      <c r="A479" s="45" t="str">
        <f>_xlfn.TEXTJOIN("",TRUE,Input!$B$2,ROW(My_Audit!A478))</f>
        <v>XX478</v>
      </c>
      <c r="B479" s="45" t="str">
        <f>_xlfn.TEXTJOIN("-",TRUE,"ITD",Input!$A$2,A479)</f>
        <v>ITD-SHRXXX-XX478</v>
      </c>
      <c r="C479" s="45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46" t="str" cm="1">
        <f t="array" ref="D479">IFERROR(_xlfn.LET(
_xlpm.CSVVal,_xlfn.XLOOKUP($A479,CSV!$A:$A,CSV!C:C,""),
_xlpm.MacVal,_xlfn.XLOOKUP($A479,Output_Mac!$A:$A,Output_Mac!D:D,""),
_xlpm.MyAuditVal,_xlfn.XLOOKUP($A479,My_Audit!$A:$A,My_Audit!C:C,""),
_xlfn.IFS(_xlpm.MyAuditVal&lt;&gt;"",UPPER(_xlpm.MyAuditVal),_xlpm.MacVal&lt;&gt;"",_xlpm.MacVal,_xlpm.CSVVal&lt;&gt;"",_xlpm.CSVVal
)),"")</f>
        <v/>
      </c>
      <c r="E479" s="46" t="str" cm="1">
        <f t="array" ref="E479">IFERROR(_xlfn.LET(
_xlpm.CSVVal,_xlfn.XLOOKUP($A479,CSV!$A:$A,CSV!E:E,""),
_xlpm.MacVal,_xlfn.XLOOKUP($A479,Output_Mac!$A:$A,Output_Mac!C:C,""),
_xlpm.MyAuditVal,_xlfn.XLOOKUP($A479,My_Audit!$A:$A,My_Audit!D:D,""),
_xlfn.IFS(_xlpm.MyAuditVal&lt;&gt;"",_xlpm.MyAuditVal,_xlpm.MacVal&lt;&gt;"",_xlpm.MacVal,_xlpm.CSVVal&lt;&gt;"",_xlpm.CSVVal
)),"")</f>
        <v/>
      </c>
      <c r="F479" s="45" t="str" cm="1">
        <f t="array" ref="F479">IFERROR(_xlfn.LET(
_xlpm.CSVVal,_xlfn.XLOOKUP($A479,CSV!$A:$A,CSV!F:F,""),
_xlpm.MacVal,_xlfn.XLOOKUP($A479,Output_Mac!$A:$A,Output_Mac!F:F,""),
_xlpm.MyAuditVal,_xlfn.XLOOKUP($A479,My_Audit!$A:$A,My_Audit!E:E,""),
_xlfn.IFS(_xlpm.MyAuditVal&lt;&gt;"",_xlpm.MyAuditVal,_xlpm.MacVal&lt;&gt;"",_xlpm.MacVal,_xlpm.CSVVal&lt;&gt;"",PROPER(_xlpm.CSVVal)
)),"")</f>
        <v/>
      </c>
      <c r="G479" s="45" t="str" cm="1">
        <f t="array" ref="G479">IFERROR(_xlfn.LET(
_xlpm.CSVVal,_xlfn.XLOOKUP($A479,CSV!$A:$A,CSV!G:G,""),
_xlpm.MacVal,_xlfn.XLOOKUP($A479,Output_Mac!$A:$A,Output_Mac!H:H,""),
_xlpm.MyAuditVal,_xlfn.XLOOKUP($A479,My_Audit!$A:$A,My_Audit!F:F,""),
_xlfn.IFS(_xlpm.MyAuditVal&lt;&gt;"",_xlpm.MyAuditVal,_xlpm.MacVal&lt;&gt;"",_xlpm.MacVal,_xlpm.CSVVal&lt;&gt;"",_xlpm.CSVVal
)),"")</f>
        <v/>
      </c>
      <c r="H479" s="45" t="str">
        <f>_xlfn.XLOOKUP(A479,Output_Mac!A:A,Output_Mac!I:I,"")</f>
        <v/>
      </c>
      <c r="I479" s="45" t="str" cm="1">
        <f t="array" ref="I479">IFERROR(_xlfn.LET(
_xlpm.CSVVal,_xlfn.XLOOKUP($A479,CSV!$A:$A,CSV!H:H,""),
_xlpm.MacVal,_xlfn.XLOOKUP($A479,Output_Mac!$A:$A,Output_Mac!J:J,""),
_xlpm.MyAuditVal,_xlfn.XLOOKUP($A479,My_Audit!$A:$A,My_Audit!H:H,""),
_xlfn.IFS(_xlpm.MyAuditVal&lt;&gt;"",UPPER(_xlpm.MyAuditVal),_xlpm.MacVal&lt;&gt;"",_xlpm.MacVal,_xlpm.CSVVal&lt;&gt;"",_xlpm.CSVVal
)),"")</f>
        <v/>
      </c>
      <c r="J479" s="45" t="str" cm="1">
        <f t="array" ref="J479">IFERROR(_xlfn.LET(
_xlpm.CSVVal,_xlfn.XLOOKUP($A479,CSV!$A:$A,CSV!J:J,""),
_xlpm.MacVal,_xlfn.XLOOKUP($A479,Output_Mac!$A:$A,Output_Mac!K:K,""),
_xlpm.MyAuditVal,_xlfn.XLOOKUP($A479,My_Audit!$A:$A,My_Audit!I:I,""),
_xlfn.IFS(_xlpm.MyAuditVal&lt;&gt;"",UPPER(_xlpm.MyAuditVal),_xlpm.MacVal&lt;&gt;"",_xlpm.MacVal,_xlpm.CSVVal&lt;&gt;"",_xlpm.CSVVal
)),"")</f>
        <v/>
      </c>
      <c r="K479" s="45" t="str" cm="1">
        <f t="array" ref="K479">IFERROR(_xlfn.LET(
_xlpm.CSVVal,_xlfn.XLOOKUP($A479,CSV!$A:$A,CSV!N:N,""),
_xlpm.MacVal,_xlfn.XLOOKUP($A479,Output_Mac!$A:$A,Output_Mac!L:L,""),
_xlpm.MyAuditVal,_xlfn.XLOOKUP($A479,My_Audit!$A:$A,My_Audit!J:J,""),
_xlfn.IFS(_xlpm.MyAuditVal&lt;&gt;"",UPPER(_xlpm.MyAuditVal),_xlpm.MacVal&lt;&gt;"",_xlpm.MacVal,_xlpm.CSVVal&lt;&gt;"",_xlpm.CSVVal
)),"")</f>
        <v/>
      </c>
      <c r="L479" s="45" t="str" cm="1">
        <f t="array" ref="L479">IFERROR(_xlfn.LET(
_xlpm.CSVVal,_xlfn.XLOOKUP($A479,CSV!$A:$A,CSV!P:P,""),
_xlpm.MacVal,_xlfn.XLOOKUP($A479,Output_Mac!$A:$A,Output_Mac!M:M,""),
_xlpm.MyAuditVal,_xlfn.XLOOKUP($A479,My_Audit!$A:$A,My_Audit!K:K,""),
_xlfn.IFS(_xlpm.MyAuditVal&lt;&gt;"",UPPER(_xlpm.MyAuditVal),_xlpm.MacVal&lt;&gt;"",_xlpm.MacVal,_xlpm.CSVVal&lt;&gt;"",_xlpm.CSVVal
)),"")</f>
        <v/>
      </c>
      <c r="M479" s="45" t="str">
        <f>_xlfn.LET(
    _xlpm.CSVVal, _xlfn.XLOOKUP($A479, CSV!$A:$A, CSV!AE:AE, ""),
    _xlpm.MacVal, _xlfn.XLOOKUP($A479, Output_Mac!$A:$A, Output_Mac!S:S, ""),
    _xlpm.MyAuditVal, _xlfn.XLOOKUP($A479, My_Audit!$A:$A, My_Audit!N:N, ""),
    _xlfn.TEXTJOIN(", ", TRUE, _xlpm.MyAuditVal, _xlpm.MacVal, _xlpm.CSVVal)
)</f>
        <v/>
      </c>
      <c r="N479" s="45" t="str" cm="1">
        <f t="array" ref="N479">IFERROR(_xlfn.LET(
_xlpm.CSVVal,_xlfn.XLOOKUP($A479,CSV!$A:$A,CSV!AG:AG,""),
_xlpm.MacVal,_xlfn.XLOOKUP($A479,Output_Mac!$A:$A,Output_Mac!U:U,""),
_xlpm.MyAuditVal,_xlfn.XLOOKUP($A479,My_Audit!$A:$A,My_Audit!O:O,""),
_xlfn.IFS(_xlpm.MyAuditVal&lt;&gt;"",UPPER(_xlpm.MyAuditVal),_xlpm.MacVal&lt;&gt;"",_xlpm.MacVal,_xlpm.CSVVal&lt;&gt;"",_xlpm.CSVVal
)),"")</f>
        <v/>
      </c>
      <c r="O479" s="45"/>
      <c r="P479" s="45"/>
      <c r="Q479" s="46" t="str">
        <f>IF(LEFT(N479,4)="Pass","Nist SP 800-88",My_Audit!R479)&amp;""</f>
        <v/>
      </c>
      <c r="R479" s="45"/>
      <c r="S479" s="45"/>
      <c r="T479" s="46" t="str">
        <f>_xlfn.XLOOKUP(E479,Models!I:I,Models!J:J,"")</f>
        <v/>
      </c>
      <c r="U479" s="45"/>
      <c r="V479" s="45"/>
      <c r="W479" s="38"/>
    </row>
    <row r="480" spans="1:23">
      <c r="A480" s="45" t="str">
        <f>_xlfn.TEXTJOIN("",TRUE,Input!$B$2,ROW(My_Audit!A479))</f>
        <v>XX479</v>
      </c>
      <c r="B480" s="45" t="str">
        <f>_xlfn.TEXTJOIN("-",TRUE,"ITD",Input!$A$2,A480)</f>
        <v>ITD-SHRXXX-XX479</v>
      </c>
      <c r="C480" s="45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46" t="str" cm="1">
        <f t="array" ref="D480">IFERROR(_xlfn.LET(
_xlpm.CSVVal,_xlfn.XLOOKUP($A480,CSV!$A:$A,CSV!C:C,""),
_xlpm.MacVal,_xlfn.XLOOKUP($A480,Output_Mac!$A:$A,Output_Mac!D:D,""),
_xlpm.MyAuditVal,_xlfn.XLOOKUP($A480,My_Audit!$A:$A,My_Audit!C:C,""),
_xlfn.IFS(_xlpm.MyAuditVal&lt;&gt;"",UPPER(_xlpm.MyAuditVal),_xlpm.MacVal&lt;&gt;"",_xlpm.MacVal,_xlpm.CSVVal&lt;&gt;"",_xlpm.CSVVal
)),"")</f>
        <v/>
      </c>
      <c r="E480" s="46" t="str" cm="1">
        <f t="array" ref="E480">IFERROR(_xlfn.LET(
_xlpm.CSVVal,_xlfn.XLOOKUP($A480,CSV!$A:$A,CSV!E:E,""),
_xlpm.MacVal,_xlfn.XLOOKUP($A480,Output_Mac!$A:$A,Output_Mac!C:C,""),
_xlpm.MyAuditVal,_xlfn.XLOOKUP($A480,My_Audit!$A:$A,My_Audit!D:D,""),
_xlfn.IFS(_xlpm.MyAuditVal&lt;&gt;"",_xlpm.MyAuditVal,_xlpm.MacVal&lt;&gt;"",_xlpm.MacVal,_xlpm.CSVVal&lt;&gt;"",_xlpm.CSVVal
)),"")</f>
        <v/>
      </c>
      <c r="F480" s="45" t="str" cm="1">
        <f t="array" ref="F480">IFERROR(_xlfn.LET(
_xlpm.CSVVal,_xlfn.XLOOKUP($A480,CSV!$A:$A,CSV!F:F,""),
_xlpm.MacVal,_xlfn.XLOOKUP($A480,Output_Mac!$A:$A,Output_Mac!F:F,""),
_xlpm.MyAuditVal,_xlfn.XLOOKUP($A480,My_Audit!$A:$A,My_Audit!E:E,""),
_xlfn.IFS(_xlpm.MyAuditVal&lt;&gt;"",_xlpm.MyAuditVal,_xlpm.MacVal&lt;&gt;"",_xlpm.MacVal,_xlpm.CSVVal&lt;&gt;"",PROPER(_xlpm.CSVVal)
)),"")</f>
        <v/>
      </c>
      <c r="G480" s="45" t="str" cm="1">
        <f t="array" ref="G480">IFERROR(_xlfn.LET(
_xlpm.CSVVal,_xlfn.XLOOKUP($A480,CSV!$A:$A,CSV!G:G,""),
_xlpm.MacVal,_xlfn.XLOOKUP($A480,Output_Mac!$A:$A,Output_Mac!H:H,""),
_xlpm.MyAuditVal,_xlfn.XLOOKUP($A480,My_Audit!$A:$A,My_Audit!F:F,""),
_xlfn.IFS(_xlpm.MyAuditVal&lt;&gt;"",_xlpm.MyAuditVal,_xlpm.MacVal&lt;&gt;"",_xlpm.MacVal,_xlpm.CSVVal&lt;&gt;"",_xlpm.CSVVal
)),"")</f>
        <v/>
      </c>
      <c r="H480" s="45" t="str">
        <f>_xlfn.XLOOKUP(A480,Output_Mac!A:A,Output_Mac!I:I,"")</f>
        <v/>
      </c>
      <c r="I480" s="45" t="str" cm="1">
        <f t="array" ref="I480">IFERROR(_xlfn.LET(
_xlpm.CSVVal,_xlfn.XLOOKUP($A480,CSV!$A:$A,CSV!H:H,""),
_xlpm.MacVal,_xlfn.XLOOKUP($A480,Output_Mac!$A:$A,Output_Mac!J:J,""),
_xlpm.MyAuditVal,_xlfn.XLOOKUP($A480,My_Audit!$A:$A,My_Audit!H:H,""),
_xlfn.IFS(_xlpm.MyAuditVal&lt;&gt;"",UPPER(_xlpm.MyAuditVal),_xlpm.MacVal&lt;&gt;"",_xlpm.MacVal,_xlpm.CSVVal&lt;&gt;"",_xlpm.CSVVal
)),"")</f>
        <v/>
      </c>
      <c r="J480" s="45" t="str" cm="1">
        <f t="array" ref="J480">IFERROR(_xlfn.LET(
_xlpm.CSVVal,_xlfn.XLOOKUP($A480,CSV!$A:$A,CSV!J:J,""),
_xlpm.MacVal,_xlfn.XLOOKUP($A480,Output_Mac!$A:$A,Output_Mac!K:K,""),
_xlpm.MyAuditVal,_xlfn.XLOOKUP($A480,My_Audit!$A:$A,My_Audit!I:I,""),
_xlfn.IFS(_xlpm.MyAuditVal&lt;&gt;"",UPPER(_xlpm.MyAuditVal),_xlpm.MacVal&lt;&gt;"",_xlpm.MacVal,_xlpm.CSVVal&lt;&gt;"",_xlpm.CSVVal
)),"")</f>
        <v/>
      </c>
      <c r="K480" s="45" t="str" cm="1">
        <f t="array" ref="K480">IFERROR(_xlfn.LET(
_xlpm.CSVVal,_xlfn.XLOOKUP($A480,CSV!$A:$A,CSV!N:N,""),
_xlpm.MacVal,_xlfn.XLOOKUP($A480,Output_Mac!$A:$A,Output_Mac!L:L,""),
_xlpm.MyAuditVal,_xlfn.XLOOKUP($A480,My_Audit!$A:$A,My_Audit!J:J,""),
_xlfn.IFS(_xlpm.MyAuditVal&lt;&gt;"",UPPER(_xlpm.MyAuditVal),_xlpm.MacVal&lt;&gt;"",_xlpm.MacVal,_xlpm.CSVVal&lt;&gt;"",_xlpm.CSVVal
)),"")</f>
        <v/>
      </c>
      <c r="L480" s="45" t="str" cm="1">
        <f t="array" ref="L480">IFERROR(_xlfn.LET(
_xlpm.CSVVal,_xlfn.XLOOKUP($A480,CSV!$A:$A,CSV!P:P,""),
_xlpm.MacVal,_xlfn.XLOOKUP($A480,Output_Mac!$A:$A,Output_Mac!M:M,""),
_xlpm.MyAuditVal,_xlfn.XLOOKUP($A480,My_Audit!$A:$A,My_Audit!K:K,""),
_xlfn.IFS(_xlpm.MyAuditVal&lt;&gt;"",UPPER(_xlpm.MyAuditVal),_xlpm.MacVal&lt;&gt;"",_xlpm.MacVal,_xlpm.CSVVal&lt;&gt;"",_xlpm.CSVVal
)),"")</f>
        <v/>
      </c>
      <c r="M480" s="45" t="str">
        <f>_xlfn.LET(
    _xlpm.CSVVal, _xlfn.XLOOKUP($A480, CSV!$A:$A, CSV!AE:AE, ""),
    _xlpm.MacVal, _xlfn.XLOOKUP($A480, Output_Mac!$A:$A, Output_Mac!S:S, ""),
    _xlpm.MyAuditVal, _xlfn.XLOOKUP($A480, My_Audit!$A:$A, My_Audit!N:N, ""),
    _xlfn.TEXTJOIN(", ", TRUE, _xlpm.MyAuditVal, _xlpm.MacVal, _xlpm.CSVVal)
)</f>
        <v/>
      </c>
      <c r="N480" s="45" t="str" cm="1">
        <f t="array" ref="N480">IFERROR(_xlfn.LET(
_xlpm.CSVVal,_xlfn.XLOOKUP($A480,CSV!$A:$A,CSV!AG:AG,""),
_xlpm.MacVal,_xlfn.XLOOKUP($A480,Output_Mac!$A:$A,Output_Mac!U:U,""),
_xlpm.MyAuditVal,_xlfn.XLOOKUP($A480,My_Audit!$A:$A,My_Audit!O:O,""),
_xlfn.IFS(_xlpm.MyAuditVal&lt;&gt;"",UPPER(_xlpm.MyAuditVal),_xlpm.MacVal&lt;&gt;"",_xlpm.MacVal,_xlpm.CSVVal&lt;&gt;"",_xlpm.CSVVal
)),"")</f>
        <v/>
      </c>
      <c r="O480" s="45"/>
      <c r="P480" s="45"/>
      <c r="Q480" s="46" t="str">
        <f>IF(LEFT(N480,4)="Pass","Nist SP 800-88",My_Audit!R480)&amp;""</f>
        <v/>
      </c>
      <c r="R480" s="45"/>
      <c r="S480" s="45"/>
      <c r="T480" s="46" t="str">
        <f>_xlfn.XLOOKUP(E480,Models!I:I,Models!J:J,"")</f>
        <v/>
      </c>
      <c r="U480" s="45"/>
      <c r="V480" s="45"/>
      <c r="W480" s="38"/>
    </row>
    <row r="481" spans="1:23">
      <c r="A481" s="45" t="str">
        <f>_xlfn.TEXTJOIN("",TRUE,Input!$B$2,ROW(My_Audit!A480))</f>
        <v>XX480</v>
      </c>
      <c r="B481" s="45" t="str">
        <f>_xlfn.TEXTJOIN("-",TRUE,"ITD",Input!$A$2,A481)</f>
        <v>ITD-SHRXXX-XX480</v>
      </c>
      <c r="C481" s="45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46" t="str" cm="1">
        <f t="array" ref="D481">IFERROR(_xlfn.LET(
_xlpm.CSVVal,_xlfn.XLOOKUP($A481,CSV!$A:$A,CSV!C:C,""),
_xlpm.MacVal,_xlfn.XLOOKUP($A481,Output_Mac!$A:$A,Output_Mac!D:D,""),
_xlpm.MyAuditVal,_xlfn.XLOOKUP($A481,My_Audit!$A:$A,My_Audit!C:C,""),
_xlfn.IFS(_xlpm.MyAuditVal&lt;&gt;"",UPPER(_xlpm.MyAuditVal),_xlpm.MacVal&lt;&gt;"",_xlpm.MacVal,_xlpm.CSVVal&lt;&gt;"",_xlpm.CSVVal
)),"")</f>
        <v/>
      </c>
      <c r="E481" s="46" t="str" cm="1">
        <f t="array" ref="E481">IFERROR(_xlfn.LET(
_xlpm.CSVVal,_xlfn.XLOOKUP($A481,CSV!$A:$A,CSV!E:E,""),
_xlpm.MacVal,_xlfn.XLOOKUP($A481,Output_Mac!$A:$A,Output_Mac!C:C,""),
_xlpm.MyAuditVal,_xlfn.XLOOKUP($A481,My_Audit!$A:$A,My_Audit!D:D,""),
_xlfn.IFS(_xlpm.MyAuditVal&lt;&gt;"",_xlpm.MyAuditVal,_xlpm.MacVal&lt;&gt;"",_xlpm.MacVal,_xlpm.CSVVal&lt;&gt;"",_xlpm.CSVVal
)),"")</f>
        <v/>
      </c>
      <c r="F481" s="45" t="str" cm="1">
        <f t="array" ref="F481">IFERROR(_xlfn.LET(
_xlpm.CSVVal,_xlfn.XLOOKUP($A481,CSV!$A:$A,CSV!F:F,""),
_xlpm.MacVal,_xlfn.XLOOKUP($A481,Output_Mac!$A:$A,Output_Mac!F:F,""),
_xlpm.MyAuditVal,_xlfn.XLOOKUP($A481,My_Audit!$A:$A,My_Audit!E:E,""),
_xlfn.IFS(_xlpm.MyAuditVal&lt;&gt;"",_xlpm.MyAuditVal,_xlpm.MacVal&lt;&gt;"",_xlpm.MacVal,_xlpm.CSVVal&lt;&gt;"",PROPER(_xlpm.CSVVal)
)),"")</f>
        <v/>
      </c>
      <c r="G481" s="45" t="str" cm="1">
        <f t="array" ref="G481">IFERROR(_xlfn.LET(
_xlpm.CSVVal,_xlfn.XLOOKUP($A481,CSV!$A:$A,CSV!G:G,""),
_xlpm.MacVal,_xlfn.XLOOKUP($A481,Output_Mac!$A:$A,Output_Mac!H:H,""),
_xlpm.MyAuditVal,_xlfn.XLOOKUP($A481,My_Audit!$A:$A,My_Audit!F:F,""),
_xlfn.IFS(_xlpm.MyAuditVal&lt;&gt;"",_xlpm.MyAuditVal,_xlpm.MacVal&lt;&gt;"",_xlpm.MacVal,_xlpm.CSVVal&lt;&gt;"",_xlpm.CSVVal
)),"")</f>
        <v/>
      </c>
      <c r="H481" s="45" t="str">
        <f>_xlfn.XLOOKUP(A481,Output_Mac!A:A,Output_Mac!I:I,"")</f>
        <v/>
      </c>
      <c r="I481" s="45" t="str" cm="1">
        <f t="array" ref="I481">IFERROR(_xlfn.LET(
_xlpm.CSVVal,_xlfn.XLOOKUP($A481,CSV!$A:$A,CSV!H:H,""),
_xlpm.MacVal,_xlfn.XLOOKUP($A481,Output_Mac!$A:$A,Output_Mac!J:J,""),
_xlpm.MyAuditVal,_xlfn.XLOOKUP($A481,My_Audit!$A:$A,My_Audit!H:H,""),
_xlfn.IFS(_xlpm.MyAuditVal&lt;&gt;"",UPPER(_xlpm.MyAuditVal),_xlpm.MacVal&lt;&gt;"",_xlpm.MacVal,_xlpm.CSVVal&lt;&gt;"",_xlpm.CSVVal
)),"")</f>
        <v/>
      </c>
      <c r="J481" s="45" t="str" cm="1">
        <f t="array" ref="J481">IFERROR(_xlfn.LET(
_xlpm.CSVVal,_xlfn.XLOOKUP($A481,CSV!$A:$A,CSV!J:J,""),
_xlpm.MacVal,_xlfn.XLOOKUP($A481,Output_Mac!$A:$A,Output_Mac!K:K,""),
_xlpm.MyAuditVal,_xlfn.XLOOKUP($A481,My_Audit!$A:$A,My_Audit!I:I,""),
_xlfn.IFS(_xlpm.MyAuditVal&lt;&gt;"",UPPER(_xlpm.MyAuditVal),_xlpm.MacVal&lt;&gt;"",_xlpm.MacVal,_xlpm.CSVVal&lt;&gt;"",_xlpm.CSVVal
)),"")</f>
        <v/>
      </c>
      <c r="K481" s="45" t="str" cm="1">
        <f t="array" ref="K481">IFERROR(_xlfn.LET(
_xlpm.CSVVal,_xlfn.XLOOKUP($A481,CSV!$A:$A,CSV!N:N,""),
_xlpm.MacVal,_xlfn.XLOOKUP($A481,Output_Mac!$A:$A,Output_Mac!L:L,""),
_xlpm.MyAuditVal,_xlfn.XLOOKUP($A481,My_Audit!$A:$A,My_Audit!J:J,""),
_xlfn.IFS(_xlpm.MyAuditVal&lt;&gt;"",UPPER(_xlpm.MyAuditVal),_xlpm.MacVal&lt;&gt;"",_xlpm.MacVal,_xlpm.CSVVal&lt;&gt;"",_xlpm.CSVVal
)),"")</f>
        <v/>
      </c>
      <c r="L481" s="45" t="str" cm="1">
        <f t="array" ref="L481">IFERROR(_xlfn.LET(
_xlpm.CSVVal,_xlfn.XLOOKUP($A481,CSV!$A:$A,CSV!P:P,""),
_xlpm.MacVal,_xlfn.XLOOKUP($A481,Output_Mac!$A:$A,Output_Mac!M:M,""),
_xlpm.MyAuditVal,_xlfn.XLOOKUP($A481,My_Audit!$A:$A,My_Audit!K:K,""),
_xlfn.IFS(_xlpm.MyAuditVal&lt;&gt;"",UPPER(_xlpm.MyAuditVal),_xlpm.MacVal&lt;&gt;"",_xlpm.MacVal,_xlpm.CSVVal&lt;&gt;"",_xlpm.CSVVal
)),"")</f>
        <v/>
      </c>
      <c r="M481" s="45" t="str">
        <f>_xlfn.LET(
    _xlpm.CSVVal, _xlfn.XLOOKUP($A481, CSV!$A:$A, CSV!AE:AE, ""),
    _xlpm.MacVal, _xlfn.XLOOKUP($A481, Output_Mac!$A:$A, Output_Mac!S:S, ""),
    _xlpm.MyAuditVal, _xlfn.XLOOKUP($A481, My_Audit!$A:$A, My_Audit!N:N, ""),
    _xlfn.TEXTJOIN(", ", TRUE, _xlpm.MyAuditVal, _xlpm.MacVal, _xlpm.CSVVal)
)</f>
        <v/>
      </c>
      <c r="N481" s="45" t="str" cm="1">
        <f t="array" ref="N481">IFERROR(_xlfn.LET(
_xlpm.CSVVal,_xlfn.XLOOKUP($A481,CSV!$A:$A,CSV!AG:AG,""),
_xlpm.MacVal,_xlfn.XLOOKUP($A481,Output_Mac!$A:$A,Output_Mac!U:U,""),
_xlpm.MyAuditVal,_xlfn.XLOOKUP($A481,My_Audit!$A:$A,My_Audit!O:O,""),
_xlfn.IFS(_xlpm.MyAuditVal&lt;&gt;"",UPPER(_xlpm.MyAuditVal),_xlpm.MacVal&lt;&gt;"",_xlpm.MacVal,_xlpm.CSVVal&lt;&gt;"",_xlpm.CSVVal
)),"")</f>
        <v/>
      </c>
      <c r="O481" s="45"/>
      <c r="P481" s="45"/>
      <c r="Q481" s="46" t="str">
        <f>IF(LEFT(N481,4)="Pass","Nist SP 800-88",My_Audit!R481)&amp;""</f>
        <v/>
      </c>
      <c r="R481" s="45"/>
      <c r="S481" s="45"/>
      <c r="T481" s="46" t="str">
        <f>_xlfn.XLOOKUP(E481,Models!I:I,Models!J:J,"")</f>
        <v/>
      </c>
      <c r="U481" s="45"/>
      <c r="V481" s="45"/>
      <c r="W481" s="38"/>
    </row>
    <row r="482" spans="1:23">
      <c r="A482" s="45" t="str">
        <f>_xlfn.TEXTJOIN("",TRUE,Input!$B$2,ROW(My_Audit!A481))</f>
        <v>XX481</v>
      </c>
      <c r="B482" s="45" t="str">
        <f>_xlfn.TEXTJOIN("-",TRUE,"ITD",Input!$A$2,A482)</f>
        <v>ITD-SHRXXX-XX481</v>
      </c>
      <c r="C482" s="45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46" t="str" cm="1">
        <f t="array" ref="D482">IFERROR(_xlfn.LET(
_xlpm.CSVVal,_xlfn.XLOOKUP($A482,CSV!$A:$A,CSV!C:C,""),
_xlpm.MacVal,_xlfn.XLOOKUP($A482,Output_Mac!$A:$A,Output_Mac!D:D,""),
_xlpm.MyAuditVal,_xlfn.XLOOKUP($A482,My_Audit!$A:$A,My_Audit!C:C,""),
_xlfn.IFS(_xlpm.MyAuditVal&lt;&gt;"",UPPER(_xlpm.MyAuditVal),_xlpm.MacVal&lt;&gt;"",_xlpm.MacVal,_xlpm.CSVVal&lt;&gt;"",_xlpm.CSVVal
)),"")</f>
        <v/>
      </c>
      <c r="E482" s="46" t="str" cm="1">
        <f t="array" ref="E482">IFERROR(_xlfn.LET(
_xlpm.CSVVal,_xlfn.XLOOKUP($A482,CSV!$A:$A,CSV!E:E,""),
_xlpm.MacVal,_xlfn.XLOOKUP($A482,Output_Mac!$A:$A,Output_Mac!C:C,""),
_xlpm.MyAuditVal,_xlfn.XLOOKUP($A482,My_Audit!$A:$A,My_Audit!D:D,""),
_xlfn.IFS(_xlpm.MyAuditVal&lt;&gt;"",_xlpm.MyAuditVal,_xlpm.MacVal&lt;&gt;"",_xlpm.MacVal,_xlpm.CSVVal&lt;&gt;"",_xlpm.CSVVal
)),"")</f>
        <v/>
      </c>
      <c r="F482" s="45" t="str" cm="1">
        <f t="array" ref="F482">IFERROR(_xlfn.LET(
_xlpm.CSVVal,_xlfn.XLOOKUP($A482,CSV!$A:$A,CSV!F:F,""),
_xlpm.MacVal,_xlfn.XLOOKUP($A482,Output_Mac!$A:$A,Output_Mac!F:F,""),
_xlpm.MyAuditVal,_xlfn.XLOOKUP($A482,My_Audit!$A:$A,My_Audit!E:E,""),
_xlfn.IFS(_xlpm.MyAuditVal&lt;&gt;"",_xlpm.MyAuditVal,_xlpm.MacVal&lt;&gt;"",_xlpm.MacVal,_xlpm.CSVVal&lt;&gt;"",PROPER(_xlpm.CSVVal)
)),"")</f>
        <v/>
      </c>
      <c r="G482" s="45" t="str" cm="1">
        <f t="array" ref="G482">IFERROR(_xlfn.LET(
_xlpm.CSVVal,_xlfn.XLOOKUP($A482,CSV!$A:$A,CSV!G:G,""),
_xlpm.MacVal,_xlfn.XLOOKUP($A482,Output_Mac!$A:$A,Output_Mac!H:H,""),
_xlpm.MyAuditVal,_xlfn.XLOOKUP($A482,My_Audit!$A:$A,My_Audit!F:F,""),
_xlfn.IFS(_xlpm.MyAuditVal&lt;&gt;"",_xlpm.MyAuditVal,_xlpm.MacVal&lt;&gt;"",_xlpm.MacVal,_xlpm.CSVVal&lt;&gt;"",_xlpm.CSVVal
)),"")</f>
        <v/>
      </c>
      <c r="H482" s="45" t="str">
        <f>_xlfn.XLOOKUP(A482,Output_Mac!A:A,Output_Mac!I:I,"")</f>
        <v/>
      </c>
      <c r="I482" s="45" t="str" cm="1">
        <f t="array" ref="I482">IFERROR(_xlfn.LET(
_xlpm.CSVVal,_xlfn.XLOOKUP($A482,CSV!$A:$A,CSV!H:H,""),
_xlpm.MacVal,_xlfn.XLOOKUP($A482,Output_Mac!$A:$A,Output_Mac!J:J,""),
_xlpm.MyAuditVal,_xlfn.XLOOKUP($A482,My_Audit!$A:$A,My_Audit!H:H,""),
_xlfn.IFS(_xlpm.MyAuditVal&lt;&gt;"",UPPER(_xlpm.MyAuditVal),_xlpm.MacVal&lt;&gt;"",_xlpm.MacVal,_xlpm.CSVVal&lt;&gt;"",_xlpm.CSVVal
)),"")</f>
        <v/>
      </c>
      <c r="J482" s="45" t="str" cm="1">
        <f t="array" ref="J482">IFERROR(_xlfn.LET(
_xlpm.CSVVal,_xlfn.XLOOKUP($A482,CSV!$A:$A,CSV!J:J,""),
_xlpm.MacVal,_xlfn.XLOOKUP($A482,Output_Mac!$A:$A,Output_Mac!K:K,""),
_xlpm.MyAuditVal,_xlfn.XLOOKUP($A482,My_Audit!$A:$A,My_Audit!I:I,""),
_xlfn.IFS(_xlpm.MyAuditVal&lt;&gt;"",UPPER(_xlpm.MyAuditVal),_xlpm.MacVal&lt;&gt;"",_xlpm.MacVal,_xlpm.CSVVal&lt;&gt;"",_xlpm.CSVVal
)),"")</f>
        <v/>
      </c>
      <c r="K482" s="45" t="str" cm="1">
        <f t="array" ref="K482">IFERROR(_xlfn.LET(
_xlpm.CSVVal,_xlfn.XLOOKUP($A482,CSV!$A:$A,CSV!N:N,""),
_xlpm.MacVal,_xlfn.XLOOKUP($A482,Output_Mac!$A:$A,Output_Mac!L:L,""),
_xlpm.MyAuditVal,_xlfn.XLOOKUP($A482,My_Audit!$A:$A,My_Audit!J:J,""),
_xlfn.IFS(_xlpm.MyAuditVal&lt;&gt;"",UPPER(_xlpm.MyAuditVal),_xlpm.MacVal&lt;&gt;"",_xlpm.MacVal,_xlpm.CSVVal&lt;&gt;"",_xlpm.CSVVal
)),"")</f>
        <v/>
      </c>
      <c r="L482" s="45" t="str" cm="1">
        <f t="array" ref="L482">IFERROR(_xlfn.LET(
_xlpm.CSVVal,_xlfn.XLOOKUP($A482,CSV!$A:$A,CSV!P:P,""),
_xlpm.MacVal,_xlfn.XLOOKUP($A482,Output_Mac!$A:$A,Output_Mac!M:M,""),
_xlpm.MyAuditVal,_xlfn.XLOOKUP($A482,My_Audit!$A:$A,My_Audit!K:K,""),
_xlfn.IFS(_xlpm.MyAuditVal&lt;&gt;"",UPPER(_xlpm.MyAuditVal),_xlpm.MacVal&lt;&gt;"",_xlpm.MacVal,_xlpm.CSVVal&lt;&gt;"",_xlpm.CSVVal
)),"")</f>
        <v/>
      </c>
      <c r="M482" s="45" t="str">
        <f>_xlfn.LET(
    _xlpm.CSVVal, _xlfn.XLOOKUP($A482, CSV!$A:$A, CSV!AE:AE, ""),
    _xlpm.MacVal, _xlfn.XLOOKUP($A482, Output_Mac!$A:$A, Output_Mac!S:S, ""),
    _xlpm.MyAuditVal, _xlfn.XLOOKUP($A482, My_Audit!$A:$A, My_Audit!N:N, ""),
    _xlfn.TEXTJOIN(", ", TRUE, _xlpm.MyAuditVal, _xlpm.MacVal, _xlpm.CSVVal)
)</f>
        <v/>
      </c>
      <c r="N482" s="45" t="str" cm="1">
        <f t="array" ref="N482">IFERROR(_xlfn.LET(
_xlpm.CSVVal,_xlfn.XLOOKUP($A482,CSV!$A:$A,CSV!AG:AG,""),
_xlpm.MacVal,_xlfn.XLOOKUP($A482,Output_Mac!$A:$A,Output_Mac!U:U,""),
_xlpm.MyAuditVal,_xlfn.XLOOKUP($A482,My_Audit!$A:$A,My_Audit!O:O,""),
_xlfn.IFS(_xlpm.MyAuditVal&lt;&gt;"",UPPER(_xlpm.MyAuditVal),_xlpm.MacVal&lt;&gt;"",_xlpm.MacVal,_xlpm.CSVVal&lt;&gt;"",_xlpm.CSVVal
)),"")</f>
        <v/>
      </c>
      <c r="O482" s="45"/>
      <c r="P482" s="45"/>
      <c r="Q482" s="46" t="str">
        <f>IF(LEFT(N482,4)="Pass","Nist SP 800-88",My_Audit!R482)&amp;""</f>
        <v/>
      </c>
      <c r="R482" s="45"/>
      <c r="S482" s="45"/>
      <c r="T482" s="46" t="str">
        <f>_xlfn.XLOOKUP(E482,Models!I:I,Models!J:J,"")</f>
        <v/>
      </c>
      <c r="U482" s="45"/>
      <c r="V482" s="45"/>
      <c r="W482" s="38"/>
    </row>
    <row r="483" spans="1:23">
      <c r="A483" s="45" t="str">
        <f>_xlfn.TEXTJOIN("",TRUE,Input!$B$2,ROW(My_Audit!A482))</f>
        <v>XX482</v>
      </c>
      <c r="B483" s="45" t="str">
        <f>_xlfn.TEXTJOIN("-",TRUE,"ITD",Input!$A$2,A483)</f>
        <v>ITD-SHRXXX-XX482</v>
      </c>
      <c r="C483" s="45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46" t="str" cm="1">
        <f t="array" ref="D483">IFERROR(_xlfn.LET(
_xlpm.CSVVal,_xlfn.XLOOKUP($A483,CSV!$A:$A,CSV!C:C,""),
_xlpm.MacVal,_xlfn.XLOOKUP($A483,Output_Mac!$A:$A,Output_Mac!D:D,""),
_xlpm.MyAuditVal,_xlfn.XLOOKUP($A483,My_Audit!$A:$A,My_Audit!C:C,""),
_xlfn.IFS(_xlpm.MyAuditVal&lt;&gt;"",UPPER(_xlpm.MyAuditVal),_xlpm.MacVal&lt;&gt;"",_xlpm.MacVal,_xlpm.CSVVal&lt;&gt;"",_xlpm.CSVVal
)),"")</f>
        <v/>
      </c>
      <c r="E483" s="46" t="str" cm="1">
        <f t="array" ref="E483">IFERROR(_xlfn.LET(
_xlpm.CSVVal,_xlfn.XLOOKUP($A483,CSV!$A:$A,CSV!E:E,""),
_xlpm.MacVal,_xlfn.XLOOKUP($A483,Output_Mac!$A:$A,Output_Mac!C:C,""),
_xlpm.MyAuditVal,_xlfn.XLOOKUP($A483,My_Audit!$A:$A,My_Audit!D:D,""),
_xlfn.IFS(_xlpm.MyAuditVal&lt;&gt;"",_xlpm.MyAuditVal,_xlpm.MacVal&lt;&gt;"",_xlpm.MacVal,_xlpm.CSVVal&lt;&gt;"",_xlpm.CSVVal
)),"")</f>
        <v/>
      </c>
      <c r="F483" s="45" t="str" cm="1">
        <f t="array" ref="F483">IFERROR(_xlfn.LET(
_xlpm.CSVVal,_xlfn.XLOOKUP($A483,CSV!$A:$A,CSV!F:F,""),
_xlpm.MacVal,_xlfn.XLOOKUP($A483,Output_Mac!$A:$A,Output_Mac!F:F,""),
_xlpm.MyAuditVal,_xlfn.XLOOKUP($A483,My_Audit!$A:$A,My_Audit!E:E,""),
_xlfn.IFS(_xlpm.MyAuditVal&lt;&gt;"",_xlpm.MyAuditVal,_xlpm.MacVal&lt;&gt;"",_xlpm.MacVal,_xlpm.CSVVal&lt;&gt;"",PROPER(_xlpm.CSVVal)
)),"")</f>
        <v/>
      </c>
      <c r="G483" s="45" t="str" cm="1">
        <f t="array" ref="G483">IFERROR(_xlfn.LET(
_xlpm.CSVVal,_xlfn.XLOOKUP($A483,CSV!$A:$A,CSV!G:G,""),
_xlpm.MacVal,_xlfn.XLOOKUP($A483,Output_Mac!$A:$A,Output_Mac!H:H,""),
_xlpm.MyAuditVal,_xlfn.XLOOKUP($A483,My_Audit!$A:$A,My_Audit!F:F,""),
_xlfn.IFS(_xlpm.MyAuditVal&lt;&gt;"",_xlpm.MyAuditVal,_xlpm.MacVal&lt;&gt;"",_xlpm.MacVal,_xlpm.CSVVal&lt;&gt;"",_xlpm.CSVVal
)),"")</f>
        <v/>
      </c>
      <c r="H483" s="45" t="str">
        <f>_xlfn.XLOOKUP(A483,Output_Mac!A:A,Output_Mac!I:I,"")</f>
        <v/>
      </c>
      <c r="I483" s="45" t="str" cm="1">
        <f t="array" ref="I483">IFERROR(_xlfn.LET(
_xlpm.CSVVal,_xlfn.XLOOKUP($A483,CSV!$A:$A,CSV!H:H,""),
_xlpm.MacVal,_xlfn.XLOOKUP($A483,Output_Mac!$A:$A,Output_Mac!J:J,""),
_xlpm.MyAuditVal,_xlfn.XLOOKUP($A483,My_Audit!$A:$A,My_Audit!H:H,""),
_xlfn.IFS(_xlpm.MyAuditVal&lt;&gt;"",UPPER(_xlpm.MyAuditVal),_xlpm.MacVal&lt;&gt;"",_xlpm.MacVal,_xlpm.CSVVal&lt;&gt;"",_xlpm.CSVVal
)),"")</f>
        <v/>
      </c>
      <c r="J483" s="45" t="str" cm="1">
        <f t="array" ref="J483">IFERROR(_xlfn.LET(
_xlpm.CSVVal,_xlfn.XLOOKUP($A483,CSV!$A:$A,CSV!J:J,""),
_xlpm.MacVal,_xlfn.XLOOKUP($A483,Output_Mac!$A:$A,Output_Mac!K:K,""),
_xlpm.MyAuditVal,_xlfn.XLOOKUP($A483,My_Audit!$A:$A,My_Audit!I:I,""),
_xlfn.IFS(_xlpm.MyAuditVal&lt;&gt;"",UPPER(_xlpm.MyAuditVal),_xlpm.MacVal&lt;&gt;"",_xlpm.MacVal,_xlpm.CSVVal&lt;&gt;"",_xlpm.CSVVal
)),"")</f>
        <v/>
      </c>
      <c r="K483" s="45" t="str" cm="1">
        <f t="array" ref="K483">IFERROR(_xlfn.LET(
_xlpm.CSVVal,_xlfn.XLOOKUP($A483,CSV!$A:$A,CSV!N:N,""),
_xlpm.MacVal,_xlfn.XLOOKUP($A483,Output_Mac!$A:$A,Output_Mac!L:L,""),
_xlpm.MyAuditVal,_xlfn.XLOOKUP($A483,My_Audit!$A:$A,My_Audit!J:J,""),
_xlfn.IFS(_xlpm.MyAuditVal&lt;&gt;"",UPPER(_xlpm.MyAuditVal),_xlpm.MacVal&lt;&gt;"",_xlpm.MacVal,_xlpm.CSVVal&lt;&gt;"",_xlpm.CSVVal
)),"")</f>
        <v/>
      </c>
      <c r="L483" s="45" t="str" cm="1">
        <f t="array" ref="L483">IFERROR(_xlfn.LET(
_xlpm.CSVVal,_xlfn.XLOOKUP($A483,CSV!$A:$A,CSV!P:P,""),
_xlpm.MacVal,_xlfn.XLOOKUP($A483,Output_Mac!$A:$A,Output_Mac!M:M,""),
_xlpm.MyAuditVal,_xlfn.XLOOKUP($A483,My_Audit!$A:$A,My_Audit!K:K,""),
_xlfn.IFS(_xlpm.MyAuditVal&lt;&gt;"",UPPER(_xlpm.MyAuditVal),_xlpm.MacVal&lt;&gt;"",_xlpm.MacVal,_xlpm.CSVVal&lt;&gt;"",_xlpm.CSVVal
)),"")</f>
        <v/>
      </c>
      <c r="M483" s="45" t="str">
        <f>_xlfn.LET(
    _xlpm.CSVVal, _xlfn.XLOOKUP($A483, CSV!$A:$A, CSV!AE:AE, ""),
    _xlpm.MacVal, _xlfn.XLOOKUP($A483, Output_Mac!$A:$A, Output_Mac!S:S, ""),
    _xlpm.MyAuditVal, _xlfn.XLOOKUP($A483, My_Audit!$A:$A, My_Audit!N:N, ""),
    _xlfn.TEXTJOIN(", ", TRUE, _xlpm.MyAuditVal, _xlpm.MacVal, _xlpm.CSVVal)
)</f>
        <v/>
      </c>
      <c r="N483" s="45" t="str" cm="1">
        <f t="array" ref="N483">IFERROR(_xlfn.LET(
_xlpm.CSVVal,_xlfn.XLOOKUP($A483,CSV!$A:$A,CSV!AG:AG,""),
_xlpm.MacVal,_xlfn.XLOOKUP($A483,Output_Mac!$A:$A,Output_Mac!U:U,""),
_xlpm.MyAuditVal,_xlfn.XLOOKUP($A483,My_Audit!$A:$A,My_Audit!O:O,""),
_xlfn.IFS(_xlpm.MyAuditVal&lt;&gt;"",UPPER(_xlpm.MyAuditVal),_xlpm.MacVal&lt;&gt;"",_xlpm.MacVal,_xlpm.CSVVal&lt;&gt;"",_xlpm.CSVVal
)),"")</f>
        <v/>
      </c>
      <c r="O483" s="45"/>
      <c r="P483" s="45"/>
      <c r="Q483" s="46" t="str">
        <f>IF(LEFT(N483,4)="Pass","Nist SP 800-88",My_Audit!R483)&amp;""</f>
        <v/>
      </c>
      <c r="R483" s="45"/>
      <c r="S483" s="45"/>
      <c r="T483" s="46" t="str">
        <f>_xlfn.XLOOKUP(E483,Models!I:I,Models!J:J,"")</f>
        <v/>
      </c>
      <c r="U483" s="45"/>
      <c r="V483" s="45"/>
      <c r="W483" s="38"/>
    </row>
    <row r="484" spans="1:23">
      <c r="A484" s="45" t="str">
        <f>_xlfn.TEXTJOIN("",TRUE,Input!$B$2,ROW(My_Audit!A483))</f>
        <v>XX483</v>
      </c>
      <c r="B484" s="45" t="str">
        <f>_xlfn.TEXTJOIN("-",TRUE,"ITD",Input!$A$2,A484)</f>
        <v>ITD-SHRXXX-XX483</v>
      </c>
      <c r="C484" s="45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46" t="str" cm="1">
        <f t="array" ref="D484">IFERROR(_xlfn.LET(
_xlpm.CSVVal,_xlfn.XLOOKUP($A484,CSV!$A:$A,CSV!C:C,""),
_xlpm.MacVal,_xlfn.XLOOKUP($A484,Output_Mac!$A:$A,Output_Mac!D:D,""),
_xlpm.MyAuditVal,_xlfn.XLOOKUP($A484,My_Audit!$A:$A,My_Audit!C:C,""),
_xlfn.IFS(_xlpm.MyAuditVal&lt;&gt;"",UPPER(_xlpm.MyAuditVal),_xlpm.MacVal&lt;&gt;"",_xlpm.MacVal,_xlpm.CSVVal&lt;&gt;"",_xlpm.CSVVal
)),"")</f>
        <v/>
      </c>
      <c r="E484" s="46" t="str" cm="1">
        <f t="array" ref="E484">IFERROR(_xlfn.LET(
_xlpm.CSVVal,_xlfn.XLOOKUP($A484,CSV!$A:$A,CSV!E:E,""),
_xlpm.MacVal,_xlfn.XLOOKUP($A484,Output_Mac!$A:$A,Output_Mac!C:C,""),
_xlpm.MyAuditVal,_xlfn.XLOOKUP($A484,My_Audit!$A:$A,My_Audit!D:D,""),
_xlfn.IFS(_xlpm.MyAuditVal&lt;&gt;"",_xlpm.MyAuditVal,_xlpm.MacVal&lt;&gt;"",_xlpm.MacVal,_xlpm.CSVVal&lt;&gt;"",_xlpm.CSVVal
)),"")</f>
        <v/>
      </c>
      <c r="F484" s="45" t="str" cm="1">
        <f t="array" ref="F484">IFERROR(_xlfn.LET(
_xlpm.CSVVal,_xlfn.XLOOKUP($A484,CSV!$A:$A,CSV!F:F,""),
_xlpm.MacVal,_xlfn.XLOOKUP($A484,Output_Mac!$A:$A,Output_Mac!F:F,""),
_xlpm.MyAuditVal,_xlfn.XLOOKUP($A484,My_Audit!$A:$A,My_Audit!E:E,""),
_xlfn.IFS(_xlpm.MyAuditVal&lt;&gt;"",_xlpm.MyAuditVal,_xlpm.MacVal&lt;&gt;"",_xlpm.MacVal,_xlpm.CSVVal&lt;&gt;"",PROPER(_xlpm.CSVVal)
)),"")</f>
        <v/>
      </c>
      <c r="G484" s="45" t="str" cm="1">
        <f t="array" ref="G484">IFERROR(_xlfn.LET(
_xlpm.CSVVal,_xlfn.XLOOKUP($A484,CSV!$A:$A,CSV!G:G,""),
_xlpm.MacVal,_xlfn.XLOOKUP($A484,Output_Mac!$A:$A,Output_Mac!H:H,""),
_xlpm.MyAuditVal,_xlfn.XLOOKUP($A484,My_Audit!$A:$A,My_Audit!F:F,""),
_xlfn.IFS(_xlpm.MyAuditVal&lt;&gt;"",_xlpm.MyAuditVal,_xlpm.MacVal&lt;&gt;"",_xlpm.MacVal,_xlpm.CSVVal&lt;&gt;"",_xlpm.CSVVal
)),"")</f>
        <v/>
      </c>
      <c r="H484" s="45" t="str">
        <f>_xlfn.XLOOKUP(A484,Output_Mac!A:A,Output_Mac!I:I,"")</f>
        <v/>
      </c>
      <c r="I484" s="45" t="str" cm="1">
        <f t="array" ref="I484">IFERROR(_xlfn.LET(
_xlpm.CSVVal,_xlfn.XLOOKUP($A484,CSV!$A:$A,CSV!H:H,""),
_xlpm.MacVal,_xlfn.XLOOKUP($A484,Output_Mac!$A:$A,Output_Mac!J:J,""),
_xlpm.MyAuditVal,_xlfn.XLOOKUP($A484,My_Audit!$A:$A,My_Audit!H:H,""),
_xlfn.IFS(_xlpm.MyAuditVal&lt;&gt;"",UPPER(_xlpm.MyAuditVal),_xlpm.MacVal&lt;&gt;"",_xlpm.MacVal,_xlpm.CSVVal&lt;&gt;"",_xlpm.CSVVal
)),"")</f>
        <v/>
      </c>
      <c r="J484" s="45" t="str" cm="1">
        <f t="array" ref="J484">IFERROR(_xlfn.LET(
_xlpm.CSVVal,_xlfn.XLOOKUP($A484,CSV!$A:$A,CSV!J:J,""),
_xlpm.MacVal,_xlfn.XLOOKUP($A484,Output_Mac!$A:$A,Output_Mac!K:K,""),
_xlpm.MyAuditVal,_xlfn.XLOOKUP($A484,My_Audit!$A:$A,My_Audit!I:I,""),
_xlfn.IFS(_xlpm.MyAuditVal&lt;&gt;"",UPPER(_xlpm.MyAuditVal),_xlpm.MacVal&lt;&gt;"",_xlpm.MacVal,_xlpm.CSVVal&lt;&gt;"",_xlpm.CSVVal
)),"")</f>
        <v/>
      </c>
      <c r="K484" s="45" t="str" cm="1">
        <f t="array" ref="K484">IFERROR(_xlfn.LET(
_xlpm.CSVVal,_xlfn.XLOOKUP($A484,CSV!$A:$A,CSV!N:N,""),
_xlpm.MacVal,_xlfn.XLOOKUP($A484,Output_Mac!$A:$A,Output_Mac!L:L,""),
_xlpm.MyAuditVal,_xlfn.XLOOKUP($A484,My_Audit!$A:$A,My_Audit!J:J,""),
_xlfn.IFS(_xlpm.MyAuditVal&lt;&gt;"",UPPER(_xlpm.MyAuditVal),_xlpm.MacVal&lt;&gt;"",_xlpm.MacVal,_xlpm.CSVVal&lt;&gt;"",_xlpm.CSVVal
)),"")</f>
        <v/>
      </c>
      <c r="L484" s="45" t="str" cm="1">
        <f t="array" ref="L484">IFERROR(_xlfn.LET(
_xlpm.CSVVal,_xlfn.XLOOKUP($A484,CSV!$A:$A,CSV!P:P,""),
_xlpm.MacVal,_xlfn.XLOOKUP($A484,Output_Mac!$A:$A,Output_Mac!M:M,""),
_xlpm.MyAuditVal,_xlfn.XLOOKUP($A484,My_Audit!$A:$A,My_Audit!K:K,""),
_xlfn.IFS(_xlpm.MyAuditVal&lt;&gt;"",UPPER(_xlpm.MyAuditVal),_xlpm.MacVal&lt;&gt;"",_xlpm.MacVal,_xlpm.CSVVal&lt;&gt;"",_xlpm.CSVVal
)),"")</f>
        <v/>
      </c>
      <c r="M484" s="45" t="str">
        <f>_xlfn.LET(
    _xlpm.CSVVal, _xlfn.XLOOKUP($A484, CSV!$A:$A, CSV!AE:AE, ""),
    _xlpm.MacVal, _xlfn.XLOOKUP($A484, Output_Mac!$A:$A, Output_Mac!S:S, ""),
    _xlpm.MyAuditVal, _xlfn.XLOOKUP($A484, My_Audit!$A:$A, My_Audit!N:N, ""),
    _xlfn.TEXTJOIN(", ", TRUE, _xlpm.MyAuditVal, _xlpm.MacVal, _xlpm.CSVVal)
)</f>
        <v/>
      </c>
      <c r="N484" s="45" t="str" cm="1">
        <f t="array" ref="N484">IFERROR(_xlfn.LET(
_xlpm.CSVVal,_xlfn.XLOOKUP($A484,CSV!$A:$A,CSV!AG:AG,""),
_xlpm.MacVal,_xlfn.XLOOKUP($A484,Output_Mac!$A:$A,Output_Mac!U:U,""),
_xlpm.MyAuditVal,_xlfn.XLOOKUP($A484,My_Audit!$A:$A,My_Audit!O:O,""),
_xlfn.IFS(_xlpm.MyAuditVal&lt;&gt;"",UPPER(_xlpm.MyAuditVal),_xlpm.MacVal&lt;&gt;"",_xlpm.MacVal,_xlpm.CSVVal&lt;&gt;"",_xlpm.CSVVal
)),"")</f>
        <v/>
      </c>
      <c r="O484" s="45"/>
      <c r="P484" s="45"/>
      <c r="Q484" s="46" t="str">
        <f>IF(LEFT(N484,4)="Pass","Nist SP 800-88",My_Audit!R484)&amp;""</f>
        <v/>
      </c>
      <c r="R484" s="45"/>
      <c r="S484" s="45"/>
      <c r="T484" s="46" t="str">
        <f>_xlfn.XLOOKUP(E484,Models!I:I,Models!J:J,"")</f>
        <v/>
      </c>
      <c r="U484" s="45"/>
      <c r="V484" s="45"/>
      <c r="W484" s="38"/>
    </row>
    <row r="485" spans="1:23">
      <c r="A485" s="45" t="str">
        <f>_xlfn.TEXTJOIN("",TRUE,Input!$B$2,ROW(My_Audit!A484))</f>
        <v>XX484</v>
      </c>
      <c r="B485" s="45" t="str">
        <f>_xlfn.TEXTJOIN("-",TRUE,"ITD",Input!$A$2,A485)</f>
        <v>ITD-SHRXXX-XX484</v>
      </c>
      <c r="C485" s="45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46" t="str" cm="1">
        <f t="array" ref="D485">IFERROR(_xlfn.LET(
_xlpm.CSVVal,_xlfn.XLOOKUP($A485,CSV!$A:$A,CSV!C:C,""),
_xlpm.MacVal,_xlfn.XLOOKUP($A485,Output_Mac!$A:$A,Output_Mac!D:D,""),
_xlpm.MyAuditVal,_xlfn.XLOOKUP($A485,My_Audit!$A:$A,My_Audit!C:C,""),
_xlfn.IFS(_xlpm.MyAuditVal&lt;&gt;"",UPPER(_xlpm.MyAuditVal),_xlpm.MacVal&lt;&gt;"",_xlpm.MacVal,_xlpm.CSVVal&lt;&gt;"",_xlpm.CSVVal
)),"")</f>
        <v/>
      </c>
      <c r="E485" s="46" t="str" cm="1">
        <f t="array" ref="E485">IFERROR(_xlfn.LET(
_xlpm.CSVVal,_xlfn.XLOOKUP($A485,CSV!$A:$A,CSV!E:E,""),
_xlpm.MacVal,_xlfn.XLOOKUP($A485,Output_Mac!$A:$A,Output_Mac!C:C,""),
_xlpm.MyAuditVal,_xlfn.XLOOKUP($A485,My_Audit!$A:$A,My_Audit!D:D,""),
_xlfn.IFS(_xlpm.MyAuditVal&lt;&gt;"",_xlpm.MyAuditVal,_xlpm.MacVal&lt;&gt;"",_xlpm.MacVal,_xlpm.CSVVal&lt;&gt;"",_xlpm.CSVVal
)),"")</f>
        <v/>
      </c>
      <c r="F485" s="45" t="str" cm="1">
        <f t="array" ref="F485">IFERROR(_xlfn.LET(
_xlpm.CSVVal,_xlfn.XLOOKUP($A485,CSV!$A:$A,CSV!F:F,""),
_xlpm.MacVal,_xlfn.XLOOKUP($A485,Output_Mac!$A:$A,Output_Mac!F:F,""),
_xlpm.MyAuditVal,_xlfn.XLOOKUP($A485,My_Audit!$A:$A,My_Audit!E:E,""),
_xlfn.IFS(_xlpm.MyAuditVal&lt;&gt;"",_xlpm.MyAuditVal,_xlpm.MacVal&lt;&gt;"",_xlpm.MacVal,_xlpm.CSVVal&lt;&gt;"",PROPER(_xlpm.CSVVal)
)),"")</f>
        <v/>
      </c>
      <c r="G485" s="45" t="str" cm="1">
        <f t="array" ref="G485">IFERROR(_xlfn.LET(
_xlpm.CSVVal,_xlfn.XLOOKUP($A485,CSV!$A:$A,CSV!G:G,""),
_xlpm.MacVal,_xlfn.XLOOKUP($A485,Output_Mac!$A:$A,Output_Mac!H:H,""),
_xlpm.MyAuditVal,_xlfn.XLOOKUP($A485,My_Audit!$A:$A,My_Audit!F:F,""),
_xlfn.IFS(_xlpm.MyAuditVal&lt;&gt;"",_xlpm.MyAuditVal,_xlpm.MacVal&lt;&gt;"",_xlpm.MacVal,_xlpm.CSVVal&lt;&gt;"",_xlpm.CSVVal
)),"")</f>
        <v/>
      </c>
      <c r="H485" s="45" t="str">
        <f>_xlfn.XLOOKUP(A485,Output_Mac!A:A,Output_Mac!I:I,"")</f>
        <v/>
      </c>
      <c r="I485" s="45" t="str" cm="1">
        <f t="array" ref="I485">IFERROR(_xlfn.LET(
_xlpm.CSVVal,_xlfn.XLOOKUP($A485,CSV!$A:$A,CSV!H:H,""),
_xlpm.MacVal,_xlfn.XLOOKUP($A485,Output_Mac!$A:$A,Output_Mac!J:J,""),
_xlpm.MyAuditVal,_xlfn.XLOOKUP($A485,My_Audit!$A:$A,My_Audit!H:H,""),
_xlfn.IFS(_xlpm.MyAuditVal&lt;&gt;"",UPPER(_xlpm.MyAuditVal),_xlpm.MacVal&lt;&gt;"",_xlpm.MacVal,_xlpm.CSVVal&lt;&gt;"",_xlpm.CSVVal
)),"")</f>
        <v/>
      </c>
      <c r="J485" s="45" t="str" cm="1">
        <f t="array" ref="J485">IFERROR(_xlfn.LET(
_xlpm.CSVVal,_xlfn.XLOOKUP($A485,CSV!$A:$A,CSV!J:J,""),
_xlpm.MacVal,_xlfn.XLOOKUP($A485,Output_Mac!$A:$A,Output_Mac!K:K,""),
_xlpm.MyAuditVal,_xlfn.XLOOKUP($A485,My_Audit!$A:$A,My_Audit!I:I,""),
_xlfn.IFS(_xlpm.MyAuditVal&lt;&gt;"",UPPER(_xlpm.MyAuditVal),_xlpm.MacVal&lt;&gt;"",_xlpm.MacVal,_xlpm.CSVVal&lt;&gt;"",_xlpm.CSVVal
)),"")</f>
        <v/>
      </c>
      <c r="K485" s="45" t="str" cm="1">
        <f t="array" ref="K485">IFERROR(_xlfn.LET(
_xlpm.CSVVal,_xlfn.XLOOKUP($A485,CSV!$A:$A,CSV!N:N,""),
_xlpm.MacVal,_xlfn.XLOOKUP($A485,Output_Mac!$A:$A,Output_Mac!L:L,""),
_xlpm.MyAuditVal,_xlfn.XLOOKUP($A485,My_Audit!$A:$A,My_Audit!J:J,""),
_xlfn.IFS(_xlpm.MyAuditVal&lt;&gt;"",UPPER(_xlpm.MyAuditVal),_xlpm.MacVal&lt;&gt;"",_xlpm.MacVal,_xlpm.CSVVal&lt;&gt;"",_xlpm.CSVVal
)),"")</f>
        <v/>
      </c>
      <c r="L485" s="45" t="str" cm="1">
        <f t="array" ref="L485">IFERROR(_xlfn.LET(
_xlpm.CSVVal,_xlfn.XLOOKUP($A485,CSV!$A:$A,CSV!P:P,""),
_xlpm.MacVal,_xlfn.XLOOKUP($A485,Output_Mac!$A:$A,Output_Mac!M:M,""),
_xlpm.MyAuditVal,_xlfn.XLOOKUP($A485,My_Audit!$A:$A,My_Audit!K:K,""),
_xlfn.IFS(_xlpm.MyAuditVal&lt;&gt;"",UPPER(_xlpm.MyAuditVal),_xlpm.MacVal&lt;&gt;"",_xlpm.MacVal,_xlpm.CSVVal&lt;&gt;"",_xlpm.CSVVal
)),"")</f>
        <v/>
      </c>
      <c r="M485" s="45" t="str">
        <f>_xlfn.LET(
    _xlpm.CSVVal, _xlfn.XLOOKUP($A485, CSV!$A:$A, CSV!AE:AE, ""),
    _xlpm.MacVal, _xlfn.XLOOKUP($A485, Output_Mac!$A:$A, Output_Mac!S:S, ""),
    _xlpm.MyAuditVal, _xlfn.XLOOKUP($A485, My_Audit!$A:$A, My_Audit!N:N, ""),
    _xlfn.TEXTJOIN(", ", TRUE, _xlpm.MyAuditVal, _xlpm.MacVal, _xlpm.CSVVal)
)</f>
        <v/>
      </c>
      <c r="N485" s="45" t="str" cm="1">
        <f t="array" ref="N485">IFERROR(_xlfn.LET(
_xlpm.CSVVal,_xlfn.XLOOKUP($A485,CSV!$A:$A,CSV!AG:AG,""),
_xlpm.MacVal,_xlfn.XLOOKUP($A485,Output_Mac!$A:$A,Output_Mac!U:U,""),
_xlpm.MyAuditVal,_xlfn.XLOOKUP($A485,My_Audit!$A:$A,My_Audit!O:O,""),
_xlfn.IFS(_xlpm.MyAuditVal&lt;&gt;"",UPPER(_xlpm.MyAuditVal),_xlpm.MacVal&lt;&gt;"",_xlpm.MacVal,_xlpm.CSVVal&lt;&gt;"",_xlpm.CSVVal
)),"")</f>
        <v/>
      </c>
      <c r="O485" s="45"/>
      <c r="P485" s="45"/>
      <c r="Q485" s="46" t="str">
        <f>IF(LEFT(N485,4)="Pass","Nist SP 800-88",My_Audit!R485)&amp;""</f>
        <v/>
      </c>
      <c r="R485" s="45"/>
      <c r="S485" s="45"/>
      <c r="T485" s="46" t="str">
        <f>_xlfn.XLOOKUP(E485,Models!I:I,Models!J:J,"")</f>
        <v/>
      </c>
      <c r="U485" s="45"/>
      <c r="V485" s="45"/>
      <c r="W485" s="38"/>
    </row>
    <row r="486" spans="1:23">
      <c r="A486" s="45" t="str">
        <f>_xlfn.TEXTJOIN("",TRUE,Input!$B$2,ROW(My_Audit!A485))</f>
        <v>XX485</v>
      </c>
      <c r="B486" s="45" t="str">
        <f>_xlfn.TEXTJOIN("-",TRUE,"ITD",Input!$A$2,A486)</f>
        <v>ITD-SHRXXX-XX485</v>
      </c>
      <c r="C486" s="45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46" t="str" cm="1">
        <f t="array" ref="D486">IFERROR(_xlfn.LET(
_xlpm.CSVVal,_xlfn.XLOOKUP($A486,CSV!$A:$A,CSV!C:C,""),
_xlpm.MacVal,_xlfn.XLOOKUP($A486,Output_Mac!$A:$A,Output_Mac!D:D,""),
_xlpm.MyAuditVal,_xlfn.XLOOKUP($A486,My_Audit!$A:$A,My_Audit!C:C,""),
_xlfn.IFS(_xlpm.MyAuditVal&lt;&gt;"",UPPER(_xlpm.MyAuditVal),_xlpm.MacVal&lt;&gt;"",_xlpm.MacVal,_xlpm.CSVVal&lt;&gt;"",_xlpm.CSVVal
)),"")</f>
        <v/>
      </c>
      <c r="E486" s="46" t="str" cm="1">
        <f t="array" ref="E486">IFERROR(_xlfn.LET(
_xlpm.CSVVal,_xlfn.XLOOKUP($A486,CSV!$A:$A,CSV!E:E,""),
_xlpm.MacVal,_xlfn.XLOOKUP($A486,Output_Mac!$A:$A,Output_Mac!C:C,""),
_xlpm.MyAuditVal,_xlfn.XLOOKUP($A486,My_Audit!$A:$A,My_Audit!D:D,""),
_xlfn.IFS(_xlpm.MyAuditVal&lt;&gt;"",_xlpm.MyAuditVal,_xlpm.MacVal&lt;&gt;"",_xlpm.MacVal,_xlpm.CSVVal&lt;&gt;"",_xlpm.CSVVal
)),"")</f>
        <v/>
      </c>
      <c r="F486" s="45" t="str" cm="1">
        <f t="array" ref="F486">IFERROR(_xlfn.LET(
_xlpm.CSVVal,_xlfn.XLOOKUP($A486,CSV!$A:$A,CSV!F:F,""),
_xlpm.MacVal,_xlfn.XLOOKUP($A486,Output_Mac!$A:$A,Output_Mac!F:F,""),
_xlpm.MyAuditVal,_xlfn.XLOOKUP($A486,My_Audit!$A:$A,My_Audit!E:E,""),
_xlfn.IFS(_xlpm.MyAuditVal&lt;&gt;"",_xlpm.MyAuditVal,_xlpm.MacVal&lt;&gt;"",_xlpm.MacVal,_xlpm.CSVVal&lt;&gt;"",PROPER(_xlpm.CSVVal)
)),"")</f>
        <v/>
      </c>
      <c r="G486" s="45" t="str" cm="1">
        <f t="array" ref="G486">IFERROR(_xlfn.LET(
_xlpm.CSVVal,_xlfn.XLOOKUP($A486,CSV!$A:$A,CSV!G:G,""),
_xlpm.MacVal,_xlfn.XLOOKUP($A486,Output_Mac!$A:$A,Output_Mac!H:H,""),
_xlpm.MyAuditVal,_xlfn.XLOOKUP($A486,My_Audit!$A:$A,My_Audit!F:F,""),
_xlfn.IFS(_xlpm.MyAuditVal&lt;&gt;"",_xlpm.MyAuditVal,_xlpm.MacVal&lt;&gt;"",_xlpm.MacVal,_xlpm.CSVVal&lt;&gt;"",_xlpm.CSVVal
)),"")</f>
        <v/>
      </c>
      <c r="H486" s="45" t="str">
        <f>_xlfn.XLOOKUP(A486,Output_Mac!A:A,Output_Mac!I:I,"")</f>
        <v/>
      </c>
      <c r="I486" s="45" t="str" cm="1">
        <f t="array" ref="I486">IFERROR(_xlfn.LET(
_xlpm.CSVVal,_xlfn.XLOOKUP($A486,CSV!$A:$A,CSV!H:H,""),
_xlpm.MacVal,_xlfn.XLOOKUP($A486,Output_Mac!$A:$A,Output_Mac!J:J,""),
_xlpm.MyAuditVal,_xlfn.XLOOKUP($A486,My_Audit!$A:$A,My_Audit!H:H,""),
_xlfn.IFS(_xlpm.MyAuditVal&lt;&gt;"",UPPER(_xlpm.MyAuditVal),_xlpm.MacVal&lt;&gt;"",_xlpm.MacVal,_xlpm.CSVVal&lt;&gt;"",_xlpm.CSVVal
)),"")</f>
        <v/>
      </c>
      <c r="J486" s="45" t="str" cm="1">
        <f t="array" ref="J486">IFERROR(_xlfn.LET(
_xlpm.CSVVal,_xlfn.XLOOKUP($A486,CSV!$A:$A,CSV!J:J,""),
_xlpm.MacVal,_xlfn.XLOOKUP($A486,Output_Mac!$A:$A,Output_Mac!K:K,""),
_xlpm.MyAuditVal,_xlfn.XLOOKUP($A486,My_Audit!$A:$A,My_Audit!I:I,""),
_xlfn.IFS(_xlpm.MyAuditVal&lt;&gt;"",UPPER(_xlpm.MyAuditVal),_xlpm.MacVal&lt;&gt;"",_xlpm.MacVal,_xlpm.CSVVal&lt;&gt;"",_xlpm.CSVVal
)),"")</f>
        <v/>
      </c>
      <c r="K486" s="45" t="str" cm="1">
        <f t="array" ref="K486">IFERROR(_xlfn.LET(
_xlpm.CSVVal,_xlfn.XLOOKUP($A486,CSV!$A:$A,CSV!N:N,""),
_xlpm.MacVal,_xlfn.XLOOKUP($A486,Output_Mac!$A:$A,Output_Mac!L:L,""),
_xlpm.MyAuditVal,_xlfn.XLOOKUP($A486,My_Audit!$A:$A,My_Audit!J:J,""),
_xlfn.IFS(_xlpm.MyAuditVal&lt;&gt;"",UPPER(_xlpm.MyAuditVal),_xlpm.MacVal&lt;&gt;"",_xlpm.MacVal,_xlpm.CSVVal&lt;&gt;"",_xlpm.CSVVal
)),"")</f>
        <v/>
      </c>
      <c r="L486" s="45" t="str" cm="1">
        <f t="array" ref="L486">IFERROR(_xlfn.LET(
_xlpm.CSVVal,_xlfn.XLOOKUP($A486,CSV!$A:$A,CSV!P:P,""),
_xlpm.MacVal,_xlfn.XLOOKUP($A486,Output_Mac!$A:$A,Output_Mac!M:M,""),
_xlpm.MyAuditVal,_xlfn.XLOOKUP($A486,My_Audit!$A:$A,My_Audit!K:K,""),
_xlfn.IFS(_xlpm.MyAuditVal&lt;&gt;"",UPPER(_xlpm.MyAuditVal),_xlpm.MacVal&lt;&gt;"",_xlpm.MacVal,_xlpm.CSVVal&lt;&gt;"",_xlpm.CSVVal
)),"")</f>
        <v/>
      </c>
      <c r="M486" s="45" t="str">
        <f>_xlfn.LET(
    _xlpm.CSVVal, _xlfn.XLOOKUP($A486, CSV!$A:$A, CSV!AE:AE, ""),
    _xlpm.MacVal, _xlfn.XLOOKUP($A486, Output_Mac!$A:$A, Output_Mac!S:S, ""),
    _xlpm.MyAuditVal, _xlfn.XLOOKUP($A486, My_Audit!$A:$A, My_Audit!N:N, ""),
    _xlfn.TEXTJOIN(", ", TRUE, _xlpm.MyAuditVal, _xlpm.MacVal, _xlpm.CSVVal)
)</f>
        <v/>
      </c>
      <c r="N486" s="45" t="str" cm="1">
        <f t="array" ref="N486">IFERROR(_xlfn.LET(
_xlpm.CSVVal,_xlfn.XLOOKUP($A486,CSV!$A:$A,CSV!AG:AG,""),
_xlpm.MacVal,_xlfn.XLOOKUP($A486,Output_Mac!$A:$A,Output_Mac!U:U,""),
_xlpm.MyAuditVal,_xlfn.XLOOKUP($A486,My_Audit!$A:$A,My_Audit!O:O,""),
_xlfn.IFS(_xlpm.MyAuditVal&lt;&gt;"",UPPER(_xlpm.MyAuditVal),_xlpm.MacVal&lt;&gt;"",_xlpm.MacVal,_xlpm.CSVVal&lt;&gt;"",_xlpm.CSVVal
)),"")</f>
        <v/>
      </c>
      <c r="O486" s="45"/>
      <c r="P486" s="45"/>
      <c r="Q486" s="46" t="str">
        <f>IF(LEFT(N486,4)="Pass","Nist SP 800-88",My_Audit!R486)&amp;""</f>
        <v/>
      </c>
      <c r="R486" s="45"/>
      <c r="S486" s="45"/>
      <c r="T486" s="46" t="str">
        <f>_xlfn.XLOOKUP(E486,Models!I:I,Models!J:J,"")</f>
        <v/>
      </c>
      <c r="U486" s="45"/>
      <c r="V486" s="45"/>
      <c r="W486" s="38"/>
    </row>
    <row r="487" spans="1:23">
      <c r="A487" s="45" t="str">
        <f>_xlfn.TEXTJOIN("",TRUE,Input!$B$2,ROW(My_Audit!A486))</f>
        <v>XX486</v>
      </c>
      <c r="B487" s="45" t="str">
        <f>_xlfn.TEXTJOIN("-",TRUE,"ITD",Input!$A$2,A487)</f>
        <v>ITD-SHRXXX-XX486</v>
      </c>
      <c r="C487" s="45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46" t="str" cm="1">
        <f t="array" ref="D487">IFERROR(_xlfn.LET(
_xlpm.CSVVal,_xlfn.XLOOKUP($A487,CSV!$A:$A,CSV!C:C,""),
_xlpm.MacVal,_xlfn.XLOOKUP($A487,Output_Mac!$A:$A,Output_Mac!D:D,""),
_xlpm.MyAuditVal,_xlfn.XLOOKUP($A487,My_Audit!$A:$A,My_Audit!C:C,""),
_xlfn.IFS(_xlpm.MyAuditVal&lt;&gt;"",UPPER(_xlpm.MyAuditVal),_xlpm.MacVal&lt;&gt;"",_xlpm.MacVal,_xlpm.CSVVal&lt;&gt;"",_xlpm.CSVVal
)),"")</f>
        <v/>
      </c>
      <c r="E487" s="46" t="str" cm="1">
        <f t="array" ref="E487">IFERROR(_xlfn.LET(
_xlpm.CSVVal,_xlfn.XLOOKUP($A487,CSV!$A:$A,CSV!E:E,""),
_xlpm.MacVal,_xlfn.XLOOKUP($A487,Output_Mac!$A:$A,Output_Mac!C:C,""),
_xlpm.MyAuditVal,_xlfn.XLOOKUP($A487,My_Audit!$A:$A,My_Audit!D:D,""),
_xlfn.IFS(_xlpm.MyAuditVal&lt;&gt;"",_xlpm.MyAuditVal,_xlpm.MacVal&lt;&gt;"",_xlpm.MacVal,_xlpm.CSVVal&lt;&gt;"",_xlpm.CSVVal
)),"")</f>
        <v/>
      </c>
      <c r="F487" s="45" t="str" cm="1">
        <f t="array" ref="F487">IFERROR(_xlfn.LET(
_xlpm.CSVVal,_xlfn.XLOOKUP($A487,CSV!$A:$A,CSV!F:F,""),
_xlpm.MacVal,_xlfn.XLOOKUP($A487,Output_Mac!$A:$A,Output_Mac!F:F,""),
_xlpm.MyAuditVal,_xlfn.XLOOKUP($A487,My_Audit!$A:$A,My_Audit!E:E,""),
_xlfn.IFS(_xlpm.MyAuditVal&lt;&gt;"",_xlpm.MyAuditVal,_xlpm.MacVal&lt;&gt;"",_xlpm.MacVal,_xlpm.CSVVal&lt;&gt;"",PROPER(_xlpm.CSVVal)
)),"")</f>
        <v/>
      </c>
      <c r="G487" s="45" t="str" cm="1">
        <f t="array" ref="G487">IFERROR(_xlfn.LET(
_xlpm.CSVVal,_xlfn.XLOOKUP($A487,CSV!$A:$A,CSV!G:G,""),
_xlpm.MacVal,_xlfn.XLOOKUP($A487,Output_Mac!$A:$A,Output_Mac!H:H,""),
_xlpm.MyAuditVal,_xlfn.XLOOKUP($A487,My_Audit!$A:$A,My_Audit!F:F,""),
_xlfn.IFS(_xlpm.MyAuditVal&lt;&gt;"",_xlpm.MyAuditVal,_xlpm.MacVal&lt;&gt;"",_xlpm.MacVal,_xlpm.CSVVal&lt;&gt;"",_xlpm.CSVVal
)),"")</f>
        <v/>
      </c>
      <c r="H487" s="45" t="str">
        <f>_xlfn.XLOOKUP(A487,Output_Mac!A:A,Output_Mac!I:I,"")</f>
        <v/>
      </c>
      <c r="I487" s="45" t="str" cm="1">
        <f t="array" ref="I487">IFERROR(_xlfn.LET(
_xlpm.CSVVal,_xlfn.XLOOKUP($A487,CSV!$A:$A,CSV!H:H,""),
_xlpm.MacVal,_xlfn.XLOOKUP($A487,Output_Mac!$A:$A,Output_Mac!J:J,""),
_xlpm.MyAuditVal,_xlfn.XLOOKUP($A487,My_Audit!$A:$A,My_Audit!H:H,""),
_xlfn.IFS(_xlpm.MyAuditVal&lt;&gt;"",UPPER(_xlpm.MyAuditVal),_xlpm.MacVal&lt;&gt;"",_xlpm.MacVal,_xlpm.CSVVal&lt;&gt;"",_xlpm.CSVVal
)),"")</f>
        <v/>
      </c>
      <c r="J487" s="45" t="str" cm="1">
        <f t="array" ref="J487">IFERROR(_xlfn.LET(
_xlpm.CSVVal,_xlfn.XLOOKUP($A487,CSV!$A:$A,CSV!J:J,""),
_xlpm.MacVal,_xlfn.XLOOKUP($A487,Output_Mac!$A:$A,Output_Mac!K:K,""),
_xlpm.MyAuditVal,_xlfn.XLOOKUP($A487,My_Audit!$A:$A,My_Audit!I:I,""),
_xlfn.IFS(_xlpm.MyAuditVal&lt;&gt;"",UPPER(_xlpm.MyAuditVal),_xlpm.MacVal&lt;&gt;"",_xlpm.MacVal,_xlpm.CSVVal&lt;&gt;"",_xlpm.CSVVal
)),"")</f>
        <v/>
      </c>
      <c r="K487" s="45" t="str" cm="1">
        <f t="array" ref="K487">IFERROR(_xlfn.LET(
_xlpm.CSVVal,_xlfn.XLOOKUP($A487,CSV!$A:$A,CSV!N:N,""),
_xlpm.MacVal,_xlfn.XLOOKUP($A487,Output_Mac!$A:$A,Output_Mac!L:L,""),
_xlpm.MyAuditVal,_xlfn.XLOOKUP($A487,My_Audit!$A:$A,My_Audit!J:J,""),
_xlfn.IFS(_xlpm.MyAuditVal&lt;&gt;"",UPPER(_xlpm.MyAuditVal),_xlpm.MacVal&lt;&gt;"",_xlpm.MacVal,_xlpm.CSVVal&lt;&gt;"",_xlpm.CSVVal
)),"")</f>
        <v/>
      </c>
      <c r="L487" s="45" t="str" cm="1">
        <f t="array" ref="L487">IFERROR(_xlfn.LET(
_xlpm.CSVVal,_xlfn.XLOOKUP($A487,CSV!$A:$A,CSV!P:P,""),
_xlpm.MacVal,_xlfn.XLOOKUP($A487,Output_Mac!$A:$A,Output_Mac!M:M,""),
_xlpm.MyAuditVal,_xlfn.XLOOKUP($A487,My_Audit!$A:$A,My_Audit!K:K,""),
_xlfn.IFS(_xlpm.MyAuditVal&lt;&gt;"",UPPER(_xlpm.MyAuditVal),_xlpm.MacVal&lt;&gt;"",_xlpm.MacVal,_xlpm.CSVVal&lt;&gt;"",_xlpm.CSVVal
)),"")</f>
        <v/>
      </c>
      <c r="M487" s="45" t="str">
        <f>_xlfn.LET(
    _xlpm.CSVVal, _xlfn.XLOOKUP($A487, CSV!$A:$A, CSV!AE:AE, ""),
    _xlpm.MacVal, _xlfn.XLOOKUP($A487, Output_Mac!$A:$A, Output_Mac!S:S, ""),
    _xlpm.MyAuditVal, _xlfn.XLOOKUP($A487, My_Audit!$A:$A, My_Audit!N:N, ""),
    _xlfn.TEXTJOIN(", ", TRUE, _xlpm.MyAuditVal, _xlpm.MacVal, _xlpm.CSVVal)
)</f>
        <v/>
      </c>
      <c r="N487" s="45" t="str" cm="1">
        <f t="array" ref="N487">IFERROR(_xlfn.LET(
_xlpm.CSVVal,_xlfn.XLOOKUP($A487,CSV!$A:$A,CSV!AG:AG,""),
_xlpm.MacVal,_xlfn.XLOOKUP($A487,Output_Mac!$A:$A,Output_Mac!U:U,""),
_xlpm.MyAuditVal,_xlfn.XLOOKUP($A487,My_Audit!$A:$A,My_Audit!O:O,""),
_xlfn.IFS(_xlpm.MyAuditVal&lt;&gt;"",UPPER(_xlpm.MyAuditVal),_xlpm.MacVal&lt;&gt;"",_xlpm.MacVal,_xlpm.CSVVal&lt;&gt;"",_xlpm.CSVVal
)),"")</f>
        <v/>
      </c>
      <c r="O487" s="45"/>
      <c r="P487" s="45"/>
      <c r="Q487" s="46" t="str">
        <f>IF(LEFT(N487,4)="Pass","Nist SP 800-88",My_Audit!R487)&amp;""</f>
        <v/>
      </c>
      <c r="R487" s="45"/>
      <c r="S487" s="45"/>
      <c r="T487" s="46" t="str">
        <f>_xlfn.XLOOKUP(E487,Models!I:I,Models!J:J,"")</f>
        <v/>
      </c>
      <c r="U487" s="45"/>
      <c r="V487" s="45"/>
      <c r="W487" s="38"/>
    </row>
    <row r="488" spans="1:23">
      <c r="A488" s="45" t="str">
        <f>_xlfn.TEXTJOIN("",TRUE,Input!$B$2,ROW(My_Audit!A487))</f>
        <v>XX487</v>
      </c>
      <c r="B488" s="45" t="str">
        <f>_xlfn.TEXTJOIN("-",TRUE,"ITD",Input!$A$2,A488)</f>
        <v>ITD-SHRXXX-XX487</v>
      </c>
      <c r="C488" s="45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46" t="str" cm="1">
        <f t="array" ref="D488">IFERROR(_xlfn.LET(
_xlpm.CSVVal,_xlfn.XLOOKUP($A488,CSV!$A:$A,CSV!C:C,""),
_xlpm.MacVal,_xlfn.XLOOKUP($A488,Output_Mac!$A:$A,Output_Mac!D:D,""),
_xlpm.MyAuditVal,_xlfn.XLOOKUP($A488,My_Audit!$A:$A,My_Audit!C:C,""),
_xlfn.IFS(_xlpm.MyAuditVal&lt;&gt;"",UPPER(_xlpm.MyAuditVal),_xlpm.MacVal&lt;&gt;"",_xlpm.MacVal,_xlpm.CSVVal&lt;&gt;"",_xlpm.CSVVal
)),"")</f>
        <v/>
      </c>
      <c r="E488" s="46" t="str" cm="1">
        <f t="array" ref="E488">IFERROR(_xlfn.LET(
_xlpm.CSVVal,_xlfn.XLOOKUP($A488,CSV!$A:$A,CSV!E:E,""),
_xlpm.MacVal,_xlfn.XLOOKUP($A488,Output_Mac!$A:$A,Output_Mac!C:C,""),
_xlpm.MyAuditVal,_xlfn.XLOOKUP($A488,My_Audit!$A:$A,My_Audit!D:D,""),
_xlfn.IFS(_xlpm.MyAuditVal&lt;&gt;"",_xlpm.MyAuditVal,_xlpm.MacVal&lt;&gt;"",_xlpm.MacVal,_xlpm.CSVVal&lt;&gt;"",_xlpm.CSVVal
)),"")</f>
        <v/>
      </c>
      <c r="F488" s="45" t="str" cm="1">
        <f t="array" ref="F488">IFERROR(_xlfn.LET(
_xlpm.CSVVal,_xlfn.XLOOKUP($A488,CSV!$A:$A,CSV!F:F,""),
_xlpm.MacVal,_xlfn.XLOOKUP($A488,Output_Mac!$A:$A,Output_Mac!F:F,""),
_xlpm.MyAuditVal,_xlfn.XLOOKUP($A488,My_Audit!$A:$A,My_Audit!E:E,""),
_xlfn.IFS(_xlpm.MyAuditVal&lt;&gt;"",_xlpm.MyAuditVal,_xlpm.MacVal&lt;&gt;"",_xlpm.MacVal,_xlpm.CSVVal&lt;&gt;"",PROPER(_xlpm.CSVVal)
)),"")</f>
        <v/>
      </c>
      <c r="G488" s="45" t="str" cm="1">
        <f t="array" ref="G488">IFERROR(_xlfn.LET(
_xlpm.CSVVal,_xlfn.XLOOKUP($A488,CSV!$A:$A,CSV!G:G,""),
_xlpm.MacVal,_xlfn.XLOOKUP($A488,Output_Mac!$A:$A,Output_Mac!H:H,""),
_xlpm.MyAuditVal,_xlfn.XLOOKUP($A488,My_Audit!$A:$A,My_Audit!F:F,""),
_xlfn.IFS(_xlpm.MyAuditVal&lt;&gt;"",_xlpm.MyAuditVal,_xlpm.MacVal&lt;&gt;"",_xlpm.MacVal,_xlpm.CSVVal&lt;&gt;"",_xlpm.CSVVal
)),"")</f>
        <v/>
      </c>
      <c r="H488" s="45" t="str">
        <f>_xlfn.XLOOKUP(A488,Output_Mac!A:A,Output_Mac!I:I,"")</f>
        <v/>
      </c>
      <c r="I488" s="45" t="str" cm="1">
        <f t="array" ref="I488">IFERROR(_xlfn.LET(
_xlpm.CSVVal,_xlfn.XLOOKUP($A488,CSV!$A:$A,CSV!H:H,""),
_xlpm.MacVal,_xlfn.XLOOKUP($A488,Output_Mac!$A:$A,Output_Mac!J:J,""),
_xlpm.MyAuditVal,_xlfn.XLOOKUP($A488,My_Audit!$A:$A,My_Audit!H:H,""),
_xlfn.IFS(_xlpm.MyAuditVal&lt;&gt;"",UPPER(_xlpm.MyAuditVal),_xlpm.MacVal&lt;&gt;"",_xlpm.MacVal,_xlpm.CSVVal&lt;&gt;"",_xlpm.CSVVal
)),"")</f>
        <v/>
      </c>
      <c r="J488" s="45" t="str" cm="1">
        <f t="array" ref="J488">IFERROR(_xlfn.LET(
_xlpm.CSVVal,_xlfn.XLOOKUP($A488,CSV!$A:$A,CSV!J:J,""),
_xlpm.MacVal,_xlfn.XLOOKUP($A488,Output_Mac!$A:$A,Output_Mac!K:K,""),
_xlpm.MyAuditVal,_xlfn.XLOOKUP($A488,My_Audit!$A:$A,My_Audit!I:I,""),
_xlfn.IFS(_xlpm.MyAuditVal&lt;&gt;"",UPPER(_xlpm.MyAuditVal),_xlpm.MacVal&lt;&gt;"",_xlpm.MacVal,_xlpm.CSVVal&lt;&gt;"",_xlpm.CSVVal
)),"")</f>
        <v/>
      </c>
      <c r="K488" s="45" t="str" cm="1">
        <f t="array" ref="K488">IFERROR(_xlfn.LET(
_xlpm.CSVVal,_xlfn.XLOOKUP($A488,CSV!$A:$A,CSV!N:N,""),
_xlpm.MacVal,_xlfn.XLOOKUP($A488,Output_Mac!$A:$A,Output_Mac!L:L,""),
_xlpm.MyAuditVal,_xlfn.XLOOKUP($A488,My_Audit!$A:$A,My_Audit!J:J,""),
_xlfn.IFS(_xlpm.MyAuditVal&lt;&gt;"",UPPER(_xlpm.MyAuditVal),_xlpm.MacVal&lt;&gt;"",_xlpm.MacVal,_xlpm.CSVVal&lt;&gt;"",_xlpm.CSVVal
)),"")</f>
        <v/>
      </c>
      <c r="L488" s="45" t="str" cm="1">
        <f t="array" ref="L488">IFERROR(_xlfn.LET(
_xlpm.CSVVal,_xlfn.XLOOKUP($A488,CSV!$A:$A,CSV!P:P,""),
_xlpm.MacVal,_xlfn.XLOOKUP($A488,Output_Mac!$A:$A,Output_Mac!M:M,""),
_xlpm.MyAuditVal,_xlfn.XLOOKUP($A488,My_Audit!$A:$A,My_Audit!K:K,""),
_xlfn.IFS(_xlpm.MyAuditVal&lt;&gt;"",UPPER(_xlpm.MyAuditVal),_xlpm.MacVal&lt;&gt;"",_xlpm.MacVal,_xlpm.CSVVal&lt;&gt;"",_xlpm.CSVVal
)),"")</f>
        <v/>
      </c>
      <c r="M488" s="45" t="str">
        <f>_xlfn.LET(
    _xlpm.CSVVal, _xlfn.XLOOKUP($A488, CSV!$A:$A, CSV!AE:AE, ""),
    _xlpm.MacVal, _xlfn.XLOOKUP($A488, Output_Mac!$A:$A, Output_Mac!S:S, ""),
    _xlpm.MyAuditVal, _xlfn.XLOOKUP($A488, My_Audit!$A:$A, My_Audit!N:N, ""),
    _xlfn.TEXTJOIN(", ", TRUE, _xlpm.MyAuditVal, _xlpm.MacVal, _xlpm.CSVVal)
)</f>
        <v/>
      </c>
      <c r="N488" s="45" t="str" cm="1">
        <f t="array" ref="N488">IFERROR(_xlfn.LET(
_xlpm.CSVVal,_xlfn.XLOOKUP($A488,CSV!$A:$A,CSV!AG:AG,""),
_xlpm.MacVal,_xlfn.XLOOKUP($A488,Output_Mac!$A:$A,Output_Mac!U:U,""),
_xlpm.MyAuditVal,_xlfn.XLOOKUP($A488,My_Audit!$A:$A,My_Audit!O:O,""),
_xlfn.IFS(_xlpm.MyAuditVal&lt;&gt;"",UPPER(_xlpm.MyAuditVal),_xlpm.MacVal&lt;&gt;"",_xlpm.MacVal,_xlpm.CSVVal&lt;&gt;"",_xlpm.CSVVal
)),"")</f>
        <v/>
      </c>
      <c r="O488" s="45"/>
      <c r="P488" s="45"/>
      <c r="Q488" s="46" t="str">
        <f>IF(LEFT(N488,4)="Pass","Nist SP 800-88",My_Audit!R488)&amp;""</f>
        <v/>
      </c>
      <c r="R488" s="45"/>
      <c r="S488" s="45"/>
      <c r="T488" s="46" t="str">
        <f>_xlfn.XLOOKUP(E488,Models!I:I,Models!J:J,"")</f>
        <v/>
      </c>
      <c r="U488" s="45"/>
      <c r="V488" s="45"/>
      <c r="W488" s="38"/>
    </row>
    <row r="489" spans="1:23">
      <c r="A489" s="45" t="str">
        <f>_xlfn.TEXTJOIN("",TRUE,Input!$B$2,ROW(My_Audit!A488))</f>
        <v>XX488</v>
      </c>
      <c r="B489" s="45" t="str">
        <f>_xlfn.TEXTJOIN("-",TRUE,"ITD",Input!$A$2,A489)</f>
        <v>ITD-SHRXXX-XX488</v>
      </c>
      <c r="C489" s="45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46" t="str" cm="1">
        <f t="array" ref="D489">IFERROR(_xlfn.LET(
_xlpm.CSVVal,_xlfn.XLOOKUP($A489,CSV!$A:$A,CSV!C:C,""),
_xlpm.MacVal,_xlfn.XLOOKUP($A489,Output_Mac!$A:$A,Output_Mac!D:D,""),
_xlpm.MyAuditVal,_xlfn.XLOOKUP($A489,My_Audit!$A:$A,My_Audit!C:C,""),
_xlfn.IFS(_xlpm.MyAuditVal&lt;&gt;"",UPPER(_xlpm.MyAuditVal),_xlpm.MacVal&lt;&gt;"",_xlpm.MacVal,_xlpm.CSVVal&lt;&gt;"",_xlpm.CSVVal
)),"")</f>
        <v/>
      </c>
      <c r="E489" s="46" t="str" cm="1">
        <f t="array" ref="E489">IFERROR(_xlfn.LET(
_xlpm.CSVVal,_xlfn.XLOOKUP($A489,CSV!$A:$A,CSV!E:E,""),
_xlpm.MacVal,_xlfn.XLOOKUP($A489,Output_Mac!$A:$A,Output_Mac!C:C,""),
_xlpm.MyAuditVal,_xlfn.XLOOKUP($A489,My_Audit!$A:$A,My_Audit!D:D,""),
_xlfn.IFS(_xlpm.MyAuditVal&lt;&gt;"",_xlpm.MyAuditVal,_xlpm.MacVal&lt;&gt;"",_xlpm.MacVal,_xlpm.CSVVal&lt;&gt;"",_xlpm.CSVVal
)),"")</f>
        <v/>
      </c>
      <c r="F489" s="45" t="str" cm="1">
        <f t="array" ref="F489">IFERROR(_xlfn.LET(
_xlpm.CSVVal,_xlfn.XLOOKUP($A489,CSV!$A:$A,CSV!F:F,""),
_xlpm.MacVal,_xlfn.XLOOKUP($A489,Output_Mac!$A:$A,Output_Mac!F:F,""),
_xlpm.MyAuditVal,_xlfn.XLOOKUP($A489,My_Audit!$A:$A,My_Audit!E:E,""),
_xlfn.IFS(_xlpm.MyAuditVal&lt;&gt;"",_xlpm.MyAuditVal,_xlpm.MacVal&lt;&gt;"",_xlpm.MacVal,_xlpm.CSVVal&lt;&gt;"",PROPER(_xlpm.CSVVal)
)),"")</f>
        <v/>
      </c>
      <c r="G489" s="45" t="str" cm="1">
        <f t="array" ref="G489">IFERROR(_xlfn.LET(
_xlpm.CSVVal,_xlfn.XLOOKUP($A489,CSV!$A:$A,CSV!G:G,""),
_xlpm.MacVal,_xlfn.XLOOKUP($A489,Output_Mac!$A:$A,Output_Mac!H:H,""),
_xlpm.MyAuditVal,_xlfn.XLOOKUP($A489,My_Audit!$A:$A,My_Audit!F:F,""),
_xlfn.IFS(_xlpm.MyAuditVal&lt;&gt;"",_xlpm.MyAuditVal,_xlpm.MacVal&lt;&gt;"",_xlpm.MacVal,_xlpm.CSVVal&lt;&gt;"",_xlpm.CSVVal
)),"")</f>
        <v/>
      </c>
      <c r="H489" s="45" t="str">
        <f>_xlfn.XLOOKUP(A489,Output_Mac!A:A,Output_Mac!I:I,"")</f>
        <v/>
      </c>
      <c r="I489" s="45" t="str" cm="1">
        <f t="array" ref="I489">IFERROR(_xlfn.LET(
_xlpm.CSVVal,_xlfn.XLOOKUP($A489,CSV!$A:$A,CSV!H:H,""),
_xlpm.MacVal,_xlfn.XLOOKUP($A489,Output_Mac!$A:$A,Output_Mac!J:J,""),
_xlpm.MyAuditVal,_xlfn.XLOOKUP($A489,My_Audit!$A:$A,My_Audit!H:H,""),
_xlfn.IFS(_xlpm.MyAuditVal&lt;&gt;"",UPPER(_xlpm.MyAuditVal),_xlpm.MacVal&lt;&gt;"",_xlpm.MacVal,_xlpm.CSVVal&lt;&gt;"",_xlpm.CSVVal
)),"")</f>
        <v/>
      </c>
      <c r="J489" s="45" t="str" cm="1">
        <f t="array" ref="J489">IFERROR(_xlfn.LET(
_xlpm.CSVVal,_xlfn.XLOOKUP($A489,CSV!$A:$A,CSV!J:J,""),
_xlpm.MacVal,_xlfn.XLOOKUP($A489,Output_Mac!$A:$A,Output_Mac!K:K,""),
_xlpm.MyAuditVal,_xlfn.XLOOKUP($A489,My_Audit!$A:$A,My_Audit!I:I,""),
_xlfn.IFS(_xlpm.MyAuditVal&lt;&gt;"",UPPER(_xlpm.MyAuditVal),_xlpm.MacVal&lt;&gt;"",_xlpm.MacVal,_xlpm.CSVVal&lt;&gt;"",_xlpm.CSVVal
)),"")</f>
        <v/>
      </c>
      <c r="K489" s="45" t="str" cm="1">
        <f t="array" ref="K489">IFERROR(_xlfn.LET(
_xlpm.CSVVal,_xlfn.XLOOKUP($A489,CSV!$A:$A,CSV!N:N,""),
_xlpm.MacVal,_xlfn.XLOOKUP($A489,Output_Mac!$A:$A,Output_Mac!L:L,""),
_xlpm.MyAuditVal,_xlfn.XLOOKUP($A489,My_Audit!$A:$A,My_Audit!J:J,""),
_xlfn.IFS(_xlpm.MyAuditVal&lt;&gt;"",UPPER(_xlpm.MyAuditVal),_xlpm.MacVal&lt;&gt;"",_xlpm.MacVal,_xlpm.CSVVal&lt;&gt;"",_xlpm.CSVVal
)),"")</f>
        <v/>
      </c>
      <c r="L489" s="45" t="str" cm="1">
        <f t="array" ref="L489">IFERROR(_xlfn.LET(
_xlpm.CSVVal,_xlfn.XLOOKUP($A489,CSV!$A:$A,CSV!P:P,""),
_xlpm.MacVal,_xlfn.XLOOKUP($A489,Output_Mac!$A:$A,Output_Mac!M:M,""),
_xlpm.MyAuditVal,_xlfn.XLOOKUP($A489,My_Audit!$A:$A,My_Audit!K:K,""),
_xlfn.IFS(_xlpm.MyAuditVal&lt;&gt;"",UPPER(_xlpm.MyAuditVal),_xlpm.MacVal&lt;&gt;"",_xlpm.MacVal,_xlpm.CSVVal&lt;&gt;"",_xlpm.CSVVal
)),"")</f>
        <v/>
      </c>
      <c r="M489" s="45" t="str">
        <f>_xlfn.LET(
    _xlpm.CSVVal, _xlfn.XLOOKUP($A489, CSV!$A:$A, CSV!AE:AE, ""),
    _xlpm.MacVal, _xlfn.XLOOKUP($A489, Output_Mac!$A:$A, Output_Mac!S:S, ""),
    _xlpm.MyAuditVal, _xlfn.XLOOKUP($A489, My_Audit!$A:$A, My_Audit!N:N, ""),
    _xlfn.TEXTJOIN(", ", TRUE, _xlpm.MyAuditVal, _xlpm.MacVal, _xlpm.CSVVal)
)</f>
        <v/>
      </c>
      <c r="N489" s="45" t="str" cm="1">
        <f t="array" ref="N489">IFERROR(_xlfn.LET(
_xlpm.CSVVal,_xlfn.XLOOKUP($A489,CSV!$A:$A,CSV!AG:AG,""),
_xlpm.MacVal,_xlfn.XLOOKUP($A489,Output_Mac!$A:$A,Output_Mac!U:U,""),
_xlpm.MyAuditVal,_xlfn.XLOOKUP($A489,My_Audit!$A:$A,My_Audit!O:O,""),
_xlfn.IFS(_xlpm.MyAuditVal&lt;&gt;"",UPPER(_xlpm.MyAuditVal),_xlpm.MacVal&lt;&gt;"",_xlpm.MacVal,_xlpm.CSVVal&lt;&gt;"",_xlpm.CSVVal
)),"")</f>
        <v/>
      </c>
      <c r="O489" s="45"/>
      <c r="P489" s="45"/>
      <c r="Q489" s="46" t="str">
        <f>IF(LEFT(N489,4)="Pass","Nist SP 800-88",My_Audit!R489)&amp;""</f>
        <v/>
      </c>
      <c r="R489" s="45"/>
      <c r="S489" s="45"/>
      <c r="T489" s="46" t="str">
        <f>_xlfn.XLOOKUP(E489,Models!I:I,Models!J:J,"")</f>
        <v/>
      </c>
      <c r="U489" s="45"/>
      <c r="V489" s="45"/>
      <c r="W489" s="38"/>
    </row>
    <row r="490" spans="1:23">
      <c r="A490" s="45" t="str">
        <f>_xlfn.TEXTJOIN("",TRUE,Input!$B$2,ROW(My_Audit!A489))</f>
        <v>XX489</v>
      </c>
      <c r="B490" s="45" t="str">
        <f>_xlfn.TEXTJOIN("-",TRUE,"ITD",Input!$A$2,A490)</f>
        <v>ITD-SHRXXX-XX489</v>
      </c>
      <c r="C490" s="45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46" t="str" cm="1">
        <f t="array" ref="D490">IFERROR(_xlfn.LET(
_xlpm.CSVVal,_xlfn.XLOOKUP($A490,CSV!$A:$A,CSV!C:C,""),
_xlpm.MacVal,_xlfn.XLOOKUP($A490,Output_Mac!$A:$A,Output_Mac!D:D,""),
_xlpm.MyAuditVal,_xlfn.XLOOKUP($A490,My_Audit!$A:$A,My_Audit!C:C,""),
_xlfn.IFS(_xlpm.MyAuditVal&lt;&gt;"",UPPER(_xlpm.MyAuditVal),_xlpm.MacVal&lt;&gt;"",_xlpm.MacVal,_xlpm.CSVVal&lt;&gt;"",_xlpm.CSVVal
)),"")</f>
        <v/>
      </c>
      <c r="E490" s="46" t="str" cm="1">
        <f t="array" ref="E490">IFERROR(_xlfn.LET(
_xlpm.CSVVal,_xlfn.XLOOKUP($A490,CSV!$A:$A,CSV!E:E,""),
_xlpm.MacVal,_xlfn.XLOOKUP($A490,Output_Mac!$A:$A,Output_Mac!C:C,""),
_xlpm.MyAuditVal,_xlfn.XLOOKUP($A490,My_Audit!$A:$A,My_Audit!D:D,""),
_xlfn.IFS(_xlpm.MyAuditVal&lt;&gt;"",_xlpm.MyAuditVal,_xlpm.MacVal&lt;&gt;"",_xlpm.MacVal,_xlpm.CSVVal&lt;&gt;"",_xlpm.CSVVal
)),"")</f>
        <v/>
      </c>
      <c r="F490" s="45" t="str" cm="1">
        <f t="array" ref="F490">IFERROR(_xlfn.LET(
_xlpm.CSVVal,_xlfn.XLOOKUP($A490,CSV!$A:$A,CSV!F:F,""),
_xlpm.MacVal,_xlfn.XLOOKUP($A490,Output_Mac!$A:$A,Output_Mac!F:F,""),
_xlpm.MyAuditVal,_xlfn.XLOOKUP($A490,My_Audit!$A:$A,My_Audit!E:E,""),
_xlfn.IFS(_xlpm.MyAuditVal&lt;&gt;"",_xlpm.MyAuditVal,_xlpm.MacVal&lt;&gt;"",_xlpm.MacVal,_xlpm.CSVVal&lt;&gt;"",PROPER(_xlpm.CSVVal)
)),"")</f>
        <v/>
      </c>
      <c r="G490" s="45" t="str" cm="1">
        <f t="array" ref="G490">IFERROR(_xlfn.LET(
_xlpm.CSVVal,_xlfn.XLOOKUP($A490,CSV!$A:$A,CSV!G:G,""),
_xlpm.MacVal,_xlfn.XLOOKUP($A490,Output_Mac!$A:$A,Output_Mac!H:H,""),
_xlpm.MyAuditVal,_xlfn.XLOOKUP($A490,My_Audit!$A:$A,My_Audit!F:F,""),
_xlfn.IFS(_xlpm.MyAuditVal&lt;&gt;"",_xlpm.MyAuditVal,_xlpm.MacVal&lt;&gt;"",_xlpm.MacVal,_xlpm.CSVVal&lt;&gt;"",_xlpm.CSVVal
)),"")</f>
        <v/>
      </c>
      <c r="H490" s="45" t="str">
        <f>_xlfn.XLOOKUP(A490,Output_Mac!A:A,Output_Mac!I:I,"")</f>
        <v/>
      </c>
      <c r="I490" s="45" t="str" cm="1">
        <f t="array" ref="I490">IFERROR(_xlfn.LET(
_xlpm.CSVVal,_xlfn.XLOOKUP($A490,CSV!$A:$A,CSV!H:H,""),
_xlpm.MacVal,_xlfn.XLOOKUP($A490,Output_Mac!$A:$A,Output_Mac!J:J,""),
_xlpm.MyAuditVal,_xlfn.XLOOKUP($A490,My_Audit!$A:$A,My_Audit!H:H,""),
_xlfn.IFS(_xlpm.MyAuditVal&lt;&gt;"",UPPER(_xlpm.MyAuditVal),_xlpm.MacVal&lt;&gt;"",_xlpm.MacVal,_xlpm.CSVVal&lt;&gt;"",_xlpm.CSVVal
)),"")</f>
        <v/>
      </c>
      <c r="J490" s="45" t="str" cm="1">
        <f t="array" ref="J490">IFERROR(_xlfn.LET(
_xlpm.CSVVal,_xlfn.XLOOKUP($A490,CSV!$A:$A,CSV!J:J,""),
_xlpm.MacVal,_xlfn.XLOOKUP($A490,Output_Mac!$A:$A,Output_Mac!K:K,""),
_xlpm.MyAuditVal,_xlfn.XLOOKUP($A490,My_Audit!$A:$A,My_Audit!I:I,""),
_xlfn.IFS(_xlpm.MyAuditVal&lt;&gt;"",UPPER(_xlpm.MyAuditVal),_xlpm.MacVal&lt;&gt;"",_xlpm.MacVal,_xlpm.CSVVal&lt;&gt;"",_xlpm.CSVVal
)),"")</f>
        <v/>
      </c>
      <c r="K490" s="45" t="str" cm="1">
        <f t="array" ref="K490">IFERROR(_xlfn.LET(
_xlpm.CSVVal,_xlfn.XLOOKUP($A490,CSV!$A:$A,CSV!N:N,""),
_xlpm.MacVal,_xlfn.XLOOKUP($A490,Output_Mac!$A:$A,Output_Mac!L:L,""),
_xlpm.MyAuditVal,_xlfn.XLOOKUP($A490,My_Audit!$A:$A,My_Audit!J:J,""),
_xlfn.IFS(_xlpm.MyAuditVal&lt;&gt;"",UPPER(_xlpm.MyAuditVal),_xlpm.MacVal&lt;&gt;"",_xlpm.MacVal,_xlpm.CSVVal&lt;&gt;"",_xlpm.CSVVal
)),"")</f>
        <v/>
      </c>
      <c r="L490" s="45" t="str" cm="1">
        <f t="array" ref="L490">IFERROR(_xlfn.LET(
_xlpm.CSVVal,_xlfn.XLOOKUP($A490,CSV!$A:$A,CSV!P:P,""),
_xlpm.MacVal,_xlfn.XLOOKUP($A490,Output_Mac!$A:$A,Output_Mac!M:M,""),
_xlpm.MyAuditVal,_xlfn.XLOOKUP($A490,My_Audit!$A:$A,My_Audit!K:K,""),
_xlfn.IFS(_xlpm.MyAuditVal&lt;&gt;"",UPPER(_xlpm.MyAuditVal),_xlpm.MacVal&lt;&gt;"",_xlpm.MacVal,_xlpm.CSVVal&lt;&gt;"",_xlpm.CSVVal
)),"")</f>
        <v/>
      </c>
      <c r="M490" s="45" t="str">
        <f>_xlfn.LET(
    _xlpm.CSVVal, _xlfn.XLOOKUP($A490, CSV!$A:$A, CSV!AE:AE, ""),
    _xlpm.MacVal, _xlfn.XLOOKUP($A490, Output_Mac!$A:$A, Output_Mac!S:S, ""),
    _xlpm.MyAuditVal, _xlfn.XLOOKUP($A490, My_Audit!$A:$A, My_Audit!N:N, ""),
    _xlfn.TEXTJOIN(", ", TRUE, _xlpm.MyAuditVal, _xlpm.MacVal, _xlpm.CSVVal)
)</f>
        <v/>
      </c>
      <c r="N490" s="45" t="str" cm="1">
        <f t="array" ref="N490">IFERROR(_xlfn.LET(
_xlpm.CSVVal,_xlfn.XLOOKUP($A490,CSV!$A:$A,CSV!AG:AG,""),
_xlpm.MacVal,_xlfn.XLOOKUP($A490,Output_Mac!$A:$A,Output_Mac!U:U,""),
_xlpm.MyAuditVal,_xlfn.XLOOKUP($A490,My_Audit!$A:$A,My_Audit!O:O,""),
_xlfn.IFS(_xlpm.MyAuditVal&lt;&gt;"",UPPER(_xlpm.MyAuditVal),_xlpm.MacVal&lt;&gt;"",_xlpm.MacVal,_xlpm.CSVVal&lt;&gt;"",_xlpm.CSVVal
)),"")</f>
        <v/>
      </c>
      <c r="O490" s="45"/>
      <c r="P490" s="45"/>
      <c r="Q490" s="46" t="str">
        <f>IF(LEFT(N490,4)="Pass","Nist SP 800-88",My_Audit!R490)&amp;""</f>
        <v/>
      </c>
      <c r="R490" s="45"/>
      <c r="S490" s="45"/>
      <c r="T490" s="46" t="str">
        <f>_xlfn.XLOOKUP(E490,Models!I:I,Models!J:J,"")</f>
        <v/>
      </c>
      <c r="U490" s="45"/>
      <c r="V490" s="45"/>
      <c r="W490" s="38"/>
    </row>
    <row r="491" spans="1:23">
      <c r="A491" s="45" t="str">
        <f>_xlfn.TEXTJOIN("",TRUE,Input!$B$2,ROW(My_Audit!A490))</f>
        <v>XX490</v>
      </c>
      <c r="B491" s="45" t="str">
        <f>_xlfn.TEXTJOIN("-",TRUE,"ITD",Input!$A$2,A491)</f>
        <v>ITD-SHRXXX-XX490</v>
      </c>
      <c r="C491" s="45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46" t="str" cm="1">
        <f t="array" ref="D491">IFERROR(_xlfn.LET(
_xlpm.CSVVal,_xlfn.XLOOKUP($A491,CSV!$A:$A,CSV!C:C,""),
_xlpm.MacVal,_xlfn.XLOOKUP($A491,Output_Mac!$A:$A,Output_Mac!D:D,""),
_xlpm.MyAuditVal,_xlfn.XLOOKUP($A491,My_Audit!$A:$A,My_Audit!C:C,""),
_xlfn.IFS(_xlpm.MyAuditVal&lt;&gt;"",UPPER(_xlpm.MyAuditVal),_xlpm.MacVal&lt;&gt;"",_xlpm.MacVal,_xlpm.CSVVal&lt;&gt;"",_xlpm.CSVVal
)),"")</f>
        <v/>
      </c>
      <c r="E491" s="46" t="str" cm="1">
        <f t="array" ref="E491">IFERROR(_xlfn.LET(
_xlpm.CSVVal,_xlfn.XLOOKUP($A491,CSV!$A:$A,CSV!E:E,""),
_xlpm.MacVal,_xlfn.XLOOKUP($A491,Output_Mac!$A:$A,Output_Mac!C:C,""),
_xlpm.MyAuditVal,_xlfn.XLOOKUP($A491,My_Audit!$A:$A,My_Audit!D:D,""),
_xlfn.IFS(_xlpm.MyAuditVal&lt;&gt;"",_xlpm.MyAuditVal,_xlpm.MacVal&lt;&gt;"",_xlpm.MacVal,_xlpm.CSVVal&lt;&gt;"",_xlpm.CSVVal
)),"")</f>
        <v/>
      </c>
      <c r="F491" s="45" t="str" cm="1">
        <f t="array" ref="F491">IFERROR(_xlfn.LET(
_xlpm.CSVVal,_xlfn.XLOOKUP($A491,CSV!$A:$A,CSV!F:F,""),
_xlpm.MacVal,_xlfn.XLOOKUP($A491,Output_Mac!$A:$A,Output_Mac!F:F,""),
_xlpm.MyAuditVal,_xlfn.XLOOKUP($A491,My_Audit!$A:$A,My_Audit!E:E,""),
_xlfn.IFS(_xlpm.MyAuditVal&lt;&gt;"",_xlpm.MyAuditVal,_xlpm.MacVal&lt;&gt;"",_xlpm.MacVal,_xlpm.CSVVal&lt;&gt;"",PROPER(_xlpm.CSVVal)
)),"")</f>
        <v/>
      </c>
      <c r="G491" s="45" t="str" cm="1">
        <f t="array" ref="G491">IFERROR(_xlfn.LET(
_xlpm.CSVVal,_xlfn.XLOOKUP($A491,CSV!$A:$A,CSV!G:G,""),
_xlpm.MacVal,_xlfn.XLOOKUP($A491,Output_Mac!$A:$A,Output_Mac!H:H,""),
_xlpm.MyAuditVal,_xlfn.XLOOKUP($A491,My_Audit!$A:$A,My_Audit!F:F,""),
_xlfn.IFS(_xlpm.MyAuditVal&lt;&gt;"",_xlpm.MyAuditVal,_xlpm.MacVal&lt;&gt;"",_xlpm.MacVal,_xlpm.CSVVal&lt;&gt;"",_xlpm.CSVVal
)),"")</f>
        <v/>
      </c>
      <c r="H491" s="45" t="str">
        <f>_xlfn.XLOOKUP(A491,Output_Mac!A:A,Output_Mac!I:I,"")</f>
        <v/>
      </c>
      <c r="I491" s="45" t="str" cm="1">
        <f t="array" ref="I491">IFERROR(_xlfn.LET(
_xlpm.CSVVal,_xlfn.XLOOKUP($A491,CSV!$A:$A,CSV!H:H,""),
_xlpm.MacVal,_xlfn.XLOOKUP($A491,Output_Mac!$A:$A,Output_Mac!J:J,""),
_xlpm.MyAuditVal,_xlfn.XLOOKUP($A491,My_Audit!$A:$A,My_Audit!H:H,""),
_xlfn.IFS(_xlpm.MyAuditVal&lt;&gt;"",UPPER(_xlpm.MyAuditVal),_xlpm.MacVal&lt;&gt;"",_xlpm.MacVal,_xlpm.CSVVal&lt;&gt;"",_xlpm.CSVVal
)),"")</f>
        <v/>
      </c>
      <c r="J491" s="45" t="str" cm="1">
        <f t="array" ref="J491">IFERROR(_xlfn.LET(
_xlpm.CSVVal,_xlfn.XLOOKUP($A491,CSV!$A:$A,CSV!J:J,""),
_xlpm.MacVal,_xlfn.XLOOKUP($A491,Output_Mac!$A:$A,Output_Mac!K:K,""),
_xlpm.MyAuditVal,_xlfn.XLOOKUP($A491,My_Audit!$A:$A,My_Audit!I:I,""),
_xlfn.IFS(_xlpm.MyAuditVal&lt;&gt;"",UPPER(_xlpm.MyAuditVal),_xlpm.MacVal&lt;&gt;"",_xlpm.MacVal,_xlpm.CSVVal&lt;&gt;"",_xlpm.CSVVal
)),"")</f>
        <v/>
      </c>
      <c r="K491" s="45" t="str" cm="1">
        <f t="array" ref="K491">IFERROR(_xlfn.LET(
_xlpm.CSVVal,_xlfn.XLOOKUP($A491,CSV!$A:$A,CSV!N:N,""),
_xlpm.MacVal,_xlfn.XLOOKUP($A491,Output_Mac!$A:$A,Output_Mac!L:L,""),
_xlpm.MyAuditVal,_xlfn.XLOOKUP($A491,My_Audit!$A:$A,My_Audit!J:J,""),
_xlfn.IFS(_xlpm.MyAuditVal&lt;&gt;"",UPPER(_xlpm.MyAuditVal),_xlpm.MacVal&lt;&gt;"",_xlpm.MacVal,_xlpm.CSVVal&lt;&gt;"",_xlpm.CSVVal
)),"")</f>
        <v/>
      </c>
      <c r="L491" s="45" t="str" cm="1">
        <f t="array" ref="L491">IFERROR(_xlfn.LET(
_xlpm.CSVVal,_xlfn.XLOOKUP($A491,CSV!$A:$A,CSV!P:P,""),
_xlpm.MacVal,_xlfn.XLOOKUP($A491,Output_Mac!$A:$A,Output_Mac!M:M,""),
_xlpm.MyAuditVal,_xlfn.XLOOKUP($A491,My_Audit!$A:$A,My_Audit!K:K,""),
_xlfn.IFS(_xlpm.MyAuditVal&lt;&gt;"",UPPER(_xlpm.MyAuditVal),_xlpm.MacVal&lt;&gt;"",_xlpm.MacVal,_xlpm.CSVVal&lt;&gt;"",_xlpm.CSVVal
)),"")</f>
        <v/>
      </c>
      <c r="M491" s="45" t="str">
        <f>_xlfn.LET(
    _xlpm.CSVVal, _xlfn.XLOOKUP($A491, CSV!$A:$A, CSV!AE:AE, ""),
    _xlpm.MacVal, _xlfn.XLOOKUP($A491, Output_Mac!$A:$A, Output_Mac!S:S, ""),
    _xlpm.MyAuditVal, _xlfn.XLOOKUP($A491, My_Audit!$A:$A, My_Audit!N:N, ""),
    _xlfn.TEXTJOIN(", ", TRUE, _xlpm.MyAuditVal, _xlpm.MacVal, _xlpm.CSVVal)
)</f>
        <v/>
      </c>
      <c r="N491" s="45" t="str" cm="1">
        <f t="array" ref="N491">IFERROR(_xlfn.LET(
_xlpm.CSVVal,_xlfn.XLOOKUP($A491,CSV!$A:$A,CSV!AG:AG,""),
_xlpm.MacVal,_xlfn.XLOOKUP($A491,Output_Mac!$A:$A,Output_Mac!U:U,""),
_xlpm.MyAuditVal,_xlfn.XLOOKUP($A491,My_Audit!$A:$A,My_Audit!O:O,""),
_xlfn.IFS(_xlpm.MyAuditVal&lt;&gt;"",UPPER(_xlpm.MyAuditVal),_xlpm.MacVal&lt;&gt;"",_xlpm.MacVal,_xlpm.CSVVal&lt;&gt;"",_xlpm.CSVVal
)),"")</f>
        <v/>
      </c>
      <c r="O491" s="45"/>
      <c r="P491" s="45"/>
      <c r="Q491" s="46" t="str">
        <f>IF(LEFT(N491,4)="Pass","Nist SP 800-88",My_Audit!R491)&amp;""</f>
        <v/>
      </c>
      <c r="R491" s="45"/>
      <c r="S491" s="45"/>
      <c r="T491" s="46" t="str">
        <f>_xlfn.XLOOKUP(E491,Models!I:I,Models!J:J,"")</f>
        <v/>
      </c>
      <c r="U491" s="45"/>
      <c r="V491" s="45"/>
      <c r="W491" s="38"/>
    </row>
    <row r="492" spans="1:23">
      <c r="A492" s="45" t="str">
        <f>_xlfn.TEXTJOIN("",TRUE,Input!$B$2,ROW(My_Audit!A491))</f>
        <v>XX491</v>
      </c>
      <c r="B492" s="45" t="str">
        <f>_xlfn.TEXTJOIN("-",TRUE,"ITD",Input!$A$2,A492)</f>
        <v>ITD-SHRXXX-XX491</v>
      </c>
      <c r="C492" s="45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46" t="str" cm="1">
        <f t="array" ref="D492">IFERROR(_xlfn.LET(
_xlpm.CSVVal,_xlfn.XLOOKUP($A492,CSV!$A:$A,CSV!C:C,""),
_xlpm.MacVal,_xlfn.XLOOKUP($A492,Output_Mac!$A:$A,Output_Mac!D:D,""),
_xlpm.MyAuditVal,_xlfn.XLOOKUP($A492,My_Audit!$A:$A,My_Audit!C:C,""),
_xlfn.IFS(_xlpm.MyAuditVal&lt;&gt;"",UPPER(_xlpm.MyAuditVal),_xlpm.MacVal&lt;&gt;"",_xlpm.MacVal,_xlpm.CSVVal&lt;&gt;"",_xlpm.CSVVal
)),"")</f>
        <v/>
      </c>
      <c r="E492" s="46" t="str" cm="1">
        <f t="array" ref="E492">IFERROR(_xlfn.LET(
_xlpm.CSVVal,_xlfn.XLOOKUP($A492,CSV!$A:$A,CSV!E:E,""),
_xlpm.MacVal,_xlfn.XLOOKUP($A492,Output_Mac!$A:$A,Output_Mac!C:C,""),
_xlpm.MyAuditVal,_xlfn.XLOOKUP($A492,My_Audit!$A:$A,My_Audit!D:D,""),
_xlfn.IFS(_xlpm.MyAuditVal&lt;&gt;"",_xlpm.MyAuditVal,_xlpm.MacVal&lt;&gt;"",_xlpm.MacVal,_xlpm.CSVVal&lt;&gt;"",_xlpm.CSVVal
)),"")</f>
        <v/>
      </c>
      <c r="F492" s="45" t="str" cm="1">
        <f t="array" ref="F492">IFERROR(_xlfn.LET(
_xlpm.CSVVal,_xlfn.XLOOKUP($A492,CSV!$A:$A,CSV!F:F,""),
_xlpm.MacVal,_xlfn.XLOOKUP($A492,Output_Mac!$A:$A,Output_Mac!F:F,""),
_xlpm.MyAuditVal,_xlfn.XLOOKUP($A492,My_Audit!$A:$A,My_Audit!E:E,""),
_xlfn.IFS(_xlpm.MyAuditVal&lt;&gt;"",_xlpm.MyAuditVal,_xlpm.MacVal&lt;&gt;"",_xlpm.MacVal,_xlpm.CSVVal&lt;&gt;"",PROPER(_xlpm.CSVVal)
)),"")</f>
        <v/>
      </c>
      <c r="G492" s="45" t="str" cm="1">
        <f t="array" ref="G492">IFERROR(_xlfn.LET(
_xlpm.CSVVal,_xlfn.XLOOKUP($A492,CSV!$A:$A,CSV!G:G,""),
_xlpm.MacVal,_xlfn.XLOOKUP($A492,Output_Mac!$A:$A,Output_Mac!H:H,""),
_xlpm.MyAuditVal,_xlfn.XLOOKUP($A492,My_Audit!$A:$A,My_Audit!F:F,""),
_xlfn.IFS(_xlpm.MyAuditVal&lt;&gt;"",_xlpm.MyAuditVal,_xlpm.MacVal&lt;&gt;"",_xlpm.MacVal,_xlpm.CSVVal&lt;&gt;"",_xlpm.CSVVal
)),"")</f>
        <v/>
      </c>
      <c r="H492" s="45" t="str">
        <f>_xlfn.XLOOKUP(A492,Output_Mac!A:A,Output_Mac!I:I,"")</f>
        <v/>
      </c>
      <c r="I492" s="45" t="str" cm="1">
        <f t="array" ref="I492">IFERROR(_xlfn.LET(
_xlpm.CSVVal,_xlfn.XLOOKUP($A492,CSV!$A:$A,CSV!H:H,""),
_xlpm.MacVal,_xlfn.XLOOKUP($A492,Output_Mac!$A:$A,Output_Mac!J:J,""),
_xlpm.MyAuditVal,_xlfn.XLOOKUP($A492,My_Audit!$A:$A,My_Audit!H:H,""),
_xlfn.IFS(_xlpm.MyAuditVal&lt;&gt;"",UPPER(_xlpm.MyAuditVal),_xlpm.MacVal&lt;&gt;"",_xlpm.MacVal,_xlpm.CSVVal&lt;&gt;"",_xlpm.CSVVal
)),"")</f>
        <v/>
      </c>
      <c r="J492" s="45" t="str" cm="1">
        <f t="array" ref="J492">IFERROR(_xlfn.LET(
_xlpm.CSVVal,_xlfn.XLOOKUP($A492,CSV!$A:$A,CSV!J:J,""),
_xlpm.MacVal,_xlfn.XLOOKUP($A492,Output_Mac!$A:$A,Output_Mac!K:K,""),
_xlpm.MyAuditVal,_xlfn.XLOOKUP($A492,My_Audit!$A:$A,My_Audit!I:I,""),
_xlfn.IFS(_xlpm.MyAuditVal&lt;&gt;"",UPPER(_xlpm.MyAuditVal),_xlpm.MacVal&lt;&gt;"",_xlpm.MacVal,_xlpm.CSVVal&lt;&gt;"",_xlpm.CSVVal
)),"")</f>
        <v/>
      </c>
      <c r="K492" s="45" t="str" cm="1">
        <f t="array" ref="K492">IFERROR(_xlfn.LET(
_xlpm.CSVVal,_xlfn.XLOOKUP($A492,CSV!$A:$A,CSV!N:N,""),
_xlpm.MacVal,_xlfn.XLOOKUP($A492,Output_Mac!$A:$A,Output_Mac!L:L,""),
_xlpm.MyAuditVal,_xlfn.XLOOKUP($A492,My_Audit!$A:$A,My_Audit!J:J,""),
_xlfn.IFS(_xlpm.MyAuditVal&lt;&gt;"",UPPER(_xlpm.MyAuditVal),_xlpm.MacVal&lt;&gt;"",_xlpm.MacVal,_xlpm.CSVVal&lt;&gt;"",_xlpm.CSVVal
)),"")</f>
        <v/>
      </c>
      <c r="L492" s="45" t="str" cm="1">
        <f t="array" ref="L492">IFERROR(_xlfn.LET(
_xlpm.CSVVal,_xlfn.XLOOKUP($A492,CSV!$A:$A,CSV!P:P,""),
_xlpm.MacVal,_xlfn.XLOOKUP($A492,Output_Mac!$A:$A,Output_Mac!M:M,""),
_xlpm.MyAuditVal,_xlfn.XLOOKUP($A492,My_Audit!$A:$A,My_Audit!K:K,""),
_xlfn.IFS(_xlpm.MyAuditVal&lt;&gt;"",UPPER(_xlpm.MyAuditVal),_xlpm.MacVal&lt;&gt;"",_xlpm.MacVal,_xlpm.CSVVal&lt;&gt;"",_xlpm.CSVVal
)),"")</f>
        <v/>
      </c>
      <c r="M492" s="45" t="str">
        <f>_xlfn.LET(
    _xlpm.CSVVal, _xlfn.XLOOKUP($A492, CSV!$A:$A, CSV!AE:AE, ""),
    _xlpm.MacVal, _xlfn.XLOOKUP($A492, Output_Mac!$A:$A, Output_Mac!S:S, ""),
    _xlpm.MyAuditVal, _xlfn.XLOOKUP($A492, My_Audit!$A:$A, My_Audit!N:N, ""),
    _xlfn.TEXTJOIN(", ", TRUE, _xlpm.MyAuditVal, _xlpm.MacVal, _xlpm.CSVVal)
)</f>
        <v/>
      </c>
      <c r="N492" s="45" t="str" cm="1">
        <f t="array" ref="N492">IFERROR(_xlfn.LET(
_xlpm.CSVVal,_xlfn.XLOOKUP($A492,CSV!$A:$A,CSV!AG:AG,""),
_xlpm.MacVal,_xlfn.XLOOKUP($A492,Output_Mac!$A:$A,Output_Mac!U:U,""),
_xlpm.MyAuditVal,_xlfn.XLOOKUP($A492,My_Audit!$A:$A,My_Audit!O:O,""),
_xlfn.IFS(_xlpm.MyAuditVal&lt;&gt;"",UPPER(_xlpm.MyAuditVal),_xlpm.MacVal&lt;&gt;"",_xlpm.MacVal,_xlpm.CSVVal&lt;&gt;"",_xlpm.CSVVal
)),"")</f>
        <v/>
      </c>
      <c r="O492" s="45"/>
      <c r="P492" s="45"/>
      <c r="Q492" s="46" t="str">
        <f>IF(LEFT(N492,4)="Pass","Nist SP 800-88",My_Audit!R492)&amp;""</f>
        <v/>
      </c>
      <c r="R492" s="45"/>
      <c r="S492" s="45"/>
      <c r="T492" s="46" t="str">
        <f>_xlfn.XLOOKUP(E492,Models!I:I,Models!J:J,"")</f>
        <v/>
      </c>
      <c r="U492" s="45"/>
      <c r="V492" s="45"/>
      <c r="W492" s="38"/>
    </row>
    <row r="493" spans="1:23">
      <c r="A493" s="45" t="str">
        <f>_xlfn.TEXTJOIN("",TRUE,Input!$B$2,ROW(My_Audit!A492))</f>
        <v>XX492</v>
      </c>
      <c r="B493" s="45" t="str">
        <f>_xlfn.TEXTJOIN("-",TRUE,"ITD",Input!$A$2,A493)</f>
        <v>ITD-SHRXXX-XX492</v>
      </c>
      <c r="C493" s="45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46" t="str" cm="1">
        <f t="array" ref="D493">IFERROR(_xlfn.LET(
_xlpm.CSVVal,_xlfn.XLOOKUP($A493,CSV!$A:$A,CSV!C:C,""),
_xlpm.MacVal,_xlfn.XLOOKUP($A493,Output_Mac!$A:$A,Output_Mac!D:D,""),
_xlpm.MyAuditVal,_xlfn.XLOOKUP($A493,My_Audit!$A:$A,My_Audit!C:C,""),
_xlfn.IFS(_xlpm.MyAuditVal&lt;&gt;"",UPPER(_xlpm.MyAuditVal),_xlpm.MacVal&lt;&gt;"",_xlpm.MacVal,_xlpm.CSVVal&lt;&gt;"",_xlpm.CSVVal
)),"")</f>
        <v/>
      </c>
      <c r="E493" s="46" t="str" cm="1">
        <f t="array" ref="E493">IFERROR(_xlfn.LET(
_xlpm.CSVVal,_xlfn.XLOOKUP($A493,CSV!$A:$A,CSV!E:E,""),
_xlpm.MacVal,_xlfn.XLOOKUP($A493,Output_Mac!$A:$A,Output_Mac!C:C,""),
_xlpm.MyAuditVal,_xlfn.XLOOKUP($A493,My_Audit!$A:$A,My_Audit!D:D,""),
_xlfn.IFS(_xlpm.MyAuditVal&lt;&gt;"",_xlpm.MyAuditVal,_xlpm.MacVal&lt;&gt;"",_xlpm.MacVal,_xlpm.CSVVal&lt;&gt;"",_xlpm.CSVVal
)),"")</f>
        <v/>
      </c>
      <c r="F493" s="45" t="str" cm="1">
        <f t="array" ref="F493">IFERROR(_xlfn.LET(
_xlpm.CSVVal,_xlfn.XLOOKUP($A493,CSV!$A:$A,CSV!F:F,""),
_xlpm.MacVal,_xlfn.XLOOKUP($A493,Output_Mac!$A:$A,Output_Mac!F:F,""),
_xlpm.MyAuditVal,_xlfn.XLOOKUP($A493,My_Audit!$A:$A,My_Audit!E:E,""),
_xlfn.IFS(_xlpm.MyAuditVal&lt;&gt;"",_xlpm.MyAuditVal,_xlpm.MacVal&lt;&gt;"",_xlpm.MacVal,_xlpm.CSVVal&lt;&gt;"",PROPER(_xlpm.CSVVal)
)),"")</f>
        <v/>
      </c>
      <c r="G493" s="45" t="str" cm="1">
        <f t="array" ref="G493">IFERROR(_xlfn.LET(
_xlpm.CSVVal,_xlfn.XLOOKUP($A493,CSV!$A:$A,CSV!G:G,""),
_xlpm.MacVal,_xlfn.XLOOKUP($A493,Output_Mac!$A:$A,Output_Mac!H:H,""),
_xlpm.MyAuditVal,_xlfn.XLOOKUP($A493,My_Audit!$A:$A,My_Audit!F:F,""),
_xlfn.IFS(_xlpm.MyAuditVal&lt;&gt;"",_xlpm.MyAuditVal,_xlpm.MacVal&lt;&gt;"",_xlpm.MacVal,_xlpm.CSVVal&lt;&gt;"",_xlpm.CSVVal
)),"")</f>
        <v/>
      </c>
      <c r="H493" s="45" t="str">
        <f>_xlfn.XLOOKUP(A493,Output_Mac!A:A,Output_Mac!I:I,"")</f>
        <v/>
      </c>
      <c r="I493" s="45" t="str" cm="1">
        <f t="array" ref="I493">IFERROR(_xlfn.LET(
_xlpm.CSVVal,_xlfn.XLOOKUP($A493,CSV!$A:$A,CSV!H:H,""),
_xlpm.MacVal,_xlfn.XLOOKUP($A493,Output_Mac!$A:$A,Output_Mac!J:J,""),
_xlpm.MyAuditVal,_xlfn.XLOOKUP($A493,My_Audit!$A:$A,My_Audit!H:H,""),
_xlfn.IFS(_xlpm.MyAuditVal&lt;&gt;"",UPPER(_xlpm.MyAuditVal),_xlpm.MacVal&lt;&gt;"",_xlpm.MacVal,_xlpm.CSVVal&lt;&gt;"",_xlpm.CSVVal
)),"")</f>
        <v/>
      </c>
      <c r="J493" s="45" t="str" cm="1">
        <f t="array" ref="J493">IFERROR(_xlfn.LET(
_xlpm.CSVVal,_xlfn.XLOOKUP($A493,CSV!$A:$A,CSV!J:J,""),
_xlpm.MacVal,_xlfn.XLOOKUP($A493,Output_Mac!$A:$A,Output_Mac!K:K,""),
_xlpm.MyAuditVal,_xlfn.XLOOKUP($A493,My_Audit!$A:$A,My_Audit!I:I,""),
_xlfn.IFS(_xlpm.MyAuditVal&lt;&gt;"",UPPER(_xlpm.MyAuditVal),_xlpm.MacVal&lt;&gt;"",_xlpm.MacVal,_xlpm.CSVVal&lt;&gt;"",_xlpm.CSVVal
)),"")</f>
        <v/>
      </c>
      <c r="K493" s="45" t="str" cm="1">
        <f t="array" ref="K493">IFERROR(_xlfn.LET(
_xlpm.CSVVal,_xlfn.XLOOKUP($A493,CSV!$A:$A,CSV!N:N,""),
_xlpm.MacVal,_xlfn.XLOOKUP($A493,Output_Mac!$A:$A,Output_Mac!L:L,""),
_xlpm.MyAuditVal,_xlfn.XLOOKUP($A493,My_Audit!$A:$A,My_Audit!J:J,""),
_xlfn.IFS(_xlpm.MyAuditVal&lt;&gt;"",UPPER(_xlpm.MyAuditVal),_xlpm.MacVal&lt;&gt;"",_xlpm.MacVal,_xlpm.CSVVal&lt;&gt;"",_xlpm.CSVVal
)),"")</f>
        <v/>
      </c>
      <c r="L493" s="45" t="str" cm="1">
        <f t="array" ref="L493">IFERROR(_xlfn.LET(
_xlpm.CSVVal,_xlfn.XLOOKUP($A493,CSV!$A:$A,CSV!P:P,""),
_xlpm.MacVal,_xlfn.XLOOKUP($A493,Output_Mac!$A:$A,Output_Mac!M:M,""),
_xlpm.MyAuditVal,_xlfn.XLOOKUP($A493,My_Audit!$A:$A,My_Audit!K:K,""),
_xlfn.IFS(_xlpm.MyAuditVal&lt;&gt;"",UPPER(_xlpm.MyAuditVal),_xlpm.MacVal&lt;&gt;"",_xlpm.MacVal,_xlpm.CSVVal&lt;&gt;"",_xlpm.CSVVal
)),"")</f>
        <v/>
      </c>
      <c r="M493" s="45" t="str">
        <f>_xlfn.LET(
    _xlpm.CSVVal, _xlfn.XLOOKUP($A493, CSV!$A:$A, CSV!AE:AE, ""),
    _xlpm.MacVal, _xlfn.XLOOKUP($A493, Output_Mac!$A:$A, Output_Mac!S:S, ""),
    _xlpm.MyAuditVal, _xlfn.XLOOKUP($A493, My_Audit!$A:$A, My_Audit!N:N, ""),
    _xlfn.TEXTJOIN(", ", TRUE, _xlpm.MyAuditVal, _xlpm.MacVal, _xlpm.CSVVal)
)</f>
        <v/>
      </c>
      <c r="N493" s="45" t="str" cm="1">
        <f t="array" ref="N493">IFERROR(_xlfn.LET(
_xlpm.CSVVal,_xlfn.XLOOKUP($A493,CSV!$A:$A,CSV!AG:AG,""),
_xlpm.MacVal,_xlfn.XLOOKUP($A493,Output_Mac!$A:$A,Output_Mac!U:U,""),
_xlpm.MyAuditVal,_xlfn.XLOOKUP($A493,My_Audit!$A:$A,My_Audit!O:O,""),
_xlfn.IFS(_xlpm.MyAuditVal&lt;&gt;"",UPPER(_xlpm.MyAuditVal),_xlpm.MacVal&lt;&gt;"",_xlpm.MacVal,_xlpm.CSVVal&lt;&gt;"",_xlpm.CSVVal
)),"")</f>
        <v/>
      </c>
      <c r="O493" s="45"/>
      <c r="P493" s="45"/>
      <c r="Q493" s="46" t="str">
        <f>IF(LEFT(N493,4)="Pass","Nist SP 800-88",My_Audit!R493)&amp;""</f>
        <v/>
      </c>
      <c r="R493" s="45"/>
      <c r="S493" s="45"/>
      <c r="T493" s="46" t="str">
        <f>_xlfn.XLOOKUP(E493,Models!I:I,Models!J:J,"")</f>
        <v/>
      </c>
      <c r="U493" s="45"/>
      <c r="V493" s="45"/>
      <c r="W493" s="38"/>
    </row>
    <row r="494" spans="1:23">
      <c r="A494" s="45" t="str">
        <f>_xlfn.TEXTJOIN("",TRUE,Input!$B$2,ROW(My_Audit!A493))</f>
        <v>XX493</v>
      </c>
      <c r="B494" s="45" t="str">
        <f>_xlfn.TEXTJOIN("-",TRUE,"ITD",Input!$A$2,A494)</f>
        <v>ITD-SHRXXX-XX493</v>
      </c>
      <c r="C494" s="45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46" t="str" cm="1">
        <f t="array" ref="D494">IFERROR(_xlfn.LET(
_xlpm.CSVVal,_xlfn.XLOOKUP($A494,CSV!$A:$A,CSV!C:C,""),
_xlpm.MacVal,_xlfn.XLOOKUP($A494,Output_Mac!$A:$A,Output_Mac!D:D,""),
_xlpm.MyAuditVal,_xlfn.XLOOKUP($A494,My_Audit!$A:$A,My_Audit!C:C,""),
_xlfn.IFS(_xlpm.MyAuditVal&lt;&gt;"",UPPER(_xlpm.MyAuditVal),_xlpm.MacVal&lt;&gt;"",_xlpm.MacVal,_xlpm.CSVVal&lt;&gt;"",_xlpm.CSVVal
)),"")</f>
        <v/>
      </c>
      <c r="E494" s="46" t="str" cm="1">
        <f t="array" ref="E494">IFERROR(_xlfn.LET(
_xlpm.CSVVal,_xlfn.XLOOKUP($A494,CSV!$A:$A,CSV!E:E,""),
_xlpm.MacVal,_xlfn.XLOOKUP($A494,Output_Mac!$A:$A,Output_Mac!C:C,""),
_xlpm.MyAuditVal,_xlfn.XLOOKUP($A494,My_Audit!$A:$A,My_Audit!D:D,""),
_xlfn.IFS(_xlpm.MyAuditVal&lt;&gt;"",_xlpm.MyAuditVal,_xlpm.MacVal&lt;&gt;"",_xlpm.MacVal,_xlpm.CSVVal&lt;&gt;"",_xlpm.CSVVal
)),"")</f>
        <v/>
      </c>
      <c r="F494" s="45" t="str" cm="1">
        <f t="array" ref="F494">IFERROR(_xlfn.LET(
_xlpm.CSVVal,_xlfn.XLOOKUP($A494,CSV!$A:$A,CSV!F:F,""),
_xlpm.MacVal,_xlfn.XLOOKUP($A494,Output_Mac!$A:$A,Output_Mac!F:F,""),
_xlpm.MyAuditVal,_xlfn.XLOOKUP($A494,My_Audit!$A:$A,My_Audit!E:E,""),
_xlfn.IFS(_xlpm.MyAuditVal&lt;&gt;"",_xlpm.MyAuditVal,_xlpm.MacVal&lt;&gt;"",_xlpm.MacVal,_xlpm.CSVVal&lt;&gt;"",PROPER(_xlpm.CSVVal)
)),"")</f>
        <v/>
      </c>
      <c r="G494" s="45" t="str" cm="1">
        <f t="array" ref="G494">IFERROR(_xlfn.LET(
_xlpm.CSVVal,_xlfn.XLOOKUP($A494,CSV!$A:$A,CSV!G:G,""),
_xlpm.MacVal,_xlfn.XLOOKUP($A494,Output_Mac!$A:$A,Output_Mac!H:H,""),
_xlpm.MyAuditVal,_xlfn.XLOOKUP($A494,My_Audit!$A:$A,My_Audit!F:F,""),
_xlfn.IFS(_xlpm.MyAuditVal&lt;&gt;"",_xlpm.MyAuditVal,_xlpm.MacVal&lt;&gt;"",_xlpm.MacVal,_xlpm.CSVVal&lt;&gt;"",_xlpm.CSVVal
)),"")</f>
        <v/>
      </c>
      <c r="H494" s="45" t="str">
        <f>_xlfn.XLOOKUP(A494,Output_Mac!A:A,Output_Mac!I:I,"")</f>
        <v/>
      </c>
      <c r="I494" s="45" t="str" cm="1">
        <f t="array" ref="I494">IFERROR(_xlfn.LET(
_xlpm.CSVVal,_xlfn.XLOOKUP($A494,CSV!$A:$A,CSV!H:H,""),
_xlpm.MacVal,_xlfn.XLOOKUP($A494,Output_Mac!$A:$A,Output_Mac!J:J,""),
_xlpm.MyAuditVal,_xlfn.XLOOKUP($A494,My_Audit!$A:$A,My_Audit!H:H,""),
_xlfn.IFS(_xlpm.MyAuditVal&lt;&gt;"",UPPER(_xlpm.MyAuditVal),_xlpm.MacVal&lt;&gt;"",_xlpm.MacVal,_xlpm.CSVVal&lt;&gt;"",_xlpm.CSVVal
)),"")</f>
        <v/>
      </c>
      <c r="J494" s="45" t="str" cm="1">
        <f t="array" ref="J494">IFERROR(_xlfn.LET(
_xlpm.CSVVal,_xlfn.XLOOKUP($A494,CSV!$A:$A,CSV!J:J,""),
_xlpm.MacVal,_xlfn.XLOOKUP($A494,Output_Mac!$A:$A,Output_Mac!K:K,""),
_xlpm.MyAuditVal,_xlfn.XLOOKUP($A494,My_Audit!$A:$A,My_Audit!I:I,""),
_xlfn.IFS(_xlpm.MyAuditVal&lt;&gt;"",UPPER(_xlpm.MyAuditVal),_xlpm.MacVal&lt;&gt;"",_xlpm.MacVal,_xlpm.CSVVal&lt;&gt;"",_xlpm.CSVVal
)),"")</f>
        <v/>
      </c>
      <c r="K494" s="45" t="str" cm="1">
        <f t="array" ref="K494">IFERROR(_xlfn.LET(
_xlpm.CSVVal,_xlfn.XLOOKUP($A494,CSV!$A:$A,CSV!N:N,""),
_xlpm.MacVal,_xlfn.XLOOKUP($A494,Output_Mac!$A:$A,Output_Mac!L:L,""),
_xlpm.MyAuditVal,_xlfn.XLOOKUP($A494,My_Audit!$A:$A,My_Audit!J:J,""),
_xlfn.IFS(_xlpm.MyAuditVal&lt;&gt;"",UPPER(_xlpm.MyAuditVal),_xlpm.MacVal&lt;&gt;"",_xlpm.MacVal,_xlpm.CSVVal&lt;&gt;"",_xlpm.CSVVal
)),"")</f>
        <v/>
      </c>
      <c r="L494" s="45" t="str" cm="1">
        <f t="array" ref="L494">IFERROR(_xlfn.LET(
_xlpm.CSVVal,_xlfn.XLOOKUP($A494,CSV!$A:$A,CSV!P:P,""),
_xlpm.MacVal,_xlfn.XLOOKUP($A494,Output_Mac!$A:$A,Output_Mac!M:M,""),
_xlpm.MyAuditVal,_xlfn.XLOOKUP($A494,My_Audit!$A:$A,My_Audit!K:K,""),
_xlfn.IFS(_xlpm.MyAuditVal&lt;&gt;"",UPPER(_xlpm.MyAuditVal),_xlpm.MacVal&lt;&gt;"",_xlpm.MacVal,_xlpm.CSVVal&lt;&gt;"",_xlpm.CSVVal
)),"")</f>
        <v/>
      </c>
      <c r="M494" s="45" t="str">
        <f>_xlfn.LET(
    _xlpm.CSVVal, _xlfn.XLOOKUP($A494, CSV!$A:$A, CSV!AE:AE, ""),
    _xlpm.MacVal, _xlfn.XLOOKUP($A494, Output_Mac!$A:$A, Output_Mac!S:S, ""),
    _xlpm.MyAuditVal, _xlfn.XLOOKUP($A494, My_Audit!$A:$A, My_Audit!N:N, ""),
    _xlfn.TEXTJOIN(", ", TRUE, _xlpm.MyAuditVal, _xlpm.MacVal, _xlpm.CSVVal)
)</f>
        <v/>
      </c>
      <c r="N494" s="45" t="str" cm="1">
        <f t="array" ref="N494">IFERROR(_xlfn.LET(
_xlpm.CSVVal,_xlfn.XLOOKUP($A494,CSV!$A:$A,CSV!AG:AG,""),
_xlpm.MacVal,_xlfn.XLOOKUP($A494,Output_Mac!$A:$A,Output_Mac!U:U,""),
_xlpm.MyAuditVal,_xlfn.XLOOKUP($A494,My_Audit!$A:$A,My_Audit!O:O,""),
_xlfn.IFS(_xlpm.MyAuditVal&lt;&gt;"",UPPER(_xlpm.MyAuditVal),_xlpm.MacVal&lt;&gt;"",_xlpm.MacVal,_xlpm.CSVVal&lt;&gt;"",_xlpm.CSVVal
)),"")</f>
        <v/>
      </c>
      <c r="O494" s="45"/>
      <c r="P494" s="45"/>
      <c r="Q494" s="46" t="str">
        <f>IF(LEFT(N494,4)="Pass","Nist SP 800-88",My_Audit!R494)&amp;""</f>
        <v/>
      </c>
      <c r="R494" s="45"/>
      <c r="S494" s="45"/>
      <c r="T494" s="46" t="str">
        <f>_xlfn.XLOOKUP(E494,Models!I:I,Models!J:J,"")</f>
        <v/>
      </c>
      <c r="U494" s="45"/>
      <c r="V494" s="45"/>
      <c r="W494" s="38"/>
    </row>
    <row r="495" spans="1:23">
      <c r="A495" s="45" t="str">
        <f>_xlfn.TEXTJOIN("",TRUE,Input!$B$2,ROW(My_Audit!A494))</f>
        <v>XX494</v>
      </c>
      <c r="B495" s="45" t="str">
        <f>_xlfn.TEXTJOIN("-",TRUE,"ITD",Input!$A$2,A495)</f>
        <v>ITD-SHRXXX-XX494</v>
      </c>
      <c r="C495" s="45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46" t="str" cm="1">
        <f t="array" ref="D495">IFERROR(_xlfn.LET(
_xlpm.CSVVal,_xlfn.XLOOKUP($A495,CSV!$A:$A,CSV!C:C,""),
_xlpm.MacVal,_xlfn.XLOOKUP($A495,Output_Mac!$A:$A,Output_Mac!D:D,""),
_xlpm.MyAuditVal,_xlfn.XLOOKUP($A495,My_Audit!$A:$A,My_Audit!C:C,""),
_xlfn.IFS(_xlpm.MyAuditVal&lt;&gt;"",UPPER(_xlpm.MyAuditVal),_xlpm.MacVal&lt;&gt;"",_xlpm.MacVal,_xlpm.CSVVal&lt;&gt;"",_xlpm.CSVVal
)),"")</f>
        <v/>
      </c>
      <c r="E495" s="46" t="str" cm="1">
        <f t="array" ref="E495">IFERROR(_xlfn.LET(
_xlpm.CSVVal,_xlfn.XLOOKUP($A495,CSV!$A:$A,CSV!E:E,""),
_xlpm.MacVal,_xlfn.XLOOKUP($A495,Output_Mac!$A:$A,Output_Mac!C:C,""),
_xlpm.MyAuditVal,_xlfn.XLOOKUP($A495,My_Audit!$A:$A,My_Audit!D:D,""),
_xlfn.IFS(_xlpm.MyAuditVal&lt;&gt;"",_xlpm.MyAuditVal,_xlpm.MacVal&lt;&gt;"",_xlpm.MacVal,_xlpm.CSVVal&lt;&gt;"",_xlpm.CSVVal
)),"")</f>
        <v/>
      </c>
      <c r="F495" s="45" t="str" cm="1">
        <f t="array" ref="F495">IFERROR(_xlfn.LET(
_xlpm.CSVVal,_xlfn.XLOOKUP($A495,CSV!$A:$A,CSV!F:F,""),
_xlpm.MacVal,_xlfn.XLOOKUP($A495,Output_Mac!$A:$A,Output_Mac!F:F,""),
_xlpm.MyAuditVal,_xlfn.XLOOKUP($A495,My_Audit!$A:$A,My_Audit!E:E,""),
_xlfn.IFS(_xlpm.MyAuditVal&lt;&gt;"",_xlpm.MyAuditVal,_xlpm.MacVal&lt;&gt;"",_xlpm.MacVal,_xlpm.CSVVal&lt;&gt;"",PROPER(_xlpm.CSVVal)
)),"")</f>
        <v/>
      </c>
      <c r="G495" s="45" t="str" cm="1">
        <f t="array" ref="G495">IFERROR(_xlfn.LET(
_xlpm.CSVVal,_xlfn.XLOOKUP($A495,CSV!$A:$A,CSV!G:G,""),
_xlpm.MacVal,_xlfn.XLOOKUP($A495,Output_Mac!$A:$A,Output_Mac!H:H,""),
_xlpm.MyAuditVal,_xlfn.XLOOKUP($A495,My_Audit!$A:$A,My_Audit!F:F,""),
_xlfn.IFS(_xlpm.MyAuditVal&lt;&gt;"",_xlpm.MyAuditVal,_xlpm.MacVal&lt;&gt;"",_xlpm.MacVal,_xlpm.CSVVal&lt;&gt;"",_xlpm.CSVVal
)),"")</f>
        <v/>
      </c>
      <c r="H495" s="45" t="str">
        <f>_xlfn.XLOOKUP(A495,Output_Mac!A:A,Output_Mac!I:I,"")</f>
        <v/>
      </c>
      <c r="I495" s="45" t="str" cm="1">
        <f t="array" ref="I495">IFERROR(_xlfn.LET(
_xlpm.CSVVal,_xlfn.XLOOKUP($A495,CSV!$A:$A,CSV!H:H,""),
_xlpm.MacVal,_xlfn.XLOOKUP($A495,Output_Mac!$A:$A,Output_Mac!J:J,""),
_xlpm.MyAuditVal,_xlfn.XLOOKUP($A495,My_Audit!$A:$A,My_Audit!H:H,""),
_xlfn.IFS(_xlpm.MyAuditVal&lt;&gt;"",UPPER(_xlpm.MyAuditVal),_xlpm.MacVal&lt;&gt;"",_xlpm.MacVal,_xlpm.CSVVal&lt;&gt;"",_xlpm.CSVVal
)),"")</f>
        <v/>
      </c>
      <c r="J495" s="45" t="str" cm="1">
        <f t="array" ref="J495">IFERROR(_xlfn.LET(
_xlpm.CSVVal,_xlfn.XLOOKUP($A495,CSV!$A:$A,CSV!J:J,""),
_xlpm.MacVal,_xlfn.XLOOKUP($A495,Output_Mac!$A:$A,Output_Mac!K:K,""),
_xlpm.MyAuditVal,_xlfn.XLOOKUP($A495,My_Audit!$A:$A,My_Audit!I:I,""),
_xlfn.IFS(_xlpm.MyAuditVal&lt;&gt;"",UPPER(_xlpm.MyAuditVal),_xlpm.MacVal&lt;&gt;"",_xlpm.MacVal,_xlpm.CSVVal&lt;&gt;"",_xlpm.CSVVal
)),"")</f>
        <v/>
      </c>
      <c r="K495" s="45" t="str" cm="1">
        <f t="array" ref="K495">IFERROR(_xlfn.LET(
_xlpm.CSVVal,_xlfn.XLOOKUP($A495,CSV!$A:$A,CSV!N:N,""),
_xlpm.MacVal,_xlfn.XLOOKUP($A495,Output_Mac!$A:$A,Output_Mac!L:L,""),
_xlpm.MyAuditVal,_xlfn.XLOOKUP($A495,My_Audit!$A:$A,My_Audit!J:J,""),
_xlfn.IFS(_xlpm.MyAuditVal&lt;&gt;"",UPPER(_xlpm.MyAuditVal),_xlpm.MacVal&lt;&gt;"",_xlpm.MacVal,_xlpm.CSVVal&lt;&gt;"",_xlpm.CSVVal
)),"")</f>
        <v/>
      </c>
      <c r="L495" s="45" t="str" cm="1">
        <f t="array" ref="L495">IFERROR(_xlfn.LET(
_xlpm.CSVVal,_xlfn.XLOOKUP($A495,CSV!$A:$A,CSV!P:P,""),
_xlpm.MacVal,_xlfn.XLOOKUP($A495,Output_Mac!$A:$A,Output_Mac!M:M,""),
_xlpm.MyAuditVal,_xlfn.XLOOKUP($A495,My_Audit!$A:$A,My_Audit!K:K,""),
_xlfn.IFS(_xlpm.MyAuditVal&lt;&gt;"",UPPER(_xlpm.MyAuditVal),_xlpm.MacVal&lt;&gt;"",_xlpm.MacVal,_xlpm.CSVVal&lt;&gt;"",_xlpm.CSVVal
)),"")</f>
        <v/>
      </c>
      <c r="M495" s="45" t="str">
        <f>_xlfn.LET(
    _xlpm.CSVVal, _xlfn.XLOOKUP($A495, CSV!$A:$A, CSV!AE:AE, ""),
    _xlpm.MacVal, _xlfn.XLOOKUP($A495, Output_Mac!$A:$A, Output_Mac!S:S, ""),
    _xlpm.MyAuditVal, _xlfn.XLOOKUP($A495, My_Audit!$A:$A, My_Audit!N:N, ""),
    _xlfn.TEXTJOIN(", ", TRUE, _xlpm.MyAuditVal, _xlpm.MacVal, _xlpm.CSVVal)
)</f>
        <v/>
      </c>
      <c r="N495" s="45" t="str" cm="1">
        <f t="array" ref="N495">IFERROR(_xlfn.LET(
_xlpm.CSVVal,_xlfn.XLOOKUP($A495,CSV!$A:$A,CSV!AG:AG,""),
_xlpm.MacVal,_xlfn.XLOOKUP($A495,Output_Mac!$A:$A,Output_Mac!U:U,""),
_xlpm.MyAuditVal,_xlfn.XLOOKUP($A495,My_Audit!$A:$A,My_Audit!O:O,""),
_xlfn.IFS(_xlpm.MyAuditVal&lt;&gt;"",UPPER(_xlpm.MyAuditVal),_xlpm.MacVal&lt;&gt;"",_xlpm.MacVal,_xlpm.CSVVal&lt;&gt;"",_xlpm.CSVVal
)),"")</f>
        <v/>
      </c>
      <c r="O495" s="45"/>
      <c r="P495" s="45"/>
      <c r="Q495" s="46" t="str">
        <f>IF(LEFT(N495,4)="Pass","Nist SP 800-88",My_Audit!R495)&amp;""</f>
        <v/>
      </c>
      <c r="R495" s="45"/>
      <c r="S495" s="45"/>
      <c r="T495" s="46" t="str">
        <f>_xlfn.XLOOKUP(E495,Models!I:I,Models!J:J,"")</f>
        <v/>
      </c>
      <c r="U495" s="45"/>
      <c r="V495" s="45"/>
      <c r="W495" s="38"/>
    </row>
    <row r="496" spans="1:23">
      <c r="A496" s="45" t="str">
        <f>_xlfn.TEXTJOIN("",TRUE,Input!$B$2,ROW(My_Audit!A495))</f>
        <v>XX495</v>
      </c>
      <c r="B496" s="45" t="str">
        <f>_xlfn.TEXTJOIN("-",TRUE,"ITD",Input!$A$2,A496)</f>
        <v>ITD-SHRXXX-XX495</v>
      </c>
      <c r="C496" s="45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46" t="str" cm="1">
        <f t="array" ref="D496">IFERROR(_xlfn.LET(
_xlpm.CSVVal,_xlfn.XLOOKUP($A496,CSV!$A:$A,CSV!C:C,""),
_xlpm.MacVal,_xlfn.XLOOKUP($A496,Output_Mac!$A:$A,Output_Mac!D:D,""),
_xlpm.MyAuditVal,_xlfn.XLOOKUP($A496,My_Audit!$A:$A,My_Audit!C:C,""),
_xlfn.IFS(_xlpm.MyAuditVal&lt;&gt;"",UPPER(_xlpm.MyAuditVal),_xlpm.MacVal&lt;&gt;"",_xlpm.MacVal,_xlpm.CSVVal&lt;&gt;"",_xlpm.CSVVal
)),"")</f>
        <v/>
      </c>
      <c r="E496" s="46" t="str" cm="1">
        <f t="array" ref="E496">IFERROR(_xlfn.LET(
_xlpm.CSVVal,_xlfn.XLOOKUP($A496,CSV!$A:$A,CSV!E:E,""),
_xlpm.MacVal,_xlfn.XLOOKUP($A496,Output_Mac!$A:$A,Output_Mac!C:C,""),
_xlpm.MyAuditVal,_xlfn.XLOOKUP($A496,My_Audit!$A:$A,My_Audit!D:D,""),
_xlfn.IFS(_xlpm.MyAuditVal&lt;&gt;"",_xlpm.MyAuditVal,_xlpm.MacVal&lt;&gt;"",_xlpm.MacVal,_xlpm.CSVVal&lt;&gt;"",_xlpm.CSVVal
)),"")</f>
        <v/>
      </c>
      <c r="F496" s="45" t="str" cm="1">
        <f t="array" ref="F496">IFERROR(_xlfn.LET(
_xlpm.CSVVal,_xlfn.XLOOKUP($A496,CSV!$A:$A,CSV!F:F,""),
_xlpm.MacVal,_xlfn.XLOOKUP($A496,Output_Mac!$A:$A,Output_Mac!F:F,""),
_xlpm.MyAuditVal,_xlfn.XLOOKUP($A496,My_Audit!$A:$A,My_Audit!E:E,""),
_xlfn.IFS(_xlpm.MyAuditVal&lt;&gt;"",_xlpm.MyAuditVal,_xlpm.MacVal&lt;&gt;"",_xlpm.MacVal,_xlpm.CSVVal&lt;&gt;"",PROPER(_xlpm.CSVVal)
)),"")</f>
        <v/>
      </c>
      <c r="G496" s="45" t="str" cm="1">
        <f t="array" ref="G496">IFERROR(_xlfn.LET(
_xlpm.CSVVal,_xlfn.XLOOKUP($A496,CSV!$A:$A,CSV!G:G,""),
_xlpm.MacVal,_xlfn.XLOOKUP($A496,Output_Mac!$A:$A,Output_Mac!H:H,""),
_xlpm.MyAuditVal,_xlfn.XLOOKUP($A496,My_Audit!$A:$A,My_Audit!F:F,""),
_xlfn.IFS(_xlpm.MyAuditVal&lt;&gt;"",_xlpm.MyAuditVal,_xlpm.MacVal&lt;&gt;"",_xlpm.MacVal,_xlpm.CSVVal&lt;&gt;"",_xlpm.CSVVal
)),"")</f>
        <v/>
      </c>
      <c r="H496" s="45" t="str">
        <f>_xlfn.XLOOKUP(A496,Output_Mac!A:A,Output_Mac!I:I,"")</f>
        <v/>
      </c>
      <c r="I496" s="45" t="str" cm="1">
        <f t="array" ref="I496">IFERROR(_xlfn.LET(
_xlpm.CSVVal,_xlfn.XLOOKUP($A496,CSV!$A:$A,CSV!H:H,""),
_xlpm.MacVal,_xlfn.XLOOKUP($A496,Output_Mac!$A:$A,Output_Mac!J:J,""),
_xlpm.MyAuditVal,_xlfn.XLOOKUP($A496,My_Audit!$A:$A,My_Audit!H:H,""),
_xlfn.IFS(_xlpm.MyAuditVal&lt;&gt;"",UPPER(_xlpm.MyAuditVal),_xlpm.MacVal&lt;&gt;"",_xlpm.MacVal,_xlpm.CSVVal&lt;&gt;"",_xlpm.CSVVal
)),"")</f>
        <v/>
      </c>
      <c r="J496" s="45" t="str" cm="1">
        <f t="array" ref="J496">IFERROR(_xlfn.LET(
_xlpm.CSVVal,_xlfn.XLOOKUP($A496,CSV!$A:$A,CSV!J:J,""),
_xlpm.MacVal,_xlfn.XLOOKUP($A496,Output_Mac!$A:$A,Output_Mac!K:K,""),
_xlpm.MyAuditVal,_xlfn.XLOOKUP($A496,My_Audit!$A:$A,My_Audit!I:I,""),
_xlfn.IFS(_xlpm.MyAuditVal&lt;&gt;"",UPPER(_xlpm.MyAuditVal),_xlpm.MacVal&lt;&gt;"",_xlpm.MacVal,_xlpm.CSVVal&lt;&gt;"",_xlpm.CSVVal
)),"")</f>
        <v/>
      </c>
      <c r="K496" s="45" t="str" cm="1">
        <f t="array" ref="K496">IFERROR(_xlfn.LET(
_xlpm.CSVVal,_xlfn.XLOOKUP($A496,CSV!$A:$A,CSV!N:N,""),
_xlpm.MacVal,_xlfn.XLOOKUP($A496,Output_Mac!$A:$A,Output_Mac!L:L,""),
_xlpm.MyAuditVal,_xlfn.XLOOKUP($A496,My_Audit!$A:$A,My_Audit!J:J,""),
_xlfn.IFS(_xlpm.MyAuditVal&lt;&gt;"",UPPER(_xlpm.MyAuditVal),_xlpm.MacVal&lt;&gt;"",_xlpm.MacVal,_xlpm.CSVVal&lt;&gt;"",_xlpm.CSVVal
)),"")</f>
        <v/>
      </c>
      <c r="L496" s="45" t="str" cm="1">
        <f t="array" ref="L496">IFERROR(_xlfn.LET(
_xlpm.CSVVal,_xlfn.XLOOKUP($A496,CSV!$A:$A,CSV!P:P,""),
_xlpm.MacVal,_xlfn.XLOOKUP($A496,Output_Mac!$A:$A,Output_Mac!M:M,""),
_xlpm.MyAuditVal,_xlfn.XLOOKUP($A496,My_Audit!$A:$A,My_Audit!K:K,""),
_xlfn.IFS(_xlpm.MyAuditVal&lt;&gt;"",UPPER(_xlpm.MyAuditVal),_xlpm.MacVal&lt;&gt;"",_xlpm.MacVal,_xlpm.CSVVal&lt;&gt;"",_xlpm.CSVVal
)),"")</f>
        <v/>
      </c>
      <c r="M496" s="45" t="str">
        <f>_xlfn.LET(
    _xlpm.CSVVal, _xlfn.XLOOKUP($A496, CSV!$A:$A, CSV!AE:AE, ""),
    _xlpm.MacVal, _xlfn.XLOOKUP($A496, Output_Mac!$A:$A, Output_Mac!S:S, ""),
    _xlpm.MyAuditVal, _xlfn.XLOOKUP($A496, My_Audit!$A:$A, My_Audit!N:N, ""),
    _xlfn.TEXTJOIN(", ", TRUE, _xlpm.MyAuditVal, _xlpm.MacVal, _xlpm.CSVVal)
)</f>
        <v/>
      </c>
      <c r="N496" s="45" t="str" cm="1">
        <f t="array" ref="N496">IFERROR(_xlfn.LET(
_xlpm.CSVVal,_xlfn.XLOOKUP($A496,CSV!$A:$A,CSV!AG:AG,""),
_xlpm.MacVal,_xlfn.XLOOKUP($A496,Output_Mac!$A:$A,Output_Mac!U:U,""),
_xlpm.MyAuditVal,_xlfn.XLOOKUP($A496,My_Audit!$A:$A,My_Audit!O:O,""),
_xlfn.IFS(_xlpm.MyAuditVal&lt;&gt;"",UPPER(_xlpm.MyAuditVal),_xlpm.MacVal&lt;&gt;"",_xlpm.MacVal,_xlpm.CSVVal&lt;&gt;"",_xlpm.CSVVal
)),"")</f>
        <v/>
      </c>
      <c r="O496" s="45"/>
      <c r="P496" s="45"/>
      <c r="Q496" s="46" t="str">
        <f>IF(LEFT(N496,4)="Pass","Nist SP 800-88",My_Audit!R496)&amp;""</f>
        <v/>
      </c>
      <c r="R496" s="45"/>
      <c r="S496" s="45"/>
      <c r="T496" s="46" t="str">
        <f>_xlfn.XLOOKUP(E496,Models!I:I,Models!J:J,"")</f>
        <v/>
      </c>
      <c r="U496" s="45"/>
      <c r="V496" s="45"/>
      <c r="W496" s="38"/>
    </row>
    <row r="497" spans="1:23">
      <c r="A497" s="45" t="str">
        <f>_xlfn.TEXTJOIN("",TRUE,Input!$B$2,ROW(My_Audit!A496))</f>
        <v>XX496</v>
      </c>
      <c r="B497" s="45" t="str">
        <f>_xlfn.TEXTJOIN("-",TRUE,"ITD",Input!$A$2,A497)</f>
        <v>ITD-SHRXXX-XX496</v>
      </c>
      <c r="C497" s="45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46" t="str" cm="1">
        <f t="array" ref="D497">IFERROR(_xlfn.LET(
_xlpm.CSVVal,_xlfn.XLOOKUP($A497,CSV!$A:$A,CSV!C:C,""),
_xlpm.MacVal,_xlfn.XLOOKUP($A497,Output_Mac!$A:$A,Output_Mac!D:D,""),
_xlpm.MyAuditVal,_xlfn.XLOOKUP($A497,My_Audit!$A:$A,My_Audit!C:C,""),
_xlfn.IFS(_xlpm.MyAuditVal&lt;&gt;"",UPPER(_xlpm.MyAuditVal),_xlpm.MacVal&lt;&gt;"",_xlpm.MacVal,_xlpm.CSVVal&lt;&gt;"",_xlpm.CSVVal
)),"")</f>
        <v/>
      </c>
      <c r="E497" s="46" t="str" cm="1">
        <f t="array" ref="E497">IFERROR(_xlfn.LET(
_xlpm.CSVVal,_xlfn.XLOOKUP($A497,CSV!$A:$A,CSV!E:E,""),
_xlpm.MacVal,_xlfn.XLOOKUP($A497,Output_Mac!$A:$A,Output_Mac!C:C,""),
_xlpm.MyAuditVal,_xlfn.XLOOKUP($A497,My_Audit!$A:$A,My_Audit!D:D,""),
_xlfn.IFS(_xlpm.MyAuditVal&lt;&gt;"",_xlpm.MyAuditVal,_xlpm.MacVal&lt;&gt;"",_xlpm.MacVal,_xlpm.CSVVal&lt;&gt;"",_xlpm.CSVVal
)),"")</f>
        <v/>
      </c>
      <c r="F497" s="45" t="str" cm="1">
        <f t="array" ref="F497">IFERROR(_xlfn.LET(
_xlpm.CSVVal,_xlfn.XLOOKUP($A497,CSV!$A:$A,CSV!F:F,""),
_xlpm.MacVal,_xlfn.XLOOKUP($A497,Output_Mac!$A:$A,Output_Mac!F:F,""),
_xlpm.MyAuditVal,_xlfn.XLOOKUP($A497,My_Audit!$A:$A,My_Audit!E:E,""),
_xlfn.IFS(_xlpm.MyAuditVal&lt;&gt;"",_xlpm.MyAuditVal,_xlpm.MacVal&lt;&gt;"",_xlpm.MacVal,_xlpm.CSVVal&lt;&gt;"",PROPER(_xlpm.CSVVal)
)),"")</f>
        <v/>
      </c>
      <c r="G497" s="45" t="str" cm="1">
        <f t="array" ref="G497">IFERROR(_xlfn.LET(
_xlpm.CSVVal,_xlfn.XLOOKUP($A497,CSV!$A:$A,CSV!G:G,""),
_xlpm.MacVal,_xlfn.XLOOKUP($A497,Output_Mac!$A:$A,Output_Mac!H:H,""),
_xlpm.MyAuditVal,_xlfn.XLOOKUP($A497,My_Audit!$A:$A,My_Audit!F:F,""),
_xlfn.IFS(_xlpm.MyAuditVal&lt;&gt;"",_xlpm.MyAuditVal,_xlpm.MacVal&lt;&gt;"",_xlpm.MacVal,_xlpm.CSVVal&lt;&gt;"",_xlpm.CSVVal
)),"")</f>
        <v/>
      </c>
      <c r="H497" s="45" t="str">
        <f>_xlfn.XLOOKUP(A497,Output_Mac!A:A,Output_Mac!I:I,"")</f>
        <v/>
      </c>
      <c r="I497" s="45" t="str" cm="1">
        <f t="array" ref="I497">IFERROR(_xlfn.LET(
_xlpm.CSVVal,_xlfn.XLOOKUP($A497,CSV!$A:$A,CSV!H:H,""),
_xlpm.MacVal,_xlfn.XLOOKUP($A497,Output_Mac!$A:$A,Output_Mac!J:J,""),
_xlpm.MyAuditVal,_xlfn.XLOOKUP($A497,My_Audit!$A:$A,My_Audit!H:H,""),
_xlfn.IFS(_xlpm.MyAuditVal&lt;&gt;"",UPPER(_xlpm.MyAuditVal),_xlpm.MacVal&lt;&gt;"",_xlpm.MacVal,_xlpm.CSVVal&lt;&gt;"",_xlpm.CSVVal
)),"")</f>
        <v/>
      </c>
      <c r="J497" s="45" t="str" cm="1">
        <f t="array" ref="J497">IFERROR(_xlfn.LET(
_xlpm.CSVVal,_xlfn.XLOOKUP($A497,CSV!$A:$A,CSV!J:J,""),
_xlpm.MacVal,_xlfn.XLOOKUP($A497,Output_Mac!$A:$A,Output_Mac!K:K,""),
_xlpm.MyAuditVal,_xlfn.XLOOKUP($A497,My_Audit!$A:$A,My_Audit!I:I,""),
_xlfn.IFS(_xlpm.MyAuditVal&lt;&gt;"",UPPER(_xlpm.MyAuditVal),_xlpm.MacVal&lt;&gt;"",_xlpm.MacVal,_xlpm.CSVVal&lt;&gt;"",_xlpm.CSVVal
)),"")</f>
        <v/>
      </c>
      <c r="K497" s="45" t="str" cm="1">
        <f t="array" ref="K497">IFERROR(_xlfn.LET(
_xlpm.CSVVal,_xlfn.XLOOKUP($A497,CSV!$A:$A,CSV!N:N,""),
_xlpm.MacVal,_xlfn.XLOOKUP($A497,Output_Mac!$A:$A,Output_Mac!L:L,""),
_xlpm.MyAuditVal,_xlfn.XLOOKUP($A497,My_Audit!$A:$A,My_Audit!J:J,""),
_xlfn.IFS(_xlpm.MyAuditVal&lt;&gt;"",UPPER(_xlpm.MyAuditVal),_xlpm.MacVal&lt;&gt;"",_xlpm.MacVal,_xlpm.CSVVal&lt;&gt;"",_xlpm.CSVVal
)),"")</f>
        <v/>
      </c>
      <c r="L497" s="45" t="str" cm="1">
        <f t="array" ref="L497">IFERROR(_xlfn.LET(
_xlpm.CSVVal,_xlfn.XLOOKUP($A497,CSV!$A:$A,CSV!P:P,""),
_xlpm.MacVal,_xlfn.XLOOKUP($A497,Output_Mac!$A:$A,Output_Mac!M:M,""),
_xlpm.MyAuditVal,_xlfn.XLOOKUP($A497,My_Audit!$A:$A,My_Audit!K:K,""),
_xlfn.IFS(_xlpm.MyAuditVal&lt;&gt;"",UPPER(_xlpm.MyAuditVal),_xlpm.MacVal&lt;&gt;"",_xlpm.MacVal,_xlpm.CSVVal&lt;&gt;"",_xlpm.CSVVal
)),"")</f>
        <v/>
      </c>
      <c r="M497" s="45" t="str">
        <f>_xlfn.LET(
    _xlpm.CSVVal, _xlfn.XLOOKUP($A497, CSV!$A:$A, CSV!AE:AE, ""),
    _xlpm.MacVal, _xlfn.XLOOKUP($A497, Output_Mac!$A:$A, Output_Mac!S:S, ""),
    _xlpm.MyAuditVal, _xlfn.XLOOKUP($A497, My_Audit!$A:$A, My_Audit!N:N, ""),
    _xlfn.TEXTJOIN(", ", TRUE, _xlpm.MyAuditVal, _xlpm.MacVal, _xlpm.CSVVal)
)</f>
        <v/>
      </c>
      <c r="N497" s="45" t="str" cm="1">
        <f t="array" ref="N497">IFERROR(_xlfn.LET(
_xlpm.CSVVal,_xlfn.XLOOKUP($A497,CSV!$A:$A,CSV!AG:AG,""),
_xlpm.MacVal,_xlfn.XLOOKUP($A497,Output_Mac!$A:$A,Output_Mac!U:U,""),
_xlpm.MyAuditVal,_xlfn.XLOOKUP($A497,My_Audit!$A:$A,My_Audit!O:O,""),
_xlfn.IFS(_xlpm.MyAuditVal&lt;&gt;"",UPPER(_xlpm.MyAuditVal),_xlpm.MacVal&lt;&gt;"",_xlpm.MacVal,_xlpm.CSVVal&lt;&gt;"",_xlpm.CSVVal
)),"")</f>
        <v/>
      </c>
      <c r="O497" s="45"/>
      <c r="P497" s="45"/>
      <c r="Q497" s="46" t="str">
        <f>IF(LEFT(N497,4)="Pass","Nist SP 800-88",My_Audit!R497)&amp;""</f>
        <v/>
      </c>
      <c r="R497" s="45"/>
      <c r="S497" s="45"/>
      <c r="T497" s="46" t="str">
        <f>_xlfn.XLOOKUP(E497,Models!I:I,Models!J:J,"")</f>
        <v/>
      </c>
      <c r="U497" s="45"/>
      <c r="V497" s="45"/>
      <c r="W497" s="38"/>
    </row>
    <row r="498" spans="1:23">
      <c r="A498" s="45" t="str">
        <f>_xlfn.TEXTJOIN("",TRUE,Input!$B$2,ROW(My_Audit!A497))</f>
        <v>XX497</v>
      </c>
      <c r="B498" s="45" t="str">
        <f>_xlfn.TEXTJOIN("-",TRUE,"ITD",Input!$A$2,A498)</f>
        <v>ITD-SHRXXX-XX497</v>
      </c>
      <c r="C498" s="45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46" t="str" cm="1">
        <f t="array" ref="D498">IFERROR(_xlfn.LET(
_xlpm.CSVVal,_xlfn.XLOOKUP($A498,CSV!$A:$A,CSV!C:C,""),
_xlpm.MacVal,_xlfn.XLOOKUP($A498,Output_Mac!$A:$A,Output_Mac!D:D,""),
_xlpm.MyAuditVal,_xlfn.XLOOKUP($A498,My_Audit!$A:$A,My_Audit!C:C,""),
_xlfn.IFS(_xlpm.MyAuditVal&lt;&gt;"",UPPER(_xlpm.MyAuditVal),_xlpm.MacVal&lt;&gt;"",_xlpm.MacVal,_xlpm.CSVVal&lt;&gt;"",_xlpm.CSVVal
)),"")</f>
        <v/>
      </c>
      <c r="E498" s="46" t="str" cm="1">
        <f t="array" ref="E498">IFERROR(_xlfn.LET(
_xlpm.CSVVal,_xlfn.XLOOKUP($A498,CSV!$A:$A,CSV!E:E,""),
_xlpm.MacVal,_xlfn.XLOOKUP($A498,Output_Mac!$A:$A,Output_Mac!C:C,""),
_xlpm.MyAuditVal,_xlfn.XLOOKUP($A498,My_Audit!$A:$A,My_Audit!D:D,""),
_xlfn.IFS(_xlpm.MyAuditVal&lt;&gt;"",_xlpm.MyAuditVal,_xlpm.MacVal&lt;&gt;"",_xlpm.MacVal,_xlpm.CSVVal&lt;&gt;"",_xlpm.CSVVal
)),"")</f>
        <v/>
      </c>
      <c r="F498" s="45" t="str" cm="1">
        <f t="array" ref="F498">IFERROR(_xlfn.LET(
_xlpm.CSVVal,_xlfn.XLOOKUP($A498,CSV!$A:$A,CSV!F:F,""),
_xlpm.MacVal,_xlfn.XLOOKUP($A498,Output_Mac!$A:$A,Output_Mac!F:F,""),
_xlpm.MyAuditVal,_xlfn.XLOOKUP($A498,My_Audit!$A:$A,My_Audit!E:E,""),
_xlfn.IFS(_xlpm.MyAuditVal&lt;&gt;"",_xlpm.MyAuditVal,_xlpm.MacVal&lt;&gt;"",_xlpm.MacVal,_xlpm.CSVVal&lt;&gt;"",PROPER(_xlpm.CSVVal)
)),"")</f>
        <v/>
      </c>
      <c r="G498" s="45" t="str" cm="1">
        <f t="array" ref="G498">IFERROR(_xlfn.LET(
_xlpm.CSVVal,_xlfn.XLOOKUP($A498,CSV!$A:$A,CSV!G:G,""),
_xlpm.MacVal,_xlfn.XLOOKUP($A498,Output_Mac!$A:$A,Output_Mac!H:H,""),
_xlpm.MyAuditVal,_xlfn.XLOOKUP($A498,My_Audit!$A:$A,My_Audit!F:F,""),
_xlfn.IFS(_xlpm.MyAuditVal&lt;&gt;"",_xlpm.MyAuditVal,_xlpm.MacVal&lt;&gt;"",_xlpm.MacVal,_xlpm.CSVVal&lt;&gt;"",_xlpm.CSVVal
)),"")</f>
        <v/>
      </c>
      <c r="H498" s="45" t="str">
        <f>_xlfn.XLOOKUP(A498,Output_Mac!A:A,Output_Mac!I:I,"")</f>
        <v/>
      </c>
      <c r="I498" s="45" t="str" cm="1">
        <f t="array" ref="I498">IFERROR(_xlfn.LET(
_xlpm.CSVVal,_xlfn.XLOOKUP($A498,CSV!$A:$A,CSV!H:H,""),
_xlpm.MacVal,_xlfn.XLOOKUP($A498,Output_Mac!$A:$A,Output_Mac!J:J,""),
_xlpm.MyAuditVal,_xlfn.XLOOKUP($A498,My_Audit!$A:$A,My_Audit!H:H,""),
_xlfn.IFS(_xlpm.MyAuditVal&lt;&gt;"",UPPER(_xlpm.MyAuditVal),_xlpm.MacVal&lt;&gt;"",_xlpm.MacVal,_xlpm.CSVVal&lt;&gt;"",_xlpm.CSVVal
)),"")</f>
        <v/>
      </c>
      <c r="J498" s="45" t="str" cm="1">
        <f t="array" ref="J498">IFERROR(_xlfn.LET(
_xlpm.CSVVal,_xlfn.XLOOKUP($A498,CSV!$A:$A,CSV!J:J,""),
_xlpm.MacVal,_xlfn.XLOOKUP($A498,Output_Mac!$A:$A,Output_Mac!K:K,""),
_xlpm.MyAuditVal,_xlfn.XLOOKUP($A498,My_Audit!$A:$A,My_Audit!I:I,""),
_xlfn.IFS(_xlpm.MyAuditVal&lt;&gt;"",UPPER(_xlpm.MyAuditVal),_xlpm.MacVal&lt;&gt;"",_xlpm.MacVal,_xlpm.CSVVal&lt;&gt;"",_xlpm.CSVVal
)),"")</f>
        <v/>
      </c>
      <c r="K498" s="45" t="str" cm="1">
        <f t="array" ref="K498">IFERROR(_xlfn.LET(
_xlpm.CSVVal,_xlfn.XLOOKUP($A498,CSV!$A:$A,CSV!N:N,""),
_xlpm.MacVal,_xlfn.XLOOKUP($A498,Output_Mac!$A:$A,Output_Mac!L:L,""),
_xlpm.MyAuditVal,_xlfn.XLOOKUP($A498,My_Audit!$A:$A,My_Audit!J:J,""),
_xlfn.IFS(_xlpm.MyAuditVal&lt;&gt;"",UPPER(_xlpm.MyAuditVal),_xlpm.MacVal&lt;&gt;"",_xlpm.MacVal,_xlpm.CSVVal&lt;&gt;"",_xlpm.CSVVal
)),"")</f>
        <v/>
      </c>
      <c r="L498" s="45" t="str" cm="1">
        <f t="array" ref="L498">IFERROR(_xlfn.LET(
_xlpm.CSVVal,_xlfn.XLOOKUP($A498,CSV!$A:$A,CSV!P:P,""),
_xlpm.MacVal,_xlfn.XLOOKUP($A498,Output_Mac!$A:$A,Output_Mac!M:M,""),
_xlpm.MyAuditVal,_xlfn.XLOOKUP($A498,My_Audit!$A:$A,My_Audit!K:K,""),
_xlfn.IFS(_xlpm.MyAuditVal&lt;&gt;"",UPPER(_xlpm.MyAuditVal),_xlpm.MacVal&lt;&gt;"",_xlpm.MacVal,_xlpm.CSVVal&lt;&gt;"",_xlpm.CSVVal
)),"")</f>
        <v/>
      </c>
      <c r="M498" s="45" t="str">
        <f>_xlfn.LET(
    _xlpm.CSVVal, _xlfn.XLOOKUP($A498, CSV!$A:$A, CSV!AE:AE, ""),
    _xlpm.MacVal, _xlfn.XLOOKUP($A498, Output_Mac!$A:$A, Output_Mac!S:S, ""),
    _xlpm.MyAuditVal, _xlfn.XLOOKUP($A498, My_Audit!$A:$A, My_Audit!N:N, ""),
    _xlfn.TEXTJOIN(", ", TRUE, _xlpm.MyAuditVal, _xlpm.MacVal, _xlpm.CSVVal)
)</f>
        <v/>
      </c>
      <c r="N498" s="45" t="str" cm="1">
        <f t="array" ref="N498">IFERROR(_xlfn.LET(
_xlpm.CSVVal,_xlfn.XLOOKUP($A498,CSV!$A:$A,CSV!AG:AG,""),
_xlpm.MacVal,_xlfn.XLOOKUP($A498,Output_Mac!$A:$A,Output_Mac!U:U,""),
_xlpm.MyAuditVal,_xlfn.XLOOKUP($A498,My_Audit!$A:$A,My_Audit!O:O,""),
_xlfn.IFS(_xlpm.MyAuditVal&lt;&gt;"",UPPER(_xlpm.MyAuditVal),_xlpm.MacVal&lt;&gt;"",_xlpm.MacVal,_xlpm.CSVVal&lt;&gt;"",_xlpm.CSVVal
)),"")</f>
        <v/>
      </c>
      <c r="O498" s="45"/>
      <c r="P498" s="45"/>
      <c r="Q498" s="46" t="str">
        <f>IF(LEFT(N498,4)="Pass","Nist SP 800-88",My_Audit!R498)&amp;""</f>
        <v/>
      </c>
      <c r="R498" s="45"/>
      <c r="S498" s="45"/>
      <c r="T498" s="46" t="str">
        <f>_xlfn.XLOOKUP(E498,Models!I:I,Models!J:J,"")</f>
        <v/>
      </c>
      <c r="U498" s="45"/>
      <c r="V498" s="45"/>
      <c r="W498" s="38"/>
    </row>
    <row r="499" spans="1:23">
      <c r="A499" s="45" t="str">
        <f>_xlfn.TEXTJOIN("",TRUE,Input!$B$2,ROW(My_Audit!A498))</f>
        <v>XX498</v>
      </c>
      <c r="B499" s="45" t="str">
        <f>_xlfn.TEXTJOIN("-",TRUE,"ITD",Input!$A$2,A499)</f>
        <v>ITD-SHRXXX-XX498</v>
      </c>
      <c r="C499" s="45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46" t="str" cm="1">
        <f t="array" ref="D499">IFERROR(_xlfn.LET(
_xlpm.CSVVal,_xlfn.XLOOKUP($A499,CSV!$A:$A,CSV!C:C,""),
_xlpm.MacVal,_xlfn.XLOOKUP($A499,Output_Mac!$A:$A,Output_Mac!D:D,""),
_xlpm.MyAuditVal,_xlfn.XLOOKUP($A499,My_Audit!$A:$A,My_Audit!C:C,""),
_xlfn.IFS(_xlpm.MyAuditVal&lt;&gt;"",UPPER(_xlpm.MyAuditVal),_xlpm.MacVal&lt;&gt;"",_xlpm.MacVal,_xlpm.CSVVal&lt;&gt;"",_xlpm.CSVVal
)),"")</f>
        <v/>
      </c>
      <c r="E499" s="46" t="str" cm="1">
        <f t="array" ref="E499">IFERROR(_xlfn.LET(
_xlpm.CSVVal,_xlfn.XLOOKUP($A499,CSV!$A:$A,CSV!E:E,""),
_xlpm.MacVal,_xlfn.XLOOKUP($A499,Output_Mac!$A:$A,Output_Mac!C:C,""),
_xlpm.MyAuditVal,_xlfn.XLOOKUP($A499,My_Audit!$A:$A,My_Audit!D:D,""),
_xlfn.IFS(_xlpm.MyAuditVal&lt;&gt;"",_xlpm.MyAuditVal,_xlpm.MacVal&lt;&gt;"",_xlpm.MacVal,_xlpm.CSVVal&lt;&gt;"",_xlpm.CSVVal
)),"")</f>
        <v/>
      </c>
      <c r="F499" s="45" t="str" cm="1">
        <f t="array" ref="F499">IFERROR(_xlfn.LET(
_xlpm.CSVVal,_xlfn.XLOOKUP($A499,CSV!$A:$A,CSV!F:F,""),
_xlpm.MacVal,_xlfn.XLOOKUP($A499,Output_Mac!$A:$A,Output_Mac!F:F,""),
_xlpm.MyAuditVal,_xlfn.XLOOKUP($A499,My_Audit!$A:$A,My_Audit!E:E,""),
_xlfn.IFS(_xlpm.MyAuditVal&lt;&gt;"",_xlpm.MyAuditVal,_xlpm.MacVal&lt;&gt;"",_xlpm.MacVal,_xlpm.CSVVal&lt;&gt;"",PROPER(_xlpm.CSVVal)
)),"")</f>
        <v/>
      </c>
      <c r="G499" s="45" t="str" cm="1">
        <f t="array" ref="G499">IFERROR(_xlfn.LET(
_xlpm.CSVVal,_xlfn.XLOOKUP($A499,CSV!$A:$A,CSV!G:G,""),
_xlpm.MacVal,_xlfn.XLOOKUP($A499,Output_Mac!$A:$A,Output_Mac!H:H,""),
_xlpm.MyAuditVal,_xlfn.XLOOKUP($A499,My_Audit!$A:$A,My_Audit!F:F,""),
_xlfn.IFS(_xlpm.MyAuditVal&lt;&gt;"",_xlpm.MyAuditVal,_xlpm.MacVal&lt;&gt;"",_xlpm.MacVal,_xlpm.CSVVal&lt;&gt;"",_xlpm.CSVVal
)),"")</f>
        <v/>
      </c>
      <c r="H499" s="45" t="str">
        <f>_xlfn.XLOOKUP(A499,Output_Mac!A:A,Output_Mac!I:I,"")</f>
        <v/>
      </c>
      <c r="I499" s="45" t="str" cm="1">
        <f t="array" ref="I499">IFERROR(_xlfn.LET(
_xlpm.CSVVal,_xlfn.XLOOKUP($A499,CSV!$A:$A,CSV!H:H,""),
_xlpm.MacVal,_xlfn.XLOOKUP($A499,Output_Mac!$A:$A,Output_Mac!J:J,""),
_xlpm.MyAuditVal,_xlfn.XLOOKUP($A499,My_Audit!$A:$A,My_Audit!H:H,""),
_xlfn.IFS(_xlpm.MyAuditVal&lt;&gt;"",UPPER(_xlpm.MyAuditVal),_xlpm.MacVal&lt;&gt;"",_xlpm.MacVal,_xlpm.CSVVal&lt;&gt;"",_xlpm.CSVVal
)),"")</f>
        <v/>
      </c>
      <c r="J499" s="45" t="str" cm="1">
        <f t="array" ref="J499">IFERROR(_xlfn.LET(
_xlpm.CSVVal,_xlfn.XLOOKUP($A499,CSV!$A:$A,CSV!J:J,""),
_xlpm.MacVal,_xlfn.XLOOKUP($A499,Output_Mac!$A:$A,Output_Mac!K:K,""),
_xlpm.MyAuditVal,_xlfn.XLOOKUP($A499,My_Audit!$A:$A,My_Audit!I:I,""),
_xlfn.IFS(_xlpm.MyAuditVal&lt;&gt;"",UPPER(_xlpm.MyAuditVal),_xlpm.MacVal&lt;&gt;"",_xlpm.MacVal,_xlpm.CSVVal&lt;&gt;"",_xlpm.CSVVal
)),"")</f>
        <v/>
      </c>
      <c r="K499" s="45" t="str" cm="1">
        <f t="array" ref="K499">IFERROR(_xlfn.LET(
_xlpm.CSVVal,_xlfn.XLOOKUP($A499,CSV!$A:$A,CSV!N:N,""),
_xlpm.MacVal,_xlfn.XLOOKUP($A499,Output_Mac!$A:$A,Output_Mac!L:L,""),
_xlpm.MyAuditVal,_xlfn.XLOOKUP($A499,My_Audit!$A:$A,My_Audit!J:J,""),
_xlfn.IFS(_xlpm.MyAuditVal&lt;&gt;"",UPPER(_xlpm.MyAuditVal),_xlpm.MacVal&lt;&gt;"",_xlpm.MacVal,_xlpm.CSVVal&lt;&gt;"",_xlpm.CSVVal
)),"")</f>
        <v/>
      </c>
      <c r="L499" s="45" t="str" cm="1">
        <f t="array" ref="L499">IFERROR(_xlfn.LET(
_xlpm.CSVVal,_xlfn.XLOOKUP($A499,CSV!$A:$A,CSV!P:P,""),
_xlpm.MacVal,_xlfn.XLOOKUP($A499,Output_Mac!$A:$A,Output_Mac!M:M,""),
_xlpm.MyAuditVal,_xlfn.XLOOKUP($A499,My_Audit!$A:$A,My_Audit!K:K,""),
_xlfn.IFS(_xlpm.MyAuditVal&lt;&gt;"",UPPER(_xlpm.MyAuditVal),_xlpm.MacVal&lt;&gt;"",_xlpm.MacVal,_xlpm.CSVVal&lt;&gt;"",_xlpm.CSVVal
)),"")</f>
        <v/>
      </c>
      <c r="M499" s="45" t="str">
        <f>_xlfn.LET(
    _xlpm.CSVVal, _xlfn.XLOOKUP($A499, CSV!$A:$A, CSV!AE:AE, ""),
    _xlpm.MacVal, _xlfn.XLOOKUP($A499, Output_Mac!$A:$A, Output_Mac!S:S, ""),
    _xlpm.MyAuditVal, _xlfn.XLOOKUP($A499, My_Audit!$A:$A, My_Audit!N:N, ""),
    _xlfn.TEXTJOIN(", ", TRUE, _xlpm.MyAuditVal, _xlpm.MacVal, _xlpm.CSVVal)
)</f>
        <v/>
      </c>
      <c r="N499" s="45" t="str" cm="1">
        <f t="array" ref="N499">IFERROR(_xlfn.LET(
_xlpm.CSVVal,_xlfn.XLOOKUP($A499,CSV!$A:$A,CSV!AG:AG,""),
_xlpm.MacVal,_xlfn.XLOOKUP($A499,Output_Mac!$A:$A,Output_Mac!U:U,""),
_xlpm.MyAuditVal,_xlfn.XLOOKUP($A499,My_Audit!$A:$A,My_Audit!O:O,""),
_xlfn.IFS(_xlpm.MyAuditVal&lt;&gt;"",UPPER(_xlpm.MyAuditVal),_xlpm.MacVal&lt;&gt;"",_xlpm.MacVal,_xlpm.CSVVal&lt;&gt;"",_xlpm.CSVVal
)),"")</f>
        <v/>
      </c>
      <c r="O499" s="45"/>
      <c r="P499" s="45"/>
      <c r="Q499" s="46" t="str">
        <f>IF(LEFT(N499,4)="Pass","Nist SP 800-88",My_Audit!R499)&amp;""</f>
        <v/>
      </c>
      <c r="R499" s="45"/>
      <c r="S499" s="45"/>
      <c r="T499" s="46" t="str">
        <f>_xlfn.XLOOKUP(E499,Models!I:I,Models!J:J,"")</f>
        <v/>
      </c>
      <c r="U499" s="45"/>
      <c r="V499" s="45"/>
      <c r="W499" s="38"/>
    </row>
    <row r="500" spans="1:23">
      <c r="A500" s="45" t="str">
        <f>_xlfn.TEXTJOIN("",TRUE,Input!$B$2,ROW(My_Audit!A499))</f>
        <v>XX499</v>
      </c>
      <c r="B500" s="45" t="str">
        <f>_xlfn.TEXTJOIN("-",TRUE,"ITD",Input!$A$2,A500)</f>
        <v>ITD-SHRXXX-XX499</v>
      </c>
      <c r="C500" s="45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46" t="str" cm="1">
        <f t="array" ref="D500">IFERROR(_xlfn.LET(
_xlpm.CSVVal,_xlfn.XLOOKUP($A500,CSV!$A:$A,CSV!C:C,""),
_xlpm.MacVal,_xlfn.XLOOKUP($A500,Output_Mac!$A:$A,Output_Mac!D:D,""),
_xlpm.MyAuditVal,_xlfn.XLOOKUP($A500,My_Audit!$A:$A,My_Audit!C:C,""),
_xlfn.IFS(_xlpm.MyAuditVal&lt;&gt;"",UPPER(_xlpm.MyAuditVal),_xlpm.MacVal&lt;&gt;"",_xlpm.MacVal,_xlpm.CSVVal&lt;&gt;"",_xlpm.CSVVal
)),"")</f>
        <v/>
      </c>
      <c r="E500" s="46" t="str" cm="1">
        <f t="array" ref="E500">IFERROR(_xlfn.LET(
_xlpm.CSVVal,_xlfn.XLOOKUP($A500,CSV!$A:$A,CSV!E:E,""),
_xlpm.MacVal,_xlfn.XLOOKUP($A500,Output_Mac!$A:$A,Output_Mac!C:C,""),
_xlpm.MyAuditVal,_xlfn.XLOOKUP($A500,My_Audit!$A:$A,My_Audit!D:D,""),
_xlfn.IFS(_xlpm.MyAuditVal&lt;&gt;"",_xlpm.MyAuditVal,_xlpm.MacVal&lt;&gt;"",_xlpm.MacVal,_xlpm.CSVVal&lt;&gt;"",_xlpm.CSVVal
)),"")</f>
        <v/>
      </c>
      <c r="F500" s="45" t="str" cm="1">
        <f t="array" ref="F500">IFERROR(_xlfn.LET(
_xlpm.CSVVal,_xlfn.XLOOKUP($A500,CSV!$A:$A,CSV!F:F,""),
_xlpm.MacVal,_xlfn.XLOOKUP($A500,Output_Mac!$A:$A,Output_Mac!F:F,""),
_xlpm.MyAuditVal,_xlfn.XLOOKUP($A500,My_Audit!$A:$A,My_Audit!E:E,""),
_xlfn.IFS(_xlpm.MyAuditVal&lt;&gt;"",_xlpm.MyAuditVal,_xlpm.MacVal&lt;&gt;"",_xlpm.MacVal,_xlpm.CSVVal&lt;&gt;"",PROPER(_xlpm.CSVVal)
)),"")</f>
        <v/>
      </c>
      <c r="G500" s="45" t="str" cm="1">
        <f t="array" ref="G500">IFERROR(_xlfn.LET(
_xlpm.CSVVal,_xlfn.XLOOKUP($A500,CSV!$A:$A,CSV!G:G,""),
_xlpm.MacVal,_xlfn.XLOOKUP($A500,Output_Mac!$A:$A,Output_Mac!H:H,""),
_xlpm.MyAuditVal,_xlfn.XLOOKUP($A500,My_Audit!$A:$A,My_Audit!F:F,""),
_xlfn.IFS(_xlpm.MyAuditVal&lt;&gt;"",_xlpm.MyAuditVal,_xlpm.MacVal&lt;&gt;"",_xlpm.MacVal,_xlpm.CSVVal&lt;&gt;"",_xlpm.CSVVal
)),"")</f>
        <v/>
      </c>
      <c r="H500" s="45" t="str">
        <f>_xlfn.XLOOKUP(A500,Output_Mac!A:A,Output_Mac!I:I,"")</f>
        <v/>
      </c>
      <c r="I500" s="45" t="str" cm="1">
        <f t="array" ref="I500">IFERROR(_xlfn.LET(
_xlpm.CSVVal,_xlfn.XLOOKUP($A500,CSV!$A:$A,CSV!H:H,""),
_xlpm.MacVal,_xlfn.XLOOKUP($A500,Output_Mac!$A:$A,Output_Mac!J:J,""),
_xlpm.MyAuditVal,_xlfn.XLOOKUP($A500,My_Audit!$A:$A,My_Audit!H:H,""),
_xlfn.IFS(_xlpm.MyAuditVal&lt;&gt;"",UPPER(_xlpm.MyAuditVal),_xlpm.MacVal&lt;&gt;"",_xlpm.MacVal,_xlpm.CSVVal&lt;&gt;"",_xlpm.CSVVal
)),"")</f>
        <v/>
      </c>
      <c r="J500" s="45" t="str" cm="1">
        <f t="array" ref="J500">IFERROR(_xlfn.LET(
_xlpm.CSVVal,_xlfn.XLOOKUP($A500,CSV!$A:$A,CSV!J:J,""),
_xlpm.MacVal,_xlfn.XLOOKUP($A500,Output_Mac!$A:$A,Output_Mac!K:K,""),
_xlpm.MyAuditVal,_xlfn.XLOOKUP($A500,My_Audit!$A:$A,My_Audit!I:I,""),
_xlfn.IFS(_xlpm.MyAuditVal&lt;&gt;"",UPPER(_xlpm.MyAuditVal),_xlpm.MacVal&lt;&gt;"",_xlpm.MacVal,_xlpm.CSVVal&lt;&gt;"",_xlpm.CSVVal
)),"")</f>
        <v/>
      </c>
      <c r="K500" s="45" t="str" cm="1">
        <f t="array" ref="K500">IFERROR(_xlfn.LET(
_xlpm.CSVVal,_xlfn.XLOOKUP($A500,CSV!$A:$A,CSV!N:N,""),
_xlpm.MacVal,_xlfn.XLOOKUP($A500,Output_Mac!$A:$A,Output_Mac!L:L,""),
_xlpm.MyAuditVal,_xlfn.XLOOKUP($A500,My_Audit!$A:$A,My_Audit!J:J,""),
_xlfn.IFS(_xlpm.MyAuditVal&lt;&gt;"",UPPER(_xlpm.MyAuditVal),_xlpm.MacVal&lt;&gt;"",_xlpm.MacVal,_xlpm.CSVVal&lt;&gt;"",_xlpm.CSVVal
)),"")</f>
        <v/>
      </c>
      <c r="L500" s="45" t="str" cm="1">
        <f t="array" ref="L500">IFERROR(_xlfn.LET(
_xlpm.CSVVal,_xlfn.XLOOKUP($A500,CSV!$A:$A,CSV!P:P,""),
_xlpm.MacVal,_xlfn.XLOOKUP($A500,Output_Mac!$A:$A,Output_Mac!M:M,""),
_xlpm.MyAuditVal,_xlfn.XLOOKUP($A500,My_Audit!$A:$A,My_Audit!K:K,""),
_xlfn.IFS(_xlpm.MyAuditVal&lt;&gt;"",UPPER(_xlpm.MyAuditVal),_xlpm.MacVal&lt;&gt;"",_xlpm.MacVal,_xlpm.CSVVal&lt;&gt;"",_xlpm.CSVVal
)),"")</f>
        <v/>
      </c>
      <c r="M500" s="45" t="str">
        <f>_xlfn.LET(
    _xlpm.CSVVal, _xlfn.XLOOKUP($A500, CSV!$A:$A, CSV!AE:AE, ""),
    _xlpm.MacVal, _xlfn.XLOOKUP($A500, Output_Mac!$A:$A, Output_Mac!S:S, ""),
    _xlpm.MyAuditVal, _xlfn.XLOOKUP($A500, My_Audit!$A:$A, My_Audit!N:N, ""),
    _xlfn.TEXTJOIN(", ", TRUE, _xlpm.MyAuditVal, _xlpm.MacVal, _xlpm.CSVVal)
)</f>
        <v/>
      </c>
      <c r="N500" s="45" t="str" cm="1">
        <f t="array" ref="N500">IFERROR(_xlfn.LET(
_xlpm.CSVVal,_xlfn.XLOOKUP($A500,CSV!$A:$A,CSV!AG:AG,""),
_xlpm.MacVal,_xlfn.XLOOKUP($A500,Output_Mac!$A:$A,Output_Mac!U:U,""),
_xlpm.MyAuditVal,_xlfn.XLOOKUP($A500,My_Audit!$A:$A,My_Audit!O:O,""),
_xlfn.IFS(_xlpm.MyAuditVal&lt;&gt;"",UPPER(_xlpm.MyAuditVal),_xlpm.MacVal&lt;&gt;"",_xlpm.MacVal,_xlpm.CSVVal&lt;&gt;"",_xlpm.CSVVal
)),"")</f>
        <v/>
      </c>
      <c r="O500" s="45"/>
      <c r="P500" s="45"/>
      <c r="Q500" s="46" t="str">
        <f>IF(LEFT(N500,4)="Pass","Nist SP 800-88",My_Audit!R500)&amp;""</f>
        <v/>
      </c>
      <c r="R500" s="45"/>
      <c r="S500" s="45"/>
      <c r="T500" s="46" t="str">
        <f>_xlfn.XLOOKUP(E500,Models!I:I,Models!J:J,"")</f>
        <v/>
      </c>
      <c r="U500" s="45"/>
      <c r="V500" s="45"/>
      <c r="W500" s="38"/>
    </row>
    <row r="501" spans="1:23">
      <c r="A501" s="45" t="str">
        <f>_xlfn.TEXTJOIN("",TRUE,Input!$B$2,ROW(My_Audit!A500))</f>
        <v>XX500</v>
      </c>
      <c r="B501" s="45" t="str">
        <f>_xlfn.TEXTJOIN("-",TRUE,"ITD",Input!$A$2,A501)</f>
        <v>ITD-SHRXXX-XX500</v>
      </c>
      <c r="C501" s="45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46" t="str" cm="1">
        <f t="array" ref="D501">IFERROR(_xlfn.LET(
_xlpm.CSVVal,_xlfn.XLOOKUP($A501,CSV!$A:$A,CSV!C:C,""),
_xlpm.MacVal,_xlfn.XLOOKUP($A501,Output_Mac!$A:$A,Output_Mac!D:D,""),
_xlpm.MyAuditVal,_xlfn.XLOOKUP($A501,My_Audit!$A:$A,My_Audit!C:C,""),
_xlfn.IFS(_xlpm.MyAuditVal&lt;&gt;"",UPPER(_xlpm.MyAuditVal),_xlpm.MacVal&lt;&gt;"",_xlpm.MacVal,_xlpm.CSVVal&lt;&gt;"",_xlpm.CSVVal
)),"")</f>
        <v/>
      </c>
      <c r="E501" s="46" t="str" cm="1">
        <f t="array" ref="E501">IFERROR(_xlfn.LET(
_xlpm.CSVVal,_xlfn.XLOOKUP($A501,CSV!$A:$A,CSV!E:E,""),
_xlpm.MacVal,_xlfn.XLOOKUP($A501,Output_Mac!$A:$A,Output_Mac!C:C,""),
_xlpm.MyAuditVal,_xlfn.XLOOKUP($A501,My_Audit!$A:$A,My_Audit!D:D,""),
_xlfn.IFS(_xlpm.MyAuditVal&lt;&gt;"",_xlpm.MyAuditVal,_xlpm.MacVal&lt;&gt;"",_xlpm.MacVal,_xlpm.CSVVal&lt;&gt;"",_xlpm.CSVVal
)),"")</f>
        <v/>
      </c>
      <c r="F501" s="45" t="str" cm="1">
        <f t="array" ref="F501">IFERROR(_xlfn.LET(
_xlpm.CSVVal,_xlfn.XLOOKUP($A501,CSV!$A:$A,CSV!F:F,""),
_xlpm.MacVal,_xlfn.XLOOKUP($A501,Output_Mac!$A:$A,Output_Mac!F:F,""),
_xlpm.MyAuditVal,_xlfn.XLOOKUP($A501,My_Audit!$A:$A,My_Audit!E:E,""),
_xlfn.IFS(_xlpm.MyAuditVal&lt;&gt;"",_xlpm.MyAuditVal,_xlpm.MacVal&lt;&gt;"",_xlpm.MacVal,_xlpm.CSVVal&lt;&gt;"",PROPER(_xlpm.CSVVal)
)),"")</f>
        <v/>
      </c>
      <c r="G501" s="45" t="str" cm="1">
        <f t="array" ref="G501">IFERROR(_xlfn.LET(
_xlpm.CSVVal,_xlfn.XLOOKUP($A501,CSV!$A:$A,CSV!G:G,""),
_xlpm.MacVal,_xlfn.XLOOKUP($A501,Output_Mac!$A:$A,Output_Mac!H:H,""),
_xlpm.MyAuditVal,_xlfn.XLOOKUP($A501,My_Audit!$A:$A,My_Audit!F:F,""),
_xlfn.IFS(_xlpm.MyAuditVal&lt;&gt;"",_xlpm.MyAuditVal,_xlpm.MacVal&lt;&gt;"",_xlpm.MacVal,_xlpm.CSVVal&lt;&gt;"",_xlpm.CSVVal
)),"")</f>
        <v/>
      </c>
      <c r="H501" s="45" t="str">
        <f>_xlfn.XLOOKUP(A501,Output_Mac!A:A,Output_Mac!I:I,"")</f>
        <v/>
      </c>
      <c r="I501" s="45" t="str" cm="1">
        <f t="array" ref="I501">IFERROR(_xlfn.LET(
_xlpm.CSVVal,_xlfn.XLOOKUP($A501,CSV!$A:$A,CSV!H:H,""),
_xlpm.MacVal,_xlfn.XLOOKUP($A501,Output_Mac!$A:$A,Output_Mac!J:J,""),
_xlpm.MyAuditVal,_xlfn.XLOOKUP($A501,My_Audit!$A:$A,My_Audit!H:H,""),
_xlfn.IFS(_xlpm.MyAuditVal&lt;&gt;"",UPPER(_xlpm.MyAuditVal),_xlpm.MacVal&lt;&gt;"",_xlpm.MacVal,_xlpm.CSVVal&lt;&gt;"",_xlpm.CSVVal
)),"")</f>
        <v/>
      </c>
      <c r="J501" s="45" t="str" cm="1">
        <f t="array" ref="J501">IFERROR(_xlfn.LET(
_xlpm.CSVVal,_xlfn.XLOOKUP($A501,CSV!$A:$A,CSV!J:J,""),
_xlpm.MacVal,_xlfn.XLOOKUP($A501,Output_Mac!$A:$A,Output_Mac!K:K,""),
_xlpm.MyAuditVal,_xlfn.XLOOKUP($A501,My_Audit!$A:$A,My_Audit!I:I,""),
_xlfn.IFS(_xlpm.MyAuditVal&lt;&gt;"",UPPER(_xlpm.MyAuditVal),_xlpm.MacVal&lt;&gt;"",_xlpm.MacVal,_xlpm.CSVVal&lt;&gt;"",_xlpm.CSVVal
)),"")</f>
        <v/>
      </c>
      <c r="K501" s="45" t="str" cm="1">
        <f t="array" ref="K501">IFERROR(_xlfn.LET(
_xlpm.CSVVal,_xlfn.XLOOKUP($A501,CSV!$A:$A,CSV!N:N,""),
_xlpm.MacVal,_xlfn.XLOOKUP($A501,Output_Mac!$A:$A,Output_Mac!L:L,""),
_xlpm.MyAuditVal,_xlfn.XLOOKUP($A501,My_Audit!$A:$A,My_Audit!J:J,""),
_xlfn.IFS(_xlpm.MyAuditVal&lt;&gt;"",UPPER(_xlpm.MyAuditVal),_xlpm.MacVal&lt;&gt;"",_xlpm.MacVal,_xlpm.CSVVal&lt;&gt;"",_xlpm.CSVVal
)),"")</f>
        <v/>
      </c>
      <c r="L501" s="45" t="str" cm="1">
        <f t="array" ref="L501">IFERROR(_xlfn.LET(
_xlpm.CSVVal,_xlfn.XLOOKUP($A501,CSV!$A:$A,CSV!P:P,""),
_xlpm.MacVal,_xlfn.XLOOKUP($A501,Output_Mac!$A:$A,Output_Mac!M:M,""),
_xlpm.MyAuditVal,_xlfn.XLOOKUP($A501,My_Audit!$A:$A,My_Audit!K:K,""),
_xlfn.IFS(_xlpm.MyAuditVal&lt;&gt;"",UPPER(_xlpm.MyAuditVal),_xlpm.MacVal&lt;&gt;"",_xlpm.MacVal,_xlpm.CSVVal&lt;&gt;"",_xlpm.CSVVal
)),"")</f>
        <v/>
      </c>
      <c r="M501" s="45" t="str">
        <f>_xlfn.LET(
    _xlpm.CSVVal, _xlfn.XLOOKUP($A501, CSV!$A:$A, CSV!AE:AE, ""),
    _xlpm.MacVal, _xlfn.XLOOKUP($A501, Output_Mac!$A:$A, Output_Mac!S:S, ""),
    _xlpm.MyAuditVal, _xlfn.XLOOKUP($A501, My_Audit!$A:$A, My_Audit!N:N, ""),
    _xlfn.TEXTJOIN(", ", TRUE, _xlpm.MyAuditVal, _xlpm.MacVal, _xlpm.CSVVal)
)</f>
        <v/>
      </c>
      <c r="N501" s="45" t="str" cm="1">
        <f t="array" ref="N501">IFERROR(_xlfn.LET(
_xlpm.CSVVal,_xlfn.XLOOKUP($A501,CSV!$A:$A,CSV!AG:AG,""),
_xlpm.MacVal,_xlfn.XLOOKUP($A501,Output_Mac!$A:$A,Output_Mac!U:U,""),
_xlpm.MyAuditVal,_xlfn.XLOOKUP($A501,My_Audit!$A:$A,My_Audit!O:O,""),
_xlfn.IFS(_xlpm.MyAuditVal&lt;&gt;"",UPPER(_xlpm.MyAuditVal),_xlpm.MacVal&lt;&gt;"",_xlpm.MacVal,_xlpm.CSVVal&lt;&gt;"",_xlpm.CSVVal
)),"")</f>
        <v/>
      </c>
      <c r="O501" s="45"/>
      <c r="P501" s="45"/>
      <c r="Q501" s="46" t="str">
        <f>IF(LEFT(N501,4)="Pass","Nist SP 800-88",My_Audit!R501)&amp;""</f>
        <v/>
      </c>
      <c r="R501" s="45"/>
      <c r="S501" s="45"/>
      <c r="T501" s="46" t="str">
        <f>_xlfn.XLOOKUP(E501,Models!I:I,Models!J:J,"")</f>
        <v/>
      </c>
      <c r="U501" s="45"/>
      <c r="V501" s="45"/>
      <c r="W501" s="38"/>
    </row>
    <row r="502" spans="1:23">
      <c r="A502" s="45" t="str">
        <f>_xlfn.TEXTJOIN("",TRUE,Input!$B$2,ROW(My_Audit!A501))</f>
        <v>XX501</v>
      </c>
      <c r="B502" s="45" t="str">
        <f>_xlfn.TEXTJOIN("-",TRUE,"ITD",Input!$A$2,A502)</f>
        <v>ITD-SHRXXX-XX501</v>
      </c>
      <c r="C502" s="45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46" t="str" cm="1">
        <f t="array" ref="D502">IFERROR(_xlfn.LET(
_xlpm.CSVVal,_xlfn.XLOOKUP($A502,CSV!$A:$A,CSV!C:C,""),
_xlpm.MacVal,_xlfn.XLOOKUP($A502,Output_Mac!$A:$A,Output_Mac!D:D,""),
_xlpm.MyAuditVal,_xlfn.XLOOKUP($A502,My_Audit!$A:$A,My_Audit!C:C,""),
_xlfn.IFS(_xlpm.MyAuditVal&lt;&gt;"",UPPER(_xlpm.MyAuditVal),_xlpm.MacVal&lt;&gt;"",_xlpm.MacVal,_xlpm.CSVVal&lt;&gt;"",_xlpm.CSVVal
)),"")</f>
        <v/>
      </c>
      <c r="E502" s="46" t="str" cm="1">
        <f t="array" ref="E502">IFERROR(_xlfn.LET(
_xlpm.CSVVal,_xlfn.XLOOKUP($A502,CSV!$A:$A,CSV!E:E,""),
_xlpm.MacVal,_xlfn.XLOOKUP($A502,Output_Mac!$A:$A,Output_Mac!C:C,""),
_xlpm.MyAuditVal,_xlfn.XLOOKUP($A502,My_Audit!$A:$A,My_Audit!D:D,""),
_xlfn.IFS(_xlpm.MyAuditVal&lt;&gt;"",_xlpm.MyAuditVal,_xlpm.MacVal&lt;&gt;"",_xlpm.MacVal,_xlpm.CSVVal&lt;&gt;"",_xlpm.CSVVal
)),"")</f>
        <v/>
      </c>
      <c r="F502" s="45" t="str" cm="1">
        <f t="array" ref="F502">IFERROR(_xlfn.LET(
_xlpm.CSVVal,_xlfn.XLOOKUP($A502,CSV!$A:$A,CSV!F:F,""),
_xlpm.MacVal,_xlfn.XLOOKUP($A502,Output_Mac!$A:$A,Output_Mac!F:F,""),
_xlpm.MyAuditVal,_xlfn.XLOOKUP($A502,My_Audit!$A:$A,My_Audit!E:E,""),
_xlfn.IFS(_xlpm.MyAuditVal&lt;&gt;"",_xlpm.MyAuditVal,_xlpm.MacVal&lt;&gt;"",_xlpm.MacVal,_xlpm.CSVVal&lt;&gt;"",PROPER(_xlpm.CSVVal)
)),"")</f>
        <v/>
      </c>
      <c r="G502" s="45" t="str" cm="1">
        <f t="array" ref="G502">IFERROR(_xlfn.LET(
_xlpm.CSVVal,_xlfn.XLOOKUP($A502,CSV!$A:$A,CSV!G:G,""),
_xlpm.MacVal,_xlfn.XLOOKUP($A502,Output_Mac!$A:$A,Output_Mac!H:H,""),
_xlpm.MyAuditVal,_xlfn.XLOOKUP($A502,My_Audit!$A:$A,My_Audit!F:F,""),
_xlfn.IFS(_xlpm.MyAuditVal&lt;&gt;"",_xlpm.MyAuditVal,_xlpm.MacVal&lt;&gt;"",_xlpm.MacVal,_xlpm.CSVVal&lt;&gt;"",_xlpm.CSVVal
)),"")</f>
        <v/>
      </c>
      <c r="H502" s="45" t="str">
        <f>_xlfn.XLOOKUP(A502,Output_Mac!A:A,Output_Mac!I:I,"")</f>
        <v/>
      </c>
      <c r="I502" s="45" t="str" cm="1">
        <f t="array" ref="I502">IFERROR(_xlfn.LET(
_xlpm.CSVVal,_xlfn.XLOOKUP($A502,CSV!$A:$A,CSV!H:H,""),
_xlpm.MacVal,_xlfn.XLOOKUP($A502,Output_Mac!$A:$A,Output_Mac!J:J,""),
_xlpm.MyAuditVal,_xlfn.XLOOKUP($A502,My_Audit!$A:$A,My_Audit!H:H,""),
_xlfn.IFS(_xlpm.MyAuditVal&lt;&gt;"",UPPER(_xlpm.MyAuditVal),_xlpm.MacVal&lt;&gt;"",_xlpm.MacVal,_xlpm.CSVVal&lt;&gt;"",_xlpm.CSVVal
)),"")</f>
        <v/>
      </c>
      <c r="J502" s="45" t="str" cm="1">
        <f t="array" ref="J502">IFERROR(_xlfn.LET(
_xlpm.CSVVal,_xlfn.XLOOKUP($A502,CSV!$A:$A,CSV!J:J,""),
_xlpm.MacVal,_xlfn.XLOOKUP($A502,Output_Mac!$A:$A,Output_Mac!K:K,""),
_xlpm.MyAuditVal,_xlfn.XLOOKUP($A502,My_Audit!$A:$A,My_Audit!I:I,""),
_xlfn.IFS(_xlpm.MyAuditVal&lt;&gt;"",UPPER(_xlpm.MyAuditVal),_xlpm.MacVal&lt;&gt;"",_xlpm.MacVal,_xlpm.CSVVal&lt;&gt;"",_xlpm.CSVVal
)),"")</f>
        <v/>
      </c>
      <c r="K502" s="45" t="str" cm="1">
        <f t="array" ref="K502">IFERROR(_xlfn.LET(
_xlpm.CSVVal,_xlfn.XLOOKUP($A502,CSV!$A:$A,CSV!N:N,""),
_xlpm.MacVal,_xlfn.XLOOKUP($A502,Output_Mac!$A:$A,Output_Mac!L:L,""),
_xlpm.MyAuditVal,_xlfn.XLOOKUP($A502,My_Audit!$A:$A,My_Audit!J:J,""),
_xlfn.IFS(_xlpm.MyAuditVal&lt;&gt;"",UPPER(_xlpm.MyAuditVal),_xlpm.MacVal&lt;&gt;"",_xlpm.MacVal,_xlpm.CSVVal&lt;&gt;"",_xlpm.CSVVal
)),"")</f>
        <v/>
      </c>
      <c r="L502" s="45" t="str" cm="1">
        <f t="array" ref="L502">IFERROR(_xlfn.LET(
_xlpm.CSVVal,_xlfn.XLOOKUP($A502,CSV!$A:$A,CSV!P:P,""),
_xlpm.MacVal,_xlfn.XLOOKUP($A502,Output_Mac!$A:$A,Output_Mac!M:M,""),
_xlpm.MyAuditVal,_xlfn.XLOOKUP($A502,My_Audit!$A:$A,My_Audit!K:K,""),
_xlfn.IFS(_xlpm.MyAuditVal&lt;&gt;"",UPPER(_xlpm.MyAuditVal),_xlpm.MacVal&lt;&gt;"",_xlpm.MacVal,_xlpm.CSVVal&lt;&gt;"",_xlpm.CSVVal
)),"")</f>
        <v/>
      </c>
      <c r="M502" s="45" t="str">
        <f>_xlfn.LET(
    _xlpm.CSVVal, _xlfn.XLOOKUP($A502, CSV!$A:$A, CSV!AE:AE, ""),
    _xlpm.MacVal, _xlfn.XLOOKUP($A502, Output_Mac!$A:$A, Output_Mac!S:S, ""),
    _xlpm.MyAuditVal, _xlfn.XLOOKUP($A502, My_Audit!$A:$A, My_Audit!N:N, ""),
    _xlfn.TEXTJOIN(", ", TRUE, _xlpm.MyAuditVal, _xlpm.MacVal, _xlpm.CSVVal)
)</f>
        <v/>
      </c>
      <c r="N502" s="45" t="str" cm="1">
        <f t="array" ref="N502">IFERROR(_xlfn.LET(
_xlpm.CSVVal,_xlfn.XLOOKUP($A502,CSV!$A:$A,CSV!AG:AG,""),
_xlpm.MacVal,_xlfn.XLOOKUP($A502,Output_Mac!$A:$A,Output_Mac!U:U,""),
_xlpm.MyAuditVal,_xlfn.XLOOKUP($A502,My_Audit!$A:$A,My_Audit!O:O,""),
_xlfn.IFS(_xlpm.MyAuditVal&lt;&gt;"",UPPER(_xlpm.MyAuditVal),_xlpm.MacVal&lt;&gt;"",_xlpm.MacVal,_xlpm.CSVVal&lt;&gt;"",_xlpm.CSVVal
)),"")</f>
        <v/>
      </c>
      <c r="O502" s="45"/>
      <c r="P502" s="45"/>
      <c r="Q502" s="46" t="str">
        <f>IF(LEFT(N502,4)="Pass","Nist SP 800-88",My_Audit!R502)&amp;""</f>
        <v/>
      </c>
      <c r="R502" s="45"/>
      <c r="S502" s="45"/>
      <c r="T502" s="46" t="str">
        <f>_xlfn.XLOOKUP(E502,Models!I:I,Models!J:J,"")</f>
        <v/>
      </c>
      <c r="U502" s="45"/>
      <c r="V502" s="45"/>
      <c r="W502" s="38"/>
    </row>
    <row r="503" spans="1:23">
      <c r="A503" s="45" t="str">
        <f>_xlfn.TEXTJOIN("",TRUE,Input!$B$2,ROW(My_Audit!A502))</f>
        <v>XX502</v>
      </c>
      <c r="B503" s="45" t="str">
        <f>_xlfn.TEXTJOIN("-",TRUE,"ITD",Input!$A$2,A503)</f>
        <v>ITD-SHRXXX-XX502</v>
      </c>
      <c r="C503" s="45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46" t="str" cm="1">
        <f t="array" ref="D503">IFERROR(_xlfn.LET(
_xlpm.CSVVal,_xlfn.XLOOKUP($A503,CSV!$A:$A,CSV!C:C,""),
_xlpm.MacVal,_xlfn.XLOOKUP($A503,Output_Mac!$A:$A,Output_Mac!D:D,""),
_xlpm.MyAuditVal,_xlfn.XLOOKUP($A503,My_Audit!$A:$A,My_Audit!C:C,""),
_xlfn.IFS(_xlpm.MyAuditVal&lt;&gt;"",UPPER(_xlpm.MyAuditVal),_xlpm.MacVal&lt;&gt;"",_xlpm.MacVal,_xlpm.CSVVal&lt;&gt;"",_xlpm.CSVVal
)),"")</f>
        <v/>
      </c>
      <c r="E503" s="46" t="str" cm="1">
        <f t="array" ref="E503">IFERROR(_xlfn.LET(
_xlpm.CSVVal,_xlfn.XLOOKUP($A503,CSV!$A:$A,CSV!E:E,""),
_xlpm.MacVal,_xlfn.XLOOKUP($A503,Output_Mac!$A:$A,Output_Mac!C:C,""),
_xlpm.MyAuditVal,_xlfn.XLOOKUP($A503,My_Audit!$A:$A,My_Audit!D:D,""),
_xlfn.IFS(_xlpm.MyAuditVal&lt;&gt;"",_xlpm.MyAuditVal,_xlpm.MacVal&lt;&gt;"",_xlpm.MacVal,_xlpm.CSVVal&lt;&gt;"",_xlpm.CSVVal
)),"")</f>
        <v/>
      </c>
      <c r="F503" s="45" t="str" cm="1">
        <f t="array" ref="F503">IFERROR(_xlfn.LET(
_xlpm.CSVVal,_xlfn.XLOOKUP($A503,CSV!$A:$A,CSV!F:F,""),
_xlpm.MacVal,_xlfn.XLOOKUP($A503,Output_Mac!$A:$A,Output_Mac!F:F,""),
_xlpm.MyAuditVal,_xlfn.XLOOKUP($A503,My_Audit!$A:$A,My_Audit!E:E,""),
_xlfn.IFS(_xlpm.MyAuditVal&lt;&gt;"",_xlpm.MyAuditVal,_xlpm.MacVal&lt;&gt;"",_xlpm.MacVal,_xlpm.CSVVal&lt;&gt;"",PROPER(_xlpm.CSVVal)
)),"")</f>
        <v/>
      </c>
      <c r="G503" s="45" t="str" cm="1">
        <f t="array" ref="G503">IFERROR(_xlfn.LET(
_xlpm.CSVVal,_xlfn.XLOOKUP($A503,CSV!$A:$A,CSV!G:G,""),
_xlpm.MacVal,_xlfn.XLOOKUP($A503,Output_Mac!$A:$A,Output_Mac!H:H,""),
_xlpm.MyAuditVal,_xlfn.XLOOKUP($A503,My_Audit!$A:$A,My_Audit!F:F,""),
_xlfn.IFS(_xlpm.MyAuditVal&lt;&gt;"",_xlpm.MyAuditVal,_xlpm.MacVal&lt;&gt;"",_xlpm.MacVal,_xlpm.CSVVal&lt;&gt;"",_xlpm.CSVVal
)),"")</f>
        <v/>
      </c>
      <c r="H503" s="45" t="str">
        <f>_xlfn.XLOOKUP(A503,Output_Mac!A:A,Output_Mac!I:I,"")</f>
        <v/>
      </c>
      <c r="I503" s="45" t="str" cm="1">
        <f t="array" ref="I503">IFERROR(_xlfn.LET(
_xlpm.CSVVal,_xlfn.XLOOKUP($A503,CSV!$A:$A,CSV!H:H,""),
_xlpm.MacVal,_xlfn.XLOOKUP($A503,Output_Mac!$A:$A,Output_Mac!J:J,""),
_xlpm.MyAuditVal,_xlfn.XLOOKUP($A503,My_Audit!$A:$A,My_Audit!H:H,""),
_xlfn.IFS(_xlpm.MyAuditVal&lt;&gt;"",UPPER(_xlpm.MyAuditVal),_xlpm.MacVal&lt;&gt;"",_xlpm.MacVal,_xlpm.CSVVal&lt;&gt;"",_xlpm.CSVVal
)),"")</f>
        <v/>
      </c>
      <c r="J503" s="45" t="str" cm="1">
        <f t="array" ref="J503">IFERROR(_xlfn.LET(
_xlpm.CSVVal,_xlfn.XLOOKUP($A503,CSV!$A:$A,CSV!J:J,""),
_xlpm.MacVal,_xlfn.XLOOKUP($A503,Output_Mac!$A:$A,Output_Mac!K:K,""),
_xlpm.MyAuditVal,_xlfn.XLOOKUP($A503,My_Audit!$A:$A,My_Audit!I:I,""),
_xlfn.IFS(_xlpm.MyAuditVal&lt;&gt;"",UPPER(_xlpm.MyAuditVal),_xlpm.MacVal&lt;&gt;"",_xlpm.MacVal,_xlpm.CSVVal&lt;&gt;"",_xlpm.CSVVal
)),"")</f>
        <v/>
      </c>
      <c r="K503" s="45" t="str" cm="1">
        <f t="array" ref="K503">IFERROR(_xlfn.LET(
_xlpm.CSVVal,_xlfn.XLOOKUP($A503,CSV!$A:$A,CSV!N:N,""),
_xlpm.MacVal,_xlfn.XLOOKUP($A503,Output_Mac!$A:$A,Output_Mac!L:L,""),
_xlpm.MyAuditVal,_xlfn.XLOOKUP($A503,My_Audit!$A:$A,My_Audit!J:J,""),
_xlfn.IFS(_xlpm.MyAuditVal&lt;&gt;"",UPPER(_xlpm.MyAuditVal),_xlpm.MacVal&lt;&gt;"",_xlpm.MacVal,_xlpm.CSVVal&lt;&gt;"",_xlpm.CSVVal
)),"")</f>
        <v/>
      </c>
      <c r="L503" s="45" t="str" cm="1">
        <f t="array" ref="L503">IFERROR(_xlfn.LET(
_xlpm.CSVVal,_xlfn.XLOOKUP($A503,CSV!$A:$A,CSV!P:P,""),
_xlpm.MacVal,_xlfn.XLOOKUP($A503,Output_Mac!$A:$A,Output_Mac!M:M,""),
_xlpm.MyAuditVal,_xlfn.XLOOKUP($A503,My_Audit!$A:$A,My_Audit!K:K,""),
_xlfn.IFS(_xlpm.MyAuditVal&lt;&gt;"",UPPER(_xlpm.MyAuditVal),_xlpm.MacVal&lt;&gt;"",_xlpm.MacVal,_xlpm.CSVVal&lt;&gt;"",_xlpm.CSVVal
)),"")</f>
        <v/>
      </c>
      <c r="M503" s="45" t="str">
        <f>_xlfn.LET(
    _xlpm.CSVVal, _xlfn.XLOOKUP($A503, CSV!$A:$A, CSV!AE:AE, ""),
    _xlpm.MacVal, _xlfn.XLOOKUP($A503, Output_Mac!$A:$A, Output_Mac!S:S, ""),
    _xlpm.MyAuditVal, _xlfn.XLOOKUP($A503, My_Audit!$A:$A, My_Audit!N:N, ""),
    _xlfn.TEXTJOIN(", ", TRUE, _xlpm.MyAuditVal, _xlpm.MacVal, _xlpm.CSVVal)
)</f>
        <v/>
      </c>
      <c r="N503" s="45" t="str" cm="1">
        <f t="array" ref="N503">IFERROR(_xlfn.LET(
_xlpm.CSVVal,_xlfn.XLOOKUP($A503,CSV!$A:$A,CSV!AG:AG,""),
_xlpm.MacVal,_xlfn.XLOOKUP($A503,Output_Mac!$A:$A,Output_Mac!U:U,""),
_xlpm.MyAuditVal,_xlfn.XLOOKUP($A503,My_Audit!$A:$A,My_Audit!O:O,""),
_xlfn.IFS(_xlpm.MyAuditVal&lt;&gt;"",UPPER(_xlpm.MyAuditVal),_xlpm.MacVal&lt;&gt;"",_xlpm.MacVal,_xlpm.CSVVal&lt;&gt;"",_xlpm.CSVVal
)),"")</f>
        <v/>
      </c>
      <c r="O503" s="45"/>
      <c r="P503" s="45"/>
      <c r="Q503" s="46" t="str">
        <f>IF(LEFT(N503,4)="Pass","Nist SP 800-88",My_Audit!R503)&amp;""</f>
        <v/>
      </c>
      <c r="R503" s="45"/>
      <c r="S503" s="45"/>
      <c r="T503" s="46" t="str">
        <f>_xlfn.XLOOKUP(E503,Models!I:I,Models!J:J,"")</f>
        <v/>
      </c>
      <c r="U503" s="45"/>
      <c r="V503" s="45"/>
      <c r="W503" s="38"/>
    </row>
    <row r="504" spans="1:23">
      <c r="A504" s="45" t="str">
        <f>_xlfn.TEXTJOIN("",TRUE,Input!$B$2,ROW(My_Audit!A503))</f>
        <v>XX503</v>
      </c>
      <c r="B504" s="45" t="str">
        <f>_xlfn.TEXTJOIN("-",TRUE,"ITD",Input!$A$2,A504)</f>
        <v>ITD-SHRXXX-XX503</v>
      </c>
      <c r="C504" s="45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46" t="str" cm="1">
        <f t="array" ref="D504">IFERROR(_xlfn.LET(
_xlpm.CSVVal,_xlfn.XLOOKUP($A504,CSV!$A:$A,CSV!C:C,""),
_xlpm.MacVal,_xlfn.XLOOKUP($A504,Output_Mac!$A:$A,Output_Mac!D:D,""),
_xlpm.MyAuditVal,_xlfn.XLOOKUP($A504,My_Audit!$A:$A,My_Audit!C:C,""),
_xlfn.IFS(_xlpm.MyAuditVal&lt;&gt;"",UPPER(_xlpm.MyAuditVal),_xlpm.MacVal&lt;&gt;"",_xlpm.MacVal,_xlpm.CSVVal&lt;&gt;"",_xlpm.CSVVal
)),"")</f>
        <v/>
      </c>
      <c r="E504" s="46" t="str" cm="1">
        <f t="array" ref="E504">IFERROR(_xlfn.LET(
_xlpm.CSVVal,_xlfn.XLOOKUP($A504,CSV!$A:$A,CSV!E:E,""),
_xlpm.MacVal,_xlfn.XLOOKUP($A504,Output_Mac!$A:$A,Output_Mac!C:C,""),
_xlpm.MyAuditVal,_xlfn.XLOOKUP($A504,My_Audit!$A:$A,My_Audit!D:D,""),
_xlfn.IFS(_xlpm.MyAuditVal&lt;&gt;"",_xlpm.MyAuditVal,_xlpm.MacVal&lt;&gt;"",_xlpm.MacVal,_xlpm.CSVVal&lt;&gt;"",_xlpm.CSVVal
)),"")</f>
        <v/>
      </c>
      <c r="F504" s="45" t="str" cm="1">
        <f t="array" ref="F504">IFERROR(_xlfn.LET(
_xlpm.CSVVal,_xlfn.XLOOKUP($A504,CSV!$A:$A,CSV!F:F,""),
_xlpm.MacVal,_xlfn.XLOOKUP($A504,Output_Mac!$A:$A,Output_Mac!F:F,""),
_xlpm.MyAuditVal,_xlfn.XLOOKUP($A504,My_Audit!$A:$A,My_Audit!E:E,""),
_xlfn.IFS(_xlpm.MyAuditVal&lt;&gt;"",_xlpm.MyAuditVal,_xlpm.MacVal&lt;&gt;"",_xlpm.MacVal,_xlpm.CSVVal&lt;&gt;"",PROPER(_xlpm.CSVVal)
)),"")</f>
        <v/>
      </c>
      <c r="G504" s="45" t="str" cm="1">
        <f t="array" ref="G504">IFERROR(_xlfn.LET(
_xlpm.CSVVal,_xlfn.XLOOKUP($A504,CSV!$A:$A,CSV!G:G,""),
_xlpm.MacVal,_xlfn.XLOOKUP($A504,Output_Mac!$A:$A,Output_Mac!H:H,""),
_xlpm.MyAuditVal,_xlfn.XLOOKUP($A504,My_Audit!$A:$A,My_Audit!F:F,""),
_xlfn.IFS(_xlpm.MyAuditVal&lt;&gt;"",_xlpm.MyAuditVal,_xlpm.MacVal&lt;&gt;"",_xlpm.MacVal,_xlpm.CSVVal&lt;&gt;"",_xlpm.CSVVal
)),"")</f>
        <v/>
      </c>
      <c r="H504" s="45" t="str">
        <f>_xlfn.XLOOKUP(A504,Output_Mac!A:A,Output_Mac!I:I,"")</f>
        <v/>
      </c>
      <c r="I504" s="45" t="str" cm="1">
        <f t="array" ref="I504">IFERROR(_xlfn.LET(
_xlpm.CSVVal,_xlfn.XLOOKUP($A504,CSV!$A:$A,CSV!H:H,""),
_xlpm.MacVal,_xlfn.XLOOKUP($A504,Output_Mac!$A:$A,Output_Mac!J:J,""),
_xlpm.MyAuditVal,_xlfn.XLOOKUP($A504,My_Audit!$A:$A,My_Audit!H:H,""),
_xlfn.IFS(_xlpm.MyAuditVal&lt;&gt;"",UPPER(_xlpm.MyAuditVal),_xlpm.MacVal&lt;&gt;"",_xlpm.MacVal,_xlpm.CSVVal&lt;&gt;"",_xlpm.CSVVal
)),"")</f>
        <v/>
      </c>
      <c r="J504" s="45" t="str" cm="1">
        <f t="array" ref="J504">IFERROR(_xlfn.LET(
_xlpm.CSVVal,_xlfn.XLOOKUP($A504,CSV!$A:$A,CSV!J:J,""),
_xlpm.MacVal,_xlfn.XLOOKUP($A504,Output_Mac!$A:$A,Output_Mac!K:K,""),
_xlpm.MyAuditVal,_xlfn.XLOOKUP($A504,My_Audit!$A:$A,My_Audit!I:I,""),
_xlfn.IFS(_xlpm.MyAuditVal&lt;&gt;"",UPPER(_xlpm.MyAuditVal),_xlpm.MacVal&lt;&gt;"",_xlpm.MacVal,_xlpm.CSVVal&lt;&gt;"",_xlpm.CSVVal
)),"")</f>
        <v/>
      </c>
      <c r="K504" s="45" t="str" cm="1">
        <f t="array" ref="K504">IFERROR(_xlfn.LET(
_xlpm.CSVVal,_xlfn.XLOOKUP($A504,CSV!$A:$A,CSV!N:N,""),
_xlpm.MacVal,_xlfn.XLOOKUP($A504,Output_Mac!$A:$A,Output_Mac!L:L,""),
_xlpm.MyAuditVal,_xlfn.XLOOKUP($A504,My_Audit!$A:$A,My_Audit!J:J,""),
_xlfn.IFS(_xlpm.MyAuditVal&lt;&gt;"",UPPER(_xlpm.MyAuditVal),_xlpm.MacVal&lt;&gt;"",_xlpm.MacVal,_xlpm.CSVVal&lt;&gt;"",_xlpm.CSVVal
)),"")</f>
        <v/>
      </c>
      <c r="L504" s="45" t="str" cm="1">
        <f t="array" ref="L504">IFERROR(_xlfn.LET(
_xlpm.CSVVal,_xlfn.XLOOKUP($A504,CSV!$A:$A,CSV!P:P,""),
_xlpm.MacVal,_xlfn.XLOOKUP($A504,Output_Mac!$A:$A,Output_Mac!M:M,""),
_xlpm.MyAuditVal,_xlfn.XLOOKUP($A504,My_Audit!$A:$A,My_Audit!K:K,""),
_xlfn.IFS(_xlpm.MyAuditVal&lt;&gt;"",UPPER(_xlpm.MyAuditVal),_xlpm.MacVal&lt;&gt;"",_xlpm.MacVal,_xlpm.CSVVal&lt;&gt;"",_xlpm.CSVVal
)),"")</f>
        <v/>
      </c>
      <c r="M504" s="45" t="str">
        <f>_xlfn.LET(
    _xlpm.CSVVal, _xlfn.XLOOKUP($A504, CSV!$A:$A, CSV!AE:AE, ""),
    _xlpm.MacVal, _xlfn.XLOOKUP($A504, Output_Mac!$A:$A, Output_Mac!S:S, ""),
    _xlpm.MyAuditVal, _xlfn.XLOOKUP($A504, My_Audit!$A:$A, My_Audit!N:N, ""),
    _xlfn.TEXTJOIN(", ", TRUE, _xlpm.MyAuditVal, _xlpm.MacVal, _xlpm.CSVVal)
)</f>
        <v/>
      </c>
      <c r="N504" s="45" t="str" cm="1">
        <f t="array" ref="N504">IFERROR(_xlfn.LET(
_xlpm.CSVVal,_xlfn.XLOOKUP($A504,CSV!$A:$A,CSV!AG:AG,""),
_xlpm.MacVal,_xlfn.XLOOKUP($A504,Output_Mac!$A:$A,Output_Mac!U:U,""),
_xlpm.MyAuditVal,_xlfn.XLOOKUP($A504,My_Audit!$A:$A,My_Audit!O:O,""),
_xlfn.IFS(_xlpm.MyAuditVal&lt;&gt;"",UPPER(_xlpm.MyAuditVal),_xlpm.MacVal&lt;&gt;"",_xlpm.MacVal,_xlpm.CSVVal&lt;&gt;"",_xlpm.CSVVal
)),"")</f>
        <v/>
      </c>
      <c r="O504" s="45"/>
      <c r="P504" s="45"/>
      <c r="Q504" s="46" t="str">
        <f>IF(LEFT(N504,4)="Pass","Nist SP 800-88",My_Audit!R504)&amp;""</f>
        <v/>
      </c>
      <c r="R504" s="45"/>
      <c r="S504" s="45"/>
      <c r="T504" s="46" t="str">
        <f>_xlfn.XLOOKUP(E504,Models!I:I,Models!J:J,"")</f>
        <v/>
      </c>
      <c r="U504" s="45"/>
      <c r="V504" s="45"/>
      <c r="W504" s="38"/>
    </row>
    <row r="505" spans="1:23">
      <c r="A505" s="45" t="str">
        <f>_xlfn.TEXTJOIN("",TRUE,Input!$B$2,ROW(My_Audit!A504))</f>
        <v>XX504</v>
      </c>
      <c r="B505" s="45" t="str">
        <f>_xlfn.TEXTJOIN("-",TRUE,"ITD",Input!$A$2,A505)</f>
        <v>ITD-SHRXXX-XX504</v>
      </c>
      <c r="C505" s="45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46" t="str" cm="1">
        <f t="array" ref="D505">IFERROR(_xlfn.LET(
_xlpm.CSVVal,_xlfn.XLOOKUP($A505,CSV!$A:$A,CSV!C:C,""),
_xlpm.MacVal,_xlfn.XLOOKUP($A505,Output_Mac!$A:$A,Output_Mac!D:D,""),
_xlpm.MyAuditVal,_xlfn.XLOOKUP($A505,My_Audit!$A:$A,My_Audit!C:C,""),
_xlfn.IFS(_xlpm.MyAuditVal&lt;&gt;"",UPPER(_xlpm.MyAuditVal),_xlpm.MacVal&lt;&gt;"",_xlpm.MacVal,_xlpm.CSVVal&lt;&gt;"",_xlpm.CSVVal
)),"")</f>
        <v/>
      </c>
      <c r="E505" s="46" t="str" cm="1">
        <f t="array" ref="E505">IFERROR(_xlfn.LET(
_xlpm.CSVVal,_xlfn.XLOOKUP($A505,CSV!$A:$A,CSV!E:E,""),
_xlpm.MacVal,_xlfn.XLOOKUP($A505,Output_Mac!$A:$A,Output_Mac!C:C,""),
_xlpm.MyAuditVal,_xlfn.XLOOKUP($A505,My_Audit!$A:$A,My_Audit!D:D,""),
_xlfn.IFS(_xlpm.MyAuditVal&lt;&gt;"",_xlpm.MyAuditVal,_xlpm.MacVal&lt;&gt;"",_xlpm.MacVal,_xlpm.CSVVal&lt;&gt;"",_xlpm.CSVVal
)),"")</f>
        <v/>
      </c>
      <c r="F505" s="45" t="str" cm="1">
        <f t="array" ref="F505">IFERROR(_xlfn.LET(
_xlpm.CSVVal,_xlfn.XLOOKUP($A505,CSV!$A:$A,CSV!F:F,""),
_xlpm.MacVal,_xlfn.XLOOKUP($A505,Output_Mac!$A:$A,Output_Mac!F:F,""),
_xlpm.MyAuditVal,_xlfn.XLOOKUP($A505,My_Audit!$A:$A,My_Audit!E:E,""),
_xlfn.IFS(_xlpm.MyAuditVal&lt;&gt;"",_xlpm.MyAuditVal,_xlpm.MacVal&lt;&gt;"",_xlpm.MacVal,_xlpm.CSVVal&lt;&gt;"",PROPER(_xlpm.CSVVal)
)),"")</f>
        <v/>
      </c>
      <c r="G505" s="45" t="str" cm="1">
        <f t="array" ref="G505">IFERROR(_xlfn.LET(
_xlpm.CSVVal,_xlfn.XLOOKUP($A505,CSV!$A:$A,CSV!G:G,""),
_xlpm.MacVal,_xlfn.XLOOKUP($A505,Output_Mac!$A:$A,Output_Mac!H:H,""),
_xlpm.MyAuditVal,_xlfn.XLOOKUP($A505,My_Audit!$A:$A,My_Audit!F:F,""),
_xlfn.IFS(_xlpm.MyAuditVal&lt;&gt;"",_xlpm.MyAuditVal,_xlpm.MacVal&lt;&gt;"",_xlpm.MacVal,_xlpm.CSVVal&lt;&gt;"",_xlpm.CSVVal
)),"")</f>
        <v/>
      </c>
      <c r="H505" s="45" t="str">
        <f>_xlfn.XLOOKUP(A505,Output_Mac!A:A,Output_Mac!I:I,"")</f>
        <v/>
      </c>
      <c r="I505" s="45" t="str" cm="1">
        <f t="array" ref="I505">IFERROR(_xlfn.LET(
_xlpm.CSVVal,_xlfn.XLOOKUP($A505,CSV!$A:$A,CSV!H:H,""),
_xlpm.MacVal,_xlfn.XLOOKUP($A505,Output_Mac!$A:$A,Output_Mac!J:J,""),
_xlpm.MyAuditVal,_xlfn.XLOOKUP($A505,My_Audit!$A:$A,My_Audit!H:H,""),
_xlfn.IFS(_xlpm.MyAuditVal&lt;&gt;"",UPPER(_xlpm.MyAuditVal),_xlpm.MacVal&lt;&gt;"",_xlpm.MacVal,_xlpm.CSVVal&lt;&gt;"",_xlpm.CSVVal
)),"")</f>
        <v/>
      </c>
      <c r="J505" s="45" t="str" cm="1">
        <f t="array" ref="J505">IFERROR(_xlfn.LET(
_xlpm.CSVVal,_xlfn.XLOOKUP($A505,CSV!$A:$A,CSV!J:J,""),
_xlpm.MacVal,_xlfn.XLOOKUP($A505,Output_Mac!$A:$A,Output_Mac!K:K,""),
_xlpm.MyAuditVal,_xlfn.XLOOKUP($A505,My_Audit!$A:$A,My_Audit!I:I,""),
_xlfn.IFS(_xlpm.MyAuditVal&lt;&gt;"",UPPER(_xlpm.MyAuditVal),_xlpm.MacVal&lt;&gt;"",_xlpm.MacVal,_xlpm.CSVVal&lt;&gt;"",_xlpm.CSVVal
)),"")</f>
        <v/>
      </c>
      <c r="K505" s="45" t="str" cm="1">
        <f t="array" ref="K505">IFERROR(_xlfn.LET(
_xlpm.CSVVal,_xlfn.XLOOKUP($A505,CSV!$A:$A,CSV!N:N,""),
_xlpm.MacVal,_xlfn.XLOOKUP($A505,Output_Mac!$A:$A,Output_Mac!L:L,""),
_xlpm.MyAuditVal,_xlfn.XLOOKUP($A505,My_Audit!$A:$A,My_Audit!J:J,""),
_xlfn.IFS(_xlpm.MyAuditVal&lt;&gt;"",UPPER(_xlpm.MyAuditVal),_xlpm.MacVal&lt;&gt;"",_xlpm.MacVal,_xlpm.CSVVal&lt;&gt;"",_xlpm.CSVVal
)),"")</f>
        <v/>
      </c>
      <c r="L505" s="45" t="str" cm="1">
        <f t="array" ref="L505">IFERROR(_xlfn.LET(
_xlpm.CSVVal,_xlfn.XLOOKUP($A505,CSV!$A:$A,CSV!P:P,""),
_xlpm.MacVal,_xlfn.XLOOKUP($A505,Output_Mac!$A:$A,Output_Mac!M:M,""),
_xlpm.MyAuditVal,_xlfn.XLOOKUP($A505,My_Audit!$A:$A,My_Audit!K:K,""),
_xlfn.IFS(_xlpm.MyAuditVal&lt;&gt;"",UPPER(_xlpm.MyAuditVal),_xlpm.MacVal&lt;&gt;"",_xlpm.MacVal,_xlpm.CSVVal&lt;&gt;"",_xlpm.CSVVal
)),"")</f>
        <v/>
      </c>
      <c r="M505" s="45" t="str">
        <f>_xlfn.LET(
    _xlpm.CSVVal, _xlfn.XLOOKUP($A505, CSV!$A:$A, CSV!AE:AE, ""),
    _xlpm.MacVal, _xlfn.XLOOKUP($A505, Output_Mac!$A:$A, Output_Mac!S:S, ""),
    _xlpm.MyAuditVal, _xlfn.XLOOKUP($A505, My_Audit!$A:$A, My_Audit!N:N, ""),
    _xlfn.TEXTJOIN(", ", TRUE, _xlpm.MyAuditVal, _xlpm.MacVal, _xlpm.CSVVal)
)</f>
        <v/>
      </c>
      <c r="N505" s="45" t="str" cm="1">
        <f t="array" ref="N505">IFERROR(_xlfn.LET(
_xlpm.CSVVal,_xlfn.XLOOKUP($A505,CSV!$A:$A,CSV!AG:AG,""),
_xlpm.MacVal,_xlfn.XLOOKUP($A505,Output_Mac!$A:$A,Output_Mac!U:U,""),
_xlpm.MyAuditVal,_xlfn.XLOOKUP($A505,My_Audit!$A:$A,My_Audit!O:O,""),
_xlfn.IFS(_xlpm.MyAuditVal&lt;&gt;"",UPPER(_xlpm.MyAuditVal),_xlpm.MacVal&lt;&gt;"",_xlpm.MacVal,_xlpm.CSVVal&lt;&gt;"",_xlpm.CSVVal
)),"")</f>
        <v/>
      </c>
      <c r="O505" s="45"/>
      <c r="P505" s="45"/>
      <c r="Q505" s="46" t="str">
        <f>IF(LEFT(N505,4)="Pass","Nist SP 800-88",My_Audit!R505)&amp;""</f>
        <v/>
      </c>
      <c r="R505" s="45"/>
      <c r="S505" s="45"/>
      <c r="T505" s="46" t="str">
        <f>_xlfn.XLOOKUP(E505,Models!I:I,Models!J:J,"")</f>
        <v/>
      </c>
      <c r="U505" s="45"/>
      <c r="V505" s="45"/>
      <c r="W505" s="38"/>
    </row>
    <row r="506" spans="1:23">
      <c r="A506" s="45" t="str">
        <f>_xlfn.TEXTJOIN("",TRUE,Input!$B$2,ROW(My_Audit!A505))</f>
        <v>XX505</v>
      </c>
      <c r="B506" s="45" t="str">
        <f>_xlfn.TEXTJOIN("-",TRUE,"ITD",Input!$A$2,A506)</f>
        <v>ITD-SHRXXX-XX505</v>
      </c>
      <c r="C506" s="45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46" t="str" cm="1">
        <f t="array" ref="D506">IFERROR(_xlfn.LET(
_xlpm.CSVVal,_xlfn.XLOOKUP($A506,CSV!$A:$A,CSV!C:C,""),
_xlpm.MacVal,_xlfn.XLOOKUP($A506,Output_Mac!$A:$A,Output_Mac!D:D,""),
_xlpm.MyAuditVal,_xlfn.XLOOKUP($A506,My_Audit!$A:$A,My_Audit!C:C,""),
_xlfn.IFS(_xlpm.MyAuditVal&lt;&gt;"",UPPER(_xlpm.MyAuditVal),_xlpm.MacVal&lt;&gt;"",_xlpm.MacVal,_xlpm.CSVVal&lt;&gt;"",_xlpm.CSVVal
)),"")</f>
        <v/>
      </c>
      <c r="E506" s="46" t="str" cm="1">
        <f t="array" ref="E506">IFERROR(_xlfn.LET(
_xlpm.CSVVal,_xlfn.XLOOKUP($A506,CSV!$A:$A,CSV!E:E,""),
_xlpm.MacVal,_xlfn.XLOOKUP($A506,Output_Mac!$A:$A,Output_Mac!C:C,""),
_xlpm.MyAuditVal,_xlfn.XLOOKUP($A506,My_Audit!$A:$A,My_Audit!D:D,""),
_xlfn.IFS(_xlpm.MyAuditVal&lt;&gt;"",_xlpm.MyAuditVal,_xlpm.MacVal&lt;&gt;"",_xlpm.MacVal,_xlpm.CSVVal&lt;&gt;"",_xlpm.CSVVal
)),"")</f>
        <v/>
      </c>
      <c r="F506" s="45" t="str" cm="1">
        <f t="array" ref="F506">IFERROR(_xlfn.LET(
_xlpm.CSVVal,_xlfn.XLOOKUP($A506,CSV!$A:$A,CSV!F:F,""),
_xlpm.MacVal,_xlfn.XLOOKUP($A506,Output_Mac!$A:$A,Output_Mac!F:F,""),
_xlpm.MyAuditVal,_xlfn.XLOOKUP($A506,My_Audit!$A:$A,My_Audit!E:E,""),
_xlfn.IFS(_xlpm.MyAuditVal&lt;&gt;"",_xlpm.MyAuditVal,_xlpm.MacVal&lt;&gt;"",_xlpm.MacVal,_xlpm.CSVVal&lt;&gt;"",PROPER(_xlpm.CSVVal)
)),"")</f>
        <v/>
      </c>
      <c r="G506" s="45" t="str" cm="1">
        <f t="array" ref="G506">IFERROR(_xlfn.LET(
_xlpm.CSVVal,_xlfn.XLOOKUP($A506,CSV!$A:$A,CSV!G:G,""),
_xlpm.MacVal,_xlfn.XLOOKUP($A506,Output_Mac!$A:$A,Output_Mac!H:H,""),
_xlpm.MyAuditVal,_xlfn.XLOOKUP($A506,My_Audit!$A:$A,My_Audit!F:F,""),
_xlfn.IFS(_xlpm.MyAuditVal&lt;&gt;"",_xlpm.MyAuditVal,_xlpm.MacVal&lt;&gt;"",_xlpm.MacVal,_xlpm.CSVVal&lt;&gt;"",_xlpm.CSVVal
)),"")</f>
        <v/>
      </c>
      <c r="H506" s="45" t="str">
        <f>_xlfn.XLOOKUP(A506,Output_Mac!A:A,Output_Mac!I:I,"")</f>
        <v/>
      </c>
      <c r="I506" s="45" t="str" cm="1">
        <f t="array" ref="I506">IFERROR(_xlfn.LET(
_xlpm.CSVVal,_xlfn.XLOOKUP($A506,CSV!$A:$A,CSV!H:H,""),
_xlpm.MacVal,_xlfn.XLOOKUP($A506,Output_Mac!$A:$A,Output_Mac!J:J,""),
_xlpm.MyAuditVal,_xlfn.XLOOKUP($A506,My_Audit!$A:$A,My_Audit!H:H,""),
_xlfn.IFS(_xlpm.MyAuditVal&lt;&gt;"",UPPER(_xlpm.MyAuditVal),_xlpm.MacVal&lt;&gt;"",_xlpm.MacVal,_xlpm.CSVVal&lt;&gt;"",_xlpm.CSVVal
)),"")</f>
        <v/>
      </c>
      <c r="J506" s="45" t="str" cm="1">
        <f t="array" ref="J506">IFERROR(_xlfn.LET(
_xlpm.CSVVal,_xlfn.XLOOKUP($A506,CSV!$A:$A,CSV!J:J,""),
_xlpm.MacVal,_xlfn.XLOOKUP($A506,Output_Mac!$A:$A,Output_Mac!K:K,""),
_xlpm.MyAuditVal,_xlfn.XLOOKUP($A506,My_Audit!$A:$A,My_Audit!I:I,""),
_xlfn.IFS(_xlpm.MyAuditVal&lt;&gt;"",UPPER(_xlpm.MyAuditVal),_xlpm.MacVal&lt;&gt;"",_xlpm.MacVal,_xlpm.CSVVal&lt;&gt;"",_xlpm.CSVVal
)),"")</f>
        <v/>
      </c>
      <c r="K506" s="45" t="str" cm="1">
        <f t="array" ref="K506">IFERROR(_xlfn.LET(
_xlpm.CSVVal,_xlfn.XLOOKUP($A506,CSV!$A:$A,CSV!N:N,""),
_xlpm.MacVal,_xlfn.XLOOKUP($A506,Output_Mac!$A:$A,Output_Mac!L:L,""),
_xlpm.MyAuditVal,_xlfn.XLOOKUP($A506,My_Audit!$A:$A,My_Audit!J:J,""),
_xlfn.IFS(_xlpm.MyAuditVal&lt;&gt;"",UPPER(_xlpm.MyAuditVal),_xlpm.MacVal&lt;&gt;"",_xlpm.MacVal,_xlpm.CSVVal&lt;&gt;"",_xlpm.CSVVal
)),"")</f>
        <v/>
      </c>
      <c r="L506" s="45" t="str" cm="1">
        <f t="array" ref="L506">IFERROR(_xlfn.LET(
_xlpm.CSVVal,_xlfn.XLOOKUP($A506,CSV!$A:$A,CSV!P:P,""),
_xlpm.MacVal,_xlfn.XLOOKUP($A506,Output_Mac!$A:$A,Output_Mac!M:M,""),
_xlpm.MyAuditVal,_xlfn.XLOOKUP($A506,My_Audit!$A:$A,My_Audit!K:K,""),
_xlfn.IFS(_xlpm.MyAuditVal&lt;&gt;"",UPPER(_xlpm.MyAuditVal),_xlpm.MacVal&lt;&gt;"",_xlpm.MacVal,_xlpm.CSVVal&lt;&gt;"",_xlpm.CSVVal
)),"")</f>
        <v/>
      </c>
      <c r="M506" s="45" t="str">
        <f>_xlfn.LET(
    _xlpm.CSVVal, _xlfn.XLOOKUP($A506, CSV!$A:$A, CSV!AE:AE, ""),
    _xlpm.MacVal, _xlfn.XLOOKUP($A506, Output_Mac!$A:$A, Output_Mac!S:S, ""),
    _xlpm.MyAuditVal, _xlfn.XLOOKUP($A506, My_Audit!$A:$A, My_Audit!N:N, ""),
    _xlfn.TEXTJOIN(", ", TRUE, _xlpm.MyAuditVal, _xlpm.MacVal, _xlpm.CSVVal)
)</f>
        <v/>
      </c>
      <c r="N506" s="45" t="str" cm="1">
        <f t="array" ref="N506">IFERROR(_xlfn.LET(
_xlpm.CSVVal,_xlfn.XLOOKUP($A506,CSV!$A:$A,CSV!AG:AG,""),
_xlpm.MacVal,_xlfn.XLOOKUP($A506,Output_Mac!$A:$A,Output_Mac!U:U,""),
_xlpm.MyAuditVal,_xlfn.XLOOKUP($A506,My_Audit!$A:$A,My_Audit!O:O,""),
_xlfn.IFS(_xlpm.MyAuditVal&lt;&gt;"",UPPER(_xlpm.MyAuditVal),_xlpm.MacVal&lt;&gt;"",_xlpm.MacVal,_xlpm.CSVVal&lt;&gt;"",_xlpm.CSVVal
)),"")</f>
        <v/>
      </c>
      <c r="O506" s="45"/>
      <c r="P506" s="45"/>
      <c r="Q506" s="46" t="str">
        <f>IF(LEFT(N506,4)="Pass","Nist SP 800-88",My_Audit!R506)&amp;""</f>
        <v/>
      </c>
      <c r="R506" s="45"/>
      <c r="S506" s="45"/>
      <c r="T506" s="46" t="str">
        <f>_xlfn.XLOOKUP(E506,Models!I:I,Models!J:J,"")</f>
        <v/>
      </c>
      <c r="U506" s="45"/>
      <c r="V506" s="45"/>
      <c r="W506" s="38"/>
    </row>
    <row r="507" spans="1:23">
      <c r="A507" s="45" t="str">
        <f>_xlfn.TEXTJOIN("",TRUE,Input!$B$2,ROW(My_Audit!A506))</f>
        <v>XX506</v>
      </c>
      <c r="B507" s="45" t="str">
        <f>_xlfn.TEXTJOIN("-",TRUE,"ITD",Input!$A$2,A507)</f>
        <v>ITD-SHRXXX-XX506</v>
      </c>
      <c r="C507" s="45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46" t="str" cm="1">
        <f t="array" ref="D507">IFERROR(_xlfn.LET(
_xlpm.CSVVal,_xlfn.XLOOKUP($A507,CSV!$A:$A,CSV!C:C,""),
_xlpm.MacVal,_xlfn.XLOOKUP($A507,Output_Mac!$A:$A,Output_Mac!D:D,""),
_xlpm.MyAuditVal,_xlfn.XLOOKUP($A507,My_Audit!$A:$A,My_Audit!C:C,""),
_xlfn.IFS(_xlpm.MyAuditVal&lt;&gt;"",UPPER(_xlpm.MyAuditVal),_xlpm.MacVal&lt;&gt;"",_xlpm.MacVal,_xlpm.CSVVal&lt;&gt;"",_xlpm.CSVVal
)),"")</f>
        <v/>
      </c>
      <c r="E507" s="46" t="str" cm="1">
        <f t="array" ref="E507">IFERROR(_xlfn.LET(
_xlpm.CSVVal,_xlfn.XLOOKUP($A507,CSV!$A:$A,CSV!E:E,""),
_xlpm.MacVal,_xlfn.XLOOKUP($A507,Output_Mac!$A:$A,Output_Mac!C:C,""),
_xlpm.MyAuditVal,_xlfn.XLOOKUP($A507,My_Audit!$A:$A,My_Audit!D:D,""),
_xlfn.IFS(_xlpm.MyAuditVal&lt;&gt;"",_xlpm.MyAuditVal,_xlpm.MacVal&lt;&gt;"",_xlpm.MacVal,_xlpm.CSVVal&lt;&gt;"",_xlpm.CSVVal
)),"")</f>
        <v/>
      </c>
      <c r="F507" s="45" t="str" cm="1">
        <f t="array" ref="F507">IFERROR(_xlfn.LET(
_xlpm.CSVVal,_xlfn.XLOOKUP($A507,CSV!$A:$A,CSV!F:F,""),
_xlpm.MacVal,_xlfn.XLOOKUP($A507,Output_Mac!$A:$A,Output_Mac!F:F,""),
_xlpm.MyAuditVal,_xlfn.XLOOKUP($A507,My_Audit!$A:$A,My_Audit!E:E,""),
_xlfn.IFS(_xlpm.MyAuditVal&lt;&gt;"",_xlpm.MyAuditVal,_xlpm.MacVal&lt;&gt;"",_xlpm.MacVal,_xlpm.CSVVal&lt;&gt;"",PROPER(_xlpm.CSVVal)
)),"")</f>
        <v/>
      </c>
      <c r="G507" s="45" t="str" cm="1">
        <f t="array" ref="G507">IFERROR(_xlfn.LET(
_xlpm.CSVVal,_xlfn.XLOOKUP($A507,CSV!$A:$A,CSV!G:G,""),
_xlpm.MacVal,_xlfn.XLOOKUP($A507,Output_Mac!$A:$A,Output_Mac!H:H,""),
_xlpm.MyAuditVal,_xlfn.XLOOKUP($A507,My_Audit!$A:$A,My_Audit!F:F,""),
_xlfn.IFS(_xlpm.MyAuditVal&lt;&gt;"",_xlpm.MyAuditVal,_xlpm.MacVal&lt;&gt;"",_xlpm.MacVal,_xlpm.CSVVal&lt;&gt;"",_xlpm.CSVVal
)),"")</f>
        <v/>
      </c>
      <c r="H507" s="45" t="str">
        <f>_xlfn.XLOOKUP(A507,Output_Mac!A:A,Output_Mac!I:I,"")</f>
        <v/>
      </c>
      <c r="I507" s="45" t="str" cm="1">
        <f t="array" ref="I507">IFERROR(_xlfn.LET(
_xlpm.CSVVal,_xlfn.XLOOKUP($A507,CSV!$A:$A,CSV!H:H,""),
_xlpm.MacVal,_xlfn.XLOOKUP($A507,Output_Mac!$A:$A,Output_Mac!J:J,""),
_xlpm.MyAuditVal,_xlfn.XLOOKUP($A507,My_Audit!$A:$A,My_Audit!H:H,""),
_xlfn.IFS(_xlpm.MyAuditVal&lt;&gt;"",UPPER(_xlpm.MyAuditVal),_xlpm.MacVal&lt;&gt;"",_xlpm.MacVal,_xlpm.CSVVal&lt;&gt;"",_xlpm.CSVVal
)),"")</f>
        <v/>
      </c>
      <c r="J507" s="45" t="str" cm="1">
        <f t="array" ref="J507">IFERROR(_xlfn.LET(
_xlpm.CSVVal,_xlfn.XLOOKUP($A507,CSV!$A:$A,CSV!J:J,""),
_xlpm.MacVal,_xlfn.XLOOKUP($A507,Output_Mac!$A:$A,Output_Mac!K:K,""),
_xlpm.MyAuditVal,_xlfn.XLOOKUP($A507,My_Audit!$A:$A,My_Audit!I:I,""),
_xlfn.IFS(_xlpm.MyAuditVal&lt;&gt;"",UPPER(_xlpm.MyAuditVal),_xlpm.MacVal&lt;&gt;"",_xlpm.MacVal,_xlpm.CSVVal&lt;&gt;"",_xlpm.CSVVal
)),"")</f>
        <v/>
      </c>
      <c r="K507" s="45" t="str" cm="1">
        <f t="array" ref="K507">IFERROR(_xlfn.LET(
_xlpm.CSVVal,_xlfn.XLOOKUP($A507,CSV!$A:$A,CSV!N:N,""),
_xlpm.MacVal,_xlfn.XLOOKUP($A507,Output_Mac!$A:$A,Output_Mac!L:L,""),
_xlpm.MyAuditVal,_xlfn.XLOOKUP($A507,My_Audit!$A:$A,My_Audit!J:J,""),
_xlfn.IFS(_xlpm.MyAuditVal&lt;&gt;"",UPPER(_xlpm.MyAuditVal),_xlpm.MacVal&lt;&gt;"",_xlpm.MacVal,_xlpm.CSVVal&lt;&gt;"",_xlpm.CSVVal
)),"")</f>
        <v/>
      </c>
      <c r="L507" s="45" t="str" cm="1">
        <f t="array" ref="L507">IFERROR(_xlfn.LET(
_xlpm.CSVVal,_xlfn.XLOOKUP($A507,CSV!$A:$A,CSV!P:P,""),
_xlpm.MacVal,_xlfn.XLOOKUP($A507,Output_Mac!$A:$A,Output_Mac!M:M,""),
_xlpm.MyAuditVal,_xlfn.XLOOKUP($A507,My_Audit!$A:$A,My_Audit!K:K,""),
_xlfn.IFS(_xlpm.MyAuditVal&lt;&gt;"",UPPER(_xlpm.MyAuditVal),_xlpm.MacVal&lt;&gt;"",_xlpm.MacVal,_xlpm.CSVVal&lt;&gt;"",_xlpm.CSVVal
)),"")</f>
        <v/>
      </c>
      <c r="M507" s="45" t="str">
        <f>_xlfn.LET(
    _xlpm.CSVVal, _xlfn.XLOOKUP($A507, CSV!$A:$A, CSV!AE:AE, ""),
    _xlpm.MacVal, _xlfn.XLOOKUP($A507, Output_Mac!$A:$A, Output_Mac!S:S, ""),
    _xlpm.MyAuditVal, _xlfn.XLOOKUP($A507, My_Audit!$A:$A, My_Audit!N:N, ""),
    _xlfn.TEXTJOIN(", ", TRUE, _xlpm.MyAuditVal, _xlpm.MacVal, _xlpm.CSVVal)
)</f>
        <v/>
      </c>
      <c r="N507" s="45" t="str" cm="1">
        <f t="array" ref="N507">IFERROR(_xlfn.LET(
_xlpm.CSVVal,_xlfn.XLOOKUP($A507,CSV!$A:$A,CSV!AG:AG,""),
_xlpm.MacVal,_xlfn.XLOOKUP($A507,Output_Mac!$A:$A,Output_Mac!U:U,""),
_xlpm.MyAuditVal,_xlfn.XLOOKUP($A507,My_Audit!$A:$A,My_Audit!O:O,""),
_xlfn.IFS(_xlpm.MyAuditVal&lt;&gt;"",UPPER(_xlpm.MyAuditVal),_xlpm.MacVal&lt;&gt;"",_xlpm.MacVal,_xlpm.CSVVal&lt;&gt;"",_xlpm.CSVVal
)),"")</f>
        <v/>
      </c>
      <c r="O507" s="45"/>
      <c r="P507" s="45"/>
      <c r="Q507" s="46" t="str">
        <f>IF(LEFT(N507,4)="Pass","Nist SP 800-88",My_Audit!R507)&amp;""</f>
        <v/>
      </c>
      <c r="R507" s="45"/>
      <c r="S507" s="45"/>
      <c r="T507" s="46" t="str">
        <f>_xlfn.XLOOKUP(E507,Models!I:I,Models!J:J,"")</f>
        <v/>
      </c>
      <c r="U507" s="45"/>
      <c r="V507" s="45"/>
      <c r="W507" s="38"/>
    </row>
    <row r="508" spans="1:23">
      <c r="A508" s="45" t="str">
        <f>_xlfn.TEXTJOIN("",TRUE,Input!$B$2,ROW(My_Audit!A507))</f>
        <v>XX507</v>
      </c>
      <c r="B508" s="45" t="str">
        <f>_xlfn.TEXTJOIN("-",TRUE,"ITD",Input!$A$2,A508)</f>
        <v>ITD-SHRXXX-XX507</v>
      </c>
      <c r="C508" s="45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46" t="str" cm="1">
        <f t="array" ref="D508">IFERROR(_xlfn.LET(
_xlpm.CSVVal,_xlfn.XLOOKUP($A508,CSV!$A:$A,CSV!C:C,""),
_xlpm.MacVal,_xlfn.XLOOKUP($A508,Output_Mac!$A:$A,Output_Mac!D:D,""),
_xlpm.MyAuditVal,_xlfn.XLOOKUP($A508,My_Audit!$A:$A,My_Audit!C:C,""),
_xlfn.IFS(_xlpm.MyAuditVal&lt;&gt;"",UPPER(_xlpm.MyAuditVal),_xlpm.MacVal&lt;&gt;"",_xlpm.MacVal,_xlpm.CSVVal&lt;&gt;"",_xlpm.CSVVal
)),"")</f>
        <v/>
      </c>
      <c r="E508" s="46" t="str" cm="1">
        <f t="array" ref="E508">IFERROR(_xlfn.LET(
_xlpm.CSVVal,_xlfn.XLOOKUP($A508,CSV!$A:$A,CSV!E:E,""),
_xlpm.MacVal,_xlfn.XLOOKUP($A508,Output_Mac!$A:$A,Output_Mac!C:C,""),
_xlpm.MyAuditVal,_xlfn.XLOOKUP($A508,My_Audit!$A:$A,My_Audit!D:D,""),
_xlfn.IFS(_xlpm.MyAuditVal&lt;&gt;"",_xlpm.MyAuditVal,_xlpm.MacVal&lt;&gt;"",_xlpm.MacVal,_xlpm.CSVVal&lt;&gt;"",_xlpm.CSVVal
)),"")</f>
        <v/>
      </c>
      <c r="F508" s="45" t="str" cm="1">
        <f t="array" ref="F508">IFERROR(_xlfn.LET(
_xlpm.CSVVal,_xlfn.XLOOKUP($A508,CSV!$A:$A,CSV!F:F,""),
_xlpm.MacVal,_xlfn.XLOOKUP($A508,Output_Mac!$A:$A,Output_Mac!F:F,""),
_xlpm.MyAuditVal,_xlfn.XLOOKUP($A508,My_Audit!$A:$A,My_Audit!E:E,""),
_xlfn.IFS(_xlpm.MyAuditVal&lt;&gt;"",_xlpm.MyAuditVal,_xlpm.MacVal&lt;&gt;"",_xlpm.MacVal,_xlpm.CSVVal&lt;&gt;"",PROPER(_xlpm.CSVVal)
)),"")</f>
        <v/>
      </c>
      <c r="G508" s="45" t="str" cm="1">
        <f t="array" ref="G508">IFERROR(_xlfn.LET(
_xlpm.CSVVal,_xlfn.XLOOKUP($A508,CSV!$A:$A,CSV!G:G,""),
_xlpm.MacVal,_xlfn.XLOOKUP($A508,Output_Mac!$A:$A,Output_Mac!H:H,""),
_xlpm.MyAuditVal,_xlfn.XLOOKUP($A508,My_Audit!$A:$A,My_Audit!F:F,""),
_xlfn.IFS(_xlpm.MyAuditVal&lt;&gt;"",_xlpm.MyAuditVal,_xlpm.MacVal&lt;&gt;"",_xlpm.MacVal,_xlpm.CSVVal&lt;&gt;"",_xlpm.CSVVal
)),"")</f>
        <v/>
      </c>
      <c r="H508" s="45" t="str">
        <f>_xlfn.XLOOKUP(A508,Output_Mac!A:A,Output_Mac!I:I,"")</f>
        <v/>
      </c>
      <c r="I508" s="45" t="str" cm="1">
        <f t="array" ref="I508">IFERROR(_xlfn.LET(
_xlpm.CSVVal,_xlfn.XLOOKUP($A508,CSV!$A:$A,CSV!H:H,""),
_xlpm.MacVal,_xlfn.XLOOKUP($A508,Output_Mac!$A:$A,Output_Mac!J:J,""),
_xlpm.MyAuditVal,_xlfn.XLOOKUP($A508,My_Audit!$A:$A,My_Audit!H:H,""),
_xlfn.IFS(_xlpm.MyAuditVal&lt;&gt;"",UPPER(_xlpm.MyAuditVal),_xlpm.MacVal&lt;&gt;"",_xlpm.MacVal,_xlpm.CSVVal&lt;&gt;"",_xlpm.CSVVal
)),"")</f>
        <v/>
      </c>
      <c r="J508" s="45" t="str" cm="1">
        <f t="array" ref="J508">IFERROR(_xlfn.LET(
_xlpm.CSVVal,_xlfn.XLOOKUP($A508,CSV!$A:$A,CSV!J:J,""),
_xlpm.MacVal,_xlfn.XLOOKUP($A508,Output_Mac!$A:$A,Output_Mac!K:K,""),
_xlpm.MyAuditVal,_xlfn.XLOOKUP($A508,My_Audit!$A:$A,My_Audit!I:I,""),
_xlfn.IFS(_xlpm.MyAuditVal&lt;&gt;"",UPPER(_xlpm.MyAuditVal),_xlpm.MacVal&lt;&gt;"",_xlpm.MacVal,_xlpm.CSVVal&lt;&gt;"",_xlpm.CSVVal
)),"")</f>
        <v/>
      </c>
      <c r="K508" s="45" t="str" cm="1">
        <f t="array" ref="K508">IFERROR(_xlfn.LET(
_xlpm.CSVVal,_xlfn.XLOOKUP($A508,CSV!$A:$A,CSV!N:N,""),
_xlpm.MacVal,_xlfn.XLOOKUP($A508,Output_Mac!$A:$A,Output_Mac!L:L,""),
_xlpm.MyAuditVal,_xlfn.XLOOKUP($A508,My_Audit!$A:$A,My_Audit!J:J,""),
_xlfn.IFS(_xlpm.MyAuditVal&lt;&gt;"",UPPER(_xlpm.MyAuditVal),_xlpm.MacVal&lt;&gt;"",_xlpm.MacVal,_xlpm.CSVVal&lt;&gt;"",_xlpm.CSVVal
)),"")</f>
        <v/>
      </c>
      <c r="L508" s="45" t="str" cm="1">
        <f t="array" ref="L508">IFERROR(_xlfn.LET(
_xlpm.CSVVal,_xlfn.XLOOKUP($A508,CSV!$A:$A,CSV!P:P,""),
_xlpm.MacVal,_xlfn.XLOOKUP($A508,Output_Mac!$A:$A,Output_Mac!M:M,""),
_xlpm.MyAuditVal,_xlfn.XLOOKUP($A508,My_Audit!$A:$A,My_Audit!K:K,""),
_xlfn.IFS(_xlpm.MyAuditVal&lt;&gt;"",UPPER(_xlpm.MyAuditVal),_xlpm.MacVal&lt;&gt;"",_xlpm.MacVal,_xlpm.CSVVal&lt;&gt;"",_xlpm.CSVVal
)),"")</f>
        <v/>
      </c>
      <c r="M508" s="45" t="str">
        <f>_xlfn.LET(
    _xlpm.CSVVal, _xlfn.XLOOKUP($A508, CSV!$A:$A, CSV!AE:AE, ""),
    _xlpm.MacVal, _xlfn.XLOOKUP($A508, Output_Mac!$A:$A, Output_Mac!S:S, ""),
    _xlpm.MyAuditVal, _xlfn.XLOOKUP($A508, My_Audit!$A:$A, My_Audit!N:N, ""),
    _xlfn.TEXTJOIN(", ", TRUE, _xlpm.MyAuditVal, _xlpm.MacVal, _xlpm.CSVVal)
)</f>
        <v/>
      </c>
      <c r="N508" s="45" t="str" cm="1">
        <f t="array" ref="N508">IFERROR(_xlfn.LET(
_xlpm.CSVVal,_xlfn.XLOOKUP($A508,CSV!$A:$A,CSV!AG:AG,""),
_xlpm.MacVal,_xlfn.XLOOKUP($A508,Output_Mac!$A:$A,Output_Mac!U:U,""),
_xlpm.MyAuditVal,_xlfn.XLOOKUP($A508,My_Audit!$A:$A,My_Audit!O:O,""),
_xlfn.IFS(_xlpm.MyAuditVal&lt;&gt;"",UPPER(_xlpm.MyAuditVal),_xlpm.MacVal&lt;&gt;"",_xlpm.MacVal,_xlpm.CSVVal&lt;&gt;"",_xlpm.CSVVal
)),"")</f>
        <v/>
      </c>
      <c r="O508" s="45"/>
      <c r="P508" s="45"/>
      <c r="Q508" s="46" t="str">
        <f>IF(LEFT(N508,4)="Pass","Nist SP 800-88",My_Audit!R508)&amp;""</f>
        <v/>
      </c>
      <c r="R508" s="45"/>
      <c r="S508" s="45"/>
      <c r="T508" s="46" t="str">
        <f>_xlfn.XLOOKUP(E508,Models!I:I,Models!J:J,"")</f>
        <v/>
      </c>
      <c r="U508" s="45"/>
      <c r="V508" s="45"/>
      <c r="W508" s="38"/>
    </row>
    <row r="509" spans="1:23">
      <c r="A509" s="45" t="str">
        <f>_xlfn.TEXTJOIN("",TRUE,Input!$B$2,ROW(My_Audit!A508))</f>
        <v>XX508</v>
      </c>
      <c r="B509" s="45" t="str">
        <f>_xlfn.TEXTJOIN("-",TRUE,"ITD",Input!$A$2,A509)</f>
        <v>ITD-SHRXXX-XX508</v>
      </c>
      <c r="C509" s="45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46" t="str" cm="1">
        <f t="array" ref="D509">IFERROR(_xlfn.LET(
_xlpm.CSVVal,_xlfn.XLOOKUP($A509,CSV!$A:$A,CSV!C:C,""),
_xlpm.MacVal,_xlfn.XLOOKUP($A509,Output_Mac!$A:$A,Output_Mac!D:D,""),
_xlpm.MyAuditVal,_xlfn.XLOOKUP($A509,My_Audit!$A:$A,My_Audit!C:C,""),
_xlfn.IFS(_xlpm.MyAuditVal&lt;&gt;"",UPPER(_xlpm.MyAuditVal),_xlpm.MacVal&lt;&gt;"",_xlpm.MacVal,_xlpm.CSVVal&lt;&gt;"",_xlpm.CSVVal
)),"")</f>
        <v/>
      </c>
      <c r="E509" s="46" t="str" cm="1">
        <f t="array" ref="E509">IFERROR(_xlfn.LET(
_xlpm.CSVVal,_xlfn.XLOOKUP($A509,CSV!$A:$A,CSV!E:E,""),
_xlpm.MacVal,_xlfn.XLOOKUP($A509,Output_Mac!$A:$A,Output_Mac!C:C,""),
_xlpm.MyAuditVal,_xlfn.XLOOKUP($A509,My_Audit!$A:$A,My_Audit!D:D,""),
_xlfn.IFS(_xlpm.MyAuditVal&lt;&gt;"",_xlpm.MyAuditVal,_xlpm.MacVal&lt;&gt;"",_xlpm.MacVal,_xlpm.CSVVal&lt;&gt;"",_xlpm.CSVVal
)),"")</f>
        <v/>
      </c>
      <c r="F509" s="45" t="str" cm="1">
        <f t="array" ref="F509">IFERROR(_xlfn.LET(
_xlpm.CSVVal,_xlfn.XLOOKUP($A509,CSV!$A:$A,CSV!F:F,""),
_xlpm.MacVal,_xlfn.XLOOKUP($A509,Output_Mac!$A:$A,Output_Mac!F:F,""),
_xlpm.MyAuditVal,_xlfn.XLOOKUP($A509,My_Audit!$A:$A,My_Audit!E:E,""),
_xlfn.IFS(_xlpm.MyAuditVal&lt;&gt;"",_xlpm.MyAuditVal,_xlpm.MacVal&lt;&gt;"",_xlpm.MacVal,_xlpm.CSVVal&lt;&gt;"",PROPER(_xlpm.CSVVal)
)),"")</f>
        <v/>
      </c>
      <c r="G509" s="45" t="str" cm="1">
        <f t="array" ref="G509">IFERROR(_xlfn.LET(
_xlpm.CSVVal,_xlfn.XLOOKUP($A509,CSV!$A:$A,CSV!G:G,""),
_xlpm.MacVal,_xlfn.XLOOKUP($A509,Output_Mac!$A:$A,Output_Mac!H:H,""),
_xlpm.MyAuditVal,_xlfn.XLOOKUP($A509,My_Audit!$A:$A,My_Audit!F:F,""),
_xlfn.IFS(_xlpm.MyAuditVal&lt;&gt;"",_xlpm.MyAuditVal,_xlpm.MacVal&lt;&gt;"",_xlpm.MacVal,_xlpm.CSVVal&lt;&gt;"",_xlpm.CSVVal
)),"")</f>
        <v/>
      </c>
      <c r="H509" s="45" t="str">
        <f>_xlfn.XLOOKUP(A509,Output_Mac!A:A,Output_Mac!I:I,"")</f>
        <v/>
      </c>
      <c r="I509" s="45" t="str" cm="1">
        <f t="array" ref="I509">IFERROR(_xlfn.LET(
_xlpm.CSVVal,_xlfn.XLOOKUP($A509,CSV!$A:$A,CSV!H:H,""),
_xlpm.MacVal,_xlfn.XLOOKUP($A509,Output_Mac!$A:$A,Output_Mac!J:J,""),
_xlpm.MyAuditVal,_xlfn.XLOOKUP($A509,My_Audit!$A:$A,My_Audit!H:H,""),
_xlfn.IFS(_xlpm.MyAuditVal&lt;&gt;"",UPPER(_xlpm.MyAuditVal),_xlpm.MacVal&lt;&gt;"",_xlpm.MacVal,_xlpm.CSVVal&lt;&gt;"",_xlpm.CSVVal
)),"")</f>
        <v/>
      </c>
      <c r="J509" s="45" t="str" cm="1">
        <f t="array" ref="J509">IFERROR(_xlfn.LET(
_xlpm.CSVVal,_xlfn.XLOOKUP($A509,CSV!$A:$A,CSV!J:J,""),
_xlpm.MacVal,_xlfn.XLOOKUP($A509,Output_Mac!$A:$A,Output_Mac!K:K,""),
_xlpm.MyAuditVal,_xlfn.XLOOKUP($A509,My_Audit!$A:$A,My_Audit!I:I,""),
_xlfn.IFS(_xlpm.MyAuditVal&lt;&gt;"",UPPER(_xlpm.MyAuditVal),_xlpm.MacVal&lt;&gt;"",_xlpm.MacVal,_xlpm.CSVVal&lt;&gt;"",_xlpm.CSVVal
)),"")</f>
        <v/>
      </c>
      <c r="K509" s="45" t="str" cm="1">
        <f t="array" ref="K509">IFERROR(_xlfn.LET(
_xlpm.CSVVal,_xlfn.XLOOKUP($A509,CSV!$A:$A,CSV!N:N,""),
_xlpm.MacVal,_xlfn.XLOOKUP($A509,Output_Mac!$A:$A,Output_Mac!L:L,""),
_xlpm.MyAuditVal,_xlfn.XLOOKUP($A509,My_Audit!$A:$A,My_Audit!J:J,""),
_xlfn.IFS(_xlpm.MyAuditVal&lt;&gt;"",UPPER(_xlpm.MyAuditVal),_xlpm.MacVal&lt;&gt;"",_xlpm.MacVal,_xlpm.CSVVal&lt;&gt;"",_xlpm.CSVVal
)),"")</f>
        <v/>
      </c>
      <c r="L509" s="45" t="str" cm="1">
        <f t="array" ref="L509">IFERROR(_xlfn.LET(
_xlpm.CSVVal,_xlfn.XLOOKUP($A509,CSV!$A:$A,CSV!P:P,""),
_xlpm.MacVal,_xlfn.XLOOKUP($A509,Output_Mac!$A:$A,Output_Mac!M:M,""),
_xlpm.MyAuditVal,_xlfn.XLOOKUP($A509,My_Audit!$A:$A,My_Audit!K:K,""),
_xlfn.IFS(_xlpm.MyAuditVal&lt;&gt;"",UPPER(_xlpm.MyAuditVal),_xlpm.MacVal&lt;&gt;"",_xlpm.MacVal,_xlpm.CSVVal&lt;&gt;"",_xlpm.CSVVal
)),"")</f>
        <v/>
      </c>
      <c r="M509" s="45" t="str">
        <f>_xlfn.LET(
    _xlpm.CSVVal, _xlfn.XLOOKUP($A509, CSV!$A:$A, CSV!AE:AE, ""),
    _xlpm.MacVal, _xlfn.XLOOKUP($A509, Output_Mac!$A:$A, Output_Mac!S:S, ""),
    _xlpm.MyAuditVal, _xlfn.XLOOKUP($A509, My_Audit!$A:$A, My_Audit!N:N, ""),
    _xlfn.TEXTJOIN(", ", TRUE, _xlpm.MyAuditVal, _xlpm.MacVal, _xlpm.CSVVal)
)</f>
        <v/>
      </c>
      <c r="N509" s="45" t="str" cm="1">
        <f t="array" ref="N509">IFERROR(_xlfn.LET(
_xlpm.CSVVal,_xlfn.XLOOKUP($A509,CSV!$A:$A,CSV!AG:AG,""),
_xlpm.MacVal,_xlfn.XLOOKUP($A509,Output_Mac!$A:$A,Output_Mac!U:U,""),
_xlpm.MyAuditVal,_xlfn.XLOOKUP($A509,My_Audit!$A:$A,My_Audit!O:O,""),
_xlfn.IFS(_xlpm.MyAuditVal&lt;&gt;"",UPPER(_xlpm.MyAuditVal),_xlpm.MacVal&lt;&gt;"",_xlpm.MacVal,_xlpm.CSVVal&lt;&gt;"",_xlpm.CSVVal
)),"")</f>
        <v/>
      </c>
      <c r="O509" s="45"/>
      <c r="P509" s="45"/>
      <c r="Q509" s="46" t="str">
        <f>IF(LEFT(N509,4)="Pass","Nist SP 800-88",My_Audit!R509)&amp;""</f>
        <v/>
      </c>
      <c r="R509" s="45"/>
      <c r="S509" s="45"/>
      <c r="T509" s="46" t="str">
        <f>_xlfn.XLOOKUP(E509,Models!I:I,Models!J:J,"")</f>
        <v/>
      </c>
      <c r="U509" s="45"/>
      <c r="V509" s="45"/>
      <c r="W509" s="38"/>
    </row>
    <row r="510" spans="1:23">
      <c r="A510" s="45" t="str">
        <f>_xlfn.TEXTJOIN("",TRUE,Input!$B$2,ROW(My_Audit!A509))</f>
        <v>XX509</v>
      </c>
      <c r="B510" s="45" t="str">
        <f>_xlfn.TEXTJOIN("-",TRUE,"ITD",Input!$A$2,A510)</f>
        <v>ITD-SHRXXX-XX509</v>
      </c>
      <c r="C510" s="45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46" t="str" cm="1">
        <f t="array" ref="D510">IFERROR(_xlfn.LET(
_xlpm.CSVVal,_xlfn.XLOOKUP($A510,CSV!$A:$A,CSV!C:C,""),
_xlpm.MacVal,_xlfn.XLOOKUP($A510,Output_Mac!$A:$A,Output_Mac!D:D,""),
_xlpm.MyAuditVal,_xlfn.XLOOKUP($A510,My_Audit!$A:$A,My_Audit!C:C,""),
_xlfn.IFS(_xlpm.MyAuditVal&lt;&gt;"",UPPER(_xlpm.MyAuditVal),_xlpm.MacVal&lt;&gt;"",_xlpm.MacVal,_xlpm.CSVVal&lt;&gt;"",_xlpm.CSVVal
)),"")</f>
        <v/>
      </c>
      <c r="E510" s="46" t="str" cm="1">
        <f t="array" ref="E510">IFERROR(_xlfn.LET(
_xlpm.CSVVal,_xlfn.XLOOKUP($A510,CSV!$A:$A,CSV!E:E,""),
_xlpm.MacVal,_xlfn.XLOOKUP($A510,Output_Mac!$A:$A,Output_Mac!C:C,""),
_xlpm.MyAuditVal,_xlfn.XLOOKUP($A510,My_Audit!$A:$A,My_Audit!D:D,""),
_xlfn.IFS(_xlpm.MyAuditVal&lt;&gt;"",_xlpm.MyAuditVal,_xlpm.MacVal&lt;&gt;"",_xlpm.MacVal,_xlpm.CSVVal&lt;&gt;"",_xlpm.CSVVal
)),"")</f>
        <v/>
      </c>
      <c r="F510" s="45" t="str" cm="1">
        <f t="array" ref="F510">IFERROR(_xlfn.LET(
_xlpm.CSVVal,_xlfn.XLOOKUP($A510,CSV!$A:$A,CSV!F:F,""),
_xlpm.MacVal,_xlfn.XLOOKUP($A510,Output_Mac!$A:$A,Output_Mac!F:F,""),
_xlpm.MyAuditVal,_xlfn.XLOOKUP($A510,My_Audit!$A:$A,My_Audit!E:E,""),
_xlfn.IFS(_xlpm.MyAuditVal&lt;&gt;"",_xlpm.MyAuditVal,_xlpm.MacVal&lt;&gt;"",_xlpm.MacVal,_xlpm.CSVVal&lt;&gt;"",PROPER(_xlpm.CSVVal)
)),"")</f>
        <v/>
      </c>
      <c r="G510" s="45" t="str" cm="1">
        <f t="array" ref="G510">IFERROR(_xlfn.LET(
_xlpm.CSVVal,_xlfn.XLOOKUP($A510,CSV!$A:$A,CSV!G:G,""),
_xlpm.MacVal,_xlfn.XLOOKUP($A510,Output_Mac!$A:$A,Output_Mac!H:H,""),
_xlpm.MyAuditVal,_xlfn.XLOOKUP($A510,My_Audit!$A:$A,My_Audit!F:F,""),
_xlfn.IFS(_xlpm.MyAuditVal&lt;&gt;"",_xlpm.MyAuditVal,_xlpm.MacVal&lt;&gt;"",_xlpm.MacVal,_xlpm.CSVVal&lt;&gt;"",_xlpm.CSVVal
)),"")</f>
        <v/>
      </c>
      <c r="H510" s="45" t="str">
        <f>_xlfn.XLOOKUP(A510,Output_Mac!A:A,Output_Mac!I:I,"")</f>
        <v/>
      </c>
      <c r="I510" s="45" t="str" cm="1">
        <f t="array" ref="I510">IFERROR(_xlfn.LET(
_xlpm.CSVVal,_xlfn.XLOOKUP($A510,CSV!$A:$A,CSV!H:H,""),
_xlpm.MacVal,_xlfn.XLOOKUP($A510,Output_Mac!$A:$A,Output_Mac!J:J,""),
_xlpm.MyAuditVal,_xlfn.XLOOKUP($A510,My_Audit!$A:$A,My_Audit!H:H,""),
_xlfn.IFS(_xlpm.MyAuditVal&lt;&gt;"",UPPER(_xlpm.MyAuditVal),_xlpm.MacVal&lt;&gt;"",_xlpm.MacVal,_xlpm.CSVVal&lt;&gt;"",_xlpm.CSVVal
)),"")</f>
        <v/>
      </c>
      <c r="J510" s="45" t="str" cm="1">
        <f t="array" ref="J510">IFERROR(_xlfn.LET(
_xlpm.CSVVal,_xlfn.XLOOKUP($A510,CSV!$A:$A,CSV!J:J,""),
_xlpm.MacVal,_xlfn.XLOOKUP($A510,Output_Mac!$A:$A,Output_Mac!K:K,""),
_xlpm.MyAuditVal,_xlfn.XLOOKUP($A510,My_Audit!$A:$A,My_Audit!I:I,""),
_xlfn.IFS(_xlpm.MyAuditVal&lt;&gt;"",UPPER(_xlpm.MyAuditVal),_xlpm.MacVal&lt;&gt;"",_xlpm.MacVal,_xlpm.CSVVal&lt;&gt;"",_xlpm.CSVVal
)),"")</f>
        <v/>
      </c>
      <c r="K510" s="45" t="str" cm="1">
        <f t="array" ref="K510">IFERROR(_xlfn.LET(
_xlpm.CSVVal,_xlfn.XLOOKUP($A510,CSV!$A:$A,CSV!N:N,""),
_xlpm.MacVal,_xlfn.XLOOKUP($A510,Output_Mac!$A:$A,Output_Mac!L:L,""),
_xlpm.MyAuditVal,_xlfn.XLOOKUP($A510,My_Audit!$A:$A,My_Audit!J:J,""),
_xlfn.IFS(_xlpm.MyAuditVal&lt;&gt;"",UPPER(_xlpm.MyAuditVal),_xlpm.MacVal&lt;&gt;"",_xlpm.MacVal,_xlpm.CSVVal&lt;&gt;"",_xlpm.CSVVal
)),"")</f>
        <v/>
      </c>
      <c r="L510" s="45" t="str" cm="1">
        <f t="array" ref="L510">IFERROR(_xlfn.LET(
_xlpm.CSVVal,_xlfn.XLOOKUP($A510,CSV!$A:$A,CSV!P:P,""),
_xlpm.MacVal,_xlfn.XLOOKUP($A510,Output_Mac!$A:$A,Output_Mac!M:M,""),
_xlpm.MyAuditVal,_xlfn.XLOOKUP($A510,My_Audit!$A:$A,My_Audit!K:K,""),
_xlfn.IFS(_xlpm.MyAuditVal&lt;&gt;"",UPPER(_xlpm.MyAuditVal),_xlpm.MacVal&lt;&gt;"",_xlpm.MacVal,_xlpm.CSVVal&lt;&gt;"",_xlpm.CSVVal
)),"")</f>
        <v/>
      </c>
      <c r="M510" s="45" t="str">
        <f>_xlfn.LET(
    _xlpm.CSVVal, _xlfn.XLOOKUP($A510, CSV!$A:$A, CSV!AE:AE, ""),
    _xlpm.MacVal, _xlfn.XLOOKUP($A510, Output_Mac!$A:$A, Output_Mac!S:S, ""),
    _xlpm.MyAuditVal, _xlfn.XLOOKUP($A510, My_Audit!$A:$A, My_Audit!N:N, ""),
    _xlfn.TEXTJOIN(", ", TRUE, _xlpm.MyAuditVal, _xlpm.MacVal, _xlpm.CSVVal)
)</f>
        <v/>
      </c>
      <c r="N510" s="45" t="str" cm="1">
        <f t="array" ref="N510">IFERROR(_xlfn.LET(
_xlpm.CSVVal,_xlfn.XLOOKUP($A510,CSV!$A:$A,CSV!AG:AG,""),
_xlpm.MacVal,_xlfn.XLOOKUP($A510,Output_Mac!$A:$A,Output_Mac!U:U,""),
_xlpm.MyAuditVal,_xlfn.XLOOKUP($A510,My_Audit!$A:$A,My_Audit!O:O,""),
_xlfn.IFS(_xlpm.MyAuditVal&lt;&gt;"",UPPER(_xlpm.MyAuditVal),_xlpm.MacVal&lt;&gt;"",_xlpm.MacVal,_xlpm.CSVVal&lt;&gt;"",_xlpm.CSVVal
)),"")</f>
        <v/>
      </c>
      <c r="O510" s="45"/>
      <c r="P510" s="45"/>
      <c r="Q510" s="46" t="str">
        <f>IF(LEFT(N510,4)="Pass","Nist SP 800-88",My_Audit!R510)&amp;""</f>
        <v/>
      </c>
      <c r="R510" s="45"/>
      <c r="S510" s="45"/>
      <c r="T510" s="46" t="str">
        <f>_xlfn.XLOOKUP(E510,Models!I:I,Models!J:J,"")</f>
        <v/>
      </c>
      <c r="U510" s="45"/>
      <c r="V510" s="45"/>
      <c r="W510" s="38"/>
    </row>
    <row r="511" spans="1:23">
      <c r="A511" s="45" t="str">
        <f>_xlfn.TEXTJOIN("",TRUE,Input!$B$2,ROW(My_Audit!A510))</f>
        <v>XX510</v>
      </c>
      <c r="B511" s="45" t="str">
        <f>_xlfn.TEXTJOIN("-",TRUE,"ITD",Input!$A$2,A511)</f>
        <v>ITD-SHRXXX-XX510</v>
      </c>
      <c r="C511" s="45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46" t="str" cm="1">
        <f t="array" ref="D511">IFERROR(_xlfn.LET(
_xlpm.CSVVal,_xlfn.XLOOKUP($A511,CSV!$A:$A,CSV!C:C,""),
_xlpm.MacVal,_xlfn.XLOOKUP($A511,Output_Mac!$A:$A,Output_Mac!D:D,""),
_xlpm.MyAuditVal,_xlfn.XLOOKUP($A511,My_Audit!$A:$A,My_Audit!C:C,""),
_xlfn.IFS(_xlpm.MyAuditVal&lt;&gt;"",UPPER(_xlpm.MyAuditVal),_xlpm.MacVal&lt;&gt;"",_xlpm.MacVal,_xlpm.CSVVal&lt;&gt;"",_xlpm.CSVVal
)),"")</f>
        <v/>
      </c>
      <c r="E511" s="46" t="str" cm="1">
        <f t="array" ref="E511">IFERROR(_xlfn.LET(
_xlpm.CSVVal,_xlfn.XLOOKUP($A511,CSV!$A:$A,CSV!E:E,""),
_xlpm.MacVal,_xlfn.XLOOKUP($A511,Output_Mac!$A:$A,Output_Mac!C:C,""),
_xlpm.MyAuditVal,_xlfn.XLOOKUP($A511,My_Audit!$A:$A,My_Audit!D:D,""),
_xlfn.IFS(_xlpm.MyAuditVal&lt;&gt;"",_xlpm.MyAuditVal,_xlpm.MacVal&lt;&gt;"",_xlpm.MacVal,_xlpm.CSVVal&lt;&gt;"",_xlpm.CSVVal
)),"")</f>
        <v/>
      </c>
      <c r="F511" s="45" t="str" cm="1">
        <f t="array" ref="F511">IFERROR(_xlfn.LET(
_xlpm.CSVVal,_xlfn.XLOOKUP($A511,CSV!$A:$A,CSV!F:F,""),
_xlpm.MacVal,_xlfn.XLOOKUP($A511,Output_Mac!$A:$A,Output_Mac!F:F,""),
_xlpm.MyAuditVal,_xlfn.XLOOKUP($A511,My_Audit!$A:$A,My_Audit!E:E,""),
_xlfn.IFS(_xlpm.MyAuditVal&lt;&gt;"",_xlpm.MyAuditVal,_xlpm.MacVal&lt;&gt;"",_xlpm.MacVal,_xlpm.CSVVal&lt;&gt;"",PROPER(_xlpm.CSVVal)
)),"")</f>
        <v/>
      </c>
      <c r="G511" s="45" t="str" cm="1">
        <f t="array" ref="G511">IFERROR(_xlfn.LET(
_xlpm.CSVVal,_xlfn.XLOOKUP($A511,CSV!$A:$A,CSV!G:G,""),
_xlpm.MacVal,_xlfn.XLOOKUP($A511,Output_Mac!$A:$A,Output_Mac!H:H,""),
_xlpm.MyAuditVal,_xlfn.XLOOKUP($A511,My_Audit!$A:$A,My_Audit!F:F,""),
_xlfn.IFS(_xlpm.MyAuditVal&lt;&gt;"",_xlpm.MyAuditVal,_xlpm.MacVal&lt;&gt;"",_xlpm.MacVal,_xlpm.CSVVal&lt;&gt;"",_xlpm.CSVVal
)),"")</f>
        <v/>
      </c>
      <c r="H511" s="45" t="str">
        <f>_xlfn.XLOOKUP(A511,Output_Mac!A:A,Output_Mac!I:I,"")</f>
        <v/>
      </c>
      <c r="I511" s="45" t="str" cm="1">
        <f t="array" ref="I511">IFERROR(_xlfn.LET(
_xlpm.CSVVal,_xlfn.XLOOKUP($A511,CSV!$A:$A,CSV!H:H,""),
_xlpm.MacVal,_xlfn.XLOOKUP($A511,Output_Mac!$A:$A,Output_Mac!J:J,""),
_xlpm.MyAuditVal,_xlfn.XLOOKUP($A511,My_Audit!$A:$A,My_Audit!H:H,""),
_xlfn.IFS(_xlpm.MyAuditVal&lt;&gt;"",UPPER(_xlpm.MyAuditVal),_xlpm.MacVal&lt;&gt;"",_xlpm.MacVal,_xlpm.CSVVal&lt;&gt;"",_xlpm.CSVVal
)),"")</f>
        <v/>
      </c>
      <c r="J511" s="45" t="str" cm="1">
        <f t="array" ref="J511">IFERROR(_xlfn.LET(
_xlpm.CSVVal,_xlfn.XLOOKUP($A511,CSV!$A:$A,CSV!J:J,""),
_xlpm.MacVal,_xlfn.XLOOKUP($A511,Output_Mac!$A:$A,Output_Mac!K:K,""),
_xlpm.MyAuditVal,_xlfn.XLOOKUP($A511,My_Audit!$A:$A,My_Audit!I:I,""),
_xlfn.IFS(_xlpm.MyAuditVal&lt;&gt;"",UPPER(_xlpm.MyAuditVal),_xlpm.MacVal&lt;&gt;"",_xlpm.MacVal,_xlpm.CSVVal&lt;&gt;"",_xlpm.CSVVal
)),"")</f>
        <v/>
      </c>
      <c r="K511" s="45" t="str" cm="1">
        <f t="array" ref="K511">IFERROR(_xlfn.LET(
_xlpm.CSVVal,_xlfn.XLOOKUP($A511,CSV!$A:$A,CSV!N:N,""),
_xlpm.MacVal,_xlfn.XLOOKUP($A511,Output_Mac!$A:$A,Output_Mac!L:L,""),
_xlpm.MyAuditVal,_xlfn.XLOOKUP($A511,My_Audit!$A:$A,My_Audit!J:J,""),
_xlfn.IFS(_xlpm.MyAuditVal&lt;&gt;"",UPPER(_xlpm.MyAuditVal),_xlpm.MacVal&lt;&gt;"",_xlpm.MacVal,_xlpm.CSVVal&lt;&gt;"",_xlpm.CSVVal
)),"")</f>
        <v/>
      </c>
      <c r="L511" s="45" t="str" cm="1">
        <f t="array" ref="L511">IFERROR(_xlfn.LET(
_xlpm.CSVVal,_xlfn.XLOOKUP($A511,CSV!$A:$A,CSV!P:P,""),
_xlpm.MacVal,_xlfn.XLOOKUP($A511,Output_Mac!$A:$A,Output_Mac!M:M,""),
_xlpm.MyAuditVal,_xlfn.XLOOKUP($A511,My_Audit!$A:$A,My_Audit!K:K,""),
_xlfn.IFS(_xlpm.MyAuditVal&lt;&gt;"",UPPER(_xlpm.MyAuditVal),_xlpm.MacVal&lt;&gt;"",_xlpm.MacVal,_xlpm.CSVVal&lt;&gt;"",_xlpm.CSVVal
)),"")</f>
        <v/>
      </c>
      <c r="M511" s="45" t="str">
        <f>_xlfn.LET(
    _xlpm.CSVVal, _xlfn.XLOOKUP($A511, CSV!$A:$A, CSV!AE:AE, ""),
    _xlpm.MacVal, _xlfn.XLOOKUP($A511, Output_Mac!$A:$A, Output_Mac!S:S, ""),
    _xlpm.MyAuditVal, _xlfn.XLOOKUP($A511, My_Audit!$A:$A, My_Audit!N:N, ""),
    _xlfn.TEXTJOIN(", ", TRUE, _xlpm.MyAuditVal, _xlpm.MacVal, _xlpm.CSVVal)
)</f>
        <v/>
      </c>
      <c r="N511" s="45" t="str" cm="1">
        <f t="array" ref="N511">IFERROR(_xlfn.LET(
_xlpm.CSVVal,_xlfn.XLOOKUP($A511,CSV!$A:$A,CSV!AG:AG,""),
_xlpm.MacVal,_xlfn.XLOOKUP($A511,Output_Mac!$A:$A,Output_Mac!U:U,""),
_xlpm.MyAuditVal,_xlfn.XLOOKUP($A511,My_Audit!$A:$A,My_Audit!O:O,""),
_xlfn.IFS(_xlpm.MyAuditVal&lt;&gt;"",UPPER(_xlpm.MyAuditVal),_xlpm.MacVal&lt;&gt;"",_xlpm.MacVal,_xlpm.CSVVal&lt;&gt;"",_xlpm.CSVVal
)),"")</f>
        <v/>
      </c>
      <c r="O511" s="45"/>
      <c r="P511" s="45"/>
      <c r="Q511" s="46" t="str">
        <f>IF(LEFT(N511,4)="Pass","Nist SP 800-88",My_Audit!R511)&amp;""</f>
        <v/>
      </c>
      <c r="R511" s="45"/>
      <c r="S511" s="45"/>
      <c r="T511" s="46" t="str">
        <f>_xlfn.XLOOKUP(E511,Models!I:I,Models!J:J,"")</f>
        <v/>
      </c>
      <c r="U511" s="45"/>
      <c r="V511" s="45"/>
      <c r="W511" s="38"/>
    </row>
    <row r="512" spans="1:23">
      <c r="A512" s="45" t="str">
        <f>_xlfn.TEXTJOIN("",TRUE,Input!$B$2,ROW(My_Audit!A511))</f>
        <v>XX511</v>
      </c>
      <c r="B512" s="45" t="str">
        <f>_xlfn.TEXTJOIN("-",TRUE,"ITD",Input!$A$2,A512)</f>
        <v>ITD-SHRXXX-XX511</v>
      </c>
      <c r="C512" s="45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46" t="str" cm="1">
        <f t="array" ref="D512">IFERROR(_xlfn.LET(
_xlpm.CSVVal,_xlfn.XLOOKUP($A512,CSV!$A:$A,CSV!C:C,""),
_xlpm.MacVal,_xlfn.XLOOKUP($A512,Output_Mac!$A:$A,Output_Mac!D:D,""),
_xlpm.MyAuditVal,_xlfn.XLOOKUP($A512,My_Audit!$A:$A,My_Audit!C:C,""),
_xlfn.IFS(_xlpm.MyAuditVal&lt;&gt;"",UPPER(_xlpm.MyAuditVal),_xlpm.MacVal&lt;&gt;"",_xlpm.MacVal,_xlpm.CSVVal&lt;&gt;"",_xlpm.CSVVal
)),"")</f>
        <v/>
      </c>
      <c r="E512" s="46" t="str" cm="1">
        <f t="array" ref="E512">IFERROR(_xlfn.LET(
_xlpm.CSVVal,_xlfn.XLOOKUP($A512,CSV!$A:$A,CSV!E:E,""),
_xlpm.MacVal,_xlfn.XLOOKUP($A512,Output_Mac!$A:$A,Output_Mac!C:C,""),
_xlpm.MyAuditVal,_xlfn.XLOOKUP($A512,My_Audit!$A:$A,My_Audit!D:D,""),
_xlfn.IFS(_xlpm.MyAuditVal&lt;&gt;"",_xlpm.MyAuditVal,_xlpm.MacVal&lt;&gt;"",_xlpm.MacVal,_xlpm.CSVVal&lt;&gt;"",_xlpm.CSVVal
)),"")</f>
        <v/>
      </c>
      <c r="F512" s="45" t="str" cm="1">
        <f t="array" ref="F512">IFERROR(_xlfn.LET(
_xlpm.CSVVal,_xlfn.XLOOKUP($A512,CSV!$A:$A,CSV!F:F,""),
_xlpm.MacVal,_xlfn.XLOOKUP($A512,Output_Mac!$A:$A,Output_Mac!F:F,""),
_xlpm.MyAuditVal,_xlfn.XLOOKUP($A512,My_Audit!$A:$A,My_Audit!E:E,""),
_xlfn.IFS(_xlpm.MyAuditVal&lt;&gt;"",_xlpm.MyAuditVal,_xlpm.MacVal&lt;&gt;"",_xlpm.MacVal,_xlpm.CSVVal&lt;&gt;"",PROPER(_xlpm.CSVVal)
)),"")</f>
        <v/>
      </c>
      <c r="G512" s="45" t="str" cm="1">
        <f t="array" ref="G512">IFERROR(_xlfn.LET(
_xlpm.CSVVal,_xlfn.XLOOKUP($A512,CSV!$A:$A,CSV!G:G,""),
_xlpm.MacVal,_xlfn.XLOOKUP($A512,Output_Mac!$A:$A,Output_Mac!H:H,""),
_xlpm.MyAuditVal,_xlfn.XLOOKUP($A512,My_Audit!$A:$A,My_Audit!F:F,""),
_xlfn.IFS(_xlpm.MyAuditVal&lt;&gt;"",_xlpm.MyAuditVal,_xlpm.MacVal&lt;&gt;"",_xlpm.MacVal,_xlpm.CSVVal&lt;&gt;"",_xlpm.CSVVal
)),"")</f>
        <v/>
      </c>
      <c r="H512" s="45" t="str">
        <f>_xlfn.XLOOKUP(A512,Output_Mac!A:A,Output_Mac!I:I,"")</f>
        <v/>
      </c>
      <c r="I512" s="45" t="str" cm="1">
        <f t="array" ref="I512">IFERROR(_xlfn.LET(
_xlpm.CSVVal,_xlfn.XLOOKUP($A512,CSV!$A:$A,CSV!H:H,""),
_xlpm.MacVal,_xlfn.XLOOKUP($A512,Output_Mac!$A:$A,Output_Mac!J:J,""),
_xlpm.MyAuditVal,_xlfn.XLOOKUP($A512,My_Audit!$A:$A,My_Audit!H:H,""),
_xlfn.IFS(_xlpm.MyAuditVal&lt;&gt;"",UPPER(_xlpm.MyAuditVal),_xlpm.MacVal&lt;&gt;"",_xlpm.MacVal,_xlpm.CSVVal&lt;&gt;"",_xlpm.CSVVal
)),"")</f>
        <v/>
      </c>
      <c r="J512" s="45" t="str" cm="1">
        <f t="array" ref="J512">IFERROR(_xlfn.LET(
_xlpm.CSVVal,_xlfn.XLOOKUP($A512,CSV!$A:$A,CSV!J:J,""),
_xlpm.MacVal,_xlfn.XLOOKUP($A512,Output_Mac!$A:$A,Output_Mac!K:K,""),
_xlpm.MyAuditVal,_xlfn.XLOOKUP($A512,My_Audit!$A:$A,My_Audit!I:I,""),
_xlfn.IFS(_xlpm.MyAuditVal&lt;&gt;"",UPPER(_xlpm.MyAuditVal),_xlpm.MacVal&lt;&gt;"",_xlpm.MacVal,_xlpm.CSVVal&lt;&gt;"",_xlpm.CSVVal
)),"")</f>
        <v/>
      </c>
      <c r="K512" s="45" t="str" cm="1">
        <f t="array" ref="K512">IFERROR(_xlfn.LET(
_xlpm.CSVVal,_xlfn.XLOOKUP($A512,CSV!$A:$A,CSV!N:N,""),
_xlpm.MacVal,_xlfn.XLOOKUP($A512,Output_Mac!$A:$A,Output_Mac!L:L,""),
_xlpm.MyAuditVal,_xlfn.XLOOKUP($A512,My_Audit!$A:$A,My_Audit!J:J,""),
_xlfn.IFS(_xlpm.MyAuditVal&lt;&gt;"",UPPER(_xlpm.MyAuditVal),_xlpm.MacVal&lt;&gt;"",_xlpm.MacVal,_xlpm.CSVVal&lt;&gt;"",_xlpm.CSVVal
)),"")</f>
        <v/>
      </c>
      <c r="L512" s="45" t="str" cm="1">
        <f t="array" ref="L512">IFERROR(_xlfn.LET(
_xlpm.CSVVal,_xlfn.XLOOKUP($A512,CSV!$A:$A,CSV!P:P,""),
_xlpm.MacVal,_xlfn.XLOOKUP($A512,Output_Mac!$A:$A,Output_Mac!M:M,""),
_xlpm.MyAuditVal,_xlfn.XLOOKUP($A512,My_Audit!$A:$A,My_Audit!K:K,""),
_xlfn.IFS(_xlpm.MyAuditVal&lt;&gt;"",UPPER(_xlpm.MyAuditVal),_xlpm.MacVal&lt;&gt;"",_xlpm.MacVal,_xlpm.CSVVal&lt;&gt;"",_xlpm.CSVVal
)),"")</f>
        <v/>
      </c>
      <c r="M512" s="45" t="str">
        <f>_xlfn.LET(
    _xlpm.CSVVal, _xlfn.XLOOKUP($A512, CSV!$A:$A, CSV!AE:AE, ""),
    _xlpm.MacVal, _xlfn.XLOOKUP($A512, Output_Mac!$A:$A, Output_Mac!S:S, ""),
    _xlpm.MyAuditVal, _xlfn.XLOOKUP($A512, My_Audit!$A:$A, My_Audit!N:N, ""),
    _xlfn.TEXTJOIN(", ", TRUE, _xlpm.MyAuditVal, _xlpm.MacVal, _xlpm.CSVVal)
)</f>
        <v/>
      </c>
      <c r="N512" s="45" t="str" cm="1">
        <f t="array" ref="N512">IFERROR(_xlfn.LET(
_xlpm.CSVVal,_xlfn.XLOOKUP($A512,CSV!$A:$A,CSV!AG:AG,""),
_xlpm.MacVal,_xlfn.XLOOKUP($A512,Output_Mac!$A:$A,Output_Mac!U:U,""),
_xlpm.MyAuditVal,_xlfn.XLOOKUP($A512,My_Audit!$A:$A,My_Audit!O:O,""),
_xlfn.IFS(_xlpm.MyAuditVal&lt;&gt;"",UPPER(_xlpm.MyAuditVal),_xlpm.MacVal&lt;&gt;"",_xlpm.MacVal,_xlpm.CSVVal&lt;&gt;"",_xlpm.CSVVal
)),"")</f>
        <v/>
      </c>
      <c r="O512" s="45"/>
      <c r="P512" s="45"/>
      <c r="Q512" s="46" t="str">
        <f>IF(LEFT(N512,4)="Pass","Nist SP 800-88",My_Audit!R512)&amp;""</f>
        <v/>
      </c>
      <c r="R512" s="45"/>
      <c r="S512" s="45"/>
      <c r="T512" s="46" t="str">
        <f>_xlfn.XLOOKUP(E512,Models!I:I,Models!J:J,"")</f>
        <v/>
      </c>
      <c r="U512" s="45"/>
      <c r="V512" s="45"/>
      <c r="W512" s="38"/>
    </row>
    <row r="513" spans="1:23">
      <c r="A513" s="45" t="str">
        <f>_xlfn.TEXTJOIN("",TRUE,Input!$B$2,ROW(My_Audit!A512))</f>
        <v>XX512</v>
      </c>
      <c r="B513" s="45" t="str">
        <f>_xlfn.TEXTJOIN("-",TRUE,"ITD",Input!$A$2,A513)</f>
        <v>ITD-SHRXXX-XX512</v>
      </c>
      <c r="C513" s="45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46" t="str" cm="1">
        <f t="array" ref="D513">IFERROR(_xlfn.LET(
_xlpm.CSVVal,_xlfn.XLOOKUP($A513,CSV!$A:$A,CSV!C:C,""),
_xlpm.MacVal,_xlfn.XLOOKUP($A513,Output_Mac!$A:$A,Output_Mac!D:D,""),
_xlpm.MyAuditVal,_xlfn.XLOOKUP($A513,My_Audit!$A:$A,My_Audit!C:C,""),
_xlfn.IFS(_xlpm.MyAuditVal&lt;&gt;"",UPPER(_xlpm.MyAuditVal),_xlpm.MacVal&lt;&gt;"",_xlpm.MacVal,_xlpm.CSVVal&lt;&gt;"",_xlpm.CSVVal
)),"")</f>
        <v/>
      </c>
      <c r="E513" s="46" t="str" cm="1">
        <f t="array" ref="E513">IFERROR(_xlfn.LET(
_xlpm.CSVVal,_xlfn.XLOOKUP($A513,CSV!$A:$A,CSV!E:E,""),
_xlpm.MacVal,_xlfn.XLOOKUP($A513,Output_Mac!$A:$A,Output_Mac!C:C,""),
_xlpm.MyAuditVal,_xlfn.XLOOKUP($A513,My_Audit!$A:$A,My_Audit!D:D,""),
_xlfn.IFS(_xlpm.MyAuditVal&lt;&gt;"",_xlpm.MyAuditVal,_xlpm.MacVal&lt;&gt;"",_xlpm.MacVal,_xlpm.CSVVal&lt;&gt;"",_xlpm.CSVVal
)),"")</f>
        <v/>
      </c>
      <c r="F513" s="45" t="str" cm="1">
        <f t="array" ref="F513">IFERROR(_xlfn.LET(
_xlpm.CSVVal,_xlfn.XLOOKUP($A513,CSV!$A:$A,CSV!F:F,""),
_xlpm.MacVal,_xlfn.XLOOKUP($A513,Output_Mac!$A:$A,Output_Mac!F:F,""),
_xlpm.MyAuditVal,_xlfn.XLOOKUP($A513,My_Audit!$A:$A,My_Audit!E:E,""),
_xlfn.IFS(_xlpm.MyAuditVal&lt;&gt;"",_xlpm.MyAuditVal,_xlpm.MacVal&lt;&gt;"",_xlpm.MacVal,_xlpm.CSVVal&lt;&gt;"",PROPER(_xlpm.CSVVal)
)),"")</f>
        <v/>
      </c>
      <c r="G513" s="45" t="str" cm="1">
        <f t="array" ref="G513">IFERROR(_xlfn.LET(
_xlpm.CSVVal,_xlfn.XLOOKUP($A513,CSV!$A:$A,CSV!G:G,""),
_xlpm.MacVal,_xlfn.XLOOKUP($A513,Output_Mac!$A:$A,Output_Mac!H:H,""),
_xlpm.MyAuditVal,_xlfn.XLOOKUP($A513,My_Audit!$A:$A,My_Audit!F:F,""),
_xlfn.IFS(_xlpm.MyAuditVal&lt;&gt;"",_xlpm.MyAuditVal,_xlpm.MacVal&lt;&gt;"",_xlpm.MacVal,_xlpm.CSVVal&lt;&gt;"",_xlpm.CSVVal
)),"")</f>
        <v/>
      </c>
      <c r="H513" s="45" t="str">
        <f>_xlfn.XLOOKUP(A513,Output_Mac!A:A,Output_Mac!I:I,"")</f>
        <v/>
      </c>
      <c r="I513" s="45" t="str" cm="1">
        <f t="array" ref="I513">IFERROR(_xlfn.LET(
_xlpm.CSVVal,_xlfn.XLOOKUP($A513,CSV!$A:$A,CSV!H:H,""),
_xlpm.MacVal,_xlfn.XLOOKUP($A513,Output_Mac!$A:$A,Output_Mac!J:J,""),
_xlpm.MyAuditVal,_xlfn.XLOOKUP($A513,My_Audit!$A:$A,My_Audit!H:H,""),
_xlfn.IFS(_xlpm.MyAuditVal&lt;&gt;"",UPPER(_xlpm.MyAuditVal),_xlpm.MacVal&lt;&gt;"",_xlpm.MacVal,_xlpm.CSVVal&lt;&gt;"",_xlpm.CSVVal
)),"")</f>
        <v/>
      </c>
      <c r="J513" s="45" t="str" cm="1">
        <f t="array" ref="J513">IFERROR(_xlfn.LET(
_xlpm.CSVVal,_xlfn.XLOOKUP($A513,CSV!$A:$A,CSV!J:J,""),
_xlpm.MacVal,_xlfn.XLOOKUP($A513,Output_Mac!$A:$A,Output_Mac!K:K,""),
_xlpm.MyAuditVal,_xlfn.XLOOKUP($A513,My_Audit!$A:$A,My_Audit!I:I,""),
_xlfn.IFS(_xlpm.MyAuditVal&lt;&gt;"",UPPER(_xlpm.MyAuditVal),_xlpm.MacVal&lt;&gt;"",_xlpm.MacVal,_xlpm.CSVVal&lt;&gt;"",_xlpm.CSVVal
)),"")</f>
        <v/>
      </c>
      <c r="K513" s="45" t="str" cm="1">
        <f t="array" ref="K513">IFERROR(_xlfn.LET(
_xlpm.CSVVal,_xlfn.XLOOKUP($A513,CSV!$A:$A,CSV!N:N,""),
_xlpm.MacVal,_xlfn.XLOOKUP($A513,Output_Mac!$A:$A,Output_Mac!L:L,""),
_xlpm.MyAuditVal,_xlfn.XLOOKUP($A513,My_Audit!$A:$A,My_Audit!J:J,""),
_xlfn.IFS(_xlpm.MyAuditVal&lt;&gt;"",UPPER(_xlpm.MyAuditVal),_xlpm.MacVal&lt;&gt;"",_xlpm.MacVal,_xlpm.CSVVal&lt;&gt;"",_xlpm.CSVVal
)),"")</f>
        <v/>
      </c>
      <c r="L513" s="45" t="str" cm="1">
        <f t="array" ref="L513">IFERROR(_xlfn.LET(
_xlpm.CSVVal,_xlfn.XLOOKUP($A513,CSV!$A:$A,CSV!P:P,""),
_xlpm.MacVal,_xlfn.XLOOKUP($A513,Output_Mac!$A:$A,Output_Mac!M:M,""),
_xlpm.MyAuditVal,_xlfn.XLOOKUP($A513,My_Audit!$A:$A,My_Audit!K:K,""),
_xlfn.IFS(_xlpm.MyAuditVal&lt;&gt;"",UPPER(_xlpm.MyAuditVal),_xlpm.MacVal&lt;&gt;"",_xlpm.MacVal,_xlpm.CSVVal&lt;&gt;"",_xlpm.CSVVal
)),"")</f>
        <v/>
      </c>
      <c r="M513" s="45" t="str">
        <f>_xlfn.LET(
    _xlpm.CSVVal, _xlfn.XLOOKUP($A513, CSV!$A:$A, CSV!AE:AE, ""),
    _xlpm.MacVal, _xlfn.XLOOKUP($A513, Output_Mac!$A:$A, Output_Mac!S:S, ""),
    _xlpm.MyAuditVal, _xlfn.XLOOKUP($A513, My_Audit!$A:$A, My_Audit!N:N, ""),
    _xlfn.TEXTJOIN(", ", TRUE, _xlpm.MyAuditVal, _xlpm.MacVal, _xlpm.CSVVal)
)</f>
        <v/>
      </c>
      <c r="N513" s="45" t="str" cm="1">
        <f t="array" ref="N513">IFERROR(_xlfn.LET(
_xlpm.CSVVal,_xlfn.XLOOKUP($A513,CSV!$A:$A,CSV!AG:AG,""),
_xlpm.MacVal,_xlfn.XLOOKUP($A513,Output_Mac!$A:$A,Output_Mac!U:U,""),
_xlpm.MyAuditVal,_xlfn.XLOOKUP($A513,My_Audit!$A:$A,My_Audit!O:O,""),
_xlfn.IFS(_xlpm.MyAuditVal&lt;&gt;"",UPPER(_xlpm.MyAuditVal),_xlpm.MacVal&lt;&gt;"",_xlpm.MacVal,_xlpm.CSVVal&lt;&gt;"",_xlpm.CSVVal
)),"")</f>
        <v/>
      </c>
      <c r="O513" s="45"/>
      <c r="P513" s="45"/>
      <c r="Q513" s="46" t="str">
        <f>IF(LEFT(N513,4)="Pass","Nist SP 800-88",My_Audit!R513)&amp;""</f>
        <v/>
      </c>
      <c r="R513" s="45"/>
      <c r="S513" s="45"/>
      <c r="T513" s="46" t="str">
        <f>_xlfn.XLOOKUP(E513,Models!I:I,Models!J:J,"")</f>
        <v/>
      </c>
      <c r="U513" s="45"/>
      <c r="V513" s="45"/>
      <c r="W513" s="38"/>
    </row>
    <row r="514" spans="1:23">
      <c r="A514" s="45" t="str">
        <f>_xlfn.TEXTJOIN("",TRUE,Input!$B$2,ROW(My_Audit!A513))</f>
        <v>XX513</v>
      </c>
      <c r="B514" s="45" t="str">
        <f>_xlfn.TEXTJOIN("-",TRUE,"ITD",Input!$A$2,A514)</f>
        <v>ITD-SHRXXX-XX513</v>
      </c>
      <c r="C514" s="45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46" t="str" cm="1">
        <f t="array" ref="D514">IFERROR(_xlfn.LET(
_xlpm.CSVVal,_xlfn.XLOOKUP($A514,CSV!$A:$A,CSV!C:C,""),
_xlpm.MacVal,_xlfn.XLOOKUP($A514,Output_Mac!$A:$A,Output_Mac!D:D,""),
_xlpm.MyAuditVal,_xlfn.XLOOKUP($A514,My_Audit!$A:$A,My_Audit!C:C,""),
_xlfn.IFS(_xlpm.MyAuditVal&lt;&gt;"",UPPER(_xlpm.MyAuditVal),_xlpm.MacVal&lt;&gt;"",_xlpm.MacVal,_xlpm.CSVVal&lt;&gt;"",_xlpm.CSVVal
)),"")</f>
        <v/>
      </c>
      <c r="E514" s="46" t="str" cm="1">
        <f t="array" ref="E514">IFERROR(_xlfn.LET(
_xlpm.CSVVal,_xlfn.XLOOKUP($A514,CSV!$A:$A,CSV!E:E,""),
_xlpm.MacVal,_xlfn.XLOOKUP($A514,Output_Mac!$A:$A,Output_Mac!C:C,""),
_xlpm.MyAuditVal,_xlfn.XLOOKUP($A514,My_Audit!$A:$A,My_Audit!D:D,""),
_xlfn.IFS(_xlpm.MyAuditVal&lt;&gt;"",_xlpm.MyAuditVal,_xlpm.MacVal&lt;&gt;"",_xlpm.MacVal,_xlpm.CSVVal&lt;&gt;"",_xlpm.CSVVal
)),"")</f>
        <v/>
      </c>
      <c r="F514" s="45" t="str" cm="1">
        <f t="array" ref="F514">IFERROR(_xlfn.LET(
_xlpm.CSVVal,_xlfn.XLOOKUP($A514,CSV!$A:$A,CSV!F:F,""),
_xlpm.MacVal,_xlfn.XLOOKUP($A514,Output_Mac!$A:$A,Output_Mac!F:F,""),
_xlpm.MyAuditVal,_xlfn.XLOOKUP($A514,My_Audit!$A:$A,My_Audit!E:E,""),
_xlfn.IFS(_xlpm.MyAuditVal&lt;&gt;"",_xlpm.MyAuditVal,_xlpm.MacVal&lt;&gt;"",_xlpm.MacVal,_xlpm.CSVVal&lt;&gt;"",PROPER(_xlpm.CSVVal)
)),"")</f>
        <v/>
      </c>
      <c r="G514" s="45" t="str" cm="1">
        <f t="array" ref="G514">IFERROR(_xlfn.LET(
_xlpm.CSVVal,_xlfn.XLOOKUP($A514,CSV!$A:$A,CSV!G:G,""),
_xlpm.MacVal,_xlfn.XLOOKUP($A514,Output_Mac!$A:$A,Output_Mac!H:H,""),
_xlpm.MyAuditVal,_xlfn.XLOOKUP($A514,My_Audit!$A:$A,My_Audit!F:F,""),
_xlfn.IFS(_xlpm.MyAuditVal&lt;&gt;"",_xlpm.MyAuditVal,_xlpm.MacVal&lt;&gt;"",_xlpm.MacVal,_xlpm.CSVVal&lt;&gt;"",_xlpm.CSVVal
)),"")</f>
        <v/>
      </c>
      <c r="H514" s="45" t="str">
        <f>_xlfn.XLOOKUP(A514,Output_Mac!A:A,Output_Mac!I:I,"")</f>
        <v/>
      </c>
      <c r="I514" s="45" t="str" cm="1">
        <f t="array" ref="I514">IFERROR(_xlfn.LET(
_xlpm.CSVVal,_xlfn.XLOOKUP($A514,CSV!$A:$A,CSV!H:H,""),
_xlpm.MacVal,_xlfn.XLOOKUP($A514,Output_Mac!$A:$A,Output_Mac!J:J,""),
_xlpm.MyAuditVal,_xlfn.XLOOKUP($A514,My_Audit!$A:$A,My_Audit!H:H,""),
_xlfn.IFS(_xlpm.MyAuditVal&lt;&gt;"",UPPER(_xlpm.MyAuditVal),_xlpm.MacVal&lt;&gt;"",_xlpm.MacVal,_xlpm.CSVVal&lt;&gt;"",_xlpm.CSVVal
)),"")</f>
        <v/>
      </c>
      <c r="J514" s="45" t="str" cm="1">
        <f t="array" ref="J514">IFERROR(_xlfn.LET(
_xlpm.CSVVal,_xlfn.XLOOKUP($A514,CSV!$A:$A,CSV!J:J,""),
_xlpm.MacVal,_xlfn.XLOOKUP($A514,Output_Mac!$A:$A,Output_Mac!K:K,""),
_xlpm.MyAuditVal,_xlfn.XLOOKUP($A514,My_Audit!$A:$A,My_Audit!I:I,""),
_xlfn.IFS(_xlpm.MyAuditVal&lt;&gt;"",UPPER(_xlpm.MyAuditVal),_xlpm.MacVal&lt;&gt;"",_xlpm.MacVal,_xlpm.CSVVal&lt;&gt;"",_xlpm.CSVVal
)),"")</f>
        <v/>
      </c>
      <c r="K514" s="45" t="str" cm="1">
        <f t="array" ref="K514">IFERROR(_xlfn.LET(
_xlpm.CSVVal,_xlfn.XLOOKUP($A514,CSV!$A:$A,CSV!N:N,""),
_xlpm.MacVal,_xlfn.XLOOKUP($A514,Output_Mac!$A:$A,Output_Mac!L:L,""),
_xlpm.MyAuditVal,_xlfn.XLOOKUP($A514,My_Audit!$A:$A,My_Audit!J:J,""),
_xlfn.IFS(_xlpm.MyAuditVal&lt;&gt;"",UPPER(_xlpm.MyAuditVal),_xlpm.MacVal&lt;&gt;"",_xlpm.MacVal,_xlpm.CSVVal&lt;&gt;"",_xlpm.CSVVal
)),"")</f>
        <v/>
      </c>
      <c r="L514" s="45" t="str" cm="1">
        <f t="array" ref="L514">IFERROR(_xlfn.LET(
_xlpm.CSVVal,_xlfn.XLOOKUP($A514,CSV!$A:$A,CSV!P:P,""),
_xlpm.MacVal,_xlfn.XLOOKUP($A514,Output_Mac!$A:$A,Output_Mac!M:M,""),
_xlpm.MyAuditVal,_xlfn.XLOOKUP($A514,My_Audit!$A:$A,My_Audit!K:K,""),
_xlfn.IFS(_xlpm.MyAuditVal&lt;&gt;"",UPPER(_xlpm.MyAuditVal),_xlpm.MacVal&lt;&gt;"",_xlpm.MacVal,_xlpm.CSVVal&lt;&gt;"",_xlpm.CSVVal
)),"")</f>
        <v/>
      </c>
      <c r="M514" s="45" t="str">
        <f>_xlfn.LET(
    _xlpm.CSVVal, _xlfn.XLOOKUP($A514, CSV!$A:$A, CSV!AE:AE, ""),
    _xlpm.MacVal, _xlfn.XLOOKUP($A514, Output_Mac!$A:$A, Output_Mac!S:S, ""),
    _xlpm.MyAuditVal, _xlfn.XLOOKUP($A514, My_Audit!$A:$A, My_Audit!N:N, ""),
    _xlfn.TEXTJOIN(", ", TRUE, _xlpm.MyAuditVal, _xlpm.MacVal, _xlpm.CSVVal)
)</f>
        <v/>
      </c>
      <c r="N514" s="45" t="str" cm="1">
        <f t="array" ref="N514">IFERROR(_xlfn.LET(
_xlpm.CSVVal,_xlfn.XLOOKUP($A514,CSV!$A:$A,CSV!AG:AG,""),
_xlpm.MacVal,_xlfn.XLOOKUP($A514,Output_Mac!$A:$A,Output_Mac!U:U,""),
_xlpm.MyAuditVal,_xlfn.XLOOKUP($A514,My_Audit!$A:$A,My_Audit!O:O,""),
_xlfn.IFS(_xlpm.MyAuditVal&lt;&gt;"",UPPER(_xlpm.MyAuditVal),_xlpm.MacVal&lt;&gt;"",_xlpm.MacVal,_xlpm.CSVVal&lt;&gt;"",_xlpm.CSVVal
)),"")</f>
        <v/>
      </c>
      <c r="O514" s="45"/>
      <c r="P514" s="45"/>
      <c r="Q514" s="46" t="str">
        <f>IF(LEFT(N514,4)="Pass","Nist SP 800-88",My_Audit!R514)&amp;""</f>
        <v/>
      </c>
      <c r="R514" s="45"/>
      <c r="S514" s="45"/>
      <c r="T514" s="46" t="str">
        <f>_xlfn.XLOOKUP(E514,Models!I:I,Models!J:J,"")</f>
        <v/>
      </c>
      <c r="U514" s="45"/>
      <c r="V514" s="45"/>
      <c r="W514" s="38"/>
    </row>
    <row r="515" spans="1:23">
      <c r="A515" s="45" t="str">
        <f>_xlfn.TEXTJOIN("",TRUE,Input!$B$2,ROW(My_Audit!A514))</f>
        <v>XX514</v>
      </c>
      <c r="B515" s="45" t="str">
        <f>_xlfn.TEXTJOIN("-",TRUE,"ITD",Input!$A$2,A515)</f>
        <v>ITD-SHRXXX-XX514</v>
      </c>
      <c r="C515" s="45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46" t="str" cm="1">
        <f t="array" ref="D515">IFERROR(_xlfn.LET(
_xlpm.CSVVal,_xlfn.XLOOKUP($A515,CSV!$A:$A,CSV!C:C,""),
_xlpm.MacVal,_xlfn.XLOOKUP($A515,Output_Mac!$A:$A,Output_Mac!D:D,""),
_xlpm.MyAuditVal,_xlfn.XLOOKUP($A515,My_Audit!$A:$A,My_Audit!C:C,""),
_xlfn.IFS(_xlpm.MyAuditVal&lt;&gt;"",UPPER(_xlpm.MyAuditVal),_xlpm.MacVal&lt;&gt;"",_xlpm.MacVal,_xlpm.CSVVal&lt;&gt;"",_xlpm.CSVVal
)),"")</f>
        <v/>
      </c>
      <c r="E515" s="46" t="str" cm="1">
        <f t="array" ref="E515">IFERROR(_xlfn.LET(
_xlpm.CSVVal,_xlfn.XLOOKUP($A515,CSV!$A:$A,CSV!E:E,""),
_xlpm.MacVal,_xlfn.XLOOKUP($A515,Output_Mac!$A:$A,Output_Mac!C:C,""),
_xlpm.MyAuditVal,_xlfn.XLOOKUP($A515,My_Audit!$A:$A,My_Audit!D:D,""),
_xlfn.IFS(_xlpm.MyAuditVal&lt;&gt;"",_xlpm.MyAuditVal,_xlpm.MacVal&lt;&gt;"",_xlpm.MacVal,_xlpm.CSVVal&lt;&gt;"",_xlpm.CSVVal
)),"")</f>
        <v/>
      </c>
      <c r="F515" s="45" t="str" cm="1">
        <f t="array" ref="F515">IFERROR(_xlfn.LET(
_xlpm.CSVVal,_xlfn.XLOOKUP($A515,CSV!$A:$A,CSV!F:F,""),
_xlpm.MacVal,_xlfn.XLOOKUP($A515,Output_Mac!$A:$A,Output_Mac!F:F,""),
_xlpm.MyAuditVal,_xlfn.XLOOKUP($A515,My_Audit!$A:$A,My_Audit!E:E,""),
_xlfn.IFS(_xlpm.MyAuditVal&lt;&gt;"",_xlpm.MyAuditVal,_xlpm.MacVal&lt;&gt;"",_xlpm.MacVal,_xlpm.CSVVal&lt;&gt;"",PROPER(_xlpm.CSVVal)
)),"")</f>
        <v/>
      </c>
      <c r="G515" s="45" t="str" cm="1">
        <f t="array" ref="G515">IFERROR(_xlfn.LET(
_xlpm.CSVVal,_xlfn.XLOOKUP($A515,CSV!$A:$A,CSV!G:G,""),
_xlpm.MacVal,_xlfn.XLOOKUP($A515,Output_Mac!$A:$A,Output_Mac!H:H,""),
_xlpm.MyAuditVal,_xlfn.XLOOKUP($A515,My_Audit!$A:$A,My_Audit!F:F,""),
_xlfn.IFS(_xlpm.MyAuditVal&lt;&gt;"",_xlpm.MyAuditVal,_xlpm.MacVal&lt;&gt;"",_xlpm.MacVal,_xlpm.CSVVal&lt;&gt;"",_xlpm.CSVVal
)),"")</f>
        <v/>
      </c>
      <c r="H515" s="45" t="str">
        <f>_xlfn.XLOOKUP(A515,Output_Mac!A:A,Output_Mac!I:I,"")</f>
        <v/>
      </c>
      <c r="I515" s="45" t="str" cm="1">
        <f t="array" ref="I515">IFERROR(_xlfn.LET(
_xlpm.CSVVal,_xlfn.XLOOKUP($A515,CSV!$A:$A,CSV!H:H,""),
_xlpm.MacVal,_xlfn.XLOOKUP($A515,Output_Mac!$A:$A,Output_Mac!J:J,""),
_xlpm.MyAuditVal,_xlfn.XLOOKUP($A515,My_Audit!$A:$A,My_Audit!H:H,""),
_xlfn.IFS(_xlpm.MyAuditVal&lt;&gt;"",UPPER(_xlpm.MyAuditVal),_xlpm.MacVal&lt;&gt;"",_xlpm.MacVal,_xlpm.CSVVal&lt;&gt;"",_xlpm.CSVVal
)),"")</f>
        <v/>
      </c>
      <c r="J515" s="45" t="str" cm="1">
        <f t="array" ref="J515">IFERROR(_xlfn.LET(
_xlpm.CSVVal,_xlfn.XLOOKUP($A515,CSV!$A:$A,CSV!J:J,""),
_xlpm.MacVal,_xlfn.XLOOKUP($A515,Output_Mac!$A:$A,Output_Mac!K:K,""),
_xlpm.MyAuditVal,_xlfn.XLOOKUP($A515,My_Audit!$A:$A,My_Audit!I:I,""),
_xlfn.IFS(_xlpm.MyAuditVal&lt;&gt;"",UPPER(_xlpm.MyAuditVal),_xlpm.MacVal&lt;&gt;"",_xlpm.MacVal,_xlpm.CSVVal&lt;&gt;"",_xlpm.CSVVal
)),"")</f>
        <v/>
      </c>
      <c r="K515" s="45" t="str" cm="1">
        <f t="array" ref="K515">IFERROR(_xlfn.LET(
_xlpm.CSVVal,_xlfn.XLOOKUP($A515,CSV!$A:$A,CSV!N:N,""),
_xlpm.MacVal,_xlfn.XLOOKUP($A515,Output_Mac!$A:$A,Output_Mac!L:L,""),
_xlpm.MyAuditVal,_xlfn.XLOOKUP($A515,My_Audit!$A:$A,My_Audit!J:J,""),
_xlfn.IFS(_xlpm.MyAuditVal&lt;&gt;"",UPPER(_xlpm.MyAuditVal),_xlpm.MacVal&lt;&gt;"",_xlpm.MacVal,_xlpm.CSVVal&lt;&gt;"",_xlpm.CSVVal
)),"")</f>
        <v/>
      </c>
      <c r="L515" s="45" t="str" cm="1">
        <f t="array" ref="L515">IFERROR(_xlfn.LET(
_xlpm.CSVVal,_xlfn.XLOOKUP($A515,CSV!$A:$A,CSV!P:P,""),
_xlpm.MacVal,_xlfn.XLOOKUP($A515,Output_Mac!$A:$A,Output_Mac!M:M,""),
_xlpm.MyAuditVal,_xlfn.XLOOKUP($A515,My_Audit!$A:$A,My_Audit!K:K,""),
_xlfn.IFS(_xlpm.MyAuditVal&lt;&gt;"",UPPER(_xlpm.MyAuditVal),_xlpm.MacVal&lt;&gt;"",_xlpm.MacVal,_xlpm.CSVVal&lt;&gt;"",_xlpm.CSVVal
)),"")</f>
        <v/>
      </c>
      <c r="M515" s="45" t="str">
        <f>_xlfn.LET(
    _xlpm.CSVVal, _xlfn.XLOOKUP($A515, CSV!$A:$A, CSV!AE:AE, ""),
    _xlpm.MacVal, _xlfn.XLOOKUP($A515, Output_Mac!$A:$A, Output_Mac!S:S, ""),
    _xlpm.MyAuditVal, _xlfn.XLOOKUP($A515, My_Audit!$A:$A, My_Audit!N:N, ""),
    _xlfn.TEXTJOIN(", ", TRUE, _xlpm.MyAuditVal, _xlpm.MacVal, _xlpm.CSVVal)
)</f>
        <v/>
      </c>
      <c r="N515" s="45" t="str" cm="1">
        <f t="array" ref="N515">IFERROR(_xlfn.LET(
_xlpm.CSVVal,_xlfn.XLOOKUP($A515,CSV!$A:$A,CSV!AG:AG,""),
_xlpm.MacVal,_xlfn.XLOOKUP($A515,Output_Mac!$A:$A,Output_Mac!U:U,""),
_xlpm.MyAuditVal,_xlfn.XLOOKUP($A515,My_Audit!$A:$A,My_Audit!O:O,""),
_xlfn.IFS(_xlpm.MyAuditVal&lt;&gt;"",UPPER(_xlpm.MyAuditVal),_xlpm.MacVal&lt;&gt;"",_xlpm.MacVal,_xlpm.CSVVal&lt;&gt;"",_xlpm.CSVVal
)),"")</f>
        <v/>
      </c>
      <c r="O515" s="45"/>
      <c r="P515" s="45"/>
      <c r="Q515" s="46" t="str">
        <f>IF(LEFT(N515,4)="Pass","Nist SP 800-88",My_Audit!R515)&amp;""</f>
        <v/>
      </c>
      <c r="R515" s="45"/>
      <c r="S515" s="45"/>
      <c r="T515" s="46" t="str">
        <f>_xlfn.XLOOKUP(E515,Models!I:I,Models!J:J,"")</f>
        <v/>
      </c>
      <c r="U515" s="45"/>
      <c r="V515" s="45"/>
      <c r="W515" s="38"/>
    </row>
    <row r="516" spans="1:23">
      <c r="A516" s="45" t="str">
        <f>_xlfn.TEXTJOIN("",TRUE,Input!$B$2,ROW(My_Audit!A515))</f>
        <v>XX515</v>
      </c>
      <c r="B516" s="45" t="str">
        <f>_xlfn.TEXTJOIN("-",TRUE,"ITD",Input!$A$2,A516)</f>
        <v>ITD-SHRXXX-XX515</v>
      </c>
      <c r="C516" s="45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46" t="str" cm="1">
        <f t="array" ref="D516">IFERROR(_xlfn.LET(
_xlpm.CSVVal,_xlfn.XLOOKUP($A516,CSV!$A:$A,CSV!C:C,""),
_xlpm.MacVal,_xlfn.XLOOKUP($A516,Output_Mac!$A:$A,Output_Mac!D:D,""),
_xlpm.MyAuditVal,_xlfn.XLOOKUP($A516,My_Audit!$A:$A,My_Audit!C:C,""),
_xlfn.IFS(_xlpm.MyAuditVal&lt;&gt;"",UPPER(_xlpm.MyAuditVal),_xlpm.MacVal&lt;&gt;"",_xlpm.MacVal,_xlpm.CSVVal&lt;&gt;"",_xlpm.CSVVal
)),"")</f>
        <v/>
      </c>
      <c r="E516" s="46" t="str" cm="1">
        <f t="array" ref="E516">IFERROR(_xlfn.LET(
_xlpm.CSVVal,_xlfn.XLOOKUP($A516,CSV!$A:$A,CSV!E:E,""),
_xlpm.MacVal,_xlfn.XLOOKUP($A516,Output_Mac!$A:$A,Output_Mac!C:C,""),
_xlpm.MyAuditVal,_xlfn.XLOOKUP($A516,My_Audit!$A:$A,My_Audit!D:D,""),
_xlfn.IFS(_xlpm.MyAuditVal&lt;&gt;"",_xlpm.MyAuditVal,_xlpm.MacVal&lt;&gt;"",_xlpm.MacVal,_xlpm.CSVVal&lt;&gt;"",_xlpm.CSVVal
)),"")</f>
        <v/>
      </c>
      <c r="F516" s="45" t="str" cm="1">
        <f t="array" ref="F516">IFERROR(_xlfn.LET(
_xlpm.CSVVal,_xlfn.XLOOKUP($A516,CSV!$A:$A,CSV!F:F,""),
_xlpm.MacVal,_xlfn.XLOOKUP($A516,Output_Mac!$A:$A,Output_Mac!F:F,""),
_xlpm.MyAuditVal,_xlfn.XLOOKUP($A516,My_Audit!$A:$A,My_Audit!E:E,""),
_xlfn.IFS(_xlpm.MyAuditVal&lt;&gt;"",_xlpm.MyAuditVal,_xlpm.MacVal&lt;&gt;"",_xlpm.MacVal,_xlpm.CSVVal&lt;&gt;"",PROPER(_xlpm.CSVVal)
)),"")</f>
        <v/>
      </c>
      <c r="G516" s="45" t="str" cm="1">
        <f t="array" ref="G516">IFERROR(_xlfn.LET(
_xlpm.CSVVal,_xlfn.XLOOKUP($A516,CSV!$A:$A,CSV!G:G,""),
_xlpm.MacVal,_xlfn.XLOOKUP($A516,Output_Mac!$A:$A,Output_Mac!H:H,""),
_xlpm.MyAuditVal,_xlfn.XLOOKUP($A516,My_Audit!$A:$A,My_Audit!F:F,""),
_xlfn.IFS(_xlpm.MyAuditVal&lt;&gt;"",_xlpm.MyAuditVal,_xlpm.MacVal&lt;&gt;"",_xlpm.MacVal,_xlpm.CSVVal&lt;&gt;"",_xlpm.CSVVal
)),"")</f>
        <v/>
      </c>
      <c r="H516" s="45" t="str">
        <f>_xlfn.XLOOKUP(A516,Output_Mac!A:A,Output_Mac!I:I,"")</f>
        <v/>
      </c>
      <c r="I516" s="45" t="str" cm="1">
        <f t="array" ref="I516">IFERROR(_xlfn.LET(
_xlpm.CSVVal,_xlfn.XLOOKUP($A516,CSV!$A:$A,CSV!H:H,""),
_xlpm.MacVal,_xlfn.XLOOKUP($A516,Output_Mac!$A:$A,Output_Mac!J:J,""),
_xlpm.MyAuditVal,_xlfn.XLOOKUP($A516,My_Audit!$A:$A,My_Audit!H:H,""),
_xlfn.IFS(_xlpm.MyAuditVal&lt;&gt;"",UPPER(_xlpm.MyAuditVal),_xlpm.MacVal&lt;&gt;"",_xlpm.MacVal,_xlpm.CSVVal&lt;&gt;"",_xlpm.CSVVal
)),"")</f>
        <v/>
      </c>
      <c r="J516" s="45" t="str" cm="1">
        <f t="array" ref="J516">IFERROR(_xlfn.LET(
_xlpm.CSVVal,_xlfn.XLOOKUP($A516,CSV!$A:$A,CSV!J:J,""),
_xlpm.MacVal,_xlfn.XLOOKUP($A516,Output_Mac!$A:$A,Output_Mac!K:K,""),
_xlpm.MyAuditVal,_xlfn.XLOOKUP($A516,My_Audit!$A:$A,My_Audit!I:I,""),
_xlfn.IFS(_xlpm.MyAuditVal&lt;&gt;"",UPPER(_xlpm.MyAuditVal),_xlpm.MacVal&lt;&gt;"",_xlpm.MacVal,_xlpm.CSVVal&lt;&gt;"",_xlpm.CSVVal
)),"")</f>
        <v/>
      </c>
      <c r="K516" s="45" t="str" cm="1">
        <f t="array" ref="K516">IFERROR(_xlfn.LET(
_xlpm.CSVVal,_xlfn.XLOOKUP($A516,CSV!$A:$A,CSV!N:N,""),
_xlpm.MacVal,_xlfn.XLOOKUP($A516,Output_Mac!$A:$A,Output_Mac!L:L,""),
_xlpm.MyAuditVal,_xlfn.XLOOKUP($A516,My_Audit!$A:$A,My_Audit!J:J,""),
_xlfn.IFS(_xlpm.MyAuditVal&lt;&gt;"",UPPER(_xlpm.MyAuditVal),_xlpm.MacVal&lt;&gt;"",_xlpm.MacVal,_xlpm.CSVVal&lt;&gt;"",_xlpm.CSVVal
)),"")</f>
        <v/>
      </c>
      <c r="L516" s="45" t="str" cm="1">
        <f t="array" ref="L516">IFERROR(_xlfn.LET(
_xlpm.CSVVal,_xlfn.XLOOKUP($A516,CSV!$A:$A,CSV!P:P,""),
_xlpm.MacVal,_xlfn.XLOOKUP($A516,Output_Mac!$A:$A,Output_Mac!M:M,""),
_xlpm.MyAuditVal,_xlfn.XLOOKUP($A516,My_Audit!$A:$A,My_Audit!K:K,""),
_xlfn.IFS(_xlpm.MyAuditVal&lt;&gt;"",UPPER(_xlpm.MyAuditVal),_xlpm.MacVal&lt;&gt;"",_xlpm.MacVal,_xlpm.CSVVal&lt;&gt;"",_xlpm.CSVVal
)),"")</f>
        <v/>
      </c>
      <c r="M516" s="45" t="str">
        <f>_xlfn.LET(
    _xlpm.CSVVal, _xlfn.XLOOKUP($A516, CSV!$A:$A, CSV!AE:AE, ""),
    _xlpm.MacVal, _xlfn.XLOOKUP($A516, Output_Mac!$A:$A, Output_Mac!S:S, ""),
    _xlpm.MyAuditVal, _xlfn.XLOOKUP($A516, My_Audit!$A:$A, My_Audit!N:N, ""),
    _xlfn.TEXTJOIN(", ", TRUE, _xlpm.MyAuditVal, _xlpm.MacVal, _xlpm.CSVVal)
)</f>
        <v/>
      </c>
      <c r="N516" s="45" t="str" cm="1">
        <f t="array" ref="N516">IFERROR(_xlfn.LET(
_xlpm.CSVVal,_xlfn.XLOOKUP($A516,CSV!$A:$A,CSV!AG:AG,""),
_xlpm.MacVal,_xlfn.XLOOKUP($A516,Output_Mac!$A:$A,Output_Mac!U:U,""),
_xlpm.MyAuditVal,_xlfn.XLOOKUP($A516,My_Audit!$A:$A,My_Audit!O:O,""),
_xlfn.IFS(_xlpm.MyAuditVal&lt;&gt;"",UPPER(_xlpm.MyAuditVal),_xlpm.MacVal&lt;&gt;"",_xlpm.MacVal,_xlpm.CSVVal&lt;&gt;"",_xlpm.CSVVal
)),"")</f>
        <v/>
      </c>
      <c r="O516" s="45"/>
      <c r="P516" s="45"/>
      <c r="Q516" s="46" t="str">
        <f>IF(LEFT(N516,4)="Pass","Nist SP 800-88",My_Audit!R516)&amp;""</f>
        <v/>
      </c>
      <c r="R516" s="45"/>
      <c r="S516" s="45"/>
      <c r="T516" s="46" t="str">
        <f>_xlfn.XLOOKUP(E516,Models!I:I,Models!J:J,"")</f>
        <v/>
      </c>
      <c r="U516" s="45"/>
      <c r="V516" s="45"/>
      <c r="W516" s="38"/>
    </row>
    <row r="517" spans="1:23">
      <c r="A517" s="45" t="str">
        <f>_xlfn.TEXTJOIN("",TRUE,Input!$B$2,ROW(My_Audit!A516))</f>
        <v>XX516</v>
      </c>
      <c r="B517" s="45" t="str">
        <f>_xlfn.TEXTJOIN("-",TRUE,"ITD",Input!$A$2,A517)</f>
        <v>ITD-SHRXXX-XX516</v>
      </c>
      <c r="C517" s="45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46" t="str" cm="1">
        <f t="array" ref="D517">IFERROR(_xlfn.LET(
_xlpm.CSVVal,_xlfn.XLOOKUP($A517,CSV!$A:$A,CSV!C:C,""),
_xlpm.MacVal,_xlfn.XLOOKUP($A517,Output_Mac!$A:$A,Output_Mac!D:D,""),
_xlpm.MyAuditVal,_xlfn.XLOOKUP($A517,My_Audit!$A:$A,My_Audit!C:C,""),
_xlfn.IFS(_xlpm.MyAuditVal&lt;&gt;"",UPPER(_xlpm.MyAuditVal),_xlpm.MacVal&lt;&gt;"",_xlpm.MacVal,_xlpm.CSVVal&lt;&gt;"",_xlpm.CSVVal
)),"")</f>
        <v/>
      </c>
      <c r="E517" s="46" t="str" cm="1">
        <f t="array" ref="E517">IFERROR(_xlfn.LET(
_xlpm.CSVVal,_xlfn.XLOOKUP($A517,CSV!$A:$A,CSV!E:E,""),
_xlpm.MacVal,_xlfn.XLOOKUP($A517,Output_Mac!$A:$A,Output_Mac!C:C,""),
_xlpm.MyAuditVal,_xlfn.XLOOKUP($A517,My_Audit!$A:$A,My_Audit!D:D,""),
_xlfn.IFS(_xlpm.MyAuditVal&lt;&gt;"",_xlpm.MyAuditVal,_xlpm.MacVal&lt;&gt;"",_xlpm.MacVal,_xlpm.CSVVal&lt;&gt;"",_xlpm.CSVVal
)),"")</f>
        <v/>
      </c>
      <c r="F517" s="45" t="str" cm="1">
        <f t="array" ref="F517">IFERROR(_xlfn.LET(
_xlpm.CSVVal,_xlfn.XLOOKUP($A517,CSV!$A:$A,CSV!F:F,""),
_xlpm.MacVal,_xlfn.XLOOKUP($A517,Output_Mac!$A:$A,Output_Mac!F:F,""),
_xlpm.MyAuditVal,_xlfn.XLOOKUP($A517,My_Audit!$A:$A,My_Audit!E:E,""),
_xlfn.IFS(_xlpm.MyAuditVal&lt;&gt;"",_xlpm.MyAuditVal,_xlpm.MacVal&lt;&gt;"",_xlpm.MacVal,_xlpm.CSVVal&lt;&gt;"",PROPER(_xlpm.CSVVal)
)),"")</f>
        <v/>
      </c>
      <c r="G517" s="45" t="str" cm="1">
        <f t="array" ref="G517">IFERROR(_xlfn.LET(
_xlpm.CSVVal,_xlfn.XLOOKUP($A517,CSV!$A:$A,CSV!G:G,""),
_xlpm.MacVal,_xlfn.XLOOKUP($A517,Output_Mac!$A:$A,Output_Mac!H:H,""),
_xlpm.MyAuditVal,_xlfn.XLOOKUP($A517,My_Audit!$A:$A,My_Audit!F:F,""),
_xlfn.IFS(_xlpm.MyAuditVal&lt;&gt;"",_xlpm.MyAuditVal,_xlpm.MacVal&lt;&gt;"",_xlpm.MacVal,_xlpm.CSVVal&lt;&gt;"",_xlpm.CSVVal
)),"")</f>
        <v/>
      </c>
      <c r="H517" s="45" t="str">
        <f>_xlfn.XLOOKUP(A517,Output_Mac!A:A,Output_Mac!I:I,"")</f>
        <v/>
      </c>
      <c r="I517" s="45" t="str" cm="1">
        <f t="array" ref="I517">IFERROR(_xlfn.LET(
_xlpm.CSVVal,_xlfn.XLOOKUP($A517,CSV!$A:$A,CSV!H:H,""),
_xlpm.MacVal,_xlfn.XLOOKUP($A517,Output_Mac!$A:$A,Output_Mac!J:J,""),
_xlpm.MyAuditVal,_xlfn.XLOOKUP($A517,My_Audit!$A:$A,My_Audit!H:H,""),
_xlfn.IFS(_xlpm.MyAuditVal&lt;&gt;"",UPPER(_xlpm.MyAuditVal),_xlpm.MacVal&lt;&gt;"",_xlpm.MacVal,_xlpm.CSVVal&lt;&gt;"",_xlpm.CSVVal
)),"")</f>
        <v/>
      </c>
      <c r="J517" s="45" t="str" cm="1">
        <f t="array" ref="J517">IFERROR(_xlfn.LET(
_xlpm.CSVVal,_xlfn.XLOOKUP($A517,CSV!$A:$A,CSV!J:J,""),
_xlpm.MacVal,_xlfn.XLOOKUP($A517,Output_Mac!$A:$A,Output_Mac!K:K,""),
_xlpm.MyAuditVal,_xlfn.XLOOKUP($A517,My_Audit!$A:$A,My_Audit!I:I,""),
_xlfn.IFS(_xlpm.MyAuditVal&lt;&gt;"",UPPER(_xlpm.MyAuditVal),_xlpm.MacVal&lt;&gt;"",_xlpm.MacVal,_xlpm.CSVVal&lt;&gt;"",_xlpm.CSVVal
)),"")</f>
        <v/>
      </c>
      <c r="K517" s="45" t="str" cm="1">
        <f t="array" ref="K517">IFERROR(_xlfn.LET(
_xlpm.CSVVal,_xlfn.XLOOKUP($A517,CSV!$A:$A,CSV!N:N,""),
_xlpm.MacVal,_xlfn.XLOOKUP($A517,Output_Mac!$A:$A,Output_Mac!L:L,""),
_xlpm.MyAuditVal,_xlfn.XLOOKUP($A517,My_Audit!$A:$A,My_Audit!J:J,""),
_xlfn.IFS(_xlpm.MyAuditVal&lt;&gt;"",UPPER(_xlpm.MyAuditVal),_xlpm.MacVal&lt;&gt;"",_xlpm.MacVal,_xlpm.CSVVal&lt;&gt;"",_xlpm.CSVVal
)),"")</f>
        <v/>
      </c>
      <c r="L517" s="45" t="str" cm="1">
        <f t="array" ref="L517">IFERROR(_xlfn.LET(
_xlpm.CSVVal,_xlfn.XLOOKUP($A517,CSV!$A:$A,CSV!P:P,""),
_xlpm.MacVal,_xlfn.XLOOKUP($A517,Output_Mac!$A:$A,Output_Mac!M:M,""),
_xlpm.MyAuditVal,_xlfn.XLOOKUP($A517,My_Audit!$A:$A,My_Audit!K:K,""),
_xlfn.IFS(_xlpm.MyAuditVal&lt;&gt;"",UPPER(_xlpm.MyAuditVal),_xlpm.MacVal&lt;&gt;"",_xlpm.MacVal,_xlpm.CSVVal&lt;&gt;"",_xlpm.CSVVal
)),"")</f>
        <v/>
      </c>
      <c r="M517" s="45" t="str">
        <f>_xlfn.LET(
    _xlpm.CSVVal, _xlfn.XLOOKUP($A517, CSV!$A:$A, CSV!AE:AE, ""),
    _xlpm.MacVal, _xlfn.XLOOKUP($A517, Output_Mac!$A:$A, Output_Mac!S:S, ""),
    _xlpm.MyAuditVal, _xlfn.XLOOKUP($A517, My_Audit!$A:$A, My_Audit!N:N, ""),
    _xlfn.TEXTJOIN(", ", TRUE, _xlpm.MyAuditVal, _xlpm.MacVal, _xlpm.CSVVal)
)</f>
        <v/>
      </c>
      <c r="N517" s="45" t="str" cm="1">
        <f t="array" ref="N517">IFERROR(_xlfn.LET(
_xlpm.CSVVal,_xlfn.XLOOKUP($A517,CSV!$A:$A,CSV!AG:AG,""),
_xlpm.MacVal,_xlfn.XLOOKUP($A517,Output_Mac!$A:$A,Output_Mac!U:U,""),
_xlpm.MyAuditVal,_xlfn.XLOOKUP($A517,My_Audit!$A:$A,My_Audit!O:O,""),
_xlfn.IFS(_xlpm.MyAuditVal&lt;&gt;"",UPPER(_xlpm.MyAuditVal),_xlpm.MacVal&lt;&gt;"",_xlpm.MacVal,_xlpm.CSVVal&lt;&gt;"",_xlpm.CSVVal
)),"")</f>
        <v/>
      </c>
      <c r="O517" s="45"/>
      <c r="P517" s="45"/>
      <c r="Q517" s="46" t="str">
        <f>IF(LEFT(N517,4)="Pass","Nist SP 800-88",My_Audit!R517)&amp;""</f>
        <v/>
      </c>
      <c r="R517" s="45"/>
      <c r="S517" s="45"/>
      <c r="T517" s="46" t="str">
        <f>_xlfn.XLOOKUP(E517,Models!I:I,Models!J:J,"")</f>
        <v/>
      </c>
      <c r="U517" s="45"/>
      <c r="V517" s="45"/>
      <c r="W517" s="38"/>
    </row>
    <row r="518" spans="1:23">
      <c r="A518" s="45" t="str">
        <f>_xlfn.TEXTJOIN("",TRUE,Input!$B$2,ROW(My_Audit!A517))</f>
        <v>XX517</v>
      </c>
      <c r="B518" s="45" t="str">
        <f>_xlfn.TEXTJOIN("-",TRUE,"ITD",Input!$A$2,A518)</f>
        <v>ITD-SHRXXX-XX517</v>
      </c>
      <c r="C518" s="45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46" t="str" cm="1">
        <f t="array" ref="D518">IFERROR(_xlfn.LET(
_xlpm.CSVVal,_xlfn.XLOOKUP($A518,CSV!$A:$A,CSV!C:C,""),
_xlpm.MacVal,_xlfn.XLOOKUP($A518,Output_Mac!$A:$A,Output_Mac!D:D,""),
_xlpm.MyAuditVal,_xlfn.XLOOKUP($A518,My_Audit!$A:$A,My_Audit!C:C,""),
_xlfn.IFS(_xlpm.MyAuditVal&lt;&gt;"",UPPER(_xlpm.MyAuditVal),_xlpm.MacVal&lt;&gt;"",_xlpm.MacVal,_xlpm.CSVVal&lt;&gt;"",_xlpm.CSVVal
)),"")</f>
        <v/>
      </c>
      <c r="E518" s="46" t="str" cm="1">
        <f t="array" ref="E518">IFERROR(_xlfn.LET(
_xlpm.CSVVal,_xlfn.XLOOKUP($A518,CSV!$A:$A,CSV!E:E,""),
_xlpm.MacVal,_xlfn.XLOOKUP($A518,Output_Mac!$A:$A,Output_Mac!C:C,""),
_xlpm.MyAuditVal,_xlfn.XLOOKUP($A518,My_Audit!$A:$A,My_Audit!D:D,""),
_xlfn.IFS(_xlpm.MyAuditVal&lt;&gt;"",_xlpm.MyAuditVal,_xlpm.MacVal&lt;&gt;"",_xlpm.MacVal,_xlpm.CSVVal&lt;&gt;"",_xlpm.CSVVal
)),"")</f>
        <v/>
      </c>
      <c r="F518" s="45" t="str" cm="1">
        <f t="array" ref="F518">IFERROR(_xlfn.LET(
_xlpm.CSVVal,_xlfn.XLOOKUP($A518,CSV!$A:$A,CSV!F:F,""),
_xlpm.MacVal,_xlfn.XLOOKUP($A518,Output_Mac!$A:$A,Output_Mac!F:F,""),
_xlpm.MyAuditVal,_xlfn.XLOOKUP($A518,My_Audit!$A:$A,My_Audit!E:E,""),
_xlfn.IFS(_xlpm.MyAuditVal&lt;&gt;"",_xlpm.MyAuditVal,_xlpm.MacVal&lt;&gt;"",_xlpm.MacVal,_xlpm.CSVVal&lt;&gt;"",PROPER(_xlpm.CSVVal)
)),"")</f>
        <v/>
      </c>
      <c r="G518" s="45" t="str" cm="1">
        <f t="array" ref="G518">IFERROR(_xlfn.LET(
_xlpm.CSVVal,_xlfn.XLOOKUP($A518,CSV!$A:$A,CSV!G:G,""),
_xlpm.MacVal,_xlfn.XLOOKUP($A518,Output_Mac!$A:$A,Output_Mac!H:H,""),
_xlpm.MyAuditVal,_xlfn.XLOOKUP($A518,My_Audit!$A:$A,My_Audit!F:F,""),
_xlfn.IFS(_xlpm.MyAuditVal&lt;&gt;"",_xlpm.MyAuditVal,_xlpm.MacVal&lt;&gt;"",_xlpm.MacVal,_xlpm.CSVVal&lt;&gt;"",_xlpm.CSVVal
)),"")</f>
        <v/>
      </c>
      <c r="H518" s="45" t="str">
        <f>_xlfn.XLOOKUP(A518,Output_Mac!A:A,Output_Mac!I:I,"")</f>
        <v/>
      </c>
      <c r="I518" s="45" t="str" cm="1">
        <f t="array" ref="I518">IFERROR(_xlfn.LET(
_xlpm.CSVVal,_xlfn.XLOOKUP($A518,CSV!$A:$A,CSV!H:H,""),
_xlpm.MacVal,_xlfn.XLOOKUP($A518,Output_Mac!$A:$A,Output_Mac!J:J,""),
_xlpm.MyAuditVal,_xlfn.XLOOKUP($A518,My_Audit!$A:$A,My_Audit!H:H,""),
_xlfn.IFS(_xlpm.MyAuditVal&lt;&gt;"",UPPER(_xlpm.MyAuditVal),_xlpm.MacVal&lt;&gt;"",_xlpm.MacVal,_xlpm.CSVVal&lt;&gt;"",_xlpm.CSVVal
)),"")</f>
        <v/>
      </c>
      <c r="J518" s="45" t="str" cm="1">
        <f t="array" ref="J518">IFERROR(_xlfn.LET(
_xlpm.CSVVal,_xlfn.XLOOKUP($A518,CSV!$A:$A,CSV!J:J,""),
_xlpm.MacVal,_xlfn.XLOOKUP($A518,Output_Mac!$A:$A,Output_Mac!K:K,""),
_xlpm.MyAuditVal,_xlfn.XLOOKUP($A518,My_Audit!$A:$A,My_Audit!I:I,""),
_xlfn.IFS(_xlpm.MyAuditVal&lt;&gt;"",UPPER(_xlpm.MyAuditVal),_xlpm.MacVal&lt;&gt;"",_xlpm.MacVal,_xlpm.CSVVal&lt;&gt;"",_xlpm.CSVVal
)),"")</f>
        <v/>
      </c>
      <c r="K518" s="45" t="str" cm="1">
        <f t="array" ref="K518">IFERROR(_xlfn.LET(
_xlpm.CSVVal,_xlfn.XLOOKUP($A518,CSV!$A:$A,CSV!N:N,""),
_xlpm.MacVal,_xlfn.XLOOKUP($A518,Output_Mac!$A:$A,Output_Mac!L:L,""),
_xlpm.MyAuditVal,_xlfn.XLOOKUP($A518,My_Audit!$A:$A,My_Audit!J:J,""),
_xlfn.IFS(_xlpm.MyAuditVal&lt;&gt;"",UPPER(_xlpm.MyAuditVal),_xlpm.MacVal&lt;&gt;"",_xlpm.MacVal,_xlpm.CSVVal&lt;&gt;"",_xlpm.CSVVal
)),"")</f>
        <v/>
      </c>
      <c r="L518" s="45" t="str" cm="1">
        <f t="array" ref="L518">IFERROR(_xlfn.LET(
_xlpm.CSVVal,_xlfn.XLOOKUP($A518,CSV!$A:$A,CSV!P:P,""),
_xlpm.MacVal,_xlfn.XLOOKUP($A518,Output_Mac!$A:$A,Output_Mac!M:M,""),
_xlpm.MyAuditVal,_xlfn.XLOOKUP($A518,My_Audit!$A:$A,My_Audit!K:K,""),
_xlfn.IFS(_xlpm.MyAuditVal&lt;&gt;"",UPPER(_xlpm.MyAuditVal),_xlpm.MacVal&lt;&gt;"",_xlpm.MacVal,_xlpm.CSVVal&lt;&gt;"",_xlpm.CSVVal
)),"")</f>
        <v/>
      </c>
      <c r="M518" s="45" t="str">
        <f>_xlfn.LET(
    _xlpm.CSVVal, _xlfn.XLOOKUP($A518, CSV!$A:$A, CSV!AE:AE, ""),
    _xlpm.MacVal, _xlfn.XLOOKUP($A518, Output_Mac!$A:$A, Output_Mac!S:S, ""),
    _xlpm.MyAuditVal, _xlfn.XLOOKUP($A518, My_Audit!$A:$A, My_Audit!N:N, ""),
    _xlfn.TEXTJOIN(", ", TRUE, _xlpm.MyAuditVal, _xlpm.MacVal, _xlpm.CSVVal)
)</f>
        <v/>
      </c>
      <c r="N518" s="45" t="str" cm="1">
        <f t="array" ref="N518">IFERROR(_xlfn.LET(
_xlpm.CSVVal,_xlfn.XLOOKUP($A518,CSV!$A:$A,CSV!AG:AG,""),
_xlpm.MacVal,_xlfn.XLOOKUP($A518,Output_Mac!$A:$A,Output_Mac!U:U,""),
_xlpm.MyAuditVal,_xlfn.XLOOKUP($A518,My_Audit!$A:$A,My_Audit!O:O,""),
_xlfn.IFS(_xlpm.MyAuditVal&lt;&gt;"",UPPER(_xlpm.MyAuditVal),_xlpm.MacVal&lt;&gt;"",_xlpm.MacVal,_xlpm.CSVVal&lt;&gt;"",_xlpm.CSVVal
)),"")</f>
        <v/>
      </c>
      <c r="O518" s="45"/>
      <c r="P518" s="45"/>
      <c r="Q518" s="46" t="str">
        <f>IF(LEFT(N518,4)="Pass","Nist SP 800-88",My_Audit!R518)&amp;""</f>
        <v/>
      </c>
      <c r="R518" s="45"/>
      <c r="S518" s="45"/>
      <c r="T518" s="46" t="str">
        <f>_xlfn.XLOOKUP(E518,Models!I:I,Models!J:J,"")</f>
        <v/>
      </c>
      <c r="U518" s="45"/>
      <c r="V518" s="45"/>
      <c r="W518" s="38"/>
    </row>
    <row r="519" spans="1:23">
      <c r="A519" s="45" t="str">
        <f>_xlfn.TEXTJOIN("",TRUE,Input!$B$2,ROW(My_Audit!A518))</f>
        <v>XX518</v>
      </c>
      <c r="B519" s="45" t="str">
        <f>_xlfn.TEXTJOIN("-",TRUE,"ITD",Input!$A$2,A519)</f>
        <v>ITD-SHRXXX-XX518</v>
      </c>
      <c r="C519" s="45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46" t="str" cm="1">
        <f t="array" ref="D519">IFERROR(_xlfn.LET(
_xlpm.CSVVal,_xlfn.XLOOKUP($A519,CSV!$A:$A,CSV!C:C,""),
_xlpm.MacVal,_xlfn.XLOOKUP($A519,Output_Mac!$A:$A,Output_Mac!D:D,""),
_xlpm.MyAuditVal,_xlfn.XLOOKUP($A519,My_Audit!$A:$A,My_Audit!C:C,""),
_xlfn.IFS(_xlpm.MyAuditVal&lt;&gt;"",UPPER(_xlpm.MyAuditVal),_xlpm.MacVal&lt;&gt;"",_xlpm.MacVal,_xlpm.CSVVal&lt;&gt;"",_xlpm.CSVVal
)),"")</f>
        <v/>
      </c>
      <c r="E519" s="46" t="str" cm="1">
        <f t="array" ref="E519">IFERROR(_xlfn.LET(
_xlpm.CSVVal,_xlfn.XLOOKUP($A519,CSV!$A:$A,CSV!E:E,""),
_xlpm.MacVal,_xlfn.XLOOKUP($A519,Output_Mac!$A:$A,Output_Mac!C:C,""),
_xlpm.MyAuditVal,_xlfn.XLOOKUP($A519,My_Audit!$A:$A,My_Audit!D:D,""),
_xlfn.IFS(_xlpm.MyAuditVal&lt;&gt;"",_xlpm.MyAuditVal,_xlpm.MacVal&lt;&gt;"",_xlpm.MacVal,_xlpm.CSVVal&lt;&gt;"",_xlpm.CSVVal
)),"")</f>
        <v/>
      </c>
      <c r="F519" s="45" t="str" cm="1">
        <f t="array" ref="F519">IFERROR(_xlfn.LET(
_xlpm.CSVVal,_xlfn.XLOOKUP($A519,CSV!$A:$A,CSV!F:F,""),
_xlpm.MacVal,_xlfn.XLOOKUP($A519,Output_Mac!$A:$A,Output_Mac!F:F,""),
_xlpm.MyAuditVal,_xlfn.XLOOKUP($A519,My_Audit!$A:$A,My_Audit!E:E,""),
_xlfn.IFS(_xlpm.MyAuditVal&lt;&gt;"",_xlpm.MyAuditVal,_xlpm.MacVal&lt;&gt;"",_xlpm.MacVal,_xlpm.CSVVal&lt;&gt;"",PROPER(_xlpm.CSVVal)
)),"")</f>
        <v/>
      </c>
      <c r="G519" s="45" t="str" cm="1">
        <f t="array" ref="G519">IFERROR(_xlfn.LET(
_xlpm.CSVVal,_xlfn.XLOOKUP($A519,CSV!$A:$A,CSV!G:G,""),
_xlpm.MacVal,_xlfn.XLOOKUP($A519,Output_Mac!$A:$A,Output_Mac!H:H,""),
_xlpm.MyAuditVal,_xlfn.XLOOKUP($A519,My_Audit!$A:$A,My_Audit!F:F,""),
_xlfn.IFS(_xlpm.MyAuditVal&lt;&gt;"",_xlpm.MyAuditVal,_xlpm.MacVal&lt;&gt;"",_xlpm.MacVal,_xlpm.CSVVal&lt;&gt;"",_xlpm.CSVVal
)),"")</f>
        <v/>
      </c>
      <c r="H519" s="45" t="str">
        <f>_xlfn.XLOOKUP(A519,Output_Mac!A:A,Output_Mac!I:I,"")</f>
        <v/>
      </c>
      <c r="I519" s="45" t="str" cm="1">
        <f t="array" ref="I519">IFERROR(_xlfn.LET(
_xlpm.CSVVal,_xlfn.XLOOKUP($A519,CSV!$A:$A,CSV!H:H,""),
_xlpm.MacVal,_xlfn.XLOOKUP($A519,Output_Mac!$A:$A,Output_Mac!J:J,""),
_xlpm.MyAuditVal,_xlfn.XLOOKUP($A519,My_Audit!$A:$A,My_Audit!H:H,""),
_xlfn.IFS(_xlpm.MyAuditVal&lt;&gt;"",UPPER(_xlpm.MyAuditVal),_xlpm.MacVal&lt;&gt;"",_xlpm.MacVal,_xlpm.CSVVal&lt;&gt;"",_xlpm.CSVVal
)),"")</f>
        <v/>
      </c>
      <c r="J519" s="45" t="str" cm="1">
        <f t="array" ref="J519">IFERROR(_xlfn.LET(
_xlpm.CSVVal,_xlfn.XLOOKUP($A519,CSV!$A:$A,CSV!J:J,""),
_xlpm.MacVal,_xlfn.XLOOKUP($A519,Output_Mac!$A:$A,Output_Mac!K:K,""),
_xlpm.MyAuditVal,_xlfn.XLOOKUP($A519,My_Audit!$A:$A,My_Audit!I:I,""),
_xlfn.IFS(_xlpm.MyAuditVal&lt;&gt;"",UPPER(_xlpm.MyAuditVal),_xlpm.MacVal&lt;&gt;"",_xlpm.MacVal,_xlpm.CSVVal&lt;&gt;"",_xlpm.CSVVal
)),"")</f>
        <v/>
      </c>
      <c r="K519" s="45" t="str" cm="1">
        <f t="array" ref="K519">IFERROR(_xlfn.LET(
_xlpm.CSVVal,_xlfn.XLOOKUP($A519,CSV!$A:$A,CSV!N:N,""),
_xlpm.MacVal,_xlfn.XLOOKUP($A519,Output_Mac!$A:$A,Output_Mac!L:L,""),
_xlpm.MyAuditVal,_xlfn.XLOOKUP($A519,My_Audit!$A:$A,My_Audit!J:J,""),
_xlfn.IFS(_xlpm.MyAuditVal&lt;&gt;"",UPPER(_xlpm.MyAuditVal),_xlpm.MacVal&lt;&gt;"",_xlpm.MacVal,_xlpm.CSVVal&lt;&gt;"",_xlpm.CSVVal
)),"")</f>
        <v/>
      </c>
      <c r="L519" s="45" t="str" cm="1">
        <f t="array" ref="L519">IFERROR(_xlfn.LET(
_xlpm.CSVVal,_xlfn.XLOOKUP($A519,CSV!$A:$A,CSV!P:P,""),
_xlpm.MacVal,_xlfn.XLOOKUP($A519,Output_Mac!$A:$A,Output_Mac!M:M,""),
_xlpm.MyAuditVal,_xlfn.XLOOKUP($A519,My_Audit!$A:$A,My_Audit!K:K,""),
_xlfn.IFS(_xlpm.MyAuditVal&lt;&gt;"",UPPER(_xlpm.MyAuditVal),_xlpm.MacVal&lt;&gt;"",_xlpm.MacVal,_xlpm.CSVVal&lt;&gt;"",_xlpm.CSVVal
)),"")</f>
        <v/>
      </c>
      <c r="M519" s="45" t="str">
        <f>_xlfn.LET(
    _xlpm.CSVVal, _xlfn.XLOOKUP($A519, CSV!$A:$A, CSV!AE:AE, ""),
    _xlpm.MacVal, _xlfn.XLOOKUP($A519, Output_Mac!$A:$A, Output_Mac!S:S, ""),
    _xlpm.MyAuditVal, _xlfn.XLOOKUP($A519, My_Audit!$A:$A, My_Audit!N:N, ""),
    _xlfn.TEXTJOIN(", ", TRUE, _xlpm.MyAuditVal, _xlpm.MacVal, _xlpm.CSVVal)
)</f>
        <v/>
      </c>
      <c r="N519" s="45" t="str" cm="1">
        <f t="array" ref="N519">IFERROR(_xlfn.LET(
_xlpm.CSVVal,_xlfn.XLOOKUP($A519,CSV!$A:$A,CSV!AG:AG,""),
_xlpm.MacVal,_xlfn.XLOOKUP($A519,Output_Mac!$A:$A,Output_Mac!U:U,""),
_xlpm.MyAuditVal,_xlfn.XLOOKUP($A519,My_Audit!$A:$A,My_Audit!O:O,""),
_xlfn.IFS(_xlpm.MyAuditVal&lt;&gt;"",UPPER(_xlpm.MyAuditVal),_xlpm.MacVal&lt;&gt;"",_xlpm.MacVal,_xlpm.CSVVal&lt;&gt;"",_xlpm.CSVVal
)),"")</f>
        <v/>
      </c>
      <c r="O519" s="45"/>
      <c r="P519" s="45"/>
      <c r="Q519" s="46" t="str">
        <f>IF(LEFT(N519,4)="Pass","Nist SP 800-88",My_Audit!R519)&amp;""</f>
        <v/>
      </c>
      <c r="R519" s="45"/>
      <c r="S519" s="45"/>
      <c r="T519" s="46" t="str">
        <f>_xlfn.XLOOKUP(E519,Models!I:I,Models!J:J,"")</f>
        <v/>
      </c>
      <c r="U519" s="45"/>
      <c r="V519" s="45"/>
      <c r="W519" s="38"/>
    </row>
    <row r="520" spans="1:23">
      <c r="A520" s="45" t="str">
        <f>_xlfn.TEXTJOIN("",TRUE,Input!$B$2,ROW(My_Audit!A519))</f>
        <v>XX519</v>
      </c>
      <c r="B520" s="45" t="str">
        <f>_xlfn.TEXTJOIN("-",TRUE,"ITD",Input!$A$2,A520)</f>
        <v>ITD-SHRXXX-XX519</v>
      </c>
      <c r="C520" s="45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46" t="str" cm="1">
        <f t="array" ref="D520">IFERROR(_xlfn.LET(
_xlpm.CSVVal,_xlfn.XLOOKUP($A520,CSV!$A:$A,CSV!C:C,""),
_xlpm.MacVal,_xlfn.XLOOKUP($A520,Output_Mac!$A:$A,Output_Mac!D:D,""),
_xlpm.MyAuditVal,_xlfn.XLOOKUP($A520,My_Audit!$A:$A,My_Audit!C:C,""),
_xlfn.IFS(_xlpm.MyAuditVal&lt;&gt;"",UPPER(_xlpm.MyAuditVal),_xlpm.MacVal&lt;&gt;"",_xlpm.MacVal,_xlpm.CSVVal&lt;&gt;"",_xlpm.CSVVal
)),"")</f>
        <v/>
      </c>
      <c r="E520" s="46" t="str" cm="1">
        <f t="array" ref="E520">IFERROR(_xlfn.LET(
_xlpm.CSVVal,_xlfn.XLOOKUP($A520,CSV!$A:$A,CSV!E:E,""),
_xlpm.MacVal,_xlfn.XLOOKUP($A520,Output_Mac!$A:$A,Output_Mac!C:C,""),
_xlpm.MyAuditVal,_xlfn.XLOOKUP($A520,My_Audit!$A:$A,My_Audit!D:D,""),
_xlfn.IFS(_xlpm.MyAuditVal&lt;&gt;"",_xlpm.MyAuditVal,_xlpm.MacVal&lt;&gt;"",_xlpm.MacVal,_xlpm.CSVVal&lt;&gt;"",_xlpm.CSVVal
)),"")</f>
        <v/>
      </c>
      <c r="F520" s="45" t="str" cm="1">
        <f t="array" ref="F520">IFERROR(_xlfn.LET(
_xlpm.CSVVal,_xlfn.XLOOKUP($A520,CSV!$A:$A,CSV!F:F,""),
_xlpm.MacVal,_xlfn.XLOOKUP($A520,Output_Mac!$A:$A,Output_Mac!F:F,""),
_xlpm.MyAuditVal,_xlfn.XLOOKUP($A520,My_Audit!$A:$A,My_Audit!E:E,""),
_xlfn.IFS(_xlpm.MyAuditVal&lt;&gt;"",_xlpm.MyAuditVal,_xlpm.MacVal&lt;&gt;"",_xlpm.MacVal,_xlpm.CSVVal&lt;&gt;"",PROPER(_xlpm.CSVVal)
)),"")</f>
        <v/>
      </c>
      <c r="G520" s="45" t="str" cm="1">
        <f t="array" ref="G520">IFERROR(_xlfn.LET(
_xlpm.CSVVal,_xlfn.XLOOKUP($A520,CSV!$A:$A,CSV!G:G,""),
_xlpm.MacVal,_xlfn.XLOOKUP($A520,Output_Mac!$A:$A,Output_Mac!H:H,""),
_xlpm.MyAuditVal,_xlfn.XLOOKUP($A520,My_Audit!$A:$A,My_Audit!F:F,""),
_xlfn.IFS(_xlpm.MyAuditVal&lt;&gt;"",_xlpm.MyAuditVal,_xlpm.MacVal&lt;&gt;"",_xlpm.MacVal,_xlpm.CSVVal&lt;&gt;"",_xlpm.CSVVal
)),"")</f>
        <v/>
      </c>
      <c r="H520" s="45" t="str">
        <f>_xlfn.XLOOKUP(A520,Output_Mac!A:A,Output_Mac!I:I,"")</f>
        <v/>
      </c>
      <c r="I520" s="45" t="str" cm="1">
        <f t="array" ref="I520">IFERROR(_xlfn.LET(
_xlpm.CSVVal,_xlfn.XLOOKUP($A520,CSV!$A:$A,CSV!H:H,""),
_xlpm.MacVal,_xlfn.XLOOKUP($A520,Output_Mac!$A:$A,Output_Mac!J:J,""),
_xlpm.MyAuditVal,_xlfn.XLOOKUP($A520,My_Audit!$A:$A,My_Audit!H:H,""),
_xlfn.IFS(_xlpm.MyAuditVal&lt;&gt;"",UPPER(_xlpm.MyAuditVal),_xlpm.MacVal&lt;&gt;"",_xlpm.MacVal,_xlpm.CSVVal&lt;&gt;"",_xlpm.CSVVal
)),"")</f>
        <v/>
      </c>
      <c r="J520" s="45" t="str" cm="1">
        <f t="array" ref="J520">IFERROR(_xlfn.LET(
_xlpm.CSVVal,_xlfn.XLOOKUP($A520,CSV!$A:$A,CSV!J:J,""),
_xlpm.MacVal,_xlfn.XLOOKUP($A520,Output_Mac!$A:$A,Output_Mac!K:K,""),
_xlpm.MyAuditVal,_xlfn.XLOOKUP($A520,My_Audit!$A:$A,My_Audit!I:I,""),
_xlfn.IFS(_xlpm.MyAuditVal&lt;&gt;"",UPPER(_xlpm.MyAuditVal),_xlpm.MacVal&lt;&gt;"",_xlpm.MacVal,_xlpm.CSVVal&lt;&gt;"",_xlpm.CSVVal
)),"")</f>
        <v/>
      </c>
      <c r="K520" s="45" t="str" cm="1">
        <f t="array" ref="K520">IFERROR(_xlfn.LET(
_xlpm.CSVVal,_xlfn.XLOOKUP($A520,CSV!$A:$A,CSV!N:N,""),
_xlpm.MacVal,_xlfn.XLOOKUP($A520,Output_Mac!$A:$A,Output_Mac!L:L,""),
_xlpm.MyAuditVal,_xlfn.XLOOKUP($A520,My_Audit!$A:$A,My_Audit!J:J,""),
_xlfn.IFS(_xlpm.MyAuditVal&lt;&gt;"",UPPER(_xlpm.MyAuditVal),_xlpm.MacVal&lt;&gt;"",_xlpm.MacVal,_xlpm.CSVVal&lt;&gt;"",_xlpm.CSVVal
)),"")</f>
        <v/>
      </c>
      <c r="L520" s="45" t="str" cm="1">
        <f t="array" ref="L520">IFERROR(_xlfn.LET(
_xlpm.CSVVal,_xlfn.XLOOKUP($A520,CSV!$A:$A,CSV!P:P,""),
_xlpm.MacVal,_xlfn.XLOOKUP($A520,Output_Mac!$A:$A,Output_Mac!M:M,""),
_xlpm.MyAuditVal,_xlfn.XLOOKUP($A520,My_Audit!$A:$A,My_Audit!K:K,""),
_xlfn.IFS(_xlpm.MyAuditVal&lt;&gt;"",UPPER(_xlpm.MyAuditVal),_xlpm.MacVal&lt;&gt;"",_xlpm.MacVal,_xlpm.CSVVal&lt;&gt;"",_xlpm.CSVVal
)),"")</f>
        <v/>
      </c>
      <c r="M520" s="45" t="str">
        <f>_xlfn.LET(
    _xlpm.CSVVal, _xlfn.XLOOKUP($A520, CSV!$A:$A, CSV!AE:AE, ""),
    _xlpm.MacVal, _xlfn.XLOOKUP($A520, Output_Mac!$A:$A, Output_Mac!S:S, ""),
    _xlpm.MyAuditVal, _xlfn.XLOOKUP($A520, My_Audit!$A:$A, My_Audit!N:N, ""),
    _xlfn.TEXTJOIN(", ", TRUE, _xlpm.MyAuditVal, _xlpm.MacVal, _xlpm.CSVVal)
)</f>
        <v/>
      </c>
      <c r="N520" s="45" t="str" cm="1">
        <f t="array" ref="N520">IFERROR(_xlfn.LET(
_xlpm.CSVVal,_xlfn.XLOOKUP($A520,CSV!$A:$A,CSV!AG:AG,""),
_xlpm.MacVal,_xlfn.XLOOKUP($A520,Output_Mac!$A:$A,Output_Mac!U:U,""),
_xlpm.MyAuditVal,_xlfn.XLOOKUP($A520,My_Audit!$A:$A,My_Audit!O:O,""),
_xlfn.IFS(_xlpm.MyAuditVal&lt;&gt;"",UPPER(_xlpm.MyAuditVal),_xlpm.MacVal&lt;&gt;"",_xlpm.MacVal,_xlpm.CSVVal&lt;&gt;"",_xlpm.CSVVal
)),"")</f>
        <v/>
      </c>
      <c r="O520" s="45"/>
      <c r="P520" s="45"/>
      <c r="Q520" s="46" t="str">
        <f>IF(LEFT(N520,4)="Pass","Nist SP 800-88",My_Audit!R520)&amp;""</f>
        <v/>
      </c>
      <c r="R520" s="45"/>
      <c r="S520" s="45"/>
      <c r="T520" s="46" t="str">
        <f>_xlfn.XLOOKUP(E520,Models!I:I,Models!J:J,"")</f>
        <v/>
      </c>
      <c r="U520" s="45"/>
      <c r="V520" s="45"/>
      <c r="W520" s="38"/>
    </row>
    <row r="521" spans="1:23">
      <c r="A521" s="45" t="str">
        <f>_xlfn.TEXTJOIN("",TRUE,Input!$B$2,ROW(My_Audit!A520))</f>
        <v>XX520</v>
      </c>
      <c r="B521" s="45" t="str">
        <f>_xlfn.TEXTJOIN("-",TRUE,"ITD",Input!$A$2,A521)</f>
        <v>ITD-SHRXXX-XX520</v>
      </c>
      <c r="C521" s="45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46" t="str" cm="1">
        <f t="array" ref="D521">IFERROR(_xlfn.LET(
_xlpm.CSVVal,_xlfn.XLOOKUP($A521,CSV!$A:$A,CSV!C:C,""),
_xlpm.MacVal,_xlfn.XLOOKUP($A521,Output_Mac!$A:$A,Output_Mac!D:D,""),
_xlpm.MyAuditVal,_xlfn.XLOOKUP($A521,My_Audit!$A:$A,My_Audit!C:C,""),
_xlfn.IFS(_xlpm.MyAuditVal&lt;&gt;"",UPPER(_xlpm.MyAuditVal),_xlpm.MacVal&lt;&gt;"",_xlpm.MacVal,_xlpm.CSVVal&lt;&gt;"",_xlpm.CSVVal
)),"")</f>
        <v/>
      </c>
      <c r="E521" s="46" t="str" cm="1">
        <f t="array" ref="E521">IFERROR(_xlfn.LET(
_xlpm.CSVVal,_xlfn.XLOOKUP($A521,CSV!$A:$A,CSV!E:E,""),
_xlpm.MacVal,_xlfn.XLOOKUP($A521,Output_Mac!$A:$A,Output_Mac!C:C,""),
_xlpm.MyAuditVal,_xlfn.XLOOKUP($A521,My_Audit!$A:$A,My_Audit!D:D,""),
_xlfn.IFS(_xlpm.MyAuditVal&lt;&gt;"",_xlpm.MyAuditVal,_xlpm.MacVal&lt;&gt;"",_xlpm.MacVal,_xlpm.CSVVal&lt;&gt;"",_xlpm.CSVVal
)),"")</f>
        <v/>
      </c>
      <c r="F521" s="45" t="str" cm="1">
        <f t="array" ref="F521">IFERROR(_xlfn.LET(
_xlpm.CSVVal,_xlfn.XLOOKUP($A521,CSV!$A:$A,CSV!F:F,""),
_xlpm.MacVal,_xlfn.XLOOKUP($A521,Output_Mac!$A:$A,Output_Mac!F:F,""),
_xlpm.MyAuditVal,_xlfn.XLOOKUP($A521,My_Audit!$A:$A,My_Audit!E:E,""),
_xlfn.IFS(_xlpm.MyAuditVal&lt;&gt;"",_xlpm.MyAuditVal,_xlpm.MacVal&lt;&gt;"",_xlpm.MacVal,_xlpm.CSVVal&lt;&gt;"",PROPER(_xlpm.CSVVal)
)),"")</f>
        <v/>
      </c>
      <c r="G521" s="45" t="str" cm="1">
        <f t="array" ref="G521">IFERROR(_xlfn.LET(
_xlpm.CSVVal,_xlfn.XLOOKUP($A521,CSV!$A:$A,CSV!G:G,""),
_xlpm.MacVal,_xlfn.XLOOKUP($A521,Output_Mac!$A:$A,Output_Mac!H:H,""),
_xlpm.MyAuditVal,_xlfn.XLOOKUP($A521,My_Audit!$A:$A,My_Audit!F:F,""),
_xlfn.IFS(_xlpm.MyAuditVal&lt;&gt;"",_xlpm.MyAuditVal,_xlpm.MacVal&lt;&gt;"",_xlpm.MacVal,_xlpm.CSVVal&lt;&gt;"",_xlpm.CSVVal
)),"")</f>
        <v/>
      </c>
      <c r="H521" s="45" t="str">
        <f>_xlfn.XLOOKUP(A521,Output_Mac!A:A,Output_Mac!I:I,"")</f>
        <v/>
      </c>
      <c r="I521" s="45" t="str" cm="1">
        <f t="array" ref="I521">IFERROR(_xlfn.LET(
_xlpm.CSVVal,_xlfn.XLOOKUP($A521,CSV!$A:$A,CSV!H:H,""),
_xlpm.MacVal,_xlfn.XLOOKUP($A521,Output_Mac!$A:$A,Output_Mac!J:J,""),
_xlpm.MyAuditVal,_xlfn.XLOOKUP($A521,My_Audit!$A:$A,My_Audit!H:H,""),
_xlfn.IFS(_xlpm.MyAuditVal&lt;&gt;"",UPPER(_xlpm.MyAuditVal),_xlpm.MacVal&lt;&gt;"",_xlpm.MacVal,_xlpm.CSVVal&lt;&gt;"",_xlpm.CSVVal
)),"")</f>
        <v/>
      </c>
      <c r="J521" s="45" t="str" cm="1">
        <f t="array" ref="J521">IFERROR(_xlfn.LET(
_xlpm.CSVVal,_xlfn.XLOOKUP($A521,CSV!$A:$A,CSV!J:J,""),
_xlpm.MacVal,_xlfn.XLOOKUP($A521,Output_Mac!$A:$A,Output_Mac!K:K,""),
_xlpm.MyAuditVal,_xlfn.XLOOKUP($A521,My_Audit!$A:$A,My_Audit!I:I,""),
_xlfn.IFS(_xlpm.MyAuditVal&lt;&gt;"",UPPER(_xlpm.MyAuditVal),_xlpm.MacVal&lt;&gt;"",_xlpm.MacVal,_xlpm.CSVVal&lt;&gt;"",_xlpm.CSVVal
)),"")</f>
        <v/>
      </c>
      <c r="K521" s="45" t="str" cm="1">
        <f t="array" ref="K521">IFERROR(_xlfn.LET(
_xlpm.CSVVal,_xlfn.XLOOKUP($A521,CSV!$A:$A,CSV!N:N,""),
_xlpm.MacVal,_xlfn.XLOOKUP($A521,Output_Mac!$A:$A,Output_Mac!L:L,""),
_xlpm.MyAuditVal,_xlfn.XLOOKUP($A521,My_Audit!$A:$A,My_Audit!J:J,""),
_xlfn.IFS(_xlpm.MyAuditVal&lt;&gt;"",UPPER(_xlpm.MyAuditVal),_xlpm.MacVal&lt;&gt;"",_xlpm.MacVal,_xlpm.CSVVal&lt;&gt;"",_xlpm.CSVVal
)),"")</f>
        <v/>
      </c>
      <c r="L521" s="45" t="str" cm="1">
        <f t="array" ref="L521">IFERROR(_xlfn.LET(
_xlpm.CSVVal,_xlfn.XLOOKUP($A521,CSV!$A:$A,CSV!P:P,""),
_xlpm.MacVal,_xlfn.XLOOKUP($A521,Output_Mac!$A:$A,Output_Mac!M:M,""),
_xlpm.MyAuditVal,_xlfn.XLOOKUP($A521,My_Audit!$A:$A,My_Audit!K:K,""),
_xlfn.IFS(_xlpm.MyAuditVal&lt;&gt;"",UPPER(_xlpm.MyAuditVal),_xlpm.MacVal&lt;&gt;"",_xlpm.MacVal,_xlpm.CSVVal&lt;&gt;"",_xlpm.CSVVal
)),"")</f>
        <v/>
      </c>
      <c r="M521" s="45" t="str">
        <f>_xlfn.LET(
    _xlpm.CSVVal, _xlfn.XLOOKUP($A521, CSV!$A:$A, CSV!AE:AE, ""),
    _xlpm.MacVal, _xlfn.XLOOKUP($A521, Output_Mac!$A:$A, Output_Mac!S:S, ""),
    _xlpm.MyAuditVal, _xlfn.XLOOKUP($A521, My_Audit!$A:$A, My_Audit!N:N, ""),
    _xlfn.TEXTJOIN(", ", TRUE, _xlpm.MyAuditVal, _xlpm.MacVal, _xlpm.CSVVal)
)</f>
        <v/>
      </c>
      <c r="N521" s="45" t="str" cm="1">
        <f t="array" ref="N521">IFERROR(_xlfn.LET(
_xlpm.CSVVal,_xlfn.XLOOKUP($A521,CSV!$A:$A,CSV!AG:AG,""),
_xlpm.MacVal,_xlfn.XLOOKUP($A521,Output_Mac!$A:$A,Output_Mac!U:U,""),
_xlpm.MyAuditVal,_xlfn.XLOOKUP($A521,My_Audit!$A:$A,My_Audit!O:O,""),
_xlfn.IFS(_xlpm.MyAuditVal&lt;&gt;"",UPPER(_xlpm.MyAuditVal),_xlpm.MacVal&lt;&gt;"",_xlpm.MacVal,_xlpm.CSVVal&lt;&gt;"",_xlpm.CSVVal
)),"")</f>
        <v/>
      </c>
      <c r="O521" s="45"/>
      <c r="P521" s="45"/>
      <c r="Q521" s="46" t="str">
        <f>IF(LEFT(N521,4)="Pass","Nist SP 800-88",My_Audit!R521)&amp;""</f>
        <v/>
      </c>
      <c r="R521" s="45"/>
      <c r="S521" s="45"/>
      <c r="T521" s="46" t="str">
        <f>_xlfn.XLOOKUP(E521,Models!I:I,Models!J:J,"")</f>
        <v/>
      </c>
      <c r="U521" s="45"/>
      <c r="V521" s="45"/>
      <c r="W521" s="38"/>
    </row>
    <row r="522" spans="1:23">
      <c r="A522" s="45" t="str">
        <f>_xlfn.TEXTJOIN("",TRUE,Input!$B$2,ROW(My_Audit!A521))</f>
        <v>XX521</v>
      </c>
      <c r="B522" s="45" t="str">
        <f>_xlfn.TEXTJOIN("-",TRUE,"ITD",Input!$A$2,A522)</f>
        <v>ITD-SHRXXX-XX521</v>
      </c>
      <c r="C522" s="45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46" t="str" cm="1">
        <f t="array" ref="D522">IFERROR(_xlfn.LET(
_xlpm.CSVVal,_xlfn.XLOOKUP($A522,CSV!$A:$A,CSV!C:C,""),
_xlpm.MacVal,_xlfn.XLOOKUP($A522,Output_Mac!$A:$A,Output_Mac!D:D,""),
_xlpm.MyAuditVal,_xlfn.XLOOKUP($A522,My_Audit!$A:$A,My_Audit!C:C,""),
_xlfn.IFS(_xlpm.MyAuditVal&lt;&gt;"",UPPER(_xlpm.MyAuditVal),_xlpm.MacVal&lt;&gt;"",_xlpm.MacVal,_xlpm.CSVVal&lt;&gt;"",_xlpm.CSVVal
)),"")</f>
        <v/>
      </c>
      <c r="E522" s="46" t="str" cm="1">
        <f t="array" ref="E522">IFERROR(_xlfn.LET(
_xlpm.CSVVal,_xlfn.XLOOKUP($A522,CSV!$A:$A,CSV!E:E,""),
_xlpm.MacVal,_xlfn.XLOOKUP($A522,Output_Mac!$A:$A,Output_Mac!C:C,""),
_xlpm.MyAuditVal,_xlfn.XLOOKUP($A522,My_Audit!$A:$A,My_Audit!D:D,""),
_xlfn.IFS(_xlpm.MyAuditVal&lt;&gt;"",_xlpm.MyAuditVal,_xlpm.MacVal&lt;&gt;"",_xlpm.MacVal,_xlpm.CSVVal&lt;&gt;"",_xlpm.CSVVal
)),"")</f>
        <v/>
      </c>
      <c r="F522" s="45" t="str" cm="1">
        <f t="array" ref="F522">IFERROR(_xlfn.LET(
_xlpm.CSVVal,_xlfn.XLOOKUP($A522,CSV!$A:$A,CSV!F:F,""),
_xlpm.MacVal,_xlfn.XLOOKUP($A522,Output_Mac!$A:$A,Output_Mac!F:F,""),
_xlpm.MyAuditVal,_xlfn.XLOOKUP($A522,My_Audit!$A:$A,My_Audit!E:E,""),
_xlfn.IFS(_xlpm.MyAuditVal&lt;&gt;"",_xlpm.MyAuditVal,_xlpm.MacVal&lt;&gt;"",_xlpm.MacVal,_xlpm.CSVVal&lt;&gt;"",PROPER(_xlpm.CSVVal)
)),"")</f>
        <v/>
      </c>
      <c r="G522" s="45" t="str" cm="1">
        <f t="array" ref="G522">IFERROR(_xlfn.LET(
_xlpm.CSVVal,_xlfn.XLOOKUP($A522,CSV!$A:$A,CSV!G:G,""),
_xlpm.MacVal,_xlfn.XLOOKUP($A522,Output_Mac!$A:$A,Output_Mac!H:H,""),
_xlpm.MyAuditVal,_xlfn.XLOOKUP($A522,My_Audit!$A:$A,My_Audit!F:F,""),
_xlfn.IFS(_xlpm.MyAuditVal&lt;&gt;"",_xlpm.MyAuditVal,_xlpm.MacVal&lt;&gt;"",_xlpm.MacVal,_xlpm.CSVVal&lt;&gt;"",_xlpm.CSVVal
)),"")</f>
        <v/>
      </c>
      <c r="H522" s="45" t="str">
        <f>_xlfn.XLOOKUP(A522,Output_Mac!A:A,Output_Mac!I:I,"")</f>
        <v/>
      </c>
      <c r="I522" s="45" t="str" cm="1">
        <f t="array" ref="I522">IFERROR(_xlfn.LET(
_xlpm.CSVVal,_xlfn.XLOOKUP($A522,CSV!$A:$A,CSV!H:H,""),
_xlpm.MacVal,_xlfn.XLOOKUP($A522,Output_Mac!$A:$A,Output_Mac!J:J,""),
_xlpm.MyAuditVal,_xlfn.XLOOKUP($A522,My_Audit!$A:$A,My_Audit!H:H,""),
_xlfn.IFS(_xlpm.MyAuditVal&lt;&gt;"",UPPER(_xlpm.MyAuditVal),_xlpm.MacVal&lt;&gt;"",_xlpm.MacVal,_xlpm.CSVVal&lt;&gt;"",_xlpm.CSVVal
)),"")</f>
        <v/>
      </c>
      <c r="J522" s="45" t="str" cm="1">
        <f t="array" ref="J522">IFERROR(_xlfn.LET(
_xlpm.CSVVal,_xlfn.XLOOKUP($A522,CSV!$A:$A,CSV!J:J,""),
_xlpm.MacVal,_xlfn.XLOOKUP($A522,Output_Mac!$A:$A,Output_Mac!K:K,""),
_xlpm.MyAuditVal,_xlfn.XLOOKUP($A522,My_Audit!$A:$A,My_Audit!I:I,""),
_xlfn.IFS(_xlpm.MyAuditVal&lt;&gt;"",UPPER(_xlpm.MyAuditVal),_xlpm.MacVal&lt;&gt;"",_xlpm.MacVal,_xlpm.CSVVal&lt;&gt;"",_xlpm.CSVVal
)),"")</f>
        <v/>
      </c>
      <c r="K522" s="45" t="str" cm="1">
        <f t="array" ref="K522">IFERROR(_xlfn.LET(
_xlpm.CSVVal,_xlfn.XLOOKUP($A522,CSV!$A:$A,CSV!N:N,""),
_xlpm.MacVal,_xlfn.XLOOKUP($A522,Output_Mac!$A:$A,Output_Mac!L:L,""),
_xlpm.MyAuditVal,_xlfn.XLOOKUP($A522,My_Audit!$A:$A,My_Audit!J:J,""),
_xlfn.IFS(_xlpm.MyAuditVal&lt;&gt;"",UPPER(_xlpm.MyAuditVal),_xlpm.MacVal&lt;&gt;"",_xlpm.MacVal,_xlpm.CSVVal&lt;&gt;"",_xlpm.CSVVal
)),"")</f>
        <v/>
      </c>
      <c r="L522" s="45" t="str" cm="1">
        <f t="array" ref="L522">IFERROR(_xlfn.LET(
_xlpm.CSVVal,_xlfn.XLOOKUP($A522,CSV!$A:$A,CSV!P:P,""),
_xlpm.MacVal,_xlfn.XLOOKUP($A522,Output_Mac!$A:$A,Output_Mac!M:M,""),
_xlpm.MyAuditVal,_xlfn.XLOOKUP($A522,My_Audit!$A:$A,My_Audit!K:K,""),
_xlfn.IFS(_xlpm.MyAuditVal&lt;&gt;"",UPPER(_xlpm.MyAuditVal),_xlpm.MacVal&lt;&gt;"",_xlpm.MacVal,_xlpm.CSVVal&lt;&gt;"",_xlpm.CSVVal
)),"")</f>
        <v/>
      </c>
      <c r="M522" s="45" t="str">
        <f>_xlfn.LET(
    _xlpm.CSVVal, _xlfn.XLOOKUP($A522, CSV!$A:$A, CSV!AE:AE, ""),
    _xlpm.MacVal, _xlfn.XLOOKUP($A522, Output_Mac!$A:$A, Output_Mac!S:S, ""),
    _xlpm.MyAuditVal, _xlfn.XLOOKUP($A522, My_Audit!$A:$A, My_Audit!N:N, ""),
    _xlfn.TEXTJOIN(", ", TRUE, _xlpm.MyAuditVal, _xlpm.MacVal, _xlpm.CSVVal)
)</f>
        <v/>
      </c>
      <c r="N522" s="45" t="str" cm="1">
        <f t="array" ref="N522">IFERROR(_xlfn.LET(
_xlpm.CSVVal,_xlfn.XLOOKUP($A522,CSV!$A:$A,CSV!AG:AG,""),
_xlpm.MacVal,_xlfn.XLOOKUP($A522,Output_Mac!$A:$A,Output_Mac!U:U,""),
_xlpm.MyAuditVal,_xlfn.XLOOKUP($A522,My_Audit!$A:$A,My_Audit!O:O,""),
_xlfn.IFS(_xlpm.MyAuditVal&lt;&gt;"",UPPER(_xlpm.MyAuditVal),_xlpm.MacVal&lt;&gt;"",_xlpm.MacVal,_xlpm.CSVVal&lt;&gt;"",_xlpm.CSVVal
)),"")</f>
        <v/>
      </c>
      <c r="O522" s="45"/>
      <c r="P522" s="45"/>
      <c r="Q522" s="46" t="str">
        <f>IF(LEFT(N522,4)="Pass","Nist SP 800-88",My_Audit!R522)&amp;""</f>
        <v/>
      </c>
      <c r="R522" s="45"/>
      <c r="S522" s="45"/>
      <c r="T522" s="46" t="str">
        <f>_xlfn.XLOOKUP(E522,Models!I:I,Models!J:J,"")</f>
        <v/>
      </c>
      <c r="U522" s="45"/>
      <c r="V522" s="45"/>
      <c r="W522" s="38"/>
    </row>
    <row r="523" spans="1:23">
      <c r="A523" s="45" t="str">
        <f>_xlfn.TEXTJOIN("",TRUE,Input!$B$2,ROW(My_Audit!A522))</f>
        <v>XX522</v>
      </c>
      <c r="B523" s="45" t="str">
        <f>_xlfn.TEXTJOIN("-",TRUE,"ITD",Input!$A$2,A523)</f>
        <v>ITD-SHRXXX-XX522</v>
      </c>
      <c r="C523" s="45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46" t="str" cm="1">
        <f t="array" ref="D523">IFERROR(_xlfn.LET(
_xlpm.CSVVal,_xlfn.XLOOKUP($A523,CSV!$A:$A,CSV!C:C,""),
_xlpm.MacVal,_xlfn.XLOOKUP($A523,Output_Mac!$A:$A,Output_Mac!D:D,""),
_xlpm.MyAuditVal,_xlfn.XLOOKUP($A523,My_Audit!$A:$A,My_Audit!C:C,""),
_xlfn.IFS(_xlpm.MyAuditVal&lt;&gt;"",UPPER(_xlpm.MyAuditVal),_xlpm.MacVal&lt;&gt;"",_xlpm.MacVal,_xlpm.CSVVal&lt;&gt;"",_xlpm.CSVVal
)),"")</f>
        <v/>
      </c>
      <c r="E523" s="46" t="str" cm="1">
        <f t="array" ref="E523">IFERROR(_xlfn.LET(
_xlpm.CSVVal,_xlfn.XLOOKUP($A523,CSV!$A:$A,CSV!E:E,""),
_xlpm.MacVal,_xlfn.XLOOKUP($A523,Output_Mac!$A:$A,Output_Mac!C:C,""),
_xlpm.MyAuditVal,_xlfn.XLOOKUP($A523,My_Audit!$A:$A,My_Audit!D:D,""),
_xlfn.IFS(_xlpm.MyAuditVal&lt;&gt;"",_xlpm.MyAuditVal,_xlpm.MacVal&lt;&gt;"",_xlpm.MacVal,_xlpm.CSVVal&lt;&gt;"",_xlpm.CSVVal
)),"")</f>
        <v/>
      </c>
      <c r="F523" s="45" t="str" cm="1">
        <f t="array" ref="F523">IFERROR(_xlfn.LET(
_xlpm.CSVVal,_xlfn.XLOOKUP($A523,CSV!$A:$A,CSV!F:F,""),
_xlpm.MacVal,_xlfn.XLOOKUP($A523,Output_Mac!$A:$A,Output_Mac!F:F,""),
_xlpm.MyAuditVal,_xlfn.XLOOKUP($A523,My_Audit!$A:$A,My_Audit!E:E,""),
_xlfn.IFS(_xlpm.MyAuditVal&lt;&gt;"",_xlpm.MyAuditVal,_xlpm.MacVal&lt;&gt;"",_xlpm.MacVal,_xlpm.CSVVal&lt;&gt;"",PROPER(_xlpm.CSVVal)
)),"")</f>
        <v/>
      </c>
      <c r="G523" s="45" t="str" cm="1">
        <f t="array" ref="G523">IFERROR(_xlfn.LET(
_xlpm.CSVVal,_xlfn.XLOOKUP($A523,CSV!$A:$A,CSV!G:G,""),
_xlpm.MacVal,_xlfn.XLOOKUP($A523,Output_Mac!$A:$A,Output_Mac!H:H,""),
_xlpm.MyAuditVal,_xlfn.XLOOKUP($A523,My_Audit!$A:$A,My_Audit!F:F,""),
_xlfn.IFS(_xlpm.MyAuditVal&lt;&gt;"",_xlpm.MyAuditVal,_xlpm.MacVal&lt;&gt;"",_xlpm.MacVal,_xlpm.CSVVal&lt;&gt;"",_xlpm.CSVVal
)),"")</f>
        <v/>
      </c>
      <c r="H523" s="45" t="str">
        <f>_xlfn.XLOOKUP(A523,Output_Mac!A:A,Output_Mac!I:I,"")</f>
        <v/>
      </c>
      <c r="I523" s="45" t="str" cm="1">
        <f t="array" ref="I523">IFERROR(_xlfn.LET(
_xlpm.CSVVal,_xlfn.XLOOKUP($A523,CSV!$A:$A,CSV!H:H,""),
_xlpm.MacVal,_xlfn.XLOOKUP($A523,Output_Mac!$A:$A,Output_Mac!J:J,""),
_xlpm.MyAuditVal,_xlfn.XLOOKUP($A523,My_Audit!$A:$A,My_Audit!H:H,""),
_xlfn.IFS(_xlpm.MyAuditVal&lt;&gt;"",UPPER(_xlpm.MyAuditVal),_xlpm.MacVal&lt;&gt;"",_xlpm.MacVal,_xlpm.CSVVal&lt;&gt;"",_xlpm.CSVVal
)),"")</f>
        <v/>
      </c>
      <c r="J523" s="45" t="str" cm="1">
        <f t="array" ref="J523">IFERROR(_xlfn.LET(
_xlpm.CSVVal,_xlfn.XLOOKUP($A523,CSV!$A:$A,CSV!J:J,""),
_xlpm.MacVal,_xlfn.XLOOKUP($A523,Output_Mac!$A:$A,Output_Mac!K:K,""),
_xlpm.MyAuditVal,_xlfn.XLOOKUP($A523,My_Audit!$A:$A,My_Audit!I:I,""),
_xlfn.IFS(_xlpm.MyAuditVal&lt;&gt;"",UPPER(_xlpm.MyAuditVal),_xlpm.MacVal&lt;&gt;"",_xlpm.MacVal,_xlpm.CSVVal&lt;&gt;"",_xlpm.CSVVal
)),"")</f>
        <v/>
      </c>
      <c r="K523" s="45" t="str" cm="1">
        <f t="array" ref="K523">IFERROR(_xlfn.LET(
_xlpm.CSVVal,_xlfn.XLOOKUP($A523,CSV!$A:$A,CSV!N:N,""),
_xlpm.MacVal,_xlfn.XLOOKUP($A523,Output_Mac!$A:$A,Output_Mac!L:L,""),
_xlpm.MyAuditVal,_xlfn.XLOOKUP($A523,My_Audit!$A:$A,My_Audit!J:J,""),
_xlfn.IFS(_xlpm.MyAuditVal&lt;&gt;"",UPPER(_xlpm.MyAuditVal),_xlpm.MacVal&lt;&gt;"",_xlpm.MacVal,_xlpm.CSVVal&lt;&gt;"",_xlpm.CSVVal
)),"")</f>
        <v/>
      </c>
      <c r="L523" s="45" t="str" cm="1">
        <f t="array" ref="L523">IFERROR(_xlfn.LET(
_xlpm.CSVVal,_xlfn.XLOOKUP($A523,CSV!$A:$A,CSV!P:P,""),
_xlpm.MacVal,_xlfn.XLOOKUP($A523,Output_Mac!$A:$A,Output_Mac!M:M,""),
_xlpm.MyAuditVal,_xlfn.XLOOKUP($A523,My_Audit!$A:$A,My_Audit!K:K,""),
_xlfn.IFS(_xlpm.MyAuditVal&lt;&gt;"",UPPER(_xlpm.MyAuditVal),_xlpm.MacVal&lt;&gt;"",_xlpm.MacVal,_xlpm.CSVVal&lt;&gt;"",_xlpm.CSVVal
)),"")</f>
        <v/>
      </c>
      <c r="M523" s="45" t="str">
        <f>_xlfn.LET(
    _xlpm.CSVVal, _xlfn.XLOOKUP($A523, CSV!$A:$A, CSV!AE:AE, ""),
    _xlpm.MacVal, _xlfn.XLOOKUP($A523, Output_Mac!$A:$A, Output_Mac!S:S, ""),
    _xlpm.MyAuditVal, _xlfn.XLOOKUP($A523, My_Audit!$A:$A, My_Audit!N:N, ""),
    _xlfn.TEXTJOIN(", ", TRUE, _xlpm.MyAuditVal, _xlpm.MacVal, _xlpm.CSVVal)
)</f>
        <v/>
      </c>
      <c r="N523" s="45" t="str" cm="1">
        <f t="array" ref="N523">IFERROR(_xlfn.LET(
_xlpm.CSVVal,_xlfn.XLOOKUP($A523,CSV!$A:$A,CSV!AG:AG,""),
_xlpm.MacVal,_xlfn.XLOOKUP($A523,Output_Mac!$A:$A,Output_Mac!U:U,""),
_xlpm.MyAuditVal,_xlfn.XLOOKUP($A523,My_Audit!$A:$A,My_Audit!O:O,""),
_xlfn.IFS(_xlpm.MyAuditVal&lt;&gt;"",UPPER(_xlpm.MyAuditVal),_xlpm.MacVal&lt;&gt;"",_xlpm.MacVal,_xlpm.CSVVal&lt;&gt;"",_xlpm.CSVVal
)),"")</f>
        <v/>
      </c>
      <c r="O523" s="45"/>
      <c r="P523" s="45"/>
      <c r="Q523" s="46" t="str">
        <f>IF(LEFT(N523,4)="Pass","Nist SP 800-88",My_Audit!R523)&amp;""</f>
        <v/>
      </c>
      <c r="R523" s="45"/>
      <c r="S523" s="45"/>
      <c r="T523" s="46" t="str">
        <f>_xlfn.XLOOKUP(E523,Models!I:I,Models!J:J,"")</f>
        <v/>
      </c>
      <c r="U523" s="45"/>
      <c r="V523" s="45"/>
      <c r="W523" s="38"/>
    </row>
    <row r="524" spans="1:23">
      <c r="A524" s="45" t="str">
        <f>_xlfn.TEXTJOIN("",TRUE,Input!$B$2,ROW(My_Audit!A523))</f>
        <v>XX523</v>
      </c>
      <c r="B524" s="45" t="str">
        <f>_xlfn.TEXTJOIN("-",TRUE,"ITD",Input!$A$2,A524)</f>
        <v>ITD-SHRXXX-XX523</v>
      </c>
      <c r="C524" s="45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46" t="str" cm="1">
        <f t="array" ref="D524">IFERROR(_xlfn.LET(
_xlpm.CSVVal,_xlfn.XLOOKUP($A524,CSV!$A:$A,CSV!C:C,""),
_xlpm.MacVal,_xlfn.XLOOKUP($A524,Output_Mac!$A:$A,Output_Mac!D:D,""),
_xlpm.MyAuditVal,_xlfn.XLOOKUP($A524,My_Audit!$A:$A,My_Audit!C:C,""),
_xlfn.IFS(_xlpm.MyAuditVal&lt;&gt;"",UPPER(_xlpm.MyAuditVal),_xlpm.MacVal&lt;&gt;"",_xlpm.MacVal,_xlpm.CSVVal&lt;&gt;"",_xlpm.CSVVal
)),"")</f>
        <v/>
      </c>
      <c r="E524" s="46" t="str" cm="1">
        <f t="array" ref="E524">IFERROR(_xlfn.LET(
_xlpm.CSVVal,_xlfn.XLOOKUP($A524,CSV!$A:$A,CSV!E:E,""),
_xlpm.MacVal,_xlfn.XLOOKUP($A524,Output_Mac!$A:$A,Output_Mac!C:C,""),
_xlpm.MyAuditVal,_xlfn.XLOOKUP($A524,My_Audit!$A:$A,My_Audit!D:D,""),
_xlfn.IFS(_xlpm.MyAuditVal&lt;&gt;"",_xlpm.MyAuditVal,_xlpm.MacVal&lt;&gt;"",_xlpm.MacVal,_xlpm.CSVVal&lt;&gt;"",_xlpm.CSVVal
)),"")</f>
        <v/>
      </c>
      <c r="F524" s="45" t="str" cm="1">
        <f t="array" ref="F524">IFERROR(_xlfn.LET(
_xlpm.CSVVal,_xlfn.XLOOKUP($A524,CSV!$A:$A,CSV!F:F,""),
_xlpm.MacVal,_xlfn.XLOOKUP($A524,Output_Mac!$A:$A,Output_Mac!F:F,""),
_xlpm.MyAuditVal,_xlfn.XLOOKUP($A524,My_Audit!$A:$A,My_Audit!E:E,""),
_xlfn.IFS(_xlpm.MyAuditVal&lt;&gt;"",_xlpm.MyAuditVal,_xlpm.MacVal&lt;&gt;"",_xlpm.MacVal,_xlpm.CSVVal&lt;&gt;"",PROPER(_xlpm.CSVVal)
)),"")</f>
        <v/>
      </c>
      <c r="G524" s="45" t="str" cm="1">
        <f t="array" ref="G524">IFERROR(_xlfn.LET(
_xlpm.CSVVal,_xlfn.XLOOKUP($A524,CSV!$A:$A,CSV!G:G,""),
_xlpm.MacVal,_xlfn.XLOOKUP($A524,Output_Mac!$A:$A,Output_Mac!H:H,""),
_xlpm.MyAuditVal,_xlfn.XLOOKUP($A524,My_Audit!$A:$A,My_Audit!F:F,""),
_xlfn.IFS(_xlpm.MyAuditVal&lt;&gt;"",_xlpm.MyAuditVal,_xlpm.MacVal&lt;&gt;"",_xlpm.MacVal,_xlpm.CSVVal&lt;&gt;"",_xlpm.CSVVal
)),"")</f>
        <v/>
      </c>
      <c r="H524" s="45" t="str">
        <f>_xlfn.XLOOKUP(A524,Output_Mac!A:A,Output_Mac!I:I,"")</f>
        <v/>
      </c>
      <c r="I524" s="45" t="str" cm="1">
        <f t="array" ref="I524">IFERROR(_xlfn.LET(
_xlpm.CSVVal,_xlfn.XLOOKUP($A524,CSV!$A:$A,CSV!H:H,""),
_xlpm.MacVal,_xlfn.XLOOKUP($A524,Output_Mac!$A:$A,Output_Mac!J:J,""),
_xlpm.MyAuditVal,_xlfn.XLOOKUP($A524,My_Audit!$A:$A,My_Audit!H:H,""),
_xlfn.IFS(_xlpm.MyAuditVal&lt;&gt;"",UPPER(_xlpm.MyAuditVal),_xlpm.MacVal&lt;&gt;"",_xlpm.MacVal,_xlpm.CSVVal&lt;&gt;"",_xlpm.CSVVal
)),"")</f>
        <v/>
      </c>
      <c r="J524" s="45" t="str" cm="1">
        <f t="array" ref="J524">IFERROR(_xlfn.LET(
_xlpm.CSVVal,_xlfn.XLOOKUP($A524,CSV!$A:$A,CSV!J:J,""),
_xlpm.MacVal,_xlfn.XLOOKUP($A524,Output_Mac!$A:$A,Output_Mac!K:K,""),
_xlpm.MyAuditVal,_xlfn.XLOOKUP($A524,My_Audit!$A:$A,My_Audit!I:I,""),
_xlfn.IFS(_xlpm.MyAuditVal&lt;&gt;"",UPPER(_xlpm.MyAuditVal),_xlpm.MacVal&lt;&gt;"",_xlpm.MacVal,_xlpm.CSVVal&lt;&gt;"",_xlpm.CSVVal
)),"")</f>
        <v/>
      </c>
      <c r="K524" s="45" t="str" cm="1">
        <f t="array" ref="K524">IFERROR(_xlfn.LET(
_xlpm.CSVVal,_xlfn.XLOOKUP($A524,CSV!$A:$A,CSV!N:N,""),
_xlpm.MacVal,_xlfn.XLOOKUP($A524,Output_Mac!$A:$A,Output_Mac!L:L,""),
_xlpm.MyAuditVal,_xlfn.XLOOKUP($A524,My_Audit!$A:$A,My_Audit!J:J,""),
_xlfn.IFS(_xlpm.MyAuditVal&lt;&gt;"",UPPER(_xlpm.MyAuditVal),_xlpm.MacVal&lt;&gt;"",_xlpm.MacVal,_xlpm.CSVVal&lt;&gt;"",_xlpm.CSVVal
)),"")</f>
        <v/>
      </c>
      <c r="L524" s="45" t="str" cm="1">
        <f t="array" ref="L524">IFERROR(_xlfn.LET(
_xlpm.CSVVal,_xlfn.XLOOKUP($A524,CSV!$A:$A,CSV!P:P,""),
_xlpm.MacVal,_xlfn.XLOOKUP($A524,Output_Mac!$A:$A,Output_Mac!M:M,""),
_xlpm.MyAuditVal,_xlfn.XLOOKUP($A524,My_Audit!$A:$A,My_Audit!K:K,""),
_xlfn.IFS(_xlpm.MyAuditVal&lt;&gt;"",UPPER(_xlpm.MyAuditVal),_xlpm.MacVal&lt;&gt;"",_xlpm.MacVal,_xlpm.CSVVal&lt;&gt;"",_xlpm.CSVVal
)),"")</f>
        <v/>
      </c>
      <c r="M524" s="45" t="str">
        <f>_xlfn.LET(
    _xlpm.CSVVal, _xlfn.XLOOKUP($A524, CSV!$A:$A, CSV!AE:AE, ""),
    _xlpm.MacVal, _xlfn.XLOOKUP($A524, Output_Mac!$A:$A, Output_Mac!S:S, ""),
    _xlpm.MyAuditVal, _xlfn.XLOOKUP($A524, My_Audit!$A:$A, My_Audit!N:N, ""),
    _xlfn.TEXTJOIN(", ", TRUE, _xlpm.MyAuditVal, _xlpm.MacVal, _xlpm.CSVVal)
)</f>
        <v/>
      </c>
      <c r="N524" s="45" t="str" cm="1">
        <f t="array" ref="N524">IFERROR(_xlfn.LET(
_xlpm.CSVVal,_xlfn.XLOOKUP($A524,CSV!$A:$A,CSV!AG:AG,""),
_xlpm.MacVal,_xlfn.XLOOKUP($A524,Output_Mac!$A:$A,Output_Mac!U:U,""),
_xlpm.MyAuditVal,_xlfn.XLOOKUP($A524,My_Audit!$A:$A,My_Audit!O:O,""),
_xlfn.IFS(_xlpm.MyAuditVal&lt;&gt;"",UPPER(_xlpm.MyAuditVal),_xlpm.MacVal&lt;&gt;"",_xlpm.MacVal,_xlpm.CSVVal&lt;&gt;"",_xlpm.CSVVal
)),"")</f>
        <v/>
      </c>
      <c r="O524" s="45"/>
      <c r="P524" s="45"/>
      <c r="Q524" s="46" t="str">
        <f>IF(LEFT(N524,4)="Pass","Nist SP 800-88",My_Audit!R524)&amp;""</f>
        <v/>
      </c>
      <c r="R524" s="45"/>
      <c r="S524" s="45"/>
      <c r="T524" s="46" t="str">
        <f>_xlfn.XLOOKUP(E524,Models!I:I,Models!J:J,"")</f>
        <v/>
      </c>
      <c r="U524" s="45"/>
      <c r="V524" s="45"/>
      <c r="W524" s="38"/>
    </row>
    <row r="525" spans="1:23">
      <c r="A525" s="45" t="str">
        <f>_xlfn.TEXTJOIN("",TRUE,Input!$B$2,ROW(My_Audit!A524))</f>
        <v>XX524</v>
      </c>
      <c r="B525" s="45" t="str">
        <f>_xlfn.TEXTJOIN("-",TRUE,"ITD",Input!$A$2,A525)</f>
        <v>ITD-SHRXXX-XX524</v>
      </c>
      <c r="C525" s="45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46" t="str" cm="1">
        <f t="array" ref="D525">IFERROR(_xlfn.LET(
_xlpm.CSVVal,_xlfn.XLOOKUP($A525,CSV!$A:$A,CSV!C:C,""),
_xlpm.MacVal,_xlfn.XLOOKUP($A525,Output_Mac!$A:$A,Output_Mac!D:D,""),
_xlpm.MyAuditVal,_xlfn.XLOOKUP($A525,My_Audit!$A:$A,My_Audit!C:C,""),
_xlfn.IFS(_xlpm.MyAuditVal&lt;&gt;"",UPPER(_xlpm.MyAuditVal),_xlpm.MacVal&lt;&gt;"",_xlpm.MacVal,_xlpm.CSVVal&lt;&gt;"",_xlpm.CSVVal
)),"")</f>
        <v/>
      </c>
      <c r="E525" s="46" t="str" cm="1">
        <f t="array" ref="E525">IFERROR(_xlfn.LET(
_xlpm.CSVVal,_xlfn.XLOOKUP($A525,CSV!$A:$A,CSV!E:E,""),
_xlpm.MacVal,_xlfn.XLOOKUP($A525,Output_Mac!$A:$A,Output_Mac!C:C,""),
_xlpm.MyAuditVal,_xlfn.XLOOKUP($A525,My_Audit!$A:$A,My_Audit!D:D,""),
_xlfn.IFS(_xlpm.MyAuditVal&lt;&gt;"",_xlpm.MyAuditVal,_xlpm.MacVal&lt;&gt;"",_xlpm.MacVal,_xlpm.CSVVal&lt;&gt;"",_xlpm.CSVVal
)),"")</f>
        <v/>
      </c>
      <c r="F525" s="45" t="str" cm="1">
        <f t="array" ref="F525">IFERROR(_xlfn.LET(
_xlpm.CSVVal,_xlfn.XLOOKUP($A525,CSV!$A:$A,CSV!F:F,""),
_xlpm.MacVal,_xlfn.XLOOKUP($A525,Output_Mac!$A:$A,Output_Mac!F:F,""),
_xlpm.MyAuditVal,_xlfn.XLOOKUP($A525,My_Audit!$A:$A,My_Audit!E:E,""),
_xlfn.IFS(_xlpm.MyAuditVal&lt;&gt;"",_xlpm.MyAuditVal,_xlpm.MacVal&lt;&gt;"",_xlpm.MacVal,_xlpm.CSVVal&lt;&gt;"",PROPER(_xlpm.CSVVal)
)),"")</f>
        <v/>
      </c>
      <c r="G525" s="45" t="str" cm="1">
        <f t="array" ref="G525">IFERROR(_xlfn.LET(
_xlpm.CSVVal,_xlfn.XLOOKUP($A525,CSV!$A:$A,CSV!G:G,""),
_xlpm.MacVal,_xlfn.XLOOKUP($A525,Output_Mac!$A:$A,Output_Mac!H:H,""),
_xlpm.MyAuditVal,_xlfn.XLOOKUP($A525,My_Audit!$A:$A,My_Audit!F:F,""),
_xlfn.IFS(_xlpm.MyAuditVal&lt;&gt;"",_xlpm.MyAuditVal,_xlpm.MacVal&lt;&gt;"",_xlpm.MacVal,_xlpm.CSVVal&lt;&gt;"",_xlpm.CSVVal
)),"")</f>
        <v/>
      </c>
      <c r="H525" s="45" t="str">
        <f>_xlfn.XLOOKUP(A525,Output_Mac!A:A,Output_Mac!I:I,"")</f>
        <v/>
      </c>
      <c r="I525" s="45" t="str" cm="1">
        <f t="array" ref="I525">IFERROR(_xlfn.LET(
_xlpm.CSVVal,_xlfn.XLOOKUP($A525,CSV!$A:$A,CSV!H:H,""),
_xlpm.MacVal,_xlfn.XLOOKUP($A525,Output_Mac!$A:$A,Output_Mac!J:J,""),
_xlpm.MyAuditVal,_xlfn.XLOOKUP($A525,My_Audit!$A:$A,My_Audit!H:H,""),
_xlfn.IFS(_xlpm.MyAuditVal&lt;&gt;"",UPPER(_xlpm.MyAuditVal),_xlpm.MacVal&lt;&gt;"",_xlpm.MacVal,_xlpm.CSVVal&lt;&gt;"",_xlpm.CSVVal
)),"")</f>
        <v/>
      </c>
      <c r="J525" s="45" t="str" cm="1">
        <f t="array" ref="J525">IFERROR(_xlfn.LET(
_xlpm.CSVVal,_xlfn.XLOOKUP($A525,CSV!$A:$A,CSV!J:J,""),
_xlpm.MacVal,_xlfn.XLOOKUP($A525,Output_Mac!$A:$A,Output_Mac!K:K,""),
_xlpm.MyAuditVal,_xlfn.XLOOKUP($A525,My_Audit!$A:$A,My_Audit!I:I,""),
_xlfn.IFS(_xlpm.MyAuditVal&lt;&gt;"",UPPER(_xlpm.MyAuditVal),_xlpm.MacVal&lt;&gt;"",_xlpm.MacVal,_xlpm.CSVVal&lt;&gt;"",_xlpm.CSVVal
)),"")</f>
        <v/>
      </c>
      <c r="K525" s="45" t="str" cm="1">
        <f t="array" ref="K525">IFERROR(_xlfn.LET(
_xlpm.CSVVal,_xlfn.XLOOKUP($A525,CSV!$A:$A,CSV!N:N,""),
_xlpm.MacVal,_xlfn.XLOOKUP($A525,Output_Mac!$A:$A,Output_Mac!L:L,""),
_xlpm.MyAuditVal,_xlfn.XLOOKUP($A525,My_Audit!$A:$A,My_Audit!J:J,""),
_xlfn.IFS(_xlpm.MyAuditVal&lt;&gt;"",UPPER(_xlpm.MyAuditVal),_xlpm.MacVal&lt;&gt;"",_xlpm.MacVal,_xlpm.CSVVal&lt;&gt;"",_xlpm.CSVVal
)),"")</f>
        <v/>
      </c>
      <c r="L525" s="45" t="str" cm="1">
        <f t="array" ref="L525">IFERROR(_xlfn.LET(
_xlpm.CSVVal,_xlfn.XLOOKUP($A525,CSV!$A:$A,CSV!P:P,""),
_xlpm.MacVal,_xlfn.XLOOKUP($A525,Output_Mac!$A:$A,Output_Mac!M:M,""),
_xlpm.MyAuditVal,_xlfn.XLOOKUP($A525,My_Audit!$A:$A,My_Audit!K:K,""),
_xlfn.IFS(_xlpm.MyAuditVal&lt;&gt;"",UPPER(_xlpm.MyAuditVal),_xlpm.MacVal&lt;&gt;"",_xlpm.MacVal,_xlpm.CSVVal&lt;&gt;"",_xlpm.CSVVal
)),"")</f>
        <v/>
      </c>
      <c r="M525" s="45" t="str">
        <f>_xlfn.LET(
    _xlpm.CSVVal, _xlfn.XLOOKUP($A525, CSV!$A:$A, CSV!AE:AE, ""),
    _xlpm.MacVal, _xlfn.XLOOKUP($A525, Output_Mac!$A:$A, Output_Mac!S:S, ""),
    _xlpm.MyAuditVal, _xlfn.XLOOKUP($A525, My_Audit!$A:$A, My_Audit!N:N, ""),
    _xlfn.TEXTJOIN(", ", TRUE, _xlpm.MyAuditVal, _xlpm.MacVal, _xlpm.CSVVal)
)</f>
        <v/>
      </c>
      <c r="N525" s="45" t="str" cm="1">
        <f t="array" ref="N525">IFERROR(_xlfn.LET(
_xlpm.CSVVal,_xlfn.XLOOKUP($A525,CSV!$A:$A,CSV!AG:AG,""),
_xlpm.MacVal,_xlfn.XLOOKUP($A525,Output_Mac!$A:$A,Output_Mac!U:U,""),
_xlpm.MyAuditVal,_xlfn.XLOOKUP($A525,My_Audit!$A:$A,My_Audit!O:O,""),
_xlfn.IFS(_xlpm.MyAuditVal&lt;&gt;"",UPPER(_xlpm.MyAuditVal),_xlpm.MacVal&lt;&gt;"",_xlpm.MacVal,_xlpm.CSVVal&lt;&gt;"",_xlpm.CSVVal
)),"")</f>
        <v/>
      </c>
      <c r="O525" s="45"/>
      <c r="P525" s="45"/>
      <c r="Q525" s="46" t="str">
        <f>IF(LEFT(N525,4)="Pass","Nist SP 800-88",My_Audit!R525)&amp;""</f>
        <v/>
      </c>
      <c r="R525" s="45"/>
      <c r="S525" s="45"/>
      <c r="T525" s="46" t="str">
        <f>_xlfn.XLOOKUP(E525,Models!I:I,Models!J:J,"")</f>
        <v/>
      </c>
      <c r="U525" s="45"/>
      <c r="V525" s="45"/>
      <c r="W525" s="38"/>
    </row>
    <row r="526" spans="1:23">
      <c r="A526" s="45" t="str">
        <f>_xlfn.TEXTJOIN("",TRUE,Input!$B$2,ROW(My_Audit!A525))</f>
        <v>XX525</v>
      </c>
      <c r="B526" s="45" t="str">
        <f>_xlfn.TEXTJOIN("-",TRUE,"ITD",Input!$A$2,A526)</f>
        <v>ITD-SHRXXX-XX525</v>
      </c>
      <c r="C526" s="45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46" t="str" cm="1">
        <f t="array" ref="D526">IFERROR(_xlfn.LET(
_xlpm.CSVVal,_xlfn.XLOOKUP($A526,CSV!$A:$A,CSV!C:C,""),
_xlpm.MacVal,_xlfn.XLOOKUP($A526,Output_Mac!$A:$A,Output_Mac!D:D,""),
_xlpm.MyAuditVal,_xlfn.XLOOKUP($A526,My_Audit!$A:$A,My_Audit!C:C,""),
_xlfn.IFS(_xlpm.MyAuditVal&lt;&gt;"",UPPER(_xlpm.MyAuditVal),_xlpm.MacVal&lt;&gt;"",_xlpm.MacVal,_xlpm.CSVVal&lt;&gt;"",_xlpm.CSVVal
)),"")</f>
        <v/>
      </c>
      <c r="E526" s="46" t="str" cm="1">
        <f t="array" ref="E526">IFERROR(_xlfn.LET(
_xlpm.CSVVal,_xlfn.XLOOKUP($A526,CSV!$A:$A,CSV!E:E,""),
_xlpm.MacVal,_xlfn.XLOOKUP($A526,Output_Mac!$A:$A,Output_Mac!C:C,""),
_xlpm.MyAuditVal,_xlfn.XLOOKUP($A526,My_Audit!$A:$A,My_Audit!D:D,""),
_xlfn.IFS(_xlpm.MyAuditVal&lt;&gt;"",_xlpm.MyAuditVal,_xlpm.MacVal&lt;&gt;"",_xlpm.MacVal,_xlpm.CSVVal&lt;&gt;"",_xlpm.CSVVal
)),"")</f>
        <v/>
      </c>
      <c r="F526" s="45" t="str" cm="1">
        <f t="array" ref="F526">IFERROR(_xlfn.LET(
_xlpm.CSVVal,_xlfn.XLOOKUP($A526,CSV!$A:$A,CSV!F:F,""),
_xlpm.MacVal,_xlfn.XLOOKUP($A526,Output_Mac!$A:$A,Output_Mac!F:F,""),
_xlpm.MyAuditVal,_xlfn.XLOOKUP($A526,My_Audit!$A:$A,My_Audit!E:E,""),
_xlfn.IFS(_xlpm.MyAuditVal&lt;&gt;"",_xlpm.MyAuditVal,_xlpm.MacVal&lt;&gt;"",_xlpm.MacVal,_xlpm.CSVVal&lt;&gt;"",PROPER(_xlpm.CSVVal)
)),"")</f>
        <v/>
      </c>
      <c r="G526" s="45" t="str" cm="1">
        <f t="array" ref="G526">IFERROR(_xlfn.LET(
_xlpm.CSVVal,_xlfn.XLOOKUP($A526,CSV!$A:$A,CSV!G:G,""),
_xlpm.MacVal,_xlfn.XLOOKUP($A526,Output_Mac!$A:$A,Output_Mac!H:H,""),
_xlpm.MyAuditVal,_xlfn.XLOOKUP($A526,My_Audit!$A:$A,My_Audit!F:F,""),
_xlfn.IFS(_xlpm.MyAuditVal&lt;&gt;"",_xlpm.MyAuditVal,_xlpm.MacVal&lt;&gt;"",_xlpm.MacVal,_xlpm.CSVVal&lt;&gt;"",_xlpm.CSVVal
)),"")</f>
        <v/>
      </c>
      <c r="H526" s="45" t="str">
        <f>_xlfn.XLOOKUP(A526,Output_Mac!A:A,Output_Mac!I:I,"")</f>
        <v/>
      </c>
      <c r="I526" s="45" t="str" cm="1">
        <f t="array" ref="I526">IFERROR(_xlfn.LET(
_xlpm.CSVVal,_xlfn.XLOOKUP($A526,CSV!$A:$A,CSV!H:H,""),
_xlpm.MacVal,_xlfn.XLOOKUP($A526,Output_Mac!$A:$A,Output_Mac!J:J,""),
_xlpm.MyAuditVal,_xlfn.XLOOKUP($A526,My_Audit!$A:$A,My_Audit!H:H,""),
_xlfn.IFS(_xlpm.MyAuditVal&lt;&gt;"",UPPER(_xlpm.MyAuditVal),_xlpm.MacVal&lt;&gt;"",_xlpm.MacVal,_xlpm.CSVVal&lt;&gt;"",_xlpm.CSVVal
)),"")</f>
        <v/>
      </c>
      <c r="J526" s="45" t="str" cm="1">
        <f t="array" ref="J526">IFERROR(_xlfn.LET(
_xlpm.CSVVal,_xlfn.XLOOKUP($A526,CSV!$A:$A,CSV!J:J,""),
_xlpm.MacVal,_xlfn.XLOOKUP($A526,Output_Mac!$A:$A,Output_Mac!K:K,""),
_xlpm.MyAuditVal,_xlfn.XLOOKUP($A526,My_Audit!$A:$A,My_Audit!I:I,""),
_xlfn.IFS(_xlpm.MyAuditVal&lt;&gt;"",UPPER(_xlpm.MyAuditVal),_xlpm.MacVal&lt;&gt;"",_xlpm.MacVal,_xlpm.CSVVal&lt;&gt;"",_xlpm.CSVVal
)),"")</f>
        <v/>
      </c>
      <c r="K526" s="45" t="str" cm="1">
        <f t="array" ref="K526">IFERROR(_xlfn.LET(
_xlpm.CSVVal,_xlfn.XLOOKUP($A526,CSV!$A:$A,CSV!N:N,""),
_xlpm.MacVal,_xlfn.XLOOKUP($A526,Output_Mac!$A:$A,Output_Mac!L:L,""),
_xlpm.MyAuditVal,_xlfn.XLOOKUP($A526,My_Audit!$A:$A,My_Audit!J:J,""),
_xlfn.IFS(_xlpm.MyAuditVal&lt;&gt;"",UPPER(_xlpm.MyAuditVal),_xlpm.MacVal&lt;&gt;"",_xlpm.MacVal,_xlpm.CSVVal&lt;&gt;"",_xlpm.CSVVal
)),"")</f>
        <v/>
      </c>
      <c r="L526" s="45" t="str" cm="1">
        <f t="array" ref="L526">IFERROR(_xlfn.LET(
_xlpm.CSVVal,_xlfn.XLOOKUP($A526,CSV!$A:$A,CSV!P:P,""),
_xlpm.MacVal,_xlfn.XLOOKUP($A526,Output_Mac!$A:$A,Output_Mac!M:M,""),
_xlpm.MyAuditVal,_xlfn.XLOOKUP($A526,My_Audit!$A:$A,My_Audit!K:K,""),
_xlfn.IFS(_xlpm.MyAuditVal&lt;&gt;"",UPPER(_xlpm.MyAuditVal),_xlpm.MacVal&lt;&gt;"",_xlpm.MacVal,_xlpm.CSVVal&lt;&gt;"",_xlpm.CSVVal
)),"")</f>
        <v/>
      </c>
      <c r="M526" s="45" t="str">
        <f>_xlfn.LET(
    _xlpm.CSVVal, _xlfn.XLOOKUP($A526, CSV!$A:$A, CSV!AE:AE, ""),
    _xlpm.MacVal, _xlfn.XLOOKUP($A526, Output_Mac!$A:$A, Output_Mac!S:S, ""),
    _xlpm.MyAuditVal, _xlfn.XLOOKUP($A526, My_Audit!$A:$A, My_Audit!N:N, ""),
    _xlfn.TEXTJOIN(", ", TRUE, _xlpm.MyAuditVal, _xlpm.MacVal, _xlpm.CSVVal)
)</f>
        <v/>
      </c>
      <c r="N526" s="45" t="str" cm="1">
        <f t="array" ref="N526">IFERROR(_xlfn.LET(
_xlpm.CSVVal,_xlfn.XLOOKUP($A526,CSV!$A:$A,CSV!AG:AG,""),
_xlpm.MacVal,_xlfn.XLOOKUP($A526,Output_Mac!$A:$A,Output_Mac!U:U,""),
_xlpm.MyAuditVal,_xlfn.XLOOKUP($A526,My_Audit!$A:$A,My_Audit!O:O,""),
_xlfn.IFS(_xlpm.MyAuditVal&lt;&gt;"",UPPER(_xlpm.MyAuditVal),_xlpm.MacVal&lt;&gt;"",_xlpm.MacVal,_xlpm.CSVVal&lt;&gt;"",_xlpm.CSVVal
)),"")</f>
        <v/>
      </c>
      <c r="O526" s="45"/>
      <c r="P526" s="45"/>
      <c r="Q526" s="46" t="str">
        <f>IF(LEFT(N526,4)="Pass","Nist SP 800-88",My_Audit!R526)&amp;""</f>
        <v/>
      </c>
      <c r="R526" s="45"/>
      <c r="S526" s="45"/>
      <c r="T526" s="46" t="str">
        <f>_xlfn.XLOOKUP(E526,Models!I:I,Models!J:J,"")</f>
        <v/>
      </c>
      <c r="U526" s="45"/>
      <c r="V526" s="45"/>
      <c r="W526" s="38"/>
    </row>
    <row r="527" spans="1:23">
      <c r="A527" s="45" t="str">
        <f>_xlfn.TEXTJOIN("",TRUE,Input!$B$2,ROW(My_Audit!A526))</f>
        <v>XX526</v>
      </c>
      <c r="B527" s="45" t="str">
        <f>_xlfn.TEXTJOIN("-",TRUE,"ITD",Input!$A$2,A527)</f>
        <v>ITD-SHRXXX-XX526</v>
      </c>
      <c r="C527" s="45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46" t="str" cm="1">
        <f t="array" ref="D527">IFERROR(_xlfn.LET(
_xlpm.CSVVal,_xlfn.XLOOKUP($A527,CSV!$A:$A,CSV!C:C,""),
_xlpm.MacVal,_xlfn.XLOOKUP($A527,Output_Mac!$A:$A,Output_Mac!D:D,""),
_xlpm.MyAuditVal,_xlfn.XLOOKUP($A527,My_Audit!$A:$A,My_Audit!C:C,""),
_xlfn.IFS(_xlpm.MyAuditVal&lt;&gt;"",UPPER(_xlpm.MyAuditVal),_xlpm.MacVal&lt;&gt;"",_xlpm.MacVal,_xlpm.CSVVal&lt;&gt;"",_xlpm.CSVVal
)),"")</f>
        <v/>
      </c>
      <c r="E527" s="46" t="str" cm="1">
        <f t="array" ref="E527">IFERROR(_xlfn.LET(
_xlpm.CSVVal,_xlfn.XLOOKUP($A527,CSV!$A:$A,CSV!E:E,""),
_xlpm.MacVal,_xlfn.XLOOKUP($A527,Output_Mac!$A:$A,Output_Mac!C:C,""),
_xlpm.MyAuditVal,_xlfn.XLOOKUP($A527,My_Audit!$A:$A,My_Audit!D:D,""),
_xlfn.IFS(_xlpm.MyAuditVal&lt;&gt;"",_xlpm.MyAuditVal,_xlpm.MacVal&lt;&gt;"",_xlpm.MacVal,_xlpm.CSVVal&lt;&gt;"",_xlpm.CSVVal
)),"")</f>
        <v/>
      </c>
      <c r="F527" s="45" t="str" cm="1">
        <f t="array" ref="F527">IFERROR(_xlfn.LET(
_xlpm.CSVVal,_xlfn.XLOOKUP($A527,CSV!$A:$A,CSV!F:F,""),
_xlpm.MacVal,_xlfn.XLOOKUP($A527,Output_Mac!$A:$A,Output_Mac!F:F,""),
_xlpm.MyAuditVal,_xlfn.XLOOKUP($A527,My_Audit!$A:$A,My_Audit!E:E,""),
_xlfn.IFS(_xlpm.MyAuditVal&lt;&gt;"",_xlpm.MyAuditVal,_xlpm.MacVal&lt;&gt;"",_xlpm.MacVal,_xlpm.CSVVal&lt;&gt;"",PROPER(_xlpm.CSVVal)
)),"")</f>
        <v/>
      </c>
      <c r="G527" s="45" t="str" cm="1">
        <f t="array" ref="G527">IFERROR(_xlfn.LET(
_xlpm.CSVVal,_xlfn.XLOOKUP($A527,CSV!$A:$A,CSV!G:G,""),
_xlpm.MacVal,_xlfn.XLOOKUP($A527,Output_Mac!$A:$A,Output_Mac!H:H,""),
_xlpm.MyAuditVal,_xlfn.XLOOKUP($A527,My_Audit!$A:$A,My_Audit!F:F,""),
_xlfn.IFS(_xlpm.MyAuditVal&lt;&gt;"",_xlpm.MyAuditVal,_xlpm.MacVal&lt;&gt;"",_xlpm.MacVal,_xlpm.CSVVal&lt;&gt;"",_xlpm.CSVVal
)),"")</f>
        <v/>
      </c>
      <c r="H527" s="45" t="str">
        <f>_xlfn.XLOOKUP(A527,Output_Mac!A:A,Output_Mac!I:I,"")</f>
        <v/>
      </c>
      <c r="I527" s="45" t="str" cm="1">
        <f t="array" ref="I527">IFERROR(_xlfn.LET(
_xlpm.CSVVal,_xlfn.XLOOKUP($A527,CSV!$A:$A,CSV!H:H,""),
_xlpm.MacVal,_xlfn.XLOOKUP($A527,Output_Mac!$A:$A,Output_Mac!J:J,""),
_xlpm.MyAuditVal,_xlfn.XLOOKUP($A527,My_Audit!$A:$A,My_Audit!H:H,""),
_xlfn.IFS(_xlpm.MyAuditVal&lt;&gt;"",UPPER(_xlpm.MyAuditVal),_xlpm.MacVal&lt;&gt;"",_xlpm.MacVal,_xlpm.CSVVal&lt;&gt;"",_xlpm.CSVVal
)),"")</f>
        <v/>
      </c>
      <c r="J527" s="45" t="str" cm="1">
        <f t="array" ref="J527">IFERROR(_xlfn.LET(
_xlpm.CSVVal,_xlfn.XLOOKUP($A527,CSV!$A:$A,CSV!J:J,""),
_xlpm.MacVal,_xlfn.XLOOKUP($A527,Output_Mac!$A:$A,Output_Mac!K:K,""),
_xlpm.MyAuditVal,_xlfn.XLOOKUP($A527,My_Audit!$A:$A,My_Audit!I:I,""),
_xlfn.IFS(_xlpm.MyAuditVal&lt;&gt;"",UPPER(_xlpm.MyAuditVal),_xlpm.MacVal&lt;&gt;"",_xlpm.MacVal,_xlpm.CSVVal&lt;&gt;"",_xlpm.CSVVal
)),"")</f>
        <v/>
      </c>
      <c r="K527" s="45" t="str" cm="1">
        <f t="array" ref="K527">IFERROR(_xlfn.LET(
_xlpm.CSVVal,_xlfn.XLOOKUP($A527,CSV!$A:$A,CSV!N:N,""),
_xlpm.MacVal,_xlfn.XLOOKUP($A527,Output_Mac!$A:$A,Output_Mac!L:L,""),
_xlpm.MyAuditVal,_xlfn.XLOOKUP($A527,My_Audit!$A:$A,My_Audit!J:J,""),
_xlfn.IFS(_xlpm.MyAuditVal&lt;&gt;"",UPPER(_xlpm.MyAuditVal),_xlpm.MacVal&lt;&gt;"",_xlpm.MacVal,_xlpm.CSVVal&lt;&gt;"",_xlpm.CSVVal
)),"")</f>
        <v/>
      </c>
      <c r="L527" s="45" t="str" cm="1">
        <f t="array" ref="L527">IFERROR(_xlfn.LET(
_xlpm.CSVVal,_xlfn.XLOOKUP($A527,CSV!$A:$A,CSV!P:P,""),
_xlpm.MacVal,_xlfn.XLOOKUP($A527,Output_Mac!$A:$A,Output_Mac!M:M,""),
_xlpm.MyAuditVal,_xlfn.XLOOKUP($A527,My_Audit!$A:$A,My_Audit!K:K,""),
_xlfn.IFS(_xlpm.MyAuditVal&lt;&gt;"",UPPER(_xlpm.MyAuditVal),_xlpm.MacVal&lt;&gt;"",_xlpm.MacVal,_xlpm.CSVVal&lt;&gt;"",_xlpm.CSVVal
)),"")</f>
        <v/>
      </c>
      <c r="M527" s="45" t="str">
        <f>_xlfn.LET(
    _xlpm.CSVVal, _xlfn.XLOOKUP($A527, CSV!$A:$A, CSV!AE:AE, ""),
    _xlpm.MacVal, _xlfn.XLOOKUP($A527, Output_Mac!$A:$A, Output_Mac!S:S, ""),
    _xlpm.MyAuditVal, _xlfn.XLOOKUP($A527, My_Audit!$A:$A, My_Audit!N:N, ""),
    _xlfn.TEXTJOIN(", ", TRUE, _xlpm.MyAuditVal, _xlpm.MacVal, _xlpm.CSVVal)
)</f>
        <v/>
      </c>
      <c r="N527" s="45" t="str" cm="1">
        <f t="array" ref="N527">IFERROR(_xlfn.LET(
_xlpm.CSVVal,_xlfn.XLOOKUP($A527,CSV!$A:$A,CSV!AG:AG,""),
_xlpm.MacVal,_xlfn.XLOOKUP($A527,Output_Mac!$A:$A,Output_Mac!U:U,""),
_xlpm.MyAuditVal,_xlfn.XLOOKUP($A527,My_Audit!$A:$A,My_Audit!O:O,""),
_xlfn.IFS(_xlpm.MyAuditVal&lt;&gt;"",UPPER(_xlpm.MyAuditVal),_xlpm.MacVal&lt;&gt;"",_xlpm.MacVal,_xlpm.CSVVal&lt;&gt;"",_xlpm.CSVVal
)),"")</f>
        <v/>
      </c>
      <c r="O527" s="45"/>
      <c r="P527" s="45"/>
      <c r="Q527" s="46" t="str">
        <f>IF(LEFT(N527,4)="Pass","Nist SP 800-88",My_Audit!R527)&amp;""</f>
        <v/>
      </c>
      <c r="R527" s="45"/>
      <c r="S527" s="45"/>
      <c r="T527" s="46" t="str">
        <f>_xlfn.XLOOKUP(E527,Models!I:I,Models!J:J,"")</f>
        <v/>
      </c>
      <c r="U527" s="45"/>
      <c r="V527" s="45"/>
      <c r="W527" s="38"/>
    </row>
    <row r="528" spans="1:23">
      <c r="A528" s="45" t="str">
        <f>_xlfn.TEXTJOIN("",TRUE,Input!$B$2,ROW(My_Audit!A527))</f>
        <v>XX527</v>
      </c>
      <c r="B528" s="45" t="str">
        <f>_xlfn.TEXTJOIN("-",TRUE,"ITD",Input!$A$2,A528)</f>
        <v>ITD-SHRXXX-XX527</v>
      </c>
      <c r="C528" s="45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46" t="str" cm="1">
        <f t="array" ref="D528">IFERROR(_xlfn.LET(
_xlpm.CSVVal,_xlfn.XLOOKUP($A528,CSV!$A:$A,CSV!C:C,""),
_xlpm.MacVal,_xlfn.XLOOKUP($A528,Output_Mac!$A:$A,Output_Mac!D:D,""),
_xlpm.MyAuditVal,_xlfn.XLOOKUP($A528,My_Audit!$A:$A,My_Audit!C:C,""),
_xlfn.IFS(_xlpm.MyAuditVal&lt;&gt;"",UPPER(_xlpm.MyAuditVal),_xlpm.MacVal&lt;&gt;"",_xlpm.MacVal,_xlpm.CSVVal&lt;&gt;"",_xlpm.CSVVal
)),"")</f>
        <v/>
      </c>
      <c r="E528" s="46" t="str" cm="1">
        <f t="array" ref="E528">IFERROR(_xlfn.LET(
_xlpm.CSVVal,_xlfn.XLOOKUP($A528,CSV!$A:$A,CSV!E:E,""),
_xlpm.MacVal,_xlfn.XLOOKUP($A528,Output_Mac!$A:$A,Output_Mac!C:C,""),
_xlpm.MyAuditVal,_xlfn.XLOOKUP($A528,My_Audit!$A:$A,My_Audit!D:D,""),
_xlfn.IFS(_xlpm.MyAuditVal&lt;&gt;"",_xlpm.MyAuditVal,_xlpm.MacVal&lt;&gt;"",_xlpm.MacVal,_xlpm.CSVVal&lt;&gt;"",_xlpm.CSVVal
)),"")</f>
        <v/>
      </c>
      <c r="F528" s="45" t="str" cm="1">
        <f t="array" ref="F528">IFERROR(_xlfn.LET(
_xlpm.CSVVal,_xlfn.XLOOKUP($A528,CSV!$A:$A,CSV!F:F,""),
_xlpm.MacVal,_xlfn.XLOOKUP($A528,Output_Mac!$A:$A,Output_Mac!F:F,""),
_xlpm.MyAuditVal,_xlfn.XLOOKUP($A528,My_Audit!$A:$A,My_Audit!E:E,""),
_xlfn.IFS(_xlpm.MyAuditVal&lt;&gt;"",_xlpm.MyAuditVal,_xlpm.MacVal&lt;&gt;"",_xlpm.MacVal,_xlpm.CSVVal&lt;&gt;"",PROPER(_xlpm.CSVVal)
)),"")</f>
        <v/>
      </c>
      <c r="G528" s="45" t="str" cm="1">
        <f t="array" ref="G528">IFERROR(_xlfn.LET(
_xlpm.CSVVal,_xlfn.XLOOKUP($A528,CSV!$A:$A,CSV!G:G,""),
_xlpm.MacVal,_xlfn.XLOOKUP($A528,Output_Mac!$A:$A,Output_Mac!H:H,""),
_xlpm.MyAuditVal,_xlfn.XLOOKUP($A528,My_Audit!$A:$A,My_Audit!F:F,""),
_xlfn.IFS(_xlpm.MyAuditVal&lt;&gt;"",_xlpm.MyAuditVal,_xlpm.MacVal&lt;&gt;"",_xlpm.MacVal,_xlpm.CSVVal&lt;&gt;"",_xlpm.CSVVal
)),"")</f>
        <v/>
      </c>
      <c r="H528" s="45" t="str">
        <f>_xlfn.XLOOKUP(A528,Output_Mac!A:A,Output_Mac!I:I,"")</f>
        <v/>
      </c>
      <c r="I528" s="45" t="str" cm="1">
        <f t="array" ref="I528">IFERROR(_xlfn.LET(
_xlpm.CSVVal,_xlfn.XLOOKUP($A528,CSV!$A:$A,CSV!H:H,""),
_xlpm.MacVal,_xlfn.XLOOKUP($A528,Output_Mac!$A:$A,Output_Mac!J:J,""),
_xlpm.MyAuditVal,_xlfn.XLOOKUP($A528,My_Audit!$A:$A,My_Audit!H:H,""),
_xlfn.IFS(_xlpm.MyAuditVal&lt;&gt;"",UPPER(_xlpm.MyAuditVal),_xlpm.MacVal&lt;&gt;"",_xlpm.MacVal,_xlpm.CSVVal&lt;&gt;"",_xlpm.CSVVal
)),"")</f>
        <v/>
      </c>
      <c r="J528" s="45" t="str" cm="1">
        <f t="array" ref="J528">IFERROR(_xlfn.LET(
_xlpm.CSVVal,_xlfn.XLOOKUP($A528,CSV!$A:$A,CSV!J:J,""),
_xlpm.MacVal,_xlfn.XLOOKUP($A528,Output_Mac!$A:$A,Output_Mac!K:K,""),
_xlpm.MyAuditVal,_xlfn.XLOOKUP($A528,My_Audit!$A:$A,My_Audit!I:I,""),
_xlfn.IFS(_xlpm.MyAuditVal&lt;&gt;"",UPPER(_xlpm.MyAuditVal),_xlpm.MacVal&lt;&gt;"",_xlpm.MacVal,_xlpm.CSVVal&lt;&gt;"",_xlpm.CSVVal
)),"")</f>
        <v/>
      </c>
      <c r="K528" s="45" t="str" cm="1">
        <f t="array" ref="K528">IFERROR(_xlfn.LET(
_xlpm.CSVVal,_xlfn.XLOOKUP($A528,CSV!$A:$A,CSV!N:N,""),
_xlpm.MacVal,_xlfn.XLOOKUP($A528,Output_Mac!$A:$A,Output_Mac!L:L,""),
_xlpm.MyAuditVal,_xlfn.XLOOKUP($A528,My_Audit!$A:$A,My_Audit!J:J,""),
_xlfn.IFS(_xlpm.MyAuditVal&lt;&gt;"",UPPER(_xlpm.MyAuditVal),_xlpm.MacVal&lt;&gt;"",_xlpm.MacVal,_xlpm.CSVVal&lt;&gt;"",_xlpm.CSVVal
)),"")</f>
        <v/>
      </c>
      <c r="L528" s="45" t="str" cm="1">
        <f t="array" ref="L528">IFERROR(_xlfn.LET(
_xlpm.CSVVal,_xlfn.XLOOKUP($A528,CSV!$A:$A,CSV!P:P,""),
_xlpm.MacVal,_xlfn.XLOOKUP($A528,Output_Mac!$A:$A,Output_Mac!M:M,""),
_xlpm.MyAuditVal,_xlfn.XLOOKUP($A528,My_Audit!$A:$A,My_Audit!K:K,""),
_xlfn.IFS(_xlpm.MyAuditVal&lt;&gt;"",UPPER(_xlpm.MyAuditVal),_xlpm.MacVal&lt;&gt;"",_xlpm.MacVal,_xlpm.CSVVal&lt;&gt;"",_xlpm.CSVVal
)),"")</f>
        <v/>
      </c>
      <c r="M528" s="45" t="str">
        <f>_xlfn.LET(
    _xlpm.CSVVal, _xlfn.XLOOKUP($A528, CSV!$A:$A, CSV!AE:AE, ""),
    _xlpm.MacVal, _xlfn.XLOOKUP($A528, Output_Mac!$A:$A, Output_Mac!S:S, ""),
    _xlpm.MyAuditVal, _xlfn.XLOOKUP($A528, My_Audit!$A:$A, My_Audit!N:N, ""),
    _xlfn.TEXTJOIN(", ", TRUE, _xlpm.MyAuditVal, _xlpm.MacVal, _xlpm.CSVVal)
)</f>
        <v/>
      </c>
      <c r="N528" s="45" t="str" cm="1">
        <f t="array" ref="N528">IFERROR(_xlfn.LET(
_xlpm.CSVVal,_xlfn.XLOOKUP($A528,CSV!$A:$A,CSV!AG:AG,""),
_xlpm.MacVal,_xlfn.XLOOKUP($A528,Output_Mac!$A:$A,Output_Mac!U:U,""),
_xlpm.MyAuditVal,_xlfn.XLOOKUP($A528,My_Audit!$A:$A,My_Audit!O:O,""),
_xlfn.IFS(_xlpm.MyAuditVal&lt;&gt;"",UPPER(_xlpm.MyAuditVal),_xlpm.MacVal&lt;&gt;"",_xlpm.MacVal,_xlpm.CSVVal&lt;&gt;"",_xlpm.CSVVal
)),"")</f>
        <v/>
      </c>
      <c r="O528" s="45"/>
      <c r="P528" s="45"/>
      <c r="Q528" s="46" t="str">
        <f>IF(LEFT(N528,4)="Pass","Nist SP 800-88",My_Audit!R528)&amp;""</f>
        <v/>
      </c>
      <c r="R528" s="45"/>
      <c r="S528" s="45"/>
      <c r="T528" s="46" t="str">
        <f>_xlfn.XLOOKUP(E528,Models!I:I,Models!J:J,"")</f>
        <v/>
      </c>
      <c r="U528" s="45"/>
      <c r="V528" s="45"/>
      <c r="W528" s="38"/>
    </row>
    <row r="529" spans="1:23">
      <c r="A529" s="45" t="str">
        <f>_xlfn.TEXTJOIN("",TRUE,Input!$B$2,ROW(My_Audit!A528))</f>
        <v>XX528</v>
      </c>
      <c r="B529" s="45" t="str">
        <f>_xlfn.TEXTJOIN("-",TRUE,"ITD",Input!$A$2,A529)</f>
        <v>ITD-SHRXXX-XX528</v>
      </c>
      <c r="C529" s="45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46" t="str" cm="1">
        <f t="array" ref="D529">IFERROR(_xlfn.LET(
_xlpm.CSVVal,_xlfn.XLOOKUP($A529,CSV!$A:$A,CSV!C:C,""),
_xlpm.MacVal,_xlfn.XLOOKUP($A529,Output_Mac!$A:$A,Output_Mac!D:D,""),
_xlpm.MyAuditVal,_xlfn.XLOOKUP($A529,My_Audit!$A:$A,My_Audit!C:C,""),
_xlfn.IFS(_xlpm.MyAuditVal&lt;&gt;"",UPPER(_xlpm.MyAuditVal),_xlpm.MacVal&lt;&gt;"",_xlpm.MacVal,_xlpm.CSVVal&lt;&gt;"",_xlpm.CSVVal
)),"")</f>
        <v/>
      </c>
      <c r="E529" s="46" t="str" cm="1">
        <f t="array" ref="E529">IFERROR(_xlfn.LET(
_xlpm.CSVVal,_xlfn.XLOOKUP($A529,CSV!$A:$A,CSV!E:E,""),
_xlpm.MacVal,_xlfn.XLOOKUP($A529,Output_Mac!$A:$A,Output_Mac!C:C,""),
_xlpm.MyAuditVal,_xlfn.XLOOKUP($A529,My_Audit!$A:$A,My_Audit!D:D,""),
_xlfn.IFS(_xlpm.MyAuditVal&lt;&gt;"",_xlpm.MyAuditVal,_xlpm.MacVal&lt;&gt;"",_xlpm.MacVal,_xlpm.CSVVal&lt;&gt;"",_xlpm.CSVVal
)),"")</f>
        <v/>
      </c>
      <c r="F529" s="45" t="str" cm="1">
        <f t="array" ref="F529">IFERROR(_xlfn.LET(
_xlpm.CSVVal,_xlfn.XLOOKUP($A529,CSV!$A:$A,CSV!F:F,""),
_xlpm.MacVal,_xlfn.XLOOKUP($A529,Output_Mac!$A:$A,Output_Mac!F:F,""),
_xlpm.MyAuditVal,_xlfn.XLOOKUP($A529,My_Audit!$A:$A,My_Audit!E:E,""),
_xlfn.IFS(_xlpm.MyAuditVal&lt;&gt;"",_xlpm.MyAuditVal,_xlpm.MacVal&lt;&gt;"",_xlpm.MacVal,_xlpm.CSVVal&lt;&gt;"",PROPER(_xlpm.CSVVal)
)),"")</f>
        <v/>
      </c>
      <c r="G529" s="45" t="str" cm="1">
        <f t="array" ref="G529">IFERROR(_xlfn.LET(
_xlpm.CSVVal,_xlfn.XLOOKUP($A529,CSV!$A:$A,CSV!G:G,""),
_xlpm.MacVal,_xlfn.XLOOKUP($A529,Output_Mac!$A:$A,Output_Mac!H:H,""),
_xlpm.MyAuditVal,_xlfn.XLOOKUP($A529,My_Audit!$A:$A,My_Audit!F:F,""),
_xlfn.IFS(_xlpm.MyAuditVal&lt;&gt;"",_xlpm.MyAuditVal,_xlpm.MacVal&lt;&gt;"",_xlpm.MacVal,_xlpm.CSVVal&lt;&gt;"",_xlpm.CSVVal
)),"")</f>
        <v/>
      </c>
      <c r="H529" s="45" t="str">
        <f>_xlfn.XLOOKUP(A529,Output_Mac!A:A,Output_Mac!I:I,"")</f>
        <v/>
      </c>
      <c r="I529" s="45" t="str" cm="1">
        <f t="array" ref="I529">IFERROR(_xlfn.LET(
_xlpm.CSVVal,_xlfn.XLOOKUP($A529,CSV!$A:$A,CSV!H:H,""),
_xlpm.MacVal,_xlfn.XLOOKUP($A529,Output_Mac!$A:$A,Output_Mac!J:J,""),
_xlpm.MyAuditVal,_xlfn.XLOOKUP($A529,My_Audit!$A:$A,My_Audit!H:H,""),
_xlfn.IFS(_xlpm.MyAuditVal&lt;&gt;"",UPPER(_xlpm.MyAuditVal),_xlpm.MacVal&lt;&gt;"",_xlpm.MacVal,_xlpm.CSVVal&lt;&gt;"",_xlpm.CSVVal
)),"")</f>
        <v/>
      </c>
      <c r="J529" s="45" t="str" cm="1">
        <f t="array" ref="J529">IFERROR(_xlfn.LET(
_xlpm.CSVVal,_xlfn.XLOOKUP($A529,CSV!$A:$A,CSV!J:J,""),
_xlpm.MacVal,_xlfn.XLOOKUP($A529,Output_Mac!$A:$A,Output_Mac!K:K,""),
_xlpm.MyAuditVal,_xlfn.XLOOKUP($A529,My_Audit!$A:$A,My_Audit!I:I,""),
_xlfn.IFS(_xlpm.MyAuditVal&lt;&gt;"",UPPER(_xlpm.MyAuditVal),_xlpm.MacVal&lt;&gt;"",_xlpm.MacVal,_xlpm.CSVVal&lt;&gt;"",_xlpm.CSVVal
)),"")</f>
        <v/>
      </c>
      <c r="K529" s="45" t="str" cm="1">
        <f t="array" ref="K529">IFERROR(_xlfn.LET(
_xlpm.CSVVal,_xlfn.XLOOKUP($A529,CSV!$A:$A,CSV!N:N,""),
_xlpm.MacVal,_xlfn.XLOOKUP($A529,Output_Mac!$A:$A,Output_Mac!L:L,""),
_xlpm.MyAuditVal,_xlfn.XLOOKUP($A529,My_Audit!$A:$A,My_Audit!J:J,""),
_xlfn.IFS(_xlpm.MyAuditVal&lt;&gt;"",UPPER(_xlpm.MyAuditVal),_xlpm.MacVal&lt;&gt;"",_xlpm.MacVal,_xlpm.CSVVal&lt;&gt;"",_xlpm.CSVVal
)),"")</f>
        <v/>
      </c>
      <c r="L529" s="45" t="str" cm="1">
        <f t="array" ref="L529">IFERROR(_xlfn.LET(
_xlpm.CSVVal,_xlfn.XLOOKUP($A529,CSV!$A:$A,CSV!P:P,""),
_xlpm.MacVal,_xlfn.XLOOKUP($A529,Output_Mac!$A:$A,Output_Mac!M:M,""),
_xlpm.MyAuditVal,_xlfn.XLOOKUP($A529,My_Audit!$A:$A,My_Audit!K:K,""),
_xlfn.IFS(_xlpm.MyAuditVal&lt;&gt;"",UPPER(_xlpm.MyAuditVal),_xlpm.MacVal&lt;&gt;"",_xlpm.MacVal,_xlpm.CSVVal&lt;&gt;"",_xlpm.CSVVal
)),"")</f>
        <v/>
      </c>
      <c r="M529" s="45" t="str">
        <f>_xlfn.LET(
    _xlpm.CSVVal, _xlfn.XLOOKUP($A529, CSV!$A:$A, CSV!AE:AE, ""),
    _xlpm.MacVal, _xlfn.XLOOKUP($A529, Output_Mac!$A:$A, Output_Mac!S:S, ""),
    _xlpm.MyAuditVal, _xlfn.XLOOKUP($A529, My_Audit!$A:$A, My_Audit!N:N, ""),
    _xlfn.TEXTJOIN(", ", TRUE, _xlpm.MyAuditVal, _xlpm.MacVal, _xlpm.CSVVal)
)</f>
        <v/>
      </c>
      <c r="N529" s="45" t="str" cm="1">
        <f t="array" ref="N529">IFERROR(_xlfn.LET(
_xlpm.CSVVal,_xlfn.XLOOKUP($A529,CSV!$A:$A,CSV!AG:AG,""),
_xlpm.MacVal,_xlfn.XLOOKUP($A529,Output_Mac!$A:$A,Output_Mac!U:U,""),
_xlpm.MyAuditVal,_xlfn.XLOOKUP($A529,My_Audit!$A:$A,My_Audit!O:O,""),
_xlfn.IFS(_xlpm.MyAuditVal&lt;&gt;"",UPPER(_xlpm.MyAuditVal),_xlpm.MacVal&lt;&gt;"",_xlpm.MacVal,_xlpm.CSVVal&lt;&gt;"",_xlpm.CSVVal
)),"")</f>
        <v/>
      </c>
      <c r="O529" s="45"/>
      <c r="P529" s="45"/>
      <c r="Q529" s="46" t="str">
        <f>IF(LEFT(N529,4)="Pass","Nist SP 800-88",My_Audit!R529)&amp;""</f>
        <v/>
      </c>
      <c r="R529" s="45"/>
      <c r="S529" s="45"/>
      <c r="T529" s="46" t="str">
        <f>_xlfn.XLOOKUP(E529,Models!I:I,Models!J:J,"")</f>
        <v/>
      </c>
      <c r="U529" s="45"/>
      <c r="V529" s="45"/>
      <c r="W529" s="38"/>
    </row>
    <row r="530" spans="1:23">
      <c r="A530" s="45" t="str">
        <f>_xlfn.TEXTJOIN("",TRUE,Input!$B$2,ROW(My_Audit!A529))</f>
        <v>XX529</v>
      </c>
      <c r="B530" s="45" t="str">
        <f>_xlfn.TEXTJOIN("-",TRUE,"ITD",Input!$A$2,A530)</f>
        <v>ITD-SHRXXX-XX529</v>
      </c>
      <c r="C530" s="45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46" t="str" cm="1">
        <f t="array" ref="D530">IFERROR(_xlfn.LET(
_xlpm.CSVVal,_xlfn.XLOOKUP($A530,CSV!$A:$A,CSV!C:C,""),
_xlpm.MacVal,_xlfn.XLOOKUP($A530,Output_Mac!$A:$A,Output_Mac!D:D,""),
_xlpm.MyAuditVal,_xlfn.XLOOKUP($A530,My_Audit!$A:$A,My_Audit!C:C,""),
_xlfn.IFS(_xlpm.MyAuditVal&lt;&gt;"",UPPER(_xlpm.MyAuditVal),_xlpm.MacVal&lt;&gt;"",_xlpm.MacVal,_xlpm.CSVVal&lt;&gt;"",_xlpm.CSVVal
)),"")</f>
        <v/>
      </c>
      <c r="E530" s="46" t="str" cm="1">
        <f t="array" ref="E530">IFERROR(_xlfn.LET(
_xlpm.CSVVal,_xlfn.XLOOKUP($A530,CSV!$A:$A,CSV!E:E,""),
_xlpm.MacVal,_xlfn.XLOOKUP($A530,Output_Mac!$A:$A,Output_Mac!C:C,""),
_xlpm.MyAuditVal,_xlfn.XLOOKUP($A530,My_Audit!$A:$A,My_Audit!D:D,""),
_xlfn.IFS(_xlpm.MyAuditVal&lt;&gt;"",_xlpm.MyAuditVal,_xlpm.MacVal&lt;&gt;"",_xlpm.MacVal,_xlpm.CSVVal&lt;&gt;"",_xlpm.CSVVal
)),"")</f>
        <v/>
      </c>
      <c r="F530" s="45" t="str" cm="1">
        <f t="array" ref="F530">IFERROR(_xlfn.LET(
_xlpm.CSVVal,_xlfn.XLOOKUP($A530,CSV!$A:$A,CSV!F:F,""),
_xlpm.MacVal,_xlfn.XLOOKUP($A530,Output_Mac!$A:$A,Output_Mac!F:F,""),
_xlpm.MyAuditVal,_xlfn.XLOOKUP($A530,My_Audit!$A:$A,My_Audit!E:E,""),
_xlfn.IFS(_xlpm.MyAuditVal&lt;&gt;"",_xlpm.MyAuditVal,_xlpm.MacVal&lt;&gt;"",_xlpm.MacVal,_xlpm.CSVVal&lt;&gt;"",PROPER(_xlpm.CSVVal)
)),"")</f>
        <v/>
      </c>
      <c r="G530" s="45" t="str" cm="1">
        <f t="array" ref="G530">IFERROR(_xlfn.LET(
_xlpm.CSVVal,_xlfn.XLOOKUP($A530,CSV!$A:$A,CSV!G:G,""),
_xlpm.MacVal,_xlfn.XLOOKUP($A530,Output_Mac!$A:$A,Output_Mac!H:H,""),
_xlpm.MyAuditVal,_xlfn.XLOOKUP($A530,My_Audit!$A:$A,My_Audit!F:F,""),
_xlfn.IFS(_xlpm.MyAuditVal&lt;&gt;"",_xlpm.MyAuditVal,_xlpm.MacVal&lt;&gt;"",_xlpm.MacVal,_xlpm.CSVVal&lt;&gt;"",_xlpm.CSVVal
)),"")</f>
        <v/>
      </c>
      <c r="H530" s="45" t="str">
        <f>_xlfn.XLOOKUP(A530,Output_Mac!A:A,Output_Mac!I:I,"")</f>
        <v/>
      </c>
      <c r="I530" s="45" t="str" cm="1">
        <f t="array" ref="I530">IFERROR(_xlfn.LET(
_xlpm.CSVVal,_xlfn.XLOOKUP($A530,CSV!$A:$A,CSV!H:H,""),
_xlpm.MacVal,_xlfn.XLOOKUP($A530,Output_Mac!$A:$A,Output_Mac!J:J,""),
_xlpm.MyAuditVal,_xlfn.XLOOKUP($A530,My_Audit!$A:$A,My_Audit!H:H,""),
_xlfn.IFS(_xlpm.MyAuditVal&lt;&gt;"",UPPER(_xlpm.MyAuditVal),_xlpm.MacVal&lt;&gt;"",_xlpm.MacVal,_xlpm.CSVVal&lt;&gt;"",_xlpm.CSVVal
)),"")</f>
        <v/>
      </c>
      <c r="J530" s="45" t="str" cm="1">
        <f t="array" ref="J530">IFERROR(_xlfn.LET(
_xlpm.CSVVal,_xlfn.XLOOKUP($A530,CSV!$A:$A,CSV!J:J,""),
_xlpm.MacVal,_xlfn.XLOOKUP($A530,Output_Mac!$A:$A,Output_Mac!K:K,""),
_xlpm.MyAuditVal,_xlfn.XLOOKUP($A530,My_Audit!$A:$A,My_Audit!I:I,""),
_xlfn.IFS(_xlpm.MyAuditVal&lt;&gt;"",UPPER(_xlpm.MyAuditVal),_xlpm.MacVal&lt;&gt;"",_xlpm.MacVal,_xlpm.CSVVal&lt;&gt;"",_xlpm.CSVVal
)),"")</f>
        <v/>
      </c>
      <c r="K530" s="45" t="str" cm="1">
        <f t="array" ref="K530">IFERROR(_xlfn.LET(
_xlpm.CSVVal,_xlfn.XLOOKUP($A530,CSV!$A:$A,CSV!N:N,""),
_xlpm.MacVal,_xlfn.XLOOKUP($A530,Output_Mac!$A:$A,Output_Mac!L:L,""),
_xlpm.MyAuditVal,_xlfn.XLOOKUP($A530,My_Audit!$A:$A,My_Audit!J:J,""),
_xlfn.IFS(_xlpm.MyAuditVal&lt;&gt;"",UPPER(_xlpm.MyAuditVal),_xlpm.MacVal&lt;&gt;"",_xlpm.MacVal,_xlpm.CSVVal&lt;&gt;"",_xlpm.CSVVal
)),"")</f>
        <v/>
      </c>
      <c r="L530" s="45" t="str" cm="1">
        <f t="array" ref="L530">IFERROR(_xlfn.LET(
_xlpm.CSVVal,_xlfn.XLOOKUP($A530,CSV!$A:$A,CSV!P:P,""),
_xlpm.MacVal,_xlfn.XLOOKUP($A530,Output_Mac!$A:$A,Output_Mac!M:M,""),
_xlpm.MyAuditVal,_xlfn.XLOOKUP($A530,My_Audit!$A:$A,My_Audit!K:K,""),
_xlfn.IFS(_xlpm.MyAuditVal&lt;&gt;"",UPPER(_xlpm.MyAuditVal),_xlpm.MacVal&lt;&gt;"",_xlpm.MacVal,_xlpm.CSVVal&lt;&gt;"",_xlpm.CSVVal
)),"")</f>
        <v/>
      </c>
      <c r="M530" s="45" t="str">
        <f>_xlfn.LET(
    _xlpm.CSVVal, _xlfn.XLOOKUP($A530, CSV!$A:$A, CSV!AE:AE, ""),
    _xlpm.MacVal, _xlfn.XLOOKUP($A530, Output_Mac!$A:$A, Output_Mac!S:S, ""),
    _xlpm.MyAuditVal, _xlfn.XLOOKUP($A530, My_Audit!$A:$A, My_Audit!N:N, ""),
    _xlfn.TEXTJOIN(", ", TRUE, _xlpm.MyAuditVal, _xlpm.MacVal, _xlpm.CSVVal)
)</f>
        <v/>
      </c>
      <c r="N530" s="45" t="str" cm="1">
        <f t="array" ref="N530">IFERROR(_xlfn.LET(
_xlpm.CSVVal,_xlfn.XLOOKUP($A530,CSV!$A:$A,CSV!AG:AG,""),
_xlpm.MacVal,_xlfn.XLOOKUP($A530,Output_Mac!$A:$A,Output_Mac!U:U,""),
_xlpm.MyAuditVal,_xlfn.XLOOKUP($A530,My_Audit!$A:$A,My_Audit!O:O,""),
_xlfn.IFS(_xlpm.MyAuditVal&lt;&gt;"",UPPER(_xlpm.MyAuditVal),_xlpm.MacVal&lt;&gt;"",_xlpm.MacVal,_xlpm.CSVVal&lt;&gt;"",_xlpm.CSVVal
)),"")</f>
        <v/>
      </c>
      <c r="O530" s="45"/>
      <c r="P530" s="45"/>
      <c r="Q530" s="46" t="str">
        <f>IF(LEFT(N530,4)="Pass","Nist SP 800-88",My_Audit!R530)&amp;""</f>
        <v/>
      </c>
      <c r="R530" s="45"/>
      <c r="S530" s="45"/>
      <c r="T530" s="46" t="str">
        <f>_xlfn.XLOOKUP(E530,Models!I:I,Models!J:J,"")</f>
        <v/>
      </c>
      <c r="U530" s="45"/>
      <c r="V530" s="45"/>
      <c r="W530" s="38"/>
    </row>
    <row r="531" spans="1:23">
      <c r="A531" s="45" t="str">
        <f>_xlfn.TEXTJOIN("",TRUE,Input!$B$2,ROW(My_Audit!A530))</f>
        <v>XX530</v>
      </c>
      <c r="B531" s="45" t="str">
        <f>_xlfn.TEXTJOIN("-",TRUE,"ITD",Input!$A$2,A531)</f>
        <v>ITD-SHRXXX-XX530</v>
      </c>
      <c r="C531" s="45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46" t="str" cm="1">
        <f t="array" ref="D531">IFERROR(_xlfn.LET(
_xlpm.CSVVal,_xlfn.XLOOKUP($A531,CSV!$A:$A,CSV!C:C,""),
_xlpm.MacVal,_xlfn.XLOOKUP($A531,Output_Mac!$A:$A,Output_Mac!D:D,""),
_xlpm.MyAuditVal,_xlfn.XLOOKUP($A531,My_Audit!$A:$A,My_Audit!C:C,""),
_xlfn.IFS(_xlpm.MyAuditVal&lt;&gt;"",UPPER(_xlpm.MyAuditVal),_xlpm.MacVal&lt;&gt;"",_xlpm.MacVal,_xlpm.CSVVal&lt;&gt;"",_xlpm.CSVVal
)),"")</f>
        <v/>
      </c>
      <c r="E531" s="46" t="str" cm="1">
        <f t="array" ref="E531">IFERROR(_xlfn.LET(
_xlpm.CSVVal,_xlfn.XLOOKUP($A531,CSV!$A:$A,CSV!E:E,""),
_xlpm.MacVal,_xlfn.XLOOKUP($A531,Output_Mac!$A:$A,Output_Mac!C:C,""),
_xlpm.MyAuditVal,_xlfn.XLOOKUP($A531,My_Audit!$A:$A,My_Audit!D:D,""),
_xlfn.IFS(_xlpm.MyAuditVal&lt;&gt;"",_xlpm.MyAuditVal,_xlpm.MacVal&lt;&gt;"",_xlpm.MacVal,_xlpm.CSVVal&lt;&gt;"",_xlpm.CSVVal
)),"")</f>
        <v/>
      </c>
      <c r="F531" s="45" t="str" cm="1">
        <f t="array" ref="F531">IFERROR(_xlfn.LET(
_xlpm.CSVVal,_xlfn.XLOOKUP($A531,CSV!$A:$A,CSV!F:F,""),
_xlpm.MacVal,_xlfn.XLOOKUP($A531,Output_Mac!$A:$A,Output_Mac!F:F,""),
_xlpm.MyAuditVal,_xlfn.XLOOKUP($A531,My_Audit!$A:$A,My_Audit!E:E,""),
_xlfn.IFS(_xlpm.MyAuditVal&lt;&gt;"",_xlpm.MyAuditVal,_xlpm.MacVal&lt;&gt;"",_xlpm.MacVal,_xlpm.CSVVal&lt;&gt;"",PROPER(_xlpm.CSVVal)
)),"")</f>
        <v/>
      </c>
      <c r="G531" s="45" t="str" cm="1">
        <f t="array" ref="G531">IFERROR(_xlfn.LET(
_xlpm.CSVVal,_xlfn.XLOOKUP($A531,CSV!$A:$A,CSV!G:G,""),
_xlpm.MacVal,_xlfn.XLOOKUP($A531,Output_Mac!$A:$A,Output_Mac!H:H,""),
_xlpm.MyAuditVal,_xlfn.XLOOKUP($A531,My_Audit!$A:$A,My_Audit!F:F,""),
_xlfn.IFS(_xlpm.MyAuditVal&lt;&gt;"",_xlpm.MyAuditVal,_xlpm.MacVal&lt;&gt;"",_xlpm.MacVal,_xlpm.CSVVal&lt;&gt;"",_xlpm.CSVVal
)),"")</f>
        <v/>
      </c>
      <c r="H531" s="45" t="str">
        <f>_xlfn.XLOOKUP(A531,Output_Mac!A:A,Output_Mac!I:I,"")</f>
        <v/>
      </c>
      <c r="I531" s="45" t="str" cm="1">
        <f t="array" ref="I531">IFERROR(_xlfn.LET(
_xlpm.CSVVal,_xlfn.XLOOKUP($A531,CSV!$A:$A,CSV!H:H,""),
_xlpm.MacVal,_xlfn.XLOOKUP($A531,Output_Mac!$A:$A,Output_Mac!J:J,""),
_xlpm.MyAuditVal,_xlfn.XLOOKUP($A531,My_Audit!$A:$A,My_Audit!H:H,""),
_xlfn.IFS(_xlpm.MyAuditVal&lt;&gt;"",UPPER(_xlpm.MyAuditVal),_xlpm.MacVal&lt;&gt;"",_xlpm.MacVal,_xlpm.CSVVal&lt;&gt;"",_xlpm.CSVVal
)),"")</f>
        <v/>
      </c>
      <c r="J531" s="45" t="str" cm="1">
        <f t="array" ref="J531">IFERROR(_xlfn.LET(
_xlpm.CSVVal,_xlfn.XLOOKUP($A531,CSV!$A:$A,CSV!J:J,""),
_xlpm.MacVal,_xlfn.XLOOKUP($A531,Output_Mac!$A:$A,Output_Mac!K:K,""),
_xlpm.MyAuditVal,_xlfn.XLOOKUP($A531,My_Audit!$A:$A,My_Audit!I:I,""),
_xlfn.IFS(_xlpm.MyAuditVal&lt;&gt;"",UPPER(_xlpm.MyAuditVal),_xlpm.MacVal&lt;&gt;"",_xlpm.MacVal,_xlpm.CSVVal&lt;&gt;"",_xlpm.CSVVal
)),"")</f>
        <v/>
      </c>
      <c r="K531" s="45" t="str" cm="1">
        <f t="array" ref="K531">IFERROR(_xlfn.LET(
_xlpm.CSVVal,_xlfn.XLOOKUP($A531,CSV!$A:$A,CSV!N:N,""),
_xlpm.MacVal,_xlfn.XLOOKUP($A531,Output_Mac!$A:$A,Output_Mac!L:L,""),
_xlpm.MyAuditVal,_xlfn.XLOOKUP($A531,My_Audit!$A:$A,My_Audit!J:J,""),
_xlfn.IFS(_xlpm.MyAuditVal&lt;&gt;"",UPPER(_xlpm.MyAuditVal),_xlpm.MacVal&lt;&gt;"",_xlpm.MacVal,_xlpm.CSVVal&lt;&gt;"",_xlpm.CSVVal
)),"")</f>
        <v/>
      </c>
      <c r="L531" s="45" t="str" cm="1">
        <f t="array" ref="L531">IFERROR(_xlfn.LET(
_xlpm.CSVVal,_xlfn.XLOOKUP($A531,CSV!$A:$A,CSV!P:P,""),
_xlpm.MacVal,_xlfn.XLOOKUP($A531,Output_Mac!$A:$A,Output_Mac!M:M,""),
_xlpm.MyAuditVal,_xlfn.XLOOKUP($A531,My_Audit!$A:$A,My_Audit!K:K,""),
_xlfn.IFS(_xlpm.MyAuditVal&lt;&gt;"",UPPER(_xlpm.MyAuditVal),_xlpm.MacVal&lt;&gt;"",_xlpm.MacVal,_xlpm.CSVVal&lt;&gt;"",_xlpm.CSVVal
)),"")</f>
        <v/>
      </c>
      <c r="M531" s="45" t="str">
        <f>_xlfn.LET(
    _xlpm.CSVVal, _xlfn.XLOOKUP($A531, CSV!$A:$A, CSV!AE:AE, ""),
    _xlpm.MacVal, _xlfn.XLOOKUP($A531, Output_Mac!$A:$A, Output_Mac!S:S, ""),
    _xlpm.MyAuditVal, _xlfn.XLOOKUP($A531, My_Audit!$A:$A, My_Audit!N:N, ""),
    _xlfn.TEXTJOIN(", ", TRUE, _xlpm.MyAuditVal, _xlpm.MacVal, _xlpm.CSVVal)
)</f>
        <v/>
      </c>
      <c r="N531" s="45" t="str" cm="1">
        <f t="array" ref="N531">IFERROR(_xlfn.LET(
_xlpm.CSVVal,_xlfn.XLOOKUP($A531,CSV!$A:$A,CSV!AG:AG,""),
_xlpm.MacVal,_xlfn.XLOOKUP($A531,Output_Mac!$A:$A,Output_Mac!U:U,""),
_xlpm.MyAuditVal,_xlfn.XLOOKUP($A531,My_Audit!$A:$A,My_Audit!O:O,""),
_xlfn.IFS(_xlpm.MyAuditVal&lt;&gt;"",UPPER(_xlpm.MyAuditVal),_xlpm.MacVal&lt;&gt;"",_xlpm.MacVal,_xlpm.CSVVal&lt;&gt;"",_xlpm.CSVVal
)),"")</f>
        <v/>
      </c>
      <c r="O531" s="45"/>
      <c r="P531" s="45"/>
      <c r="Q531" s="46" t="str">
        <f>IF(LEFT(N531,4)="Pass","Nist SP 800-88",My_Audit!R531)&amp;""</f>
        <v/>
      </c>
      <c r="R531" s="45"/>
      <c r="S531" s="45"/>
      <c r="T531" s="46" t="str">
        <f>_xlfn.XLOOKUP(E531,Models!I:I,Models!J:J,"")</f>
        <v/>
      </c>
      <c r="U531" s="45"/>
      <c r="V531" s="45"/>
      <c r="W531" s="38"/>
    </row>
    <row r="532" spans="1:23">
      <c r="A532" s="45" t="str">
        <f>_xlfn.TEXTJOIN("",TRUE,Input!$B$2,ROW(My_Audit!A531))</f>
        <v>XX531</v>
      </c>
      <c r="B532" s="45" t="str">
        <f>_xlfn.TEXTJOIN("-",TRUE,"ITD",Input!$A$2,A532)</f>
        <v>ITD-SHRXXX-XX531</v>
      </c>
      <c r="C532" s="45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46" t="str" cm="1">
        <f t="array" ref="D532">IFERROR(_xlfn.LET(
_xlpm.CSVVal,_xlfn.XLOOKUP($A532,CSV!$A:$A,CSV!C:C,""),
_xlpm.MacVal,_xlfn.XLOOKUP($A532,Output_Mac!$A:$A,Output_Mac!D:D,""),
_xlpm.MyAuditVal,_xlfn.XLOOKUP($A532,My_Audit!$A:$A,My_Audit!C:C,""),
_xlfn.IFS(_xlpm.MyAuditVal&lt;&gt;"",UPPER(_xlpm.MyAuditVal),_xlpm.MacVal&lt;&gt;"",_xlpm.MacVal,_xlpm.CSVVal&lt;&gt;"",_xlpm.CSVVal
)),"")</f>
        <v/>
      </c>
      <c r="E532" s="46" t="str" cm="1">
        <f t="array" ref="E532">IFERROR(_xlfn.LET(
_xlpm.CSVVal,_xlfn.XLOOKUP($A532,CSV!$A:$A,CSV!E:E,""),
_xlpm.MacVal,_xlfn.XLOOKUP($A532,Output_Mac!$A:$A,Output_Mac!C:C,""),
_xlpm.MyAuditVal,_xlfn.XLOOKUP($A532,My_Audit!$A:$A,My_Audit!D:D,""),
_xlfn.IFS(_xlpm.MyAuditVal&lt;&gt;"",_xlpm.MyAuditVal,_xlpm.MacVal&lt;&gt;"",_xlpm.MacVal,_xlpm.CSVVal&lt;&gt;"",_xlpm.CSVVal
)),"")</f>
        <v/>
      </c>
      <c r="F532" s="45" t="str" cm="1">
        <f t="array" ref="F532">IFERROR(_xlfn.LET(
_xlpm.CSVVal,_xlfn.XLOOKUP($A532,CSV!$A:$A,CSV!F:F,""),
_xlpm.MacVal,_xlfn.XLOOKUP($A532,Output_Mac!$A:$A,Output_Mac!F:F,""),
_xlpm.MyAuditVal,_xlfn.XLOOKUP($A532,My_Audit!$A:$A,My_Audit!E:E,""),
_xlfn.IFS(_xlpm.MyAuditVal&lt;&gt;"",_xlpm.MyAuditVal,_xlpm.MacVal&lt;&gt;"",_xlpm.MacVal,_xlpm.CSVVal&lt;&gt;"",PROPER(_xlpm.CSVVal)
)),"")</f>
        <v/>
      </c>
      <c r="G532" s="45" t="str" cm="1">
        <f t="array" ref="G532">IFERROR(_xlfn.LET(
_xlpm.CSVVal,_xlfn.XLOOKUP($A532,CSV!$A:$A,CSV!G:G,""),
_xlpm.MacVal,_xlfn.XLOOKUP($A532,Output_Mac!$A:$A,Output_Mac!H:H,""),
_xlpm.MyAuditVal,_xlfn.XLOOKUP($A532,My_Audit!$A:$A,My_Audit!F:F,""),
_xlfn.IFS(_xlpm.MyAuditVal&lt;&gt;"",_xlpm.MyAuditVal,_xlpm.MacVal&lt;&gt;"",_xlpm.MacVal,_xlpm.CSVVal&lt;&gt;"",_xlpm.CSVVal
)),"")</f>
        <v/>
      </c>
      <c r="H532" s="45" t="str">
        <f>_xlfn.XLOOKUP(A532,Output_Mac!A:A,Output_Mac!I:I,"")</f>
        <v/>
      </c>
      <c r="I532" s="45" t="str" cm="1">
        <f t="array" ref="I532">IFERROR(_xlfn.LET(
_xlpm.CSVVal,_xlfn.XLOOKUP($A532,CSV!$A:$A,CSV!H:H,""),
_xlpm.MacVal,_xlfn.XLOOKUP($A532,Output_Mac!$A:$A,Output_Mac!J:J,""),
_xlpm.MyAuditVal,_xlfn.XLOOKUP($A532,My_Audit!$A:$A,My_Audit!H:H,""),
_xlfn.IFS(_xlpm.MyAuditVal&lt;&gt;"",UPPER(_xlpm.MyAuditVal),_xlpm.MacVal&lt;&gt;"",_xlpm.MacVal,_xlpm.CSVVal&lt;&gt;"",_xlpm.CSVVal
)),"")</f>
        <v/>
      </c>
      <c r="J532" s="45" t="str" cm="1">
        <f t="array" ref="J532">IFERROR(_xlfn.LET(
_xlpm.CSVVal,_xlfn.XLOOKUP($A532,CSV!$A:$A,CSV!J:J,""),
_xlpm.MacVal,_xlfn.XLOOKUP($A532,Output_Mac!$A:$A,Output_Mac!K:K,""),
_xlpm.MyAuditVal,_xlfn.XLOOKUP($A532,My_Audit!$A:$A,My_Audit!I:I,""),
_xlfn.IFS(_xlpm.MyAuditVal&lt;&gt;"",UPPER(_xlpm.MyAuditVal),_xlpm.MacVal&lt;&gt;"",_xlpm.MacVal,_xlpm.CSVVal&lt;&gt;"",_xlpm.CSVVal
)),"")</f>
        <v/>
      </c>
      <c r="K532" s="45" t="str" cm="1">
        <f t="array" ref="K532">IFERROR(_xlfn.LET(
_xlpm.CSVVal,_xlfn.XLOOKUP($A532,CSV!$A:$A,CSV!N:N,""),
_xlpm.MacVal,_xlfn.XLOOKUP($A532,Output_Mac!$A:$A,Output_Mac!L:L,""),
_xlpm.MyAuditVal,_xlfn.XLOOKUP($A532,My_Audit!$A:$A,My_Audit!J:J,""),
_xlfn.IFS(_xlpm.MyAuditVal&lt;&gt;"",UPPER(_xlpm.MyAuditVal),_xlpm.MacVal&lt;&gt;"",_xlpm.MacVal,_xlpm.CSVVal&lt;&gt;"",_xlpm.CSVVal
)),"")</f>
        <v/>
      </c>
      <c r="L532" s="45" t="str" cm="1">
        <f t="array" ref="L532">IFERROR(_xlfn.LET(
_xlpm.CSVVal,_xlfn.XLOOKUP($A532,CSV!$A:$A,CSV!P:P,""),
_xlpm.MacVal,_xlfn.XLOOKUP($A532,Output_Mac!$A:$A,Output_Mac!M:M,""),
_xlpm.MyAuditVal,_xlfn.XLOOKUP($A532,My_Audit!$A:$A,My_Audit!K:K,""),
_xlfn.IFS(_xlpm.MyAuditVal&lt;&gt;"",UPPER(_xlpm.MyAuditVal),_xlpm.MacVal&lt;&gt;"",_xlpm.MacVal,_xlpm.CSVVal&lt;&gt;"",_xlpm.CSVVal
)),"")</f>
        <v/>
      </c>
      <c r="M532" s="45" t="str">
        <f>_xlfn.LET(
    _xlpm.CSVVal, _xlfn.XLOOKUP($A532, CSV!$A:$A, CSV!AE:AE, ""),
    _xlpm.MacVal, _xlfn.XLOOKUP($A532, Output_Mac!$A:$A, Output_Mac!S:S, ""),
    _xlpm.MyAuditVal, _xlfn.XLOOKUP($A532, My_Audit!$A:$A, My_Audit!N:N, ""),
    _xlfn.TEXTJOIN(", ", TRUE, _xlpm.MyAuditVal, _xlpm.MacVal, _xlpm.CSVVal)
)</f>
        <v/>
      </c>
      <c r="N532" s="45" t="str" cm="1">
        <f t="array" ref="N532">IFERROR(_xlfn.LET(
_xlpm.CSVVal,_xlfn.XLOOKUP($A532,CSV!$A:$A,CSV!AG:AG,""),
_xlpm.MacVal,_xlfn.XLOOKUP($A532,Output_Mac!$A:$A,Output_Mac!U:U,""),
_xlpm.MyAuditVal,_xlfn.XLOOKUP($A532,My_Audit!$A:$A,My_Audit!O:O,""),
_xlfn.IFS(_xlpm.MyAuditVal&lt;&gt;"",UPPER(_xlpm.MyAuditVal),_xlpm.MacVal&lt;&gt;"",_xlpm.MacVal,_xlpm.CSVVal&lt;&gt;"",_xlpm.CSVVal
)),"")</f>
        <v/>
      </c>
      <c r="O532" s="45"/>
      <c r="P532" s="45"/>
      <c r="Q532" s="46" t="str">
        <f>IF(LEFT(N532,4)="Pass","Nist SP 800-88",My_Audit!R532)&amp;""</f>
        <v/>
      </c>
      <c r="R532" s="45"/>
      <c r="S532" s="45"/>
      <c r="T532" s="46" t="str">
        <f>_xlfn.XLOOKUP(E532,Models!I:I,Models!J:J,"")</f>
        <v/>
      </c>
      <c r="U532" s="45"/>
      <c r="V532" s="45"/>
      <c r="W532" s="38"/>
    </row>
    <row r="533" spans="1:23">
      <c r="A533" s="45" t="str">
        <f>_xlfn.TEXTJOIN("",TRUE,Input!$B$2,ROW(My_Audit!A532))</f>
        <v>XX532</v>
      </c>
      <c r="B533" s="45" t="str">
        <f>_xlfn.TEXTJOIN("-",TRUE,"ITD",Input!$A$2,A533)</f>
        <v>ITD-SHRXXX-XX532</v>
      </c>
      <c r="C533" s="45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46" t="str" cm="1">
        <f t="array" ref="D533">IFERROR(_xlfn.LET(
_xlpm.CSVVal,_xlfn.XLOOKUP($A533,CSV!$A:$A,CSV!C:C,""),
_xlpm.MacVal,_xlfn.XLOOKUP($A533,Output_Mac!$A:$A,Output_Mac!D:D,""),
_xlpm.MyAuditVal,_xlfn.XLOOKUP($A533,My_Audit!$A:$A,My_Audit!C:C,""),
_xlfn.IFS(_xlpm.MyAuditVal&lt;&gt;"",UPPER(_xlpm.MyAuditVal),_xlpm.MacVal&lt;&gt;"",_xlpm.MacVal,_xlpm.CSVVal&lt;&gt;"",_xlpm.CSVVal
)),"")</f>
        <v/>
      </c>
      <c r="E533" s="46" t="str" cm="1">
        <f t="array" ref="E533">IFERROR(_xlfn.LET(
_xlpm.CSVVal,_xlfn.XLOOKUP($A533,CSV!$A:$A,CSV!E:E,""),
_xlpm.MacVal,_xlfn.XLOOKUP($A533,Output_Mac!$A:$A,Output_Mac!C:C,""),
_xlpm.MyAuditVal,_xlfn.XLOOKUP($A533,My_Audit!$A:$A,My_Audit!D:D,""),
_xlfn.IFS(_xlpm.MyAuditVal&lt;&gt;"",_xlpm.MyAuditVal,_xlpm.MacVal&lt;&gt;"",_xlpm.MacVal,_xlpm.CSVVal&lt;&gt;"",_xlpm.CSVVal
)),"")</f>
        <v/>
      </c>
      <c r="F533" s="45" t="str" cm="1">
        <f t="array" ref="F533">IFERROR(_xlfn.LET(
_xlpm.CSVVal,_xlfn.XLOOKUP($A533,CSV!$A:$A,CSV!F:F,""),
_xlpm.MacVal,_xlfn.XLOOKUP($A533,Output_Mac!$A:$A,Output_Mac!F:F,""),
_xlpm.MyAuditVal,_xlfn.XLOOKUP($A533,My_Audit!$A:$A,My_Audit!E:E,""),
_xlfn.IFS(_xlpm.MyAuditVal&lt;&gt;"",_xlpm.MyAuditVal,_xlpm.MacVal&lt;&gt;"",_xlpm.MacVal,_xlpm.CSVVal&lt;&gt;"",PROPER(_xlpm.CSVVal)
)),"")</f>
        <v/>
      </c>
      <c r="G533" s="45" t="str" cm="1">
        <f t="array" ref="G533">IFERROR(_xlfn.LET(
_xlpm.CSVVal,_xlfn.XLOOKUP($A533,CSV!$A:$A,CSV!G:G,""),
_xlpm.MacVal,_xlfn.XLOOKUP($A533,Output_Mac!$A:$A,Output_Mac!H:H,""),
_xlpm.MyAuditVal,_xlfn.XLOOKUP($A533,My_Audit!$A:$A,My_Audit!F:F,""),
_xlfn.IFS(_xlpm.MyAuditVal&lt;&gt;"",_xlpm.MyAuditVal,_xlpm.MacVal&lt;&gt;"",_xlpm.MacVal,_xlpm.CSVVal&lt;&gt;"",_xlpm.CSVVal
)),"")</f>
        <v/>
      </c>
      <c r="H533" s="45" t="str">
        <f>_xlfn.XLOOKUP(A533,Output_Mac!A:A,Output_Mac!I:I,"")</f>
        <v/>
      </c>
      <c r="I533" s="45" t="str" cm="1">
        <f t="array" ref="I533">IFERROR(_xlfn.LET(
_xlpm.CSVVal,_xlfn.XLOOKUP($A533,CSV!$A:$A,CSV!H:H,""),
_xlpm.MacVal,_xlfn.XLOOKUP($A533,Output_Mac!$A:$A,Output_Mac!J:J,""),
_xlpm.MyAuditVal,_xlfn.XLOOKUP($A533,My_Audit!$A:$A,My_Audit!H:H,""),
_xlfn.IFS(_xlpm.MyAuditVal&lt;&gt;"",UPPER(_xlpm.MyAuditVal),_xlpm.MacVal&lt;&gt;"",_xlpm.MacVal,_xlpm.CSVVal&lt;&gt;"",_xlpm.CSVVal
)),"")</f>
        <v/>
      </c>
      <c r="J533" s="45" t="str" cm="1">
        <f t="array" ref="J533">IFERROR(_xlfn.LET(
_xlpm.CSVVal,_xlfn.XLOOKUP($A533,CSV!$A:$A,CSV!J:J,""),
_xlpm.MacVal,_xlfn.XLOOKUP($A533,Output_Mac!$A:$A,Output_Mac!K:K,""),
_xlpm.MyAuditVal,_xlfn.XLOOKUP($A533,My_Audit!$A:$A,My_Audit!I:I,""),
_xlfn.IFS(_xlpm.MyAuditVal&lt;&gt;"",UPPER(_xlpm.MyAuditVal),_xlpm.MacVal&lt;&gt;"",_xlpm.MacVal,_xlpm.CSVVal&lt;&gt;"",_xlpm.CSVVal
)),"")</f>
        <v/>
      </c>
      <c r="K533" s="45" t="str" cm="1">
        <f t="array" ref="K533">IFERROR(_xlfn.LET(
_xlpm.CSVVal,_xlfn.XLOOKUP($A533,CSV!$A:$A,CSV!N:N,""),
_xlpm.MacVal,_xlfn.XLOOKUP($A533,Output_Mac!$A:$A,Output_Mac!L:L,""),
_xlpm.MyAuditVal,_xlfn.XLOOKUP($A533,My_Audit!$A:$A,My_Audit!J:J,""),
_xlfn.IFS(_xlpm.MyAuditVal&lt;&gt;"",UPPER(_xlpm.MyAuditVal),_xlpm.MacVal&lt;&gt;"",_xlpm.MacVal,_xlpm.CSVVal&lt;&gt;"",_xlpm.CSVVal
)),"")</f>
        <v/>
      </c>
      <c r="L533" s="45" t="str" cm="1">
        <f t="array" ref="L533">IFERROR(_xlfn.LET(
_xlpm.CSVVal,_xlfn.XLOOKUP($A533,CSV!$A:$A,CSV!P:P,""),
_xlpm.MacVal,_xlfn.XLOOKUP($A533,Output_Mac!$A:$A,Output_Mac!M:M,""),
_xlpm.MyAuditVal,_xlfn.XLOOKUP($A533,My_Audit!$A:$A,My_Audit!K:K,""),
_xlfn.IFS(_xlpm.MyAuditVal&lt;&gt;"",UPPER(_xlpm.MyAuditVal),_xlpm.MacVal&lt;&gt;"",_xlpm.MacVal,_xlpm.CSVVal&lt;&gt;"",_xlpm.CSVVal
)),"")</f>
        <v/>
      </c>
      <c r="M533" s="45" t="str">
        <f>_xlfn.LET(
    _xlpm.CSVVal, _xlfn.XLOOKUP($A533, CSV!$A:$A, CSV!AE:AE, ""),
    _xlpm.MacVal, _xlfn.XLOOKUP($A533, Output_Mac!$A:$A, Output_Mac!S:S, ""),
    _xlpm.MyAuditVal, _xlfn.XLOOKUP($A533, My_Audit!$A:$A, My_Audit!N:N, ""),
    _xlfn.TEXTJOIN(", ", TRUE, _xlpm.MyAuditVal, _xlpm.MacVal, _xlpm.CSVVal)
)</f>
        <v/>
      </c>
      <c r="N533" s="45" t="str" cm="1">
        <f t="array" ref="N533">IFERROR(_xlfn.LET(
_xlpm.CSVVal,_xlfn.XLOOKUP($A533,CSV!$A:$A,CSV!AG:AG,""),
_xlpm.MacVal,_xlfn.XLOOKUP($A533,Output_Mac!$A:$A,Output_Mac!U:U,""),
_xlpm.MyAuditVal,_xlfn.XLOOKUP($A533,My_Audit!$A:$A,My_Audit!O:O,""),
_xlfn.IFS(_xlpm.MyAuditVal&lt;&gt;"",UPPER(_xlpm.MyAuditVal),_xlpm.MacVal&lt;&gt;"",_xlpm.MacVal,_xlpm.CSVVal&lt;&gt;"",_xlpm.CSVVal
)),"")</f>
        <v/>
      </c>
      <c r="O533" s="45"/>
      <c r="P533" s="45"/>
      <c r="Q533" s="46" t="str">
        <f>IF(LEFT(N533,4)="Pass","Nist SP 800-88",My_Audit!R533)&amp;""</f>
        <v/>
      </c>
      <c r="R533" s="45"/>
      <c r="S533" s="45"/>
      <c r="T533" s="46" t="str">
        <f>_xlfn.XLOOKUP(E533,Models!I:I,Models!J:J,"")</f>
        <v/>
      </c>
      <c r="U533" s="45"/>
      <c r="V533" s="45"/>
      <c r="W533" s="38"/>
    </row>
    <row r="534" spans="1:23">
      <c r="A534" s="45" t="str">
        <f>_xlfn.TEXTJOIN("",TRUE,Input!$B$2,ROW(My_Audit!A533))</f>
        <v>XX533</v>
      </c>
      <c r="B534" s="45" t="str">
        <f>_xlfn.TEXTJOIN("-",TRUE,"ITD",Input!$A$2,A534)</f>
        <v>ITD-SHRXXX-XX533</v>
      </c>
      <c r="C534" s="45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46" t="str" cm="1">
        <f t="array" ref="D534">IFERROR(_xlfn.LET(
_xlpm.CSVVal,_xlfn.XLOOKUP($A534,CSV!$A:$A,CSV!C:C,""),
_xlpm.MacVal,_xlfn.XLOOKUP($A534,Output_Mac!$A:$A,Output_Mac!D:D,""),
_xlpm.MyAuditVal,_xlfn.XLOOKUP($A534,My_Audit!$A:$A,My_Audit!C:C,""),
_xlfn.IFS(_xlpm.MyAuditVal&lt;&gt;"",UPPER(_xlpm.MyAuditVal),_xlpm.MacVal&lt;&gt;"",_xlpm.MacVal,_xlpm.CSVVal&lt;&gt;"",_xlpm.CSVVal
)),"")</f>
        <v/>
      </c>
      <c r="E534" s="46" t="str" cm="1">
        <f t="array" ref="E534">IFERROR(_xlfn.LET(
_xlpm.CSVVal,_xlfn.XLOOKUP($A534,CSV!$A:$A,CSV!E:E,""),
_xlpm.MacVal,_xlfn.XLOOKUP($A534,Output_Mac!$A:$A,Output_Mac!C:C,""),
_xlpm.MyAuditVal,_xlfn.XLOOKUP($A534,My_Audit!$A:$A,My_Audit!D:D,""),
_xlfn.IFS(_xlpm.MyAuditVal&lt;&gt;"",_xlpm.MyAuditVal,_xlpm.MacVal&lt;&gt;"",_xlpm.MacVal,_xlpm.CSVVal&lt;&gt;"",_xlpm.CSVVal
)),"")</f>
        <v/>
      </c>
      <c r="F534" s="45" t="str" cm="1">
        <f t="array" ref="F534">IFERROR(_xlfn.LET(
_xlpm.CSVVal,_xlfn.XLOOKUP($A534,CSV!$A:$A,CSV!F:F,""),
_xlpm.MacVal,_xlfn.XLOOKUP($A534,Output_Mac!$A:$A,Output_Mac!F:F,""),
_xlpm.MyAuditVal,_xlfn.XLOOKUP($A534,My_Audit!$A:$A,My_Audit!E:E,""),
_xlfn.IFS(_xlpm.MyAuditVal&lt;&gt;"",_xlpm.MyAuditVal,_xlpm.MacVal&lt;&gt;"",_xlpm.MacVal,_xlpm.CSVVal&lt;&gt;"",PROPER(_xlpm.CSVVal)
)),"")</f>
        <v/>
      </c>
      <c r="G534" s="45" t="str" cm="1">
        <f t="array" ref="G534">IFERROR(_xlfn.LET(
_xlpm.CSVVal,_xlfn.XLOOKUP($A534,CSV!$A:$A,CSV!G:G,""),
_xlpm.MacVal,_xlfn.XLOOKUP($A534,Output_Mac!$A:$A,Output_Mac!H:H,""),
_xlpm.MyAuditVal,_xlfn.XLOOKUP($A534,My_Audit!$A:$A,My_Audit!F:F,""),
_xlfn.IFS(_xlpm.MyAuditVal&lt;&gt;"",_xlpm.MyAuditVal,_xlpm.MacVal&lt;&gt;"",_xlpm.MacVal,_xlpm.CSVVal&lt;&gt;"",_xlpm.CSVVal
)),"")</f>
        <v/>
      </c>
      <c r="H534" s="45" t="str">
        <f>_xlfn.XLOOKUP(A534,Output_Mac!A:A,Output_Mac!I:I,"")</f>
        <v/>
      </c>
      <c r="I534" s="45" t="str" cm="1">
        <f t="array" ref="I534">IFERROR(_xlfn.LET(
_xlpm.CSVVal,_xlfn.XLOOKUP($A534,CSV!$A:$A,CSV!H:H,""),
_xlpm.MacVal,_xlfn.XLOOKUP($A534,Output_Mac!$A:$A,Output_Mac!J:J,""),
_xlpm.MyAuditVal,_xlfn.XLOOKUP($A534,My_Audit!$A:$A,My_Audit!H:H,""),
_xlfn.IFS(_xlpm.MyAuditVal&lt;&gt;"",UPPER(_xlpm.MyAuditVal),_xlpm.MacVal&lt;&gt;"",_xlpm.MacVal,_xlpm.CSVVal&lt;&gt;"",_xlpm.CSVVal
)),"")</f>
        <v/>
      </c>
      <c r="J534" s="45" t="str" cm="1">
        <f t="array" ref="J534">IFERROR(_xlfn.LET(
_xlpm.CSVVal,_xlfn.XLOOKUP($A534,CSV!$A:$A,CSV!J:J,""),
_xlpm.MacVal,_xlfn.XLOOKUP($A534,Output_Mac!$A:$A,Output_Mac!K:K,""),
_xlpm.MyAuditVal,_xlfn.XLOOKUP($A534,My_Audit!$A:$A,My_Audit!I:I,""),
_xlfn.IFS(_xlpm.MyAuditVal&lt;&gt;"",UPPER(_xlpm.MyAuditVal),_xlpm.MacVal&lt;&gt;"",_xlpm.MacVal,_xlpm.CSVVal&lt;&gt;"",_xlpm.CSVVal
)),"")</f>
        <v/>
      </c>
      <c r="K534" s="45" t="str" cm="1">
        <f t="array" ref="K534">IFERROR(_xlfn.LET(
_xlpm.CSVVal,_xlfn.XLOOKUP($A534,CSV!$A:$A,CSV!N:N,""),
_xlpm.MacVal,_xlfn.XLOOKUP($A534,Output_Mac!$A:$A,Output_Mac!L:L,""),
_xlpm.MyAuditVal,_xlfn.XLOOKUP($A534,My_Audit!$A:$A,My_Audit!J:J,""),
_xlfn.IFS(_xlpm.MyAuditVal&lt;&gt;"",UPPER(_xlpm.MyAuditVal),_xlpm.MacVal&lt;&gt;"",_xlpm.MacVal,_xlpm.CSVVal&lt;&gt;"",_xlpm.CSVVal
)),"")</f>
        <v/>
      </c>
      <c r="L534" s="45" t="str" cm="1">
        <f t="array" ref="L534">IFERROR(_xlfn.LET(
_xlpm.CSVVal,_xlfn.XLOOKUP($A534,CSV!$A:$A,CSV!P:P,""),
_xlpm.MacVal,_xlfn.XLOOKUP($A534,Output_Mac!$A:$A,Output_Mac!M:M,""),
_xlpm.MyAuditVal,_xlfn.XLOOKUP($A534,My_Audit!$A:$A,My_Audit!K:K,""),
_xlfn.IFS(_xlpm.MyAuditVal&lt;&gt;"",UPPER(_xlpm.MyAuditVal),_xlpm.MacVal&lt;&gt;"",_xlpm.MacVal,_xlpm.CSVVal&lt;&gt;"",_xlpm.CSVVal
)),"")</f>
        <v/>
      </c>
      <c r="M534" s="45" t="str">
        <f>_xlfn.LET(
    _xlpm.CSVVal, _xlfn.XLOOKUP($A534, CSV!$A:$A, CSV!AE:AE, ""),
    _xlpm.MacVal, _xlfn.XLOOKUP($A534, Output_Mac!$A:$A, Output_Mac!S:S, ""),
    _xlpm.MyAuditVal, _xlfn.XLOOKUP($A534, My_Audit!$A:$A, My_Audit!N:N, ""),
    _xlfn.TEXTJOIN(", ", TRUE, _xlpm.MyAuditVal, _xlpm.MacVal, _xlpm.CSVVal)
)</f>
        <v/>
      </c>
      <c r="N534" s="45" t="str" cm="1">
        <f t="array" ref="N534">IFERROR(_xlfn.LET(
_xlpm.CSVVal,_xlfn.XLOOKUP($A534,CSV!$A:$A,CSV!AG:AG,""),
_xlpm.MacVal,_xlfn.XLOOKUP($A534,Output_Mac!$A:$A,Output_Mac!U:U,""),
_xlpm.MyAuditVal,_xlfn.XLOOKUP($A534,My_Audit!$A:$A,My_Audit!O:O,""),
_xlfn.IFS(_xlpm.MyAuditVal&lt;&gt;"",UPPER(_xlpm.MyAuditVal),_xlpm.MacVal&lt;&gt;"",_xlpm.MacVal,_xlpm.CSVVal&lt;&gt;"",_xlpm.CSVVal
)),"")</f>
        <v/>
      </c>
      <c r="O534" s="45"/>
      <c r="P534" s="45"/>
      <c r="Q534" s="46" t="str">
        <f>IF(LEFT(N534,4)="Pass","Nist SP 800-88",My_Audit!R534)&amp;""</f>
        <v/>
      </c>
      <c r="R534" s="45"/>
      <c r="S534" s="45"/>
      <c r="T534" s="46" t="str">
        <f>_xlfn.XLOOKUP(E534,Models!I:I,Models!J:J,"")</f>
        <v/>
      </c>
      <c r="U534" s="45"/>
      <c r="V534" s="45"/>
      <c r="W534" s="38"/>
    </row>
    <row r="535" spans="1:23">
      <c r="A535" s="45" t="str">
        <f>_xlfn.TEXTJOIN("",TRUE,Input!$B$2,ROW(My_Audit!A534))</f>
        <v>XX534</v>
      </c>
      <c r="B535" s="45" t="str">
        <f>_xlfn.TEXTJOIN("-",TRUE,"ITD",Input!$A$2,A535)</f>
        <v>ITD-SHRXXX-XX534</v>
      </c>
      <c r="C535" s="45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46" t="str" cm="1">
        <f t="array" ref="D535">IFERROR(_xlfn.LET(
_xlpm.CSVVal,_xlfn.XLOOKUP($A535,CSV!$A:$A,CSV!C:C,""),
_xlpm.MacVal,_xlfn.XLOOKUP($A535,Output_Mac!$A:$A,Output_Mac!D:D,""),
_xlpm.MyAuditVal,_xlfn.XLOOKUP($A535,My_Audit!$A:$A,My_Audit!C:C,""),
_xlfn.IFS(_xlpm.MyAuditVal&lt;&gt;"",UPPER(_xlpm.MyAuditVal),_xlpm.MacVal&lt;&gt;"",_xlpm.MacVal,_xlpm.CSVVal&lt;&gt;"",_xlpm.CSVVal
)),"")</f>
        <v/>
      </c>
      <c r="E535" s="46" t="str" cm="1">
        <f t="array" ref="E535">IFERROR(_xlfn.LET(
_xlpm.CSVVal,_xlfn.XLOOKUP($A535,CSV!$A:$A,CSV!E:E,""),
_xlpm.MacVal,_xlfn.XLOOKUP($A535,Output_Mac!$A:$A,Output_Mac!C:C,""),
_xlpm.MyAuditVal,_xlfn.XLOOKUP($A535,My_Audit!$A:$A,My_Audit!D:D,""),
_xlfn.IFS(_xlpm.MyAuditVal&lt;&gt;"",_xlpm.MyAuditVal,_xlpm.MacVal&lt;&gt;"",_xlpm.MacVal,_xlpm.CSVVal&lt;&gt;"",_xlpm.CSVVal
)),"")</f>
        <v/>
      </c>
      <c r="F535" s="45" t="str" cm="1">
        <f t="array" ref="F535">IFERROR(_xlfn.LET(
_xlpm.CSVVal,_xlfn.XLOOKUP($A535,CSV!$A:$A,CSV!F:F,""),
_xlpm.MacVal,_xlfn.XLOOKUP($A535,Output_Mac!$A:$A,Output_Mac!F:F,""),
_xlpm.MyAuditVal,_xlfn.XLOOKUP($A535,My_Audit!$A:$A,My_Audit!E:E,""),
_xlfn.IFS(_xlpm.MyAuditVal&lt;&gt;"",_xlpm.MyAuditVal,_xlpm.MacVal&lt;&gt;"",_xlpm.MacVal,_xlpm.CSVVal&lt;&gt;"",PROPER(_xlpm.CSVVal)
)),"")</f>
        <v/>
      </c>
      <c r="G535" s="45" t="str" cm="1">
        <f t="array" ref="G535">IFERROR(_xlfn.LET(
_xlpm.CSVVal,_xlfn.XLOOKUP($A535,CSV!$A:$A,CSV!G:G,""),
_xlpm.MacVal,_xlfn.XLOOKUP($A535,Output_Mac!$A:$A,Output_Mac!H:H,""),
_xlpm.MyAuditVal,_xlfn.XLOOKUP($A535,My_Audit!$A:$A,My_Audit!F:F,""),
_xlfn.IFS(_xlpm.MyAuditVal&lt;&gt;"",_xlpm.MyAuditVal,_xlpm.MacVal&lt;&gt;"",_xlpm.MacVal,_xlpm.CSVVal&lt;&gt;"",_xlpm.CSVVal
)),"")</f>
        <v/>
      </c>
      <c r="H535" s="45" t="str">
        <f>_xlfn.XLOOKUP(A535,Output_Mac!A:A,Output_Mac!I:I,"")</f>
        <v/>
      </c>
      <c r="I535" s="45" t="str" cm="1">
        <f t="array" ref="I535">IFERROR(_xlfn.LET(
_xlpm.CSVVal,_xlfn.XLOOKUP($A535,CSV!$A:$A,CSV!H:H,""),
_xlpm.MacVal,_xlfn.XLOOKUP($A535,Output_Mac!$A:$A,Output_Mac!J:J,""),
_xlpm.MyAuditVal,_xlfn.XLOOKUP($A535,My_Audit!$A:$A,My_Audit!H:H,""),
_xlfn.IFS(_xlpm.MyAuditVal&lt;&gt;"",UPPER(_xlpm.MyAuditVal),_xlpm.MacVal&lt;&gt;"",_xlpm.MacVal,_xlpm.CSVVal&lt;&gt;"",_xlpm.CSVVal
)),"")</f>
        <v/>
      </c>
      <c r="J535" s="45" t="str" cm="1">
        <f t="array" ref="J535">IFERROR(_xlfn.LET(
_xlpm.CSVVal,_xlfn.XLOOKUP($A535,CSV!$A:$A,CSV!J:J,""),
_xlpm.MacVal,_xlfn.XLOOKUP($A535,Output_Mac!$A:$A,Output_Mac!K:K,""),
_xlpm.MyAuditVal,_xlfn.XLOOKUP($A535,My_Audit!$A:$A,My_Audit!I:I,""),
_xlfn.IFS(_xlpm.MyAuditVal&lt;&gt;"",UPPER(_xlpm.MyAuditVal),_xlpm.MacVal&lt;&gt;"",_xlpm.MacVal,_xlpm.CSVVal&lt;&gt;"",_xlpm.CSVVal
)),"")</f>
        <v/>
      </c>
      <c r="K535" s="45" t="str" cm="1">
        <f t="array" ref="K535">IFERROR(_xlfn.LET(
_xlpm.CSVVal,_xlfn.XLOOKUP($A535,CSV!$A:$A,CSV!N:N,""),
_xlpm.MacVal,_xlfn.XLOOKUP($A535,Output_Mac!$A:$A,Output_Mac!L:L,""),
_xlpm.MyAuditVal,_xlfn.XLOOKUP($A535,My_Audit!$A:$A,My_Audit!J:J,""),
_xlfn.IFS(_xlpm.MyAuditVal&lt;&gt;"",UPPER(_xlpm.MyAuditVal),_xlpm.MacVal&lt;&gt;"",_xlpm.MacVal,_xlpm.CSVVal&lt;&gt;"",_xlpm.CSVVal
)),"")</f>
        <v/>
      </c>
      <c r="L535" s="45" t="str" cm="1">
        <f t="array" ref="L535">IFERROR(_xlfn.LET(
_xlpm.CSVVal,_xlfn.XLOOKUP($A535,CSV!$A:$A,CSV!P:P,""),
_xlpm.MacVal,_xlfn.XLOOKUP($A535,Output_Mac!$A:$A,Output_Mac!M:M,""),
_xlpm.MyAuditVal,_xlfn.XLOOKUP($A535,My_Audit!$A:$A,My_Audit!K:K,""),
_xlfn.IFS(_xlpm.MyAuditVal&lt;&gt;"",UPPER(_xlpm.MyAuditVal),_xlpm.MacVal&lt;&gt;"",_xlpm.MacVal,_xlpm.CSVVal&lt;&gt;"",_xlpm.CSVVal
)),"")</f>
        <v/>
      </c>
      <c r="M535" s="45" t="str">
        <f>_xlfn.LET(
    _xlpm.CSVVal, _xlfn.XLOOKUP($A535, CSV!$A:$A, CSV!AE:AE, ""),
    _xlpm.MacVal, _xlfn.XLOOKUP($A535, Output_Mac!$A:$A, Output_Mac!S:S, ""),
    _xlpm.MyAuditVal, _xlfn.XLOOKUP($A535, My_Audit!$A:$A, My_Audit!N:N, ""),
    _xlfn.TEXTJOIN(", ", TRUE, _xlpm.MyAuditVal, _xlpm.MacVal, _xlpm.CSVVal)
)</f>
        <v/>
      </c>
      <c r="N535" s="45" t="str" cm="1">
        <f t="array" ref="N535">IFERROR(_xlfn.LET(
_xlpm.CSVVal,_xlfn.XLOOKUP($A535,CSV!$A:$A,CSV!AG:AG,""),
_xlpm.MacVal,_xlfn.XLOOKUP($A535,Output_Mac!$A:$A,Output_Mac!U:U,""),
_xlpm.MyAuditVal,_xlfn.XLOOKUP($A535,My_Audit!$A:$A,My_Audit!O:O,""),
_xlfn.IFS(_xlpm.MyAuditVal&lt;&gt;"",UPPER(_xlpm.MyAuditVal),_xlpm.MacVal&lt;&gt;"",_xlpm.MacVal,_xlpm.CSVVal&lt;&gt;"",_xlpm.CSVVal
)),"")</f>
        <v/>
      </c>
      <c r="O535" s="45"/>
      <c r="P535" s="45"/>
      <c r="Q535" s="46" t="str">
        <f>IF(LEFT(N535,4)="Pass","Nist SP 800-88",My_Audit!R535)&amp;""</f>
        <v/>
      </c>
      <c r="R535" s="45"/>
      <c r="S535" s="45"/>
      <c r="T535" s="46" t="str">
        <f>_xlfn.XLOOKUP(E535,Models!I:I,Models!J:J,"")</f>
        <v/>
      </c>
      <c r="U535" s="45"/>
      <c r="V535" s="45"/>
      <c r="W535" s="38"/>
    </row>
    <row r="536" spans="1:23">
      <c r="A536" s="45" t="str">
        <f>_xlfn.TEXTJOIN("",TRUE,Input!$B$2,ROW(My_Audit!A535))</f>
        <v>XX535</v>
      </c>
      <c r="B536" s="45" t="str">
        <f>_xlfn.TEXTJOIN("-",TRUE,"ITD",Input!$A$2,A536)</f>
        <v>ITD-SHRXXX-XX535</v>
      </c>
      <c r="C536" s="45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46" t="str" cm="1">
        <f t="array" ref="D536">IFERROR(_xlfn.LET(
_xlpm.CSVVal,_xlfn.XLOOKUP($A536,CSV!$A:$A,CSV!C:C,""),
_xlpm.MacVal,_xlfn.XLOOKUP($A536,Output_Mac!$A:$A,Output_Mac!D:D,""),
_xlpm.MyAuditVal,_xlfn.XLOOKUP($A536,My_Audit!$A:$A,My_Audit!C:C,""),
_xlfn.IFS(_xlpm.MyAuditVal&lt;&gt;"",UPPER(_xlpm.MyAuditVal),_xlpm.MacVal&lt;&gt;"",_xlpm.MacVal,_xlpm.CSVVal&lt;&gt;"",_xlpm.CSVVal
)),"")</f>
        <v/>
      </c>
      <c r="E536" s="46" t="str" cm="1">
        <f t="array" ref="E536">IFERROR(_xlfn.LET(
_xlpm.CSVVal,_xlfn.XLOOKUP($A536,CSV!$A:$A,CSV!E:E,""),
_xlpm.MacVal,_xlfn.XLOOKUP($A536,Output_Mac!$A:$A,Output_Mac!C:C,""),
_xlpm.MyAuditVal,_xlfn.XLOOKUP($A536,My_Audit!$A:$A,My_Audit!D:D,""),
_xlfn.IFS(_xlpm.MyAuditVal&lt;&gt;"",_xlpm.MyAuditVal,_xlpm.MacVal&lt;&gt;"",_xlpm.MacVal,_xlpm.CSVVal&lt;&gt;"",_xlpm.CSVVal
)),"")</f>
        <v/>
      </c>
      <c r="F536" s="45" t="str" cm="1">
        <f t="array" ref="F536">IFERROR(_xlfn.LET(
_xlpm.CSVVal,_xlfn.XLOOKUP($A536,CSV!$A:$A,CSV!F:F,""),
_xlpm.MacVal,_xlfn.XLOOKUP($A536,Output_Mac!$A:$A,Output_Mac!F:F,""),
_xlpm.MyAuditVal,_xlfn.XLOOKUP($A536,My_Audit!$A:$A,My_Audit!E:E,""),
_xlfn.IFS(_xlpm.MyAuditVal&lt;&gt;"",_xlpm.MyAuditVal,_xlpm.MacVal&lt;&gt;"",_xlpm.MacVal,_xlpm.CSVVal&lt;&gt;"",PROPER(_xlpm.CSVVal)
)),"")</f>
        <v/>
      </c>
      <c r="G536" s="45" t="str" cm="1">
        <f t="array" ref="G536">IFERROR(_xlfn.LET(
_xlpm.CSVVal,_xlfn.XLOOKUP($A536,CSV!$A:$A,CSV!G:G,""),
_xlpm.MacVal,_xlfn.XLOOKUP($A536,Output_Mac!$A:$A,Output_Mac!H:H,""),
_xlpm.MyAuditVal,_xlfn.XLOOKUP($A536,My_Audit!$A:$A,My_Audit!F:F,""),
_xlfn.IFS(_xlpm.MyAuditVal&lt;&gt;"",_xlpm.MyAuditVal,_xlpm.MacVal&lt;&gt;"",_xlpm.MacVal,_xlpm.CSVVal&lt;&gt;"",_xlpm.CSVVal
)),"")</f>
        <v/>
      </c>
      <c r="H536" s="45" t="str">
        <f>_xlfn.XLOOKUP(A536,Output_Mac!A:A,Output_Mac!I:I,"")</f>
        <v/>
      </c>
      <c r="I536" s="45" t="str" cm="1">
        <f t="array" ref="I536">IFERROR(_xlfn.LET(
_xlpm.CSVVal,_xlfn.XLOOKUP($A536,CSV!$A:$A,CSV!H:H,""),
_xlpm.MacVal,_xlfn.XLOOKUP($A536,Output_Mac!$A:$A,Output_Mac!J:J,""),
_xlpm.MyAuditVal,_xlfn.XLOOKUP($A536,My_Audit!$A:$A,My_Audit!H:H,""),
_xlfn.IFS(_xlpm.MyAuditVal&lt;&gt;"",UPPER(_xlpm.MyAuditVal),_xlpm.MacVal&lt;&gt;"",_xlpm.MacVal,_xlpm.CSVVal&lt;&gt;"",_xlpm.CSVVal
)),"")</f>
        <v/>
      </c>
      <c r="J536" s="45" t="str" cm="1">
        <f t="array" ref="J536">IFERROR(_xlfn.LET(
_xlpm.CSVVal,_xlfn.XLOOKUP($A536,CSV!$A:$A,CSV!J:J,""),
_xlpm.MacVal,_xlfn.XLOOKUP($A536,Output_Mac!$A:$A,Output_Mac!K:K,""),
_xlpm.MyAuditVal,_xlfn.XLOOKUP($A536,My_Audit!$A:$A,My_Audit!I:I,""),
_xlfn.IFS(_xlpm.MyAuditVal&lt;&gt;"",UPPER(_xlpm.MyAuditVal),_xlpm.MacVal&lt;&gt;"",_xlpm.MacVal,_xlpm.CSVVal&lt;&gt;"",_xlpm.CSVVal
)),"")</f>
        <v/>
      </c>
      <c r="K536" s="45" t="str" cm="1">
        <f t="array" ref="K536">IFERROR(_xlfn.LET(
_xlpm.CSVVal,_xlfn.XLOOKUP($A536,CSV!$A:$A,CSV!N:N,""),
_xlpm.MacVal,_xlfn.XLOOKUP($A536,Output_Mac!$A:$A,Output_Mac!L:L,""),
_xlpm.MyAuditVal,_xlfn.XLOOKUP($A536,My_Audit!$A:$A,My_Audit!J:J,""),
_xlfn.IFS(_xlpm.MyAuditVal&lt;&gt;"",UPPER(_xlpm.MyAuditVal),_xlpm.MacVal&lt;&gt;"",_xlpm.MacVal,_xlpm.CSVVal&lt;&gt;"",_xlpm.CSVVal
)),"")</f>
        <v/>
      </c>
      <c r="L536" s="45" t="str" cm="1">
        <f t="array" ref="L536">IFERROR(_xlfn.LET(
_xlpm.CSVVal,_xlfn.XLOOKUP($A536,CSV!$A:$A,CSV!P:P,""),
_xlpm.MacVal,_xlfn.XLOOKUP($A536,Output_Mac!$A:$A,Output_Mac!M:M,""),
_xlpm.MyAuditVal,_xlfn.XLOOKUP($A536,My_Audit!$A:$A,My_Audit!K:K,""),
_xlfn.IFS(_xlpm.MyAuditVal&lt;&gt;"",UPPER(_xlpm.MyAuditVal),_xlpm.MacVal&lt;&gt;"",_xlpm.MacVal,_xlpm.CSVVal&lt;&gt;"",_xlpm.CSVVal
)),"")</f>
        <v/>
      </c>
      <c r="M536" s="45" t="str">
        <f>_xlfn.LET(
    _xlpm.CSVVal, _xlfn.XLOOKUP($A536, CSV!$A:$A, CSV!AE:AE, ""),
    _xlpm.MacVal, _xlfn.XLOOKUP($A536, Output_Mac!$A:$A, Output_Mac!S:S, ""),
    _xlpm.MyAuditVal, _xlfn.XLOOKUP($A536, My_Audit!$A:$A, My_Audit!N:N, ""),
    _xlfn.TEXTJOIN(", ", TRUE, _xlpm.MyAuditVal, _xlpm.MacVal, _xlpm.CSVVal)
)</f>
        <v/>
      </c>
      <c r="N536" s="45" t="str" cm="1">
        <f t="array" ref="N536">IFERROR(_xlfn.LET(
_xlpm.CSVVal,_xlfn.XLOOKUP($A536,CSV!$A:$A,CSV!AG:AG,""),
_xlpm.MacVal,_xlfn.XLOOKUP($A536,Output_Mac!$A:$A,Output_Mac!U:U,""),
_xlpm.MyAuditVal,_xlfn.XLOOKUP($A536,My_Audit!$A:$A,My_Audit!O:O,""),
_xlfn.IFS(_xlpm.MyAuditVal&lt;&gt;"",UPPER(_xlpm.MyAuditVal),_xlpm.MacVal&lt;&gt;"",_xlpm.MacVal,_xlpm.CSVVal&lt;&gt;"",_xlpm.CSVVal
)),"")</f>
        <v/>
      </c>
      <c r="O536" s="45"/>
      <c r="P536" s="45"/>
      <c r="Q536" s="46" t="str">
        <f>IF(LEFT(N536,4)="Pass","Nist SP 800-88",My_Audit!R536)&amp;""</f>
        <v/>
      </c>
      <c r="R536" s="45"/>
      <c r="S536" s="45"/>
      <c r="T536" s="46" t="str">
        <f>_xlfn.XLOOKUP(E536,Models!I:I,Models!J:J,"")</f>
        <v/>
      </c>
      <c r="U536" s="45"/>
      <c r="V536" s="45"/>
      <c r="W536" s="38"/>
    </row>
    <row r="537" spans="1:23">
      <c r="A537" s="45" t="str">
        <f>_xlfn.TEXTJOIN("",TRUE,Input!$B$2,ROW(My_Audit!A536))</f>
        <v>XX536</v>
      </c>
      <c r="B537" s="45" t="str">
        <f>_xlfn.TEXTJOIN("-",TRUE,"ITD",Input!$A$2,A537)</f>
        <v>ITD-SHRXXX-XX536</v>
      </c>
      <c r="C537" s="45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46" t="str" cm="1">
        <f t="array" ref="D537">IFERROR(_xlfn.LET(
_xlpm.CSVVal,_xlfn.XLOOKUP($A537,CSV!$A:$A,CSV!C:C,""),
_xlpm.MacVal,_xlfn.XLOOKUP($A537,Output_Mac!$A:$A,Output_Mac!D:D,""),
_xlpm.MyAuditVal,_xlfn.XLOOKUP($A537,My_Audit!$A:$A,My_Audit!C:C,""),
_xlfn.IFS(_xlpm.MyAuditVal&lt;&gt;"",UPPER(_xlpm.MyAuditVal),_xlpm.MacVal&lt;&gt;"",_xlpm.MacVal,_xlpm.CSVVal&lt;&gt;"",_xlpm.CSVVal
)),"")</f>
        <v/>
      </c>
      <c r="E537" s="46" t="str" cm="1">
        <f t="array" ref="E537">IFERROR(_xlfn.LET(
_xlpm.CSVVal,_xlfn.XLOOKUP($A537,CSV!$A:$A,CSV!E:E,""),
_xlpm.MacVal,_xlfn.XLOOKUP($A537,Output_Mac!$A:$A,Output_Mac!C:C,""),
_xlpm.MyAuditVal,_xlfn.XLOOKUP($A537,My_Audit!$A:$A,My_Audit!D:D,""),
_xlfn.IFS(_xlpm.MyAuditVal&lt;&gt;"",_xlpm.MyAuditVal,_xlpm.MacVal&lt;&gt;"",_xlpm.MacVal,_xlpm.CSVVal&lt;&gt;"",_xlpm.CSVVal
)),"")</f>
        <v/>
      </c>
      <c r="F537" s="45" t="str" cm="1">
        <f t="array" ref="F537">IFERROR(_xlfn.LET(
_xlpm.CSVVal,_xlfn.XLOOKUP($A537,CSV!$A:$A,CSV!F:F,""),
_xlpm.MacVal,_xlfn.XLOOKUP($A537,Output_Mac!$A:$A,Output_Mac!F:F,""),
_xlpm.MyAuditVal,_xlfn.XLOOKUP($A537,My_Audit!$A:$A,My_Audit!E:E,""),
_xlfn.IFS(_xlpm.MyAuditVal&lt;&gt;"",_xlpm.MyAuditVal,_xlpm.MacVal&lt;&gt;"",_xlpm.MacVal,_xlpm.CSVVal&lt;&gt;"",PROPER(_xlpm.CSVVal)
)),"")</f>
        <v/>
      </c>
      <c r="G537" s="45" t="str" cm="1">
        <f t="array" ref="G537">IFERROR(_xlfn.LET(
_xlpm.CSVVal,_xlfn.XLOOKUP($A537,CSV!$A:$A,CSV!G:G,""),
_xlpm.MacVal,_xlfn.XLOOKUP($A537,Output_Mac!$A:$A,Output_Mac!H:H,""),
_xlpm.MyAuditVal,_xlfn.XLOOKUP($A537,My_Audit!$A:$A,My_Audit!F:F,""),
_xlfn.IFS(_xlpm.MyAuditVal&lt;&gt;"",_xlpm.MyAuditVal,_xlpm.MacVal&lt;&gt;"",_xlpm.MacVal,_xlpm.CSVVal&lt;&gt;"",_xlpm.CSVVal
)),"")</f>
        <v/>
      </c>
      <c r="H537" s="45" t="str">
        <f>_xlfn.XLOOKUP(A537,Output_Mac!A:A,Output_Mac!I:I,"")</f>
        <v/>
      </c>
      <c r="I537" s="45" t="str" cm="1">
        <f t="array" ref="I537">IFERROR(_xlfn.LET(
_xlpm.CSVVal,_xlfn.XLOOKUP($A537,CSV!$A:$A,CSV!H:H,""),
_xlpm.MacVal,_xlfn.XLOOKUP($A537,Output_Mac!$A:$A,Output_Mac!J:J,""),
_xlpm.MyAuditVal,_xlfn.XLOOKUP($A537,My_Audit!$A:$A,My_Audit!H:H,""),
_xlfn.IFS(_xlpm.MyAuditVal&lt;&gt;"",UPPER(_xlpm.MyAuditVal),_xlpm.MacVal&lt;&gt;"",_xlpm.MacVal,_xlpm.CSVVal&lt;&gt;"",_xlpm.CSVVal
)),"")</f>
        <v/>
      </c>
      <c r="J537" s="45" t="str" cm="1">
        <f t="array" ref="J537">IFERROR(_xlfn.LET(
_xlpm.CSVVal,_xlfn.XLOOKUP($A537,CSV!$A:$A,CSV!J:J,""),
_xlpm.MacVal,_xlfn.XLOOKUP($A537,Output_Mac!$A:$A,Output_Mac!K:K,""),
_xlpm.MyAuditVal,_xlfn.XLOOKUP($A537,My_Audit!$A:$A,My_Audit!I:I,""),
_xlfn.IFS(_xlpm.MyAuditVal&lt;&gt;"",UPPER(_xlpm.MyAuditVal),_xlpm.MacVal&lt;&gt;"",_xlpm.MacVal,_xlpm.CSVVal&lt;&gt;"",_xlpm.CSVVal
)),"")</f>
        <v/>
      </c>
      <c r="K537" s="45" t="str" cm="1">
        <f t="array" ref="K537">IFERROR(_xlfn.LET(
_xlpm.CSVVal,_xlfn.XLOOKUP($A537,CSV!$A:$A,CSV!N:N,""),
_xlpm.MacVal,_xlfn.XLOOKUP($A537,Output_Mac!$A:$A,Output_Mac!L:L,""),
_xlpm.MyAuditVal,_xlfn.XLOOKUP($A537,My_Audit!$A:$A,My_Audit!J:J,""),
_xlfn.IFS(_xlpm.MyAuditVal&lt;&gt;"",UPPER(_xlpm.MyAuditVal),_xlpm.MacVal&lt;&gt;"",_xlpm.MacVal,_xlpm.CSVVal&lt;&gt;"",_xlpm.CSVVal
)),"")</f>
        <v/>
      </c>
      <c r="L537" s="45" t="str" cm="1">
        <f t="array" ref="L537">IFERROR(_xlfn.LET(
_xlpm.CSVVal,_xlfn.XLOOKUP($A537,CSV!$A:$A,CSV!P:P,""),
_xlpm.MacVal,_xlfn.XLOOKUP($A537,Output_Mac!$A:$A,Output_Mac!M:M,""),
_xlpm.MyAuditVal,_xlfn.XLOOKUP($A537,My_Audit!$A:$A,My_Audit!K:K,""),
_xlfn.IFS(_xlpm.MyAuditVal&lt;&gt;"",UPPER(_xlpm.MyAuditVal),_xlpm.MacVal&lt;&gt;"",_xlpm.MacVal,_xlpm.CSVVal&lt;&gt;"",_xlpm.CSVVal
)),"")</f>
        <v/>
      </c>
      <c r="M537" s="45" t="str">
        <f>_xlfn.LET(
    _xlpm.CSVVal, _xlfn.XLOOKUP($A537, CSV!$A:$A, CSV!AE:AE, ""),
    _xlpm.MacVal, _xlfn.XLOOKUP($A537, Output_Mac!$A:$A, Output_Mac!S:S, ""),
    _xlpm.MyAuditVal, _xlfn.XLOOKUP($A537, My_Audit!$A:$A, My_Audit!N:N, ""),
    _xlfn.TEXTJOIN(", ", TRUE, _xlpm.MyAuditVal, _xlpm.MacVal, _xlpm.CSVVal)
)</f>
        <v/>
      </c>
      <c r="N537" s="45" t="str" cm="1">
        <f t="array" ref="N537">IFERROR(_xlfn.LET(
_xlpm.CSVVal,_xlfn.XLOOKUP($A537,CSV!$A:$A,CSV!AG:AG,""),
_xlpm.MacVal,_xlfn.XLOOKUP($A537,Output_Mac!$A:$A,Output_Mac!U:U,""),
_xlpm.MyAuditVal,_xlfn.XLOOKUP($A537,My_Audit!$A:$A,My_Audit!O:O,""),
_xlfn.IFS(_xlpm.MyAuditVal&lt;&gt;"",UPPER(_xlpm.MyAuditVal),_xlpm.MacVal&lt;&gt;"",_xlpm.MacVal,_xlpm.CSVVal&lt;&gt;"",_xlpm.CSVVal
)),"")</f>
        <v/>
      </c>
      <c r="O537" s="45"/>
      <c r="P537" s="45"/>
      <c r="Q537" s="46" t="str">
        <f>IF(LEFT(N537,4)="Pass","Nist SP 800-88",My_Audit!R537)&amp;""</f>
        <v/>
      </c>
      <c r="R537" s="45"/>
      <c r="S537" s="45"/>
      <c r="T537" s="46" t="str">
        <f>_xlfn.XLOOKUP(E537,Models!I:I,Models!J:J,"")</f>
        <v/>
      </c>
      <c r="U537" s="45"/>
      <c r="V537" s="45"/>
      <c r="W537" s="38"/>
    </row>
    <row r="538" spans="1:23">
      <c r="A538" s="45" t="str">
        <f>_xlfn.TEXTJOIN("",TRUE,Input!$B$2,ROW(My_Audit!A537))</f>
        <v>XX537</v>
      </c>
      <c r="B538" s="45" t="str">
        <f>_xlfn.TEXTJOIN("-",TRUE,"ITD",Input!$A$2,A538)</f>
        <v>ITD-SHRXXX-XX537</v>
      </c>
      <c r="C538" s="45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46" t="str" cm="1">
        <f t="array" ref="D538">IFERROR(_xlfn.LET(
_xlpm.CSVVal,_xlfn.XLOOKUP($A538,CSV!$A:$A,CSV!C:C,""),
_xlpm.MacVal,_xlfn.XLOOKUP($A538,Output_Mac!$A:$A,Output_Mac!D:D,""),
_xlpm.MyAuditVal,_xlfn.XLOOKUP($A538,My_Audit!$A:$A,My_Audit!C:C,""),
_xlfn.IFS(_xlpm.MyAuditVal&lt;&gt;"",UPPER(_xlpm.MyAuditVal),_xlpm.MacVal&lt;&gt;"",_xlpm.MacVal,_xlpm.CSVVal&lt;&gt;"",_xlpm.CSVVal
)),"")</f>
        <v/>
      </c>
      <c r="E538" s="46" t="str" cm="1">
        <f t="array" ref="E538">IFERROR(_xlfn.LET(
_xlpm.CSVVal,_xlfn.XLOOKUP($A538,CSV!$A:$A,CSV!E:E,""),
_xlpm.MacVal,_xlfn.XLOOKUP($A538,Output_Mac!$A:$A,Output_Mac!C:C,""),
_xlpm.MyAuditVal,_xlfn.XLOOKUP($A538,My_Audit!$A:$A,My_Audit!D:D,""),
_xlfn.IFS(_xlpm.MyAuditVal&lt;&gt;"",_xlpm.MyAuditVal,_xlpm.MacVal&lt;&gt;"",_xlpm.MacVal,_xlpm.CSVVal&lt;&gt;"",_xlpm.CSVVal
)),"")</f>
        <v/>
      </c>
      <c r="F538" s="45" t="str" cm="1">
        <f t="array" ref="F538">IFERROR(_xlfn.LET(
_xlpm.CSVVal,_xlfn.XLOOKUP($A538,CSV!$A:$A,CSV!F:F,""),
_xlpm.MacVal,_xlfn.XLOOKUP($A538,Output_Mac!$A:$A,Output_Mac!F:F,""),
_xlpm.MyAuditVal,_xlfn.XLOOKUP($A538,My_Audit!$A:$A,My_Audit!E:E,""),
_xlfn.IFS(_xlpm.MyAuditVal&lt;&gt;"",_xlpm.MyAuditVal,_xlpm.MacVal&lt;&gt;"",_xlpm.MacVal,_xlpm.CSVVal&lt;&gt;"",PROPER(_xlpm.CSVVal)
)),"")</f>
        <v/>
      </c>
      <c r="G538" s="45" t="str" cm="1">
        <f t="array" ref="G538">IFERROR(_xlfn.LET(
_xlpm.CSVVal,_xlfn.XLOOKUP($A538,CSV!$A:$A,CSV!G:G,""),
_xlpm.MacVal,_xlfn.XLOOKUP($A538,Output_Mac!$A:$A,Output_Mac!H:H,""),
_xlpm.MyAuditVal,_xlfn.XLOOKUP($A538,My_Audit!$A:$A,My_Audit!F:F,""),
_xlfn.IFS(_xlpm.MyAuditVal&lt;&gt;"",_xlpm.MyAuditVal,_xlpm.MacVal&lt;&gt;"",_xlpm.MacVal,_xlpm.CSVVal&lt;&gt;"",_xlpm.CSVVal
)),"")</f>
        <v/>
      </c>
      <c r="H538" s="45" t="str">
        <f>_xlfn.XLOOKUP(A538,Output_Mac!A:A,Output_Mac!I:I,"")</f>
        <v/>
      </c>
      <c r="I538" s="45" t="str" cm="1">
        <f t="array" ref="I538">IFERROR(_xlfn.LET(
_xlpm.CSVVal,_xlfn.XLOOKUP($A538,CSV!$A:$A,CSV!H:H,""),
_xlpm.MacVal,_xlfn.XLOOKUP($A538,Output_Mac!$A:$A,Output_Mac!J:J,""),
_xlpm.MyAuditVal,_xlfn.XLOOKUP($A538,My_Audit!$A:$A,My_Audit!H:H,""),
_xlfn.IFS(_xlpm.MyAuditVal&lt;&gt;"",UPPER(_xlpm.MyAuditVal),_xlpm.MacVal&lt;&gt;"",_xlpm.MacVal,_xlpm.CSVVal&lt;&gt;"",_xlpm.CSVVal
)),"")</f>
        <v/>
      </c>
      <c r="J538" s="45" t="str" cm="1">
        <f t="array" ref="J538">IFERROR(_xlfn.LET(
_xlpm.CSVVal,_xlfn.XLOOKUP($A538,CSV!$A:$A,CSV!J:J,""),
_xlpm.MacVal,_xlfn.XLOOKUP($A538,Output_Mac!$A:$A,Output_Mac!K:K,""),
_xlpm.MyAuditVal,_xlfn.XLOOKUP($A538,My_Audit!$A:$A,My_Audit!I:I,""),
_xlfn.IFS(_xlpm.MyAuditVal&lt;&gt;"",UPPER(_xlpm.MyAuditVal),_xlpm.MacVal&lt;&gt;"",_xlpm.MacVal,_xlpm.CSVVal&lt;&gt;"",_xlpm.CSVVal
)),"")</f>
        <v/>
      </c>
      <c r="K538" s="45" t="str" cm="1">
        <f t="array" ref="K538">IFERROR(_xlfn.LET(
_xlpm.CSVVal,_xlfn.XLOOKUP($A538,CSV!$A:$A,CSV!N:N,""),
_xlpm.MacVal,_xlfn.XLOOKUP($A538,Output_Mac!$A:$A,Output_Mac!L:L,""),
_xlpm.MyAuditVal,_xlfn.XLOOKUP($A538,My_Audit!$A:$A,My_Audit!J:J,""),
_xlfn.IFS(_xlpm.MyAuditVal&lt;&gt;"",UPPER(_xlpm.MyAuditVal),_xlpm.MacVal&lt;&gt;"",_xlpm.MacVal,_xlpm.CSVVal&lt;&gt;"",_xlpm.CSVVal
)),"")</f>
        <v/>
      </c>
      <c r="L538" s="45" t="str" cm="1">
        <f t="array" ref="L538">IFERROR(_xlfn.LET(
_xlpm.CSVVal,_xlfn.XLOOKUP($A538,CSV!$A:$A,CSV!P:P,""),
_xlpm.MacVal,_xlfn.XLOOKUP($A538,Output_Mac!$A:$A,Output_Mac!M:M,""),
_xlpm.MyAuditVal,_xlfn.XLOOKUP($A538,My_Audit!$A:$A,My_Audit!K:K,""),
_xlfn.IFS(_xlpm.MyAuditVal&lt;&gt;"",UPPER(_xlpm.MyAuditVal),_xlpm.MacVal&lt;&gt;"",_xlpm.MacVal,_xlpm.CSVVal&lt;&gt;"",_xlpm.CSVVal
)),"")</f>
        <v/>
      </c>
      <c r="M538" s="45" t="str">
        <f>_xlfn.LET(
    _xlpm.CSVVal, _xlfn.XLOOKUP($A538, CSV!$A:$A, CSV!AE:AE, ""),
    _xlpm.MacVal, _xlfn.XLOOKUP($A538, Output_Mac!$A:$A, Output_Mac!S:S, ""),
    _xlpm.MyAuditVal, _xlfn.XLOOKUP($A538, My_Audit!$A:$A, My_Audit!N:N, ""),
    _xlfn.TEXTJOIN(", ", TRUE, _xlpm.MyAuditVal, _xlpm.MacVal, _xlpm.CSVVal)
)</f>
        <v/>
      </c>
      <c r="N538" s="45" t="str" cm="1">
        <f t="array" ref="N538">IFERROR(_xlfn.LET(
_xlpm.CSVVal,_xlfn.XLOOKUP($A538,CSV!$A:$A,CSV!AG:AG,""),
_xlpm.MacVal,_xlfn.XLOOKUP($A538,Output_Mac!$A:$A,Output_Mac!U:U,""),
_xlpm.MyAuditVal,_xlfn.XLOOKUP($A538,My_Audit!$A:$A,My_Audit!O:O,""),
_xlfn.IFS(_xlpm.MyAuditVal&lt;&gt;"",UPPER(_xlpm.MyAuditVal),_xlpm.MacVal&lt;&gt;"",_xlpm.MacVal,_xlpm.CSVVal&lt;&gt;"",_xlpm.CSVVal
)),"")</f>
        <v/>
      </c>
      <c r="O538" s="45"/>
      <c r="P538" s="45"/>
      <c r="Q538" s="46" t="str">
        <f>IF(LEFT(N538,4)="Pass","Nist SP 800-88",My_Audit!R538)&amp;""</f>
        <v/>
      </c>
      <c r="R538" s="45"/>
      <c r="S538" s="45"/>
      <c r="T538" s="46" t="str">
        <f>_xlfn.XLOOKUP(E538,Models!I:I,Models!J:J,"")</f>
        <v/>
      </c>
      <c r="U538" s="45"/>
      <c r="V538" s="45"/>
      <c r="W538" s="38"/>
    </row>
    <row r="539" spans="1:23">
      <c r="A539" s="45" t="str">
        <f>_xlfn.TEXTJOIN("",TRUE,Input!$B$2,ROW(My_Audit!A538))</f>
        <v>XX538</v>
      </c>
      <c r="B539" s="45" t="str">
        <f>_xlfn.TEXTJOIN("-",TRUE,"ITD",Input!$A$2,A539)</f>
        <v>ITD-SHRXXX-XX538</v>
      </c>
      <c r="C539" s="45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46" t="str" cm="1">
        <f t="array" ref="D539">IFERROR(_xlfn.LET(
_xlpm.CSVVal,_xlfn.XLOOKUP($A539,CSV!$A:$A,CSV!C:C,""),
_xlpm.MacVal,_xlfn.XLOOKUP($A539,Output_Mac!$A:$A,Output_Mac!D:D,""),
_xlpm.MyAuditVal,_xlfn.XLOOKUP($A539,My_Audit!$A:$A,My_Audit!C:C,""),
_xlfn.IFS(_xlpm.MyAuditVal&lt;&gt;"",UPPER(_xlpm.MyAuditVal),_xlpm.MacVal&lt;&gt;"",_xlpm.MacVal,_xlpm.CSVVal&lt;&gt;"",_xlpm.CSVVal
)),"")</f>
        <v/>
      </c>
      <c r="E539" s="46" t="str" cm="1">
        <f t="array" ref="E539">IFERROR(_xlfn.LET(
_xlpm.CSVVal,_xlfn.XLOOKUP($A539,CSV!$A:$A,CSV!E:E,""),
_xlpm.MacVal,_xlfn.XLOOKUP($A539,Output_Mac!$A:$A,Output_Mac!C:C,""),
_xlpm.MyAuditVal,_xlfn.XLOOKUP($A539,My_Audit!$A:$A,My_Audit!D:D,""),
_xlfn.IFS(_xlpm.MyAuditVal&lt;&gt;"",_xlpm.MyAuditVal,_xlpm.MacVal&lt;&gt;"",_xlpm.MacVal,_xlpm.CSVVal&lt;&gt;"",_xlpm.CSVVal
)),"")</f>
        <v/>
      </c>
      <c r="F539" s="45" t="str" cm="1">
        <f t="array" ref="F539">IFERROR(_xlfn.LET(
_xlpm.CSVVal,_xlfn.XLOOKUP($A539,CSV!$A:$A,CSV!F:F,""),
_xlpm.MacVal,_xlfn.XLOOKUP($A539,Output_Mac!$A:$A,Output_Mac!F:F,""),
_xlpm.MyAuditVal,_xlfn.XLOOKUP($A539,My_Audit!$A:$A,My_Audit!E:E,""),
_xlfn.IFS(_xlpm.MyAuditVal&lt;&gt;"",_xlpm.MyAuditVal,_xlpm.MacVal&lt;&gt;"",_xlpm.MacVal,_xlpm.CSVVal&lt;&gt;"",PROPER(_xlpm.CSVVal)
)),"")</f>
        <v/>
      </c>
      <c r="G539" s="45" t="str" cm="1">
        <f t="array" ref="G539">IFERROR(_xlfn.LET(
_xlpm.CSVVal,_xlfn.XLOOKUP($A539,CSV!$A:$A,CSV!G:G,""),
_xlpm.MacVal,_xlfn.XLOOKUP($A539,Output_Mac!$A:$A,Output_Mac!H:H,""),
_xlpm.MyAuditVal,_xlfn.XLOOKUP($A539,My_Audit!$A:$A,My_Audit!F:F,""),
_xlfn.IFS(_xlpm.MyAuditVal&lt;&gt;"",_xlpm.MyAuditVal,_xlpm.MacVal&lt;&gt;"",_xlpm.MacVal,_xlpm.CSVVal&lt;&gt;"",_xlpm.CSVVal
)),"")</f>
        <v/>
      </c>
      <c r="H539" s="45" t="str">
        <f>_xlfn.XLOOKUP(A539,Output_Mac!A:A,Output_Mac!I:I,"")</f>
        <v/>
      </c>
      <c r="I539" s="45" t="str" cm="1">
        <f t="array" ref="I539">IFERROR(_xlfn.LET(
_xlpm.CSVVal,_xlfn.XLOOKUP($A539,CSV!$A:$A,CSV!H:H,""),
_xlpm.MacVal,_xlfn.XLOOKUP($A539,Output_Mac!$A:$A,Output_Mac!J:J,""),
_xlpm.MyAuditVal,_xlfn.XLOOKUP($A539,My_Audit!$A:$A,My_Audit!H:H,""),
_xlfn.IFS(_xlpm.MyAuditVal&lt;&gt;"",UPPER(_xlpm.MyAuditVal),_xlpm.MacVal&lt;&gt;"",_xlpm.MacVal,_xlpm.CSVVal&lt;&gt;"",_xlpm.CSVVal
)),"")</f>
        <v/>
      </c>
      <c r="J539" s="45" t="str" cm="1">
        <f t="array" ref="J539">IFERROR(_xlfn.LET(
_xlpm.CSVVal,_xlfn.XLOOKUP($A539,CSV!$A:$A,CSV!J:J,""),
_xlpm.MacVal,_xlfn.XLOOKUP($A539,Output_Mac!$A:$A,Output_Mac!K:K,""),
_xlpm.MyAuditVal,_xlfn.XLOOKUP($A539,My_Audit!$A:$A,My_Audit!I:I,""),
_xlfn.IFS(_xlpm.MyAuditVal&lt;&gt;"",UPPER(_xlpm.MyAuditVal),_xlpm.MacVal&lt;&gt;"",_xlpm.MacVal,_xlpm.CSVVal&lt;&gt;"",_xlpm.CSVVal
)),"")</f>
        <v/>
      </c>
      <c r="K539" s="45" t="str" cm="1">
        <f t="array" ref="K539">IFERROR(_xlfn.LET(
_xlpm.CSVVal,_xlfn.XLOOKUP($A539,CSV!$A:$A,CSV!N:N,""),
_xlpm.MacVal,_xlfn.XLOOKUP($A539,Output_Mac!$A:$A,Output_Mac!L:L,""),
_xlpm.MyAuditVal,_xlfn.XLOOKUP($A539,My_Audit!$A:$A,My_Audit!J:J,""),
_xlfn.IFS(_xlpm.MyAuditVal&lt;&gt;"",UPPER(_xlpm.MyAuditVal),_xlpm.MacVal&lt;&gt;"",_xlpm.MacVal,_xlpm.CSVVal&lt;&gt;"",_xlpm.CSVVal
)),"")</f>
        <v/>
      </c>
      <c r="L539" s="45" t="str" cm="1">
        <f t="array" ref="L539">IFERROR(_xlfn.LET(
_xlpm.CSVVal,_xlfn.XLOOKUP($A539,CSV!$A:$A,CSV!P:P,""),
_xlpm.MacVal,_xlfn.XLOOKUP($A539,Output_Mac!$A:$A,Output_Mac!M:M,""),
_xlpm.MyAuditVal,_xlfn.XLOOKUP($A539,My_Audit!$A:$A,My_Audit!K:K,""),
_xlfn.IFS(_xlpm.MyAuditVal&lt;&gt;"",UPPER(_xlpm.MyAuditVal),_xlpm.MacVal&lt;&gt;"",_xlpm.MacVal,_xlpm.CSVVal&lt;&gt;"",_xlpm.CSVVal
)),"")</f>
        <v/>
      </c>
      <c r="M539" s="45" t="str">
        <f>_xlfn.LET(
    _xlpm.CSVVal, _xlfn.XLOOKUP($A539, CSV!$A:$A, CSV!AE:AE, ""),
    _xlpm.MacVal, _xlfn.XLOOKUP($A539, Output_Mac!$A:$A, Output_Mac!S:S, ""),
    _xlpm.MyAuditVal, _xlfn.XLOOKUP($A539, My_Audit!$A:$A, My_Audit!N:N, ""),
    _xlfn.TEXTJOIN(", ", TRUE, _xlpm.MyAuditVal, _xlpm.MacVal, _xlpm.CSVVal)
)</f>
        <v/>
      </c>
      <c r="N539" s="45" t="str" cm="1">
        <f t="array" ref="N539">IFERROR(_xlfn.LET(
_xlpm.CSVVal,_xlfn.XLOOKUP($A539,CSV!$A:$A,CSV!AG:AG,""),
_xlpm.MacVal,_xlfn.XLOOKUP($A539,Output_Mac!$A:$A,Output_Mac!U:U,""),
_xlpm.MyAuditVal,_xlfn.XLOOKUP($A539,My_Audit!$A:$A,My_Audit!O:O,""),
_xlfn.IFS(_xlpm.MyAuditVal&lt;&gt;"",UPPER(_xlpm.MyAuditVal),_xlpm.MacVal&lt;&gt;"",_xlpm.MacVal,_xlpm.CSVVal&lt;&gt;"",_xlpm.CSVVal
)),"")</f>
        <v/>
      </c>
      <c r="O539" s="45"/>
      <c r="P539" s="45"/>
      <c r="Q539" s="46" t="str">
        <f>IF(LEFT(N539,4)="Pass","Nist SP 800-88",My_Audit!R539)&amp;""</f>
        <v/>
      </c>
      <c r="R539" s="45"/>
      <c r="S539" s="45"/>
      <c r="T539" s="46" t="str">
        <f>_xlfn.XLOOKUP(E539,Models!I:I,Models!J:J,"")</f>
        <v/>
      </c>
      <c r="U539" s="45"/>
      <c r="V539" s="45"/>
      <c r="W539" s="38"/>
    </row>
    <row r="540" spans="1:23">
      <c r="A540" s="45" t="str">
        <f>_xlfn.TEXTJOIN("",TRUE,Input!$B$2,ROW(My_Audit!A539))</f>
        <v>XX539</v>
      </c>
      <c r="B540" s="45" t="str">
        <f>_xlfn.TEXTJOIN("-",TRUE,"ITD",Input!$A$2,A540)</f>
        <v>ITD-SHRXXX-XX539</v>
      </c>
      <c r="C540" s="45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46" t="str" cm="1">
        <f t="array" ref="D540">IFERROR(_xlfn.LET(
_xlpm.CSVVal,_xlfn.XLOOKUP($A540,CSV!$A:$A,CSV!C:C,""),
_xlpm.MacVal,_xlfn.XLOOKUP($A540,Output_Mac!$A:$A,Output_Mac!D:D,""),
_xlpm.MyAuditVal,_xlfn.XLOOKUP($A540,My_Audit!$A:$A,My_Audit!C:C,""),
_xlfn.IFS(_xlpm.MyAuditVal&lt;&gt;"",UPPER(_xlpm.MyAuditVal),_xlpm.MacVal&lt;&gt;"",_xlpm.MacVal,_xlpm.CSVVal&lt;&gt;"",_xlpm.CSVVal
)),"")</f>
        <v/>
      </c>
      <c r="E540" s="46" t="str" cm="1">
        <f t="array" ref="E540">IFERROR(_xlfn.LET(
_xlpm.CSVVal,_xlfn.XLOOKUP($A540,CSV!$A:$A,CSV!E:E,""),
_xlpm.MacVal,_xlfn.XLOOKUP($A540,Output_Mac!$A:$A,Output_Mac!C:C,""),
_xlpm.MyAuditVal,_xlfn.XLOOKUP($A540,My_Audit!$A:$A,My_Audit!D:D,""),
_xlfn.IFS(_xlpm.MyAuditVal&lt;&gt;"",_xlpm.MyAuditVal,_xlpm.MacVal&lt;&gt;"",_xlpm.MacVal,_xlpm.CSVVal&lt;&gt;"",_xlpm.CSVVal
)),"")</f>
        <v/>
      </c>
      <c r="F540" s="45" t="str" cm="1">
        <f t="array" ref="F540">IFERROR(_xlfn.LET(
_xlpm.CSVVal,_xlfn.XLOOKUP($A540,CSV!$A:$A,CSV!F:F,""),
_xlpm.MacVal,_xlfn.XLOOKUP($A540,Output_Mac!$A:$A,Output_Mac!F:F,""),
_xlpm.MyAuditVal,_xlfn.XLOOKUP($A540,My_Audit!$A:$A,My_Audit!E:E,""),
_xlfn.IFS(_xlpm.MyAuditVal&lt;&gt;"",_xlpm.MyAuditVal,_xlpm.MacVal&lt;&gt;"",_xlpm.MacVal,_xlpm.CSVVal&lt;&gt;"",PROPER(_xlpm.CSVVal)
)),"")</f>
        <v/>
      </c>
      <c r="G540" s="45" t="str" cm="1">
        <f t="array" ref="G540">IFERROR(_xlfn.LET(
_xlpm.CSVVal,_xlfn.XLOOKUP($A540,CSV!$A:$A,CSV!G:G,""),
_xlpm.MacVal,_xlfn.XLOOKUP($A540,Output_Mac!$A:$A,Output_Mac!H:H,""),
_xlpm.MyAuditVal,_xlfn.XLOOKUP($A540,My_Audit!$A:$A,My_Audit!F:F,""),
_xlfn.IFS(_xlpm.MyAuditVal&lt;&gt;"",_xlpm.MyAuditVal,_xlpm.MacVal&lt;&gt;"",_xlpm.MacVal,_xlpm.CSVVal&lt;&gt;"",_xlpm.CSVVal
)),"")</f>
        <v/>
      </c>
      <c r="H540" s="45" t="str">
        <f>_xlfn.XLOOKUP(A540,Output_Mac!A:A,Output_Mac!I:I,"")</f>
        <v/>
      </c>
      <c r="I540" s="45" t="str" cm="1">
        <f t="array" ref="I540">IFERROR(_xlfn.LET(
_xlpm.CSVVal,_xlfn.XLOOKUP($A540,CSV!$A:$A,CSV!H:H,""),
_xlpm.MacVal,_xlfn.XLOOKUP($A540,Output_Mac!$A:$A,Output_Mac!J:J,""),
_xlpm.MyAuditVal,_xlfn.XLOOKUP($A540,My_Audit!$A:$A,My_Audit!H:H,""),
_xlfn.IFS(_xlpm.MyAuditVal&lt;&gt;"",UPPER(_xlpm.MyAuditVal),_xlpm.MacVal&lt;&gt;"",_xlpm.MacVal,_xlpm.CSVVal&lt;&gt;"",_xlpm.CSVVal
)),"")</f>
        <v/>
      </c>
      <c r="J540" s="45" t="str" cm="1">
        <f t="array" ref="J540">IFERROR(_xlfn.LET(
_xlpm.CSVVal,_xlfn.XLOOKUP($A540,CSV!$A:$A,CSV!J:J,""),
_xlpm.MacVal,_xlfn.XLOOKUP($A540,Output_Mac!$A:$A,Output_Mac!K:K,""),
_xlpm.MyAuditVal,_xlfn.XLOOKUP($A540,My_Audit!$A:$A,My_Audit!I:I,""),
_xlfn.IFS(_xlpm.MyAuditVal&lt;&gt;"",UPPER(_xlpm.MyAuditVal),_xlpm.MacVal&lt;&gt;"",_xlpm.MacVal,_xlpm.CSVVal&lt;&gt;"",_xlpm.CSVVal
)),"")</f>
        <v/>
      </c>
      <c r="K540" s="45" t="str" cm="1">
        <f t="array" ref="K540">IFERROR(_xlfn.LET(
_xlpm.CSVVal,_xlfn.XLOOKUP($A540,CSV!$A:$A,CSV!N:N,""),
_xlpm.MacVal,_xlfn.XLOOKUP($A540,Output_Mac!$A:$A,Output_Mac!L:L,""),
_xlpm.MyAuditVal,_xlfn.XLOOKUP($A540,My_Audit!$A:$A,My_Audit!J:J,""),
_xlfn.IFS(_xlpm.MyAuditVal&lt;&gt;"",UPPER(_xlpm.MyAuditVal),_xlpm.MacVal&lt;&gt;"",_xlpm.MacVal,_xlpm.CSVVal&lt;&gt;"",_xlpm.CSVVal
)),"")</f>
        <v/>
      </c>
      <c r="L540" s="45" t="str" cm="1">
        <f t="array" ref="L540">IFERROR(_xlfn.LET(
_xlpm.CSVVal,_xlfn.XLOOKUP($A540,CSV!$A:$A,CSV!P:P,""),
_xlpm.MacVal,_xlfn.XLOOKUP($A540,Output_Mac!$A:$A,Output_Mac!M:M,""),
_xlpm.MyAuditVal,_xlfn.XLOOKUP($A540,My_Audit!$A:$A,My_Audit!K:K,""),
_xlfn.IFS(_xlpm.MyAuditVal&lt;&gt;"",UPPER(_xlpm.MyAuditVal),_xlpm.MacVal&lt;&gt;"",_xlpm.MacVal,_xlpm.CSVVal&lt;&gt;"",_xlpm.CSVVal
)),"")</f>
        <v/>
      </c>
      <c r="M540" s="45" t="str">
        <f>_xlfn.LET(
    _xlpm.CSVVal, _xlfn.XLOOKUP($A540, CSV!$A:$A, CSV!AE:AE, ""),
    _xlpm.MacVal, _xlfn.XLOOKUP($A540, Output_Mac!$A:$A, Output_Mac!S:S, ""),
    _xlpm.MyAuditVal, _xlfn.XLOOKUP($A540, My_Audit!$A:$A, My_Audit!N:N, ""),
    _xlfn.TEXTJOIN(", ", TRUE, _xlpm.MyAuditVal, _xlpm.MacVal, _xlpm.CSVVal)
)</f>
        <v/>
      </c>
      <c r="N540" s="45" t="str" cm="1">
        <f t="array" ref="N540">IFERROR(_xlfn.LET(
_xlpm.CSVVal,_xlfn.XLOOKUP($A540,CSV!$A:$A,CSV!AG:AG,""),
_xlpm.MacVal,_xlfn.XLOOKUP($A540,Output_Mac!$A:$A,Output_Mac!U:U,""),
_xlpm.MyAuditVal,_xlfn.XLOOKUP($A540,My_Audit!$A:$A,My_Audit!O:O,""),
_xlfn.IFS(_xlpm.MyAuditVal&lt;&gt;"",UPPER(_xlpm.MyAuditVal),_xlpm.MacVal&lt;&gt;"",_xlpm.MacVal,_xlpm.CSVVal&lt;&gt;"",_xlpm.CSVVal
)),"")</f>
        <v/>
      </c>
      <c r="O540" s="45"/>
      <c r="P540" s="45"/>
      <c r="Q540" s="46" t="str">
        <f>IF(LEFT(N540,4)="Pass","Nist SP 800-88",My_Audit!R540)&amp;""</f>
        <v/>
      </c>
      <c r="R540" s="45"/>
      <c r="S540" s="45"/>
      <c r="T540" s="46" t="str">
        <f>_xlfn.XLOOKUP(E540,Models!I:I,Models!J:J,"")</f>
        <v/>
      </c>
      <c r="U540" s="45"/>
      <c r="V540" s="45"/>
      <c r="W540" s="38"/>
    </row>
    <row r="541" spans="1:23">
      <c r="A541" s="45" t="str">
        <f>_xlfn.TEXTJOIN("",TRUE,Input!$B$2,ROW(My_Audit!A540))</f>
        <v>XX540</v>
      </c>
      <c r="B541" s="45" t="str">
        <f>_xlfn.TEXTJOIN("-",TRUE,"ITD",Input!$A$2,A541)</f>
        <v>ITD-SHRXXX-XX540</v>
      </c>
      <c r="C541" s="45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46" t="str" cm="1">
        <f t="array" ref="D541">IFERROR(_xlfn.LET(
_xlpm.CSVVal,_xlfn.XLOOKUP($A541,CSV!$A:$A,CSV!C:C,""),
_xlpm.MacVal,_xlfn.XLOOKUP($A541,Output_Mac!$A:$A,Output_Mac!D:D,""),
_xlpm.MyAuditVal,_xlfn.XLOOKUP($A541,My_Audit!$A:$A,My_Audit!C:C,""),
_xlfn.IFS(_xlpm.MyAuditVal&lt;&gt;"",UPPER(_xlpm.MyAuditVal),_xlpm.MacVal&lt;&gt;"",_xlpm.MacVal,_xlpm.CSVVal&lt;&gt;"",_xlpm.CSVVal
)),"")</f>
        <v/>
      </c>
      <c r="E541" s="46" t="str" cm="1">
        <f t="array" ref="E541">IFERROR(_xlfn.LET(
_xlpm.CSVVal,_xlfn.XLOOKUP($A541,CSV!$A:$A,CSV!E:E,""),
_xlpm.MacVal,_xlfn.XLOOKUP($A541,Output_Mac!$A:$A,Output_Mac!C:C,""),
_xlpm.MyAuditVal,_xlfn.XLOOKUP($A541,My_Audit!$A:$A,My_Audit!D:D,""),
_xlfn.IFS(_xlpm.MyAuditVal&lt;&gt;"",_xlpm.MyAuditVal,_xlpm.MacVal&lt;&gt;"",_xlpm.MacVal,_xlpm.CSVVal&lt;&gt;"",_xlpm.CSVVal
)),"")</f>
        <v/>
      </c>
      <c r="F541" s="45" t="str" cm="1">
        <f t="array" ref="F541">IFERROR(_xlfn.LET(
_xlpm.CSVVal,_xlfn.XLOOKUP($A541,CSV!$A:$A,CSV!F:F,""),
_xlpm.MacVal,_xlfn.XLOOKUP($A541,Output_Mac!$A:$A,Output_Mac!F:F,""),
_xlpm.MyAuditVal,_xlfn.XLOOKUP($A541,My_Audit!$A:$A,My_Audit!E:E,""),
_xlfn.IFS(_xlpm.MyAuditVal&lt;&gt;"",_xlpm.MyAuditVal,_xlpm.MacVal&lt;&gt;"",_xlpm.MacVal,_xlpm.CSVVal&lt;&gt;"",PROPER(_xlpm.CSVVal)
)),"")</f>
        <v/>
      </c>
      <c r="G541" s="45" t="str" cm="1">
        <f t="array" ref="G541">IFERROR(_xlfn.LET(
_xlpm.CSVVal,_xlfn.XLOOKUP($A541,CSV!$A:$A,CSV!G:G,""),
_xlpm.MacVal,_xlfn.XLOOKUP($A541,Output_Mac!$A:$A,Output_Mac!H:H,""),
_xlpm.MyAuditVal,_xlfn.XLOOKUP($A541,My_Audit!$A:$A,My_Audit!F:F,""),
_xlfn.IFS(_xlpm.MyAuditVal&lt;&gt;"",_xlpm.MyAuditVal,_xlpm.MacVal&lt;&gt;"",_xlpm.MacVal,_xlpm.CSVVal&lt;&gt;"",_xlpm.CSVVal
)),"")</f>
        <v/>
      </c>
      <c r="H541" s="45" t="str">
        <f>_xlfn.XLOOKUP(A541,Output_Mac!A:A,Output_Mac!I:I,"")</f>
        <v/>
      </c>
      <c r="I541" s="45" t="str" cm="1">
        <f t="array" ref="I541">IFERROR(_xlfn.LET(
_xlpm.CSVVal,_xlfn.XLOOKUP($A541,CSV!$A:$A,CSV!H:H,""),
_xlpm.MacVal,_xlfn.XLOOKUP($A541,Output_Mac!$A:$A,Output_Mac!J:J,""),
_xlpm.MyAuditVal,_xlfn.XLOOKUP($A541,My_Audit!$A:$A,My_Audit!H:H,""),
_xlfn.IFS(_xlpm.MyAuditVal&lt;&gt;"",UPPER(_xlpm.MyAuditVal),_xlpm.MacVal&lt;&gt;"",_xlpm.MacVal,_xlpm.CSVVal&lt;&gt;"",_xlpm.CSVVal
)),"")</f>
        <v/>
      </c>
      <c r="J541" s="45" t="str" cm="1">
        <f t="array" ref="J541">IFERROR(_xlfn.LET(
_xlpm.CSVVal,_xlfn.XLOOKUP($A541,CSV!$A:$A,CSV!J:J,""),
_xlpm.MacVal,_xlfn.XLOOKUP($A541,Output_Mac!$A:$A,Output_Mac!K:K,""),
_xlpm.MyAuditVal,_xlfn.XLOOKUP($A541,My_Audit!$A:$A,My_Audit!I:I,""),
_xlfn.IFS(_xlpm.MyAuditVal&lt;&gt;"",UPPER(_xlpm.MyAuditVal),_xlpm.MacVal&lt;&gt;"",_xlpm.MacVal,_xlpm.CSVVal&lt;&gt;"",_xlpm.CSVVal
)),"")</f>
        <v/>
      </c>
      <c r="K541" s="45" t="str" cm="1">
        <f t="array" ref="K541">IFERROR(_xlfn.LET(
_xlpm.CSVVal,_xlfn.XLOOKUP($A541,CSV!$A:$A,CSV!N:N,""),
_xlpm.MacVal,_xlfn.XLOOKUP($A541,Output_Mac!$A:$A,Output_Mac!L:L,""),
_xlpm.MyAuditVal,_xlfn.XLOOKUP($A541,My_Audit!$A:$A,My_Audit!J:J,""),
_xlfn.IFS(_xlpm.MyAuditVal&lt;&gt;"",UPPER(_xlpm.MyAuditVal),_xlpm.MacVal&lt;&gt;"",_xlpm.MacVal,_xlpm.CSVVal&lt;&gt;"",_xlpm.CSVVal
)),"")</f>
        <v/>
      </c>
      <c r="L541" s="45" t="str" cm="1">
        <f t="array" ref="L541">IFERROR(_xlfn.LET(
_xlpm.CSVVal,_xlfn.XLOOKUP($A541,CSV!$A:$A,CSV!P:P,""),
_xlpm.MacVal,_xlfn.XLOOKUP($A541,Output_Mac!$A:$A,Output_Mac!M:M,""),
_xlpm.MyAuditVal,_xlfn.XLOOKUP($A541,My_Audit!$A:$A,My_Audit!K:K,""),
_xlfn.IFS(_xlpm.MyAuditVal&lt;&gt;"",UPPER(_xlpm.MyAuditVal),_xlpm.MacVal&lt;&gt;"",_xlpm.MacVal,_xlpm.CSVVal&lt;&gt;"",_xlpm.CSVVal
)),"")</f>
        <v/>
      </c>
      <c r="M541" s="45" t="str">
        <f>_xlfn.LET(
    _xlpm.CSVVal, _xlfn.XLOOKUP($A541, CSV!$A:$A, CSV!AE:AE, ""),
    _xlpm.MacVal, _xlfn.XLOOKUP($A541, Output_Mac!$A:$A, Output_Mac!S:S, ""),
    _xlpm.MyAuditVal, _xlfn.XLOOKUP($A541, My_Audit!$A:$A, My_Audit!N:N, ""),
    _xlfn.TEXTJOIN(", ", TRUE, _xlpm.MyAuditVal, _xlpm.MacVal, _xlpm.CSVVal)
)</f>
        <v/>
      </c>
      <c r="N541" s="45" t="str" cm="1">
        <f t="array" ref="N541">IFERROR(_xlfn.LET(
_xlpm.CSVVal,_xlfn.XLOOKUP($A541,CSV!$A:$A,CSV!AG:AG,""),
_xlpm.MacVal,_xlfn.XLOOKUP($A541,Output_Mac!$A:$A,Output_Mac!U:U,""),
_xlpm.MyAuditVal,_xlfn.XLOOKUP($A541,My_Audit!$A:$A,My_Audit!O:O,""),
_xlfn.IFS(_xlpm.MyAuditVal&lt;&gt;"",UPPER(_xlpm.MyAuditVal),_xlpm.MacVal&lt;&gt;"",_xlpm.MacVal,_xlpm.CSVVal&lt;&gt;"",_xlpm.CSVVal
)),"")</f>
        <v/>
      </c>
      <c r="O541" s="45"/>
      <c r="P541" s="45"/>
      <c r="Q541" s="46" t="str">
        <f>IF(LEFT(N541,4)="Pass","Nist SP 800-88",My_Audit!R541)&amp;""</f>
        <v/>
      </c>
      <c r="R541" s="45"/>
      <c r="S541" s="45"/>
      <c r="T541" s="46" t="str">
        <f>_xlfn.XLOOKUP(E541,Models!I:I,Models!J:J,"")</f>
        <v/>
      </c>
      <c r="U541" s="45"/>
      <c r="V541" s="45"/>
      <c r="W541" s="38"/>
    </row>
    <row r="542" spans="1:23">
      <c r="A542" s="45" t="str">
        <f>_xlfn.TEXTJOIN("",TRUE,Input!$B$2,ROW(My_Audit!A541))</f>
        <v>XX541</v>
      </c>
      <c r="B542" s="45" t="str">
        <f>_xlfn.TEXTJOIN("-",TRUE,"ITD",Input!$A$2,A542)</f>
        <v>ITD-SHRXXX-XX541</v>
      </c>
      <c r="C542" s="45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46" t="str" cm="1">
        <f t="array" ref="D542">IFERROR(_xlfn.LET(
_xlpm.CSVVal,_xlfn.XLOOKUP($A542,CSV!$A:$A,CSV!C:C,""),
_xlpm.MacVal,_xlfn.XLOOKUP($A542,Output_Mac!$A:$A,Output_Mac!D:D,""),
_xlpm.MyAuditVal,_xlfn.XLOOKUP($A542,My_Audit!$A:$A,My_Audit!C:C,""),
_xlfn.IFS(_xlpm.MyAuditVal&lt;&gt;"",UPPER(_xlpm.MyAuditVal),_xlpm.MacVal&lt;&gt;"",_xlpm.MacVal,_xlpm.CSVVal&lt;&gt;"",_xlpm.CSVVal
)),"")</f>
        <v/>
      </c>
      <c r="E542" s="46" t="str" cm="1">
        <f t="array" ref="E542">IFERROR(_xlfn.LET(
_xlpm.CSVVal,_xlfn.XLOOKUP($A542,CSV!$A:$A,CSV!E:E,""),
_xlpm.MacVal,_xlfn.XLOOKUP($A542,Output_Mac!$A:$A,Output_Mac!C:C,""),
_xlpm.MyAuditVal,_xlfn.XLOOKUP($A542,My_Audit!$A:$A,My_Audit!D:D,""),
_xlfn.IFS(_xlpm.MyAuditVal&lt;&gt;"",_xlpm.MyAuditVal,_xlpm.MacVal&lt;&gt;"",_xlpm.MacVal,_xlpm.CSVVal&lt;&gt;"",_xlpm.CSVVal
)),"")</f>
        <v/>
      </c>
      <c r="F542" s="45" t="str" cm="1">
        <f t="array" ref="F542">IFERROR(_xlfn.LET(
_xlpm.CSVVal,_xlfn.XLOOKUP($A542,CSV!$A:$A,CSV!F:F,""),
_xlpm.MacVal,_xlfn.XLOOKUP($A542,Output_Mac!$A:$A,Output_Mac!F:F,""),
_xlpm.MyAuditVal,_xlfn.XLOOKUP($A542,My_Audit!$A:$A,My_Audit!E:E,""),
_xlfn.IFS(_xlpm.MyAuditVal&lt;&gt;"",_xlpm.MyAuditVal,_xlpm.MacVal&lt;&gt;"",_xlpm.MacVal,_xlpm.CSVVal&lt;&gt;"",PROPER(_xlpm.CSVVal)
)),"")</f>
        <v/>
      </c>
      <c r="G542" s="45" t="str" cm="1">
        <f t="array" ref="G542">IFERROR(_xlfn.LET(
_xlpm.CSVVal,_xlfn.XLOOKUP($A542,CSV!$A:$A,CSV!G:G,""),
_xlpm.MacVal,_xlfn.XLOOKUP($A542,Output_Mac!$A:$A,Output_Mac!H:H,""),
_xlpm.MyAuditVal,_xlfn.XLOOKUP($A542,My_Audit!$A:$A,My_Audit!F:F,""),
_xlfn.IFS(_xlpm.MyAuditVal&lt;&gt;"",_xlpm.MyAuditVal,_xlpm.MacVal&lt;&gt;"",_xlpm.MacVal,_xlpm.CSVVal&lt;&gt;"",_xlpm.CSVVal
)),"")</f>
        <v/>
      </c>
      <c r="H542" s="45" t="str">
        <f>_xlfn.XLOOKUP(A542,Output_Mac!A:A,Output_Mac!I:I,"")</f>
        <v/>
      </c>
      <c r="I542" s="45" t="str" cm="1">
        <f t="array" ref="I542">IFERROR(_xlfn.LET(
_xlpm.CSVVal,_xlfn.XLOOKUP($A542,CSV!$A:$A,CSV!H:H,""),
_xlpm.MacVal,_xlfn.XLOOKUP($A542,Output_Mac!$A:$A,Output_Mac!J:J,""),
_xlpm.MyAuditVal,_xlfn.XLOOKUP($A542,My_Audit!$A:$A,My_Audit!H:H,""),
_xlfn.IFS(_xlpm.MyAuditVal&lt;&gt;"",UPPER(_xlpm.MyAuditVal),_xlpm.MacVal&lt;&gt;"",_xlpm.MacVal,_xlpm.CSVVal&lt;&gt;"",_xlpm.CSVVal
)),"")</f>
        <v/>
      </c>
      <c r="J542" s="45" t="str" cm="1">
        <f t="array" ref="J542">IFERROR(_xlfn.LET(
_xlpm.CSVVal,_xlfn.XLOOKUP($A542,CSV!$A:$A,CSV!J:J,""),
_xlpm.MacVal,_xlfn.XLOOKUP($A542,Output_Mac!$A:$A,Output_Mac!K:K,""),
_xlpm.MyAuditVal,_xlfn.XLOOKUP($A542,My_Audit!$A:$A,My_Audit!I:I,""),
_xlfn.IFS(_xlpm.MyAuditVal&lt;&gt;"",UPPER(_xlpm.MyAuditVal),_xlpm.MacVal&lt;&gt;"",_xlpm.MacVal,_xlpm.CSVVal&lt;&gt;"",_xlpm.CSVVal
)),"")</f>
        <v/>
      </c>
      <c r="K542" s="45" t="str" cm="1">
        <f t="array" ref="K542">IFERROR(_xlfn.LET(
_xlpm.CSVVal,_xlfn.XLOOKUP($A542,CSV!$A:$A,CSV!N:N,""),
_xlpm.MacVal,_xlfn.XLOOKUP($A542,Output_Mac!$A:$A,Output_Mac!L:L,""),
_xlpm.MyAuditVal,_xlfn.XLOOKUP($A542,My_Audit!$A:$A,My_Audit!J:J,""),
_xlfn.IFS(_xlpm.MyAuditVal&lt;&gt;"",UPPER(_xlpm.MyAuditVal),_xlpm.MacVal&lt;&gt;"",_xlpm.MacVal,_xlpm.CSVVal&lt;&gt;"",_xlpm.CSVVal
)),"")</f>
        <v/>
      </c>
      <c r="L542" s="45" t="str" cm="1">
        <f t="array" ref="L542">IFERROR(_xlfn.LET(
_xlpm.CSVVal,_xlfn.XLOOKUP($A542,CSV!$A:$A,CSV!P:P,""),
_xlpm.MacVal,_xlfn.XLOOKUP($A542,Output_Mac!$A:$A,Output_Mac!M:M,""),
_xlpm.MyAuditVal,_xlfn.XLOOKUP($A542,My_Audit!$A:$A,My_Audit!K:K,""),
_xlfn.IFS(_xlpm.MyAuditVal&lt;&gt;"",UPPER(_xlpm.MyAuditVal),_xlpm.MacVal&lt;&gt;"",_xlpm.MacVal,_xlpm.CSVVal&lt;&gt;"",_xlpm.CSVVal
)),"")</f>
        <v/>
      </c>
      <c r="M542" s="45" t="str">
        <f>_xlfn.LET(
    _xlpm.CSVVal, _xlfn.XLOOKUP($A542, CSV!$A:$A, CSV!AE:AE, ""),
    _xlpm.MacVal, _xlfn.XLOOKUP($A542, Output_Mac!$A:$A, Output_Mac!S:S, ""),
    _xlpm.MyAuditVal, _xlfn.XLOOKUP($A542, My_Audit!$A:$A, My_Audit!N:N, ""),
    _xlfn.TEXTJOIN(", ", TRUE, _xlpm.MyAuditVal, _xlpm.MacVal, _xlpm.CSVVal)
)</f>
        <v/>
      </c>
      <c r="N542" s="45" t="str" cm="1">
        <f t="array" ref="N542">IFERROR(_xlfn.LET(
_xlpm.CSVVal,_xlfn.XLOOKUP($A542,CSV!$A:$A,CSV!AG:AG,""),
_xlpm.MacVal,_xlfn.XLOOKUP($A542,Output_Mac!$A:$A,Output_Mac!U:U,""),
_xlpm.MyAuditVal,_xlfn.XLOOKUP($A542,My_Audit!$A:$A,My_Audit!O:O,""),
_xlfn.IFS(_xlpm.MyAuditVal&lt;&gt;"",UPPER(_xlpm.MyAuditVal),_xlpm.MacVal&lt;&gt;"",_xlpm.MacVal,_xlpm.CSVVal&lt;&gt;"",_xlpm.CSVVal
)),"")</f>
        <v/>
      </c>
      <c r="O542" s="45"/>
      <c r="P542" s="45"/>
      <c r="Q542" s="46" t="str">
        <f>IF(LEFT(N542,4)="Pass","Nist SP 800-88",My_Audit!R542)&amp;""</f>
        <v/>
      </c>
      <c r="R542" s="45"/>
      <c r="S542" s="45"/>
      <c r="T542" s="46" t="str">
        <f>_xlfn.XLOOKUP(E542,Models!I:I,Models!J:J,"")</f>
        <v/>
      </c>
      <c r="U542" s="45"/>
      <c r="V542" s="45"/>
      <c r="W542" s="38"/>
    </row>
    <row r="543" spans="1:23">
      <c r="A543" s="45" t="str">
        <f>_xlfn.TEXTJOIN("",TRUE,Input!$B$2,ROW(My_Audit!A542))</f>
        <v>XX542</v>
      </c>
      <c r="B543" s="45" t="str">
        <f>_xlfn.TEXTJOIN("-",TRUE,"ITD",Input!$A$2,A543)</f>
        <v>ITD-SHRXXX-XX542</v>
      </c>
      <c r="C543" s="45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46" t="str" cm="1">
        <f t="array" ref="D543">IFERROR(_xlfn.LET(
_xlpm.CSVVal,_xlfn.XLOOKUP($A543,CSV!$A:$A,CSV!C:C,""),
_xlpm.MacVal,_xlfn.XLOOKUP($A543,Output_Mac!$A:$A,Output_Mac!D:D,""),
_xlpm.MyAuditVal,_xlfn.XLOOKUP($A543,My_Audit!$A:$A,My_Audit!C:C,""),
_xlfn.IFS(_xlpm.MyAuditVal&lt;&gt;"",UPPER(_xlpm.MyAuditVal),_xlpm.MacVal&lt;&gt;"",_xlpm.MacVal,_xlpm.CSVVal&lt;&gt;"",_xlpm.CSVVal
)),"")</f>
        <v/>
      </c>
      <c r="E543" s="46" t="str" cm="1">
        <f t="array" ref="E543">IFERROR(_xlfn.LET(
_xlpm.CSVVal,_xlfn.XLOOKUP($A543,CSV!$A:$A,CSV!E:E,""),
_xlpm.MacVal,_xlfn.XLOOKUP($A543,Output_Mac!$A:$A,Output_Mac!C:C,""),
_xlpm.MyAuditVal,_xlfn.XLOOKUP($A543,My_Audit!$A:$A,My_Audit!D:D,""),
_xlfn.IFS(_xlpm.MyAuditVal&lt;&gt;"",_xlpm.MyAuditVal,_xlpm.MacVal&lt;&gt;"",_xlpm.MacVal,_xlpm.CSVVal&lt;&gt;"",_xlpm.CSVVal
)),"")</f>
        <v/>
      </c>
      <c r="F543" s="45" t="str" cm="1">
        <f t="array" ref="F543">IFERROR(_xlfn.LET(
_xlpm.CSVVal,_xlfn.XLOOKUP($A543,CSV!$A:$A,CSV!F:F,""),
_xlpm.MacVal,_xlfn.XLOOKUP($A543,Output_Mac!$A:$A,Output_Mac!F:F,""),
_xlpm.MyAuditVal,_xlfn.XLOOKUP($A543,My_Audit!$A:$A,My_Audit!E:E,""),
_xlfn.IFS(_xlpm.MyAuditVal&lt;&gt;"",_xlpm.MyAuditVal,_xlpm.MacVal&lt;&gt;"",_xlpm.MacVal,_xlpm.CSVVal&lt;&gt;"",PROPER(_xlpm.CSVVal)
)),"")</f>
        <v/>
      </c>
      <c r="G543" s="45" t="str" cm="1">
        <f t="array" ref="G543">IFERROR(_xlfn.LET(
_xlpm.CSVVal,_xlfn.XLOOKUP($A543,CSV!$A:$A,CSV!G:G,""),
_xlpm.MacVal,_xlfn.XLOOKUP($A543,Output_Mac!$A:$A,Output_Mac!H:H,""),
_xlpm.MyAuditVal,_xlfn.XLOOKUP($A543,My_Audit!$A:$A,My_Audit!F:F,""),
_xlfn.IFS(_xlpm.MyAuditVal&lt;&gt;"",_xlpm.MyAuditVal,_xlpm.MacVal&lt;&gt;"",_xlpm.MacVal,_xlpm.CSVVal&lt;&gt;"",_xlpm.CSVVal
)),"")</f>
        <v/>
      </c>
      <c r="H543" s="45" t="str">
        <f>_xlfn.XLOOKUP(A543,Output_Mac!A:A,Output_Mac!I:I,"")</f>
        <v/>
      </c>
      <c r="I543" s="45" t="str" cm="1">
        <f t="array" ref="I543">IFERROR(_xlfn.LET(
_xlpm.CSVVal,_xlfn.XLOOKUP($A543,CSV!$A:$A,CSV!H:H,""),
_xlpm.MacVal,_xlfn.XLOOKUP($A543,Output_Mac!$A:$A,Output_Mac!J:J,""),
_xlpm.MyAuditVal,_xlfn.XLOOKUP($A543,My_Audit!$A:$A,My_Audit!H:H,""),
_xlfn.IFS(_xlpm.MyAuditVal&lt;&gt;"",UPPER(_xlpm.MyAuditVal),_xlpm.MacVal&lt;&gt;"",_xlpm.MacVal,_xlpm.CSVVal&lt;&gt;"",_xlpm.CSVVal
)),"")</f>
        <v/>
      </c>
      <c r="J543" s="45" t="str" cm="1">
        <f t="array" ref="J543">IFERROR(_xlfn.LET(
_xlpm.CSVVal,_xlfn.XLOOKUP($A543,CSV!$A:$A,CSV!J:J,""),
_xlpm.MacVal,_xlfn.XLOOKUP($A543,Output_Mac!$A:$A,Output_Mac!K:K,""),
_xlpm.MyAuditVal,_xlfn.XLOOKUP($A543,My_Audit!$A:$A,My_Audit!I:I,""),
_xlfn.IFS(_xlpm.MyAuditVal&lt;&gt;"",UPPER(_xlpm.MyAuditVal),_xlpm.MacVal&lt;&gt;"",_xlpm.MacVal,_xlpm.CSVVal&lt;&gt;"",_xlpm.CSVVal
)),"")</f>
        <v/>
      </c>
      <c r="K543" s="45" t="str" cm="1">
        <f t="array" ref="K543">IFERROR(_xlfn.LET(
_xlpm.CSVVal,_xlfn.XLOOKUP($A543,CSV!$A:$A,CSV!N:N,""),
_xlpm.MacVal,_xlfn.XLOOKUP($A543,Output_Mac!$A:$A,Output_Mac!L:L,""),
_xlpm.MyAuditVal,_xlfn.XLOOKUP($A543,My_Audit!$A:$A,My_Audit!J:J,""),
_xlfn.IFS(_xlpm.MyAuditVal&lt;&gt;"",UPPER(_xlpm.MyAuditVal),_xlpm.MacVal&lt;&gt;"",_xlpm.MacVal,_xlpm.CSVVal&lt;&gt;"",_xlpm.CSVVal
)),"")</f>
        <v/>
      </c>
      <c r="L543" s="45" t="str" cm="1">
        <f t="array" ref="L543">IFERROR(_xlfn.LET(
_xlpm.CSVVal,_xlfn.XLOOKUP($A543,CSV!$A:$A,CSV!P:P,""),
_xlpm.MacVal,_xlfn.XLOOKUP($A543,Output_Mac!$A:$A,Output_Mac!M:M,""),
_xlpm.MyAuditVal,_xlfn.XLOOKUP($A543,My_Audit!$A:$A,My_Audit!K:K,""),
_xlfn.IFS(_xlpm.MyAuditVal&lt;&gt;"",UPPER(_xlpm.MyAuditVal),_xlpm.MacVal&lt;&gt;"",_xlpm.MacVal,_xlpm.CSVVal&lt;&gt;"",_xlpm.CSVVal
)),"")</f>
        <v/>
      </c>
      <c r="M543" s="45" t="str">
        <f>_xlfn.LET(
    _xlpm.CSVVal, _xlfn.XLOOKUP($A543, CSV!$A:$A, CSV!AE:AE, ""),
    _xlpm.MacVal, _xlfn.XLOOKUP($A543, Output_Mac!$A:$A, Output_Mac!S:S, ""),
    _xlpm.MyAuditVal, _xlfn.XLOOKUP($A543, My_Audit!$A:$A, My_Audit!N:N, ""),
    _xlfn.TEXTJOIN(", ", TRUE, _xlpm.MyAuditVal, _xlpm.MacVal, _xlpm.CSVVal)
)</f>
        <v/>
      </c>
      <c r="N543" s="45" t="str" cm="1">
        <f t="array" ref="N543">IFERROR(_xlfn.LET(
_xlpm.CSVVal,_xlfn.XLOOKUP($A543,CSV!$A:$A,CSV!AG:AG,""),
_xlpm.MacVal,_xlfn.XLOOKUP($A543,Output_Mac!$A:$A,Output_Mac!U:U,""),
_xlpm.MyAuditVal,_xlfn.XLOOKUP($A543,My_Audit!$A:$A,My_Audit!O:O,""),
_xlfn.IFS(_xlpm.MyAuditVal&lt;&gt;"",UPPER(_xlpm.MyAuditVal),_xlpm.MacVal&lt;&gt;"",_xlpm.MacVal,_xlpm.CSVVal&lt;&gt;"",_xlpm.CSVVal
)),"")</f>
        <v/>
      </c>
      <c r="O543" s="45"/>
      <c r="P543" s="45"/>
      <c r="Q543" s="46" t="str">
        <f>IF(LEFT(N543,4)="Pass","Nist SP 800-88",My_Audit!R543)&amp;""</f>
        <v/>
      </c>
      <c r="R543" s="45"/>
      <c r="S543" s="45"/>
      <c r="T543" s="46" t="str">
        <f>_xlfn.XLOOKUP(E543,Models!I:I,Models!J:J,"")</f>
        <v/>
      </c>
      <c r="U543" s="45"/>
      <c r="V543" s="45"/>
      <c r="W543" s="38"/>
    </row>
    <row r="544" spans="1:23">
      <c r="A544" s="45" t="str">
        <f>_xlfn.TEXTJOIN("",TRUE,Input!$B$2,ROW(My_Audit!A543))</f>
        <v>XX543</v>
      </c>
      <c r="B544" s="45" t="str">
        <f>_xlfn.TEXTJOIN("-",TRUE,"ITD",Input!$A$2,A544)</f>
        <v>ITD-SHRXXX-XX543</v>
      </c>
      <c r="C544" s="45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46" t="str" cm="1">
        <f t="array" ref="D544">IFERROR(_xlfn.LET(
_xlpm.CSVVal,_xlfn.XLOOKUP($A544,CSV!$A:$A,CSV!C:C,""),
_xlpm.MacVal,_xlfn.XLOOKUP($A544,Output_Mac!$A:$A,Output_Mac!D:D,""),
_xlpm.MyAuditVal,_xlfn.XLOOKUP($A544,My_Audit!$A:$A,My_Audit!C:C,""),
_xlfn.IFS(_xlpm.MyAuditVal&lt;&gt;"",UPPER(_xlpm.MyAuditVal),_xlpm.MacVal&lt;&gt;"",_xlpm.MacVal,_xlpm.CSVVal&lt;&gt;"",_xlpm.CSVVal
)),"")</f>
        <v/>
      </c>
      <c r="E544" s="46" t="str" cm="1">
        <f t="array" ref="E544">IFERROR(_xlfn.LET(
_xlpm.CSVVal,_xlfn.XLOOKUP($A544,CSV!$A:$A,CSV!E:E,""),
_xlpm.MacVal,_xlfn.XLOOKUP($A544,Output_Mac!$A:$A,Output_Mac!C:C,""),
_xlpm.MyAuditVal,_xlfn.XLOOKUP($A544,My_Audit!$A:$A,My_Audit!D:D,""),
_xlfn.IFS(_xlpm.MyAuditVal&lt;&gt;"",_xlpm.MyAuditVal,_xlpm.MacVal&lt;&gt;"",_xlpm.MacVal,_xlpm.CSVVal&lt;&gt;"",_xlpm.CSVVal
)),"")</f>
        <v/>
      </c>
      <c r="F544" s="45" t="str" cm="1">
        <f t="array" ref="F544">IFERROR(_xlfn.LET(
_xlpm.CSVVal,_xlfn.XLOOKUP($A544,CSV!$A:$A,CSV!F:F,""),
_xlpm.MacVal,_xlfn.XLOOKUP($A544,Output_Mac!$A:$A,Output_Mac!F:F,""),
_xlpm.MyAuditVal,_xlfn.XLOOKUP($A544,My_Audit!$A:$A,My_Audit!E:E,""),
_xlfn.IFS(_xlpm.MyAuditVal&lt;&gt;"",_xlpm.MyAuditVal,_xlpm.MacVal&lt;&gt;"",_xlpm.MacVal,_xlpm.CSVVal&lt;&gt;"",PROPER(_xlpm.CSVVal)
)),"")</f>
        <v/>
      </c>
      <c r="G544" s="45" t="str" cm="1">
        <f t="array" ref="G544">IFERROR(_xlfn.LET(
_xlpm.CSVVal,_xlfn.XLOOKUP($A544,CSV!$A:$A,CSV!G:G,""),
_xlpm.MacVal,_xlfn.XLOOKUP($A544,Output_Mac!$A:$A,Output_Mac!H:H,""),
_xlpm.MyAuditVal,_xlfn.XLOOKUP($A544,My_Audit!$A:$A,My_Audit!F:F,""),
_xlfn.IFS(_xlpm.MyAuditVal&lt;&gt;"",_xlpm.MyAuditVal,_xlpm.MacVal&lt;&gt;"",_xlpm.MacVal,_xlpm.CSVVal&lt;&gt;"",_xlpm.CSVVal
)),"")</f>
        <v/>
      </c>
      <c r="H544" s="45" t="str">
        <f>_xlfn.XLOOKUP(A544,Output_Mac!A:A,Output_Mac!I:I,"")</f>
        <v/>
      </c>
      <c r="I544" s="45" t="str" cm="1">
        <f t="array" ref="I544">IFERROR(_xlfn.LET(
_xlpm.CSVVal,_xlfn.XLOOKUP($A544,CSV!$A:$A,CSV!H:H,""),
_xlpm.MacVal,_xlfn.XLOOKUP($A544,Output_Mac!$A:$A,Output_Mac!J:J,""),
_xlpm.MyAuditVal,_xlfn.XLOOKUP($A544,My_Audit!$A:$A,My_Audit!H:H,""),
_xlfn.IFS(_xlpm.MyAuditVal&lt;&gt;"",UPPER(_xlpm.MyAuditVal),_xlpm.MacVal&lt;&gt;"",_xlpm.MacVal,_xlpm.CSVVal&lt;&gt;"",_xlpm.CSVVal
)),"")</f>
        <v/>
      </c>
      <c r="J544" s="45" t="str" cm="1">
        <f t="array" ref="J544">IFERROR(_xlfn.LET(
_xlpm.CSVVal,_xlfn.XLOOKUP($A544,CSV!$A:$A,CSV!J:J,""),
_xlpm.MacVal,_xlfn.XLOOKUP($A544,Output_Mac!$A:$A,Output_Mac!K:K,""),
_xlpm.MyAuditVal,_xlfn.XLOOKUP($A544,My_Audit!$A:$A,My_Audit!I:I,""),
_xlfn.IFS(_xlpm.MyAuditVal&lt;&gt;"",UPPER(_xlpm.MyAuditVal),_xlpm.MacVal&lt;&gt;"",_xlpm.MacVal,_xlpm.CSVVal&lt;&gt;"",_xlpm.CSVVal
)),"")</f>
        <v/>
      </c>
      <c r="K544" s="45" t="str" cm="1">
        <f t="array" ref="K544">IFERROR(_xlfn.LET(
_xlpm.CSVVal,_xlfn.XLOOKUP($A544,CSV!$A:$A,CSV!N:N,""),
_xlpm.MacVal,_xlfn.XLOOKUP($A544,Output_Mac!$A:$A,Output_Mac!L:L,""),
_xlpm.MyAuditVal,_xlfn.XLOOKUP($A544,My_Audit!$A:$A,My_Audit!J:J,""),
_xlfn.IFS(_xlpm.MyAuditVal&lt;&gt;"",UPPER(_xlpm.MyAuditVal),_xlpm.MacVal&lt;&gt;"",_xlpm.MacVal,_xlpm.CSVVal&lt;&gt;"",_xlpm.CSVVal
)),"")</f>
        <v/>
      </c>
      <c r="L544" s="45" t="str" cm="1">
        <f t="array" ref="L544">IFERROR(_xlfn.LET(
_xlpm.CSVVal,_xlfn.XLOOKUP($A544,CSV!$A:$A,CSV!P:P,""),
_xlpm.MacVal,_xlfn.XLOOKUP($A544,Output_Mac!$A:$A,Output_Mac!M:M,""),
_xlpm.MyAuditVal,_xlfn.XLOOKUP($A544,My_Audit!$A:$A,My_Audit!K:K,""),
_xlfn.IFS(_xlpm.MyAuditVal&lt;&gt;"",UPPER(_xlpm.MyAuditVal),_xlpm.MacVal&lt;&gt;"",_xlpm.MacVal,_xlpm.CSVVal&lt;&gt;"",_xlpm.CSVVal
)),"")</f>
        <v/>
      </c>
      <c r="M544" s="45" t="str">
        <f>_xlfn.LET(
    _xlpm.CSVVal, _xlfn.XLOOKUP($A544, CSV!$A:$A, CSV!AE:AE, ""),
    _xlpm.MacVal, _xlfn.XLOOKUP($A544, Output_Mac!$A:$A, Output_Mac!S:S, ""),
    _xlpm.MyAuditVal, _xlfn.XLOOKUP($A544, My_Audit!$A:$A, My_Audit!N:N, ""),
    _xlfn.TEXTJOIN(", ", TRUE, _xlpm.MyAuditVal, _xlpm.MacVal, _xlpm.CSVVal)
)</f>
        <v/>
      </c>
      <c r="N544" s="45" t="str" cm="1">
        <f t="array" ref="N544">IFERROR(_xlfn.LET(
_xlpm.CSVVal,_xlfn.XLOOKUP($A544,CSV!$A:$A,CSV!AG:AG,""),
_xlpm.MacVal,_xlfn.XLOOKUP($A544,Output_Mac!$A:$A,Output_Mac!U:U,""),
_xlpm.MyAuditVal,_xlfn.XLOOKUP($A544,My_Audit!$A:$A,My_Audit!O:O,""),
_xlfn.IFS(_xlpm.MyAuditVal&lt;&gt;"",UPPER(_xlpm.MyAuditVal),_xlpm.MacVal&lt;&gt;"",_xlpm.MacVal,_xlpm.CSVVal&lt;&gt;"",_xlpm.CSVVal
)),"")</f>
        <v/>
      </c>
      <c r="O544" s="45"/>
      <c r="P544" s="45"/>
      <c r="Q544" s="46" t="str">
        <f>IF(LEFT(N544,4)="Pass","Nist SP 800-88",My_Audit!R544)&amp;""</f>
        <v/>
      </c>
      <c r="R544" s="45"/>
      <c r="S544" s="45"/>
      <c r="T544" s="46" t="str">
        <f>_xlfn.XLOOKUP(E544,Models!I:I,Models!J:J,"")</f>
        <v/>
      </c>
      <c r="U544" s="45"/>
      <c r="V544" s="45"/>
      <c r="W544" s="38"/>
    </row>
    <row r="545" spans="1:23">
      <c r="A545" s="45" t="str">
        <f>_xlfn.TEXTJOIN("",TRUE,Input!$B$2,ROW(My_Audit!A544))</f>
        <v>XX544</v>
      </c>
      <c r="B545" s="45" t="str">
        <f>_xlfn.TEXTJOIN("-",TRUE,"ITD",Input!$A$2,A545)</f>
        <v>ITD-SHRXXX-XX544</v>
      </c>
      <c r="C545" s="45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46" t="str" cm="1">
        <f t="array" ref="D545">IFERROR(_xlfn.LET(
_xlpm.CSVVal,_xlfn.XLOOKUP($A545,CSV!$A:$A,CSV!C:C,""),
_xlpm.MacVal,_xlfn.XLOOKUP($A545,Output_Mac!$A:$A,Output_Mac!D:D,""),
_xlpm.MyAuditVal,_xlfn.XLOOKUP($A545,My_Audit!$A:$A,My_Audit!C:C,""),
_xlfn.IFS(_xlpm.MyAuditVal&lt;&gt;"",UPPER(_xlpm.MyAuditVal),_xlpm.MacVal&lt;&gt;"",_xlpm.MacVal,_xlpm.CSVVal&lt;&gt;"",_xlpm.CSVVal
)),"")</f>
        <v/>
      </c>
      <c r="E545" s="46" t="str" cm="1">
        <f t="array" ref="E545">IFERROR(_xlfn.LET(
_xlpm.CSVVal,_xlfn.XLOOKUP($A545,CSV!$A:$A,CSV!E:E,""),
_xlpm.MacVal,_xlfn.XLOOKUP($A545,Output_Mac!$A:$A,Output_Mac!C:C,""),
_xlpm.MyAuditVal,_xlfn.XLOOKUP($A545,My_Audit!$A:$A,My_Audit!D:D,""),
_xlfn.IFS(_xlpm.MyAuditVal&lt;&gt;"",_xlpm.MyAuditVal,_xlpm.MacVal&lt;&gt;"",_xlpm.MacVal,_xlpm.CSVVal&lt;&gt;"",_xlpm.CSVVal
)),"")</f>
        <v/>
      </c>
      <c r="F545" s="45" t="str" cm="1">
        <f t="array" ref="F545">IFERROR(_xlfn.LET(
_xlpm.CSVVal,_xlfn.XLOOKUP($A545,CSV!$A:$A,CSV!F:F,""),
_xlpm.MacVal,_xlfn.XLOOKUP($A545,Output_Mac!$A:$A,Output_Mac!F:F,""),
_xlpm.MyAuditVal,_xlfn.XLOOKUP($A545,My_Audit!$A:$A,My_Audit!E:E,""),
_xlfn.IFS(_xlpm.MyAuditVal&lt;&gt;"",_xlpm.MyAuditVal,_xlpm.MacVal&lt;&gt;"",_xlpm.MacVal,_xlpm.CSVVal&lt;&gt;"",PROPER(_xlpm.CSVVal)
)),"")</f>
        <v/>
      </c>
      <c r="G545" s="45" t="str" cm="1">
        <f t="array" ref="G545">IFERROR(_xlfn.LET(
_xlpm.CSVVal,_xlfn.XLOOKUP($A545,CSV!$A:$A,CSV!G:G,""),
_xlpm.MacVal,_xlfn.XLOOKUP($A545,Output_Mac!$A:$A,Output_Mac!H:H,""),
_xlpm.MyAuditVal,_xlfn.XLOOKUP($A545,My_Audit!$A:$A,My_Audit!F:F,""),
_xlfn.IFS(_xlpm.MyAuditVal&lt;&gt;"",_xlpm.MyAuditVal,_xlpm.MacVal&lt;&gt;"",_xlpm.MacVal,_xlpm.CSVVal&lt;&gt;"",_xlpm.CSVVal
)),"")</f>
        <v/>
      </c>
      <c r="H545" s="45" t="str">
        <f>_xlfn.XLOOKUP(A545,Output_Mac!A:A,Output_Mac!I:I,"")</f>
        <v/>
      </c>
      <c r="I545" s="45" t="str" cm="1">
        <f t="array" ref="I545">IFERROR(_xlfn.LET(
_xlpm.CSVVal,_xlfn.XLOOKUP($A545,CSV!$A:$A,CSV!H:H,""),
_xlpm.MacVal,_xlfn.XLOOKUP($A545,Output_Mac!$A:$A,Output_Mac!J:J,""),
_xlpm.MyAuditVal,_xlfn.XLOOKUP($A545,My_Audit!$A:$A,My_Audit!H:H,""),
_xlfn.IFS(_xlpm.MyAuditVal&lt;&gt;"",UPPER(_xlpm.MyAuditVal),_xlpm.MacVal&lt;&gt;"",_xlpm.MacVal,_xlpm.CSVVal&lt;&gt;"",_xlpm.CSVVal
)),"")</f>
        <v/>
      </c>
      <c r="J545" s="45" t="str" cm="1">
        <f t="array" ref="J545">IFERROR(_xlfn.LET(
_xlpm.CSVVal,_xlfn.XLOOKUP($A545,CSV!$A:$A,CSV!J:J,""),
_xlpm.MacVal,_xlfn.XLOOKUP($A545,Output_Mac!$A:$A,Output_Mac!K:K,""),
_xlpm.MyAuditVal,_xlfn.XLOOKUP($A545,My_Audit!$A:$A,My_Audit!I:I,""),
_xlfn.IFS(_xlpm.MyAuditVal&lt;&gt;"",UPPER(_xlpm.MyAuditVal),_xlpm.MacVal&lt;&gt;"",_xlpm.MacVal,_xlpm.CSVVal&lt;&gt;"",_xlpm.CSVVal
)),"")</f>
        <v/>
      </c>
      <c r="K545" s="45" t="str" cm="1">
        <f t="array" ref="K545">IFERROR(_xlfn.LET(
_xlpm.CSVVal,_xlfn.XLOOKUP($A545,CSV!$A:$A,CSV!N:N,""),
_xlpm.MacVal,_xlfn.XLOOKUP($A545,Output_Mac!$A:$A,Output_Mac!L:L,""),
_xlpm.MyAuditVal,_xlfn.XLOOKUP($A545,My_Audit!$A:$A,My_Audit!J:J,""),
_xlfn.IFS(_xlpm.MyAuditVal&lt;&gt;"",UPPER(_xlpm.MyAuditVal),_xlpm.MacVal&lt;&gt;"",_xlpm.MacVal,_xlpm.CSVVal&lt;&gt;"",_xlpm.CSVVal
)),"")</f>
        <v/>
      </c>
      <c r="L545" s="45" t="str" cm="1">
        <f t="array" ref="L545">IFERROR(_xlfn.LET(
_xlpm.CSVVal,_xlfn.XLOOKUP($A545,CSV!$A:$A,CSV!P:P,""),
_xlpm.MacVal,_xlfn.XLOOKUP($A545,Output_Mac!$A:$A,Output_Mac!M:M,""),
_xlpm.MyAuditVal,_xlfn.XLOOKUP($A545,My_Audit!$A:$A,My_Audit!K:K,""),
_xlfn.IFS(_xlpm.MyAuditVal&lt;&gt;"",UPPER(_xlpm.MyAuditVal),_xlpm.MacVal&lt;&gt;"",_xlpm.MacVal,_xlpm.CSVVal&lt;&gt;"",_xlpm.CSVVal
)),"")</f>
        <v/>
      </c>
      <c r="M545" s="45" t="str">
        <f>_xlfn.LET(
    _xlpm.CSVVal, _xlfn.XLOOKUP($A545, CSV!$A:$A, CSV!AE:AE, ""),
    _xlpm.MacVal, _xlfn.XLOOKUP($A545, Output_Mac!$A:$A, Output_Mac!S:S, ""),
    _xlpm.MyAuditVal, _xlfn.XLOOKUP($A545, My_Audit!$A:$A, My_Audit!N:N, ""),
    _xlfn.TEXTJOIN(", ", TRUE, _xlpm.MyAuditVal, _xlpm.MacVal, _xlpm.CSVVal)
)</f>
        <v/>
      </c>
      <c r="N545" s="45" t="str" cm="1">
        <f t="array" ref="N545">IFERROR(_xlfn.LET(
_xlpm.CSVVal,_xlfn.XLOOKUP($A545,CSV!$A:$A,CSV!AG:AG,""),
_xlpm.MacVal,_xlfn.XLOOKUP($A545,Output_Mac!$A:$A,Output_Mac!U:U,""),
_xlpm.MyAuditVal,_xlfn.XLOOKUP($A545,My_Audit!$A:$A,My_Audit!O:O,""),
_xlfn.IFS(_xlpm.MyAuditVal&lt;&gt;"",UPPER(_xlpm.MyAuditVal),_xlpm.MacVal&lt;&gt;"",_xlpm.MacVal,_xlpm.CSVVal&lt;&gt;"",_xlpm.CSVVal
)),"")</f>
        <v/>
      </c>
      <c r="O545" s="45"/>
      <c r="P545" s="45"/>
      <c r="Q545" s="46" t="str">
        <f>IF(LEFT(N545,4)="Pass","Nist SP 800-88",My_Audit!R545)&amp;""</f>
        <v/>
      </c>
      <c r="R545" s="45"/>
      <c r="S545" s="45"/>
      <c r="T545" s="46" t="str">
        <f>_xlfn.XLOOKUP(E545,Models!I:I,Models!J:J,"")</f>
        <v/>
      </c>
      <c r="U545" s="45"/>
      <c r="V545" s="45"/>
      <c r="W545" s="38"/>
    </row>
    <row r="546" spans="1:23">
      <c r="A546" s="45" t="str">
        <f>_xlfn.TEXTJOIN("",TRUE,Input!$B$2,ROW(My_Audit!A545))</f>
        <v>XX545</v>
      </c>
      <c r="B546" s="45" t="str">
        <f>_xlfn.TEXTJOIN("-",TRUE,"ITD",Input!$A$2,A546)</f>
        <v>ITD-SHRXXX-XX545</v>
      </c>
      <c r="C546" s="45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46" t="str" cm="1">
        <f t="array" ref="D546">IFERROR(_xlfn.LET(
_xlpm.CSVVal,_xlfn.XLOOKUP($A546,CSV!$A:$A,CSV!C:C,""),
_xlpm.MacVal,_xlfn.XLOOKUP($A546,Output_Mac!$A:$A,Output_Mac!D:D,""),
_xlpm.MyAuditVal,_xlfn.XLOOKUP($A546,My_Audit!$A:$A,My_Audit!C:C,""),
_xlfn.IFS(_xlpm.MyAuditVal&lt;&gt;"",UPPER(_xlpm.MyAuditVal),_xlpm.MacVal&lt;&gt;"",_xlpm.MacVal,_xlpm.CSVVal&lt;&gt;"",_xlpm.CSVVal
)),"")</f>
        <v/>
      </c>
      <c r="E546" s="46" t="str" cm="1">
        <f t="array" ref="E546">IFERROR(_xlfn.LET(
_xlpm.CSVVal,_xlfn.XLOOKUP($A546,CSV!$A:$A,CSV!E:E,""),
_xlpm.MacVal,_xlfn.XLOOKUP($A546,Output_Mac!$A:$A,Output_Mac!C:C,""),
_xlpm.MyAuditVal,_xlfn.XLOOKUP($A546,My_Audit!$A:$A,My_Audit!D:D,""),
_xlfn.IFS(_xlpm.MyAuditVal&lt;&gt;"",_xlpm.MyAuditVal,_xlpm.MacVal&lt;&gt;"",_xlpm.MacVal,_xlpm.CSVVal&lt;&gt;"",_xlpm.CSVVal
)),"")</f>
        <v/>
      </c>
      <c r="F546" s="45" t="str" cm="1">
        <f t="array" ref="F546">IFERROR(_xlfn.LET(
_xlpm.CSVVal,_xlfn.XLOOKUP($A546,CSV!$A:$A,CSV!F:F,""),
_xlpm.MacVal,_xlfn.XLOOKUP($A546,Output_Mac!$A:$A,Output_Mac!F:F,""),
_xlpm.MyAuditVal,_xlfn.XLOOKUP($A546,My_Audit!$A:$A,My_Audit!E:E,""),
_xlfn.IFS(_xlpm.MyAuditVal&lt;&gt;"",_xlpm.MyAuditVal,_xlpm.MacVal&lt;&gt;"",_xlpm.MacVal,_xlpm.CSVVal&lt;&gt;"",PROPER(_xlpm.CSVVal)
)),"")</f>
        <v/>
      </c>
      <c r="G546" s="45" t="str" cm="1">
        <f t="array" ref="G546">IFERROR(_xlfn.LET(
_xlpm.CSVVal,_xlfn.XLOOKUP($A546,CSV!$A:$A,CSV!G:G,""),
_xlpm.MacVal,_xlfn.XLOOKUP($A546,Output_Mac!$A:$A,Output_Mac!H:H,""),
_xlpm.MyAuditVal,_xlfn.XLOOKUP($A546,My_Audit!$A:$A,My_Audit!F:F,""),
_xlfn.IFS(_xlpm.MyAuditVal&lt;&gt;"",_xlpm.MyAuditVal,_xlpm.MacVal&lt;&gt;"",_xlpm.MacVal,_xlpm.CSVVal&lt;&gt;"",_xlpm.CSVVal
)),"")</f>
        <v/>
      </c>
      <c r="H546" s="45" t="str">
        <f>_xlfn.XLOOKUP(A546,Output_Mac!A:A,Output_Mac!I:I,"")</f>
        <v/>
      </c>
      <c r="I546" s="45" t="str" cm="1">
        <f t="array" ref="I546">IFERROR(_xlfn.LET(
_xlpm.CSVVal,_xlfn.XLOOKUP($A546,CSV!$A:$A,CSV!H:H,""),
_xlpm.MacVal,_xlfn.XLOOKUP($A546,Output_Mac!$A:$A,Output_Mac!J:J,""),
_xlpm.MyAuditVal,_xlfn.XLOOKUP($A546,My_Audit!$A:$A,My_Audit!H:H,""),
_xlfn.IFS(_xlpm.MyAuditVal&lt;&gt;"",UPPER(_xlpm.MyAuditVal),_xlpm.MacVal&lt;&gt;"",_xlpm.MacVal,_xlpm.CSVVal&lt;&gt;"",_xlpm.CSVVal
)),"")</f>
        <v/>
      </c>
      <c r="J546" s="45" t="str" cm="1">
        <f t="array" ref="J546">IFERROR(_xlfn.LET(
_xlpm.CSVVal,_xlfn.XLOOKUP($A546,CSV!$A:$A,CSV!J:J,""),
_xlpm.MacVal,_xlfn.XLOOKUP($A546,Output_Mac!$A:$A,Output_Mac!K:K,""),
_xlpm.MyAuditVal,_xlfn.XLOOKUP($A546,My_Audit!$A:$A,My_Audit!I:I,""),
_xlfn.IFS(_xlpm.MyAuditVal&lt;&gt;"",UPPER(_xlpm.MyAuditVal),_xlpm.MacVal&lt;&gt;"",_xlpm.MacVal,_xlpm.CSVVal&lt;&gt;"",_xlpm.CSVVal
)),"")</f>
        <v/>
      </c>
      <c r="K546" s="45" t="str" cm="1">
        <f t="array" ref="K546">IFERROR(_xlfn.LET(
_xlpm.CSVVal,_xlfn.XLOOKUP($A546,CSV!$A:$A,CSV!N:N,""),
_xlpm.MacVal,_xlfn.XLOOKUP($A546,Output_Mac!$A:$A,Output_Mac!L:L,""),
_xlpm.MyAuditVal,_xlfn.XLOOKUP($A546,My_Audit!$A:$A,My_Audit!J:J,""),
_xlfn.IFS(_xlpm.MyAuditVal&lt;&gt;"",UPPER(_xlpm.MyAuditVal),_xlpm.MacVal&lt;&gt;"",_xlpm.MacVal,_xlpm.CSVVal&lt;&gt;"",_xlpm.CSVVal
)),"")</f>
        <v/>
      </c>
      <c r="L546" s="45" t="str" cm="1">
        <f t="array" ref="L546">IFERROR(_xlfn.LET(
_xlpm.CSVVal,_xlfn.XLOOKUP($A546,CSV!$A:$A,CSV!P:P,""),
_xlpm.MacVal,_xlfn.XLOOKUP($A546,Output_Mac!$A:$A,Output_Mac!M:M,""),
_xlpm.MyAuditVal,_xlfn.XLOOKUP($A546,My_Audit!$A:$A,My_Audit!K:K,""),
_xlfn.IFS(_xlpm.MyAuditVal&lt;&gt;"",UPPER(_xlpm.MyAuditVal),_xlpm.MacVal&lt;&gt;"",_xlpm.MacVal,_xlpm.CSVVal&lt;&gt;"",_xlpm.CSVVal
)),"")</f>
        <v/>
      </c>
      <c r="M546" s="45" t="str">
        <f>_xlfn.LET(
    _xlpm.CSVVal, _xlfn.XLOOKUP($A546, CSV!$A:$A, CSV!AE:AE, ""),
    _xlpm.MacVal, _xlfn.XLOOKUP($A546, Output_Mac!$A:$A, Output_Mac!S:S, ""),
    _xlpm.MyAuditVal, _xlfn.XLOOKUP($A546, My_Audit!$A:$A, My_Audit!N:N, ""),
    _xlfn.TEXTJOIN(", ", TRUE, _xlpm.MyAuditVal, _xlpm.MacVal, _xlpm.CSVVal)
)</f>
        <v/>
      </c>
      <c r="N546" s="45" t="str" cm="1">
        <f t="array" ref="N546">IFERROR(_xlfn.LET(
_xlpm.CSVVal,_xlfn.XLOOKUP($A546,CSV!$A:$A,CSV!AG:AG,""),
_xlpm.MacVal,_xlfn.XLOOKUP($A546,Output_Mac!$A:$A,Output_Mac!U:U,""),
_xlpm.MyAuditVal,_xlfn.XLOOKUP($A546,My_Audit!$A:$A,My_Audit!O:O,""),
_xlfn.IFS(_xlpm.MyAuditVal&lt;&gt;"",UPPER(_xlpm.MyAuditVal),_xlpm.MacVal&lt;&gt;"",_xlpm.MacVal,_xlpm.CSVVal&lt;&gt;"",_xlpm.CSVVal
)),"")</f>
        <v/>
      </c>
      <c r="O546" s="45"/>
      <c r="P546" s="45"/>
      <c r="Q546" s="46" t="str">
        <f>IF(LEFT(N546,4)="Pass","Nist SP 800-88",My_Audit!R546)&amp;""</f>
        <v/>
      </c>
      <c r="R546" s="45"/>
      <c r="S546" s="45"/>
      <c r="T546" s="46" t="str">
        <f>_xlfn.XLOOKUP(E546,Models!I:I,Models!J:J,"")</f>
        <v/>
      </c>
      <c r="U546" s="45"/>
      <c r="V546" s="45"/>
      <c r="W546" s="38"/>
    </row>
    <row r="547" spans="1:23">
      <c r="A547" s="45" t="str">
        <f>_xlfn.TEXTJOIN("",TRUE,Input!$B$2,ROW(My_Audit!A546))</f>
        <v>XX546</v>
      </c>
      <c r="B547" s="45" t="str">
        <f>_xlfn.TEXTJOIN("-",TRUE,"ITD",Input!$A$2,A547)</f>
        <v>ITD-SHRXXX-XX546</v>
      </c>
      <c r="C547" s="45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46" t="str" cm="1">
        <f t="array" ref="D547">IFERROR(_xlfn.LET(
_xlpm.CSVVal,_xlfn.XLOOKUP($A547,CSV!$A:$A,CSV!C:C,""),
_xlpm.MacVal,_xlfn.XLOOKUP($A547,Output_Mac!$A:$A,Output_Mac!D:D,""),
_xlpm.MyAuditVal,_xlfn.XLOOKUP($A547,My_Audit!$A:$A,My_Audit!C:C,""),
_xlfn.IFS(_xlpm.MyAuditVal&lt;&gt;"",UPPER(_xlpm.MyAuditVal),_xlpm.MacVal&lt;&gt;"",_xlpm.MacVal,_xlpm.CSVVal&lt;&gt;"",_xlpm.CSVVal
)),"")</f>
        <v/>
      </c>
      <c r="E547" s="46" t="str" cm="1">
        <f t="array" ref="E547">IFERROR(_xlfn.LET(
_xlpm.CSVVal,_xlfn.XLOOKUP($A547,CSV!$A:$A,CSV!E:E,""),
_xlpm.MacVal,_xlfn.XLOOKUP($A547,Output_Mac!$A:$A,Output_Mac!C:C,""),
_xlpm.MyAuditVal,_xlfn.XLOOKUP($A547,My_Audit!$A:$A,My_Audit!D:D,""),
_xlfn.IFS(_xlpm.MyAuditVal&lt;&gt;"",_xlpm.MyAuditVal,_xlpm.MacVal&lt;&gt;"",_xlpm.MacVal,_xlpm.CSVVal&lt;&gt;"",_xlpm.CSVVal
)),"")</f>
        <v/>
      </c>
      <c r="F547" s="45" t="str" cm="1">
        <f t="array" ref="F547">IFERROR(_xlfn.LET(
_xlpm.CSVVal,_xlfn.XLOOKUP($A547,CSV!$A:$A,CSV!F:F,""),
_xlpm.MacVal,_xlfn.XLOOKUP($A547,Output_Mac!$A:$A,Output_Mac!F:F,""),
_xlpm.MyAuditVal,_xlfn.XLOOKUP($A547,My_Audit!$A:$A,My_Audit!E:E,""),
_xlfn.IFS(_xlpm.MyAuditVal&lt;&gt;"",_xlpm.MyAuditVal,_xlpm.MacVal&lt;&gt;"",_xlpm.MacVal,_xlpm.CSVVal&lt;&gt;"",PROPER(_xlpm.CSVVal)
)),"")</f>
        <v/>
      </c>
      <c r="G547" s="45" t="str" cm="1">
        <f t="array" ref="G547">IFERROR(_xlfn.LET(
_xlpm.CSVVal,_xlfn.XLOOKUP($A547,CSV!$A:$A,CSV!G:G,""),
_xlpm.MacVal,_xlfn.XLOOKUP($A547,Output_Mac!$A:$A,Output_Mac!H:H,""),
_xlpm.MyAuditVal,_xlfn.XLOOKUP($A547,My_Audit!$A:$A,My_Audit!F:F,""),
_xlfn.IFS(_xlpm.MyAuditVal&lt;&gt;"",_xlpm.MyAuditVal,_xlpm.MacVal&lt;&gt;"",_xlpm.MacVal,_xlpm.CSVVal&lt;&gt;"",_xlpm.CSVVal
)),"")</f>
        <v/>
      </c>
      <c r="H547" s="45" t="str">
        <f>_xlfn.XLOOKUP(A547,Output_Mac!A:A,Output_Mac!I:I,"")</f>
        <v/>
      </c>
      <c r="I547" s="45" t="str" cm="1">
        <f t="array" ref="I547">IFERROR(_xlfn.LET(
_xlpm.CSVVal,_xlfn.XLOOKUP($A547,CSV!$A:$A,CSV!H:H,""),
_xlpm.MacVal,_xlfn.XLOOKUP($A547,Output_Mac!$A:$A,Output_Mac!J:J,""),
_xlpm.MyAuditVal,_xlfn.XLOOKUP($A547,My_Audit!$A:$A,My_Audit!H:H,""),
_xlfn.IFS(_xlpm.MyAuditVal&lt;&gt;"",UPPER(_xlpm.MyAuditVal),_xlpm.MacVal&lt;&gt;"",_xlpm.MacVal,_xlpm.CSVVal&lt;&gt;"",_xlpm.CSVVal
)),"")</f>
        <v/>
      </c>
      <c r="J547" s="45" t="str" cm="1">
        <f t="array" ref="J547">IFERROR(_xlfn.LET(
_xlpm.CSVVal,_xlfn.XLOOKUP($A547,CSV!$A:$A,CSV!J:J,""),
_xlpm.MacVal,_xlfn.XLOOKUP($A547,Output_Mac!$A:$A,Output_Mac!K:K,""),
_xlpm.MyAuditVal,_xlfn.XLOOKUP($A547,My_Audit!$A:$A,My_Audit!I:I,""),
_xlfn.IFS(_xlpm.MyAuditVal&lt;&gt;"",UPPER(_xlpm.MyAuditVal),_xlpm.MacVal&lt;&gt;"",_xlpm.MacVal,_xlpm.CSVVal&lt;&gt;"",_xlpm.CSVVal
)),"")</f>
        <v/>
      </c>
      <c r="K547" s="45" t="str" cm="1">
        <f t="array" ref="K547">IFERROR(_xlfn.LET(
_xlpm.CSVVal,_xlfn.XLOOKUP($A547,CSV!$A:$A,CSV!N:N,""),
_xlpm.MacVal,_xlfn.XLOOKUP($A547,Output_Mac!$A:$A,Output_Mac!L:L,""),
_xlpm.MyAuditVal,_xlfn.XLOOKUP($A547,My_Audit!$A:$A,My_Audit!J:J,""),
_xlfn.IFS(_xlpm.MyAuditVal&lt;&gt;"",UPPER(_xlpm.MyAuditVal),_xlpm.MacVal&lt;&gt;"",_xlpm.MacVal,_xlpm.CSVVal&lt;&gt;"",_xlpm.CSVVal
)),"")</f>
        <v/>
      </c>
      <c r="L547" s="45" t="str" cm="1">
        <f t="array" ref="L547">IFERROR(_xlfn.LET(
_xlpm.CSVVal,_xlfn.XLOOKUP($A547,CSV!$A:$A,CSV!P:P,""),
_xlpm.MacVal,_xlfn.XLOOKUP($A547,Output_Mac!$A:$A,Output_Mac!M:M,""),
_xlpm.MyAuditVal,_xlfn.XLOOKUP($A547,My_Audit!$A:$A,My_Audit!K:K,""),
_xlfn.IFS(_xlpm.MyAuditVal&lt;&gt;"",UPPER(_xlpm.MyAuditVal),_xlpm.MacVal&lt;&gt;"",_xlpm.MacVal,_xlpm.CSVVal&lt;&gt;"",_xlpm.CSVVal
)),"")</f>
        <v/>
      </c>
      <c r="M547" s="45" t="str">
        <f>_xlfn.LET(
    _xlpm.CSVVal, _xlfn.XLOOKUP($A547, CSV!$A:$A, CSV!AE:AE, ""),
    _xlpm.MacVal, _xlfn.XLOOKUP($A547, Output_Mac!$A:$A, Output_Mac!S:S, ""),
    _xlpm.MyAuditVal, _xlfn.XLOOKUP($A547, My_Audit!$A:$A, My_Audit!N:N, ""),
    _xlfn.TEXTJOIN(", ", TRUE, _xlpm.MyAuditVal, _xlpm.MacVal, _xlpm.CSVVal)
)</f>
        <v/>
      </c>
      <c r="N547" s="45" t="str" cm="1">
        <f t="array" ref="N547">IFERROR(_xlfn.LET(
_xlpm.CSVVal,_xlfn.XLOOKUP($A547,CSV!$A:$A,CSV!AG:AG,""),
_xlpm.MacVal,_xlfn.XLOOKUP($A547,Output_Mac!$A:$A,Output_Mac!U:U,""),
_xlpm.MyAuditVal,_xlfn.XLOOKUP($A547,My_Audit!$A:$A,My_Audit!O:O,""),
_xlfn.IFS(_xlpm.MyAuditVal&lt;&gt;"",UPPER(_xlpm.MyAuditVal),_xlpm.MacVal&lt;&gt;"",_xlpm.MacVal,_xlpm.CSVVal&lt;&gt;"",_xlpm.CSVVal
)),"")</f>
        <v/>
      </c>
      <c r="O547" s="45"/>
      <c r="P547" s="45"/>
      <c r="Q547" s="46" t="str">
        <f>IF(LEFT(N547,4)="Pass","Nist SP 800-88",My_Audit!R547)&amp;""</f>
        <v/>
      </c>
      <c r="R547" s="45"/>
      <c r="S547" s="45"/>
      <c r="T547" s="46" t="str">
        <f>_xlfn.XLOOKUP(E547,Models!I:I,Models!J:J,"")</f>
        <v/>
      </c>
      <c r="U547" s="45"/>
      <c r="V547" s="45"/>
      <c r="W547" s="38"/>
    </row>
    <row r="548" spans="1:23">
      <c r="A548" s="45" t="str">
        <f>_xlfn.TEXTJOIN("",TRUE,Input!$B$2,ROW(My_Audit!A547))</f>
        <v>XX547</v>
      </c>
      <c r="B548" s="45" t="str">
        <f>_xlfn.TEXTJOIN("-",TRUE,"ITD",Input!$A$2,A548)</f>
        <v>ITD-SHRXXX-XX547</v>
      </c>
      <c r="C548" s="45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46" t="str" cm="1">
        <f t="array" ref="D548">IFERROR(_xlfn.LET(
_xlpm.CSVVal,_xlfn.XLOOKUP($A548,CSV!$A:$A,CSV!C:C,""),
_xlpm.MacVal,_xlfn.XLOOKUP($A548,Output_Mac!$A:$A,Output_Mac!D:D,""),
_xlpm.MyAuditVal,_xlfn.XLOOKUP($A548,My_Audit!$A:$A,My_Audit!C:C,""),
_xlfn.IFS(_xlpm.MyAuditVal&lt;&gt;"",UPPER(_xlpm.MyAuditVal),_xlpm.MacVal&lt;&gt;"",_xlpm.MacVal,_xlpm.CSVVal&lt;&gt;"",_xlpm.CSVVal
)),"")</f>
        <v/>
      </c>
      <c r="E548" s="46" t="str" cm="1">
        <f t="array" ref="E548">IFERROR(_xlfn.LET(
_xlpm.CSVVal,_xlfn.XLOOKUP($A548,CSV!$A:$A,CSV!E:E,""),
_xlpm.MacVal,_xlfn.XLOOKUP($A548,Output_Mac!$A:$A,Output_Mac!C:C,""),
_xlpm.MyAuditVal,_xlfn.XLOOKUP($A548,My_Audit!$A:$A,My_Audit!D:D,""),
_xlfn.IFS(_xlpm.MyAuditVal&lt;&gt;"",_xlpm.MyAuditVal,_xlpm.MacVal&lt;&gt;"",_xlpm.MacVal,_xlpm.CSVVal&lt;&gt;"",_xlpm.CSVVal
)),"")</f>
        <v/>
      </c>
      <c r="F548" s="45" t="str" cm="1">
        <f t="array" ref="F548">IFERROR(_xlfn.LET(
_xlpm.CSVVal,_xlfn.XLOOKUP($A548,CSV!$A:$A,CSV!F:F,""),
_xlpm.MacVal,_xlfn.XLOOKUP($A548,Output_Mac!$A:$A,Output_Mac!F:F,""),
_xlpm.MyAuditVal,_xlfn.XLOOKUP($A548,My_Audit!$A:$A,My_Audit!E:E,""),
_xlfn.IFS(_xlpm.MyAuditVal&lt;&gt;"",_xlpm.MyAuditVal,_xlpm.MacVal&lt;&gt;"",_xlpm.MacVal,_xlpm.CSVVal&lt;&gt;"",PROPER(_xlpm.CSVVal)
)),"")</f>
        <v/>
      </c>
      <c r="G548" s="45" t="str" cm="1">
        <f t="array" ref="G548">IFERROR(_xlfn.LET(
_xlpm.CSVVal,_xlfn.XLOOKUP($A548,CSV!$A:$A,CSV!G:G,""),
_xlpm.MacVal,_xlfn.XLOOKUP($A548,Output_Mac!$A:$A,Output_Mac!H:H,""),
_xlpm.MyAuditVal,_xlfn.XLOOKUP($A548,My_Audit!$A:$A,My_Audit!F:F,""),
_xlfn.IFS(_xlpm.MyAuditVal&lt;&gt;"",_xlpm.MyAuditVal,_xlpm.MacVal&lt;&gt;"",_xlpm.MacVal,_xlpm.CSVVal&lt;&gt;"",_xlpm.CSVVal
)),"")</f>
        <v/>
      </c>
      <c r="H548" s="45" t="str">
        <f>_xlfn.XLOOKUP(A548,Output_Mac!A:A,Output_Mac!I:I,"")</f>
        <v/>
      </c>
      <c r="I548" s="45" t="str" cm="1">
        <f t="array" ref="I548">IFERROR(_xlfn.LET(
_xlpm.CSVVal,_xlfn.XLOOKUP($A548,CSV!$A:$A,CSV!H:H,""),
_xlpm.MacVal,_xlfn.XLOOKUP($A548,Output_Mac!$A:$A,Output_Mac!J:J,""),
_xlpm.MyAuditVal,_xlfn.XLOOKUP($A548,My_Audit!$A:$A,My_Audit!H:H,""),
_xlfn.IFS(_xlpm.MyAuditVal&lt;&gt;"",UPPER(_xlpm.MyAuditVal),_xlpm.MacVal&lt;&gt;"",_xlpm.MacVal,_xlpm.CSVVal&lt;&gt;"",_xlpm.CSVVal
)),"")</f>
        <v/>
      </c>
      <c r="J548" s="45" t="str" cm="1">
        <f t="array" ref="J548">IFERROR(_xlfn.LET(
_xlpm.CSVVal,_xlfn.XLOOKUP($A548,CSV!$A:$A,CSV!J:J,""),
_xlpm.MacVal,_xlfn.XLOOKUP($A548,Output_Mac!$A:$A,Output_Mac!K:K,""),
_xlpm.MyAuditVal,_xlfn.XLOOKUP($A548,My_Audit!$A:$A,My_Audit!I:I,""),
_xlfn.IFS(_xlpm.MyAuditVal&lt;&gt;"",UPPER(_xlpm.MyAuditVal),_xlpm.MacVal&lt;&gt;"",_xlpm.MacVal,_xlpm.CSVVal&lt;&gt;"",_xlpm.CSVVal
)),"")</f>
        <v/>
      </c>
      <c r="K548" s="45" t="str" cm="1">
        <f t="array" ref="K548">IFERROR(_xlfn.LET(
_xlpm.CSVVal,_xlfn.XLOOKUP($A548,CSV!$A:$A,CSV!N:N,""),
_xlpm.MacVal,_xlfn.XLOOKUP($A548,Output_Mac!$A:$A,Output_Mac!L:L,""),
_xlpm.MyAuditVal,_xlfn.XLOOKUP($A548,My_Audit!$A:$A,My_Audit!J:J,""),
_xlfn.IFS(_xlpm.MyAuditVal&lt;&gt;"",UPPER(_xlpm.MyAuditVal),_xlpm.MacVal&lt;&gt;"",_xlpm.MacVal,_xlpm.CSVVal&lt;&gt;"",_xlpm.CSVVal
)),"")</f>
        <v/>
      </c>
      <c r="L548" s="45" t="str" cm="1">
        <f t="array" ref="L548">IFERROR(_xlfn.LET(
_xlpm.CSVVal,_xlfn.XLOOKUP($A548,CSV!$A:$A,CSV!P:P,""),
_xlpm.MacVal,_xlfn.XLOOKUP($A548,Output_Mac!$A:$A,Output_Mac!M:M,""),
_xlpm.MyAuditVal,_xlfn.XLOOKUP($A548,My_Audit!$A:$A,My_Audit!K:K,""),
_xlfn.IFS(_xlpm.MyAuditVal&lt;&gt;"",UPPER(_xlpm.MyAuditVal),_xlpm.MacVal&lt;&gt;"",_xlpm.MacVal,_xlpm.CSVVal&lt;&gt;"",_xlpm.CSVVal
)),"")</f>
        <v/>
      </c>
      <c r="M548" s="45" t="str">
        <f>_xlfn.LET(
    _xlpm.CSVVal, _xlfn.XLOOKUP($A548, CSV!$A:$A, CSV!AE:AE, ""),
    _xlpm.MacVal, _xlfn.XLOOKUP($A548, Output_Mac!$A:$A, Output_Mac!S:S, ""),
    _xlpm.MyAuditVal, _xlfn.XLOOKUP($A548, My_Audit!$A:$A, My_Audit!N:N, ""),
    _xlfn.TEXTJOIN(", ", TRUE, _xlpm.MyAuditVal, _xlpm.MacVal, _xlpm.CSVVal)
)</f>
        <v/>
      </c>
      <c r="N548" s="45" t="str" cm="1">
        <f t="array" ref="N548">IFERROR(_xlfn.LET(
_xlpm.CSVVal,_xlfn.XLOOKUP($A548,CSV!$A:$A,CSV!AG:AG,""),
_xlpm.MacVal,_xlfn.XLOOKUP($A548,Output_Mac!$A:$A,Output_Mac!U:U,""),
_xlpm.MyAuditVal,_xlfn.XLOOKUP($A548,My_Audit!$A:$A,My_Audit!O:O,""),
_xlfn.IFS(_xlpm.MyAuditVal&lt;&gt;"",UPPER(_xlpm.MyAuditVal),_xlpm.MacVal&lt;&gt;"",_xlpm.MacVal,_xlpm.CSVVal&lt;&gt;"",_xlpm.CSVVal
)),"")</f>
        <v/>
      </c>
      <c r="O548" s="45"/>
      <c r="P548" s="45"/>
      <c r="Q548" s="46" t="str">
        <f>IF(LEFT(N548,4)="Pass","Nist SP 800-88",My_Audit!R548)&amp;""</f>
        <v/>
      </c>
      <c r="R548" s="45"/>
      <c r="S548" s="45"/>
      <c r="T548" s="46" t="str">
        <f>_xlfn.XLOOKUP(E548,Models!I:I,Models!J:J,"")</f>
        <v/>
      </c>
      <c r="U548" s="45"/>
      <c r="V548" s="45"/>
      <c r="W548" s="38"/>
    </row>
    <row r="549" spans="1:23">
      <c r="A549" s="45" t="str">
        <f>_xlfn.TEXTJOIN("",TRUE,Input!$B$2,ROW(My_Audit!A548))</f>
        <v>XX548</v>
      </c>
      <c r="B549" s="45" t="str">
        <f>_xlfn.TEXTJOIN("-",TRUE,"ITD",Input!$A$2,A549)</f>
        <v>ITD-SHRXXX-XX548</v>
      </c>
      <c r="C549" s="45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46" t="str" cm="1">
        <f t="array" ref="D549">IFERROR(_xlfn.LET(
_xlpm.CSVVal,_xlfn.XLOOKUP($A549,CSV!$A:$A,CSV!C:C,""),
_xlpm.MacVal,_xlfn.XLOOKUP($A549,Output_Mac!$A:$A,Output_Mac!D:D,""),
_xlpm.MyAuditVal,_xlfn.XLOOKUP($A549,My_Audit!$A:$A,My_Audit!C:C,""),
_xlfn.IFS(_xlpm.MyAuditVal&lt;&gt;"",UPPER(_xlpm.MyAuditVal),_xlpm.MacVal&lt;&gt;"",_xlpm.MacVal,_xlpm.CSVVal&lt;&gt;"",_xlpm.CSVVal
)),"")</f>
        <v/>
      </c>
      <c r="E549" s="46" t="str" cm="1">
        <f t="array" ref="E549">IFERROR(_xlfn.LET(
_xlpm.CSVVal,_xlfn.XLOOKUP($A549,CSV!$A:$A,CSV!E:E,""),
_xlpm.MacVal,_xlfn.XLOOKUP($A549,Output_Mac!$A:$A,Output_Mac!C:C,""),
_xlpm.MyAuditVal,_xlfn.XLOOKUP($A549,My_Audit!$A:$A,My_Audit!D:D,""),
_xlfn.IFS(_xlpm.MyAuditVal&lt;&gt;"",_xlpm.MyAuditVal,_xlpm.MacVal&lt;&gt;"",_xlpm.MacVal,_xlpm.CSVVal&lt;&gt;"",_xlpm.CSVVal
)),"")</f>
        <v/>
      </c>
      <c r="F549" s="45" t="str" cm="1">
        <f t="array" ref="F549">IFERROR(_xlfn.LET(
_xlpm.CSVVal,_xlfn.XLOOKUP($A549,CSV!$A:$A,CSV!F:F,""),
_xlpm.MacVal,_xlfn.XLOOKUP($A549,Output_Mac!$A:$A,Output_Mac!F:F,""),
_xlpm.MyAuditVal,_xlfn.XLOOKUP($A549,My_Audit!$A:$A,My_Audit!E:E,""),
_xlfn.IFS(_xlpm.MyAuditVal&lt;&gt;"",_xlpm.MyAuditVal,_xlpm.MacVal&lt;&gt;"",_xlpm.MacVal,_xlpm.CSVVal&lt;&gt;"",PROPER(_xlpm.CSVVal)
)),"")</f>
        <v/>
      </c>
      <c r="G549" s="45" t="str" cm="1">
        <f t="array" ref="G549">IFERROR(_xlfn.LET(
_xlpm.CSVVal,_xlfn.XLOOKUP($A549,CSV!$A:$A,CSV!G:G,""),
_xlpm.MacVal,_xlfn.XLOOKUP($A549,Output_Mac!$A:$A,Output_Mac!H:H,""),
_xlpm.MyAuditVal,_xlfn.XLOOKUP($A549,My_Audit!$A:$A,My_Audit!F:F,""),
_xlfn.IFS(_xlpm.MyAuditVal&lt;&gt;"",_xlpm.MyAuditVal,_xlpm.MacVal&lt;&gt;"",_xlpm.MacVal,_xlpm.CSVVal&lt;&gt;"",_xlpm.CSVVal
)),"")</f>
        <v/>
      </c>
      <c r="H549" s="45" t="str">
        <f>_xlfn.XLOOKUP(A549,Output_Mac!A:A,Output_Mac!I:I,"")</f>
        <v/>
      </c>
      <c r="I549" s="45" t="str" cm="1">
        <f t="array" ref="I549">IFERROR(_xlfn.LET(
_xlpm.CSVVal,_xlfn.XLOOKUP($A549,CSV!$A:$A,CSV!H:H,""),
_xlpm.MacVal,_xlfn.XLOOKUP($A549,Output_Mac!$A:$A,Output_Mac!J:J,""),
_xlpm.MyAuditVal,_xlfn.XLOOKUP($A549,My_Audit!$A:$A,My_Audit!H:H,""),
_xlfn.IFS(_xlpm.MyAuditVal&lt;&gt;"",UPPER(_xlpm.MyAuditVal),_xlpm.MacVal&lt;&gt;"",_xlpm.MacVal,_xlpm.CSVVal&lt;&gt;"",_xlpm.CSVVal
)),"")</f>
        <v/>
      </c>
      <c r="J549" s="45" t="str" cm="1">
        <f t="array" ref="J549">IFERROR(_xlfn.LET(
_xlpm.CSVVal,_xlfn.XLOOKUP($A549,CSV!$A:$A,CSV!J:J,""),
_xlpm.MacVal,_xlfn.XLOOKUP($A549,Output_Mac!$A:$A,Output_Mac!K:K,""),
_xlpm.MyAuditVal,_xlfn.XLOOKUP($A549,My_Audit!$A:$A,My_Audit!I:I,""),
_xlfn.IFS(_xlpm.MyAuditVal&lt;&gt;"",UPPER(_xlpm.MyAuditVal),_xlpm.MacVal&lt;&gt;"",_xlpm.MacVal,_xlpm.CSVVal&lt;&gt;"",_xlpm.CSVVal
)),"")</f>
        <v/>
      </c>
      <c r="K549" s="45" t="str" cm="1">
        <f t="array" ref="K549">IFERROR(_xlfn.LET(
_xlpm.CSVVal,_xlfn.XLOOKUP($A549,CSV!$A:$A,CSV!N:N,""),
_xlpm.MacVal,_xlfn.XLOOKUP($A549,Output_Mac!$A:$A,Output_Mac!L:L,""),
_xlpm.MyAuditVal,_xlfn.XLOOKUP($A549,My_Audit!$A:$A,My_Audit!J:J,""),
_xlfn.IFS(_xlpm.MyAuditVal&lt;&gt;"",UPPER(_xlpm.MyAuditVal),_xlpm.MacVal&lt;&gt;"",_xlpm.MacVal,_xlpm.CSVVal&lt;&gt;"",_xlpm.CSVVal
)),"")</f>
        <v/>
      </c>
      <c r="L549" s="45" t="str" cm="1">
        <f t="array" ref="L549">IFERROR(_xlfn.LET(
_xlpm.CSVVal,_xlfn.XLOOKUP($A549,CSV!$A:$A,CSV!P:P,""),
_xlpm.MacVal,_xlfn.XLOOKUP($A549,Output_Mac!$A:$A,Output_Mac!M:M,""),
_xlpm.MyAuditVal,_xlfn.XLOOKUP($A549,My_Audit!$A:$A,My_Audit!K:K,""),
_xlfn.IFS(_xlpm.MyAuditVal&lt;&gt;"",UPPER(_xlpm.MyAuditVal),_xlpm.MacVal&lt;&gt;"",_xlpm.MacVal,_xlpm.CSVVal&lt;&gt;"",_xlpm.CSVVal
)),"")</f>
        <v/>
      </c>
      <c r="M549" s="45" t="str">
        <f>_xlfn.LET(
    _xlpm.CSVVal, _xlfn.XLOOKUP($A549, CSV!$A:$A, CSV!AE:AE, ""),
    _xlpm.MacVal, _xlfn.XLOOKUP($A549, Output_Mac!$A:$A, Output_Mac!S:S, ""),
    _xlpm.MyAuditVal, _xlfn.XLOOKUP($A549, My_Audit!$A:$A, My_Audit!N:N, ""),
    _xlfn.TEXTJOIN(", ", TRUE, _xlpm.MyAuditVal, _xlpm.MacVal, _xlpm.CSVVal)
)</f>
        <v/>
      </c>
      <c r="N549" s="45" t="str" cm="1">
        <f t="array" ref="N549">IFERROR(_xlfn.LET(
_xlpm.CSVVal,_xlfn.XLOOKUP($A549,CSV!$A:$A,CSV!AG:AG,""),
_xlpm.MacVal,_xlfn.XLOOKUP($A549,Output_Mac!$A:$A,Output_Mac!U:U,""),
_xlpm.MyAuditVal,_xlfn.XLOOKUP($A549,My_Audit!$A:$A,My_Audit!O:O,""),
_xlfn.IFS(_xlpm.MyAuditVal&lt;&gt;"",UPPER(_xlpm.MyAuditVal),_xlpm.MacVal&lt;&gt;"",_xlpm.MacVal,_xlpm.CSVVal&lt;&gt;"",_xlpm.CSVVal
)),"")</f>
        <v/>
      </c>
      <c r="O549" s="45"/>
      <c r="P549" s="45"/>
      <c r="Q549" s="46" t="str">
        <f>IF(LEFT(N549,4)="Pass","Nist SP 800-88",My_Audit!R549)&amp;""</f>
        <v/>
      </c>
      <c r="R549" s="45"/>
      <c r="S549" s="45"/>
      <c r="T549" s="46" t="str">
        <f>_xlfn.XLOOKUP(E549,Models!I:I,Models!J:J,"")</f>
        <v/>
      </c>
      <c r="U549" s="45"/>
      <c r="V549" s="45"/>
      <c r="W549" s="38"/>
    </row>
    <row r="550" spans="1:23">
      <c r="A550" s="45" t="str">
        <f>_xlfn.TEXTJOIN("",TRUE,Input!$B$2,ROW(My_Audit!A549))</f>
        <v>XX549</v>
      </c>
      <c r="B550" s="45" t="str">
        <f>_xlfn.TEXTJOIN("-",TRUE,"ITD",Input!$A$2,A550)</f>
        <v>ITD-SHRXXX-XX549</v>
      </c>
      <c r="C550" s="45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46" t="str" cm="1">
        <f t="array" ref="D550">IFERROR(_xlfn.LET(
_xlpm.CSVVal,_xlfn.XLOOKUP($A550,CSV!$A:$A,CSV!C:C,""),
_xlpm.MacVal,_xlfn.XLOOKUP($A550,Output_Mac!$A:$A,Output_Mac!D:D,""),
_xlpm.MyAuditVal,_xlfn.XLOOKUP($A550,My_Audit!$A:$A,My_Audit!C:C,""),
_xlfn.IFS(_xlpm.MyAuditVal&lt;&gt;"",UPPER(_xlpm.MyAuditVal),_xlpm.MacVal&lt;&gt;"",_xlpm.MacVal,_xlpm.CSVVal&lt;&gt;"",_xlpm.CSVVal
)),"")</f>
        <v/>
      </c>
      <c r="E550" s="46" t="str" cm="1">
        <f t="array" ref="E550">IFERROR(_xlfn.LET(
_xlpm.CSVVal,_xlfn.XLOOKUP($A550,CSV!$A:$A,CSV!E:E,""),
_xlpm.MacVal,_xlfn.XLOOKUP($A550,Output_Mac!$A:$A,Output_Mac!C:C,""),
_xlpm.MyAuditVal,_xlfn.XLOOKUP($A550,My_Audit!$A:$A,My_Audit!D:D,""),
_xlfn.IFS(_xlpm.MyAuditVal&lt;&gt;"",_xlpm.MyAuditVal,_xlpm.MacVal&lt;&gt;"",_xlpm.MacVal,_xlpm.CSVVal&lt;&gt;"",_xlpm.CSVVal
)),"")</f>
        <v/>
      </c>
      <c r="F550" s="45" t="str" cm="1">
        <f t="array" ref="F550">IFERROR(_xlfn.LET(
_xlpm.CSVVal,_xlfn.XLOOKUP($A550,CSV!$A:$A,CSV!F:F,""),
_xlpm.MacVal,_xlfn.XLOOKUP($A550,Output_Mac!$A:$A,Output_Mac!F:F,""),
_xlpm.MyAuditVal,_xlfn.XLOOKUP($A550,My_Audit!$A:$A,My_Audit!E:E,""),
_xlfn.IFS(_xlpm.MyAuditVal&lt;&gt;"",_xlpm.MyAuditVal,_xlpm.MacVal&lt;&gt;"",_xlpm.MacVal,_xlpm.CSVVal&lt;&gt;"",PROPER(_xlpm.CSVVal)
)),"")</f>
        <v/>
      </c>
      <c r="G550" s="45" t="str" cm="1">
        <f t="array" ref="G550">IFERROR(_xlfn.LET(
_xlpm.CSVVal,_xlfn.XLOOKUP($A550,CSV!$A:$A,CSV!G:G,""),
_xlpm.MacVal,_xlfn.XLOOKUP($A550,Output_Mac!$A:$A,Output_Mac!H:H,""),
_xlpm.MyAuditVal,_xlfn.XLOOKUP($A550,My_Audit!$A:$A,My_Audit!F:F,""),
_xlfn.IFS(_xlpm.MyAuditVal&lt;&gt;"",_xlpm.MyAuditVal,_xlpm.MacVal&lt;&gt;"",_xlpm.MacVal,_xlpm.CSVVal&lt;&gt;"",_xlpm.CSVVal
)),"")</f>
        <v/>
      </c>
      <c r="H550" s="45" t="str">
        <f>_xlfn.XLOOKUP(A550,Output_Mac!A:A,Output_Mac!I:I,"")</f>
        <v/>
      </c>
      <c r="I550" s="45" t="str" cm="1">
        <f t="array" ref="I550">IFERROR(_xlfn.LET(
_xlpm.CSVVal,_xlfn.XLOOKUP($A550,CSV!$A:$A,CSV!H:H,""),
_xlpm.MacVal,_xlfn.XLOOKUP($A550,Output_Mac!$A:$A,Output_Mac!J:J,""),
_xlpm.MyAuditVal,_xlfn.XLOOKUP($A550,My_Audit!$A:$A,My_Audit!H:H,""),
_xlfn.IFS(_xlpm.MyAuditVal&lt;&gt;"",UPPER(_xlpm.MyAuditVal),_xlpm.MacVal&lt;&gt;"",_xlpm.MacVal,_xlpm.CSVVal&lt;&gt;"",_xlpm.CSVVal
)),"")</f>
        <v/>
      </c>
      <c r="J550" s="45" t="str" cm="1">
        <f t="array" ref="J550">IFERROR(_xlfn.LET(
_xlpm.CSVVal,_xlfn.XLOOKUP($A550,CSV!$A:$A,CSV!J:J,""),
_xlpm.MacVal,_xlfn.XLOOKUP($A550,Output_Mac!$A:$A,Output_Mac!K:K,""),
_xlpm.MyAuditVal,_xlfn.XLOOKUP($A550,My_Audit!$A:$A,My_Audit!I:I,""),
_xlfn.IFS(_xlpm.MyAuditVal&lt;&gt;"",UPPER(_xlpm.MyAuditVal),_xlpm.MacVal&lt;&gt;"",_xlpm.MacVal,_xlpm.CSVVal&lt;&gt;"",_xlpm.CSVVal
)),"")</f>
        <v/>
      </c>
      <c r="K550" s="45" t="str" cm="1">
        <f t="array" ref="K550">IFERROR(_xlfn.LET(
_xlpm.CSVVal,_xlfn.XLOOKUP($A550,CSV!$A:$A,CSV!N:N,""),
_xlpm.MacVal,_xlfn.XLOOKUP($A550,Output_Mac!$A:$A,Output_Mac!L:L,""),
_xlpm.MyAuditVal,_xlfn.XLOOKUP($A550,My_Audit!$A:$A,My_Audit!J:J,""),
_xlfn.IFS(_xlpm.MyAuditVal&lt;&gt;"",UPPER(_xlpm.MyAuditVal),_xlpm.MacVal&lt;&gt;"",_xlpm.MacVal,_xlpm.CSVVal&lt;&gt;"",_xlpm.CSVVal
)),"")</f>
        <v/>
      </c>
      <c r="L550" s="45" t="str" cm="1">
        <f t="array" ref="L550">IFERROR(_xlfn.LET(
_xlpm.CSVVal,_xlfn.XLOOKUP($A550,CSV!$A:$A,CSV!P:P,""),
_xlpm.MacVal,_xlfn.XLOOKUP($A550,Output_Mac!$A:$A,Output_Mac!M:M,""),
_xlpm.MyAuditVal,_xlfn.XLOOKUP($A550,My_Audit!$A:$A,My_Audit!K:K,""),
_xlfn.IFS(_xlpm.MyAuditVal&lt;&gt;"",UPPER(_xlpm.MyAuditVal),_xlpm.MacVal&lt;&gt;"",_xlpm.MacVal,_xlpm.CSVVal&lt;&gt;"",_xlpm.CSVVal
)),"")</f>
        <v/>
      </c>
      <c r="M550" s="45" t="str">
        <f>_xlfn.LET(
    _xlpm.CSVVal, _xlfn.XLOOKUP($A550, CSV!$A:$A, CSV!AE:AE, ""),
    _xlpm.MacVal, _xlfn.XLOOKUP($A550, Output_Mac!$A:$A, Output_Mac!S:S, ""),
    _xlpm.MyAuditVal, _xlfn.XLOOKUP($A550, My_Audit!$A:$A, My_Audit!N:N, ""),
    _xlfn.TEXTJOIN(", ", TRUE, _xlpm.MyAuditVal, _xlpm.MacVal, _xlpm.CSVVal)
)</f>
        <v/>
      </c>
      <c r="N550" s="45" t="str" cm="1">
        <f t="array" ref="N550">IFERROR(_xlfn.LET(
_xlpm.CSVVal,_xlfn.XLOOKUP($A550,CSV!$A:$A,CSV!AG:AG,""),
_xlpm.MacVal,_xlfn.XLOOKUP($A550,Output_Mac!$A:$A,Output_Mac!U:U,""),
_xlpm.MyAuditVal,_xlfn.XLOOKUP($A550,My_Audit!$A:$A,My_Audit!O:O,""),
_xlfn.IFS(_xlpm.MyAuditVal&lt;&gt;"",UPPER(_xlpm.MyAuditVal),_xlpm.MacVal&lt;&gt;"",_xlpm.MacVal,_xlpm.CSVVal&lt;&gt;"",_xlpm.CSVVal
)),"")</f>
        <v/>
      </c>
      <c r="O550" s="45"/>
      <c r="P550" s="45"/>
      <c r="Q550" s="46" t="str">
        <f>IF(LEFT(N550,4)="Pass","Nist SP 800-88",My_Audit!R550)&amp;""</f>
        <v/>
      </c>
      <c r="R550" s="45"/>
      <c r="S550" s="45"/>
      <c r="T550" s="46" t="str">
        <f>_xlfn.XLOOKUP(E550,Models!I:I,Models!J:J,"")</f>
        <v/>
      </c>
      <c r="U550" s="45"/>
      <c r="V550" s="45"/>
      <c r="W550" s="38"/>
    </row>
    <row r="551" spans="1:23">
      <c r="A551" s="45" t="str">
        <f>_xlfn.TEXTJOIN("",TRUE,Input!$B$2,ROW(My_Audit!A550))</f>
        <v>XX550</v>
      </c>
      <c r="B551" s="45" t="str">
        <f>_xlfn.TEXTJOIN("-",TRUE,"ITD",Input!$A$2,A551)</f>
        <v>ITD-SHRXXX-XX550</v>
      </c>
      <c r="C551" s="45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46" t="str" cm="1">
        <f t="array" ref="D551">IFERROR(_xlfn.LET(
_xlpm.CSVVal,_xlfn.XLOOKUP($A551,CSV!$A:$A,CSV!C:C,""),
_xlpm.MacVal,_xlfn.XLOOKUP($A551,Output_Mac!$A:$A,Output_Mac!D:D,""),
_xlpm.MyAuditVal,_xlfn.XLOOKUP($A551,My_Audit!$A:$A,My_Audit!C:C,""),
_xlfn.IFS(_xlpm.MyAuditVal&lt;&gt;"",UPPER(_xlpm.MyAuditVal),_xlpm.MacVal&lt;&gt;"",_xlpm.MacVal,_xlpm.CSVVal&lt;&gt;"",_xlpm.CSVVal
)),"")</f>
        <v/>
      </c>
      <c r="E551" s="46" t="str" cm="1">
        <f t="array" ref="E551">IFERROR(_xlfn.LET(
_xlpm.CSVVal,_xlfn.XLOOKUP($A551,CSV!$A:$A,CSV!E:E,""),
_xlpm.MacVal,_xlfn.XLOOKUP($A551,Output_Mac!$A:$A,Output_Mac!C:C,""),
_xlpm.MyAuditVal,_xlfn.XLOOKUP($A551,My_Audit!$A:$A,My_Audit!D:D,""),
_xlfn.IFS(_xlpm.MyAuditVal&lt;&gt;"",_xlpm.MyAuditVal,_xlpm.MacVal&lt;&gt;"",_xlpm.MacVal,_xlpm.CSVVal&lt;&gt;"",_xlpm.CSVVal
)),"")</f>
        <v/>
      </c>
      <c r="F551" s="45" t="str" cm="1">
        <f t="array" ref="F551">IFERROR(_xlfn.LET(
_xlpm.CSVVal,_xlfn.XLOOKUP($A551,CSV!$A:$A,CSV!F:F,""),
_xlpm.MacVal,_xlfn.XLOOKUP($A551,Output_Mac!$A:$A,Output_Mac!F:F,""),
_xlpm.MyAuditVal,_xlfn.XLOOKUP($A551,My_Audit!$A:$A,My_Audit!E:E,""),
_xlfn.IFS(_xlpm.MyAuditVal&lt;&gt;"",_xlpm.MyAuditVal,_xlpm.MacVal&lt;&gt;"",_xlpm.MacVal,_xlpm.CSVVal&lt;&gt;"",PROPER(_xlpm.CSVVal)
)),"")</f>
        <v/>
      </c>
      <c r="G551" s="45" t="str" cm="1">
        <f t="array" ref="G551">IFERROR(_xlfn.LET(
_xlpm.CSVVal,_xlfn.XLOOKUP($A551,CSV!$A:$A,CSV!G:G,""),
_xlpm.MacVal,_xlfn.XLOOKUP($A551,Output_Mac!$A:$A,Output_Mac!H:H,""),
_xlpm.MyAuditVal,_xlfn.XLOOKUP($A551,My_Audit!$A:$A,My_Audit!F:F,""),
_xlfn.IFS(_xlpm.MyAuditVal&lt;&gt;"",_xlpm.MyAuditVal,_xlpm.MacVal&lt;&gt;"",_xlpm.MacVal,_xlpm.CSVVal&lt;&gt;"",_xlpm.CSVVal
)),"")</f>
        <v/>
      </c>
      <c r="H551" s="45" t="str">
        <f>_xlfn.XLOOKUP(A551,Output_Mac!A:A,Output_Mac!I:I,"")</f>
        <v/>
      </c>
      <c r="I551" s="45" t="str" cm="1">
        <f t="array" ref="I551">IFERROR(_xlfn.LET(
_xlpm.CSVVal,_xlfn.XLOOKUP($A551,CSV!$A:$A,CSV!H:H,""),
_xlpm.MacVal,_xlfn.XLOOKUP($A551,Output_Mac!$A:$A,Output_Mac!J:J,""),
_xlpm.MyAuditVal,_xlfn.XLOOKUP($A551,My_Audit!$A:$A,My_Audit!H:H,""),
_xlfn.IFS(_xlpm.MyAuditVal&lt;&gt;"",UPPER(_xlpm.MyAuditVal),_xlpm.MacVal&lt;&gt;"",_xlpm.MacVal,_xlpm.CSVVal&lt;&gt;"",_xlpm.CSVVal
)),"")</f>
        <v/>
      </c>
      <c r="J551" s="45" t="str" cm="1">
        <f t="array" ref="J551">IFERROR(_xlfn.LET(
_xlpm.CSVVal,_xlfn.XLOOKUP($A551,CSV!$A:$A,CSV!J:J,""),
_xlpm.MacVal,_xlfn.XLOOKUP($A551,Output_Mac!$A:$A,Output_Mac!K:K,""),
_xlpm.MyAuditVal,_xlfn.XLOOKUP($A551,My_Audit!$A:$A,My_Audit!I:I,""),
_xlfn.IFS(_xlpm.MyAuditVal&lt;&gt;"",UPPER(_xlpm.MyAuditVal),_xlpm.MacVal&lt;&gt;"",_xlpm.MacVal,_xlpm.CSVVal&lt;&gt;"",_xlpm.CSVVal
)),"")</f>
        <v/>
      </c>
      <c r="K551" s="45" t="str" cm="1">
        <f t="array" ref="K551">IFERROR(_xlfn.LET(
_xlpm.CSVVal,_xlfn.XLOOKUP($A551,CSV!$A:$A,CSV!N:N,""),
_xlpm.MacVal,_xlfn.XLOOKUP($A551,Output_Mac!$A:$A,Output_Mac!L:L,""),
_xlpm.MyAuditVal,_xlfn.XLOOKUP($A551,My_Audit!$A:$A,My_Audit!J:J,""),
_xlfn.IFS(_xlpm.MyAuditVal&lt;&gt;"",UPPER(_xlpm.MyAuditVal),_xlpm.MacVal&lt;&gt;"",_xlpm.MacVal,_xlpm.CSVVal&lt;&gt;"",_xlpm.CSVVal
)),"")</f>
        <v/>
      </c>
      <c r="L551" s="45" t="str" cm="1">
        <f t="array" ref="L551">IFERROR(_xlfn.LET(
_xlpm.CSVVal,_xlfn.XLOOKUP($A551,CSV!$A:$A,CSV!P:P,""),
_xlpm.MacVal,_xlfn.XLOOKUP($A551,Output_Mac!$A:$A,Output_Mac!M:M,""),
_xlpm.MyAuditVal,_xlfn.XLOOKUP($A551,My_Audit!$A:$A,My_Audit!K:K,""),
_xlfn.IFS(_xlpm.MyAuditVal&lt;&gt;"",UPPER(_xlpm.MyAuditVal),_xlpm.MacVal&lt;&gt;"",_xlpm.MacVal,_xlpm.CSVVal&lt;&gt;"",_xlpm.CSVVal
)),"")</f>
        <v/>
      </c>
      <c r="M551" s="45" t="str">
        <f>_xlfn.LET(
    _xlpm.CSVVal, _xlfn.XLOOKUP($A551, CSV!$A:$A, CSV!AE:AE, ""),
    _xlpm.MacVal, _xlfn.XLOOKUP($A551, Output_Mac!$A:$A, Output_Mac!S:S, ""),
    _xlpm.MyAuditVal, _xlfn.XLOOKUP($A551, My_Audit!$A:$A, My_Audit!N:N, ""),
    _xlfn.TEXTJOIN(", ", TRUE, _xlpm.MyAuditVal, _xlpm.MacVal, _xlpm.CSVVal)
)</f>
        <v/>
      </c>
      <c r="N551" s="45" t="str" cm="1">
        <f t="array" ref="N551">IFERROR(_xlfn.LET(
_xlpm.CSVVal,_xlfn.XLOOKUP($A551,CSV!$A:$A,CSV!AG:AG,""),
_xlpm.MacVal,_xlfn.XLOOKUP($A551,Output_Mac!$A:$A,Output_Mac!U:U,""),
_xlpm.MyAuditVal,_xlfn.XLOOKUP($A551,My_Audit!$A:$A,My_Audit!O:O,""),
_xlfn.IFS(_xlpm.MyAuditVal&lt;&gt;"",UPPER(_xlpm.MyAuditVal),_xlpm.MacVal&lt;&gt;"",_xlpm.MacVal,_xlpm.CSVVal&lt;&gt;"",_xlpm.CSVVal
)),"")</f>
        <v/>
      </c>
      <c r="O551" s="45"/>
      <c r="P551" s="45"/>
      <c r="Q551" s="46" t="str">
        <f>IF(LEFT(N551,4)="Pass","Nist SP 800-88",My_Audit!R551)&amp;""</f>
        <v/>
      </c>
      <c r="R551" s="45"/>
      <c r="S551" s="45"/>
      <c r="T551" s="46" t="str">
        <f>_xlfn.XLOOKUP(E551,Models!I:I,Models!J:J,"")</f>
        <v/>
      </c>
      <c r="U551" s="45"/>
      <c r="V551" s="45"/>
      <c r="W551" s="38"/>
    </row>
    <row r="552" spans="1:23">
      <c r="A552" s="45" t="str">
        <f>_xlfn.TEXTJOIN("",TRUE,Input!$B$2,ROW(My_Audit!A551))</f>
        <v>XX551</v>
      </c>
      <c r="B552" s="45" t="str">
        <f>_xlfn.TEXTJOIN("-",TRUE,"ITD",Input!$A$2,A552)</f>
        <v>ITD-SHRXXX-XX551</v>
      </c>
      <c r="C552" s="45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46" t="str" cm="1">
        <f t="array" ref="D552">IFERROR(_xlfn.LET(
_xlpm.CSVVal,_xlfn.XLOOKUP($A552,CSV!$A:$A,CSV!C:C,""),
_xlpm.MacVal,_xlfn.XLOOKUP($A552,Output_Mac!$A:$A,Output_Mac!D:D,""),
_xlpm.MyAuditVal,_xlfn.XLOOKUP($A552,My_Audit!$A:$A,My_Audit!C:C,""),
_xlfn.IFS(_xlpm.MyAuditVal&lt;&gt;"",UPPER(_xlpm.MyAuditVal),_xlpm.MacVal&lt;&gt;"",_xlpm.MacVal,_xlpm.CSVVal&lt;&gt;"",_xlpm.CSVVal
)),"")</f>
        <v/>
      </c>
      <c r="E552" s="46" t="str" cm="1">
        <f t="array" ref="E552">IFERROR(_xlfn.LET(
_xlpm.CSVVal,_xlfn.XLOOKUP($A552,CSV!$A:$A,CSV!E:E,""),
_xlpm.MacVal,_xlfn.XLOOKUP($A552,Output_Mac!$A:$A,Output_Mac!C:C,""),
_xlpm.MyAuditVal,_xlfn.XLOOKUP($A552,My_Audit!$A:$A,My_Audit!D:D,""),
_xlfn.IFS(_xlpm.MyAuditVal&lt;&gt;"",_xlpm.MyAuditVal,_xlpm.MacVal&lt;&gt;"",_xlpm.MacVal,_xlpm.CSVVal&lt;&gt;"",_xlpm.CSVVal
)),"")</f>
        <v/>
      </c>
      <c r="F552" s="45" t="str" cm="1">
        <f t="array" ref="F552">IFERROR(_xlfn.LET(
_xlpm.CSVVal,_xlfn.XLOOKUP($A552,CSV!$A:$A,CSV!F:F,""),
_xlpm.MacVal,_xlfn.XLOOKUP($A552,Output_Mac!$A:$A,Output_Mac!F:F,""),
_xlpm.MyAuditVal,_xlfn.XLOOKUP($A552,My_Audit!$A:$A,My_Audit!E:E,""),
_xlfn.IFS(_xlpm.MyAuditVal&lt;&gt;"",_xlpm.MyAuditVal,_xlpm.MacVal&lt;&gt;"",_xlpm.MacVal,_xlpm.CSVVal&lt;&gt;"",PROPER(_xlpm.CSVVal)
)),"")</f>
        <v/>
      </c>
      <c r="G552" s="45" t="str" cm="1">
        <f t="array" ref="G552">IFERROR(_xlfn.LET(
_xlpm.CSVVal,_xlfn.XLOOKUP($A552,CSV!$A:$A,CSV!G:G,""),
_xlpm.MacVal,_xlfn.XLOOKUP($A552,Output_Mac!$A:$A,Output_Mac!H:H,""),
_xlpm.MyAuditVal,_xlfn.XLOOKUP($A552,My_Audit!$A:$A,My_Audit!F:F,""),
_xlfn.IFS(_xlpm.MyAuditVal&lt;&gt;"",_xlpm.MyAuditVal,_xlpm.MacVal&lt;&gt;"",_xlpm.MacVal,_xlpm.CSVVal&lt;&gt;"",_xlpm.CSVVal
)),"")</f>
        <v/>
      </c>
      <c r="H552" s="45" t="str">
        <f>_xlfn.XLOOKUP(A552,Output_Mac!A:A,Output_Mac!I:I,"")</f>
        <v/>
      </c>
      <c r="I552" s="45" t="str" cm="1">
        <f t="array" ref="I552">IFERROR(_xlfn.LET(
_xlpm.CSVVal,_xlfn.XLOOKUP($A552,CSV!$A:$A,CSV!H:H,""),
_xlpm.MacVal,_xlfn.XLOOKUP($A552,Output_Mac!$A:$A,Output_Mac!J:J,""),
_xlpm.MyAuditVal,_xlfn.XLOOKUP($A552,My_Audit!$A:$A,My_Audit!H:H,""),
_xlfn.IFS(_xlpm.MyAuditVal&lt;&gt;"",UPPER(_xlpm.MyAuditVal),_xlpm.MacVal&lt;&gt;"",_xlpm.MacVal,_xlpm.CSVVal&lt;&gt;"",_xlpm.CSVVal
)),"")</f>
        <v/>
      </c>
      <c r="J552" s="45" t="str" cm="1">
        <f t="array" ref="J552">IFERROR(_xlfn.LET(
_xlpm.CSVVal,_xlfn.XLOOKUP($A552,CSV!$A:$A,CSV!J:J,""),
_xlpm.MacVal,_xlfn.XLOOKUP($A552,Output_Mac!$A:$A,Output_Mac!K:K,""),
_xlpm.MyAuditVal,_xlfn.XLOOKUP($A552,My_Audit!$A:$A,My_Audit!I:I,""),
_xlfn.IFS(_xlpm.MyAuditVal&lt;&gt;"",UPPER(_xlpm.MyAuditVal),_xlpm.MacVal&lt;&gt;"",_xlpm.MacVal,_xlpm.CSVVal&lt;&gt;"",_xlpm.CSVVal
)),"")</f>
        <v/>
      </c>
      <c r="K552" s="45" t="str" cm="1">
        <f t="array" ref="K552">IFERROR(_xlfn.LET(
_xlpm.CSVVal,_xlfn.XLOOKUP($A552,CSV!$A:$A,CSV!N:N,""),
_xlpm.MacVal,_xlfn.XLOOKUP($A552,Output_Mac!$A:$A,Output_Mac!L:L,""),
_xlpm.MyAuditVal,_xlfn.XLOOKUP($A552,My_Audit!$A:$A,My_Audit!J:J,""),
_xlfn.IFS(_xlpm.MyAuditVal&lt;&gt;"",UPPER(_xlpm.MyAuditVal),_xlpm.MacVal&lt;&gt;"",_xlpm.MacVal,_xlpm.CSVVal&lt;&gt;"",_xlpm.CSVVal
)),"")</f>
        <v/>
      </c>
      <c r="L552" s="45" t="str" cm="1">
        <f t="array" ref="L552">IFERROR(_xlfn.LET(
_xlpm.CSVVal,_xlfn.XLOOKUP($A552,CSV!$A:$A,CSV!P:P,""),
_xlpm.MacVal,_xlfn.XLOOKUP($A552,Output_Mac!$A:$A,Output_Mac!M:M,""),
_xlpm.MyAuditVal,_xlfn.XLOOKUP($A552,My_Audit!$A:$A,My_Audit!K:K,""),
_xlfn.IFS(_xlpm.MyAuditVal&lt;&gt;"",UPPER(_xlpm.MyAuditVal),_xlpm.MacVal&lt;&gt;"",_xlpm.MacVal,_xlpm.CSVVal&lt;&gt;"",_xlpm.CSVVal
)),"")</f>
        <v/>
      </c>
      <c r="M552" s="45" t="str">
        <f>_xlfn.LET(
    _xlpm.CSVVal, _xlfn.XLOOKUP($A552, CSV!$A:$A, CSV!AE:AE, ""),
    _xlpm.MacVal, _xlfn.XLOOKUP($A552, Output_Mac!$A:$A, Output_Mac!S:S, ""),
    _xlpm.MyAuditVal, _xlfn.XLOOKUP($A552, My_Audit!$A:$A, My_Audit!N:N, ""),
    _xlfn.TEXTJOIN(", ", TRUE, _xlpm.MyAuditVal, _xlpm.MacVal, _xlpm.CSVVal)
)</f>
        <v/>
      </c>
      <c r="N552" s="45" t="str" cm="1">
        <f t="array" ref="N552">IFERROR(_xlfn.LET(
_xlpm.CSVVal,_xlfn.XLOOKUP($A552,CSV!$A:$A,CSV!AG:AG,""),
_xlpm.MacVal,_xlfn.XLOOKUP($A552,Output_Mac!$A:$A,Output_Mac!U:U,""),
_xlpm.MyAuditVal,_xlfn.XLOOKUP($A552,My_Audit!$A:$A,My_Audit!O:O,""),
_xlfn.IFS(_xlpm.MyAuditVal&lt;&gt;"",UPPER(_xlpm.MyAuditVal),_xlpm.MacVal&lt;&gt;"",_xlpm.MacVal,_xlpm.CSVVal&lt;&gt;"",_xlpm.CSVVal
)),"")</f>
        <v/>
      </c>
      <c r="O552" s="45"/>
      <c r="P552" s="45"/>
      <c r="Q552" s="46" t="str">
        <f>IF(LEFT(N552,4)="Pass","Nist SP 800-88",My_Audit!R552)&amp;""</f>
        <v/>
      </c>
      <c r="R552" s="45"/>
      <c r="S552" s="45"/>
      <c r="T552" s="46" t="str">
        <f>_xlfn.XLOOKUP(E552,Models!I:I,Models!J:J,"")</f>
        <v/>
      </c>
      <c r="U552" s="45"/>
      <c r="V552" s="45"/>
      <c r="W552" s="38"/>
    </row>
    <row r="553" spans="1:23">
      <c r="A553" s="45" t="str">
        <f>_xlfn.TEXTJOIN("",TRUE,Input!$B$2,ROW(My_Audit!A552))</f>
        <v>XX552</v>
      </c>
      <c r="B553" s="45" t="str">
        <f>_xlfn.TEXTJOIN("-",TRUE,"ITD",Input!$A$2,A553)</f>
        <v>ITD-SHRXXX-XX552</v>
      </c>
      <c r="C553" s="45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46" t="str" cm="1">
        <f t="array" ref="D553">IFERROR(_xlfn.LET(
_xlpm.CSVVal,_xlfn.XLOOKUP($A553,CSV!$A:$A,CSV!C:C,""),
_xlpm.MacVal,_xlfn.XLOOKUP($A553,Output_Mac!$A:$A,Output_Mac!D:D,""),
_xlpm.MyAuditVal,_xlfn.XLOOKUP($A553,My_Audit!$A:$A,My_Audit!C:C,""),
_xlfn.IFS(_xlpm.MyAuditVal&lt;&gt;"",UPPER(_xlpm.MyAuditVal),_xlpm.MacVal&lt;&gt;"",_xlpm.MacVal,_xlpm.CSVVal&lt;&gt;"",_xlpm.CSVVal
)),"")</f>
        <v/>
      </c>
      <c r="E553" s="46" t="str" cm="1">
        <f t="array" ref="E553">IFERROR(_xlfn.LET(
_xlpm.CSVVal,_xlfn.XLOOKUP($A553,CSV!$A:$A,CSV!E:E,""),
_xlpm.MacVal,_xlfn.XLOOKUP($A553,Output_Mac!$A:$A,Output_Mac!C:C,""),
_xlpm.MyAuditVal,_xlfn.XLOOKUP($A553,My_Audit!$A:$A,My_Audit!D:D,""),
_xlfn.IFS(_xlpm.MyAuditVal&lt;&gt;"",_xlpm.MyAuditVal,_xlpm.MacVal&lt;&gt;"",_xlpm.MacVal,_xlpm.CSVVal&lt;&gt;"",_xlpm.CSVVal
)),"")</f>
        <v/>
      </c>
      <c r="F553" s="45" t="str" cm="1">
        <f t="array" ref="F553">IFERROR(_xlfn.LET(
_xlpm.CSVVal,_xlfn.XLOOKUP($A553,CSV!$A:$A,CSV!F:F,""),
_xlpm.MacVal,_xlfn.XLOOKUP($A553,Output_Mac!$A:$A,Output_Mac!F:F,""),
_xlpm.MyAuditVal,_xlfn.XLOOKUP($A553,My_Audit!$A:$A,My_Audit!E:E,""),
_xlfn.IFS(_xlpm.MyAuditVal&lt;&gt;"",_xlpm.MyAuditVal,_xlpm.MacVal&lt;&gt;"",_xlpm.MacVal,_xlpm.CSVVal&lt;&gt;"",PROPER(_xlpm.CSVVal)
)),"")</f>
        <v/>
      </c>
      <c r="G553" s="45" t="str" cm="1">
        <f t="array" ref="G553">IFERROR(_xlfn.LET(
_xlpm.CSVVal,_xlfn.XLOOKUP($A553,CSV!$A:$A,CSV!G:G,""),
_xlpm.MacVal,_xlfn.XLOOKUP($A553,Output_Mac!$A:$A,Output_Mac!H:H,""),
_xlpm.MyAuditVal,_xlfn.XLOOKUP($A553,My_Audit!$A:$A,My_Audit!F:F,""),
_xlfn.IFS(_xlpm.MyAuditVal&lt;&gt;"",_xlpm.MyAuditVal,_xlpm.MacVal&lt;&gt;"",_xlpm.MacVal,_xlpm.CSVVal&lt;&gt;"",_xlpm.CSVVal
)),"")</f>
        <v/>
      </c>
      <c r="H553" s="45" t="str">
        <f>_xlfn.XLOOKUP(A553,Output_Mac!A:A,Output_Mac!I:I,"")</f>
        <v/>
      </c>
      <c r="I553" s="45" t="str" cm="1">
        <f t="array" ref="I553">IFERROR(_xlfn.LET(
_xlpm.CSVVal,_xlfn.XLOOKUP($A553,CSV!$A:$A,CSV!H:H,""),
_xlpm.MacVal,_xlfn.XLOOKUP($A553,Output_Mac!$A:$A,Output_Mac!J:J,""),
_xlpm.MyAuditVal,_xlfn.XLOOKUP($A553,My_Audit!$A:$A,My_Audit!H:H,""),
_xlfn.IFS(_xlpm.MyAuditVal&lt;&gt;"",UPPER(_xlpm.MyAuditVal),_xlpm.MacVal&lt;&gt;"",_xlpm.MacVal,_xlpm.CSVVal&lt;&gt;"",_xlpm.CSVVal
)),"")</f>
        <v/>
      </c>
      <c r="J553" s="45" t="str" cm="1">
        <f t="array" ref="J553">IFERROR(_xlfn.LET(
_xlpm.CSVVal,_xlfn.XLOOKUP($A553,CSV!$A:$A,CSV!J:J,""),
_xlpm.MacVal,_xlfn.XLOOKUP($A553,Output_Mac!$A:$A,Output_Mac!K:K,""),
_xlpm.MyAuditVal,_xlfn.XLOOKUP($A553,My_Audit!$A:$A,My_Audit!I:I,""),
_xlfn.IFS(_xlpm.MyAuditVal&lt;&gt;"",UPPER(_xlpm.MyAuditVal),_xlpm.MacVal&lt;&gt;"",_xlpm.MacVal,_xlpm.CSVVal&lt;&gt;"",_xlpm.CSVVal
)),"")</f>
        <v/>
      </c>
      <c r="K553" s="45" t="str" cm="1">
        <f t="array" ref="K553">IFERROR(_xlfn.LET(
_xlpm.CSVVal,_xlfn.XLOOKUP($A553,CSV!$A:$A,CSV!N:N,""),
_xlpm.MacVal,_xlfn.XLOOKUP($A553,Output_Mac!$A:$A,Output_Mac!L:L,""),
_xlpm.MyAuditVal,_xlfn.XLOOKUP($A553,My_Audit!$A:$A,My_Audit!J:J,""),
_xlfn.IFS(_xlpm.MyAuditVal&lt;&gt;"",UPPER(_xlpm.MyAuditVal),_xlpm.MacVal&lt;&gt;"",_xlpm.MacVal,_xlpm.CSVVal&lt;&gt;"",_xlpm.CSVVal
)),"")</f>
        <v/>
      </c>
      <c r="L553" s="45" t="str" cm="1">
        <f t="array" ref="L553">IFERROR(_xlfn.LET(
_xlpm.CSVVal,_xlfn.XLOOKUP($A553,CSV!$A:$A,CSV!P:P,""),
_xlpm.MacVal,_xlfn.XLOOKUP($A553,Output_Mac!$A:$A,Output_Mac!M:M,""),
_xlpm.MyAuditVal,_xlfn.XLOOKUP($A553,My_Audit!$A:$A,My_Audit!K:K,""),
_xlfn.IFS(_xlpm.MyAuditVal&lt;&gt;"",UPPER(_xlpm.MyAuditVal),_xlpm.MacVal&lt;&gt;"",_xlpm.MacVal,_xlpm.CSVVal&lt;&gt;"",_xlpm.CSVVal
)),"")</f>
        <v/>
      </c>
      <c r="M553" s="45" t="str">
        <f>_xlfn.LET(
    _xlpm.CSVVal, _xlfn.XLOOKUP($A553, CSV!$A:$A, CSV!AE:AE, ""),
    _xlpm.MacVal, _xlfn.XLOOKUP($A553, Output_Mac!$A:$A, Output_Mac!S:S, ""),
    _xlpm.MyAuditVal, _xlfn.XLOOKUP($A553, My_Audit!$A:$A, My_Audit!N:N, ""),
    _xlfn.TEXTJOIN(", ", TRUE, _xlpm.MyAuditVal, _xlpm.MacVal, _xlpm.CSVVal)
)</f>
        <v/>
      </c>
      <c r="N553" s="45" t="str" cm="1">
        <f t="array" ref="N553">IFERROR(_xlfn.LET(
_xlpm.CSVVal,_xlfn.XLOOKUP($A553,CSV!$A:$A,CSV!AG:AG,""),
_xlpm.MacVal,_xlfn.XLOOKUP($A553,Output_Mac!$A:$A,Output_Mac!U:U,""),
_xlpm.MyAuditVal,_xlfn.XLOOKUP($A553,My_Audit!$A:$A,My_Audit!O:O,""),
_xlfn.IFS(_xlpm.MyAuditVal&lt;&gt;"",UPPER(_xlpm.MyAuditVal),_xlpm.MacVal&lt;&gt;"",_xlpm.MacVal,_xlpm.CSVVal&lt;&gt;"",_xlpm.CSVVal
)),"")</f>
        <v/>
      </c>
      <c r="O553" s="45"/>
      <c r="P553" s="45"/>
      <c r="Q553" s="46" t="str">
        <f>IF(LEFT(N553,4)="Pass","Nist SP 800-88",My_Audit!R553)&amp;""</f>
        <v/>
      </c>
      <c r="R553" s="45"/>
      <c r="S553" s="45"/>
      <c r="T553" s="46" t="str">
        <f>_xlfn.XLOOKUP(E553,Models!I:I,Models!J:J,"")</f>
        <v/>
      </c>
      <c r="U553" s="45"/>
      <c r="V553" s="45"/>
      <c r="W553" s="38"/>
    </row>
    <row r="554" spans="1:23">
      <c r="A554" s="45" t="str">
        <f>_xlfn.TEXTJOIN("",TRUE,Input!$B$2,ROW(My_Audit!A553))</f>
        <v>XX553</v>
      </c>
      <c r="B554" s="45" t="str">
        <f>_xlfn.TEXTJOIN("-",TRUE,"ITD",Input!$A$2,A554)</f>
        <v>ITD-SHRXXX-XX553</v>
      </c>
      <c r="C554" s="45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46" t="str" cm="1">
        <f t="array" ref="D554">IFERROR(_xlfn.LET(
_xlpm.CSVVal,_xlfn.XLOOKUP($A554,CSV!$A:$A,CSV!C:C,""),
_xlpm.MacVal,_xlfn.XLOOKUP($A554,Output_Mac!$A:$A,Output_Mac!D:D,""),
_xlpm.MyAuditVal,_xlfn.XLOOKUP($A554,My_Audit!$A:$A,My_Audit!C:C,""),
_xlfn.IFS(_xlpm.MyAuditVal&lt;&gt;"",UPPER(_xlpm.MyAuditVal),_xlpm.MacVal&lt;&gt;"",_xlpm.MacVal,_xlpm.CSVVal&lt;&gt;"",_xlpm.CSVVal
)),"")</f>
        <v/>
      </c>
      <c r="E554" s="46" t="str" cm="1">
        <f t="array" ref="E554">IFERROR(_xlfn.LET(
_xlpm.CSVVal,_xlfn.XLOOKUP($A554,CSV!$A:$A,CSV!E:E,""),
_xlpm.MacVal,_xlfn.XLOOKUP($A554,Output_Mac!$A:$A,Output_Mac!C:C,""),
_xlpm.MyAuditVal,_xlfn.XLOOKUP($A554,My_Audit!$A:$A,My_Audit!D:D,""),
_xlfn.IFS(_xlpm.MyAuditVal&lt;&gt;"",_xlpm.MyAuditVal,_xlpm.MacVal&lt;&gt;"",_xlpm.MacVal,_xlpm.CSVVal&lt;&gt;"",_xlpm.CSVVal
)),"")</f>
        <v/>
      </c>
      <c r="F554" s="45" t="str" cm="1">
        <f t="array" ref="F554">IFERROR(_xlfn.LET(
_xlpm.CSVVal,_xlfn.XLOOKUP($A554,CSV!$A:$A,CSV!F:F,""),
_xlpm.MacVal,_xlfn.XLOOKUP($A554,Output_Mac!$A:$A,Output_Mac!F:F,""),
_xlpm.MyAuditVal,_xlfn.XLOOKUP($A554,My_Audit!$A:$A,My_Audit!E:E,""),
_xlfn.IFS(_xlpm.MyAuditVal&lt;&gt;"",_xlpm.MyAuditVal,_xlpm.MacVal&lt;&gt;"",_xlpm.MacVal,_xlpm.CSVVal&lt;&gt;"",PROPER(_xlpm.CSVVal)
)),"")</f>
        <v/>
      </c>
      <c r="G554" s="45" t="str" cm="1">
        <f t="array" ref="G554">IFERROR(_xlfn.LET(
_xlpm.CSVVal,_xlfn.XLOOKUP($A554,CSV!$A:$A,CSV!G:G,""),
_xlpm.MacVal,_xlfn.XLOOKUP($A554,Output_Mac!$A:$A,Output_Mac!H:H,""),
_xlpm.MyAuditVal,_xlfn.XLOOKUP($A554,My_Audit!$A:$A,My_Audit!F:F,""),
_xlfn.IFS(_xlpm.MyAuditVal&lt;&gt;"",_xlpm.MyAuditVal,_xlpm.MacVal&lt;&gt;"",_xlpm.MacVal,_xlpm.CSVVal&lt;&gt;"",_xlpm.CSVVal
)),"")</f>
        <v/>
      </c>
      <c r="H554" s="45" t="str">
        <f>_xlfn.XLOOKUP(A554,Output_Mac!A:A,Output_Mac!I:I,"")</f>
        <v/>
      </c>
      <c r="I554" s="45" t="str" cm="1">
        <f t="array" ref="I554">IFERROR(_xlfn.LET(
_xlpm.CSVVal,_xlfn.XLOOKUP($A554,CSV!$A:$A,CSV!H:H,""),
_xlpm.MacVal,_xlfn.XLOOKUP($A554,Output_Mac!$A:$A,Output_Mac!J:J,""),
_xlpm.MyAuditVal,_xlfn.XLOOKUP($A554,My_Audit!$A:$A,My_Audit!H:H,""),
_xlfn.IFS(_xlpm.MyAuditVal&lt;&gt;"",UPPER(_xlpm.MyAuditVal),_xlpm.MacVal&lt;&gt;"",_xlpm.MacVal,_xlpm.CSVVal&lt;&gt;"",_xlpm.CSVVal
)),"")</f>
        <v/>
      </c>
      <c r="J554" s="45" t="str" cm="1">
        <f t="array" ref="J554">IFERROR(_xlfn.LET(
_xlpm.CSVVal,_xlfn.XLOOKUP($A554,CSV!$A:$A,CSV!J:J,""),
_xlpm.MacVal,_xlfn.XLOOKUP($A554,Output_Mac!$A:$A,Output_Mac!K:K,""),
_xlpm.MyAuditVal,_xlfn.XLOOKUP($A554,My_Audit!$A:$A,My_Audit!I:I,""),
_xlfn.IFS(_xlpm.MyAuditVal&lt;&gt;"",UPPER(_xlpm.MyAuditVal),_xlpm.MacVal&lt;&gt;"",_xlpm.MacVal,_xlpm.CSVVal&lt;&gt;"",_xlpm.CSVVal
)),"")</f>
        <v/>
      </c>
      <c r="K554" s="45" t="str" cm="1">
        <f t="array" ref="K554">IFERROR(_xlfn.LET(
_xlpm.CSVVal,_xlfn.XLOOKUP($A554,CSV!$A:$A,CSV!N:N,""),
_xlpm.MacVal,_xlfn.XLOOKUP($A554,Output_Mac!$A:$A,Output_Mac!L:L,""),
_xlpm.MyAuditVal,_xlfn.XLOOKUP($A554,My_Audit!$A:$A,My_Audit!J:J,""),
_xlfn.IFS(_xlpm.MyAuditVal&lt;&gt;"",UPPER(_xlpm.MyAuditVal),_xlpm.MacVal&lt;&gt;"",_xlpm.MacVal,_xlpm.CSVVal&lt;&gt;"",_xlpm.CSVVal
)),"")</f>
        <v/>
      </c>
      <c r="L554" s="45" t="str" cm="1">
        <f t="array" ref="L554">IFERROR(_xlfn.LET(
_xlpm.CSVVal,_xlfn.XLOOKUP($A554,CSV!$A:$A,CSV!P:P,""),
_xlpm.MacVal,_xlfn.XLOOKUP($A554,Output_Mac!$A:$A,Output_Mac!M:M,""),
_xlpm.MyAuditVal,_xlfn.XLOOKUP($A554,My_Audit!$A:$A,My_Audit!K:K,""),
_xlfn.IFS(_xlpm.MyAuditVal&lt;&gt;"",UPPER(_xlpm.MyAuditVal),_xlpm.MacVal&lt;&gt;"",_xlpm.MacVal,_xlpm.CSVVal&lt;&gt;"",_xlpm.CSVVal
)),"")</f>
        <v/>
      </c>
      <c r="M554" s="45" t="str">
        <f>_xlfn.LET(
    _xlpm.CSVVal, _xlfn.XLOOKUP($A554, CSV!$A:$A, CSV!AE:AE, ""),
    _xlpm.MacVal, _xlfn.XLOOKUP($A554, Output_Mac!$A:$A, Output_Mac!S:S, ""),
    _xlpm.MyAuditVal, _xlfn.XLOOKUP($A554, My_Audit!$A:$A, My_Audit!N:N, ""),
    _xlfn.TEXTJOIN(", ", TRUE, _xlpm.MyAuditVal, _xlpm.MacVal, _xlpm.CSVVal)
)</f>
        <v/>
      </c>
      <c r="N554" s="45" t="str" cm="1">
        <f t="array" ref="N554">IFERROR(_xlfn.LET(
_xlpm.CSVVal,_xlfn.XLOOKUP($A554,CSV!$A:$A,CSV!AG:AG,""),
_xlpm.MacVal,_xlfn.XLOOKUP($A554,Output_Mac!$A:$A,Output_Mac!U:U,""),
_xlpm.MyAuditVal,_xlfn.XLOOKUP($A554,My_Audit!$A:$A,My_Audit!O:O,""),
_xlfn.IFS(_xlpm.MyAuditVal&lt;&gt;"",UPPER(_xlpm.MyAuditVal),_xlpm.MacVal&lt;&gt;"",_xlpm.MacVal,_xlpm.CSVVal&lt;&gt;"",_xlpm.CSVVal
)),"")</f>
        <v/>
      </c>
      <c r="O554" s="45"/>
      <c r="P554" s="45"/>
      <c r="Q554" s="46" t="str">
        <f>IF(LEFT(N554,4)="Pass","Nist SP 800-88",My_Audit!R554)&amp;""</f>
        <v/>
      </c>
      <c r="R554" s="45"/>
      <c r="S554" s="45"/>
      <c r="T554" s="46" t="str">
        <f>_xlfn.XLOOKUP(E554,Models!I:I,Models!J:J,"")</f>
        <v/>
      </c>
      <c r="U554" s="45"/>
      <c r="V554" s="45"/>
      <c r="W554" s="38"/>
    </row>
    <row r="555" spans="1:23">
      <c r="A555" s="45" t="str">
        <f>_xlfn.TEXTJOIN("",TRUE,Input!$B$2,ROW(My_Audit!A554))</f>
        <v>XX554</v>
      </c>
      <c r="B555" s="45" t="str">
        <f>_xlfn.TEXTJOIN("-",TRUE,"ITD",Input!$A$2,A555)</f>
        <v>ITD-SHRXXX-XX554</v>
      </c>
      <c r="C555" s="45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46" t="str" cm="1">
        <f t="array" ref="D555">IFERROR(_xlfn.LET(
_xlpm.CSVVal,_xlfn.XLOOKUP($A555,CSV!$A:$A,CSV!C:C,""),
_xlpm.MacVal,_xlfn.XLOOKUP($A555,Output_Mac!$A:$A,Output_Mac!D:D,""),
_xlpm.MyAuditVal,_xlfn.XLOOKUP($A555,My_Audit!$A:$A,My_Audit!C:C,""),
_xlfn.IFS(_xlpm.MyAuditVal&lt;&gt;"",UPPER(_xlpm.MyAuditVal),_xlpm.MacVal&lt;&gt;"",_xlpm.MacVal,_xlpm.CSVVal&lt;&gt;"",_xlpm.CSVVal
)),"")</f>
        <v/>
      </c>
      <c r="E555" s="46" t="str" cm="1">
        <f t="array" ref="E555">IFERROR(_xlfn.LET(
_xlpm.CSVVal,_xlfn.XLOOKUP($A555,CSV!$A:$A,CSV!E:E,""),
_xlpm.MacVal,_xlfn.XLOOKUP($A555,Output_Mac!$A:$A,Output_Mac!C:C,""),
_xlpm.MyAuditVal,_xlfn.XLOOKUP($A555,My_Audit!$A:$A,My_Audit!D:D,""),
_xlfn.IFS(_xlpm.MyAuditVal&lt;&gt;"",_xlpm.MyAuditVal,_xlpm.MacVal&lt;&gt;"",_xlpm.MacVal,_xlpm.CSVVal&lt;&gt;"",_xlpm.CSVVal
)),"")</f>
        <v/>
      </c>
      <c r="F555" s="45" t="str" cm="1">
        <f t="array" ref="F555">IFERROR(_xlfn.LET(
_xlpm.CSVVal,_xlfn.XLOOKUP($A555,CSV!$A:$A,CSV!F:F,""),
_xlpm.MacVal,_xlfn.XLOOKUP($A555,Output_Mac!$A:$A,Output_Mac!F:F,""),
_xlpm.MyAuditVal,_xlfn.XLOOKUP($A555,My_Audit!$A:$A,My_Audit!E:E,""),
_xlfn.IFS(_xlpm.MyAuditVal&lt;&gt;"",_xlpm.MyAuditVal,_xlpm.MacVal&lt;&gt;"",_xlpm.MacVal,_xlpm.CSVVal&lt;&gt;"",PROPER(_xlpm.CSVVal)
)),"")</f>
        <v/>
      </c>
      <c r="G555" s="45" t="str" cm="1">
        <f t="array" ref="G555">IFERROR(_xlfn.LET(
_xlpm.CSVVal,_xlfn.XLOOKUP($A555,CSV!$A:$A,CSV!G:G,""),
_xlpm.MacVal,_xlfn.XLOOKUP($A555,Output_Mac!$A:$A,Output_Mac!H:H,""),
_xlpm.MyAuditVal,_xlfn.XLOOKUP($A555,My_Audit!$A:$A,My_Audit!F:F,""),
_xlfn.IFS(_xlpm.MyAuditVal&lt;&gt;"",_xlpm.MyAuditVal,_xlpm.MacVal&lt;&gt;"",_xlpm.MacVal,_xlpm.CSVVal&lt;&gt;"",_xlpm.CSVVal
)),"")</f>
        <v/>
      </c>
      <c r="H555" s="45" t="str">
        <f>_xlfn.XLOOKUP(A555,Output_Mac!A:A,Output_Mac!I:I,"")</f>
        <v/>
      </c>
      <c r="I555" s="45" t="str" cm="1">
        <f t="array" ref="I555">IFERROR(_xlfn.LET(
_xlpm.CSVVal,_xlfn.XLOOKUP($A555,CSV!$A:$A,CSV!H:H,""),
_xlpm.MacVal,_xlfn.XLOOKUP($A555,Output_Mac!$A:$A,Output_Mac!J:J,""),
_xlpm.MyAuditVal,_xlfn.XLOOKUP($A555,My_Audit!$A:$A,My_Audit!H:H,""),
_xlfn.IFS(_xlpm.MyAuditVal&lt;&gt;"",UPPER(_xlpm.MyAuditVal),_xlpm.MacVal&lt;&gt;"",_xlpm.MacVal,_xlpm.CSVVal&lt;&gt;"",_xlpm.CSVVal
)),"")</f>
        <v/>
      </c>
      <c r="J555" s="45" t="str" cm="1">
        <f t="array" ref="J555">IFERROR(_xlfn.LET(
_xlpm.CSVVal,_xlfn.XLOOKUP($A555,CSV!$A:$A,CSV!J:J,""),
_xlpm.MacVal,_xlfn.XLOOKUP($A555,Output_Mac!$A:$A,Output_Mac!K:K,""),
_xlpm.MyAuditVal,_xlfn.XLOOKUP($A555,My_Audit!$A:$A,My_Audit!I:I,""),
_xlfn.IFS(_xlpm.MyAuditVal&lt;&gt;"",UPPER(_xlpm.MyAuditVal),_xlpm.MacVal&lt;&gt;"",_xlpm.MacVal,_xlpm.CSVVal&lt;&gt;"",_xlpm.CSVVal
)),"")</f>
        <v/>
      </c>
      <c r="K555" s="45" t="str" cm="1">
        <f t="array" ref="K555">IFERROR(_xlfn.LET(
_xlpm.CSVVal,_xlfn.XLOOKUP($A555,CSV!$A:$A,CSV!N:N,""),
_xlpm.MacVal,_xlfn.XLOOKUP($A555,Output_Mac!$A:$A,Output_Mac!L:L,""),
_xlpm.MyAuditVal,_xlfn.XLOOKUP($A555,My_Audit!$A:$A,My_Audit!J:J,""),
_xlfn.IFS(_xlpm.MyAuditVal&lt;&gt;"",UPPER(_xlpm.MyAuditVal),_xlpm.MacVal&lt;&gt;"",_xlpm.MacVal,_xlpm.CSVVal&lt;&gt;"",_xlpm.CSVVal
)),"")</f>
        <v/>
      </c>
      <c r="L555" s="45" t="str" cm="1">
        <f t="array" ref="L555">IFERROR(_xlfn.LET(
_xlpm.CSVVal,_xlfn.XLOOKUP($A555,CSV!$A:$A,CSV!P:P,""),
_xlpm.MacVal,_xlfn.XLOOKUP($A555,Output_Mac!$A:$A,Output_Mac!M:M,""),
_xlpm.MyAuditVal,_xlfn.XLOOKUP($A555,My_Audit!$A:$A,My_Audit!K:K,""),
_xlfn.IFS(_xlpm.MyAuditVal&lt;&gt;"",UPPER(_xlpm.MyAuditVal),_xlpm.MacVal&lt;&gt;"",_xlpm.MacVal,_xlpm.CSVVal&lt;&gt;"",_xlpm.CSVVal
)),"")</f>
        <v/>
      </c>
      <c r="M555" s="45" t="str">
        <f>_xlfn.LET(
    _xlpm.CSVVal, _xlfn.XLOOKUP($A555, CSV!$A:$A, CSV!AE:AE, ""),
    _xlpm.MacVal, _xlfn.XLOOKUP($A555, Output_Mac!$A:$A, Output_Mac!S:S, ""),
    _xlpm.MyAuditVal, _xlfn.XLOOKUP($A555, My_Audit!$A:$A, My_Audit!N:N, ""),
    _xlfn.TEXTJOIN(", ", TRUE, _xlpm.MyAuditVal, _xlpm.MacVal, _xlpm.CSVVal)
)</f>
        <v/>
      </c>
      <c r="N555" s="45" t="str" cm="1">
        <f t="array" ref="N555">IFERROR(_xlfn.LET(
_xlpm.CSVVal,_xlfn.XLOOKUP($A555,CSV!$A:$A,CSV!AG:AG,""),
_xlpm.MacVal,_xlfn.XLOOKUP($A555,Output_Mac!$A:$A,Output_Mac!U:U,""),
_xlpm.MyAuditVal,_xlfn.XLOOKUP($A555,My_Audit!$A:$A,My_Audit!O:O,""),
_xlfn.IFS(_xlpm.MyAuditVal&lt;&gt;"",UPPER(_xlpm.MyAuditVal),_xlpm.MacVal&lt;&gt;"",_xlpm.MacVal,_xlpm.CSVVal&lt;&gt;"",_xlpm.CSVVal
)),"")</f>
        <v/>
      </c>
      <c r="O555" s="45"/>
      <c r="P555" s="45"/>
      <c r="Q555" s="46" t="str">
        <f>IF(LEFT(N555,4)="Pass","Nist SP 800-88",My_Audit!R555)&amp;""</f>
        <v/>
      </c>
      <c r="R555" s="45"/>
      <c r="S555" s="45"/>
      <c r="T555" s="46" t="str">
        <f>_xlfn.XLOOKUP(E555,Models!I:I,Models!J:J,"")</f>
        <v/>
      </c>
      <c r="U555" s="45"/>
      <c r="V555" s="45"/>
      <c r="W555" s="38"/>
    </row>
    <row r="556" spans="1:23">
      <c r="A556" s="45" t="str">
        <f>_xlfn.TEXTJOIN("",TRUE,Input!$B$2,ROW(My_Audit!A555))</f>
        <v>XX555</v>
      </c>
      <c r="B556" s="45" t="str">
        <f>_xlfn.TEXTJOIN("-",TRUE,"ITD",Input!$A$2,A556)</f>
        <v>ITD-SHRXXX-XX555</v>
      </c>
      <c r="C556" s="45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46" t="str" cm="1">
        <f t="array" ref="D556">IFERROR(_xlfn.LET(
_xlpm.CSVVal,_xlfn.XLOOKUP($A556,CSV!$A:$A,CSV!C:C,""),
_xlpm.MacVal,_xlfn.XLOOKUP($A556,Output_Mac!$A:$A,Output_Mac!D:D,""),
_xlpm.MyAuditVal,_xlfn.XLOOKUP($A556,My_Audit!$A:$A,My_Audit!C:C,""),
_xlfn.IFS(_xlpm.MyAuditVal&lt;&gt;"",UPPER(_xlpm.MyAuditVal),_xlpm.MacVal&lt;&gt;"",_xlpm.MacVal,_xlpm.CSVVal&lt;&gt;"",_xlpm.CSVVal
)),"")</f>
        <v/>
      </c>
      <c r="E556" s="46" t="str" cm="1">
        <f t="array" ref="E556">IFERROR(_xlfn.LET(
_xlpm.CSVVal,_xlfn.XLOOKUP($A556,CSV!$A:$A,CSV!E:E,""),
_xlpm.MacVal,_xlfn.XLOOKUP($A556,Output_Mac!$A:$A,Output_Mac!C:C,""),
_xlpm.MyAuditVal,_xlfn.XLOOKUP($A556,My_Audit!$A:$A,My_Audit!D:D,""),
_xlfn.IFS(_xlpm.MyAuditVal&lt;&gt;"",_xlpm.MyAuditVal,_xlpm.MacVal&lt;&gt;"",_xlpm.MacVal,_xlpm.CSVVal&lt;&gt;"",_xlpm.CSVVal
)),"")</f>
        <v/>
      </c>
      <c r="F556" s="45" t="str" cm="1">
        <f t="array" ref="F556">IFERROR(_xlfn.LET(
_xlpm.CSVVal,_xlfn.XLOOKUP($A556,CSV!$A:$A,CSV!F:F,""),
_xlpm.MacVal,_xlfn.XLOOKUP($A556,Output_Mac!$A:$A,Output_Mac!F:F,""),
_xlpm.MyAuditVal,_xlfn.XLOOKUP($A556,My_Audit!$A:$A,My_Audit!E:E,""),
_xlfn.IFS(_xlpm.MyAuditVal&lt;&gt;"",_xlpm.MyAuditVal,_xlpm.MacVal&lt;&gt;"",_xlpm.MacVal,_xlpm.CSVVal&lt;&gt;"",PROPER(_xlpm.CSVVal)
)),"")</f>
        <v/>
      </c>
      <c r="G556" s="45" t="str" cm="1">
        <f t="array" ref="G556">IFERROR(_xlfn.LET(
_xlpm.CSVVal,_xlfn.XLOOKUP($A556,CSV!$A:$A,CSV!G:G,""),
_xlpm.MacVal,_xlfn.XLOOKUP($A556,Output_Mac!$A:$A,Output_Mac!H:H,""),
_xlpm.MyAuditVal,_xlfn.XLOOKUP($A556,My_Audit!$A:$A,My_Audit!F:F,""),
_xlfn.IFS(_xlpm.MyAuditVal&lt;&gt;"",_xlpm.MyAuditVal,_xlpm.MacVal&lt;&gt;"",_xlpm.MacVal,_xlpm.CSVVal&lt;&gt;"",_xlpm.CSVVal
)),"")</f>
        <v/>
      </c>
      <c r="H556" s="45" t="str">
        <f>_xlfn.XLOOKUP(A556,Output_Mac!A:A,Output_Mac!I:I,"")</f>
        <v/>
      </c>
      <c r="I556" s="45" t="str" cm="1">
        <f t="array" ref="I556">IFERROR(_xlfn.LET(
_xlpm.CSVVal,_xlfn.XLOOKUP($A556,CSV!$A:$A,CSV!H:H,""),
_xlpm.MacVal,_xlfn.XLOOKUP($A556,Output_Mac!$A:$A,Output_Mac!J:J,""),
_xlpm.MyAuditVal,_xlfn.XLOOKUP($A556,My_Audit!$A:$A,My_Audit!H:H,""),
_xlfn.IFS(_xlpm.MyAuditVal&lt;&gt;"",UPPER(_xlpm.MyAuditVal),_xlpm.MacVal&lt;&gt;"",_xlpm.MacVal,_xlpm.CSVVal&lt;&gt;"",_xlpm.CSVVal
)),"")</f>
        <v/>
      </c>
      <c r="J556" s="45" t="str" cm="1">
        <f t="array" ref="J556">IFERROR(_xlfn.LET(
_xlpm.CSVVal,_xlfn.XLOOKUP($A556,CSV!$A:$A,CSV!J:J,""),
_xlpm.MacVal,_xlfn.XLOOKUP($A556,Output_Mac!$A:$A,Output_Mac!K:K,""),
_xlpm.MyAuditVal,_xlfn.XLOOKUP($A556,My_Audit!$A:$A,My_Audit!I:I,""),
_xlfn.IFS(_xlpm.MyAuditVal&lt;&gt;"",UPPER(_xlpm.MyAuditVal),_xlpm.MacVal&lt;&gt;"",_xlpm.MacVal,_xlpm.CSVVal&lt;&gt;"",_xlpm.CSVVal
)),"")</f>
        <v/>
      </c>
      <c r="K556" s="45" t="str" cm="1">
        <f t="array" ref="K556">IFERROR(_xlfn.LET(
_xlpm.CSVVal,_xlfn.XLOOKUP($A556,CSV!$A:$A,CSV!N:N,""),
_xlpm.MacVal,_xlfn.XLOOKUP($A556,Output_Mac!$A:$A,Output_Mac!L:L,""),
_xlpm.MyAuditVal,_xlfn.XLOOKUP($A556,My_Audit!$A:$A,My_Audit!J:J,""),
_xlfn.IFS(_xlpm.MyAuditVal&lt;&gt;"",UPPER(_xlpm.MyAuditVal),_xlpm.MacVal&lt;&gt;"",_xlpm.MacVal,_xlpm.CSVVal&lt;&gt;"",_xlpm.CSVVal
)),"")</f>
        <v/>
      </c>
      <c r="L556" s="45" t="str" cm="1">
        <f t="array" ref="L556">IFERROR(_xlfn.LET(
_xlpm.CSVVal,_xlfn.XLOOKUP($A556,CSV!$A:$A,CSV!P:P,""),
_xlpm.MacVal,_xlfn.XLOOKUP($A556,Output_Mac!$A:$A,Output_Mac!M:M,""),
_xlpm.MyAuditVal,_xlfn.XLOOKUP($A556,My_Audit!$A:$A,My_Audit!K:K,""),
_xlfn.IFS(_xlpm.MyAuditVal&lt;&gt;"",UPPER(_xlpm.MyAuditVal),_xlpm.MacVal&lt;&gt;"",_xlpm.MacVal,_xlpm.CSVVal&lt;&gt;"",_xlpm.CSVVal
)),"")</f>
        <v/>
      </c>
      <c r="M556" s="45" t="str">
        <f>_xlfn.LET(
    _xlpm.CSVVal, _xlfn.XLOOKUP($A556, CSV!$A:$A, CSV!AE:AE, ""),
    _xlpm.MacVal, _xlfn.XLOOKUP($A556, Output_Mac!$A:$A, Output_Mac!S:S, ""),
    _xlpm.MyAuditVal, _xlfn.XLOOKUP($A556, My_Audit!$A:$A, My_Audit!N:N, ""),
    _xlfn.TEXTJOIN(", ", TRUE, _xlpm.MyAuditVal, _xlpm.MacVal, _xlpm.CSVVal)
)</f>
        <v/>
      </c>
      <c r="N556" s="45" t="str" cm="1">
        <f t="array" ref="N556">IFERROR(_xlfn.LET(
_xlpm.CSVVal,_xlfn.XLOOKUP($A556,CSV!$A:$A,CSV!AG:AG,""),
_xlpm.MacVal,_xlfn.XLOOKUP($A556,Output_Mac!$A:$A,Output_Mac!U:U,""),
_xlpm.MyAuditVal,_xlfn.XLOOKUP($A556,My_Audit!$A:$A,My_Audit!O:O,""),
_xlfn.IFS(_xlpm.MyAuditVal&lt;&gt;"",UPPER(_xlpm.MyAuditVal),_xlpm.MacVal&lt;&gt;"",_xlpm.MacVal,_xlpm.CSVVal&lt;&gt;"",_xlpm.CSVVal
)),"")</f>
        <v/>
      </c>
      <c r="O556" s="45"/>
      <c r="P556" s="45"/>
      <c r="Q556" s="46" t="str">
        <f>IF(LEFT(N556,4)="Pass","Nist SP 800-88",My_Audit!R556)&amp;""</f>
        <v/>
      </c>
      <c r="R556" s="45"/>
      <c r="S556" s="45"/>
      <c r="T556" s="46" t="str">
        <f>_xlfn.XLOOKUP(E556,Models!I:I,Models!J:J,"")</f>
        <v/>
      </c>
      <c r="U556" s="45"/>
      <c r="V556" s="45"/>
      <c r="W556" s="38"/>
    </row>
    <row r="557" spans="1:23">
      <c r="A557" s="45" t="str">
        <f>_xlfn.TEXTJOIN("",TRUE,Input!$B$2,ROW(My_Audit!A556))</f>
        <v>XX556</v>
      </c>
      <c r="B557" s="45" t="str">
        <f>_xlfn.TEXTJOIN("-",TRUE,"ITD",Input!$A$2,A557)</f>
        <v>ITD-SHRXXX-XX556</v>
      </c>
      <c r="C557" s="45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46" t="str" cm="1">
        <f t="array" ref="D557">IFERROR(_xlfn.LET(
_xlpm.CSVVal,_xlfn.XLOOKUP($A557,CSV!$A:$A,CSV!C:C,""),
_xlpm.MacVal,_xlfn.XLOOKUP($A557,Output_Mac!$A:$A,Output_Mac!D:D,""),
_xlpm.MyAuditVal,_xlfn.XLOOKUP($A557,My_Audit!$A:$A,My_Audit!C:C,""),
_xlfn.IFS(_xlpm.MyAuditVal&lt;&gt;"",UPPER(_xlpm.MyAuditVal),_xlpm.MacVal&lt;&gt;"",_xlpm.MacVal,_xlpm.CSVVal&lt;&gt;"",_xlpm.CSVVal
)),"")</f>
        <v/>
      </c>
      <c r="E557" s="46" t="str" cm="1">
        <f t="array" ref="E557">IFERROR(_xlfn.LET(
_xlpm.CSVVal,_xlfn.XLOOKUP($A557,CSV!$A:$A,CSV!E:E,""),
_xlpm.MacVal,_xlfn.XLOOKUP($A557,Output_Mac!$A:$A,Output_Mac!C:C,""),
_xlpm.MyAuditVal,_xlfn.XLOOKUP($A557,My_Audit!$A:$A,My_Audit!D:D,""),
_xlfn.IFS(_xlpm.MyAuditVal&lt;&gt;"",_xlpm.MyAuditVal,_xlpm.MacVal&lt;&gt;"",_xlpm.MacVal,_xlpm.CSVVal&lt;&gt;"",_xlpm.CSVVal
)),"")</f>
        <v/>
      </c>
      <c r="F557" s="45" t="str" cm="1">
        <f t="array" ref="F557">IFERROR(_xlfn.LET(
_xlpm.CSVVal,_xlfn.XLOOKUP($A557,CSV!$A:$A,CSV!F:F,""),
_xlpm.MacVal,_xlfn.XLOOKUP($A557,Output_Mac!$A:$A,Output_Mac!F:F,""),
_xlpm.MyAuditVal,_xlfn.XLOOKUP($A557,My_Audit!$A:$A,My_Audit!E:E,""),
_xlfn.IFS(_xlpm.MyAuditVal&lt;&gt;"",_xlpm.MyAuditVal,_xlpm.MacVal&lt;&gt;"",_xlpm.MacVal,_xlpm.CSVVal&lt;&gt;"",PROPER(_xlpm.CSVVal)
)),"")</f>
        <v/>
      </c>
      <c r="G557" s="45" t="str" cm="1">
        <f t="array" ref="G557">IFERROR(_xlfn.LET(
_xlpm.CSVVal,_xlfn.XLOOKUP($A557,CSV!$A:$A,CSV!G:G,""),
_xlpm.MacVal,_xlfn.XLOOKUP($A557,Output_Mac!$A:$A,Output_Mac!H:H,""),
_xlpm.MyAuditVal,_xlfn.XLOOKUP($A557,My_Audit!$A:$A,My_Audit!F:F,""),
_xlfn.IFS(_xlpm.MyAuditVal&lt;&gt;"",_xlpm.MyAuditVal,_xlpm.MacVal&lt;&gt;"",_xlpm.MacVal,_xlpm.CSVVal&lt;&gt;"",_xlpm.CSVVal
)),"")</f>
        <v/>
      </c>
      <c r="H557" s="45" t="str">
        <f>_xlfn.XLOOKUP(A557,Output_Mac!A:A,Output_Mac!I:I,"")</f>
        <v/>
      </c>
      <c r="I557" s="45" t="str" cm="1">
        <f t="array" ref="I557">IFERROR(_xlfn.LET(
_xlpm.CSVVal,_xlfn.XLOOKUP($A557,CSV!$A:$A,CSV!H:H,""),
_xlpm.MacVal,_xlfn.XLOOKUP($A557,Output_Mac!$A:$A,Output_Mac!J:J,""),
_xlpm.MyAuditVal,_xlfn.XLOOKUP($A557,My_Audit!$A:$A,My_Audit!H:H,""),
_xlfn.IFS(_xlpm.MyAuditVal&lt;&gt;"",UPPER(_xlpm.MyAuditVal),_xlpm.MacVal&lt;&gt;"",_xlpm.MacVal,_xlpm.CSVVal&lt;&gt;"",_xlpm.CSVVal
)),"")</f>
        <v/>
      </c>
      <c r="J557" s="45" t="str" cm="1">
        <f t="array" ref="J557">IFERROR(_xlfn.LET(
_xlpm.CSVVal,_xlfn.XLOOKUP($A557,CSV!$A:$A,CSV!J:J,""),
_xlpm.MacVal,_xlfn.XLOOKUP($A557,Output_Mac!$A:$A,Output_Mac!K:K,""),
_xlpm.MyAuditVal,_xlfn.XLOOKUP($A557,My_Audit!$A:$A,My_Audit!I:I,""),
_xlfn.IFS(_xlpm.MyAuditVal&lt;&gt;"",UPPER(_xlpm.MyAuditVal),_xlpm.MacVal&lt;&gt;"",_xlpm.MacVal,_xlpm.CSVVal&lt;&gt;"",_xlpm.CSVVal
)),"")</f>
        <v/>
      </c>
      <c r="K557" s="45" t="str" cm="1">
        <f t="array" ref="K557">IFERROR(_xlfn.LET(
_xlpm.CSVVal,_xlfn.XLOOKUP($A557,CSV!$A:$A,CSV!N:N,""),
_xlpm.MacVal,_xlfn.XLOOKUP($A557,Output_Mac!$A:$A,Output_Mac!L:L,""),
_xlpm.MyAuditVal,_xlfn.XLOOKUP($A557,My_Audit!$A:$A,My_Audit!J:J,""),
_xlfn.IFS(_xlpm.MyAuditVal&lt;&gt;"",UPPER(_xlpm.MyAuditVal),_xlpm.MacVal&lt;&gt;"",_xlpm.MacVal,_xlpm.CSVVal&lt;&gt;"",_xlpm.CSVVal
)),"")</f>
        <v/>
      </c>
      <c r="L557" s="45" t="str" cm="1">
        <f t="array" ref="L557">IFERROR(_xlfn.LET(
_xlpm.CSVVal,_xlfn.XLOOKUP($A557,CSV!$A:$A,CSV!P:P,""),
_xlpm.MacVal,_xlfn.XLOOKUP($A557,Output_Mac!$A:$A,Output_Mac!M:M,""),
_xlpm.MyAuditVal,_xlfn.XLOOKUP($A557,My_Audit!$A:$A,My_Audit!K:K,""),
_xlfn.IFS(_xlpm.MyAuditVal&lt;&gt;"",UPPER(_xlpm.MyAuditVal),_xlpm.MacVal&lt;&gt;"",_xlpm.MacVal,_xlpm.CSVVal&lt;&gt;"",_xlpm.CSVVal
)),"")</f>
        <v/>
      </c>
      <c r="M557" s="45" t="str">
        <f>_xlfn.LET(
    _xlpm.CSVVal, _xlfn.XLOOKUP($A557, CSV!$A:$A, CSV!AE:AE, ""),
    _xlpm.MacVal, _xlfn.XLOOKUP($A557, Output_Mac!$A:$A, Output_Mac!S:S, ""),
    _xlpm.MyAuditVal, _xlfn.XLOOKUP($A557, My_Audit!$A:$A, My_Audit!N:N, ""),
    _xlfn.TEXTJOIN(", ", TRUE, _xlpm.MyAuditVal, _xlpm.MacVal, _xlpm.CSVVal)
)</f>
        <v/>
      </c>
      <c r="N557" s="45" t="str" cm="1">
        <f t="array" ref="N557">IFERROR(_xlfn.LET(
_xlpm.CSVVal,_xlfn.XLOOKUP($A557,CSV!$A:$A,CSV!AG:AG,""),
_xlpm.MacVal,_xlfn.XLOOKUP($A557,Output_Mac!$A:$A,Output_Mac!U:U,""),
_xlpm.MyAuditVal,_xlfn.XLOOKUP($A557,My_Audit!$A:$A,My_Audit!O:O,""),
_xlfn.IFS(_xlpm.MyAuditVal&lt;&gt;"",UPPER(_xlpm.MyAuditVal),_xlpm.MacVal&lt;&gt;"",_xlpm.MacVal,_xlpm.CSVVal&lt;&gt;"",_xlpm.CSVVal
)),"")</f>
        <v/>
      </c>
      <c r="O557" s="45"/>
      <c r="P557" s="45"/>
      <c r="Q557" s="46" t="str">
        <f>IF(LEFT(N557,4)="Pass","Nist SP 800-88",My_Audit!R557)&amp;""</f>
        <v/>
      </c>
      <c r="R557" s="45"/>
      <c r="S557" s="45"/>
      <c r="T557" s="46" t="str">
        <f>_xlfn.XLOOKUP(E557,Models!I:I,Models!J:J,"")</f>
        <v/>
      </c>
      <c r="U557" s="45"/>
      <c r="V557" s="45"/>
      <c r="W557" s="38"/>
    </row>
    <row r="558" spans="1:23">
      <c r="A558" s="45" t="str">
        <f>_xlfn.TEXTJOIN("",TRUE,Input!$B$2,ROW(My_Audit!A557))</f>
        <v>XX557</v>
      </c>
      <c r="B558" s="45" t="str">
        <f>_xlfn.TEXTJOIN("-",TRUE,"ITD",Input!$A$2,A558)</f>
        <v>ITD-SHRXXX-XX557</v>
      </c>
      <c r="C558" s="45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46" t="str" cm="1">
        <f t="array" ref="D558">IFERROR(_xlfn.LET(
_xlpm.CSVVal,_xlfn.XLOOKUP($A558,CSV!$A:$A,CSV!C:C,""),
_xlpm.MacVal,_xlfn.XLOOKUP($A558,Output_Mac!$A:$A,Output_Mac!D:D,""),
_xlpm.MyAuditVal,_xlfn.XLOOKUP($A558,My_Audit!$A:$A,My_Audit!C:C,""),
_xlfn.IFS(_xlpm.MyAuditVal&lt;&gt;"",UPPER(_xlpm.MyAuditVal),_xlpm.MacVal&lt;&gt;"",_xlpm.MacVal,_xlpm.CSVVal&lt;&gt;"",_xlpm.CSVVal
)),"")</f>
        <v/>
      </c>
      <c r="E558" s="46" t="str" cm="1">
        <f t="array" ref="E558">IFERROR(_xlfn.LET(
_xlpm.CSVVal,_xlfn.XLOOKUP($A558,CSV!$A:$A,CSV!E:E,""),
_xlpm.MacVal,_xlfn.XLOOKUP($A558,Output_Mac!$A:$A,Output_Mac!C:C,""),
_xlpm.MyAuditVal,_xlfn.XLOOKUP($A558,My_Audit!$A:$A,My_Audit!D:D,""),
_xlfn.IFS(_xlpm.MyAuditVal&lt;&gt;"",_xlpm.MyAuditVal,_xlpm.MacVal&lt;&gt;"",_xlpm.MacVal,_xlpm.CSVVal&lt;&gt;"",_xlpm.CSVVal
)),"")</f>
        <v/>
      </c>
      <c r="F558" s="45" t="str" cm="1">
        <f t="array" ref="F558">IFERROR(_xlfn.LET(
_xlpm.CSVVal,_xlfn.XLOOKUP($A558,CSV!$A:$A,CSV!F:F,""),
_xlpm.MacVal,_xlfn.XLOOKUP($A558,Output_Mac!$A:$A,Output_Mac!F:F,""),
_xlpm.MyAuditVal,_xlfn.XLOOKUP($A558,My_Audit!$A:$A,My_Audit!E:E,""),
_xlfn.IFS(_xlpm.MyAuditVal&lt;&gt;"",_xlpm.MyAuditVal,_xlpm.MacVal&lt;&gt;"",_xlpm.MacVal,_xlpm.CSVVal&lt;&gt;"",PROPER(_xlpm.CSVVal)
)),"")</f>
        <v/>
      </c>
      <c r="G558" s="45" t="str" cm="1">
        <f t="array" ref="G558">IFERROR(_xlfn.LET(
_xlpm.CSVVal,_xlfn.XLOOKUP($A558,CSV!$A:$A,CSV!G:G,""),
_xlpm.MacVal,_xlfn.XLOOKUP($A558,Output_Mac!$A:$A,Output_Mac!H:H,""),
_xlpm.MyAuditVal,_xlfn.XLOOKUP($A558,My_Audit!$A:$A,My_Audit!F:F,""),
_xlfn.IFS(_xlpm.MyAuditVal&lt;&gt;"",_xlpm.MyAuditVal,_xlpm.MacVal&lt;&gt;"",_xlpm.MacVal,_xlpm.CSVVal&lt;&gt;"",_xlpm.CSVVal
)),"")</f>
        <v/>
      </c>
      <c r="H558" s="45" t="str">
        <f>_xlfn.XLOOKUP(A558,Output_Mac!A:A,Output_Mac!I:I,"")</f>
        <v/>
      </c>
      <c r="I558" s="45" t="str" cm="1">
        <f t="array" ref="I558">IFERROR(_xlfn.LET(
_xlpm.CSVVal,_xlfn.XLOOKUP($A558,CSV!$A:$A,CSV!H:H,""),
_xlpm.MacVal,_xlfn.XLOOKUP($A558,Output_Mac!$A:$A,Output_Mac!J:J,""),
_xlpm.MyAuditVal,_xlfn.XLOOKUP($A558,My_Audit!$A:$A,My_Audit!H:H,""),
_xlfn.IFS(_xlpm.MyAuditVal&lt;&gt;"",UPPER(_xlpm.MyAuditVal),_xlpm.MacVal&lt;&gt;"",_xlpm.MacVal,_xlpm.CSVVal&lt;&gt;"",_xlpm.CSVVal
)),"")</f>
        <v/>
      </c>
      <c r="J558" s="45" t="str" cm="1">
        <f t="array" ref="J558">IFERROR(_xlfn.LET(
_xlpm.CSVVal,_xlfn.XLOOKUP($A558,CSV!$A:$A,CSV!J:J,""),
_xlpm.MacVal,_xlfn.XLOOKUP($A558,Output_Mac!$A:$A,Output_Mac!K:K,""),
_xlpm.MyAuditVal,_xlfn.XLOOKUP($A558,My_Audit!$A:$A,My_Audit!I:I,""),
_xlfn.IFS(_xlpm.MyAuditVal&lt;&gt;"",UPPER(_xlpm.MyAuditVal),_xlpm.MacVal&lt;&gt;"",_xlpm.MacVal,_xlpm.CSVVal&lt;&gt;"",_xlpm.CSVVal
)),"")</f>
        <v/>
      </c>
      <c r="K558" s="45" t="str" cm="1">
        <f t="array" ref="K558">IFERROR(_xlfn.LET(
_xlpm.CSVVal,_xlfn.XLOOKUP($A558,CSV!$A:$A,CSV!N:N,""),
_xlpm.MacVal,_xlfn.XLOOKUP($A558,Output_Mac!$A:$A,Output_Mac!L:L,""),
_xlpm.MyAuditVal,_xlfn.XLOOKUP($A558,My_Audit!$A:$A,My_Audit!J:J,""),
_xlfn.IFS(_xlpm.MyAuditVal&lt;&gt;"",UPPER(_xlpm.MyAuditVal),_xlpm.MacVal&lt;&gt;"",_xlpm.MacVal,_xlpm.CSVVal&lt;&gt;"",_xlpm.CSVVal
)),"")</f>
        <v/>
      </c>
      <c r="L558" s="45" t="str" cm="1">
        <f t="array" ref="L558">IFERROR(_xlfn.LET(
_xlpm.CSVVal,_xlfn.XLOOKUP($A558,CSV!$A:$A,CSV!P:P,""),
_xlpm.MacVal,_xlfn.XLOOKUP($A558,Output_Mac!$A:$A,Output_Mac!M:M,""),
_xlpm.MyAuditVal,_xlfn.XLOOKUP($A558,My_Audit!$A:$A,My_Audit!K:K,""),
_xlfn.IFS(_xlpm.MyAuditVal&lt;&gt;"",UPPER(_xlpm.MyAuditVal),_xlpm.MacVal&lt;&gt;"",_xlpm.MacVal,_xlpm.CSVVal&lt;&gt;"",_xlpm.CSVVal
)),"")</f>
        <v/>
      </c>
      <c r="M558" s="45" t="str">
        <f>_xlfn.LET(
    _xlpm.CSVVal, _xlfn.XLOOKUP($A558, CSV!$A:$A, CSV!AE:AE, ""),
    _xlpm.MacVal, _xlfn.XLOOKUP($A558, Output_Mac!$A:$A, Output_Mac!S:S, ""),
    _xlpm.MyAuditVal, _xlfn.XLOOKUP($A558, My_Audit!$A:$A, My_Audit!N:N, ""),
    _xlfn.TEXTJOIN(", ", TRUE, _xlpm.MyAuditVal, _xlpm.MacVal, _xlpm.CSVVal)
)</f>
        <v/>
      </c>
      <c r="N558" s="45" t="str" cm="1">
        <f t="array" ref="N558">IFERROR(_xlfn.LET(
_xlpm.CSVVal,_xlfn.XLOOKUP($A558,CSV!$A:$A,CSV!AG:AG,""),
_xlpm.MacVal,_xlfn.XLOOKUP($A558,Output_Mac!$A:$A,Output_Mac!U:U,""),
_xlpm.MyAuditVal,_xlfn.XLOOKUP($A558,My_Audit!$A:$A,My_Audit!O:O,""),
_xlfn.IFS(_xlpm.MyAuditVal&lt;&gt;"",UPPER(_xlpm.MyAuditVal),_xlpm.MacVal&lt;&gt;"",_xlpm.MacVal,_xlpm.CSVVal&lt;&gt;"",_xlpm.CSVVal
)),"")</f>
        <v/>
      </c>
      <c r="O558" s="45"/>
      <c r="P558" s="45"/>
      <c r="Q558" s="46" t="str">
        <f>IF(LEFT(N558,4)="Pass","Nist SP 800-88",My_Audit!R558)&amp;""</f>
        <v/>
      </c>
      <c r="R558" s="45"/>
      <c r="S558" s="45"/>
      <c r="T558" s="46" t="str">
        <f>_xlfn.XLOOKUP(E558,Models!I:I,Models!J:J,"")</f>
        <v/>
      </c>
      <c r="U558" s="45"/>
      <c r="V558" s="45"/>
      <c r="W558" s="38"/>
    </row>
    <row r="559" spans="1:23">
      <c r="A559" s="45" t="str">
        <f>_xlfn.TEXTJOIN("",TRUE,Input!$B$2,ROW(My_Audit!A558))</f>
        <v>XX558</v>
      </c>
      <c r="B559" s="45" t="str">
        <f>_xlfn.TEXTJOIN("-",TRUE,"ITD",Input!$A$2,A559)</f>
        <v>ITD-SHRXXX-XX558</v>
      </c>
      <c r="C559" s="45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46" t="str" cm="1">
        <f t="array" ref="D559">IFERROR(_xlfn.LET(
_xlpm.CSVVal,_xlfn.XLOOKUP($A559,CSV!$A:$A,CSV!C:C,""),
_xlpm.MacVal,_xlfn.XLOOKUP($A559,Output_Mac!$A:$A,Output_Mac!D:D,""),
_xlpm.MyAuditVal,_xlfn.XLOOKUP($A559,My_Audit!$A:$A,My_Audit!C:C,""),
_xlfn.IFS(_xlpm.MyAuditVal&lt;&gt;"",UPPER(_xlpm.MyAuditVal),_xlpm.MacVal&lt;&gt;"",_xlpm.MacVal,_xlpm.CSVVal&lt;&gt;"",_xlpm.CSVVal
)),"")</f>
        <v/>
      </c>
      <c r="E559" s="46" t="str" cm="1">
        <f t="array" ref="E559">IFERROR(_xlfn.LET(
_xlpm.CSVVal,_xlfn.XLOOKUP($A559,CSV!$A:$A,CSV!E:E,""),
_xlpm.MacVal,_xlfn.XLOOKUP($A559,Output_Mac!$A:$A,Output_Mac!C:C,""),
_xlpm.MyAuditVal,_xlfn.XLOOKUP($A559,My_Audit!$A:$A,My_Audit!D:D,""),
_xlfn.IFS(_xlpm.MyAuditVal&lt;&gt;"",_xlpm.MyAuditVal,_xlpm.MacVal&lt;&gt;"",_xlpm.MacVal,_xlpm.CSVVal&lt;&gt;"",_xlpm.CSVVal
)),"")</f>
        <v/>
      </c>
      <c r="F559" s="45" t="str" cm="1">
        <f t="array" ref="F559">IFERROR(_xlfn.LET(
_xlpm.CSVVal,_xlfn.XLOOKUP($A559,CSV!$A:$A,CSV!F:F,""),
_xlpm.MacVal,_xlfn.XLOOKUP($A559,Output_Mac!$A:$A,Output_Mac!F:F,""),
_xlpm.MyAuditVal,_xlfn.XLOOKUP($A559,My_Audit!$A:$A,My_Audit!E:E,""),
_xlfn.IFS(_xlpm.MyAuditVal&lt;&gt;"",_xlpm.MyAuditVal,_xlpm.MacVal&lt;&gt;"",_xlpm.MacVal,_xlpm.CSVVal&lt;&gt;"",PROPER(_xlpm.CSVVal)
)),"")</f>
        <v/>
      </c>
      <c r="G559" s="45" t="str" cm="1">
        <f t="array" ref="G559">IFERROR(_xlfn.LET(
_xlpm.CSVVal,_xlfn.XLOOKUP($A559,CSV!$A:$A,CSV!G:G,""),
_xlpm.MacVal,_xlfn.XLOOKUP($A559,Output_Mac!$A:$A,Output_Mac!H:H,""),
_xlpm.MyAuditVal,_xlfn.XLOOKUP($A559,My_Audit!$A:$A,My_Audit!F:F,""),
_xlfn.IFS(_xlpm.MyAuditVal&lt;&gt;"",_xlpm.MyAuditVal,_xlpm.MacVal&lt;&gt;"",_xlpm.MacVal,_xlpm.CSVVal&lt;&gt;"",_xlpm.CSVVal
)),"")</f>
        <v/>
      </c>
      <c r="H559" s="45" t="str">
        <f>_xlfn.XLOOKUP(A559,Output_Mac!A:A,Output_Mac!I:I,"")</f>
        <v/>
      </c>
      <c r="I559" s="45" t="str" cm="1">
        <f t="array" ref="I559">IFERROR(_xlfn.LET(
_xlpm.CSVVal,_xlfn.XLOOKUP($A559,CSV!$A:$A,CSV!H:H,""),
_xlpm.MacVal,_xlfn.XLOOKUP($A559,Output_Mac!$A:$A,Output_Mac!J:J,""),
_xlpm.MyAuditVal,_xlfn.XLOOKUP($A559,My_Audit!$A:$A,My_Audit!H:H,""),
_xlfn.IFS(_xlpm.MyAuditVal&lt;&gt;"",UPPER(_xlpm.MyAuditVal),_xlpm.MacVal&lt;&gt;"",_xlpm.MacVal,_xlpm.CSVVal&lt;&gt;"",_xlpm.CSVVal
)),"")</f>
        <v/>
      </c>
      <c r="J559" s="45" t="str" cm="1">
        <f t="array" ref="J559">IFERROR(_xlfn.LET(
_xlpm.CSVVal,_xlfn.XLOOKUP($A559,CSV!$A:$A,CSV!J:J,""),
_xlpm.MacVal,_xlfn.XLOOKUP($A559,Output_Mac!$A:$A,Output_Mac!K:K,""),
_xlpm.MyAuditVal,_xlfn.XLOOKUP($A559,My_Audit!$A:$A,My_Audit!I:I,""),
_xlfn.IFS(_xlpm.MyAuditVal&lt;&gt;"",UPPER(_xlpm.MyAuditVal),_xlpm.MacVal&lt;&gt;"",_xlpm.MacVal,_xlpm.CSVVal&lt;&gt;"",_xlpm.CSVVal
)),"")</f>
        <v/>
      </c>
      <c r="K559" s="45" t="str" cm="1">
        <f t="array" ref="K559">IFERROR(_xlfn.LET(
_xlpm.CSVVal,_xlfn.XLOOKUP($A559,CSV!$A:$A,CSV!N:N,""),
_xlpm.MacVal,_xlfn.XLOOKUP($A559,Output_Mac!$A:$A,Output_Mac!L:L,""),
_xlpm.MyAuditVal,_xlfn.XLOOKUP($A559,My_Audit!$A:$A,My_Audit!J:J,""),
_xlfn.IFS(_xlpm.MyAuditVal&lt;&gt;"",UPPER(_xlpm.MyAuditVal),_xlpm.MacVal&lt;&gt;"",_xlpm.MacVal,_xlpm.CSVVal&lt;&gt;"",_xlpm.CSVVal
)),"")</f>
        <v/>
      </c>
      <c r="L559" s="45" t="str" cm="1">
        <f t="array" ref="L559">IFERROR(_xlfn.LET(
_xlpm.CSVVal,_xlfn.XLOOKUP($A559,CSV!$A:$A,CSV!P:P,""),
_xlpm.MacVal,_xlfn.XLOOKUP($A559,Output_Mac!$A:$A,Output_Mac!M:M,""),
_xlpm.MyAuditVal,_xlfn.XLOOKUP($A559,My_Audit!$A:$A,My_Audit!K:K,""),
_xlfn.IFS(_xlpm.MyAuditVal&lt;&gt;"",UPPER(_xlpm.MyAuditVal),_xlpm.MacVal&lt;&gt;"",_xlpm.MacVal,_xlpm.CSVVal&lt;&gt;"",_xlpm.CSVVal
)),"")</f>
        <v/>
      </c>
      <c r="M559" s="45" t="str">
        <f>_xlfn.LET(
    _xlpm.CSVVal, _xlfn.XLOOKUP($A559, CSV!$A:$A, CSV!AE:AE, ""),
    _xlpm.MacVal, _xlfn.XLOOKUP($A559, Output_Mac!$A:$A, Output_Mac!S:S, ""),
    _xlpm.MyAuditVal, _xlfn.XLOOKUP($A559, My_Audit!$A:$A, My_Audit!N:N, ""),
    _xlfn.TEXTJOIN(", ", TRUE, _xlpm.MyAuditVal, _xlpm.MacVal, _xlpm.CSVVal)
)</f>
        <v/>
      </c>
      <c r="N559" s="45" t="str" cm="1">
        <f t="array" ref="N559">IFERROR(_xlfn.LET(
_xlpm.CSVVal,_xlfn.XLOOKUP($A559,CSV!$A:$A,CSV!AG:AG,""),
_xlpm.MacVal,_xlfn.XLOOKUP($A559,Output_Mac!$A:$A,Output_Mac!U:U,""),
_xlpm.MyAuditVal,_xlfn.XLOOKUP($A559,My_Audit!$A:$A,My_Audit!O:O,""),
_xlfn.IFS(_xlpm.MyAuditVal&lt;&gt;"",UPPER(_xlpm.MyAuditVal),_xlpm.MacVal&lt;&gt;"",_xlpm.MacVal,_xlpm.CSVVal&lt;&gt;"",_xlpm.CSVVal
)),"")</f>
        <v/>
      </c>
      <c r="O559" s="45"/>
      <c r="P559" s="45"/>
      <c r="Q559" s="46" t="str">
        <f>IF(LEFT(N559,4)="Pass","Nist SP 800-88",My_Audit!R559)&amp;""</f>
        <v/>
      </c>
      <c r="R559" s="45"/>
      <c r="S559" s="45"/>
      <c r="T559" s="46" t="str">
        <f>_xlfn.XLOOKUP(E559,Models!I:I,Models!J:J,"")</f>
        <v/>
      </c>
      <c r="U559" s="45"/>
      <c r="V559" s="45"/>
      <c r="W559" s="38"/>
    </row>
    <row r="560" spans="1:23">
      <c r="A560" s="45" t="str">
        <f>_xlfn.TEXTJOIN("",TRUE,Input!$B$2,ROW(My_Audit!A559))</f>
        <v>XX559</v>
      </c>
      <c r="B560" s="45" t="str">
        <f>_xlfn.TEXTJOIN("-",TRUE,"ITD",Input!$A$2,A560)</f>
        <v>ITD-SHRXXX-XX559</v>
      </c>
      <c r="C560" s="45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46" t="str" cm="1">
        <f t="array" ref="D560">IFERROR(_xlfn.LET(
_xlpm.CSVVal,_xlfn.XLOOKUP($A560,CSV!$A:$A,CSV!C:C,""),
_xlpm.MacVal,_xlfn.XLOOKUP($A560,Output_Mac!$A:$A,Output_Mac!D:D,""),
_xlpm.MyAuditVal,_xlfn.XLOOKUP($A560,My_Audit!$A:$A,My_Audit!C:C,""),
_xlfn.IFS(_xlpm.MyAuditVal&lt;&gt;"",UPPER(_xlpm.MyAuditVal),_xlpm.MacVal&lt;&gt;"",_xlpm.MacVal,_xlpm.CSVVal&lt;&gt;"",_xlpm.CSVVal
)),"")</f>
        <v/>
      </c>
      <c r="E560" s="46" t="str" cm="1">
        <f t="array" ref="E560">IFERROR(_xlfn.LET(
_xlpm.CSVVal,_xlfn.XLOOKUP($A560,CSV!$A:$A,CSV!E:E,""),
_xlpm.MacVal,_xlfn.XLOOKUP($A560,Output_Mac!$A:$A,Output_Mac!C:C,""),
_xlpm.MyAuditVal,_xlfn.XLOOKUP($A560,My_Audit!$A:$A,My_Audit!D:D,""),
_xlfn.IFS(_xlpm.MyAuditVal&lt;&gt;"",_xlpm.MyAuditVal,_xlpm.MacVal&lt;&gt;"",_xlpm.MacVal,_xlpm.CSVVal&lt;&gt;"",_xlpm.CSVVal
)),"")</f>
        <v/>
      </c>
      <c r="F560" s="45" t="str" cm="1">
        <f t="array" ref="F560">IFERROR(_xlfn.LET(
_xlpm.CSVVal,_xlfn.XLOOKUP($A560,CSV!$A:$A,CSV!F:F,""),
_xlpm.MacVal,_xlfn.XLOOKUP($A560,Output_Mac!$A:$A,Output_Mac!F:F,""),
_xlpm.MyAuditVal,_xlfn.XLOOKUP($A560,My_Audit!$A:$A,My_Audit!E:E,""),
_xlfn.IFS(_xlpm.MyAuditVal&lt;&gt;"",_xlpm.MyAuditVal,_xlpm.MacVal&lt;&gt;"",_xlpm.MacVal,_xlpm.CSVVal&lt;&gt;"",PROPER(_xlpm.CSVVal)
)),"")</f>
        <v/>
      </c>
      <c r="G560" s="45" t="str" cm="1">
        <f t="array" ref="G560">IFERROR(_xlfn.LET(
_xlpm.CSVVal,_xlfn.XLOOKUP($A560,CSV!$A:$A,CSV!G:G,""),
_xlpm.MacVal,_xlfn.XLOOKUP($A560,Output_Mac!$A:$A,Output_Mac!H:H,""),
_xlpm.MyAuditVal,_xlfn.XLOOKUP($A560,My_Audit!$A:$A,My_Audit!F:F,""),
_xlfn.IFS(_xlpm.MyAuditVal&lt;&gt;"",_xlpm.MyAuditVal,_xlpm.MacVal&lt;&gt;"",_xlpm.MacVal,_xlpm.CSVVal&lt;&gt;"",_xlpm.CSVVal
)),"")</f>
        <v/>
      </c>
      <c r="H560" s="45" t="str">
        <f>_xlfn.XLOOKUP(A560,Output_Mac!A:A,Output_Mac!I:I,"")</f>
        <v/>
      </c>
      <c r="I560" s="45" t="str" cm="1">
        <f t="array" ref="I560">IFERROR(_xlfn.LET(
_xlpm.CSVVal,_xlfn.XLOOKUP($A560,CSV!$A:$A,CSV!H:H,""),
_xlpm.MacVal,_xlfn.XLOOKUP($A560,Output_Mac!$A:$A,Output_Mac!J:J,""),
_xlpm.MyAuditVal,_xlfn.XLOOKUP($A560,My_Audit!$A:$A,My_Audit!H:H,""),
_xlfn.IFS(_xlpm.MyAuditVal&lt;&gt;"",UPPER(_xlpm.MyAuditVal),_xlpm.MacVal&lt;&gt;"",_xlpm.MacVal,_xlpm.CSVVal&lt;&gt;"",_xlpm.CSVVal
)),"")</f>
        <v/>
      </c>
      <c r="J560" s="45" t="str" cm="1">
        <f t="array" ref="J560">IFERROR(_xlfn.LET(
_xlpm.CSVVal,_xlfn.XLOOKUP($A560,CSV!$A:$A,CSV!J:J,""),
_xlpm.MacVal,_xlfn.XLOOKUP($A560,Output_Mac!$A:$A,Output_Mac!K:K,""),
_xlpm.MyAuditVal,_xlfn.XLOOKUP($A560,My_Audit!$A:$A,My_Audit!I:I,""),
_xlfn.IFS(_xlpm.MyAuditVal&lt;&gt;"",UPPER(_xlpm.MyAuditVal),_xlpm.MacVal&lt;&gt;"",_xlpm.MacVal,_xlpm.CSVVal&lt;&gt;"",_xlpm.CSVVal
)),"")</f>
        <v/>
      </c>
      <c r="K560" s="45" t="str" cm="1">
        <f t="array" ref="K560">IFERROR(_xlfn.LET(
_xlpm.CSVVal,_xlfn.XLOOKUP($A560,CSV!$A:$A,CSV!N:N,""),
_xlpm.MacVal,_xlfn.XLOOKUP($A560,Output_Mac!$A:$A,Output_Mac!L:L,""),
_xlpm.MyAuditVal,_xlfn.XLOOKUP($A560,My_Audit!$A:$A,My_Audit!J:J,""),
_xlfn.IFS(_xlpm.MyAuditVal&lt;&gt;"",UPPER(_xlpm.MyAuditVal),_xlpm.MacVal&lt;&gt;"",_xlpm.MacVal,_xlpm.CSVVal&lt;&gt;"",_xlpm.CSVVal
)),"")</f>
        <v/>
      </c>
      <c r="L560" s="45" t="str" cm="1">
        <f t="array" ref="L560">IFERROR(_xlfn.LET(
_xlpm.CSVVal,_xlfn.XLOOKUP($A560,CSV!$A:$A,CSV!P:P,""),
_xlpm.MacVal,_xlfn.XLOOKUP($A560,Output_Mac!$A:$A,Output_Mac!M:M,""),
_xlpm.MyAuditVal,_xlfn.XLOOKUP($A560,My_Audit!$A:$A,My_Audit!K:K,""),
_xlfn.IFS(_xlpm.MyAuditVal&lt;&gt;"",UPPER(_xlpm.MyAuditVal),_xlpm.MacVal&lt;&gt;"",_xlpm.MacVal,_xlpm.CSVVal&lt;&gt;"",_xlpm.CSVVal
)),"")</f>
        <v/>
      </c>
      <c r="M560" s="45" t="str">
        <f>_xlfn.LET(
    _xlpm.CSVVal, _xlfn.XLOOKUP($A560, CSV!$A:$A, CSV!AE:AE, ""),
    _xlpm.MacVal, _xlfn.XLOOKUP($A560, Output_Mac!$A:$A, Output_Mac!S:S, ""),
    _xlpm.MyAuditVal, _xlfn.XLOOKUP($A560, My_Audit!$A:$A, My_Audit!N:N, ""),
    _xlfn.TEXTJOIN(", ", TRUE, _xlpm.MyAuditVal, _xlpm.MacVal, _xlpm.CSVVal)
)</f>
        <v/>
      </c>
      <c r="N560" s="45" t="str" cm="1">
        <f t="array" ref="N560">IFERROR(_xlfn.LET(
_xlpm.CSVVal,_xlfn.XLOOKUP($A560,CSV!$A:$A,CSV!AG:AG,""),
_xlpm.MacVal,_xlfn.XLOOKUP($A560,Output_Mac!$A:$A,Output_Mac!U:U,""),
_xlpm.MyAuditVal,_xlfn.XLOOKUP($A560,My_Audit!$A:$A,My_Audit!O:O,""),
_xlfn.IFS(_xlpm.MyAuditVal&lt;&gt;"",UPPER(_xlpm.MyAuditVal),_xlpm.MacVal&lt;&gt;"",_xlpm.MacVal,_xlpm.CSVVal&lt;&gt;"",_xlpm.CSVVal
)),"")</f>
        <v/>
      </c>
      <c r="O560" s="45"/>
      <c r="P560" s="45"/>
      <c r="Q560" s="46" t="str">
        <f>IF(LEFT(N560,4)="Pass","Nist SP 800-88",My_Audit!R560)&amp;""</f>
        <v/>
      </c>
      <c r="R560" s="45"/>
      <c r="S560" s="45"/>
      <c r="T560" s="46" t="str">
        <f>_xlfn.XLOOKUP(E560,Models!I:I,Models!J:J,"")</f>
        <v/>
      </c>
      <c r="U560" s="45"/>
      <c r="V560" s="45"/>
      <c r="W560" s="38"/>
    </row>
    <row r="561" spans="1:23">
      <c r="A561" s="45" t="str">
        <f>_xlfn.TEXTJOIN("",TRUE,Input!$B$2,ROW(My_Audit!A560))</f>
        <v>XX560</v>
      </c>
      <c r="B561" s="45" t="str">
        <f>_xlfn.TEXTJOIN("-",TRUE,"ITD",Input!$A$2,A561)</f>
        <v>ITD-SHRXXX-XX560</v>
      </c>
      <c r="C561" s="45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46" t="str" cm="1">
        <f t="array" ref="D561">IFERROR(_xlfn.LET(
_xlpm.CSVVal,_xlfn.XLOOKUP($A561,CSV!$A:$A,CSV!C:C,""),
_xlpm.MacVal,_xlfn.XLOOKUP($A561,Output_Mac!$A:$A,Output_Mac!D:D,""),
_xlpm.MyAuditVal,_xlfn.XLOOKUP($A561,My_Audit!$A:$A,My_Audit!C:C,""),
_xlfn.IFS(_xlpm.MyAuditVal&lt;&gt;"",UPPER(_xlpm.MyAuditVal),_xlpm.MacVal&lt;&gt;"",_xlpm.MacVal,_xlpm.CSVVal&lt;&gt;"",_xlpm.CSVVal
)),"")</f>
        <v/>
      </c>
      <c r="E561" s="46" t="str" cm="1">
        <f t="array" ref="E561">IFERROR(_xlfn.LET(
_xlpm.CSVVal,_xlfn.XLOOKUP($A561,CSV!$A:$A,CSV!E:E,""),
_xlpm.MacVal,_xlfn.XLOOKUP($A561,Output_Mac!$A:$A,Output_Mac!C:C,""),
_xlpm.MyAuditVal,_xlfn.XLOOKUP($A561,My_Audit!$A:$A,My_Audit!D:D,""),
_xlfn.IFS(_xlpm.MyAuditVal&lt;&gt;"",_xlpm.MyAuditVal,_xlpm.MacVal&lt;&gt;"",_xlpm.MacVal,_xlpm.CSVVal&lt;&gt;"",_xlpm.CSVVal
)),"")</f>
        <v/>
      </c>
      <c r="F561" s="45" t="str" cm="1">
        <f t="array" ref="F561">IFERROR(_xlfn.LET(
_xlpm.CSVVal,_xlfn.XLOOKUP($A561,CSV!$A:$A,CSV!F:F,""),
_xlpm.MacVal,_xlfn.XLOOKUP($A561,Output_Mac!$A:$A,Output_Mac!F:F,""),
_xlpm.MyAuditVal,_xlfn.XLOOKUP($A561,My_Audit!$A:$A,My_Audit!E:E,""),
_xlfn.IFS(_xlpm.MyAuditVal&lt;&gt;"",_xlpm.MyAuditVal,_xlpm.MacVal&lt;&gt;"",_xlpm.MacVal,_xlpm.CSVVal&lt;&gt;"",PROPER(_xlpm.CSVVal)
)),"")</f>
        <v/>
      </c>
      <c r="G561" s="45" t="str" cm="1">
        <f t="array" ref="G561">IFERROR(_xlfn.LET(
_xlpm.CSVVal,_xlfn.XLOOKUP($A561,CSV!$A:$A,CSV!G:G,""),
_xlpm.MacVal,_xlfn.XLOOKUP($A561,Output_Mac!$A:$A,Output_Mac!H:H,""),
_xlpm.MyAuditVal,_xlfn.XLOOKUP($A561,My_Audit!$A:$A,My_Audit!F:F,""),
_xlfn.IFS(_xlpm.MyAuditVal&lt;&gt;"",_xlpm.MyAuditVal,_xlpm.MacVal&lt;&gt;"",_xlpm.MacVal,_xlpm.CSVVal&lt;&gt;"",_xlpm.CSVVal
)),"")</f>
        <v/>
      </c>
      <c r="H561" s="45" t="str">
        <f>_xlfn.XLOOKUP(A561,Output_Mac!A:A,Output_Mac!I:I,"")</f>
        <v/>
      </c>
      <c r="I561" s="45" t="str" cm="1">
        <f t="array" ref="I561">IFERROR(_xlfn.LET(
_xlpm.CSVVal,_xlfn.XLOOKUP($A561,CSV!$A:$A,CSV!H:H,""),
_xlpm.MacVal,_xlfn.XLOOKUP($A561,Output_Mac!$A:$A,Output_Mac!J:J,""),
_xlpm.MyAuditVal,_xlfn.XLOOKUP($A561,My_Audit!$A:$A,My_Audit!H:H,""),
_xlfn.IFS(_xlpm.MyAuditVal&lt;&gt;"",UPPER(_xlpm.MyAuditVal),_xlpm.MacVal&lt;&gt;"",_xlpm.MacVal,_xlpm.CSVVal&lt;&gt;"",_xlpm.CSVVal
)),"")</f>
        <v/>
      </c>
      <c r="J561" s="45" t="str" cm="1">
        <f t="array" ref="J561">IFERROR(_xlfn.LET(
_xlpm.CSVVal,_xlfn.XLOOKUP($A561,CSV!$A:$A,CSV!J:J,""),
_xlpm.MacVal,_xlfn.XLOOKUP($A561,Output_Mac!$A:$A,Output_Mac!K:K,""),
_xlpm.MyAuditVal,_xlfn.XLOOKUP($A561,My_Audit!$A:$A,My_Audit!I:I,""),
_xlfn.IFS(_xlpm.MyAuditVal&lt;&gt;"",UPPER(_xlpm.MyAuditVal),_xlpm.MacVal&lt;&gt;"",_xlpm.MacVal,_xlpm.CSVVal&lt;&gt;"",_xlpm.CSVVal
)),"")</f>
        <v/>
      </c>
      <c r="K561" s="45" t="str" cm="1">
        <f t="array" ref="K561">IFERROR(_xlfn.LET(
_xlpm.CSVVal,_xlfn.XLOOKUP($A561,CSV!$A:$A,CSV!N:N,""),
_xlpm.MacVal,_xlfn.XLOOKUP($A561,Output_Mac!$A:$A,Output_Mac!L:L,""),
_xlpm.MyAuditVal,_xlfn.XLOOKUP($A561,My_Audit!$A:$A,My_Audit!J:J,""),
_xlfn.IFS(_xlpm.MyAuditVal&lt;&gt;"",UPPER(_xlpm.MyAuditVal),_xlpm.MacVal&lt;&gt;"",_xlpm.MacVal,_xlpm.CSVVal&lt;&gt;"",_xlpm.CSVVal
)),"")</f>
        <v/>
      </c>
      <c r="L561" s="45" t="str" cm="1">
        <f t="array" ref="L561">IFERROR(_xlfn.LET(
_xlpm.CSVVal,_xlfn.XLOOKUP($A561,CSV!$A:$A,CSV!P:P,""),
_xlpm.MacVal,_xlfn.XLOOKUP($A561,Output_Mac!$A:$A,Output_Mac!M:M,""),
_xlpm.MyAuditVal,_xlfn.XLOOKUP($A561,My_Audit!$A:$A,My_Audit!K:K,""),
_xlfn.IFS(_xlpm.MyAuditVal&lt;&gt;"",UPPER(_xlpm.MyAuditVal),_xlpm.MacVal&lt;&gt;"",_xlpm.MacVal,_xlpm.CSVVal&lt;&gt;"",_xlpm.CSVVal
)),"")</f>
        <v/>
      </c>
      <c r="M561" s="45" t="str">
        <f>_xlfn.LET(
    _xlpm.CSVVal, _xlfn.XLOOKUP($A561, CSV!$A:$A, CSV!AE:AE, ""),
    _xlpm.MacVal, _xlfn.XLOOKUP($A561, Output_Mac!$A:$A, Output_Mac!S:S, ""),
    _xlpm.MyAuditVal, _xlfn.XLOOKUP($A561, My_Audit!$A:$A, My_Audit!N:N, ""),
    _xlfn.TEXTJOIN(", ", TRUE, _xlpm.MyAuditVal, _xlpm.MacVal, _xlpm.CSVVal)
)</f>
        <v/>
      </c>
      <c r="N561" s="45" t="str" cm="1">
        <f t="array" ref="N561">IFERROR(_xlfn.LET(
_xlpm.CSVVal,_xlfn.XLOOKUP($A561,CSV!$A:$A,CSV!AG:AG,""),
_xlpm.MacVal,_xlfn.XLOOKUP($A561,Output_Mac!$A:$A,Output_Mac!U:U,""),
_xlpm.MyAuditVal,_xlfn.XLOOKUP($A561,My_Audit!$A:$A,My_Audit!O:O,""),
_xlfn.IFS(_xlpm.MyAuditVal&lt;&gt;"",UPPER(_xlpm.MyAuditVal),_xlpm.MacVal&lt;&gt;"",_xlpm.MacVal,_xlpm.CSVVal&lt;&gt;"",_xlpm.CSVVal
)),"")</f>
        <v/>
      </c>
      <c r="O561" s="45"/>
      <c r="P561" s="45"/>
      <c r="Q561" s="46" t="str">
        <f>IF(LEFT(N561,4)="Pass","Nist SP 800-88",My_Audit!R561)&amp;""</f>
        <v/>
      </c>
      <c r="R561" s="45"/>
      <c r="S561" s="45"/>
      <c r="T561" s="46" t="str">
        <f>_xlfn.XLOOKUP(E561,Models!I:I,Models!J:J,"")</f>
        <v/>
      </c>
      <c r="U561" s="45"/>
      <c r="V561" s="45"/>
      <c r="W561" s="38"/>
    </row>
    <row r="562" spans="1:23">
      <c r="A562" s="45" t="str">
        <f>_xlfn.TEXTJOIN("",TRUE,Input!$B$2,ROW(My_Audit!A561))</f>
        <v>XX561</v>
      </c>
      <c r="B562" s="45" t="str">
        <f>_xlfn.TEXTJOIN("-",TRUE,"ITD",Input!$A$2,A562)</f>
        <v>ITD-SHRXXX-XX561</v>
      </c>
      <c r="C562" s="45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46" t="str" cm="1">
        <f t="array" ref="D562">IFERROR(_xlfn.LET(
_xlpm.CSVVal,_xlfn.XLOOKUP($A562,CSV!$A:$A,CSV!C:C,""),
_xlpm.MacVal,_xlfn.XLOOKUP($A562,Output_Mac!$A:$A,Output_Mac!D:D,""),
_xlpm.MyAuditVal,_xlfn.XLOOKUP($A562,My_Audit!$A:$A,My_Audit!C:C,""),
_xlfn.IFS(_xlpm.MyAuditVal&lt;&gt;"",UPPER(_xlpm.MyAuditVal),_xlpm.MacVal&lt;&gt;"",_xlpm.MacVal,_xlpm.CSVVal&lt;&gt;"",_xlpm.CSVVal
)),"")</f>
        <v/>
      </c>
      <c r="E562" s="46" t="str" cm="1">
        <f t="array" ref="E562">IFERROR(_xlfn.LET(
_xlpm.CSVVal,_xlfn.XLOOKUP($A562,CSV!$A:$A,CSV!E:E,""),
_xlpm.MacVal,_xlfn.XLOOKUP($A562,Output_Mac!$A:$A,Output_Mac!C:C,""),
_xlpm.MyAuditVal,_xlfn.XLOOKUP($A562,My_Audit!$A:$A,My_Audit!D:D,""),
_xlfn.IFS(_xlpm.MyAuditVal&lt;&gt;"",_xlpm.MyAuditVal,_xlpm.MacVal&lt;&gt;"",_xlpm.MacVal,_xlpm.CSVVal&lt;&gt;"",_xlpm.CSVVal
)),"")</f>
        <v/>
      </c>
      <c r="F562" s="45" t="str" cm="1">
        <f t="array" ref="F562">IFERROR(_xlfn.LET(
_xlpm.CSVVal,_xlfn.XLOOKUP($A562,CSV!$A:$A,CSV!F:F,""),
_xlpm.MacVal,_xlfn.XLOOKUP($A562,Output_Mac!$A:$A,Output_Mac!F:F,""),
_xlpm.MyAuditVal,_xlfn.XLOOKUP($A562,My_Audit!$A:$A,My_Audit!E:E,""),
_xlfn.IFS(_xlpm.MyAuditVal&lt;&gt;"",_xlpm.MyAuditVal,_xlpm.MacVal&lt;&gt;"",_xlpm.MacVal,_xlpm.CSVVal&lt;&gt;"",PROPER(_xlpm.CSVVal)
)),"")</f>
        <v/>
      </c>
      <c r="G562" s="45" t="str" cm="1">
        <f t="array" ref="G562">IFERROR(_xlfn.LET(
_xlpm.CSVVal,_xlfn.XLOOKUP($A562,CSV!$A:$A,CSV!G:G,""),
_xlpm.MacVal,_xlfn.XLOOKUP($A562,Output_Mac!$A:$A,Output_Mac!H:H,""),
_xlpm.MyAuditVal,_xlfn.XLOOKUP($A562,My_Audit!$A:$A,My_Audit!F:F,""),
_xlfn.IFS(_xlpm.MyAuditVal&lt;&gt;"",_xlpm.MyAuditVal,_xlpm.MacVal&lt;&gt;"",_xlpm.MacVal,_xlpm.CSVVal&lt;&gt;"",_xlpm.CSVVal
)),"")</f>
        <v/>
      </c>
      <c r="H562" s="45" t="str">
        <f>_xlfn.XLOOKUP(A562,Output_Mac!A:A,Output_Mac!I:I,"")</f>
        <v/>
      </c>
      <c r="I562" s="45" t="str" cm="1">
        <f t="array" ref="I562">IFERROR(_xlfn.LET(
_xlpm.CSVVal,_xlfn.XLOOKUP($A562,CSV!$A:$A,CSV!H:H,""),
_xlpm.MacVal,_xlfn.XLOOKUP($A562,Output_Mac!$A:$A,Output_Mac!J:J,""),
_xlpm.MyAuditVal,_xlfn.XLOOKUP($A562,My_Audit!$A:$A,My_Audit!H:H,""),
_xlfn.IFS(_xlpm.MyAuditVal&lt;&gt;"",UPPER(_xlpm.MyAuditVal),_xlpm.MacVal&lt;&gt;"",_xlpm.MacVal,_xlpm.CSVVal&lt;&gt;"",_xlpm.CSVVal
)),"")</f>
        <v/>
      </c>
      <c r="J562" s="45" t="str" cm="1">
        <f t="array" ref="J562">IFERROR(_xlfn.LET(
_xlpm.CSVVal,_xlfn.XLOOKUP($A562,CSV!$A:$A,CSV!J:J,""),
_xlpm.MacVal,_xlfn.XLOOKUP($A562,Output_Mac!$A:$A,Output_Mac!K:K,""),
_xlpm.MyAuditVal,_xlfn.XLOOKUP($A562,My_Audit!$A:$A,My_Audit!I:I,""),
_xlfn.IFS(_xlpm.MyAuditVal&lt;&gt;"",UPPER(_xlpm.MyAuditVal),_xlpm.MacVal&lt;&gt;"",_xlpm.MacVal,_xlpm.CSVVal&lt;&gt;"",_xlpm.CSVVal
)),"")</f>
        <v/>
      </c>
      <c r="K562" s="45" t="str" cm="1">
        <f t="array" ref="K562">IFERROR(_xlfn.LET(
_xlpm.CSVVal,_xlfn.XLOOKUP($A562,CSV!$A:$A,CSV!N:N,""),
_xlpm.MacVal,_xlfn.XLOOKUP($A562,Output_Mac!$A:$A,Output_Mac!L:L,""),
_xlpm.MyAuditVal,_xlfn.XLOOKUP($A562,My_Audit!$A:$A,My_Audit!J:J,""),
_xlfn.IFS(_xlpm.MyAuditVal&lt;&gt;"",UPPER(_xlpm.MyAuditVal),_xlpm.MacVal&lt;&gt;"",_xlpm.MacVal,_xlpm.CSVVal&lt;&gt;"",_xlpm.CSVVal
)),"")</f>
        <v/>
      </c>
      <c r="L562" s="45" t="str" cm="1">
        <f t="array" ref="L562">IFERROR(_xlfn.LET(
_xlpm.CSVVal,_xlfn.XLOOKUP($A562,CSV!$A:$A,CSV!P:P,""),
_xlpm.MacVal,_xlfn.XLOOKUP($A562,Output_Mac!$A:$A,Output_Mac!M:M,""),
_xlpm.MyAuditVal,_xlfn.XLOOKUP($A562,My_Audit!$A:$A,My_Audit!K:K,""),
_xlfn.IFS(_xlpm.MyAuditVal&lt;&gt;"",UPPER(_xlpm.MyAuditVal),_xlpm.MacVal&lt;&gt;"",_xlpm.MacVal,_xlpm.CSVVal&lt;&gt;"",_xlpm.CSVVal
)),"")</f>
        <v/>
      </c>
      <c r="M562" s="45" t="str">
        <f>_xlfn.LET(
    _xlpm.CSVVal, _xlfn.XLOOKUP($A562, CSV!$A:$A, CSV!AE:AE, ""),
    _xlpm.MacVal, _xlfn.XLOOKUP($A562, Output_Mac!$A:$A, Output_Mac!S:S, ""),
    _xlpm.MyAuditVal, _xlfn.XLOOKUP($A562, My_Audit!$A:$A, My_Audit!N:N, ""),
    _xlfn.TEXTJOIN(", ", TRUE, _xlpm.MyAuditVal, _xlpm.MacVal, _xlpm.CSVVal)
)</f>
        <v/>
      </c>
      <c r="N562" s="45" t="str" cm="1">
        <f t="array" ref="N562">IFERROR(_xlfn.LET(
_xlpm.CSVVal,_xlfn.XLOOKUP($A562,CSV!$A:$A,CSV!AG:AG,""),
_xlpm.MacVal,_xlfn.XLOOKUP($A562,Output_Mac!$A:$A,Output_Mac!U:U,""),
_xlpm.MyAuditVal,_xlfn.XLOOKUP($A562,My_Audit!$A:$A,My_Audit!O:O,""),
_xlfn.IFS(_xlpm.MyAuditVal&lt;&gt;"",UPPER(_xlpm.MyAuditVal),_xlpm.MacVal&lt;&gt;"",_xlpm.MacVal,_xlpm.CSVVal&lt;&gt;"",_xlpm.CSVVal
)),"")</f>
        <v/>
      </c>
      <c r="O562" s="45"/>
      <c r="P562" s="45"/>
      <c r="Q562" s="46" t="str">
        <f>IF(LEFT(N562,4)="Pass","Nist SP 800-88",My_Audit!R562)&amp;""</f>
        <v/>
      </c>
      <c r="R562" s="45"/>
      <c r="S562" s="45"/>
      <c r="T562" s="46" t="str">
        <f>_xlfn.XLOOKUP(E562,Models!I:I,Models!J:J,"")</f>
        <v/>
      </c>
      <c r="U562" s="45"/>
      <c r="V562" s="45"/>
      <c r="W562" s="38"/>
    </row>
    <row r="563" spans="1:23">
      <c r="A563" s="45" t="str">
        <f>_xlfn.TEXTJOIN("",TRUE,Input!$B$2,ROW(My_Audit!A562))</f>
        <v>XX562</v>
      </c>
      <c r="B563" s="45" t="str">
        <f>_xlfn.TEXTJOIN("-",TRUE,"ITD",Input!$A$2,A563)</f>
        <v>ITD-SHRXXX-XX562</v>
      </c>
      <c r="C563" s="45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46" t="str" cm="1">
        <f t="array" ref="D563">IFERROR(_xlfn.LET(
_xlpm.CSVVal,_xlfn.XLOOKUP($A563,CSV!$A:$A,CSV!C:C,""),
_xlpm.MacVal,_xlfn.XLOOKUP($A563,Output_Mac!$A:$A,Output_Mac!D:D,""),
_xlpm.MyAuditVal,_xlfn.XLOOKUP($A563,My_Audit!$A:$A,My_Audit!C:C,""),
_xlfn.IFS(_xlpm.MyAuditVal&lt;&gt;"",UPPER(_xlpm.MyAuditVal),_xlpm.MacVal&lt;&gt;"",_xlpm.MacVal,_xlpm.CSVVal&lt;&gt;"",_xlpm.CSVVal
)),"")</f>
        <v/>
      </c>
      <c r="E563" s="46" t="str" cm="1">
        <f t="array" ref="E563">IFERROR(_xlfn.LET(
_xlpm.CSVVal,_xlfn.XLOOKUP($A563,CSV!$A:$A,CSV!E:E,""),
_xlpm.MacVal,_xlfn.XLOOKUP($A563,Output_Mac!$A:$A,Output_Mac!C:C,""),
_xlpm.MyAuditVal,_xlfn.XLOOKUP($A563,My_Audit!$A:$A,My_Audit!D:D,""),
_xlfn.IFS(_xlpm.MyAuditVal&lt;&gt;"",_xlpm.MyAuditVal,_xlpm.MacVal&lt;&gt;"",_xlpm.MacVal,_xlpm.CSVVal&lt;&gt;"",_xlpm.CSVVal
)),"")</f>
        <v/>
      </c>
      <c r="F563" s="45" t="str" cm="1">
        <f t="array" ref="F563">IFERROR(_xlfn.LET(
_xlpm.CSVVal,_xlfn.XLOOKUP($A563,CSV!$A:$A,CSV!F:F,""),
_xlpm.MacVal,_xlfn.XLOOKUP($A563,Output_Mac!$A:$A,Output_Mac!F:F,""),
_xlpm.MyAuditVal,_xlfn.XLOOKUP($A563,My_Audit!$A:$A,My_Audit!E:E,""),
_xlfn.IFS(_xlpm.MyAuditVal&lt;&gt;"",_xlpm.MyAuditVal,_xlpm.MacVal&lt;&gt;"",_xlpm.MacVal,_xlpm.CSVVal&lt;&gt;"",PROPER(_xlpm.CSVVal)
)),"")</f>
        <v/>
      </c>
      <c r="G563" s="45" t="str" cm="1">
        <f t="array" ref="G563">IFERROR(_xlfn.LET(
_xlpm.CSVVal,_xlfn.XLOOKUP($A563,CSV!$A:$A,CSV!G:G,""),
_xlpm.MacVal,_xlfn.XLOOKUP($A563,Output_Mac!$A:$A,Output_Mac!H:H,""),
_xlpm.MyAuditVal,_xlfn.XLOOKUP($A563,My_Audit!$A:$A,My_Audit!F:F,""),
_xlfn.IFS(_xlpm.MyAuditVal&lt;&gt;"",_xlpm.MyAuditVal,_xlpm.MacVal&lt;&gt;"",_xlpm.MacVal,_xlpm.CSVVal&lt;&gt;"",_xlpm.CSVVal
)),"")</f>
        <v/>
      </c>
      <c r="H563" s="45" t="str">
        <f>_xlfn.XLOOKUP(A563,Output_Mac!A:A,Output_Mac!I:I,"")</f>
        <v/>
      </c>
      <c r="I563" s="45" t="str" cm="1">
        <f t="array" ref="I563">IFERROR(_xlfn.LET(
_xlpm.CSVVal,_xlfn.XLOOKUP($A563,CSV!$A:$A,CSV!H:H,""),
_xlpm.MacVal,_xlfn.XLOOKUP($A563,Output_Mac!$A:$A,Output_Mac!J:J,""),
_xlpm.MyAuditVal,_xlfn.XLOOKUP($A563,My_Audit!$A:$A,My_Audit!H:H,""),
_xlfn.IFS(_xlpm.MyAuditVal&lt;&gt;"",UPPER(_xlpm.MyAuditVal),_xlpm.MacVal&lt;&gt;"",_xlpm.MacVal,_xlpm.CSVVal&lt;&gt;"",_xlpm.CSVVal
)),"")</f>
        <v/>
      </c>
      <c r="J563" s="45" t="str" cm="1">
        <f t="array" ref="J563">IFERROR(_xlfn.LET(
_xlpm.CSVVal,_xlfn.XLOOKUP($A563,CSV!$A:$A,CSV!J:J,""),
_xlpm.MacVal,_xlfn.XLOOKUP($A563,Output_Mac!$A:$A,Output_Mac!K:K,""),
_xlpm.MyAuditVal,_xlfn.XLOOKUP($A563,My_Audit!$A:$A,My_Audit!I:I,""),
_xlfn.IFS(_xlpm.MyAuditVal&lt;&gt;"",UPPER(_xlpm.MyAuditVal),_xlpm.MacVal&lt;&gt;"",_xlpm.MacVal,_xlpm.CSVVal&lt;&gt;"",_xlpm.CSVVal
)),"")</f>
        <v/>
      </c>
      <c r="K563" s="45" t="str" cm="1">
        <f t="array" ref="K563">IFERROR(_xlfn.LET(
_xlpm.CSVVal,_xlfn.XLOOKUP($A563,CSV!$A:$A,CSV!N:N,""),
_xlpm.MacVal,_xlfn.XLOOKUP($A563,Output_Mac!$A:$A,Output_Mac!L:L,""),
_xlpm.MyAuditVal,_xlfn.XLOOKUP($A563,My_Audit!$A:$A,My_Audit!J:J,""),
_xlfn.IFS(_xlpm.MyAuditVal&lt;&gt;"",UPPER(_xlpm.MyAuditVal),_xlpm.MacVal&lt;&gt;"",_xlpm.MacVal,_xlpm.CSVVal&lt;&gt;"",_xlpm.CSVVal
)),"")</f>
        <v/>
      </c>
      <c r="L563" s="45" t="str" cm="1">
        <f t="array" ref="L563">IFERROR(_xlfn.LET(
_xlpm.CSVVal,_xlfn.XLOOKUP($A563,CSV!$A:$A,CSV!P:P,""),
_xlpm.MacVal,_xlfn.XLOOKUP($A563,Output_Mac!$A:$A,Output_Mac!M:M,""),
_xlpm.MyAuditVal,_xlfn.XLOOKUP($A563,My_Audit!$A:$A,My_Audit!K:K,""),
_xlfn.IFS(_xlpm.MyAuditVal&lt;&gt;"",UPPER(_xlpm.MyAuditVal),_xlpm.MacVal&lt;&gt;"",_xlpm.MacVal,_xlpm.CSVVal&lt;&gt;"",_xlpm.CSVVal
)),"")</f>
        <v/>
      </c>
      <c r="M563" s="45" t="str">
        <f>_xlfn.LET(
    _xlpm.CSVVal, _xlfn.XLOOKUP($A563, CSV!$A:$A, CSV!AE:AE, ""),
    _xlpm.MacVal, _xlfn.XLOOKUP($A563, Output_Mac!$A:$A, Output_Mac!S:S, ""),
    _xlpm.MyAuditVal, _xlfn.XLOOKUP($A563, My_Audit!$A:$A, My_Audit!N:N, ""),
    _xlfn.TEXTJOIN(", ", TRUE, _xlpm.MyAuditVal, _xlpm.MacVal, _xlpm.CSVVal)
)</f>
        <v/>
      </c>
      <c r="N563" s="45" t="str" cm="1">
        <f t="array" ref="N563">IFERROR(_xlfn.LET(
_xlpm.CSVVal,_xlfn.XLOOKUP($A563,CSV!$A:$A,CSV!AG:AG,""),
_xlpm.MacVal,_xlfn.XLOOKUP($A563,Output_Mac!$A:$A,Output_Mac!U:U,""),
_xlpm.MyAuditVal,_xlfn.XLOOKUP($A563,My_Audit!$A:$A,My_Audit!O:O,""),
_xlfn.IFS(_xlpm.MyAuditVal&lt;&gt;"",UPPER(_xlpm.MyAuditVal),_xlpm.MacVal&lt;&gt;"",_xlpm.MacVal,_xlpm.CSVVal&lt;&gt;"",_xlpm.CSVVal
)),"")</f>
        <v/>
      </c>
      <c r="O563" s="45"/>
      <c r="P563" s="45"/>
      <c r="Q563" s="46" t="str">
        <f>IF(LEFT(N563,4)="Pass","Nist SP 800-88",My_Audit!R563)&amp;""</f>
        <v/>
      </c>
      <c r="R563" s="45"/>
      <c r="S563" s="45"/>
      <c r="T563" s="46" t="str">
        <f>_xlfn.XLOOKUP(E563,Models!I:I,Models!J:J,"")</f>
        <v/>
      </c>
      <c r="U563" s="45"/>
      <c r="V563" s="45"/>
      <c r="W563" s="38"/>
    </row>
    <row r="564" spans="1:23">
      <c r="A564" s="45" t="str">
        <f>_xlfn.TEXTJOIN("",TRUE,Input!$B$2,ROW(My_Audit!A563))</f>
        <v>XX563</v>
      </c>
      <c r="B564" s="45" t="str">
        <f>_xlfn.TEXTJOIN("-",TRUE,"ITD",Input!$A$2,A564)</f>
        <v>ITD-SHRXXX-XX563</v>
      </c>
      <c r="C564" s="45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46" t="str" cm="1">
        <f t="array" ref="D564">IFERROR(_xlfn.LET(
_xlpm.CSVVal,_xlfn.XLOOKUP($A564,CSV!$A:$A,CSV!C:C,""),
_xlpm.MacVal,_xlfn.XLOOKUP($A564,Output_Mac!$A:$A,Output_Mac!D:D,""),
_xlpm.MyAuditVal,_xlfn.XLOOKUP($A564,My_Audit!$A:$A,My_Audit!C:C,""),
_xlfn.IFS(_xlpm.MyAuditVal&lt;&gt;"",UPPER(_xlpm.MyAuditVal),_xlpm.MacVal&lt;&gt;"",_xlpm.MacVal,_xlpm.CSVVal&lt;&gt;"",_xlpm.CSVVal
)),"")</f>
        <v/>
      </c>
      <c r="E564" s="46" t="str" cm="1">
        <f t="array" ref="E564">IFERROR(_xlfn.LET(
_xlpm.CSVVal,_xlfn.XLOOKUP($A564,CSV!$A:$A,CSV!E:E,""),
_xlpm.MacVal,_xlfn.XLOOKUP($A564,Output_Mac!$A:$A,Output_Mac!C:C,""),
_xlpm.MyAuditVal,_xlfn.XLOOKUP($A564,My_Audit!$A:$A,My_Audit!D:D,""),
_xlfn.IFS(_xlpm.MyAuditVal&lt;&gt;"",_xlpm.MyAuditVal,_xlpm.MacVal&lt;&gt;"",_xlpm.MacVal,_xlpm.CSVVal&lt;&gt;"",_xlpm.CSVVal
)),"")</f>
        <v/>
      </c>
      <c r="F564" s="45" t="str" cm="1">
        <f t="array" ref="F564">IFERROR(_xlfn.LET(
_xlpm.CSVVal,_xlfn.XLOOKUP($A564,CSV!$A:$A,CSV!F:F,""),
_xlpm.MacVal,_xlfn.XLOOKUP($A564,Output_Mac!$A:$A,Output_Mac!F:F,""),
_xlpm.MyAuditVal,_xlfn.XLOOKUP($A564,My_Audit!$A:$A,My_Audit!E:E,""),
_xlfn.IFS(_xlpm.MyAuditVal&lt;&gt;"",_xlpm.MyAuditVal,_xlpm.MacVal&lt;&gt;"",_xlpm.MacVal,_xlpm.CSVVal&lt;&gt;"",PROPER(_xlpm.CSVVal)
)),"")</f>
        <v/>
      </c>
      <c r="G564" s="45" t="str" cm="1">
        <f t="array" ref="G564">IFERROR(_xlfn.LET(
_xlpm.CSVVal,_xlfn.XLOOKUP($A564,CSV!$A:$A,CSV!G:G,""),
_xlpm.MacVal,_xlfn.XLOOKUP($A564,Output_Mac!$A:$A,Output_Mac!H:H,""),
_xlpm.MyAuditVal,_xlfn.XLOOKUP($A564,My_Audit!$A:$A,My_Audit!F:F,""),
_xlfn.IFS(_xlpm.MyAuditVal&lt;&gt;"",_xlpm.MyAuditVal,_xlpm.MacVal&lt;&gt;"",_xlpm.MacVal,_xlpm.CSVVal&lt;&gt;"",_xlpm.CSVVal
)),"")</f>
        <v/>
      </c>
      <c r="H564" s="45" t="str">
        <f>_xlfn.XLOOKUP(A564,Output_Mac!A:A,Output_Mac!I:I,"")</f>
        <v/>
      </c>
      <c r="I564" s="45" t="str" cm="1">
        <f t="array" ref="I564">IFERROR(_xlfn.LET(
_xlpm.CSVVal,_xlfn.XLOOKUP($A564,CSV!$A:$A,CSV!H:H,""),
_xlpm.MacVal,_xlfn.XLOOKUP($A564,Output_Mac!$A:$A,Output_Mac!J:J,""),
_xlpm.MyAuditVal,_xlfn.XLOOKUP($A564,My_Audit!$A:$A,My_Audit!H:H,""),
_xlfn.IFS(_xlpm.MyAuditVal&lt;&gt;"",UPPER(_xlpm.MyAuditVal),_xlpm.MacVal&lt;&gt;"",_xlpm.MacVal,_xlpm.CSVVal&lt;&gt;"",_xlpm.CSVVal
)),"")</f>
        <v/>
      </c>
      <c r="J564" s="45" t="str" cm="1">
        <f t="array" ref="J564">IFERROR(_xlfn.LET(
_xlpm.CSVVal,_xlfn.XLOOKUP($A564,CSV!$A:$A,CSV!J:J,""),
_xlpm.MacVal,_xlfn.XLOOKUP($A564,Output_Mac!$A:$A,Output_Mac!K:K,""),
_xlpm.MyAuditVal,_xlfn.XLOOKUP($A564,My_Audit!$A:$A,My_Audit!I:I,""),
_xlfn.IFS(_xlpm.MyAuditVal&lt;&gt;"",UPPER(_xlpm.MyAuditVal),_xlpm.MacVal&lt;&gt;"",_xlpm.MacVal,_xlpm.CSVVal&lt;&gt;"",_xlpm.CSVVal
)),"")</f>
        <v/>
      </c>
      <c r="K564" s="45" t="str" cm="1">
        <f t="array" ref="K564">IFERROR(_xlfn.LET(
_xlpm.CSVVal,_xlfn.XLOOKUP($A564,CSV!$A:$A,CSV!N:N,""),
_xlpm.MacVal,_xlfn.XLOOKUP($A564,Output_Mac!$A:$A,Output_Mac!L:L,""),
_xlpm.MyAuditVal,_xlfn.XLOOKUP($A564,My_Audit!$A:$A,My_Audit!J:J,""),
_xlfn.IFS(_xlpm.MyAuditVal&lt;&gt;"",UPPER(_xlpm.MyAuditVal),_xlpm.MacVal&lt;&gt;"",_xlpm.MacVal,_xlpm.CSVVal&lt;&gt;"",_xlpm.CSVVal
)),"")</f>
        <v/>
      </c>
      <c r="L564" s="45" t="str" cm="1">
        <f t="array" ref="L564">IFERROR(_xlfn.LET(
_xlpm.CSVVal,_xlfn.XLOOKUP($A564,CSV!$A:$A,CSV!P:P,""),
_xlpm.MacVal,_xlfn.XLOOKUP($A564,Output_Mac!$A:$A,Output_Mac!M:M,""),
_xlpm.MyAuditVal,_xlfn.XLOOKUP($A564,My_Audit!$A:$A,My_Audit!K:K,""),
_xlfn.IFS(_xlpm.MyAuditVal&lt;&gt;"",UPPER(_xlpm.MyAuditVal),_xlpm.MacVal&lt;&gt;"",_xlpm.MacVal,_xlpm.CSVVal&lt;&gt;"",_xlpm.CSVVal
)),"")</f>
        <v/>
      </c>
      <c r="M564" s="45" t="str">
        <f>_xlfn.LET(
    _xlpm.CSVVal, _xlfn.XLOOKUP($A564, CSV!$A:$A, CSV!AE:AE, ""),
    _xlpm.MacVal, _xlfn.XLOOKUP($A564, Output_Mac!$A:$A, Output_Mac!S:S, ""),
    _xlpm.MyAuditVal, _xlfn.XLOOKUP($A564, My_Audit!$A:$A, My_Audit!N:N, ""),
    _xlfn.TEXTJOIN(", ", TRUE, _xlpm.MyAuditVal, _xlpm.MacVal, _xlpm.CSVVal)
)</f>
        <v/>
      </c>
      <c r="N564" s="45" t="str" cm="1">
        <f t="array" ref="N564">IFERROR(_xlfn.LET(
_xlpm.CSVVal,_xlfn.XLOOKUP($A564,CSV!$A:$A,CSV!AG:AG,""),
_xlpm.MacVal,_xlfn.XLOOKUP($A564,Output_Mac!$A:$A,Output_Mac!U:U,""),
_xlpm.MyAuditVal,_xlfn.XLOOKUP($A564,My_Audit!$A:$A,My_Audit!O:O,""),
_xlfn.IFS(_xlpm.MyAuditVal&lt;&gt;"",UPPER(_xlpm.MyAuditVal),_xlpm.MacVal&lt;&gt;"",_xlpm.MacVal,_xlpm.CSVVal&lt;&gt;"",_xlpm.CSVVal
)),"")</f>
        <v/>
      </c>
      <c r="O564" s="45"/>
      <c r="P564" s="45"/>
      <c r="Q564" s="46" t="str">
        <f>IF(LEFT(N564,4)="Pass","Nist SP 800-88",My_Audit!R564)&amp;""</f>
        <v/>
      </c>
      <c r="R564" s="45"/>
      <c r="S564" s="45"/>
      <c r="T564" s="46" t="str">
        <f>_xlfn.XLOOKUP(E564,Models!I:I,Models!J:J,"")</f>
        <v/>
      </c>
      <c r="U564" s="45"/>
      <c r="V564" s="45"/>
      <c r="W564" s="38"/>
    </row>
    <row r="565" spans="1:23">
      <c r="A565" s="45" t="str">
        <f>_xlfn.TEXTJOIN("",TRUE,Input!$B$2,ROW(My_Audit!A564))</f>
        <v>XX564</v>
      </c>
      <c r="B565" s="45" t="str">
        <f>_xlfn.TEXTJOIN("-",TRUE,"ITD",Input!$A$2,A565)</f>
        <v>ITD-SHRXXX-XX564</v>
      </c>
      <c r="C565" s="45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46" t="str" cm="1">
        <f t="array" ref="D565">IFERROR(_xlfn.LET(
_xlpm.CSVVal,_xlfn.XLOOKUP($A565,CSV!$A:$A,CSV!C:C,""),
_xlpm.MacVal,_xlfn.XLOOKUP($A565,Output_Mac!$A:$A,Output_Mac!D:D,""),
_xlpm.MyAuditVal,_xlfn.XLOOKUP($A565,My_Audit!$A:$A,My_Audit!C:C,""),
_xlfn.IFS(_xlpm.MyAuditVal&lt;&gt;"",UPPER(_xlpm.MyAuditVal),_xlpm.MacVal&lt;&gt;"",_xlpm.MacVal,_xlpm.CSVVal&lt;&gt;"",_xlpm.CSVVal
)),"")</f>
        <v/>
      </c>
      <c r="E565" s="46" t="str" cm="1">
        <f t="array" ref="E565">IFERROR(_xlfn.LET(
_xlpm.CSVVal,_xlfn.XLOOKUP($A565,CSV!$A:$A,CSV!E:E,""),
_xlpm.MacVal,_xlfn.XLOOKUP($A565,Output_Mac!$A:$A,Output_Mac!C:C,""),
_xlpm.MyAuditVal,_xlfn.XLOOKUP($A565,My_Audit!$A:$A,My_Audit!D:D,""),
_xlfn.IFS(_xlpm.MyAuditVal&lt;&gt;"",_xlpm.MyAuditVal,_xlpm.MacVal&lt;&gt;"",_xlpm.MacVal,_xlpm.CSVVal&lt;&gt;"",_xlpm.CSVVal
)),"")</f>
        <v/>
      </c>
      <c r="F565" s="45" t="str" cm="1">
        <f t="array" ref="F565">IFERROR(_xlfn.LET(
_xlpm.CSVVal,_xlfn.XLOOKUP($A565,CSV!$A:$A,CSV!F:F,""),
_xlpm.MacVal,_xlfn.XLOOKUP($A565,Output_Mac!$A:$A,Output_Mac!F:F,""),
_xlpm.MyAuditVal,_xlfn.XLOOKUP($A565,My_Audit!$A:$A,My_Audit!E:E,""),
_xlfn.IFS(_xlpm.MyAuditVal&lt;&gt;"",_xlpm.MyAuditVal,_xlpm.MacVal&lt;&gt;"",_xlpm.MacVal,_xlpm.CSVVal&lt;&gt;"",PROPER(_xlpm.CSVVal)
)),"")</f>
        <v/>
      </c>
      <c r="G565" s="45" t="str" cm="1">
        <f t="array" ref="G565">IFERROR(_xlfn.LET(
_xlpm.CSVVal,_xlfn.XLOOKUP($A565,CSV!$A:$A,CSV!G:G,""),
_xlpm.MacVal,_xlfn.XLOOKUP($A565,Output_Mac!$A:$A,Output_Mac!H:H,""),
_xlpm.MyAuditVal,_xlfn.XLOOKUP($A565,My_Audit!$A:$A,My_Audit!F:F,""),
_xlfn.IFS(_xlpm.MyAuditVal&lt;&gt;"",_xlpm.MyAuditVal,_xlpm.MacVal&lt;&gt;"",_xlpm.MacVal,_xlpm.CSVVal&lt;&gt;"",_xlpm.CSVVal
)),"")</f>
        <v/>
      </c>
      <c r="H565" s="45" t="str">
        <f>_xlfn.XLOOKUP(A565,Output_Mac!A:A,Output_Mac!I:I,"")</f>
        <v/>
      </c>
      <c r="I565" s="45" t="str" cm="1">
        <f t="array" ref="I565">IFERROR(_xlfn.LET(
_xlpm.CSVVal,_xlfn.XLOOKUP($A565,CSV!$A:$A,CSV!H:H,""),
_xlpm.MacVal,_xlfn.XLOOKUP($A565,Output_Mac!$A:$A,Output_Mac!J:J,""),
_xlpm.MyAuditVal,_xlfn.XLOOKUP($A565,My_Audit!$A:$A,My_Audit!H:H,""),
_xlfn.IFS(_xlpm.MyAuditVal&lt;&gt;"",UPPER(_xlpm.MyAuditVal),_xlpm.MacVal&lt;&gt;"",_xlpm.MacVal,_xlpm.CSVVal&lt;&gt;"",_xlpm.CSVVal
)),"")</f>
        <v/>
      </c>
      <c r="J565" s="45" t="str" cm="1">
        <f t="array" ref="J565">IFERROR(_xlfn.LET(
_xlpm.CSVVal,_xlfn.XLOOKUP($A565,CSV!$A:$A,CSV!J:J,""),
_xlpm.MacVal,_xlfn.XLOOKUP($A565,Output_Mac!$A:$A,Output_Mac!K:K,""),
_xlpm.MyAuditVal,_xlfn.XLOOKUP($A565,My_Audit!$A:$A,My_Audit!I:I,""),
_xlfn.IFS(_xlpm.MyAuditVal&lt;&gt;"",UPPER(_xlpm.MyAuditVal),_xlpm.MacVal&lt;&gt;"",_xlpm.MacVal,_xlpm.CSVVal&lt;&gt;"",_xlpm.CSVVal
)),"")</f>
        <v/>
      </c>
      <c r="K565" s="45" t="str" cm="1">
        <f t="array" ref="K565">IFERROR(_xlfn.LET(
_xlpm.CSVVal,_xlfn.XLOOKUP($A565,CSV!$A:$A,CSV!N:N,""),
_xlpm.MacVal,_xlfn.XLOOKUP($A565,Output_Mac!$A:$A,Output_Mac!L:L,""),
_xlpm.MyAuditVal,_xlfn.XLOOKUP($A565,My_Audit!$A:$A,My_Audit!J:J,""),
_xlfn.IFS(_xlpm.MyAuditVal&lt;&gt;"",UPPER(_xlpm.MyAuditVal),_xlpm.MacVal&lt;&gt;"",_xlpm.MacVal,_xlpm.CSVVal&lt;&gt;"",_xlpm.CSVVal
)),"")</f>
        <v/>
      </c>
      <c r="L565" s="45" t="str" cm="1">
        <f t="array" ref="L565">IFERROR(_xlfn.LET(
_xlpm.CSVVal,_xlfn.XLOOKUP($A565,CSV!$A:$A,CSV!P:P,""),
_xlpm.MacVal,_xlfn.XLOOKUP($A565,Output_Mac!$A:$A,Output_Mac!M:M,""),
_xlpm.MyAuditVal,_xlfn.XLOOKUP($A565,My_Audit!$A:$A,My_Audit!K:K,""),
_xlfn.IFS(_xlpm.MyAuditVal&lt;&gt;"",UPPER(_xlpm.MyAuditVal),_xlpm.MacVal&lt;&gt;"",_xlpm.MacVal,_xlpm.CSVVal&lt;&gt;"",_xlpm.CSVVal
)),"")</f>
        <v/>
      </c>
      <c r="M565" s="45" t="str">
        <f>_xlfn.LET(
    _xlpm.CSVVal, _xlfn.XLOOKUP($A565, CSV!$A:$A, CSV!AE:AE, ""),
    _xlpm.MacVal, _xlfn.XLOOKUP($A565, Output_Mac!$A:$A, Output_Mac!S:S, ""),
    _xlpm.MyAuditVal, _xlfn.XLOOKUP($A565, My_Audit!$A:$A, My_Audit!N:N, ""),
    _xlfn.TEXTJOIN(", ", TRUE, _xlpm.MyAuditVal, _xlpm.MacVal, _xlpm.CSVVal)
)</f>
        <v/>
      </c>
      <c r="N565" s="45" t="str" cm="1">
        <f t="array" ref="N565">IFERROR(_xlfn.LET(
_xlpm.CSVVal,_xlfn.XLOOKUP($A565,CSV!$A:$A,CSV!AG:AG,""),
_xlpm.MacVal,_xlfn.XLOOKUP($A565,Output_Mac!$A:$A,Output_Mac!U:U,""),
_xlpm.MyAuditVal,_xlfn.XLOOKUP($A565,My_Audit!$A:$A,My_Audit!O:O,""),
_xlfn.IFS(_xlpm.MyAuditVal&lt;&gt;"",UPPER(_xlpm.MyAuditVal),_xlpm.MacVal&lt;&gt;"",_xlpm.MacVal,_xlpm.CSVVal&lt;&gt;"",_xlpm.CSVVal
)),"")</f>
        <v/>
      </c>
      <c r="O565" s="45"/>
      <c r="P565" s="45"/>
      <c r="Q565" s="46" t="str">
        <f>IF(LEFT(N565,4)="Pass","Nist SP 800-88",My_Audit!R565)&amp;""</f>
        <v/>
      </c>
      <c r="R565" s="45"/>
      <c r="S565" s="45"/>
      <c r="T565" s="46" t="str">
        <f>_xlfn.XLOOKUP(E565,Models!I:I,Models!J:J,"")</f>
        <v/>
      </c>
      <c r="U565" s="45"/>
      <c r="V565" s="45"/>
      <c r="W565" s="38"/>
    </row>
    <row r="566" spans="1:23">
      <c r="A566" s="45" t="str">
        <f>_xlfn.TEXTJOIN("",TRUE,Input!$B$2,ROW(My_Audit!A565))</f>
        <v>XX565</v>
      </c>
      <c r="B566" s="45" t="str">
        <f>_xlfn.TEXTJOIN("-",TRUE,"ITD",Input!$A$2,A566)</f>
        <v>ITD-SHRXXX-XX565</v>
      </c>
      <c r="C566" s="45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46" t="str" cm="1">
        <f t="array" ref="D566">IFERROR(_xlfn.LET(
_xlpm.CSVVal,_xlfn.XLOOKUP($A566,CSV!$A:$A,CSV!C:C,""),
_xlpm.MacVal,_xlfn.XLOOKUP($A566,Output_Mac!$A:$A,Output_Mac!D:D,""),
_xlpm.MyAuditVal,_xlfn.XLOOKUP($A566,My_Audit!$A:$A,My_Audit!C:C,""),
_xlfn.IFS(_xlpm.MyAuditVal&lt;&gt;"",UPPER(_xlpm.MyAuditVal),_xlpm.MacVal&lt;&gt;"",_xlpm.MacVal,_xlpm.CSVVal&lt;&gt;"",_xlpm.CSVVal
)),"")</f>
        <v/>
      </c>
      <c r="E566" s="46" t="str" cm="1">
        <f t="array" ref="E566">IFERROR(_xlfn.LET(
_xlpm.CSVVal,_xlfn.XLOOKUP($A566,CSV!$A:$A,CSV!E:E,""),
_xlpm.MacVal,_xlfn.XLOOKUP($A566,Output_Mac!$A:$A,Output_Mac!C:C,""),
_xlpm.MyAuditVal,_xlfn.XLOOKUP($A566,My_Audit!$A:$A,My_Audit!D:D,""),
_xlfn.IFS(_xlpm.MyAuditVal&lt;&gt;"",_xlpm.MyAuditVal,_xlpm.MacVal&lt;&gt;"",_xlpm.MacVal,_xlpm.CSVVal&lt;&gt;"",_xlpm.CSVVal
)),"")</f>
        <v/>
      </c>
      <c r="F566" s="45" t="str" cm="1">
        <f t="array" ref="F566">IFERROR(_xlfn.LET(
_xlpm.CSVVal,_xlfn.XLOOKUP($A566,CSV!$A:$A,CSV!F:F,""),
_xlpm.MacVal,_xlfn.XLOOKUP($A566,Output_Mac!$A:$A,Output_Mac!F:F,""),
_xlpm.MyAuditVal,_xlfn.XLOOKUP($A566,My_Audit!$A:$A,My_Audit!E:E,""),
_xlfn.IFS(_xlpm.MyAuditVal&lt;&gt;"",_xlpm.MyAuditVal,_xlpm.MacVal&lt;&gt;"",_xlpm.MacVal,_xlpm.CSVVal&lt;&gt;"",PROPER(_xlpm.CSVVal)
)),"")</f>
        <v/>
      </c>
      <c r="G566" s="45" t="str" cm="1">
        <f t="array" ref="G566">IFERROR(_xlfn.LET(
_xlpm.CSVVal,_xlfn.XLOOKUP($A566,CSV!$A:$A,CSV!G:G,""),
_xlpm.MacVal,_xlfn.XLOOKUP($A566,Output_Mac!$A:$A,Output_Mac!H:H,""),
_xlpm.MyAuditVal,_xlfn.XLOOKUP($A566,My_Audit!$A:$A,My_Audit!F:F,""),
_xlfn.IFS(_xlpm.MyAuditVal&lt;&gt;"",_xlpm.MyAuditVal,_xlpm.MacVal&lt;&gt;"",_xlpm.MacVal,_xlpm.CSVVal&lt;&gt;"",_xlpm.CSVVal
)),"")</f>
        <v/>
      </c>
      <c r="H566" s="45" t="str">
        <f>_xlfn.XLOOKUP(A566,Output_Mac!A:A,Output_Mac!I:I,"")</f>
        <v/>
      </c>
      <c r="I566" s="45" t="str" cm="1">
        <f t="array" ref="I566">IFERROR(_xlfn.LET(
_xlpm.CSVVal,_xlfn.XLOOKUP($A566,CSV!$A:$A,CSV!H:H,""),
_xlpm.MacVal,_xlfn.XLOOKUP($A566,Output_Mac!$A:$A,Output_Mac!J:J,""),
_xlpm.MyAuditVal,_xlfn.XLOOKUP($A566,My_Audit!$A:$A,My_Audit!H:H,""),
_xlfn.IFS(_xlpm.MyAuditVal&lt;&gt;"",UPPER(_xlpm.MyAuditVal),_xlpm.MacVal&lt;&gt;"",_xlpm.MacVal,_xlpm.CSVVal&lt;&gt;"",_xlpm.CSVVal
)),"")</f>
        <v/>
      </c>
      <c r="J566" s="45" t="str" cm="1">
        <f t="array" ref="J566">IFERROR(_xlfn.LET(
_xlpm.CSVVal,_xlfn.XLOOKUP($A566,CSV!$A:$A,CSV!J:J,""),
_xlpm.MacVal,_xlfn.XLOOKUP($A566,Output_Mac!$A:$A,Output_Mac!K:K,""),
_xlpm.MyAuditVal,_xlfn.XLOOKUP($A566,My_Audit!$A:$A,My_Audit!I:I,""),
_xlfn.IFS(_xlpm.MyAuditVal&lt;&gt;"",UPPER(_xlpm.MyAuditVal),_xlpm.MacVal&lt;&gt;"",_xlpm.MacVal,_xlpm.CSVVal&lt;&gt;"",_xlpm.CSVVal
)),"")</f>
        <v/>
      </c>
      <c r="K566" s="45" t="str" cm="1">
        <f t="array" ref="K566">IFERROR(_xlfn.LET(
_xlpm.CSVVal,_xlfn.XLOOKUP($A566,CSV!$A:$A,CSV!N:N,""),
_xlpm.MacVal,_xlfn.XLOOKUP($A566,Output_Mac!$A:$A,Output_Mac!L:L,""),
_xlpm.MyAuditVal,_xlfn.XLOOKUP($A566,My_Audit!$A:$A,My_Audit!J:J,""),
_xlfn.IFS(_xlpm.MyAuditVal&lt;&gt;"",UPPER(_xlpm.MyAuditVal),_xlpm.MacVal&lt;&gt;"",_xlpm.MacVal,_xlpm.CSVVal&lt;&gt;"",_xlpm.CSVVal
)),"")</f>
        <v/>
      </c>
      <c r="L566" s="45" t="str" cm="1">
        <f t="array" ref="L566">IFERROR(_xlfn.LET(
_xlpm.CSVVal,_xlfn.XLOOKUP($A566,CSV!$A:$A,CSV!P:P,""),
_xlpm.MacVal,_xlfn.XLOOKUP($A566,Output_Mac!$A:$A,Output_Mac!M:M,""),
_xlpm.MyAuditVal,_xlfn.XLOOKUP($A566,My_Audit!$A:$A,My_Audit!K:K,""),
_xlfn.IFS(_xlpm.MyAuditVal&lt;&gt;"",UPPER(_xlpm.MyAuditVal),_xlpm.MacVal&lt;&gt;"",_xlpm.MacVal,_xlpm.CSVVal&lt;&gt;"",_xlpm.CSVVal
)),"")</f>
        <v/>
      </c>
      <c r="M566" s="45" t="str">
        <f>_xlfn.LET(
    _xlpm.CSVVal, _xlfn.XLOOKUP($A566, CSV!$A:$A, CSV!AE:AE, ""),
    _xlpm.MacVal, _xlfn.XLOOKUP($A566, Output_Mac!$A:$A, Output_Mac!S:S, ""),
    _xlpm.MyAuditVal, _xlfn.XLOOKUP($A566, My_Audit!$A:$A, My_Audit!N:N, ""),
    _xlfn.TEXTJOIN(", ", TRUE, _xlpm.MyAuditVal, _xlpm.MacVal, _xlpm.CSVVal)
)</f>
        <v/>
      </c>
      <c r="N566" s="45" t="str" cm="1">
        <f t="array" ref="N566">IFERROR(_xlfn.LET(
_xlpm.CSVVal,_xlfn.XLOOKUP($A566,CSV!$A:$A,CSV!AG:AG,""),
_xlpm.MacVal,_xlfn.XLOOKUP($A566,Output_Mac!$A:$A,Output_Mac!U:U,""),
_xlpm.MyAuditVal,_xlfn.XLOOKUP($A566,My_Audit!$A:$A,My_Audit!O:O,""),
_xlfn.IFS(_xlpm.MyAuditVal&lt;&gt;"",UPPER(_xlpm.MyAuditVal),_xlpm.MacVal&lt;&gt;"",_xlpm.MacVal,_xlpm.CSVVal&lt;&gt;"",_xlpm.CSVVal
)),"")</f>
        <v/>
      </c>
      <c r="O566" s="45"/>
      <c r="P566" s="45"/>
      <c r="Q566" s="46" t="str">
        <f>IF(LEFT(N566,4)="Pass","Nist SP 800-88",My_Audit!R566)&amp;""</f>
        <v/>
      </c>
      <c r="R566" s="45"/>
      <c r="S566" s="45"/>
      <c r="T566" s="46" t="str">
        <f>_xlfn.XLOOKUP(E566,Models!I:I,Models!J:J,"")</f>
        <v/>
      </c>
      <c r="U566" s="45"/>
      <c r="V566" s="45"/>
      <c r="W566" s="38"/>
    </row>
    <row r="567" spans="1:23">
      <c r="A567" s="45" t="str">
        <f>_xlfn.TEXTJOIN("",TRUE,Input!$B$2,ROW(My_Audit!A566))</f>
        <v>XX566</v>
      </c>
      <c r="B567" s="45" t="str">
        <f>_xlfn.TEXTJOIN("-",TRUE,"ITD",Input!$A$2,A567)</f>
        <v>ITD-SHRXXX-XX566</v>
      </c>
      <c r="C567" s="45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46" t="str" cm="1">
        <f t="array" ref="D567">IFERROR(_xlfn.LET(
_xlpm.CSVVal,_xlfn.XLOOKUP($A567,CSV!$A:$A,CSV!C:C,""),
_xlpm.MacVal,_xlfn.XLOOKUP($A567,Output_Mac!$A:$A,Output_Mac!D:D,""),
_xlpm.MyAuditVal,_xlfn.XLOOKUP($A567,My_Audit!$A:$A,My_Audit!C:C,""),
_xlfn.IFS(_xlpm.MyAuditVal&lt;&gt;"",UPPER(_xlpm.MyAuditVal),_xlpm.MacVal&lt;&gt;"",_xlpm.MacVal,_xlpm.CSVVal&lt;&gt;"",_xlpm.CSVVal
)),"")</f>
        <v/>
      </c>
      <c r="E567" s="46" t="str" cm="1">
        <f t="array" ref="E567">IFERROR(_xlfn.LET(
_xlpm.CSVVal,_xlfn.XLOOKUP($A567,CSV!$A:$A,CSV!E:E,""),
_xlpm.MacVal,_xlfn.XLOOKUP($A567,Output_Mac!$A:$A,Output_Mac!C:C,""),
_xlpm.MyAuditVal,_xlfn.XLOOKUP($A567,My_Audit!$A:$A,My_Audit!D:D,""),
_xlfn.IFS(_xlpm.MyAuditVal&lt;&gt;"",_xlpm.MyAuditVal,_xlpm.MacVal&lt;&gt;"",_xlpm.MacVal,_xlpm.CSVVal&lt;&gt;"",_xlpm.CSVVal
)),"")</f>
        <v/>
      </c>
      <c r="F567" s="45" t="str" cm="1">
        <f t="array" ref="F567">IFERROR(_xlfn.LET(
_xlpm.CSVVal,_xlfn.XLOOKUP($A567,CSV!$A:$A,CSV!F:F,""),
_xlpm.MacVal,_xlfn.XLOOKUP($A567,Output_Mac!$A:$A,Output_Mac!F:F,""),
_xlpm.MyAuditVal,_xlfn.XLOOKUP($A567,My_Audit!$A:$A,My_Audit!E:E,""),
_xlfn.IFS(_xlpm.MyAuditVal&lt;&gt;"",_xlpm.MyAuditVal,_xlpm.MacVal&lt;&gt;"",_xlpm.MacVal,_xlpm.CSVVal&lt;&gt;"",PROPER(_xlpm.CSVVal)
)),"")</f>
        <v/>
      </c>
      <c r="G567" s="45" t="str" cm="1">
        <f t="array" ref="G567">IFERROR(_xlfn.LET(
_xlpm.CSVVal,_xlfn.XLOOKUP($A567,CSV!$A:$A,CSV!G:G,""),
_xlpm.MacVal,_xlfn.XLOOKUP($A567,Output_Mac!$A:$A,Output_Mac!H:H,""),
_xlpm.MyAuditVal,_xlfn.XLOOKUP($A567,My_Audit!$A:$A,My_Audit!F:F,""),
_xlfn.IFS(_xlpm.MyAuditVal&lt;&gt;"",_xlpm.MyAuditVal,_xlpm.MacVal&lt;&gt;"",_xlpm.MacVal,_xlpm.CSVVal&lt;&gt;"",_xlpm.CSVVal
)),"")</f>
        <v/>
      </c>
      <c r="H567" s="45" t="str">
        <f>_xlfn.XLOOKUP(A567,Output_Mac!A:A,Output_Mac!I:I,"")</f>
        <v/>
      </c>
      <c r="I567" s="45" t="str" cm="1">
        <f t="array" ref="I567">IFERROR(_xlfn.LET(
_xlpm.CSVVal,_xlfn.XLOOKUP($A567,CSV!$A:$A,CSV!H:H,""),
_xlpm.MacVal,_xlfn.XLOOKUP($A567,Output_Mac!$A:$A,Output_Mac!J:J,""),
_xlpm.MyAuditVal,_xlfn.XLOOKUP($A567,My_Audit!$A:$A,My_Audit!H:H,""),
_xlfn.IFS(_xlpm.MyAuditVal&lt;&gt;"",UPPER(_xlpm.MyAuditVal),_xlpm.MacVal&lt;&gt;"",_xlpm.MacVal,_xlpm.CSVVal&lt;&gt;"",_xlpm.CSVVal
)),"")</f>
        <v/>
      </c>
      <c r="J567" s="45" t="str" cm="1">
        <f t="array" ref="J567">IFERROR(_xlfn.LET(
_xlpm.CSVVal,_xlfn.XLOOKUP($A567,CSV!$A:$A,CSV!J:J,""),
_xlpm.MacVal,_xlfn.XLOOKUP($A567,Output_Mac!$A:$A,Output_Mac!K:K,""),
_xlpm.MyAuditVal,_xlfn.XLOOKUP($A567,My_Audit!$A:$A,My_Audit!I:I,""),
_xlfn.IFS(_xlpm.MyAuditVal&lt;&gt;"",UPPER(_xlpm.MyAuditVal),_xlpm.MacVal&lt;&gt;"",_xlpm.MacVal,_xlpm.CSVVal&lt;&gt;"",_xlpm.CSVVal
)),"")</f>
        <v/>
      </c>
      <c r="K567" s="45" t="str" cm="1">
        <f t="array" ref="K567">IFERROR(_xlfn.LET(
_xlpm.CSVVal,_xlfn.XLOOKUP($A567,CSV!$A:$A,CSV!N:N,""),
_xlpm.MacVal,_xlfn.XLOOKUP($A567,Output_Mac!$A:$A,Output_Mac!L:L,""),
_xlpm.MyAuditVal,_xlfn.XLOOKUP($A567,My_Audit!$A:$A,My_Audit!J:J,""),
_xlfn.IFS(_xlpm.MyAuditVal&lt;&gt;"",UPPER(_xlpm.MyAuditVal),_xlpm.MacVal&lt;&gt;"",_xlpm.MacVal,_xlpm.CSVVal&lt;&gt;"",_xlpm.CSVVal
)),"")</f>
        <v/>
      </c>
      <c r="L567" s="45" t="str" cm="1">
        <f t="array" ref="L567">IFERROR(_xlfn.LET(
_xlpm.CSVVal,_xlfn.XLOOKUP($A567,CSV!$A:$A,CSV!P:P,""),
_xlpm.MacVal,_xlfn.XLOOKUP($A567,Output_Mac!$A:$A,Output_Mac!M:M,""),
_xlpm.MyAuditVal,_xlfn.XLOOKUP($A567,My_Audit!$A:$A,My_Audit!K:K,""),
_xlfn.IFS(_xlpm.MyAuditVal&lt;&gt;"",UPPER(_xlpm.MyAuditVal),_xlpm.MacVal&lt;&gt;"",_xlpm.MacVal,_xlpm.CSVVal&lt;&gt;"",_xlpm.CSVVal
)),"")</f>
        <v/>
      </c>
      <c r="M567" s="45" t="str">
        <f>_xlfn.LET(
    _xlpm.CSVVal, _xlfn.XLOOKUP($A567, CSV!$A:$A, CSV!AE:AE, ""),
    _xlpm.MacVal, _xlfn.XLOOKUP($A567, Output_Mac!$A:$A, Output_Mac!S:S, ""),
    _xlpm.MyAuditVal, _xlfn.XLOOKUP($A567, My_Audit!$A:$A, My_Audit!N:N, ""),
    _xlfn.TEXTJOIN(", ", TRUE, _xlpm.MyAuditVal, _xlpm.MacVal, _xlpm.CSVVal)
)</f>
        <v/>
      </c>
      <c r="N567" s="45" t="str" cm="1">
        <f t="array" ref="N567">IFERROR(_xlfn.LET(
_xlpm.CSVVal,_xlfn.XLOOKUP($A567,CSV!$A:$A,CSV!AG:AG,""),
_xlpm.MacVal,_xlfn.XLOOKUP($A567,Output_Mac!$A:$A,Output_Mac!U:U,""),
_xlpm.MyAuditVal,_xlfn.XLOOKUP($A567,My_Audit!$A:$A,My_Audit!O:O,""),
_xlfn.IFS(_xlpm.MyAuditVal&lt;&gt;"",UPPER(_xlpm.MyAuditVal),_xlpm.MacVal&lt;&gt;"",_xlpm.MacVal,_xlpm.CSVVal&lt;&gt;"",_xlpm.CSVVal
)),"")</f>
        <v/>
      </c>
      <c r="O567" s="45"/>
      <c r="P567" s="45"/>
      <c r="Q567" s="46" t="str">
        <f>IF(LEFT(N567,4)="Pass","Nist SP 800-88",My_Audit!R567)&amp;""</f>
        <v/>
      </c>
      <c r="R567" s="45"/>
      <c r="S567" s="45"/>
      <c r="T567" s="46" t="str">
        <f>_xlfn.XLOOKUP(E567,Models!I:I,Models!J:J,"")</f>
        <v/>
      </c>
      <c r="U567" s="45"/>
      <c r="V567" s="45"/>
      <c r="W567" s="38"/>
    </row>
    <row r="568" spans="1:23">
      <c r="A568" s="45" t="str">
        <f>_xlfn.TEXTJOIN("",TRUE,Input!$B$2,ROW(My_Audit!A567))</f>
        <v>XX567</v>
      </c>
      <c r="B568" s="45" t="str">
        <f>_xlfn.TEXTJOIN("-",TRUE,"ITD",Input!$A$2,A568)</f>
        <v>ITD-SHRXXX-XX567</v>
      </c>
      <c r="C568" s="45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46" t="str" cm="1">
        <f t="array" ref="D568">IFERROR(_xlfn.LET(
_xlpm.CSVVal,_xlfn.XLOOKUP($A568,CSV!$A:$A,CSV!C:C,""),
_xlpm.MacVal,_xlfn.XLOOKUP($A568,Output_Mac!$A:$A,Output_Mac!D:D,""),
_xlpm.MyAuditVal,_xlfn.XLOOKUP($A568,My_Audit!$A:$A,My_Audit!C:C,""),
_xlfn.IFS(_xlpm.MyAuditVal&lt;&gt;"",UPPER(_xlpm.MyAuditVal),_xlpm.MacVal&lt;&gt;"",_xlpm.MacVal,_xlpm.CSVVal&lt;&gt;"",_xlpm.CSVVal
)),"")</f>
        <v/>
      </c>
      <c r="E568" s="46" t="str" cm="1">
        <f t="array" ref="E568">IFERROR(_xlfn.LET(
_xlpm.CSVVal,_xlfn.XLOOKUP($A568,CSV!$A:$A,CSV!E:E,""),
_xlpm.MacVal,_xlfn.XLOOKUP($A568,Output_Mac!$A:$A,Output_Mac!C:C,""),
_xlpm.MyAuditVal,_xlfn.XLOOKUP($A568,My_Audit!$A:$A,My_Audit!D:D,""),
_xlfn.IFS(_xlpm.MyAuditVal&lt;&gt;"",_xlpm.MyAuditVal,_xlpm.MacVal&lt;&gt;"",_xlpm.MacVal,_xlpm.CSVVal&lt;&gt;"",_xlpm.CSVVal
)),"")</f>
        <v/>
      </c>
      <c r="F568" s="45" t="str" cm="1">
        <f t="array" ref="F568">IFERROR(_xlfn.LET(
_xlpm.CSVVal,_xlfn.XLOOKUP($A568,CSV!$A:$A,CSV!F:F,""),
_xlpm.MacVal,_xlfn.XLOOKUP($A568,Output_Mac!$A:$A,Output_Mac!F:F,""),
_xlpm.MyAuditVal,_xlfn.XLOOKUP($A568,My_Audit!$A:$A,My_Audit!E:E,""),
_xlfn.IFS(_xlpm.MyAuditVal&lt;&gt;"",_xlpm.MyAuditVal,_xlpm.MacVal&lt;&gt;"",_xlpm.MacVal,_xlpm.CSVVal&lt;&gt;"",PROPER(_xlpm.CSVVal)
)),"")</f>
        <v/>
      </c>
      <c r="G568" s="45" t="str" cm="1">
        <f t="array" ref="G568">IFERROR(_xlfn.LET(
_xlpm.CSVVal,_xlfn.XLOOKUP($A568,CSV!$A:$A,CSV!G:G,""),
_xlpm.MacVal,_xlfn.XLOOKUP($A568,Output_Mac!$A:$A,Output_Mac!H:H,""),
_xlpm.MyAuditVal,_xlfn.XLOOKUP($A568,My_Audit!$A:$A,My_Audit!F:F,""),
_xlfn.IFS(_xlpm.MyAuditVal&lt;&gt;"",_xlpm.MyAuditVal,_xlpm.MacVal&lt;&gt;"",_xlpm.MacVal,_xlpm.CSVVal&lt;&gt;"",_xlpm.CSVVal
)),"")</f>
        <v/>
      </c>
      <c r="H568" s="45" t="str">
        <f>_xlfn.XLOOKUP(A568,Output_Mac!A:A,Output_Mac!I:I,"")</f>
        <v/>
      </c>
      <c r="I568" s="45" t="str" cm="1">
        <f t="array" ref="I568">IFERROR(_xlfn.LET(
_xlpm.CSVVal,_xlfn.XLOOKUP($A568,CSV!$A:$A,CSV!H:H,""),
_xlpm.MacVal,_xlfn.XLOOKUP($A568,Output_Mac!$A:$A,Output_Mac!J:J,""),
_xlpm.MyAuditVal,_xlfn.XLOOKUP($A568,My_Audit!$A:$A,My_Audit!H:H,""),
_xlfn.IFS(_xlpm.MyAuditVal&lt;&gt;"",UPPER(_xlpm.MyAuditVal),_xlpm.MacVal&lt;&gt;"",_xlpm.MacVal,_xlpm.CSVVal&lt;&gt;"",_xlpm.CSVVal
)),"")</f>
        <v/>
      </c>
      <c r="J568" s="45" t="str" cm="1">
        <f t="array" ref="J568">IFERROR(_xlfn.LET(
_xlpm.CSVVal,_xlfn.XLOOKUP($A568,CSV!$A:$A,CSV!J:J,""),
_xlpm.MacVal,_xlfn.XLOOKUP($A568,Output_Mac!$A:$A,Output_Mac!K:K,""),
_xlpm.MyAuditVal,_xlfn.XLOOKUP($A568,My_Audit!$A:$A,My_Audit!I:I,""),
_xlfn.IFS(_xlpm.MyAuditVal&lt;&gt;"",UPPER(_xlpm.MyAuditVal),_xlpm.MacVal&lt;&gt;"",_xlpm.MacVal,_xlpm.CSVVal&lt;&gt;"",_xlpm.CSVVal
)),"")</f>
        <v/>
      </c>
      <c r="K568" s="45" t="str" cm="1">
        <f t="array" ref="K568">IFERROR(_xlfn.LET(
_xlpm.CSVVal,_xlfn.XLOOKUP($A568,CSV!$A:$A,CSV!N:N,""),
_xlpm.MacVal,_xlfn.XLOOKUP($A568,Output_Mac!$A:$A,Output_Mac!L:L,""),
_xlpm.MyAuditVal,_xlfn.XLOOKUP($A568,My_Audit!$A:$A,My_Audit!J:J,""),
_xlfn.IFS(_xlpm.MyAuditVal&lt;&gt;"",UPPER(_xlpm.MyAuditVal),_xlpm.MacVal&lt;&gt;"",_xlpm.MacVal,_xlpm.CSVVal&lt;&gt;"",_xlpm.CSVVal
)),"")</f>
        <v/>
      </c>
      <c r="L568" s="45" t="str" cm="1">
        <f t="array" ref="L568">IFERROR(_xlfn.LET(
_xlpm.CSVVal,_xlfn.XLOOKUP($A568,CSV!$A:$A,CSV!P:P,""),
_xlpm.MacVal,_xlfn.XLOOKUP($A568,Output_Mac!$A:$A,Output_Mac!M:M,""),
_xlpm.MyAuditVal,_xlfn.XLOOKUP($A568,My_Audit!$A:$A,My_Audit!K:K,""),
_xlfn.IFS(_xlpm.MyAuditVal&lt;&gt;"",UPPER(_xlpm.MyAuditVal),_xlpm.MacVal&lt;&gt;"",_xlpm.MacVal,_xlpm.CSVVal&lt;&gt;"",_xlpm.CSVVal
)),"")</f>
        <v/>
      </c>
      <c r="M568" s="45" t="str">
        <f>_xlfn.LET(
    _xlpm.CSVVal, _xlfn.XLOOKUP($A568, CSV!$A:$A, CSV!AE:AE, ""),
    _xlpm.MacVal, _xlfn.XLOOKUP($A568, Output_Mac!$A:$A, Output_Mac!S:S, ""),
    _xlpm.MyAuditVal, _xlfn.XLOOKUP($A568, My_Audit!$A:$A, My_Audit!N:N, ""),
    _xlfn.TEXTJOIN(", ", TRUE, _xlpm.MyAuditVal, _xlpm.MacVal, _xlpm.CSVVal)
)</f>
        <v/>
      </c>
      <c r="N568" s="45" t="str" cm="1">
        <f t="array" ref="N568">IFERROR(_xlfn.LET(
_xlpm.CSVVal,_xlfn.XLOOKUP($A568,CSV!$A:$A,CSV!AG:AG,""),
_xlpm.MacVal,_xlfn.XLOOKUP($A568,Output_Mac!$A:$A,Output_Mac!U:U,""),
_xlpm.MyAuditVal,_xlfn.XLOOKUP($A568,My_Audit!$A:$A,My_Audit!O:O,""),
_xlfn.IFS(_xlpm.MyAuditVal&lt;&gt;"",UPPER(_xlpm.MyAuditVal),_xlpm.MacVal&lt;&gt;"",_xlpm.MacVal,_xlpm.CSVVal&lt;&gt;"",_xlpm.CSVVal
)),"")</f>
        <v/>
      </c>
      <c r="O568" s="45"/>
      <c r="P568" s="45"/>
      <c r="Q568" s="46" t="str">
        <f>IF(LEFT(N568,4)="Pass","Nist SP 800-88",My_Audit!R568)&amp;""</f>
        <v/>
      </c>
      <c r="R568" s="45"/>
      <c r="S568" s="45"/>
      <c r="T568" s="46" t="str">
        <f>_xlfn.XLOOKUP(E568,Models!I:I,Models!J:J,"")</f>
        <v/>
      </c>
      <c r="U568" s="45"/>
      <c r="V568" s="45"/>
      <c r="W568" s="38"/>
    </row>
    <row r="569" spans="1:23">
      <c r="A569" s="45" t="str">
        <f>_xlfn.TEXTJOIN("",TRUE,Input!$B$2,ROW(My_Audit!A568))</f>
        <v>XX568</v>
      </c>
      <c r="B569" s="45" t="str">
        <f>_xlfn.TEXTJOIN("-",TRUE,"ITD",Input!$A$2,A569)</f>
        <v>ITD-SHRXXX-XX568</v>
      </c>
      <c r="C569" s="45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46" t="str" cm="1">
        <f t="array" ref="D569">IFERROR(_xlfn.LET(
_xlpm.CSVVal,_xlfn.XLOOKUP($A569,CSV!$A:$A,CSV!C:C,""),
_xlpm.MacVal,_xlfn.XLOOKUP($A569,Output_Mac!$A:$A,Output_Mac!D:D,""),
_xlpm.MyAuditVal,_xlfn.XLOOKUP($A569,My_Audit!$A:$A,My_Audit!C:C,""),
_xlfn.IFS(_xlpm.MyAuditVal&lt;&gt;"",UPPER(_xlpm.MyAuditVal),_xlpm.MacVal&lt;&gt;"",_xlpm.MacVal,_xlpm.CSVVal&lt;&gt;"",_xlpm.CSVVal
)),"")</f>
        <v/>
      </c>
      <c r="E569" s="46" t="str" cm="1">
        <f t="array" ref="E569">IFERROR(_xlfn.LET(
_xlpm.CSVVal,_xlfn.XLOOKUP($A569,CSV!$A:$A,CSV!E:E,""),
_xlpm.MacVal,_xlfn.XLOOKUP($A569,Output_Mac!$A:$A,Output_Mac!C:C,""),
_xlpm.MyAuditVal,_xlfn.XLOOKUP($A569,My_Audit!$A:$A,My_Audit!D:D,""),
_xlfn.IFS(_xlpm.MyAuditVal&lt;&gt;"",_xlpm.MyAuditVal,_xlpm.MacVal&lt;&gt;"",_xlpm.MacVal,_xlpm.CSVVal&lt;&gt;"",_xlpm.CSVVal
)),"")</f>
        <v/>
      </c>
      <c r="F569" s="45" t="str" cm="1">
        <f t="array" ref="F569">IFERROR(_xlfn.LET(
_xlpm.CSVVal,_xlfn.XLOOKUP($A569,CSV!$A:$A,CSV!F:F,""),
_xlpm.MacVal,_xlfn.XLOOKUP($A569,Output_Mac!$A:$A,Output_Mac!F:F,""),
_xlpm.MyAuditVal,_xlfn.XLOOKUP($A569,My_Audit!$A:$A,My_Audit!E:E,""),
_xlfn.IFS(_xlpm.MyAuditVal&lt;&gt;"",_xlpm.MyAuditVal,_xlpm.MacVal&lt;&gt;"",_xlpm.MacVal,_xlpm.CSVVal&lt;&gt;"",PROPER(_xlpm.CSVVal)
)),"")</f>
        <v/>
      </c>
      <c r="G569" s="45" t="str" cm="1">
        <f t="array" ref="G569">IFERROR(_xlfn.LET(
_xlpm.CSVVal,_xlfn.XLOOKUP($A569,CSV!$A:$A,CSV!G:G,""),
_xlpm.MacVal,_xlfn.XLOOKUP($A569,Output_Mac!$A:$A,Output_Mac!H:H,""),
_xlpm.MyAuditVal,_xlfn.XLOOKUP($A569,My_Audit!$A:$A,My_Audit!F:F,""),
_xlfn.IFS(_xlpm.MyAuditVal&lt;&gt;"",_xlpm.MyAuditVal,_xlpm.MacVal&lt;&gt;"",_xlpm.MacVal,_xlpm.CSVVal&lt;&gt;"",_xlpm.CSVVal
)),"")</f>
        <v/>
      </c>
      <c r="H569" s="45" t="str">
        <f>_xlfn.XLOOKUP(A569,Output_Mac!A:A,Output_Mac!I:I,"")</f>
        <v/>
      </c>
      <c r="I569" s="45" t="str" cm="1">
        <f t="array" ref="I569">IFERROR(_xlfn.LET(
_xlpm.CSVVal,_xlfn.XLOOKUP($A569,CSV!$A:$A,CSV!H:H,""),
_xlpm.MacVal,_xlfn.XLOOKUP($A569,Output_Mac!$A:$A,Output_Mac!J:J,""),
_xlpm.MyAuditVal,_xlfn.XLOOKUP($A569,My_Audit!$A:$A,My_Audit!H:H,""),
_xlfn.IFS(_xlpm.MyAuditVal&lt;&gt;"",UPPER(_xlpm.MyAuditVal),_xlpm.MacVal&lt;&gt;"",_xlpm.MacVal,_xlpm.CSVVal&lt;&gt;"",_xlpm.CSVVal
)),"")</f>
        <v/>
      </c>
      <c r="J569" s="45" t="str" cm="1">
        <f t="array" ref="J569">IFERROR(_xlfn.LET(
_xlpm.CSVVal,_xlfn.XLOOKUP($A569,CSV!$A:$A,CSV!J:J,""),
_xlpm.MacVal,_xlfn.XLOOKUP($A569,Output_Mac!$A:$A,Output_Mac!K:K,""),
_xlpm.MyAuditVal,_xlfn.XLOOKUP($A569,My_Audit!$A:$A,My_Audit!I:I,""),
_xlfn.IFS(_xlpm.MyAuditVal&lt;&gt;"",UPPER(_xlpm.MyAuditVal),_xlpm.MacVal&lt;&gt;"",_xlpm.MacVal,_xlpm.CSVVal&lt;&gt;"",_xlpm.CSVVal
)),"")</f>
        <v/>
      </c>
      <c r="K569" s="45" t="str" cm="1">
        <f t="array" ref="K569">IFERROR(_xlfn.LET(
_xlpm.CSVVal,_xlfn.XLOOKUP($A569,CSV!$A:$A,CSV!N:N,""),
_xlpm.MacVal,_xlfn.XLOOKUP($A569,Output_Mac!$A:$A,Output_Mac!L:L,""),
_xlpm.MyAuditVal,_xlfn.XLOOKUP($A569,My_Audit!$A:$A,My_Audit!J:J,""),
_xlfn.IFS(_xlpm.MyAuditVal&lt;&gt;"",UPPER(_xlpm.MyAuditVal),_xlpm.MacVal&lt;&gt;"",_xlpm.MacVal,_xlpm.CSVVal&lt;&gt;"",_xlpm.CSVVal
)),"")</f>
        <v/>
      </c>
      <c r="L569" s="45" t="str" cm="1">
        <f t="array" ref="L569">IFERROR(_xlfn.LET(
_xlpm.CSVVal,_xlfn.XLOOKUP($A569,CSV!$A:$A,CSV!P:P,""),
_xlpm.MacVal,_xlfn.XLOOKUP($A569,Output_Mac!$A:$A,Output_Mac!M:M,""),
_xlpm.MyAuditVal,_xlfn.XLOOKUP($A569,My_Audit!$A:$A,My_Audit!K:K,""),
_xlfn.IFS(_xlpm.MyAuditVal&lt;&gt;"",UPPER(_xlpm.MyAuditVal),_xlpm.MacVal&lt;&gt;"",_xlpm.MacVal,_xlpm.CSVVal&lt;&gt;"",_xlpm.CSVVal
)),"")</f>
        <v/>
      </c>
      <c r="M569" s="45" t="str">
        <f>_xlfn.LET(
    _xlpm.CSVVal, _xlfn.XLOOKUP($A569, CSV!$A:$A, CSV!AE:AE, ""),
    _xlpm.MacVal, _xlfn.XLOOKUP($A569, Output_Mac!$A:$A, Output_Mac!S:S, ""),
    _xlpm.MyAuditVal, _xlfn.XLOOKUP($A569, My_Audit!$A:$A, My_Audit!N:N, ""),
    _xlfn.TEXTJOIN(", ", TRUE, _xlpm.MyAuditVal, _xlpm.MacVal, _xlpm.CSVVal)
)</f>
        <v/>
      </c>
      <c r="N569" s="45" t="str" cm="1">
        <f t="array" ref="N569">IFERROR(_xlfn.LET(
_xlpm.CSVVal,_xlfn.XLOOKUP($A569,CSV!$A:$A,CSV!AG:AG,""),
_xlpm.MacVal,_xlfn.XLOOKUP($A569,Output_Mac!$A:$A,Output_Mac!U:U,""),
_xlpm.MyAuditVal,_xlfn.XLOOKUP($A569,My_Audit!$A:$A,My_Audit!O:O,""),
_xlfn.IFS(_xlpm.MyAuditVal&lt;&gt;"",UPPER(_xlpm.MyAuditVal),_xlpm.MacVal&lt;&gt;"",_xlpm.MacVal,_xlpm.CSVVal&lt;&gt;"",_xlpm.CSVVal
)),"")</f>
        <v/>
      </c>
      <c r="O569" s="45"/>
      <c r="P569" s="45"/>
      <c r="Q569" s="46" t="str">
        <f>IF(LEFT(N569,4)="Pass","Nist SP 800-88",My_Audit!R569)&amp;""</f>
        <v/>
      </c>
      <c r="R569" s="45"/>
      <c r="S569" s="45"/>
      <c r="T569" s="46" t="str">
        <f>_xlfn.XLOOKUP(E569,Models!I:I,Models!J:J,"")</f>
        <v/>
      </c>
      <c r="U569" s="45"/>
      <c r="V569" s="45"/>
      <c r="W569" s="38"/>
    </row>
    <row r="570" spans="1:23">
      <c r="A570" s="45" t="str">
        <f>_xlfn.TEXTJOIN("",TRUE,Input!$B$2,ROW(My_Audit!A569))</f>
        <v>XX569</v>
      </c>
      <c r="B570" s="45" t="str">
        <f>_xlfn.TEXTJOIN("-",TRUE,"ITD",Input!$A$2,A570)</f>
        <v>ITD-SHRXXX-XX569</v>
      </c>
      <c r="C570" s="45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46" t="str" cm="1">
        <f t="array" ref="D570">IFERROR(_xlfn.LET(
_xlpm.CSVVal,_xlfn.XLOOKUP($A570,CSV!$A:$A,CSV!C:C,""),
_xlpm.MacVal,_xlfn.XLOOKUP($A570,Output_Mac!$A:$A,Output_Mac!D:D,""),
_xlpm.MyAuditVal,_xlfn.XLOOKUP($A570,My_Audit!$A:$A,My_Audit!C:C,""),
_xlfn.IFS(_xlpm.MyAuditVal&lt;&gt;"",UPPER(_xlpm.MyAuditVal),_xlpm.MacVal&lt;&gt;"",_xlpm.MacVal,_xlpm.CSVVal&lt;&gt;"",_xlpm.CSVVal
)),"")</f>
        <v/>
      </c>
      <c r="E570" s="46" t="str" cm="1">
        <f t="array" ref="E570">IFERROR(_xlfn.LET(
_xlpm.CSVVal,_xlfn.XLOOKUP($A570,CSV!$A:$A,CSV!E:E,""),
_xlpm.MacVal,_xlfn.XLOOKUP($A570,Output_Mac!$A:$A,Output_Mac!C:C,""),
_xlpm.MyAuditVal,_xlfn.XLOOKUP($A570,My_Audit!$A:$A,My_Audit!D:D,""),
_xlfn.IFS(_xlpm.MyAuditVal&lt;&gt;"",_xlpm.MyAuditVal,_xlpm.MacVal&lt;&gt;"",_xlpm.MacVal,_xlpm.CSVVal&lt;&gt;"",_xlpm.CSVVal
)),"")</f>
        <v/>
      </c>
      <c r="F570" s="45" t="str" cm="1">
        <f t="array" ref="F570">IFERROR(_xlfn.LET(
_xlpm.CSVVal,_xlfn.XLOOKUP($A570,CSV!$A:$A,CSV!F:F,""),
_xlpm.MacVal,_xlfn.XLOOKUP($A570,Output_Mac!$A:$A,Output_Mac!F:F,""),
_xlpm.MyAuditVal,_xlfn.XLOOKUP($A570,My_Audit!$A:$A,My_Audit!E:E,""),
_xlfn.IFS(_xlpm.MyAuditVal&lt;&gt;"",_xlpm.MyAuditVal,_xlpm.MacVal&lt;&gt;"",_xlpm.MacVal,_xlpm.CSVVal&lt;&gt;"",PROPER(_xlpm.CSVVal)
)),"")</f>
        <v/>
      </c>
      <c r="G570" s="45" t="str" cm="1">
        <f t="array" ref="G570">IFERROR(_xlfn.LET(
_xlpm.CSVVal,_xlfn.XLOOKUP($A570,CSV!$A:$A,CSV!G:G,""),
_xlpm.MacVal,_xlfn.XLOOKUP($A570,Output_Mac!$A:$A,Output_Mac!H:H,""),
_xlpm.MyAuditVal,_xlfn.XLOOKUP($A570,My_Audit!$A:$A,My_Audit!F:F,""),
_xlfn.IFS(_xlpm.MyAuditVal&lt;&gt;"",_xlpm.MyAuditVal,_xlpm.MacVal&lt;&gt;"",_xlpm.MacVal,_xlpm.CSVVal&lt;&gt;"",_xlpm.CSVVal
)),"")</f>
        <v/>
      </c>
      <c r="H570" s="45" t="str">
        <f>_xlfn.XLOOKUP(A570,Output_Mac!A:A,Output_Mac!I:I,"")</f>
        <v/>
      </c>
      <c r="I570" s="45" t="str" cm="1">
        <f t="array" ref="I570">IFERROR(_xlfn.LET(
_xlpm.CSVVal,_xlfn.XLOOKUP($A570,CSV!$A:$A,CSV!H:H,""),
_xlpm.MacVal,_xlfn.XLOOKUP($A570,Output_Mac!$A:$A,Output_Mac!J:J,""),
_xlpm.MyAuditVal,_xlfn.XLOOKUP($A570,My_Audit!$A:$A,My_Audit!H:H,""),
_xlfn.IFS(_xlpm.MyAuditVal&lt;&gt;"",UPPER(_xlpm.MyAuditVal),_xlpm.MacVal&lt;&gt;"",_xlpm.MacVal,_xlpm.CSVVal&lt;&gt;"",_xlpm.CSVVal
)),"")</f>
        <v/>
      </c>
      <c r="J570" s="45" t="str" cm="1">
        <f t="array" ref="J570">IFERROR(_xlfn.LET(
_xlpm.CSVVal,_xlfn.XLOOKUP($A570,CSV!$A:$A,CSV!J:J,""),
_xlpm.MacVal,_xlfn.XLOOKUP($A570,Output_Mac!$A:$A,Output_Mac!K:K,""),
_xlpm.MyAuditVal,_xlfn.XLOOKUP($A570,My_Audit!$A:$A,My_Audit!I:I,""),
_xlfn.IFS(_xlpm.MyAuditVal&lt;&gt;"",UPPER(_xlpm.MyAuditVal),_xlpm.MacVal&lt;&gt;"",_xlpm.MacVal,_xlpm.CSVVal&lt;&gt;"",_xlpm.CSVVal
)),"")</f>
        <v/>
      </c>
      <c r="K570" s="45" t="str" cm="1">
        <f t="array" ref="K570">IFERROR(_xlfn.LET(
_xlpm.CSVVal,_xlfn.XLOOKUP($A570,CSV!$A:$A,CSV!N:N,""),
_xlpm.MacVal,_xlfn.XLOOKUP($A570,Output_Mac!$A:$A,Output_Mac!L:L,""),
_xlpm.MyAuditVal,_xlfn.XLOOKUP($A570,My_Audit!$A:$A,My_Audit!J:J,""),
_xlfn.IFS(_xlpm.MyAuditVal&lt;&gt;"",UPPER(_xlpm.MyAuditVal),_xlpm.MacVal&lt;&gt;"",_xlpm.MacVal,_xlpm.CSVVal&lt;&gt;"",_xlpm.CSVVal
)),"")</f>
        <v/>
      </c>
      <c r="L570" s="45" t="str" cm="1">
        <f t="array" ref="L570">IFERROR(_xlfn.LET(
_xlpm.CSVVal,_xlfn.XLOOKUP($A570,CSV!$A:$A,CSV!P:P,""),
_xlpm.MacVal,_xlfn.XLOOKUP($A570,Output_Mac!$A:$A,Output_Mac!M:M,""),
_xlpm.MyAuditVal,_xlfn.XLOOKUP($A570,My_Audit!$A:$A,My_Audit!K:K,""),
_xlfn.IFS(_xlpm.MyAuditVal&lt;&gt;"",UPPER(_xlpm.MyAuditVal),_xlpm.MacVal&lt;&gt;"",_xlpm.MacVal,_xlpm.CSVVal&lt;&gt;"",_xlpm.CSVVal
)),"")</f>
        <v/>
      </c>
      <c r="M570" s="45" t="str">
        <f>_xlfn.LET(
    _xlpm.CSVVal, _xlfn.XLOOKUP($A570, CSV!$A:$A, CSV!AE:AE, ""),
    _xlpm.MacVal, _xlfn.XLOOKUP($A570, Output_Mac!$A:$A, Output_Mac!S:S, ""),
    _xlpm.MyAuditVal, _xlfn.XLOOKUP($A570, My_Audit!$A:$A, My_Audit!N:N, ""),
    _xlfn.TEXTJOIN(", ", TRUE, _xlpm.MyAuditVal, _xlpm.MacVal, _xlpm.CSVVal)
)</f>
        <v/>
      </c>
      <c r="N570" s="45" t="str" cm="1">
        <f t="array" ref="N570">IFERROR(_xlfn.LET(
_xlpm.CSVVal,_xlfn.XLOOKUP($A570,CSV!$A:$A,CSV!AG:AG,""),
_xlpm.MacVal,_xlfn.XLOOKUP($A570,Output_Mac!$A:$A,Output_Mac!U:U,""),
_xlpm.MyAuditVal,_xlfn.XLOOKUP($A570,My_Audit!$A:$A,My_Audit!O:O,""),
_xlfn.IFS(_xlpm.MyAuditVal&lt;&gt;"",UPPER(_xlpm.MyAuditVal),_xlpm.MacVal&lt;&gt;"",_xlpm.MacVal,_xlpm.CSVVal&lt;&gt;"",_xlpm.CSVVal
)),"")</f>
        <v/>
      </c>
      <c r="O570" s="45"/>
      <c r="P570" s="45"/>
      <c r="Q570" s="46" t="str">
        <f>IF(LEFT(N570,4)="Pass","Nist SP 800-88",My_Audit!R570)&amp;""</f>
        <v/>
      </c>
      <c r="R570" s="45"/>
      <c r="S570" s="45"/>
      <c r="T570" s="46" t="str">
        <f>_xlfn.XLOOKUP(E570,Models!I:I,Models!J:J,"")</f>
        <v/>
      </c>
      <c r="U570" s="45"/>
      <c r="V570" s="45"/>
      <c r="W570" s="38"/>
    </row>
    <row r="571" spans="1:23">
      <c r="A571" s="45" t="str">
        <f>_xlfn.TEXTJOIN("",TRUE,Input!$B$2,ROW(My_Audit!A570))</f>
        <v>XX570</v>
      </c>
      <c r="B571" s="45" t="str">
        <f>_xlfn.TEXTJOIN("-",TRUE,"ITD",Input!$A$2,A571)</f>
        <v>ITD-SHRXXX-XX570</v>
      </c>
      <c r="C571" s="45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46" t="str" cm="1">
        <f t="array" ref="D571">IFERROR(_xlfn.LET(
_xlpm.CSVVal,_xlfn.XLOOKUP($A571,CSV!$A:$A,CSV!C:C,""),
_xlpm.MacVal,_xlfn.XLOOKUP($A571,Output_Mac!$A:$A,Output_Mac!D:D,""),
_xlpm.MyAuditVal,_xlfn.XLOOKUP($A571,My_Audit!$A:$A,My_Audit!C:C,""),
_xlfn.IFS(_xlpm.MyAuditVal&lt;&gt;"",UPPER(_xlpm.MyAuditVal),_xlpm.MacVal&lt;&gt;"",_xlpm.MacVal,_xlpm.CSVVal&lt;&gt;"",_xlpm.CSVVal
)),"")</f>
        <v/>
      </c>
      <c r="E571" s="46" t="str" cm="1">
        <f t="array" ref="E571">IFERROR(_xlfn.LET(
_xlpm.CSVVal,_xlfn.XLOOKUP($A571,CSV!$A:$A,CSV!E:E,""),
_xlpm.MacVal,_xlfn.XLOOKUP($A571,Output_Mac!$A:$A,Output_Mac!C:C,""),
_xlpm.MyAuditVal,_xlfn.XLOOKUP($A571,My_Audit!$A:$A,My_Audit!D:D,""),
_xlfn.IFS(_xlpm.MyAuditVal&lt;&gt;"",_xlpm.MyAuditVal,_xlpm.MacVal&lt;&gt;"",_xlpm.MacVal,_xlpm.CSVVal&lt;&gt;"",_xlpm.CSVVal
)),"")</f>
        <v/>
      </c>
      <c r="F571" s="45" t="str" cm="1">
        <f t="array" ref="F571">IFERROR(_xlfn.LET(
_xlpm.CSVVal,_xlfn.XLOOKUP($A571,CSV!$A:$A,CSV!F:F,""),
_xlpm.MacVal,_xlfn.XLOOKUP($A571,Output_Mac!$A:$A,Output_Mac!F:F,""),
_xlpm.MyAuditVal,_xlfn.XLOOKUP($A571,My_Audit!$A:$A,My_Audit!E:E,""),
_xlfn.IFS(_xlpm.MyAuditVal&lt;&gt;"",_xlpm.MyAuditVal,_xlpm.MacVal&lt;&gt;"",_xlpm.MacVal,_xlpm.CSVVal&lt;&gt;"",PROPER(_xlpm.CSVVal)
)),"")</f>
        <v/>
      </c>
      <c r="G571" s="45" t="str" cm="1">
        <f t="array" ref="G571">IFERROR(_xlfn.LET(
_xlpm.CSVVal,_xlfn.XLOOKUP($A571,CSV!$A:$A,CSV!G:G,""),
_xlpm.MacVal,_xlfn.XLOOKUP($A571,Output_Mac!$A:$A,Output_Mac!H:H,""),
_xlpm.MyAuditVal,_xlfn.XLOOKUP($A571,My_Audit!$A:$A,My_Audit!F:F,""),
_xlfn.IFS(_xlpm.MyAuditVal&lt;&gt;"",_xlpm.MyAuditVal,_xlpm.MacVal&lt;&gt;"",_xlpm.MacVal,_xlpm.CSVVal&lt;&gt;"",_xlpm.CSVVal
)),"")</f>
        <v/>
      </c>
      <c r="H571" s="45" t="str">
        <f>_xlfn.XLOOKUP(A571,Output_Mac!A:A,Output_Mac!I:I,"")</f>
        <v/>
      </c>
      <c r="I571" s="45" t="str" cm="1">
        <f t="array" ref="I571">IFERROR(_xlfn.LET(
_xlpm.CSVVal,_xlfn.XLOOKUP($A571,CSV!$A:$A,CSV!H:H,""),
_xlpm.MacVal,_xlfn.XLOOKUP($A571,Output_Mac!$A:$A,Output_Mac!J:J,""),
_xlpm.MyAuditVal,_xlfn.XLOOKUP($A571,My_Audit!$A:$A,My_Audit!H:H,""),
_xlfn.IFS(_xlpm.MyAuditVal&lt;&gt;"",UPPER(_xlpm.MyAuditVal),_xlpm.MacVal&lt;&gt;"",_xlpm.MacVal,_xlpm.CSVVal&lt;&gt;"",_xlpm.CSVVal
)),"")</f>
        <v/>
      </c>
      <c r="J571" s="45" t="str" cm="1">
        <f t="array" ref="J571">IFERROR(_xlfn.LET(
_xlpm.CSVVal,_xlfn.XLOOKUP($A571,CSV!$A:$A,CSV!J:J,""),
_xlpm.MacVal,_xlfn.XLOOKUP($A571,Output_Mac!$A:$A,Output_Mac!K:K,""),
_xlpm.MyAuditVal,_xlfn.XLOOKUP($A571,My_Audit!$A:$A,My_Audit!I:I,""),
_xlfn.IFS(_xlpm.MyAuditVal&lt;&gt;"",UPPER(_xlpm.MyAuditVal),_xlpm.MacVal&lt;&gt;"",_xlpm.MacVal,_xlpm.CSVVal&lt;&gt;"",_xlpm.CSVVal
)),"")</f>
        <v/>
      </c>
      <c r="K571" s="45" t="str" cm="1">
        <f t="array" ref="K571">IFERROR(_xlfn.LET(
_xlpm.CSVVal,_xlfn.XLOOKUP($A571,CSV!$A:$A,CSV!N:N,""),
_xlpm.MacVal,_xlfn.XLOOKUP($A571,Output_Mac!$A:$A,Output_Mac!L:L,""),
_xlpm.MyAuditVal,_xlfn.XLOOKUP($A571,My_Audit!$A:$A,My_Audit!J:J,""),
_xlfn.IFS(_xlpm.MyAuditVal&lt;&gt;"",UPPER(_xlpm.MyAuditVal),_xlpm.MacVal&lt;&gt;"",_xlpm.MacVal,_xlpm.CSVVal&lt;&gt;"",_xlpm.CSVVal
)),"")</f>
        <v/>
      </c>
      <c r="L571" s="45" t="str" cm="1">
        <f t="array" ref="L571">IFERROR(_xlfn.LET(
_xlpm.CSVVal,_xlfn.XLOOKUP($A571,CSV!$A:$A,CSV!P:P,""),
_xlpm.MacVal,_xlfn.XLOOKUP($A571,Output_Mac!$A:$A,Output_Mac!M:M,""),
_xlpm.MyAuditVal,_xlfn.XLOOKUP($A571,My_Audit!$A:$A,My_Audit!K:K,""),
_xlfn.IFS(_xlpm.MyAuditVal&lt;&gt;"",UPPER(_xlpm.MyAuditVal),_xlpm.MacVal&lt;&gt;"",_xlpm.MacVal,_xlpm.CSVVal&lt;&gt;"",_xlpm.CSVVal
)),"")</f>
        <v/>
      </c>
      <c r="M571" s="45" t="str">
        <f>_xlfn.LET(
    _xlpm.CSVVal, _xlfn.XLOOKUP($A571, CSV!$A:$A, CSV!AE:AE, ""),
    _xlpm.MacVal, _xlfn.XLOOKUP($A571, Output_Mac!$A:$A, Output_Mac!S:S, ""),
    _xlpm.MyAuditVal, _xlfn.XLOOKUP($A571, My_Audit!$A:$A, My_Audit!N:N, ""),
    _xlfn.TEXTJOIN(", ", TRUE, _xlpm.MyAuditVal, _xlpm.MacVal, _xlpm.CSVVal)
)</f>
        <v/>
      </c>
      <c r="N571" s="45" t="str" cm="1">
        <f t="array" ref="N571">IFERROR(_xlfn.LET(
_xlpm.CSVVal,_xlfn.XLOOKUP($A571,CSV!$A:$A,CSV!AG:AG,""),
_xlpm.MacVal,_xlfn.XLOOKUP($A571,Output_Mac!$A:$A,Output_Mac!U:U,""),
_xlpm.MyAuditVal,_xlfn.XLOOKUP($A571,My_Audit!$A:$A,My_Audit!O:O,""),
_xlfn.IFS(_xlpm.MyAuditVal&lt;&gt;"",UPPER(_xlpm.MyAuditVal),_xlpm.MacVal&lt;&gt;"",_xlpm.MacVal,_xlpm.CSVVal&lt;&gt;"",_xlpm.CSVVal
)),"")</f>
        <v/>
      </c>
      <c r="O571" s="45"/>
      <c r="P571" s="45"/>
      <c r="Q571" s="46" t="str">
        <f>IF(LEFT(N571,4)="Pass","Nist SP 800-88",My_Audit!R571)&amp;""</f>
        <v/>
      </c>
      <c r="R571" s="45"/>
      <c r="S571" s="45"/>
      <c r="T571" s="46" t="str">
        <f>_xlfn.XLOOKUP(E571,Models!I:I,Models!J:J,"")</f>
        <v/>
      </c>
      <c r="U571" s="45"/>
      <c r="V571" s="45"/>
      <c r="W571" s="38"/>
    </row>
    <row r="572" spans="1:23">
      <c r="A572" s="45" t="str">
        <f>_xlfn.TEXTJOIN("",TRUE,Input!$B$2,ROW(My_Audit!A571))</f>
        <v>XX571</v>
      </c>
      <c r="B572" s="45" t="str">
        <f>_xlfn.TEXTJOIN("-",TRUE,"ITD",Input!$A$2,A572)</f>
        <v>ITD-SHRXXX-XX571</v>
      </c>
      <c r="C572" s="45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46" t="str" cm="1">
        <f t="array" ref="D572">IFERROR(_xlfn.LET(
_xlpm.CSVVal,_xlfn.XLOOKUP($A572,CSV!$A:$A,CSV!C:C,""),
_xlpm.MacVal,_xlfn.XLOOKUP($A572,Output_Mac!$A:$A,Output_Mac!D:D,""),
_xlpm.MyAuditVal,_xlfn.XLOOKUP($A572,My_Audit!$A:$A,My_Audit!C:C,""),
_xlfn.IFS(_xlpm.MyAuditVal&lt;&gt;"",UPPER(_xlpm.MyAuditVal),_xlpm.MacVal&lt;&gt;"",_xlpm.MacVal,_xlpm.CSVVal&lt;&gt;"",_xlpm.CSVVal
)),"")</f>
        <v/>
      </c>
      <c r="E572" s="46" t="str" cm="1">
        <f t="array" ref="E572">IFERROR(_xlfn.LET(
_xlpm.CSVVal,_xlfn.XLOOKUP($A572,CSV!$A:$A,CSV!E:E,""),
_xlpm.MacVal,_xlfn.XLOOKUP($A572,Output_Mac!$A:$A,Output_Mac!C:C,""),
_xlpm.MyAuditVal,_xlfn.XLOOKUP($A572,My_Audit!$A:$A,My_Audit!D:D,""),
_xlfn.IFS(_xlpm.MyAuditVal&lt;&gt;"",_xlpm.MyAuditVal,_xlpm.MacVal&lt;&gt;"",_xlpm.MacVal,_xlpm.CSVVal&lt;&gt;"",_xlpm.CSVVal
)),"")</f>
        <v/>
      </c>
      <c r="F572" s="45" t="str" cm="1">
        <f t="array" ref="F572">IFERROR(_xlfn.LET(
_xlpm.CSVVal,_xlfn.XLOOKUP($A572,CSV!$A:$A,CSV!F:F,""),
_xlpm.MacVal,_xlfn.XLOOKUP($A572,Output_Mac!$A:$A,Output_Mac!F:F,""),
_xlpm.MyAuditVal,_xlfn.XLOOKUP($A572,My_Audit!$A:$A,My_Audit!E:E,""),
_xlfn.IFS(_xlpm.MyAuditVal&lt;&gt;"",_xlpm.MyAuditVal,_xlpm.MacVal&lt;&gt;"",_xlpm.MacVal,_xlpm.CSVVal&lt;&gt;"",PROPER(_xlpm.CSVVal)
)),"")</f>
        <v/>
      </c>
      <c r="G572" s="45" t="str" cm="1">
        <f t="array" ref="G572">IFERROR(_xlfn.LET(
_xlpm.CSVVal,_xlfn.XLOOKUP($A572,CSV!$A:$A,CSV!G:G,""),
_xlpm.MacVal,_xlfn.XLOOKUP($A572,Output_Mac!$A:$A,Output_Mac!H:H,""),
_xlpm.MyAuditVal,_xlfn.XLOOKUP($A572,My_Audit!$A:$A,My_Audit!F:F,""),
_xlfn.IFS(_xlpm.MyAuditVal&lt;&gt;"",_xlpm.MyAuditVal,_xlpm.MacVal&lt;&gt;"",_xlpm.MacVal,_xlpm.CSVVal&lt;&gt;"",_xlpm.CSVVal
)),"")</f>
        <v/>
      </c>
      <c r="H572" s="45" t="str">
        <f>_xlfn.XLOOKUP(A572,Output_Mac!A:A,Output_Mac!I:I,"")</f>
        <v/>
      </c>
      <c r="I572" s="45" t="str" cm="1">
        <f t="array" ref="I572">IFERROR(_xlfn.LET(
_xlpm.CSVVal,_xlfn.XLOOKUP($A572,CSV!$A:$A,CSV!H:H,""),
_xlpm.MacVal,_xlfn.XLOOKUP($A572,Output_Mac!$A:$A,Output_Mac!J:J,""),
_xlpm.MyAuditVal,_xlfn.XLOOKUP($A572,My_Audit!$A:$A,My_Audit!H:H,""),
_xlfn.IFS(_xlpm.MyAuditVal&lt;&gt;"",UPPER(_xlpm.MyAuditVal),_xlpm.MacVal&lt;&gt;"",_xlpm.MacVal,_xlpm.CSVVal&lt;&gt;"",_xlpm.CSVVal
)),"")</f>
        <v/>
      </c>
      <c r="J572" s="45" t="str" cm="1">
        <f t="array" ref="J572">IFERROR(_xlfn.LET(
_xlpm.CSVVal,_xlfn.XLOOKUP($A572,CSV!$A:$A,CSV!J:J,""),
_xlpm.MacVal,_xlfn.XLOOKUP($A572,Output_Mac!$A:$A,Output_Mac!K:K,""),
_xlpm.MyAuditVal,_xlfn.XLOOKUP($A572,My_Audit!$A:$A,My_Audit!I:I,""),
_xlfn.IFS(_xlpm.MyAuditVal&lt;&gt;"",UPPER(_xlpm.MyAuditVal),_xlpm.MacVal&lt;&gt;"",_xlpm.MacVal,_xlpm.CSVVal&lt;&gt;"",_xlpm.CSVVal
)),"")</f>
        <v/>
      </c>
      <c r="K572" s="45" t="str" cm="1">
        <f t="array" ref="K572">IFERROR(_xlfn.LET(
_xlpm.CSVVal,_xlfn.XLOOKUP($A572,CSV!$A:$A,CSV!N:N,""),
_xlpm.MacVal,_xlfn.XLOOKUP($A572,Output_Mac!$A:$A,Output_Mac!L:L,""),
_xlpm.MyAuditVal,_xlfn.XLOOKUP($A572,My_Audit!$A:$A,My_Audit!J:J,""),
_xlfn.IFS(_xlpm.MyAuditVal&lt;&gt;"",UPPER(_xlpm.MyAuditVal),_xlpm.MacVal&lt;&gt;"",_xlpm.MacVal,_xlpm.CSVVal&lt;&gt;"",_xlpm.CSVVal
)),"")</f>
        <v/>
      </c>
      <c r="L572" s="45" t="str" cm="1">
        <f t="array" ref="L572">IFERROR(_xlfn.LET(
_xlpm.CSVVal,_xlfn.XLOOKUP($A572,CSV!$A:$A,CSV!P:P,""),
_xlpm.MacVal,_xlfn.XLOOKUP($A572,Output_Mac!$A:$A,Output_Mac!M:M,""),
_xlpm.MyAuditVal,_xlfn.XLOOKUP($A572,My_Audit!$A:$A,My_Audit!K:K,""),
_xlfn.IFS(_xlpm.MyAuditVal&lt;&gt;"",UPPER(_xlpm.MyAuditVal),_xlpm.MacVal&lt;&gt;"",_xlpm.MacVal,_xlpm.CSVVal&lt;&gt;"",_xlpm.CSVVal
)),"")</f>
        <v/>
      </c>
      <c r="M572" s="45" t="str">
        <f>_xlfn.LET(
    _xlpm.CSVVal, _xlfn.XLOOKUP($A572, CSV!$A:$A, CSV!AE:AE, ""),
    _xlpm.MacVal, _xlfn.XLOOKUP($A572, Output_Mac!$A:$A, Output_Mac!S:S, ""),
    _xlpm.MyAuditVal, _xlfn.XLOOKUP($A572, My_Audit!$A:$A, My_Audit!N:N, ""),
    _xlfn.TEXTJOIN(", ", TRUE, _xlpm.MyAuditVal, _xlpm.MacVal, _xlpm.CSVVal)
)</f>
        <v/>
      </c>
      <c r="N572" s="45" t="str" cm="1">
        <f t="array" ref="N572">IFERROR(_xlfn.LET(
_xlpm.CSVVal,_xlfn.XLOOKUP($A572,CSV!$A:$A,CSV!AG:AG,""),
_xlpm.MacVal,_xlfn.XLOOKUP($A572,Output_Mac!$A:$A,Output_Mac!U:U,""),
_xlpm.MyAuditVal,_xlfn.XLOOKUP($A572,My_Audit!$A:$A,My_Audit!O:O,""),
_xlfn.IFS(_xlpm.MyAuditVal&lt;&gt;"",UPPER(_xlpm.MyAuditVal),_xlpm.MacVal&lt;&gt;"",_xlpm.MacVal,_xlpm.CSVVal&lt;&gt;"",_xlpm.CSVVal
)),"")</f>
        <v/>
      </c>
      <c r="O572" s="45"/>
      <c r="P572" s="45"/>
      <c r="Q572" s="46" t="str">
        <f>IF(LEFT(N572,4)="Pass","Nist SP 800-88",My_Audit!R572)&amp;""</f>
        <v/>
      </c>
      <c r="R572" s="45"/>
      <c r="S572" s="45"/>
      <c r="T572" s="46" t="str">
        <f>_xlfn.XLOOKUP(E572,Models!I:I,Models!J:J,"")</f>
        <v/>
      </c>
      <c r="U572" s="45"/>
      <c r="V572" s="45"/>
      <c r="W572" s="38"/>
    </row>
    <row r="573" spans="1:23">
      <c r="A573" s="45" t="str">
        <f>_xlfn.TEXTJOIN("",TRUE,Input!$B$2,ROW(My_Audit!A572))</f>
        <v>XX572</v>
      </c>
      <c r="B573" s="45" t="str">
        <f>_xlfn.TEXTJOIN("-",TRUE,"ITD",Input!$A$2,A573)</f>
        <v>ITD-SHRXXX-XX572</v>
      </c>
      <c r="C573" s="45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46" t="str" cm="1">
        <f t="array" ref="D573">IFERROR(_xlfn.LET(
_xlpm.CSVVal,_xlfn.XLOOKUP($A573,CSV!$A:$A,CSV!C:C,""),
_xlpm.MacVal,_xlfn.XLOOKUP($A573,Output_Mac!$A:$A,Output_Mac!D:D,""),
_xlpm.MyAuditVal,_xlfn.XLOOKUP($A573,My_Audit!$A:$A,My_Audit!C:C,""),
_xlfn.IFS(_xlpm.MyAuditVal&lt;&gt;"",UPPER(_xlpm.MyAuditVal),_xlpm.MacVal&lt;&gt;"",_xlpm.MacVal,_xlpm.CSVVal&lt;&gt;"",_xlpm.CSVVal
)),"")</f>
        <v/>
      </c>
      <c r="E573" s="46" t="str" cm="1">
        <f t="array" ref="E573">IFERROR(_xlfn.LET(
_xlpm.CSVVal,_xlfn.XLOOKUP($A573,CSV!$A:$A,CSV!E:E,""),
_xlpm.MacVal,_xlfn.XLOOKUP($A573,Output_Mac!$A:$A,Output_Mac!C:C,""),
_xlpm.MyAuditVal,_xlfn.XLOOKUP($A573,My_Audit!$A:$A,My_Audit!D:D,""),
_xlfn.IFS(_xlpm.MyAuditVal&lt;&gt;"",_xlpm.MyAuditVal,_xlpm.MacVal&lt;&gt;"",_xlpm.MacVal,_xlpm.CSVVal&lt;&gt;"",_xlpm.CSVVal
)),"")</f>
        <v/>
      </c>
      <c r="F573" s="45" t="str" cm="1">
        <f t="array" ref="F573">IFERROR(_xlfn.LET(
_xlpm.CSVVal,_xlfn.XLOOKUP($A573,CSV!$A:$A,CSV!F:F,""),
_xlpm.MacVal,_xlfn.XLOOKUP($A573,Output_Mac!$A:$A,Output_Mac!F:F,""),
_xlpm.MyAuditVal,_xlfn.XLOOKUP($A573,My_Audit!$A:$A,My_Audit!E:E,""),
_xlfn.IFS(_xlpm.MyAuditVal&lt;&gt;"",_xlpm.MyAuditVal,_xlpm.MacVal&lt;&gt;"",_xlpm.MacVal,_xlpm.CSVVal&lt;&gt;"",PROPER(_xlpm.CSVVal)
)),"")</f>
        <v/>
      </c>
      <c r="G573" s="45" t="str" cm="1">
        <f t="array" ref="G573">IFERROR(_xlfn.LET(
_xlpm.CSVVal,_xlfn.XLOOKUP($A573,CSV!$A:$A,CSV!G:G,""),
_xlpm.MacVal,_xlfn.XLOOKUP($A573,Output_Mac!$A:$A,Output_Mac!H:H,""),
_xlpm.MyAuditVal,_xlfn.XLOOKUP($A573,My_Audit!$A:$A,My_Audit!F:F,""),
_xlfn.IFS(_xlpm.MyAuditVal&lt;&gt;"",_xlpm.MyAuditVal,_xlpm.MacVal&lt;&gt;"",_xlpm.MacVal,_xlpm.CSVVal&lt;&gt;"",_xlpm.CSVVal
)),"")</f>
        <v/>
      </c>
      <c r="H573" s="45" t="str">
        <f>_xlfn.XLOOKUP(A573,Output_Mac!A:A,Output_Mac!I:I,"")</f>
        <v/>
      </c>
      <c r="I573" s="45" t="str" cm="1">
        <f t="array" ref="I573">IFERROR(_xlfn.LET(
_xlpm.CSVVal,_xlfn.XLOOKUP($A573,CSV!$A:$A,CSV!H:H,""),
_xlpm.MacVal,_xlfn.XLOOKUP($A573,Output_Mac!$A:$A,Output_Mac!J:J,""),
_xlpm.MyAuditVal,_xlfn.XLOOKUP($A573,My_Audit!$A:$A,My_Audit!H:H,""),
_xlfn.IFS(_xlpm.MyAuditVal&lt;&gt;"",UPPER(_xlpm.MyAuditVal),_xlpm.MacVal&lt;&gt;"",_xlpm.MacVal,_xlpm.CSVVal&lt;&gt;"",_xlpm.CSVVal
)),"")</f>
        <v/>
      </c>
      <c r="J573" s="45" t="str" cm="1">
        <f t="array" ref="J573">IFERROR(_xlfn.LET(
_xlpm.CSVVal,_xlfn.XLOOKUP($A573,CSV!$A:$A,CSV!J:J,""),
_xlpm.MacVal,_xlfn.XLOOKUP($A573,Output_Mac!$A:$A,Output_Mac!K:K,""),
_xlpm.MyAuditVal,_xlfn.XLOOKUP($A573,My_Audit!$A:$A,My_Audit!I:I,""),
_xlfn.IFS(_xlpm.MyAuditVal&lt;&gt;"",UPPER(_xlpm.MyAuditVal),_xlpm.MacVal&lt;&gt;"",_xlpm.MacVal,_xlpm.CSVVal&lt;&gt;"",_xlpm.CSVVal
)),"")</f>
        <v/>
      </c>
      <c r="K573" s="45" t="str" cm="1">
        <f t="array" ref="K573">IFERROR(_xlfn.LET(
_xlpm.CSVVal,_xlfn.XLOOKUP($A573,CSV!$A:$A,CSV!N:N,""),
_xlpm.MacVal,_xlfn.XLOOKUP($A573,Output_Mac!$A:$A,Output_Mac!L:L,""),
_xlpm.MyAuditVal,_xlfn.XLOOKUP($A573,My_Audit!$A:$A,My_Audit!J:J,""),
_xlfn.IFS(_xlpm.MyAuditVal&lt;&gt;"",UPPER(_xlpm.MyAuditVal),_xlpm.MacVal&lt;&gt;"",_xlpm.MacVal,_xlpm.CSVVal&lt;&gt;"",_xlpm.CSVVal
)),"")</f>
        <v/>
      </c>
      <c r="L573" s="45" t="str" cm="1">
        <f t="array" ref="L573">IFERROR(_xlfn.LET(
_xlpm.CSVVal,_xlfn.XLOOKUP($A573,CSV!$A:$A,CSV!P:P,""),
_xlpm.MacVal,_xlfn.XLOOKUP($A573,Output_Mac!$A:$A,Output_Mac!M:M,""),
_xlpm.MyAuditVal,_xlfn.XLOOKUP($A573,My_Audit!$A:$A,My_Audit!K:K,""),
_xlfn.IFS(_xlpm.MyAuditVal&lt;&gt;"",UPPER(_xlpm.MyAuditVal),_xlpm.MacVal&lt;&gt;"",_xlpm.MacVal,_xlpm.CSVVal&lt;&gt;"",_xlpm.CSVVal
)),"")</f>
        <v/>
      </c>
      <c r="M573" s="45" t="str">
        <f>_xlfn.LET(
    _xlpm.CSVVal, _xlfn.XLOOKUP($A573, CSV!$A:$A, CSV!AE:AE, ""),
    _xlpm.MacVal, _xlfn.XLOOKUP($A573, Output_Mac!$A:$A, Output_Mac!S:S, ""),
    _xlpm.MyAuditVal, _xlfn.XLOOKUP($A573, My_Audit!$A:$A, My_Audit!N:N, ""),
    _xlfn.TEXTJOIN(", ", TRUE, _xlpm.MyAuditVal, _xlpm.MacVal, _xlpm.CSVVal)
)</f>
        <v/>
      </c>
      <c r="N573" s="45" t="str" cm="1">
        <f t="array" ref="N573">IFERROR(_xlfn.LET(
_xlpm.CSVVal,_xlfn.XLOOKUP($A573,CSV!$A:$A,CSV!AG:AG,""),
_xlpm.MacVal,_xlfn.XLOOKUP($A573,Output_Mac!$A:$A,Output_Mac!U:U,""),
_xlpm.MyAuditVal,_xlfn.XLOOKUP($A573,My_Audit!$A:$A,My_Audit!O:O,""),
_xlfn.IFS(_xlpm.MyAuditVal&lt;&gt;"",UPPER(_xlpm.MyAuditVal),_xlpm.MacVal&lt;&gt;"",_xlpm.MacVal,_xlpm.CSVVal&lt;&gt;"",_xlpm.CSVVal
)),"")</f>
        <v/>
      </c>
      <c r="O573" s="45"/>
      <c r="P573" s="45"/>
      <c r="Q573" s="46" t="str">
        <f>IF(LEFT(N573,4)="Pass","Nist SP 800-88",My_Audit!R573)&amp;""</f>
        <v/>
      </c>
      <c r="R573" s="45"/>
      <c r="S573" s="45"/>
      <c r="T573" s="46" t="str">
        <f>_xlfn.XLOOKUP(E573,Models!I:I,Models!J:J,"")</f>
        <v/>
      </c>
      <c r="U573" s="45"/>
      <c r="V573" s="45"/>
      <c r="W573" s="38"/>
    </row>
    <row r="574" spans="1:23">
      <c r="A574" s="45" t="str">
        <f>_xlfn.TEXTJOIN("",TRUE,Input!$B$2,ROW(My_Audit!A573))</f>
        <v>XX573</v>
      </c>
      <c r="B574" s="45" t="str">
        <f>_xlfn.TEXTJOIN("-",TRUE,"ITD",Input!$A$2,A574)</f>
        <v>ITD-SHRXXX-XX573</v>
      </c>
      <c r="C574" s="45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46" t="str" cm="1">
        <f t="array" ref="D574">IFERROR(_xlfn.LET(
_xlpm.CSVVal,_xlfn.XLOOKUP($A574,CSV!$A:$A,CSV!C:C,""),
_xlpm.MacVal,_xlfn.XLOOKUP($A574,Output_Mac!$A:$A,Output_Mac!D:D,""),
_xlpm.MyAuditVal,_xlfn.XLOOKUP($A574,My_Audit!$A:$A,My_Audit!C:C,""),
_xlfn.IFS(_xlpm.MyAuditVal&lt;&gt;"",UPPER(_xlpm.MyAuditVal),_xlpm.MacVal&lt;&gt;"",_xlpm.MacVal,_xlpm.CSVVal&lt;&gt;"",_xlpm.CSVVal
)),"")</f>
        <v/>
      </c>
      <c r="E574" s="46" t="str" cm="1">
        <f t="array" ref="E574">IFERROR(_xlfn.LET(
_xlpm.CSVVal,_xlfn.XLOOKUP($A574,CSV!$A:$A,CSV!E:E,""),
_xlpm.MacVal,_xlfn.XLOOKUP($A574,Output_Mac!$A:$A,Output_Mac!C:C,""),
_xlpm.MyAuditVal,_xlfn.XLOOKUP($A574,My_Audit!$A:$A,My_Audit!D:D,""),
_xlfn.IFS(_xlpm.MyAuditVal&lt;&gt;"",_xlpm.MyAuditVal,_xlpm.MacVal&lt;&gt;"",_xlpm.MacVal,_xlpm.CSVVal&lt;&gt;"",_xlpm.CSVVal
)),"")</f>
        <v/>
      </c>
      <c r="F574" s="45" t="str" cm="1">
        <f t="array" ref="F574">IFERROR(_xlfn.LET(
_xlpm.CSVVal,_xlfn.XLOOKUP($A574,CSV!$A:$A,CSV!F:F,""),
_xlpm.MacVal,_xlfn.XLOOKUP($A574,Output_Mac!$A:$A,Output_Mac!F:F,""),
_xlpm.MyAuditVal,_xlfn.XLOOKUP($A574,My_Audit!$A:$A,My_Audit!E:E,""),
_xlfn.IFS(_xlpm.MyAuditVal&lt;&gt;"",_xlpm.MyAuditVal,_xlpm.MacVal&lt;&gt;"",_xlpm.MacVal,_xlpm.CSVVal&lt;&gt;"",PROPER(_xlpm.CSVVal)
)),"")</f>
        <v/>
      </c>
      <c r="G574" s="45" t="str" cm="1">
        <f t="array" ref="G574">IFERROR(_xlfn.LET(
_xlpm.CSVVal,_xlfn.XLOOKUP($A574,CSV!$A:$A,CSV!G:G,""),
_xlpm.MacVal,_xlfn.XLOOKUP($A574,Output_Mac!$A:$A,Output_Mac!H:H,""),
_xlpm.MyAuditVal,_xlfn.XLOOKUP($A574,My_Audit!$A:$A,My_Audit!F:F,""),
_xlfn.IFS(_xlpm.MyAuditVal&lt;&gt;"",_xlpm.MyAuditVal,_xlpm.MacVal&lt;&gt;"",_xlpm.MacVal,_xlpm.CSVVal&lt;&gt;"",_xlpm.CSVVal
)),"")</f>
        <v/>
      </c>
      <c r="H574" s="45" t="str">
        <f>_xlfn.XLOOKUP(A574,Output_Mac!A:A,Output_Mac!I:I,"")</f>
        <v/>
      </c>
      <c r="I574" s="45" t="str" cm="1">
        <f t="array" ref="I574">IFERROR(_xlfn.LET(
_xlpm.CSVVal,_xlfn.XLOOKUP($A574,CSV!$A:$A,CSV!H:H,""),
_xlpm.MacVal,_xlfn.XLOOKUP($A574,Output_Mac!$A:$A,Output_Mac!J:J,""),
_xlpm.MyAuditVal,_xlfn.XLOOKUP($A574,My_Audit!$A:$A,My_Audit!H:H,""),
_xlfn.IFS(_xlpm.MyAuditVal&lt;&gt;"",UPPER(_xlpm.MyAuditVal),_xlpm.MacVal&lt;&gt;"",_xlpm.MacVal,_xlpm.CSVVal&lt;&gt;"",_xlpm.CSVVal
)),"")</f>
        <v/>
      </c>
      <c r="J574" s="45" t="str" cm="1">
        <f t="array" ref="J574">IFERROR(_xlfn.LET(
_xlpm.CSVVal,_xlfn.XLOOKUP($A574,CSV!$A:$A,CSV!J:J,""),
_xlpm.MacVal,_xlfn.XLOOKUP($A574,Output_Mac!$A:$A,Output_Mac!K:K,""),
_xlpm.MyAuditVal,_xlfn.XLOOKUP($A574,My_Audit!$A:$A,My_Audit!I:I,""),
_xlfn.IFS(_xlpm.MyAuditVal&lt;&gt;"",UPPER(_xlpm.MyAuditVal),_xlpm.MacVal&lt;&gt;"",_xlpm.MacVal,_xlpm.CSVVal&lt;&gt;"",_xlpm.CSVVal
)),"")</f>
        <v/>
      </c>
      <c r="K574" s="45" t="str" cm="1">
        <f t="array" ref="K574">IFERROR(_xlfn.LET(
_xlpm.CSVVal,_xlfn.XLOOKUP($A574,CSV!$A:$A,CSV!N:N,""),
_xlpm.MacVal,_xlfn.XLOOKUP($A574,Output_Mac!$A:$A,Output_Mac!L:L,""),
_xlpm.MyAuditVal,_xlfn.XLOOKUP($A574,My_Audit!$A:$A,My_Audit!J:J,""),
_xlfn.IFS(_xlpm.MyAuditVal&lt;&gt;"",UPPER(_xlpm.MyAuditVal),_xlpm.MacVal&lt;&gt;"",_xlpm.MacVal,_xlpm.CSVVal&lt;&gt;"",_xlpm.CSVVal
)),"")</f>
        <v/>
      </c>
      <c r="L574" s="45" t="str" cm="1">
        <f t="array" ref="L574">IFERROR(_xlfn.LET(
_xlpm.CSVVal,_xlfn.XLOOKUP($A574,CSV!$A:$A,CSV!P:P,""),
_xlpm.MacVal,_xlfn.XLOOKUP($A574,Output_Mac!$A:$A,Output_Mac!M:M,""),
_xlpm.MyAuditVal,_xlfn.XLOOKUP($A574,My_Audit!$A:$A,My_Audit!K:K,""),
_xlfn.IFS(_xlpm.MyAuditVal&lt;&gt;"",UPPER(_xlpm.MyAuditVal),_xlpm.MacVal&lt;&gt;"",_xlpm.MacVal,_xlpm.CSVVal&lt;&gt;"",_xlpm.CSVVal
)),"")</f>
        <v/>
      </c>
      <c r="M574" s="45" t="str">
        <f>_xlfn.LET(
    _xlpm.CSVVal, _xlfn.XLOOKUP($A574, CSV!$A:$A, CSV!AE:AE, ""),
    _xlpm.MacVal, _xlfn.XLOOKUP($A574, Output_Mac!$A:$A, Output_Mac!S:S, ""),
    _xlpm.MyAuditVal, _xlfn.XLOOKUP($A574, My_Audit!$A:$A, My_Audit!N:N, ""),
    _xlfn.TEXTJOIN(", ", TRUE, _xlpm.MyAuditVal, _xlpm.MacVal, _xlpm.CSVVal)
)</f>
        <v/>
      </c>
      <c r="N574" s="45" t="str" cm="1">
        <f t="array" ref="N574">IFERROR(_xlfn.LET(
_xlpm.CSVVal,_xlfn.XLOOKUP($A574,CSV!$A:$A,CSV!AG:AG,""),
_xlpm.MacVal,_xlfn.XLOOKUP($A574,Output_Mac!$A:$A,Output_Mac!U:U,""),
_xlpm.MyAuditVal,_xlfn.XLOOKUP($A574,My_Audit!$A:$A,My_Audit!O:O,""),
_xlfn.IFS(_xlpm.MyAuditVal&lt;&gt;"",UPPER(_xlpm.MyAuditVal),_xlpm.MacVal&lt;&gt;"",_xlpm.MacVal,_xlpm.CSVVal&lt;&gt;"",_xlpm.CSVVal
)),"")</f>
        <v/>
      </c>
      <c r="O574" s="45"/>
      <c r="P574" s="45"/>
      <c r="Q574" s="46" t="str">
        <f>IF(LEFT(N574,4)="Pass","Nist SP 800-88",My_Audit!R574)&amp;""</f>
        <v/>
      </c>
      <c r="R574" s="45"/>
      <c r="S574" s="45"/>
      <c r="T574" s="46" t="str">
        <f>_xlfn.XLOOKUP(E574,Models!I:I,Models!J:J,"")</f>
        <v/>
      </c>
      <c r="U574" s="45"/>
      <c r="V574" s="45"/>
      <c r="W574" s="38"/>
    </row>
    <row r="575" spans="1:23">
      <c r="A575" s="45" t="str">
        <f>_xlfn.TEXTJOIN("",TRUE,Input!$B$2,ROW(My_Audit!A574))</f>
        <v>XX574</v>
      </c>
      <c r="B575" s="45" t="str">
        <f>_xlfn.TEXTJOIN("-",TRUE,"ITD",Input!$A$2,A575)</f>
        <v>ITD-SHRXXX-XX574</v>
      </c>
      <c r="C575" s="45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46" t="str" cm="1">
        <f t="array" ref="D575">IFERROR(_xlfn.LET(
_xlpm.CSVVal,_xlfn.XLOOKUP($A575,CSV!$A:$A,CSV!C:C,""),
_xlpm.MacVal,_xlfn.XLOOKUP($A575,Output_Mac!$A:$A,Output_Mac!D:D,""),
_xlpm.MyAuditVal,_xlfn.XLOOKUP($A575,My_Audit!$A:$A,My_Audit!C:C,""),
_xlfn.IFS(_xlpm.MyAuditVal&lt;&gt;"",UPPER(_xlpm.MyAuditVal),_xlpm.MacVal&lt;&gt;"",_xlpm.MacVal,_xlpm.CSVVal&lt;&gt;"",_xlpm.CSVVal
)),"")</f>
        <v/>
      </c>
      <c r="E575" s="46" t="str" cm="1">
        <f t="array" ref="E575">IFERROR(_xlfn.LET(
_xlpm.CSVVal,_xlfn.XLOOKUP($A575,CSV!$A:$A,CSV!E:E,""),
_xlpm.MacVal,_xlfn.XLOOKUP($A575,Output_Mac!$A:$A,Output_Mac!C:C,""),
_xlpm.MyAuditVal,_xlfn.XLOOKUP($A575,My_Audit!$A:$A,My_Audit!D:D,""),
_xlfn.IFS(_xlpm.MyAuditVal&lt;&gt;"",_xlpm.MyAuditVal,_xlpm.MacVal&lt;&gt;"",_xlpm.MacVal,_xlpm.CSVVal&lt;&gt;"",_xlpm.CSVVal
)),"")</f>
        <v/>
      </c>
      <c r="F575" s="45" t="str" cm="1">
        <f t="array" ref="F575">IFERROR(_xlfn.LET(
_xlpm.CSVVal,_xlfn.XLOOKUP($A575,CSV!$A:$A,CSV!F:F,""),
_xlpm.MacVal,_xlfn.XLOOKUP($A575,Output_Mac!$A:$A,Output_Mac!F:F,""),
_xlpm.MyAuditVal,_xlfn.XLOOKUP($A575,My_Audit!$A:$A,My_Audit!E:E,""),
_xlfn.IFS(_xlpm.MyAuditVal&lt;&gt;"",_xlpm.MyAuditVal,_xlpm.MacVal&lt;&gt;"",_xlpm.MacVal,_xlpm.CSVVal&lt;&gt;"",PROPER(_xlpm.CSVVal)
)),"")</f>
        <v/>
      </c>
      <c r="G575" s="45" t="str" cm="1">
        <f t="array" ref="G575">IFERROR(_xlfn.LET(
_xlpm.CSVVal,_xlfn.XLOOKUP($A575,CSV!$A:$A,CSV!G:G,""),
_xlpm.MacVal,_xlfn.XLOOKUP($A575,Output_Mac!$A:$A,Output_Mac!H:H,""),
_xlpm.MyAuditVal,_xlfn.XLOOKUP($A575,My_Audit!$A:$A,My_Audit!F:F,""),
_xlfn.IFS(_xlpm.MyAuditVal&lt;&gt;"",_xlpm.MyAuditVal,_xlpm.MacVal&lt;&gt;"",_xlpm.MacVal,_xlpm.CSVVal&lt;&gt;"",_xlpm.CSVVal
)),"")</f>
        <v/>
      </c>
      <c r="H575" s="45" t="str">
        <f>_xlfn.XLOOKUP(A575,Output_Mac!A:A,Output_Mac!I:I,"")</f>
        <v/>
      </c>
      <c r="I575" s="45" t="str" cm="1">
        <f t="array" ref="I575">IFERROR(_xlfn.LET(
_xlpm.CSVVal,_xlfn.XLOOKUP($A575,CSV!$A:$A,CSV!H:H,""),
_xlpm.MacVal,_xlfn.XLOOKUP($A575,Output_Mac!$A:$A,Output_Mac!J:J,""),
_xlpm.MyAuditVal,_xlfn.XLOOKUP($A575,My_Audit!$A:$A,My_Audit!H:H,""),
_xlfn.IFS(_xlpm.MyAuditVal&lt;&gt;"",UPPER(_xlpm.MyAuditVal),_xlpm.MacVal&lt;&gt;"",_xlpm.MacVal,_xlpm.CSVVal&lt;&gt;"",_xlpm.CSVVal
)),"")</f>
        <v/>
      </c>
      <c r="J575" s="45" t="str" cm="1">
        <f t="array" ref="J575">IFERROR(_xlfn.LET(
_xlpm.CSVVal,_xlfn.XLOOKUP($A575,CSV!$A:$A,CSV!J:J,""),
_xlpm.MacVal,_xlfn.XLOOKUP($A575,Output_Mac!$A:$A,Output_Mac!K:K,""),
_xlpm.MyAuditVal,_xlfn.XLOOKUP($A575,My_Audit!$A:$A,My_Audit!I:I,""),
_xlfn.IFS(_xlpm.MyAuditVal&lt;&gt;"",UPPER(_xlpm.MyAuditVal),_xlpm.MacVal&lt;&gt;"",_xlpm.MacVal,_xlpm.CSVVal&lt;&gt;"",_xlpm.CSVVal
)),"")</f>
        <v/>
      </c>
      <c r="K575" s="45" t="str" cm="1">
        <f t="array" ref="K575">IFERROR(_xlfn.LET(
_xlpm.CSVVal,_xlfn.XLOOKUP($A575,CSV!$A:$A,CSV!N:N,""),
_xlpm.MacVal,_xlfn.XLOOKUP($A575,Output_Mac!$A:$A,Output_Mac!L:L,""),
_xlpm.MyAuditVal,_xlfn.XLOOKUP($A575,My_Audit!$A:$A,My_Audit!J:J,""),
_xlfn.IFS(_xlpm.MyAuditVal&lt;&gt;"",UPPER(_xlpm.MyAuditVal),_xlpm.MacVal&lt;&gt;"",_xlpm.MacVal,_xlpm.CSVVal&lt;&gt;"",_xlpm.CSVVal
)),"")</f>
        <v/>
      </c>
      <c r="L575" s="45" t="str" cm="1">
        <f t="array" ref="L575">IFERROR(_xlfn.LET(
_xlpm.CSVVal,_xlfn.XLOOKUP($A575,CSV!$A:$A,CSV!P:P,""),
_xlpm.MacVal,_xlfn.XLOOKUP($A575,Output_Mac!$A:$A,Output_Mac!M:M,""),
_xlpm.MyAuditVal,_xlfn.XLOOKUP($A575,My_Audit!$A:$A,My_Audit!K:K,""),
_xlfn.IFS(_xlpm.MyAuditVal&lt;&gt;"",UPPER(_xlpm.MyAuditVal),_xlpm.MacVal&lt;&gt;"",_xlpm.MacVal,_xlpm.CSVVal&lt;&gt;"",_xlpm.CSVVal
)),"")</f>
        <v/>
      </c>
      <c r="M575" s="45" t="str">
        <f>_xlfn.LET(
    _xlpm.CSVVal, _xlfn.XLOOKUP($A575, CSV!$A:$A, CSV!AE:AE, ""),
    _xlpm.MacVal, _xlfn.XLOOKUP($A575, Output_Mac!$A:$A, Output_Mac!S:S, ""),
    _xlpm.MyAuditVal, _xlfn.XLOOKUP($A575, My_Audit!$A:$A, My_Audit!N:N, ""),
    _xlfn.TEXTJOIN(", ", TRUE, _xlpm.MyAuditVal, _xlpm.MacVal, _xlpm.CSVVal)
)</f>
        <v/>
      </c>
      <c r="N575" s="45" t="str" cm="1">
        <f t="array" ref="N575">IFERROR(_xlfn.LET(
_xlpm.CSVVal,_xlfn.XLOOKUP($A575,CSV!$A:$A,CSV!AG:AG,""),
_xlpm.MacVal,_xlfn.XLOOKUP($A575,Output_Mac!$A:$A,Output_Mac!U:U,""),
_xlpm.MyAuditVal,_xlfn.XLOOKUP($A575,My_Audit!$A:$A,My_Audit!O:O,""),
_xlfn.IFS(_xlpm.MyAuditVal&lt;&gt;"",UPPER(_xlpm.MyAuditVal),_xlpm.MacVal&lt;&gt;"",_xlpm.MacVal,_xlpm.CSVVal&lt;&gt;"",_xlpm.CSVVal
)),"")</f>
        <v/>
      </c>
      <c r="O575" s="45"/>
      <c r="P575" s="45"/>
      <c r="Q575" s="46" t="str">
        <f>IF(LEFT(N575,4)="Pass","Nist SP 800-88",My_Audit!R575)&amp;""</f>
        <v/>
      </c>
      <c r="R575" s="45"/>
      <c r="S575" s="45"/>
      <c r="T575" s="46" t="str">
        <f>_xlfn.XLOOKUP(E575,Models!I:I,Models!J:J,"")</f>
        <v/>
      </c>
      <c r="U575" s="45"/>
      <c r="V575" s="45"/>
      <c r="W575" s="38"/>
    </row>
    <row r="576" spans="1:23">
      <c r="A576" s="45" t="str">
        <f>_xlfn.TEXTJOIN("",TRUE,Input!$B$2,ROW(My_Audit!A575))</f>
        <v>XX575</v>
      </c>
      <c r="B576" s="45" t="str">
        <f>_xlfn.TEXTJOIN("-",TRUE,"ITD",Input!$A$2,A576)</f>
        <v>ITD-SHRXXX-XX575</v>
      </c>
      <c r="C576" s="45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46" t="str" cm="1">
        <f t="array" ref="D576">IFERROR(_xlfn.LET(
_xlpm.CSVVal,_xlfn.XLOOKUP($A576,CSV!$A:$A,CSV!C:C,""),
_xlpm.MacVal,_xlfn.XLOOKUP($A576,Output_Mac!$A:$A,Output_Mac!D:D,""),
_xlpm.MyAuditVal,_xlfn.XLOOKUP($A576,My_Audit!$A:$A,My_Audit!C:C,""),
_xlfn.IFS(_xlpm.MyAuditVal&lt;&gt;"",UPPER(_xlpm.MyAuditVal),_xlpm.MacVal&lt;&gt;"",_xlpm.MacVal,_xlpm.CSVVal&lt;&gt;"",_xlpm.CSVVal
)),"")</f>
        <v/>
      </c>
      <c r="E576" s="46" t="str" cm="1">
        <f t="array" ref="E576">IFERROR(_xlfn.LET(
_xlpm.CSVVal,_xlfn.XLOOKUP($A576,CSV!$A:$A,CSV!E:E,""),
_xlpm.MacVal,_xlfn.XLOOKUP($A576,Output_Mac!$A:$A,Output_Mac!C:C,""),
_xlpm.MyAuditVal,_xlfn.XLOOKUP($A576,My_Audit!$A:$A,My_Audit!D:D,""),
_xlfn.IFS(_xlpm.MyAuditVal&lt;&gt;"",_xlpm.MyAuditVal,_xlpm.MacVal&lt;&gt;"",_xlpm.MacVal,_xlpm.CSVVal&lt;&gt;"",_xlpm.CSVVal
)),"")</f>
        <v/>
      </c>
      <c r="F576" s="45" t="str" cm="1">
        <f t="array" ref="F576">IFERROR(_xlfn.LET(
_xlpm.CSVVal,_xlfn.XLOOKUP($A576,CSV!$A:$A,CSV!F:F,""),
_xlpm.MacVal,_xlfn.XLOOKUP($A576,Output_Mac!$A:$A,Output_Mac!F:F,""),
_xlpm.MyAuditVal,_xlfn.XLOOKUP($A576,My_Audit!$A:$A,My_Audit!E:E,""),
_xlfn.IFS(_xlpm.MyAuditVal&lt;&gt;"",_xlpm.MyAuditVal,_xlpm.MacVal&lt;&gt;"",_xlpm.MacVal,_xlpm.CSVVal&lt;&gt;"",PROPER(_xlpm.CSVVal)
)),"")</f>
        <v/>
      </c>
      <c r="G576" s="45" t="str" cm="1">
        <f t="array" ref="G576">IFERROR(_xlfn.LET(
_xlpm.CSVVal,_xlfn.XLOOKUP($A576,CSV!$A:$A,CSV!G:G,""),
_xlpm.MacVal,_xlfn.XLOOKUP($A576,Output_Mac!$A:$A,Output_Mac!H:H,""),
_xlpm.MyAuditVal,_xlfn.XLOOKUP($A576,My_Audit!$A:$A,My_Audit!F:F,""),
_xlfn.IFS(_xlpm.MyAuditVal&lt;&gt;"",_xlpm.MyAuditVal,_xlpm.MacVal&lt;&gt;"",_xlpm.MacVal,_xlpm.CSVVal&lt;&gt;"",_xlpm.CSVVal
)),"")</f>
        <v/>
      </c>
      <c r="H576" s="45" t="str">
        <f>_xlfn.XLOOKUP(A576,Output_Mac!A:A,Output_Mac!I:I,"")</f>
        <v/>
      </c>
      <c r="I576" s="45" t="str" cm="1">
        <f t="array" ref="I576">IFERROR(_xlfn.LET(
_xlpm.CSVVal,_xlfn.XLOOKUP($A576,CSV!$A:$A,CSV!H:H,""),
_xlpm.MacVal,_xlfn.XLOOKUP($A576,Output_Mac!$A:$A,Output_Mac!J:J,""),
_xlpm.MyAuditVal,_xlfn.XLOOKUP($A576,My_Audit!$A:$A,My_Audit!H:H,""),
_xlfn.IFS(_xlpm.MyAuditVal&lt;&gt;"",UPPER(_xlpm.MyAuditVal),_xlpm.MacVal&lt;&gt;"",_xlpm.MacVal,_xlpm.CSVVal&lt;&gt;"",_xlpm.CSVVal
)),"")</f>
        <v/>
      </c>
      <c r="J576" s="45" t="str" cm="1">
        <f t="array" ref="J576">IFERROR(_xlfn.LET(
_xlpm.CSVVal,_xlfn.XLOOKUP($A576,CSV!$A:$A,CSV!J:J,""),
_xlpm.MacVal,_xlfn.XLOOKUP($A576,Output_Mac!$A:$A,Output_Mac!K:K,""),
_xlpm.MyAuditVal,_xlfn.XLOOKUP($A576,My_Audit!$A:$A,My_Audit!I:I,""),
_xlfn.IFS(_xlpm.MyAuditVal&lt;&gt;"",UPPER(_xlpm.MyAuditVal),_xlpm.MacVal&lt;&gt;"",_xlpm.MacVal,_xlpm.CSVVal&lt;&gt;"",_xlpm.CSVVal
)),"")</f>
        <v/>
      </c>
      <c r="K576" s="45" t="str" cm="1">
        <f t="array" ref="K576">IFERROR(_xlfn.LET(
_xlpm.CSVVal,_xlfn.XLOOKUP($A576,CSV!$A:$A,CSV!N:N,""),
_xlpm.MacVal,_xlfn.XLOOKUP($A576,Output_Mac!$A:$A,Output_Mac!L:L,""),
_xlpm.MyAuditVal,_xlfn.XLOOKUP($A576,My_Audit!$A:$A,My_Audit!J:J,""),
_xlfn.IFS(_xlpm.MyAuditVal&lt;&gt;"",UPPER(_xlpm.MyAuditVal),_xlpm.MacVal&lt;&gt;"",_xlpm.MacVal,_xlpm.CSVVal&lt;&gt;"",_xlpm.CSVVal
)),"")</f>
        <v/>
      </c>
      <c r="L576" s="45" t="str" cm="1">
        <f t="array" ref="L576">IFERROR(_xlfn.LET(
_xlpm.CSVVal,_xlfn.XLOOKUP($A576,CSV!$A:$A,CSV!P:P,""),
_xlpm.MacVal,_xlfn.XLOOKUP($A576,Output_Mac!$A:$A,Output_Mac!M:M,""),
_xlpm.MyAuditVal,_xlfn.XLOOKUP($A576,My_Audit!$A:$A,My_Audit!K:K,""),
_xlfn.IFS(_xlpm.MyAuditVal&lt;&gt;"",UPPER(_xlpm.MyAuditVal),_xlpm.MacVal&lt;&gt;"",_xlpm.MacVal,_xlpm.CSVVal&lt;&gt;"",_xlpm.CSVVal
)),"")</f>
        <v/>
      </c>
      <c r="M576" s="45" t="str">
        <f>_xlfn.LET(
    _xlpm.CSVVal, _xlfn.XLOOKUP($A576, CSV!$A:$A, CSV!AE:AE, ""),
    _xlpm.MacVal, _xlfn.XLOOKUP($A576, Output_Mac!$A:$A, Output_Mac!S:S, ""),
    _xlpm.MyAuditVal, _xlfn.XLOOKUP($A576, My_Audit!$A:$A, My_Audit!N:N, ""),
    _xlfn.TEXTJOIN(", ", TRUE, _xlpm.MyAuditVal, _xlpm.MacVal, _xlpm.CSVVal)
)</f>
        <v/>
      </c>
      <c r="N576" s="45" t="str" cm="1">
        <f t="array" ref="N576">IFERROR(_xlfn.LET(
_xlpm.CSVVal,_xlfn.XLOOKUP($A576,CSV!$A:$A,CSV!AG:AG,""),
_xlpm.MacVal,_xlfn.XLOOKUP($A576,Output_Mac!$A:$A,Output_Mac!U:U,""),
_xlpm.MyAuditVal,_xlfn.XLOOKUP($A576,My_Audit!$A:$A,My_Audit!O:O,""),
_xlfn.IFS(_xlpm.MyAuditVal&lt;&gt;"",UPPER(_xlpm.MyAuditVal),_xlpm.MacVal&lt;&gt;"",_xlpm.MacVal,_xlpm.CSVVal&lt;&gt;"",_xlpm.CSVVal
)),"")</f>
        <v/>
      </c>
      <c r="O576" s="45"/>
      <c r="P576" s="45"/>
      <c r="Q576" s="46" t="str">
        <f>IF(LEFT(N576,4)="Pass","Nist SP 800-88",My_Audit!R576)&amp;""</f>
        <v/>
      </c>
      <c r="R576" s="45"/>
      <c r="S576" s="45"/>
      <c r="T576" s="46" t="str">
        <f>_xlfn.XLOOKUP(E576,Models!I:I,Models!J:J,"")</f>
        <v/>
      </c>
      <c r="U576" s="45"/>
      <c r="V576" s="45"/>
      <c r="W576" s="38"/>
    </row>
    <row r="577" spans="1:23">
      <c r="A577" s="45" t="str">
        <f>_xlfn.TEXTJOIN("",TRUE,Input!$B$2,ROW(My_Audit!A576))</f>
        <v>XX576</v>
      </c>
      <c r="B577" s="45" t="str">
        <f>_xlfn.TEXTJOIN("-",TRUE,"ITD",Input!$A$2,A577)</f>
        <v>ITD-SHRXXX-XX576</v>
      </c>
      <c r="C577" s="45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46" t="str" cm="1">
        <f t="array" ref="D577">IFERROR(_xlfn.LET(
_xlpm.CSVVal,_xlfn.XLOOKUP($A577,CSV!$A:$A,CSV!C:C,""),
_xlpm.MacVal,_xlfn.XLOOKUP($A577,Output_Mac!$A:$A,Output_Mac!D:D,""),
_xlpm.MyAuditVal,_xlfn.XLOOKUP($A577,My_Audit!$A:$A,My_Audit!C:C,""),
_xlfn.IFS(_xlpm.MyAuditVal&lt;&gt;"",UPPER(_xlpm.MyAuditVal),_xlpm.MacVal&lt;&gt;"",_xlpm.MacVal,_xlpm.CSVVal&lt;&gt;"",_xlpm.CSVVal
)),"")</f>
        <v/>
      </c>
      <c r="E577" s="46" t="str" cm="1">
        <f t="array" ref="E577">IFERROR(_xlfn.LET(
_xlpm.CSVVal,_xlfn.XLOOKUP($A577,CSV!$A:$A,CSV!E:E,""),
_xlpm.MacVal,_xlfn.XLOOKUP($A577,Output_Mac!$A:$A,Output_Mac!C:C,""),
_xlpm.MyAuditVal,_xlfn.XLOOKUP($A577,My_Audit!$A:$A,My_Audit!D:D,""),
_xlfn.IFS(_xlpm.MyAuditVal&lt;&gt;"",_xlpm.MyAuditVal,_xlpm.MacVal&lt;&gt;"",_xlpm.MacVal,_xlpm.CSVVal&lt;&gt;"",_xlpm.CSVVal
)),"")</f>
        <v/>
      </c>
      <c r="F577" s="45" t="str" cm="1">
        <f t="array" ref="F577">IFERROR(_xlfn.LET(
_xlpm.CSVVal,_xlfn.XLOOKUP($A577,CSV!$A:$A,CSV!F:F,""),
_xlpm.MacVal,_xlfn.XLOOKUP($A577,Output_Mac!$A:$A,Output_Mac!F:F,""),
_xlpm.MyAuditVal,_xlfn.XLOOKUP($A577,My_Audit!$A:$A,My_Audit!E:E,""),
_xlfn.IFS(_xlpm.MyAuditVal&lt;&gt;"",_xlpm.MyAuditVal,_xlpm.MacVal&lt;&gt;"",_xlpm.MacVal,_xlpm.CSVVal&lt;&gt;"",PROPER(_xlpm.CSVVal)
)),"")</f>
        <v/>
      </c>
      <c r="G577" s="45" t="str" cm="1">
        <f t="array" ref="G577">IFERROR(_xlfn.LET(
_xlpm.CSVVal,_xlfn.XLOOKUP($A577,CSV!$A:$A,CSV!G:G,""),
_xlpm.MacVal,_xlfn.XLOOKUP($A577,Output_Mac!$A:$A,Output_Mac!H:H,""),
_xlpm.MyAuditVal,_xlfn.XLOOKUP($A577,My_Audit!$A:$A,My_Audit!F:F,""),
_xlfn.IFS(_xlpm.MyAuditVal&lt;&gt;"",_xlpm.MyAuditVal,_xlpm.MacVal&lt;&gt;"",_xlpm.MacVal,_xlpm.CSVVal&lt;&gt;"",_xlpm.CSVVal
)),"")</f>
        <v/>
      </c>
      <c r="H577" s="45" t="str">
        <f>_xlfn.XLOOKUP(A577,Output_Mac!A:A,Output_Mac!I:I,"")</f>
        <v/>
      </c>
      <c r="I577" s="45" t="str" cm="1">
        <f t="array" ref="I577">IFERROR(_xlfn.LET(
_xlpm.CSVVal,_xlfn.XLOOKUP($A577,CSV!$A:$A,CSV!H:H,""),
_xlpm.MacVal,_xlfn.XLOOKUP($A577,Output_Mac!$A:$A,Output_Mac!J:J,""),
_xlpm.MyAuditVal,_xlfn.XLOOKUP($A577,My_Audit!$A:$A,My_Audit!H:H,""),
_xlfn.IFS(_xlpm.MyAuditVal&lt;&gt;"",UPPER(_xlpm.MyAuditVal),_xlpm.MacVal&lt;&gt;"",_xlpm.MacVal,_xlpm.CSVVal&lt;&gt;"",_xlpm.CSVVal
)),"")</f>
        <v/>
      </c>
      <c r="J577" s="45" t="str" cm="1">
        <f t="array" ref="J577">IFERROR(_xlfn.LET(
_xlpm.CSVVal,_xlfn.XLOOKUP($A577,CSV!$A:$A,CSV!J:J,""),
_xlpm.MacVal,_xlfn.XLOOKUP($A577,Output_Mac!$A:$A,Output_Mac!K:K,""),
_xlpm.MyAuditVal,_xlfn.XLOOKUP($A577,My_Audit!$A:$A,My_Audit!I:I,""),
_xlfn.IFS(_xlpm.MyAuditVal&lt;&gt;"",UPPER(_xlpm.MyAuditVal),_xlpm.MacVal&lt;&gt;"",_xlpm.MacVal,_xlpm.CSVVal&lt;&gt;"",_xlpm.CSVVal
)),"")</f>
        <v/>
      </c>
      <c r="K577" s="45" t="str" cm="1">
        <f t="array" ref="K577">IFERROR(_xlfn.LET(
_xlpm.CSVVal,_xlfn.XLOOKUP($A577,CSV!$A:$A,CSV!N:N,""),
_xlpm.MacVal,_xlfn.XLOOKUP($A577,Output_Mac!$A:$A,Output_Mac!L:L,""),
_xlpm.MyAuditVal,_xlfn.XLOOKUP($A577,My_Audit!$A:$A,My_Audit!J:J,""),
_xlfn.IFS(_xlpm.MyAuditVal&lt;&gt;"",UPPER(_xlpm.MyAuditVal),_xlpm.MacVal&lt;&gt;"",_xlpm.MacVal,_xlpm.CSVVal&lt;&gt;"",_xlpm.CSVVal
)),"")</f>
        <v/>
      </c>
      <c r="L577" s="45" t="str" cm="1">
        <f t="array" ref="L577">IFERROR(_xlfn.LET(
_xlpm.CSVVal,_xlfn.XLOOKUP($A577,CSV!$A:$A,CSV!P:P,""),
_xlpm.MacVal,_xlfn.XLOOKUP($A577,Output_Mac!$A:$A,Output_Mac!M:M,""),
_xlpm.MyAuditVal,_xlfn.XLOOKUP($A577,My_Audit!$A:$A,My_Audit!K:K,""),
_xlfn.IFS(_xlpm.MyAuditVal&lt;&gt;"",UPPER(_xlpm.MyAuditVal),_xlpm.MacVal&lt;&gt;"",_xlpm.MacVal,_xlpm.CSVVal&lt;&gt;"",_xlpm.CSVVal
)),"")</f>
        <v/>
      </c>
      <c r="M577" s="45" t="str">
        <f>_xlfn.LET(
    _xlpm.CSVVal, _xlfn.XLOOKUP($A577, CSV!$A:$A, CSV!AE:AE, ""),
    _xlpm.MacVal, _xlfn.XLOOKUP($A577, Output_Mac!$A:$A, Output_Mac!S:S, ""),
    _xlpm.MyAuditVal, _xlfn.XLOOKUP($A577, My_Audit!$A:$A, My_Audit!N:N, ""),
    _xlfn.TEXTJOIN(", ", TRUE, _xlpm.MyAuditVal, _xlpm.MacVal, _xlpm.CSVVal)
)</f>
        <v/>
      </c>
      <c r="N577" s="45" t="str" cm="1">
        <f t="array" ref="N577">IFERROR(_xlfn.LET(
_xlpm.CSVVal,_xlfn.XLOOKUP($A577,CSV!$A:$A,CSV!AG:AG,""),
_xlpm.MacVal,_xlfn.XLOOKUP($A577,Output_Mac!$A:$A,Output_Mac!U:U,""),
_xlpm.MyAuditVal,_xlfn.XLOOKUP($A577,My_Audit!$A:$A,My_Audit!O:O,""),
_xlfn.IFS(_xlpm.MyAuditVal&lt;&gt;"",UPPER(_xlpm.MyAuditVal),_xlpm.MacVal&lt;&gt;"",_xlpm.MacVal,_xlpm.CSVVal&lt;&gt;"",_xlpm.CSVVal
)),"")</f>
        <v/>
      </c>
      <c r="O577" s="45"/>
      <c r="P577" s="45"/>
      <c r="Q577" s="46" t="str">
        <f>IF(LEFT(N577,4)="Pass","Nist SP 800-88",My_Audit!R577)&amp;""</f>
        <v/>
      </c>
      <c r="R577" s="45"/>
      <c r="S577" s="45"/>
      <c r="T577" s="46" t="str">
        <f>_xlfn.XLOOKUP(E577,Models!I:I,Models!J:J,"")</f>
        <v/>
      </c>
      <c r="U577" s="45"/>
      <c r="V577" s="45"/>
      <c r="W577" s="38"/>
    </row>
    <row r="578" spans="1:23">
      <c r="A578" s="45" t="str">
        <f>_xlfn.TEXTJOIN("",TRUE,Input!$B$2,ROW(My_Audit!A577))</f>
        <v>XX577</v>
      </c>
      <c r="B578" s="45" t="str">
        <f>_xlfn.TEXTJOIN("-",TRUE,"ITD",Input!$A$2,A578)</f>
        <v>ITD-SHRXXX-XX577</v>
      </c>
      <c r="C578" s="45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46" t="str" cm="1">
        <f t="array" ref="D578">IFERROR(_xlfn.LET(
_xlpm.CSVVal,_xlfn.XLOOKUP($A578,CSV!$A:$A,CSV!C:C,""),
_xlpm.MacVal,_xlfn.XLOOKUP($A578,Output_Mac!$A:$A,Output_Mac!D:D,""),
_xlpm.MyAuditVal,_xlfn.XLOOKUP($A578,My_Audit!$A:$A,My_Audit!C:C,""),
_xlfn.IFS(_xlpm.MyAuditVal&lt;&gt;"",UPPER(_xlpm.MyAuditVal),_xlpm.MacVal&lt;&gt;"",_xlpm.MacVal,_xlpm.CSVVal&lt;&gt;"",_xlpm.CSVVal
)),"")</f>
        <v/>
      </c>
      <c r="E578" s="46" t="str" cm="1">
        <f t="array" ref="E578">IFERROR(_xlfn.LET(
_xlpm.CSVVal,_xlfn.XLOOKUP($A578,CSV!$A:$A,CSV!E:E,""),
_xlpm.MacVal,_xlfn.XLOOKUP($A578,Output_Mac!$A:$A,Output_Mac!C:C,""),
_xlpm.MyAuditVal,_xlfn.XLOOKUP($A578,My_Audit!$A:$A,My_Audit!D:D,""),
_xlfn.IFS(_xlpm.MyAuditVal&lt;&gt;"",_xlpm.MyAuditVal,_xlpm.MacVal&lt;&gt;"",_xlpm.MacVal,_xlpm.CSVVal&lt;&gt;"",_xlpm.CSVVal
)),"")</f>
        <v/>
      </c>
      <c r="F578" s="45" t="str" cm="1">
        <f t="array" ref="F578">IFERROR(_xlfn.LET(
_xlpm.CSVVal,_xlfn.XLOOKUP($A578,CSV!$A:$A,CSV!F:F,""),
_xlpm.MacVal,_xlfn.XLOOKUP($A578,Output_Mac!$A:$A,Output_Mac!F:F,""),
_xlpm.MyAuditVal,_xlfn.XLOOKUP($A578,My_Audit!$A:$A,My_Audit!E:E,""),
_xlfn.IFS(_xlpm.MyAuditVal&lt;&gt;"",_xlpm.MyAuditVal,_xlpm.MacVal&lt;&gt;"",_xlpm.MacVal,_xlpm.CSVVal&lt;&gt;"",PROPER(_xlpm.CSVVal)
)),"")</f>
        <v/>
      </c>
      <c r="G578" s="45" t="str" cm="1">
        <f t="array" ref="G578">IFERROR(_xlfn.LET(
_xlpm.CSVVal,_xlfn.XLOOKUP($A578,CSV!$A:$A,CSV!G:G,""),
_xlpm.MacVal,_xlfn.XLOOKUP($A578,Output_Mac!$A:$A,Output_Mac!H:H,""),
_xlpm.MyAuditVal,_xlfn.XLOOKUP($A578,My_Audit!$A:$A,My_Audit!F:F,""),
_xlfn.IFS(_xlpm.MyAuditVal&lt;&gt;"",_xlpm.MyAuditVal,_xlpm.MacVal&lt;&gt;"",_xlpm.MacVal,_xlpm.CSVVal&lt;&gt;"",_xlpm.CSVVal
)),"")</f>
        <v/>
      </c>
      <c r="H578" s="45" t="str">
        <f>_xlfn.XLOOKUP(A578,Output_Mac!A:A,Output_Mac!I:I,"")</f>
        <v/>
      </c>
      <c r="I578" s="45" t="str" cm="1">
        <f t="array" ref="I578">IFERROR(_xlfn.LET(
_xlpm.CSVVal,_xlfn.XLOOKUP($A578,CSV!$A:$A,CSV!H:H,""),
_xlpm.MacVal,_xlfn.XLOOKUP($A578,Output_Mac!$A:$A,Output_Mac!J:J,""),
_xlpm.MyAuditVal,_xlfn.XLOOKUP($A578,My_Audit!$A:$A,My_Audit!H:H,""),
_xlfn.IFS(_xlpm.MyAuditVal&lt;&gt;"",UPPER(_xlpm.MyAuditVal),_xlpm.MacVal&lt;&gt;"",_xlpm.MacVal,_xlpm.CSVVal&lt;&gt;"",_xlpm.CSVVal
)),"")</f>
        <v/>
      </c>
      <c r="J578" s="45" t="str" cm="1">
        <f t="array" ref="J578">IFERROR(_xlfn.LET(
_xlpm.CSVVal,_xlfn.XLOOKUP($A578,CSV!$A:$A,CSV!J:J,""),
_xlpm.MacVal,_xlfn.XLOOKUP($A578,Output_Mac!$A:$A,Output_Mac!K:K,""),
_xlpm.MyAuditVal,_xlfn.XLOOKUP($A578,My_Audit!$A:$A,My_Audit!I:I,""),
_xlfn.IFS(_xlpm.MyAuditVal&lt;&gt;"",UPPER(_xlpm.MyAuditVal),_xlpm.MacVal&lt;&gt;"",_xlpm.MacVal,_xlpm.CSVVal&lt;&gt;"",_xlpm.CSVVal
)),"")</f>
        <v/>
      </c>
      <c r="K578" s="45" t="str" cm="1">
        <f t="array" ref="K578">IFERROR(_xlfn.LET(
_xlpm.CSVVal,_xlfn.XLOOKUP($A578,CSV!$A:$A,CSV!N:N,""),
_xlpm.MacVal,_xlfn.XLOOKUP($A578,Output_Mac!$A:$A,Output_Mac!L:L,""),
_xlpm.MyAuditVal,_xlfn.XLOOKUP($A578,My_Audit!$A:$A,My_Audit!J:J,""),
_xlfn.IFS(_xlpm.MyAuditVal&lt;&gt;"",UPPER(_xlpm.MyAuditVal),_xlpm.MacVal&lt;&gt;"",_xlpm.MacVal,_xlpm.CSVVal&lt;&gt;"",_xlpm.CSVVal
)),"")</f>
        <v/>
      </c>
      <c r="L578" s="45" t="str" cm="1">
        <f t="array" ref="L578">IFERROR(_xlfn.LET(
_xlpm.CSVVal,_xlfn.XLOOKUP($A578,CSV!$A:$A,CSV!P:P,""),
_xlpm.MacVal,_xlfn.XLOOKUP($A578,Output_Mac!$A:$A,Output_Mac!M:M,""),
_xlpm.MyAuditVal,_xlfn.XLOOKUP($A578,My_Audit!$A:$A,My_Audit!K:K,""),
_xlfn.IFS(_xlpm.MyAuditVal&lt;&gt;"",UPPER(_xlpm.MyAuditVal),_xlpm.MacVal&lt;&gt;"",_xlpm.MacVal,_xlpm.CSVVal&lt;&gt;"",_xlpm.CSVVal
)),"")</f>
        <v/>
      </c>
      <c r="M578" s="45" t="str">
        <f>_xlfn.LET(
    _xlpm.CSVVal, _xlfn.XLOOKUP($A578, CSV!$A:$A, CSV!AE:AE, ""),
    _xlpm.MacVal, _xlfn.XLOOKUP($A578, Output_Mac!$A:$A, Output_Mac!S:S, ""),
    _xlpm.MyAuditVal, _xlfn.XLOOKUP($A578, My_Audit!$A:$A, My_Audit!N:N, ""),
    _xlfn.TEXTJOIN(", ", TRUE, _xlpm.MyAuditVal, _xlpm.MacVal, _xlpm.CSVVal)
)</f>
        <v/>
      </c>
      <c r="N578" s="45" t="str" cm="1">
        <f t="array" ref="N578">IFERROR(_xlfn.LET(
_xlpm.CSVVal,_xlfn.XLOOKUP($A578,CSV!$A:$A,CSV!AG:AG,""),
_xlpm.MacVal,_xlfn.XLOOKUP($A578,Output_Mac!$A:$A,Output_Mac!U:U,""),
_xlpm.MyAuditVal,_xlfn.XLOOKUP($A578,My_Audit!$A:$A,My_Audit!O:O,""),
_xlfn.IFS(_xlpm.MyAuditVal&lt;&gt;"",UPPER(_xlpm.MyAuditVal),_xlpm.MacVal&lt;&gt;"",_xlpm.MacVal,_xlpm.CSVVal&lt;&gt;"",_xlpm.CSVVal
)),"")</f>
        <v/>
      </c>
      <c r="O578" s="45"/>
      <c r="P578" s="45"/>
      <c r="Q578" s="46" t="str">
        <f>IF(LEFT(N578,4)="Pass","Nist SP 800-88",My_Audit!R578)&amp;""</f>
        <v/>
      </c>
      <c r="R578" s="45"/>
      <c r="S578" s="45"/>
      <c r="T578" s="46" t="str">
        <f>_xlfn.XLOOKUP(E578,Models!I:I,Models!J:J,"")</f>
        <v/>
      </c>
      <c r="U578" s="45"/>
      <c r="V578" s="45"/>
      <c r="W578" s="38"/>
    </row>
    <row r="579" spans="1:23">
      <c r="A579" s="45" t="str">
        <f>_xlfn.TEXTJOIN("",TRUE,Input!$B$2,ROW(My_Audit!A578))</f>
        <v>XX578</v>
      </c>
      <c r="B579" s="45" t="str">
        <f>_xlfn.TEXTJOIN("-",TRUE,"ITD",Input!$A$2,A579)</f>
        <v>ITD-SHRXXX-XX578</v>
      </c>
      <c r="C579" s="45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46" t="str" cm="1">
        <f t="array" ref="D579">IFERROR(_xlfn.LET(
_xlpm.CSVVal,_xlfn.XLOOKUP($A579,CSV!$A:$A,CSV!C:C,""),
_xlpm.MacVal,_xlfn.XLOOKUP($A579,Output_Mac!$A:$A,Output_Mac!D:D,""),
_xlpm.MyAuditVal,_xlfn.XLOOKUP($A579,My_Audit!$A:$A,My_Audit!C:C,""),
_xlfn.IFS(_xlpm.MyAuditVal&lt;&gt;"",UPPER(_xlpm.MyAuditVal),_xlpm.MacVal&lt;&gt;"",_xlpm.MacVal,_xlpm.CSVVal&lt;&gt;"",_xlpm.CSVVal
)),"")</f>
        <v/>
      </c>
      <c r="E579" s="46" t="str" cm="1">
        <f t="array" ref="E579">IFERROR(_xlfn.LET(
_xlpm.CSVVal,_xlfn.XLOOKUP($A579,CSV!$A:$A,CSV!E:E,""),
_xlpm.MacVal,_xlfn.XLOOKUP($A579,Output_Mac!$A:$A,Output_Mac!C:C,""),
_xlpm.MyAuditVal,_xlfn.XLOOKUP($A579,My_Audit!$A:$A,My_Audit!D:D,""),
_xlfn.IFS(_xlpm.MyAuditVal&lt;&gt;"",_xlpm.MyAuditVal,_xlpm.MacVal&lt;&gt;"",_xlpm.MacVal,_xlpm.CSVVal&lt;&gt;"",_xlpm.CSVVal
)),"")</f>
        <v/>
      </c>
      <c r="F579" s="45" t="str" cm="1">
        <f t="array" ref="F579">IFERROR(_xlfn.LET(
_xlpm.CSVVal,_xlfn.XLOOKUP($A579,CSV!$A:$A,CSV!F:F,""),
_xlpm.MacVal,_xlfn.XLOOKUP($A579,Output_Mac!$A:$A,Output_Mac!F:F,""),
_xlpm.MyAuditVal,_xlfn.XLOOKUP($A579,My_Audit!$A:$A,My_Audit!E:E,""),
_xlfn.IFS(_xlpm.MyAuditVal&lt;&gt;"",_xlpm.MyAuditVal,_xlpm.MacVal&lt;&gt;"",_xlpm.MacVal,_xlpm.CSVVal&lt;&gt;"",PROPER(_xlpm.CSVVal)
)),"")</f>
        <v/>
      </c>
      <c r="G579" s="45" t="str" cm="1">
        <f t="array" ref="G579">IFERROR(_xlfn.LET(
_xlpm.CSVVal,_xlfn.XLOOKUP($A579,CSV!$A:$A,CSV!G:G,""),
_xlpm.MacVal,_xlfn.XLOOKUP($A579,Output_Mac!$A:$A,Output_Mac!H:H,""),
_xlpm.MyAuditVal,_xlfn.XLOOKUP($A579,My_Audit!$A:$A,My_Audit!F:F,""),
_xlfn.IFS(_xlpm.MyAuditVal&lt;&gt;"",_xlpm.MyAuditVal,_xlpm.MacVal&lt;&gt;"",_xlpm.MacVal,_xlpm.CSVVal&lt;&gt;"",_xlpm.CSVVal
)),"")</f>
        <v/>
      </c>
      <c r="H579" s="45" t="str">
        <f>_xlfn.XLOOKUP(A579,Output_Mac!A:A,Output_Mac!I:I,"")</f>
        <v/>
      </c>
      <c r="I579" s="45" t="str" cm="1">
        <f t="array" ref="I579">IFERROR(_xlfn.LET(
_xlpm.CSVVal,_xlfn.XLOOKUP($A579,CSV!$A:$A,CSV!H:H,""),
_xlpm.MacVal,_xlfn.XLOOKUP($A579,Output_Mac!$A:$A,Output_Mac!J:J,""),
_xlpm.MyAuditVal,_xlfn.XLOOKUP($A579,My_Audit!$A:$A,My_Audit!H:H,""),
_xlfn.IFS(_xlpm.MyAuditVal&lt;&gt;"",UPPER(_xlpm.MyAuditVal),_xlpm.MacVal&lt;&gt;"",_xlpm.MacVal,_xlpm.CSVVal&lt;&gt;"",_xlpm.CSVVal
)),"")</f>
        <v/>
      </c>
      <c r="J579" s="45" t="str" cm="1">
        <f t="array" ref="J579">IFERROR(_xlfn.LET(
_xlpm.CSVVal,_xlfn.XLOOKUP($A579,CSV!$A:$A,CSV!J:J,""),
_xlpm.MacVal,_xlfn.XLOOKUP($A579,Output_Mac!$A:$A,Output_Mac!K:K,""),
_xlpm.MyAuditVal,_xlfn.XLOOKUP($A579,My_Audit!$A:$A,My_Audit!I:I,""),
_xlfn.IFS(_xlpm.MyAuditVal&lt;&gt;"",UPPER(_xlpm.MyAuditVal),_xlpm.MacVal&lt;&gt;"",_xlpm.MacVal,_xlpm.CSVVal&lt;&gt;"",_xlpm.CSVVal
)),"")</f>
        <v/>
      </c>
      <c r="K579" s="45" t="str" cm="1">
        <f t="array" ref="K579">IFERROR(_xlfn.LET(
_xlpm.CSVVal,_xlfn.XLOOKUP($A579,CSV!$A:$A,CSV!N:N,""),
_xlpm.MacVal,_xlfn.XLOOKUP($A579,Output_Mac!$A:$A,Output_Mac!L:L,""),
_xlpm.MyAuditVal,_xlfn.XLOOKUP($A579,My_Audit!$A:$A,My_Audit!J:J,""),
_xlfn.IFS(_xlpm.MyAuditVal&lt;&gt;"",UPPER(_xlpm.MyAuditVal),_xlpm.MacVal&lt;&gt;"",_xlpm.MacVal,_xlpm.CSVVal&lt;&gt;"",_xlpm.CSVVal
)),"")</f>
        <v/>
      </c>
      <c r="L579" s="45" t="str" cm="1">
        <f t="array" ref="L579">IFERROR(_xlfn.LET(
_xlpm.CSVVal,_xlfn.XLOOKUP($A579,CSV!$A:$A,CSV!P:P,""),
_xlpm.MacVal,_xlfn.XLOOKUP($A579,Output_Mac!$A:$A,Output_Mac!M:M,""),
_xlpm.MyAuditVal,_xlfn.XLOOKUP($A579,My_Audit!$A:$A,My_Audit!K:K,""),
_xlfn.IFS(_xlpm.MyAuditVal&lt;&gt;"",UPPER(_xlpm.MyAuditVal),_xlpm.MacVal&lt;&gt;"",_xlpm.MacVal,_xlpm.CSVVal&lt;&gt;"",_xlpm.CSVVal
)),"")</f>
        <v/>
      </c>
      <c r="M579" s="45" t="str">
        <f>_xlfn.LET(
    _xlpm.CSVVal, _xlfn.XLOOKUP($A579, CSV!$A:$A, CSV!AE:AE, ""),
    _xlpm.MacVal, _xlfn.XLOOKUP($A579, Output_Mac!$A:$A, Output_Mac!S:S, ""),
    _xlpm.MyAuditVal, _xlfn.XLOOKUP($A579, My_Audit!$A:$A, My_Audit!N:N, ""),
    _xlfn.TEXTJOIN(", ", TRUE, _xlpm.MyAuditVal, _xlpm.MacVal, _xlpm.CSVVal)
)</f>
        <v/>
      </c>
      <c r="N579" s="45" t="str" cm="1">
        <f t="array" ref="N579">IFERROR(_xlfn.LET(
_xlpm.CSVVal,_xlfn.XLOOKUP($A579,CSV!$A:$A,CSV!AG:AG,""),
_xlpm.MacVal,_xlfn.XLOOKUP($A579,Output_Mac!$A:$A,Output_Mac!U:U,""),
_xlpm.MyAuditVal,_xlfn.XLOOKUP($A579,My_Audit!$A:$A,My_Audit!O:O,""),
_xlfn.IFS(_xlpm.MyAuditVal&lt;&gt;"",UPPER(_xlpm.MyAuditVal),_xlpm.MacVal&lt;&gt;"",_xlpm.MacVal,_xlpm.CSVVal&lt;&gt;"",_xlpm.CSVVal
)),"")</f>
        <v/>
      </c>
      <c r="O579" s="45"/>
      <c r="P579" s="45"/>
      <c r="Q579" s="46" t="str">
        <f>IF(LEFT(N579,4)="Pass","Nist SP 800-88",My_Audit!R579)&amp;""</f>
        <v/>
      </c>
      <c r="R579" s="45"/>
      <c r="S579" s="45"/>
      <c r="T579" s="46" t="str">
        <f>_xlfn.XLOOKUP(E579,Models!I:I,Models!J:J,"")</f>
        <v/>
      </c>
      <c r="U579" s="45"/>
      <c r="V579" s="45"/>
      <c r="W579" s="38"/>
    </row>
    <row r="580" spans="1:23">
      <c r="A580" s="45" t="str">
        <f>_xlfn.TEXTJOIN("",TRUE,Input!$B$2,ROW(My_Audit!A579))</f>
        <v>XX579</v>
      </c>
      <c r="B580" s="45" t="str">
        <f>_xlfn.TEXTJOIN("-",TRUE,"ITD",Input!$A$2,A580)</f>
        <v>ITD-SHRXXX-XX579</v>
      </c>
      <c r="C580" s="45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46" t="str" cm="1">
        <f t="array" ref="D580">IFERROR(_xlfn.LET(
_xlpm.CSVVal,_xlfn.XLOOKUP($A580,CSV!$A:$A,CSV!C:C,""),
_xlpm.MacVal,_xlfn.XLOOKUP($A580,Output_Mac!$A:$A,Output_Mac!D:D,""),
_xlpm.MyAuditVal,_xlfn.XLOOKUP($A580,My_Audit!$A:$A,My_Audit!C:C,""),
_xlfn.IFS(_xlpm.MyAuditVal&lt;&gt;"",UPPER(_xlpm.MyAuditVal),_xlpm.MacVal&lt;&gt;"",_xlpm.MacVal,_xlpm.CSVVal&lt;&gt;"",_xlpm.CSVVal
)),"")</f>
        <v/>
      </c>
      <c r="E580" s="46" t="str" cm="1">
        <f t="array" ref="E580">IFERROR(_xlfn.LET(
_xlpm.CSVVal,_xlfn.XLOOKUP($A580,CSV!$A:$A,CSV!E:E,""),
_xlpm.MacVal,_xlfn.XLOOKUP($A580,Output_Mac!$A:$A,Output_Mac!C:C,""),
_xlpm.MyAuditVal,_xlfn.XLOOKUP($A580,My_Audit!$A:$A,My_Audit!D:D,""),
_xlfn.IFS(_xlpm.MyAuditVal&lt;&gt;"",_xlpm.MyAuditVal,_xlpm.MacVal&lt;&gt;"",_xlpm.MacVal,_xlpm.CSVVal&lt;&gt;"",_xlpm.CSVVal
)),"")</f>
        <v/>
      </c>
      <c r="F580" s="45" t="str" cm="1">
        <f t="array" ref="F580">IFERROR(_xlfn.LET(
_xlpm.CSVVal,_xlfn.XLOOKUP($A580,CSV!$A:$A,CSV!F:F,""),
_xlpm.MacVal,_xlfn.XLOOKUP($A580,Output_Mac!$A:$A,Output_Mac!F:F,""),
_xlpm.MyAuditVal,_xlfn.XLOOKUP($A580,My_Audit!$A:$A,My_Audit!E:E,""),
_xlfn.IFS(_xlpm.MyAuditVal&lt;&gt;"",_xlpm.MyAuditVal,_xlpm.MacVal&lt;&gt;"",_xlpm.MacVal,_xlpm.CSVVal&lt;&gt;"",PROPER(_xlpm.CSVVal)
)),"")</f>
        <v/>
      </c>
      <c r="G580" s="45" t="str" cm="1">
        <f t="array" ref="G580">IFERROR(_xlfn.LET(
_xlpm.CSVVal,_xlfn.XLOOKUP($A580,CSV!$A:$A,CSV!G:G,""),
_xlpm.MacVal,_xlfn.XLOOKUP($A580,Output_Mac!$A:$A,Output_Mac!H:H,""),
_xlpm.MyAuditVal,_xlfn.XLOOKUP($A580,My_Audit!$A:$A,My_Audit!F:F,""),
_xlfn.IFS(_xlpm.MyAuditVal&lt;&gt;"",_xlpm.MyAuditVal,_xlpm.MacVal&lt;&gt;"",_xlpm.MacVal,_xlpm.CSVVal&lt;&gt;"",_xlpm.CSVVal
)),"")</f>
        <v/>
      </c>
      <c r="H580" s="45" t="str">
        <f>_xlfn.XLOOKUP(A580,Output_Mac!A:A,Output_Mac!I:I,"")</f>
        <v/>
      </c>
      <c r="I580" s="45" t="str" cm="1">
        <f t="array" ref="I580">IFERROR(_xlfn.LET(
_xlpm.CSVVal,_xlfn.XLOOKUP($A580,CSV!$A:$A,CSV!H:H,""),
_xlpm.MacVal,_xlfn.XLOOKUP($A580,Output_Mac!$A:$A,Output_Mac!J:J,""),
_xlpm.MyAuditVal,_xlfn.XLOOKUP($A580,My_Audit!$A:$A,My_Audit!H:H,""),
_xlfn.IFS(_xlpm.MyAuditVal&lt;&gt;"",UPPER(_xlpm.MyAuditVal),_xlpm.MacVal&lt;&gt;"",_xlpm.MacVal,_xlpm.CSVVal&lt;&gt;"",_xlpm.CSVVal
)),"")</f>
        <v/>
      </c>
      <c r="J580" s="45" t="str" cm="1">
        <f t="array" ref="J580">IFERROR(_xlfn.LET(
_xlpm.CSVVal,_xlfn.XLOOKUP($A580,CSV!$A:$A,CSV!J:J,""),
_xlpm.MacVal,_xlfn.XLOOKUP($A580,Output_Mac!$A:$A,Output_Mac!K:K,""),
_xlpm.MyAuditVal,_xlfn.XLOOKUP($A580,My_Audit!$A:$A,My_Audit!I:I,""),
_xlfn.IFS(_xlpm.MyAuditVal&lt;&gt;"",UPPER(_xlpm.MyAuditVal),_xlpm.MacVal&lt;&gt;"",_xlpm.MacVal,_xlpm.CSVVal&lt;&gt;"",_xlpm.CSVVal
)),"")</f>
        <v/>
      </c>
      <c r="K580" s="45" t="str" cm="1">
        <f t="array" ref="K580">IFERROR(_xlfn.LET(
_xlpm.CSVVal,_xlfn.XLOOKUP($A580,CSV!$A:$A,CSV!N:N,""),
_xlpm.MacVal,_xlfn.XLOOKUP($A580,Output_Mac!$A:$A,Output_Mac!L:L,""),
_xlpm.MyAuditVal,_xlfn.XLOOKUP($A580,My_Audit!$A:$A,My_Audit!J:J,""),
_xlfn.IFS(_xlpm.MyAuditVal&lt;&gt;"",UPPER(_xlpm.MyAuditVal),_xlpm.MacVal&lt;&gt;"",_xlpm.MacVal,_xlpm.CSVVal&lt;&gt;"",_xlpm.CSVVal
)),"")</f>
        <v/>
      </c>
      <c r="L580" s="45" t="str" cm="1">
        <f t="array" ref="L580">IFERROR(_xlfn.LET(
_xlpm.CSVVal,_xlfn.XLOOKUP($A580,CSV!$A:$A,CSV!P:P,""),
_xlpm.MacVal,_xlfn.XLOOKUP($A580,Output_Mac!$A:$A,Output_Mac!M:M,""),
_xlpm.MyAuditVal,_xlfn.XLOOKUP($A580,My_Audit!$A:$A,My_Audit!K:K,""),
_xlfn.IFS(_xlpm.MyAuditVal&lt;&gt;"",UPPER(_xlpm.MyAuditVal),_xlpm.MacVal&lt;&gt;"",_xlpm.MacVal,_xlpm.CSVVal&lt;&gt;"",_xlpm.CSVVal
)),"")</f>
        <v/>
      </c>
      <c r="M580" s="45" t="str">
        <f>_xlfn.LET(
    _xlpm.CSVVal, _xlfn.XLOOKUP($A580, CSV!$A:$A, CSV!AE:AE, ""),
    _xlpm.MacVal, _xlfn.XLOOKUP($A580, Output_Mac!$A:$A, Output_Mac!S:S, ""),
    _xlpm.MyAuditVal, _xlfn.XLOOKUP($A580, My_Audit!$A:$A, My_Audit!N:N, ""),
    _xlfn.TEXTJOIN(", ", TRUE, _xlpm.MyAuditVal, _xlpm.MacVal, _xlpm.CSVVal)
)</f>
        <v/>
      </c>
      <c r="N580" s="45" t="str" cm="1">
        <f t="array" ref="N580">IFERROR(_xlfn.LET(
_xlpm.CSVVal,_xlfn.XLOOKUP($A580,CSV!$A:$A,CSV!AG:AG,""),
_xlpm.MacVal,_xlfn.XLOOKUP($A580,Output_Mac!$A:$A,Output_Mac!U:U,""),
_xlpm.MyAuditVal,_xlfn.XLOOKUP($A580,My_Audit!$A:$A,My_Audit!O:O,""),
_xlfn.IFS(_xlpm.MyAuditVal&lt;&gt;"",UPPER(_xlpm.MyAuditVal),_xlpm.MacVal&lt;&gt;"",_xlpm.MacVal,_xlpm.CSVVal&lt;&gt;"",_xlpm.CSVVal
)),"")</f>
        <v/>
      </c>
      <c r="O580" s="45"/>
      <c r="P580" s="45"/>
      <c r="Q580" s="46" t="str">
        <f>IF(LEFT(N580,4)="Pass","Nist SP 800-88",My_Audit!R580)&amp;""</f>
        <v/>
      </c>
      <c r="R580" s="45"/>
      <c r="S580" s="45"/>
      <c r="T580" s="46" t="str">
        <f>_xlfn.XLOOKUP(E580,Models!I:I,Models!J:J,"")</f>
        <v/>
      </c>
      <c r="U580" s="45"/>
      <c r="V580" s="45"/>
      <c r="W580" s="38"/>
    </row>
    <row r="581" spans="1:23">
      <c r="A581" s="45" t="str">
        <f>_xlfn.TEXTJOIN("",TRUE,Input!$B$2,ROW(My_Audit!A580))</f>
        <v>XX580</v>
      </c>
      <c r="B581" s="45" t="str">
        <f>_xlfn.TEXTJOIN("-",TRUE,"ITD",Input!$A$2,A581)</f>
        <v>ITD-SHRXXX-XX580</v>
      </c>
      <c r="C581" s="45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46" t="str" cm="1">
        <f t="array" ref="D581">IFERROR(_xlfn.LET(
_xlpm.CSVVal,_xlfn.XLOOKUP($A581,CSV!$A:$A,CSV!C:C,""),
_xlpm.MacVal,_xlfn.XLOOKUP($A581,Output_Mac!$A:$A,Output_Mac!D:D,""),
_xlpm.MyAuditVal,_xlfn.XLOOKUP($A581,My_Audit!$A:$A,My_Audit!C:C,""),
_xlfn.IFS(_xlpm.MyAuditVal&lt;&gt;"",UPPER(_xlpm.MyAuditVal),_xlpm.MacVal&lt;&gt;"",_xlpm.MacVal,_xlpm.CSVVal&lt;&gt;"",_xlpm.CSVVal
)),"")</f>
        <v/>
      </c>
      <c r="E581" s="46" t="str" cm="1">
        <f t="array" ref="E581">IFERROR(_xlfn.LET(
_xlpm.CSVVal,_xlfn.XLOOKUP($A581,CSV!$A:$A,CSV!E:E,""),
_xlpm.MacVal,_xlfn.XLOOKUP($A581,Output_Mac!$A:$A,Output_Mac!C:C,""),
_xlpm.MyAuditVal,_xlfn.XLOOKUP($A581,My_Audit!$A:$A,My_Audit!D:D,""),
_xlfn.IFS(_xlpm.MyAuditVal&lt;&gt;"",_xlpm.MyAuditVal,_xlpm.MacVal&lt;&gt;"",_xlpm.MacVal,_xlpm.CSVVal&lt;&gt;"",_xlpm.CSVVal
)),"")</f>
        <v/>
      </c>
      <c r="F581" s="45" t="str" cm="1">
        <f t="array" ref="F581">IFERROR(_xlfn.LET(
_xlpm.CSVVal,_xlfn.XLOOKUP($A581,CSV!$A:$A,CSV!F:F,""),
_xlpm.MacVal,_xlfn.XLOOKUP($A581,Output_Mac!$A:$A,Output_Mac!F:F,""),
_xlpm.MyAuditVal,_xlfn.XLOOKUP($A581,My_Audit!$A:$A,My_Audit!E:E,""),
_xlfn.IFS(_xlpm.MyAuditVal&lt;&gt;"",_xlpm.MyAuditVal,_xlpm.MacVal&lt;&gt;"",_xlpm.MacVal,_xlpm.CSVVal&lt;&gt;"",PROPER(_xlpm.CSVVal)
)),"")</f>
        <v/>
      </c>
      <c r="G581" s="45" t="str" cm="1">
        <f t="array" ref="G581">IFERROR(_xlfn.LET(
_xlpm.CSVVal,_xlfn.XLOOKUP($A581,CSV!$A:$A,CSV!G:G,""),
_xlpm.MacVal,_xlfn.XLOOKUP($A581,Output_Mac!$A:$A,Output_Mac!H:H,""),
_xlpm.MyAuditVal,_xlfn.XLOOKUP($A581,My_Audit!$A:$A,My_Audit!F:F,""),
_xlfn.IFS(_xlpm.MyAuditVal&lt;&gt;"",_xlpm.MyAuditVal,_xlpm.MacVal&lt;&gt;"",_xlpm.MacVal,_xlpm.CSVVal&lt;&gt;"",_xlpm.CSVVal
)),"")</f>
        <v/>
      </c>
      <c r="H581" s="45" t="str">
        <f>_xlfn.XLOOKUP(A581,Output_Mac!A:A,Output_Mac!I:I,"")</f>
        <v/>
      </c>
      <c r="I581" s="45" t="str" cm="1">
        <f t="array" ref="I581">IFERROR(_xlfn.LET(
_xlpm.CSVVal,_xlfn.XLOOKUP($A581,CSV!$A:$A,CSV!H:H,""),
_xlpm.MacVal,_xlfn.XLOOKUP($A581,Output_Mac!$A:$A,Output_Mac!J:J,""),
_xlpm.MyAuditVal,_xlfn.XLOOKUP($A581,My_Audit!$A:$A,My_Audit!H:H,""),
_xlfn.IFS(_xlpm.MyAuditVal&lt;&gt;"",UPPER(_xlpm.MyAuditVal),_xlpm.MacVal&lt;&gt;"",_xlpm.MacVal,_xlpm.CSVVal&lt;&gt;"",_xlpm.CSVVal
)),"")</f>
        <v/>
      </c>
      <c r="J581" s="45" t="str" cm="1">
        <f t="array" ref="J581">IFERROR(_xlfn.LET(
_xlpm.CSVVal,_xlfn.XLOOKUP($A581,CSV!$A:$A,CSV!J:J,""),
_xlpm.MacVal,_xlfn.XLOOKUP($A581,Output_Mac!$A:$A,Output_Mac!K:K,""),
_xlpm.MyAuditVal,_xlfn.XLOOKUP($A581,My_Audit!$A:$A,My_Audit!I:I,""),
_xlfn.IFS(_xlpm.MyAuditVal&lt;&gt;"",UPPER(_xlpm.MyAuditVal),_xlpm.MacVal&lt;&gt;"",_xlpm.MacVal,_xlpm.CSVVal&lt;&gt;"",_xlpm.CSVVal
)),"")</f>
        <v/>
      </c>
      <c r="K581" s="45" t="str" cm="1">
        <f t="array" ref="K581">IFERROR(_xlfn.LET(
_xlpm.CSVVal,_xlfn.XLOOKUP($A581,CSV!$A:$A,CSV!N:N,""),
_xlpm.MacVal,_xlfn.XLOOKUP($A581,Output_Mac!$A:$A,Output_Mac!L:L,""),
_xlpm.MyAuditVal,_xlfn.XLOOKUP($A581,My_Audit!$A:$A,My_Audit!J:J,""),
_xlfn.IFS(_xlpm.MyAuditVal&lt;&gt;"",UPPER(_xlpm.MyAuditVal),_xlpm.MacVal&lt;&gt;"",_xlpm.MacVal,_xlpm.CSVVal&lt;&gt;"",_xlpm.CSVVal
)),"")</f>
        <v/>
      </c>
      <c r="L581" s="45" t="str" cm="1">
        <f t="array" ref="L581">IFERROR(_xlfn.LET(
_xlpm.CSVVal,_xlfn.XLOOKUP($A581,CSV!$A:$A,CSV!P:P,""),
_xlpm.MacVal,_xlfn.XLOOKUP($A581,Output_Mac!$A:$A,Output_Mac!M:M,""),
_xlpm.MyAuditVal,_xlfn.XLOOKUP($A581,My_Audit!$A:$A,My_Audit!K:K,""),
_xlfn.IFS(_xlpm.MyAuditVal&lt;&gt;"",UPPER(_xlpm.MyAuditVal),_xlpm.MacVal&lt;&gt;"",_xlpm.MacVal,_xlpm.CSVVal&lt;&gt;"",_xlpm.CSVVal
)),"")</f>
        <v/>
      </c>
      <c r="M581" s="45" t="str">
        <f>_xlfn.LET(
    _xlpm.CSVVal, _xlfn.XLOOKUP($A581, CSV!$A:$A, CSV!AE:AE, ""),
    _xlpm.MacVal, _xlfn.XLOOKUP($A581, Output_Mac!$A:$A, Output_Mac!S:S, ""),
    _xlpm.MyAuditVal, _xlfn.XLOOKUP($A581, My_Audit!$A:$A, My_Audit!N:N, ""),
    _xlfn.TEXTJOIN(", ", TRUE, _xlpm.MyAuditVal, _xlpm.MacVal, _xlpm.CSVVal)
)</f>
        <v/>
      </c>
      <c r="N581" s="45" t="str" cm="1">
        <f t="array" ref="N581">IFERROR(_xlfn.LET(
_xlpm.CSVVal,_xlfn.XLOOKUP($A581,CSV!$A:$A,CSV!AG:AG,""),
_xlpm.MacVal,_xlfn.XLOOKUP($A581,Output_Mac!$A:$A,Output_Mac!U:U,""),
_xlpm.MyAuditVal,_xlfn.XLOOKUP($A581,My_Audit!$A:$A,My_Audit!O:O,""),
_xlfn.IFS(_xlpm.MyAuditVal&lt;&gt;"",UPPER(_xlpm.MyAuditVal),_xlpm.MacVal&lt;&gt;"",_xlpm.MacVal,_xlpm.CSVVal&lt;&gt;"",_xlpm.CSVVal
)),"")</f>
        <v/>
      </c>
      <c r="O581" s="45"/>
      <c r="P581" s="45"/>
      <c r="Q581" s="46" t="str">
        <f>IF(LEFT(N581,4)="Pass","Nist SP 800-88",My_Audit!R581)&amp;""</f>
        <v/>
      </c>
      <c r="R581" s="45"/>
      <c r="S581" s="45"/>
      <c r="T581" s="46" t="str">
        <f>_xlfn.XLOOKUP(E581,Models!I:I,Models!J:J,"")</f>
        <v/>
      </c>
      <c r="U581" s="45"/>
      <c r="V581" s="45"/>
      <c r="W581" s="38"/>
    </row>
    <row r="582" spans="1:23">
      <c r="A582" s="45" t="str">
        <f>_xlfn.TEXTJOIN("",TRUE,Input!$B$2,ROW(My_Audit!A581))</f>
        <v>XX581</v>
      </c>
      <c r="B582" s="45" t="str">
        <f>_xlfn.TEXTJOIN("-",TRUE,"ITD",Input!$A$2,A582)</f>
        <v>ITD-SHRXXX-XX581</v>
      </c>
      <c r="C582" s="45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46" t="str" cm="1">
        <f t="array" ref="D582">IFERROR(_xlfn.LET(
_xlpm.CSVVal,_xlfn.XLOOKUP($A582,CSV!$A:$A,CSV!C:C,""),
_xlpm.MacVal,_xlfn.XLOOKUP($A582,Output_Mac!$A:$A,Output_Mac!D:D,""),
_xlpm.MyAuditVal,_xlfn.XLOOKUP($A582,My_Audit!$A:$A,My_Audit!C:C,""),
_xlfn.IFS(_xlpm.MyAuditVal&lt;&gt;"",UPPER(_xlpm.MyAuditVal),_xlpm.MacVal&lt;&gt;"",_xlpm.MacVal,_xlpm.CSVVal&lt;&gt;"",_xlpm.CSVVal
)),"")</f>
        <v/>
      </c>
      <c r="E582" s="46" t="str" cm="1">
        <f t="array" ref="E582">IFERROR(_xlfn.LET(
_xlpm.CSVVal,_xlfn.XLOOKUP($A582,CSV!$A:$A,CSV!E:E,""),
_xlpm.MacVal,_xlfn.XLOOKUP($A582,Output_Mac!$A:$A,Output_Mac!C:C,""),
_xlpm.MyAuditVal,_xlfn.XLOOKUP($A582,My_Audit!$A:$A,My_Audit!D:D,""),
_xlfn.IFS(_xlpm.MyAuditVal&lt;&gt;"",_xlpm.MyAuditVal,_xlpm.MacVal&lt;&gt;"",_xlpm.MacVal,_xlpm.CSVVal&lt;&gt;"",_xlpm.CSVVal
)),"")</f>
        <v/>
      </c>
      <c r="F582" s="45" t="str" cm="1">
        <f t="array" ref="F582">IFERROR(_xlfn.LET(
_xlpm.CSVVal,_xlfn.XLOOKUP($A582,CSV!$A:$A,CSV!F:F,""),
_xlpm.MacVal,_xlfn.XLOOKUP($A582,Output_Mac!$A:$A,Output_Mac!F:F,""),
_xlpm.MyAuditVal,_xlfn.XLOOKUP($A582,My_Audit!$A:$A,My_Audit!E:E,""),
_xlfn.IFS(_xlpm.MyAuditVal&lt;&gt;"",_xlpm.MyAuditVal,_xlpm.MacVal&lt;&gt;"",_xlpm.MacVal,_xlpm.CSVVal&lt;&gt;"",PROPER(_xlpm.CSVVal)
)),"")</f>
        <v/>
      </c>
      <c r="G582" s="45" t="str" cm="1">
        <f t="array" ref="G582">IFERROR(_xlfn.LET(
_xlpm.CSVVal,_xlfn.XLOOKUP($A582,CSV!$A:$A,CSV!G:G,""),
_xlpm.MacVal,_xlfn.XLOOKUP($A582,Output_Mac!$A:$A,Output_Mac!H:H,""),
_xlpm.MyAuditVal,_xlfn.XLOOKUP($A582,My_Audit!$A:$A,My_Audit!F:F,""),
_xlfn.IFS(_xlpm.MyAuditVal&lt;&gt;"",_xlpm.MyAuditVal,_xlpm.MacVal&lt;&gt;"",_xlpm.MacVal,_xlpm.CSVVal&lt;&gt;"",_xlpm.CSVVal
)),"")</f>
        <v/>
      </c>
      <c r="H582" s="45" t="str">
        <f>_xlfn.XLOOKUP(A582,Output_Mac!A:A,Output_Mac!I:I,"")</f>
        <v/>
      </c>
      <c r="I582" s="45" t="str" cm="1">
        <f t="array" ref="I582">IFERROR(_xlfn.LET(
_xlpm.CSVVal,_xlfn.XLOOKUP($A582,CSV!$A:$A,CSV!H:H,""),
_xlpm.MacVal,_xlfn.XLOOKUP($A582,Output_Mac!$A:$A,Output_Mac!J:J,""),
_xlpm.MyAuditVal,_xlfn.XLOOKUP($A582,My_Audit!$A:$A,My_Audit!H:H,""),
_xlfn.IFS(_xlpm.MyAuditVal&lt;&gt;"",UPPER(_xlpm.MyAuditVal),_xlpm.MacVal&lt;&gt;"",_xlpm.MacVal,_xlpm.CSVVal&lt;&gt;"",_xlpm.CSVVal
)),"")</f>
        <v/>
      </c>
      <c r="J582" s="45" t="str" cm="1">
        <f t="array" ref="J582">IFERROR(_xlfn.LET(
_xlpm.CSVVal,_xlfn.XLOOKUP($A582,CSV!$A:$A,CSV!J:J,""),
_xlpm.MacVal,_xlfn.XLOOKUP($A582,Output_Mac!$A:$A,Output_Mac!K:K,""),
_xlpm.MyAuditVal,_xlfn.XLOOKUP($A582,My_Audit!$A:$A,My_Audit!I:I,""),
_xlfn.IFS(_xlpm.MyAuditVal&lt;&gt;"",UPPER(_xlpm.MyAuditVal),_xlpm.MacVal&lt;&gt;"",_xlpm.MacVal,_xlpm.CSVVal&lt;&gt;"",_xlpm.CSVVal
)),"")</f>
        <v/>
      </c>
      <c r="K582" s="45" t="str" cm="1">
        <f t="array" ref="K582">IFERROR(_xlfn.LET(
_xlpm.CSVVal,_xlfn.XLOOKUP($A582,CSV!$A:$A,CSV!N:N,""),
_xlpm.MacVal,_xlfn.XLOOKUP($A582,Output_Mac!$A:$A,Output_Mac!L:L,""),
_xlpm.MyAuditVal,_xlfn.XLOOKUP($A582,My_Audit!$A:$A,My_Audit!J:J,""),
_xlfn.IFS(_xlpm.MyAuditVal&lt;&gt;"",UPPER(_xlpm.MyAuditVal),_xlpm.MacVal&lt;&gt;"",_xlpm.MacVal,_xlpm.CSVVal&lt;&gt;"",_xlpm.CSVVal
)),"")</f>
        <v/>
      </c>
      <c r="L582" s="45" t="str" cm="1">
        <f t="array" ref="L582">IFERROR(_xlfn.LET(
_xlpm.CSVVal,_xlfn.XLOOKUP($A582,CSV!$A:$A,CSV!P:P,""),
_xlpm.MacVal,_xlfn.XLOOKUP($A582,Output_Mac!$A:$A,Output_Mac!M:M,""),
_xlpm.MyAuditVal,_xlfn.XLOOKUP($A582,My_Audit!$A:$A,My_Audit!K:K,""),
_xlfn.IFS(_xlpm.MyAuditVal&lt;&gt;"",UPPER(_xlpm.MyAuditVal),_xlpm.MacVal&lt;&gt;"",_xlpm.MacVal,_xlpm.CSVVal&lt;&gt;"",_xlpm.CSVVal
)),"")</f>
        <v/>
      </c>
      <c r="M582" s="45" t="str">
        <f>_xlfn.LET(
    _xlpm.CSVVal, _xlfn.XLOOKUP($A582, CSV!$A:$A, CSV!AE:AE, ""),
    _xlpm.MacVal, _xlfn.XLOOKUP($A582, Output_Mac!$A:$A, Output_Mac!S:S, ""),
    _xlpm.MyAuditVal, _xlfn.XLOOKUP($A582, My_Audit!$A:$A, My_Audit!N:N, ""),
    _xlfn.TEXTJOIN(", ", TRUE, _xlpm.MyAuditVal, _xlpm.MacVal, _xlpm.CSVVal)
)</f>
        <v/>
      </c>
      <c r="N582" s="45" t="str" cm="1">
        <f t="array" ref="N582">IFERROR(_xlfn.LET(
_xlpm.CSVVal,_xlfn.XLOOKUP($A582,CSV!$A:$A,CSV!AG:AG,""),
_xlpm.MacVal,_xlfn.XLOOKUP($A582,Output_Mac!$A:$A,Output_Mac!U:U,""),
_xlpm.MyAuditVal,_xlfn.XLOOKUP($A582,My_Audit!$A:$A,My_Audit!O:O,""),
_xlfn.IFS(_xlpm.MyAuditVal&lt;&gt;"",UPPER(_xlpm.MyAuditVal),_xlpm.MacVal&lt;&gt;"",_xlpm.MacVal,_xlpm.CSVVal&lt;&gt;"",_xlpm.CSVVal
)),"")</f>
        <v/>
      </c>
      <c r="O582" s="45"/>
      <c r="P582" s="45"/>
      <c r="Q582" s="46" t="str">
        <f>IF(LEFT(N582,4)="Pass","Nist SP 800-88",My_Audit!R582)&amp;""</f>
        <v/>
      </c>
      <c r="R582" s="45"/>
      <c r="S582" s="45"/>
      <c r="T582" s="46" t="str">
        <f>_xlfn.XLOOKUP(E582,Models!I:I,Models!J:J,"")</f>
        <v/>
      </c>
      <c r="U582" s="45"/>
      <c r="V582" s="45"/>
      <c r="W582" s="38"/>
    </row>
    <row r="583" spans="1:23">
      <c r="A583" s="45" t="str">
        <f>_xlfn.TEXTJOIN("",TRUE,Input!$B$2,ROW(My_Audit!A582))</f>
        <v>XX582</v>
      </c>
      <c r="B583" s="45" t="str">
        <f>_xlfn.TEXTJOIN("-",TRUE,"ITD",Input!$A$2,A583)</f>
        <v>ITD-SHRXXX-XX582</v>
      </c>
      <c r="C583" s="45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46" t="str" cm="1">
        <f t="array" ref="D583">IFERROR(_xlfn.LET(
_xlpm.CSVVal,_xlfn.XLOOKUP($A583,CSV!$A:$A,CSV!C:C,""),
_xlpm.MacVal,_xlfn.XLOOKUP($A583,Output_Mac!$A:$A,Output_Mac!D:D,""),
_xlpm.MyAuditVal,_xlfn.XLOOKUP($A583,My_Audit!$A:$A,My_Audit!C:C,""),
_xlfn.IFS(_xlpm.MyAuditVal&lt;&gt;"",UPPER(_xlpm.MyAuditVal),_xlpm.MacVal&lt;&gt;"",_xlpm.MacVal,_xlpm.CSVVal&lt;&gt;"",_xlpm.CSVVal
)),"")</f>
        <v/>
      </c>
      <c r="E583" s="46" t="str" cm="1">
        <f t="array" ref="E583">IFERROR(_xlfn.LET(
_xlpm.CSVVal,_xlfn.XLOOKUP($A583,CSV!$A:$A,CSV!E:E,""),
_xlpm.MacVal,_xlfn.XLOOKUP($A583,Output_Mac!$A:$A,Output_Mac!C:C,""),
_xlpm.MyAuditVal,_xlfn.XLOOKUP($A583,My_Audit!$A:$A,My_Audit!D:D,""),
_xlfn.IFS(_xlpm.MyAuditVal&lt;&gt;"",_xlpm.MyAuditVal,_xlpm.MacVal&lt;&gt;"",_xlpm.MacVal,_xlpm.CSVVal&lt;&gt;"",_xlpm.CSVVal
)),"")</f>
        <v/>
      </c>
      <c r="F583" s="45" t="str" cm="1">
        <f t="array" ref="F583">IFERROR(_xlfn.LET(
_xlpm.CSVVal,_xlfn.XLOOKUP($A583,CSV!$A:$A,CSV!F:F,""),
_xlpm.MacVal,_xlfn.XLOOKUP($A583,Output_Mac!$A:$A,Output_Mac!F:F,""),
_xlpm.MyAuditVal,_xlfn.XLOOKUP($A583,My_Audit!$A:$A,My_Audit!E:E,""),
_xlfn.IFS(_xlpm.MyAuditVal&lt;&gt;"",_xlpm.MyAuditVal,_xlpm.MacVal&lt;&gt;"",_xlpm.MacVal,_xlpm.CSVVal&lt;&gt;"",PROPER(_xlpm.CSVVal)
)),"")</f>
        <v/>
      </c>
      <c r="G583" s="45" t="str" cm="1">
        <f t="array" ref="G583">IFERROR(_xlfn.LET(
_xlpm.CSVVal,_xlfn.XLOOKUP($A583,CSV!$A:$A,CSV!G:G,""),
_xlpm.MacVal,_xlfn.XLOOKUP($A583,Output_Mac!$A:$A,Output_Mac!H:H,""),
_xlpm.MyAuditVal,_xlfn.XLOOKUP($A583,My_Audit!$A:$A,My_Audit!F:F,""),
_xlfn.IFS(_xlpm.MyAuditVal&lt;&gt;"",_xlpm.MyAuditVal,_xlpm.MacVal&lt;&gt;"",_xlpm.MacVal,_xlpm.CSVVal&lt;&gt;"",_xlpm.CSVVal
)),"")</f>
        <v/>
      </c>
      <c r="H583" s="45" t="str">
        <f>_xlfn.XLOOKUP(A583,Output_Mac!A:A,Output_Mac!I:I,"")</f>
        <v/>
      </c>
      <c r="I583" s="45" t="str" cm="1">
        <f t="array" ref="I583">IFERROR(_xlfn.LET(
_xlpm.CSVVal,_xlfn.XLOOKUP($A583,CSV!$A:$A,CSV!H:H,""),
_xlpm.MacVal,_xlfn.XLOOKUP($A583,Output_Mac!$A:$A,Output_Mac!J:J,""),
_xlpm.MyAuditVal,_xlfn.XLOOKUP($A583,My_Audit!$A:$A,My_Audit!H:H,""),
_xlfn.IFS(_xlpm.MyAuditVal&lt;&gt;"",UPPER(_xlpm.MyAuditVal),_xlpm.MacVal&lt;&gt;"",_xlpm.MacVal,_xlpm.CSVVal&lt;&gt;"",_xlpm.CSVVal
)),"")</f>
        <v/>
      </c>
      <c r="J583" s="45" t="str" cm="1">
        <f t="array" ref="J583">IFERROR(_xlfn.LET(
_xlpm.CSVVal,_xlfn.XLOOKUP($A583,CSV!$A:$A,CSV!J:J,""),
_xlpm.MacVal,_xlfn.XLOOKUP($A583,Output_Mac!$A:$A,Output_Mac!K:K,""),
_xlpm.MyAuditVal,_xlfn.XLOOKUP($A583,My_Audit!$A:$A,My_Audit!I:I,""),
_xlfn.IFS(_xlpm.MyAuditVal&lt;&gt;"",UPPER(_xlpm.MyAuditVal),_xlpm.MacVal&lt;&gt;"",_xlpm.MacVal,_xlpm.CSVVal&lt;&gt;"",_xlpm.CSVVal
)),"")</f>
        <v/>
      </c>
      <c r="K583" s="45" t="str" cm="1">
        <f t="array" ref="K583">IFERROR(_xlfn.LET(
_xlpm.CSVVal,_xlfn.XLOOKUP($A583,CSV!$A:$A,CSV!N:N,""),
_xlpm.MacVal,_xlfn.XLOOKUP($A583,Output_Mac!$A:$A,Output_Mac!L:L,""),
_xlpm.MyAuditVal,_xlfn.XLOOKUP($A583,My_Audit!$A:$A,My_Audit!J:J,""),
_xlfn.IFS(_xlpm.MyAuditVal&lt;&gt;"",UPPER(_xlpm.MyAuditVal),_xlpm.MacVal&lt;&gt;"",_xlpm.MacVal,_xlpm.CSVVal&lt;&gt;"",_xlpm.CSVVal
)),"")</f>
        <v/>
      </c>
      <c r="L583" s="45" t="str" cm="1">
        <f t="array" ref="L583">IFERROR(_xlfn.LET(
_xlpm.CSVVal,_xlfn.XLOOKUP($A583,CSV!$A:$A,CSV!P:P,""),
_xlpm.MacVal,_xlfn.XLOOKUP($A583,Output_Mac!$A:$A,Output_Mac!M:M,""),
_xlpm.MyAuditVal,_xlfn.XLOOKUP($A583,My_Audit!$A:$A,My_Audit!K:K,""),
_xlfn.IFS(_xlpm.MyAuditVal&lt;&gt;"",UPPER(_xlpm.MyAuditVal),_xlpm.MacVal&lt;&gt;"",_xlpm.MacVal,_xlpm.CSVVal&lt;&gt;"",_xlpm.CSVVal
)),"")</f>
        <v/>
      </c>
      <c r="M583" s="45" t="str">
        <f>_xlfn.LET(
    _xlpm.CSVVal, _xlfn.XLOOKUP($A583, CSV!$A:$A, CSV!AE:AE, ""),
    _xlpm.MacVal, _xlfn.XLOOKUP($A583, Output_Mac!$A:$A, Output_Mac!S:S, ""),
    _xlpm.MyAuditVal, _xlfn.XLOOKUP($A583, My_Audit!$A:$A, My_Audit!N:N, ""),
    _xlfn.TEXTJOIN(", ", TRUE, _xlpm.MyAuditVal, _xlpm.MacVal, _xlpm.CSVVal)
)</f>
        <v/>
      </c>
      <c r="N583" s="45" t="str" cm="1">
        <f t="array" ref="N583">IFERROR(_xlfn.LET(
_xlpm.CSVVal,_xlfn.XLOOKUP($A583,CSV!$A:$A,CSV!AG:AG,""),
_xlpm.MacVal,_xlfn.XLOOKUP($A583,Output_Mac!$A:$A,Output_Mac!U:U,""),
_xlpm.MyAuditVal,_xlfn.XLOOKUP($A583,My_Audit!$A:$A,My_Audit!O:O,""),
_xlfn.IFS(_xlpm.MyAuditVal&lt;&gt;"",UPPER(_xlpm.MyAuditVal),_xlpm.MacVal&lt;&gt;"",_xlpm.MacVal,_xlpm.CSVVal&lt;&gt;"",_xlpm.CSVVal
)),"")</f>
        <v/>
      </c>
      <c r="O583" s="45"/>
      <c r="P583" s="45"/>
      <c r="Q583" s="46" t="str">
        <f>IF(LEFT(N583,4)="Pass","Nist SP 800-88",My_Audit!R583)&amp;""</f>
        <v/>
      </c>
      <c r="R583" s="45"/>
      <c r="S583" s="45"/>
      <c r="T583" s="46" t="str">
        <f>_xlfn.XLOOKUP(E583,Models!I:I,Models!J:J,"")</f>
        <v/>
      </c>
      <c r="U583" s="45"/>
      <c r="V583" s="45"/>
      <c r="W583" s="38"/>
    </row>
    <row r="584" spans="1:23">
      <c r="A584" s="45" t="str">
        <f>_xlfn.TEXTJOIN("",TRUE,Input!$B$2,ROW(My_Audit!A583))</f>
        <v>XX583</v>
      </c>
      <c r="B584" s="45" t="str">
        <f>_xlfn.TEXTJOIN("-",TRUE,"ITD",Input!$A$2,A584)</f>
        <v>ITD-SHRXXX-XX583</v>
      </c>
      <c r="C584" s="45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46" t="str" cm="1">
        <f t="array" ref="D584">IFERROR(_xlfn.LET(
_xlpm.CSVVal,_xlfn.XLOOKUP($A584,CSV!$A:$A,CSV!C:C,""),
_xlpm.MacVal,_xlfn.XLOOKUP($A584,Output_Mac!$A:$A,Output_Mac!D:D,""),
_xlpm.MyAuditVal,_xlfn.XLOOKUP($A584,My_Audit!$A:$A,My_Audit!C:C,""),
_xlfn.IFS(_xlpm.MyAuditVal&lt;&gt;"",UPPER(_xlpm.MyAuditVal),_xlpm.MacVal&lt;&gt;"",_xlpm.MacVal,_xlpm.CSVVal&lt;&gt;"",_xlpm.CSVVal
)),"")</f>
        <v/>
      </c>
      <c r="E584" s="46" t="str" cm="1">
        <f t="array" ref="E584">IFERROR(_xlfn.LET(
_xlpm.CSVVal,_xlfn.XLOOKUP($A584,CSV!$A:$A,CSV!E:E,""),
_xlpm.MacVal,_xlfn.XLOOKUP($A584,Output_Mac!$A:$A,Output_Mac!C:C,""),
_xlpm.MyAuditVal,_xlfn.XLOOKUP($A584,My_Audit!$A:$A,My_Audit!D:D,""),
_xlfn.IFS(_xlpm.MyAuditVal&lt;&gt;"",_xlpm.MyAuditVal,_xlpm.MacVal&lt;&gt;"",_xlpm.MacVal,_xlpm.CSVVal&lt;&gt;"",_xlpm.CSVVal
)),"")</f>
        <v/>
      </c>
      <c r="F584" s="45" t="str" cm="1">
        <f t="array" ref="F584">IFERROR(_xlfn.LET(
_xlpm.CSVVal,_xlfn.XLOOKUP($A584,CSV!$A:$A,CSV!F:F,""),
_xlpm.MacVal,_xlfn.XLOOKUP($A584,Output_Mac!$A:$A,Output_Mac!F:F,""),
_xlpm.MyAuditVal,_xlfn.XLOOKUP($A584,My_Audit!$A:$A,My_Audit!E:E,""),
_xlfn.IFS(_xlpm.MyAuditVal&lt;&gt;"",_xlpm.MyAuditVal,_xlpm.MacVal&lt;&gt;"",_xlpm.MacVal,_xlpm.CSVVal&lt;&gt;"",PROPER(_xlpm.CSVVal)
)),"")</f>
        <v/>
      </c>
      <c r="G584" s="45" t="str" cm="1">
        <f t="array" ref="G584">IFERROR(_xlfn.LET(
_xlpm.CSVVal,_xlfn.XLOOKUP($A584,CSV!$A:$A,CSV!G:G,""),
_xlpm.MacVal,_xlfn.XLOOKUP($A584,Output_Mac!$A:$A,Output_Mac!H:H,""),
_xlpm.MyAuditVal,_xlfn.XLOOKUP($A584,My_Audit!$A:$A,My_Audit!F:F,""),
_xlfn.IFS(_xlpm.MyAuditVal&lt;&gt;"",_xlpm.MyAuditVal,_xlpm.MacVal&lt;&gt;"",_xlpm.MacVal,_xlpm.CSVVal&lt;&gt;"",_xlpm.CSVVal
)),"")</f>
        <v/>
      </c>
      <c r="H584" s="45" t="str">
        <f>_xlfn.XLOOKUP(A584,Output_Mac!A:A,Output_Mac!I:I,"")</f>
        <v/>
      </c>
      <c r="I584" s="45" t="str" cm="1">
        <f t="array" ref="I584">IFERROR(_xlfn.LET(
_xlpm.CSVVal,_xlfn.XLOOKUP($A584,CSV!$A:$A,CSV!H:H,""),
_xlpm.MacVal,_xlfn.XLOOKUP($A584,Output_Mac!$A:$A,Output_Mac!J:J,""),
_xlpm.MyAuditVal,_xlfn.XLOOKUP($A584,My_Audit!$A:$A,My_Audit!H:H,""),
_xlfn.IFS(_xlpm.MyAuditVal&lt;&gt;"",UPPER(_xlpm.MyAuditVal),_xlpm.MacVal&lt;&gt;"",_xlpm.MacVal,_xlpm.CSVVal&lt;&gt;"",_xlpm.CSVVal
)),"")</f>
        <v/>
      </c>
      <c r="J584" s="45" t="str" cm="1">
        <f t="array" ref="J584">IFERROR(_xlfn.LET(
_xlpm.CSVVal,_xlfn.XLOOKUP($A584,CSV!$A:$A,CSV!J:J,""),
_xlpm.MacVal,_xlfn.XLOOKUP($A584,Output_Mac!$A:$A,Output_Mac!K:K,""),
_xlpm.MyAuditVal,_xlfn.XLOOKUP($A584,My_Audit!$A:$A,My_Audit!I:I,""),
_xlfn.IFS(_xlpm.MyAuditVal&lt;&gt;"",UPPER(_xlpm.MyAuditVal),_xlpm.MacVal&lt;&gt;"",_xlpm.MacVal,_xlpm.CSVVal&lt;&gt;"",_xlpm.CSVVal
)),"")</f>
        <v/>
      </c>
      <c r="K584" s="45" t="str" cm="1">
        <f t="array" ref="K584">IFERROR(_xlfn.LET(
_xlpm.CSVVal,_xlfn.XLOOKUP($A584,CSV!$A:$A,CSV!N:N,""),
_xlpm.MacVal,_xlfn.XLOOKUP($A584,Output_Mac!$A:$A,Output_Mac!L:L,""),
_xlpm.MyAuditVal,_xlfn.XLOOKUP($A584,My_Audit!$A:$A,My_Audit!J:J,""),
_xlfn.IFS(_xlpm.MyAuditVal&lt;&gt;"",UPPER(_xlpm.MyAuditVal),_xlpm.MacVal&lt;&gt;"",_xlpm.MacVal,_xlpm.CSVVal&lt;&gt;"",_xlpm.CSVVal
)),"")</f>
        <v/>
      </c>
      <c r="L584" s="45" t="str" cm="1">
        <f t="array" ref="L584">IFERROR(_xlfn.LET(
_xlpm.CSVVal,_xlfn.XLOOKUP($A584,CSV!$A:$A,CSV!P:P,""),
_xlpm.MacVal,_xlfn.XLOOKUP($A584,Output_Mac!$A:$A,Output_Mac!M:M,""),
_xlpm.MyAuditVal,_xlfn.XLOOKUP($A584,My_Audit!$A:$A,My_Audit!K:K,""),
_xlfn.IFS(_xlpm.MyAuditVal&lt;&gt;"",UPPER(_xlpm.MyAuditVal),_xlpm.MacVal&lt;&gt;"",_xlpm.MacVal,_xlpm.CSVVal&lt;&gt;"",_xlpm.CSVVal
)),"")</f>
        <v/>
      </c>
      <c r="M584" s="45" t="str">
        <f>_xlfn.LET(
    _xlpm.CSVVal, _xlfn.XLOOKUP($A584, CSV!$A:$A, CSV!AE:AE, ""),
    _xlpm.MacVal, _xlfn.XLOOKUP($A584, Output_Mac!$A:$A, Output_Mac!S:S, ""),
    _xlpm.MyAuditVal, _xlfn.XLOOKUP($A584, My_Audit!$A:$A, My_Audit!N:N, ""),
    _xlfn.TEXTJOIN(", ", TRUE, _xlpm.MyAuditVal, _xlpm.MacVal, _xlpm.CSVVal)
)</f>
        <v/>
      </c>
      <c r="N584" s="45" t="str" cm="1">
        <f t="array" ref="N584">IFERROR(_xlfn.LET(
_xlpm.CSVVal,_xlfn.XLOOKUP($A584,CSV!$A:$A,CSV!AG:AG,""),
_xlpm.MacVal,_xlfn.XLOOKUP($A584,Output_Mac!$A:$A,Output_Mac!U:U,""),
_xlpm.MyAuditVal,_xlfn.XLOOKUP($A584,My_Audit!$A:$A,My_Audit!O:O,""),
_xlfn.IFS(_xlpm.MyAuditVal&lt;&gt;"",UPPER(_xlpm.MyAuditVal),_xlpm.MacVal&lt;&gt;"",_xlpm.MacVal,_xlpm.CSVVal&lt;&gt;"",_xlpm.CSVVal
)),"")</f>
        <v/>
      </c>
      <c r="O584" s="45"/>
      <c r="P584" s="45"/>
      <c r="Q584" s="46" t="str">
        <f>IF(LEFT(N584,4)="Pass","Nist SP 800-88",My_Audit!R584)&amp;""</f>
        <v/>
      </c>
      <c r="R584" s="45"/>
      <c r="S584" s="45"/>
      <c r="T584" s="46" t="str">
        <f>_xlfn.XLOOKUP(E584,Models!I:I,Models!J:J,"")</f>
        <v/>
      </c>
      <c r="U584" s="45"/>
      <c r="V584" s="45"/>
      <c r="W584" s="38"/>
    </row>
    <row r="585" spans="1:23">
      <c r="A585" s="45" t="str">
        <f>_xlfn.TEXTJOIN("",TRUE,Input!$B$2,ROW(My_Audit!A584))</f>
        <v>XX584</v>
      </c>
      <c r="B585" s="45" t="str">
        <f>_xlfn.TEXTJOIN("-",TRUE,"ITD",Input!$A$2,A585)</f>
        <v>ITD-SHRXXX-XX584</v>
      </c>
      <c r="C585" s="45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46" t="str" cm="1">
        <f t="array" ref="D585">IFERROR(_xlfn.LET(
_xlpm.CSVVal,_xlfn.XLOOKUP($A585,CSV!$A:$A,CSV!C:C,""),
_xlpm.MacVal,_xlfn.XLOOKUP($A585,Output_Mac!$A:$A,Output_Mac!D:D,""),
_xlpm.MyAuditVal,_xlfn.XLOOKUP($A585,My_Audit!$A:$A,My_Audit!C:C,""),
_xlfn.IFS(_xlpm.MyAuditVal&lt;&gt;"",UPPER(_xlpm.MyAuditVal),_xlpm.MacVal&lt;&gt;"",_xlpm.MacVal,_xlpm.CSVVal&lt;&gt;"",_xlpm.CSVVal
)),"")</f>
        <v/>
      </c>
      <c r="E585" s="46" t="str" cm="1">
        <f t="array" ref="E585">IFERROR(_xlfn.LET(
_xlpm.CSVVal,_xlfn.XLOOKUP($A585,CSV!$A:$A,CSV!E:E,""),
_xlpm.MacVal,_xlfn.XLOOKUP($A585,Output_Mac!$A:$A,Output_Mac!C:C,""),
_xlpm.MyAuditVal,_xlfn.XLOOKUP($A585,My_Audit!$A:$A,My_Audit!D:D,""),
_xlfn.IFS(_xlpm.MyAuditVal&lt;&gt;"",_xlpm.MyAuditVal,_xlpm.MacVal&lt;&gt;"",_xlpm.MacVal,_xlpm.CSVVal&lt;&gt;"",_xlpm.CSVVal
)),"")</f>
        <v/>
      </c>
      <c r="F585" s="45" t="str" cm="1">
        <f t="array" ref="F585">IFERROR(_xlfn.LET(
_xlpm.CSVVal,_xlfn.XLOOKUP($A585,CSV!$A:$A,CSV!F:F,""),
_xlpm.MacVal,_xlfn.XLOOKUP($A585,Output_Mac!$A:$A,Output_Mac!F:F,""),
_xlpm.MyAuditVal,_xlfn.XLOOKUP($A585,My_Audit!$A:$A,My_Audit!E:E,""),
_xlfn.IFS(_xlpm.MyAuditVal&lt;&gt;"",_xlpm.MyAuditVal,_xlpm.MacVal&lt;&gt;"",_xlpm.MacVal,_xlpm.CSVVal&lt;&gt;"",PROPER(_xlpm.CSVVal)
)),"")</f>
        <v/>
      </c>
      <c r="G585" s="45" t="str" cm="1">
        <f t="array" ref="G585">IFERROR(_xlfn.LET(
_xlpm.CSVVal,_xlfn.XLOOKUP($A585,CSV!$A:$A,CSV!G:G,""),
_xlpm.MacVal,_xlfn.XLOOKUP($A585,Output_Mac!$A:$A,Output_Mac!H:H,""),
_xlpm.MyAuditVal,_xlfn.XLOOKUP($A585,My_Audit!$A:$A,My_Audit!F:F,""),
_xlfn.IFS(_xlpm.MyAuditVal&lt;&gt;"",_xlpm.MyAuditVal,_xlpm.MacVal&lt;&gt;"",_xlpm.MacVal,_xlpm.CSVVal&lt;&gt;"",_xlpm.CSVVal
)),"")</f>
        <v/>
      </c>
      <c r="H585" s="45" t="str">
        <f>_xlfn.XLOOKUP(A585,Output_Mac!A:A,Output_Mac!I:I,"")</f>
        <v/>
      </c>
      <c r="I585" s="45" t="str" cm="1">
        <f t="array" ref="I585">IFERROR(_xlfn.LET(
_xlpm.CSVVal,_xlfn.XLOOKUP($A585,CSV!$A:$A,CSV!H:H,""),
_xlpm.MacVal,_xlfn.XLOOKUP($A585,Output_Mac!$A:$A,Output_Mac!J:J,""),
_xlpm.MyAuditVal,_xlfn.XLOOKUP($A585,My_Audit!$A:$A,My_Audit!H:H,""),
_xlfn.IFS(_xlpm.MyAuditVal&lt;&gt;"",UPPER(_xlpm.MyAuditVal),_xlpm.MacVal&lt;&gt;"",_xlpm.MacVal,_xlpm.CSVVal&lt;&gt;"",_xlpm.CSVVal
)),"")</f>
        <v/>
      </c>
      <c r="J585" s="45" t="str" cm="1">
        <f t="array" ref="J585">IFERROR(_xlfn.LET(
_xlpm.CSVVal,_xlfn.XLOOKUP($A585,CSV!$A:$A,CSV!J:J,""),
_xlpm.MacVal,_xlfn.XLOOKUP($A585,Output_Mac!$A:$A,Output_Mac!K:K,""),
_xlpm.MyAuditVal,_xlfn.XLOOKUP($A585,My_Audit!$A:$A,My_Audit!I:I,""),
_xlfn.IFS(_xlpm.MyAuditVal&lt;&gt;"",UPPER(_xlpm.MyAuditVal),_xlpm.MacVal&lt;&gt;"",_xlpm.MacVal,_xlpm.CSVVal&lt;&gt;"",_xlpm.CSVVal
)),"")</f>
        <v/>
      </c>
      <c r="K585" s="45" t="str" cm="1">
        <f t="array" ref="K585">IFERROR(_xlfn.LET(
_xlpm.CSVVal,_xlfn.XLOOKUP($A585,CSV!$A:$A,CSV!N:N,""),
_xlpm.MacVal,_xlfn.XLOOKUP($A585,Output_Mac!$A:$A,Output_Mac!L:L,""),
_xlpm.MyAuditVal,_xlfn.XLOOKUP($A585,My_Audit!$A:$A,My_Audit!J:J,""),
_xlfn.IFS(_xlpm.MyAuditVal&lt;&gt;"",UPPER(_xlpm.MyAuditVal),_xlpm.MacVal&lt;&gt;"",_xlpm.MacVal,_xlpm.CSVVal&lt;&gt;"",_xlpm.CSVVal
)),"")</f>
        <v/>
      </c>
      <c r="L585" s="45" t="str" cm="1">
        <f t="array" ref="L585">IFERROR(_xlfn.LET(
_xlpm.CSVVal,_xlfn.XLOOKUP($A585,CSV!$A:$A,CSV!P:P,""),
_xlpm.MacVal,_xlfn.XLOOKUP($A585,Output_Mac!$A:$A,Output_Mac!M:M,""),
_xlpm.MyAuditVal,_xlfn.XLOOKUP($A585,My_Audit!$A:$A,My_Audit!K:K,""),
_xlfn.IFS(_xlpm.MyAuditVal&lt;&gt;"",UPPER(_xlpm.MyAuditVal),_xlpm.MacVal&lt;&gt;"",_xlpm.MacVal,_xlpm.CSVVal&lt;&gt;"",_xlpm.CSVVal
)),"")</f>
        <v/>
      </c>
      <c r="M585" s="45" t="str">
        <f>_xlfn.LET(
    _xlpm.CSVVal, _xlfn.XLOOKUP($A585, CSV!$A:$A, CSV!AE:AE, ""),
    _xlpm.MacVal, _xlfn.XLOOKUP($A585, Output_Mac!$A:$A, Output_Mac!S:S, ""),
    _xlpm.MyAuditVal, _xlfn.XLOOKUP($A585, My_Audit!$A:$A, My_Audit!N:N, ""),
    _xlfn.TEXTJOIN(", ", TRUE, _xlpm.MyAuditVal, _xlpm.MacVal, _xlpm.CSVVal)
)</f>
        <v/>
      </c>
      <c r="N585" s="45" t="str" cm="1">
        <f t="array" ref="N585">IFERROR(_xlfn.LET(
_xlpm.CSVVal,_xlfn.XLOOKUP($A585,CSV!$A:$A,CSV!AG:AG,""),
_xlpm.MacVal,_xlfn.XLOOKUP($A585,Output_Mac!$A:$A,Output_Mac!U:U,""),
_xlpm.MyAuditVal,_xlfn.XLOOKUP($A585,My_Audit!$A:$A,My_Audit!O:O,""),
_xlfn.IFS(_xlpm.MyAuditVal&lt;&gt;"",UPPER(_xlpm.MyAuditVal),_xlpm.MacVal&lt;&gt;"",_xlpm.MacVal,_xlpm.CSVVal&lt;&gt;"",_xlpm.CSVVal
)),"")</f>
        <v/>
      </c>
      <c r="O585" s="45"/>
      <c r="P585" s="45"/>
      <c r="Q585" s="46" t="str">
        <f>IF(LEFT(N585,4)="Pass","Nist SP 800-88",My_Audit!R585)&amp;""</f>
        <v/>
      </c>
      <c r="R585" s="45"/>
      <c r="S585" s="45"/>
      <c r="T585" s="46" t="str">
        <f>_xlfn.XLOOKUP(E585,Models!I:I,Models!J:J,"")</f>
        <v/>
      </c>
      <c r="U585" s="45"/>
      <c r="V585" s="45"/>
      <c r="W585" s="38"/>
    </row>
    <row r="586" spans="1:23">
      <c r="A586" s="45" t="str">
        <f>_xlfn.TEXTJOIN("",TRUE,Input!$B$2,ROW(My_Audit!A585))</f>
        <v>XX585</v>
      </c>
      <c r="B586" s="45" t="str">
        <f>_xlfn.TEXTJOIN("-",TRUE,"ITD",Input!$A$2,A586)</f>
        <v>ITD-SHRXXX-XX585</v>
      </c>
      <c r="C586" s="45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46" t="str" cm="1">
        <f t="array" ref="D586">IFERROR(_xlfn.LET(
_xlpm.CSVVal,_xlfn.XLOOKUP($A586,CSV!$A:$A,CSV!C:C,""),
_xlpm.MacVal,_xlfn.XLOOKUP($A586,Output_Mac!$A:$A,Output_Mac!D:D,""),
_xlpm.MyAuditVal,_xlfn.XLOOKUP($A586,My_Audit!$A:$A,My_Audit!C:C,""),
_xlfn.IFS(_xlpm.MyAuditVal&lt;&gt;"",UPPER(_xlpm.MyAuditVal),_xlpm.MacVal&lt;&gt;"",_xlpm.MacVal,_xlpm.CSVVal&lt;&gt;"",_xlpm.CSVVal
)),"")</f>
        <v/>
      </c>
      <c r="E586" s="46" t="str" cm="1">
        <f t="array" ref="E586">IFERROR(_xlfn.LET(
_xlpm.CSVVal,_xlfn.XLOOKUP($A586,CSV!$A:$A,CSV!E:E,""),
_xlpm.MacVal,_xlfn.XLOOKUP($A586,Output_Mac!$A:$A,Output_Mac!C:C,""),
_xlpm.MyAuditVal,_xlfn.XLOOKUP($A586,My_Audit!$A:$A,My_Audit!D:D,""),
_xlfn.IFS(_xlpm.MyAuditVal&lt;&gt;"",_xlpm.MyAuditVal,_xlpm.MacVal&lt;&gt;"",_xlpm.MacVal,_xlpm.CSVVal&lt;&gt;"",_xlpm.CSVVal
)),"")</f>
        <v/>
      </c>
      <c r="F586" s="45" t="str" cm="1">
        <f t="array" ref="F586">IFERROR(_xlfn.LET(
_xlpm.CSVVal,_xlfn.XLOOKUP($A586,CSV!$A:$A,CSV!F:F,""),
_xlpm.MacVal,_xlfn.XLOOKUP($A586,Output_Mac!$A:$A,Output_Mac!F:F,""),
_xlpm.MyAuditVal,_xlfn.XLOOKUP($A586,My_Audit!$A:$A,My_Audit!E:E,""),
_xlfn.IFS(_xlpm.MyAuditVal&lt;&gt;"",_xlpm.MyAuditVal,_xlpm.MacVal&lt;&gt;"",_xlpm.MacVal,_xlpm.CSVVal&lt;&gt;"",PROPER(_xlpm.CSVVal)
)),"")</f>
        <v/>
      </c>
      <c r="G586" s="45" t="str" cm="1">
        <f t="array" ref="G586">IFERROR(_xlfn.LET(
_xlpm.CSVVal,_xlfn.XLOOKUP($A586,CSV!$A:$A,CSV!G:G,""),
_xlpm.MacVal,_xlfn.XLOOKUP($A586,Output_Mac!$A:$A,Output_Mac!H:H,""),
_xlpm.MyAuditVal,_xlfn.XLOOKUP($A586,My_Audit!$A:$A,My_Audit!F:F,""),
_xlfn.IFS(_xlpm.MyAuditVal&lt;&gt;"",_xlpm.MyAuditVal,_xlpm.MacVal&lt;&gt;"",_xlpm.MacVal,_xlpm.CSVVal&lt;&gt;"",_xlpm.CSVVal
)),"")</f>
        <v/>
      </c>
      <c r="H586" s="45" t="str">
        <f>_xlfn.XLOOKUP(A586,Output_Mac!A:A,Output_Mac!I:I,"")</f>
        <v/>
      </c>
      <c r="I586" s="45" t="str" cm="1">
        <f t="array" ref="I586">IFERROR(_xlfn.LET(
_xlpm.CSVVal,_xlfn.XLOOKUP($A586,CSV!$A:$A,CSV!H:H,""),
_xlpm.MacVal,_xlfn.XLOOKUP($A586,Output_Mac!$A:$A,Output_Mac!J:J,""),
_xlpm.MyAuditVal,_xlfn.XLOOKUP($A586,My_Audit!$A:$A,My_Audit!H:H,""),
_xlfn.IFS(_xlpm.MyAuditVal&lt;&gt;"",UPPER(_xlpm.MyAuditVal),_xlpm.MacVal&lt;&gt;"",_xlpm.MacVal,_xlpm.CSVVal&lt;&gt;"",_xlpm.CSVVal
)),"")</f>
        <v/>
      </c>
      <c r="J586" s="45" t="str" cm="1">
        <f t="array" ref="J586">IFERROR(_xlfn.LET(
_xlpm.CSVVal,_xlfn.XLOOKUP($A586,CSV!$A:$A,CSV!J:J,""),
_xlpm.MacVal,_xlfn.XLOOKUP($A586,Output_Mac!$A:$A,Output_Mac!K:K,""),
_xlpm.MyAuditVal,_xlfn.XLOOKUP($A586,My_Audit!$A:$A,My_Audit!I:I,""),
_xlfn.IFS(_xlpm.MyAuditVal&lt;&gt;"",UPPER(_xlpm.MyAuditVal),_xlpm.MacVal&lt;&gt;"",_xlpm.MacVal,_xlpm.CSVVal&lt;&gt;"",_xlpm.CSVVal
)),"")</f>
        <v/>
      </c>
      <c r="K586" s="45" t="str" cm="1">
        <f t="array" ref="K586">IFERROR(_xlfn.LET(
_xlpm.CSVVal,_xlfn.XLOOKUP($A586,CSV!$A:$A,CSV!N:N,""),
_xlpm.MacVal,_xlfn.XLOOKUP($A586,Output_Mac!$A:$A,Output_Mac!L:L,""),
_xlpm.MyAuditVal,_xlfn.XLOOKUP($A586,My_Audit!$A:$A,My_Audit!J:J,""),
_xlfn.IFS(_xlpm.MyAuditVal&lt;&gt;"",UPPER(_xlpm.MyAuditVal),_xlpm.MacVal&lt;&gt;"",_xlpm.MacVal,_xlpm.CSVVal&lt;&gt;"",_xlpm.CSVVal
)),"")</f>
        <v/>
      </c>
      <c r="L586" s="45" t="str" cm="1">
        <f t="array" ref="L586">IFERROR(_xlfn.LET(
_xlpm.CSVVal,_xlfn.XLOOKUP($A586,CSV!$A:$A,CSV!P:P,""),
_xlpm.MacVal,_xlfn.XLOOKUP($A586,Output_Mac!$A:$A,Output_Mac!M:M,""),
_xlpm.MyAuditVal,_xlfn.XLOOKUP($A586,My_Audit!$A:$A,My_Audit!K:K,""),
_xlfn.IFS(_xlpm.MyAuditVal&lt;&gt;"",UPPER(_xlpm.MyAuditVal),_xlpm.MacVal&lt;&gt;"",_xlpm.MacVal,_xlpm.CSVVal&lt;&gt;"",_xlpm.CSVVal
)),"")</f>
        <v/>
      </c>
      <c r="M586" s="45" t="str">
        <f>_xlfn.LET(
    _xlpm.CSVVal, _xlfn.XLOOKUP($A586, CSV!$A:$A, CSV!AE:AE, ""),
    _xlpm.MacVal, _xlfn.XLOOKUP($A586, Output_Mac!$A:$A, Output_Mac!S:S, ""),
    _xlpm.MyAuditVal, _xlfn.XLOOKUP($A586, My_Audit!$A:$A, My_Audit!N:N, ""),
    _xlfn.TEXTJOIN(", ", TRUE, _xlpm.MyAuditVal, _xlpm.MacVal, _xlpm.CSVVal)
)</f>
        <v/>
      </c>
      <c r="N586" s="45" t="str" cm="1">
        <f t="array" ref="N586">IFERROR(_xlfn.LET(
_xlpm.CSVVal,_xlfn.XLOOKUP($A586,CSV!$A:$A,CSV!AG:AG,""),
_xlpm.MacVal,_xlfn.XLOOKUP($A586,Output_Mac!$A:$A,Output_Mac!U:U,""),
_xlpm.MyAuditVal,_xlfn.XLOOKUP($A586,My_Audit!$A:$A,My_Audit!O:O,""),
_xlfn.IFS(_xlpm.MyAuditVal&lt;&gt;"",UPPER(_xlpm.MyAuditVal),_xlpm.MacVal&lt;&gt;"",_xlpm.MacVal,_xlpm.CSVVal&lt;&gt;"",_xlpm.CSVVal
)),"")</f>
        <v/>
      </c>
      <c r="O586" s="45"/>
      <c r="P586" s="45"/>
      <c r="Q586" s="46" t="str">
        <f>IF(LEFT(N586,4)="Pass","Nist SP 800-88",My_Audit!R586)&amp;""</f>
        <v/>
      </c>
      <c r="R586" s="45"/>
      <c r="S586" s="45"/>
      <c r="T586" s="46" t="str">
        <f>_xlfn.XLOOKUP(E586,Models!I:I,Models!J:J,"")</f>
        <v/>
      </c>
      <c r="U586" s="45"/>
      <c r="V586" s="45"/>
      <c r="W586" s="38"/>
    </row>
    <row r="587" spans="1:23">
      <c r="A587" s="45" t="str">
        <f>_xlfn.TEXTJOIN("",TRUE,Input!$B$2,ROW(My_Audit!A586))</f>
        <v>XX586</v>
      </c>
      <c r="B587" s="45" t="str">
        <f>_xlfn.TEXTJOIN("-",TRUE,"ITD",Input!$A$2,A587)</f>
        <v>ITD-SHRXXX-XX586</v>
      </c>
      <c r="C587" s="45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46" t="str" cm="1">
        <f t="array" ref="D587">IFERROR(_xlfn.LET(
_xlpm.CSVVal,_xlfn.XLOOKUP($A587,CSV!$A:$A,CSV!C:C,""),
_xlpm.MacVal,_xlfn.XLOOKUP($A587,Output_Mac!$A:$A,Output_Mac!D:D,""),
_xlpm.MyAuditVal,_xlfn.XLOOKUP($A587,My_Audit!$A:$A,My_Audit!C:C,""),
_xlfn.IFS(_xlpm.MyAuditVal&lt;&gt;"",UPPER(_xlpm.MyAuditVal),_xlpm.MacVal&lt;&gt;"",_xlpm.MacVal,_xlpm.CSVVal&lt;&gt;"",_xlpm.CSVVal
)),"")</f>
        <v/>
      </c>
      <c r="E587" s="46" t="str" cm="1">
        <f t="array" ref="E587">IFERROR(_xlfn.LET(
_xlpm.CSVVal,_xlfn.XLOOKUP($A587,CSV!$A:$A,CSV!E:E,""),
_xlpm.MacVal,_xlfn.XLOOKUP($A587,Output_Mac!$A:$A,Output_Mac!C:C,""),
_xlpm.MyAuditVal,_xlfn.XLOOKUP($A587,My_Audit!$A:$A,My_Audit!D:D,""),
_xlfn.IFS(_xlpm.MyAuditVal&lt;&gt;"",_xlpm.MyAuditVal,_xlpm.MacVal&lt;&gt;"",_xlpm.MacVal,_xlpm.CSVVal&lt;&gt;"",_xlpm.CSVVal
)),"")</f>
        <v/>
      </c>
      <c r="F587" s="45" t="str" cm="1">
        <f t="array" ref="F587">IFERROR(_xlfn.LET(
_xlpm.CSVVal,_xlfn.XLOOKUP($A587,CSV!$A:$A,CSV!F:F,""),
_xlpm.MacVal,_xlfn.XLOOKUP($A587,Output_Mac!$A:$A,Output_Mac!F:F,""),
_xlpm.MyAuditVal,_xlfn.XLOOKUP($A587,My_Audit!$A:$A,My_Audit!E:E,""),
_xlfn.IFS(_xlpm.MyAuditVal&lt;&gt;"",_xlpm.MyAuditVal,_xlpm.MacVal&lt;&gt;"",_xlpm.MacVal,_xlpm.CSVVal&lt;&gt;"",PROPER(_xlpm.CSVVal)
)),"")</f>
        <v/>
      </c>
      <c r="G587" s="45" t="str" cm="1">
        <f t="array" ref="G587">IFERROR(_xlfn.LET(
_xlpm.CSVVal,_xlfn.XLOOKUP($A587,CSV!$A:$A,CSV!G:G,""),
_xlpm.MacVal,_xlfn.XLOOKUP($A587,Output_Mac!$A:$A,Output_Mac!H:H,""),
_xlpm.MyAuditVal,_xlfn.XLOOKUP($A587,My_Audit!$A:$A,My_Audit!F:F,""),
_xlfn.IFS(_xlpm.MyAuditVal&lt;&gt;"",_xlpm.MyAuditVal,_xlpm.MacVal&lt;&gt;"",_xlpm.MacVal,_xlpm.CSVVal&lt;&gt;"",_xlpm.CSVVal
)),"")</f>
        <v/>
      </c>
      <c r="H587" s="45" t="str">
        <f>_xlfn.XLOOKUP(A587,Output_Mac!A:A,Output_Mac!I:I,"")</f>
        <v/>
      </c>
      <c r="I587" s="45" t="str" cm="1">
        <f t="array" ref="I587">IFERROR(_xlfn.LET(
_xlpm.CSVVal,_xlfn.XLOOKUP($A587,CSV!$A:$A,CSV!H:H,""),
_xlpm.MacVal,_xlfn.XLOOKUP($A587,Output_Mac!$A:$A,Output_Mac!J:J,""),
_xlpm.MyAuditVal,_xlfn.XLOOKUP($A587,My_Audit!$A:$A,My_Audit!H:H,""),
_xlfn.IFS(_xlpm.MyAuditVal&lt;&gt;"",UPPER(_xlpm.MyAuditVal),_xlpm.MacVal&lt;&gt;"",_xlpm.MacVal,_xlpm.CSVVal&lt;&gt;"",_xlpm.CSVVal
)),"")</f>
        <v/>
      </c>
      <c r="J587" s="45" t="str" cm="1">
        <f t="array" ref="J587">IFERROR(_xlfn.LET(
_xlpm.CSVVal,_xlfn.XLOOKUP($A587,CSV!$A:$A,CSV!J:J,""),
_xlpm.MacVal,_xlfn.XLOOKUP($A587,Output_Mac!$A:$A,Output_Mac!K:K,""),
_xlpm.MyAuditVal,_xlfn.XLOOKUP($A587,My_Audit!$A:$A,My_Audit!I:I,""),
_xlfn.IFS(_xlpm.MyAuditVal&lt;&gt;"",UPPER(_xlpm.MyAuditVal),_xlpm.MacVal&lt;&gt;"",_xlpm.MacVal,_xlpm.CSVVal&lt;&gt;"",_xlpm.CSVVal
)),"")</f>
        <v/>
      </c>
      <c r="K587" s="45" t="str" cm="1">
        <f t="array" ref="K587">IFERROR(_xlfn.LET(
_xlpm.CSVVal,_xlfn.XLOOKUP($A587,CSV!$A:$A,CSV!N:N,""),
_xlpm.MacVal,_xlfn.XLOOKUP($A587,Output_Mac!$A:$A,Output_Mac!L:L,""),
_xlpm.MyAuditVal,_xlfn.XLOOKUP($A587,My_Audit!$A:$A,My_Audit!J:J,""),
_xlfn.IFS(_xlpm.MyAuditVal&lt;&gt;"",UPPER(_xlpm.MyAuditVal),_xlpm.MacVal&lt;&gt;"",_xlpm.MacVal,_xlpm.CSVVal&lt;&gt;"",_xlpm.CSVVal
)),"")</f>
        <v/>
      </c>
      <c r="L587" s="45" t="str" cm="1">
        <f t="array" ref="L587">IFERROR(_xlfn.LET(
_xlpm.CSVVal,_xlfn.XLOOKUP($A587,CSV!$A:$A,CSV!P:P,""),
_xlpm.MacVal,_xlfn.XLOOKUP($A587,Output_Mac!$A:$A,Output_Mac!M:M,""),
_xlpm.MyAuditVal,_xlfn.XLOOKUP($A587,My_Audit!$A:$A,My_Audit!K:K,""),
_xlfn.IFS(_xlpm.MyAuditVal&lt;&gt;"",UPPER(_xlpm.MyAuditVal),_xlpm.MacVal&lt;&gt;"",_xlpm.MacVal,_xlpm.CSVVal&lt;&gt;"",_xlpm.CSVVal
)),"")</f>
        <v/>
      </c>
      <c r="M587" s="45" t="str">
        <f>_xlfn.LET(
    _xlpm.CSVVal, _xlfn.XLOOKUP($A587, CSV!$A:$A, CSV!AE:AE, ""),
    _xlpm.MacVal, _xlfn.XLOOKUP($A587, Output_Mac!$A:$A, Output_Mac!S:S, ""),
    _xlpm.MyAuditVal, _xlfn.XLOOKUP($A587, My_Audit!$A:$A, My_Audit!N:N, ""),
    _xlfn.TEXTJOIN(", ", TRUE, _xlpm.MyAuditVal, _xlpm.MacVal, _xlpm.CSVVal)
)</f>
        <v/>
      </c>
      <c r="N587" s="45" t="str" cm="1">
        <f t="array" ref="N587">IFERROR(_xlfn.LET(
_xlpm.CSVVal,_xlfn.XLOOKUP($A587,CSV!$A:$A,CSV!AG:AG,""),
_xlpm.MacVal,_xlfn.XLOOKUP($A587,Output_Mac!$A:$A,Output_Mac!U:U,""),
_xlpm.MyAuditVal,_xlfn.XLOOKUP($A587,My_Audit!$A:$A,My_Audit!O:O,""),
_xlfn.IFS(_xlpm.MyAuditVal&lt;&gt;"",UPPER(_xlpm.MyAuditVal),_xlpm.MacVal&lt;&gt;"",_xlpm.MacVal,_xlpm.CSVVal&lt;&gt;"",_xlpm.CSVVal
)),"")</f>
        <v/>
      </c>
      <c r="O587" s="45"/>
      <c r="P587" s="45"/>
      <c r="Q587" s="46" t="str">
        <f>IF(LEFT(N587,4)="Pass","Nist SP 800-88",My_Audit!R587)&amp;""</f>
        <v/>
      </c>
      <c r="R587" s="45"/>
      <c r="S587" s="45"/>
      <c r="T587" s="46" t="str">
        <f>_xlfn.XLOOKUP(E587,Models!I:I,Models!J:J,"")</f>
        <v/>
      </c>
      <c r="U587" s="45"/>
      <c r="V587" s="45"/>
      <c r="W587" s="38"/>
    </row>
    <row r="588" spans="1:23">
      <c r="A588" s="45" t="str">
        <f>_xlfn.TEXTJOIN("",TRUE,Input!$B$2,ROW(My_Audit!A587))</f>
        <v>XX587</v>
      </c>
      <c r="B588" s="45" t="str">
        <f>_xlfn.TEXTJOIN("-",TRUE,"ITD",Input!$A$2,A588)</f>
        <v>ITD-SHRXXX-XX587</v>
      </c>
      <c r="C588" s="45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46" t="str" cm="1">
        <f t="array" ref="D588">IFERROR(_xlfn.LET(
_xlpm.CSVVal,_xlfn.XLOOKUP($A588,CSV!$A:$A,CSV!C:C,""),
_xlpm.MacVal,_xlfn.XLOOKUP($A588,Output_Mac!$A:$A,Output_Mac!D:D,""),
_xlpm.MyAuditVal,_xlfn.XLOOKUP($A588,My_Audit!$A:$A,My_Audit!C:C,""),
_xlfn.IFS(_xlpm.MyAuditVal&lt;&gt;"",UPPER(_xlpm.MyAuditVal),_xlpm.MacVal&lt;&gt;"",_xlpm.MacVal,_xlpm.CSVVal&lt;&gt;"",_xlpm.CSVVal
)),"")</f>
        <v/>
      </c>
      <c r="E588" s="46" t="str" cm="1">
        <f t="array" ref="E588">IFERROR(_xlfn.LET(
_xlpm.CSVVal,_xlfn.XLOOKUP($A588,CSV!$A:$A,CSV!E:E,""),
_xlpm.MacVal,_xlfn.XLOOKUP($A588,Output_Mac!$A:$A,Output_Mac!C:C,""),
_xlpm.MyAuditVal,_xlfn.XLOOKUP($A588,My_Audit!$A:$A,My_Audit!D:D,""),
_xlfn.IFS(_xlpm.MyAuditVal&lt;&gt;"",_xlpm.MyAuditVal,_xlpm.MacVal&lt;&gt;"",_xlpm.MacVal,_xlpm.CSVVal&lt;&gt;"",_xlpm.CSVVal
)),"")</f>
        <v/>
      </c>
      <c r="F588" s="45" t="str" cm="1">
        <f t="array" ref="F588">IFERROR(_xlfn.LET(
_xlpm.CSVVal,_xlfn.XLOOKUP($A588,CSV!$A:$A,CSV!F:F,""),
_xlpm.MacVal,_xlfn.XLOOKUP($A588,Output_Mac!$A:$A,Output_Mac!F:F,""),
_xlpm.MyAuditVal,_xlfn.XLOOKUP($A588,My_Audit!$A:$A,My_Audit!E:E,""),
_xlfn.IFS(_xlpm.MyAuditVal&lt;&gt;"",_xlpm.MyAuditVal,_xlpm.MacVal&lt;&gt;"",_xlpm.MacVal,_xlpm.CSVVal&lt;&gt;"",PROPER(_xlpm.CSVVal)
)),"")</f>
        <v/>
      </c>
      <c r="G588" s="45" t="str" cm="1">
        <f t="array" ref="G588">IFERROR(_xlfn.LET(
_xlpm.CSVVal,_xlfn.XLOOKUP($A588,CSV!$A:$A,CSV!G:G,""),
_xlpm.MacVal,_xlfn.XLOOKUP($A588,Output_Mac!$A:$A,Output_Mac!H:H,""),
_xlpm.MyAuditVal,_xlfn.XLOOKUP($A588,My_Audit!$A:$A,My_Audit!F:F,""),
_xlfn.IFS(_xlpm.MyAuditVal&lt;&gt;"",_xlpm.MyAuditVal,_xlpm.MacVal&lt;&gt;"",_xlpm.MacVal,_xlpm.CSVVal&lt;&gt;"",_xlpm.CSVVal
)),"")</f>
        <v/>
      </c>
      <c r="H588" s="45" t="str">
        <f>_xlfn.XLOOKUP(A588,Output_Mac!A:A,Output_Mac!I:I,"")</f>
        <v/>
      </c>
      <c r="I588" s="45" t="str" cm="1">
        <f t="array" ref="I588">IFERROR(_xlfn.LET(
_xlpm.CSVVal,_xlfn.XLOOKUP($A588,CSV!$A:$A,CSV!H:H,""),
_xlpm.MacVal,_xlfn.XLOOKUP($A588,Output_Mac!$A:$A,Output_Mac!J:J,""),
_xlpm.MyAuditVal,_xlfn.XLOOKUP($A588,My_Audit!$A:$A,My_Audit!H:H,""),
_xlfn.IFS(_xlpm.MyAuditVal&lt;&gt;"",UPPER(_xlpm.MyAuditVal),_xlpm.MacVal&lt;&gt;"",_xlpm.MacVal,_xlpm.CSVVal&lt;&gt;"",_xlpm.CSVVal
)),"")</f>
        <v/>
      </c>
      <c r="J588" s="45" t="str" cm="1">
        <f t="array" ref="J588">IFERROR(_xlfn.LET(
_xlpm.CSVVal,_xlfn.XLOOKUP($A588,CSV!$A:$A,CSV!J:J,""),
_xlpm.MacVal,_xlfn.XLOOKUP($A588,Output_Mac!$A:$A,Output_Mac!K:K,""),
_xlpm.MyAuditVal,_xlfn.XLOOKUP($A588,My_Audit!$A:$A,My_Audit!I:I,""),
_xlfn.IFS(_xlpm.MyAuditVal&lt;&gt;"",UPPER(_xlpm.MyAuditVal),_xlpm.MacVal&lt;&gt;"",_xlpm.MacVal,_xlpm.CSVVal&lt;&gt;"",_xlpm.CSVVal
)),"")</f>
        <v/>
      </c>
      <c r="K588" s="45" t="str" cm="1">
        <f t="array" ref="K588">IFERROR(_xlfn.LET(
_xlpm.CSVVal,_xlfn.XLOOKUP($A588,CSV!$A:$A,CSV!N:N,""),
_xlpm.MacVal,_xlfn.XLOOKUP($A588,Output_Mac!$A:$A,Output_Mac!L:L,""),
_xlpm.MyAuditVal,_xlfn.XLOOKUP($A588,My_Audit!$A:$A,My_Audit!J:J,""),
_xlfn.IFS(_xlpm.MyAuditVal&lt;&gt;"",UPPER(_xlpm.MyAuditVal),_xlpm.MacVal&lt;&gt;"",_xlpm.MacVal,_xlpm.CSVVal&lt;&gt;"",_xlpm.CSVVal
)),"")</f>
        <v/>
      </c>
      <c r="L588" s="45" t="str" cm="1">
        <f t="array" ref="L588">IFERROR(_xlfn.LET(
_xlpm.CSVVal,_xlfn.XLOOKUP($A588,CSV!$A:$A,CSV!P:P,""),
_xlpm.MacVal,_xlfn.XLOOKUP($A588,Output_Mac!$A:$A,Output_Mac!M:M,""),
_xlpm.MyAuditVal,_xlfn.XLOOKUP($A588,My_Audit!$A:$A,My_Audit!K:K,""),
_xlfn.IFS(_xlpm.MyAuditVal&lt;&gt;"",UPPER(_xlpm.MyAuditVal),_xlpm.MacVal&lt;&gt;"",_xlpm.MacVal,_xlpm.CSVVal&lt;&gt;"",_xlpm.CSVVal
)),"")</f>
        <v/>
      </c>
      <c r="M588" s="45" t="str">
        <f>_xlfn.LET(
    _xlpm.CSVVal, _xlfn.XLOOKUP($A588, CSV!$A:$A, CSV!AE:AE, ""),
    _xlpm.MacVal, _xlfn.XLOOKUP($A588, Output_Mac!$A:$A, Output_Mac!S:S, ""),
    _xlpm.MyAuditVal, _xlfn.XLOOKUP($A588, My_Audit!$A:$A, My_Audit!N:N, ""),
    _xlfn.TEXTJOIN(", ", TRUE, _xlpm.MyAuditVal, _xlpm.MacVal, _xlpm.CSVVal)
)</f>
        <v/>
      </c>
      <c r="N588" s="45" t="str" cm="1">
        <f t="array" ref="N588">IFERROR(_xlfn.LET(
_xlpm.CSVVal,_xlfn.XLOOKUP($A588,CSV!$A:$A,CSV!AG:AG,""),
_xlpm.MacVal,_xlfn.XLOOKUP($A588,Output_Mac!$A:$A,Output_Mac!U:U,""),
_xlpm.MyAuditVal,_xlfn.XLOOKUP($A588,My_Audit!$A:$A,My_Audit!O:O,""),
_xlfn.IFS(_xlpm.MyAuditVal&lt;&gt;"",UPPER(_xlpm.MyAuditVal),_xlpm.MacVal&lt;&gt;"",_xlpm.MacVal,_xlpm.CSVVal&lt;&gt;"",_xlpm.CSVVal
)),"")</f>
        <v/>
      </c>
      <c r="O588" s="45"/>
      <c r="P588" s="45"/>
      <c r="Q588" s="46" t="str">
        <f>IF(LEFT(N588,4)="Pass","Nist SP 800-88",My_Audit!R588)&amp;""</f>
        <v/>
      </c>
      <c r="R588" s="45"/>
      <c r="S588" s="45"/>
      <c r="T588" s="46" t="str">
        <f>_xlfn.XLOOKUP(E588,Models!I:I,Models!J:J,"")</f>
        <v/>
      </c>
      <c r="U588" s="45"/>
      <c r="V588" s="45"/>
      <c r="W588" s="38"/>
    </row>
    <row r="589" spans="1:23">
      <c r="A589" s="45" t="str">
        <f>_xlfn.TEXTJOIN("",TRUE,Input!$B$2,ROW(My_Audit!A588))</f>
        <v>XX588</v>
      </c>
      <c r="B589" s="45" t="str">
        <f>_xlfn.TEXTJOIN("-",TRUE,"ITD",Input!$A$2,A589)</f>
        <v>ITD-SHRXXX-XX588</v>
      </c>
      <c r="C589" s="45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46" t="str" cm="1">
        <f t="array" ref="D589">IFERROR(_xlfn.LET(
_xlpm.CSVVal,_xlfn.XLOOKUP($A589,CSV!$A:$A,CSV!C:C,""),
_xlpm.MacVal,_xlfn.XLOOKUP($A589,Output_Mac!$A:$A,Output_Mac!D:D,""),
_xlpm.MyAuditVal,_xlfn.XLOOKUP($A589,My_Audit!$A:$A,My_Audit!C:C,""),
_xlfn.IFS(_xlpm.MyAuditVal&lt;&gt;"",UPPER(_xlpm.MyAuditVal),_xlpm.MacVal&lt;&gt;"",_xlpm.MacVal,_xlpm.CSVVal&lt;&gt;"",_xlpm.CSVVal
)),"")</f>
        <v/>
      </c>
      <c r="E589" s="46" t="str" cm="1">
        <f t="array" ref="E589">IFERROR(_xlfn.LET(
_xlpm.CSVVal,_xlfn.XLOOKUP($A589,CSV!$A:$A,CSV!E:E,""),
_xlpm.MacVal,_xlfn.XLOOKUP($A589,Output_Mac!$A:$A,Output_Mac!C:C,""),
_xlpm.MyAuditVal,_xlfn.XLOOKUP($A589,My_Audit!$A:$A,My_Audit!D:D,""),
_xlfn.IFS(_xlpm.MyAuditVal&lt;&gt;"",_xlpm.MyAuditVal,_xlpm.MacVal&lt;&gt;"",_xlpm.MacVal,_xlpm.CSVVal&lt;&gt;"",_xlpm.CSVVal
)),"")</f>
        <v/>
      </c>
      <c r="F589" s="45" t="str" cm="1">
        <f t="array" ref="F589">IFERROR(_xlfn.LET(
_xlpm.CSVVal,_xlfn.XLOOKUP($A589,CSV!$A:$A,CSV!F:F,""),
_xlpm.MacVal,_xlfn.XLOOKUP($A589,Output_Mac!$A:$A,Output_Mac!F:F,""),
_xlpm.MyAuditVal,_xlfn.XLOOKUP($A589,My_Audit!$A:$A,My_Audit!E:E,""),
_xlfn.IFS(_xlpm.MyAuditVal&lt;&gt;"",_xlpm.MyAuditVal,_xlpm.MacVal&lt;&gt;"",_xlpm.MacVal,_xlpm.CSVVal&lt;&gt;"",PROPER(_xlpm.CSVVal)
)),"")</f>
        <v/>
      </c>
      <c r="G589" s="45" t="str" cm="1">
        <f t="array" ref="G589">IFERROR(_xlfn.LET(
_xlpm.CSVVal,_xlfn.XLOOKUP($A589,CSV!$A:$A,CSV!G:G,""),
_xlpm.MacVal,_xlfn.XLOOKUP($A589,Output_Mac!$A:$A,Output_Mac!H:H,""),
_xlpm.MyAuditVal,_xlfn.XLOOKUP($A589,My_Audit!$A:$A,My_Audit!F:F,""),
_xlfn.IFS(_xlpm.MyAuditVal&lt;&gt;"",_xlpm.MyAuditVal,_xlpm.MacVal&lt;&gt;"",_xlpm.MacVal,_xlpm.CSVVal&lt;&gt;"",_xlpm.CSVVal
)),"")</f>
        <v/>
      </c>
      <c r="H589" s="45" t="str">
        <f>_xlfn.XLOOKUP(A589,Output_Mac!A:A,Output_Mac!I:I,"")</f>
        <v/>
      </c>
      <c r="I589" s="45" t="str" cm="1">
        <f t="array" ref="I589">IFERROR(_xlfn.LET(
_xlpm.CSVVal,_xlfn.XLOOKUP($A589,CSV!$A:$A,CSV!H:H,""),
_xlpm.MacVal,_xlfn.XLOOKUP($A589,Output_Mac!$A:$A,Output_Mac!J:J,""),
_xlpm.MyAuditVal,_xlfn.XLOOKUP($A589,My_Audit!$A:$A,My_Audit!H:H,""),
_xlfn.IFS(_xlpm.MyAuditVal&lt;&gt;"",UPPER(_xlpm.MyAuditVal),_xlpm.MacVal&lt;&gt;"",_xlpm.MacVal,_xlpm.CSVVal&lt;&gt;"",_xlpm.CSVVal
)),"")</f>
        <v/>
      </c>
      <c r="J589" s="45" t="str" cm="1">
        <f t="array" ref="J589">IFERROR(_xlfn.LET(
_xlpm.CSVVal,_xlfn.XLOOKUP($A589,CSV!$A:$A,CSV!J:J,""),
_xlpm.MacVal,_xlfn.XLOOKUP($A589,Output_Mac!$A:$A,Output_Mac!K:K,""),
_xlpm.MyAuditVal,_xlfn.XLOOKUP($A589,My_Audit!$A:$A,My_Audit!I:I,""),
_xlfn.IFS(_xlpm.MyAuditVal&lt;&gt;"",UPPER(_xlpm.MyAuditVal),_xlpm.MacVal&lt;&gt;"",_xlpm.MacVal,_xlpm.CSVVal&lt;&gt;"",_xlpm.CSVVal
)),"")</f>
        <v/>
      </c>
      <c r="K589" s="45" t="str" cm="1">
        <f t="array" ref="K589">IFERROR(_xlfn.LET(
_xlpm.CSVVal,_xlfn.XLOOKUP($A589,CSV!$A:$A,CSV!N:N,""),
_xlpm.MacVal,_xlfn.XLOOKUP($A589,Output_Mac!$A:$A,Output_Mac!L:L,""),
_xlpm.MyAuditVal,_xlfn.XLOOKUP($A589,My_Audit!$A:$A,My_Audit!J:J,""),
_xlfn.IFS(_xlpm.MyAuditVal&lt;&gt;"",UPPER(_xlpm.MyAuditVal),_xlpm.MacVal&lt;&gt;"",_xlpm.MacVal,_xlpm.CSVVal&lt;&gt;"",_xlpm.CSVVal
)),"")</f>
        <v/>
      </c>
      <c r="L589" s="45" t="str" cm="1">
        <f t="array" ref="L589">IFERROR(_xlfn.LET(
_xlpm.CSVVal,_xlfn.XLOOKUP($A589,CSV!$A:$A,CSV!P:P,""),
_xlpm.MacVal,_xlfn.XLOOKUP($A589,Output_Mac!$A:$A,Output_Mac!M:M,""),
_xlpm.MyAuditVal,_xlfn.XLOOKUP($A589,My_Audit!$A:$A,My_Audit!K:K,""),
_xlfn.IFS(_xlpm.MyAuditVal&lt;&gt;"",UPPER(_xlpm.MyAuditVal),_xlpm.MacVal&lt;&gt;"",_xlpm.MacVal,_xlpm.CSVVal&lt;&gt;"",_xlpm.CSVVal
)),"")</f>
        <v/>
      </c>
      <c r="M589" s="45" t="str">
        <f>_xlfn.LET(
    _xlpm.CSVVal, _xlfn.XLOOKUP($A589, CSV!$A:$A, CSV!AE:AE, ""),
    _xlpm.MacVal, _xlfn.XLOOKUP($A589, Output_Mac!$A:$A, Output_Mac!S:S, ""),
    _xlpm.MyAuditVal, _xlfn.XLOOKUP($A589, My_Audit!$A:$A, My_Audit!N:N, ""),
    _xlfn.TEXTJOIN(", ", TRUE, _xlpm.MyAuditVal, _xlpm.MacVal, _xlpm.CSVVal)
)</f>
        <v/>
      </c>
      <c r="N589" s="45" t="str" cm="1">
        <f t="array" ref="N589">IFERROR(_xlfn.LET(
_xlpm.CSVVal,_xlfn.XLOOKUP($A589,CSV!$A:$A,CSV!AG:AG,""),
_xlpm.MacVal,_xlfn.XLOOKUP($A589,Output_Mac!$A:$A,Output_Mac!U:U,""),
_xlpm.MyAuditVal,_xlfn.XLOOKUP($A589,My_Audit!$A:$A,My_Audit!O:O,""),
_xlfn.IFS(_xlpm.MyAuditVal&lt;&gt;"",UPPER(_xlpm.MyAuditVal),_xlpm.MacVal&lt;&gt;"",_xlpm.MacVal,_xlpm.CSVVal&lt;&gt;"",_xlpm.CSVVal
)),"")</f>
        <v/>
      </c>
      <c r="O589" s="45"/>
      <c r="P589" s="45"/>
      <c r="Q589" s="46" t="str">
        <f>IF(LEFT(N589,4)="Pass","Nist SP 800-88",My_Audit!R589)&amp;""</f>
        <v/>
      </c>
      <c r="R589" s="45"/>
      <c r="S589" s="45"/>
      <c r="T589" s="46" t="str">
        <f>_xlfn.XLOOKUP(E589,Models!I:I,Models!J:J,"")</f>
        <v/>
      </c>
      <c r="U589" s="45"/>
      <c r="V589" s="45"/>
      <c r="W589" s="38"/>
    </row>
    <row r="590" spans="1:23">
      <c r="A590" s="45" t="str">
        <f>_xlfn.TEXTJOIN("",TRUE,Input!$B$2,ROW(My_Audit!A589))</f>
        <v>XX589</v>
      </c>
      <c r="B590" s="45" t="str">
        <f>_xlfn.TEXTJOIN("-",TRUE,"ITD",Input!$A$2,A590)</f>
        <v>ITD-SHRXXX-XX589</v>
      </c>
      <c r="C590" s="45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46" t="str" cm="1">
        <f t="array" ref="D590">IFERROR(_xlfn.LET(
_xlpm.CSVVal,_xlfn.XLOOKUP($A590,CSV!$A:$A,CSV!C:C,""),
_xlpm.MacVal,_xlfn.XLOOKUP($A590,Output_Mac!$A:$A,Output_Mac!D:D,""),
_xlpm.MyAuditVal,_xlfn.XLOOKUP($A590,My_Audit!$A:$A,My_Audit!C:C,""),
_xlfn.IFS(_xlpm.MyAuditVal&lt;&gt;"",UPPER(_xlpm.MyAuditVal),_xlpm.MacVal&lt;&gt;"",_xlpm.MacVal,_xlpm.CSVVal&lt;&gt;"",_xlpm.CSVVal
)),"")</f>
        <v/>
      </c>
      <c r="E590" s="46" t="str" cm="1">
        <f t="array" ref="E590">IFERROR(_xlfn.LET(
_xlpm.CSVVal,_xlfn.XLOOKUP($A590,CSV!$A:$A,CSV!E:E,""),
_xlpm.MacVal,_xlfn.XLOOKUP($A590,Output_Mac!$A:$A,Output_Mac!C:C,""),
_xlpm.MyAuditVal,_xlfn.XLOOKUP($A590,My_Audit!$A:$A,My_Audit!D:D,""),
_xlfn.IFS(_xlpm.MyAuditVal&lt;&gt;"",_xlpm.MyAuditVal,_xlpm.MacVal&lt;&gt;"",_xlpm.MacVal,_xlpm.CSVVal&lt;&gt;"",_xlpm.CSVVal
)),"")</f>
        <v/>
      </c>
      <c r="F590" s="45" t="str" cm="1">
        <f t="array" ref="F590">IFERROR(_xlfn.LET(
_xlpm.CSVVal,_xlfn.XLOOKUP($A590,CSV!$A:$A,CSV!F:F,""),
_xlpm.MacVal,_xlfn.XLOOKUP($A590,Output_Mac!$A:$A,Output_Mac!F:F,""),
_xlpm.MyAuditVal,_xlfn.XLOOKUP($A590,My_Audit!$A:$A,My_Audit!E:E,""),
_xlfn.IFS(_xlpm.MyAuditVal&lt;&gt;"",_xlpm.MyAuditVal,_xlpm.MacVal&lt;&gt;"",_xlpm.MacVal,_xlpm.CSVVal&lt;&gt;"",PROPER(_xlpm.CSVVal)
)),"")</f>
        <v/>
      </c>
      <c r="G590" s="45" t="str" cm="1">
        <f t="array" ref="G590">IFERROR(_xlfn.LET(
_xlpm.CSVVal,_xlfn.XLOOKUP($A590,CSV!$A:$A,CSV!G:G,""),
_xlpm.MacVal,_xlfn.XLOOKUP($A590,Output_Mac!$A:$A,Output_Mac!H:H,""),
_xlpm.MyAuditVal,_xlfn.XLOOKUP($A590,My_Audit!$A:$A,My_Audit!F:F,""),
_xlfn.IFS(_xlpm.MyAuditVal&lt;&gt;"",_xlpm.MyAuditVal,_xlpm.MacVal&lt;&gt;"",_xlpm.MacVal,_xlpm.CSVVal&lt;&gt;"",_xlpm.CSVVal
)),"")</f>
        <v/>
      </c>
      <c r="H590" s="45" t="str">
        <f>_xlfn.XLOOKUP(A590,Output_Mac!A:A,Output_Mac!I:I,"")</f>
        <v/>
      </c>
      <c r="I590" s="45" t="str" cm="1">
        <f t="array" ref="I590">IFERROR(_xlfn.LET(
_xlpm.CSVVal,_xlfn.XLOOKUP($A590,CSV!$A:$A,CSV!H:H,""),
_xlpm.MacVal,_xlfn.XLOOKUP($A590,Output_Mac!$A:$A,Output_Mac!J:J,""),
_xlpm.MyAuditVal,_xlfn.XLOOKUP($A590,My_Audit!$A:$A,My_Audit!H:H,""),
_xlfn.IFS(_xlpm.MyAuditVal&lt;&gt;"",UPPER(_xlpm.MyAuditVal),_xlpm.MacVal&lt;&gt;"",_xlpm.MacVal,_xlpm.CSVVal&lt;&gt;"",_xlpm.CSVVal
)),"")</f>
        <v/>
      </c>
      <c r="J590" s="45" t="str" cm="1">
        <f t="array" ref="J590">IFERROR(_xlfn.LET(
_xlpm.CSVVal,_xlfn.XLOOKUP($A590,CSV!$A:$A,CSV!J:J,""),
_xlpm.MacVal,_xlfn.XLOOKUP($A590,Output_Mac!$A:$A,Output_Mac!K:K,""),
_xlpm.MyAuditVal,_xlfn.XLOOKUP($A590,My_Audit!$A:$A,My_Audit!I:I,""),
_xlfn.IFS(_xlpm.MyAuditVal&lt;&gt;"",UPPER(_xlpm.MyAuditVal),_xlpm.MacVal&lt;&gt;"",_xlpm.MacVal,_xlpm.CSVVal&lt;&gt;"",_xlpm.CSVVal
)),"")</f>
        <v/>
      </c>
      <c r="K590" s="45" t="str" cm="1">
        <f t="array" ref="K590">IFERROR(_xlfn.LET(
_xlpm.CSVVal,_xlfn.XLOOKUP($A590,CSV!$A:$A,CSV!N:N,""),
_xlpm.MacVal,_xlfn.XLOOKUP($A590,Output_Mac!$A:$A,Output_Mac!L:L,""),
_xlpm.MyAuditVal,_xlfn.XLOOKUP($A590,My_Audit!$A:$A,My_Audit!J:J,""),
_xlfn.IFS(_xlpm.MyAuditVal&lt;&gt;"",UPPER(_xlpm.MyAuditVal),_xlpm.MacVal&lt;&gt;"",_xlpm.MacVal,_xlpm.CSVVal&lt;&gt;"",_xlpm.CSVVal
)),"")</f>
        <v/>
      </c>
      <c r="L590" s="45" t="str" cm="1">
        <f t="array" ref="L590">IFERROR(_xlfn.LET(
_xlpm.CSVVal,_xlfn.XLOOKUP($A590,CSV!$A:$A,CSV!P:P,""),
_xlpm.MacVal,_xlfn.XLOOKUP($A590,Output_Mac!$A:$A,Output_Mac!M:M,""),
_xlpm.MyAuditVal,_xlfn.XLOOKUP($A590,My_Audit!$A:$A,My_Audit!K:K,""),
_xlfn.IFS(_xlpm.MyAuditVal&lt;&gt;"",UPPER(_xlpm.MyAuditVal),_xlpm.MacVal&lt;&gt;"",_xlpm.MacVal,_xlpm.CSVVal&lt;&gt;"",_xlpm.CSVVal
)),"")</f>
        <v/>
      </c>
      <c r="M590" s="45" t="str">
        <f>_xlfn.LET(
    _xlpm.CSVVal, _xlfn.XLOOKUP($A590, CSV!$A:$A, CSV!AE:AE, ""),
    _xlpm.MacVal, _xlfn.XLOOKUP($A590, Output_Mac!$A:$A, Output_Mac!S:S, ""),
    _xlpm.MyAuditVal, _xlfn.XLOOKUP($A590, My_Audit!$A:$A, My_Audit!N:N, ""),
    _xlfn.TEXTJOIN(", ", TRUE, _xlpm.MyAuditVal, _xlpm.MacVal, _xlpm.CSVVal)
)</f>
        <v/>
      </c>
      <c r="N590" s="45" t="str" cm="1">
        <f t="array" ref="N590">IFERROR(_xlfn.LET(
_xlpm.CSVVal,_xlfn.XLOOKUP($A590,CSV!$A:$A,CSV!AG:AG,""),
_xlpm.MacVal,_xlfn.XLOOKUP($A590,Output_Mac!$A:$A,Output_Mac!U:U,""),
_xlpm.MyAuditVal,_xlfn.XLOOKUP($A590,My_Audit!$A:$A,My_Audit!O:O,""),
_xlfn.IFS(_xlpm.MyAuditVal&lt;&gt;"",UPPER(_xlpm.MyAuditVal),_xlpm.MacVal&lt;&gt;"",_xlpm.MacVal,_xlpm.CSVVal&lt;&gt;"",_xlpm.CSVVal
)),"")</f>
        <v/>
      </c>
      <c r="O590" s="45"/>
      <c r="P590" s="45"/>
      <c r="Q590" s="46" t="str">
        <f>IF(LEFT(N590,4)="Pass","Nist SP 800-88",My_Audit!R590)&amp;""</f>
        <v/>
      </c>
      <c r="R590" s="45"/>
      <c r="S590" s="45"/>
      <c r="T590" s="46" t="str">
        <f>_xlfn.XLOOKUP(E590,Models!I:I,Models!J:J,"")</f>
        <v/>
      </c>
      <c r="U590" s="45"/>
      <c r="V590" s="45"/>
      <c r="W590" s="38"/>
    </row>
    <row r="591" spans="1:23">
      <c r="A591" s="45" t="str">
        <f>_xlfn.TEXTJOIN("",TRUE,Input!$B$2,ROW(My_Audit!A590))</f>
        <v>XX590</v>
      </c>
      <c r="B591" s="45" t="str">
        <f>_xlfn.TEXTJOIN("-",TRUE,"ITD",Input!$A$2,A591)</f>
        <v>ITD-SHRXXX-XX590</v>
      </c>
      <c r="C591" s="45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46" t="str" cm="1">
        <f t="array" ref="D591">IFERROR(_xlfn.LET(
_xlpm.CSVVal,_xlfn.XLOOKUP($A591,CSV!$A:$A,CSV!C:C,""),
_xlpm.MacVal,_xlfn.XLOOKUP($A591,Output_Mac!$A:$A,Output_Mac!D:D,""),
_xlpm.MyAuditVal,_xlfn.XLOOKUP($A591,My_Audit!$A:$A,My_Audit!C:C,""),
_xlfn.IFS(_xlpm.MyAuditVal&lt;&gt;"",UPPER(_xlpm.MyAuditVal),_xlpm.MacVal&lt;&gt;"",_xlpm.MacVal,_xlpm.CSVVal&lt;&gt;"",_xlpm.CSVVal
)),"")</f>
        <v/>
      </c>
      <c r="E591" s="46" t="str" cm="1">
        <f t="array" ref="E591">IFERROR(_xlfn.LET(
_xlpm.CSVVal,_xlfn.XLOOKUP($A591,CSV!$A:$A,CSV!E:E,""),
_xlpm.MacVal,_xlfn.XLOOKUP($A591,Output_Mac!$A:$A,Output_Mac!C:C,""),
_xlpm.MyAuditVal,_xlfn.XLOOKUP($A591,My_Audit!$A:$A,My_Audit!D:D,""),
_xlfn.IFS(_xlpm.MyAuditVal&lt;&gt;"",_xlpm.MyAuditVal,_xlpm.MacVal&lt;&gt;"",_xlpm.MacVal,_xlpm.CSVVal&lt;&gt;"",_xlpm.CSVVal
)),"")</f>
        <v/>
      </c>
      <c r="F591" s="45" t="str" cm="1">
        <f t="array" ref="F591">IFERROR(_xlfn.LET(
_xlpm.CSVVal,_xlfn.XLOOKUP($A591,CSV!$A:$A,CSV!F:F,""),
_xlpm.MacVal,_xlfn.XLOOKUP($A591,Output_Mac!$A:$A,Output_Mac!F:F,""),
_xlpm.MyAuditVal,_xlfn.XLOOKUP($A591,My_Audit!$A:$A,My_Audit!E:E,""),
_xlfn.IFS(_xlpm.MyAuditVal&lt;&gt;"",_xlpm.MyAuditVal,_xlpm.MacVal&lt;&gt;"",_xlpm.MacVal,_xlpm.CSVVal&lt;&gt;"",PROPER(_xlpm.CSVVal)
)),"")</f>
        <v/>
      </c>
      <c r="G591" s="45" t="str" cm="1">
        <f t="array" ref="G591">IFERROR(_xlfn.LET(
_xlpm.CSVVal,_xlfn.XLOOKUP($A591,CSV!$A:$A,CSV!G:G,""),
_xlpm.MacVal,_xlfn.XLOOKUP($A591,Output_Mac!$A:$A,Output_Mac!H:H,""),
_xlpm.MyAuditVal,_xlfn.XLOOKUP($A591,My_Audit!$A:$A,My_Audit!F:F,""),
_xlfn.IFS(_xlpm.MyAuditVal&lt;&gt;"",_xlpm.MyAuditVal,_xlpm.MacVal&lt;&gt;"",_xlpm.MacVal,_xlpm.CSVVal&lt;&gt;"",_xlpm.CSVVal
)),"")</f>
        <v/>
      </c>
      <c r="H591" s="45" t="str">
        <f>_xlfn.XLOOKUP(A591,Output_Mac!A:A,Output_Mac!I:I,"")</f>
        <v/>
      </c>
      <c r="I591" s="45" t="str" cm="1">
        <f t="array" ref="I591">IFERROR(_xlfn.LET(
_xlpm.CSVVal,_xlfn.XLOOKUP($A591,CSV!$A:$A,CSV!H:H,""),
_xlpm.MacVal,_xlfn.XLOOKUP($A591,Output_Mac!$A:$A,Output_Mac!J:J,""),
_xlpm.MyAuditVal,_xlfn.XLOOKUP($A591,My_Audit!$A:$A,My_Audit!H:H,""),
_xlfn.IFS(_xlpm.MyAuditVal&lt;&gt;"",UPPER(_xlpm.MyAuditVal),_xlpm.MacVal&lt;&gt;"",_xlpm.MacVal,_xlpm.CSVVal&lt;&gt;"",_xlpm.CSVVal
)),"")</f>
        <v/>
      </c>
      <c r="J591" s="45" t="str" cm="1">
        <f t="array" ref="J591">IFERROR(_xlfn.LET(
_xlpm.CSVVal,_xlfn.XLOOKUP($A591,CSV!$A:$A,CSV!J:J,""),
_xlpm.MacVal,_xlfn.XLOOKUP($A591,Output_Mac!$A:$A,Output_Mac!K:K,""),
_xlpm.MyAuditVal,_xlfn.XLOOKUP($A591,My_Audit!$A:$A,My_Audit!I:I,""),
_xlfn.IFS(_xlpm.MyAuditVal&lt;&gt;"",UPPER(_xlpm.MyAuditVal),_xlpm.MacVal&lt;&gt;"",_xlpm.MacVal,_xlpm.CSVVal&lt;&gt;"",_xlpm.CSVVal
)),"")</f>
        <v/>
      </c>
      <c r="K591" s="45" t="str" cm="1">
        <f t="array" ref="K591">IFERROR(_xlfn.LET(
_xlpm.CSVVal,_xlfn.XLOOKUP($A591,CSV!$A:$A,CSV!N:N,""),
_xlpm.MacVal,_xlfn.XLOOKUP($A591,Output_Mac!$A:$A,Output_Mac!L:L,""),
_xlpm.MyAuditVal,_xlfn.XLOOKUP($A591,My_Audit!$A:$A,My_Audit!J:J,""),
_xlfn.IFS(_xlpm.MyAuditVal&lt;&gt;"",UPPER(_xlpm.MyAuditVal),_xlpm.MacVal&lt;&gt;"",_xlpm.MacVal,_xlpm.CSVVal&lt;&gt;"",_xlpm.CSVVal
)),"")</f>
        <v/>
      </c>
      <c r="L591" s="45" t="str" cm="1">
        <f t="array" ref="L591">IFERROR(_xlfn.LET(
_xlpm.CSVVal,_xlfn.XLOOKUP($A591,CSV!$A:$A,CSV!P:P,""),
_xlpm.MacVal,_xlfn.XLOOKUP($A591,Output_Mac!$A:$A,Output_Mac!M:M,""),
_xlpm.MyAuditVal,_xlfn.XLOOKUP($A591,My_Audit!$A:$A,My_Audit!K:K,""),
_xlfn.IFS(_xlpm.MyAuditVal&lt;&gt;"",UPPER(_xlpm.MyAuditVal),_xlpm.MacVal&lt;&gt;"",_xlpm.MacVal,_xlpm.CSVVal&lt;&gt;"",_xlpm.CSVVal
)),"")</f>
        <v/>
      </c>
      <c r="M591" s="45" t="str">
        <f>_xlfn.LET(
    _xlpm.CSVVal, _xlfn.XLOOKUP($A591, CSV!$A:$A, CSV!AE:AE, ""),
    _xlpm.MacVal, _xlfn.XLOOKUP($A591, Output_Mac!$A:$A, Output_Mac!S:S, ""),
    _xlpm.MyAuditVal, _xlfn.XLOOKUP($A591, My_Audit!$A:$A, My_Audit!N:N, ""),
    _xlfn.TEXTJOIN(", ", TRUE, _xlpm.MyAuditVal, _xlpm.MacVal, _xlpm.CSVVal)
)</f>
        <v/>
      </c>
      <c r="N591" s="45" t="str" cm="1">
        <f t="array" ref="N591">IFERROR(_xlfn.LET(
_xlpm.CSVVal,_xlfn.XLOOKUP($A591,CSV!$A:$A,CSV!AG:AG,""),
_xlpm.MacVal,_xlfn.XLOOKUP($A591,Output_Mac!$A:$A,Output_Mac!U:U,""),
_xlpm.MyAuditVal,_xlfn.XLOOKUP($A591,My_Audit!$A:$A,My_Audit!O:O,""),
_xlfn.IFS(_xlpm.MyAuditVal&lt;&gt;"",UPPER(_xlpm.MyAuditVal),_xlpm.MacVal&lt;&gt;"",_xlpm.MacVal,_xlpm.CSVVal&lt;&gt;"",_xlpm.CSVVal
)),"")</f>
        <v/>
      </c>
      <c r="O591" s="45"/>
      <c r="P591" s="45"/>
      <c r="Q591" s="46" t="str">
        <f>IF(LEFT(N591,4)="Pass","Nist SP 800-88",My_Audit!R591)&amp;""</f>
        <v/>
      </c>
      <c r="R591" s="45"/>
      <c r="S591" s="45"/>
      <c r="T591" s="46" t="str">
        <f>_xlfn.XLOOKUP(E591,Models!I:I,Models!J:J,"")</f>
        <v/>
      </c>
      <c r="U591" s="45"/>
      <c r="V591" s="45"/>
      <c r="W591" s="38"/>
    </row>
    <row r="592" spans="1:23">
      <c r="A592" s="45" t="str">
        <f>_xlfn.TEXTJOIN("",TRUE,Input!$B$2,ROW(My_Audit!A591))</f>
        <v>XX591</v>
      </c>
      <c r="B592" s="45" t="str">
        <f>_xlfn.TEXTJOIN("-",TRUE,"ITD",Input!$A$2,A592)</f>
        <v>ITD-SHRXXX-XX591</v>
      </c>
      <c r="C592" s="45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46" t="str" cm="1">
        <f t="array" ref="D592">IFERROR(_xlfn.LET(
_xlpm.CSVVal,_xlfn.XLOOKUP($A592,CSV!$A:$A,CSV!C:C,""),
_xlpm.MacVal,_xlfn.XLOOKUP($A592,Output_Mac!$A:$A,Output_Mac!D:D,""),
_xlpm.MyAuditVal,_xlfn.XLOOKUP($A592,My_Audit!$A:$A,My_Audit!C:C,""),
_xlfn.IFS(_xlpm.MyAuditVal&lt;&gt;"",UPPER(_xlpm.MyAuditVal),_xlpm.MacVal&lt;&gt;"",_xlpm.MacVal,_xlpm.CSVVal&lt;&gt;"",_xlpm.CSVVal
)),"")</f>
        <v/>
      </c>
      <c r="E592" s="46" t="str" cm="1">
        <f t="array" ref="E592">IFERROR(_xlfn.LET(
_xlpm.CSVVal,_xlfn.XLOOKUP($A592,CSV!$A:$A,CSV!E:E,""),
_xlpm.MacVal,_xlfn.XLOOKUP($A592,Output_Mac!$A:$A,Output_Mac!C:C,""),
_xlpm.MyAuditVal,_xlfn.XLOOKUP($A592,My_Audit!$A:$A,My_Audit!D:D,""),
_xlfn.IFS(_xlpm.MyAuditVal&lt;&gt;"",_xlpm.MyAuditVal,_xlpm.MacVal&lt;&gt;"",_xlpm.MacVal,_xlpm.CSVVal&lt;&gt;"",_xlpm.CSVVal
)),"")</f>
        <v/>
      </c>
      <c r="F592" s="45" t="str" cm="1">
        <f t="array" ref="F592">IFERROR(_xlfn.LET(
_xlpm.CSVVal,_xlfn.XLOOKUP($A592,CSV!$A:$A,CSV!F:F,""),
_xlpm.MacVal,_xlfn.XLOOKUP($A592,Output_Mac!$A:$A,Output_Mac!F:F,""),
_xlpm.MyAuditVal,_xlfn.XLOOKUP($A592,My_Audit!$A:$A,My_Audit!E:E,""),
_xlfn.IFS(_xlpm.MyAuditVal&lt;&gt;"",_xlpm.MyAuditVal,_xlpm.MacVal&lt;&gt;"",_xlpm.MacVal,_xlpm.CSVVal&lt;&gt;"",PROPER(_xlpm.CSVVal)
)),"")</f>
        <v/>
      </c>
      <c r="G592" s="45" t="str" cm="1">
        <f t="array" ref="G592">IFERROR(_xlfn.LET(
_xlpm.CSVVal,_xlfn.XLOOKUP($A592,CSV!$A:$A,CSV!G:G,""),
_xlpm.MacVal,_xlfn.XLOOKUP($A592,Output_Mac!$A:$A,Output_Mac!H:H,""),
_xlpm.MyAuditVal,_xlfn.XLOOKUP($A592,My_Audit!$A:$A,My_Audit!F:F,""),
_xlfn.IFS(_xlpm.MyAuditVal&lt;&gt;"",_xlpm.MyAuditVal,_xlpm.MacVal&lt;&gt;"",_xlpm.MacVal,_xlpm.CSVVal&lt;&gt;"",_xlpm.CSVVal
)),"")</f>
        <v/>
      </c>
      <c r="H592" s="45" t="str">
        <f>_xlfn.XLOOKUP(A592,Output_Mac!A:A,Output_Mac!I:I,"")</f>
        <v/>
      </c>
      <c r="I592" s="45" t="str" cm="1">
        <f t="array" ref="I592">IFERROR(_xlfn.LET(
_xlpm.CSVVal,_xlfn.XLOOKUP($A592,CSV!$A:$A,CSV!H:H,""),
_xlpm.MacVal,_xlfn.XLOOKUP($A592,Output_Mac!$A:$A,Output_Mac!J:J,""),
_xlpm.MyAuditVal,_xlfn.XLOOKUP($A592,My_Audit!$A:$A,My_Audit!H:H,""),
_xlfn.IFS(_xlpm.MyAuditVal&lt;&gt;"",UPPER(_xlpm.MyAuditVal),_xlpm.MacVal&lt;&gt;"",_xlpm.MacVal,_xlpm.CSVVal&lt;&gt;"",_xlpm.CSVVal
)),"")</f>
        <v/>
      </c>
      <c r="J592" s="45" t="str" cm="1">
        <f t="array" ref="J592">IFERROR(_xlfn.LET(
_xlpm.CSVVal,_xlfn.XLOOKUP($A592,CSV!$A:$A,CSV!J:J,""),
_xlpm.MacVal,_xlfn.XLOOKUP($A592,Output_Mac!$A:$A,Output_Mac!K:K,""),
_xlpm.MyAuditVal,_xlfn.XLOOKUP($A592,My_Audit!$A:$A,My_Audit!I:I,""),
_xlfn.IFS(_xlpm.MyAuditVal&lt;&gt;"",UPPER(_xlpm.MyAuditVal),_xlpm.MacVal&lt;&gt;"",_xlpm.MacVal,_xlpm.CSVVal&lt;&gt;"",_xlpm.CSVVal
)),"")</f>
        <v/>
      </c>
      <c r="K592" s="45" t="str" cm="1">
        <f t="array" ref="K592">IFERROR(_xlfn.LET(
_xlpm.CSVVal,_xlfn.XLOOKUP($A592,CSV!$A:$A,CSV!N:N,""),
_xlpm.MacVal,_xlfn.XLOOKUP($A592,Output_Mac!$A:$A,Output_Mac!L:L,""),
_xlpm.MyAuditVal,_xlfn.XLOOKUP($A592,My_Audit!$A:$A,My_Audit!J:J,""),
_xlfn.IFS(_xlpm.MyAuditVal&lt;&gt;"",UPPER(_xlpm.MyAuditVal),_xlpm.MacVal&lt;&gt;"",_xlpm.MacVal,_xlpm.CSVVal&lt;&gt;"",_xlpm.CSVVal
)),"")</f>
        <v/>
      </c>
      <c r="L592" s="45" t="str" cm="1">
        <f t="array" ref="L592">IFERROR(_xlfn.LET(
_xlpm.CSVVal,_xlfn.XLOOKUP($A592,CSV!$A:$A,CSV!P:P,""),
_xlpm.MacVal,_xlfn.XLOOKUP($A592,Output_Mac!$A:$A,Output_Mac!M:M,""),
_xlpm.MyAuditVal,_xlfn.XLOOKUP($A592,My_Audit!$A:$A,My_Audit!K:K,""),
_xlfn.IFS(_xlpm.MyAuditVal&lt;&gt;"",UPPER(_xlpm.MyAuditVal),_xlpm.MacVal&lt;&gt;"",_xlpm.MacVal,_xlpm.CSVVal&lt;&gt;"",_xlpm.CSVVal
)),"")</f>
        <v/>
      </c>
      <c r="M592" s="45" t="str">
        <f>_xlfn.LET(
    _xlpm.CSVVal, _xlfn.XLOOKUP($A592, CSV!$A:$A, CSV!AE:AE, ""),
    _xlpm.MacVal, _xlfn.XLOOKUP($A592, Output_Mac!$A:$A, Output_Mac!S:S, ""),
    _xlpm.MyAuditVal, _xlfn.XLOOKUP($A592, My_Audit!$A:$A, My_Audit!N:N, ""),
    _xlfn.TEXTJOIN(", ", TRUE, _xlpm.MyAuditVal, _xlpm.MacVal, _xlpm.CSVVal)
)</f>
        <v/>
      </c>
      <c r="N592" s="45" t="str" cm="1">
        <f t="array" ref="N592">IFERROR(_xlfn.LET(
_xlpm.CSVVal,_xlfn.XLOOKUP($A592,CSV!$A:$A,CSV!AG:AG,""),
_xlpm.MacVal,_xlfn.XLOOKUP($A592,Output_Mac!$A:$A,Output_Mac!U:U,""),
_xlpm.MyAuditVal,_xlfn.XLOOKUP($A592,My_Audit!$A:$A,My_Audit!O:O,""),
_xlfn.IFS(_xlpm.MyAuditVal&lt;&gt;"",UPPER(_xlpm.MyAuditVal),_xlpm.MacVal&lt;&gt;"",_xlpm.MacVal,_xlpm.CSVVal&lt;&gt;"",_xlpm.CSVVal
)),"")</f>
        <v/>
      </c>
      <c r="O592" s="45"/>
      <c r="P592" s="45"/>
      <c r="Q592" s="46" t="str">
        <f>IF(LEFT(N592,4)="Pass","Nist SP 800-88",My_Audit!R592)&amp;""</f>
        <v/>
      </c>
      <c r="R592" s="45"/>
      <c r="S592" s="45"/>
      <c r="T592" s="46" t="str">
        <f>_xlfn.XLOOKUP(E592,Models!I:I,Models!J:J,"")</f>
        <v/>
      </c>
      <c r="U592" s="45"/>
      <c r="V592" s="45"/>
      <c r="W592" s="38"/>
    </row>
    <row r="593" spans="1:23">
      <c r="A593" s="45" t="str">
        <f>_xlfn.TEXTJOIN("",TRUE,Input!$B$2,ROW(My_Audit!A592))</f>
        <v>XX592</v>
      </c>
      <c r="B593" s="45" t="str">
        <f>_xlfn.TEXTJOIN("-",TRUE,"ITD",Input!$A$2,A593)</f>
        <v>ITD-SHRXXX-XX592</v>
      </c>
      <c r="C593" s="45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46" t="str" cm="1">
        <f t="array" ref="D593">IFERROR(_xlfn.LET(
_xlpm.CSVVal,_xlfn.XLOOKUP($A593,CSV!$A:$A,CSV!C:C,""),
_xlpm.MacVal,_xlfn.XLOOKUP($A593,Output_Mac!$A:$A,Output_Mac!D:D,""),
_xlpm.MyAuditVal,_xlfn.XLOOKUP($A593,My_Audit!$A:$A,My_Audit!C:C,""),
_xlfn.IFS(_xlpm.MyAuditVal&lt;&gt;"",UPPER(_xlpm.MyAuditVal),_xlpm.MacVal&lt;&gt;"",_xlpm.MacVal,_xlpm.CSVVal&lt;&gt;"",_xlpm.CSVVal
)),"")</f>
        <v/>
      </c>
      <c r="E593" s="46" t="str" cm="1">
        <f t="array" ref="E593">IFERROR(_xlfn.LET(
_xlpm.CSVVal,_xlfn.XLOOKUP($A593,CSV!$A:$A,CSV!E:E,""),
_xlpm.MacVal,_xlfn.XLOOKUP($A593,Output_Mac!$A:$A,Output_Mac!C:C,""),
_xlpm.MyAuditVal,_xlfn.XLOOKUP($A593,My_Audit!$A:$A,My_Audit!D:D,""),
_xlfn.IFS(_xlpm.MyAuditVal&lt;&gt;"",_xlpm.MyAuditVal,_xlpm.MacVal&lt;&gt;"",_xlpm.MacVal,_xlpm.CSVVal&lt;&gt;"",_xlpm.CSVVal
)),"")</f>
        <v/>
      </c>
      <c r="F593" s="45" t="str" cm="1">
        <f t="array" ref="F593">IFERROR(_xlfn.LET(
_xlpm.CSVVal,_xlfn.XLOOKUP($A593,CSV!$A:$A,CSV!F:F,""),
_xlpm.MacVal,_xlfn.XLOOKUP($A593,Output_Mac!$A:$A,Output_Mac!F:F,""),
_xlpm.MyAuditVal,_xlfn.XLOOKUP($A593,My_Audit!$A:$A,My_Audit!E:E,""),
_xlfn.IFS(_xlpm.MyAuditVal&lt;&gt;"",_xlpm.MyAuditVal,_xlpm.MacVal&lt;&gt;"",_xlpm.MacVal,_xlpm.CSVVal&lt;&gt;"",PROPER(_xlpm.CSVVal)
)),"")</f>
        <v/>
      </c>
      <c r="G593" s="45" t="str" cm="1">
        <f t="array" ref="G593">IFERROR(_xlfn.LET(
_xlpm.CSVVal,_xlfn.XLOOKUP($A593,CSV!$A:$A,CSV!G:G,""),
_xlpm.MacVal,_xlfn.XLOOKUP($A593,Output_Mac!$A:$A,Output_Mac!H:H,""),
_xlpm.MyAuditVal,_xlfn.XLOOKUP($A593,My_Audit!$A:$A,My_Audit!F:F,""),
_xlfn.IFS(_xlpm.MyAuditVal&lt;&gt;"",_xlpm.MyAuditVal,_xlpm.MacVal&lt;&gt;"",_xlpm.MacVal,_xlpm.CSVVal&lt;&gt;"",_xlpm.CSVVal
)),"")</f>
        <v/>
      </c>
      <c r="H593" s="45" t="str">
        <f>_xlfn.XLOOKUP(A593,Output_Mac!A:A,Output_Mac!I:I,"")</f>
        <v/>
      </c>
      <c r="I593" s="45" t="str" cm="1">
        <f t="array" ref="I593">IFERROR(_xlfn.LET(
_xlpm.CSVVal,_xlfn.XLOOKUP($A593,CSV!$A:$A,CSV!H:H,""),
_xlpm.MacVal,_xlfn.XLOOKUP($A593,Output_Mac!$A:$A,Output_Mac!J:J,""),
_xlpm.MyAuditVal,_xlfn.XLOOKUP($A593,My_Audit!$A:$A,My_Audit!H:H,""),
_xlfn.IFS(_xlpm.MyAuditVal&lt;&gt;"",UPPER(_xlpm.MyAuditVal),_xlpm.MacVal&lt;&gt;"",_xlpm.MacVal,_xlpm.CSVVal&lt;&gt;"",_xlpm.CSVVal
)),"")</f>
        <v/>
      </c>
      <c r="J593" s="45" t="str" cm="1">
        <f t="array" ref="J593">IFERROR(_xlfn.LET(
_xlpm.CSVVal,_xlfn.XLOOKUP($A593,CSV!$A:$A,CSV!J:J,""),
_xlpm.MacVal,_xlfn.XLOOKUP($A593,Output_Mac!$A:$A,Output_Mac!K:K,""),
_xlpm.MyAuditVal,_xlfn.XLOOKUP($A593,My_Audit!$A:$A,My_Audit!I:I,""),
_xlfn.IFS(_xlpm.MyAuditVal&lt;&gt;"",UPPER(_xlpm.MyAuditVal),_xlpm.MacVal&lt;&gt;"",_xlpm.MacVal,_xlpm.CSVVal&lt;&gt;"",_xlpm.CSVVal
)),"")</f>
        <v/>
      </c>
      <c r="K593" s="45" t="str" cm="1">
        <f t="array" ref="K593">IFERROR(_xlfn.LET(
_xlpm.CSVVal,_xlfn.XLOOKUP($A593,CSV!$A:$A,CSV!N:N,""),
_xlpm.MacVal,_xlfn.XLOOKUP($A593,Output_Mac!$A:$A,Output_Mac!L:L,""),
_xlpm.MyAuditVal,_xlfn.XLOOKUP($A593,My_Audit!$A:$A,My_Audit!J:J,""),
_xlfn.IFS(_xlpm.MyAuditVal&lt;&gt;"",UPPER(_xlpm.MyAuditVal),_xlpm.MacVal&lt;&gt;"",_xlpm.MacVal,_xlpm.CSVVal&lt;&gt;"",_xlpm.CSVVal
)),"")</f>
        <v/>
      </c>
      <c r="L593" s="45" t="str" cm="1">
        <f t="array" ref="L593">IFERROR(_xlfn.LET(
_xlpm.CSVVal,_xlfn.XLOOKUP($A593,CSV!$A:$A,CSV!P:P,""),
_xlpm.MacVal,_xlfn.XLOOKUP($A593,Output_Mac!$A:$A,Output_Mac!M:M,""),
_xlpm.MyAuditVal,_xlfn.XLOOKUP($A593,My_Audit!$A:$A,My_Audit!K:K,""),
_xlfn.IFS(_xlpm.MyAuditVal&lt;&gt;"",UPPER(_xlpm.MyAuditVal),_xlpm.MacVal&lt;&gt;"",_xlpm.MacVal,_xlpm.CSVVal&lt;&gt;"",_xlpm.CSVVal
)),"")</f>
        <v/>
      </c>
      <c r="M593" s="45" t="str">
        <f>_xlfn.LET(
    _xlpm.CSVVal, _xlfn.XLOOKUP($A593, CSV!$A:$A, CSV!AE:AE, ""),
    _xlpm.MacVal, _xlfn.XLOOKUP($A593, Output_Mac!$A:$A, Output_Mac!S:S, ""),
    _xlpm.MyAuditVal, _xlfn.XLOOKUP($A593, My_Audit!$A:$A, My_Audit!N:N, ""),
    _xlfn.TEXTJOIN(", ", TRUE, _xlpm.MyAuditVal, _xlpm.MacVal, _xlpm.CSVVal)
)</f>
        <v/>
      </c>
      <c r="N593" s="45" t="str" cm="1">
        <f t="array" ref="N593">IFERROR(_xlfn.LET(
_xlpm.CSVVal,_xlfn.XLOOKUP($A593,CSV!$A:$A,CSV!AG:AG,""),
_xlpm.MacVal,_xlfn.XLOOKUP($A593,Output_Mac!$A:$A,Output_Mac!U:U,""),
_xlpm.MyAuditVal,_xlfn.XLOOKUP($A593,My_Audit!$A:$A,My_Audit!O:O,""),
_xlfn.IFS(_xlpm.MyAuditVal&lt;&gt;"",UPPER(_xlpm.MyAuditVal),_xlpm.MacVal&lt;&gt;"",_xlpm.MacVal,_xlpm.CSVVal&lt;&gt;"",_xlpm.CSVVal
)),"")</f>
        <v/>
      </c>
      <c r="O593" s="45"/>
      <c r="P593" s="45"/>
      <c r="Q593" s="46" t="str">
        <f>IF(LEFT(N593,4)="Pass","Nist SP 800-88",My_Audit!R593)&amp;""</f>
        <v/>
      </c>
      <c r="R593" s="45"/>
      <c r="S593" s="45"/>
      <c r="T593" s="46" t="str">
        <f>_xlfn.XLOOKUP(E593,Models!I:I,Models!J:J,"")</f>
        <v/>
      </c>
      <c r="U593" s="45"/>
      <c r="V593" s="45"/>
      <c r="W593" s="38"/>
    </row>
    <row r="594" spans="1:23">
      <c r="A594" s="45" t="str">
        <f>_xlfn.TEXTJOIN("",TRUE,Input!$B$2,ROW(My_Audit!A593))</f>
        <v>XX593</v>
      </c>
      <c r="B594" s="45" t="str">
        <f>_xlfn.TEXTJOIN("-",TRUE,"ITD",Input!$A$2,A594)</f>
        <v>ITD-SHRXXX-XX593</v>
      </c>
      <c r="C594" s="45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46" t="str" cm="1">
        <f t="array" ref="D594">IFERROR(_xlfn.LET(
_xlpm.CSVVal,_xlfn.XLOOKUP($A594,CSV!$A:$A,CSV!C:C,""),
_xlpm.MacVal,_xlfn.XLOOKUP($A594,Output_Mac!$A:$A,Output_Mac!D:D,""),
_xlpm.MyAuditVal,_xlfn.XLOOKUP($A594,My_Audit!$A:$A,My_Audit!C:C,""),
_xlfn.IFS(_xlpm.MyAuditVal&lt;&gt;"",UPPER(_xlpm.MyAuditVal),_xlpm.MacVal&lt;&gt;"",_xlpm.MacVal,_xlpm.CSVVal&lt;&gt;"",_xlpm.CSVVal
)),"")</f>
        <v/>
      </c>
      <c r="E594" s="46" t="str" cm="1">
        <f t="array" ref="E594">IFERROR(_xlfn.LET(
_xlpm.CSVVal,_xlfn.XLOOKUP($A594,CSV!$A:$A,CSV!E:E,""),
_xlpm.MacVal,_xlfn.XLOOKUP($A594,Output_Mac!$A:$A,Output_Mac!C:C,""),
_xlpm.MyAuditVal,_xlfn.XLOOKUP($A594,My_Audit!$A:$A,My_Audit!D:D,""),
_xlfn.IFS(_xlpm.MyAuditVal&lt;&gt;"",_xlpm.MyAuditVal,_xlpm.MacVal&lt;&gt;"",_xlpm.MacVal,_xlpm.CSVVal&lt;&gt;"",_xlpm.CSVVal
)),"")</f>
        <v/>
      </c>
      <c r="F594" s="45" t="str" cm="1">
        <f t="array" ref="F594">IFERROR(_xlfn.LET(
_xlpm.CSVVal,_xlfn.XLOOKUP($A594,CSV!$A:$A,CSV!F:F,""),
_xlpm.MacVal,_xlfn.XLOOKUP($A594,Output_Mac!$A:$A,Output_Mac!F:F,""),
_xlpm.MyAuditVal,_xlfn.XLOOKUP($A594,My_Audit!$A:$A,My_Audit!E:E,""),
_xlfn.IFS(_xlpm.MyAuditVal&lt;&gt;"",_xlpm.MyAuditVal,_xlpm.MacVal&lt;&gt;"",_xlpm.MacVal,_xlpm.CSVVal&lt;&gt;"",PROPER(_xlpm.CSVVal)
)),"")</f>
        <v/>
      </c>
      <c r="G594" s="45" t="str" cm="1">
        <f t="array" ref="G594">IFERROR(_xlfn.LET(
_xlpm.CSVVal,_xlfn.XLOOKUP($A594,CSV!$A:$A,CSV!G:G,""),
_xlpm.MacVal,_xlfn.XLOOKUP($A594,Output_Mac!$A:$A,Output_Mac!H:H,""),
_xlpm.MyAuditVal,_xlfn.XLOOKUP($A594,My_Audit!$A:$A,My_Audit!F:F,""),
_xlfn.IFS(_xlpm.MyAuditVal&lt;&gt;"",_xlpm.MyAuditVal,_xlpm.MacVal&lt;&gt;"",_xlpm.MacVal,_xlpm.CSVVal&lt;&gt;"",_xlpm.CSVVal
)),"")</f>
        <v/>
      </c>
      <c r="H594" s="45" t="str">
        <f>_xlfn.XLOOKUP(A594,Output_Mac!A:A,Output_Mac!I:I,"")</f>
        <v/>
      </c>
      <c r="I594" s="45" t="str" cm="1">
        <f t="array" ref="I594">IFERROR(_xlfn.LET(
_xlpm.CSVVal,_xlfn.XLOOKUP($A594,CSV!$A:$A,CSV!H:H,""),
_xlpm.MacVal,_xlfn.XLOOKUP($A594,Output_Mac!$A:$A,Output_Mac!J:J,""),
_xlpm.MyAuditVal,_xlfn.XLOOKUP($A594,My_Audit!$A:$A,My_Audit!H:H,""),
_xlfn.IFS(_xlpm.MyAuditVal&lt;&gt;"",UPPER(_xlpm.MyAuditVal),_xlpm.MacVal&lt;&gt;"",_xlpm.MacVal,_xlpm.CSVVal&lt;&gt;"",_xlpm.CSVVal
)),"")</f>
        <v/>
      </c>
      <c r="J594" s="45" t="str" cm="1">
        <f t="array" ref="J594">IFERROR(_xlfn.LET(
_xlpm.CSVVal,_xlfn.XLOOKUP($A594,CSV!$A:$A,CSV!J:J,""),
_xlpm.MacVal,_xlfn.XLOOKUP($A594,Output_Mac!$A:$A,Output_Mac!K:K,""),
_xlpm.MyAuditVal,_xlfn.XLOOKUP($A594,My_Audit!$A:$A,My_Audit!I:I,""),
_xlfn.IFS(_xlpm.MyAuditVal&lt;&gt;"",UPPER(_xlpm.MyAuditVal),_xlpm.MacVal&lt;&gt;"",_xlpm.MacVal,_xlpm.CSVVal&lt;&gt;"",_xlpm.CSVVal
)),"")</f>
        <v/>
      </c>
      <c r="K594" s="45" t="str" cm="1">
        <f t="array" ref="K594">IFERROR(_xlfn.LET(
_xlpm.CSVVal,_xlfn.XLOOKUP($A594,CSV!$A:$A,CSV!N:N,""),
_xlpm.MacVal,_xlfn.XLOOKUP($A594,Output_Mac!$A:$A,Output_Mac!L:L,""),
_xlpm.MyAuditVal,_xlfn.XLOOKUP($A594,My_Audit!$A:$A,My_Audit!J:J,""),
_xlfn.IFS(_xlpm.MyAuditVal&lt;&gt;"",UPPER(_xlpm.MyAuditVal),_xlpm.MacVal&lt;&gt;"",_xlpm.MacVal,_xlpm.CSVVal&lt;&gt;"",_xlpm.CSVVal
)),"")</f>
        <v/>
      </c>
      <c r="L594" s="45" t="str" cm="1">
        <f t="array" ref="L594">IFERROR(_xlfn.LET(
_xlpm.CSVVal,_xlfn.XLOOKUP($A594,CSV!$A:$A,CSV!P:P,""),
_xlpm.MacVal,_xlfn.XLOOKUP($A594,Output_Mac!$A:$A,Output_Mac!M:M,""),
_xlpm.MyAuditVal,_xlfn.XLOOKUP($A594,My_Audit!$A:$A,My_Audit!K:K,""),
_xlfn.IFS(_xlpm.MyAuditVal&lt;&gt;"",UPPER(_xlpm.MyAuditVal),_xlpm.MacVal&lt;&gt;"",_xlpm.MacVal,_xlpm.CSVVal&lt;&gt;"",_xlpm.CSVVal
)),"")</f>
        <v/>
      </c>
      <c r="M594" s="45" t="str">
        <f>_xlfn.LET(
    _xlpm.CSVVal, _xlfn.XLOOKUP($A594, CSV!$A:$A, CSV!AE:AE, ""),
    _xlpm.MacVal, _xlfn.XLOOKUP($A594, Output_Mac!$A:$A, Output_Mac!S:S, ""),
    _xlpm.MyAuditVal, _xlfn.XLOOKUP($A594, My_Audit!$A:$A, My_Audit!N:N, ""),
    _xlfn.TEXTJOIN(", ", TRUE, _xlpm.MyAuditVal, _xlpm.MacVal, _xlpm.CSVVal)
)</f>
        <v/>
      </c>
      <c r="N594" s="45" t="str" cm="1">
        <f t="array" ref="N594">IFERROR(_xlfn.LET(
_xlpm.CSVVal,_xlfn.XLOOKUP($A594,CSV!$A:$A,CSV!AG:AG,""),
_xlpm.MacVal,_xlfn.XLOOKUP($A594,Output_Mac!$A:$A,Output_Mac!U:U,""),
_xlpm.MyAuditVal,_xlfn.XLOOKUP($A594,My_Audit!$A:$A,My_Audit!O:O,""),
_xlfn.IFS(_xlpm.MyAuditVal&lt;&gt;"",UPPER(_xlpm.MyAuditVal),_xlpm.MacVal&lt;&gt;"",_xlpm.MacVal,_xlpm.CSVVal&lt;&gt;"",_xlpm.CSVVal
)),"")</f>
        <v/>
      </c>
      <c r="O594" s="45"/>
      <c r="P594" s="45"/>
      <c r="Q594" s="46" t="str">
        <f>IF(LEFT(N594,4)="Pass","Nist SP 800-88",My_Audit!R594)&amp;""</f>
        <v/>
      </c>
      <c r="R594" s="45"/>
      <c r="S594" s="45"/>
      <c r="T594" s="46" t="str">
        <f>_xlfn.XLOOKUP(E594,Models!I:I,Models!J:J,"")</f>
        <v/>
      </c>
      <c r="U594" s="45"/>
      <c r="V594" s="45"/>
      <c r="W594" s="38"/>
    </row>
    <row r="595" spans="1:23">
      <c r="A595" s="45" t="str">
        <f>_xlfn.TEXTJOIN("",TRUE,Input!$B$2,ROW(My_Audit!A594))</f>
        <v>XX594</v>
      </c>
      <c r="B595" s="45" t="str">
        <f>_xlfn.TEXTJOIN("-",TRUE,"ITD",Input!$A$2,A595)</f>
        <v>ITD-SHRXXX-XX594</v>
      </c>
      <c r="C595" s="45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46" t="str" cm="1">
        <f t="array" ref="D595">IFERROR(_xlfn.LET(
_xlpm.CSVVal,_xlfn.XLOOKUP($A595,CSV!$A:$A,CSV!C:C,""),
_xlpm.MacVal,_xlfn.XLOOKUP($A595,Output_Mac!$A:$A,Output_Mac!D:D,""),
_xlpm.MyAuditVal,_xlfn.XLOOKUP($A595,My_Audit!$A:$A,My_Audit!C:C,""),
_xlfn.IFS(_xlpm.MyAuditVal&lt;&gt;"",UPPER(_xlpm.MyAuditVal),_xlpm.MacVal&lt;&gt;"",_xlpm.MacVal,_xlpm.CSVVal&lt;&gt;"",_xlpm.CSVVal
)),"")</f>
        <v/>
      </c>
      <c r="E595" s="46" t="str" cm="1">
        <f t="array" ref="E595">IFERROR(_xlfn.LET(
_xlpm.CSVVal,_xlfn.XLOOKUP($A595,CSV!$A:$A,CSV!E:E,""),
_xlpm.MacVal,_xlfn.XLOOKUP($A595,Output_Mac!$A:$A,Output_Mac!C:C,""),
_xlpm.MyAuditVal,_xlfn.XLOOKUP($A595,My_Audit!$A:$A,My_Audit!D:D,""),
_xlfn.IFS(_xlpm.MyAuditVal&lt;&gt;"",_xlpm.MyAuditVal,_xlpm.MacVal&lt;&gt;"",_xlpm.MacVal,_xlpm.CSVVal&lt;&gt;"",_xlpm.CSVVal
)),"")</f>
        <v/>
      </c>
      <c r="F595" s="45" t="str" cm="1">
        <f t="array" ref="F595">IFERROR(_xlfn.LET(
_xlpm.CSVVal,_xlfn.XLOOKUP($A595,CSV!$A:$A,CSV!F:F,""),
_xlpm.MacVal,_xlfn.XLOOKUP($A595,Output_Mac!$A:$A,Output_Mac!F:F,""),
_xlpm.MyAuditVal,_xlfn.XLOOKUP($A595,My_Audit!$A:$A,My_Audit!E:E,""),
_xlfn.IFS(_xlpm.MyAuditVal&lt;&gt;"",_xlpm.MyAuditVal,_xlpm.MacVal&lt;&gt;"",_xlpm.MacVal,_xlpm.CSVVal&lt;&gt;"",PROPER(_xlpm.CSVVal)
)),"")</f>
        <v/>
      </c>
      <c r="G595" s="45" t="str" cm="1">
        <f t="array" ref="G595">IFERROR(_xlfn.LET(
_xlpm.CSVVal,_xlfn.XLOOKUP($A595,CSV!$A:$A,CSV!G:G,""),
_xlpm.MacVal,_xlfn.XLOOKUP($A595,Output_Mac!$A:$A,Output_Mac!H:H,""),
_xlpm.MyAuditVal,_xlfn.XLOOKUP($A595,My_Audit!$A:$A,My_Audit!F:F,""),
_xlfn.IFS(_xlpm.MyAuditVal&lt;&gt;"",_xlpm.MyAuditVal,_xlpm.MacVal&lt;&gt;"",_xlpm.MacVal,_xlpm.CSVVal&lt;&gt;"",_xlpm.CSVVal
)),"")</f>
        <v/>
      </c>
      <c r="H595" s="45" t="str">
        <f>_xlfn.XLOOKUP(A595,Output_Mac!A:A,Output_Mac!I:I,"")</f>
        <v/>
      </c>
      <c r="I595" s="45" t="str" cm="1">
        <f t="array" ref="I595">IFERROR(_xlfn.LET(
_xlpm.CSVVal,_xlfn.XLOOKUP($A595,CSV!$A:$A,CSV!H:H,""),
_xlpm.MacVal,_xlfn.XLOOKUP($A595,Output_Mac!$A:$A,Output_Mac!J:J,""),
_xlpm.MyAuditVal,_xlfn.XLOOKUP($A595,My_Audit!$A:$A,My_Audit!H:H,""),
_xlfn.IFS(_xlpm.MyAuditVal&lt;&gt;"",UPPER(_xlpm.MyAuditVal),_xlpm.MacVal&lt;&gt;"",_xlpm.MacVal,_xlpm.CSVVal&lt;&gt;"",_xlpm.CSVVal
)),"")</f>
        <v/>
      </c>
      <c r="J595" s="45" t="str" cm="1">
        <f t="array" ref="J595">IFERROR(_xlfn.LET(
_xlpm.CSVVal,_xlfn.XLOOKUP($A595,CSV!$A:$A,CSV!J:J,""),
_xlpm.MacVal,_xlfn.XLOOKUP($A595,Output_Mac!$A:$A,Output_Mac!K:K,""),
_xlpm.MyAuditVal,_xlfn.XLOOKUP($A595,My_Audit!$A:$A,My_Audit!I:I,""),
_xlfn.IFS(_xlpm.MyAuditVal&lt;&gt;"",UPPER(_xlpm.MyAuditVal),_xlpm.MacVal&lt;&gt;"",_xlpm.MacVal,_xlpm.CSVVal&lt;&gt;"",_xlpm.CSVVal
)),"")</f>
        <v/>
      </c>
      <c r="K595" s="45" t="str" cm="1">
        <f t="array" ref="K595">IFERROR(_xlfn.LET(
_xlpm.CSVVal,_xlfn.XLOOKUP($A595,CSV!$A:$A,CSV!N:N,""),
_xlpm.MacVal,_xlfn.XLOOKUP($A595,Output_Mac!$A:$A,Output_Mac!L:L,""),
_xlpm.MyAuditVal,_xlfn.XLOOKUP($A595,My_Audit!$A:$A,My_Audit!J:J,""),
_xlfn.IFS(_xlpm.MyAuditVal&lt;&gt;"",UPPER(_xlpm.MyAuditVal),_xlpm.MacVal&lt;&gt;"",_xlpm.MacVal,_xlpm.CSVVal&lt;&gt;"",_xlpm.CSVVal
)),"")</f>
        <v/>
      </c>
      <c r="L595" s="45" t="str" cm="1">
        <f t="array" ref="L595">IFERROR(_xlfn.LET(
_xlpm.CSVVal,_xlfn.XLOOKUP($A595,CSV!$A:$A,CSV!P:P,""),
_xlpm.MacVal,_xlfn.XLOOKUP($A595,Output_Mac!$A:$A,Output_Mac!M:M,""),
_xlpm.MyAuditVal,_xlfn.XLOOKUP($A595,My_Audit!$A:$A,My_Audit!K:K,""),
_xlfn.IFS(_xlpm.MyAuditVal&lt;&gt;"",UPPER(_xlpm.MyAuditVal),_xlpm.MacVal&lt;&gt;"",_xlpm.MacVal,_xlpm.CSVVal&lt;&gt;"",_xlpm.CSVVal
)),"")</f>
        <v/>
      </c>
      <c r="M595" s="45" t="str">
        <f>_xlfn.LET(
    _xlpm.CSVVal, _xlfn.XLOOKUP($A595, CSV!$A:$A, CSV!AE:AE, ""),
    _xlpm.MacVal, _xlfn.XLOOKUP($A595, Output_Mac!$A:$A, Output_Mac!S:S, ""),
    _xlpm.MyAuditVal, _xlfn.XLOOKUP($A595, My_Audit!$A:$A, My_Audit!N:N, ""),
    _xlfn.TEXTJOIN(", ", TRUE, _xlpm.MyAuditVal, _xlpm.MacVal, _xlpm.CSVVal)
)</f>
        <v/>
      </c>
      <c r="N595" s="45" t="str" cm="1">
        <f t="array" ref="N595">IFERROR(_xlfn.LET(
_xlpm.CSVVal,_xlfn.XLOOKUP($A595,CSV!$A:$A,CSV!AG:AG,""),
_xlpm.MacVal,_xlfn.XLOOKUP($A595,Output_Mac!$A:$A,Output_Mac!U:U,""),
_xlpm.MyAuditVal,_xlfn.XLOOKUP($A595,My_Audit!$A:$A,My_Audit!O:O,""),
_xlfn.IFS(_xlpm.MyAuditVal&lt;&gt;"",UPPER(_xlpm.MyAuditVal),_xlpm.MacVal&lt;&gt;"",_xlpm.MacVal,_xlpm.CSVVal&lt;&gt;"",_xlpm.CSVVal
)),"")</f>
        <v/>
      </c>
      <c r="O595" s="45"/>
      <c r="P595" s="45"/>
      <c r="Q595" s="46" t="str">
        <f>IF(LEFT(N595,4)="Pass","Nist SP 800-88",My_Audit!R595)&amp;""</f>
        <v/>
      </c>
      <c r="R595" s="45"/>
      <c r="S595" s="45"/>
      <c r="T595" s="46" t="str">
        <f>_xlfn.XLOOKUP(E595,Models!I:I,Models!J:J,"")</f>
        <v/>
      </c>
      <c r="U595" s="45"/>
      <c r="V595" s="45"/>
      <c r="W595" s="38"/>
    </row>
    <row r="596" spans="1:23">
      <c r="A596" s="45" t="str">
        <f>_xlfn.TEXTJOIN("",TRUE,Input!$B$2,ROW(My_Audit!A595))</f>
        <v>XX595</v>
      </c>
      <c r="B596" s="45" t="str">
        <f>_xlfn.TEXTJOIN("-",TRUE,"ITD",Input!$A$2,A596)</f>
        <v>ITD-SHRXXX-XX595</v>
      </c>
      <c r="C596" s="45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46" t="str" cm="1">
        <f t="array" ref="D596">IFERROR(_xlfn.LET(
_xlpm.CSVVal,_xlfn.XLOOKUP($A596,CSV!$A:$A,CSV!C:C,""),
_xlpm.MacVal,_xlfn.XLOOKUP($A596,Output_Mac!$A:$A,Output_Mac!D:D,""),
_xlpm.MyAuditVal,_xlfn.XLOOKUP($A596,My_Audit!$A:$A,My_Audit!C:C,""),
_xlfn.IFS(_xlpm.MyAuditVal&lt;&gt;"",UPPER(_xlpm.MyAuditVal),_xlpm.MacVal&lt;&gt;"",_xlpm.MacVal,_xlpm.CSVVal&lt;&gt;"",_xlpm.CSVVal
)),"")</f>
        <v/>
      </c>
      <c r="E596" s="46" t="str" cm="1">
        <f t="array" ref="E596">IFERROR(_xlfn.LET(
_xlpm.CSVVal,_xlfn.XLOOKUP($A596,CSV!$A:$A,CSV!E:E,""),
_xlpm.MacVal,_xlfn.XLOOKUP($A596,Output_Mac!$A:$A,Output_Mac!C:C,""),
_xlpm.MyAuditVal,_xlfn.XLOOKUP($A596,My_Audit!$A:$A,My_Audit!D:D,""),
_xlfn.IFS(_xlpm.MyAuditVal&lt;&gt;"",_xlpm.MyAuditVal,_xlpm.MacVal&lt;&gt;"",_xlpm.MacVal,_xlpm.CSVVal&lt;&gt;"",_xlpm.CSVVal
)),"")</f>
        <v/>
      </c>
      <c r="F596" s="45" t="str" cm="1">
        <f t="array" ref="F596">IFERROR(_xlfn.LET(
_xlpm.CSVVal,_xlfn.XLOOKUP($A596,CSV!$A:$A,CSV!F:F,""),
_xlpm.MacVal,_xlfn.XLOOKUP($A596,Output_Mac!$A:$A,Output_Mac!F:F,""),
_xlpm.MyAuditVal,_xlfn.XLOOKUP($A596,My_Audit!$A:$A,My_Audit!E:E,""),
_xlfn.IFS(_xlpm.MyAuditVal&lt;&gt;"",_xlpm.MyAuditVal,_xlpm.MacVal&lt;&gt;"",_xlpm.MacVal,_xlpm.CSVVal&lt;&gt;"",PROPER(_xlpm.CSVVal)
)),"")</f>
        <v/>
      </c>
      <c r="G596" s="45" t="str" cm="1">
        <f t="array" ref="G596">IFERROR(_xlfn.LET(
_xlpm.CSVVal,_xlfn.XLOOKUP($A596,CSV!$A:$A,CSV!G:G,""),
_xlpm.MacVal,_xlfn.XLOOKUP($A596,Output_Mac!$A:$A,Output_Mac!H:H,""),
_xlpm.MyAuditVal,_xlfn.XLOOKUP($A596,My_Audit!$A:$A,My_Audit!F:F,""),
_xlfn.IFS(_xlpm.MyAuditVal&lt;&gt;"",_xlpm.MyAuditVal,_xlpm.MacVal&lt;&gt;"",_xlpm.MacVal,_xlpm.CSVVal&lt;&gt;"",_xlpm.CSVVal
)),"")</f>
        <v/>
      </c>
      <c r="H596" s="45" t="str">
        <f>_xlfn.XLOOKUP(A596,Output_Mac!A:A,Output_Mac!I:I,"")</f>
        <v/>
      </c>
      <c r="I596" s="45" t="str" cm="1">
        <f t="array" ref="I596">IFERROR(_xlfn.LET(
_xlpm.CSVVal,_xlfn.XLOOKUP($A596,CSV!$A:$A,CSV!H:H,""),
_xlpm.MacVal,_xlfn.XLOOKUP($A596,Output_Mac!$A:$A,Output_Mac!J:J,""),
_xlpm.MyAuditVal,_xlfn.XLOOKUP($A596,My_Audit!$A:$A,My_Audit!H:H,""),
_xlfn.IFS(_xlpm.MyAuditVal&lt;&gt;"",UPPER(_xlpm.MyAuditVal),_xlpm.MacVal&lt;&gt;"",_xlpm.MacVal,_xlpm.CSVVal&lt;&gt;"",_xlpm.CSVVal
)),"")</f>
        <v/>
      </c>
      <c r="J596" s="45" t="str" cm="1">
        <f t="array" ref="J596">IFERROR(_xlfn.LET(
_xlpm.CSVVal,_xlfn.XLOOKUP($A596,CSV!$A:$A,CSV!J:J,""),
_xlpm.MacVal,_xlfn.XLOOKUP($A596,Output_Mac!$A:$A,Output_Mac!K:K,""),
_xlpm.MyAuditVal,_xlfn.XLOOKUP($A596,My_Audit!$A:$A,My_Audit!I:I,""),
_xlfn.IFS(_xlpm.MyAuditVal&lt;&gt;"",UPPER(_xlpm.MyAuditVal),_xlpm.MacVal&lt;&gt;"",_xlpm.MacVal,_xlpm.CSVVal&lt;&gt;"",_xlpm.CSVVal
)),"")</f>
        <v/>
      </c>
      <c r="K596" s="45" t="str" cm="1">
        <f t="array" ref="K596">IFERROR(_xlfn.LET(
_xlpm.CSVVal,_xlfn.XLOOKUP($A596,CSV!$A:$A,CSV!N:N,""),
_xlpm.MacVal,_xlfn.XLOOKUP($A596,Output_Mac!$A:$A,Output_Mac!L:L,""),
_xlpm.MyAuditVal,_xlfn.XLOOKUP($A596,My_Audit!$A:$A,My_Audit!J:J,""),
_xlfn.IFS(_xlpm.MyAuditVal&lt;&gt;"",UPPER(_xlpm.MyAuditVal),_xlpm.MacVal&lt;&gt;"",_xlpm.MacVal,_xlpm.CSVVal&lt;&gt;"",_xlpm.CSVVal
)),"")</f>
        <v/>
      </c>
      <c r="L596" s="45" t="str" cm="1">
        <f t="array" ref="L596">IFERROR(_xlfn.LET(
_xlpm.CSVVal,_xlfn.XLOOKUP($A596,CSV!$A:$A,CSV!P:P,""),
_xlpm.MacVal,_xlfn.XLOOKUP($A596,Output_Mac!$A:$A,Output_Mac!M:M,""),
_xlpm.MyAuditVal,_xlfn.XLOOKUP($A596,My_Audit!$A:$A,My_Audit!K:K,""),
_xlfn.IFS(_xlpm.MyAuditVal&lt;&gt;"",UPPER(_xlpm.MyAuditVal),_xlpm.MacVal&lt;&gt;"",_xlpm.MacVal,_xlpm.CSVVal&lt;&gt;"",_xlpm.CSVVal
)),"")</f>
        <v/>
      </c>
      <c r="M596" s="45" t="str">
        <f>_xlfn.LET(
    _xlpm.CSVVal, _xlfn.XLOOKUP($A596, CSV!$A:$A, CSV!AE:AE, ""),
    _xlpm.MacVal, _xlfn.XLOOKUP($A596, Output_Mac!$A:$A, Output_Mac!S:S, ""),
    _xlpm.MyAuditVal, _xlfn.XLOOKUP($A596, My_Audit!$A:$A, My_Audit!N:N, ""),
    _xlfn.TEXTJOIN(", ", TRUE, _xlpm.MyAuditVal, _xlpm.MacVal, _xlpm.CSVVal)
)</f>
        <v/>
      </c>
      <c r="N596" s="45" t="str" cm="1">
        <f t="array" ref="N596">IFERROR(_xlfn.LET(
_xlpm.CSVVal,_xlfn.XLOOKUP($A596,CSV!$A:$A,CSV!AG:AG,""),
_xlpm.MacVal,_xlfn.XLOOKUP($A596,Output_Mac!$A:$A,Output_Mac!U:U,""),
_xlpm.MyAuditVal,_xlfn.XLOOKUP($A596,My_Audit!$A:$A,My_Audit!O:O,""),
_xlfn.IFS(_xlpm.MyAuditVal&lt;&gt;"",UPPER(_xlpm.MyAuditVal),_xlpm.MacVal&lt;&gt;"",_xlpm.MacVal,_xlpm.CSVVal&lt;&gt;"",_xlpm.CSVVal
)),"")</f>
        <v/>
      </c>
      <c r="O596" s="45"/>
      <c r="P596" s="45"/>
      <c r="Q596" s="46" t="str">
        <f>IF(LEFT(N596,4)="Pass","Nist SP 800-88",My_Audit!R596)&amp;""</f>
        <v/>
      </c>
      <c r="R596" s="45"/>
      <c r="S596" s="45"/>
      <c r="T596" s="46" t="str">
        <f>_xlfn.XLOOKUP(E596,Models!I:I,Models!J:J,"")</f>
        <v/>
      </c>
      <c r="U596" s="45"/>
      <c r="V596" s="45"/>
      <c r="W596" s="38"/>
    </row>
    <row r="597" spans="1:23">
      <c r="A597" s="45" t="str">
        <f>_xlfn.TEXTJOIN("",TRUE,Input!$B$2,ROW(My_Audit!A596))</f>
        <v>XX596</v>
      </c>
      <c r="B597" s="45" t="str">
        <f>_xlfn.TEXTJOIN("-",TRUE,"ITD",Input!$A$2,A597)</f>
        <v>ITD-SHRXXX-XX596</v>
      </c>
      <c r="C597" s="45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46" t="str" cm="1">
        <f t="array" ref="D597">IFERROR(_xlfn.LET(
_xlpm.CSVVal,_xlfn.XLOOKUP($A597,CSV!$A:$A,CSV!C:C,""),
_xlpm.MacVal,_xlfn.XLOOKUP($A597,Output_Mac!$A:$A,Output_Mac!D:D,""),
_xlpm.MyAuditVal,_xlfn.XLOOKUP($A597,My_Audit!$A:$A,My_Audit!C:C,""),
_xlfn.IFS(_xlpm.MyAuditVal&lt;&gt;"",UPPER(_xlpm.MyAuditVal),_xlpm.MacVal&lt;&gt;"",_xlpm.MacVal,_xlpm.CSVVal&lt;&gt;"",_xlpm.CSVVal
)),"")</f>
        <v/>
      </c>
      <c r="E597" s="46" t="str" cm="1">
        <f t="array" ref="E597">IFERROR(_xlfn.LET(
_xlpm.CSVVal,_xlfn.XLOOKUP($A597,CSV!$A:$A,CSV!E:E,""),
_xlpm.MacVal,_xlfn.XLOOKUP($A597,Output_Mac!$A:$A,Output_Mac!C:C,""),
_xlpm.MyAuditVal,_xlfn.XLOOKUP($A597,My_Audit!$A:$A,My_Audit!D:D,""),
_xlfn.IFS(_xlpm.MyAuditVal&lt;&gt;"",_xlpm.MyAuditVal,_xlpm.MacVal&lt;&gt;"",_xlpm.MacVal,_xlpm.CSVVal&lt;&gt;"",_xlpm.CSVVal
)),"")</f>
        <v/>
      </c>
      <c r="F597" s="45" t="str" cm="1">
        <f t="array" ref="F597">IFERROR(_xlfn.LET(
_xlpm.CSVVal,_xlfn.XLOOKUP($A597,CSV!$A:$A,CSV!F:F,""),
_xlpm.MacVal,_xlfn.XLOOKUP($A597,Output_Mac!$A:$A,Output_Mac!F:F,""),
_xlpm.MyAuditVal,_xlfn.XLOOKUP($A597,My_Audit!$A:$A,My_Audit!E:E,""),
_xlfn.IFS(_xlpm.MyAuditVal&lt;&gt;"",_xlpm.MyAuditVal,_xlpm.MacVal&lt;&gt;"",_xlpm.MacVal,_xlpm.CSVVal&lt;&gt;"",PROPER(_xlpm.CSVVal)
)),"")</f>
        <v/>
      </c>
      <c r="G597" s="45" t="str" cm="1">
        <f t="array" ref="G597">IFERROR(_xlfn.LET(
_xlpm.CSVVal,_xlfn.XLOOKUP($A597,CSV!$A:$A,CSV!G:G,""),
_xlpm.MacVal,_xlfn.XLOOKUP($A597,Output_Mac!$A:$A,Output_Mac!H:H,""),
_xlpm.MyAuditVal,_xlfn.XLOOKUP($A597,My_Audit!$A:$A,My_Audit!F:F,""),
_xlfn.IFS(_xlpm.MyAuditVal&lt;&gt;"",_xlpm.MyAuditVal,_xlpm.MacVal&lt;&gt;"",_xlpm.MacVal,_xlpm.CSVVal&lt;&gt;"",_xlpm.CSVVal
)),"")</f>
        <v/>
      </c>
      <c r="H597" s="45" t="str">
        <f>_xlfn.XLOOKUP(A597,Output_Mac!A:A,Output_Mac!I:I,"")</f>
        <v/>
      </c>
      <c r="I597" s="45" t="str" cm="1">
        <f t="array" ref="I597">IFERROR(_xlfn.LET(
_xlpm.CSVVal,_xlfn.XLOOKUP($A597,CSV!$A:$A,CSV!H:H,""),
_xlpm.MacVal,_xlfn.XLOOKUP($A597,Output_Mac!$A:$A,Output_Mac!J:J,""),
_xlpm.MyAuditVal,_xlfn.XLOOKUP($A597,My_Audit!$A:$A,My_Audit!H:H,""),
_xlfn.IFS(_xlpm.MyAuditVal&lt;&gt;"",UPPER(_xlpm.MyAuditVal),_xlpm.MacVal&lt;&gt;"",_xlpm.MacVal,_xlpm.CSVVal&lt;&gt;"",_xlpm.CSVVal
)),"")</f>
        <v/>
      </c>
      <c r="J597" s="45" t="str" cm="1">
        <f t="array" ref="J597">IFERROR(_xlfn.LET(
_xlpm.CSVVal,_xlfn.XLOOKUP($A597,CSV!$A:$A,CSV!J:J,""),
_xlpm.MacVal,_xlfn.XLOOKUP($A597,Output_Mac!$A:$A,Output_Mac!K:K,""),
_xlpm.MyAuditVal,_xlfn.XLOOKUP($A597,My_Audit!$A:$A,My_Audit!I:I,""),
_xlfn.IFS(_xlpm.MyAuditVal&lt;&gt;"",UPPER(_xlpm.MyAuditVal),_xlpm.MacVal&lt;&gt;"",_xlpm.MacVal,_xlpm.CSVVal&lt;&gt;"",_xlpm.CSVVal
)),"")</f>
        <v/>
      </c>
      <c r="K597" s="45" t="str" cm="1">
        <f t="array" ref="K597">IFERROR(_xlfn.LET(
_xlpm.CSVVal,_xlfn.XLOOKUP($A597,CSV!$A:$A,CSV!N:N,""),
_xlpm.MacVal,_xlfn.XLOOKUP($A597,Output_Mac!$A:$A,Output_Mac!L:L,""),
_xlpm.MyAuditVal,_xlfn.XLOOKUP($A597,My_Audit!$A:$A,My_Audit!J:J,""),
_xlfn.IFS(_xlpm.MyAuditVal&lt;&gt;"",UPPER(_xlpm.MyAuditVal),_xlpm.MacVal&lt;&gt;"",_xlpm.MacVal,_xlpm.CSVVal&lt;&gt;"",_xlpm.CSVVal
)),"")</f>
        <v/>
      </c>
      <c r="L597" s="45" t="str" cm="1">
        <f t="array" ref="L597">IFERROR(_xlfn.LET(
_xlpm.CSVVal,_xlfn.XLOOKUP($A597,CSV!$A:$A,CSV!P:P,""),
_xlpm.MacVal,_xlfn.XLOOKUP($A597,Output_Mac!$A:$A,Output_Mac!M:M,""),
_xlpm.MyAuditVal,_xlfn.XLOOKUP($A597,My_Audit!$A:$A,My_Audit!K:K,""),
_xlfn.IFS(_xlpm.MyAuditVal&lt;&gt;"",UPPER(_xlpm.MyAuditVal),_xlpm.MacVal&lt;&gt;"",_xlpm.MacVal,_xlpm.CSVVal&lt;&gt;"",_xlpm.CSVVal
)),"")</f>
        <v/>
      </c>
      <c r="M597" s="45" t="str">
        <f>_xlfn.LET(
    _xlpm.CSVVal, _xlfn.XLOOKUP($A597, CSV!$A:$A, CSV!AE:AE, ""),
    _xlpm.MacVal, _xlfn.XLOOKUP($A597, Output_Mac!$A:$A, Output_Mac!S:S, ""),
    _xlpm.MyAuditVal, _xlfn.XLOOKUP($A597, My_Audit!$A:$A, My_Audit!N:N, ""),
    _xlfn.TEXTJOIN(", ", TRUE, _xlpm.MyAuditVal, _xlpm.MacVal, _xlpm.CSVVal)
)</f>
        <v/>
      </c>
      <c r="N597" s="45" t="str" cm="1">
        <f t="array" ref="N597">IFERROR(_xlfn.LET(
_xlpm.CSVVal,_xlfn.XLOOKUP($A597,CSV!$A:$A,CSV!AG:AG,""),
_xlpm.MacVal,_xlfn.XLOOKUP($A597,Output_Mac!$A:$A,Output_Mac!U:U,""),
_xlpm.MyAuditVal,_xlfn.XLOOKUP($A597,My_Audit!$A:$A,My_Audit!O:O,""),
_xlfn.IFS(_xlpm.MyAuditVal&lt;&gt;"",UPPER(_xlpm.MyAuditVal),_xlpm.MacVal&lt;&gt;"",_xlpm.MacVal,_xlpm.CSVVal&lt;&gt;"",_xlpm.CSVVal
)),"")</f>
        <v/>
      </c>
      <c r="O597" s="45"/>
      <c r="P597" s="45"/>
      <c r="Q597" s="46" t="str">
        <f>IF(LEFT(N597,4)="Pass","Nist SP 800-88",My_Audit!R597)&amp;""</f>
        <v/>
      </c>
      <c r="R597" s="45"/>
      <c r="S597" s="45"/>
      <c r="T597" s="46" t="str">
        <f>_xlfn.XLOOKUP(E597,Models!I:I,Models!J:J,"")</f>
        <v/>
      </c>
      <c r="U597" s="45"/>
      <c r="V597" s="45"/>
      <c r="W597" s="38"/>
    </row>
    <row r="598" spans="1:23">
      <c r="A598" s="45" t="str">
        <f>_xlfn.TEXTJOIN("",TRUE,Input!$B$2,ROW(My_Audit!A597))</f>
        <v>XX597</v>
      </c>
      <c r="B598" s="45" t="str">
        <f>_xlfn.TEXTJOIN("-",TRUE,"ITD",Input!$A$2,A598)</f>
        <v>ITD-SHRXXX-XX597</v>
      </c>
      <c r="C598" s="45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46" t="str" cm="1">
        <f t="array" ref="D598">IFERROR(_xlfn.LET(
_xlpm.CSVVal,_xlfn.XLOOKUP($A598,CSV!$A:$A,CSV!C:C,""),
_xlpm.MacVal,_xlfn.XLOOKUP($A598,Output_Mac!$A:$A,Output_Mac!D:D,""),
_xlpm.MyAuditVal,_xlfn.XLOOKUP($A598,My_Audit!$A:$A,My_Audit!C:C,""),
_xlfn.IFS(_xlpm.MyAuditVal&lt;&gt;"",UPPER(_xlpm.MyAuditVal),_xlpm.MacVal&lt;&gt;"",_xlpm.MacVal,_xlpm.CSVVal&lt;&gt;"",_xlpm.CSVVal
)),"")</f>
        <v/>
      </c>
      <c r="E598" s="46" t="str" cm="1">
        <f t="array" ref="E598">IFERROR(_xlfn.LET(
_xlpm.CSVVal,_xlfn.XLOOKUP($A598,CSV!$A:$A,CSV!E:E,""),
_xlpm.MacVal,_xlfn.XLOOKUP($A598,Output_Mac!$A:$A,Output_Mac!C:C,""),
_xlpm.MyAuditVal,_xlfn.XLOOKUP($A598,My_Audit!$A:$A,My_Audit!D:D,""),
_xlfn.IFS(_xlpm.MyAuditVal&lt;&gt;"",_xlpm.MyAuditVal,_xlpm.MacVal&lt;&gt;"",_xlpm.MacVal,_xlpm.CSVVal&lt;&gt;"",_xlpm.CSVVal
)),"")</f>
        <v/>
      </c>
      <c r="F598" s="45" t="str" cm="1">
        <f t="array" ref="F598">IFERROR(_xlfn.LET(
_xlpm.CSVVal,_xlfn.XLOOKUP($A598,CSV!$A:$A,CSV!F:F,""),
_xlpm.MacVal,_xlfn.XLOOKUP($A598,Output_Mac!$A:$A,Output_Mac!F:F,""),
_xlpm.MyAuditVal,_xlfn.XLOOKUP($A598,My_Audit!$A:$A,My_Audit!E:E,""),
_xlfn.IFS(_xlpm.MyAuditVal&lt;&gt;"",_xlpm.MyAuditVal,_xlpm.MacVal&lt;&gt;"",_xlpm.MacVal,_xlpm.CSVVal&lt;&gt;"",PROPER(_xlpm.CSVVal)
)),"")</f>
        <v/>
      </c>
      <c r="G598" s="45" t="str" cm="1">
        <f t="array" ref="G598">IFERROR(_xlfn.LET(
_xlpm.CSVVal,_xlfn.XLOOKUP($A598,CSV!$A:$A,CSV!G:G,""),
_xlpm.MacVal,_xlfn.XLOOKUP($A598,Output_Mac!$A:$A,Output_Mac!H:H,""),
_xlpm.MyAuditVal,_xlfn.XLOOKUP($A598,My_Audit!$A:$A,My_Audit!F:F,""),
_xlfn.IFS(_xlpm.MyAuditVal&lt;&gt;"",_xlpm.MyAuditVal,_xlpm.MacVal&lt;&gt;"",_xlpm.MacVal,_xlpm.CSVVal&lt;&gt;"",_xlpm.CSVVal
)),"")</f>
        <v/>
      </c>
      <c r="H598" s="45" t="str">
        <f>_xlfn.XLOOKUP(A598,Output_Mac!A:A,Output_Mac!I:I,"")</f>
        <v/>
      </c>
      <c r="I598" s="45" t="str" cm="1">
        <f t="array" ref="I598">IFERROR(_xlfn.LET(
_xlpm.CSVVal,_xlfn.XLOOKUP($A598,CSV!$A:$A,CSV!H:H,""),
_xlpm.MacVal,_xlfn.XLOOKUP($A598,Output_Mac!$A:$A,Output_Mac!J:J,""),
_xlpm.MyAuditVal,_xlfn.XLOOKUP($A598,My_Audit!$A:$A,My_Audit!H:H,""),
_xlfn.IFS(_xlpm.MyAuditVal&lt;&gt;"",UPPER(_xlpm.MyAuditVal),_xlpm.MacVal&lt;&gt;"",_xlpm.MacVal,_xlpm.CSVVal&lt;&gt;"",_xlpm.CSVVal
)),"")</f>
        <v/>
      </c>
      <c r="J598" s="45" t="str" cm="1">
        <f t="array" ref="J598">IFERROR(_xlfn.LET(
_xlpm.CSVVal,_xlfn.XLOOKUP($A598,CSV!$A:$A,CSV!J:J,""),
_xlpm.MacVal,_xlfn.XLOOKUP($A598,Output_Mac!$A:$A,Output_Mac!K:K,""),
_xlpm.MyAuditVal,_xlfn.XLOOKUP($A598,My_Audit!$A:$A,My_Audit!I:I,""),
_xlfn.IFS(_xlpm.MyAuditVal&lt;&gt;"",UPPER(_xlpm.MyAuditVal),_xlpm.MacVal&lt;&gt;"",_xlpm.MacVal,_xlpm.CSVVal&lt;&gt;"",_xlpm.CSVVal
)),"")</f>
        <v/>
      </c>
      <c r="K598" s="45" t="str" cm="1">
        <f t="array" ref="K598">IFERROR(_xlfn.LET(
_xlpm.CSVVal,_xlfn.XLOOKUP($A598,CSV!$A:$A,CSV!N:N,""),
_xlpm.MacVal,_xlfn.XLOOKUP($A598,Output_Mac!$A:$A,Output_Mac!L:L,""),
_xlpm.MyAuditVal,_xlfn.XLOOKUP($A598,My_Audit!$A:$A,My_Audit!J:J,""),
_xlfn.IFS(_xlpm.MyAuditVal&lt;&gt;"",UPPER(_xlpm.MyAuditVal),_xlpm.MacVal&lt;&gt;"",_xlpm.MacVal,_xlpm.CSVVal&lt;&gt;"",_xlpm.CSVVal
)),"")</f>
        <v/>
      </c>
      <c r="L598" s="45" t="str" cm="1">
        <f t="array" ref="L598">IFERROR(_xlfn.LET(
_xlpm.CSVVal,_xlfn.XLOOKUP($A598,CSV!$A:$A,CSV!P:P,""),
_xlpm.MacVal,_xlfn.XLOOKUP($A598,Output_Mac!$A:$A,Output_Mac!M:M,""),
_xlpm.MyAuditVal,_xlfn.XLOOKUP($A598,My_Audit!$A:$A,My_Audit!K:K,""),
_xlfn.IFS(_xlpm.MyAuditVal&lt;&gt;"",UPPER(_xlpm.MyAuditVal),_xlpm.MacVal&lt;&gt;"",_xlpm.MacVal,_xlpm.CSVVal&lt;&gt;"",_xlpm.CSVVal
)),"")</f>
        <v/>
      </c>
      <c r="M598" s="45" t="str">
        <f>_xlfn.LET(
    _xlpm.CSVVal, _xlfn.XLOOKUP($A598, CSV!$A:$A, CSV!AE:AE, ""),
    _xlpm.MacVal, _xlfn.XLOOKUP($A598, Output_Mac!$A:$A, Output_Mac!S:S, ""),
    _xlpm.MyAuditVal, _xlfn.XLOOKUP($A598, My_Audit!$A:$A, My_Audit!N:N, ""),
    _xlfn.TEXTJOIN(", ", TRUE, _xlpm.MyAuditVal, _xlpm.MacVal, _xlpm.CSVVal)
)</f>
        <v/>
      </c>
      <c r="N598" s="45" t="str" cm="1">
        <f t="array" ref="N598">IFERROR(_xlfn.LET(
_xlpm.CSVVal,_xlfn.XLOOKUP($A598,CSV!$A:$A,CSV!AG:AG,""),
_xlpm.MacVal,_xlfn.XLOOKUP($A598,Output_Mac!$A:$A,Output_Mac!U:U,""),
_xlpm.MyAuditVal,_xlfn.XLOOKUP($A598,My_Audit!$A:$A,My_Audit!O:O,""),
_xlfn.IFS(_xlpm.MyAuditVal&lt;&gt;"",UPPER(_xlpm.MyAuditVal),_xlpm.MacVal&lt;&gt;"",_xlpm.MacVal,_xlpm.CSVVal&lt;&gt;"",_xlpm.CSVVal
)),"")</f>
        <v/>
      </c>
      <c r="O598" s="45"/>
      <c r="P598" s="45"/>
      <c r="Q598" s="46" t="str">
        <f>IF(LEFT(N598,4)="Pass","Nist SP 800-88",My_Audit!R598)&amp;""</f>
        <v/>
      </c>
      <c r="R598" s="45"/>
      <c r="S598" s="45"/>
      <c r="T598" s="46" t="str">
        <f>_xlfn.XLOOKUP(E598,Models!I:I,Models!J:J,"")</f>
        <v/>
      </c>
      <c r="U598" s="45"/>
      <c r="V598" s="45"/>
      <c r="W598" s="38"/>
    </row>
    <row r="599" spans="1:23">
      <c r="A599" s="45" t="str">
        <f>_xlfn.TEXTJOIN("",TRUE,Input!$B$2,ROW(My_Audit!A598))</f>
        <v>XX598</v>
      </c>
      <c r="B599" s="45" t="str">
        <f>_xlfn.TEXTJOIN("-",TRUE,"ITD",Input!$A$2,A599)</f>
        <v>ITD-SHRXXX-XX598</v>
      </c>
      <c r="C599" s="45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46" t="str" cm="1">
        <f t="array" ref="D599">IFERROR(_xlfn.LET(
_xlpm.CSVVal,_xlfn.XLOOKUP($A599,CSV!$A:$A,CSV!C:C,""),
_xlpm.MacVal,_xlfn.XLOOKUP($A599,Output_Mac!$A:$A,Output_Mac!D:D,""),
_xlpm.MyAuditVal,_xlfn.XLOOKUP($A599,My_Audit!$A:$A,My_Audit!C:C,""),
_xlfn.IFS(_xlpm.MyAuditVal&lt;&gt;"",UPPER(_xlpm.MyAuditVal),_xlpm.MacVal&lt;&gt;"",_xlpm.MacVal,_xlpm.CSVVal&lt;&gt;"",_xlpm.CSVVal
)),"")</f>
        <v/>
      </c>
      <c r="E599" s="46" t="str" cm="1">
        <f t="array" ref="E599">IFERROR(_xlfn.LET(
_xlpm.CSVVal,_xlfn.XLOOKUP($A599,CSV!$A:$A,CSV!E:E,""),
_xlpm.MacVal,_xlfn.XLOOKUP($A599,Output_Mac!$A:$A,Output_Mac!C:C,""),
_xlpm.MyAuditVal,_xlfn.XLOOKUP($A599,My_Audit!$A:$A,My_Audit!D:D,""),
_xlfn.IFS(_xlpm.MyAuditVal&lt;&gt;"",_xlpm.MyAuditVal,_xlpm.MacVal&lt;&gt;"",_xlpm.MacVal,_xlpm.CSVVal&lt;&gt;"",_xlpm.CSVVal
)),"")</f>
        <v/>
      </c>
      <c r="F599" s="45" t="str" cm="1">
        <f t="array" ref="F599">IFERROR(_xlfn.LET(
_xlpm.CSVVal,_xlfn.XLOOKUP($A599,CSV!$A:$A,CSV!F:F,""),
_xlpm.MacVal,_xlfn.XLOOKUP($A599,Output_Mac!$A:$A,Output_Mac!F:F,""),
_xlpm.MyAuditVal,_xlfn.XLOOKUP($A599,My_Audit!$A:$A,My_Audit!E:E,""),
_xlfn.IFS(_xlpm.MyAuditVal&lt;&gt;"",_xlpm.MyAuditVal,_xlpm.MacVal&lt;&gt;"",_xlpm.MacVal,_xlpm.CSVVal&lt;&gt;"",PROPER(_xlpm.CSVVal)
)),"")</f>
        <v/>
      </c>
      <c r="G599" s="45" t="str" cm="1">
        <f t="array" ref="G599">IFERROR(_xlfn.LET(
_xlpm.CSVVal,_xlfn.XLOOKUP($A599,CSV!$A:$A,CSV!G:G,""),
_xlpm.MacVal,_xlfn.XLOOKUP($A599,Output_Mac!$A:$A,Output_Mac!H:H,""),
_xlpm.MyAuditVal,_xlfn.XLOOKUP($A599,My_Audit!$A:$A,My_Audit!F:F,""),
_xlfn.IFS(_xlpm.MyAuditVal&lt;&gt;"",_xlpm.MyAuditVal,_xlpm.MacVal&lt;&gt;"",_xlpm.MacVal,_xlpm.CSVVal&lt;&gt;"",_xlpm.CSVVal
)),"")</f>
        <v/>
      </c>
      <c r="H599" s="45" t="str">
        <f>_xlfn.XLOOKUP(A599,Output_Mac!A:A,Output_Mac!I:I,"")</f>
        <v/>
      </c>
      <c r="I599" s="45" t="str" cm="1">
        <f t="array" ref="I599">IFERROR(_xlfn.LET(
_xlpm.CSVVal,_xlfn.XLOOKUP($A599,CSV!$A:$A,CSV!H:H,""),
_xlpm.MacVal,_xlfn.XLOOKUP($A599,Output_Mac!$A:$A,Output_Mac!J:J,""),
_xlpm.MyAuditVal,_xlfn.XLOOKUP($A599,My_Audit!$A:$A,My_Audit!H:H,""),
_xlfn.IFS(_xlpm.MyAuditVal&lt;&gt;"",UPPER(_xlpm.MyAuditVal),_xlpm.MacVal&lt;&gt;"",_xlpm.MacVal,_xlpm.CSVVal&lt;&gt;"",_xlpm.CSVVal
)),"")</f>
        <v/>
      </c>
      <c r="J599" s="45" t="str" cm="1">
        <f t="array" ref="J599">IFERROR(_xlfn.LET(
_xlpm.CSVVal,_xlfn.XLOOKUP($A599,CSV!$A:$A,CSV!J:J,""),
_xlpm.MacVal,_xlfn.XLOOKUP($A599,Output_Mac!$A:$A,Output_Mac!K:K,""),
_xlpm.MyAuditVal,_xlfn.XLOOKUP($A599,My_Audit!$A:$A,My_Audit!I:I,""),
_xlfn.IFS(_xlpm.MyAuditVal&lt;&gt;"",UPPER(_xlpm.MyAuditVal),_xlpm.MacVal&lt;&gt;"",_xlpm.MacVal,_xlpm.CSVVal&lt;&gt;"",_xlpm.CSVVal
)),"")</f>
        <v/>
      </c>
      <c r="K599" s="45" t="str" cm="1">
        <f t="array" ref="K599">IFERROR(_xlfn.LET(
_xlpm.CSVVal,_xlfn.XLOOKUP($A599,CSV!$A:$A,CSV!N:N,""),
_xlpm.MacVal,_xlfn.XLOOKUP($A599,Output_Mac!$A:$A,Output_Mac!L:L,""),
_xlpm.MyAuditVal,_xlfn.XLOOKUP($A599,My_Audit!$A:$A,My_Audit!J:J,""),
_xlfn.IFS(_xlpm.MyAuditVal&lt;&gt;"",UPPER(_xlpm.MyAuditVal),_xlpm.MacVal&lt;&gt;"",_xlpm.MacVal,_xlpm.CSVVal&lt;&gt;"",_xlpm.CSVVal
)),"")</f>
        <v/>
      </c>
      <c r="L599" s="45" t="str" cm="1">
        <f t="array" ref="L599">IFERROR(_xlfn.LET(
_xlpm.CSVVal,_xlfn.XLOOKUP($A599,CSV!$A:$A,CSV!P:P,""),
_xlpm.MacVal,_xlfn.XLOOKUP($A599,Output_Mac!$A:$A,Output_Mac!M:M,""),
_xlpm.MyAuditVal,_xlfn.XLOOKUP($A599,My_Audit!$A:$A,My_Audit!K:K,""),
_xlfn.IFS(_xlpm.MyAuditVal&lt;&gt;"",UPPER(_xlpm.MyAuditVal),_xlpm.MacVal&lt;&gt;"",_xlpm.MacVal,_xlpm.CSVVal&lt;&gt;"",_xlpm.CSVVal
)),"")</f>
        <v/>
      </c>
      <c r="M599" s="45" t="str">
        <f>_xlfn.LET(
    _xlpm.CSVVal, _xlfn.XLOOKUP($A599, CSV!$A:$A, CSV!AE:AE, ""),
    _xlpm.MacVal, _xlfn.XLOOKUP($A599, Output_Mac!$A:$A, Output_Mac!S:S, ""),
    _xlpm.MyAuditVal, _xlfn.XLOOKUP($A599, My_Audit!$A:$A, My_Audit!N:N, ""),
    _xlfn.TEXTJOIN(", ", TRUE, _xlpm.MyAuditVal, _xlpm.MacVal, _xlpm.CSVVal)
)</f>
        <v/>
      </c>
      <c r="N599" s="45" t="str" cm="1">
        <f t="array" ref="N599">IFERROR(_xlfn.LET(
_xlpm.CSVVal,_xlfn.XLOOKUP($A599,CSV!$A:$A,CSV!AG:AG,""),
_xlpm.MacVal,_xlfn.XLOOKUP($A599,Output_Mac!$A:$A,Output_Mac!U:U,""),
_xlpm.MyAuditVal,_xlfn.XLOOKUP($A599,My_Audit!$A:$A,My_Audit!O:O,""),
_xlfn.IFS(_xlpm.MyAuditVal&lt;&gt;"",UPPER(_xlpm.MyAuditVal),_xlpm.MacVal&lt;&gt;"",_xlpm.MacVal,_xlpm.CSVVal&lt;&gt;"",_xlpm.CSVVal
)),"")</f>
        <v/>
      </c>
      <c r="O599" s="45"/>
      <c r="P599" s="45"/>
      <c r="Q599" s="46" t="str">
        <f>IF(LEFT(N599,4)="Pass","Nist SP 800-88",My_Audit!R599)&amp;""</f>
        <v/>
      </c>
      <c r="R599" s="45"/>
      <c r="S599" s="45"/>
      <c r="T599" s="46" t="str">
        <f>_xlfn.XLOOKUP(E599,Models!I:I,Models!J:J,"")</f>
        <v/>
      </c>
      <c r="U599" s="45"/>
      <c r="V599" s="45"/>
      <c r="W599" s="38"/>
    </row>
    <row r="600" spans="1:23">
      <c r="A600" s="45" t="str">
        <f>_xlfn.TEXTJOIN("",TRUE,Input!$B$2,ROW(My_Audit!A599))</f>
        <v>XX599</v>
      </c>
      <c r="B600" s="45" t="str">
        <f>_xlfn.TEXTJOIN("-",TRUE,"ITD",Input!$A$2,A600)</f>
        <v>ITD-SHRXXX-XX599</v>
      </c>
      <c r="C600" s="45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46" t="str" cm="1">
        <f t="array" ref="D600">IFERROR(_xlfn.LET(
_xlpm.CSVVal,_xlfn.XLOOKUP($A600,CSV!$A:$A,CSV!C:C,""),
_xlpm.MacVal,_xlfn.XLOOKUP($A600,Output_Mac!$A:$A,Output_Mac!D:D,""),
_xlpm.MyAuditVal,_xlfn.XLOOKUP($A600,My_Audit!$A:$A,My_Audit!C:C,""),
_xlfn.IFS(_xlpm.MyAuditVal&lt;&gt;"",UPPER(_xlpm.MyAuditVal),_xlpm.MacVal&lt;&gt;"",_xlpm.MacVal,_xlpm.CSVVal&lt;&gt;"",_xlpm.CSVVal
)),"")</f>
        <v/>
      </c>
      <c r="E600" s="46" t="str" cm="1">
        <f t="array" ref="E600">IFERROR(_xlfn.LET(
_xlpm.CSVVal,_xlfn.XLOOKUP($A600,CSV!$A:$A,CSV!E:E,""),
_xlpm.MacVal,_xlfn.XLOOKUP($A600,Output_Mac!$A:$A,Output_Mac!C:C,""),
_xlpm.MyAuditVal,_xlfn.XLOOKUP($A600,My_Audit!$A:$A,My_Audit!D:D,""),
_xlfn.IFS(_xlpm.MyAuditVal&lt;&gt;"",_xlpm.MyAuditVal,_xlpm.MacVal&lt;&gt;"",_xlpm.MacVal,_xlpm.CSVVal&lt;&gt;"",_xlpm.CSVVal
)),"")</f>
        <v/>
      </c>
      <c r="F600" s="45" t="str" cm="1">
        <f t="array" ref="F600">IFERROR(_xlfn.LET(
_xlpm.CSVVal,_xlfn.XLOOKUP($A600,CSV!$A:$A,CSV!F:F,""),
_xlpm.MacVal,_xlfn.XLOOKUP($A600,Output_Mac!$A:$A,Output_Mac!F:F,""),
_xlpm.MyAuditVal,_xlfn.XLOOKUP($A600,My_Audit!$A:$A,My_Audit!E:E,""),
_xlfn.IFS(_xlpm.MyAuditVal&lt;&gt;"",_xlpm.MyAuditVal,_xlpm.MacVal&lt;&gt;"",_xlpm.MacVal,_xlpm.CSVVal&lt;&gt;"",PROPER(_xlpm.CSVVal)
)),"")</f>
        <v/>
      </c>
      <c r="G600" s="45" t="str" cm="1">
        <f t="array" ref="G600">IFERROR(_xlfn.LET(
_xlpm.CSVVal,_xlfn.XLOOKUP($A600,CSV!$A:$A,CSV!G:G,""),
_xlpm.MacVal,_xlfn.XLOOKUP($A600,Output_Mac!$A:$A,Output_Mac!H:H,""),
_xlpm.MyAuditVal,_xlfn.XLOOKUP($A600,My_Audit!$A:$A,My_Audit!F:F,""),
_xlfn.IFS(_xlpm.MyAuditVal&lt;&gt;"",_xlpm.MyAuditVal,_xlpm.MacVal&lt;&gt;"",_xlpm.MacVal,_xlpm.CSVVal&lt;&gt;"",_xlpm.CSVVal
)),"")</f>
        <v/>
      </c>
      <c r="H600" s="45" t="str">
        <f>_xlfn.XLOOKUP(A600,Output_Mac!A:A,Output_Mac!I:I,"")</f>
        <v/>
      </c>
      <c r="I600" s="45" t="str" cm="1">
        <f t="array" ref="I600">IFERROR(_xlfn.LET(
_xlpm.CSVVal,_xlfn.XLOOKUP($A600,CSV!$A:$A,CSV!H:H,""),
_xlpm.MacVal,_xlfn.XLOOKUP($A600,Output_Mac!$A:$A,Output_Mac!J:J,""),
_xlpm.MyAuditVal,_xlfn.XLOOKUP($A600,My_Audit!$A:$A,My_Audit!H:H,""),
_xlfn.IFS(_xlpm.MyAuditVal&lt;&gt;"",UPPER(_xlpm.MyAuditVal),_xlpm.MacVal&lt;&gt;"",_xlpm.MacVal,_xlpm.CSVVal&lt;&gt;"",_xlpm.CSVVal
)),"")</f>
        <v/>
      </c>
      <c r="J600" s="45" t="str" cm="1">
        <f t="array" ref="J600">IFERROR(_xlfn.LET(
_xlpm.CSVVal,_xlfn.XLOOKUP($A600,CSV!$A:$A,CSV!J:J,""),
_xlpm.MacVal,_xlfn.XLOOKUP($A600,Output_Mac!$A:$A,Output_Mac!K:K,""),
_xlpm.MyAuditVal,_xlfn.XLOOKUP($A600,My_Audit!$A:$A,My_Audit!I:I,""),
_xlfn.IFS(_xlpm.MyAuditVal&lt;&gt;"",UPPER(_xlpm.MyAuditVal),_xlpm.MacVal&lt;&gt;"",_xlpm.MacVal,_xlpm.CSVVal&lt;&gt;"",_xlpm.CSVVal
)),"")</f>
        <v/>
      </c>
      <c r="K600" s="45" t="str" cm="1">
        <f t="array" ref="K600">IFERROR(_xlfn.LET(
_xlpm.CSVVal,_xlfn.XLOOKUP($A600,CSV!$A:$A,CSV!N:N,""),
_xlpm.MacVal,_xlfn.XLOOKUP($A600,Output_Mac!$A:$A,Output_Mac!L:L,""),
_xlpm.MyAuditVal,_xlfn.XLOOKUP($A600,My_Audit!$A:$A,My_Audit!J:J,""),
_xlfn.IFS(_xlpm.MyAuditVal&lt;&gt;"",UPPER(_xlpm.MyAuditVal),_xlpm.MacVal&lt;&gt;"",_xlpm.MacVal,_xlpm.CSVVal&lt;&gt;"",_xlpm.CSVVal
)),"")</f>
        <v/>
      </c>
      <c r="L600" s="45" t="str" cm="1">
        <f t="array" ref="L600">IFERROR(_xlfn.LET(
_xlpm.CSVVal,_xlfn.XLOOKUP($A600,CSV!$A:$A,CSV!P:P,""),
_xlpm.MacVal,_xlfn.XLOOKUP($A600,Output_Mac!$A:$A,Output_Mac!M:M,""),
_xlpm.MyAuditVal,_xlfn.XLOOKUP($A600,My_Audit!$A:$A,My_Audit!K:K,""),
_xlfn.IFS(_xlpm.MyAuditVal&lt;&gt;"",UPPER(_xlpm.MyAuditVal),_xlpm.MacVal&lt;&gt;"",_xlpm.MacVal,_xlpm.CSVVal&lt;&gt;"",_xlpm.CSVVal
)),"")</f>
        <v/>
      </c>
      <c r="M600" s="45" t="str">
        <f>_xlfn.LET(
    _xlpm.CSVVal, _xlfn.XLOOKUP($A600, CSV!$A:$A, CSV!AE:AE, ""),
    _xlpm.MacVal, _xlfn.XLOOKUP($A600, Output_Mac!$A:$A, Output_Mac!S:S, ""),
    _xlpm.MyAuditVal, _xlfn.XLOOKUP($A600, My_Audit!$A:$A, My_Audit!N:N, ""),
    _xlfn.TEXTJOIN(", ", TRUE, _xlpm.MyAuditVal, _xlpm.MacVal, _xlpm.CSVVal)
)</f>
        <v/>
      </c>
      <c r="N600" s="45" t="str" cm="1">
        <f t="array" ref="N600">IFERROR(_xlfn.LET(
_xlpm.CSVVal,_xlfn.XLOOKUP($A600,CSV!$A:$A,CSV!AG:AG,""),
_xlpm.MacVal,_xlfn.XLOOKUP($A600,Output_Mac!$A:$A,Output_Mac!U:U,""),
_xlpm.MyAuditVal,_xlfn.XLOOKUP($A600,My_Audit!$A:$A,My_Audit!O:O,""),
_xlfn.IFS(_xlpm.MyAuditVal&lt;&gt;"",UPPER(_xlpm.MyAuditVal),_xlpm.MacVal&lt;&gt;"",_xlpm.MacVal,_xlpm.CSVVal&lt;&gt;"",_xlpm.CSVVal
)),"")</f>
        <v/>
      </c>
      <c r="O600" s="45"/>
      <c r="P600" s="45"/>
      <c r="Q600" s="46" t="str">
        <f>IF(LEFT(N600,4)="Pass","Nist SP 800-88",My_Audit!R600)&amp;""</f>
        <v/>
      </c>
      <c r="R600" s="45"/>
      <c r="S600" s="45"/>
      <c r="T600" s="46" t="str">
        <f>_xlfn.XLOOKUP(E600,Models!I:I,Models!J:J,"")</f>
        <v/>
      </c>
      <c r="U600" s="45"/>
      <c r="V600" s="45"/>
      <c r="W600" s="38"/>
    </row>
    <row r="601" spans="1:23">
      <c r="A601" s="45" t="str">
        <f>_xlfn.TEXTJOIN("",TRUE,Input!$B$2,ROW(My_Audit!A600))</f>
        <v>XX600</v>
      </c>
      <c r="B601" s="45" t="str">
        <f>_xlfn.TEXTJOIN("-",TRUE,"ITD",Input!$A$2,A601)</f>
        <v>ITD-SHRXXX-XX600</v>
      </c>
      <c r="C601" s="45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46" t="str" cm="1">
        <f t="array" ref="D601">IFERROR(_xlfn.LET(
_xlpm.CSVVal,_xlfn.XLOOKUP($A601,CSV!$A:$A,CSV!C:C,""),
_xlpm.MacVal,_xlfn.XLOOKUP($A601,Output_Mac!$A:$A,Output_Mac!D:D,""),
_xlpm.MyAuditVal,_xlfn.XLOOKUP($A601,My_Audit!$A:$A,My_Audit!C:C,""),
_xlfn.IFS(_xlpm.MyAuditVal&lt;&gt;"",UPPER(_xlpm.MyAuditVal),_xlpm.MacVal&lt;&gt;"",_xlpm.MacVal,_xlpm.CSVVal&lt;&gt;"",_xlpm.CSVVal
)),"")</f>
        <v/>
      </c>
      <c r="E601" s="46" t="str" cm="1">
        <f t="array" ref="E601">IFERROR(_xlfn.LET(
_xlpm.CSVVal,_xlfn.XLOOKUP($A601,CSV!$A:$A,CSV!E:E,""),
_xlpm.MacVal,_xlfn.XLOOKUP($A601,Output_Mac!$A:$A,Output_Mac!C:C,""),
_xlpm.MyAuditVal,_xlfn.XLOOKUP($A601,My_Audit!$A:$A,My_Audit!D:D,""),
_xlfn.IFS(_xlpm.MyAuditVal&lt;&gt;"",_xlpm.MyAuditVal,_xlpm.MacVal&lt;&gt;"",_xlpm.MacVal,_xlpm.CSVVal&lt;&gt;"",_xlpm.CSVVal
)),"")</f>
        <v/>
      </c>
      <c r="F601" s="45" t="str" cm="1">
        <f t="array" ref="F601">IFERROR(_xlfn.LET(
_xlpm.CSVVal,_xlfn.XLOOKUP($A601,CSV!$A:$A,CSV!F:F,""),
_xlpm.MacVal,_xlfn.XLOOKUP($A601,Output_Mac!$A:$A,Output_Mac!F:F,""),
_xlpm.MyAuditVal,_xlfn.XLOOKUP($A601,My_Audit!$A:$A,My_Audit!E:E,""),
_xlfn.IFS(_xlpm.MyAuditVal&lt;&gt;"",_xlpm.MyAuditVal,_xlpm.MacVal&lt;&gt;"",_xlpm.MacVal,_xlpm.CSVVal&lt;&gt;"",PROPER(_xlpm.CSVVal)
)),"")</f>
        <v/>
      </c>
      <c r="G601" s="45" t="str" cm="1">
        <f t="array" ref="G601">IFERROR(_xlfn.LET(
_xlpm.CSVVal,_xlfn.XLOOKUP($A601,CSV!$A:$A,CSV!G:G,""),
_xlpm.MacVal,_xlfn.XLOOKUP($A601,Output_Mac!$A:$A,Output_Mac!H:H,""),
_xlpm.MyAuditVal,_xlfn.XLOOKUP($A601,My_Audit!$A:$A,My_Audit!F:F,""),
_xlfn.IFS(_xlpm.MyAuditVal&lt;&gt;"",_xlpm.MyAuditVal,_xlpm.MacVal&lt;&gt;"",_xlpm.MacVal,_xlpm.CSVVal&lt;&gt;"",_xlpm.CSVVal
)),"")</f>
        <v/>
      </c>
      <c r="H601" s="45" t="str">
        <f>_xlfn.XLOOKUP(A601,Output_Mac!A:A,Output_Mac!I:I,"")</f>
        <v/>
      </c>
      <c r="I601" s="45" t="str" cm="1">
        <f t="array" ref="I601">IFERROR(_xlfn.LET(
_xlpm.CSVVal,_xlfn.XLOOKUP($A601,CSV!$A:$A,CSV!H:H,""),
_xlpm.MacVal,_xlfn.XLOOKUP($A601,Output_Mac!$A:$A,Output_Mac!J:J,""),
_xlpm.MyAuditVal,_xlfn.XLOOKUP($A601,My_Audit!$A:$A,My_Audit!H:H,""),
_xlfn.IFS(_xlpm.MyAuditVal&lt;&gt;"",UPPER(_xlpm.MyAuditVal),_xlpm.MacVal&lt;&gt;"",_xlpm.MacVal,_xlpm.CSVVal&lt;&gt;"",_xlpm.CSVVal
)),"")</f>
        <v/>
      </c>
      <c r="J601" s="45" t="str" cm="1">
        <f t="array" ref="J601">IFERROR(_xlfn.LET(
_xlpm.CSVVal,_xlfn.XLOOKUP($A601,CSV!$A:$A,CSV!J:J,""),
_xlpm.MacVal,_xlfn.XLOOKUP($A601,Output_Mac!$A:$A,Output_Mac!K:K,""),
_xlpm.MyAuditVal,_xlfn.XLOOKUP($A601,My_Audit!$A:$A,My_Audit!I:I,""),
_xlfn.IFS(_xlpm.MyAuditVal&lt;&gt;"",UPPER(_xlpm.MyAuditVal),_xlpm.MacVal&lt;&gt;"",_xlpm.MacVal,_xlpm.CSVVal&lt;&gt;"",_xlpm.CSVVal
)),"")</f>
        <v/>
      </c>
      <c r="K601" s="45" t="str" cm="1">
        <f t="array" ref="K601">IFERROR(_xlfn.LET(
_xlpm.CSVVal,_xlfn.XLOOKUP($A601,CSV!$A:$A,CSV!N:N,""),
_xlpm.MacVal,_xlfn.XLOOKUP($A601,Output_Mac!$A:$A,Output_Mac!L:L,""),
_xlpm.MyAuditVal,_xlfn.XLOOKUP($A601,My_Audit!$A:$A,My_Audit!J:J,""),
_xlfn.IFS(_xlpm.MyAuditVal&lt;&gt;"",UPPER(_xlpm.MyAuditVal),_xlpm.MacVal&lt;&gt;"",_xlpm.MacVal,_xlpm.CSVVal&lt;&gt;"",_xlpm.CSVVal
)),"")</f>
        <v/>
      </c>
      <c r="L601" s="45" t="str" cm="1">
        <f t="array" ref="L601">IFERROR(_xlfn.LET(
_xlpm.CSVVal,_xlfn.XLOOKUP($A601,CSV!$A:$A,CSV!P:P,""),
_xlpm.MacVal,_xlfn.XLOOKUP($A601,Output_Mac!$A:$A,Output_Mac!M:M,""),
_xlpm.MyAuditVal,_xlfn.XLOOKUP($A601,My_Audit!$A:$A,My_Audit!K:K,""),
_xlfn.IFS(_xlpm.MyAuditVal&lt;&gt;"",UPPER(_xlpm.MyAuditVal),_xlpm.MacVal&lt;&gt;"",_xlpm.MacVal,_xlpm.CSVVal&lt;&gt;"",_xlpm.CSVVal
)),"")</f>
        <v/>
      </c>
      <c r="M601" s="45" t="str">
        <f>_xlfn.LET(
    _xlpm.CSVVal, _xlfn.XLOOKUP($A601, CSV!$A:$A, CSV!AE:AE, ""),
    _xlpm.MacVal, _xlfn.XLOOKUP($A601, Output_Mac!$A:$A, Output_Mac!S:S, ""),
    _xlpm.MyAuditVal, _xlfn.XLOOKUP($A601, My_Audit!$A:$A, My_Audit!N:N, ""),
    _xlfn.TEXTJOIN(", ", TRUE, _xlpm.MyAuditVal, _xlpm.MacVal, _xlpm.CSVVal)
)</f>
        <v/>
      </c>
      <c r="N601" s="45" t="str" cm="1">
        <f t="array" ref="N601">IFERROR(_xlfn.LET(
_xlpm.CSVVal,_xlfn.XLOOKUP($A601,CSV!$A:$A,CSV!AG:AG,""),
_xlpm.MacVal,_xlfn.XLOOKUP($A601,Output_Mac!$A:$A,Output_Mac!U:U,""),
_xlpm.MyAuditVal,_xlfn.XLOOKUP($A601,My_Audit!$A:$A,My_Audit!O:O,""),
_xlfn.IFS(_xlpm.MyAuditVal&lt;&gt;"",UPPER(_xlpm.MyAuditVal),_xlpm.MacVal&lt;&gt;"",_xlpm.MacVal,_xlpm.CSVVal&lt;&gt;"",_xlpm.CSVVal
)),"")</f>
        <v/>
      </c>
      <c r="O601" s="45"/>
      <c r="P601" s="45"/>
      <c r="Q601" s="46" t="str">
        <f>IF(LEFT(N601,4)="Pass","Nist SP 800-88",My_Audit!R601)&amp;""</f>
        <v/>
      </c>
      <c r="R601" s="45"/>
      <c r="S601" s="45"/>
      <c r="T601" s="46" t="str">
        <f>_xlfn.XLOOKUP(E601,Models!I:I,Models!J:J,"")</f>
        <v/>
      </c>
      <c r="U601" s="45"/>
      <c r="V601" s="45"/>
      <c r="W601" s="38"/>
    </row>
    <row r="602" spans="1:23">
      <c r="A602" s="45" t="str">
        <f>_xlfn.TEXTJOIN("",TRUE,Input!$B$2,ROW(My_Audit!A601))</f>
        <v>XX601</v>
      </c>
      <c r="B602" s="45" t="str">
        <f>_xlfn.TEXTJOIN("-",TRUE,"ITD",Input!$A$2,A602)</f>
        <v>ITD-SHRXXX-XX601</v>
      </c>
      <c r="C602" s="45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46" t="str" cm="1">
        <f t="array" ref="D602">IFERROR(_xlfn.LET(
_xlpm.CSVVal,_xlfn.XLOOKUP($A602,CSV!$A:$A,CSV!C:C,""),
_xlpm.MacVal,_xlfn.XLOOKUP($A602,Output_Mac!$A:$A,Output_Mac!D:D,""),
_xlpm.MyAuditVal,_xlfn.XLOOKUP($A602,My_Audit!$A:$A,My_Audit!C:C,""),
_xlfn.IFS(_xlpm.MyAuditVal&lt;&gt;"",UPPER(_xlpm.MyAuditVal),_xlpm.MacVal&lt;&gt;"",_xlpm.MacVal,_xlpm.CSVVal&lt;&gt;"",_xlpm.CSVVal
)),"")</f>
        <v/>
      </c>
      <c r="E602" s="46" t="str" cm="1">
        <f t="array" ref="E602">IFERROR(_xlfn.LET(
_xlpm.CSVVal,_xlfn.XLOOKUP($A602,CSV!$A:$A,CSV!E:E,""),
_xlpm.MacVal,_xlfn.XLOOKUP($A602,Output_Mac!$A:$A,Output_Mac!C:C,""),
_xlpm.MyAuditVal,_xlfn.XLOOKUP($A602,My_Audit!$A:$A,My_Audit!D:D,""),
_xlfn.IFS(_xlpm.MyAuditVal&lt;&gt;"",_xlpm.MyAuditVal,_xlpm.MacVal&lt;&gt;"",_xlpm.MacVal,_xlpm.CSVVal&lt;&gt;"",_xlpm.CSVVal
)),"")</f>
        <v/>
      </c>
      <c r="F602" s="45" t="str" cm="1">
        <f t="array" ref="F602">IFERROR(_xlfn.LET(
_xlpm.CSVVal,_xlfn.XLOOKUP($A602,CSV!$A:$A,CSV!F:F,""),
_xlpm.MacVal,_xlfn.XLOOKUP($A602,Output_Mac!$A:$A,Output_Mac!F:F,""),
_xlpm.MyAuditVal,_xlfn.XLOOKUP($A602,My_Audit!$A:$A,My_Audit!E:E,""),
_xlfn.IFS(_xlpm.MyAuditVal&lt;&gt;"",_xlpm.MyAuditVal,_xlpm.MacVal&lt;&gt;"",_xlpm.MacVal,_xlpm.CSVVal&lt;&gt;"",PROPER(_xlpm.CSVVal)
)),"")</f>
        <v/>
      </c>
      <c r="G602" s="45" t="str" cm="1">
        <f t="array" ref="G602">IFERROR(_xlfn.LET(
_xlpm.CSVVal,_xlfn.XLOOKUP($A602,CSV!$A:$A,CSV!G:G,""),
_xlpm.MacVal,_xlfn.XLOOKUP($A602,Output_Mac!$A:$A,Output_Mac!H:H,""),
_xlpm.MyAuditVal,_xlfn.XLOOKUP($A602,My_Audit!$A:$A,My_Audit!F:F,""),
_xlfn.IFS(_xlpm.MyAuditVal&lt;&gt;"",_xlpm.MyAuditVal,_xlpm.MacVal&lt;&gt;"",_xlpm.MacVal,_xlpm.CSVVal&lt;&gt;"",_xlpm.CSVVal
)),"")</f>
        <v/>
      </c>
      <c r="H602" s="45" t="str">
        <f>_xlfn.XLOOKUP(A602,Output_Mac!A:A,Output_Mac!I:I,"")</f>
        <v/>
      </c>
      <c r="I602" s="45" t="str" cm="1">
        <f t="array" ref="I602">IFERROR(_xlfn.LET(
_xlpm.CSVVal,_xlfn.XLOOKUP($A602,CSV!$A:$A,CSV!H:H,""),
_xlpm.MacVal,_xlfn.XLOOKUP($A602,Output_Mac!$A:$A,Output_Mac!J:J,""),
_xlpm.MyAuditVal,_xlfn.XLOOKUP($A602,My_Audit!$A:$A,My_Audit!H:H,""),
_xlfn.IFS(_xlpm.MyAuditVal&lt;&gt;"",UPPER(_xlpm.MyAuditVal),_xlpm.MacVal&lt;&gt;"",_xlpm.MacVal,_xlpm.CSVVal&lt;&gt;"",_xlpm.CSVVal
)),"")</f>
        <v/>
      </c>
      <c r="J602" s="45" t="str" cm="1">
        <f t="array" ref="J602">IFERROR(_xlfn.LET(
_xlpm.CSVVal,_xlfn.XLOOKUP($A602,CSV!$A:$A,CSV!J:J,""),
_xlpm.MacVal,_xlfn.XLOOKUP($A602,Output_Mac!$A:$A,Output_Mac!K:K,""),
_xlpm.MyAuditVal,_xlfn.XLOOKUP($A602,My_Audit!$A:$A,My_Audit!I:I,""),
_xlfn.IFS(_xlpm.MyAuditVal&lt;&gt;"",UPPER(_xlpm.MyAuditVal),_xlpm.MacVal&lt;&gt;"",_xlpm.MacVal,_xlpm.CSVVal&lt;&gt;"",_xlpm.CSVVal
)),"")</f>
        <v/>
      </c>
      <c r="K602" s="45" t="str" cm="1">
        <f t="array" ref="K602">IFERROR(_xlfn.LET(
_xlpm.CSVVal,_xlfn.XLOOKUP($A602,CSV!$A:$A,CSV!N:N,""),
_xlpm.MacVal,_xlfn.XLOOKUP($A602,Output_Mac!$A:$A,Output_Mac!L:L,""),
_xlpm.MyAuditVal,_xlfn.XLOOKUP($A602,My_Audit!$A:$A,My_Audit!J:J,""),
_xlfn.IFS(_xlpm.MyAuditVal&lt;&gt;"",UPPER(_xlpm.MyAuditVal),_xlpm.MacVal&lt;&gt;"",_xlpm.MacVal,_xlpm.CSVVal&lt;&gt;"",_xlpm.CSVVal
)),"")</f>
        <v/>
      </c>
      <c r="L602" s="45" t="str" cm="1">
        <f t="array" ref="L602">IFERROR(_xlfn.LET(
_xlpm.CSVVal,_xlfn.XLOOKUP($A602,CSV!$A:$A,CSV!P:P,""),
_xlpm.MacVal,_xlfn.XLOOKUP($A602,Output_Mac!$A:$A,Output_Mac!M:M,""),
_xlpm.MyAuditVal,_xlfn.XLOOKUP($A602,My_Audit!$A:$A,My_Audit!K:K,""),
_xlfn.IFS(_xlpm.MyAuditVal&lt;&gt;"",UPPER(_xlpm.MyAuditVal),_xlpm.MacVal&lt;&gt;"",_xlpm.MacVal,_xlpm.CSVVal&lt;&gt;"",_xlpm.CSVVal
)),"")</f>
        <v/>
      </c>
      <c r="M602" s="45" t="str">
        <f>_xlfn.LET(
    _xlpm.CSVVal, _xlfn.XLOOKUP($A602, CSV!$A:$A, CSV!AE:AE, ""),
    _xlpm.MacVal, _xlfn.XLOOKUP($A602, Output_Mac!$A:$A, Output_Mac!S:S, ""),
    _xlpm.MyAuditVal, _xlfn.XLOOKUP($A602, My_Audit!$A:$A, My_Audit!N:N, ""),
    _xlfn.TEXTJOIN(", ", TRUE, _xlpm.MyAuditVal, _xlpm.MacVal, _xlpm.CSVVal)
)</f>
        <v/>
      </c>
      <c r="N602" s="45" t="str" cm="1">
        <f t="array" ref="N602">IFERROR(_xlfn.LET(
_xlpm.CSVVal,_xlfn.XLOOKUP($A602,CSV!$A:$A,CSV!AG:AG,""),
_xlpm.MacVal,_xlfn.XLOOKUP($A602,Output_Mac!$A:$A,Output_Mac!U:U,""),
_xlpm.MyAuditVal,_xlfn.XLOOKUP($A602,My_Audit!$A:$A,My_Audit!O:O,""),
_xlfn.IFS(_xlpm.MyAuditVal&lt;&gt;"",UPPER(_xlpm.MyAuditVal),_xlpm.MacVal&lt;&gt;"",_xlpm.MacVal,_xlpm.CSVVal&lt;&gt;"",_xlpm.CSVVal
)),"")</f>
        <v/>
      </c>
      <c r="O602" s="45"/>
      <c r="P602" s="45"/>
      <c r="Q602" s="46" t="str">
        <f>IF(LEFT(N602,4)="Pass","Nist SP 800-88",My_Audit!R602)&amp;""</f>
        <v/>
      </c>
      <c r="R602" s="45"/>
      <c r="S602" s="45"/>
      <c r="T602" s="46" t="str">
        <f>_xlfn.XLOOKUP(E602,Models!I:I,Models!J:J,"")</f>
        <v/>
      </c>
      <c r="U602" s="45"/>
      <c r="V602" s="45"/>
      <c r="W602" s="38"/>
    </row>
    <row r="603" spans="1:23">
      <c r="A603" s="45" t="str">
        <f>_xlfn.TEXTJOIN("",TRUE,Input!$B$2,ROW(My_Audit!A602))</f>
        <v>XX602</v>
      </c>
      <c r="B603" s="45" t="str">
        <f>_xlfn.TEXTJOIN("-",TRUE,"ITD",Input!$A$2,A603)</f>
        <v>ITD-SHRXXX-XX602</v>
      </c>
      <c r="C603" s="45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46" t="str" cm="1">
        <f t="array" ref="D603">IFERROR(_xlfn.LET(
_xlpm.CSVVal,_xlfn.XLOOKUP($A603,CSV!$A:$A,CSV!C:C,""),
_xlpm.MacVal,_xlfn.XLOOKUP($A603,Output_Mac!$A:$A,Output_Mac!D:D,""),
_xlpm.MyAuditVal,_xlfn.XLOOKUP($A603,My_Audit!$A:$A,My_Audit!C:C,""),
_xlfn.IFS(_xlpm.MyAuditVal&lt;&gt;"",UPPER(_xlpm.MyAuditVal),_xlpm.MacVal&lt;&gt;"",_xlpm.MacVal,_xlpm.CSVVal&lt;&gt;"",_xlpm.CSVVal
)),"")</f>
        <v/>
      </c>
      <c r="E603" s="46" t="str" cm="1">
        <f t="array" ref="E603">IFERROR(_xlfn.LET(
_xlpm.CSVVal,_xlfn.XLOOKUP($A603,CSV!$A:$A,CSV!E:E,""),
_xlpm.MacVal,_xlfn.XLOOKUP($A603,Output_Mac!$A:$A,Output_Mac!C:C,""),
_xlpm.MyAuditVal,_xlfn.XLOOKUP($A603,My_Audit!$A:$A,My_Audit!D:D,""),
_xlfn.IFS(_xlpm.MyAuditVal&lt;&gt;"",_xlpm.MyAuditVal,_xlpm.MacVal&lt;&gt;"",_xlpm.MacVal,_xlpm.CSVVal&lt;&gt;"",_xlpm.CSVVal
)),"")</f>
        <v/>
      </c>
      <c r="F603" s="45" t="str" cm="1">
        <f t="array" ref="F603">IFERROR(_xlfn.LET(
_xlpm.CSVVal,_xlfn.XLOOKUP($A603,CSV!$A:$A,CSV!F:F,""),
_xlpm.MacVal,_xlfn.XLOOKUP($A603,Output_Mac!$A:$A,Output_Mac!F:F,""),
_xlpm.MyAuditVal,_xlfn.XLOOKUP($A603,My_Audit!$A:$A,My_Audit!E:E,""),
_xlfn.IFS(_xlpm.MyAuditVal&lt;&gt;"",_xlpm.MyAuditVal,_xlpm.MacVal&lt;&gt;"",_xlpm.MacVal,_xlpm.CSVVal&lt;&gt;"",PROPER(_xlpm.CSVVal)
)),"")</f>
        <v/>
      </c>
      <c r="G603" s="45" t="str" cm="1">
        <f t="array" ref="G603">IFERROR(_xlfn.LET(
_xlpm.CSVVal,_xlfn.XLOOKUP($A603,CSV!$A:$A,CSV!G:G,""),
_xlpm.MacVal,_xlfn.XLOOKUP($A603,Output_Mac!$A:$A,Output_Mac!H:H,""),
_xlpm.MyAuditVal,_xlfn.XLOOKUP($A603,My_Audit!$A:$A,My_Audit!F:F,""),
_xlfn.IFS(_xlpm.MyAuditVal&lt;&gt;"",_xlpm.MyAuditVal,_xlpm.MacVal&lt;&gt;"",_xlpm.MacVal,_xlpm.CSVVal&lt;&gt;"",_xlpm.CSVVal
)),"")</f>
        <v/>
      </c>
      <c r="H603" s="45" t="str">
        <f>_xlfn.XLOOKUP(A603,Output_Mac!A:A,Output_Mac!I:I,"")</f>
        <v/>
      </c>
      <c r="I603" s="45" t="str" cm="1">
        <f t="array" ref="I603">IFERROR(_xlfn.LET(
_xlpm.CSVVal,_xlfn.XLOOKUP($A603,CSV!$A:$A,CSV!H:H,""),
_xlpm.MacVal,_xlfn.XLOOKUP($A603,Output_Mac!$A:$A,Output_Mac!J:J,""),
_xlpm.MyAuditVal,_xlfn.XLOOKUP($A603,My_Audit!$A:$A,My_Audit!H:H,""),
_xlfn.IFS(_xlpm.MyAuditVal&lt;&gt;"",UPPER(_xlpm.MyAuditVal),_xlpm.MacVal&lt;&gt;"",_xlpm.MacVal,_xlpm.CSVVal&lt;&gt;"",_xlpm.CSVVal
)),"")</f>
        <v/>
      </c>
      <c r="J603" s="45" t="str" cm="1">
        <f t="array" ref="J603">IFERROR(_xlfn.LET(
_xlpm.CSVVal,_xlfn.XLOOKUP($A603,CSV!$A:$A,CSV!J:J,""),
_xlpm.MacVal,_xlfn.XLOOKUP($A603,Output_Mac!$A:$A,Output_Mac!K:K,""),
_xlpm.MyAuditVal,_xlfn.XLOOKUP($A603,My_Audit!$A:$A,My_Audit!I:I,""),
_xlfn.IFS(_xlpm.MyAuditVal&lt;&gt;"",UPPER(_xlpm.MyAuditVal),_xlpm.MacVal&lt;&gt;"",_xlpm.MacVal,_xlpm.CSVVal&lt;&gt;"",_xlpm.CSVVal
)),"")</f>
        <v/>
      </c>
      <c r="K603" s="45" t="str" cm="1">
        <f t="array" ref="K603">IFERROR(_xlfn.LET(
_xlpm.CSVVal,_xlfn.XLOOKUP($A603,CSV!$A:$A,CSV!N:N,""),
_xlpm.MacVal,_xlfn.XLOOKUP($A603,Output_Mac!$A:$A,Output_Mac!L:L,""),
_xlpm.MyAuditVal,_xlfn.XLOOKUP($A603,My_Audit!$A:$A,My_Audit!J:J,""),
_xlfn.IFS(_xlpm.MyAuditVal&lt;&gt;"",UPPER(_xlpm.MyAuditVal),_xlpm.MacVal&lt;&gt;"",_xlpm.MacVal,_xlpm.CSVVal&lt;&gt;"",_xlpm.CSVVal
)),"")</f>
        <v/>
      </c>
      <c r="L603" s="45" t="str" cm="1">
        <f t="array" ref="L603">IFERROR(_xlfn.LET(
_xlpm.CSVVal,_xlfn.XLOOKUP($A603,CSV!$A:$A,CSV!P:P,""),
_xlpm.MacVal,_xlfn.XLOOKUP($A603,Output_Mac!$A:$A,Output_Mac!M:M,""),
_xlpm.MyAuditVal,_xlfn.XLOOKUP($A603,My_Audit!$A:$A,My_Audit!K:K,""),
_xlfn.IFS(_xlpm.MyAuditVal&lt;&gt;"",UPPER(_xlpm.MyAuditVal),_xlpm.MacVal&lt;&gt;"",_xlpm.MacVal,_xlpm.CSVVal&lt;&gt;"",_xlpm.CSVVal
)),"")</f>
        <v/>
      </c>
      <c r="M603" s="45" t="str">
        <f>_xlfn.LET(
    _xlpm.CSVVal, _xlfn.XLOOKUP($A603, CSV!$A:$A, CSV!AE:AE, ""),
    _xlpm.MacVal, _xlfn.XLOOKUP($A603, Output_Mac!$A:$A, Output_Mac!S:S, ""),
    _xlpm.MyAuditVal, _xlfn.XLOOKUP($A603, My_Audit!$A:$A, My_Audit!N:N, ""),
    _xlfn.TEXTJOIN(", ", TRUE, _xlpm.MyAuditVal, _xlpm.MacVal, _xlpm.CSVVal)
)</f>
        <v/>
      </c>
      <c r="N603" s="45" t="str" cm="1">
        <f t="array" ref="N603">IFERROR(_xlfn.LET(
_xlpm.CSVVal,_xlfn.XLOOKUP($A603,CSV!$A:$A,CSV!AG:AG,""),
_xlpm.MacVal,_xlfn.XLOOKUP($A603,Output_Mac!$A:$A,Output_Mac!U:U,""),
_xlpm.MyAuditVal,_xlfn.XLOOKUP($A603,My_Audit!$A:$A,My_Audit!O:O,""),
_xlfn.IFS(_xlpm.MyAuditVal&lt;&gt;"",UPPER(_xlpm.MyAuditVal),_xlpm.MacVal&lt;&gt;"",_xlpm.MacVal,_xlpm.CSVVal&lt;&gt;"",_xlpm.CSVVal
)),"")</f>
        <v/>
      </c>
      <c r="O603" s="45"/>
      <c r="P603" s="45"/>
      <c r="Q603" s="46" t="str">
        <f>IF(LEFT(N603,4)="Pass","Nist SP 800-88",My_Audit!R603)&amp;""</f>
        <v/>
      </c>
      <c r="R603" s="45"/>
      <c r="S603" s="45"/>
      <c r="T603" s="46" t="str">
        <f>_xlfn.XLOOKUP(E603,Models!I:I,Models!J:J,"")</f>
        <v/>
      </c>
      <c r="U603" s="45"/>
      <c r="V603" s="45"/>
      <c r="W603" s="38"/>
    </row>
    <row r="604" spans="1:23">
      <c r="A604" s="45" t="str">
        <f>_xlfn.TEXTJOIN("",TRUE,Input!$B$2,ROW(My_Audit!A603))</f>
        <v>XX603</v>
      </c>
      <c r="B604" s="45" t="str">
        <f>_xlfn.TEXTJOIN("-",TRUE,"ITD",Input!$A$2,A604)</f>
        <v>ITD-SHRXXX-XX603</v>
      </c>
      <c r="C604" s="45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46" t="str" cm="1">
        <f t="array" ref="D604">IFERROR(_xlfn.LET(
_xlpm.CSVVal,_xlfn.XLOOKUP($A604,CSV!$A:$A,CSV!C:C,""),
_xlpm.MacVal,_xlfn.XLOOKUP($A604,Output_Mac!$A:$A,Output_Mac!D:D,""),
_xlpm.MyAuditVal,_xlfn.XLOOKUP($A604,My_Audit!$A:$A,My_Audit!C:C,""),
_xlfn.IFS(_xlpm.MyAuditVal&lt;&gt;"",UPPER(_xlpm.MyAuditVal),_xlpm.MacVal&lt;&gt;"",_xlpm.MacVal,_xlpm.CSVVal&lt;&gt;"",_xlpm.CSVVal
)),"")</f>
        <v/>
      </c>
      <c r="E604" s="46" t="str" cm="1">
        <f t="array" ref="E604">IFERROR(_xlfn.LET(
_xlpm.CSVVal,_xlfn.XLOOKUP($A604,CSV!$A:$A,CSV!E:E,""),
_xlpm.MacVal,_xlfn.XLOOKUP($A604,Output_Mac!$A:$A,Output_Mac!C:C,""),
_xlpm.MyAuditVal,_xlfn.XLOOKUP($A604,My_Audit!$A:$A,My_Audit!D:D,""),
_xlfn.IFS(_xlpm.MyAuditVal&lt;&gt;"",_xlpm.MyAuditVal,_xlpm.MacVal&lt;&gt;"",_xlpm.MacVal,_xlpm.CSVVal&lt;&gt;"",_xlpm.CSVVal
)),"")</f>
        <v/>
      </c>
      <c r="F604" s="45" t="str" cm="1">
        <f t="array" ref="F604">IFERROR(_xlfn.LET(
_xlpm.CSVVal,_xlfn.XLOOKUP($A604,CSV!$A:$A,CSV!F:F,""),
_xlpm.MacVal,_xlfn.XLOOKUP($A604,Output_Mac!$A:$A,Output_Mac!F:F,""),
_xlpm.MyAuditVal,_xlfn.XLOOKUP($A604,My_Audit!$A:$A,My_Audit!E:E,""),
_xlfn.IFS(_xlpm.MyAuditVal&lt;&gt;"",_xlpm.MyAuditVal,_xlpm.MacVal&lt;&gt;"",_xlpm.MacVal,_xlpm.CSVVal&lt;&gt;"",PROPER(_xlpm.CSVVal)
)),"")</f>
        <v/>
      </c>
      <c r="G604" s="45" t="str" cm="1">
        <f t="array" ref="G604">IFERROR(_xlfn.LET(
_xlpm.CSVVal,_xlfn.XLOOKUP($A604,CSV!$A:$A,CSV!G:G,""),
_xlpm.MacVal,_xlfn.XLOOKUP($A604,Output_Mac!$A:$A,Output_Mac!H:H,""),
_xlpm.MyAuditVal,_xlfn.XLOOKUP($A604,My_Audit!$A:$A,My_Audit!F:F,""),
_xlfn.IFS(_xlpm.MyAuditVal&lt;&gt;"",_xlpm.MyAuditVal,_xlpm.MacVal&lt;&gt;"",_xlpm.MacVal,_xlpm.CSVVal&lt;&gt;"",_xlpm.CSVVal
)),"")</f>
        <v/>
      </c>
      <c r="H604" s="45" t="str">
        <f>_xlfn.XLOOKUP(A604,Output_Mac!A:A,Output_Mac!I:I,"")</f>
        <v/>
      </c>
      <c r="I604" s="45" t="str" cm="1">
        <f t="array" ref="I604">IFERROR(_xlfn.LET(
_xlpm.CSVVal,_xlfn.XLOOKUP($A604,CSV!$A:$A,CSV!H:H,""),
_xlpm.MacVal,_xlfn.XLOOKUP($A604,Output_Mac!$A:$A,Output_Mac!J:J,""),
_xlpm.MyAuditVal,_xlfn.XLOOKUP($A604,My_Audit!$A:$A,My_Audit!H:H,""),
_xlfn.IFS(_xlpm.MyAuditVal&lt;&gt;"",UPPER(_xlpm.MyAuditVal),_xlpm.MacVal&lt;&gt;"",_xlpm.MacVal,_xlpm.CSVVal&lt;&gt;"",_xlpm.CSVVal
)),"")</f>
        <v/>
      </c>
      <c r="J604" s="45" t="str" cm="1">
        <f t="array" ref="J604">IFERROR(_xlfn.LET(
_xlpm.CSVVal,_xlfn.XLOOKUP($A604,CSV!$A:$A,CSV!J:J,""),
_xlpm.MacVal,_xlfn.XLOOKUP($A604,Output_Mac!$A:$A,Output_Mac!K:K,""),
_xlpm.MyAuditVal,_xlfn.XLOOKUP($A604,My_Audit!$A:$A,My_Audit!I:I,""),
_xlfn.IFS(_xlpm.MyAuditVal&lt;&gt;"",UPPER(_xlpm.MyAuditVal),_xlpm.MacVal&lt;&gt;"",_xlpm.MacVal,_xlpm.CSVVal&lt;&gt;"",_xlpm.CSVVal
)),"")</f>
        <v/>
      </c>
      <c r="K604" s="45" t="str" cm="1">
        <f t="array" ref="K604">IFERROR(_xlfn.LET(
_xlpm.CSVVal,_xlfn.XLOOKUP($A604,CSV!$A:$A,CSV!N:N,""),
_xlpm.MacVal,_xlfn.XLOOKUP($A604,Output_Mac!$A:$A,Output_Mac!L:L,""),
_xlpm.MyAuditVal,_xlfn.XLOOKUP($A604,My_Audit!$A:$A,My_Audit!J:J,""),
_xlfn.IFS(_xlpm.MyAuditVal&lt;&gt;"",UPPER(_xlpm.MyAuditVal),_xlpm.MacVal&lt;&gt;"",_xlpm.MacVal,_xlpm.CSVVal&lt;&gt;"",_xlpm.CSVVal
)),"")</f>
        <v/>
      </c>
      <c r="L604" s="45" t="str" cm="1">
        <f t="array" ref="L604">IFERROR(_xlfn.LET(
_xlpm.CSVVal,_xlfn.XLOOKUP($A604,CSV!$A:$A,CSV!P:P,""),
_xlpm.MacVal,_xlfn.XLOOKUP($A604,Output_Mac!$A:$A,Output_Mac!M:M,""),
_xlpm.MyAuditVal,_xlfn.XLOOKUP($A604,My_Audit!$A:$A,My_Audit!K:K,""),
_xlfn.IFS(_xlpm.MyAuditVal&lt;&gt;"",UPPER(_xlpm.MyAuditVal),_xlpm.MacVal&lt;&gt;"",_xlpm.MacVal,_xlpm.CSVVal&lt;&gt;"",_xlpm.CSVVal
)),"")</f>
        <v/>
      </c>
      <c r="M604" s="45" t="str">
        <f>_xlfn.LET(
    _xlpm.CSVVal, _xlfn.XLOOKUP($A604, CSV!$A:$A, CSV!AE:AE, ""),
    _xlpm.MacVal, _xlfn.XLOOKUP($A604, Output_Mac!$A:$A, Output_Mac!S:S, ""),
    _xlpm.MyAuditVal, _xlfn.XLOOKUP($A604, My_Audit!$A:$A, My_Audit!N:N, ""),
    _xlfn.TEXTJOIN(", ", TRUE, _xlpm.MyAuditVal, _xlpm.MacVal, _xlpm.CSVVal)
)</f>
        <v/>
      </c>
      <c r="N604" s="45" t="str" cm="1">
        <f t="array" ref="N604">IFERROR(_xlfn.LET(
_xlpm.CSVVal,_xlfn.XLOOKUP($A604,CSV!$A:$A,CSV!AG:AG,""),
_xlpm.MacVal,_xlfn.XLOOKUP($A604,Output_Mac!$A:$A,Output_Mac!U:U,""),
_xlpm.MyAuditVal,_xlfn.XLOOKUP($A604,My_Audit!$A:$A,My_Audit!O:O,""),
_xlfn.IFS(_xlpm.MyAuditVal&lt;&gt;"",UPPER(_xlpm.MyAuditVal),_xlpm.MacVal&lt;&gt;"",_xlpm.MacVal,_xlpm.CSVVal&lt;&gt;"",_xlpm.CSVVal
)),"")</f>
        <v/>
      </c>
      <c r="O604" s="45"/>
      <c r="P604" s="45"/>
      <c r="Q604" s="46" t="str">
        <f>IF(LEFT(N604,4)="Pass","Nist SP 800-88",My_Audit!R604)&amp;""</f>
        <v/>
      </c>
      <c r="R604" s="45"/>
      <c r="S604" s="45"/>
      <c r="T604" s="46" t="str">
        <f>_xlfn.XLOOKUP(E604,Models!I:I,Models!J:J,"")</f>
        <v/>
      </c>
      <c r="U604" s="45"/>
      <c r="V604" s="45"/>
      <c r="W604" s="38"/>
    </row>
    <row r="605" spans="1:23">
      <c r="A605" s="45" t="str">
        <f>_xlfn.TEXTJOIN("",TRUE,Input!$B$2,ROW(My_Audit!A604))</f>
        <v>XX604</v>
      </c>
      <c r="B605" s="45" t="str">
        <f>_xlfn.TEXTJOIN("-",TRUE,"ITD",Input!$A$2,A605)</f>
        <v>ITD-SHRXXX-XX604</v>
      </c>
      <c r="C605" s="45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46" t="str" cm="1">
        <f t="array" ref="D605">IFERROR(_xlfn.LET(
_xlpm.CSVVal,_xlfn.XLOOKUP($A605,CSV!$A:$A,CSV!C:C,""),
_xlpm.MacVal,_xlfn.XLOOKUP($A605,Output_Mac!$A:$A,Output_Mac!D:D,""),
_xlpm.MyAuditVal,_xlfn.XLOOKUP($A605,My_Audit!$A:$A,My_Audit!C:C,""),
_xlfn.IFS(_xlpm.MyAuditVal&lt;&gt;"",UPPER(_xlpm.MyAuditVal),_xlpm.MacVal&lt;&gt;"",_xlpm.MacVal,_xlpm.CSVVal&lt;&gt;"",_xlpm.CSVVal
)),"")</f>
        <v/>
      </c>
      <c r="E605" s="46" t="str" cm="1">
        <f t="array" ref="E605">IFERROR(_xlfn.LET(
_xlpm.CSVVal,_xlfn.XLOOKUP($A605,CSV!$A:$A,CSV!E:E,""),
_xlpm.MacVal,_xlfn.XLOOKUP($A605,Output_Mac!$A:$A,Output_Mac!C:C,""),
_xlpm.MyAuditVal,_xlfn.XLOOKUP($A605,My_Audit!$A:$A,My_Audit!D:D,""),
_xlfn.IFS(_xlpm.MyAuditVal&lt;&gt;"",_xlpm.MyAuditVal,_xlpm.MacVal&lt;&gt;"",_xlpm.MacVal,_xlpm.CSVVal&lt;&gt;"",_xlpm.CSVVal
)),"")</f>
        <v/>
      </c>
      <c r="F605" s="45" t="str" cm="1">
        <f t="array" ref="F605">IFERROR(_xlfn.LET(
_xlpm.CSVVal,_xlfn.XLOOKUP($A605,CSV!$A:$A,CSV!F:F,""),
_xlpm.MacVal,_xlfn.XLOOKUP($A605,Output_Mac!$A:$A,Output_Mac!F:F,""),
_xlpm.MyAuditVal,_xlfn.XLOOKUP($A605,My_Audit!$A:$A,My_Audit!E:E,""),
_xlfn.IFS(_xlpm.MyAuditVal&lt;&gt;"",_xlpm.MyAuditVal,_xlpm.MacVal&lt;&gt;"",_xlpm.MacVal,_xlpm.CSVVal&lt;&gt;"",PROPER(_xlpm.CSVVal)
)),"")</f>
        <v/>
      </c>
      <c r="G605" s="45" t="str" cm="1">
        <f t="array" ref="G605">IFERROR(_xlfn.LET(
_xlpm.CSVVal,_xlfn.XLOOKUP($A605,CSV!$A:$A,CSV!G:G,""),
_xlpm.MacVal,_xlfn.XLOOKUP($A605,Output_Mac!$A:$A,Output_Mac!H:H,""),
_xlpm.MyAuditVal,_xlfn.XLOOKUP($A605,My_Audit!$A:$A,My_Audit!F:F,""),
_xlfn.IFS(_xlpm.MyAuditVal&lt;&gt;"",_xlpm.MyAuditVal,_xlpm.MacVal&lt;&gt;"",_xlpm.MacVal,_xlpm.CSVVal&lt;&gt;"",_xlpm.CSVVal
)),"")</f>
        <v/>
      </c>
      <c r="H605" s="45" t="str">
        <f>_xlfn.XLOOKUP(A605,Output_Mac!A:A,Output_Mac!I:I,"")</f>
        <v/>
      </c>
      <c r="I605" s="45" t="str" cm="1">
        <f t="array" ref="I605">IFERROR(_xlfn.LET(
_xlpm.CSVVal,_xlfn.XLOOKUP($A605,CSV!$A:$A,CSV!H:H,""),
_xlpm.MacVal,_xlfn.XLOOKUP($A605,Output_Mac!$A:$A,Output_Mac!J:J,""),
_xlpm.MyAuditVal,_xlfn.XLOOKUP($A605,My_Audit!$A:$A,My_Audit!H:H,""),
_xlfn.IFS(_xlpm.MyAuditVal&lt;&gt;"",UPPER(_xlpm.MyAuditVal),_xlpm.MacVal&lt;&gt;"",_xlpm.MacVal,_xlpm.CSVVal&lt;&gt;"",_xlpm.CSVVal
)),"")</f>
        <v/>
      </c>
      <c r="J605" s="45" t="str" cm="1">
        <f t="array" ref="J605">IFERROR(_xlfn.LET(
_xlpm.CSVVal,_xlfn.XLOOKUP($A605,CSV!$A:$A,CSV!J:J,""),
_xlpm.MacVal,_xlfn.XLOOKUP($A605,Output_Mac!$A:$A,Output_Mac!K:K,""),
_xlpm.MyAuditVal,_xlfn.XLOOKUP($A605,My_Audit!$A:$A,My_Audit!I:I,""),
_xlfn.IFS(_xlpm.MyAuditVal&lt;&gt;"",UPPER(_xlpm.MyAuditVal),_xlpm.MacVal&lt;&gt;"",_xlpm.MacVal,_xlpm.CSVVal&lt;&gt;"",_xlpm.CSVVal
)),"")</f>
        <v/>
      </c>
      <c r="K605" s="45" t="str" cm="1">
        <f t="array" ref="K605">IFERROR(_xlfn.LET(
_xlpm.CSVVal,_xlfn.XLOOKUP($A605,CSV!$A:$A,CSV!N:N,""),
_xlpm.MacVal,_xlfn.XLOOKUP($A605,Output_Mac!$A:$A,Output_Mac!L:L,""),
_xlpm.MyAuditVal,_xlfn.XLOOKUP($A605,My_Audit!$A:$A,My_Audit!J:J,""),
_xlfn.IFS(_xlpm.MyAuditVal&lt;&gt;"",UPPER(_xlpm.MyAuditVal),_xlpm.MacVal&lt;&gt;"",_xlpm.MacVal,_xlpm.CSVVal&lt;&gt;"",_xlpm.CSVVal
)),"")</f>
        <v/>
      </c>
      <c r="L605" s="45" t="str" cm="1">
        <f t="array" ref="L605">IFERROR(_xlfn.LET(
_xlpm.CSVVal,_xlfn.XLOOKUP($A605,CSV!$A:$A,CSV!P:P,""),
_xlpm.MacVal,_xlfn.XLOOKUP($A605,Output_Mac!$A:$A,Output_Mac!M:M,""),
_xlpm.MyAuditVal,_xlfn.XLOOKUP($A605,My_Audit!$A:$A,My_Audit!K:K,""),
_xlfn.IFS(_xlpm.MyAuditVal&lt;&gt;"",UPPER(_xlpm.MyAuditVal),_xlpm.MacVal&lt;&gt;"",_xlpm.MacVal,_xlpm.CSVVal&lt;&gt;"",_xlpm.CSVVal
)),"")</f>
        <v/>
      </c>
      <c r="M605" s="45" t="str">
        <f>_xlfn.LET(
    _xlpm.CSVVal, _xlfn.XLOOKUP($A605, CSV!$A:$A, CSV!AE:AE, ""),
    _xlpm.MacVal, _xlfn.XLOOKUP($A605, Output_Mac!$A:$A, Output_Mac!S:S, ""),
    _xlpm.MyAuditVal, _xlfn.XLOOKUP($A605, My_Audit!$A:$A, My_Audit!N:N, ""),
    _xlfn.TEXTJOIN(", ", TRUE, _xlpm.MyAuditVal, _xlpm.MacVal, _xlpm.CSVVal)
)</f>
        <v/>
      </c>
      <c r="N605" s="45" t="str" cm="1">
        <f t="array" ref="N605">IFERROR(_xlfn.LET(
_xlpm.CSVVal,_xlfn.XLOOKUP($A605,CSV!$A:$A,CSV!AG:AG,""),
_xlpm.MacVal,_xlfn.XLOOKUP($A605,Output_Mac!$A:$A,Output_Mac!U:U,""),
_xlpm.MyAuditVal,_xlfn.XLOOKUP($A605,My_Audit!$A:$A,My_Audit!O:O,""),
_xlfn.IFS(_xlpm.MyAuditVal&lt;&gt;"",UPPER(_xlpm.MyAuditVal),_xlpm.MacVal&lt;&gt;"",_xlpm.MacVal,_xlpm.CSVVal&lt;&gt;"",_xlpm.CSVVal
)),"")</f>
        <v/>
      </c>
      <c r="O605" s="45"/>
      <c r="P605" s="45"/>
      <c r="Q605" s="46" t="str">
        <f>IF(LEFT(N605,4)="Pass","Nist SP 800-88",My_Audit!R605)&amp;""</f>
        <v/>
      </c>
      <c r="R605" s="45"/>
      <c r="S605" s="45"/>
      <c r="T605" s="46" t="str">
        <f>_xlfn.XLOOKUP(E605,Models!I:I,Models!J:J,"")</f>
        <v/>
      </c>
      <c r="U605" s="45"/>
      <c r="V605" s="45"/>
      <c r="W605" s="38"/>
    </row>
    <row r="606" spans="1:23">
      <c r="A606" s="45" t="str">
        <f>_xlfn.TEXTJOIN("",TRUE,Input!$B$2,ROW(My_Audit!A605))</f>
        <v>XX605</v>
      </c>
      <c r="B606" s="45" t="str">
        <f>_xlfn.TEXTJOIN("-",TRUE,"ITD",Input!$A$2,A606)</f>
        <v>ITD-SHRXXX-XX605</v>
      </c>
      <c r="C606" s="45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46" t="str" cm="1">
        <f t="array" ref="D606">IFERROR(_xlfn.LET(
_xlpm.CSVVal,_xlfn.XLOOKUP($A606,CSV!$A:$A,CSV!C:C,""),
_xlpm.MacVal,_xlfn.XLOOKUP($A606,Output_Mac!$A:$A,Output_Mac!D:D,""),
_xlpm.MyAuditVal,_xlfn.XLOOKUP($A606,My_Audit!$A:$A,My_Audit!C:C,""),
_xlfn.IFS(_xlpm.MyAuditVal&lt;&gt;"",UPPER(_xlpm.MyAuditVal),_xlpm.MacVal&lt;&gt;"",_xlpm.MacVal,_xlpm.CSVVal&lt;&gt;"",_xlpm.CSVVal
)),"")</f>
        <v/>
      </c>
      <c r="E606" s="46" t="str" cm="1">
        <f t="array" ref="E606">IFERROR(_xlfn.LET(
_xlpm.CSVVal,_xlfn.XLOOKUP($A606,CSV!$A:$A,CSV!E:E,""),
_xlpm.MacVal,_xlfn.XLOOKUP($A606,Output_Mac!$A:$A,Output_Mac!C:C,""),
_xlpm.MyAuditVal,_xlfn.XLOOKUP($A606,My_Audit!$A:$A,My_Audit!D:D,""),
_xlfn.IFS(_xlpm.MyAuditVal&lt;&gt;"",_xlpm.MyAuditVal,_xlpm.MacVal&lt;&gt;"",_xlpm.MacVal,_xlpm.CSVVal&lt;&gt;"",_xlpm.CSVVal
)),"")</f>
        <v/>
      </c>
      <c r="F606" s="45" t="str" cm="1">
        <f t="array" ref="F606">IFERROR(_xlfn.LET(
_xlpm.CSVVal,_xlfn.XLOOKUP($A606,CSV!$A:$A,CSV!F:F,""),
_xlpm.MacVal,_xlfn.XLOOKUP($A606,Output_Mac!$A:$A,Output_Mac!F:F,""),
_xlpm.MyAuditVal,_xlfn.XLOOKUP($A606,My_Audit!$A:$A,My_Audit!E:E,""),
_xlfn.IFS(_xlpm.MyAuditVal&lt;&gt;"",_xlpm.MyAuditVal,_xlpm.MacVal&lt;&gt;"",_xlpm.MacVal,_xlpm.CSVVal&lt;&gt;"",PROPER(_xlpm.CSVVal)
)),"")</f>
        <v/>
      </c>
      <c r="G606" s="45" t="str" cm="1">
        <f t="array" ref="G606">IFERROR(_xlfn.LET(
_xlpm.CSVVal,_xlfn.XLOOKUP($A606,CSV!$A:$A,CSV!G:G,""),
_xlpm.MacVal,_xlfn.XLOOKUP($A606,Output_Mac!$A:$A,Output_Mac!H:H,""),
_xlpm.MyAuditVal,_xlfn.XLOOKUP($A606,My_Audit!$A:$A,My_Audit!F:F,""),
_xlfn.IFS(_xlpm.MyAuditVal&lt;&gt;"",_xlpm.MyAuditVal,_xlpm.MacVal&lt;&gt;"",_xlpm.MacVal,_xlpm.CSVVal&lt;&gt;"",_xlpm.CSVVal
)),"")</f>
        <v/>
      </c>
      <c r="H606" s="45" t="str">
        <f>_xlfn.XLOOKUP(A606,Output_Mac!A:A,Output_Mac!I:I,"")</f>
        <v/>
      </c>
      <c r="I606" s="45" t="str" cm="1">
        <f t="array" ref="I606">IFERROR(_xlfn.LET(
_xlpm.CSVVal,_xlfn.XLOOKUP($A606,CSV!$A:$A,CSV!H:H,""),
_xlpm.MacVal,_xlfn.XLOOKUP($A606,Output_Mac!$A:$A,Output_Mac!J:J,""),
_xlpm.MyAuditVal,_xlfn.XLOOKUP($A606,My_Audit!$A:$A,My_Audit!H:H,""),
_xlfn.IFS(_xlpm.MyAuditVal&lt;&gt;"",UPPER(_xlpm.MyAuditVal),_xlpm.MacVal&lt;&gt;"",_xlpm.MacVal,_xlpm.CSVVal&lt;&gt;"",_xlpm.CSVVal
)),"")</f>
        <v/>
      </c>
      <c r="J606" s="45" t="str" cm="1">
        <f t="array" ref="J606">IFERROR(_xlfn.LET(
_xlpm.CSVVal,_xlfn.XLOOKUP($A606,CSV!$A:$A,CSV!J:J,""),
_xlpm.MacVal,_xlfn.XLOOKUP($A606,Output_Mac!$A:$A,Output_Mac!K:K,""),
_xlpm.MyAuditVal,_xlfn.XLOOKUP($A606,My_Audit!$A:$A,My_Audit!I:I,""),
_xlfn.IFS(_xlpm.MyAuditVal&lt;&gt;"",UPPER(_xlpm.MyAuditVal),_xlpm.MacVal&lt;&gt;"",_xlpm.MacVal,_xlpm.CSVVal&lt;&gt;"",_xlpm.CSVVal
)),"")</f>
        <v/>
      </c>
      <c r="K606" s="45" t="str" cm="1">
        <f t="array" ref="K606">IFERROR(_xlfn.LET(
_xlpm.CSVVal,_xlfn.XLOOKUP($A606,CSV!$A:$A,CSV!N:N,""),
_xlpm.MacVal,_xlfn.XLOOKUP($A606,Output_Mac!$A:$A,Output_Mac!L:L,""),
_xlpm.MyAuditVal,_xlfn.XLOOKUP($A606,My_Audit!$A:$A,My_Audit!J:J,""),
_xlfn.IFS(_xlpm.MyAuditVal&lt;&gt;"",UPPER(_xlpm.MyAuditVal),_xlpm.MacVal&lt;&gt;"",_xlpm.MacVal,_xlpm.CSVVal&lt;&gt;"",_xlpm.CSVVal
)),"")</f>
        <v/>
      </c>
      <c r="L606" s="45" t="str" cm="1">
        <f t="array" ref="L606">IFERROR(_xlfn.LET(
_xlpm.CSVVal,_xlfn.XLOOKUP($A606,CSV!$A:$A,CSV!P:P,""),
_xlpm.MacVal,_xlfn.XLOOKUP($A606,Output_Mac!$A:$A,Output_Mac!M:M,""),
_xlpm.MyAuditVal,_xlfn.XLOOKUP($A606,My_Audit!$A:$A,My_Audit!K:K,""),
_xlfn.IFS(_xlpm.MyAuditVal&lt;&gt;"",UPPER(_xlpm.MyAuditVal),_xlpm.MacVal&lt;&gt;"",_xlpm.MacVal,_xlpm.CSVVal&lt;&gt;"",_xlpm.CSVVal
)),"")</f>
        <v/>
      </c>
      <c r="M606" s="45" t="str">
        <f>_xlfn.LET(
    _xlpm.CSVVal, _xlfn.XLOOKUP($A606, CSV!$A:$A, CSV!AE:AE, ""),
    _xlpm.MacVal, _xlfn.XLOOKUP($A606, Output_Mac!$A:$A, Output_Mac!S:S, ""),
    _xlpm.MyAuditVal, _xlfn.XLOOKUP($A606, My_Audit!$A:$A, My_Audit!N:N, ""),
    _xlfn.TEXTJOIN(", ", TRUE, _xlpm.MyAuditVal, _xlpm.MacVal, _xlpm.CSVVal)
)</f>
        <v/>
      </c>
      <c r="N606" s="45" t="str" cm="1">
        <f t="array" ref="N606">IFERROR(_xlfn.LET(
_xlpm.CSVVal,_xlfn.XLOOKUP($A606,CSV!$A:$A,CSV!AG:AG,""),
_xlpm.MacVal,_xlfn.XLOOKUP($A606,Output_Mac!$A:$A,Output_Mac!U:U,""),
_xlpm.MyAuditVal,_xlfn.XLOOKUP($A606,My_Audit!$A:$A,My_Audit!O:O,""),
_xlfn.IFS(_xlpm.MyAuditVal&lt;&gt;"",UPPER(_xlpm.MyAuditVal),_xlpm.MacVal&lt;&gt;"",_xlpm.MacVal,_xlpm.CSVVal&lt;&gt;"",_xlpm.CSVVal
)),"")</f>
        <v/>
      </c>
      <c r="O606" s="45"/>
      <c r="P606" s="45"/>
      <c r="Q606" s="46" t="str">
        <f>IF(LEFT(N606,4)="Pass","Nist SP 800-88",My_Audit!R606)&amp;""</f>
        <v/>
      </c>
      <c r="R606" s="45"/>
      <c r="S606" s="45"/>
      <c r="T606" s="46" t="str">
        <f>_xlfn.XLOOKUP(E606,Models!I:I,Models!J:J,"")</f>
        <v/>
      </c>
      <c r="U606" s="45"/>
      <c r="V606" s="45"/>
      <c r="W606" s="38"/>
    </row>
    <row r="607" spans="1:23">
      <c r="A607" s="45" t="str">
        <f>_xlfn.TEXTJOIN("",TRUE,Input!$B$2,ROW(My_Audit!A606))</f>
        <v>XX606</v>
      </c>
      <c r="B607" s="45" t="str">
        <f>_xlfn.TEXTJOIN("-",TRUE,"ITD",Input!$A$2,A607)</f>
        <v>ITD-SHRXXX-XX606</v>
      </c>
      <c r="C607" s="45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46" t="str" cm="1">
        <f t="array" ref="D607">IFERROR(_xlfn.LET(
_xlpm.CSVVal,_xlfn.XLOOKUP($A607,CSV!$A:$A,CSV!C:C,""),
_xlpm.MacVal,_xlfn.XLOOKUP($A607,Output_Mac!$A:$A,Output_Mac!D:D,""),
_xlpm.MyAuditVal,_xlfn.XLOOKUP($A607,My_Audit!$A:$A,My_Audit!C:C,""),
_xlfn.IFS(_xlpm.MyAuditVal&lt;&gt;"",UPPER(_xlpm.MyAuditVal),_xlpm.MacVal&lt;&gt;"",_xlpm.MacVal,_xlpm.CSVVal&lt;&gt;"",_xlpm.CSVVal
)),"")</f>
        <v/>
      </c>
      <c r="E607" s="46" t="str" cm="1">
        <f t="array" ref="E607">IFERROR(_xlfn.LET(
_xlpm.CSVVal,_xlfn.XLOOKUP($A607,CSV!$A:$A,CSV!E:E,""),
_xlpm.MacVal,_xlfn.XLOOKUP($A607,Output_Mac!$A:$A,Output_Mac!C:C,""),
_xlpm.MyAuditVal,_xlfn.XLOOKUP($A607,My_Audit!$A:$A,My_Audit!D:D,""),
_xlfn.IFS(_xlpm.MyAuditVal&lt;&gt;"",_xlpm.MyAuditVal,_xlpm.MacVal&lt;&gt;"",_xlpm.MacVal,_xlpm.CSVVal&lt;&gt;"",_xlpm.CSVVal
)),"")</f>
        <v/>
      </c>
      <c r="F607" s="45" t="str" cm="1">
        <f t="array" ref="F607">IFERROR(_xlfn.LET(
_xlpm.CSVVal,_xlfn.XLOOKUP($A607,CSV!$A:$A,CSV!F:F,""),
_xlpm.MacVal,_xlfn.XLOOKUP($A607,Output_Mac!$A:$A,Output_Mac!F:F,""),
_xlpm.MyAuditVal,_xlfn.XLOOKUP($A607,My_Audit!$A:$A,My_Audit!E:E,""),
_xlfn.IFS(_xlpm.MyAuditVal&lt;&gt;"",_xlpm.MyAuditVal,_xlpm.MacVal&lt;&gt;"",_xlpm.MacVal,_xlpm.CSVVal&lt;&gt;"",PROPER(_xlpm.CSVVal)
)),"")</f>
        <v/>
      </c>
      <c r="G607" s="45" t="str" cm="1">
        <f t="array" ref="G607">IFERROR(_xlfn.LET(
_xlpm.CSVVal,_xlfn.XLOOKUP($A607,CSV!$A:$A,CSV!G:G,""),
_xlpm.MacVal,_xlfn.XLOOKUP($A607,Output_Mac!$A:$A,Output_Mac!H:H,""),
_xlpm.MyAuditVal,_xlfn.XLOOKUP($A607,My_Audit!$A:$A,My_Audit!F:F,""),
_xlfn.IFS(_xlpm.MyAuditVal&lt;&gt;"",_xlpm.MyAuditVal,_xlpm.MacVal&lt;&gt;"",_xlpm.MacVal,_xlpm.CSVVal&lt;&gt;"",_xlpm.CSVVal
)),"")</f>
        <v/>
      </c>
      <c r="H607" s="45" t="str">
        <f>_xlfn.XLOOKUP(A607,Output_Mac!A:A,Output_Mac!I:I,"")</f>
        <v/>
      </c>
      <c r="I607" s="45" t="str" cm="1">
        <f t="array" ref="I607">IFERROR(_xlfn.LET(
_xlpm.CSVVal,_xlfn.XLOOKUP($A607,CSV!$A:$A,CSV!H:H,""),
_xlpm.MacVal,_xlfn.XLOOKUP($A607,Output_Mac!$A:$A,Output_Mac!J:J,""),
_xlpm.MyAuditVal,_xlfn.XLOOKUP($A607,My_Audit!$A:$A,My_Audit!H:H,""),
_xlfn.IFS(_xlpm.MyAuditVal&lt;&gt;"",UPPER(_xlpm.MyAuditVal),_xlpm.MacVal&lt;&gt;"",_xlpm.MacVal,_xlpm.CSVVal&lt;&gt;"",_xlpm.CSVVal
)),"")</f>
        <v/>
      </c>
      <c r="J607" s="45" t="str" cm="1">
        <f t="array" ref="J607">IFERROR(_xlfn.LET(
_xlpm.CSVVal,_xlfn.XLOOKUP($A607,CSV!$A:$A,CSV!J:J,""),
_xlpm.MacVal,_xlfn.XLOOKUP($A607,Output_Mac!$A:$A,Output_Mac!K:K,""),
_xlpm.MyAuditVal,_xlfn.XLOOKUP($A607,My_Audit!$A:$A,My_Audit!I:I,""),
_xlfn.IFS(_xlpm.MyAuditVal&lt;&gt;"",UPPER(_xlpm.MyAuditVal),_xlpm.MacVal&lt;&gt;"",_xlpm.MacVal,_xlpm.CSVVal&lt;&gt;"",_xlpm.CSVVal
)),"")</f>
        <v/>
      </c>
      <c r="K607" s="45" t="str" cm="1">
        <f t="array" ref="K607">IFERROR(_xlfn.LET(
_xlpm.CSVVal,_xlfn.XLOOKUP($A607,CSV!$A:$A,CSV!N:N,""),
_xlpm.MacVal,_xlfn.XLOOKUP($A607,Output_Mac!$A:$A,Output_Mac!L:L,""),
_xlpm.MyAuditVal,_xlfn.XLOOKUP($A607,My_Audit!$A:$A,My_Audit!J:J,""),
_xlfn.IFS(_xlpm.MyAuditVal&lt;&gt;"",UPPER(_xlpm.MyAuditVal),_xlpm.MacVal&lt;&gt;"",_xlpm.MacVal,_xlpm.CSVVal&lt;&gt;"",_xlpm.CSVVal
)),"")</f>
        <v/>
      </c>
      <c r="L607" s="45" t="str" cm="1">
        <f t="array" ref="L607">IFERROR(_xlfn.LET(
_xlpm.CSVVal,_xlfn.XLOOKUP($A607,CSV!$A:$A,CSV!P:P,""),
_xlpm.MacVal,_xlfn.XLOOKUP($A607,Output_Mac!$A:$A,Output_Mac!M:M,""),
_xlpm.MyAuditVal,_xlfn.XLOOKUP($A607,My_Audit!$A:$A,My_Audit!K:K,""),
_xlfn.IFS(_xlpm.MyAuditVal&lt;&gt;"",UPPER(_xlpm.MyAuditVal),_xlpm.MacVal&lt;&gt;"",_xlpm.MacVal,_xlpm.CSVVal&lt;&gt;"",_xlpm.CSVVal
)),"")</f>
        <v/>
      </c>
      <c r="M607" s="45" t="str">
        <f>_xlfn.LET(
    _xlpm.CSVVal, _xlfn.XLOOKUP($A607, CSV!$A:$A, CSV!AE:AE, ""),
    _xlpm.MacVal, _xlfn.XLOOKUP($A607, Output_Mac!$A:$A, Output_Mac!S:S, ""),
    _xlpm.MyAuditVal, _xlfn.XLOOKUP($A607, My_Audit!$A:$A, My_Audit!N:N, ""),
    _xlfn.TEXTJOIN(", ", TRUE, _xlpm.MyAuditVal, _xlpm.MacVal, _xlpm.CSVVal)
)</f>
        <v/>
      </c>
      <c r="N607" s="45" t="str" cm="1">
        <f t="array" ref="N607">IFERROR(_xlfn.LET(
_xlpm.CSVVal,_xlfn.XLOOKUP($A607,CSV!$A:$A,CSV!AG:AG,""),
_xlpm.MacVal,_xlfn.XLOOKUP($A607,Output_Mac!$A:$A,Output_Mac!U:U,""),
_xlpm.MyAuditVal,_xlfn.XLOOKUP($A607,My_Audit!$A:$A,My_Audit!O:O,""),
_xlfn.IFS(_xlpm.MyAuditVal&lt;&gt;"",UPPER(_xlpm.MyAuditVal),_xlpm.MacVal&lt;&gt;"",_xlpm.MacVal,_xlpm.CSVVal&lt;&gt;"",_xlpm.CSVVal
)),"")</f>
        <v/>
      </c>
      <c r="O607" s="45"/>
      <c r="P607" s="45"/>
      <c r="Q607" s="46" t="str">
        <f>IF(LEFT(N607,4)="Pass","Nist SP 800-88",My_Audit!R607)&amp;""</f>
        <v/>
      </c>
      <c r="R607" s="45"/>
      <c r="S607" s="45"/>
      <c r="T607" s="46" t="str">
        <f>_xlfn.XLOOKUP(E607,Models!I:I,Models!J:J,"")</f>
        <v/>
      </c>
      <c r="U607" s="45"/>
      <c r="V607" s="45"/>
      <c r="W607" s="38"/>
    </row>
    <row r="608" spans="1:23">
      <c r="A608" s="45" t="str">
        <f>_xlfn.TEXTJOIN("",TRUE,Input!$B$2,ROW(My_Audit!A607))</f>
        <v>XX607</v>
      </c>
      <c r="B608" s="45" t="str">
        <f>_xlfn.TEXTJOIN("-",TRUE,"ITD",Input!$A$2,A608)</f>
        <v>ITD-SHRXXX-XX607</v>
      </c>
      <c r="C608" s="45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46" t="str" cm="1">
        <f t="array" ref="D608">IFERROR(_xlfn.LET(
_xlpm.CSVVal,_xlfn.XLOOKUP($A608,CSV!$A:$A,CSV!C:C,""),
_xlpm.MacVal,_xlfn.XLOOKUP($A608,Output_Mac!$A:$A,Output_Mac!D:D,""),
_xlpm.MyAuditVal,_xlfn.XLOOKUP($A608,My_Audit!$A:$A,My_Audit!C:C,""),
_xlfn.IFS(_xlpm.MyAuditVal&lt;&gt;"",UPPER(_xlpm.MyAuditVal),_xlpm.MacVal&lt;&gt;"",_xlpm.MacVal,_xlpm.CSVVal&lt;&gt;"",_xlpm.CSVVal
)),"")</f>
        <v/>
      </c>
      <c r="E608" s="46" t="str" cm="1">
        <f t="array" ref="E608">IFERROR(_xlfn.LET(
_xlpm.CSVVal,_xlfn.XLOOKUP($A608,CSV!$A:$A,CSV!E:E,""),
_xlpm.MacVal,_xlfn.XLOOKUP($A608,Output_Mac!$A:$A,Output_Mac!C:C,""),
_xlpm.MyAuditVal,_xlfn.XLOOKUP($A608,My_Audit!$A:$A,My_Audit!D:D,""),
_xlfn.IFS(_xlpm.MyAuditVal&lt;&gt;"",_xlpm.MyAuditVal,_xlpm.MacVal&lt;&gt;"",_xlpm.MacVal,_xlpm.CSVVal&lt;&gt;"",_xlpm.CSVVal
)),"")</f>
        <v/>
      </c>
      <c r="F608" s="45" t="str" cm="1">
        <f t="array" ref="F608">IFERROR(_xlfn.LET(
_xlpm.CSVVal,_xlfn.XLOOKUP($A608,CSV!$A:$A,CSV!F:F,""),
_xlpm.MacVal,_xlfn.XLOOKUP($A608,Output_Mac!$A:$A,Output_Mac!F:F,""),
_xlpm.MyAuditVal,_xlfn.XLOOKUP($A608,My_Audit!$A:$A,My_Audit!E:E,""),
_xlfn.IFS(_xlpm.MyAuditVal&lt;&gt;"",_xlpm.MyAuditVal,_xlpm.MacVal&lt;&gt;"",_xlpm.MacVal,_xlpm.CSVVal&lt;&gt;"",PROPER(_xlpm.CSVVal)
)),"")</f>
        <v/>
      </c>
      <c r="G608" s="45" t="str" cm="1">
        <f t="array" ref="G608">IFERROR(_xlfn.LET(
_xlpm.CSVVal,_xlfn.XLOOKUP($A608,CSV!$A:$A,CSV!G:G,""),
_xlpm.MacVal,_xlfn.XLOOKUP($A608,Output_Mac!$A:$A,Output_Mac!H:H,""),
_xlpm.MyAuditVal,_xlfn.XLOOKUP($A608,My_Audit!$A:$A,My_Audit!F:F,""),
_xlfn.IFS(_xlpm.MyAuditVal&lt;&gt;"",_xlpm.MyAuditVal,_xlpm.MacVal&lt;&gt;"",_xlpm.MacVal,_xlpm.CSVVal&lt;&gt;"",_xlpm.CSVVal
)),"")</f>
        <v/>
      </c>
      <c r="H608" s="45" t="str">
        <f>_xlfn.XLOOKUP(A608,Output_Mac!A:A,Output_Mac!I:I,"")</f>
        <v/>
      </c>
      <c r="I608" s="45" t="str" cm="1">
        <f t="array" ref="I608">IFERROR(_xlfn.LET(
_xlpm.CSVVal,_xlfn.XLOOKUP($A608,CSV!$A:$A,CSV!H:H,""),
_xlpm.MacVal,_xlfn.XLOOKUP($A608,Output_Mac!$A:$A,Output_Mac!J:J,""),
_xlpm.MyAuditVal,_xlfn.XLOOKUP($A608,My_Audit!$A:$A,My_Audit!H:H,""),
_xlfn.IFS(_xlpm.MyAuditVal&lt;&gt;"",UPPER(_xlpm.MyAuditVal),_xlpm.MacVal&lt;&gt;"",_xlpm.MacVal,_xlpm.CSVVal&lt;&gt;"",_xlpm.CSVVal
)),"")</f>
        <v/>
      </c>
      <c r="J608" s="45" t="str" cm="1">
        <f t="array" ref="J608">IFERROR(_xlfn.LET(
_xlpm.CSVVal,_xlfn.XLOOKUP($A608,CSV!$A:$A,CSV!J:J,""),
_xlpm.MacVal,_xlfn.XLOOKUP($A608,Output_Mac!$A:$A,Output_Mac!K:K,""),
_xlpm.MyAuditVal,_xlfn.XLOOKUP($A608,My_Audit!$A:$A,My_Audit!I:I,""),
_xlfn.IFS(_xlpm.MyAuditVal&lt;&gt;"",UPPER(_xlpm.MyAuditVal),_xlpm.MacVal&lt;&gt;"",_xlpm.MacVal,_xlpm.CSVVal&lt;&gt;"",_xlpm.CSVVal
)),"")</f>
        <v/>
      </c>
      <c r="K608" s="45" t="str" cm="1">
        <f t="array" ref="K608">IFERROR(_xlfn.LET(
_xlpm.CSVVal,_xlfn.XLOOKUP($A608,CSV!$A:$A,CSV!N:N,""),
_xlpm.MacVal,_xlfn.XLOOKUP($A608,Output_Mac!$A:$A,Output_Mac!L:L,""),
_xlpm.MyAuditVal,_xlfn.XLOOKUP($A608,My_Audit!$A:$A,My_Audit!J:J,""),
_xlfn.IFS(_xlpm.MyAuditVal&lt;&gt;"",UPPER(_xlpm.MyAuditVal),_xlpm.MacVal&lt;&gt;"",_xlpm.MacVal,_xlpm.CSVVal&lt;&gt;"",_xlpm.CSVVal
)),"")</f>
        <v/>
      </c>
      <c r="L608" s="45" t="str" cm="1">
        <f t="array" ref="L608">IFERROR(_xlfn.LET(
_xlpm.CSVVal,_xlfn.XLOOKUP($A608,CSV!$A:$A,CSV!P:P,""),
_xlpm.MacVal,_xlfn.XLOOKUP($A608,Output_Mac!$A:$A,Output_Mac!M:M,""),
_xlpm.MyAuditVal,_xlfn.XLOOKUP($A608,My_Audit!$A:$A,My_Audit!K:K,""),
_xlfn.IFS(_xlpm.MyAuditVal&lt;&gt;"",UPPER(_xlpm.MyAuditVal),_xlpm.MacVal&lt;&gt;"",_xlpm.MacVal,_xlpm.CSVVal&lt;&gt;"",_xlpm.CSVVal
)),"")</f>
        <v/>
      </c>
      <c r="M608" s="45" t="str">
        <f>_xlfn.LET(
    _xlpm.CSVVal, _xlfn.XLOOKUP($A608, CSV!$A:$A, CSV!AE:AE, ""),
    _xlpm.MacVal, _xlfn.XLOOKUP($A608, Output_Mac!$A:$A, Output_Mac!S:S, ""),
    _xlpm.MyAuditVal, _xlfn.XLOOKUP($A608, My_Audit!$A:$A, My_Audit!N:N, ""),
    _xlfn.TEXTJOIN(", ", TRUE, _xlpm.MyAuditVal, _xlpm.MacVal, _xlpm.CSVVal)
)</f>
        <v/>
      </c>
      <c r="N608" s="45" t="str" cm="1">
        <f t="array" ref="N608">IFERROR(_xlfn.LET(
_xlpm.CSVVal,_xlfn.XLOOKUP($A608,CSV!$A:$A,CSV!AG:AG,""),
_xlpm.MacVal,_xlfn.XLOOKUP($A608,Output_Mac!$A:$A,Output_Mac!U:U,""),
_xlpm.MyAuditVal,_xlfn.XLOOKUP($A608,My_Audit!$A:$A,My_Audit!O:O,""),
_xlfn.IFS(_xlpm.MyAuditVal&lt;&gt;"",UPPER(_xlpm.MyAuditVal),_xlpm.MacVal&lt;&gt;"",_xlpm.MacVal,_xlpm.CSVVal&lt;&gt;"",_xlpm.CSVVal
)),"")</f>
        <v/>
      </c>
      <c r="O608" s="45"/>
      <c r="P608" s="45"/>
      <c r="Q608" s="46" t="str">
        <f>IF(LEFT(N608,4)="Pass","Nist SP 800-88",My_Audit!R608)&amp;""</f>
        <v/>
      </c>
      <c r="R608" s="45"/>
      <c r="S608" s="45"/>
      <c r="T608" s="46" t="str">
        <f>_xlfn.XLOOKUP(E608,Models!I:I,Models!J:J,"")</f>
        <v/>
      </c>
      <c r="U608" s="45"/>
      <c r="V608" s="45"/>
      <c r="W608" s="38"/>
    </row>
    <row r="609" spans="1:23">
      <c r="A609" s="45" t="str">
        <f>_xlfn.TEXTJOIN("",TRUE,Input!$B$2,ROW(My_Audit!A608))</f>
        <v>XX608</v>
      </c>
      <c r="B609" s="45" t="str">
        <f>_xlfn.TEXTJOIN("-",TRUE,"ITD",Input!$A$2,A609)</f>
        <v>ITD-SHRXXX-XX608</v>
      </c>
      <c r="C609" s="45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46" t="str" cm="1">
        <f t="array" ref="D609">IFERROR(_xlfn.LET(
_xlpm.CSVVal,_xlfn.XLOOKUP($A609,CSV!$A:$A,CSV!C:C,""),
_xlpm.MacVal,_xlfn.XLOOKUP($A609,Output_Mac!$A:$A,Output_Mac!D:D,""),
_xlpm.MyAuditVal,_xlfn.XLOOKUP($A609,My_Audit!$A:$A,My_Audit!C:C,""),
_xlfn.IFS(_xlpm.MyAuditVal&lt;&gt;"",UPPER(_xlpm.MyAuditVal),_xlpm.MacVal&lt;&gt;"",_xlpm.MacVal,_xlpm.CSVVal&lt;&gt;"",_xlpm.CSVVal
)),"")</f>
        <v/>
      </c>
      <c r="E609" s="46" t="str" cm="1">
        <f t="array" ref="E609">IFERROR(_xlfn.LET(
_xlpm.CSVVal,_xlfn.XLOOKUP($A609,CSV!$A:$A,CSV!E:E,""),
_xlpm.MacVal,_xlfn.XLOOKUP($A609,Output_Mac!$A:$A,Output_Mac!C:C,""),
_xlpm.MyAuditVal,_xlfn.XLOOKUP($A609,My_Audit!$A:$A,My_Audit!D:D,""),
_xlfn.IFS(_xlpm.MyAuditVal&lt;&gt;"",_xlpm.MyAuditVal,_xlpm.MacVal&lt;&gt;"",_xlpm.MacVal,_xlpm.CSVVal&lt;&gt;"",_xlpm.CSVVal
)),"")</f>
        <v/>
      </c>
      <c r="F609" s="45" t="str" cm="1">
        <f t="array" ref="F609">IFERROR(_xlfn.LET(
_xlpm.CSVVal,_xlfn.XLOOKUP($A609,CSV!$A:$A,CSV!F:F,""),
_xlpm.MacVal,_xlfn.XLOOKUP($A609,Output_Mac!$A:$A,Output_Mac!F:F,""),
_xlpm.MyAuditVal,_xlfn.XLOOKUP($A609,My_Audit!$A:$A,My_Audit!E:E,""),
_xlfn.IFS(_xlpm.MyAuditVal&lt;&gt;"",_xlpm.MyAuditVal,_xlpm.MacVal&lt;&gt;"",_xlpm.MacVal,_xlpm.CSVVal&lt;&gt;"",PROPER(_xlpm.CSVVal)
)),"")</f>
        <v/>
      </c>
      <c r="G609" s="45" t="str" cm="1">
        <f t="array" ref="G609">IFERROR(_xlfn.LET(
_xlpm.CSVVal,_xlfn.XLOOKUP($A609,CSV!$A:$A,CSV!G:G,""),
_xlpm.MacVal,_xlfn.XLOOKUP($A609,Output_Mac!$A:$A,Output_Mac!H:H,""),
_xlpm.MyAuditVal,_xlfn.XLOOKUP($A609,My_Audit!$A:$A,My_Audit!F:F,""),
_xlfn.IFS(_xlpm.MyAuditVal&lt;&gt;"",_xlpm.MyAuditVal,_xlpm.MacVal&lt;&gt;"",_xlpm.MacVal,_xlpm.CSVVal&lt;&gt;"",_xlpm.CSVVal
)),"")</f>
        <v/>
      </c>
      <c r="H609" s="45" t="str">
        <f>_xlfn.XLOOKUP(A609,Output_Mac!A:A,Output_Mac!I:I,"")</f>
        <v/>
      </c>
      <c r="I609" s="45" t="str" cm="1">
        <f t="array" ref="I609">IFERROR(_xlfn.LET(
_xlpm.CSVVal,_xlfn.XLOOKUP($A609,CSV!$A:$A,CSV!H:H,""),
_xlpm.MacVal,_xlfn.XLOOKUP($A609,Output_Mac!$A:$A,Output_Mac!J:J,""),
_xlpm.MyAuditVal,_xlfn.XLOOKUP($A609,My_Audit!$A:$A,My_Audit!H:H,""),
_xlfn.IFS(_xlpm.MyAuditVal&lt;&gt;"",UPPER(_xlpm.MyAuditVal),_xlpm.MacVal&lt;&gt;"",_xlpm.MacVal,_xlpm.CSVVal&lt;&gt;"",_xlpm.CSVVal
)),"")</f>
        <v/>
      </c>
      <c r="J609" s="45" t="str" cm="1">
        <f t="array" ref="J609">IFERROR(_xlfn.LET(
_xlpm.CSVVal,_xlfn.XLOOKUP($A609,CSV!$A:$A,CSV!J:J,""),
_xlpm.MacVal,_xlfn.XLOOKUP($A609,Output_Mac!$A:$A,Output_Mac!K:K,""),
_xlpm.MyAuditVal,_xlfn.XLOOKUP($A609,My_Audit!$A:$A,My_Audit!I:I,""),
_xlfn.IFS(_xlpm.MyAuditVal&lt;&gt;"",UPPER(_xlpm.MyAuditVal),_xlpm.MacVal&lt;&gt;"",_xlpm.MacVal,_xlpm.CSVVal&lt;&gt;"",_xlpm.CSVVal
)),"")</f>
        <v/>
      </c>
      <c r="K609" s="45" t="str" cm="1">
        <f t="array" ref="K609">IFERROR(_xlfn.LET(
_xlpm.CSVVal,_xlfn.XLOOKUP($A609,CSV!$A:$A,CSV!N:N,""),
_xlpm.MacVal,_xlfn.XLOOKUP($A609,Output_Mac!$A:$A,Output_Mac!L:L,""),
_xlpm.MyAuditVal,_xlfn.XLOOKUP($A609,My_Audit!$A:$A,My_Audit!J:J,""),
_xlfn.IFS(_xlpm.MyAuditVal&lt;&gt;"",UPPER(_xlpm.MyAuditVal),_xlpm.MacVal&lt;&gt;"",_xlpm.MacVal,_xlpm.CSVVal&lt;&gt;"",_xlpm.CSVVal
)),"")</f>
        <v/>
      </c>
      <c r="L609" s="45" t="str" cm="1">
        <f t="array" ref="L609">IFERROR(_xlfn.LET(
_xlpm.CSVVal,_xlfn.XLOOKUP($A609,CSV!$A:$A,CSV!P:P,""),
_xlpm.MacVal,_xlfn.XLOOKUP($A609,Output_Mac!$A:$A,Output_Mac!M:M,""),
_xlpm.MyAuditVal,_xlfn.XLOOKUP($A609,My_Audit!$A:$A,My_Audit!K:K,""),
_xlfn.IFS(_xlpm.MyAuditVal&lt;&gt;"",UPPER(_xlpm.MyAuditVal),_xlpm.MacVal&lt;&gt;"",_xlpm.MacVal,_xlpm.CSVVal&lt;&gt;"",_xlpm.CSVVal
)),"")</f>
        <v/>
      </c>
      <c r="M609" s="45" t="str">
        <f>_xlfn.LET(
    _xlpm.CSVVal, _xlfn.XLOOKUP($A609, CSV!$A:$A, CSV!AE:AE, ""),
    _xlpm.MacVal, _xlfn.XLOOKUP($A609, Output_Mac!$A:$A, Output_Mac!S:S, ""),
    _xlpm.MyAuditVal, _xlfn.XLOOKUP($A609, My_Audit!$A:$A, My_Audit!N:N, ""),
    _xlfn.TEXTJOIN(", ", TRUE, _xlpm.MyAuditVal, _xlpm.MacVal, _xlpm.CSVVal)
)</f>
        <v/>
      </c>
      <c r="N609" s="45" t="str" cm="1">
        <f t="array" ref="N609">IFERROR(_xlfn.LET(
_xlpm.CSVVal,_xlfn.XLOOKUP($A609,CSV!$A:$A,CSV!AG:AG,""),
_xlpm.MacVal,_xlfn.XLOOKUP($A609,Output_Mac!$A:$A,Output_Mac!U:U,""),
_xlpm.MyAuditVal,_xlfn.XLOOKUP($A609,My_Audit!$A:$A,My_Audit!O:O,""),
_xlfn.IFS(_xlpm.MyAuditVal&lt;&gt;"",UPPER(_xlpm.MyAuditVal),_xlpm.MacVal&lt;&gt;"",_xlpm.MacVal,_xlpm.CSVVal&lt;&gt;"",_xlpm.CSVVal
)),"")</f>
        <v/>
      </c>
      <c r="O609" s="45"/>
      <c r="P609" s="45"/>
      <c r="Q609" s="46" t="str">
        <f>IF(LEFT(N609,4)="Pass","Nist SP 800-88",My_Audit!R609)&amp;""</f>
        <v/>
      </c>
      <c r="R609" s="45"/>
      <c r="S609" s="45"/>
      <c r="T609" s="46" t="str">
        <f>_xlfn.XLOOKUP(E609,Models!I:I,Models!J:J,"")</f>
        <v/>
      </c>
      <c r="U609" s="45"/>
      <c r="V609" s="45"/>
      <c r="W609" s="38"/>
    </row>
    <row r="610" spans="1:23">
      <c r="A610" s="45" t="str">
        <f>_xlfn.TEXTJOIN("",TRUE,Input!$B$2,ROW(My_Audit!A609))</f>
        <v>XX609</v>
      </c>
      <c r="B610" s="45" t="str">
        <f>_xlfn.TEXTJOIN("-",TRUE,"ITD",Input!$A$2,A610)</f>
        <v>ITD-SHRXXX-XX609</v>
      </c>
      <c r="C610" s="45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46" t="str" cm="1">
        <f t="array" ref="D610">IFERROR(_xlfn.LET(
_xlpm.CSVVal,_xlfn.XLOOKUP($A610,CSV!$A:$A,CSV!C:C,""),
_xlpm.MacVal,_xlfn.XLOOKUP($A610,Output_Mac!$A:$A,Output_Mac!D:D,""),
_xlpm.MyAuditVal,_xlfn.XLOOKUP($A610,My_Audit!$A:$A,My_Audit!C:C,""),
_xlfn.IFS(_xlpm.MyAuditVal&lt;&gt;"",UPPER(_xlpm.MyAuditVal),_xlpm.MacVal&lt;&gt;"",_xlpm.MacVal,_xlpm.CSVVal&lt;&gt;"",_xlpm.CSVVal
)),"")</f>
        <v/>
      </c>
      <c r="E610" s="46" t="str" cm="1">
        <f t="array" ref="E610">IFERROR(_xlfn.LET(
_xlpm.CSVVal,_xlfn.XLOOKUP($A610,CSV!$A:$A,CSV!E:E,""),
_xlpm.MacVal,_xlfn.XLOOKUP($A610,Output_Mac!$A:$A,Output_Mac!C:C,""),
_xlpm.MyAuditVal,_xlfn.XLOOKUP($A610,My_Audit!$A:$A,My_Audit!D:D,""),
_xlfn.IFS(_xlpm.MyAuditVal&lt;&gt;"",_xlpm.MyAuditVal,_xlpm.MacVal&lt;&gt;"",_xlpm.MacVal,_xlpm.CSVVal&lt;&gt;"",_xlpm.CSVVal
)),"")</f>
        <v/>
      </c>
      <c r="F610" s="45" t="str" cm="1">
        <f t="array" ref="F610">IFERROR(_xlfn.LET(
_xlpm.CSVVal,_xlfn.XLOOKUP($A610,CSV!$A:$A,CSV!F:F,""),
_xlpm.MacVal,_xlfn.XLOOKUP($A610,Output_Mac!$A:$A,Output_Mac!F:F,""),
_xlpm.MyAuditVal,_xlfn.XLOOKUP($A610,My_Audit!$A:$A,My_Audit!E:E,""),
_xlfn.IFS(_xlpm.MyAuditVal&lt;&gt;"",_xlpm.MyAuditVal,_xlpm.MacVal&lt;&gt;"",_xlpm.MacVal,_xlpm.CSVVal&lt;&gt;"",PROPER(_xlpm.CSVVal)
)),"")</f>
        <v/>
      </c>
      <c r="G610" s="45" t="str" cm="1">
        <f t="array" ref="G610">IFERROR(_xlfn.LET(
_xlpm.CSVVal,_xlfn.XLOOKUP($A610,CSV!$A:$A,CSV!G:G,""),
_xlpm.MacVal,_xlfn.XLOOKUP($A610,Output_Mac!$A:$A,Output_Mac!H:H,""),
_xlpm.MyAuditVal,_xlfn.XLOOKUP($A610,My_Audit!$A:$A,My_Audit!F:F,""),
_xlfn.IFS(_xlpm.MyAuditVal&lt;&gt;"",_xlpm.MyAuditVal,_xlpm.MacVal&lt;&gt;"",_xlpm.MacVal,_xlpm.CSVVal&lt;&gt;"",_xlpm.CSVVal
)),"")</f>
        <v/>
      </c>
      <c r="H610" s="45" t="str">
        <f>_xlfn.XLOOKUP(A610,Output_Mac!A:A,Output_Mac!I:I,"")</f>
        <v/>
      </c>
      <c r="I610" s="45" t="str" cm="1">
        <f t="array" ref="I610">IFERROR(_xlfn.LET(
_xlpm.CSVVal,_xlfn.XLOOKUP($A610,CSV!$A:$A,CSV!H:H,""),
_xlpm.MacVal,_xlfn.XLOOKUP($A610,Output_Mac!$A:$A,Output_Mac!J:J,""),
_xlpm.MyAuditVal,_xlfn.XLOOKUP($A610,My_Audit!$A:$A,My_Audit!H:H,""),
_xlfn.IFS(_xlpm.MyAuditVal&lt;&gt;"",UPPER(_xlpm.MyAuditVal),_xlpm.MacVal&lt;&gt;"",_xlpm.MacVal,_xlpm.CSVVal&lt;&gt;"",_xlpm.CSVVal
)),"")</f>
        <v/>
      </c>
      <c r="J610" s="45" t="str" cm="1">
        <f t="array" ref="J610">IFERROR(_xlfn.LET(
_xlpm.CSVVal,_xlfn.XLOOKUP($A610,CSV!$A:$A,CSV!J:J,""),
_xlpm.MacVal,_xlfn.XLOOKUP($A610,Output_Mac!$A:$A,Output_Mac!K:K,""),
_xlpm.MyAuditVal,_xlfn.XLOOKUP($A610,My_Audit!$A:$A,My_Audit!I:I,""),
_xlfn.IFS(_xlpm.MyAuditVal&lt;&gt;"",UPPER(_xlpm.MyAuditVal),_xlpm.MacVal&lt;&gt;"",_xlpm.MacVal,_xlpm.CSVVal&lt;&gt;"",_xlpm.CSVVal
)),"")</f>
        <v/>
      </c>
      <c r="K610" s="45" t="str" cm="1">
        <f t="array" ref="K610">IFERROR(_xlfn.LET(
_xlpm.CSVVal,_xlfn.XLOOKUP($A610,CSV!$A:$A,CSV!N:N,""),
_xlpm.MacVal,_xlfn.XLOOKUP($A610,Output_Mac!$A:$A,Output_Mac!L:L,""),
_xlpm.MyAuditVal,_xlfn.XLOOKUP($A610,My_Audit!$A:$A,My_Audit!J:J,""),
_xlfn.IFS(_xlpm.MyAuditVal&lt;&gt;"",UPPER(_xlpm.MyAuditVal),_xlpm.MacVal&lt;&gt;"",_xlpm.MacVal,_xlpm.CSVVal&lt;&gt;"",_xlpm.CSVVal
)),"")</f>
        <v/>
      </c>
      <c r="L610" s="45" t="str" cm="1">
        <f t="array" ref="L610">IFERROR(_xlfn.LET(
_xlpm.CSVVal,_xlfn.XLOOKUP($A610,CSV!$A:$A,CSV!P:P,""),
_xlpm.MacVal,_xlfn.XLOOKUP($A610,Output_Mac!$A:$A,Output_Mac!M:M,""),
_xlpm.MyAuditVal,_xlfn.XLOOKUP($A610,My_Audit!$A:$A,My_Audit!K:K,""),
_xlfn.IFS(_xlpm.MyAuditVal&lt;&gt;"",UPPER(_xlpm.MyAuditVal),_xlpm.MacVal&lt;&gt;"",_xlpm.MacVal,_xlpm.CSVVal&lt;&gt;"",_xlpm.CSVVal
)),"")</f>
        <v/>
      </c>
      <c r="M610" s="45" t="str">
        <f>_xlfn.LET(
    _xlpm.CSVVal, _xlfn.XLOOKUP($A610, CSV!$A:$A, CSV!AE:AE, ""),
    _xlpm.MacVal, _xlfn.XLOOKUP($A610, Output_Mac!$A:$A, Output_Mac!S:S, ""),
    _xlpm.MyAuditVal, _xlfn.XLOOKUP($A610, My_Audit!$A:$A, My_Audit!N:N, ""),
    _xlfn.TEXTJOIN(", ", TRUE, _xlpm.MyAuditVal, _xlpm.MacVal, _xlpm.CSVVal)
)</f>
        <v/>
      </c>
      <c r="N610" s="45" t="str" cm="1">
        <f t="array" ref="N610">IFERROR(_xlfn.LET(
_xlpm.CSVVal,_xlfn.XLOOKUP($A610,CSV!$A:$A,CSV!AG:AG,""),
_xlpm.MacVal,_xlfn.XLOOKUP($A610,Output_Mac!$A:$A,Output_Mac!U:U,""),
_xlpm.MyAuditVal,_xlfn.XLOOKUP($A610,My_Audit!$A:$A,My_Audit!O:O,""),
_xlfn.IFS(_xlpm.MyAuditVal&lt;&gt;"",UPPER(_xlpm.MyAuditVal),_xlpm.MacVal&lt;&gt;"",_xlpm.MacVal,_xlpm.CSVVal&lt;&gt;"",_xlpm.CSVVal
)),"")</f>
        <v/>
      </c>
      <c r="O610" s="45"/>
      <c r="P610" s="45"/>
      <c r="Q610" s="46" t="str">
        <f>IF(LEFT(N610,4)="Pass","Nist SP 800-88",My_Audit!R610)&amp;""</f>
        <v/>
      </c>
      <c r="R610" s="45"/>
      <c r="S610" s="45"/>
      <c r="T610" s="46" t="str">
        <f>_xlfn.XLOOKUP(E610,Models!I:I,Models!J:J,"")</f>
        <v/>
      </c>
      <c r="U610" s="45"/>
      <c r="V610" s="45"/>
      <c r="W610" s="38"/>
    </row>
    <row r="611" spans="1:23">
      <c r="A611" s="45" t="str">
        <f>_xlfn.TEXTJOIN("",TRUE,Input!$B$2,ROW(My_Audit!A610))</f>
        <v>XX610</v>
      </c>
      <c r="B611" s="45" t="str">
        <f>_xlfn.TEXTJOIN("-",TRUE,"ITD",Input!$A$2,A611)</f>
        <v>ITD-SHRXXX-XX610</v>
      </c>
      <c r="C611" s="45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46" t="str" cm="1">
        <f t="array" ref="D611">IFERROR(_xlfn.LET(
_xlpm.CSVVal,_xlfn.XLOOKUP($A611,CSV!$A:$A,CSV!C:C,""),
_xlpm.MacVal,_xlfn.XLOOKUP($A611,Output_Mac!$A:$A,Output_Mac!D:D,""),
_xlpm.MyAuditVal,_xlfn.XLOOKUP($A611,My_Audit!$A:$A,My_Audit!C:C,""),
_xlfn.IFS(_xlpm.MyAuditVal&lt;&gt;"",UPPER(_xlpm.MyAuditVal),_xlpm.MacVal&lt;&gt;"",_xlpm.MacVal,_xlpm.CSVVal&lt;&gt;"",_xlpm.CSVVal
)),"")</f>
        <v/>
      </c>
      <c r="E611" s="46" t="str" cm="1">
        <f t="array" ref="E611">IFERROR(_xlfn.LET(
_xlpm.CSVVal,_xlfn.XLOOKUP($A611,CSV!$A:$A,CSV!E:E,""),
_xlpm.MacVal,_xlfn.XLOOKUP($A611,Output_Mac!$A:$A,Output_Mac!C:C,""),
_xlpm.MyAuditVal,_xlfn.XLOOKUP($A611,My_Audit!$A:$A,My_Audit!D:D,""),
_xlfn.IFS(_xlpm.MyAuditVal&lt;&gt;"",_xlpm.MyAuditVal,_xlpm.MacVal&lt;&gt;"",_xlpm.MacVal,_xlpm.CSVVal&lt;&gt;"",_xlpm.CSVVal
)),"")</f>
        <v/>
      </c>
      <c r="F611" s="45" t="str" cm="1">
        <f t="array" ref="F611">IFERROR(_xlfn.LET(
_xlpm.CSVVal,_xlfn.XLOOKUP($A611,CSV!$A:$A,CSV!F:F,""),
_xlpm.MacVal,_xlfn.XLOOKUP($A611,Output_Mac!$A:$A,Output_Mac!F:F,""),
_xlpm.MyAuditVal,_xlfn.XLOOKUP($A611,My_Audit!$A:$A,My_Audit!E:E,""),
_xlfn.IFS(_xlpm.MyAuditVal&lt;&gt;"",_xlpm.MyAuditVal,_xlpm.MacVal&lt;&gt;"",_xlpm.MacVal,_xlpm.CSVVal&lt;&gt;"",PROPER(_xlpm.CSVVal)
)),"")</f>
        <v/>
      </c>
      <c r="G611" s="45" t="str" cm="1">
        <f t="array" ref="G611">IFERROR(_xlfn.LET(
_xlpm.CSVVal,_xlfn.XLOOKUP($A611,CSV!$A:$A,CSV!G:G,""),
_xlpm.MacVal,_xlfn.XLOOKUP($A611,Output_Mac!$A:$A,Output_Mac!H:H,""),
_xlpm.MyAuditVal,_xlfn.XLOOKUP($A611,My_Audit!$A:$A,My_Audit!F:F,""),
_xlfn.IFS(_xlpm.MyAuditVal&lt;&gt;"",_xlpm.MyAuditVal,_xlpm.MacVal&lt;&gt;"",_xlpm.MacVal,_xlpm.CSVVal&lt;&gt;"",_xlpm.CSVVal
)),"")</f>
        <v/>
      </c>
      <c r="H611" s="45" t="str">
        <f>_xlfn.XLOOKUP(A611,Output_Mac!A:A,Output_Mac!I:I,"")</f>
        <v/>
      </c>
      <c r="I611" s="45" t="str" cm="1">
        <f t="array" ref="I611">IFERROR(_xlfn.LET(
_xlpm.CSVVal,_xlfn.XLOOKUP($A611,CSV!$A:$A,CSV!H:H,""),
_xlpm.MacVal,_xlfn.XLOOKUP($A611,Output_Mac!$A:$A,Output_Mac!J:J,""),
_xlpm.MyAuditVal,_xlfn.XLOOKUP($A611,My_Audit!$A:$A,My_Audit!H:H,""),
_xlfn.IFS(_xlpm.MyAuditVal&lt;&gt;"",UPPER(_xlpm.MyAuditVal),_xlpm.MacVal&lt;&gt;"",_xlpm.MacVal,_xlpm.CSVVal&lt;&gt;"",_xlpm.CSVVal
)),"")</f>
        <v/>
      </c>
      <c r="J611" s="45" t="str" cm="1">
        <f t="array" ref="J611">IFERROR(_xlfn.LET(
_xlpm.CSVVal,_xlfn.XLOOKUP($A611,CSV!$A:$A,CSV!J:J,""),
_xlpm.MacVal,_xlfn.XLOOKUP($A611,Output_Mac!$A:$A,Output_Mac!K:K,""),
_xlpm.MyAuditVal,_xlfn.XLOOKUP($A611,My_Audit!$A:$A,My_Audit!I:I,""),
_xlfn.IFS(_xlpm.MyAuditVal&lt;&gt;"",UPPER(_xlpm.MyAuditVal),_xlpm.MacVal&lt;&gt;"",_xlpm.MacVal,_xlpm.CSVVal&lt;&gt;"",_xlpm.CSVVal
)),"")</f>
        <v/>
      </c>
      <c r="K611" s="45" t="str" cm="1">
        <f t="array" ref="K611">IFERROR(_xlfn.LET(
_xlpm.CSVVal,_xlfn.XLOOKUP($A611,CSV!$A:$A,CSV!N:N,""),
_xlpm.MacVal,_xlfn.XLOOKUP($A611,Output_Mac!$A:$A,Output_Mac!L:L,""),
_xlpm.MyAuditVal,_xlfn.XLOOKUP($A611,My_Audit!$A:$A,My_Audit!J:J,""),
_xlfn.IFS(_xlpm.MyAuditVal&lt;&gt;"",UPPER(_xlpm.MyAuditVal),_xlpm.MacVal&lt;&gt;"",_xlpm.MacVal,_xlpm.CSVVal&lt;&gt;"",_xlpm.CSVVal
)),"")</f>
        <v/>
      </c>
      <c r="L611" s="45" t="str" cm="1">
        <f t="array" ref="L611">IFERROR(_xlfn.LET(
_xlpm.CSVVal,_xlfn.XLOOKUP($A611,CSV!$A:$A,CSV!P:P,""),
_xlpm.MacVal,_xlfn.XLOOKUP($A611,Output_Mac!$A:$A,Output_Mac!M:M,""),
_xlpm.MyAuditVal,_xlfn.XLOOKUP($A611,My_Audit!$A:$A,My_Audit!K:K,""),
_xlfn.IFS(_xlpm.MyAuditVal&lt;&gt;"",UPPER(_xlpm.MyAuditVal),_xlpm.MacVal&lt;&gt;"",_xlpm.MacVal,_xlpm.CSVVal&lt;&gt;"",_xlpm.CSVVal
)),"")</f>
        <v/>
      </c>
      <c r="M611" s="45" t="str">
        <f>_xlfn.LET(
    _xlpm.CSVVal, _xlfn.XLOOKUP($A611, CSV!$A:$A, CSV!AE:AE, ""),
    _xlpm.MacVal, _xlfn.XLOOKUP($A611, Output_Mac!$A:$A, Output_Mac!S:S, ""),
    _xlpm.MyAuditVal, _xlfn.XLOOKUP($A611, My_Audit!$A:$A, My_Audit!N:N, ""),
    _xlfn.TEXTJOIN(", ", TRUE, _xlpm.MyAuditVal, _xlpm.MacVal, _xlpm.CSVVal)
)</f>
        <v/>
      </c>
      <c r="N611" s="45" t="str" cm="1">
        <f t="array" ref="N611">IFERROR(_xlfn.LET(
_xlpm.CSVVal,_xlfn.XLOOKUP($A611,CSV!$A:$A,CSV!AG:AG,""),
_xlpm.MacVal,_xlfn.XLOOKUP($A611,Output_Mac!$A:$A,Output_Mac!U:U,""),
_xlpm.MyAuditVal,_xlfn.XLOOKUP($A611,My_Audit!$A:$A,My_Audit!O:O,""),
_xlfn.IFS(_xlpm.MyAuditVal&lt;&gt;"",UPPER(_xlpm.MyAuditVal),_xlpm.MacVal&lt;&gt;"",_xlpm.MacVal,_xlpm.CSVVal&lt;&gt;"",_xlpm.CSVVal
)),"")</f>
        <v/>
      </c>
      <c r="O611" s="45"/>
      <c r="P611" s="45"/>
      <c r="Q611" s="46" t="str">
        <f>IF(LEFT(N611,4)="Pass","Nist SP 800-88",My_Audit!R611)&amp;""</f>
        <v/>
      </c>
      <c r="R611" s="45"/>
      <c r="S611" s="45"/>
      <c r="T611" s="46" t="str">
        <f>_xlfn.XLOOKUP(E611,Models!I:I,Models!J:J,"")</f>
        <v/>
      </c>
      <c r="U611" s="45"/>
      <c r="V611" s="45"/>
      <c r="W611" s="38"/>
    </row>
    <row r="612" spans="1:23">
      <c r="A612" s="45" t="str">
        <f>_xlfn.TEXTJOIN("",TRUE,Input!$B$2,ROW(My_Audit!A611))</f>
        <v>XX611</v>
      </c>
      <c r="B612" s="45" t="str">
        <f>_xlfn.TEXTJOIN("-",TRUE,"ITD",Input!$A$2,A612)</f>
        <v>ITD-SHRXXX-XX611</v>
      </c>
      <c r="C612" s="45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46" t="str" cm="1">
        <f t="array" ref="D612">IFERROR(_xlfn.LET(
_xlpm.CSVVal,_xlfn.XLOOKUP($A612,CSV!$A:$A,CSV!C:C,""),
_xlpm.MacVal,_xlfn.XLOOKUP($A612,Output_Mac!$A:$A,Output_Mac!D:D,""),
_xlpm.MyAuditVal,_xlfn.XLOOKUP($A612,My_Audit!$A:$A,My_Audit!C:C,""),
_xlfn.IFS(_xlpm.MyAuditVal&lt;&gt;"",UPPER(_xlpm.MyAuditVal),_xlpm.MacVal&lt;&gt;"",_xlpm.MacVal,_xlpm.CSVVal&lt;&gt;"",_xlpm.CSVVal
)),"")</f>
        <v/>
      </c>
      <c r="E612" s="46" t="str" cm="1">
        <f t="array" ref="E612">IFERROR(_xlfn.LET(
_xlpm.CSVVal,_xlfn.XLOOKUP($A612,CSV!$A:$A,CSV!E:E,""),
_xlpm.MacVal,_xlfn.XLOOKUP($A612,Output_Mac!$A:$A,Output_Mac!C:C,""),
_xlpm.MyAuditVal,_xlfn.XLOOKUP($A612,My_Audit!$A:$A,My_Audit!D:D,""),
_xlfn.IFS(_xlpm.MyAuditVal&lt;&gt;"",_xlpm.MyAuditVal,_xlpm.MacVal&lt;&gt;"",_xlpm.MacVal,_xlpm.CSVVal&lt;&gt;"",_xlpm.CSVVal
)),"")</f>
        <v/>
      </c>
      <c r="F612" s="45" t="str" cm="1">
        <f t="array" ref="F612">IFERROR(_xlfn.LET(
_xlpm.CSVVal,_xlfn.XLOOKUP($A612,CSV!$A:$A,CSV!F:F,""),
_xlpm.MacVal,_xlfn.XLOOKUP($A612,Output_Mac!$A:$A,Output_Mac!F:F,""),
_xlpm.MyAuditVal,_xlfn.XLOOKUP($A612,My_Audit!$A:$A,My_Audit!E:E,""),
_xlfn.IFS(_xlpm.MyAuditVal&lt;&gt;"",_xlpm.MyAuditVal,_xlpm.MacVal&lt;&gt;"",_xlpm.MacVal,_xlpm.CSVVal&lt;&gt;"",PROPER(_xlpm.CSVVal)
)),"")</f>
        <v/>
      </c>
      <c r="G612" s="45" t="str" cm="1">
        <f t="array" ref="G612">IFERROR(_xlfn.LET(
_xlpm.CSVVal,_xlfn.XLOOKUP($A612,CSV!$A:$A,CSV!G:G,""),
_xlpm.MacVal,_xlfn.XLOOKUP($A612,Output_Mac!$A:$A,Output_Mac!H:H,""),
_xlpm.MyAuditVal,_xlfn.XLOOKUP($A612,My_Audit!$A:$A,My_Audit!F:F,""),
_xlfn.IFS(_xlpm.MyAuditVal&lt;&gt;"",_xlpm.MyAuditVal,_xlpm.MacVal&lt;&gt;"",_xlpm.MacVal,_xlpm.CSVVal&lt;&gt;"",_xlpm.CSVVal
)),"")</f>
        <v/>
      </c>
      <c r="H612" s="45" t="str">
        <f>_xlfn.XLOOKUP(A612,Output_Mac!A:A,Output_Mac!I:I,"")</f>
        <v/>
      </c>
      <c r="I612" s="45" t="str" cm="1">
        <f t="array" ref="I612">IFERROR(_xlfn.LET(
_xlpm.CSVVal,_xlfn.XLOOKUP($A612,CSV!$A:$A,CSV!H:H,""),
_xlpm.MacVal,_xlfn.XLOOKUP($A612,Output_Mac!$A:$A,Output_Mac!J:J,""),
_xlpm.MyAuditVal,_xlfn.XLOOKUP($A612,My_Audit!$A:$A,My_Audit!H:H,""),
_xlfn.IFS(_xlpm.MyAuditVal&lt;&gt;"",UPPER(_xlpm.MyAuditVal),_xlpm.MacVal&lt;&gt;"",_xlpm.MacVal,_xlpm.CSVVal&lt;&gt;"",_xlpm.CSVVal
)),"")</f>
        <v/>
      </c>
      <c r="J612" s="45" t="str" cm="1">
        <f t="array" ref="J612">IFERROR(_xlfn.LET(
_xlpm.CSVVal,_xlfn.XLOOKUP($A612,CSV!$A:$A,CSV!J:J,""),
_xlpm.MacVal,_xlfn.XLOOKUP($A612,Output_Mac!$A:$A,Output_Mac!K:K,""),
_xlpm.MyAuditVal,_xlfn.XLOOKUP($A612,My_Audit!$A:$A,My_Audit!I:I,""),
_xlfn.IFS(_xlpm.MyAuditVal&lt;&gt;"",UPPER(_xlpm.MyAuditVal),_xlpm.MacVal&lt;&gt;"",_xlpm.MacVal,_xlpm.CSVVal&lt;&gt;"",_xlpm.CSVVal
)),"")</f>
        <v/>
      </c>
      <c r="K612" s="45" t="str" cm="1">
        <f t="array" ref="K612">IFERROR(_xlfn.LET(
_xlpm.CSVVal,_xlfn.XLOOKUP($A612,CSV!$A:$A,CSV!N:N,""),
_xlpm.MacVal,_xlfn.XLOOKUP($A612,Output_Mac!$A:$A,Output_Mac!L:L,""),
_xlpm.MyAuditVal,_xlfn.XLOOKUP($A612,My_Audit!$A:$A,My_Audit!J:J,""),
_xlfn.IFS(_xlpm.MyAuditVal&lt;&gt;"",UPPER(_xlpm.MyAuditVal),_xlpm.MacVal&lt;&gt;"",_xlpm.MacVal,_xlpm.CSVVal&lt;&gt;"",_xlpm.CSVVal
)),"")</f>
        <v/>
      </c>
      <c r="L612" s="45" t="str" cm="1">
        <f t="array" ref="L612">IFERROR(_xlfn.LET(
_xlpm.CSVVal,_xlfn.XLOOKUP($A612,CSV!$A:$A,CSV!P:P,""),
_xlpm.MacVal,_xlfn.XLOOKUP($A612,Output_Mac!$A:$A,Output_Mac!M:M,""),
_xlpm.MyAuditVal,_xlfn.XLOOKUP($A612,My_Audit!$A:$A,My_Audit!K:K,""),
_xlfn.IFS(_xlpm.MyAuditVal&lt;&gt;"",UPPER(_xlpm.MyAuditVal),_xlpm.MacVal&lt;&gt;"",_xlpm.MacVal,_xlpm.CSVVal&lt;&gt;"",_xlpm.CSVVal
)),"")</f>
        <v/>
      </c>
      <c r="M612" s="45" t="str">
        <f>_xlfn.LET(
    _xlpm.CSVVal, _xlfn.XLOOKUP($A612, CSV!$A:$A, CSV!AE:AE, ""),
    _xlpm.MacVal, _xlfn.XLOOKUP($A612, Output_Mac!$A:$A, Output_Mac!S:S, ""),
    _xlpm.MyAuditVal, _xlfn.XLOOKUP($A612, My_Audit!$A:$A, My_Audit!N:N, ""),
    _xlfn.TEXTJOIN(", ", TRUE, _xlpm.MyAuditVal, _xlpm.MacVal, _xlpm.CSVVal)
)</f>
        <v/>
      </c>
      <c r="N612" s="45" t="str" cm="1">
        <f t="array" ref="N612">IFERROR(_xlfn.LET(
_xlpm.CSVVal,_xlfn.XLOOKUP($A612,CSV!$A:$A,CSV!AG:AG,""),
_xlpm.MacVal,_xlfn.XLOOKUP($A612,Output_Mac!$A:$A,Output_Mac!U:U,""),
_xlpm.MyAuditVal,_xlfn.XLOOKUP($A612,My_Audit!$A:$A,My_Audit!O:O,""),
_xlfn.IFS(_xlpm.MyAuditVal&lt;&gt;"",UPPER(_xlpm.MyAuditVal),_xlpm.MacVal&lt;&gt;"",_xlpm.MacVal,_xlpm.CSVVal&lt;&gt;"",_xlpm.CSVVal
)),"")</f>
        <v/>
      </c>
      <c r="O612" s="45"/>
      <c r="P612" s="45"/>
      <c r="Q612" s="46" t="str">
        <f>IF(LEFT(N612,4)="Pass","Nist SP 800-88",My_Audit!R612)&amp;""</f>
        <v/>
      </c>
      <c r="R612" s="45"/>
      <c r="S612" s="45"/>
      <c r="T612" s="46" t="str">
        <f>_xlfn.XLOOKUP(E612,Models!I:I,Models!J:J,"")</f>
        <v/>
      </c>
      <c r="U612" s="45"/>
      <c r="V612" s="45"/>
      <c r="W612" s="38"/>
    </row>
    <row r="613" spans="1:23">
      <c r="A613" s="45" t="str">
        <f>_xlfn.TEXTJOIN("",TRUE,Input!$B$2,ROW(My_Audit!A612))</f>
        <v>XX612</v>
      </c>
      <c r="B613" s="45" t="str">
        <f>_xlfn.TEXTJOIN("-",TRUE,"ITD",Input!$A$2,A613)</f>
        <v>ITD-SHRXXX-XX612</v>
      </c>
      <c r="C613" s="45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46" t="str" cm="1">
        <f t="array" ref="D613">IFERROR(_xlfn.LET(
_xlpm.CSVVal,_xlfn.XLOOKUP($A613,CSV!$A:$A,CSV!C:C,""),
_xlpm.MacVal,_xlfn.XLOOKUP($A613,Output_Mac!$A:$A,Output_Mac!D:D,""),
_xlpm.MyAuditVal,_xlfn.XLOOKUP($A613,My_Audit!$A:$A,My_Audit!C:C,""),
_xlfn.IFS(_xlpm.MyAuditVal&lt;&gt;"",UPPER(_xlpm.MyAuditVal),_xlpm.MacVal&lt;&gt;"",_xlpm.MacVal,_xlpm.CSVVal&lt;&gt;"",_xlpm.CSVVal
)),"")</f>
        <v/>
      </c>
      <c r="E613" s="46" t="str" cm="1">
        <f t="array" ref="E613">IFERROR(_xlfn.LET(
_xlpm.CSVVal,_xlfn.XLOOKUP($A613,CSV!$A:$A,CSV!E:E,""),
_xlpm.MacVal,_xlfn.XLOOKUP($A613,Output_Mac!$A:$A,Output_Mac!C:C,""),
_xlpm.MyAuditVal,_xlfn.XLOOKUP($A613,My_Audit!$A:$A,My_Audit!D:D,""),
_xlfn.IFS(_xlpm.MyAuditVal&lt;&gt;"",_xlpm.MyAuditVal,_xlpm.MacVal&lt;&gt;"",_xlpm.MacVal,_xlpm.CSVVal&lt;&gt;"",_xlpm.CSVVal
)),"")</f>
        <v/>
      </c>
      <c r="F613" s="45" t="str" cm="1">
        <f t="array" ref="F613">IFERROR(_xlfn.LET(
_xlpm.CSVVal,_xlfn.XLOOKUP($A613,CSV!$A:$A,CSV!F:F,""),
_xlpm.MacVal,_xlfn.XLOOKUP($A613,Output_Mac!$A:$A,Output_Mac!F:F,""),
_xlpm.MyAuditVal,_xlfn.XLOOKUP($A613,My_Audit!$A:$A,My_Audit!E:E,""),
_xlfn.IFS(_xlpm.MyAuditVal&lt;&gt;"",_xlpm.MyAuditVal,_xlpm.MacVal&lt;&gt;"",_xlpm.MacVal,_xlpm.CSVVal&lt;&gt;"",PROPER(_xlpm.CSVVal)
)),"")</f>
        <v/>
      </c>
      <c r="G613" s="45" t="str" cm="1">
        <f t="array" ref="G613">IFERROR(_xlfn.LET(
_xlpm.CSVVal,_xlfn.XLOOKUP($A613,CSV!$A:$A,CSV!G:G,""),
_xlpm.MacVal,_xlfn.XLOOKUP($A613,Output_Mac!$A:$A,Output_Mac!H:H,""),
_xlpm.MyAuditVal,_xlfn.XLOOKUP($A613,My_Audit!$A:$A,My_Audit!F:F,""),
_xlfn.IFS(_xlpm.MyAuditVal&lt;&gt;"",_xlpm.MyAuditVal,_xlpm.MacVal&lt;&gt;"",_xlpm.MacVal,_xlpm.CSVVal&lt;&gt;"",_xlpm.CSVVal
)),"")</f>
        <v/>
      </c>
      <c r="H613" s="45" t="str">
        <f>_xlfn.XLOOKUP(A613,Output_Mac!A:A,Output_Mac!I:I,"")</f>
        <v/>
      </c>
      <c r="I613" s="45" t="str" cm="1">
        <f t="array" ref="I613">IFERROR(_xlfn.LET(
_xlpm.CSVVal,_xlfn.XLOOKUP($A613,CSV!$A:$A,CSV!H:H,""),
_xlpm.MacVal,_xlfn.XLOOKUP($A613,Output_Mac!$A:$A,Output_Mac!J:J,""),
_xlpm.MyAuditVal,_xlfn.XLOOKUP($A613,My_Audit!$A:$A,My_Audit!H:H,""),
_xlfn.IFS(_xlpm.MyAuditVal&lt;&gt;"",UPPER(_xlpm.MyAuditVal),_xlpm.MacVal&lt;&gt;"",_xlpm.MacVal,_xlpm.CSVVal&lt;&gt;"",_xlpm.CSVVal
)),"")</f>
        <v/>
      </c>
      <c r="J613" s="45" t="str" cm="1">
        <f t="array" ref="J613">IFERROR(_xlfn.LET(
_xlpm.CSVVal,_xlfn.XLOOKUP($A613,CSV!$A:$A,CSV!J:J,""),
_xlpm.MacVal,_xlfn.XLOOKUP($A613,Output_Mac!$A:$A,Output_Mac!K:K,""),
_xlpm.MyAuditVal,_xlfn.XLOOKUP($A613,My_Audit!$A:$A,My_Audit!I:I,""),
_xlfn.IFS(_xlpm.MyAuditVal&lt;&gt;"",UPPER(_xlpm.MyAuditVal),_xlpm.MacVal&lt;&gt;"",_xlpm.MacVal,_xlpm.CSVVal&lt;&gt;"",_xlpm.CSVVal
)),"")</f>
        <v/>
      </c>
      <c r="K613" s="45" t="str" cm="1">
        <f t="array" ref="K613">IFERROR(_xlfn.LET(
_xlpm.CSVVal,_xlfn.XLOOKUP($A613,CSV!$A:$A,CSV!N:N,""),
_xlpm.MacVal,_xlfn.XLOOKUP($A613,Output_Mac!$A:$A,Output_Mac!L:L,""),
_xlpm.MyAuditVal,_xlfn.XLOOKUP($A613,My_Audit!$A:$A,My_Audit!J:J,""),
_xlfn.IFS(_xlpm.MyAuditVal&lt;&gt;"",UPPER(_xlpm.MyAuditVal),_xlpm.MacVal&lt;&gt;"",_xlpm.MacVal,_xlpm.CSVVal&lt;&gt;"",_xlpm.CSVVal
)),"")</f>
        <v/>
      </c>
      <c r="L613" s="45" t="str" cm="1">
        <f t="array" ref="L613">IFERROR(_xlfn.LET(
_xlpm.CSVVal,_xlfn.XLOOKUP($A613,CSV!$A:$A,CSV!P:P,""),
_xlpm.MacVal,_xlfn.XLOOKUP($A613,Output_Mac!$A:$A,Output_Mac!M:M,""),
_xlpm.MyAuditVal,_xlfn.XLOOKUP($A613,My_Audit!$A:$A,My_Audit!K:K,""),
_xlfn.IFS(_xlpm.MyAuditVal&lt;&gt;"",UPPER(_xlpm.MyAuditVal),_xlpm.MacVal&lt;&gt;"",_xlpm.MacVal,_xlpm.CSVVal&lt;&gt;"",_xlpm.CSVVal
)),"")</f>
        <v/>
      </c>
      <c r="M613" s="45" t="str">
        <f>_xlfn.LET(
    _xlpm.CSVVal, _xlfn.XLOOKUP($A613, CSV!$A:$A, CSV!AE:AE, ""),
    _xlpm.MacVal, _xlfn.XLOOKUP($A613, Output_Mac!$A:$A, Output_Mac!S:S, ""),
    _xlpm.MyAuditVal, _xlfn.XLOOKUP($A613, My_Audit!$A:$A, My_Audit!N:N, ""),
    _xlfn.TEXTJOIN(", ", TRUE, _xlpm.MyAuditVal, _xlpm.MacVal, _xlpm.CSVVal)
)</f>
        <v/>
      </c>
      <c r="N613" s="45" t="str" cm="1">
        <f t="array" ref="N613">IFERROR(_xlfn.LET(
_xlpm.CSVVal,_xlfn.XLOOKUP($A613,CSV!$A:$A,CSV!AG:AG,""),
_xlpm.MacVal,_xlfn.XLOOKUP($A613,Output_Mac!$A:$A,Output_Mac!U:U,""),
_xlpm.MyAuditVal,_xlfn.XLOOKUP($A613,My_Audit!$A:$A,My_Audit!O:O,""),
_xlfn.IFS(_xlpm.MyAuditVal&lt;&gt;"",UPPER(_xlpm.MyAuditVal),_xlpm.MacVal&lt;&gt;"",_xlpm.MacVal,_xlpm.CSVVal&lt;&gt;"",_xlpm.CSVVal
)),"")</f>
        <v/>
      </c>
      <c r="O613" s="45"/>
      <c r="P613" s="45"/>
      <c r="Q613" s="46" t="str">
        <f>IF(LEFT(N613,4)="Pass","Nist SP 800-88",My_Audit!R613)&amp;""</f>
        <v/>
      </c>
      <c r="R613" s="45"/>
      <c r="S613" s="45"/>
      <c r="T613" s="46" t="str">
        <f>_xlfn.XLOOKUP(E613,Models!I:I,Models!J:J,"")</f>
        <v/>
      </c>
      <c r="U613" s="45"/>
      <c r="V613" s="45"/>
      <c r="W613" s="38"/>
    </row>
    <row r="614" spans="1:23">
      <c r="A614" s="45" t="str">
        <f>_xlfn.TEXTJOIN("",TRUE,Input!$B$2,ROW(My_Audit!A613))</f>
        <v>XX613</v>
      </c>
      <c r="B614" s="45" t="str">
        <f>_xlfn.TEXTJOIN("-",TRUE,"ITD",Input!$A$2,A614)</f>
        <v>ITD-SHRXXX-XX613</v>
      </c>
      <c r="C614" s="45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46" t="str" cm="1">
        <f t="array" ref="D614">IFERROR(_xlfn.LET(
_xlpm.CSVVal,_xlfn.XLOOKUP($A614,CSV!$A:$A,CSV!C:C,""),
_xlpm.MacVal,_xlfn.XLOOKUP($A614,Output_Mac!$A:$A,Output_Mac!D:D,""),
_xlpm.MyAuditVal,_xlfn.XLOOKUP($A614,My_Audit!$A:$A,My_Audit!C:C,""),
_xlfn.IFS(_xlpm.MyAuditVal&lt;&gt;"",UPPER(_xlpm.MyAuditVal),_xlpm.MacVal&lt;&gt;"",_xlpm.MacVal,_xlpm.CSVVal&lt;&gt;"",_xlpm.CSVVal
)),"")</f>
        <v/>
      </c>
      <c r="E614" s="46" t="str" cm="1">
        <f t="array" ref="E614">IFERROR(_xlfn.LET(
_xlpm.CSVVal,_xlfn.XLOOKUP($A614,CSV!$A:$A,CSV!E:E,""),
_xlpm.MacVal,_xlfn.XLOOKUP($A614,Output_Mac!$A:$A,Output_Mac!C:C,""),
_xlpm.MyAuditVal,_xlfn.XLOOKUP($A614,My_Audit!$A:$A,My_Audit!D:D,""),
_xlfn.IFS(_xlpm.MyAuditVal&lt;&gt;"",_xlpm.MyAuditVal,_xlpm.MacVal&lt;&gt;"",_xlpm.MacVal,_xlpm.CSVVal&lt;&gt;"",_xlpm.CSVVal
)),"")</f>
        <v/>
      </c>
      <c r="F614" s="45" t="str" cm="1">
        <f t="array" ref="F614">IFERROR(_xlfn.LET(
_xlpm.CSVVal,_xlfn.XLOOKUP($A614,CSV!$A:$A,CSV!F:F,""),
_xlpm.MacVal,_xlfn.XLOOKUP($A614,Output_Mac!$A:$A,Output_Mac!F:F,""),
_xlpm.MyAuditVal,_xlfn.XLOOKUP($A614,My_Audit!$A:$A,My_Audit!E:E,""),
_xlfn.IFS(_xlpm.MyAuditVal&lt;&gt;"",_xlpm.MyAuditVal,_xlpm.MacVal&lt;&gt;"",_xlpm.MacVal,_xlpm.CSVVal&lt;&gt;"",PROPER(_xlpm.CSVVal)
)),"")</f>
        <v/>
      </c>
      <c r="G614" s="45" t="str" cm="1">
        <f t="array" ref="G614">IFERROR(_xlfn.LET(
_xlpm.CSVVal,_xlfn.XLOOKUP($A614,CSV!$A:$A,CSV!G:G,""),
_xlpm.MacVal,_xlfn.XLOOKUP($A614,Output_Mac!$A:$A,Output_Mac!H:H,""),
_xlpm.MyAuditVal,_xlfn.XLOOKUP($A614,My_Audit!$A:$A,My_Audit!F:F,""),
_xlfn.IFS(_xlpm.MyAuditVal&lt;&gt;"",_xlpm.MyAuditVal,_xlpm.MacVal&lt;&gt;"",_xlpm.MacVal,_xlpm.CSVVal&lt;&gt;"",_xlpm.CSVVal
)),"")</f>
        <v/>
      </c>
      <c r="H614" s="45" t="str">
        <f>_xlfn.XLOOKUP(A614,Output_Mac!A:A,Output_Mac!I:I,"")</f>
        <v/>
      </c>
      <c r="I614" s="45" t="str" cm="1">
        <f t="array" ref="I614">IFERROR(_xlfn.LET(
_xlpm.CSVVal,_xlfn.XLOOKUP($A614,CSV!$A:$A,CSV!H:H,""),
_xlpm.MacVal,_xlfn.XLOOKUP($A614,Output_Mac!$A:$A,Output_Mac!J:J,""),
_xlpm.MyAuditVal,_xlfn.XLOOKUP($A614,My_Audit!$A:$A,My_Audit!H:H,""),
_xlfn.IFS(_xlpm.MyAuditVal&lt;&gt;"",UPPER(_xlpm.MyAuditVal),_xlpm.MacVal&lt;&gt;"",_xlpm.MacVal,_xlpm.CSVVal&lt;&gt;"",_xlpm.CSVVal
)),"")</f>
        <v/>
      </c>
      <c r="J614" s="45" t="str" cm="1">
        <f t="array" ref="J614">IFERROR(_xlfn.LET(
_xlpm.CSVVal,_xlfn.XLOOKUP($A614,CSV!$A:$A,CSV!J:J,""),
_xlpm.MacVal,_xlfn.XLOOKUP($A614,Output_Mac!$A:$A,Output_Mac!K:K,""),
_xlpm.MyAuditVal,_xlfn.XLOOKUP($A614,My_Audit!$A:$A,My_Audit!I:I,""),
_xlfn.IFS(_xlpm.MyAuditVal&lt;&gt;"",UPPER(_xlpm.MyAuditVal),_xlpm.MacVal&lt;&gt;"",_xlpm.MacVal,_xlpm.CSVVal&lt;&gt;"",_xlpm.CSVVal
)),"")</f>
        <v/>
      </c>
      <c r="K614" s="45" t="str" cm="1">
        <f t="array" ref="K614">IFERROR(_xlfn.LET(
_xlpm.CSVVal,_xlfn.XLOOKUP($A614,CSV!$A:$A,CSV!N:N,""),
_xlpm.MacVal,_xlfn.XLOOKUP($A614,Output_Mac!$A:$A,Output_Mac!L:L,""),
_xlpm.MyAuditVal,_xlfn.XLOOKUP($A614,My_Audit!$A:$A,My_Audit!J:J,""),
_xlfn.IFS(_xlpm.MyAuditVal&lt;&gt;"",UPPER(_xlpm.MyAuditVal),_xlpm.MacVal&lt;&gt;"",_xlpm.MacVal,_xlpm.CSVVal&lt;&gt;"",_xlpm.CSVVal
)),"")</f>
        <v/>
      </c>
      <c r="L614" s="45" t="str" cm="1">
        <f t="array" ref="L614">IFERROR(_xlfn.LET(
_xlpm.CSVVal,_xlfn.XLOOKUP($A614,CSV!$A:$A,CSV!P:P,""),
_xlpm.MacVal,_xlfn.XLOOKUP($A614,Output_Mac!$A:$A,Output_Mac!M:M,""),
_xlpm.MyAuditVal,_xlfn.XLOOKUP($A614,My_Audit!$A:$A,My_Audit!K:K,""),
_xlfn.IFS(_xlpm.MyAuditVal&lt;&gt;"",UPPER(_xlpm.MyAuditVal),_xlpm.MacVal&lt;&gt;"",_xlpm.MacVal,_xlpm.CSVVal&lt;&gt;"",_xlpm.CSVVal
)),"")</f>
        <v/>
      </c>
      <c r="M614" s="45" t="str">
        <f>_xlfn.LET(
    _xlpm.CSVVal, _xlfn.XLOOKUP($A614, CSV!$A:$A, CSV!AE:AE, ""),
    _xlpm.MacVal, _xlfn.XLOOKUP($A614, Output_Mac!$A:$A, Output_Mac!S:S, ""),
    _xlpm.MyAuditVal, _xlfn.XLOOKUP($A614, My_Audit!$A:$A, My_Audit!N:N, ""),
    _xlfn.TEXTJOIN(", ", TRUE, _xlpm.MyAuditVal, _xlpm.MacVal, _xlpm.CSVVal)
)</f>
        <v/>
      </c>
      <c r="N614" s="45" t="str" cm="1">
        <f t="array" ref="N614">IFERROR(_xlfn.LET(
_xlpm.CSVVal,_xlfn.XLOOKUP($A614,CSV!$A:$A,CSV!AG:AG,""),
_xlpm.MacVal,_xlfn.XLOOKUP($A614,Output_Mac!$A:$A,Output_Mac!U:U,""),
_xlpm.MyAuditVal,_xlfn.XLOOKUP($A614,My_Audit!$A:$A,My_Audit!O:O,""),
_xlfn.IFS(_xlpm.MyAuditVal&lt;&gt;"",UPPER(_xlpm.MyAuditVal),_xlpm.MacVal&lt;&gt;"",_xlpm.MacVal,_xlpm.CSVVal&lt;&gt;"",_xlpm.CSVVal
)),"")</f>
        <v/>
      </c>
      <c r="O614" s="45"/>
      <c r="P614" s="45"/>
      <c r="Q614" s="46" t="str">
        <f>IF(LEFT(N614,4)="Pass","Nist SP 800-88",My_Audit!R614)&amp;""</f>
        <v/>
      </c>
      <c r="R614" s="45"/>
      <c r="S614" s="45"/>
      <c r="T614" s="46" t="str">
        <f>_xlfn.XLOOKUP(E614,Models!I:I,Models!J:J,"")</f>
        <v/>
      </c>
      <c r="U614" s="45"/>
      <c r="V614" s="45"/>
      <c r="W614" s="38"/>
    </row>
    <row r="615" spans="1:23">
      <c r="A615" s="45" t="str">
        <f>_xlfn.TEXTJOIN("",TRUE,Input!$B$2,ROW(My_Audit!A614))</f>
        <v>XX614</v>
      </c>
      <c r="B615" s="45" t="str">
        <f>_xlfn.TEXTJOIN("-",TRUE,"ITD",Input!$A$2,A615)</f>
        <v>ITD-SHRXXX-XX614</v>
      </c>
      <c r="C615" s="45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46" t="str" cm="1">
        <f t="array" ref="D615">IFERROR(_xlfn.LET(
_xlpm.CSVVal,_xlfn.XLOOKUP($A615,CSV!$A:$A,CSV!C:C,""),
_xlpm.MacVal,_xlfn.XLOOKUP($A615,Output_Mac!$A:$A,Output_Mac!D:D,""),
_xlpm.MyAuditVal,_xlfn.XLOOKUP($A615,My_Audit!$A:$A,My_Audit!C:C,""),
_xlfn.IFS(_xlpm.MyAuditVal&lt;&gt;"",UPPER(_xlpm.MyAuditVal),_xlpm.MacVal&lt;&gt;"",_xlpm.MacVal,_xlpm.CSVVal&lt;&gt;"",_xlpm.CSVVal
)),"")</f>
        <v/>
      </c>
      <c r="E615" s="46" t="str" cm="1">
        <f t="array" ref="E615">IFERROR(_xlfn.LET(
_xlpm.CSVVal,_xlfn.XLOOKUP($A615,CSV!$A:$A,CSV!E:E,""),
_xlpm.MacVal,_xlfn.XLOOKUP($A615,Output_Mac!$A:$A,Output_Mac!C:C,""),
_xlpm.MyAuditVal,_xlfn.XLOOKUP($A615,My_Audit!$A:$A,My_Audit!D:D,""),
_xlfn.IFS(_xlpm.MyAuditVal&lt;&gt;"",_xlpm.MyAuditVal,_xlpm.MacVal&lt;&gt;"",_xlpm.MacVal,_xlpm.CSVVal&lt;&gt;"",_xlpm.CSVVal
)),"")</f>
        <v/>
      </c>
      <c r="F615" s="45" t="str" cm="1">
        <f t="array" ref="F615">IFERROR(_xlfn.LET(
_xlpm.CSVVal,_xlfn.XLOOKUP($A615,CSV!$A:$A,CSV!F:F,""),
_xlpm.MacVal,_xlfn.XLOOKUP($A615,Output_Mac!$A:$A,Output_Mac!F:F,""),
_xlpm.MyAuditVal,_xlfn.XLOOKUP($A615,My_Audit!$A:$A,My_Audit!E:E,""),
_xlfn.IFS(_xlpm.MyAuditVal&lt;&gt;"",_xlpm.MyAuditVal,_xlpm.MacVal&lt;&gt;"",_xlpm.MacVal,_xlpm.CSVVal&lt;&gt;"",PROPER(_xlpm.CSVVal)
)),"")</f>
        <v/>
      </c>
      <c r="G615" s="45" t="str" cm="1">
        <f t="array" ref="G615">IFERROR(_xlfn.LET(
_xlpm.CSVVal,_xlfn.XLOOKUP($A615,CSV!$A:$A,CSV!G:G,""),
_xlpm.MacVal,_xlfn.XLOOKUP($A615,Output_Mac!$A:$A,Output_Mac!H:H,""),
_xlpm.MyAuditVal,_xlfn.XLOOKUP($A615,My_Audit!$A:$A,My_Audit!F:F,""),
_xlfn.IFS(_xlpm.MyAuditVal&lt;&gt;"",_xlpm.MyAuditVal,_xlpm.MacVal&lt;&gt;"",_xlpm.MacVal,_xlpm.CSVVal&lt;&gt;"",_xlpm.CSVVal
)),"")</f>
        <v/>
      </c>
      <c r="H615" s="45" t="str">
        <f>_xlfn.XLOOKUP(A615,Output_Mac!A:A,Output_Mac!I:I,"")</f>
        <v/>
      </c>
      <c r="I615" s="45" t="str" cm="1">
        <f t="array" ref="I615">IFERROR(_xlfn.LET(
_xlpm.CSVVal,_xlfn.XLOOKUP($A615,CSV!$A:$A,CSV!H:H,""),
_xlpm.MacVal,_xlfn.XLOOKUP($A615,Output_Mac!$A:$A,Output_Mac!J:J,""),
_xlpm.MyAuditVal,_xlfn.XLOOKUP($A615,My_Audit!$A:$A,My_Audit!H:H,""),
_xlfn.IFS(_xlpm.MyAuditVal&lt;&gt;"",UPPER(_xlpm.MyAuditVal),_xlpm.MacVal&lt;&gt;"",_xlpm.MacVal,_xlpm.CSVVal&lt;&gt;"",_xlpm.CSVVal
)),"")</f>
        <v/>
      </c>
      <c r="J615" s="45" t="str" cm="1">
        <f t="array" ref="J615">IFERROR(_xlfn.LET(
_xlpm.CSVVal,_xlfn.XLOOKUP($A615,CSV!$A:$A,CSV!J:J,""),
_xlpm.MacVal,_xlfn.XLOOKUP($A615,Output_Mac!$A:$A,Output_Mac!K:K,""),
_xlpm.MyAuditVal,_xlfn.XLOOKUP($A615,My_Audit!$A:$A,My_Audit!I:I,""),
_xlfn.IFS(_xlpm.MyAuditVal&lt;&gt;"",UPPER(_xlpm.MyAuditVal),_xlpm.MacVal&lt;&gt;"",_xlpm.MacVal,_xlpm.CSVVal&lt;&gt;"",_xlpm.CSVVal
)),"")</f>
        <v/>
      </c>
      <c r="K615" s="45" t="str" cm="1">
        <f t="array" ref="K615">IFERROR(_xlfn.LET(
_xlpm.CSVVal,_xlfn.XLOOKUP($A615,CSV!$A:$A,CSV!N:N,""),
_xlpm.MacVal,_xlfn.XLOOKUP($A615,Output_Mac!$A:$A,Output_Mac!L:L,""),
_xlpm.MyAuditVal,_xlfn.XLOOKUP($A615,My_Audit!$A:$A,My_Audit!J:J,""),
_xlfn.IFS(_xlpm.MyAuditVal&lt;&gt;"",UPPER(_xlpm.MyAuditVal),_xlpm.MacVal&lt;&gt;"",_xlpm.MacVal,_xlpm.CSVVal&lt;&gt;"",_xlpm.CSVVal
)),"")</f>
        <v/>
      </c>
      <c r="L615" s="45" t="str" cm="1">
        <f t="array" ref="L615">IFERROR(_xlfn.LET(
_xlpm.CSVVal,_xlfn.XLOOKUP($A615,CSV!$A:$A,CSV!P:P,""),
_xlpm.MacVal,_xlfn.XLOOKUP($A615,Output_Mac!$A:$A,Output_Mac!M:M,""),
_xlpm.MyAuditVal,_xlfn.XLOOKUP($A615,My_Audit!$A:$A,My_Audit!K:K,""),
_xlfn.IFS(_xlpm.MyAuditVal&lt;&gt;"",UPPER(_xlpm.MyAuditVal),_xlpm.MacVal&lt;&gt;"",_xlpm.MacVal,_xlpm.CSVVal&lt;&gt;"",_xlpm.CSVVal
)),"")</f>
        <v/>
      </c>
      <c r="M615" s="45" t="str">
        <f>_xlfn.LET(
    _xlpm.CSVVal, _xlfn.XLOOKUP($A615, CSV!$A:$A, CSV!AE:AE, ""),
    _xlpm.MacVal, _xlfn.XLOOKUP($A615, Output_Mac!$A:$A, Output_Mac!S:S, ""),
    _xlpm.MyAuditVal, _xlfn.XLOOKUP($A615, My_Audit!$A:$A, My_Audit!N:N, ""),
    _xlfn.TEXTJOIN(", ", TRUE, _xlpm.MyAuditVal, _xlpm.MacVal, _xlpm.CSVVal)
)</f>
        <v/>
      </c>
      <c r="N615" s="45" t="str" cm="1">
        <f t="array" ref="N615">IFERROR(_xlfn.LET(
_xlpm.CSVVal,_xlfn.XLOOKUP($A615,CSV!$A:$A,CSV!AG:AG,""),
_xlpm.MacVal,_xlfn.XLOOKUP($A615,Output_Mac!$A:$A,Output_Mac!U:U,""),
_xlpm.MyAuditVal,_xlfn.XLOOKUP($A615,My_Audit!$A:$A,My_Audit!O:O,""),
_xlfn.IFS(_xlpm.MyAuditVal&lt;&gt;"",UPPER(_xlpm.MyAuditVal),_xlpm.MacVal&lt;&gt;"",_xlpm.MacVal,_xlpm.CSVVal&lt;&gt;"",_xlpm.CSVVal
)),"")</f>
        <v/>
      </c>
      <c r="O615" s="45"/>
      <c r="P615" s="45"/>
      <c r="Q615" s="46" t="str">
        <f>IF(LEFT(N615,4)="Pass","Nist SP 800-88",My_Audit!R615)&amp;""</f>
        <v/>
      </c>
      <c r="R615" s="45"/>
      <c r="S615" s="45"/>
      <c r="T615" s="46" t="str">
        <f>_xlfn.XLOOKUP(E615,Models!I:I,Models!J:J,"")</f>
        <v/>
      </c>
      <c r="U615" s="45"/>
      <c r="V615" s="45"/>
      <c r="W615" s="38"/>
    </row>
    <row r="616" spans="1:23">
      <c r="A616" s="45" t="str">
        <f>_xlfn.TEXTJOIN("",TRUE,Input!$B$2,ROW(My_Audit!A615))</f>
        <v>XX615</v>
      </c>
      <c r="B616" s="45" t="str">
        <f>_xlfn.TEXTJOIN("-",TRUE,"ITD",Input!$A$2,A616)</f>
        <v>ITD-SHRXXX-XX615</v>
      </c>
      <c r="C616" s="45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46" t="str" cm="1">
        <f t="array" ref="D616">IFERROR(_xlfn.LET(
_xlpm.CSVVal,_xlfn.XLOOKUP($A616,CSV!$A:$A,CSV!C:C,""),
_xlpm.MacVal,_xlfn.XLOOKUP($A616,Output_Mac!$A:$A,Output_Mac!D:D,""),
_xlpm.MyAuditVal,_xlfn.XLOOKUP($A616,My_Audit!$A:$A,My_Audit!C:C,""),
_xlfn.IFS(_xlpm.MyAuditVal&lt;&gt;"",UPPER(_xlpm.MyAuditVal),_xlpm.MacVal&lt;&gt;"",_xlpm.MacVal,_xlpm.CSVVal&lt;&gt;"",_xlpm.CSVVal
)),"")</f>
        <v/>
      </c>
      <c r="E616" s="46" t="str" cm="1">
        <f t="array" ref="E616">IFERROR(_xlfn.LET(
_xlpm.CSVVal,_xlfn.XLOOKUP($A616,CSV!$A:$A,CSV!E:E,""),
_xlpm.MacVal,_xlfn.XLOOKUP($A616,Output_Mac!$A:$A,Output_Mac!C:C,""),
_xlpm.MyAuditVal,_xlfn.XLOOKUP($A616,My_Audit!$A:$A,My_Audit!D:D,""),
_xlfn.IFS(_xlpm.MyAuditVal&lt;&gt;"",_xlpm.MyAuditVal,_xlpm.MacVal&lt;&gt;"",_xlpm.MacVal,_xlpm.CSVVal&lt;&gt;"",_xlpm.CSVVal
)),"")</f>
        <v/>
      </c>
      <c r="F616" s="45" t="str" cm="1">
        <f t="array" ref="F616">IFERROR(_xlfn.LET(
_xlpm.CSVVal,_xlfn.XLOOKUP($A616,CSV!$A:$A,CSV!F:F,""),
_xlpm.MacVal,_xlfn.XLOOKUP($A616,Output_Mac!$A:$A,Output_Mac!F:F,""),
_xlpm.MyAuditVal,_xlfn.XLOOKUP($A616,My_Audit!$A:$A,My_Audit!E:E,""),
_xlfn.IFS(_xlpm.MyAuditVal&lt;&gt;"",_xlpm.MyAuditVal,_xlpm.MacVal&lt;&gt;"",_xlpm.MacVal,_xlpm.CSVVal&lt;&gt;"",PROPER(_xlpm.CSVVal)
)),"")</f>
        <v/>
      </c>
      <c r="G616" s="45" t="str" cm="1">
        <f t="array" ref="G616">IFERROR(_xlfn.LET(
_xlpm.CSVVal,_xlfn.XLOOKUP($A616,CSV!$A:$A,CSV!G:G,""),
_xlpm.MacVal,_xlfn.XLOOKUP($A616,Output_Mac!$A:$A,Output_Mac!H:H,""),
_xlpm.MyAuditVal,_xlfn.XLOOKUP($A616,My_Audit!$A:$A,My_Audit!F:F,""),
_xlfn.IFS(_xlpm.MyAuditVal&lt;&gt;"",_xlpm.MyAuditVal,_xlpm.MacVal&lt;&gt;"",_xlpm.MacVal,_xlpm.CSVVal&lt;&gt;"",_xlpm.CSVVal
)),"")</f>
        <v/>
      </c>
      <c r="H616" s="45" t="str">
        <f>_xlfn.XLOOKUP(A616,Output_Mac!A:A,Output_Mac!I:I,"")</f>
        <v/>
      </c>
      <c r="I616" s="45" t="str" cm="1">
        <f t="array" ref="I616">IFERROR(_xlfn.LET(
_xlpm.CSVVal,_xlfn.XLOOKUP($A616,CSV!$A:$A,CSV!H:H,""),
_xlpm.MacVal,_xlfn.XLOOKUP($A616,Output_Mac!$A:$A,Output_Mac!J:J,""),
_xlpm.MyAuditVal,_xlfn.XLOOKUP($A616,My_Audit!$A:$A,My_Audit!H:H,""),
_xlfn.IFS(_xlpm.MyAuditVal&lt;&gt;"",UPPER(_xlpm.MyAuditVal),_xlpm.MacVal&lt;&gt;"",_xlpm.MacVal,_xlpm.CSVVal&lt;&gt;"",_xlpm.CSVVal
)),"")</f>
        <v/>
      </c>
      <c r="J616" s="45" t="str" cm="1">
        <f t="array" ref="J616">IFERROR(_xlfn.LET(
_xlpm.CSVVal,_xlfn.XLOOKUP($A616,CSV!$A:$A,CSV!J:J,""),
_xlpm.MacVal,_xlfn.XLOOKUP($A616,Output_Mac!$A:$A,Output_Mac!K:K,""),
_xlpm.MyAuditVal,_xlfn.XLOOKUP($A616,My_Audit!$A:$A,My_Audit!I:I,""),
_xlfn.IFS(_xlpm.MyAuditVal&lt;&gt;"",UPPER(_xlpm.MyAuditVal),_xlpm.MacVal&lt;&gt;"",_xlpm.MacVal,_xlpm.CSVVal&lt;&gt;"",_xlpm.CSVVal
)),"")</f>
        <v/>
      </c>
      <c r="K616" s="45" t="str" cm="1">
        <f t="array" ref="K616">IFERROR(_xlfn.LET(
_xlpm.CSVVal,_xlfn.XLOOKUP($A616,CSV!$A:$A,CSV!N:N,""),
_xlpm.MacVal,_xlfn.XLOOKUP($A616,Output_Mac!$A:$A,Output_Mac!L:L,""),
_xlpm.MyAuditVal,_xlfn.XLOOKUP($A616,My_Audit!$A:$A,My_Audit!J:J,""),
_xlfn.IFS(_xlpm.MyAuditVal&lt;&gt;"",UPPER(_xlpm.MyAuditVal),_xlpm.MacVal&lt;&gt;"",_xlpm.MacVal,_xlpm.CSVVal&lt;&gt;"",_xlpm.CSVVal
)),"")</f>
        <v/>
      </c>
      <c r="L616" s="45" t="str" cm="1">
        <f t="array" ref="L616">IFERROR(_xlfn.LET(
_xlpm.CSVVal,_xlfn.XLOOKUP($A616,CSV!$A:$A,CSV!P:P,""),
_xlpm.MacVal,_xlfn.XLOOKUP($A616,Output_Mac!$A:$A,Output_Mac!M:M,""),
_xlpm.MyAuditVal,_xlfn.XLOOKUP($A616,My_Audit!$A:$A,My_Audit!K:K,""),
_xlfn.IFS(_xlpm.MyAuditVal&lt;&gt;"",UPPER(_xlpm.MyAuditVal),_xlpm.MacVal&lt;&gt;"",_xlpm.MacVal,_xlpm.CSVVal&lt;&gt;"",_xlpm.CSVVal
)),"")</f>
        <v/>
      </c>
      <c r="M616" s="45" t="str">
        <f>_xlfn.LET(
    _xlpm.CSVVal, _xlfn.XLOOKUP($A616, CSV!$A:$A, CSV!AE:AE, ""),
    _xlpm.MacVal, _xlfn.XLOOKUP($A616, Output_Mac!$A:$A, Output_Mac!S:S, ""),
    _xlpm.MyAuditVal, _xlfn.XLOOKUP($A616, My_Audit!$A:$A, My_Audit!N:N, ""),
    _xlfn.TEXTJOIN(", ", TRUE, _xlpm.MyAuditVal, _xlpm.MacVal, _xlpm.CSVVal)
)</f>
        <v/>
      </c>
      <c r="N616" s="45" t="str" cm="1">
        <f t="array" ref="N616">IFERROR(_xlfn.LET(
_xlpm.CSVVal,_xlfn.XLOOKUP($A616,CSV!$A:$A,CSV!AG:AG,""),
_xlpm.MacVal,_xlfn.XLOOKUP($A616,Output_Mac!$A:$A,Output_Mac!U:U,""),
_xlpm.MyAuditVal,_xlfn.XLOOKUP($A616,My_Audit!$A:$A,My_Audit!O:O,""),
_xlfn.IFS(_xlpm.MyAuditVal&lt;&gt;"",UPPER(_xlpm.MyAuditVal),_xlpm.MacVal&lt;&gt;"",_xlpm.MacVal,_xlpm.CSVVal&lt;&gt;"",_xlpm.CSVVal
)),"")</f>
        <v/>
      </c>
      <c r="O616" s="45"/>
      <c r="P616" s="45"/>
      <c r="Q616" s="46" t="str">
        <f>IF(LEFT(N616,4)="Pass","Nist SP 800-88",My_Audit!R616)&amp;""</f>
        <v/>
      </c>
      <c r="R616" s="45"/>
      <c r="S616" s="45"/>
      <c r="T616" s="46" t="str">
        <f>_xlfn.XLOOKUP(E616,Models!I:I,Models!J:J,"")</f>
        <v/>
      </c>
      <c r="U616" s="45"/>
      <c r="V616" s="45"/>
      <c r="W616" s="38"/>
    </row>
    <row r="617" spans="1:23">
      <c r="A617" s="45" t="str">
        <f>_xlfn.TEXTJOIN("",TRUE,Input!$B$2,ROW(My_Audit!A616))</f>
        <v>XX616</v>
      </c>
      <c r="B617" s="45" t="str">
        <f>_xlfn.TEXTJOIN("-",TRUE,"ITD",Input!$A$2,A617)</f>
        <v>ITD-SHRXXX-XX616</v>
      </c>
      <c r="C617" s="45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46" t="str" cm="1">
        <f t="array" ref="D617">IFERROR(_xlfn.LET(
_xlpm.CSVVal,_xlfn.XLOOKUP($A617,CSV!$A:$A,CSV!C:C,""),
_xlpm.MacVal,_xlfn.XLOOKUP($A617,Output_Mac!$A:$A,Output_Mac!D:D,""),
_xlpm.MyAuditVal,_xlfn.XLOOKUP($A617,My_Audit!$A:$A,My_Audit!C:C,""),
_xlfn.IFS(_xlpm.MyAuditVal&lt;&gt;"",UPPER(_xlpm.MyAuditVal),_xlpm.MacVal&lt;&gt;"",_xlpm.MacVal,_xlpm.CSVVal&lt;&gt;"",_xlpm.CSVVal
)),"")</f>
        <v/>
      </c>
      <c r="E617" s="46" t="str" cm="1">
        <f t="array" ref="E617">IFERROR(_xlfn.LET(
_xlpm.CSVVal,_xlfn.XLOOKUP($A617,CSV!$A:$A,CSV!E:E,""),
_xlpm.MacVal,_xlfn.XLOOKUP($A617,Output_Mac!$A:$A,Output_Mac!C:C,""),
_xlpm.MyAuditVal,_xlfn.XLOOKUP($A617,My_Audit!$A:$A,My_Audit!D:D,""),
_xlfn.IFS(_xlpm.MyAuditVal&lt;&gt;"",_xlpm.MyAuditVal,_xlpm.MacVal&lt;&gt;"",_xlpm.MacVal,_xlpm.CSVVal&lt;&gt;"",_xlpm.CSVVal
)),"")</f>
        <v/>
      </c>
      <c r="F617" s="45" t="str" cm="1">
        <f t="array" ref="F617">IFERROR(_xlfn.LET(
_xlpm.CSVVal,_xlfn.XLOOKUP($A617,CSV!$A:$A,CSV!F:F,""),
_xlpm.MacVal,_xlfn.XLOOKUP($A617,Output_Mac!$A:$A,Output_Mac!F:F,""),
_xlpm.MyAuditVal,_xlfn.XLOOKUP($A617,My_Audit!$A:$A,My_Audit!E:E,""),
_xlfn.IFS(_xlpm.MyAuditVal&lt;&gt;"",_xlpm.MyAuditVal,_xlpm.MacVal&lt;&gt;"",_xlpm.MacVal,_xlpm.CSVVal&lt;&gt;"",PROPER(_xlpm.CSVVal)
)),"")</f>
        <v/>
      </c>
      <c r="G617" s="45" t="str" cm="1">
        <f t="array" ref="G617">IFERROR(_xlfn.LET(
_xlpm.CSVVal,_xlfn.XLOOKUP($A617,CSV!$A:$A,CSV!G:G,""),
_xlpm.MacVal,_xlfn.XLOOKUP($A617,Output_Mac!$A:$A,Output_Mac!H:H,""),
_xlpm.MyAuditVal,_xlfn.XLOOKUP($A617,My_Audit!$A:$A,My_Audit!F:F,""),
_xlfn.IFS(_xlpm.MyAuditVal&lt;&gt;"",_xlpm.MyAuditVal,_xlpm.MacVal&lt;&gt;"",_xlpm.MacVal,_xlpm.CSVVal&lt;&gt;"",_xlpm.CSVVal
)),"")</f>
        <v/>
      </c>
      <c r="H617" s="45" t="str">
        <f>_xlfn.XLOOKUP(A617,Output_Mac!A:A,Output_Mac!I:I,"")</f>
        <v/>
      </c>
      <c r="I617" s="45" t="str" cm="1">
        <f t="array" ref="I617">IFERROR(_xlfn.LET(
_xlpm.CSVVal,_xlfn.XLOOKUP($A617,CSV!$A:$A,CSV!H:H,""),
_xlpm.MacVal,_xlfn.XLOOKUP($A617,Output_Mac!$A:$A,Output_Mac!J:J,""),
_xlpm.MyAuditVal,_xlfn.XLOOKUP($A617,My_Audit!$A:$A,My_Audit!H:H,""),
_xlfn.IFS(_xlpm.MyAuditVal&lt;&gt;"",UPPER(_xlpm.MyAuditVal),_xlpm.MacVal&lt;&gt;"",_xlpm.MacVal,_xlpm.CSVVal&lt;&gt;"",_xlpm.CSVVal
)),"")</f>
        <v/>
      </c>
      <c r="J617" s="45" t="str" cm="1">
        <f t="array" ref="J617">IFERROR(_xlfn.LET(
_xlpm.CSVVal,_xlfn.XLOOKUP($A617,CSV!$A:$A,CSV!J:J,""),
_xlpm.MacVal,_xlfn.XLOOKUP($A617,Output_Mac!$A:$A,Output_Mac!K:K,""),
_xlpm.MyAuditVal,_xlfn.XLOOKUP($A617,My_Audit!$A:$A,My_Audit!I:I,""),
_xlfn.IFS(_xlpm.MyAuditVal&lt;&gt;"",UPPER(_xlpm.MyAuditVal),_xlpm.MacVal&lt;&gt;"",_xlpm.MacVal,_xlpm.CSVVal&lt;&gt;"",_xlpm.CSVVal
)),"")</f>
        <v/>
      </c>
      <c r="K617" s="45" t="str" cm="1">
        <f t="array" ref="K617">IFERROR(_xlfn.LET(
_xlpm.CSVVal,_xlfn.XLOOKUP($A617,CSV!$A:$A,CSV!N:N,""),
_xlpm.MacVal,_xlfn.XLOOKUP($A617,Output_Mac!$A:$A,Output_Mac!L:L,""),
_xlpm.MyAuditVal,_xlfn.XLOOKUP($A617,My_Audit!$A:$A,My_Audit!J:J,""),
_xlfn.IFS(_xlpm.MyAuditVal&lt;&gt;"",UPPER(_xlpm.MyAuditVal),_xlpm.MacVal&lt;&gt;"",_xlpm.MacVal,_xlpm.CSVVal&lt;&gt;"",_xlpm.CSVVal
)),"")</f>
        <v/>
      </c>
      <c r="L617" s="45" t="str" cm="1">
        <f t="array" ref="L617">IFERROR(_xlfn.LET(
_xlpm.CSVVal,_xlfn.XLOOKUP($A617,CSV!$A:$A,CSV!P:P,""),
_xlpm.MacVal,_xlfn.XLOOKUP($A617,Output_Mac!$A:$A,Output_Mac!M:M,""),
_xlpm.MyAuditVal,_xlfn.XLOOKUP($A617,My_Audit!$A:$A,My_Audit!K:K,""),
_xlfn.IFS(_xlpm.MyAuditVal&lt;&gt;"",UPPER(_xlpm.MyAuditVal),_xlpm.MacVal&lt;&gt;"",_xlpm.MacVal,_xlpm.CSVVal&lt;&gt;"",_xlpm.CSVVal
)),"")</f>
        <v/>
      </c>
      <c r="M617" s="45" t="str">
        <f>_xlfn.LET(
    _xlpm.CSVVal, _xlfn.XLOOKUP($A617, CSV!$A:$A, CSV!AE:AE, ""),
    _xlpm.MacVal, _xlfn.XLOOKUP($A617, Output_Mac!$A:$A, Output_Mac!S:S, ""),
    _xlpm.MyAuditVal, _xlfn.XLOOKUP($A617, My_Audit!$A:$A, My_Audit!N:N, ""),
    _xlfn.TEXTJOIN(", ", TRUE, _xlpm.MyAuditVal, _xlpm.MacVal, _xlpm.CSVVal)
)</f>
        <v/>
      </c>
      <c r="N617" s="45" t="str" cm="1">
        <f t="array" ref="N617">IFERROR(_xlfn.LET(
_xlpm.CSVVal,_xlfn.XLOOKUP($A617,CSV!$A:$A,CSV!AG:AG,""),
_xlpm.MacVal,_xlfn.XLOOKUP($A617,Output_Mac!$A:$A,Output_Mac!U:U,""),
_xlpm.MyAuditVal,_xlfn.XLOOKUP($A617,My_Audit!$A:$A,My_Audit!O:O,""),
_xlfn.IFS(_xlpm.MyAuditVal&lt;&gt;"",UPPER(_xlpm.MyAuditVal),_xlpm.MacVal&lt;&gt;"",_xlpm.MacVal,_xlpm.CSVVal&lt;&gt;"",_xlpm.CSVVal
)),"")</f>
        <v/>
      </c>
      <c r="O617" s="45"/>
      <c r="P617" s="45"/>
      <c r="Q617" s="46" t="str">
        <f>IF(LEFT(N617,4)="Pass","Nist SP 800-88",My_Audit!R617)&amp;""</f>
        <v/>
      </c>
      <c r="R617" s="45"/>
      <c r="S617" s="45"/>
      <c r="T617" s="46" t="str">
        <f>_xlfn.XLOOKUP(E617,Models!I:I,Models!J:J,"")</f>
        <v/>
      </c>
      <c r="U617" s="45"/>
      <c r="V617" s="45"/>
      <c r="W617" s="38"/>
    </row>
    <row r="618" spans="1:23">
      <c r="A618" s="45" t="str">
        <f>_xlfn.TEXTJOIN("",TRUE,Input!$B$2,ROW(My_Audit!A617))</f>
        <v>XX617</v>
      </c>
      <c r="B618" s="45" t="str">
        <f>_xlfn.TEXTJOIN("-",TRUE,"ITD",Input!$A$2,A618)</f>
        <v>ITD-SHRXXX-XX617</v>
      </c>
      <c r="C618" s="45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46" t="str" cm="1">
        <f t="array" ref="D618">IFERROR(_xlfn.LET(
_xlpm.CSVVal,_xlfn.XLOOKUP($A618,CSV!$A:$A,CSV!C:C,""),
_xlpm.MacVal,_xlfn.XLOOKUP($A618,Output_Mac!$A:$A,Output_Mac!D:D,""),
_xlpm.MyAuditVal,_xlfn.XLOOKUP($A618,My_Audit!$A:$A,My_Audit!C:C,""),
_xlfn.IFS(_xlpm.MyAuditVal&lt;&gt;"",UPPER(_xlpm.MyAuditVal),_xlpm.MacVal&lt;&gt;"",_xlpm.MacVal,_xlpm.CSVVal&lt;&gt;"",_xlpm.CSVVal
)),"")</f>
        <v/>
      </c>
      <c r="E618" s="46" t="str" cm="1">
        <f t="array" ref="E618">IFERROR(_xlfn.LET(
_xlpm.CSVVal,_xlfn.XLOOKUP($A618,CSV!$A:$A,CSV!E:E,""),
_xlpm.MacVal,_xlfn.XLOOKUP($A618,Output_Mac!$A:$A,Output_Mac!C:C,""),
_xlpm.MyAuditVal,_xlfn.XLOOKUP($A618,My_Audit!$A:$A,My_Audit!D:D,""),
_xlfn.IFS(_xlpm.MyAuditVal&lt;&gt;"",_xlpm.MyAuditVal,_xlpm.MacVal&lt;&gt;"",_xlpm.MacVal,_xlpm.CSVVal&lt;&gt;"",_xlpm.CSVVal
)),"")</f>
        <v/>
      </c>
      <c r="F618" s="45" t="str" cm="1">
        <f t="array" ref="F618">IFERROR(_xlfn.LET(
_xlpm.CSVVal,_xlfn.XLOOKUP($A618,CSV!$A:$A,CSV!F:F,""),
_xlpm.MacVal,_xlfn.XLOOKUP($A618,Output_Mac!$A:$A,Output_Mac!F:F,""),
_xlpm.MyAuditVal,_xlfn.XLOOKUP($A618,My_Audit!$A:$A,My_Audit!E:E,""),
_xlfn.IFS(_xlpm.MyAuditVal&lt;&gt;"",_xlpm.MyAuditVal,_xlpm.MacVal&lt;&gt;"",_xlpm.MacVal,_xlpm.CSVVal&lt;&gt;"",PROPER(_xlpm.CSVVal)
)),"")</f>
        <v/>
      </c>
      <c r="G618" s="45" t="str" cm="1">
        <f t="array" ref="G618">IFERROR(_xlfn.LET(
_xlpm.CSVVal,_xlfn.XLOOKUP($A618,CSV!$A:$A,CSV!G:G,""),
_xlpm.MacVal,_xlfn.XLOOKUP($A618,Output_Mac!$A:$A,Output_Mac!H:H,""),
_xlpm.MyAuditVal,_xlfn.XLOOKUP($A618,My_Audit!$A:$A,My_Audit!F:F,""),
_xlfn.IFS(_xlpm.MyAuditVal&lt;&gt;"",_xlpm.MyAuditVal,_xlpm.MacVal&lt;&gt;"",_xlpm.MacVal,_xlpm.CSVVal&lt;&gt;"",_xlpm.CSVVal
)),"")</f>
        <v/>
      </c>
      <c r="H618" s="45" t="str">
        <f>_xlfn.XLOOKUP(A618,Output_Mac!A:A,Output_Mac!I:I,"")</f>
        <v/>
      </c>
      <c r="I618" s="45" t="str" cm="1">
        <f t="array" ref="I618">IFERROR(_xlfn.LET(
_xlpm.CSVVal,_xlfn.XLOOKUP($A618,CSV!$A:$A,CSV!H:H,""),
_xlpm.MacVal,_xlfn.XLOOKUP($A618,Output_Mac!$A:$A,Output_Mac!J:J,""),
_xlpm.MyAuditVal,_xlfn.XLOOKUP($A618,My_Audit!$A:$A,My_Audit!H:H,""),
_xlfn.IFS(_xlpm.MyAuditVal&lt;&gt;"",UPPER(_xlpm.MyAuditVal),_xlpm.MacVal&lt;&gt;"",_xlpm.MacVal,_xlpm.CSVVal&lt;&gt;"",_xlpm.CSVVal
)),"")</f>
        <v/>
      </c>
      <c r="J618" s="45" t="str" cm="1">
        <f t="array" ref="J618">IFERROR(_xlfn.LET(
_xlpm.CSVVal,_xlfn.XLOOKUP($A618,CSV!$A:$A,CSV!J:J,""),
_xlpm.MacVal,_xlfn.XLOOKUP($A618,Output_Mac!$A:$A,Output_Mac!K:K,""),
_xlpm.MyAuditVal,_xlfn.XLOOKUP($A618,My_Audit!$A:$A,My_Audit!I:I,""),
_xlfn.IFS(_xlpm.MyAuditVal&lt;&gt;"",UPPER(_xlpm.MyAuditVal),_xlpm.MacVal&lt;&gt;"",_xlpm.MacVal,_xlpm.CSVVal&lt;&gt;"",_xlpm.CSVVal
)),"")</f>
        <v/>
      </c>
      <c r="K618" s="45" t="str" cm="1">
        <f t="array" ref="K618">IFERROR(_xlfn.LET(
_xlpm.CSVVal,_xlfn.XLOOKUP($A618,CSV!$A:$A,CSV!N:N,""),
_xlpm.MacVal,_xlfn.XLOOKUP($A618,Output_Mac!$A:$A,Output_Mac!L:L,""),
_xlpm.MyAuditVal,_xlfn.XLOOKUP($A618,My_Audit!$A:$A,My_Audit!J:J,""),
_xlfn.IFS(_xlpm.MyAuditVal&lt;&gt;"",UPPER(_xlpm.MyAuditVal),_xlpm.MacVal&lt;&gt;"",_xlpm.MacVal,_xlpm.CSVVal&lt;&gt;"",_xlpm.CSVVal
)),"")</f>
        <v/>
      </c>
      <c r="L618" s="45" t="str" cm="1">
        <f t="array" ref="L618">IFERROR(_xlfn.LET(
_xlpm.CSVVal,_xlfn.XLOOKUP($A618,CSV!$A:$A,CSV!P:P,""),
_xlpm.MacVal,_xlfn.XLOOKUP($A618,Output_Mac!$A:$A,Output_Mac!M:M,""),
_xlpm.MyAuditVal,_xlfn.XLOOKUP($A618,My_Audit!$A:$A,My_Audit!K:K,""),
_xlfn.IFS(_xlpm.MyAuditVal&lt;&gt;"",UPPER(_xlpm.MyAuditVal),_xlpm.MacVal&lt;&gt;"",_xlpm.MacVal,_xlpm.CSVVal&lt;&gt;"",_xlpm.CSVVal
)),"")</f>
        <v/>
      </c>
      <c r="M618" s="45" t="str">
        <f>_xlfn.LET(
    _xlpm.CSVVal, _xlfn.XLOOKUP($A618, CSV!$A:$A, CSV!AE:AE, ""),
    _xlpm.MacVal, _xlfn.XLOOKUP($A618, Output_Mac!$A:$A, Output_Mac!S:S, ""),
    _xlpm.MyAuditVal, _xlfn.XLOOKUP($A618, My_Audit!$A:$A, My_Audit!N:N, ""),
    _xlfn.TEXTJOIN(", ", TRUE, _xlpm.MyAuditVal, _xlpm.MacVal, _xlpm.CSVVal)
)</f>
        <v/>
      </c>
      <c r="N618" s="45" t="str" cm="1">
        <f t="array" ref="N618">IFERROR(_xlfn.LET(
_xlpm.CSVVal,_xlfn.XLOOKUP($A618,CSV!$A:$A,CSV!AG:AG,""),
_xlpm.MacVal,_xlfn.XLOOKUP($A618,Output_Mac!$A:$A,Output_Mac!U:U,""),
_xlpm.MyAuditVal,_xlfn.XLOOKUP($A618,My_Audit!$A:$A,My_Audit!O:O,""),
_xlfn.IFS(_xlpm.MyAuditVal&lt;&gt;"",UPPER(_xlpm.MyAuditVal),_xlpm.MacVal&lt;&gt;"",_xlpm.MacVal,_xlpm.CSVVal&lt;&gt;"",_xlpm.CSVVal
)),"")</f>
        <v/>
      </c>
      <c r="O618" s="45"/>
      <c r="P618" s="45"/>
      <c r="Q618" s="46" t="str">
        <f>IF(LEFT(N618,4)="Pass","Nist SP 800-88",My_Audit!R618)&amp;""</f>
        <v/>
      </c>
      <c r="R618" s="45"/>
      <c r="S618" s="45"/>
      <c r="T618" s="46" t="str">
        <f>_xlfn.XLOOKUP(E618,Models!I:I,Models!J:J,"")</f>
        <v/>
      </c>
      <c r="U618" s="45"/>
      <c r="V618" s="45"/>
      <c r="W618" s="38"/>
    </row>
    <row r="619" spans="1:23">
      <c r="A619" s="45" t="str">
        <f>_xlfn.TEXTJOIN("",TRUE,Input!$B$2,ROW(My_Audit!A618))</f>
        <v>XX618</v>
      </c>
      <c r="B619" s="45" t="str">
        <f>_xlfn.TEXTJOIN("-",TRUE,"ITD",Input!$A$2,A619)</f>
        <v>ITD-SHRXXX-XX618</v>
      </c>
      <c r="C619" s="45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46" t="str" cm="1">
        <f t="array" ref="D619">IFERROR(_xlfn.LET(
_xlpm.CSVVal,_xlfn.XLOOKUP($A619,CSV!$A:$A,CSV!C:C,""),
_xlpm.MacVal,_xlfn.XLOOKUP($A619,Output_Mac!$A:$A,Output_Mac!D:D,""),
_xlpm.MyAuditVal,_xlfn.XLOOKUP($A619,My_Audit!$A:$A,My_Audit!C:C,""),
_xlfn.IFS(_xlpm.MyAuditVal&lt;&gt;"",UPPER(_xlpm.MyAuditVal),_xlpm.MacVal&lt;&gt;"",_xlpm.MacVal,_xlpm.CSVVal&lt;&gt;"",_xlpm.CSVVal
)),"")</f>
        <v/>
      </c>
      <c r="E619" s="46" t="str" cm="1">
        <f t="array" ref="E619">IFERROR(_xlfn.LET(
_xlpm.CSVVal,_xlfn.XLOOKUP($A619,CSV!$A:$A,CSV!E:E,""),
_xlpm.MacVal,_xlfn.XLOOKUP($A619,Output_Mac!$A:$A,Output_Mac!C:C,""),
_xlpm.MyAuditVal,_xlfn.XLOOKUP($A619,My_Audit!$A:$A,My_Audit!D:D,""),
_xlfn.IFS(_xlpm.MyAuditVal&lt;&gt;"",_xlpm.MyAuditVal,_xlpm.MacVal&lt;&gt;"",_xlpm.MacVal,_xlpm.CSVVal&lt;&gt;"",_xlpm.CSVVal
)),"")</f>
        <v/>
      </c>
      <c r="F619" s="45" t="str" cm="1">
        <f t="array" ref="F619">IFERROR(_xlfn.LET(
_xlpm.CSVVal,_xlfn.XLOOKUP($A619,CSV!$A:$A,CSV!F:F,""),
_xlpm.MacVal,_xlfn.XLOOKUP($A619,Output_Mac!$A:$A,Output_Mac!F:F,""),
_xlpm.MyAuditVal,_xlfn.XLOOKUP($A619,My_Audit!$A:$A,My_Audit!E:E,""),
_xlfn.IFS(_xlpm.MyAuditVal&lt;&gt;"",_xlpm.MyAuditVal,_xlpm.MacVal&lt;&gt;"",_xlpm.MacVal,_xlpm.CSVVal&lt;&gt;"",PROPER(_xlpm.CSVVal)
)),"")</f>
        <v/>
      </c>
      <c r="G619" s="45" t="str" cm="1">
        <f t="array" ref="G619">IFERROR(_xlfn.LET(
_xlpm.CSVVal,_xlfn.XLOOKUP($A619,CSV!$A:$A,CSV!G:G,""),
_xlpm.MacVal,_xlfn.XLOOKUP($A619,Output_Mac!$A:$A,Output_Mac!H:H,""),
_xlpm.MyAuditVal,_xlfn.XLOOKUP($A619,My_Audit!$A:$A,My_Audit!F:F,""),
_xlfn.IFS(_xlpm.MyAuditVal&lt;&gt;"",_xlpm.MyAuditVal,_xlpm.MacVal&lt;&gt;"",_xlpm.MacVal,_xlpm.CSVVal&lt;&gt;"",_xlpm.CSVVal
)),"")</f>
        <v/>
      </c>
      <c r="H619" s="45" t="str">
        <f>_xlfn.XLOOKUP(A619,Output_Mac!A:A,Output_Mac!I:I,"")</f>
        <v/>
      </c>
      <c r="I619" s="45" t="str" cm="1">
        <f t="array" ref="I619">IFERROR(_xlfn.LET(
_xlpm.CSVVal,_xlfn.XLOOKUP($A619,CSV!$A:$A,CSV!H:H,""),
_xlpm.MacVal,_xlfn.XLOOKUP($A619,Output_Mac!$A:$A,Output_Mac!J:J,""),
_xlpm.MyAuditVal,_xlfn.XLOOKUP($A619,My_Audit!$A:$A,My_Audit!H:H,""),
_xlfn.IFS(_xlpm.MyAuditVal&lt;&gt;"",UPPER(_xlpm.MyAuditVal),_xlpm.MacVal&lt;&gt;"",_xlpm.MacVal,_xlpm.CSVVal&lt;&gt;"",_xlpm.CSVVal
)),"")</f>
        <v/>
      </c>
      <c r="J619" s="45" t="str" cm="1">
        <f t="array" ref="J619">IFERROR(_xlfn.LET(
_xlpm.CSVVal,_xlfn.XLOOKUP($A619,CSV!$A:$A,CSV!J:J,""),
_xlpm.MacVal,_xlfn.XLOOKUP($A619,Output_Mac!$A:$A,Output_Mac!K:K,""),
_xlpm.MyAuditVal,_xlfn.XLOOKUP($A619,My_Audit!$A:$A,My_Audit!I:I,""),
_xlfn.IFS(_xlpm.MyAuditVal&lt;&gt;"",UPPER(_xlpm.MyAuditVal),_xlpm.MacVal&lt;&gt;"",_xlpm.MacVal,_xlpm.CSVVal&lt;&gt;"",_xlpm.CSVVal
)),"")</f>
        <v/>
      </c>
      <c r="K619" s="45" t="str" cm="1">
        <f t="array" ref="K619">IFERROR(_xlfn.LET(
_xlpm.CSVVal,_xlfn.XLOOKUP($A619,CSV!$A:$A,CSV!N:N,""),
_xlpm.MacVal,_xlfn.XLOOKUP($A619,Output_Mac!$A:$A,Output_Mac!L:L,""),
_xlpm.MyAuditVal,_xlfn.XLOOKUP($A619,My_Audit!$A:$A,My_Audit!J:J,""),
_xlfn.IFS(_xlpm.MyAuditVal&lt;&gt;"",UPPER(_xlpm.MyAuditVal),_xlpm.MacVal&lt;&gt;"",_xlpm.MacVal,_xlpm.CSVVal&lt;&gt;"",_xlpm.CSVVal
)),"")</f>
        <v/>
      </c>
      <c r="L619" s="45" t="str" cm="1">
        <f t="array" ref="L619">IFERROR(_xlfn.LET(
_xlpm.CSVVal,_xlfn.XLOOKUP($A619,CSV!$A:$A,CSV!P:P,""),
_xlpm.MacVal,_xlfn.XLOOKUP($A619,Output_Mac!$A:$A,Output_Mac!M:M,""),
_xlpm.MyAuditVal,_xlfn.XLOOKUP($A619,My_Audit!$A:$A,My_Audit!K:K,""),
_xlfn.IFS(_xlpm.MyAuditVal&lt;&gt;"",UPPER(_xlpm.MyAuditVal),_xlpm.MacVal&lt;&gt;"",_xlpm.MacVal,_xlpm.CSVVal&lt;&gt;"",_xlpm.CSVVal
)),"")</f>
        <v/>
      </c>
      <c r="M619" s="45" t="str">
        <f>_xlfn.LET(
    _xlpm.CSVVal, _xlfn.XLOOKUP($A619, CSV!$A:$A, CSV!AE:AE, ""),
    _xlpm.MacVal, _xlfn.XLOOKUP($A619, Output_Mac!$A:$A, Output_Mac!S:S, ""),
    _xlpm.MyAuditVal, _xlfn.XLOOKUP($A619, My_Audit!$A:$A, My_Audit!N:N, ""),
    _xlfn.TEXTJOIN(", ", TRUE, _xlpm.MyAuditVal, _xlpm.MacVal, _xlpm.CSVVal)
)</f>
        <v/>
      </c>
      <c r="N619" s="45" t="str" cm="1">
        <f t="array" ref="N619">IFERROR(_xlfn.LET(
_xlpm.CSVVal,_xlfn.XLOOKUP($A619,CSV!$A:$A,CSV!AG:AG,""),
_xlpm.MacVal,_xlfn.XLOOKUP($A619,Output_Mac!$A:$A,Output_Mac!U:U,""),
_xlpm.MyAuditVal,_xlfn.XLOOKUP($A619,My_Audit!$A:$A,My_Audit!O:O,""),
_xlfn.IFS(_xlpm.MyAuditVal&lt;&gt;"",UPPER(_xlpm.MyAuditVal),_xlpm.MacVal&lt;&gt;"",_xlpm.MacVal,_xlpm.CSVVal&lt;&gt;"",_xlpm.CSVVal
)),"")</f>
        <v/>
      </c>
      <c r="O619" s="45"/>
      <c r="P619" s="45"/>
      <c r="Q619" s="46" t="str">
        <f>IF(LEFT(N619,4)="Pass","Nist SP 800-88",My_Audit!R619)&amp;""</f>
        <v/>
      </c>
      <c r="R619" s="45"/>
      <c r="S619" s="45"/>
      <c r="T619" s="46" t="str">
        <f>_xlfn.XLOOKUP(E619,Models!I:I,Models!J:J,"")</f>
        <v/>
      </c>
      <c r="U619" s="45"/>
      <c r="V619" s="45"/>
      <c r="W619" s="38"/>
    </row>
    <row r="620" spans="1:23">
      <c r="A620" s="45" t="str">
        <f>_xlfn.TEXTJOIN("",TRUE,Input!$B$2,ROW(My_Audit!A619))</f>
        <v>XX619</v>
      </c>
      <c r="B620" s="45" t="str">
        <f>_xlfn.TEXTJOIN("-",TRUE,"ITD",Input!$A$2,A620)</f>
        <v>ITD-SHRXXX-XX619</v>
      </c>
      <c r="C620" s="45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46" t="str" cm="1">
        <f t="array" ref="D620">IFERROR(_xlfn.LET(
_xlpm.CSVVal,_xlfn.XLOOKUP($A620,CSV!$A:$A,CSV!C:C,""),
_xlpm.MacVal,_xlfn.XLOOKUP($A620,Output_Mac!$A:$A,Output_Mac!D:D,""),
_xlpm.MyAuditVal,_xlfn.XLOOKUP($A620,My_Audit!$A:$A,My_Audit!C:C,""),
_xlfn.IFS(_xlpm.MyAuditVal&lt;&gt;"",UPPER(_xlpm.MyAuditVal),_xlpm.MacVal&lt;&gt;"",_xlpm.MacVal,_xlpm.CSVVal&lt;&gt;"",_xlpm.CSVVal
)),"")</f>
        <v/>
      </c>
      <c r="E620" s="46" t="str" cm="1">
        <f t="array" ref="E620">IFERROR(_xlfn.LET(
_xlpm.CSVVal,_xlfn.XLOOKUP($A620,CSV!$A:$A,CSV!E:E,""),
_xlpm.MacVal,_xlfn.XLOOKUP($A620,Output_Mac!$A:$A,Output_Mac!C:C,""),
_xlpm.MyAuditVal,_xlfn.XLOOKUP($A620,My_Audit!$A:$A,My_Audit!D:D,""),
_xlfn.IFS(_xlpm.MyAuditVal&lt;&gt;"",_xlpm.MyAuditVal,_xlpm.MacVal&lt;&gt;"",_xlpm.MacVal,_xlpm.CSVVal&lt;&gt;"",_xlpm.CSVVal
)),"")</f>
        <v/>
      </c>
      <c r="F620" s="45" t="str" cm="1">
        <f t="array" ref="F620">IFERROR(_xlfn.LET(
_xlpm.CSVVal,_xlfn.XLOOKUP($A620,CSV!$A:$A,CSV!F:F,""),
_xlpm.MacVal,_xlfn.XLOOKUP($A620,Output_Mac!$A:$A,Output_Mac!F:F,""),
_xlpm.MyAuditVal,_xlfn.XLOOKUP($A620,My_Audit!$A:$A,My_Audit!E:E,""),
_xlfn.IFS(_xlpm.MyAuditVal&lt;&gt;"",_xlpm.MyAuditVal,_xlpm.MacVal&lt;&gt;"",_xlpm.MacVal,_xlpm.CSVVal&lt;&gt;"",PROPER(_xlpm.CSVVal)
)),"")</f>
        <v/>
      </c>
      <c r="G620" s="45" t="str" cm="1">
        <f t="array" ref="G620">IFERROR(_xlfn.LET(
_xlpm.CSVVal,_xlfn.XLOOKUP($A620,CSV!$A:$A,CSV!G:G,""),
_xlpm.MacVal,_xlfn.XLOOKUP($A620,Output_Mac!$A:$A,Output_Mac!H:H,""),
_xlpm.MyAuditVal,_xlfn.XLOOKUP($A620,My_Audit!$A:$A,My_Audit!F:F,""),
_xlfn.IFS(_xlpm.MyAuditVal&lt;&gt;"",_xlpm.MyAuditVal,_xlpm.MacVal&lt;&gt;"",_xlpm.MacVal,_xlpm.CSVVal&lt;&gt;"",_xlpm.CSVVal
)),"")</f>
        <v/>
      </c>
      <c r="H620" s="45" t="str">
        <f>_xlfn.XLOOKUP(A620,Output_Mac!A:A,Output_Mac!I:I,"")</f>
        <v/>
      </c>
      <c r="I620" s="45" t="str" cm="1">
        <f t="array" ref="I620">IFERROR(_xlfn.LET(
_xlpm.CSVVal,_xlfn.XLOOKUP($A620,CSV!$A:$A,CSV!H:H,""),
_xlpm.MacVal,_xlfn.XLOOKUP($A620,Output_Mac!$A:$A,Output_Mac!J:J,""),
_xlpm.MyAuditVal,_xlfn.XLOOKUP($A620,My_Audit!$A:$A,My_Audit!H:H,""),
_xlfn.IFS(_xlpm.MyAuditVal&lt;&gt;"",UPPER(_xlpm.MyAuditVal),_xlpm.MacVal&lt;&gt;"",_xlpm.MacVal,_xlpm.CSVVal&lt;&gt;"",_xlpm.CSVVal
)),"")</f>
        <v/>
      </c>
      <c r="J620" s="45" t="str" cm="1">
        <f t="array" ref="J620">IFERROR(_xlfn.LET(
_xlpm.CSVVal,_xlfn.XLOOKUP($A620,CSV!$A:$A,CSV!J:J,""),
_xlpm.MacVal,_xlfn.XLOOKUP($A620,Output_Mac!$A:$A,Output_Mac!K:K,""),
_xlpm.MyAuditVal,_xlfn.XLOOKUP($A620,My_Audit!$A:$A,My_Audit!I:I,""),
_xlfn.IFS(_xlpm.MyAuditVal&lt;&gt;"",UPPER(_xlpm.MyAuditVal),_xlpm.MacVal&lt;&gt;"",_xlpm.MacVal,_xlpm.CSVVal&lt;&gt;"",_xlpm.CSVVal
)),"")</f>
        <v/>
      </c>
      <c r="K620" s="45" t="str" cm="1">
        <f t="array" ref="K620">IFERROR(_xlfn.LET(
_xlpm.CSVVal,_xlfn.XLOOKUP($A620,CSV!$A:$A,CSV!N:N,""),
_xlpm.MacVal,_xlfn.XLOOKUP($A620,Output_Mac!$A:$A,Output_Mac!L:L,""),
_xlpm.MyAuditVal,_xlfn.XLOOKUP($A620,My_Audit!$A:$A,My_Audit!J:J,""),
_xlfn.IFS(_xlpm.MyAuditVal&lt;&gt;"",UPPER(_xlpm.MyAuditVal),_xlpm.MacVal&lt;&gt;"",_xlpm.MacVal,_xlpm.CSVVal&lt;&gt;"",_xlpm.CSVVal
)),"")</f>
        <v/>
      </c>
      <c r="L620" s="45" t="str" cm="1">
        <f t="array" ref="L620">IFERROR(_xlfn.LET(
_xlpm.CSVVal,_xlfn.XLOOKUP($A620,CSV!$A:$A,CSV!P:P,""),
_xlpm.MacVal,_xlfn.XLOOKUP($A620,Output_Mac!$A:$A,Output_Mac!M:M,""),
_xlpm.MyAuditVal,_xlfn.XLOOKUP($A620,My_Audit!$A:$A,My_Audit!K:K,""),
_xlfn.IFS(_xlpm.MyAuditVal&lt;&gt;"",UPPER(_xlpm.MyAuditVal),_xlpm.MacVal&lt;&gt;"",_xlpm.MacVal,_xlpm.CSVVal&lt;&gt;"",_xlpm.CSVVal
)),"")</f>
        <v/>
      </c>
      <c r="M620" s="45" t="str">
        <f>_xlfn.LET(
    _xlpm.CSVVal, _xlfn.XLOOKUP($A620, CSV!$A:$A, CSV!AE:AE, ""),
    _xlpm.MacVal, _xlfn.XLOOKUP($A620, Output_Mac!$A:$A, Output_Mac!S:S, ""),
    _xlpm.MyAuditVal, _xlfn.XLOOKUP($A620, My_Audit!$A:$A, My_Audit!N:N, ""),
    _xlfn.TEXTJOIN(", ", TRUE, _xlpm.MyAuditVal, _xlpm.MacVal, _xlpm.CSVVal)
)</f>
        <v/>
      </c>
      <c r="N620" s="45" t="str" cm="1">
        <f t="array" ref="N620">IFERROR(_xlfn.LET(
_xlpm.CSVVal,_xlfn.XLOOKUP($A620,CSV!$A:$A,CSV!AG:AG,""),
_xlpm.MacVal,_xlfn.XLOOKUP($A620,Output_Mac!$A:$A,Output_Mac!U:U,""),
_xlpm.MyAuditVal,_xlfn.XLOOKUP($A620,My_Audit!$A:$A,My_Audit!O:O,""),
_xlfn.IFS(_xlpm.MyAuditVal&lt;&gt;"",UPPER(_xlpm.MyAuditVal),_xlpm.MacVal&lt;&gt;"",_xlpm.MacVal,_xlpm.CSVVal&lt;&gt;"",_xlpm.CSVVal
)),"")</f>
        <v/>
      </c>
      <c r="O620" s="45"/>
      <c r="P620" s="45"/>
      <c r="Q620" s="46" t="str">
        <f>IF(LEFT(N620,4)="Pass","Nist SP 800-88",My_Audit!R620)&amp;""</f>
        <v/>
      </c>
      <c r="R620" s="45"/>
      <c r="S620" s="45"/>
      <c r="T620" s="46" t="str">
        <f>_xlfn.XLOOKUP(E620,Models!I:I,Models!J:J,"")</f>
        <v/>
      </c>
      <c r="U620" s="45"/>
      <c r="V620" s="45"/>
      <c r="W620" s="38"/>
    </row>
    <row r="621" spans="1:23">
      <c r="A621" s="45" t="str">
        <f>_xlfn.TEXTJOIN("",TRUE,Input!$B$2,ROW(My_Audit!A620))</f>
        <v>XX620</v>
      </c>
      <c r="B621" s="45" t="str">
        <f>_xlfn.TEXTJOIN("-",TRUE,"ITD",Input!$A$2,A621)</f>
        <v>ITD-SHRXXX-XX620</v>
      </c>
      <c r="C621" s="45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46" t="str" cm="1">
        <f t="array" ref="D621">IFERROR(_xlfn.LET(
_xlpm.CSVVal,_xlfn.XLOOKUP($A621,CSV!$A:$A,CSV!C:C,""),
_xlpm.MacVal,_xlfn.XLOOKUP($A621,Output_Mac!$A:$A,Output_Mac!D:D,""),
_xlpm.MyAuditVal,_xlfn.XLOOKUP($A621,My_Audit!$A:$A,My_Audit!C:C,""),
_xlfn.IFS(_xlpm.MyAuditVal&lt;&gt;"",UPPER(_xlpm.MyAuditVal),_xlpm.MacVal&lt;&gt;"",_xlpm.MacVal,_xlpm.CSVVal&lt;&gt;"",_xlpm.CSVVal
)),"")</f>
        <v/>
      </c>
      <c r="E621" s="46" t="str" cm="1">
        <f t="array" ref="E621">IFERROR(_xlfn.LET(
_xlpm.CSVVal,_xlfn.XLOOKUP($A621,CSV!$A:$A,CSV!E:E,""),
_xlpm.MacVal,_xlfn.XLOOKUP($A621,Output_Mac!$A:$A,Output_Mac!C:C,""),
_xlpm.MyAuditVal,_xlfn.XLOOKUP($A621,My_Audit!$A:$A,My_Audit!D:D,""),
_xlfn.IFS(_xlpm.MyAuditVal&lt;&gt;"",_xlpm.MyAuditVal,_xlpm.MacVal&lt;&gt;"",_xlpm.MacVal,_xlpm.CSVVal&lt;&gt;"",_xlpm.CSVVal
)),"")</f>
        <v/>
      </c>
      <c r="F621" s="45" t="str" cm="1">
        <f t="array" ref="F621">IFERROR(_xlfn.LET(
_xlpm.CSVVal,_xlfn.XLOOKUP($A621,CSV!$A:$A,CSV!F:F,""),
_xlpm.MacVal,_xlfn.XLOOKUP($A621,Output_Mac!$A:$A,Output_Mac!F:F,""),
_xlpm.MyAuditVal,_xlfn.XLOOKUP($A621,My_Audit!$A:$A,My_Audit!E:E,""),
_xlfn.IFS(_xlpm.MyAuditVal&lt;&gt;"",_xlpm.MyAuditVal,_xlpm.MacVal&lt;&gt;"",_xlpm.MacVal,_xlpm.CSVVal&lt;&gt;"",PROPER(_xlpm.CSVVal)
)),"")</f>
        <v/>
      </c>
      <c r="G621" s="45" t="str" cm="1">
        <f t="array" ref="G621">IFERROR(_xlfn.LET(
_xlpm.CSVVal,_xlfn.XLOOKUP($A621,CSV!$A:$A,CSV!G:G,""),
_xlpm.MacVal,_xlfn.XLOOKUP($A621,Output_Mac!$A:$A,Output_Mac!H:H,""),
_xlpm.MyAuditVal,_xlfn.XLOOKUP($A621,My_Audit!$A:$A,My_Audit!F:F,""),
_xlfn.IFS(_xlpm.MyAuditVal&lt;&gt;"",_xlpm.MyAuditVal,_xlpm.MacVal&lt;&gt;"",_xlpm.MacVal,_xlpm.CSVVal&lt;&gt;"",_xlpm.CSVVal
)),"")</f>
        <v/>
      </c>
      <c r="H621" s="45" t="str">
        <f>_xlfn.XLOOKUP(A621,Output_Mac!A:A,Output_Mac!I:I,"")</f>
        <v/>
      </c>
      <c r="I621" s="45" t="str" cm="1">
        <f t="array" ref="I621">IFERROR(_xlfn.LET(
_xlpm.CSVVal,_xlfn.XLOOKUP($A621,CSV!$A:$A,CSV!H:H,""),
_xlpm.MacVal,_xlfn.XLOOKUP($A621,Output_Mac!$A:$A,Output_Mac!J:J,""),
_xlpm.MyAuditVal,_xlfn.XLOOKUP($A621,My_Audit!$A:$A,My_Audit!H:H,""),
_xlfn.IFS(_xlpm.MyAuditVal&lt;&gt;"",UPPER(_xlpm.MyAuditVal),_xlpm.MacVal&lt;&gt;"",_xlpm.MacVal,_xlpm.CSVVal&lt;&gt;"",_xlpm.CSVVal
)),"")</f>
        <v/>
      </c>
      <c r="J621" s="45" t="str" cm="1">
        <f t="array" ref="J621">IFERROR(_xlfn.LET(
_xlpm.CSVVal,_xlfn.XLOOKUP($A621,CSV!$A:$A,CSV!J:J,""),
_xlpm.MacVal,_xlfn.XLOOKUP($A621,Output_Mac!$A:$A,Output_Mac!K:K,""),
_xlpm.MyAuditVal,_xlfn.XLOOKUP($A621,My_Audit!$A:$A,My_Audit!I:I,""),
_xlfn.IFS(_xlpm.MyAuditVal&lt;&gt;"",UPPER(_xlpm.MyAuditVal),_xlpm.MacVal&lt;&gt;"",_xlpm.MacVal,_xlpm.CSVVal&lt;&gt;"",_xlpm.CSVVal
)),"")</f>
        <v/>
      </c>
      <c r="K621" s="45" t="str" cm="1">
        <f t="array" ref="K621">IFERROR(_xlfn.LET(
_xlpm.CSVVal,_xlfn.XLOOKUP($A621,CSV!$A:$A,CSV!N:N,""),
_xlpm.MacVal,_xlfn.XLOOKUP($A621,Output_Mac!$A:$A,Output_Mac!L:L,""),
_xlpm.MyAuditVal,_xlfn.XLOOKUP($A621,My_Audit!$A:$A,My_Audit!J:J,""),
_xlfn.IFS(_xlpm.MyAuditVal&lt;&gt;"",UPPER(_xlpm.MyAuditVal),_xlpm.MacVal&lt;&gt;"",_xlpm.MacVal,_xlpm.CSVVal&lt;&gt;"",_xlpm.CSVVal
)),"")</f>
        <v/>
      </c>
      <c r="L621" s="45" t="str" cm="1">
        <f t="array" ref="L621">IFERROR(_xlfn.LET(
_xlpm.CSVVal,_xlfn.XLOOKUP($A621,CSV!$A:$A,CSV!P:P,""),
_xlpm.MacVal,_xlfn.XLOOKUP($A621,Output_Mac!$A:$A,Output_Mac!M:M,""),
_xlpm.MyAuditVal,_xlfn.XLOOKUP($A621,My_Audit!$A:$A,My_Audit!K:K,""),
_xlfn.IFS(_xlpm.MyAuditVal&lt;&gt;"",UPPER(_xlpm.MyAuditVal),_xlpm.MacVal&lt;&gt;"",_xlpm.MacVal,_xlpm.CSVVal&lt;&gt;"",_xlpm.CSVVal
)),"")</f>
        <v/>
      </c>
      <c r="M621" s="45" t="str">
        <f>_xlfn.LET(
    _xlpm.CSVVal, _xlfn.XLOOKUP($A621, CSV!$A:$A, CSV!AE:AE, ""),
    _xlpm.MacVal, _xlfn.XLOOKUP($A621, Output_Mac!$A:$A, Output_Mac!S:S, ""),
    _xlpm.MyAuditVal, _xlfn.XLOOKUP($A621, My_Audit!$A:$A, My_Audit!N:N, ""),
    _xlfn.TEXTJOIN(", ", TRUE, _xlpm.MyAuditVal, _xlpm.MacVal, _xlpm.CSVVal)
)</f>
        <v/>
      </c>
      <c r="N621" s="45" t="str" cm="1">
        <f t="array" ref="N621">IFERROR(_xlfn.LET(
_xlpm.CSVVal,_xlfn.XLOOKUP($A621,CSV!$A:$A,CSV!AG:AG,""),
_xlpm.MacVal,_xlfn.XLOOKUP($A621,Output_Mac!$A:$A,Output_Mac!U:U,""),
_xlpm.MyAuditVal,_xlfn.XLOOKUP($A621,My_Audit!$A:$A,My_Audit!O:O,""),
_xlfn.IFS(_xlpm.MyAuditVal&lt;&gt;"",UPPER(_xlpm.MyAuditVal),_xlpm.MacVal&lt;&gt;"",_xlpm.MacVal,_xlpm.CSVVal&lt;&gt;"",_xlpm.CSVVal
)),"")</f>
        <v/>
      </c>
      <c r="O621" s="45"/>
      <c r="P621" s="45"/>
      <c r="Q621" s="46" t="str">
        <f>IF(LEFT(N621,4)="Pass","Nist SP 800-88",My_Audit!R621)&amp;""</f>
        <v/>
      </c>
      <c r="R621" s="45"/>
      <c r="S621" s="45"/>
      <c r="T621" s="46" t="str">
        <f>_xlfn.XLOOKUP(E621,Models!I:I,Models!J:J,"")</f>
        <v/>
      </c>
      <c r="U621" s="45"/>
      <c r="V621" s="45"/>
      <c r="W621" s="38"/>
    </row>
    <row r="622" spans="1:23">
      <c r="A622" s="45" t="str">
        <f>_xlfn.TEXTJOIN("",TRUE,Input!$B$2,ROW(My_Audit!A621))</f>
        <v>XX621</v>
      </c>
      <c r="B622" s="45" t="str">
        <f>_xlfn.TEXTJOIN("-",TRUE,"ITD",Input!$A$2,A622)</f>
        <v>ITD-SHRXXX-XX621</v>
      </c>
      <c r="C622" s="45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46" t="str" cm="1">
        <f t="array" ref="D622">IFERROR(_xlfn.LET(
_xlpm.CSVVal,_xlfn.XLOOKUP($A622,CSV!$A:$A,CSV!C:C,""),
_xlpm.MacVal,_xlfn.XLOOKUP($A622,Output_Mac!$A:$A,Output_Mac!D:D,""),
_xlpm.MyAuditVal,_xlfn.XLOOKUP($A622,My_Audit!$A:$A,My_Audit!C:C,""),
_xlfn.IFS(_xlpm.MyAuditVal&lt;&gt;"",UPPER(_xlpm.MyAuditVal),_xlpm.MacVal&lt;&gt;"",_xlpm.MacVal,_xlpm.CSVVal&lt;&gt;"",_xlpm.CSVVal
)),"")</f>
        <v/>
      </c>
      <c r="E622" s="46" t="str" cm="1">
        <f t="array" ref="E622">IFERROR(_xlfn.LET(
_xlpm.CSVVal,_xlfn.XLOOKUP($A622,CSV!$A:$A,CSV!E:E,""),
_xlpm.MacVal,_xlfn.XLOOKUP($A622,Output_Mac!$A:$A,Output_Mac!C:C,""),
_xlpm.MyAuditVal,_xlfn.XLOOKUP($A622,My_Audit!$A:$A,My_Audit!D:D,""),
_xlfn.IFS(_xlpm.MyAuditVal&lt;&gt;"",_xlpm.MyAuditVal,_xlpm.MacVal&lt;&gt;"",_xlpm.MacVal,_xlpm.CSVVal&lt;&gt;"",_xlpm.CSVVal
)),"")</f>
        <v/>
      </c>
      <c r="F622" s="45" t="str" cm="1">
        <f t="array" ref="F622">IFERROR(_xlfn.LET(
_xlpm.CSVVal,_xlfn.XLOOKUP($A622,CSV!$A:$A,CSV!F:F,""),
_xlpm.MacVal,_xlfn.XLOOKUP($A622,Output_Mac!$A:$A,Output_Mac!F:F,""),
_xlpm.MyAuditVal,_xlfn.XLOOKUP($A622,My_Audit!$A:$A,My_Audit!E:E,""),
_xlfn.IFS(_xlpm.MyAuditVal&lt;&gt;"",_xlpm.MyAuditVal,_xlpm.MacVal&lt;&gt;"",_xlpm.MacVal,_xlpm.CSVVal&lt;&gt;"",PROPER(_xlpm.CSVVal)
)),"")</f>
        <v/>
      </c>
      <c r="G622" s="45" t="str" cm="1">
        <f t="array" ref="G622">IFERROR(_xlfn.LET(
_xlpm.CSVVal,_xlfn.XLOOKUP($A622,CSV!$A:$A,CSV!G:G,""),
_xlpm.MacVal,_xlfn.XLOOKUP($A622,Output_Mac!$A:$A,Output_Mac!H:H,""),
_xlpm.MyAuditVal,_xlfn.XLOOKUP($A622,My_Audit!$A:$A,My_Audit!F:F,""),
_xlfn.IFS(_xlpm.MyAuditVal&lt;&gt;"",_xlpm.MyAuditVal,_xlpm.MacVal&lt;&gt;"",_xlpm.MacVal,_xlpm.CSVVal&lt;&gt;"",_xlpm.CSVVal
)),"")</f>
        <v/>
      </c>
      <c r="H622" s="45" t="str">
        <f>_xlfn.XLOOKUP(A622,Output_Mac!A:A,Output_Mac!I:I,"")</f>
        <v/>
      </c>
      <c r="I622" s="45" t="str" cm="1">
        <f t="array" ref="I622">IFERROR(_xlfn.LET(
_xlpm.CSVVal,_xlfn.XLOOKUP($A622,CSV!$A:$A,CSV!H:H,""),
_xlpm.MacVal,_xlfn.XLOOKUP($A622,Output_Mac!$A:$A,Output_Mac!J:J,""),
_xlpm.MyAuditVal,_xlfn.XLOOKUP($A622,My_Audit!$A:$A,My_Audit!H:H,""),
_xlfn.IFS(_xlpm.MyAuditVal&lt;&gt;"",UPPER(_xlpm.MyAuditVal),_xlpm.MacVal&lt;&gt;"",_xlpm.MacVal,_xlpm.CSVVal&lt;&gt;"",_xlpm.CSVVal
)),"")</f>
        <v/>
      </c>
      <c r="J622" s="45" t="str" cm="1">
        <f t="array" ref="J622">IFERROR(_xlfn.LET(
_xlpm.CSVVal,_xlfn.XLOOKUP($A622,CSV!$A:$A,CSV!J:J,""),
_xlpm.MacVal,_xlfn.XLOOKUP($A622,Output_Mac!$A:$A,Output_Mac!K:K,""),
_xlpm.MyAuditVal,_xlfn.XLOOKUP($A622,My_Audit!$A:$A,My_Audit!I:I,""),
_xlfn.IFS(_xlpm.MyAuditVal&lt;&gt;"",UPPER(_xlpm.MyAuditVal),_xlpm.MacVal&lt;&gt;"",_xlpm.MacVal,_xlpm.CSVVal&lt;&gt;"",_xlpm.CSVVal
)),"")</f>
        <v/>
      </c>
      <c r="K622" s="45" t="str" cm="1">
        <f t="array" ref="K622">IFERROR(_xlfn.LET(
_xlpm.CSVVal,_xlfn.XLOOKUP($A622,CSV!$A:$A,CSV!N:N,""),
_xlpm.MacVal,_xlfn.XLOOKUP($A622,Output_Mac!$A:$A,Output_Mac!L:L,""),
_xlpm.MyAuditVal,_xlfn.XLOOKUP($A622,My_Audit!$A:$A,My_Audit!J:J,""),
_xlfn.IFS(_xlpm.MyAuditVal&lt;&gt;"",UPPER(_xlpm.MyAuditVal),_xlpm.MacVal&lt;&gt;"",_xlpm.MacVal,_xlpm.CSVVal&lt;&gt;"",_xlpm.CSVVal
)),"")</f>
        <v/>
      </c>
      <c r="L622" s="45" t="str" cm="1">
        <f t="array" ref="L622">IFERROR(_xlfn.LET(
_xlpm.CSVVal,_xlfn.XLOOKUP($A622,CSV!$A:$A,CSV!P:P,""),
_xlpm.MacVal,_xlfn.XLOOKUP($A622,Output_Mac!$A:$A,Output_Mac!M:M,""),
_xlpm.MyAuditVal,_xlfn.XLOOKUP($A622,My_Audit!$A:$A,My_Audit!K:K,""),
_xlfn.IFS(_xlpm.MyAuditVal&lt;&gt;"",UPPER(_xlpm.MyAuditVal),_xlpm.MacVal&lt;&gt;"",_xlpm.MacVal,_xlpm.CSVVal&lt;&gt;"",_xlpm.CSVVal
)),"")</f>
        <v/>
      </c>
      <c r="M622" s="45" t="str">
        <f>_xlfn.LET(
    _xlpm.CSVVal, _xlfn.XLOOKUP($A622, CSV!$A:$A, CSV!AE:AE, ""),
    _xlpm.MacVal, _xlfn.XLOOKUP($A622, Output_Mac!$A:$A, Output_Mac!S:S, ""),
    _xlpm.MyAuditVal, _xlfn.XLOOKUP($A622, My_Audit!$A:$A, My_Audit!N:N, ""),
    _xlfn.TEXTJOIN(", ", TRUE, _xlpm.MyAuditVal, _xlpm.MacVal, _xlpm.CSVVal)
)</f>
        <v/>
      </c>
      <c r="N622" s="45" t="str" cm="1">
        <f t="array" ref="N622">IFERROR(_xlfn.LET(
_xlpm.CSVVal,_xlfn.XLOOKUP($A622,CSV!$A:$A,CSV!AG:AG,""),
_xlpm.MacVal,_xlfn.XLOOKUP($A622,Output_Mac!$A:$A,Output_Mac!U:U,""),
_xlpm.MyAuditVal,_xlfn.XLOOKUP($A622,My_Audit!$A:$A,My_Audit!O:O,""),
_xlfn.IFS(_xlpm.MyAuditVal&lt;&gt;"",UPPER(_xlpm.MyAuditVal),_xlpm.MacVal&lt;&gt;"",_xlpm.MacVal,_xlpm.CSVVal&lt;&gt;"",_xlpm.CSVVal
)),"")</f>
        <v/>
      </c>
      <c r="O622" s="45"/>
      <c r="P622" s="45"/>
      <c r="Q622" s="46" t="str">
        <f>IF(LEFT(N622,4)="Pass","Nist SP 800-88",My_Audit!R622)&amp;""</f>
        <v/>
      </c>
      <c r="R622" s="45"/>
      <c r="S622" s="45"/>
      <c r="T622" s="46" t="str">
        <f>_xlfn.XLOOKUP(E622,Models!I:I,Models!J:J,"")</f>
        <v/>
      </c>
      <c r="U622" s="45"/>
      <c r="V622" s="45"/>
      <c r="W622" s="38"/>
    </row>
    <row r="623" spans="1:23">
      <c r="A623" s="45" t="str">
        <f>_xlfn.TEXTJOIN("",TRUE,Input!$B$2,ROW(My_Audit!A622))</f>
        <v>XX622</v>
      </c>
      <c r="B623" s="45" t="str">
        <f>_xlfn.TEXTJOIN("-",TRUE,"ITD",Input!$A$2,A623)</f>
        <v>ITD-SHRXXX-XX622</v>
      </c>
      <c r="C623" s="45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46" t="str" cm="1">
        <f t="array" ref="D623">IFERROR(_xlfn.LET(
_xlpm.CSVVal,_xlfn.XLOOKUP($A623,CSV!$A:$A,CSV!C:C,""),
_xlpm.MacVal,_xlfn.XLOOKUP($A623,Output_Mac!$A:$A,Output_Mac!D:D,""),
_xlpm.MyAuditVal,_xlfn.XLOOKUP($A623,My_Audit!$A:$A,My_Audit!C:C,""),
_xlfn.IFS(_xlpm.MyAuditVal&lt;&gt;"",UPPER(_xlpm.MyAuditVal),_xlpm.MacVal&lt;&gt;"",_xlpm.MacVal,_xlpm.CSVVal&lt;&gt;"",_xlpm.CSVVal
)),"")</f>
        <v/>
      </c>
      <c r="E623" s="46" t="str" cm="1">
        <f t="array" ref="E623">IFERROR(_xlfn.LET(
_xlpm.CSVVal,_xlfn.XLOOKUP($A623,CSV!$A:$A,CSV!E:E,""),
_xlpm.MacVal,_xlfn.XLOOKUP($A623,Output_Mac!$A:$A,Output_Mac!C:C,""),
_xlpm.MyAuditVal,_xlfn.XLOOKUP($A623,My_Audit!$A:$A,My_Audit!D:D,""),
_xlfn.IFS(_xlpm.MyAuditVal&lt;&gt;"",_xlpm.MyAuditVal,_xlpm.MacVal&lt;&gt;"",_xlpm.MacVal,_xlpm.CSVVal&lt;&gt;"",_xlpm.CSVVal
)),"")</f>
        <v/>
      </c>
      <c r="F623" s="45" t="str" cm="1">
        <f t="array" ref="F623">IFERROR(_xlfn.LET(
_xlpm.CSVVal,_xlfn.XLOOKUP($A623,CSV!$A:$A,CSV!F:F,""),
_xlpm.MacVal,_xlfn.XLOOKUP($A623,Output_Mac!$A:$A,Output_Mac!F:F,""),
_xlpm.MyAuditVal,_xlfn.XLOOKUP($A623,My_Audit!$A:$A,My_Audit!E:E,""),
_xlfn.IFS(_xlpm.MyAuditVal&lt;&gt;"",_xlpm.MyAuditVal,_xlpm.MacVal&lt;&gt;"",_xlpm.MacVal,_xlpm.CSVVal&lt;&gt;"",PROPER(_xlpm.CSVVal)
)),"")</f>
        <v/>
      </c>
      <c r="G623" s="45" t="str" cm="1">
        <f t="array" ref="G623">IFERROR(_xlfn.LET(
_xlpm.CSVVal,_xlfn.XLOOKUP($A623,CSV!$A:$A,CSV!G:G,""),
_xlpm.MacVal,_xlfn.XLOOKUP($A623,Output_Mac!$A:$A,Output_Mac!H:H,""),
_xlpm.MyAuditVal,_xlfn.XLOOKUP($A623,My_Audit!$A:$A,My_Audit!F:F,""),
_xlfn.IFS(_xlpm.MyAuditVal&lt;&gt;"",_xlpm.MyAuditVal,_xlpm.MacVal&lt;&gt;"",_xlpm.MacVal,_xlpm.CSVVal&lt;&gt;"",_xlpm.CSVVal
)),"")</f>
        <v/>
      </c>
      <c r="H623" s="45" t="str">
        <f>_xlfn.XLOOKUP(A623,Output_Mac!A:A,Output_Mac!I:I,"")</f>
        <v/>
      </c>
      <c r="I623" s="45" t="str" cm="1">
        <f t="array" ref="I623">IFERROR(_xlfn.LET(
_xlpm.CSVVal,_xlfn.XLOOKUP($A623,CSV!$A:$A,CSV!H:H,""),
_xlpm.MacVal,_xlfn.XLOOKUP($A623,Output_Mac!$A:$A,Output_Mac!J:J,""),
_xlpm.MyAuditVal,_xlfn.XLOOKUP($A623,My_Audit!$A:$A,My_Audit!H:H,""),
_xlfn.IFS(_xlpm.MyAuditVal&lt;&gt;"",UPPER(_xlpm.MyAuditVal),_xlpm.MacVal&lt;&gt;"",_xlpm.MacVal,_xlpm.CSVVal&lt;&gt;"",_xlpm.CSVVal
)),"")</f>
        <v/>
      </c>
      <c r="J623" s="45" t="str" cm="1">
        <f t="array" ref="J623">IFERROR(_xlfn.LET(
_xlpm.CSVVal,_xlfn.XLOOKUP($A623,CSV!$A:$A,CSV!J:J,""),
_xlpm.MacVal,_xlfn.XLOOKUP($A623,Output_Mac!$A:$A,Output_Mac!K:K,""),
_xlpm.MyAuditVal,_xlfn.XLOOKUP($A623,My_Audit!$A:$A,My_Audit!I:I,""),
_xlfn.IFS(_xlpm.MyAuditVal&lt;&gt;"",UPPER(_xlpm.MyAuditVal),_xlpm.MacVal&lt;&gt;"",_xlpm.MacVal,_xlpm.CSVVal&lt;&gt;"",_xlpm.CSVVal
)),"")</f>
        <v/>
      </c>
      <c r="K623" s="45" t="str" cm="1">
        <f t="array" ref="K623">IFERROR(_xlfn.LET(
_xlpm.CSVVal,_xlfn.XLOOKUP($A623,CSV!$A:$A,CSV!N:N,""),
_xlpm.MacVal,_xlfn.XLOOKUP($A623,Output_Mac!$A:$A,Output_Mac!L:L,""),
_xlpm.MyAuditVal,_xlfn.XLOOKUP($A623,My_Audit!$A:$A,My_Audit!J:J,""),
_xlfn.IFS(_xlpm.MyAuditVal&lt;&gt;"",UPPER(_xlpm.MyAuditVal),_xlpm.MacVal&lt;&gt;"",_xlpm.MacVal,_xlpm.CSVVal&lt;&gt;"",_xlpm.CSVVal
)),"")</f>
        <v/>
      </c>
      <c r="L623" s="45" t="str" cm="1">
        <f t="array" ref="L623">IFERROR(_xlfn.LET(
_xlpm.CSVVal,_xlfn.XLOOKUP($A623,CSV!$A:$A,CSV!P:P,""),
_xlpm.MacVal,_xlfn.XLOOKUP($A623,Output_Mac!$A:$A,Output_Mac!M:M,""),
_xlpm.MyAuditVal,_xlfn.XLOOKUP($A623,My_Audit!$A:$A,My_Audit!K:K,""),
_xlfn.IFS(_xlpm.MyAuditVal&lt;&gt;"",UPPER(_xlpm.MyAuditVal),_xlpm.MacVal&lt;&gt;"",_xlpm.MacVal,_xlpm.CSVVal&lt;&gt;"",_xlpm.CSVVal
)),"")</f>
        <v/>
      </c>
      <c r="M623" s="45" t="str">
        <f>_xlfn.LET(
    _xlpm.CSVVal, _xlfn.XLOOKUP($A623, CSV!$A:$A, CSV!AE:AE, ""),
    _xlpm.MacVal, _xlfn.XLOOKUP($A623, Output_Mac!$A:$A, Output_Mac!S:S, ""),
    _xlpm.MyAuditVal, _xlfn.XLOOKUP($A623, My_Audit!$A:$A, My_Audit!N:N, ""),
    _xlfn.TEXTJOIN(", ", TRUE, _xlpm.MyAuditVal, _xlpm.MacVal, _xlpm.CSVVal)
)</f>
        <v/>
      </c>
      <c r="N623" s="45" t="str" cm="1">
        <f t="array" ref="N623">IFERROR(_xlfn.LET(
_xlpm.CSVVal,_xlfn.XLOOKUP($A623,CSV!$A:$A,CSV!AG:AG,""),
_xlpm.MacVal,_xlfn.XLOOKUP($A623,Output_Mac!$A:$A,Output_Mac!U:U,""),
_xlpm.MyAuditVal,_xlfn.XLOOKUP($A623,My_Audit!$A:$A,My_Audit!O:O,""),
_xlfn.IFS(_xlpm.MyAuditVal&lt;&gt;"",UPPER(_xlpm.MyAuditVal),_xlpm.MacVal&lt;&gt;"",_xlpm.MacVal,_xlpm.CSVVal&lt;&gt;"",_xlpm.CSVVal
)),"")</f>
        <v/>
      </c>
      <c r="O623" s="45"/>
      <c r="P623" s="45"/>
      <c r="Q623" s="46" t="str">
        <f>IF(LEFT(N623,4)="Pass","Nist SP 800-88",My_Audit!R623)&amp;""</f>
        <v/>
      </c>
      <c r="R623" s="45"/>
      <c r="S623" s="45"/>
      <c r="T623" s="46" t="str">
        <f>_xlfn.XLOOKUP(E623,Models!I:I,Models!J:J,"")</f>
        <v/>
      </c>
      <c r="U623" s="45"/>
      <c r="V623" s="45"/>
      <c r="W623" s="38"/>
    </row>
    <row r="624" spans="1:23">
      <c r="A624" s="45" t="str">
        <f>_xlfn.TEXTJOIN("",TRUE,Input!$B$2,ROW(My_Audit!A623))</f>
        <v>XX623</v>
      </c>
      <c r="B624" s="45" t="str">
        <f>_xlfn.TEXTJOIN("-",TRUE,"ITD",Input!$A$2,A624)</f>
        <v>ITD-SHRXXX-XX623</v>
      </c>
      <c r="C624" s="45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46" t="str" cm="1">
        <f t="array" ref="D624">IFERROR(_xlfn.LET(
_xlpm.CSVVal,_xlfn.XLOOKUP($A624,CSV!$A:$A,CSV!C:C,""),
_xlpm.MacVal,_xlfn.XLOOKUP($A624,Output_Mac!$A:$A,Output_Mac!D:D,""),
_xlpm.MyAuditVal,_xlfn.XLOOKUP($A624,My_Audit!$A:$A,My_Audit!C:C,""),
_xlfn.IFS(_xlpm.MyAuditVal&lt;&gt;"",UPPER(_xlpm.MyAuditVal),_xlpm.MacVal&lt;&gt;"",_xlpm.MacVal,_xlpm.CSVVal&lt;&gt;"",_xlpm.CSVVal
)),"")</f>
        <v/>
      </c>
      <c r="E624" s="46" t="str" cm="1">
        <f t="array" ref="E624">IFERROR(_xlfn.LET(
_xlpm.CSVVal,_xlfn.XLOOKUP($A624,CSV!$A:$A,CSV!E:E,""),
_xlpm.MacVal,_xlfn.XLOOKUP($A624,Output_Mac!$A:$A,Output_Mac!C:C,""),
_xlpm.MyAuditVal,_xlfn.XLOOKUP($A624,My_Audit!$A:$A,My_Audit!D:D,""),
_xlfn.IFS(_xlpm.MyAuditVal&lt;&gt;"",_xlpm.MyAuditVal,_xlpm.MacVal&lt;&gt;"",_xlpm.MacVal,_xlpm.CSVVal&lt;&gt;"",_xlpm.CSVVal
)),"")</f>
        <v/>
      </c>
      <c r="F624" s="45" t="str" cm="1">
        <f t="array" ref="F624">IFERROR(_xlfn.LET(
_xlpm.CSVVal,_xlfn.XLOOKUP($A624,CSV!$A:$A,CSV!F:F,""),
_xlpm.MacVal,_xlfn.XLOOKUP($A624,Output_Mac!$A:$A,Output_Mac!F:F,""),
_xlpm.MyAuditVal,_xlfn.XLOOKUP($A624,My_Audit!$A:$A,My_Audit!E:E,""),
_xlfn.IFS(_xlpm.MyAuditVal&lt;&gt;"",_xlpm.MyAuditVal,_xlpm.MacVal&lt;&gt;"",_xlpm.MacVal,_xlpm.CSVVal&lt;&gt;"",PROPER(_xlpm.CSVVal)
)),"")</f>
        <v/>
      </c>
      <c r="G624" s="45" t="str" cm="1">
        <f t="array" ref="G624">IFERROR(_xlfn.LET(
_xlpm.CSVVal,_xlfn.XLOOKUP($A624,CSV!$A:$A,CSV!G:G,""),
_xlpm.MacVal,_xlfn.XLOOKUP($A624,Output_Mac!$A:$A,Output_Mac!H:H,""),
_xlpm.MyAuditVal,_xlfn.XLOOKUP($A624,My_Audit!$A:$A,My_Audit!F:F,""),
_xlfn.IFS(_xlpm.MyAuditVal&lt;&gt;"",_xlpm.MyAuditVal,_xlpm.MacVal&lt;&gt;"",_xlpm.MacVal,_xlpm.CSVVal&lt;&gt;"",_xlpm.CSVVal
)),"")</f>
        <v/>
      </c>
      <c r="H624" s="45" t="str">
        <f>_xlfn.XLOOKUP(A624,Output_Mac!A:A,Output_Mac!I:I,"")</f>
        <v/>
      </c>
      <c r="I624" s="45" t="str" cm="1">
        <f t="array" ref="I624">IFERROR(_xlfn.LET(
_xlpm.CSVVal,_xlfn.XLOOKUP($A624,CSV!$A:$A,CSV!H:H,""),
_xlpm.MacVal,_xlfn.XLOOKUP($A624,Output_Mac!$A:$A,Output_Mac!J:J,""),
_xlpm.MyAuditVal,_xlfn.XLOOKUP($A624,My_Audit!$A:$A,My_Audit!H:H,""),
_xlfn.IFS(_xlpm.MyAuditVal&lt;&gt;"",UPPER(_xlpm.MyAuditVal),_xlpm.MacVal&lt;&gt;"",_xlpm.MacVal,_xlpm.CSVVal&lt;&gt;"",_xlpm.CSVVal
)),"")</f>
        <v/>
      </c>
      <c r="J624" s="45" t="str" cm="1">
        <f t="array" ref="J624">IFERROR(_xlfn.LET(
_xlpm.CSVVal,_xlfn.XLOOKUP($A624,CSV!$A:$A,CSV!J:J,""),
_xlpm.MacVal,_xlfn.XLOOKUP($A624,Output_Mac!$A:$A,Output_Mac!K:K,""),
_xlpm.MyAuditVal,_xlfn.XLOOKUP($A624,My_Audit!$A:$A,My_Audit!I:I,""),
_xlfn.IFS(_xlpm.MyAuditVal&lt;&gt;"",UPPER(_xlpm.MyAuditVal),_xlpm.MacVal&lt;&gt;"",_xlpm.MacVal,_xlpm.CSVVal&lt;&gt;"",_xlpm.CSVVal
)),"")</f>
        <v/>
      </c>
      <c r="K624" s="45" t="str" cm="1">
        <f t="array" ref="K624">IFERROR(_xlfn.LET(
_xlpm.CSVVal,_xlfn.XLOOKUP($A624,CSV!$A:$A,CSV!N:N,""),
_xlpm.MacVal,_xlfn.XLOOKUP($A624,Output_Mac!$A:$A,Output_Mac!L:L,""),
_xlpm.MyAuditVal,_xlfn.XLOOKUP($A624,My_Audit!$A:$A,My_Audit!J:J,""),
_xlfn.IFS(_xlpm.MyAuditVal&lt;&gt;"",UPPER(_xlpm.MyAuditVal),_xlpm.MacVal&lt;&gt;"",_xlpm.MacVal,_xlpm.CSVVal&lt;&gt;"",_xlpm.CSVVal
)),"")</f>
        <v/>
      </c>
      <c r="L624" s="45" t="str" cm="1">
        <f t="array" ref="L624">IFERROR(_xlfn.LET(
_xlpm.CSVVal,_xlfn.XLOOKUP($A624,CSV!$A:$A,CSV!P:P,""),
_xlpm.MacVal,_xlfn.XLOOKUP($A624,Output_Mac!$A:$A,Output_Mac!M:M,""),
_xlpm.MyAuditVal,_xlfn.XLOOKUP($A624,My_Audit!$A:$A,My_Audit!K:K,""),
_xlfn.IFS(_xlpm.MyAuditVal&lt;&gt;"",UPPER(_xlpm.MyAuditVal),_xlpm.MacVal&lt;&gt;"",_xlpm.MacVal,_xlpm.CSVVal&lt;&gt;"",_xlpm.CSVVal
)),"")</f>
        <v/>
      </c>
      <c r="M624" s="45" t="str">
        <f>_xlfn.LET(
    _xlpm.CSVVal, _xlfn.XLOOKUP($A624, CSV!$A:$A, CSV!AE:AE, ""),
    _xlpm.MacVal, _xlfn.XLOOKUP($A624, Output_Mac!$A:$A, Output_Mac!S:S, ""),
    _xlpm.MyAuditVal, _xlfn.XLOOKUP($A624, My_Audit!$A:$A, My_Audit!N:N, ""),
    _xlfn.TEXTJOIN(", ", TRUE, _xlpm.MyAuditVal, _xlpm.MacVal, _xlpm.CSVVal)
)</f>
        <v/>
      </c>
      <c r="N624" s="45" t="str" cm="1">
        <f t="array" ref="N624">IFERROR(_xlfn.LET(
_xlpm.CSVVal,_xlfn.XLOOKUP($A624,CSV!$A:$A,CSV!AG:AG,""),
_xlpm.MacVal,_xlfn.XLOOKUP($A624,Output_Mac!$A:$A,Output_Mac!U:U,""),
_xlpm.MyAuditVal,_xlfn.XLOOKUP($A624,My_Audit!$A:$A,My_Audit!O:O,""),
_xlfn.IFS(_xlpm.MyAuditVal&lt;&gt;"",UPPER(_xlpm.MyAuditVal),_xlpm.MacVal&lt;&gt;"",_xlpm.MacVal,_xlpm.CSVVal&lt;&gt;"",_xlpm.CSVVal
)),"")</f>
        <v/>
      </c>
      <c r="O624" s="45"/>
      <c r="P624" s="45"/>
      <c r="Q624" s="46" t="str">
        <f>IF(LEFT(N624,4)="Pass","Nist SP 800-88",My_Audit!R624)&amp;""</f>
        <v/>
      </c>
      <c r="R624" s="45"/>
      <c r="S624" s="45"/>
      <c r="T624" s="46" t="str">
        <f>_xlfn.XLOOKUP(E624,Models!I:I,Models!J:J,"")</f>
        <v/>
      </c>
      <c r="U624" s="45"/>
      <c r="V624" s="45"/>
      <c r="W624" s="38"/>
    </row>
    <row r="625" spans="1:23">
      <c r="A625" s="45" t="str">
        <f>_xlfn.TEXTJOIN("",TRUE,Input!$B$2,ROW(My_Audit!A624))</f>
        <v>XX624</v>
      </c>
      <c r="B625" s="45" t="str">
        <f>_xlfn.TEXTJOIN("-",TRUE,"ITD",Input!$A$2,A625)</f>
        <v>ITD-SHRXXX-XX624</v>
      </c>
      <c r="C625" s="45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46" t="str" cm="1">
        <f t="array" ref="D625">IFERROR(_xlfn.LET(
_xlpm.CSVVal,_xlfn.XLOOKUP($A625,CSV!$A:$A,CSV!C:C,""),
_xlpm.MacVal,_xlfn.XLOOKUP($A625,Output_Mac!$A:$A,Output_Mac!D:D,""),
_xlpm.MyAuditVal,_xlfn.XLOOKUP($A625,My_Audit!$A:$A,My_Audit!C:C,""),
_xlfn.IFS(_xlpm.MyAuditVal&lt;&gt;"",UPPER(_xlpm.MyAuditVal),_xlpm.MacVal&lt;&gt;"",_xlpm.MacVal,_xlpm.CSVVal&lt;&gt;"",_xlpm.CSVVal
)),"")</f>
        <v/>
      </c>
      <c r="E625" s="46" t="str" cm="1">
        <f t="array" ref="E625">IFERROR(_xlfn.LET(
_xlpm.CSVVal,_xlfn.XLOOKUP($A625,CSV!$A:$A,CSV!E:E,""),
_xlpm.MacVal,_xlfn.XLOOKUP($A625,Output_Mac!$A:$A,Output_Mac!C:C,""),
_xlpm.MyAuditVal,_xlfn.XLOOKUP($A625,My_Audit!$A:$A,My_Audit!D:D,""),
_xlfn.IFS(_xlpm.MyAuditVal&lt;&gt;"",_xlpm.MyAuditVal,_xlpm.MacVal&lt;&gt;"",_xlpm.MacVal,_xlpm.CSVVal&lt;&gt;"",_xlpm.CSVVal
)),"")</f>
        <v/>
      </c>
      <c r="F625" s="45" t="str" cm="1">
        <f t="array" ref="F625">IFERROR(_xlfn.LET(
_xlpm.CSVVal,_xlfn.XLOOKUP($A625,CSV!$A:$A,CSV!F:F,""),
_xlpm.MacVal,_xlfn.XLOOKUP($A625,Output_Mac!$A:$A,Output_Mac!F:F,""),
_xlpm.MyAuditVal,_xlfn.XLOOKUP($A625,My_Audit!$A:$A,My_Audit!E:E,""),
_xlfn.IFS(_xlpm.MyAuditVal&lt;&gt;"",_xlpm.MyAuditVal,_xlpm.MacVal&lt;&gt;"",_xlpm.MacVal,_xlpm.CSVVal&lt;&gt;"",PROPER(_xlpm.CSVVal)
)),"")</f>
        <v/>
      </c>
      <c r="G625" s="45" t="str" cm="1">
        <f t="array" ref="G625">IFERROR(_xlfn.LET(
_xlpm.CSVVal,_xlfn.XLOOKUP($A625,CSV!$A:$A,CSV!G:G,""),
_xlpm.MacVal,_xlfn.XLOOKUP($A625,Output_Mac!$A:$A,Output_Mac!H:H,""),
_xlpm.MyAuditVal,_xlfn.XLOOKUP($A625,My_Audit!$A:$A,My_Audit!F:F,""),
_xlfn.IFS(_xlpm.MyAuditVal&lt;&gt;"",_xlpm.MyAuditVal,_xlpm.MacVal&lt;&gt;"",_xlpm.MacVal,_xlpm.CSVVal&lt;&gt;"",_xlpm.CSVVal
)),"")</f>
        <v/>
      </c>
      <c r="H625" s="45" t="str">
        <f>_xlfn.XLOOKUP(A625,Output_Mac!A:A,Output_Mac!I:I,"")</f>
        <v/>
      </c>
      <c r="I625" s="45" t="str" cm="1">
        <f t="array" ref="I625">IFERROR(_xlfn.LET(
_xlpm.CSVVal,_xlfn.XLOOKUP($A625,CSV!$A:$A,CSV!H:H,""),
_xlpm.MacVal,_xlfn.XLOOKUP($A625,Output_Mac!$A:$A,Output_Mac!J:J,""),
_xlpm.MyAuditVal,_xlfn.XLOOKUP($A625,My_Audit!$A:$A,My_Audit!H:H,""),
_xlfn.IFS(_xlpm.MyAuditVal&lt;&gt;"",UPPER(_xlpm.MyAuditVal),_xlpm.MacVal&lt;&gt;"",_xlpm.MacVal,_xlpm.CSVVal&lt;&gt;"",_xlpm.CSVVal
)),"")</f>
        <v/>
      </c>
      <c r="J625" s="45" t="str" cm="1">
        <f t="array" ref="J625">IFERROR(_xlfn.LET(
_xlpm.CSVVal,_xlfn.XLOOKUP($A625,CSV!$A:$A,CSV!J:J,""),
_xlpm.MacVal,_xlfn.XLOOKUP($A625,Output_Mac!$A:$A,Output_Mac!K:K,""),
_xlpm.MyAuditVal,_xlfn.XLOOKUP($A625,My_Audit!$A:$A,My_Audit!I:I,""),
_xlfn.IFS(_xlpm.MyAuditVal&lt;&gt;"",UPPER(_xlpm.MyAuditVal),_xlpm.MacVal&lt;&gt;"",_xlpm.MacVal,_xlpm.CSVVal&lt;&gt;"",_xlpm.CSVVal
)),"")</f>
        <v/>
      </c>
      <c r="K625" s="45" t="str" cm="1">
        <f t="array" ref="K625">IFERROR(_xlfn.LET(
_xlpm.CSVVal,_xlfn.XLOOKUP($A625,CSV!$A:$A,CSV!N:N,""),
_xlpm.MacVal,_xlfn.XLOOKUP($A625,Output_Mac!$A:$A,Output_Mac!L:L,""),
_xlpm.MyAuditVal,_xlfn.XLOOKUP($A625,My_Audit!$A:$A,My_Audit!J:J,""),
_xlfn.IFS(_xlpm.MyAuditVal&lt;&gt;"",UPPER(_xlpm.MyAuditVal),_xlpm.MacVal&lt;&gt;"",_xlpm.MacVal,_xlpm.CSVVal&lt;&gt;"",_xlpm.CSVVal
)),"")</f>
        <v/>
      </c>
      <c r="L625" s="45" t="str" cm="1">
        <f t="array" ref="L625">IFERROR(_xlfn.LET(
_xlpm.CSVVal,_xlfn.XLOOKUP($A625,CSV!$A:$A,CSV!P:P,""),
_xlpm.MacVal,_xlfn.XLOOKUP($A625,Output_Mac!$A:$A,Output_Mac!M:M,""),
_xlpm.MyAuditVal,_xlfn.XLOOKUP($A625,My_Audit!$A:$A,My_Audit!K:K,""),
_xlfn.IFS(_xlpm.MyAuditVal&lt;&gt;"",UPPER(_xlpm.MyAuditVal),_xlpm.MacVal&lt;&gt;"",_xlpm.MacVal,_xlpm.CSVVal&lt;&gt;"",_xlpm.CSVVal
)),"")</f>
        <v/>
      </c>
      <c r="M625" s="45" t="str">
        <f>_xlfn.LET(
    _xlpm.CSVVal, _xlfn.XLOOKUP($A625, CSV!$A:$A, CSV!AE:AE, ""),
    _xlpm.MacVal, _xlfn.XLOOKUP($A625, Output_Mac!$A:$A, Output_Mac!S:S, ""),
    _xlpm.MyAuditVal, _xlfn.XLOOKUP($A625, My_Audit!$A:$A, My_Audit!N:N, ""),
    _xlfn.TEXTJOIN(", ", TRUE, _xlpm.MyAuditVal, _xlpm.MacVal, _xlpm.CSVVal)
)</f>
        <v/>
      </c>
      <c r="N625" s="45" t="str" cm="1">
        <f t="array" ref="N625">IFERROR(_xlfn.LET(
_xlpm.CSVVal,_xlfn.XLOOKUP($A625,CSV!$A:$A,CSV!AG:AG,""),
_xlpm.MacVal,_xlfn.XLOOKUP($A625,Output_Mac!$A:$A,Output_Mac!U:U,""),
_xlpm.MyAuditVal,_xlfn.XLOOKUP($A625,My_Audit!$A:$A,My_Audit!O:O,""),
_xlfn.IFS(_xlpm.MyAuditVal&lt;&gt;"",UPPER(_xlpm.MyAuditVal),_xlpm.MacVal&lt;&gt;"",_xlpm.MacVal,_xlpm.CSVVal&lt;&gt;"",_xlpm.CSVVal
)),"")</f>
        <v/>
      </c>
      <c r="O625" s="45"/>
      <c r="P625" s="45"/>
      <c r="Q625" s="46" t="str">
        <f>IF(LEFT(N625,4)="Pass","Nist SP 800-88",My_Audit!R625)&amp;""</f>
        <v/>
      </c>
      <c r="R625" s="45"/>
      <c r="S625" s="45"/>
      <c r="T625" s="46" t="str">
        <f>_xlfn.XLOOKUP(E625,Models!I:I,Models!J:J,"")</f>
        <v/>
      </c>
      <c r="U625" s="45"/>
      <c r="V625" s="45"/>
      <c r="W625" s="38"/>
    </row>
    <row r="626" spans="1:23">
      <c r="A626" s="45" t="str">
        <f>_xlfn.TEXTJOIN("",TRUE,Input!$B$2,ROW(My_Audit!A625))</f>
        <v>XX625</v>
      </c>
      <c r="B626" s="45" t="str">
        <f>_xlfn.TEXTJOIN("-",TRUE,"ITD",Input!$A$2,A626)</f>
        <v>ITD-SHRXXX-XX625</v>
      </c>
      <c r="C626" s="45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46" t="str" cm="1">
        <f t="array" ref="D626">IFERROR(_xlfn.LET(
_xlpm.CSVVal,_xlfn.XLOOKUP($A626,CSV!$A:$A,CSV!C:C,""),
_xlpm.MacVal,_xlfn.XLOOKUP($A626,Output_Mac!$A:$A,Output_Mac!D:D,""),
_xlpm.MyAuditVal,_xlfn.XLOOKUP($A626,My_Audit!$A:$A,My_Audit!C:C,""),
_xlfn.IFS(_xlpm.MyAuditVal&lt;&gt;"",UPPER(_xlpm.MyAuditVal),_xlpm.MacVal&lt;&gt;"",_xlpm.MacVal,_xlpm.CSVVal&lt;&gt;"",_xlpm.CSVVal
)),"")</f>
        <v/>
      </c>
      <c r="E626" s="46" t="str" cm="1">
        <f t="array" ref="E626">IFERROR(_xlfn.LET(
_xlpm.CSVVal,_xlfn.XLOOKUP($A626,CSV!$A:$A,CSV!E:E,""),
_xlpm.MacVal,_xlfn.XLOOKUP($A626,Output_Mac!$A:$A,Output_Mac!C:C,""),
_xlpm.MyAuditVal,_xlfn.XLOOKUP($A626,My_Audit!$A:$A,My_Audit!D:D,""),
_xlfn.IFS(_xlpm.MyAuditVal&lt;&gt;"",_xlpm.MyAuditVal,_xlpm.MacVal&lt;&gt;"",_xlpm.MacVal,_xlpm.CSVVal&lt;&gt;"",_xlpm.CSVVal
)),"")</f>
        <v/>
      </c>
      <c r="F626" s="45" t="str" cm="1">
        <f t="array" ref="F626">IFERROR(_xlfn.LET(
_xlpm.CSVVal,_xlfn.XLOOKUP($A626,CSV!$A:$A,CSV!F:F,""),
_xlpm.MacVal,_xlfn.XLOOKUP($A626,Output_Mac!$A:$A,Output_Mac!F:F,""),
_xlpm.MyAuditVal,_xlfn.XLOOKUP($A626,My_Audit!$A:$A,My_Audit!E:E,""),
_xlfn.IFS(_xlpm.MyAuditVal&lt;&gt;"",_xlpm.MyAuditVal,_xlpm.MacVal&lt;&gt;"",_xlpm.MacVal,_xlpm.CSVVal&lt;&gt;"",PROPER(_xlpm.CSVVal)
)),"")</f>
        <v/>
      </c>
      <c r="G626" s="45" t="str" cm="1">
        <f t="array" ref="G626">IFERROR(_xlfn.LET(
_xlpm.CSVVal,_xlfn.XLOOKUP($A626,CSV!$A:$A,CSV!G:G,""),
_xlpm.MacVal,_xlfn.XLOOKUP($A626,Output_Mac!$A:$A,Output_Mac!H:H,""),
_xlpm.MyAuditVal,_xlfn.XLOOKUP($A626,My_Audit!$A:$A,My_Audit!F:F,""),
_xlfn.IFS(_xlpm.MyAuditVal&lt;&gt;"",_xlpm.MyAuditVal,_xlpm.MacVal&lt;&gt;"",_xlpm.MacVal,_xlpm.CSVVal&lt;&gt;"",_xlpm.CSVVal
)),"")</f>
        <v/>
      </c>
      <c r="H626" s="45" t="str">
        <f>_xlfn.XLOOKUP(A626,Output_Mac!A:A,Output_Mac!I:I,"")</f>
        <v/>
      </c>
      <c r="I626" s="45" t="str" cm="1">
        <f t="array" ref="I626">IFERROR(_xlfn.LET(
_xlpm.CSVVal,_xlfn.XLOOKUP($A626,CSV!$A:$A,CSV!H:H,""),
_xlpm.MacVal,_xlfn.XLOOKUP($A626,Output_Mac!$A:$A,Output_Mac!J:J,""),
_xlpm.MyAuditVal,_xlfn.XLOOKUP($A626,My_Audit!$A:$A,My_Audit!H:H,""),
_xlfn.IFS(_xlpm.MyAuditVal&lt;&gt;"",UPPER(_xlpm.MyAuditVal),_xlpm.MacVal&lt;&gt;"",_xlpm.MacVal,_xlpm.CSVVal&lt;&gt;"",_xlpm.CSVVal
)),"")</f>
        <v/>
      </c>
      <c r="J626" s="45" t="str" cm="1">
        <f t="array" ref="J626">IFERROR(_xlfn.LET(
_xlpm.CSVVal,_xlfn.XLOOKUP($A626,CSV!$A:$A,CSV!J:J,""),
_xlpm.MacVal,_xlfn.XLOOKUP($A626,Output_Mac!$A:$A,Output_Mac!K:K,""),
_xlpm.MyAuditVal,_xlfn.XLOOKUP($A626,My_Audit!$A:$A,My_Audit!I:I,""),
_xlfn.IFS(_xlpm.MyAuditVal&lt;&gt;"",UPPER(_xlpm.MyAuditVal),_xlpm.MacVal&lt;&gt;"",_xlpm.MacVal,_xlpm.CSVVal&lt;&gt;"",_xlpm.CSVVal
)),"")</f>
        <v/>
      </c>
      <c r="K626" s="45" t="str" cm="1">
        <f t="array" ref="K626">IFERROR(_xlfn.LET(
_xlpm.CSVVal,_xlfn.XLOOKUP($A626,CSV!$A:$A,CSV!N:N,""),
_xlpm.MacVal,_xlfn.XLOOKUP($A626,Output_Mac!$A:$A,Output_Mac!L:L,""),
_xlpm.MyAuditVal,_xlfn.XLOOKUP($A626,My_Audit!$A:$A,My_Audit!J:J,""),
_xlfn.IFS(_xlpm.MyAuditVal&lt;&gt;"",UPPER(_xlpm.MyAuditVal),_xlpm.MacVal&lt;&gt;"",_xlpm.MacVal,_xlpm.CSVVal&lt;&gt;"",_xlpm.CSVVal
)),"")</f>
        <v/>
      </c>
      <c r="L626" s="45" t="str" cm="1">
        <f t="array" ref="L626">IFERROR(_xlfn.LET(
_xlpm.CSVVal,_xlfn.XLOOKUP($A626,CSV!$A:$A,CSV!P:P,""),
_xlpm.MacVal,_xlfn.XLOOKUP($A626,Output_Mac!$A:$A,Output_Mac!M:M,""),
_xlpm.MyAuditVal,_xlfn.XLOOKUP($A626,My_Audit!$A:$A,My_Audit!K:K,""),
_xlfn.IFS(_xlpm.MyAuditVal&lt;&gt;"",UPPER(_xlpm.MyAuditVal),_xlpm.MacVal&lt;&gt;"",_xlpm.MacVal,_xlpm.CSVVal&lt;&gt;"",_xlpm.CSVVal
)),"")</f>
        <v/>
      </c>
      <c r="M626" s="45" t="str">
        <f>_xlfn.LET(
    _xlpm.CSVVal, _xlfn.XLOOKUP($A626, CSV!$A:$A, CSV!AE:AE, ""),
    _xlpm.MacVal, _xlfn.XLOOKUP($A626, Output_Mac!$A:$A, Output_Mac!S:S, ""),
    _xlpm.MyAuditVal, _xlfn.XLOOKUP($A626, My_Audit!$A:$A, My_Audit!N:N, ""),
    _xlfn.TEXTJOIN(", ", TRUE, _xlpm.MyAuditVal, _xlpm.MacVal, _xlpm.CSVVal)
)</f>
        <v/>
      </c>
      <c r="N626" s="45" t="str" cm="1">
        <f t="array" ref="N626">IFERROR(_xlfn.LET(
_xlpm.CSVVal,_xlfn.XLOOKUP($A626,CSV!$A:$A,CSV!AG:AG,""),
_xlpm.MacVal,_xlfn.XLOOKUP($A626,Output_Mac!$A:$A,Output_Mac!U:U,""),
_xlpm.MyAuditVal,_xlfn.XLOOKUP($A626,My_Audit!$A:$A,My_Audit!O:O,""),
_xlfn.IFS(_xlpm.MyAuditVal&lt;&gt;"",UPPER(_xlpm.MyAuditVal),_xlpm.MacVal&lt;&gt;"",_xlpm.MacVal,_xlpm.CSVVal&lt;&gt;"",_xlpm.CSVVal
)),"")</f>
        <v/>
      </c>
      <c r="O626" s="45"/>
      <c r="P626" s="45"/>
      <c r="Q626" s="46" t="str">
        <f>IF(LEFT(N626,4)="Pass","Nist SP 800-88",My_Audit!R626)&amp;""</f>
        <v/>
      </c>
      <c r="R626" s="45"/>
      <c r="S626" s="45"/>
      <c r="T626" s="46" t="str">
        <f>_xlfn.XLOOKUP(E626,Models!I:I,Models!J:J,"")</f>
        <v/>
      </c>
      <c r="U626" s="45"/>
      <c r="V626" s="45"/>
      <c r="W626" s="38"/>
    </row>
    <row r="627" spans="1:23">
      <c r="A627" s="45" t="str">
        <f>_xlfn.TEXTJOIN("",TRUE,Input!$B$2,ROW(My_Audit!A626))</f>
        <v>XX626</v>
      </c>
      <c r="B627" s="45" t="str">
        <f>_xlfn.TEXTJOIN("-",TRUE,"ITD",Input!$A$2,A627)</f>
        <v>ITD-SHRXXX-XX626</v>
      </c>
      <c r="C627" s="45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46" t="str" cm="1">
        <f t="array" ref="D627">IFERROR(_xlfn.LET(
_xlpm.CSVVal,_xlfn.XLOOKUP($A627,CSV!$A:$A,CSV!C:C,""),
_xlpm.MacVal,_xlfn.XLOOKUP($A627,Output_Mac!$A:$A,Output_Mac!D:D,""),
_xlpm.MyAuditVal,_xlfn.XLOOKUP($A627,My_Audit!$A:$A,My_Audit!C:C,""),
_xlfn.IFS(_xlpm.MyAuditVal&lt;&gt;"",UPPER(_xlpm.MyAuditVal),_xlpm.MacVal&lt;&gt;"",_xlpm.MacVal,_xlpm.CSVVal&lt;&gt;"",_xlpm.CSVVal
)),"")</f>
        <v/>
      </c>
      <c r="E627" s="46" t="str" cm="1">
        <f t="array" ref="E627">IFERROR(_xlfn.LET(
_xlpm.CSVVal,_xlfn.XLOOKUP($A627,CSV!$A:$A,CSV!E:E,""),
_xlpm.MacVal,_xlfn.XLOOKUP($A627,Output_Mac!$A:$A,Output_Mac!C:C,""),
_xlpm.MyAuditVal,_xlfn.XLOOKUP($A627,My_Audit!$A:$A,My_Audit!D:D,""),
_xlfn.IFS(_xlpm.MyAuditVal&lt;&gt;"",_xlpm.MyAuditVal,_xlpm.MacVal&lt;&gt;"",_xlpm.MacVal,_xlpm.CSVVal&lt;&gt;"",_xlpm.CSVVal
)),"")</f>
        <v/>
      </c>
      <c r="F627" s="45" t="str" cm="1">
        <f t="array" ref="F627">IFERROR(_xlfn.LET(
_xlpm.CSVVal,_xlfn.XLOOKUP($A627,CSV!$A:$A,CSV!F:F,""),
_xlpm.MacVal,_xlfn.XLOOKUP($A627,Output_Mac!$A:$A,Output_Mac!F:F,""),
_xlpm.MyAuditVal,_xlfn.XLOOKUP($A627,My_Audit!$A:$A,My_Audit!E:E,""),
_xlfn.IFS(_xlpm.MyAuditVal&lt;&gt;"",_xlpm.MyAuditVal,_xlpm.MacVal&lt;&gt;"",_xlpm.MacVal,_xlpm.CSVVal&lt;&gt;"",PROPER(_xlpm.CSVVal)
)),"")</f>
        <v/>
      </c>
      <c r="G627" s="45" t="str" cm="1">
        <f t="array" ref="G627">IFERROR(_xlfn.LET(
_xlpm.CSVVal,_xlfn.XLOOKUP($A627,CSV!$A:$A,CSV!G:G,""),
_xlpm.MacVal,_xlfn.XLOOKUP($A627,Output_Mac!$A:$A,Output_Mac!H:H,""),
_xlpm.MyAuditVal,_xlfn.XLOOKUP($A627,My_Audit!$A:$A,My_Audit!F:F,""),
_xlfn.IFS(_xlpm.MyAuditVal&lt;&gt;"",_xlpm.MyAuditVal,_xlpm.MacVal&lt;&gt;"",_xlpm.MacVal,_xlpm.CSVVal&lt;&gt;"",_xlpm.CSVVal
)),"")</f>
        <v/>
      </c>
      <c r="H627" s="45" t="str">
        <f>_xlfn.XLOOKUP(A627,Output_Mac!A:A,Output_Mac!I:I,"")</f>
        <v/>
      </c>
      <c r="I627" s="45" t="str" cm="1">
        <f t="array" ref="I627">IFERROR(_xlfn.LET(
_xlpm.CSVVal,_xlfn.XLOOKUP($A627,CSV!$A:$A,CSV!H:H,""),
_xlpm.MacVal,_xlfn.XLOOKUP($A627,Output_Mac!$A:$A,Output_Mac!J:J,""),
_xlpm.MyAuditVal,_xlfn.XLOOKUP($A627,My_Audit!$A:$A,My_Audit!H:H,""),
_xlfn.IFS(_xlpm.MyAuditVal&lt;&gt;"",UPPER(_xlpm.MyAuditVal),_xlpm.MacVal&lt;&gt;"",_xlpm.MacVal,_xlpm.CSVVal&lt;&gt;"",_xlpm.CSVVal
)),"")</f>
        <v/>
      </c>
      <c r="J627" s="45" t="str" cm="1">
        <f t="array" ref="J627">IFERROR(_xlfn.LET(
_xlpm.CSVVal,_xlfn.XLOOKUP($A627,CSV!$A:$A,CSV!J:J,""),
_xlpm.MacVal,_xlfn.XLOOKUP($A627,Output_Mac!$A:$A,Output_Mac!K:K,""),
_xlpm.MyAuditVal,_xlfn.XLOOKUP($A627,My_Audit!$A:$A,My_Audit!I:I,""),
_xlfn.IFS(_xlpm.MyAuditVal&lt;&gt;"",UPPER(_xlpm.MyAuditVal),_xlpm.MacVal&lt;&gt;"",_xlpm.MacVal,_xlpm.CSVVal&lt;&gt;"",_xlpm.CSVVal
)),"")</f>
        <v/>
      </c>
      <c r="K627" s="45" t="str" cm="1">
        <f t="array" ref="K627">IFERROR(_xlfn.LET(
_xlpm.CSVVal,_xlfn.XLOOKUP($A627,CSV!$A:$A,CSV!N:N,""),
_xlpm.MacVal,_xlfn.XLOOKUP($A627,Output_Mac!$A:$A,Output_Mac!L:L,""),
_xlpm.MyAuditVal,_xlfn.XLOOKUP($A627,My_Audit!$A:$A,My_Audit!J:J,""),
_xlfn.IFS(_xlpm.MyAuditVal&lt;&gt;"",UPPER(_xlpm.MyAuditVal),_xlpm.MacVal&lt;&gt;"",_xlpm.MacVal,_xlpm.CSVVal&lt;&gt;"",_xlpm.CSVVal
)),"")</f>
        <v/>
      </c>
      <c r="L627" s="45" t="str" cm="1">
        <f t="array" ref="L627">IFERROR(_xlfn.LET(
_xlpm.CSVVal,_xlfn.XLOOKUP($A627,CSV!$A:$A,CSV!P:P,""),
_xlpm.MacVal,_xlfn.XLOOKUP($A627,Output_Mac!$A:$A,Output_Mac!M:M,""),
_xlpm.MyAuditVal,_xlfn.XLOOKUP($A627,My_Audit!$A:$A,My_Audit!K:K,""),
_xlfn.IFS(_xlpm.MyAuditVal&lt;&gt;"",UPPER(_xlpm.MyAuditVal),_xlpm.MacVal&lt;&gt;"",_xlpm.MacVal,_xlpm.CSVVal&lt;&gt;"",_xlpm.CSVVal
)),"")</f>
        <v/>
      </c>
      <c r="M627" s="45" t="str">
        <f>_xlfn.LET(
    _xlpm.CSVVal, _xlfn.XLOOKUP($A627, CSV!$A:$A, CSV!AE:AE, ""),
    _xlpm.MacVal, _xlfn.XLOOKUP($A627, Output_Mac!$A:$A, Output_Mac!S:S, ""),
    _xlpm.MyAuditVal, _xlfn.XLOOKUP($A627, My_Audit!$A:$A, My_Audit!N:N, ""),
    _xlfn.TEXTJOIN(", ", TRUE, _xlpm.MyAuditVal, _xlpm.MacVal, _xlpm.CSVVal)
)</f>
        <v/>
      </c>
      <c r="N627" s="45" t="str" cm="1">
        <f t="array" ref="N627">IFERROR(_xlfn.LET(
_xlpm.CSVVal,_xlfn.XLOOKUP($A627,CSV!$A:$A,CSV!AG:AG,""),
_xlpm.MacVal,_xlfn.XLOOKUP($A627,Output_Mac!$A:$A,Output_Mac!U:U,""),
_xlpm.MyAuditVal,_xlfn.XLOOKUP($A627,My_Audit!$A:$A,My_Audit!O:O,""),
_xlfn.IFS(_xlpm.MyAuditVal&lt;&gt;"",UPPER(_xlpm.MyAuditVal),_xlpm.MacVal&lt;&gt;"",_xlpm.MacVal,_xlpm.CSVVal&lt;&gt;"",_xlpm.CSVVal
)),"")</f>
        <v/>
      </c>
      <c r="O627" s="45"/>
      <c r="P627" s="45"/>
      <c r="Q627" s="46" t="str">
        <f>IF(LEFT(N627,4)="Pass","Nist SP 800-88",My_Audit!R627)&amp;""</f>
        <v/>
      </c>
      <c r="R627" s="45"/>
      <c r="S627" s="45"/>
      <c r="T627" s="46" t="str">
        <f>_xlfn.XLOOKUP(E627,Models!I:I,Models!J:J,"")</f>
        <v/>
      </c>
      <c r="U627" s="45"/>
      <c r="V627" s="45"/>
      <c r="W627" s="38"/>
    </row>
    <row r="628" spans="1:23">
      <c r="A628" s="45" t="str">
        <f>_xlfn.TEXTJOIN("",TRUE,Input!$B$2,ROW(My_Audit!A627))</f>
        <v>XX627</v>
      </c>
      <c r="B628" s="45" t="str">
        <f>_xlfn.TEXTJOIN("-",TRUE,"ITD",Input!$A$2,A628)</f>
        <v>ITD-SHRXXX-XX627</v>
      </c>
      <c r="C628" s="45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46" t="str" cm="1">
        <f t="array" ref="D628">IFERROR(_xlfn.LET(
_xlpm.CSVVal,_xlfn.XLOOKUP($A628,CSV!$A:$A,CSV!C:C,""),
_xlpm.MacVal,_xlfn.XLOOKUP($A628,Output_Mac!$A:$A,Output_Mac!D:D,""),
_xlpm.MyAuditVal,_xlfn.XLOOKUP($A628,My_Audit!$A:$A,My_Audit!C:C,""),
_xlfn.IFS(_xlpm.MyAuditVal&lt;&gt;"",UPPER(_xlpm.MyAuditVal),_xlpm.MacVal&lt;&gt;"",_xlpm.MacVal,_xlpm.CSVVal&lt;&gt;"",_xlpm.CSVVal
)),"")</f>
        <v/>
      </c>
      <c r="E628" s="46" t="str" cm="1">
        <f t="array" ref="E628">IFERROR(_xlfn.LET(
_xlpm.CSVVal,_xlfn.XLOOKUP($A628,CSV!$A:$A,CSV!E:E,""),
_xlpm.MacVal,_xlfn.XLOOKUP($A628,Output_Mac!$A:$A,Output_Mac!C:C,""),
_xlpm.MyAuditVal,_xlfn.XLOOKUP($A628,My_Audit!$A:$A,My_Audit!D:D,""),
_xlfn.IFS(_xlpm.MyAuditVal&lt;&gt;"",_xlpm.MyAuditVal,_xlpm.MacVal&lt;&gt;"",_xlpm.MacVal,_xlpm.CSVVal&lt;&gt;"",_xlpm.CSVVal
)),"")</f>
        <v/>
      </c>
      <c r="F628" s="45" t="str" cm="1">
        <f t="array" ref="F628">IFERROR(_xlfn.LET(
_xlpm.CSVVal,_xlfn.XLOOKUP($A628,CSV!$A:$A,CSV!F:F,""),
_xlpm.MacVal,_xlfn.XLOOKUP($A628,Output_Mac!$A:$A,Output_Mac!F:F,""),
_xlpm.MyAuditVal,_xlfn.XLOOKUP($A628,My_Audit!$A:$A,My_Audit!E:E,""),
_xlfn.IFS(_xlpm.MyAuditVal&lt;&gt;"",_xlpm.MyAuditVal,_xlpm.MacVal&lt;&gt;"",_xlpm.MacVal,_xlpm.CSVVal&lt;&gt;"",PROPER(_xlpm.CSVVal)
)),"")</f>
        <v/>
      </c>
      <c r="G628" s="45" t="str" cm="1">
        <f t="array" ref="G628">IFERROR(_xlfn.LET(
_xlpm.CSVVal,_xlfn.XLOOKUP($A628,CSV!$A:$A,CSV!G:G,""),
_xlpm.MacVal,_xlfn.XLOOKUP($A628,Output_Mac!$A:$A,Output_Mac!H:H,""),
_xlpm.MyAuditVal,_xlfn.XLOOKUP($A628,My_Audit!$A:$A,My_Audit!F:F,""),
_xlfn.IFS(_xlpm.MyAuditVal&lt;&gt;"",_xlpm.MyAuditVal,_xlpm.MacVal&lt;&gt;"",_xlpm.MacVal,_xlpm.CSVVal&lt;&gt;"",_xlpm.CSVVal
)),"")</f>
        <v/>
      </c>
      <c r="H628" s="45" t="str">
        <f>_xlfn.XLOOKUP(A628,Output_Mac!A:A,Output_Mac!I:I,"")</f>
        <v/>
      </c>
      <c r="I628" s="45" t="str" cm="1">
        <f t="array" ref="I628">IFERROR(_xlfn.LET(
_xlpm.CSVVal,_xlfn.XLOOKUP($A628,CSV!$A:$A,CSV!H:H,""),
_xlpm.MacVal,_xlfn.XLOOKUP($A628,Output_Mac!$A:$A,Output_Mac!J:J,""),
_xlpm.MyAuditVal,_xlfn.XLOOKUP($A628,My_Audit!$A:$A,My_Audit!H:H,""),
_xlfn.IFS(_xlpm.MyAuditVal&lt;&gt;"",UPPER(_xlpm.MyAuditVal),_xlpm.MacVal&lt;&gt;"",_xlpm.MacVal,_xlpm.CSVVal&lt;&gt;"",_xlpm.CSVVal
)),"")</f>
        <v/>
      </c>
      <c r="J628" s="45" t="str" cm="1">
        <f t="array" ref="J628">IFERROR(_xlfn.LET(
_xlpm.CSVVal,_xlfn.XLOOKUP($A628,CSV!$A:$A,CSV!J:J,""),
_xlpm.MacVal,_xlfn.XLOOKUP($A628,Output_Mac!$A:$A,Output_Mac!K:K,""),
_xlpm.MyAuditVal,_xlfn.XLOOKUP($A628,My_Audit!$A:$A,My_Audit!I:I,""),
_xlfn.IFS(_xlpm.MyAuditVal&lt;&gt;"",UPPER(_xlpm.MyAuditVal),_xlpm.MacVal&lt;&gt;"",_xlpm.MacVal,_xlpm.CSVVal&lt;&gt;"",_xlpm.CSVVal
)),"")</f>
        <v/>
      </c>
      <c r="K628" s="45" t="str" cm="1">
        <f t="array" ref="K628">IFERROR(_xlfn.LET(
_xlpm.CSVVal,_xlfn.XLOOKUP($A628,CSV!$A:$A,CSV!N:N,""),
_xlpm.MacVal,_xlfn.XLOOKUP($A628,Output_Mac!$A:$A,Output_Mac!L:L,""),
_xlpm.MyAuditVal,_xlfn.XLOOKUP($A628,My_Audit!$A:$A,My_Audit!J:J,""),
_xlfn.IFS(_xlpm.MyAuditVal&lt;&gt;"",UPPER(_xlpm.MyAuditVal),_xlpm.MacVal&lt;&gt;"",_xlpm.MacVal,_xlpm.CSVVal&lt;&gt;"",_xlpm.CSVVal
)),"")</f>
        <v/>
      </c>
      <c r="L628" s="45" t="str" cm="1">
        <f t="array" ref="L628">IFERROR(_xlfn.LET(
_xlpm.CSVVal,_xlfn.XLOOKUP($A628,CSV!$A:$A,CSV!P:P,""),
_xlpm.MacVal,_xlfn.XLOOKUP($A628,Output_Mac!$A:$A,Output_Mac!M:M,""),
_xlpm.MyAuditVal,_xlfn.XLOOKUP($A628,My_Audit!$A:$A,My_Audit!K:K,""),
_xlfn.IFS(_xlpm.MyAuditVal&lt;&gt;"",UPPER(_xlpm.MyAuditVal),_xlpm.MacVal&lt;&gt;"",_xlpm.MacVal,_xlpm.CSVVal&lt;&gt;"",_xlpm.CSVVal
)),"")</f>
        <v/>
      </c>
      <c r="M628" s="45" t="str">
        <f>_xlfn.LET(
    _xlpm.CSVVal, _xlfn.XLOOKUP($A628, CSV!$A:$A, CSV!AE:AE, ""),
    _xlpm.MacVal, _xlfn.XLOOKUP($A628, Output_Mac!$A:$A, Output_Mac!S:S, ""),
    _xlpm.MyAuditVal, _xlfn.XLOOKUP($A628, My_Audit!$A:$A, My_Audit!N:N, ""),
    _xlfn.TEXTJOIN(", ", TRUE, _xlpm.MyAuditVal, _xlpm.MacVal, _xlpm.CSVVal)
)</f>
        <v/>
      </c>
      <c r="N628" s="45" t="str" cm="1">
        <f t="array" ref="N628">IFERROR(_xlfn.LET(
_xlpm.CSVVal,_xlfn.XLOOKUP($A628,CSV!$A:$A,CSV!AG:AG,""),
_xlpm.MacVal,_xlfn.XLOOKUP($A628,Output_Mac!$A:$A,Output_Mac!U:U,""),
_xlpm.MyAuditVal,_xlfn.XLOOKUP($A628,My_Audit!$A:$A,My_Audit!O:O,""),
_xlfn.IFS(_xlpm.MyAuditVal&lt;&gt;"",UPPER(_xlpm.MyAuditVal),_xlpm.MacVal&lt;&gt;"",_xlpm.MacVal,_xlpm.CSVVal&lt;&gt;"",_xlpm.CSVVal
)),"")</f>
        <v/>
      </c>
      <c r="O628" s="45"/>
      <c r="P628" s="45"/>
      <c r="Q628" s="46" t="str">
        <f>IF(LEFT(N628,4)="Pass","Nist SP 800-88",My_Audit!R628)&amp;""</f>
        <v/>
      </c>
      <c r="R628" s="45"/>
      <c r="S628" s="45"/>
      <c r="T628" s="46" t="str">
        <f>_xlfn.XLOOKUP(E628,Models!I:I,Models!J:J,"")</f>
        <v/>
      </c>
      <c r="U628" s="45"/>
      <c r="V628" s="45"/>
      <c r="W628" s="38"/>
    </row>
    <row r="629" spans="1:23">
      <c r="A629" s="45" t="str">
        <f>_xlfn.TEXTJOIN("",TRUE,Input!$B$2,ROW(My_Audit!A628))</f>
        <v>XX628</v>
      </c>
      <c r="B629" s="45" t="str">
        <f>_xlfn.TEXTJOIN("-",TRUE,"ITD",Input!$A$2,A629)</f>
        <v>ITD-SHRXXX-XX628</v>
      </c>
      <c r="C629" s="45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46" t="str" cm="1">
        <f t="array" ref="D629">IFERROR(_xlfn.LET(
_xlpm.CSVVal,_xlfn.XLOOKUP($A629,CSV!$A:$A,CSV!C:C,""),
_xlpm.MacVal,_xlfn.XLOOKUP($A629,Output_Mac!$A:$A,Output_Mac!D:D,""),
_xlpm.MyAuditVal,_xlfn.XLOOKUP($A629,My_Audit!$A:$A,My_Audit!C:C,""),
_xlfn.IFS(_xlpm.MyAuditVal&lt;&gt;"",UPPER(_xlpm.MyAuditVal),_xlpm.MacVal&lt;&gt;"",_xlpm.MacVal,_xlpm.CSVVal&lt;&gt;"",_xlpm.CSVVal
)),"")</f>
        <v/>
      </c>
      <c r="E629" s="46" t="str" cm="1">
        <f t="array" ref="E629">IFERROR(_xlfn.LET(
_xlpm.CSVVal,_xlfn.XLOOKUP($A629,CSV!$A:$A,CSV!E:E,""),
_xlpm.MacVal,_xlfn.XLOOKUP($A629,Output_Mac!$A:$A,Output_Mac!C:C,""),
_xlpm.MyAuditVal,_xlfn.XLOOKUP($A629,My_Audit!$A:$A,My_Audit!D:D,""),
_xlfn.IFS(_xlpm.MyAuditVal&lt;&gt;"",_xlpm.MyAuditVal,_xlpm.MacVal&lt;&gt;"",_xlpm.MacVal,_xlpm.CSVVal&lt;&gt;"",_xlpm.CSVVal
)),"")</f>
        <v/>
      </c>
      <c r="F629" s="45" t="str" cm="1">
        <f t="array" ref="F629">IFERROR(_xlfn.LET(
_xlpm.CSVVal,_xlfn.XLOOKUP($A629,CSV!$A:$A,CSV!F:F,""),
_xlpm.MacVal,_xlfn.XLOOKUP($A629,Output_Mac!$A:$A,Output_Mac!F:F,""),
_xlpm.MyAuditVal,_xlfn.XLOOKUP($A629,My_Audit!$A:$A,My_Audit!E:E,""),
_xlfn.IFS(_xlpm.MyAuditVal&lt;&gt;"",_xlpm.MyAuditVal,_xlpm.MacVal&lt;&gt;"",_xlpm.MacVal,_xlpm.CSVVal&lt;&gt;"",PROPER(_xlpm.CSVVal)
)),"")</f>
        <v/>
      </c>
      <c r="G629" s="45" t="str" cm="1">
        <f t="array" ref="G629">IFERROR(_xlfn.LET(
_xlpm.CSVVal,_xlfn.XLOOKUP($A629,CSV!$A:$A,CSV!G:G,""),
_xlpm.MacVal,_xlfn.XLOOKUP($A629,Output_Mac!$A:$A,Output_Mac!H:H,""),
_xlpm.MyAuditVal,_xlfn.XLOOKUP($A629,My_Audit!$A:$A,My_Audit!F:F,""),
_xlfn.IFS(_xlpm.MyAuditVal&lt;&gt;"",_xlpm.MyAuditVal,_xlpm.MacVal&lt;&gt;"",_xlpm.MacVal,_xlpm.CSVVal&lt;&gt;"",_xlpm.CSVVal
)),"")</f>
        <v/>
      </c>
      <c r="H629" s="45" t="str">
        <f>_xlfn.XLOOKUP(A629,Output_Mac!A:A,Output_Mac!I:I,"")</f>
        <v/>
      </c>
      <c r="I629" s="45" t="str" cm="1">
        <f t="array" ref="I629">IFERROR(_xlfn.LET(
_xlpm.CSVVal,_xlfn.XLOOKUP($A629,CSV!$A:$A,CSV!H:H,""),
_xlpm.MacVal,_xlfn.XLOOKUP($A629,Output_Mac!$A:$A,Output_Mac!J:J,""),
_xlpm.MyAuditVal,_xlfn.XLOOKUP($A629,My_Audit!$A:$A,My_Audit!H:H,""),
_xlfn.IFS(_xlpm.MyAuditVal&lt;&gt;"",UPPER(_xlpm.MyAuditVal),_xlpm.MacVal&lt;&gt;"",_xlpm.MacVal,_xlpm.CSVVal&lt;&gt;"",_xlpm.CSVVal
)),"")</f>
        <v/>
      </c>
      <c r="J629" s="45" t="str" cm="1">
        <f t="array" ref="J629">IFERROR(_xlfn.LET(
_xlpm.CSVVal,_xlfn.XLOOKUP($A629,CSV!$A:$A,CSV!J:J,""),
_xlpm.MacVal,_xlfn.XLOOKUP($A629,Output_Mac!$A:$A,Output_Mac!K:K,""),
_xlpm.MyAuditVal,_xlfn.XLOOKUP($A629,My_Audit!$A:$A,My_Audit!I:I,""),
_xlfn.IFS(_xlpm.MyAuditVal&lt;&gt;"",UPPER(_xlpm.MyAuditVal),_xlpm.MacVal&lt;&gt;"",_xlpm.MacVal,_xlpm.CSVVal&lt;&gt;"",_xlpm.CSVVal
)),"")</f>
        <v/>
      </c>
      <c r="K629" s="45" t="str" cm="1">
        <f t="array" ref="K629">IFERROR(_xlfn.LET(
_xlpm.CSVVal,_xlfn.XLOOKUP($A629,CSV!$A:$A,CSV!N:N,""),
_xlpm.MacVal,_xlfn.XLOOKUP($A629,Output_Mac!$A:$A,Output_Mac!L:L,""),
_xlpm.MyAuditVal,_xlfn.XLOOKUP($A629,My_Audit!$A:$A,My_Audit!J:J,""),
_xlfn.IFS(_xlpm.MyAuditVal&lt;&gt;"",UPPER(_xlpm.MyAuditVal),_xlpm.MacVal&lt;&gt;"",_xlpm.MacVal,_xlpm.CSVVal&lt;&gt;"",_xlpm.CSVVal
)),"")</f>
        <v/>
      </c>
      <c r="L629" s="45" t="str" cm="1">
        <f t="array" ref="L629">IFERROR(_xlfn.LET(
_xlpm.CSVVal,_xlfn.XLOOKUP($A629,CSV!$A:$A,CSV!P:P,""),
_xlpm.MacVal,_xlfn.XLOOKUP($A629,Output_Mac!$A:$A,Output_Mac!M:M,""),
_xlpm.MyAuditVal,_xlfn.XLOOKUP($A629,My_Audit!$A:$A,My_Audit!K:K,""),
_xlfn.IFS(_xlpm.MyAuditVal&lt;&gt;"",UPPER(_xlpm.MyAuditVal),_xlpm.MacVal&lt;&gt;"",_xlpm.MacVal,_xlpm.CSVVal&lt;&gt;"",_xlpm.CSVVal
)),"")</f>
        <v/>
      </c>
      <c r="M629" s="45" t="str">
        <f>_xlfn.LET(
    _xlpm.CSVVal, _xlfn.XLOOKUP($A629, CSV!$A:$A, CSV!AE:AE, ""),
    _xlpm.MacVal, _xlfn.XLOOKUP($A629, Output_Mac!$A:$A, Output_Mac!S:S, ""),
    _xlpm.MyAuditVal, _xlfn.XLOOKUP($A629, My_Audit!$A:$A, My_Audit!N:N, ""),
    _xlfn.TEXTJOIN(", ", TRUE, _xlpm.MyAuditVal, _xlpm.MacVal, _xlpm.CSVVal)
)</f>
        <v/>
      </c>
      <c r="N629" s="45" t="str" cm="1">
        <f t="array" ref="N629">IFERROR(_xlfn.LET(
_xlpm.CSVVal,_xlfn.XLOOKUP($A629,CSV!$A:$A,CSV!AG:AG,""),
_xlpm.MacVal,_xlfn.XLOOKUP($A629,Output_Mac!$A:$A,Output_Mac!U:U,""),
_xlpm.MyAuditVal,_xlfn.XLOOKUP($A629,My_Audit!$A:$A,My_Audit!O:O,""),
_xlfn.IFS(_xlpm.MyAuditVal&lt;&gt;"",UPPER(_xlpm.MyAuditVal),_xlpm.MacVal&lt;&gt;"",_xlpm.MacVal,_xlpm.CSVVal&lt;&gt;"",_xlpm.CSVVal
)),"")</f>
        <v/>
      </c>
      <c r="O629" s="45"/>
      <c r="P629" s="45"/>
      <c r="Q629" s="46" t="str">
        <f>IF(LEFT(N629,4)="Pass","Nist SP 800-88",My_Audit!R629)&amp;""</f>
        <v/>
      </c>
      <c r="R629" s="45"/>
      <c r="S629" s="45"/>
      <c r="T629" s="46" t="str">
        <f>_xlfn.XLOOKUP(E629,Models!I:I,Models!J:J,"")</f>
        <v/>
      </c>
      <c r="U629" s="45"/>
      <c r="V629" s="45"/>
      <c r="W629" s="38"/>
    </row>
    <row r="630" spans="1:23">
      <c r="A630" s="45" t="str">
        <f>_xlfn.TEXTJOIN("",TRUE,Input!$B$2,ROW(My_Audit!A629))</f>
        <v>XX629</v>
      </c>
      <c r="B630" s="45" t="str">
        <f>_xlfn.TEXTJOIN("-",TRUE,"ITD",Input!$A$2,A630)</f>
        <v>ITD-SHRXXX-XX629</v>
      </c>
      <c r="C630" s="45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46" t="str" cm="1">
        <f t="array" ref="D630">IFERROR(_xlfn.LET(
_xlpm.CSVVal,_xlfn.XLOOKUP($A630,CSV!$A:$A,CSV!C:C,""),
_xlpm.MacVal,_xlfn.XLOOKUP($A630,Output_Mac!$A:$A,Output_Mac!D:D,""),
_xlpm.MyAuditVal,_xlfn.XLOOKUP($A630,My_Audit!$A:$A,My_Audit!C:C,""),
_xlfn.IFS(_xlpm.MyAuditVal&lt;&gt;"",UPPER(_xlpm.MyAuditVal),_xlpm.MacVal&lt;&gt;"",_xlpm.MacVal,_xlpm.CSVVal&lt;&gt;"",_xlpm.CSVVal
)),"")</f>
        <v/>
      </c>
      <c r="E630" s="46" t="str" cm="1">
        <f t="array" ref="E630">IFERROR(_xlfn.LET(
_xlpm.CSVVal,_xlfn.XLOOKUP($A630,CSV!$A:$A,CSV!E:E,""),
_xlpm.MacVal,_xlfn.XLOOKUP($A630,Output_Mac!$A:$A,Output_Mac!C:C,""),
_xlpm.MyAuditVal,_xlfn.XLOOKUP($A630,My_Audit!$A:$A,My_Audit!D:D,""),
_xlfn.IFS(_xlpm.MyAuditVal&lt;&gt;"",_xlpm.MyAuditVal,_xlpm.MacVal&lt;&gt;"",_xlpm.MacVal,_xlpm.CSVVal&lt;&gt;"",_xlpm.CSVVal
)),"")</f>
        <v/>
      </c>
      <c r="F630" s="45" t="str" cm="1">
        <f t="array" ref="F630">IFERROR(_xlfn.LET(
_xlpm.CSVVal,_xlfn.XLOOKUP($A630,CSV!$A:$A,CSV!F:F,""),
_xlpm.MacVal,_xlfn.XLOOKUP($A630,Output_Mac!$A:$A,Output_Mac!F:F,""),
_xlpm.MyAuditVal,_xlfn.XLOOKUP($A630,My_Audit!$A:$A,My_Audit!E:E,""),
_xlfn.IFS(_xlpm.MyAuditVal&lt;&gt;"",_xlpm.MyAuditVal,_xlpm.MacVal&lt;&gt;"",_xlpm.MacVal,_xlpm.CSVVal&lt;&gt;"",PROPER(_xlpm.CSVVal)
)),"")</f>
        <v/>
      </c>
      <c r="G630" s="45" t="str" cm="1">
        <f t="array" ref="G630">IFERROR(_xlfn.LET(
_xlpm.CSVVal,_xlfn.XLOOKUP($A630,CSV!$A:$A,CSV!G:G,""),
_xlpm.MacVal,_xlfn.XLOOKUP($A630,Output_Mac!$A:$A,Output_Mac!H:H,""),
_xlpm.MyAuditVal,_xlfn.XLOOKUP($A630,My_Audit!$A:$A,My_Audit!F:F,""),
_xlfn.IFS(_xlpm.MyAuditVal&lt;&gt;"",_xlpm.MyAuditVal,_xlpm.MacVal&lt;&gt;"",_xlpm.MacVal,_xlpm.CSVVal&lt;&gt;"",_xlpm.CSVVal
)),"")</f>
        <v/>
      </c>
      <c r="H630" s="45" t="str">
        <f>_xlfn.XLOOKUP(A630,Output_Mac!A:A,Output_Mac!I:I,"")</f>
        <v/>
      </c>
      <c r="I630" s="45" t="str" cm="1">
        <f t="array" ref="I630">IFERROR(_xlfn.LET(
_xlpm.CSVVal,_xlfn.XLOOKUP($A630,CSV!$A:$A,CSV!H:H,""),
_xlpm.MacVal,_xlfn.XLOOKUP($A630,Output_Mac!$A:$A,Output_Mac!J:J,""),
_xlpm.MyAuditVal,_xlfn.XLOOKUP($A630,My_Audit!$A:$A,My_Audit!H:H,""),
_xlfn.IFS(_xlpm.MyAuditVal&lt;&gt;"",UPPER(_xlpm.MyAuditVal),_xlpm.MacVal&lt;&gt;"",_xlpm.MacVal,_xlpm.CSVVal&lt;&gt;"",_xlpm.CSVVal
)),"")</f>
        <v/>
      </c>
      <c r="J630" s="45" t="str" cm="1">
        <f t="array" ref="J630">IFERROR(_xlfn.LET(
_xlpm.CSVVal,_xlfn.XLOOKUP($A630,CSV!$A:$A,CSV!J:J,""),
_xlpm.MacVal,_xlfn.XLOOKUP($A630,Output_Mac!$A:$A,Output_Mac!K:K,""),
_xlpm.MyAuditVal,_xlfn.XLOOKUP($A630,My_Audit!$A:$A,My_Audit!I:I,""),
_xlfn.IFS(_xlpm.MyAuditVal&lt;&gt;"",UPPER(_xlpm.MyAuditVal),_xlpm.MacVal&lt;&gt;"",_xlpm.MacVal,_xlpm.CSVVal&lt;&gt;"",_xlpm.CSVVal
)),"")</f>
        <v/>
      </c>
      <c r="K630" s="45" t="str" cm="1">
        <f t="array" ref="K630">IFERROR(_xlfn.LET(
_xlpm.CSVVal,_xlfn.XLOOKUP($A630,CSV!$A:$A,CSV!N:N,""),
_xlpm.MacVal,_xlfn.XLOOKUP($A630,Output_Mac!$A:$A,Output_Mac!L:L,""),
_xlpm.MyAuditVal,_xlfn.XLOOKUP($A630,My_Audit!$A:$A,My_Audit!J:J,""),
_xlfn.IFS(_xlpm.MyAuditVal&lt;&gt;"",UPPER(_xlpm.MyAuditVal),_xlpm.MacVal&lt;&gt;"",_xlpm.MacVal,_xlpm.CSVVal&lt;&gt;"",_xlpm.CSVVal
)),"")</f>
        <v/>
      </c>
      <c r="L630" s="45" t="str" cm="1">
        <f t="array" ref="L630">IFERROR(_xlfn.LET(
_xlpm.CSVVal,_xlfn.XLOOKUP($A630,CSV!$A:$A,CSV!P:P,""),
_xlpm.MacVal,_xlfn.XLOOKUP($A630,Output_Mac!$A:$A,Output_Mac!M:M,""),
_xlpm.MyAuditVal,_xlfn.XLOOKUP($A630,My_Audit!$A:$A,My_Audit!K:K,""),
_xlfn.IFS(_xlpm.MyAuditVal&lt;&gt;"",UPPER(_xlpm.MyAuditVal),_xlpm.MacVal&lt;&gt;"",_xlpm.MacVal,_xlpm.CSVVal&lt;&gt;"",_xlpm.CSVVal
)),"")</f>
        <v/>
      </c>
      <c r="M630" s="45" t="str">
        <f>_xlfn.LET(
    _xlpm.CSVVal, _xlfn.XLOOKUP($A630, CSV!$A:$A, CSV!AE:AE, ""),
    _xlpm.MacVal, _xlfn.XLOOKUP($A630, Output_Mac!$A:$A, Output_Mac!S:S, ""),
    _xlpm.MyAuditVal, _xlfn.XLOOKUP($A630, My_Audit!$A:$A, My_Audit!N:N, ""),
    _xlfn.TEXTJOIN(", ", TRUE, _xlpm.MyAuditVal, _xlpm.MacVal, _xlpm.CSVVal)
)</f>
        <v/>
      </c>
      <c r="N630" s="45" t="str" cm="1">
        <f t="array" ref="N630">IFERROR(_xlfn.LET(
_xlpm.CSVVal,_xlfn.XLOOKUP($A630,CSV!$A:$A,CSV!AG:AG,""),
_xlpm.MacVal,_xlfn.XLOOKUP($A630,Output_Mac!$A:$A,Output_Mac!U:U,""),
_xlpm.MyAuditVal,_xlfn.XLOOKUP($A630,My_Audit!$A:$A,My_Audit!O:O,""),
_xlfn.IFS(_xlpm.MyAuditVal&lt;&gt;"",UPPER(_xlpm.MyAuditVal),_xlpm.MacVal&lt;&gt;"",_xlpm.MacVal,_xlpm.CSVVal&lt;&gt;"",_xlpm.CSVVal
)),"")</f>
        <v/>
      </c>
      <c r="O630" s="45"/>
      <c r="P630" s="45"/>
      <c r="Q630" s="46" t="str">
        <f>IF(LEFT(N630,4)="Pass","Nist SP 800-88",My_Audit!R630)&amp;""</f>
        <v/>
      </c>
      <c r="R630" s="45"/>
      <c r="S630" s="45"/>
      <c r="T630" s="46" t="str">
        <f>_xlfn.XLOOKUP(E630,Models!I:I,Models!J:J,"")</f>
        <v/>
      </c>
      <c r="U630" s="45"/>
      <c r="V630" s="45"/>
      <c r="W630" s="38"/>
    </row>
    <row r="631" spans="1:23">
      <c r="A631" s="45" t="str">
        <f>_xlfn.TEXTJOIN("",TRUE,Input!$B$2,ROW(My_Audit!A630))</f>
        <v>XX630</v>
      </c>
      <c r="B631" s="45" t="str">
        <f>_xlfn.TEXTJOIN("-",TRUE,"ITD",Input!$A$2,A631)</f>
        <v>ITD-SHRXXX-XX630</v>
      </c>
      <c r="C631" s="45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46" t="str" cm="1">
        <f t="array" ref="D631">IFERROR(_xlfn.LET(
_xlpm.CSVVal,_xlfn.XLOOKUP($A631,CSV!$A:$A,CSV!C:C,""),
_xlpm.MacVal,_xlfn.XLOOKUP($A631,Output_Mac!$A:$A,Output_Mac!D:D,""),
_xlpm.MyAuditVal,_xlfn.XLOOKUP($A631,My_Audit!$A:$A,My_Audit!C:C,""),
_xlfn.IFS(_xlpm.MyAuditVal&lt;&gt;"",UPPER(_xlpm.MyAuditVal),_xlpm.MacVal&lt;&gt;"",_xlpm.MacVal,_xlpm.CSVVal&lt;&gt;"",_xlpm.CSVVal
)),"")</f>
        <v/>
      </c>
      <c r="E631" s="46" t="str" cm="1">
        <f t="array" ref="E631">IFERROR(_xlfn.LET(
_xlpm.CSVVal,_xlfn.XLOOKUP($A631,CSV!$A:$A,CSV!E:E,""),
_xlpm.MacVal,_xlfn.XLOOKUP($A631,Output_Mac!$A:$A,Output_Mac!C:C,""),
_xlpm.MyAuditVal,_xlfn.XLOOKUP($A631,My_Audit!$A:$A,My_Audit!D:D,""),
_xlfn.IFS(_xlpm.MyAuditVal&lt;&gt;"",_xlpm.MyAuditVal,_xlpm.MacVal&lt;&gt;"",_xlpm.MacVal,_xlpm.CSVVal&lt;&gt;"",_xlpm.CSVVal
)),"")</f>
        <v/>
      </c>
      <c r="F631" s="45" t="str" cm="1">
        <f t="array" ref="F631">IFERROR(_xlfn.LET(
_xlpm.CSVVal,_xlfn.XLOOKUP($A631,CSV!$A:$A,CSV!F:F,""),
_xlpm.MacVal,_xlfn.XLOOKUP($A631,Output_Mac!$A:$A,Output_Mac!F:F,""),
_xlpm.MyAuditVal,_xlfn.XLOOKUP($A631,My_Audit!$A:$A,My_Audit!E:E,""),
_xlfn.IFS(_xlpm.MyAuditVal&lt;&gt;"",_xlpm.MyAuditVal,_xlpm.MacVal&lt;&gt;"",_xlpm.MacVal,_xlpm.CSVVal&lt;&gt;"",PROPER(_xlpm.CSVVal)
)),"")</f>
        <v/>
      </c>
      <c r="G631" s="45" t="str" cm="1">
        <f t="array" ref="G631">IFERROR(_xlfn.LET(
_xlpm.CSVVal,_xlfn.XLOOKUP($A631,CSV!$A:$A,CSV!G:G,""),
_xlpm.MacVal,_xlfn.XLOOKUP($A631,Output_Mac!$A:$A,Output_Mac!H:H,""),
_xlpm.MyAuditVal,_xlfn.XLOOKUP($A631,My_Audit!$A:$A,My_Audit!F:F,""),
_xlfn.IFS(_xlpm.MyAuditVal&lt;&gt;"",_xlpm.MyAuditVal,_xlpm.MacVal&lt;&gt;"",_xlpm.MacVal,_xlpm.CSVVal&lt;&gt;"",_xlpm.CSVVal
)),"")</f>
        <v/>
      </c>
      <c r="H631" s="45" t="str">
        <f>_xlfn.XLOOKUP(A631,Output_Mac!A:A,Output_Mac!I:I,"")</f>
        <v/>
      </c>
      <c r="I631" s="45" t="str" cm="1">
        <f t="array" ref="I631">IFERROR(_xlfn.LET(
_xlpm.CSVVal,_xlfn.XLOOKUP($A631,CSV!$A:$A,CSV!H:H,""),
_xlpm.MacVal,_xlfn.XLOOKUP($A631,Output_Mac!$A:$A,Output_Mac!J:J,""),
_xlpm.MyAuditVal,_xlfn.XLOOKUP($A631,My_Audit!$A:$A,My_Audit!H:H,""),
_xlfn.IFS(_xlpm.MyAuditVal&lt;&gt;"",UPPER(_xlpm.MyAuditVal),_xlpm.MacVal&lt;&gt;"",_xlpm.MacVal,_xlpm.CSVVal&lt;&gt;"",_xlpm.CSVVal
)),"")</f>
        <v/>
      </c>
      <c r="J631" s="45" t="str" cm="1">
        <f t="array" ref="J631">IFERROR(_xlfn.LET(
_xlpm.CSVVal,_xlfn.XLOOKUP($A631,CSV!$A:$A,CSV!J:J,""),
_xlpm.MacVal,_xlfn.XLOOKUP($A631,Output_Mac!$A:$A,Output_Mac!K:K,""),
_xlpm.MyAuditVal,_xlfn.XLOOKUP($A631,My_Audit!$A:$A,My_Audit!I:I,""),
_xlfn.IFS(_xlpm.MyAuditVal&lt;&gt;"",UPPER(_xlpm.MyAuditVal),_xlpm.MacVal&lt;&gt;"",_xlpm.MacVal,_xlpm.CSVVal&lt;&gt;"",_xlpm.CSVVal
)),"")</f>
        <v/>
      </c>
      <c r="K631" s="45" t="str" cm="1">
        <f t="array" ref="K631">IFERROR(_xlfn.LET(
_xlpm.CSVVal,_xlfn.XLOOKUP($A631,CSV!$A:$A,CSV!N:N,""),
_xlpm.MacVal,_xlfn.XLOOKUP($A631,Output_Mac!$A:$A,Output_Mac!L:L,""),
_xlpm.MyAuditVal,_xlfn.XLOOKUP($A631,My_Audit!$A:$A,My_Audit!J:J,""),
_xlfn.IFS(_xlpm.MyAuditVal&lt;&gt;"",UPPER(_xlpm.MyAuditVal),_xlpm.MacVal&lt;&gt;"",_xlpm.MacVal,_xlpm.CSVVal&lt;&gt;"",_xlpm.CSVVal
)),"")</f>
        <v/>
      </c>
      <c r="L631" s="45" t="str" cm="1">
        <f t="array" ref="L631">IFERROR(_xlfn.LET(
_xlpm.CSVVal,_xlfn.XLOOKUP($A631,CSV!$A:$A,CSV!P:P,""),
_xlpm.MacVal,_xlfn.XLOOKUP($A631,Output_Mac!$A:$A,Output_Mac!M:M,""),
_xlpm.MyAuditVal,_xlfn.XLOOKUP($A631,My_Audit!$A:$A,My_Audit!K:K,""),
_xlfn.IFS(_xlpm.MyAuditVal&lt;&gt;"",UPPER(_xlpm.MyAuditVal),_xlpm.MacVal&lt;&gt;"",_xlpm.MacVal,_xlpm.CSVVal&lt;&gt;"",_xlpm.CSVVal
)),"")</f>
        <v/>
      </c>
      <c r="M631" s="45" t="str">
        <f>_xlfn.LET(
    _xlpm.CSVVal, _xlfn.XLOOKUP($A631, CSV!$A:$A, CSV!AE:AE, ""),
    _xlpm.MacVal, _xlfn.XLOOKUP($A631, Output_Mac!$A:$A, Output_Mac!S:S, ""),
    _xlpm.MyAuditVal, _xlfn.XLOOKUP($A631, My_Audit!$A:$A, My_Audit!N:N, ""),
    _xlfn.TEXTJOIN(", ", TRUE, _xlpm.MyAuditVal, _xlpm.MacVal, _xlpm.CSVVal)
)</f>
        <v/>
      </c>
      <c r="N631" s="45" t="str" cm="1">
        <f t="array" ref="N631">IFERROR(_xlfn.LET(
_xlpm.CSVVal,_xlfn.XLOOKUP($A631,CSV!$A:$A,CSV!AG:AG,""),
_xlpm.MacVal,_xlfn.XLOOKUP($A631,Output_Mac!$A:$A,Output_Mac!U:U,""),
_xlpm.MyAuditVal,_xlfn.XLOOKUP($A631,My_Audit!$A:$A,My_Audit!O:O,""),
_xlfn.IFS(_xlpm.MyAuditVal&lt;&gt;"",UPPER(_xlpm.MyAuditVal),_xlpm.MacVal&lt;&gt;"",_xlpm.MacVal,_xlpm.CSVVal&lt;&gt;"",_xlpm.CSVVal
)),"")</f>
        <v/>
      </c>
      <c r="O631" s="45"/>
      <c r="P631" s="45"/>
      <c r="Q631" s="46" t="str">
        <f>IF(LEFT(N631,4)="Pass","Nist SP 800-88",My_Audit!R631)&amp;""</f>
        <v/>
      </c>
      <c r="R631" s="45"/>
      <c r="S631" s="45"/>
      <c r="T631" s="46" t="str">
        <f>_xlfn.XLOOKUP(E631,Models!I:I,Models!J:J,"")</f>
        <v/>
      </c>
      <c r="U631" s="45"/>
      <c r="V631" s="45"/>
      <c r="W631" s="38"/>
    </row>
    <row r="632" spans="1:23">
      <c r="A632" s="45" t="str">
        <f>_xlfn.TEXTJOIN("",TRUE,Input!$B$2,ROW(My_Audit!A631))</f>
        <v>XX631</v>
      </c>
      <c r="B632" s="45" t="str">
        <f>_xlfn.TEXTJOIN("-",TRUE,"ITD",Input!$A$2,A632)</f>
        <v>ITD-SHRXXX-XX631</v>
      </c>
      <c r="C632" s="45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46" t="str" cm="1">
        <f t="array" ref="D632">IFERROR(_xlfn.LET(
_xlpm.CSVVal,_xlfn.XLOOKUP($A632,CSV!$A:$A,CSV!C:C,""),
_xlpm.MacVal,_xlfn.XLOOKUP($A632,Output_Mac!$A:$A,Output_Mac!D:D,""),
_xlpm.MyAuditVal,_xlfn.XLOOKUP($A632,My_Audit!$A:$A,My_Audit!C:C,""),
_xlfn.IFS(_xlpm.MyAuditVal&lt;&gt;"",UPPER(_xlpm.MyAuditVal),_xlpm.MacVal&lt;&gt;"",_xlpm.MacVal,_xlpm.CSVVal&lt;&gt;"",_xlpm.CSVVal
)),"")</f>
        <v/>
      </c>
      <c r="E632" s="46" t="str" cm="1">
        <f t="array" ref="E632">IFERROR(_xlfn.LET(
_xlpm.CSVVal,_xlfn.XLOOKUP($A632,CSV!$A:$A,CSV!E:E,""),
_xlpm.MacVal,_xlfn.XLOOKUP($A632,Output_Mac!$A:$A,Output_Mac!C:C,""),
_xlpm.MyAuditVal,_xlfn.XLOOKUP($A632,My_Audit!$A:$A,My_Audit!D:D,""),
_xlfn.IFS(_xlpm.MyAuditVal&lt;&gt;"",_xlpm.MyAuditVal,_xlpm.MacVal&lt;&gt;"",_xlpm.MacVal,_xlpm.CSVVal&lt;&gt;"",_xlpm.CSVVal
)),"")</f>
        <v/>
      </c>
      <c r="F632" s="45" t="str" cm="1">
        <f t="array" ref="F632">IFERROR(_xlfn.LET(
_xlpm.CSVVal,_xlfn.XLOOKUP($A632,CSV!$A:$A,CSV!F:F,""),
_xlpm.MacVal,_xlfn.XLOOKUP($A632,Output_Mac!$A:$A,Output_Mac!F:F,""),
_xlpm.MyAuditVal,_xlfn.XLOOKUP($A632,My_Audit!$A:$A,My_Audit!E:E,""),
_xlfn.IFS(_xlpm.MyAuditVal&lt;&gt;"",_xlpm.MyAuditVal,_xlpm.MacVal&lt;&gt;"",_xlpm.MacVal,_xlpm.CSVVal&lt;&gt;"",PROPER(_xlpm.CSVVal)
)),"")</f>
        <v/>
      </c>
      <c r="G632" s="45" t="str" cm="1">
        <f t="array" ref="G632">IFERROR(_xlfn.LET(
_xlpm.CSVVal,_xlfn.XLOOKUP($A632,CSV!$A:$A,CSV!G:G,""),
_xlpm.MacVal,_xlfn.XLOOKUP($A632,Output_Mac!$A:$A,Output_Mac!H:H,""),
_xlpm.MyAuditVal,_xlfn.XLOOKUP($A632,My_Audit!$A:$A,My_Audit!F:F,""),
_xlfn.IFS(_xlpm.MyAuditVal&lt;&gt;"",_xlpm.MyAuditVal,_xlpm.MacVal&lt;&gt;"",_xlpm.MacVal,_xlpm.CSVVal&lt;&gt;"",_xlpm.CSVVal
)),"")</f>
        <v/>
      </c>
      <c r="H632" s="45" t="str">
        <f>_xlfn.XLOOKUP(A632,Output_Mac!A:A,Output_Mac!I:I,"")</f>
        <v/>
      </c>
      <c r="I632" s="45" t="str" cm="1">
        <f t="array" ref="I632">IFERROR(_xlfn.LET(
_xlpm.CSVVal,_xlfn.XLOOKUP($A632,CSV!$A:$A,CSV!H:H,""),
_xlpm.MacVal,_xlfn.XLOOKUP($A632,Output_Mac!$A:$A,Output_Mac!J:J,""),
_xlpm.MyAuditVal,_xlfn.XLOOKUP($A632,My_Audit!$A:$A,My_Audit!H:H,""),
_xlfn.IFS(_xlpm.MyAuditVal&lt;&gt;"",UPPER(_xlpm.MyAuditVal),_xlpm.MacVal&lt;&gt;"",_xlpm.MacVal,_xlpm.CSVVal&lt;&gt;"",_xlpm.CSVVal
)),"")</f>
        <v/>
      </c>
      <c r="J632" s="45" t="str" cm="1">
        <f t="array" ref="J632">IFERROR(_xlfn.LET(
_xlpm.CSVVal,_xlfn.XLOOKUP($A632,CSV!$A:$A,CSV!J:J,""),
_xlpm.MacVal,_xlfn.XLOOKUP($A632,Output_Mac!$A:$A,Output_Mac!K:K,""),
_xlpm.MyAuditVal,_xlfn.XLOOKUP($A632,My_Audit!$A:$A,My_Audit!I:I,""),
_xlfn.IFS(_xlpm.MyAuditVal&lt;&gt;"",UPPER(_xlpm.MyAuditVal),_xlpm.MacVal&lt;&gt;"",_xlpm.MacVal,_xlpm.CSVVal&lt;&gt;"",_xlpm.CSVVal
)),"")</f>
        <v/>
      </c>
      <c r="K632" s="45" t="str" cm="1">
        <f t="array" ref="K632">IFERROR(_xlfn.LET(
_xlpm.CSVVal,_xlfn.XLOOKUP($A632,CSV!$A:$A,CSV!N:N,""),
_xlpm.MacVal,_xlfn.XLOOKUP($A632,Output_Mac!$A:$A,Output_Mac!L:L,""),
_xlpm.MyAuditVal,_xlfn.XLOOKUP($A632,My_Audit!$A:$A,My_Audit!J:J,""),
_xlfn.IFS(_xlpm.MyAuditVal&lt;&gt;"",UPPER(_xlpm.MyAuditVal),_xlpm.MacVal&lt;&gt;"",_xlpm.MacVal,_xlpm.CSVVal&lt;&gt;"",_xlpm.CSVVal
)),"")</f>
        <v/>
      </c>
      <c r="L632" s="45" t="str" cm="1">
        <f t="array" ref="L632">IFERROR(_xlfn.LET(
_xlpm.CSVVal,_xlfn.XLOOKUP($A632,CSV!$A:$A,CSV!P:P,""),
_xlpm.MacVal,_xlfn.XLOOKUP($A632,Output_Mac!$A:$A,Output_Mac!M:M,""),
_xlpm.MyAuditVal,_xlfn.XLOOKUP($A632,My_Audit!$A:$A,My_Audit!K:K,""),
_xlfn.IFS(_xlpm.MyAuditVal&lt;&gt;"",UPPER(_xlpm.MyAuditVal),_xlpm.MacVal&lt;&gt;"",_xlpm.MacVal,_xlpm.CSVVal&lt;&gt;"",_xlpm.CSVVal
)),"")</f>
        <v/>
      </c>
      <c r="M632" s="45" t="str">
        <f>_xlfn.LET(
    _xlpm.CSVVal, _xlfn.XLOOKUP($A632, CSV!$A:$A, CSV!AE:AE, ""),
    _xlpm.MacVal, _xlfn.XLOOKUP($A632, Output_Mac!$A:$A, Output_Mac!S:S, ""),
    _xlpm.MyAuditVal, _xlfn.XLOOKUP($A632, My_Audit!$A:$A, My_Audit!N:N, ""),
    _xlfn.TEXTJOIN(", ", TRUE, _xlpm.MyAuditVal, _xlpm.MacVal, _xlpm.CSVVal)
)</f>
        <v/>
      </c>
      <c r="N632" s="45" t="str" cm="1">
        <f t="array" ref="N632">IFERROR(_xlfn.LET(
_xlpm.CSVVal,_xlfn.XLOOKUP($A632,CSV!$A:$A,CSV!AG:AG,""),
_xlpm.MacVal,_xlfn.XLOOKUP($A632,Output_Mac!$A:$A,Output_Mac!U:U,""),
_xlpm.MyAuditVal,_xlfn.XLOOKUP($A632,My_Audit!$A:$A,My_Audit!O:O,""),
_xlfn.IFS(_xlpm.MyAuditVal&lt;&gt;"",UPPER(_xlpm.MyAuditVal),_xlpm.MacVal&lt;&gt;"",_xlpm.MacVal,_xlpm.CSVVal&lt;&gt;"",_xlpm.CSVVal
)),"")</f>
        <v/>
      </c>
      <c r="O632" s="45"/>
      <c r="P632" s="45"/>
      <c r="Q632" s="46" t="str">
        <f>IF(LEFT(N632,4)="Pass","Nist SP 800-88",My_Audit!R632)&amp;""</f>
        <v/>
      </c>
      <c r="R632" s="45"/>
      <c r="S632" s="45"/>
      <c r="T632" s="46" t="str">
        <f>_xlfn.XLOOKUP(E632,Models!I:I,Models!J:J,"")</f>
        <v/>
      </c>
      <c r="U632" s="45"/>
      <c r="V632" s="45"/>
      <c r="W632" s="38"/>
    </row>
    <row r="633" spans="1:23">
      <c r="A633" s="45" t="str">
        <f>_xlfn.TEXTJOIN("",TRUE,Input!$B$2,ROW(My_Audit!A632))</f>
        <v>XX632</v>
      </c>
      <c r="B633" s="45" t="str">
        <f>_xlfn.TEXTJOIN("-",TRUE,"ITD",Input!$A$2,A633)</f>
        <v>ITD-SHRXXX-XX632</v>
      </c>
      <c r="C633" s="45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46" t="str" cm="1">
        <f t="array" ref="D633">IFERROR(_xlfn.LET(
_xlpm.CSVVal,_xlfn.XLOOKUP($A633,CSV!$A:$A,CSV!C:C,""),
_xlpm.MacVal,_xlfn.XLOOKUP($A633,Output_Mac!$A:$A,Output_Mac!D:D,""),
_xlpm.MyAuditVal,_xlfn.XLOOKUP($A633,My_Audit!$A:$A,My_Audit!C:C,""),
_xlfn.IFS(_xlpm.MyAuditVal&lt;&gt;"",UPPER(_xlpm.MyAuditVal),_xlpm.MacVal&lt;&gt;"",_xlpm.MacVal,_xlpm.CSVVal&lt;&gt;"",_xlpm.CSVVal
)),"")</f>
        <v/>
      </c>
      <c r="E633" s="46" t="str" cm="1">
        <f t="array" ref="E633">IFERROR(_xlfn.LET(
_xlpm.CSVVal,_xlfn.XLOOKUP($A633,CSV!$A:$A,CSV!E:E,""),
_xlpm.MacVal,_xlfn.XLOOKUP($A633,Output_Mac!$A:$A,Output_Mac!C:C,""),
_xlpm.MyAuditVal,_xlfn.XLOOKUP($A633,My_Audit!$A:$A,My_Audit!D:D,""),
_xlfn.IFS(_xlpm.MyAuditVal&lt;&gt;"",_xlpm.MyAuditVal,_xlpm.MacVal&lt;&gt;"",_xlpm.MacVal,_xlpm.CSVVal&lt;&gt;"",_xlpm.CSVVal
)),"")</f>
        <v/>
      </c>
      <c r="F633" s="45" t="str" cm="1">
        <f t="array" ref="F633">IFERROR(_xlfn.LET(
_xlpm.CSVVal,_xlfn.XLOOKUP($A633,CSV!$A:$A,CSV!F:F,""),
_xlpm.MacVal,_xlfn.XLOOKUP($A633,Output_Mac!$A:$A,Output_Mac!F:F,""),
_xlpm.MyAuditVal,_xlfn.XLOOKUP($A633,My_Audit!$A:$A,My_Audit!E:E,""),
_xlfn.IFS(_xlpm.MyAuditVal&lt;&gt;"",_xlpm.MyAuditVal,_xlpm.MacVal&lt;&gt;"",_xlpm.MacVal,_xlpm.CSVVal&lt;&gt;"",PROPER(_xlpm.CSVVal)
)),"")</f>
        <v/>
      </c>
      <c r="G633" s="45" t="str" cm="1">
        <f t="array" ref="G633">IFERROR(_xlfn.LET(
_xlpm.CSVVal,_xlfn.XLOOKUP($A633,CSV!$A:$A,CSV!G:G,""),
_xlpm.MacVal,_xlfn.XLOOKUP($A633,Output_Mac!$A:$A,Output_Mac!H:H,""),
_xlpm.MyAuditVal,_xlfn.XLOOKUP($A633,My_Audit!$A:$A,My_Audit!F:F,""),
_xlfn.IFS(_xlpm.MyAuditVal&lt;&gt;"",_xlpm.MyAuditVal,_xlpm.MacVal&lt;&gt;"",_xlpm.MacVal,_xlpm.CSVVal&lt;&gt;"",_xlpm.CSVVal
)),"")</f>
        <v/>
      </c>
      <c r="H633" s="45" t="str">
        <f>_xlfn.XLOOKUP(A633,Output_Mac!A:A,Output_Mac!I:I,"")</f>
        <v/>
      </c>
      <c r="I633" s="45" t="str" cm="1">
        <f t="array" ref="I633">IFERROR(_xlfn.LET(
_xlpm.CSVVal,_xlfn.XLOOKUP($A633,CSV!$A:$A,CSV!H:H,""),
_xlpm.MacVal,_xlfn.XLOOKUP($A633,Output_Mac!$A:$A,Output_Mac!J:J,""),
_xlpm.MyAuditVal,_xlfn.XLOOKUP($A633,My_Audit!$A:$A,My_Audit!H:H,""),
_xlfn.IFS(_xlpm.MyAuditVal&lt;&gt;"",UPPER(_xlpm.MyAuditVal),_xlpm.MacVal&lt;&gt;"",_xlpm.MacVal,_xlpm.CSVVal&lt;&gt;"",_xlpm.CSVVal
)),"")</f>
        <v/>
      </c>
      <c r="J633" s="45" t="str" cm="1">
        <f t="array" ref="J633">IFERROR(_xlfn.LET(
_xlpm.CSVVal,_xlfn.XLOOKUP($A633,CSV!$A:$A,CSV!J:J,""),
_xlpm.MacVal,_xlfn.XLOOKUP($A633,Output_Mac!$A:$A,Output_Mac!K:K,""),
_xlpm.MyAuditVal,_xlfn.XLOOKUP($A633,My_Audit!$A:$A,My_Audit!I:I,""),
_xlfn.IFS(_xlpm.MyAuditVal&lt;&gt;"",UPPER(_xlpm.MyAuditVal),_xlpm.MacVal&lt;&gt;"",_xlpm.MacVal,_xlpm.CSVVal&lt;&gt;"",_xlpm.CSVVal
)),"")</f>
        <v/>
      </c>
      <c r="K633" s="45" t="str" cm="1">
        <f t="array" ref="K633">IFERROR(_xlfn.LET(
_xlpm.CSVVal,_xlfn.XLOOKUP($A633,CSV!$A:$A,CSV!N:N,""),
_xlpm.MacVal,_xlfn.XLOOKUP($A633,Output_Mac!$A:$A,Output_Mac!L:L,""),
_xlpm.MyAuditVal,_xlfn.XLOOKUP($A633,My_Audit!$A:$A,My_Audit!J:J,""),
_xlfn.IFS(_xlpm.MyAuditVal&lt;&gt;"",UPPER(_xlpm.MyAuditVal),_xlpm.MacVal&lt;&gt;"",_xlpm.MacVal,_xlpm.CSVVal&lt;&gt;"",_xlpm.CSVVal
)),"")</f>
        <v/>
      </c>
      <c r="L633" s="45" t="str" cm="1">
        <f t="array" ref="L633">IFERROR(_xlfn.LET(
_xlpm.CSVVal,_xlfn.XLOOKUP($A633,CSV!$A:$A,CSV!P:P,""),
_xlpm.MacVal,_xlfn.XLOOKUP($A633,Output_Mac!$A:$A,Output_Mac!M:M,""),
_xlpm.MyAuditVal,_xlfn.XLOOKUP($A633,My_Audit!$A:$A,My_Audit!K:K,""),
_xlfn.IFS(_xlpm.MyAuditVal&lt;&gt;"",UPPER(_xlpm.MyAuditVal),_xlpm.MacVal&lt;&gt;"",_xlpm.MacVal,_xlpm.CSVVal&lt;&gt;"",_xlpm.CSVVal
)),"")</f>
        <v/>
      </c>
      <c r="M633" s="45" t="str">
        <f>_xlfn.LET(
    _xlpm.CSVVal, _xlfn.XLOOKUP($A633, CSV!$A:$A, CSV!AE:AE, ""),
    _xlpm.MacVal, _xlfn.XLOOKUP($A633, Output_Mac!$A:$A, Output_Mac!S:S, ""),
    _xlpm.MyAuditVal, _xlfn.XLOOKUP($A633, My_Audit!$A:$A, My_Audit!N:N, ""),
    _xlfn.TEXTJOIN(", ", TRUE, _xlpm.MyAuditVal, _xlpm.MacVal, _xlpm.CSVVal)
)</f>
        <v/>
      </c>
      <c r="N633" s="45" t="str" cm="1">
        <f t="array" ref="N633">IFERROR(_xlfn.LET(
_xlpm.CSVVal,_xlfn.XLOOKUP($A633,CSV!$A:$A,CSV!AG:AG,""),
_xlpm.MacVal,_xlfn.XLOOKUP($A633,Output_Mac!$A:$A,Output_Mac!U:U,""),
_xlpm.MyAuditVal,_xlfn.XLOOKUP($A633,My_Audit!$A:$A,My_Audit!O:O,""),
_xlfn.IFS(_xlpm.MyAuditVal&lt;&gt;"",UPPER(_xlpm.MyAuditVal),_xlpm.MacVal&lt;&gt;"",_xlpm.MacVal,_xlpm.CSVVal&lt;&gt;"",_xlpm.CSVVal
)),"")</f>
        <v/>
      </c>
      <c r="O633" s="45"/>
      <c r="P633" s="45"/>
      <c r="Q633" s="46" t="str">
        <f>IF(LEFT(N633,4)="Pass","Nist SP 800-88",My_Audit!R633)&amp;""</f>
        <v/>
      </c>
      <c r="R633" s="45"/>
      <c r="S633" s="45"/>
      <c r="T633" s="46" t="str">
        <f>_xlfn.XLOOKUP(E633,Models!I:I,Models!J:J,"")</f>
        <v/>
      </c>
      <c r="U633" s="45"/>
      <c r="V633" s="45"/>
      <c r="W633" s="38"/>
    </row>
    <row r="634" spans="1:23">
      <c r="A634" s="45" t="str">
        <f>_xlfn.TEXTJOIN("",TRUE,Input!$B$2,ROW(My_Audit!A633))</f>
        <v>XX633</v>
      </c>
      <c r="B634" s="45" t="str">
        <f>_xlfn.TEXTJOIN("-",TRUE,"ITD",Input!$A$2,A634)</f>
        <v>ITD-SHRXXX-XX633</v>
      </c>
      <c r="C634" s="45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46" t="str" cm="1">
        <f t="array" ref="D634">IFERROR(_xlfn.LET(
_xlpm.CSVVal,_xlfn.XLOOKUP($A634,CSV!$A:$A,CSV!C:C,""),
_xlpm.MacVal,_xlfn.XLOOKUP($A634,Output_Mac!$A:$A,Output_Mac!D:D,""),
_xlpm.MyAuditVal,_xlfn.XLOOKUP($A634,My_Audit!$A:$A,My_Audit!C:C,""),
_xlfn.IFS(_xlpm.MyAuditVal&lt;&gt;"",UPPER(_xlpm.MyAuditVal),_xlpm.MacVal&lt;&gt;"",_xlpm.MacVal,_xlpm.CSVVal&lt;&gt;"",_xlpm.CSVVal
)),"")</f>
        <v/>
      </c>
      <c r="E634" s="46" t="str" cm="1">
        <f t="array" ref="E634">IFERROR(_xlfn.LET(
_xlpm.CSVVal,_xlfn.XLOOKUP($A634,CSV!$A:$A,CSV!E:E,""),
_xlpm.MacVal,_xlfn.XLOOKUP($A634,Output_Mac!$A:$A,Output_Mac!C:C,""),
_xlpm.MyAuditVal,_xlfn.XLOOKUP($A634,My_Audit!$A:$A,My_Audit!D:D,""),
_xlfn.IFS(_xlpm.MyAuditVal&lt;&gt;"",_xlpm.MyAuditVal,_xlpm.MacVal&lt;&gt;"",_xlpm.MacVal,_xlpm.CSVVal&lt;&gt;"",_xlpm.CSVVal
)),"")</f>
        <v/>
      </c>
      <c r="F634" s="45" t="str" cm="1">
        <f t="array" ref="F634">IFERROR(_xlfn.LET(
_xlpm.CSVVal,_xlfn.XLOOKUP($A634,CSV!$A:$A,CSV!F:F,""),
_xlpm.MacVal,_xlfn.XLOOKUP($A634,Output_Mac!$A:$A,Output_Mac!F:F,""),
_xlpm.MyAuditVal,_xlfn.XLOOKUP($A634,My_Audit!$A:$A,My_Audit!E:E,""),
_xlfn.IFS(_xlpm.MyAuditVal&lt;&gt;"",_xlpm.MyAuditVal,_xlpm.MacVal&lt;&gt;"",_xlpm.MacVal,_xlpm.CSVVal&lt;&gt;"",PROPER(_xlpm.CSVVal)
)),"")</f>
        <v/>
      </c>
      <c r="G634" s="45" t="str" cm="1">
        <f t="array" ref="G634">IFERROR(_xlfn.LET(
_xlpm.CSVVal,_xlfn.XLOOKUP($A634,CSV!$A:$A,CSV!G:G,""),
_xlpm.MacVal,_xlfn.XLOOKUP($A634,Output_Mac!$A:$A,Output_Mac!H:H,""),
_xlpm.MyAuditVal,_xlfn.XLOOKUP($A634,My_Audit!$A:$A,My_Audit!F:F,""),
_xlfn.IFS(_xlpm.MyAuditVal&lt;&gt;"",_xlpm.MyAuditVal,_xlpm.MacVal&lt;&gt;"",_xlpm.MacVal,_xlpm.CSVVal&lt;&gt;"",_xlpm.CSVVal
)),"")</f>
        <v/>
      </c>
      <c r="H634" s="45" t="str">
        <f>_xlfn.XLOOKUP(A634,Output_Mac!A:A,Output_Mac!I:I,"")</f>
        <v/>
      </c>
      <c r="I634" s="45" t="str" cm="1">
        <f t="array" ref="I634">IFERROR(_xlfn.LET(
_xlpm.CSVVal,_xlfn.XLOOKUP($A634,CSV!$A:$A,CSV!H:H,""),
_xlpm.MacVal,_xlfn.XLOOKUP($A634,Output_Mac!$A:$A,Output_Mac!J:J,""),
_xlpm.MyAuditVal,_xlfn.XLOOKUP($A634,My_Audit!$A:$A,My_Audit!H:H,""),
_xlfn.IFS(_xlpm.MyAuditVal&lt;&gt;"",UPPER(_xlpm.MyAuditVal),_xlpm.MacVal&lt;&gt;"",_xlpm.MacVal,_xlpm.CSVVal&lt;&gt;"",_xlpm.CSVVal
)),"")</f>
        <v/>
      </c>
      <c r="J634" s="45" t="str" cm="1">
        <f t="array" ref="J634">IFERROR(_xlfn.LET(
_xlpm.CSVVal,_xlfn.XLOOKUP($A634,CSV!$A:$A,CSV!J:J,""),
_xlpm.MacVal,_xlfn.XLOOKUP($A634,Output_Mac!$A:$A,Output_Mac!K:K,""),
_xlpm.MyAuditVal,_xlfn.XLOOKUP($A634,My_Audit!$A:$A,My_Audit!I:I,""),
_xlfn.IFS(_xlpm.MyAuditVal&lt;&gt;"",UPPER(_xlpm.MyAuditVal),_xlpm.MacVal&lt;&gt;"",_xlpm.MacVal,_xlpm.CSVVal&lt;&gt;"",_xlpm.CSVVal
)),"")</f>
        <v/>
      </c>
      <c r="K634" s="45" t="str" cm="1">
        <f t="array" ref="K634">IFERROR(_xlfn.LET(
_xlpm.CSVVal,_xlfn.XLOOKUP($A634,CSV!$A:$A,CSV!N:N,""),
_xlpm.MacVal,_xlfn.XLOOKUP($A634,Output_Mac!$A:$A,Output_Mac!L:L,""),
_xlpm.MyAuditVal,_xlfn.XLOOKUP($A634,My_Audit!$A:$A,My_Audit!J:J,""),
_xlfn.IFS(_xlpm.MyAuditVal&lt;&gt;"",UPPER(_xlpm.MyAuditVal),_xlpm.MacVal&lt;&gt;"",_xlpm.MacVal,_xlpm.CSVVal&lt;&gt;"",_xlpm.CSVVal
)),"")</f>
        <v/>
      </c>
      <c r="L634" s="45" t="str" cm="1">
        <f t="array" ref="L634">IFERROR(_xlfn.LET(
_xlpm.CSVVal,_xlfn.XLOOKUP($A634,CSV!$A:$A,CSV!P:P,""),
_xlpm.MacVal,_xlfn.XLOOKUP($A634,Output_Mac!$A:$A,Output_Mac!M:M,""),
_xlpm.MyAuditVal,_xlfn.XLOOKUP($A634,My_Audit!$A:$A,My_Audit!K:K,""),
_xlfn.IFS(_xlpm.MyAuditVal&lt;&gt;"",UPPER(_xlpm.MyAuditVal),_xlpm.MacVal&lt;&gt;"",_xlpm.MacVal,_xlpm.CSVVal&lt;&gt;"",_xlpm.CSVVal
)),"")</f>
        <v/>
      </c>
      <c r="M634" s="45" t="str">
        <f>_xlfn.LET(
    _xlpm.CSVVal, _xlfn.XLOOKUP($A634, CSV!$A:$A, CSV!AE:AE, ""),
    _xlpm.MacVal, _xlfn.XLOOKUP($A634, Output_Mac!$A:$A, Output_Mac!S:S, ""),
    _xlpm.MyAuditVal, _xlfn.XLOOKUP($A634, My_Audit!$A:$A, My_Audit!N:N, ""),
    _xlfn.TEXTJOIN(", ", TRUE, _xlpm.MyAuditVal, _xlpm.MacVal, _xlpm.CSVVal)
)</f>
        <v/>
      </c>
      <c r="N634" s="45" t="str" cm="1">
        <f t="array" ref="N634">IFERROR(_xlfn.LET(
_xlpm.CSVVal,_xlfn.XLOOKUP($A634,CSV!$A:$A,CSV!AG:AG,""),
_xlpm.MacVal,_xlfn.XLOOKUP($A634,Output_Mac!$A:$A,Output_Mac!U:U,""),
_xlpm.MyAuditVal,_xlfn.XLOOKUP($A634,My_Audit!$A:$A,My_Audit!O:O,""),
_xlfn.IFS(_xlpm.MyAuditVal&lt;&gt;"",UPPER(_xlpm.MyAuditVal),_xlpm.MacVal&lt;&gt;"",_xlpm.MacVal,_xlpm.CSVVal&lt;&gt;"",_xlpm.CSVVal
)),"")</f>
        <v/>
      </c>
      <c r="O634" s="45"/>
      <c r="P634" s="45"/>
      <c r="Q634" s="46" t="str">
        <f>IF(LEFT(N634,4)="Pass","Nist SP 800-88",My_Audit!R634)&amp;""</f>
        <v/>
      </c>
      <c r="R634" s="45"/>
      <c r="S634" s="45"/>
      <c r="T634" s="46" t="str">
        <f>_xlfn.XLOOKUP(E634,Models!I:I,Models!J:J,"")</f>
        <v/>
      </c>
      <c r="U634" s="45"/>
      <c r="V634" s="45"/>
      <c r="W634" s="38"/>
    </row>
    <row r="635" spans="1:23">
      <c r="A635" s="45" t="str">
        <f>_xlfn.TEXTJOIN("",TRUE,Input!$B$2,ROW(My_Audit!A634))</f>
        <v>XX634</v>
      </c>
      <c r="B635" s="45" t="str">
        <f>_xlfn.TEXTJOIN("-",TRUE,"ITD",Input!$A$2,A635)</f>
        <v>ITD-SHRXXX-XX634</v>
      </c>
      <c r="C635" s="45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46" t="str" cm="1">
        <f t="array" ref="D635">IFERROR(_xlfn.LET(
_xlpm.CSVVal,_xlfn.XLOOKUP($A635,CSV!$A:$A,CSV!C:C,""),
_xlpm.MacVal,_xlfn.XLOOKUP($A635,Output_Mac!$A:$A,Output_Mac!D:D,""),
_xlpm.MyAuditVal,_xlfn.XLOOKUP($A635,My_Audit!$A:$A,My_Audit!C:C,""),
_xlfn.IFS(_xlpm.MyAuditVal&lt;&gt;"",UPPER(_xlpm.MyAuditVal),_xlpm.MacVal&lt;&gt;"",_xlpm.MacVal,_xlpm.CSVVal&lt;&gt;"",_xlpm.CSVVal
)),"")</f>
        <v/>
      </c>
      <c r="E635" s="46" t="str" cm="1">
        <f t="array" ref="E635">IFERROR(_xlfn.LET(
_xlpm.CSVVal,_xlfn.XLOOKUP($A635,CSV!$A:$A,CSV!E:E,""),
_xlpm.MacVal,_xlfn.XLOOKUP($A635,Output_Mac!$A:$A,Output_Mac!C:C,""),
_xlpm.MyAuditVal,_xlfn.XLOOKUP($A635,My_Audit!$A:$A,My_Audit!D:D,""),
_xlfn.IFS(_xlpm.MyAuditVal&lt;&gt;"",_xlpm.MyAuditVal,_xlpm.MacVal&lt;&gt;"",_xlpm.MacVal,_xlpm.CSVVal&lt;&gt;"",_xlpm.CSVVal
)),"")</f>
        <v/>
      </c>
      <c r="F635" s="45" t="str" cm="1">
        <f t="array" ref="F635">IFERROR(_xlfn.LET(
_xlpm.CSVVal,_xlfn.XLOOKUP($A635,CSV!$A:$A,CSV!F:F,""),
_xlpm.MacVal,_xlfn.XLOOKUP($A635,Output_Mac!$A:$A,Output_Mac!F:F,""),
_xlpm.MyAuditVal,_xlfn.XLOOKUP($A635,My_Audit!$A:$A,My_Audit!E:E,""),
_xlfn.IFS(_xlpm.MyAuditVal&lt;&gt;"",_xlpm.MyAuditVal,_xlpm.MacVal&lt;&gt;"",_xlpm.MacVal,_xlpm.CSVVal&lt;&gt;"",PROPER(_xlpm.CSVVal)
)),"")</f>
        <v/>
      </c>
      <c r="G635" s="45" t="str" cm="1">
        <f t="array" ref="G635">IFERROR(_xlfn.LET(
_xlpm.CSVVal,_xlfn.XLOOKUP($A635,CSV!$A:$A,CSV!G:G,""),
_xlpm.MacVal,_xlfn.XLOOKUP($A635,Output_Mac!$A:$A,Output_Mac!H:H,""),
_xlpm.MyAuditVal,_xlfn.XLOOKUP($A635,My_Audit!$A:$A,My_Audit!F:F,""),
_xlfn.IFS(_xlpm.MyAuditVal&lt;&gt;"",_xlpm.MyAuditVal,_xlpm.MacVal&lt;&gt;"",_xlpm.MacVal,_xlpm.CSVVal&lt;&gt;"",_xlpm.CSVVal
)),"")</f>
        <v/>
      </c>
      <c r="H635" s="45" t="str">
        <f>_xlfn.XLOOKUP(A635,Output_Mac!A:A,Output_Mac!I:I,"")</f>
        <v/>
      </c>
      <c r="I635" s="45" t="str" cm="1">
        <f t="array" ref="I635">IFERROR(_xlfn.LET(
_xlpm.CSVVal,_xlfn.XLOOKUP($A635,CSV!$A:$A,CSV!H:H,""),
_xlpm.MacVal,_xlfn.XLOOKUP($A635,Output_Mac!$A:$A,Output_Mac!J:J,""),
_xlpm.MyAuditVal,_xlfn.XLOOKUP($A635,My_Audit!$A:$A,My_Audit!H:H,""),
_xlfn.IFS(_xlpm.MyAuditVal&lt;&gt;"",UPPER(_xlpm.MyAuditVal),_xlpm.MacVal&lt;&gt;"",_xlpm.MacVal,_xlpm.CSVVal&lt;&gt;"",_xlpm.CSVVal
)),"")</f>
        <v/>
      </c>
      <c r="J635" s="45" t="str" cm="1">
        <f t="array" ref="J635">IFERROR(_xlfn.LET(
_xlpm.CSVVal,_xlfn.XLOOKUP($A635,CSV!$A:$A,CSV!J:J,""),
_xlpm.MacVal,_xlfn.XLOOKUP($A635,Output_Mac!$A:$A,Output_Mac!K:K,""),
_xlpm.MyAuditVal,_xlfn.XLOOKUP($A635,My_Audit!$A:$A,My_Audit!I:I,""),
_xlfn.IFS(_xlpm.MyAuditVal&lt;&gt;"",UPPER(_xlpm.MyAuditVal),_xlpm.MacVal&lt;&gt;"",_xlpm.MacVal,_xlpm.CSVVal&lt;&gt;"",_xlpm.CSVVal
)),"")</f>
        <v/>
      </c>
      <c r="K635" s="45" t="str" cm="1">
        <f t="array" ref="K635">IFERROR(_xlfn.LET(
_xlpm.CSVVal,_xlfn.XLOOKUP($A635,CSV!$A:$A,CSV!N:N,""),
_xlpm.MacVal,_xlfn.XLOOKUP($A635,Output_Mac!$A:$A,Output_Mac!L:L,""),
_xlpm.MyAuditVal,_xlfn.XLOOKUP($A635,My_Audit!$A:$A,My_Audit!J:J,""),
_xlfn.IFS(_xlpm.MyAuditVal&lt;&gt;"",UPPER(_xlpm.MyAuditVal),_xlpm.MacVal&lt;&gt;"",_xlpm.MacVal,_xlpm.CSVVal&lt;&gt;"",_xlpm.CSVVal
)),"")</f>
        <v/>
      </c>
      <c r="L635" s="45" t="str" cm="1">
        <f t="array" ref="L635">IFERROR(_xlfn.LET(
_xlpm.CSVVal,_xlfn.XLOOKUP($A635,CSV!$A:$A,CSV!P:P,""),
_xlpm.MacVal,_xlfn.XLOOKUP($A635,Output_Mac!$A:$A,Output_Mac!M:M,""),
_xlpm.MyAuditVal,_xlfn.XLOOKUP($A635,My_Audit!$A:$A,My_Audit!K:K,""),
_xlfn.IFS(_xlpm.MyAuditVal&lt;&gt;"",UPPER(_xlpm.MyAuditVal),_xlpm.MacVal&lt;&gt;"",_xlpm.MacVal,_xlpm.CSVVal&lt;&gt;"",_xlpm.CSVVal
)),"")</f>
        <v/>
      </c>
      <c r="M635" s="45" t="str">
        <f>_xlfn.LET(
    _xlpm.CSVVal, _xlfn.XLOOKUP($A635, CSV!$A:$A, CSV!AE:AE, ""),
    _xlpm.MacVal, _xlfn.XLOOKUP($A635, Output_Mac!$A:$A, Output_Mac!S:S, ""),
    _xlpm.MyAuditVal, _xlfn.XLOOKUP($A635, My_Audit!$A:$A, My_Audit!N:N, ""),
    _xlfn.TEXTJOIN(", ", TRUE, _xlpm.MyAuditVal, _xlpm.MacVal, _xlpm.CSVVal)
)</f>
        <v/>
      </c>
      <c r="N635" s="45" t="str" cm="1">
        <f t="array" ref="N635">IFERROR(_xlfn.LET(
_xlpm.CSVVal,_xlfn.XLOOKUP($A635,CSV!$A:$A,CSV!AG:AG,""),
_xlpm.MacVal,_xlfn.XLOOKUP($A635,Output_Mac!$A:$A,Output_Mac!U:U,""),
_xlpm.MyAuditVal,_xlfn.XLOOKUP($A635,My_Audit!$A:$A,My_Audit!O:O,""),
_xlfn.IFS(_xlpm.MyAuditVal&lt;&gt;"",UPPER(_xlpm.MyAuditVal),_xlpm.MacVal&lt;&gt;"",_xlpm.MacVal,_xlpm.CSVVal&lt;&gt;"",_xlpm.CSVVal
)),"")</f>
        <v/>
      </c>
      <c r="O635" s="45"/>
      <c r="P635" s="45"/>
      <c r="Q635" s="46" t="str">
        <f>IF(LEFT(N635,4)="Pass","Nist SP 800-88",My_Audit!R635)&amp;""</f>
        <v/>
      </c>
      <c r="R635" s="45"/>
      <c r="S635" s="45"/>
      <c r="T635" s="46" t="str">
        <f>_xlfn.XLOOKUP(E635,Models!I:I,Models!J:J,"")</f>
        <v/>
      </c>
      <c r="U635" s="45"/>
      <c r="V635" s="45"/>
      <c r="W635" s="38"/>
    </row>
    <row r="636" spans="1:23">
      <c r="A636" s="45" t="str">
        <f>_xlfn.TEXTJOIN("",TRUE,Input!$B$2,ROW(My_Audit!A635))</f>
        <v>XX635</v>
      </c>
      <c r="B636" s="45" t="str">
        <f>_xlfn.TEXTJOIN("-",TRUE,"ITD",Input!$A$2,A636)</f>
        <v>ITD-SHRXXX-XX635</v>
      </c>
      <c r="C636" s="45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46" t="str" cm="1">
        <f t="array" ref="D636">IFERROR(_xlfn.LET(
_xlpm.CSVVal,_xlfn.XLOOKUP($A636,CSV!$A:$A,CSV!C:C,""),
_xlpm.MacVal,_xlfn.XLOOKUP($A636,Output_Mac!$A:$A,Output_Mac!D:D,""),
_xlpm.MyAuditVal,_xlfn.XLOOKUP($A636,My_Audit!$A:$A,My_Audit!C:C,""),
_xlfn.IFS(_xlpm.MyAuditVal&lt;&gt;"",UPPER(_xlpm.MyAuditVal),_xlpm.MacVal&lt;&gt;"",_xlpm.MacVal,_xlpm.CSVVal&lt;&gt;"",_xlpm.CSVVal
)),"")</f>
        <v/>
      </c>
      <c r="E636" s="46" t="str" cm="1">
        <f t="array" ref="E636">IFERROR(_xlfn.LET(
_xlpm.CSVVal,_xlfn.XLOOKUP($A636,CSV!$A:$A,CSV!E:E,""),
_xlpm.MacVal,_xlfn.XLOOKUP($A636,Output_Mac!$A:$A,Output_Mac!C:C,""),
_xlpm.MyAuditVal,_xlfn.XLOOKUP($A636,My_Audit!$A:$A,My_Audit!D:D,""),
_xlfn.IFS(_xlpm.MyAuditVal&lt;&gt;"",_xlpm.MyAuditVal,_xlpm.MacVal&lt;&gt;"",_xlpm.MacVal,_xlpm.CSVVal&lt;&gt;"",_xlpm.CSVVal
)),"")</f>
        <v/>
      </c>
      <c r="F636" s="45" t="str" cm="1">
        <f t="array" ref="F636">IFERROR(_xlfn.LET(
_xlpm.CSVVal,_xlfn.XLOOKUP($A636,CSV!$A:$A,CSV!F:F,""),
_xlpm.MacVal,_xlfn.XLOOKUP($A636,Output_Mac!$A:$A,Output_Mac!F:F,""),
_xlpm.MyAuditVal,_xlfn.XLOOKUP($A636,My_Audit!$A:$A,My_Audit!E:E,""),
_xlfn.IFS(_xlpm.MyAuditVal&lt;&gt;"",_xlpm.MyAuditVal,_xlpm.MacVal&lt;&gt;"",_xlpm.MacVal,_xlpm.CSVVal&lt;&gt;"",PROPER(_xlpm.CSVVal)
)),"")</f>
        <v/>
      </c>
      <c r="G636" s="45" t="str" cm="1">
        <f t="array" ref="G636">IFERROR(_xlfn.LET(
_xlpm.CSVVal,_xlfn.XLOOKUP($A636,CSV!$A:$A,CSV!G:G,""),
_xlpm.MacVal,_xlfn.XLOOKUP($A636,Output_Mac!$A:$A,Output_Mac!H:H,""),
_xlpm.MyAuditVal,_xlfn.XLOOKUP($A636,My_Audit!$A:$A,My_Audit!F:F,""),
_xlfn.IFS(_xlpm.MyAuditVal&lt;&gt;"",_xlpm.MyAuditVal,_xlpm.MacVal&lt;&gt;"",_xlpm.MacVal,_xlpm.CSVVal&lt;&gt;"",_xlpm.CSVVal
)),"")</f>
        <v/>
      </c>
      <c r="H636" s="45" t="str">
        <f>_xlfn.XLOOKUP(A636,Output_Mac!A:A,Output_Mac!I:I,"")</f>
        <v/>
      </c>
      <c r="I636" s="45" t="str" cm="1">
        <f t="array" ref="I636">IFERROR(_xlfn.LET(
_xlpm.CSVVal,_xlfn.XLOOKUP($A636,CSV!$A:$A,CSV!H:H,""),
_xlpm.MacVal,_xlfn.XLOOKUP($A636,Output_Mac!$A:$A,Output_Mac!J:J,""),
_xlpm.MyAuditVal,_xlfn.XLOOKUP($A636,My_Audit!$A:$A,My_Audit!H:H,""),
_xlfn.IFS(_xlpm.MyAuditVal&lt;&gt;"",UPPER(_xlpm.MyAuditVal),_xlpm.MacVal&lt;&gt;"",_xlpm.MacVal,_xlpm.CSVVal&lt;&gt;"",_xlpm.CSVVal
)),"")</f>
        <v/>
      </c>
      <c r="J636" s="45" t="str" cm="1">
        <f t="array" ref="J636">IFERROR(_xlfn.LET(
_xlpm.CSVVal,_xlfn.XLOOKUP($A636,CSV!$A:$A,CSV!J:J,""),
_xlpm.MacVal,_xlfn.XLOOKUP($A636,Output_Mac!$A:$A,Output_Mac!K:K,""),
_xlpm.MyAuditVal,_xlfn.XLOOKUP($A636,My_Audit!$A:$A,My_Audit!I:I,""),
_xlfn.IFS(_xlpm.MyAuditVal&lt;&gt;"",UPPER(_xlpm.MyAuditVal),_xlpm.MacVal&lt;&gt;"",_xlpm.MacVal,_xlpm.CSVVal&lt;&gt;"",_xlpm.CSVVal
)),"")</f>
        <v/>
      </c>
      <c r="K636" s="45" t="str" cm="1">
        <f t="array" ref="K636">IFERROR(_xlfn.LET(
_xlpm.CSVVal,_xlfn.XLOOKUP($A636,CSV!$A:$A,CSV!N:N,""),
_xlpm.MacVal,_xlfn.XLOOKUP($A636,Output_Mac!$A:$A,Output_Mac!L:L,""),
_xlpm.MyAuditVal,_xlfn.XLOOKUP($A636,My_Audit!$A:$A,My_Audit!J:J,""),
_xlfn.IFS(_xlpm.MyAuditVal&lt;&gt;"",UPPER(_xlpm.MyAuditVal),_xlpm.MacVal&lt;&gt;"",_xlpm.MacVal,_xlpm.CSVVal&lt;&gt;"",_xlpm.CSVVal
)),"")</f>
        <v/>
      </c>
      <c r="L636" s="45" t="str" cm="1">
        <f t="array" ref="L636">IFERROR(_xlfn.LET(
_xlpm.CSVVal,_xlfn.XLOOKUP($A636,CSV!$A:$A,CSV!P:P,""),
_xlpm.MacVal,_xlfn.XLOOKUP($A636,Output_Mac!$A:$A,Output_Mac!M:M,""),
_xlpm.MyAuditVal,_xlfn.XLOOKUP($A636,My_Audit!$A:$A,My_Audit!K:K,""),
_xlfn.IFS(_xlpm.MyAuditVal&lt;&gt;"",UPPER(_xlpm.MyAuditVal),_xlpm.MacVal&lt;&gt;"",_xlpm.MacVal,_xlpm.CSVVal&lt;&gt;"",_xlpm.CSVVal
)),"")</f>
        <v/>
      </c>
      <c r="M636" s="45" t="str">
        <f>_xlfn.LET(
    _xlpm.CSVVal, _xlfn.XLOOKUP($A636, CSV!$A:$A, CSV!AE:AE, ""),
    _xlpm.MacVal, _xlfn.XLOOKUP($A636, Output_Mac!$A:$A, Output_Mac!S:S, ""),
    _xlpm.MyAuditVal, _xlfn.XLOOKUP($A636, My_Audit!$A:$A, My_Audit!N:N, ""),
    _xlfn.TEXTJOIN(", ", TRUE, _xlpm.MyAuditVal, _xlpm.MacVal, _xlpm.CSVVal)
)</f>
        <v/>
      </c>
      <c r="N636" s="45" t="str" cm="1">
        <f t="array" ref="N636">IFERROR(_xlfn.LET(
_xlpm.CSVVal,_xlfn.XLOOKUP($A636,CSV!$A:$A,CSV!AG:AG,""),
_xlpm.MacVal,_xlfn.XLOOKUP($A636,Output_Mac!$A:$A,Output_Mac!U:U,""),
_xlpm.MyAuditVal,_xlfn.XLOOKUP($A636,My_Audit!$A:$A,My_Audit!O:O,""),
_xlfn.IFS(_xlpm.MyAuditVal&lt;&gt;"",UPPER(_xlpm.MyAuditVal),_xlpm.MacVal&lt;&gt;"",_xlpm.MacVal,_xlpm.CSVVal&lt;&gt;"",_xlpm.CSVVal
)),"")</f>
        <v/>
      </c>
      <c r="O636" s="45"/>
      <c r="P636" s="45"/>
      <c r="Q636" s="46" t="str">
        <f>IF(LEFT(N636,4)="Pass","Nist SP 800-88",My_Audit!R636)&amp;""</f>
        <v/>
      </c>
      <c r="R636" s="45"/>
      <c r="S636" s="45"/>
      <c r="T636" s="46" t="str">
        <f>_xlfn.XLOOKUP(E636,Models!I:I,Models!J:J,"")</f>
        <v/>
      </c>
      <c r="U636" s="45"/>
      <c r="V636" s="45"/>
      <c r="W636" s="38"/>
    </row>
    <row r="637" spans="1:23">
      <c r="A637" s="45" t="str">
        <f>_xlfn.TEXTJOIN("",TRUE,Input!$B$2,ROW(My_Audit!A636))</f>
        <v>XX636</v>
      </c>
      <c r="B637" s="45" t="str">
        <f>_xlfn.TEXTJOIN("-",TRUE,"ITD",Input!$A$2,A637)</f>
        <v>ITD-SHRXXX-XX636</v>
      </c>
      <c r="C637" s="45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46" t="str" cm="1">
        <f t="array" ref="D637">IFERROR(_xlfn.LET(
_xlpm.CSVVal,_xlfn.XLOOKUP($A637,CSV!$A:$A,CSV!C:C,""),
_xlpm.MacVal,_xlfn.XLOOKUP($A637,Output_Mac!$A:$A,Output_Mac!D:D,""),
_xlpm.MyAuditVal,_xlfn.XLOOKUP($A637,My_Audit!$A:$A,My_Audit!C:C,""),
_xlfn.IFS(_xlpm.MyAuditVal&lt;&gt;"",UPPER(_xlpm.MyAuditVal),_xlpm.MacVal&lt;&gt;"",_xlpm.MacVal,_xlpm.CSVVal&lt;&gt;"",_xlpm.CSVVal
)),"")</f>
        <v/>
      </c>
      <c r="E637" s="46" t="str" cm="1">
        <f t="array" ref="E637">IFERROR(_xlfn.LET(
_xlpm.CSVVal,_xlfn.XLOOKUP($A637,CSV!$A:$A,CSV!E:E,""),
_xlpm.MacVal,_xlfn.XLOOKUP($A637,Output_Mac!$A:$A,Output_Mac!C:C,""),
_xlpm.MyAuditVal,_xlfn.XLOOKUP($A637,My_Audit!$A:$A,My_Audit!D:D,""),
_xlfn.IFS(_xlpm.MyAuditVal&lt;&gt;"",_xlpm.MyAuditVal,_xlpm.MacVal&lt;&gt;"",_xlpm.MacVal,_xlpm.CSVVal&lt;&gt;"",_xlpm.CSVVal
)),"")</f>
        <v/>
      </c>
      <c r="F637" s="45" t="str" cm="1">
        <f t="array" ref="F637">IFERROR(_xlfn.LET(
_xlpm.CSVVal,_xlfn.XLOOKUP($A637,CSV!$A:$A,CSV!F:F,""),
_xlpm.MacVal,_xlfn.XLOOKUP($A637,Output_Mac!$A:$A,Output_Mac!F:F,""),
_xlpm.MyAuditVal,_xlfn.XLOOKUP($A637,My_Audit!$A:$A,My_Audit!E:E,""),
_xlfn.IFS(_xlpm.MyAuditVal&lt;&gt;"",_xlpm.MyAuditVal,_xlpm.MacVal&lt;&gt;"",_xlpm.MacVal,_xlpm.CSVVal&lt;&gt;"",PROPER(_xlpm.CSVVal)
)),"")</f>
        <v/>
      </c>
      <c r="G637" s="45" t="str" cm="1">
        <f t="array" ref="G637">IFERROR(_xlfn.LET(
_xlpm.CSVVal,_xlfn.XLOOKUP($A637,CSV!$A:$A,CSV!G:G,""),
_xlpm.MacVal,_xlfn.XLOOKUP($A637,Output_Mac!$A:$A,Output_Mac!H:H,""),
_xlpm.MyAuditVal,_xlfn.XLOOKUP($A637,My_Audit!$A:$A,My_Audit!F:F,""),
_xlfn.IFS(_xlpm.MyAuditVal&lt;&gt;"",_xlpm.MyAuditVal,_xlpm.MacVal&lt;&gt;"",_xlpm.MacVal,_xlpm.CSVVal&lt;&gt;"",_xlpm.CSVVal
)),"")</f>
        <v/>
      </c>
      <c r="H637" s="45" t="str">
        <f>_xlfn.XLOOKUP(A637,Output_Mac!A:A,Output_Mac!I:I,"")</f>
        <v/>
      </c>
      <c r="I637" s="45" t="str" cm="1">
        <f t="array" ref="I637">IFERROR(_xlfn.LET(
_xlpm.CSVVal,_xlfn.XLOOKUP($A637,CSV!$A:$A,CSV!H:H,""),
_xlpm.MacVal,_xlfn.XLOOKUP($A637,Output_Mac!$A:$A,Output_Mac!J:J,""),
_xlpm.MyAuditVal,_xlfn.XLOOKUP($A637,My_Audit!$A:$A,My_Audit!H:H,""),
_xlfn.IFS(_xlpm.MyAuditVal&lt;&gt;"",UPPER(_xlpm.MyAuditVal),_xlpm.MacVal&lt;&gt;"",_xlpm.MacVal,_xlpm.CSVVal&lt;&gt;"",_xlpm.CSVVal
)),"")</f>
        <v/>
      </c>
      <c r="J637" s="45" t="str" cm="1">
        <f t="array" ref="J637">IFERROR(_xlfn.LET(
_xlpm.CSVVal,_xlfn.XLOOKUP($A637,CSV!$A:$A,CSV!J:J,""),
_xlpm.MacVal,_xlfn.XLOOKUP($A637,Output_Mac!$A:$A,Output_Mac!K:K,""),
_xlpm.MyAuditVal,_xlfn.XLOOKUP($A637,My_Audit!$A:$A,My_Audit!I:I,""),
_xlfn.IFS(_xlpm.MyAuditVal&lt;&gt;"",UPPER(_xlpm.MyAuditVal),_xlpm.MacVal&lt;&gt;"",_xlpm.MacVal,_xlpm.CSVVal&lt;&gt;"",_xlpm.CSVVal
)),"")</f>
        <v/>
      </c>
      <c r="K637" s="45" t="str" cm="1">
        <f t="array" ref="K637">IFERROR(_xlfn.LET(
_xlpm.CSVVal,_xlfn.XLOOKUP($A637,CSV!$A:$A,CSV!N:N,""),
_xlpm.MacVal,_xlfn.XLOOKUP($A637,Output_Mac!$A:$A,Output_Mac!L:L,""),
_xlpm.MyAuditVal,_xlfn.XLOOKUP($A637,My_Audit!$A:$A,My_Audit!J:J,""),
_xlfn.IFS(_xlpm.MyAuditVal&lt;&gt;"",UPPER(_xlpm.MyAuditVal),_xlpm.MacVal&lt;&gt;"",_xlpm.MacVal,_xlpm.CSVVal&lt;&gt;"",_xlpm.CSVVal
)),"")</f>
        <v/>
      </c>
      <c r="L637" s="45" t="str" cm="1">
        <f t="array" ref="L637">IFERROR(_xlfn.LET(
_xlpm.CSVVal,_xlfn.XLOOKUP($A637,CSV!$A:$A,CSV!P:P,""),
_xlpm.MacVal,_xlfn.XLOOKUP($A637,Output_Mac!$A:$A,Output_Mac!M:M,""),
_xlpm.MyAuditVal,_xlfn.XLOOKUP($A637,My_Audit!$A:$A,My_Audit!K:K,""),
_xlfn.IFS(_xlpm.MyAuditVal&lt;&gt;"",UPPER(_xlpm.MyAuditVal),_xlpm.MacVal&lt;&gt;"",_xlpm.MacVal,_xlpm.CSVVal&lt;&gt;"",_xlpm.CSVVal
)),"")</f>
        <v/>
      </c>
      <c r="M637" s="45" t="str">
        <f>_xlfn.LET(
    _xlpm.CSVVal, _xlfn.XLOOKUP($A637, CSV!$A:$A, CSV!AE:AE, ""),
    _xlpm.MacVal, _xlfn.XLOOKUP($A637, Output_Mac!$A:$A, Output_Mac!S:S, ""),
    _xlpm.MyAuditVal, _xlfn.XLOOKUP($A637, My_Audit!$A:$A, My_Audit!N:N, ""),
    _xlfn.TEXTJOIN(", ", TRUE, _xlpm.MyAuditVal, _xlpm.MacVal, _xlpm.CSVVal)
)</f>
        <v/>
      </c>
      <c r="N637" s="45" t="str" cm="1">
        <f t="array" ref="N637">IFERROR(_xlfn.LET(
_xlpm.CSVVal,_xlfn.XLOOKUP($A637,CSV!$A:$A,CSV!AG:AG,""),
_xlpm.MacVal,_xlfn.XLOOKUP($A637,Output_Mac!$A:$A,Output_Mac!U:U,""),
_xlpm.MyAuditVal,_xlfn.XLOOKUP($A637,My_Audit!$A:$A,My_Audit!O:O,""),
_xlfn.IFS(_xlpm.MyAuditVal&lt;&gt;"",UPPER(_xlpm.MyAuditVal),_xlpm.MacVal&lt;&gt;"",_xlpm.MacVal,_xlpm.CSVVal&lt;&gt;"",_xlpm.CSVVal
)),"")</f>
        <v/>
      </c>
      <c r="O637" s="45"/>
      <c r="P637" s="45"/>
      <c r="Q637" s="46" t="str">
        <f>IF(LEFT(N637,4)="Pass","Nist SP 800-88",My_Audit!R637)&amp;""</f>
        <v/>
      </c>
      <c r="R637" s="45"/>
      <c r="S637" s="45"/>
      <c r="T637" s="46" t="str">
        <f>_xlfn.XLOOKUP(E637,Models!I:I,Models!J:J,"")</f>
        <v/>
      </c>
      <c r="U637" s="45"/>
      <c r="V637" s="45"/>
      <c r="W637" s="38"/>
    </row>
    <row r="638" spans="1:23">
      <c r="A638" s="45" t="str">
        <f>_xlfn.TEXTJOIN("",TRUE,Input!$B$2,ROW(My_Audit!A637))</f>
        <v>XX637</v>
      </c>
      <c r="B638" s="45" t="str">
        <f>_xlfn.TEXTJOIN("-",TRUE,"ITD",Input!$A$2,A638)</f>
        <v>ITD-SHRXXX-XX637</v>
      </c>
      <c r="C638" s="45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46" t="str" cm="1">
        <f t="array" ref="D638">IFERROR(_xlfn.LET(
_xlpm.CSVVal,_xlfn.XLOOKUP($A638,CSV!$A:$A,CSV!C:C,""),
_xlpm.MacVal,_xlfn.XLOOKUP($A638,Output_Mac!$A:$A,Output_Mac!D:D,""),
_xlpm.MyAuditVal,_xlfn.XLOOKUP($A638,My_Audit!$A:$A,My_Audit!C:C,""),
_xlfn.IFS(_xlpm.MyAuditVal&lt;&gt;"",UPPER(_xlpm.MyAuditVal),_xlpm.MacVal&lt;&gt;"",_xlpm.MacVal,_xlpm.CSVVal&lt;&gt;"",_xlpm.CSVVal
)),"")</f>
        <v/>
      </c>
      <c r="E638" s="46" t="str" cm="1">
        <f t="array" ref="E638">IFERROR(_xlfn.LET(
_xlpm.CSVVal,_xlfn.XLOOKUP($A638,CSV!$A:$A,CSV!E:E,""),
_xlpm.MacVal,_xlfn.XLOOKUP($A638,Output_Mac!$A:$A,Output_Mac!C:C,""),
_xlpm.MyAuditVal,_xlfn.XLOOKUP($A638,My_Audit!$A:$A,My_Audit!D:D,""),
_xlfn.IFS(_xlpm.MyAuditVal&lt;&gt;"",_xlpm.MyAuditVal,_xlpm.MacVal&lt;&gt;"",_xlpm.MacVal,_xlpm.CSVVal&lt;&gt;"",_xlpm.CSVVal
)),"")</f>
        <v/>
      </c>
      <c r="F638" s="45" t="str" cm="1">
        <f t="array" ref="F638">IFERROR(_xlfn.LET(
_xlpm.CSVVal,_xlfn.XLOOKUP($A638,CSV!$A:$A,CSV!F:F,""),
_xlpm.MacVal,_xlfn.XLOOKUP($A638,Output_Mac!$A:$A,Output_Mac!F:F,""),
_xlpm.MyAuditVal,_xlfn.XLOOKUP($A638,My_Audit!$A:$A,My_Audit!E:E,""),
_xlfn.IFS(_xlpm.MyAuditVal&lt;&gt;"",_xlpm.MyAuditVal,_xlpm.MacVal&lt;&gt;"",_xlpm.MacVal,_xlpm.CSVVal&lt;&gt;"",PROPER(_xlpm.CSVVal)
)),"")</f>
        <v/>
      </c>
      <c r="G638" s="45" t="str" cm="1">
        <f t="array" ref="G638">IFERROR(_xlfn.LET(
_xlpm.CSVVal,_xlfn.XLOOKUP($A638,CSV!$A:$A,CSV!G:G,""),
_xlpm.MacVal,_xlfn.XLOOKUP($A638,Output_Mac!$A:$A,Output_Mac!H:H,""),
_xlpm.MyAuditVal,_xlfn.XLOOKUP($A638,My_Audit!$A:$A,My_Audit!F:F,""),
_xlfn.IFS(_xlpm.MyAuditVal&lt;&gt;"",_xlpm.MyAuditVal,_xlpm.MacVal&lt;&gt;"",_xlpm.MacVal,_xlpm.CSVVal&lt;&gt;"",_xlpm.CSVVal
)),"")</f>
        <v/>
      </c>
      <c r="H638" s="45" t="str">
        <f>_xlfn.XLOOKUP(A638,Output_Mac!A:A,Output_Mac!I:I,"")</f>
        <v/>
      </c>
      <c r="I638" s="45" t="str" cm="1">
        <f t="array" ref="I638">IFERROR(_xlfn.LET(
_xlpm.CSVVal,_xlfn.XLOOKUP($A638,CSV!$A:$A,CSV!H:H,""),
_xlpm.MacVal,_xlfn.XLOOKUP($A638,Output_Mac!$A:$A,Output_Mac!J:J,""),
_xlpm.MyAuditVal,_xlfn.XLOOKUP($A638,My_Audit!$A:$A,My_Audit!H:H,""),
_xlfn.IFS(_xlpm.MyAuditVal&lt;&gt;"",UPPER(_xlpm.MyAuditVal),_xlpm.MacVal&lt;&gt;"",_xlpm.MacVal,_xlpm.CSVVal&lt;&gt;"",_xlpm.CSVVal
)),"")</f>
        <v/>
      </c>
      <c r="J638" s="45" t="str" cm="1">
        <f t="array" ref="J638">IFERROR(_xlfn.LET(
_xlpm.CSVVal,_xlfn.XLOOKUP($A638,CSV!$A:$A,CSV!J:J,""),
_xlpm.MacVal,_xlfn.XLOOKUP($A638,Output_Mac!$A:$A,Output_Mac!K:K,""),
_xlpm.MyAuditVal,_xlfn.XLOOKUP($A638,My_Audit!$A:$A,My_Audit!I:I,""),
_xlfn.IFS(_xlpm.MyAuditVal&lt;&gt;"",UPPER(_xlpm.MyAuditVal),_xlpm.MacVal&lt;&gt;"",_xlpm.MacVal,_xlpm.CSVVal&lt;&gt;"",_xlpm.CSVVal
)),"")</f>
        <v/>
      </c>
      <c r="K638" s="45" t="str" cm="1">
        <f t="array" ref="K638">IFERROR(_xlfn.LET(
_xlpm.CSVVal,_xlfn.XLOOKUP($A638,CSV!$A:$A,CSV!N:N,""),
_xlpm.MacVal,_xlfn.XLOOKUP($A638,Output_Mac!$A:$A,Output_Mac!L:L,""),
_xlpm.MyAuditVal,_xlfn.XLOOKUP($A638,My_Audit!$A:$A,My_Audit!J:J,""),
_xlfn.IFS(_xlpm.MyAuditVal&lt;&gt;"",UPPER(_xlpm.MyAuditVal),_xlpm.MacVal&lt;&gt;"",_xlpm.MacVal,_xlpm.CSVVal&lt;&gt;"",_xlpm.CSVVal
)),"")</f>
        <v/>
      </c>
      <c r="L638" s="45" t="str" cm="1">
        <f t="array" ref="L638">IFERROR(_xlfn.LET(
_xlpm.CSVVal,_xlfn.XLOOKUP($A638,CSV!$A:$A,CSV!P:P,""),
_xlpm.MacVal,_xlfn.XLOOKUP($A638,Output_Mac!$A:$A,Output_Mac!M:M,""),
_xlpm.MyAuditVal,_xlfn.XLOOKUP($A638,My_Audit!$A:$A,My_Audit!K:K,""),
_xlfn.IFS(_xlpm.MyAuditVal&lt;&gt;"",UPPER(_xlpm.MyAuditVal),_xlpm.MacVal&lt;&gt;"",_xlpm.MacVal,_xlpm.CSVVal&lt;&gt;"",_xlpm.CSVVal
)),"")</f>
        <v/>
      </c>
      <c r="M638" s="45" t="str">
        <f>_xlfn.LET(
    _xlpm.CSVVal, _xlfn.XLOOKUP($A638, CSV!$A:$A, CSV!AE:AE, ""),
    _xlpm.MacVal, _xlfn.XLOOKUP($A638, Output_Mac!$A:$A, Output_Mac!S:S, ""),
    _xlpm.MyAuditVal, _xlfn.XLOOKUP($A638, My_Audit!$A:$A, My_Audit!N:N, ""),
    _xlfn.TEXTJOIN(", ", TRUE, _xlpm.MyAuditVal, _xlpm.MacVal, _xlpm.CSVVal)
)</f>
        <v/>
      </c>
      <c r="N638" s="45" t="str" cm="1">
        <f t="array" ref="N638">IFERROR(_xlfn.LET(
_xlpm.CSVVal,_xlfn.XLOOKUP($A638,CSV!$A:$A,CSV!AG:AG,""),
_xlpm.MacVal,_xlfn.XLOOKUP($A638,Output_Mac!$A:$A,Output_Mac!U:U,""),
_xlpm.MyAuditVal,_xlfn.XLOOKUP($A638,My_Audit!$A:$A,My_Audit!O:O,""),
_xlfn.IFS(_xlpm.MyAuditVal&lt;&gt;"",UPPER(_xlpm.MyAuditVal),_xlpm.MacVal&lt;&gt;"",_xlpm.MacVal,_xlpm.CSVVal&lt;&gt;"",_xlpm.CSVVal
)),"")</f>
        <v/>
      </c>
      <c r="O638" s="45"/>
      <c r="P638" s="45"/>
      <c r="Q638" s="46" t="str">
        <f>IF(LEFT(N638,4)="Pass","Nist SP 800-88",My_Audit!R638)&amp;""</f>
        <v/>
      </c>
      <c r="R638" s="45"/>
      <c r="S638" s="45"/>
      <c r="T638" s="46" t="str">
        <f>_xlfn.XLOOKUP(E638,Models!I:I,Models!J:J,"")</f>
        <v/>
      </c>
      <c r="U638" s="45"/>
      <c r="V638" s="45"/>
      <c r="W638" s="38"/>
    </row>
    <row r="639" spans="1:23">
      <c r="A639" s="45" t="str">
        <f>_xlfn.TEXTJOIN("",TRUE,Input!$B$2,ROW(My_Audit!A638))</f>
        <v>XX638</v>
      </c>
      <c r="B639" s="45" t="str">
        <f>_xlfn.TEXTJOIN("-",TRUE,"ITD",Input!$A$2,A639)</f>
        <v>ITD-SHRXXX-XX638</v>
      </c>
      <c r="C639" s="45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46" t="str" cm="1">
        <f t="array" ref="D639">IFERROR(_xlfn.LET(
_xlpm.CSVVal,_xlfn.XLOOKUP($A639,CSV!$A:$A,CSV!C:C,""),
_xlpm.MacVal,_xlfn.XLOOKUP($A639,Output_Mac!$A:$A,Output_Mac!D:D,""),
_xlpm.MyAuditVal,_xlfn.XLOOKUP($A639,My_Audit!$A:$A,My_Audit!C:C,""),
_xlfn.IFS(_xlpm.MyAuditVal&lt;&gt;"",UPPER(_xlpm.MyAuditVal),_xlpm.MacVal&lt;&gt;"",_xlpm.MacVal,_xlpm.CSVVal&lt;&gt;"",_xlpm.CSVVal
)),"")</f>
        <v/>
      </c>
      <c r="E639" s="46" t="str" cm="1">
        <f t="array" ref="E639">IFERROR(_xlfn.LET(
_xlpm.CSVVal,_xlfn.XLOOKUP($A639,CSV!$A:$A,CSV!E:E,""),
_xlpm.MacVal,_xlfn.XLOOKUP($A639,Output_Mac!$A:$A,Output_Mac!C:C,""),
_xlpm.MyAuditVal,_xlfn.XLOOKUP($A639,My_Audit!$A:$A,My_Audit!D:D,""),
_xlfn.IFS(_xlpm.MyAuditVal&lt;&gt;"",_xlpm.MyAuditVal,_xlpm.MacVal&lt;&gt;"",_xlpm.MacVal,_xlpm.CSVVal&lt;&gt;"",_xlpm.CSVVal
)),"")</f>
        <v/>
      </c>
      <c r="F639" s="45" t="str" cm="1">
        <f t="array" ref="F639">IFERROR(_xlfn.LET(
_xlpm.CSVVal,_xlfn.XLOOKUP($A639,CSV!$A:$A,CSV!F:F,""),
_xlpm.MacVal,_xlfn.XLOOKUP($A639,Output_Mac!$A:$A,Output_Mac!F:F,""),
_xlpm.MyAuditVal,_xlfn.XLOOKUP($A639,My_Audit!$A:$A,My_Audit!E:E,""),
_xlfn.IFS(_xlpm.MyAuditVal&lt;&gt;"",_xlpm.MyAuditVal,_xlpm.MacVal&lt;&gt;"",_xlpm.MacVal,_xlpm.CSVVal&lt;&gt;"",PROPER(_xlpm.CSVVal)
)),"")</f>
        <v/>
      </c>
      <c r="G639" s="45" t="str" cm="1">
        <f t="array" ref="G639">IFERROR(_xlfn.LET(
_xlpm.CSVVal,_xlfn.XLOOKUP($A639,CSV!$A:$A,CSV!G:G,""),
_xlpm.MacVal,_xlfn.XLOOKUP($A639,Output_Mac!$A:$A,Output_Mac!H:H,""),
_xlpm.MyAuditVal,_xlfn.XLOOKUP($A639,My_Audit!$A:$A,My_Audit!F:F,""),
_xlfn.IFS(_xlpm.MyAuditVal&lt;&gt;"",_xlpm.MyAuditVal,_xlpm.MacVal&lt;&gt;"",_xlpm.MacVal,_xlpm.CSVVal&lt;&gt;"",_xlpm.CSVVal
)),"")</f>
        <v/>
      </c>
      <c r="H639" s="45" t="str">
        <f>_xlfn.XLOOKUP(A639,Output_Mac!A:A,Output_Mac!I:I,"")</f>
        <v/>
      </c>
      <c r="I639" s="45" t="str" cm="1">
        <f t="array" ref="I639">IFERROR(_xlfn.LET(
_xlpm.CSVVal,_xlfn.XLOOKUP($A639,CSV!$A:$A,CSV!H:H,""),
_xlpm.MacVal,_xlfn.XLOOKUP($A639,Output_Mac!$A:$A,Output_Mac!J:J,""),
_xlpm.MyAuditVal,_xlfn.XLOOKUP($A639,My_Audit!$A:$A,My_Audit!H:H,""),
_xlfn.IFS(_xlpm.MyAuditVal&lt;&gt;"",UPPER(_xlpm.MyAuditVal),_xlpm.MacVal&lt;&gt;"",_xlpm.MacVal,_xlpm.CSVVal&lt;&gt;"",_xlpm.CSVVal
)),"")</f>
        <v/>
      </c>
      <c r="J639" s="45" t="str" cm="1">
        <f t="array" ref="J639">IFERROR(_xlfn.LET(
_xlpm.CSVVal,_xlfn.XLOOKUP($A639,CSV!$A:$A,CSV!J:J,""),
_xlpm.MacVal,_xlfn.XLOOKUP($A639,Output_Mac!$A:$A,Output_Mac!K:K,""),
_xlpm.MyAuditVal,_xlfn.XLOOKUP($A639,My_Audit!$A:$A,My_Audit!I:I,""),
_xlfn.IFS(_xlpm.MyAuditVal&lt;&gt;"",UPPER(_xlpm.MyAuditVal),_xlpm.MacVal&lt;&gt;"",_xlpm.MacVal,_xlpm.CSVVal&lt;&gt;"",_xlpm.CSVVal
)),"")</f>
        <v/>
      </c>
      <c r="K639" s="45" t="str" cm="1">
        <f t="array" ref="K639">IFERROR(_xlfn.LET(
_xlpm.CSVVal,_xlfn.XLOOKUP($A639,CSV!$A:$A,CSV!N:N,""),
_xlpm.MacVal,_xlfn.XLOOKUP($A639,Output_Mac!$A:$A,Output_Mac!L:L,""),
_xlpm.MyAuditVal,_xlfn.XLOOKUP($A639,My_Audit!$A:$A,My_Audit!J:J,""),
_xlfn.IFS(_xlpm.MyAuditVal&lt;&gt;"",UPPER(_xlpm.MyAuditVal),_xlpm.MacVal&lt;&gt;"",_xlpm.MacVal,_xlpm.CSVVal&lt;&gt;"",_xlpm.CSVVal
)),"")</f>
        <v/>
      </c>
      <c r="L639" s="45" t="str" cm="1">
        <f t="array" ref="L639">IFERROR(_xlfn.LET(
_xlpm.CSVVal,_xlfn.XLOOKUP($A639,CSV!$A:$A,CSV!P:P,""),
_xlpm.MacVal,_xlfn.XLOOKUP($A639,Output_Mac!$A:$A,Output_Mac!M:M,""),
_xlpm.MyAuditVal,_xlfn.XLOOKUP($A639,My_Audit!$A:$A,My_Audit!K:K,""),
_xlfn.IFS(_xlpm.MyAuditVal&lt;&gt;"",UPPER(_xlpm.MyAuditVal),_xlpm.MacVal&lt;&gt;"",_xlpm.MacVal,_xlpm.CSVVal&lt;&gt;"",_xlpm.CSVVal
)),"")</f>
        <v/>
      </c>
      <c r="M639" s="45" t="str">
        <f>_xlfn.LET(
    _xlpm.CSVVal, _xlfn.XLOOKUP($A639, CSV!$A:$A, CSV!AE:AE, ""),
    _xlpm.MacVal, _xlfn.XLOOKUP($A639, Output_Mac!$A:$A, Output_Mac!S:S, ""),
    _xlpm.MyAuditVal, _xlfn.XLOOKUP($A639, My_Audit!$A:$A, My_Audit!N:N, ""),
    _xlfn.TEXTJOIN(", ", TRUE, _xlpm.MyAuditVal, _xlpm.MacVal, _xlpm.CSVVal)
)</f>
        <v/>
      </c>
      <c r="N639" s="45" t="str" cm="1">
        <f t="array" ref="N639">IFERROR(_xlfn.LET(
_xlpm.CSVVal,_xlfn.XLOOKUP($A639,CSV!$A:$A,CSV!AG:AG,""),
_xlpm.MacVal,_xlfn.XLOOKUP($A639,Output_Mac!$A:$A,Output_Mac!U:U,""),
_xlpm.MyAuditVal,_xlfn.XLOOKUP($A639,My_Audit!$A:$A,My_Audit!O:O,""),
_xlfn.IFS(_xlpm.MyAuditVal&lt;&gt;"",UPPER(_xlpm.MyAuditVal),_xlpm.MacVal&lt;&gt;"",_xlpm.MacVal,_xlpm.CSVVal&lt;&gt;"",_xlpm.CSVVal
)),"")</f>
        <v/>
      </c>
      <c r="O639" s="45"/>
      <c r="P639" s="45"/>
      <c r="Q639" s="46" t="str">
        <f>IF(LEFT(N639,4)="Pass","Nist SP 800-88",My_Audit!R639)&amp;""</f>
        <v/>
      </c>
      <c r="R639" s="45"/>
      <c r="S639" s="45"/>
      <c r="T639" s="46" t="str">
        <f>_xlfn.XLOOKUP(E639,Models!I:I,Models!J:J,"")</f>
        <v/>
      </c>
      <c r="U639" s="45"/>
      <c r="V639" s="45"/>
      <c r="W639" s="38"/>
    </row>
    <row r="640" spans="1:23">
      <c r="A640" s="45" t="str">
        <f>_xlfn.TEXTJOIN("",TRUE,Input!$B$2,ROW(My_Audit!A639))</f>
        <v>XX639</v>
      </c>
      <c r="B640" s="45" t="str">
        <f>_xlfn.TEXTJOIN("-",TRUE,"ITD",Input!$A$2,A640)</f>
        <v>ITD-SHRXXX-XX639</v>
      </c>
      <c r="C640" s="45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46" t="str" cm="1">
        <f t="array" ref="D640">IFERROR(_xlfn.LET(
_xlpm.CSVVal,_xlfn.XLOOKUP($A640,CSV!$A:$A,CSV!C:C,""),
_xlpm.MacVal,_xlfn.XLOOKUP($A640,Output_Mac!$A:$A,Output_Mac!D:D,""),
_xlpm.MyAuditVal,_xlfn.XLOOKUP($A640,My_Audit!$A:$A,My_Audit!C:C,""),
_xlfn.IFS(_xlpm.MyAuditVal&lt;&gt;"",UPPER(_xlpm.MyAuditVal),_xlpm.MacVal&lt;&gt;"",_xlpm.MacVal,_xlpm.CSVVal&lt;&gt;"",_xlpm.CSVVal
)),"")</f>
        <v/>
      </c>
      <c r="E640" s="46" t="str" cm="1">
        <f t="array" ref="E640">IFERROR(_xlfn.LET(
_xlpm.CSVVal,_xlfn.XLOOKUP($A640,CSV!$A:$A,CSV!E:E,""),
_xlpm.MacVal,_xlfn.XLOOKUP($A640,Output_Mac!$A:$A,Output_Mac!C:C,""),
_xlpm.MyAuditVal,_xlfn.XLOOKUP($A640,My_Audit!$A:$A,My_Audit!D:D,""),
_xlfn.IFS(_xlpm.MyAuditVal&lt;&gt;"",_xlpm.MyAuditVal,_xlpm.MacVal&lt;&gt;"",_xlpm.MacVal,_xlpm.CSVVal&lt;&gt;"",_xlpm.CSVVal
)),"")</f>
        <v/>
      </c>
      <c r="F640" s="45" t="str" cm="1">
        <f t="array" ref="F640">IFERROR(_xlfn.LET(
_xlpm.CSVVal,_xlfn.XLOOKUP($A640,CSV!$A:$A,CSV!F:F,""),
_xlpm.MacVal,_xlfn.XLOOKUP($A640,Output_Mac!$A:$A,Output_Mac!F:F,""),
_xlpm.MyAuditVal,_xlfn.XLOOKUP($A640,My_Audit!$A:$A,My_Audit!E:E,""),
_xlfn.IFS(_xlpm.MyAuditVal&lt;&gt;"",_xlpm.MyAuditVal,_xlpm.MacVal&lt;&gt;"",_xlpm.MacVal,_xlpm.CSVVal&lt;&gt;"",PROPER(_xlpm.CSVVal)
)),"")</f>
        <v/>
      </c>
      <c r="G640" s="45" t="str" cm="1">
        <f t="array" ref="G640">IFERROR(_xlfn.LET(
_xlpm.CSVVal,_xlfn.XLOOKUP($A640,CSV!$A:$A,CSV!G:G,""),
_xlpm.MacVal,_xlfn.XLOOKUP($A640,Output_Mac!$A:$A,Output_Mac!H:H,""),
_xlpm.MyAuditVal,_xlfn.XLOOKUP($A640,My_Audit!$A:$A,My_Audit!F:F,""),
_xlfn.IFS(_xlpm.MyAuditVal&lt;&gt;"",_xlpm.MyAuditVal,_xlpm.MacVal&lt;&gt;"",_xlpm.MacVal,_xlpm.CSVVal&lt;&gt;"",_xlpm.CSVVal
)),"")</f>
        <v/>
      </c>
      <c r="H640" s="45" t="str">
        <f>_xlfn.XLOOKUP(A640,Output_Mac!A:A,Output_Mac!I:I,"")</f>
        <v/>
      </c>
      <c r="I640" s="45" t="str" cm="1">
        <f t="array" ref="I640">IFERROR(_xlfn.LET(
_xlpm.CSVVal,_xlfn.XLOOKUP($A640,CSV!$A:$A,CSV!H:H,""),
_xlpm.MacVal,_xlfn.XLOOKUP($A640,Output_Mac!$A:$A,Output_Mac!J:J,""),
_xlpm.MyAuditVal,_xlfn.XLOOKUP($A640,My_Audit!$A:$A,My_Audit!H:H,""),
_xlfn.IFS(_xlpm.MyAuditVal&lt;&gt;"",UPPER(_xlpm.MyAuditVal),_xlpm.MacVal&lt;&gt;"",_xlpm.MacVal,_xlpm.CSVVal&lt;&gt;"",_xlpm.CSVVal
)),"")</f>
        <v/>
      </c>
      <c r="J640" s="45" t="str" cm="1">
        <f t="array" ref="J640">IFERROR(_xlfn.LET(
_xlpm.CSVVal,_xlfn.XLOOKUP($A640,CSV!$A:$A,CSV!J:J,""),
_xlpm.MacVal,_xlfn.XLOOKUP($A640,Output_Mac!$A:$A,Output_Mac!K:K,""),
_xlpm.MyAuditVal,_xlfn.XLOOKUP($A640,My_Audit!$A:$A,My_Audit!I:I,""),
_xlfn.IFS(_xlpm.MyAuditVal&lt;&gt;"",UPPER(_xlpm.MyAuditVal),_xlpm.MacVal&lt;&gt;"",_xlpm.MacVal,_xlpm.CSVVal&lt;&gt;"",_xlpm.CSVVal
)),"")</f>
        <v/>
      </c>
      <c r="K640" s="45" t="str" cm="1">
        <f t="array" ref="K640">IFERROR(_xlfn.LET(
_xlpm.CSVVal,_xlfn.XLOOKUP($A640,CSV!$A:$A,CSV!N:N,""),
_xlpm.MacVal,_xlfn.XLOOKUP($A640,Output_Mac!$A:$A,Output_Mac!L:L,""),
_xlpm.MyAuditVal,_xlfn.XLOOKUP($A640,My_Audit!$A:$A,My_Audit!J:J,""),
_xlfn.IFS(_xlpm.MyAuditVal&lt;&gt;"",UPPER(_xlpm.MyAuditVal),_xlpm.MacVal&lt;&gt;"",_xlpm.MacVal,_xlpm.CSVVal&lt;&gt;"",_xlpm.CSVVal
)),"")</f>
        <v/>
      </c>
      <c r="L640" s="45" t="str" cm="1">
        <f t="array" ref="L640">IFERROR(_xlfn.LET(
_xlpm.CSVVal,_xlfn.XLOOKUP($A640,CSV!$A:$A,CSV!P:P,""),
_xlpm.MacVal,_xlfn.XLOOKUP($A640,Output_Mac!$A:$A,Output_Mac!M:M,""),
_xlpm.MyAuditVal,_xlfn.XLOOKUP($A640,My_Audit!$A:$A,My_Audit!K:K,""),
_xlfn.IFS(_xlpm.MyAuditVal&lt;&gt;"",UPPER(_xlpm.MyAuditVal),_xlpm.MacVal&lt;&gt;"",_xlpm.MacVal,_xlpm.CSVVal&lt;&gt;"",_xlpm.CSVVal
)),"")</f>
        <v/>
      </c>
      <c r="M640" s="45" t="str">
        <f>_xlfn.LET(
    _xlpm.CSVVal, _xlfn.XLOOKUP($A640, CSV!$A:$A, CSV!AE:AE, ""),
    _xlpm.MacVal, _xlfn.XLOOKUP($A640, Output_Mac!$A:$A, Output_Mac!S:S, ""),
    _xlpm.MyAuditVal, _xlfn.XLOOKUP($A640, My_Audit!$A:$A, My_Audit!N:N, ""),
    _xlfn.TEXTJOIN(", ", TRUE, _xlpm.MyAuditVal, _xlpm.MacVal, _xlpm.CSVVal)
)</f>
        <v/>
      </c>
      <c r="N640" s="45" t="str" cm="1">
        <f t="array" ref="N640">IFERROR(_xlfn.LET(
_xlpm.CSVVal,_xlfn.XLOOKUP($A640,CSV!$A:$A,CSV!AG:AG,""),
_xlpm.MacVal,_xlfn.XLOOKUP($A640,Output_Mac!$A:$A,Output_Mac!U:U,""),
_xlpm.MyAuditVal,_xlfn.XLOOKUP($A640,My_Audit!$A:$A,My_Audit!O:O,""),
_xlfn.IFS(_xlpm.MyAuditVal&lt;&gt;"",UPPER(_xlpm.MyAuditVal),_xlpm.MacVal&lt;&gt;"",_xlpm.MacVal,_xlpm.CSVVal&lt;&gt;"",_xlpm.CSVVal
)),"")</f>
        <v/>
      </c>
      <c r="O640" s="45"/>
      <c r="P640" s="45"/>
      <c r="Q640" s="46" t="str">
        <f>IF(LEFT(N640,4)="Pass","Nist SP 800-88",My_Audit!R640)&amp;""</f>
        <v/>
      </c>
      <c r="R640" s="45"/>
      <c r="S640" s="45"/>
      <c r="T640" s="46" t="str">
        <f>_xlfn.XLOOKUP(E640,Models!I:I,Models!J:J,"")</f>
        <v/>
      </c>
      <c r="U640" s="45"/>
      <c r="V640" s="45"/>
      <c r="W640" s="38"/>
    </row>
    <row r="641" spans="1:23">
      <c r="A641" s="45" t="str">
        <f>_xlfn.TEXTJOIN("",TRUE,Input!$B$2,ROW(My_Audit!A640))</f>
        <v>XX640</v>
      </c>
      <c r="B641" s="45" t="str">
        <f>_xlfn.TEXTJOIN("-",TRUE,"ITD",Input!$A$2,A641)</f>
        <v>ITD-SHRXXX-XX640</v>
      </c>
      <c r="C641" s="45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46" t="str" cm="1">
        <f t="array" ref="D641">IFERROR(_xlfn.LET(
_xlpm.CSVVal,_xlfn.XLOOKUP($A641,CSV!$A:$A,CSV!C:C,""),
_xlpm.MacVal,_xlfn.XLOOKUP($A641,Output_Mac!$A:$A,Output_Mac!D:D,""),
_xlpm.MyAuditVal,_xlfn.XLOOKUP($A641,My_Audit!$A:$A,My_Audit!C:C,""),
_xlfn.IFS(_xlpm.MyAuditVal&lt;&gt;"",UPPER(_xlpm.MyAuditVal),_xlpm.MacVal&lt;&gt;"",_xlpm.MacVal,_xlpm.CSVVal&lt;&gt;"",_xlpm.CSVVal
)),"")</f>
        <v/>
      </c>
      <c r="E641" s="46" t="str" cm="1">
        <f t="array" ref="E641">IFERROR(_xlfn.LET(
_xlpm.CSVVal,_xlfn.XLOOKUP($A641,CSV!$A:$A,CSV!E:E,""),
_xlpm.MacVal,_xlfn.XLOOKUP($A641,Output_Mac!$A:$A,Output_Mac!C:C,""),
_xlpm.MyAuditVal,_xlfn.XLOOKUP($A641,My_Audit!$A:$A,My_Audit!D:D,""),
_xlfn.IFS(_xlpm.MyAuditVal&lt;&gt;"",_xlpm.MyAuditVal,_xlpm.MacVal&lt;&gt;"",_xlpm.MacVal,_xlpm.CSVVal&lt;&gt;"",_xlpm.CSVVal
)),"")</f>
        <v/>
      </c>
      <c r="F641" s="45" t="str" cm="1">
        <f t="array" ref="F641">IFERROR(_xlfn.LET(
_xlpm.CSVVal,_xlfn.XLOOKUP($A641,CSV!$A:$A,CSV!F:F,""),
_xlpm.MacVal,_xlfn.XLOOKUP($A641,Output_Mac!$A:$A,Output_Mac!F:F,""),
_xlpm.MyAuditVal,_xlfn.XLOOKUP($A641,My_Audit!$A:$A,My_Audit!E:E,""),
_xlfn.IFS(_xlpm.MyAuditVal&lt;&gt;"",_xlpm.MyAuditVal,_xlpm.MacVal&lt;&gt;"",_xlpm.MacVal,_xlpm.CSVVal&lt;&gt;"",PROPER(_xlpm.CSVVal)
)),"")</f>
        <v/>
      </c>
      <c r="G641" s="45" t="str" cm="1">
        <f t="array" ref="G641">IFERROR(_xlfn.LET(
_xlpm.CSVVal,_xlfn.XLOOKUP($A641,CSV!$A:$A,CSV!G:G,""),
_xlpm.MacVal,_xlfn.XLOOKUP($A641,Output_Mac!$A:$A,Output_Mac!H:H,""),
_xlpm.MyAuditVal,_xlfn.XLOOKUP($A641,My_Audit!$A:$A,My_Audit!F:F,""),
_xlfn.IFS(_xlpm.MyAuditVal&lt;&gt;"",_xlpm.MyAuditVal,_xlpm.MacVal&lt;&gt;"",_xlpm.MacVal,_xlpm.CSVVal&lt;&gt;"",_xlpm.CSVVal
)),"")</f>
        <v/>
      </c>
      <c r="H641" s="45" t="str">
        <f>_xlfn.XLOOKUP(A641,Output_Mac!A:A,Output_Mac!I:I,"")</f>
        <v/>
      </c>
      <c r="I641" s="45" t="str" cm="1">
        <f t="array" ref="I641">IFERROR(_xlfn.LET(
_xlpm.CSVVal,_xlfn.XLOOKUP($A641,CSV!$A:$A,CSV!H:H,""),
_xlpm.MacVal,_xlfn.XLOOKUP($A641,Output_Mac!$A:$A,Output_Mac!J:J,""),
_xlpm.MyAuditVal,_xlfn.XLOOKUP($A641,My_Audit!$A:$A,My_Audit!H:H,""),
_xlfn.IFS(_xlpm.MyAuditVal&lt;&gt;"",UPPER(_xlpm.MyAuditVal),_xlpm.MacVal&lt;&gt;"",_xlpm.MacVal,_xlpm.CSVVal&lt;&gt;"",_xlpm.CSVVal
)),"")</f>
        <v/>
      </c>
      <c r="J641" s="45" t="str" cm="1">
        <f t="array" ref="J641">IFERROR(_xlfn.LET(
_xlpm.CSVVal,_xlfn.XLOOKUP($A641,CSV!$A:$A,CSV!J:J,""),
_xlpm.MacVal,_xlfn.XLOOKUP($A641,Output_Mac!$A:$A,Output_Mac!K:K,""),
_xlpm.MyAuditVal,_xlfn.XLOOKUP($A641,My_Audit!$A:$A,My_Audit!I:I,""),
_xlfn.IFS(_xlpm.MyAuditVal&lt;&gt;"",UPPER(_xlpm.MyAuditVal),_xlpm.MacVal&lt;&gt;"",_xlpm.MacVal,_xlpm.CSVVal&lt;&gt;"",_xlpm.CSVVal
)),"")</f>
        <v/>
      </c>
      <c r="K641" s="45" t="str" cm="1">
        <f t="array" ref="K641">IFERROR(_xlfn.LET(
_xlpm.CSVVal,_xlfn.XLOOKUP($A641,CSV!$A:$A,CSV!N:N,""),
_xlpm.MacVal,_xlfn.XLOOKUP($A641,Output_Mac!$A:$A,Output_Mac!L:L,""),
_xlpm.MyAuditVal,_xlfn.XLOOKUP($A641,My_Audit!$A:$A,My_Audit!J:J,""),
_xlfn.IFS(_xlpm.MyAuditVal&lt;&gt;"",UPPER(_xlpm.MyAuditVal),_xlpm.MacVal&lt;&gt;"",_xlpm.MacVal,_xlpm.CSVVal&lt;&gt;"",_xlpm.CSVVal
)),"")</f>
        <v/>
      </c>
      <c r="L641" s="45" t="str" cm="1">
        <f t="array" ref="L641">IFERROR(_xlfn.LET(
_xlpm.CSVVal,_xlfn.XLOOKUP($A641,CSV!$A:$A,CSV!P:P,""),
_xlpm.MacVal,_xlfn.XLOOKUP($A641,Output_Mac!$A:$A,Output_Mac!M:M,""),
_xlpm.MyAuditVal,_xlfn.XLOOKUP($A641,My_Audit!$A:$A,My_Audit!K:K,""),
_xlfn.IFS(_xlpm.MyAuditVal&lt;&gt;"",UPPER(_xlpm.MyAuditVal),_xlpm.MacVal&lt;&gt;"",_xlpm.MacVal,_xlpm.CSVVal&lt;&gt;"",_xlpm.CSVVal
)),"")</f>
        <v/>
      </c>
      <c r="M641" s="45" t="str">
        <f>_xlfn.LET(
    _xlpm.CSVVal, _xlfn.XLOOKUP($A641, CSV!$A:$A, CSV!AE:AE, ""),
    _xlpm.MacVal, _xlfn.XLOOKUP($A641, Output_Mac!$A:$A, Output_Mac!S:S, ""),
    _xlpm.MyAuditVal, _xlfn.XLOOKUP($A641, My_Audit!$A:$A, My_Audit!N:N, ""),
    _xlfn.TEXTJOIN(", ", TRUE, _xlpm.MyAuditVal, _xlpm.MacVal, _xlpm.CSVVal)
)</f>
        <v/>
      </c>
      <c r="N641" s="45" t="str" cm="1">
        <f t="array" ref="N641">IFERROR(_xlfn.LET(
_xlpm.CSVVal,_xlfn.XLOOKUP($A641,CSV!$A:$A,CSV!AG:AG,""),
_xlpm.MacVal,_xlfn.XLOOKUP($A641,Output_Mac!$A:$A,Output_Mac!U:U,""),
_xlpm.MyAuditVal,_xlfn.XLOOKUP($A641,My_Audit!$A:$A,My_Audit!O:O,""),
_xlfn.IFS(_xlpm.MyAuditVal&lt;&gt;"",UPPER(_xlpm.MyAuditVal),_xlpm.MacVal&lt;&gt;"",_xlpm.MacVal,_xlpm.CSVVal&lt;&gt;"",_xlpm.CSVVal
)),"")</f>
        <v/>
      </c>
      <c r="O641" s="45"/>
      <c r="P641" s="45"/>
      <c r="Q641" s="46" t="str">
        <f>IF(LEFT(N641,4)="Pass","Nist SP 800-88",My_Audit!R641)&amp;""</f>
        <v/>
      </c>
      <c r="R641" s="45"/>
      <c r="S641" s="45"/>
      <c r="T641" s="46" t="str">
        <f>_xlfn.XLOOKUP(E641,Models!I:I,Models!J:J,"")</f>
        <v/>
      </c>
      <c r="U641" s="45"/>
      <c r="V641" s="45"/>
      <c r="W641" s="38"/>
    </row>
    <row r="642" spans="1:23">
      <c r="A642" s="45" t="str">
        <f>_xlfn.TEXTJOIN("",TRUE,Input!$B$2,ROW(My_Audit!A641))</f>
        <v>XX641</v>
      </c>
      <c r="B642" s="45" t="str">
        <f>_xlfn.TEXTJOIN("-",TRUE,"ITD",Input!$A$2,A642)</f>
        <v>ITD-SHRXXX-XX641</v>
      </c>
      <c r="C642" s="45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46" t="str" cm="1">
        <f t="array" ref="D642">IFERROR(_xlfn.LET(
_xlpm.CSVVal,_xlfn.XLOOKUP($A642,CSV!$A:$A,CSV!C:C,""),
_xlpm.MacVal,_xlfn.XLOOKUP($A642,Output_Mac!$A:$A,Output_Mac!D:D,""),
_xlpm.MyAuditVal,_xlfn.XLOOKUP($A642,My_Audit!$A:$A,My_Audit!C:C,""),
_xlfn.IFS(_xlpm.MyAuditVal&lt;&gt;"",UPPER(_xlpm.MyAuditVal),_xlpm.MacVal&lt;&gt;"",_xlpm.MacVal,_xlpm.CSVVal&lt;&gt;"",_xlpm.CSVVal
)),"")</f>
        <v/>
      </c>
      <c r="E642" s="46" t="str" cm="1">
        <f t="array" ref="E642">IFERROR(_xlfn.LET(
_xlpm.CSVVal,_xlfn.XLOOKUP($A642,CSV!$A:$A,CSV!E:E,""),
_xlpm.MacVal,_xlfn.XLOOKUP($A642,Output_Mac!$A:$A,Output_Mac!C:C,""),
_xlpm.MyAuditVal,_xlfn.XLOOKUP($A642,My_Audit!$A:$A,My_Audit!D:D,""),
_xlfn.IFS(_xlpm.MyAuditVal&lt;&gt;"",_xlpm.MyAuditVal,_xlpm.MacVal&lt;&gt;"",_xlpm.MacVal,_xlpm.CSVVal&lt;&gt;"",_xlpm.CSVVal
)),"")</f>
        <v/>
      </c>
      <c r="F642" s="45" t="str" cm="1">
        <f t="array" ref="F642">IFERROR(_xlfn.LET(
_xlpm.CSVVal,_xlfn.XLOOKUP($A642,CSV!$A:$A,CSV!F:F,""),
_xlpm.MacVal,_xlfn.XLOOKUP($A642,Output_Mac!$A:$A,Output_Mac!F:F,""),
_xlpm.MyAuditVal,_xlfn.XLOOKUP($A642,My_Audit!$A:$A,My_Audit!E:E,""),
_xlfn.IFS(_xlpm.MyAuditVal&lt;&gt;"",_xlpm.MyAuditVal,_xlpm.MacVal&lt;&gt;"",_xlpm.MacVal,_xlpm.CSVVal&lt;&gt;"",PROPER(_xlpm.CSVVal)
)),"")</f>
        <v/>
      </c>
      <c r="G642" s="45" t="str" cm="1">
        <f t="array" ref="G642">IFERROR(_xlfn.LET(
_xlpm.CSVVal,_xlfn.XLOOKUP($A642,CSV!$A:$A,CSV!G:G,""),
_xlpm.MacVal,_xlfn.XLOOKUP($A642,Output_Mac!$A:$A,Output_Mac!H:H,""),
_xlpm.MyAuditVal,_xlfn.XLOOKUP($A642,My_Audit!$A:$A,My_Audit!F:F,""),
_xlfn.IFS(_xlpm.MyAuditVal&lt;&gt;"",_xlpm.MyAuditVal,_xlpm.MacVal&lt;&gt;"",_xlpm.MacVal,_xlpm.CSVVal&lt;&gt;"",_xlpm.CSVVal
)),"")</f>
        <v/>
      </c>
      <c r="H642" s="45" t="str">
        <f>_xlfn.XLOOKUP(A642,Output_Mac!A:A,Output_Mac!I:I,"")</f>
        <v/>
      </c>
      <c r="I642" s="45" t="str" cm="1">
        <f t="array" ref="I642">IFERROR(_xlfn.LET(
_xlpm.CSVVal,_xlfn.XLOOKUP($A642,CSV!$A:$A,CSV!H:H,""),
_xlpm.MacVal,_xlfn.XLOOKUP($A642,Output_Mac!$A:$A,Output_Mac!J:J,""),
_xlpm.MyAuditVal,_xlfn.XLOOKUP($A642,My_Audit!$A:$A,My_Audit!H:H,""),
_xlfn.IFS(_xlpm.MyAuditVal&lt;&gt;"",UPPER(_xlpm.MyAuditVal),_xlpm.MacVal&lt;&gt;"",_xlpm.MacVal,_xlpm.CSVVal&lt;&gt;"",_xlpm.CSVVal
)),"")</f>
        <v/>
      </c>
      <c r="J642" s="45" t="str" cm="1">
        <f t="array" ref="J642">IFERROR(_xlfn.LET(
_xlpm.CSVVal,_xlfn.XLOOKUP($A642,CSV!$A:$A,CSV!J:J,""),
_xlpm.MacVal,_xlfn.XLOOKUP($A642,Output_Mac!$A:$A,Output_Mac!K:K,""),
_xlpm.MyAuditVal,_xlfn.XLOOKUP($A642,My_Audit!$A:$A,My_Audit!I:I,""),
_xlfn.IFS(_xlpm.MyAuditVal&lt;&gt;"",UPPER(_xlpm.MyAuditVal),_xlpm.MacVal&lt;&gt;"",_xlpm.MacVal,_xlpm.CSVVal&lt;&gt;"",_xlpm.CSVVal
)),"")</f>
        <v/>
      </c>
      <c r="K642" s="45" t="str" cm="1">
        <f t="array" ref="K642">IFERROR(_xlfn.LET(
_xlpm.CSVVal,_xlfn.XLOOKUP($A642,CSV!$A:$A,CSV!N:N,""),
_xlpm.MacVal,_xlfn.XLOOKUP($A642,Output_Mac!$A:$A,Output_Mac!L:L,""),
_xlpm.MyAuditVal,_xlfn.XLOOKUP($A642,My_Audit!$A:$A,My_Audit!J:J,""),
_xlfn.IFS(_xlpm.MyAuditVal&lt;&gt;"",UPPER(_xlpm.MyAuditVal),_xlpm.MacVal&lt;&gt;"",_xlpm.MacVal,_xlpm.CSVVal&lt;&gt;"",_xlpm.CSVVal
)),"")</f>
        <v/>
      </c>
      <c r="L642" s="45" t="str" cm="1">
        <f t="array" ref="L642">IFERROR(_xlfn.LET(
_xlpm.CSVVal,_xlfn.XLOOKUP($A642,CSV!$A:$A,CSV!P:P,""),
_xlpm.MacVal,_xlfn.XLOOKUP($A642,Output_Mac!$A:$A,Output_Mac!M:M,""),
_xlpm.MyAuditVal,_xlfn.XLOOKUP($A642,My_Audit!$A:$A,My_Audit!K:K,""),
_xlfn.IFS(_xlpm.MyAuditVal&lt;&gt;"",UPPER(_xlpm.MyAuditVal),_xlpm.MacVal&lt;&gt;"",_xlpm.MacVal,_xlpm.CSVVal&lt;&gt;"",_xlpm.CSVVal
)),"")</f>
        <v/>
      </c>
      <c r="M642" s="45" t="str">
        <f>_xlfn.LET(
    _xlpm.CSVVal, _xlfn.XLOOKUP($A642, CSV!$A:$A, CSV!AE:AE, ""),
    _xlpm.MacVal, _xlfn.XLOOKUP($A642, Output_Mac!$A:$A, Output_Mac!S:S, ""),
    _xlpm.MyAuditVal, _xlfn.XLOOKUP($A642, My_Audit!$A:$A, My_Audit!N:N, ""),
    _xlfn.TEXTJOIN(", ", TRUE, _xlpm.MyAuditVal, _xlpm.MacVal, _xlpm.CSVVal)
)</f>
        <v/>
      </c>
      <c r="N642" s="45" t="str" cm="1">
        <f t="array" ref="N642">IFERROR(_xlfn.LET(
_xlpm.CSVVal,_xlfn.XLOOKUP($A642,CSV!$A:$A,CSV!AG:AG,""),
_xlpm.MacVal,_xlfn.XLOOKUP($A642,Output_Mac!$A:$A,Output_Mac!U:U,""),
_xlpm.MyAuditVal,_xlfn.XLOOKUP($A642,My_Audit!$A:$A,My_Audit!O:O,""),
_xlfn.IFS(_xlpm.MyAuditVal&lt;&gt;"",UPPER(_xlpm.MyAuditVal),_xlpm.MacVal&lt;&gt;"",_xlpm.MacVal,_xlpm.CSVVal&lt;&gt;"",_xlpm.CSVVal
)),"")</f>
        <v/>
      </c>
      <c r="O642" s="45"/>
      <c r="P642" s="45"/>
      <c r="Q642" s="46" t="str">
        <f>IF(LEFT(N642,4)="Pass","Nist SP 800-88",My_Audit!R642)&amp;""</f>
        <v/>
      </c>
      <c r="R642" s="45"/>
      <c r="S642" s="45"/>
      <c r="T642" s="46" t="str">
        <f>_xlfn.XLOOKUP(E642,Models!I:I,Models!J:J,"")</f>
        <v/>
      </c>
      <c r="U642" s="45"/>
      <c r="V642" s="45"/>
      <c r="W642" s="38"/>
    </row>
    <row r="643" spans="1:23">
      <c r="A643" s="45" t="str">
        <f>_xlfn.TEXTJOIN("",TRUE,Input!$B$2,ROW(My_Audit!A642))</f>
        <v>XX642</v>
      </c>
      <c r="B643" s="45" t="str">
        <f>_xlfn.TEXTJOIN("-",TRUE,"ITD",Input!$A$2,A643)</f>
        <v>ITD-SHRXXX-XX642</v>
      </c>
      <c r="C643" s="45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46" t="str" cm="1">
        <f t="array" ref="D643">IFERROR(_xlfn.LET(
_xlpm.CSVVal,_xlfn.XLOOKUP($A643,CSV!$A:$A,CSV!C:C,""),
_xlpm.MacVal,_xlfn.XLOOKUP($A643,Output_Mac!$A:$A,Output_Mac!D:D,""),
_xlpm.MyAuditVal,_xlfn.XLOOKUP($A643,My_Audit!$A:$A,My_Audit!C:C,""),
_xlfn.IFS(_xlpm.MyAuditVal&lt;&gt;"",UPPER(_xlpm.MyAuditVal),_xlpm.MacVal&lt;&gt;"",_xlpm.MacVal,_xlpm.CSVVal&lt;&gt;"",_xlpm.CSVVal
)),"")</f>
        <v/>
      </c>
      <c r="E643" s="46" t="str" cm="1">
        <f t="array" ref="E643">IFERROR(_xlfn.LET(
_xlpm.CSVVal,_xlfn.XLOOKUP($A643,CSV!$A:$A,CSV!E:E,""),
_xlpm.MacVal,_xlfn.XLOOKUP($A643,Output_Mac!$A:$A,Output_Mac!C:C,""),
_xlpm.MyAuditVal,_xlfn.XLOOKUP($A643,My_Audit!$A:$A,My_Audit!D:D,""),
_xlfn.IFS(_xlpm.MyAuditVal&lt;&gt;"",_xlpm.MyAuditVal,_xlpm.MacVal&lt;&gt;"",_xlpm.MacVal,_xlpm.CSVVal&lt;&gt;"",_xlpm.CSVVal
)),"")</f>
        <v/>
      </c>
      <c r="F643" s="45" t="str" cm="1">
        <f t="array" ref="F643">IFERROR(_xlfn.LET(
_xlpm.CSVVal,_xlfn.XLOOKUP($A643,CSV!$A:$A,CSV!F:F,""),
_xlpm.MacVal,_xlfn.XLOOKUP($A643,Output_Mac!$A:$A,Output_Mac!F:F,""),
_xlpm.MyAuditVal,_xlfn.XLOOKUP($A643,My_Audit!$A:$A,My_Audit!E:E,""),
_xlfn.IFS(_xlpm.MyAuditVal&lt;&gt;"",_xlpm.MyAuditVal,_xlpm.MacVal&lt;&gt;"",_xlpm.MacVal,_xlpm.CSVVal&lt;&gt;"",PROPER(_xlpm.CSVVal)
)),"")</f>
        <v/>
      </c>
      <c r="G643" s="45" t="str" cm="1">
        <f t="array" ref="G643">IFERROR(_xlfn.LET(
_xlpm.CSVVal,_xlfn.XLOOKUP($A643,CSV!$A:$A,CSV!G:G,""),
_xlpm.MacVal,_xlfn.XLOOKUP($A643,Output_Mac!$A:$A,Output_Mac!H:H,""),
_xlpm.MyAuditVal,_xlfn.XLOOKUP($A643,My_Audit!$A:$A,My_Audit!F:F,""),
_xlfn.IFS(_xlpm.MyAuditVal&lt;&gt;"",_xlpm.MyAuditVal,_xlpm.MacVal&lt;&gt;"",_xlpm.MacVal,_xlpm.CSVVal&lt;&gt;"",_xlpm.CSVVal
)),"")</f>
        <v/>
      </c>
      <c r="H643" s="45" t="str">
        <f>_xlfn.XLOOKUP(A643,Output_Mac!A:A,Output_Mac!I:I,"")</f>
        <v/>
      </c>
      <c r="I643" s="45" t="str" cm="1">
        <f t="array" ref="I643">IFERROR(_xlfn.LET(
_xlpm.CSVVal,_xlfn.XLOOKUP($A643,CSV!$A:$A,CSV!H:H,""),
_xlpm.MacVal,_xlfn.XLOOKUP($A643,Output_Mac!$A:$A,Output_Mac!J:J,""),
_xlpm.MyAuditVal,_xlfn.XLOOKUP($A643,My_Audit!$A:$A,My_Audit!H:H,""),
_xlfn.IFS(_xlpm.MyAuditVal&lt;&gt;"",UPPER(_xlpm.MyAuditVal),_xlpm.MacVal&lt;&gt;"",_xlpm.MacVal,_xlpm.CSVVal&lt;&gt;"",_xlpm.CSVVal
)),"")</f>
        <v/>
      </c>
      <c r="J643" s="45" t="str" cm="1">
        <f t="array" ref="J643">IFERROR(_xlfn.LET(
_xlpm.CSVVal,_xlfn.XLOOKUP($A643,CSV!$A:$A,CSV!J:J,""),
_xlpm.MacVal,_xlfn.XLOOKUP($A643,Output_Mac!$A:$A,Output_Mac!K:K,""),
_xlpm.MyAuditVal,_xlfn.XLOOKUP($A643,My_Audit!$A:$A,My_Audit!I:I,""),
_xlfn.IFS(_xlpm.MyAuditVal&lt;&gt;"",UPPER(_xlpm.MyAuditVal),_xlpm.MacVal&lt;&gt;"",_xlpm.MacVal,_xlpm.CSVVal&lt;&gt;"",_xlpm.CSVVal
)),"")</f>
        <v/>
      </c>
      <c r="K643" s="45" t="str" cm="1">
        <f t="array" ref="K643">IFERROR(_xlfn.LET(
_xlpm.CSVVal,_xlfn.XLOOKUP($A643,CSV!$A:$A,CSV!N:N,""),
_xlpm.MacVal,_xlfn.XLOOKUP($A643,Output_Mac!$A:$A,Output_Mac!L:L,""),
_xlpm.MyAuditVal,_xlfn.XLOOKUP($A643,My_Audit!$A:$A,My_Audit!J:J,""),
_xlfn.IFS(_xlpm.MyAuditVal&lt;&gt;"",UPPER(_xlpm.MyAuditVal),_xlpm.MacVal&lt;&gt;"",_xlpm.MacVal,_xlpm.CSVVal&lt;&gt;"",_xlpm.CSVVal
)),"")</f>
        <v/>
      </c>
      <c r="L643" s="45" t="str" cm="1">
        <f t="array" ref="L643">IFERROR(_xlfn.LET(
_xlpm.CSVVal,_xlfn.XLOOKUP($A643,CSV!$A:$A,CSV!P:P,""),
_xlpm.MacVal,_xlfn.XLOOKUP($A643,Output_Mac!$A:$A,Output_Mac!M:M,""),
_xlpm.MyAuditVal,_xlfn.XLOOKUP($A643,My_Audit!$A:$A,My_Audit!K:K,""),
_xlfn.IFS(_xlpm.MyAuditVal&lt;&gt;"",UPPER(_xlpm.MyAuditVal),_xlpm.MacVal&lt;&gt;"",_xlpm.MacVal,_xlpm.CSVVal&lt;&gt;"",_xlpm.CSVVal
)),"")</f>
        <v/>
      </c>
      <c r="M643" s="45" t="str">
        <f>_xlfn.LET(
    _xlpm.CSVVal, _xlfn.XLOOKUP($A643, CSV!$A:$A, CSV!AE:AE, ""),
    _xlpm.MacVal, _xlfn.XLOOKUP($A643, Output_Mac!$A:$A, Output_Mac!S:S, ""),
    _xlpm.MyAuditVal, _xlfn.XLOOKUP($A643, My_Audit!$A:$A, My_Audit!N:N, ""),
    _xlfn.TEXTJOIN(", ", TRUE, _xlpm.MyAuditVal, _xlpm.MacVal, _xlpm.CSVVal)
)</f>
        <v/>
      </c>
      <c r="N643" s="45" t="str" cm="1">
        <f t="array" ref="N643">IFERROR(_xlfn.LET(
_xlpm.CSVVal,_xlfn.XLOOKUP($A643,CSV!$A:$A,CSV!AG:AG,""),
_xlpm.MacVal,_xlfn.XLOOKUP($A643,Output_Mac!$A:$A,Output_Mac!U:U,""),
_xlpm.MyAuditVal,_xlfn.XLOOKUP($A643,My_Audit!$A:$A,My_Audit!O:O,""),
_xlfn.IFS(_xlpm.MyAuditVal&lt;&gt;"",UPPER(_xlpm.MyAuditVal),_xlpm.MacVal&lt;&gt;"",_xlpm.MacVal,_xlpm.CSVVal&lt;&gt;"",_xlpm.CSVVal
)),"")</f>
        <v/>
      </c>
      <c r="O643" s="45"/>
      <c r="P643" s="45"/>
      <c r="Q643" s="46" t="str">
        <f>IF(LEFT(N643,4)="Pass","Nist SP 800-88",My_Audit!R643)&amp;""</f>
        <v/>
      </c>
      <c r="R643" s="45"/>
      <c r="S643" s="45"/>
      <c r="T643" s="46" t="str">
        <f>_xlfn.XLOOKUP(E643,Models!I:I,Models!J:J,"")</f>
        <v/>
      </c>
      <c r="U643" s="45"/>
      <c r="V643" s="45"/>
      <c r="W643" s="38"/>
    </row>
    <row r="644" spans="1:23">
      <c r="A644" s="45" t="str">
        <f>_xlfn.TEXTJOIN("",TRUE,Input!$B$2,ROW(My_Audit!A643))</f>
        <v>XX643</v>
      </c>
      <c r="B644" s="45" t="str">
        <f>_xlfn.TEXTJOIN("-",TRUE,"ITD",Input!$A$2,A644)</f>
        <v>ITD-SHRXXX-XX643</v>
      </c>
      <c r="C644" s="45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46" t="str" cm="1">
        <f t="array" ref="D644">IFERROR(_xlfn.LET(
_xlpm.CSVVal,_xlfn.XLOOKUP($A644,CSV!$A:$A,CSV!C:C,""),
_xlpm.MacVal,_xlfn.XLOOKUP($A644,Output_Mac!$A:$A,Output_Mac!D:D,""),
_xlpm.MyAuditVal,_xlfn.XLOOKUP($A644,My_Audit!$A:$A,My_Audit!C:C,""),
_xlfn.IFS(_xlpm.MyAuditVal&lt;&gt;"",UPPER(_xlpm.MyAuditVal),_xlpm.MacVal&lt;&gt;"",_xlpm.MacVal,_xlpm.CSVVal&lt;&gt;"",_xlpm.CSVVal
)),"")</f>
        <v/>
      </c>
      <c r="E644" s="46" t="str" cm="1">
        <f t="array" ref="E644">IFERROR(_xlfn.LET(
_xlpm.CSVVal,_xlfn.XLOOKUP($A644,CSV!$A:$A,CSV!E:E,""),
_xlpm.MacVal,_xlfn.XLOOKUP($A644,Output_Mac!$A:$A,Output_Mac!C:C,""),
_xlpm.MyAuditVal,_xlfn.XLOOKUP($A644,My_Audit!$A:$A,My_Audit!D:D,""),
_xlfn.IFS(_xlpm.MyAuditVal&lt;&gt;"",_xlpm.MyAuditVal,_xlpm.MacVal&lt;&gt;"",_xlpm.MacVal,_xlpm.CSVVal&lt;&gt;"",_xlpm.CSVVal
)),"")</f>
        <v/>
      </c>
      <c r="F644" s="45" t="str" cm="1">
        <f t="array" ref="F644">IFERROR(_xlfn.LET(
_xlpm.CSVVal,_xlfn.XLOOKUP($A644,CSV!$A:$A,CSV!F:F,""),
_xlpm.MacVal,_xlfn.XLOOKUP($A644,Output_Mac!$A:$A,Output_Mac!F:F,""),
_xlpm.MyAuditVal,_xlfn.XLOOKUP($A644,My_Audit!$A:$A,My_Audit!E:E,""),
_xlfn.IFS(_xlpm.MyAuditVal&lt;&gt;"",_xlpm.MyAuditVal,_xlpm.MacVal&lt;&gt;"",_xlpm.MacVal,_xlpm.CSVVal&lt;&gt;"",PROPER(_xlpm.CSVVal)
)),"")</f>
        <v/>
      </c>
      <c r="G644" s="45" t="str" cm="1">
        <f t="array" ref="G644">IFERROR(_xlfn.LET(
_xlpm.CSVVal,_xlfn.XLOOKUP($A644,CSV!$A:$A,CSV!G:G,""),
_xlpm.MacVal,_xlfn.XLOOKUP($A644,Output_Mac!$A:$A,Output_Mac!H:H,""),
_xlpm.MyAuditVal,_xlfn.XLOOKUP($A644,My_Audit!$A:$A,My_Audit!F:F,""),
_xlfn.IFS(_xlpm.MyAuditVal&lt;&gt;"",_xlpm.MyAuditVal,_xlpm.MacVal&lt;&gt;"",_xlpm.MacVal,_xlpm.CSVVal&lt;&gt;"",_xlpm.CSVVal
)),"")</f>
        <v/>
      </c>
      <c r="H644" s="45" t="str">
        <f>_xlfn.XLOOKUP(A644,Output_Mac!A:A,Output_Mac!I:I,"")</f>
        <v/>
      </c>
      <c r="I644" s="45" t="str" cm="1">
        <f t="array" ref="I644">IFERROR(_xlfn.LET(
_xlpm.CSVVal,_xlfn.XLOOKUP($A644,CSV!$A:$A,CSV!H:H,""),
_xlpm.MacVal,_xlfn.XLOOKUP($A644,Output_Mac!$A:$A,Output_Mac!J:J,""),
_xlpm.MyAuditVal,_xlfn.XLOOKUP($A644,My_Audit!$A:$A,My_Audit!H:H,""),
_xlfn.IFS(_xlpm.MyAuditVal&lt;&gt;"",UPPER(_xlpm.MyAuditVal),_xlpm.MacVal&lt;&gt;"",_xlpm.MacVal,_xlpm.CSVVal&lt;&gt;"",_xlpm.CSVVal
)),"")</f>
        <v/>
      </c>
      <c r="J644" s="45" t="str" cm="1">
        <f t="array" ref="J644">IFERROR(_xlfn.LET(
_xlpm.CSVVal,_xlfn.XLOOKUP($A644,CSV!$A:$A,CSV!J:J,""),
_xlpm.MacVal,_xlfn.XLOOKUP($A644,Output_Mac!$A:$A,Output_Mac!K:K,""),
_xlpm.MyAuditVal,_xlfn.XLOOKUP($A644,My_Audit!$A:$A,My_Audit!I:I,""),
_xlfn.IFS(_xlpm.MyAuditVal&lt;&gt;"",UPPER(_xlpm.MyAuditVal),_xlpm.MacVal&lt;&gt;"",_xlpm.MacVal,_xlpm.CSVVal&lt;&gt;"",_xlpm.CSVVal
)),"")</f>
        <v/>
      </c>
      <c r="K644" s="45" t="str" cm="1">
        <f t="array" ref="K644">IFERROR(_xlfn.LET(
_xlpm.CSVVal,_xlfn.XLOOKUP($A644,CSV!$A:$A,CSV!N:N,""),
_xlpm.MacVal,_xlfn.XLOOKUP($A644,Output_Mac!$A:$A,Output_Mac!L:L,""),
_xlpm.MyAuditVal,_xlfn.XLOOKUP($A644,My_Audit!$A:$A,My_Audit!J:J,""),
_xlfn.IFS(_xlpm.MyAuditVal&lt;&gt;"",UPPER(_xlpm.MyAuditVal),_xlpm.MacVal&lt;&gt;"",_xlpm.MacVal,_xlpm.CSVVal&lt;&gt;"",_xlpm.CSVVal
)),"")</f>
        <v/>
      </c>
      <c r="L644" s="45" t="str" cm="1">
        <f t="array" ref="L644">IFERROR(_xlfn.LET(
_xlpm.CSVVal,_xlfn.XLOOKUP($A644,CSV!$A:$A,CSV!P:P,""),
_xlpm.MacVal,_xlfn.XLOOKUP($A644,Output_Mac!$A:$A,Output_Mac!M:M,""),
_xlpm.MyAuditVal,_xlfn.XLOOKUP($A644,My_Audit!$A:$A,My_Audit!K:K,""),
_xlfn.IFS(_xlpm.MyAuditVal&lt;&gt;"",UPPER(_xlpm.MyAuditVal),_xlpm.MacVal&lt;&gt;"",_xlpm.MacVal,_xlpm.CSVVal&lt;&gt;"",_xlpm.CSVVal
)),"")</f>
        <v/>
      </c>
      <c r="M644" s="45" t="str">
        <f>_xlfn.LET(
    _xlpm.CSVVal, _xlfn.XLOOKUP($A644, CSV!$A:$A, CSV!AE:AE, ""),
    _xlpm.MacVal, _xlfn.XLOOKUP($A644, Output_Mac!$A:$A, Output_Mac!S:S, ""),
    _xlpm.MyAuditVal, _xlfn.XLOOKUP($A644, My_Audit!$A:$A, My_Audit!N:N, ""),
    _xlfn.TEXTJOIN(", ", TRUE, _xlpm.MyAuditVal, _xlpm.MacVal, _xlpm.CSVVal)
)</f>
        <v/>
      </c>
      <c r="N644" s="45" t="str" cm="1">
        <f t="array" ref="N644">IFERROR(_xlfn.LET(
_xlpm.CSVVal,_xlfn.XLOOKUP($A644,CSV!$A:$A,CSV!AG:AG,""),
_xlpm.MacVal,_xlfn.XLOOKUP($A644,Output_Mac!$A:$A,Output_Mac!U:U,""),
_xlpm.MyAuditVal,_xlfn.XLOOKUP($A644,My_Audit!$A:$A,My_Audit!O:O,""),
_xlfn.IFS(_xlpm.MyAuditVal&lt;&gt;"",UPPER(_xlpm.MyAuditVal),_xlpm.MacVal&lt;&gt;"",_xlpm.MacVal,_xlpm.CSVVal&lt;&gt;"",_xlpm.CSVVal
)),"")</f>
        <v/>
      </c>
      <c r="O644" s="45"/>
      <c r="P644" s="45"/>
      <c r="Q644" s="46" t="str">
        <f>IF(LEFT(N644,4)="Pass","Nist SP 800-88",My_Audit!R644)&amp;""</f>
        <v/>
      </c>
      <c r="R644" s="45"/>
      <c r="S644" s="45"/>
      <c r="T644" s="46" t="str">
        <f>_xlfn.XLOOKUP(E644,Models!I:I,Models!J:J,"")</f>
        <v/>
      </c>
      <c r="U644" s="45"/>
      <c r="V644" s="45"/>
      <c r="W644" s="38"/>
    </row>
    <row r="645" spans="1:23">
      <c r="A645" s="45" t="str">
        <f>_xlfn.TEXTJOIN("",TRUE,Input!$B$2,ROW(My_Audit!A644))</f>
        <v>XX644</v>
      </c>
      <c r="B645" s="45" t="str">
        <f>_xlfn.TEXTJOIN("-",TRUE,"ITD",Input!$A$2,A645)</f>
        <v>ITD-SHRXXX-XX644</v>
      </c>
      <c r="C645" s="45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46" t="str" cm="1">
        <f t="array" ref="D645">IFERROR(_xlfn.LET(
_xlpm.CSVVal,_xlfn.XLOOKUP($A645,CSV!$A:$A,CSV!C:C,""),
_xlpm.MacVal,_xlfn.XLOOKUP($A645,Output_Mac!$A:$A,Output_Mac!D:D,""),
_xlpm.MyAuditVal,_xlfn.XLOOKUP($A645,My_Audit!$A:$A,My_Audit!C:C,""),
_xlfn.IFS(_xlpm.MyAuditVal&lt;&gt;"",UPPER(_xlpm.MyAuditVal),_xlpm.MacVal&lt;&gt;"",_xlpm.MacVal,_xlpm.CSVVal&lt;&gt;"",_xlpm.CSVVal
)),"")</f>
        <v/>
      </c>
      <c r="E645" s="46" t="str" cm="1">
        <f t="array" ref="E645">IFERROR(_xlfn.LET(
_xlpm.CSVVal,_xlfn.XLOOKUP($A645,CSV!$A:$A,CSV!E:E,""),
_xlpm.MacVal,_xlfn.XLOOKUP($A645,Output_Mac!$A:$A,Output_Mac!C:C,""),
_xlpm.MyAuditVal,_xlfn.XLOOKUP($A645,My_Audit!$A:$A,My_Audit!D:D,""),
_xlfn.IFS(_xlpm.MyAuditVal&lt;&gt;"",_xlpm.MyAuditVal,_xlpm.MacVal&lt;&gt;"",_xlpm.MacVal,_xlpm.CSVVal&lt;&gt;"",_xlpm.CSVVal
)),"")</f>
        <v/>
      </c>
      <c r="F645" s="45" t="str" cm="1">
        <f t="array" ref="F645">IFERROR(_xlfn.LET(
_xlpm.CSVVal,_xlfn.XLOOKUP($A645,CSV!$A:$A,CSV!F:F,""),
_xlpm.MacVal,_xlfn.XLOOKUP($A645,Output_Mac!$A:$A,Output_Mac!F:F,""),
_xlpm.MyAuditVal,_xlfn.XLOOKUP($A645,My_Audit!$A:$A,My_Audit!E:E,""),
_xlfn.IFS(_xlpm.MyAuditVal&lt;&gt;"",_xlpm.MyAuditVal,_xlpm.MacVal&lt;&gt;"",_xlpm.MacVal,_xlpm.CSVVal&lt;&gt;"",PROPER(_xlpm.CSVVal)
)),"")</f>
        <v/>
      </c>
      <c r="G645" s="45" t="str" cm="1">
        <f t="array" ref="G645">IFERROR(_xlfn.LET(
_xlpm.CSVVal,_xlfn.XLOOKUP($A645,CSV!$A:$A,CSV!G:G,""),
_xlpm.MacVal,_xlfn.XLOOKUP($A645,Output_Mac!$A:$A,Output_Mac!H:H,""),
_xlpm.MyAuditVal,_xlfn.XLOOKUP($A645,My_Audit!$A:$A,My_Audit!F:F,""),
_xlfn.IFS(_xlpm.MyAuditVal&lt;&gt;"",_xlpm.MyAuditVal,_xlpm.MacVal&lt;&gt;"",_xlpm.MacVal,_xlpm.CSVVal&lt;&gt;"",_xlpm.CSVVal
)),"")</f>
        <v/>
      </c>
      <c r="H645" s="45" t="str">
        <f>_xlfn.XLOOKUP(A645,Output_Mac!A:A,Output_Mac!I:I,"")</f>
        <v/>
      </c>
      <c r="I645" s="45" t="str" cm="1">
        <f t="array" ref="I645">IFERROR(_xlfn.LET(
_xlpm.CSVVal,_xlfn.XLOOKUP($A645,CSV!$A:$A,CSV!H:H,""),
_xlpm.MacVal,_xlfn.XLOOKUP($A645,Output_Mac!$A:$A,Output_Mac!J:J,""),
_xlpm.MyAuditVal,_xlfn.XLOOKUP($A645,My_Audit!$A:$A,My_Audit!H:H,""),
_xlfn.IFS(_xlpm.MyAuditVal&lt;&gt;"",UPPER(_xlpm.MyAuditVal),_xlpm.MacVal&lt;&gt;"",_xlpm.MacVal,_xlpm.CSVVal&lt;&gt;"",_xlpm.CSVVal
)),"")</f>
        <v/>
      </c>
      <c r="J645" s="45" t="str" cm="1">
        <f t="array" ref="J645">IFERROR(_xlfn.LET(
_xlpm.CSVVal,_xlfn.XLOOKUP($A645,CSV!$A:$A,CSV!J:J,""),
_xlpm.MacVal,_xlfn.XLOOKUP($A645,Output_Mac!$A:$A,Output_Mac!K:K,""),
_xlpm.MyAuditVal,_xlfn.XLOOKUP($A645,My_Audit!$A:$A,My_Audit!I:I,""),
_xlfn.IFS(_xlpm.MyAuditVal&lt;&gt;"",UPPER(_xlpm.MyAuditVal),_xlpm.MacVal&lt;&gt;"",_xlpm.MacVal,_xlpm.CSVVal&lt;&gt;"",_xlpm.CSVVal
)),"")</f>
        <v/>
      </c>
      <c r="K645" s="45" t="str" cm="1">
        <f t="array" ref="K645">IFERROR(_xlfn.LET(
_xlpm.CSVVal,_xlfn.XLOOKUP($A645,CSV!$A:$A,CSV!N:N,""),
_xlpm.MacVal,_xlfn.XLOOKUP($A645,Output_Mac!$A:$A,Output_Mac!L:L,""),
_xlpm.MyAuditVal,_xlfn.XLOOKUP($A645,My_Audit!$A:$A,My_Audit!J:J,""),
_xlfn.IFS(_xlpm.MyAuditVal&lt;&gt;"",UPPER(_xlpm.MyAuditVal),_xlpm.MacVal&lt;&gt;"",_xlpm.MacVal,_xlpm.CSVVal&lt;&gt;"",_xlpm.CSVVal
)),"")</f>
        <v/>
      </c>
      <c r="L645" s="45" t="str" cm="1">
        <f t="array" ref="L645">IFERROR(_xlfn.LET(
_xlpm.CSVVal,_xlfn.XLOOKUP($A645,CSV!$A:$A,CSV!P:P,""),
_xlpm.MacVal,_xlfn.XLOOKUP($A645,Output_Mac!$A:$A,Output_Mac!M:M,""),
_xlpm.MyAuditVal,_xlfn.XLOOKUP($A645,My_Audit!$A:$A,My_Audit!K:K,""),
_xlfn.IFS(_xlpm.MyAuditVal&lt;&gt;"",UPPER(_xlpm.MyAuditVal),_xlpm.MacVal&lt;&gt;"",_xlpm.MacVal,_xlpm.CSVVal&lt;&gt;"",_xlpm.CSVVal
)),"")</f>
        <v/>
      </c>
      <c r="M645" s="45" t="str">
        <f>_xlfn.LET(
    _xlpm.CSVVal, _xlfn.XLOOKUP($A645, CSV!$A:$A, CSV!AE:AE, ""),
    _xlpm.MacVal, _xlfn.XLOOKUP($A645, Output_Mac!$A:$A, Output_Mac!S:S, ""),
    _xlpm.MyAuditVal, _xlfn.XLOOKUP($A645, My_Audit!$A:$A, My_Audit!N:N, ""),
    _xlfn.TEXTJOIN(", ", TRUE, _xlpm.MyAuditVal, _xlpm.MacVal, _xlpm.CSVVal)
)</f>
        <v/>
      </c>
      <c r="N645" s="45" t="str" cm="1">
        <f t="array" ref="N645">IFERROR(_xlfn.LET(
_xlpm.CSVVal,_xlfn.XLOOKUP($A645,CSV!$A:$A,CSV!AG:AG,""),
_xlpm.MacVal,_xlfn.XLOOKUP($A645,Output_Mac!$A:$A,Output_Mac!U:U,""),
_xlpm.MyAuditVal,_xlfn.XLOOKUP($A645,My_Audit!$A:$A,My_Audit!O:O,""),
_xlfn.IFS(_xlpm.MyAuditVal&lt;&gt;"",UPPER(_xlpm.MyAuditVal),_xlpm.MacVal&lt;&gt;"",_xlpm.MacVal,_xlpm.CSVVal&lt;&gt;"",_xlpm.CSVVal
)),"")</f>
        <v/>
      </c>
      <c r="O645" s="45"/>
      <c r="P645" s="45"/>
      <c r="Q645" s="46" t="str">
        <f>IF(LEFT(N645,4)="Pass","Nist SP 800-88",My_Audit!R645)&amp;""</f>
        <v/>
      </c>
      <c r="R645" s="45"/>
      <c r="S645" s="45"/>
      <c r="T645" s="46" t="str">
        <f>_xlfn.XLOOKUP(E645,Models!I:I,Models!J:J,"")</f>
        <v/>
      </c>
      <c r="U645" s="45"/>
      <c r="V645" s="45"/>
      <c r="W645" s="38"/>
    </row>
    <row r="646" spans="1:23">
      <c r="A646" s="45" t="str">
        <f>_xlfn.TEXTJOIN("",TRUE,Input!$B$2,ROW(My_Audit!A645))</f>
        <v>XX645</v>
      </c>
      <c r="B646" s="45" t="str">
        <f>_xlfn.TEXTJOIN("-",TRUE,"ITD",Input!$A$2,A646)</f>
        <v>ITD-SHRXXX-XX645</v>
      </c>
      <c r="C646" s="45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46" t="str" cm="1">
        <f t="array" ref="D646">IFERROR(_xlfn.LET(
_xlpm.CSVVal,_xlfn.XLOOKUP($A646,CSV!$A:$A,CSV!C:C,""),
_xlpm.MacVal,_xlfn.XLOOKUP($A646,Output_Mac!$A:$A,Output_Mac!D:D,""),
_xlpm.MyAuditVal,_xlfn.XLOOKUP($A646,My_Audit!$A:$A,My_Audit!C:C,""),
_xlfn.IFS(_xlpm.MyAuditVal&lt;&gt;"",UPPER(_xlpm.MyAuditVal),_xlpm.MacVal&lt;&gt;"",_xlpm.MacVal,_xlpm.CSVVal&lt;&gt;"",_xlpm.CSVVal
)),"")</f>
        <v/>
      </c>
      <c r="E646" s="46" t="str" cm="1">
        <f t="array" ref="E646">IFERROR(_xlfn.LET(
_xlpm.CSVVal,_xlfn.XLOOKUP($A646,CSV!$A:$A,CSV!E:E,""),
_xlpm.MacVal,_xlfn.XLOOKUP($A646,Output_Mac!$A:$A,Output_Mac!C:C,""),
_xlpm.MyAuditVal,_xlfn.XLOOKUP($A646,My_Audit!$A:$A,My_Audit!D:D,""),
_xlfn.IFS(_xlpm.MyAuditVal&lt;&gt;"",_xlpm.MyAuditVal,_xlpm.MacVal&lt;&gt;"",_xlpm.MacVal,_xlpm.CSVVal&lt;&gt;"",_xlpm.CSVVal
)),"")</f>
        <v/>
      </c>
      <c r="F646" s="45" t="str" cm="1">
        <f t="array" ref="F646">IFERROR(_xlfn.LET(
_xlpm.CSVVal,_xlfn.XLOOKUP($A646,CSV!$A:$A,CSV!F:F,""),
_xlpm.MacVal,_xlfn.XLOOKUP($A646,Output_Mac!$A:$A,Output_Mac!F:F,""),
_xlpm.MyAuditVal,_xlfn.XLOOKUP($A646,My_Audit!$A:$A,My_Audit!E:E,""),
_xlfn.IFS(_xlpm.MyAuditVal&lt;&gt;"",_xlpm.MyAuditVal,_xlpm.MacVal&lt;&gt;"",_xlpm.MacVal,_xlpm.CSVVal&lt;&gt;"",PROPER(_xlpm.CSVVal)
)),"")</f>
        <v/>
      </c>
      <c r="G646" s="45" t="str" cm="1">
        <f t="array" ref="G646">IFERROR(_xlfn.LET(
_xlpm.CSVVal,_xlfn.XLOOKUP($A646,CSV!$A:$A,CSV!G:G,""),
_xlpm.MacVal,_xlfn.XLOOKUP($A646,Output_Mac!$A:$A,Output_Mac!H:H,""),
_xlpm.MyAuditVal,_xlfn.XLOOKUP($A646,My_Audit!$A:$A,My_Audit!F:F,""),
_xlfn.IFS(_xlpm.MyAuditVal&lt;&gt;"",_xlpm.MyAuditVal,_xlpm.MacVal&lt;&gt;"",_xlpm.MacVal,_xlpm.CSVVal&lt;&gt;"",_xlpm.CSVVal
)),"")</f>
        <v/>
      </c>
      <c r="H646" s="45" t="str">
        <f>_xlfn.XLOOKUP(A646,Output_Mac!A:A,Output_Mac!I:I,"")</f>
        <v/>
      </c>
      <c r="I646" s="45" t="str" cm="1">
        <f t="array" ref="I646">IFERROR(_xlfn.LET(
_xlpm.CSVVal,_xlfn.XLOOKUP($A646,CSV!$A:$A,CSV!H:H,""),
_xlpm.MacVal,_xlfn.XLOOKUP($A646,Output_Mac!$A:$A,Output_Mac!J:J,""),
_xlpm.MyAuditVal,_xlfn.XLOOKUP($A646,My_Audit!$A:$A,My_Audit!H:H,""),
_xlfn.IFS(_xlpm.MyAuditVal&lt;&gt;"",UPPER(_xlpm.MyAuditVal),_xlpm.MacVal&lt;&gt;"",_xlpm.MacVal,_xlpm.CSVVal&lt;&gt;"",_xlpm.CSVVal
)),"")</f>
        <v/>
      </c>
      <c r="J646" s="45" t="str" cm="1">
        <f t="array" ref="J646">IFERROR(_xlfn.LET(
_xlpm.CSVVal,_xlfn.XLOOKUP($A646,CSV!$A:$A,CSV!J:J,""),
_xlpm.MacVal,_xlfn.XLOOKUP($A646,Output_Mac!$A:$A,Output_Mac!K:K,""),
_xlpm.MyAuditVal,_xlfn.XLOOKUP($A646,My_Audit!$A:$A,My_Audit!I:I,""),
_xlfn.IFS(_xlpm.MyAuditVal&lt;&gt;"",UPPER(_xlpm.MyAuditVal),_xlpm.MacVal&lt;&gt;"",_xlpm.MacVal,_xlpm.CSVVal&lt;&gt;"",_xlpm.CSVVal
)),"")</f>
        <v/>
      </c>
      <c r="K646" s="45" t="str" cm="1">
        <f t="array" ref="K646">IFERROR(_xlfn.LET(
_xlpm.CSVVal,_xlfn.XLOOKUP($A646,CSV!$A:$A,CSV!N:N,""),
_xlpm.MacVal,_xlfn.XLOOKUP($A646,Output_Mac!$A:$A,Output_Mac!L:L,""),
_xlpm.MyAuditVal,_xlfn.XLOOKUP($A646,My_Audit!$A:$A,My_Audit!J:J,""),
_xlfn.IFS(_xlpm.MyAuditVal&lt;&gt;"",UPPER(_xlpm.MyAuditVal),_xlpm.MacVal&lt;&gt;"",_xlpm.MacVal,_xlpm.CSVVal&lt;&gt;"",_xlpm.CSVVal
)),"")</f>
        <v/>
      </c>
      <c r="L646" s="45" t="str" cm="1">
        <f t="array" ref="L646">IFERROR(_xlfn.LET(
_xlpm.CSVVal,_xlfn.XLOOKUP($A646,CSV!$A:$A,CSV!P:P,""),
_xlpm.MacVal,_xlfn.XLOOKUP($A646,Output_Mac!$A:$A,Output_Mac!M:M,""),
_xlpm.MyAuditVal,_xlfn.XLOOKUP($A646,My_Audit!$A:$A,My_Audit!K:K,""),
_xlfn.IFS(_xlpm.MyAuditVal&lt;&gt;"",UPPER(_xlpm.MyAuditVal),_xlpm.MacVal&lt;&gt;"",_xlpm.MacVal,_xlpm.CSVVal&lt;&gt;"",_xlpm.CSVVal
)),"")</f>
        <v/>
      </c>
      <c r="M646" s="45" t="str">
        <f>_xlfn.LET(
    _xlpm.CSVVal, _xlfn.XLOOKUP($A646, CSV!$A:$A, CSV!AE:AE, ""),
    _xlpm.MacVal, _xlfn.XLOOKUP($A646, Output_Mac!$A:$A, Output_Mac!S:S, ""),
    _xlpm.MyAuditVal, _xlfn.XLOOKUP($A646, My_Audit!$A:$A, My_Audit!N:N, ""),
    _xlfn.TEXTJOIN(", ", TRUE, _xlpm.MyAuditVal, _xlpm.MacVal, _xlpm.CSVVal)
)</f>
        <v/>
      </c>
      <c r="N646" s="45" t="str" cm="1">
        <f t="array" ref="N646">IFERROR(_xlfn.LET(
_xlpm.CSVVal,_xlfn.XLOOKUP($A646,CSV!$A:$A,CSV!AG:AG,""),
_xlpm.MacVal,_xlfn.XLOOKUP($A646,Output_Mac!$A:$A,Output_Mac!U:U,""),
_xlpm.MyAuditVal,_xlfn.XLOOKUP($A646,My_Audit!$A:$A,My_Audit!O:O,""),
_xlfn.IFS(_xlpm.MyAuditVal&lt;&gt;"",UPPER(_xlpm.MyAuditVal),_xlpm.MacVal&lt;&gt;"",_xlpm.MacVal,_xlpm.CSVVal&lt;&gt;"",_xlpm.CSVVal
)),"")</f>
        <v/>
      </c>
      <c r="O646" s="45"/>
      <c r="P646" s="45"/>
      <c r="Q646" s="46" t="str">
        <f>IF(LEFT(N646,4)="Pass","Nist SP 800-88",My_Audit!R646)&amp;""</f>
        <v/>
      </c>
      <c r="R646" s="45"/>
      <c r="S646" s="45"/>
      <c r="T646" s="46" t="str">
        <f>_xlfn.XLOOKUP(E646,Models!I:I,Models!J:J,"")</f>
        <v/>
      </c>
      <c r="U646" s="45"/>
      <c r="V646" s="45"/>
      <c r="W646" s="38"/>
    </row>
    <row r="647" spans="1:23">
      <c r="A647" s="45" t="str">
        <f>_xlfn.TEXTJOIN("",TRUE,Input!$B$2,ROW(My_Audit!A646))</f>
        <v>XX646</v>
      </c>
      <c r="B647" s="45" t="str">
        <f>_xlfn.TEXTJOIN("-",TRUE,"ITD",Input!$A$2,A647)</f>
        <v>ITD-SHRXXX-XX646</v>
      </c>
      <c r="C647" s="45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46" t="str" cm="1">
        <f t="array" ref="D647">IFERROR(_xlfn.LET(
_xlpm.CSVVal,_xlfn.XLOOKUP($A647,CSV!$A:$A,CSV!C:C,""),
_xlpm.MacVal,_xlfn.XLOOKUP($A647,Output_Mac!$A:$A,Output_Mac!D:D,""),
_xlpm.MyAuditVal,_xlfn.XLOOKUP($A647,My_Audit!$A:$A,My_Audit!C:C,""),
_xlfn.IFS(_xlpm.MyAuditVal&lt;&gt;"",UPPER(_xlpm.MyAuditVal),_xlpm.MacVal&lt;&gt;"",_xlpm.MacVal,_xlpm.CSVVal&lt;&gt;"",_xlpm.CSVVal
)),"")</f>
        <v/>
      </c>
      <c r="E647" s="46" t="str" cm="1">
        <f t="array" ref="E647">IFERROR(_xlfn.LET(
_xlpm.CSVVal,_xlfn.XLOOKUP($A647,CSV!$A:$A,CSV!E:E,""),
_xlpm.MacVal,_xlfn.XLOOKUP($A647,Output_Mac!$A:$A,Output_Mac!C:C,""),
_xlpm.MyAuditVal,_xlfn.XLOOKUP($A647,My_Audit!$A:$A,My_Audit!D:D,""),
_xlfn.IFS(_xlpm.MyAuditVal&lt;&gt;"",_xlpm.MyAuditVal,_xlpm.MacVal&lt;&gt;"",_xlpm.MacVal,_xlpm.CSVVal&lt;&gt;"",_xlpm.CSVVal
)),"")</f>
        <v/>
      </c>
      <c r="F647" s="45" t="str" cm="1">
        <f t="array" ref="F647">IFERROR(_xlfn.LET(
_xlpm.CSVVal,_xlfn.XLOOKUP($A647,CSV!$A:$A,CSV!F:F,""),
_xlpm.MacVal,_xlfn.XLOOKUP($A647,Output_Mac!$A:$A,Output_Mac!F:F,""),
_xlpm.MyAuditVal,_xlfn.XLOOKUP($A647,My_Audit!$A:$A,My_Audit!E:E,""),
_xlfn.IFS(_xlpm.MyAuditVal&lt;&gt;"",_xlpm.MyAuditVal,_xlpm.MacVal&lt;&gt;"",_xlpm.MacVal,_xlpm.CSVVal&lt;&gt;"",PROPER(_xlpm.CSVVal)
)),"")</f>
        <v/>
      </c>
      <c r="G647" s="45" t="str" cm="1">
        <f t="array" ref="G647">IFERROR(_xlfn.LET(
_xlpm.CSVVal,_xlfn.XLOOKUP($A647,CSV!$A:$A,CSV!G:G,""),
_xlpm.MacVal,_xlfn.XLOOKUP($A647,Output_Mac!$A:$A,Output_Mac!H:H,""),
_xlpm.MyAuditVal,_xlfn.XLOOKUP($A647,My_Audit!$A:$A,My_Audit!F:F,""),
_xlfn.IFS(_xlpm.MyAuditVal&lt;&gt;"",_xlpm.MyAuditVal,_xlpm.MacVal&lt;&gt;"",_xlpm.MacVal,_xlpm.CSVVal&lt;&gt;"",_xlpm.CSVVal
)),"")</f>
        <v/>
      </c>
      <c r="H647" s="45" t="str">
        <f>_xlfn.XLOOKUP(A647,Output_Mac!A:A,Output_Mac!I:I,"")</f>
        <v/>
      </c>
      <c r="I647" s="45" t="str" cm="1">
        <f t="array" ref="I647">IFERROR(_xlfn.LET(
_xlpm.CSVVal,_xlfn.XLOOKUP($A647,CSV!$A:$A,CSV!H:H,""),
_xlpm.MacVal,_xlfn.XLOOKUP($A647,Output_Mac!$A:$A,Output_Mac!J:J,""),
_xlpm.MyAuditVal,_xlfn.XLOOKUP($A647,My_Audit!$A:$A,My_Audit!H:H,""),
_xlfn.IFS(_xlpm.MyAuditVal&lt;&gt;"",UPPER(_xlpm.MyAuditVal),_xlpm.MacVal&lt;&gt;"",_xlpm.MacVal,_xlpm.CSVVal&lt;&gt;"",_xlpm.CSVVal
)),"")</f>
        <v/>
      </c>
      <c r="J647" s="45" t="str" cm="1">
        <f t="array" ref="J647">IFERROR(_xlfn.LET(
_xlpm.CSVVal,_xlfn.XLOOKUP($A647,CSV!$A:$A,CSV!J:J,""),
_xlpm.MacVal,_xlfn.XLOOKUP($A647,Output_Mac!$A:$A,Output_Mac!K:K,""),
_xlpm.MyAuditVal,_xlfn.XLOOKUP($A647,My_Audit!$A:$A,My_Audit!I:I,""),
_xlfn.IFS(_xlpm.MyAuditVal&lt;&gt;"",UPPER(_xlpm.MyAuditVal),_xlpm.MacVal&lt;&gt;"",_xlpm.MacVal,_xlpm.CSVVal&lt;&gt;"",_xlpm.CSVVal
)),"")</f>
        <v/>
      </c>
      <c r="K647" s="45" t="str" cm="1">
        <f t="array" ref="K647">IFERROR(_xlfn.LET(
_xlpm.CSVVal,_xlfn.XLOOKUP($A647,CSV!$A:$A,CSV!N:N,""),
_xlpm.MacVal,_xlfn.XLOOKUP($A647,Output_Mac!$A:$A,Output_Mac!L:L,""),
_xlpm.MyAuditVal,_xlfn.XLOOKUP($A647,My_Audit!$A:$A,My_Audit!J:J,""),
_xlfn.IFS(_xlpm.MyAuditVal&lt;&gt;"",UPPER(_xlpm.MyAuditVal),_xlpm.MacVal&lt;&gt;"",_xlpm.MacVal,_xlpm.CSVVal&lt;&gt;"",_xlpm.CSVVal
)),"")</f>
        <v/>
      </c>
      <c r="L647" s="45" t="str" cm="1">
        <f t="array" ref="L647">IFERROR(_xlfn.LET(
_xlpm.CSVVal,_xlfn.XLOOKUP($A647,CSV!$A:$A,CSV!P:P,""),
_xlpm.MacVal,_xlfn.XLOOKUP($A647,Output_Mac!$A:$A,Output_Mac!M:M,""),
_xlpm.MyAuditVal,_xlfn.XLOOKUP($A647,My_Audit!$A:$A,My_Audit!K:K,""),
_xlfn.IFS(_xlpm.MyAuditVal&lt;&gt;"",UPPER(_xlpm.MyAuditVal),_xlpm.MacVal&lt;&gt;"",_xlpm.MacVal,_xlpm.CSVVal&lt;&gt;"",_xlpm.CSVVal
)),"")</f>
        <v/>
      </c>
      <c r="M647" s="45" t="str">
        <f>_xlfn.LET(
    _xlpm.CSVVal, _xlfn.XLOOKUP($A647, CSV!$A:$A, CSV!AE:AE, ""),
    _xlpm.MacVal, _xlfn.XLOOKUP($A647, Output_Mac!$A:$A, Output_Mac!S:S, ""),
    _xlpm.MyAuditVal, _xlfn.XLOOKUP($A647, My_Audit!$A:$A, My_Audit!N:N, ""),
    _xlfn.TEXTJOIN(", ", TRUE, _xlpm.MyAuditVal, _xlpm.MacVal, _xlpm.CSVVal)
)</f>
        <v/>
      </c>
      <c r="N647" s="45" t="str" cm="1">
        <f t="array" ref="N647">IFERROR(_xlfn.LET(
_xlpm.CSVVal,_xlfn.XLOOKUP($A647,CSV!$A:$A,CSV!AG:AG,""),
_xlpm.MacVal,_xlfn.XLOOKUP($A647,Output_Mac!$A:$A,Output_Mac!U:U,""),
_xlpm.MyAuditVal,_xlfn.XLOOKUP($A647,My_Audit!$A:$A,My_Audit!O:O,""),
_xlfn.IFS(_xlpm.MyAuditVal&lt;&gt;"",UPPER(_xlpm.MyAuditVal),_xlpm.MacVal&lt;&gt;"",_xlpm.MacVal,_xlpm.CSVVal&lt;&gt;"",_xlpm.CSVVal
)),"")</f>
        <v/>
      </c>
      <c r="O647" s="45"/>
      <c r="P647" s="45"/>
      <c r="Q647" s="46" t="str">
        <f>IF(LEFT(N647,4)="Pass","Nist SP 800-88",My_Audit!R647)&amp;""</f>
        <v/>
      </c>
      <c r="R647" s="45"/>
      <c r="S647" s="45"/>
      <c r="T647" s="46" t="str">
        <f>_xlfn.XLOOKUP(E647,Models!I:I,Models!J:J,"")</f>
        <v/>
      </c>
      <c r="U647" s="45"/>
      <c r="V647" s="45"/>
      <c r="W647" s="38"/>
    </row>
    <row r="648" spans="1:23">
      <c r="A648" s="45" t="str">
        <f>_xlfn.TEXTJOIN("",TRUE,Input!$B$2,ROW(My_Audit!A647))</f>
        <v>XX647</v>
      </c>
      <c r="B648" s="45" t="str">
        <f>_xlfn.TEXTJOIN("-",TRUE,"ITD",Input!$A$2,A648)</f>
        <v>ITD-SHRXXX-XX647</v>
      </c>
      <c r="C648" s="45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46" t="str" cm="1">
        <f t="array" ref="D648">IFERROR(_xlfn.LET(
_xlpm.CSVVal,_xlfn.XLOOKUP($A648,CSV!$A:$A,CSV!C:C,""),
_xlpm.MacVal,_xlfn.XLOOKUP($A648,Output_Mac!$A:$A,Output_Mac!D:D,""),
_xlpm.MyAuditVal,_xlfn.XLOOKUP($A648,My_Audit!$A:$A,My_Audit!C:C,""),
_xlfn.IFS(_xlpm.MyAuditVal&lt;&gt;"",UPPER(_xlpm.MyAuditVal),_xlpm.MacVal&lt;&gt;"",_xlpm.MacVal,_xlpm.CSVVal&lt;&gt;"",_xlpm.CSVVal
)),"")</f>
        <v/>
      </c>
      <c r="E648" s="46" t="str" cm="1">
        <f t="array" ref="E648">IFERROR(_xlfn.LET(
_xlpm.CSVVal,_xlfn.XLOOKUP($A648,CSV!$A:$A,CSV!E:E,""),
_xlpm.MacVal,_xlfn.XLOOKUP($A648,Output_Mac!$A:$A,Output_Mac!C:C,""),
_xlpm.MyAuditVal,_xlfn.XLOOKUP($A648,My_Audit!$A:$A,My_Audit!D:D,""),
_xlfn.IFS(_xlpm.MyAuditVal&lt;&gt;"",_xlpm.MyAuditVal,_xlpm.MacVal&lt;&gt;"",_xlpm.MacVal,_xlpm.CSVVal&lt;&gt;"",_xlpm.CSVVal
)),"")</f>
        <v/>
      </c>
      <c r="F648" s="45" t="str" cm="1">
        <f t="array" ref="F648">IFERROR(_xlfn.LET(
_xlpm.CSVVal,_xlfn.XLOOKUP($A648,CSV!$A:$A,CSV!F:F,""),
_xlpm.MacVal,_xlfn.XLOOKUP($A648,Output_Mac!$A:$A,Output_Mac!F:F,""),
_xlpm.MyAuditVal,_xlfn.XLOOKUP($A648,My_Audit!$A:$A,My_Audit!E:E,""),
_xlfn.IFS(_xlpm.MyAuditVal&lt;&gt;"",_xlpm.MyAuditVal,_xlpm.MacVal&lt;&gt;"",_xlpm.MacVal,_xlpm.CSVVal&lt;&gt;"",PROPER(_xlpm.CSVVal)
)),"")</f>
        <v/>
      </c>
      <c r="G648" s="45" t="str" cm="1">
        <f t="array" ref="G648">IFERROR(_xlfn.LET(
_xlpm.CSVVal,_xlfn.XLOOKUP($A648,CSV!$A:$A,CSV!G:G,""),
_xlpm.MacVal,_xlfn.XLOOKUP($A648,Output_Mac!$A:$A,Output_Mac!H:H,""),
_xlpm.MyAuditVal,_xlfn.XLOOKUP($A648,My_Audit!$A:$A,My_Audit!F:F,""),
_xlfn.IFS(_xlpm.MyAuditVal&lt;&gt;"",_xlpm.MyAuditVal,_xlpm.MacVal&lt;&gt;"",_xlpm.MacVal,_xlpm.CSVVal&lt;&gt;"",_xlpm.CSVVal
)),"")</f>
        <v/>
      </c>
      <c r="H648" s="45" t="str">
        <f>_xlfn.XLOOKUP(A648,Output_Mac!A:A,Output_Mac!I:I,"")</f>
        <v/>
      </c>
      <c r="I648" s="45" t="str" cm="1">
        <f t="array" ref="I648">IFERROR(_xlfn.LET(
_xlpm.CSVVal,_xlfn.XLOOKUP($A648,CSV!$A:$A,CSV!H:H,""),
_xlpm.MacVal,_xlfn.XLOOKUP($A648,Output_Mac!$A:$A,Output_Mac!J:J,""),
_xlpm.MyAuditVal,_xlfn.XLOOKUP($A648,My_Audit!$A:$A,My_Audit!H:H,""),
_xlfn.IFS(_xlpm.MyAuditVal&lt;&gt;"",UPPER(_xlpm.MyAuditVal),_xlpm.MacVal&lt;&gt;"",_xlpm.MacVal,_xlpm.CSVVal&lt;&gt;"",_xlpm.CSVVal
)),"")</f>
        <v/>
      </c>
      <c r="J648" s="45" t="str" cm="1">
        <f t="array" ref="J648">IFERROR(_xlfn.LET(
_xlpm.CSVVal,_xlfn.XLOOKUP($A648,CSV!$A:$A,CSV!J:J,""),
_xlpm.MacVal,_xlfn.XLOOKUP($A648,Output_Mac!$A:$A,Output_Mac!K:K,""),
_xlpm.MyAuditVal,_xlfn.XLOOKUP($A648,My_Audit!$A:$A,My_Audit!I:I,""),
_xlfn.IFS(_xlpm.MyAuditVal&lt;&gt;"",UPPER(_xlpm.MyAuditVal),_xlpm.MacVal&lt;&gt;"",_xlpm.MacVal,_xlpm.CSVVal&lt;&gt;"",_xlpm.CSVVal
)),"")</f>
        <v/>
      </c>
      <c r="K648" s="45" t="str" cm="1">
        <f t="array" ref="K648">IFERROR(_xlfn.LET(
_xlpm.CSVVal,_xlfn.XLOOKUP($A648,CSV!$A:$A,CSV!N:N,""),
_xlpm.MacVal,_xlfn.XLOOKUP($A648,Output_Mac!$A:$A,Output_Mac!L:L,""),
_xlpm.MyAuditVal,_xlfn.XLOOKUP($A648,My_Audit!$A:$A,My_Audit!J:J,""),
_xlfn.IFS(_xlpm.MyAuditVal&lt;&gt;"",UPPER(_xlpm.MyAuditVal),_xlpm.MacVal&lt;&gt;"",_xlpm.MacVal,_xlpm.CSVVal&lt;&gt;"",_xlpm.CSVVal
)),"")</f>
        <v/>
      </c>
      <c r="L648" s="45" t="str" cm="1">
        <f t="array" ref="L648">IFERROR(_xlfn.LET(
_xlpm.CSVVal,_xlfn.XLOOKUP($A648,CSV!$A:$A,CSV!P:P,""),
_xlpm.MacVal,_xlfn.XLOOKUP($A648,Output_Mac!$A:$A,Output_Mac!M:M,""),
_xlpm.MyAuditVal,_xlfn.XLOOKUP($A648,My_Audit!$A:$A,My_Audit!K:K,""),
_xlfn.IFS(_xlpm.MyAuditVal&lt;&gt;"",UPPER(_xlpm.MyAuditVal),_xlpm.MacVal&lt;&gt;"",_xlpm.MacVal,_xlpm.CSVVal&lt;&gt;"",_xlpm.CSVVal
)),"")</f>
        <v/>
      </c>
      <c r="M648" s="45" t="str">
        <f>_xlfn.LET(
    _xlpm.CSVVal, _xlfn.XLOOKUP($A648, CSV!$A:$A, CSV!AE:AE, ""),
    _xlpm.MacVal, _xlfn.XLOOKUP($A648, Output_Mac!$A:$A, Output_Mac!S:S, ""),
    _xlpm.MyAuditVal, _xlfn.XLOOKUP($A648, My_Audit!$A:$A, My_Audit!N:N, ""),
    _xlfn.TEXTJOIN(", ", TRUE, _xlpm.MyAuditVal, _xlpm.MacVal, _xlpm.CSVVal)
)</f>
        <v/>
      </c>
      <c r="N648" s="45" t="str" cm="1">
        <f t="array" ref="N648">IFERROR(_xlfn.LET(
_xlpm.CSVVal,_xlfn.XLOOKUP($A648,CSV!$A:$A,CSV!AG:AG,""),
_xlpm.MacVal,_xlfn.XLOOKUP($A648,Output_Mac!$A:$A,Output_Mac!U:U,""),
_xlpm.MyAuditVal,_xlfn.XLOOKUP($A648,My_Audit!$A:$A,My_Audit!O:O,""),
_xlfn.IFS(_xlpm.MyAuditVal&lt;&gt;"",UPPER(_xlpm.MyAuditVal),_xlpm.MacVal&lt;&gt;"",_xlpm.MacVal,_xlpm.CSVVal&lt;&gt;"",_xlpm.CSVVal
)),"")</f>
        <v/>
      </c>
      <c r="O648" s="45"/>
      <c r="P648" s="45"/>
      <c r="Q648" s="46" t="str">
        <f>IF(LEFT(N648,4)="Pass","Nist SP 800-88",My_Audit!R648)&amp;""</f>
        <v/>
      </c>
      <c r="R648" s="45"/>
      <c r="S648" s="45"/>
      <c r="T648" s="46" t="str">
        <f>_xlfn.XLOOKUP(E648,Models!I:I,Models!J:J,"")</f>
        <v/>
      </c>
      <c r="U648" s="45"/>
      <c r="V648" s="45"/>
      <c r="W648" s="38"/>
    </row>
    <row r="649" spans="1:23">
      <c r="A649" s="45" t="str">
        <f>_xlfn.TEXTJOIN("",TRUE,Input!$B$2,ROW(My_Audit!A648))</f>
        <v>XX648</v>
      </c>
      <c r="B649" s="45" t="str">
        <f>_xlfn.TEXTJOIN("-",TRUE,"ITD",Input!$A$2,A649)</f>
        <v>ITD-SHRXXX-XX648</v>
      </c>
      <c r="C649" s="45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46" t="str" cm="1">
        <f t="array" ref="D649">IFERROR(_xlfn.LET(
_xlpm.CSVVal,_xlfn.XLOOKUP($A649,CSV!$A:$A,CSV!C:C,""),
_xlpm.MacVal,_xlfn.XLOOKUP($A649,Output_Mac!$A:$A,Output_Mac!D:D,""),
_xlpm.MyAuditVal,_xlfn.XLOOKUP($A649,My_Audit!$A:$A,My_Audit!C:C,""),
_xlfn.IFS(_xlpm.MyAuditVal&lt;&gt;"",UPPER(_xlpm.MyAuditVal),_xlpm.MacVal&lt;&gt;"",_xlpm.MacVal,_xlpm.CSVVal&lt;&gt;"",_xlpm.CSVVal
)),"")</f>
        <v/>
      </c>
      <c r="E649" s="46" t="str" cm="1">
        <f t="array" ref="E649">IFERROR(_xlfn.LET(
_xlpm.CSVVal,_xlfn.XLOOKUP($A649,CSV!$A:$A,CSV!E:E,""),
_xlpm.MacVal,_xlfn.XLOOKUP($A649,Output_Mac!$A:$A,Output_Mac!C:C,""),
_xlpm.MyAuditVal,_xlfn.XLOOKUP($A649,My_Audit!$A:$A,My_Audit!D:D,""),
_xlfn.IFS(_xlpm.MyAuditVal&lt;&gt;"",_xlpm.MyAuditVal,_xlpm.MacVal&lt;&gt;"",_xlpm.MacVal,_xlpm.CSVVal&lt;&gt;"",_xlpm.CSVVal
)),"")</f>
        <v/>
      </c>
      <c r="F649" s="45" t="str" cm="1">
        <f t="array" ref="F649">IFERROR(_xlfn.LET(
_xlpm.CSVVal,_xlfn.XLOOKUP($A649,CSV!$A:$A,CSV!F:F,""),
_xlpm.MacVal,_xlfn.XLOOKUP($A649,Output_Mac!$A:$A,Output_Mac!F:F,""),
_xlpm.MyAuditVal,_xlfn.XLOOKUP($A649,My_Audit!$A:$A,My_Audit!E:E,""),
_xlfn.IFS(_xlpm.MyAuditVal&lt;&gt;"",_xlpm.MyAuditVal,_xlpm.MacVal&lt;&gt;"",_xlpm.MacVal,_xlpm.CSVVal&lt;&gt;"",PROPER(_xlpm.CSVVal)
)),"")</f>
        <v/>
      </c>
      <c r="G649" s="45" t="str" cm="1">
        <f t="array" ref="G649">IFERROR(_xlfn.LET(
_xlpm.CSVVal,_xlfn.XLOOKUP($A649,CSV!$A:$A,CSV!G:G,""),
_xlpm.MacVal,_xlfn.XLOOKUP($A649,Output_Mac!$A:$A,Output_Mac!H:H,""),
_xlpm.MyAuditVal,_xlfn.XLOOKUP($A649,My_Audit!$A:$A,My_Audit!F:F,""),
_xlfn.IFS(_xlpm.MyAuditVal&lt;&gt;"",_xlpm.MyAuditVal,_xlpm.MacVal&lt;&gt;"",_xlpm.MacVal,_xlpm.CSVVal&lt;&gt;"",_xlpm.CSVVal
)),"")</f>
        <v/>
      </c>
      <c r="H649" s="45" t="str">
        <f>_xlfn.XLOOKUP(A649,Output_Mac!A:A,Output_Mac!I:I,"")</f>
        <v/>
      </c>
      <c r="I649" s="45" t="str" cm="1">
        <f t="array" ref="I649">IFERROR(_xlfn.LET(
_xlpm.CSVVal,_xlfn.XLOOKUP($A649,CSV!$A:$A,CSV!H:H,""),
_xlpm.MacVal,_xlfn.XLOOKUP($A649,Output_Mac!$A:$A,Output_Mac!J:J,""),
_xlpm.MyAuditVal,_xlfn.XLOOKUP($A649,My_Audit!$A:$A,My_Audit!H:H,""),
_xlfn.IFS(_xlpm.MyAuditVal&lt;&gt;"",UPPER(_xlpm.MyAuditVal),_xlpm.MacVal&lt;&gt;"",_xlpm.MacVal,_xlpm.CSVVal&lt;&gt;"",_xlpm.CSVVal
)),"")</f>
        <v/>
      </c>
      <c r="J649" s="45" t="str" cm="1">
        <f t="array" ref="J649">IFERROR(_xlfn.LET(
_xlpm.CSVVal,_xlfn.XLOOKUP($A649,CSV!$A:$A,CSV!J:J,""),
_xlpm.MacVal,_xlfn.XLOOKUP($A649,Output_Mac!$A:$A,Output_Mac!K:K,""),
_xlpm.MyAuditVal,_xlfn.XLOOKUP($A649,My_Audit!$A:$A,My_Audit!I:I,""),
_xlfn.IFS(_xlpm.MyAuditVal&lt;&gt;"",UPPER(_xlpm.MyAuditVal),_xlpm.MacVal&lt;&gt;"",_xlpm.MacVal,_xlpm.CSVVal&lt;&gt;"",_xlpm.CSVVal
)),"")</f>
        <v/>
      </c>
      <c r="K649" s="45" t="str" cm="1">
        <f t="array" ref="K649">IFERROR(_xlfn.LET(
_xlpm.CSVVal,_xlfn.XLOOKUP($A649,CSV!$A:$A,CSV!N:N,""),
_xlpm.MacVal,_xlfn.XLOOKUP($A649,Output_Mac!$A:$A,Output_Mac!L:L,""),
_xlpm.MyAuditVal,_xlfn.XLOOKUP($A649,My_Audit!$A:$A,My_Audit!J:J,""),
_xlfn.IFS(_xlpm.MyAuditVal&lt;&gt;"",UPPER(_xlpm.MyAuditVal),_xlpm.MacVal&lt;&gt;"",_xlpm.MacVal,_xlpm.CSVVal&lt;&gt;"",_xlpm.CSVVal
)),"")</f>
        <v/>
      </c>
      <c r="L649" s="45" t="str" cm="1">
        <f t="array" ref="L649">IFERROR(_xlfn.LET(
_xlpm.CSVVal,_xlfn.XLOOKUP($A649,CSV!$A:$A,CSV!P:P,""),
_xlpm.MacVal,_xlfn.XLOOKUP($A649,Output_Mac!$A:$A,Output_Mac!M:M,""),
_xlpm.MyAuditVal,_xlfn.XLOOKUP($A649,My_Audit!$A:$A,My_Audit!K:K,""),
_xlfn.IFS(_xlpm.MyAuditVal&lt;&gt;"",UPPER(_xlpm.MyAuditVal),_xlpm.MacVal&lt;&gt;"",_xlpm.MacVal,_xlpm.CSVVal&lt;&gt;"",_xlpm.CSVVal
)),"")</f>
        <v/>
      </c>
      <c r="M649" s="45" t="str">
        <f>_xlfn.LET(
    _xlpm.CSVVal, _xlfn.XLOOKUP($A649, CSV!$A:$A, CSV!AE:AE, ""),
    _xlpm.MacVal, _xlfn.XLOOKUP($A649, Output_Mac!$A:$A, Output_Mac!S:S, ""),
    _xlpm.MyAuditVal, _xlfn.XLOOKUP($A649, My_Audit!$A:$A, My_Audit!N:N, ""),
    _xlfn.TEXTJOIN(", ", TRUE, _xlpm.MyAuditVal, _xlpm.MacVal, _xlpm.CSVVal)
)</f>
        <v/>
      </c>
      <c r="N649" s="45" t="str" cm="1">
        <f t="array" ref="N649">IFERROR(_xlfn.LET(
_xlpm.CSVVal,_xlfn.XLOOKUP($A649,CSV!$A:$A,CSV!AG:AG,""),
_xlpm.MacVal,_xlfn.XLOOKUP($A649,Output_Mac!$A:$A,Output_Mac!U:U,""),
_xlpm.MyAuditVal,_xlfn.XLOOKUP($A649,My_Audit!$A:$A,My_Audit!O:O,""),
_xlfn.IFS(_xlpm.MyAuditVal&lt;&gt;"",UPPER(_xlpm.MyAuditVal),_xlpm.MacVal&lt;&gt;"",_xlpm.MacVal,_xlpm.CSVVal&lt;&gt;"",_xlpm.CSVVal
)),"")</f>
        <v/>
      </c>
      <c r="O649" s="45"/>
      <c r="P649" s="45"/>
      <c r="Q649" s="46" t="str">
        <f>IF(LEFT(N649,4)="Pass","Nist SP 800-88",My_Audit!R649)&amp;""</f>
        <v/>
      </c>
      <c r="R649" s="45"/>
      <c r="S649" s="45"/>
      <c r="T649" s="46" t="str">
        <f>_xlfn.XLOOKUP(E649,Models!I:I,Models!J:J,"")</f>
        <v/>
      </c>
      <c r="U649" s="45"/>
      <c r="V649" s="45"/>
      <c r="W649" s="38"/>
    </row>
    <row r="650" spans="1:23">
      <c r="A650" s="45" t="str">
        <f>_xlfn.TEXTJOIN("",TRUE,Input!$B$2,ROW(My_Audit!A649))</f>
        <v>XX649</v>
      </c>
      <c r="B650" s="45" t="str">
        <f>_xlfn.TEXTJOIN("-",TRUE,"ITD",Input!$A$2,A650)</f>
        <v>ITD-SHRXXX-XX649</v>
      </c>
      <c r="C650" s="45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46" t="str" cm="1">
        <f t="array" ref="D650">IFERROR(_xlfn.LET(
_xlpm.CSVVal,_xlfn.XLOOKUP($A650,CSV!$A:$A,CSV!C:C,""),
_xlpm.MacVal,_xlfn.XLOOKUP($A650,Output_Mac!$A:$A,Output_Mac!D:D,""),
_xlpm.MyAuditVal,_xlfn.XLOOKUP($A650,My_Audit!$A:$A,My_Audit!C:C,""),
_xlfn.IFS(_xlpm.MyAuditVal&lt;&gt;"",UPPER(_xlpm.MyAuditVal),_xlpm.MacVal&lt;&gt;"",_xlpm.MacVal,_xlpm.CSVVal&lt;&gt;"",_xlpm.CSVVal
)),"")</f>
        <v/>
      </c>
      <c r="E650" s="46" t="str" cm="1">
        <f t="array" ref="E650">IFERROR(_xlfn.LET(
_xlpm.CSVVal,_xlfn.XLOOKUP($A650,CSV!$A:$A,CSV!E:E,""),
_xlpm.MacVal,_xlfn.XLOOKUP($A650,Output_Mac!$A:$A,Output_Mac!C:C,""),
_xlpm.MyAuditVal,_xlfn.XLOOKUP($A650,My_Audit!$A:$A,My_Audit!D:D,""),
_xlfn.IFS(_xlpm.MyAuditVal&lt;&gt;"",_xlpm.MyAuditVal,_xlpm.MacVal&lt;&gt;"",_xlpm.MacVal,_xlpm.CSVVal&lt;&gt;"",_xlpm.CSVVal
)),"")</f>
        <v/>
      </c>
      <c r="F650" s="45" t="str" cm="1">
        <f t="array" ref="F650">IFERROR(_xlfn.LET(
_xlpm.CSVVal,_xlfn.XLOOKUP($A650,CSV!$A:$A,CSV!F:F,""),
_xlpm.MacVal,_xlfn.XLOOKUP($A650,Output_Mac!$A:$A,Output_Mac!F:F,""),
_xlpm.MyAuditVal,_xlfn.XLOOKUP($A650,My_Audit!$A:$A,My_Audit!E:E,""),
_xlfn.IFS(_xlpm.MyAuditVal&lt;&gt;"",_xlpm.MyAuditVal,_xlpm.MacVal&lt;&gt;"",_xlpm.MacVal,_xlpm.CSVVal&lt;&gt;"",PROPER(_xlpm.CSVVal)
)),"")</f>
        <v/>
      </c>
      <c r="G650" s="45" t="str" cm="1">
        <f t="array" ref="G650">IFERROR(_xlfn.LET(
_xlpm.CSVVal,_xlfn.XLOOKUP($A650,CSV!$A:$A,CSV!G:G,""),
_xlpm.MacVal,_xlfn.XLOOKUP($A650,Output_Mac!$A:$A,Output_Mac!H:H,""),
_xlpm.MyAuditVal,_xlfn.XLOOKUP($A650,My_Audit!$A:$A,My_Audit!F:F,""),
_xlfn.IFS(_xlpm.MyAuditVal&lt;&gt;"",_xlpm.MyAuditVal,_xlpm.MacVal&lt;&gt;"",_xlpm.MacVal,_xlpm.CSVVal&lt;&gt;"",_xlpm.CSVVal
)),"")</f>
        <v/>
      </c>
      <c r="H650" s="45" t="str">
        <f>_xlfn.XLOOKUP(A650,Output_Mac!A:A,Output_Mac!I:I,"")</f>
        <v/>
      </c>
      <c r="I650" s="45" t="str" cm="1">
        <f t="array" ref="I650">IFERROR(_xlfn.LET(
_xlpm.CSVVal,_xlfn.XLOOKUP($A650,CSV!$A:$A,CSV!H:H,""),
_xlpm.MacVal,_xlfn.XLOOKUP($A650,Output_Mac!$A:$A,Output_Mac!J:J,""),
_xlpm.MyAuditVal,_xlfn.XLOOKUP($A650,My_Audit!$A:$A,My_Audit!H:H,""),
_xlfn.IFS(_xlpm.MyAuditVal&lt;&gt;"",UPPER(_xlpm.MyAuditVal),_xlpm.MacVal&lt;&gt;"",_xlpm.MacVal,_xlpm.CSVVal&lt;&gt;"",_xlpm.CSVVal
)),"")</f>
        <v/>
      </c>
      <c r="J650" s="45" t="str" cm="1">
        <f t="array" ref="J650">IFERROR(_xlfn.LET(
_xlpm.CSVVal,_xlfn.XLOOKUP($A650,CSV!$A:$A,CSV!J:J,""),
_xlpm.MacVal,_xlfn.XLOOKUP($A650,Output_Mac!$A:$A,Output_Mac!K:K,""),
_xlpm.MyAuditVal,_xlfn.XLOOKUP($A650,My_Audit!$A:$A,My_Audit!I:I,""),
_xlfn.IFS(_xlpm.MyAuditVal&lt;&gt;"",UPPER(_xlpm.MyAuditVal),_xlpm.MacVal&lt;&gt;"",_xlpm.MacVal,_xlpm.CSVVal&lt;&gt;"",_xlpm.CSVVal
)),"")</f>
        <v/>
      </c>
      <c r="K650" s="45" t="str" cm="1">
        <f t="array" ref="K650">IFERROR(_xlfn.LET(
_xlpm.CSVVal,_xlfn.XLOOKUP($A650,CSV!$A:$A,CSV!N:N,""),
_xlpm.MacVal,_xlfn.XLOOKUP($A650,Output_Mac!$A:$A,Output_Mac!L:L,""),
_xlpm.MyAuditVal,_xlfn.XLOOKUP($A650,My_Audit!$A:$A,My_Audit!J:J,""),
_xlfn.IFS(_xlpm.MyAuditVal&lt;&gt;"",UPPER(_xlpm.MyAuditVal),_xlpm.MacVal&lt;&gt;"",_xlpm.MacVal,_xlpm.CSVVal&lt;&gt;"",_xlpm.CSVVal
)),"")</f>
        <v/>
      </c>
      <c r="L650" s="45" t="str" cm="1">
        <f t="array" ref="L650">IFERROR(_xlfn.LET(
_xlpm.CSVVal,_xlfn.XLOOKUP($A650,CSV!$A:$A,CSV!P:P,""),
_xlpm.MacVal,_xlfn.XLOOKUP($A650,Output_Mac!$A:$A,Output_Mac!M:M,""),
_xlpm.MyAuditVal,_xlfn.XLOOKUP($A650,My_Audit!$A:$A,My_Audit!K:K,""),
_xlfn.IFS(_xlpm.MyAuditVal&lt;&gt;"",UPPER(_xlpm.MyAuditVal),_xlpm.MacVal&lt;&gt;"",_xlpm.MacVal,_xlpm.CSVVal&lt;&gt;"",_xlpm.CSVVal
)),"")</f>
        <v/>
      </c>
      <c r="M650" s="45" t="str">
        <f>_xlfn.LET(
    _xlpm.CSVVal, _xlfn.XLOOKUP($A650, CSV!$A:$A, CSV!AE:AE, ""),
    _xlpm.MacVal, _xlfn.XLOOKUP($A650, Output_Mac!$A:$A, Output_Mac!S:S, ""),
    _xlpm.MyAuditVal, _xlfn.XLOOKUP($A650, My_Audit!$A:$A, My_Audit!N:N, ""),
    _xlfn.TEXTJOIN(", ", TRUE, _xlpm.MyAuditVal, _xlpm.MacVal, _xlpm.CSVVal)
)</f>
        <v/>
      </c>
      <c r="N650" s="45" t="str" cm="1">
        <f t="array" ref="N650">IFERROR(_xlfn.LET(
_xlpm.CSVVal,_xlfn.XLOOKUP($A650,CSV!$A:$A,CSV!AG:AG,""),
_xlpm.MacVal,_xlfn.XLOOKUP($A650,Output_Mac!$A:$A,Output_Mac!U:U,""),
_xlpm.MyAuditVal,_xlfn.XLOOKUP($A650,My_Audit!$A:$A,My_Audit!O:O,""),
_xlfn.IFS(_xlpm.MyAuditVal&lt;&gt;"",UPPER(_xlpm.MyAuditVal),_xlpm.MacVal&lt;&gt;"",_xlpm.MacVal,_xlpm.CSVVal&lt;&gt;"",_xlpm.CSVVal
)),"")</f>
        <v/>
      </c>
      <c r="O650" s="45"/>
      <c r="P650" s="45"/>
      <c r="Q650" s="46" t="str">
        <f>IF(LEFT(N650,4)="Pass","Nist SP 800-88",My_Audit!R650)&amp;""</f>
        <v/>
      </c>
      <c r="R650" s="45"/>
      <c r="S650" s="45"/>
      <c r="T650" s="46" t="str">
        <f>_xlfn.XLOOKUP(E650,Models!I:I,Models!J:J,"")</f>
        <v/>
      </c>
      <c r="U650" s="45"/>
      <c r="V650" s="45"/>
      <c r="W650" s="38"/>
    </row>
    <row r="651" spans="1:23">
      <c r="A651" s="45" t="str">
        <f>_xlfn.TEXTJOIN("",TRUE,Input!$B$2,ROW(My_Audit!A650))</f>
        <v>XX650</v>
      </c>
      <c r="B651" s="45" t="str">
        <f>_xlfn.TEXTJOIN("-",TRUE,"ITD",Input!$A$2,A651)</f>
        <v>ITD-SHRXXX-XX650</v>
      </c>
      <c r="C651" s="45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46" t="str" cm="1">
        <f t="array" ref="D651">IFERROR(_xlfn.LET(
_xlpm.CSVVal,_xlfn.XLOOKUP($A651,CSV!$A:$A,CSV!C:C,""),
_xlpm.MacVal,_xlfn.XLOOKUP($A651,Output_Mac!$A:$A,Output_Mac!D:D,""),
_xlpm.MyAuditVal,_xlfn.XLOOKUP($A651,My_Audit!$A:$A,My_Audit!C:C,""),
_xlfn.IFS(_xlpm.MyAuditVal&lt;&gt;"",UPPER(_xlpm.MyAuditVal),_xlpm.MacVal&lt;&gt;"",_xlpm.MacVal,_xlpm.CSVVal&lt;&gt;"",_xlpm.CSVVal
)),"")</f>
        <v/>
      </c>
      <c r="E651" s="46" t="str" cm="1">
        <f t="array" ref="E651">IFERROR(_xlfn.LET(
_xlpm.CSVVal,_xlfn.XLOOKUP($A651,CSV!$A:$A,CSV!E:E,""),
_xlpm.MacVal,_xlfn.XLOOKUP($A651,Output_Mac!$A:$A,Output_Mac!C:C,""),
_xlpm.MyAuditVal,_xlfn.XLOOKUP($A651,My_Audit!$A:$A,My_Audit!D:D,""),
_xlfn.IFS(_xlpm.MyAuditVal&lt;&gt;"",_xlpm.MyAuditVal,_xlpm.MacVal&lt;&gt;"",_xlpm.MacVal,_xlpm.CSVVal&lt;&gt;"",_xlpm.CSVVal
)),"")</f>
        <v/>
      </c>
      <c r="F651" s="45" t="str" cm="1">
        <f t="array" ref="F651">IFERROR(_xlfn.LET(
_xlpm.CSVVal,_xlfn.XLOOKUP($A651,CSV!$A:$A,CSV!F:F,""),
_xlpm.MacVal,_xlfn.XLOOKUP($A651,Output_Mac!$A:$A,Output_Mac!F:F,""),
_xlpm.MyAuditVal,_xlfn.XLOOKUP($A651,My_Audit!$A:$A,My_Audit!E:E,""),
_xlfn.IFS(_xlpm.MyAuditVal&lt;&gt;"",_xlpm.MyAuditVal,_xlpm.MacVal&lt;&gt;"",_xlpm.MacVal,_xlpm.CSVVal&lt;&gt;"",PROPER(_xlpm.CSVVal)
)),"")</f>
        <v/>
      </c>
      <c r="G651" s="45" t="str" cm="1">
        <f t="array" ref="G651">IFERROR(_xlfn.LET(
_xlpm.CSVVal,_xlfn.XLOOKUP($A651,CSV!$A:$A,CSV!G:G,""),
_xlpm.MacVal,_xlfn.XLOOKUP($A651,Output_Mac!$A:$A,Output_Mac!H:H,""),
_xlpm.MyAuditVal,_xlfn.XLOOKUP($A651,My_Audit!$A:$A,My_Audit!F:F,""),
_xlfn.IFS(_xlpm.MyAuditVal&lt;&gt;"",_xlpm.MyAuditVal,_xlpm.MacVal&lt;&gt;"",_xlpm.MacVal,_xlpm.CSVVal&lt;&gt;"",_xlpm.CSVVal
)),"")</f>
        <v/>
      </c>
      <c r="H651" s="45" t="str">
        <f>_xlfn.XLOOKUP(A651,Output_Mac!A:A,Output_Mac!I:I,"")</f>
        <v/>
      </c>
      <c r="I651" s="45" t="str" cm="1">
        <f t="array" ref="I651">IFERROR(_xlfn.LET(
_xlpm.CSVVal,_xlfn.XLOOKUP($A651,CSV!$A:$A,CSV!H:H,""),
_xlpm.MacVal,_xlfn.XLOOKUP($A651,Output_Mac!$A:$A,Output_Mac!J:J,""),
_xlpm.MyAuditVal,_xlfn.XLOOKUP($A651,My_Audit!$A:$A,My_Audit!H:H,""),
_xlfn.IFS(_xlpm.MyAuditVal&lt;&gt;"",UPPER(_xlpm.MyAuditVal),_xlpm.MacVal&lt;&gt;"",_xlpm.MacVal,_xlpm.CSVVal&lt;&gt;"",_xlpm.CSVVal
)),"")</f>
        <v/>
      </c>
      <c r="J651" s="45" t="str" cm="1">
        <f t="array" ref="J651">IFERROR(_xlfn.LET(
_xlpm.CSVVal,_xlfn.XLOOKUP($A651,CSV!$A:$A,CSV!J:J,""),
_xlpm.MacVal,_xlfn.XLOOKUP($A651,Output_Mac!$A:$A,Output_Mac!K:K,""),
_xlpm.MyAuditVal,_xlfn.XLOOKUP($A651,My_Audit!$A:$A,My_Audit!I:I,""),
_xlfn.IFS(_xlpm.MyAuditVal&lt;&gt;"",UPPER(_xlpm.MyAuditVal),_xlpm.MacVal&lt;&gt;"",_xlpm.MacVal,_xlpm.CSVVal&lt;&gt;"",_xlpm.CSVVal
)),"")</f>
        <v/>
      </c>
      <c r="K651" s="45" t="str" cm="1">
        <f t="array" ref="K651">IFERROR(_xlfn.LET(
_xlpm.CSVVal,_xlfn.XLOOKUP($A651,CSV!$A:$A,CSV!N:N,""),
_xlpm.MacVal,_xlfn.XLOOKUP($A651,Output_Mac!$A:$A,Output_Mac!L:L,""),
_xlpm.MyAuditVal,_xlfn.XLOOKUP($A651,My_Audit!$A:$A,My_Audit!J:J,""),
_xlfn.IFS(_xlpm.MyAuditVal&lt;&gt;"",UPPER(_xlpm.MyAuditVal),_xlpm.MacVal&lt;&gt;"",_xlpm.MacVal,_xlpm.CSVVal&lt;&gt;"",_xlpm.CSVVal
)),"")</f>
        <v/>
      </c>
      <c r="L651" s="45" t="str" cm="1">
        <f t="array" ref="L651">IFERROR(_xlfn.LET(
_xlpm.CSVVal,_xlfn.XLOOKUP($A651,CSV!$A:$A,CSV!P:P,""),
_xlpm.MacVal,_xlfn.XLOOKUP($A651,Output_Mac!$A:$A,Output_Mac!M:M,""),
_xlpm.MyAuditVal,_xlfn.XLOOKUP($A651,My_Audit!$A:$A,My_Audit!K:K,""),
_xlfn.IFS(_xlpm.MyAuditVal&lt;&gt;"",UPPER(_xlpm.MyAuditVal),_xlpm.MacVal&lt;&gt;"",_xlpm.MacVal,_xlpm.CSVVal&lt;&gt;"",_xlpm.CSVVal
)),"")</f>
        <v/>
      </c>
      <c r="M651" s="45" t="str">
        <f>_xlfn.LET(
    _xlpm.CSVVal, _xlfn.XLOOKUP($A651, CSV!$A:$A, CSV!AE:AE, ""),
    _xlpm.MacVal, _xlfn.XLOOKUP($A651, Output_Mac!$A:$A, Output_Mac!S:S, ""),
    _xlpm.MyAuditVal, _xlfn.XLOOKUP($A651, My_Audit!$A:$A, My_Audit!N:N, ""),
    _xlfn.TEXTJOIN(", ", TRUE, _xlpm.MyAuditVal, _xlpm.MacVal, _xlpm.CSVVal)
)</f>
        <v/>
      </c>
      <c r="N651" s="45" t="str" cm="1">
        <f t="array" ref="N651">IFERROR(_xlfn.LET(
_xlpm.CSVVal,_xlfn.XLOOKUP($A651,CSV!$A:$A,CSV!AG:AG,""),
_xlpm.MacVal,_xlfn.XLOOKUP($A651,Output_Mac!$A:$A,Output_Mac!U:U,""),
_xlpm.MyAuditVal,_xlfn.XLOOKUP($A651,My_Audit!$A:$A,My_Audit!O:O,""),
_xlfn.IFS(_xlpm.MyAuditVal&lt;&gt;"",UPPER(_xlpm.MyAuditVal),_xlpm.MacVal&lt;&gt;"",_xlpm.MacVal,_xlpm.CSVVal&lt;&gt;"",_xlpm.CSVVal
)),"")</f>
        <v/>
      </c>
      <c r="O651" s="45"/>
      <c r="P651" s="45"/>
      <c r="Q651" s="46" t="str">
        <f>IF(LEFT(N651,4)="Pass","Nist SP 800-88",My_Audit!R651)&amp;""</f>
        <v/>
      </c>
      <c r="R651" s="45"/>
      <c r="S651" s="45"/>
      <c r="T651" s="46" t="str">
        <f>_xlfn.XLOOKUP(E651,Models!I:I,Models!J:J,"")</f>
        <v/>
      </c>
      <c r="U651" s="45"/>
      <c r="V651" s="45"/>
      <c r="W651" s="38"/>
    </row>
    <row r="652" spans="1:23">
      <c r="A652" s="45" t="str">
        <f>_xlfn.TEXTJOIN("",TRUE,Input!$B$2,ROW(My_Audit!A651))</f>
        <v>XX651</v>
      </c>
      <c r="B652" s="45" t="str">
        <f>_xlfn.TEXTJOIN("-",TRUE,"ITD",Input!$A$2,A652)</f>
        <v>ITD-SHRXXX-XX651</v>
      </c>
      <c r="C652" s="45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46" t="str" cm="1">
        <f t="array" ref="D652">IFERROR(_xlfn.LET(
_xlpm.CSVVal,_xlfn.XLOOKUP($A652,CSV!$A:$A,CSV!C:C,""),
_xlpm.MacVal,_xlfn.XLOOKUP($A652,Output_Mac!$A:$A,Output_Mac!D:D,""),
_xlpm.MyAuditVal,_xlfn.XLOOKUP($A652,My_Audit!$A:$A,My_Audit!C:C,""),
_xlfn.IFS(_xlpm.MyAuditVal&lt;&gt;"",UPPER(_xlpm.MyAuditVal),_xlpm.MacVal&lt;&gt;"",_xlpm.MacVal,_xlpm.CSVVal&lt;&gt;"",_xlpm.CSVVal
)),"")</f>
        <v/>
      </c>
      <c r="E652" s="46" t="str" cm="1">
        <f t="array" ref="E652">IFERROR(_xlfn.LET(
_xlpm.CSVVal,_xlfn.XLOOKUP($A652,CSV!$A:$A,CSV!E:E,""),
_xlpm.MacVal,_xlfn.XLOOKUP($A652,Output_Mac!$A:$A,Output_Mac!C:C,""),
_xlpm.MyAuditVal,_xlfn.XLOOKUP($A652,My_Audit!$A:$A,My_Audit!D:D,""),
_xlfn.IFS(_xlpm.MyAuditVal&lt;&gt;"",_xlpm.MyAuditVal,_xlpm.MacVal&lt;&gt;"",_xlpm.MacVal,_xlpm.CSVVal&lt;&gt;"",_xlpm.CSVVal
)),"")</f>
        <v/>
      </c>
      <c r="F652" s="45" t="str" cm="1">
        <f t="array" ref="F652">IFERROR(_xlfn.LET(
_xlpm.CSVVal,_xlfn.XLOOKUP($A652,CSV!$A:$A,CSV!F:F,""),
_xlpm.MacVal,_xlfn.XLOOKUP($A652,Output_Mac!$A:$A,Output_Mac!F:F,""),
_xlpm.MyAuditVal,_xlfn.XLOOKUP($A652,My_Audit!$A:$A,My_Audit!E:E,""),
_xlfn.IFS(_xlpm.MyAuditVal&lt;&gt;"",_xlpm.MyAuditVal,_xlpm.MacVal&lt;&gt;"",_xlpm.MacVal,_xlpm.CSVVal&lt;&gt;"",PROPER(_xlpm.CSVVal)
)),"")</f>
        <v/>
      </c>
      <c r="G652" s="45" t="str" cm="1">
        <f t="array" ref="G652">IFERROR(_xlfn.LET(
_xlpm.CSVVal,_xlfn.XLOOKUP($A652,CSV!$A:$A,CSV!G:G,""),
_xlpm.MacVal,_xlfn.XLOOKUP($A652,Output_Mac!$A:$A,Output_Mac!H:H,""),
_xlpm.MyAuditVal,_xlfn.XLOOKUP($A652,My_Audit!$A:$A,My_Audit!F:F,""),
_xlfn.IFS(_xlpm.MyAuditVal&lt;&gt;"",_xlpm.MyAuditVal,_xlpm.MacVal&lt;&gt;"",_xlpm.MacVal,_xlpm.CSVVal&lt;&gt;"",_xlpm.CSVVal
)),"")</f>
        <v/>
      </c>
      <c r="H652" s="45" t="str">
        <f>_xlfn.XLOOKUP(A652,Output_Mac!A:A,Output_Mac!I:I,"")</f>
        <v/>
      </c>
      <c r="I652" s="45" t="str" cm="1">
        <f t="array" ref="I652">IFERROR(_xlfn.LET(
_xlpm.CSVVal,_xlfn.XLOOKUP($A652,CSV!$A:$A,CSV!H:H,""),
_xlpm.MacVal,_xlfn.XLOOKUP($A652,Output_Mac!$A:$A,Output_Mac!J:J,""),
_xlpm.MyAuditVal,_xlfn.XLOOKUP($A652,My_Audit!$A:$A,My_Audit!H:H,""),
_xlfn.IFS(_xlpm.MyAuditVal&lt;&gt;"",UPPER(_xlpm.MyAuditVal),_xlpm.MacVal&lt;&gt;"",_xlpm.MacVal,_xlpm.CSVVal&lt;&gt;"",_xlpm.CSVVal
)),"")</f>
        <v/>
      </c>
      <c r="J652" s="45" t="str" cm="1">
        <f t="array" ref="J652">IFERROR(_xlfn.LET(
_xlpm.CSVVal,_xlfn.XLOOKUP($A652,CSV!$A:$A,CSV!J:J,""),
_xlpm.MacVal,_xlfn.XLOOKUP($A652,Output_Mac!$A:$A,Output_Mac!K:K,""),
_xlpm.MyAuditVal,_xlfn.XLOOKUP($A652,My_Audit!$A:$A,My_Audit!I:I,""),
_xlfn.IFS(_xlpm.MyAuditVal&lt;&gt;"",UPPER(_xlpm.MyAuditVal),_xlpm.MacVal&lt;&gt;"",_xlpm.MacVal,_xlpm.CSVVal&lt;&gt;"",_xlpm.CSVVal
)),"")</f>
        <v/>
      </c>
      <c r="K652" s="45" t="str" cm="1">
        <f t="array" ref="K652">IFERROR(_xlfn.LET(
_xlpm.CSVVal,_xlfn.XLOOKUP($A652,CSV!$A:$A,CSV!N:N,""),
_xlpm.MacVal,_xlfn.XLOOKUP($A652,Output_Mac!$A:$A,Output_Mac!L:L,""),
_xlpm.MyAuditVal,_xlfn.XLOOKUP($A652,My_Audit!$A:$A,My_Audit!J:J,""),
_xlfn.IFS(_xlpm.MyAuditVal&lt;&gt;"",UPPER(_xlpm.MyAuditVal),_xlpm.MacVal&lt;&gt;"",_xlpm.MacVal,_xlpm.CSVVal&lt;&gt;"",_xlpm.CSVVal
)),"")</f>
        <v/>
      </c>
      <c r="L652" s="45" t="str" cm="1">
        <f t="array" ref="L652">IFERROR(_xlfn.LET(
_xlpm.CSVVal,_xlfn.XLOOKUP($A652,CSV!$A:$A,CSV!P:P,""),
_xlpm.MacVal,_xlfn.XLOOKUP($A652,Output_Mac!$A:$A,Output_Mac!M:M,""),
_xlpm.MyAuditVal,_xlfn.XLOOKUP($A652,My_Audit!$A:$A,My_Audit!K:K,""),
_xlfn.IFS(_xlpm.MyAuditVal&lt;&gt;"",UPPER(_xlpm.MyAuditVal),_xlpm.MacVal&lt;&gt;"",_xlpm.MacVal,_xlpm.CSVVal&lt;&gt;"",_xlpm.CSVVal
)),"")</f>
        <v/>
      </c>
      <c r="M652" s="45" t="str">
        <f>_xlfn.LET(
    _xlpm.CSVVal, _xlfn.XLOOKUP($A652, CSV!$A:$A, CSV!AE:AE, ""),
    _xlpm.MacVal, _xlfn.XLOOKUP($A652, Output_Mac!$A:$A, Output_Mac!S:S, ""),
    _xlpm.MyAuditVal, _xlfn.XLOOKUP($A652, My_Audit!$A:$A, My_Audit!N:N, ""),
    _xlfn.TEXTJOIN(", ", TRUE, _xlpm.MyAuditVal, _xlpm.MacVal, _xlpm.CSVVal)
)</f>
        <v/>
      </c>
      <c r="N652" s="45" t="str" cm="1">
        <f t="array" ref="N652">IFERROR(_xlfn.LET(
_xlpm.CSVVal,_xlfn.XLOOKUP($A652,CSV!$A:$A,CSV!AG:AG,""),
_xlpm.MacVal,_xlfn.XLOOKUP($A652,Output_Mac!$A:$A,Output_Mac!U:U,""),
_xlpm.MyAuditVal,_xlfn.XLOOKUP($A652,My_Audit!$A:$A,My_Audit!O:O,""),
_xlfn.IFS(_xlpm.MyAuditVal&lt;&gt;"",UPPER(_xlpm.MyAuditVal),_xlpm.MacVal&lt;&gt;"",_xlpm.MacVal,_xlpm.CSVVal&lt;&gt;"",_xlpm.CSVVal
)),"")</f>
        <v/>
      </c>
      <c r="O652" s="45"/>
      <c r="P652" s="45"/>
      <c r="Q652" s="46" t="str">
        <f>IF(LEFT(N652,4)="Pass","Nist SP 800-88",My_Audit!R652)&amp;""</f>
        <v/>
      </c>
      <c r="R652" s="45"/>
      <c r="S652" s="45"/>
      <c r="T652" s="46" t="str">
        <f>_xlfn.XLOOKUP(E652,Models!I:I,Models!J:J,"")</f>
        <v/>
      </c>
      <c r="U652" s="45"/>
      <c r="V652" s="45"/>
      <c r="W652" s="38"/>
    </row>
    <row r="653" spans="1:23">
      <c r="A653" s="45" t="str">
        <f>_xlfn.TEXTJOIN("",TRUE,Input!$B$2,ROW(My_Audit!A652))</f>
        <v>XX652</v>
      </c>
      <c r="B653" s="45" t="str">
        <f>_xlfn.TEXTJOIN("-",TRUE,"ITD",Input!$A$2,A653)</f>
        <v>ITD-SHRXXX-XX652</v>
      </c>
      <c r="C653" s="45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46" t="str" cm="1">
        <f t="array" ref="D653">IFERROR(_xlfn.LET(
_xlpm.CSVVal,_xlfn.XLOOKUP($A653,CSV!$A:$A,CSV!C:C,""),
_xlpm.MacVal,_xlfn.XLOOKUP($A653,Output_Mac!$A:$A,Output_Mac!D:D,""),
_xlpm.MyAuditVal,_xlfn.XLOOKUP($A653,My_Audit!$A:$A,My_Audit!C:C,""),
_xlfn.IFS(_xlpm.MyAuditVal&lt;&gt;"",UPPER(_xlpm.MyAuditVal),_xlpm.MacVal&lt;&gt;"",_xlpm.MacVal,_xlpm.CSVVal&lt;&gt;"",_xlpm.CSVVal
)),"")</f>
        <v/>
      </c>
      <c r="E653" s="46" t="str" cm="1">
        <f t="array" ref="E653">IFERROR(_xlfn.LET(
_xlpm.CSVVal,_xlfn.XLOOKUP($A653,CSV!$A:$A,CSV!E:E,""),
_xlpm.MacVal,_xlfn.XLOOKUP($A653,Output_Mac!$A:$A,Output_Mac!C:C,""),
_xlpm.MyAuditVal,_xlfn.XLOOKUP($A653,My_Audit!$A:$A,My_Audit!D:D,""),
_xlfn.IFS(_xlpm.MyAuditVal&lt;&gt;"",_xlpm.MyAuditVal,_xlpm.MacVal&lt;&gt;"",_xlpm.MacVal,_xlpm.CSVVal&lt;&gt;"",_xlpm.CSVVal
)),"")</f>
        <v/>
      </c>
      <c r="F653" s="45" t="str" cm="1">
        <f t="array" ref="F653">IFERROR(_xlfn.LET(
_xlpm.CSVVal,_xlfn.XLOOKUP($A653,CSV!$A:$A,CSV!F:F,""),
_xlpm.MacVal,_xlfn.XLOOKUP($A653,Output_Mac!$A:$A,Output_Mac!F:F,""),
_xlpm.MyAuditVal,_xlfn.XLOOKUP($A653,My_Audit!$A:$A,My_Audit!E:E,""),
_xlfn.IFS(_xlpm.MyAuditVal&lt;&gt;"",_xlpm.MyAuditVal,_xlpm.MacVal&lt;&gt;"",_xlpm.MacVal,_xlpm.CSVVal&lt;&gt;"",PROPER(_xlpm.CSVVal)
)),"")</f>
        <v/>
      </c>
      <c r="G653" s="45" t="str" cm="1">
        <f t="array" ref="G653">IFERROR(_xlfn.LET(
_xlpm.CSVVal,_xlfn.XLOOKUP($A653,CSV!$A:$A,CSV!G:G,""),
_xlpm.MacVal,_xlfn.XLOOKUP($A653,Output_Mac!$A:$A,Output_Mac!H:H,""),
_xlpm.MyAuditVal,_xlfn.XLOOKUP($A653,My_Audit!$A:$A,My_Audit!F:F,""),
_xlfn.IFS(_xlpm.MyAuditVal&lt;&gt;"",_xlpm.MyAuditVal,_xlpm.MacVal&lt;&gt;"",_xlpm.MacVal,_xlpm.CSVVal&lt;&gt;"",_xlpm.CSVVal
)),"")</f>
        <v/>
      </c>
      <c r="H653" s="45" t="str">
        <f>_xlfn.XLOOKUP(A653,Output_Mac!A:A,Output_Mac!I:I,"")</f>
        <v/>
      </c>
      <c r="I653" s="45" t="str" cm="1">
        <f t="array" ref="I653">IFERROR(_xlfn.LET(
_xlpm.CSVVal,_xlfn.XLOOKUP($A653,CSV!$A:$A,CSV!H:H,""),
_xlpm.MacVal,_xlfn.XLOOKUP($A653,Output_Mac!$A:$A,Output_Mac!J:J,""),
_xlpm.MyAuditVal,_xlfn.XLOOKUP($A653,My_Audit!$A:$A,My_Audit!H:H,""),
_xlfn.IFS(_xlpm.MyAuditVal&lt;&gt;"",UPPER(_xlpm.MyAuditVal),_xlpm.MacVal&lt;&gt;"",_xlpm.MacVal,_xlpm.CSVVal&lt;&gt;"",_xlpm.CSVVal
)),"")</f>
        <v/>
      </c>
      <c r="J653" s="45" t="str" cm="1">
        <f t="array" ref="J653">IFERROR(_xlfn.LET(
_xlpm.CSVVal,_xlfn.XLOOKUP($A653,CSV!$A:$A,CSV!J:J,""),
_xlpm.MacVal,_xlfn.XLOOKUP($A653,Output_Mac!$A:$A,Output_Mac!K:K,""),
_xlpm.MyAuditVal,_xlfn.XLOOKUP($A653,My_Audit!$A:$A,My_Audit!I:I,""),
_xlfn.IFS(_xlpm.MyAuditVal&lt;&gt;"",UPPER(_xlpm.MyAuditVal),_xlpm.MacVal&lt;&gt;"",_xlpm.MacVal,_xlpm.CSVVal&lt;&gt;"",_xlpm.CSVVal
)),"")</f>
        <v/>
      </c>
      <c r="K653" s="45" t="str" cm="1">
        <f t="array" ref="K653">IFERROR(_xlfn.LET(
_xlpm.CSVVal,_xlfn.XLOOKUP($A653,CSV!$A:$A,CSV!N:N,""),
_xlpm.MacVal,_xlfn.XLOOKUP($A653,Output_Mac!$A:$A,Output_Mac!L:L,""),
_xlpm.MyAuditVal,_xlfn.XLOOKUP($A653,My_Audit!$A:$A,My_Audit!J:J,""),
_xlfn.IFS(_xlpm.MyAuditVal&lt;&gt;"",UPPER(_xlpm.MyAuditVal),_xlpm.MacVal&lt;&gt;"",_xlpm.MacVal,_xlpm.CSVVal&lt;&gt;"",_xlpm.CSVVal
)),"")</f>
        <v/>
      </c>
      <c r="L653" s="45" t="str" cm="1">
        <f t="array" ref="L653">IFERROR(_xlfn.LET(
_xlpm.CSVVal,_xlfn.XLOOKUP($A653,CSV!$A:$A,CSV!P:P,""),
_xlpm.MacVal,_xlfn.XLOOKUP($A653,Output_Mac!$A:$A,Output_Mac!M:M,""),
_xlpm.MyAuditVal,_xlfn.XLOOKUP($A653,My_Audit!$A:$A,My_Audit!K:K,""),
_xlfn.IFS(_xlpm.MyAuditVal&lt;&gt;"",UPPER(_xlpm.MyAuditVal),_xlpm.MacVal&lt;&gt;"",_xlpm.MacVal,_xlpm.CSVVal&lt;&gt;"",_xlpm.CSVVal
)),"")</f>
        <v/>
      </c>
      <c r="M653" s="45" t="str">
        <f>_xlfn.LET(
    _xlpm.CSVVal, _xlfn.XLOOKUP($A653, CSV!$A:$A, CSV!AE:AE, ""),
    _xlpm.MacVal, _xlfn.XLOOKUP($A653, Output_Mac!$A:$A, Output_Mac!S:S, ""),
    _xlpm.MyAuditVal, _xlfn.XLOOKUP($A653, My_Audit!$A:$A, My_Audit!N:N, ""),
    _xlfn.TEXTJOIN(", ", TRUE, _xlpm.MyAuditVal, _xlpm.MacVal, _xlpm.CSVVal)
)</f>
        <v/>
      </c>
      <c r="N653" s="45" t="str" cm="1">
        <f t="array" ref="N653">IFERROR(_xlfn.LET(
_xlpm.CSVVal,_xlfn.XLOOKUP($A653,CSV!$A:$A,CSV!AG:AG,""),
_xlpm.MacVal,_xlfn.XLOOKUP($A653,Output_Mac!$A:$A,Output_Mac!U:U,""),
_xlpm.MyAuditVal,_xlfn.XLOOKUP($A653,My_Audit!$A:$A,My_Audit!O:O,""),
_xlfn.IFS(_xlpm.MyAuditVal&lt;&gt;"",UPPER(_xlpm.MyAuditVal),_xlpm.MacVal&lt;&gt;"",_xlpm.MacVal,_xlpm.CSVVal&lt;&gt;"",_xlpm.CSVVal
)),"")</f>
        <v/>
      </c>
      <c r="O653" s="45"/>
      <c r="P653" s="45"/>
      <c r="Q653" s="46" t="str">
        <f>IF(LEFT(N653,4)="Pass","Nist SP 800-88",My_Audit!R653)&amp;""</f>
        <v/>
      </c>
      <c r="R653" s="45"/>
      <c r="S653" s="45"/>
      <c r="T653" s="46" t="str">
        <f>_xlfn.XLOOKUP(E653,Models!I:I,Models!J:J,"")</f>
        <v/>
      </c>
      <c r="U653" s="45"/>
      <c r="V653" s="45"/>
      <c r="W653" s="38"/>
    </row>
    <row r="654" spans="1:23">
      <c r="A654" s="45" t="str">
        <f>_xlfn.TEXTJOIN("",TRUE,Input!$B$2,ROW(My_Audit!A653))</f>
        <v>XX653</v>
      </c>
      <c r="B654" s="45" t="str">
        <f>_xlfn.TEXTJOIN("-",TRUE,"ITD",Input!$A$2,A654)</f>
        <v>ITD-SHRXXX-XX653</v>
      </c>
      <c r="C654" s="45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46" t="str" cm="1">
        <f t="array" ref="D654">IFERROR(_xlfn.LET(
_xlpm.CSVVal,_xlfn.XLOOKUP($A654,CSV!$A:$A,CSV!C:C,""),
_xlpm.MacVal,_xlfn.XLOOKUP($A654,Output_Mac!$A:$A,Output_Mac!D:D,""),
_xlpm.MyAuditVal,_xlfn.XLOOKUP($A654,My_Audit!$A:$A,My_Audit!C:C,""),
_xlfn.IFS(_xlpm.MyAuditVal&lt;&gt;"",UPPER(_xlpm.MyAuditVal),_xlpm.MacVal&lt;&gt;"",_xlpm.MacVal,_xlpm.CSVVal&lt;&gt;"",_xlpm.CSVVal
)),"")</f>
        <v/>
      </c>
      <c r="E654" s="46" t="str" cm="1">
        <f t="array" ref="E654">IFERROR(_xlfn.LET(
_xlpm.CSVVal,_xlfn.XLOOKUP($A654,CSV!$A:$A,CSV!E:E,""),
_xlpm.MacVal,_xlfn.XLOOKUP($A654,Output_Mac!$A:$A,Output_Mac!C:C,""),
_xlpm.MyAuditVal,_xlfn.XLOOKUP($A654,My_Audit!$A:$A,My_Audit!D:D,""),
_xlfn.IFS(_xlpm.MyAuditVal&lt;&gt;"",_xlpm.MyAuditVal,_xlpm.MacVal&lt;&gt;"",_xlpm.MacVal,_xlpm.CSVVal&lt;&gt;"",_xlpm.CSVVal
)),"")</f>
        <v/>
      </c>
      <c r="F654" s="45" t="str" cm="1">
        <f t="array" ref="F654">IFERROR(_xlfn.LET(
_xlpm.CSVVal,_xlfn.XLOOKUP($A654,CSV!$A:$A,CSV!F:F,""),
_xlpm.MacVal,_xlfn.XLOOKUP($A654,Output_Mac!$A:$A,Output_Mac!F:F,""),
_xlpm.MyAuditVal,_xlfn.XLOOKUP($A654,My_Audit!$A:$A,My_Audit!E:E,""),
_xlfn.IFS(_xlpm.MyAuditVal&lt;&gt;"",_xlpm.MyAuditVal,_xlpm.MacVal&lt;&gt;"",_xlpm.MacVal,_xlpm.CSVVal&lt;&gt;"",PROPER(_xlpm.CSVVal)
)),"")</f>
        <v/>
      </c>
      <c r="G654" s="45" t="str" cm="1">
        <f t="array" ref="G654">IFERROR(_xlfn.LET(
_xlpm.CSVVal,_xlfn.XLOOKUP($A654,CSV!$A:$A,CSV!G:G,""),
_xlpm.MacVal,_xlfn.XLOOKUP($A654,Output_Mac!$A:$A,Output_Mac!H:H,""),
_xlpm.MyAuditVal,_xlfn.XLOOKUP($A654,My_Audit!$A:$A,My_Audit!F:F,""),
_xlfn.IFS(_xlpm.MyAuditVal&lt;&gt;"",_xlpm.MyAuditVal,_xlpm.MacVal&lt;&gt;"",_xlpm.MacVal,_xlpm.CSVVal&lt;&gt;"",_xlpm.CSVVal
)),"")</f>
        <v/>
      </c>
      <c r="H654" s="45" t="str">
        <f>_xlfn.XLOOKUP(A654,Output_Mac!A:A,Output_Mac!I:I,"")</f>
        <v/>
      </c>
      <c r="I654" s="45" t="str" cm="1">
        <f t="array" ref="I654">IFERROR(_xlfn.LET(
_xlpm.CSVVal,_xlfn.XLOOKUP($A654,CSV!$A:$A,CSV!H:H,""),
_xlpm.MacVal,_xlfn.XLOOKUP($A654,Output_Mac!$A:$A,Output_Mac!J:J,""),
_xlpm.MyAuditVal,_xlfn.XLOOKUP($A654,My_Audit!$A:$A,My_Audit!H:H,""),
_xlfn.IFS(_xlpm.MyAuditVal&lt;&gt;"",UPPER(_xlpm.MyAuditVal),_xlpm.MacVal&lt;&gt;"",_xlpm.MacVal,_xlpm.CSVVal&lt;&gt;"",_xlpm.CSVVal
)),"")</f>
        <v/>
      </c>
      <c r="J654" s="45" t="str" cm="1">
        <f t="array" ref="J654">IFERROR(_xlfn.LET(
_xlpm.CSVVal,_xlfn.XLOOKUP($A654,CSV!$A:$A,CSV!J:J,""),
_xlpm.MacVal,_xlfn.XLOOKUP($A654,Output_Mac!$A:$A,Output_Mac!K:K,""),
_xlpm.MyAuditVal,_xlfn.XLOOKUP($A654,My_Audit!$A:$A,My_Audit!I:I,""),
_xlfn.IFS(_xlpm.MyAuditVal&lt;&gt;"",UPPER(_xlpm.MyAuditVal),_xlpm.MacVal&lt;&gt;"",_xlpm.MacVal,_xlpm.CSVVal&lt;&gt;"",_xlpm.CSVVal
)),"")</f>
        <v/>
      </c>
      <c r="K654" s="45" t="str" cm="1">
        <f t="array" ref="K654">IFERROR(_xlfn.LET(
_xlpm.CSVVal,_xlfn.XLOOKUP($A654,CSV!$A:$A,CSV!N:N,""),
_xlpm.MacVal,_xlfn.XLOOKUP($A654,Output_Mac!$A:$A,Output_Mac!L:L,""),
_xlpm.MyAuditVal,_xlfn.XLOOKUP($A654,My_Audit!$A:$A,My_Audit!J:J,""),
_xlfn.IFS(_xlpm.MyAuditVal&lt;&gt;"",UPPER(_xlpm.MyAuditVal),_xlpm.MacVal&lt;&gt;"",_xlpm.MacVal,_xlpm.CSVVal&lt;&gt;"",_xlpm.CSVVal
)),"")</f>
        <v/>
      </c>
      <c r="L654" s="45" t="str" cm="1">
        <f t="array" ref="L654">IFERROR(_xlfn.LET(
_xlpm.CSVVal,_xlfn.XLOOKUP($A654,CSV!$A:$A,CSV!P:P,""),
_xlpm.MacVal,_xlfn.XLOOKUP($A654,Output_Mac!$A:$A,Output_Mac!M:M,""),
_xlpm.MyAuditVal,_xlfn.XLOOKUP($A654,My_Audit!$A:$A,My_Audit!K:K,""),
_xlfn.IFS(_xlpm.MyAuditVal&lt;&gt;"",UPPER(_xlpm.MyAuditVal),_xlpm.MacVal&lt;&gt;"",_xlpm.MacVal,_xlpm.CSVVal&lt;&gt;"",_xlpm.CSVVal
)),"")</f>
        <v/>
      </c>
      <c r="M654" s="45" t="str">
        <f>_xlfn.LET(
    _xlpm.CSVVal, _xlfn.XLOOKUP($A654, CSV!$A:$A, CSV!AE:AE, ""),
    _xlpm.MacVal, _xlfn.XLOOKUP($A654, Output_Mac!$A:$A, Output_Mac!S:S, ""),
    _xlpm.MyAuditVal, _xlfn.XLOOKUP($A654, My_Audit!$A:$A, My_Audit!N:N, ""),
    _xlfn.TEXTJOIN(", ", TRUE, _xlpm.MyAuditVal, _xlpm.MacVal, _xlpm.CSVVal)
)</f>
        <v/>
      </c>
      <c r="N654" s="45" t="str" cm="1">
        <f t="array" ref="N654">IFERROR(_xlfn.LET(
_xlpm.CSVVal,_xlfn.XLOOKUP($A654,CSV!$A:$A,CSV!AG:AG,""),
_xlpm.MacVal,_xlfn.XLOOKUP($A654,Output_Mac!$A:$A,Output_Mac!U:U,""),
_xlpm.MyAuditVal,_xlfn.XLOOKUP($A654,My_Audit!$A:$A,My_Audit!O:O,""),
_xlfn.IFS(_xlpm.MyAuditVal&lt;&gt;"",UPPER(_xlpm.MyAuditVal),_xlpm.MacVal&lt;&gt;"",_xlpm.MacVal,_xlpm.CSVVal&lt;&gt;"",_xlpm.CSVVal
)),"")</f>
        <v/>
      </c>
      <c r="O654" s="45"/>
      <c r="P654" s="45"/>
      <c r="Q654" s="46" t="str">
        <f>IF(LEFT(N654,4)="Pass","Nist SP 800-88",My_Audit!R654)&amp;""</f>
        <v/>
      </c>
      <c r="R654" s="45"/>
      <c r="S654" s="45"/>
      <c r="T654" s="46" t="str">
        <f>_xlfn.XLOOKUP(E654,Models!I:I,Models!J:J,"")</f>
        <v/>
      </c>
      <c r="U654" s="45"/>
      <c r="V654" s="45"/>
      <c r="W654" s="38"/>
    </row>
    <row r="655" spans="1:23">
      <c r="A655" s="45" t="str">
        <f>_xlfn.TEXTJOIN("",TRUE,Input!$B$2,ROW(My_Audit!A654))</f>
        <v>XX654</v>
      </c>
      <c r="B655" s="45" t="str">
        <f>_xlfn.TEXTJOIN("-",TRUE,"ITD",Input!$A$2,A655)</f>
        <v>ITD-SHRXXX-XX654</v>
      </c>
      <c r="C655" s="45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46" t="str" cm="1">
        <f t="array" ref="D655">IFERROR(_xlfn.LET(
_xlpm.CSVVal,_xlfn.XLOOKUP($A655,CSV!$A:$A,CSV!C:C,""),
_xlpm.MacVal,_xlfn.XLOOKUP($A655,Output_Mac!$A:$A,Output_Mac!D:D,""),
_xlpm.MyAuditVal,_xlfn.XLOOKUP($A655,My_Audit!$A:$A,My_Audit!C:C,""),
_xlfn.IFS(_xlpm.MyAuditVal&lt;&gt;"",UPPER(_xlpm.MyAuditVal),_xlpm.MacVal&lt;&gt;"",_xlpm.MacVal,_xlpm.CSVVal&lt;&gt;"",_xlpm.CSVVal
)),"")</f>
        <v/>
      </c>
      <c r="E655" s="46" t="str" cm="1">
        <f t="array" ref="E655">IFERROR(_xlfn.LET(
_xlpm.CSVVal,_xlfn.XLOOKUP($A655,CSV!$A:$A,CSV!E:E,""),
_xlpm.MacVal,_xlfn.XLOOKUP($A655,Output_Mac!$A:$A,Output_Mac!C:C,""),
_xlpm.MyAuditVal,_xlfn.XLOOKUP($A655,My_Audit!$A:$A,My_Audit!D:D,""),
_xlfn.IFS(_xlpm.MyAuditVal&lt;&gt;"",_xlpm.MyAuditVal,_xlpm.MacVal&lt;&gt;"",_xlpm.MacVal,_xlpm.CSVVal&lt;&gt;"",_xlpm.CSVVal
)),"")</f>
        <v/>
      </c>
      <c r="F655" s="45" t="str" cm="1">
        <f t="array" ref="F655">IFERROR(_xlfn.LET(
_xlpm.CSVVal,_xlfn.XLOOKUP($A655,CSV!$A:$A,CSV!F:F,""),
_xlpm.MacVal,_xlfn.XLOOKUP($A655,Output_Mac!$A:$A,Output_Mac!F:F,""),
_xlpm.MyAuditVal,_xlfn.XLOOKUP($A655,My_Audit!$A:$A,My_Audit!E:E,""),
_xlfn.IFS(_xlpm.MyAuditVal&lt;&gt;"",_xlpm.MyAuditVal,_xlpm.MacVal&lt;&gt;"",_xlpm.MacVal,_xlpm.CSVVal&lt;&gt;"",PROPER(_xlpm.CSVVal)
)),"")</f>
        <v/>
      </c>
      <c r="G655" s="45" t="str" cm="1">
        <f t="array" ref="G655">IFERROR(_xlfn.LET(
_xlpm.CSVVal,_xlfn.XLOOKUP($A655,CSV!$A:$A,CSV!G:G,""),
_xlpm.MacVal,_xlfn.XLOOKUP($A655,Output_Mac!$A:$A,Output_Mac!H:H,""),
_xlpm.MyAuditVal,_xlfn.XLOOKUP($A655,My_Audit!$A:$A,My_Audit!F:F,""),
_xlfn.IFS(_xlpm.MyAuditVal&lt;&gt;"",_xlpm.MyAuditVal,_xlpm.MacVal&lt;&gt;"",_xlpm.MacVal,_xlpm.CSVVal&lt;&gt;"",_xlpm.CSVVal
)),"")</f>
        <v/>
      </c>
      <c r="H655" s="45" t="str">
        <f>_xlfn.XLOOKUP(A655,Output_Mac!A:A,Output_Mac!I:I,"")</f>
        <v/>
      </c>
      <c r="I655" s="45" t="str" cm="1">
        <f t="array" ref="I655">IFERROR(_xlfn.LET(
_xlpm.CSVVal,_xlfn.XLOOKUP($A655,CSV!$A:$A,CSV!H:H,""),
_xlpm.MacVal,_xlfn.XLOOKUP($A655,Output_Mac!$A:$A,Output_Mac!J:J,""),
_xlpm.MyAuditVal,_xlfn.XLOOKUP($A655,My_Audit!$A:$A,My_Audit!H:H,""),
_xlfn.IFS(_xlpm.MyAuditVal&lt;&gt;"",UPPER(_xlpm.MyAuditVal),_xlpm.MacVal&lt;&gt;"",_xlpm.MacVal,_xlpm.CSVVal&lt;&gt;"",_xlpm.CSVVal
)),"")</f>
        <v/>
      </c>
      <c r="J655" s="45" t="str" cm="1">
        <f t="array" ref="J655">IFERROR(_xlfn.LET(
_xlpm.CSVVal,_xlfn.XLOOKUP($A655,CSV!$A:$A,CSV!J:J,""),
_xlpm.MacVal,_xlfn.XLOOKUP($A655,Output_Mac!$A:$A,Output_Mac!K:K,""),
_xlpm.MyAuditVal,_xlfn.XLOOKUP($A655,My_Audit!$A:$A,My_Audit!I:I,""),
_xlfn.IFS(_xlpm.MyAuditVal&lt;&gt;"",UPPER(_xlpm.MyAuditVal),_xlpm.MacVal&lt;&gt;"",_xlpm.MacVal,_xlpm.CSVVal&lt;&gt;"",_xlpm.CSVVal
)),"")</f>
        <v/>
      </c>
      <c r="K655" s="45" t="str" cm="1">
        <f t="array" ref="K655">IFERROR(_xlfn.LET(
_xlpm.CSVVal,_xlfn.XLOOKUP($A655,CSV!$A:$A,CSV!N:N,""),
_xlpm.MacVal,_xlfn.XLOOKUP($A655,Output_Mac!$A:$A,Output_Mac!L:L,""),
_xlpm.MyAuditVal,_xlfn.XLOOKUP($A655,My_Audit!$A:$A,My_Audit!J:J,""),
_xlfn.IFS(_xlpm.MyAuditVal&lt;&gt;"",UPPER(_xlpm.MyAuditVal),_xlpm.MacVal&lt;&gt;"",_xlpm.MacVal,_xlpm.CSVVal&lt;&gt;"",_xlpm.CSVVal
)),"")</f>
        <v/>
      </c>
      <c r="L655" s="45" t="str" cm="1">
        <f t="array" ref="L655">IFERROR(_xlfn.LET(
_xlpm.CSVVal,_xlfn.XLOOKUP($A655,CSV!$A:$A,CSV!P:P,""),
_xlpm.MacVal,_xlfn.XLOOKUP($A655,Output_Mac!$A:$A,Output_Mac!M:M,""),
_xlpm.MyAuditVal,_xlfn.XLOOKUP($A655,My_Audit!$A:$A,My_Audit!K:K,""),
_xlfn.IFS(_xlpm.MyAuditVal&lt;&gt;"",UPPER(_xlpm.MyAuditVal),_xlpm.MacVal&lt;&gt;"",_xlpm.MacVal,_xlpm.CSVVal&lt;&gt;"",_xlpm.CSVVal
)),"")</f>
        <v/>
      </c>
      <c r="M655" s="45" t="str">
        <f>_xlfn.LET(
    _xlpm.CSVVal, _xlfn.XLOOKUP($A655, CSV!$A:$A, CSV!AE:AE, ""),
    _xlpm.MacVal, _xlfn.XLOOKUP($A655, Output_Mac!$A:$A, Output_Mac!S:S, ""),
    _xlpm.MyAuditVal, _xlfn.XLOOKUP($A655, My_Audit!$A:$A, My_Audit!N:N, ""),
    _xlfn.TEXTJOIN(", ", TRUE, _xlpm.MyAuditVal, _xlpm.MacVal, _xlpm.CSVVal)
)</f>
        <v/>
      </c>
      <c r="N655" s="45" t="str" cm="1">
        <f t="array" ref="N655">IFERROR(_xlfn.LET(
_xlpm.CSVVal,_xlfn.XLOOKUP($A655,CSV!$A:$A,CSV!AG:AG,""),
_xlpm.MacVal,_xlfn.XLOOKUP($A655,Output_Mac!$A:$A,Output_Mac!U:U,""),
_xlpm.MyAuditVal,_xlfn.XLOOKUP($A655,My_Audit!$A:$A,My_Audit!O:O,""),
_xlfn.IFS(_xlpm.MyAuditVal&lt;&gt;"",UPPER(_xlpm.MyAuditVal),_xlpm.MacVal&lt;&gt;"",_xlpm.MacVal,_xlpm.CSVVal&lt;&gt;"",_xlpm.CSVVal
)),"")</f>
        <v/>
      </c>
      <c r="O655" s="45"/>
      <c r="P655" s="45"/>
      <c r="Q655" s="46" t="str">
        <f>IF(LEFT(N655,4)="Pass","Nist SP 800-88",My_Audit!R655)&amp;""</f>
        <v/>
      </c>
      <c r="R655" s="45"/>
      <c r="S655" s="45"/>
      <c r="T655" s="46" t="str">
        <f>_xlfn.XLOOKUP(E655,Models!I:I,Models!J:J,"")</f>
        <v/>
      </c>
      <c r="U655" s="45"/>
      <c r="V655" s="45"/>
      <c r="W655" s="38"/>
    </row>
    <row r="656" spans="1:23">
      <c r="A656" s="45" t="str">
        <f>_xlfn.TEXTJOIN("",TRUE,Input!$B$2,ROW(My_Audit!A655))</f>
        <v>XX655</v>
      </c>
      <c r="B656" s="45" t="str">
        <f>_xlfn.TEXTJOIN("-",TRUE,"ITD",Input!$A$2,A656)</f>
        <v>ITD-SHRXXX-XX655</v>
      </c>
      <c r="C656" s="45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46" t="str" cm="1">
        <f t="array" ref="D656">IFERROR(_xlfn.LET(
_xlpm.CSVVal,_xlfn.XLOOKUP($A656,CSV!$A:$A,CSV!C:C,""),
_xlpm.MacVal,_xlfn.XLOOKUP($A656,Output_Mac!$A:$A,Output_Mac!D:D,""),
_xlpm.MyAuditVal,_xlfn.XLOOKUP($A656,My_Audit!$A:$A,My_Audit!C:C,""),
_xlfn.IFS(_xlpm.MyAuditVal&lt;&gt;"",UPPER(_xlpm.MyAuditVal),_xlpm.MacVal&lt;&gt;"",_xlpm.MacVal,_xlpm.CSVVal&lt;&gt;"",_xlpm.CSVVal
)),"")</f>
        <v/>
      </c>
      <c r="E656" s="46" t="str" cm="1">
        <f t="array" ref="E656">IFERROR(_xlfn.LET(
_xlpm.CSVVal,_xlfn.XLOOKUP($A656,CSV!$A:$A,CSV!E:E,""),
_xlpm.MacVal,_xlfn.XLOOKUP($A656,Output_Mac!$A:$A,Output_Mac!C:C,""),
_xlpm.MyAuditVal,_xlfn.XLOOKUP($A656,My_Audit!$A:$A,My_Audit!D:D,""),
_xlfn.IFS(_xlpm.MyAuditVal&lt;&gt;"",_xlpm.MyAuditVal,_xlpm.MacVal&lt;&gt;"",_xlpm.MacVal,_xlpm.CSVVal&lt;&gt;"",_xlpm.CSVVal
)),"")</f>
        <v/>
      </c>
      <c r="F656" s="45" t="str" cm="1">
        <f t="array" ref="F656">IFERROR(_xlfn.LET(
_xlpm.CSVVal,_xlfn.XLOOKUP($A656,CSV!$A:$A,CSV!F:F,""),
_xlpm.MacVal,_xlfn.XLOOKUP($A656,Output_Mac!$A:$A,Output_Mac!F:F,""),
_xlpm.MyAuditVal,_xlfn.XLOOKUP($A656,My_Audit!$A:$A,My_Audit!E:E,""),
_xlfn.IFS(_xlpm.MyAuditVal&lt;&gt;"",_xlpm.MyAuditVal,_xlpm.MacVal&lt;&gt;"",_xlpm.MacVal,_xlpm.CSVVal&lt;&gt;"",PROPER(_xlpm.CSVVal)
)),"")</f>
        <v/>
      </c>
      <c r="G656" s="45" t="str" cm="1">
        <f t="array" ref="G656">IFERROR(_xlfn.LET(
_xlpm.CSVVal,_xlfn.XLOOKUP($A656,CSV!$A:$A,CSV!G:G,""),
_xlpm.MacVal,_xlfn.XLOOKUP($A656,Output_Mac!$A:$A,Output_Mac!H:H,""),
_xlpm.MyAuditVal,_xlfn.XLOOKUP($A656,My_Audit!$A:$A,My_Audit!F:F,""),
_xlfn.IFS(_xlpm.MyAuditVal&lt;&gt;"",_xlpm.MyAuditVal,_xlpm.MacVal&lt;&gt;"",_xlpm.MacVal,_xlpm.CSVVal&lt;&gt;"",_xlpm.CSVVal
)),"")</f>
        <v/>
      </c>
      <c r="H656" s="45" t="str">
        <f>_xlfn.XLOOKUP(A656,Output_Mac!A:A,Output_Mac!I:I,"")</f>
        <v/>
      </c>
      <c r="I656" s="45" t="str" cm="1">
        <f t="array" ref="I656">IFERROR(_xlfn.LET(
_xlpm.CSVVal,_xlfn.XLOOKUP($A656,CSV!$A:$A,CSV!H:H,""),
_xlpm.MacVal,_xlfn.XLOOKUP($A656,Output_Mac!$A:$A,Output_Mac!J:J,""),
_xlpm.MyAuditVal,_xlfn.XLOOKUP($A656,My_Audit!$A:$A,My_Audit!H:H,""),
_xlfn.IFS(_xlpm.MyAuditVal&lt;&gt;"",UPPER(_xlpm.MyAuditVal),_xlpm.MacVal&lt;&gt;"",_xlpm.MacVal,_xlpm.CSVVal&lt;&gt;"",_xlpm.CSVVal
)),"")</f>
        <v/>
      </c>
      <c r="J656" s="45" t="str" cm="1">
        <f t="array" ref="J656">IFERROR(_xlfn.LET(
_xlpm.CSVVal,_xlfn.XLOOKUP($A656,CSV!$A:$A,CSV!J:J,""),
_xlpm.MacVal,_xlfn.XLOOKUP($A656,Output_Mac!$A:$A,Output_Mac!K:K,""),
_xlpm.MyAuditVal,_xlfn.XLOOKUP($A656,My_Audit!$A:$A,My_Audit!I:I,""),
_xlfn.IFS(_xlpm.MyAuditVal&lt;&gt;"",UPPER(_xlpm.MyAuditVal),_xlpm.MacVal&lt;&gt;"",_xlpm.MacVal,_xlpm.CSVVal&lt;&gt;"",_xlpm.CSVVal
)),"")</f>
        <v/>
      </c>
      <c r="K656" s="45" t="str" cm="1">
        <f t="array" ref="K656">IFERROR(_xlfn.LET(
_xlpm.CSVVal,_xlfn.XLOOKUP($A656,CSV!$A:$A,CSV!N:N,""),
_xlpm.MacVal,_xlfn.XLOOKUP($A656,Output_Mac!$A:$A,Output_Mac!L:L,""),
_xlpm.MyAuditVal,_xlfn.XLOOKUP($A656,My_Audit!$A:$A,My_Audit!J:J,""),
_xlfn.IFS(_xlpm.MyAuditVal&lt;&gt;"",UPPER(_xlpm.MyAuditVal),_xlpm.MacVal&lt;&gt;"",_xlpm.MacVal,_xlpm.CSVVal&lt;&gt;"",_xlpm.CSVVal
)),"")</f>
        <v/>
      </c>
      <c r="L656" s="45" t="str" cm="1">
        <f t="array" ref="L656">IFERROR(_xlfn.LET(
_xlpm.CSVVal,_xlfn.XLOOKUP($A656,CSV!$A:$A,CSV!P:P,""),
_xlpm.MacVal,_xlfn.XLOOKUP($A656,Output_Mac!$A:$A,Output_Mac!M:M,""),
_xlpm.MyAuditVal,_xlfn.XLOOKUP($A656,My_Audit!$A:$A,My_Audit!K:K,""),
_xlfn.IFS(_xlpm.MyAuditVal&lt;&gt;"",UPPER(_xlpm.MyAuditVal),_xlpm.MacVal&lt;&gt;"",_xlpm.MacVal,_xlpm.CSVVal&lt;&gt;"",_xlpm.CSVVal
)),"")</f>
        <v/>
      </c>
      <c r="M656" s="45" t="str">
        <f>_xlfn.LET(
    _xlpm.CSVVal, _xlfn.XLOOKUP($A656, CSV!$A:$A, CSV!AE:AE, ""),
    _xlpm.MacVal, _xlfn.XLOOKUP($A656, Output_Mac!$A:$A, Output_Mac!S:S, ""),
    _xlpm.MyAuditVal, _xlfn.XLOOKUP($A656, My_Audit!$A:$A, My_Audit!N:N, ""),
    _xlfn.TEXTJOIN(", ", TRUE, _xlpm.MyAuditVal, _xlpm.MacVal, _xlpm.CSVVal)
)</f>
        <v/>
      </c>
      <c r="N656" s="45" t="str" cm="1">
        <f t="array" ref="N656">IFERROR(_xlfn.LET(
_xlpm.CSVVal,_xlfn.XLOOKUP($A656,CSV!$A:$A,CSV!AG:AG,""),
_xlpm.MacVal,_xlfn.XLOOKUP($A656,Output_Mac!$A:$A,Output_Mac!U:U,""),
_xlpm.MyAuditVal,_xlfn.XLOOKUP($A656,My_Audit!$A:$A,My_Audit!O:O,""),
_xlfn.IFS(_xlpm.MyAuditVal&lt;&gt;"",UPPER(_xlpm.MyAuditVal),_xlpm.MacVal&lt;&gt;"",_xlpm.MacVal,_xlpm.CSVVal&lt;&gt;"",_xlpm.CSVVal
)),"")</f>
        <v/>
      </c>
      <c r="O656" s="45"/>
      <c r="P656" s="45"/>
      <c r="Q656" s="46" t="str">
        <f>IF(LEFT(N656,4)="Pass","Nist SP 800-88",My_Audit!R656)&amp;""</f>
        <v/>
      </c>
      <c r="R656" s="45"/>
      <c r="S656" s="45"/>
      <c r="T656" s="46" t="str">
        <f>_xlfn.XLOOKUP(E656,Models!I:I,Models!J:J,"")</f>
        <v/>
      </c>
      <c r="U656" s="45"/>
      <c r="V656" s="45"/>
      <c r="W656" s="38"/>
    </row>
    <row r="657" spans="1:23">
      <c r="A657" s="45" t="str">
        <f>_xlfn.TEXTJOIN("",TRUE,Input!$B$2,ROW(My_Audit!A656))</f>
        <v>XX656</v>
      </c>
      <c r="B657" s="45" t="str">
        <f>_xlfn.TEXTJOIN("-",TRUE,"ITD",Input!$A$2,A657)</f>
        <v>ITD-SHRXXX-XX656</v>
      </c>
      <c r="C657" s="45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46" t="str" cm="1">
        <f t="array" ref="D657">IFERROR(_xlfn.LET(
_xlpm.CSVVal,_xlfn.XLOOKUP($A657,CSV!$A:$A,CSV!C:C,""),
_xlpm.MacVal,_xlfn.XLOOKUP($A657,Output_Mac!$A:$A,Output_Mac!D:D,""),
_xlpm.MyAuditVal,_xlfn.XLOOKUP($A657,My_Audit!$A:$A,My_Audit!C:C,""),
_xlfn.IFS(_xlpm.MyAuditVal&lt;&gt;"",UPPER(_xlpm.MyAuditVal),_xlpm.MacVal&lt;&gt;"",_xlpm.MacVal,_xlpm.CSVVal&lt;&gt;"",_xlpm.CSVVal
)),"")</f>
        <v/>
      </c>
      <c r="E657" s="46" t="str" cm="1">
        <f t="array" ref="E657">IFERROR(_xlfn.LET(
_xlpm.CSVVal,_xlfn.XLOOKUP($A657,CSV!$A:$A,CSV!E:E,""),
_xlpm.MacVal,_xlfn.XLOOKUP($A657,Output_Mac!$A:$A,Output_Mac!C:C,""),
_xlpm.MyAuditVal,_xlfn.XLOOKUP($A657,My_Audit!$A:$A,My_Audit!D:D,""),
_xlfn.IFS(_xlpm.MyAuditVal&lt;&gt;"",_xlpm.MyAuditVal,_xlpm.MacVal&lt;&gt;"",_xlpm.MacVal,_xlpm.CSVVal&lt;&gt;"",_xlpm.CSVVal
)),"")</f>
        <v/>
      </c>
      <c r="F657" s="45" t="str" cm="1">
        <f t="array" ref="F657">IFERROR(_xlfn.LET(
_xlpm.CSVVal,_xlfn.XLOOKUP($A657,CSV!$A:$A,CSV!F:F,""),
_xlpm.MacVal,_xlfn.XLOOKUP($A657,Output_Mac!$A:$A,Output_Mac!F:F,""),
_xlpm.MyAuditVal,_xlfn.XLOOKUP($A657,My_Audit!$A:$A,My_Audit!E:E,""),
_xlfn.IFS(_xlpm.MyAuditVal&lt;&gt;"",_xlpm.MyAuditVal,_xlpm.MacVal&lt;&gt;"",_xlpm.MacVal,_xlpm.CSVVal&lt;&gt;"",PROPER(_xlpm.CSVVal)
)),"")</f>
        <v/>
      </c>
      <c r="G657" s="45" t="str" cm="1">
        <f t="array" ref="G657">IFERROR(_xlfn.LET(
_xlpm.CSVVal,_xlfn.XLOOKUP($A657,CSV!$A:$A,CSV!G:G,""),
_xlpm.MacVal,_xlfn.XLOOKUP($A657,Output_Mac!$A:$A,Output_Mac!H:H,""),
_xlpm.MyAuditVal,_xlfn.XLOOKUP($A657,My_Audit!$A:$A,My_Audit!F:F,""),
_xlfn.IFS(_xlpm.MyAuditVal&lt;&gt;"",_xlpm.MyAuditVal,_xlpm.MacVal&lt;&gt;"",_xlpm.MacVal,_xlpm.CSVVal&lt;&gt;"",_xlpm.CSVVal
)),"")</f>
        <v/>
      </c>
      <c r="H657" s="45" t="str">
        <f>_xlfn.XLOOKUP(A657,Output_Mac!A:A,Output_Mac!I:I,"")</f>
        <v/>
      </c>
      <c r="I657" s="45" t="str" cm="1">
        <f t="array" ref="I657">IFERROR(_xlfn.LET(
_xlpm.CSVVal,_xlfn.XLOOKUP($A657,CSV!$A:$A,CSV!H:H,""),
_xlpm.MacVal,_xlfn.XLOOKUP($A657,Output_Mac!$A:$A,Output_Mac!J:J,""),
_xlpm.MyAuditVal,_xlfn.XLOOKUP($A657,My_Audit!$A:$A,My_Audit!H:H,""),
_xlfn.IFS(_xlpm.MyAuditVal&lt;&gt;"",UPPER(_xlpm.MyAuditVal),_xlpm.MacVal&lt;&gt;"",_xlpm.MacVal,_xlpm.CSVVal&lt;&gt;"",_xlpm.CSVVal
)),"")</f>
        <v/>
      </c>
      <c r="J657" s="45" t="str" cm="1">
        <f t="array" ref="J657">IFERROR(_xlfn.LET(
_xlpm.CSVVal,_xlfn.XLOOKUP($A657,CSV!$A:$A,CSV!J:J,""),
_xlpm.MacVal,_xlfn.XLOOKUP($A657,Output_Mac!$A:$A,Output_Mac!K:K,""),
_xlpm.MyAuditVal,_xlfn.XLOOKUP($A657,My_Audit!$A:$A,My_Audit!I:I,""),
_xlfn.IFS(_xlpm.MyAuditVal&lt;&gt;"",UPPER(_xlpm.MyAuditVal),_xlpm.MacVal&lt;&gt;"",_xlpm.MacVal,_xlpm.CSVVal&lt;&gt;"",_xlpm.CSVVal
)),"")</f>
        <v/>
      </c>
      <c r="K657" s="45" t="str" cm="1">
        <f t="array" ref="K657">IFERROR(_xlfn.LET(
_xlpm.CSVVal,_xlfn.XLOOKUP($A657,CSV!$A:$A,CSV!N:N,""),
_xlpm.MacVal,_xlfn.XLOOKUP($A657,Output_Mac!$A:$A,Output_Mac!L:L,""),
_xlpm.MyAuditVal,_xlfn.XLOOKUP($A657,My_Audit!$A:$A,My_Audit!J:J,""),
_xlfn.IFS(_xlpm.MyAuditVal&lt;&gt;"",UPPER(_xlpm.MyAuditVal),_xlpm.MacVal&lt;&gt;"",_xlpm.MacVal,_xlpm.CSVVal&lt;&gt;"",_xlpm.CSVVal
)),"")</f>
        <v/>
      </c>
      <c r="L657" s="45" t="str" cm="1">
        <f t="array" ref="L657">IFERROR(_xlfn.LET(
_xlpm.CSVVal,_xlfn.XLOOKUP($A657,CSV!$A:$A,CSV!P:P,""),
_xlpm.MacVal,_xlfn.XLOOKUP($A657,Output_Mac!$A:$A,Output_Mac!M:M,""),
_xlpm.MyAuditVal,_xlfn.XLOOKUP($A657,My_Audit!$A:$A,My_Audit!K:K,""),
_xlfn.IFS(_xlpm.MyAuditVal&lt;&gt;"",UPPER(_xlpm.MyAuditVal),_xlpm.MacVal&lt;&gt;"",_xlpm.MacVal,_xlpm.CSVVal&lt;&gt;"",_xlpm.CSVVal
)),"")</f>
        <v/>
      </c>
      <c r="M657" s="45" t="str">
        <f>_xlfn.LET(
    _xlpm.CSVVal, _xlfn.XLOOKUP($A657, CSV!$A:$A, CSV!AE:AE, ""),
    _xlpm.MacVal, _xlfn.XLOOKUP($A657, Output_Mac!$A:$A, Output_Mac!S:S, ""),
    _xlpm.MyAuditVal, _xlfn.XLOOKUP($A657, My_Audit!$A:$A, My_Audit!N:N, ""),
    _xlfn.TEXTJOIN(", ", TRUE, _xlpm.MyAuditVal, _xlpm.MacVal, _xlpm.CSVVal)
)</f>
        <v/>
      </c>
      <c r="N657" s="45" t="str" cm="1">
        <f t="array" ref="N657">IFERROR(_xlfn.LET(
_xlpm.CSVVal,_xlfn.XLOOKUP($A657,CSV!$A:$A,CSV!AG:AG,""),
_xlpm.MacVal,_xlfn.XLOOKUP($A657,Output_Mac!$A:$A,Output_Mac!U:U,""),
_xlpm.MyAuditVal,_xlfn.XLOOKUP($A657,My_Audit!$A:$A,My_Audit!O:O,""),
_xlfn.IFS(_xlpm.MyAuditVal&lt;&gt;"",UPPER(_xlpm.MyAuditVal),_xlpm.MacVal&lt;&gt;"",_xlpm.MacVal,_xlpm.CSVVal&lt;&gt;"",_xlpm.CSVVal
)),"")</f>
        <v/>
      </c>
      <c r="O657" s="45"/>
      <c r="P657" s="45"/>
      <c r="Q657" s="46" t="str">
        <f>IF(LEFT(N657,4)="Pass","Nist SP 800-88",My_Audit!R657)&amp;""</f>
        <v/>
      </c>
      <c r="R657" s="45"/>
      <c r="S657" s="45"/>
      <c r="T657" s="46" t="str">
        <f>_xlfn.XLOOKUP(E657,Models!I:I,Models!J:J,"")</f>
        <v/>
      </c>
      <c r="U657" s="45"/>
      <c r="V657" s="45"/>
      <c r="W657" s="38"/>
    </row>
    <row r="658" spans="1:23">
      <c r="A658" s="45" t="str">
        <f>_xlfn.TEXTJOIN("",TRUE,Input!$B$2,ROW(My_Audit!A657))</f>
        <v>XX657</v>
      </c>
      <c r="B658" s="45" t="str">
        <f>_xlfn.TEXTJOIN("-",TRUE,"ITD",Input!$A$2,A658)</f>
        <v>ITD-SHRXXX-XX657</v>
      </c>
      <c r="C658" s="45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46" t="str" cm="1">
        <f t="array" ref="D658">IFERROR(_xlfn.LET(
_xlpm.CSVVal,_xlfn.XLOOKUP($A658,CSV!$A:$A,CSV!C:C,""),
_xlpm.MacVal,_xlfn.XLOOKUP($A658,Output_Mac!$A:$A,Output_Mac!D:D,""),
_xlpm.MyAuditVal,_xlfn.XLOOKUP($A658,My_Audit!$A:$A,My_Audit!C:C,""),
_xlfn.IFS(_xlpm.MyAuditVal&lt;&gt;"",UPPER(_xlpm.MyAuditVal),_xlpm.MacVal&lt;&gt;"",_xlpm.MacVal,_xlpm.CSVVal&lt;&gt;"",_xlpm.CSVVal
)),"")</f>
        <v/>
      </c>
      <c r="E658" s="46" t="str" cm="1">
        <f t="array" ref="E658">IFERROR(_xlfn.LET(
_xlpm.CSVVal,_xlfn.XLOOKUP($A658,CSV!$A:$A,CSV!E:E,""),
_xlpm.MacVal,_xlfn.XLOOKUP($A658,Output_Mac!$A:$A,Output_Mac!C:C,""),
_xlpm.MyAuditVal,_xlfn.XLOOKUP($A658,My_Audit!$A:$A,My_Audit!D:D,""),
_xlfn.IFS(_xlpm.MyAuditVal&lt;&gt;"",_xlpm.MyAuditVal,_xlpm.MacVal&lt;&gt;"",_xlpm.MacVal,_xlpm.CSVVal&lt;&gt;"",_xlpm.CSVVal
)),"")</f>
        <v/>
      </c>
      <c r="F658" s="45" t="str" cm="1">
        <f t="array" ref="F658">IFERROR(_xlfn.LET(
_xlpm.CSVVal,_xlfn.XLOOKUP($A658,CSV!$A:$A,CSV!F:F,""),
_xlpm.MacVal,_xlfn.XLOOKUP($A658,Output_Mac!$A:$A,Output_Mac!F:F,""),
_xlpm.MyAuditVal,_xlfn.XLOOKUP($A658,My_Audit!$A:$A,My_Audit!E:E,""),
_xlfn.IFS(_xlpm.MyAuditVal&lt;&gt;"",_xlpm.MyAuditVal,_xlpm.MacVal&lt;&gt;"",_xlpm.MacVal,_xlpm.CSVVal&lt;&gt;"",PROPER(_xlpm.CSVVal)
)),"")</f>
        <v/>
      </c>
      <c r="G658" s="45" t="str" cm="1">
        <f t="array" ref="G658">IFERROR(_xlfn.LET(
_xlpm.CSVVal,_xlfn.XLOOKUP($A658,CSV!$A:$A,CSV!G:G,""),
_xlpm.MacVal,_xlfn.XLOOKUP($A658,Output_Mac!$A:$A,Output_Mac!H:H,""),
_xlpm.MyAuditVal,_xlfn.XLOOKUP($A658,My_Audit!$A:$A,My_Audit!F:F,""),
_xlfn.IFS(_xlpm.MyAuditVal&lt;&gt;"",_xlpm.MyAuditVal,_xlpm.MacVal&lt;&gt;"",_xlpm.MacVal,_xlpm.CSVVal&lt;&gt;"",_xlpm.CSVVal
)),"")</f>
        <v/>
      </c>
      <c r="H658" s="45" t="str">
        <f>_xlfn.XLOOKUP(A658,Output_Mac!A:A,Output_Mac!I:I,"")</f>
        <v/>
      </c>
      <c r="I658" s="45" t="str" cm="1">
        <f t="array" ref="I658">IFERROR(_xlfn.LET(
_xlpm.CSVVal,_xlfn.XLOOKUP($A658,CSV!$A:$A,CSV!H:H,""),
_xlpm.MacVal,_xlfn.XLOOKUP($A658,Output_Mac!$A:$A,Output_Mac!J:J,""),
_xlpm.MyAuditVal,_xlfn.XLOOKUP($A658,My_Audit!$A:$A,My_Audit!H:H,""),
_xlfn.IFS(_xlpm.MyAuditVal&lt;&gt;"",UPPER(_xlpm.MyAuditVal),_xlpm.MacVal&lt;&gt;"",_xlpm.MacVal,_xlpm.CSVVal&lt;&gt;"",_xlpm.CSVVal
)),"")</f>
        <v/>
      </c>
      <c r="J658" s="45" t="str" cm="1">
        <f t="array" ref="J658">IFERROR(_xlfn.LET(
_xlpm.CSVVal,_xlfn.XLOOKUP($A658,CSV!$A:$A,CSV!J:J,""),
_xlpm.MacVal,_xlfn.XLOOKUP($A658,Output_Mac!$A:$A,Output_Mac!K:K,""),
_xlpm.MyAuditVal,_xlfn.XLOOKUP($A658,My_Audit!$A:$A,My_Audit!I:I,""),
_xlfn.IFS(_xlpm.MyAuditVal&lt;&gt;"",UPPER(_xlpm.MyAuditVal),_xlpm.MacVal&lt;&gt;"",_xlpm.MacVal,_xlpm.CSVVal&lt;&gt;"",_xlpm.CSVVal
)),"")</f>
        <v/>
      </c>
      <c r="K658" s="45" t="str" cm="1">
        <f t="array" ref="K658">IFERROR(_xlfn.LET(
_xlpm.CSVVal,_xlfn.XLOOKUP($A658,CSV!$A:$A,CSV!N:N,""),
_xlpm.MacVal,_xlfn.XLOOKUP($A658,Output_Mac!$A:$A,Output_Mac!L:L,""),
_xlpm.MyAuditVal,_xlfn.XLOOKUP($A658,My_Audit!$A:$A,My_Audit!J:J,""),
_xlfn.IFS(_xlpm.MyAuditVal&lt;&gt;"",UPPER(_xlpm.MyAuditVal),_xlpm.MacVal&lt;&gt;"",_xlpm.MacVal,_xlpm.CSVVal&lt;&gt;"",_xlpm.CSVVal
)),"")</f>
        <v/>
      </c>
      <c r="L658" s="45" t="str" cm="1">
        <f t="array" ref="L658">IFERROR(_xlfn.LET(
_xlpm.CSVVal,_xlfn.XLOOKUP($A658,CSV!$A:$A,CSV!P:P,""),
_xlpm.MacVal,_xlfn.XLOOKUP($A658,Output_Mac!$A:$A,Output_Mac!M:M,""),
_xlpm.MyAuditVal,_xlfn.XLOOKUP($A658,My_Audit!$A:$A,My_Audit!K:K,""),
_xlfn.IFS(_xlpm.MyAuditVal&lt;&gt;"",UPPER(_xlpm.MyAuditVal),_xlpm.MacVal&lt;&gt;"",_xlpm.MacVal,_xlpm.CSVVal&lt;&gt;"",_xlpm.CSVVal
)),"")</f>
        <v/>
      </c>
      <c r="M658" s="45" t="str">
        <f>_xlfn.LET(
    _xlpm.CSVVal, _xlfn.XLOOKUP($A658, CSV!$A:$A, CSV!AE:AE, ""),
    _xlpm.MacVal, _xlfn.XLOOKUP($A658, Output_Mac!$A:$A, Output_Mac!S:S, ""),
    _xlpm.MyAuditVal, _xlfn.XLOOKUP($A658, My_Audit!$A:$A, My_Audit!N:N, ""),
    _xlfn.TEXTJOIN(", ", TRUE, _xlpm.MyAuditVal, _xlpm.MacVal, _xlpm.CSVVal)
)</f>
        <v/>
      </c>
      <c r="N658" s="45" t="str" cm="1">
        <f t="array" ref="N658">IFERROR(_xlfn.LET(
_xlpm.CSVVal,_xlfn.XLOOKUP($A658,CSV!$A:$A,CSV!AG:AG,""),
_xlpm.MacVal,_xlfn.XLOOKUP($A658,Output_Mac!$A:$A,Output_Mac!U:U,""),
_xlpm.MyAuditVal,_xlfn.XLOOKUP($A658,My_Audit!$A:$A,My_Audit!O:O,""),
_xlfn.IFS(_xlpm.MyAuditVal&lt;&gt;"",UPPER(_xlpm.MyAuditVal),_xlpm.MacVal&lt;&gt;"",_xlpm.MacVal,_xlpm.CSVVal&lt;&gt;"",_xlpm.CSVVal
)),"")</f>
        <v/>
      </c>
      <c r="O658" s="45"/>
      <c r="P658" s="45"/>
      <c r="Q658" s="46" t="str">
        <f>IF(LEFT(N658,4)="Pass","Nist SP 800-88",My_Audit!R658)&amp;""</f>
        <v/>
      </c>
      <c r="R658" s="45"/>
      <c r="S658" s="45"/>
      <c r="T658" s="46" t="str">
        <f>_xlfn.XLOOKUP(E658,Models!I:I,Models!J:J,"")</f>
        <v/>
      </c>
      <c r="U658" s="45"/>
      <c r="V658" s="45"/>
      <c r="W658" s="38"/>
    </row>
    <row r="659" spans="1:23">
      <c r="A659" s="45" t="str">
        <f>_xlfn.TEXTJOIN("",TRUE,Input!$B$2,ROW(My_Audit!A658))</f>
        <v>XX658</v>
      </c>
      <c r="B659" s="45" t="str">
        <f>_xlfn.TEXTJOIN("-",TRUE,"ITD",Input!$A$2,A659)</f>
        <v>ITD-SHRXXX-XX658</v>
      </c>
      <c r="C659" s="45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46" t="str" cm="1">
        <f t="array" ref="D659">IFERROR(_xlfn.LET(
_xlpm.CSVVal,_xlfn.XLOOKUP($A659,CSV!$A:$A,CSV!C:C,""),
_xlpm.MacVal,_xlfn.XLOOKUP($A659,Output_Mac!$A:$A,Output_Mac!D:D,""),
_xlpm.MyAuditVal,_xlfn.XLOOKUP($A659,My_Audit!$A:$A,My_Audit!C:C,""),
_xlfn.IFS(_xlpm.MyAuditVal&lt;&gt;"",UPPER(_xlpm.MyAuditVal),_xlpm.MacVal&lt;&gt;"",_xlpm.MacVal,_xlpm.CSVVal&lt;&gt;"",_xlpm.CSVVal
)),"")</f>
        <v/>
      </c>
      <c r="E659" s="46" t="str" cm="1">
        <f t="array" ref="E659">IFERROR(_xlfn.LET(
_xlpm.CSVVal,_xlfn.XLOOKUP($A659,CSV!$A:$A,CSV!E:E,""),
_xlpm.MacVal,_xlfn.XLOOKUP($A659,Output_Mac!$A:$A,Output_Mac!C:C,""),
_xlpm.MyAuditVal,_xlfn.XLOOKUP($A659,My_Audit!$A:$A,My_Audit!D:D,""),
_xlfn.IFS(_xlpm.MyAuditVal&lt;&gt;"",_xlpm.MyAuditVal,_xlpm.MacVal&lt;&gt;"",_xlpm.MacVal,_xlpm.CSVVal&lt;&gt;"",_xlpm.CSVVal
)),"")</f>
        <v/>
      </c>
      <c r="F659" s="45" t="str" cm="1">
        <f t="array" ref="F659">IFERROR(_xlfn.LET(
_xlpm.CSVVal,_xlfn.XLOOKUP($A659,CSV!$A:$A,CSV!F:F,""),
_xlpm.MacVal,_xlfn.XLOOKUP($A659,Output_Mac!$A:$A,Output_Mac!F:F,""),
_xlpm.MyAuditVal,_xlfn.XLOOKUP($A659,My_Audit!$A:$A,My_Audit!E:E,""),
_xlfn.IFS(_xlpm.MyAuditVal&lt;&gt;"",_xlpm.MyAuditVal,_xlpm.MacVal&lt;&gt;"",_xlpm.MacVal,_xlpm.CSVVal&lt;&gt;"",PROPER(_xlpm.CSVVal)
)),"")</f>
        <v/>
      </c>
      <c r="G659" s="45" t="str" cm="1">
        <f t="array" ref="G659">IFERROR(_xlfn.LET(
_xlpm.CSVVal,_xlfn.XLOOKUP($A659,CSV!$A:$A,CSV!G:G,""),
_xlpm.MacVal,_xlfn.XLOOKUP($A659,Output_Mac!$A:$A,Output_Mac!H:H,""),
_xlpm.MyAuditVal,_xlfn.XLOOKUP($A659,My_Audit!$A:$A,My_Audit!F:F,""),
_xlfn.IFS(_xlpm.MyAuditVal&lt;&gt;"",_xlpm.MyAuditVal,_xlpm.MacVal&lt;&gt;"",_xlpm.MacVal,_xlpm.CSVVal&lt;&gt;"",_xlpm.CSVVal
)),"")</f>
        <v/>
      </c>
      <c r="H659" s="45" t="str">
        <f>_xlfn.XLOOKUP(A659,Output_Mac!A:A,Output_Mac!I:I,"")</f>
        <v/>
      </c>
      <c r="I659" s="45" t="str" cm="1">
        <f t="array" ref="I659">IFERROR(_xlfn.LET(
_xlpm.CSVVal,_xlfn.XLOOKUP($A659,CSV!$A:$A,CSV!H:H,""),
_xlpm.MacVal,_xlfn.XLOOKUP($A659,Output_Mac!$A:$A,Output_Mac!J:J,""),
_xlpm.MyAuditVal,_xlfn.XLOOKUP($A659,My_Audit!$A:$A,My_Audit!H:H,""),
_xlfn.IFS(_xlpm.MyAuditVal&lt;&gt;"",UPPER(_xlpm.MyAuditVal),_xlpm.MacVal&lt;&gt;"",_xlpm.MacVal,_xlpm.CSVVal&lt;&gt;"",_xlpm.CSVVal
)),"")</f>
        <v/>
      </c>
      <c r="J659" s="45" t="str" cm="1">
        <f t="array" ref="J659">IFERROR(_xlfn.LET(
_xlpm.CSVVal,_xlfn.XLOOKUP($A659,CSV!$A:$A,CSV!J:J,""),
_xlpm.MacVal,_xlfn.XLOOKUP($A659,Output_Mac!$A:$A,Output_Mac!K:K,""),
_xlpm.MyAuditVal,_xlfn.XLOOKUP($A659,My_Audit!$A:$A,My_Audit!I:I,""),
_xlfn.IFS(_xlpm.MyAuditVal&lt;&gt;"",UPPER(_xlpm.MyAuditVal),_xlpm.MacVal&lt;&gt;"",_xlpm.MacVal,_xlpm.CSVVal&lt;&gt;"",_xlpm.CSVVal
)),"")</f>
        <v/>
      </c>
      <c r="K659" s="45" t="str" cm="1">
        <f t="array" ref="K659">IFERROR(_xlfn.LET(
_xlpm.CSVVal,_xlfn.XLOOKUP($A659,CSV!$A:$A,CSV!N:N,""),
_xlpm.MacVal,_xlfn.XLOOKUP($A659,Output_Mac!$A:$A,Output_Mac!L:L,""),
_xlpm.MyAuditVal,_xlfn.XLOOKUP($A659,My_Audit!$A:$A,My_Audit!J:J,""),
_xlfn.IFS(_xlpm.MyAuditVal&lt;&gt;"",UPPER(_xlpm.MyAuditVal),_xlpm.MacVal&lt;&gt;"",_xlpm.MacVal,_xlpm.CSVVal&lt;&gt;"",_xlpm.CSVVal
)),"")</f>
        <v/>
      </c>
      <c r="L659" s="45" t="str" cm="1">
        <f t="array" ref="L659">IFERROR(_xlfn.LET(
_xlpm.CSVVal,_xlfn.XLOOKUP($A659,CSV!$A:$A,CSV!P:P,""),
_xlpm.MacVal,_xlfn.XLOOKUP($A659,Output_Mac!$A:$A,Output_Mac!M:M,""),
_xlpm.MyAuditVal,_xlfn.XLOOKUP($A659,My_Audit!$A:$A,My_Audit!K:K,""),
_xlfn.IFS(_xlpm.MyAuditVal&lt;&gt;"",UPPER(_xlpm.MyAuditVal),_xlpm.MacVal&lt;&gt;"",_xlpm.MacVal,_xlpm.CSVVal&lt;&gt;"",_xlpm.CSVVal
)),"")</f>
        <v/>
      </c>
      <c r="M659" s="45" t="str">
        <f>_xlfn.LET(
    _xlpm.CSVVal, _xlfn.XLOOKUP($A659, CSV!$A:$A, CSV!AE:AE, ""),
    _xlpm.MacVal, _xlfn.XLOOKUP($A659, Output_Mac!$A:$A, Output_Mac!S:S, ""),
    _xlpm.MyAuditVal, _xlfn.XLOOKUP($A659, My_Audit!$A:$A, My_Audit!N:N, ""),
    _xlfn.TEXTJOIN(", ", TRUE, _xlpm.MyAuditVal, _xlpm.MacVal, _xlpm.CSVVal)
)</f>
        <v/>
      </c>
      <c r="N659" s="45" t="str" cm="1">
        <f t="array" ref="N659">IFERROR(_xlfn.LET(
_xlpm.CSVVal,_xlfn.XLOOKUP($A659,CSV!$A:$A,CSV!AG:AG,""),
_xlpm.MacVal,_xlfn.XLOOKUP($A659,Output_Mac!$A:$A,Output_Mac!U:U,""),
_xlpm.MyAuditVal,_xlfn.XLOOKUP($A659,My_Audit!$A:$A,My_Audit!O:O,""),
_xlfn.IFS(_xlpm.MyAuditVal&lt;&gt;"",UPPER(_xlpm.MyAuditVal),_xlpm.MacVal&lt;&gt;"",_xlpm.MacVal,_xlpm.CSVVal&lt;&gt;"",_xlpm.CSVVal
)),"")</f>
        <v/>
      </c>
      <c r="O659" s="45"/>
      <c r="P659" s="45"/>
      <c r="Q659" s="46" t="str">
        <f>IF(LEFT(N659,4)="Pass","Nist SP 800-88",My_Audit!R659)&amp;""</f>
        <v/>
      </c>
      <c r="R659" s="45"/>
      <c r="S659" s="45"/>
      <c r="T659" s="46" t="str">
        <f>_xlfn.XLOOKUP(E659,Models!I:I,Models!J:J,"")</f>
        <v/>
      </c>
      <c r="U659" s="45"/>
      <c r="V659" s="45"/>
      <c r="W659" s="38"/>
    </row>
    <row r="660" spans="1:23">
      <c r="A660" s="45" t="str">
        <f>_xlfn.TEXTJOIN("",TRUE,Input!$B$2,ROW(My_Audit!A659))</f>
        <v>XX659</v>
      </c>
      <c r="B660" s="45" t="str">
        <f>_xlfn.TEXTJOIN("-",TRUE,"ITD",Input!$A$2,A660)</f>
        <v>ITD-SHRXXX-XX659</v>
      </c>
      <c r="C660" s="45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46" t="str" cm="1">
        <f t="array" ref="D660">IFERROR(_xlfn.LET(
_xlpm.CSVVal,_xlfn.XLOOKUP($A660,CSV!$A:$A,CSV!C:C,""),
_xlpm.MacVal,_xlfn.XLOOKUP($A660,Output_Mac!$A:$A,Output_Mac!D:D,""),
_xlpm.MyAuditVal,_xlfn.XLOOKUP($A660,My_Audit!$A:$A,My_Audit!C:C,""),
_xlfn.IFS(_xlpm.MyAuditVal&lt;&gt;"",UPPER(_xlpm.MyAuditVal),_xlpm.MacVal&lt;&gt;"",_xlpm.MacVal,_xlpm.CSVVal&lt;&gt;"",_xlpm.CSVVal
)),"")</f>
        <v/>
      </c>
      <c r="E660" s="46" t="str" cm="1">
        <f t="array" ref="E660">IFERROR(_xlfn.LET(
_xlpm.CSVVal,_xlfn.XLOOKUP($A660,CSV!$A:$A,CSV!E:E,""),
_xlpm.MacVal,_xlfn.XLOOKUP($A660,Output_Mac!$A:$A,Output_Mac!C:C,""),
_xlpm.MyAuditVal,_xlfn.XLOOKUP($A660,My_Audit!$A:$A,My_Audit!D:D,""),
_xlfn.IFS(_xlpm.MyAuditVal&lt;&gt;"",_xlpm.MyAuditVal,_xlpm.MacVal&lt;&gt;"",_xlpm.MacVal,_xlpm.CSVVal&lt;&gt;"",_xlpm.CSVVal
)),"")</f>
        <v/>
      </c>
      <c r="F660" s="45" t="str" cm="1">
        <f t="array" ref="F660">IFERROR(_xlfn.LET(
_xlpm.CSVVal,_xlfn.XLOOKUP($A660,CSV!$A:$A,CSV!F:F,""),
_xlpm.MacVal,_xlfn.XLOOKUP($A660,Output_Mac!$A:$A,Output_Mac!F:F,""),
_xlpm.MyAuditVal,_xlfn.XLOOKUP($A660,My_Audit!$A:$A,My_Audit!E:E,""),
_xlfn.IFS(_xlpm.MyAuditVal&lt;&gt;"",_xlpm.MyAuditVal,_xlpm.MacVal&lt;&gt;"",_xlpm.MacVal,_xlpm.CSVVal&lt;&gt;"",PROPER(_xlpm.CSVVal)
)),"")</f>
        <v/>
      </c>
      <c r="G660" s="45" t="str" cm="1">
        <f t="array" ref="G660">IFERROR(_xlfn.LET(
_xlpm.CSVVal,_xlfn.XLOOKUP($A660,CSV!$A:$A,CSV!G:G,""),
_xlpm.MacVal,_xlfn.XLOOKUP($A660,Output_Mac!$A:$A,Output_Mac!H:H,""),
_xlpm.MyAuditVal,_xlfn.XLOOKUP($A660,My_Audit!$A:$A,My_Audit!F:F,""),
_xlfn.IFS(_xlpm.MyAuditVal&lt;&gt;"",_xlpm.MyAuditVal,_xlpm.MacVal&lt;&gt;"",_xlpm.MacVal,_xlpm.CSVVal&lt;&gt;"",_xlpm.CSVVal
)),"")</f>
        <v/>
      </c>
      <c r="H660" s="45" t="str">
        <f>_xlfn.XLOOKUP(A660,Output_Mac!A:A,Output_Mac!I:I,"")</f>
        <v/>
      </c>
      <c r="I660" s="45" t="str" cm="1">
        <f t="array" ref="I660">IFERROR(_xlfn.LET(
_xlpm.CSVVal,_xlfn.XLOOKUP($A660,CSV!$A:$A,CSV!H:H,""),
_xlpm.MacVal,_xlfn.XLOOKUP($A660,Output_Mac!$A:$A,Output_Mac!J:J,""),
_xlpm.MyAuditVal,_xlfn.XLOOKUP($A660,My_Audit!$A:$A,My_Audit!H:H,""),
_xlfn.IFS(_xlpm.MyAuditVal&lt;&gt;"",UPPER(_xlpm.MyAuditVal),_xlpm.MacVal&lt;&gt;"",_xlpm.MacVal,_xlpm.CSVVal&lt;&gt;"",_xlpm.CSVVal
)),"")</f>
        <v/>
      </c>
      <c r="J660" s="45" t="str" cm="1">
        <f t="array" ref="J660">IFERROR(_xlfn.LET(
_xlpm.CSVVal,_xlfn.XLOOKUP($A660,CSV!$A:$A,CSV!J:J,""),
_xlpm.MacVal,_xlfn.XLOOKUP($A660,Output_Mac!$A:$A,Output_Mac!K:K,""),
_xlpm.MyAuditVal,_xlfn.XLOOKUP($A660,My_Audit!$A:$A,My_Audit!I:I,""),
_xlfn.IFS(_xlpm.MyAuditVal&lt;&gt;"",UPPER(_xlpm.MyAuditVal),_xlpm.MacVal&lt;&gt;"",_xlpm.MacVal,_xlpm.CSVVal&lt;&gt;"",_xlpm.CSVVal
)),"")</f>
        <v/>
      </c>
      <c r="K660" s="45" t="str" cm="1">
        <f t="array" ref="K660">IFERROR(_xlfn.LET(
_xlpm.CSVVal,_xlfn.XLOOKUP($A660,CSV!$A:$A,CSV!N:N,""),
_xlpm.MacVal,_xlfn.XLOOKUP($A660,Output_Mac!$A:$A,Output_Mac!L:L,""),
_xlpm.MyAuditVal,_xlfn.XLOOKUP($A660,My_Audit!$A:$A,My_Audit!J:J,""),
_xlfn.IFS(_xlpm.MyAuditVal&lt;&gt;"",UPPER(_xlpm.MyAuditVal),_xlpm.MacVal&lt;&gt;"",_xlpm.MacVal,_xlpm.CSVVal&lt;&gt;"",_xlpm.CSVVal
)),"")</f>
        <v/>
      </c>
      <c r="L660" s="45" t="str" cm="1">
        <f t="array" ref="L660">IFERROR(_xlfn.LET(
_xlpm.CSVVal,_xlfn.XLOOKUP($A660,CSV!$A:$A,CSV!P:P,""),
_xlpm.MacVal,_xlfn.XLOOKUP($A660,Output_Mac!$A:$A,Output_Mac!M:M,""),
_xlpm.MyAuditVal,_xlfn.XLOOKUP($A660,My_Audit!$A:$A,My_Audit!K:K,""),
_xlfn.IFS(_xlpm.MyAuditVal&lt;&gt;"",UPPER(_xlpm.MyAuditVal),_xlpm.MacVal&lt;&gt;"",_xlpm.MacVal,_xlpm.CSVVal&lt;&gt;"",_xlpm.CSVVal
)),"")</f>
        <v/>
      </c>
      <c r="M660" s="45" t="str">
        <f>_xlfn.LET(
    _xlpm.CSVVal, _xlfn.XLOOKUP($A660, CSV!$A:$A, CSV!AE:AE, ""),
    _xlpm.MacVal, _xlfn.XLOOKUP($A660, Output_Mac!$A:$A, Output_Mac!S:S, ""),
    _xlpm.MyAuditVal, _xlfn.XLOOKUP($A660, My_Audit!$A:$A, My_Audit!N:N, ""),
    _xlfn.TEXTJOIN(", ", TRUE, _xlpm.MyAuditVal, _xlpm.MacVal, _xlpm.CSVVal)
)</f>
        <v/>
      </c>
      <c r="N660" s="45" t="str" cm="1">
        <f t="array" ref="N660">IFERROR(_xlfn.LET(
_xlpm.CSVVal,_xlfn.XLOOKUP($A660,CSV!$A:$A,CSV!AG:AG,""),
_xlpm.MacVal,_xlfn.XLOOKUP($A660,Output_Mac!$A:$A,Output_Mac!U:U,""),
_xlpm.MyAuditVal,_xlfn.XLOOKUP($A660,My_Audit!$A:$A,My_Audit!O:O,""),
_xlfn.IFS(_xlpm.MyAuditVal&lt;&gt;"",UPPER(_xlpm.MyAuditVal),_xlpm.MacVal&lt;&gt;"",_xlpm.MacVal,_xlpm.CSVVal&lt;&gt;"",_xlpm.CSVVal
)),"")</f>
        <v/>
      </c>
      <c r="O660" s="45"/>
      <c r="P660" s="45"/>
      <c r="Q660" s="46" t="str">
        <f>IF(LEFT(N660,4)="Pass","Nist SP 800-88",My_Audit!R660)&amp;""</f>
        <v/>
      </c>
      <c r="R660" s="45"/>
      <c r="S660" s="45"/>
      <c r="T660" s="46" t="str">
        <f>_xlfn.XLOOKUP(E660,Models!I:I,Models!J:J,"")</f>
        <v/>
      </c>
      <c r="U660" s="45"/>
      <c r="V660" s="45"/>
      <c r="W660" s="38"/>
    </row>
    <row r="661" spans="1:23">
      <c r="A661" s="45" t="str">
        <f>_xlfn.TEXTJOIN("",TRUE,Input!$B$2,ROW(My_Audit!A660))</f>
        <v>XX660</v>
      </c>
      <c r="B661" s="45" t="str">
        <f>_xlfn.TEXTJOIN("-",TRUE,"ITD",Input!$A$2,A661)</f>
        <v>ITD-SHRXXX-XX660</v>
      </c>
      <c r="C661" s="45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46" t="str" cm="1">
        <f t="array" ref="D661">IFERROR(_xlfn.LET(
_xlpm.CSVVal,_xlfn.XLOOKUP($A661,CSV!$A:$A,CSV!C:C,""),
_xlpm.MacVal,_xlfn.XLOOKUP($A661,Output_Mac!$A:$A,Output_Mac!D:D,""),
_xlpm.MyAuditVal,_xlfn.XLOOKUP($A661,My_Audit!$A:$A,My_Audit!C:C,""),
_xlfn.IFS(_xlpm.MyAuditVal&lt;&gt;"",UPPER(_xlpm.MyAuditVal),_xlpm.MacVal&lt;&gt;"",_xlpm.MacVal,_xlpm.CSVVal&lt;&gt;"",_xlpm.CSVVal
)),"")</f>
        <v/>
      </c>
      <c r="E661" s="46" t="str" cm="1">
        <f t="array" ref="E661">IFERROR(_xlfn.LET(
_xlpm.CSVVal,_xlfn.XLOOKUP($A661,CSV!$A:$A,CSV!E:E,""),
_xlpm.MacVal,_xlfn.XLOOKUP($A661,Output_Mac!$A:$A,Output_Mac!C:C,""),
_xlpm.MyAuditVal,_xlfn.XLOOKUP($A661,My_Audit!$A:$A,My_Audit!D:D,""),
_xlfn.IFS(_xlpm.MyAuditVal&lt;&gt;"",_xlpm.MyAuditVal,_xlpm.MacVal&lt;&gt;"",_xlpm.MacVal,_xlpm.CSVVal&lt;&gt;"",_xlpm.CSVVal
)),"")</f>
        <v/>
      </c>
      <c r="F661" s="45" t="str" cm="1">
        <f t="array" ref="F661">IFERROR(_xlfn.LET(
_xlpm.CSVVal,_xlfn.XLOOKUP($A661,CSV!$A:$A,CSV!F:F,""),
_xlpm.MacVal,_xlfn.XLOOKUP($A661,Output_Mac!$A:$A,Output_Mac!F:F,""),
_xlpm.MyAuditVal,_xlfn.XLOOKUP($A661,My_Audit!$A:$A,My_Audit!E:E,""),
_xlfn.IFS(_xlpm.MyAuditVal&lt;&gt;"",_xlpm.MyAuditVal,_xlpm.MacVal&lt;&gt;"",_xlpm.MacVal,_xlpm.CSVVal&lt;&gt;"",PROPER(_xlpm.CSVVal)
)),"")</f>
        <v/>
      </c>
      <c r="G661" s="45" t="str" cm="1">
        <f t="array" ref="G661">IFERROR(_xlfn.LET(
_xlpm.CSVVal,_xlfn.XLOOKUP($A661,CSV!$A:$A,CSV!G:G,""),
_xlpm.MacVal,_xlfn.XLOOKUP($A661,Output_Mac!$A:$A,Output_Mac!H:H,""),
_xlpm.MyAuditVal,_xlfn.XLOOKUP($A661,My_Audit!$A:$A,My_Audit!F:F,""),
_xlfn.IFS(_xlpm.MyAuditVal&lt;&gt;"",_xlpm.MyAuditVal,_xlpm.MacVal&lt;&gt;"",_xlpm.MacVal,_xlpm.CSVVal&lt;&gt;"",_xlpm.CSVVal
)),"")</f>
        <v/>
      </c>
      <c r="H661" s="45" t="str">
        <f>_xlfn.XLOOKUP(A661,Output_Mac!A:A,Output_Mac!I:I,"")</f>
        <v/>
      </c>
      <c r="I661" s="45" t="str" cm="1">
        <f t="array" ref="I661">IFERROR(_xlfn.LET(
_xlpm.CSVVal,_xlfn.XLOOKUP($A661,CSV!$A:$A,CSV!H:H,""),
_xlpm.MacVal,_xlfn.XLOOKUP($A661,Output_Mac!$A:$A,Output_Mac!J:J,""),
_xlpm.MyAuditVal,_xlfn.XLOOKUP($A661,My_Audit!$A:$A,My_Audit!H:H,""),
_xlfn.IFS(_xlpm.MyAuditVal&lt;&gt;"",UPPER(_xlpm.MyAuditVal),_xlpm.MacVal&lt;&gt;"",_xlpm.MacVal,_xlpm.CSVVal&lt;&gt;"",_xlpm.CSVVal
)),"")</f>
        <v/>
      </c>
      <c r="J661" s="45" t="str" cm="1">
        <f t="array" ref="J661">IFERROR(_xlfn.LET(
_xlpm.CSVVal,_xlfn.XLOOKUP($A661,CSV!$A:$A,CSV!J:J,""),
_xlpm.MacVal,_xlfn.XLOOKUP($A661,Output_Mac!$A:$A,Output_Mac!K:K,""),
_xlpm.MyAuditVal,_xlfn.XLOOKUP($A661,My_Audit!$A:$A,My_Audit!I:I,""),
_xlfn.IFS(_xlpm.MyAuditVal&lt;&gt;"",UPPER(_xlpm.MyAuditVal),_xlpm.MacVal&lt;&gt;"",_xlpm.MacVal,_xlpm.CSVVal&lt;&gt;"",_xlpm.CSVVal
)),"")</f>
        <v/>
      </c>
      <c r="K661" s="45" t="str" cm="1">
        <f t="array" ref="K661">IFERROR(_xlfn.LET(
_xlpm.CSVVal,_xlfn.XLOOKUP($A661,CSV!$A:$A,CSV!N:N,""),
_xlpm.MacVal,_xlfn.XLOOKUP($A661,Output_Mac!$A:$A,Output_Mac!L:L,""),
_xlpm.MyAuditVal,_xlfn.XLOOKUP($A661,My_Audit!$A:$A,My_Audit!J:J,""),
_xlfn.IFS(_xlpm.MyAuditVal&lt;&gt;"",UPPER(_xlpm.MyAuditVal),_xlpm.MacVal&lt;&gt;"",_xlpm.MacVal,_xlpm.CSVVal&lt;&gt;"",_xlpm.CSVVal
)),"")</f>
        <v/>
      </c>
      <c r="L661" s="45" t="str" cm="1">
        <f t="array" ref="L661">IFERROR(_xlfn.LET(
_xlpm.CSVVal,_xlfn.XLOOKUP($A661,CSV!$A:$A,CSV!P:P,""),
_xlpm.MacVal,_xlfn.XLOOKUP($A661,Output_Mac!$A:$A,Output_Mac!M:M,""),
_xlpm.MyAuditVal,_xlfn.XLOOKUP($A661,My_Audit!$A:$A,My_Audit!K:K,""),
_xlfn.IFS(_xlpm.MyAuditVal&lt;&gt;"",UPPER(_xlpm.MyAuditVal),_xlpm.MacVal&lt;&gt;"",_xlpm.MacVal,_xlpm.CSVVal&lt;&gt;"",_xlpm.CSVVal
)),"")</f>
        <v/>
      </c>
      <c r="M661" s="45" t="str">
        <f>_xlfn.LET(
    _xlpm.CSVVal, _xlfn.XLOOKUP($A661, CSV!$A:$A, CSV!AE:AE, ""),
    _xlpm.MacVal, _xlfn.XLOOKUP($A661, Output_Mac!$A:$A, Output_Mac!S:S, ""),
    _xlpm.MyAuditVal, _xlfn.XLOOKUP($A661, My_Audit!$A:$A, My_Audit!N:N, ""),
    _xlfn.TEXTJOIN(", ", TRUE, _xlpm.MyAuditVal, _xlpm.MacVal, _xlpm.CSVVal)
)</f>
        <v/>
      </c>
      <c r="N661" s="45" t="str" cm="1">
        <f t="array" ref="N661">IFERROR(_xlfn.LET(
_xlpm.CSVVal,_xlfn.XLOOKUP($A661,CSV!$A:$A,CSV!AG:AG,""),
_xlpm.MacVal,_xlfn.XLOOKUP($A661,Output_Mac!$A:$A,Output_Mac!U:U,""),
_xlpm.MyAuditVal,_xlfn.XLOOKUP($A661,My_Audit!$A:$A,My_Audit!O:O,""),
_xlfn.IFS(_xlpm.MyAuditVal&lt;&gt;"",UPPER(_xlpm.MyAuditVal),_xlpm.MacVal&lt;&gt;"",_xlpm.MacVal,_xlpm.CSVVal&lt;&gt;"",_xlpm.CSVVal
)),"")</f>
        <v/>
      </c>
      <c r="O661" s="45"/>
      <c r="P661" s="45"/>
      <c r="Q661" s="46" t="str">
        <f>IF(LEFT(N661,4)="Pass","Nist SP 800-88",My_Audit!R661)&amp;""</f>
        <v/>
      </c>
      <c r="R661" s="45"/>
      <c r="S661" s="45"/>
      <c r="T661" s="46" t="str">
        <f>_xlfn.XLOOKUP(E661,Models!I:I,Models!J:J,"")</f>
        <v/>
      </c>
      <c r="U661" s="45"/>
      <c r="V661" s="45"/>
      <c r="W661" s="38"/>
    </row>
    <row r="662" spans="1:23">
      <c r="A662" s="45" t="str">
        <f>_xlfn.TEXTJOIN("",TRUE,Input!$B$2,ROW(My_Audit!A661))</f>
        <v>XX661</v>
      </c>
      <c r="B662" s="45" t="str">
        <f>_xlfn.TEXTJOIN("-",TRUE,"ITD",Input!$A$2,A662)</f>
        <v>ITD-SHRXXX-XX661</v>
      </c>
      <c r="C662" s="45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46" t="str" cm="1">
        <f t="array" ref="D662">IFERROR(_xlfn.LET(
_xlpm.CSVVal,_xlfn.XLOOKUP($A662,CSV!$A:$A,CSV!C:C,""),
_xlpm.MacVal,_xlfn.XLOOKUP($A662,Output_Mac!$A:$A,Output_Mac!D:D,""),
_xlpm.MyAuditVal,_xlfn.XLOOKUP($A662,My_Audit!$A:$A,My_Audit!C:C,""),
_xlfn.IFS(_xlpm.MyAuditVal&lt;&gt;"",UPPER(_xlpm.MyAuditVal),_xlpm.MacVal&lt;&gt;"",_xlpm.MacVal,_xlpm.CSVVal&lt;&gt;"",_xlpm.CSVVal
)),"")</f>
        <v/>
      </c>
      <c r="E662" s="46" t="str" cm="1">
        <f t="array" ref="E662">IFERROR(_xlfn.LET(
_xlpm.CSVVal,_xlfn.XLOOKUP($A662,CSV!$A:$A,CSV!E:E,""),
_xlpm.MacVal,_xlfn.XLOOKUP($A662,Output_Mac!$A:$A,Output_Mac!C:C,""),
_xlpm.MyAuditVal,_xlfn.XLOOKUP($A662,My_Audit!$A:$A,My_Audit!D:D,""),
_xlfn.IFS(_xlpm.MyAuditVal&lt;&gt;"",_xlpm.MyAuditVal,_xlpm.MacVal&lt;&gt;"",_xlpm.MacVal,_xlpm.CSVVal&lt;&gt;"",_xlpm.CSVVal
)),"")</f>
        <v/>
      </c>
      <c r="F662" s="45" t="str" cm="1">
        <f t="array" ref="F662">IFERROR(_xlfn.LET(
_xlpm.CSVVal,_xlfn.XLOOKUP($A662,CSV!$A:$A,CSV!F:F,""),
_xlpm.MacVal,_xlfn.XLOOKUP($A662,Output_Mac!$A:$A,Output_Mac!F:F,""),
_xlpm.MyAuditVal,_xlfn.XLOOKUP($A662,My_Audit!$A:$A,My_Audit!E:E,""),
_xlfn.IFS(_xlpm.MyAuditVal&lt;&gt;"",_xlpm.MyAuditVal,_xlpm.MacVal&lt;&gt;"",_xlpm.MacVal,_xlpm.CSVVal&lt;&gt;"",PROPER(_xlpm.CSVVal)
)),"")</f>
        <v/>
      </c>
      <c r="G662" s="45" t="str" cm="1">
        <f t="array" ref="G662">IFERROR(_xlfn.LET(
_xlpm.CSVVal,_xlfn.XLOOKUP($A662,CSV!$A:$A,CSV!G:G,""),
_xlpm.MacVal,_xlfn.XLOOKUP($A662,Output_Mac!$A:$A,Output_Mac!H:H,""),
_xlpm.MyAuditVal,_xlfn.XLOOKUP($A662,My_Audit!$A:$A,My_Audit!F:F,""),
_xlfn.IFS(_xlpm.MyAuditVal&lt;&gt;"",_xlpm.MyAuditVal,_xlpm.MacVal&lt;&gt;"",_xlpm.MacVal,_xlpm.CSVVal&lt;&gt;"",_xlpm.CSVVal
)),"")</f>
        <v/>
      </c>
      <c r="H662" s="45" t="str">
        <f>_xlfn.XLOOKUP(A662,Output_Mac!A:A,Output_Mac!I:I,"")</f>
        <v/>
      </c>
      <c r="I662" s="45" t="str" cm="1">
        <f t="array" ref="I662">IFERROR(_xlfn.LET(
_xlpm.CSVVal,_xlfn.XLOOKUP($A662,CSV!$A:$A,CSV!H:H,""),
_xlpm.MacVal,_xlfn.XLOOKUP($A662,Output_Mac!$A:$A,Output_Mac!J:J,""),
_xlpm.MyAuditVal,_xlfn.XLOOKUP($A662,My_Audit!$A:$A,My_Audit!H:H,""),
_xlfn.IFS(_xlpm.MyAuditVal&lt;&gt;"",UPPER(_xlpm.MyAuditVal),_xlpm.MacVal&lt;&gt;"",_xlpm.MacVal,_xlpm.CSVVal&lt;&gt;"",_xlpm.CSVVal
)),"")</f>
        <v/>
      </c>
      <c r="J662" s="45" t="str" cm="1">
        <f t="array" ref="J662">IFERROR(_xlfn.LET(
_xlpm.CSVVal,_xlfn.XLOOKUP($A662,CSV!$A:$A,CSV!J:J,""),
_xlpm.MacVal,_xlfn.XLOOKUP($A662,Output_Mac!$A:$A,Output_Mac!K:K,""),
_xlpm.MyAuditVal,_xlfn.XLOOKUP($A662,My_Audit!$A:$A,My_Audit!I:I,""),
_xlfn.IFS(_xlpm.MyAuditVal&lt;&gt;"",UPPER(_xlpm.MyAuditVal),_xlpm.MacVal&lt;&gt;"",_xlpm.MacVal,_xlpm.CSVVal&lt;&gt;"",_xlpm.CSVVal
)),"")</f>
        <v/>
      </c>
      <c r="K662" s="45" t="str" cm="1">
        <f t="array" ref="K662">IFERROR(_xlfn.LET(
_xlpm.CSVVal,_xlfn.XLOOKUP($A662,CSV!$A:$A,CSV!N:N,""),
_xlpm.MacVal,_xlfn.XLOOKUP($A662,Output_Mac!$A:$A,Output_Mac!L:L,""),
_xlpm.MyAuditVal,_xlfn.XLOOKUP($A662,My_Audit!$A:$A,My_Audit!J:J,""),
_xlfn.IFS(_xlpm.MyAuditVal&lt;&gt;"",UPPER(_xlpm.MyAuditVal),_xlpm.MacVal&lt;&gt;"",_xlpm.MacVal,_xlpm.CSVVal&lt;&gt;"",_xlpm.CSVVal
)),"")</f>
        <v/>
      </c>
      <c r="L662" s="45" t="str" cm="1">
        <f t="array" ref="L662">IFERROR(_xlfn.LET(
_xlpm.CSVVal,_xlfn.XLOOKUP($A662,CSV!$A:$A,CSV!P:P,""),
_xlpm.MacVal,_xlfn.XLOOKUP($A662,Output_Mac!$A:$A,Output_Mac!M:M,""),
_xlpm.MyAuditVal,_xlfn.XLOOKUP($A662,My_Audit!$A:$A,My_Audit!K:K,""),
_xlfn.IFS(_xlpm.MyAuditVal&lt;&gt;"",UPPER(_xlpm.MyAuditVal),_xlpm.MacVal&lt;&gt;"",_xlpm.MacVal,_xlpm.CSVVal&lt;&gt;"",_xlpm.CSVVal
)),"")</f>
        <v/>
      </c>
      <c r="M662" s="45" t="str">
        <f>_xlfn.LET(
    _xlpm.CSVVal, _xlfn.XLOOKUP($A662, CSV!$A:$A, CSV!AE:AE, ""),
    _xlpm.MacVal, _xlfn.XLOOKUP($A662, Output_Mac!$A:$A, Output_Mac!S:S, ""),
    _xlpm.MyAuditVal, _xlfn.XLOOKUP($A662, My_Audit!$A:$A, My_Audit!N:N, ""),
    _xlfn.TEXTJOIN(", ", TRUE, _xlpm.MyAuditVal, _xlpm.MacVal, _xlpm.CSVVal)
)</f>
        <v/>
      </c>
      <c r="N662" s="45" t="str" cm="1">
        <f t="array" ref="N662">IFERROR(_xlfn.LET(
_xlpm.CSVVal,_xlfn.XLOOKUP($A662,CSV!$A:$A,CSV!AG:AG,""),
_xlpm.MacVal,_xlfn.XLOOKUP($A662,Output_Mac!$A:$A,Output_Mac!U:U,""),
_xlpm.MyAuditVal,_xlfn.XLOOKUP($A662,My_Audit!$A:$A,My_Audit!O:O,""),
_xlfn.IFS(_xlpm.MyAuditVal&lt;&gt;"",UPPER(_xlpm.MyAuditVal),_xlpm.MacVal&lt;&gt;"",_xlpm.MacVal,_xlpm.CSVVal&lt;&gt;"",_xlpm.CSVVal
)),"")</f>
        <v/>
      </c>
      <c r="O662" s="45"/>
      <c r="P662" s="45"/>
      <c r="Q662" s="46" t="str">
        <f>IF(LEFT(N662,4)="Pass","Nist SP 800-88",My_Audit!R662)&amp;""</f>
        <v/>
      </c>
      <c r="R662" s="45"/>
      <c r="S662" s="45"/>
      <c r="T662" s="46" t="str">
        <f>_xlfn.XLOOKUP(E662,Models!I:I,Models!J:J,"")</f>
        <v/>
      </c>
      <c r="U662" s="45"/>
      <c r="V662" s="45"/>
      <c r="W662" s="38"/>
    </row>
    <row r="663" spans="1:23">
      <c r="A663" s="45" t="str">
        <f>_xlfn.TEXTJOIN("",TRUE,Input!$B$2,ROW(My_Audit!A662))</f>
        <v>XX662</v>
      </c>
      <c r="B663" s="45" t="str">
        <f>_xlfn.TEXTJOIN("-",TRUE,"ITD",Input!$A$2,A663)</f>
        <v>ITD-SHRXXX-XX662</v>
      </c>
      <c r="C663" s="45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46" t="str" cm="1">
        <f t="array" ref="D663">IFERROR(_xlfn.LET(
_xlpm.CSVVal,_xlfn.XLOOKUP($A663,CSV!$A:$A,CSV!C:C,""),
_xlpm.MacVal,_xlfn.XLOOKUP($A663,Output_Mac!$A:$A,Output_Mac!D:D,""),
_xlpm.MyAuditVal,_xlfn.XLOOKUP($A663,My_Audit!$A:$A,My_Audit!C:C,""),
_xlfn.IFS(_xlpm.MyAuditVal&lt;&gt;"",UPPER(_xlpm.MyAuditVal),_xlpm.MacVal&lt;&gt;"",_xlpm.MacVal,_xlpm.CSVVal&lt;&gt;"",_xlpm.CSVVal
)),"")</f>
        <v/>
      </c>
      <c r="E663" s="46" t="str" cm="1">
        <f t="array" ref="E663">IFERROR(_xlfn.LET(
_xlpm.CSVVal,_xlfn.XLOOKUP($A663,CSV!$A:$A,CSV!E:E,""),
_xlpm.MacVal,_xlfn.XLOOKUP($A663,Output_Mac!$A:$A,Output_Mac!C:C,""),
_xlpm.MyAuditVal,_xlfn.XLOOKUP($A663,My_Audit!$A:$A,My_Audit!D:D,""),
_xlfn.IFS(_xlpm.MyAuditVal&lt;&gt;"",_xlpm.MyAuditVal,_xlpm.MacVal&lt;&gt;"",_xlpm.MacVal,_xlpm.CSVVal&lt;&gt;"",_xlpm.CSVVal
)),"")</f>
        <v/>
      </c>
      <c r="F663" s="45" t="str" cm="1">
        <f t="array" ref="F663">IFERROR(_xlfn.LET(
_xlpm.CSVVal,_xlfn.XLOOKUP($A663,CSV!$A:$A,CSV!F:F,""),
_xlpm.MacVal,_xlfn.XLOOKUP($A663,Output_Mac!$A:$A,Output_Mac!F:F,""),
_xlpm.MyAuditVal,_xlfn.XLOOKUP($A663,My_Audit!$A:$A,My_Audit!E:E,""),
_xlfn.IFS(_xlpm.MyAuditVal&lt;&gt;"",_xlpm.MyAuditVal,_xlpm.MacVal&lt;&gt;"",_xlpm.MacVal,_xlpm.CSVVal&lt;&gt;"",PROPER(_xlpm.CSVVal)
)),"")</f>
        <v/>
      </c>
      <c r="G663" s="45" t="str" cm="1">
        <f t="array" ref="G663">IFERROR(_xlfn.LET(
_xlpm.CSVVal,_xlfn.XLOOKUP($A663,CSV!$A:$A,CSV!G:G,""),
_xlpm.MacVal,_xlfn.XLOOKUP($A663,Output_Mac!$A:$A,Output_Mac!H:H,""),
_xlpm.MyAuditVal,_xlfn.XLOOKUP($A663,My_Audit!$A:$A,My_Audit!F:F,""),
_xlfn.IFS(_xlpm.MyAuditVal&lt;&gt;"",_xlpm.MyAuditVal,_xlpm.MacVal&lt;&gt;"",_xlpm.MacVal,_xlpm.CSVVal&lt;&gt;"",_xlpm.CSVVal
)),"")</f>
        <v/>
      </c>
      <c r="H663" s="45" t="str">
        <f>_xlfn.XLOOKUP(A663,Output_Mac!A:A,Output_Mac!I:I,"")</f>
        <v/>
      </c>
      <c r="I663" s="45" t="str" cm="1">
        <f t="array" ref="I663">IFERROR(_xlfn.LET(
_xlpm.CSVVal,_xlfn.XLOOKUP($A663,CSV!$A:$A,CSV!H:H,""),
_xlpm.MacVal,_xlfn.XLOOKUP($A663,Output_Mac!$A:$A,Output_Mac!J:J,""),
_xlpm.MyAuditVal,_xlfn.XLOOKUP($A663,My_Audit!$A:$A,My_Audit!H:H,""),
_xlfn.IFS(_xlpm.MyAuditVal&lt;&gt;"",UPPER(_xlpm.MyAuditVal),_xlpm.MacVal&lt;&gt;"",_xlpm.MacVal,_xlpm.CSVVal&lt;&gt;"",_xlpm.CSVVal
)),"")</f>
        <v/>
      </c>
      <c r="J663" s="45" t="str" cm="1">
        <f t="array" ref="J663">IFERROR(_xlfn.LET(
_xlpm.CSVVal,_xlfn.XLOOKUP($A663,CSV!$A:$A,CSV!J:J,""),
_xlpm.MacVal,_xlfn.XLOOKUP($A663,Output_Mac!$A:$A,Output_Mac!K:K,""),
_xlpm.MyAuditVal,_xlfn.XLOOKUP($A663,My_Audit!$A:$A,My_Audit!I:I,""),
_xlfn.IFS(_xlpm.MyAuditVal&lt;&gt;"",UPPER(_xlpm.MyAuditVal),_xlpm.MacVal&lt;&gt;"",_xlpm.MacVal,_xlpm.CSVVal&lt;&gt;"",_xlpm.CSVVal
)),"")</f>
        <v/>
      </c>
      <c r="K663" s="45" t="str" cm="1">
        <f t="array" ref="K663">IFERROR(_xlfn.LET(
_xlpm.CSVVal,_xlfn.XLOOKUP($A663,CSV!$A:$A,CSV!N:N,""),
_xlpm.MacVal,_xlfn.XLOOKUP($A663,Output_Mac!$A:$A,Output_Mac!L:L,""),
_xlpm.MyAuditVal,_xlfn.XLOOKUP($A663,My_Audit!$A:$A,My_Audit!J:J,""),
_xlfn.IFS(_xlpm.MyAuditVal&lt;&gt;"",UPPER(_xlpm.MyAuditVal),_xlpm.MacVal&lt;&gt;"",_xlpm.MacVal,_xlpm.CSVVal&lt;&gt;"",_xlpm.CSVVal
)),"")</f>
        <v/>
      </c>
      <c r="L663" s="45" t="str" cm="1">
        <f t="array" ref="L663">IFERROR(_xlfn.LET(
_xlpm.CSVVal,_xlfn.XLOOKUP($A663,CSV!$A:$A,CSV!P:P,""),
_xlpm.MacVal,_xlfn.XLOOKUP($A663,Output_Mac!$A:$A,Output_Mac!M:M,""),
_xlpm.MyAuditVal,_xlfn.XLOOKUP($A663,My_Audit!$A:$A,My_Audit!K:K,""),
_xlfn.IFS(_xlpm.MyAuditVal&lt;&gt;"",UPPER(_xlpm.MyAuditVal),_xlpm.MacVal&lt;&gt;"",_xlpm.MacVal,_xlpm.CSVVal&lt;&gt;"",_xlpm.CSVVal
)),"")</f>
        <v/>
      </c>
      <c r="M663" s="45" t="str">
        <f>_xlfn.LET(
    _xlpm.CSVVal, _xlfn.XLOOKUP($A663, CSV!$A:$A, CSV!AE:AE, ""),
    _xlpm.MacVal, _xlfn.XLOOKUP($A663, Output_Mac!$A:$A, Output_Mac!S:S, ""),
    _xlpm.MyAuditVal, _xlfn.XLOOKUP($A663, My_Audit!$A:$A, My_Audit!N:N, ""),
    _xlfn.TEXTJOIN(", ", TRUE, _xlpm.MyAuditVal, _xlpm.MacVal, _xlpm.CSVVal)
)</f>
        <v/>
      </c>
      <c r="N663" s="45" t="str" cm="1">
        <f t="array" ref="N663">IFERROR(_xlfn.LET(
_xlpm.CSVVal,_xlfn.XLOOKUP($A663,CSV!$A:$A,CSV!AG:AG,""),
_xlpm.MacVal,_xlfn.XLOOKUP($A663,Output_Mac!$A:$A,Output_Mac!U:U,""),
_xlpm.MyAuditVal,_xlfn.XLOOKUP($A663,My_Audit!$A:$A,My_Audit!O:O,""),
_xlfn.IFS(_xlpm.MyAuditVal&lt;&gt;"",UPPER(_xlpm.MyAuditVal),_xlpm.MacVal&lt;&gt;"",_xlpm.MacVal,_xlpm.CSVVal&lt;&gt;"",_xlpm.CSVVal
)),"")</f>
        <v/>
      </c>
      <c r="O663" s="45"/>
      <c r="P663" s="45"/>
      <c r="Q663" s="46" t="str">
        <f>IF(LEFT(N663,4)="Pass","Nist SP 800-88",My_Audit!R663)&amp;""</f>
        <v/>
      </c>
      <c r="R663" s="45"/>
      <c r="S663" s="45"/>
      <c r="T663" s="46" t="str">
        <f>_xlfn.XLOOKUP(E663,Models!I:I,Models!J:J,"")</f>
        <v/>
      </c>
      <c r="U663" s="45"/>
      <c r="V663" s="45"/>
      <c r="W663" s="38"/>
    </row>
    <row r="664" spans="1:23">
      <c r="A664" s="45" t="str">
        <f>_xlfn.TEXTJOIN("",TRUE,Input!$B$2,ROW(My_Audit!A663))</f>
        <v>XX663</v>
      </c>
      <c r="B664" s="45" t="str">
        <f>_xlfn.TEXTJOIN("-",TRUE,"ITD",Input!$A$2,A664)</f>
        <v>ITD-SHRXXX-XX663</v>
      </c>
      <c r="C664" s="45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46" t="str" cm="1">
        <f t="array" ref="D664">IFERROR(_xlfn.LET(
_xlpm.CSVVal,_xlfn.XLOOKUP($A664,CSV!$A:$A,CSV!C:C,""),
_xlpm.MacVal,_xlfn.XLOOKUP($A664,Output_Mac!$A:$A,Output_Mac!D:D,""),
_xlpm.MyAuditVal,_xlfn.XLOOKUP($A664,My_Audit!$A:$A,My_Audit!C:C,""),
_xlfn.IFS(_xlpm.MyAuditVal&lt;&gt;"",UPPER(_xlpm.MyAuditVal),_xlpm.MacVal&lt;&gt;"",_xlpm.MacVal,_xlpm.CSVVal&lt;&gt;"",_xlpm.CSVVal
)),"")</f>
        <v/>
      </c>
      <c r="E664" s="46" t="str" cm="1">
        <f t="array" ref="E664">IFERROR(_xlfn.LET(
_xlpm.CSVVal,_xlfn.XLOOKUP($A664,CSV!$A:$A,CSV!E:E,""),
_xlpm.MacVal,_xlfn.XLOOKUP($A664,Output_Mac!$A:$A,Output_Mac!C:C,""),
_xlpm.MyAuditVal,_xlfn.XLOOKUP($A664,My_Audit!$A:$A,My_Audit!D:D,""),
_xlfn.IFS(_xlpm.MyAuditVal&lt;&gt;"",_xlpm.MyAuditVal,_xlpm.MacVal&lt;&gt;"",_xlpm.MacVal,_xlpm.CSVVal&lt;&gt;"",_xlpm.CSVVal
)),"")</f>
        <v/>
      </c>
      <c r="F664" s="45" t="str" cm="1">
        <f t="array" ref="F664">IFERROR(_xlfn.LET(
_xlpm.CSVVal,_xlfn.XLOOKUP($A664,CSV!$A:$A,CSV!F:F,""),
_xlpm.MacVal,_xlfn.XLOOKUP($A664,Output_Mac!$A:$A,Output_Mac!F:F,""),
_xlpm.MyAuditVal,_xlfn.XLOOKUP($A664,My_Audit!$A:$A,My_Audit!E:E,""),
_xlfn.IFS(_xlpm.MyAuditVal&lt;&gt;"",_xlpm.MyAuditVal,_xlpm.MacVal&lt;&gt;"",_xlpm.MacVal,_xlpm.CSVVal&lt;&gt;"",PROPER(_xlpm.CSVVal)
)),"")</f>
        <v/>
      </c>
      <c r="G664" s="45" t="str" cm="1">
        <f t="array" ref="G664">IFERROR(_xlfn.LET(
_xlpm.CSVVal,_xlfn.XLOOKUP($A664,CSV!$A:$A,CSV!G:G,""),
_xlpm.MacVal,_xlfn.XLOOKUP($A664,Output_Mac!$A:$A,Output_Mac!H:H,""),
_xlpm.MyAuditVal,_xlfn.XLOOKUP($A664,My_Audit!$A:$A,My_Audit!F:F,""),
_xlfn.IFS(_xlpm.MyAuditVal&lt;&gt;"",_xlpm.MyAuditVal,_xlpm.MacVal&lt;&gt;"",_xlpm.MacVal,_xlpm.CSVVal&lt;&gt;"",_xlpm.CSVVal
)),"")</f>
        <v/>
      </c>
      <c r="H664" s="45" t="str">
        <f>_xlfn.XLOOKUP(A664,Output_Mac!A:A,Output_Mac!I:I,"")</f>
        <v/>
      </c>
      <c r="I664" s="45" t="str" cm="1">
        <f t="array" ref="I664">IFERROR(_xlfn.LET(
_xlpm.CSVVal,_xlfn.XLOOKUP($A664,CSV!$A:$A,CSV!H:H,""),
_xlpm.MacVal,_xlfn.XLOOKUP($A664,Output_Mac!$A:$A,Output_Mac!J:J,""),
_xlpm.MyAuditVal,_xlfn.XLOOKUP($A664,My_Audit!$A:$A,My_Audit!H:H,""),
_xlfn.IFS(_xlpm.MyAuditVal&lt;&gt;"",UPPER(_xlpm.MyAuditVal),_xlpm.MacVal&lt;&gt;"",_xlpm.MacVal,_xlpm.CSVVal&lt;&gt;"",_xlpm.CSVVal
)),"")</f>
        <v/>
      </c>
      <c r="J664" s="45" t="str" cm="1">
        <f t="array" ref="J664">IFERROR(_xlfn.LET(
_xlpm.CSVVal,_xlfn.XLOOKUP($A664,CSV!$A:$A,CSV!J:J,""),
_xlpm.MacVal,_xlfn.XLOOKUP($A664,Output_Mac!$A:$A,Output_Mac!K:K,""),
_xlpm.MyAuditVal,_xlfn.XLOOKUP($A664,My_Audit!$A:$A,My_Audit!I:I,""),
_xlfn.IFS(_xlpm.MyAuditVal&lt;&gt;"",UPPER(_xlpm.MyAuditVal),_xlpm.MacVal&lt;&gt;"",_xlpm.MacVal,_xlpm.CSVVal&lt;&gt;"",_xlpm.CSVVal
)),"")</f>
        <v/>
      </c>
      <c r="K664" s="45" t="str" cm="1">
        <f t="array" ref="K664">IFERROR(_xlfn.LET(
_xlpm.CSVVal,_xlfn.XLOOKUP($A664,CSV!$A:$A,CSV!N:N,""),
_xlpm.MacVal,_xlfn.XLOOKUP($A664,Output_Mac!$A:$A,Output_Mac!L:L,""),
_xlpm.MyAuditVal,_xlfn.XLOOKUP($A664,My_Audit!$A:$A,My_Audit!J:J,""),
_xlfn.IFS(_xlpm.MyAuditVal&lt;&gt;"",UPPER(_xlpm.MyAuditVal),_xlpm.MacVal&lt;&gt;"",_xlpm.MacVal,_xlpm.CSVVal&lt;&gt;"",_xlpm.CSVVal
)),"")</f>
        <v/>
      </c>
      <c r="L664" s="45" t="str" cm="1">
        <f t="array" ref="L664">IFERROR(_xlfn.LET(
_xlpm.CSVVal,_xlfn.XLOOKUP($A664,CSV!$A:$A,CSV!P:P,""),
_xlpm.MacVal,_xlfn.XLOOKUP($A664,Output_Mac!$A:$A,Output_Mac!M:M,""),
_xlpm.MyAuditVal,_xlfn.XLOOKUP($A664,My_Audit!$A:$A,My_Audit!K:K,""),
_xlfn.IFS(_xlpm.MyAuditVal&lt;&gt;"",UPPER(_xlpm.MyAuditVal),_xlpm.MacVal&lt;&gt;"",_xlpm.MacVal,_xlpm.CSVVal&lt;&gt;"",_xlpm.CSVVal
)),"")</f>
        <v/>
      </c>
      <c r="M664" s="45" t="str">
        <f>_xlfn.LET(
    _xlpm.CSVVal, _xlfn.XLOOKUP($A664, CSV!$A:$A, CSV!AE:AE, ""),
    _xlpm.MacVal, _xlfn.XLOOKUP($A664, Output_Mac!$A:$A, Output_Mac!S:S, ""),
    _xlpm.MyAuditVal, _xlfn.XLOOKUP($A664, My_Audit!$A:$A, My_Audit!N:N, ""),
    _xlfn.TEXTJOIN(", ", TRUE, _xlpm.MyAuditVal, _xlpm.MacVal, _xlpm.CSVVal)
)</f>
        <v/>
      </c>
      <c r="N664" s="45" t="str" cm="1">
        <f t="array" ref="N664">IFERROR(_xlfn.LET(
_xlpm.CSVVal,_xlfn.XLOOKUP($A664,CSV!$A:$A,CSV!AG:AG,""),
_xlpm.MacVal,_xlfn.XLOOKUP($A664,Output_Mac!$A:$A,Output_Mac!U:U,""),
_xlpm.MyAuditVal,_xlfn.XLOOKUP($A664,My_Audit!$A:$A,My_Audit!O:O,""),
_xlfn.IFS(_xlpm.MyAuditVal&lt;&gt;"",UPPER(_xlpm.MyAuditVal),_xlpm.MacVal&lt;&gt;"",_xlpm.MacVal,_xlpm.CSVVal&lt;&gt;"",_xlpm.CSVVal
)),"")</f>
        <v/>
      </c>
      <c r="O664" s="45"/>
      <c r="P664" s="45"/>
      <c r="Q664" s="46" t="str">
        <f>IF(LEFT(N664,4)="Pass","Nist SP 800-88",My_Audit!R664)&amp;""</f>
        <v/>
      </c>
      <c r="R664" s="45"/>
      <c r="S664" s="45"/>
      <c r="T664" s="46" t="str">
        <f>_xlfn.XLOOKUP(E664,Models!I:I,Models!J:J,"")</f>
        <v/>
      </c>
      <c r="U664" s="45"/>
      <c r="V664" s="45"/>
      <c r="W664" s="38"/>
    </row>
    <row r="665" spans="1:23">
      <c r="A665" s="45" t="str">
        <f>_xlfn.TEXTJOIN("",TRUE,Input!$B$2,ROW(My_Audit!A664))</f>
        <v>XX664</v>
      </c>
      <c r="B665" s="45" t="str">
        <f>_xlfn.TEXTJOIN("-",TRUE,"ITD",Input!$A$2,A665)</f>
        <v>ITD-SHRXXX-XX664</v>
      </c>
      <c r="C665" s="45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46" t="str" cm="1">
        <f t="array" ref="D665">IFERROR(_xlfn.LET(
_xlpm.CSVVal,_xlfn.XLOOKUP($A665,CSV!$A:$A,CSV!C:C,""),
_xlpm.MacVal,_xlfn.XLOOKUP($A665,Output_Mac!$A:$A,Output_Mac!D:D,""),
_xlpm.MyAuditVal,_xlfn.XLOOKUP($A665,My_Audit!$A:$A,My_Audit!C:C,""),
_xlfn.IFS(_xlpm.MyAuditVal&lt;&gt;"",UPPER(_xlpm.MyAuditVal),_xlpm.MacVal&lt;&gt;"",_xlpm.MacVal,_xlpm.CSVVal&lt;&gt;"",_xlpm.CSVVal
)),"")</f>
        <v/>
      </c>
      <c r="E665" s="46" t="str" cm="1">
        <f t="array" ref="E665">IFERROR(_xlfn.LET(
_xlpm.CSVVal,_xlfn.XLOOKUP($A665,CSV!$A:$A,CSV!E:E,""),
_xlpm.MacVal,_xlfn.XLOOKUP($A665,Output_Mac!$A:$A,Output_Mac!C:C,""),
_xlpm.MyAuditVal,_xlfn.XLOOKUP($A665,My_Audit!$A:$A,My_Audit!D:D,""),
_xlfn.IFS(_xlpm.MyAuditVal&lt;&gt;"",_xlpm.MyAuditVal,_xlpm.MacVal&lt;&gt;"",_xlpm.MacVal,_xlpm.CSVVal&lt;&gt;"",_xlpm.CSVVal
)),"")</f>
        <v/>
      </c>
      <c r="F665" s="45" t="str" cm="1">
        <f t="array" ref="F665">IFERROR(_xlfn.LET(
_xlpm.CSVVal,_xlfn.XLOOKUP($A665,CSV!$A:$A,CSV!F:F,""),
_xlpm.MacVal,_xlfn.XLOOKUP($A665,Output_Mac!$A:$A,Output_Mac!F:F,""),
_xlpm.MyAuditVal,_xlfn.XLOOKUP($A665,My_Audit!$A:$A,My_Audit!E:E,""),
_xlfn.IFS(_xlpm.MyAuditVal&lt;&gt;"",_xlpm.MyAuditVal,_xlpm.MacVal&lt;&gt;"",_xlpm.MacVal,_xlpm.CSVVal&lt;&gt;"",PROPER(_xlpm.CSVVal)
)),"")</f>
        <v/>
      </c>
      <c r="G665" s="45" t="str" cm="1">
        <f t="array" ref="G665">IFERROR(_xlfn.LET(
_xlpm.CSVVal,_xlfn.XLOOKUP($A665,CSV!$A:$A,CSV!G:G,""),
_xlpm.MacVal,_xlfn.XLOOKUP($A665,Output_Mac!$A:$A,Output_Mac!H:H,""),
_xlpm.MyAuditVal,_xlfn.XLOOKUP($A665,My_Audit!$A:$A,My_Audit!F:F,""),
_xlfn.IFS(_xlpm.MyAuditVal&lt;&gt;"",_xlpm.MyAuditVal,_xlpm.MacVal&lt;&gt;"",_xlpm.MacVal,_xlpm.CSVVal&lt;&gt;"",_xlpm.CSVVal
)),"")</f>
        <v/>
      </c>
      <c r="H665" s="45" t="str">
        <f>_xlfn.XLOOKUP(A665,Output_Mac!A:A,Output_Mac!I:I,"")</f>
        <v/>
      </c>
      <c r="I665" s="45" t="str" cm="1">
        <f t="array" ref="I665">IFERROR(_xlfn.LET(
_xlpm.CSVVal,_xlfn.XLOOKUP($A665,CSV!$A:$A,CSV!H:H,""),
_xlpm.MacVal,_xlfn.XLOOKUP($A665,Output_Mac!$A:$A,Output_Mac!J:J,""),
_xlpm.MyAuditVal,_xlfn.XLOOKUP($A665,My_Audit!$A:$A,My_Audit!H:H,""),
_xlfn.IFS(_xlpm.MyAuditVal&lt;&gt;"",UPPER(_xlpm.MyAuditVal),_xlpm.MacVal&lt;&gt;"",_xlpm.MacVal,_xlpm.CSVVal&lt;&gt;"",_xlpm.CSVVal
)),"")</f>
        <v/>
      </c>
      <c r="J665" s="45" t="str" cm="1">
        <f t="array" ref="J665">IFERROR(_xlfn.LET(
_xlpm.CSVVal,_xlfn.XLOOKUP($A665,CSV!$A:$A,CSV!J:J,""),
_xlpm.MacVal,_xlfn.XLOOKUP($A665,Output_Mac!$A:$A,Output_Mac!K:K,""),
_xlpm.MyAuditVal,_xlfn.XLOOKUP($A665,My_Audit!$A:$A,My_Audit!I:I,""),
_xlfn.IFS(_xlpm.MyAuditVal&lt;&gt;"",UPPER(_xlpm.MyAuditVal),_xlpm.MacVal&lt;&gt;"",_xlpm.MacVal,_xlpm.CSVVal&lt;&gt;"",_xlpm.CSVVal
)),"")</f>
        <v/>
      </c>
      <c r="K665" s="45" t="str" cm="1">
        <f t="array" ref="K665">IFERROR(_xlfn.LET(
_xlpm.CSVVal,_xlfn.XLOOKUP($A665,CSV!$A:$A,CSV!N:N,""),
_xlpm.MacVal,_xlfn.XLOOKUP($A665,Output_Mac!$A:$A,Output_Mac!L:L,""),
_xlpm.MyAuditVal,_xlfn.XLOOKUP($A665,My_Audit!$A:$A,My_Audit!J:J,""),
_xlfn.IFS(_xlpm.MyAuditVal&lt;&gt;"",UPPER(_xlpm.MyAuditVal),_xlpm.MacVal&lt;&gt;"",_xlpm.MacVal,_xlpm.CSVVal&lt;&gt;"",_xlpm.CSVVal
)),"")</f>
        <v/>
      </c>
      <c r="L665" s="45" t="str" cm="1">
        <f t="array" ref="L665">IFERROR(_xlfn.LET(
_xlpm.CSVVal,_xlfn.XLOOKUP($A665,CSV!$A:$A,CSV!P:P,""),
_xlpm.MacVal,_xlfn.XLOOKUP($A665,Output_Mac!$A:$A,Output_Mac!M:M,""),
_xlpm.MyAuditVal,_xlfn.XLOOKUP($A665,My_Audit!$A:$A,My_Audit!K:K,""),
_xlfn.IFS(_xlpm.MyAuditVal&lt;&gt;"",UPPER(_xlpm.MyAuditVal),_xlpm.MacVal&lt;&gt;"",_xlpm.MacVal,_xlpm.CSVVal&lt;&gt;"",_xlpm.CSVVal
)),"")</f>
        <v/>
      </c>
      <c r="M665" s="45" t="str">
        <f>_xlfn.LET(
    _xlpm.CSVVal, _xlfn.XLOOKUP($A665, CSV!$A:$A, CSV!AE:AE, ""),
    _xlpm.MacVal, _xlfn.XLOOKUP($A665, Output_Mac!$A:$A, Output_Mac!S:S, ""),
    _xlpm.MyAuditVal, _xlfn.XLOOKUP($A665, My_Audit!$A:$A, My_Audit!N:N, ""),
    _xlfn.TEXTJOIN(", ", TRUE, _xlpm.MyAuditVal, _xlpm.MacVal, _xlpm.CSVVal)
)</f>
        <v/>
      </c>
      <c r="N665" s="45" t="str" cm="1">
        <f t="array" ref="N665">IFERROR(_xlfn.LET(
_xlpm.CSVVal,_xlfn.XLOOKUP($A665,CSV!$A:$A,CSV!AG:AG,""),
_xlpm.MacVal,_xlfn.XLOOKUP($A665,Output_Mac!$A:$A,Output_Mac!U:U,""),
_xlpm.MyAuditVal,_xlfn.XLOOKUP($A665,My_Audit!$A:$A,My_Audit!O:O,""),
_xlfn.IFS(_xlpm.MyAuditVal&lt;&gt;"",UPPER(_xlpm.MyAuditVal),_xlpm.MacVal&lt;&gt;"",_xlpm.MacVal,_xlpm.CSVVal&lt;&gt;"",_xlpm.CSVVal
)),"")</f>
        <v/>
      </c>
      <c r="O665" s="45"/>
      <c r="P665" s="45"/>
      <c r="Q665" s="46" t="str">
        <f>IF(LEFT(N665,4)="Pass","Nist SP 800-88",My_Audit!R665)&amp;""</f>
        <v/>
      </c>
      <c r="R665" s="45"/>
      <c r="S665" s="45"/>
      <c r="T665" s="46" t="str">
        <f>_xlfn.XLOOKUP(E665,Models!I:I,Models!J:J,"")</f>
        <v/>
      </c>
      <c r="U665" s="45"/>
      <c r="V665" s="45"/>
      <c r="W665" s="38"/>
    </row>
    <row r="666" spans="1:23">
      <c r="A666" s="45" t="str">
        <f>_xlfn.TEXTJOIN("",TRUE,Input!$B$2,ROW(My_Audit!A665))</f>
        <v>XX665</v>
      </c>
      <c r="B666" s="45" t="str">
        <f>_xlfn.TEXTJOIN("-",TRUE,"ITD",Input!$A$2,A666)</f>
        <v>ITD-SHRXXX-XX665</v>
      </c>
      <c r="C666" s="45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46" t="str" cm="1">
        <f t="array" ref="D666">IFERROR(_xlfn.LET(
_xlpm.CSVVal,_xlfn.XLOOKUP($A666,CSV!$A:$A,CSV!C:C,""),
_xlpm.MacVal,_xlfn.XLOOKUP($A666,Output_Mac!$A:$A,Output_Mac!D:D,""),
_xlpm.MyAuditVal,_xlfn.XLOOKUP($A666,My_Audit!$A:$A,My_Audit!C:C,""),
_xlfn.IFS(_xlpm.MyAuditVal&lt;&gt;"",UPPER(_xlpm.MyAuditVal),_xlpm.MacVal&lt;&gt;"",_xlpm.MacVal,_xlpm.CSVVal&lt;&gt;"",_xlpm.CSVVal
)),"")</f>
        <v/>
      </c>
      <c r="E666" s="46" t="str" cm="1">
        <f t="array" ref="E666">IFERROR(_xlfn.LET(
_xlpm.CSVVal,_xlfn.XLOOKUP($A666,CSV!$A:$A,CSV!E:E,""),
_xlpm.MacVal,_xlfn.XLOOKUP($A666,Output_Mac!$A:$A,Output_Mac!C:C,""),
_xlpm.MyAuditVal,_xlfn.XLOOKUP($A666,My_Audit!$A:$A,My_Audit!D:D,""),
_xlfn.IFS(_xlpm.MyAuditVal&lt;&gt;"",_xlpm.MyAuditVal,_xlpm.MacVal&lt;&gt;"",_xlpm.MacVal,_xlpm.CSVVal&lt;&gt;"",_xlpm.CSVVal
)),"")</f>
        <v/>
      </c>
      <c r="F666" s="45" t="str" cm="1">
        <f t="array" ref="F666">IFERROR(_xlfn.LET(
_xlpm.CSVVal,_xlfn.XLOOKUP($A666,CSV!$A:$A,CSV!F:F,""),
_xlpm.MacVal,_xlfn.XLOOKUP($A666,Output_Mac!$A:$A,Output_Mac!F:F,""),
_xlpm.MyAuditVal,_xlfn.XLOOKUP($A666,My_Audit!$A:$A,My_Audit!E:E,""),
_xlfn.IFS(_xlpm.MyAuditVal&lt;&gt;"",_xlpm.MyAuditVal,_xlpm.MacVal&lt;&gt;"",_xlpm.MacVal,_xlpm.CSVVal&lt;&gt;"",PROPER(_xlpm.CSVVal)
)),"")</f>
        <v/>
      </c>
      <c r="G666" s="45" t="str" cm="1">
        <f t="array" ref="G666">IFERROR(_xlfn.LET(
_xlpm.CSVVal,_xlfn.XLOOKUP($A666,CSV!$A:$A,CSV!G:G,""),
_xlpm.MacVal,_xlfn.XLOOKUP($A666,Output_Mac!$A:$A,Output_Mac!H:H,""),
_xlpm.MyAuditVal,_xlfn.XLOOKUP($A666,My_Audit!$A:$A,My_Audit!F:F,""),
_xlfn.IFS(_xlpm.MyAuditVal&lt;&gt;"",_xlpm.MyAuditVal,_xlpm.MacVal&lt;&gt;"",_xlpm.MacVal,_xlpm.CSVVal&lt;&gt;"",_xlpm.CSVVal
)),"")</f>
        <v/>
      </c>
      <c r="H666" s="45" t="str">
        <f>_xlfn.XLOOKUP(A666,Output_Mac!A:A,Output_Mac!I:I,"")</f>
        <v/>
      </c>
      <c r="I666" s="45" t="str" cm="1">
        <f t="array" ref="I666">IFERROR(_xlfn.LET(
_xlpm.CSVVal,_xlfn.XLOOKUP($A666,CSV!$A:$A,CSV!H:H,""),
_xlpm.MacVal,_xlfn.XLOOKUP($A666,Output_Mac!$A:$A,Output_Mac!J:J,""),
_xlpm.MyAuditVal,_xlfn.XLOOKUP($A666,My_Audit!$A:$A,My_Audit!H:H,""),
_xlfn.IFS(_xlpm.MyAuditVal&lt;&gt;"",UPPER(_xlpm.MyAuditVal),_xlpm.MacVal&lt;&gt;"",_xlpm.MacVal,_xlpm.CSVVal&lt;&gt;"",_xlpm.CSVVal
)),"")</f>
        <v/>
      </c>
      <c r="J666" s="45" t="str" cm="1">
        <f t="array" ref="J666">IFERROR(_xlfn.LET(
_xlpm.CSVVal,_xlfn.XLOOKUP($A666,CSV!$A:$A,CSV!J:J,""),
_xlpm.MacVal,_xlfn.XLOOKUP($A666,Output_Mac!$A:$A,Output_Mac!K:K,""),
_xlpm.MyAuditVal,_xlfn.XLOOKUP($A666,My_Audit!$A:$A,My_Audit!I:I,""),
_xlfn.IFS(_xlpm.MyAuditVal&lt;&gt;"",UPPER(_xlpm.MyAuditVal),_xlpm.MacVal&lt;&gt;"",_xlpm.MacVal,_xlpm.CSVVal&lt;&gt;"",_xlpm.CSVVal
)),"")</f>
        <v/>
      </c>
      <c r="K666" s="45" t="str" cm="1">
        <f t="array" ref="K666">IFERROR(_xlfn.LET(
_xlpm.CSVVal,_xlfn.XLOOKUP($A666,CSV!$A:$A,CSV!N:N,""),
_xlpm.MacVal,_xlfn.XLOOKUP($A666,Output_Mac!$A:$A,Output_Mac!L:L,""),
_xlpm.MyAuditVal,_xlfn.XLOOKUP($A666,My_Audit!$A:$A,My_Audit!J:J,""),
_xlfn.IFS(_xlpm.MyAuditVal&lt;&gt;"",UPPER(_xlpm.MyAuditVal),_xlpm.MacVal&lt;&gt;"",_xlpm.MacVal,_xlpm.CSVVal&lt;&gt;"",_xlpm.CSVVal
)),"")</f>
        <v/>
      </c>
      <c r="L666" s="45" t="str" cm="1">
        <f t="array" ref="L666">IFERROR(_xlfn.LET(
_xlpm.CSVVal,_xlfn.XLOOKUP($A666,CSV!$A:$A,CSV!P:P,""),
_xlpm.MacVal,_xlfn.XLOOKUP($A666,Output_Mac!$A:$A,Output_Mac!M:M,""),
_xlpm.MyAuditVal,_xlfn.XLOOKUP($A666,My_Audit!$A:$A,My_Audit!K:K,""),
_xlfn.IFS(_xlpm.MyAuditVal&lt;&gt;"",UPPER(_xlpm.MyAuditVal),_xlpm.MacVal&lt;&gt;"",_xlpm.MacVal,_xlpm.CSVVal&lt;&gt;"",_xlpm.CSVVal
)),"")</f>
        <v/>
      </c>
      <c r="M666" s="45" t="str">
        <f>_xlfn.LET(
    _xlpm.CSVVal, _xlfn.XLOOKUP($A666, CSV!$A:$A, CSV!AE:AE, ""),
    _xlpm.MacVal, _xlfn.XLOOKUP($A666, Output_Mac!$A:$A, Output_Mac!S:S, ""),
    _xlpm.MyAuditVal, _xlfn.XLOOKUP($A666, My_Audit!$A:$A, My_Audit!N:N, ""),
    _xlfn.TEXTJOIN(", ", TRUE, _xlpm.MyAuditVal, _xlpm.MacVal, _xlpm.CSVVal)
)</f>
        <v/>
      </c>
      <c r="N666" s="45" t="str" cm="1">
        <f t="array" ref="N666">IFERROR(_xlfn.LET(
_xlpm.CSVVal,_xlfn.XLOOKUP($A666,CSV!$A:$A,CSV!AG:AG,""),
_xlpm.MacVal,_xlfn.XLOOKUP($A666,Output_Mac!$A:$A,Output_Mac!U:U,""),
_xlpm.MyAuditVal,_xlfn.XLOOKUP($A666,My_Audit!$A:$A,My_Audit!O:O,""),
_xlfn.IFS(_xlpm.MyAuditVal&lt;&gt;"",UPPER(_xlpm.MyAuditVal),_xlpm.MacVal&lt;&gt;"",_xlpm.MacVal,_xlpm.CSVVal&lt;&gt;"",_xlpm.CSVVal
)),"")</f>
        <v/>
      </c>
      <c r="O666" s="45"/>
      <c r="P666" s="45"/>
      <c r="Q666" s="46" t="str">
        <f>IF(LEFT(N666,4)="Pass","Nist SP 800-88",My_Audit!R666)&amp;""</f>
        <v/>
      </c>
      <c r="R666" s="45"/>
      <c r="S666" s="45"/>
      <c r="T666" s="46" t="str">
        <f>_xlfn.XLOOKUP(E666,Models!I:I,Models!J:J,"")</f>
        <v/>
      </c>
      <c r="U666" s="45"/>
      <c r="V666" s="45"/>
      <c r="W666" s="38"/>
    </row>
    <row r="667" spans="1:23">
      <c r="A667" s="45" t="str">
        <f>_xlfn.TEXTJOIN("",TRUE,Input!$B$2,ROW(My_Audit!A666))</f>
        <v>XX666</v>
      </c>
      <c r="B667" s="45" t="str">
        <f>_xlfn.TEXTJOIN("-",TRUE,"ITD",Input!$A$2,A667)</f>
        <v>ITD-SHRXXX-XX666</v>
      </c>
      <c r="C667" s="45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46" t="str" cm="1">
        <f t="array" ref="D667">IFERROR(_xlfn.LET(
_xlpm.CSVVal,_xlfn.XLOOKUP($A667,CSV!$A:$A,CSV!C:C,""),
_xlpm.MacVal,_xlfn.XLOOKUP($A667,Output_Mac!$A:$A,Output_Mac!D:D,""),
_xlpm.MyAuditVal,_xlfn.XLOOKUP($A667,My_Audit!$A:$A,My_Audit!C:C,""),
_xlfn.IFS(_xlpm.MyAuditVal&lt;&gt;"",UPPER(_xlpm.MyAuditVal),_xlpm.MacVal&lt;&gt;"",_xlpm.MacVal,_xlpm.CSVVal&lt;&gt;"",_xlpm.CSVVal
)),"")</f>
        <v/>
      </c>
      <c r="E667" s="46" t="str" cm="1">
        <f t="array" ref="E667">IFERROR(_xlfn.LET(
_xlpm.CSVVal,_xlfn.XLOOKUP($A667,CSV!$A:$A,CSV!E:E,""),
_xlpm.MacVal,_xlfn.XLOOKUP($A667,Output_Mac!$A:$A,Output_Mac!C:C,""),
_xlpm.MyAuditVal,_xlfn.XLOOKUP($A667,My_Audit!$A:$A,My_Audit!D:D,""),
_xlfn.IFS(_xlpm.MyAuditVal&lt;&gt;"",_xlpm.MyAuditVal,_xlpm.MacVal&lt;&gt;"",_xlpm.MacVal,_xlpm.CSVVal&lt;&gt;"",_xlpm.CSVVal
)),"")</f>
        <v/>
      </c>
      <c r="F667" s="45" t="str" cm="1">
        <f t="array" ref="F667">IFERROR(_xlfn.LET(
_xlpm.CSVVal,_xlfn.XLOOKUP($A667,CSV!$A:$A,CSV!F:F,""),
_xlpm.MacVal,_xlfn.XLOOKUP($A667,Output_Mac!$A:$A,Output_Mac!F:F,""),
_xlpm.MyAuditVal,_xlfn.XLOOKUP($A667,My_Audit!$A:$A,My_Audit!E:E,""),
_xlfn.IFS(_xlpm.MyAuditVal&lt;&gt;"",_xlpm.MyAuditVal,_xlpm.MacVal&lt;&gt;"",_xlpm.MacVal,_xlpm.CSVVal&lt;&gt;"",PROPER(_xlpm.CSVVal)
)),"")</f>
        <v/>
      </c>
      <c r="G667" s="45" t="str" cm="1">
        <f t="array" ref="G667">IFERROR(_xlfn.LET(
_xlpm.CSVVal,_xlfn.XLOOKUP($A667,CSV!$A:$A,CSV!G:G,""),
_xlpm.MacVal,_xlfn.XLOOKUP($A667,Output_Mac!$A:$A,Output_Mac!H:H,""),
_xlpm.MyAuditVal,_xlfn.XLOOKUP($A667,My_Audit!$A:$A,My_Audit!F:F,""),
_xlfn.IFS(_xlpm.MyAuditVal&lt;&gt;"",_xlpm.MyAuditVal,_xlpm.MacVal&lt;&gt;"",_xlpm.MacVal,_xlpm.CSVVal&lt;&gt;"",_xlpm.CSVVal
)),"")</f>
        <v/>
      </c>
      <c r="H667" s="45" t="str">
        <f>_xlfn.XLOOKUP(A667,Output_Mac!A:A,Output_Mac!I:I,"")</f>
        <v/>
      </c>
      <c r="I667" s="45" t="str" cm="1">
        <f t="array" ref="I667">IFERROR(_xlfn.LET(
_xlpm.CSVVal,_xlfn.XLOOKUP($A667,CSV!$A:$A,CSV!H:H,""),
_xlpm.MacVal,_xlfn.XLOOKUP($A667,Output_Mac!$A:$A,Output_Mac!J:J,""),
_xlpm.MyAuditVal,_xlfn.XLOOKUP($A667,My_Audit!$A:$A,My_Audit!H:H,""),
_xlfn.IFS(_xlpm.MyAuditVal&lt;&gt;"",UPPER(_xlpm.MyAuditVal),_xlpm.MacVal&lt;&gt;"",_xlpm.MacVal,_xlpm.CSVVal&lt;&gt;"",_xlpm.CSVVal
)),"")</f>
        <v/>
      </c>
      <c r="J667" s="45" t="str" cm="1">
        <f t="array" ref="J667">IFERROR(_xlfn.LET(
_xlpm.CSVVal,_xlfn.XLOOKUP($A667,CSV!$A:$A,CSV!J:J,""),
_xlpm.MacVal,_xlfn.XLOOKUP($A667,Output_Mac!$A:$A,Output_Mac!K:K,""),
_xlpm.MyAuditVal,_xlfn.XLOOKUP($A667,My_Audit!$A:$A,My_Audit!I:I,""),
_xlfn.IFS(_xlpm.MyAuditVal&lt;&gt;"",UPPER(_xlpm.MyAuditVal),_xlpm.MacVal&lt;&gt;"",_xlpm.MacVal,_xlpm.CSVVal&lt;&gt;"",_xlpm.CSVVal
)),"")</f>
        <v/>
      </c>
      <c r="K667" s="45" t="str" cm="1">
        <f t="array" ref="K667">IFERROR(_xlfn.LET(
_xlpm.CSVVal,_xlfn.XLOOKUP($A667,CSV!$A:$A,CSV!N:N,""),
_xlpm.MacVal,_xlfn.XLOOKUP($A667,Output_Mac!$A:$A,Output_Mac!L:L,""),
_xlpm.MyAuditVal,_xlfn.XLOOKUP($A667,My_Audit!$A:$A,My_Audit!J:J,""),
_xlfn.IFS(_xlpm.MyAuditVal&lt;&gt;"",UPPER(_xlpm.MyAuditVal),_xlpm.MacVal&lt;&gt;"",_xlpm.MacVal,_xlpm.CSVVal&lt;&gt;"",_xlpm.CSVVal
)),"")</f>
        <v/>
      </c>
      <c r="L667" s="45" t="str" cm="1">
        <f t="array" ref="L667">IFERROR(_xlfn.LET(
_xlpm.CSVVal,_xlfn.XLOOKUP($A667,CSV!$A:$A,CSV!P:P,""),
_xlpm.MacVal,_xlfn.XLOOKUP($A667,Output_Mac!$A:$A,Output_Mac!M:M,""),
_xlpm.MyAuditVal,_xlfn.XLOOKUP($A667,My_Audit!$A:$A,My_Audit!K:K,""),
_xlfn.IFS(_xlpm.MyAuditVal&lt;&gt;"",UPPER(_xlpm.MyAuditVal),_xlpm.MacVal&lt;&gt;"",_xlpm.MacVal,_xlpm.CSVVal&lt;&gt;"",_xlpm.CSVVal
)),"")</f>
        <v/>
      </c>
      <c r="M667" s="45" t="str">
        <f>_xlfn.LET(
    _xlpm.CSVVal, _xlfn.XLOOKUP($A667, CSV!$A:$A, CSV!AE:AE, ""),
    _xlpm.MacVal, _xlfn.XLOOKUP($A667, Output_Mac!$A:$A, Output_Mac!S:S, ""),
    _xlpm.MyAuditVal, _xlfn.XLOOKUP($A667, My_Audit!$A:$A, My_Audit!N:N, ""),
    _xlfn.TEXTJOIN(", ", TRUE, _xlpm.MyAuditVal, _xlpm.MacVal, _xlpm.CSVVal)
)</f>
        <v/>
      </c>
      <c r="N667" s="45" t="str" cm="1">
        <f t="array" ref="N667">IFERROR(_xlfn.LET(
_xlpm.CSVVal,_xlfn.XLOOKUP($A667,CSV!$A:$A,CSV!AG:AG,""),
_xlpm.MacVal,_xlfn.XLOOKUP($A667,Output_Mac!$A:$A,Output_Mac!U:U,""),
_xlpm.MyAuditVal,_xlfn.XLOOKUP($A667,My_Audit!$A:$A,My_Audit!O:O,""),
_xlfn.IFS(_xlpm.MyAuditVal&lt;&gt;"",UPPER(_xlpm.MyAuditVal),_xlpm.MacVal&lt;&gt;"",_xlpm.MacVal,_xlpm.CSVVal&lt;&gt;"",_xlpm.CSVVal
)),"")</f>
        <v/>
      </c>
      <c r="O667" s="45"/>
      <c r="P667" s="45"/>
      <c r="Q667" s="46" t="str">
        <f>IF(LEFT(N667,4)="Pass","Nist SP 800-88",My_Audit!R667)&amp;""</f>
        <v/>
      </c>
      <c r="R667" s="45"/>
      <c r="S667" s="45"/>
      <c r="T667" s="46" t="str">
        <f>_xlfn.XLOOKUP(E667,Models!I:I,Models!J:J,"")</f>
        <v/>
      </c>
      <c r="U667" s="45"/>
      <c r="V667" s="45"/>
      <c r="W667" s="38"/>
    </row>
    <row r="668" spans="1:23">
      <c r="A668" s="45" t="str">
        <f>_xlfn.TEXTJOIN("",TRUE,Input!$B$2,ROW(My_Audit!A667))</f>
        <v>XX667</v>
      </c>
      <c r="B668" s="45" t="str">
        <f>_xlfn.TEXTJOIN("-",TRUE,"ITD",Input!$A$2,A668)</f>
        <v>ITD-SHRXXX-XX667</v>
      </c>
      <c r="C668" s="45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46" t="str" cm="1">
        <f t="array" ref="D668">IFERROR(_xlfn.LET(
_xlpm.CSVVal,_xlfn.XLOOKUP($A668,CSV!$A:$A,CSV!C:C,""),
_xlpm.MacVal,_xlfn.XLOOKUP($A668,Output_Mac!$A:$A,Output_Mac!D:D,""),
_xlpm.MyAuditVal,_xlfn.XLOOKUP($A668,My_Audit!$A:$A,My_Audit!C:C,""),
_xlfn.IFS(_xlpm.MyAuditVal&lt;&gt;"",UPPER(_xlpm.MyAuditVal),_xlpm.MacVal&lt;&gt;"",_xlpm.MacVal,_xlpm.CSVVal&lt;&gt;"",_xlpm.CSVVal
)),"")</f>
        <v/>
      </c>
      <c r="E668" s="46" t="str" cm="1">
        <f t="array" ref="E668">IFERROR(_xlfn.LET(
_xlpm.CSVVal,_xlfn.XLOOKUP($A668,CSV!$A:$A,CSV!E:E,""),
_xlpm.MacVal,_xlfn.XLOOKUP($A668,Output_Mac!$A:$A,Output_Mac!C:C,""),
_xlpm.MyAuditVal,_xlfn.XLOOKUP($A668,My_Audit!$A:$A,My_Audit!D:D,""),
_xlfn.IFS(_xlpm.MyAuditVal&lt;&gt;"",_xlpm.MyAuditVal,_xlpm.MacVal&lt;&gt;"",_xlpm.MacVal,_xlpm.CSVVal&lt;&gt;"",_xlpm.CSVVal
)),"")</f>
        <v/>
      </c>
      <c r="F668" s="45" t="str" cm="1">
        <f t="array" ref="F668">IFERROR(_xlfn.LET(
_xlpm.CSVVal,_xlfn.XLOOKUP($A668,CSV!$A:$A,CSV!F:F,""),
_xlpm.MacVal,_xlfn.XLOOKUP($A668,Output_Mac!$A:$A,Output_Mac!F:F,""),
_xlpm.MyAuditVal,_xlfn.XLOOKUP($A668,My_Audit!$A:$A,My_Audit!E:E,""),
_xlfn.IFS(_xlpm.MyAuditVal&lt;&gt;"",_xlpm.MyAuditVal,_xlpm.MacVal&lt;&gt;"",_xlpm.MacVal,_xlpm.CSVVal&lt;&gt;"",PROPER(_xlpm.CSVVal)
)),"")</f>
        <v/>
      </c>
      <c r="G668" s="45" t="str" cm="1">
        <f t="array" ref="G668">IFERROR(_xlfn.LET(
_xlpm.CSVVal,_xlfn.XLOOKUP($A668,CSV!$A:$A,CSV!G:G,""),
_xlpm.MacVal,_xlfn.XLOOKUP($A668,Output_Mac!$A:$A,Output_Mac!H:H,""),
_xlpm.MyAuditVal,_xlfn.XLOOKUP($A668,My_Audit!$A:$A,My_Audit!F:F,""),
_xlfn.IFS(_xlpm.MyAuditVal&lt;&gt;"",_xlpm.MyAuditVal,_xlpm.MacVal&lt;&gt;"",_xlpm.MacVal,_xlpm.CSVVal&lt;&gt;"",_xlpm.CSVVal
)),"")</f>
        <v/>
      </c>
      <c r="H668" s="45" t="str">
        <f>_xlfn.XLOOKUP(A668,Output_Mac!A:A,Output_Mac!I:I,"")</f>
        <v/>
      </c>
      <c r="I668" s="45" t="str" cm="1">
        <f t="array" ref="I668">IFERROR(_xlfn.LET(
_xlpm.CSVVal,_xlfn.XLOOKUP($A668,CSV!$A:$A,CSV!H:H,""),
_xlpm.MacVal,_xlfn.XLOOKUP($A668,Output_Mac!$A:$A,Output_Mac!J:J,""),
_xlpm.MyAuditVal,_xlfn.XLOOKUP($A668,My_Audit!$A:$A,My_Audit!H:H,""),
_xlfn.IFS(_xlpm.MyAuditVal&lt;&gt;"",UPPER(_xlpm.MyAuditVal),_xlpm.MacVal&lt;&gt;"",_xlpm.MacVal,_xlpm.CSVVal&lt;&gt;"",_xlpm.CSVVal
)),"")</f>
        <v/>
      </c>
      <c r="J668" s="45" t="str" cm="1">
        <f t="array" ref="J668">IFERROR(_xlfn.LET(
_xlpm.CSVVal,_xlfn.XLOOKUP($A668,CSV!$A:$A,CSV!J:J,""),
_xlpm.MacVal,_xlfn.XLOOKUP($A668,Output_Mac!$A:$A,Output_Mac!K:K,""),
_xlpm.MyAuditVal,_xlfn.XLOOKUP($A668,My_Audit!$A:$A,My_Audit!I:I,""),
_xlfn.IFS(_xlpm.MyAuditVal&lt;&gt;"",UPPER(_xlpm.MyAuditVal),_xlpm.MacVal&lt;&gt;"",_xlpm.MacVal,_xlpm.CSVVal&lt;&gt;"",_xlpm.CSVVal
)),"")</f>
        <v/>
      </c>
      <c r="K668" s="45" t="str" cm="1">
        <f t="array" ref="K668">IFERROR(_xlfn.LET(
_xlpm.CSVVal,_xlfn.XLOOKUP($A668,CSV!$A:$A,CSV!N:N,""),
_xlpm.MacVal,_xlfn.XLOOKUP($A668,Output_Mac!$A:$A,Output_Mac!L:L,""),
_xlpm.MyAuditVal,_xlfn.XLOOKUP($A668,My_Audit!$A:$A,My_Audit!J:J,""),
_xlfn.IFS(_xlpm.MyAuditVal&lt;&gt;"",UPPER(_xlpm.MyAuditVal),_xlpm.MacVal&lt;&gt;"",_xlpm.MacVal,_xlpm.CSVVal&lt;&gt;"",_xlpm.CSVVal
)),"")</f>
        <v/>
      </c>
      <c r="L668" s="45" t="str" cm="1">
        <f t="array" ref="L668">IFERROR(_xlfn.LET(
_xlpm.CSVVal,_xlfn.XLOOKUP($A668,CSV!$A:$A,CSV!P:P,""),
_xlpm.MacVal,_xlfn.XLOOKUP($A668,Output_Mac!$A:$A,Output_Mac!M:M,""),
_xlpm.MyAuditVal,_xlfn.XLOOKUP($A668,My_Audit!$A:$A,My_Audit!K:K,""),
_xlfn.IFS(_xlpm.MyAuditVal&lt;&gt;"",UPPER(_xlpm.MyAuditVal),_xlpm.MacVal&lt;&gt;"",_xlpm.MacVal,_xlpm.CSVVal&lt;&gt;"",_xlpm.CSVVal
)),"")</f>
        <v/>
      </c>
      <c r="M668" s="45" t="str">
        <f>_xlfn.LET(
    _xlpm.CSVVal, _xlfn.XLOOKUP($A668, CSV!$A:$A, CSV!AE:AE, ""),
    _xlpm.MacVal, _xlfn.XLOOKUP($A668, Output_Mac!$A:$A, Output_Mac!S:S, ""),
    _xlpm.MyAuditVal, _xlfn.XLOOKUP($A668, My_Audit!$A:$A, My_Audit!N:N, ""),
    _xlfn.TEXTJOIN(", ", TRUE, _xlpm.MyAuditVal, _xlpm.MacVal, _xlpm.CSVVal)
)</f>
        <v/>
      </c>
      <c r="N668" s="45" t="str" cm="1">
        <f t="array" ref="N668">IFERROR(_xlfn.LET(
_xlpm.CSVVal,_xlfn.XLOOKUP($A668,CSV!$A:$A,CSV!AG:AG,""),
_xlpm.MacVal,_xlfn.XLOOKUP($A668,Output_Mac!$A:$A,Output_Mac!U:U,""),
_xlpm.MyAuditVal,_xlfn.XLOOKUP($A668,My_Audit!$A:$A,My_Audit!O:O,""),
_xlfn.IFS(_xlpm.MyAuditVal&lt;&gt;"",UPPER(_xlpm.MyAuditVal),_xlpm.MacVal&lt;&gt;"",_xlpm.MacVal,_xlpm.CSVVal&lt;&gt;"",_xlpm.CSVVal
)),"")</f>
        <v/>
      </c>
      <c r="O668" s="45"/>
      <c r="P668" s="45"/>
      <c r="Q668" s="46" t="str">
        <f>IF(LEFT(N668,4)="Pass","Nist SP 800-88",My_Audit!R668)&amp;""</f>
        <v/>
      </c>
      <c r="R668" s="45"/>
      <c r="S668" s="45"/>
      <c r="T668" s="46" t="str">
        <f>_xlfn.XLOOKUP(E668,Models!I:I,Models!J:J,"")</f>
        <v/>
      </c>
      <c r="U668" s="45"/>
      <c r="V668" s="45"/>
      <c r="W668" s="38"/>
    </row>
    <row r="669" spans="1:23">
      <c r="A669" s="45" t="str">
        <f>_xlfn.TEXTJOIN("",TRUE,Input!$B$2,ROW(My_Audit!A668))</f>
        <v>XX668</v>
      </c>
      <c r="B669" s="45" t="str">
        <f>_xlfn.TEXTJOIN("-",TRUE,"ITD",Input!$A$2,A669)</f>
        <v>ITD-SHRXXX-XX668</v>
      </c>
      <c r="C669" s="45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46" t="str" cm="1">
        <f t="array" ref="D669">IFERROR(_xlfn.LET(
_xlpm.CSVVal,_xlfn.XLOOKUP($A669,CSV!$A:$A,CSV!C:C,""),
_xlpm.MacVal,_xlfn.XLOOKUP($A669,Output_Mac!$A:$A,Output_Mac!D:D,""),
_xlpm.MyAuditVal,_xlfn.XLOOKUP($A669,My_Audit!$A:$A,My_Audit!C:C,""),
_xlfn.IFS(_xlpm.MyAuditVal&lt;&gt;"",UPPER(_xlpm.MyAuditVal),_xlpm.MacVal&lt;&gt;"",_xlpm.MacVal,_xlpm.CSVVal&lt;&gt;"",_xlpm.CSVVal
)),"")</f>
        <v/>
      </c>
      <c r="E669" s="46" t="str" cm="1">
        <f t="array" ref="E669">IFERROR(_xlfn.LET(
_xlpm.CSVVal,_xlfn.XLOOKUP($A669,CSV!$A:$A,CSV!E:E,""),
_xlpm.MacVal,_xlfn.XLOOKUP($A669,Output_Mac!$A:$A,Output_Mac!C:C,""),
_xlpm.MyAuditVal,_xlfn.XLOOKUP($A669,My_Audit!$A:$A,My_Audit!D:D,""),
_xlfn.IFS(_xlpm.MyAuditVal&lt;&gt;"",_xlpm.MyAuditVal,_xlpm.MacVal&lt;&gt;"",_xlpm.MacVal,_xlpm.CSVVal&lt;&gt;"",_xlpm.CSVVal
)),"")</f>
        <v/>
      </c>
      <c r="F669" s="45" t="str" cm="1">
        <f t="array" ref="F669">IFERROR(_xlfn.LET(
_xlpm.CSVVal,_xlfn.XLOOKUP($A669,CSV!$A:$A,CSV!F:F,""),
_xlpm.MacVal,_xlfn.XLOOKUP($A669,Output_Mac!$A:$A,Output_Mac!F:F,""),
_xlpm.MyAuditVal,_xlfn.XLOOKUP($A669,My_Audit!$A:$A,My_Audit!E:E,""),
_xlfn.IFS(_xlpm.MyAuditVal&lt;&gt;"",_xlpm.MyAuditVal,_xlpm.MacVal&lt;&gt;"",_xlpm.MacVal,_xlpm.CSVVal&lt;&gt;"",PROPER(_xlpm.CSVVal)
)),"")</f>
        <v/>
      </c>
      <c r="G669" s="45" t="str" cm="1">
        <f t="array" ref="G669">IFERROR(_xlfn.LET(
_xlpm.CSVVal,_xlfn.XLOOKUP($A669,CSV!$A:$A,CSV!G:G,""),
_xlpm.MacVal,_xlfn.XLOOKUP($A669,Output_Mac!$A:$A,Output_Mac!H:H,""),
_xlpm.MyAuditVal,_xlfn.XLOOKUP($A669,My_Audit!$A:$A,My_Audit!F:F,""),
_xlfn.IFS(_xlpm.MyAuditVal&lt;&gt;"",_xlpm.MyAuditVal,_xlpm.MacVal&lt;&gt;"",_xlpm.MacVal,_xlpm.CSVVal&lt;&gt;"",_xlpm.CSVVal
)),"")</f>
        <v/>
      </c>
      <c r="H669" s="45" t="str">
        <f>_xlfn.XLOOKUP(A669,Output_Mac!A:A,Output_Mac!I:I,"")</f>
        <v/>
      </c>
      <c r="I669" s="45" t="str" cm="1">
        <f t="array" ref="I669">IFERROR(_xlfn.LET(
_xlpm.CSVVal,_xlfn.XLOOKUP($A669,CSV!$A:$A,CSV!H:H,""),
_xlpm.MacVal,_xlfn.XLOOKUP($A669,Output_Mac!$A:$A,Output_Mac!J:J,""),
_xlpm.MyAuditVal,_xlfn.XLOOKUP($A669,My_Audit!$A:$A,My_Audit!H:H,""),
_xlfn.IFS(_xlpm.MyAuditVal&lt;&gt;"",UPPER(_xlpm.MyAuditVal),_xlpm.MacVal&lt;&gt;"",_xlpm.MacVal,_xlpm.CSVVal&lt;&gt;"",_xlpm.CSVVal
)),"")</f>
        <v/>
      </c>
      <c r="J669" s="45" t="str" cm="1">
        <f t="array" ref="J669">IFERROR(_xlfn.LET(
_xlpm.CSVVal,_xlfn.XLOOKUP($A669,CSV!$A:$A,CSV!J:J,""),
_xlpm.MacVal,_xlfn.XLOOKUP($A669,Output_Mac!$A:$A,Output_Mac!K:K,""),
_xlpm.MyAuditVal,_xlfn.XLOOKUP($A669,My_Audit!$A:$A,My_Audit!I:I,""),
_xlfn.IFS(_xlpm.MyAuditVal&lt;&gt;"",UPPER(_xlpm.MyAuditVal),_xlpm.MacVal&lt;&gt;"",_xlpm.MacVal,_xlpm.CSVVal&lt;&gt;"",_xlpm.CSVVal
)),"")</f>
        <v/>
      </c>
      <c r="K669" s="45" t="str" cm="1">
        <f t="array" ref="K669">IFERROR(_xlfn.LET(
_xlpm.CSVVal,_xlfn.XLOOKUP($A669,CSV!$A:$A,CSV!N:N,""),
_xlpm.MacVal,_xlfn.XLOOKUP($A669,Output_Mac!$A:$A,Output_Mac!L:L,""),
_xlpm.MyAuditVal,_xlfn.XLOOKUP($A669,My_Audit!$A:$A,My_Audit!J:J,""),
_xlfn.IFS(_xlpm.MyAuditVal&lt;&gt;"",UPPER(_xlpm.MyAuditVal),_xlpm.MacVal&lt;&gt;"",_xlpm.MacVal,_xlpm.CSVVal&lt;&gt;"",_xlpm.CSVVal
)),"")</f>
        <v/>
      </c>
      <c r="L669" s="45" t="str" cm="1">
        <f t="array" ref="L669">IFERROR(_xlfn.LET(
_xlpm.CSVVal,_xlfn.XLOOKUP($A669,CSV!$A:$A,CSV!P:P,""),
_xlpm.MacVal,_xlfn.XLOOKUP($A669,Output_Mac!$A:$A,Output_Mac!M:M,""),
_xlpm.MyAuditVal,_xlfn.XLOOKUP($A669,My_Audit!$A:$A,My_Audit!K:K,""),
_xlfn.IFS(_xlpm.MyAuditVal&lt;&gt;"",UPPER(_xlpm.MyAuditVal),_xlpm.MacVal&lt;&gt;"",_xlpm.MacVal,_xlpm.CSVVal&lt;&gt;"",_xlpm.CSVVal
)),"")</f>
        <v/>
      </c>
      <c r="M669" s="45" t="str">
        <f>_xlfn.LET(
    _xlpm.CSVVal, _xlfn.XLOOKUP($A669, CSV!$A:$A, CSV!AE:AE, ""),
    _xlpm.MacVal, _xlfn.XLOOKUP($A669, Output_Mac!$A:$A, Output_Mac!S:S, ""),
    _xlpm.MyAuditVal, _xlfn.XLOOKUP($A669, My_Audit!$A:$A, My_Audit!N:N, ""),
    _xlfn.TEXTJOIN(", ", TRUE, _xlpm.MyAuditVal, _xlpm.MacVal, _xlpm.CSVVal)
)</f>
        <v/>
      </c>
      <c r="N669" s="45" t="str" cm="1">
        <f t="array" ref="N669">IFERROR(_xlfn.LET(
_xlpm.CSVVal,_xlfn.XLOOKUP($A669,CSV!$A:$A,CSV!AG:AG,""),
_xlpm.MacVal,_xlfn.XLOOKUP($A669,Output_Mac!$A:$A,Output_Mac!U:U,""),
_xlpm.MyAuditVal,_xlfn.XLOOKUP($A669,My_Audit!$A:$A,My_Audit!O:O,""),
_xlfn.IFS(_xlpm.MyAuditVal&lt;&gt;"",UPPER(_xlpm.MyAuditVal),_xlpm.MacVal&lt;&gt;"",_xlpm.MacVal,_xlpm.CSVVal&lt;&gt;"",_xlpm.CSVVal
)),"")</f>
        <v/>
      </c>
      <c r="O669" s="45"/>
      <c r="P669" s="45"/>
      <c r="Q669" s="46" t="str">
        <f>IF(LEFT(N669,4)="Pass","Nist SP 800-88",My_Audit!R669)&amp;""</f>
        <v/>
      </c>
      <c r="R669" s="45"/>
      <c r="S669" s="45"/>
      <c r="T669" s="46" t="str">
        <f>_xlfn.XLOOKUP(E669,Models!I:I,Models!J:J,"")</f>
        <v/>
      </c>
      <c r="U669" s="45"/>
      <c r="V669" s="45"/>
      <c r="W669" s="38"/>
    </row>
    <row r="670" spans="1:23">
      <c r="A670" s="45" t="str">
        <f>_xlfn.TEXTJOIN("",TRUE,Input!$B$2,ROW(My_Audit!A669))</f>
        <v>XX669</v>
      </c>
      <c r="B670" s="45" t="str">
        <f>_xlfn.TEXTJOIN("-",TRUE,"ITD",Input!$A$2,A670)</f>
        <v>ITD-SHRXXX-XX669</v>
      </c>
      <c r="C670" s="45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46" t="str" cm="1">
        <f t="array" ref="D670">IFERROR(_xlfn.LET(
_xlpm.CSVVal,_xlfn.XLOOKUP($A670,CSV!$A:$A,CSV!C:C,""),
_xlpm.MacVal,_xlfn.XLOOKUP($A670,Output_Mac!$A:$A,Output_Mac!D:D,""),
_xlpm.MyAuditVal,_xlfn.XLOOKUP($A670,My_Audit!$A:$A,My_Audit!C:C,""),
_xlfn.IFS(_xlpm.MyAuditVal&lt;&gt;"",UPPER(_xlpm.MyAuditVal),_xlpm.MacVal&lt;&gt;"",_xlpm.MacVal,_xlpm.CSVVal&lt;&gt;"",_xlpm.CSVVal
)),"")</f>
        <v/>
      </c>
      <c r="E670" s="46" t="str" cm="1">
        <f t="array" ref="E670">IFERROR(_xlfn.LET(
_xlpm.CSVVal,_xlfn.XLOOKUP($A670,CSV!$A:$A,CSV!E:E,""),
_xlpm.MacVal,_xlfn.XLOOKUP($A670,Output_Mac!$A:$A,Output_Mac!C:C,""),
_xlpm.MyAuditVal,_xlfn.XLOOKUP($A670,My_Audit!$A:$A,My_Audit!D:D,""),
_xlfn.IFS(_xlpm.MyAuditVal&lt;&gt;"",_xlpm.MyAuditVal,_xlpm.MacVal&lt;&gt;"",_xlpm.MacVal,_xlpm.CSVVal&lt;&gt;"",_xlpm.CSVVal
)),"")</f>
        <v/>
      </c>
      <c r="F670" s="45" t="str" cm="1">
        <f t="array" ref="F670">IFERROR(_xlfn.LET(
_xlpm.CSVVal,_xlfn.XLOOKUP($A670,CSV!$A:$A,CSV!F:F,""),
_xlpm.MacVal,_xlfn.XLOOKUP($A670,Output_Mac!$A:$A,Output_Mac!F:F,""),
_xlpm.MyAuditVal,_xlfn.XLOOKUP($A670,My_Audit!$A:$A,My_Audit!E:E,""),
_xlfn.IFS(_xlpm.MyAuditVal&lt;&gt;"",_xlpm.MyAuditVal,_xlpm.MacVal&lt;&gt;"",_xlpm.MacVal,_xlpm.CSVVal&lt;&gt;"",PROPER(_xlpm.CSVVal)
)),"")</f>
        <v/>
      </c>
      <c r="G670" s="45" t="str" cm="1">
        <f t="array" ref="G670">IFERROR(_xlfn.LET(
_xlpm.CSVVal,_xlfn.XLOOKUP($A670,CSV!$A:$A,CSV!G:G,""),
_xlpm.MacVal,_xlfn.XLOOKUP($A670,Output_Mac!$A:$A,Output_Mac!H:H,""),
_xlpm.MyAuditVal,_xlfn.XLOOKUP($A670,My_Audit!$A:$A,My_Audit!F:F,""),
_xlfn.IFS(_xlpm.MyAuditVal&lt;&gt;"",_xlpm.MyAuditVal,_xlpm.MacVal&lt;&gt;"",_xlpm.MacVal,_xlpm.CSVVal&lt;&gt;"",_xlpm.CSVVal
)),"")</f>
        <v/>
      </c>
      <c r="H670" s="45" t="str">
        <f>_xlfn.XLOOKUP(A670,Output_Mac!A:A,Output_Mac!I:I,"")</f>
        <v/>
      </c>
      <c r="I670" s="45" t="str" cm="1">
        <f t="array" ref="I670">IFERROR(_xlfn.LET(
_xlpm.CSVVal,_xlfn.XLOOKUP($A670,CSV!$A:$A,CSV!H:H,""),
_xlpm.MacVal,_xlfn.XLOOKUP($A670,Output_Mac!$A:$A,Output_Mac!J:J,""),
_xlpm.MyAuditVal,_xlfn.XLOOKUP($A670,My_Audit!$A:$A,My_Audit!H:H,""),
_xlfn.IFS(_xlpm.MyAuditVal&lt;&gt;"",UPPER(_xlpm.MyAuditVal),_xlpm.MacVal&lt;&gt;"",_xlpm.MacVal,_xlpm.CSVVal&lt;&gt;"",_xlpm.CSVVal
)),"")</f>
        <v/>
      </c>
      <c r="J670" s="45" t="str" cm="1">
        <f t="array" ref="J670">IFERROR(_xlfn.LET(
_xlpm.CSVVal,_xlfn.XLOOKUP($A670,CSV!$A:$A,CSV!J:J,""),
_xlpm.MacVal,_xlfn.XLOOKUP($A670,Output_Mac!$A:$A,Output_Mac!K:K,""),
_xlpm.MyAuditVal,_xlfn.XLOOKUP($A670,My_Audit!$A:$A,My_Audit!I:I,""),
_xlfn.IFS(_xlpm.MyAuditVal&lt;&gt;"",UPPER(_xlpm.MyAuditVal),_xlpm.MacVal&lt;&gt;"",_xlpm.MacVal,_xlpm.CSVVal&lt;&gt;"",_xlpm.CSVVal
)),"")</f>
        <v/>
      </c>
      <c r="K670" s="45" t="str" cm="1">
        <f t="array" ref="K670">IFERROR(_xlfn.LET(
_xlpm.CSVVal,_xlfn.XLOOKUP($A670,CSV!$A:$A,CSV!N:N,""),
_xlpm.MacVal,_xlfn.XLOOKUP($A670,Output_Mac!$A:$A,Output_Mac!L:L,""),
_xlpm.MyAuditVal,_xlfn.XLOOKUP($A670,My_Audit!$A:$A,My_Audit!J:J,""),
_xlfn.IFS(_xlpm.MyAuditVal&lt;&gt;"",UPPER(_xlpm.MyAuditVal),_xlpm.MacVal&lt;&gt;"",_xlpm.MacVal,_xlpm.CSVVal&lt;&gt;"",_xlpm.CSVVal
)),"")</f>
        <v/>
      </c>
      <c r="L670" s="45" t="str" cm="1">
        <f t="array" ref="L670">IFERROR(_xlfn.LET(
_xlpm.CSVVal,_xlfn.XLOOKUP($A670,CSV!$A:$A,CSV!P:P,""),
_xlpm.MacVal,_xlfn.XLOOKUP($A670,Output_Mac!$A:$A,Output_Mac!M:M,""),
_xlpm.MyAuditVal,_xlfn.XLOOKUP($A670,My_Audit!$A:$A,My_Audit!K:K,""),
_xlfn.IFS(_xlpm.MyAuditVal&lt;&gt;"",UPPER(_xlpm.MyAuditVal),_xlpm.MacVal&lt;&gt;"",_xlpm.MacVal,_xlpm.CSVVal&lt;&gt;"",_xlpm.CSVVal
)),"")</f>
        <v/>
      </c>
      <c r="M670" s="45" t="str">
        <f>_xlfn.LET(
    _xlpm.CSVVal, _xlfn.XLOOKUP($A670, CSV!$A:$A, CSV!AE:AE, ""),
    _xlpm.MacVal, _xlfn.XLOOKUP($A670, Output_Mac!$A:$A, Output_Mac!S:S, ""),
    _xlpm.MyAuditVal, _xlfn.XLOOKUP($A670, My_Audit!$A:$A, My_Audit!N:N, ""),
    _xlfn.TEXTJOIN(", ", TRUE, _xlpm.MyAuditVal, _xlpm.MacVal, _xlpm.CSVVal)
)</f>
        <v/>
      </c>
      <c r="N670" s="45" t="str" cm="1">
        <f t="array" ref="N670">IFERROR(_xlfn.LET(
_xlpm.CSVVal,_xlfn.XLOOKUP($A670,CSV!$A:$A,CSV!AG:AG,""),
_xlpm.MacVal,_xlfn.XLOOKUP($A670,Output_Mac!$A:$A,Output_Mac!U:U,""),
_xlpm.MyAuditVal,_xlfn.XLOOKUP($A670,My_Audit!$A:$A,My_Audit!O:O,""),
_xlfn.IFS(_xlpm.MyAuditVal&lt;&gt;"",UPPER(_xlpm.MyAuditVal),_xlpm.MacVal&lt;&gt;"",_xlpm.MacVal,_xlpm.CSVVal&lt;&gt;"",_xlpm.CSVVal
)),"")</f>
        <v/>
      </c>
      <c r="O670" s="45"/>
      <c r="P670" s="45"/>
      <c r="Q670" s="46" t="str">
        <f>IF(LEFT(N670,4)="Pass","Nist SP 800-88",My_Audit!R670)&amp;""</f>
        <v/>
      </c>
      <c r="R670" s="45"/>
      <c r="S670" s="45"/>
      <c r="T670" s="46" t="str">
        <f>_xlfn.XLOOKUP(E670,Models!I:I,Models!J:J,"")</f>
        <v/>
      </c>
      <c r="U670" s="45"/>
      <c r="V670" s="45"/>
      <c r="W670" s="38"/>
    </row>
    <row r="671" spans="1:23">
      <c r="A671" s="45" t="str">
        <f>_xlfn.TEXTJOIN("",TRUE,Input!$B$2,ROW(My_Audit!A670))</f>
        <v>XX670</v>
      </c>
      <c r="B671" s="45" t="str">
        <f>_xlfn.TEXTJOIN("-",TRUE,"ITD",Input!$A$2,A671)</f>
        <v>ITD-SHRXXX-XX670</v>
      </c>
      <c r="C671" s="45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46" t="str" cm="1">
        <f t="array" ref="D671">IFERROR(_xlfn.LET(
_xlpm.CSVVal,_xlfn.XLOOKUP($A671,CSV!$A:$A,CSV!C:C,""),
_xlpm.MacVal,_xlfn.XLOOKUP($A671,Output_Mac!$A:$A,Output_Mac!D:D,""),
_xlpm.MyAuditVal,_xlfn.XLOOKUP($A671,My_Audit!$A:$A,My_Audit!C:C,""),
_xlfn.IFS(_xlpm.MyAuditVal&lt;&gt;"",UPPER(_xlpm.MyAuditVal),_xlpm.MacVal&lt;&gt;"",_xlpm.MacVal,_xlpm.CSVVal&lt;&gt;"",_xlpm.CSVVal
)),"")</f>
        <v/>
      </c>
      <c r="E671" s="46" t="str" cm="1">
        <f t="array" ref="E671">IFERROR(_xlfn.LET(
_xlpm.CSVVal,_xlfn.XLOOKUP($A671,CSV!$A:$A,CSV!E:E,""),
_xlpm.MacVal,_xlfn.XLOOKUP($A671,Output_Mac!$A:$A,Output_Mac!C:C,""),
_xlpm.MyAuditVal,_xlfn.XLOOKUP($A671,My_Audit!$A:$A,My_Audit!D:D,""),
_xlfn.IFS(_xlpm.MyAuditVal&lt;&gt;"",_xlpm.MyAuditVal,_xlpm.MacVal&lt;&gt;"",_xlpm.MacVal,_xlpm.CSVVal&lt;&gt;"",_xlpm.CSVVal
)),"")</f>
        <v/>
      </c>
      <c r="F671" s="45" t="str" cm="1">
        <f t="array" ref="F671">IFERROR(_xlfn.LET(
_xlpm.CSVVal,_xlfn.XLOOKUP($A671,CSV!$A:$A,CSV!F:F,""),
_xlpm.MacVal,_xlfn.XLOOKUP($A671,Output_Mac!$A:$A,Output_Mac!F:F,""),
_xlpm.MyAuditVal,_xlfn.XLOOKUP($A671,My_Audit!$A:$A,My_Audit!E:E,""),
_xlfn.IFS(_xlpm.MyAuditVal&lt;&gt;"",_xlpm.MyAuditVal,_xlpm.MacVal&lt;&gt;"",_xlpm.MacVal,_xlpm.CSVVal&lt;&gt;"",PROPER(_xlpm.CSVVal)
)),"")</f>
        <v/>
      </c>
      <c r="G671" s="45" t="str" cm="1">
        <f t="array" ref="G671">IFERROR(_xlfn.LET(
_xlpm.CSVVal,_xlfn.XLOOKUP($A671,CSV!$A:$A,CSV!G:G,""),
_xlpm.MacVal,_xlfn.XLOOKUP($A671,Output_Mac!$A:$A,Output_Mac!H:H,""),
_xlpm.MyAuditVal,_xlfn.XLOOKUP($A671,My_Audit!$A:$A,My_Audit!F:F,""),
_xlfn.IFS(_xlpm.MyAuditVal&lt;&gt;"",_xlpm.MyAuditVal,_xlpm.MacVal&lt;&gt;"",_xlpm.MacVal,_xlpm.CSVVal&lt;&gt;"",_xlpm.CSVVal
)),"")</f>
        <v/>
      </c>
      <c r="H671" s="45" t="str">
        <f>_xlfn.XLOOKUP(A671,Output_Mac!A:A,Output_Mac!I:I,"")</f>
        <v/>
      </c>
      <c r="I671" s="45" t="str" cm="1">
        <f t="array" ref="I671">IFERROR(_xlfn.LET(
_xlpm.CSVVal,_xlfn.XLOOKUP($A671,CSV!$A:$A,CSV!H:H,""),
_xlpm.MacVal,_xlfn.XLOOKUP($A671,Output_Mac!$A:$A,Output_Mac!J:J,""),
_xlpm.MyAuditVal,_xlfn.XLOOKUP($A671,My_Audit!$A:$A,My_Audit!H:H,""),
_xlfn.IFS(_xlpm.MyAuditVal&lt;&gt;"",UPPER(_xlpm.MyAuditVal),_xlpm.MacVal&lt;&gt;"",_xlpm.MacVal,_xlpm.CSVVal&lt;&gt;"",_xlpm.CSVVal
)),"")</f>
        <v/>
      </c>
      <c r="J671" s="45" t="str" cm="1">
        <f t="array" ref="J671">IFERROR(_xlfn.LET(
_xlpm.CSVVal,_xlfn.XLOOKUP($A671,CSV!$A:$A,CSV!J:J,""),
_xlpm.MacVal,_xlfn.XLOOKUP($A671,Output_Mac!$A:$A,Output_Mac!K:K,""),
_xlpm.MyAuditVal,_xlfn.XLOOKUP($A671,My_Audit!$A:$A,My_Audit!I:I,""),
_xlfn.IFS(_xlpm.MyAuditVal&lt;&gt;"",UPPER(_xlpm.MyAuditVal),_xlpm.MacVal&lt;&gt;"",_xlpm.MacVal,_xlpm.CSVVal&lt;&gt;"",_xlpm.CSVVal
)),"")</f>
        <v/>
      </c>
      <c r="K671" s="45" t="str" cm="1">
        <f t="array" ref="K671">IFERROR(_xlfn.LET(
_xlpm.CSVVal,_xlfn.XLOOKUP($A671,CSV!$A:$A,CSV!N:N,""),
_xlpm.MacVal,_xlfn.XLOOKUP($A671,Output_Mac!$A:$A,Output_Mac!L:L,""),
_xlpm.MyAuditVal,_xlfn.XLOOKUP($A671,My_Audit!$A:$A,My_Audit!J:J,""),
_xlfn.IFS(_xlpm.MyAuditVal&lt;&gt;"",UPPER(_xlpm.MyAuditVal),_xlpm.MacVal&lt;&gt;"",_xlpm.MacVal,_xlpm.CSVVal&lt;&gt;"",_xlpm.CSVVal
)),"")</f>
        <v/>
      </c>
      <c r="L671" s="45" t="str" cm="1">
        <f t="array" ref="L671">IFERROR(_xlfn.LET(
_xlpm.CSVVal,_xlfn.XLOOKUP($A671,CSV!$A:$A,CSV!P:P,""),
_xlpm.MacVal,_xlfn.XLOOKUP($A671,Output_Mac!$A:$A,Output_Mac!M:M,""),
_xlpm.MyAuditVal,_xlfn.XLOOKUP($A671,My_Audit!$A:$A,My_Audit!K:K,""),
_xlfn.IFS(_xlpm.MyAuditVal&lt;&gt;"",UPPER(_xlpm.MyAuditVal),_xlpm.MacVal&lt;&gt;"",_xlpm.MacVal,_xlpm.CSVVal&lt;&gt;"",_xlpm.CSVVal
)),"")</f>
        <v/>
      </c>
      <c r="M671" s="45" t="str">
        <f>_xlfn.LET(
    _xlpm.CSVVal, _xlfn.XLOOKUP($A671, CSV!$A:$A, CSV!AE:AE, ""),
    _xlpm.MacVal, _xlfn.XLOOKUP($A671, Output_Mac!$A:$A, Output_Mac!S:S, ""),
    _xlpm.MyAuditVal, _xlfn.XLOOKUP($A671, My_Audit!$A:$A, My_Audit!N:N, ""),
    _xlfn.TEXTJOIN(", ", TRUE, _xlpm.MyAuditVal, _xlpm.MacVal, _xlpm.CSVVal)
)</f>
        <v/>
      </c>
      <c r="N671" s="45" t="str" cm="1">
        <f t="array" ref="N671">IFERROR(_xlfn.LET(
_xlpm.CSVVal,_xlfn.XLOOKUP($A671,CSV!$A:$A,CSV!AG:AG,""),
_xlpm.MacVal,_xlfn.XLOOKUP($A671,Output_Mac!$A:$A,Output_Mac!U:U,""),
_xlpm.MyAuditVal,_xlfn.XLOOKUP($A671,My_Audit!$A:$A,My_Audit!O:O,""),
_xlfn.IFS(_xlpm.MyAuditVal&lt;&gt;"",UPPER(_xlpm.MyAuditVal),_xlpm.MacVal&lt;&gt;"",_xlpm.MacVal,_xlpm.CSVVal&lt;&gt;"",_xlpm.CSVVal
)),"")</f>
        <v/>
      </c>
      <c r="O671" s="45"/>
      <c r="P671" s="45"/>
      <c r="Q671" s="46" t="str">
        <f>IF(LEFT(N671,4)="Pass","Nist SP 800-88",My_Audit!R671)&amp;""</f>
        <v/>
      </c>
      <c r="R671" s="45"/>
      <c r="S671" s="45"/>
      <c r="T671" s="46" t="str">
        <f>_xlfn.XLOOKUP(E671,Models!I:I,Models!J:J,"")</f>
        <v/>
      </c>
      <c r="U671" s="45"/>
      <c r="V671" s="45"/>
      <c r="W671" s="38"/>
    </row>
    <row r="672" spans="1:23">
      <c r="A672" s="45" t="str">
        <f>_xlfn.TEXTJOIN("",TRUE,Input!$B$2,ROW(My_Audit!A671))</f>
        <v>XX671</v>
      </c>
      <c r="B672" s="45" t="str">
        <f>_xlfn.TEXTJOIN("-",TRUE,"ITD",Input!$A$2,A672)</f>
        <v>ITD-SHRXXX-XX671</v>
      </c>
      <c r="C672" s="45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46" t="str" cm="1">
        <f t="array" ref="D672">IFERROR(_xlfn.LET(
_xlpm.CSVVal,_xlfn.XLOOKUP($A672,CSV!$A:$A,CSV!C:C,""),
_xlpm.MacVal,_xlfn.XLOOKUP($A672,Output_Mac!$A:$A,Output_Mac!D:D,""),
_xlpm.MyAuditVal,_xlfn.XLOOKUP($A672,My_Audit!$A:$A,My_Audit!C:C,""),
_xlfn.IFS(_xlpm.MyAuditVal&lt;&gt;"",UPPER(_xlpm.MyAuditVal),_xlpm.MacVal&lt;&gt;"",_xlpm.MacVal,_xlpm.CSVVal&lt;&gt;"",_xlpm.CSVVal
)),"")</f>
        <v/>
      </c>
      <c r="E672" s="46" t="str" cm="1">
        <f t="array" ref="E672">IFERROR(_xlfn.LET(
_xlpm.CSVVal,_xlfn.XLOOKUP($A672,CSV!$A:$A,CSV!E:E,""),
_xlpm.MacVal,_xlfn.XLOOKUP($A672,Output_Mac!$A:$A,Output_Mac!C:C,""),
_xlpm.MyAuditVal,_xlfn.XLOOKUP($A672,My_Audit!$A:$A,My_Audit!D:D,""),
_xlfn.IFS(_xlpm.MyAuditVal&lt;&gt;"",_xlpm.MyAuditVal,_xlpm.MacVal&lt;&gt;"",_xlpm.MacVal,_xlpm.CSVVal&lt;&gt;"",_xlpm.CSVVal
)),"")</f>
        <v/>
      </c>
      <c r="F672" s="45" t="str" cm="1">
        <f t="array" ref="F672">IFERROR(_xlfn.LET(
_xlpm.CSVVal,_xlfn.XLOOKUP($A672,CSV!$A:$A,CSV!F:F,""),
_xlpm.MacVal,_xlfn.XLOOKUP($A672,Output_Mac!$A:$A,Output_Mac!F:F,""),
_xlpm.MyAuditVal,_xlfn.XLOOKUP($A672,My_Audit!$A:$A,My_Audit!E:E,""),
_xlfn.IFS(_xlpm.MyAuditVal&lt;&gt;"",_xlpm.MyAuditVal,_xlpm.MacVal&lt;&gt;"",_xlpm.MacVal,_xlpm.CSVVal&lt;&gt;"",PROPER(_xlpm.CSVVal)
)),"")</f>
        <v/>
      </c>
      <c r="G672" s="45" t="str" cm="1">
        <f t="array" ref="G672">IFERROR(_xlfn.LET(
_xlpm.CSVVal,_xlfn.XLOOKUP($A672,CSV!$A:$A,CSV!G:G,""),
_xlpm.MacVal,_xlfn.XLOOKUP($A672,Output_Mac!$A:$A,Output_Mac!H:H,""),
_xlpm.MyAuditVal,_xlfn.XLOOKUP($A672,My_Audit!$A:$A,My_Audit!F:F,""),
_xlfn.IFS(_xlpm.MyAuditVal&lt;&gt;"",_xlpm.MyAuditVal,_xlpm.MacVal&lt;&gt;"",_xlpm.MacVal,_xlpm.CSVVal&lt;&gt;"",_xlpm.CSVVal
)),"")</f>
        <v/>
      </c>
      <c r="H672" s="45" t="str">
        <f>_xlfn.XLOOKUP(A672,Output_Mac!A:A,Output_Mac!I:I,"")</f>
        <v/>
      </c>
      <c r="I672" s="45" t="str" cm="1">
        <f t="array" ref="I672">IFERROR(_xlfn.LET(
_xlpm.CSVVal,_xlfn.XLOOKUP($A672,CSV!$A:$A,CSV!H:H,""),
_xlpm.MacVal,_xlfn.XLOOKUP($A672,Output_Mac!$A:$A,Output_Mac!J:J,""),
_xlpm.MyAuditVal,_xlfn.XLOOKUP($A672,My_Audit!$A:$A,My_Audit!H:H,""),
_xlfn.IFS(_xlpm.MyAuditVal&lt;&gt;"",UPPER(_xlpm.MyAuditVal),_xlpm.MacVal&lt;&gt;"",_xlpm.MacVal,_xlpm.CSVVal&lt;&gt;"",_xlpm.CSVVal
)),"")</f>
        <v/>
      </c>
      <c r="J672" s="45" t="str" cm="1">
        <f t="array" ref="J672">IFERROR(_xlfn.LET(
_xlpm.CSVVal,_xlfn.XLOOKUP($A672,CSV!$A:$A,CSV!J:J,""),
_xlpm.MacVal,_xlfn.XLOOKUP($A672,Output_Mac!$A:$A,Output_Mac!K:K,""),
_xlpm.MyAuditVal,_xlfn.XLOOKUP($A672,My_Audit!$A:$A,My_Audit!I:I,""),
_xlfn.IFS(_xlpm.MyAuditVal&lt;&gt;"",UPPER(_xlpm.MyAuditVal),_xlpm.MacVal&lt;&gt;"",_xlpm.MacVal,_xlpm.CSVVal&lt;&gt;"",_xlpm.CSVVal
)),"")</f>
        <v/>
      </c>
      <c r="K672" s="45" t="str" cm="1">
        <f t="array" ref="K672">IFERROR(_xlfn.LET(
_xlpm.CSVVal,_xlfn.XLOOKUP($A672,CSV!$A:$A,CSV!N:N,""),
_xlpm.MacVal,_xlfn.XLOOKUP($A672,Output_Mac!$A:$A,Output_Mac!L:L,""),
_xlpm.MyAuditVal,_xlfn.XLOOKUP($A672,My_Audit!$A:$A,My_Audit!J:J,""),
_xlfn.IFS(_xlpm.MyAuditVal&lt;&gt;"",UPPER(_xlpm.MyAuditVal),_xlpm.MacVal&lt;&gt;"",_xlpm.MacVal,_xlpm.CSVVal&lt;&gt;"",_xlpm.CSVVal
)),"")</f>
        <v/>
      </c>
      <c r="L672" s="45" t="str" cm="1">
        <f t="array" ref="L672">IFERROR(_xlfn.LET(
_xlpm.CSVVal,_xlfn.XLOOKUP($A672,CSV!$A:$A,CSV!P:P,""),
_xlpm.MacVal,_xlfn.XLOOKUP($A672,Output_Mac!$A:$A,Output_Mac!M:M,""),
_xlpm.MyAuditVal,_xlfn.XLOOKUP($A672,My_Audit!$A:$A,My_Audit!K:K,""),
_xlfn.IFS(_xlpm.MyAuditVal&lt;&gt;"",UPPER(_xlpm.MyAuditVal),_xlpm.MacVal&lt;&gt;"",_xlpm.MacVal,_xlpm.CSVVal&lt;&gt;"",_xlpm.CSVVal
)),"")</f>
        <v/>
      </c>
      <c r="M672" s="45" t="str">
        <f>_xlfn.LET(
    _xlpm.CSVVal, _xlfn.XLOOKUP($A672, CSV!$A:$A, CSV!AE:AE, ""),
    _xlpm.MacVal, _xlfn.XLOOKUP($A672, Output_Mac!$A:$A, Output_Mac!S:S, ""),
    _xlpm.MyAuditVal, _xlfn.XLOOKUP($A672, My_Audit!$A:$A, My_Audit!N:N, ""),
    _xlfn.TEXTJOIN(", ", TRUE, _xlpm.MyAuditVal, _xlpm.MacVal, _xlpm.CSVVal)
)</f>
        <v/>
      </c>
      <c r="N672" s="45" t="str" cm="1">
        <f t="array" ref="N672">IFERROR(_xlfn.LET(
_xlpm.CSVVal,_xlfn.XLOOKUP($A672,CSV!$A:$A,CSV!AG:AG,""),
_xlpm.MacVal,_xlfn.XLOOKUP($A672,Output_Mac!$A:$A,Output_Mac!U:U,""),
_xlpm.MyAuditVal,_xlfn.XLOOKUP($A672,My_Audit!$A:$A,My_Audit!O:O,""),
_xlfn.IFS(_xlpm.MyAuditVal&lt;&gt;"",UPPER(_xlpm.MyAuditVal),_xlpm.MacVal&lt;&gt;"",_xlpm.MacVal,_xlpm.CSVVal&lt;&gt;"",_xlpm.CSVVal
)),"")</f>
        <v/>
      </c>
      <c r="O672" s="45"/>
      <c r="P672" s="45"/>
      <c r="Q672" s="46" t="str">
        <f>IF(LEFT(N672,4)="Pass","Nist SP 800-88",My_Audit!R672)&amp;""</f>
        <v/>
      </c>
      <c r="R672" s="45"/>
      <c r="S672" s="45"/>
      <c r="T672" s="46" t="str">
        <f>_xlfn.XLOOKUP(E672,Models!I:I,Models!J:J,"")</f>
        <v/>
      </c>
      <c r="U672" s="45"/>
      <c r="V672" s="45"/>
      <c r="W672" s="38"/>
    </row>
    <row r="673" spans="1:23">
      <c r="A673" s="45" t="str">
        <f>_xlfn.TEXTJOIN("",TRUE,Input!$B$2,ROW(My_Audit!A672))</f>
        <v>XX672</v>
      </c>
      <c r="B673" s="45" t="str">
        <f>_xlfn.TEXTJOIN("-",TRUE,"ITD",Input!$A$2,A673)</f>
        <v>ITD-SHRXXX-XX672</v>
      </c>
      <c r="C673" s="45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46" t="str" cm="1">
        <f t="array" ref="D673">IFERROR(_xlfn.LET(
_xlpm.CSVVal,_xlfn.XLOOKUP($A673,CSV!$A:$A,CSV!C:C,""),
_xlpm.MacVal,_xlfn.XLOOKUP($A673,Output_Mac!$A:$A,Output_Mac!D:D,""),
_xlpm.MyAuditVal,_xlfn.XLOOKUP($A673,My_Audit!$A:$A,My_Audit!C:C,""),
_xlfn.IFS(_xlpm.MyAuditVal&lt;&gt;"",UPPER(_xlpm.MyAuditVal),_xlpm.MacVal&lt;&gt;"",_xlpm.MacVal,_xlpm.CSVVal&lt;&gt;"",_xlpm.CSVVal
)),"")</f>
        <v/>
      </c>
      <c r="E673" s="46" t="str" cm="1">
        <f t="array" ref="E673">IFERROR(_xlfn.LET(
_xlpm.CSVVal,_xlfn.XLOOKUP($A673,CSV!$A:$A,CSV!E:E,""),
_xlpm.MacVal,_xlfn.XLOOKUP($A673,Output_Mac!$A:$A,Output_Mac!C:C,""),
_xlpm.MyAuditVal,_xlfn.XLOOKUP($A673,My_Audit!$A:$A,My_Audit!D:D,""),
_xlfn.IFS(_xlpm.MyAuditVal&lt;&gt;"",_xlpm.MyAuditVal,_xlpm.MacVal&lt;&gt;"",_xlpm.MacVal,_xlpm.CSVVal&lt;&gt;"",_xlpm.CSVVal
)),"")</f>
        <v/>
      </c>
      <c r="F673" s="45" t="str" cm="1">
        <f t="array" ref="F673">IFERROR(_xlfn.LET(
_xlpm.CSVVal,_xlfn.XLOOKUP($A673,CSV!$A:$A,CSV!F:F,""),
_xlpm.MacVal,_xlfn.XLOOKUP($A673,Output_Mac!$A:$A,Output_Mac!F:F,""),
_xlpm.MyAuditVal,_xlfn.XLOOKUP($A673,My_Audit!$A:$A,My_Audit!E:E,""),
_xlfn.IFS(_xlpm.MyAuditVal&lt;&gt;"",_xlpm.MyAuditVal,_xlpm.MacVal&lt;&gt;"",_xlpm.MacVal,_xlpm.CSVVal&lt;&gt;"",PROPER(_xlpm.CSVVal)
)),"")</f>
        <v/>
      </c>
      <c r="G673" s="45" t="str" cm="1">
        <f t="array" ref="G673">IFERROR(_xlfn.LET(
_xlpm.CSVVal,_xlfn.XLOOKUP($A673,CSV!$A:$A,CSV!G:G,""),
_xlpm.MacVal,_xlfn.XLOOKUP($A673,Output_Mac!$A:$A,Output_Mac!H:H,""),
_xlpm.MyAuditVal,_xlfn.XLOOKUP($A673,My_Audit!$A:$A,My_Audit!F:F,""),
_xlfn.IFS(_xlpm.MyAuditVal&lt;&gt;"",_xlpm.MyAuditVal,_xlpm.MacVal&lt;&gt;"",_xlpm.MacVal,_xlpm.CSVVal&lt;&gt;"",_xlpm.CSVVal
)),"")</f>
        <v/>
      </c>
      <c r="H673" s="45" t="str">
        <f>_xlfn.XLOOKUP(A673,Output_Mac!A:A,Output_Mac!I:I,"")</f>
        <v/>
      </c>
      <c r="I673" s="45" t="str" cm="1">
        <f t="array" ref="I673">IFERROR(_xlfn.LET(
_xlpm.CSVVal,_xlfn.XLOOKUP($A673,CSV!$A:$A,CSV!H:H,""),
_xlpm.MacVal,_xlfn.XLOOKUP($A673,Output_Mac!$A:$A,Output_Mac!J:J,""),
_xlpm.MyAuditVal,_xlfn.XLOOKUP($A673,My_Audit!$A:$A,My_Audit!H:H,""),
_xlfn.IFS(_xlpm.MyAuditVal&lt;&gt;"",UPPER(_xlpm.MyAuditVal),_xlpm.MacVal&lt;&gt;"",_xlpm.MacVal,_xlpm.CSVVal&lt;&gt;"",_xlpm.CSVVal
)),"")</f>
        <v/>
      </c>
      <c r="J673" s="45" t="str" cm="1">
        <f t="array" ref="J673">IFERROR(_xlfn.LET(
_xlpm.CSVVal,_xlfn.XLOOKUP($A673,CSV!$A:$A,CSV!J:J,""),
_xlpm.MacVal,_xlfn.XLOOKUP($A673,Output_Mac!$A:$A,Output_Mac!K:K,""),
_xlpm.MyAuditVal,_xlfn.XLOOKUP($A673,My_Audit!$A:$A,My_Audit!I:I,""),
_xlfn.IFS(_xlpm.MyAuditVal&lt;&gt;"",UPPER(_xlpm.MyAuditVal),_xlpm.MacVal&lt;&gt;"",_xlpm.MacVal,_xlpm.CSVVal&lt;&gt;"",_xlpm.CSVVal
)),"")</f>
        <v/>
      </c>
      <c r="K673" s="45" t="str" cm="1">
        <f t="array" ref="K673">IFERROR(_xlfn.LET(
_xlpm.CSVVal,_xlfn.XLOOKUP($A673,CSV!$A:$A,CSV!N:N,""),
_xlpm.MacVal,_xlfn.XLOOKUP($A673,Output_Mac!$A:$A,Output_Mac!L:L,""),
_xlpm.MyAuditVal,_xlfn.XLOOKUP($A673,My_Audit!$A:$A,My_Audit!J:J,""),
_xlfn.IFS(_xlpm.MyAuditVal&lt;&gt;"",UPPER(_xlpm.MyAuditVal),_xlpm.MacVal&lt;&gt;"",_xlpm.MacVal,_xlpm.CSVVal&lt;&gt;"",_xlpm.CSVVal
)),"")</f>
        <v/>
      </c>
      <c r="L673" s="45" t="str" cm="1">
        <f t="array" ref="L673">IFERROR(_xlfn.LET(
_xlpm.CSVVal,_xlfn.XLOOKUP($A673,CSV!$A:$A,CSV!P:P,""),
_xlpm.MacVal,_xlfn.XLOOKUP($A673,Output_Mac!$A:$A,Output_Mac!M:M,""),
_xlpm.MyAuditVal,_xlfn.XLOOKUP($A673,My_Audit!$A:$A,My_Audit!K:K,""),
_xlfn.IFS(_xlpm.MyAuditVal&lt;&gt;"",UPPER(_xlpm.MyAuditVal),_xlpm.MacVal&lt;&gt;"",_xlpm.MacVal,_xlpm.CSVVal&lt;&gt;"",_xlpm.CSVVal
)),"")</f>
        <v/>
      </c>
      <c r="M673" s="45" t="str">
        <f>_xlfn.LET(
    _xlpm.CSVVal, _xlfn.XLOOKUP($A673, CSV!$A:$A, CSV!AE:AE, ""),
    _xlpm.MacVal, _xlfn.XLOOKUP($A673, Output_Mac!$A:$A, Output_Mac!S:S, ""),
    _xlpm.MyAuditVal, _xlfn.XLOOKUP($A673, My_Audit!$A:$A, My_Audit!N:N, ""),
    _xlfn.TEXTJOIN(", ", TRUE, _xlpm.MyAuditVal, _xlpm.MacVal, _xlpm.CSVVal)
)</f>
        <v/>
      </c>
      <c r="N673" s="45" t="str" cm="1">
        <f t="array" ref="N673">IFERROR(_xlfn.LET(
_xlpm.CSVVal,_xlfn.XLOOKUP($A673,CSV!$A:$A,CSV!AG:AG,""),
_xlpm.MacVal,_xlfn.XLOOKUP($A673,Output_Mac!$A:$A,Output_Mac!U:U,""),
_xlpm.MyAuditVal,_xlfn.XLOOKUP($A673,My_Audit!$A:$A,My_Audit!O:O,""),
_xlfn.IFS(_xlpm.MyAuditVal&lt;&gt;"",UPPER(_xlpm.MyAuditVal),_xlpm.MacVal&lt;&gt;"",_xlpm.MacVal,_xlpm.CSVVal&lt;&gt;"",_xlpm.CSVVal
)),"")</f>
        <v/>
      </c>
      <c r="O673" s="45"/>
      <c r="P673" s="45"/>
      <c r="Q673" s="46" t="str">
        <f>IF(LEFT(N673,4)="Pass","Nist SP 800-88",My_Audit!R673)&amp;""</f>
        <v/>
      </c>
      <c r="R673" s="45"/>
      <c r="S673" s="45"/>
      <c r="T673" s="46" t="str">
        <f>_xlfn.XLOOKUP(E673,Models!I:I,Models!J:J,"")</f>
        <v/>
      </c>
      <c r="U673" s="45"/>
      <c r="V673" s="45"/>
      <c r="W673" s="38"/>
    </row>
    <row r="674" spans="1:23">
      <c r="A674" s="45" t="str">
        <f>_xlfn.TEXTJOIN("",TRUE,Input!$B$2,ROW(My_Audit!A673))</f>
        <v>XX673</v>
      </c>
      <c r="B674" s="45" t="str">
        <f>_xlfn.TEXTJOIN("-",TRUE,"ITD",Input!$A$2,A674)</f>
        <v>ITD-SHRXXX-XX673</v>
      </c>
      <c r="C674" s="45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46" t="str" cm="1">
        <f t="array" ref="D674">IFERROR(_xlfn.LET(
_xlpm.CSVVal,_xlfn.XLOOKUP($A674,CSV!$A:$A,CSV!C:C,""),
_xlpm.MacVal,_xlfn.XLOOKUP($A674,Output_Mac!$A:$A,Output_Mac!D:D,""),
_xlpm.MyAuditVal,_xlfn.XLOOKUP($A674,My_Audit!$A:$A,My_Audit!C:C,""),
_xlfn.IFS(_xlpm.MyAuditVal&lt;&gt;"",UPPER(_xlpm.MyAuditVal),_xlpm.MacVal&lt;&gt;"",_xlpm.MacVal,_xlpm.CSVVal&lt;&gt;"",_xlpm.CSVVal
)),"")</f>
        <v/>
      </c>
      <c r="E674" s="46" t="str" cm="1">
        <f t="array" ref="E674">IFERROR(_xlfn.LET(
_xlpm.CSVVal,_xlfn.XLOOKUP($A674,CSV!$A:$A,CSV!E:E,""),
_xlpm.MacVal,_xlfn.XLOOKUP($A674,Output_Mac!$A:$A,Output_Mac!C:C,""),
_xlpm.MyAuditVal,_xlfn.XLOOKUP($A674,My_Audit!$A:$A,My_Audit!D:D,""),
_xlfn.IFS(_xlpm.MyAuditVal&lt;&gt;"",_xlpm.MyAuditVal,_xlpm.MacVal&lt;&gt;"",_xlpm.MacVal,_xlpm.CSVVal&lt;&gt;"",_xlpm.CSVVal
)),"")</f>
        <v/>
      </c>
      <c r="F674" s="45" t="str" cm="1">
        <f t="array" ref="F674">IFERROR(_xlfn.LET(
_xlpm.CSVVal,_xlfn.XLOOKUP($A674,CSV!$A:$A,CSV!F:F,""),
_xlpm.MacVal,_xlfn.XLOOKUP($A674,Output_Mac!$A:$A,Output_Mac!F:F,""),
_xlpm.MyAuditVal,_xlfn.XLOOKUP($A674,My_Audit!$A:$A,My_Audit!E:E,""),
_xlfn.IFS(_xlpm.MyAuditVal&lt;&gt;"",_xlpm.MyAuditVal,_xlpm.MacVal&lt;&gt;"",_xlpm.MacVal,_xlpm.CSVVal&lt;&gt;"",PROPER(_xlpm.CSVVal)
)),"")</f>
        <v/>
      </c>
      <c r="G674" s="45" t="str" cm="1">
        <f t="array" ref="G674">IFERROR(_xlfn.LET(
_xlpm.CSVVal,_xlfn.XLOOKUP($A674,CSV!$A:$A,CSV!G:G,""),
_xlpm.MacVal,_xlfn.XLOOKUP($A674,Output_Mac!$A:$A,Output_Mac!H:H,""),
_xlpm.MyAuditVal,_xlfn.XLOOKUP($A674,My_Audit!$A:$A,My_Audit!F:F,""),
_xlfn.IFS(_xlpm.MyAuditVal&lt;&gt;"",_xlpm.MyAuditVal,_xlpm.MacVal&lt;&gt;"",_xlpm.MacVal,_xlpm.CSVVal&lt;&gt;"",_xlpm.CSVVal
)),"")</f>
        <v/>
      </c>
      <c r="H674" s="45" t="str">
        <f>_xlfn.XLOOKUP(A674,Output_Mac!A:A,Output_Mac!I:I,"")</f>
        <v/>
      </c>
      <c r="I674" s="45" t="str" cm="1">
        <f t="array" ref="I674">IFERROR(_xlfn.LET(
_xlpm.CSVVal,_xlfn.XLOOKUP($A674,CSV!$A:$A,CSV!H:H,""),
_xlpm.MacVal,_xlfn.XLOOKUP($A674,Output_Mac!$A:$A,Output_Mac!J:J,""),
_xlpm.MyAuditVal,_xlfn.XLOOKUP($A674,My_Audit!$A:$A,My_Audit!H:H,""),
_xlfn.IFS(_xlpm.MyAuditVal&lt;&gt;"",UPPER(_xlpm.MyAuditVal),_xlpm.MacVal&lt;&gt;"",_xlpm.MacVal,_xlpm.CSVVal&lt;&gt;"",_xlpm.CSVVal
)),"")</f>
        <v/>
      </c>
      <c r="J674" s="45" t="str" cm="1">
        <f t="array" ref="J674">IFERROR(_xlfn.LET(
_xlpm.CSVVal,_xlfn.XLOOKUP($A674,CSV!$A:$A,CSV!J:J,""),
_xlpm.MacVal,_xlfn.XLOOKUP($A674,Output_Mac!$A:$A,Output_Mac!K:K,""),
_xlpm.MyAuditVal,_xlfn.XLOOKUP($A674,My_Audit!$A:$A,My_Audit!I:I,""),
_xlfn.IFS(_xlpm.MyAuditVal&lt;&gt;"",UPPER(_xlpm.MyAuditVal),_xlpm.MacVal&lt;&gt;"",_xlpm.MacVal,_xlpm.CSVVal&lt;&gt;"",_xlpm.CSVVal
)),"")</f>
        <v/>
      </c>
      <c r="K674" s="45" t="str" cm="1">
        <f t="array" ref="K674">IFERROR(_xlfn.LET(
_xlpm.CSVVal,_xlfn.XLOOKUP($A674,CSV!$A:$A,CSV!N:N,""),
_xlpm.MacVal,_xlfn.XLOOKUP($A674,Output_Mac!$A:$A,Output_Mac!L:L,""),
_xlpm.MyAuditVal,_xlfn.XLOOKUP($A674,My_Audit!$A:$A,My_Audit!J:J,""),
_xlfn.IFS(_xlpm.MyAuditVal&lt;&gt;"",UPPER(_xlpm.MyAuditVal),_xlpm.MacVal&lt;&gt;"",_xlpm.MacVal,_xlpm.CSVVal&lt;&gt;"",_xlpm.CSVVal
)),"")</f>
        <v/>
      </c>
      <c r="L674" s="45" t="str" cm="1">
        <f t="array" ref="L674">IFERROR(_xlfn.LET(
_xlpm.CSVVal,_xlfn.XLOOKUP($A674,CSV!$A:$A,CSV!P:P,""),
_xlpm.MacVal,_xlfn.XLOOKUP($A674,Output_Mac!$A:$A,Output_Mac!M:M,""),
_xlpm.MyAuditVal,_xlfn.XLOOKUP($A674,My_Audit!$A:$A,My_Audit!K:K,""),
_xlfn.IFS(_xlpm.MyAuditVal&lt;&gt;"",UPPER(_xlpm.MyAuditVal),_xlpm.MacVal&lt;&gt;"",_xlpm.MacVal,_xlpm.CSVVal&lt;&gt;"",_xlpm.CSVVal
)),"")</f>
        <v/>
      </c>
      <c r="M674" s="45" t="str">
        <f>_xlfn.LET(
    _xlpm.CSVVal, _xlfn.XLOOKUP($A674, CSV!$A:$A, CSV!AE:AE, ""),
    _xlpm.MacVal, _xlfn.XLOOKUP($A674, Output_Mac!$A:$A, Output_Mac!S:S, ""),
    _xlpm.MyAuditVal, _xlfn.XLOOKUP($A674, My_Audit!$A:$A, My_Audit!N:N, ""),
    _xlfn.TEXTJOIN(", ", TRUE, _xlpm.MyAuditVal, _xlpm.MacVal, _xlpm.CSVVal)
)</f>
        <v/>
      </c>
      <c r="N674" s="45" t="str" cm="1">
        <f t="array" ref="N674">IFERROR(_xlfn.LET(
_xlpm.CSVVal,_xlfn.XLOOKUP($A674,CSV!$A:$A,CSV!AG:AG,""),
_xlpm.MacVal,_xlfn.XLOOKUP($A674,Output_Mac!$A:$A,Output_Mac!U:U,""),
_xlpm.MyAuditVal,_xlfn.XLOOKUP($A674,My_Audit!$A:$A,My_Audit!O:O,""),
_xlfn.IFS(_xlpm.MyAuditVal&lt;&gt;"",UPPER(_xlpm.MyAuditVal),_xlpm.MacVal&lt;&gt;"",_xlpm.MacVal,_xlpm.CSVVal&lt;&gt;"",_xlpm.CSVVal
)),"")</f>
        <v/>
      </c>
      <c r="O674" s="45"/>
      <c r="P674" s="45"/>
      <c r="Q674" s="46" t="str">
        <f>IF(LEFT(N674,4)="Pass","Nist SP 800-88",My_Audit!R674)&amp;""</f>
        <v/>
      </c>
      <c r="R674" s="45"/>
      <c r="S674" s="45"/>
      <c r="T674" s="46" t="str">
        <f>_xlfn.XLOOKUP(E674,Models!I:I,Models!J:J,"")</f>
        <v/>
      </c>
      <c r="U674" s="45"/>
      <c r="V674" s="45"/>
      <c r="W674" s="38"/>
    </row>
    <row r="675" spans="1:23">
      <c r="A675" s="45" t="str">
        <f>_xlfn.TEXTJOIN("",TRUE,Input!$B$2,ROW(My_Audit!A674))</f>
        <v>XX674</v>
      </c>
      <c r="B675" s="45" t="str">
        <f>_xlfn.TEXTJOIN("-",TRUE,"ITD",Input!$A$2,A675)</f>
        <v>ITD-SHRXXX-XX674</v>
      </c>
      <c r="C675" s="45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46" t="str" cm="1">
        <f t="array" ref="D675">IFERROR(_xlfn.LET(
_xlpm.CSVVal,_xlfn.XLOOKUP($A675,CSV!$A:$A,CSV!C:C,""),
_xlpm.MacVal,_xlfn.XLOOKUP($A675,Output_Mac!$A:$A,Output_Mac!D:D,""),
_xlpm.MyAuditVal,_xlfn.XLOOKUP($A675,My_Audit!$A:$A,My_Audit!C:C,""),
_xlfn.IFS(_xlpm.MyAuditVal&lt;&gt;"",UPPER(_xlpm.MyAuditVal),_xlpm.MacVal&lt;&gt;"",_xlpm.MacVal,_xlpm.CSVVal&lt;&gt;"",_xlpm.CSVVal
)),"")</f>
        <v/>
      </c>
      <c r="E675" s="46" t="str" cm="1">
        <f t="array" ref="E675">IFERROR(_xlfn.LET(
_xlpm.CSVVal,_xlfn.XLOOKUP($A675,CSV!$A:$A,CSV!E:E,""),
_xlpm.MacVal,_xlfn.XLOOKUP($A675,Output_Mac!$A:$A,Output_Mac!C:C,""),
_xlpm.MyAuditVal,_xlfn.XLOOKUP($A675,My_Audit!$A:$A,My_Audit!D:D,""),
_xlfn.IFS(_xlpm.MyAuditVal&lt;&gt;"",_xlpm.MyAuditVal,_xlpm.MacVal&lt;&gt;"",_xlpm.MacVal,_xlpm.CSVVal&lt;&gt;"",_xlpm.CSVVal
)),"")</f>
        <v/>
      </c>
      <c r="F675" s="45" t="str" cm="1">
        <f t="array" ref="F675">IFERROR(_xlfn.LET(
_xlpm.CSVVal,_xlfn.XLOOKUP($A675,CSV!$A:$A,CSV!F:F,""),
_xlpm.MacVal,_xlfn.XLOOKUP($A675,Output_Mac!$A:$A,Output_Mac!F:F,""),
_xlpm.MyAuditVal,_xlfn.XLOOKUP($A675,My_Audit!$A:$A,My_Audit!E:E,""),
_xlfn.IFS(_xlpm.MyAuditVal&lt;&gt;"",_xlpm.MyAuditVal,_xlpm.MacVal&lt;&gt;"",_xlpm.MacVal,_xlpm.CSVVal&lt;&gt;"",PROPER(_xlpm.CSVVal)
)),"")</f>
        <v/>
      </c>
      <c r="G675" s="45" t="str" cm="1">
        <f t="array" ref="G675">IFERROR(_xlfn.LET(
_xlpm.CSVVal,_xlfn.XLOOKUP($A675,CSV!$A:$A,CSV!G:G,""),
_xlpm.MacVal,_xlfn.XLOOKUP($A675,Output_Mac!$A:$A,Output_Mac!H:H,""),
_xlpm.MyAuditVal,_xlfn.XLOOKUP($A675,My_Audit!$A:$A,My_Audit!F:F,""),
_xlfn.IFS(_xlpm.MyAuditVal&lt;&gt;"",_xlpm.MyAuditVal,_xlpm.MacVal&lt;&gt;"",_xlpm.MacVal,_xlpm.CSVVal&lt;&gt;"",_xlpm.CSVVal
)),"")</f>
        <v/>
      </c>
      <c r="H675" s="45" t="str">
        <f>_xlfn.XLOOKUP(A675,Output_Mac!A:A,Output_Mac!I:I,"")</f>
        <v/>
      </c>
      <c r="I675" s="45" t="str" cm="1">
        <f t="array" ref="I675">IFERROR(_xlfn.LET(
_xlpm.CSVVal,_xlfn.XLOOKUP($A675,CSV!$A:$A,CSV!H:H,""),
_xlpm.MacVal,_xlfn.XLOOKUP($A675,Output_Mac!$A:$A,Output_Mac!J:J,""),
_xlpm.MyAuditVal,_xlfn.XLOOKUP($A675,My_Audit!$A:$A,My_Audit!H:H,""),
_xlfn.IFS(_xlpm.MyAuditVal&lt;&gt;"",UPPER(_xlpm.MyAuditVal),_xlpm.MacVal&lt;&gt;"",_xlpm.MacVal,_xlpm.CSVVal&lt;&gt;"",_xlpm.CSVVal
)),"")</f>
        <v/>
      </c>
      <c r="J675" s="45" t="str" cm="1">
        <f t="array" ref="J675">IFERROR(_xlfn.LET(
_xlpm.CSVVal,_xlfn.XLOOKUP($A675,CSV!$A:$A,CSV!J:J,""),
_xlpm.MacVal,_xlfn.XLOOKUP($A675,Output_Mac!$A:$A,Output_Mac!K:K,""),
_xlpm.MyAuditVal,_xlfn.XLOOKUP($A675,My_Audit!$A:$A,My_Audit!I:I,""),
_xlfn.IFS(_xlpm.MyAuditVal&lt;&gt;"",UPPER(_xlpm.MyAuditVal),_xlpm.MacVal&lt;&gt;"",_xlpm.MacVal,_xlpm.CSVVal&lt;&gt;"",_xlpm.CSVVal
)),"")</f>
        <v/>
      </c>
      <c r="K675" s="45" t="str" cm="1">
        <f t="array" ref="K675">IFERROR(_xlfn.LET(
_xlpm.CSVVal,_xlfn.XLOOKUP($A675,CSV!$A:$A,CSV!N:N,""),
_xlpm.MacVal,_xlfn.XLOOKUP($A675,Output_Mac!$A:$A,Output_Mac!L:L,""),
_xlpm.MyAuditVal,_xlfn.XLOOKUP($A675,My_Audit!$A:$A,My_Audit!J:J,""),
_xlfn.IFS(_xlpm.MyAuditVal&lt;&gt;"",UPPER(_xlpm.MyAuditVal),_xlpm.MacVal&lt;&gt;"",_xlpm.MacVal,_xlpm.CSVVal&lt;&gt;"",_xlpm.CSVVal
)),"")</f>
        <v/>
      </c>
      <c r="L675" s="45" t="str" cm="1">
        <f t="array" ref="L675">IFERROR(_xlfn.LET(
_xlpm.CSVVal,_xlfn.XLOOKUP($A675,CSV!$A:$A,CSV!P:P,""),
_xlpm.MacVal,_xlfn.XLOOKUP($A675,Output_Mac!$A:$A,Output_Mac!M:M,""),
_xlpm.MyAuditVal,_xlfn.XLOOKUP($A675,My_Audit!$A:$A,My_Audit!K:K,""),
_xlfn.IFS(_xlpm.MyAuditVal&lt;&gt;"",UPPER(_xlpm.MyAuditVal),_xlpm.MacVal&lt;&gt;"",_xlpm.MacVal,_xlpm.CSVVal&lt;&gt;"",_xlpm.CSVVal
)),"")</f>
        <v/>
      </c>
      <c r="M675" s="45" t="str">
        <f>_xlfn.LET(
    _xlpm.CSVVal, _xlfn.XLOOKUP($A675, CSV!$A:$A, CSV!AE:AE, ""),
    _xlpm.MacVal, _xlfn.XLOOKUP($A675, Output_Mac!$A:$A, Output_Mac!S:S, ""),
    _xlpm.MyAuditVal, _xlfn.XLOOKUP($A675, My_Audit!$A:$A, My_Audit!N:N, ""),
    _xlfn.TEXTJOIN(", ", TRUE, _xlpm.MyAuditVal, _xlpm.MacVal, _xlpm.CSVVal)
)</f>
        <v/>
      </c>
      <c r="N675" s="45" t="str" cm="1">
        <f t="array" ref="N675">IFERROR(_xlfn.LET(
_xlpm.CSVVal,_xlfn.XLOOKUP($A675,CSV!$A:$A,CSV!AG:AG,""),
_xlpm.MacVal,_xlfn.XLOOKUP($A675,Output_Mac!$A:$A,Output_Mac!U:U,""),
_xlpm.MyAuditVal,_xlfn.XLOOKUP($A675,My_Audit!$A:$A,My_Audit!O:O,""),
_xlfn.IFS(_xlpm.MyAuditVal&lt;&gt;"",UPPER(_xlpm.MyAuditVal),_xlpm.MacVal&lt;&gt;"",_xlpm.MacVal,_xlpm.CSVVal&lt;&gt;"",_xlpm.CSVVal
)),"")</f>
        <v/>
      </c>
      <c r="O675" s="45"/>
      <c r="P675" s="45"/>
      <c r="Q675" s="46" t="str">
        <f>IF(LEFT(N675,4)="Pass","Nist SP 800-88",My_Audit!R675)&amp;""</f>
        <v/>
      </c>
      <c r="R675" s="45"/>
      <c r="S675" s="45"/>
      <c r="T675" s="46" t="str">
        <f>_xlfn.XLOOKUP(E675,Models!I:I,Models!J:J,"")</f>
        <v/>
      </c>
      <c r="U675" s="45"/>
      <c r="V675" s="45"/>
      <c r="W675" s="38"/>
    </row>
    <row r="676" spans="1:23">
      <c r="A676" s="45" t="str">
        <f>_xlfn.TEXTJOIN("",TRUE,Input!$B$2,ROW(My_Audit!A675))</f>
        <v>XX675</v>
      </c>
      <c r="B676" s="45" t="str">
        <f>_xlfn.TEXTJOIN("-",TRUE,"ITD",Input!$A$2,A676)</f>
        <v>ITD-SHRXXX-XX675</v>
      </c>
      <c r="C676" s="45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46" t="str" cm="1">
        <f t="array" ref="D676">IFERROR(_xlfn.LET(
_xlpm.CSVVal,_xlfn.XLOOKUP($A676,CSV!$A:$A,CSV!C:C,""),
_xlpm.MacVal,_xlfn.XLOOKUP($A676,Output_Mac!$A:$A,Output_Mac!D:D,""),
_xlpm.MyAuditVal,_xlfn.XLOOKUP($A676,My_Audit!$A:$A,My_Audit!C:C,""),
_xlfn.IFS(_xlpm.MyAuditVal&lt;&gt;"",UPPER(_xlpm.MyAuditVal),_xlpm.MacVal&lt;&gt;"",_xlpm.MacVal,_xlpm.CSVVal&lt;&gt;"",_xlpm.CSVVal
)),"")</f>
        <v/>
      </c>
      <c r="E676" s="46" t="str" cm="1">
        <f t="array" ref="E676">IFERROR(_xlfn.LET(
_xlpm.CSVVal,_xlfn.XLOOKUP($A676,CSV!$A:$A,CSV!E:E,""),
_xlpm.MacVal,_xlfn.XLOOKUP($A676,Output_Mac!$A:$A,Output_Mac!C:C,""),
_xlpm.MyAuditVal,_xlfn.XLOOKUP($A676,My_Audit!$A:$A,My_Audit!D:D,""),
_xlfn.IFS(_xlpm.MyAuditVal&lt;&gt;"",_xlpm.MyAuditVal,_xlpm.MacVal&lt;&gt;"",_xlpm.MacVal,_xlpm.CSVVal&lt;&gt;"",_xlpm.CSVVal
)),"")</f>
        <v/>
      </c>
      <c r="F676" s="45" t="str" cm="1">
        <f t="array" ref="F676">IFERROR(_xlfn.LET(
_xlpm.CSVVal,_xlfn.XLOOKUP($A676,CSV!$A:$A,CSV!F:F,""),
_xlpm.MacVal,_xlfn.XLOOKUP($A676,Output_Mac!$A:$A,Output_Mac!F:F,""),
_xlpm.MyAuditVal,_xlfn.XLOOKUP($A676,My_Audit!$A:$A,My_Audit!E:E,""),
_xlfn.IFS(_xlpm.MyAuditVal&lt;&gt;"",_xlpm.MyAuditVal,_xlpm.MacVal&lt;&gt;"",_xlpm.MacVal,_xlpm.CSVVal&lt;&gt;"",PROPER(_xlpm.CSVVal)
)),"")</f>
        <v/>
      </c>
      <c r="G676" s="45" t="str" cm="1">
        <f t="array" ref="G676">IFERROR(_xlfn.LET(
_xlpm.CSVVal,_xlfn.XLOOKUP($A676,CSV!$A:$A,CSV!G:G,""),
_xlpm.MacVal,_xlfn.XLOOKUP($A676,Output_Mac!$A:$A,Output_Mac!H:H,""),
_xlpm.MyAuditVal,_xlfn.XLOOKUP($A676,My_Audit!$A:$A,My_Audit!F:F,""),
_xlfn.IFS(_xlpm.MyAuditVal&lt;&gt;"",_xlpm.MyAuditVal,_xlpm.MacVal&lt;&gt;"",_xlpm.MacVal,_xlpm.CSVVal&lt;&gt;"",_xlpm.CSVVal
)),"")</f>
        <v/>
      </c>
      <c r="H676" s="45" t="str">
        <f>_xlfn.XLOOKUP(A676,Output_Mac!A:A,Output_Mac!I:I,"")</f>
        <v/>
      </c>
      <c r="I676" s="45" t="str" cm="1">
        <f t="array" ref="I676">IFERROR(_xlfn.LET(
_xlpm.CSVVal,_xlfn.XLOOKUP($A676,CSV!$A:$A,CSV!H:H,""),
_xlpm.MacVal,_xlfn.XLOOKUP($A676,Output_Mac!$A:$A,Output_Mac!J:J,""),
_xlpm.MyAuditVal,_xlfn.XLOOKUP($A676,My_Audit!$A:$A,My_Audit!H:H,""),
_xlfn.IFS(_xlpm.MyAuditVal&lt;&gt;"",UPPER(_xlpm.MyAuditVal),_xlpm.MacVal&lt;&gt;"",_xlpm.MacVal,_xlpm.CSVVal&lt;&gt;"",_xlpm.CSVVal
)),"")</f>
        <v/>
      </c>
      <c r="J676" s="45" t="str" cm="1">
        <f t="array" ref="J676">IFERROR(_xlfn.LET(
_xlpm.CSVVal,_xlfn.XLOOKUP($A676,CSV!$A:$A,CSV!J:J,""),
_xlpm.MacVal,_xlfn.XLOOKUP($A676,Output_Mac!$A:$A,Output_Mac!K:K,""),
_xlpm.MyAuditVal,_xlfn.XLOOKUP($A676,My_Audit!$A:$A,My_Audit!I:I,""),
_xlfn.IFS(_xlpm.MyAuditVal&lt;&gt;"",UPPER(_xlpm.MyAuditVal),_xlpm.MacVal&lt;&gt;"",_xlpm.MacVal,_xlpm.CSVVal&lt;&gt;"",_xlpm.CSVVal
)),"")</f>
        <v/>
      </c>
      <c r="K676" s="45" t="str" cm="1">
        <f t="array" ref="K676">IFERROR(_xlfn.LET(
_xlpm.CSVVal,_xlfn.XLOOKUP($A676,CSV!$A:$A,CSV!N:N,""),
_xlpm.MacVal,_xlfn.XLOOKUP($A676,Output_Mac!$A:$A,Output_Mac!L:L,""),
_xlpm.MyAuditVal,_xlfn.XLOOKUP($A676,My_Audit!$A:$A,My_Audit!J:J,""),
_xlfn.IFS(_xlpm.MyAuditVal&lt;&gt;"",UPPER(_xlpm.MyAuditVal),_xlpm.MacVal&lt;&gt;"",_xlpm.MacVal,_xlpm.CSVVal&lt;&gt;"",_xlpm.CSVVal
)),"")</f>
        <v/>
      </c>
      <c r="L676" s="45" t="str" cm="1">
        <f t="array" ref="L676">IFERROR(_xlfn.LET(
_xlpm.CSVVal,_xlfn.XLOOKUP($A676,CSV!$A:$A,CSV!P:P,""),
_xlpm.MacVal,_xlfn.XLOOKUP($A676,Output_Mac!$A:$A,Output_Mac!M:M,""),
_xlpm.MyAuditVal,_xlfn.XLOOKUP($A676,My_Audit!$A:$A,My_Audit!K:K,""),
_xlfn.IFS(_xlpm.MyAuditVal&lt;&gt;"",UPPER(_xlpm.MyAuditVal),_xlpm.MacVal&lt;&gt;"",_xlpm.MacVal,_xlpm.CSVVal&lt;&gt;"",_xlpm.CSVVal
)),"")</f>
        <v/>
      </c>
      <c r="M676" s="45" t="str">
        <f>_xlfn.LET(
    _xlpm.CSVVal, _xlfn.XLOOKUP($A676, CSV!$A:$A, CSV!AE:AE, ""),
    _xlpm.MacVal, _xlfn.XLOOKUP($A676, Output_Mac!$A:$A, Output_Mac!S:S, ""),
    _xlpm.MyAuditVal, _xlfn.XLOOKUP($A676, My_Audit!$A:$A, My_Audit!N:N, ""),
    _xlfn.TEXTJOIN(", ", TRUE, _xlpm.MyAuditVal, _xlpm.MacVal, _xlpm.CSVVal)
)</f>
        <v/>
      </c>
      <c r="N676" s="45" t="str" cm="1">
        <f t="array" ref="N676">IFERROR(_xlfn.LET(
_xlpm.CSVVal,_xlfn.XLOOKUP($A676,CSV!$A:$A,CSV!AG:AG,""),
_xlpm.MacVal,_xlfn.XLOOKUP($A676,Output_Mac!$A:$A,Output_Mac!U:U,""),
_xlpm.MyAuditVal,_xlfn.XLOOKUP($A676,My_Audit!$A:$A,My_Audit!O:O,""),
_xlfn.IFS(_xlpm.MyAuditVal&lt;&gt;"",UPPER(_xlpm.MyAuditVal),_xlpm.MacVal&lt;&gt;"",_xlpm.MacVal,_xlpm.CSVVal&lt;&gt;"",_xlpm.CSVVal
)),"")</f>
        <v/>
      </c>
      <c r="O676" s="45"/>
      <c r="P676" s="45"/>
      <c r="Q676" s="46" t="str">
        <f>IF(LEFT(N676,4)="Pass","Nist SP 800-88",My_Audit!R676)&amp;""</f>
        <v/>
      </c>
      <c r="R676" s="45"/>
      <c r="S676" s="45"/>
      <c r="T676" s="46" t="str">
        <f>_xlfn.XLOOKUP(E676,Models!I:I,Models!J:J,"")</f>
        <v/>
      </c>
      <c r="U676" s="45"/>
      <c r="V676" s="45"/>
      <c r="W676" s="38"/>
    </row>
    <row r="677" spans="1:23">
      <c r="A677" s="45" t="str">
        <f>_xlfn.TEXTJOIN("",TRUE,Input!$B$2,ROW(My_Audit!A676))</f>
        <v>XX676</v>
      </c>
      <c r="B677" s="45" t="str">
        <f>_xlfn.TEXTJOIN("-",TRUE,"ITD",Input!$A$2,A677)</f>
        <v>ITD-SHRXXX-XX676</v>
      </c>
      <c r="C677" s="45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46" t="str" cm="1">
        <f t="array" ref="D677">IFERROR(_xlfn.LET(
_xlpm.CSVVal,_xlfn.XLOOKUP($A677,CSV!$A:$A,CSV!C:C,""),
_xlpm.MacVal,_xlfn.XLOOKUP($A677,Output_Mac!$A:$A,Output_Mac!D:D,""),
_xlpm.MyAuditVal,_xlfn.XLOOKUP($A677,My_Audit!$A:$A,My_Audit!C:C,""),
_xlfn.IFS(_xlpm.MyAuditVal&lt;&gt;"",UPPER(_xlpm.MyAuditVal),_xlpm.MacVal&lt;&gt;"",_xlpm.MacVal,_xlpm.CSVVal&lt;&gt;"",_xlpm.CSVVal
)),"")</f>
        <v/>
      </c>
      <c r="E677" s="46" t="str" cm="1">
        <f t="array" ref="E677">IFERROR(_xlfn.LET(
_xlpm.CSVVal,_xlfn.XLOOKUP($A677,CSV!$A:$A,CSV!E:E,""),
_xlpm.MacVal,_xlfn.XLOOKUP($A677,Output_Mac!$A:$A,Output_Mac!C:C,""),
_xlpm.MyAuditVal,_xlfn.XLOOKUP($A677,My_Audit!$A:$A,My_Audit!D:D,""),
_xlfn.IFS(_xlpm.MyAuditVal&lt;&gt;"",_xlpm.MyAuditVal,_xlpm.MacVal&lt;&gt;"",_xlpm.MacVal,_xlpm.CSVVal&lt;&gt;"",_xlpm.CSVVal
)),"")</f>
        <v/>
      </c>
      <c r="F677" s="45" t="str" cm="1">
        <f t="array" ref="F677">IFERROR(_xlfn.LET(
_xlpm.CSVVal,_xlfn.XLOOKUP($A677,CSV!$A:$A,CSV!F:F,""),
_xlpm.MacVal,_xlfn.XLOOKUP($A677,Output_Mac!$A:$A,Output_Mac!F:F,""),
_xlpm.MyAuditVal,_xlfn.XLOOKUP($A677,My_Audit!$A:$A,My_Audit!E:E,""),
_xlfn.IFS(_xlpm.MyAuditVal&lt;&gt;"",_xlpm.MyAuditVal,_xlpm.MacVal&lt;&gt;"",_xlpm.MacVal,_xlpm.CSVVal&lt;&gt;"",PROPER(_xlpm.CSVVal)
)),"")</f>
        <v/>
      </c>
      <c r="G677" s="45" t="str" cm="1">
        <f t="array" ref="G677">IFERROR(_xlfn.LET(
_xlpm.CSVVal,_xlfn.XLOOKUP($A677,CSV!$A:$A,CSV!G:G,""),
_xlpm.MacVal,_xlfn.XLOOKUP($A677,Output_Mac!$A:$A,Output_Mac!H:H,""),
_xlpm.MyAuditVal,_xlfn.XLOOKUP($A677,My_Audit!$A:$A,My_Audit!F:F,""),
_xlfn.IFS(_xlpm.MyAuditVal&lt;&gt;"",_xlpm.MyAuditVal,_xlpm.MacVal&lt;&gt;"",_xlpm.MacVal,_xlpm.CSVVal&lt;&gt;"",_xlpm.CSVVal
)),"")</f>
        <v/>
      </c>
      <c r="H677" s="45" t="str">
        <f>_xlfn.XLOOKUP(A677,Output_Mac!A:A,Output_Mac!I:I,"")</f>
        <v/>
      </c>
      <c r="I677" s="45" t="str" cm="1">
        <f t="array" ref="I677">IFERROR(_xlfn.LET(
_xlpm.CSVVal,_xlfn.XLOOKUP($A677,CSV!$A:$A,CSV!H:H,""),
_xlpm.MacVal,_xlfn.XLOOKUP($A677,Output_Mac!$A:$A,Output_Mac!J:J,""),
_xlpm.MyAuditVal,_xlfn.XLOOKUP($A677,My_Audit!$A:$A,My_Audit!H:H,""),
_xlfn.IFS(_xlpm.MyAuditVal&lt;&gt;"",UPPER(_xlpm.MyAuditVal),_xlpm.MacVal&lt;&gt;"",_xlpm.MacVal,_xlpm.CSVVal&lt;&gt;"",_xlpm.CSVVal
)),"")</f>
        <v/>
      </c>
      <c r="J677" s="45" t="str" cm="1">
        <f t="array" ref="J677">IFERROR(_xlfn.LET(
_xlpm.CSVVal,_xlfn.XLOOKUP($A677,CSV!$A:$A,CSV!J:J,""),
_xlpm.MacVal,_xlfn.XLOOKUP($A677,Output_Mac!$A:$A,Output_Mac!K:K,""),
_xlpm.MyAuditVal,_xlfn.XLOOKUP($A677,My_Audit!$A:$A,My_Audit!I:I,""),
_xlfn.IFS(_xlpm.MyAuditVal&lt;&gt;"",UPPER(_xlpm.MyAuditVal),_xlpm.MacVal&lt;&gt;"",_xlpm.MacVal,_xlpm.CSVVal&lt;&gt;"",_xlpm.CSVVal
)),"")</f>
        <v/>
      </c>
      <c r="K677" s="45" t="str" cm="1">
        <f t="array" ref="K677">IFERROR(_xlfn.LET(
_xlpm.CSVVal,_xlfn.XLOOKUP($A677,CSV!$A:$A,CSV!N:N,""),
_xlpm.MacVal,_xlfn.XLOOKUP($A677,Output_Mac!$A:$A,Output_Mac!L:L,""),
_xlpm.MyAuditVal,_xlfn.XLOOKUP($A677,My_Audit!$A:$A,My_Audit!J:J,""),
_xlfn.IFS(_xlpm.MyAuditVal&lt;&gt;"",UPPER(_xlpm.MyAuditVal),_xlpm.MacVal&lt;&gt;"",_xlpm.MacVal,_xlpm.CSVVal&lt;&gt;"",_xlpm.CSVVal
)),"")</f>
        <v/>
      </c>
      <c r="L677" s="45" t="str" cm="1">
        <f t="array" ref="L677">IFERROR(_xlfn.LET(
_xlpm.CSVVal,_xlfn.XLOOKUP($A677,CSV!$A:$A,CSV!P:P,""),
_xlpm.MacVal,_xlfn.XLOOKUP($A677,Output_Mac!$A:$A,Output_Mac!M:M,""),
_xlpm.MyAuditVal,_xlfn.XLOOKUP($A677,My_Audit!$A:$A,My_Audit!K:K,""),
_xlfn.IFS(_xlpm.MyAuditVal&lt;&gt;"",UPPER(_xlpm.MyAuditVal),_xlpm.MacVal&lt;&gt;"",_xlpm.MacVal,_xlpm.CSVVal&lt;&gt;"",_xlpm.CSVVal
)),"")</f>
        <v/>
      </c>
      <c r="M677" s="45" t="str">
        <f>_xlfn.LET(
    _xlpm.CSVVal, _xlfn.XLOOKUP($A677, CSV!$A:$A, CSV!AE:AE, ""),
    _xlpm.MacVal, _xlfn.XLOOKUP($A677, Output_Mac!$A:$A, Output_Mac!S:S, ""),
    _xlpm.MyAuditVal, _xlfn.XLOOKUP($A677, My_Audit!$A:$A, My_Audit!N:N, ""),
    _xlfn.TEXTJOIN(", ", TRUE, _xlpm.MyAuditVal, _xlpm.MacVal, _xlpm.CSVVal)
)</f>
        <v/>
      </c>
      <c r="N677" s="45" t="str" cm="1">
        <f t="array" ref="N677">IFERROR(_xlfn.LET(
_xlpm.CSVVal,_xlfn.XLOOKUP($A677,CSV!$A:$A,CSV!AG:AG,""),
_xlpm.MacVal,_xlfn.XLOOKUP($A677,Output_Mac!$A:$A,Output_Mac!U:U,""),
_xlpm.MyAuditVal,_xlfn.XLOOKUP($A677,My_Audit!$A:$A,My_Audit!O:O,""),
_xlfn.IFS(_xlpm.MyAuditVal&lt;&gt;"",UPPER(_xlpm.MyAuditVal),_xlpm.MacVal&lt;&gt;"",_xlpm.MacVal,_xlpm.CSVVal&lt;&gt;"",_xlpm.CSVVal
)),"")</f>
        <v/>
      </c>
      <c r="O677" s="45"/>
      <c r="P677" s="45"/>
      <c r="Q677" s="46" t="str">
        <f>IF(LEFT(N677,4)="Pass","Nist SP 800-88",My_Audit!R677)&amp;""</f>
        <v/>
      </c>
      <c r="R677" s="45"/>
      <c r="S677" s="45"/>
      <c r="T677" s="46" t="str">
        <f>_xlfn.XLOOKUP(E677,Models!I:I,Models!J:J,"")</f>
        <v/>
      </c>
      <c r="U677" s="45"/>
      <c r="V677" s="45"/>
      <c r="W677" s="38"/>
    </row>
    <row r="678" spans="1:23">
      <c r="A678" s="45" t="str">
        <f>_xlfn.TEXTJOIN("",TRUE,Input!$B$2,ROW(My_Audit!A677))</f>
        <v>XX677</v>
      </c>
      <c r="B678" s="45" t="str">
        <f>_xlfn.TEXTJOIN("-",TRUE,"ITD",Input!$A$2,A678)</f>
        <v>ITD-SHRXXX-XX677</v>
      </c>
      <c r="C678" s="45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46" t="str" cm="1">
        <f t="array" ref="D678">IFERROR(_xlfn.LET(
_xlpm.CSVVal,_xlfn.XLOOKUP($A678,CSV!$A:$A,CSV!C:C,""),
_xlpm.MacVal,_xlfn.XLOOKUP($A678,Output_Mac!$A:$A,Output_Mac!D:D,""),
_xlpm.MyAuditVal,_xlfn.XLOOKUP($A678,My_Audit!$A:$A,My_Audit!C:C,""),
_xlfn.IFS(_xlpm.MyAuditVal&lt;&gt;"",UPPER(_xlpm.MyAuditVal),_xlpm.MacVal&lt;&gt;"",_xlpm.MacVal,_xlpm.CSVVal&lt;&gt;"",_xlpm.CSVVal
)),"")</f>
        <v/>
      </c>
      <c r="E678" s="46" t="str" cm="1">
        <f t="array" ref="E678">IFERROR(_xlfn.LET(
_xlpm.CSVVal,_xlfn.XLOOKUP($A678,CSV!$A:$A,CSV!E:E,""),
_xlpm.MacVal,_xlfn.XLOOKUP($A678,Output_Mac!$A:$A,Output_Mac!C:C,""),
_xlpm.MyAuditVal,_xlfn.XLOOKUP($A678,My_Audit!$A:$A,My_Audit!D:D,""),
_xlfn.IFS(_xlpm.MyAuditVal&lt;&gt;"",_xlpm.MyAuditVal,_xlpm.MacVal&lt;&gt;"",_xlpm.MacVal,_xlpm.CSVVal&lt;&gt;"",_xlpm.CSVVal
)),"")</f>
        <v/>
      </c>
      <c r="F678" s="45" t="str" cm="1">
        <f t="array" ref="F678">IFERROR(_xlfn.LET(
_xlpm.CSVVal,_xlfn.XLOOKUP($A678,CSV!$A:$A,CSV!F:F,""),
_xlpm.MacVal,_xlfn.XLOOKUP($A678,Output_Mac!$A:$A,Output_Mac!F:F,""),
_xlpm.MyAuditVal,_xlfn.XLOOKUP($A678,My_Audit!$A:$A,My_Audit!E:E,""),
_xlfn.IFS(_xlpm.MyAuditVal&lt;&gt;"",_xlpm.MyAuditVal,_xlpm.MacVal&lt;&gt;"",_xlpm.MacVal,_xlpm.CSVVal&lt;&gt;"",PROPER(_xlpm.CSVVal)
)),"")</f>
        <v/>
      </c>
      <c r="G678" s="45" t="str" cm="1">
        <f t="array" ref="G678">IFERROR(_xlfn.LET(
_xlpm.CSVVal,_xlfn.XLOOKUP($A678,CSV!$A:$A,CSV!G:G,""),
_xlpm.MacVal,_xlfn.XLOOKUP($A678,Output_Mac!$A:$A,Output_Mac!H:H,""),
_xlpm.MyAuditVal,_xlfn.XLOOKUP($A678,My_Audit!$A:$A,My_Audit!F:F,""),
_xlfn.IFS(_xlpm.MyAuditVal&lt;&gt;"",_xlpm.MyAuditVal,_xlpm.MacVal&lt;&gt;"",_xlpm.MacVal,_xlpm.CSVVal&lt;&gt;"",_xlpm.CSVVal
)),"")</f>
        <v/>
      </c>
      <c r="H678" s="45" t="str">
        <f>_xlfn.XLOOKUP(A678,Output_Mac!A:A,Output_Mac!I:I,"")</f>
        <v/>
      </c>
      <c r="I678" s="45" t="str" cm="1">
        <f t="array" ref="I678">IFERROR(_xlfn.LET(
_xlpm.CSVVal,_xlfn.XLOOKUP($A678,CSV!$A:$A,CSV!H:H,""),
_xlpm.MacVal,_xlfn.XLOOKUP($A678,Output_Mac!$A:$A,Output_Mac!J:J,""),
_xlpm.MyAuditVal,_xlfn.XLOOKUP($A678,My_Audit!$A:$A,My_Audit!H:H,""),
_xlfn.IFS(_xlpm.MyAuditVal&lt;&gt;"",UPPER(_xlpm.MyAuditVal),_xlpm.MacVal&lt;&gt;"",_xlpm.MacVal,_xlpm.CSVVal&lt;&gt;"",_xlpm.CSVVal
)),"")</f>
        <v/>
      </c>
      <c r="J678" s="45" t="str" cm="1">
        <f t="array" ref="J678">IFERROR(_xlfn.LET(
_xlpm.CSVVal,_xlfn.XLOOKUP($A678,CSV!$A:$A,CSV!J:J,""),
_xlpm.MacVal,_xlfn.XLOOKUP($A678,Output_Mac!$A:$A,Output_Mac!K:K,""),
_xlpm.MyAuditVal,_xlfn.XLOOKUP($A678,My_Audit!$A:$A,My_Audit!I:I,""),
_xlfn.IFS(_xlpm.MyAuditVal&lt;&gt;"",UPPER(_xlpm.MyAuditVal),_xlpm.MacVal&lt;&gt;"",_xlpm.MacVal,_xlpm.CSVVal&lt;&gt;"",_xlpm.CSVVal
)),"")</f>
        <v/>
      </c>
      <c r="K678" s="45" t="str" cm="1">
        <f t="array" ref="K678">IFERROR(_xlfn.LET(
_xlpm.CSVVal,_xlfn.XLOOKUP($A678,CSV!$A:$A,CSV!N:N,""),
_xlpm.MacVal,_xlfn.XLOOKUP($A678,Output_Mac!$A:$A,Output_Mac!L:L,""),
_xlpm.MyAuditVal,_xlfn.XLOOKUP($A678,My_Audit!$A:$A,My_Audit!J:J,""),
_xlfn.IFS(_xlpm.MyAuditVal&lt;&gt;"",UPPER(_xlpm.MyAuditVal),_xlpm.MacVal&lt;&gt;"",_xlpm.MacVal,_xlpm.CSVVal&lt;&gt;"",_xlpm.CSVVal
)),"")</f>
        <v/>
      </c>
      <c r="L678" s="45" t="str" cm="1">
        <f t="array" ref="L678">IFERROR(_xlfn.LET(
_xlpm.CSVVal,_xlfn.XLOOKUP($A678,CSV!$A:$A,CSV!P:P,""),
_xlpm.MacVal,_xlfn.XLOOKUP($A678,Output_Mac!$A:$A,Output_Mac!M:M,""),
_xlpm.MyAuditVal,_xlfn.XLOOKUP($A678,My_Audit!$A:$A,My_Audit!K:K,""),
_xlfn.IFS(_xlpm.MyAuditVal&lt;&gt;"",UPPER(_xlpm.MyAuditVal),_xlpm.MacVal&lt;&gt;"",_xlpm.MacVal,_xlpm.CSVVal&lt;&gt;"",_xlpm.CSVVal
)),"")</f>
        <v/>
      </c>
      <c r="M678" s="45" t="str">
        <f>_xlfn.LET(
    _xlpm.CSVVal, _xlfn.XLOOKUP($A678, CSV!$A:$A, CSV!AE:AE, ""),
    _xlpm.MacVal, _xlfn.XLOOKUP($A678, Output_Mac!$A:$A, Output_Mac!S:S, ""),
    _xlpm.MyAuditVal, _xlfn.XLOOKUP($A678, My_Audit!$A:$A, My_Audit!N:N, ""),
    _xlfn.TEXTJOIN(", ", TRUE, _xlpm.MyAuditVal, _xlpm.MacVal, _xlpm.CSVVal)
)</f>
        <v/>
      </c>
      <c r="N678" s="45" t="str" cm="1">
        <f t="array" ref="N678">IFERROR(_xlfn.LET(
_xlpm.CSVVal,_xlfn.XLOOKUP($A678,CSV!$A:$A,CSV!AG:AG,""),
_xlpm.MacVal,_xlfn.XLOOKUP($A678,Output_Mac!$A:$A,Output_Mac!U:U,""),
_xlpm.MyAuditVal,_xlfn.XLOOKUP($A678,My_Audit!$A:$A,My_Audit!O:O,""),
_xlfn.IFS(_xlpm.MyAuditVal&lt;&gt;"",UPPER(_xlpm.MyAuditVal),_xlpm.MacVal&lt;&gt;"",_xlpm.MacVal,_xlpm.CSVVal&lt;&gt;"",_xlpm.CSVVal
)),"")</f>
        <v/>
      </c>
      <c r="O678" s="45"/>
      <c r="P678" s="45"/>
      <c r="Q678" s="46" t="str">
        <f>IF(LEFT(N678,4)="Pass","Nist SP 800-88",My_Audit!R678)&amp;""</f>
        <v/>
      </c>
      <c r="R678" s="45"/>
      <c r="S678" s="45"/>
      <c r="T678" s="46" t="str">
        <f>_xlfn.XLOOKUP(E678,Models!I:I,Models!J:J,"")</f>
        <v/>
      </c>
      <c r="U678" s="45"/>
      <c r="V678" s="45"/>
      <c r="W678" s="38"/>
    </row>
    <row r="679" spans="1:23">
      <c r="A679" s="45" t="str">
        <f>_xlfn.TEXTJOIN("",TRUE,Input!$B$2,ROW(My_Audit!A678))</f>
        <v>XX678</v>
      </c>
      <c r="B679" s="45" t="str">
        <f>_xlfn.TEXTJOIN("-",TRUE,"ITD",Input!$A$2,A679)</f>
        <v>ITD-SHRXXX-XX678</v>
      </c>
      <c r="C679" s="45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46" t="str" cm="1">
        <f t="array" ref="D679">IFERROR(_xlfn.LET(
_xlpm.CSVVal,_xlfn.XLOOKUP($A679,CSV!$A:$A,CSV!C:C,""),
_xlpm.MacVal,_xlfn.XLOOKUP($A679,Output_Mac!$A:$A,Output_Mac!D:D,""),
_xlpm.MyAuditVal,_xlfn.XLOOKUP($A679,My_Audit!$A:$A,My_Audit!C:C,""),
_xlfn.IFS(_xlpm.MyAuditVal&lt;&gt;"",UPPER(_xlpm.MyAuditVal),_xlpm.MacVal&lt;&gt;"",_xlpm.MacVal,_xlpm.CSVVal&lt;&gt;"",_xlpm.CSVVal
)),"")</f>
        <v/>
      </c>
      <c r="E679" s="46" t="str" cm="1">
        <f t="array" ref="E679">IFERROR(_xlfn.LET(
_xlpm.CSVVal,_xlfn.XLOOKUP($A679,CSV!$A:$A,CSV!E:E,""),
_xlpm.MacVal,_xlfn.XLOOKUP($A679,Output_Mac!$A:$A,Output_Mac!C:C,""),
_xlpm.MyAuditVal,_xlfn.XLOOKUP($A679,My_Audit!$A:$A,My_Audit!D:D,""),
_xlfn.IFS(_xlpm.MyAuditVal&lt;&gt;"",_xlpm.MyAuditVal,_xlpm.MacVal&lt;&gt;"",_xlpm.MacVal,_xlpm.CSVVal&lt;&gt;"",_xlpm.CSVVal
)),"")</f>
        <v/>
      </c>
      <c r="F679" s="45" t="str" cm="1">
        <f t="array" ref="F679">IFERROR(_xlfn.LET(
_xlpm.CSVVal,_xlfn.XLOOKUP($A679,CSV!$A:$A,CSV!F:F,""),
_xlpm.MacVal,_xlfn.XLOOKUP($A679,Output_Mac!$A:$A,Output_Mac!F:F,""),
_xlpm.MyAuditVal,_xlfn.XLOOKUP($A679,My_Audit!$A:$A,My_Audit!E:E,""),
_xlfn.IFS(_xlpm.MyAuditVal&lt;&gt;"",_xlpm.MyAuditVal,_xlpm.MacVal&lt;&gt;"",_xlpm.MacVal,_xlpm.CSVVal&lt;&gt;"",PROPER(_xlpm.CSVVal)
)),"")</f>
        <v/>
      </c>
      <c r="G679" s="45" t="str" cm="1">
        <f t="array" ref="G679">IFERROR(_xlfn.LET(
_xlpm.CSVVal,_xlfn.XLOOKUP($A679,CSV!$A:$A,CSV!G:G,""),
_xlpm.MacVal,_xlfn.XLOOKUP($A679,Output_Mac!$A:$A,Output_Mac!H:H,""),
_xlpm.MyAuditVal,_xlfn.XLOOKUP($A679,My_Audit!$A:$A,My_Audit!F:F,""),
_xlfn.IFS(_xlpm.MyAuditVal&lt;&gt;"",_xlpm.MyAuditVal,_xlpm.MacVal&lt;&gt;"",_xlpm.MacVal,_xlpm.CSVVal&lt;&gt;"",_xlpm.CSVVal
)),"")</f>
        <v/>
      </c>
      <c r="H679" s="45" t="str">
        <f>_xlfn.XLOOKUP(A679,Output_Mac!A:A,Output_Mac!I:I,"")</f>
        <v/>
      </c>
      <c r="I679" s="45" t="str" cm="1">
        <f t="array" ref="I679">IFERROR(_xlfn.LET(
_xlpm.CSVVal,_xlfn.XLOOKUP($A679,CSV!$A:$A,CSV!H:H,""),
_xlpm.MacVal,_xlfn.XLOOKUP($A679,Output_Mac!$A:$A,Output_Mac!J:J,""),
_xlpm.MyAuditVal,_xlfn.XLOOKUP($A679,My_Audit!$A:$A,My_Audit!H:H,""),
_xlfn.IFS(_xlpm.MyAuditVal&lt;&gt;"",UPPER(_xlpm.MyAuditVal),_xlpm.MacVal&lt;&gt;"",_xlpm.MacVal,_xlpm.CSVVal&lt;&gt;"",_xlpm.CSVVal
)),"")</f>
        <v/>
      </c>
      <c r="J679" s="45" t="str" cm="1">
        <f t="array" ref="J679">IFERROR(_xlfn.LET(
_xlpm.CSVVal,_xlfn.XLOOKUP($A679,CSV!$A:$A,CSV!J:J,""),
_xlpm.MacVal,_xlfn.XLOOKUP($A679,Output_Mac!$A:$A,Output_Mac!K:K,""),
_xlpm.MyAuditVal,_xlfn.XLOOKUP($A679,My_Audit!$A:$A,My_Audit!I:I,""),
_xlfn.IFS(_xlpm.MyAuditVal&lt;&gt;"",UPPER(_xlpm.MyAuditVal),_xlpm.MacVal&lt;&gt;"",_xlpm.MacVal,_xlpm.CSVVal&lt;&gt;"",_xlpm.CSVVal
)),"")</f>
        <v/>
      </c>
      <c r="K679" s="45" t="str" cm="1">
        <f t="array" ref="K679">IFERROR(_xlfn.LET(
_xlpm.CSVVal,_xlfn.XLOOKUP($A679,CSV!$A:$A,CSV!N:N,""),
_xlpm.MacVal,_xlfn.XLOOKUP($A679,Output_Mac!$A:$A,Output_Mac!L:L,""),
_xlpm.MyAuditVal,_xlfn.XLOOKUP($A679,My_Audit!$A:$A,My_Audit!J:J,""),
_xlfn.IFS(_xlpm.MyAuditVal&lt;&gt;"",UPPER(_xlpm.MyAuditVal),_xlpm.MacVal&lt;&gt;"",_xlpm.MacVal,_xlpm.CSVVal&lt;&gt;"",_xlpm.CSVVal
)),"")</f>
        <v/>
      </c>
      <c r="L679" s="45" t="str" cm="1">
        <f t="array" ref="L679">IFERROR(_xlfn.LET(
_xlpm.CSVVal,_xlfn.XLOOKUP($A679,CSV!$A:$A,CSV!P:P,""),
_xlpm.MacVal,_xlfn.XLOOKUP($A679,Output_Mac!$A:$A,Output_Mac!M:M,""),
_xlpm.MyAuditVal,_xlfn.XLOOKUP($A679,My_Audit!$A:$A,My_Audit!K:K,""),
_xlfn.IFS(_xlpm.MyAuditVal&lt;&gt;"",UPPER(_xlpm.MyAuditVal),_xlpm.MacVal&lt;&gt;"",_xlpm.MacVal,_xlpm.CSVVal&lt;&gt;"",_xlpm.CSVVal
)),"")</f>
        <v/>
      </c>
      <c r="M679" s="45" t="str">
        <f>_xlfn.LET(
    _xlpm.CSVVal, _xlfn.XLOOKUP($A679, CSV!$A:$A, CSV!AE:AE, ""),
    _xlpm.MacVal, _xlfn.XLOOKUP($A679, Output_Mac!$A:$A, Output_Mac!S:S, ""),
    _xlpm.MyAuditVal, _xlfn.XLOOKUP($A679, My_Audit!$A:$A, My_Audit!N:N, ""),
    _xlfn.TEXTJOIN(", ", TRUE, _xlpm.MyAuditVal, _xlpm.MacVal, _xlpm.CSVVal)
)</f>
        <v/>
      </c>
      <c r="N679" s="45" t="str" cm="1">
        <f t="array" ref="N679">IFERROR(_xlfn.LET(
_xlpm.CSVVal,_xlfn.XLOOKUP($A679,CSV!$A:$A,CSV!AG:AG,""),
_xlpm.MacVal,_xlfn.XLOOKUP($A679,Output_Mac!$A:$A,Output_Mac!U:U,""),
_xlpm.MyAuditVal,_xlfn.XLOOKUP($A679,My_Audit!$A:$A,My_Audit!O:O,""),
_xlfn.IFS(_xlpm.MyAuditVal&lt;&gt;"",UPPER(_xlpm.MyAuditVal),_xlpm.MacVal&lt;&gt;"",_xlpm.MacVal,_xlpm.CSVVal&lt;&gt;"",_xlpm.CSVVal
)),"")</f>
        <v/>
      </c>
      <c r="O679" s="45"/>
      <c r="P679" s="45"/>
      <c r="Q679" s="46" t="str">
        <f>IF(LEFT(N679,4)="Pass","Nist SP 800-88",My_Audit!R679)&amp;""</f>
        <v/>
      </c>
      <c r="R679" s="45"/>
      <c r="S679" s="45"/>
      <c r="T679" s="46" t="str">
        <f>_xlfn.XLOOKUP(E679,Models!I:I,Models!J:J,"")</f>
        <v/>
      </c>
      <c r="U679" s="45"/>
      <c r="V679" s="45"/>
      <c r="W679" s="38"/>
    </row>
    <row r="680" spans="1:23">
      <c r="A680" s="45" t="str">
        <f>_xlfn.TEXTJOIN("",TRUE,Input!$B$2,ROW(My_Audit!A679))</f>
        <v>XX679</v>
      </c>
      <c r="B680" s="45" t="str">
        <f>_xlfn.TEXTJOIN("-",TRUE,"ITD",Input!$A$2,A680)</f>
        <v>ITD-SHRXXX-XX679</v>
      </c>
      <c r="C680" s="45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46" t="str" cm="1">
        <f t="array" ref="D680">IFERROR(_xlfn.LET(
_xlpm.CSVVal,_xlfn.XLOOKUP($A680,CSV!$A:$A,CSV!C:C,""),
_xlpm.MacVal,_xlfn.XLOOKUP($A680,Output_Mac!$A:$A,Output_Mac!D:D,""),
_xlpm.MyAuditVal,_xlfn.XLOOKUP($A680,My_Audit!$A:$A,My_Audit!C:C,""),
_xlfn.IFS(_xlpm.MyAuditVal&lt;&gt;"",UPPER(_xlpm.MyAuditVal),_xlpm.MacVal&lt;&gt;"",_xlpm.MacVal,_xlpm.CSVVal&lt;&gt;"",_xlpm.CSVVal
)),"")</f>
        <v/>
      </c>
      <c r="E680" s="46" t="str" cm="1">
        <f t="array" ref="E680">IFERROR(_xlfn.LET(
_xlpm.CSVVal,_xlfn.XLOOKUP($A680,CSV!$A:$A,CSV!E:E,""),
_xlpm.MacVal,_xlfn.XLOOKUP($A680,Output_Mac!$A:$A,Output_Mac!C:C,""),
_xlpm.MyAuditVal,_xlfn.XLOOKUP($A680,My_Audit!$A:$A,My_Audit!D:D,""),
_xlfn.IFS(_xlpm.MyAuditVal&lt;&gt;"",_xlpm.MyAuditVal,_xlpm.MacVal&lt;&gt;"",_xlpm.MacVal,_xlpm.CSVVal&lt;&gt;"",_xlpm.CSVVal
)),"")</f>
        <v/>
      </c>
      <c r="F680" s="45" t="str" cm="1">
        <f t="array" ref="F680">IFERROR(_xlfn.LET(
_xlpm.CSVVal,_xlfn.XLOOKUP($A680,CSV!$A:$A,CSV!F:F,""),
_xlpm.MacVal,_xlfn.XLOOKUP($A680,Output_Mac!$A:$A,Output_Mac!F:F,""),
_xlpm.MyAuditVal,_xlfn.XLOOKUP($A680,My_Audit!$A:$A,My_Audit!E:E,""),
_xlfn.IFS(_xlpm.MyAuditVal&lt;&gt;"",_xlpm.MyAuditVal,_xlpm.MacVal&lt;&gt;"",_xlpm.MacVal,_xlpm.CSVVal&lt;&gt;"",PROPER(_xlpm.CSVVal)
)),"")</f>
        <v/>
      </c>
      <c r="G680" s="45" t="str" cm="1">
        <f t="array" ref="G680">IFERROR(_xlfn.LET(
_xlpm.CSVVal,_xlfn.XLOOKUP($A680,CSV!$A:$A,CSV!G:G,""),
_xlpm.MacVal,_xlfn.XLOOKUP($A680,Output_Mac!$A:$A,Output_Mac!H:H,""),
_xlpm.MyAuditVal,_xlfn.XLOOKUP($A680,My_Audit!$A:$A,My_Audit!F:F,""),
_xlfn.IFS(_xlpm.MyAuditVal&lt;&gt;"",_xlpm.MyAuditVal,_xlpm.MacVal&lt;&gt;"",_xlpm.MacVal,_xlpm.CSVVal&lt;&gt;"",_xlpm.CSVVal
)),"")</f>
        <v/>
      </c>
      <c r="H680" s="45" t="str">
        <f>_xlfn.XLOOKUP(A680,Output_Mac!A:A,Output_Mac!I:I,"")</f>
        <v/>
      </c>
      <c r="I680" s="45" t="str" cm="1">
        <f t="array" ref="I680">IFERROR(_xlfn.LET(
_xlpm.CSVVal,_xlfn.XLOOKUP($A680,CSV!$A:$A,CSV!H:H,""),
_xlpm.MacVal,_xlfn.XLOOKUP($A680,Output_Mac!$A:$A,Output_Mac!J:J,""),
_xlpm.MyAuditVal,_xlfn.XLOOKUP($A680,My_Audit!$A:$A,My_Audit!H:H,""),
_xlfn.IFS(_xlpm.MyAuditVal&lt;&gt;"",UPPER(_xlpm.MyAuditVal),_xlpm.MacVal&lt;&gt;"",_xlpm.MacVal,_xlpm.CSVVal&lt;&gt;"",_xlpm.CSVVal
)),"")</f>
        <v/>
      </c>
      <c r="J680" s="45" t="str" cm="1">
        <f t="array" ref="J680">IFERROR(_xlfn.LET(
_xlpm.CSVVal,_xlfn.XLOOKUP($A680,CSV!$A:$A,CSV!J:J,""),
_xlpm.MacVal,_xlfn.XLOOKUP($A680,Output_Mac!$A:$A,Output_Mac!K:K,""),
_xlpm.MyAuditVal,_xlfn.XLOOKUP($A680,My_Audit!$A:$A,My_Audit!I:I,""),
_xlfn.IFS(_xlpm.MyAuditVal&lt;&gt;"",UPPER(_xlpm.MyAuditVal),_xlpm.MacVal&lt;&gt;"",_xlpm.MacVal,_xlpm.CSVVal&lt;&gt;"",_xlpm.CSVVal
)),"")</f>
        <v/>
      </c>
      <c r="K680" s="45" t="str" cm="1">
        <f t="array" ref="K680">IFERROR(_xlfn.LET(
_xlpm.CSVVal,_xlfn.XLOOKUP($A680,CSV!$A:$A,CSV!N:N,""),
_xlpm.MacVal,_xlfn.XLOOKUP($A680,Output_Mac!$A:$A,Output_Mac!L:L,""),
_xlpm.MyAuditVal,_xlfn.XLOOKUP($A680,My_Audit!$A:$A,My_Audit!J:J,""),
_xlfn.IFS(_xlpm.MyAuditVal&lt;&gt;"",UPPER(_xlpm.MyAuditVal),_xlpm.MacVal&lt;&gt;"",_xlpm.MacVal,_xlpm.CSVVal&lt;&gt;"",_xlpm.CSVVal
)),"")</f>
        <v/>
      </c>
      <c r="L680" s="45" t="str" cm="1">
        <f t="array" ref="L680">IFERROR(_xlfn.LET(
_xlpm.CSVVal,_xlfn.XLOOKUP($A680,CSV!$A:$A,CSV!P:P,""),
_xlpm.MacVal,_xlfn.XLOOKUP($A680,Output_Mac!$A:$A,Output_Mac!M:M,""),
_xlpm.MyAuditVal,_xlfn.XLOOKUP($A680,My_Audit!$A:$A,My_Audit!K:K,""),
_xlfn.IFS(_xlpm.MyAuditVal&lt;&gt;"",UPPER(_xlpm.MyAuditVal),_xlpm.MacVal&lt;&gt;"",_xlpm.MacVal,_xlpm.CSVVal&lt;&gt;"",_xlpm.CSVVal
)),"")</f>
        <v/>
      </c>
      <c r="M680" s="45" t="str">
        <f>_xlfn.LET(
    _xlpm.CSVVal, _xlfn.XLOOKUP($A680, CSV!$A:$A, CSV!AE:AE, ""),
    _xlpm.MacVal, _xlfn.XLOOKUP($A680, Output_Mac!$A:$A, Output_Mac!S:S, ""),
    _xlpm.MyAuditVal, _xlfn.XLOOKUP($A680, My_Audit!$A:$A, My_Audit!N:N, ""),
    _xlfn.TEXTJOIN(", ", TRUE, _xlpm.MyAuditVal, _xlpm.MacVal, _xlpm.CSVVal)
)</f>
        <v/>
      </c>
      <c r="N680" s="45" t="str" cm="1">
        <f t="array" ref="N680">IFERROR(_xlfn.LET(
_xlpm.CSVVal,_xlfn.XLOOKUP($A680,CSV!$A:$A,CSV!AG:AG,""),
_xlpm.MacVal,_xlfn.XLOOKUP($A680,Output_Mac!$A:$A,Output_Mac!U:U,""),
_xlpm.MyAuditVal,_xlfn.XLOOKUP($A680,My_Audit!$A:$A,My_Audit!O:O,""),
_xlfn.IFS(_xlpm.MyAuditVal&lt;&gt;"",UPPER(_xlpm.MyAuditVal),_xlpm.MacVal&lt;&gt;"",_xlpm.MacVal,_xlpm.CSVVal&lt;&gt;"",_xlpm.CSVVal
)),"")</f>
        <v/>
      </c>
      <c r="O680" s="45"/>
      <c r="P680" s="45"/>
      <c r="Q680" s="46" t="str">
        <f>IF(LEFT(N680,4)="Pass","Nist SP 800-88",My_Audit!R680)&amp;""</f>
        <v/>
      </c>
      <c r="R680" s="45"/>
      <c r="S680" s="45"/>
      <c r="T680" s="46" t="str">
        <f>_xlfn.XLOOKUP(E680,Models!I:I,Models!J:J,"")</f>
        <v/>
      </c>
      <c r="U680" s="45"/>
      <c r="V680" s="45"/>
      <c r="W680" s="38"/>
    </row>
    <row r="681" spans="1:23">
      <c r="A681" s="45" t="str">
        <f>_xlfn.TEXTJOIN("",TRUE,Input!$B$2,ROW(My_Audit!A680))</f>
        <v>XX680</v>
      </c>
      <c r="B681" s="45" t="str">
        <f>_xlfn.TEXTJOIN("-",TRUE,"ITD",Input!$A$2,A681)</f>
        <v>ITD-SHRXXX-XX680</v>
      </c>
      <c r="C681" s="45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46" t="str" cm="1">
        <f t="array" ref="D681">IFERROR(_xlfn.LET(
_xlpm.CSVVal,_xlfn.XLOOKUP($A681,CSV!$A:$A,CSV!C:C,""),
_xlpm.MacVal,_xlfn.XLOOKUP($A681,Output_Mac!$A:$A,Output_Mac!D:D,""),
_xlpm.MyAuditVal,_xlfn.XLOOKUP($A681,My_Audit!$A:$A,My_Audit!C:C,""),
_xlfn.IFS(_xlpm.MyAuditVal&lt;&gt;"",UPPER(_xlpm.MyAuditVal),_xlpm.MacVal&lt;&gt;"",_xlpm.MacVal,_xlpm.CSVVal&lt;&gt;"",_xlpm.CSVVal
)),"")</f>
        <v/>
      </c>
      <c r="E681" s="46" t="str" cm="1">
        <f t="array" ref="E681">IFERROR(_xlfn.LET(
_xlpm.CSVVal,_xlfn.XLOOKUP($A681,CSV!$A:$A,CSV!E:E,""),
_xlpm.MacVal,_xlfn.XLOOKUP($A681,Output_Mac!$A:$A,Output_Mac!C:C,""),
_xlpm.MyAuditVal,_xlfn.XLOOKUP($A681,My_Audit!$A:$A,My_Audit!D:D,""),
_xlfn.IFS(_xlpm.MyAuditVal&lt;&gt;"",_xlpm.MyAuditVal,_xlpm.MacVal&lt;&gt;"",_xlpm.MacVal,_xlpm.CSVVal&lt;&gt;"",_xlpm.CSVVal
)),"")</f>
        <v/>
      </c>
      <c r="F681" s="45" t="str" cm="1">
        <f t="array" ref="F681">IFERROR(_xlfn.LET(
_xlpm.CSVVal,_xlfn.XLOOKUP($A681,CSV!$A:$A,CSV!F:F,""),
_xlpm.MacVal,_xlfn.XLOOKUP($A681,Output_Mac!$A:$A,Output_Mac!F:F,""),
_xlpm.MyAuditVal,_xlfn.XLOOKUP($A681,My_Audit!$A:$A,My_Audit!E:E,""),
_xlfn.IFS(_xlpm.MyAuditVal&lt;&gt;"",_xlpm.MyAuditVal,_xlpm.MacVal&lt;&gt;"",_xlpm.MacVal,_xlpm.CSVVal&lt;&gt;"",PROPER(_xlpm.CSVVal)
)),"")</f>
        <v/>
      </c>
      <c r="G681" s="45" t="str" cm="1">
        <f t="array" ref="G681">IFERROR(_xlfn.LET(
_xlpm.CSVVal,_xlfn.XLOOKUP($A681,CSV!$A:$A,CSV!G:G,""),
_xlpm.MacVal,_xlfn.XLOOKUP($A681,Output_Mac!$A:$A,Output_Mac!H:H,""),
_xlpm.MyAuditVal,_xlfn.XLOOKUP($A681,My_Audit!$A:$A,My_Audit!F:F,""),
_xlfn.IFS(_xlpm.MyAuditVal&lt;&gt;"",_xlpm.MyAuditVal,_xlpm.MacVal&lt;&gt;"",_xlpm.MacVal,_xlpm.CSVVal&lt;&gt;"",_xlpm.CSVVal
)),"")</f>
        <v/>
      </c>
      <c r="H681" s="45" t="str">
        <f>_xlfn.XLOOKUP(A681,Output_Mac!A:A,Output_Mac!I:I,"")</f>
        <v/>
      </c>
      <c r="I681" s="45" t="str" cm="1">
        <f t="array" ref="I681">IFERROR(_xlfn.LET(
_xlpm.CSVVal,_xlfn.XLOOKUP($A681,CSV!$A:$A,CSV!H:H,""),
_xlpm.MacVal,_xlfn.XLOOKUP($A681,Output_Mac!$A:$A,Output_Mac!J:J,""),
_xlpm.MyAuditVal,_xlfn.XLOOKUP($A681,My_Audit!$A:$A,My_Audit!H:H,""),
_xlfn.IFS(_xlpm.MyAuditVal&lt;&gt;"",UPPER(_xlpm.MyAuditVal),_xlpm.MacVal&lt;&gt;"",_xlpm.MacVal,_xlpm.CSVVal&lt;&gt;"",_xlpm.CSVVal
)),"")</f>
        <v/>
      </c>
      <c r="J681" s="45" t="str" cm="1">
        <f t="array" ref="J681">IFERROR(_xlfn.LET(
_xlpm.CSVVal,_xlfn.XLOOKUP($A681,CSV!$A:$A,CSV!J:J,""),
_xlpm.MacVal,_xlfn.XLOOKUP($A681,Output_Mac!$A:$A,Output_Mac!K:K,""),
_xlpm.MyAuditVal,_xlfn.XLOOKUP($A681,My_Audit!$A:$A,My_Audit!I:I,""),
_xlfn.IFS(_xlpm.MyAuditVal&lt;&gt;"",UPPER(_xlpm.MyAuditVal),_xlpm.MacVal&lt;&gt;"",_xlpm.MacVal,_xlpm.CSVVal&lt;&gt;"",_xlpm.CSVVal
)),"")</f>
        <v/>
      </c>
      <c r="K681" s="45" t="str" cm="1">
        <f t="array" ref="K681">IFERROR(_xlfn.LET(
_xlpm.CSVVal,_xlfn.XLOOKUP($A681,CSV!$A:$A,CSV!N:N,""),
_xlpm.MacVal,_xlfn.XLOOKUP($A681,Output_Mac!$A:$A,Output_Mac!L:L,""),
_xlpm.MyAuditVal,_xlfn.XLOOKUP($A681,My_Audit!$A:$A,My_Audit!J:J,""),
_xlfn.IFS(_xlpm.MyAuditVal&lt;&gt;"",UPPER(_xlpm.MyAuditVal),_xlpm.MacVal&lt;&gt;"",_xlpm.MacVal,_xlpm.CSVVal&lt;&gt;"",_xlpm.CSVVal
)),"")</f>
        <v/>
      </c>
      <c r="L681" s="45" t="str" cm="1">
        <f t="array" ref="L681">IFERROR(_xlfn.LET(
_xlpm.CSVVal,_xlfn.XLOOKUP($A681,CSV!$A:$A,CSV!P:P,""),
_xlpm.MacVal,_xlfn.XLOOKUP($A681,Output_Mac!$A:$A,Output_Mac!M:M,""),
_xlpm.MyAuditVal,_xlfn.XLOOKUP($A681,My_Audit!$A:$A,My_Audit!K:K,""),
_xlfn.IFS(_xlpm.MyAuditVal&lt;&gt;"",UPPER(_xlpm.MyAuditVal),_xlpm.MacVal&lt;&gt;"",_xlpm.MacVal,_xlpm.CSVVal&lt;&gt;"",_xlpm.CSVVal
)),"")</f>
        <v/>
      </c>
      <c r="M681" s="45" t="str">
        <f>_xlfn.LET(
    _xlpm.CSVVal, _xlfn.XLOOKUP($A681, CSV!$A:$A, CSV!AE:AE, ""),
    _xlpm.MacVal, _xlfn.XLOOKUP($A681, Output_Mac!$A:$A, Output_Mac!S:S, ""),
    _xlpm.MyAuditVal, _xlfn.XLOOKUP($A681, My_Audit!$A:$A, My_Audit!N:N, ""),
    _xlfn.TEXTJOIN(", ", TRUE, _xlpm.MyAuditVal, _xlpm.MacVal, _xlpm.CSVVal)
)</f>
        <v/>
      </c>
      <c r="N681" s="45" t="str" cm="1">
        <f t="array" ref="N681">IFERROR(_xlfn.LET(
_xlpm.CSVVal,_xlfn.XLOOKUP($A681,CSV!$A:$A,CSV!AG:AG,""),
_xlpm.MacVal,_xlfn.XLOOKUP($A681,Output_Mac!$A:$A,Output_Mac!U:U,""),
_xlpm.MyAuditVal,_xlfn.XLOOKUP($A681,My_Audit!$A:$A,My_Audit!O:O,""),
_xlfn.IFS(_xlpm.MyAuditVal&lt;&gt;"",UPPER(_xlpm.MyAuditVal),_xlpm.MacVal&lt;&gt;"",_xlpm.MacVal,_xlpm.CSVVal&lt;&gt;"",_xlpm.CSVVal
)),"")</f>
        <v/>
      </c>
      <c r="O681" s="45"/>
      <c r="P681" s="45"/>
      <c r="Q681" s="46" t="str">
        <f>IF(LEFT(N681,4)="Pass","Nist SP 800-88",My_Audit!R681)&amp;""</f>
        <v/>
      </c>
      <c r="R681" s="45"/>
      <c r="S681" s="45"/>
      <c r="T681" s="46" t="str">
        <f>_xlfn.XLOOKUP(E681,Models!I:I,Models!J:J,"")</f>
        <v/>
      </c>
      <c r="U681" s="45"/>
      <c r="V681" s="45"/>
      <c r="W681" s="38"/>
    </row>
    <row r="682" spans="1:23">
      <c r="A682" s="45" t="str">
        <f>_xlfn.TEXTJOIN("",TRUE,Input!$B$2,ROW(My_Audit!A681))</f>
        <v>XX681</v>
      </c>
      <c r="B682" s="45" t="str">
        <f>_xlfn.TEXTJOIN("-",TRUE,"ITD",Input!$A$2,A682)</f>
        <v>ITD-SHRXXX-XX681</v>
      </c>
      <c r="C682" s="45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46" t="str" cm="1">
        <f t="array" ref="D682">IFERROR(_xlfn.LET(
_xlpm.CSVVal,_xlfn.XLOOKUP($A682,CSV!$A:$A,CSV!C:C,""),
_xlpm.MacVal,_xlfn.XLOOKUP($A682,Output_Mac!$A:$A,Output_Mac!D:D,""),
_xlpm.MyAuditVal,_xlfn.XLOOKUP($A682,My_Audit!$A:$A,My_Audit!C:C,""),
_xlfn.IFS(_xlpm.MyAuditVal&lt;&gt;"",UPPER(_xlpm.MyAuditVal),_xlpm.MacVal&lt;&gt;"",_xlpm.MacVal,_xlpm.CSVVal&lt;&gt;"",_xlpm.CSVVal
)),"")</f>
        <v/>
      </c>
      <c r="E682" s="46" t="str" cm="1">
        <f t="array" ref="E682">IFERROR(_xlfn.LET(
_xlpm.CSVVal,_xlfn.XLOOKUP($A682,CSV!$A:$A,CSV!E:E,""),
_xlpm.MacVal,_xlfn.XLOOKUP($A682,Output_Mac!$A:$A,Output_Mac!C:C,""),
_xlpm.MyAuditVal,_xlfn.XLOOKUP($A682,My_Audit!$A:$A,My_Audit!D:D,""),
_xlfn.IFS(_xlpm.MyAuditVal&lt;&gt;"",_xlpm.MyAuditVal,_xlpm.MacVal&lt;&gt;"",_xlpm.MacVal,_xlpm.CSVVal&lt;&gt;"",_xlpm.CSVVal
)),"")</f>
        <v/>
      </c>
      <c r="F682" s="45" t="str" cm="1">
        <f t="array" ref="F682">IFERROR(_xlfn.LET(
_xlpm.CSVVal,_xlfn.XLOOKUP($A682,CSV!$A:$A,CSV!F:F,""),
_xlpm.MacVal,_xlfn.XLOOKUP($A682,Output_Mac!$A:$A,Output_Mac!F:F,""),
_xlpm.MyAuditVal,_xlfn.XLOOKUP($A682,My_Audit!$A:$A,My_Audit!E:E,""),
_xlfn.IFS(_xlpm.MyAuditVal&lt;&gt;"",_xlpm.MyAuditVal,_xlpm.MacVal&lt;&gt;"",_xlpm.MacVal,_xlpm.CSVVal&lt;&gt;"",PROPER(_xlpm.CSVVal)
)),"")</f>
        <v/>
      </c>
      <c r="G682" s="45" t="str" cm="1">
        <f t="array" ref="G682">IFERROR(_xlfn.LET(
_xlpm.CSVVal,_xlfn.XLOOKUP($A682,CSV!$A:$A,CSV!G:G,""),
_xlpm.MacVal,_xlfn.XLOOKUP($A682,Output_Mac!$A:$A,Output_Mac!H:H,""),
_xlpm.MyAuditVal,_xlfn.XLOOKUP($A682,My_Audit!$A:$A,My_Audit!F:F,""),
_xlfn.IFS(_xlpm.MyAuditVal&lt;&gt;"",_xlpm.MyAuditVal,_xlpm.MacVal&lt;&gt;"",_xlpm.MacVal,_xlpm.CSVVal&lt;&gt;"",_xlpm.CSVVal
)),"")</f>
        <v/>
      </c>
      <c r="H682" s="45" t="str">
        <f>_xlfn.XLOOKUP(A682,Output_Mac!A:A,Output_Mac!I:I,"")</f>
        <v/>
      </c>
      <c r="I682" s="45" t="str" cm="1">
        <f t="array" ref="I682">IFERROR(_xlfn.LET(
_xlpm.CSVVal,_xlfn.XLOOKUP($A682,CSV!$A:$A,CSV!H:H,""),
_xlpm.MacVal,_xlfn.XLOOKUP($A682,Output_Mac!$A:$A,Output_Mac!J:J,""),
_xlpm.MyAuditVal,_xlfn.XLOOKUP($A682,My_Audit!$A:$A,My_Audit!H:H,""),
_xlfn.IFS(_xlpm.MyAuditVal&lt;&gt;"",UPPER(_xlpm.MyAuditVal),_xlpm.MacVal&lt;&gt;"",_xlpm.MacVal,_xlpm.CSVVal&lt;&gt;"",_xlpm.CSVVal
)),"")</f>
        <v/>
      </c>
      <c r="J682" s="45" t="str" cm="1">
        <f t="array" ref="J682">IFERROR(_xlfn.LET(
_xlpm.CSVVal,_xlfn.XLOOKUP($A682,CSV!$A:$A,CSV!J:J,""),
_xlpm.MacVal,_xlfn.XLOOKUP($A682,Output_Mac!$A:$A,Output_Mac!K:K,""),
_xlpm.MyAuditVal,_xlfn.XLOOKUP($A682,My_Audit!$A:$A,My_Audit!I:I,""),
_xlfn.IFS(_xlpm.MyAuditVal&lt;&gt;"",UPPER(_xlpm.MyAuditVal),_xlpm.MacVal&lt;&gt;"",_xlpm.MacVal,_xlpm.CSVVal&lt;&gt;"",_xlpm.CSVVal
)),"")</f>
        <v/>
      </c>
      <c r="K682" s="45" t="str" cm="1">
        <f t="array" ref="K682">IFERROR(_xlfn.LET(
_xlpm.CSVVal,_xlfn.XLOOKUP($A682,CSV!$A:$A,CSV!N:N,""),
_xlpm.MacVal,_xlfn.XLOOKUP($A682,Output_Mac!$A:$A,Output_Mac!L:L,""),
_xlpm.MyAuditVal,_xlfn.XLOOKUP($A682,My_Audit!$A:$A,My_Audit!J:J,""),
_xlfn.IFS(_xlpm.MyAuditVal&lt;&gt;"",UPPER(_xlpm.MyAuditVal),_xlpm.MacVal&lt;&gt;"",_xlpm.MacVal,_xlpm.CSVVal&lt;&gt;"",_xlpm.CSVVal
)),"")</f>
        <v/>
      </c>
      <c r="L682" s="45" t="str" cm="1">
        <f t="array" ref="L682">IFERROR(_xlfn.LET(
_xlpm.CSVVal,_xlfn.XLOOKUP($A682,CSV!$A:$A,CSV!P:P,""),
_xlpm.MacVal,_xlfn.XLOOKUP($A682,Output_Mac!$A:$A,Output_Mac!M:M,""),
_xlpm.MyAuditVal,_xlfn.XLOOKUP($A682,My_Audit!$A:$A,My_Audit!K:K,""),
_xlfn.IFS(_xlpm.MyAuditVal&lt;&gt;"",UPPER(_xlpm.MyAuditVal),_xlpm.MacVal&lt;&gt;"",_xlpm.MacVal,_xlpm.CSVVal&lt;&gt;"",_xlpm.CSVVal
)),"")</f>
        <v/>
      </c>
      <c r="M682" s="45" t="str">
        <f>_xlfn.LET(
    _xlpm.CSVVal, _xlfn.XLOOKUP($A682, CSV!$A:$A, CSV!AE:AE, ""),
    _xlpm.MacVal, _xlfn.XLOOKUP($A682, Output_Mac!$A:$A, Output_Mac!S:S, ""),
    _xlpm.MyAuditVal, _xlfn.XLOOKUP($A682, My_Audit!$A:$A, My_Audit!N:N, ""),
    _xlfn.TEXTJOIN(", ", TRUE, _xlpm.MyAuditVal, _xlpm.MacVal, _xlpm.CSVVal)
)</f>
        <v/>
      </c>
      <c r="N682" s="45" t="str" cm="1">
        <f t="array" ref="N682">IFERROR(_xlfn.LET(
_xlpm.CSVVal,_xlfn.XLOOKUP($A682,CSV!$A:$A,CSV!AG:AG,""),
_xlpm.MacVal,_xlfn.XLOOKUP($A682,Output_Mac!$A:$A,Output_Mac!U:U,""),
_xlpm.MyAuditVal,_xlfn.XLOOKUP($A682,My_Audit!$A:$A,My_Audit!O:O,""),
_xlfn.IFS(_xlpm.MyAuditVal&lt;&gt;"",UPPER(_xlpm.MyAuditVal),_xlpm.MacVal&lt;&gt;"",_xlpm.MacVal,_xlpm.CSVVal&lt;&gt;"",_xlpm.CSVVal
)),"")</f>
        <v/>
      </c>
      <c r="O682" s="45"/>
      <c r="P682" s="45"/>
      <c r="Q682" s="46" t="str">
        <f>IF(LEFT(N682,4)="Pass","Nist SP 800-88",My_Audit!R682)&amp;""</f>
        <v/>
      </c>
      <c r="R682" s="45"/>
      <c r="S682" s="45"/>
      <c r="T682" s="46" t="str">
        <f>_xlfn.XLOOKUP(E682,Models!I:I,Models!J:J,"")</f>
        <v/>
      </c>
      <c r="U682" s="45"/>
      <c r="V682" s="45"/>
      <c r="W682" s="38"/>
    </row>
    <row r="683" spans="1:23">
      <c r="A683" s="45" t="str">
        <f>_xlfn.TEXTJOIN("",TRUE,Input!$B$2,ROW(My_Audit!A682))</f>
        <v>XX682</v>
      </c>
      <c r="B683" s="45" t="str">
        <f>_xlfn.TEXTJOIN("-",TRUE,"ITD",Input!$A$2,A683)</f>
        <v>ITD-SHRXXX-XX682</v>
      </c>
      <c r="C683" s="45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46" t="str" cm="1">
        <f t="array" ref="D683">IFERROR(_xlfn.LET(
_xlpm.CSVVal,_xlfn.XLOOKUP($A683,CSV!$A:$A,CSV!C:C,""),
_xlpm.MacVal,_xlfn.XLOOKUP($A683,Output_Mac!$A:$A,Output_Mac!D:D,""),
_xlpm.MyAuditVal,_xlfn.XLOOKUP($A683,My_Audit!$A:$A,My_Audit!C:C,""),
_xlfn.IFS(_xlpm.MyAuditVal&lt;&gt;"",UPPER(_xlpm.MyAuditVal),_xlpm.MacVal&lt;&gt;"",_xlpm.MacVal,_xlpm.CSVVal&lt;&gt;"",_xlpm.CSVVal
)),"")</f>
        <v/>
      </c>
      <c r="E683" s="46" t="str" cm="1">
        <f t="array" ref="E683">IFERROR(_xlfn.LET(
_xlpm.CSVVal,_xlfn.XLOOKUP($A683,CSV!$A:$A,CSV!E:E,""),
_xlpm.MacVal,_xlfn.XLOOKUP($A683,Output_Mac!$A:$A,Output_Mac!C:C,""),
_xlpm.MyAuditVal,_xlfn.XLOOKUP($A683,My_Audit!$A:$A,My_Audit!D:D,""),
_xlfn.IFS(_xlpm.MyAuditVal&lt;&gt;"",_xlpm.MyAuditVal,_xlpm.MacVal&lt;&gt;"",_xlpm.MacVal,_xlpm.CSVVal&lt;&gt;"",_xlpm.CSVVal
)),"")</f>
        <v/>
      </c>
      <c r="F683" s="45" t="str" cm="1">
        <f t="array" ref="F683">IFERROR(_xlfn.LET(
_xlpm.CSVVal,_xlfn.XLOOKUP($A683,CSV!$A:$A,CSV!F:F,""),
_xlpm.MacVal,_xlfn.XLOOKUP($A683,Output_Mac!$A:$A,Output_Mac!F:F,""),
_xlpm.MyAuditVal,_xlfn.XLOOKUP($A683,My_Audit!$A:$A,My_Audit!E:E,""),
_xlfn.IFS(_xlpm.MyAuditVal&lt;&gt;"",_xlpm.MyAuditVal,_xlpm.MacVal&lt;&gt;"",_xlpm.MacVal,_xlpm.CSVVal&lt;&gt;"",PROPER(_xlpm.CSVVal)
)),"")</f>
        <v/>
      </c>
      <c r="G683" s="45" t="str" cm="1">
        <f t="array" ref="G683">IFERROR(_xlfn.LET(
_xlpm.CSVVal,_xlfn.XLOOKUP($A683,CSV!$A:$A,CSV!G:G,""),
_xlpm.MacVal,_xlfn.XLOOKUP($A683,Output_Mac!$A:$A,Output_Mac!H:H,""),
_xlpm.MyAuditVal,_xlfn.XLOOKUP($A683,My_Audit!$A:$A,My_Audit!F:F,""),
_xlfn.IFS(_xlpm.MyAuditVal&lt;&gt;"",_xlpm.MyAuditVal,_xlpm.MacVal&lt;&gt;"",_xlpm.MacVal,_xlpm.CSVVal&lt;&gt;"",_xlpm.CSVVal
)),"")</f>
        <v/>
      </c>
      <c r="H683" s="45" t="str">
        <f>_xlfn.XLOOKUP(A683,Output_Mac!A:A,Output_Mac!I:I,"")</f>
        <v/>
      </c>
      <c r="I683" s="45" t="str" cm="1">
        <f t="array" ref="I683">IFERROR(_xlfn.LET(
_xlpm.CSVVal,_xlfn.XLOOKUP($A683,CSV!$A:$A,CSV!H:H,""),
_xlpm.MacVal,_xlfn.XLOOKUP($A683,Output_Mac!$A:$A,Output_Mac!J:J,""),
_xlpm.MyAuditVal,_xlfn.XLOOKUP($A683,My_Audit!$A:$A,My_Audit!H:H,""),
_xlfn.IFS(_xlpm.MyAuditVal&lt;&gt;"",UPPER(_xlpm.MyAuditVal),_xlpm.MacVal&lt;&gt;"",_xlpm.MacVal,_xlpm.CSVVal&lt;&gt;"",_xlpm.CSVVal
)),"")</f>
        <v/>
      </c>
      <c r="J683" s="45" t="str" cm="1">
        <f t="array" ref="J683">IFERROR(_xlfn.LET(
_xlpm.CSVVal,_xlfn.XLOOKUP($A683,CSV!$A:$A,CSV!J:J,""),
_xlpm.MacVal,_xlfn.XLOOKUP($A683,Output_Mac!$A:$A,Output_Mac!K:K,""),
_xlpm.MyAuditVal,_xlfn.XLOOKUP($A683,My_Audit!$A:$A,My_Audit!I:I,""),
_xlfn.IFS(_xlpm.MyAuditVal&lt;&gt;"",UPPER(_xlpm.MyAuditVal),_xlpm.MacVal&lt;&gt;"",_xlpm.MacVal,_xlpm.CSVVal&lt;&gt;"",_xlpm.CSVVal
)),"")</f>
        <v/>
      </c>
      <c r="K683" s="45" t="str" cm="1">
        <f t="array" ref="K683">IFERROR(_xlfn.LET(
_xlpm.CSVVal,_xlfn.XLOOKUP($A683,CSV!$A:$A,CSV!N:N,""),
_xlpm.MacVal,_xlfn.XLOOKUP($A683,Output_Mac!$A:$A,Output_Mac!L:L,""),
_xlpm.MyAuditVal,_xlfn.XLOOKUP($A683,My_Audit!$A:$A,My_Audit!J:J,""),
_xlfn.IFS(_xlpm.MyAuditVal&lt;&gt;"",UPPER(_xlpm.MyAuditVal),_xlpm.MacVal&lt;&gt;"",_xlpm.MacVal,_xlpm.CSVVal&lt;&gt;"",_xlpm.CSVVal
)),"")</f>
        <v/>
      </c>
      <c r="L683" s="45" t="str" cm="1">
        <f t="array" ref="L683">IFERROR(_xlfn.LET(
_xlpm.CSVVal,_xlfn.XLOOKUP($A683,CSV!$A:$A,CSV!P:P,""),
_xlpm.MacVal,_xlfn.XLOOKUP($A683,Output_Mac!$A:$A,Output_Mac!M:M,""),
_xlpm.MyAuditVal,_xlfn.XLOOKUP($A683,My_Audit!$A:$A,My_Audit!K:K,""),
_xlfn.IFS(_xlpm.MyAuditVal&lt;&gt;"",UPPER(_xlpm.MyAuditVal),_xlpm.MacVal&lt;&gt;"",_xlpm.MacVal,_xlpm.CSVVal&lt;&gt;"",_xlpm.CSVVal
)),"")</f>
        <v/>
      </c>
      <c r="M683" s="45" t="str">
        <f>_xlfn.LET(
    _xlpm.CSVVal, _xlfn.XLOOKUP($A683, CSV!$A:$A, CSV!AE:AE, ""),
    _xlpm.MacVal, _xlfn.XLOOKUP($A683, Output_Mac!$A:$A, Output_Mac!S:S, ""),
    _xlpm.MyAuditVal, _xlfn.XLOOKUP($A683, My_Audit!$A:$A, My_Audit!N:N, ""),
    _xlfn.TEXTJOIN(", ", TRUE, _xlpm.MyAuditVal, _xlpm.MacVal, _xlpm.CSVVal)
)</f>
        <v/>
      </c>
      <c r="N683" s="45" t="str" cm="1">
        <f t="array" ref="N683">IFERROR(_xlfn.LET(
_xlpm.CSVVal,_xlfn.XLOOKUP($A683,CSV!$A:$A,CSV!AG:AG,""),
_xlpm.MacVal,_xlfn.XLOOKUP($A683,Output_Mac!$A:$A,Output_Mac!U:U,""),
_xlpm.MyAuditVal,_xlfn.XLOOKUP($A683,My_Audit!$A:$A,My_Audit!O:O,""),
_xlfn.IFS(_xlpm.MyAuditVal&lt;&gt;"",UPPER(_xlpm.MyAuditVal),_xlpm.MacVal&lt;&gt;"",_xlpm.MacVal,_xlpm.CSVVal&lt;&gt;"",_xlpm.CSVVal
)),"")</f>
        <v/>
      </c>
      <c r="O683" s="45"/>
      <c r="P683" s="45"/>
      <c r="Q683" s="46" t="str">
        <f>IF(LEFT(N683,4)="Pass","Nist SP 800-88",My_Audit!R683)&amp;""</f>
        <v/>
      </c>
      <c r="R683" s="45"/>
      <c r="S683" s="45"/>
      <c r="T683" s="46" t="str">
        <f>_xlfn.XLOOKUP(E683,Models!I:I,Models!J:J,"")</f>
        <v/>
      </c>
      <c r="U683" s="45"/>
      <c r="V683" s="45"/>
      <c r="W683" s="38"/>
    </row>
    <row r="684" spans="1:23">
      <c r="A684" s="45" t="str">
        <f>_xlfn.TEXTJOIN("",TRUE,Input!$B$2,ROW(My_Audit!A683))</f>
        <v>XX683</v>
      </c>
      <c r="B684" s="45" t="str">
        <f>_xlfn.TEXTJOIN("-",TRUE,"ITD",Input!$A$2,A684)</f>
        <v>ITD-SHRXXX-XX683</v>
      </c>
      <c r="C684" s="45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46" t="str" cm="1">
        <f t="array" ref="D684">IFERROR(_xlfn.LET(
_xlpm.CSVVal,_xlfn.XLOOKUP($A684,CSV!$A:$A,CSV!C:C,""),
_xlpm.MacVal,_xlfn.XLOOKUP($A684,Output_Mac!$A:$A,Output_Mac!D:D,""),
_xlpm.MyAuditVal,_xlfn.XLOOKUP($A684,My_Audit!$A:$A,My_Audit!C:C,""),
_xlfn.IFS(_xlpm.MyAuditVal&lt;&gt;"",UPPER(_xlpm.MyAuditVal),_xlpm.MacVal&lt;&gt;"",_xlpm.MacVal,_xlpm.CSVVal&lt;&gt;"",_xlpm.CSVVal
)),"")</f>
        <v/>
      </c>
      <c r="E684" s="46" t="str" cm="1">
        <f t="array" ref="E684">IFERROR(_xlfn.LET(
_xlpm.CSVVal,_xlfn.XLOOKUP($A684,CSV!$A:$A,CSV!E:E,""),
_xlpm.MacVal,_xlfn.XLOOKUP($A684,Output_Mac!$A:$A,Output_Mac!C:C,""),
_xlpm.MyAuditVal,_xlfn.XLOOKUP($A684,My_Audit!$A:$A,My_Audit!D:D,""),
_xlfn.IFS(_xlpm.MyAuditVal&lt;&gt;"",_xlpm.MyAuditVal,_xlpm.MacVal&lt;&gt;"",_xlpm.MacVal,_xlpm.CSVVal&lt;&gt;"",_xlpm.CSVVal
)),"")</f>
        <v/>
      </c>
      <c r="F684" s="45" t="str" cm="1">
        <f t="array" ref="F684">IFERROR(_xlfn.LET(
_xlpm.CSVVal,_xlfn.XLOOKUP($A684,CSV!$A:$A,CSV!F:F,""),
_xlpm.MacVal,_xlfn.XLOOKUP($A684,Output_Mac!$A:$A,Output_Mac!F:F,""),
_xlpm.MyAuditVal,_xlfn.XLOOKUP($A684,My_Audit!$A:$A,My_Audit!E:E,""),
_xlfn.IFS(_xlpm.MyAuditVal&lt;&gt;"",_xlpm.MyAuditVal,_xlpm.MacVal&lt;&gt;"",_xlpm.MacVal,_xlpm.CSVVal&lt;&gt;"",PROPER(_xlpm.CSVVal)
)),"")</f>
        <v/>
      </c>
      <c r="G684" s="45" t="str" cm="1">
        <f t="array" ref="G684">IFERROR(_xlfn.LET(
_xlpm.CSVVal,_xlfn.XLOOKUP($A684,CSV!$A:$A,CSV!G:G,""),
_xlpm.MacVal,_xlfn.XLOOKUP($A684,Output_Mac!$A:$A,Output_Mac!H:H,""),
_xlpm.MyAuditVal,_xlfn.XLOOKUP($A684,My_Audit!$A:$A,My_Audit!F:F,""),
_xlfn.IFS(_xlpm.MyAuditVal&lt;&gt;"",_xlpm.MyAuditVal,_xlpm.MacVal&lt;&gt;"",_xlpm.MacVal,_xlpm.CSVVal&lt;&gt;"",_xlpm.CSVVal
)),"")</f>
        <v/>
      </c>
      <c r="H684" s="45" t="str">
        <f>_xlfn.XLOOKUP(A684,Output_Mac!A:A,Output_Mac!I:I,"")</f>
        <v/>
      </c>
      <c r="I684" s="45" t="str" cm="1">
        <f t="array" ref="I684">IFERROR(_xlfn.LET(
_xlpm.CSVVal,_xlfn.XLOOKUP($A684,CSV!$A:$A,CSV!H:H,""),
_xlpm.MacVal,_xlfn.XLOOKUP($A684,Output_Mac!$A:$A,Output_Mac!J:J,""),
_xlpm.MyAuditVal,_xlfn.XLOOKUP($A684,My_Audit!$A:$A,My_Audit!H:H,""),
_xlfn.IFS(_xlpm.MyAuditVal&lt;&gt;"",UPPER(_xlpm.MyAuditVal),_xlpm.MacVal&lt;&gt;"",_xlpm.MacVal,_xlpm.CSVVal&lt;&gt;"",_xlpm.CSVVal
)),"")</f>
        <v/>
      </c>
      <c r="J684" s="45" t="str" cm="1">
        <f t="array" ref="J684">IFERROR(_xlfn.LET(
_xlpm.CSVVal,_xlfn.XLOOKUP($A684,CSV!$A:$A,CSV!J:J,""),
_xlpm.MacVal,_xlfn.XLOOKUP($A684,Output_Mac!$A:$A,Output_Mac!K:K,""),
_xlpm.MyAuditVal,_xlfn.XLOOKUP($A684,My_Audit!$A:$A,My_Audit!I:I,""),
_xlfn.IFS(_xlpm.MyAuditVal&lt;&gt;"",UPPER(_xlpm.MyAuditVal),_xlpm.MacVal&lt;&gt;"",_xlpm.MacVal,_xlpm.CSVVal&lt;&gt;"",_xlpm.CSVVal
)),"")</f>
        <v/>
      </c>
      <c r="K684" s="45" t="str" cm="1">
        <f t="array" ref="K684">IFERROR(_xlfn.LET(
_xlpm.CSVVal,_xlfn.XLOOKUP($A684,CSV!$A:$A,CSV!N:N,""),
_xlpm.MacVal,_xlfn.XLOOKUP($A684,Output_Mac!$A:$A,Output_Mac!L:L,""),
_xlpm.MyAuditVal,_xlfn.XLOOKUP($A684,My_Audit!$A:$A,My_Audit!J:J,""),
_xlfn.IFS(_xlpm.MyAuditVal&lt;&gt;"",UPPER(_xlpm.MyAuditVal),_xlpm.MacVal&lt;&gt;"",_xlpm.MacVal,_xlpm.CSVVal&lt;&gt;"",_xlpm.CSVVal
)),"")</f>
        <v/>
      </c>
      <c r="L684" s="45" t="str" cm="1">
        <f t="array" ref="L684">IFERROR(_xlfn.LET(
_xlpm.CSVVal,_xlfn.XLOOKUP($A684,CSV!$A:$A,CSV!P:P,""),
_xlpm.MacVal,_xlfn.XLOOKUP($A684,Output_Mac!$A:$A,Output_Mac!M:M,""),
_xlpm.MyAuditVal,_xlfn.XLOOKUP($A684,My_Audit!$A:$A,My_Audit!K:K,""),
_xlfn.IFS(_xlpm.MyAuditVal&lt;&gt;"",UPPER(_xlpm.MyAuditVal),_xlpm.MacVal&lt;&gt;"",_xlpm.MacVal,_xlpm.CSVVal&lt;&gt;"",_xlpm.CSVVal
)),"")</f>
        <v/>
      </c>
      <c r="M684" s="45" t="str">
        <f>_xlfn.LET(
    _xlpm.CSVVal, _xlfn.XLOOKUP($A684, CSV!$A:$A, CSV!AE:AE, ""),
    _xlpm.MacVal, _xlfn.XLOOKUP($A684, Output_Mac!$A:$A, Output_Mac!S:S, ""),
    _xlpm.MyAuditVal, _xlfn.XLOOKUP($A684, My_Audit!$A:$A, My_Audit!N:N, ""),
    _xlfn.TEXTJOIN(", ", TRUE, _xlpm.MyAuditVal, _xlpm.MacVal, _xlpm.CSVVal)
)</f>
        <v/>
      </c>
      <c r="N684" s="45" t="str" cm="1">
        <f t="array" ref="N684">IFERROR(_xlfn.LET(
_xlpm.CSVVal,_xlfn.XLOOKUP($A684,CSV!$A:$A,CSV!AG:AG,""),
_xlpm.MacVal,_xlfn.XLOOKUP($A684,Output_Mac!$A:$A,Output_Mac!U:U,""),
_xlpm.MyAuditVal,_xlfn.XLOOKUP($A684,My_Audit!$A:$A,My_Audit!O:O,""),
_xlfn.IFS(_xlpm.MyAuditVal&lt;&gt;"",UPPER(_xlpm.MyAuditVal),_xlpm.MacVal&lt;&gt;"",_xlpm.MacVal,_xlpm.CSVVal&lt;&gt;"",_xlpm.CSVVal
)),"")</f>
        <v/>
      </c>
      <c r="O684" s="45"/>
      <c r="P684" s="45"/>
      <c r="Q684" s="46" t="str">
        <f>IF(LEFT(N684,4)="Pass","Nist SP 800-88",My_Audit!R684)&amp;""</f>
        <v/>
      </c>
      <c r="R684" s="45"/>
      <c r="S684" s="45"/>
      <c r="T684" s="46" t="str">
        <f>_xlfn.XLOOKUP(E684,Models!I:I,Models!J:J,"")</f>
        <v/>
      </c>
      <c r="U684" s="45"/>
      <c r="V684" s="45"/>
      <c r="W684" s="38"/>
    </row>
    <row r="685" spans="1:23">
      <c r="A685" s="45" t="str">
        <f>_xlfn.TEXTJOIN("",TRUE,Input!$B$2,ROW(My_Audit!A684))</f>
        <v>XX684</v>
      </c>
      <c r="B685" s="45" t="str">
        <f>_xlfn.TEXTJOIN("-",TRUE,"ITD",Input!$A$2,A685)</f>
        <v>ITD-SHRXXX-XX684</v>
      </c>
      <c r="C685" s="45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46" t="str" cm="1">
        <f t="array" ref="D685">IFERROR(_xlfn.LET(
_xlpm.CSVVal,_xlfn.XLOOKUP($A685,CSV!$A:$A,CSV!C:C,""),
_xlpm.MacVal,_xlfn.XLOOKUP($A685,Output_Mac!$A:$A,Output_Mac!D:D,""),
_xlpm.MyAuditVal,_xlfn.XLOOKUP($A685,My_Audit!$A:$A,My_Audit!C:C,""),
_xlfn.IFS(_xlpm.MyAuditVal&lt;&gt;"",UPPER(_xlpm.MyAuditVal),_xlpm.MacVal&lt;&gt;"",_xlpm.MacVal,_xlpm.CSVVal&lt;&gt;"",_xlpm.CSVVal
)),"")</f>
        <v/>
      </c>
      <c r="E685" s="46" t="str" cm="1">
        <f t="array" ref="E685">IFERROR(_xlfn.LET(
_xlpm.CSVVal,_xlfn.XLOOKUP($A685,CSV!$A:$A,CSV!E:E,""),
_xlpm.MacVal,_xlfn.XLOOKUP($A685,Output_Mac!$A:$A,Output_Mac!C:C,""),
_xlpm.MyAuditVal,_xlfn.XLOOKUP($A685,My_Audit!$A:$A,My_Audit!D:D,""),
_xlfn.IFS(_xlpm.MyAuditVal&lt;&gt;"",_xlpm.MyAuditVal,_xlpm.MacVal&lt;&gt;"",_xlpm.MacVal,_xlpm.CSVVal&lt;&gt;"",_xlpm.CSVVal
)),"")</f>
        <v/>
      </c>
      <c r="F685" s="45" t="str" cm="1">
        <f t="array" ref="F685">IFERROR(_xlfn.LET(
_xlpm.CSVVal,_xlfn.XLOOKUP($A685,CSV!$A:$A,CSV!F:F,""),
_xlpm.MacVal,_xlfn.XLOOKUP($A685,Output_Mac!$A:$A,Output_Mac!F:F,""),
_xlpm.MyAuditVal,_xlfn.XLOOKUP($A685,My_Audit!$A:$A,My_Audit!E:E,""),
_xlfn.IFS(_xlpm.MyAuditVal&lt;&gt;"",_xlpm.MyAuditVal,_xlpm.MacVal&lt;&gt;"",_xlpm.MacVal,_xlpm.CSVVal&lt;&gt;"",PROPER(_xlpm.CSVVal)
)),"")</f>
        <v/>
      </c>
      <c r="G685" s="45" t="str" cm="1">
        <f t="array" ref="G685">IFERROR(_xlfn.LET(
_xlpm.CSVVal,_xlfn.XLOOKUP($A685,CSV!$A:$A,CSV!G:G,""),
_xlpm.MacVal,_xlfn.XLOOKUP($A685,Output_Mac!$A:$A,Output_Mac!H:H,""),
_xlpm.MyAuditVal,_xlfn.XLOOKUP($A685,My_Audit!$A:$A,My_Audit!F:F,""),
_xlfn.IFS(_xlpm.MyAuditVal&lt;&gt;"",_xlpm.MyAuditVal,_xlpm.MacVal&lt;&gt;"",_xlpm.MacVal,_xlpm.CSVVal&lt;&gt;"",_xlpm.CSVVal
)),"")</f>
        <v/>
      </c>
      <c r="H685" s="45" t="str">
        <f>_xlfn.XLOOKUP(A685,Output_Mac!A:A,Output_Mac!I:I,"")</f>
        <v/>
      </c>
      <c r="I685" s="45" t="str" cm="1">
        <f t="array" ref="I685">IFERROR(_xlfn.LET(
_xlpm.CSVVal,_xlfn.XLOOKUP($A685,CSV!$A:$A,CSV!H:H,""),
_xlpm.MacVal,_xlfn.XLOOKUP($A685,Output_Mac!$A:$A,Output_Mac!J:J,""),
_xlpm.MyAuditVal,_xlfn.XLOOKUP($A685,My_Audit!$A:$A,My_Audit!H:H,""),
_xlfn.IFS(_xlpm.MyAuditVal&lt;&gt;"",UPPER(_xlpm.MyAuditVal),_xlpm.MacVal&lt;&gt;"",_xlpm.MacVal,_xlpm.CSVVal&lt;&gt;"",_xlpm.CSVVal
)),"")</f>
        <v/>
      </c>
      <c r="J685" s="45" t="str" cm="1">
        <f t="array" ref="J685">IFERROR(_xlfn.LET(
_xlpm.CSVVal,_xlfn.XLOOKUP($A685,CSV!$A:$A,CSV!J:J,""),
_xlpm.MacVal,_xlfn.XLOOKUP($A685,Output_Mac!$A:$A,Output_Mac!K:K,""),
_xlpm.MyAuditVal,_xlfn.XLOOKUP($A685,My_Audit!$A:$A,My_Audit!I:I,""),
_xlfn.IFS(_xlpm.MyAuditVal&lt;&gt;"",UPPER(_xlpm.MyAuditVal),_xlpm.MacVal&lt;&gt;"",_xlpm.MacVal,_xlpm.CSVVal&lt;&gt;"",_xlpm.CSVVal
)),"")</f>
        <v/>
      </c>
      <c r="K685" s="45" t="str" cm="1">
        <f t="array" ref="K685">IFERROR(_xlfn.LET(
_xlpm.CSVVal,_xlfn.XLOOKUP($A685,CSV!$A:$A,CSV!N:N,""),
_xlpm.MacVal,_xlfn.XLOOKUP($A685,Output_Mac!$A:$A,Output_Mac!L:L,""),
_xlpm.MyAuditVal,_xlfn.XLOOKUP($A685,My_Audit!$A:$A,My_Audit!J:J,""),
_xlfn.IFS(_xlpm.MyAuditVal&lt;&gt;"",UPPER(_xlpm.MyAuditVal),_xlpm.MacVal&lt;&gt;"",_xlpm.MacVal,_xlpm.CSVVal&lt;&gt;"",_xlpm.CSVVal
)),"")</f>
        <v/>
      </c>
      <c r="L685" s="45" t="str" cm="1">
        <f t="array" ref="L685">IFERROR(_xlfn.LET(
_xlpm.CSVVal,_xlfn.XLOOKUP($A685,CSV!$A:$A,CSV!P:P,""),
_xlpm.MacVal,_xlfn.XLOOKUP($A685,Output_Mac!$A:$A,Output_Mac!M:M,""),
_xlpm.MyAuditVal,_xlfn.XLOOKUP($A685,My_Audit!$A:$A,My_Audit!K:K,""),
_xlfn.IFS(_xlpm.MyAuditVal&lt;&gt;"",UPPER(_xlpm.MyAuditVal),_xlpm.MacVal&lt;&gt;"",_xlpm.MacVal,_xlpm.CSVVal&lt;&gt;"",_xlpm.CSVVal
)),"")</f>
        <v/>
      </c>
      <c r="M685" s="45" t="str">
        <f>_xlfn.LET(
    _xlpm.CSVVal, _xlfn.XLOOKUP($A685, CSV!$A:$A, CSV!AE:AE, ""),
    _xlpm.MacVal, _xlfn.XLOOKUP($A685, Output_Mac!$A:$A, Output_Mac!S:S, ""),
    _xlpm.MyAuditVal, _xlfn.XLOOKUP($A685, My_Audit!$A:$A, My_Audit!N:N, ""),
    _xlfn.TEXTJOIN(", ", TRUE, _xlpm.MyAuditVal, _xlpm.MacVal, _xlpm.CSVVal)
)</f>
        <v/>
      </c>
      <c r="N685" s="45" t="str" cm="1">
        <f t="array" ref="N685">IFERROR(_xlfn.LET(
_xlpm.CSVVal,_xlfn.XLOOKUP($A685,CSV!$A:$A,CSV!AG:AG,""),
_xlpm.MacVal,_xlfn.XLOOKUP($A685,Output_Mac!$A:$A,Output_Mac!U:U,""),
_xlpm.MyAuditVal,_xlfn.XLOOKUP($A685,My_Audit!$A:$A,My_Audit!O:O,""),
_xlfn.IFS(_xlpm.MyAuditVal&lt;&gt;"",UPPER(_xlpm.MyAuditVal),_xlpm.MacVal&lt;&gt;"",_xlpm.MacVal,_xlpm.CSVVal&lt;&gt;"",_xlpm.CSVVal
)),"")</f>
        <v/>
      </c>
      <c r="O685" s="45"/>
      <c r="P685" s="45"/>
      <c r="Q685" s="46" t="str">
        <f>IF(LEFT(N685,4)="Pass","Nist SP 800-88",My_Audit!R685)&amp;""</f>
        <v/>
      </c>
      <c r="R685" s="45"/>
      <c r="S685" s="45"/>
      <c r="T685" s="46" t="str">
        <f>_xlfn.XLOOKUP(E685,Models!I:I,Models!J:J,"")</f>
        <v/>
      </c>
      <c r="U685" s="45"/>
      <c r="V685" s="45"/>
      <c r="W685" s="38"/>
    </row>
    <row r="686" spans="1:23">
      <c r="A686" s="45" t="str">
        <f>_xlfn.TEXTJOIN("",TRUE,Input!$B$2,ROW(My_Audit!A685))</f>
        <v>XX685</v>
      </c>
      <c r="B686" s="45" t="str">
        <f>_xlfn.TEXTJOIN("-",TRUE,"ITD",Input!$A$2,A686)</f>
        <v>ITD-SHRXXX-XX685</v>
      </c>
      <c r="C686" s="45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46" t="str" cm="1">
        <f t="array" ref="D686">IFERROR(_xlfn.LET(
_xlpm.CSVVal,_xlfn.XLOOKUP($A686,CSV!$A:$A,CSV!C:C,""),
_xlpm.MacVal,_xlfn.XLOOKUP($A686,Output_Mac!$A:$A,Output_Mac!D:D,""),
_xlpm.MyAuditVal,_xlfn.XLOOKUP($A686,My_Audit!$A:$A,My_Audit!C:C,""),
_xlfn.IFS(_xlpm.MyAuditVal&lt;&gt;"",UPPER(_xlpm.MyAuditVal),_xlpm.MacVal&lt;&gt;"",_xlpm.MacVal,_xlpm.CSVVal&lt;&gt;"",_xlpm.CSVVal
)),"")</f>
        <v/>
      </c>
      <c r="E686" s="46" t="str" cm="1">
        <f t="array" ref="E686">IFERROR(_xlfn.LET(
_xlpm.CSVVal,_xlfn.XLOOKUP($A686,CSV!$A:$A,CSV!E:E,""),
_xlpm.MacVal,_xlfn.XLOOKUP($A686,Output_Mac!$A:$A,Output_Mac!C:C,""),
_xlpm.MyAuditVal,_xlfn.XLOOKUP($A686,My_Audit!$A:$A,My_Audit!D:D,""),
_xlfn.IFS(_xlpm.MyAuditVal&lt;&gt;"",_xlpm.MyAuditVal,_xlpm.MacVal&lt;&gt;"",_xlpm.MacVal,_xlpm.CSVVal&lt;&gt;"",_xlpm.CSVVal
)),"")</f>
        <v/>
      </c>
      <c r="F686" s="45" t="str" cm="1">
        <f t="array" ref="F686">IFERROR(_xlfn.LET(
_xlpm.CSVVal,_xlfn.XLOOKUP($A686,CSV!$A:$A,CSV!F:F,""),
_xlpm.MacVal,_xlfn.XLOOKUP($A686,Output_Mac!$A:$A,Output_Mac!F:F,""),
_xlpm.MyAuditVal,_xlfn.XLOOKUP($A686,My_Audit!$A:$A,My_Audit!E:E,""),
_xlfn.IFS(_xlpm.MyAuditVal&lt;&gt;"",_xlpm.MyAuditVal,_xlpm.MacVal&lt;&gt;"",_xlpm.MacVal,_xlpm.CSVVal&lt;&gt;"",PROPER(_xlpm.CSVVal)
)),"")</f>
        <v/>
      </c>
      <c r="G686" s="45" t="str" cm="1">
        <f t="array" ref="G686">IFERROR(_xlfn.LET(
_xlpm.CSVVal,_xlfn.XLOOKUP($A686,CSV!$A:$A,CSV!G:G,""),
_xlpm.MacVal,_xlfn.XLOOKUP($A686,Output_Mac!$A:$A,Output_Mac!H:H,""),
_xlpm.MyAuditVal,_xlfn.XLOOKUP($A686,My_Audit!$A:$A,My_Audit!F:F,""),
_xlfn.IFS(_xlpm.MyAuditVal&lt;&gt;"",_xlpm.MyAuditVal,_xlpm.MacVal&lt;&gt;"",_xlpm.MacVal,_xlpm.CSVVal&lt;&gt;"",_xlpm.CSVVal
)),"")</f>
        <v/>
      </c>
      <c r="H686" s="45" t="str">
        <f>_xlfn.XLOOKUP(A686,Output_Mac!A:A,Output_Mac!I:I,"")</f>
        <v/>
      </c>
      <c r="I686" s="45" t="str" cm="1">
        <f t="array" ref="I686">IFERROR(_xlfn.LET(
_xlpm.CSVVal,_xlfn.XLOOKUP($A686,CSV!$A:$A,CSV!H:H,""),
_xlpm.MacVal,_xlfn.XLOOKUP($A686,Output_Mac!$A:$A,Output_Mac!J:J,""),
_xlpm.MyAuditVal,_xlfn.XLOOKUP($A686,My_Audit!$A:$A,My_Audit!H:H,""),
_xlfn.IFS(_xlpm.MyAuditVal&lt;&gt;"",UPPER(_xlpm.MyAuditVal),_xlpm.MacVal&lt;&gt;"",_xlpm.MacVal,_xlpm.CSVVal&lt;&gt;"",_xlpm.CSVVal
)),"")</f>
        <v/>
      </c>
      <c r="J686" s="45" t="str" cm="1">
        <f t="array" ref="J686">IFERROR(_xlfn.LET(
_xlpm.CSVVal,_xlfn.XLOOKUP($A686,CSV!$A:$A,CSV!J:J,""),
_xlpm.MacVal,_xlfn.XLOOKUP($A686,Output_Mac!$A:$A,Output_Mac!K:K,""),
_xlpm.MyAuditVal,_xlfn.XLOOKUP($A686,My_Audit!$A:$A,My_Audit!I:I,""),
_xlfn.IFS(_xlpm.MyAuditVal&lt;&gt;"",UPPER(_xlpm.MyAuditVal),_xlpm.MacVal&lt;&gt;"",_xlpm.MacVal,_xlpm.CSVVal&lt;&gt;"",_xlpm.CSVVal
)),"")</f>
        <v/>
      </c>
      <c r="K686" s="45" t="str" cm="1">
        <f t="array" ref="K686">IFERROR(_xlfn.LET(
_xlpm.CSVVal,_xlfn.XLOOKUP($A686,CSV!$A:$A,CSV!N:N,""),
_xlpm.MacVal,_xlfn.XLOOKUP($A686,Output_Mac!$A:$A,Output_Mac!L:L,""),
_xlpm.MyAuditVal,_xlfn.XLOOKUP($A686,My_Audit!$A:$A,My_Audit!J:J,""),
_xlfn.IFS(_xlpm.MyAuditVal&lt;&gt;"",UPPER(_xlpm.MyAuditVal),_xlpm.MacVal&lt;&gt;"",_xlpm.MacVal,_xlpm.CSVVal&lt;&gt;"",_xlpm.CSVVal
)),"")</f>
        <v/>
      </c>
      <c r="L686" s="45" t="str" cm="1">
        <f t="array" ref="L686">IFERROR(_xlfn.LET(
_xlpm.CSVVal,_xlfn.XLOOKUP($A686,CSV!$A:$A,CSV!P:P,""),
_xlpm.MacVal,_xlfn.XLOOKUP($A686,Output_Mac!$A:$A,Output_Mac!M:M,""),
_xlpm.MyAuditVal,_xlfn.XLOOKUP($A686,My_Audit!$A:$A,My_Audit!K:K,""),
_xlfn.IFS(_xlpm.MyAuditVal&lt;&gt;"",UPPER(_xlpm.MyAuditVal),_xlpm.MacVal&lt;&gt;"",_xlpm.MacVal,_xlpm.CSVVal&lt;&gt;"",_xlpm.CSVVal
)),"")</f>
        <v/>
      </c>
      <c r="M686" s="45" t="str">
        <f>_xlfn.LET(
    _xlpm.CSVVal, _xlfn.XLOOKUP($A686, CSV!$A:$A, CSV!AE:AE, ""),
    _xlpm.MacVal, _xlfn.XLOOKUP($A686, Output_Mac!$A:$A, Output_Mac!S:S, ""),
    _xlpm.MyAuditVal, _xlfn.XLOOKUP($A686, My_Audit!$A:$A, My_Audit!N:N, ""),
    _xlfn.TEXTJOIN(", ", TRUE, _xlpm.MyAuditVal, _xlpm.MacVal, _xlpm.CSVVal)
)</f>
        <v/>
      </c>
      <c r="N686" s="45" t="str" cm="1">
        <f t="array" ref="N686">IFERROR(_xlfn.LET(
_xlpm.CSVVal,_xlfn.XLOOKUP($A686,CSV!$A:$A,CSV!AG:AG,""),
_xlpm.MacVal,_xlfn.XLOOKUP($A686,Output_Mac!$A:$A,Output_Mac!U:U,""),
_xlpm.MyAuditVal,_xlfn.XLOOKUP($A686,My_Audit!$A:$A,My_Audit!O:O,""),
_xlfn.IFS(_xlpm.MyAuditVal&lt;&gt;"",UPPER(_xlpm.MyAuditVal),_xlpm.MacVal&lt;&gt;"",_xlpm.MacVal,_xlpm.CSVVal&lt;&gt;"",_xlpm.CSVVal
)),"")</f>
        <v/>
      </c>
      <c r="O686" s="45"/>
      <c r="P686" s="45"/>
      <c r="Q686" s="46" t="str">
        <f>IF(LEFT(N686,4)="Pass","Nist SP 800-88",My_Audit!R686)&amp;""</f>
        <v/>
      </c>
      <c r="R686" s="45"/>
      <c r="S686" s="45"/>
      <c r="T686" s="46" t="str">
        <f>_xlfn.XLOOKUP(E686,Models!I:I,Models!J:J,"")</f>
        <v/>
      </c>
      <c r="U686" s="45"/>
      <c r="V686" s="45"/>
      <c r="W686" s="38"/>
    </row>
    <row r="687" spans="1:23">
      <c r="A687" s="45" t="str">
        <f>_xlfn.TEXTJOIN("",TRUE,Input!$B$2,ROW(My_Audit!A686))</f>
        <v>XX686</v>
      </c>
      <c r="B687" s="45" t="str">
        <f>_xlfn.TEXTJOIN("-",TRUE,"ITD",Input!$A$2,A687)</f>
        <v>ITD-SHRXXX-XX686</v>
      </c>
      <c r="C687" s="45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46" t="str" cm="1">
        <f t="array" ref="D687">IFERROR(_xlfn.LET(
_xlpm.CSVVal,_xlfn.XLOOKUP($A687,CSV!$A:$A,CSV!C:C,""),
_xlpm.MacVal,_xlfn.XLOOKUP($A687,Output_Mac!$A:$A,Output_Mac!D:D,""),
_xlpm.MyAuditVal,_xlfn.XLOOKUP($A687,My_Audit!$A:$A,My_Audit!C:C,""),
_xlfn.IFS(_xlpm.MyAuditVal&lt;&gt;"",UPPER(_xlpm.MyAuditVal),_xlpm.MacVal&lt;&gt;"",_xlpm.MacVal,_xlpm.CSVVal&lt;&gt;"",_xlpm.CSVVal
)),"")</f>
        <v/>
      </c>
      <c r="E687" s="46" t="str" cm="1">
        <f t="array" ref="E687">IFERROR(_xlfn.LET(
_xlpm.CSVVal,_xlfn.XLOOKUP($A687,CSV!$A:$A,CSV!E:E,""),
_xlpm.MacVal,_xlfn.XLOOKUP($A687,Output_Mac!$A:$A,Output_Mac!C:C,""),
_xlpm.MyAuditVal,_xlfn.XLOOKUP($A687,My_Audit!$A:$A,My_Audit!D:D,""),
_xlfn.IFS(_xlpm.MyAuditVal&lt;&gt;"",_xlpm.MyAuditVal,_xlpm.MacVal&lt;&gt;"",_xlpm.MacVal,_xlpm.CSVVal&lt;&gt;"",_xlpm.CSVVal
)),"")</f>
        <v/>
      </c>
      <c r="F687" s="45" t="str" cm="1">
        <f t="array" ref="F687">IFERROR(_xlfn.LET(
_xlpm.CSVVal,_xlfn.XLOOKUP($A687,CSV!$A:$A,CSV!F:F,""),
_xlpm.MacVal,_xlfn.XLOOKUP($A687,Output_Mac!$A:$A,Output_Mac!F:F,""),
_xlpm.MyAuditVal,_xlfn.XLOOKUP($A687,My_Audit!$A:$A,My_Audit!E:E,""),
_xlfn.IFS(_xlpm.MyAuditVal&lt;&gt;"",_xlpm.MyAuditVal,_xlpm.MacVal&lt;&gt;"",_xlpm.MacVal,_xlpm.CSVVal&lt;&gt;"",PROPER(_xlpm.CSVVal)
)),"")</f>
        <v/>
      </c>
      <c r="G687" s="45" t="str" cm="1">
        <f t="array" ref="G687">IFERROR(_xlfn.LET(
_xlpm.CSVVal,_xlfn.XLOOKUP($A687,CSV!$A:$A,CSV!G:G,""),
_xlpm.MacVal,_xlfn.XLOOKUP($A687,Output_Mac!$A:$A,Output_Mac!H:H,""),
_xlpm.MyAuditVal,_xlfn.XLOOKUP($A687,My_Audit!$A:$A,My_Audit!F:F,""),
_xlfn.IFS(_xlpm.MyAuditVal&lt;&gt;"",_xlpm.MyAuditVal,_xlpm.MacVal&lt;&gt;"",_xlpm.MacVal,_xlpm.CSVVal&lt;&gt;"",_xlpm.CSVVal
)),"")</f>
        <v/>
      </c>
      <c r="H687" s="45" t="str">
        <f>_xlfn.XLOOKUP(A687,Output_Mac!A:A,Output_Mac!I:I,"")</f>
        <v/>
      </c>
      <c r="I687" s="45" t="str" cm="1">
        <f t="array" ref="I687">IFERROR(_xlfn.LET(
_xlpm.CSVVal,_xlfn.XLOOKUP($A687,CSV!$A:$A,CSV!H:H,""),
_xlpm.MacVal,_xlfn.XLOOKUP($A687,Output_Mac!$A:$A,Output_Mac!J:J,""),
_xlpm.MyAuditVal,_xlfn.XLOOKUP($A687,My_Audit!$A:$A,My_Audit!H:H,""),
_xlfn.IFS(_xlpm.MyAuditVal&lt;&gt;"",UPPER(_xlpm.MyAuditVal),_xlpm.MacVal&lt;&gt;"",_xlpm.MacVal,_xlpm.CSVVal&lt;&gt;"",_xlpm.CSVVal
)),"")</f>
        <v/>
      </c>
      <c r="J687" s="45" t="str" cm="1">
        <f t="array" ref="J687">IFERROR(_xlfn.LET(
_xlpm.CSVVal,_xlfn.XLOOKUP($A687,CSV!$A:$A,CSV!J:J,""),
_xlpm.MacVal,_xlfn.XLOOKUP($A687,Output_Mac!$A:$A,Output_Mac!K:K,""),
_xlpm.MyAuditVal,_xlfn.XLOOKUP($A687,My_Audit!$A:$A,My_Audit!I:I,""),
_xlfn.IFS(_xlpm.MyAuditVal&lt;&gt;"",UPPER(_xlpm.MyAuditVal),_xlpm.MacVal&lt;&gt;"",_xlpm.MacVal,_xlpm.CSVVal&lt;&gt;"",_xlpm.CSVVal
)),"")</f>
        <v/>
      </c>
      <c r="K687" s="45" t="str" cm="1">
        <f t="array" ref="K687">IFERROR(_xlfn.LET(
_xlpm.CSVVal,_xlfn.XLOOKUP($A687,CSV!$A:$A,CSV!N:N,""),
_xlpm.MacVal,_xlfn.XLOOKUP($A687,Output_Mac!$A:$A,Output_Mac!L:L,""),
_xlpm.MyAuditVal,_xlfn.XLOOKUP($A687,My_Audit!$A:$A,My_Audit!J:J,""),
_xlfn.IFS(_xlpm.MyAuditVal&lt;&gt;"",UPPER(_xlpm.MyAuditVal),_xlpm.MacVal&lt;&gt;"",_xlpm.MacVal,_xlpm.CSVVal&lt;&gt;"",_xlpm.CSVVal
)),"")</f>
        <v/>
      </c>
      <c r="L687" s="45" t="str" cm="1">
        <f t="array" ref="L687">IFERROR(_xlfn.LET(
_xlpm.CSVVal,_xlfn.XLOOKUP($A687,CSV!$A:$A,CSV!P:P,""),
_xlpm.MacVal,_xlfn.XLOOKUP($A687,Output_Mac!$A:$A,Output_Mac!M:M,""),
_xlpm.MyAuditVal,_xlfn.XLOOKUP($A687,My_Audit!$A:$A,My_Audit!K:K,""),
_xlfn.IFS(_xlpm.MyAuditVal&lt;&gt;"",UPPER(_xlpm.MyAuditVal),_xlpm.MacVal&lt;&gt;"",_xlpm.MacVal,_xlpm.CSVVal&lt;&gt;"",_xlpm.CSVVal
)),"")</f>
        <v/>
      </c>
      <c r="M687" s="45" t="str">
        <f>_xlfn.LET(
    _xlpm.CSVVal, _xlfn.XLOOKUP($A687, CSV!$A:$A, CSV!AE:AE, ""),
    _xlpm.MacVal, _xlfn.XLOOKUP($A687, Output_Mac!$A:$A, Output_Mac!S:S, ""),
    _xlpm.MyAuditVal, _xlfn.XLOOKUP($A687, My_Audit!$A:$A, My_Audit!N:N, ""),
    _xlfn.TEXTJOIN(", ", TRUE, _xlpm.MyAuditVal, _xlpm.MacVal, _xlpm.CSVVal)
)</f>
        <v/>
      </c>
      <c r="N687" s="45" t="str" cm="1">
        <f t="array" ref="N687">IFERROR(_xlfn.LET(
_xlpm.CSVVal,_xlfn.XLOOKUP($A687,CSV!$A:$A,CSV!AG:AG,""),
_xlpm.MacVal,_xlfn.XLOOKUP($A687,Output_Mac!$A:$A,Output_Mac!U:U,""),
_xlpm.MyAuditVal,_xlfn.XLOOKUP($A687,My_Audit!$A:$A,My_Audit!O:O,""),
_xlfn.IFS(_xlpm.MyAuditVal&lt;&gt;"",UPPER(_xlpm.MyAuditVal),_xlpm.MacVal&lt;&gt;"",_xlpm.MacVal,_xlpm.CSVVal&lt;&gt;"",_xlpm.CSVVal
)),"")</f>
        <v/>
      </c>
      <c r="O687" s="45"/>
      <c r="P687" s="45"/>
      <c r="Q687" s="46" t="str">
        <f>IF(LEFT(N687,4)="Pass","Nist SP 800-88",My_Audit!R687)&amp;""</f>
        <v/>
      </c>
      <c r="R687" s="45"/>
      <c r="S687" s="45"/>
      <c r="T687" s="46" t="str">
        <f>_xlfn.XLOOKUP(E687,Models!I:I,Models!J:J,"")</f>
        <v/>
      </c>
      <c r="U687" s="45"/>
      <c r="V687" s="45"/>
      <c r="W687" s="38"/>
    </row>
    <row r="688" spans="1:23">
      <c r="A688" s="45" t="str">
        <f>_xlfn.TEXTJOIN("",TRUE,Input!$B$2,ROW(My_Audit!A687))</f>
        <v>XX687</v>
      </c>
      <c r="B688" s="45" t="str">
        <f>_xlfn.TEXTJOIN("-",TRUE,"ITD",Input!$A$2,A688)</f>
        <v>ITD-SHRXXX-XX687</v>
      </c>
      <c r="C688" s="45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46" t="str" cm="1">
        <f t="array" ref="D688">IFERROR(_xlfn.LET(
_xlpm.CSVVal,_xlfn.XLOOKUP($A688,CSV!$A:$A,CSV!C:C,""),
_xlpm.MacVal,_xlfn.XLOOKUP($A688,Output_Mac!$A:$A,Output_Mac!D:D,""),
_xlpm.MyAuditVal,_xlfn.XLOOKUP($A688,My_Audit!$A:$A,My_Audit!C:C,""),
_xlfn.IFS(_xlpm.MyAuditVal&lt;&gt;"",UPPER(_xlpm.MyAuditVal),_xlpm.MacVal&lt;&gt;"",_xlpm.MacVal,_xlpm.CSVVal&lt;&gt;"",_xlpm.CSVVal
)),"")</f>
        <v/>
      </c>
      <c r="E688" s="46" t="str" cm="1">
        <f t="array" ref="E688">IFERROR(_xlfn.LET(
_xlpm.CSVVal,_xlfn.XLOOKUP($A688,CSV!$A:$A,CSV!E:E,""),
_xlpm.MacVal,_xlfn.XLOOKUP($A688,Output_Mac!$A:$A,Output_Mac!C:C,""),
_xlpm.MyAuditVal,_xlfn.XLOOKUP($A688,My_Audit!$A:$A,My_Audit!D:D,""),
_xlfn.IFS(_xlpm.MyAuditVal&lt;&gt;"",_xlpm.MyAuditVal,_xlpm.MacVal&lt;&gt;"",_xlpm.MacVal,_xlpm.CSVVal&lt;&gt;"",_xlpm.CSVVal
)),"")</f>
        <v/>
      </c>
      <c r="F688" s="45" t="str" cm="1">
        <f t="array" ref="F688">IFERROR(_xlfn.LET(
_xlpm.CSVVal,_xlfn.XLOOKUP($A688,CSV!$A:$A,CSV!F:F,""),
_xlpm.MacVal,_xlfn.XLOOKUP($A688,Output_Mac!$A:$A,Output_Mac!F:F,""),
_xlpm.MyAuditVal,_xlfn.XLOOKUP($A688,My_Audit!$A:$A,My_Audit!E:E,""),
_xlfn.IFS(_xlpm.MyAuditVal&lt;&gt;"",_xlpm.MyAuditVal,_xlpm.MacVal&lt;&gt;"",_xlpm.MacVal,_xlpm.CSVVal&lt;&gt;"",PROPER(_xlpm.CSVVal)
)),"")</f>
        <v/>
      </c>
      <c r="G688" s="45" t="str" cm="1">
        <f t="array" ref="G688">IFERROR(_xlfn.LET(
_xlpm.CSVVal,_xlfn.XLOOKUP($A688,CSV!$A:$A,CSV!G:G,""),
_xlpm.MacVal,_xlfn.XLOOKUP($A688,Output_Mac!$A:$A,Output_Mac!H:H,""),
_xlpm.MyAuditVal,_xlfn.XLOOKUP($A688,My_Audit!$A:$A,My_Audit!F:F,""),
_xlfn.IFS(_xlpm.MyAuditVal&lt;&gt;"",_xlpm.MyAuditVal,_xlpm.MacVal&lt;&gt;"",_xlpm.MacVal,_xlpm.CSVVal&lt;&gt;"",_xlpm.CSVVal
)),"")</f>
        <v/>
      </c>
      <c r="H688" s="45" t="str">
        <f>_xlfn.XLOOKUP(A688,Output_Mac!A:A,Output_Mac!I:I,"")</f>
        <v/>
      </c>
      <c r="I688" s="45" t="str" cm="1">
        <f t="array" ref="I688">IFERROR(_xlfn.LET(
_xlpm.CSVVal,_xlfn.XLOOKUP($A688,CSV!$A:$A,CSV!H:H,""),
_xlpm.MacVal,_xlfn.XLOOKUP($A688,Output_Mac!$A:$A,Output_Mac!J:J,""),
_xlpm.MyAuditVal,_xlfn.XLOOKUP($A688,My_Audit!$A:$A,My_Audit!H:H,""),
_xlfn.IFS(_xlpm.MyAuditVal&lt;&gt;"",UPPER(_xlpm.MyAuditVal),_xlpm.MacVal&lt;&gt;"",_xlpm.MacVal,_xlpm.CSVVal&lt;&gt;"",_xlpm.CSVVal
)),"")</f>
        <v/>
      </c>
      <c r="J688" s="45" t="str" cm="1">
        <f t="array" ref="J688">IFERROR(_xlfn.LET(
_xlpm.CSVVal,_xlfn.XLOOKUP($A688,CSV!$A:$A,CSV!J:J,""),
_xlpm.MacVal,_xlfn.XLOOKUP($A688,Output_Mac!$A:$A,Output_Mac!K:K,""),
_xlpm.MyAuditVal,_xlfn.XLOOKUP($A688,My_Audit!$A:$A,My_Audit!I:I,""),
_xlfn.IFS(_xlpm.MyAuditVal&lt;&gt;"",UPPER(_xlpm.MyAuditVal),_xlpm.MacVal&lt;&gt;"",_xlpm.MacVal,_xlpm.CSVVal&lt;&gt;"",_xlpm.CSVVal
)),"")</f>
        <v/>
      </c>
      <c r="K688" s="45" t="str" cm="1">
        <f t="array" ref="K688">IFERROR(_xlfn.LET(
_xlpm.CSVVal,_xlfn.XLOOKUP($A688,CSV!$A:$A,CSV!N:N,""),
_xlpm.MacVal,_xlfn.XLOOKUP($A688,Output_Mac!$A:$A,Output_Mac!L:L,""),
_xlpm.MyAuditVal,_xlfn.XLOOKUP($A688,My_Audit!$A:$A,My_Audit!J:J,""),
_xlfn.IFS(_xlpm.MyAuditVal&lt;&gt;"",UPPER(_xlpm.MyAuditVal),_xlpm.MacVal&lt;&gt;"",_xlpm.MacVal,_xlpm.CSVVal&lt;&gt;"",_xlpm.CSVVal
)),"")</f>
        <v/>
      </c>
      <c r="L688" s="45" t="str" cm="1">
        <f t="array" ref="L688">IFERROR(_xlfn.LET(
_xlpm.CSVVal,_xlfn.XLOOKUP($A688,CSV!$A:$A,CSV!P:P,""),
_xlpm.MacVal,_xlfn.XLOOKUP($A688,Output_Mac!$A:$A,Output_Mac!M:M,""),
_xlpm.MyAuditVal,_xlfn.XLOOKUP($A688,My_Audit!$A:$A,My_Audit!K:K,""),
_xlfn.IFS(_xlpm.MyAuditVal&lt;&gt;"",UPPER(_xlpm.MyAuditVal),_xlpm.MacVal&lt;&gt;"",_xlpm.MacVal,_xlpm.CSVVal&lt;&gt;"",_xlpm.CSVVal
)),"")</f>
        <v/>
      </c>
      <c r="M688" s="45" t="str">
        <f>_xlfn.LET(
    _xlpm.CSVVal, _xlfn.XLOOKUP($A688, CSV!$A:$A, CSV!AE:AE, ""),
    _xlpm.MacVal, _xlfn.XLOOKUP($A688, Output_Mac!$A:$A, Output_Mac!S:S, ""),
    _xlpm.MyAuditVal, _xlfn.XLOOKUP($A688, My_Audit!$A:$A, My_Audit!N:N, ""),
    _xlfn.TEXTJOIN(", ", TRUE, _xlpm.MyAuditVal, _xlpm.MacVal, _xlpm.CSVVal)
)</f>
        <v/>
      </c>
      <c r="N688" s="45" t="str" cm="1">
        <f t="array" ref="N688">IFERROR(_xlfn.LET(
_xlpm.CSVVal,_xlfn.XLOOKUP($A688,CSV!$A:$A,CSV!AG:AG,""),
_xlpm.MacVal,_xlfn.XLOOKUP($A688,Output_Mac!$A:$A,Output_Mac!U:U,""),
_xlpm.MyAuditVal,_xlfn.XLOOKUP($A688,My_Audit!$A:$A,My_Audit!O:O,""),
_xlfn.IFS(_xlpm.MyAuditVal&lt;&gt;"",UPPER(_xlpm.MyAuditVal),_xlpm.MacVal&lt;&gt;"",_xlpm.MacVal,_xlpm.CSVVal&lt;&gt;"",_xlpm.CSVVal
)),"")</f>
        <v/>
      </c>
      <c r="O688" s="45"/>
      <c r="P688" s="45"/>
      <c r="Q688" s="46" t="str">
        <f>IF(LEFT(N688,4)="Pass","Nist SP 800-88",My_Audit!R688)&amp;""</f>
        <v/>
      </c>
      <c r="R688" s="45"/>
      <c r="S688" s="45"/>
      <c r="T688" s="46" t="str">
        <f>_xlfn.XLOOKUP(E688,Models!I:I,Models!J:J,"")</f>
        <v/>
      </c>
      <c r="U688" s="45"/>
      <c r="V688" s="45"/>
      <c r="W688" s="38"/>
    </row>
    <row r="689" spans="1:23">
      <c r="A689" s="45" t="str">
        <f>_xlfn.TEXTJOIN("",TRUE,Input!$B$2,ROW(My_Audit!A688))</f>
        <v>XX688</v>
      </c>
      <c r="B689" s="45" t="str">
        <f>_xlfn.TEXTJOIN("-",TRUE,"ITD",Input!$A$2,A689)</f>
        <v>ITD-SHRXXX-XX688</v>
      </c>
      <c r="C689" s="45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46" t="str" cm="1">
        <f t="array" ref="D689">IFERROR(_xlfn.LET(
_xlpm.CSVVal,_xlfn.XLOOKUP($A689,CSV!$A:$A,CSV!C:C,""),
_xlpm.MacVal,_xlfn.XLOOKUP($A689,Output_Mac!$A:$A,Output_Mac!D:D,""),
_xlpm.MyAuditVal,_xlfn.XLOOKUP($A689,My_Audit!$A:$A,My_Audit!C:C,""),
_xlfn.IFS(_xlpm.MyAuditVal&lt;&gt;"",UPPER(_xlpm.MyAuditVal),_xlpm.MacVal&lt;&gt;"",_xlpm.MacVal,_xlpm.CSVVal&lt;&gt;"",_xlpm.CSVVal
)),"")</f>
        <v/>
      </c>
      <c r="E689" s="46" t="str" cm="1">
        <f t="array" ref="E689">IFERROR(_xlfn.LET(
_xlpm.CSVVal,_xlfn.XLOOKUP($A689,CSV!$A:$A,CSV!E:E,""),
_xlpm.MacVal,_xlfn.XLOOKUP($A689,Output_Mac!$A:$A,Output_Mac!C:C,""),
_xlpm.MyAuditVal,_xlfn.XLOOKUP($A689,My_Audit!$A:$A,My_Audit!D:D,""),
_xlfn.IFS(_xlpm.MyAuditVal&lt;&gt;"",_xlpm.MyAuditVal,_xlpm.MacVal&lt;&gt;"",_xlpm.MacVal,_xlpm.CSVVal&lt;&gt;"",_xlpm.CSVVal
)),"")</f>
        <v/>
      </c>
      <c r="F689" s="45" t="str" cm="1">
        <f t="array" ref="F689">IFERROR(_xlfn.LET(
_xlpm.CSVVal,_xlfn.XLOOKUP($A689,CSV!$A:$A,CSV!F:F,""),
_xlpm.MacVal,_xlfn.XLOOKUP($A689,Output_Mac!$A:$A,Output_Mac!F:F,""),
_xlpm.MyAuditVal,_xlfn.XLOOKUP($A689,My_Audit!$A:$A,My_Audit!E:E,""),
_xlfn.IFS(_xlpm.MyAuditVal&lt;&gt;"",_xlpm.MyAuditVal,_xlpm.MacVal&lt;&gt;"",_xlpm.MacVal,_xlpm.CSVVal&lt;&gt;"",PROPER(_xlpm.CSVVal)
)),"")</f>
        <v/>
      </c>
      <c r="G689" s="45" t="str" cm="1">
        <f t="array" ref="G689">IFERROR(_xlfn.LET(
_xlpm.CSVVal,_xlfn.XLOOKUP($A689,CSV!$A:$A,CSV!G:G,""),
_xlpm.MacVal,_xlfn.XLOOKUP($A689,Output_Mac!$A:$A,Output_Mac!H:H,""),
_xlpm.MyAuditVal,_xlfn.XLOOKUP($A689,My_Audit!$A:$A,My_Audit!F:F,""),
_xlfn.IFS(_xlpm.MyAuditVal&lt;&gt;"",_xlpm.MyAuditVal,_xlpm.MacVal&lt;&gt;"",_xlpm.MacVal,_xlpm.CSVVal&lt;&gt;"",_xlpm.CSVVal
)),"")</f>
        <v/>
      </c>
      <c r="H689" s="45" t="str">
        <f>_xlfn.XLOOKUP(A689,Output_Mac!A:A,Output_Mac!I:I,"")</f>
        <v/>
      </c>
      <c r="I689" s="45" t="str" cm="1">
        <f t="array" ref="I689">IFERROR(_xlfn.LET(
_xlpm.CSVVal,_xlfn.XLOOKUP($A689,CSV!$A:$A,CSV!H:H,""),
_xlpm.MacVal,_xlfn.XLOOKUP($A689,Output_Mac!$A:$A,Output_Mac!J:J,""),
_xlpm.MyAuditVal,_xlfn.XLOOKUP($A689,My_Audit!$A:$A,My_Audit!H:H,""),
_xlfn.IFS(_xlpm.MyAuditVal&lt;&gt;"",UPPER(_xlpm.MyAuditVal),_xlpm.MacVal&lt;&gt;"",_xlpm.MacVal,_xlpm.CSVVal&lt;&gt;"",_xlpm.CSVVal
)),"")</f>
        <v/>
      </c>
      <c r="J689" s="45" t="str" cm="1">
        <f t="array" ref="J689">IFERROR(_xlfn.LET(
_xlpm.CSVVal,_xlfn.XLOOKUP($A689,CSV!$A:$A,CSV!J:J,""),
_xlpm.MacVal,_xlfn.XLOOKUP($A689,Output_Mac!$A:$A,Output_Mac!K:K,""),
_xlpm.MyAuditVal,_xlfn.XLOOKUP($A689,My_Audit!$A:$A,My_Audit!I:I,""),
_xlfn.IFS(_xlpm.MyAuditVal&lt;&gt;"",UPPER(_xlpm.MyAuditVal),_xlpm.MacVal&lt;&gt;"",_xlpm.MacVal,_xlpm.CSVVal&lt;&gt;"",_xlpm.CSVVal
)),"")</f>
        <v/>
      </c>
      <c r="K689" s="45" t="str" cm="1">
        <f t="array" ref="K689">IFERROR(_xlfn.LET(
_xlpm.CSVVal,_xlfn.XLOOKUP($A689,CSV!$A:$A,CSV!N:N,""),
_xlpm.MacVal,_xlfn.XLOOKUP($A689,Output_Mac!$A:$A,Output_Mac!L:L,""),
_xlpm.MyAuditVal,_xlfn.XLOOKUP($A689,My_Audit!$A:$A,My_Audit!J:J,""),
_xlfn.IFS(_xlpm.MyAuditVal&lt;&gt;"",UPPER(_xlpm.MyAuditVal),_xlpm.MacVal&lt;&gt;"",_xlpm.MacVal,_xlpm.CSVVal&lt;&gt;"",_xlpm.CSVVal
)),"")</f>
        <v/>
      </c>
      <c r="L689" s="45" t="str" cm="1">
        <f t="array" ref="L689">IFERROR(_xlfn.LET(
_xlpm.CSVVal,_xlfn.XLOOKUP($A689,CSV!$A:$A,CSV!P:P,""),
_xlpm.MacVal,_xlfn.XLOOKUP($A689,Output_Mac!$A:$A,Output_Mac!M:M,""),
_xlpm.MyAuditVal,_xlfn.XLOOKUP($A689,My_Audit!$A:$A,My_Audit!K:K,""),
_xlfn.IFS(_xlpm.MyAuditVal&lt;&gt;"",UPPER(_xlpm.MyAuditVal),_xlpm.MacVal&lt;&gt;"",_xlpm.MacVal,_xlpm.CSVVal&lt;&gt;"",_xlpm.CSVVal
)),"")</f>
        <v/>
      </c>
      <c r="M689" s="45" t="str">
        <f>_xlfn.LET(
    _xlpm.CSVVal, _xlfn.XLOOKUP($A689, CSV!$A:$A, CSV!AE:AE, ""),
    _xlpm.MacVal, _xlfn.XLOOKUP($A689, Output_Mac!$A:$A, Output_Mac!S:S, ""),
    _xlpm.MyAuditVal, _xlfn.XLOOKUP($A689, My_Audit!$A:$A, My_Audit!N:N, ""),
    _xlfn.TEXTJOIN(", ", TRUE, _xlpm.MyAuditVal, _xlpm.MacVal, _xlpm.CSVVal)
)</f>
        <v/>
      </c>
      <c r="N689" s="45" t="str" cm="1">
        <f t="array" ref="N689">IFERROR(_xlfn.LET(
_xlpm.CSVVal,_xlfn.XLOOKUP($A689,CSV!$A:$A,CSV!AG:AG,""),
_xlpm.MacVal,_xlfn.XLOOKUP($A689,Output_Mac!$A:$A,Output_Mac!U:U,""),
_xlpm.MyAuditVal,_xlfn.XLOOKUP($A689,My_Audit!$A:$A,My_Audit!O:O,""),
_xlfn.IFS(_xlpm.MyAuditVal&lt;&gt;"",UPPER(_xlpm.MyAuditVal),_xlpm.MacVal&lt;&gt;"",_xlpm.MacVal,_xlpm.CSVVal&lt;&gt;"",_xlpm.CSVVal
)),"")</f>
        <v/>
      </c>
      <c r="O689" s="45"/>
      <c r="P689" s="45"/>
      <c r="Q689" s="46" t="str">
        <f>IF(LEFT(N689,4)="Pass","Nist SP 800-88",My_Audit!R689)&amp;""</f>
        <v/>
      </c>
      <c r="R689" s="45"/>
      <c r="S689" s="45"/>
      <c r="T689" s="46" t="str">
        <f>_xlfn.XLOOKUP(E689,Models!I:I,Models!J:J,"")</f>
        <v/>
      </c>
      <c r="U689" s="45"/>
      <c r="V689" s="45"/>
      <c r="W689" s="38"/>
    </row>
    <row r="690" spans="1:23">
      <c r="A690" s="45" t="str">
        <f>_xlfn.TEXTJOIN("",TRUE,Input!$B$2,ROW(My_Audit!A689))</f>
        <v>XX689</v>
      </c>
      <c r="B690" s="45" t="str">
        <f>_xlfn.TEXTJOIN("-",TRUE,"ITD",Input!$A$2,A690)</f>
        <v>ITD-SHRXXX-XX689</v>
      </c>
      <c r="C690" s="45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46" t="str" cm="1">
        <f t="array" ref="D690">IFERROR(_xlfn.LET(
_xlpm.CSVVal,_xlfn.XLOOKUP($A690,CSV!$A:$A,CSV!C:C,""),
_xlpm.MacVal,_xlfn.XLOOKUP($A690,Output_Mac!$A:$A,Output_Mac!D:D,""),
_xlpm.MyAuditVal,_xlfn.XLOOKUP($A690,My_Audit!$A:$A,My_Audit!C:C,""),
_xlfn.IFS(_xlpm.MyAuditVal&lt;&gt;"",UPPER(_xlpm.MyAuditVal),_xlpm.MacVal&lt;&gt;"",_xlpm.MacVal,_xlpm.CSVVal&lt;&gt;"",_xlpm.CSVVal
)),"")</f>
        <v/>
      </c>
      <c r="E690" s="46" t="str" cm="1">
        <f t="array" ref="E690">IFERROR(_xlfn.LET(
_xlpm.CSVVal,_xlfn.XLOOKUP($A690,CSV!$A:$A,CSV!E:E,""),
_xlpm.MacVal,_xlfn.XLOOKUP($A690,Output_Mac!$A:$A,Output_Mac!C:C,""),
_xlpm.MyAuditVal,_xlfn.XLOOKUP($A690,My_Audit!$A:$A,My_Audit!D:D,""),
_xlfn.IFS(_xlpm.MyAuditVal&lt;&gt;"",_xlpm.MyAuditVal,_xlpm.MacVal&lt;&gt;"",_xlpm.MacVal,_xlpm.CSVVal&lt;&gt;"",_xlpm.CSVVal
)),"")</f>
        <v/>
      </c>
      <c r="F690" s="45" t="str" cm="1">
        <f t="array" ref="F690">IFERROR(_xlfn.LET(
_xlpm.CSVVal,_xlfn.XLOOKUP($A690,CSV!$A:$A,CSV!F:F,""),
_xlpm.MacVal,_xlfn.XLOOKUP($A690,Output_Mac!$A:$A,Output_Mac!F:F,""),
_xlpm.MyAuditVal,_xlfn.XLOOKUP($A690,My_Audit!$A:$A,My_Audit!E:E,""),
_xlfn.IFS(_xlpm.MyAuditVal&lt;&gt;"",_xlpm.MyAuditVal,_xlpm.MacVal&lt;&gt;"",_xlpm.MacVal,_xlpm.CSVVal&lt;&gt;"",PROPER(_xlpm.CSVVal)
)),"")</f>
        <v/>
      </c>
      <c r="G690" s="45" t="str" cm="1">
        <f t="array" ref="G690">IFERROR(_xlfn.LET(
_xlpm.CSVVal,_xlfn.XLOOKUP($A690,CSV!$A:$A,CSV!G:G,""),
_xlpm.MacVal,_xlfn.XLOOKUP($A690,Output_Mac!$A:$A,Output_Mac!H:H,""),
_xlpm.MyAuditVal,_xlfn.XLOOKUP($A690,My_Audit!$A:$A,My_Audit!F:F,""),
_xlfn.IFS(_xlpm.MyAuditVal&lt;&gt;"",_xlpm.MyAuditVal,_xlpm.MacVal&lt;&gt;"",_xlpm.MacVal,_xlpm.CSVVal&lt;&gt;"",_xlpm.CSVVal
)),"")</f>
        <v/>
      </c>
      <c r="H690" s="45" t="str">
        <f>_xlfn.XLOOKUP(A690,Output_Mac!A:A,Output_Mac!I:I,"")</f>
        <v/>
      </c>
      <c r="I690" s="45" t="str" cm="1">
        <f t="array" ref="I690">IFERROR(_xlfn.LET(
_xlpm.CSVVal,_xlfn.XLOOKUP($A690,CSV!$A:$A,CSV!H:H,""),
_xlpm.MacVal,_xlfn.XLOOKUP($A690,Output_Mac!$A:$A,Output_Mac!J:J,""),
_xlpm.MyAuditVal,_xlfn.XLOOKUP($A690,My_Audit!$A:$A,My_Audit!H:H,""),
_xlfn.IFS(_xlpm.MyAuditVal&lt;&gt;"",UPPER(_xlpm.MyAuditVal),_xlpm.MacVal&lt;&gt;"",_xlpm.MacVal,_xlpm.CSVVal&lt;&gt;"",_xlpm.CSVVal
)),"")</f>
        <v/>
      </c>
      <c r="J690" s="45" t="str" cm="1">
        <f t="array" ref="J690">IFERROR(_xlfn.LET(
_xlpm.CSVVal,_xlfn.XLOOKUP($A690,CSV!$A:$A,CSV!J:J,""),
_xlpm.MacVal,_xlfn.XLOOKUP($A690,Output_Mac!$A:$A,Output_Mac!K:K,""),
_xlpm.MyAuditVal,_xlfn.XLOOKUP($A690,My_Audit!$A:$A,My_Audit!I:I,""),
_xlfn.IFS(_xlpm.MyAuditVal&lt;&gt;"",UPPER(_xlpm.MyAuditVal),_xlpm.MacVal&lt;&gt;"",_xlpm.MacVal,_xlpm.CSVVal&lt;&gt;"",_xlpm.CSVVal
)),"")</f>
        <v/>
      </c>
      <c r="K690" s="45" t="str" cm="1">
        <f t="array" ref="K690">IFERROR(_xlfn.LET(
_xlpm.CSVVal,_xlfn.XLOOKUP($A690,CSV!$A:$A,CSV!N:N,""),
_xlpm.MacVal,_xlfn.XLOOKUP($A690,Output_Mac!$A:$A,Output_Mac!L:L,""),
_xlpm.MyAuditVal,_xlfn.XLOOKUP($A690,My_Audit!$A:$A,My_Audit!J:J,""),
_xlfn.IFS(_xlpm.MyAuditVal&lt;&gt;"",UPPER(_xlpm.MyAuditVal),_xlpm.MacVal&lt;&gt;"",_xlpm.MacVal,_xlpm.CSVVal&lt;&gt;"",_xlpm.CSVVal
)),"")</f>
        <v/>
      </c>
      <c r="L690" s="45" t="str" cm="1">
        <f t="array" ref="L690">IFERROR(_xlfn.LET(
_xlpm.CSVVal,_xlfn.XLOOKUP($A690,CSV!$A:$A,CSV!P:P,""),
_xlpm.MacVal,_xlfn.XLOOKUP($A690,Output_Mac!$A:$A,Output_Mac!M:M,""),
_xlpm.MyAuditVal,_xlfn.XLOOKUP($A690,My_Audit!$A:$A,My_Audit!K:K,""),
_xlfn.IFS(_xlpm.MyAuditVal&lt;&gt;"",UPPER(_xlpm.MyAuditVal),_xlpm.MacVal&lt;&gt;"",_xlpm.MacVal,_xlpm.CSVVal&lt;&gt;"",_xlpm.CSVVal
)),"")</f>
        <v/>
      </c>
      <c r="M690" s="45" t="str">
        <f>_xlfn.LET(
    _xlpm.CSVVal, _xlfn.XLOOKUP($A690, CSV!$A:$A, CSV!AE:AE, ""),
    _xlpm.MacVal, _xlfn.XLOOKUP($A690, Output_Mac!$A:$A, Output_Mac!S:S, ""),
    _xlpm.MyAuditVal, _xlfn.XLOOKUP($A690, My_Audit!$A:$A, My_Audit!N:N, ""),
    _xlfn.TEXTJOIN(", ", TRUE, _xlpm.MyAuditVal, _xlpm.MacVal, _xlpm.CSVVal)
)</f>
        <v/>
      </c>
      <c r="N690" s="45" t="str" cm="1">
        <f t="array" ref="N690">IFERROR(_xlfn.LET(
_xlpm.CSVVal,_xlfn.XLOOKUP($A690,CSV!$A:$A,CSV!AG:AG,""),
_xlpm.MacVal,_xlfn.XLOOKUP($A690,Output_Mac!$A:$A,Output_Mac!U:U,""),
_xlpm.MyAuditVal,_xlfn.XLOOKUP($A690,My_Audit!$A:$A,My_Audit!O:O,""),
_xlfn.IFS(_xlpm.MyAuditVal&lt;&gt;"",UPPER(_xlpm.MyAuditVal),_xlpm.MacVal&lt;&gt;"",_xlpm.MacVal,_xlpm.CSVVal&lt;&gt;"",_xlpm.CSVVal
)),"")</f>
        <v/>
      </c>
      <c r="O690" s="45"/>
      <c r="P690" s="45"/>
      <c r="Q690" s="46" t="str">
        <f>IF(LEFT(N690,4)="Pass","Nist SP 800-88",My_Audit!R690)&amp;""</f>
        <v/>
      </c>
      <c r="R690" s="45"/>
      <c r="S690" s="45"/>
      <c r="T690" s="46" t="str">
        <f>_xlfn.XLOOKUP(E690,Models!I:I,Models!J:J,"")</f>
        <v/>
      </c>
      <c r="U690" s="45"/>
      <c r="V690" s="45"/>
      <c r="W690" s="38"/>
    </row>
    <row r="691" spans="1:23">
      <c r="A691" s="45" t="str">
        <f>_xlfn.TEXTJOIN("",TRUE,Input!$B$2,ROW(My_Audit!A690))</f>
        <v>XX690</v>
      </c>
      <c r="B691" s="45" t="str">
        <f>_xlfn.TEXTJOIN("-",TRUE,"ITD",Input!$A$2,A691)</f>
        <v>ITD-SHRXXX-XX690</v>
      </c>
      <c r="C691" s="45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46" t="str" cm="1">
        <f t="array" ref="D691">IFERROR(_xlfn.LET(
_xlpm.CSVVal,_xlfn.XLOOKUP($A691,CSV!$A:$A,CSV!C:C,""),
_xlpm.MacVal,_xlfn.XLOOKUP($A691,Output_Mac!$A:$A,Output_Mac!D:D,""),
_xlpm.MyAuditVal,_xlfn.XLOOKUP($A691,My_Audit!$A:$A,My_Audit!C:C,""),
_xlfn.IFS(_xlpm.MyAuditVal&lt;&gt;"",UPPER(_xlpm.MyAuditVal),_xlpm.MacVal&lt;&gt;"",_xlpm.MacVal,_xlpm.CSVVal&lt;&gt;"",_xlpm.CSVVal
)),"")</f>
        <v/>
      </c>
      <c r="E691" s="46" t="str" cm="1">
        <f t="array" ref="E691">IFERROR(_xlfn.LET(
_xlpm.CSVVal,_xlfn.XLOOKUP($A691,CSV!$A:$A,CSV!E:E,""),
_xlpm.MacVal,_xlfn.XLOOKUP($A691,Output_Mac!$A:$A,Output_Mac!C:C,""),
_xlpm.MyAuditVal,_xlfn.XLOOKUP($A691,My_Audit!$A:$A,My_Audit!D:D,""),
_xlfn.IFS(_xlpm.MyAuditVal&lt;&gt;"",_xlpm.MyAuditVal,_xlpm.MacVal&lt;&gt;"",_xlpm.MacVal,_xlpm.CSVVal&lt;&gt;"",_xlpm.CSVVal
)),"")</f>
        <v/>
      </c>
      <c r="F691" s="45" t="str" cm="1">
        <f t="array" ref="F691">IFERROR(_xlfn.LET(
_xlpm.CSVVal,_xlfn.XLOOKUP($A691,CSV!$A:$A,CSV!F:F,""),
_xlpm.MacVal,_xlfn.XLOOKUP($A691,Output_Mac!$A:$A,Output_Mac!F:F,""),
_xlpm.MyAuditVal,_xlfn.XLOOKUP($A691,My_Audit!$A:$A,My_Audit!E:E,""),
_xlfn.IFS(_xlpm.MyAuditVal&lt;&gt;"",_xlpm.MyAuditVal,_xlpm.MacVal&lt;&gt;"",_xlpm.MacVal,_xlpm.CSVVal&lt;&gt;"",PROPER(_xlpm.CSVVal)
)),"")</f>
        <v/>
      </c>
      <c r="G691" s="45" t="str" cm="1">
        <f t="array" ref="G691">IFERROR(_xlfn.LET(
_xlpm.CSVVal,_xlfn.XLOOKUP($A691,CSV!$A:$A,CSV!G:G,""),
_xlpm.MacVal,_xlfn.XLOOKUP($A691,Output_Mac!$A:$A,Output_Mac!H:H,""),
_xlpm.MyAuditVal,_xlfn.XLOOKUP($A691,My_Audit!$A:$A,My_Audit!F:F,""),
_xlfn.IFS(_xlpm.MyAuditVal&lt;&gt;"",_xlpm.MyAuditVal,_xlpm.MacVal&lt;&gt;"",_xlpm.MacVal,_xlpm.CSVVal&lt;&gt;"",_xlpm.CSVVal
)),"")</f>
        <v/>
      </c>
      <c r="H691" s="45" t="str">
        <f>_xlfn.XLOOKUP(A691,Output_Mac!A:A,Output_Mac!I:I,"")</f>
        <v/>
      </c>
      <c r="I691" s="45" t="str" cm="1">
        <f t="array" ref="I691">IFERROR(_xlfn.LET(
_xlpm.CSVVal,_xlfn.XLOOKUP($A691,CSV!$A:$A,CSV!H:H,""),
_xlpm.MacVal,_xlfn.XLOOKUP($A691,Output_Mac!$A:$A,Output_Mac!J:J,""),
_xlpm.MyAuditVal,_xlfn.XLOOKUP($A691,My_Audit!$A:$A,My_Audit!H:H,""),
_xlfn.IFS(_xlpm.MyAuditVal&lt;&gt;"",UPPER(_xlpm.MyAuditVal),_xlpm.MacVal&lt;&gt;"",_xlpm.MacVal,_xlpm.CSVVal&lt;&gt;"",_xlpm.CSVVal
)),"")</f>
        <v/>
      </c>
      <c r="J691" s="45" t="str" cm="1">
        <f t="array" ref="J691">IFERROR(_xlfn.LET(
_xlpm.CSVVal,_xlfn.XLOOKUP($A691,CSV!$A:$A,CSV!J:J,""),
_xlpm.MacVal,_xlfn.XLOOKUP($A691,Output_Mac!$A:$A,Output_Mac!K:K,""),
_xlpm.MyAuditVal,_xlfn.XLOOKUP($A691,My_Audit!$A:$A,My_Audit!I:I,""),
_xlfn.IFS(_xlpm.MyAuditVal&lt;&gt;"",UPPER(_xlpm.MyAuditVal),_xlpm.MacVal&lt;&gt;"",_xlpm.MacVal,_xlpm.CSVVal&lt;&gt;"",_xlpm.CSVVal
)),"")</f>
        <v/>
      </c>
      <c r="K691" s="45" t="str" cm="1">
        <f t="array" ref="K691">IFERROR(_xlfn.LET(
_xlpm.CSVVal,_xlfn.XLOOKUP($A691,CSV!$A:$A,CSV!N:N,""),
_xlpm.MacVal,_xlfn.XLOOKUP($A691,Output_Mac!$A:$A,Output_Mac!L:L,""),
_xlpm.MyAuditVal,_xlfn.XLOOKUP($A691,My_Audit!$A:$A,My_Audit!J:J,""),
_xlfn.IFS(_xlpm.MyAuditVal&lt;&gt;"",UPPER(_xlpm.MyAuditVal),_xlpm.MacVal&lt;&gt;"",_xlpm.MacVal,_xlpm.CSVVal&lt;&gt;"",_xlpm.CSVVal
)),"")</f>
        <v/>
      </c>
      <c r="L691" s="45" t="str" cm="1">
        <f t="array" ref="L691">IFERROR(_xlfn.LET(
_xlpm.CSVVal,_xlfn.XLOOKUP($A691,CSV!$A:$A,CSV!P:P,""),
_xlpm.MacVal,_xlfn.XLOOKUP($A691,Output_Mac!$A:$A,Output_Mac!M:M,""),
_xlpm.MyAuditVal,_xlfn.XLOOKUP($A691,My_Audit!$A:$A,My_Audit!K:K,""),
_xlfn.IFS(_xlpm.MyAuditVal&lt;&gt;"",UPPER(_xlpm.MyAuditVal),_xlpm.MacVal&lt;&gt;"",_xlpm.MacVal,_xlpm.CSVVal&lt;&gt;"",_xlpm.CSVVal
)),"")</f>
        <v/>
      </c>
      <c r="M691" s="45" t="str">
        <f>_xlfn.LET(
    _xlpm.CSVVal, _xlfn.XLOOKUP($A691, CSV!$A:$A, CSV!AE:AE, ""),
    _xlpm.MacVal, _xlfn.XLOOKUP($A691, Output_Mac!$A:$A, Output_Mac!S:S, ""),
    _xlpm.MyAuditVal, _xlfn.XLOOKUP($A691, My_Audit!$A:$A, My_Audit!N:N, ""),
    _xlfn.TEXTJOIN(", ", TRUE, _xlpm.MyAuditVal, _xlpm.MacVal, _xlpm.CSVVal)
)</f>
        <v/>
      </c>
      <c r="N691" s="45" t="str" cm="1">
        <f t="array" ref="N691">IFERROR(_xlfn.LET(
_xlpm.CSVVal,_xlfn.XLOOKUP($A691,CSV!$A:$A,CSV!AG:AG,""),
_xlpm.MacVal,_xlfn.XLOOKUP($A691,Output_Mac!$A:$A,Output_Mac!U:U,""),
_xlpm.MyAuditVal,_xlfn.XLOOKUP($A691,My_Audit!$A:$A,My_Audit!O:O,""),
_xlfn.IFS(_xlpm.MyAuditVal&lt;&gt;"",UPPER(_xlpm.MyAuditVal),_xlpm.MacVal&lt;&gt;"",_xlpm.MacVal,_xlpm.CSVVal&lt;&gt;"",_xlpm.CSVVal
)),"")</f>
        <v/>
      </c>
      <c r="O691" s="45"/>
      <c r="P691" s="45"/>
      <c r="Q691" s="46" t="str">
        <f>IF(LEFT(N691,4)="Pass","Nist SP 800-88",My_Audit!R691)&amp;""</f>
        <v/>
      </c>
      <c r="R691" s="45"/>
      <c r="S691" s="45"/>
      <c r="T691" s="46" t="str">
        <f>_xlfn.XLOOKUP(E691,Models!I:I,Models!J:J,"")</f>
        <v/>
      </c>
      <c r="U691" s="45"/>
      <c r="V691" s="45"/>
      <c r="W691" s="38"/>
    </row>
    <row r="692" spans="1:23">
      <c r="A692" s="45" t="str">
        <f>_xlfn.TEXTJOIN("",TRUE,Input!$B$2,ROW(My_Audit!A691))</f>
        <v>XX691</v>
      </c>
      <c r="B692" s="45" t="str">
        <f>_xlfn.TEXTJOIN("-",TRUE,"ITD",Input!$A$2,A692)</f>
        <v>ITD-SHRXXX-XX691</v>
      </c>
      <c r="C692" s="45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46" t="str" cm="1">
        <f t="array" ref="D692">IFERROR(_xlfn.LET(
_xlpm.CSVVal,_xlfn.XLOOKUP($A692,CSV!$A:$A,CSV!C:C,""),
_xlpm.MacVal,_xlfn.XLOOKUP($A692,Output_Mac!$A:$A,Output_Mac!D:D,""),
_xlpm.MyAuditVal,_xlfn.XLOOKUP($A692,My_Audit!$A:$A,My_Audit!C:C,""),
_xlfn.IFS(_xlpm.MyAuditVal&lt;&gt;"",UPPER(_xlpm.MyAuditVal),_xlpm.MacVal&lt;&gt;"",_xlpm.MacVal,_xlpm.CSVVal&lt;&gt;"",_xlpm.CSVVal
)),"")</f>
        <v/>
      </c>
      <c r="E692" s="46" t="str" cm="1">
        <f t="array" ref="E692">IFERROR(_xlfn.LET(
_xlpm.CSVVal,_xlfn.XLOOKUP($A692,CSV!$A:$A,CSV!E:E,""),
_xlpm.MacVal,_xlfn.XLOOKUP($A692,Output_Mac!$A:$A,Output_Mac!C:C,""),
_xlpm.MyAuditVal,_xlfn.XLOOKUP($A692,My_Audit!$A:$A,My_Audit!D:D,""),
_xlfn.IFS(_xlpm.MyAuditVal&lt;&gt;"",_xlpm.MyAuditVal,_xlpm.MacVal&lt;&gt;"",_xlpm.MacVal,_xlpm.CSVVal&lt;&gt;"",_xlpm.CSVVal
)),"")</f>
        <v/>
      </c>
      <c r="F692" s="45" t="str" cm="1">
        <f t="array" ref="F692">IFERROR(_xlfn.LET(
_xlpm.CSVVal,_xlfn.XLOOKUP($A692,CSV!$A:$A,CSV!F:F,""),
_xlpm.MacVal,_xlfn.XLOOKUP($A692,Output_Mac!$A:$A,Output_Mac!F:F,""),
_xlpm.MyAuditVal,_xlfn.XLOOKUP($A692,My_Audit!$A:$A,My_Audit!E:E,""),
_xlfn.IFS(_xlpm.MyAuditVal&lt;&gt;"",_xlpm.MyAuditVal,_xlpm.MacVal&lt;&gt;"",_xlpm.MacVal,_xlpm.CSVVal&lt;&gt;"",PROPER(_xlpm.CSVVal)
)),"")</f>
        <v/>
      </c>
      <c r="G692" s="45" t="str" cm="1">
        <f t="array" ref="G692">IFERROR(_xlfn.LET(
_xlpm.CSVVal,_xlfn.XLOOKUP($A692,CSV!$A:$A,CSV!G:G,""),
_xlpm.MacVal,_xlfn.XLOOKUP($A692,Output_Mac!$A:$A,Output_Mac!H:H,""),
_xlpm.MyAuditVal,_xlfn.XLOOKUP($A692,My_Audit!$A:$A,My_Audit!F:F,""),
_xlfn.IFS(_xlpm.MyAuditVal&lt;&gt;"",_xlpm.MyAuditVal,_xlpm.MacVal&lt;&gt;"",_xlpm.MacVal,_xlpm.CSVVal&lt;&gt;"",_xlpm.CSVVal
)),"")</f>
        <v/>
      </c>
      <c r="H692" s="45" t="str">
        <f>_xlfn.XLOOKUP(A692,Output_Mac!A:A,Output_Mac!I:I,"")</f>
        <v/>
      </c>
      <c r="I692" s="45" t="str" cm="1">
        <f t="array" ref="I692">IFERROR(_xlfn.LET(
_xlpm.CSVVal,_xlfn.XLOOKUP($A692,CSV!$A:$A,CSV!H:H,""),
_xlpm.MacVal,_xlfn.XLOOKUP($A692,Output_Mac!$A:$A,Output_Mac!J:J,""),
_xlpm.MyAuditVal,_xlfn.XLOOKUP($A692,My_Audit!$A:$A,My_Audit!H:H,""),
_xlfn.IFS(_xlpm.MyAuditVal&lt;&gt;"",UPPER(_xlpm.MyAuditVal),_xlpm.MacVal&lt;&gt;"",_xlpm.MacVal,_xlpm.CSVVal&lt;&gt;"",_xlpm.CSVVal
)),"")</f>
        <v/>
      </c>
      <c r="J692" s="45" t="str" cm="1">
        <f t="array" ref="J692">IFERROR(_xlfn.LET(
_xlpm.CSVVal,_xlfn.XLOOKUP($A692,CSV!$A:$A,CSV!J:J,""),
_xlpm.MacVal,_xlfn.XLOOKUP($A692,Output_Mac!$A:$A,Output_Mac!K:K,""),
_xlpm.MyAuditVal,_xlfn.XLOOKUP($A692,My_Audit!$A:$A,My_Audit!I:I,""),
_xlfn.IFS(_xlpm.MyAuditVal&lt;&gt;"",UPPER(_xlpm.MyAuditVal),_xlpm.MacVal&lt;&gt;"",_xlpm.MacVal,_xlpm.CSVVal&lt;&gt;"",_xlpm.CSVVal
)),"")</f>
        <v/>
      </c>
      <c r="K692" s="45" t="str" cm="1">
        <f t="array" ref="K692">IFERROR(_xlfn.LET(
_xlpm.CSVVal,_xlfn.XLOOKUP($A692,CSV!$A:$A,CSV!N:N,""),
_xlpm.MacVal,_xlfn.XLOOKUP($A692,Output_Mac!$A:$A,Output_Mac!L:L,""),
_xlpm.MyAuditVal,_xlfn.XLOOKUP($A692,My_Audit!$A:$A,My_Audit!J:J,""),
_xlfn.IFS(_xlpm.MyAuditVal&lt;&gt;"",UPPER(_xlpm.MyAuditVal),_xlpm.MacVal&lt;&gt;"",_xlpm.MacVal,_xlpm.CSVVal&lt;&gt;"",_xlpm.CSVVal
)),"")</f>
        <v/>
      </c>
      <c r="L692" s="45" t="str" cm="1">
        <f t="array" ref="L692">IFERROR(_xlfn.LET(
_xlpm.CSVVal,_xlfn.XLOOKUP($A692,CSV!$A:$A,CSV!P:P,""),
_xlpm.MacVal,_xlfn.XLOOKUP($A692,Output_Mac!$A:$A,Output_Mac!M:M,""),
_xlpm.MyAuditVal,_xlfn.XLOOKUP($A692,My_Audit!$A:$A,My_Audit!K:K,""),
_xlfn.IFS(_xlpm.MyAuditVal&lt;&gt;"",UPPER(_xlpm.MyAuditVal),_xlpm.MacVal&lt;&gt;"",_xlpm.MacVal,_xlpm.CSVVal&lt;&gt;"",_xlpm.CSVVal
)),"")</f>
        <v/>
      </c>
      <c r="M692" s="45" t="str">
        <f>_xlfn.LET(
    _xlpm.CSVVal, _xlfn.XLOOKUP($A692, CSV!$A:$A, CSV!AE:AE, ""),
    _xlpm.MacVal, _xlfn.XLOOKUP($A692, Output_Mac!$A:$A, Output_Mac!S:S, ""),
    _xlpm.MyAuditVal, _xlfn.XLOOKUP($A692, My_Audit!$A:$A, My_Audit!N:N, ""),
    _xlfn.TEXTJOIN(", ", TRUE, _xlpm.MyAuditVal, _xlpm.MacVal, _xlpm.CSVVal)
)</f>
        <v/>
      </c>
      <c r="N692" s="45" t="str" cm="1">
        <f t="array" ref="N692">IFERROR(_xlfn.LET(
_xlpm.CSVVal,_xlfn.XLOOKUP($A692,CSV!$A:$A,CSV!AG:AG,""),
_xlpm.MacVal,_xlfn.XLOOKUP($A692,Output_Mac!$A:$A,Output_Mac!U:U,""),
_xlpm.MyAuditVal,_xlfn.XLOOKUP($A692,My_Audit!$A:$A,My_Audit!O:O,""),
_xlfn.IFS(_xlpm.MyAuditVal&lt;&gt;"",UPPER(_xlpm.MyAuditVal),_xlpm.MacVal&lt;&gt;"",_xlpm.MacVal,_xlpm.CSVVal&lt;&gt;"",_xlpm.CSVVal
)),"")</f>
        <v/>
      </c>
      <c r="O692" s="45"/>
      <c r="P692" s="45"/>
      <c r="Q692" s="46" t="str">
        <f>IF(LEFT(N692,4)="Pass","Nist SP 800-88",My_Audit!R692)&amp;""</f>
        <v/>
      </c>
      <c r="R692" s="45"/>
      <c r="S692" s="45"/>
      <c r="T692" s="46" t="str">
        <f>_xlfn.XLOOKUP(E692,Models!I:I,Models!J:J,"")</f>
        <v/>
      </c>
      <c r="U692" s="45"/>
      <c r="V692" s="45"/>
      <c r="W692" s="38"/>
    </row>
    <row r="693" spans="1:23">
      <c r="A693" s="45" t="str">
        <f>_xlfn.TEXTJOIN("",TRUE,Input!$B$2,ROW(My_Audit!A692))</f>
        <v>XX692</v>
      </c>
      <c r="B693" s="45" t="str">
        <f>_xlfn.TEXTJOIN("-",TRUE,"ITD",Input!$A$2,A693)</f>
        <v>ITD-SHRXXX-XX692</v>
      </c>
      <c r="C693" s="45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46" t="str" cm="1">
        <f t="array" ref="D693">IFERROR(_xlfn.LET(
_xlpm.CSVVal,_xlfn.XLOOKUP($A693,CSV!$A:$A,CSV!C:C,""),
_xlpm.MacVal,_xlfn.XLOOKUP($A693,Output_Mac!$A:$A,Output_Mac!D:D,""),
_xlpm.MyAuditVal,_xlfn.XLOOKUP($A693,My_Audit!$A:$A,My_Audit!C:C,""),
_xlfn.IFS(_xlpm.MyAuditVal&lt;&gt;"",UPPER(_xlpm.MyAuditVal),_xlpm.MacVal&lt;&gt;"",_xlpm.MacVal,_xlpm.CSVVal&lt;&gt;"",_xlpm.CSVVal
)),"")</f>
        <v/>
      </c>
      <c r="E693" s="46" t="str" cm="1">
        <f t="array" ref="E693">IFERROR(_xlfn.LET(
_xlpm.CSVVal,_xlfn.XLOOKUP($A693,CSV!$A:$A,CSV!E:E,""),
_xlpm.MacVal,_xlfn.XLOOKUP($A693,Output_Mac!$A:$A,Output_Mac!C:C,""),
_xlpm.MyAuditVal,_xlfn.XLOOKUP($A693,My_Audit!$A:$A,My_Audit!D:D,""),
_xlfn.IFS(_xlpm.MyAuditVal&lt;&gt;"",_xlpm.MyAuditVal,_xlpm.MacVal&lt;&gt;"",_xlpm.MacVal,_xlpm.CSVVal&lt;&gt;"",_xlpm.CSVVal
)),"")</f>
        <v/>
      </c>
      <c r="F693" s="45" t="str" cm="1">
        <f t="array" ref="F693">IFERROR(_xlfn.LET(
_xlpm.CSVVal,_xlfn.XLOOKUP($A693,CSV!$A:$A,CSV!F:F,""),
_xlpm.MacVal,_xlfn.XLOOKUP($A693,Output_Mac!$A:$A,Output_Mac!F:F,""),
_xlpm.MyAuditVal,_xlfn.XLOOKUP($A693,My_Audit!$A:$A,My_Audit!E:E,""),
_xlfn.IFS(_xlpm.MyAuditVal&lt;&gt;"",_xlpm.MyAuditVal,_xlpm.MacVal&lt;&gt;"",_xlpm.MacVal,_xlpm.CSVVal&lt;&gt;"",PROPER(_xlpm.CSVVal)
)),"")</f>
        <v/>
      </c>
      <c r="G693" s="45" t="str" cm="1">
        <f t="array" ref="G693">IFERROR(_xlfn.LET(
_xlpm.CSVVal,_xlfn.XLOOKUP($A693,CSV!$A:$A,CSV!G:G,""),
_xlpm.MacVal,_xlfn.XLOOKUP($A693,Output_Mac!$A:$A,Output_Mac!H:H,""),
_xlpm.MyAuditVal,_xlfn.XLOOKUP($A693,My_Audit!$A:$A,My_Audit!F:F,""),
_xlfn.IFS(_xlpm.MyAuditVal&lt;&gt;"",_xlpm.MyAuditVal,_xlpm.MacVal&lt;&gt;"",_xlpm.MacVal,_xlpm.CSVVal&lt;&gt;"",_xlpm.CSVVal
)),"")</f>
        <v/>
      </c>
      <c r="H693" s="45" t="str">
        <f>_xlfn.XLOOKUP(A693,Output_Mac!A:A,Output_Mac!I:I,"")</f>
        <v/>
      </c>
      <c r="I693" s="45" t="str" cm="1">
        <f t="array" ref="I693">IFERROR(_xlfn.LET(
_xlpm.CSVVal,_xlfn.XLOOKUP($A693,CSV!$A:$A,CSV!H:H,""),
_xlpm.MacVal,_xlfn.XLOOKUP($A693,Output_Mac!$A:$A,Output_Mac!J:J,""),
_xlpm.MyAuditVal,_xlfn.XLOOKUP($A693,My_Audit!$A:$A,My_Audit!H:H,""),
_xlfn.IFS(_xlpm.MyAuditVal&lt;&gt;"",UPPER(_xlpm.MyAuditVal),_xlpm.MacVal&lt;&gt;"",_xlpm.MacVal,_xlpm.CSVVal&lt;&gt;"",_xlpm.CSVVal
)),"")</f>
        <v/>
      </c>
      <c r="J693" s="45" t="str" cm="1">
        <f t="array" ref="J693">IFERROR(_xlfn.LET(
_xlpm.CSVVal,_xlfn.XLOOKUP($A693,CSV!$A:$A,CSV!J:J,""),
_xlpm.MacVal,_xlfn.XLOOKUP($A693,Output_Mac!$A:$A,Output_Mac!K:K,""),
_xlpm.MyAuditVal,_xlfn.XLOOKUP($A693,My_Audit!$A:$A,My_Audit!I:I,""),
_xlfn.IFS(_xlpm.MyAuditVal&lt;&gt;"",UPPER(_xlpm.MyAuditVal),_xlpm.MacVal&lt;&gt;"",_xlpm.MacVal,_xlpm.CSVVal&lt;&gt;"",_xlpm.CSVVal
)),"")</f>
        <v/>
      </c>
      <c r="K693" s="45" t="str" cm="1">
        <f t="array" ref="K693">IFERROR(_xlfn.LET(
_xlpm.CSVVal,_xlfn.XLOOKUP($A693,CSV!$A:$A,CSV!N:N,""),
_xlpm.MacVal,_xlfn.XLOOKUP($A693,Output_Mac!$A:$A,Output_Mac!L:L,""),
_xlpm.MyAuditVal,_xlfn.XLOOKUP($A693,My_Audit!$A:$A,My_Audit!J:J,""),
_xlfn.IFS(_xlpm.MyAuditVal&lt;&gt;"",UPPER(_xlpm.MyAuditVal),_xlpm.MacVal&lt;&gt;"",_xlpm.MacVal,_xlpm.CSVVal&lt;&gt;"",_xlpm.CSVVal
)),"")</f>
        <v/>
      </c>
      <c r="L693" s="45" t="str" cm="1">
        <f t="array" ref="L693">IFERROR(_xlfn.LET(
_xlpm.CSVVal,_xlfn.XLOOKUP($A693,CSV!$A:$A,CSV!P:P,""),
_xlpm.MacVal,_xlfn.XLOOKUP($A693,Output_Mac!$A:$A,Output_Mac!M:M,""),
_xlpm.MyAuditVal,_xlfn.XLOOKUP($A693,My_Audit!$A:$A,My_Audit!K:K,""),
_xlfn.IFS(_xlpm.MyAuditVal&lt;&gt;"",UPPER(_xlpm.MyAuditVal),_xlpm.MacVal&lt;&gt;"",_xlpm.MacVal,_xlpm.CSVVal&lt;&gt;"",_xlpm.CSVVal
)),"")</f>
        <v/>
      </c>
      <c r="M693" s="45" t="str">
        <f>_xlfn.LET(
    _xlpm.CSVVal, _xlfn.XLOOKUP($A693, CSV!$A:$A, CSV!AE:AE, ""),
    _xlpm.MacVal, _xlfn.XLOOKUP($A693, Output_Mac!$A:$A, Output_Mac!S:S, ""),
    _xlpm.MyAuditVal, _xlfn.XLOOKUP($A693, My_Audit!$A:$A, My_Audit!N:N, ""),
    _xlfn.TEXTJOIN(", ", TRUE, _xlpm.MyAuditVal, _xlpm.MacVal, _xlpm.CSVVal)
)</f>
        <v/>
      </c>
      <c r="N693" s="45" t="str" cm="1">
        <f t="array" ref="N693">IFERROR(_xlfn.LET(
_xlpm.CSVVal,_xlfn.XLOOKUP($A693,CSV!$A:$A,CSV!AG:AG,""),
_xlpm.MacVal,_xlfn.XLOOKUP($A693,Output_Mac!$A:$A,Output_Mac!U:U,""),
_xlpm.MyAuditVal,_xlfn.XLOOKUP($A693,My_Audit!$A:$A,My_Audit!O:O,""),
_xlfn.IFS(_xlpm.MyAuditVal&lt;&gt;"",UPPER(_xlpm.MyAuditVal),_xlpm.MacVal&lt;&gt;"",_xlpm.MacVal,_xlpm.CSVVal&lt;&gt;"",_xlpm.CSVVal
)),"")</f>
        <v/>
      </c>
      <c r="O693" s="45"/>
      <c r="P693" s="45"/>
      <c r="Q693" s="46" t="str">
        <f>IF(LEFT(N693,4)="Pass","Nist SP 800-88",My_Audit!R693)&amp;""</f>
        <v/>
      </c>
      <c r="R693" s="45"/>
      <c r="S693" s="45"/>
      <c r="T693" s="46" t="str">
        <f>_xlfn.XLOOKUP(E693,Models!I:I,Models!J:J,"")</f>
        <v/>
      </c>
      <c r="U693" s="45"/>
      <c r="V693" s="45"/>
      <c r="W693" s="38"/>
    </row>
    <row r="694" spans="1:23">
      <c r="A694" s="45" t="str">
        <f>_xlfn.TEXTJOIN("",TRUE,Input!$B$2,ROW(My_Audit!A693))</f>
        <v>XX693</v>
      </c>
      <c r="B694" s="45" t="str">
        <f>_xlfn.TEXTJOIN("-",TRUE,"ITD",Input!$A$2,A694)</f>
        <v>ITD-SHRXXX-XX693</v>
      </c>
      <c r="C694" s="45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46" t="str" cm="1">
        <f t="array" ref="D694">IFERROR(_xlfn.LET(
_xlpm.CSVVal,_xlfn.XLOOKUP($A694,CSV!$A:$A,CSV!C:C,""),
_xlpm.MacVal,_xlfn.XLOOKUP($A694,Output_Mac!$A:$A,Output_Mac!D:D,""),
_xlpm.MyAuditVal,_xlfn.XLOOKUP($A694,My_Audit!$A:$A,My_Audit!C:C,""),
_xlfn.IFS(_xlpm.MyAuditVal&lt;&gt;"",UPPER(_xlpm.MyAuditVal),_xlpm.MacVal&lt;&gt;"",_xlpm.MacVal,_xlpm.CSVVal&lt;&gt;"",_xlpm.CSVVal
)),"")</f>
        <v/>
      </c>
      <c r="E694" s="46" t="str" cm="1">
        <f t="array" ref="E694">IFERROR(_xlfn.LET(
_xlpm.CSVVal,_xlfn.XLOOKUP($A694,CSV!$A:$A,CSV!E:E,""),
_xlpm.MacVal,_xlfn.XLOOKUP($A694,Output_Mac!$A:$A,Output_Mac!C:C,""),
_xlpm.MyAuditVal,_xlfn.XLOOKUP($A694,My_Audit!$A:$A,My_Audit!D:D,""),
_xlfn.IFS(_xlpm.MyAuditVal&lt;&gt;"",_xlpm.MyAuditVal,_xlpm.MacVal&lt;&gt;"",_xlpm.MacVal,_xlpm.CSVVal&lt;&gt;"",_xlpm.CSVVal
)),"")</f>
        <v/>
      </c>
      <c r="F694" s="45" t="str" cm="1">
        <f t="array" ref="F694">IFERROR(_xlfn.LET(
_xlpm.CSVVal,_xlfn.XLOOKUP($A694,CSV!$A:$A,CSV!F:F,""),
_xlpm.MacVal,_xlfn.XLOOKUP($A694,Output_Mac!$A:$A,Output_Mac!F:F,""),
_xlpm.MyAuditVal,_xlfn.XLOOKUP($A694,My_Audit!$A:$A,My_Audit!E:E,""),
_xlfn.IFS(_xlpm.MyAuditVal&lt;&gt;"",_xlpm.MyAuditVal,_xlpm.MacVal&lt;&gt;"",_xlpm.MacVal,_xlpm.CSVVal&lt;&gt;"",PROPER(_xlpm.CSVVal)
)),"")</f>
        <v/>
      </c>
      <c r="G694" s="45" t="str" cm="1">
        <f t="array" ref="G694">IFERROR(_xlfn.LET(
_xlpm.CSVVal,_xlfn.XLOOKUP($A694,CSV!$A:$A,CSV!G:G,""),
_xlpm.MacVal,_xlfn.XLOOKUP($A694,Output_Mac!$A:$A,Output_Mac!H:H,""),
_xlpm.MyAuditVal,_xlfn.XLOOKUP($A694,My_Audit!$A:$A,My_Audit!F:F,""),
_xlfn.IFS(_xlpm.MyAuditVal&lt;&gt;"",_xlpm.MyAuditVal,_xlpm.MacVal&lt;&gt;"",_xlpm.MacVal,_xlpm.CSVVal&lt;&gt;"",_xlpm.CSVVal
)),"")</f>
        <v/>
      </c>
      <c r="H694" s="45" t="str">
        <f>_xlfn.XLOOKUP(A694,Output_Mac!A:A,Output_Mac!I:I,"")</f>
        <v/>
      </c>
      <c r="I694" s="45" t="str" cm="1">
        <f t="array" ref="I694">IFERROR(_xlfn.LET(
_xlpm.CSVVal,_xlfn.XLOOKUP($A694,CSV!$A:$A,CSV!H:H,""),
_xlpm.MacVal,_xlfn.XLOOKUP($A694,Output_Mac!$A:$A,Output_Mac!J:J,""),
_xlpm.MyAuditVal,_xlfn.XLOOKUP($A694,My_Audit!$A:$A,My_Audit!H:H,""),
_xlfn.IFS(_xlpm.MyAuditVal&lt;&gt;"",UPPER(_xlpm.MyAuditVal),_xlpm.MacVal&lt;&gt;"",_xlpm.MacVal,_xlpm.CSVVal&lt;&gt;"",_xlpm.CSVVal
)),"")</f>
        <v/>
      </c>
      <c r="J694" s="45" t="str" cm="1">
        <f t="array" ref="J694">IFERROR(_xlfn.LET(
_xlpm.CSVVal,_xlfn.XLOOKUP($A694,CSV!$A:$A,CSV!J:J,""),
_xlpm.MacVal,_xlfn.XLOOKUP($A694,Output_Mac!$A:$A,Output_Mac!K:K,""),
_xlpm.MyAuditVal,_xlfn.XLOOKUP($A694,My_Audit!$A:$A,My_Audit!I:I,""),
_xlfn.IFS(_xlpm.MyAuditVal&lt;&gt;"",UPPER(_xlpm.MyAuditVal),_xlpm.MacVal&lt;&gt;"",_xlpm.MacVal,_xlpm.CSVVal&lt;&gt;"",_xlpm.CSVVal
)),"")</f>
        <v/>
      </c>
      <c r="K694" s="45" t="str" cm="1">
        <f t="array" ref="K694">IFERROR(_xlfn.LET(
_xlpm.CSVVal,_xlfn.XLOOKUP($A694,CSV!$A:$A,CSV!N:N,""),
_xlpm.MacVal,_xlfn.XLOOKUP($A694,Output_Mac!$A:$A,Output_Mac!L:L,""),
_xlpm.MyAuditVal,_xlfn.XLOOKUP($A694,My_Audit!$A:$A,My_Audit!J:J,""),
_xlfn.IFS(_xlpm.MyAuditVal&lt;&gt;"",UPPER(_xlpm.MyAuditVal),_xlpm.MacVal&lt;&gt;"",_xlpm.MacVal,_xlpm.CSVVal&lt;&gt;"",_xlpm.CSVVal
)),"")</f>
        <v/>
      </c>
      <c r="L694" s="45" t="str" cm="1">
        <f t="array" ref="L694">IFERROR(_xlfn.LET(
_xlpm.CSVVal,_xlfn.XLOOKUP($A694,CSV!$A:$A,CSV!P:P,""),
_xlpm.MacVal,_xlfn.XLOOKUP($A694,Output_Mac!$A:$A,Output_Mac!M:M,""),
_xlpm.MyAuditVal,_xlfn.XLOOKUP($A694,My_Audit!$A:$A,My_Audit!K:K,""),
_xlfn.IFS(_xlpm.MyAuditVal&lt;&gt;"",UPPER(_xlpm.MyAuditVal),_xlpm.MacVal&lt;&gt;"",_xlpm.MacVal,_xlpm.CSVVal&lt;&gt;"",_xlpm.CSVVal
)),"")</f>
        <v/>
      </c>
      <c r="M694" s="45" t="str">
        <f>_xlfn.LET(
    _xlpm.CSVVal, _xlfn.XLOOKUP($A694, CSV!$A:$A, CSV!AE:AE, ""),
    _xlpm.MacVal, _xlfn.XLOOKUP($A694, Output_Mac!$A:$A, Output_Mac!S:S, ""),
    _xlpm.MyAuditVal, _xlfn.XLOOKUP($A694, My_Audit!$A:$A, My_Audit!N:N, ""),
    _xlfn.TEXTJOIN(", ", TRUE, _xlpm.MyAuditVal, _xlpm.MacVal, _xlpm.CSVVal)
)</f>
        <v/>
      </c>
      <c r="N694" s="45" t="str" cm="1">
        <f t="array" ref="N694">IFERROR(_xlfn.LET(
_xlpm.CSVVal,_xlfn.XLOOKUP($A694,CSV!$A:$A,CSV!AG:AG,""),
_xlpm.MacVal,_xlfn.XLOOKUP($A694,Output_Mac!$A:$A,Output_Mac!U:U,""),
_xlpm.MyAuditVal,_xlfn.XLOOKUP($A694,My_Audit!$A:$A,My_Audit!O:O,""),
_xlfn.IFS(_xlpm.MyAuditVal&lt;&gt;"",UPPER(_xlpm.MyAuditVal),_xlpm.MacVal&lt;&gt;"",_xlpm.MacVal,_xlpm.CSVVal&lt;&gt;"",_xlpm.CSVVal
)),"")</f>
        <v/>
      </c>
      <c r="O694" s="45"/>
      <c r="P694" s="45"/>
      <c r="Q694" s="46" t="str">
        <f>IF(LEFT(N694,4)="Pass","Nist SP 800-88",My_Audit!R694)&amp;""</f>
        <v/>
      </c>
      <c r="R694" s="45"/>
      <c r="S694" s="45"/>
      <c r="T694" s="46" t="str">
        <f>_xlfn.XLOOKUP(E694,Models!I:I,Models!J:J,"")</f>
        <v/>
      </c>
      <c r="U694" s="45"/>
      <c r="V694" s="45"/>
      <c r="W694" s="38"/>
    </row>
    <row r="695" spans="1:23">
      <c r="A695" s="45" t="str">
        <f>_xlfn.TEXTJOIN("",TRUE,Input!$B$2,ROW(My_Audit!A694))</f>
        <v>XX694</v>
      </c>
      <c r="B695" s="45" t="str">
        <f>_xlfn.TEXTJOIN("-",TRUE,"ITD",Input!$A$2,A695)</f>
        <v>ITD-SHRXXX-XX694</v>
      </c>
      <c r="C695" s="45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46" t="str" cm="1">
        <f t="array" ref="D695">IFERROR(_xlfn.LET(
_xlpm.CSVVal,_xlfn.XLOOKUP($A695,CSV!$A:$A,CSV!C:C,""),
_xlpm.MacVal,_xlfn.XLOOKUP($A695,Output_Mac!$A:$A,Output_Mac!D:D,""),
_xlpm.MyAuditVal,_xlfn.XLOOKUP($A695,My_Audit!$A:$A,My_Audit!C:C,""),
_xlfn.IFS(_xlpm.MyAuditVal&lt;&gt;"",UPPER(_xlpm.MyAuditVal),_xlpm.MacVal&lt;&gt;"",_xlpm.MacVal,_xlpm.CSVVal&lt;&gt;"",_xlpm.CSVVal
)),"")</f>
        <v/>
      </c>
      <c r="E695" s="46" t="str" cm="1">
        <f t="array" ref="E695">IFERROR(_xlfn.LET(
_xlpm.CSVVal,_xlfn.XLOOKUP($A695,CSV!$A:$A,CSV!E:E,""),
_xlpm.MacVal,_xlfn.XLOOKUP($A695,Output_Mac!$A:$A,Output_Mac!C:C,""),
_xlpm.MyAuditVal,_xlfn.XLOOKUP($A695,My_Audit!$A:$A,My_Audit!D:D,""),
_xlfn.IFS(_xlpm.MyAuditVal&lt;&gt;"",_xlpm.MyAuditVal,_xlpm.MacVal&lt;&gt;"",_xlpm.MacVal,_xlpm.CSVVal&lt;&gt;"",_xlpm.CSVVal
)),"")</f>
        <v/>
      </c>
      <c r="F695" s="45" t="str" cm="1">
        <f t="array" ref="F695">IFERROR(_xlfn.LET(
_xlpm.CSVVal,_xlfn.XLOOKUP($A695,CSV!$A:$A,CSV!F:F,""),
_xlpm.MacVal,_xlfn.XLOOKUP($A695,Output_Mac!$A:$A,Output_Mac!F:F,""),
_xlpm.MyAuditVal,_xlfn.XLOOKUP($A695,My_Audit!$A:$A,My_Audit!E:E,""),
_xlfn.IFS(_xlpm.MyAuditVal&lt;&gt;"",_xlpm.MyAuditVal,_xlpm.MacVal&lt;&gt;"",_xlpm.MacVal,_xlpm.CSVVal&lt;&gt;"",PROPER(_xlpm.CSVVal)
)),"")</f>
        <v/>
      </c>
      <c r="G695" s="45" t="str" cm="1">
        <f t="array" ref="G695">IFERROR(_xlfn.LET(
_xlpm.CSVVal,_xlfn.XLOOKUP($A695,CSV!$A:$A,CSV!G:G,""),
_xlpm.MacVal,_xlfn.XLOOKUP($A695,Output_Mac!$A:$A,Output_Mac!H:H,""),
_xlpm.MyAuditVal,_xlfn.XLOOKUP($A695,My_Audit!$A:$A,My_Audit!F:F,""),
_xlfn.IFS(_xlpm.MyAuditVal&lt;&gt;"",_xlpm.MyAuditVal,_xlpm.MacVal&lt;&gt;"",_xlpm.MacVal,_xlpm.CSVVal&lt;&gt;"",_xlpm.CSVVal
)),"")</f>
        <v/>
      </c>
      <c r="H695" s="45" t="str">
        <f>_xlfn.XLOOKUP(A695,Output_Mac!A:A,Output_Mac!I:I,"")</f>
        <v/>
      </c>
      <c r="I695" s="45" t="str" cm="1">
        <f t="array" ref="I695">IFERROR(_xlfn.LET(
_xlpm.CSVVal,_xlfn.XLOOKUP($A695,CSV!$A:$A,CSV!H:H,""),
_xlpm.MacVal,_xlfn.XLOOKUP($A695,Output_Mac!$A:$A,Output_Mac!J:J,""),
_xlpm.MyAuditVal,_xlfn.XLOOKUP($A695,My_Audit!$A:$A,My_Audit!H:H,""),
_xlfn.IFS(_xlpm.MyAuditVal&lt;&gt;"",UPPER(_xlpm.MyAuditVal),_xlpm.MacVal&lt;&gt;"",_xlpm.MacVal,_xlpm.CSVVal&lt;&gt;"",_xlpm.CSVVal
)),"")</f>
        <v/>
      </c>
      <c r="J695" s="45" t="str" cm="1">
        <f t="array" ref="J695">IFERROR(_xlfn.LET(
_xlpm.CSVVal,_xlfn.XLOOKUP($A695,CSV!$A:$A,CSV!J:J,""),
_xlpm.MacVal,_xlfn.XLOOKUP($A695,Output_Mac!$A:$A,Output_Mac!K:K,""),
_xlpm.MyAuditVal,_xlfn.XLOOKUP($A695,My_Audit!$A:$A,My_Audit!I:I,""),
_xlfn.IFS(_xlpm.MyAuditVal&lt;&gt;"",UPPER(_xlpm.MyAuditVal),_xlpm.MacVal&lt;&gt;"",_xlpm.MacVal,_xlpm.CSVVal&lt;&gt;"",_xlpm.CSVVal
)),"")</f>
        <v/>
      </c>
      <c r="K695" s="45" t="str" cm="1">
        <f t="array" ref="K695">IFERROR(_xlfn.LET(
_xlpm.CSVVal,_xlfn.XLOOKUP($A695,CSV!$A:$A,CSV!N:N,""),
_xlpm.MacVal,_xlfn.XLOOKUP($A695,Output_Mac!$A:$A,Output_Mac!L:L,""),
_xlpm.MyAuditVal,_xlfn.XLOOKUP($A695,My_Audit!$A:$A,My_Audit!J:J,""),
_xlfn.IFS(_xlpm.MyAuditVal&lt;&gt;"",UPPER(_xlpm.MyAuditVal),_xlpm.MacVal&lt;&gt;"",_xlpm.MacVal,_xlpm.CSVVal&lt;&gt;"",_xlpm.CSVVal
)),"")</f>
        <v/>
      </c>
      <c r="L695" s="45" t="str" cm="1">
        <f t="array" ref="L695">IFERROR(_xlfn.LET(
_xlpm.CSVVal,_xlfn.XLOOKUP($A695,CSV!$A:$A,CSV!P:P,""),
_xlpm.MacVal,_xlfn.XLOOKUP($A695,Output_Mac!$A:$A,Output_Mac!M:M,""),
_xlpm.MyAuditVal,_xlfn.XLOOKUP($A695,My_Audit!$A:$A,My_Audit!K:K,""),
_xlfn.IFS(_xlpm.MyAuditVal&lt;&gt;"",UPPER(_xlpm.MyAuditVal),_xlpm.MacVal&lt;&gt;"",_xlpm.MacVal,_xlpm.CSVVal&lt;&gt;"",_xlpm.CSVVal
)),"")</f>
        <v/>
      </c>
      <c r="M695" s="45" t="str">
        <f>_xlfn.LET(
    _xlpm.CSVVal, _xlfn.XLOOKUP($A695, CSV!$A:$A, CSV!AE:AE, ""),
    _xlpm.MacVal, _xlfn.XLOOKUP($A695, Output_Mac!$A:$A, Output_Mac!S:S, ""),
    _xlpm.MyAuditVal, _xlfn.XLOOKUP($A695, My_Audit!$A:$A, My_Audit!N:N, ""),
    _xlfn.TEXTJOIN(", ", TRUE, _xlpm.MyAuditVal, _xlpm.MacVal, _xlpm.CSVVal)
)</f>
        <v/>
      </c>
      <c r="N695" s="45" t="str" cm="1">
        <f t="array" ref="N695">IFERROR(_xlfn.LET(
_xlpm.CSVVal,_xlfn.XLOOKUP($A695,CSV!$A:$A,CSV!AG:AG,""),
_xlpm.MacVal,_xlfn.XLOOKUP($A695,Output_Mac!$A:$A,Output_Mac!U:U,""),
_xlpm.MyAuditVal,_xlfn.XLOOKUP($A695,My_Audit!$A:$A,My_Audit!O:O,""),
_xlfn.IFS(_xlpm.MyAuditVal&lt;&gt;"",UPPER(_xlpm.MyAuditVal),_xlpm.MacVal&lt;&gt;"",_xlpm.MacVal,_xlpm.CSVVal&lt;&gt;"",_xlpm.CSVVal
)),"")</f>
        <v/>
      </c>
      <c r="O695" s="45"/>
      <c r="P695" s="45"/>
      <c r="Q695" s="46" t="str">
        <f>IF(LEFT(N695,4)="Pass","Nist SP 800-88",My_Audit!R695)&amp;""</f>
        <v/>
      </c>
      <c r="R695" s="45"/>
      <c r="S695" s="45"/>
      <c r="T695" s="46" t="str">
        <f>_xlfn.XLOOKUP(E695,Models!I:I,Models!J:J,"")</f>
        <v/>
      </c>
      <c r="U695" s="45"/>
      <c r="V695" s="45"/>
      <c r="W695" s="38"/>
    </row>
    <row r="696" spans="1:23">
      <c r="A696" s="45" t="str">
        <f>_xlfn.TEXTJOIN("",TRUE,Input!$B$2,ROW(My_Audit!A695))</f>
        <v>XX695</v>
      </c>
      <c r="B696" s="45" t="str">
        <f>_xlfn.TEXTJOIN("-",TRUE,"ITD",Input!$A$2,A696)</f>
        <v>ITD-SHRXXX-XX695</v>
      </c>
      <c r="C696" s="45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46" t="str" cm="1">
        <f t="array" ref="D696">IFERROR(_xlfn.LET(
_xlpm.CSVVal,_xlfn.XLOOKUP($A696,CSV!$A:$A,CSV!C:C,""),
_xlpm.MacVal,_xlfn.XLOOKUP($A696,Output_Mac!$A:$A,Output_Mac!D:D,""),
_xlpm.MyAuditVal,_xlfn.XLOOKUP($A696,My_Audit!$A:$A,My_Audit!C:C,""),
_xlfn.IFS(_xlpm.MyAuditVal&lt;&gt;"",UPPER(_xlpm.MyAuditVal),_xlpm.MacVal&lt;&gt;"",_xlpm.MacVal,_xlpm.CSVVal&lt;&gt;"",_xlpm.CSVVal
)),"")</f>
        <v/>
      </c>
      <c r="E696" s="46" t="str" cm="1">
        <f t="array" ref="E696">IFERROR(_xlfn.LET(
_xlpm.CSVVal,_xlfn.XLOOKUP($A696,CSV!$A:$A,CSV!E:E,""),
_xlpm.MacVal,_xlfn.XLOOKUP($A696,Output_Mac!$A:$A,Output_Mac!C:C,""),
_xlpm.MyAuditVal,_xlfn.XLOOKUP($A696,My_Audit!$A:$A,My_Audit!D:D,""),
_xlfn.IFS(_xlpm.MyAuditVal&lt;&gt;"",_xlpm.MyAuditVal,_xlpm.MacVal&lt;&gt;"",_xlpm.MacVal,_xlpm.CSVVal&lt;&gt;"",_xlpm.CSVVal
)),"")</f>
        <v/>
      </c>
      <c r="F696" s="45" t="str" cm="1">
        <f t="array" ref="F696">IFERROR(_xlfn.LET(
_xlpm.CSVVal,_xlfn.XLOOKUP($A696,CSV!$A:$A,CSV!F:F,""),
_xlpm.MacVal,_xlfn.XLOOKUP($A696,Output_Mac!$A:$A,Output_Mac!F:F,""),
_xlpm.MyAuditVal,_xlfn.XLOOKUP($A696,My_Audit!$A:$A,My_Audit!E:E,""),
_xlfn.IFS(_xlpm.MyAuditVal&lt;&gt;"",_xlpm.MyAuditVal,_xlpm.MacVal&lt;&gt;"",_xlpm.MacVal,_xlpm.CSVVal&lt;&gt;"",PROPER(_xlpm.CSVVal)
)),"")</f>
        <v/>
      </c>
      <c r="G696" s="45" t="str" cm="1">
        <f t="array" ref="G696">IFERROR(_xlfn.LET(
_xlpm.CSVVal,_xlfn.XLOOKUP($A696,CSV!$A:$A,CSV!G:G,""),
_xlpm.MacVal,_xlfn.XLOOKUP($A696,Output_Mac!$A:$A,Output_Mac!H:H,""),
_xlpm.MyAuditVal,_xlfn.XLOOKUP($A696,My_Audit!$A:$A,My_Audit!F:F,""),
_xlfn.IFS(_xlpm.MyAuditVal&lt;&gt;"",_xlpm.MyAuditVal,_xlpm.MacVal&lt;&gt;"",_xlpm.MacVal,_xlpm.CSVVal&lt;&gt;"",_xlpm.CSVVal
)),"")</f>
        <v/>
      </c>
      <c r="H696" s="45" t="str">
        <f>_xlfn.XLOOKUP(A696,Output_Mac!A:A,Output_Mac!I:I,"")</f>
        <v/>
      </c>
      <c r="I696" s="45" t="str" cm="1">
        <f t="array" ref="I696">IFERROR(_xlfn.LET(
_xlpm.CSVVal,_xlfn.XLOOKUP($A696,CSV!$A:$A,CSV!H:H,""),
_xlpm.MacVal,_xlfn.XLOOKUP($A696,Output_Mac!$A:$A,Output_Mac!J:J,""),
_xlpm.MyAuditVal,_xlfn.XLOOKUP($A696,My_Audit!$A:$A,My_Audit!H:H,""),
_xlfn.IFS(_xlpm.MyAuditVal&lt;&gt;"",UPPER(_xlpm.MyAuditVal),_xlpm.MacVal&lt;&gt;"",_xlpm.MacVal,_xlpm.CSVVal&lt;&gt;"",_xlpm.CSVVal
)),"")</f>
        <v/>
      </c>
      <c r="J696" s="45" t="str" cm="1">
        <f t="array" ref="J696">IFERROR(_xlfn.LET(
_xlpm.CSVVal,_xlfn.XLOOKUP($A696,CSV!$A:$A,CSV!J:J,""),
_xlpm.MacVal,_xlfn.XLOOKUP($A696,Output_Mac!$A:$A,Output_Mac!K:K,""),
_xlpm.MyAuditVal,_xlfn.XLOOKUP($A696,My_Audit!$A:$A,My_Audit!I:I,""),
_xlfn.IFS(_xlpm.MyAuditVal&lt;&gt;"",UPPER(_xlpm.MyAuditVal),_xlpm.MacVal&lt;&gt;"",_xlpm.MacVal,_xlpm.CSVVal&lt;&gt;"",_xlpm.CSVVal
)),"")</f>
        <v/>
      </c>
      <c r="K696" s="45" t="str" cm="1">
        <f t="array" ref="K696">IFERROR(_xlfn.LET(
_xlpm.CSVVal,_xlfn.XLOOKUP($A696,CSV!$A:$A,CSV!N:N,""),
_xlpm.MacVal,_xlfn.XLOOKUP($A696,Output_Mac!$A:$A,Output_Mac!L:L,""),
_xlpm.MyAuditVal,_xlfn.XLOOKUP($A696,My_Audit!$A:$A,My_Audit!J:J,""),
_xlfn.IFS(_xlpm.MyAuditVal&lt;&gt;"",UPPER(_xlpm.MyAuditVal),_xlpm.MacVal&lt;&gt;"",_xlpm.MacVal,_xlpm.CSVVal&lt;&gt;"",_xlpm.CSVVal
)),"")</f>
        <v/>
      </c>
      <c r="L696" s="45" t="str" cm="1">
        <f t="array" ref="L696">IFERROR(_xlfn.LET(
_xlpm.CSVVal,_xlfn.XLOOKUP($A696,CSV!$A:$A,CSV!P:P,""),
_xlpm.MacVal,_xlfn.XLOOKUP($A696,Output_Mac!$A:$A,Output_Mac!M:M,""),
_xlpm.MyAuditVal,_xlfn.XLOOKUP($A696,My_Audit!$A:$A,My_Audit!K:K,""),
_xlfn.IFS(_xlpm.MyAuditVal&lt;&gt;"",UPPER(_xlpm.MyAuditVal),_xlpm.MacVal&lt;&gt;"",_xlpm.MacVal,_xlpm.CSVVal&lt;&gt;"",_xlpm.CSVVal
)),"")</f>
        <v/>
      </c>
      <c r="M696" s="45" t="str">
        <f>_xlfn.LET(
    _xlpm.CSVVal, _xlfn.XLOOKUP($A696, CSV!$A:$A, CSV!AE:AE, ""),
    _xlpm.MacVal, _xlfn.XLOOKUP($A696, Output_Mac!$A:$A, Output_Mac!S:S, ""),
    _xlpm.MyAuditVal, _xlfn.XLOOKUP($A696, My_Audit!$A:$A, My_Audit!N:N, ""),
    _xlfn.TEXTJOIN(", ", TRUE, _xlpm.MyAuditVal, _xlpm.MacVal, _xlpm.CSVVal)
)</f>
        <v/>
      </c>
      <c r="N696" s="45" t="str" cm="1">
        <f t="array" ref="N696">IFERROR(_xlfn.LET(
_xlpm.CSVVal,_xlfn.XLOOKUP($A696,CSV!$A:$A,CSV!AG:AG,""),
_xlpm.MacVal,_xlfn.XLOOKUP($A696,Output_Mac!$A:$A,Output_Mac!U:U,""),
_xlpm.MyAuditVal,_xlfn.XLOOKUP($A696,My_Audit!$A:$A,My_Audit!O:O,""),
_xlfn.IFS(_xlpm.MyAuditVal&lt;&gt;"",UPPER(_xlpm.MyAuditVal),_xlpm.MacVal&lt;&gt;"",_xlpm.MacVal,_xlpm.CSVVal&lt;&gt;"",_xlpm.CSVVal
)),"")</f>
        <v/>
      </c>
      <c r="O696" s="45"/>
      <c r="P696" s="45"/>
      <c r="Q696" s="46" t="str">
        <f>IF(LEFT(N696,4)="Pass","Nist SP 800-88",My_Audit!R696)&amp;""</f>
        <v/>
      </c>
      <c r="R696" s="45"/>
      <c r="S696" s="45"/>
      <c r="T696" s="46" t="str">
        <f>_xlfn.XLOOKUP(E696,Models!I:I,Models!J:J,"")</f>
        <v/>
      </c>
      <c r="U696" s="45"/>
      <c r="V696" s="45"/>
      <c r="W696" s="38"/>
    </row>
    <row r="697" spans="1:23">
      <c r="A697" s="45" t="str">
        <f>_xlfn.TEXTJOIN("",TRUE,Input!$B$2,ROW(My_Audit!A696))</f>
        <v>XX696</v>
      </c>
      <c r="B697" s="45" t="str">
        <f>_xlfn.TEXTJOIN("-",TRUE,"ITD",Input!$A$2,A697)</f>
        <v>ITD-SHRXXX-XX696</v>
      </c>
      <c r="C697" s="45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46" t="str" cm="1">
        <f t="array" ref="D697">IFERROR(_xlfn.LET(
_xlpm.CSVVal,_xlfn.XLOOKUP($A697,CSV!$A:$A,CSV!C:C,""),
_xlpm.MacVal,_xlfn.XLOOKUP($A697,Output_Mac!$A:$A,Output_Mac!D:D,""),
_xlpm.MyAuditVal,_xlfn.XLOOKUP($A697,My_Audit!$A:$A,My_Audit!C:C,""),
_xlfn.IFS(_xlpm.MyAuditVal&lt;&gt;"",UPPER(_xlpm.MyAuditVal),_xlpm.MacVal&lt;&gt;"",_xlpm.MacVal,_xlpm.CSVVal&lt;&gt;"",_xlpm.CSVVal
)),"")</f>
        <v/>
      </c>
      <c r="E697" s="46" t="str" cm="1">
        <f t="array" ref="E697">IFERROR(_xlfn.LET(
_xlpm.CSVVal,_xlfn.XLOOKUP($A697,CSV!$A:$A,CSV!E:E,""),
_xlpm.MacVal,_xlfn.XLOOKUP($A697,Output_Mac!$A:$A,Output_Mac!C:C,""),
_xlpm.MyAuditVal,_xlfn.XLOOKUP($A697,My_Audit!$A:$A,My_Audit!D:D,""),
_xlfn.IFS(_xlpm.MyAuditVal&lt;&gt;"",_xlpm.MyAuditVal,_xlpm.MacVal&lt;&gt;"",_xlpm.MacVal,_xlpm.CSVVal&lt;&gt;"",_xlpm.CSVVal
)),"")</f>
        <v/>
      </c>
      <c r="F697" s="45" t="str" cm="1">
        <f t="array" ref="F697">IFERROR(_xlfn.LET(
_xlpm.CSVVal,_xlfn.XLOOKUP($A697,CSV!$A:$A,CSV!F:F,""),
_xlpm.MacVal,_xlfn.XLOOKUP($A697,Output_Mac!$A:$A,Output_Mac!F:F,""),
_xlpm.MyAuditVal,_xlfn.XLOOKUP($A697,My_Audit!$A:$A,My_Audit!E:E,""),
_xlfn.IFS(_xlpm.MyAuditVal&lt;&gt;"",_xlpm.MyAuditVal,_xlpm.MacVal&lt;&gt;"",_xlpm.MacVal,_xlpm.CSVVal&lt;&gt;"",PROPER(_xlpm.CSVVal)
)),"")</f>
        <v/>
      </c>
      <c r="G697" s="45" t="str" cm="1">
        <f t="array" ref="G697">IFERROR(_xlfn.LET(
_xlpm.CSVVal,_xlfn.XLOOKUP($A697,CSV!$A:$A,CSV!G:G,""),
_xlpm.MacVal,_xlfn.XLOOKUP($A697,Output_Mac!$A:$A,Output_Mac!H:H,""),
_xlpm.MyAuditVal,_xlfn.XLOOKUP($A697,My_Audit!$A:$A,My_Audit!F:F,""),
_xlfn.IFS(_xlpm.MyAuditVal&lt;&gt;"",_xlpm.MyAuditVal,_xlpm.MacVal&lt;&gt;"",_xlpm.MacVal,_xlpm.CSVVal&lt;&gt;"",_xlpm.CSVVal
)),"")</f>
        <v/>
      </c>
      <c r="H697" s="45" t="str">
        <f>_xlfn.XLOOKUP(A697,Output_Mac!A:A,Output_Mac!I:I,"")</f>
        <v/>
      </c>
      <c r="I697" s="45" t="str" cm="1">
        <f t="array" ref="I697">IFERROR(_xlfn.LET(
_xlpm.CSVVal,_xlfn.XLOOKUP($A697,CSV!$A:$A,CSV!H:H,""),
_xlpm.MacVal,_xlfn.XLOOKUP($A697,Output_Mac!$A:$A,Output_Mac!J:J,""),
_xlpm.MyAuditVal,_xlfn.XLOOKUP($A697,My_Audit!$A:$A,My_Audit!H:H,""),
_xlfn.IFS(_xlpm.MyAuditVal&lt;&gt;"",UPPER(_xlpm.MyAuditVal),_xlpm.MacVal&lt;&gt;"",_xlpm.MacVal,_xlpm.CSVVal&lt;&gt;"",_xlpm.CSVVal
)),"")</f>
        <v/>
      </c>
      <c r="J697" s="45" t="str" cm="1">
        <f t="array" ref="J697">IFERROR(_xlfn.LET(
_xlpm.CSVVal,_xlfn.XLOOKUP($A697,CSV!$A:$A,CSV!J:J,""),
_xlpm.MacVal,_xlfn.XLOOKUP($A697,Output_Mac!$A:$A,Output_Mac!K:K,""),
_xlpm.MyAuditVal,_xlfn.XLOOKUP($A697,My_Audit!$A:$A,My_Audit!I:I,""),
_xlfn.IFS(_xlpm.MyAuditVal&lt;&gt;"",UPPER(_xlpm.MyAuditVal),_xlpm.MacVal&lt;&gt;"",_xlpm.MacVal,_xlpm.CSVVal&lt;&gt;"",_xlpm.CSVVal
)),"")</f>
        <v/>
      </c>
      <c r="K697" s="45" t="str" cm="1">
        <f t="array" ref="K697">IFERROR(_xlfn.LET(
_xlpm.CSVVal,_xlfn.XLOOKUP($A697,CSV!$A:$A,CSV!N:N,""),
_xlpm.MacVal,_xlfn.XLOOKUP($A697,Output_Mac!$A:$A,Output_Mac!L:L,""),
_xlpm.MyAuditVal,_xlfn.XLOOKUP($A697,My_Audit!$A:$A,My_Audit!J:J,""),
_xlfn.IFS(_xlpm.MyAuditVal&lt;&gt;"",UPPER(_xlpm.MyAuditVal),_xlpm.MacVal&lt;&gt;"",_xlpm.MacVal,_xlpm.CSVVal&lt;&gt;"",_xlpm.CSVVal
)),"")</f>
        <v/>
      </c>
      <c r="L697" s="45" t="str" cm="1">
        <f t="array" ref="L697">IFERROR(_xlfn.LET(
_xlpm.CSVVal,_xlfn.XLOOKUP($A697,CSV!$A:$A,CSV!P:P,""),
_xlpm.MacVal,_xlfn.XLOOKUP($A697,Output_Mac!$A:$A,Output_Mac!M:M,""),
_xlpm.MyAuditVal,_xlfn.XLOOKUP($A697,My_Audit!$A:$A,My_Audit!K:K,""),
_xlfn.IFS(_xlpm.MyAuditVal&lt;&gt;"",UPPER(_xlpm.MyAuditVal),_xlpm.MacVal&lt;&gt;"",_xlpm.MacVal,_xlpm.CSVVal&lt;&gt;"",_xlpm.CSVVal
)),"")</f>
        <v/>
      </c>
      <c r="M697" s="45" t="str">
        <f>_xlfn.LET(
    _xlpm.CSVVal, _xlfn.XLOOKUP($A697, CSV!$A:$A, CSV!AE:AE, ""),
    _xlpm.MacVal, _xlfn.XLOOKUP($A697, Output_Mac!$A:$A, Output_Mac!S:S, ""),
    _xlpm.MyAuditVal, _xlfn.XLOOKUP($A697, My_Audit!$A:$A, My_Audit!N:N, ""),
    _xlfn.TEXTJOIN(", ", TRUE, _xlpm.MyAuditVal, _xlpm.MacVal, _xlpm.CSVVal)
)</f>
        <v/>
      </c>
      <c r="N697" s="45" t="str" cm="1">
        <f t="array" ref="N697">IFERROR(_xlfn.LET(
_xlpm.CSVVal,_xlfn.XLOOKUP($A697,CSV!$A:$A,CSV!AG:AG,""),
_xlpm.MacVal,_xlfn.XLOOKUP($A697,Output_Mac!$A:$A,Output_Mac!U:U,""),
_xlpm.MyAuditVal,_xlfn.XLOOKUP($A697,My_Audit!$A:$A,My_Audit!O:O,""),
_xlfn.IFS(_xlpm.MyAuditVal&lt;&gt;"",UPPER(_xlpm.MyAuditVal),_xlpm.MacVal&lt;&gt;"",_xlpm.MacVal,_xlpm.CSVVal&lt;&gt;"",_xlpm.CSVVal
)),"")</f>
        <v/>
      </c>
      <c r="O697" s="45"/>
      <c r="P697" s="45"/>
      <c r="Q697" s="46" t="str">
        <f>IF(LEFT(N697,4)="Pass","Nist SP 800-88",My_Audit!R697)&amp;""</f>
        <v/>
      </c>
      <c r="R697" s="45"/>
      <c r="S697" s="45"/>
      <c r="T697" s="46" t="str">
        <f>_xlfn.XLOOKUP(E697,Models!I:I,Models!J:J,"")</f>
        <v/>
      </c>
      <c r="U697" s="45"/>
      <c r="V697" s="45"/>
      <c r="W697" s="38"/>
    </row>
    <row r="698" spans="1:23">
      <c r="A698" s="45" t="str">
        <f>_xlfn.TEXTJOIN("",TRUE,Input!$B$2,ROW(My_Audit!A697))</f>
        <v>XX697</v>
      </c>
      <c r="B698" s="45" t="str">
        <f>_xlfn.TEXTJOIN("-",TRUE,"ITD",Input!$A$2,A698)</f>
        <v>ITD-SHRXXX-XX697</v>
      </c>
      <c r="C698" s="45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46" t="str" cm="1">
        <f t="array" ref="D698">IFERROR(_xlfn.LET(
_xlpm.CSVVal,_xlfn.XLOOKUP($A698,CSV!$A:$A,CSV!C:C,""),
_xlpm.MacVal,_xlfn.XLOOKUP($A698,Output_Mac!$A:$A,Output_Mac!D:D,""),
_xlpm.MyAuditVal,_xlfn.XLOOKUP($A698,My_Audit!$A:$A,My_Audit!C:C,""),
_xlfn.IFS(_xlpm.MyAuditVal&lt;&gt;"",UPPER(_xlpm.MyAuditVal),_xlpm.MacVal&lt;&gt;"",_xlpm.MacVal,_xlpm.CSVVal&lt;&gt;"",_xlpm.CSVVal
)),"")</f>
        <v/>
      </c>
      <c r="E698" s="46" t="str" cm="1">
        <f t="array" ref="E698">IFERROR(_xlfn.LET(
_xlpm.CSVVal,_xlfn.XLOOKUP($A698,CSV!$A:$A,CSV!E:E,""),
_xlpm.MacVal,_xlfn.XLOOKUP($A698,Output_Mac!$A:$A,Output_Mac!C:C,""),
_xlpm.MyAuditVal,_xlfn.XLOOKUP($A698,My_Audit!$A:$A,My_Audit!D:D,""),
_xlfn.IFS(_xlpm.MyAuditVal&lt;&gt;"",_xlpm.MyAuditVal,_xlpm.MacVal&lt;&gt;"",_xlpm.MacVal,_xlpm.CSVVal&lt;&gt;"",_xlpm.CSVVal
)),"")</f>
        <v/>
      </c>
      <c r="F698" s="45" t="str" cm="1">
        <f t="array" ref="F698">IFERROR(_xlfn.LET(
_xlpm.CSVVal,_xlfn.XLOOKUP($A698,CSV!$A:$A,CSV!F:F,""),
_xlpm.MacVal,_xlfn.XLOOKUP($A698,Output_Mac!$A:$A,Output_Mac!F:F,""),
_xlpm.MyAuditVal,_xlfn.XLOOKUP($A698,My_Audit!$A:$A,My_Audit!E:E,""),
_xlfn.IFS(_xlpm.MyAuditVal&lt;&gt;"",_xlpm.MyAuditVal,_xlpm.MacVal&lt;&gt;"",_xlpm.MacVal,_xlpm.CSVVal&lt;&gt;"",PROPER(_xlpm.CSVVal)
)),"")</f>
        <v/>
      </c>
      <c r="G698" s="45" t="str" cm="1">
        <f t="array" ref="G698">IFERROR(_xlfn.LET(
_xlpm.CSVVal,_xlfn.XLOOKUP($A698,CSV!$A:$A,CSV!G:G,""),
_xlpm.MacVal,_xlfn.XLOOKUP($A698,Output_Mac!$A:$A,Output_Mac!H:H,""),
_xlpm.MyAuditVal,_xlfn.XLOOKUP($A698,My_Audit!$A:$A,My_Audit!F:F,""),
_xlfn.IFS(_xlpm.MyAuditVal&lt;&gt;"",_xlpm.MyAuditVal,_xlpm.MacVal&lt;&gt;"",_xlpm.MacVal,_xlpm.CSVVal&lt;&gt;"",_xlpm.CSVVal
)),"")</f>
        <v/>
      </c>
      <c r="H698" s="45" t="str">
        <f>_xlfn.XLOOKUP(A698,Output_Mac!A:A,Output_Mac!I:I,"")</f>
        <v/>
      </c>
      <c r="I698" s="45" t="str" cm="1">
        <f t="array" ref="I698">IFERROR(_xlfn.LET(
_xlpm.CSVVal,_xlfn.XLOOKUP($A698,CSV!$A:$A,CSV!H:H,""),
_xlpm.MacVal,_xlfn.XLOOKUP($A698,Output_Mac!$A:$A,Output_Mac!J:J,""),
_xlpm.MyAuditVal,_xlfn.XLOOKUP($A698,My_Audit!$A:$A,My_Audit!H:H,""),
_xlfn.IFS(_xlpm.MyAuditVal&lt;&gt;"",UPPER(_xlpm.MyAuditVal),_xlpm.MacVal&lt;&gt;"",_xlpm.MacVal,_xlpm.CSVVal&lt;&gt;"",_xlpm.CSVVal
)),"")</f>
        <v/>
      </c>
      <c r="J698" s="45" t="str" cm="1">
        <f t="array" ref="J698">IFERROR(_xlfn.LET(
_xlpm.CSVVal,_xlfn.XLOOKUP($A698,CSV!$A:$A,CSV!J:J,""),
_xlpm.MacVal,_xlfn.XLOOKUP($A698,Output_Mac!$A:$A,Output_Mac!K:K,""),
_xlpm.MyAuditVal,_xlfn.XLOOKUP($A698,My_Audit!$A:$A,My_Audit!I:I,""),
_xlfn.IFS(_xlpm.MyAuditVal&lt;&gt;"",UPPER(_xlpm.MyAuditVal),_xlpm.MacVal&lt;&gt;"",_xlpm.MacVal,_xlpm.CSVVal&lt;&gt;"",_xlpm.CSVVal
)),"")</f>
        <v/>
      </c>
      <c r="K698" s="45" t="str" cm="1">
        <f t="array" ref="K698">IFERROR(_xlfn.LET(
_xlpm.CSVVal,_xlfn.XLOOKUP($A698,CSV!$A:$A,CSV!N:N,""),
_xlpm.MacVal,_xlfn.XLOOKUP($A698,Output_Mac!$A:$A,Output_Mac!L:L,""),
_xlpm.MyAuditVal,_xlfn.XLOOKUP($A698,My_Audit!$A:$A,My_Audit!J:J,""),
_xlfn.IFS(_xlpm.MyAuditVal&lt;&gt;"",UPPER(_xlpm.MyAuditVal),_xlpm.MacVal&lt;&gt;"",_xlpm.MacVal,_xlpm.CSVVal&lt;&gt;"",_xlpm.CSVVal
)),"")</f>
        <v/>
      </c>
      <c r="L698" s="45" t="str" cm="1">
        <f t="array" ref="L698">IFERROR(_xlfn.LET(
_xlpm.CSVVal,_xlfn.XLOOKUP($A698,CSV!$A:$A,CSV!P:P,""),
_xlpm.MacVal,_xlfn.XLOOKUP($A698,Output_Mac!$A:$A,Output_Mac!M:M,""),
_xlpm.MyAuditVal,_xlfn.XLOOKUP($A698,My_Audit!$A:$A,My_Audit!K:K,""),
_xlfn.IFS(_xlpm.MyAuditVal&lt;&gt;"",UPPER(_xlpm.MyAuditVal),_xlpm.MacVal&lt;&gt;"",_xlpm.MacVal,_xlpm.CSVVal&lt;&gt;"",_xlpm.CSVVal
)),"")</f>
        <v/>
      </c>
      <c r="M698" s="45" t="str">
        <f>_xlfn.LET(
    _xlpm.CSVVal, _xlfn.XLOOKUP($A698, CSV!$A:$A, CSV!AE:AE, ""),
    _xlpm.MacVal, _xlfn.XLOOKUP($A698, Output_Mac!$A:$A, Output_Mac!S:S, ""),
    _xlpm.MyAuditVal, _xlfn.XLOOKUP($A698, My_Audit!$A:$A, My_Audit!N:N, ""),
    _xlfn.TEXTJOIN(", ", TRUE, _xlpm.MyAuditVal, _xlpm.MacVal, _xlpm.CSVVal)
)</f>
        <v/>
      </c>
      <c r="N698" s="45" t="str" cm="1">
        <f t="array" ref="N698">IFERROR(_xlfn.LET(
_xlpm.CSVVal,_xlfn.XLOOKUP($A698,CSV!$A:$A,CSV!AG:AG,""),
_xlpm.MacVal,_xlfn.XLOOKUP($A698,Output_Mac!$A:$A,Output_Mac!U:U,""),
_xlpm.MyAuditVal,_xlfn.XLOOKUP($A698,My_Audit!$A:$A,My_Audit!O:O,""),
_xlfn.IFS(_xlpm.MyAuditVal&lt;&gt;"",UPPER(_xlpm.MyAuditVal),_xlpm.MacVal&lt;&gt;"",_xlpm.MacVal,_xlpm.CSVVal&lt;&gt;"",_xlpm.CSVVal
)),"")</f>
        <v/>
      </c>
      <c r="O698" s="45"/>
      <c r="P698" s="45"/>
      <c r="Q698" s="46" t="str">
        <f>IF(LEFT(N698,4)="Pass","Nist SP 800-88",My_Audit!R698)&amp;""</f>
        <v/>
      </c>
      <c r="R698" s="45"/>
      <c r="S698" s="45"/>
      <c r="T698" s="46" t="str">
        <f>_xlfn.XLOOKUP(E698,Models!I:I,Models!J:J,"")</f>
        <v/>
      </c>
      <c r="U698" s="45"/>
      <c r="V698" s="45"/>
      <c r="W698" s="38"/>
    </row>
    <row r="699" spans="1:23">
      <c r="A699" s="45" t="str">
        <f>_xlfn.TEXTJOIN("",TRUE,Input!$B$2,ROW(My_Audit!A698))</f>
        <v>XX698</v>
      </c>
      <c r="B699" s="45" t="str">
        <f>_xlfn.TEXTJOIN("-",TRUE,"ITD",Input!$A$2,A699)</f>
        <v>ITD-SHRXXX-XX698</v>
      </c>
      <c r="C699" s="45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46" t="str" cm="1">
        <f t="array" ref="D699">IFERROR(_xlfn.LET(
_xlpm.CSVVal,_xlfn.XLOOKUP($A699,CSV!$A:$A,CSV!C:C,""),
_xlpm.MacVal,_xlfn.XLOOKUP($A699,Output_Mac!$A:$A,Output_Mac!D:D,""),
_xlpm.MyAuditVal,_xlfn.XLOOKUP($A699,My_Audit!$A:$A,My_Audit!C:C,""),
_xlfn.IFS(_xlpm.MyAuditVal&lt;&gt;"",UPPER(_xlpm.MyAuditVal),_xlpm.MacVal&lt;&gt;"",_xlpm.MacVal,_xlpm.CSVVal&lt;&gt;"",_xlpm.CSVVal
)),"")</f>
        <v/>
      </c>
      <c r="E699" s="46" t="str" cm="1">
        <f t="array" ref="E699">IFERROR(_xlfn.LET(
_xlpm.CSVVal,_xlfn.XLOOKUP($A699,CSV!$A:$A,CSV!E:E,""),
_xlpm.MacVal,_xlfn.XLOOKUP($A699,Output_Mac!$A:$A,Output_Mac!C:C,""),
_xlpm.MyAuditVal,_xlfn.XLOOKUP($A699,My_Audit!$A:$A,My_Audit!D:D,""),
_xlfn.IFS(_xlpm.MyAuditVal&lt;&gt;"",_xlpm.MyAuditVal,_xlpm.MacVal&lt;&gt;"",_xlpm.MacVal,_xlpm.CSVVal&lt;&gt;"",_xlpm.CSVVal
)),"")</f>
        <v/>
      </c>
      <c r="F699" s="45" t="str" cm="1">
        <f t="array" ref="F699">IFERROR(_xlfn.LET(
_xlpm.CSVVal,_xlfn.XLOOKUP($A699,CSV!$A:$A,CSV!F:F,""),
_xlpm.MacVal,_xlfn.XLOOKUP($A699,Output_Mac!$A:$A,Output_Mac!F:F,""),
_xlpm.MyAuditVal,_xlfn.XLOOKUP($A699,My_Audit!$A:$A,My_Audit!E:E,""),
_xlfn.IFS(_xlpm.MyAuditVal&lt;&gt;"",_xlpm.MyAuditVal,_xlpm.MacVal&lt;&gt;"",_xlpm.MacVal,_xlpm.CSVVal&lt;&gt;"",PROPER(_xlpm.CSVVal)
)),"")</f>
        <v/>
      </c>
      <c r="G699" s="45" t="str" cm="1">
        <f t="array" ref="G699">IFERROR(_xlfn.LET(
_xlpm.CSVVal,_xlfn.XLOOKUP($A699,CSV!$A:$A,CSV!G:G,""),
_xlpm.MacVal,_xlfn.XLOOKUP($A699,Output_Mac!$A:$A,Output_Mac!H:H,""),
_xlpm.MyAuditVal,_xlfn.XLOOKUP($A699,My_Audit!$A:$A,My_Audit!F:F,""),
_xlfn.IFS(_xlpm.MyAuditVal&lt;&gt;"",_xlpm.MyAuditVal,_xlpm.MacVal&lt;&gt;"",_xlpm.MacVal,_xlpm.CSVVal&lt;&gt;"",_xlpm.CSVVal
)),"")</f>
        <v/>
      </c>
      <c r="H699" s="45" t="str">
        <f>_xlfn.XLOOKUP(A699,Output_Mac!A:A,Output_Mac!I:I,"")</f>
        <v/>
      </c>
      <c r="I699" s="45" t="str" cm="1">
        <f t="array" ref="I699">IFERROR(_xlfn.LET(
_xlpm.CSVVal,_xlfn.XLOOKUP($A699,CSV!$A:$A,CSV!H:H,""),
_xlpm.MacVal,_xlfn.XLOOKUP($A699,Output_Mac!$A:$A,Output_Mac!J:J,""),
_xlpm.MyAuditVal,_xlfn.XLOOKUP($A699,My_Audit!$A:$A,My_Audit!H:H,""),
_xlfn.IFS(_xlpm.MyAuditVal&lt;&gt;"",UPPER(_xlpm.MyAuditVal),_xlpm.MacVal&lt;&gt;"",_xlpm.MacVal,_xlpm.CSVVal&lt;&gt;"",_xlpm.CSVVal
)),"")</f>
        <v/>
      </c>
      <c r="J699" s="45" t="str" cm="1">
        <f t="array" ref="J699">IFERROR(_xlfn.LET(
_xlpm.CSVVal,_xlfn.XLOOKUP($A699,CSV!$A:$A,CSV!J:J,""),
_xlpm.MacVal,_xlfn.XLOOKUP($A699,Output_Mac!$A:$A,Output_Mac!K:K,""),
_xlpm.MyAuditVal,_xlfn.XLOOKUP($A699,My_Audit!$A:$A,My_Audit!I:I,""),
_xlfn.IFS(_xlpm.MyAuditVal&lt;&gt;"",UPPER(_xlpm.MyAuditVal),_xlpm.MacVal&lt;&gt;"",_xlpm.MacVal,_xlpm.CSVVal&lt;&gt;"",_xlpm.CSVVal
)),"")</f>
        <v/>
      </c>
      <c r="K699" s="45" t="str" cm="1">
        <f t="array" ref="K699">IFERROR(_xlfn.LET(
_xlpm.CSVVal,_xlfn.XLOOKUP($A699,CSV!$A:$A,CSV!N:N,""),
_xlpm.MacVal,_xlfn.XLOOKUP($A699,Output_Mac!$A:$A,Output_Mac!L:L,""),
_xlpm.MyAuditVal,_xlfn.XLOOKUP($A699,My_Audit!$A:$A,My_Audit!J:J,""),
_xlfn.IFS(_xlpm.MyAuditVal&lt;&gt;"",UPPER(_xlpm.MyAuditVal),_xlpm.MacVal&lt;&gt;"",_xlpm.MacVal,_xlpm.CSVVal&lt;&gt;"",_xlpm.CSVVal
)),"")</f>
        <v/>
      </c>
      <c r="L699" s="45" t="str" cm="1">
        <f t="array" ref="L699">IFERROR(_xlfn.LET(
_xlpm.CSVVal,_xlfn.XLOOKUP($A699,CSV!$A:$A,CSV!P:P,""),
_xlpm.MacVal,_xlfn.XLOOKUP($A699,Output_Mac!$A:$A,Output_Mac!M:M,""),
_xlpm.MyAuditVal,_xlfn.XLOOKUP($A699,My_Audit!$A:$A,My_Audit!K:K,""),
_xlfn.IFS(_xlpm.MyAuditVal&lt;&gt;"",UPPER(_xlpm.MyAuditVal),_xlpm.MacVal&lt;&gt;"",_xlpm.MacVal,_xlpm.CSVVal&lt;&gt;"",_xlpm.CSVVal
)),"")</f>
        <v/>
      </c>
      <c r="M699" s="45" t="str">
        <f>_xlfn.LET(
    _xlpm.CSVVal, _xlfn.XLOOKUP($A699, CSV!$A:$A, CSV!AE:AE, ""),
    _xlpm.MacVal, _xlfn.XLOOKUP($A699, Output_Mac!$A:$A, Output_Mac!S:S, ""),
    _xlpm.MyAuditVal, _xlfn.XLOOKUP($A699, My_Audit!$A:$A, My_Audit!N:N, ""),
    _xlfn.TEXTJOIN(", ", TRUE, _xlpm.MyAuditVal, _xlpm.MacVal, _xlpm.CSVVal)
)</f>
        <v/>
      </c>
      <c r="N699" s="45" t="str" cm="1">
        <f t="array" ref="N699">IFERROR(_xlfn.LET(
_xlpm.CSVVal,_xlfn.XLOOKUP($A699,CSV!$A:$A,CSV!AG:AG,""),
_xlpm.MacVal,_xlfn.XLOOKUP($A699,Output_Mac!$A:$A,Output_Mac!U:U,""),
_xlpm.MyAuditVal,_xlfn.XLOOKUP($A699,My_Audit!$A:$A,My_Audit!O:O,""),
_xlfn.IFS(_xlpm.MyAuditVal&lt;&gt;"",UPPER(_xlpm.MyAuditVal),_xlpm.MacVal&lt;&gt;"",_xlpm.MacVal,_xlpm.CSVVal&lt;&gt;"",_xlpm.CSVVal
)),"")</f>
        <v/>
      </c>
      <c r="O699" s="45"/>
      <c r="P699" s="45"/>
      <c r="Q699" s="46" t="str">
        <f>IF(LEFT(N699,4)="Pass","Nist SP 800-88",My_Audit!R699)&amp;""</f>
        <v/>
      </c>
      <c r="R699" s="45"/>
      <c r="S699" s="45"/>
      <c r="T699" s="46" t="str">
        <f>_xlfn.XLOOKUP(E699,Models!I:I,Models!J:J,"")</f>
        <v/>
      </c>
      <c r="U699" s="45"/>
      <c r="V699" s="45"/>
      <c r="W699" s="38"/>
    </row>
    <row r="700" spans="1:23">
      <c r="A700" s="45" t="str">
        <f>_xlfn.TEXTJOIN("",TRUE,Input!$B$2,ROW(My_Audit!A699))</f>
        <v>XX699</v>
      </c>
      <c r="B700" s="45" t="str">
        <f>_xlfn.TEXTJOIN("-",TRUE,"ITD",Input!$A$2,A700)</f>
        <v>ITD-SHRXXX-XX699</v>
      </c>
      <c r="C700" s="45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46" t="str" cm="1">
        <f t="array" ref="D700">IFERROR(_xlfn.LET(
_xlpm.CSVVal,_xlfn.XLOOKUP($A700,CSV!$A:$A,CSV!C:C,""),
_xlpm.MacVal,_xlfn.XLOOKUP($A700,Output_Mac!$A:$A,Output_Mac!D:D,""),
_xlpm.MyAuditVal,_xlfn.XLOOKUP($A700,My_Audit!$A:$A,My_Audit!C:C,""),
_xlfn.IFS(_xlpm.MyAuditVal&lt;&gt;"",UPPER(_xlpm.MyAuditVal),_xlpm.MacVal&lt;&gt;"",_xlpm.MacVal,_xlpm.CSVVal&lt;&gt;"",_xlpm.CSVVal
)),"")</f>
        <v/>
      </c>
      <c r="E700" s="46" t="str" cm="1">
        <f t="array" ref="E700">IFERROR(_xlfn.LET(
_xlpm.CSVVal,_xlfn.XLOOKUP($A700,CSV!$A:$A,CSV!E:E,""),
_xlpm.MacVal,_xlfn.XLOOKUP($A700,Output_Mac!$A:$A,Output_Mac!C:C,""),
_xlpm.MyAuditVal,_xlfn.XLOOKUP($A700,My_Audit!$A:$A,My_Audit!D:D,""),
_xlfn.IFS(_xlpm.MyAuditVal&lt;&gt;"",_xlpm.MyAuditVal,_xlpm.MacVal&lt;&gt;"",_xlpm.MacVal,_xlpm.CSVVal&lt;&gt;"",_xlpm.CSVVal
)),"")</f>
        <v/>
      </c>
      <c r="F700" s="45" t="str" cm="1">
        <f t="array" ref="F700">IFERROR(_xlfn.LET(
_xlpm.CSVVal,_xlfn.XLOOKUP($A700,CSV!$A:$A,CSV!F:F,""),
_xlpm.MacVal,_xlfn.XLOOKUP($A700,Output_Mac!$A:$A,Output_Mac!F:F,""),
_xlpm.MyAuditVal,_xlfn.XLOOKUP($A700,My_Audit!$A:$A,My_Audit!E:E,""),
_xlfn.IFS(_xlpm.MyAuditVal&lt;&gt;"",_xlpm.MyAuditVal,_xlpm.MacVal&lt;&gt;"",_xlpm.MacVal,_xlpm.CSVVal&lt;&gt;"",PROPER(_xlpm.CSVVal)
)),"")</f>
        <v/>
      </c>
      <c r="G700" s="45" t="str" cm="1">
        <f t="array" ref="G700">IFERROR(_xlfn.LET(
_xlpm.CSVVal,_xlfn.XLOOKUP($A700,CSV!$A:$A,CSV!G:G,""),
_xlpm.MacVal,_xlfn.XLOOKUP($A700,Output_Mac!$A:$A,Output_Mac!H:H,""),
_xlpm.MyAuditVal,_xlfn.XLOOKUP($A700,My_Audit!$A:$A,My_Audit!F:F,""),
_xlfn.IFS(_xlpm.MyAuditVal&lt;&gt;"",_xlpm.MyAuditVal,_xlpm.MacVal&lt;&gt;"",_xlpm.MacVal,_xlpm.CSVVal&lt;&gt;"",_xlpm.CSVVal
)),"")</f>
        <v/>
      </c>
      <c r="H700" s="45" t="str">
        <f>_xlfn.XLOOKUP(A700,Output_Mac!A:A,Output_Mac!I:I,"")</f>
        <v/>
      </c>
      <c r="I700" s="45" t="str" cm="1">
        <f t="array" ref="I700">IFERROR(_xlfn.LET(
_xlpm.CSVVal,_xlfn.XLOOKUP($A700,CSV!$A:$A,CSV!H:H,""),
_xlpm.MacVal,_xlfn.XLOOKUP($A700,Output_Mac!$A:$A,Output_Mac!J:J,""),
_xlpm.MyAuditVal,_xlfn.XLOOKUP($A700,My_Audit!$A:$A,My_Audit!H:H,""),
_xlfn.IFS(_xlpm.MyAuditVal&lt;&gt;"",UPPER(_xlpm.MyAuditVal),_xlpm.MacVal&lt;&gt;"",_xlpm.MacVal,_xlpm.CSVVal&lt;&gt;"",_xlpm.CSVVal
)),"")</f>
        <v/>
      </c>
      <c r="J700" s="45" t="str" cm="1">
        <f t="array" ref="J700">IFERROR(_xlfn.LET(
_xlpm.CSVVal,_xlfn.XLOOKUP($A700,CSV!$A:$A,CSV!J:J,""),
_xlpm.MacVal,_xlfn.XLOOKUP($A700,Output_Mac!$A:$A,Output_Mac!K:K,""),
_xlpm.MyAuditVal,_xlfn.XLOOKUP($A700,My_Audit!$A:$A,My_Audit!I:I,""),
_xlfn.IFS(_xlpm.MyAuditVal&lt;&gt;"",UPPER(_xlpm.MyAuditVal),_xlpm.MacVal&lt;&gt;"",_xlpm.MacVal,_xlpm.CSVVal&lt;&gt;"",_xlpm.CSVVal
)),"")</f>
        <v/>
      </c>
      <c r="K700" s="45" t="str" cm="1">
        <f t="array" ref="K700">IFERROR(_xlfn.LET(
_xlpm.CSVVal,_xlfn.XLOOKUP($A700,CSV!$A:$A,CSV!N:N,""),
_xlpm.MacVal,_xlfn.XLOOKUP($A700,Output_Mac!$A:$A,Output_Mac!L:L,""),
_xlpm.MyAuditVal,_xlfn.XLOOKUP($A700,My_Audit!$A:$A,My_Audit!J:J,""),
_xlfn.IFS(_xlpm.MyAuditVal&lt;&gt;"",UPPER(_xlpm.MyAuditVal),_xlpm.MacVal&lt;&gt;"",_xlpm.MacVal,_xlpm.CSVVal&lt;&gt;"",_xlpm.CSVVal
)),"")</f>
        <v/>
      </c>
      <c r="L700" s="45" t="str" cm="1">
        <f t="array" ref="L700">IFERROR(_xlfn.LET(
_xlpm.CSVVal,_xlfn.XLOOKUP($A700,CSV!$A:$A,CSV!P:P,""),
_xlpm.MacVal,_xlfn.XLOOKUP($A700,Output_Mac!$A:$A,Output_Mac!M:M,""),
_xlpm.MyAuditVal,_xlfn.XLOOKUP($A700,My_Audit!$A:$A,My_Audit!K:K,""),
_xlfn.IFS(_xlpm.MyAuditVal&lt;&gt;"",UPPER(_xlpm.MyAuditVal),_xlpm.MacVal&lt;&gt;"",_xlpm.MacVal,_xlpm.CSVVal&lt;&gt;"",_xlpm.CSVVal
)),"")</f>
        <v/>
      </c>
      <c r="M700" s="45" t="str">
        <f>_xlfn.LET(
    _xlpm.CSVVal, _xlfn.XLOOKUP($A700, CSV!$A:$A, CSV!AE:AE, ""),
    _xlpm.MacVal, _xlfn.XLOOKUP($A700, Output_Mac!$A:$A, Output_Mac!S:S, ""),
    _xlpm.MyAuditVal, _xlfn.XLOOKUP($A700, My_Audit!$A:$A, My_Audit!N:N, ""),
    _xlfn.TEXTJOIN(", ", TRUE, _xlpm.MyAuditVal, _xlpm.MacVal, _xlpm.CSVVal)
)</f>
        <v/>
      </c>
      <c r="N700" s="45" t="str" cm="1">
        <f t="array" ref="N700">IFERROR(_xlfn.LET(
_xlpm.CSVVal,_xlfn.XLOOKUP($A700,CSV!$A:$A,CSV!AG:AG,""),
_xlpm.MacVal,_xlfn.XLOOKUP($A700,Output_Mac!$A:$A,Output_Mac!U:U,""),
_xlpm.MyAuditVal,_xlfn.XLOOKUP($A700,My_Audit!$A:$A,My_Audit!O:O,""),
_xlfn.IFS(_xlpm.MyAuditVal&lt;&gt;"",UPPER(_xlpm.MyAuditVal),_xlpm.MacVal&lt;&gt;"",_xlpm.MacVal,_xlpm.CSVVal&lt;&gt;"",_xlpm.CSVVal
)),"")</f>
        <v/>
      </c>
      <c r="O700" s="45"/>
      <c r="P700" s="45"/>
      <c r="Q700" s="46" t="str">
        <f>IF(LEFT(N700,4)="Pass","Nist SP 800-88",My_Audit!R700)&amp;""</f>
        <v/>
      </c>
      <c r="R700" s="45"/>
      <c r="S700" s="45"/>
      <c r="T700" s="46" t="str">
        <f>_xlfn.XLOOKUP(E700,Models!I:I,Models!J:J,"")</f>
        <v/>
      </c>
      <c r="U700" s="45"/>
      <c r="V700" s="45"/>
      <c r="W700" s="38"/>
    </row>
    <row r="701" spans="1:23">
      <c r="A701" s="45" t="str">
        <f>_xlfn.TEXTJOIN("",TRUE,Input!$B$2,ROW(My_Audit!A700))</f>
        <v>XX700</v>
      </c>
      <c r="B701" s="45" t="str">
        <f>_xlfn.TEXTJOIN("-",TRUE,"ITD",Input!$A$2,A701)</f>
        <v>ITD-SHRXXX-XX700</v>
      </c>
      <c r="C701" s="45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46" t="str" cm="1">
        <f t="array" ref="D701">IFERROR(_xlfn.LET(
_xlpm.CSVVal,_xlfn.XLOOKUP($A701,CSV!$A:$A,CSV!C:C,""),
_xlpm.MacVal,_xlfn.XLOOKUP($A701,Output_Mac!$A:$A,Output_Mac!D:D,""),
_xlpm.MyAuditVal,_xlfn.XLOOKUP($A701,My_Audit!$A:$A,My_Audit!C:C,""),
_xlfn.IFS(_xlpm.MyAuditVal&lt;&gt;"",UPPER(_xlpm.MyAuditVal),_xlpm.MacVal&lt;&gt;"",_xlpm.MacVal,_xlpm.CSVVal&lt;&gt;"",_xlpm.CSVVal
)),"")</f>
        <v/>
      </c>
      <c r="E701" s="46" t="str" cm="1">
        <f t="array" ref="E701">IFERROR(_xlfn.LET(
_xlpm.CSVVal,_xlfn.XLOOKUP($A701,CSV!$A:$A,CSV!E:E,""),
_xlpm.MacVal,_xlfn.XLOOKUP($A701,Output_Mac!$A:$A,Output_Mac!C:C,""),
_xlpm.MyAuditVal,_xlfn.XLOOKUP($A701,My_Audit!$A:$A,My_Audit!D:D,""),
_xlfn.IFS(_xlpm.MyAuditVal&lt;&gt;"",_xlpm.MyAuditVal,_xlpm.MacVal&lt;&gt;"",_xlpm.MacVal,_xlpm.CSVVal&lt;&gt;"",_xlpm.CSVVal
)),"")</f>
        <v/>
      </c>
      <c r="F701" s="45" t="str" cm="1">
        <f t="array" ref="F701">IFERROR(_xlfn.LET(
_xlpm.CSVVal,_xlfn.XLOOKUP($A701,CSV!$A:$A,CSV!F:F,""),
_xlpm.MacVal,_xlfn.XLOOKUP($A701,Output_Mac!$A:$A,Output_Mac!F:F,""),
_xlpm.MyAuditVal,_xlfn.XLOOKUP($A701,My_Audit!$A:$A,My_Audit!E:E,""),
_xlfn.IFS(_xlpm.MyAuditVal&lt;&gt;"",_xlpm.MyAuditVal,_xlpm.MacVal&lt;&gt;"",_xlpm.MacVal,_xlpm.CSVVal&lt;&gt;"",PROPER(_xlpm.CSVVal)
)),"")</f>
        <v/>
      </c>
      <c r="G701" s="45" t="str" cm="1">
        <f t="array" ref="G701">IFERROR(_xlfn.LET(
_xlpm.CSVVal,_xlfn.XLOOKUP($A701,CSV!$A:$A,CSV!G:G,""),
_xlpm.MacVal,_xlfn.XLOOKUP($A701,Output_Mac!$A:$A,Output_Mac!H:H,""),
_xlpm.MyAuditVal,_xlfn.XLOOKUP($A701,My_Audit!$A:$A,My_Audit!F:F,""),
_xlfn.IFS(_xlpm.MyAuditVal&lt;&gt;"",_xlpm.MyAuditVal,_xlpm.MacVal&lt;&gt;"",_xlpm.MacVal,_xlpm.CSVVal&lt;&gt;"",_xlpm.CSVVal
)),"")</f>
        <v/>
      </c>
      <c r="H701" s="45" t="str">
        <f>_xlfn.XLOOKUP(A701,Output_Mac!A:A,Output_Mac!I:I,"")</f>
        <v/>
      </c>
      <c r="I701" s="45" t="str" cm="1">
        <f t="array" ref="I701">IFERROR(_xlfn.LET(
_xlpm.CSVVal,_xlfn.XLOOKUP($A701,CSV!$A:$A,CSV!H:H,""),
_xlpm.MacVal,_xlfn.XLOOKUP($A701,Output_Mac!$A:$A,Output_Mac!J:J,""),
_xlpm.MyAuditVal,_xlfn.XLOOKUP($A701,My_Audit!$A:$A,My_Audit!H:H,""),
_xlfn.IFS(_xlpm.MyAuditVal&lt;&gt;"",UPPER(_xlpm.MyAuditVal),_xlpm.MacVal&lt;&gt;"",_xlpm.MacVal,_xlpm.CSVVal&lt;&gt;"",_xlpm.CSVVal
)),"")</f>
        <v/>
      </c>
      <c r="J701" s="45" t="str" cm="1">
        <f t="array" ref="J701">IFERROR(_xlfn.LET(
_xlpm.CSVVal,_xlfn.XLOOKUP($A701,CSV!$A:$A,CSV!J:J,""),
_xlpm.MacVal,_xlfn.XLOOKUP($A701,Output_Mac!$A:$A,Output_Mac!K:K,""),
_xlpm.MyAuditVal,_xlfn.XLOOKUP($A701,My_Audit!$A:$A,My_Audit!I:I,""),
_xlfn.IFS(_xlpm.MyAuditVal&lt;&gt;"",UPPER(_xlpm.MyAuditVal),_xlpm.MacVal&lt;&gt;"",_xlpm.MacVal,_xlpm.CSVVal&lt;&gt;"",_xlpm.CSVVal
)),"")</f>
        <v/>
      </c>
      <c r="K701" s="45" t="str" cm="1">
        <f t="array" ref="K701">IFERROR(_xlfn.LET(
_xlpm.CSVVal,_xlfn.XLOOKUP($A701,CSV!$A:$A,CSV!N:N,""),
_xlpm.MacVal,_xlfn.XLOOKUP($A701,Output_Mac!$A:$A,Output_Mac!L:L,""),
_xlpm.MyAuditVal,_xlfn.XLOOKUP($A701,My_Audit!$A:$A,My_Audit!J:J,""),
_xlfn.IFS(_xlpm.MyAuditVal&lt;&gt;"",UPPER(_xlpm.MyAuditVal),_xlpm.MacVal&lt;&gt;"",_xlpm.MacVal,_xlpm.CSVVal&lt;&gt;"",_xlpm.CSVVal
)),"")</f>
        <v/>
      </c>
      <c r="L701" s="45" t="str" cm="1">
        <f t="array" ref="L701">IFERROR(_xlfn.LET(
_xlpm.CSVVal,_xlfn.XLOOKUP($A701,CSV!$A:$A,CSV!P:P,""),
_xlpm.MacVal,_xlfn.XLOOKUP($A701,Output_Mac!$A:$A,Output_Mac!M:M,""),
_xlpm.MyAuditVal,_xlfn.XLOOKUP($A701,My_Audit!$A:$A,My_Audit!K:K,""),
_xlfn.IFS(_xlpm.MyAuditVal&lt;&gt;"",UPPER(_xlpm.MyAuditVal),_xlpm.MacVal&lt;&gt;"",_xlpm.MacVal,_xlpm.CSVVal&lt;&gt;"",_xlpm.CSVVal
)),"")</f>
        <v/>
      </c>
      <c r="M701" s="45" t="str">
        <f>_xlfn.LET(
    _xlpm.CSVVal, _xlfn.XLOOKUP($A701, CSV!$A:$A, CSV!AE:AE, ""),
    _xlpm.MacVal, _xlfn.XLOOKUP($A701, Output_Mac!$A:$A, Output_Mac!S:S, ""),
    _xlpm.MyAuditVal, _xlfn.XLOOKUP($A701, My_Audit!$A:$A, My_Audit!N:N, ""),
    _xlfn.TEXTJOIN(", ", TRUE, _xlpm.MyAuditVal, _xlpm.MacVal, _xlpm.CSVVal)
)</f>
        <v/>
      </c>
      <c r="N701" s="45" t="str" cm="1">
        <f t="array" ref="N701">IFERROR(_xlfn.LET(
_xlpm.CSVVal,_xlfn.XLOOKUP($A701,CSV!$A:$A,CSV!AG:AG,""),
_xlpm.MacVal,_xlfn.XLOOKUP($A701,Output_Mac!$A:$A,Output_Mac!U:U,""),
_xlpm.MyAuditVal,_xlfn.XLOOKUP($A701,My_Audit!$A:$A,My_Audit!O:O,""),
_xlfn.IFS(_xlpm.MyAuditVal&lt;&gt;"",UPPER(_xlpm.MyAuditVal),_xlpm.MacVal&lt;&gt;"",_xlpm.MacVal,_xlpm.CSVVal&lt;&gt;"",_xlpm.CSVVal
)),"")</f>
        <v/>
      </c>
      <c r="O701" s="45"/>
      <c r="P701" s="45"/>
      <c r="Q701" s="46" t="str">
        <f>IF(LEFT(N701,4)="Pass","Nist SP 800-88",My_Audit!R701)&amp;""</f>
        <v/>
      </c>
      <c r="R701" s="45"/>
      <c r="S701" s="45"/>
      <c r="T701" s="46" t="str">
        <f>_xlfn.XLOOKUP(E701,Models!I:I,Models!J:J,"")</f>
        <v/>
      </c>
      <c r="U701" s="45"/>
      <c r="V701" s="45"/>
      <c r="W701" s="38"/>
    </row>
    <row r="702" spans="1:23">
      <c r="A702" s="45" t="str">
        <f>_xlfn.TEXTJOIN("",TRUE,Input!$B$2,ROW(My_Audit!A701))</f>
        <v>XX701</v>
      </c>
      <c r="B702" s="45" t="str">
        <f>_xlfn.TEXTJOIN("-",TRUE,"ITD",Input!$A$2,A702)</f>
        <v>ITD-SHRXXX-XX701</v>
      </c>
      <c r="C702" s="45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46" t="str" cm="1">
        <f t="array" ref="D702">IFERROR(_xlfn.LET(
_xlpm.CSVVal,_xlfn.XLOOKUP($A702,CSV!$A:$A,CSV!C:C,""),
_xlpm.MacVal,_xlfn.XLOOKUP($A702,Output_Mac!$A:$A,Output_Mac!D:D,""),
_xlpm.MyAuditVal,_xlfn.XLOOKUP($A702,My_Audit!$A:$A,My_Audit!C:C,""),
_xlfn.IFS(_xlpm.MyAuditVal&lt;&gt;"",UPPER(_xlpm.MyAuditVal),_xlpm.MacVal&lt;&gt;"",_xlpm.MacVal,_xlpm.CSVVal&lt;&gt;"",_xlpm.CSVVal
)),"")</f>
        <v/>
      </c>
      <c r="E702" s="46" t="str" cm="1">
        <f t="array" ref="E702">IFERROR(_xlfn.LET(
_xlpm.CSVVal,_xlfn.XLOOKUP($A702,CSV!$A:$A,CSV!E:E,""),
_xlpm.MacVal,_xlfn.XLOOKUP($A702,Output_Mac!$A:$A,Output_Mac!C:C,""),
_xlpm.MyAuditVal,_xlfn.XLOOKUP($A702,My_Audit!$A:$A,My_Audit!D:D,""),
_xlfn.IFS(_xlpm.MyAuditVal&lt;&gt;"",_xlpm.MyAuditVal,_xlpm.MacVal&lt;&gt;"",_xlpm.MacVal,_xlpm.CSVVal&lt;&gt;"",_xlpm.CSVVal
)),"")</f>
        <v/>
      </c>
      <c r="F702" s="45" t="str" cm="1">
        <f t="array" ref="F702">IFERROR(_xlfn.LET(
_xlpm.CSVVal,_xlfn.XLOOKUP($A702,CSV!$A:$A,CSV!F:F,""),
_xlpm.MacVal,_xlfn.XLOOKUP($A702,Output_Mac!$A:$A,Output_Mac!F:F,""),
_xlpm.MyAuditVal,_xlfn.XLOOKUP($A702,My_Audit!$A:$A,My_Audit!E:E,""),
_xlfn.IFS(_xlpm.MyAuditVal&lt;&gt;"",_xlpm.MyAuditVal,_xlpm.MacVal&lt;&gt;"",_xlpm.MacVal,_xlpm.CSVVal&lt;&gt;"",PROPER(_xlpm.CSVVal)
)),"")</f>
        <v/>
      </c>
      <c r="G702" s="45" t="str" cm="1">
        <f t="array" ref="G702">IFERROR(_xlfn.LET(
_xlpm.CSVVal,_xlfn.XLOOKUP($A702,CSV!$A:$A,CSV!G:G,""),
_xlpm.MacVal,_xlfn.XLOOKUP($A702,Output_Mac!$A:$A,Output_Mac!H:H,""),
_xlpm.MyAuditVal,_xlfn.XLOOKUP($A702,My_Audit!$A:$A,My_Audit!F:F,""),
_xlfn.IFS(_xlpm.MyAuditVal&lt;&gt;"",_xlpm.MyAuditVal,_xlpm.MacVal&lt;&gt;"",_xlpm.MacVal,_xlpm.CSVVal&lt;&gt;"",_xlpm.CSVVal
)),"")</f>
        <v/>
      </c>
      <c r="H702" s="45" t="str">
        <f>_xlfn.XLOOKUP(A702,Output_Mac!A:A,Output_Mac!I:I,"")</f>
        <v/>
      </c>
      <c r="I702" s="45" t="str" cm="1">
        <f t="array" ref="I702">IFERROR(_xlfn.LET(
_xlpm.CSVVal,_xlfn.XLOOKUP($A702,CSV!$A:$A,CSV!H:H,""),
_xlpm.MacVal,_xlfn.XLOOKUP($A702,Output_Mac!$A:$A,Output_Mac!J:J,""),
_xlpm.MyAuditVal,_xlfn.XLOOKUP($A702,My_Audit!$A:$A,My_Audit!H:H,""),
_xlfn.IFS(_xlpm.MyAuditVal&lt;&gt;"",UPPER(_xlpm.MyAuditVal),_xlpm.MacVal&lt;&gt;"",_xlpm.MacVal,_xlpm.CSVVal&lt;&gt;"",_xlpm.CSVVal
)),"")</f>
        <v/>
      </c>
      <c r="J702" s="45" t="str" cm="1">
        <f t="array" ref="J702">IFERROR(_xlfn.LET(
_xlpm.CSVVal,_xlfn.XLOOKUP($A702,CSV!$A:$A,CSV!J:J,""),
_xlpm.MacVal,_xlfn.XLOOKUP($A702,Output_Mac!$A:$A,Output_Mac!K:K,""),
_xlpm.MyAuditVal,_xlfn.XLOOKUP($A702,My_Audit!$A:$A,My_Audit!I:I,""),
_xlfn.IFS(_xlpm.MyAuditVal&lt;&gt;"",UPPER(_xlpm.MyAuditVal),_xlpm.MacVal&lt;&gt;"",_xlpm.MacVal,_xlpm.CSVVal&lt;&gt;"",_xlpm.CSVVal
)),"")</f>
        <v/>
      </c>
      <c r="K702" s="45" t="str" cm="1">
        <f t="array" ref="K702">IFERROR(_xlfn.LET(
_xlpm.CSVVal,_xlfn.XLOOKUP($A702,CSV!$A:$A,CSV!N:N,""),
_xlpm.MacVal,_xlfn.XLOOKUP($A702,Output_Mac!$A:$A,Output_Mac!L:L,""),
_xlpm.MyAuditVal,_xlfn.XLOOKUP($A702,My_Audit!$A:$A,My_Audit!J:J,""),
_xlfn.IFS(_xlpm.MyAuditVal&lt;&gt;"",UPPER(_xlpm.MyAuditVal),_xlpm.MacVal&lt;&gt;"",_xlpm.MacVal,_xlpm.CSVVal&lt;&gt;"",_xlpm.CSVVal
)),"")</f>
        <v/>
      </c>
      <c r="L702" s="45" t="str" cm="1">
        <f t="array" ref="L702">IFERROR(_xlfn.LET(
_xlpm.CSVVal,_xlfn.XLOOKUP($A702,CSV!$A:$A,CSV!P:P,""),
_xlpm.MacVal,_xlfn.XLOOKUP($A702,Output_Mac!$A:$A,Output_Mac!M:M,""),
_xlpm.MyAuditVal,_xlfn.XLOOKUP($A702,My_Audit!$A:$A,My_Audit!K:K,""),
_xlfn.IFS(_xlpm.MyAuditVal&lt;&gt;"",UPPER(_xlpm.MyAuditVal),_xlpm.MacVal&lt;&gt;"",_xlpm.MacVal,_xlpm.CSVVal&lt;&gt;"",_xlpm.CSVVal
)),"")</f>
        <v/>
      </c>
      <c r="M702" s="45" t="str">
        <f>_xlfn.LET(
    _xlpm.CSVVal, _xlfn.XLOOKUP($A702, CSV!$A:$A, CSV!AE:AE, ""),
    _xlpm.MacVal, _xlfn.XLOOKUP($A702, Output_Mac!$A:$A, Output_Mac!S:S, ""),
    _xlpm.MyAuditVal, _xlfn.XLOOKUP($A702, My_Audit!$A:$A, My_Audit!N:N, ""),
    _xlfn.TEXTJOIN(", ", TRUE, _xlpm.MyAuditVal, _xlpm.MacVal, _xlpm.CSVVal)
)</f>
        <v/>
      </c>
      <c r="N702" s="45" t="str" cm="1">
        <f t="array" ref="N702">IFERROR(_xlfn.LET(
_xlpm.CSVVal,_xlfn.XLOOKUP($A702,CSV!$A:$A,CSV!AG:AG,""),
_xlpm.MacVal,_xlfn.XLOOKUP($A702,Output_Mac!$A:$A,Output_Mac!U:U,""),
_xlpm.MyAuditVal,_xlfn.XLOOKUP($A702,My_Audit!$A:$A,My_Audit!O:O,""),
_xlfn.IFS(_xlpm.MyAuditVal&lt;&gt;"",UPPER(_xlpm.MyAuditVal),_xlpm.MacVal&lt;&gt;"",_xlpm.MacVal,_xlpm.CSVVal&lt;&gt;"",_xlpm.CSVVal
)),"")</f>
        <v/>
      </c>
      <c r="O702" s="45"/>
      <c r="P702" s="45"/>
      <c r="Q702" s="46" t="str">
        <f>IF(LEFT(N702,4)="Pass","Nist SP 800-88",My_Audit!R702)&amp;""</f>
        <v/>
      </c>
      <c r="R702" s="45"/>
      <c r="S702" s="45"/>
      <c r="T702" s="46" t="str">
        <f>_xlfn.XLOOKUP(E702,Models!I:I,Models!J:J,"")</f>
        <v/>
      </c>
      <c r="U702" s="45"/>
      <c r="V702" s="45"/>
      <c r="W702" s="38"/>
    </row>
    <row r="703" spans="1:23">
      <c r="A703" s="45" t="str">
        <f>_xlfn.TEXTJOIN("",TRUE,Input!$B$2,ROW(My_Audit!A702))</f>
        <v>XX702</v>
      </c>
      <c r="B703" s="45" t="str">
        <f>_xlfn.TEXTJOIN("-",TRUE,"ITD",Input!$A$2,A703)</f>
        <v>ITD-SHRXXX-XX702</v>
      </c>
      <c r="C703" s="45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46" t="str" cm="1">
        <f t="array" ref="D703">IFERROR(_xlfn.LET(
_xlpm.CSVVal,_xlfn.XLOOKUP($A703,CSV!$A:$A,CSV!C:C,""),
_xlpm.MacVal,_xlfn.XLOOKUP($A703,Output_Mac!$A:$A,Output_Mac!D:D,""),
_xlpm.MyAuditVal,_xlfn.XLOOKUP($A703,My_Audit!$A:$A,My_Audit!C:C,""),
_xlfn.IFS(_xlpm.MyAuditVal&lt;&gt;"",UPPER(_xlpm.MyAuditVal),_xlpm.MacVal&lt;&gt;"",_xlpm.MacVal,_xlpm.CSVVal&lt;&gt;"",_xlpm.CSVVal
)),"")</f>
        <v/>
      </c>
      <c r="E703" s="46" t="str" cm="1">
        <f t="array" ref="E703">IFERROR(_xlfn.LET(
_xlpm.CSVVal,_xlfn.XLOOKUP($A703,CSV!$A:$A,CSV!E:E,""),
_xlpm.MacVal,_xlfn.XLOOKUP($A703,Output_Mac!$A:$A,Output_Mac!C:C,""),
_xlpm.MyAuditVal,_xlfn.XLOOKUP($A703,My_Audit!$A:$A,My_Audit!D:D,""),
_xlfn.IFS(_xlpm.MyAuditVal&lt;&gt;"",_xlpm.MyAuditVal,_xlpm.MacVal&lt;&gt;"",_xlpm.MacVal,_xlpm.CSVVal&lt;&gt;"",_xlpm.CSVVal
)),"")</f>
        <v/>
      </c>
      <c r="F703" s="45" t="str" cm="1">
        <f t="array" ref="F703">IFERROR(_xlfn.LET(
_xlpm.CSVVal,_xlfn.XLOOKUP($A703,CSV!$A:$A,CSV!F:F,""),
_xlpm.MacVal,_xlfn.XLOOKUP($A703,Output_Mac!$A:$A,Output_Mac!F:F,""),
_xlpm.MyAuditVal,_xlfn.XLOOKUP($A703,My_Audit!$A:$A,My_Audit!E:E,""),
_xlfn.IFS(_xlpm.MyAuditVal&lt;&gt;"",_xlpm.MyAuditVal,_xlpm.MacVal&lt;&gt;"",_xlpm.MacVal,_xlpm.CSVVal&lt;&gt;"",PROPER(_xlpm.CSVVal)
)),"")</f>
        <v/>
      </c>
      <c r="G703" s="45" t="str" cm="1">
        <f t="array" ref="G703">IFERROR(_xlfn.LET(
_xlpm.CSVVal,_xlfn.XLOOKUP($A703,CSV!$A:$A,CSV!G:G,""),
_xlpm.MacVal,_xlfn.XLOOKUP($A703,Output_Mac!$A:$A,Output_Mac!H:H,""),
_xlpm.MyAuditVal,_xlfn.XLOOKUP($A703,My_Audit!$A:$A,My_Audit!F:F,""),
_xlfn.IFS(_xlpm.MyAuditVal&lt;&gt;"",_xlpm.MyAuditVal,_xlpm.MacVal&lt;&gt;"",_xlpm.MacVal,_xlpm.CSVVal&lt;&gt;"",_xlpm.CSVVal
)),"")</f>
        <v/>
      </c>
      <c r="H703" s="45" t="str">
        <f>_xlfn.XLOOKUP(A703,Output_Mac!A:A,Output_Mac!I:I,"")</f>
        <v/>
      </c>
      <c r="I703" s="45" t="str" cm="1">
        <f t="array" ref="I703">IFERROR(_xlfn.LET(
_xlpm.CSVVal,_xlfn.XLOOKUP($A703,CSV!$A:$A,CSV!H:H,""),
_xlpm.MacVal,_xlfn.XLOOKUP($A703,Output_Mac!$A:$A,Output_Mac!J:J,""),
_xlpm.MyAuditVal,_xlfn.XLOOKUP($A703,My_Audit!$A:$A,My_Audit!H:H,""),
_xlfn.IFS(_xlpm.MyAuditVal&lt;&gt;"",UPPER(_xlpm.MyAuditVal),_xlpm.MacVal&lt;&gt;"",_xlpm.MacVal,_xlpm.CSVVal&lt;&gt;"",_xlpm.CSVVal
)),"")</f>
        <v/>
      </c>
      <c r="J703" s="45" t="str" cm="1">
        <f t="array" ref="J703">IFERROR(_xlfn.LET(
_xlpm.CSVVal,_xlfn.XLOOKUP($A703,CSV!$A:$A,CSV!J:J,""),
_xlpm.MacVal,_xlfn.XLOOKUP($A703,Output_Mac!$A:$A,Output_Mac!K:K,""),
_xlpm.MyAuditVal,_xlfn.XLOOKUP($A703,My_Audit!$A:$A,My_Audit!I:I,""),
_xlfn.IFS(_xlpm.MyAuditVal&lt;&gt;"",UPPER(_xlpm.MyAuditVal),_xlpm.MacVal&lt;&gt;"",_xlpm.MacVal,_xlpm.CSVVal&lt;&gt;"",_xlpm.CSVVal
)),"")</f>
        <v/>
      </c>
      <c r="K703" s="45" t="str" cm="1">
        <f t="array" ref="K703">IFERROR(_xlfn.LET(
_xlpm.CSVVal,_xlfn.XLOOKUP($A703,CSV!$A:$A,CSV!N:N,""),
_xlpm.MacVal,_xlfn.XLOOKUP($A703,Output_Mac!$A:$A,Output_Mac!L:L,""),
_xlpm.MyAuditVal,_xlfn.XLOOKUP($A703,My_Audit!$A:$A,My_Audit!J:J,""),
_xlfn.IFS(_xlpm.MyAuditVal&lt;&gt;"",UPPER(_xlpm.MyAuditVal),_xlpm.MacVal&lt;&gt;"",_xlpm.MacVal,_xlpm.CSVVal&lt;&gt;"",_xlpm.CSVVal
)),"")</f>
        <v/>
      </c>
      <c r="L703" s="45" t="str" cm="1">
        <f t="array" ref="L703">IFERROR(_xlfn.LET(
_xlpm.CSVVal,_xlfn.XLOOKUP($A703,CSV!$A:$A,CSV!P:P,""),
_xlpm.MacVal,_xlfn.XLOOKUP($A703,Output_Mac!$A:$A,Output_Mac!M:M,""),
_xlpm.MyAuditVal,_xlfn.XLOOKUP($A703,My_Audit!$A:$A,My_Audit!K:K,""),
_xlfn.IFS(_xlpm.MyAuditVal&lt;&gt;"",UPPER(_xlpm.MyAuditVal),_xlpm.MacVal&lt;&gt;"",_xlpm.MacVal,_xlpm.CSVVal&lt;&gt;"",_xlpm.CSVVal
)),"")</f>
        <v/>
      </c>
      <c r="M703" s="45" t="str">
        <f>_xlfn.LET(
    _xlpm.CSVVal, _xlfn.XLOOKUP($A703, CSV!$A:$A, CSV!AE:AE, ""),
    _xlpm.MacVal, _xlfn.XLOOKUP($A703, Output_Mac!$A:$A, Output_Mac!S:S, ""),
    _xlpm.MyAuditVal, _xlfn.XLOOKUP($A703, My_Audit!$A:$A, My_Audit!N:N, ""),
    _xlfn.TEXTJOIN(", ", TRUE, _xlpm.MyAuditVal, _xlpm.MacVal, _xlpm.CSVVal)
)</f>
        <v/>
      </c>
      <c r="N703" s="45" t="str" cm="1">
        <f t="array" ref="N703">IFERROR(_xlfn.LET(
_xlpm.CSVVal,_xlfn.XLOOKUP($A703,CSV!$A:$A,CSV!AG:AG,""),
_xlpm.MacVal,_xlfn.XLOOKUP($A703,Output_Mac!$A:$A,Output_Mac!U:U,""),
_xlpm.MyAuditVal,_xlfn.XLOOKUP($A703,My_Audit!$A:$A,My_Audit!O:O,""),
_xlfn.IFS(_xlpm.MyAuditVal&lt;&gt;"",UPPER(_xlpm.MyAuditVal),_xlpm.MacVal&lt;&gt;"",_xlpm.MacVal,_xlpm.CSVVal&lt;&gt;"",_xlpm.CSVVal
)),"")</f>
        <v/>
      </c>
      <c r="O703" s="45"/>
      <c r="P703" s="45"/>
      <c r="Q703" s="46" t="str">
        <f>IF(LEFT(N703,4)="Pass","Nist SP 800-88",My_Audit!R703)&amp;""</f>
        <v/>
      </c>
      <c r="R703" s="45"/>
      <c r="S703" s="45"/>
      <c r="T703" s="46" t="str">
        <f>_xlfn.XLOOKUP(E703,Models!I:I,Models!J:J,"")</f>
        <v/>
      </c>
      <c r="U703" s="45"/>
      <c r="V703" s="45"/>
      <c r="W703" s="38"/>
    </row>
    <row r="704" spans="1:23">
      <c r="A704" s="45" t="str">
        <f>_xlfn.TEXTJOIN("",TRUE,Input!$B$2,ROW(My_Audit!A703))</f>
        <v>XX703</v>
      </c>
      <c r="B704" s="45" t="str">
        <f>_xlfn.TEXTJOIN("-",TRUE,"ITD",Input!$A$2,A704)</f>
        <v>ITD-SHRXXX-XX703</v>
      </c>
      <c r="C704" s="45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46" t="str" cm="1">
        <f t="array" ref="D704">IFERROR(_xlfn.LET(
_xlpm.CSVVal,_xlfn.XLOOKUP($A704,CSV!$A:$A,CSV!C:C,""),
_xlpm.MacVal,_xlfn.XLOOKUP($A704,Output_Mac!$A:$A,Output_Mac!D:D,""),
_xlpm.MyAuditVal,_xlfn.XLOOKUP($A704,My_Audit!$A:$A,My_Audit!C:C,""),
_xlfn.IFS(_xlpm.MyAuditVal&lt;&gt;"",UPPER(_xlpm.MyAuditVal),_xlpm.MacVal&lt;&gt;"",_xlpm.MacVal,_xlpm.CSVVal&lt;&gt;"",_xlpm.CSVVal
)),"")</f>
        <v/>
      </c>
      <c r="E704" s="46" t="str" cm="1">
        <f t="array" ref="E704">IFERROR(_xlfn.LET(
_xlpm.CSVVal,_xlfn.XLOOKUP($A704,CSV!$A:$A,CSV!E:E,""),
_xlpm.MacVal,_xlfn.XLOOKUP($A704,Output_Mac!$A:$A,Output_Mac!C:C,""),
_xlpm.MyAuditVal,_xlfn.XLOOKUP($A704,My_Audit!$A:$A,My_Audit!D:D,""),
_xlfn.IFS(_xlpm.MyAuditVal&lt;&gt;"",_xlpm.MyAuditVal,_xlpm.MacVal&lt;&gt;"",_xlpm.MacVal,_xlpm.CSVVal&lt;&gt;"",_xlpm.CSVVal
)),"")</f>
        <v/>
      </c>
      <c r="F704" s="45" t="str" cm="1">
        <f t="array" ref="F704">IFERROR(_xlfn.LET(
_xlpm.CSVVal,_xlfn.XLOOKUP($A704,CSV!$A:$A,CSV!F:F,""),
_xlpm.MacVal,_xlfn.XLOOKUP($A704,Output_Mac!$A:$A,Output_Mac!F:F,""),
_xlpm.MyAuditVal,_xlfn.XLOOKUP($A704,My_Audit!$A:$A,My_Audit!E:E,""),
_xlfn.IFS(_xlpm.MyAuditVal&lt;&gt;"",_xlpm.MyAuditVal,_xlpm.MacVal&lt;&gt;"",_xlpm.MacVal,_xlpm.CSVVal&lt;&gt;"",PROPER(_xlpm.CSVVal)
)),"")</f>
        <v/>
      </c>
      <c r="G704" s="45" t="str" cm="1">
        <f t="array" ref="G704">IFERROR(_xlfn.LET(
_xlpm.CSVVal,_xlfn.XLOOKUP($A704,CSV!$A:$A,CSV!G:G,""),
_xlpm.MacVal,_xlfn.XLOOKUP($A704,Output_Mac!$A:$A,Output_Mac!H:H,""),
_xlpm.MyAuditVal,_xlfn.XLOOKUP($A704,My_Audit!$A:$A,My_Audit!F:F,""),
_xlfn.IFS(_xlpm.MyAuditVal&lt;&gt;"",_xlpm.MyAuditVal,_xlpm.MacVal&lt;&gt;"",_xlpm.MacVal,_xlpm.CSVVal&lt;&gt;"",_xlpm.CSVVal
)),"")</f>
        <v/>
      </c>
      <c r="H704" s="45" t="str">
        <f>_xlfn.XLOOKUP(A704,Output_Mac!A:A,Output_Mac!I:I,"")</f>
        <v/>
      </c>
      <c r="I704" s="45" t="str" cm="1">
        <f t="array" ref="I704">IFERROR(_xlfn.LET(
_xlpm.CSVVal,_xlfn.XLOOKUP($A704,CSV!$A:$A,CSV!H:H,""),
_xlpm.MacVal,_xlfn.XLOOKUP($A704,Output_Mac!$A:$A,Output_Mac!J:J,""),
_xlpm.MyAuditVal,_xlfn.XLOOKUP($A704,My_Audit!$A:$A,My_Audit!H:H,""),
_xlfn.IFS(_xlpm.MyAuditVal&lt;&gt;"",UPPER(_xlpm.MyAuditVal),_xlpm.MacVal&lt;&gt;"",_xlpm.MacVal,_xlpm.CSVVal&lt;&gt;"",_xlpm.CSVVal
)),"")</f>
        <v/>
      </c>
      <c r="J704" s="45" t="str" cm="1">
        <f t="array" ref="J704">IFERROR(_xlfn.LET(
_xlpm.CSVVal,_xlfn.XLOOKUP($A704,CSV!$A:$A,CSV!J:J,""),
_xlpm.MacVal,_xlfn.XLOOKUP($A704,Output_Mac!$A:$A,Output_Mac!K:K,""),
_xlpm.MyAuditVal,_xlfn.XLOOKUP($A704,My_Audit!$A:$A,My_Audit!I:I,""),
_xlfn.IFS(_xlpm.MyAuditVal&lt;&gt;"",UPPER(_xlpm.MyAuditVal),_xlpm.MacVal&lt;&gt;"",_xlpm.MacVal,_xlpm.CSVVal&lt;&gt;"",_xlpm.CSVVal
)),"")</f>
        <v/>
      </c>
      <c r="K704" s="45" t="str" cm="1">
        <f t="array" ref="K704">IFERROR(_xlfn.LET(
_xlpm.CSVVal,_xlfn.XLOOKUP($A704,CSV!$A:$A,CSV!N:N,""),
_xlpm.MacVal,_xlfn.XLOOKUP($A704,Output_Mac!$A:$A,Output_Mac!L:L,""),
_xlpm.MyAuditVal,_xlfn.XLOOKUP($A704,My_Audit!$A:$A,My_Audit!J:J,""),
_xlfn.IFS(_xlpm.MyAuditVal&lt;&gt;"",UPPER(_xlpm.MyAuditVal),_xlpm.MacVal&lt;&gt;"",_xlpm.MacVal,_xlpm.CSVVal&lt;&gt;"",_xlpm.CSVVal
)),"")</f>
        <v/>
      </c>
      <c r="L704" s="45" t="str" cm="1">
        <f t="array" ref="L704">IFERROR(_xlfn.LET(
_xlpm.CSVVal,_xlfn.XLOOKUP($A704,CSV!$A:$A,CSV!P:P,""),
_xlpm.MacVal,_xlfn.XLOOKUP($A704,Output_Mac!$A:$A,Output_Mac!M:M,""),
_xlpm.MyAuditVal,_xlfn.XLOOKUP($A704,My_Audit!$A:$A,My_Audit!K:K,""),
_xlfn.IFS(_xlpm.MyAuditVal&lt;&gt;"",UPPER(_xlpm.MyAuditVal),_xlpm.MacVal&lt;&gt;"",_xlpm.MacVal,_xlpm.CSVVal&lt;&gt;"",_xlpm.CSVVal
)),"")</f>
        <v/>
      </c>
      <c r="M704" s="45" t="str">
        <f>_xlfn.LET(
    _xlpm.CSVVal, _xlfn.XLOOKUP($A704, CSV!$A:$A, CSV!AE:AE, ""),
    _xlpm.MacVal, _xlfn.XLOOKUP($A704, Output_Mac!$A:$A, Output_Mac!S:S, ""),
    _xlpm.MyAuditVal, _xlfn.XLOOKUP($A704, My_Audit!$A:$A, My_Audit!N:N, ""),
    _xlfn.TEXTJOIN(", ", TRUE, _xlpm.MyAuditVal, _xlpm.MacVal, _xlpm.CSVVal)
)</f>
        <v/>
      </c>
      <c r="N704" s="45" t="str" cm="1">
        <f t="array" ref="N704">IFERROR(_xlfn.LET(
_xlpm.CSVVal,_xlfn.XLOOKUP($A704,CSV!$A:$A,CSV!AG:AG,""),
_xlpm.MacVal,_xlfn.XLOOKUP($A704,Output_Mac!$A:$A,Output_Mac!U:U,""),
_xlpm.MyAuditVal,_xlfn.XLOOKUP($A704,My_Audit!$A:$A,My_Audit!O:O,""),
_xlfn.IFS(_xlpm.MyAuditVal&lt;&gt;"",UPPER(_xlpm.MyAuditVal),_xlpm.MacVal&lt;&gt;"",_xlpm.MacVal,_xlpm.CSVVal&lt;&gt;"",_xlpm.CSVVal
)),"")</f>
        <v/>
      </c>
      <c r="O704" s="45"/>
      <c r="P704" s="45"/>
      <c r="Q704" s="46" t="str">
        <f>IF(LEFT(N704,4)="Pass","Nist SP 800-88",My_Audit!R704)&amp;""</f>
        <v/>
      </c>
      <c r="R704" s="45"/>
      <c r="S704" s="45"/>
      <c r="T704" s="46" t="str">
        <f>_xlfn.XLOOKUP(E704,Models!I:I,Models!J:J,"")</f>
        <v/>
      </c>
      <c r="U704" s="45"/>
      <c r="V704" s="45"/>
      <c r="W704" s="38"/>
    </row>
    <row r="705" spans="1:23">
      <c r="A705" s="45" t="str">
        <f>_xlfn.TEXTJOIN("",TRUE,Input!$B$2,ROW(My_Audit!A704))</f>
        <v>XX704</v>
      </c>
      <c r="B705" s="45" t="str">
        <f>_xlfn.TEXTJOIN("-",TRUE,"ITD",Input!$A$2,A705)</f>
        <v>ITD-SHRXXX-XX704</v>
      </c>
      <c r="C705" s="45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46" t="str" cm="1">
        <f t="array" ref="D705">IFERROR(_xlfn.LET(
_xlpm.CSVVal,_xlfn.XLOOKUP($A705,CSV!$A:$A,CSV!C:C,""),
_xlpm.MacVal,_xlfn.XLOOKUP($A705,Output_Mac!$A:$A,Output_Mac!D:D,""),
_xlpm.MyAuditVal,_xlfn.XLOOKUP($A705,My_Audit!$A:$A,My_Audit!C:C,""),
_xlfn.IFS(_xlpm.MyAuditVal&lt;&gt;"",UPPER(_xlpm.MyAuditVal),_xlpm.MacVal&lt;&gt;"",_xlpm.MacVal,_xlpm.CSVVal&lt;&gt;"",_xlpm.CSVVal
)),"")</f>
        <v/>
      </c>
      <c r="E705" s="46" t="str" cm="1">
        <f t="array" ref="E705">IFERROR(_xlfn.LET(
_xlpm.CSVVal,_xlfn.XLOOKUP($A705,CSV!$A:$A,CSV!E:E,""),
_xlpm.MacVal,_xlfn.XLOOKUP($A705,Output_Mac!$A:$A,Output_Mac!C:C,""),
_xlpm.MyAuditVal,_xlfn.XLOOKUP($A705,My_Audit!$A:$A,My_Audit!D:D,""),
_xlfn.IFS(_xlpm.MyAuditVal&lt;&gt;"",_xlpm.MyAuditVal,_xlpm.MacVal&lt;&gt;"",_xlpm.MacVal,_xlpm.CSVVal&lt;&gt;"",_xlpm.CSVVal
)),"")</f>
        <v/>
      </c>
      <c r="F705" s="45" t="str" cm="1">
        <f t="array" ref="F705">IFERROR(_xlfn.LET(
_xlpm.CSVVal,_xlfn.XLOOKUP($A705,CSV!$A:$A,CSV!F:F,""),
_xlpm.MacVal,_xlfn.XLOOKUP($A705,Output_Mac!$A:$A,Output_Mac!F:F,""),
_xlpm.MyAuditVal,_xlfn.XLOOKUP($A705,My_Audit!$A:$A,My_Audit!E:E,""),
_xlfn.IFS(_xlpm.MyAuditVal&lt;&gt;"",_xlpm.MyAuditVal,_xlpm.MacVal&lt;&gt;"",_xlpm.MacVal,_xlpm.CSVVal&lt;&gt;"",PROPER(_xlpm.CSVVal)
)),"")</f>
        <v/>
      </c>
      <c r="G705" s="45" t="str" cm="1">
        <f t="array" ref="G705">IFERROR(_xlfn.LET(
_xlpm.CSVVal,_xlfn.XLOOKUP($A705,CSV!$A:$A,CSV!G:G,""),
_xlpm.MacVal,_xlfn.XLOOKUP($A705,Output_Mac!$A:$A,Output_Mac!H:H,""),
_xlpm.MyAuditVal,_xlfn.XLOOKUP($A705,My_Audit!$A:$A,My_Audit!F:F,""),
_xlfn.IFS(_xlpm.MyAuditVal&lt;&gt;"",_xlpm.MyAuditVal,_xlpm.MacVal&lt;&gt;"",_xlpm.MacVal,_xlpm.CSVVal&lt;&gt;"",_xlpm.CSVVal
)),"")</f>
        <v/>
      </c>
      <c r="H705" s="45" t="str">
        <f>_xlfn.XLOOKUP(A705,Output_Mac!A:A,Output_Mac!I:I,"")</f>
        <v/>
      </c>
      <c r="I705" s="45" t="str" cm="1">
        <f t="array" ref="I705">IFERROR(_xlfn.LET(
_xlpm.CSVVal,_xlfn.XLOOKUP($A705,CSV!$A:$A,CSV!H:H,""),
_xlpm.MacVal,_xlfn.XLOOKUP($A705,Output_Mac!$A:$A,Output_Mac!J:J,""),
_xlpm.MyAuditVal,_xlfn.XLOOKUP($A705,My_Audit!$A:$A,My_Audit!H:H,""),
_xlfn.IFS(_xlpm.MyAuditVal&lt;&gt;"",UPPER(_xlpm.MyAuditVal),_xlpm.MacVal&lt;&gt;"",_xlpm.MacVal,_xlpm.CSVVal&lt;&gt;"",_xlpm.CSVVal
)),"")</f>
        <v/>
      </c>
      <c r="J705" s="45" t="str" cm="1">
        <f t="array" ref="J705">IFERROR(_xlfn.LET(
_xlpm.CSVVal,_xlfn.XLOOKUP($A705,CSV!$A:$A,CSV!J:J,""),
_xlpm.MacVal,_xlfn.XLOOKUP($A705,Output_Mac!$A:$A,Output_Mac!K:K,""),
_xlpm.MyAuditVal,_xlfn.XLOOKUP($A705,My_Audit!$A:$A,My_Audit!I:I,""),
_xlfn.IFS(_xlpm.MyAuditVal&lt;&gt;"",UPPER(_xlpm.MyAuditVal),_xlpm.MacVal&lt;&gt;"",_xlpm.MacVal,_xlpm.CSVVal&lt;&gt;"",_xlpm.CSVVal
)),"")</f>
        <v/>
      </c>
      <c r="K705" s="45" t="str" cm="1">
        <f t="array" ref="K705">IFERROR(_xlfn.LET(
_xlpm.CSVVal,_xlfn.XLOOKUP($A705,CSV!$A:$A,CSV!N:N,""),
_xlpm.MacVal,_xlfn.XLOOKUP($A705,Output_Mac!$A:$A,Output_Mac!L:L,""),
_xlpm.MyAuditVal,_xlfn.XLOOKUP($A705,My_Audit!$A:$A,My_Audit!J:J,""),
_xlfn.IFS(_xlpm.MyAuditVal&lt;&gt;"",UPPER(_xlpm.MyAuditVal),_xlpm.MacVal&lt;&gt;"",_xlpm.MacVal,_xlpm.CSVVal&lt;&gt;"",_xlpm.CSVVal
)),"")</f>
        <v/>
      </c>
      <c r="L705" s="45" t="str" cm="1">
        <f t="array" ref="L705">IFERROR(_xlfn.LET(
_xlpm.CSVVal,_xlfn.XLOOKUP($A705,CSV!$A:$A,CSV!P:P,""),
_xlpm.MacVal,_xlfn.XLOOKUP($A705,Output_Mac!$A:$A,Output_Mac!M:M,""),
_xlpm.MyAuditVal,_xlfn.XLOOKUP($A705,My_Audit!$A:$A,My_Audit!K:K,""),
_xlfn.IFS(_xlpm.MyAuditVal&lt;&gt;"",UPPER(_xlpm.MyAuditVal),_xlpm.MacVal&lt;&gt;"",_xlpm.MacVal,_xlpm.CSVVal&lt;&gt;"",_xlpm.CSVVal
)),"")</f>
        <v/>
      </c>
      <c r="M705" s="45" t="str">
        <f>_xlfn.LET(
    _xlpm.CSVVal, _xlfn.XLOOKUP($A705, CSV!$A:$A, CSV!AE:AE, ""),
    _xlpm.MacVal, _xlfn.XLOOKUP($A705, Output_Mac!$A:$A, Output_Mac!S:S, ""),
    _xlpm.MyAuditVal, _xlfn.XLOOKUP($A705, My_Audit!$A:$A, My_Audit!N:N, ""),
    _xlfn.TEXTJOIN(", ", TRUE, _xlpm.MyAuditVal, _xlpm.MacVal, _xlpm.CSVVal)
)</f>
        <v/>
      </c>
      <c r="N705" s="45" t="str" cm="1">
        <f t="array" ref="N705">IFERROR(_xlfn.LET(
_xlpm.CSVVal,_xlfn.XLOOKUP($A705,CSV!$A:$A,CSV!AG:AG,""),
_xlpm.MacVal,_xlfn.XLOOKUP($A705,Output_Mac!$A:$A,Output_Mac!U:U,""),
_xlpm.MyAuditVal,_xlfn.XLOOKUP($A705,My_Audit!$A:$A,My_Audit!O:O,""),
_xlfn.IFS(_xlpm.MyAuditVal&lt;&gt;"",UPPER(_xlpm.MyAuditVal),_xlpm.MacVal&lt;&gt;"",_xlpm.MacVal,_xlpm.CSVVal&lt;&gt;"",_xlpm.CSVVal
)),"")</f>
        <v/>
      </c>
      <c r="O705" s="45"/>
      <c r="P705" s="45"/>
      <c r="Q705" s="46" t="str">
        <f>IF(LEFT(N705,4)="Pass","Nist SP 800-88",My_Audit!R705)&amp;""</f>
        <v/>
      </c>
      <c r="R705" s="45"/>
      <c r="S705" s="45"/>
      <c r="T705" s="46" t="str">
        <f>_xlfn.XLOOKUP(E705,Models!I:I,Models!J:J,"")</f>
        <v/>
      </c>
      <c r="U705" s="45"/>
      <c r="V705" s="45"/>
      <c r="W705" s="38"/>
    </row>
    <row r="706" spans="1:23">
      <c r="A706" s="45" t="str">
        <f>_xlfn.TEXTJOIN("",TRUE,Input!$B$2,ROW(My_Audit!A705))</f>
        <v>XX705</v>
      </c>
      <c r="B706" s="45" t="str">
        <f>_xlfn.TEXTJOIN("-",TRUE,"ITD",Input!$A$2,A706)</f>
        <v>ITD-SHRXXX-XX705</v>
      </c>
      <c r="C706" s="45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46" t="str" cm="1">
        <f t="array" ref="D706">IFERROR(_xlfn.LET(
_xlpm.CSVVal,_xlfn.XLOOKUP($A706,CSV!$A:$A,CSV!C:C,""),
_xlpm.MacVal,_xlfn.XLOOKUP($A706,Output_Mac!$A:$A,Output_Mac!D:D,""),
_xlpm.MyAuditVal,_xlfn.XLOOKUP($A706,My_Audit!$A:$A,My_Audit!C:C,""),
_xlfn.IFS(_xlpm.MyAuditVal&lt;&gt;"",UPPER(_xlpm.MyAuditVal),_xlpm.MacVal&lt;&gt;"",_xlpm.MacVal,_xlpm.CSVVal&lt;&gt;"",_xlpm.CSVVal
)),"")</f>
        <v/>
      </c>
      <c r="E706" s="46" t="str" cm="1">
        <f t="array" ref="E706">IFERROR(_xlfn.LET(
_xlpm.CSVVal,_xlfn.XLOOKUP($A706,CSV!$A:$A,CSV!E:E,""),
_xlpm.MacVal,_xlfn.XLOOKUP($A706,Output_Mac!$A:$A,Output_Mac!C:C,""),
_xlpm.MyAuditVal,_xlfn.XLOOKUP($A706,My_Audit!$A:$A,My_Audit!D:D,""),
_xlfn.IFS(_xlpm.MyAuditVal&lt;&gt;"",_xlpm.MyAuditVal,_xlpm.MacVal&lt;&gt;"",_xlpm.MacVal,_xlpm.CSVVal&lt;&gt;"",_xlpm.CSVVal
)),"")</f>
        <v/>
      </c>
      <c r="F706" s="45" t="str" cm="1">
        <f t="array" ref="F706">IFERROR(_xlfn.LET(
_xlpm.CSVVal,_xlfn.XLOOKUP($A706,CSV!$A:$A,CSV!F:F,""),
_xlpm.MacVal,_xlfn.XLOOKUP($A706,Output_Mac!$A:$A,Output_Mac!F:F,""),
_xlpm.MyAuditVal,_xlfn.XLOOKUP($A706,My_Audit!$A:$A,My_Audit!E:E,""),
_xlfn.IFS(_xlpm.MyAuditVal&lt;&gt;"",_xlpm.MyAuditVal,_xlpm.MacVal&lt;&gt;"",_xlpm.MacVal,_xlpm.CSVVal&lt;&gt;"",PROPER(_xlpm.CSVVal)
)),"")</f>
        <v/>
      </c>
      <c r="G706" s="45" t="str" cm="1">
        <f t="array" ref="G706">IFERROR(_xlfn.LET(
_xlpm.CSVVal,_xlfn.XLOOKUP($A706,CSV!$A:$A,CSV!G:G,""),
_xlpm.MacVal,_xlfn.XLOOKUP($A706,Output_Mac!$A:$A,Output_Mac!H:H,""),
_xlpm.MyAuditVal,_xlfn.XLOOKUP($A706,My_Audit!$A:$A,My_Audit!F:F,""),
_xlfn.IFS(_xlpm.MyAuditVal&lt;&gt;"",_xlpm.MyAuditVal,_xlpm.MacVal&lt;&gt;"",_xlpm.MacVal,_xlpm.CSVVal&lt;&gt;"",_xlpm.CSVVal
)),"")</f>
        <v/>
      </c>
      <c r="H706" s="45" t="str">
        <f>_xlfn.XLOOKUP(A706,Output_Mac!A:A,Output_Mac!I:I,"")</f>
        <v/>
      </c>
      <c r="I706" s="45" t="str" cm="1">
        <f t="array" ref="I706">IFERROR(_xlfn.LET(
_xlpm.CSVVal,_xlfn.XLOOKUP($A706,CSV!$A:$A,CSV!H:H,""),
_xlpm.MacVal,_xlfn.XLOOKUP($A706,Output_Mac!$A:$A,Output_Mac!J:J,""),
_xlpm.MyAuditVal,_xlfn.XLOOKUP($A706,My_Audit!$A:$A,My_Audit!H:H,""),
_xlfn.IFS(_xlpm.MyAuditVal&lt;&gt;"",UPPER(_xlpm.MyAuditVal),_xlpm.MacVal&lt;&gt;"",_xlpm.MacVal,_xlpm.CSVVal&lt;&gt;"",_xlpm.CSVVal
)),"")</f>
        <v/>
      </c>
      <c r="J706" s="45" t="str" cm="1">
        <f t="array" ref="J706">IFERROR(_xlfn.LET(
_xlpm.CSVVal,_xlfn.XLOOKUP($A706,CSV!$A:$A,CSV!J:J,""),
_xlpm.MacVal,_xlfn.XLOOKUP($A706,Output_Mac!$A:$A,Output_Mac!K:K,""),
_xlpm.MyAuditVal,_xlfn.XLOOKUP($A706,My_Audit!$A:$A,My_Audit!I:I,""),
_xlfn.IFS(_xlpm.MyAuditVal&lt;&gt;"",UPPER(_xlpm.MyAuditVal),_xlpm.MacVal&lt;&gt;"",_xlpm.MacVal,_xlpm.CSVVal&lt;&gt;"",_xlpm.CSVVal
)),"")</f>
        <v/>
      </c>
      <c r="K706" s="45" t="str" cm="1">
        <f t="array" ref="K706">IFERROR(_xlfn.LET(
_xlpm.CSVVal,_xlfn.XLOOKUP($A706,CSV!$A:$A,CSV!N:N,""),
_xlpm.MacVal,_xlfn.XLOOKUP($A706,Output_Mac!$A:$A,Output_Mac!L:L,""),
_xlpm.MyAuditVal,_xlfn.XLOOKUP($A706,My_Audit!$A:$A,My_Audit!J:J,""),
_xlfn.IFS(_xlpm.MyAuditVal&lt;&gt;"",UPPER(_xlpm.MyAuditVal),_xlpm.MacVal&lt;&gt;"",_xlpm.MacVal,_xlpm.CSVVal&lt;&gt;"",_xlpm.CSVVal
)),"")</f>
        <v/>
      </c>
      <c r="L706" s="45" t="str" cm="1">
        <f t="array" ref="L706">IFERROR(_xlfn.LET(
_xlpm.CSVVal,_xlfn.XLOOKUP($A706,CSV!$A:$A,CSV!P:P,""),
_xlpm.MacVal,_xlfn.XLOOKUP($A706,Output_Mac!$A:$A,Output_Mac!M:M,""),
_xlpm.MyAuditVal,_xlfn.XLOOKUP($A706,My_Audit!$A:$A,My_Audit!K:K,""),
_xlfn.IFS(_xlpm.MyAuditVal&lt;&gt;"",UPPER(_xlpm.MyAuditVal),_xlpm.MacVal&lt;&gt;"",_xlpm.MacVal,_xlpm.CSVVal&lt;&gt;"",_xlpm.CSVVal
)),"")</f>
        <v/>
      </c>
      <c r="M706" s="45" t="str">
        <f>_xlfn.LET(
    _xlpm.CSVVal, _xlfn.XLOOKUP($A706, CSV!$A:$A, CSV!AE:AE, ""),
    _xlpm.MacVal, _xlfn.XLOOKUP($A706, Output_Mac!$A:$A, Output_Mac!S:S, ""),
    _xlpm.MyAuditVal, _xlfn.XLOOKUP($A706, My_Audit!$A:$A, My_Audit!N:N, ""),
    _xlfn.TEXTJOIN(", ", TRUE, _xlpm.MyAuditVal, _xlpm.MacVal, _xlpm.CSVVal)
)</f>
        <v/>
      </c>
      <c r="N706" s="45" t="str" cm="1">
        <f t="array" ref="N706">IFERROR(_xlfn.LET(
_xlpm.CSVVal,_xlfn.XLOOKUP($A706,CSV!$A:$A,CSV!AG:AG,""),
_xlpm.MacVal,_xlfn.XLOOKUP($A706,Output_Mac!$A:$A,Output_Mac!U:U,""),
_xlpm.MyAuditVal,_xlfn.XLOOKUP($A706,My_Audit!$A:$A,My_Audit!O:O,""),
_xlfn.IFS(_xlpm.MyAuditVal&lt;&gt;"",UPPER(_xlpm.MyAuditVal),_xlpm.MacVal&lt;&gt;"",_xlpm.MacVal,_xlpm.CSVVal&lt;&gt;"",_xlpm.CSVVal
)),"")</f>
        <v/>
      </c>
      <c r="O706" s="45"/>
      <c r="P706" s="45"/>
      <c r="Q706" s="46" t="str">
        <f>IF(LEFT(N706,4)="Pass","Nist SP 800-88",My_Audit!R706)&amp;""</f>
        <v/>
      </c>
      <c r="R706" s="45"/>
      <c r="S706" s="45"/>
      <c r="T706" s="46" t="str">
        <f>_xlfn.XLOOKUP(E706,Models!I:I,Models!J:J,"")</f>
        <v/>
      </c>
      <c r="U706" s="45"/>
      <c r="V706" s="45"/>
      <c r="W706" s="38"/>
    </row>
    <row r="707" spans="1:23">
      <c r="A707" s="45" t="str">
        <f>_xlfn.TEXTJOIN("",TRUE,Input!$B$2,ROW(My_Audit!A706))</f>
        <v>XX706</v>
      </c>
      <c r="B707" s="45" t="str">
        <f>_xlfn.TEXTJOIN("-",TRUE,"ITD",Input!$A$2,A707)</f>
        <v>ITD-SHRXXX-XX706</v>
      </c>
      <c r="C707" s="45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46" t="str" cm="1">
        <f t="array" ref="D707">IFERROR(_xlfn.LET(
_xlpm.CSVVal,_xlfn.XLOOKUP($A707,CSV!$A:$A,CSV!C:C,""),
_xlpm.MacVal,_xlfn.XLOOKUP($A707,Output_Mac!$A:$A,Output_Mac!D:D,""),
_xlpm.MyAuditVal,_xlfn.XLOOKUP($A707,My_Audit!$A:$A,My_Audit!C:C,""),
_xlfn.IFS(_xlpm.MyAuditVal&lt;&gt;"",UPPER(_xlpm.MyAuditVal),_xlpm.MacVal&lt;&gt;"",_xlpm.MacVal,_xlpm.CSVVal&lt;&gt;"",_xlpm.CSVVal
)),"")</f>
        <v/>
      </c>
      <c r="E707" s="46" t="str" cm="1">
        <f t="array" ref="E707">IFERROR(_xlfn.LET(
_xlpm.CSVVal,_xlfn.XLOOKUP($A707,CSV!$A:$A,CSV!E:E,""),
_xlpm.MacVal,_xlfn.XLOOKUP($A707,Output_Mac!$A:$A,Output_Mac!C:C,""),
_xlpm.MyAuditVal,_xlfn.XLOOKUP($A707,My_Audit!$A:$A,My_Audit!D:D,""),
_xlfn.IFS(_xlpm.MyAuditVal&lt;&gt;"",_xlpm.MyAuditVal,_xlpm.MacVal&lt;&gt;"",_xlpm.MacVal,_xlpm.CSVVal&lt;&gt;"",_xlpm.CSVVal
)),"")</f>
        <v/>
      </c>
      <c r="F707" s="45" t="str" cm="1">
        <f t="array" ref="F707">IFERROR(_xlfn.LET(
_xlpm.CSVVal,_xlfn.XLOOKUP($A707,CSV!$A:$A,CSV!F:F,""),
_xlpm.MacVal,_xlfn.XLOOKUP($A707,Output_Mac!$A:$A,Output_Mac!F:F,""),
_xlpm.MyAuditVal,_xlfn.XLOOKUP($A707,My_Audit!$A:$A,My_Audit!E:E,""),
_xlfn.IFS(_xlpm.MyAuditVal&lt;&gt;"",_xlpm.MyAuditVal,_xlpm.MacVal&lt;&gt;"",_xlpm.MacVal,_xlpm.CSVVal&lt;&gt;"",PROPER(_xlpm.CSVVal)
)),"")</f>
        <v/>
      </c>
      <c r="G707" s="45" t="str" cm="1">
        <f t="array" ref="G707">IFERROR(_xlfn.LET(
_xlpm.CSVVal,_xlfn.XLOOKUP($A707,CSV!$A:$A,CSV!G:G,""),
_xlpm.MacVal,_xlfn.XLOOKUP($A707,Output_Mac!$A:$A,Output_Mac!H:H,""),
_xlpm.MyAuditVal,_xlfn.XLOOKUP($A707,My_Audit!$A:$A,My_Audit!F:F,""),
_xlfn.IFS(_xlpm.MyAuditVal&lt;&gt;"",_xlpm.MyAuditVal,_xlpm.MacVal&lt;&gt;"",_xlpm.MacVal,_xlpm.CSVVal&lt;&gt;"",_xlpm.CSVVal
)),"")</f>
        <v/>
      </c>
      <c r="H707" s="45" t="str">
        <f>_xlfn.XLOOKUP(A707,Output_Mac!A:A,Output_Mac!I:I,"")</f>
        <v/>
      </c>
      <c r="I707" s="45" t="str" cm="1">
        <f t="array" ref="I707">IFERROR(_xlfn.LET(
_xlpm.CSVVal,_xlfn.XLOOKUP($A707,CSV!$A:$A,CSV!H:H,""),
_xlpm.MacVal,_xlfn.XLOOKUP($A707,Output_Mac!$A:$A,Output_Mac!J:J,""),
_xlpm.MyAuditVal,_xlfn.XLOOKUP($A707,My_Audit!$A:$A,My_Audit!H:H,""),
_xlfn.IFS(_xlpm.MyAuditVal&lt;&gt;"",UPPER(_xlpm.MyAuditVal),_xlpm.MacVal&lt;&gt;"",_xlpm.MacVal,_xlpm.CSVVal&lt;&gt;"",_xlpm.CSVVal
)),"")</f>
        <v/>
      </c>
      <c r="J707" s="45" t="str" cm="1">
        <f t="array" ref="J707">IFERROR(_xlfn.LET(
_xlpm.CSVVal,_xlfn.XLOOKUP($A707,CSV!$A:$A,CSV!J:J,""),
_xlpm.MacVal,_xlfn.XLOOKUP($A707,Output_Mac!$A:$A,Output_Mac!K:K,""),
_xlpm.MyAuditVal,_xlfn.XLOOKUP($A707,My_Audit!$A:$A,My_Audit!I:I,""),
_xlfn.IFS(_xlpm.MyAuditVal&lt;&gt;"",UPPER(_xlpm.MyAuditVal),_xlpm.MacVal&lt;&gt;"",_xlpm.MacVal,_xlpm.CSVVal&lt;&gt;"",_xlpm.CSVVal
)),"")</f>
        <v/>
      </c>
      <c r="K707" s="45" t="str" cm="1">
        <f t="array" ref="K707">IFERROR(_xlfn.LET(
_xlpm.CSVVal,_xlfn.XLOOKUP($A707,CSV!$A:$A,CSV!N:N,""),
_xlpm.MacVal,_xlfn.XLOOKUP($A707,Output_Mac!$A:$A,Output_Mac!L:L,""),
_xlpm.MyAuditVal,_xlfn.XLOOKUP($A707,My_Audit!$A:$A,My_Audit!J:J,""),
_xlfn.IFS(_xlpm.MyAuditVal&lt;&gt;"",UPPER(_xlpm.MyAuditVal),_xlpm.MacVal&lt;&gt;"",_xlpm.MacVal,_xlpm.CSVVal&lt;&gt;"",_xlpm.CSVVal
)),"")</f>
        <v/>
      </c>
      <c r="L707" s="45" t="str" cm="1">
        <f t="array" ref="L707">IFERROR(_xlfn.LET(
_xlpm.CSVVal,_xlfn.XLOOKUP($A707,CSV!$A:$A,CSV!P:P,""),
_xlpm.MacVal,_xlfn.XLOOKUP($A707,Output_Mac!$A:$A,Output_Mac!M:M,""),
_xlpm.MyAuditVal,_xlfn.XLOOKUP($A707,My_Audit!$A:$A,My_Audit!K:K,""),
_xlfn.IFS(_xlpm.MyAuditVal&lt;&gt;"",UPPER(_xlpm.MyAuditVal),_xlpm.MacVal&lt;&gt;"",_xlpm.MacVal,_xlpm.CSVVal&lt;&gt;"",_xlpm.CSVVal
)),"")</f>
        <v/>
      </c>
      <c r="M707" s="45" t="str">
        <f>_xlfn.LET(
    _xlpm.CSVVal, _xlfn.XLOOKUP($A707, CSV!$A:$A, CSV!AE:AE, ""),
    _xlpm.MacVal, _xlfn.XLOOKUP($A707, Output_Mac!$A:$A, Output_Mac!S:S, ""),
    _xlpm.MyAuditVal, _xlfn.XLOOKUP($A707, My_Audit!$A:$A, My_Audit!N:N, ""),
    _xlfn.TEXTJOIN(", ", TRUE, _xlpm.MyAuditVal, _xlpm.MacVal, _xlpm.CSVVal)
)</f>
        <v/>
      </c>
      <c r="N707" s="45" t="str" cm="1">
        <f t="array" ref="N707">IFERROR(_xlfn.LET(
_xlpm.CSVVal,_xlfn.XLOOKUP($A707,CSV!$A:$A,CSV!AG:AG,""),
_xlpm.MacVal,_xlfn.XLOOKUP($A707,Output_Mac!$A:$A,Output_Mac!U:U,""),
_xlpm.MyAuditVal,_xlfn.XLOOKUP($A707,My_Audit!$A:$A,My_Audit!O:O,""),
_xlfn.IFS(_xlpm.MyAuditVal&lt;&gt;"",UPPER(_xlpm.MyAuditVal),_xlpm.MacVal&lt;&gt;"",_xlpm.MacVal,_xlpm.CSVVal&lt;&gt;"",_xlpm.CSVVal
)),"")</f>
        <v/>
      </c>
      <c r="O707" s="45"/>
      <c r="P707" s="45"/>
      <c r="Q707" s="46" t="str">
        <f>IF(LEFT(N707,4)="Pass","Nist SP 800-88",My_Audit!R707)&amp;""</f>
        <v/>
      </c>
      <c r="R707" s="45"/>
      <c r="S707" s="45"/>
      <c r="T707" s="46" t="str">
        <f>_xlfn.XLOOKUP(E707,Models!I:I,Models!J:J,"")</f>
        <v/>
      </c>
      <c r="U707" s="45"/>
      <c r="V707" s="45"/>
      <c r="W707" s="38"/>
    </row>
    <row r="708" spans="1:23">
      <c r="A708" s="45" t="str">
        <f>_xlfn.TEXTJOIN("",TRUE,Input!$B$2,ROW(My_Audit!A707))</f>
        <v>XX707</v>
      </c>
      <c r="B708" s="45" t="str">
        <f>_xlfn.TEXTJOIN("-",TRUE,"ITD",Input!$A$2,A708)</f>
        <v>ITD-SHRXXX-XX707</v>
      </c>
      <c r="C708" s="45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46" t="str" cm="1">
        <f t="array" ref="D708">IFERROR(_xlfn.LET(
_xlpm.CSVVal,_xlfn.XLOOKUP($A708,CSV!$A:$A,CSV!C:C,""),
_xlpm.MacVal,_xlfn.XLOOKUP($A708,Output_Mac!$A:$A,Output_Mac!D:D,""),
_xlpm.MyAuditVal,_xlfn.XLOOKUP($A708,My_Audit!$A:$A,My_Audit!C:C,""),
_xlfn.IFS(_xlpm.MyAuditVal&lt;&gt;"",UPPER(_xlpm.MyAuditVal),_xlpm.MacVal&lt;&gt;"",_xlpm.MacVal,_xlpm.CSVVal&lt;&gt;"",_xlpm.CSVVal
)),"")</f>
        <v/>
      </c>
      <c r="E708" s="46" t="str" cm="1">
        <f t="array" ref="E708">IFERROR(_xlfn.LET(
_xlpm.CSVVal,_xlfn.XLOOKUP($A708,CSV!$A:$A,CSV!E:E,""),
_xlpm.MacVal,_xlfn.XLOOKUP($A708,Output_Mac!$A:$A,Output_Mac!C:C,""),
_xlpm.MyAuditVal,_xlfn.XLOOKUP($A708,My_Audit!$A:$A,My_Audit!D:D,""),
_xlfn.IFS(_xlpm.MyAuditVal&lt;&gt;"",_xlpm.MyAuditVal,_xlpm.MacVal&lt;&gt;"",_xlpm.MacVal,_xlpm.CSVVal&lt;&gt;"",_xlpm.CSVVal
)),"")</f>
        <v/>
      </c>
      <c r="F708" s="45" t="str" cm="1">
        <f t="array" ref="F708">IFERROR(_xlfn.LET(
_xlpm.CSVVal,_xlfn.XLOOKUP($A708,CSV!$A:$A,CSV!F:F,""),
_xlpm.MacVal,_xlfn.XLOOKUP($A708,Output_Mac!$A:$A,Output_Mac!F:F,""),
_xlpm.MyAuditVal,_xlfn.XLOOKUP($A708,My_Audit!$A:$A,My_Audit!E:E,""),
_xlfn.IFS(_xlpm.MyAuditVal&lt;&gt;"",_xlpm.MyAuditVal,_xlpm.MacVal&lt;&gt;"",_xlpm.MacVal,_xlpm.CSVVal&lt;&gt;"",PROPER(_xlpm.CSVVal)
)),"")</f>
        <v/>
      </c>
      <c r="G708" s="45" t="str" cm="1">
        <f t="array" ref="G708">IFERROR(_xlfn.LET(
_xlpm.CSVVal,_xlfn.XLOOKUP($A708,CSV!$A:$A,CSV!G:G,""),
_xlpm.MacVal,_xlfn.XLOOKUP($A708,Output_Mac!$A:$A,Output_Mac!H:H,""),
_xlpm.MyAuditVal,_xlfn.XLOOKUP($A708,My_Audit!$A:$A,My_Audit!F:F,""),
_xlfn.IFS(_xlpm.MyAuditVal&lt;&gt;"",_xlpm.MyAuditVal,_xlpm.MacVal&lt;&gt;"",_xlpm.MacVal,_xlpm.CSVVal&lt;&gt;"",_xlpm.CSVVal
)),"")</f>
        <v/>
      </c>
      <c r="H708" s="45" t="str">
        <f>_xlfn.XLOOKUP(A708,Output_Mac!A:A,Output_Mac!I:I,"")</f>
        <v/>
      </c>
      <c r="I708" s="45" t="str" cm="1">
        <f t="array" ref="I708">IFERROR(_xlfn.LET(
_xlpm.CSVVal,_xlfn.XLOOKUP($A708,CSV!$A:$A,CSV!H:H,""),
_xlpm.MacVal,_xlfn.XLOOKUP($A708,Output_Mac!$A:$A,Output_Mac!J:J,""),
_xlpm.MyAuditVal,_xlfn.XLOOKUP($A708,My_Audit!$A:$A,My_Audit!H:H,""),
_xlfn.IFS(_xlpm.MyAuditVal&lt;&gt;"",UPPER(_xlpm.MyAuditVal),_xlpm.MacVal&lt;&gt;"",_xlpm.MacVal,_xlpm.CSVVal&lt;&gt;"",_xlpm.CSVVal
)),"")</f>
        <v/>
      </c>
      <c r="J708" s="45" t="str" cm="1">
        <f t="array" ref="J708">IFERROR(_xlfn.LET(
_xlpm.CSVVal,_xlfn.XLOOKUP($A708,CSV!$A:$A,CSV!J:J,""),
_xlpm.MacVal,_xlfn.XLOOKUP($A708,Output_Mac!$A:$A,Output_Mac!K:K,""),
_xlpm.MyAuditVal,_xlfn.XLOOKUP($A708,My_Audit!$A:$A,My_Audit!I:I,""),
_xlfn.IFS(_xlpm.MyAuditVal&lt;&gt;"",UPPER(_xlpm.MyAuditVal),_xlpm.MacVal&lt;&gt;"",_xlpm.MacVal,_xlpm.CSVVal&lt;&gt;"",_xlpm.CSVVal
)),"")</f>
        <v/>
      </c>
      <c r="K708" s="45" t="str" cm="1">
        <f t="array" ref="K708">IFERROR(_xlfn.LET(
_xlpm.CSVVal,_xlfn.XLOOKUP($A708,CSV!$A:$A,CSV!N:N,""),
_xlpm.MacVal,_xlfn.XLOOKUP($A708,Output_Mac!$A:$A,Output_Mac!L:L,""),
_xlpm.MyAuditVal,_xlfn.XLOOKUP($A708,My_Audit!$A:$A,My_Audit!J:J,""),
_xlfn.IFS(_xlpm.MyAuditVal&lt;&gt;"",UPPER(_xlpm.MyAuditVal),_xlpm.MacVal&lt;&gt;"",_xlpm.MacVal,_xlpm.CSVVal&lt;&gt;"",_xlpm.CSVVal
)),"")</f>
        <v/>
      </c>
      <c r="L708" s="45" t="str" cm="1">
        <f t="array" ref="L708">IFERROR(_xlfn.LET(
_xlpm.CSVVal,_xlfn.XLOOKUP($A708,CSV!$A:$A,CSV!P:P,""),
_xlpm.MacVal,_xlfn.XLOOKUP($A708,Output_Mac!$A:$A,Output_Mac!M:M,""),
_xlpm.MyAuditVal,_xlfn.XLOOKUP($A708,My_Audit!$A:$A,My_Audit!K:K,""),
_xlfn.IFS(_xlpm.MyAuditVal&lt;&gt;"",UPPER(_xlpm.MyAuditVal),_xlpm.MacVal&lt;&gt;"",_xlpm.MacVal,_xlpm.CSVVal&lt;&gt;"",_xlpm.CSVVal
)),"")</f>
        <v/>
      </c>
      <c r="M708" s="45" t="str">
        <f>_xlfn.LET(
    _xlpm.CSVVal, _xlfn.XLOOKUP($A708, CSV!$A:$A, CSV!AE:AE, ""),
    _xlpm.MacVal, _xlfn.XLOOKUP($A708, Output_Mac!$A:$A, Output_Mac!S:S, ""),
    _xlpm.MyAuditVal, _xlfn.XLOOKUP($A708, My_Audit!$A:$A, My_Audit!N:N, ""),
    _xlfn.TEXTJOIN(", ", TRUE, _xlpm.MyAuditVal, _xlpm.MacVal, _xlpm.CSVVal)
)</f>
        <v/>
      </c>
      <c r="N708" s="45" t="str" cm="1">
        <f t="array" ref="N708">IFERROR(_xlfn.LET(
_xlpm.CSVVal,_xlfn.XLOOKUP($A708,CSV!$A:$A,CSV!AG:AG,""),
_xlpm.MacVal,_xlfn.XLOOKUP($A708,Output_Mac!$A:$A,Output_Mac!U:U,""),
_xlpm.MyAuditVal,_xlfn.XLOOKUP($A708,My_Audit!$A:$A,My_Audit!O:O,""),
_xlfn.IFS(_xlpm.MyAuditVal&lt;&gt;"",UPPER(_xlpm.MyAuditVal),_xlpm.MacVal&lt;&gt;"",_xlpm.MacVal,_xlpm.CSVVal&lt;&gt;"",_xlpm.CSVVal
)),"")</f>
        <v/>
      </c>
      <c r="O708" s="45"/>
      <c r="P708" s="45"/>
      <c r="Q708" s="46" t="str">
        <f>IF(LEFT(N708,4)="Pass","Nist SP 800-88",My_Audit!R708)&amp;""</f>
        <v/>
      </c>
      <c r="R708" s="45"/>
      <c r="S708" s="45"/>
      <c r="T708" s="46" t="str">
        <f>_xlfn.XLOOKUP(E708,Models!I:I,Models!J:J,"")</f>
        <v/>
      </c>
      <c r="U708" s="45"/>
      <c r="V708" s="45"/>
      <c r="W708" s="38"/>
    </row>
    <row r="709" spans="1:23">
      <c r="A709" s="45" t="str">
        <f>_xlfn.TEXTJOIN("",TRUE,Input!$B$2,ROW(My_Audit!A708))</f>
        <v>XX708</v>
      </c>
      <c r="B709" s="45" t="str">
        <f>_xlfn.TEXTJOIN("-",TRUE,"ITD",Input!$A$2,A709)</f>
        <v>ITD-SHRXXX-XX708</v>
      </c>
      <c r="C709" s="45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46" t="str" cm="1">
        <f t="array" ref="D709">IFERROR(_xlfn.LET(
_xlpm.CSVVal,_xlfn.XLOOKUP($A709,CSV!$A:$A,CSV!C:C,""),
_xlpm.MacVal,_xlfn.XLOOKUP($A709,Output_Mac!$A:$A,Output_Mac!D:D,""),
_xlpm.MyAuditVal,_xlfn.XLOOKUP($A709,My_Audit!$A:$A,My_Audit!C:C,""),
_xlfn.IFS(_xlpm.MyAuditVal&lt;&gt;"",UPPER(_xlpm.MyAuditVal),_xlpm.MacVal&lt;&gt;"",_xlpm.MacVal,_xlpm.CSVVal&lt;&gt;"",_xlpm.CSVVal
)),"")</f>
        <v/>
      </c>
      <c r="E709" s="46" t="str" cm="1">
        <f t="array" ref="E709">IFERROR(_xlfn.LET(
_xlpm.CSVVal,_xlfn.XLOOKUP($A709,CSV!$A:$A,CSV!E:E,""),
_xlpm.MacVal,_xlfn.XLOOKUP($A709,Output_Mac!$A:$A,Output_Mac!C:C,""),
_xlpm.MyAuditVal,_xlfn.XLOOKUP($A709,My_Audit!$A:$A,My_Audit!D:D,""),
_xlfn.IFS(_xlpm.MyAuditVal&lt;&gt;"",_xlpm.MyAuditVal,_xlpm.MacVal&lt;&gt;"",_xlpm.MacVal,_xlpm.CSVVal&lt;&gt;"",_xlpm.CSVVal
)),"")</f>
        <v/>
      </c>
      <c r="F709" s="45" t="str" cm="1">
        <f t="array" ref="F709">IFERROR(_xlfn.LET(
_xlpm.CSVVal,_xlfn.XLOOKUP($A709,CSV!$A:$A,CSV!F:F,""),
_xlpm.MacVal,_xlfn.XLOOKUP($A709,Output_Mac!$A:$A,Output_Mac!F:F,""),
_xlpm.MyAuditVal,_xlfn.XLOOKUP($A709,My_Audit!$A:$A,My_Audit!E:E,""),
_xlfn.IFS(_xlpm.MyAuditVal&lt;&gt;"",_xlpm.MyAuditVal,_xlpm.MacVal&lt;&gt;"",_xlpm.MacVal,_xlpm.CSVVal&lt;&gt;"",PROPER(_xlpm.CSVVal)
)),"")</f>
        <v/>
      </c>
      <c r="G709" s="45" t="str" cm="1">
        <f t="array" ref="G709">IFERROR(_xlfn.LET(
_xlpm.CSVVal,_xlfn.XLOOKUP($A709,CSV!$A:$A,CSV!G:G,""),
_xlpm.MacVal,_xlfn.XLOOKUP($A709,Output_Mac!$A:$A,Output_Mac!H:H,""),
_xlpm.MyAuditVal,_xlfn.XLOOKUP($A709,My_Audit!$A:$A,My_Audit!F:F,""),
_xlfn.IFS(_xlpm.MyAuditVal&lt;&gt;"",_xlpm.MyAuditVal,_xlpm.MacVal&lt;&gt;"",_xlpm.MacVal,_xlpm.CSVVal&lt;&gt;"",_xlpm.CSVVal
)),"")</f>
        <v/>
      </c>
      <c r="H709" s="45" t="str">
        <f>_xlfn.XLOOKUP(A709,Output_Mac!A:A,Output_Mac!I:I,"")</f>
        <v/>
      </c>
      <c r="I709" s="45" t="str" cm="1">
        <f t="array" ref="I709">IFERROR(_xlfn.LET(
_xlpm.CSVVal,_xlfn.XLOOKUP($A709,CSV!$A:$A,CSV!H:H,""),
_xlpm.MacVal,_xlfn.XLOOKUP($A709,Output_Mac!$A:$A,Output_Mac!J:J,""),
_xlpm.MyAuditVal,_xlfn.XLOOKUP($A709,My_Audit!$A:$A,My_Audit!H:H,""),
_xlfn.IFS(_xlpm.MyAuditVal&lt;&gt;"",UPPER(_xlpm.MyAuditVal),_xlpm.MacVal&lt;&gt;"",_xlpm.MacVal,_xlpm.CSVVal&lt;&gt;"",_xlpm.CSVVal
)),"")</f>
        <v/>
      </c>
      <c r="J709" s="45" t="str" cm="1">
        <f t="array" ref="J709">IFERROR(_xlfn.LET(
_xlpm.CSVVal,_xlfn.XLOOKUP($A709,CSV!$A:$A,CSV!J:J,""),
_xlpm.MacVal,_xlfn.XLOOKUP($A709,Output_Mac!$A:$A,Output_Mac!K:K,""),
_xlpm.MyAuditVal,_xlfn.XLOOKUP($A709,My_Audit!$A:$A,My_Audit!I:I,""),
_xlfn.IFS(_xlpm.MyAuditVal&lt;&gt;"",UPPER(_xlpm.MyAuditVal),_xlpm.MacVal&lt;&gt;"",_xlpm.MacVal,_xlpm.CSVVal&lt;&gt;"",_xlpm.CSVVal
)),"")</f>
        <v/>
      </c>
      <c r="K709" s="45" t="str" cm="1">
        <f t="array" ref="K709">IFERROR(_xlfn.LET(
_xlpm.CSVVal,_xlfn.XLOOKUP($A709,CSV!$A:$A,CSV!N:N,""),
_xlpm.MacVal,_xlfn.XLOOKUP($A709,Output_Mac!$A:$A,Output_Mac!L:L,""),
_xlpm.MyAuditVal,_xlfn.XLOOKUP($A709,My_Audit!$A:$A,My_Audit!J:J,""),
_xlfn.IFS(_xlpm.MyAuditVal&lt;&gt;"",UPPER(_xlpm.MyAuditVal),_xlpm.MacVal&lt;&gt;"",_xlpm.MacVal,_xlpm.CSVVal&lt;&gt;"",_xlpm.CSVVal
)),"")</f>
        <v/>
      </c>
      <c r="L709" s="45" t="str" cm="1">
        <f t="array" ref="L709">IFERROR(_xlfn.LET(
_xlpm.CSVVal,_xlfn.XLOOKUP($A709,CSV!$A:$A,CSV!P:P,""),
_xlpm.MacVal,_xlfn.XLOOKUP($A709,Output_Mac!$A:$A,Output_Mac!M:M,""),
_xlpm.MyAuditVal,_xlfn.XLOOKUP($A709,My_Audit!$A:$A,My_Audit!K:K,""),
_xlfn.IFS(_xlpm.MyAuditVal&lt;&gt;"",UPPER(_xlpm.MyAuditVal),_xlpm.MacVal&lt;&gt;"",_xlpm.MacVal,_xlpm.CSVVal&lt;&gt;"",_xlpm.CSVVal
)),"")</f>
        <v/>
      </c>
      <c r="M709" s="45" t="str">
        <f>_xlfn.LET(
    _xlpm.CSVVal, _xlfn.XLOOKUP($A709, CSV!$A:$A, CSV!AE:AE, ""),
    _xlpm.MacVal, _xlfn.XLOOKUP($A709, Output_Mac!$A:$A, Output_Mac!S:S, ""),
    _xlpm.MyAuditVal, _xlfn.XLOOKUP($A709, My_Audit!$A:$A, My_Audit!N:N, ""),
    _xlfn.TEXTJOIN(", ", TRUE, _xlpm.MyAuditVal, _xlpm.MacVal, _xlpm.CSVVal)
)</f>
        <v/>
      </c>
      <c r="N709" s="45" t="str" cm="1">
        <f t="array" ref="N709">IFERROR(_xlfn.LET(
_xlpm.CSVVal,_xlfn.XLOOKUP($A709,CSV!$A:$A,CSV!AG:AG,""),
_xlpm.MacVal,_xlfn.XLOOKUP($A709,Output_Mac!$A:$A,Output_Mac!U:U,""),
_xlpm.MyAuditVal,_xlfn.XLOOKUP($A709,My_Audit!$A:$A,My_Audit!O:O,""),
_xlfn.IFS(_xlpm.MyAuditVal&lt;&gt;"",UPPER(_xlpm.MyAuditVal),_xlpm.MacVal&lt;&gt;"",_xlpm.MacVal,_xlpm.CSVVal&lt;&gt;"",_xlpm.CSVVal
)),"")</f>
        <v/>
      </c>
      <c r="O709" s="45"/>
      <c r="P709" s="45"/>
      <c r="Q709" s="46" t="str">
        <f>IF(LEFT(N709,4)="Pass","Nist SP 800-88",My_Audit!R709)&amp;""</f>
        <v/>
      </c>
      <c r="R709" s="45"/>
      <c r="S709" s="45"/>
      <c r="T709" s="46" t="str">
        <f>_xlfn.XLOOKUP(E709,Models!I:I,Models!J:J,"")</f>
        <v/>
      </c>
      <c r="U709" s="45"/>
      <c r="V709" s="45"/>
      <c r="W709" s="38"/>
    </row>
    <row r="710" spans="1:23">
      <c r="A710" s="45" t="str">
        <f>_xlfn.TEXTJOIN("",TRUE,Input!$B$2,ROW(My_Audit!A709))</f>
        <v>XX709</v>
      </c>
      <c r="B710" s="45" t="str">
        <f>_xlfn.TEXTJOIN("-",TRUE,"ITD",Input!$A$2,A710)</f>
        <v>ITD-SHRXXX-XX709</v>
      </c>
      <c r="C710" s="45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46" t="str" cm="1">
        <f t="array" ref="D710">IFERROR(_xlfn.LET(
_xlpm.CSVVal,_xlfn.XLOOKUP($A710,CSV!$A:$A,CSV!C:C,""),
_xlpm.MacVal,_xlfn.XLOOKUP($A710,Output_Mac!$A:$A,Output_Mac!D:D,""),
_xlpm.MyAuditVal,_xlfn.XLOOKUP($A710,My_Audit!$A:$A,My_Audit!C:C,""),
_xlfn.IFS(_xlpm.MyAuditVal&lt;&gt;"",UPPER(_xlpm.MyAuditVal),_xlpm.MacVal&lt;&gt;"",_xlpm.MacVal,_xlpm.CSVVal&lt;&gt;"",_xlpm.CSVVal
)),"")</f>
        <v/>
      </c>
      <c r="E710" s="46" t="str" cm="1">
        <f t="array" ref="E710">IFERROR(_xlfn.LET(
_xlpm.CSVVal,_xlfn.XLOOKUP($A710,CSV!$A:$A,CSV!E:E,""),
_xlpm.MacVal,_xlfn.XLOOKUP($A710,Output_Mac!$A:$A,Output_Mac!C:C,""),
_xlpm.MyAuditVal,_xlfn.XLOOKUP($A710,My_Audit!$A:$A,My_Audit!D:D,""),
_xlfn.IFS(_xlpm.MyAuditVal&lt;&gt;"",_xlpm.MyAuditVal,_xlpm.MacVal&lt;&gt;"",_xlpm.MacVal,_xlpm.CSVVal&lt;&gt;"",_xlpm.CSVVal
)),"")</f>
        <v/>
      </c>
      <c r="F710" s="45" t="str" cm="1">
        <f t="array" ref="F710">IFERROR(_xlfn.LET(
_xlpm.CSVVal,_xlfn.XLOOKUP($A710,CSV!$A:$A,CSV!F:F,""),
_xlpm.MacVal,_xlfn.XLOOKUP($A710,Output_Mac!$A:$A,Output_Mac!F:F,""),
_xlpm.MyAuditVal,_xlfn.XLOOKUP($A710,My_Audit!$A:$A,My_Audit!E:E,""),
_xlfn.IFS(_xlpm.MyAuditVal&lt;&gt;"",_xlpm.MyAuditVal,_xlpm.MacVal&lt;&gt;"",_xlpm.MacVal,_xlpm.CSVVal&lt;&gt;"",PROPER(_xlpm.CSVVal)
)),"")</f>
        <v/>
      </c>
      <c r="G710" s="45" t="str" cm="1">
        <f t="array" ref="G710">IFERROR(_xlfn.LET(
_xlpm.CSVVal,_xlfn.XLOOKUP($A710,CSV!$A:$A,CSV!G:G,""),
_xlpm.MacVal,_xlfn.XLOOKUP($A710,Output_Mac!$A:$A,Output_Mac!H:H,""),
_xlpm.MyAuditVal,_xlfn.XLOOKUP($A710,My_Audit!$A:$A,My_Audit!F:F,""),
_xlfn.IFS(_xlpm.MyAuditVal&lt;&gt;"",_xlpm.MyAuditVal,_xlpm.MacVal&lt;&gt;"",_xlpm.MacVal,_xlpm.CSVVal&lt;&gt;"",_xlpm.CSVVal
)),"")</f>
        <v/>
      </c>
      <c r="H710" s="45" t="str">
        <f>_xlfn.XLOOKUP(A710,Output_Mac!A:A,Output_Mac!I:I,"")</f>
        <v/>
      </c>
      <c r="I710" s="45" t="str" cm="1">
        <f t="array" ref="I710">IFERROR(_xlfn.LET(
_xlpm.CSVVal,_xlfn.XLOOKUP($A710,CSV!$A:$A,CSV!H:H,""),
_xlpm.MacVal,_xlfn.XLOOKUP($A710,Output_Mac!$A:$A,Output_Mac!J:J,""),
_xlpm.MyAuditVal,_xlfn.XLOOKUP($A710,My_Audit!$A:$A,My_Audit!H:H,""),
_xlfn.IFS(_xlpm.MyAuditVal&lt;&gt;"",UPPER(_xlpm.MyAuditVal),_xlpm.MacVal&lt;&gt;"",_xlpm.MacVal,_xlpm.CSVVal&lt;&gt;"",_xlpm.CSVVal
)),"")</f>
        <v/>
      </c>
      <c r="J710" s="45" t="str" cm="1">
        <f t="array" ref="J710">IFERROR(_xlfn.LET(
_xlpm.CSVVal,_xlfn.XLOOKUP($A710,CSV!$A:$A,CSV!J:J,""),
_xlpm.MacVal,_xlfn.XLOOKUP($A710,Output_Mac!$A:$A,Output_Mac!K:K,""),
_xlpm.MyAuditVal,_xlfn.XLOOKUP($A710,My_Audit!$A:$A,My_Audit!I:I,""),
_xlfn.IFS(_xlpm.MyAuditVal&lt;&gt;"",UPPER(_xlpm.MyAuditVal),_xlpm.MacVal&lt;&gt;"",_xlpm.MacVal,_xlpm.CSVVal&lt;&gt;"",_xlpm.CSVVal
)),"")</f>
        <v/>
      </c>
      <c r="K710" s="45" t="str" cm="1">
        <f t="array" ref="K710">IFERROR(_xlfn.LET(
_xlpm.CSVVal,_xlfn.XLOOKUP($A710,CSV!$A:$A,CSV!N:N,""),
_xlpm.MacVal,_xlfn.XLOOKUP($A710,Output_Mac!$A:$A,Output_Mac!L:L,""),
_xlpm.MyAuditVal,_xlfn.XLOOKUP($A710,My_Audit!$A:$A,My_Audit!J:J,""),
_xlfn.IFS(_xlpm.MyAuditVal&lt;&gt;"",UPPER(_xlpm.MyAuditVal),_xlpm.MacVal&lt;&gt;"",_xlpm.MacVal,_xlpm.CSVVal&lt;&gt;"",_xlpm.CSVVal
)),"")</f>
        <v/>
      </c>
      <c r="L710" s="45" t="str" cm="1">
        <f t="array" ref="L710">IFERROR(_xlfn.LET(
_xlpm.CSVVal,_xlfn.XLOOKUP($A710,CSV!$A:$A,CSV!P:P,""),
_xlpm.MacVal,_xlfn.XLOOKUP($A710,Output_Mac!$A:$A,Output_Mac!M:M,""),
_xlpm.MyAuditVal,_xlfn.XLOOKUP($A710,My_Audit!$A:$A,My_Audit!K:K,""),
_xlfn.IFS(_xlpm.MyAuditVal&lt;&gt;"",UPPER(_xlpm.MyAuditVal),_xlpm.MacVal&lt;&gt;"",_xlpm.MacVal,_xlpm.CSVVal&lt;&gt;"",_xlpm.CSVVal
)),"")</f>
        <v/>
      </c>
      <c r="M710" s="45" t="str">
        <f>_xlfn.LET(
    _xlpm.CSVVal, _xlfn.XLOOKUP($A710, CSV!$A:$A, CSV!AE:AE, ""),
    _xlpm.MacVal, _xlfn.XLOOKUP($A710, Output_Mac!$A:$A, Output_Mac!S:S, ""),
    _xlpm.MyAuditVal, _xlfn.XLOOKUP($A710, My_Audit!$A:$A, My_Audit!N:N, ""),
    _xlfn.TEXTJOIN(", ", TRUE, _xlpm.MyAuditVal, _xlpm.MacVal, _xlpm.CSVVal)
)</f>
        <v/>
      </c>
      <c r="N710" s="45" t="str" cm="1">
        <f t="array" ref="N710">IFERROR(_xlfn.LET(
_xlpm.CSVVal,_xlfn.XLOOKUP($A710,CSV!$A:$A,CSV!AG:AG,""),
_xlpm.MacVal,_xlfn.XLOOKUP($A710,Output_Mac!$A:$A,Output_Mac!U:U,""),
_xlpm.MyAuditVal,_xlfn.XLOOKUP($A710,My_Audit!$A:$A,My_Audit!O:O,""),
_xlfn.IFS(_xlpm.MyAuditVal&lt;&gt;"",UPPER(_xlpm.MyAuditVal),_xlpm.MacVal&lt;&gt;"",_xlpm.MacVal,_xlpm.CSVVal&lt;&gt;"",_xlpm.CSVVal
)),"")</f>
        <v/>
      </c>
      <c r="O710" s="45"/>
      <c r="P710" s="45"/>
      <c r="Q710" s="46" t="str">
        <f>IF(LEFT(N710,4)="Pass","Nist SP 800-88",My_Audit!R710)&amp;""</f>
        <v/>
      </c>
      <c r="R710" s="45"/>
      <c r="S710" s="45"/>
      <c r="T710" s="46" t="str">
        <f>_xlfn.XLOOKUP(E710,Models!I:I,Models!J:J,"")</f>
        <v/>
      </c>
      <c r="U710" s="45"/>
      <c r="V710" s="45"/>
      <c r="W710" s="38"/>
    </row>
    <row r="711" spans="1:23">
      <c r="A711" s="45" t="str">
        <f>_xlfn.TEXTJOIN("",TRUE,Input!$B$2,ROW(My_Audit!A710))</f>
        <v>XX710</v>
      </c>
      <c r="B711" s="45" t="str">
        <f>_xlfn.TEXTJOIN("-",TRUE,"ITD",Input!$A$2,A711)</f>
        <v>ITD-SHRXXX-XX710</v>
      </c>
      <c r="C711" s="45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46" t="str" cm="1">
        <f t="array" ref="D711">IFERROR(_xlfn.LET(
_xlpm.CSVVal,_xlfn.XLOOKUP($A711,CSV!$A:$A,CSV!C:C,""),
_xlpm.MacVal,_xlfn.XLOOKUP($A711,Output_Mac!$A:$A,Output_Mac!D:D,""),
_xlpm.MyAuditVal,_xlfn.XLOOKUP($A711,My_Audit!$A:$A,My_Audit!C:C,""),
_xlfn.IFS(_xlpm.MyAuditVal&lt;&gt;"",UPPER(_xlpm.MyAuditVal),_xlpm.MacVal&lt;&gt;"",_xlpm.MacVal,_xlpm.CSVVal&lt;&gt;"",_xlpm.CSVVal
)),"")</f>
        <v/>
      </c>
      <c r="E711" s="46" t="str" cm="1">
        <f t="array" ref="E711">IFERROR(_xlfn.LET(
_xlpm.CSVVal,_xlfn.XLOOKUP($A711,CSV!$A:$A,CSV!E:E,""),
_xlpm.MacVal,_xlfn.XLOOKUP($A711,Output_Mac!$A:$A,Output_Mac!C:C,""),
_xlpm.MyAuditVal,_xlfn.XLOOKUP($A711,My_Audit!$A:$A,My_Audit!D:D,""),
_xlfn.IFS(_xlpm.MyAuditVal&lt;&gt;"",_xlpm.MyAuditVal,_xlpm.MacVal&lt;&gt;"",_xlpm.MacVal,_xlpm.CSVVal&lt;&gt;"",_xlpm.CSVVal
)),"")</f>
        <v/>
      </c>
      <c r="F711" s="45" t="str" cm="1">
        <f t="array" ref="F711">IFERROR(_xlfn.LET(
_xlpm.CSVVal,_xlfn.XLOOKUP($A711,CSV!$A:$A,CSV!F:F,""),
_xlpm.MacVal,_xlfn.XLOOKUP($A711,Output_Mac!$A:$A,Output_Mac!F:F,""),
_xlpm.MyAuditVal,_xlfn.XLOOKUP($A711,My_Audit!$A:$A,My_Audit!E:E,""),
_xlfn.IFS(_xlpm.MyAuditVal&lt;&gt;"",_xlpm.MyAuditVal,_xlpm.MacVal&lt;&gt;"",_xlpm.MacVal,_xlpm.CSVVal&lt;&gt;"",PROPER(_xlpm.CSVVal)
)),"")</f>
        <v/>
      </c>
      <c r="G711" s="45" t="str" cm="1">
        <f t="array" ref="G711">IFERROR(_xlfn.LET(
_xlpm.CSVVal,_xlfn.XLOOKUP($A711,CSV!$A:$A,CSV!G:G,""),
_xlpm.MacVal,_xlfn.XLOOKUP($A711,Output_Mac!$A:$A,Output_Mac!H:H,""),
_xlpm.MyAuditVal,_xlfn.XLOOKUP($A711,My_Audit!$A:$A,My_Audit!F:F,""),
_xlfn.IFS(_xlpm.MyAuditVal&lt;&gt;"",_xlpm.MyAuditVal,_xlpm.MacVal&lt;&gt;"",_xlpm.MacVal,_xlpm.CSVVal&lt;&gt;"",_xlpm.CSVVal
)),"")</f>
        <v/>
      </c>
      <c r="H711" s="45" t="str">
        <f>_xlfn.XLOOKUP(A711,Output_Mac!A:A,Output_Mac!I:I,"")</f>
        <v/>
      </c>
      <c r="I711" s="45" t="str" cm="1">
        <f t="array" ref="I711">IFERROR(_xlfn.LET(
_xlpm.CSVVal,_xlfn.XLOOKUP($A711,CSV!$A:$A,CSV!H:H,""),
_xlpm.MacVal,_xlfn.XLOOKUP($A711,Output_Mac!$A:$A,Output_Mac!J:J,""),
_xlpm.MyAuditVal,_xlfn.XLOOKUP($A711,My_Audit!$A:$A,My_Audit!H:H,""),
_xlfn.IFS(_xlpm.MyAuditVal&lt;&gt;"",UPPER(_xlpm.MyAuditVal),_xlpm.MacVal&lt;&gt;"",_xlpm.MacVal,_xlpm.CSVVal&lt;&gt;"",_xlpm.CSVVal
)),"")</f>
        <v/>
      </c>
      <c r="J711" s="45" t="str" cm="1">
        <f t="array" ref="J711">IFERROR(_xlfn.LET(
_xlpm.CSVVal,_xlfn.XLOOKUP($A711,CSV!$A:$A,CSV!J:J,""),
_xlpm.MacVal,_xlfn.XLOOKUP($A711,Output_Mac!$A:$A,Output_Mac!K:K,""),
_xlpm.MyAuditVal,_xlfn.XLOOKUP($A711,My_Audit!$A:$A,My_Audit!I:I,""),
_xlfn.IFS(_xlpm.MyAuditVal&lt;&gt;"",UPPER(_xlpm.MyAuditVal),_xlpm.MacVal&lt;&gt;"",_xlpm.MacVal,_xlpm.CSVVal&lt;&gt;"",_xlpm.CSVVal
)),"")</f>
        <v/>
      </c>
      <c r="K711" s="45" t="str" cm="1">
        <f t="array" ref="K711">IFERROR(_xlfn.LET(
_xlpm.CSVVal,_xlfn.XLOOKUP($A711,CSV!$A:$A,CSV!N:N,""),
_xlpm.MacVal,_xlfn.XLOOKUP($A711,Output_Mac!$A:$A,Output_Mac!L:L,""),
_xlpm.MyAuditVal,_xlfn.XLOOKUP($A711,My_Audit!$A:$A,My_Audit!J:J,""),
_xlfn.IFS(_xlpm.MyAuditVal&lt;&gt;"",UPPER(_xlpm.MyAuditVal),_xlpm.MacVal&lt;&gt;"",_xlpm.MacVal,_xlpm.CSVVal&lt;&gt;"",_xlpm.CSVVal
)),"")</f>
        <v/>
      </c>
      <c r="L711" s="45" t="str" cm="1">
        <f t="array" ref="L711">IFERROR(_xlfn.LET(
_xlpm.CSVVal,_xlfn.XLOOKUP($A711,CSV!$A:$A,CSV!P:P,""),
_xlpm.MacVal,_xlfn.XLOOKUP($A711,Output_Mac!$A:$A,Output_Mac!M:M,""),
_xlpm.MyAuditVal,_xlfn.XLOOKUP($A711,My_Audit!$A:$A,My_Audit!K:K,""),
_xlfn.IFS(_xlpm.MyAuditVal&lt;&gt;"",UPPER(_xlpm.MyAuditVal),_xlpm.MacVal&lt;&gt;"",_xlpm.MacVal,_xlpm.CSVVal&lt;&gt;"",_xlpm.CSVVal
)),"")</f>
        <v/>
      </c>
      <c r="M711" s="45" t="str">
        <f>_xlfn.LET(
    _xlpm.CSVVal, _xlfn.XLOOKUP($A711, CSV!$A:$A, CSV!AE:AE, ""),
    _xlpm.MacVal, _xlfn.XLOOKUP($A711, Output_Mac!$A:$A, Output_Mac!S:S, ""),
    _xlpm.MyAuditVal, _xlfn.XLOOKUP($A711, My_Audit!$A:$A, My_Audit!N:N, ""),
    _xlfn.TEXTJOIN(", ", TRUE, _xlpm.MyAuditVal, _xlpm.MacVal, _xlpm.CSVVal)
)</f>
        <v/>
      </c>
      <c r="N711" s="45" t="str" cm="1">
        <f t="array" ref="N711">IFERROR(_xlfn.LET(
_xlpm.CSVVal,_xlfn.XLOOKUP($A711,CSV!$A:$A,CSV!AG:AG,""),
_xlpm.MacVal,_xlfn.XLOOKUP($A711,Output_Mac!$A:$A,Output_Mac!U:U,""),
_xlpm.MyAuditVal,_xlfn.XLOOKUP($A711,My_Audit!$A:$A,My_Audit!O:O,""),
_xlfn.IFS(_xlpm.MyAuditVal&lt;&gt;"",UPPER(_xlpm.MyAuditVal),_xlpm.MacVal&lt;&gt;"",_xlpm.MacVal,_xlpm.CSVVal&lt;&gt;"",_xlpm.CSVVal
)),"")</f>
        <v/>
      </c>
      <c r="O711" s="45"/>
      <c r="P711" s="45"/>
      <c r="Q711" s="46" t="str">
        <f>IF(LEFT(N711,4)="Pass","Nist SP 800-88",My_Audit!R711)&amp;""</f>
        <v/>
      </c>
      <c r="R711" s="45"/>
      <c r="S711" s="45"/>
      <c r="T711" s="46" t="str">
        <f>_xlfn.XLOOKUP(E711,Models!I:I,Models!J:J,"")</f>
        <v/>
      </c>
      <c r="U711" s="45"/>
      <c r="V711" s="45"/>
      <c r="W711" s="38"/>
    </row>
    <row r="712" spans="1:23">
      <c r="A712" s="45" t="str">
        <f>_xlfn.TEXTJOIN("",TRUE,Input!$B$2,ROW(My_Audit!A711))</f>
        <v>XX711</v>
      </c>
      <c r="B712" s="45"/>
      <c r="C712" s="45"/>
      <c r="D712" s="46" t="str" cm="1">
        <f t="array" ref="D712">IFERROR(_xlfn.LET(
_xlpm.CSVVal,_xlfn.XLOOKUP($A712,CSV!$A:$A,CSV!C:C,""),
_xlpm.MacVal,_xlfn.XLOOKUP($A712,Output_Mac!$A:$A,Output_Mac!D:D,""),
_xlpm.MyAuditVal,_xlfn.XLOOKUP($A712,My_Audit!$A:$A,My_Audit!C:C,""),
_xlfn.IFS(_xlpm.MyAuditVal&lt;&gt;"",UPPER(_xlpm.MyAuditVal),_xlpm.MacVal&lt;&gt;"",_xlpm.MacVal,_xlpm.CSVVal&lt;&gt;"",_xlpm.CSVVal
)),"")</f>
        <v/>
      </c>
      <c r="E712" s="46" t="str" cm="1">
        <f t="array" ref="E712">IFERROR(_xlfn.LET(
_xlpm.CSVVal,_xlfn.XLOOKUP($A712,CSV!$A:$A,CSV!E:E,""),
_xlpm.MacVal,_xlfn.XLOOKUP($A712,Output_Mac!$A:$A,Output_Mac!C:C,""),
_xlpm.MyAuditVal,_xlfn.XLOOKUP($A712,My_Audit!$A:$A,My_Audit!D:D,""),
_xlfn.IFS(_xlpm.MyAuditVal&lt;&gt;"",_xlpm.MyAuditVal,_xlpm.MacVal&lt;&gt;"",_xlpm.MacVal,_xlpm.CSVVal&lt;&gt;"",_xlpm.CSVVal
)),"")</f>
        <v/>
      </c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6" t="str">
        <f>IF(LEFT(N712,4)="Pass","Nist SP 800-88",My_Audit!R712)&amp;""</f>
        <v/>
      </c>
      <c r="R712" s="45"/>
      <c r="S712" s="45"/>
      <c r="T712" s="46" t="str">
        <f>_xlfn.XLOOKUP(E712,Models!I:I,Models!J:J,"")</f>
        <v/>
      </c>
      <c r="U712" s="45"/>
      <c r="V712" s="45"/>
      <c r="W712" s="38"/>
    </row>
    <row r="713" spans="1:23">
      <c r="A713" s="45" t="str">
        <f>_xlfn.TEXTJOIN("",TRUE,Input!$B$2,ROW(My_Audit!A712))</f>
        <v>XX712</v>
      </c>
      <c r="B713" s="45"/>
      <c r="C713" s="45"/>
      <c r="D713" s="46" t="str" cm="1">
        <f t="array" ref="D713">IFERROR(_xlfn.LET(
_xlpm.CSVVal,_xlfn.XLOOKUP($A713,CSV!$A:$A,CSV!C:C,""),
_xlpm.MacVal,_xlfn.XLOOKUP($A713,Output_Mac!$A:$A,Output_Mac!D:D,""),
_xlpm.MyAuditVal,_xlfn.XLOOKUP($A713,My_Audit!$A:$A,My_Audit!C:C,""),
_xlfn.IFS(_xlpm.MyAuditVal&lt;&gt;"",UPPER(_xlpm.MyAuditVal),_xlpm.MacVal&lt;&gt;"",_xlpm.MacVal,_xlpm.CSVVal&lt;&gt;"",_xlpm.CSVVal
)),"")</f>
        <v/>
      </c>
      <c r="E713" s="46" t="str" cm="1">
        <f t="array" ref="E713">IFERROR(_xlfn.LET(
_xlpm.CSVVal,_xlfn.XLOOKUP($A713,CSV!$A:$A,CSV!E:E,""),
_xlpm.MacVal,_xlfn.XLOOKUP($A713,Output_Mac!$A:$A,Output_Mac!C:C,""),
_xlpm.MyAuditVal,_xlfn.XLOOKUP($A713,My_Audit!$A:$A,My_Audit!D:D,""),
_xlfn.IFS(_xlpm.MyAuditVal&lt;&gt;"",_xlpm.MyAuditVal,_xlpm.MacVal&lt;&gt;"",_xlpm.MacVal,_xlpm.CSVVal&lt;&gt;"",_xlpm.CSVVal
)),"")</f>
        <v/>
      </c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6" t="str">
        <f>IF(LEFT(N713,4)="Pass","Nist SP 800-88",My_Audit!R713)&amp;""</f>
        <v/>
      </c>
      <c r="R713" s="45"/>
      <c r="S713" s="45"/>
      <c r="T713" s="46" t="str">
        <f>_xlfn.XLOOKUP(E713,Models!I:I,Models!J:J,"")</f>
        <v/>
      </c>
      <c r="U713" s="45"/>
      <c r="V713" s="45"/>
      <c r="W713" s="38"/>
    </row>
    <row r="714" spans="1:23">
      <c r="A714" s="45" t="str">
        <f>_xlfn.TEXTJOIN("",TRUE,Input!$B$2,ROW(My_Audit!A713))</f>
        <v>XX713</v>
      </c>
      <c r="B714" s="45"/>
      <c r="C714" s="45"/>
      <c r="D714" s="46" t="str" cm="1">
        <f t="array" ref="D714">IFERROR(_xlfn.LET(
_xlpm.CSVVal,_xlfn.XLOOKUP($A714,CSV!$A:$A,CSV!C:C,""),
_xlpm.MacVal,_xlfn.XLOOKUP($A714,Output_Mac!$A:$A,Output_Mac!D:D,""),
_xlpm.MyAuditVal,_xlfn.XLOOKUP($A714,My_Audit!$A:$A,My_Audit!C:C,""),
_xlfn.IFS(_xlpm.MyAuditVal&lt;&gt;"",UPPER(_xlpm.MyAuditVal),_xlpm.MacVal&lt;&gt;"",_xlpm.MacVal,_xlpm.CSVVal&lt;&gt;"",_xlpm.CSVVal
)),"")</f>
        <v/>
      </c>
      <c r="E714" s="46" t="str" cm="1">
        <f t="array" ref="E714">IFERROR(_xlfn.LET(
_xlpm.CSVVal,_xlfn.XLOOKUP($A714,CSV!$A:$A,CSV!E:E,""),
_xlpm.MacVal,_xlfn.XLOOKUP($A714,Output_Mac!$A:$A,Output_Mac!C:C,""),
_xlpm.MyAuditVal,_xlfn.XLOOKUP($A714,My_Audit!$A:$A,My_Audit!D:D,""),
_xlfn.IFS(_xlpm.MyAuditVal&lt;&gt;"",_xlpm.MyAuditVal,_xlpm.MacVal&lt;&gt;"",_xlpm.MacVal,_xlpm.CSVVal&lt;&gt;"",_xlpm.CSVVal
)),"")</f>
        <v/>
      </c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6" t="str">
        <f>IF(LEFT(N714,4)="Pass","Nist SP 800-88",My_Audit!R714)&amp;""</f>
        <v/>
      </c>
      <c r="R714" s="45"/>
      <c r="S714" s="45"/>
      <c r="T714" s="46" t="str">
        <f>_xlfn.XLOOKUP(E714,Models!I:I,Models!J:J,"")</f>
        <v/>
      </c>
      <c r="U714" s="45"/>
      <c r="V714" s="45"/>
      <c r="W714" s="38"/>
    </row>
    <row r="715" spans="1:23">
      <c r="A715" s="45" t="str">
        <f>_xlfn.TEXTJOIN("",TRUE,Input!$B$2,ROW(My_Audit!A714))</f>
        <v>XX714</v>
      </c>
      <c r="B715" s="45"/>
      <c r="C715" s="45"/>
      <c r="D715" s="46" t="str" cm="1">
        <f t="array" ref="D715">IFERROR(_xlfn.LET(
_xlpm.CSVVal,_xlfn.XLOOKUP($A715,CSV!$A:$A,CSV!C:C,""),
_xlpm.MacVal,_xlfn.XLOOKUP($A715,Output_Mac!$A:$A,Output_Mac!D:D,""),
_xlpm.MyAuditVal,_xlfn.XLOOKUP($A715,My_Audit!$A:$A,My_Audit!C:C,""),
_xlfn.IFS(_xlpm.MyAuditVal&lt;&gt;"",UPPER(_xlpm.MyAuditVal),_xlpm.MacVal&lt;&gt;"",_xlpm.MacVal,_xlpm.CSVVal&lt;&gt;"",_xlpm.CSVVal
)),"")</f>
        <v/>
      </c>
      <c r="E715" s="46" t="str" cm="1">
        <f t="array" ref="E715">IFERROR(_xlfn.LET(
_xlpm.CSVVal,_xlfn.XLOOKUP($A715,CSV!$A:$A,CSV!E:E,""),
_xlpm.MacVal,_xlfn.XLOOKUP($A715,Output_Mac!$A:$A,Output_Mac!C:C,""),
_xlpm.MyAuditVal,_xlfn.XLOOKUP($A715,My_Audit!$A:$A,My_Audit!D:D,""),
_xlfn.IFS(_xlpm.MyAuditVal&lt;&gt;"",_xlpm.MyAuditVal,_xlpm.MacVal&lt;&gt;"",_xlpm.MacVal,_xlpm.CSVVal&lt;&gt;"",_xlpm.CSVVal
)),"")</f>
        <v/>
      </c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6" t="str">
        <f>IF(LEFT(N715,4)="Pass","Nist SP 800-88",My_Audit!R715)&amp;""</f>
        <v/>
      </c>
      <c r="R715" s="45"/>
      <c r="S715" s="45"/>
      <c r="T715" s="46" t="str">
        <f>_xlfn.XLOOKUP(E715,Models!I:I,Models!J:J,"")</f>
        <v/>
      </c>
      <c r="U715" s="45"/>
      <c r="V715" s="45"/>
      <c r="W715" s="38"/>
    </row>
    <row r="716" spans="1:23">
      <c r="A716" s="45" t="str">
        <f>_xlfn.TEXTJOIN("",TRUE,Input!$B$2,ROW(My_Audit!A715))</f>
        <v>XX715</v>
      </c>
      <c r="B716" s="45"/>
      <c r="C716" s="45"/>
      <c r="D716" s="46" t="str" cm="1">
        <f t="array" ref="D716">IFERROR(_xlfn.LET(
_xlpm.CSVVal,_xlfn.XLOOKUP($A716,CSV!$A:$A,CSV!C:C,""),
_xlpm.MacVal,_xlfn.XLOOKUP($A716,Output_Mac!$A:$A,Output_Mac!D:D,""),
_xlpm.MyAuditVal,_xlfn.XLOOKUP($A716,My_Audit!$A:$A,My_Audit!C:C,""),
_xlfn.IFS(_xlpm.MyAuditVal&lt;&gt;"",UPPER(_xlpm.MyAuditVal),_xlpm.MacVal&lt;&gt;"",_xlpm.MacVal,_xlpm.CSVVal&lt;&gt;"",_xlpm.CSVVal
)),"")</f>
        <v/>
      </c>
      <c r="E716" s="46" t="str" cm="1">
        <f t="array" ref="E716">IFERROR(_xlfn.LET(
_xlpm.CSVVal,_xlfn.XLOOKUP($A716,CSV!$A:$A,CSV!E:E,""),
_xlpm.MacVal,_xlfn.XLOOKUP($A716,Output_Mac!$A:$A,Output_Mac!C:C,""),
_xlpm.MyAuditVal,_xlfn.XLOOKUP($A716,My_Audit!$A:$A,My_Audit!D:D,""),
_xlfn.IFS(_xlpm.MyAuditVal&lt;&gt;"",_xlpm.MyAuditVal,_xlpm.MacVal&lt;&gt;"",_xlpm.MacVal,_xlpm.CSVVal&lt;&gt;"",_xlpm.CSVVal
)),"")</f>
        <v/>
      </c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6" t="str">
        <f>IF(LEFT(N716,4)="Pass","Nist SP 800-88",My_Audit!R716)&amp;""</f>
        <v/>
      </c>
      <c r="R716" s="45"/>
      <c r="S716" s="45"/>
      <c r="T716" s="46" t="str">
        <f>_xlfn.XLOOKUP(E716,Models!I:I,Models!J:J,"")</f>
        <v/>
      </c>
      <c r="U716" s="45"/>
      <c r="V716" s="45"/>
      <c r="W716" s="38"/>
    </row>
    <row r="717" spans="1:23">
      <c r="A717" s="45" t="str">
        <f>_xlfn.TEXTJOIN("",TRUE,Input!$B$2,ROW(My_Audit!A716))</f>
        <v>XX716</v>
      </c>
      <c r="B717" s="45"/>
      <c r="C717" s="45"/>
      <c r="D717" s="46" t="str" cm="1">
        <f t="array" ref="D717">IFERROR(_xlfn.LET(
_xlpm.CSVVal,_xlfn.XLOOKUP($A717,CSV!$A:$A,CSV!C:C,""),
_xlpm.MacVal,_xlfn.XLOOKUP($A717,Output_Mac!$A:$A,Output_Mac!D:D,""),
_xlpm.MyAuditVal,_xlfn.XLOOKUP($A717,My_Audit!$A:$A,My_Audit!C:C,""),
_xlfn.IFS(_xlpm.MyAuditVal&lt;&gt;"",UPPER(_xlpm.MyAuditVal),_xlpm.MacVal&lt;&gt;"",_xlpm.MacVal,_xlpm.CSVVal&lt;&gt;"",_xlpm.CSVVal
)),"")</f>
        <v/>
      </c>
      <c r="E717" s="46" t="str" cm="1">
        <f t="array" ref="E717">IFERROR(_xlfn.LET(
_xlpm.CSVVal,_xlfn.XLOOKUP($A717,CSV!$A:$A,CSV!E:E,""),
_xlpm.MacVal,_xlfn.XLOOKUP($A717,Output_Mac!$A:$A,Output_Mac!C:C,""),
_xlpm.MyAuditVal,_xlfn.XLOOKUP($A717,My_Audit!$A:$A,My_Audit!D:D,""),
_xlfn.IFS(_xlpm.MyAuditVal&lt;&gt;"",_xlpm.MyAuditVal,_xlpm.MacVal&lt;&gt;"",_xlpm.MacVal,_xlpm.CSVVal&lt;&gt;"",_xlpm.CSVVal
)),"")</f>
        <v/>
      </c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6" t="str">
        <f>IF(LEFT(N717,4)="Pass","Nist SP 800-88",My_Audit!R717)&amp;""</f>
        <v/>
      </c>
      <c r="R717" s="45"/>
      <c r="S717" s="45"/>
      <c r="T717" s="46" t="str">
        <f>_xlfn.XLOOKUP(E717,Models!I:I,Models!J:J,"")</f>
        <v/>
      </c>
      <c r="U717" s="45"/>
      <c r="V717" s="45"/>
      <c r="W717" s="38"/>
    </row>
    <row r="718" spans="1:23">
      <c r="A718" s="45" t="str">
        <f>_xlfn.TEXTJOIN("",TRUE,Input!$B$2,ROW(My_Audit!A717))</f>
        <v>XX717</v>
      </c>
      <c r="B718" s="45"/>
      <c r="C718" s="45"/>
      <c r="D718" s="46" t="str" cm="1">
        <f t="array" ref="D718">IFERROR(_xlfn.LET(
_xlpm.CSVVal,_xlfn.XLOOKUP($A718,CSV!$A:$A,CSV!C:C,""),
_xlpm.MacVal,_xlfn.XLOOKUP($A718,Output_Mac!$A:$A,Output_Mac!D:D,""),
_xlpm.MyAuditVal,_xlfn.XLOOKUP($A718,My_Audit!$A:$A,My_Audit!C:C,""),
_xlfn.IFS(_xlpm.MyAuditVal&lt;&gt;"",UPPER(_xlpm.MyAuditVal),_xlpm.MacVal&lt;&gt;"",_xlpm.MacVal,_xlpm.CSVVal&lt;&gt;"",_xlpm.CSVVal
)),"")</f>
        <v/>
      </c>
      <c r="E718" s="46" t="str" cm="1">
        <f t="array" ref="E718">IFERROR(_xlfn.LET(
_xlpm.CSVVal,_xlfn.XLOOKUP($A718,CSV!$A:$A,CSV!E:E,""),
_xlpm.MacVal,_xlfn.XLOOKUP($A718,Output_Mac!$A:$A,Output_Mac!C:C,""),
_xlpm.MyAuditVal,_xlfn.XLOOKUP($A718,My_Audit!$A:$A,My_Audit!D:D,""),
_xlfn.IFS(_xlpm.MyAuditVal&lt;&gt;"",_xlpm.MyAuditVal,_xlpm.MacVal&lt;&gt;"",_xlpm.MacVal,_xlpm.CSVVal&lt;&gt;"",_xlpm.CSVVal
)),"")</f>
        <v/>
      </c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6" t="str">
        <f>IF(LEFT(N718,4)="Pass","Nist SP 800-88",My_Audit!R718)&amp;""</f>
        <v/>
      </c>
      <c r="R718" s="45"/>
      <c r="S718" s="45"/>
      <c r="T718" s="46" t="str">
        <f>_xlfn.XLOOKUP(E718,Models!I:I,Models!J:J,"")</f>
        <v/>
      </c>
      <c r="U718" s="45"/>
      <c r="V718" s="45"/>
      <c r="W718" s="38"/>
    </row>
    <row r="719" spans="1:23">
      <c r="A719" s="45" t="str">
        <f>_xlfn.TEXTJOIN("",TRUE,Input!$B$2,ROW(My_Audit!A718))</f>
        <v>XX718</v>
      </c>
      <c r="B719" s="45"/>
      <c r="C719" s="45"/>
      <c r="D719" s="46" t="str" cm="1">
        <f t="array" ref="D719">IFERROR(_xlfn.LET(
_xlpm.CSVVal,_xlfn.XLOOKUP($A719,CSV!$A:$A,CSV!C:C,""),
_xlpm.MacVal,_xlfn.XLOOKUP($A719,Output_Mac!$A:$A,Output_Mac!D:D,""),
_xlpm.MyAuditVal,_xlfn.XLOOKUP($A719,My_Audit!$A:$A,My_Audit!C:C,""),
_xlfn.IFS(_xlpm.MyAuditVal&lt;&gt;"",UPPER(_xlpm.MyAuditVal),_xlpm.MacVal&lt;&gt;"",_xlpm.MacVal,_xlpm.CSVVal&lt;&gt;"",_xlpm.CSVVal
)),"")</f>
        <v/>
      </c>
      <c r="E719" s="46" t="str" cm="1">
        <f t="array" ref="E719">IFERROR(_xlfn.LET(
_xlpm.CSVVal,_xlfn.XLOOKUP($A719,CSV!$A:$A,CSV!E:E,""),
_xlpm.MacVal,_xlfn.XLOOKUP($A719,Output_Mac!$A:$A,Output_Mac!C:C,""),
_xlpm.MyAuditVal,_xlfn.XLOOKUP($A719,My_Audit!$A:$A,My_Audit!D:D,""),
_xlfn.IFS(_xlpm.MyAuditVal&lt;&gt;"",_xlpm.MyAuditVal,_xlpm.MacVal&lt;&gt;"",_xlpm.MacVal,_xlpm.CSVVal&lt;&gt;"",_xlpm.CSVVal
)),"")</f>
        <v/>
      </c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6" t="str">
        <f>IF(LEFT(N719,4)="Pass","Nist SP 800-88",My_Audit!R719)&amp;""</f>
        <v/>
      </c>
      <c r="R719" s="45"/>
      <c r="S719" s="45"/>
      <c r="T719" s="46" t="str">
        <f>_xlfn.XLOOKUP(E719,Models!I:I,Models!J:J,"")</f>
        <v/>
      </c>
      <c r="U719" s="45"/>
      <c r="V719" s="45"/>
      <c r="W719" s="38"/>
    </row>
    <row r="720" spans="1:23">
      <c r="A720" s="45" t="str">
        <f>_xlfn.TEXTJOIN("",TRUE,Input!$B$2,ROW(My_Audit!A719))</f>
        <v>XX719</v>
      </c>
      <c r="B720" s="45"/>
      <c r="C720" s="45"/>
      <c r="D720" s="46" t="str" cm="1">
        <f t="array" ref="D720">IFERROR(_xlfn.LET(
_xlpm.CSVVal,_xlfn.XLOOKUP($A720,CSV!$A:$A,CSV!C:C,""),
_xlpm.MacVal,_xlfn.XLOOKUP($A720,Output_Mac!$A:$A,Output_Mac!D:D,""),
_xlpm.MyAuditVal,_xlfn.XLOOKUP($A720,My_Audit!$A:$A,My_Audit!C:C,""),
_xlfn.IFS(_xlpm.MyAuditVal&lt;&gt;"",UPPER(_xlpm.MyAuditVal),_xlpm.MacVal&lt;&gt;"",_xlpm.MacVal,_xlpm.CSVVal&lt;&gt;"",_xlpm.CSVVal
)),"")</f>
        <v/>
      </c>
      <c r="E720" s="46" t="str" cm="1">
        <f t="array" ref="E720">IFERROR(_xlfn.LET(
_xlpm.CSVVal,_xlfn.XLOOKUP($A720,CSV!$A:$A,CSV!E:E,""),
_xlpm.MacVal,_xlfn.XLOOKUP($A720,Output_Mac!$A:$A,Output_Mac!C:C,""),
_xlpm.MyAuditVal,_xlfn.XLOOKUP($A720,My_Audit!$A:$A,My_Audit!D:D,""),
_xlfn.IFS(_xlpm.MyAuditVal&lt;&gt;"",_xlpm.MyAuditVal,_xlpm.MacVal&lt;&gt;"",_xlpm.MacVal,_xlpm.CSVVal&lt;&gt;"",_xlpm.CSVVal
)),"")</f>
        <v/>
      </c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6" t="str">
        <f>IF(LEFT(N720,4)="Pass","Nist SP 800-88",My_Audit!R720)&amp;""</f>
        <v/>
      </c>
      <c r="R720" s="45"/>
      <c r="S720" s="45"/>
      <c r="T720" s="46" t="str">
        <f>_xlfn.XLOOKUP(E720,Models!I:I,Models!J:J,"")</f>
        <v/>
      </c>
      <c r="U720" s="45"/>
      <c r="V720" s="45"/>
      <c r="W720" s="38"/>
    </row>
    <row r="721" spans="1:23">
      <c r="A721" s="45" t="str">
        <f>_xlfn.TEXTJOIN("",TRUE,Input!$B$2,ROW(My_Audit!A720))</f>
        <v>XX720</v>
      </c>
      <c r="B721" s="45"/>
      <c r="C721" s="45"/>
      <c r="D721" s="46" t="str" cm="1">
        <f t="array" ref="D721">IFERROR(_xlfn.LET(
_xlpm.CSVVal,_xlfn.XLOOKUP($A721,CSV!$A:$A,CSV!C:C,""),
_xlpm.MacVal,_xlfn.XLOOKUP($A721,Output_Mac!$A:$A,Output_Mac!D:D,""),
_xlpm.MyAuditVal,_xlfn.XLOOKUP($A721,My_Audit!$A:$A,My_Audit!C:C,""),
_xlfn.IFS(_xlpm.MyAuditVal&lt;&gt;"",UPPER(_xlpm.MyAuditVal),_xlpm.MacVal&lt;&gt;"",_xlpm.MacVal,_xlpm.CSVVal&lt;&gt;"",_xlpm.CSVVal
)),"")</f>
        <v/>
      </c>
      <c r="E721" s="46" t="str" cm="1">
        <f t="array" ref="E721">IFERROR(_xlfn.LET(
_xlpm.CSVVal,_xlfn.XLOOKUP($A721,CSV!$A:$A,CSV!E:E,""),
_xlpm.MacVal,_xlfn.XLOOKUP($A721,Output_Mac!$A:$A,Output_Mac!C:C,""),
_xlpm.MyAuditVal,_xlfn.XLOOKUP($A721,My_Audit!$A:$A,My_Audit!D:D,""),
_xlfn.IFS(_xlpm.MyAuditVal&lt;&gt;"",_xlpm.MyAuditVal,_xlpm.MacVal&lt;&gt;"",_xlpm.MacVal,_xlpm.CSVVal&lt;&gt;"",_xlpm.CSVVal
)),"")</f>
        <v/>
      </c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6" t="str">
        <f>IF(LEFT(N721,4)="Pass","Nist SP 800-88",My_Audit!R721)&amp;""</f>
        <v/>
      </c>
      <c r="R721" s="45"/>
      <c r="S721" s="45"/>
      <c r="T721" s="46" t="str">
        <f>_xlfn.XLOOKUP(E721,Models!I:I,Models!J:J,"")</f>
        <v/>
      </c>
      <c r="U721" s="45"/>
      <c r="V721" s="45"/>
      <c r="W721" s="38"/>
    </row>
    <row r="722" spans="1:23">
      <c r="A722" s="45" t="str">
        <f>_xlfn.TEXTJOIN("",TRUE,Input!$B$2,ROW(My_Audit!A721))</f>
        <v>XX721</v>
      </c>
      <c r="B722" s="45"/>
      <c r="C722" s="45"/>
      <c r="D722" s="46" t="str" cm="1">
        <f t="array" ref="D722">IFERROR(_xlfn.LET(
_xlpm.CSVVal,_xlfn.XLOOKUP($A722,CSV!$A:$A,CSV!C:C,""),
_xlpm.MacVal,_xlfn.XLOOKUP($A722,Output_Mac!$A:$A,Output_Mac!D:D,""),
_xlpm.MyAuditVal,_xlfn.XLOOKUP($A722,My_Audit!$A:$A,My_Audit!C:C,""),
_xlfn.IFS(_xlpm.MyAuditVal&lt;&gt;"",UPPER(_xlpm.MyAuditVal),_xlpm.MacVal&lt;&gt;"",_xlpm.MacVal,_xlpm.CSVVal&lt;&gt;"",_xlpm.CSVVal
)),"")</f>
        <v/>
      </c>
      <c r="E722" s="46" t="str" cm="1">
        <f t="array" ref="E722">IFERROR(_xlfn.LET(
_xlpm.CSVVal,_xlfn.XLOOKUP($A722,CSV!$A:$A,CSV!E:E,""),
_xlpm.MacVal,_xlfn.XLOOKUP($A722,Output_Mac!$A:$A,Output_Mac!C:C,""),
_xlpm.MyAuditVal,_xlfn.XLOOKUP($A722,My_Audit!$A:$A,My_Audit!D:D,""),
_xlfn.IFS(_xlpm.MyAuditVal&lt;&gt;"",_xlpm.MyAuditVal,_xlpm.MacVal&lt;&gt;"",_xlpm.MacVal,_xlpm.CSVVal&lt;&gt;"",_xlpm.CSVVal
)),"")</f>
        <v/>
      </c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6" t="str">
        <f>IF(LEFT(N722,4)="Pass","Nist SP 800-88",My_Audit!R722)&amp;""</f>
        <v/>
      </c>
      <c r="R722" s="45"/>
      <c r="S722" s="45"/>
      <c r="T722" s="46" t="str">
        <f>_xlfn.XLOOKUP(E722,Models!I:I,Models!J:J,"")</f>
        <v/>
      </c>
      <c r="U722" s="45"/>
      <c r="V722" s="45"/>
      <c r="W722" s="38"/>
    </row>
    <row r="723" spans="1:23">
      <c r="A723" s="45" t="str">
        <f>_xlfn.TEXTJOIN("",TRUE,Input!$B$2,ROW(My_Audit!A722))</f>
        <v>XX722</v>
      </c>
      <c r="B723" s="45"/>
      <c r="C723" s="45"/>
      <c r="D723" s="46" t="str" cm="1">
        <f t="array" ref="D723">IFERROR(_xlfn.LET(
_xlpm.CSVVal,_xlfn.XLOOKUP($A723,CSV!$A:$A,CSV!C:C,""),
_xlpm.MacVal,_xlfn.XLOOKUP($A723,Output_Mac!$A:$A,Output_Mac!D:D,""),
_xlpm.MyAuditVal,_xlfn.XLOOKUP($A723,My_Audit!$A:$A,My_Audit!C:C,""),
_xlfn.IFS(_xlpm.MyAuditVal&lt;&gt;"",UPPER(_xlpm.MyAuditVal),_xlpm.MacVal&lt;&gt;"",_xlpm.MacVal,_xlpm.CSVVal&lt;&gt;"",_xlpm.CSVVal
)),"")</f>
        <v/>
      </c>
      <c r="E723" s="46" t="str" cm="1">
        <f t="array" ref="E723">IFERROR(_xlfn.LET(
_xlpm.CSVVal,_xlfn.XLOOKUP($A723,CSV!$A:$A,CSV!E:E,""),
_xlpm.MacVal,_xlfn.XLOOKUP($A723,Output_Mac!$A:$A,Output_Mac!C:C,""),
_xlpm.MyAuditVal,_xlfn.XLOOKUP($A723,My_Audit!$A:$A,My_Audit!D:D,""),
_xlfn.IFS(_xlpm.MyAuditVal&lt;&gt;"",_xlpm.MyAuditVal,_xlpm.MacVal&lt;&gt;"",_xlpm.MacVal,_xlpm.CSVVal&lt;&gt;"",_xlpm.CSVVal
)),"")</f>
        <v/>
      </c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6" t="str">
        <f>IF(LEFT(N723,4)="Pass","Nist SP 800-88",My_Audit!R723)&amp;""</f>
        <v/>
      </c>
      <c r="R723" s="45"/>
      <c r="S723" s="45"/>
      <c r="T723" s="46" t="str">
        <f>_xlfn.XLOOKUP(E723,Models!I:I,Models!J:J,"")</f>
        <v/>
      </c>
      <c r="U723" s="45"/>
      <c r="V723" s="45"/>
      <c r="W723" s="38"/>
    </row>
    <row r="724" spans="1:23">
      <c r="A724" s="45" t="str">
        <f>_xlfn.TEXTJOIN("",TRUE,Input!$B$2,ROW(My_Audit!A723))</f>
        <v>XX723</v>
      </c>
      <c r="B724" s="45"/>
      <c r="C724" s="45"/>
      <c r="D724" s="46" t="str" cm="1">
        <f t="array" ref="D724">IFERROR(_xlfn.LET(
_xlpm.CSVVal,_xlfn.XLOOKUP($A724,CSV!$A:$A,CSV!C:C,""),
_xlpm.MacVal,_xlfn.XLOOKUP($A724,Output_Mac!$A:$A,Output_Mac!D:D,""),
_xlpm.MyAuditVal,_xlfn.XLOOKUP($A724,My_Audit!$A:$A,My_Audit!C:C,""),
_xlfn.IFS(_xlpm.MyAuditVal&lt;&gt;"",UPPER(_xlpm.MyAuditVal),_xlpm.MacVal&lt;&gt;"",_xlpm.MacVal,_xlpm.CSVVal&lt;&gt;"",_xlpm.CSVVal
)),"")</f>
        <v/>
      </c>
      <c r="E724" s="46" t="str" cm="1">
        <f t="array" ref="E724">IFERROR(_xlfn.LET(
_xlpm.CSVVal,_xlfn.XLOOKUP($A724,CSV!$A:$A,CSV!E:E,""),
_xlpm.MacVal,_xlfn.XLOOKUP($A724,Output_Mac!$A:$A,Output_Mac!C:C,""),
_xlpm.MyAuditVal,_xlfn.XLOOKUP($A724,My_Audit!$A:$A,My_Audit!D:D,""),
_xlfn.IFS(_xlpm.MyAuditVal&lt;&gt;"",_xlpm.MyAuditVal,_xlpm.MacVal&lt;&gt;"",_xlpm.MacVal,_xlpm.CSVVal&lt;&gt;"",_xlpm.CSVVal
)),"")</f>
        <v/>
      </c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6" t="str">
        <f>IF(LEFT(N724,4)="Pass","Nist SP 800-88",My_Audit!R724)&amp;""</f>
        <v/>
      </c>
      <c r="R724" s="45"/>
      <c r="S724" s="45"/>
      <c r="T724" s="46" t="str">
        <f>_xlfn.XLOOKUP(E724,Models!I:I,Models!J:J,"")</f>
        <v/>
      </c>
      <c r="U724" s="45"/>
      <c r="V724" s="45"/>
      <c r="W724" s="38"/>
    </row>
    <row r="725" spans="1:23">
      <c r="A725" s="45" t="str">
        <f>_xlfn.TEXTJOIN("",TRUE,Input!$B$2,ROW(My_Audit!A724))</f>
        <v>XX724</v>
      </c>
      <c r="B725" s="45"/>
      <c r="C725" s="45"/>
      <c r="D725" s="46" t="str" cm="1">
        <f t="array" ref="D725">IFERROR(_xlfn.LET(
_xlpm.CSVVal,_xlfn.XLOOKUP($A725,CSV!$A:$A,CSV!C:C,""),
_xlpm.MacVal,_xlfn.XLOOKUP($A725,Output_Mac!$A:$A,Output_Mac!D:D,""),
_xlpm.MyAuditVal,_xlfn.XLOOKUP($A725,My_Audit!$A:$A,My_Audit!C:C,""),
_xlfn.IFS(_xlpm.MyAuditVal&lt;&gt;"",UPPER(_xlpm.MyAuditVal),_xlpm.MacVal&lt;&gt;"",_xlpm.MacVal,_xlpm.CSVVal&lt;&gt;"",_xlpm.CSVVal
)),"")</f>
        <v/>
      </c>
      <c r="E725" s="46" t="str" cm="1">
        <f t="array" ref="E725">IFERROR(_xlfn.LET(
_xlpm.CSVVal,_xlfn.XLOOKUP($A725,CSV!$A:$A,CSV!E:E,""),
_xlpm.MacVal,_xlfn.XLOOKUP($A725,Output_Mac!$A:$A,Output_Mac!C:C,""),
_xlpm.MyAuditVal,_xlfn.XLOOKUP($A725,My_Audit!$A:$A,My_Audit!D:D,""),
_xlfn.IFS(_xlpm.MyAuditVal&lt;&gt;"",_xlpm.MyAuditVal,_xlpm.MacVal&lt;&gt;"",_xlpm.MacVal,_xlpm.CSVVal&lt;&gt;"",_xlpm.CSVVal
)),"")</f>
        <v/>
      </c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6" t="str">
        <f>IF(LEFT(N725,4)="Pass","Nist SP 800-88",My_Audit!R725)&amp;""</f>
        <v/>
      </c>
      <c r="R725" s="45"/>
      <c r="S725" s="45"/>
      <c r="T725" s="46" t="str">
        <f>_xlfn.XLOOKUP(E725,Models!I:I,Models!J:J,"")</f>
        <v/>
      </c>
      <c r="U725" s="45"/>
      <c r="V725" s="45"/>
      <c r="W725" s="38"/>
    </row>
    <row r="726" spans="1:23">
      <c r="A726" s="45" t="str">
        <f>_xlfn.TEXTJOIN("",TRUE,Input!$B$2,ROW(My_Audit!A725))</f>
        <v>XX725</v>
      </c>
      <c r="B726" s="45"/>
      <c r="C726" s="45"/>
      <c r="D726" s="46" t="str" cm="1">
        <f t="array" ref="D726">IFERROR(_xlfn.LET(
_xlpm.CSVVal,_xlfn.XLOOKUP($A726,CSV!$A:$A,CSV!C:C,""),
_xlpm.MacVal,_xlfn.XLOOKUP($A726,Output_Mac!$A:$A,Output_Mac!D:D,""),
_xlpm.MyAuditVal,_xlfn.XLOOKUP($A726,My_Audit!$A:$A,My_Audit!C:C,""),
_xlfn.IFS(_xlpm.MyAuditVal&lt;&gt;"",UPPER(_xlpm.MyAuditVal),_xlpm.MacVal&lt;&gt;"",_xlpm.MacVal,_xlpm.CSVVal&lt;&gt;"",_xlpm.CSVVal
)),"")</f>
        <v/>
      </c>
      <c r="E726" s="46" t="str" cm="1">
        <f t="array" ref="E726">IFERROR(_xlfn.LET(
_xlpm.CSVVal,_xlfn.XLOOKUP($A726,CSV!$A:$A,CSV!E:E,""),
_xlpm.MacVal,_xlfn.XLOOKUP($A726,Output_Mac!$A:$A,Output_Mac!C:C,""),
_xlpm.MyAuditVal,_xlfn.XLOOKUP($A726,My_Audit!$A:$A,My_Audit!D:D,""),
_xlfn.IFS(_xlpm.MyAuditVal&lt;&gt;"",_xlpm.MyAuditVal,_xlpm.MacVal&lt;&gt;"",_xlpm.MacVal,_xlpm.CSVVal&lt;&gt;"",_xlpm.CSVVal
)),"")</f>
        <v/>
      </c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6" t="str">
        <f>IF(LEFT(N726,4)="Pass","Nist SP 800-88",My_Audit!R726)&amp;""</f>
        <v/>
      </c>
      <c r="R726" s="45"/>
      <c r="S726" s="45"/>
      <c r="T726" s="46" t="str">
        <f>_xlfn.XLOOKUP(E726,Models!I:I,Models!J:J,"")</f>
        <v/>
      </c>
      <c r="U726" s="45"/>
      <c r="V726" s="45"/>
      <c r="W726" s="38"/>
    </row>
    <row r="727" spans="1:23">
      <c r="A727" s="45" t="str">
        <f>_xlfn.TEXTJOIN("",TRUE,Input!$B$2,ROW(My_Audit!A726))</f>
        <v>XX726</v>
      </c>
      <c r="B727" s="45"/>
      <c r="C727" s="45"/>
      <c r="D727" s="46" t="str" cm="1">
        <f t="array" ref="D727">IFERROR(_xlfn.LET(
_xlpm.CSVVal,_xlfn.XLOOKUP($A727,CSV!$A:$A,CSV!C:C,""),
_xlpm.MacVal,_xlfn.XLOOKUP($A727,Output_Mac!$A:$A,Output_Mac!D:D,""),
_xlpm.MyAuditVal,_xlfn.XLOOKUP($A727,My_Audit!$A:$A,My_Audit!C:C,""),
_xlfn.IFS(_xlpm.MyAuditVal&lt;&gt;"",UPPER(_xlpm.MyAuditVal),_xlpm.MacVal&lt;&gt;"",_xlpm.MacVal,_xlpm.CSVVal&lt;&gt;"",_xlpm.CSVVal
)),"")</f>
        <v/>
      </c>
      <c r="E727" s="46" t="str" cm="1">
        <f t="array" ref="E727">IFERROR(_xlfn.LET(
_xlpm.CSVVal,_xlfn.XLOOKUP($A727,CSV!$A:$A,CSV!E:E,""),
_xlpm.MacVal,_xlfn.XLOOKUP($A727,Output_Mac!$A:$A,Output_Mac!C:C,""),
_xlpm.MyAuditVal,_xlfn.XLOOKUP($A727,My_Audit!$A:$A,My_Audit!D:D,""),
_xlfn.IFS(_xlpm.MyAuditVal&lt;&gt;"",_xlpm.MyAuditVal,_xlpm.MacVal&lt;&gt;"",_xlpm.MacVal,_xlpm.CSVVal&lt;&gt;"",_xlpm.CSVVal
)),"")</f>
        <v/>
      </c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6" t="str">
        <f>IF(LEFT(N727,4)="Pass","Nist SP 800-88",My_Audit!R727)&amp;""</f>
        <v/>
      </c>
      <c r="R727" s="45"/>
      <c r="S727" s="45"/>
      <c r="T727" s="46" t="str">
        <f>_xlfn.XLOOKUP(E727,Models!I:I,Models!J:J,"")</f>
        <v/>
      </c>
      <c r="U727" s="45"/>
      <c r="V727" s="45"/>
      <c r="W727" s="38"/>
    </row>
    <row r="728" spans="1:23">
      <c r="A728" s="45" t="str">
        <f>_xlfn.TEXTJOIN("",TRUE,Input!$B$2,ROW(My_Audit!A727))</f>
        <v>XX727</v>
      </c>
      <c r="B728" s="45"/>
      <c r="C728" s="45"/>
      <c r="D728" s="46" t="str" cm="1">
        <f t="array" ref="D728">IFERROR(_xlfn.LET(
_xlpm.CSVVal,_xlfn.XLOOKUP($A728,CSV!$A:$A,CSV!C:C,""),
_xlpm.MacVal,_xlfn.XLOOKUP($A728,Output_Mac!$A:$A,Output_Mac!D:D,""),
_xlpm.MyAuditVal,_xlfn.XLOOKUP($A728,My_Audit!$A:$A,My_Audit!C:C,""),
_xlfn.IFS(_xlpm.MyAuditVal&lt;&gt;"",UPPER(_xlpm.MyAuditVal),_xlpm.MacVal&lt;&gt;"",_xlpm.MacVal,_xlpm.CSVVal&lt;&gt;"",_xlpm.CSVVal
)),"")</f>
        <v/>
      </c>
      <c r="E728" s="46" t="str" cm="1">
        <f t="array" ref="E728">IFERROR(_xlfn.LET(
_xlpm.CSVVal,_xlfn.XLOOKUP($A728,CSV!$A:$A,CSV!E:E,""),
_xlpm.MacVal,_xlfn.XLOOKUP($A728,Output_Mac!$A:$A,Output_Mac!C:C,""),
_xlpm.MyAuditVal,_xlfn.XLOOKUP($A728,My_Audit!$A:$A,My_Audit!D:D,""),
_xlfn.IFS(_xlpm.MyAuditVal&lt;&gt;"",_xlpm.MyAuditVal,_xlpm.MacVal&lt;&gt;"",_xlpm.MacVal,_xlpm.CSVVal&lt;&gt;"",_xlpm.CSVVal
)),"")</f>
        <v/>
      </c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6" t="str">
        <f>IF(LEFT(N728,4)="Pass","Nist SP 800-88",My_Audit!R728)&amp;""</f>
        <v/>
      </c>
      <c r="R728" s="45"/>
      <c r="S728" s="45"/>
      <c r="T728" s="46" t="str">
        <f>_xlfn.XLOOKUP(E728,Models!I:I,Models!J:J,"")</f>
        <v/>
      </c>
      <c r="U728" s="45"/>
      <c r="V728" s="45"/>
      <c r="W728" s="38"/>
    </row>
    <row r="729" spans="1:23">
      <c r="A729" s="45" t="str">
        <f>_xlfn.TEXTJOIN("",TRUE,Input!$B$2,ROW(My_Audit!A728))</f>
        <v>XX728</v>
      </c>
      <c r="B729" s="45"/>
      <c r="C729" s="45"/>
      <c r="D729" s="46" t="str" cm="1">
        <f t="array" ref="D729">IFERROR(_xlfn.LET(
_xlpm.CSVVal,_xlfn.XLOOKUP($A729,CSV!$A:$A,CSV!C:C,""),
_xlpm.MacVal,_xlfn.XLOOKUP($A729,Output_Mac!$A:$A,Output_Mac!D:D,""),
_xlpm.MyAuditVal,_xlfn.XLOOKUP($A729,My_Audit!$A:$A,My_Audit!C:C,""),
_xlfn.IFS(_xlpm.MyAuditVal&lt;&gt;"",UPPER(_xlpm.MyAuditVal),_xlpm.MacVal&lt;&gt;"",_xlpm.MacVal,_xlpm.CSVVal&lt;&gt;"",_xlpm.CSVVal
)),"")</f>
        <v/>
      </c>
      <c r="E729" s="46" t="str" cm="1">
        <f t="array" ref="E729">IFERROR(_xlfn.LET(
_xlpm.CSVVal,_xlfn.XLOOKUP($A729,CSV!$A:$A,CSV!E:E,""),
_xlpm.MacVal,_xlfn.XLOOKUP($A729,Output_Mac!$A:$A,Output_Mac!C:C,""),
_xlpm.MyAuditVal,_xlfn.XLOOKUP($A729,My_Audit!$A:$A,My_Audit!D:D,""),
_xlfn.IFS(_xlpm.MyAuditVal&lt;&gt;"",_xlpm.MyAuditVal,_xlpm.MacVal&lt;&gt;"",_xlpm.MacVal,_xlpm.CSVVal&lt;&gt;"",_xlpm.CSVVal
)),"")</f>
        <v/>
      </c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6" t="str">
        <f>IF(LEFT(N729,4)="Pass","Nist SP 800-88",My_Audit!R729)&amp;""</f>
        <v/>
      </c>
      <c r="R729" s="45"/>
      <c r="S729" s="45"/>
      <c r="T729" s="46" t="str">
        <f>_xlfn.XLOOKUP(E729,Models!I:I,Models!J:J,"")</f>
        <v/>
      </c>
      <c r="U729" s="45"/>
      <c r="V729" s="45"/>
      <c r="W729" s="38"/>
    </row>
    <row r="730" spans="1:23">
      <c r="A730" s="45" t="str">
        <f>_xlfn.TEXTJOIN("",TRUE,Input!$B$2,ROW(My_Audit!A729))</f>
        <v>XX729</v>
      </c>
      <c r="B730" s="45"/>
      <c r="C730" s="45"/>
      <c r="D730" s="46" t="str" cm="1">
        <f t="array" ref="D730">IFERROR(_xlfn.LET(
_xlpm.CSVVal,_xlfn.XLOOKUP($A730,CSV!$A:$A,CSV!C:C,""),
_xlpm.MacVal,_xlfn.XLOOKUP($A730,Output_Mac!$A:$A,Output_Mac!D:D,""),
_xlpm.MyAuditVal,_xlfn.XLOOKUP($A730,My_Audit!$A:$A,My_Audit!C:C,""),
_xlfn.IFS(_xlpm.MyAuditVal&lt;&gt;"",UPPER(_xlpm.MyAuditVal),_xlpm.MacVal&lt;&gt;"",_xlpm.MacVal,_xlpm.CSVVal&lt;&gt;"",_xlpm.CSVVal
)),"")</f>
        <v/>
      </c>
      <c r="E730" s="46" t="str" cm="1">
        <f t="array" ref="E730">IFERROR(_xlfn.LET(
_xlpm.CSVVal,_xlfn.XLOOKUP($A730,CSV!$A:$A,CSV!E:E,""),
_xlpm.MacVal,_xlfn.XLOOKUP($A730,Output_Mac!$A:$A,Output_Mac!C:C,""),
_xlpm.MyAuditVal,_xlfn.XLOOKUP($A730,My_Audit!$A:$A,My_Audit!D:D,""),
_xlfn.IFS(_xlpm.MyAuditVal&lt;&gt;"",_xlpm.MyAuditVal,_xlpm.MacVal&lt;&gt;"",_xlpm.MacVal,_xlpm.CSVVal&lt;&gt;"",_xlpm.CSVVal
)),"")</f>
        <v/>
      </c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6" t="str">
        <f>IF(LEFT(N730,4)="Pass","Nist SP 800-88",My_Audit!R730)&amp;""</f>
        <v/>
      </c>
      <c r="R730" s="45"/>
      <c r="S730" s="45"/>
      <c r="T730" s="46" t="str">
        <f>_xlfn.XLOOKUP(E730,Models!I:I,Models!J:J,"")</f>
        <v/>
      </c>
      <c r="U730" s="45"/>
      <c r="V730" s="45"/>
      <c r="W730" s="38"/>
    </row>
    <row r="731" spans="1:23">
      <c r="A731" s="45" t="str">
        <f>_xlfn.TEXTJOIN("",TRUE,Input!$B$2,ROW(My_Audit!A730))</f>
        <v>XX730</v>
      </c>
      <c r="B731" s="45"/>
      <c r="C731" s="45"/>
      <c r="D731" s="46" t="str" cm="1">
        <f t="array" ref="D731">IFERROR(_xlfn.LET(
_xlpm.CSVVal,_xlfn.XLOOKUP($A731,CSV!$A:$A,CSV!C:C,""),
_xlpm.MacVal,_xlfn.XLOOKUP($A731,Output_Mac!$A:$A,Output_Mac!D:D,""),
_xlpm.MyAuditVal,_xlfn.XLOOKUP($A731,My_Audit!$A:$A,My_Audit!C:C,""),
_xlfn.IFS(_xlpm.MyAuditVal&lt;&gt;"",UPPER(_xlpm.MyAuditVal),_xlpm.MacVal&lt;&gt;"",_xlpm.MacVal,_xlpm.CSVVal&lt;&gt;"",_xlpm.CSVVal
)),"")</f>
        <v/>
      </c>
      <c r="E731" s="46" t="str" cm="1">
        <f t="array" ref="E731">IFERROR(_xlfn.LET(
_xlpm.CSVVal,_xlfn.XLOOKUP($A731,CSV!$A:$A,CSV!E:E,""),
_xlpm.MacVal,_xlfn.XLOOKUP($A731,Output_Mac!$A:$A,Output_Mac!C:C,""),
_xlpm.MyAuditVal,_xlfn.XLOOKUP($A731,My_Audit!$A:$A,My_Audit!D:D,""),
_xlfn.IFS(_xlpm.MyAuditVal&lt;&gt;"",_xlpm.MyAuditVal,_xlpm.MacVal&lt;&gt;"",_xlpm.MacVal,_xlpm.CSVVal&lt;&gt;"",_xlpm.CSVVal
)),"")</f>
        <v/>
      </c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6" t="str">
        <f>IF(LEFT(N731,4)="Pass","Nist SP 800-88",My_Audit!R731)&amp;""</f>
        <v/>
      </c>
      <c r="R731" s="45"/>
      <c r="S731" s="45"/>
      <c r="T731" s="46" t="str">
        <f>_xlfn.XLOOKUP(E731,Models!I:I,Models!J:J,"")</f>
        <v/>
      </c>
      <c r="U731" s="45"/>
      <c r="V731" s="45"/>
      <c r="W731" s="38"/>
    </row>
    <row r="732" spans="1:23">
      <c r="A732" s="45" t="str">
        <f>_xlfn.TEXTJOIN("",TRUE,Input!$B$2,ROW(My_Audit!A731))</f>
        <v>XX731</v>
      </c>
      <c r="B732" s="45"/>
      <c r="C732" s="45"/>
      <c r="D732" s="46" t="str" cm="1">
        <f t="array" ref="D732">IFERROR(_xlfn.LET(
_xlpm.CSVVal,_xlfn.XLOOKUP($A732,CSV!$A:$A,CSV!C:C,""),
_xlpm.MacVal,_xlfn.XLOOKUP($A732,Output_Mac!$A:$A,Output_Mac!D:D,""),
_xlpm.MyAuditVal,_xlfn.XLOOKUP($A732,My_Audit!$A:$A,My_Audit!C:C,""),
_xlfn.IFS(_xlpm.MyAuditVal&lt;&gt;"",UPPER(_xlpm.MyAuditVal),_xlpm.MacVal&lt;&gt;"",_xlpm.MacVal,_xlpm.CSVVal&lt;&gt;"",_xlpm.CSVVal
)),"")</f>
        <v/>
      </c>
      <c r="E732" s="46" t="str" cm="1">
        <f t="array" ref="E732">IFERROR(_xlfn.LET(
_xlpm.CSVVal,_xlfn.XLOOKUP($A732,CSV!$A:$A,CSV!E:E,""),
_xlpm.MacVal,_xlfn.XLOOKUP($A732,Output_Mac!$A:$A,Output_Mac!C:C,""),
_xlpm.MyAuditVal,_xlfn.XLOOKUP($A732,My_Audit!$A:$A,My_Audit!D:D,""),
_xlfn.IFS(_xlpm.MyAuditVal&lt;&gt;"",_xlpm.MyAuditVal,_xlpm.MacVal&lt;&gt;"",_xlpm.MacVal,_xlpm.CSVVal&lt;&gt;"",_xlpm.CSVVal
)),"")</f>
        <v/>
      </c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6" t="str">
        <f>IF(LEFT(N732,4)="Pass","Nist SP 800-88",My_Audit!R732)&amp;""</f>
        <v/>
      </c>
      <c r="R732" s="45"/>
      <c r="S732" s="45"/>
      <c r="T732" s="46" t="str">
        <f>_xlfn.XLOOKUP(E732,Models!I:I,Models!J:J,"")</f>
        <v/>
      </c>
      <c r="U732" s="45"/>
      <c r="V732" s="45"/>
      <c r="W732" s="38"/>
    </row>
    <row r="733" spans="1:23">
      <c r="A733" s="45" t="str">
        <f>_xlfn.TEXTJOIN("",TRUE,Input!$B$2,ROW(My_Audit!A732))</f>
        <v>XX732</v>
      </c>
      <c r="B733" s="45"/>
      <c r="C733" s="45"/>
      <c r="D733" s="46" t="str" cm="1">
        <f t="array" ref="D733">IFERROR(_xlfn.LET(
_xlpm.CSVVal,_xlfn.XLOOKUP($A733,CSV!$A:$A,CSV!C:C,""),
_xlpm.MacVal,_xlfn.XLOOKUP($A733,Output_Mac!$A:$A,Output_Mac!D:D,""),
_xlpm.MyAuditVal,_xlfn.XLOOKUP($A733,My_Audit!$A:$A,My_Audit!C:C,""),
_xlfn.IFS(_xlpm.MyAuditVal&lt;&gt;"",UPPER(_xlpm.MyAuditVal),_xlpm.MacVal&lt;&gt;"",_xlpm.MacVal,_xlpm.CSVVal&lt;&gt;"",_xlpm.CSVVal
)),"")</f>
        <v/>
      </c>
      <c r="E733" s="46" t="str" cm="1">
        <f t="array" ref="E733">IFERROR(_xlfn.LET(
_xlpm.CSVVal,_xlfn.XLOOKUP($A733,CSV!$A:$A,CSV!E:E,""),
_xlpm.MacVal,_xlfn.XLOOKUP($A733,Output_Mac!$A:$A,Output_Mac!C:C,""),
_xlpm.MyAuditVal,_xlfn.XLOOKUP($A733,My_Audit!$A:$A,My_Audit!D:D,""),
_xlfn.IFS(_xlpm.MyAuditVal&lt;&gt;"",_xlpm.MyAuditVal,_xlpm.MacVal&lt;&gt;"",_xlpm.MacVal,_xlpm.CSVVal&lt;&gt;"",_xlpm.CSVVal
)),"")</f>
        <v/>
      </c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6" t="str">
        <f>IF(LEFT(N733,4)="Pass","Nist SP 800-88",My_Audit!R733)&amp;""</f>
        <v/>
      </c>
      <c r="R733" s="45"/>
      <c r="S733" s="45"/>
      <c r="T733" s="46" t="str">
        <f>_xlfn.XLOOKUP(E733,Models!I:I,Models!J:J,"")</f>
        <v/>
      </c>
      <c r="U733" s="45"/>
      <c r="V733" s="45"/>
      <c r="W733" s="38"/>
    </row>
    <row r="734" spans="1:23">
      <c r="A734" s="45" t="str">
        <f>_xlfn.TEXTJOIN("",TRUE,Input!$B$2,ROW(My_Audit!A733))</f>
        <v>XX733</v>
      </c>
      <c r="B734" s="45"/>
      <c r="C734" s="45"/>
      <c r="D734" s="46" t="str" cm="1">
        <f t="array" ref="D734">IFERROR(_xlfn.LET(
_xlpm.CSVVal,_xlfn.XLOOKUP($A734,CSV!$A:$A,CSV!C:C,""),
_xlpm.MacVal,_xlfn.XLOOKUP($A734,Output_Mac!$A:$A,Output_Mac!D:D,""),
_xlpm.MyAuditVal,_xlfn.XLOOKUP($A734,My_Audit!$A:$A,My_Audit!C:C,""),
_xlfn.IFS(_xlpm.MyAuditVal&lt;&gt;"",UPPER(_xlpm.MyAuditVal),_xlpm.MacVal&lt;&gt;"",_xlpm.MacVal,_xlpm.CSVVal&lt;&gt;"",_xlpm.CSVVal
)),"")</f>
        <v/>
      </c>
      <c r="E734" s="46" t="str" cm="1">
        <f t="array" ref="E734">IFERROR(_xlfn.LET(
_xlpm.CSVVal,_xlfn.XLOOKUP($A734,CSV!$A:$A,CSV!E:E,""),
_xlpm.MacVal,_xlfn.XLOOKUP($A734,Output_Mac!$A:$A,Output_Mac!C:C,""),
_xlpm.MyAuditVal,_xlfn.XLOOKUP($A734,My_Audit!$A:$A,My_Audit!D:D,""),
_xlfn.IFS(_xlpm.MyAuditVal&lt;&gt;"",_xlpm.MyAuditVal,_xlpm.MacVal&lt;&gt;"",_xlpm.MacVal,_xlpm.CSVVal&lt;&gt;"",_xlpm.CSVVal
)),"")</f>
        <v/>
      </c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6" t="str">
        <f>IF(LEFT(N734,4)="Pass","Nist SP 800-88",My_Audit!R734)&amp;""</f>
        <v/>
      </c>
      <c r="R734" s="45"/>
      <c r="S734" s="45"/>
      <c r="T734" s="46" t="str">
        <f>_xlfn.XLOOKUP(E734,Models!I:I,Models!J:J,"")</f>
        <v/>
      </c>
      <c r="U734" s="45"/>
      <c r="V734" s="45"/>
      <c r="W734" s="38"/>
    </row>
    <row r="735" spans="1:23">
      <c r="A735" s="45" t="str">
        <f>_xlfn.TEXTJOIN("",TRUE,Input!$B$2,ROW(My_Audit!A734))</f>
        <v>XX734</v>
      </c>
      <c r="B735" s="45"/>
      <c r="C735" s="45"/>
      <c r="D735" s="46" t="str" cm="1">
        <f t="array" ref="D735">IFERROR(_xlfn.LET(
_xlpm.CSVVal,_xlfn.XLOOKUP($A735,CSV!$A:$A,CSV!C:C,""),
_xlpm.MacVal,_xlfn.XLOOKUP($A735,Output_Mac!$A:$A,Output_Mac!D:D,""),
_xlpm.MyAuditVal,_xlfn.XLOOKUP($A735,My_Audit!$A:$A,My_Audit!C:C,""),
_xlfn.IFS(_xlpm.MyAuditVal&lt;&gt;"",UPPER(_xlpm.MyAuditVal),_xlpm.MacVal&lt;&gt;"",_xlpm.MacVal,_xlpm.CSVVal&lt;&gt;"",_xlpm.CSVVal
)),"")</f>
        <v/>
      </c>
      <c r="E735" s="46" t="str" cm="1">
        <f t="array" ref="E735">IFERROR(_xlfn.LET(
_xlpm.CSVVal,_xlfn.XLOOKUP($A735,CSV!$A:$A,CSV!E:E,""),
_xlpm.MacVal,_xlfn.XLOOKUP($A735,Output_Mac!$A:$A,Output_Mac!C:C,""),
_xlpm.MyAuditVal,_xlfn.XLOOKUP($A735,My_Audit!$A:$A,My_Audit!D:D,""),
_xlfn.IFS(_xlpm.MyAuditVal&lt;&gt;"",_xlpm.MyAuditVal,_xlpm.MacVal&lt;&gt;"",_xlpm.MacVal,_xlpm.CSVVal&lt;&gt;"",_xlpm.CSVVal
)),"")</f>
        <v/>
      </c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6" t="str">
        <f>IF(LEFT(N735,4)="Pass","Nist SP 800-88",My_Audit!R735)&amp;""</f>
        <v/>
      </c>
      <c r="R735" s="45"/>
      <c r="S735" s="45"/>
      <c r="T735" s="46" t="str">
        <f>_xlfn.XLOOKUP(E735,Models!I:I,Models!J:J,"")</f>
        <v/>
      </c>
      <c r="U735" s="45"/>
      <c r="V735" s="45"/>
      <c r="W735" s="38"/>
    </row>
    <row r="736" spans="1:23">
      <c r="A736" s="45" t="str">
        <f>_xlfn.TEXTJOIN("",TRUE,Input!$B$2,ROW(My_Audit!A735))</f>
        <v>XX735</v>
      </c>
      <c r="B736" s="45"/>
      <c r="C736" s="45"/>
      <c r="D736" s="46" t="str" cm="1">
        <f t="array" ref="D736">IFERROR(_xlfn.LET(
_xlpm.CSVVal,_xlfn.XLOOKUP($A736,CSV!$A:$A,CSV!C:C,""),
_xlpm.MacVal,_xlfn.XLOOKUP($A736,Output_Mac!$A:$A,Output_Mac!D:D,""),
_xlpm.MyAuditVal,_xlfn.XLOOKUP($A736,My_Audit!$A:$A,My_Audit!C:C,""),
_xlfn.IFS(_xlpm.MyAuditVal&lt;&gt;"",UPPER(_xlpm.MyAuditVal),_xlpm.MacVal&lt;&gt;"",_xlpm.MacVal,_xlpm.CSVVal&lt;&gt;"",_xlpm.CSVVal
)),"")</f>
        <v/>
      </c>
      <c r="E736" s="46" t="str" cm="1">
        <f t="array" ref="E736">IFERROR(_xlfn.LET(
_xlpm.CSVVal,_xlfn.XLOOKUP($A736,CSV!$A:$A,CSV!E:E,""),
_xlpm.MacVal,_xlfn.XLOOKUP($A736,Output_Mac!$A:$A,Output_Mac!C:C,""),
_xlpm.MyAuditVal,_xlfn.XLOOKUP($A736,My_Audit!$A:$A,My_Audit!D:D,""),
_xlfn.IFS(_xlpm.MyAuditVal&lt;&gt;"",_xlpm.MyAuditVal,_xlpm.MacVal&lt;&gt;"",_xlpm.MacVal,_xlpm.CSVVal&lt;&gt;"",_xlpm.CSVVal
)),"")</f>
        <v/>
      </c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6" t="str">
        <f>IF(LEFT(N736,4)="Pass","Nist SP 800-88",My_Audit!R736)&amp;""</f>
        <v/>
      </c>
      <c r="R736" s="45"/>
      <c r="S736" s="45"/>
      <c r="T736" s="46" t="str">
        <f>_xlfn.XLOOKUP(E736,Models!I:I,Models!J:J,"")</f>
        <v/>
      </c>
      <c r="U736" s="45"/>
      <c r="V736" s="45"/>
      <c r="W736" s="38"/>
    </row>
    <row r="737" spans="1:23">
      <c r="A737" s="45" t="str">
        <f>_xlfn.TEXTJOIN("",TRUE,Input!$B$2,ROW(My_Audit!A736))</f>
        <v>XX736</v>
      </c>
      <c r="B737" s="45"/>
      <c r="C737" s="45"/>
      <c r="D737" s="46" t="str" cm="1">
        <f t="array" ref="D737">IFERROR(_xlfn.LET(
_xlpm.CSVVal,_xlfn.XLOOKUP($A737,CSV!$A:$A,CSV!C:C,""),
_xlpm.MacVal,_xlfn.XLOOKUP($A737,Output_Mac!$A:$A,Output_Mac!D:D,""),
_xlpm.MyAuditVal,_xlfn.XLOOKUP($A737,My_Audit!$A:$A,My_Audit!C:C,""),
_xlfn.IFS(_xlpm.MyAuditVal&lt;&gt;"",UPPER(_xlpm.MyAuditVal),_xlpm.MacVal&lt;&gt;"",_xlpm.MacVal,_xlpm.CSVVal&lt;&gt;"",_xlpm.CSVVal
)),"")</f>
        <v/>
      </c>
      <c r="E737" s="46" t="str" cm="1">
        <f t="array" ref="E737">IFERROR(_xlfn.LET(
_xlpm.CSVVal,_xlfn.XLOOKUP($A737,CSV!$A:$A,CSV!E:E,""),
_xlpm.MacVal,_xlfn.XLOOKUP($A737,Output_Mac!$A:$A,Output_Mac!C:C,""),
_xlpm.MyAuditVal,_xlfn.XLOOKUP($A737,My_Audit!$A:$A,My_Audit!D:D,""),
_xlfn.IFS(_xlpm.MyAuditVal&lt;&gt;"",_xlpm.MyAuditVal,_xlpm.MacVal&lt;&gt;"",_xlpm.MacVal,_xlpm.CSVVal&lt;&gt;"",_xlpm.CSVVal
)),"")</f>
        <v/>
      </c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6" t="str">
        <f>IF(LEFT(N737,4)="Pass","Nist SP 800-88",My_Audit!R737)&amp;""</f>
        <v/>
      </c>
      <c r="R737" s="45"/>
      <c r="S737" s="45"/>
      <c r="T737" s="46" t="str">
        <f>_xlfn.XLOOKUP(E737,Models!I:I,Models!J:J,"")</f>
        <v/>
      </c>
      <c r="U737" s="45"/>
      <c r="V737" s="45"/>
      <c r="W737" s="38"/>
    </row>
    <row r="738" spans="1:23">
      <c r="A738" s="45" t="str">
        <f>_xlfn.TEXTJOIN("",TRUE,Input!$B$2,ROW(My_Audit!A737))</f>
        <v>XX737</v>
      </c>
      <c r="B738" s="45"/>
      <c r="C738" s="45"/>
      <c r="D738" s="46" t="str" cm="1">
        <f t="array" ref="D738">IFERROR(_xlfn.LET(
_xlpm.CSVVal,_xlfn.XLOOKUP($A738,CSV!$A:$A,CSV!C:C,""),
_xlpm.MacVal,_xlfn.XLOOKUP($A738,Output_Mac!$A:$A,Output_Mac!D:D,""),
_xlpm.MyAuditVal,_xlfn.XLOOKUP($A738,My_Audit!$A:$A,My_Audit!C:C,""),
_xlfn.IFS(_xlpm.MyAuditVal&lt;&gt;"",UPPER(_xlpm.MyAuditVal),_xlpm.MacVal&lt;&gt;"",_xlpm.MacVal,_xlpm.CSVVal&lt;&gt;"",_xlpm.CSVVal
)),"")</f>
        <v/>
      </c>
      <c r="E738" s="46" t="str" cm="1">
        <f t="array" ref="E738">IFERROR(_xlfn.LET(
_xlpm.CSVVal,_xlfn.XLOOKUP($A738,CSV!$A:$A,CSV!E:E,""),
_xlpm.MacVal,_xlfn.XLOOKUP($A738,Output_Mac!$A:$A,Output_Mac!C:C,""),
_xlpm.MyAuditVal,_xlfn.XLOOKUP($A738,My_Audit!$A:$A,My_Audit!D:D,""),
_xlfn.IFS(_xlpm.MyAuditVal&lt;&gt;"",_xlpm.MyAuditVal,_xlpm.MacVal&lt;&gt;"",_xlpm.MacVal,_xlpm.CSVVal&lt;&gt;"",_xlpm.CSVVal
)),"")</f>
        <v/>
      </c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6" t="str">
        <f>IF(LEFT(N738,4)="Pass","Nist SP 800-88",My_Audit!R738)&amp;""</f>
        <v/>
      </c>
      <c r="R738" s="45"/>
      <c r="S738" s="45"/>
      <c r="T738" s="46" t="str">
        <f>_xlfn.XLOOKUP(E738,Models!I:I,Models!J:J,"")</f>
        <v/>
      </c>
      <c r="U738" s="45"/>
      <c r="V738" s="45"/>
      <c r="W738" s="38"/>
    </row>
    <row r="739" spans="1:23">
      <c r="A739" s="45" t="str">
        <f>_xlfn.TEXTJOIN("",TRUE,Input!$B$2,ROW(My_Audit!A738))</f>
        <v>XX738</v>
      </c>
      <c r="B739" s="45"/>
      <c r="C739" s="45"/>
      <c r="D739" s="46" t="str" cm="1">
        <f t="array" ref="D739">IFERROR(_xlfn.LET(
_xlpm.CSVVal,_xlfn.XLOOKUP($A739,CSV!$A:$A,CSV!C:C,""),
_xlpm.MacVal,_xlfn.XLOOKUP($A739,Output_Mac!$A:$A,Output_Mac!D:D,""),
_xlpm.MyAuditVal,_xlfn.XLOOKUP($A739,My_Audit!$A:$A,My_Audit!C:C,""),
_xlfn.IFS(_xlpm.MyAuditVal&lt;&gt;"",UPPER(_xlpm.MyAuditVal),_xlpm.MacVal&lt;&gt;"",_xlpm.MacVal,_xlpm.CSVVal&lt;&gt;"",_xlpm.CSVVal
)),"")</f>
        <v/>
      </c>
      <c r="E739" s="46" t="str" cm="1">
        <f t="array" ref="E739">IFERROR(_xlfn.LET(
_xlpm.CSVVal,_xlfn.XLOOKUP($A739,CSV!$A:$A,CSV!E:E,""),
_xlpm.MacVal,_xlfn.XLOOKUP($A739,Output_Mac!$A:$A,Output_Mac!C:C,""),
_xlpm.MyAuditVal,_xlfn.XLOOKUP($A739,My_Audit!$A:$A,My_Audit!D:D,""),
_xlfn.IFS(_xlpm.MyAuditVal&lt;&gt;"",_xlpm.MyAuditVal,_xlpm.MacVal&lt;&gt;"",_xlpm.MacVal,_xlpm.CSVVal&lt;&gt;"",_xlpm.CSVVal
)),"")</f>
        <v/>
      </c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6" t="str">
        <f>IF(LEFT(N739,4)="Pass","Nist SP 800-88",My_Audit!R739)&amp;""</f>
        <v/>
      </c>
      <c r="R739" s="45"/>
      <c r="S739" s="45"/>
      <c r="T739" s="46" t="str">
        <f>_xlfn.XLOOKUP(E739,Models!I:I,Models!J:J,"")</f>
        <v/>
      </c>
      <c r="U739" s="45"/>
      <c r="V739" s="45"/>
      <c r="W739" s="38"/>
    </row>
    <row r="740" spans="1:23">
      <c r="A740" s="45" t="str">
        <f>_xlfn.TEXTJOIN("",TRUE,Input!$B$2,ROW(My_Audit!A739))</f>
        <v>XX739</v>
      </c>
      <c r="B740" s="45"/>
      <c r="C740" s="45"/>
      <c r="D740" s="46" t="str" cm="1">
        <f t="array" ref="D740">IFERROR(_xlfn.LET(
_xlpm.CSVVal,_xlfn.XLOOKUP($A740,CSV!$A:$A,CSV!C:C,""),
_xlpm.MacVal,_xlfn.XLOOKUP($A740,Output_Mac!$A:$A,Output_Mac!D:D,""),
_xlpm.MyAuditVal,_xlfn.XLOOKUP($A740,My_Audit!$A:$A,My_Audit!C:C,""),
_xlfn.IFS(_xlpm.MyAuditVal&lt;&gt;"",UPPER(_xlpm.MyAuditVal),_xlpm.MacVal&lt;&gt;"",_xlpm.MacVal,_xlpm.CSVVal&lt;&gt;"",_xlpm.CSVVal
)),"")</f>
        <v/>
      </c>
      <c r="E740" s="46" t="str" cm="1">
        <f t="array" ref="E740">IFERROR(_xlfn.LET(
_xlpm.CSVVal,_xlfn.XLOOKUP($A740,CSV!$A:$A,CSV!E:E,""),
_xlpm.MacVal,_xlfn.XLOOKUP($A740,Output_Mac!$A:$A,Output_Mac!C:C,""),
_xlpm.MyAuditVal,_xlfn.XLOOKUP($A740,My_Audit!$A:$A,My_Audit!D:D,""),
_xlfn.IFS(_xlpm.MyAuditVal&lt;&gt;"",_xlpm.MyAuditVal,_xlpm.MacVal&lt;&gt;"",_xlpm.MacVal,_xlpm.CSVVal&lt;&gt;"",_xlpm.CSVVal
)),"")</f>
        <v/>
      </c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6" t="str">
        <f>IF(LEFT(N740,4)="Pass","Nist SP 800-88",My_Audit!R740)&amp;""</f>
        <v/>
      </c>
      <c r="R740" s="45"/>
      <c r="S740" s="45"/>
      <c r="T740" s="46" t="str">
        <f>_xlfn.XLOOKUP(E740,Models!I:I,Models!J:J,"")</f>
        <v/>
      </c>
      <c r="U740" s="45"/>
      <c r="V740" s="45"/>
      <c r="W740" s="38"/>
    </row>
    <row r="741" spans="1:23">
      <c r="A741" s="45" t="str">
        <f>_xlfn.TEXTJOIN("",TRUE,Input!$B$2,ROW(My_Audit!A740))</f>
        <v>XX740</v>
      </c>
      <c r="B741" s="45"/>
      <c r="C741" s="45"/>
      <c r="D741" s="46" t="str" cm="1">
        <f t="array" ref="D741">IFERROR(_xlfn.LET(
_xlpm.CSVVal,_xlfn.XLOOKUP($A741,CSV!$A:$A,CSV!C:C,""),
_xlpm.MacVal,_xlfn.XLOOKUP($A741,Output_Mac!$A:$A,Output_Mac!D:D,""),
_xlpm.MyAuditVal,_xlfn.XLOOKUP($A741,My_Audit!$A:$A,My_Audit!C:C,""),
_xlfn.IFS(_xlpm.MyAuditVal&lt;&gt;"",UPPER(_xlpm.MyAuditVal),_xlpm.MacVal&lt;&gt;"",_xlpm.MacVal,_xlpm.CSVVal&lt;&gt;"",_xlpm.CSVVal
)),"")</f>
        <v/>
      </c>
      <c r="E741" s="46" t="str" cm="1">
        <f t="array" ref="E741">IFERROR(_xlfn.LET(
_xlpm.CSVVal,_xlfn.XLOOKUP($A741,CSV!$A:$A,CSV!E:E,""),
_xlpm.MacVal,_xlfn.XLOOKUP($A741,Output_Mac!$A:$A,Output_Mac!C:C,""),
_xlpm.MyAuditVal,_xlfn.XLOOKUP($A741,My_Audit!$A:$A,My_Audit!D:D,""),
_xlfn.IFS(_xlpm.MyAuditVal&lt;&gt;"",_xlpm.MyAuditVal,_xlpm.MacVal&lt;&gt;"",_xlpm.MacVal,_xlpm.CSVVal&lt;&gt;"",_xlpm.CSVVal
)),"")</f>
        <v/>
      </c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6" t="str">
        <f>IF(LEFT(N741,4)="Pass","Nist SP 800-88",My_Audit!R741)&amp;""</f>
        <v/>
      </c>
      <c r="R741" s="45"/>
      <c r="S741" s="45"/>
      <c r="T741" s="46" t="str">
        <f>_xlfn.XLOOKUP(E741,Models!I:I,Models!J:J,"")</f>
        <v/>
      </c>
      <c r="U741" s="45"/>
      <c r="V741" s="45"/>
      <c r="W741" s="38"/>
    </row>
    <row r="742" spans="1:23">
      <c r="A742" s="45" t="str">
        <f>_xlfn.TEXTJOIN("",TRUE,Input!$B$2,ROW(My_Audit!A741))</f>
        <v>XX741</v>
      </c>
      <c r="B742" s="45"/>
      <c r="C742" s="45"/>
      <c r="D742" s="46" t="str" cm="1">
        <f t="array" ref="D742">IFERROR(_xlfn.LET(
_xlpm.CSVVal,_xlfn.XLOOKUP($A742,CSV!$A:$A,CSV!C:C,""),
_xlpm.MacVal,_xlfn.XLOOKUP($A742,Output_Mac!$A:$A,Output_Mac!D:D,""),
_xlpm.MyAuditVal,_xlfn.XLOOKUP($A742,My_Audit!$A:$A,My_Audit!C:C,""),
_xlfn.IFS(_xlpm.MyAuditVal&lt;&gt;"",UPPER(_xlpm.MyAuditVal),_xlpm.MacVal&lt;&gt;"",_xlpm.MacVal,_xlpm.CSVVal&lt;&gt;"",_xlpm.CSVVal
)),"")</f>
        <v/>
      </c>
      <c r="E742" s="46" t="str" cm="1">
        <f t="array" ref="E742">IFERROR(_xlfn.LET(
_xlpm.CSVVal,_xlfn.XLOOKUP($A742,CSV!$A:$A,CSV!E:E,""),
_xlpm.MacVal,_xlfn.XLOOKUP($A742,Output_Mac!$A:$A,Output_Mac!C:C,""),
_xlpm.MyAuditVal,_xlfn.XLOOKUP($A742,My_Audit!$A:$A,My_Audit!D:D,""),
_xlfn.IFS(_xlpm.MyAuditVal&lt;&gt;"",_xlpm.MyAuditVal,_xlpm.MacVal&lt;&gt;"",_xlpm.MacVal,_xlpm.CSVVal&lt;&gt;"",_xlpm.CSVVal
)),"")</f>
        <v/>
      </c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6" t="str">
        <f>IF(LEFT(N742,4)="Pass","Nist SP 800-88",My_Audit!R742)&amp;""</f>
        <v/>
      </c>
      <c r="R742" s="45"/>
      <c r="S742" s="45"/>
      <c r="T742" s="46" t="str">
        <f>_xlfn.XLOOKUP(E742,Models!I:I,Models!J:J,"")</f>
        <v/>
      </c>
      <c r="U742" s="45"/>
      <c r="V742" s="45"/>
      <c r="W742" s="38"/>
    </row>
    <row r="743" spans="1:23">
      <c r="A743" s="45" t="str">
        <f>_xlfn.TEXTJOIN("",TRUE,Input!$B$2,ROW(My_Audit!A742))</f>
        <v>XX742</v>
      </c>
      <c r="B743" s="45"/>
      <c r="C743" s="45"/>
      <c r="D743" s="46" t="str" cm="1">
        <f t="array" ref="D743">IFERROR(_xlfn.LET(
_xlpm.CSVVal,_xlfn.XLOOKUP($A743,CSV!$A:$A,CSV!C:C,""),
_xlpm.MacVal,_xlfn.XLOOKUP($A743,Output_Mac!$A:$A,Output_Mac!D:D,""),
_xlpm.MyAuditVal,_xlfn.XLOOKUP($A743,My_Audit!$A:$A,My_Audit!C:C,""),
_xlfn.IFS(_xlpm.MyAuditVal&lt;&gt;"",UPPER(_xlpm.MyAuditVal),_xlpm.MacVal&lt;&gt;"",_xlpm.MacVal,_xlpm.CSVVal&lt;&gt;"",_xlpm.CSVVal
)),"")</f>
        <v/>
      </c>
      <c r="E743" s="46" t="str" cm="1">
        <f t="array" ref="E743">IFERROR(_xlfn.LET(
_xlpm.CSVVal,_xlfn.XLOOKUP($A743,CSV!$A:$A,CSV!E:E,""),
_xlpm.MacVal,_xlfn.XLOOKUP($A743,Output_Mac!$A:$A,Output_Mac!C:C,""),
_xlpm.MyAuditVal,_xlfn.XLOOKUP($A743,My_Audit!$A:$A,My_Audit!D:D,""),
_xlfn.IFS(_xlpm.MyAuditVal&lt;&gt;"",_xlpm.MyAuditVal,_xlpm.MacVal&lt;&gt;"",_xlpm.MacVal,_xlpm.CSVVal&lt;&gt;"",_xlpm.CSVVal
)),"")</f>
        <v/>
      </c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6" t="str">
        <f>IF(LEFT(N743,4)="Pass","Nist SP 800-88",My_Audit!R743)&amp;""</f>
        <v/>
      </c>
      <c r="R743" s="45"/>
      <c r="S743" s="45"/>
      <c r="T743" s="46" t="str">
        <f>_xlfn.XLOOKUP(E743,Models!I:I,Models!J:J,"")</f>
        <v/>
      </c>
      <c r="U743" s="45"/>
      <c r="V743" s="45"/>
      <c r="W743" s="38"/>
    </row>
    <row r="744" spans="1:23">
      <c r="A744" s="45" t="str">
        <f>_xlfn.TEXTJOIN("",TRUE,Input!$B$2,ROW(My_Audit!A743))</f>
        <v>XX743</v>
      </c>
      <c r="B744" s="45"/>
      <c r="C744" s="45"/>
      <c r="D744" s="46" t="str" cm="1">
        <f t="array" ref="D744">IFERROR(_xlfn.LET(
_xlpm.CSVVal,_xlfn.XLOOKUP($A744,CSV!$A:$A,CSV!C:C,""),
_xlpm.MacVal,_xlfn.XLOOKUP($A744,Output_Mac!$A:$A,Output_Mac!D:D,""),
_xlpm.MyAuditVal,_xlfn.XLOOKUP($A744,My_Audit!$A:$A,My_Audit!C:C,""),
_xlfn.IFS(_xlpm.MyAuditVal&lt;&gt;"",UPPER(_xlpm.MyAuditVal),_xlpm.MacVal&lt;&gt;"",_xlpm.MacVal,_xlpm.CSVVal&lt;&gt;"",_xlpm.CSVVal
)),"")</f>
        <v/>
      </c>
      <c r="E744" s="46" t="str" cm="1">
        <f t="array" ref="E744">IFERROR(_xlfn.LET(
_xlpm.CSVVal,_xlfn.XLOOKUP($A744,CSV!$A:$A,CSV!E:E,""),
_xlpm.MacVal,_xlfn.XLOOKUP($A744,Output_Mac!$A:$A,Output_Mac!C:C,""),
_xlpm.MyAuditVal,_xlfn.XLOOKUP($A744,My_Audit!$A:$A,My_Audit!D:D,""),
_xlfn.IFS(_xlpm.MyAuditVal&lt;&gt;"",_xlpm.MyAuditVal,_xlpm.MacVal&lt;&gt;"",_xlpm.MacVal,_xlpm.CSVVal&lt;&gt;"",_xlpm.CSVVal
)),"")</f>
        <v/>
      </c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6" t="str">
        <f>IF(LEFT(N744,4)="Pass","Nist SP 800-88",My_Audit!R744)&amp;""</f>
        <v/>
      </c>
      <c r="R744" s="45"/>
      <c r="S744" s="45"/>
      <c r="T744" s="46" t="str">
        <f>_xlfn.XLOOKUP(E744,Models!I:I,Models!J:J,"")</f>
        <v/>
      </c>
      <c r="U744" s="45"/>
      <c r="V744" s="45"/>
      <c r="W744" s="38"/>
    </row>
    <row r="745" spans="1:23">
      <c r="A745" s="45" t="str">
        <f>_xlfn.TEXTJOIN("",TRUE,Input!$B$2,ROW(My_Audit!A744))</f>
        <v>XX744</v>
      </c>
      <c r="B745" s="45"/>
      <c r="C745" s="45"/>
      <c r="D745" s="46" t="str" cm="1">
        <f t="array" ref="D745">IFERROR(_xlfn.LET(
_xlpm.CSVVal,_xlfn.XLOOKUP($A745,CSV!$A:$A,CSV!C:C,""),
_xlpm.MacVal,_xlfn.XLOOKUP($A745,Output_Mac!$A:$A,Output_Mac!D:D,""),
_xlpm.MyAuditVal,_xlfn.XLOOKUP($A745,My_Audit!$A:$A,My_Audit!C:C,""),
_xlfn.IFS(_xlpm.MyAuditVal&lt;&gt;"",UPPER(_xlpm.MyAuditVal),_xlpm.MacVal&lt;&gt;"",_xlpm.MacVal,_xlpm.CSVVal&lt;&gt;"",_xlpm.CSVVal
)),"")</f>
        <v/>
      </c>
      <c r="E745" s="46" t="str" cm="1">
        <f t="array" ref="E745">IFERROR(_xlfn.LET(
_xlpm.CSVVal,_xlfn.XLOOKUP($A745,CSV!$A:$A,CSV!E:E,""),
_xlpm.MacVal,_xlfn.XLOOKUP($A745,Output_Mac!$A:$A,Output_Mac!C:C,""),
_xlpm.MyAuditVal,_xlfn.XLOOKUP($A745,My_Audit!$A:$A,My_Audit!D:D,""),
_xlfn.IFS(_xlpm.MyAuditVal&lt;&gt;"",_xlpm.MyAuditVal,_xlpm.MacVal&lt;&gt;"",_xlpm.MacVal,_xlpm.CSVVal&lt;&gt;"",_xlpm.CSVVal
)),"")</f>
        <v/>
      </c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6" t="str">
        <f>IF(LEFT(N745,4)="Pass","Nist SP 800-88",My_Audit!R745)&amp;""</f>
        <v/>
      </c>
      <c r="R745" s="45"/>
      <c r="S745" s="45"/>
      <c r="T745" s="46" t="str">
        <f>_xlfn.XLOOKUP(E745,Models!I:I,Models!J:J,"")</f>
        <v/>
      </c>
      <c r="U745" s="45"/>
      <c r="V745" s="45"/>
      <c r="W745" s="38"/>
    </row>
    <row r="746" spans="1:23">
      <c r="A746" s="45" t="str">
        <f>_xlfn.TEXTJOIN("",TRUE,Input!$B$2,ROW(My_Audit!A745))</f>
        <v>XX745</v>
      </c>
      <c r="B746" s="45"/>
      <c r="C746" s="45"/>
      <c r="D746" s="46" t="str" cm="1">
        <f t="array" ref="D746">IFERROR(_xlfn.LET(
_xlpm.CSVVal,_xlfn.XLOOKUP($A746,CSV!$A:$A,CSV!C:C,""),
_xlpm.MacVal,_xlfn.XLOOKUP($A746,Output_Mac!$A:$A,Output_Mac!D:D,""),
_xlpm.MyAuditVal,_xlfn.XLOOKUP($A746,My_Audit!$A:$A,My_Audit!C:C,""),
_xlfn.IFS(_xlpm.MyAuditVal&lt;&gt;"",UPPER(_xlpm.MyAuditVal),_xlpm.MacVal&lt;&gt;"",_xlpm.MacVal,_xlpm.CSVVal&lt;&gt;"",_xlpm.CSVVal
)),"")</f>
        <v/>
      </c>
      <c r="E746" s="46" t="str" cm="1">
        <f t="array" ref="E746">IFERROR(_xlfn.LET(
_xlpm.CSVVal,_xlfn.XLOOKUP($A746,CSV!$A:$A,CSV!E:E,""),
_xlpm.MacVal,_xlfn.XLOOKUP($A746,Output_Mac!$A:$A,Output_Mac!C:C,""),
_xlpm.MyAuditVal,_xlfn.XLOOKUP($A746,My_Audit!$A:$A,My_Audit!D:D,""),
_xlfn.IFS(_xlpm.MyAuditVal&lt;&gt;"",_xlpm.MyAuditVal,_xlpm.MacVal&lt;&gt;"",_xlpm.MacVal,_xlpm.CSVVal&lt;&gt;"",_xlpm.CSVVal
)),"")</f>
        <v/>
      </c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6" t="str">
        <f>IF(LEFT(N746,4)="Pass","Nist SP 800-88",My_Audit!R746)&amp;""</f>
        <v/>
      </c>
      <c r="R746" s="45"/>
      <c r="S746" s="45"/>
      <c r="T746" s="46" t="str">
        <f>_xlfn.XLOOKUP(E746,Models!I:I,Models!J:J,"")</f>
        <v/>
      </c>
      <c r="U746" s="45"/>
      <c r="V746" s="45"/>
      <c r="W746" s="38"/>
    </row>
    <row r="747" spans="1:23">
      <c r="A747" s="45" t="str">
        <f>_xlfn.TEXTJOIN("",TRUE,Input!$B$2,ROW(My_Audit!A746))</f>
        <v>XX746</v>
      </c>
      <c r="B747" s="45"/>
      <c r="C747" s="45"/>
      <c r="D747" s="46" t="str" cm="1">
        <f t="array" ref="D747">IFERROR(_xlfn.LET(
_xlpm.CSVVal,_xlfn.XLOOKUP($A747,CSV!$A:$A,CSV!C:C,""),
_xlpm.MacVal,_xlfn.XLOOKUP($A747,Output_Mac!$A:$A,Output_Mac!D:D,""),
_xlpm.MyAuditVal,_xlfn.XLOOKUP($A747,My_Audit!$A:$A,My_Audit!C:C,""),
_xlfn.IFS(_xlpm.MyAuditVal&lt;&gt;"",UPPER(_xlpm.MyAuditVal),_xlpm.MacVal&lt;&gt;"",_xlpm.MacVal,_xlpm.CSVVal&lt;&gt;"",_xlpm.CSVVal
)),"")</f>
        <v/>
      </c>
      <c r="E747" s="46" t="str" cm="1">
        <f t="array" ref="E747">IFERROR(_xlfn.LET(
_xlpm.CSVVal,_xlfn.XLOOKUP($A747,CSV!$A:$A,CSV!E:E,""),
_xlpm.MacVal,_xlfn.XLOOKUP($A747,Output_Mac!$A:$A,Output_Mac!C:C,""),
_xlpm.MyAuditVal,_xlfn.XLOOKUP($A747,My_Audit!$A:$A,My_Audit!D:D,""),
_xlfn.IFS(_xlpm.MyAuditVal&lt;&gt;"",_xlpm.MyAuditVal,_xlpm.MacVal&lt;&gt;"",_xlpm.MacVal,_xlpm.CSVVal&lt;&gt;"",_xlpm.CSVVal
)),"")</f>
        <v/>
      </c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6" t="str">
        <f>IF(LEFT(N747,4)="Pass","Nist SP 800-88",My_Audit!R747)&amp;""</f>
        <v/>
      </c>
      <c r="R747" s="45"/>
      <c r="S747" s="45"/>
      <c r="T747" s="46" t="str">
        <f>_xlfn.XLOOKUP(E747,Models!I:I,Models!J:J,"")</f>
        <v/>
      </c>
      <c r="U747" s="45"/>
      <c r="V747" s="45"/>
      <c r="W747" s="38"/>
    </row>
    <row r="748" spans="1:23">
      <c r="A748" s="45" t="str">
        <f>_xlfn.TEXTJOIN("",TRUE,Input!$B$2,ROW(My_Audit!A747))</f>
        <v>XX747</v>
      </c>
      <c r="B748" s="45"/>
      <c r="C748" s="45"/>
      <c r="D748" s="46" t="str" cm="1">
        <f t="array" ref="D748">IFERROR(_xlfn.LET(
_xlpm.CSVVal,_xlfn.XLOOKUP($A748,CSV!$A:$A,CSV!C:C,""),
_xlpm.MacVal,_xlfn.XLOOKUP($A748,Output_Mac!$A:$A,Output_Mac!D:D,""),
_xlpm.MyAuditVal,_xlfn.XLOOKUP($A748,My_Audit!$A:$A,My_Audit!C:C,""),
_xlfn.IFS(_xlpm.MyAuditVal&lt;&gt;"",UPPER(_xlpm.MyAuditVal),_xlpm.MacVal&lt;&gt;"",_xlpm.MacVal,_xlpm.CSVVal&lt;&gt;"",_xlpm.CSVVal
)),"")</f>
        <v/>
      </c>
      <c r="E748" s="46" t="str" cm="1">
        <f t="array" ref="E748">IFERROR(_xlfn.LET(
_xlpm.CSVVal,_xlfn.XLOOKUP($A748,CSV!$A:$A,CSV!E:E,""),
_xlpm.MacVal,_xlfn.XLOOKUP($A748,Output_Mac!$A:$A,Output_Mac!C:C,""),
_xlpm.MyAuditVal,_xlfn.XLOOKUP($A748,My_Audit!$A:$A,My_Audit!D:D,""),
_xlfn.IFS(_xlpm.MyAuditVal&lt;&gt;"",_xlpm.MyAuditVal,_xlpm.MacVal&lt;&gt;"",_xlpm.MacVal,_xlpm.CSVVal&lt;&gt;"",_xlpm.CSVVal
)),"")</f>
        <v/>
      </c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6" t="str">
        <f>IF(LEFT(N748,4)="Pass","Nist SP 800-88",My_Audit!R748)&amp;""</f>
        <v/>
      </c>
      <c r="R748" s="45"/>
      <c r="S748" s="45"/>
      <c r="T748" s="46" t="str">
        <f>_xlfn.XLOOKUP(E748,Models!I:I,Models!J:J,"")</f>
        <v/>
      </c>
      <c r="U748" s="45"/>
      <c r="V748" s="45"/>
      <c r="W748" s="38"/>
    </row>
    <row r="749" spans="1:23">
      <c r="A749" s="45" t="str">
        <f>_xlfn.TEXTJOIN("",TRUE,Input!$B$2,ROW(My_Audit!A748))</f>
        <v>XX748</v>
      </c>
      <c r="B749" s="45"/>
      <c r="C749" s="45"/>
      <c r="D749" s="46" t="str" cm="1">
        <f t="array" ref="D749">IFERROR(_xlfn.LET(
_xlpm.CSVVal,_xlfn.XLOOKUP($A749,CSV!$A:$A,CSV!C:C,""),
_xlpm.MacVal,_xlfn.XLOOKUP($A749,Output_Mac!$A:$A,Output_Mac!D:D,""),
_xlpm.MyAuditVal,_xlfn.XLOOKUP($A749,My_Audit!$A:$A,My_Audit!C:C,""),
_xlfn.IFS(_xlpm.MyAuditVal&lt;&gt;"",UPPER(_xlpm.MyAuditVal),_xlpm.MacVal&lt;&gt;"",_xlpm.MacVal,_xlpm.CSVVal&lt;&gt;"",_xlpm.CSVVal
)),"")</f>
        <v/>
      </c>
      <c r="E749" s="46" t="str" cm="1">
        <f t="array" ref="E749">IFERROR(_xlfn.LET(
_xlpm.CSVVal,_xlfn.XLOOKUP($A749,CSV!$A:$A,CSV!E:E,""),
_xlpm.MacVal,_xlfn.XLOOKUP($A749,Output_Mac!$A:$A,Output_Mac!C:C,""),
_xlpm.MyAuditVal,_xlfn.XLOOKUP($A749,My_Audit!$A:$A,My_Audit!D:D,""),
_xlfn.IFS(_xlpm.MyAuditVal&lt;&gt;"",_xlpm.MyAuditVal,_xlpm.MacVal&lt;&gt;"",_xlpm.MacVal,_xlpm.CSVVal&lt;&gt;"",_xlpm.CSVVal
)),"")</f>
        <v/>
      </c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6" t="str">
        <f>IF(LEFT(N749,4)="Pass","Nist SP 800-88",My_Audit!R749)&amp;""</f>
        <v/>
      </c>
      <c r="R749" s="45"/>
      <c r="S749" s="45"/>
      <c r="T749" s="46" t="str">
        <f>_xlfn.XLOOKUP(E749,Models!I:I,Models!J:J,"")</f>
        <v/>
      </c>
      <c r="U749" s="45"/>
      <c r="V749" s="45"/>
      <c r="W749" s="38"/>
    </row>
    <row r="750" spans="1:23">
      <c r="A750" s="45" t="str">
        <f>_xlfn.TEXTJOIN("",TRUE,Input!$B$2,ROW(My_Audit!A749))</f>
        <v>XX749</v>
      </c>
      <c r="B750" s="45"/>
      <c r="C750" s="45"/>
      <c r="D750" s="46" t="str" cm="1">
        <f t="array" ref="D750">IFERROR(_xlfn.LET(
_xlpm.CSVVal,_xlfn.XLOOKUP($A750,CSV!$A:$A,CSV!C:C,""),
_xlpm.MacVal,_xlfn.XLOOKUP($A750,Output_Mac!$A:$A,Output_Mac!D:D,""),
_xlpm.MyAuditVal,_xlfn.XLOOKUP($A750,My_Audit!$A:$A,My_Audit!C:C,""),
_xlfn.IFS(_xlpm.MyAuditVal&lt;&gt;"",UPPER(_xlpm.MyAuditVal),_xlpm.MacVal&lt;&gt;"",_xlpm.MacVal,_xlpm.CSVVal&lt;&gt;"",_xlpm.CSVVal
)),"")</f>
        <v/>
      </c>
      <c r="E750" s="46" t="str" cm="1">
        <f t="array" ref="E750">IFERROR(_xlfn.LET(
_xlpm.CSVVal,_xlfn.XLOOKUP($A750,CSV!$A:$A,CSV!E:E,""),
_xlpm.MacVal,_xlfn.XLOOKUP($A750,Output_Mac!$A:$A,Output_Mac!C:C,""),
_xlpm.MyAuditVal,_xlfn.XLOOKUP($A750,My_Audit!$A:$A,My_Audit!D:D,""),
_xlfn.IFS(_xlpm.MyAuditVal&lt;&gt;"",_xlpm.MyAuditVal,_xlpm.MacVal&lt;&gt;"",_xlpm.MacVal,_xlpm.CSVVal&lt;&gt;"",_xlpm.CSVVal
)),"")</f>
        <v/>
      </c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6" t="str">
        <f>IF(LEFT(N750,4)="Pass","Nist SP 800-88",My_Audit!R750)&amp;""</f>
        <v/>
      </c>
      <c r="R750" s="45"/>
      <c r="S750" s="45"/>
      <c r="T750" s="46" t="str">
        <f>_xlfn.XLOOKUP(E750,Models!I:I,Models!J:J,"")</f>
        <v/>
      </c>
      <c r="U750" s="45"/>
      <c r="V750" s="45"/>
      <c r="W750" s="38"/>
    </row>
    <row r="751" spans="1:23">
      <c r="A751" s="45" t="str">
        <f>_xlfn.TEXTJOIN("",TRUE,Input!$B$2,ROW(My_Audit!A750))</f>
        <v>XX750</v>
      </c>
      <c r="B751" s="45"/>
      <c r="C751" s="45"/>
      <c r="D751" s="46" t="str" cm="1">
        <f t="array" ref="D751">IFERROR(_xlfn.LET(
_xlpm.CSVVal,_xlfn.XLOOKUP($A751,CSV!$A:$A,CSV!C:C,""),
_xlpm.MacVal,_xlfn.XLOOKUP($A751,Output_Mac!$A:$A,Output_Mac!D:D,""),
_xlpm.MyAuditVal,_xlfn.XLOOKUP($A751,My_Audit!$A:$A,My_Audit!C:C,""),
_xlfn.IFS(_xlpm.MyAuditVal&lt;&gt;"",UPPER(_xlpm.MyAuditVal),_xlpm.MacVal&lt;&gt;"",_xlpm.MacVal,_xlpm.CSVVal&lt;&gt;"",_xlpm.CSVVal
)),"")</f>
        <v/>
      </c>
      <c r="E751" s="46" t="str" cm="1">
        <f t="array" ref="E751">IFERROR(_xlfn.LET(
_xlpm.CSVVal,_xlfn.XLOOKUP($A751,CSV!$A:$A,CSV!E:E,""),
_xlpm.MacVal,_xlfn.XLOOKUP($A751,Output_Mac!$A:$A,Output_Mac!C:C,""),
_xlpm.MyAuditVal,_xlfn.XLOOKUP($A751,My_Audit!$A:$A,My_Audit!D:D,""),
_xlfn.IFS(_xlpm.MyAuditVal&lt;&gt;"",_xlpm.MyAuditVal,_xlpm.MacVal&lt;&gt;"",_xlpm.MacVal,_xlpm.CSVVal&lt;&gt;"",_xlpm.CSVVal
)),"")</f>
        <v/>
      </c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6" t="str">
        <f>IF(LEFT(N751,4)="Pass","Nist SP 800-88",My_Audit!R751)&amp;""</f>
        <v/>
      </c>
      <c r="R751" s="45"/>
      <c r="S751" s="45"/>
      <c r="T751" s="46" t="str">
        <f>_xlfn.XLOOKUP(E751,Models!I:I,Models!J:J,"")</f>
        <v/>
      </c>
      <c r="U751" s="45"/>
      <c r="V751" s="45"/>
      <c r="W751" s="38"/>
    </row>
    <row r="752" spans="1:23">
      <c r="A752" s="45" t="str">
        <f>_xlfn.TEXTJOIN("",TRUE,Input!$B$2,ROW(My_Audit!A751))</f>
        <v>XX751</v>
      </c>
      <c r="B752" s="45"/>
      <c r="C752" s="45"/>
      <c r="D752" s="46" t="str" cm="1">
        <f t="array" ref="D752">IFERROR(_xlfn.LET(
_xlpm.CSVVal,_xlfn.XLOOKUP($A752,CSV!$A:$A,CSV!C:C,""),
_xlpm.MacVal,_xlfn.XLOOKUP($A752,Output_Mac!$A:$A,Output_Mac!D:D,""),
_xlpm.MyAuditVal,_xlfn.XLOOKUP($A752,My_Audit!$A:$A,My_Audit!C:C,""),
_xlfn.IFS(_xlpm.MyAuditVal&lt;&gt;"",UPPER(_xlpm.MyAuditVal),_xlpm.MacVal&lt;&gt;"",_xlpm.MacVal,_xlpm.CSVVal&lt;&gt;"",_xlpm.CSVVal
)),"")</f>
        <v/>
      </c>
      <c r="E752" s="46" t="str" cm="1">
        <f t="array" ref="E752">IFERROR(_xlfn.LET(
_xlpm.CSVVal,_xlfn.XLOOKUP($A752,CSV!$A:$A,CSV!E:E,""),
_xlpm.MacVal,_xlfn.XLOOKUP($A752,Output_Mac!$A:$A,Output_Mac!C:C,""),
_xlpm.MyAuditVal,_xlfn.XLOOKUP($A752,My_Audit!$A:$A,My_Audit!D:D,""),
_xlfn.IFS(_xlpm.MyAuditVal&lt;&gt;"",_xlpm.MyAuditVal,_xlpm.MacVal&lt;&gt;"",_xlpm.MacVal,_xlpm.CSVVal&lt;&gt;"",_xlpm.CSVVal
)),"")</f>
        <v/>
      </c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6" t="str">
        <f>IF(LEFT(N752,4)="Pass","Nist SP 800-88",My_Audit!R752)&amp;""</f>
        <v/>
      </c>
      <c r="R752" s="45"/>
      <c r="S752" s="45"/>
      <c r="T752" s="46" t="str">
        <f>_xlfn.XLOOKUP(E752,Models!I:I,Models!J:J,"")</f>
        <v/>
      </c>
      <c r="U752" s="45"/>
      <c r="V752" s="45"/>
      <c r="W752" s="38"/>
    </row>
    <row r="753" spans="1:23">
      <c r="A753" s="45" t="str">
        <f>_xlfn.TEXTJOIN("",TRUE,Input!$B$2,ROW(My_Audit!A752))</f>
        <v>XX752</v>
      </c>
      <c r="B753" s="45"/>
      <c r="C753" s="45"/>
      <c r="D753" s="46" t="str" cm="1">
        <f t="array" ref="D753">IFERROR(_xlfn.LET(
_xlpm.CSVVal,_xlfn.XLOOKUP($A753,CSV!$A:$A,CSV!C:C,""),
_xlpm.MacVal,_xlfn.XLOOKUP($A753,Output_Mac!$A:$A,Output_Mac!D:D,""),
_xlpm.MyAuditVal,_xlfn.XLOOKUP($A753,My_Audit!$A:$A,My_Audit!C:C,""),
_xlfn.IFS(_xlpm.MyAuditVal&lt;&gt;"",UPPER(_xlpm.MyAuditVal),_xlpm.MacVal&lt;&gt;"",_xlpm.MacVal,_xlpm.CSVVal&lt;&gt;"",_xlpm.CSVVal
)),"")</f>
        <v/>
      </c>
      <c r="E753" s="46" t="str" cm="1">
        <f t="array" ref="E753">IFERROR(_xlfn.LET(
_xlpm.CSVVal,_xlfn.XLOOKUP($A753,CSV!$A:$A,CSV!E:E,""),
_xlpm.MacVal,_xlfn.XLOOKUP($A753,Output_Mac!$A:$A,Output_Mac!C:C,""),
_xlpm.MyAuditVal,_xlfn.XLOOKUP($A753,My_Audit!$A:$A,My_Audit!D:D,""),
_xlfn.IFS(_xlpm.MyAuditVal&lt;&gt;"",_xlpm.MyAuditVal,_xlpm.MacVal&lt;&gt;"",_xlpm.MacVal,_xlpm.CSVVal&lt;&gt;"",_xlpm.CSVVal
)),"")</f>
        <v/>
      </c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6" t="str">
        <f>IF(LEFT(N753,4)="Pass","Nist SP 800-88",My_Audit!R753)&amp;""</f>
        <v/>
      </c>
      <c r="R753" s="45"/>
      <c r="S753" s="45"/>
      <c r="T753" s="46" t="str">
        <f>_xlfn.XLOOKUP(E753,Models!I:I,Models!J:J,"")</f>
        <v/>
      </c>
      <c r="U753" s="45"/>
      <c r="V753" s="45"/>
      <c r="W753" s="38"/>
    </row>
    <row r="754" spans="1:23">
      <c r="A754" s="45" t="str">
        <f>_xlfn.TEXTJOIN("",TRUE,Input!$B$2,ROW(My_Audit!A753))</f>
        <v>XX753</v>
      </c>
      <c r="B754" s="45"/>
      <c r="C754" s="45"/>
      <c r="D754" s="46" t="str" cm="1">
        <f t="array" ref="D754">IFERROR(_xlfn.LET(
_xlpm.CSVVal,_xlfn.XLOOKUP($A754,CSV!$A:$A,CSV!C:C,""),
_xlpm.MacVal,_xlfn.XLOOKUP($A754,Output_Mac!$A:$A,Output_Mac!D:D,""),
_xlpm.MyAuditVal,_xlfn.XLOOKUP($A754,My_Audit!$A:$A,My_Audit!C:C,""),
_xlfn.IFS(_xlpm.MyAuditVal&lt;&gt;"",UPPER(_xlpm.MyAuditVal),_xlpm.MacVal&lt;&gt;"",_xlpm.MacVal,_xlpm.CSVVal&lt;&gt;"",_xlpm.CSVVal
)),"")</f>
        <v/>
      </c>
      <c r="E754" s="46" t="str" cm="1">
        <f t="array" ref="E754">IFERROR(_xlfn.LET(
_xlpm.CSVVal,_xlfn.XLOOKUP($A754,CSV!$A:$A,CSV!E:E,""),
_xlpm.MacVal,_xlfn.XLOOKUP($A754,Output_Mac!$A:$A,Output_Mac!C:C,""),
_xlpm.MyAuditVal,_xlfn.XLOOKUP($A754,My_Audit!$A:$A,My_Audit!D:D,""),
_xlfn.IFS(_xlpm.MyAuditVal&lt;&gt;"",_xlpm.MyAuditVal,_xlpm.MacVal&lt;&gt;"",_xlpm.MacVal,_xlpm.CSVVal&lt;&gt;"",_xlpm.CSVVal
)),"")</f>
        <v/>
      </c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6" t="str">
        <f>IF(LEFT(N754,4)="Pass","Nist SP 800-88",My_Audit!R754)&amp;""</f>
        <v/>
      </c>
      <c r="R754" s="45"/>
      <c r="S754" s="45"/>
      <c r="T754" s="46" t="str">
        <f>_xlfn.XLOOKUP(E754,Models!I:I,Models!J:J,"")</f>
        <v/>
      </c>
      <c r="U754" s="45"/>
      <c r="V754" s="45"/>
      <c r="W754" s="38"/>
    </row>
    <row r="755" spans="1:23">
      <c r="A755" s="45" t="str">
        <f>_xlfn.TEXTJOIN("",TRUE,Input!$B$2,ROW(My_Audit!A754))</f>
        <v>XX754</v>
      </c>
      <c r="B755" s="45"/>
      <c r="C755" s="45"/>
      <c r="D755" s="46" t="str">
        <f>_xlfn.XLOOKUP(A755,My_Audit!A:A,My_Audit!D:D,"")&amp;""</f>
        <v/>
      </c>
      <c r="E755" s="46" t="str" cm="1">
        <f t="array" ref="E755">IFERROR(_xlfn.LET(
_xlpm.CSVVal,_xlfn.XLOOKUP($A755,CSV!$A:$A,CSV!E:E,""),
_xlpm.MacVal,_xlfn.XLOOKUP($A755,Output_Mac!$A:$A,Output_Mac!C:C,""),
_xlpm.MyAuditVal,_xlfn.XLOOKUP($A755,My_Audit!$A:$A,My_Audit!D:D,""),
_xlfn.IFS(_xlpm.MyAuditVal&lt;&gt;"",_xlpm.MyAuditVal,_xlpm.MacVal&lt;&gt;"",_xlpm.MacVal,_xlpm.CSVVal&lt;&gt;"",_xlpm.CSVVal
)),"")</f>
        <v/>
      </c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6" t="str">
        <f>IF(LEFT(N755,4)="Pass","Nist SP 800-88",My_Audit!R755)&amp;""</f>
        <v/>
      </c>
      <c r="R755" s="45"/>
      <c r="S755" s="45"/>
      <c r="T755" s="46" t="str">
        <f>_xlfn.XLOOKUP(E755,Models!I:I,Models!J:J,"")</f>
        <v/>
      </c>
      <c r="U755" s="45"/>
      <c r="V755" s="45"/>
      <c r="W755" s="38"/>
    </row>
    <row r="756" spans="1:23">
      <c r="A756" s="45" t="str">
        <f>_xlfn.TEXTJOIN("",TRUE,Input!$B$2,ROW(My_Audit!A755))</f>
        <v>XX755</v>
      </c>
      <c r="B756" s="45"/>
      <c r="C756" s="45"/>
      <c r="D756" s="46" t="str">
        <f>_xlfn.XLOOKUP(A756,My_Audit!A:A,My_Audit!D:D,"")&amp;""</f>
        <v/>
      </c>
      <c r="E756" s="46" t="str" cm="1">
        <f t="array" ref="E756">IFERROR(_xlfn.LET(
_xlpm.CSVVal,_xlfn.XLOOKUP($A756,CSV!$A:$A,CSV!E:E,""),
_xlpm.MacVal,_xlfn.XLOOKUP($A756,Output_Mac!$A:$A,Output_Mac!C:C,""),
_xlpm.MyAuditVal,_xlfn.XLOOKUP($A756,My_Audit!$A:$A,My_Audit!D:D,""),
_xlfn.IFS(_xlpm.MyAuditVal&lt;&gt;"",_xlpm.MyAuditVal,_xlpm.MacVal&lt;&gt;"",_xlpm.MacVal,_xlpm.CSVVal&lt;&gt;"",_xlpm.CSVVal
)),"")</f>
        <v/>
      </c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6" t="str">
        <f>IF(LEFT(N756,4)="Pass","Nist SP 800-88",My_Audit!R756)&amp;""</f>
        <v/>
      </c>
      <c r="R756" s="45"/>
      <c r="S756" s="45"/>
      <c r="T756" s="46" t="str">
        <f>_xlfn.XLOOKUP(E756,Models!I:I,Models!J:J,"")</f>
        <v/>
      </c>
      <c r="U756" s="45"/>
      <c r="V756" s="45"/>
      <c r="W756" s="38"/>
    </row>
    <row r="757" spans="1:23">
      <c r="A757" s="45" t="str">
        <f>_xlfn.TEXTJOIN("",TRUE,Input!$B$2,ROW(My_Audit!A756))</f>
        <v>XX756</v>
      </c>
      <c r="B757" s="45"/>
      <c r="C757" s="45"/>
      <c r="D757" s="46" t="str">
        <f>_xlfn.XLOOKUP(A757,My_Audit!A:A,My_Audit!D:D,"")&amp;""</f>
        <v/>
      </c>
      <c r="E757" s="46" t="str" cm="1">
        <f t="array" ref="E757">IFERROR(_xlfn.LET(
_xlpm.CSVVal,_xlfn.XLOOKUP($A757,CSV!$A:$A,CSV!E:E,""),
_xlpm.MacVal,_xlfn.XLOOKUP($A757,Output_Mac!$A:$A,Output_Mac!C:C,""),
_xlpm.MyAuditVal,_xlfn.XLOOKUP($A757,My_Audit!$A:$A,My_Audit!D:D,""),
_xlfn.IFS(_xlpm.MyAuditVal&lt;&gt;"",_xlpm.MyAuditVal,_xlpm.MacVal&lt;&gt;"",_xlpm.MacVal,_xlpm.CSVVal&lt;&gt;"",_xlpm.CSVVal
)),"")</f>
        <v/>
      </c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6" t="str">
        <f>IF(LEFT(N757,4)="Pass","Nist SP 800-88",My_Audit!R757)&amp;""</f>
        <v/>
      </c>
      <c r="R757" s="45"/>
      <c r="S757" s="45"/>
      <c r="T757" s="46" t="str">
        <f>_xlfn.XLOOKUP(E757,Models!I:I,Models!J:J,"")</f>
        <v/>
      </c>
      <c r="U757" s="45"/>
      <c r="V757" s="45"/>
      <c r="W757" s="38"/>
    </row>
    <row r="758" spans="1:23">
      <c r="A758" s="45" t="str">
        <f>_xlfn.TEXTJOIN("",TRUE,Input!$B$2,ROW(My_Audit!A757))</f>
        <v>XX757</v>
      </c>
      <c r="B758" s="45"/>
      <c r="C758" s="45"/>
      <c r="D758" s="46" t="str">
        <f>_xlfn.XLOOKUP(A758,My_Audit!A:A,My_Audit!D:D,"")&amp;""</f>
        <v/>
      </c>
      <c r="E758" s="46" t="str" cm="1">
        <f t="array" ref="E758">IFERROR(_xlfn.LET(
_xlpm.CSVVal,_xlfn.XLOOKUP($A758,CSV!$A:$A,CSV!E:E,""),
_xlpm.MacVal,_xlfn.XLOOKUP($A758,Output_Mac!$A:$A,Output_Mac!C:C,""),
_xlpm.MyAuditVal,_xlfn.XLOOKUP($A758,My_Audit!$A:$A,My_Audit!D:D,""),
_xlfn.IFS(_xlpm.MyAuditVal&lt;&gt;"",_xlpm.MyAuditVal,_xlpm.MacVal&lt;&gt;"",_xlpm.MacVal,_xlpm.CSVVal&lt;&gt;"",_xlpm.CSVVal
)),"")</f>
        <v/>
      </c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6" t="str">
        <f>IF(LEFT(N758,4)="Pass","Nist SP 800-88",My_Audit!R758)&amp;""</f>
        <v/>
      </c>
      <c r="R758" s="45"/>
      <c r="S758" s="45"/>
      <c r="T758" s="46" t="str">
        <f>_xlfn.XLOOKUP(E758,Models!I:I,Models!J:J,"")</f>
        <v/>
      </c>
      <c r="U758" s="45"/>
      <c r="V758" s="45"/>
      <c r="W758" s="38"/>
    </row>
    <row r="759" spans="1:23">
      <c r="A759" s="45" t="str">
        <f>_xlfn.TEXTJOIN("",TRUE,Input!$B$2,ROW(My_Audit!A758))</f>
        <v>XX758</v>
      </c>
      <c r="B759" s="45"/>
      <c r="C759" s="45"/>
      <c r="D759" s="46" t="str">
        <f>_xlfn.XLOOKUP(A759,My_Audit!A:A,My_Audit!D:D,"")&amp;""</f>
        <v/>
      </c>
      <c r="E759" s="46" t="str" cm="1">
        <f t="array" ref="E759">IFERROR(_xlfn.LET(
_xlpm.CSVVal,_xlfn.XLOOKUP($A759,CSV!$A:$A,CSV!E:E,""),
_xlpm.MacVal,_xlfn.XLOOKUP($A759,Output_Mac!$A:$A,Output_Mac!C:C,""),
_xlpm.MyAuditVal,_xlfn.XLOOKUP($A759,My_Audit!$A:$A,My_Audit!D:D,""),
_xlfn.IFS(_xlpm.MyAuditVal&lt;&gt;"",_xlpm.MyAuditVal,_xlpm.MacVal&lt;&gt;"",_xlpm.MacVal,_xlpm.CSVVal&lt;&gt;"",_xlpm.CSVVal
)),"")</f>
        <v/>
      </c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6" t="str">
        <f>IF(LEFT(N759,4)="Pass","Nist SP 800-88",My_Audit!R759)&amp;""</f>
        <v/>
      </c>
      <c r="R759" s="45"/>
      <c r="S759" s="45"/>
      <c r="T759" s="46" t="str">
        <f>_xlfn.XLOOKUP(E759,Models!I:I,Models!J:J,"")</f>
        <v/>
      </c>
      <c r="U759" s="45"/>
      <c r="V759" s="45"/>
      <c r="W759" s="38"/>
    </row>
    <row r="760" spans="1:23">
      <c r="A760" s="45" t="str">
        <f>_xlfn.TEXTJOIN("",TRUE,Input!$B$2,ROW(My_Audit!A759))</f>
        <v>XX759</v>
      </c>
      <c r="B760" s="45"/>
      <c r="C760" s="45"/>
      <c r="D760" s="46" t="str">
        <f>_xlfn.XLOOKUP(A760,My_Audit!A:A,My_Audit!D:D,"")&amp;""</f>
        <v/>
      </c>
      <c r="E760" s="46" t="str" cm="1">
        <f t="array" ref="E760">IFERROR(_xlfn.LET(
_xlpm.CSVVal,_xlfn.XLOOKUP($A760,CSV!$A:$A,CSV!E:E,""),
_xlpm.MacVal,_xlfn.XLOOKUP($A760,Output_Mac!$A:$A,Output_Mac!C:C,""),
_xlpm.MyAuditVal,_xlfn.XLOOKUP($A760,My_Audit!$A:$A,My_Audit!D:D,""),
_xlfn.IFS(_xlpm.MyAuditVal&lt;&gt;"",_xlpm.MyAuditVal,_xlpm.MacVal&lt;&gt;"",_xlpm.MacVal,_xlpm.CSVVal&lt;&gt;"",_xlpm.CSVVal
)),"")</f>
        <v/>
      </c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6" t="str">
        <f>IF(LEFT(N760,4)="Pass","Nist SP 800-88",My_Audit!R760)&amp;""</f>
        <v/>
      </c>
      <c r="R760" s="45"/>
      <c r="S760" s="45"/>
      <c r="T760" s="46" t="str">
        <f>_xlfn.XLOOKUP(E760,Models!I:I,Models!J:J,"")</f>
        <v/>
      </c>
      <c r="U760" s="45"/>
      <c r="V760" s="45"/>
      <c r="W760" s="38"/>
    </row>
    <row r="761" spans="1:23">
      <c r="A761" s="45" t="str">
        <f>_xlfn.TEXTJOIN("",TRUE,Input!$B$2,ROW(My_Audit!A760))</f>
        <v>XX760</v>
      </c>
      <c r="B761" s="45"/>
      <c r="C761" s="45"/>
      <c r="D761" s="46" t="str">
        <f>_xlfn.XLOOKUP(A761,My_Audit!A:A,My_Audit!D:D,"")&amp;""</f>
        <v/>
      </c>
      <c r="E761" s="46" t="str" cm="1">
        <f t="array" ref="E761">IFERROR(_xlfn.LET(
_xlpm.CSVVal,_xlfn.XLOOKUP($A761,CSV!$A:$A,CSV!E:E,""),
_xlpm.MacVal,_xlfn.XLOOKUP($A761,Output_Mac!$A:$A,Output_Mac!C:C,""),
_xlpm.MyAuditVal,_xlfn.XLOOKUP($A761,My_Audit!$A:$A,My_Audit!D:D,""),
_xlfn.IFS(_xlpm.MyAuditVal&lt;&gt;"",_xlpm.MyAuditVal,_xlpm.MacVal&lt;&gt;"",_xlpm.MacVal,_xlpm.CSVVal&lt;&gt;"",_xlpm.CSVVal
)),"")</f>
        <v/>
      </c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6" t="str">
        <f>IF(LEFT(N761,4)="Pass","Nist SP 800-88",My_Audit!R761)&amp;""</f>
        <v/>
      </c>
      <c r="R761" s="45"/>
      <c r="S761" s="45"/>
      <c r="T761" s="46" t="str">
        <f>_xlfn.XLOOKUP(E761,Models!I:I,Models!J:J,"")</f>
        <v/>
      </c>
      <c r="U761" s="45"/>
      <c r="V761" s="45"/>
      <c r="W761" s="38"/>
    </row>
    <row r="762" spans="1:23">
      <c r="A762" s="45" t="str">
        <f>_xlfn.TEXTJOIN("",TRUE,Input!$B$2,ROW(My_Audit!A761))</f>
        <v>XX761</v>
      </c>
      <c r="B762" s="45"/>
      <c r="C762" s="45"/>
      <c r="D762" s="46" t="str">
        <f>_xlfn.XLOOKUP(A762,My_Audit!A:A,My_Audit!D:D,"")&amp;""</f>
        <v/>
      </c>
      <c r="E762" s="46" t="str" cm="1">
        <f t="array" ref="E762">IFERROR(_xlfn.LET(
_xlpm.CSVVal,_xlfn.XLOOKUP($A762,CSV!$A:$A,CSV!E:E,""),
_xlpm.MacVal,_xlfn.XLOOKUP($A762,Output_Mac!$A:$A,Output_Mac!C:C,""),
_xlpm.MyAuditVal,_xlfn.XLOOKUP($A762,My_Audit!$A:$A,My_Audit!D:D,""),
_xlfn.IFS(_xlpm.MyAuditVal&lt;&gt;"",_xlpm.MyAuditVal,_xlpm.MacVal&lt;&gt;"",_xlpm.MacVal,_xlpm.CSVVal&lt;&gt;"",_xlpm.CSVVal
)),"")</f>
        <v/>
      </c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6" t="str">
        <f>IF(LEFT(N762,4)="Pass","Nist SP 800-88",My_Audit!R762)&amp;""</f>
        <v/>
      </c>
      <c r="R762" s="45"/>
      <c r="S762" s="45"/>
      <c r="T762" s="46" t="str">
        <f>_xlfn.XLOOKUP(E762,Models!I:I,Models!J:J,"")</f>
        <v/>
      </c>
      <c r="U762" s="45"/>
      <c r="V762" s="45"/>
      <c r="W762" s="38"/>
    </row>
    <row r="763" spans="1:23">
      <c r="A763" s="45" t="str">
        <f>_xlfn.TEXTJOIN("",TRUE,Input!$B$2,ROW(My_Audit!A762))</f>
        <v>XX762</v>
      </c>
      <c r="B763" s="45"/>
      <c r="C763" s="45"/>
      <c r="D763" s="46" t="str">
        <f>_xlfn.XLOOKUP(A763,My_Audit!A:A,My_Audit!D:D,"")&amp;""</f>
        <v/>
      </c>
      <c r="E763" s="46" t="str" cm="1">
        <f t="array" ref="E763">IFERROR(_xlfn.LET(
_xlpm.CSVVal,_xlfn.XLOOKUP($A763,CSV!$A:$A,CSV!E:E,""),
_xlpm.MacVal,_xlfn.XLOOKUP($A763,Output_Mac!$A:$A,Output_Mac!C:C,""),
_xlpm.MyAuditVal,_xlfn.XLOOKUP($A763,My_Audit!$A:$A,My_Audit!D:D,""),
_xlfn.IFS(_xlpm.MyAuditVal&lt;&gt;"",_xlpm.MyAuditVal,_xlpm.MacVal&lt;&gt;"",_xlpm.MacVal,_xlpm.CSVVal&lt;&gt;"",_xlpm.CSVVal
)),"")</f>
        <v/>
      </c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6" t="str">
        <f>IF(LEFT(N763,4)="Pass","Nist SP 800-88",My_Audit!R763)&amp;""</f>
        <v/>
      </c>
      <c r="R763" s="45"/>
      <c r="S763" s="45"/>
      <c r="T763" s="46" t="str">
        <f>_xlfn.XLOOKUP(E763,Models!I:I,Models!J:J,"")</f>
        <v/>
      </c>
      <c r="U763" s="45"/>
      <c r="V763" s="45"/>
      <c r="W763" s="38"/>
    </row>
    <row r="764" spans="1:23">
      <c r="A764" s="45" t="str">
        <f>_xlfn.TEXTJOIN("",TRUE,Input!$B$2,ROW(My_Audit!A763))</f>
        <v>XX763</v>
      </c>
      <c r="B764" s="45"/>
      <c r="C764" s="45"/>
      <c r="D764" s="46" t="str">
        <f>_xlfn.XLOOKUP(A764,My_Audit!A:A,My_Audit!D:D,"")&amp;""</f>
        <v/>
      </c>
      <c r="E764" s="46" t="str" cm="1">
        <f t="array" ref="E764">IFERROR(_xlfn.LET(
_xlpm.CSVVal,_xlfn.XLOOKUP($A764,CSV!$A:$A,CSV!E:E,""),
_xlpm.MacVal,_xlfn.XLOOKUP($A764,Output_Mac!$A:$A,Output_Mac!C:C,""),
_xlpm.MyAuditVal,_xlfn.XLOOKUP($A764,My_Audit!$A:$A,My_Audit!D:D,""),
_xlfn.IFS(_xlpm.MyAuditVal&lt;&gt;"",_xlpm.MyAuditVal,_xlpm.MacVal&lt;&gt;"",_xlpm.MacVal,_xlpm.CSVVal&lt;&gt;"",_xlpm.CSVVal
)),"")</f>
        <v/>
      </c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6" t="str">
        <f>IF(LEFT(N764,4)="Pass","Nist SP 800-88",My_Audit!R764)&amp;""</f>
        <v/>
      </c>
      <c r="R764" s="45"/>
      <c r="S764" s="45"/>
      <c r="T764" s="46" t="str">
        <f>_xlfn.XLOOKUP(E764,Models!I:I,Models!J:J,"")</f>
        <v/>
      </c>
      <c r="U764" s="45"/>
      <c r="V764" s="45"/>
      <c r="W764" s="38"/>
    </row>
    <row r="765" spans="1:23">
      <c r="A765" s="45" t="str">
        <f>_xlfn.TEXTJOIN("",TRUE,Input!$B$2,ROW(My_Audit!A764))</f>
        <v>XX764</v>
      </c>
      <c r="B765" s="45"/>
      <c r="C765" s="45"/>
      <c r="D765" s="46" t="str">
        <f>_xlfn.XLOOKUP(A765,My_Audit!A:A,My_Audit!D:D,"")&amp;""</f>
        <v/>
      </c>
      <c r="E765" s="46" t="str" cm="1">
        <f t="array" ref="E765">IFERROR(_xlfn.LET(
_xlpm.CSVVal,_xlfn.XLOOKUP($A765,CSV!$A:$A,CSV!E:E,""),
_xlpm.MacVal,_xlfn.XLOOKUP($A765,Output_Mac!$A:$A,Output_Mac!C:C,""),
_xlpm.MyAuditVal,_xlfn.XLOOKUP($A765,My_Audit!$A:$A,My_Audit!D:D,""),
_xlfn.IFS(_xlpm.MyAuditVal&lt;&gt;"",_xlpm.MyAuditVal,_xlpm.MacVal&lt;&gt;"",_xlpm.MacVal,_xlpm.CSVVal&lt;&gt;"",_xlpm.CSVVal
)),"")</f>
        <v/>
      </c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6" t="str">
        <f>IF(LEFT(N765,4)="Pass","Nist SP 800-88",My_Audit!R765)&amp;""</f>
        <v/>
      </c>
      <c r="R765" s="45"/>
      <c r="S765" s="45"/>
      <c r="T765" s="46" t="str">
        <f>_xlfn.XLOOKUP(E765,Models!I:I,Models!J:J,"")</f>
        <v/>
      </c>
      <c r="U765" s="45"/>
      <c r="V765" s="45"/>
      <c r="W765" s="38"/>
    </row>
    <row r="766" spans="1:23">
      <c r="A766" s="45" t="str">
        <f>_xlfn.TEXTJOIN("",TRUE,Input!$B$2,ROW(My_Audit!A765))</f>
        <v>XX765</v>
      </c>
      <c r="B766" s="45"/>
      <c r="C766" s="45"/>
      <c r="D766" s="46" t="str">
        <f>_xlfn.XLOOKUP(A766,My_Audit!A:A,My_Audit!D:D,"")&amp;""</f>
        <v/>
      </c>
      <c r="E766" s="46" t="str" cm="1">
        <f t="array" ref="E766">IFERROR(_xlfn.LET(
_xlpm.CSVVal,_xlfn.XLOOKUP($A766,CSV!$A:$A,CSV!E:E,""),
_xlpm.MacVal,_xlfn.XLOOKUP($A766,Output_Mac!$A:$A,Output_Mac!C:C,""),
_xlpm.MyAuditVal,_xlfn.XLOOKUP($A766,My_Audit!$A:$A,My_Audit!D:D,""),
_xlfn.IFS(_xlpm.MyAuditVal&lt;&gt;"",_xlpm.MyAuditVal,_xlpm.MacVal&lt;&gt;"",_xlpm.MacVal,_xlpm.CSVVal&lt;&gt;"",_xlpm.CSVVal
)),"")</f>
        <v/>
      </c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6" t="str">
        <f>IF(LEFT(N766,4)="Pass","Nist SP 800-88",My_Audit!R766)&amp;""</f>
        <v/>
      </c>
      <c r="R766" s="45"/>
      <c r="S766" s="45"/>
      <c r="T766" s="46" t="str">
        <f>_xlfn.XLOOKUP(E766,Models!I:I,Models!J:J,"")</f>
        <v/>
      </c>
      <c r="U766" s="45"/>
      <c r="V766" s="45"/>
      <c r="W766" s="38"/>
    </row>
    <row r="767" spans="1:23">
      <c r="A767" s="45" t="str">
        <f>_xlfn.TEXTJOIN("",TRUE,Input!$B$2,ROW(My_Audit!A766))</f>
        <v>XX766</v>
      </c>
      <c r="B767" s="45"/>
      <c r="C767" s="45"/>
      <c r="D767" s="46" t="str">
        <f>_xlfn.XLOOKUP(A767,My_Audit!A:A,My_Audit!D:D,"")&amp;""</f>
        <v/>
      </c>
      <c r="E767" s="46" t="str" cm="1">
        <f t="array" ref="E767">IFERROR(_xlfn.LET(
_xlpm.CSVVal,_xlfn.XLOOKUP($A767,CSV!$A:$A,CSV!E:E,""),
_xlpm.MacVal,_xlfn.XLOOKUP($A767,Output_Mac!$A:$A,Output_Mac!C:C,""),
_xlpm.MyAuditVal,_xlfn.XLOOKUP($A767,My_Audit!$A:$A,My_Audit!D:D,""),
_xlfn.IFS(_xlpm.MyAuditVal&lt;&gt;"",_xlpm.MyAuditVal,_xlpm.MacVal&lt;&gt;"",_xlpm.MacVal,_xlpm.CSVVal&lt;&gt;"",_xlpm.CSVVal
)),"")</f>
        <v/>
      </c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6" t="str">
        <f>IF(LEFT(N767,4)="Pass","Nist SP 800-88",My_Audit!R767)&amp;""</f>
        <v/>
      </c>
      <c r="R767" s="45"/>
      <c r="S767" s="45"/>
      <c r="T767" s="46" t="str">
        <f>_xlfn.XLOOKUP(E767,Models!I:I,Models!J:J,"")</f>
        <v/>
      </c>
      <c r="U767" s="45"/>
      <c r="V767" s="45"/>
      <c r="W767" s="38"/>
    </row>
    <row r="768" spans="1:23">
      <c r="A768" s="45" t="str">
        <f>_xlfn.TEXTJOIN("",TRUE,Input!$B$2,ROW(My_Audit!A767))</f>
        <v>XX767</v>
      </c>
      <c r="B768" s="45"/>
      <c r="C768" s="45"/>
      <c r="D768" s="46" t="str">
        <f>_xlfn.XLOOKUP(A768,My_Audit!A:A,My_Audit!D:D,"")&amp;""</f>
        <v/>
      </c>
      <c r="E768" s="46" t="str" cm="1">
        <f t="array" ref="E768">IFERROR(_xlfn.LET(
_xlpm.CSVVal,_xlfn.XLOOKUP($A768,CSV!$A:$A,CSV!E:E,""),
_xlpm.MacVal,_xlfn.XLOOKUP($A768,Output_Mac!$A:$A,Output_Mac!C:C,""),
_xlpm.MyAuditVal,_xlfn.XLOOKUP($A768,My_Audit!$A:$A,My_Audit!D:D,""),
_xlfn.IFS(_xlpm.MyAuditVal&lt;&gt;"",_xlpm.MyAuditVal,_xlpm.MacVal&lt;&gt;"",_xlpm.MacVal,_xlpm.CSVVal&lt;&gt;"",_xlpm.CSVVal
)),"")</f>
        <v/>
      </c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6" t="str">
        <f>IF(LEFT(N768,4)="Pass","Nist SP 800-88",My_Audit!R768)&amp;""</f>
        <v/>
      </c>
      <c r="R768" s="45"/>
      <c r="S768" s="45"/>
      <c r="T768" s="46" t="str">
        <f>_xlfn.XLOOKUP(E768,Models!I:I,Models!J:J,"")</f>
        <v/>
      </c>
      <c r="U768" s="45"/>
      <c r="V768" s="45"/>
      <c r="W768" s="38"/>
    </row>
    <row r="769" spans="1:23">
      <c r="A769" s="45" t="str">
        <f>_xlfn.TEXTJOIN("",TRUE,Input!$B$2,ROW(My_Audit!A768))</f>
        <v>XX768</v>
      </c>
      <c r="B769" s="45"/>
      <c r="C769" s="45"/>
      <c r="D769" s="46" t="str">
        <f>_xlfn.XLOOKUP(A769,My_Audit!A:A,My_Audit!D:D,"")&amp;""</f>
        <v/>
      </c>
      <c r="E769" s="46" t="str" cm="1">
        <f t="array" ref="E769">IFERROR(_xlfn.LET(
_xlpm.CSVVal,_xlfn.XLOOKUP($A769,CSV!$A:$A,CSV!E:E,""),
_xlpm.MacVal,_xlfn.XLOOKUP($A769,Output_Mac!$A:$A,Output_Mac!C:C,""),
_xlpm.MyAuditVal,_xlfn.XLOOKUP($A769,My_Audit!$A:$A,My_Audit!D:D,""),
_xlfn.IFS(_xlpm.MyAuditVal&lt;&gt;"",_xlpm.MyAuditVal,_xlpm.MacVal&lt;&gt;"",_xlpm.MacVal,_xlpm.CSVVal&lt;&gt;"",_xlpm.CSVVal
)),"")</f>
        <v/>
      </c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6" t="str">
        <f>IF(LEFT(N769,4)="Pass","Nist SP 800-88",My_Audit!R769)&amp;""</f>
        <v/>
      </c>
      <c r="R769" s="45"/>
      <c r="S769" s="45"/>
      <c r="T769" s="46" t="str">
        <f>_xlfn.XLOOKUP(E769,Models!I:I,Models!J:J,"")</f>
        <v/>
      </c>
      <c r="U769" s="45"/>
      <c r="V769" s="45"/>
      <c r="W769" s="38"/>
    </row>
    <row r="770" spans="1:23">
      <c r="A770" s="45" t="str">
        <f>_xlfn.TEXTJOIN("",TRUE,Input!$B$2,ROW(My_Audit!A769))</f>
        <v>XX769</v>
      </c>
      <c r="B770" s="45"/>
      <c r="C770" s="45"/>
      <c r="D770" s="46" t="str">
        <f>_xlfn.XLOOKUP(A770,My_Audit!A:A,My_Audit!D:D,"")&amp;""</f>
        <v/>
      </c>
      <c r="E770" s="46" t="str" cm="1">
        <f t="array" ref="E770">IFERROR(_xlfn.LET(
_xlpm.CSVVal,_xlfn.XLOOKUP($A770,CSV!$A:$A,CSV!E:E,""),
_xlpm.MacVal,_xlfn.XLOOKUP($A770,Output_Mac!$A:$A,Output_Mac!C:C,""),
_xlpm.MyAuditVal,_xlfn.XLOOKUP($A770,My_Audit!$A:$A,My_Audit!D:D,""),
_xlfn.IFS(_xlpm.MyAuditVal&lt;&gt;"",_xlpm.MyAuditVal,_xlpm.MacVal&lt;&gt;"",_xlpm.MacVal,_xlpm.CSVVal&lt;&gt;"",_xlpm.CSVVal
)),"")</f>
        <v/>
      </c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6" t="str">
        <f>IF(LEFT(N770,4)="Pass","Nist SP 800-88",My_Audit!R770)&amp;""</f>
        <v/>
      </c>
      <c r="R770" s="45"/>
      <c r="S770" s="45"/>
      <c r="T770" s="46" t="str">
        <f>_xlfn.XLOOKUP(E770,Models!I:I,Models!J:J,"")</f>
        <v/>
      </c>
      <c r="U770" s="45"/>
      <c r="V770" s="45"/>
      <c r="W770" s="38"/>
    </row>
    <row r="771" spans="1:23">
      <c r="A771" s="45" t="str">
        <f>_xlfn.TEXTJOIN("",TRUE,Input!$B$2,ROW(My_Audit!A770))</f>
        <v>XX770</v>
      </c>
      <c r="B771" s="45"/>
      <c r="C771" s="45"/>
      <c r="D771" s="46" t="str">
        <f>_xlfn.XLOOKUP(A771,My_Audit!A:A,My_Audit!D:D,"")&amp;""</f>
        <v/>
      </c>
      <c r="E771" s="46" t="str" cm="1">
        <f t="array" ref="E771">IFERROR(_xlfn.LET(
_xlpm.CSVVal,_xlfn.XLOOKUP($A771,CSV!$A:$A,CSV!E:E,""),
_xlpm.MacVal,_xlfn.XLOOKUP($A771,Output_Mac!$A:$A,Output_Mac!C:C,""),
_xlpm.MyAuditVal,_xlfn.XLOOKUP($A771,My_Audit!$A:$A,My_Audit!D:D,""),
_xlfn.IFS(_xlpm.MyAuditVal&lt;&gt;"",_xlpm.MyAuditVal,_xlpm.MacVal&lt;&gt;"",_xlpm.MacVal,_xlpm.CSVVal&lt;&gt;"",_xlpm.CSVVal
)),"")</f>
        <v/>
      </c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6" t="str">
        <f>IF(LEFT(N771,4)="Pass","Nist SP 800-88",My_Audit!R771)&amp;""</f>
        <v/>
      </c>
      <c r="R771" s="45"/>
      <c r="S771" s="45"/>
      <c r="T771" s="46" t="str">
        <f>_xlfn.XLOOKUP(E771,Models!I:I,Models!J:J,"")</f>
        <v/>
      </c>
      <c r="U771" s="45"/>
      <c r="V771" s="45"/>
      <c r="W771" s="38"/>
    </row>
    <row r="772" spans="1:23">
      <c r="A772" s="45" t="str">
        <f>_xlfn.TEXTJOIN("",TRUE,Input!$B$2,ROW(My_Audit!A771))</f>
        <v>XX771</v>
      </c>
      <c r="B772" s="45"/>
      <c r="C772" s="45"/>
      <c r="D772" s="46" t="str">
        <f>_xlfn.XLOOKUP(A772,My_Audit!A:A,My_Audit!D:D,"")&amp;""</f>
        <v/>
      </c>
      <c r="E772" s="46" t="str" cm="1">
        <f t="array" ref="E772">IFERROR(_xlfn.LET(
_xlpm.CSVVal,_xlfn.XLOOKUP($A772,CSV!$A:$A,CSV!E:E,""),
_xlpm.MacVal,_xlfn.XLOOKUP($A772,Output_Mac!$A:$A,Output_Mac!C:C,""),
_xlpm.MyAuditVal,_xlfn.XLOOKUP($A772,My_Audit!$A:$A,My_Audit!D:D,""),
_xlfn.IFS(_xlpm.MyAuditVal&lt;&gt;"",_xlpm.MyAuditVal,_xlpm.MacVal&lt;&gt;"",_xlpm.MacVal,_xlpm.CSVVal&lt;&gt;"",_xlpm.CSVVal
)),"")</f>
        <v/>
      </c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6" t="str">
        <f>IF(LEFT(N772,4)="Pass","Nist SP 800-88",My_Audit!R772)&amp;""</f>
        <v/>
      </c>
      <c r="R772" s="45"/>
      <c r="S772" s="45"/>
      <c r="T772" s="46" t="str">
        <f>_xlfn.XLOOKUP(E772,Models!I:I,Models!J:J,"")</f>
        <v/>
      </c>
      <c r="U772" s="45"/>
      <c r="V772" s="45"/>
      <c r="W772" s="38"/>
    </row>
    <row r="773" spans="1:23">
      <c r="A773" s="45" t="str">
        <f>_xlfn.TEXTJOIN("",TRUE,Input!$B$2,ROW(My_Audit!A772))</f>
        <v>XX772</v>
      </c>
      <c r="B773" s="45"/>
      <c r="C773" s="45"/>
      <c r="D773" s="46" t="str">
        <f>_xlfn.XLOOKUP(A773,My_Audit!A:A,My_Audit!D:D,"")&amp;""</f>
        <v/>
      </c>
      <c r="E773" s="46" t="str" cm="1">
        <f t="array" ref="E773">IFERROR(_xlfn.LET(
_xlpm.CSVVal,_xlfn.XLOOKUP($A773,CSV!$A:$A,CSV!E:E,""),
_xlpm.MacVal,_xlfn.XLOOKUP($A773,Output_Mac!$A:$A,Output_Mac!C:C,""),
_xlpm.MyAuditVal,_xlfn.XLOOKUP($A773,My_Audit!$A:$A,My_Audit!D:D,""),
_xlfn.IFS(_xlpm.MyAuditVal&lt;&gt;"",_xlpm.MyAuditVal,_xlpm.MacVal&lt;&gt;"",_xlpm.MacVal,_xlpm.CSVVal&lt;&gt;"",_xlpm.CSVVal
)),"")</f>
        <v/>
      </c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6" t="str">
        <f>IF(LEFT(N773,4)="Pass","Nist SP 800-88",My_Audit!R773)&amp;""</f>
        <v/>
      </c>
      <c r="R773" s="45"/>
      <c r="S773" s="45"/>
      <c r="T773" s="46" t="str">
        <f>_xlfn.XLOOKUP(E773,Models!I:I,Models!J:J,"")</f>
        <v/>
      </c>
      <c r="U773" s="45"/>
      <c r="V773" s="45"/>
      <c r="W773" s="38"/>
    </row>
    <row r="774" spans="1:23">
      <c r="A774" s="45" t="str">
        <f>_xlfn.TEXTJOIN("",TRUE,Input!$B$2,ROW(My_Audit!A773))</f>
        <v>XX773</v>
      </c>
      <c r="B774" s="45"/>
      <c r="C774" s="45"/>
      <c r="D774" s="46" t="str">
        <f>_xlfn.XLOOKUP(A774,My_Audit!A:A,My_Audit!D:D,"")&amp;""</f>
        <v/>
      </c>
      <c r="E774" s="46" t="str" cm="1">
        <f t="array" ref="E774">IFERROR(_xlfn.LET(
_xlpm.CSVVal,_xlfn.XLOOKUP($A774,CSV!$A:$A,CSV!E:E,""),
_xlpm.MacVal,_xlfn.XLOOKUP($A774,Output_Mac!$A:$A,Output_Mac!C:C,""),
_xlpm.MyAuditVal,_xlfn.XLOOKUP($A774,My_Audit!$A:$A,My_Audit!D:D,""),
_xlfn.IFS(_xlpm.MyAuditVal&lt;&gt;"",_xlpm.MyAuditVal,_xlpm.MacVal&lt;&gt;"",_xlpm.MacVal,_xlpm.CSVVal&lt;&gt;"",_xlpm.CSVVal
)),"")</f>
        <v/>
      </c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6" t="str">
        <f>IF(LEFT(N774,4)="Pass","Nist SP 800-88",My_Audit!R774)&amp;""</f>
        <v/>
      </c>
      <c r="R774" s="45"/>
      <c r="S774" s="45"/>
      <c r="T774" s="46" t="str">
        <f>_xlfn.XLOOKUP(E774,Models!I:I,Models!J:J,"")</f>
        <v/>
      </c>
      <c r="U774" s="45"/>
      <c r="V774" s="45"/>
      <c r="W774" s="38"/>
    </row>
    <row r="775" spans="1:23">
      <c r="A775" s="45" t="str">
        <f>_xlfn.TEXTJOIN("",TRUE,Input!$B$2,ROW(My_Audit!A774))</f>
        <v>XX774</v>
      </c>
      <c r="B775" s="45"/>
      <c r="C775" s="45"/>
      <c r="D775" s="46" t="str">
        <f>_xlfn.XLOOKUP(A775,My_Audit!A:A,My_Audit!D:D,"")&amp;""</f>
        <v/>
      </c>
      <c r="E775" s="46" t="str" cm="1">
        <f t="array" ref="E775">IFERROR(_xlfn.LET(
_xlpm.CSVVal,_xlfn.XLOOKUP($A775,CSV!$A:$A,CSV!E:E,""),
_xlpm.MacVal,_xlfn.XLOOKUP($A775,Output_Mac!$A:$A,Output_Mac!C:C,""),
_xlpm.MyAuditVal,_xlfn.XLOOKUP($A775,My_Audit!$A:$A,My_Audit!D:D,""),
_xlfn.IFS(_xlpm.MyAuditVal&lt;&gt;"",_xlpm.MyAuditVal,_xlpm.MacVal&lt;&gt;"",_xlpm.MacVal,_xlpm.CSVVal&lt;&gt;"",_xlpm.CSVVal
)),"")</f>
        <v/>
      </c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6" t="str">
        <f>IF(LEFT(N775,4)="Pass","Nist SP 800-88",My_Audit!R775)&amp;""</f>
        <v/>
      </c>
      <c r="R775" s="45"/>
      <c r="S775" s="45"/>
      <c r="T775" s="46" t="str">
        <f>_xlfn.XLOOKUP(E775,Models!I:I,Models!J:J,"")</f>
        <v/>
      </c>
      <c r="U775" s="45"/>
      <c r="V775" s="45"/>
      <c r="W775" s="38"/>
    </row>
    <row r="776" spans="1:23">
      <c r="A776" s="45" t="str">
        <f>_xlfn.TEXTJOIN("",TRUE,Input!$B$2,ROW(My_Audit!A775))</f>
        <v>XX775</v>
      </c>
      <c r="B776" s="45"/>
      <c r="C776" s="45"/>
      <c r="D776" s="46" t="str">
        <f>_xlfn.XLOOKUP(A776,My_Audit!A:A,My_Audit!D:D,"")&amp;""</f>
        <v/>
      </c>
      <c r="E776" s="46" t="str" cm="1">
        <f t="array" ref="E776">IFERROR(_xlfn.LET(
_xlpm.CSVVal,_xlfn.XLOOKUP($A776,CSV!$A:$A,CSV!E:E,""),
_xlpm.MacVal,_xlfn.XLOOKUP($A776,Output_Mac!$A:$A,Output_Mac!C:C,""),
_xlpm.MyAuditVal,_xlfn.XLOOKUP($A776,My_Audit!$A:$A,My_Audit!D:D,""),
_xlfn.IFS(_xlpm.MyAuditVal&lt;&gt;"",_xlpm.MyAuditVal,_xlpm.MacVal&lt;&gt;"",_xlpm.MacVal,_xlpm.CSVVal&lt;&gt;"",_xlpm.CSVVal
)),"")</f>
        <v/>
      </c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6" t="str">
        <f>IF(LEFT(N776,4)="Pass","Nist SP 800-88",My_Audit!R776)&amp;""</f>
        <v/>
      </c>
      <c r="R776" s="45"/>
      <c r="S776" s="45"/>
      <c r="T776" s="46" t="str">
        <f>_xlfn.XLOOKUP(E776,Models!I:I,Models!J:J,"")</f>
        <v/>
      </c>
      <c r="U776" s="45"/>
      <c r="V776" s="45"/>
      <c r="W776" s="38"/>
    </row>
    <row r="777" spans="1:23">
      <c r="A777" s="45" t="str">
        <f>_xlfn.TEXTJOIN("",TRUE,Input!$B$2,ROW(My_Audit!A776))</f>
        <v>XX776</v>
      </c>
      <c r="B777" s="45"/>
      <c r="C777" s="45"/>
      <c r="D777" s="46" t="str">
        <f>_xlfn.XLOOKUP(A777,My_Audit!A:A,My_Audit!D:D,"")&amp;""</f>
        <v/>
      </c>
      <c r="E777" s="46" t="str" cm="1">
        <f t="array" ref="E777">IFERROR(_xlfn.LET(
_xlpm.CSVVal,_xlfn.XLOOKUP($A777,CSV!$A:$A,CSV!E:E,""),
_xlpm.MacVal,_xlfn.XLOOKUP($A777,Output_Mac!$A:$A,Output_Mac!C:C,""),
_xlpm.MyAuditVal,_xlfn.XLOOKUP($A777,My_Audit!$A:$A,My_Audit!D:D,""),
_xlfn.IFS(_xlpm.MyAuditVal&lt;&gt;"",_xlpm.MyAuditVal,_xlpm.MacVal&lt;&gt;"",_xlpm.MacVal,_xlpm.CSVVal&lt;&gt;"",_xlpm.CSVVal
)),"")</f>
        <v/>
      </c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6" t="str">
        <f>IF(LEFT(N777,4)="Pass","Nist SP 800-88",My_Audit!R777)&amp;""</f>
        <v/>
      </c>
      <c r="R777" s="45"/>
      <c r="S777" s="45"/>
      <c r="T777" s="46" t="str">
        <f>_xlfn.XLOOKUP(E777,Models!I:I,Models!J:J,"")</f>
        <v/>
      </c>
      <c r="U777" s="45"/>
      <c r="V777" s="45"/>
      <c r="W777" s="38"/>
    </row>
    <row r="778" spans="1:23">
      <c r="A778" s="45" t="str">
        <f>_xlfn.TEXTJOIN("",TRUE,Input!$B$2,ROW(My_Audit!A777))</f>
        <v>XX777</v>
      </c>
      <c r="B778" s="45"/>
      <c r="C778" s="45"/>
      <c r="D778" s="46" t="str">
        <f>_xlfn.XLOOKUP(A778,My_Audit!A:A,My_Audit!D:D,"")&amp;""</f>
        <v/>
      </c>
      <c r="E778" s="46" t="str" cm="1">
        <f t="array" ref="E778">IFERROR(_xlfn.LET(
_xlpm.CSVVal,_xlfn.XLOOKUP($A778,CSV!$A:$A,CSV!E:E,""),
_xlpm.MacVal,_xlfn.XLOOKUP($A778,Output_Mac!$A:$A,Output_Mac!C:C,""),
_xlpm.MyAuditVal,_xlfn.XLOOKUP($A778,My_Audit!$A:$A,My_Audit!D:D,""),
_xlfn.IFS(_xlpm.MyAuditVal&lt;&gt;"",_xlpm.MyAuditVal,_xlpm.MacVal&lt;&gt;"",_xlpm.MacVal,_xlpm.CSVVal&lt;&gt;"",_xlpm.CSVVal
)),"")</f>
        <v/>
      </c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6" t="str">
        <f>IF(LEFT(N778,4)="Pass","Nist SP 800-88",My_Audit!R778)&amp;""</f>
        <v/>
      </c>
      <c r="R778" s="45"/>
      <c r="S778" s="45"/>
      <c r="T778" s="46" t="str">
        <f>_xlfn.XLOOKUP(E778,Models!I:I,Models!J:J,"")</f>
        <v/>
      </c>
      <c r="U778" s="45"/>
      <c r="V778" s="45"/>
      <c r="W778" s="38"/>
    </row>
    <row r="779" spans="1:23">
      <c r="A779" s="45" t="str">
        <f>_xlfn.TEXTJOIN("",TRUE,Input!$B$2,ROW(My_Audit!A778))</f>
        <v>XX778</v>
      </c>
      <c r="B779" s="45"/>
      <c r="C779" s="45"/>
      <c r="D779" s="46" t="str">
        <f>_xlfn.XLOOKUP(A779,My_Audit!A:A,My_Audit!D:D,"")&amp;""</f>
        <v/>
      </c>
      <c r="E779" s="46" t="str" cm="1">
        <f t="array" ref="E779">IFERROR(_xlfn.LET(
_xlpm.CSVVal,_xlfn.XLOOKUP($A779,CSV!$A:$A,CSV!E:E,""),
_xlpm.MacVal,_xlfn.XLOOKUP($A779,Output_Mac!$A:$A,Output_Mac!C:C,""),
_xlpm.MyAuditVal,_xlfn.XLOOKUP($A779,My_Audit!$A:$A,My_Audit!D:D,""),
_xlfn.IFS(_xlpm.MyAuditVal&lt;&gt;"",_xlpm.MyAuditVal,_xlpm.MacVal&lt;&gt;"",_xlpm.MacVal,_xlpm.CSVVal&lt;&gt;"",_xlpm.CSVVal
)),"")</f>
        <v/>
      </c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6" t="str">
        <f>IF(LEFT(N779,4)="Pass","Nist SP 800-88",My_Audit!R779)&amp;""</f>
        <v/>
      </c>
      <c r="R779" s="45"/>
      <c r="S779" s="45"/>
      <c r="T779" s="46" t="str">
        <f>_xlfn.XLOOKUP(E779,Models!I:I,Models!J:J,"")</f>
        <v/>
      </c>
      <c r="U779" s="45"/>
      <c r="V779" s="45"/>
      <c r="W779" s="38"/>
    </row>
    <row r="780" spans="1:23">
      <c r="A780" s="45" t="str">
        <f>_xlfn.TEXTJOIN("",TRUE,Input!$B$2,ROW(My_Audit!A779))</f>
        <v>XX779</v>
      </c>
      <c r="B780" s="45"/>
      <c r="C780" s="45"/>
      <c r="D780" s="46" t="str">
        <f>_xlfn.XLOOKUP(A780,My_Audit!A:A,My_Audit!D:D,"")&amp;""</f>
        <v/>
      </c>
      <c r="E780" s="46" t="str" cm="1">
        <f t="array" ref="E780">IFERROR(_xlfn.LET(
_xlpm.CSVVal,_xlfn.XLOOKUP($A780,CSV!$A:$A,CSV!E:E,""),
_xlpm.MacVal,_xlfn.XLOOKUP($A780,Output_Mac!$A:$A,Output_Mac!C:C,""),
_xlpm.MyAuditVal,_xlfn.XLOOKUP($A780,My_Audit!$A:$A,My_Audit!D:D,""),
_xlfn.IFS(_xlpm.MyAuditVal&lt;&gt;"",_xlpm.MyAuditVal,_xlpm.MacVal&lt;&gt;"",_xlpm.MacVal,_xlpm.CSVVal&lt;&gt;"",_xlpm.CSVVal
)),"")</f>
        <v/>
      </c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6" t="str">
        <f>IF(LEFT(N780,4)="Pass","Nist SP 800-88",My_Audit!R780)&amp;""</f>
        <v/>
      </c>
      <c r="R780" s="45"/>
      <c r="S780" s="45"/>
      <c r="T780" s="46" t="str">
        <f>_xlfn.XLOOKUP(E780,Models!I:I,Models!J:J,"")</f>
        <v/>
      </c>
      <c r="U780" s="45"/>
      <c r="V780" s="45"/>
      <c r="W780" s="38"/>
    </row>
    <row r="781" spans="1:23">
      <c r="A781" s="45" t="str">
        <f>_xlfn.TEXTJOIN("",TRUE,Input!$B$2,ROW(My_Audit!A780))</f>
        <v>XX780</v>
      </c>
      <c r="B781" s="45"/>
      <c r="C781" s="45"/>
      <c r="D781" s="46" t="str">
        <f>_xlfn.XLOOKUP(A781,My_Audit!A:A,My_Audit!D:D,"")&amp;""</f>
        <v/>
      </c>
      <c r="E781" s="46" t="str" cm="1">
        <f t="array" ref="E781">IFERROR(_xlfn.LET(
_xlpm.CSVVal,_xlfn.XLOOKUP($A781,CSV!$A:$A,CSV!E:E,""),
_xlpm.MacVal,_xlfn.XLOOKUP($A781,Output_Mac!$A:$A,Output_Mac!C:C,""),
_xlpm.MyAuditVal,_xlfn.XLOOKUP($A781,My_Audit!$A:$A,My_Audit!D:D,""),
_xlfn.IFS(_xlpm.MyAuditVal&lt;&gt;"",_xlpm.MyAuditVal,_xlpm.MacVal&lt;&gt;"",_xlpm.MacVal,_xlpm.CSVVal&lt;&gt;"",_xlpm.CSVVal
)),"")</f>
        <v/>
      </c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6" t="str">
        <f>IF(LEFT(N781,4)="Pass","Nist SP 800-88",My_Audit!R781)&amp;""</f>
        <v/>
      </c>
      <c r="R781" s="45"/>
      <c r="S781" s="45"/>
      <c r="T781" s="46" t="str">
        <f>_xlfn.XLOOKUP(E781,Models!I:I,Models!J:J,"")</f>
        <v/>
      </c>
      <c r="U781" s="45"/>
      <c r="V781" s="45"/>
      <c r="W781" s="38"/>
    </row>
    <row r="782" spans="1:23">
      <c r="A782" s="45" t="str">
        <f>_xlfn.TEXTJOIN("",TRUE,Input!$B$2,ROW(My_Audit!A781))</f>
        <v>XX781</v>
      </c>
      <c r="B782" s="45"/>
      <c r="C782" s="45"/>
      <c r="D782" s="46" t="str">
        <f>_xlfn.XLOOKUP(A782,My_Audit!A:A,My_Audit!D:D,"")&amp;""</f>
        <v/>
      </c>
      <c r="E782" s="46" t="str" cm="1">
        <f t="array" ref="E782">IFERROR(_xlfn.LET(
_xlpm.CSVVal,_xlfn.XLOOKUP($A782,CSV!$A:$A,CSV!E:E,""),
_xlpm.MacVal,_xlfn.XLOOKUP($A782,Output_Mac!$A:$A,Output_Mac!C:C,""),
_xlpm.MyAuditVal,_xlfn.XLOOKUP($A782,My_Audit!$A:$A,My_Audit!D:D,""),
_xlfn.IFS(_xlpm.MyAuditVal&lt;&gt;"",_xlpm.MyAuditVal,_xlpm.MacVal&lt;&gt;"",_xlpm.MacVal,_xlpm.CSVVal&lt;&gt;"",_xlpm.CSVVal
)),"")</f>
        <v/>
      </c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6" t="str">
        <f>IF(LEFT(N782,4)="Pass","Nist SP 800-88",My_Audit!R782)&amp;""</f>
        <v/>
      </c>
      <c r="R782" s="45"/>
      <c r="S782" s="45"/>
      <c r="T782" s="46" t="str">
        <f>_xlfn.XLOOKUP(E782,Models!I:I,Models!J:J,"")</f>
        <v/>
      </c>
      <c r="U782" s="45"/>
      <c r="V782" s="45"/>
      <c r="W782" s="38"/>
    </row>
    <row r="783" spans="1:23">
      <c r="A783" s="45" t="str">
        <f>_xlfn.TEXTJOIN("",TRUE,Input!$B$2,ROW(My_Audit!A782))</f>
        <v>XX782</v>
      </c>
      <c r="B783" s="45"/>
      <c r="C783" s="45"/>
      <c r="D783" s="46" t="str">
        <f>_xlfn.XLOOKUP(A783,My_Audit!A:A,My_Audit!D:D,"")&amp;""</f>
        <v/>
      </c>
      <c r="E783" s="46" t="str" cm="1">
        <f t="array" ref="E783">IFERROR(_xlfn.LET(
_xlpm.CSVVal,_xlfn.XLOOKUP($A783,CSV!$A:$A,CSV!E:E,""),
_xlpm.MacVal,_xlfn.XLOOKUP($A783,Output_Mac!$A:$A,Output_Mac!C:C,""),
_xlpm.MyAuditVal,_xlfn.XLOOKUP($A783,My_Audit!$A:$A,My_Audit!D:D,""),
_xlfn.IFS(_xlpm.MyAuditVal&lt;&gt;"",_xlpm.MyAuditVal,_xlpm.MacVal&lt;&gt;"",_xlpm.MacVal,_xlpm.CSVVal&lt;&gt;"",_xlpm.CSVVal
)),"")</f>
        <v/>
      </c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6" t="str">
        <f>IF(LEFT(N783,4)="Pass","Nist SP 800-88",My_Audit!R783)&amp;""</f>
        <v/>
      </c>
      <c r="R783" s="45"/>
      <c r="S783" s="45"/>
      <c r="T783" s="46" t="str">
        <f>_xlfn.XLOOKUP(E783,Models!I:I,Models!J:J,"")</f>
        <v/>
      </c>
      <c r="U783" s="45"/>
      <c r="V783" s="45"/>
      <c r="W783" s="38"/>
    </row>
    <row r="784" spans="1:23">
      <c r="A784" s="45" t="str">
        <f>_xlfn.TEXTJOIN("",TRUE,Input!$B$2,ROW(My_Audit!A783))</f>
        <v>XX783</v>
      </c>
      <c r="B784" s="45"/>
      <c r="C784" s="45"/>
      <c r="D784" s="46" t="str">
        <f>_xlfn.XLOOKUP(A784,My_Audit!A:A,My_Audit!D:D,"")&amp;""</f>
        <v/>
      </c>
      <c r="E784" s="46" t="str" cm="1">
        <f t="array" ref="E784">IFERROR(_xlfn.LET(
_xlpm.CSVVal,_xlfn.XLOOKUP($A784,CSV!$A:$A,CSV!E:E,""),
_xlpm.MacVal,_xlfn.XLOOKUP($A784,Output_Mac!$A:$A,Output_Mac!C:C,""),
_xlpm.MyAuditVal,_xlfn.XLOOKUP($A784,My_Audit!$A:$A,My_Audit!D:D,""),
_xlfn.IFS(_xlpm.MyAuditVal&lt;&gt;"",_xlpm.MyAuditVal,_xlpm.MacVal&lt;&gt;"",_xlpm.MacVal,_xlpm.CSVVal&lt;&gt;"",_xlpm.CSVVal
)),"")</f>
        <v/>
      </c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6" t="str">
        <f>IF(LEFT(N784,4)="Pass","Nist SP 800-88",My_Audit!R784)&amp;""</f>
        <v/>
      </c>
      <c r="R784" s="45"/>
      <c r="S784" s="45"/>
      <c r="T784" s="46" t="str">
        <f>_xlfn.XLOOKUP(E784,Models!I:I,Models!J:J,"")</f>
        <v/>
      </c>
      <c r="U784" s="45"/>
      <c r="V784" s="45"/>
      <c r="W784" s="38"/>
    </row>
    <row r="785" spans="1:23">
      <c r="A785" s="45" t="str">
        <f>_xlfn.TEXTJOIN("",TRUE,Input!$B$2,ROW(My_Audit!A784))</f>
        <v>XX784</v>
      </c>
      <c r="B785" s="45"/>
      <c r="C785" s="45"/>
      <c r="D785" s="46" t="str">
        <f>_xlfn.XLOOKUP(A785,My_Audit!A:A,My_Audit!D:D,"")&amp;""</f>
        <v/>
      </c>
      <c r="E785" s="46" t="str" cm="1">
        <f t="array" ref="E785">IFERROR(_xlfn.LET(
_xlpm.CSVVal,_xlfn.XLOOKUP($A785,CSV!$A:$A,CSV!E:E,""),
_xlpm.MacVal,_xlfn.XLOOKUP($A785,Output_Mac!$A:$A,Output_Mac!C:C,""),
_xlpm.MyAuditVal,_xlfn.XLOOKUP($A785,My_Audit!$A:$A,My_Audit!D:D,""),
_xlfn.IFS(_xlpm.MyAuditVal&lt;&gt;"",_xlpm.MyAuditVal,_xlpm.MacVal&lt;&gt;"",_xlpm.MacVal,_xlpm.CSVVal&lt;&gt;"",_xlpm.CSVVal
)),"")</f>
        <v/>
      </c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6" t="str">
        <f>IF(LEFT(N785,4)="Pass","Nist SP 800-88",My_Audit!R785)&amp;""</f>
        <v/>
      </c>
      <c r="R785" s="45"/>
      <c r="S785" s="45"/>
      <c r="T785" s="46" t="str">
        <f>_xlfn.XLOOKUP(E785,Models!I:I,Models!J:J,"")</f>
        <v/>
      </c>
      <c r="U785" s="45"/>
      <c r="V785" s="45"/>
      <c r="W785" s="38"/>
    </row>
    <row r="786" spans="1:23">
      <c r="A786" s="45" t="str">
        <f>_xlfn.TEXTJOIN("",TRUE,Input!$B$2,ROW(My_Audit!A785))</f>
        <v>XX785</v>
      </c>
      <c r="B786" s="45"/>
      <c r="C786" s="45"/>
      <c r="D786" s="46" t="str">
        <f>_xlfn.XLOOKUP(A786,My_Audit!A:A,My_Audit!D:D,"")&amp;""</f>
        <v/>
      </c>
      <c r="E786" s="46" t="str" cm="1">
        <f t="array" ref="E786">IFERROR(_xlfn.LET(
_xlpm.CSVVal,_xlfn.XLOOKUP($A786,CSV!$A:$A,CSV!E:E,""),
_xlpm.MacVal,_xlfn.XLOOKUP($A786,Output_Mac!$A:$A,Output_Mac!C:C,""),
_xlpm.MyAuditVal,_xlfn.XLOOKUP($A786,My_Audit!$A:$A,My_Audit!D:D,""),
_xlfn.IFS(_xlpm.MyAuditVal&lt;&gt;"",_xlpm.MyAuditVal,_xlpm.MacVal&lt;&gt;"",_xlpm.MacVal,_xlpm.CSVVal&lt;&gt;"",_xlpm.CSVVal
)),"")</f>
        <v/>
      </c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6" t="str">
        <f>IF(LEFT(N786,4)="Pass","Nist SP 800-88",My_Audit!R786)&amp;""</f>
        <v/>
      </c>
      <c r="R786" s="45"/>
      <c r="S786" s="45"/>
      <c r="T786" s="46" t="str">
        <f>_xlfn.XLOOKUP(E786,Models!I:I,Models!J:J,"")</f>
        <v/>
      </c>
      <c r="U786" s="45"/>
      <c r="V786" s="45"/>
      <c r="W786" s="38"/>
    </row>
    <row r="787" spans="1:23">
      <c r="A787" s="45" t="str">
        <f>_xlfn.TEXTJOIN("",TRUE,Input!$B$2,ROW(My_Audit!A786))</f>
        <v>XX786</v>
      </c>
      <c r="B787" s="45"/>
      <c r="C787" s="45"/>
      <c r="D787" s="46" t="str">
        <f>_xlfn.XLOOKUP(A787,My_Audit!A:A,My_Audit!D:D,"")&amp;""</f>
        <v/>
      </c>
      <c r="E787" s="46" t="str" cm="1">
        <f t="array" ref="E787">IFERROR(_xlfn.LET(
_xlpm.CSVVal,_xlfn.XLOOKUP($A787,CSV!$A:$A,CSV!E:E,""),
_xlpm.MacVal,_xlfn.XLOOKUP($A787,Output_Mac!$A:$A,Output_Mac!C:C,""),
_xlpm.MyAuditVal,_xlfn.XLOOKUP($A787,My_Audit!$A:$A,My_Audit!D:D,""),
_xlfn.IFS(_xlpm.MyAuditVal&lt;&gt;"",_xlpm.MyAuditVal,_xlpm.MacVal&lt;&gt;"",_xlpm.MacVal,_xlpm.CSVVal&lt;&gt;"",_xlpm.CSVVal
)),"")</f>
        <v/>
      </c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6" t="str">
        <f>IF(LEFT(N787,4)="Pass","Nist SP 800-88",My_Audit!R787)&amp;""</f>
        <v/>
      </c>
      <c r="R787" s="45"/>
      <c r="S787" s="45"/>
      <c r="T787" s="46" t="str">
        <f>_xlfn.XLOOKUP(E787,Models!I:I,Models!J:J,"")</f>
        <v/>
      </c>
      <c r="U787" s="45"/>
      <c r="V787" s="45"/>
      <c r="W787" s="38"/>
    </row>
    <row r="788" spans="1:23">
      <c r="A788" s="45" t="str">
        <f>_xlfn.TEXTJOIN("",TRUE,Input!$B$2,ROW(My_Audit!A787))</f>
        <v>XX787</v>
      </c>
      <c r="B788" s="45"/>
      <c r="C788" s="45"/>
      <c r="D788" s="46" t="str">
        <f>_xlfn.XLOOKUP(A788,My_Audit!A:A,My_Audit!D:D,"")&amp;""</f>
        <v/>
      </c>
      <c r="E788" s="46" t="str" cm="1">
        <f t="array" ref="E788">IFERROR(_xlfn.LET(
_xlpm.CSVVal,_xlfn.XLOOKUP($A788,CSV!$A:$A,CSV!E:E,""),
_xlpm.MacVal,_xlfn.XLOOKUP($A788,Output_Mac!$A:$A,Output_Mac!C:C,""),
_xlpm.MyAuditVal,_xlfn.XLOOKUP($A788,My_Audit!$A:$A,My_Audit!D:D,""),
_xlfn.IFS(_xlpm.MyAuditVal&lt;&gt;"",_xlpm.MyAuditVal,_xlpm.MacVal&lt;&gt;"",_xlpm.MacVal,_xlpm.CSVVal&lt;&gt;"",_xlpm.CSVVal
)),"")</f>
        <v/>
      </c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6" t="str">
        <f>IF(LEFT(N788,4)="Pass","Nist SP 800-88",My_Audit!R788)&amp;""</f>
        <v/>
      </c>
      <c r="R788" s="45"/>
      <c r="S788" s="45"/>
      <c r="T788" s="46" t="str">
        <f>_xlfn.XLOOKUP(E788,Models!I:I,Models!J:J,"")</f>
        <v/>
      </c>
      <c r="U788" s="45"/>
      <c r="V788" s="45"/>
      <c r="W788" s="38"/>
    </row>
    <row r="789" spans="1:23">
      <c r="A789" s="45" t="str">
        <f>_xlfn.TEXTJOIN("",TRUE,Input!$B$2,ROW(My_Audit!A788))</f>
        <v>XX788</v>
      </c>
      <c r="B789" s="45"/>
      <c r="C789" s="45"/>
      <c r="D789" s="46" t="str">
        <f>_xlfn.XLOOKUP(A789,My_Audit!A:A,My_Audit!D:D,"")&amp;""</f>
        <v/>
      </c>
      <c r="E789" s="46" t="str" cm="1">
        <f t="array" ref="E789">IFERROR(_xlfn.LET(
_xlpm.CSVVal,_xlfn.XLOOKUP($A789,CSV!$A:$A,CSV!E:E,""),
_xlpm.MacVal,_xlfn.XLOOKUP($A789,Output_Mac!$A:$A,Output_Mac!C:C,""),
_xlpm.MyAuditVal,_xlfn.XLOOKUP($A789,My_Audit!$A:$A,My_Audit!D:D,""),
_xlfn.IFS(_xlpm.MyAuditVal&lt;&gt;"",_xlpm.MyAuditVal,_xlpm.MacVal&lt;&gt;"",_xlpm.MacVal,_xlpm.CSVVal&lt;&gt;"",_xlpm.CSVVal
)),"")</f>
        <v/>
      </c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6" t="str">
        <f>IF(LEFT(N789,4)="Pass","Nist SP 800-88",My_Audit!R789)&amp;""</f>
        <v/>
      </c>
      <c r="R789" s="45"/>
      <c r="S789" s="45"/>
      <c r="T789" s="46" t="str">
        <f>_xlfn.XLOOKUP(E789,Models!I:I,Models!J:J,"")</f>
        <v/>
      </c>
      <c r="U789" s="45"/>
      <c r="V789" s="45"/>
      <c r="W789" s="38"/>
    </row>
    <row r="790" spans="1:23">
      <c r="A790" s="45" t="str">
        <f>_xlfn.TEXTJOIN("",TRUE,Input!$B$2,ROW(My_Audit!A789))</f>
        <v>XX789</v>
      </c>
      <c r="B790" s="45"/>
      <c r="C790" s="45"/>
      <c r="D790" s="46" t="str">
        <f>_xlfn.XLOOKUP(A790,My_Audit!A:A,My_Audit!D:D,"")&amp;""</f>
        <v/>
      </c>
      <c r="E790" s="46" t="str" cm="1">
        <f t="array" ref="E790">IFERROR(_xlfn.LET(
_xlpm.CSVVal,_xlfn.XLOOKUP($A790,CSV!$A:$A,CSV!E:E,""),
_xlpm.MacVal,_xlfn.XLOOKUP($A790,Output_Mac!$A:$A,Output_Mac!C:C,""),
_xlpm.MyAuditVal,_xlfn.XLOOKUP($A790,My_Audit!$A:$A,My_Audit!D:D,""),
_xlfn.IFS(_xlpm.MyAuditVal&lt;&gt;"",_xlpm.MyAuditVal,_xlpm.MacVal&lt;&gt;"",_xlpm.MacVal,_xlpm.CSVVal&lt;&gt;"",_xlpm.CSVVal
)),"")</f>
        <v/>
      </c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6" t="str">
        <f>IF(LEFT(N790,4)="Pass","Nist SP 800-88",My_Audit!R790)&amp;""</f>
        <v/>
      </c>
      <c r="R790" s="45"/>
      <c r="S790" s="45"/>
      <c r="T790" s="46" t="str">
        <f>_xlfn.XLOOKUP(E790,Models!I:I,Models!J:J,"")</f>
        <v/>
      </c>
      <c r="U790" s="45"/>
      <c r="V790" s="45"/>
      <c r="W790" s="38"/>
    </row>
    <row r="791" spans="1:23">
      <c r="A791" s="45" t="str">
        <f>_xlfn.TEXTJOIN("",TRUE,Input!$B$2,ROW(My_Audit!A790))</f>
        <v>XX790</v>
      </c>
      <c r="B791" s="45"/>
      <c r="C791" s="45"/>
      <c r="D791" s="46" t="str">
        <f>_xlfn.XLOOKUP(A791,My_Audit!A:A,My_Audit!D:D,"")&amp;""</f>
        <v/>
      </c>
      <c r="E791" s="46" t="str" cm="1">
        <f t="array" ref="E791">IFERROR(_xlfn.LET(
_xlpm.CSVVal,_xlfn.XLOOKUP($A791,CSV!$A:$A,CSV!E:E,""),
_xlpm.MacVal,_xlfn.XLOOKUP($A791,Output_Mac!$A:$A,Output_Mac!C:C,""),
_xlpm.MyAuditVal,_xlfn.XLOOKUP($A791,My_Audit!$A:$A,My_Audit!D:D,""),
_xlfn.IFS(_xlpm.MyAuditVal&lt;&gt;"",_xlpm.MyAuditVal,_xlpm.MacVal&lt;&gt;"",_xlpm.MacVal,_xlpm.CSVVal&lt;&gt;"",_xlpm.CSVVal
)),"")</f>
        <v/>
      </c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6" t="str">
        <f>IF(LEFT(N791,4)="Pass","Nist SP 800-88",My_Audit!R791)&amp;""</f>
        <v/>
      </c>
      <c r="R791" s="45"/>
      <c r="S791" s="45"/>
      <c r="T791" s="46" t="str">
        <f>_xlfn.XLOOKUP(E791,Models!I:I,Models!J:J,"")</f>
        <v/>
      </c>
      <c r="U791" s="45"/>
      <c r="V791" s="45"/>
      <c r="W791" s="38"/>
    </row>
    <row r="792" spans="1:23">
      <c r="A792" s="45" t="str">
        <f>_xlfn.TEXTJOIN("",TRUE,Input!$B$2,ROW(My_Audit!A791))</f>
        <v>XX791</v>
      </c>
      <c r="B792" s="45"/>
      <c r="C792" s="45"/>
      <c r="D792" s="46" t="str">
        <f>_xlfn.XLOOKUP(A792,My_Audit!A:A,My_Audit!D:D,"")&amp;""</f>
        <v/>
      </c>
      <c r="E792" s="46" t="str" cm="1">
        <f t="array" ref="E792">IFERROR(_xlfn.LET(
_xlpm.CSVVal,_xlfn.XLOOKUP($A792,CSV!$A:$A,CSV!E:E,""),
_xlpm.MacVal,_xlfn.XLOOKUP($A792,Output_Mac!$A:$A,Output_Mac!C:C,""),
_xlpm.MyAuditVal,_xlfn.XLOOKUP($A792,My_Audit!$A:$A,My_Audit!D:D,""),
_xlfn.IFS(_xlpm.MyAuditVal&lt;&gt;"",_xlpm.MyAuditVal,_xlpm.MacVal&lt;&gt;"",_xlpm.MacVal,_xlpm.CSVVal&lt;&gt;"",_xlpm.CSVVal
)),"")</f>
        <v/>
      </c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6" t="str">
        <f>IF(LEFT(N792,4)="Pass","Nist SP 800-88",My_Audit!R792)&amp;""</f>
        <v/>
      </c>
      <c r="R792" s="45"/>
      <c r="S792" s="45"/>
      <c r="T792" s="46" t="str">
        <f>_xlfn.XLOOKUP(E792,Models!I:I,Models!J:J,"")</f>
        <v/>
      </c>
      <c r="U792" s="45"/>
      <c r="V792" s="45"/>
      <c r="W792" s="38"/>
    </row>
    <row r="793" spans="1:23">
      <c r="A793" s="45" t="str">
        <f>_xlfn.TEXTJOIN("",TRUE,Input!$B$2,ROW(My_Audit!A792))</f>
        <v>XX792</v>
      </c>
      <c r="B793" s="45"/>
      <c r="C793" s="45"/>
      <c r="D793" s="46" t="str">
        <f>_xlfn.XLOOKUP(A793,My_Audit!A:A,My_Audit!D:D,"")&amp;""</f>
        <v/>
      </c>
      <c r="E793" s="46" t="str" cm="1">
        <f t="array" ref="E793">IFERROR(_xlfn.LET(
_xlpm.CSVVal,_xlfn.XLOOKUP($A793,CSV!$A:$A,CSV!E:E,""),
_xlpm.MacVal,_xlfn.XLOOKUP($A793,Output_Mac!$A:$A,Output_Mac!C:C,""),
_xlpm.MyAuditVal,_xlfn.XLOOKUP($A793,My_Audit!$A:$A,My_Audit!D:D,""),
_xlfn.IFS(_xlpm.MyAuditVal&lt;&gt;"",_xlpm.MyAuditVal,_xlpm.MacVal&lt;&gt;"",_xlpm.MacVal,_xlpm.CSVVal&lt;&gt;"",_xlpm.CSVVal
)),"")</f>
        <v/>
      </c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6" t="str">
        <f>IF(LEFT(N793,4)="Pass","Nist SP 800-88",My_Audit!R793)&amp;""</f>
        <v/>
      </c>
      <c r="R793" s="45"/>
      <c r="S793" s="45"/>
      <c r="T793" s="46" t="str">
        <f>_xlfn.XLOOKUP(E793,Models!I:I,Models!J:J,"")</f>
        <v/>
      </c>
      <c r="U793" s="45"/>
      <c r="V793" s="45"/>
      <c r="W793" s="38"/>
    </row>
    <row r="794" spans="1:23">
      <c r="A794" s="45" t="str">
        <f>_xlfn.TEXTJOIN("",TRUE,Input!$B$2,ROW(My_Audit!A793))</f>
        <v>XX793</v>
      </c>
      <c r="B794" s="45"/>
      <c r="C794" s="45"/>
      <c r="D794" s="46" t="str">
        <f>_xlfn.XLOOKUP(A794,My_Audit!A:A,My_Audit!D:D,"")&amp;""</f>
        <v/>
      </c>
      <c r="E794" s="46" t="str" cm="1">
        <f t="array" ref="E794">IFERROR(_xlfn.LET(
_xlpm.CSVVal,_xlfn.XLOOKUP($A794,CSV!$A:$A,CSV!E:E,""),
_xlpm.MacVal,_xlfn.XLOOKUP($A794,Output_Mac!$A:$A,Output_Mac!C:C,""),
_xlpm.MyAuditVal,_xlfn.XLOOKUP($A794,My_Audit!$A:$A,My_Audit!D:D,""),
_xlfn.IFS(_xlpm.MyAuditVal&lt;&gt;"",_xlpm.MyAuditVal,_xlpm.MacVal&lt;&gt;"",_xlpm.MacVal,_xlpm.CSVVal&lt;&gt;"",_xlpm.CSVVal
)),"")</f>
        <v/>
      </c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6" t="str">
        <f>IF(LEFT(N794,4)="Pass","Nist SP 800-88",My_Audit!R794)&amp;""</f>
        <v/>
      </c>
      <c r="R794" s="45"/>
      <c r="S794" s="45"/>
      <c r="T794" s="46" t="str">
        <f>_xlfn.XLOOKUP(E794,Models!I:I,Models!J:J,"")</f>
        <v/>
      </c>
      <c r="U794" s="45"/>
      <c r="V794" s="45"/>
      <c r="W794" s="38"/>
    </row>
    <row r="795" spans="1:23">
      <c r="A795" s="45" t="str">
        <f>_xlfn.TEXTJOIN("",TRUE,Input!$B$2,ROW(My_Audit!A794))</f>
        <v>XX794</v>
      </c>
      <c r="B795" s="45"/>
      <c r="C795" s="45"/>
      <c r="D795" s="46" t="str">
        <f>_xlfn.XLOOKUP(A795,My_Audit!A:A,My_Audit!D:D,"")&amp;""</f>
        <v/>
      </c>
      <c r="E795" s="46" t="str" cm="1">
        <f t="array" ref="E795">IFERROR(_xlfn.LET(
_xlpm.CSVVal,_xlfn.XLOOKUP($A795,CSV!$A:$A,CSV!E:E,""),
_xlpm.MacVal,_xlfn.XLOOKUP($A795,Output_Mac!$A:$A,Output_Mac!C:C,""),
_xlpm.MyAuditVal,_xlfn.XLOOKUP($A795,My_Audit!$A:$A,My_Audit!D:D,""),
_xlfn.IFS(_xlpm.MyAuditVal&lt;&gt;"",_xlpm.MyAuditVal,_xlpm.MacVal&lt;&gt;"",_xlpm.MacVal,_xlpm.CSVVal&lt;&gt;"",_xlpm.CSVVal
)),"")</f>
        <v/>
      </c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6" t="str">
        <f>IF(LEFT(N795,4)="Pass","Nist SP 800-88",My_Audit!R795)&amp;""</f>
        <v/>
      </c>
      <c r="R795" s="45"/>
      <c r="S795" s="45"/>
      <c r="T795" s="46" t="str">
        <f>_xlfn.XLOOKUP(E795,Models!I:I,Models!J:J,"")</f>
        <v/>
      </c>
      <c r="U795" s="45"/>
      <c r="V795" s="45"/>
      <c r="W795" s="38"/>
    </row>
    <row r="796" spans="1:23">
      <c r="A796" s="45" t="str">
        <f>_xlfn.TEXTJOIN("",TRUE,Input!$B$2,ROW(My_Audit!A795))</f>
        <v>XX795</v>
      </c>
      <c r="B796" s="45"/>
      <c r="C796" s="45"/>
      <c r="D796" s="46" t="str">
        <f>_xlfn.XLOOKUP(A796,My_Audit!A:A,My_Audit!D:D,"")&amp;""</f>
        <v/>
      </c>
      <c r="E796" s="46" t="str" cm="1">
        <f t="array" ref="E796">IFERROR(_xlfn.LET(
_xlpm.CSVVal,_xlfn.XLOOKUP($A796,CSV!$A:$A,CSV!E:E,""),
_xlpm.MacVal,_xlfn.XLOOKUP($A796,Output_Mac!$A:$A,Output_Mac!C:C,""),
_xlpm.MyAuditVal,_xlfn.XLOOKUP($A796,My_Audit!$A:$A,My_Audit!D:D,""),
_xlfn.IFS(_xlpm.MyAuditVal&lt;&gt;"",_xlpm.MyAuditVal,_xlpm.MacVal&lt;&gt;"",_xlpm.MacVal,_xlpm.CSVVal&lt;&gt;"",_xlpm.CSVVal
)),"")</f>
        <v/>
      </c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6" t="str">
        <f>IF(LEFT(N796,4)="Pass","Nist SP 800-88",My_Audit!R796)&amp;""</f>
        <v/>
      </c>
      <c r="R796" s="45"/>
      <c r="S796" s="45"/>
      <c r="T796" s="46" t="str">
        <f>_xlfn.XLOOKUP(E796,Models!I:I,Models!J:J,"")</f>
        <v/>
      </c>
      <c r="U796" s="45"/>
      <c r="V796" s="45"/>
      <c r="W796" s="38"/>
    </row>
    <row r="797" spans="1:23">
      <c r="A797" s="45" t="str">
        <f>_xlfn.TEXTJOIN("",TRUE,Input!$B$2,ROW(My_Audit!A796))</f>
        <v>XX796</v>
      </c>
      <c r="B797" s="45"/>
      <c r="C797" s="45"/>
      <c r="D797" s="46" t="str">
        <f>_xlfn.XLOOKUP(A797,My_Audit!A:A,My_Audit!D:D,"")&amp;""</f>
        <v/>
      </c>
      <c r="E797" s="46" t="str" cm="1">
        <f t="array" ref="E797">IFERROR(_xlfn.LET(
_xlpm.CSVVal,_xlfn.XLOOKUP($A797,CSV!$A:$A,CSV!E:E,""),
_xlpm.MacVal,_xlfn.XLOOKUP($A797,Output_Mac!$A:$A,Output_Mac!C:C,""),
_xlpm.MyAuditVal,_xlfn.XLOOKUP($A797,My_Audit!$A:$A,My_Audit!D:D,""),
_xlfn.IFS(_xlpm.MyAuditVal&lt;&gt;"",_xlpm.MyAuditVal,_xlpm.MacVal&lt;&gt;"",_xlpm.MacVal,_xlpm.CSVVal&lt;&gt;"",_xlpm.CSVVal
)),"")</f>
        <v/>
      </c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6" t="str">
        <f>IF(LEFT(N797,4)="Pass","Nist SP 800-88",My_Audit!R797)&amp;""</f>
        <v/>
      </c>
      <c r="R797" s="45"/>
      <c r="S797" s="45"/>
      <c r="T797" s="46" t="str">
        <f>_xlfn.XLOOKUP(E797,Models!I:I,Models!J:J,"")</f>
        <v/>
      </c>
      <c r="U797" s="45"/>
      <c r="V797" s="45"/>
      <c r="W797" s="38"/>
    </row>
    <row r="798" spans="1:23">
      <c r="A798" s="45" t="str">
        <f>_xlfn.TEXTJOIN("",TRUE,Input!$B$2,ROW(My_Audit!A797))</f>
        <v>XX797</v>
      </c>
      <c r="B798" s="45"/>
      <c r="C798" s="45"/>
      <c r="D798" s="46" t="str">
        <f>_xlfn.XLOOKUP(A798,My_Audit!A:A,My_Audit!D:D,"")&amp;""</f>
        <v/>
      </c>
      <c r="E798" s="46" t="str" cm="1">
        <f t="array" ref="E798">IFERROR(_xlfn.LET(
_xlpm.CSVVal,_xlfn.XLOOKUP($A798,CSV!$A:$A,CSV!E:E,""),
_xlpm.MacVal,_xlfn.XLOOKUP($A798,Output_Mac!$A:$A,Output_Mac!C:C,""),
_xlpm.MyAuditVal,_xlfn.XLOOKUP($A798,My_Audit!$A:$A,My_Audit!D:D,""),
_xlfn.IFS(_xlpm.MyAuditVal&lt;&gt;"",_xlpm.MyAuditVal,_xlpm.MacVal&lt;&gt;"",_xlpm.MacVal,_xlpm.CSVVal&lt;&gt;"",_xlpm.CSVVal
)),"")</f>
        <v/>
      </c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6" t="str">
        <f>IF(LEFT(N798,4)="Pass","Nist SP 800-88",My_Audit!R798)&amp;""</f>
        <v/>
      </c>
      <c r="R798" s="45"/>
      <c r="S798" s="45"/>
      <c r="T798" s="46" t="str">
        <f>_xlfn.XLOOKUP(E798,Models!I:I,Models!J:J,"")</f>
        <v/>
      </c>
      <c r="U798" s="45"/>
      <c r="V798" s="45"/>
      <c r="W798" s="38"/>
    </row>
    <row r="799" spans="1:23">
      <c r="A799" s="45" t="str">
        <f>_xlfn.TEXTJOIN("",TRUE,Input!$B$2,ROW(My_Audit!A798))</f>
        <v>XX798</v>
      </c>
      <c r="B799" s="45"/>
      <c r="C799" s="45"/>
      <c r="D799" s="46" t="str">
        <f>_xlfn.XLOOKUP(A799,My_Audit!A:A,My_Audit!D:D,"")&amp;""</f>
        <v/>
      </c>
      <c r="E799" s="46" t="str" cm="1">
        <f t="array" ref="E799">IFERROR(_xlfn.LET(
_xlpm.CSVVal,_xlfn.XLOOKUP($A799,CSV!$A:$A,CSV!E:E,""),
_xlpm.MacVal,_xlfn.XLOOKUP($A799,Output_Mac!$A:$A,Output_Mac!C:C,""),
_xlpm.MyAuditVal,_xlfn.XLOOKUP($A799,My_Audit!$A:$A,My_Audit!D:D,""),
_xlfn.IFS(_xlpm.MyAuditVal&lt;&gt;"",_xlpm.MyAuditVal,_xlpm.MacVal&lt;&gt;"",_xlpm.MacVal,_xlpm.CSVVal&lt;&gt;"",_xlpm.CSVVal
)),"")</f>
        <v/>
      </c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6" t="str">
        <f>IF(LEFT(N799,4)="Pass","Nist SP 800-88",My_Audit!R799)&amp;""</f>
        <v/>
      </c>
      <c r="R799" s="45"/>
      <c r="S799" s="45"/>
      <c r="T799" s="46" t="str">
        <f>_xlfn.XLOOKUP(E799,Models!I:I,Models!J:J,"")</f>
        <v/>
      </c>
      <c r="U799" s="45"/>
      <c r="V799" s="45"/>
      <c r="W799" s="38"/>
    </row>
    <row r="800" spans="1:23">
      <c r="A800" s="45" t="str">
        <f>_xlfn.TEXTJOIN("",TRUE,Input!$B$2,ROW(My_Audit!A799))</f>
        <v>XX799</v>
      </c>
      <c r="B800" s="45"/>
      <c r="C800" s="45"/>
      <c r="D800" s="46" t="str">
        <f>_xlfn.XLOOKUP(A800,My_Audit!A:A,My_Audit!D:D,"")&amp;""</f>
        <v/>
      </c>
      <c r="E800" s="46" t="str" cm="1">
        <f t="array" ref="E800">IFERROR(_xlfn.LET(
_xlpm.CSVVal,_xlfn.XLOOKUP($A800,CSV!$A:$A,CSV!E:E,""),
_xlpm.MacVal,_xlfn.XLOOKUP($A800,Output_Mac!$A:$A,Output_Mac!C:C,""),
_xlpm.MyAuditVal,_xlfn.XLOOKUP($A800,My_Audit!$A:$A,My_Audit!D:D,""),
_xlfn.IFS(_xlpm.MyAuditVal&lt;&gt;"",_xlpm.MyAuditVal,_xlpm.MacVal&lt;&gt;"",_xlpm.MacVal,_xlpm.CSVVal&lt;&gt;"",_xlpm.CSVVal
)),"")</f>
        <v/>
      </c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6" t="str">
        <f>IF(LEFT(N800,4)="Pass","Nist SP 800-88",My_Audit!R800)&amp;""</f>
        <v/>
      </c>
      <c r="R800" s="45"/>
      <c r="S800" s="45"/>
      <c r="T800" s="46" t="str">
        <f>_xlfn.XLOOKUP(E800,Models!I:I,Models!J:J,"")</f>
        <v/>
      </c>
      <c r="U800" s="45"/>
      <c r="V800" s="45"/>
      <c r="W800" s="38"/>
    </row>
    <row r="801" spans="1:23">
      <c r="A801" s="45" t="str">
        <f>_xlfn.TEXTJOIN("",TRUE,Input!$B$2,ROW(My_Audit!A800))</f>
        <v>XX800</v>
      </c>
      <c r="B801" s="45"/>
      <c r="C801" s="45"/>
      <c r="D801" s="46" t="str">
        <f>_xlfn.XLOOKUP(A801,My_Audit!A:A,My_Audit!D:D,"")&amp;""</f>
        <v/>
      </c>
      <c r="E801" s="46" t="str" cm="1">
        <f t="array" ref="E801">IFERROR(_xlfn.LET(
_xlpm.CSVVal,_xlfn.XLOOKUP($A801,CSV!$A:$A,CSV!E:E,""),
_xlpm.MacVal,_xlfn.XLOOKUP($A801,Output_Mac!$A:$A,Output_Mac!C:C,""),
_xlpm.MyAuditVal,_xlfn.XLOOKUP($A801,My_Audit!$A:$A,My_Audit!D:D,""),
_xlfn.IFS(_xlpm.MyAuditVal&lt;&gt;"",_xlpm.MyAuditVal,_xlpm.MacVal&lt;&gt;"",_xlpm.MacVal,_xlpm.CSVVal&lt;&gt;"",_xlpm.CSVVal
)),"")</f>
        <v/>
      </c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6" t="str">
        <f>IF(LEFT(N801,4)="Pass","Nist SP 800-88",My_Audit!R801)&amp;""</f>
        <v/>
      </c>
      <c r="R801" s="45"/>
      <c r="S801" s="45"/>
      <c r="T801" s="46" t="str">
        <f>_xlfn.XLOOKUP(E801,Models!I:I,Models!J:J,"")</f>
        <v/>
      </c>
      <c r="U801" s="45"/>
      <c r="V801" s="45"/>
      <c r="W801" s="38"/>
    </row>
    <row r="802" spans="1:23">
      <c r="A802" s="45" t="str">
        <f>_xlfn.TEXTJOIN("",TRUE,Input!$B$2,ROW(My_Audit!A801))</f>
        <v>XX801</v>
      </c>
      <c r="B802" s="45"/>
      <c r="C802" s="45"/>
      <c r="D802" s="46" t="str">
        <f>_xlfn.XLOOKUP(A802,My_Audit!A:A,My_Audit!D:D,"")&amp;""</f>
        <v/>
      </c>
      <c r="E802" s="46" t="str" cm="1">
        <f t="array" ref="E802">IFERROR(_xlfn.LET(
_xlpm.CSVVal,_xlfn.XLOOKUP($A802,CSV!$A:$A,CSV!E:E,""),
_xlpm.MacVal,_xlfn.XLOOKUP($A802,Output_Mac!$A:$A,Output_Mac!C:C,""),
_xlpm.MyAuditVal,_xlfn.XLOOKUP($A802,My_Audit!$A:$A,My_Audit!D:D,""),
_xlfn.IFS(_xlpm.MyAuditVal&lt;&gt;"",_xlpm.MyAuditVal,_xlpm.MacVal&lt;&gt;"",_xlpm.MacVal,_xlpm.CSVVal&lt;&gt;"",_xlpm.CSVVal
)),"")</f>
        <v/>
      </c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6" t="str">
        <f>IF(LEFT(N802,4)="Pass","Nist SP 800-88",My_Audit!R802)&amp;""</f>
        <v/>
      </c>
      <c r="R802" s="45"/>
      <c r="S802" s="45"/>
      <c r="T802" s="46" t="str">
        <f>_xlfn.XLOOKUP(E802,Models!I:I,Models!J:J,"")</f>
        <v/>
      </c>
      <c r="U802" s="45"/>
      <c r="V802" s="45"/>
      <c r="W802" s="38"/>
    </row>
    <row r="803" spans="1:23">
      <c r="A803" s="45" t="str">
        <f>_xlfn.TEXTJOIN("",TRUE,Input!$B$2,ROW(My_Audit!A802))</f>
        <v>XX802</v>
      </c>
      <c r="B803" s="45"/>
      <c r="C803" s="45"/>
      <c r="D803" s="46" t="str">
        <f>_xlfn.XLOOKUP(A803,My_Audit!A:A,My_Audit!D:D,"")&amp;""</f>
        <v/>
      </c>
      <c r="E803" s="46" t="str" cm="1">
        <f t="array" ref="E803">IFERROR(_xlfn.LET(
_xlpm.CSVVal,_xlfn.XLOOKUP($A803,CSV!$A:$A,CSV!E:E,""),
_xlpm.MacVal,_xlfn.XLOOKUP($A803,Output_Mac!$A:$A,Output_Mac!C:C,""),
_xlpm.MyAuditVal,_xlfn.XLOOKUP($A803,My_Audit!$A:$A,My_Audit!D:D,""),
_xlfn.IFS(_xlpm.MyAuditVal&lt;&gt;"",_xlpm.MyAuditVal,_xlpm.MacVal&lt;&gt;"",_xlpm.MacVal,_xlpm.CSVVal&lt;&gt;"",_xlpm.CSVVal
)),"")</f>
        <v/>
      </c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6" t="str">
        <f>IF(LEFT(N803,4)="Pass","Nist SP 800-88",My_Audit!R803)&amp;""</f>
        <v/>
      </c>
      <c r="R803" s="45"/>
      <c r="S803" s="45"/>
      <c r="T803" s="46" t="str">
        <f>_xlfn.XLOOKUP(E803,Models!I:I,Models!J:J,"")</f>
        <v/>
      </c>
      <c r="U803" s="45"/>
      <c r="V803" s="45"/>
      <c r="W803" s="38"/>
    </row>
    <row r="804" spans="1:23">
      <c r="A804" s="45" t="str">
        <f>_xlfn.TEXTJOIN("",TRUE,Input!$B$2,ROW(My_Audit!A803))</f>
        <v>XX803</v>
      </c>
      <c r="B804" s="45"/>
      <c r="C804" s="45"/>
      <c r="D804" s="46" t="str">
        <f>_xlfn.XLOOKUP(A804,My_Audit!A:A,My_Audit!D:D,"")&amp;""</f>
        <v/>
      </c>
      <c r="E804" s="46" t="str" cm="1">
        <f t="array" ref="E804">IFERROR(_xlfn.LET(
_xlpm.CSVVal,_xlfn.XLOOKUP($A804,CSV!$A:$A,CSV!E:E,""),
_xlpm.MacVal,_xlfn.XLOOKUP($A804,Output_Mac!$A:$A,Output_Mac!C:C,""),
_xlpm.MyAuditVal,_xlfn.XLOOKUP($A804,My_Audit!$A:$A,My_Audit!D:D,""),
_xlfn.IFS(_xlpm.MyAuditVal&lt;&gt;"",_xlpm.MyAuditVal,_xlpm.MacVal&lt;&gt;"",_xlpm.MacVal,_xlpm.CSVVal&lt;&gt;"",_xlpm.CSVVal
)),"")</f>
        <v/>
      </c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6" t="str">
        <f>IF(LEFT(N804,4)="Pass","Nist SP 800-88",My_Audit!R804)&amp;""</f>
        <v/>
      </c>
      <c r="R804" s="45"/>
      <c r="S804" s="45"/>
      <c r="T804" s="46" t="str">
        <f>_xlfn.XLOOKUP(E804,Models!I:I,Models!J:J,"")</f>
        <v/>
      </c>
      <c r="U804" s="45"/>
      <c r="V804" s="45"/>
      <c r="W804" s="38"/>
    </row>
    <row r="805" spans="1:23">
      <c r="A805" s="45" t="str">
        <f>_xlfn.TEXTJOIN("",TRUE,Input!$B$2,ROW(My_Audit!A804))</f>
        <v>XX804</v>
      </c>
      <c r="B805" s="45"/>
      <c r="C805" s="45"/>
      <c r="D805" s="46" t="str">
        <f>_xlfn.XLOOKUP(A805,My_Audit!A:A,My_Audit!D:D,"")&amp;""</f>
        <v/>
      </c>
      <c r="E805" s="46" t="str" cm="1">
        <f t="array" ref="E805">IFERROR(_xlfn.LET(
_xlpm.CSVVal,_xlfn.XLOOKUP($A805,CSV!$A:$A,CSV!E:E,""),
_xlpm.MacVal,_xlfn.XLOOKUP($A805,Output_Mac!$A:$A,Output_Mac!C:C,""),
_xlpm.MyAuditVal,_xlfn.XLOOKUP($A805,My_Audit!$A:$A,My_Audit!D:D,""),
_xlfn.IFS(_xlpm.MyAuditVal&lt;&gt;"",_xlpm.MyAuditVal,_xlpm.MacVal&lt;&gt;"",_xlpm.MacVal,_xlpm.CSVVal&lt;&gt;"",_xlpm.CSVVal
)),"")</f>
        <v/>
      </c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6" t="str">
        <f>IF(LEFT(N805,4)="Pass","Nist SP 800-88",My_Audit!R805)&amp;""</f>
        <v/>
      </c>
      <c r="R805" s="45"/>
      <c r="S805" s="45"/>
      <c r="T805" s="46" t="str">
        <f>_xlfn.XLOOKUP(E805,Models!I:I,Models!J:J,"")</f>
        <v/>
      </c>
      <c r="U805" s="45"/>
      <c r="V805" s="45"/>
      <c r="W805" s="38"/>
    </row>
    <row r="806" spans="1:23">
      <c r="A806" s="45" t="str">
        <f>_xlfn.TEXTJOIN("",TRUE,Input!$B$2,ROW(My_Audit!A805))</f>
        <v>XX805</v>
      </c>
      <c r="B806" s="45"/>
      <c r="C806" s="45"/>
      <c r="D806" s="46" t="str">
        <f>_xlfn.XLOOKUP(A806,My_Audit!A:A,My_Audit!D:D,"")&amp;""</f>
        <v/>
      </c>
      <c r="E806" s="46" t="str" cm="1">
        <f t="array" ref="E806">IFERROR(_xlfn.LET(
_xlpm.CSVVal,_xlfn.XLOOKUP($A806,CSV!$A:$A,CSV!E:E,""),
_xlpm.MacVal,_xlfn.XLOOKUP($A806,Output_Mac!$A:$A,Output_Mac!C:C,""),
_xlpm.MyAuditVal,_xlfn.XLOOKUP($A806,My_Audit!$A:$A,My_Audit!D:D,""),
_xlfn.IFS(_xlpm.MyAuditVal&lt;&gt;"",_xlpm.MyAuditVal,_xlpm.MacVal&lt;&gt;"",_xlpm.MacVal,_xlpm.CSVVal&lt;&gt;"",_xlpm.CSVVal
)),"")</f>
        <v/>
      </c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6" t="str">
        <f>IF(LEFT(N806,4)="Pass","Nist SP 800-88",My_Audit!R806)&amp;""</f>
        <v/>
      </c>
      <c r="R806" s="45"/>
      <c r="S806" s="45"/>
      <c r="T806" s="46" t="str">
        <f>_xlfn.XLOOKUP(E806,Models!I:I,Models!J:J,"")</f>
        <v/>
      </c>
      <c r="U806" s="45"/>
      <c r="V806" s="45"/>
      <c r="W806" s="38"/>
    </row>
    <row r="807" spans="1:23">
      <c r="A807" s="45" t="str">
        <f>_xlfn.TEXTJOIN("",TRUE,Input!$B$2,ROW(My_Audit!A806))</f>
        <v>XX806</v>
      </c>
      <c r="B807" s="45"/>
      <c r="C807" s="45"/>
      <c r="D807" s="46" t="str">
        <f>_xlfn.XLOOKUP(A807,My_Audit!A:A,My_Audit!D:D,"")&amp;""</f>
        <v/>
      </c>
      <c r="E807" s="46" t="str" cm="1">
        <f t="array" ref="E807">IFERROR(_xlfn.LET(
_xlpm.CSVVal,_xlfn.XLOOKUP($A807,CSV!$A:$A,CSV!E:E,""),
_xlpm.MacVal,_xlfn.XLOOKUP($A807,Output_Mac!$A:$A,Output_Mac!C:C,""),
_xlpm.MyAuditVal,_xlfn.XLOOKUP($A807,My_Audit!$A:$A,My_Audit!D:D,""),
_xlfn.IFS(_xlpm.MyAuditVal&lt;&gt;"",_xlpm.MyAuditVal,_xlpm.MacVal&lt;&gt;"",_xlpm.MacVal,_xlpm.CSVVal&lt;&gt;"",_xlpm.CSVVal
)),"")</f>
        <v/>
      </c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6" t="str">
        <f>IF(LEFT(N807,4)="Pass","Nist SP 800-88",My_Audit!R807)&amp;""</f>
        <v/>
      </c>
      <c r="R807" s="45"/>
      <c r="S807" s="45"/>
      <c r="T807" s="46" t="str">
        <f>_xlfn.XLOOKUP(E807,Models!I:I,Models!J:J,"")</f>
        <v/>
      </c>
      <c r="U807" s="45"/>
      <c r="V807" s="45"/>
      <c r="W807" s="38"/>
    </row>
    <row r="808" spans="1:23">
      <c r="A808" s="45" t="str">
        <f>_xlfn.TEXTJOIN("",TRUE,Input!$B$2,ROW(My_Audit!A807))</f>
        <v>XX807</v>
      </c>
      <c r="B808" s="45"/>
      <c r="C808" s="45"/>
      <c r="D808" s="46" t="str">
        <f>_xlfn.XLOOKUP(A808,My_Audit!A:A,My_Audit!D:D,"")&amp;""</f>
        <v/>
      </c>
      <c r="E808" s="46" t="str" cm="1">
        <f t="array" ref="E808">IFERROR(_xlfn.LET(
_xlpm.CSVVal,_xlfn.XLOOKUP($A808,CSV!$A:$A,CSV!E:E,""),
_xlpm.MacVal,_xlfn.XLOOKUP($A808,Output_Mac!$A:$A,Output_Mac!C:C,""),
_xlpm.MyAuditVal,_xlfn.XLOOKUP($A808,My_Audit!$A:$A,My_Audit!D:D,""),
_xlfn.IFS(_xlpm.MyAuditVal&lt;&gt;"",_xlpm.MyAuditVal,_xlpm.MacVal&lt;&gt;"",_xlpm.MacVal,_xlpm.CSVVal&lt;&gt;"",_xlpm.CSVVal
)),"")</f>
        <v/>
      </c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6" t="str">
        <f>IF(LEFT(N808,4)="Pass","Nist SP 800-88",My_Audit!R808)&amp;""</f>
        <v/>
      </c>
      <c r="R808" s="45"/>
      <c r="S808" s="45"/>
      <c r="T808" s="46" t="str">
        <f>_xlfn.XLOOKUP(E808,Models!I:I,Models!J:J,"")</f>
        <v/>
      </c>
      <c r="U808" s="45"/>
      <c r="V808" s="45"/>
      <c r="W808" s="38"/>
    </row>
    <row r="809" spans="1:23">
      <c r="A809" s="45" t="str">
        <f>_xlfn.TEXTJOIN("",TRUE,Input!$B$2,ROW(My_Audit!A808))</f>
        <v>XX808</v>
      </c>
      <c r="B809" s="45"/>
      <c r="C809" s="45"/>
      <c r="D809" s="46" t="str">
        <f>_xlfn.XLOOKUP(A809,My_Audit!A:A,My_Audit!D:D,"")&amp;""</f>
        <v/>
      </c>
      <c r="E809" s="46" t="str" cm="1">
        <f t="array" ref="E809">IFERROR(_xlfn.LET(
_xlpm.CSVVal,_xlfn.XLOOKUP($A809,CSV!$A:$A,CSV!E:E,""),
_xlpm.MacVal,_xlfn.XLOOKUP($A809,Output_Mac!$A:$A,Output_Mac!C:C,""),
_xlpm.MyAuditVal,_xlfn.XLOOKUP($A809,My_Audit!$A:$A,My_Audit!D:D,""),
_xlfn.IFS(_xlpm.MyAuditVal&lt;&gt;"",_xlpm.MyAuditVal,_xlpm.MacVal&lt;&gt;"",_xlpm.MacVal,_xlpm.CSVVal&lt;&gt;"",_xlpm.CSVVal
)),"")</f>
        <v/>
      </c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6" t="str">
        <f>IF(LEFT(N809,4)="Pass","Nist SP 800-88",My_Audit!R809)&amp;""</f>
        <v/>
      </c>
      <c r="R809" s="45"/>
      <c r="S809" s="45"/>
      <c r="T809" s="46" t="str">
        <f>_xlfn.XLOOKUP(E809,Models!I:I,Models!J:J,"")</f>
        <v/>
      </c>
      <c r="U809" s="45"/>
      <c r="V809" s="45"/>
      <c r="W809" s="38"/>
    </row>
    <row r="810" spans="1:23">
      <c r="A810" s="45" t="str">
        <f>_xlfn.TEXTJOIN("",TRUE,Input!$B$2,ROW(My_Audit!A809))</f>
        <v>XX809</v>
      </c>
      <c r="B810" s="45"/>
      <c r="C810" s="45"/>
      <c r="D810" s="46" t="str">
        <f>_xlfn.XLOOKUP(A810,My_Audit!A:A,My_Audit!D:D,"")&amp;""</f>
        <v/>
      </c>
      <c r="E810" s="46" t="str" cm="1">
        <f t="array" ref="E810">IFERROR(_xlfn.LET(
_xlpm.CSVVal,_xlfn.XLOOKUP($A810,CSV!$A:$A,CSV!E:E,""),
_xlpm.MacVal,_xlfn.XLOOKUP($A810,Output_Mac!$A:$A,Output_Mac!C:C,""),
_xlpm.MyAuditVal,_xlfn.XLOOKUP($A810,My_Audit!$A:$A,My_Audit!D:D,""),
_xlfn.IFS(_xlpm.MyAuditVal&lt;&gt;"",_xlpm.MyAuditVal,_xlpm.MacVal&lt;&gt;"",_xlpm.MacVal,_xlpm.CSVVal&lt;&gt;"",_xlpm.CSVVal
)),"")</f>
        <v/>
      </c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6" t="str">
        <f>IF(LEFT(N810,4)="Pass","Nist SP 800-88",My_Audit!R810)&amp;""</f>
        <v/>
      </c>
      <c r="R810" s="45"/>
      <c r="S810" s="45"/>
      <c r="T810" s="46" t="str">
        <f>_xlfn.XLOOKUP(E810,Models!I:I,Models!J:J,"")</f>
        <v/>
      </c>
      <c r="U810" s="45"/>
      <c r="V810" s="45"/>
      <c r="W810" s="38"/>
    </row>
    <row r="811" spans="1:23">
      <c r="A811" s="45" t="str">
        <f>_xlfn.TEXTJOIN("",TRUE,Input!$B$2,ROW(My_Audit!A810))</f>
        <v>XX810</v>
      </c>
      <c r="B811" s="45"/>
      <c r="C811" s="45"/>
      <c r="D811" s="46" t="str">
        <f>_xlfn.XLOOKUP(A811,My_Audit!A:A,My_Audit!D:D,"")&amp;""</f>
        <v/>
      </c>
      <c r="E811" s="46" t="str" cm="1">
        <f t="array" ref="E811">IFERROR(_xlfn.LET(
_xlpm.CSVVal,_xlfn.XLOOKUP($A811,CSV!$A:$A,CSV!E:E,""),
_xlpm.MacVal,_xlfn.XLOOKUP($A811,Output_Mac!$A:$A,Output_Mac!C:C,""),
_xlpm.MyAuditVal,_xlfn.XLOOKUP($A811,My_Audit!$A:$A,My_Audit!D:D,""),
_xlfn.IFS(_xlpm.MyAuditVal&lt;&gt;"",_xlpm.MyAuditVal,_xlpm.MacVal&lt;&gt;"",_xlpm.MacVal,_xlpm.CSVVal&lt;&gt;"",_xlpm.CSVVal
)),"")</f>
        <v/>
      </c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6" t="str">
        <f>IF(LEFT(N811,4)="Pass","Nist SP 800-88",My_Audit!R811)&amp;""</f>
        <v/>
      </c>
      <c r="R811" s="45"/>
      <c r="S811" s="45"/>
      <c r="T811" s="46" t="str">
        <f>_xlfn.XLOOKUP(E811,Models!I:I,Models!J:J,"")</f>
        <v/>
      </c>
      <c r="U811" s="45"/>
      <c r="V811" s="45"/>
      <c r="W811" s="38"/>
    </row>
    <row r="812" spans="1:23">
      <c r="A812" s="45" t="str">
        <f>_xlfn.TEXTJOIN("",TRUE,Input!$B$2,ROW(My_Audit!A811))</f>
        <v>XX811</v>
      </c>
      <c r="B812" s="45"/>
      <c r="C812" s="45"/>
      <c r="D812" s="46" t="str">
        <f>_xlfn.XLOOKUP(A812,My_Audit!A:A,My_Audit!D:D,"")&amp;""</f>
        <v/>
      </c>
      <c r="E812" s="46" t="str" cm="1">
        <f t="array" ref="E812">IFERROR(_xlfn.LET(
_xlpm.CSVVal,_xlfn.XLOOKUP($A812,CSV!$A:$A,CSV!E:E,""),
_xlpm.MacVal,_xlfn.XLOOKUP($A812,Output_Mac!$A:$A,Output_Mac!C:C,""),
_xlpm.MyAuditVal,_xlfn.XLOOKUP($A812,My_Audit!$A:$A,My_Audit!D:D,""),
_xlfn.IFS(_xlpm.MyAuditVal&lt;&gt;"",_xlpm.MyAuditVal,_xlpm.MacVal&lt;&gt;"",_xlpm.MacVal,_xlpm.CSVVal&lt;&gt;"",_xlpm.CSVVal
)),"")</f>
        <v/>
      </c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6" t="str">
        <f>IF(LEFT(N812,4)="Pass","Nist SP 800-88",My_Audit!R812)&amp;""</f>
        <v/>
      </c>
      <c r="R812" s="45"/>
      <c r="S812" s="45"/>
      <c r="T812" s="46" t="str">
        <f>_xlfn.XLOOKUP(E812,Models!I:I,Models!J:J,"")</f>
        <v/>
      </c>
      <c r="U812" s="45"/>
      <c r="V812" s="45"/>
      <c r="W812" s="38"/>
    </row>
    <row r="813" spans="1:23">
      <c r="A813" s="45" t="str">
        <f>_xlfn.TEXTJOIN("",TRUE,Input!$B$2,ROW(My_Audit!A812))</f>
        <v>XX812</v>
      </c>
      <c r="B813" s="45"/>
      <c r="C813" s="45"/>
      <c r="D813" s="46" t="str">
        <f>_xlfn.XLOOKUP(A813,My_Audit!A:A,My_Audit!D:D,"")&amp;""</f>
        <v/>
      </c>
      <c r="E813" s="46" t="str" cm="1">
        <f t="array" ref="E813">IFERROR(_xlfn.LET(
_xlpm.CSVVal,_xlfn.XLOOKUP($A813,CSV!$A:$A,CSV!E:E,""),
_xlpm.MacVal,_xlfn.XLOOKUP($A813,Output_Mac!$A:$A,Output_Mac!C:C,""),
_xlpm.MyAuditVal,_xlfn.XLOOKUP($A813,My_Audit!$A:$A,My_Audit!D:D,""),
_xlfn.IFS(_xlpm.MyAuditVal&lt;&gt;"",_xlpm.MyAuditVal,_xlpm.MacVal&lt;&gt;"",_xlpm.MacVal,_xlpm.CSVVal&lt;&gt;"",_xlpm.CSVVal
)),"")</f>
        <v/>
      </c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6" t="str">
        <f>IF(LEFT(N813,4)="Pass","Nist SP 800-88",My_Audit!R813)&amp;""</f>
        <v/>
      </c>
      <c r="R813" s="45"/>
      <c r="S813" s="45"/>
      <c r="T813" s="46" t="str">
        <f>_xlfn.XLOOKUP(E813,Models!I:I,Models!J:J,"")</f>
        <v/>
      </c>
      <c r="U813" s="45"/>
      <c r="V813" s="45"/>
      <c r="W813" s="38"/>
    </row>
    <row r="814" spans="1:23">
      <c r="A814" s="45" t="str">
        <f>_xlfn.TEXTJOIN("",TRUE,Input!$B$2,ROW(My_Audit!A813))</f>
        <v>XX813</v>
      </c>
      <c r="B814" s="45"/>
      <c r="C814" s="45"/>
      <c r="D814" s="46" t="str">
        <f>_xlfn.XLOOKUP(A814,My_Audit!A:A,My_Audit!D:D,"")&amp;""</f>
        <v/>
      </c>
      <c r="E814" s="46" t="str" cm="1">
        <f t="array" ref="E814">IFERROR(_xlfn.LET(
_xlpm.CSVVal,_xlfn.XLOOKUP($A814,CSV!$A:$A,CSV!E:E,""),
_xlpm.MacVal,_xlfn.XLOOKUP($A814,Output_Mac!$A:$A,Output_Mac!C:C,""),
_xlpm.MyAuditVal,_xlfn.XLOOKUP($A814,My_Audit!$A:$A,My_Audit!D:D,""),
_xlfn.IFS(_xlpm.MyAuditVal&lt;&gt;"",_xlpm.MyAuditVal,_xlpm.MacVal&lt;&gt;"",_xlpm.MacVal,_xlpm.CSVVal&lt;&gt;"",_xlpm.CSVVal
)),"")</f>
        <v/>
      </c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6" t="str">
        <f>IF(LEFT(N814,4)="Pass","Nist SP 800-88",My_Audit!R814)&amp;""</f>
        <v/>
      </c>
      <c r="R814" s="45"/>
      <c r="S814" s="45"/>
      <c r="T814" s="46" t="str">
        <f>_xlfn.XLOOKUP(E814,Models!I:I,Models!J:J,"")</f>
        <v/>
      </c>
      <c r="U814" s="45"/>
      <c r="V814" s="45"/>
      <c r="W814" s="38"/>
    </row>
    <row r="815" spans="1:23">
      <c r="A815" s="45" t="str">
        <f>_xlfn.TEXTJOIN("",TRUE,Input!$B$2,ROW(My_Audit!A814))</f>
        <v>XX814</v>
      </c>
      <c r="B815" s="45"/>
      <c r="C815" s="45"/>
      <c r="D815" s="46" t="str">
        <f>_xlfn.XLOOKUP(A815,My_Audit!A:A,My_Audit!D:D,"")&amp;""</f>
        <v/>
      </c>
      <c r="E815" s="46" t="str" cm="1">
        <f t="array" ref="E815">IFERROR(_xlfn.LET(
_xlpm.CSVVal,_xlfn.XLOOKUP($A815,CSV!$A:$A,CSV!E:E,""),
_xlpm.MacVal,_xlfn.XLOOKUP($A815,Output_Mac!$A:$A,Output_Mac!C:C,""),
_xlpm.MyAuditVal,_xlfn.XLOOKUP($A815,My_Audit!$A:$A,My_Audit!D:D,""),
_xlfn.IFS(_xlpm.MyAuditVal&lt;&gt;"",_xlpm.MyAuditVal,_xlpm.MacVal&lt;&gt;"",_xlpm.MacVal,_xlpm.CSVVal&lt;&gt;"",_xlpm.CSVVal
)),"")</f>
        <v/>
      </c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6" t="str">
        <f>IF(LEFT(N815,4)="Pass","Nist SP 800-88",My_Audit!R815)&amp;""</f>
        <v/>
      </c>
      <c r="R815" s="45"/>
      <c r="S815" s="45"/>
      <c r="T815" s="46" t="str">
        <f>_xlfn.XLOOKUP(E815,Models!I:I,Models!J:J,"")</f>
        <v/>
      </c>
      <c r="U815" s="45"/>
      <c r="V815" s="45"/>
      <c r="W815" s="38"/>
    </row>
    <row r="816" spans="1:23">
      <c r="A816" s="45" t="str">
        <f>_xlfn.TEXTJOIN("",TRUE,Input!$B$2,ROW(My_Audit!A815))</f>
        <v>XX815</v>
      </c>
      <c r="B816" s="45"/>
      <c r="C816" s="45"/>
      <c r="D816" s="46" t="str">
        <f>_xlfn.XLOOKUP(A816,My_Audit!A:A,My_Audit!D:D,"")&amp;""</f>
        <v/>
      </c>
      <c r="E816" s="46" t="str" cm="1">
        <f t="array" ref="E816">IFERROR(_xlfn.LET(
_xlpm.CSVVal,_xlfn.XLOOKUP($A816,CSV!$A:$A,CSV!E:E,""),
_xlpm.MacVal,_xlfn.XLOOKUP($A816,Output_Mac!$A:$A,Output_Mac!C:C,""),
_xlpm.MyAuditVal,_xlfn.XLOOKUP($A816,My_Audit!$A:$A,My_Audit!D:D,""),
_xlfn.IFS(_xlpm.MyAuditVal&lt;&gt;"",_xlpm.MyAuditVal,_xlpm.MacVal&lt;&gt;"",_xlpm.MacVal,_xlpm.CSVVal&lt;&gt;"",_xlpm.CSVVal
)),"")</f>
        <v/>
      </c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6" t="str">
        <f>IF(LEFT(N816,4)="Pass","Nist SP 800-88",My_Audit!R816)&amp;""</f>
        <v/>
      </c>
      <c r="R816" s="45"/>
      <c r="S816" s="45"/>
      <c r="T816" s="46" t="str">
        <f>_xlfn.XLOOKUP(E816,Models!I:I,Models!J:J,"")</f>
        <v/>
      </c>
      <c r="U816" s="45"/>
      <c r="V816" s="45"/>
      <c r="W816" s="38"/>
    </row>
    <row r="817" spans="1:23">
      <c r="A817" s="45" t="str">
        <f>_xlfn.TEXTJOIN("",TRUE,Input!$B$2,ROW(My_Audit!A816))</f>
        <v>XX816</v>
      </c>
      <c r="B817" s="45"/>
      <c r="C817" s="45"/>
      <c r="D817" s="46" t="str">
        <f>_xlfn.XLOOKUP(A817,My_Audit!A:A,My_Audit!D:D,"")&amp;""</f>
        <v/>
      </c>
      <c r="E817" s="46" t="str" cm="1">
        <f t="array" ref="E817">IFERROR(_xlfn.LET(
_xlpm.CSVVal,_xlfn.XLOOKUP($A817,CSV!$A:$A,CSV!E:E,""),
_xlpm.MacVal,_xlfn.XLOOKUP($A817,Output_Mac!$A:$A,Output_Mac!C:C,""),
_xlpm.MyAuditVal,_xlfn.XLOOKUP($A817,My_Audit!$A:$A,My_Audit!D:D,""),
_xlfn.IFS(_xlpm.MyAuditVal&lt;&gt;"",_xlpm.MyAuditVal,_xlpm.MacVal&lt;&gt;"",_xlpm.MacVal,_xlpm.CSVVal&lt;&gt;"",_xlpm.CSVVal
)),"")</f>
        <v/>
      </c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6" t="str">
        <f>IF(LEFT(N817,4)="Pass","Nist SP 800-88",My_Audit!R817)&amp;""</f>
        <v/>
      </c>
      <c r="R817" s="45"/>
      <c r="S817" s="45"/>
      <c r="T817" s="46" t="str">
        <f>_xlfn.XLOOKUP(E817,Models!I:I,Models!J:J,"")</f>
        <v/>
      </c>
      <c r="U817" s="45"/>
      <c r="V817" s="45"/>
      <c r="W817" s="38"/>
    </row>
    <row r="818" spans="1:23">
      <c r="A818" s="45" t="str">
        <f>_xlfn.TEXTJOIN("",TRUE,Input!$B$2,ROW(My_Audit!A817))</f>
        <v>XX817</v>
      </c>
      <c r="B818" s="45"/>
      <c r="C818" s="45"/>
      <c r="D818" s="46" t="str">
        <f>_xlfn.XLOOKUP(A818,My_Audit!A:A,My_Audit!D:D,"")&amp;""</f>
        <v/>
      </c>
      <c r="E818" s="46" t="str" cm="1">
        <f t="array" ref="E818">IFERROR(_xlfn.LET(
_xlpm.CSVVal,_xlfn.XLOOKUP($A818,CSV!$A:$A,CSV!E:E,""),
_xlpm.MacVal,_xlfn.XLOOKUP($A818,Output_Mac!$A:$A,Output_Mac!C:C,""),
_xlpm.MyAuditVal,_xlfn.XLOOKUP($A818,My_Audit!$A:$A,My_Audit!D:D,""),
_xlfn.IFS(_xlpm.MyAuditVal&lt;&gt;"",_xlpm.MyAuditVal,_xlpm.MacVal&lt;&gt;"",_xlpm.MacVal,_xlpm.CSVVal&lt;&gt;"",_xlpm.CSVVal
)),"")</f>
        <v/>
      </c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6" t="str">
        <f>IF(LEFT(N818,4)="Pass","Nist SP 800-88",My_Audit!R818)&amp;""</f>
        <v/>
      </c>
      <c r="R818" s="45"/>
      <c r="S818" s="45"/>
      <c r="T818" s="46" t="str">
        <f>_xlfn.XLOOKUP(E818,Models!I:I,Models!J:J,"")</f>
        <v/>
      </c>
      <c r="U818" s="45"/>
      <c r="V818" s="45"/>
      <c r="W818" s="38"/>
    </row>
    <row r="819" spans="1:23">
      <c r="A819" s="45" t="str">
        <f>_xlfn.TEXTJOIN("",TRUE,Input!$B$2,ROW(My_Audit!A818))</f>
        <v>XX818</v>
      </c>
      <c r="B819" s="45"/>
      <c r="C819" s="45"/>
      <c r="D819" s="46" t="str">
        <f>_xlfn.XLOOKUP(A819,My_Audit!A:A,My_Audit!D:D,"")&amp;""</f>
        <v/>
      </c>
      <c r="E819" s="46" t="str" cm="1">
        <f t="array" ref="E819">IFERROR(_xlfn.LET(
_xlpm.CSVVal,_xlfn.XLOOKUP($A819,CSV!$A:$A,CSV!E:E,""),
_xlpm.MacVal,_xlfn.XLOOKUP($A819,Output_Mac!$A:$A,Output_Mac!C:C,""),
_xlpm.MyAuditVal,_xlfn.XLOOKUP($A819,My_Audit!$A:$A,My_Audit!D:D,""),
_xlfn.IFS(_xlpm.MyAuditVal&lt;&gt;"",_xlpm.MyAuditVal,_xlpm.MacVal&lt;&gt;"",_xlpm.MacVal,_xlpm.CSVVal&lt;&gt;"",_xlpm.CSVVal
)),"")</f>
        <v/>
      </c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6" t="str">
        <f>IF(LEFT(N819,4)="Pass","Nist SP 800-88",My_Audit!R819)&amp;""</f>
        <v/>
      </c>
      <c r="R819" s="45"/>
      <c r="S819" s="45"/>
      <c r="T819" s="46" t="str">
        <f>_xlfn.XLOOKUP(E819,Models!I:I,Models!J:J,"")</f>
        <v/>
      </c>
      <c r="U819" s="45"/>
      <c r="V819" s="45"/>
      <c r="W819" s="38"/>
    </row>
    <row r="820" spans="1:23">
      <c r="A820" s="45" t="str">
        <f>_xlfn.TEXTJOIN("",TRUE,Input!$B$2,ROW(My_Audit!A819))</f>
        <v>XX819</v>
      </c>
      <c r="B820" s="45"/>
      <c r="C820" s="45"/>
      <c r="D820" s="46" t="str">
        <f>_xlfn.XLOOKUP(A820,My_Audit!A:A,My_Audit!D:D,"")&amp;""</f>
        <v/>
      </c>
      <c r="E820" s="46" t="str" cm="1">
        <f t="array" ref="E820">IFERROR(_xlfn.LET(
_xlpm.CSVVal,_xlfn.XLOOKUP($A820,CSV!$A:$A,CSV!E:E,""),
_xlpm.MacVal,_xlfn.XLOOKUP($A820,Output_Mac!$A:$A,Output_Mac!C:C,""),
_xlpm.MyAuditVal,_xlfn.XLOOKUP($A820,My_Audit!$A:$A,My_Audit!D:D,""),
_xlfn.IFS(_xlpm.MyAuditVal&lt;&gt;"",_xlpm.MyAuditVal,_xlpm.MacVal&lt;&gt;"",_xlpm.MacVal,_xlpm.CSVVal&lt;&gt;"",_xlpm.CSVVal
)),"")</f>
        <v/>
      </c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6" t="str">
        <f>IF(LEFT(N820,4)="Pass","Nist SP 800-88",My_Audit!R820)&amp;""</f>
        <v/>
      </c>
      <c r="R820" s="45"/>
      <c r="S820" s="45"/>
      <c r="T820" s="46" t="str">
        <f>_xlfn.XLOOKUP(E820,Models!I:I,Models!J:J,"")</f>
        <v/>
      </c>
      <c r="U820" s="45"/>
      <c r="V820" s="45"/>
      <c r="W820" s="38"/>
    </row>
    <row r="821" spans="1:23">
      <c r="A821" s="45" t="str">
        <f>_xlfn.TEXTJOIN("",TRUE,Input!$B$2,ROW(My_Audit!A820))</f>
        <v>XX820</v>
      </c>
      <c r="B821" s="45"/>
      <c r="C821" s="45"/>
      <c r="D821" s="46" t="str">
        <f>_xlfn.XLOOKUP(A821,My_Audit!A:A,My_Audit!D:D,"")&amp;""</f>
        <v/>
      </c>
      <c r="E821" s="46" t="str" cm="1">
        <f t="array" ref="E821">IFERROR(_xlfn.LET(
_xlpm.CSVVal,_xlfn.XLOOKUP($A821,CSV!$A:$A,CSV!E:E,""),
_xlpm.MacVal,_xlfn.XLOOKUP($A821,Output_Mac!$A:$A,Output_Mac!C:C,""),
_xlpm.MyAuditVal,_xlfn.XLOOKUP($A821,My_Audit!$A:$A,My_Audit!D:D,""),
_xlfn.IFS(_xlpm.MyAuditVal&lt;&gt;"",_xlpm.MyAuditVal,_xlpm.MacVal&lt;&gt;"",_xlpm.MacVal,_xlpm.CSVVal&lt;&gt;"",_xlpm.CSVVal
)),"")</f>
        <v/>
      </c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6" t="str">
        <f>IF(LEFT(N821,4)="Pass","Nist SP 800-88",My_Audit!R821)&amp;""</f>
        <v/>
      </c>
      <c r="R821" s="45"/>
      <c r="S821" s="45"/>
      <c r="T821" s="46" t="str">
        <f>_xlfn.XLOOKUP(E821,Models!I:I,Models!J:J,"")</f>
        <v/>
      </c>
      <c r="U821" s="45"/>
      <c r="V821" s="45"/>
      <c r="W821" s="38"/>
    </row>
    <row r="822" spans="1:23">
      <c r="A822" s="45" t="str">
        <f>_xlfn.TEXTJOIN("",TRUE,Input!$B$2,ROW(My_Audit!A821))</f>
        <v>XX821</v>
      </c>
      <c r="B822" s="45"/>
      <c r="C822" s="45"/>
      <c r="D822" s="46" t="str">
        <f>_xlfn.XLOOKUP(A822,My_Audit!A:A,My_Audit!D:D,"")&amp;""</f>
        <v/>
      </c>
      <c r="E822" s="46" t="str" cm="1">
        <f t="array" ref="E822">IFERROR(_xlfn.LET(
_xlpm.CSVVal,_xlfn.XLOOKUP($A822,CSV!$A:$A,CSV!E:E,""),
_xlpm.MacVal,_xlfn.XLOOKUP($A822,Output_Mac!$A:$A,Output_Mac!C:C,""),
_xlpm.MyAuditVal,_xlfn.XLOOKUP($A822,My_Audit!$A:$A,My_Audit!D:D,""),
_xlfn.IFS(_xlpm.MyAuditVal&lt;&gt;"",_xlpm.MyAuditVal,_xlpm.MacVal&lt;&gt;"",_xlpm.MacVal,_xlpm.CSVVal&lt;&gt;"",_xlpm.CSVVal
)),"")</f>
        <v/>
      </c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6" t="str">
        <f>IF(LEFT(N822,4)="Pass","Nist SP 800-88",My_Audit!R822)&amp;""</f>
        <v/>
      </c>
      <c r="R822" s="45"/>
      <c r="S822" s="45"/>
      <c r="T822" s="46" t="str">
        <f>_xlfn.XLOOKUP(E822,Models!I:I,Models!J:J,"")</f>
        <v/>
      </c>
      <c r="U822" s="45"/>
      <c r="V822" s="45"/>
      <c r="W822" s="38"/>
    </row>
    <row r="823" spans="1:23">
      <c r="A823" s="45" t="str">
        <f>_xlfn.TEXTJOIN("",TRUE,Input!$B$2,ROW(My_Audit!A822))</f>
        <v>XX822</v>
      </c>
      <c r="B823" s="45"/>
      <c r="C823" s="45"/>
      <c r="D823" s="46" t="str">
        <f>_xlfn.XLOOKUP(A823,My_Audit!A:A,My_Audit!D:D,"")&amp;""</f>
        <v/>
      </c>
      <c r="E823" s="46" t="str" cm="1">
        <f t="array" ref="E823">IFERROR(_xlfn.LET(
_xlpm.CSVVal,_xlfn.XLOOKUP($A823,CSV!$A:$A,CSV!E:E,""),
_xlpm.MacVal,_xlfn.XLOOKUP($A823,Output_Mac!$A:$A,Output_Mac!C:C,""),
_xlpm.MyAuditVal,_xlfn.XLOOKUP($A823,My_Audit!$A:$A,My_Audit!D:D,""),
_xlfn.IFS(_xlpm.MyAuditVal&lt;&gt;"",_xlpm.MyAuditVal,_xlpm.MacVal&lt;&gt;"",_xlpm.MacVal,_xlpm.CSVVal&lt;&gt;"",_xlpm.CSVVal
)),"")</f>
        <v/>
      </c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6" t="str">
        <f>IF(LEFT(N823,4)="Pass","Nist SP 800-88",My_Audit!R823)&amp;""</f>
        <v/>
      </c>
      <c r="R823" s="45"/>
      <c r="S823" s="45"/>
      <c r="T823" s="46" t="str">
        <f>_xlfn.XLOOKUP(E823,Models!I:I,Models!J:J,"")</f>
        <v/>
      </c>
      <c r="U823" s="45"/>
      <c r="V823" s="45"/>
      <c r="W823" s="38"/>
    </row>
    <row r="824" spans="1:23">
      <c r="A824" s="45" t="str">
        <f>_xlfn.TEXTJOIN("",TRUE,Input!$B$2,ROW(My_Audit!A823))</f>
        <v>XX823</v>
      </c>
      <c r="B824" s="45"/>
      <c r="C824" s="45"/>
      <c r="D824" s="46" t="str">
        <f>_xlfn.XLOOKUP(A824,My_Audit!A:A,My_Audit!D:D,"")&amp;""</f>
        <v/>
      </c>
      <c r="E824" s="46" t="str" cm="1">
        <f t="array" ref="E824">IFERROR(_xlfn.LET(
_xlpm.CSVVal,_xlfn.XLOOKUP($A824,CSV!$A:$A,CSV!E:E,""),
_xlpm.MacVal,_xlfn.XLOOKUP($A824,Output_Mac!$A:$A,Output_Mac!C:C,""),
_xlpm.MyAuditVal,_xlfn.XLOOKUP($A824,My_Audit!$A:$A,My_Audit!D:D,""),
_xlfn.IFS(_xlpm.MyAuditVal&lt;&gt;"",_xlpm.MyAuditVal,_xlpm.MacVal&lt;&gt;"",_xlpm.MacVal,_xlpm.CSVVal&lt;&gt;"",_xlpm.CSVVal
)),"")</f>
        <v/>
      </c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6" t="str">
        <f>IF(LEFT(N824,4)="Pass","Nist SP 800-88",My_Audit!R824)&amp;""</f>
        <v/>
      </c>
      <c r="R824" s="45"/>
      <c r="S824" s="45"/>
      <c r="T824" s="46" t="str">
        <f>_xlfn.XLOOKUP(E824,Models!I:I,Models!J:J,"")</f>
        <v/>
      </c>
      <c r="U824" s="45"/>
      <c r="V824" s="45"/>
      <c r="W824" s="38"/>
    </row>
    <row r="825" spans="1:23">
      <c r="A825" s="45" t="str">
        <f>_xlfn.TEXTJOIN("",TRUE,Input!$B$2,ROW(My_Audit!A824))</f>
        <v>XX824</v>
      </c>
      <c r="B825" s="45"/>
      <c r="C825" s="45"/>
      <c r="D825" s="46" t="str">
        <f>_xlfn.XLOOKUP(A825,My_Audit!A:A,My_Audit!D:D,"")&amp;""</f>
        <v/>
      </c>
      <c r="E825" s="46" t="str" cm="1">
        <f t="array" ref="E825">IFERROR(_xlfn.LET(
_xlpm.CSVVal,_xlfn.XLOOKUP($A825,CSV!$A:$A,CSV!E:E,""),
_xlpm.MacVal,_xlfn.XLOOKUP($A825,Output_Mac!$A:$A,Output_Mac!C:C,""),
_xlpm.MyAuditVal,_xlfn.XLOOKUP($A825,My_Audit!$A:$A,My_Audit!D:D,""),
_xlfn.IFS(_xlpm.MyAuditVal&lt;&gt;"",_xlpm.MyAuditVal,_xlpm.MacVal&lt;&gt;"",_xlpm.MacVal,_xlpm.CSVVal&lt;&gt;"",_xlpm.CSVVal
)),"")</f>
        <v/>
      </c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6" t="str">
        <f>IF(LEFT(N825,4)="Pass","Nist SP 800-88",My_Audit!R825)&amp;""</f>
        <v/>
      </c>
      <c r="R825" s="45"/>
      <c r="S825" s="45"/>
      <c r="T825" s="46" t="str">
        <f>_xlfn.XLOOKUP(E825,Models!I:I,Models!J:J,"")</f>
        <v/>
      </c>
      <c r="U825" s="45"/>
      <c r="V825" s="45"/>
      <c r="W825" s="38"/>
    </row>
    <row r="826" spans="1:23">
      <c r="A826" s="45" t="str">
        <f>_xlfn.TEXTJOIN("",TRUE,Input!$B$2,ROW(My_Audit!A825))</f>
        <v>XX825</v>
      </c>
      <c r="B826" s="45"/>
      <c r="C826" s="45"/>
      <c r="D826" s="46" t="str">
        <f>_xlfn.XLOOKUP(A826,My_Audit!A:A,My_Audit!D:D,"")&amp;""</f>
        <v/>
      </c>
      <c r="E826" s="46" t="str" cm="1">
        <f t="array" ref="E826">IFERROR(_xlfn.LET(
_xlpm.CSVVal,_xlfn.XLOOKUP($A826,CSV!$A:$A,CSV!E:E,""),
_xlpm.MacVal,_xlfn.XLOOKUP($A826,Output_Mac!$A:$A,Output_Mac!C:C,""),
_xlpm.MyAuditVal,_xlfn.XLOOKUP($A826,My_Audit!$A:$A,My_Audit!D:D,""),
_xlfn.IFS(_xlpm.MyAuditVal&lt;&gt;"",_xlpm.MyAuditVal,_xlpm.MacVal&lt;&gt;"",_xlpm.MacVal,_xlpm.CSVVal&lt;&gt;"",_xlpm.CSVVal
)),"")</f>
        <v/>
      </c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6" t="str">
        <f>IF(LEFT(N826,4)="Pass","Nist SP 800-88",My_Audit!R826)&amp;""</f>
        <v/>
      </c>
      <c r="R826" s="45"/>
      <c r="S826" s="45"/>
      <c r="T826" s="46" t="str">
        <f>_xlfn.XLOOKUP(E826,Models!I:I,Models!J:J,"")</f>
        <v/>
      </c>
      <c r="U826" s="45"/>
      <c r="V826" s="45"/>
      <c r="W826" s="38"/>
    </row>
    <row r="827" spans="1:23">
      <c r="A827" s="45" t="str">
        <f>_xlfn.TEXTJOIN("",TRUE,Input!$B$2,ROW(My_Audit!A826))</f>
        <v>XX826</v>
      </c>
      <c r="B827" s="45"/>
      <c r="C827" s="45"/>
      <c r="D827" s="46" t="str">
        <f>_xlfn.XLOOKUP(A827,My_Audit!A:A,My_Audit!D:D,"")&amp;""</f>
        <v/>
      </c>
      <c r="E827" s="46" t="str" cm="1">
        <f t="array" ref="E827">IFERROR(_xlfn.LET(
_xlpm.CSVVal,_xlfn.XLOOKUP($A827,CSV!$A:$A,CSV!E:E,""),
_xlpm.MacVal,_xlfn.XLOOKUP($A827,Output_Mac!$A:$A,Output_Mac!C:C,""),
_xlpm.MyAuditVal,_xlfn.XLOOKUP($A827,My_Audit!$A:$A,My_Audit!D:D,""),
_xlfn.IFS(_xlpm.MyAuditVal&lt;&gt;"",_xlpm.MyAuditVal,_xlpm.MacVal&lt;&gt;"",_xlpm.MacVal,_xlpm.CSVVal&lt;&gt;"",_xlpm.CSVVal
)),"")</f>
        <v/>
      </c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6" t="str">
        <f>IF(LEFT(N827,4)="Pass","Nist SP 800-88",My_Audit!R827)&amp;""</f>
        <v/>
      </c>
      <c r="R827" s="45"/>
      <c r="S827" s="45"/>
      <c r="T827" s="46" t="str">
        <f>_xlfn.XLOOKUP(E827,Models!I:I,Models!J:J,"")</f>
        <v/>
      </c>
      <c r="U827" s="45"/>
      <c r="V827" s="45"/>
      <c r="W827" s="38"/>
    </row>
    <row r="828" spans="1:23">
      <c r="A828" s="45" t="str">
        <f>_xlfn.TEXTJOIN("",TRUE,Input!$B$2,ROW(My_Audit!A827))</f>
        <v>XX827</v>
      </c>
      <c r="B828" s="45"/>
      <c r="C828" s="45"/>
      <c r="D828" s="46" t="str">
        <f>_xlfn.XLOOKUP(A828,My_Audit!A:A,My_Audit!D:D,"")&amp;""</f>
        <v/>
      </c>
      <c r="E828" s="46" t="str" cm="1">
        <f t="array" ref="E828">IFERROR(_xlfn.LET(
_xlpm.CSVVal,_xlfn.XLOOKUP($A828,CSV!$A:$A,CSV!E:E,""),
_xlpm.MacVal,_xlfn.XLOOKUP($A828,Output_Mac!$A:$A,Output_Mac!C:C,""),
_xlpm.MyAuditVal,_xlfn.XLOOKUP($A828,My_Audit!$A:$A,My_Audit!D:D,""),
_xlfn.IFS(_xlpm.MyAuditVal&lt;&gt;"",_xlpm.MyAuditVal,_xlpm.MacVal&lt;&gt;"",_xlpm.MacVal,_xlpm.CSVVal&lt;&gt;"",_xlpm.CSVVal
)),"")</f>
        <v/>
      </c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6" t="str">
        <f>IF(LEFT(N828,4)="Pass","Nist SP 800-88",My_Audit!R828)&amp;""</f>
        <v/>
      </c>
      <c r="R828" s="45"/>
      <c r="S828" s="45"/>
      <c r="T828" s="46" t="str">
        <f>_xlfn.XLOOKUP(E828,Models!I:I,Models!J:J,"")</f>
        <v/>
      </c>
      <c r="U828" s="45"/>
      <c r="V828" s="45"/>
      <c r="W828" s="38"/>
    </row>
    <row r="829" spans="1:23">
      <c r="A829" s="45" t="str">
        <f>_xlfn.TEXTJOIN("",TRUE,Input!$B$2,ROW(My_Audit!A828))</f>
        <v>XX828</v>
      </c>
      <c r="B829" s="45"/>
      <c r="C829" s="45"/>
      <c r="D829" s="46" t="str">
        <f>_xlfn.XLOOKUP(A829,My_Audit!A:A,My_Audit!D:D,"")&amp;""</f>
        <v/>
      </c>
      <c r="E829" s="46" t="str" cm="1">
        <f t="array" ref="E829">IFERROR(_xlfn.LET(
_xlpm.CSVVal,_xlfn.XLOOKUP($A829,CSV!$A:$A,CSV!E:E,""),
_xlpm.MacVal,_xlfn.XLOOKUP($A829,Output_Mac!$A:$A,Output_Mac!C:C,""),
_xlpm.MyAuditVal,_xlfn.XLOOKUP($A829,My_Audit!$A:$A,My_Audit!D:D,""),
_xlfn.IFS(_xlpm.MyAuditVal&lt;&gt;"",_xlpm.MyAuditVal,_xlpm.MacVal&lt;&gt;"",_xlpm.MacVal,_xlpm.CSVVal&lt;&gt;"",_xlpm.CSVVal
)),"")</f>
        <v/>
      </c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6" t="str">
        <f>IF(LEFT(N829,4)="Pass","Nist SP 800-88",My_Audit!R829)&amp;""</f>
        <v/>
      </c>
      <c r="R829" s="45"/>
      <c r="S829" s="45"/>
      <c r="T829" s="46" t="str">
        <f>_xlfn.XLOOKUP(E829,Models!I:I,Models!J:J,"")</f>
        <v/>
      </c>
      <c r="U829" s="45"/>
      <c r="V829" s="45"/>
      <c r="W829" s="38"/>
    </row>
    <row r="830" spans="1:23">
      <c r="A830" s="45" t="str">
        <f>_xlfn.TEXTJOIN("",TRUE,Input!$B$2,ROW(My_Audit!A829))</f>
        <v>XX829</v>
      </c>
      <c r="B830" s="45"/>
      <c r="C830" s="45"/>
      <c r="D830" s="46" t="str">
        <f>_xlfn.XLOOKUP(A830,My_Audit!A:A,My_Audit!D:D,"")&amp;""</f>
        <v/>
      </c>
      <c r="E830" s="46" t="str" cm="1">
        <f t="array" ref="E830">IFERROR(_xlfn.LET(
_xlpm.CSVVal,_xlfn.XLOOKUP($A830,CSV!$A:$A,CSV!E:E,""),
_xlpm.MacVal,_xlfn.XLOOKUP($A830,Output_Mac!$A:$A,Output_Mac!C:C,""),
_xlpm.MyAuditVal,_xlfn.XLOOKUP($A830,My_Audit!$A:$A,My_Audit!D:D,""),
_xlfn.IFS(_xlpm.MyAuditVal&lt;&gt;"",_xlpm.MyAuditVal,_xlpm.MacVal&lt;&gt;"",_xlpm.MacVal,_xlpm.CSVVal&lt;&gt;"",_xlpm.CSVVal
)),"")</f>
        <v/>
      </c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6" t="str">
        <f>IF(LEFT(N830,4)="Pass","Nist SP 800-88",My_Audit!R830)&amp;""</f>
        <v/>
      </c>
      <c r="R830" s="45"/>
      <c r="S830" s="45"/>
      <c r="T830" s="46" t="str">
        <f>_xlfn.XLOOKUP(E830,Models!I:I,Models!J:J,"")</f>
        <v/>
      </c>
      <c r="U830" s="45"/>
      <c r="V830" s="45"/>
      <c r="W830" s="38"/>
    </row>
    <row r="831" spans="1:23">
      <c r="A831" s="45" t="str">
        <f>_xlfn.TEXTJOIN("",TRUE,Input!$B$2,ROW(My_Audit!A830))</f>
        <v>XX830</v>
      </c>
      <c r="B831" s="45"/>
      <c r="C831" s="45"/>
      <c r="D831" s="46" t="str">
        <f>_xlfn.XLOOKUP(A831,My_Audit!A:A,My_Audit!D:D,"")&amp;""</f>
        <v/>
      </c>
      <c r="E831" s="46" t="str" cm="1">
        <f t="array" ref="E831">IFERROR(_xlfn.LET(
_xlpm.CSVVal,_xlfn.XLOOKUP($A831,CSV!$A:$A,CSV!E:E,""),
_xlpm.MacVal,_xlfn.XLOOKUP($A831,Output_Mac!$A:$A,Output_Mac!C:C,""),
_xlpm.MyAuditVal,_xlfn.XLOOKUP($A831,My_Audit!$A:$A,My_Audit!D:D,""),
_xlfn.IFS(_xlpm.MyAuditVal&lt;&gt;"",_xlpm.MyAuditVal,_xlpm.MacVal&lt;&gt;"",_xlpm.MacVal,_xlpm.CSVVal&lt;&gt;"",_xlpm.CSVVal
)),"")</f>
        <v/>
      </c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6" t="str">
        <f>IF(LEFT(N831,4)="Pass","Nist SP 800-88",My_Audit!R831)&amp;""</f>
        <v/>
      </c>
      <c r="R831" s="45"/>
      <c r="S831" s="45"/>
      <c r="T831" s="46" t="str">
        <f>_xlfn.XLOOKUP(E831,Models!I:I,Models!J:J,"")</f>
        <v/>
      </c>
      <c r="U831" s="45"/>
      <c r="V831" s="45"/>
      <c r="W831" s="38"/>
    </row>
    <row r="832" spans="1:23">
      <c r="A832" s="45" t="str">
        <f>_xlfn.TEXTJOIN("",TRUE,Input!$B$2,ROW(My_Audit!A831))</f>
        <v>XX831</v>
      </c>
      <c r="B832" s="45"/>
      <c r="C832" s="45"/>
      <c r="D832" s="46" t="str">
        <f>_xlfn.XLOOKUP(A832,My_Audit!A:A,My_Audit!D:D,"")&amp;""</f>
        <v/>
      </c>
      <c r="E832" s="46" t="str" cm="1">
        <f t="array" ref="E832">IFERROR(_xlfn.LET(
_xlpm.CSVVal,_xlfn.XLOOKUP($A832,CSV!$A:$A,CSV!E:E,""),
_xlpm.MacVal,_xlfn.XLOOKUP($A832,Output_Mac!$A:$A,Output_Mac!C:C,""),
_xlpm.MyAuditVal,_xlfn.XLOOKUP($A832,My_Audit!$A:$A,My_Audit!D:D,""),
_xlfn.IFS(_xlpm.MyAuditVal&lt;&gt;"",_xlpm.MyAuditVal,_xlpm.MacVal&lt;&gt;"",_xlpm.MacVal,_xlpm.CSVVal&lt;&gt;"",_xlpm.CSVVal
)),"")</f>
        <v/>
      </c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6" t="str">
        <f>IF(LEFT(N832,4)="Pass","Nist SP 800-88",My_Audit!R832)&amp;""</f>
        <v/>
      </c>
      <c r="R832" s="45"/>
      <c r="S832" s="45"/>
      <c r="T832" s="46" t="str">
        <f>_xlfn.XLOOKUP(E832,Models!I:I,Models!J:J,"")</f>
        <v/>
      </c>
      <c r="U832" s="45"/>
      <c r="V832" s="45"/>
      <c r="W832" s="38"/>
    </row>
    <row r="833" spans="1:23">
      <c r="A833" s="45" t="str">
        <f>_xlfn.TEXTJOIN("",TRUE,Input!$B$2,ROW(My_Audit!A832))</f>
        <v>XX832</v>
      </c>
      <c r="B833" s="45"/>
      <c r="C833" s="45"/>
      <c r="D833" s="46" t="str">
        <f>_xlfn.XLOOKUP(A833,My_Audit!A:A,My_Audit!D:D,"")&amp;""</f>
        <v/>
      </c>
      <c r="E833" s="46" t="str" cm="1">
        <f t="array" ref="E833">IFERROR(_xlfn.LET(
_xlpm.CSVVal,_xlfn.XLOOKUP($A833,CSV!$A:$A,CSV!E:E,""),
_xlpm.MacVal,_xlfn.XLOOKUP($A833,Output_Mac!$A:$A,Output_Mac!C:C,""),
_xlpm.MyAuditVal,_xlfn.XLOOKUP($A833,My_Audit!$A:$A,My_Audit!D:D,""),
_xlfn.IFS(_xlpm.MyAuditVal&lt;&gt;"",_xlpm.MyAuditVal,_xlpm.MacVal&lt;&gt;"",_xlpm.MacVal,_xlpm.CSVVal&lt;&gt;"",_xlpm.CSVVal
)),"")</f>
        <v/>
      </c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6" t="str">
        <f>IF(LEFT(N833,4)="Pass","Nist SP 800-88",My_Audit!R833)&amp;""</f>
        <v/>
      </c>
      <c r="R833" s="45"/>
      <c r="S833" s="45"/>
      <c r="T833" s="46" t="str">
        <f>_xlfn.XLOOKUP(E833,Models!I:I,Models!J:J,"")</f>
        <v/>
      </c>
      <c r="U833" s="45"/>
      <c r="V833" s="45"/>
      <c r="W833" s="38"/>
    </row>
    <row r="834" spans="1:23">
      <c r="A834" s="45" t="str">
        <f>_xlfn.TEXTJOIN("",TRUE,Input!$B$2,ROW(My_Audit!A833))</f>
        <v>XX833</v>
      </c>
      <c r="B834" s="45"/>
      <c r="C834" s="45"/>
      <c r="D834" s="46" t="str">
        <f>_xlfn.XLOOKUP(A834,My_Audit!A:A,My_Audit!D:D,"")&amp;""</f>
        <v/>
      </c>
      <c r="E834" s="46" t="str" cm="1">
        <f t="array" ref="E834">IFERROR(_xlfn.LET(
_xlpm.CSVVal,_xlfn.XLOOKUP($A834,CSV!$A:$A,CSV!E:E,""),
_xlpm.MacVal,_xlfn.XLOOKUP($A834,Output_Mac!$A:$A,Output_Mac!C:C,""),
_xlpm.MyAuditVal,_xlfn.XLOOKUP($A834,My_Audit!$A:$A,My_Audit!D:D,""),
_xlfn.IFS(_xlpm.MyAuditVal&lt;&gt;"",_xlpm.MyAuditVal,_xlpm.MacVal&lt;&gt;"",_xlpm.MacVal,_xlpm.CSVVal&lt;&gt;"",_xlpm.CSVVal
)),"")</f>
        <v/>
      </c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6" t="str">
        <f>IF(LEFT(N834,4)="Pass","Nist SP 800-88",My_Audit!R834)&amp;""</f>
        <v/>
      </c>
      <c r="R834" s="45"/>
      <c r="S834" s="45"/>
      <c r="T834" s="46" t="str">
        <f>_xlfn.XLOOKUP(E834,Models!I:I,Models!J:J,"")</f>
        <v/>
      </c>
      <c r="U834" s="45"/>
      <c r="V834" s="45"/>
      <c r="W834" s="38"/>
    </row>
    <row r="835" spans="1:23">
      <c r="A835" s="45" t="str">
        <f>_xlfn.TEXTJOIN("",TRUE,Input!$B$2,ROW(My_Audit!A834))</f>
        <v>XX834</v>
      </c>
      <c r="B835" s="45"/>
      <c r="C835" s="45"/>
      <c r="D835" s="46" t="str">
        <f>_xlfn.XLOOKUP(A835,My_Audit!A:A,My_Audit!D:D,"")&amp;""</f>
        <v/>
      </c>
      <c r="E835" s="46" t="str" cm="1">
        <f t="array" ref="E835">IFERROR(_xlfn.LET(
_xlpm.CSVVal,_xlfn.XLOOKUP($A835,CSV!$A:$A,CSV!E:E,""),
_xlpm.MacVal,_xlfn.XLOOKUP($A835,Output_Mac!$A:$A,Output_Mac!C:C,""),
_xlpm.MyAuditVal,_xlfn.XLOOKUP($A835,My_Audit!$A:$A,My_Audit!D:D,""),
_xlfn.IFS(_xlpm.MyAuditVal&lt;&gt;"",_xlpm.MyAuditVal,_xlpm.MacVal&lt;&gt;"",_xlpm.MacVal,_xlpm.CSVVal&lt;&gt;"",_xlpm.CSVVal
)),"")</f>
        <v/>
      </c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6" t="str">
        <f>IF(LEFT(N835,4)="Pass","Nist SP 800-88",My_Audit!R835)&amp;""</f>
        <v/>
      </c>
      <c r="R835" s="45"/>
      <c r="S835" s="45"/>
      <c r="T835" s="46" t="str">
        <f>_xlfn.XLOOKUP(E835,Models!I:I,Models!J:J,"")</f>
        <v/>
      </c>
      <c r="U835" s="45"/>
      <c r="V835" s="45"/>
      <c r="W835" s="38"/>
    </row>
    <row r="836" spans="1:23">
      <c r="A836" s="45" t="str">
        <f>_xlfn.TEXTJOIN("",TRUE,Input!$B$2,ROW(My_Audit!A835))</f>
        <v>XX835</v>
      </c>
      <c r="B836" s="45"/>
      <c r="C836" s="45"/>
      <c r="D836" s="46" t="str">
        <f>_xlfn.XLOOKUP(A836,My_Audit!A:A,My_Audit!D:D,"")&amp;""</f>
        <v/>
      </c>
      <c r="E836" s="46" t="str" cm="1">
        <f t="array" ref="E836">IFERROR(_xlfn.LET(
_xlpm.CSVVal,_xlfn.XLOOKUP($A836,CSV!$A:$A,CSV!E:E,""),
_xlpm.MacVal,_xlfn.XLOOKUP($A836,Output_Mac!$A:$A,Output_Mac!C:C,""),
_xlpm.MyAuditVal,_xlfn.XLOOKUP($A836,My_Audit!$A:$A,My_Audit!D:D,""),
_xlfn.IFS(_xlpm.MyAuditVal&lt;&gt;"",_xlpm.MyAuditVal,_xlpm.MacVal&lt;&gt;"",_xlpm.MacVal,_xlpm.CSVVal&lt;&gt;"",_xlpm.CSVVal
)),"")</f>
        <v/>
      </c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6" t="str">
        <f>IF(LEFT(N836,4)="Pass","Nist SP 800-88",My_Audit!R836)&amp;""</f>
        <v/>
      </c>
      <c r="R836" s="45"/>
      <c r="S836" s="45"/>
      <c r="T836" s="46" t="str">
        <f>_xlfn.XLOOKUP(E836,Models!I:I,Models!J:J,"")</f>
        <v/>
      </c>
      <c r="U836" s="45"/>
      <c r="V836" s="45"/>
      <c r="W836" s="38"/>
    </row>
    <row r="837" spans="1:23">
      <c r="A837" s="45" t="str">
        <f>_xlfn.TEXTJOIN("",TRUE,Input!$B$2,ROW(My_Audit!A836))</f>
        <v>XX836</v>
      </c>
      <c r="B837" s="45"/>
      <c r="C837" s="45"/>
      <c r="D837" s="46" t="str">
        <f>_xlfn.XLOOKUP(A837,My_Audit!A:A,My_Audit!D:D,"")&amp;""</f>
        <v/>
      </c>
      <c r="E837" s="46" t="str" cm="1">
        <f t="array" ref="E837">IFERROR(_xlfn.LET(
_xlpm.CSVVal,_xlfn.XLOOKUP($A837,CSV!$A:$A,CSV!E:E,""),
_xlpm.MacVal,_xlfn.XLOOKUP($A837,Output_Mac!$A:$A,Output_Mac!C:C,""),
_xlpm.MyAuditVal,_xlfn.XLOOKUP($A837,My_Audit!$A:$A,My_Audit!D:D,""),
_xlfn.IFS(_xlpm.MyAuditVal&lt;&gt;"",_xlpm.MyAuditVal,_xlpm.MacVal&lt;&gt;"",_xlpm.MacVal,_xlpm.CSVVal&lt;&gt;"",_xlpm.CSVVal
)),"")</f>
        <v/>
      </c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6" t="str">
        <f>IF(LEFT(N837,4)="Pass","Nist SP 800-88",My_Audit!R837)&amp;""</f>
        <v/>
      </c>
      <c r="R837" s="45"/>
      <c r="S837" s="45"/>
      <c r="T837" s="46" t="str">
        <f>_xlfn.XLOOKUP(E837,Models!I:I,Models!J:J,"")</f>
        <v/>
      </c>
      <c r="U837" s="45"/>
      <c r="V837" s="45"/>
      <c r="W837" s="38"/>
    </row>
    <row r="838" spans="1:23">
      <c r="A838" s="45" t="str">
        <f>_xlfn.TEXTJOIN("",TRUE,Input!$B$2,ROW(My_Audit!A837))</f>
        <v>XX837</v>
      </c>
      <c r="B838" s="45"/>
      <c r="C838" s="45"/>
      <c r="D838" s="46" t="str">
        <f>_xlfn.XLOOKUP(A838,My_Audit!A:A,My_Audit!D:D,"")&amp;""</f>
        <v/>
      </c>
      <c r="E838" s="46" t="str" cm="1">
        <f t="array" ref="E838">IFERROR(_xlfn.LET(
_xlpm.CSVVal,_xlfn.XLOOKUP($A838,CSV!$A:$A,CSV!E:E,""),
_xlpm.MacVal,_xlfn.XLOOKUP($A838,Output_Mac!$A:$A,Output_Mac!C:C,""),
_xlpm.MyAuditVal,_xlfn.XLOOKUP($A838,My_Audit!$A:$A,My_Audit!D:D,""),
_xlfn.IFS(_xlpm.MyAuditVal&lt;&gt;"",_xlpm.MyAuditVal,_xlpm.MacVal&lt;&gt;"",_xlpm.MacVal,_xlpm.CSVVal&lt;&gt;"",_xlpm.CSVVal
)),"")</f>
        <v/>
      </c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6" t="str">
        <f>IF(LEFT(N838,4)="Pass","Nist SP 800-88",My_Audit!R838)&amp;""</f>
        <v/>
      </c>
      <c r="R838" s="45"/>
      <c r="S838" s="45"/>
      <c r="T838" s="46" t="str">
        <f>_xlfn.XLOOKUP(E838,Models!I:I,Models!J:J,"")</f>
        <v/>
      </c>
      <c r="U838" s="45"/>
      <c r="V838" s="45"/>
      <c r="W838" s="38"/>
    </row>
    <row r="839" spans="1:23">
      <c r="A839" s="45" t="str">
        <f>_xlfn.TEXTJOIN("",TRUE,Input!$B$2,ROW(My_Audit!A838))</f>
        <v>XX838</v>
      </c>
      <c r="B839" s="45"/>
      <c r="C839" s="45"/>
      <c r="D839" s="46" t="str">
        <f>_xlfn.XLOOKUP(A839,My_Audit!A:A,My_Audit!D:D,"")&amp;""</f>
        <v/>
      </c>
      <c r="E839" s="46" t="str" cm="1">
        <f t="array" ref="E839">IFERROR(_xlfn.LET(
_xlpm.CSVVal,_xlfn.XLOOKUP($A839,CSV!$A:$A,CSV!E:E,""),
_xlpm.MacVal,_xlfn.XLOOKUP($A839,Output_Mac!$A:$A,Output_Mac!C:C,""),
_xlpm.MyAuditVal,_xlfn.XLOOKUP($A839,My_Audit!$A:$A,My_Audit!D:D,""),
_xlfn.IFS(_xlpm.MyAuditVal&lt;&gt;"",_xlpm.MyAuditVal,_xlpm.MacVal&lt;&gt;"",_xlpm.MacVal,_xlpm.CSVVal&lt;&gt;"",_xlpm.CSVVal
)),"")</f>
        <v/>
      </c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6" t="str">
        <f>IF(LEFT(N839,4)="Pass","Nist SP 800-88",My_Audit!R839)&amp;""</f>
        <v/>
      </c>
      <c r="R839" s="45"/>
      <c r="S839" s="45"/>
      <c r="T839" s="46" t="str">
        <f>_xlfn.XLOOKUP(E839,Models!I:I,Models!J:J,"")</f>
        <v/>
      </c>
      <c r="U839" s="45"/>
      <c r="V839" s="45"/>
      <c r="W839" s="38"/>
    </row>
    <row r="840" spans="1:23">
      <c r="A840" s="45" t="str">
        <f>_xlfn.TEXTJOIN("",TRUE,Input!$B$2,ROW(My_Audit!A839))</f>
        <v>XX839</v>
      </c>
      <c r="B840" s="45"/>
      <c r="C840" s="45"/>
      <c r="D840" s="46" t="str">
        <f>_xlfn.XLOOKUP(A840,My_Audit!A:A,My_Audit!D:D,"")&amp;""</f>
        <v/>
      </c>
      <c r="E840" s="46" t="str" cm="1">
        <f t="array" ref="E840">IFERROR(_xlfn.LET(
_xlpm.CSVVal,_xlfn.XLOOKUP($A840,CSV!$A:$A,CSV!E:E,""),
_xlpm.MacVal,_xlfn.XLOOKUP($A840,Output_Mac!$A:$A,Output_Mac!C:C,""),
_xlpm.MyAuditVal,_xlfn.XLOOKUP($A840,My_Audit!$A:$A,My_Audit!D:D,""),
_xlfn.IFS(_xlpm.MyAuditVal&lt;&gt;"",_xlpm.MyAuditVal,_xlpm.MacVal&lt;&gt;"",_xlpm.MacVal,_xlpm.CSVVal&lt;&gt;"",_xlpm.CSVVal
)),"")</f>
        <v/>
      </c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6" t="str">
        <f>IF(LEFT(N840,4)="Pass","Nist SP 800-88",My_Audit!R840)&amp;""</f>
        <v/>
      </c>
      <c r="R840" s="45"/>
      <c r="S840" s="45"/>
      <c r="T840" s="46" t="str">
        <f>_xlfn.XLOOKUP(E840,Models!I:I,Models!J:J,"")</f>
        <v/>
      </c>
      <c r="U840" s="45"/>
      <c r="V840" s="45"/>
      <c r="W840" s="38"/>
    </row>
    <row r="841" spans="1:23">
      <c r="A841" s="45" t="str">
        <f>_xlfn.TEXTJOIN("",TRUE,Input!$B$2,ROW(My_Audit!A840))</f>
        <v>XX840</v>
      </c>
      <c r="B841" s="45"/>
      <c r="C841" s="45"/>
      <c r="D841" s="46" t="str">
        <f>_xlfn.XLOOKUP(A841,My_Audit!A:A,My_Audit!D:D,"")&amp;""</f>
        <v/>
      </c>
      <c r="E841" s="46" t="str" cm="1">
        <f t="array" ref="E841">IFERROR(_xlfn.LET(
_xlpm.CSVVal,_xlfn.XLOOKUP($A841,CSV!$A:$A,CSV!E:E,""),
_xlpm.MacVal,_xlfn.XLOOKUP($A841,Output_Mac!$A:$A,Output_Mac!C:C,""),
_xlpm.MyAuditVal,_xlfn.XLOOKUP($A841,My_Audit!$A:$A,My_Audit!D:D,""),
_xlfn.IFS(_xlpm.MyAuditVal&lt;&gt;"",_xlpm.MyAuditVal,_xlpm.MacVal&lt;&gt;"",_xlpm.MacVal,_xlpm.CSVVal&lt;&gt;"",_xlpm.CSVVal
)),"")</f>
        <v/>
      </c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6" t="str">
        <f>IF(LEFT(N841,4)="Pass","Nist SP 800-88",My_Audit!R841)&amp;""</f>
        <v/>
      </c>
      <c r="R841" s="45"/>
      <c r="S841" s="45"/>
      <c r="T841" s="46" t="str">
        <f>_xlfn.XLOOKUP(E841,Models!I:I,Models!J:J,"")</f>
        <v/>
      </c>
      <c r="U841" s="45"/>
      <c r="V841" s="45"/>
      <c r="W841" s="38"/>
    </row>
    <row r="842" spans="1:23">
      <c r="A842" s="45" t="str">
        <f>_xlfn.TEXTJOIN("",TRUE,Input!$B$2,ROW(My_Audit!A841))</f>
        <v>XX841</v>
      </c>
      <c r="B842" s="45"/>
      <c r="C842" s="45"/>
      <c r="D842" s="46" t="str">
        <f>_xlfn.XLOOKUP(A842,My_Audit!A:A,My_Audit!D:D,"")&amp;""</f>
        <v/>
      </c>
      <c r="E842" s="46" t="str" cm="1">
        <f t="array" ref="E842">IFERROR(_xlfn.LET(
_xlpm.CSVVal,_xlfn.XLOOKUP($A842,CSV!$A:$A,CSV!E:E,""),
_xlpm.MacVal,_xlfn.XLOOKUP($A842,Output_Mac!$A:$A,Output_Mac!C:C,""),
_xlpm.MyAuditVal,_xlfn.XLOOKUP($A842,My_Audit!$A:$A,My_Audit!D:D,""),
_xlfn.IFS(_xlpm.MyAuditVal&lt;&gt;"",_xlpm.MyAuditVal,_xlpm.MacVal&lt;&gt;"",_xlpm.MacVal,_xlpm.CSVVal&lt;&gt;"",_xlpm.CSVVal
)),"")</f>
        <v/>
      </c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6" t="str">
        <f>IF(LEFT(N842,4)="Pass","Nist SP 800-88",My_Audit!R842)&amp;""</f>
        <v/>
      </c>
      <c r="R842" s="45"/>
      <c r="S842" s="45"/>
      <c r="T842" s="46" t="str">
        <f>_xlfn.XLOOKUP(E842,Models!I:I,Models!J:J,"")</f>
        <v/>
      </c>
      <c r="U842" s="45"/>
      <c r="V842" s="45"/>
      <c r="W842" s="38"/>
    </row>
    <row r="843" spans="1:23">
      <c r="A843" s="45" t="str">
        <f>_xlfn.TEXTJOIN("",TRUE,Input!$B$2,ROW(My_Audit!A842))</f>
        <v>XX842</v>
      </c>
      <c r="B843" s="45"/>
      <c r="C843" s="45"/>
      <c r="D843" s="46" t="str">
        <f>_xlfn.XLOOKUP(A843,My_Audit!A:A,My_Audit!D:D,"")&amp;""</f>
        <v/>
      </c>
      <c r="E843" s="46" t="str" cm="1">
        <f t="array" ref="E843">IFERROR(_xlfn.LET(
_xlpm.CSVVal,_xlfn.XLOOKUP($A843,CSV!$A:$A,CSV!E:E,""),
_xlpm.MacVal,_xlfn.XLOOKUP($A843,Output_Mac!$A:$A,Output_Mac!C:C,""),
_xlpm.MyAuditVal,_xlfn.XLOOKUP($A843,My_Audit!$A:$A,My_Audit!D:D,""),
_xlfn.IFS(_xlpm.MyAuditVal&lt;&gt;"",_xlpm.MyAuditVal,_xlpm.MacVal&lt;&gt;"",_xlpm.MacVal,_xlpm.CSVVal&lt;&gt;"",_xlpm.CSVVal
)),"")</f>
        <v/>
      </c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6" t="str">
        <f>IF(LEFT(N843,4)="Pass","Nist SP 800-88",My_Audit!R843)&amp;""</f>
        <v/>
      </c>
      <c r="R843" s="45"/>
      <c r="S843" s="45"/>
      <c r="T843" s="46" t="str">
        <f>_xlfn.XLOOKUP(E843,Models!I:I,Models!J:J,"")</f>
        <v/>
      </c>
      <c r="U843" s="45"/>
      <c r="V843" s="45"/>
      <c r="W843" s="38"/>
    </row>
    <row r="844" spans="1:23">
      <c r="A844" s="45" t="str">
        <f>_xlfn.TEXTJOIN("",TRUE,Input!$B$2,ROW(My_Audit!A843))</f>
        <v>XX843</v>
      </c>
      <c r="B844" s="45"/>
      <c r="C844" s="45"/>
      <c r="D844" s="46" t="str">
        <f>_xlfn.XLOOKUP(A844,My_Audit!A:A,My_Audit!D:D,"")&amp;""</f>
        <v/>
      </c>
      <c r="E844" s="46" t="str" cm="1">
        <f t="array" ref="E844">IFERROR(_xlfn.LET(
_xlpm.CSVVal,_xlfn.XLOOKUP($A844,CSV!$A:$A,CSV!E:E,""),
_xlpm.MacVal,_xlfn.XLOOKUP($A844,Output_Mac!$A:$A,Output_Mac!C:C,""),
_xlpm.MyAuditVal,_xlfn.XLOOKUP($A844,My_Audit!$A:$A,My_Audit!D:D,""),
_xlfn.IFS(_xlpm.MyAuditVal&lt;&gt;"",_xlpm.MyAuditVal,_xlpm.MacVal&lt;&gt;"",_xlpm.MacVal,_xlpm.CSVVal&lt;&gt;"",_xlpm.CSVVal
)),"")</f>
        <v/>
      </c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6" t="str">
        <f>IF(LEFT(N844,4)="Pass","Nist SP 800-88",My_Audit!R844)&amp;""</f>
        <v/>
      </c>
      <c r="R844" s="45"/>
      <c r="S844" s="45"/>
      <c r="T844" s="46" t="str">
        <f>_xlfn.XLOOKUP(E844,Models!I:I,Models!J:J,"")</f>
        <v/>
      </c>
      <c r="U844" s="45"/>
      <c r="V844" s="45"/>
      <c r="W844" s="38"/>
    </row>
    <row r="845" spans="1:23">
      <c r="A845" s="45" t="str">
        <f>_xlfn.TEXTJOIN("",TRUE,Input!$B$2,ROW(My_Audit!A844))</f>
        <v>XX844</v>
      </c>
      <c r="B845" s="45"/>
      <c r="C845" s="45"/>
      <c r="D845" s="46" t="str">
        <f>_xlfn.XLOOKUP(A845,My_Audit!A:A,My_Audit!D:D,"")&amp;""</f>
        <v/>
      </c>
      <c r="E845" s="46" t="str" cm="1">
        <f t="array" ref="E845">IFERROR(_xlfn.LET(
_xlpm.CSVVal,_xlfn.XLOOKUP($A845,CSV!$A:$A,CSV!E:E,""),
_xlpm.MacVal,_xlfn.XLOOKUP($A845,Output_Mac!$A:$A,Output_Mac!C:C,""),
_xlpm.MyAuditVal,_xlfn.XLOOKUP($A845,My_Audit!$A:$A,My_Audit!D:D,""),
_xlfn.IFS(_xlpm.MyAuditVal&lt;&gt;"",_xlpm.MyAuditVal,_xlpm.MacVal&lt;&gt;"",_xlpm.MacVal,_xlpm.CSVVal&lt;&gt;"",_xlpm.CSVVal
)),"")</f>
        <v/>
      </c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6" t="str">
        <f>IF(LEFT(N845,4)="Pass","Nist SP 800-88",My_Audit!R845)&amp;""</f>
        <v/>
      </c>
      <c r="R845" s="45"/>
      <c r="S845" s="45"/>
      <c r="T845" s="46" t="str">
        <f>_xlfn.XLOOKUP(E845,Models!I:I,Models!J:J,"")</f>
        <v/>
      </c>
      <c r="U845" s="45"/>
      <c r="V845" s="45"/>
      <c r="W845" s="38"/>
    </row>
    <row r="846" spans="1:23">
      <c r="A846" s="45" t="str">
        <f>_xlfn.TEXTJOIN("",TRUE,Input!$B$2,ROW(My_Audit!A845))</f>
        <v>XX845</v>
      </c>
      <c r="B846" s="45"/>
      <c r="C846" s="45"/>
      <c r="D846" s="46" t="str">
        <f>_xlfn.XLOOKUP(A846,My_Audit!A:A,My_Audit!D:D,"")&amp;""</f>
        <v/>
      </c>
      <c r="E846" s="46" t="str" cm="1">
        <f t="array" ref="E846">IFERROR(_xlfn.LET(
_xlpm.CSVVal,_xlfn.XLOOKUP($A846,CSV!$A:$A,CSV!E:E,""),
_xlpm.MacVal,_xlfn.XLOOKUP($A846,Output_Mac!$A:$A,Output_Mac!C:C,""),
_xlpm.MyAuditVal,_xlfn.XLOOKUP($A846,My_Audit!$A:$A,My_Audit!D:D,""),
_xlfn.IFS(_xlpm.MyAuditVal&lt;&gt;"",_xlpm.MyAuditVal,_xlpm.MacVal&lt;&gt;"",_xlpm.MacVal,_xlpm.CSVVal&lt;&gt;"",_xlpm.CSVVal
)),"")</f>
        <v/>
      </c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6" t="str">
        <f>IF(LEFT(N846,4)="Pass","Nist SP 800-88",My_Audit!R846)&amp;""</f>
        <v/>
      </c>
      <c r="R846" s="45"/>
      <c r="S846" s="45"/>
      <c r="T846" s="46" t="str">
        <f>_xlfn.XLOOKUP(E846,Models!I:I,Models!J:J,"")</f>
        <v/>
      </c>
      <c r="U846" s="45"/>
      <c r="V846" s="45"/>
      <c r="W846" s="38"/>
    </row>
    <row r="847" spans="1:23">
      <c r="A847" s="45" t="str">
        <f>_xlfn.TEXTJOIN("",TRUE,Input!$B$2,ROW(My_Audit!A846))</f>
        <v>XX846</v>
      </c>
      <c r="B847" s="45"/>
      <c r="C847" s="45"/>
      <c r="D847" s="46" t="str">
        <f>_xlfn.XLOOKUP(A847,My_Audit!A:A,My_Audit!D:D,"")&amp;""</f>
        <v/>
      </c>
      <c r="E847" s="46" t="str" cm="1">
        <f t="array" ref="E847">IFERROR(_xlfn.LET(
_xlpm.CSVVal,_xlfn.XLOOKUP($A847,CSV!$A:$A,CSV!E:E,""),
_xlpm.MacVal,_xlfn.XLOOKUP($A847,Output_Mac!$A:$A,Output_Mac!C:C,""),
_xlpm.MyAuditVal,_xlfn.XLOOKUP($A847,My_Audit!$A:$A,My_Audit!D:D,""),
_xlfn.IFS(_xlpm.MyAuditVal&lt;&gt;"",_xlpm.MyAuditVal,_xlpm.MacVal&lt;&gt;"",_xlpm.MacVal,_xlpm.CSVVal&lt;&gt;"",_xlpm.CSVVal
)),"")</f>
        <v/>
      </c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6" t="str">
        <f>IF(LEFT(N847,4)="Pass","Nist SP 800-88",My_Audit!R847)&amp;""</f>
        <v/>
      </c>
      <c r="R847" s="45"/>
      <c r="S847" s="45"/>
      <c r="T847" s="46" t="str">
        <f>_xlfn.XLOOKUP(E847,Models!I:I,Models!J:J,"")</f>
        <v/>
      </c>
      <c r="U847" s="45"/>
      <c r="V847" s="45"/>
      <c r="W847" s="38"/>
    </row>
    <row r="848" spans="1:23">
      <c r="A848" s="45" t="str">
        <f>_xlfn.TEXTJOIN("",TRUE,Input!$B$2,ROW(My_Audit!A847))</f>
        <v>XX847</v>
      </c>
      <c r="B848" s="45"/>
      <c r="C848" s="45"/>
      <c r="D848" s="46" t="str">
        <f>_xlfn.XLOOKUP(A848,My_Audit!A:A,My_Audit!D:D,"")&amp;""</f>
        <v/>
      </c>
      <c r="E848" s="46" t="str" cm="1">
        <f t="array" ref="E848">IFERROR(_xlfn.LET(
_xlpm.CSVVal,_xlfn.XLOOKUP($A848,CSV!$A:$A,CSV!E:E,""),
_xlpm.MacVal,_xlfn.XLOOKUP($A848,Output_Mac!$A:$A,Output_Mac!C:C,""),
_xlpm.MyAuditVal,_xlfn.XLOOKUP($A848,My_Audit!$A:$A,My_Audit!D:D,""),
_xlfn.IFS(_xlpm.MyAuditVal&lt;&gt;"",_xlpm.MyAuditVal,_xlpm.MacVal&lt;&gt;"",_xlpm.MacVal,_xlpm.CSVVal&lt;&gt;"",_xlpm.CSVVal
)),"")</f>
        <v/>
      </c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6" t="str">
        <f>IF(LEFT(N848,4)="Pass","Nist SP 800-88",My_Audit!R848)&amp;""</f>
        <v/>
      </c>
      <c r="R848" s="45"/>
      <c r="S848" s="45"/>
      <c r="T848" s="46" t="str">
        <f>_xlfn.XLOOKUP(E848,Models!I:I,Models!J:J,"")</f>
        <v/>
      </c>
      <c r="U848" s="45"/>
      <c r="V848" s="45"/>
      <c r="W848" s="38"/>
    </row>
    <row r="849" spans="1:23">
      <c r="A849" s="45" t="str">
        <f>_xlfn.TEXTJOIN("",TRUE,Input!$B$2,ROW(My_Audit!A848))</f>
        <v>XX848</v>
      </c>
      <c r="B849" s="45"/>
      <c r="C849" s="45"/>
      <c r="D849" s="46" t="str">
        <f>_xlfn.XLOOKUP(A849,My_Audit!A:A,My_Audit!D:D,"")&amp;""</f>
        <v/>
      </c>
      <c r="E849" s="46" t="str" cm="1">
        <f t="array" ref="E849">IFERROR(_xlfn.LET(
_xlpm.CSVVal,_xlfn.XLOOKUP($A849,CSV!$A:$A,CSV!E:E,""),
_xlpm.MacVal,_xlfn.XLOOKUP($A849,Output_Mac!$A:$A,Output_Mac!C:C,""),
_xlpm.MyAuditVal,_xlfn.XLOOKUP($A849,My_Audit!$A:$A,My_Audit!D:D,""),
_xlfn.IFS(_xlpm.MyAuditVal&lt;&gt;"",_xlpm.MyAuditVal,_xlpm.MacVal&lt;&gt;"",_xlpm.MacVal,_xlpm.CSVVal&lt;&gt;"",_xlpm.CSVVal
)),"")</f>
        <v/>
      </c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6" t="str">
        <f>IF(LEFT(N849,4)="Pass","Nist SP 800-88",My_Audit!R849)&amp;""</f>
        <v/>
      </c>
      <c r="R849" s="45"/>
      <c r="S849" s="45"/>
      <c r="T849" s="46" t="str">
        <f>_xlfn.XLOOKUP(E849,Models!I:I,Models!J:J,"")</f>
        <v/>
      </c>
      <c r="U849" s="45"/>
      <c r="V849" s="45"/>
      <c r="W849" s="38"/>
    </row>
    <row r="850" spans="1:23">
      <c r="A850" s="45" t="str">
        <f>_xlfn.TEXTJOIN("",TRUE,Input!$B$2,ROW(My_Audit!A849))</f>
        <v>XX849</v>
      </c>
      <c r="B850" s="45"/>
      <c r="C850" s="45"/>
      <c r="D850" s="46" t="str">
        <f>_xlfn.XLOOKUP(A850,My_Audit!A:A,My_Audit!D:D,"")&amp;""</f>
        <v/>
      </c>
      <c r="E850" s="46" t="str" cm="1">
        <f t="array" ref="E850">IFERROR(_xlfn.LET(
_xlpm.CSVVal,_xlfn.XLOOKUP($A850,CSV!$A:$A,CSV!E:E,""),
_xlpm.MacVal,_xlfn.XLOOKUP($A850,Output_Mac!$A:$A,Output_Mac!C:C,""),
_xlpm.MyAuditVal,_xlfn.XLOOKUP($A850,My_Audit!$A:$A,My_Audit!D:D,""),
_xlfn.IFS(_xlpm.MyAuditVal&lt;&gt;"",_xlpm.MyAuditVal,_xlpm.MacVal&lt;&gt;"",_xlpm.MacVal,_xlpm.CSVVal&lt;&gt;"",_xlpm.CSVVal
)),"")</f>
        <v/>
      </c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6" t="str">
        <f>IF(LEFT(N850,4)="Pass","Nist SP 800-88",My_Audit!R850)&amp;""</f>
        <v/>
      </c>
      <c r="R850" s="45"/>
      <c r="S850" s="45"/>
      <c r="T850" s="46" t="str">
        <f>_xlfn.XLOOKUP(E850,Models!I:I,Models!J:J,"")</f>
        <v/>
      </c>
      <c r="U850" s="45"/>
      <c r="V850" s="45"/>
      <c r="W850" s="38"/>
    </row>
    <row r="851" spans="1:23">
      <c r="A851" s="45" t="str">
        <f>_xlfn.TEXTJOIN("",TRUE,Input!$B$2,ROW(My_Audit!A850))</f>
        <v>XX850</v>
      </c>
      <c r="B851" s="45"/>
      <c r="C851" s="45"/>
      <c r="D851" s="46" t="str">
        <f>_xlfn.XLOOKUP(A851,My_Audit!A:A,My_Audit!D:D,"")&amp;""</f>
        <v/>
      </c>
      <c r="E851" s="46" t="str" cm="1">
        <f t="array" ref="E851">IFERROR(_xlfn.LET(
_xlpm.CSVVal,_xlfn.XLOOKUP($A851,CSV!$A:$A,CSV!E:E,""),
_xlpm.MacVal,_xlfn.XLOOKUP($A851,Output_Mac!$A:$A,Output_Mac!C:C,""),
_xlpm.MyAuditVal,_xlfn.XLOOKUP($A851,My_Audit!$A:$A,My_Audit!D:D,""),
_xlfn.IFS(_xlpm.MyAuditVal&lt;&gt;"",_xlpm.MyAuditVal,_xlpm.MacVal&lt;&gt;"",_xlpm.MacVal,_xlpm.CSVVal&lt;&gt;"",_xlpm.CSVVal
)),"")</f>
        <v/>
      </c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6" t="str">
        <f>IF(LEFT(N851,4)="Pass","Nist SP 800-88",My_Audit!R851)&amp;""</f>
        <v/>
      </c>
      <c r="R851" s="45"/>
      <c r="S851" s="45"/>
      <c r="T851" s="46" t="str">
        <f>_xlfn.XLOOKUP(E851,Models!I:I,Models!J:J,"")</f>
        <v/>
      </c>
      <c r="U851" s="45"/>
      <c r="V851" s="45"/>
      <c r="W851" s="38"/>
    </row>
    <row r="852" spans="1:23">
      <c r="A852" s="45" t="str">
        <f>_xlfn.TEXTJOIN("",TRUE,Input!$B$2,ROW(My_Audit!A851))</f>
        <v>XX851</v>
      </c>
      <c r="B852" s="45"/>
      <c r="C852" s="45"/>
      <c r="D852" s="46" t="str">
        <f>_xlfn.XLOOKUP(A852,My_Audit!A:A,My_Audit!D:D,"")&amp;""</f>
        <v/>
      </c>
      <c r="E852" s="46" t="str" cm="1">
        <f t="array" ref="E852">IFERROR(_xlfn.LET(
_xlpm.CSVVal,_xlfn.XLOOKUP($A852,CSV!$A:$A,CSV!E:E,""),
_xlpm.MacVal,_xlfn.XLOOKUP($A852,Output_Mac!$A:$A,Output_Mac!C:C,""),
_xlpm.MyAuditVal,_xlfn.XLOOKUP($A852,My_Audit!$A:$A,My_Audit!D:D,""),
_xlfn.IFS(_xlpm.MyAuditVal&lt;&gt;"",_xlpm.MyAuditVal,_xlpm.MacVal&lt;&gt;"",_xlpm.MacVal,_xlpm.CSVVal&lt;&gt;"",_xlpm.CSVVal
)),"")</f>
        <v/>
      </c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6" t="str">
        <f>IF(LEFT(N852,4)="Pass","Nist SP 800-88",My_Audit!R852)&amp;""</f>
        <v/>
      </c>
      <c r="R852" s="45"/>
      <c r="S852" s="45"/>
      <c r="T852" s="46" t="str">
        <f>_xlfn.XLOOKUP(E852,Models!I:I,Models!J:J,"")</f>
        <v/>
      </c>
      <c r="U852" s="45"/>
      <c r="V852" s="45"/>
      <c r="W852" s="38"/>
    </row>
    <row r="853" spans="1:23">
      <c r="A853" s="45" t="str">
        <f>_xlfn.TEXTJOIN("",TRUE,Input!$B$2,ROW(My_Audit!A852))</f>
        <v>XX852</v>
      </c>
      <c r="B853" s="45"/>
      <c r="C853" s="45"/>
      <c r="D853" s="46" t="str">
        <f>_xlfn.XLOOKUP(A853,My_Audit!A:A,My_Audit!D:D,"")&amp;""</f>
        <v/>
      </c>
      <c r="E853" s="46" t="str" cm="1">
        <f t="array" ref="E853">IFERROR(_xlfn.LET(
_xlpm.CSVVal,_xlfn.XLOOKUP($A853,CSV!$A:$A,CSV!E:E,""),
_xlpm.MacVal,_xlfn.XLOOKUP($A853,Output_Mac!$A:$A,Output_Mac!C:C,""),
_xlpm.MyAuditVal,_xlfn.XLOOKUP($A853,My_Audit!$A:$A,My_Audit!D:D,""),
_xlfn.IFS(_xlpm.MyAuditVal&lt;&gt;"",_xlpm.MyAuditVal,_xlpm.MacVal&lt;&gt;"",_xlpm.MacVal,_xlpm.CSVVal&lt;&gt;"",_xlpm.CSVVal
)),"")</f>
        <v/>
      </c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6" t="str">
        <f>IF(LEFT(N853,4)="Pass","Nist SP 800-88",My_Audit!R853)&amp;""</f>
        <v/>
      </c>
      <c r="R853" s="45"/>
      <c r="S853" s="45"/>
      <c r="T853" s="46" t="str">
        <f>_xlfn.XLOOKUP(E853,Models!I:I,Models!J:J,"")</f>
        <v/>
      </c>
      <c r="U853" s="45"/>
      <c r="V853" s="45"/>
      <c r="W853" s="38"/>
    </row>
    <row r="854" spans="1:23">
      <c r="A854" s="45" t="str">
        <f>_xlfn.TEXTJOIN("",TRUE,Input!$B$2,ROW(My_Audit!A853))</f>
        <v>XX853</v>
      </c>
      <c r="B854" s="45"/>
      <c r="C854" s="45"/>
      <c r="D854" s="46" t="str">
        <f>_xlfn.XLOOKUP(A854,My_Audit!A:A,My_Audit!D:D,"")&amp;""</f>
        <v/>
      </c>
      <c r="E854" s="46" t="str" cm="1">
        <f t="array" ref="E854">IFERROR(_xlfn.LET(
_xlpm.CSVVal,_xlfn.XLOOKUP($A854,CSV!$A:$A,CSV!E:E,""),
_xlpm.MacVal,_xlfn.XLOOKUP($A854,Output_Mac!$A:$A,Output_Mac!C:C,""),
_xlpm.MyAuditVal,_xlfn.XLOOKUP($A854,My_Audit!$A:$A,My_Audit!D:D,""),
_xlfn.IFS(_xlpm.MyAuditVal&lt;&gt;"",_xlpm.MyAuditVal,_xlpm.MacVal&lt;&gt;"",_xlpm.MacVal,_xlpm.CSVVal&lt;&gt;"",_xlpm.CSVVal
)),"")</f>
        <v/>
      </c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6" t="str">
        <f>IF(LEFT(N854,4)="Pass","Nist SP 800-88",My_Audit!R854)&amp;""</f>
        <v/>
      </c>
      <c r="R854" s="45"/>
      <c r="S854" s="45"/>
      <c r="T854" s="46" t="str">
        <f>_xlfn.XLOOKUP(E854,Models!I:I,Models!J:J,"")</f>
        <v/>
      </c>
      <c r="U854" s="45"/>
      <c r="V854" s="45"/>
      <c r="W854" s="38"/>
    </row>
    <row r="855" spans="1:23">
      <c r="A855" s="45" t="str">
        <f>_xlfn.TEXTJOIN("",TRUE,Input!$B$2,ROW(My_Audit!A854))</f>
        <v>XX854</v>
      </c>
      <c r="B855" s="45"/>
      <c r="C855" s="45"/>
      <c r="D855" s="46" t="str">
        <f>_xlfn.XLOOKUP(A855,My_Audit!A:A,My_Audit!D:D,"")&amp;""</f>
        <v/>
      </c>
      <c r="E855" s="46" t="str" cm="1">
        <f t="array" ref="E855">IFERROR(_xlfn.LET(
_xlpm.CSVVal,_xlfn.XLOOKUP($A855,CSV!$A:$A,CSV!E:E,""),
_xlpm.MacVal,_xlfn.XLOOKUP($A855,Output_Mac!$A:$A,Output_Mac!C:C,""),
_xlpm.MyAuditVal,_xlfn.XLOOKUP($A855,My_Audit!$A:$A,My_Audit!D:D,""),
_xlfn.IFS(_xlpm.MyAuditVal&lt;&gt;"",_xlpm.MyAuditVal,_xlpm.MacVal&lt;&gt;"",_xlpm.MacVal,_xlpm.CSVVal&lt;&gt;"",_xlpm.CSVVal
)),"")</f>
        <v/>
      </c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6" t="str">
        <f>IF(LEFT(N855,4)="Pass","Nist SP 800-88",My_Audit!R855)&amp;""</f>
        <v/>
      </c>
      <c r="R855" s="45"/>
      <c r="S855" s="45"/>
      <c r="T855" s="46" t="str">
        <f>_xlfn.XLOOKUP(E855,Models!I:I,Models!J:J,"")</f>
        <v/>
      </c>
      <c r="U855" s="45"/>
      <c r="V855" s="45"/>
      <c r="W855" s="38"/>
    </row>
    <row r="856" spans="1:23">
      <c r="A856" s="45" t="str">
        <f>_xlfn.TEXTJOIN("",TRUE,Input!$B$2,ROW(My_Audit!A855))</f>
        <v>XX855</v>
      </c>
      <c r="B856" s="45"/>
      <c r="C856" s="45"/>
      <c r="D856" s="46" t="str">
        <f>_xlfn.XLOOKUP(A856,My_Audit!A:A,My_Audit!D:D,"")&amp;""</f>
        <v/>
      </c>
      <c r="E856" s="46" t="str" cm="1">
        <f t="array" ref="E856">IFERROR(_xlfn.LET(
_xlpm.CSVVal,_xlfn.XLOOKUP($A856,CSV!$A:$A,CSV!E:E,""),
_xlpm.MacVal,_xlfn.XLOOKUP($A856,Output_Mac!$A:$A,Output_Mac!C:C,""),
_xlpm.MyAuditVal,_xlfn.XLOOKUP($A856,My_Audit!$A:$A,My_Audit!D:D,""),
_xlfn.IFS(_xlpm.MyAuditVal&lt;&gt;"",_xlpm.MyAuditVal,_xlpm.MacVal&lt;&gt;"",_xlpm.MacVal,_xlpm.CSVVal&lt;&gt;"",_xlpm.CSVVal
)),"")</f>
        <v/>
      </c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6" t="str">
        <f>IF(LEFT(N856,4)="Pass","Nist SP 800-88",My_Audit!R856)&amp;""</f>
        <v/>
      </c>
      <c r="R856" s="45"/>
      <c r="S856" s="45"/>
      <c r="T856" s="46" t="str">
        <f>_xlfn.XLOOKUP(E856,Models!I:I,Models!J:J,"")</f>
        <v/>
      </c>
      <c r="U856" s="45"/>
      <c r="V856" s="45"/>
      <c r="W856" s="38"/>
    </row>
    <row r="857" spans="1:23">
      <c r="A857" s="45" t="str">
        <f>_xlfn.TEXTJOIN("",TRUE,Input!$B$2,ROW(My_Audit!A856))</f>
        <v>XX856</v>
      </c>
      <c r="B857" s="45"/>
      <c r="C857" s="45"/>
      <c r="D857" s="46" t="str">
        <f>_xlfn.XLOOKUP(A857,My_Audit!A:A,My_Audit!D:D,"")&amp;""</f>
        <v/>
      </c>
      <c r="E857" s="46" t="str" cm="1">
        <f t="array" ref="E857">IFERROR(_xlfn.LET(
_xlpm.CSVVal,_xlfn.XLOOKUP($A857,CSV!$A:$A,CSV!E:E,""),
_xlpm.MacVal,_xlfn.XLOOKUP($A857,Output_Mac!$A:$A,Output_Mac!C:C,""),
_xlpm.MyAuditVal,_xlfn.XLOOKUP($A857,My_Audit!$A:$A,My_Audit!D:D,""),
_xlfn.IFS(_xlpm.MyAuditVal&lt;&gt;"",_xlpm.MyAuditVal,_xlpm.MacVal&lt;&gt;"",_xlpm.MacVal,_xlpm.CSVVal&lt;&gt;"",_xlpm.CSVVal
)),"")</f>
        <v/>
      </c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6" t="str">
        <f>IF(LEFT(N857,4)="Pass","Nist SP 800-88",My_Audit!R857)&amp;""</f>
        <v/>
      </c>
      <c r="R857" s="45"/>
      <c r="S857" s="45"/>
      <c r="T857" s="46" t="str">
        <f>_xlfn.XLOOKUP(E857,Models!I:I,Models!J:J,"")</f>
        <v/>
      </c>
      <c r="U857" s="45"/>
      <c r="V857" s="45"/>
      <c r="W857" s="38"/>
    </row>
    <row r="858" spans="1:23">
      <c r="A858" s="45" t="str">
        <f>_xlfn.TEXTJOIN("",TRUE,Input!$B$2,ROW(My_Audit!A857))</f>
        <v>XX857</v>
      </c>
      <c r="B858" s="45"/>
      <c r="C858" s="45"/>
      <c r="D858" s="46" t="str">
        <f>_xlfn.XLOOKUP(A858,My_Audit!A:A,My_Audit!D:D,"")&amp;""</f>
        <v/>
      </c>
      <c r="E858" s="46" t="str" cm="1">
        <f t="array" ref="E858">IFERROR(_xlfn.LET(
_xlpm.CSVVal,_xlfn.XLOOKUP($A858,CSV!$A:$A,CSV!E:E,""),
_xlpm.MacVal,_xlfn.XLOOKUP($A858,Output_Mac!$A:$A,Output_Mac!C:C,""),
_xlpm.MyAuditVal,_xlfn.XLOOKUP($A858,My_Audit!$A:$A,My_Audit!D:D,""),
_xlfn.IFS(_xlpm.MyAuditVal&lt;&gt;"",_xlpm.MyAuditVal,_xlpm.MacVal&lt;&gt;"",_xlpm.MacVal,_xlpm.CSVVal&lt;&gt;"",_xlpm.CSVVal
)),"")</f>
        <v/>
      </c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6" t="str">
        <f>IF(LEFT(N858,4)="Pass","Nist SP 800-88",My_Audit!R858)&amp;""</f>
        <v/>
      </c>
      <c r="R858" s="45"/>
      <c r="S858" s="45"/>
      <c r="T858" s="46" t="str">
        <f>_xlfn.XLOOKUP(E858,Models!I:I,Models!J:J,"")</f>
        <v/>
      </c>
      <c r="U858" s="45"/>
      <c r="V858" s="45"/>
      <c r="W858" s="38"/>
    </row>
    <row r="859" spans="1:23">
      <c r="A859" s="45" t="str">
        <f>_xlfn.TEXTJOIN("",TRUE,Input!$B$2,ROW(My_Audit!A858))</f>
        <v>XX858</v>
      </c>
      <c r="B859" s="45"/>
      <c r="C859" s="45"/>
      <c r="D859" s="46" t="str">
        <f>_xlfn.XLOOKUP(A859,My_Audit!A:A,My_Audit!D:D,"")&amp;""</f>
        <v/>
      </c>
      <c r="E859" s="46" t="str" cm="1">
        <f t="array" ref="E859">IFERROR(_xlfn.LET(
_xlpm.CSVVal,_xlfn.XLOOKUP($A859,CSV!$A:$A,CSV!E:E,""),
_xlpm.MacVal,_xlfn.XLOOKUP($A859,Output_Mac!$A:$A,Output_Mac!C:C,""),
_xlpm.MyAuditVal,_xlfn.XLOOKUP($A859,My_Audit!$A:$A,My_Audit!D:D,""),
_xlfn.IFS(_xlpm.MyAuditVal&lt;&gt;"",_xlpm.MyAuditVal,_xlpm.MacVal&lt;&gt;"",_xlpm.MacVal,_xlpm.CSVVal&lt;&gt;"",_xlpm.CSVVal
)),"")</f>
        <v/>
      </c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6" t="str">
        <f>IF(LEFT(N859,4)="Pass","Nist SP 800-88",My_Audit!R859)&amp;""</f>
        <v/>
      </c>
      <c r="R859" s="45"/>
      <c r="S859" s="45"/>
      <c r="T859" s="46" t="str">
        <f>_xlfn.XLOOKUP(E859,Models!I:I,Models!J:J,"")</f>
        <v/>
      </c>
      <c r="U859" s="45"/>
      <c r="V859" s="45"/>
      <c r="W859" s="38"/>
    </row>
    <row r="860" spans="1:23">
      <c r="A860" s="45" t="str">
        <f>_xlfn.TEXTJOIN("",TRUE,Input!$B$2,ROW(My_Audit!A859))</f>
        <v>XX859</v>
      </c>
      <c r="B860" s="45"/>
      <c r="C860" s="45"/>
      <c r="D860" s="46" t="str">
        <f>_xlfn.XLOOKUP(A860,My_Audit!A:A,My_Audit!D:D,"")&amp;""</f>
        <v/>
      </c>
      <c r="E860" s="46" t="str" cm="1">
        <f t="array" ref="E860">IFERROR(_xlfn.LET(
_xlpm.CSVVal,_xlfn.XLOOKUP($A860,CSV!$A:$A,CSV!E:E,""),
_xlpm.MacVal,_xlfn.XLOOKUP($A860,Output_Mac!$A:$A,Output_Mac!C:C,""),
_xlpm.MyAuditVal,_xlfn.XLOOKUP($A860,My_Audit!$A:$A,My_Audit!D:D,""),
_xlfn.IFS(_xlpm.MyAuditVal&lt;&gt;"",_xlpm.MyAuditVal,_xlpm.MacVal&lt;&gt;"",_xlpm.MacVal,_xlpm.CSVVal&lt;&gt;"",_xlpm.CSVVal
)),"")</f>
        <v/>
      </c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6" t="str">
        <f>IF(LEFT(N860,4)="Pass","Nist SP 800-88",My_Audit!R860)&amp;""</f>
        <v/>
      </c>
      <c r="R860" s="45"/>
      <c r="S860" s="45"/>
      <c r="T860" s="46" t="str">
        <f>_xlfn.XLOOKUP(E860,Models!I:I,Models!J:J,"")</f>
        <v/>
      </c>
      <c r="U860" s="45"/>
      <c r="V860" s="45"/>
      <c r="W860" s="38"/>
    </row>
    <row r="861" spans="1:23">
      <c r="A861" s="45" t="str">
        <f>_xlfn.TEXTJOIN("",TRUE,Input!$B$2,ROW(My_Audit!A860))</f>
        <v>XX860</v>
      </c>
      <c r="B861" s="45"/>
      <c r="C861" s="45"/>
      <c r="D861" s="46" t="str">
        <f>_xlfn.XLOOKUP(A861,My_Audit!A:A,My_Audit!D:D,"")&amp;""</f>
        <v/>
      </c>
      <c r="E861" s="46" t="str" cm="1">
        <f t="array" ref="E861">IFERROR(_xlfn.LET(
_xlpm.CSVVal,_xlfn.XLOOKUP($A861,CSV!$A:$A,CSV!E:E,""),
_xlpm.MacVal,_xlfn.XLOOKUP($A861,Output_Mac!$A:$A,Output_Mac!C:C,""),
_xlpm.MyAuditVal,_xlfn.XLOOKUP($A861,My_Audit!$A:$A,My_Audit!D:D,""),
_xlfn.IFS(_xlpm.MyAuditVal&lt;&gt;"",_xlpm.MyAuditVal,_xlpm.MacVal&lt;&gt;"",_xlpm.MacVal,_xlpm.CSVVal&lt;&gt;"",_xlpm.CSVVal
)),"")</f>
        <v/>
      </c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6" t="str">
        <f>IF(LEFT(N861,4)="Pass","Nist SP 800-88",My_Audit!R861)&amp;""</f>
        <v/>
      </c>
      <c r="R861" s="45"/>
      <c r="S861" s="45"/>
      <c r="T861" s="46" t="str">
        <f>_xlfn.XLOOKUP(E861,Models!I:I,Models!J:J,"")</f>
        <v/>
      </c>
      <c r="U861" s="45"/>
      <c r="V861" s="45"/>
      <c r="W861" s="38"/>
    </row>
    <row r="862" spans="1:23">
      <c r="A862" s="45" t="str">
        <f>_xlfn.TEXTJOIN("",TRUE,Input!$B$2,ROW(My_Audit!A861))</f>
        <v>XX861</v>
      </c>
      <c r="B862" s="45"/>
      <c r="C862" s="45"/>
      <c r="D862" s="46" t="str">
        <f>_xlfn.XLOOKUP(A862,My_Audit!A:A,My_Audit!D:D,"")&amp;""</f>
        <v/>
      </c>
      <c r="E862" s="46" t="str" cm="1">
        <f t="array" ref="E862">IFERROR(_xlfn.LET(
_xlpm.CSVVal,_xlfn.XLOOKUP($A862,CSV!$A:$A,CSV!E:E,""),
_xlpm.MacVal,_xlfn.XLOOKUP($A862,Output_Mac!$A:$A,Output_Mac!C:C,""),
_xlpm.MyAuditVal,_xlfn.XLOOKUP($A862,My_Audit!$A:$A,My_Audit!D:D,""),
_xlfn.IFS(_xlpm.MyAuditVal&lt;&gt;"",_xlpm.MyAuditVal,_xlpm.MacVal&lt;&gt;"",_xlpm.MacVal,_xlpm.CSVVal&lt;&gt;"",_xlpm.CSVVal
)),"")</f>
        <v/>
      </c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6" t="str">
        <f>IF(LEFT(N862,4)="Pass","Nist SP 800-88",My_Audit!R862)&amp;""</f>
        <v/>
      </c>
      <c r="R862" s="45"/>
      <c r="S862" s="45"/>
      <c r="T862" s="46" t="str">
        <f>_xlfn.XLOOKUP(E862,Models!I:I,Models!J:J,"")</f>
        <v/>
      </c>
      <c r="U862" s="45"/>
      <c r="V862" s="45"/>
      <c r="W862" s="38"/>
    </row>
    <row r="863" spans="1:23">
      <c r="A863" s="45" t="str">
        <f>_xlfn.TEXTJOIN("",TRUE,Input!$B$2,ROW(My_Audit!A862))</f>
        <v>XX862</v>
      </c>
      <c r="B863" s="45"/>
      <c r="C863" s="45"/>
      <c r="D863" s="46" t="str">
        <f>_xlfn.XLOOKUP(A863,My_Audit!A:A,My_Audit!D:D,"")&amp;""</f>
        <v/>
      </c>
      <c r="E863" s="46" t="str" cm="1">
        <f t="array" ref="E863">IFERROR(_xlfn.LET(
_xlpm.CSVVal,_xlfn.XLOOKUP($A863,CSV!$A:$A,CSV!E:E,""),
_xlpm.MacVal,_xlfn.XLOOKUP($A863,Output_Mac!$A:$A,Output_Mac!C:C,""),
_xlpm.MyAuditVal,_xlfn.XLOOKUP($A863,My_Audit!$A:$A,My_Audit!D:D,""),
_xlfn.IFS(_xlpm.MyAuditVal&lt;&gt;"",_xlpm.MyAuditVal,_xlpm.MacVal&lt;&gt;"",_xlpm.MacVal,_xlpm.CSVVal&lt;&gt;"",_xlpm.CSVVal
)),"")</f>
        <v/>
      </c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6" t="str">
        <f>IF(LEFT(N863,4)="Pass","Nist SP 800-88",My_Audit!R863)&amp;""</f>
        <v/>
      </c>
      <c r="R863" s="45"/>
      <c r="S863" s="45"/>
      <c r="T863" s="46" t="str">
        <f>_xlfn.XLOOKUP(E863,Models!I:I,Models!J:J,"")</f>
        <v/>
      </c>
      <c r="U863" s="45"/>
      <c r="V863" s="45"/>
      <c r="W863" s="38"/>
    </row>
    <row r="864" spans="1:23">
      <c r="A864" s="45" t="str">
        <f>_xlfn.TEXTJOIN("",TRUE,Input!$B$2,ROW(My_Audit!A863))</f>
        <v>XX863</v>
      </c>
      <c r="B864" s="45"/>
      <c r="C864" s="45"/>
      <c r="D864" s="46" t="str">
        <f>_xlfn.XLOOKUP(A864,My_Audit!A:A,My_Audit!D:D,"")&amp;""</f>
        <v/>
      </c>
      <c r="E864" s="46" t="str" cm="1">
        <f t="array" ref="E864">IFERROR(_xlfn.LET(
_xlpm.CSVVal,_xlfn.XLOOKUP($A864,CSV!$A:$A,CSV!E:E,""),
_xlpm.MacVal,_xlfn.XLOOKUP($A864,Output_Mac!$A:$A,Output_Mac!C:C,""),
_xlpm.MyAuditVal,_xlfn.XLOOKUP($A864,My_Audit!$A:$A,My_Audit!D:D,""),
_xlfn.IFS(_xlpm.MyAuditVal&lt;&gt;"",_xlpm.MyAuditVal,_xlpm.MacVal&lt;&gt;"",_xlpm.MacVal,_xlpm.CSVVal&lt;&gt;"",_xlpm.CSVVal
)),"")</f>
        <v/>
      </c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6" t="str">
        <f>IF(LEFT(N864,4)="Pass","Nist SP 800-88",My_Audit!R864)&amp;""</f>
        <v/>
      </c>
      <c r="R864" s="45"/>
      <c r="S864" s="45"/>
      <c r="T864" s="46" t="str">
        <f>_xlfn.XLOOKUP(E864,Models!I:I,Models!J:J,"")</f>
        <v/>
      </c>
      <c r="U864" s="45"/>
      <c r="V864" s="45"/>
      <c r="W864" s="38"/>
    </row>
    <row r="865" spans="1:23">
      <c r="A865" s="45" t="str">
        <f>_xlfn.TEXTJOIN("",TRUE,Input!$B$2,ROW(My_Audit!A864))</f>
        <v>XX864</v>
      </c>
      <c r="B865" s="45"/>
      <c r="C865" s="45"/>
      <c r="D865" s="46" t="str">
        <f>_xlfn.XLOOKUP(A865,My_Audit!A:A,My_Audit!D:D,"")&amp;""</f>
        <v/>
      </c>
      <c r="E865" s="46" t="str" cm="1">
        <f t="array" ref="E865">IFERROR(_xlfn.LET(
_xlpm.CSVVal,_xlfn.XLOOKUP($A865,CSV!$A:$A,CSV!E:E,""),
_xlpm.MacVal,_xlfn.XLOOKUP($A865,Output_Mac!$A:$A,Output_Mac!C:C,""),
_xlpm.MyAuditVal,_xlfn.XLOOKUP($A865,My_Audit!$A:$A,My_Audit!D:D,""),
_xlfn.IFS(_xlpm.MyAuditVal&lt;&gt;"",_xlpm.MyAuditVal,_xlpm.MacVal&lt;&gt;"",_xlpm.MacVal,_xlpm.CSVVal&lt;&gt;"",_xlpm.CSVVal
)),"")</f>
        <v/>
      </c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6" t="str">
        <f>IF(LEFT(N865,4)="Pass","Nist SP 800-88",My_Audit!R865)&amp;""</f>
        <v/>
      </c>
      <c r="R865" s="45"/>
      <c r="S865" s="45"/>
      <c r="T865" s="46" t="str">
        <f>_xlfn.XLOOKUP(E865,Models!I:I,Models!J:J,"")</f>
        <v/>
      </c>
      <c r="U865" s="45"/>
      <c r="V865" s="45"/>
      <c r="W865" s="38"/>
    </row>
    <row r="866" spans="1:23">
      <c r="A866" s="45" t="str">
        <f>_xlfn.TEXTJOIN("",TRUE,Input!$B$2,ROW(My_Audit!A865))</f>
        <v>XX865</v>
      </c>
      <c r="B866" s="45"/>
      <c r="C866" s="45"/>
      <c r="D866" s="46" t="str">
        <f>_xlfn.XLOOKUP(A866,My_Audit!A:A,My_Audit!D:D,"")&amp;""</f>
        <v/>
      </c>
      <c r="E866" s="46" t="str" cm="1">
        <f t="array" ref="E866">IFERROR(_xlfn.LET(
_xlpm.CSVVal,_xlfn.XLOOKUP($A866,CSV!$A:$A,CSV!E:E,""),
_xlpm.MacVal,_xlfn.XLOOKUP($A866,Output_Mac!$A:$A,Output_Mac!C:C,""),
_xlpm.MyAuditVal,_xlfn.XLOOKUP($A866,My_Audit!$A:$A,My_Audit!D:D,""),
_xlfn.IFS(_xlpm.MyAuditVal&lt;&gt;"",_xlpm.MyAuditVal,_xlpm.MacVal&lt;&gt;"",_xlpm.MacVal,_xlpm.CSVVal&lt;&gt;"",_xlpm.CSVVal
)),"")</f>
        <v/>
      </c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6" t="str">
        <f>IF(LEFT(N866,4)="Pass","Nist SP 800-88",My_Audit!R866)&amp;""</f>
        <v/>
      </c>
      <c r="R866" s="45"/>
      <c r="S866" s="45"/>
      <c r="T866" s="46" t="str">
        <f>_xlfn.XLOOKUP(E866,Models!I:I,Models!J:J,"")</f>
        <v/>
      </c>
      <c r="U866" s="45"/>
      <c r="V866" s="45"/>
      <c r="W866" s="38"/>
    </row>
    <row r="867" spans="1:23">
      <c r="A867" s="45" t="str">
        <f>_xlfn.TEXTJOIN("",TRUE,Input!$B$2,ROW(My_Audit!A866))</f>
        <v>XX866</v>
      </c>
      <c r="B867" s="45"/>
      <c r="C867" s="45"/>
      <c r="D867" s="46" t="str">
        <f>_xlfn.XLOOKUP(A867,My_Audit!A:A,My_Audit!D:D,"")&amp;""</f>
        <v/>
      </c>
      <c r="E867" s="46" t="str" cm="1">
        <f t="array" ref="E867">IFERROR(_xlfn.LET(
_xlpm.CSVVal,_xlfn.XLOOKUP($A867,CSV!$A:$A,CSV!E:E,""),
_xlpm.MacVal,_xlfn.XLOOKUP($A867,Output_Mac!$A:$A,Output_Mac!C:C,""),
_xlpm.MyAuditVal,_xlfn.XLOOKUP($A867,My_Audit!$A:$A,My_Audit!D:D,""),
_xlfn.IFS(_xlpm.MyAuditVal&lt;&gt;"",_xlpm.MyAuditVal,_xlpm.MacVal&lt;&gt;"",_xlpm.MacVal,_xlpm.CSVVal&lt;&gt;"",_xlpm.CSVVal
)),"")</f>
        <v/>
      </c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6" t="str">
        <f>IF(LEFT(N867,4)="Pass","Nist SP 800-88",My_Audit!R867)&amp;""</f>
        <v/>
      </c>
      <c r="R867" s="45"/>
      <c r="S867" s="45"/>
      <c r="T867" s="46" t="str">
        <f>_xlfn.XLOOKUP(E867,Models!I:I,Models!J:J,"")</f>
        <v/>
      </c>
      <c r="U867" s="45"/>
      <c r="V867" s="45"/>
      <c r="W867" s="38"/>
    </row>
    <row r="868" spans="1:23">
      <c r="A868" s="45" t="str">
        <f>_xlfn.TEXTJOIN("",TRUE,Input!$B$2,ROW(My_Audit!A867))</f>
        <v>XX867</v>
      </c>
      <c r="B868" s="45"/>
      <c r="C868" s="45"/>
      <c r="D868" s="46" t="str">
        <f>_xlfn.XLOOKUP(A868,My_Audit!A:A,My_Audit!D:D,"")&amp;""</f>
        <v/>
      </c>
      <c r="E868" s="46" t="str" cm="1">
        <f t="array" ref="E868">IFERROR(_xlfn.LET(
_xlpm.CSVVal,_xlfn.XLOOKUP($A868,CSV!$A:$A,CSV!E:E,""),
_xlpm.MacVal,_xlfn.XLOOKUP($A868,Output_Mac!$A:$A,Output_Mac!C:C,""),
_xlpm.MyAuditVal,_xlfn.XLOOKUP($A868,My_Audit!$A:$A,My_Audit!D:D,""),
_xlfn.IFS(_xlpm.MyAuditVal&lt;&gt;"",_xlpm.MyAuditVal,_xlpm.MacVal&lt;&gt;"",_xlpm.MacVal,_xlpm.CSVVal&lt;&gt;"",_xlpm.CSVVal
)),"")</f>
        <v/>
      </c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6" t="str">
        <f>IF(LEFT(N868,4)="Pass","Nist SP 800-88",My_Audit!R868)&amp;""</f>
        <v/>
      </c>
      <c r="R868" s="45"/>
      <c r="S868" s="45"/>
      <c r="T868" s="46" t="str">
        <f>_xlfn.XLOOKUP(E868,Models!I:I,Models!J:J,"")</f>
        <v/>
      </c>
      <c r="U868" s="45"/>
      <c r="V868" s="45"/>
      <c r="W868" s="38"/>
    </row>
    <row r="869" spans="1:23">
      <c r="A869" s="45" t="str">
        <f>_xlfn.TEXTJOIN("",TRUE,Input!$B$2,ROW(My_Audit!A868))</f>
        <v>XX868</v>
      </c>
      <c r="B869" s="45"/>
      <c r="C869" s="45"/>
      <c r="D869" s="46" t="str">
        <f>_xlfn.XLOOKUP(A869,My_Audit!A:A,My_Audit!D:D,"")&amp;""</f>
        <v/>
      </c>
      <c r="E869" s="46" t="str" cm="1">
        <f t="array" ref="E869">IFERROR(_xlfn.LET(
_xlpm.CSVVal,_xlfn.XLOOKUP($A869,CSV!$A:$A,CSV!E:E,""),
_xlpm.MacVal,_xlfn.XLOOKUP($A869,Output_Mac!$A:$A,Output_Mac!C:C,""),
_xlpm.MyAuditVal,_xlfn.XLOOKUP($A869,My_Audit!$A:$A,My_Audit!D:D,""),
_xlfn.IFS(_xlpm.MyAuditVal&lt;&gt;"",_xlpm.MyAuditVal,_xlpm.MacVal&lt;&gt;"",_xlpm.MacVal,_xlpm.CSVVal&lt;&gt;"",_xlpm.CSVVal
)),"")</f>
        <v/>
      </c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6" t="str">
        <f>IF(LEFT(N869,4)="Pass","Nist SP 800-88",My_Audit!R869)&amp;""</f>
        <v/>
      </c>
      <c r="R869" s="45"/>
      <c r="S869" s="45"/>
      <c r="T869" s="46" t="str">
        <f>_xlfn.XLOOKUP(E869,Models!I:I,Models!J:J,"")</f>
        <v/>
      </c>
      <c r="U869" s="45"/>
      <c r="V869" s="45"/>
      <c r="W869" s="38"/>
    </row>
    <row r="870" spans="1:23">
      <c r="A870" s="45" t="str">
        <f>_xlfn.TEXTJOIN("",TRUE,Input!$B$2,ROW(My_Audit!A869))</f>
        <v>XX869</v>
      </c>
      <c r="B870" s="45"/>
      <c r="C870" s="45"/>
      <c r="D870" s="46" t="str">
        <f>_xlfn.XLOOKUP(A870,My_Audit!A:A,My_Audit!D:D,"")&amp;""</f>
        <v/>
      </c>
      <c r="E870" s="46" t="str" cm="1">
        <f t="array" ref="E870">IFERROR(_xlfn.LET(
_xlpm.CSVVal,_xlfn.XLOOKUP($A870,CSV!$A:$A,CSV!E:E,""),
_xlpm.MacVal,_xlfn.XLOOKUP($A870,Output_Mac!$A:$A,Output_Mac!C:C,""),
_xlpm.MyAuditVal,_xlfn.XLOOKUP($A870,My_Audit!$A:$A,My_Audit!D:D,""),
_xlfn.IFS(_xlpm.MyAuditVal&lt;&gt;"",_xlpm.MyAuditVal,_xlpm.MacVal&lt;&gt;"",_xlpm.MacVal,_xlpm.CSVVal&lt;&gt;"",_xlpm.CSVVal
)),"")</f>
        <v/>
      </c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6" t="str">
        <f>IF(LEFT(N870,4)="Pass","Nist SP 800-88",My_Audit!R870)&amp;""</f>
        <v/>
      </c>
      <c r="R870" s="45"/>
      <c r="S870" s="45"/>
      <c r="T870" s="46" t="str">
        <f>_xlfn.XLOOKUP(E870,Models!I:I,Models!J:J,"")</f>
        <v/>
      </c>
      <c r="U870" s="45"/>
      <c r="V870" s="45"/>
      <c r="W870" s="38"/>
    </row>
    <row r="871" spans="1:23">
      <c r="A871" s="45" t="str">
        <f>_xlfn.TEXTJOIN("",TRUE,Input!$B$2,ROW(My_Audit!A870))</f>
        <v>XX870</v>
      </c>
      <c r="B871" s="45"/>
      <c r="C871" s="45"/>
      <c r="D871" s="46" t="str">
        <f>_xlfn.XLOOKUP(A871,My_Audit!A:A,My_Audit!D:D,"")&amp;""</f>
        <v/>
      </c>
      <c r="E871" s="46" t="str" cm="1">
        <f t="array" ref="E871">IFERROR(_xlfn.LET(
_xlpm.CSVVal,_xlfn.XLOOKUP($A871,CSV!$A:$A,CSV!E:E,""),
_xlpm.MacVal,_xlfn.XLOOKUP($A871,Output_Mac!$A:$A,Output_Mac!C:C,""),
_xlpm.MyAuditVal,_xlfn.XLOOKUP($A871,My_Audit!$A:$A,My_Audit!D:D,""),
_xlfn.IFS(_xlpm.MyAuditVal&lt;&gt;"",_xlpm.MyAuditVal,_xlpm.MacVal&lt;&gt;"",_xlpm.MacVal,_xlpm.CSVVal&lt;&gt;"",_xlpm.CSVVal
)),"")</f>
        <v/>
      </c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6" t="str">
        <f>IF(LEFT(N871,4)="Pass","Nist SP 800-88",My_Audit!R871)&amp;""</f>
        <v/>
      </c>
      <c r="R871" s="45"/>
      <c r="S871" s="45"/>
      <c r="T871" s="46" t="str">
        <f>_xlfn.XLOOKUP(E871,Models!I:I,Models!J:J,"")</f>
        <v/>
      </c>
      <c r="U871" s="45"/>
      <c r="V871" s="45"/>
      <c r="W871" s="38"/>
    </row>
    <row r="872" spans="1:23">
      <c r="A872" s="45" t="str">
        <f>_xlfn.TEXTJOIN("",TRUE,Input!$B$2,ROW(My_Audit!A871))</f>
        <v>XX871</v>
      </c>
      <c r="B872" s="45"/>
      <c r="C872" s="45"/>
      <c r="D872" s="46" t="str">
        <f>_xlfn.XLOOKUP(A872,My_Audit!A:A,My_Audit!D:D,"")&amp;""</f>
        <v/>
      </c>
      <c r="E872" s="46" t="str" cm="1">
        <f t="array" ref="E872">IFERROR(_xlfn.LET(
_xlpm.CSVVal,_xlfn.XLOOKUP($A872,CSV!$A:$A,CSV!E:E,""),
_xlpm.MacVal,_xlfn.XLOOKUP($A872,Output_Mac!$A:$A,Output_Mac!C:C,""),
_xlpm.MyAuditVal,_xlfn.XLOOKUP($A872,My_Audit!$A:$A,My_Audit!D:D,""),
_xlfn.IFS(_xlpm.MyAuditVal&lt;&gt;"",_xlpm.MyAuditVal,_xlpm.MacVal&lt;&gt;"",_xlpm.MacVal,_xlpm.CSVVal&lt;&gt;"",_xlpm.CSVVal
)),"")</f>
        <v/>
      </c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6" t="str">
        <f>IF(LEFT(N872,4)="Pass","Nist SP 800-88",My_Audit!R872)&amp;""</f>
        <v/>
      </c>
      <c r="R872" s="45"/>
      <c r="S872" s="45"/>
      <c r="T872" s="46" t="str">
        <f>_xlfn.XLOOKUP(E872,Models!I:I,Models!J:J,"")</f>
        <v/>
      </c>
      <c r="U872" s="45"/>
      <c r="V872" s="45"/>
      <c r="W872" s="38"/>
    </row>
    <row r="873" spans="1:23">
      <c r="A873" s="45" t="str">
        <f>_xlfn.TEXTJOIN("",TRUE,Input!$B$2,ROW(My_Audit!A872))</f>
        <v>XX872</v>
      </c>
      <c r="B873" s="45"/>
      <c r="C873" s="45"/>
      <c r="D873" s="46" t="str">
        <f>_xlfn.XLOOKUP(A873,My_Audit!A:A,My_Audit!D:D,"")&amp;""</f>
        <v/>
      </c>
      <c r="E873" s="46" t="str" cm="1">
        <f t="array" ref="E873">IFERROR(_xlfn.LET(
_xlpm.CSVVal,_xlfn.XLOOKUP($A873,CSV!$A:$A,CSV!E:E,""),
_xlpm.MacVal,_xlfn.XLOOKUP($A873,Output_Mac!$A:$A,Output_Mac!C:C,""),
_xlpm.MyAuditVal,_xlfn.XLOOKUP($A873,My_Audit!$A:$A,My_Audit!D:D,""),
_xlfn.IFS(_xlpm.MyAuditVal&lt;&gt;"",_xlpm.MyAuditVal,_xlpm.MacVal&lt;&gt;"",_xlpm.MacVal,_xlpm.CSVVal&lt;&gt;"",_xlpm.CSVVal
)),"")</f>
        <v/>
      </c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6" t="str">
        <f>IF(LEFT(N873,4)="Pass","Nist SP 800-88",My_Audit!R873)&amp;""</f>
        <v/>
      </c>
      <c r="R873" s="45"/>
      <c r="S873" s="45"/>
      <c r="T873" s="46" t="str">
        <f>_xlfn.XLOOKUP(E873,Models!I:I,Models!J:J,"")</f>
        <v/>
      </c>
      <c r="U873" s="45"/>
      <c r="V873" s="45"/>
      <c r="W873" s="38"/>
    </row>
    <row r="874" spans="1:23">
      <c r="A874" s="45" t="str">
        <f>_xlfn.TEXTJOIN("",TRUE,Input!$B$2,ROW(My_Audit!A873))</f>
        <v>XX873</v>
      </c>
      <c r="B874" s="45"/>
      <c r="C874" s="45"/>
      <c r="D874" s="46" t="str">
        <f>_xlfn.XLOOKUP(A874,My_Audit!A:A,My_Audit!D:D,"")&amp;""</f>
        <v/>
      </c>
      <c r="E874" s="46" t="str" cm="1">
        <f t="array" ref="E874">IFERROR(_xlfn.LET(
_xlpm.CSVVal,_xlfn.XLOOKUP($A874,CSV!$A:$A,CSV!E:E,""),
_xlpm.MacVal,_xlfn.XLOOKUP($A874,Output_Mac!$A:$A,Output_Mac!C:C,""),
_xlpm.MyAuditVal,_xlfn.XLOOKUP($A874,My_Audit!$A:$A,My_Audit!D:D,""),
_xlfn.IFS(_xlpm.MyAuditVal&lt;&gt;"",_xlpm.MyAuditVal,_xlpm.MacVal&lt;&gt;"",_xlpm.MacVal,_xlpm.CSVVal&lt;&gt;"",_xlpm.CSVVal
)),"")</f>
        <v/>
      </c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6" t="str">
        <f>IF(LEFT(N874,4)="Pass","Nist SP 800-88",My_Audit!R874)&amp;""</f>
        <v/>
      </c>
      <c r="R874" s="45"/>
      <c r="S874" s="45"/>
      <c r="T874" s="46" t="str">
        <f>_xlfn.XLOOKUP(E874,Models!I:I,Models!J:J,"")</f>
        <v/>
      </c>
      <c r="U874" s="45"/>
      <c r="V874" s="45"/>
      <c r="W874" s="38"/>
    </row>
    <row r="875" spans="1:23">
      <c r="A875" s="45" t="str">
        <f>_xlfn.TEXTJOIN("",TRUE,Input!$B$2,ROW(My_Audit!A874))</f>
        <v>XX874</v>
      </c>
      <c r="B875" s="45"/>
      <c r="C875" s="45"/>
      <c r="D875" s="46" t="str">
        <f>_xlfn.XLOOKUP(A875,My_Audit!A:A,My_Audit!D:D,"")&amp;""</f>
        <v/>
      </c>
      <c r="E875" s="46" t="str" cm="1">
        <f t="array" ref="E875">IFERROR(_xlfn.LET(
_xlpm.CSVVal,_xlfn.XLOOKUP($A875,CSV!$A:$A,CSV!E:E,""),
_xlpm.MacVal,_xlfn.XLOOKUP($A875,Output_Mac!$A:$A,Output_Mac!C:C,""),
_xlpm.MyAuditVal,_xlfn.XLOOKUP($A875,My_Audit!$A:$A,My_Audit!D:D,""),
_xlfn.IFS(_xlpm.MyAuditVal&lt;&gt;"",_xlpm.MyAuditVal,_xlpm.MacVal&lt;&gt;"",_xlpm.MacVal,_xlpm.CSVVal&lt;&gt;"",_xlpm.CSVVal
)),"")</f>
        <v/>
      </c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6" t="str">
        <f>IF(LEFT(N875,4)="Pass","Nist SP 800-88",My_Audit!R875)&amp;""</f>
        <v/>
      </c>
      <c r="R875" s="45"/>
      <c r="S875" s="45"/>
      <c r="T875" s="46" t="str">
        <f>_xlfn.XLOOKUP(E875,Models!I:I,Models!J:J,"")</f>
        <v/>
      </c>
      <c r="U875" s="45"/>
      <c r="V875" s="45"/>
      <c r="W875" s="38"/>
    </row>
    <row r="876" spans="1:23">
      <c r="A876" s="45" t="str">
        <f>_xlfn.TEXTJOIN("",TRUE,Input!$B$2,ROW(My_Audit!A875))</f>
        <v>XX875</v>
      </c>
      <c r="B876" s="45"/>
      <c r="C876" s="45"/>
      <c r="D876" s="46" t="str">
        <f>_xlfn.XLOOKUP(A876,My_Audit!A:A,My_Audit!D:D,"")&amp;""</f>
        <v/>
      </c>
      <c r="E876" s="46" t="str" cm="1">
        <f t="array" ref="E876">IFERROR(_xlfn.LET(
_xlpm.CSVVal,_xlfn.XLOOKUP($A876,CSV!$A:$A,CSV!E:E,""),
_xlpm.MacVal,_xlfn.XLOOKUP($A876,Output_Mac!$A:$A,Output_Mac!C:C,""),
_xlpm.MyAuditVal,_xlfn.XLOOKUP($A876,My_Audit!$A:$A,My_Audit!D:D,""),
_xlfn.IFS(_xlpm.MyAuditVal&lt;&gt;"",_xlpm.MyAuditVal,_xlpm.MacVal&lt;&gt;"",_xlpm.MacVal,_xlpm.CSVVal&lt;&gt;"",_xlpm.CSVVal
)),"")</f>
        <v/>
      </c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6" t="str">
        <f>IF(LEFT(N876,4)="Pass","Nist SP 800-88",My_Audit!R876)&amp;""</f>
        <v/>
      </c>
      <c r="R876" s="45"/>
      <c r="S876" s="45"/>
      <c r="T876" s="46" t="str">
        <f>_xlfn.XLOOKUP(E876,Models!I:I,Models!J:J,"")</f>
        <v/>
      </c>
      <c r="U876" s="45"/>
      <c r="V876" s="45"/>
      <c r="W876" s="38"/>
    </row>
    <row r="877" spans="1:23">
      <c r="A877" s="45" t="str">
        <f>_xlfn.TEXTJOIN("",TRUE,Input!$B$2,ROW(My_Audit!A876))</f>
        <v>XX876</v>
      </c>
      <c r="B877" s="45"/>
      <c r="C877" s="45"/>
      <c r="D877" s="46" t="str">
        <f>_xlfn.XLOOKUP(A877,My_Audit!A:A,My_Audit!D:D,"")&amp;""</f>
        <v/>
      </c>
      <c r="E877" s="46" t="str" cm="1">
        <f t="array" ref="E877">IFERROR(_xlfn.LET(
_xlpm.CSVVal,_xlfn.XLOOKUP($A877,CSV!$A:$A,CSV!E:E,""),
_xlpm.MacVal,_xlfn.XLOOKUP($A877,Output_Mac!$A:$A,Output_Mac!C:C,""),
_xlpm.MyAuditVal,_xlfn.XLOOKUP($A877,My_Audit!$A:$A,My_Audit!D:D,""),
_xlfn.IFS(_xlpm.MyAuditVal&lt;&gt;"",_xlpm.MyAuditVal,_xlpm.MacVal&lt;&gt;"",_xlpm.MacVal,_xlpm.CSVVal&lt;&gt;"",_xlpm.CSVVal
)),"")</f>
        <v/>
      </c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6" t="str">
        <f>IF(LEFT(N877,4)="Pass","Nist SP 800-88",My_Audit!R877)&amp;""</f>
        <v/>
      </c>
      <c r="R877" s="45"/>
      <c r="S877" s="45"/>
      <c r="T877" s="46" t="str">
        <f>_xlfn.XLOOKUP(E877,Models!I:I,Models!J:J,"")</f>
        <v/>
      </c>
      <c r="U877" s="45"/>
      <c r="V877" s="45"/>
      <c r="W877" s="38"/>
    </row>
    <row r="878" spans="1:23">
      <c r="A878" s="45" t="str">
        <f>_xlfn.TEXTJOIN("",TRUE,Input!$B$2,ROW(My_Audit!A877))</f>
        <v>XX877</v>
      </c>
      <c r="B878" s="45"/>
      <c r="C878" s="45"/>
      <c r="D878" s="46" t="str">
        <f>_xlfn.XLOOKUP(A878,My_Audit!A:A,My_Audit!D:D,"")&amp;""</f>
        <v/>
      </c>
      <c r="E878" s="46" t="str" cm="1">
        <f t="array" ref="E878">IFERROR(_xlfn.LET(
_xlpm.CSVVal,_xlfn.XLOOKUP($A878,CSV!$A:$A,CSV!E:E,""),
_xlpm.MacVal,_xlfn.XLOOKUP($A878,Output_Mac!$A:$A,Output_Mac!C:C,""),
_xlpm.MyAuditVal,_xlfn.XLOOKUP($A878,My_Audit!$A:$A,My_Audit!D:D,""),
_xlfn.IFS(_xlpm.MyAuditVal&lt;&gt;"",_xlpm.MyAuditVal,_xlpm.MacVal&lt;&gt;"",_xlpm.MacVal,_xlpm.CSVVal&lt;&gt;"",_xlpm.CSVVal
)),"")</f>
        <v/>
      </c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6" t="str">
        <f>IF(LEFT(N878,4)="Pass","Nist SP 800-88",My_Audit!R878)&amp;""</f>
        <v/>
      </c>
      <c r="R878" s="45"/>
      <c r="S878" s="45"/>
      <c r="T878" s="46" t="str">
        <f>_xlfn.XLOOKUP(E878,Models!I:I,Models!J:J,"")</f>
        <v/>
      </c>
      <c r="U878" s="45"/>
      <c r="V878" s="45"/>
      <c r="W878" s="38"/>
    </row>
    <row r="879" spans="1:23">
      <c r="A879" s="45" t="str">
        <f>_xlfn.TEXTJOIN("",TRUE,Input!$B$2,ROW(My_Audit!A878))</f>
        <v>XX878</v>
      </c>
      <c r="B879" s="45"/>
      <c r="C879" s="45"/>
      <c r="D879" s="46" t="str">
        <f>_xlfn.XLOOKUP(A879,My_Audit!A:A,My_Audit!D:D,"")&amp;""</f>
        <v/>
      </c>
      <c r="E879" s="46" t="str" cm="1">
        <f t="array" ref="E879">IFERROR(_xlfn.LET(
_xlpm.CSVVal,_xlfn.XLOOKUP($A879,CSV!$A:$A,CSV!E:E,""),
_xlpm.MacVal,_xlfn.XLOOKUP($A879,Output_Mac!$A:$A,Output_Mac!C:C,""),
_xlpm.MyAuditVal,_xlfn.XLOOKUP($A879,My_Audit!$A:$A,My_Audit!D:D,""),
_xlfn.IFS(_xlpm.MyAuditVal&lt;&gt;"",_xlpm.MyAuditVal,_xlpm.MacVal&lt;&gt;"",_xlpm.MacVal,_xlpm.CSVVal&lt;&gt;"",_xlpm.CSVVal
)),"")</f>
        <v/>
      </c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6" t="str">
        <f>IF(LEFT(N879,4)="Pass","Nist SP 800-88",My_Audit!R879)&amp;""</f>
        <v/>
      </c>
      <c r="R879" s="45"/>
      <c r="S879" s="45"/>
      <c r="T879" s="46" t="str">
        <f>_xlfn.XLOOKUP(E879,Models!I:I,Models!J:J,"")</f>
        <v/>
      </c>
      <c r="U879" s="45"/>
      <c r="V879" s="45"/>
      <c r="W879" s="38"/>
    </row>
    <row r="880" spans="1:23">
      <c r="A880" s="45" t="str">
        <f>_xlfn.TEXTJOIN("",TRUE,Input!$B$2,ROW(My_Audit!A879))</f>
        <v>XX879</v>
      </c>
      <c r="B880" s="45"/>
      <c r="C880" s="45"/>
      <c r="D880" s="46" t="str">
        <f>_xlfn.XLOOKUP(A880,My_Audit!A:A,My_Audit!D:D,"")&amp;""</f>
        <v/>
      </c>
      <c r="E880" s="46" t="str" cm="1">
        <f t="array" ref="E880">IFERROR(_xlfn.LET(
_xlpm.CSVVal,_xlfn.XLOOKUP($A880,CSV!$A:$A,CSV!E:E,""),
_xlpm.MacVal,_xlfn.XLOOKUP($A880,Output_Mac!$A:$A,Output_Mac!C:C,""),
_xlpm.MyAuditVal,_xlfn.XLOOKUP($A880,My_Audit!$A:$A,My_Audit!D:D,""),
_xlfn.IFS(_xlpm.MyAuditVal&lt;&gt;"",_xlpm.MyAuditVal,_xlpm.MacVal&lt;&gt;"",_xlpm.MacVal,_xlpm.CSVVal&lt;&gt;"",_xlpm.CSVVal
)),"")</f>
        <v/>
      </c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6" t="str">
        <f>IF(LEFT(N880,4)="Pass","Nist SP 800-88",My_Audit!R880)&amp;""</f>
        <v/>
      </c>
      <c r="R880" s="45"/>
      <c r="S880" s="45"/>
      <c r="T880" s="46" t="str">
        <f>_xlfn.XLOOKUP(E880,Models!I:I,Models!J:J,"")</f>
        <v/>
      </c>
      <c r="U880" s="45"/>
      <c r="V880" s="45"/>
      <c r="W880" s="38"/>
    </row>
    <row r="881" spans="1:23">
      <c r="A881" s="45" t="str">
        <f>_xlfn.TEXTJOIN("",TRUE,Input!$B$2,ROW(My_Audit!A880))</f>
        <v>XX880</v>
      </c>
      <c r="B881" s="45"/>
      <c r="C881" s="45"/>
      <c r="D881" s="46" t="str">
        <f>_xlfn.XLOOKUP(A881,My_Audit!A:A,My_Audit!D:D,"")&amp;""</f>
        <v/>
      </c>
      <c r="E881" s="46" t="str" cm="1">
        <f t="array" ref="E881">IFERROR(_xlfn.LET(
_xlpm.CSVVal,_xlfn.XLOOKUP($A881,CSV!$A:$A,CSV!E:E,""),
_xlpm.MacVal,_xlfn.XLOOKUP($A881,Output_Mac!$A:$A,Output_Mac!C:C,""),
_xlpm.MyAuditVal,_xlfn.XLOOKUP($A881,My_Audit!$A:$A,My_Audit!D:D,""),
_xlfn.IFS(_xlpm.MyAuditVal&lt;&gt;"",_xlpm.MyAuditVal,_xlpm.MacVal&lt;&gt;"",_xlpm.MacVal,_xlpm.CSVVal&lt;&gt;"",_xlpm.CSVVal
)),"")</f>
        <v/>
      </c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6" t="str">
        <f>IF(LEFT(N881,4)="Pass","Nist SP 800-88",My_Audit!R881)&amp;""</f>
        <v/>
      </c>
      <c r="R881" s="45"/>
      <c r="S881" s="45"/>
      <c r="T881" s="46" t="str">
        <f>_xlfn.XLOOKUP(E881,Models!I:I,Models!J:J,"")</f>
        <v/>
      </c>
      <c r="U881" s="45"/>
      <c r="V881" s="45"/>
      <c r="W881" s="38"/>
    </row>
    <row r="882" spans="1:23">
      <c r="A882" s="45" t="str">
        <f>_xlfn.TEXTJOIN("",TRUE,Input!$B$2,ROW(My_Audit!A881))</f>
        <v>XX881</v>
      </c>
      <c r="B882" s="45"/>
      <c r="C882" s="45"/>
      <c r="D882" s="46" t="str">
        <f>_xlfn.XLOOKUP(A882,My_Audit!A:A,My_Audit!D:D,"")&amp;""</f>
        <v/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6" t="str">
        <f>IF(LEFT(N882,4)="Pass","Nist SP 800-88",My_Audit!R882)&amp;""</f>
        <v/>
      </c>
      <c r="R882" s="45"/>
      <c r="S882" s="45"/>
      <c r="T882" s="46" t="str">
        <f>_xlfn.XLOOKUP(E882,Models!I:I,Models!J:J,"")</f>
        <v/>
      </c>
      <c r="U882" s="45"/>
      <c r="V882" s="45"/>
      <c r="W882" s="38"/>
    </row>
    <row r="883" spans="1:23">
      <c r="A883" s="45" t="str">
        <f>_xlfn.TEXTJOIN("",TRUE,Input!$B$2,ROW(My_Audit!A882))</f>
        <v>XX882</v>
      </c>
      <c r="B883" s="45"/>
      <c r="C883" s="45"/>
      <c r="D883" s="46" t="str">
        <f>_xlfn.XLOOKUP(A883,My_Audit!A:A,My_Audit!D:D,"")&amp;""</f>
        <v/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6" t="str">
        <f>IF(LEFT(N883,4)="Pass","Nist SP 800-88",My_Audit!R883)&amp;""</f>
        <v/>
      </c>
      <c r="R883" s="45"/>
      <c r="S883" s="45"/>
      <c r="T883" s="46" t="str">
        <f>_xlfn.XLOOKUP(E883,Models!I:I,Models!J:J,"")</f>
        <v/>
      </c>
      <c r="U883" s="45"/>
      <c r="V883" s="45"/>
      <c r="W883" s="38"/>
    </row>
    <row r="884" spans="1:23">
      <c r="A884" s="45" t="str">
        <f>_xlfn.TEXTJOIN("",TRUE,Input!$B$2,ROW(My_Audit!A883))</f>
        <v>XX883</v>
      </c>
      <c r="B884" s="45"/>
      <c r="C884" s="45"/>
      <c r="D884" s="46" t="str">
        <f>_xlfn.XLOOKUP(A884,My_Audit!A:A,My_Audit!D:D,"")&amp;""</f>
        <v/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6" t="str">
        <f>IF(LEFT(N884,4)="Pass","Nist SP 800-88",My_Audit!R884)&amp;""</f>
        <v/>
      </c>
      <c r="R884" s="45"/>
      <c r="S884" s="45"/>
      <c r="T884" s="46" t="str">
        <f>_xlfn.XLOOKUP(E884,Models!I:I,Models!J:J,"")</f>
        <v/>
      </c>
      <c r="U884" s="45"/>
      <c r="V884" s="45"/>
      <c r="W884" s="38"/>
    </row>
    <row r="885" spans="1:23">
      <c r="A885" s="45" t="str">
        <f>_xlfn.TEXTJOIN("",TRUE,Input!$B$2,ROW(My_Audit!A884))</f>
        <v>XX884</v>
      </c>
      <c r="B885" s="45"/>
      <c r="C885" s="45"/>
      <c r="D885" s="46" t="str">
        <f>_xlfn.XLOOKUP(A885,My_Audit!A:A,My_Audit!D:D,"")&amp;""</f>
        <v/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6" t="str">
        <f>IF(LEFT(N885,4)="Pass","Nist SP 800-88",My_Audit!R885)&amp;""</f>
        <v/>
      </c>
      <c r="R885" s="45"/>
      <c r="S885" s="45"/>
      <c r="T885" s="46" t="str">
        <f>_xlfn.XLOOKUP(E885,Models!I:I,Models!J:J,"")</f>
        <v/>
      </c>
      <c r="U885" s="45"/>
      <c r="V885" s="45"/>
      <c r="W885" s="38"/>
    </row>
    <row r="886" spans="1:23">
      <c r="A886" s="45" t="str">
        <f>_xlfn.TEXTJOIN("",TRUE,Input!$B$2,ROW(My_Audit!A885))</f>
        <v>XX885</v>
      </c>
      <c r="B886" s="45"/>
      <c r="C886" s="45"/>
      <c r="D886" s="46" t="str">
        <f>_xlfn.XLOOKUP(A886,My_Audit!A:A,My_Audit!D:D,"")&amp;""</f>
        <v/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6" t="str">
        <f>IF(LEFT(N886,4)="Pass","Nist SP 800-88",My_Audit!R886)&amp;""</f>
        <v/>
      </c>
      <c r="R886" s="45"/>
      <c r="S886" s="45"/>
      <c r="T886" s="46" t="str">
        <f>_xlfn.XLOOKUP(E886,Models!I:I,Models!J:J,"")</f>
        <v/>
      </c>
      <c r="U886" s="45"/>
      <c r="V886" s="45"/>
      <c r="W886" s="38"/>
    </row>
    <row r="887" spans="1:23">
      <c r="A887" s="45" t="str">
        <f>_xlfn.TEXTJOIN("",TRUE,Input!$B$2,ROW(My_Audit!A886))</f>
        <v>XX886</v>
      </c>
      <c r="B887" s="45"/>
      <c r="C887" s="45"/>
      <c r="D887" s="46" t="str">
        <f>_xlfn.XLOOKUP(A887,My_Audit!A:A,My_Audit!D:D,"")&amp;""</f>
        <v/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6" t="str">
        <f>IF(LEFT(N887,4)="Pass","Nist SP 800-88",My_Audit!R887)&amp;""</f>
        <v/>
      </c>
      <c r="R887" s="45"/>
      <c r="S887" s="45"/>
      <c r="T887" s="46" t="str">
        <f>_xlfn.XLOOKUP(E887,Models!I:I,Models!J:J,"")</f>
        <v/>
      </c>
      <c r="U887" s="45"/>
      <c r="V887" s="45"/>
      <c r="W887" s="38"/>
    </row>
    <row r="888" spans="1:23">
      <c r="A888" s="45" t="str">
        <f>_xlfn.TEXTJOIN("",TRUE,Input!$B$2,ROW(My_Audit!A887))</f>
        <v>XX887</v>
      </c>
      <c r="B888" s="45"/>
      <c r="C888" s="45"/>
      <c r="D888" s="46" t="str">
        <f>_xlfn.XLOOKUP(A888,My_Audit!A:A,My_Audit!D:D,"")&amp;""</f>
        <v/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6" t="str">
        <f>IF(LEFT(N888,4)="Pass","Nist SP 800-88",My_Audit!R888)&amp;""</f>
        <v/>
      </c>
      <c r="R888" s="45"/>
      <c r="S888" s="45"/>
      <c r="T888" s="46" t="str">
        <f>_xlfn.XLOOKUP(E888,Models!I:I,Models!J:J,"")</f>
        <v/>
      </c>
      <c r="U888" s="45"/>
      <c r="V888" s="45"/>
      <c r="W888" s="38"/>
    </row>
    <row r="889" spans="1:23">
      <c r="A889" s="45" t="str">
        <f>_xlfn.TEXTJOIN("",TRUE,Input!$B$2,ROW(My_Audit!A888))</f>
        <v>XX888</v>
      </c>
      <c r="B889" s="45"/>
      <c r="C889" s="45"/>
      <c r="D889" s="46" t="str">
        <f>_xlfn.XLOOKUP(A889,My_Audit!A:A,My_Audit!D:D,"")&amp;""</f>
        <v/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6" t="str">
        <f>IF(LEFT(N889,4)="Pass","Nist SP 800-88",My_Audit!R889)&amp;""</f>
        <v/>
      </c>
      <c r="R889" s="45"/>
      <c r="S889" s="45"/>
      <c r="T889" s="46" t="str">
        <f>_xlfn.XLOOKUP(E889,Models!I:I,Models!J:J,"")</f>
        <v/>
      </c>
      <c r="U889" s="45"/>
      <c r="V889" s="45"/>
      <c r="W889" s="38"/>
    </row>
    <row r="890" spans="1:23">
      <c r="A890" s="45" t="str">
        <f>_xlfn.TEXTJOIN("",TRUE,Input!$B$2,ROW(My_Audit!A889))</f>
        <v>XX889</v>
      </c>
      <c r="B890" s="45"/>
      <c r="C890" s="45"/>
      <c r="D890" s="46" t="str">
        <f>_xlfn.XLOOKUP(A890,My_Audit!A:A,My_Audit!D:D,"")&amp;""</f>
        <v/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6" t="str">
        <f>IF(LEFT(N890,4)="Pass","Nist SP 800-88",My_Audit!R890)&amp;""</f>
        <v/>
      </c>
      <c r="R890" s="45"/>
      <c r="S890" s="45"/>
      <c r="T890" s="46" t="str">
        <f>_xlfn.XLOOKUP(E890,Models!I:I,Models!J:J,"")</f>
        <v/>
      </c>
      <c r="U890" s="45"/>
      <c r="V890" s="45"/>
      <c r="W890" s="38"/>
    </row>
    <row r="891" spans="1:23">
      <c r="A891" s="45" t="str">
        <f>_xlfn.TEXTJOIN("",TRUE,Input!$B$2,ROW(My_Audit!A890))</f>
        <v>XX890</v>
      </c>
      <c r="B891" s="45"/>
      <c r="C891" s="45"/>
      <c r="D891" s="46" t="str">
        <f>_xlfn.XLOOKUP(A891,My_Audit!A:A,My_Audit!D:D,"")&amp;""</f>
        <v/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6" t="str">
        <f>IF(LEFT(N891,4)="Pass","Nist SP 800-88",My_Audit!R891)&amp;""</f>
        <v/>
      </c>
      <c r="R891" s="45"/>
      <c r="S891" s="45"/>
      <c r="T891" s="46" t="str">
        <f>_xlfn.XLOOKUP(E891,Models!I:I,Models!J:J,"")</f>
        <v/>
      </c>
      <c r="U891" s="45"/>
      <c r="V891" s="45"/>
      <c r="W891" s="38"/>
    </row>
    <row r="892" spans="1:23">
      <c r="A892" s="45" t="str">
        <f>_xlfn.TEXTJOIN("",TRUE,Input!$B$2,ROW(My_Audit!A891))</f>
        <v>XX891</v>
      </c>
      <c r="B892" s="45"/>
      <c r="C892" s="45"/>
      <c r="D892" s="46" t="str">
        <f>_xlfn.XLOOKUP(A892,My_Audit!A:A,My_Audit!D:D,"")&amp;""</f>
        <v/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6" t="str">
        <f>IF(LEFT(N892,4)="Pass","Nist SP 800-88",My_Audit!R892)&amp;""</f>
        <v/>
      </c>
      <c r="R892" s="45"/>
      <c r="S892" s="45"/>
      <c r="T892" s="46" t="str">
        <f>_xlfn.XLOOKUP(E892,Models!I:I,Models!J:J,"")</f>
        <v/>
      </c>
      <c r="U892" s="45"/>
      <c r="V892" s="45"/>
      <c r="W892" s="38"/>
    </row>
    <row r="893" spans="1:23">
      <c r="A893" s="45" t="str">
        <f>_xlfn.TEXTJOIN("",TRUE,Input!$B$2,ROW(My_Audit!A892))</f>
        <v>XX892</v>
      </c>
      <c r="B893" s="45"/>
      <c r="C893" s="45"/>
      <c r="D893" s="46" t="str">
        <f>_xlfn.XLOOKUP(A893,My_Audit!A:A,My_Audit!D:D,"")&amp;""</f>
        <v/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6" t="str">
        <f>IF(LEFT(N893,4)="Pass","Nist SP 800-88",My_Audit!R893)&amp;""</f>
        <v/>
      </c>
      <c r="R893" s="45"/>
      <c r="S893" s="45"/>
      <c r="T893" s="46" t="str">
        <f>_xlfn.XLOOKUP(E893,Models!I:I,Models!J:J,"")</f>
        <v/>
      </c>
      <c r="U893" s="45"/>
      <c r="V893" s="45"/>
      <c r="W893" s="38"/>
    </row>
    <row r="894" spans="1:23">
      <c r="A894" s="45" t="str">
        <f>_xlfn.TEXTJOIN("",TRUE,Input!$B$2,ROW(My_Audit!A893))</f>
        <v>XX893</v>
      </c>
      <c r="B894" s="45"/>
      <c r="C894" s="45"/>
      <c r="D894" s="46" t="str">
        <f>_xlfn.XLOOKUP(A894,My_Audit!A:A,My_Audit!D:D,"")&amp;""</f>
        <v/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6" t="str">
        <f>IF(LEFT(N894,4)="Pass","Nist SP 800-88",My_Audit!R894)&amp;""</f>
        <v/>
      </c>
      <c r="R894" s="45"/>
      <c r="S894" s="45"/>
      <c r="T894" s="46" t="str">
        <f>_xlfn.XLOOKUP(E894,Models!I:I,Models!J:J,"")</f>
        <v/>
      </c>
      <c r="U894" s="45"/>
      <c r="V894" s="45"/>
      <c r="W894" s="38"/>
    </row>
    <row r="895" spans="1:23">
      <c r="A895" s="45" t="str">
        <f>_xlfn.TEXTJOIN("",TRUE,Input!$B$2,ROW(My_Audit!A894))</f>
        <v>XX894</v>
      </c>
      <c r="B895" s="45"/>
      <c r="C895" s="45"/>
      <c r="D895" s="46" t="str">
        <f>_xlfn.XLOOKUP(A895,My_Audit!A:A,My_Audit!D:D,"")&amp;""</f>
        <v/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6" t="str">
        <f>IF(LEFT(N895,4)="Pass","Nist SP 800-88",My_Audit!R895)&amp;""</f>
        <v/>
      </c>
      <c r="R895" s="45"/>
      <c r="S895" s="45"/>
      <c r="T895" s="46" t="str">
        <f>_xlfn.XLOOKUP(E895,Models!I:I,Models!J:J,"")</f>
        <v/>
      </c>
      <c r="U895" s="45"/>
      <c r="V895" s="45"/>
      <c r="W895" s="38"/>
    </row>
    <row r="896" spans="1:23">
      <c r="A896" s="45" t="str">
        <f>_xlfn.TEXTJOIN("",TRUE,Input!$B$2,ROW(My_Audit!A895))</f>
        <v>XX895</v>
      </c>
      <c r="B896" s="45"/>
      <c r="C896" s="45"/>
      <c r="D896" s="46" t="str">
        <f>_xlfn.XLOOKUP(A896,My_Audit!A:A,My_Audit!D:D,"")&amp;""</f>
        <v/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6" t="str">
        <f>IF(LEFT(N896,4)="Pass","Nist SP 800-88",My_Audit!R896)&amp;""</f>
        <v/>
      </c>
      <c r="R896" s="45"/>
      <c r="S896" s="45"/>
      <c r="T896" s="46" t="str">
        <f>_xlfn.XLOOKUP(E896,Models!I:I,Models!J:J,"")</f>
        <v/>
      </c>
      <c r="U896" s="45"/>
      <c r="V896" s="45"/>
      <c r="W896" s="38"/>
    </row>
    <row r="897" spans="1:23">
      <c r="A897" s="45" t="str">
        <f>_xlfn.TEXTJOIN("",TRUE,Input!$B$2,ROW(My_Audit!A896))</f>
        <v>XX896</v>
      </c>
      <c r="B897" s="45"/>
      <c r="C897" s="45"/>
      <c r="D897" s="46" t="str">
        <f>_xlfn.XLOOKUP(A897,My_Audit!A:A,My_Audit!D:D,"")&amp;""</f>
        <v/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6" t="str">
        <f>IF(LEFT(N897,4)="Pass","Nist SP 800-88",My_Audit!R897)&amp;""</f>
        <v/>
      </c>
      <c r="R897" s="45"/>
      <c r="S897" s="45"/>
      <c r="T897" s="46" t="str">
        <f>_xlfn.XLOOKUP(E897,Models!I:I,Models!J:J,"")</f>
        <v/>
      </c>
      <c r="U897" s="45"/>
      <c r="V897" s="45"/>
      <c r="W897" s="38"/>
    </row>
    <row r="898" spans="1:23">
      <c r="A898" s="45" t="str">
        <f>_xlfn.TEXTJOIN("",TRUE,Input!$B$2,ROW(My_Audit!A897))</f>
        <v>XX897</v>
      </c>
      <c r="B898" s="45"/>
      <c r="C898" s="45"/>
      <c r="D898" s="46" t="str">
        <f>_xlfn.XLOOKUP(A898,My_Audit!A:A,My_Audit!D:D,"")&amp;""</f>
        <v/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6" t="str">
        <f>IF(LEFT(N898,4)="Pass","Nist SP 800-88",My_Audit!R898)&amp;""</f>
        <v/>
      </c>
      <c r="R898" s="45"/>
      <c r="S898" s="45"/>
      <c r="T898" s="46" t="str">
        <f>_xlfn.XLOOKUP(E898,Models!I:I,Models!J:J,"")</f>
        <v/>
      </c>
      <c r="U898" s="45"/>
      <c r="V898" s="45"/>
      <c r="W898" s="38"/>
    </row>
    <row r="899" spans="1:23">
      <c r="A899" s="45" t="str">
        <f>_xlfn.TEXTJOIN("",TRUE,Input!$B$2,ROW(My_Audit!A898))</f>
        <v>XX898</v>
      </c>
      <c r="B899" s="45"/>
      <c r="C899" s="45"/>
      <c r="D899" s="46" t="str">
        <f>_xlfn.XLOOKUP(A899,My_Audit!A:A,My_Audit!D:D,"")&amp;""</f>
        <v/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6" t="str">
        <f>IF(LEFT(N899,4)="Pass","Nist SP 800-88",My_Audit!R899)&amp;""</f>
        <v/>
      </c>
      <c r="R899" s="45"/>
      <c r="S899" s="45"/>
      <c r="T899" s="46" t="str">
        <f>_xlfn.XLOOKUP(E899,Models!I:I,Models!J:J,"")</f>
        <v/>
      </c>
      <c r="U899" s="45"/>
      <c r="V899" s="45"/>
      <c r="W899" s="38"/>
    </row>
    <row r="900" spans="1:23">
      <c r="A900" s="45" t="str">
        <f>_xlfn.TEXTJOIN("",TRUE,Input!$B$2,ROW(My_Audit!A899))</f>
        <v>XX899</v>
      </c>
      <c r="B900" s="45"/>
      <c r="C900" s="45"/>
      <c r="D900" s="46" t="str">
        <f>_xlfn.XLOOKUP(A900,My_Audit!A:A,My_Audit!D:D,"")&amp;""</f>
        <v/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6" t="str">
        <f>IF(LEFT(N900,4)="Pass","Nist SP 800-88",My_Audit!R900)&amp;""</f>
        <v/>
      </c>
      <c r="R900" s="45"/>
      <c r="S900" s="45"/>
      <c r="T900" s="46" t="str">
        <f>_xlfn.XLOOKUP(E900,Models!I:I,Models!J:J,"")</f>
        <v/>
      </c>
      <c r="U900" s="45"/>
      <c r="V900" s="45"/>
      <c r="W900" s="38"/>
    </row>
    <row r="901" spans="1:23">
      <c r="A901" s="45" t="str">
        <f>_xlfn.TEXTJOIN("",TRUE,Input!$B$2,ROW(My_Audit!A900))</f>
        <v>XX900</v>
      </c>
      <c r="B901" s="45"/>
      <c r="C901" s="45"/>
      <c r="D901" s="46" t="str">
        <f>_xlfn.XLOOKUP(A901,My_Audit!A:A,My_Audit!D:D,"")&amp;""</f>
        <v/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6" t="str">
        <f>IF(LEFT(N901,4)="Pass","Nist SP 800-88",My_Audit!R901)&amp;""</f>
        <v/>
      </c>
      <c r="R901" s="45"/>
      <c r="S901" s="45"/>
      <c r="T901" s="46" t="str">
        <f>_xlfn.XLOOKUP(E901,Models!I:I,Models!J:J,"")</f>
        <v/>
      </c>
      <c r="U901" s="45"/>
      <c r="V901" s="45"/>
      <c r="W901" s="38"/>
    </row>
    <row r="902" spans="1:23">
      <c r="A902" s="45" t="str">
        <f>_xlfn.TEXTJOIN("",TRUE,Input!$B$2,ROW(My_Audit!A901))</f>
        <v>XX901</v>
      </c>
      <c r="B902" s="45"/>
      <c r="C902" s="45"/>
      <c r="D902" s="46" t="str">
        <f>_xlfn.XLOOKUP(A902,My_Audit!A:A,My_Audit!D:D,"")&amp;""</f>
        <v/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6" t="str">
        <f>IF(LEFT(N902,4)="Pass","Nist SP 800-88",My_Audit!R902)&amp;""</f>
        <v/>
      </c>
      <c r="R902" s="45"/>
      <c r="S902" s="45"/>
      <c r="T902" s="46" t="str">
        <f>_xlfn.XLOOKUP(E902,Models!I:I,Models!J:J,"")</f>
        <v/>
      </c>
      <c r="U902" s="45"/>
      <c r="V902" s="45"/>
      <c r="W902" s="38"/>
    </row>
    <row r="903" spans="1:23">
      <c r="A903" s="45" t="str">
        <f>_xlfn.TEXTJOIN("",TRUE,Input!$B$2,ROW(My_Audit!A902))</f>
        <v>XX902</v>
      </c>
      <c r="B903" s="45"/>
      <c r="C903" s="45"/>
      <c r="D903" s="46" t="str">
        <f>_xlfn.XLOOKUP(A903,My_Audit!A:A,My_Audit!D:D,"")&amp;""</f>
        <v/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6" t="str">
        <f>IF(LEFT(N903,4)="Pass","Nist SP 800-88",My_Audit!R903)&amp;""</f>
        <v/>
      </c>
      <c r="R903" s="45"/>
      <c r="S903" s="45"/>
      <c r="T903" s="46" t="str">
        <f>_xlfn.XLOOKUP(E903,Models!I:I,Models!J:J,"")</f>
        <v/>
      </c>
      <c r="U903" s="45"/>
      <c r="V903" s="45"/>
      <c r="W903" s="38"/>
    </row>
    <row r="904" spans="1:23">
      <c r="A904" s="45" t="str">
        <f>_xlfn.TEXTJOIN("",TRUE,Input!$B$2,ROW(My_Audit!A903))</f>
        <v>XX903</v>
      </c>
      <c r="B904" s="45"/>
      <c r="C904" s="45"/>
      <c r="D904" s="46" t="str">
        <f>_xlfn.XLOOKUP(A904,My_Audit!A:A,My_Audit!D:D,"")&amp;""</f>
        <v/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6" t="str">
        <f>IF(LEFT(N904,4)="Pass","Nist SP 800-88",My_Audit!R904)&amp;""</f>
        <v/>
      </c>
      <c r="R904" s="45"/>
      <c r="S904" s="45"/>
      <c r="T904" s="46" t="str">
        <f>_xlfn.XLOOKUP(E904,Models!I:I,Models!J:J,"")</f>
        <v/>
      </c>
      <c r="U904" s="45"/>
      <c r="V904" s="45"/>
      <c r="W904" s="38"/>
    </row>
    <row r="905" spans="1:23">
      <c r="A905" s="45" t="str">
        <f>_xlfn.TEXTJOIN("",TRUE,Input!$B$2,ROW(My_Audit!A904))</f>
        <v>XX904</v>
      </c>
      <c r="B905" s="45"/>
      <c r="C905" s="45"/>
      <c r="D905" s="46" t="str">
        <f>_xlfn.XLOOKUP(A905,My_Audit!A:A,My_Audit!D:D,"")&amp;""</f>
        <v/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6" t="str">
        <f>IF(LEFT(N905,4)="Pass","Nist SP 800-88",My_Audit!R905)&amp;""</f>
        <v/>
      </c>
      <c r="R905" s="45"/>
      <c r="S905" s="45"/>
      <c r="T905" s="46" t="str">
        <f>_xlfn.XLOOKUP(E905,Models!I:I,Models!J:J,"")</f>
        <v/>
      </c>
      <c r="U905" s="45"/>
      <c r="V905" s="45"/>
      <c r="W905" s="38"/>
    </row>
    <row r="906" spans="1:23">
      <c r="A906" s="45" t="str">
        <f>_xlfn.TEXTJOIN("",TRUE,Input!$B$2,ROW(My_Audit!A905))</f>
        <v>XX905</v>
      </c>
      <c r="B906" s="45"/>
      <c r="C906" s="45"/>
      <c r="D906" s="46" t="str">
        <f>_xlfn.XLOOKUP(A906,My_Audit!A:A,My_Audit!D:D,"")&amp;""</f>
        <v/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6" t="str">
        <f>IF(LEFT(N906,4)="Pass","Nist SP 800-88",My_Audit!R906)&amp;""</f>
        <v/>
      </c>
      <c r="R906" s="45"/>
      <c r="S906" s="45"/>
      <c r="T906" s="46" t="str">
        <f>_xlfn.XLOOKUP(E906,Models!I:I,Models!J:J,"")</f>
        <v/>
      </c>
      <c r="U906" s="45"/>
      <c r="V906" s="45"/>
      <c r="W906" s="38"/>
    </row>
    <row r="907" spans="1:23">
      <c r="A907" s="45" t="str">
        <f>_xlfn.TEXTJOIN("",TRUE,Input!$B$2,ROW(My_Audit!A906))</f>
        <v>XX906</v>
      </c>
      <c r="B907" s="45"/>
      <c r="C907" s="45"/>
      <c r="D907" s="46" t="str">
        <f>_xlfn.XLOOKUP(A907,My_Audit!A:A,My_Audit!D:D,"")&amp;""</f>
        <v/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6" t="str">
        <f>IF(LEFT(N907,4)="Pass","Nist SP 800-88",My_Audit!R907)&amp;""</f>
        <v/>
      </c>
      <c r="R907" s="45"/>
      <c r="S907" s="45"/>
      <c r="T907" s="46" t="str">
        <f>_xlfn.XLOOKUP(E907,Models!I:I,Models!J:J,"")</f>
        <v/>
      </c>
      <c r="U907" s="45"/>
      <c r="V907" s="45"/>
      <c r="W907" s="38"/>
    </row>
    <row r="908" spans="1:23">
      <c r="A908" s="45" t="str">
        <f>_xlfn.TEXTJOIN("",TRUE,Input!$B$2,ROW(My_Audit!A907))</f>
        <v>XX907</v>
      </c>
      <c r="B908" s="45"/>
      <c r="C908" s="45"/>
      <c r="D908" s="46" t="str">
        <f>_xlfn.XLOOKUP(A908,My_Audit!A:A,My_Audit!D:D,"")&amp;""</f>
        <v/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6" t="str">
        <f>IF(LEFT(N908,4)="Pass","Nist SP 800-88",My_Audit!R908)&amp;""</f>
        <v/>
      </c>
      <c r="R908" s="45"/>
      <c r="S908" s="45"/>
      <c r="T908" s="46" t="str">
        <f>_xlfn.XLOOKUP(E908,Models!I:I,Models!J:J,"")</f>
        <v/>
      </c>
      <c r="U908" s="45"/>
      <c r="V908" s="45"/>
      <c r="W908" s="38"/>
    </row>
    <row r="909" spans="1:23">
      <c r="A909" s="45" t="str">
        <f>_xlfn.TEXTJOIN("",TRUE,Input!$B$2,ROW(My_Audit!A908))</f>
        <v>XX908</v>
      </c>
      <c r="B909" s="45"/>
      <c r="C909" s="45"/>
      <c r="D909" s="46" t="str">
        <f>_xlfn.XLOOKUP(A909,My_Audit!A:A,My_Audit!D:D,"")&amp;""</f>
        <v/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6" t="str">
        <f>IF(LEFT(N909,4)="Pass","Nist SP 800-88",My_Audit!R909)&amp;""</f>
        <v/>
      </c>
      <c r="R909" s="45"/>
      <c r="S909" s="45"/>
      <c r="T909" s="46" t="str">
        <f>_xlfn.XLOOKUP(E909,Models!I:I,Models!J:J,"")</f>
        <v/>
      </c>
      <c r="U909" s="45"/>
      <c r="V909" s="45"/>
      <c r="W909" s="38"/>
    </row>
    <row r="910" spans="1:23">
      <c r="A910" s="45" t="str">
        <f>_xlfn.TEXTJOIN("",TRUE,Input!$B$2,ROW(My_Audit!A909))</f>
        <v>XX909</v>
      </c>
      <c r="B910" s="45"/>
      <c r="C910" s="45"/>
      <c r="D910" s="46" t="str">
        <f>_xlfn.XLOOKUP(A910,My_Audit!A:A,My_Audit!D:D,"")&amp;""</f>
        <v/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6" t="str">
        <f>IF(LEFT(N910,4)="Pass","Nist SP 800-88",My_Audit!R910)&amp;""</f>
        <v/>
      </c>
      <c r="R910" s="45"/>
      <c r="S910" s="45"/>
      <c r="T910" s="46" t="str">
        <f>_xlfn.XLOOKUP(E910,Models!I:I,Models!J:J,"")</f>
        <v/>
      </c>
      <c r="U910" s="45"/>
      <c r="V910" s="45"/>
      <c r="W910" s="38"/>
    </row>
    <row r="911" spans="1:23">
      <c r="A911" s="45" t="str">
        <f>_xlfn.TEXTJOIN("",TRUE,Input!$B$2,ROW(My_Audit!A910))</f>
        <v>XX910</v>
      </c>
      <c r="B911" s="45"/>
      <c r="C911" s="45"/>
      <c r="D911" s="46" t="str">
        <f>_xlfn.XLOOKUP(A911,My_Audit!A:A,My_Audit!D:D,"")&amp;""</f>
        <v/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6" t="str">
        <f>IF(LEFT(N911,4)="Pass","Nist SP 800-88",My_Audit!R911)&amp;""</f>
        <v/>
      </c>
      <c r="R911" s="45"/>
      <c r="S911" s="45"/>
      <c r="T911" s="46" t="str">
        <f>_xlfn.XLOOKUP(E911,Models!I:I,Models!J:J,"")</f>
        <v/>
      </c>
      <c r="U911" s="45"/>
      <c r="V911" s="45"/>
      <c r="W911" s="38"/>
    </row>
    <row r="912" spans="1:23">
      <c r="A912" s="45" t="str">
        <f>_xlfn.TEXTJOIN("",TRUE,Input!$B$2,ROW(My_Audit!A911))</f>
        <v>XX911</v>
      </c>
      <c r="B912" s="45"/>
      <c r="C912" s="45"/>
      <c r="D912" s="46" t="str">
        <f>_xlfn.XLOOKUP(A912,My_Audit!A:A,My_Audit!D:D,"")&amp;""</f>
        <v/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6" t="str">
        <f>IF(LEFT(N912,4)="Pass","Nist SP 800-88",My_Audit!R912)&amp;""</f>
        <v/>
      </c>
      <c r="R912" s="45"/>
      <c r="S912" s="45"/>
      <c r="T912" s="46" t="str">
        <f>_xlfn.XLOOKUP(E912,Models!I:I,Models!J:J,"")</f>
        <v/>
      </c>
      <c r="U912" s="45"/>
      <c r="V912" s="45"/>
      <c r="W912" s="38"/>
    </row>
    <row r="913" spans="1:23">
      <c r="A913" s="45" t="str">
        <f>_xlfn.TEXTJOIN("",TRUE,Input!$B$2,ROW(My_Audit!A912))</f>
        <v>XX912</v>
      </c>
      <c r="B913" s="45"/>
      <c r="C913" s="45"/>
      <c r="D913" s="46" t="str">
        <f>_xlfn.XLOOKUP(A913,My_Audit!A:A,My_Audit!D:D,"")&amp;""</f>
        <v/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6" t="str">
        <f>IF(LEFT(N913,4)="Pass","Nist SP 800-88",My_Audit!R913)&amp;""</f>
        <v/>
      </c>
      <c r="R913" s="45"/>
      <c r="S913" s="45"/>
      <c r="T913" s="46" t="str">
        <f>_xlfn.XLOOKUP(E913,Models!I:I,Models!J:J,"")</f>
        <v/>
      </c>
      <c r="U913" s="45"/>
      <c r="V913" s="45"/>
      <c r="W913" s="38"/>
    </row>
    <row r="914" spans="1:23">
      <c r="A914" s="45" t="str">
        <f>_xlfn.TEXTJOIN("",TRUE,Input!$B$2,ROW(My_Audit!A913))</f>
        <v>XX913</v>
      </c>
      <c r="B914" s="45"/>
      <c r="C914" s="45"/>
      <c r="D914" s="46" t="str">
        <f>_xlfn.XLOOKUP(A914,My_Audit!A:A,My_Audit!D:D,"")&amp;""</f>
        <v/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6" t="str">
        <f>IF(LEFT(N914,4)="Pass","Nist SP 800-88",My_Audit!R914)&amp;""</f>
        <v/>
      </c>
      <c r="R914" s="45"/>
      <c r="S914" s="45"/>
      <c r="T914" s="46" t="str">
        <f>_xlfn.XLOOKUP(E914,Models!I:I,Models!J:J,"")</f>
        <v/>
      </c>
      <c r="U914" s="45"/>
      <c r="V914" s="45"/>
      <c r="W914" s="38"/>
    </row>
    <row r="915" spans="1:23">
      <c r="A915" s="45" t="str">
        <f>_xlfn.TEXTJOIN("",TRUE,Input!$B$2,ROW(My_Audit!A914))</f>
        <v>XX914</v>
      </c>
      <c r="B915" s="45"/>
      <c r="C915" s="45"/>
      <c r="D915" s="46" t="str">
        <f>_xlfn.XLOOKUP(A915,My_Audit!A:A,My_Audit!D:D,"")&amp;""</f>
        <v/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6" t="str">
        <f>IF(LEFT(N915,4)="Pass","Nist SP 800-88",My_Audit!R915)&amp;""</f>
        <v/>
      </c>
      <c r="R915" s="45"/>
      <c r="S915" s="45"/>
      <c r="T915" s="46" t="str">
        <f>_xlfn.XLOOKUP(E915,Models!I:I,Models!J:J,"")</f>
        <v/>
      </c>
      <c r="U915" s="45"/>
      <c r="V915" s="45"/>
      <c r="W915" s="38"/>
    </row>
    <row r="916" spans="1:23">
      <c r="A916" s="45" t="str">
        <f>_xlfn.TEXTJOIN("",TRUE,Input!$B$2,ROW(My_Audit!A915))</f>
        <v>XX915</v>
      </c>
      <c r="B916" s="45"/>
      <c r="C916" s="45"/>
      <c r="D916" s="46" t="str">
        <f>_xlfn.XLOOKUP(A916,My_Audit!A:A,My_Audit!D:D,"")&amp;""</f>
        <v/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6" t="str">
        <f>_xlfn.XLOOKUP(E916,Models!I:I,Models!J:J,"")</f>
        <v/>
      </c>
      <c r="U916" s="45"/>
      <c r="V916" s="45"/>
      <c r="W916" s="38"/>
    </row>
    <row r="917" spans="1:23">
      <c r="A917" s="45" t="str">
        <f>_xlfn.TEXTJOIN("",TRUE,Input!$B$2,ROW(My_Audit!A916))</f>
        <v>XX916</v>
      </c>
      <c r="B917" s="45"/>
      <c r="C917" s="45"/>
      <c r="D917" s="46" t="str">
        <f>_xlfn.XLOOKUP(A917,My_Audit!A:A,My_Audit!D:D,"")&amp;""</f>
        <v/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6" t="str">
        <f>_xlfn.XLOOKUP(E917,Models!I:I,Models!J:J,"")</f>
        <v/>
      </c>
      <c r="U917" s="45"/>
      <c r="V917" s="45"/>
      <c r="W917" s="38"/>
    </row>
    <row r="918" spans="1:23">
      <c r="A918" s="45" t="str">
        <f>_xlfn.TEXTJOIN("",TRUE,Input!$B$2,ROW(My_Audit!A917))</f>
        <v>XX917</v>
      </c>
      <c r="B918" s="45"/>
      <c r="C918" s="45"/>
      <c r="D918" s="46" t="str">
        <f>_xlfn.XLOOKUP(A918,My_Audit!A:A,My_Audit!D:D,"")&amp;""</f>
        <v/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6" t="str">
        <f>_xlfn.XLOOKUP(E918,Models!I:I,Models!J:J,"")</f>
        <v/>
      </c>
      <c r="U918" s="45"/>
      <c r="V918" s="45"/>
      <c r="W918" s="38"/>
    </row>
    <row r="919" spans="1:23">
      <c r="A919" s="45" t="str">
        <f>_xlfn.TEXTJOIN("",TRUE,Input!$B$2,ROW(My_Audit!A918))</f>
        <v>XX918</v>
      </c>
      <c r="B919" s="45"/>
      <c r="C919" s="45"/>
      <c r="D919" s="46" t="str">
        <f>_xlfn.XLOOKUP(A919,My_Audit!A:A,My_Audit!D:D,"")&amp;""</f>
        <v/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6" t="str">
        <f>_xlfn.XLOOKUP(E919,Models!I:I,Models!J:J,"")</f>
        <v/>
      </c>
      <c r="U919" s="45"/>
      <c r="V919" s="45"/>
      <c r="W919" s="38"/>
    </row>
    <row r="920" spans="1:23">
      <c r="A920" s="45" t="str">
        <f>_xlfn.TEXTJOIN("",TRUE,Input!$B$2,ROW(My_Audit!A919))</f>
        <v>XX919</v>
      </c>
      <c r="B920" s="45"/>
      <c r="C920" s="45"/>
      <c r="D920" s="46" t="str">
        <f>_xlfn.XLOOKUP(A920,My_Audit!A:A,My_Audit!D:D,"")&amp;""</f>
        <v/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6" t="str">
        <f>_xlfn.XLOOKUP(E920,Models!I:I,Models!J:J,"")</f>
        <v/>
      </c>
      <c r="U920" s="45"/>
      <c r="V920" s="45"/>
      <c r="W920" s="38"/>
    </row>
    <row r="921" spans="1:23">
      <c r="A921" s="45" t="str">
        <f>_xlfn.TEXTJOIN("",TRUE,Input!$B$2,ROW(My_Audit!A920))</f>
        <v>XX920</v>
      </c>
      <c r="B921" s="45"/>
      <c r="C921" s="45"/>
      <c r="D921" s="46" t="str">
        <f>_xlfn.XLOOKUP(A921,My_Audit!A:A,My_Audit!D:D,"")&amp;""</f>
        <v/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6" t="str">
        <f>_xlfn.XLOOKUP(E921,Models!I:I,Models!J:J,"")</f>
        <v/>
      </c>
      <c r="U921" s="45"/>
      <c r="V921" s="45"/>
      <c r="W921" s="38"/>
    </row>
    <row r="922" spans="1:23">
      <c r="A922" s="45" t="str">
        <f>_xlfn.TEXTJOIN("",TRUE,Input!$B$2,ROW(My_Audit!A921))</f>
        <v>XX921</v>
      </c>
      <c r="B922" s="45"/>
      <c r="C922" s="45"/>
      <c r="D922" s="46" t="str">
        <f>_xlfn.XLOOKUP(A922,My_Audit!A:A,My_Audit!D:D,"")&amp;""</f>
        <v/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6" t="str">
        <f>_xlfn.XLOOKUP(E922,Models!I:I,Models!J:J,"")</f>
        <v/>
      </c>
      <c r="U922" s="45"/>
      <c r="V922" s="45"/>
      <c r="W922" s="38"/>
    </row>
    <row r="923" spans="1:23">
      <c r="A923" s="45" t="str">
        <f>_xlfn.TEXTJOIN("",TRUE,Input!$B$2,ROW(My_Audit!A922))</f>
        <v>XX922</v>
      </c>
      <c r="B923" s="45"/>
      <c r="C923" s="45"/>
      <c r="D923" s="46" t="str">
        <f>_xlfn.XLOOKUP(A923,My_Audit!A:A,My_Audit!D:D,"")&amp;""</f>
        <v/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6" t="str">
        <f>_xlfn.XLOOKUP(E923,Models!I:I,Models!J:J,"")</f>
        <v/>
      </c>
      <c r="U923" s="45"/>
      <c r="V923" s="45"/>
      <c r="W923" s="38"/>
    </row>
    <row r="924" spans="1:23">
      <c r="A924" s="45" t="str">
        <f>_xlfn.TEXTJOIN("",TRUE,Input!$B$2,ROW(My_Audit!A923))</f>
        <v>XX923</v>
      </c>
      <c r="B924" s="45"/>
      <c r="C924" s="45"/>
      <c r="D924" s="46" t="str">
        <f>_xlfn.XLOOKUP(A924,My_Audit!A:A,My_Audit!D:D,"")&amp;""</f>
        <v/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6" t="str">
        <f>_xlfn.XLOOKUP(E924,Models!I:I,Models!J:J,"")</f>
        <v/>
      </c>
      <c r="U924" s="45"/>
      <c r="V924" s="45"/>
      <c r="W924" s="38"/>
    </row>
    <row r="925" spans="1:23">
      <c r="A925" s="45" t="str">
        <f>_xlfn.TEXTJOIN("",TRUE,Input!$B$2,ROW(My_Audit!A924))</f>
        <v>XX924</v>
      </c>
      <c r="B925" s="45"/>
      <c r="C925" s="45"/>
      <c r="D925" s="46" t="str">
        <f>_xlfn.XLOOKUP(A925,My_Audit!A:A,My_Audit!D:D,"")&amp;""</f>
        <v/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6" t="str">
        <f>_xlfn.XLOOKUP(E925,Models!I:I,Models!J:J,"")</f>
        <v/>
      </c>
      <c r="U925" s="45"/>
      <c r="V925" s="45"/>
      <c r="W925" s="38"/>
    </row>
    <row r="926" spans="1:23">
      <c r="A926" s="45" t="str">
        <f>_xlfn.TEXTJOIN("",TRUE,Input!$B$2,ROW(My_Audit!A925))</f>
        <v>XX925</v>
      </c>
      <c r="B926" s="45"/>
      <c r="C926" s="45"/>
      <c r="D926" s="46" t="str">
        <f>_xlfn.XLOOKUP(A926,My_Audit!A:A,My_Audit!D:D,"")&amp;""</f>
        <v/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6" t="str">
        <f>_xlfn.XLOOKUP(E926,Models!I:I,Models!J:J,"")</f>
        <v/>
      </c>
      <c r="U926" s="45"/>
      <c r="V926" s="45"/>
      <c r="W926" s="38"/>
    </row>
    <row r="927" spans="1:23">
      <c r="A927" s="45" t="str">
        <f>_xlfn.TEXTJOIN("",TRUE,Input!$B$2,ROW(My_Audit!A926))</f>
        <v>XX926</v>
      </c>
      <c r="B927" s="45"/>
      <c r="C927" s="45"/>
      <c r="D927" s="46" t="str">
        <f>_xlfn.XLOOKUP(A927,My_Audit!A:A,My_Audit!D:D,"")&amp;""</f>
        <v/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6" t="str">
        <f>_xlfn.XLOOKUP(E927,Models!I:I,Models!J:J,"")</f>
        <v/>
      </c>
      <c r="U927" s="45"/>
      <c r="V927" s="45"/>
      <c r="W927" s="38"/>
    </row>
    <row r="928" spans="1:23">
      <c r="A928" s="45" t="str">
        <f>_xlfn.TEXTJOIN("",TRUE,Input!$B$2,ROW(My_Audit!A927))</f>
        <v>XX927</v>
      </c>
      <c r="B928" s="45"/>
      <c r="C928" s="45"/>
      <c r="D928" s="46" t="str">
        <f>_xlfn.XLOOKUP(A928,My_Audit!A:A,My_Audit!D:D,"")&amp;""</f>
        <v/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6" t="str">
        <f>_xlfn.XLOOKUP(E928,Models!I:I,Models!J:J,"")</f>
        <v/>
      </c>
      <c r="U928" s="45"/>
      <c r="V928" s="45"/>
      <c r="W928" s="38"/>
    </row>
    <row r="929" spans="1:23">
      <c r="A929" s="45" t="str">
        <f>_xlfn.TEXTJOIN("",TRUE,Input!$B$2,ROW(My_Audit!A928))</f>
        <v>XX928</v>
      </c>
      <c r="B929" s="45"/>
      <c r="C929" s="45"/>
      <c r="D929" s="46" t="str">
        <f>_xlfn.XLOOKUP(A929,My_Audit!A:A,My_Audit!D:D,"")&amp;""</f>
        <v/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6" t="str">
        <f>_xlfn.XLOOKUP(E929,Models!I:I,Models!J:J,"")</f>
        <v/>
      </c>
      <c r="U929" s="45"/>
      <c r="V929" s="45"/>
      <c r="W929" s="38"/>
    </row>
    <row r="930" spans="1:23">
      <c r="A930" s="45" t="str">
        <f>_xlfn.TEXTJOIN("",TRUE,Input!$B$2,ROW(My_Audit!A929))</f>
        <v>XX929</v>
      </c>
      <c r="B930" s="45"/>
      <c r="C930" s="45"/>
      <c r="D930" s="46" t="str">
        <f>_xlfn.XLOOKUP(A930,My_Audit!A:A,My_Audit!D:D,"")&amp;""</f>
        <v/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6" t="str">
        <f>_xlfn.XLOOKUP(E930,Models!I:I,Models!J:J,"")</f>
        <v/>
      </c>
      <c r="U930" s="45"/>
      <c r="V930" s="45"/>
      <c r="W930" s="38"/>
    </row>
    <row r="931" spans="1:23">
      <c r="A931" s="45" t="str">
        <f>_xlfn.TEXTJOIN("",TRUE,Input!$B$2,ROW(My_Audit!A930))</f>
        <v>XX930</v>
      </c>
      <c r="B931" s="45"/>
      <c r="C931" s="45"/>
      <c r="D931" s="46" t="str">
        <f>_xlfn.XLOOKUP(A931,My_Audit!A:A,My_Audit!D:D,"")&amp;""</f>
        <v/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6" t="str">
        <f>_xlfn.XLOOKUP(E931,Models!I:I,Models!J:J,"")</f>
        <v/>
      </c>
      <c r="U931" s="45"/>
      <c r="V931" s="45"/>
      <c r="W931" s="38"/>
    </row>
    <row r="932" spans="1:23">
      <c r="A932" s="45" t="str">
        <f>_xlfn.TEXTJOIN("",TRUE,Input!$B$2,ROW(My_Audit!A931))</f>
        <v>XX931</v>
      </c>
      <c r="B932" s="45"/>
      <c r="C932" s="45"/>
      <c r="D932" s="46" t="str">
        <f>_xlfn.XLOOKUP(A932,My_Audit!A:A,My_Audit!D:D,"")&amp;""</f>
        <v/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6" t="str">
        <f>_xlfn.XLOOKUP(E932,Models!I:I,Models!J:J,"")</f>
        <v/>
      </c>
      <c r="U932" s="45"/>
      <c r="V932" s="45"/>
      <c r="W932" s="38"/>
    </row>
    <row r="933" spans="1:23">
      <c r="A933" s="45" t="str">
        <f>_xlfn.TEXTJOIN("",TRUE,Input!$B$2,ROW(My_Audit!A932))</f>
        <v>XX932</v>
      </c>
      <c r="B933" s="45"/>
      <c r="C933" s="45"/>
      <c r="D933" s="46" t="str">
        <f>_xlfn.XLOOKUP(A933,My_Audit!A:A,My_Audit!D:D,"")&amp;""</f>
        <v/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6" t="str">
        <f>_xlfn.XLOOKUP(E933,Models!I:I,Models!J:J,"")</f>
        <v/>
      </c>
      <c r="U933" s="45"/>
      <c r="V933" s="45"/>
      <c r="W933" s="38"/>
    </row>
    <row r="934" spans="1:23">
      <c r="A934" s="45" t="str">
        <f>_xlfn.TEXTJOIN("",TRUE,Input!$B$2,ROW(My_Audit!A933))</f>
        <v>XX933</v>
      </c>
      <c r="B934" s="45"/>
      <c r="C934" s="45"/>
      <c r="D934" s="46" t="str">
        <f>_xlfn.XLOOKUP(A934,My_Audit!A:A,My_Audit!D:D,"")&amp;""</f>
        <v/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6" t="str">
        <f>_xlfn.XLOOKUP(E934,Models!I:I,Models!J:J,"")</f>
        <v/>
      </c>
      <c r="U934" s="45"/>
      <c r="V934" s="45"/>
      <c r="W934" s="38"/>
    </row>
    <row r="935" spans="1:23">
      <c r="A935" s="45" t="str">
        <f>_xlfn.TEXTJOIN("",TRUE,Input!$B$2,ROW(My_Audit!A934))</f>
        <v>XX934</v>
      </c>
      <c r="B935" s="45"/>
      <c r="C935" s="45"/>
      <c r="D935" s="46" t="str">
        <f>_xlfn.XLOOKUP(A935,My_Audit!A:A,My_Audit!D:D,"")&amp;""</f>
        <v/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6" t="str">
        <f>_xlfn.XLOOKUP(E935,Models!I:I,Models!J:J,"")</f>
        <v/>
      </c>
      <c r="U935" s="45"/>
      <c r="V935" s="45"/>
      <c r="W935" s="38"/>
    </row>
    <row r="936" spans="1:23">
      <c r="A936" s="45" t="str">
        <f>_xlfn.TEXTJOIN("",TRUE,Input!$B$2,ROW(My_Audit!A935))</f>
        <v>XX935</v>
      </c>
      <c r="B936" s="45"/>
      <c r="C936" s="45"/>
      <c r="D936" s="46" t="str">
        <f>_xlfn.XLOOKUP(A936,My_Audit!A:A,My_Audit!D:D,"")&amp;""</f>
        <v/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6" t="str">
        <f>_xlfn.XLOOKUP(E936,Models!I:I,Models!J:J,"")</f>
        <v/>
      </c>
      <c r="U936" s="45"/>
      <c r="V936" s="45"/>
      <c r="W936" s="38"/>
    </row>
    <row r="937" spans="1:23">
      <c r="A937" s="45" t="str">
        <f>_xlfn.TEXTJOIN("",TRUE,Input!$B$2,ROW(My_Audit!A936))</f>
        <v>XX936</v>
      </c>
      <c r="B937" s="45"/>
      <c r="C937" s="45"/>
      <c r="D937" s="46" t="str">
        <f>_xlfn.XLOOKUP(A937,My_Audit!A:A,My_Audit!D:D,"")&amp;""</f>
        <v/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6" t="str">
        <f>_xlfn.XLOOKUP(E937,Models!I:I,Models!J:J,"")</f>
        <v/>
      </c>
      <c r="U937" s="45"/>
      <c r="V937" s="45"/>
      <c r="W937" s="38"/>
    </row>
    <row r="938" spans="1:23">
      <c r="A938" s="45" t="str">
        <f>_xlfn.TEXTJOIN("",TRUE,Input!$B$2,ROW(My_Audit!A937))</f>
        <v>XX937</v>
      </c>
      <c r="B938" s="45"/>
      <c r="C938" s="45"/>
      <c r="D938" s="46" t="str">
        <f>_xlfn.XLOOKUP(A938,My_Audit!A:A,My_Audit!D:D,"")&amp;""</f>
        <v/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6" t="str">
        <f>_xlfn.XLOOKUP(E938,Models!I:I,Models!J:J,"")</f>
        <v/>
      </c>
      <c r="U938" s="45"/>
      <c r="V938" s="45"/>
      <c r="W938" s="38"/>
    </row>
    <row r="939" spans="1:23">
      <c r="A939" s="45" t="str">
        <f>_xlfn.TEXTJOIN("",TRUE,Input!$B$2,ROW(My_Audit!A938))</f>
        <v>XX938</v>
      </c>
      <c r="B939" s="45"/>
      <c r="C939" s="45"/>
      <c r="D939" s="46" t="str">
        <f>_xlfn.XLOOKUP(A939,My_Audit!A:A,My_Audit!D:D,"")&amp;""</f>
        <v/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6" t="str">
        <f>_xlfn.XLOOKUP(E939,Models!I:I,Models!J:J,"")</f>
        <v/>
      </c>
      <c r="U939" s="45"/>
      <c r="V939" s="45"/>
      <c r="W939" s="38"/>
    </row>
    <row r="940" spans="1:23">
      <c r="A940" s="45" t="str">
        <f>_xlfn.TEXTJOIN("",TRUE,Input!$B$2,ROW(My_Audit!A939))</f>
        <v>XX939</v>
      </c>
      <c r="B940" s="45"/>
      <c r="C940" s="45"/>
      <c r="D940" s="46" t="str">
        <f>_xlfn.XLOOKUP(A940,My_Audit!A:A,My_Audit!D:D,"")&amp;""</f>
        <v/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6" t="str">
        <f>_xlfn.XLOOKUP(E940,Models!I:I,Models!J:J,"")</f>
        <v/>
      </c>
      <c r="U940" s="45"/>
      <c r="V940" s="45"/>
      <c r="W940" s="38"/>
    </row>
    <row r="941" spans="1:23">
      <c r="A941" s="45" t="str">
        <f>_xlfn.TEXTJOIN("",TRUE,Input!$B$2,ROW(My_Audit!A940))</f>
        <v>XX940</v>
      </c>
      <c r="B941" s="45"/>
      <c r="C941" s="45"/>
      <c r="D941" s="46" t="str">
        <f>_xlfn.XLOOKUP(A941,My_Audit!A:A,My_Audit!D:D,"")&amp;""</f>
        <v/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6" t="str">
        <f>_xlfn.XLOOKUP(E941,Models!I:I,Models!J:J,"")</f>
        <v/>
      </c>
      <c r="U941" s="45"/>
      <c r="V941" s="45"/>
      <c r="W941" s="38"/>
    </row>
    <row r="942" spans="1:23">
      <c r="A942" s="45" t="str">
        <f>_xlfn.TEXTJOIN("",TRUE,Input!$B$2,ROW(My_Audit!A941))</f>
        <v>XX941</v>
      </c>
      <c r="B942" s="45"/>
      <c r="C942" s="45"/>
      <c r="D942" s="46" t="str">
        <f>_xlfn.XLOOKUP(A942,My_Audit!A:A,My_Audit!D:D,"")&amp;""</f>
        <v/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6" t="str">
        <f>_xlfn.XLOOKUP(E942,Models!I:I,Models!J:J,"")</f>
        <v/>
      </c>
      <c r="U942" s="45"/>
      <c r="V942" s="45"/>
      <c r="W942" s="38"/>
    </row>
    <row r="943" spans="1:23">
      <c r="A943" s="45" t="str">
        <f>_xlfn.TEXTJOIN("",TRUE,Input!$B$2,ROW(My_Audit!A942))</f>
        <v>XX942</v>
      </c>
      <c r="B943" s="45"/>
      <c r="C943" s="45"/>
      <c r="D943" s="46" t="str">
        <f>_xlfn.XLOOKUP(A943,My_Audit!A:A,My_Audit!D:D,"")&amp;""</f>
        <v/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6" t="str">
        <f>_xlfn.XLOOKUP(E943,Models!I:I,Models!J:J,"")</f>
        <v/>
      </c>
      <c r="U943" s="45"/>
      <c r="V943" s="45"/>
      <c r="W943" s="38"/>
    </row>
    <row r="944" spans="1:23">
      <c r="A944" s="45" t="str">
        <f>_xlfn.TEXTJOIN("",TRUE,Input!$B$2,ROW(My_Audit!A943))</f>
        <v>XX943</v>
      </c>
      <c r="B944" s="45"/>
      <c r="C944" s="45"/>
      <c r="D944" s="46" t="str">
        <f>_xlfn.XLOOKUP(A944,My_Audit!A:A,My_Audit!D:D,"")&amp;""</f>
        <v/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6" t="str">
        <f>_xlfn.XLOOKUP(E944,Models!I:I,Models!J:J,"")</f>
        <v/>
      </c>
      <c r="U944" s="45"/>
      <c r="V944" s="45"/>
      <c r="W944" s="38"/>
    </row>
    <row r="945" spans="1:23">
      <c r="A945" s="45" t="str">
        <f>_xlfn.TEXTJOIN("",TRUE,Input!$B$2,ROW(My_Audit!A944))</f>
        <v>XX944</v>
      </c>
      <c r="B945" s="45"/>
      <c r="C945" s="45"/>
      <c r="D945" s="46" t="str">
        <f>_xlfn.XLOOKUP(A945,My_Audit!A:A,My_Audit!D:D,"")&amp;""</f>
        <v/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6" t="str">
        <f>_xlfn.XLOOKUP(E945,Models!I:I,Models!J:J,"")</f>
        <v/>
      </c>
      <c r="U945" s="45"/>
      <c r="V945" s="45"/>
      <c r="W945" s="38"/>
    </row>
    <row r="946" spans="1:23">
      <c r="A946" s="45" t="str">
        <f>_xlfn.TEXTJOIN("",TRUE,Input!$B$2,ROW(My_Audit!A945))</f>
        <v>XX945</v>
      </c>
      <c r="B946" s="45"/>
      <c r="C946" s="45"/>
      <c r="D946" s="46" t="str">
        <f>_xlfn.XLOOKUP(A946,My_Audit!A:A,My_Audit!D:D,"")&amp;""</f>
        <v/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6" t="str">
        <f>_xlfn.XLOOKUP(E946,Models!I:I,Models!J:J,"")</f>
        <v/>
      </c>
      <c r="U946" s="45"/>
      <c r="V946" s="45"/>
      <c r="W946" s="38"/>
    </row>
    <row r="947" spans="1:23">
      <c r="A947" s="45" t="str">
        <f>_xlfn.TEXTJOIN("",TRUE,Input!$B$2,ROW(My_Audit!A946))</f>
        <v>XX946</v>
      </c>
      <c r="B947" s="45"/>
      <c r="C947" s="45"/>
      <c r="D947" s="46" t="str">
        <f>_xlfn.XLOOKUP(A947,My_Audit!A:A,My_Audit!D:D,"")&amp;""</f>
        <v/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6" t="str">
        <f>_xlfn.XLOOKUP(E947,Models!I:I,Models!J:J,"")</f>
        <v/>
      </c>
      <c r="U947" s="45"/>
      <c r="V947" s="45"/>
      <c r="W947" s="38"/>
    </row>
    <row r="948" spans="1:23">
      <c r="A948" s="45" t="str">
        <f>_xlfn.TEXTJOIN("",TRUE,Input!$B$2,ROW(My_Audit!A947))</f>
        <v>XX947</v>
      </c>
      <c r="B948" s="45"/>
      <c r="C948" s="45"/>
      <c r="D948" s="46" t="str">
        <f>_xlfn.XLOOKUP(A948,My_Audit!A:A,My_Audit!D:D,"")&amp;""</f>
        <v/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6" t="str">
        <f>_xlfn.XLOOKUP(E948,Models!I:I,Models!J:J,"")</f>
        <v/>
      </c>
      <c r="U948" s="45"/>
      <c r="V948" s="45"/>
      <c r="W948" s="38"/>
    </row>
    <row r="949" spans="1:23">
      <c r="A949" s="45" t="str">
        <f>_xlfn.TEXTJOIN("",TRUE,Input!$B$2,ROW(My_Audit!A948))</f>
        <v>XX948</v>
      </c>
      <c r="B949" s="45"/>
      <c r="C949" s="45"/>
      <c r="D949" s="46" t="str">
        <f>_xlfn.XLOOKUP(A949,My_Audit!A:A,My_Audit!D:D,"")&amp;""</f>
        <v/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6" t="str">
        <f>_xlfn.XLOOKUP(E949,Models!I:I,Models!J:J,"")</f>
        <v/>
      </c>
      <c r="U949" s="45"/>
      <c r="V949" s="45"/>
      <c r="W949" s="38"/>
    </row>
    <row r="950" spans="1:23">
      <c r="A950" s="45" t="str">
        <f>_xlfn.TEXTJOIN("",TRUE,Input!$B$2,ROW(My_Audit!A949))</f>
        <v>XX949</v>
      </c>
      <c r="B950" s="45"/>
      <c r="C950" s="45"/>
      <c r="D950" s="46" t="str">
        <f>_xlfn.XLOOKUP(A950,My_Audit!A:A,My_Audit!D:D,"")&amp;""</f>
        <v/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6" t="str">
        <f>_xlfn.XLOOKUP(E950,Models!I:I,Models!J:J,"")</f>
        <v/>
      </c>
      <c r="U950" s="45"/>
      <c r="V950" s="45"/>
      <c r="W950" s="38"/>
    </row>
    <row r="951" spans="1:23">
      <c r="A951" s="45" t="str">
        <f>_xlfn.TEXTJOIN("",TRUE,Input!$B$2,ROW(My_Audit!A950))</f>
        <v>XX950</v>
      </c>
      <c r="B951" s="45"/>
      <c r="C951" s="45"/>
      <c r="D951" s="46" t="str">
        <f>_xlfn.XLOOKUP(A951,My_Audit!A:A,My_Audit!D:D,"")&amp;""</f>
        <v/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6" t="str">
        <f>_xlfn.XLOOKUP(E951,Models!I:I,Models!J:J,"")</f>
        <v/>
      </c>
      <c r="U951" s="45"/>
      <c r="V951" s="45"/>
      <c r="W951" s="38"/>
    </row>
    <row r="952" spans="1:23">
      <c r="A952" s="45" t="str">
        <f>_xlfn.TEXTJOIN("",TRUE,Input!$B$2,ROW(My_Audit!A951))</f>
        <v>XX951</v>
      </c>
      <c r="B952" s="45"/>
      <c r="C952" s="45"/>
      <c r="D952" s="46" t="str">
        <f>_xlfn.XLOOKUP(A952,My_Audit!A:A,My_Audit!D:D,"")&amp;""</f>
        <v/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6" t="str">
        <f>_xlfn.XLOOKUP(E952,Models!I:I,Models!J:J,"")</f>
        <v/>
      </c>
      <c r="U952" s="45"/>
      <c r="V952" s="45"/>
      <c r="W952" s="38"/>
    </row>
    <row r="953" spans="1:23">
      <c r="A953" s="45" t="str">
        <f>_xlfn.TEXTJOIN("",TRUE,Input!$B$2,ROW(My_Audit!A952))</f>
        <v>XX952</v>
      </c>
      <c r="B953" s="45"/>
      <c r="C953" s="45"/>
      <c r="D953" s="46" t="str">
        <f>_xlfn.XLOOKUP(A953,My_Audit!A:A,My_Audit!D:D,"")&amp;""</f>
        <v/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6" t="str">
        <f>_xlfn.XLOOKUP(E953,Models!I:I,Models!J:J,"")</f>
        <v/>
      </c>
      <c r="U953" s="45"/>
      <c r="V953" s="45"/>
      <c r="W953" s="38"/>
    </row>
    <row r="954" spans="1:23">
      <c r="A954" s="45" t="str">
        <f>_xlfn.TEXTJOIN("",TRUE,Input!$B$2,ROW(My_Audit!A953))</f>
        <v>XX953</v>
      </c>
      <c r="B954" s="45"/>
      <c r="C954" s="45"/>
      <c r="D954" s="46" t="str">
        <f>_xlfn.XLOOKUP(A954,My_Audit!A:A,My_Audit!D:D,"")&amp;""</f>
        <v/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6" t="str">
        <f>_xlfn.XLOOKUP(E954,Models!I:I,Models!J:J,"")</f>
        <v/>
      </c>
      <c r="U954" s="45"/>
      <c r="V954" s="45"/>
      <c r="W954" s="38"/>
    </row>
    <row r="955" spans="1:23">
      <c r="A955" s="45" t="str">
        <f>_xlfn.TEXTJOIN("",TRUE,Input!$B$2,ROW(My_Audit!A954))</f>
        <v>XX954</v>
      </c>
      <c r="B955" s="45"/>
      <c r="C955" s="45"/>
      <c r="D955" s="46" t="str">
        <f>_xlfn.XLOOKUP(A955,My_Audit!A:A,My_Audit!D:D,"")&amp;""</f>
        <v/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6" t="str">
        <f>_xlfn.XLOOKUP(E955,Models!I:I,Models!J:J,"")</f>
        <v/>
      </c>
      <c r="U955" s="45"/>
      <c r="V955" s="45"/>
      <c r="W955" s="38"/>
    </row>
    <row r="956" spans="1:23">
      <c r="A956" s="45" t="str">
        <f>_xlfn.TEXTJOIN("",TRUE,Input!$B$2,ROW(My_Audit!A955))</f>
        <v>XX955</v>
      </c>
      <c r="B956" s="45"/>
      <c r="C956" s="45"/>
      <c r="D956" s="46" t="str">
        <f>_xlfn.XLOOKUP(A956,My_Audit!A:A,My_Audit!D:D,"")&amp;""</f>
        <v/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6" t="str">
        <f>_xlfn.XLOOKUP(E956,Models!I:I,Models!J:J,"")</f>
        <v/>
      </c>
      <c r="U956" s="45"/>
      <c r="V956" s="45"/>
      <c r="W956" s="38"/>
    </row>
    <row r="957" spans="1:23">
      <c r="A957" s="45" t="str">
        <f>_xlfn.TEXTJOIN("",TRUE,Input!$B$2,ROW(My_Audit!A956))</f>
        <v>XX956</v>
      </c>
      <c r="B957" s="45"/>
      <c r="C957" s="45"/>
      <c r="D957" s="46" t="str">
        <f>_xlfn.XLOOKUP(A957,My_Audit!A:A,My_Audit!D:D,"")&amp;""</f>
        <v/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6" t="str">
        <f>_xlfn.XLOOKUP(E957,Models!I:I,Models!J:J,"")</f>
        <v/>
      </c>
      <c r="U957" s="45"/>
      <c r="V957" s="45"/>
      <c r="W957" s="38"/>
    </row>
    <row r="958" spans="1:23">
      <c r="A958" s="45" t="str">
        <f>_xlfn.TEXTJOIN("",TRUE,Input!$B$2,ROW(My_Audit!A957))</f>
        <v>XX957</v>
      </c>
      <c r="B958" s="45"/>
      <c r="C958" s="45"/>
      <c r="D958" s="46" t="str">
        <f>_xlfn.XLOOKUP(A958,My_Audit!A:A,My_Audit!D:D,"")&amp;""</f>
        <v/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6" t="str">
        <f>_xlfn.XLOOKUP(E958,Models!I:I,Models!J:J,"")</f>
        <v/>
      </c>
      <c r="U958" s="45"/>
      <c r="V958" s="45"/>
      <c r="W958" s="38"/>
    </row>
    <row r="959" spans="1:23">
      <c r="A959" s="45" t="str">
        <f>_xlfn.TEXTJOIN("",TRUE,Input!$B$2,ROW(My_Audit!A958))</f>
        <v>XX958</v>
      </c>
      <c r="B959" s="45"/>
      <c r="C959" s="45"/>
      <c r="D959" s="46" t="str">
        <f>_xlfn.XLOOKUP(A959,My_Audit!A:A,My_Audit!D:D,"")&amp;""</f>
        <v/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6" t="str">
        <f>_xlfn.XLOOKUP(E959,Models!I:I,Models!J:J,"")</f>
        <v/>
      </c>
      <c r="U959" s="45"/>
      <c r="V959" s="45"/>
      <c r="W959" s="38"/>
    </row>
    <row r="960" spans="1:23">
      <c r="A960" s="45" t="str">
        <f>_xlfn.TEXTJOIN("",TRUE,Input!$B$2,ROW(My_Audit!A959))</f>
        <v>XX959</v>
      </c>
      <c r="B960" s="45"/>
      <c r="C960" s="45"/>
      <c r="D960" s="46" t="str">
        <f>_xlfn.XLOOKUP(A960,My_Audit!A:A,My_Audit!D:D,"")&amp;""</f>
        <v/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6" t="str">
        <f>_xlfn.XLOOKUP(E960,Models!I:I,Models!J:J,"")</f>
        <v/>
      </c>
      <c r="U960" s="45"/>
      <c r="V960" s="45"/>
      <c r="W960" s="38"/>
    </row>
    <row r="961" spans="1:23">
      <c r="A961" s="45" t="str">
        <f>_xlfn.TEXTJOIN("",TRUE,Input!$B$2,ROW(My_Audit!A960))</f>
        <v>XX960</v>
      </c>
      <c r="B961" s="45"/>
      <c r="C961" s="45"/>
      <c r="D961" s="46" t="str">
        <f>_xlfn.XLOOKUP(A961,My_Audit!A:A,My_Audit!D:D,"")&amp;""</f>
        <v/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6" t="str">
        <f>_xlfn.XLOOKUP(E961,Models!I:I,Models!J:J,"")</f>
        <v/>
      </c>
      <c r="U961" s="45"/>
      <c r="V961" s="45"/>
      <c r="W961" s="38"/>
    </row>
    <row r="962" spans="1:23">
      <c r="A962" s="45" t="str">
        <f>_xlfn.TEXTJOIN("",TRUE,Input!$B$2,ROW(My_Audit!A961))</f>
        <v>XX961</v>
      </c>
      <c r="B962" s="45"/>
      <c r="C962" s="45"/>
      <c r="D962" s="46" t="str">
        <f>_xlfn.XLOOKUP(A962,My_Audit!A:A,My_Audit!D:D,"")&amp;""</f>
        <v/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6" t="str">
        <f>_xlfn.XLOOKUP(E962,Models!I:I,Models!J:J,"")</f>
        <v/>
      </c>
      <c r="U962" s="45"/>
      <c r="V962" s="45"/>
      <c r="W962" s="38"/>
    </row>
    <row r="963" spans="1:23">
      <c r="A963" s="45" t="str">
        <f>_xlfn.TEXTJOIN("",TRUE,Input!$B$2,ROW(My_Audit!A962))</f>
        <v>XX962</v>
      </c>
      <c r="B963" s="45"/>
      <c r="C963" s="45"/>
      <c r="D963" s="46" t="str">
        <f>_xlfn.XLOOKUP(A963,My_Audit!A:A,My_Audit!D:D,"")&amp;""</f>
        <v/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6" t="str">
        <f>_xlfn.XLOOKUP(E963,Models!I:I,Models!J:J,"")</f>
        <v/>
      </c>
      <c r="U963" s="45"/>
      <c r="V963" s="45"/>
      <c r="W963" s="38"/>
    </row>
    <row r="964" spans="1:23">
      <c r="A964" s="45" t="str">
        <f>_xlfn.TEXTJOIN("",TRUE,Input!$B$2,ROW(My_Audit!A963))</f>
        <v>XX963</v>
      </c>
      <c r="B964" s="45"/>
      <c r="C964" s="45"/>
      <c r="D964" s="46" t="str">
        <f>_xlfn.XLOOKUP(A964,My_Audit!A:A,My_Audit!D:D,"")&amp;""</f>
        <v/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6" t="str">
        <f>_xlfn.XLOOKUP(E964,Models!I:I,Models!J:J,"")</f>
        <v/>
      </c>
      <c r="U964" s="45"/>
      <c r="V964" s="45"/>
      <c r="W964" s="38"/>
    </row>
    <row r="965" spans="1:23">
      <c r="A965" s="45" t="str">
        <f>_xlfn.TEXTJOIN("",TRUE,Input!$B$2,ROW(My_Audit!A964))</f>
        <v>XX964</v>
      </c>
      <c r="B965" s="45"/>
      <c r="C965" s="45"/>
      <c r="D965" s="46" t="str">
        <f>_xlfn.XLOOKUP(A965,My_Audit!A:A,My_Audit!D:D,"")&amp;""</f>
        <v/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6" t="str">
        <f>_xlfn.XLOOKUP(E965,Models!I:I,Models!J:J,"")</f>
        <v/>
      </c>
      <c r="U965" s="45"/>
      <c r="V965" s="45"/>
      <c r="W965" s="38"/>
    </row>
    <row r="966" spans="1:23">
      <c r="A966" s="45" t="str">
        <f>_xlfn.TEXTJOIN("",TRUE,Input!$B$2,ROW(My_Audit!A965))</f>
        <v>XX965</v>
      </c>
      <c r="B966" s="45"/>
      <c r="C966" s="45"/>
      <c r="D966" s="46" t="str">
        <f>_xlfn.XLOOKUP(A966,My_Audit!A:A,My_Audit!D:D,"")&amp;""</f>
        <v/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6" t="str">
        <f>_xlfn.XLOOKUP(E966,Models!I:I,Models!J:J,"")</f>
        <v/>
      </c>
      <c r="U966" s="45"/>
      <c r="V966" s="45"/>
      <c r="W966" s="38"/>
    </row>
    <row r="967" spans="1:23">
      <c r="A967" s="45" t="str">
        <f>_xlfn.TEXTJOIN("",TRUE,Input!$B$2,ROW(My_Audit!A966))</f>
        <v>XX966</v>
      </c>
      <c r="B967" s="45"/>
      <c r="C967" s="45"/>
      <c r="D967" s="46" t="str">
        <f>_xlfn.XLOOKUP(A967,My_Audit!A:A,My_Audit!D:D,"")&amp;""</f>
        <v/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6" t="str">
        <f>_xlfn.XLOOKUP(E967,Models!I:I,Models!J:J,"")</f>
        <v/>
      </c>
      <c r="U967" s="45"/>
      <c r="V967" s="45"/>
      <c r="W967" s="38"/>
    </row>
    <row r="968" spans="1:23">
      <c r="A968" s="45" t="str">
        <f>_xlfn.TEXTJOIN("",TRUE,Input!$B$2,ROW(My_Audit!A967))</f>
        <v>XX967</v>
      </c>
      <c r="B968" s="45"/>
      <c r="C968" s="45"/>
      <c r="D968" s="46" t="str">
        <f>_xlfn.XLOOKUP(A968,My_Audit!A:A,My_Audit!D:D,"")&amp;""</f>
        <v/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6" t="str">
        <f>_xlfn.XLOOKUP(E968,Models!I:I,Models!J:J,"")</f>
        <v/>
      </c>
      <c r="U968" s="45"/>
      <c r="V968" s="45"/>
      <c r="W968" s="38"/>
    </row>
    <row r="969" spans="1:23">
      <c r="A969" s="45" t="str">
        <f>_xlfn.TEXTJOIN("",TRUE,Input!$B$2,ROW(My_Audit!A968))</f>
        <v>XX968</v>
      </c>
      <c r="B969" s="45"/>
      <c r="C969" s="45"/>
      <c r="D969" s="46" t="str">
        <f>_xlfn.XLOOKUP(A969,My_Audit!A:A,My_Audit!D:D,"")&amp;""</f>
        <v/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6" t="str">
        <f>_xlfn.XLOOKUP(E969,Models!I:I,Models!J:J,"")</f>
        <v/>
      </c>
      <c r="U969" s="45"/>
      <c r="V969" s="45"/>
      <c r="W969" s="38"/>
    </row>
    <row r="970" spans="1:23">
      <c r="A970" s="45" t="str">
        <f>_xlfn.TEXTJOIN("",TRUE,Input!$B$2,ROW(My_Audit!A969))</f>
        <v>XX969</v>
      </c>
      <c r="B970" s="45"/>
      <c r="C970" s="45"/>
      <c r="D970" s="46" t="str">
        <f>_xlfn.XLOOKUP(A970,My_Audit!A:A,My_Audit!D:D,"")&amp;""</f>
        <v/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6" t="str">
        <f>_xlfn.XLOOKUP(E970,Models!I:I,Models!J:J,"")</f>
        <v/>
      </c>
      <c r="U970" s="45"/>
      <c r="V970" s="45"/>
      <c r="W970" s="38"/>
    </row>
    <row r="971" spans="1:23">
      <c r="A971" s="45" t="str">
        <f>_xlfn.TEXTJOIN("",TRUE,Input!$B$2,ROW(My_Audit!A970))</f>
        <v>XX970</v>
      </c>
      <c r="B971" s="45"/>
      <c r="C971" s="45"/>
      <c r="D971" s="46" t="str">
        <f>_xlfn.XLOOKUP(A971,My_Audit!A:A,My_Audit!D:D,"")&amp;""</f>
        <v/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6" t="str">
        <f>_xlfn.XLOOKUP(E971,Models!I:I,Models!J:J,"")</f>
        <v/>
      </c>
      <c r="U971" s="45"/>
      <c r="V971" s="45"/>
      <c r="W971" s="38"/>
    </row>
    <row r="972" spans="1:23">
      <c r="A972" s="45" t="str">
        <f>_xlfn.TEXTJOIN("",TRUE,Input!$B$2,ROW(My_Audit!A971))</f>
        <v>XX971</v>
      </c>
      <c r="B972" s="45"/>
      <c r="C972" s="45"/>
      <c r="D972" s="46" t="str">
        <f>_xlfn.XLOOKUP(A972,My_Audit!A:A,My_Audit!D:D,"")&amp;""</f>
        <v/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6" t="str">
        <f>_xlfn.XLOOKUP(E972,Models!I:I,Models!J:J,"")</f>
        <v/>
      </c>
      <c r="U972" s="45"/>
      <c r="V972" s="45"/>
      <c r="W972" s="38"/>
    </row>
    <row r="973" spans="1:23">
      <c r="A973" s="45" t="str">
        <f>_xlfn.TEXTJOIN("",TRUE,Input!$B$2,ROW(My_Audit!A972))</f>
        <v>XX972</v>
      </c>
      <c r="B973" s="45"/>
      <c r="C973" s="45"/>
      <c r="D973" s="46" t="str">
        <f>_xlfn.XLOOKUP(A973,My_Audit!A:A,My_Audit!D:D,"")&amp;""</f>
        <v/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6" t="str">
        <f>_xlfn.XLOOKUP(E973,Models!I:I,Models!J:J,"")</f>
        <v/>
      </c>
      <c r="U973" s="45"/>
      <c r="V973" s="45"/>
      <c r="W973" s="38"/>
    </row>
    <row r="974" spans="1:23">
      <c r="A974" s="45" t="str">
        <f>_xlfn.TEXTJOIN("",TRUE,Input!$B$2,ROW(My_Audit!A973))</f>
        <v>XX973</v>
      </c>
      <c r="B974" s="45"/>
      <c r="C974" s="45"/>
      <c r="D974" s="46" t="str">
        <f>_xlfn.XLOOKUP(A974,My_Audit!A:A,My_Audit!D:D,"")&amp;""</f>
        <v/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6" t="str">
        <f>_xlfn.XLOOKUP(E974,Models!I:I,Models!J:J,"")</f>
        <v/>
      </c>
      <c r="U974" s="45"/>
      <c r="V974" s="45"/>
      <c r="W974" s="38"/>
    </row>
    <row r="975" spans="1:23">
      <c r="A975" s="45" t="str">
        <f>_xlfn.TEXTJOIN("",TRUE,Input!$B$2,ROW(My_Audit!A974))</f>
        <v>XX974</v>
      </c>
      <c r="B975" s="45"/>
      <c r="C975" s="45"/>
      <c r="D975" s="46" t="str">
        <f>_xlfn.XLOOKUP(A975,My_Audit!A:A,My_Audit!D:D,"")&amp;""</f>
        <v/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6" t="str">
        <f>_xlfn.XLOOKUP(E975,Models!I:I,Models!J:J,"")</f>
        <v/>
      </c>
      <c r="U975" s="45"/>
      <c r="V975" s="45"/>
      <c r="W975" s="38"/>
    </row>
    <row r="976" spans="1:23">
      <c r="A976" s="45" t="str">
        <f>_xlfn.TEXTJOIN("",TRUE,Input!$B$2,ROW(My_Audit!A975))</f>
        <v>XX975</v>
      </c>
      <c r="B976" s="45"/>
      <c r="C976" s="45"/>
      <c r="D976" s="46" t="str">
        <f>_xlfn.XLOOKUP(A976,My_Audit!A:A,My_Audit!D:D,"")&amp;""</f>
        <v/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6" t="str">
        <f>_xlfn.XLOOKUP(E976,Models!I:I,Models!J:J,"")</f>
        <v/>
      </c>
      <c r="U976" s="45"/>
      <c r="V976" s="45"/>
      <c r="W976" s="38"/>
    </row>
    <row r="977" spans="1:23">
      <c r="A977" s="45" t="str">
        <f>_xlfn.TEXTJOIN("",TRUE,Input!$B$2,ROW(My_Audit!A976))</f>
        <v>XX976</v>
      </c>
      <c r="B977" s="45"/>
      <c r="C977" s="45"/>
      <c r="D977" s="46" t="str">
        <f>_xlfn.XLOOKUP(A977,My_Audit!A:A,My_Audit!D:D,"")&amp;""</f>
        <v/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6" t="str">
        <f>_xlfn.XLOOKUP(E977,Models!I:I,Models!J:J,"")</f>
        <v/>
      </c>
      <c r="U977" s="45"/>
      <c r="V977" s="45"/>
      <c r="W977" s="38"/>
    </row>
    <row r="978" spans="1:23">
      <c r="A978" s="45" t="str">
        <f>_xlfn.TEXTJOIN("",TRUE,Input!$B$2,ROW(My_Audit!A977))</f>
        <v>XX977</v>
      </c>
      <c r="B978" s="45"/>
      <c r="C978" s="45"/>
      <c r="D978" s="46" t="str">
        <f>_xlfn.XLOOKUP(A978,My_Audit!A:A,My_Audit!D:D,"")&amp;""</f>
        <v/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6" t="str">
        <f>_xlfn.XLOOKUP(E978,Models!I:I,Models!J:J,"")</f>
        <v/>
      </c>
      <c r="U978" s="45"/>
      <c r="V978" s="45"/>
      <c r="W978" s="38"/>
    </row>
    <row r="979" spans="1:23">
      <c r="A979" s="45" t="str">
        <f>_xlfn.TEXTJOIN("",TRUE,Input!$B$2,ROW(My_Audit!A978))</f>
        <v>XX978</v>
      </c>
      <c r="B979" s="45"/>
      <c r="C979" s="45"/>
      <c r="D979" s="46" t="str">
        <f>_xlfn.XLOOKUP(A979,My_Audit!A:A,My_Audit!D:D,"")&amp;""</f>
        <v/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6" t="str">
        <f>_xlfn.XLOOKUP(E979,Models!I:I,Models!J:J,"")</f>
        <v/>
      </c>
      <c r="U979" s="45"/>
      <c r="V979" s="45"/>
      <c r="W979" s="38"/>
    </row>
    <row r="980" spans="1:23">
      <c r="A980" s="45" t="str">
        <f>_xlfn.TEXTJOIN("",TRUE,Input!$B$2,ROW(My_Audit!A979))</f>
        <v>XX979</v>
      </c>
      <c r="B980" s="45"/>
      <c r="C980" s="45"/>
      <c r="D980" s="46" t="str">
        <f>_xlfn.XLOOKUP(A980,My_Audit!A:A,My_Audit!D:D,"")&amp;""</f>
        <v/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6" t="str">
        <f>_xlfn.XLOOKUP(E980,Models!I:I,Models!J:J,"")</f>
        <v/>
      </c>
      <c r="U980" s="45"/>
      <c r="V980" s="45"/>
      <c r="W980" s="38"/>
    </row>
    <row r="981" spans="1:23">
      <c r="A981" s="45" t="str">
        <f>_xlfn.TEXTJOIN("",TRUE,Input!$B$2,ROW(My_Audit!A980))</f>
        <v>XX980</v>
      </c>
      <c r="B981" s="45"/>
      <c r="C981" s="45"/>
      <c r="D981" s="46" t="str">
        <f>_xlfn.XLOOKUP(A981,My_Audit!A:A,My_Audit!D:D,"")&amp;""</f>
        <v/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6" t="str">
        <f>_xlfn.XLOOKUP(E981,Models!I:I,Models!J:J,"")</f>
        <v/>
      </c>
      <c r="U981" s="45"/>
      <c r="V981" s="45"/>
      <c r="W981" s="38"/>
    </row>
    <row r="982" spans="1:23">
      <c r="A982" s="45" t="str">
        <f>_xlfn.TEXTJOIN("",TRUE,Input!$B$2,ROW(My_Audit!A981))</f>
        <v>XX981</v>
      </c>
      <c r="B982" s="45"/>
      <c r="C982" s="45"/>
      <c r="D982" s="46" t="str">
        <f>_xlfn.XLOOKUP(A982,My_Audit!A:A,My_Audit!D:D,"")&amp;""</f>
        <v/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6" t="str">
        <f>_xlfn.XLOOKUP(E982,Models!I:I,Models!J:J,"")</f>
        <v/>
      </c>
      <c r="U982" s="45"/>
      <c r="V982" s="45"/>
      <c r="W982" s="38"/>
    </row>
    <row r="983" spans="1:23">
      <c r="A983" s="45" t="str">
        <f>_xlfn.TEXTJOIN("",TRUE,Input!$B$2,ROW(My_Audit!A982))</f>
        <v>XX982</v>
      </c>
      <c r="B983" s="45"/>
      <c r="C983" s="45"/>
      <c r="D983" s="46" t="str">
        <f>_xlfn.XLOOKUP(A983,My_Audit!A:A,My_Audit!D:D,"")&amp;""</f>
        <v/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6" t="str">
        <f>_xlfn.XLOOKUP(E983,Models!I:I,Models!J:J,"")</f>
        <v/>
      </c>
      <c r="U983" s="45"/>
      <c r="V983" s="45"/>
      <c r="W983" s="38"/>
    </row>
    <row r="984" spans="1:23">
      <c r="A984" s="45" t="str">
        <f>_xlfn.TEXTJOIN("",TRUE,Input!$B$2,ROW(My_Audit!A983))</f>
        <v>XX983</v>
      </c>
      <c r="B984" s="45"/>
      <c r="C984" s="45"/>
      <c r="D984" s="46" t="str">
        <f>_xlfn.XLOOKUP(A984,My_Audit!A:A,My_Audit!D:D,"")&amp;""</f>
        <v/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6" t="str">
        <f>_xlfn.XLOOKUP(E984,Models!I:I,Models!J:J,"")</f>
        <v/>
      </c>
      <c r="U984" s="45"/>
      <c r="V984" s="45"/>
      <c r="W984" s="38"/>
    </row>
    <row r="985" spans="1:23">
      <c r="A985" s="45" t="str">
        <f>_xlfn.TEXTJOIN("",TRUE,Input!$B$2,ROW(My_Audit!A984))</f>
        <v>XX984</v>
      </c>
      <c r="B985" s="45"/>
      <c r="C985" s="45"/>
      <c r="D985" s="46" t="str">
        <f>_xlfn.XLOOKUP(A985,My_Audit!A:A,My_Audit!D:D,"")&amp;""</f>
        <v/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6" t="str">
        <f>_xlfn.XLOOKUP(E985,Models!I:I,Models!J:J,"")</f>
        <v/>
      </c>
      <c r="U985" s="45"/>
      <c r="V985" s="45"/>
      <c r="W985" s="38"/>
    </row>
    <row r="986" spans="1:23">
      <c r="A986" s="45" t="str">
        <f>_xlfn.TEXTJOIN("",TRUE,Input!$B$2,ROW(My_Audit!A985))</f>
        <v>XX985</v>
      </c>
      <c r="B986" s="45"/>
      <c r="C986" s="45"/>
      <c r="D986" s="46" t="str">
        <f>_xlfn.XLOOKUP(A986,My_Audit!A:A,My_Audit!D:D,"")&amp;""</f>
        <v/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6" t="str">
        <f>_xlfn.XLOOKUP(E986,Models!I:I,Models!J:J,"")</f>
        <v/>
      </c>
      <c r="U986" s="45"/>
      <c r="V986" s="45"/>
      <c r="W986" s="38"/>
    </row>
    <row r="987" spans="1:23">
      <c r="A987" s="45" t="str">
        <f>_xlfn.TEXTJOIN("",TRUE,Input!$B$2,ROW(My_Audit!A986))</f>
        <v>XX986</v>
      </c>
      <c r="B987" s="45"/>
      <c r="C987" s="45"/>
      <c r="D987" s="46" t="str">
        <f>_xlfn.XLOOKUP(A987,My_Audit!A:A,My_Audit!D:D,"")&amp;""</f>
        <v/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6" t="str">
        <f>_xlfn.XLOOKUP(E987,Models!I:I,Models!J:J,"")</f>
        <v/>
      </c>
      <c r="U987" s="45"/>
      <c r="V987" s="45"/>
      <c r="W987" s="38"/>
    </row>
    <row r="988" spans="1:23">
      <c r="A988" s="45" t="str">
        <f>_xlfn.TEXTJOIN("",TRUE,Input!$B$2,ROW(My_Audit!A987))</f>
        <v>XX987</v>
      </c>
      <c r="B988" s="45"/>
      <c r="C988" s="45"/>
      <c r="D988" s="46" t="str">
        <f>_xlfn.XLOOKUP(A988,My_Audit!A:A,My_Audit!D:D,"")&amp;""</f>
        <v/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6" t="str">
        <f>_xlfn.XLOOKUP(E988,Models!I:I,Models!J:J,"")</f>
        <v/>
      </c>
      <c r="U988" s="45"/>
      <c r="V988" s="45"/>
      <c r="W988" s="38"/>
    </row>
    <row r="989" spans="1:23">
      <c r="A989" s="45" t="str">
        <f>_xlfn.TEXTJOIN("",TRUE,Input!$B$2,ROW(My_Audit!A988))</f>
        <v>XX988</v>
      </c>
      <c r="B989" s="45"/>
      <c r="C989" s="45"/>
      <c r="D989" s="46" t="str">
        <f>_xlfn.XLOOKUP(A989,My_Audit!A:A,My_Audit!D:D,"")&amp;""</f>
        <v/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6" t="str">
        <f>_xlfn.XLOOKUP(E989,Models!I:I,Models!J:J,"")</f>
        <v/>
      </c>
      <c r="U989" s="45"/>
      <c r="V989" s="45"/>
      <c r="W989" s="38"/>
    </row>
    <row r="990" spans="1:23">
      <c r="A990" s="45" t="str">
        <f>_xlfn.TEXTJOIN("",TRUE,Input!$B$2,ROW(My_Audit!A989))</f>
        <v>XX989</v>
      </c>
      <c r="B990" s="45"/>
      <c r="C990" s="45"/>
      <c r="D990" s="46" t="str">
        <f>_xlfn.XLOOKUP(A990,My_Audit!A:A,My_Audit!D:D,"")&amp;""</f>
        <v/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6" t="str">
        <f>_xlfn.XLOOKUP(E990,Models!I:I,Models!J:J,"")</f>
        <v/>
      </c>
      <c r="U990" s="45"/>
      <c r="V990" s="45"/>
      <c r="W990" s="38"/>
    </row>
    <row r="991" spans="1:23">
      <c r="A991" s="45" t="str">
        <f>_xlfn.TEXTJOIN("",TRUE,Input!$B$2,ROW(My_Audit!A990))</f>
        <v>XX990</v>
      </c>
      <c r="B991" s="45"/>
      <c r="C991" s="45"/>
      <c r="D991" s="46" t="str">
        <f>_xlfn.XLOOKUP(A991,My_Audit!A:A,My_Audit!D:D,"")&amp;""</f>
        <v/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6" t="str">
        <f>_xlfn.XLOOKUP(E991,Models!I:I,Models!J:J,"")</f>
        <v/>
      </c>
      <c r="U991" s="45"/>
      <c r="V991" s="45"/>
      <c r="W991" s="38"/>
    </row>
    <row r="992" spans="1:23">
      <c r="A992" s="45" t="str">
        <f>_xlfn.TEXTJOIN("",TRUE,Input!$B$2,ROW(My_Audit!A991))</f>
        <v>XX991</v>
      </c>
      <c r="B992" s="45"/>
      <c r="C992" s="45"/>
      <c r="D992" s="46" t="str">
        <f>_xlfn.XLOOKUP(A992,My_Audit!A:A,My_Audit!D:D,"")&amp;""</f>
        <v/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6" t="str">
        <f>_xlfn.XLOOKUP(E992,Models!I:I,Models!J:J,"")</f>
        <v/>
      </c>
      <c r="U992" s="45"/>
      <c r="V992" s="45"/>
      <c r="W992" s="38"/>
    </row>
    <row r="993" spans="1:23">
      <c r="A993" s="45" t="str">
        <f>_xlfn.TEXTJOIN("",TRUE,Input!$B$2,ROW(My_Audit!A992))</f>
        <v>XX992</v>
      </c>
      <c r="B993" s="45"/>
      <c r="C993" s="45"/>
      <c r="D993" s="46" t="str">
        <f>_xlfn.XLOOKUP(A993,My_Audit!A:A,My_Audit!D:D,"")&amp;""</f>
        <v/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6" t="str">
        <f>_xlfn.XLOOKUP(E993,Models!I:I,Models!J:J,"")</f>
        <v/>
      </c>
      <c r="U993" s="45"/>
      <c r="V993" s="45"/>
      <c r="W993" s="38"/>
    </row>
    <row r="994" spans="1:23">
      <c r="A994" s="45" t="str">
        <f>_xlfn.TEXTJOIN("",TRUE,Input!$B$2,ROW(My_Audit!A993))</f>
        <v>XX993</v>
      </c>
      <c r="B994" s="45"/>
      <c r="C994" s="45"/>
      <c r="D994" s="46" t="str">
        <f>_xlfn.XLOOKUP(A994,My_Audit!A:A,My_Audit!D:D,"")&amp;""</f>
        <v/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6" t="str">
        <f>_xlfn.XLOOKUP(E994,Models!I:I,Models!J:J,"")</f>
        <v/>
      </c>
      <c r="U994" s="45"/>
      <c r="V994" s="45"/>
      <c r="W994" s="38"/>
    </row>
    <row r="995" spans="1:23">
      <c r="A995" s="45" t="str">
        <f>_xlfn.TEXTJOIN("",TRUE,Input!$B$2,ROW(My_Audit!A994))</f>
        <v>XX994</v>
      </c>
      <c r="B995" s="45"/>
      <c r="C995" s="45"/>
      <c r="D995" s="46" t="str">
        <f>_xlfn.XLOOKUP(A995,My_Audit!A:A,My_Audit!D:D,"")&amp;""</f>
        <v/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6" t="str">
        <f>_xlfn.XLOOKUP(E995,Models!I:I,Models!J:J,"")</f>
        <v/>
      </c>
      <c r="U995" s="45"/>
      <c r="V995" s="45"/>
      <c r="W995" s="38"/>
    </row>
    <row r="996" spans="1:23">
      <c r="A996" s="45" t="str">
        <f>_xlfn.TEXTJOIN("",TRUE,Input!$B$2,ROW(My_Audit!A995))</f>
        <v>XX995</v>
      </c>
      <c r="B996" s="45"/>
      <c r="C996" s="45"/>
      <c r="D996" s="46" t="str">
        <f>_xlfn.XLOOKUP(A996,My_Audit!A:A,My_Audit!D:D,"")&amp;""</f>
        <v/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6" t="str">
        <f>_xlfn.XLOOKUP(E996,Models!I:I,Models!J:J,"")</f>
        <v/>
      </c>
      <c r="U996" s="45"/>
      <c r="V996" s="45"/>
      <c r="W996" s="38"/>
    </row>
    <row r="997" spans="1:23">
      <c r="A997" s="45" t="str">
        <f>_xlfn.TEXTJOIN("",TRUE,Input!$B$2,ROW(My_Audit!A996))</f>
        <v>XX996</v>
      </c>
      <c r="B997" s="45"/>
      <c r="C997" s="45"/>
      <c r="D997" s="46" t="str">
        <f>_xlfn.XLOOKUP(A997,My_Audit!A:A,My_Audit!D:D,"")&amp;""</f>
        <v/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6" t="str">
        <f>_xlfn.XLOOKUP(E997,Models!I:I,Models!J:J,"")</f>
        <v/>
      </c>
      <c r="U997" s="45"/>
      <c r="V997" s="45"/>
      <c r="W997" s="38"/>
    </row>
    <row r="998" spans="1:23">
      <c r="A998" s="45" t="str">
        <f>_xlfn.TEXTJOIN("",TRUE,Input!$B$2,ROW(My_Audit!A997))</f>
        <v>XX997</v>
      </c>
      <c r="B998" s="45"/>
      <c r="C998" s="45"/>
      <c r="D998" s="46" t="str">
        <f>_xlfn.XLOOKUP(A998,My_Audit!A:A,My_Audit!D:D,"")&amp;""</f>
        <v/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6" t="str">
        <f>_xlfn.XLOOKUP(E998,Models!I:I,Models!J:J,"")</f>
        <v/>
      </c>
      <c r="U998" s="45"/>
      <c r="V998" s="45"/>
      <c r="W998" s="38"/>
    </row>
    <row r="999" spans="1:23">
      <c r="A999" s="45" t="str">
        <f>_xlfn.TEXTJOIN("",TRUE,Input!$B$2,ROW(My_Audit!A998))</f>
        <v>XX998</v>
      </c>
      <c r="B999" s="45"/>
      <c r="C999" s="45"/>
      <c r="D999" s="46" t="str">
        <f>_xlfn.XLOOKUP(A999,My_Audit!A:A,My_Audit!D:D,"")&amp;""</f>
        <v/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6" t="str">
        <f>_xlfn.XLOOKUP(E999,Models!I:I,Models!J:J,"")</f>
        <v/>
      </c>
      <c r="U999" s="45"/>
      <c r="V999" s="45"/>
      <c r="W999" s="38"/>
    </row>
    <row r="1000" spans="1:23">
      <c r="A1000" s="45" t="str">
        <f>_xlfn.TEXTJOIN("",TRUE,Input!$B$2,ROW(My_Audit!A999))</f>
        <v>XX999</v>
      </c>
      <c r="B1000" s="45"/>
      <c r="C1000" s="45"/>
      <c r="D1000" s="46" t="str">
        <f>_xlfn.XLOOKUP(A1000,My_Audit!A:A,My_Audit!D:D,"")&amp;""</f>
        <v/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6" t="str">
        <f>_xlfn.XLOOKUP(E1000,Models!I:I,Models!J:J,"")</f>
        <v/>
      </c>
      <c r="U1000" s="45"/>
      <c r="V1000" s="45"/>
      <c r="W1000" s="38"/>
    </row>
    <row r="1001" spans="1:23">
      <c r="A1001" s="45" t="str">
        <f>_xlfn.TEXTJOIN("",TRUE,Input!$B$2,ROW(My_Audit!A1000))</f>
        <v>XX1000</v>
      </c>
      <c r="B1001" s="45"/>
      <c r="C1001" s="45"/>
      <c r="D1001" s="46" t="str">
        <f>_xlfn.XLOOKUP(A1001,My_Audit!A:A,My_Audit!D:D,"")&amp;""</f>
        <v/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6" t="str">
        <f>_xlfn.XLOOKUP(E1001,Models!I:I,Models!J:J,"")</f>
        <v/>
      </c>
      <c r="U1001" s="45"/>
      <c r="V1001" s="45"/>
      <c r="W1001" s="38"/>
    </row>
    <row r="1002" spans="1:23">
      <c r="A1002" s="45" t="str">
        <f>_xlfn.TEXTJOIN("",TRUE,Input!$B$2,ROW(My_Audit!A1001))</f>
        <v>XX1001</v>
      </c>
      <c r="B1002" s="45"/>
      <c r="C1002" s="45"/>
      <c r="D1002" s="46" t="str">
        <f>_xlfn.XLOOKUP(A1002,My_Audit!A:A,My_Audit!D:D,"")&amp;""</f>
        <v/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6" t="str">
        <f>_xlfn.XLOOKUP(E1002,Models!I:I,Models!J:J,"")</f>
        <v/>
      </c>
      <c r="U1002" s="45"/>
      <c r="V1002" s="45"/>
      <c r="W1002" s="38"/>
    </row>
    <row r="1003" spans="1:23">
      <c r="A1003" s="45" t="str">
        <f>_xlfn.TEXTJOIN("",TRUE,Input!$B$2,ROW(My_Audit!A1002))</f>
        <v>XX1002</v>
      </c>
      <c r="B1003" s="45"/>
      <c r="C1003" s="45"/>
      <c r="D1003" s="46" t="str">
        <f>_xlfn.XLOOKUP(A1003,My_Audit!A:A,My_Audit!D:D,"")&amp;""</f>
        <v/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6" t="str">
        <f>_xlfn.XLOOKUP(E1003,Models!I:I,Models!J:J,"")</f>
        <v/>
      </c>
      <c r="U1003" s="45"/>
      <c r="V1003" s="45"/>
      <c r="W1003" s="38"/>
    </row>
    <row r="1004" spans="1:23">
      <c r="A1004" s="45" t="str">
        <f>_xlfn.TEXTJOIN("",TRUE,Input!$B$2,ROW(My_Audit!A1003))</f>
        <v>XX1003</v>
      </c>
      <c r="B1004" s="45"/>
      <c r="C1004" s="45"/>
      <c r="D1004" s="46" t="str">
        <f>_xlfn.XLOOKUP(A1004,My_Audit!A:A,My_Audit!D:D,"")&amp;""</f>
        <v/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6" t="str">
        <f>_xlfn.XLOOKUP(E1004,Models!I:I,Models!J:J,"")</f>
        <v/>
      </c>
      <c r="U1004" s="45"/>
      <c r="V1004" s="45"/>
      <c r="W1004" s="38"/>
    </row>
    <row r="1005" spans="1:23">
      <c r="A1005" s="45" t="str">
        <f>_xlfn.TEXTJOIN("",TRUE,Input!$B$2,ROW(My_Audit!A1004))</f>
        <v>XX1004</v>
      </c>
      <c r="B1005" s="45"/>
      <c r="C1005" s="45"/>
      <c r="D1005" s="46" t="str">
        <f>_xlfn.XLOOKUP(A1005,My_Audit!A:A,My_Audit!D:D,"")&amp;""</f>
        <v/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6" t="str">
        <f>_xlfn.XLOOKUP(E1005,Models!I:I,Models!J:J,"")</f>
        <v/>
      </c>
      <c r="U1005" s="45"/>
      <c r="V1005" s="45"/>
      <c r="W1005" s="38"/>
    </row>
    <row r="1006" spans="1:23">
      <c r="A1006" s="45" t="str">
        <f>_xlfn.TEXTJOIN("",TRUE,Input!$B$2,ROW(My_Audit!A1005))</f>
        <v>XX1005</v>
      </c>
      <c r="B1006" s="45"/>
      <c r="C1006" s="45"/>
      <c r="D1006" s="46" t="str">
        <f>_xlfn.XLOOKUP(A1006,My_Audit!A:A,My_Audit!D:D,"")&amp;""</f>
        <v/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6" t="str">
        <f>_xlfn.XLOOKUP(E1006,Models!I:I,Models!J:J,"")</f>
        <v/>
      </c>
      <c r="U1006" s="45"/>
      <c r="V1006" s="45"/>
      <c r="W1006" s="38"/>
    </row>
    <row r="1007" spans="1:23">
      <c r="A1007" s="45" t="str">
        <f>_xlfn.TEXTJOIN("",TRUE,Input!$B$2,ROW(My_Audit!A1006))</f>
        <v>XX1006</v>
      </c>
      <c r="B1007" s="45"/>
      <c r="C1007" s="45"/>
      <c r="D1007" s="46" t="str">
        <f>_xlfn.XLOOKUP(A1007,My_Audit!A:A,My_Audit!D:D,"")&amp;""</f>
        <v/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6" t="str">
        <f>_xlfn.XLOOKUP(E1007,Models!I:I,Models!J:J,"")</f>
        <v/>
      </c>
      <c r="U1007" s="45"/>
      <c r="V1007" s="45"/>
      <c r="W1007" s="38"/>
    </row>
    <row r="1008" spans="1:23">
      <c r="A1008" s="45" t="str">
        <f>_xlfn.TEXTJOIN("",TRUE,Input!$B$2,ROW(My_Audit!A1007))</f>
        <v>XX1007</v>
      </c>
      <c r="B1008" s="45"/>
      <c r="C1008" s="45"/>
      <c r="D1008" s="46" t="str">
        <f>_xlfn.XLOOKUP(A1008,My_Audit!A:A,My_Audit!D:D,"")&amp;""</f>
        <v/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6" t="str">
        <f>_xlfn.XLOOKUP(E1008,Models!I:I,Models!J:J,"")</f>
        <v/>
      </c>
      <c r="U1008" s="45"/>
      <c r="V1008" s="45"/>
      <c r="W1008" s="38"/>
    </row>
    <row r="1009" spans="1:23">
      <c r="A1009" s="45" t="str">
        <f>_xlfn.TEXTJOIN("",TRUE,Input!$B$2,ROW(My_Audit!A1008))</f>
        <v>XX1008</v>
      </c>
      <c r="B1009" s="45"/>
      <c r="C1009" s="45"/>
      <c r="D1009" s="46" t="str">
        <f>_xlfn.XLOOKUP(A1009,My_Audit!A:A,My_Audit!D:D,"")&amp;""</f>
        <v/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6" t="str">
        <f>_xlfn.XLOOKUP(E1009,Models!I:I,Models!J:J,"")</f>
        <v/>
      </c>
      <c r="U1009" s="45"/>
      <c r="V1009" s="45"/>
      <c r="W1009" s="38"/>
    </row>
    <row r="1010" spans="1:23">
      <c r="A1010" s="45" t="str">
        <f>_xlfn.TEXTJOIN("",TRUE,Input!$B$2,ROW(My_Audit!A1009))</f>
        <v>XX1009</v>
      </c>
      <c r="B1010" s="45"/>
      <c r="C1010" s="45"/>
      <c r="D1010" s="46" t="str">
        <f>_xlfn.XLOOKUP(A1010,My_Audit!A:A,My_Audit!D:D,"")&amp;""</f>
        <v/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6" t="str">
        <f>_xlfn.XLOOKUP(E1010,Models!I:I,Models!J:J,"")</f>
        <v/>
      </c>
      <c r="U1010" s="45"/>
      <c r="V1010" s="45"/>
      <c r="W1010" s="38"/>
    </row>
    <row r="1011" spans="1:23">
      <c r="A1011" s="45" t="str">
        <f>_xlfn.TEXTJOIN("",TRUE,Input!$B$2,ROW(My_Audit!A1010))</f>
        <v>XX1010</v>
      </c>
      <c r="B1011" s="45"/>
      <c r="C1011" s="45"/>
      <c r="D1011" s="46" t="str">
        <f>_xlfn.XLOOKUP(A1011,My_Audit!A:A,My_Audit!D:D,"")&amp;""</f>
        <v/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6" t="str">
        <f>_xlfn.XLOOKUP(E1011,Models!I:I,Models!J:J,"")</f>
        <v/>
      </c>
      <c r="U1011" s="45"/>
      <c r="V1011" s="45"/>
      <c r="W1011" s="38"/>
    </row>
    <row r="1012" spans="1:23">
      <c r="A1012" s="45" t="str">
        <f>_xlfn.TEXTJOIN("",TRUE,Input!$B$2,ROW(My_Audit!A1011))</f>
        <v>XX1011</v>
      </c>
      <c r="B1012" s="45"/>
      <c r="C1012" s="45"/>
      <c r="D1012" s="46" t="str">
        <f>_xlfn.XLOOKUP(A1012,My_Audit!A:A,My_Audit!D:D,"")&amp;""</f>
        <v/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6" t="str">
        <f>_xlfn.XLOOKUP(E1012,Models!I:I,Models!J:J,"")</f>
        <v/>
      </c>
      <c r="U1012" s="45"/>
      <c r="V1012" s="45"/>
      <c r="W1012" s="38"/>
    </row>
    <row r="1013" spans="1:23">
      <c r="A1013" s="45" t="str">
        <f>_xlfn.TEXTJOIN("",TRUE,Input!$B$2,ROW(My_Audit!A1012))</f>
        <v>XX1012</v>
      </c>
      <c r="B1013" s="45"/>
      <c r="C1013" s="45"/>
      <c r="D1013" s="46" t="str">
        <f>_xlfn.XLOOKUP(A1013,My_Audit!A:A,My_Audit!D:D,"")&amp;""</f>
        <v/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6" t="str">
        <f>_xlfn.XLOOKUP(E1013,Models!I:I,Models!J:J,"")</f>
        <v/>
      </c>
      <c r="U1013" s="45"/>
      <c r="V1013" s="45"/>
      <c r="W1013" s="38"/>
    </row>
    <row r="1014" spans="1:23">
      <c r="A1014" s="45" t="str">
        <f>_xlfn.TEXTJOIN("",TRUE,Input!$B$2,ROW(My_Audit!A1013))</f>
        <v>XX1013</v>
      </c>
      <c r="B1014" s="45"/>
      <c r="C1014" s="45"/>
      <c r="D1014" s="46" t="str">
        <f>_xlfn.XLOOKUP(A1014,My_Audit!A:A,My_Audit!D:D,"")&amp;""</f>
        <v/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6" t="str">
        <f>_xlfn.XLOOKUP(E1014,Models!I:I,Models!J:J,"")</f>
        <v/>
      </c>
      <c r="U1014" s="45"/>
      <c r="V1014" s="45"/>
      <c r="W1014" s="38"/>
    </row>
    <row r="1015" spans="1:23">
      <c r="A1015" s="45" t="str">
        <f>_xlfn.TEXTJOIN("",TRUE,Input!$B$2,ROW(My_Audit!A1014))</f>
        <v>XX1014</v>
      </c>
      <c r="B1015" s="45"/>
      <c r="C1015" s="45"/>
      <c r="D1015" s="46" t="str">
        <f>_xlfn.XLOOKUP(A1015,My_Audit!A:A,My_Audit!D:D,"")&amp;""</f>
        <v/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6" t="str">
        <f>_xlfn.XLOOKUP(E1015,Models!I:I,Models!J:J,"")</f>
        <v/>
      </c>
      <c r="U1015" s="45"/>
      <c r="V1015" s="45"/>
      <c r="W1015" s="38"/>
    </row>
    <row r="1016" spans="1:23">
      <c r="A1016" s="45" t="str">
        <f>_xlfn.TEXTJOIN("",TRUE,Input!$B$2,ROW(My_Audit!A1015))</f>
        <v>XX1015</v>
      </c>
      <c r="B1016" s="45"/>
      <c r="C1016" s="45"/>
      <c r="D1016" s="46" t="str">
        <f>_xlfn.XLOOKUP(A1016,My_Audit!A:A,My_Audit!D:D,"")&amp;""</f>
        <v/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6" t="str">
        <f>_xlfn.XLOOKUP(E1016,Models!I:I,Models!J:J,"")</f>
        <v/>
      </c>
      <c r="U1016" s="45"/>
      <c r="V1016" s="45"/>
      <c r="W1016" s="38"/>
    </row>
    <row r="1017" spans="1:23">
      <c r="A1017" s="45" t="str">
        <f>_xlfn.TEXTJOIN("",TRUE,Input!$B$2,ROW(My_Audit!A1016))</f>
        <v>XX1016</v>
      </c>
      <c r="B1017" s="45"/>
      <c r="C1017" s="45"/>
      <c r="D1017" s="46" t="str">
        <f>_xlfn.XLOOKUP(A1017,My_Audit!A:A,My_Audit!D:D,"")&amp;""</f>
        <v/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6" t="str">
        <f>_xlfn.XLOOKUP(E1017,Models!I:I,Models!J:J,"")</f>
        <v/>
      </c>
      <c r="U1017" s="45"/>
      <c r="V1017" s="45"/>
      <c r="W1017" s="38"/>
    </row>
    <row r="1018" spans="1:23">
      <c r="A1018" s="45" t="str">
        <f>_xlfn.TEXTJOIN("",TRUE,Input!$B$2,ROW(My_Audit!A1017))</f>
        <v>XX1017</v>
      </c>
      <c r="B1018" s="45"/>
      <c r="C1018" s="45"/>
      <c r="D1018" s="46" t="str">
        <f>_xlfn.XLOOKUP(A1018,My_Audit!A:A,My_Audit!D:D,"")&amp;""</f>
        <v/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6" t="str">
        <f>_xlfn.XLOOKUP(E1018,Models!I:I,Models!J:J,"")</f>
        <v/>
      </c>
      <c r="U1018" s="45"/>
      <c r="V1018" s="45"/>
      <c r="W1018" s="38"/>
    </row>
    <row r="1019" spans="1:23">
      <c r="A1019" s="45" t="str">
        <f>_xlfn.TEXTJOIN("",TRUE,Input!$B$2,ROW(My_Audit!A1018))</f>
        <v>XX1018</v>
      </c>
      <c r="B1019" s="45"/>
      <c r="C1019" s="45"/>
      <c r="D1019" s="46" t="str">
        <f>_xlfn.XLOOKUP(A1019,My_Audit!A:A,My_Audit!D:D,"")&amp;""</f>
        <v/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6" t="str">
        <f>_xlfn.XLOOKUP(E1019,Models!I:I,Models!J:J,"")</f>
        <v/>
      </c>
      <c r="U1019" s="45"/>
      <c r="V1019" s="45"/>
      <c r="W1019" s="38"/>
    </row>
    <row r="1020" spans="1:23">
      <c r="A1020" s="45" t="str">
        <f>_xlfn.TEXTJOIN("",TRUE,Input!$B$2,ROW(My_Audit!A1019))</f>
        <v>XX1019</v>
      </c>
      <c r="B1020" s="45"/>
      <c r="C1020" s="45"/>
      <c r="D1020" s="46" t="str">
        <f>_xlfn.XLOOKUP(A1020,My_Audit!A:A,My_Audit!D:D,"")&amp;""</f>
        <v/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6" t="str">
        <f>_xlfn.XLOOKUP(E1020,Models!I:I,Models!J:J,"")</f>
        <v/>
      </c>
      <c r="U1020" s="45"/>
      <c r="V1020" s="45"/>
      <c r="W1020" s="38"/>
    </row>
    <row r="1021" spans="1:23">
      <c r="A1021" s="45" t="str">
        <f>_xlfn.TEXTJOIN("",TRUE,Input!$B$2,ROW(My_Audit!A1020))</f>
        <v>XX1020</v>
      </c>
      <c r="B1021" s="45"/>
      <c r="C1021" s="45"/>
      <c r="D1021" s="46" t="str">
        <f>_xlfn.XLOOKUP(A1021,My_Audit!A:A,My_Audit!D:D,"")&amp;""</f>
        <v/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6" t="str">
        <f>_xlfn.XLOOKUP(E1021,Models!I:I,Models!J:J,"")</f>
        <v/>
      </c>
      <c r="U1021" s="45"/>
      <c r="V1021" s="45"/>
      <c r="W1021" s="38"/>
    </row>
    <row r="1022" spans="1:23">
      <c r="A1022" s="45" t="str">
        <f>_xlfn.TEXTJOIN("",TRUE,Input!$B$2,ROW(My_Audit!A1021))</f>
        <v>XX1021</v>
      </c>
      <c r="B1022" s="45"/>
      <c r="C1022" s="45"/>
      <c r="D1022" s="46" t="str">
        <f>_xlfn.XLOOKUP(A1022,My_Audit!A:A,My_Audit!D:D,"")&amp;""</f>
        <v/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6" t="str">
        <f>_xlfn.XLOOKUP(E1022,Models!I:I,Models!J:J,"")</f>
        <v/>
      </c>
      <c r="U1022" s="45"/>
      <c r="V1022" s="45"/>
      <c r="W1022" s="38"/>
    </row>
    <row r="1023" spans="1:23">
      <c r="A1023" s="45" t="str">
        <f>_xlfn.TEXTJOIN("",TRUE,Input!$B$2,ROW(My_Audit!A1022))</f>
        <v>XX1022</v>
      </c>
      <c r="B1023" s="45"/>
      <c r="C1023" s="45"/>
      <c r="D1023" s="46" t="str">
        <f>_xlfn.XLOOKUP(A1023,My_Audit!A:A,My_Audit!D:D,"")&amp;""</f>
        <v/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6" t="str">
        <f>_xlfn.XLOOKUP(E1023,Models!I:I,Models!J:J,"")</f>
        <v/>
      </c>
      <c r="U1023" s="45"/>
      <c r="V1023" s="45"/>
      <c r="W1023" s="38"/>
    </row>
    <row r="1024" spans="1:23">
      <c r="A1024" s="45" t="str">
        <f>_xlfn.TEXTJOIN("",TRUE,Input!$B$2,ROW(My_Audit!A1023))</f>
        <v>XX1023</v>
      </c>
      <c r="B1024" s="45"/>
      <c r="C1024" s="45"/>
      <c r="D1024" s="46" t="str">
        <f>_xlfn.XLOOKUP(A1024,My_Audit!A:A,My_Audit!D:D,"")&amp;""</f>
        <v/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6" t="str">
        <f>_xlfn.XLOOKUP(E1024,Models!I:I,Models!J:J,"")</f>
        <v/>
      </c>
      <c r="U1024" s="45"/>
      <c r="V1024" s="45"/>
      <c r="W1024" s="38"/>
    </row>
    <row r="1025" spans="1:23">
      <c r="A1025" s="45" t="str">
        <f>_xlfn.TEXTJOIN("",TRUE,Input!$B$2,ROW(My_Audit!A1024))</f>
        <v>XX1024</v>
      </c>
      <c r="B1025" s="45"/>
      <c r="C1025" s="45"/>
      <c r="D1025" s="46" t="str">
        <f>_xlfn.XLOOKUP(A1025,My_Audit!A:A,My_Audit!D:D,"")&amp;""</f>
        <v/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6" t="str">
        <f>_xlfn.XLOOKUP(E1025,Models!I:I,Models!J:J,"")</f>
        <v/>
      </c>
      <c r="U1025" s="45"/>
      <c r="V1025" s="45"/>
      <c r="W1025" s="38"/>
    </row>
    <row r="1026" spans="1:23">
      <c r="A1026" s="45" t="str">
        <f>_xlfn.TEXTJOIN("",TRUE,Input!$B$2,ROW(My_Audit!A1025))</f>
        <v>XX1025</v>
      </c>
      <c r="B1026" s="45"/>
      <c r="C1026" s="45"/>
      <c r="D1026" s="46" t="str">
        <f>_xlfn.XLOOKUP(A1026,My_Audit!A:A,My_Audit!D:D,"")&amp;""</f>
        <v/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6" t="str">
        <f>_xlfn.XLOOKUP(E1026,Models!I:I,Models!J:J,"")</f>
        <v/>
      </c>
      <c r="U1026" s="45"/>
      <c r="V1026" s="45"/>
      <c r="W1026" s="38"/>
    </row>
    <row r="1027" spans="1:23">
      <c r="A1027" s="45" t="str">
        <f>_xlfn.TEXTJOIN("",TRUE,Input!$B$2,ROW(My_Audit!A1026))</f>
        <v>XX1026</v>
      </c>
      <c r="B1027" s="45"/>
      <c r="C1027" s="45"/>
      <c r="D1027" s="46" t="str">
        <f>_xlfn.XLOOKUP(A1027,My_Audit!A:A,My_Audit!D:D,"")&amp;""</f>
        <v/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6" t="str">
        <f>_xlfn.XLOOKUP(E1027,Models!I:I,Models!J:J,"")</f>
        <v/>
      </c>
      <c r="U1027" s="45"/>
      <c r="V1027" s="45"/>
      <c r="W1027" s="38"/>
    </row>
    <row r="1028" spans="1:23">
      <c r="A1028" s="45" t="str">
        <f>_xlfn.TEXTJOIN("",TRUE,Input!$B$2,ROW(My_Audit!A1027))</f>
        <v>XX1027</v>
      </c>
      <c r="B1028" s="45"/>
      <c r="C1028" s="45"/>
      <c r="D1028" s="46" t="str">
        <f>_xlfn.XLOOKUP(A1028,My_Audit!A:A,My_Audit!D:D,"")&amp;""</f>
        <v/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6" t="str">
        <f>_xlfn.XLOOKUP(E1028,Models!I:I,Models!J:J,"")</f>
        <v/>
      </c>
      <c r="U1028" s="45"/>
      <c r="V1028" s="45"/>
      <c r="W1028" s="38"/>
    </row>
    <row r="1029" spans="1:23">
      <c r="A1029" s="45" t="str">
        <f>_xlfn.TEXTJOIN("",TRUE,Input!$B$2,ROW(My_Audit!A1028))</f>
        <v>XX1028</v>
      </c>
      <c r="B1029" s="45"/>
      <c r="C1029" s="45"/>
      <c r="D1029" s="46" t="str">
        <f>_xlfn.XLOOKUP(A1029,My_Audit!A:A,My_Audit!D:D,"")&amp;""</f>
        <v/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6" t="str">
        <f>_xlfn.XLOOKUP(E1029,Models!I:I,Models!J:J,"")</f>
        <v/>
      </c>
      <c r="U1029" s="45"/>
      <c r="V1029" s="45"/>
      <c r="W1029" s="38"/>
    </row>
    <row r="1030" spans="1:23">
      <c r="A1030" s="45" t="str">
        <f>_xlfn.TEXTJOIN("",TRUE,Input!$B$2,ROW(My_Audit!A1029))</f>
        <v>XX1029</v>
      </c>
      <c r="B1030" s="45"/>
      <c r="C1030" s="45"/>
      <c r="D1030" s="46" t="str">
        <f>_xlfn.XLOOKUP(A1030,My_Audit!A:A,My_Audit!D:D,"")&amp;""</f>
        <v/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6" t="str">
        <f>_xlfn.XLOOKUP(E1030,Models!I:I,Models!J:J,"")</f>
        <v/>
      </c>
      <c r="U1030" s="45"/>
      <c r="V1030" s="45"/>
      <c r="W1030" s="38"/>
    </row>
    <row r="1031" spans="1:23">
      <c r="A1031" s="45" t="str">
        <f>_xlfn.TEXTJOIN("",TRUE,Input!$B$2,ROW(My_Audit!A1030))</f>
        <v>XX1030</v>
      </c>
      <c r="B1031" s="45"/>
      <c r="C1031" s="45"/>
      <c r="D1031" s="46" t="str">
        <f>_xlfn.XLOOKUP(A1031,My_Audit!A:A,My_Audit!D:D,"")&amp;""</f>
        <v/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6" t="str">
        <f>_xlfn.XLOOKUP(E1031,Models!I:I,Models!J:J,"")</f>
        <v/>
      </c>
      <c r="U1031" s="45"/>
      <c r="V1031" s="45"/>
      <c r="W1031" s="38"/>
    </row>
    <row r="1032" spans="1:23">
      <c r="A1032" s="45" t="str">
        <f>_xlfn.TEXTJOIN("",TRUE,Input!$B$2,ROW(My_Audit!A1031))</f>
        <v>XX1031</v>
      </c>
      <c r="B1032" s="45"/>
      <c r="C1032" s="45"/>
      <c r="D1032" s="46" t="str">
        <f>_xlfn.XLOOKUP(A1032,My_Audit!A:A,My_Audit!D:D,"")&amp;""</f>
        <v/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6" t="str">
        <f>_xlfn.XLOOKUP(E1032,Models!I:I,Models!J:J,"")</f>
        <v/>
      </c>
      <c r="U1032" s="45"/>
      <c r="V1032" s="45"/>
      <c r="W1032" s="38"/>
    </row>
    <row r="1033" spans="1:23">
      <c r="A1033" s="45" t="str">
        <f>_xlfn.TEXTJOIN("",TRUE,Input!$B$2,ROW(My_Audit!A1032))</f>
        <v>XX1032</v>
      </c>
      <c r="B1033" s="45"/>
      <c r="C1033" s="45"/>
      <c r="D1033" s="46" t="str">
        <f>_xlfn.XLOOKUP(A1033,My_Audit!A:A,My_Audit!D:D,"")&amp;""</f>
        <v/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6" t="str">
        <f>_xlfn.XLOOKUP(E1033,Models!I:I,Models!J:J,"")</f>
        <v/>
      </c>
      <c r="U1033" s="45"/>
      <c r="V1033" s="45"/>
      <c r="W1033" s="38"/>
    </row>
    <row r="1034" spans="1:23">
      <c r="A1034" s="45" t="str">
        <f>_xlfn.TEXTJOIN("",TRUE,Input!$B$2,ROW(My_Audit!A1033))</f>
        <v>XX1033</v>
      </c>
      <c r="B1034" s="45"/>
      <c r="C1034" s="45"/>
      <c r="D1034" s="46" t="str">
        <f>_xlfn.XLOOKUP(A1034,My_Audit!A:A,My_Audit!D:D,"")&amp;""</f>
        <v/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6" t="str">
        <f>_xlfn.XLOOKUP(E1034,Models!I:I,Models!J:J,"")</f>
        <v/>
      </c>
      <c r="U1034" s="45"/>
      <c r="V1034" s="45"/>
      <c r="W1034" s="38"/>
    </row>
    <row r="1035" spans="1:23">
      <c r="A1035" s="45" t="str">
        <f>_xlfn.TEXTJOIN("",TRUE,Input!$B$2,ROW(My_Audit!A1034))</f>
        <v>XX1034</v>
      </c>
      <c r="B1035" s="45"/>
      <c r="C1035" s="45"/>
      <c r="D1035" s="46" t="str">
        <f>_xlfn.XLOOKUP(A1035,My_Audit!A:A,My_Audit!D:D,"")&amp;""</f>
        <v/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6" t="str">
        <f>_xlfn.XLOOKUP(E1035,Models!I:I,Models!J:J,"")</f>
        <v/>
      </c>
      <c r="U1035" s="45"/>
      <c r="V1035" s="45"/>
      <c r="W1035" s="38"/>
    </row>
    <row r="1036" spans="1:23">
      <c r="A1036" s="45" t="str">
        <f>_xlfn.TEXTJOIN("",TRUE,Input!$B$2,ROW(My_Audit!A1035))</f>
        <v>XX1035</v>
      </c>
      <c r="B1036" s="45"/>
      <c r="C1036" s="45"/>
      <c r="D1036" s="46" t="str">
        <f>_xlfn.XLOOKUP(A1036,My_Audit!A:A,My_Audit!D:D,"")&amp;""</f>
        <v/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6" t="str">
        <f>_xlfn.XLOOKUP(E1036,Models!I:I,Models!J:J,"")</f>
        <v/>
      </c>
      <c r="U1036" s="45"/>
      <c r="V1036" s="45"/>
      <c r="W1036" s="38"/>
    </row>
    <row r="1037" spans="1:23">
      <c r="A1037" s="45" t="str">
        <f>_xlfn.TEXTJOIN("",TRUE,Input!$B$2,ROW(My_Audit!A1036))</f>
        <v>XX1036</v>
      </c>
      <c r="B1037" s="45"/>
      <c r="C1037" s="45"/>
      <c r="D1037" s="46" t="str">
        <f>_xlfn.XLOOKUP(A1037,My_Audit!A:A,My_Audit!D:D,"")&amp;""</f>
        <v/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6" t="str">
        <f>_xlfn.XLOOKUP(E1037,Models!I:I,Models!J:J,"")</f>
        <v/>
      </c>
      <c r="U1037" s="45"/>
      <c r="V1037" s="45"/>
      <c r="W1037" s="38"/>
    </row>
    <row r="1038" spans="1:23">
      <c r="A1038" s="45" t="str">
        <f>_xlfn.TEXTJOIN("",TRUE,Input!$B$2,ROW(My_Audit!A1037))</f>
        <v>XX1037</v>
      </c>
      <c r="B1038" s="45"/>
      <c r="C1038" s="45"/>
      <c r="D1038" s="46" t="str">
        <f>_xlfn.XLOOKUP(A1038,My_Audit!A:A,My_Audit!D:D,"")&amp;""</f>
        <v/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6" t="str">
        <f>_xlfn.XLOOKUP(E1038,Models!I:I,Models!J:J,"")</f>
        <v/>
      </c>
      <c r="U1038" s="45"/>
      <c r="V1038" s="45"/>
      <c r="W1038" s="38"/>
    </row>
    <row r="1039" spans="1:23">
      <c r="A1039" s="45" t="str">
        <f>_xlfn.TEXTJOIN("",TRUE,Input!$B$2,ROW(My_Audit!A1038))</f>
        <v>XX1038</v>
      </c>
      <c r="B1039" s="45"/>
      <c r="C1039" s="45"/>
      <c r="D1039" s="46" t="str">
        <f>_xlfn.XLOOKUP(A1039,My_Audit!A:A,My_Audit!D:D,"")&amp;""</f>
        <v/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6" t="str">
        <f>_xlfn.XLOOKUP(E1039,Models!I:I,Models!J:J,"")</f>
        <v/>
      </c>
      <c r="U1039" s="45"/>
      <c r="V1039" s="45"/>
      <c r="W1039" s="38"/>
    </row>
    <row r="1040" spans="1:23">
      <c r="A1040" s="45" t="str">
        <f>_xlfn.TEXTJOIN("",TRUE,Input!$B$2,ROW(My_Audit!A1039))</f>
        <v>XX1039</v>
      </c>
      <c r="B1040" s="45"/>
      <c r="C1040" s="45"/>
      <c r="D1040" s="46" t="str">
        <f>_xlfn.XLOOKUP(A1040,My_Audit!A:A,My_Audit!D:D,"")&amp;""</f>
        <v/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6" t="str">
        <f>_xlfn.XLOOKUP(E1040,Models!I:I,Models!J:J,"")</f>
        <v/>
      </c>
      <c r="U1040" s="45"/>
      <c r="V1040" s="45"/>
      <c r="W1040" s="38"/>
    </row>
    <row r="1041" spans="1:23">
      <c r="A1041" s="45" t="str">
        <f>_xlfn.TEXTJOIN("",TRUE,Input!$B$2,ROW(My_Audit!A1040))</f>
        <v>XX1040</v>
      </c>
      <c r="B1041" s="45"/>
      <c r="C1041" s="45"/>
      <c r="D1041" s="46" t="str">
        <f>_xlfn.XLOOKUP(A1041,My_Audit!A:A,My_Audit!D:D,"")&amp;""</f>
        <v/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6" t="str">
        <f>_xlfn.XLOOKUP(E1041,Models!I:I,Models!J:J,"")</f>
        <v/>
      </c>
      <c r="U1041" s="45"/>
      <c r="V1041" s="45"/>
      <c r="W1041" s="38"/>
    </row>
    <row r="1042" spans="1:23">
      <c r="A1042" s="45" t="str">
        <f>_xlfn.TEXTJOIN("",TRUE,Input!$B$2,ROW(My_Audit!A1041))</f>
        <v>XX1041</v>
      </c>
      <c r="B1042" s="45"/>
      <c r="C1042" s="45"/>
      <c r="D1042" s="46" t="str">
        <f>_xlfn.XLOOKUP(A1042,My_Audit!A:A,My_Audit!D:D,"")&amp;""</f>
        <v/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6" t="str">
        <f>_xlfn.XLOOKUP(E1042,Models!I:I,Models!J:J,"")</f>
        <v/>
      </c>
      <c r="U1042" s="45"/>
      <c r="V1042" s="45"/>
      <c r="W1042" s="38"/>
    </row>
    <row r="1043" spans="1:23">
      <c r="A1043" s="45" t="str">
        <f>_xlfn.TEXTJOIN("",TRUE,Input!$B$2,ROW(My_Audit!A1042))</f>
        <v>XX1042</v>
      </c>
      <c r="B1043" s="45"/>
      <c r="C1043" s="45"/>
      <c r="D1043" s="46" t="str">
        <f>_xlfn.XLOOKUP(A1043,My_Audit!A:A,My_Audit!D:D,"")&amp;""</f>
        <v/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6" t="str">
        <f>_xlfn.XLOOKUP(E1043,Models!I:I,Models!J:J,"")</f>
        <v/>
      </c>
      <c r="U1043" s="45"/>
      <c r="V1043" s="45"/>
      <c r="W1043" s="38"/>
    </row>
    <row r="1044" spans="1:23">
      <c r="A1044" s="45" t="str">
        <f>_xlfn.TEXTJOIN("",TRUE,Input!$B$2,ROW(My_Audit!A1043))</f>
        <v>XX1043</v>
      </c>
      <c r="B1044" s="45"/>
      <c r="C1044" s="45"/>
      <c r="D1044" s="46" t="str">
        <f>_xlfn.XLOOKUP(A1044,My_Audit!A:A,My_Audit!D:D,"")&amp;""</f>
        <v/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6" t="str">
        <f>_xlfn.XLOOKUP(E1044,Models!I:I,Models!J:J,"")</f>
        <v/>
      </c>
      <c r="U1044" s="45"/>
      <c r="V1044" s="45"/>
      <c r="W1044" s="38"/>
    </row>
    <row r="1045" spans="1:23">
      <c r="A1045" s="45" t="str">
        <f>_xlfn.TEXTJOIN("",TRUE,Input!$B$2,ROW(My_Audit!A1044))</f>
        <v>XX1044</v>
      </c>
      <c r="B1045" s="45"/>
      <c r="C1045" s="45"/>
      <c r="D1045" s="46" t="str">
        <f>_xlfn.XLOOKUP(A1045,My_Audit!A:A,My_Audit!D:D,"")&amp;""</f>
        <v/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6" t="str">
        <f>_xlfn.XLOOKUP(E1045,Models!I:I,Models!J:J,"")</f>
        <v/>
      </c>
      <c r="U1045" s="45"/>
      <c r="V1045" s="45"/>
      <c r="W1045" s="38"/>
    </row>
    <row r="1046" spans="1:23">
      <c r="A1046" s="45" t="str">
        <f>_xlfn.TEXTJOIN("",TRUE,Input!$B$2,ROW(My_Audit!A1045))</f>
        <v>XX1045</v>
      </c>
      <c r="B1046" s="45"/>
      <c r="C1046" s="45"/>
      <c r="D1046" s="46" t="str">
        <f>_xlfn.XLOOKUP(A1046,My_Audit!A:A,My_Audit!D:D,"")&amp;""</f>
        <v/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6" t="str">
        <f>_xlfn.XLOOKUP(E1046,Models!I:I,Models!J:J,"")</f>
        <v/>
      </c>
      <c r="U1046" s="45"/>
      <c r="V1046" s="45"/>
      <c r="W1046" s="38"/>
    </row>
    <row r="1047" spans="1:23">
      <c r="A1047" s="45" t="str">
        <f>_xlfn.TEXTJOIN("",TRUE,Input!$B$2,ROW(My_Audit!A1046))</f>
        <v>XX1046</v>
      </c>
      <c r="B1047" s="45"/>
      <c r="C1047" s="45"/>
      <c r="D1047" s="46" t="str">
        <f>_xlfn.XLOOKUP(A1047,My_Audit!A:A,My_Audit!D:D,"")&amp;""</f>
        <v/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6" t="str">
        <f>_xlfn.XLOOKUP(E1047,Models!I:I,Models!J:J,"")</f>
        <v/>
      </c>
      <c r="U1047" s="45"/>
      <c r="V1047" s="45"/>
      <c r="W1047" s="38"/>
    </row>
    <row r="1048" spans="1:23">
      <c r="A1048" s="45" t="str">
        <f>_xlfn.TEXTJOIN("",TRUE,Input!$B$2,ROW(My_Audit!A1047))</f>
        <v>XX1047</v>
      </c>
      <c r="B1048" s="45"/>
      <c r="C1048" s="45"/>
      <c r="D1048" s="46" t="str">
        <f>_xlfn.XLOOKUP(A1048,My_Audit!A:A,My_Audit!D:D,"")&amp;""</f>
        <v/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6" t="str">
        <f>_xlfn.XLOOKUP(E1048,Models!I:I,Models!J:J,"")</f>
        <v/>
      </c>
      <c r="U1048" s="45"/>
      <c r="V1048" s="45"/>
      <c r="W1048" s="38"/>
    </row>
    <row r="1049" spans="1:23">
      <c r="A1049" s="45" t="str">
        <f>_xlfn.TEXTJOIN("",TRUE,Input!$B$2,ROW(My_Audit!A1048))</f>
        <v>XX1048</v>
      </c>
      <c r="B1049" s="45"/>
      <c r="C1049" s="45"/>
      <c r="D1049" s="46" t="str">
        <f>_xlfn.XLOOKUP(A1049,My_Audit!A:A,My_Audit!D:D,"")&amp;""</f>
        <v/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6" t="str">
        <f>_xlfn.XLOOKUP(E1049,Models!I:I,Models!J:J,"")</f>
        <v/>
      </c>
      <c r="U1049" s="45"/>
      <c r="V1049" s="45"/>
      <c r="W1049" s="38"/>
    </row>
    <row r="1050" spans="1:23">
      <c r="A1050" s="45" t="str">
        <f>_xlfn.TEXTJOIN("",TRUE,Input!$B$2,ROW(My_Audit!A1049))</f>
        <v>XX1049</v>
      </c>
      <c r="B1050" s="45"/>
      <c r="C1050" s="45"/>
      <c r="D1050" s="46" t="str">
        <f>_xlfn.XLOOKUP(A1050,My_Audit!A:A,My_Audit!D:D,"")&amp;""</f>
        <v/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6" t="str">
        <f>_xlfn.XLOOKUP(E1050,Models!I:I,Models!J:J,"")</f>
        <v/>
      </c>
      <c r="U1050" s="45"/>
      <c r="V1050" s="45"/>
      <c r="W1050" s="38"/>
    </row>
    <row r="1051" spans="1:23">
      <c r="A1051" s="45" t="str">
        <f>_xlfn.TEXTJOIN("",TRUE,Input!$B$2,ROW(My_Audit!A1050))</f>
        <v>XX1050</v>
      </c>
      <c r="B1051" s="45"/>
      <c r="C1051" s="45"/>
      <c r="D1051" s="46" t="str">
        <f>_xlfn.XLOOKUP(A1051,My_Audit!A:A,My_Audit!D:D,"")&amp;""</f>
        <v/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6" t="str">
        <f>_xlfn.XLOOKUP(E1051,Models!I:I,Models!J:J,"")</f>
        <v/>
      </c>
      <c r="U1051" s="45"/>
      <c r="V1051" s="45"/>
      <c r="W1051" s="38"/>
    </row>
    <row r="1052" spans="1:23">
      <c r="A1052" s="45" t="str">
        <f>_xlfn.TEXTJOIN("",TRUE,Input!$B$2,ROW(My_Audit!A1051))</f>
        <v>XX1051</v>
      </c>
      <c r="B1052" s="45"/>
      <c r="C1052" s="45"/>
      <c r="D1052" s="46" t="str">
        <f>_xlfn.XLOOKUP(A1052,My_Audit!A:A,My_Audit!D:D,"")&amp;""</f>
        <v/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6" t="str">
        <f>_xlfn.XLOOKUP(E1052,Models!I:I,Models!J:J,"")</f>
        <v/>
      </c>
      <c r="U1052" s="45"/>
      <c r="V1052" s="45"/>
      <c r="W1052" s="38"/>
    </row>
    <row r="1053" spans="1:23">
      <c r="A1053" s="45" t="str">
        <f>_xlfn.TEXTJOIN("",TRUE,Input!$B$2,ROW(My_Audit!A1052))</f>
        <v>XX1052</v>
      </c>
      <c r="B1053" s="45"/>
      <c r="C1053" s="45"/>
      <c r="D1053" s="46" t="str">
        <f>_xlfn.XLOOKUP(A1053,My_Audit!A:A,My_Audit!D:D,"")&amp;""</f>
        <v/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6" t="str">
        <f>_xlfn.XLOOKUP(E1053,Models!I:I,Models!J:J,"")</f>
        <v/>
      </c>
      <c r="U1053" s="45"/>
      <c r="V1053" s="45"/>
      <c r="W1053" s="38"/>
    </row>
    <row r="1054" spans="1:23">
      <c r="A1054" s="45" t="str">
        <f>_xlfn.TEXTJOIN("",TRUE,Input!$B$2,ROW(My_Audit!A1053))</f>
        <v>XX1053</v>
      </c>
      <c r="B1054" s="45"/>
      <c r="C1054" s="45"/>
      <c r="D1054" s="46" t="str">
        <f>_xlfn.XLOOKUP(A1054,My_Audit!A:A,My_Audit!D:D,"")&amp;""</f>
        <v/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6" t="str">
        <f>_xlfn.XLOOKUP(E1054,Models!I:I,Models!J:J,"")</f>
        <v/>
      </c>
      <c r="U1054" s="45"/>
      <c r="V1054" s="45"/>
      <c r="W1054" s="38"/>
    </row>
    <row r="1055" spans="1:23">
      <c r="A1055" s="45" t="str">
        <f>_xlfn.TEXTJOIN("",TRUE,Input!$B$2,ROW(My_Audit!A1054))</f>
        <v>XX1054</v>
      </c>
      <c r="B1055" s="45"/>
      <c r="C1055" s="45"/>
      <c r="D1055" s="46" t="str">
        <f>_xlfn.XLOOKUP(A1055,My_Audit!A:A,My_Audit!D:D,"")&amp;""</f>
        <v/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6" t="str">
        <f>_xlfn.XLOOKUP(E1055,Models!I:I,Models!J:J,"")</f>
        <v/>
      </c>
      <c r="U1055" s="45"/>
      <c r="V1055" s="45"/>
      <c r="W1055" s="38"/>
    </row>
    <row r="1056" spans="1:23">
      <c r="A1056" s="45" t="str">
        <f>_xlfn.TEXTJOIN("",TRUE,Input!$B$2,ROW(My_Audit!A1055))</f>
        <v>XX1055</v>
      </c>
      <c r="B1056" s="45"/>
      <c r="C1056" s="45"/>
      <c r="D1056" s="46" t="str">
        <f>_xlfn.XLOOKUP(A1056,My_Audit!A:A,My_Audit!D:D,"")&amp;""</f>
        <v/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6" t="str">
        <f>_xlfn.XLOOKUP(E1056,Models!I:I,Models!J:J,"")</f>
        <v/>
      </c>
      <c r="U1056" s="45"/>
      <c r="V1056" s="45"/>
      <c r="W1056" s="38"/>
    </row>
    <row r="1057" spans="1:23">
      <c r="A1057" s="45" t="str">
        <f>_xlfn.TEXTJOIN("",TRUE,Input!$B$2,ROW(My_Audit!A1056))</f>
        <v>XX1056</v>
      </c>
      <c r="B1057" s="45"/>
      <c r="C1057" s="45"/>
      <c r="D1057" s="46" t="str">
        <f>_xlfn.XLOOKUP(A1057,My_Audit!A:A,My_Audit!D:D,"")&amp;""</f>
        <v/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6" t="str">
        <f>_xlfn.XLOOKUP(E1057,Models!I:I,Models!J:J,"")</f>
        <v/>
      </c>
      <c r="U1057" s="45"/>
      <c r="V1057" s="45"/>
      <c r="W1057" s="38"/>
    </row>
    <row r="1058" spans="1:23">
      <c r="A1058" s="45" t="str">
        <f>_xlfn.TEXTJOIN("",TRUE,Input!$B$2,ROW(My_Audit!A1057))</f>
        <v>XX1057</v>
      </c>
      <c r="B1058" s="45"/>
      <c r="C1058" s="45"/>
      <c r="D1058" s="46" t="str">
        <f>_xlfn.XLOOKUP(A1058,My_Audit!A:A,My_Audit!D:D,"")&amp;""</f>
        <v/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6" t="str">
        <f>_xlfn.XLOOKUP(E1058,Models!I:I,Models!J:J,"")</f>
        <v/>
      </c>
      <c r="U1058" s="45"/>
      <c r="V1058" s="45"/>
      <c r="W1058" s="38"/>
    </row>
    <row r="1059" spans="1:23">
      <c r="A1059" s="45" t="str">
        <f>_xlfn.TEXTJOIN("",TRUE,Input!$B$2,ROW(My_Audit!A1058))</f>
        <v>XX1058</v>
      </c>
      <c r="B1059" s="45"/>
      <c r="C1059" s="45"/>
      <c r="D1059" s="46" t="str">
        <f>_xlfn.XLOOKUP(A1059,My_Audit!A:A,My_Audit!D:D,"")&amp;""</f>
        <v/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6" t="str">
        <f>_xlfn.XLOOKUP(E1059,Models!I:I,Models!J:J,"")</f>
        <v/>
      </c>
      <c r="U1059" s="45"/>
      <c r="V1059" s="45"/>
      <c r="W1059" s="38"/>
    </row>
    <row r="1060" spans="1:23">
      <c r="A1060" s="45" t="str">
        <f>_xlfn.TEXTJOIN("",TRUE,Input!$B$2,ROW(My_Audit!A1059))</f>
        <v>XX1059</v>
      </c>
      <c r="B1060" s="45"/>
      <c r="C1060" s="45"/>
      <c r="D1060" s="46" t="str">
        <f>_xlfn.XLOOKUP(A1060,My_Audit!A:A,My_Audit!D:D,"")&amp;""</f>
        <v/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6" t="str">
        <f>_xlfn.XLOOKUP(E1060,Models!I:I,Models!J:J,"")</f>
        <v/>
      </c>
      <c r="U1060" s="45"/>
      <c r="V1060" s="45"/>
      <c r="W1060" s="38"/>
    </row>
    <row r="1061" spans="1:23">
      <c r="A1061" s="45" t="str">
        <f>_xlfn.TEXTJOIN("",TRUE,Input!$B$2,ROW(My_Audit!A1060))</f>
        <v>XX1060</v>
      </c>
      <c r="B1061" s="45"/>
      <c r="C1061" s="45"/>
      <c r="D1061" s="46" t="str">
        <f>_xlfn.XLOOKUP(A1061,My_Audit!A:A,My_Audit!D:D,"")&amp;""</f>
        <v/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6" t="str">
        <f>_xlfn.XLOOKUP(E1061,Models!I:I,Models!J:J,"")</f>
        <v/>
      </c>
      <c r="U1061" s="45"/>
      <c r="V1061" s="45"/>
      <c r="W1061" s="38"/>
    </row>
    <row r="1062" spans="1:23">
      <c r="A1062" s="45" t="str">
        <f>_xlfn.TEXTJOIN("",TRUE,Input!$B$2,ROW(My_Audit!A1061))</f>
        <v>XX1061</v>
      </c>
      <c r="B1062" s="45"/>
      <c r="C1062" s="45"/>
      <c r="D1062" s="46" t="str">
        <f>_xlfn.XLOOKUP(A1062,My_Audit!A:A,My_Audit!D:D,"")&amp;""</f>
        <v/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6" t="str">
        <f>_xlfn.XLOOKUP(E1062,Models!I:I,Models!J:J,"")</f>
        <v/>
      </c>
      <c r="U1062" s="45"/>
      <c r="V1062" s="45"/>
      <c r="W1062" s="38"/>
    </row>
    <row r="1063" spans="1:23">
      <c r="A1063" s="45" t="str">
        <f>_xlfn.TEXTJOIN("",TRUE,Input!$B$2,ROW(My_Audit!A1062))</f>
        <v>XX1062</v>
      </c>
      <c r="B1063" s="45"/>
      <c r="C1063" s="45"/>
      <c r="D1063" s="46" t="str">
        <f>_xlfn.XLOOKUP(A1063,My_Audit!A:A,My_Audit!D:D,"")&amp;""</f>
        <v/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6" t="str">
        <f>_xlfn.XLOOKUP(E1063,Models!I:I,Models!J:J,"")</f>
        <v/>
      </c>
      <c r="U1063" s="45"/>
      <c r="V1063" s="45"/>
      <c r="W1063" s="38"/>
    </row>
    <row r="1064" spans="1:23">
      <c r="A1064" s="45" t="str">
        <f>_xlfn.TEXTJOIN("",TRUE,Input!$B$2,ROW(My_Audit!A1063))</f>
        <v>XX1063</v>
      </c>
      <c r="B1064" s="45"/>
      <c r="C1064" s="45"/>
      <c r="D1064" s="46" t="str">
        <f>_xlfn.XLOOKUP(A1064,My_Audit!A:A,My_Audit!D:D,"")&amp;""</f>
        <v/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6" t="str">
        <f>_xlfn.XLOOKUP(E1064,Models!I:I,Models!J:J,"")</f>
        <v/>
      </c>
      <c r="U1064" s="45"/>
      <c r="V1064" s="45"/>
      <c r="W1064" s="38"/>
    </row>
    <row r="1065" spans="1:23">
      <c r="A1065" s="45" t="str">
        <f>_xlfn.TEXTJOIN("",TRUE,Input!$B$2,ROW(My_Audit!A1064))</f>
        <v>XX1064</v>
      </c>
      <c r="B1065" s="45"/>
      <c r="C1065" s="45"/>
      <c r="D1065" s="46" t="str">
        <f>_xlfn.XLOOKUP(A1065,My_Audit!A:A,My_Audit!D:D,"")&amp;""</f>
        <v/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6" t="str">
        <f>_xlfn.XLOOKUP(E1065,Models!I:I,Models!J:J,"")</f>
        <v/>
      </c>
      <c r="U1065" s="45"/>
      <c r="V1065" s="45"/>
      <c r="W1065" s="38"/>
    </row>
    <row r="1066" spans="1:23">
      <c r="A1066" s="45" t="str">
        <f>_xlfn.TEXTJOIN("",TRUE,Input!$B$2,ROW(My_Audit!A1065))</f>
        <v>XX1065</v>
      </c>
      <c r="B1066" s="45"/>
      <c r="C1066" s="45"/>
      <c r="D1066" s="46" t="str">
        <f>_xlfn.XLOOKUP(A1066,My_Audit!A:A,My_Audit!D:D,"")&amp;""</f>
        <v/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6" t="str">
        <f>_xlfn.XLOOKUP(E1066,Models!I:I,Models!J:J,"")</f>
        <v/>
      </c>
      <c r="U1066" s="45"/>
      <c r="V1066" s="45"/>
      <c r="W1066" s="38"/>
    </row>
    <row r="1067" spans="1:23">
      <c r="A1067" s="45" t="str">
        <f>_xlfn.TEXTJOIN("",TRUE,Input!$B$2,ROW(My_Audit!A1066))</f>
        <v>XX1066</v>
      </c>
      <c r="B1067" s="45"/>
      <c r="C1067" s="45"/>
      <c r="D1067" s="46" t="str">
        <f>_xlfn.XLOOKUP(A1067,My_Audit!A:A,My_Audit!D:D,"")&amp;""</f>
        <v/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6" t="str">
        <f>_xlfn.XLOOKUP(E1067,Models!I:I,Models!J:J,"")</f>
        <v/>
      </c>
      <c r="U1067" s="45"/>
      <c r="V1067" s="45"/>
      <c r="W1067" s="38"/>
    </row>
    <row r="1068" spans="1:23">
      <c r="A1068" s="45" t="str">
        <f>_xlfn.TEXTJOIN("",TRUE,Input!$B$2,ROW(My_Audit!A1067))</f>
        <v>XX1067</v>
      </c>
      <c r="B1068" s="45"/>
      <c r="C1068" s="45"/>
      <c r="D1068" s="46" t="str">
        <f>_xlfn.XLOOKUP(A1068,My_Audit!A:A,My_Audit!D:D,"")&amp;""</f>
        <v/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6" t="str">
        <f>_xlfn.XLOOKUP(E1068,Models!I:I,Models!J:J,"")</f>
        <v/>
      </c>
      <c r="U1068" s="45"/>
      <c r="V1068" s="45"/>
      <c r="W1068" s="38"/>
    </row>
    <row r="1069" spans="1:23">
      <c r="A1069" s="45" t="str">
        <f>_xlfn.TEXTJOIN("",TRUE,Input!$B$2,ROW(My_Audit!A1068))</f>
        <v>XX1068</v>
      </c>
      <c r="B1069" s="45"/>
      <c r="C1069" s="45"/>
      <c r="D1069" s="46" t="str">
        <f>_xlfn.XLOOKUP(A1069,My_Audit!A:A,My_Audit!D:D,"")&amp;""</f>
        <v/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6" t="str">
        <f>_xlfn.XLOOKUP(E1069,Models!I:I,Models!J:J,"")</f>
        <v/>
      </c>
      <c r="U1069" s="45"/>
      <c r="V1069" s="45"/>
      <c r="W1069" s="38"/>
    </row>
    <row r="1070" spans="1:23">
      <c r="A1070" s="45" t="str">
        <f>_xlfn.TEXTJOIN("",TRUE,Input!$B$2,ROW(My_Audit!A1069))</f>
        <v>XX1069</v>
      </c>
      <c r="B1070" s="45"/>
      <c r="C1070" s="45"/>
      <c r="D1070" s="46" t="str">
        <f>_xlfn.XLOOKUP(A1070,My_Audit!A:A,My_Audit!D:D,"")&amp;""</f>
        <v/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6" t="str">
        <f>_xlfn.XLOOKUP(E1070,Models!I:I,Models!J:J,"")</f>
        <v/>
      </c>
      <c r="U1070" s="45"/>
      <c r="V1070" s="45"/>
      <c r="W1070" s="38"/>
    </row>
    <row r="1071" spans="1:23">
      <c r="A1071" s="45" t="str">
        <f>_xlfn.TEXTJOIN("",TRUE,Input!$B$2,ROW(My_Audit!A1070))</f>
        <v>XX1070</v>
      </c>
      <c r="B1071" s="45"/>
      <c r="C1071" s="45"/>
      <c r="D1071" s="46" t="str">
        <f>_xlfn.XLOOKUP(A1071,My_Audit!A:A,My_Audit!D:D,"")&amp;""</f>
        <v/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6" t="str">
        <f>_xlfn.XLOOKUP(E1071,Models!I:I,Models!J:J,"")</f>
        <v/>
      </c>
      <c r="U1071" s="45"/>
      <c r="V1071" s="45"/>
      <c r="W1071" s="38"/>
    </row>
    <row r="1072" spans="1:23">
      <c r="A1072" s="45" t="str">
        <f>_xlfn.TEXTJOIN("",TRUE,Input!$B$2,ROW(My_Audit!A1071))</f>
        <v>XX1071</v>
      </c>
      <c r="B1072" s="45"/>
      <c r="C1072" s="45"/>
      <c r="D1072" s="46" t="str">
        <f>_xlfn.XLOOKUP(A1072,My_Audit!A:A,My_Audit!D:D,"")&amp;""</f>
        <v/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6" t="str">
        <f>_xlfn.XLOOKUP(E1072,Models!I:I,Models!J:J,"")</f>
        <v/>
      </c>
      <c r="U1072" s="45"/>
      <c r="V1072" s="45"/>
      <c r="W1072" s="38"/>
    </row>
    <row r="1073" spans="1:23">
      <c r="A1073" s="45" t="str">
        <f>_xlfn.TEXTJOIN("",TRUE,Input!$B$2,ROW(My_Audit!A1072))</f>
        <v>XX1072</v>
      </c>
      <c r="B1073" s="45"/>
      <c r="C1073" s="45"/>
      <c r="D1073" s="46" t="str">
        <f>_xlfn.XLOOKUP(A1073,My_Audit!A:A,My_Audit!D:D,"")&amp;""</f>
        <v/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6" t="str">
        <f>_xlfn.XLOOKUP(E1073,Models!I:I,Models!J:J,"")</f>
        <v/>
      </c>
      <c r="U1073" s="45"/>
      <c r="V1073" s="45"/>
      <c r="W1073" s="38"/>
    </row>
    <row r="1074" spans="1:23">
      <c r="A1074" s="45" t="str">
        <f>_xlfn.TEXTJOIN("",TRUE,Input!$B$2,ROW(My_Audit!A1073))</f>
        <v>XX1073</v>
      </c>
      <c r="B1074" s="45"/>
      <c r="C1074" s="45"/>
      <c r="D1074" s="46" t="str">
        <f>_xlfn.XLOOKUP(A1074,My_Audit!A:A,My_Audit!D:D,"")&amp;""</f>
        <v/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6" t="str">
        <f>_xlfn.XLOOKUP(E1074,Models!I:I,Models!J:J,"")</f>
        <v/>
      </c>
      <c r="U1074" s="45"/>
      <c r="V1074" s="45"/>
      <c r="W1074" s="38"/>
    </row>
    <row r="1075" spans="1:23">
      <c r="A1075" s="45" t="str">
        <f>_xlfn.TEXTJOIN("",TRUE,Input!$B$2,ROW(My_Audit!A1074))</f>
        <v>XX1074</v>
      </c>
      <c r="B1075" s="45"/>
      <c r="C1075" s="45"/>
      <c r="D1075" s="46" t="str">
        <f>_xlfn.XLOOKUP(A1075,My_Audit!A:A,My_Audit!D:D,"")&amp;""</f>
        <v/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6" t="str">
        <f>_xlfn.XLOOKUP(E1075,Models!I:I,Models!J:J,"")</f>
        <v/>
      </c>
      <c r="U1075" s="45"/>
      <c r="V1075" s="45"/>
      <c r="W1075" s="38"/>
    </row>
    <row r="1076" spans="1:23">
      <c r="A1076" s="45" t="str">
        <f>_xlfn.TEXTJOIN("",TRUE,Input!$B$2,ROW(My_Audit!A1075))</f>
        <v>XX1075</v>
      </c>
      <c r="B1076" s="45"/>
      <c r="C1076" s="45"/>
      <c r="D1076" s="46" t="str">
        <f>_xlfn.XLOOKUP(A1076,My_Audit!A:A,My_Audit!D:D,"")&amp;""</f>
        <v/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6" t="str">
        <f>_xlfn.XLOOKUP(E1076,Models!I:I,Models!J:J,"")</f>
        <v/>
      </c>
      <c r="U1076" s="45"/>
      <c r="V1076" s="45"/>
      <c r="W1076" s="38"/>
    </row>
    <row r="1077" spans="1:23">
      <c r="A1077" s="45" t="str">
        <f>_xlfn.TEXTJOIN("",TRUE,Input!$B$2,ROW(My_Audit!A1076))</f>
        <v>XX1076</v>
      </c>
      <c r="B1077" s="45"/>
      <c r="C1077" s="45"/>
      <c r="D1077" s="46" t="str">
        <f>_xlfn.XLOOKUP(A1077,My_Audit!A:A,My_Audit!D:D,"")&amp;""</f>
        <v/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6" t="str">
        <f>_xlfn.XLOOKUP(E1077,Models!I:I,Models!J:J,"")</f>
        <v/>
      </c>
      <c r="U1077" s="45"/>
      <c r="V1077" s="45"/>
      <c r="W1077" s="38"/>
    </row>
    <row r="1078" spans="1:23">
      <c r="A1078" s="45" t="str">
        <f>_xlfn.TEXTJOIN("",TRUE,Input!$B$2,ROW(My_Audit!A1077))</f>
        <v>XX1077</v>
      </c>
      <c r="B1078" s="45"/>
      <c r="C1078" s="45"/>
      <c r="D1078" s="46" t="str">
        <f>_xlfn.XLOOKUP(A1078,My_Audit!A:A,My_Audit!D:D,"")&amp;""</f>
        <v/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6" t="str">
        <f>_xlfn.XLOOKUP(E1078,Models!I:I,Models!J:J,"")</f>
        <v/>
      </c>
      <c r="U1078" s="45"/>
      <c r="V1078" s="45"/>
      <c r="W1078" s="38"/>
    </row>
    <row r="1079" spans="1:23">
      <c r="A1079" s="45" t="str">
        <f>_xlfn.TEXTJOIN("",TRUE,Input!$B$2,ROW(My_Audit!A1078))</f>
        <v>XX1078</v>
      </c>
      <c r="B1079" s="45"/>
      <c r="C1079" s="45"/>
      <c r="D1079" s="46" t="str">
        <f>_xlfn.XLOOKUP(A1079,My_Audit!A:A,My_Audit!D:D,"")&amp;""</f>
        <v/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6" t="str">
        <f>_xlfn.XLOOKUP(E1079,Models!I:I,Models!J:J,"")</f>
        <v/>
      </c>
      <c r="U1079" s="45"/>
      <c r="V1079" s="45"/>
      <c r="W1079" s="38"/>
    </row>
    <row r="1080" spans="1:23">
      <c r="A1080" s="45" t="str">
        <f>_xlfn.TEXTJOIN("",TRUE,Input!$B$2,ROW(My_Audit!A1079))</f>
        <v>XX1079</v>
      </c>
      <c r="B1080" s="45"/>
      <c r="C1080" s="45"/>
      <c r="D1080" s="46" t="str">
        <f>_xlfn.XLOOKUP(A1080,My_Audit!A:A,My_Audit!D:D,"")&amp;""</f>
        <v/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6" t="str">
        <f>_xlfn.XLOOKUP(E1080,Models!I:I,Models!J:J,"")</f>
        <v/>
      </c>
      <c r="U1080" s="45"/>
      <c r="V1080" s="45"/>
      <c r="W1080" s="38"/>
    </row>
    <row r="1081" spans="1:23">
      <c r="A1081" s="45" t="str">
        <f>_xlfn.TEXTJOIN("",TRUE,Input!$B$2,ROW(My_Audit!A1080))</f>
        <v>XX1080</v>
      </c>
      <c r="B1081" s="45"/>
      <c r="C1081" s="45"/>
      <c r="D1081" s="46" t="str">
        <f>_xlfn.XLOOKUP(A1081,My_Audit!A:A,My_Audit!D:D,"")&amp;""</f>
        <v/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6" t="str">
        <f>_xlfn.XLOOKUP(E1081,Models!I:I,Models!J:J,"")</f>
        <v/>
      </c>
      <c r="U1081" s="45"/>
      <c r="V1081" s="45"/>
      <c r="W1081" s="38"/>
    </row>
    <row r="1082" spans="1:23">
      <c r="A1082" s="45" t="str">
        <f>_xlfn.TEXTJOIN("",TRUE,Input!$B$2,ROW(My_Audit!A1081))</f>
        <v>XX1081</v>
      </c>
      <c r="B1082" s="45"/>
      <c r="C1082" s="45"/>
      <c r="D1082" s="46" t="str">
        <f>_xlfn.XLOOKUP(A1082,My_Audit!A:A,My_Audit!D:D,"")&amp;""</f>
        <v/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6" t="str">
        <f>_xlfn.XLOOKUP(E1082,Models!I:I,Models!J:J,"")</f>
        <v/>
      </c>
      <c r="U1082" s="45"/>
      <c r="V1082" s="45"/>
      <c r="W1082" s="38"/>
    </row>
    <row r="1083" spans="1:23">
      <c r="A1083" s="45" t="str">
        <f>_xlfn.TEXTJOIN("",TRUE,Input!$B$2,ROW(My_Audit!A1082))</f>
        <v>XX1082</v>
      </c>
      <c r="B1083" s="45"/>
      <c r="C1083" s="45"/>
      <c r="D1083" s="46" t="str">
        <f>_xlfn.XLOOKUP(A1083,My_Audit!A:A,My_Audit!D:D,"")&amp;""</f>
        <v/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6" t="str">
        <f>_xlfn.XLOOKUP(E1083,Models!I:I,Models!J:J,"")</f>
        <v/>
      </c>
      <c r="U1083" s="45"/>
      <c r="V1083" s="45"/>
      <c r="W1083" s="38"/>
    </row>
    <row r="1084" spans="1:23">
      <c r="A1084" s="45" t="str">
        <f>_xlfn.TEXTJOIN("",TRUE,Input!$B$2,ROW(My_Audit!A1083))</f>
        <v>XX1083</v>
      </c>
      <c r="B1084" s="45"/>
      <c r="C1084" s="45"/>
      <c r="D1084" s="46" t="str">
        <f>_xlfn.XLOOKUP(A1084,My_Audit!A:A,My_Audit!D:D,"")&amp;""</f>
        <v/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38"/>
    </row>
    <row r="1085" spans="1:23">
      <c r="A1085" s="45" t="str">
        <f>_xlfn.TEXTJOIN("",TRUE,Input!$B$2,ROW(My_Audit!A1084))</f>
        <v>XX1084</v>
      </c>
      <c r="B1085" s="45"/>
      <c r="C1085" s="45"/>
      <c r="D1085" s="46" t="str">
        <f>_xlfn.XLOOKUP(A1085,My_Audit!A:A,My_Audit!D:D,"")&amp;""</f>
        <v/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38"/>
    </row>
    <row r="1086" spans="1:23">
      <c r="A1086" s="45" t="str">
        <f>_xlfn.TEXTJOIN("",TRUE,Input!$B$2,ROW(My_Audit!A1085))</f>
        <v>XX1085</v>
      </c>
      <c r="B1086" s="45"/>
      <c r="C1086" s="45"/>
      <c r="D1086" s="46" t="str">
        <f>_xlfn.XLOOKUP(A1086,My_Audit!A:A,My_Audit!D:D,"")&amp;""</f>
        <v/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38"/>
    </row>
    <row r="1087" spans="1:23">
      <c r="A1087" s="45" t="str">
        <f>_xlfn.TEXTJOIN("",TRUE,Input!$B$2,ROW(My_Audit!A1086))</f>
        <v>XX1086</v>
      </c>
      <c r="B1087" s="45"/>
      <c r="C1087" s="45"/>
      <c r="D1087" s="46" t="str">
        <f>_xlfn.XLOOKUP(A1087,My_Audit!A:A,My_Audit!D:D,"")&amp;""</f>
        <v/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38"/>
    </row>
    <row r="1088" spans="1:23">
      <c r="A1088" s="45" t="str">
        <f>_xlfn.TEXTJOIN("",TRUE,Input!$B$2,ROW(My_Audit!A1087))</f>
        <v>XX1087</v>
      </c>
      <c r="B1088" s="45"/>
      <c r="C1088" s="45"/>
      <c r="D1088" s="46" t="str">
        <f>_xlfn.XLOOKUP(A1088,My_Audit!A:A,My_Audit!D:D,"")&amp;""</f>
        <v/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38"/>
    </row>
    <row r="1089" spans="1:23">
      <c r="A1089" s="45" t="str">
        <f>_xlfn.TEXTJOIN("",TRUE,Input!$B$2,ROW(My_Audit!A1088))</f>
        <v>XX1088</v>
      </c>
      <c r="B1089" s="45"/>
      <c r="C1089" s="45"/>
      <c r="D1089" s="46" t="str">
        <f>_xlfn.XLOOKUP(A1089,My_Audit!A:A,My_Audit!D:D,"")&amp;""</f>
        <v/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38"/>
    </row>
    <row r="1090" spans="1:23">
      <c r="A1090" s="45" t="str">
        <f>_xlfn.TEXTJOIN("",TRUE,Input!$B$2,ROW(My_Audit!A1089))</f>
        <v>XX1089</v>
      </c>
      <c r="B1090" s="45"/>
      <c r="C1090" s="45"/>
      <c r="D1090" s="46" t="str">
        <f>_xlfn.XLOOKUP(A1090,My_Audit!A:A,My_Audit!D:D,"")&amp;""</f>
        <v/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38"/>
    </row>
    <row r="1091" spans="1:23">
      <c r="A1091" s="45" t="str">
        <f>_xlfn.TEXTJOIN("",TRUE,Input!$B$2,ROW(My_Audit!A1090))</f>
        <v>XX1090</v>
      </c>
      <c r="B1091" s="45"/>
      <c r="C1091" s="45"/>
      <c r="D1091" s="46" t="str">
        <f>_xlfn.XLOOKUP(A1091,My_Audit!A:A,My_Audit!D:D,"")&amp;""</f>
        <v/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38"/>
    </row>
    <row r="1092" spans="1:23">
      <c r="A1092" s="45" t="str">
        <f>_xlfn.TEXTJOIN("",TRUE,Input!$B$2,ROW(My_Audit!A1091))</f>
        <v>XX1091</v>
      </c>
      <c r="B1092" s="45"/>
      <c r="C1092" s="45"/>
      <c r="D1092" s="46" t="str">
        <f>_xlfn.XLOOKUP(A1092,My_Audit!A:A,My_Audit!D:D,"")&amp;""</f>
        <v/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38"/>
    </row>
    <row r="1093" spans="1:23">
      <c r="A1093" s="45" t="str">
        <f>_xlfn.TEXTJOIN("",TRUE,Input!$B$2,ROW(My_Audit!A1092))</f>
        <v>XX1092</v>
      </c>
      <c r="B1093" s="45"/>
      <c r="C1093" s="45"/>
      <c r="D1093" s="46" t="str">
        <f>_xlfn.XLOOKUP(A1093,My_Audit!A:A,My_Audit!D:D,"")&amp;""</f>
        <v/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38"/>
    </row>
    <row r="1094" spans="1:23">
      <c r="A1094" s="45" t="str">
        <f>_xlfn.TEXTJOIN("",TRUE,Input!$B$2,ROW(My_Audit!A1093))</f>
        <v>XX1093</v>
      </c>
      <c r="B1094" s="45"/>
      <c r="C1094" s="45"/>
      <c r="D1094" s="46" t="str">
        <f>_xlfn.XLOOKUP(A1094,My_Audit!A:A,My_Audit!D:D,"")&amp;""</f>
        <v/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38"/>
    </row>
    <row r="1095" spans="1:23">
      <c r="A1095" s="45" t="str">
        <f>_xlfn.TEXTJOIN("",TRUE,Input!$B$2,ROW(My_Audit!A1094))</f>
        <v>XX1094</v>
      </c>
      <c r="B1095" s="45"/>
      <c r="C1095" s="45"/>
      <c r="D1095" s="46" t="str">
        <f>_xlfn.XLOOKUP(A1095,My_Audit!A:A,My_Audit!D:D,"")&amp;""</f>
        <v/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38"/>
    </row>
    <row r="1096" spans="1:23">
      <c r="A1096" s="45" t="str">
        <f>_xlfn.TEXTJOIN("",TRUE,Input!$B$2,ROW(My_Audit!A1095))</f>
        <v>XX1095</v>
      </c>
      <c r="B1096" s="45"/>
      <c r="C1096" s="45"/>
      <c r="D1096" s="46" t="str">
        <f>_xlfn.XLOOKUP(A1096,My_Audit!A:A,My_Audit!D:D,"")&amp;""</f>
        <v/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38"/>
    </row>
    <row r="1097" spans="1:23">
      <c r="A1097" s="45" t="str">
        <f>_xlfn.TEXTJOIN("",TRUE,Input!$B$2,ROW(My_Audit!A1096))</f>
        <v>XX1096</v>
      </c>
      <c r="B1097" s="45"/>
      <c r="C1097" s="45"/>
      <c r="D1097" s="46" t="str">
        <f>_xlfn.XLOOKUP(A1097,My_Audit!A:A,My_Audit!D:D,"")&amp;""</f>
        <v/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38"/>
    </row>
    <row r="1098" spans="1:23">
      <c r="A1098" s="45" t="str">
        <f>_xlfn.TEXTJOIN("",TRUE,Input!$B$2,ROW(My_Audit!A1097))</f>
        <v>XX1097</v>
      </c>
      <c r="B1098" s="45"/>
      <c r="C1098" s="45"/>
      <c r="D1098" s="46" t="str">
        <f>_xlfn.XLOOKUP(A1098,My_Audit!A:A,My_Audit!D:D,"")&amp;""</f>
        <v/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38"/>
    </row>
    <row r="1099" spans="1:23">
      <c r="A1099" s="45" t="str">
        <f>_xlfn.TEXTJOIN("",TRUE,Input!$B$2,ROW(My_Audit!A1098))</f>
        <v>XX1098</v>
      </c>
      <c r="B1099" s="45"/>
      <c r="C1099" s="45"/>
      <c r="D1099" s="46" t="str">
        <f>_xlfn.XLOOKUP(A1099,My_Audit!A:A,My_Audit!D:D,"")&amp;""</f>
        <v/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38"/>
    </row>
    <row r="1100" spans="1:23">
      <c r="A1100" s="45" t="str">
        <f>_xlfn.TEXTJOIN("",TRUE,Input!$B$2,ROW(My_Audit!A1099))</f>
        <v>XX1099</v>
      </c>
      <c r="B1100" s="45"/>
      <c r="C1100" s="45"/>
      <c r="D1100" s="46" t="str">
        <f>_xlfn.XLOOKUP(A1100,My_Audit!A:A,My_Audit!D:D,"")&amp;""</f>
        <v/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38"/>
    </row>
    <row r="1101" spans="1:23">
      <c r="A1101" s="45" t="str">
        <f>_xlfn.TEXTJOIN("",TRUE,Input!$B$2,ROW(My_Audit!A1100))</f>
        <v>XX1100</v>
      </c>
      <c r="B1101" s="45"/>
      <c r="C1101" s="45"/>
      <c r="D1101" s="46" t="str">
        <f>_xlfn.XLOOKUP(A1101,My_Audit!A:A,My_Audit!D:D,"")&amp;""</f>
        <v/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38"/>
    </row>
    <row r="1102" spans="1:23">
      <c r="A1102" s="45" t="str">
        <f>_xlfn.TEXTJOIN("",TRUE,Input!$B$2,ROW(My_Audit!A1101))</f>
        <v>XX1101</v>
      </c>
      <c r="B1102" s="45"/>
      <c r="C1102" s="45"/>
      <c r="D1102" s="46" t="str">
        <f>_xlfn.XLOOKUP(A1102,My_Audit!A:A,My_Audit!D:D,"")&amp;""</f>
        <v/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38"/>
    </row>
    <row r="1103" spans="1:23">
      <c r="A1103" s="45" t="str">
        <f>_xlfn.TEXTJOIN("",TRUE,Input!$B$2,ROW(My_Audit!A1102))</f>
        <v>XX1102</v>
      </c>
      <c r="B1103" s="45"/>
      <c r="C1103" s="45"/>
      <c r="D1103" s="46" t="str">
        <f>_xlfn.XLOOKUP(A1103,My_Audit!A:A,My_Audit!D:D,"")&amp;""</f>
        <v/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38"/>
    </row>
    <row r="1104" spans="1:23">
      <c r="A1104" s="45" t="str">
        <f>_xlfn.TEXTJOIN("",TRUE,Input!$B$2,ROW(My_Audit!A1103))</f>
        <v>XX1103</v>
      </c>
      <c r="B1104" s="45"/>
      <c r="C1104" s="45"/>
      <c r="D1104" s="46" t="str">
        <f>_xlfn.XLOOKUP(A1104,My_Audit!A:A,My_Audit!D:D,"")&amp;""</f>
        <v/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38"/>
    </row>
    <row r="1105" spans="1:23">
      <c r="A1105" s="45" t="str">
        <f>_xlfn.TEXTJOIN("",TRUE,Input!$B$2,ROW(My_Audit!A1104))</f>
        <v>XX1104</v>
      </c>
      <c r="B1105" s="45"/>
      <c r="C1105" s="45"/>
      <c r="D1105" s="46" t="str">
        <f>_xlfn.XLOOKUP(A1105,My_Audit!A:A,My_Audit!D:D,"")&amp;""</f>
        <v/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38"/>
    </row>
    <row r="1106" spans="1:23">
      <c r="A1106" s="45" t="str">
        <f>_xlfn.TEXTJOIN("",TRUE,Input!$B$2,ROW(My_Audit!A1105))</f>
        <v>XX1105</v>
      </c>
      <c r="B1106" s="45"/>
      <c r="C1106" s="45"/>
      <c r="D1106" s="46" t="str">
        <f>_xlfn.XLOOKUP(A1106,My_Audit!A:A,My_Audit!D:D,"")&amp;""</f>
        <v/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38"/>
    </row>
    <row r="1107" spans="1:23">
      <c r="A1107" s="45" t="str">
        <f>_xlfn.TEXTJOIN("",TRUE,Input!$B$2,ROW(My_Audit!A1106))</f>
        <v>XX1106</v>
      </c>
      <c r="B1107" s="45"/>
      <c r="C1107" s="45"/>
      <c r="D1107" s="46" t="str">
        <f>_xlfn.XLOOKUP(A1107,My_Audit!A:A,My_Audit!D:D,"")&amp;""</f>
        <v/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38"/>
    </row>
    <row r="1108" spans="1:23">
      <c r="A1108" s="45" t="str">
        <f>_xlfn.TEXTJOIN("",TRUE,Input!$B$2,ROW(My_Audit!A1107))</f>
        <v>XX1107</v>
      </c>
      <c r="B1108" s="45"/>
      <c r="C1108" s="45"/>
      <c r="D1108" s="46" t="str">
        <f>_xlfn.XLOOKUP(A1108,My_Audit!A:A,My_Audit!D:D,"")&amp;""</f>
        <v/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38"/>
    </row>
    <row r="1109" spans="1:23">
      <c r="A1109" s="45" t="str">
        <f>_xlfn.TEXTJOIN("",TRUE,Input!$B$2,ROW(My_Audit!A1108))</f>
        <v>XX1108</v>
      </c>
      <c r="B1109" s="45"/>
      <c r="C1109" s="45"/>
      <c r="D1109" s="46" t="str">
        <f>_xlfn.XLOOKUP(A1109,My_Audit!A:A,My_Audit!D:D,"")&amp;""</f>
        <v/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38"/>
    </row>
    <row r="1110" spans="1:23">
      <c r="A1110" s="45" t="str">
        <f>_xlfn.TEXTJOIN("",TRUE,Input!$B$2,ROW(My_Audit!A1109))</f>
        <v>XX1109</v>
      </c>
      <c r="B1110" s="45"/>
      <c r="C1110" s="45"/>
      <c r="D1110" s="46" t="str">
        <f>_xlfn.XLOOKUP(A1110,My_Audit!A:A,My_Audit!D:D,"")&amp;""</f>
        <v/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38"/>
    </row>
    <row r="1111" spans="1:23">
      <c r="A1111" s="45" t="str">
        <f>_xlfn.TEXTJOIN("",TRUE,Input!$B$2,ROW(My_Audit!A1110))</f>
        <v>XX1110</v>
      </c>
      <c r="B1111" s="45"/>
      <c r="C1111" s="45"/>
      <c r="D1111" s="46" t="str">
        <f>_xlfn.XLOOKUP(A1111,My_Audit!A:A,My_Audit!D:D,"")&amp;""</f>
        <v/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38"/>
    </row>
    <row r="1112" spans="1:23">
      <c r="A1112" s="45" t="str">
        <f>_xlfn.TEXTJOIN("",TRUE,Input!$B$2,ROW(My_Audit!A1111))</f>
        <v>XX1111</v>
      </c>
      <c r="B1112" s="45"/>
      <c r="C1112" s="45"/>
      <c r="D1112" s="46" t="str">
        <f>_xlfn.XLOOKUP(A1112,My_Audit!A:A,My_Audit!D:D,"")&amp;""</f>
        <v/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38"/>
    </row>
    <row r="1113" spans="1:23">
      <c r="A1113" s="45" t="str">
        <f>_xlfn.TEXTJOIN("",TRUE,Input!$B$2,ROW(My_Audit!A1112))</f>
        <v>XX1112</v>
      </c>
      <c r="B1113" s="45"/>
      <c r="C1113" s="45"/>
      <c r="D1113" s="46" t="str">
        <f>_xlfn.XLOOKUP(A1113,My_Audit!A:A,My_Audit!D:D,"")&amp;""</f>
        <v/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38"/>
    </row>
    <row r="1114" spans="1:23">
      <c r="A1114" s="45" t="str">
        <f>_xlfn.TEXTJOIN("",TRUE,Input!$B$2,ROW(My_Audit!A1113))</f>
        <v>XX1113</v>
      </c>
      <c r="B1114" s="45"/>
      <c r="C1114" s="45"/>
      <c r="D1114" s="46" t="str">
        <f>_xlfn.XLOOKUP(A1114,My_Audit!A:A,My_Audit!D:D,"")&amp;""</f>
        <v/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38"/>
    </row>
    <row r="1115" spans="1:23">
      <c r="A1115" s="45" t="str">
        <f>_xlfn.TEXTJOIN("",TRUE,Input!$B$2,ROW(My_Audit!A1114))</f>
        <v>XX1114</v>
      </c>
      <c r="B1115" s="45"/>
      <c r="C1115" s="45"/>
      <c r="D1115" s="46" t="str">
        <f>_xlfn.XLOOKUP(A1115,My_Audit!A:A,My_Audit!D:D,"")&amp;""</f>
        <v/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38"/>
    </row>
    <row r="1116" spans="1:23">
      <c r="A1116" s="45" t="str">
        <f>_xlfn.TEXTJOIN("",TRUE,Input!$B$2,ROW(My_Audit!A1115))</f>
        <v>XX1115</v>
      </c>
      <c r="B1116" s="45"/>
      <c r="C1116" s="45"/>
      <c r="D1116" s="46" t="str">
        <f>_xlfn.XLOOKUP(A1116,My_Audit!A:A,My_Audit!D:D,"")&amp;""</f>
        <v/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38"/>
    </row>
    <row r="1117" spans="1:23">
      <c r="A1117" s="45" t="str">
        <f>_xlfn.TEXTJOIN("",TRUE,Input!$B$2,ROW(My_Audit!A1116))</f>
        <v>XX1116</v>
      </c>
      <c r="B1117" s="45"/>
      <c r="C1117" s="45"/>
      <c r="D1117" s="46" t="str">
        <f>_xlfn.XLOOKUP(A1117,My_Audit!A:A,My_Audit!D:D,"")&amp;""</f>
        <v/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38"/>
    </row>
    <row r="1118" spans="1:23">
      <c r="A1118" s="45" t="str">
        <f>_xlfn.TEXTJOIN("",TRUE,Input!$B$2,ROW(My_Audit!A1117))</f>
        <v>XX1117</v>
      </c>
      <c r="B1118" s="45"/>
      <c r="C1118" s="45"/>
      <c r="D1118" s="46" t="str">
        <f>_xlfn.XLOOKUP(A1118,My_Audit!A:A,My_Audit!D:D,"")&amp;""</f>
        <v/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38"/>
    </row>
    <row r="1119" spans="1:23">
      <c r="A1119" s="45" t="str">
        <f>_xlfn.TEXTJOIN("",TRUE,Input!$B$2,ROW(My_Audit!A1118))</f>
        <v>XX1118</v>
      </c>
      <c r="B1119" s="45"/>
      <c r="C1119" s="45"/>
      <c r="D1119" s="46" t="str">
        <f>_xlfn.XLOOKUP(A1119,My_Audit!A:A,My_Audit!D:D,"")&amp;""</f>
        <v/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38"/>
    </row>
    <row r="1120" spans="1:23">
      <c r="A1120" s="45" t="str">
        <f>_xlfn.TEXTJOIN("",TRUE,Input!$B$2,ROW(My_Audit!A1119))</f>
        <v>XX1119</v>
      </c>
      <c r="B1120" s="45"/>
      <c r="C1120" s="45"/>
      <c r="D1120" s="46" t="str">
        <f>_xlfn.XLOOKUP(A1120,My_Audit!A:A,My_Audit!D:D,"")&amp;""</f>
        <v/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38"/>
    </row>
    <row r="1121" spans="1:23">
      <c r="A1121" s="45" t="str">
        <f>_xlfn.TEXTJOIN("",TRUE,Input!$B$2,ROW(My_Audit!A1120))</f>
        <v>XX1120</v>
      </c>
      <c r="B1121" s="45"/>
      <c r="C1121" s="45"/>
      <c r="D1121" s="46" t="str">
        <f>_xlfn.XLOOKUP(A1121,My_Audit!A:A,My_Audit!D:D,"")&amp;""</f>
        <v/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38"/>
    </row>
    <row r="1122" spans="1:23">
      <c r="A1122" s="45" t="str">
        <f>_xlfn.TEXTJOIN("",TRUE,Input!$B$2,ROW(My_Audit!A1121))</f>
        <v>XX1121</v>
      </c>
      <c r="B1122" s="45"/>
      <c r="C1122" s="45"/>
      <c r="D1122" s="46" t="str">
        <f>_xlfn.XLOOKUP(A1122,My_Audit!A:A,My_Audit!D:D,"")&amp;""</f>
        <v/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38"/>
    </row>
    <row r="1123" spans="1:23">
      <c r="A1123" s="45" t="str">
        <f>_xlfn.TEXTJOIN("",TRUE,Input!$B$2,ROW(My_Audit!A1122))</f>
        <v>XX1122</v>
      </c>
      <c r="B1123" s="45"/>
      <c r="C1123" s="45"/>
      <c r="D1123" s="46" t="str">
        <f>_xlfn.XLOOKUP(A1123,My_Audit!A:A,My_Audit!D:D,"")&amp;""</f>
        <v/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38"/>
    </row>
    <row r="1124" spans="1:23">
      <c r="A1124" s="45" t="str">
        <f>_xlfn.TEXTJOIN("",TRUE,Input!$B$2,ROW(My_Audit!A1123))</f>
        <v>XX1123</v>
      </c>
      <c r="B1124" s="45"/>
      <c r="C1124" s="45"/>
      <c r="D1124" s="46" t="str">
        <f>_xlfn.XLOOKUP(A1124,My_Audit!A:A,My_Audit!D:D,"")&amp;""</f>
        <v/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38"/>
    </row>
    <row r="1125" spans="1:23">
      <c r="A1125" s="45" t="str">
        <f>_xlfn.TEXTJOIN("",TRUE,Input!$B$2,ROW(My_Audit!A1124))</f>
        <v>XX1124</v>
      </c>
      <c r="B1125" s="45"/>
      <c r="C1125" s="45"/>
      <c r="D1125" s="46" t="str">
        <f>_xlfn.XLOOKUP(A1125,My_Audit!A:A,My_Audit!D:D,"")&amp;""</f>
        <v/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38"/>
    </row>
    <row r="1126" spans="1:23">
      <c r="A1126" s="45" t="str">
        <f>_xlfn.TEXTJOIN("",TRUE,Input!$B$2,ROW(My_Audit!A1125))</f>
        <v>XX1125</v>
      </c>
      <c r="B1126" s="45"/>
      <c r="C1126" s="45"/>
      <c r="D1126" s="46" t="str">
        <f>_xlfn.XLOOKUP(A1126,My_Audit!A:A,My_Audit!D:D,"")&amp;""</f>
        <v/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38"/>
    </row>
    <row r="1127" spans="1:23">
      <c r="A1127" s="45" t="str">
        <f>_xlfn.TEXTJOIN("",TRUE,Input!$B$2,ROW(My_Audit!A1126))</f>
        <v>XX1126</v>
      </c>
      <c r="B1127" s="45"/>
      <c r="C1127" s="45"/>
      <c r="D1127" s="46" t="str">
        <f>_xlfn.XLOOKUP(A1127,My_Audit!A:A,My_Audit!D:D,"")&amp;""</f>
        <v/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38"/>
    </row>
    <row r="1128" spans="1:23">
      <c r="A1128" s="45" t="str">
        <f>_xlfn.TEXTJOIN("",TRUE,Input!$B$2,ROW(My_Audit!A1127))</f>
        <v>XX1127</v>
      </c>
      <c r="B1128" s="45"/>
      <c r="C1128" s="45"/>
      <c r="D1128" s="46" t="str">
        <f>_xlfn.XLOOKUP(A1128,My_Audit!A:A,My_Audit!D:D,"")&amp;""</f>
        <v/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38"/>
    </row>
    <row r="1129" spans="1:23">
      <c r="A1129" s="45" t="str">
        <f>_xlfn.TEXTJOIN("",TRUE,Input!$B$2,ROW(My_Audit!A1128))</f>
        <v>XX1128</v>
      </c>
      <c r="B1129" s="45"/>
      <c r="C1129" s="45"/>
      <c r="D1129" s="46" t="str">
        <f>_xlfn.XLOOKUP(A1129,My_Audit!A:A,My_Audit!D:D,"")&amp;""</f>
        <v/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38"/>
    </row>
    <row r="1130" spans="1:23">
      <c r="A1130" s="45" t="str">
        <f>_xlfn.TEXTJOIN("",TRUE,Input!$B$2,ROW(My_Audit!A1129))</f>
        <v>XX1129</v>
      </c>
      <c r="B1130" s="45"/>
      <c r="C1130" s="45"/>
      <c r="D1130" s="46" t="str">
        <f>_xlfn.XLOOKUP(A1130,My_Audit!A:A,My_Audit!D:D,"")&amp;""</f>
        <v/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38"/>
    </row>
    <row r="1131" spans="1:23">
      <c r="A1131" s="45" t="str">
        <f>_xlfn.TEXTJOIN("",TRUE,Input!$B$2,ROW(My_Audit!A1130))</f>
        <v>XX1130</v>
      </c>
      <c r="B1131" s="45"/>
      <c r="C1131" s="45"/>
      <c r="D1131" s="46" t="str">
        <f>_xlfn.XLOOKUP(A1131,My_Audit!A:A,My_Audit!D:D,"")&amp;""</f>
        <v/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38"/>
    </row>
    <row r="1132" spans="1:23">
      <c r="A1132" s="45" t="str">
        <f>_xlfn.TEXTJOIN("",TRUE,Input!$B$2,ROW(My_Audit!A1131))</f>
        <v>XX1131</v>
      </c>
      <c r="B1132" s="45"/>
      <c r="C1132" s="45"/>
      <c r="D1132" s="46" t="str">
        <f>_xlfn.XLOOKUP(A1132,My_Audit!A:A,My_Audit!D:D,"")&amp;""</f>
        <v/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38"/>
    </row>
    <row r="1133" spans="1:23">
      <c r="A1133" s="45" t="str">
        <f>_xlfn.TEXTJOIN("",TRUE,Input!$B$2,ROW(My_Audit!A1132))</f>
        <v>XX1132</v>
      </c>
      <c r="B1133" s="45"/>
      <c r="C1133" s="45"/>
      <c r="D1133" s="46" t="str">
        <f>_xlfn.XLOOKUP(A1133,My_Audit!A:A,My_Audit!D:D,"")&amp;""</f>
        <v/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38"/>
    </row>
    <row r="1134" spans="1:23">
      <c r="A1134" s="45" t="str">
        <f>_xlfn.TEXTJOIN("",TRUE,Input!$B$2,ROW(My_Audit!A1133))</f>
        <v>XX1133</v>
      </c>
      <c r="B1134" s="45"/>
      <c r="C1134" s="45"/>
      <c r="D1134" s="46" t="str">
        <f>_xlfn.XLOOKUP(A1134,My_Audit!A:A,My_Audit!D:D,"")&amp;""</f>
        <v/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38"/>
    </row>
    <row r="1135" spans="1:23">
      <c r="A1135" s="45" t="str">
        <f>_xlfn.TEXTJOIN("",TRUE,Input!$B$2,ROW(My_Audit!A1134))</f>
        <v>XX1134</v>
      </c>
      <c r="B1135" s="45"/>
      <c r="C1135" s="45"/>
      <c r="D1135" s="46" t="str">
        <f>_xlfn.XLOOKUP(A1135,My_Audit!A:A,My_Audit!D:D,"")&amp;""</f>
        <v/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38"/>
    </row>
    <row r="1136" spans="1:23">
      <c r="A1136" s="45" t="str">
        <f>_xlfn.TEXTJOIN("",TRUE,Input!$B$2,ROW(My_Audit!A1135))</f>
        <v>XX1135</v>
      </c>
      <c r="B1136" s="45"/>
      <c r="C1136" s="45"/>
      <c r="D1136" s="46" t="str">
        <f>_xlfn.XLOOKUP(A1136,My_Audit!A:A,My_Audit!D:D,"")&amp;""</f>
        <v/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38"/>
    </row>
    <row r="1137" spans="1:23">
      <c r="A1137" s="45" t="str">
        <f>_xlfn.TEXTJOIN("",TRUE,Input!$B$2,ROW(My_Audit!A1136))</f>
        <v>XX1136</v>
      </c>
      <c r="B1137" s="45"/>
      <c r="C1137" s="45"/>
      <c r="D1137" s="46" t="str">
        <f>_xlfn.XLOOKUP(A1137,My_Audit!A:A,My_Audit!D:D,"")&amp;""</f>
        <v/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38"/>
    </row>
    <row r="1138" spans="1:23">
      <c r="A1138" s="45" t="str">
        <f>_xlfn.TEXTJOIN("",TRUE,Input!$B$2,ROW(My_Audit!A1137))</f>
        <v>XX1137</v>
      </c>
      <c r="B1138" s="45"/>
      <c r="C1138" s="45"/>
      <c r="D1138" s="46" t="str">
        <f>_xlfn.XLOOKUP(A1138,My_Audit!A:A,My_Audit!D:D,"")&amp;""</f>
        <v/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38"/>
    </row>
    <row r="1139" spans="1:23">
      <c r="A1139" s="45" t="str">
        <f>_xlfn.TEXTJOIN("",TRUE,Input!$B$2,ROW(My_Audit!A1138))</f>
        <v>XX1138</v>
      </c>
      <c r="B1139" s="45"/>
      <c r="C1139" s="45"/>
      <c r="D1139" s="46" t="str">
        <f>_xlfn.XLOOKUP(A1139,My_Audit!A:A,My_Audit!D:D,"")&amp;""</f>
        <v/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38"/>
    </row>
    <row r="1140" spans="1:23">
      <c r="A1140" s="45" t="str">
        <f>_xlfn.TEXTJOIN("",TRUE,Input!$B$2,ROW(My_Audit!A1139))</f>
        <v>XX1139</v>
      </c>
      <c r="B1140" s="45"/>
      <c r="C1140" s="45"/>
      <c r="D1140" s="46" t="str">
        <f>_xlfn.XLOOKUP(A1140,My_Audit!A:A,My_Audit!D:D,"")&amp;""</f>
        <v/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38"/>
    </row>
    <row r="1141" spans="1:23">
      <c r="A1141" s="45" t="str">
        <f>_xlfn.TEXTJOIN("",TRUE,Input!$B$2,ROW(My_Audit!A1140))</f>
        <v>XX1140</v>
      </c>
      <c r="B1141" s="45"/>
      <c r="C1141" s="45"/>
      <c r="D1141" s="46" t="str">
        <f>_xlfn.XLOOKUP(A1141,My_Audit!A:A,My_Audit!D:D,"")&amp;""</f>
        <v/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38"/>
    </row>
    <row r="1142" spans="1:23">
      <c r="A1142" s="45" t="str">
        <f>_xlfn.TEXTJOIN("",TRUE,Input!$B$2,ROW(My_Audit!A1141))</f>
        <v>XX1141</v>
      </c>
      <c r="B1142" s="45"/>
      <c r="C1142" s="45"/>
      <c r="D1142" s="46" t="str">
        <f>_xlfn.XLOOKUP(A1142,My_Audit!A:A,My_Audit!D:D,"")&amp;""</f>
        <v/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38"/>
    </row>
    <row r="1143" spans="1:23">
      <c r="A1143" s="45" t="str">
        <f>_xlfn.TEXTJOIN("",TRUE,Input!$B$2,ROW(My_Audit!A1142))</f>
        <v>XX1142</v>
      </c>
      <c r="B1143" s="45"/>
      <c r="C1143" s="45"/>
      <c r="D1143" s="46" t="str">
        <f>_xlfn.XLOOKUP(A1143,My_Audit!A:A,My_Audit!D:D,"")&amp;""</f>
        <v/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38"/>
    </row>
    <row r="1144" spans="1:23">
      <c r="A1144" s="45" t="str">
        <f>_xlfn.TEXTJOIN("",TRUE,Input!$B$2,ROW(My_Audit!A1143))</f>
        <v>XX1143</v>
      </c>
      <c r="B1144" s="45"/>
      <c r="C1144" s="45"/>
      <c r="D1144" s="46" t="str">
        <f>_xlfn.XLOOKUP(A1144,My_Audit!A:A,My_Audit!D:D,"")&amp;""</f>
        <v/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38"/>
    </row>
    <row r="1145" spans="1:23">
      <c r="A1145" s="45" t="str">
        <f>_xlfn.TEXTJOIN("",TRUE,Input!$B$2,ROW(My_Audit!A1144))</f>
        <v>XX1144</v>
      </c>
      <c r="B1145" s="45"/>
      <c r="C1145" s="45"/>
      <c r="D1145" s="46" t="str">
        <f>_xlfn.XLOOKUP(A1145,My_Audit!A:A,My_Audit!D:D,"")&amp;""</f>
        <v/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38"/>
    </row>
    <row r="1146" spans="1:23">
      <c r="A1146" s="45" t="str">
        <f>_xlfn.TEXTJOIN("",TRUE,Input!$B$2,ROW(My_Audit!A1145))</f>
        <v>XX1145</v>
      </c>
      <c r="B1146" s="45"/>
      <c r="C1146" s="45"/>
      <c r="D1146" s="46" t="str">
        <f>_xlfn.XLOOKUP(A1146,My_Audit!A:A,My_Audit!D:D,"")&amp;""</f>
        <v/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38"/>
    </row>
    <row r="1147" spans="1:23">
      <c r="A1147" s="45" t="str">
        <f>_xlfn.TEXTJOIN("",TRUE,Input!$B$2,ROW(My_Audit!A1146))</f>
        <v>XX1146</v>
      </c>
      <c r="B1147" s="45"/>
      <c r="C1147" s="45"/>
      <c r="D1147" s="46" t="str">
        <f>_xlfn.XLOOKUP(A1147,My_Audit!A:A,My_Audit!D:D,"")&amp;""</f>
        <v/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38"/>
    </row>
    <row r="1148" spans="1:23">
      <c r="A1148" s="45" t="str">
        <f>_xlfn.TEXTJOIN("",TRUE,Input!$B$2,ROW(My_Audit!A1147))</f>
        <v>XX1147</v>
      </c>
      <c r="B1148" s="45"/>
      <c r="C1148" s="45"/>
      <c r="D1148" s="46" t="str">
        <f>_xlfn.XLOOKUP(A1148,My_Audit!A:A,My_Audit!D:D,"")&amp;""</f>
        <v/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38"/>
    </row>
    <row r="1149" spans="1:23">
      <c r="A1149" s="45" t="str">
        <f>_xlfn.TEXTJOIN("",TRUE,Input!$B$2,ROW(My_Audit!A1148))</f>
        <v>XX1148</v>
      </c>
      <c r="B1149" s="45"/>
      <c r="C1149" s="45"/>
      <c r="D1149" s="46" t="str">
        <f>_xlfn.XLOOKUP(A1149,My_Audit!A:A,My_Audit!D:D,"")&amp;""</f>
        <v/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38"/>
    </row>
    <row r="1150" spans="1:23">
      <c r="A1150" s="45" t="str">
        <f>_xlfn.TEXTJOIN("",TRUE,Input!$B$2,ROW(My_Audit!A1149))</f>
        <v>XX1149</v>
      </c>
      <c r="B1150" s="45"/>
      <c r="C1150" s="45"/>
      <c r="D1150" s="46" t="str">
        <f>_xlfn.XLOOKUP(A1150,My_Audit!A:A,My_Audit!D:D,"")&amp;""</f>
        <v/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38"/>
    </row>
    <row r="1151" spans="1:23">
      <c r="A1151" s="45" t="str">
        <f>_xlfn.TEXTJOIN("",TRUE,Input!$B$2,ROW(My_Audit!A1150))</f>
        <v>XX1150</v>
      </c>
      <c r="B1151" s="45"/>
      <c r="C1151" s="45"/>
      <c r="D1151" s="46" t="str">
        <f>_xlfn.XLOOKUP(A1151,My_Audit!A:A,My_Audit!D:D,"")&amp;""</f>
        <v/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38"/>
    </row>
    <row r="1152" spans="1:23">
      <c r="A1152" s="45" t="str">
        <f>_xlfn.TEXTJOIN("",TRUE,Input!$B$2,ROW(My_Audit!A1151))</f>
        <v>XX1151</v>
      </c>
      <c r="B1152" s="45"/>
      <c r="C1152" s="45"/>
      <c r="D1152" s="46" t="str">
        <f>_xlfn.XLOOKUP(A1152,My_Audit!A:A,My_Audit!D:D,"")&amp;""</f>
        <v/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38"/>
    </row>
    <row r="1153" spans="1:23">
      <c r="A1153" s="45" t="str">
        <f>_xlfn.TEXTJOIN("",TRUE,Input!$B$2,ROW(My_Audit!A1152))</f>
        <v>XX1152</v>
      </c>
      <c r="B1153" s="45"/>
      <c r="C1153" s="45"/>
      <c r="D1153" s="46" t="str">
        <f>_xlfn.XLOOKUP(A1153,My_Audit!A:A,My_Audit!D:D,"")&amp;""</f>
        <v/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38"/>
    </row>
    <row r="1154" spans="1:23">
      <c r="A1154" s="45" t="str">
        <f>_xlfn.TEXTJOIN("",TRUE,Input!$B$2,ROW(My_Audit!A1153))</f>
        <v>XX1153</v>
      </c>
      <c r="B1154" s="45"/>
      <c r="C1154" s="45"/>
      <c r="D1154" s="46" t="str">
        <f>_xlfn.XLOOKUP(A1154,My_Audit!A:A,My_Audit!D:D,"")&amp;""</f>
        <v/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38"/>
    </row>
    <row r="1155" spans="1:23">
      <c r="A1155" s="45" t="str">
        <f>_xlfn.TEXTJOIN("",TRUE,Input!$B$2,ROW(My_Audit!A1154))</f>
        <v>XX1154</v>
      </c>
      <c r="B1155" s="45"/>
      <c r="C1155" s="45"/>
      <c r="D1155" s="46" t="str">
        <f>_xlfn.XLOOKUP(A1155,My_Audit!A:A,My_Audit!D:D,"")&amp;""</f>
        <v/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38"/>
    </row>
    <row r="1156" spans="1:23">
      <c r="A1156" s="45" t="str">
        <f>_xlfn.TEXTJOIN("",TRUE,Input!$B$2,ROW(My_Audit!A1155))</f>
        <v>XX1155</v>
      </c>
      <c r="B1156" s="45"/>
      <c r="C1156" s="45"/>
      <c r="D1156" s="46" t="str">
        <f>_xlfn.XLOOKUP(A1156,My_Audit!A:A,My_Audit!D:D,"")&amp;""</f>
        <v/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38"/>
    </row>
    <row r="1157" spans="1:23">
      <c r="A1157" s="45" t="str">
        <f>_xlfn.TEXTJOIN("",TRUE,Input!$B$2,ROW(My_Audit!A1156))</f>
        <v>XX1156</v>
      </c>
      <c r="B1157" s="45"/>
      <c r="C1157" s="45"/>
      <c r="D1157" s="46" t="str">
        <f>_xlfn.XLOOKUP(A1157,My_Audit!A:A,My_Audit!D:D,"")&amp;""</f>
        <v/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38"/>
    </row>
    <row r="1158" spans="1:23">
      <c r="A1158" s="45" t="str">
        <f>_xlfn.TEXTJOIN("",TRUE,Input!$B$2,ROW(My_Audit!A1157))</f>
        <v>XX1157</v>
      </c>
      <c r="B1158" s="45"/>
      <c r="C1158" s="45"/>
      <c r="D1158" s="46" t="str">
        <f>_xlfn.XLOOKUP(A1158,My_Audit!A:A,My_Audit!D:D,"")&amp;""</f>
        <v/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38"/>
    </row>
    <row r="1159" spans="1:23">
      <c r="A1159" s="45" t="str">
        <f>_xlfn.TEXTJOIN("",TRUE,Input!$B$2,ROW(My_Audit!A1158))</f>
        <v>XX1158</v>
      </c>
      <c r="B1159" s="45"/>
      <c r="C1159" s="45"/>
      <c r="D1159" s="46" t="str">
        <f>_xlfn.XLOOKUP(A1159,My_Audit!A:A,My_Audit!D:D,"")&amp;""</f>
        <v/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38"/>
    </row>
    <row r="1160" spans="1:23">
      <c r="A1160" s="45" t="str">
        <f>_xlfn.TEXTJOIN("",TRUE,Input!$B$2,ROW(My_Audit!A1159))</f>
        <v>XX1159</v>
      </c>
      <c r="B1160" s="45"/>
      <c r="C1160" s="45"/>
      <c r="D1160" s="46" t="str">
        <f>_xlfn.XLOOKUP(A1160,My_Audit!A:A,My_Audit!D:D,"")&amp;""</f>
        <v/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38"/>
    </row>
    <row r="1161" spans="1:23">
      <c r="A1161" s="45" t="str">
        <f>_xlfn.TEXTJOIN("",TRUE,Input!$B$2,ROW(My_Audit!A1160))</f>
        <v>XX1160</v>
      </c>
      <c r="B1161" s="45"/>
      <c r="C1161" s="45"/>
      <c r="D1161" s="46" t="str">
        <f>_xlfn.XLOOKUP(A1161,My_Audit!A:A,My_Audit!D:D,"")&amp;""</f>
        <v/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38"/>
    </row>
    <row r="1162" spans="1:23">
      <c r="A1162" s="45" t="str">
        <f>_xlfn.TEXTJOIN("",TRUE,Input!$B$2,ROW(My_Audit!A1161))</f>
        <v>XX1161</v>
      </c>
      <c r="B1162" s="45"/>
      <c r="C1162" s="45"/>
      <c r="D1162" s="46" t="str">
        <f>_xlfn.XLOOKUP(A1162,My_Audit!A:A,My_Audit!D:D,"")&amp;""</f>
        <v/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38"/>
    </row>
    <row r="1163" spans="1:23">
      <c r="A1163" s="45" t="str">
        <f>_xlfn.TEXTJOIN("",TRUE,Input!$B$2,ROW(My_Audit!A1162))</f>
        <v>XX1162</v>
      </c>
      <c r="B1163" s="45"/>
      <c r="C1163" s="45"/>
      <c r="D1163" s="46" t="str">
        <f>_xlfn.XLOOKUP(A1163,My_Audit!A:A,My_Audit!D:D,"")&amp;""</f>
        <v/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38"/>
    </row>
    <row r="1164" spans="1:23">
      <c r="A1164" s="45" t="str">
        <f>_xlfn.TEXTJOIN("",TRUE,Input!$B$2,ROW(My_Audit!A1163))</f>
        <v>XX1163</v>
      </c>
      <c r="B1164" s="45"/>
      <c r="C1164" s="45"/>
      <c r="D1164" s="46" t="str">
        <f>_xlfn.XLOOKUP(A1164,My_Audit!A:A,My_Audit!D:D,"")&amp;""</f>
        <v/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38"/>
    </row>
    <row r="1165" spans="1:23">
      <c r="A1165" s="45" t="str">
        <f>_xlfn.TEXTJOIN("",TRUE,Input!$B$2,ROW(My_Audit!A1164))</f>
        <v>XX1164</v>
      </c>
      <c r="B1165" s="45"/>
      <c r="C1165" s="45"/>
      <c r="D1165" s="46" t="str">
        <f>_xlfn.XLOOKUP(A1165,My_Audit!A:A,My_Audit!D:D,"")&amp;""</f>
        <v/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38"/>
    </row>
    <row r="1166" spans="1:23">
      <c r="A1166" s="45" t="str">
        <f>_xlfn.TEXTJOIN("",TRUE,Input!$B$2,ROW(My_Audit!A1165))</f>
        <v>XX1165</v>
      </c>
      <c r="B1166" s="45"/>
      <c r="C1166" s="45"/>
      <c r="D1166" s="46" t="str">
        <f>_xlfn.XLOOKUP(A1166,My_Audit!A:A,My_Audit!D:D,"")&amp;""</f>
        <v/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38"/>
    </row>
    <row r="1167" spans="1:23">
      <c r="A1167" s="45" t="str">
        <f>_xlfn.TEXTJOIN("",TRUE,Input!$B$2,ROW(My_Audit!A1166))</f>
        <v>XX1166</v>
      </c>
      <c r="B1167" s="45"/>
      <c r="C1167" s="45"/>
      <c r="D1167" s="46" t="str">
        <f>_xlfn.XLOOKUP(A1167,My_Audit!A:A,My_Audit!D:D,"")&amp;""</f>
        <v/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38"/>
    </row>
    <row r="1168" spans="1:23">
      <c r="A1168" s="45" t="str">
        <f>_xlfn.TEXTJOIN("",TRUE,Input!$B$2,ROW(My_Audit!A1167))</f>
        <v>XX1167</v>
      </c>
      <c r="B1168" s="45"/>
      <c r="C1168" s="45"/>
      <c r="D1168" s="46" t="str">
        <f>_xlfn.XLOOKUP(A1168,My_Audit!A:A,My_Audit!D:D,"")&amp;""</f>
        <v/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38"/>
    </row>
    <row r="1169" spans="1:23">
      <c r="A1169" s="45" t="str">
        <f>_xlfn.TEXTJOIN("",TRUE,Input!$B$2,ROW(My_Audit!A1168))</f>
        <v>XX1168</v>
      </c>
      <c r="B1169" s="45"/>
      <c r="C1169" s="45"/>
      <c r="D1169" s="46" t="str">
        <f>_xlfn.XLOOKUP(A1169,My_Audit!A:A,My_Audit!D:D,"")&amp;""</f>
        <v/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38"/>
    </row>
    <row r="1170" spans="1:23">
      <c r="A1170" s="45" t="str">
        <f>_xlfn.TEXTJOIN("",TRUE,Input!$B$2,ROW(My_Audit!A1169))</f>
        <v>XX1169</v>
      </c>
      <c r="B1170" s="45"/>
      <c r="C1170" s="45"/>
      <c r="D1170" s="46" t="str">
        <f>_xlfn.XLOOKUP(A1170,My_Audit!A:A,My_Audit!D:D,"")&amp;""</f>
        <v/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38"/>
    </row>
    <row r="1171" spans="1:23">
      <c r="A1171" s="45" t="str">
        <f>_xlfn.TEXTJOIN("",TRUE,Input!$B$2,ROW(My_Audit!A1170))</f>
        <v>XX1170</v>
      </c>
      <c r="B1171" s="45"/>
      <c r="C1171" s="45"/>
      <c r="D1171" s="46" t="str">
        <f>_xlfn.XLOOKUP(A1171,My_Audit!A:A,My_Audit!D:D,"")&amp;""</f>
        <v/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38"/>
    </row>
    <row r="1172" spans="1:23">
      <c r="A1172" s="45" t="str">
        <f>_xlfn.TEXTJOIN("",TRUE,Input!$B$2,ROW(My_Audit!A1171))</f>
        <v>XX1171</v>
      </c>
      <c r="B1172" s="45"/>
      <c r="C1172" s="45"/>
      <c r="D1172" s="46" t="str">
        <f>_xlfn.XLOOKUP(A1172,My_Audit!A:A,My_Audit!D:D,"")&amp;""</f>
        <v/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38"/>
    </row>
    <row r="1173" spans="1:23">
      <c r="A1173" s="45" t="str">
        <f>_xlfn.TEXTJOIN("",TRUE,Input!$B$2,ROW(My_Audit!A1172))</f>
        <v>XX1172</v>
      </c>
      <c r="B1173" s="45"/>
      <c r="C1173" s="45"/>
      <c r="D1173" s="46" t="str">
        <f>_xlfn.XLOOKUP(A1173,My_Audit!A:A,My_Audit!D:D,"")&amp;""</f>
        <v/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38"/>
    </row>
    <row r="1174" spans="1:23">
      <c r="A1174" s="45" t="str">
        <f>_xlfn.TEXTJOIN("",TRUE,Input!$B$2,ROW(My_Audit!A1173))</f>
        <v>XX1173</v>
      </c>
      <c r="B1174" s="45"/>
      <c r="C1174" s="45"/>
      <c r="D1174" s="46" t="str">
        <f>_xlfn.XLOOKUP(A1174,My_Audit!A:A,My_Audit!D:D,"")&amp;""</f>
        <v/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38"/>
    </row>
    <row r="1175" spans="1:23">
      <c r="A1175" s="45" t="str">
        <f>_xlfn.TEXTJOIN("",TRUE,Input!$B$2,ROW(My_Audit!A1174))</f>
        <v>XX1174</v>
      </c>
      <c r="B1175" s="45"/>
      <c r="C1175" s="45"/>
      <c r="D1175" s="46" t="str">
        <f>_xlfn.XLOOKUP(A1175,My_Audit!A:A,My_Audit!D:D,"")&amp;""</f>
        <v/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38"/>
    </row>
    <row r="1176" spans="1:23">
      <c r="A1176" s="45" t="str">
        <f>_xlfn.TEXTJOIN("",TRUE,Input!$B$2,ROW(My_Audit!A1175))</f>
        <v>XX1175</v>
      </c>
      <c r="B1176" s="45"/>
      <c r="C1176" s="45"/>
      <c r="D1176" s="46" t="str">
        <f>_xlfn.XLOOKUP(A1176,My_Audit!A:A,My_Audit!D:D,"")&amp;""</f>
        <v/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38"/>
    </row>
    <row r="1177" spans="1:23">
      <c r="A1177" s="45" t="str">
        <f>_xlfn.TEXTJOIN("",TRUE,Input!$B$2,ROW(My_Audit!A1176))</f>
        <v>XX1176</v>
      </c>
      <c r="B1177" s="45"/>
      <c r="C1177" s="45"/>
      <c r="D1177" s="46" t="str">
        <f>_xlfn.XLOOKUP(A1177,My_Audit!A:A,My_Audit!D:D,"")&amp;""</f>
        <v/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38"/>
    </row>
    <row r="1178" spans="1:23">
      <c r="A1178" s="45" t="str">
        <f>_xlfn.TEXTJOIN("",TRUE,Input!$B$2,ROW(My_Audit!A1177))</f>
        <v>XX1177</v>
      </c>
      <c r="B1178" s="45"/>
      <c r="C1178" s="45"/>
      <c r="D1178" s="46" t="str">
        <f>_xlfn.XLOOKUP(A1178,My_Audit!A:A,My_Audit!D:D,"")&amp;""</f>
        <v/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38"/>
    </row>
    <row r="1179" spans="1:23">
      <c r="A1179" s="45" t="str">
        <f>_xlfn.TEXTJOIN("",TRUE,Input!$B$2,ROW(My_Audit!A1178))</f>
        <v>XX1178</v>
      </c>
      <c r="B1179" s="45"/>
      <c r="C1179" s="45"/>
      <c r="D1179" s="46" t="str">
        <f>_xlfn.XLOOKUP(A1179,My_Audit!A:A,My_Audit!D:D,"")&amp;""</f>
        <v/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38"/>
    </row>
    <row r="1180" spans="1:23">
      <c r="A1180" s="45" t="str">
        <f>_xlfn.TEXTJOIN("",TRUE,Input!$B$2,ROW(My_Audit!A1179))</f>
        <v>XX1179</v>
      </c>
      <c r="B1180" s="45"/>
      <c r="C1180" s="45"/>
      <c r="D1180" s="46" t="str">
        <f>_xlfn.XLOOKUP(A1180,My_Audit!A:A,My_Audit!D:D,"")&amp;""</f>
        <v/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38"/>
    </row>
    <row r="1181" spans="1:23">
      <c r="A1181" s="45" t="str">
        <f>_xlfn.TEXTJOIN("",TRUE,Input!$B$2,ROW(My_Audit!A1180))</f>
        <v>XX1180</v>
      </c>
      <c r="B1181" s="45"/>
      <c r="C1181" s="45"/>
      <c r="D1181" s="46" t="str">
        <f>_xlfn.XLOOKUP(A1181,My_Audit!A:A,My_Audit!D:D,"")&amp;""</f>
        <v/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38"/>
    </row>
    <row r="1182" spans="1:23">
      <c r="A1182" s="45" t="str">
        <f>_xlfn.TEXTJOIN("",TRUE,Input!$B$2,ROW(My_Audit!A1181))</f>
        <v>XX1181</v>
      </c>
      <c r="B1182" s="45"/>
      <c r="C1182" s="45"/>
      <c r="D1182" s="46" t="str">
        <f>_xlfn.XLOOKUP(A1182,My_Audit!A:A,My_Audit!D:D,"")&amp;""</f>
        <v/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38"/>
    </row>
    <row r="1183" spans="1:23">
      <c r="A1183" s="45" t="str">
        <f>_xlfn.TEXTJOIN("",TRUE,Input!$B$2,ROW(My_Audit!A1182))</f>
        <v>XX1182</v>
      </c>
      <c r="B1183" s="45"/>
      <c r="C1183" s="45"/>
      <c r="D1183" s="46" t="str">
        <f>_xlfn.XLOOKUP(A1183,My_Audit!A:A,My_Audit!D:D,"")&amp;""</f>
        <v/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38"/>
    </row>
    <row r="1184" spans="1:23">
      <c r="A1184" s="45" t="str">
        <f>_xlfn.TEXTJOIN("",TRUE,Input!$B$2,ROW(My_Audit!A1183))</f>
        <v>XX1183</v>
      </c>
      <c r="B1184" s="45"/>
      <c r="C1184" s="45"/>
      <c r="D1184" s="46" t="str">
        <f>_xlfn.XLOOKUP(A1184,My_Audit!A:A,My_Audit!D:D,"")&amp;""</f>
        <v/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38"/>
    </row>
    <row r="1185" spans="1:23">
      <c r="A1185" s="45" t="str">
        <f>_xlfn.TEXTJOIN("",TRUE,Input!$B$2,ROW(My_Audit!A1184))</f>
        <v>XX1184</v>
      </c>
      <c r="B1185" s="45"/>
      <c r="C1185" s="45"/>
      <c r="D1185" s="46" t="str">
        <f>_xlfn.XLOOKUP(A1185,My_Audit!A:A,My_Audit!D:D,"")&amp;""</f>
        <v/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38"/>
    </row>
    <row r="1186" spans="1:23">
      <c r="A1186" s="45" t="str">
        <f>_xlfn.TEXTJOIN("",TRUE,Input!$B$2,ROW(My_Audit!A1185))</f>
        <v>XX1185</v>
      </c>
      <c r="B1186" s="45"/>
      <c r="C1186" s="45"/>
      <c r="D1186" s="46" t="str">
        <f>_xlfn.XLOOKUP(A1186,My_Audit!A:A,My_Audit!D:D,"")&amp;""</f>
        <v/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38"/>
    </row>
    <row r="1187" spans="1:23">
      <c r="A1187" s="45" t="str">
        <f>_xlfn.TEXTJOIN("",TRUE,Input!$B$2,ROW(My_Audit!A1186))</f>
        <v>XX1186</v>
      </c>
      <c r="B1187" s="45"/>
      <c r="C1187" s="45"/>
      <c r="D1187" s="46" t="str">
        <f>_xlfn.XLOOKUP(A1187,My_Audit!A:A,My_Audit!D:D,"")&amp;""</f>
        <v/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38"/>
    </row>
    <row r="1188" spans="1:23">
      <c r="A1188" s="45" t="str">
        <f>_xlfn.TEXTJOIN("",TRUE,Input!$B$2,ROW(My_Audit!A1187))</f>
        <v>XX1187</v>
      </c>
      <c r="B1188" s="45"/>
      <c r="C1188" s="45"/>
      <c r="D1188" s="46" t="str">
        <f>_xlfn.XLOOKUP(A1188,My_Audit!A:A,My_Audit!D:D,"")&amp;""</f>
        <v/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38"/>
    </row>
    <row r="1189" spans="1:23">
      <c r="A1189" s="45" t="str">
        <f>_xlfn.TEXTJOIN("",TRUE,Input!$B$2,ROW(My_Audit!A1188))</f>
        <v>XX1188</v>
      </c>
      <c r="B1189" s="45"/>
      <c r="C1189" s="45"/>
      <c r="D1189" s="46" t="str">
        <f>_xlfn.XLOOKUP(A1189,My_Audit!A:A,My_Audit!D:D,"")&amp;""</f>
        <v/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38"/>
    </row>
    <row r="1190" spans="1:23">
      <c r="A1190" s="45" t="str">
        <f>_xlfn.TEXTJOIN("",TRUE,Input!$B$2,ROW(My_Audit!A1189))</f>
        <v>XX1189</v>
      </c>
      <c r="B1190" s="45"/>
      <c r="C1190" s="45"/>
      <c r="D1190" s="46" t="str">
        <f>_xlfn.XLOOKUP(A1190,My_Audit!A:A,My_Audit!D:D,"")&amp;""</f>
        <v/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38"/>
    </row>
    <row r="1191" spans="1:23">
      <c r="A1191" s="45" t="str">
        <f>_xlfn.TEXTJOIN("",TRUE,Input!$B$2,ROW(My_Audit!A1190))</f>
        <v>XX1190</v>
      </c>
      <c r="B1191" s="45"/>
      <c r="C1191" s="45"/>
      <c r="D1191" s="46" t="str">
        <f>_xlfn.XLOOKUP(A1191,My_Audit!A:A,My_Audit!D:D,"")&amp;""</f>
        <v/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38"/>
    </row>
    <row r="1192" spans="1:23">
      <c r="A1192" s="45" t="str">
        <f>_xlfn.TEXTJOIN("",TRUE,Input!$B$2,ROW(My_Audit!A1191))</f>
        <v>XX1191</v>
      </c>
      <c r="B1192" s="45"/>
      <c r="C1192" s="45"/>
      <c r="D1192" s="46" t="str">
        <f>_xlfn.XLOOKUP(A1192,My_Audit!A:A,My_Audit!D:D,"")&amp;""</f>
        <v/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38"/>
    </row>
    <row r="1193" spans="1:23">
      <c r="A1193" s="45" t="str">
        <f>_xlfn.TEXTJOIN("",TRUE,Input!$B$2,ROW(My_Audit!A1192))</f>
        <v>XX1192</v>
      </c>
      <c r="B1193" s="45"/>
      <c r="C1193" s="45"/>
      <c r="D1193" s="46" t="str">
        <f>_xlfn.XLOOKUP(A1193,My_Audit!A:A,My_Audit!D:D,"")&amp;""</f>
        <v/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38"/>
    </row>
    <row r="1194" spans="1:23">
      <c r="A1194" s="45" t="str">
        <f>_xlfn.TEXTJOIN("",TRUE,Input!$B$2,ROW(My_Audit!A1193))</f>
        <v>XX1193</v>
      </c>
      <c r="B1194" s="45"/>
      <c r="C1194" s="45"/>
      <c r="D1194" s="46" t="str">
        <f>_xlfn.XLOOKUP(A1194,My_Audit!A:A,My_Audit!D:D,"")&amp;""</f>
        <v/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38"/>
    </row>
    <row r="1195" spans="1:23">
      <c r="A1195" s="45" t="str">
        <f>_xlfn.TEXTJOIN("",TRUE,Input!$B$2,ROW(My_Audit!A1194))</f>
        <v>XX1194</v>
      </c>
      <c r="B1195" s="45"/>
      <c r="C1195" s="45"/>
      <c r="D1195" s="46" t="str">
        <f>_xlfn.XLOOKUP(A1195,My_Audit!A:A,My_Audit!D:D,"")&amp;""</f>
        <v/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38"/>
    </row>
    <row r="1196" spans="1:23">
      <c r="A1196" s="45" t="str">
        <f>_xlfn.TEXTJOIN("",TRUE,Input!$B$2,ROW(My_Audit!A1195))</f>
        <v>XX1195</v>
      </c>
      <c r="B1196" s="45"/>
      <c r="C1196" s="45"/>
      <c r="D1196" s="46" t="str">
        <f>_xlfn.XLOOKUP(A1196,My_Audit!A:A,My_Audit!D:D,"")&amp;""</f>
        <v/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38"/>
    </row>
    <row r="1197" spans="1:23">
      <c r="A1197" s="45" t="str">
        <f>_xlfn.TEXTJOIN("",TRUE,Input!$B$2,ROW(My_Audit!A1196))</f>
        <v>XX1196</v>
      </c>
      <c r="B1197" s="45"/>
      <c r="C1197" s="45"/>
      <c r="D1197" s="46" t="str">
        <f>_xlfn.XLOOKUP(A1197,My_Audit!A:A,My_Audit!D:D,"")&amp;""</f>
        <v/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38"/>
    </row>
    <row r="1198" spans="1:23">
      <c r="A1198" s="45" t="str">
        <f>_xlfn.TEXTJOIN("",TRUE,Input!$B$2,ROW(My_Audit!A1197))</f>
        <v>XX1197</v>
      </c>
      <c r="B1198" s="45"/>
      <c r="C1198" s="45"/>
      <c r="D1198" s="46" t="str">
        <f>_xlfn.XLOOKUP(A1198,My_Audit!A:A,My_Audit!D:D,"")&amp;""</f>
        <v/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38"/>
    </row>
    <row r="1199" spans="1:23">
      <c r="A1199" s="45" t="str">
        <f>_xlfn.TEXTJOIN("",TRUE,Input!$B$2,ROW(My_Audit!A1198))</f>
        <v>XX1198</v>
      </c>
      <c r="B1199" s="45"/>
      <c r="C1199" s="45"/>
      <c r="D1199" s="46" t="str">
        <f>_xlfn.XLOOKUP(A1199,My_Audit!A:A,My_Audit!D:D,"")&amp;""</f>
        <v/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38"/>
    </row>
    <row r="1200" spans="1:23">
      <c r="A1200" s="45" t="str">
        <f>_xlfn.TEXTJOIN("",TRUE,Input!$B$2,ROW(My_Audit!A1199))</f>
        <v>XX1199</v>
      </c>
      <c r="B1200" s="45"/>
      <c r="C1200" s="45"/>
      <c r="D1200" s="46" t="str">
        <f>_xlfn.XLOOKUP(A1200,My_Audit!A:A,My_Audit!D:D,"")&amp;""</f>
        <v/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38"/>
    </row>
    <row r="1201" spans="1:23">
      <c r="A1201" s="45" t="str">
        <f>_xlfn.TEXTJOIN("",TRUE,Input!$B$2,ROW(My_Audit!A1200))</f>
        <v>XX1200</v>
      </c>
      <c r="B1201" s="45"/>
      <c r="C1201" s="45"/>
      <c r="D1201" s="46" t="str">
        <f>_xlfn.XLOOKUP(A1201,My_Audit!A:A,My_Audit!D:D,"")&amp;""</f>
        <v/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38"/>
    </row>
    <row r="1202" spans="1:23">
      <c r="A1202" s="45" t="str">
        <f>_xlfn.TEXTJOIN("",TRUE,Input!$B$2,ROW(My_Audit!A1201))</f>
        <v>XX1201</v>
      </c>
      <c r="B1202" s="45"/>
      <c r="C1202" s="45"/>
      <c r="D1202" s="46" t="str">
        <f>_xlfn.XLOOKUP(A1202,My_Audit!A:A,My_Audit!D:D,"")&amp;""</f>
        <v/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38"/>
    </row>
    <row r="1203" spans="1:23">
      <c r="A1203" s="45" t="str">
        <f>_xlfn.TEXTJOIN("",TRUE,Input!$B$2,ROW(My_Audit!A1202))</f>
        <v>XX1202</v>
      </c>
      <c r="B1203" s="45"/>
      <c r="C1203" s="45"/>
      <c r="D1203" s="46" t="str">
        <f>_xlfn.XLOOKUP(A1203,My_Audit!A:A,My_Audit!D:D,"")&amp;""</f>
        <v/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38"/>
    </row>
    <row r="1204" spans="1:23">
      <c r="A1204" s="45" t="str">
        <f>_xlfn.TEXTJOIN("",TRUE,Input!$B$2,ROW(My_Audit!A1203))</f>
        <v>XX1203</v>
      </c>
      <c r="B1204" s="45"/>
      <c r="C1204" s="45"/>
      <c r="D1204" s="46" t="str">
        <f>_xlfn.XLOOKUP(A1204,My_Audit!A:A,My_Audit!D:D,"")&amp;""</f>
        <v/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38"/>
    </row>
    <row r="1205" spans="1:23">
      <c r="A1205" s="45" t="str">
        <f>_xlfn.TEXTJOIN("",TRUE,Input!$B$2,ROW(My_Audit!A1204))</f>
        <v>XX1204</v>
      </c>
      <c r="B1205" s="45"/>
      <c r="C1205" s="45"/>
      <c r="D1205" s="46" t="str">
        <f>_xlfn.XLOOKUP(A1205,My_Audit!A:A,My_Audit!D:D,"")&amp;""</f>
        <v/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38"/>
    </row>
    <row r="1206" spans="1:23">
      <c r="A1206" s="45" t="str">
        <f>_xlfn.TEXTJOIN("",TRUE,Input!$B$2,ROW(My_Audit!A1205))</f>
        <v>XX1205</v>
      </c>
      <c r="B1206" s="45"/>
      <c r="C1206" s="45"/>
      <c r="D1206" s="46" t="str">
        <f>_xlfn.XLOOKUP(A1206,My_Audit!A:A,My_Audit!D:D,"")&amp;""</f>
        <v/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38"/>
    </row>
    <row r="1207" spans="1:23">
      <c r="A1207" s="45" t="str">
        <f>_xlfn.TEXTJOIN("",TRUE,Input!$B$2,ROW(My_Audit!A1206))</f>
        <v>XX1206</v>
      </c>
      <c r="B1207" s="45"/>
      <c r="C1207" s="45"/>
      <c r="D1207" s="46" t="str">
        <f>_xlfn.XLOOKUP(A1207,My_Audit!A:A,My_Audit!D:D,"")&amp;""</f>
        <v/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38"/>
    </row>
    <row r="1208" spans="1:23">
      <c r="A1208" s="45" t="str">
        <f>_xlfn.TEXTJOIN("",TRUE,Input!$B$2,ROW(My_Audit!A1207))</f>
        <v>XX1207</v>
      </c>
      <c r="B1208" s="45"/>
      <c r="C1208" s="45"/>
      <c r="D1208" s="46" t="str">
        <f>_xlfn.XLOOKUP(A1208,My_Audit!A:A,My_Audit!D:D,"")&amp;""</f>
        <v/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38"/>
    </row>
    <row r="1209" spans="1:23">
      <c r="A1209" s="45" t="str">
        <f>_xlfn.TEXTJOIN("",TRUE,Input!$B$2,ROW(My_Audit!A1208))</f>
        <v>XX1208</v>
      </c>
      <c r="B1209" s="45"/>
      <c r="C1209" s="45"/>
      <c r="D1209" s="46" t="str">
        <f>_xlfn.XLOOKUP(A1209,My_Audit!A:A,My_Audit!D:D,"")&amp;""</f>
        <v/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38"/>
    </row>
    <row r="1210" spans="1:23">
      <c r="A1210" s="45" t="str">
        <f>_xlfn.TEXTJOIN("",TRUE,Input!$B$2,ROW(My_Audit!A1209))</f>
        <v>XX1209</v>
      </c>
      <c r="B1210" s="45"/>
      <c r="C1210" s="45"/>
      <c r="D1210" s="46" t="str">
        <f>_xlfn.XLOOKUP(A1210,My_Audit!A:A,My_Audit!D:D,"")&amp;""</f>
        <v/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38"/>
    </row>
    <row r="1211" spans="1:23">
      <c r="A1211" s="45" t="str">
        <f>_xlfn.TEXTJOIN("",TRUE,Input!$B$2,ROW(My_Audit!A1210))</f>
        <v>XX1210</v>
      </c>
      <c r="B1211" s="45"/>
      <c r="C1211" s="45"/>
      <c r="D1211" s="46" t="str">
        <f>_xlfn.XLOOKUP(A1211,My_Audit!A:A,My_Audit!D:D,"")&amp;""</f>
        <v/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38"/>
    </row>
    <row r="1212" spans="1:23">
      <c r="A1212" s="45" t="str">
        <f>_xlfn.TEXTJOIN("",TRUE,Input!$B$2,ROW(My_Audit!A1211))</f>
        <v>XX1211</v>
      </c>
      <c r="B1212" s="45"/>
      <c r="C1212" s="45"/>
      <c r="D1212" s="46" t="str">
        <f>_xlfn.XLOOKUP(A1212,My_Audit!A:A,My_Audit!D:D,"")&amp;""</f>
        <v/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38"/>
    </row>
    <row r="1213" spans="1:23">
      <c r="A1213" s="45" t="str">
        <f>_xlfn.TEXTJOIN("",TRUE,Input!$B$2,ROW(My_Audit!A1212))</f>
        <v>XX1212</v>
      </c>
      <c r="B1213" s="45"/>
      <c r="C1213" s="45"/>
      <c r="D1213" s="46" t="str">
        <f>_xlfn.XLOOKUP(A1213,My_Audit!A:A,My_Audit!D:D,"")&amp;""</f>
        <v/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38"/>
    </row>
    <row r="1214" spans="1:23">
      <c r="A1214" s="45" t="str">
        <f>_xlfn.TEXTJOIN("",TRUE,Input!$B$2,ROW(My_Audit!A1213))</f>
        <v>XX1213</v>
      </c>
      <c r="B1214" s="45"/>
      <c r="C1214" s="45"/>
      <c r="D1214" s="46" t="str">
        <f>_xlfn.XLOOKUP(A1214,My_Audit!A:A,My_Audit!D:D,"")&amp;""</f>
        <v/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38"/>
    </row>
    <row r="1215" spans="1:23">
      <c r="A1215" s="45" t="str">
        <f>_xlfn.TEXTJOIN("",TRUE,Input!$B$2,ROW(My_Audit!A1214))</f>
        <v>XX1214</v>
      </c>
      <c r="B1215" s="45"/>
      <c r="C1215" s="45"/>
      <c r="D1215" s="46" t="str">
        <f>_xlfn.XLOOKUP(A1215,My_Audit!A:A,My_Audit!D:D,"")&amp;""</f>
        <v/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38"/>
    </row>
    <row r="1216" spans="1:23">
      <c r="A1216" s="45" t="str">
        <f>_xlfn.TEXTJOIN("",TRUE,Input!$B$2,ROW(My_Audit!A1215))</f>
        <v>XX1215</v>
      </c>
      <c r="B1216" s="45"/>
      <c r="C1216" s="45"/>
      <c r="D1216" s="46" t="str">
        <f>_xlfn.XLOOKUP(A1216,My_Audit!A:A,My_Audit!D:D,"")&amp;""</f>
        <v/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38"/>
    </row>
    <row r="1217" spans="1:23">
      <c r="A1217" s="45" t="str">
        <f>_xlfn.TEXTJOIN("",TRUE,Input!$B$2,ROW(My_Audit!A1216))</f>
        <v>XX1216</v>
      </c>
      <c r="B1217" s="45"/>
      <c r="C1217" s="45"/>
      <c r="D1217" s="46" t="str">
        <f>_xlfn.XLOOKUP(A1217,My_Audit!A:A,My_Audit!D:D,"")&amp;""</f>
        <v/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38"/>
    </row>
    <row r="1218" spans="1:23">
      <c r="A1218" s="45" t="str">
        <f>_xlfn.TEXTJOIN("",TRUE,Input!$B$2,ROW(My_Audit!A1217))</f>
        <v>XX1217</v>
      </c>
      <c r="B1218" s="45"/>
      <c r="C1218" s="45"/>
      <c r="D1218" s="46" t="str">
        <f>_xlfn.XLOOKUP(A1218,My_Audit!A:A,My_Audit!D:D,"")&amp;""</f>
        <v/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38"/>
    </row>
    <row r="1219" spans="1:23">
      <c r="A1219" s="45" t="str">
        <f>_xlfn.TEXTJOIN("",TRUE,Input!$B$2,ROW(My_Audit!A1218))</f>
        <v>XX1218</v>
      </c>
      <c r="B1219" s="45"/>
      <c r="C1219" s="45"/>
      <c r="D1219" s="46" t="str">
        <f>_xlfn.XLOOKUP(A1219,My_Audit!A:A,My_Audit!D:D,"")&amp;""</f>
        <v/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38"/>
    </row>
    <row r="1220" spans="1:23">
      <c r="A1220" s="45" t="str">
        <f>_xlfn.TEXTJOIN("",TRUE,Input!$B$2,ROW(My_Audit!A1219))</f>
        <v>XX1219</v>
      </c>
      <c r="B1220" s="45"/>
      <c r="C1220" s="45"/>
      <c r="D1220" s="46" t="str">
        <f>_xlfn.XLOOKUP(A1220,My_Audit!A:A,My_Audit!D:D,"")&amp;""</f>
        <v/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38"/>
    </row>
    <row r="1221" spans="1:23">
      <c r="A1221" s="45" t="str">
        <f>_xlfn.TEXTJOIN("",TRUE,Input!$B$2,ROW(My_Audit!A1220))</f>
        <v>XX1220</v>
      </c>
      <c r="B1221" s="45"/>
      <c r="C1221" s="45"/>
      <c r="D1221" s="46" t="str">
        <f>_xlfn.XLOOKUP(A1221,My_Audit!A:A,My_Audit!D:D,"")&amp;""</f>
        <v/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38"/>
    </row>
    <row r="1222" spans="1:23">
      <c r="A1222" s="45" t="str">
        <f>_xlfn.TEXTJOIN("",TRUE,Input!$B$2,ROW(My_Audit!A1221))</f>
        <v>XX1221</v>
      </c>
      <c r="B1222" s="45"/>
      <c r="C1222" s="45"/>
      <c r="D1222" s="46" t="str">
        <f>_xlfn.XLOOKUP(A1222,My_Audit!A:A,My_Audit!D:D,"")&amp;""</f>
        <v/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38"/>
    </row>
    <row r="1223" spans="1:23">
      <c r="A1223" s="45" t="str">
        <f>_xlfn.TEXTJOIN("",TRUE,Input!$B$2,ROW(My_Audit!A1222))</f>
        <v>XX1222</v>
      </c>
      <c r="B1223" s="45"/>
      <c r="C1223" s="45"/>
      <c r="D1223" s="46" t="str">
        <f>_xlfn.XLOOKUP(A1223,My_Audit!A:A,My_Audit!D:D,"")&amp;""</f>
        <v/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38"/>
    </row>
    <row r="1224" spans="1:23">
      <c r="A1224" s="45" t="str">
        <f>_xlfn.TEXTJOIN("",TRUE,Input!$B$2,ROW(My_Audit!A1223))</f>
        <v>XX1223</v>
      </c>
      <c r="B1224" s="45"/>
      <c r="C1224" s="45"/>
      <c r="D1224" s="46" t="str">
        <f>_xlfn.XLOOKUP(A1224,My_Audit!A:A,My_Audit!D:D,"")&amp;""</f>
        <v/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38"/>
    </row>
    <row r="1225" spans="1:23">
      <c r="A1225" s="45" t="str">
        <f>_xlfn.TEXTJOIN("",TRUE,Input!$B$2,ROW(My_Audit!A1224))</f>
        <v>XX1224</v>
      </c>
      <c r="B1225" s="45"/>
      <c r="C1225" s="45"/>
      <c r="D1225" s="46" t="str">
        <f>_xlfn.XLOOKUP(A1225,My_Audit!A:A,My_Audit!D:D,"")&amp;""</f>
        <v/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38"/>
    </row>
    <row r="1226" spans="1:23">
      <c r="A1226" s="45" t="str">
        <f>_xlfn.TEXTJOIN("",TRUE,Input!$B$2,ROW(My_Audit!A1225))</f>
        <v>XX1225</v>
      </c>
      <c r="B1226" s="45"/>
      <c r="C1226" s="45"/>
      <c r="D1226" s="46" t="str">
        <f>_xlfn.XLOOKUP(A1226,My_Audit!A:A,My_Audit!D:D,"")&amp;""</f>
        <v/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38"/>
    </row>
    <row r="1227" spans="1:23">
      <c r="A1227" s="45" t="str">
        <f>_xlfn.TEXTJOIN("",TRUE,Input!$B$2,ROW(My_Audit!A1226))</f>
        <v>XX1226</v>
      </c>
      <c r="B1227" s="45"/>
      <c r="C1227" s="45"/>
      <c r="D1227" s="46" t="str">
        <f>_xlfn.XLOOKUP(A1227,My_Audit!A:A,My_Audit!D:D,"")&amp;""</f>
        <v/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38"/>
    </row>
    <row r="1228" spans="1:23">
      <c r="A1228" s="45" t="str">
        <f>_xlfn.TEXTJOIN("",TRUE,Input!$B$2,ROW(My_Audit!A1227))</f>
        <v>XX1227</v>
      </c>
      <c r="B1228" s="45"/>
      <c r="C1228" s="45"/>
      <c r="D1228" s="46" t="str">
        <f>_xlfn.XLOOKUP(A1228,My_Audit!A:A,My_Audit!D:D,"")&amp;""</f>
        <v/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38"/>
    </row>
    <row r="1229" spans="1:23">
      <c r="A1229" s="45" t="str">
        <f>_xlfn.TEXTJOIN("",TRUE,Input!$B$2,ROW(My_Audit!A1228))</f>
        <v>XX1228</v>
      </c>
      <c r="B1229" s="45"/>
      <c r="C1229" s="45"/>
      <c r="D1229" s="46" t="str">
        <f>_xlfn.XLOOKUP(A1229,My_Audit!A:A,My_Audit!D:D,"")&amp;""</f>
        <v/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38"/>
    </row>
    <row r="1230" spans="1:23">
      <c r="A1230" s="45" t="str">
        <f>_xlfn.TEXTJOIN("",TRUE,Input!$B$2,ROW(My_Audit!A1229))</f>
        <v>XX1229</v>
      </c>
      <c r="B1230" s="45"/>
      <c r="C1230" s="45"/>
      <c r="D1230" s="46" t="str">
        <f>_xlfn.XLOOKUP(A1230,My_Audit!A:A,My_Audit!D:D,"")&amp;""</f>
        <v/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38"/>
    </row>
    <row r="1231" spans="1:23">
      <c r="A1231" s="45" t="str">
        <f>_xlfn.TEXTJOIN("",TRUE,Input!$B$2,ROW(My_Audit!A1230))</f>
        <v>XX1230</v>
      </c>
      <c r="B1231" s="45"/>
      <c r="C1231" s="45"/>
      <c r="D1231" s="46" t="str">
        <f>_xlfn.XLOOKUP(A1231,My_Audit!A:A,My_Audit!D:D,"")&amp;""</f>
        <v/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38"/>
    </row>
    <row r="1232" spans="1:23">
      <c r="A1232" s="45" t="str">
        <f>_xlfn.TEXTJOIN("",TRUE,Input!$B$2,ROW(My_Audit!A1231))</f>
        <v>XX1231</v>
      </c>
      <c r="B1232" s="45"/>
      <c r="C1232" s="45"/>
      <c r="D1232" s="46" t="str">
        <f>_xlfn.XLOOKUP(A1232,My_Audit!A:A,My_Audit!D:D,"")&amp;""</f>
        <v/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38"/>
    </row>
    <row r="1233" spans="1:23">
      <c r="A1233" s="45" t="str">
        <f>_xlfn.TEXTJOIN("",TRUE,Input!$B$2,ROW(My_Audit!A1232))</f>
        <v>XX1232</v>
      </c>
      <c r="B1233" s="45"/>
      <c r="C1233" s="45"/>
      <c r="D1233" s="46" t="str">
        <f>_xlfn.XLOOKUP(A1233,My_Audit!A:A,My_Audit!D:D,"")&amp;""</f>
        <v/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38"/>
    </row>
    <row r="1234" spans="1:23">
      <c r="A1234" s="45" t="str">
        <f>_xlfn.TEXTJOIN("",TRUE,Input!$B$2,ROW(My_Audit!A1233))</f>
        <v>XX1233</v>
      </c>
      <c r="B1234" s="45"/>
      <c r="C1234" s="45"/>
      <c r="D1234" s="46" t="str">
        <f>_xlfn.XLOOKUP(A1234,My_Audit!A:A,My_Audit!D:D,"")&amp;""</f>
        <v/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38"/>
    </row>
    <row r="1235" spans="1:23">
      <c r="A1235" s="45" t="str">
        <f>_xlfn.TEXTJOIN("",TRUE,Input!$B$2,ROW(My_Audit!A1234))</f>
        <v>XX1234</v>
      </c>
      <c r="B1235" s="45"/>
      <c r="C1235" s="45"/>
      <c r="D1235" s="46" t="str">
        <f>_xlfn.XLOOKUP(A1235,My_Audit!A:A,My_Audit!D:D,"")&amp;""</f>
        <v/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38"/>
    </row>
    <row r="1236" spans="1:23">
      <c r="A1236" s="45" t="str">
        <f>_xlfn.TEXTJOIN("",TRUE,Input!$B$2,ROW(My_Audit!A1235))</f>
        <v>XX1235</v>
      </c>
      <c r="B1236" s="45"/>
      <c r="C1236" s="45"/>
      <c r="D1236" s="46" t="str">
        <f>_xlfn.XLOOKUP(A1236,My_Audit!A:A,My_Audit!D:D,"")&amp;""</f>
        <v/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38"/>
    </row>
    <row r="1237" spans="1:23">
      <c r="A1237" s="45" t="str">
        <f>_xlfn.TEXTJOIN("",TRUE,Input!$B$2,ROW(My_Audit!A1236))</f>
        <v>XX1236</v>
      </c>
      <c r="B1237" s="45"/>
      <c r="C1237" s="45"/>
      <c r="D1237" s="46" t="str">
        <f>_xlfn.XLOOKUP(A1237,My_Audit!A:A,My_Audit!D:D,"")&amp;""</f>
        <v/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38"/>
    </row>
    <row r="1238" spans="1:23">
      <c r="A1238" s="45" t="str">
        <f>_xlfn.TEXTJOIN("",TRUE,Input!$B$2,ROW(My_Audit!A1237))</f>
        <v>XX1237</v>
      </c>
      <c r="B1238" s="45"/>
      <c r="C1238" s="45"/>
      <c r="D1238" s="45"/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38"/>
    </row>
    <row r="1239" spans="1:23">
      <c r="A1239" s="45" t="str">
        <f>_xlfn.TEXTJOIN("",TRUE,Input!$B$2,ROW(My_Audit!A1238))</f>
        <v>XX1238</v>
      </c>
      <c r="B1239" s="45"/>
      <c r="C1239" s="45"/>
      <c r="D1239" s="45"/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38"/>
    </row>
    <row r="1240" spans="1:23">
      <c r="A1240" s="45" t="str">
        <f>_xlfn.TEXTJOIN("",TRUE,Input!$B$2,ROW(My_Audit!A1239))</f>
        <v>XX1239</v>
      </c>
      <c r="B1240" s="45"/>
      <c r="C1240" s="45"/>
      <c r="D1240" s="45"/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38"/>
    </row>
    <row r="1241" spans="1:23">
      <c r="A1241" s="45" t="str">
        <f>_xlfn.TEXTJOIN("",TRUE,Input!$B$2,ROW(My_Audit!A1240))</f>
        <v>XX1240</v>
      </c>
      <c r="B1241" s="45"/>
      <c r="C1241" s="45"/>
      <c r="D1241" s="45"/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38"/>
    </row>
    <row r="1242" spans="1:23">
      <c r="A1242" s="45" t="str">
        <f>_xlfn.TEXTJOIN("",TRUE,Input!$B$2,ROW(My_Audit!A1241))</f>
        <v>XX1241</v>
      </c>
      <c r="B1242" s="45"/>
      <c r="C1242" s="45"/>
      <c r="D1242" s="45"/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38"/>
    </row>
    <row r="1243" spans="1:23">
      <c r="A1243" s="45" t="str">
        <f>_xlfn.TEXTJOIN("",TRUE,Input!$B$2,ROW(My_Audit!A1242))</f>
        <v>XX1242</v>
      </c>
      <c r="B1243" s="45"/>
      <c r="C1243" s="45"/>
      <c r="D1243" s="45"/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38"/>
    </row>
    <row r="1244" spans="1:23">
      <c r="A1244" s="45" t="str">
        <f>_xlfn.TEXTJOIN("",TRUE,Input!$B$2,ROW(My_Audit!A1243))</f>
        <v>XX1243</v>
      </c>
      <c r="B1244" s="45"/>
      <c r="C1244" s="45"/>
      <c r="D1244" s="45"/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38"/>
    </row>
    <row r="1245" spans="1:23">
      <c r="A1245" s="45" t="str">
        <f>_xlfn.TEXTJOIN("",TRUE,Input!$B$2,ROW(My_Audit!A1244))</f>
        <v>XX1244</v>
      </c>
      <c r="B1245" s="45"/>
      <c r="C1245" s="45"/>
      <c r="D1245" s="45"/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38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E50" sqref="E50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485</v>
      </c>
      <c r="F1" s="36" t="s">
        <v>486</v>
      </c>
    </row>
    <row r="2" spans="1:6">
      <c r="A2" t="e" cm="1" vm="1">
        <f t="array" ref="A2">_xlfn._xlws.FILTER('Audit Report'!C2:C500,'Audit Report'!W2:W500&lt;&gt;"")</f>
        <v>#VALUE!</v>
      </c>
      <c r="B2" t="e" vm="2">
        <f>_xlfn.XLOOKUP($A2,'Audit Report'!$C:$C,'Audit Report'!E:E)</f>
        <v>#VALUE!</v>
      </c>
      <c r="C2" t="e" vm="2">
        <f>_xlfn.XLOOKUP($A2,'Audit Report'!$C:$C,'Audit Report'!F:F)</f>
        <v>#VALUE!</v>
      </c>
      <c r="D2" t="e" vm="2">
        <f>_xlfn.XLOOKUP($A2,'Audit Report'!$C:$C,'Audit Report'!G:G)</f>
        <v>#VALUE!</v>
      </c>
      <c r="E2" t="e" vm="2">
        <f>_xlfn.XLOOKUP($A2,'Audit Report'!$C:$C,'Audit Report'!W:W)</f>
        <v>#VALUE!</v>
      </c>
      <c r="F2" t="e" vm="2">
        <f>_xlfn.XLOOKUP($A2,'Audit Report'!$C:$C,'Audit Report'!#REF!)</f>
        <v>#VALUE!</v>
      </c>
    </row>
    <row r="3" spans="1:6">
      <c r="B3" t="str">
        <f>_xlfn.XLOOKUP($A3,'Audit Report'!$C:$C,'Audit Report'!E:E)</f>
        <v/>
      </c>
      <c r="C3">
        <f>_xlfn.XLOOKUP($A3,'Audit Report'!$C:$C,'Audit Report'!F:F)</f>
        <v>0</v>
      </c>
      <c r="D3">
        <f>_xlfn.XLOOKUP($A3,'Audit Report'!$C:$C,'Audit Report'!G:G)</f>
        <v>0</v>
      </c>
      <c r="E3">
        <f>_xlfn.XLOOKUP($A3,'Audit Report'!$C:$C,'Audit Report'!W:W)</f>
        <v>0</v>
      </c>
      <c r="F3" t="e">
        <f>_xlfn.XLOOKUP($A3,'Audit Report'!$C:$C,'Audit Report'!#REF!)</f>
        <v>#REF!</v>
      </c>
    </row>
    <row r="4" spans="1:6">
      <c r="B4" t="str">
        <f>_xlfn.XLOOKUP($A4,'Audit Report'!$C:$C,'Audit Report'!E:E)</f>
        <v/>
      </c>
      <c r="C4">
        <f>_xlfn.XLOOKUP($A4,'Audit Report'!$C:$C,'Audit Report'!F:F)</f>
        <v>0</v>
      </c>
      <c r="D4">
        <f>_xlfn.XLOOKUP($A4,'Audit Report'!$C:$C,'Audit Report'!G:G)</f>
        <v>0</v>
      </c>
      <c r="E4">
        <f>_xlfn.XLOOKUP($A4,'Audit Report'!$C:$C,'Audit Report'!W:W)</f>
        <v>0</v>
      </c>
      <c r="F4" t="e">
        <f>_xlfn.XLOOKUP($A4,'Audit Report'!$C:$C,'Audit Report'!#REF!)</f>
        <v>#REF!</v>
      </c>
    </row>
    <row r="5" spans="1:6">
      <c r="B5" t="str">
        <f>_xlfn.XLOOKUP($A5,'Audit Report'!$C:$C,'Audit Report'!E:E)</f>
        <v/>
      </c>
      <c r="C5">
        <f>_xlfn.XLOOKUP($A5,'Audit Report'!$C:$C,'Audit Report'!F:F)</f>
        <v>0</v>
      </c>
      <c r="D5">
        <f>_xlfn.XLOOKUP($A5,'Audit Report'!$C:$C,'Audit Report'!G:G)</f>
        <v>0</v>
      </c>
      <c r="E5">
        <f>_xlfn.XLOOKUP($A5,'Audit Report'!$C:$C,'Audit Report'!W:W)</f>
        <v>0</v>
      </c>
      <c r="F5" t="e">
        <f>_xlfn.XLOOKUP($A5,'Audit Report'!$C:$C,'Audit Report'!#REF!)</f>
        <v>#REF!</v>
      </c>
    </row>
    <row r="6" spans="1:6">
      <c r="B6" t="str">
        <f>_xlfn.XLOOKUP($A6,'Audit Report'!$C:$C,'Audit Report'!E:E)</f>
        <v/>
      </c>
      <c r="C6">
        <f>_xlfn.XLOOKUP($A6,'Audit Report'!$C:$C,'Audit Report'!F:F)</f>
        <v>0</v>
      </c>
      <c r="D6">
        <f>_xlfn.XLOOKUP($A6,'Audit Report'!$C:$C,'Audit Report'!G:G)</f>
        <v>0</v>
      </c>
      <c r="E6">
        <f>_xlfn.XLOOKUP($A6,'Audit Report'!$C:$C,'Audit Report'!W:W)</f>
        <v>0</v>
      </c>
      <c r="F6" t="e">
        <f>_xlfn.XLOOKUP($A6,'Audit Report'!$C:$C,'Audit Report'!#REF!)</f>
        <v>#REF!</v>
      </c>
    </row>
    <row r="7" spans="1:6">
      <c r="B7" t="str">
        <f>_xlfn.XLOOKUP($A7,'Audit Report'!$C:$C,'Audit Report'!E:E)</f>
        <v/>
      </c>
      <c r="C7">
        <f>_xlfn.XLOOKUP($A7,'Audit Report'!$C:$C,'Audit Report'!F:F)</f>
        <v>0</v>
      </c>
      <c r="D7">
        <f>_xlfn.XLOOKUP($A7,'Audit Report'!$C:$C,'Audit Report'!G:G)</f>
        <v>0</v>
      </c>
      <c r="E7">
        <f>_xlfn.XLOOKUP($A7,'Audit Report'!$C:$C,'Audit Report'!W:W)</f>
        <v>0</v>
      </c>
      <c r="F7" t="e">
        <f>_xlfn.XLOOKUP($A7,'Audit Report'!$C:$C,'Audit Report'!#REF!)</f>
        <v>#REF!</v>
      </c>
    </row>
    <row r="8" spans="1:6">
      <c r="B8" t="str">
        <f>_xlfn.XLOOKUP($A8,'Audit Report'!$C:$C,'Audit Report'!E:E)</f>
        <v/>
      </c>
      <c r="C8">
        <f>_xlfn.XLOOKUP($A8,'Audit Report'!$C:$C,'Audit Report'!F:F)</f>
        <v>0</v>
      </c>
      <c r="D8">
        <f>_xlfn.XLOOKUP($A8,'Audit Report'!$C:$C,'Audit Report'!G:G)</f>
        <v>0</v>
      </c>
      <c r="E8">
        <f>_xlfn.XLOOKUP($A8,'Audit Report'!$C:$C,'Audit Report'!W:W)</f>
        <v>0</v>
      </c>
      <c r="F8" t="e">
        <f>_xlfn.XLOOKUP($A8,'Audit Report'!$C:$C,'Audit Report'!#REF!)</f>
        <v>#REF!</v>
      </c>
    </row>
    <row r="9" spans="1:6">
      <c r="B9" t="str">
        <f>_xlfn.XLOOKUP($A9,'Audit Report'!$C:$C,'Audit Report'!E:E)</f>
        <v/>
      </c>
      <c r="C9">
        <f>_xlfn.XLOOKUP($A9,'Audit Report'!$C:$C,'Audit Report'!F:F)</f>
        <v>0</v>
      </c>
      <c r="D9">
        <f>_xlfn.XLOOKUP($A9,'Audit Report'!$C:$C,'Audit Report'!G:G)</f>
        <v>0</v>
      </c>
      <c r="E9">
        <f>_xlfn.XLOOKUP($A9,'Audit Report'!$C:$C,'Audit Report'!W:W)</f>
        <v>0</v>
      </c>
      <c r="F9" t="e">
        <f>_xlfn.XLOOKUP($A9,'Audit Report'!$C:$C,'Audit Report'!#REF!)</f>
        <v>#REF!</v>
      </c>
    </row>
    <row r="10" spans="1:6">
      <c r="B10" t="str">
        <f>_xlfn.XLOOKUP($A10,'Audit Report'!$C:$C,'Audit Report'!E:E)</f>
        <v/>
      </c>
      <c r="C10">
        <f>_xlfn.XLOOKUP($A10,'Audit Report'!$C:$C,'Audit Report'!F:F)</f>
        <v>0</v>
      </c>
      <c r="D10">
        <f>_xlfn.XLOOKUP($A10,'Audit Report'!$C:$C,'Audit Report'!G:G)</f>
        <v>0</v>
      </c>
      <c r="E10">
        <f>_xlfn.XLOOKUP($A10,'Audit Report'!$C:$C,'Audit Report'!W:W)</f>
        <v>0</v>
      </c>
      <c r="F10" t="e">
        <f>_xlfn.XLOOKUP($A10,'Audit Report'!$C:$C,'Audit Report'!#REF!)</f>
        <v>#REF!</v>
      </c>
    </row>
    <row r="11" spans="1:6">
      <c r="B11" t="str">
        <f>_xlfn.XLOOKUP($A11,'Audit Report'!$C:$C,'Audit Report'!E:E)</f>
        <v/>
      </c>
      <c r="C11">
        <f>_xlfn.XLOOKUP($A11,'Audit Report'!$C:$C,'Audit Report'!F:F)</f>
        <v>0</v>
      </c>
      <c r="D11">
        <f>_xlfn.XLOOKUP($A11,'Audit Report'!$C:$C,'Audit Report'!G:G)</f>
        <v>0</v>
      </c>
      <c r="E11">
        <f>_xlfn.XLOOKUP($A11,'Audit Report'!$C:$C,'Audit Report'!W:W)</f>
        <v>0</v>
      </c>
      <c r="F11" t="e">
        <f>_xlfn.XLOOKUP($A11,'Audit Report'!$C:$C,'Audit Report'!#REF!)</f>
        <v>#REF!</v>
      </c>
    </row>
    <row r="12" spans="1:6">
      <c r="B12" t="str">
        <f>_xlfn.XLOOKUP($A12,'Audit Report'!$C:$C,'Audit Report'!E:E)</f>
        <v/>
      </c>
      <c r="C12">
        <f>_xlfn.XLOOKUP($A12,'Audit Report'!$C:$C,'Audit Report'!F:F)</f>
        <v>0</v>
      </c>
      <c r="D12">
        <f>_xlfn.XLOOKUP($A12,'Audit Report'!$C:$C,'Audit Report'!G:G)</f>
        <v>0</v>
      </c>
      <c r="E12">
        <f>_xlfn.XLOOKUP($A12,'Audit Report'!$C:$C,'Audit Report'!W:W)</f>
        <v>0</v>
      </c>
      <c r="F12" t="e">
        <f>_xlfn.XLOOKUP($A12,'Audit Report'!$C:$C,'Audit Report'!#REF!)</f>
        <v>#REF!</v>
      </c>
    </row>
    <row r="13" spans="1:6">
      <c r="B13" t="str">
        <f>_xlfn.XLOOKUP($A13,'Audit Report'!$C:$C,'Audit Report'!E:E)</f>
        <v/>
      </c>
      <c r="C13">
        <f>_xlfn.XLOOKUP($A13,'Audit Report'!$C:$C,'Audit Report'!F:F)</f>
        <v>0</v>
      </c>
      <c r="D13">
        <f>_xlfn.XLOOKUP($A13,'Audit Report'!$C:$C,'Audit Report'!G:G)</f>
        <v>0</v>
      </c>
      <c r="E13">
        <f>_xlfn.XLOOKUP($A13,'Audit Report'!$C:$C,'Audit Report'!W:W)</f>
        <v>0</v>
      </c>
      <c r="F13" t="e">
        <f>_xlfn.XLOOKUP($A13,'Audit Report'!$C:$C,'Audit Report'!#REF!)</f>
        <v>#REF!</v>
      </c>
    </row>
    <row r="14" spans="1:6">
      <c r="B14" t="str">
        <f>_xlfn.XLOOKUP($A14,'Audit Report'!$C:$C,'Audit Report'!E:E)</f>
        <v/>
      </c>
      <c r="C14">
        <f>_xlfn.XLOOKUP($A14,'Audit Report'!$C:$C,'Audit Report'!F:F)</f>
        <v>0</v>
      </c>
      <c r="D14">
        <f>_xlfn.XLOOKUP($A14,'Audit Report'!$C:$C,'Audit Report'!G:G)</f>
        <v>0</v>
      </c>
      <c r="E14">
        <f>_xlfn.XLOOKUP($A14,'Audit Report'!$C:$C,'Audit Report'!W:W)</f>
        <v>0</v>
      </c>
      <c r="F14" t="e">
        <f>_xlfn.XLOOKUP($A14,'Audit Report'!$C:$C,'Audit Report'!#REF!)</f>
        <v>#REF!</v>
      </c>
    </row>
    <row r="15" spans="1:6">
      <c r="B15" t="str">
        <f>_xlfn.XLOOKUP($A15,'Audit Report'!$C:$C,'Audit Report'!E:E)</f>
        <v/>
      </c>
      <c r="C15">
        <f>_xlfn.XLOOKUP($A15,'Audit Report'!$C:$C,'Audit Report'!F:F)</f>
        <v>0</v>
      </c>
      <c r="D15">
        <f>_xlfn.XLOOKUP($A15,'Audit Report'!$C:$C,'Audit Report'!G:G)</f>
        <v>0</v>
      </c>
      <c r="E15">
        <f>_xlfn.XLOOKUP($A15,'Audit Report'!$C:$C,'Audit Report'!W:W)</f>
        <v>0</v>
      </c>
      <c r="F15" t="e">
        <f>_xlfn.XLOOKUP($A15,'Audit Report'!$C:$C,'Audit Report'!#REF!)</f>
        <v>#REF!</v>
      </c>
    </row>
    <row r="16" spans="1:6">
      <c r="B16" t="str">
        <f>_xlfn.XLOOKUP($A16,'Audit Report'!$C:$C,'Audit Report'!E:E)</f>
        <v/>
      </c>
      <c r="C16">
        <f>_xlfn.XLOOKUP($A16,'Audit Report'!$C:$C,'Audit Report'!F:F)</f>
        <v>0</v>
      </c>
      <c r="D16">
        <f>_xlfn.XLOOKUP($A16,'Audit Report'!$C:$C,'Audit Report'!G:G)</f>
        <v>0</v>
      </c>
      <c r="E16">
        <f>_xlfn.XLOOKUP($A16,'Audit Report'!$C:$C,'Audit Report'!W:W)</f>
        <v>0</v>
      </c>
      <c r="F16" t="e">
        <f>_xlfn.XLOOKUP($A16,'Audit Report'!$C:$C,'Audit Report'!#REF!)</f>
        <v>#REF!</v>
      </c>
    </row>
    <row r="17" spans="2:6">
      <c r="B17" t="str">
        <f>_xlfn.XLOOKUP($A17,'Audit Report'!$C:$C,'Audit Report'!E:E)</f>
        <v/>
      </c>
      <c r="C17">
        <f>_xlfn.XLOOKUP($A17,'Audit Report'!$C:$C,'Audit Report'!F:F)</f>
        <v>0</v>
      </c>
      <c r="D17">
        <f>_xlfn.XLOOKUP($A17,'Audit Report'!$C:$C,'Audit Report'!G:G)</f>
        <v>0</v>
      </c>
      <c r="E17">
        <f>_xlfn.XLOOKUP($A17,'Audit Report'!$C:$C,'Audit Report'!W:W)</f>
        <v>0</v>
      </c>
      <c r="F17" t="e">
        <f>_xlfn.XLOOKUP($A17,'Audit Report'!$C:$C,'Audit Report'!#REF!)</f>
        <v>#REF!</v>
      </c>
    </row>
    <row r="18" spans="2:6">
      <c r="B18" t="str">
        <f>_xlfn.XLOOKUP($A18,'Audit Report'!$C:$C,'Audit Report'!E:E)</f>
        <v/>
      </c>
      <c r="C18">
        <f>_xlfn.XLOOKUP($A18,'Audit Report'!$C:$C,'Audit Report'!F:F)</f>
        <v>0</v>
      </c>
      <c r="D18">
        <f>_xlfn.XLOOKUP($A18,'Audit Report'!$C:$C,'Audit Report'!G:G)</f>
        <v>0</v>
      </c>
      <c r="E18">
        <f>_xlfn.XLOOKUP($A18,'Audit Report'!$C:$C,'Audit Report'!W:W)</f>
        <v>0</v>
      </c>
      <c r="F18" t="e">
        <f>_xlfn.XLOOKUP($A18,'Audit Report'!$C:$C,'Audit Report'!#REF!)</f>
        <v>#REF!</v>
      </c>
    </row>
    <row r="19" spans="2:6">
      <c r="B19" t="str">
        <f>_xlfn.XLOOKUP($A19,'Audit Report'!$C:$C,'Audit Report'!E:E)</f>
        <v/>
      </c>
      <c r="C19">
        <f>_xlfn.XLOOKUP($A19,'Audit Report'!$C:$C,'Audit Report'!F:F)</f>
        <v>0</v>
      </c>
      <c r="D19">
        <f>_xlfn.XLOOKUP($A19,'Audit Report'!$C:$C,'Audit Report'!G:G)</f>
        <v>0</v>
      </c>
      <c r="E19">
        <f>_xlfn.XLOOKUP($A19,'Audit Report'!$C:$C,'Audit Report'!W:W)</f>
        <v>0</v>
      </c>
      <c r="F19" t="e">
        <f>_xlfn.XLOOKUP($A19,'Audit Report'!$C:$C,'Audit Report'!#REF!)</f>
        <v>#REF!</v>
      </c>
    </row>
    <row r="20" spans="2:6">
      <c r="B20" t="str">
        <f>_xlfn.XLOOKUP($A20,'Audit Report'!$C:$C,'Audit Report'!E:E)</f>
        <v/>
      </c>
      <c r="C20">
        <f>_xlfn.XLOOKUP($A20,'Audit Report'!$C:$C,'Audit Report'!F:F)</f>
        <v>0</v>
      </c>
      <c r="D20">
        <f>_xlfn.XLOOKUP($A20,'Audit Report'!$C:$C,'Audit Report'!G:G)</f>
        <v>0</v>
      </c>
      <c r="E20">
        <f>_xlfn.XLOOKUP($A20,'Audit Report'!$C:$C,'Audit Report'!W:W)</f>
        <v>0</v>
      </c>
      <c r="F20" t="e">
        <f>_xlfn.XLOOKUP($A20,'Audit Report'!$C:$C,'Audit Report'!#REF!)</f>
        <v>#REF!</v>
      </c>
    </row>
    <row r="21" spans="2:6">
      <c r="B21" t="str">
        <f>_xlfn.XLOOKUP($A21,'Audit Report'!$C:$C,'Audit Report'!E:E)</f>
        <v/>
      </c>
      <c r="C21">
        <f>_xlfn.XLOOKUP($A21,'Audit Report'!$C:$C,'Audit Report'!F:F)</f>
        <v>0</v>
      </c>
      <c r="D21">
        <f>_xlfn.XLOOKUP($A21,'Audit Report'!$C:$C,'Audit Report'!G:G)</f>
        <v>0</v>
      </c>
      <c r="E21">
        <f>_xlfn.XLOOKUP($A21,'Audit Report'!$C:$C,'Audit Report'!W:W)</f>
        <v>0</v>
      </c>
      <c r="F21" t="e">
        <f>_xlfn.XLOOKUP($A21,'Audit Report'!$C:$C,'Audit Report'!#REF!)</f>
        <v>#REF!</v>
      </c>
    </row>
    <row r="22" spans="2:6">
      <c r="B22" t="str">
        <f>_xlfn.XLOOKUP($A22,'Audit Report'!$C:$C,'Audit Report'!E:E)</f>
        <v/>
      </c>
      <c r="C22">
        <f>_xlfn.XLOOKUP($A22,'Audit Report'!$C:$C,'Audit Report'!F:F)</f>
        <v>0</v>
      </c>
      <c r="D22">
        <f>_xlfn.XLOOKUP($A22,'Audit Report'!$C:$C,'Audit Report'!G:G)</f>
        <v>0</v>
      </c>
      <c r="E22">
        <f>_xlfn.XLOOKUP($A22,'Audit Report'!$C:$C,'Audit Report'!W:W)</f>
        <v>0</v>
      </c>
      <c r="F22" t="e">
        <f>_xlfn.XLOOKUP($A22,'Audit Report'!$C:$C,'Audit Report'!#REF!)</f>
        <v>#REF!</v>
      </c>
    </row>
    <row r="23" spans="2:6">
      <c r="B23" t="str">
        <f>_xlfn.XLOOKUP($A23,'Audit Report'!$C:$C,'Audit Report'!E:E)</f>
        <v/>
      </c>
      <c r="C23">
        <f>_xlfn.XLOOKUP($A23,'Audit Report'!$C:$C,'Audit Report'!F:F)</f>
        <v>0</v>
      </c>
      <c r="D23">
        <f>_xlfn.XLOOKUP($A23,'Audit Report'!$C:$C,'Audit Report'!G:G)</f>
        <v>0</v>
      </c>
      <c r="E23">
        <f>_xlfn.XLOOKUP($A23,'Audit Report'!$C:$C,'Audit Report'!W:W)</f>
        <v>0</v>
      </c>
      <c r="F23" t="e">
        <f>_xlfn.XLOOKUP($A23,'Audit Report'!$C:$C,'Audit Report'!#REF!)</f>
        <v>#REF!</v>
      </c>
    </row>
    <row r="24" spans="2:6">
      <c r="B24" t="str">
        <f>_xlfn.XLOOKUP($A24,'Audit Report'!$C:$C,'Audit Report'!E:E)</f>
        <v/>
      </c>
      <c r="C24">
        <f>_xlfn.XLOOKUP($A24,'Audit Report'!$C:$C,'Audit Report'!F:F)</f>
        <v>0</v>
      </c>
      <c r="D24">
        <f>_xlfn.XLOOKUP($A24,'Audit Report'!$C:$C,'Audit Report'!G:G)</f>
        <v>0</v>
      </c>
      <c r="E24">
        <f>_xlfn.XLOOKUP($A24,'Audit Report'!$C:$C,'Audit Report'!W:W)</f>
        <v>0</v>
      </c>
      <c r="F24" t="e">
        <f>_xlfn.XLOOKUP($A24,'Audit Report'!$C:$C,'Audit Report'!#REF!)</f>
        <v>#REF!</v>
      </c>
    </row>
    <row r="25" spans="2:6">
      <c r="B25" t="str">
        <f>_xlfn.XLOOKUP($A25,'Audit Report'!$C:$C,'Audit Report'!E:E)</f>
        <v/>
      </c>
      <c r="C25">
        <f>_xlfn.XLOOKUP($A25,'Audit Report'!$C:$C,'Audit Report'!F:F)</f>
        <v>0</v>
      </c>
      <c r="D25">
        <f>_xlfn.XLOOKUP($A25,'Audit Report'!$C:$C,'Audit Report'!G:G)</f>
        <v>0</v>
      </c>
      <c r="E25">
        <f>_xlfn.XLOOKUP($A25,'Audit Report'!$C:$C,'Audit Report'!W:W)</f>
        <v>0</v>
      </c>
      <c r="F25" t="e">
        <f>_xlfn.XLOOKUP($A25,'Audit Report'!$C:$C,'Audit Report'!#REF!)</f>
        <v>#REF!</v>
      </c>
    </row>
    <row r="26" spans="2:6">
      <c r="B26" t="str">
        <f>_xlfn.XLOOKUP($A26,'Audit Report'!$C:$C,'Audit Report'!E:E)</f>
        <v/>
      </c>
      <c r="C26">
        <f>_xlfn.XLOOKUP($A26,'Audit Report'!$C:$C,'Audit Report'!F:F)</f>
        <v>0</v>
      </c>
      <c r="D26">
        <f>_xlfn.XLOOKUP($A26,'Audit Report'!$C:$C,'Audit Report'!G:G)</f>
        <v>0</v>
      </c>
      <c r="E26">
        <f>_xlfn.XLOOKUP($A26,'Audit Report'!$C:$C,'Audit Report'!W:W)</f>
        <v>0</v>
      </c>
      <c r="F26" t="e">
        <f>_xlfn.XLOOKUP($A26,'Audit Report'!$C:$C,'Audit Report'!#REF!)</f>
        <v>#REF!</v>
      </c>
    </row>
    <row r="27" spans="2:6">
      <c r="B27" t="str">
        <f>_xlfn.XLOOKUP($A27,'Audit Report'!$C:$C,'Audit Report'!E:E)</f>
        <v/>
      </c>
      <c r="C27">
        <f>_xlfn.XLOOKUP($A27,'Audit Report'!$C:$C,'Audit Report'!F:F)</f>
        <v>0</v>
      </c>
      <c r="D27">
        <f>_xlfn.XLOOKUP($A27,'Audit Report'!$C:$C,'Audit Report'!G:G)</f>
        <v>0</v>
      </c>
      <c r="E27">
        <f>_xlfn.XLOOKUP($A27,'Audit Report'!$C:$C,'Audit Report'!W:W)</f>
        <v>0</v>
      </c>
      <c r="F27" t="e">
        <f>_xlfn.XLOOKUP($A27,'Audit Report'!$C:$C,'Audit Report'!#REF!)</f>
        <v>#REF!</v>
      </c>
    </row>
    <row r="28" spans="2:6">
      <c r="B28" t="str">
        <f>_xlfn.XLOOKUP($A28,'Audit Report'!$C:$C,'Audit Report'!E:E)</f>
        <v/>
      </c>
      <c r="C28">
        <f>_xlfn.XLOOKUP($A28,'Audit Report'!$C:$C,'Audit Report'!F:F)</f>
        <v>0</v>
      </c>
      <c r="D28">
        <f>_xlfn.XLOOKUP($A28,'Audit Report'!$C:$C,'Audit Report'!G:G)</f>
        <v>0</v>
      </c>
      <c r="E28">
        <f>_xlfn.XLOOKUP($A28,'Audit Report'!$C:$C,'Audit Report'!W:W)</f>
        <v>0</v>
      </c>
      <c r="F28" t="e">
        <f>_xlfn.XLOOKUP($A28,'Audit Report'!$C:$C,'Audit Report'!#REF!)</f>
        <v>#REF!</v>
      </c>
    </row>
    <row r="29" spans="2:6">
      <c r="B29" t="str">
        <f>_xlfn.XLOOKUP($A29,'Audit Report'!$C:$C,'Audit Report'!E:E)</f>
        <v/>
      </c>
      <c r="C29">
        <f>_xlfn.XLOOKUP($A29,'Audit Report'!$C:$C,'Audit Report'!F:F)</f>
        <v>0</v>
      </c>
      <c r="D29">
        <f>_xlfn.XLOOKUP($A29,'Audit Report'!$C:$C,'Audit Report'!G:G)</f>
        <v>0</v>
      </c>
      <c r="E29">
        <f>_xlfn.XLOOKUP($A29,'Audit Report'!$C:$C,'Audit Report'!W:W)</f>
        <v>0</v>
      </c>
      <c r="F29" t="e">
        <f>_xlfn.XLOOKUP($A29,'Audit Report'!$C:$C,'Audit Report'!#REF!)</f>
        <v>#REF!</v>
      </c>
    </row>
    <row r="30" spans="2:6">
      <c r="B30" t="str">
        <f>_xlfn.XLOOKUP($A30,'Audit Report'!$C:$C,'Audit Report'!E:E)</f>
        <v/>
      </c>
      <c r="C30">
        <f>_xlfn.XLOOKUP($A30,'Audit Report'!$C:$C,'Audit Report'!F:F)</f>
        <v>0</v>
      </c>
      <c r="D30">
        <f>_xlfn.XLOOKUP($A30,'Audit Report'!$C:$C,'Audit Report'!G:G)</f>
        <v>0</v>
      </c>
      <c r="E30">
        <f>_xlfn.XLOOKUP($A30,'Audit Report'!$C:$C,'Audit Report'!W:W)</f>
        <v>0</v>
      </c>
      <c r="F30" t="e">
        <f>_xlfn.XLOOKUP($A30,'Audit Report'!$C:$C,'Audit Report'!#REF!)</f>
        <v>#REF!</v>
      </c>
    </row>
    <row r="31" spans="2:6">
      <c r="B31" t="str">
        <f>_xlfn.XLOOKUP($A31,'Audit Report'!$C:$C,'Audit Report'!E:E)</f>
        <v/>
      </c>
      <c r="C31">
        <f>_xlfn.XLOOKUP($A31,'Audit Report'!$C:$C,'Audit Report'!F:F)</f>
        <v>0</v>
      </c>
      <c r="D31">
        <f>_xlfn.XLOOKUP($A31,'Audit Report'!$C:$C,'Audit Report'!G:G)</f>
        <v>0</v>
      </c>
      <c r="E31">
        <f>_xlfn.XLOOKUP($A31,'Audit Report'!$C:$C,'Audit Report'!W:W)</f>
        <v>0</v>
      </c>
      <c r="F31" t="e">
        <f>_xlfn.XLOOKUP($A31,'Audit Report'!$C:$C,'Audit Report'!#REF!)</f>
        <v>#REF!</v>
      </c>
    </row>
    <row r="32" spans="2:6">
      <c r="B32" t="str">
        <f>_xlfn.XLOOKUP($A32,'Audit Report'!$C:$C,'Audit Report'!E:E)</f>
        <v/>
      </c>
      <c r="C32">
        <f>_xlfn.XLOOKUP($A32,'Audit Report'!$C:$C,'Audit Report'!F:F)</f>
        <v>0</v>
      </c>
      <c r="D32">
        <f>_xlfn.XLOOKUP($A32,'Audit Report'!$C:$C,'Audit Report'!G:G)</f>
        <v>0</v>
      </c>
      <c r="E32">
        <f>_xlfn.XLOOKUP($A32,'Audit Report'!$C:$C,'Audit Report'!W:W)</f>
        <v>0</v>
      </c>
      <c r="F32" t="e">
        <f>_xlfn.XLOOKUP($A32,'Audit Report'!$C:$C,'Audit Report'!#REF!)</f>
        <v>#REF!</v>
      </c>
    </row>
    <row r="33" spans="2:6">
      <c r="B33" t="str">
        <f>_xlfn.XLOOKUP($A33,'Audit Report'!$C:$C,'Audit Report'!E:E)</f>
        <v/>
      </c>
      <c r="C33">
        <f>_xlfn.XLOOKUP($A33,'Audit Report'!$C:$C,'Audit Report'!F:F)</f>
        <v>0</v>
      </c>
      <c r="D33">
        <f>_xlfn.XLOOKUP($A33,'Audit Report'!$C:$C,'Audit Report'!G:G)</f>
        <v>0</v>
      </c>
      <c r="E33">
        <f>_xlfn.XLOOKUP($A33,'Audit Report'!$C:$C,'Audit Report'!W:W)</f>
        <v>0</v>
      </c>
      <c r="F33" t="e">
        <f>_xlfn.XLOOKUP($A33,'Audit Report'!$C:$C,'Audit Report'!#REF!)</f>
        <v>#REF!</v>
      </c>
    </row>
    <row r="34" spans="2:6">
      <c r="B34" t="str">
        <f>_xlfn.XLOOKUP($A34,'Audit Report'!$C:$C,'Audit Report'!E:E)</f>
        <v/>
      </c>
      <c r="C34">
        <f>_xlfn.XLOOKUP($A34,'Audit Report'!$C:$C,'Audit Report'!F:F)</f>
        <v>0</v>
      </c>
      <c r="D34">
        <f>_xlfn.XLOOKUP($A34,'Audit Report'!$C:$C,'Audit Report'!G:G)</f>
        <v>0</v>
      </c>
      <c r="E34">
        <f>_xlfn.XLOOKUP($A34,'Audit Report'!$C:$C,'Audit Report'!W:W)</f>
        <v>0</v>
      </c>
      <c r="F34" t="e">
        <f>_xlfn.XLOOKUP($A34,'Audit Report'!$C:$C,'Audit Report'!#REF!)</f>
        <v>#REF!</v>
      </c>
    </row>
    <row r="35" spans="2:6">
      <c r="B35" t="str">
        <f>_xlfn.XLOOKUP($A35,'Audit Report'!$C:$C,'Audit Report'!E:E)</f>
        <v/>
      </c>
      <c r="C35">
        <f>_xlfn.XLOOKUP($A35,'Audit Report'!$C:$C,'Audit Report'!F:F)</f>
        <v>0</v>
      </c>
      <c r="D35">
        <f>_xlfn.XLOOKUP($A35,'Audit Report'!$C:$C,'Audit Report'!G:G)</f>
        <v>0</v>
      </c>
      <c r="E35">
        <f>_xlfn.XLOOKUP($A35,'Audit Report'!$C:$C,'Audit Report'!W:W)</f>
        <v>0</v>
      </c>
      <c r="F35" t="e">
        <f>_xlfn.XLOOKUP($A35,'Audit Report'!$C:$C,'Audit Report'!#REF!)</f>
        <v>#REF!</v>
      </c>
    </row>
    <row r="36" spans="2:6">
      <c r="B36" t="str">
        <f>_xlfn.XLOOKUP($A36,'Audit Report'!$C:$C,'Audit Report'!E:E)</f>
        <v/>
      </c>
      <c r="C36">
        <f>_xlfn.XLOOKUP($A36,'Audit Report'!$C:$C,'Audit Report'!F:F)</f>
        <v>0</v>
      </c>
      <c r="D36">
        <f>_xlfn.XLOOKUP($A36,'Audit Report'!$C:$C,'Audit Report'!G:G)</f>
        <v>0</v>
      </c>
      <c r="E36">
        <f>_xlfn.XLOOKUP($A36,'Audit Report'!$C:$C,'Audit Report'!W:W)</f>
        <v>0</v>
      </c>
      <c r="F36" t="e">
        <f>_xlfn.XLOOKUP($A36,'Audit Report'!$C:$C,'Audit Report'!#REF!)</f>
        <v>#REF!</v>
      </c>
    </row>
    <row r="37" spans="2:6">
      <c r="B37" t="str">
        <f>_xlfn.XLOOKUP($A37,'Audit Report'!$C:$C,'Audit Report'!E:E)</f>
        <v/>
      </c>
      <c r="C37">
        <f>_xlfn.XLOOKUP($A37,'Audit Report'!$C:$C,'Audit Report'!F:F)</f>
        <v>0</v>
      </c>
      <c r="D37">
        <f>_xlfn.XLOOKUP($A37,'Audit Report'!$C:$C,'Audit Report'!G:G)</f>
        <v>0</v>
      </c>
      <c r="E37">
        <f>_xlfn.XLOOKUP($A37,'Audit Report'!$C:$C,'Audit Report'!W:W)</f>
        <v>0</v>
      </c>
      <c r="F37" t="e">
        <f>_xlfn.XLOOKUP($A37,'Audit Report'!$C:$C,'Audit Report'!#REF!)</f>
        <v>#REF!</v>
      </c>
    </row>
    <row r="38" spans="2:6">
      <c r="B38" t="str">
        <f>_xlfn.XLOOKUP($A38,'Audit Report'!$C:$C,'Audit Report'!E:E)</f>
        <v/>
      </c>
      <c r="C38">
        <f>_xlfn.XLOOKUP($A38,'Audit Report'!$C:$C,'Audit Report'!F:F)</f>
        <v>0</v>
      </c>
      <c r="D38">
        <f>_xlfn.XLOOKUP($A38,'Audit Report'!$C:$C,'Audit Report'!G:G)</f>
        <v>0</v>
      </c>
      <c r="E38">
        <f>_xlfn.XLOOKUP($A38,'Audit Report'!$C:$C,'Audit Report'!W:W)</f>
        <v>0</v>
      </c>
      <c r="F38" t="e">
        <f>_xlfn.XLOOKUP($A38,'Audit Report'!$C:$C,'Audit Report'!#REF!)</f>
        <v>#REF!</v>
      </c>
    </row>
    <row r="39" spans="2:6">
      <c r="B39" t="str">
        <f>_xlfn.XLOOKUP($A39,'Audit Report'!$C:$C,'Audit Report'!E:E)</f>
        <v/>
      </c>
      <c r="C39">
        <f>_xlfn.XLOOKUP($A39,'Audit Report'!$C:$C,'Audit Report'!F:F)</f>
        <v>0</v>
      </c>
      <c r="D39">
        <f>_xlfn.XLOOKUP($A39,'Audit Report'!$C:$C,'Audit Report'!G:G)</f>
        <v>0</v>
      </c>
      <c r="E39">
        <f>_xlfn.XLOOKUP($A39,'Audit Report'!$C:$C,'Audit Report'!W:W)</f>
        <v>0</v>
      </c>
      <c r="F39" t="e">
        <f>_xlfn.XLOOKUP($A39,'Audit Report'!$C:$C,'Audit Report'!#REF!)</f>
        <v>#REF!</v>
      </c>
    </row>
    <row r="40" spans="2:6">
      <c r="B40" t="str">
        <f>_xlfn.XLOOKUP($A40,'Audit Report'!$C:$C,'Audit Report'!E:E)</f>
        <v/>
      </c>
      <c r="C40">
        <f>_xlfn.XLOOKUP($A40,'Audit Report'!$C:$C,'Audit Report'!F:F)</f>
        <v>0</v>
      </c>
      <c r="D40">
        <f>_xlfn.XLOOKUP($A40,'Audit Report'!$C:$C,'Audit Report'!G:G)</f>
        <v>0</v>
      </c>
      <c r="E40">
        <f>_xlfn.XLOOKUP($A40,'Audit Report'!$C:$C,'Audit Report'!W:W)</f>
        <v>0</v>
      </c>
      <c r="F40" t="e">
        <f>_xlfn.XLOOKUP($A40,'Audit Report'!$C:$C,'Audit Report'!#REF!)</f>
        <v>#REF!</v>
      </c>
    </row>
    <row r="41" spans="2:6">
      <c r="B41" t="str">
        <f>_xlfn.XLOOKUP($A41,'Audit Report'!$C:$C,'Audit Report'!E:E)</f>
        <v/>
      </c>
      <c r="C41">
        <f>_xlfn.XLOOKUP($A41,'Audit Report'!$C:$C,'Audit Report'!F:F)</f>
        <v>0</v>
      </c>
      <c r="D41">
        <f>_xlfn.XLOOKUP($A41,'Audit Report'!$C:$C,'Audit Report'!G:G)</f>
        <v>0</v>
      </c>
      <c r="E41">
        <f>_xlfn.XLOOKUP($A41,'Audit Report'!$C:$C,'Audit Report'!W:W)</f>
        <v>0</v>
      </c>
      <c r="F41" t="e">
        <f>_xlfn.XLOOKUP($A41,'Audit Report'!$C:$C,'Audit Report'!#REF!)</f>
        <v>#REF!</v>
      </c>
    </row>
    <row r="42" spans="2:6">
      <c r="B42" t="str">
        <f>_xlfn.XLOOKUP($A42,'Audit Report'!$C:$C,'Audit Report'!E:E)</f>
        <v/>
      </c>
      <c r="C42">
        <f>_xlfn.XLOOKUP($A42,'Audit Report'!$C:$C,'Audit Report'!F:F)</f>
        <v>0</v>
      </c>
      <c r="D42">
        <f>_xlfn.XLOOKUP($A42,'Audit Report'!$C:$C,'Audit Report'!G:G)</f>
        <v>0</v>
      </c>
      <c r="E42">
        <f>_xlfn.XLOOKUP($A42,'Audit Report'!$C:$C,'Audit Report'!W:W)</f>
        <v>0</v>
      </c>
      <c r="F42" t="e">
        <f>_xlfn.XLOOKUP($A42,'Audit Report'!$C:$C,'Audit Report'!#REF!)</f>
        <v>#REF!</v>
      </c>
    </row>
    <row r="43" spans="2:6">
      <c r="B43" t="str">
        <f>_xlfn.XLOOKUP($A43,'Audit Report'!$C:$C,'Audit Report'!E:E)</f>
        <v/>
      </c>
      <c r="C43">
        <f>_xlfn.XLOOKUP($A43,'Audit Report'!$C:$C,'Audit Report'!F:F)</f>
        <v>0</v>
      </c>
      <c r="D43">
        <f>_xlfn.XLOOKUP($A43,'Audit Report'!$C:$C,'Audit Report'!G:G)</f>
        <v>0</v>
      </c>
      <c r="E43">
        <f>_xlfn.XLOOKUP($A43,'Audit Report'!$C:$C,'Audit Report'!W:W)</f>
        <v>0</v>
      </c>
      <c r="F43" t="e">
        <f>_xlfn.XLOOKUP($A43,'Audit Report'!$C:$C,'Audit Report'!#REF!)</f>
        <v>#REF!</v>
      </c>
    </row>
    <row r="44" spans="2:6">
      <c r="B44" t="str">
        <f>_xlfn.XLOOKUP($A44,'Audit Report'!$C:$C,'Audit Report'!E:E)</f>
        <v/>
      </c>
      <c r="C44">
        <f>_xlfn.XLOOKUP($A44,'Audit Report'!$C:$C,'Audit Report'!F:F)</f>
        <v>0</v>
      </c>
      <c r="D44">
        <f>_xlfn.XLOOKUP($A44,'Audit Report'!$C:$C,'Audit Report'!G:G)</f>
        <v>0</v>
      </c>
      <c r="E44">
        <f>_xlfn.XLOOKUP($A44,'Audit Report'!$C:$C,'Audit Report'!W:W)</f>
        <v>0</v>
      </c>
      <c r="F44" t="e">
        <f>_xlfn.XLOOKUP($A44,'Audit Report'!$C:$C,'Audit Report'!#REF!)</f>
        <v>#REF!</v>
      </c>
    </row>
    <row r="45" spans="2:6">
      <c r="B45" t="str">
        <f>_xlfn.XLOOKUP($A45,'Audit Report'!$C:$C,'Audit Report'!E:E)</f>
        <v/>
      </c>
      <c r="C45">
        <f>_xlfn.XLOOKUP($A45,'Audit Report'!$C:$C,'Audit Report'!F:F)</f>
        <v>0</v>
      </c>
      <c r="D45">
        <f>_xlfn.XLOOKUP($A45,'Audit Report'!$C:$C,'Audit Report'!G:G)</f>
        <v>0</v>
      </c>
      <c r="E45">
        <f>_xlfn.XLOOKUP($A45,'Audit Report'!$C:$C,'Audit Report'!W:W)</f>
        <v>0</v>
      </c>
      <c r="F45" t="e">
        <f>_xlfn.XLOOKUP($A45,'Audit Report'!$C:$C,'Audit Report'!#REF!)</f>
        <v>#REF!</v>
      </c>
    </row>
    <row r="46" spans="2:6">
      <c r="B46" t="str">
        <f>_xlfn.XLOOKUP($A46,'Audit Report'!$C:$C,'Audit Report'!E:E)</f>
        <v/>
      </c>
      <c r="C46">
        <f>_xlfn.XLOOKUP($A46,'Audit Report'!$C:$C,'Audit Report'!F:F)</f>
        <v>0</v>
      </c>
      <c r="D46">
        <f>_xlfn.XLOOKUP($A46,'Audit Report'!$C:$C,'Audit Report'!G:G)</f>
        <v>0</v>
      </c>
      <c r="E46">
        <f>_xlfn.XLOOKUP($A46,'Audit Report'!$C:$C,'Audit Report'!W:W)</f>
        <v>0</v>
      </c>
      <c r="F46" t="e">
        <f>_xlfn.XLOOKUP($A46,'Audit Report'!$C:$C,'Audit Report'!#REF!)</f>
        <v>#REF!</v>
      </c>
    </row>
    <row r="47" spans="2:6">
      <c r="B47" t="str">
        <f>_xlfn.XLOOKUP($A47,'Audit Report'!$C:$C,'Audit Report'!E:E)</f>
        <v/>
      </c>
      <c r="C47">
        <f>_xlfn.XLOOKUP($A47,'Audit Report'!$C:$C,'Audit Report'!F:F)</f>
        <v>0</v>
      </c>
      <c r="D47">
        <f>_xlfn.XLOOKUP($A47,'Audit Report'!$C:$C,'Audit Report'!G:G)</f>
        <v>0</v>
      </c>
      <c r="E47">
        <f>_xlfn.XLOOKUP($A47,'Audit Report'!$C:$C,'Audit Report'!W:W)</f>
        <v>0</v>
      </c>
      <c r="F47" t="e">
        <f>_xlfn.XLOOKUP($A47,'Audit Report'!$C:$C,'Audit Report'!#REF!)</f>
        <v>#REF!</v>
      </c>
    </row>
    <row r="48" spans="2:6">
      <c r="B48" t="str">
        <f>_xlfn.XLOOKUP($A48,'Audit Report'!$C:$C,'Audit Report'!E:E)</f>
        <v/>
      </c>
      <c r="C48">
        <f>_xlfn.XLOOKUP($A48,'Audit Report'!$C:$C,'Audit Report'!F:F)</f>
        <v>0</v>
      </c>
      <c r="D48">
        <f>_xlfn.XLOOKUP($A48,'Audit Report'!$C:$C,'Audit Report'!G:G)</f>
        <v>0</v>
      </c>
      <c r="E48">
        <f>_xlfn.XLOOKUP($A48,'Audit Report'!$C:$C,'Audit Report'!W:W)</f>
        <v>0</v>
      </c>
      <c r="F48" t="e">
        <f>_xlfn.XLOOKUP($A48,'Audit Report'!$C:$C,'Audit Report'!#REF!)</f>
        <v>#REF!</v>
      </c>
    </row>
    <row r="49" spans="2:6">
      <c r="B49" t="str">
        <f>_xlfn.XLOOKUP($A49,'Audit Report'!$C:$C,'Audit Report'!E:E)</f>
        <v/>
      </c>
      <c r="C49">
        <f>_xlfn.XLOOKUP($A49,'Audit Report'!$C:$C,'Audit Report'!F:F)</f>
        <v>0</v>
      </c>
      <c r="D49">
        <f>_xlfn.XLOOKUP($A49,'Audit Report'!$C:$C,'Audit Report'!G:G)</f>
        <v>0</v>
      </c>
      <c r="E49">
        <f>_xlfn.XLOOKUP($A49,'Audit Report'!$C:$C,'Audit Report'!W:W)</f>
        <v>0</v>
      </c>
      <c r="F49" t="e">
        <f>_xlfn.XLOOKUP($A49,'Audit Report'!$C:$C,'Audit Report'!#REF!)</f>
        <v>#REF!</v>
      </c>
    </row>
    <row r="50" spans="2:6">
      <c r="B50" t="str">
        <f>_xlfn.XLOOKUP($A50,'Audit Report'!$C:$C,'Audit Report'!E:E)</f>
        <v/>
      </c>
      <c r="C50">
        <f>_xlfn.XLOOKUP($A50,'Audit Report'!$C:$C,'Audit Report'!F:F)</f>
        <v>0</v>
      </c>
      <c r="D50">
        <f>_xlfn.XLOOKUP($A50,'Audit Report'!$C:$C,'Audit Report'!G:G)</f>
        <v>0</v>
      </c>
      <c r="E50">
        <f>_xlfn.XLOOKUP($A50,'Audit Report'!$C:$C,'Audit Report'!W:W)</f>
        <v>0</v>
      </c>
      <c r="F50" t="e">
        <f>_xlfn.XLOOKUP($A50,'Audit Report'!$C:$C,'Audit Report'!#REF!)</f>
        <v>#REF!</v>
      </c>
    </row>
    <row r="51" spans="2:6">
      <c r="B51" t="str">
        <f>_xlfn.XLOOKUP($A51,'Audit Report'!$C:$C,'Audit Report'!E:E)</f>
        <v/>
      </c>
      <c r="C51">
        <f>_xlfn.XLOOKUP($A51,'Audit Report'!$C:$C,'Audit Report'!F:F)</f>
        <v>0</v>
      </c>
      <c r="D51">
        <f>_xlfn.XLOOKUP($A51,'Audit Report'!$C:$C,'Audit Report'!G:G)</f>
        <v>0</v>
      </c>
      <c r="E51">
        <f>_xlfn.XLOOKUP($A51,'Audit Report'!$C:$C,'Audit Report'!W:W)</f>
        <v>0</v>
      </c>
      <c r="F51" t="e">
        <f>_xlfn.XLOOKUP($A51,'Audit Report'!$C:$C,'Audit Report'!#REF!)</f>
        <v>#REF!</v>
      </c>
    </row>
    <row r="52" spans="2:6">
      <c r="B52" t="str">
        <f>_xlfn.XLOOKUP($A52,'Audit Report'!$C:$C,'Audit Report'!E:E)</f>
        <v/>
      </c>
      <c r="C52">
        <f>_xlfn.XLOOKUP($A52,'Audit Report'!$C:$C,'Audit Report'!F:F)</f>
        <v>0</v>
      </c>
      <c r="D52">
        <f>_xlfn.XLOOKUP($A52,'Audit Report'!$C:$C,'Audit Report'!G:G)</f>
        <v>0</v>
      </c>
      <c r="E52">
        <f>_xlfn.XLOOKUP($A52,'Audit Report'!$C:$C,'Audit Report'!W:W)</f>
        <v>0</v>
      </c>
      <c r="F52" t="e">
        <f>_xlfn.XLOOKUP($A52,'Audit Report'!$C:$C,'Audit Report'!#REF!)</f>
        <v>#REF!</v>
      </c>
    </row>
    <row r="53" spans="2:6">
      <c r="B53" t="str">
        <f>_xlfn.XLOOKUP($A53,'Audit Report'!$C:$C,'Audit Report'!E:E)</f>
        <v/>
      </c>
      <c r="C53">
        <f>_xlfn.XLOOKUP($A53,'Audit Report'!$C:$C,'Audit Report'!F:F)</f>
        <v>0</v>
      </c>
      <c r="D53">
        <f>_xlfn.XLOOKUP($A53,'Audit Report'!$C:$C,'Audit Report'!G:G)</f>
        <v>0</v>
      </c>
      <c r="E53">
        <f>_xlfn.XLOOKUP($A53,'Audit Report'!$C:$C,'Audit Report'!W:W)</f>
        <v>0</v>
      </c>
      <c r="F53" t="e">
        <f>_xlfn.XLOOKUP($A53,'Audit Report'!$C:$C,'Audit Report'!#REF!)</f>
        <v>#REF!</v>
      </c>
    </row>
    <row r="54" spans="2:6">
      <c r="B54" t="str">
        <f>_xlfn.XLOOKUP($A54,'Audit Report'!$C:$C,'Audit Report'!E:E)</f>
        <v/>
      </c>
      <c r="C54">
        <f>_xlfn.XLOOKUP($A54,'Audit Report'!$C:$C,'Audit Report'!F:F)</f>
        <v>0</v>
      </c>
      <c r="D54">
        <f>_xlfn.XLOOKUP($A54,'Audit Report'!$C:$C,'Audit Report'!G:G)</f>
        <v>0</v>
      </c>
      <c r="E54">
        <f>_xlfn.XLOOKUP($A54,'Audit Report'!$C:$C,'Audit Report'!W:W)</f>
        <v>0</v>
      </c>
      <c r="F54" t="e">
        <f>_xlfn.XLOOKUP($A54,'Audit Report'!$C:$C,'Audit Report'!#REF!)</f>
        <v>#REF!</v>
      </c>
    </row>
    <row r="55" spans="2:6">
      <c r="B55" t="str">
        <f>_xlfn.XLOOKUP($A55,'Audit Report'!$C:$C,'Audit Report'!E:E)</f>
        <v/>
      </c>
      <c r="C55">
        <f>_xlfn.XLOOKUP($A55,'Audit Report'!$C:$C,'Audit Report'!F:F)</f>
        <v>0</v>
      </c>
      <c r="D55">
        <f>_xlfn.XLOOKUP($A55,'Audit Report'!$C:$C,'Audit Report'!G:G)</f>
        <v>0</v>
      </c>
      <c r="E55">
        <f>_xlfn.XLOOKUP($A55,'Audit Report'!$C:$C,'Audit Report'!W:W)</f>
        <v>0</v>
      </c>
      <c r="F55" t="e">
        <f>_xlfn.XLOOKUP($A55,'Audit Report'!$C:$C,'Audit Report'!#REF!)</f>
        <v>#REF!</v>
      </c>
    </row>
    <row r="56" spans="2:6">
      <c r="B56" t="str">
        <f>_xlfn.XLOOKUP($A56,'Audit Report'!$C:$C,'Audit Report'!E:E)</f>
        <v/>
      </c>
      <c r="C56">
        <f>_xlfn.XLOOKUP($A56,'Audit Report'!$C:$C,'Audit Report'!F:F)</f>
        <v>0</v>
      </c>
      <c r="D56">
        <f>_xlfn.XLOOKUP($A56,'Audit Report'!$C:$C,'Audit Report'!G:G)</f>
        <v>0</v>
      </c>
      <c r="E56">
        <f>_xlfn.XLOOKUP($A56,'Audit Report'!$C:$C,'Audit Report'!W:W)</f>
        <v>0</v>
      </c>
      <c r="F56" t="e">
        <f>_xlfn.XLOOKUP($A56,'Audit Report'!$C:$C,'Audit Report'!#REF!)</f>
        <v>#REF!</v>
      </c>
    </row>
    <row r="57" spans="2:6">
      <c r="B57" t="str">
        <f>_xlfn.XLOOKUP($A57,'Audit Report'!$C:$C,'Audit Report'!E:E)</f>
        <v/>
      </c>
      <c r="C57">
        <f>_xlfn.XLOOKUP($A57,'Audit Report'!$C:$C,'Audit Report'!F:F)</f>
        <v>0</v>
      </c>
      <c r="D57">
        <f>_xlfn.XLOOKUP($A57,'Audit Report'!$C:$C,'Audit Report'!G:G)</f>
        <v>0</v>
      </c>
      <c r="E57">
        <f>_xlfn.XLOOKUP($A57,'Audit Report'!$C:$C,'Audit Report'!W:W)</f>
        <v>0</v>
      </c>
      <c r="F57" t="e">
        <f>_xlfn.XLOOKUP($A57,'Audit Report'!$C:$C,'Audit Report'!#REF!)</f>
        <v>#REF!</v>
      </c>
    </row>
    <row r="58" spans="2:6">
      <c r="B58" t="str">
        <f>_xlfn.XLOOKUP($A58,'Audit Report'!$C:$C,'Audit Report'!E:E)</f>
        <v/>
      </c>
      <c r="C58">
        <f>_xlfn.XLOOKUP($A58,'Audit Report'!$C:$C,'Audit Report'!F:F)</f>
        <v>0</v>
      </c>
      <c r="D58">
        <f>_xlfn.XLOOKUP($A58,'Audit Report'!$C:$C,'Audit Report'!G:G)</f>
        <v>0</v>
      </c>
      <c r="E58">
        <f>_xlfn.XLOOKUP($A58,'Audit Report'!$C:$C,'Audit Report'!W:W)</f>
        <v>0</v>
      </c>
      <c r="F58" t="e">
        <f>_xlfn.XLOOKUP($A58,'Audit Report'!$C:$C,'Audit Report'!#REF!)</f>
        <v>#REF!</v>
      </c>
    </row>
    <row r="59" spans="2:6">
      <c r="B59" t="str">
        <f>_xlfn.XLOOKUP($A59,'Audit Report'!$C:$C,'Audit Report'!E:E)</f>
        <v/>
      </c>
      <c r="C59">
        <f>_xlfn.XLOOKUP($A59,'Audit Report'!$C:$C,'Audit Report'!F:F)</f>
        <v>0</v>
      </c>
      <c r="D59">
        <f>_xlfn.XLOOKUP($A59,'Audit Report'!$C:$C,'Audit Report'!G:G)</f>
        <v>0</v>
      </c>
      <c r="E59">
        <f>_xlfn.XLOOKUP($A59,'Audit Report'!$C:$C,'Audit Report'!W:W)</f>
        <v>0</v>
      </c>
      <c r="F59" t="e">
        <f>_xlfn.XLOOKUP($A59,'Audit Report'!$C:$C,'Audit Report'!#REF!)</f>
        <v>#REF!</v>
      </c>
    </row>
    <row r="60" spans="2:6">
      <c r="B60" t="str">
        <f>_xlfn.XLOOKUP($A60,'Audit Report'!$C:$C,'Audit Report'!E:E)</f>
        <v/>
      </c>
      <c r="C60">
        <f>_xlfn.XLOOKUP($A60,'Audit Report'!$C:$C,'Audit Report'!F:F)</f>
        <v>0</v>
      </c>
      <c r="D60">
        <f>_xlfn.XLOOKUP($A60,'Audit Report'!$C:$C,'Audit Report'!G:G)</f>
        <v>0</v>
      </c>
      <c r="E60">
        <f>_xlfn.XLOOKUP($A60,'Audit Report'!$C:$C,'Audit Report'!W:W)</f>
        <v>0</v>
      </c>
      <c r="F60" t="e">
        <f>_xlfn.XLOOKUP($A60,'Audit Report'!$C:$C,'Audit Report'!#REF!)</f>
        <v>#REF!</v>
      </c>
    </row>
    <row r="61" spans="2:6">
      <c r="B61" t="str">
        <f>_xlfn.XLOOKUP($A61,'Audit Report'!$C:$C,'Audit Report'!E:E)</f>
        <v/>
      </c>
      <c r="C61">
        <f>_xlfn.XLOOKUP($A61,'Audit Report'!$C:$C,'Audit Report'!F:F)</f>
        <v>0</v>
      </c>
      <c r="D61">
        <f>_xlfn.XLOOKUP($A61,'Audit Report'!$C:$C,'Audit Report'!G:G)</f>
        <v>0</v>
      </c>
      <c r="E61">
        <f>_xlfn.XLOOKUP($A61,'Audit Report'!$C:$C,'Audit Report'!W:W)</f>
        <v>0</v>
      </c>
      <c r="F61" t="e">
        <f>_xlfn.XLOOKUP($A61,'Audit Report'!$C:$C,'Audit Report'!#REF!)</f>
        <v>#REF!</v>
      </c>
    </row>
    <row r="62" spans="2:6">
      <c r="B62" t="str">
        <f>_xlfn.XLOOKUP($A62,'Audit Report'!$C:$C,'Audit Report'!E:E)</f>
        <v/>
      </c>
      <c r="C62">
        <f>_xlfn.XLOOKUP($A62,'Audit Report'!$C:$C,'Audit Report'!F:F)</f>
        <v>0</v>
      </c>
      <c r="D62">
        <f>_xlfn.XLOOKUP($A62,'Audit Report'!$C:$C,'Audit Report'!G:G)</f>
        <v>0</v>
      </c>
      <c r="E62">
        <f>_xlfn.XLOOKUP($A62,'Audit Report'!$C:$C,'Audit Report'!W:W)</f>
        <v>0</v>
      </c>
      <c r="F62" t="e">
        <f>_xlfn.XLOOKUP($A62,'Audit Report'!$C:$C,'Audit Report'!#REF!)</f>
        <v>#REF!</v>
      </c>
    </row>
    <row r="63" spans="2:6">
      <c r="B63" t="str">
        <f>_xlfn.XLOOKUP($A63,'Audit Report'!$C:$C,'Audit Report'!E:E)</f>
        <v/>
      </c>
      <c r="C63">
        <f>_xlfn.XLOOKUP($A63,'Audit Report'!$C:$C,'Audit Report'!F:F)</f>
        <v>0</v>
      </c>
      <c r="D63">
        <f>_xlfn.XLOOKUP($A63,'Audit Report'!$C:$C,'Audit Report'!G:G)</f>
        <v>0</v>
      </c>
      <c r="E63">
        <f>_xlfn.XLOOKUP($A63,'Audit Report'!$C:$C,'Audit Report'!W:W)</f>
        <v>0</v>
      </c>
      <c r="F63" t="e">
        <f>_xlfn.XLOOKUP($A63,'Audit Report'!$C:$C,'Audit Report'!#REF!)</f>
        <v>#REF!</v>
      </c>
    </row>
    <row r="64" spans="2:6">
      <c r="B64" t="str">
        <f>_xlfn.XLOOKUP($A64,'Audit Report'!$C:$C,'Audit Report'!E:E)</f>
        <v/>
      </c>
      <c r="C64">
        <f>_xlfn.XLOOKUP($A64,'Audit Report'!$C:$C,'Audit Report'!F:F)</f>
        <v>0</v>
      </c>
      <c r="D64">
        <f>_xlfn.XLOOKUP($A64,'Audit Report'!$C:$C,'Audit Report'!G:G)</f>
        <v>0</v>
      </c>
      <c r="E64">
        <f>_xlfn.XLOOKUP($A64,'Audit Report'!$C:$C,'Audit Report'!W:W)</f>
        <v>0</v>
      </c>
      <c r="F64" t="e">
        <f>_xlfn.XLOOKUP($A64,'Audit Report'!$C:$C,'Audit Report'!#REF!)</f>
        <v>#REF!</v>
      </c>
    </row>
    <row r="65" spans="2:6">
      <c r="B65" t="str">
        <f>_xlfn.XLOOKUP($A65,'Audit Report'!$C:$C,'Audit Report'!E:E)</f>
        <v/>
      </c>
      <c r="C65">
        <f>_xlfn.XLOOKUP($A65,'Audit Report'!$C:$C,'Audit Report'!F:F)</f>
        <v>0</v>
      </c>
      <c r="D65">
        <f>_xlfn.XLOOKUP($A65,'Audit Report'!$C:$C,'Audit Report'!G:G)</f>
        <v>0</v>
      </c>
      <c r="E65">
        <f>_xlfn.XLOOKUP($A65,'Audit Report'!$C:$C,'Audit Report'!W:W)</f>
        <v>0</v>
      </c>
      <c r="F65" t="e">
        <f>_xlfn.XLOOKUP($A65,'Audit Report'!$C:$C,'Audit Report'!#REF!)</f>
        <v>#REF!</v>
      </c>
    </row>
    <row r="66" spans="2:6">
      <c r="B66" t="str">
        <f>_xlfn.XLOOKUP($A66,'Audit Report'!$C:$C,'Audit Report'!E:E)</f>
        <v/>
      </c>
      <c r="C66">
        <f>_xlfn.XLOOKUP($A66,'Audit Report'!$C:$C,'Audit Report'!F:F)</f>
        <v>0</v>
      </c>
      <c r="D66">
        <f>_xlfn.XLOOKUP($A66,'Audit Report'!$C:$C,'Audit Report'!G:G)</f>
        <v>0</v>
      </c>
      <c r="E66">
        <f>_xlfn.XLOOKUP($A66,'Audit Report'!$C:$C,'Audit Report'!W:W)</f>
        <v>0</v>
      </c>
      <c r="F66" t="e">
        <f>_xlfn.XLOOKUP($A66,'Audit Report'!$C:$C,'Audit Report'!#REF!)</f>
        <v>#REF!</v>
      </c>
    </row>
    <row r="67" spans="2:6">
      <c r="B67" t="str">
        <f>_xlfn.XLOOKUP($A67,'Audit Report'!$C:$C,'Audit Report'!E:E)</f>
        <v/>
      </c>
      <c r="C67">
        <f>_xlfn.XLOOKUP($A67,'Audit Report'!$C:$C,'Audit Report'!F:F)</f>
        <v>0</v>
      </c>
      <c r="D67">
        <f>_xlfn.XLOOKUP($A67,'Audit Report'!$C:$C,'Audit Report'!G:G)</f>
        <v>0</v>
      </c>
      <c r="E67">
        <f>_xlfn.XLOOKUP($A67,'Audit Report'!$C:$C,'Audit Report'!W:W)</f>
        <v>0</v>
      </c>
      <c r="F67" t="e">
        <f>_xlfn.XLOOKUP($A67,'Audit Report'!$C:$C,'Audit Report'!#REF!)</f>
        <v>#REF!</v>
      </c>
    </row>
    <row r="68" spans="2:6">
      <c r="B68" t="str">
        <f>_xlfn.XLOOKUP($A68,'Audit Report'!$C:$C,'Audit Report'!E:E)</f>
        <v/>
      </c>
      <c r="C68">
        <f>_xlfn.XLOOKUP($A68,'Audit Report'!$C:$C,'Audit Report'!F:F)</f>
        <v>0</v>
      </c>
      <c r="D68">
        <f>_xlfn.XLOOKUP($A68,'Audit Report'!$C:$C,'Audit Report'!G:G)</f>
        <v>0</v>
      </c>
      <c r="E68">
        <f>_xlfn.XLOOKUP($A68,'Audit Report'!$C:$C,'Audit Report'!W:W)</f>
        <v>0</v>
      </c>
      <c r="F68" t="e">
        <f>_xlfn.XLOOKUP($A68,'Audit Report'!$C:$C,'Audit Report'!#REF!)</f>
        <v>#REF!</v>
      </c>
    </row>
    <row r="69" spans="2:6">
      <c r="B69" t="str">
        <f>_xlfn.XLOOKUP($A69,'Audit Report'!$C:$C,'Audit Report'!E:E)</f>
        <v/>
      </c>
      <c r="C69">
        <f>_xlfn.XLOOKUP($A69,'Audit Report'!$C:$C,'Audit Report'!F:F)</f>
        <v>0</v>
      </c>
      <c r="D69">
        <f>_xlfn.XLOOKUP($A69,'Audit Report'!$C:$C,'Audit Report'!G:G)</f>
        <v>0</v>
      </c>
      <c r="E69">
        <f>_xlfn.XLOOKUP($A69,'Audit Report'!$C:$C,'Audit Report'!W:W)</f>
        <v>0</v>
      </c>
      <c r="F69" t="e">
        <f>_xlfn.XLOOKUP($A69,'Audit Report'!$C:$C,'Audit Report'!#REF!)</f>
        <v>#REF!</v>
      </c>
    </row>
    <row r="70" spans="2:6">
      <c r="B70" t="str">
        <f>_xlfn.XLOOKUP($A70,'Audit Report'!$C:$C,'Audit Report'!E:E)</f>
        <v/>
      </c>
      <c r="C70">
        <f>_xlfn.XLOOKUP($A70,'Audit Report'!$C:$C,'Audit Report'!F:F)</f>
        <v>0</v>
      </c>
      <c r="D70">
        <f>_xlfn.XLOOKUP($A70,'Audit Report'!$C:$C,'Audit Report'!G:G)</f>
        <v>0</v>
      </c>
      <c r="E70">
        <f>_xlfn.XLOOKUP($A70,'Audit Report'!$C:$C,'Audit Report'!W:W)</f>
        <v>0</v>
      </c>
      <c r="F70" t="e">
        <f>_xlfn.XLOOKUP($A70,'Audit Report'!$C:$C,'Audit Report'!#REF!)</f>
        <v>#REF!</v>
      </c>
    </row>
    <row r="71" spans="2:6">
      <c r="B71" t="str">
        <f>_xlfn.XLOOKUP($A71,'Audit Report'!$C:$C,'Audit Report'!E:E)</f>
        <v/>
      </c>
      <c r="C71">
        <f>_xlfn.XLOOKUP($A71,'Audit Report'!$C:$C,'Audit Report'!F:F)</f>
        <v>0</v>
      </c>
      <c r="D71">
        <f>_xlfn.XLOOKUP($A71,'Audit Report'!$C:$C,'Audit Report'!G:G)</f>
        <v>0</v>
      </c>
      <c r="E71">
        <f>_xlfn.XLOOKUP($A71,'Audit Report'!$C:$C,'Audit Report'!W:W)</f>
        <v>0</v>
      </c>
      <c r="F71" t="e">
        <f>_xlfn.XLOOKUP($A71,'Audit Report'!$C:$C,'Audit Report'!#REF!)</f>
        <v>#REF!</v>
      </c>
    </row>
    <row r="72" spans="2:6">
      <c r="B72" t="str">
        <f>_xlfn.XLOOKUP($A72,'Audit Report'!$C:$C,'Audit Report'!E:E)</f>
        <v/>
      </c>
      <c r="C72">
        <f>_xlfn.XLOOKUP($A72,'Audit Report'!$C:$C,'Audit Report'!F:F)</f>
        <v>0</v>
      </c>
      <c r="D72">
        <f>_xlfn.XLOOKUP($A72,'Audit Report'!$C:$C,'Audit Report'!G:G)</f>
        <v>0</v>
      </c>
      <c r="E72">
        <f>_xlfn.XLOOKUP($A72,'Audit Report'!$C:$C,'Audit Report'!W:W)</f>
        <v>0</v>
      </c>
      <c r="F72" t="e">
        <f>_xlfn.XLOOKUP($A72,'Audit Report'!$C:$C,'Audit Report'!#REF!)</f>
        <v>#REF!</v>
      </c>
    </row>
    <row r="73" spans="2:6">
      <c r="B73" t="str">
        <f>_xlfn.XLOOKUP($A73,'Audit Report'!$C:$C,'Audit Report'!E:E)</f>
        <v/>
      </c>
      <c r="C73">
        <f>_xlfn.XLOOKUP($A73,'Audit Report'!$C:$C,'Audit Report'!F:F)</f>
        <v>0</v>
      </c>
      <c r="D73">
        <f>_xlfn.XLOOKUP($A73,'Audit Report'!$C:$C,'Audit Report'!G:G)</f>
        <v>0</v>
      </c>
      <c r="E73">
        <f>_xlfn.XLOOKUP($A73,'Audit Report'!$C:$C,'Audit Report'!W:W)</f>
        <v>0</v>
      </c>
      <c r="F73" t="e">
        <f>_xlfn.XLOOKUP($A73,'Audit Report'!$C:$C,'Audit Report'!#REF!)</f>
        <v>#REF!</v>
      </c>
    </row>
    <row r="74" spans="2:6">
      <c r="B74" t="str">
        <f>_xlfn.XLOOKUP($A74,'Audit Report'!$C:$C,'Audit Report'!E:E)</f>
        <v/>
      </c>
      <c r="C74">
        <f>_xlfn.XLOOKUP($A74,'Audit Report'!$C:$C,'Audit Report'!F:F)</f>
        <v>0</v>
      </c>
      <c r="D74">
        <f>_xlfn.XLOOKUP($A74,'Audit Report'!$C:$C,'Audit Report'!G:G)</f>
        <v>0</v>
      </c>
      <c r="E74">
        <f>_xlfn.XLOOKUP($A74,'Audit Report'!$C:$C,'Audit Report'!W:W)</f>
        <v>0</v>
      </c>
      <c r="F74" t="e">
        <f>_xlfn.XLOOKUP($A74,'Audit Report'!$C:$C,'Audit Report'!#REF!)</f>
        <v>#REF!</v>
      </c>
    </row>
    <row r="75" spans="2:6">
      <c r="B75" t="str">
        <f>_xlfn.XLOOKUP($A75,'Audit Report'!$C:$C,'Audit Report'!E:E)</f>
        <v/>
      </c>
      <c r="C75">
        <f>_xlfn.XLOOKUP($A75,'Audit Report'!$C:$C,'Audit Report'!F:F)</f>
        <v>0</v>
      </c>
      <c r="D75">
        <f>_xlfn.XLOOKUP($A75,'Audit Report'!$C:$C,'Audit Report'!G:G)</f>
        <v>0</v>
      </c>
      <c r="E75">
        <f>_xlfn.XLOOKUP($A75,'Audit Report'!$C:$C,'Audit Report'!W:W)</f>
        <v>0</v>
      </c>
      <c r="F75" t="e">
        <f>_xlfn.XLOOKUP($A75,'Audit Report'!$C:$C,'Audit Report'!#REF!)</f>
        <v>#REF!</v>
      </c>
    </row>
    <row r="76" spans="2:6">
      <c r="B76" t="str">
        <f>_xlfn.XLOOKUP($A76,'Audit Report'!$C:$C,'Audit Report'!E:E)</f>
        <v/>
      </c>
      <c r="C76">
        <f>_xlfn.XLOOKUP($A76,'Audit Report'!$C:$C,'Audit Report'!F:F)</f>
        <v>0</v>
      </c>
      <c r="D76">
        <f>_xlfn.XLOOKUP($A76,'Audit Report'!$C:$C,'Audit Report'!G:G)</f>
        <v>0</v>
      </c>
      <c r="E76">
        <f>_xlfn.XLOOKUP($A76,'Audit Report'!$C:$C,'Audit Report'!W:W)</f>
        <v>0</v>
      </c>
      <c r="F76" t="e">
        <f>_xlfn.XLOOKUP($A76,'Audit Report'!$C:$C,'Audit Report'!#REF!)</f>
        <v>#REF!</v>
      </c>
    </row>
    <row r="77" spans="2:6">
      <c r="B77" t="str">
        <f>_xlfn.XLOOKUP($A77,'Audit Report'!$C:$C,'Audit Report'!E:E)</f>
        <v/>
      </c>
      <c r="C77">
        <f>_xlfn.XLOOKUP($A77,'Audit Report'!$C:$C,'Audit Report'!F:F)</f>
        <v>0</v>
      </c>
      <c r="D77">
        <f>_xlfn.XLOOKUP($A77,'Audit Report'!$C:$C,'Audit Report'!G:G)</f>
        <v>0</v>
      </c>
      <c r="E77">
        <f>_xlfn.XLOOKUP($A77,'Audit Report'!$C:$C,'Audit Report'!W:W)</f>
        <v>0</v>
      </c>
      <c r="F77" t="e">
        <f>_xlfn.XLOOKUP($A77,'Audit Report'!$C:$C,'Audit Report'!#REF!)</f>
        <v>#REF!</v>
      </c>
    </row>
    <row r="78" spans="2:6">
      <c r="B78" t="str">
        <f>_xlfn.XLOOKUP($A78,'Audit Report'!$C:$C,'Audit Report'!E:E)</f>
        <v/>
      </c>
      <c r="C78">
        <f>_xlfn.XLOOKUP($A78,'Audit Report'!$C:$C,'Audit Report'!F:F)</f>
        <v>0</v>
      </c>
      <c r="D78">
        <f>_xlfn.XLOOKUP($A78,'Audit Report'!$C:$C,'Audit Report'!G:G)</f>
        <v>0</v>
      </c>
      <c r="E78">
        <f>_xlfn.XLOOKUP($A78,'Audit Report'!$C:$C,'Audit Report'!W:W)</f>
        <v>0</v>
      </c>
      <c r="F78" t="e">
        <f>_xlfn.XLOOKUP($A78,'Audit Report'!$C:$C,'Audit Report'!#REF!)</f>
        <v>#REF!</v>
      </c>
    </row>
    <row r="79" spans="2:6">
      <c r="B79" t="str">
        <f>_xlfn.XLOOKUP($A79,'Audit Report'!$C:$C,'Audit Report'!E:E)</f>
        <v/>
      </c>
      <c r="C79">
        <f>_xlfn.XLOOKUP($A79,'Audit Report'!$C:$C,'Audit Report'!F:F)</f>
        <v>0</v>
      </c>
      <c r="D79">
        <f>_xlfn.XLOOKUP($A79,'Audit Report'!$C:$C,'Audit Report'!G:G)</f>
        <v>0</v>
      </c>
      <c r="E79">
        <f>_xlfn.XLOOKUP($A79,'Audit Report'!$C:$C,'Audit Report'!W:W)</f>
        <v>0</v>
      </c>
      <c r="F79" t="e">
        <f>_xlfn.XLOOKUP($A79,'Audit Report'!$C:$C,'Audit Report'!#REF!)</f>
        <v>#REF!</v>
      </c>
    </row>
    <row r="80" spans="2:6">
      <c r="B80" t="str">
        <f>_xlfn.XLOOKUP($A80,'Audit Report'!$C:$C,'Audit Report'!E:E)</f>
        <v/>
      </c>
      <c r="C80">
        <f>_xlfn.XLOOKUP($A80,'Audit Report'!$C:$C,'Audit Report'!F:F)</f>
        <v>0</v>
      </c>
      <c r="D80">
        <f>_xlfn.XLOOKUP($A80,'Audit Report'!$C:$C,'Audit Report'!G:G)</f>
        <v>0</v>
      </c>
      <c r="E80">
        <f>_xlfn.XLOOKUP($A80,'Audit Report'!$C:$C,'Audit Report'!W:W)</f>
        <v>0</v>
      </c>
      <c r="F80" t="e">
        <f>_xlfn.XLOOKUP($A80,'Audit Report'!$C:$C,'Audit Report'!#REF!)</f>
        <v>#REF!</v>
      </c>
    </row>
    <row r="81" spans="2:6">
      <c r="B81" t="str">
        <f>_xlfn.XLOOKUP($A81,'Audit Report'!$C:$C,'Audit Report'!E:E)</f>
        <v/>
      </c>
      <c r="C81">
        <f>_xlfn.XLOOKUP($A81,'Audit Report'!$C:$C,'Audit Report'!F:F)</f>
        <v>0</v>
      </c>
      <c r="D81">
        <f>_xlfn.XLOOKUP($A81,'Audit Report'!$C:$C,'Audit Report'!G:G)</f>
        <v>0</v>
      </c>
      <c r="E81">
        <f>_xlfn.XLOOKUP($A81,'Audit Report'!$C:$C,'Audit Report'!W:W)</f>
        <v>0</v>
      </c>
      <c r="F81" t="e">
        <f>_xlfn.XLOOKUP($A81,'Audit Report'!$C:$C,'Audit Report'!#REF!)</f>
        <v>#REF!</v>
      </c>
    </row>
    <row r="82" spans="2:6">
      <c r="B82" t="str">
        <f>_xlfn.XLOOKUP($A82,'Audit Report'!$C:$C,'Audit Report'!E:E)</f>
        <v/>
      </c>
      <c r="C82">
        <f>_xlfn.XLOOKUP($A82,'Audit Report'!$C:$C,'Audit Report'!F:F)</f>
        <v>0</v>
      </c>
      <c r="D82">
        <f>_xlfn.XLOOKUP($A82,'Audit Report'!$C:$C,'Audit Report'!G:G)</f>
        <v>0</v>
      </c>
      <c r="E82">
        <f>_xlfn.XLOOKUP($A82,'Audit Report'!$C:$C,'Audit Report'!W:W)</f>
        <v>0</v>
      </c>
      <c r="F82" t="e">
        <f>_xlfn.XLOOKUP($A82,'Audit Report'!$C:$C,'Audit Report'!#REF!)</f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456"/>
  <sheetViews>
    <sheetView workbookViewId="0">
      <pane ySplit="1" topLeftCell="A2" activePane="bottomLeft" state="frozen"/>
      <selection pane="bottomLeft" activeCell="A20" sqref="A20"/>
    </sheetView>
  </sheetViews>
  <sheetFormatPr defaultRowHeight="15"/>
  <cols>
    <col min="1" max="1" width="7" style="44" customWidth="1"/>
    <col min="2" max="2" width="30.42578125" customWidth="1"/>
    <col min="3" max="3" width="21.85546875" customWidth="1"/>
    <col min="4" max="4" width="10.7109375" bestFit="1" customWidth="1"/>
    <col min="5" max="5" width="6.85546875" bestFit="1" customWidth="1"/>
    <col min="6" max="6" width="29.42578125" customWidth="1"/>
    <col min="7" max="7" width="8.42578125" bestFit="1" customWidth="1"/>
    <col min="8" max="8" width="5.85546875" bestFit="1" customWidth="1"/>
    <col min="9" max="9" width="9.85546875" bestFit="1" customWidth="1"/>
    <col min="10" max="10" width="10.28515625" bestFit="1" customWidth="1"/>
    <col min="11" max="11" width="15" bestFit="1" customWidth="1"/>
    <col min="12" max="12" width="19.42578125" customWidth="1"/>
    <col min="13" max="13" width="60.5703125" customWidth="1"/>
    <col min="14" max="14" width="32.28515625" style="44" hidden="1" customWidth="1"/>
    <col min="15" max="15" width="14.7109375" bestFit="1" customWidth="1"/>
    <col min="16" max="16" width="39" style="18" customWidth="1"/>
    <col min="17" max="17" width="17.140625" bestFit="1" customWidth="1"/>
    <col min="18" max="18" width="26.7109375" bestFit="1" customWidth="1"/>
    <col min="19" max="20" width="12.5703125" bestFit="1" customWidth="1"/>
    <col min="21" max="21" width="11.28515625" bestFit="1" customWidth="1"/>
  </cols>
  <sheetData>
    <row r="1" spans="1:21" s="53" customFormat="1" ht="17.25">
      <c r="A1" s="51" t="s">
        <v>0</v>
      </c>
      <c r="B1" s="51" t="s">
        <v>1</v>
      </c>
      <c r="C1" s="51" t="s">
        <v>482</v>
      </c>
      <c r="D1" s="51" t="s">
        <v>2</v>
      </c>
      <c r="E1" s="51" t="s">
        <v>5</v>
      </c>
      <c r="F1" s="51" t="s">
        <v>6</v>
      </c>
      <c r="G1" s="51" t="s">
        <v>7</v>
      </c>
      <c r="H1" s="51" t="s">
        <v>8</v>
      </c>
      <c r="I1" s="51" t="s">
        <v>9</v>
      </c>
      <c r="J1" s="51" t="s">
        <v>10</v>
      </c>
      <c r="K1" s="51" t="s">
        <v>483</v>
      </c>
      <c r="L1" s="51" t="s">
        <v>488</v>
      </c>
      <c r="M1" s="51" t="s">
        <v>12</v>
      </c>
      <c r="N1" s="51" t="s">
        <v>542</v>
      </c>
      <c r="O1" s="51" t="s">
        <v>484</v>
      </c>
      <c r="P1" s="52" t="s">
        <v>15</v>
      </c>
      <c r="Q1" s="51" t="s">
        <v>16</v>
      </c>
      <c r="R1" s="51" t="s">
        <v>17</v>
      </c>
      <c r="S1" s="51" t="s">
        <v>18</v>
      </c>
      <c r="T1" s="51" t="s">
        <v>19</v>
      </c>
      <c r="U1" s="51" t="s">
        <v>20</v>
      </c>
    </row>
    <row r="2" spans="1:21">
      <c r="A2" s="43" t="str">
        <f>_xlfn.TEXTJOIN("",TRUE,Input!$B$2,"0",ROW(My_Audit!A1))</f>
        <v>XX01</v>
      </c>
      <c r="B2" s="38"/>
      <c r="C2" s="38"/>
      <c r="D2" s="39"/>
      <c r="E2" s="38"/>
      <c r="F2" s="38"/>
      <c r="G2" s="38"/>
      <c r="H2" s="38"/>
      <c r="I2" s="38"/>
      <c r="J2" s="38"/>
      <c r="K2" s="38"/>
      <c r="L2" s="38"/>
      <c r="M2" s="38"/>
      <c r="N2" s="43" t="str">
        <f>_xlfn.TEXTJOIN(", ",TRUE, L2, M2)</f>
        <v/>
      </c>
      <c r="O2" s="38"/>
      <c r="P2" s="41"/>
      <c r="Q2" s="38"/>
      <c r="R2" s="38"/>
      <c r="S2" s="38"/>
      <c r="T2" s="38"/>
      <c r="U2" s="38"/>
    </row>
    <row r="3" spans="1:21">
      <c r="A3" s="43" t="str">
        <f>_xlfn.TEXTJOIN("",TRUE,Input!$B$2,"0",ROW(My_Audit!A2))</f>
        <v>XX02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43" t="str">
        <f t="shared" ref="N3:N66" si="0">_xlfn.TEXTJOIN(", ",TRUE, L3, M3)</f>
        <v/>
      </c>
      <c r="O3" s="38"/>
      <c r="P3" s="41"/>
      <c r="Q3" s="38"/>
      <c r="R3" s="38"/>
      <c r="S3" s="38"/>
      <c r="T3" s="38"/>
      <c r="U3" s="38"/>
    </row>
    <row r="4" spans="1:21">
      <c r="A4" s="43" t="str">
        <f>_xlfn.TEXTJOIN("",TRUE,Input!$B$2,"0",ROW(My_Audit!A3))</f>
        <v>XX03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43" t="str">
        <f t="shared" si="0"/>
        <v/>
      </c>
      <c r="O4" s="38"/>
      <c r="P4" s="41"/>
      <c r="Q4" s="38"/>
      <c r="R4" s="38"/>
      <c r="S4" s="38"/>
      <c r="T4" s="38"/>
      <c r="U4" s="38"/>
    </row>
    <row r="5" spans="1:21">
      <c r="A5" s="43" t="str">
        <f>_xlfn.TEXTJOIN("",TRUE,Input!$B$2,"0",ROW(My_Audit!A4))</f>
        <v>XX04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43" t="str">
        <f t="shared" si="0"/>
        <v/>
      </c>
      <c r="O5" s="38"/>
      <c r="P5" s="41"/>
      <c r="Q5" s="38"/>
      <c r="R5" s="38"/>
      <c r="S5" s="38"/>
      <c r="T5" s="38"/>
      <c r="U5" s="38"/>
    </row>
    <row r="6" spans="1:21">
      <c r="A6" s="43" t="str">
        <f>_xlfn.TEXTJOIN("",TRUE,Input!$B$2,"0",ROW(My_Audit!A5))</f>
        <v>XX05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43" t="str">
        <f t="shared" si="0"/>
        <v/>
      </c>
      <c r="O6" s="38"/>
      <c r="P6" s="41"/>
      <c r="Q6" s="38"/>
      <c r="R6" s="38"/>
      <c r="S6" s="38"/>
      <c r="T6" s="38"/>
      <c r="U6" s="38"/>
    </row>
    <row r="7" spans="1:21">
      <c r="A7" s="43" t="str">
        <f>_xlfn.TEXTJOIN("",TRUE,Input!$B$2,"0",ROW(My_Audit!A6))</f>
        <v>XX06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43" t="str">
        <f t="shared" si="0"/>
        <v/>
      </c>
      <c r="O7" s="38"/>
      <c r="P7" s="41"/>
      <c r="Q7" s="38"/>
      <c r="R7" s="38"/>
      <c r="S7" s="38"/>
      <c r="T7" s="38"/>
      <c r="U7" s="38"/>
    </row>
    <row r="8" spans="1:21">
      <c r="A8" s="43" t="str">
        <f>_xlfn.TEXTJOIN("",TRUE,Input!$B$2,"0",ROW(My_Audit!A7))</f>
        <v>XX07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43" t="str">
        <f t="shared" si="0"/>
        <v/>
      </c>
      <c r="O8" s="38"/>
      <c r="P8" s="41"/>
      <c r="Q8" s="38"/>
      <c r="R8" s="38"/>
      <c r="S8" s="38"/>
      <c r="T8" s="38"/>
      <c r="U8" s="38"/>
    </row>
    <row r="9" spans="1:21">
      <c r="A9" s="43" t="str">
        <f>_xlfn.TEXTJOIN("",TRUE,Input!$B$2,"0",ROW(My_Audit!A8))</f>
        <v>XX08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43" t="str">
        <f t="shared" si="0"/>
        <v/>
      </c>
      <c r="O9" s="38"/>
      <c r="P9" s="41"/>
      <c r="Q9" s="38"/>
      <c r="R9" s="38"/>
      <c r="S9" s="38"/>
      <c r="T9" s="38"/>
      <c r="U9" s="38"/>
    </row>
    <row r="10" spans="1:21">
      <c r="A10" s="43" t="str">
        <f>_xlfn.TEXTJOIN("",TRUE,Input!$B$2,"0",ROW(My_Audit!A9))</f>
        <v>XX09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43" t="str">
        <f t="shared" si="0"/>
        <v/>
      </c>
      <c r="O10" s="38"/>
      <c r="P10" s="41"/>
      <c r="Q10" s="38"/>
      <c r="R10" s="38"/>
      <c r="S10" s="38"/>
      <c r="T10" s="38"/>
      <c r="U10" s="38"/>
    </row>
    <row r="11" spans="1:21">
      <c r="A11" s="43" t="str">
        <f>_xlfn.TEXTJOIN("",TRUE,Input!$B$2,ROW(My_Audit!A10))</f>
        <v>XX10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43" t="str">
        <f t="shared" si="0"/>
        <v/>
      </c>
      <c r="O11" s="38"/>
      <c r="P11" s="41"/>
      <c r="Q11" s="38"/>
      <c r="R11" s="38"/>
      <c r="S11" s="38"/>
      <c r="T11" s="38"/>
      <c r="U11" s="38"/>
    </row>
    <row r="12" spans="1:21">
      <c r="A12" s="43" t="str">
        <f>_xlfn.TEXTJOIN("",TRUE,Input!$B$2,ROW(My_Audit!A11))</f>
        <v>XX11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43" t="str">
        <f t="shared" si="0"/>
        <v/>
      </c>
      <c r="O12" s="38"/>
      <c r="P12" s="41"/>
      <c r="Q12" s="38"/>
      <c r="R12" s="38"/>
      <c r="S12" s="38"/>
      <c r="T12" s="38"/>
      <c r="U12" s="38"/>
    </row>
    <row r="13" spans="1:21">
      <c r="A13" s="43" t="str">
        <f>_xlfn.TEXTJOIN("",TRUE,Input!$B$2,ROW(My_Audit!A12))</f>
        <v>XX12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43" t="str">
        <f t="shared" si="0"/>
        <v/>
      </c>
      <c r="O13" s="38"/>
      <c r="P13" s="41"/>
      <c r="Q13" s="38"/>
      <c r="R13" s="38"/>
      <c r="S13" s="38"/>
      <c r="T13" s="38"/>
      <c r="U13" s="38"/>
    </row>
    <row r="14" spans="1:21">
      <c r="A14" s="43" t="str">
        <f>_xlfn.TEXTJOIN("",TRUE,Input!$B$2,ROW(My_Audit!A13))</f>
        <v>XX13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43" t="str">
        <f t="shared" si="0"/>
        <v/>
      </c>
      <c r="O14" s="38"/>
      <c r="P14" s="41"/>
      <c r="Q14" s="38"/>
      <c r="R14" s="38"/>
      <c r="S14" s="38"/>
      <c r="T14" s="38"/>
      <c r="U14" s="38"/>
    </row>
    <row r="15" spans="1:21">
      <c r="A15" s="43" t="str">
        <f>_xlfn.TEXTJOIN("",TRUE,Input!$B$2,ROW(My_Audit!A14))</f>
        <v>XX14</v>
      </c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43" t="str">
        <f t="shared" si="0"/>
        <v/>
      </c>
      <c r="O15" s="38"/>
      <c r="P15" s="41"/>
      <c r="Q15" s="38"/>
      <c r="R15" s="38"/>
      <c r="S15" s="38"/>
      <c r="T15" s="38"/>
      <c r="U15" s="38"/>
    </row>
    <row r="16" spans="1:21">
      <c r="A16" s="43" t="str">
        <f>_xlfn.TEXTJOIN("",TRUE,Input!$B$2,ROW(My_Audit!A15))</f>
        <v>XX15</v>
      </c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43" t="str">
        <f t="shared" si="0"/>
        <v/>
      </c>
      <c r="O16" s="38"/>
      <c r="P16" s="41"/>
      <c r="Q16" s="38"/>
      <c r="R16" s="38"/>
      <c r="S16" s="38"/>
      <c r="T16" s="38"/>
      <c r="U16" s="38"/>
    </row>
    <row r="17" spans="1:21">
      <c r="A17" s="43" t="str">
        <f>_xlfn.TEXTJOIN("",TRUE,Input!$B$2,ROW(My_Audit!A16))</f>
        <v>XX16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43" t="str">
        <f t="shared" si="0"/>
        <v/>
      </c>
      <c r="O17" s="38"/>
      <c r="P17" s="41"/>
      <c r="Q17" s="38"/>
      <c r="R17" s="38"/>
      <c r="S17" s="38"/>
      <c r="T17" s="38"/>
      <c r="U17" s="38"/>
    </row>
    <row r="18" spans="1:21">
      <c r="A18" s="43" t="str">
        <f>_xlfn.TEXTJOIN("",TRUE,Input!$B$2,ROW(My_Audit!A17))</f>
        <v>XX17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43" t="str">
        <f t="shared" si="0"/>
        <v/>
      </c>
      <c r="O18" s="38"/>
      <c r="P18" s="41"/>
      <c r="Q18" s="38"/>
      <c r="R18" s="38"/>
      <c r="S18" s="38"/>
      <c r="T18" s="38"/>
      <c r="U18" s="38"/>
    </row>
    <row r="19" spans="1:21">
      <c r="A19" s="43" t="str">
        <f>_xlfn.TEXTJOIN("",TRUE,Input!$B$2,ROW(My_Audit!A18))</f>
        <v>XX18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43" t="str">
        <f t="shared" si="0"/>
        <v/>
      </c>
      <c r="O19" s="38"/>
      <c r="P19" s="41"/>
      <c r="Q19" s="38"/>
      <c r="R19" s="38"/>
      <c r="S19" s="38"/>
      <c r="T19" s="38"/>
      <c r="U19" s="38"/>
    </row>
    <row r="20" spans="1:21">
      <c r="A20" s="43" t="str">
        <f>_xlfn.TEXTJOIN("",TRUE,Input!$B$2,ROW(My_Audit!A19))</f>
        <v>XX19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43" t="str">
        <f t="shared" si="0"/>
        <v/>
      </c>
      <c r="O20" s="38"/>
      <c r="P20" s="41"/>
      <c r="Q20" s="38"/>
      <c r="R20" s="38"/>
      <c r="S20" s="38"/>
      <c r="T20" s="38"/>
      <c r="U20" s="38"/>
    </row>
    <row r="21" spans="1:21">
      <c r="A21" s="43" t="str">
        <f>_xlfn.TEXTJOIN("",TRUE,Input!$B$2,ROW(My_Audit!A20))</f>
        <v>XX20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43" t="str">
        <f t="shared" si="0"/>
        <v/>
      </c>
      <c r="O21" s="38"/>
      <c r="P21" s="41"/>
      <c r="Q21" s="38"/>
      <c r="R21" s="38"/>
      <c r="S21" s="38"/>
      <c r="T21" s="38"/>
      <c r="U21" s="38"/>
    </row>
    <row r="22" spans="1:21">
      <c r="A22" s="43" t="str">
        <f>_xlfn.TEXTJOIN("",TRUE,Input!$B$2,ROW(My_Audit!A21))</f>
        <v>XX21</v>
      </c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43" t="str">
        <f t="shared" si="0"/>
        <v/>
      </c>
      <c r="O22" s="38"/>
      <c r="P22" s="41"/>
      <c r="Q22" s="38"/>
      <c r="R22" s="38"/>
      <c r="S22" s="38"/>
      <c r="T22" s="38"/>
      <c r="U22" s="38"/>
    </row>
    <row r="23" spans="1:21">
      <c r="A23" s="43" t="str">
        <f>_xlfn.TEXTJOIN("",TRUE,Input!$B$2,ROW(My_Audit!A22))</f>
        <v>XX22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43" t="str">
        <f t="shared" si="0"/>
        <v/>
      </c>
      <c r="O23" s="38"/>
      <c r="P23" s="41"/>
      <c r="Q23" s="38"/>
      <c r="R23" s="38"/>
      <c r="S23" s="38"/>
      <c r="T23" s="38"/>
      <c r="U23" s="38"/>
    </row>
    <row r="24" spans="1:21">
      <c r="A24" s="43" t="str">
        <f>_xlfn.TEXTJOIN("",TRUE,Input!$B$2,ROW(My_Audit!A23))</f>
        <v>XX23</v>
      </c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43" t="str">
        <f t="shared" si="0"/>
        <v/>
      </c>
      <c r="O24" s="38"/>
      <c r="P24" s="41"/>
      <c r="Q24" s="38"/>
      <c r="R24" s="38"/>
      <c r="S24" s="38"/>
      <c r="T24" s="38"/>
      <c r="U24" s="38"/>
    </row>
    <row r="25" spans="1:21">
      <c r="A25" s="43" t="str">
        <f>_xlfn.TEXTJOIN("",TRUE,Input!$B$2,ROW(My_Audit!A24))</f>
        <v>XX24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43" t="str">
        <f t="shared" si="0"/>
        <v/>
      </c>
      <c r="O25" s="38"/>
      <c r="P25" s="41"/>
      <c r="Q25" s="38"/>
      <c r="R25" s="38"/>
      <c r="S25" s="38"/>
      <c r="T25" s="38"/>
      <c r="U25" s="38"/>
    </row>
    <row r="26" spans="1:21">
      <c r="A26" s="43" t="str">
        <f>_xlfn.TEXTJOIN("",TRUE,Input!$B$2,ROW(My_Audit!A25))</f>
        <v>XX25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43" t="str">
        <f t="shared" si="0"/>
        <v/>
      </c>
      <c r="O26" s="38"/>
      <c r="P26" s="41"/>
      <c r="Q26" s="38"/>
      <c r="R26" s="38"/>
      <c r="S26" s="38"/>
      <c r="T26" s="38"/>
      <c r="U26" s="38"/>
    </row>
    <row r="27" spans="1:21">
      <c r="A27" s="43" t="str">
        <f>_xlfn.TEXTJOIN("",TRUE,Input!$B$2,ROW(My_Audit!A26))</f>
        <v>XX26</v>
      </c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43" t="str">
        <f t="shared" si="0"/>
        <v/>
      </c>
      <c r="O27" s="38"/>
      <c r="P27" s="41"/>
      <c r="Q27" s="38"/>
      <c r="R27" s="38"/>
      <c r="S27" s="38"/>
      <c r="T27" s="38"/>
      <c r="U27" s="38"/>
    </row>
    <row r="28" spans="1:21">
      <c r="A28" s="43" t="str">
        <f>_xlfn.TEXTJOIN("",TRUE,Input!$B$2,ROW(My_Audit!A27))</f>
        <v>XX27</v>
      </c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43" t="str">
        <f t="shared" si="0"/>
        <v/>
      </c>
      <c r="O28" s="38"/>
      <c r="P28" s="41"/>
      <c r="Q28" s="38"/>
      <c r="R28" s="38"/>
      <c r="S28" s="38"/>
      <c r="T28" s="38"/>
      <c r="U28" s="38"/>
    </row>
    <row r="29" spans="1:21">
      <c r="A29" s="43" t="str">
        <f>_xlfn.TEXTJOIN("",TRUE,Input!$B$2,ROW(My_Audit!A28))</f>
        <v>XX28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43" t="str">
        <f t="shared" si="0"/>
        <v/>
      </c>
      <c r="O29" s="38"/>
      <c r="P29" s="41"/>
      <c r="Q29" s="38"/>
      <c r="R29" s="38"/>
      <c r="S29" s="38"/>
      <c r="T29" s="38"/>
      <c r="U29" s="38"/>
    </row>
    <row r="30" spans="1:21">
      <c r="A30" s="43" t="str">
        <f>_xlfn.TEXTJOIN("",TRUE,Input!$B$2,ROW(My_Audit!A29))</f>
        <v>XX29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43" t="str">
        <f t="shared" si="0"/>
        <v/>
      </c>
      <c r="O30" s="38"/>
      <c r="P30" s="41"/>
      <c r="Q30" s="38"/>
      <c r="R30" s="38"/>
      <c r="S30" s="38"/>
      <c r="T30" s="38"/>
      <c r="U30" s="38"/>
    </row>
    <row r="31" spans="1:21">
      <c r="A31" s="43" t="str">
        <f>_xlfn.TEXTJOIN("",TRUE,Input!$B$2,ROW(My_Audit!A30))</f>
        <v>XX30</v>
      </c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43" t="str">
        <f t="shared" si="0"/>
        <v/>
      </c>
      <c r="O31" s="38"/>
      <c r="P31" s="41"/>
      <c r="Q31" s="38"/>
      <c r="R31" s="38"/>
      <c r="S31" s="38"/>
      <c r="T31" s="38"/>
      <c r="U31" s="38"/>
    </row>
    <row r="32" spans="1:21">
      <c r="A32" s="43" t="str">
        <f>_xlfn.TEXTJOIN("",TRUE,Input!$B$2,ROW(My_Audit!A31))</f>
        <v>XX31</v>
      </c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43" t="str">
        <f t="shared" si="0"/>
        <v/>
      </c>
      <c r="O32" s="38"/>
      <c r="P32" s="41"/>
      <c r="Q32" s="38"/>
      <c r="R32" s="38"/>
      <c r="S32" s="38"/>
      <c r="T32" s="38"/>
      <c r="U32" s="38"/>
    </row>
    <row r="33" spans="1:21">
      <c r="A33" s="43" t="str">
        <f>_xlfn.TEXTJOIN("",TRUE,Input!$B$2,ROW(My_Audit!A32))</f>
        <v>XX32</v>
      </c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43" t="str">
        <f t="shared" si="0"/>
        <v/>
      </c>
      <c r="O33" s="38"/>
      <c r="P33" s="41"/>
      <c r="Q33" s="38"/>
      <c r="R33" s="38"/>
      <c r="S33" s="38"/>
      <c r="T33" s="38"/>
      <c r="U33" s="38"/>
    </row>
    <row r="34" spans="1:21">
      <c r="A34" s="43" t="str">
        <f>_xlfn.TEXTJOIN("",TRUE,Input!$B$2,ROW(My_Audit!A33))</f>
        <v>XX33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43" t="str">
        <f t="shared" si="0"/>
        <v/>
      </c>
      <c r="O34" s="38"/>
      <c r="P34" s="41"/>
      <c r="Q34" s="38"/>
      <c r="R34" s="38"/>
      <c r="S34" s="38"/>
      <c r="T34" s="38"/>
      <c r="U34" s="38"/>
    </row>
    <row r="35" spans="1:21">
      <c r="A35" s="43" t="str">
        <f>_xlfn.TEXTJOIN("",TRUE,Input!$B$2,ROW(My_Audit!A34))</f>
        <v>XX34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43" t="str">
        <f t="shared" si="0"/>
        <v/>
      </c>
      <c r="O35" s="38"/>
      <c r="P35" s="41"/>
      <c r="Q35" s="38"/>
      <c r="R35" s="38"/>
      <c r="S35" s="38"/>
      <c r="T35" s="38"/>
      <c r="U35" s="38"/>
    </row>
    <row r="36" spans="1:21">
      <c r="A36" s="43" t="str">
        <f>_xlfn.TEXTJOIN("",TRUE,Input!$B$2,ROW(My_Audit!A35))</f>
        <v>XX35</v>
      </c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43" t="str">
        <f t="shared" si="0"/>
        <v/>
      </c>
      <c r="O36" s="38"/>
      <c r="P36" s="41"/>
      <c r="Q36" s="38"/>
      <c r="R36" s="38"/>
      <c r="S36" s="38"/>
      <c r="T36" s="38"/>
      <c r="U36" s="38"/>
    </row>
    <row r="37" spans="1:21">
      <c r="A37" s="43" t="str">
        <f>_xlfn.TEXTJOIN("",TRUE,Input!$B$2,ROW(My_Audit!A36))</f>
        <v>XX36</v>
      </c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43" t="str">
        <f t="shared" si="0"/>
        <v/>
      </c>
      <c r="O37" s="38"/>
      <c r="P37" s="41"/>
      <c r="Q37" s="38"/>
      <c r="R37" s="38"/>
      <c r="S37" s="38"/>
      <c r="T37" s="38"/>
      <c r="U37" s="38"/>
    </row>
    <row r="38" spans="1:21">
      <c r="A38" s="43" t="str">
        <f>_xlfn.TEXTJOIN("",TRUE,Input!$B$2,ROW(My_Audit!A37))</f>
        <v>XX37</v>
      </c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43" t="str">
        <f t="shared" si="0"/>
        <v/>
      </c>
      <c r="O38" s="38"/>
      <c r="P38" s="41"/>
      <c r="Q38" s="38"/>
      <c r="R38" s="38"/>
      <c r="S38" s="38"/>
      <c r="T38" s="38"/>
      <c r="U38" s="38"/>
    </row>
    <row r="39" spans="1:21">
      <c r="A39" s="43" t="str">
        <f>_xlfn.TEXTJOIN("",TRUE,Input!$B$2,ROW(My_Audit!A38))</f>
        <v>XX38</v>
      </c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43" t="str">
        <f t="shared" si="0"/>
        <v/>
      </c>
      <c r="O39" s="38"/>
      <c r="P39" s="41"/>
      <c r="Q39" s="38"/>
      <c r="R39" s="38"/>
      <c r="S39" s="38"/>
      <c r="T39" s="38"/>
      <c r="U39" s="38"/>
    </row>
    <row r="40" spans="1:21">
      <c r="A40" s="43" t="str">
        <f>_xlfn.TEXTJOIN("",TRUE,Input!$B$2,ROW(My_Audit!A39))</f>
        <v>XX39</v>
      </c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43" t="str">
        <f t="shared" si="0"/>
        <v/>
      </c>
      <c r="O40" s="38"/>
      <c r="P40" s="41"/>
      <c r="Q40" s="38"/>
      <c r="R40" s="38"/>
      <c r="S40" s="38"/>
      <c r="T40" s="38"/>
      <c r="U40" s="38"/>
    </row>
    <row r="41" spans="1:21">
      <c r="A41" s="43" t="str">
        <f>_xlfn.TEXTJOIN("",TRUE,Input!$B$2,ROW(My_Audit!A40))</f>
        <v>XX40</v>
      </c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43" t="str">
        <f t="shared" si="0"/>
        <v/>
      </c>
      <c r="O41" s="38"/>
      <c r="P41" s="41"/>
      <c r="Q41" s="38"/>
      <c r="R41" s="38"/>
      <c r="S41" s="38"/>
      <c r="T41" s="38"/>
      <c r="U41" s="38"/>
    </row>
    <row r="42" spans="1:21">
      <c r="A42" s="43" t="str">
        <f>_xlfn.TEXTJOIN("",TRUE,Input!$B$2,ROW(My_Audit!A41))</f>
        <v>XX41</v>
      </c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43" t="str">
        <f t="shared" si="0"/>
        <v/>
      </c>
      <c r="O42" s="38"/>
      <c r="P42" s="41"/>
      <c r="Q42" s="38"/>
      <c r="R42" s="38"/>
      <c r="S42" s="38"/>
      <c r="T42" s="38"/>
      <c r="U42" s="38"/>
    </row>
    <row r="43" spans="1:21">
      <c r="A43" s="43" t="str">
        <f>_xlfn.TEXTJOIN("",TRUE,Input!$B$2,ROW(My_Audit!A42))</f>
        <v>XX42</v>
      </c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43" t="str">
        <f t="shared" si="0"/>
        <v/>
      </c>
      <c r="O43" s="38"/>
      <c r="P43" s="41"/>
      <c r="Q43" s="38"/>
      <c r="R43" s="38"/>
      <c r="S43" s="38"/>
      <c r="T43" s="38"/>
      <c r="U43" s="38"/>
    </row>
    <row r="44" spans="1:21">
      <c r="A44" s="43" t="str">
        <f>_xlfn.TEXTJOIN("",TRUE,Input!$B$2,ROW(My_Audit!A43))</f>
        <v>XX43</v>
      </c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43" t="str">
        <f t="shared" si="0"/>
        <v/>
      </c>
      <c r="O44" s="38"/>
      <c r="P44" s="41"/>
      <c r="Q44" s="38"/>
      <c r="R44" s="38"/>
      <c r="S44" s="38"/>
      <c r="T44" s="38"/>
      <c r="U44" s="38"/>
    </row>
    <row r="45" spans="1:21">
      <c r="A45" s="43" t="str">
        <f>_xlfn.TEXTJOIN("",TRUE,Input!$B$2,ROW(My_Audit!A44))</f>
        <v>XX44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43" t="str">
        <f t="shared" si="0"/>
        <v/>
      </c>
      <c r="O45" s="38"/>
      <c r="P45" s="41"/>
      <c r="Q45" s="38"/>
      <c r="R45" s="38"/>
      <c r="S45" s="38"/>
      <c r="T45" s="38"/>
      <c r="U45" s="38"/>
    </row>
    <row r="46" spans="1:21">
      <c r="A46" s="43" t="str">
        <f>_xlfn.TEXTJOIN("",TRUE,Input!$B$2,ROW(My_Audit!A45))</f>
        <v>XX45</v>
      </c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43" t="str">
        <f t="shared" si="0"/>
        <v/>
      </c>
      <c r="O46" s="38"/>
      <c r="P46" s="41"/>
      <c r="Q46" s="38"/>
      <c r="R46" s="38"/>
      <c r="S46" s="38"/>
      <c r="T46" s="38"/>
      <c r="U46" s="38"/>
    </row>
    <row r="47" spans="1:21">
      <c r="A47" s="43" t="str">
        <f>_xlfn.TEXTJOIN("",TRUE,Input!$B$2,ROW(My_Audit!A46))</f>
        <v>XX46</v>
      </c>
      <c r="B47" s="40"/>
      <c r="C47" s="40"/>
      <c r="D47" s="40"/>
      <c r="E47" s="40"/>
      <c r="F47" s="40"/>
      <c r="G47" s="38"/>
      <c r="H47" s="38"/>
      <c r="I47" s="38"/>
      <c r="J47" s="38"/>
      <c r="K47" s="38"/>
      <c r="L47" s="38"/>
      <c r="M47" s="38"/>
      <c r="N47" s="43" t="str">
        <f t="shared" si="0"/>
        <v/>
      </c>
      <c r="O47" s="38"/>
      <c r="P47" s="41"/>
      <c r="Q47" s="38"/>
      <c r="R47" s="38"/>
      <c r="S47" s="38"/>
      <c r="T47" s="38"/>
      <c r="U47" s="38"/>
    </row>
    <row r="48" spans="1:21">
      <c r="A48" s="43" t="str">
        <f>_xlfn.TEXTJOIN("",TRUE,Input!$B$2,ROW(My_Audit!A47))</f>
        <v>XX47</v>
      </c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43" t="str">
        <f t="shared" si="0"/>
        <v/>
      </c>
      <c r="O48" s="38"/>
      <c r="P48" s="41"/>
      <c r="Q48" s="38"/>
      <c r="R48" s="38"/>
      <c r="S48" s="38"/>
      <c r="T48" s="38"/>
      <c r="U48" s="38"/>
    </row>
    <row r="49" spans="1:21">
      <c r="A49" s="43" t="str">
        <f>_xlfn.TEXTJOIN("",TRUE,Input!$B$2,ROW(My_Audit!A48))</f>
        <v>XX48</v>
      </c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43" t="str">
        <f t="shared" si="0"/>
        <v/>
      </c>
      <c r="O49" s="38"/>
      <c r="P49" s="41"/>
      <c r="Q49" s="38"/>
      <c r="R49" s="38"/>
      <c r="S49" s="38"/>
      <c r="T49" s="38"/>
      <c r="U49" s="38"/>
    </row>
    <row r="50" spans="1:21">
      <c r="A50" s="43" t="str">
        <f>_xlfn.TEXTJOIN("",TRUE,Input!$B$2,ROW(My_Audit!A49))</f>
        <v>XX49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43" t="str">
        <f t="shared" si="0"/>
        <v/>
      </c>
      <c r="O50" s="38"/>
      <c r="P50" s="41"/>
      <c r="Q50" s="38"/>
      <c r="R50" s="38"/>
      <c r="S50" s="38"/>
      <c r="T50" s="38"/>
      <c r="U50" s="38"/>
    </row>
    <row r="51" spans="1:21">
      <c r="A51" s="43" t="str">
        <f>_xlfn.TEXTJOIN("",TRUE,Input!$B$2,ROW(My_Audit!A50))</f>
        <v>XX50</v>
      </c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43" t="str">
        <f t="shared" si="0"/>
        <v/>
      </c>
      <c r="O51" s="38"/>
      <c r="P51" s="41"/>
      <c r="Q51" s="38"/>
      <c r="R51" s="38"/>
      <c r="S51" s="38"/>
      <c r="T51" s="38"/>
      <c r="U51" s="38"/>
    </row>
    <row r="52" spans="1:21">
      <c r="A52" s="43" t="str">
        <f>_xlfn.TEXTJOIN("",TRUE,Input!$B$2,ROW(My_Audit!A51))</f>
        <v>XX51</v>
      </c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43" t="str">
        <f t="shared" si="0"/>
        <v/>
      </c>
      <c r="O52" s="38"/>
      <c r="P52" s="41"/>
      <c r="Q52" s="38"/>
      <c r="R52" s="38"/>
      <c r="S52" s="38"/>
      <c r="T52" s="38"/>
      <c r="U52" s="38"/>
    </row>
    <row r="53" spans="1:21">
      <c r="A53" s="43" t="str">
        <f>_xlfn.TEXTJOIN("",TRUE,Input!$B$2,ROW(My_Audit!A52))</f>
        <v>XX52</v>
      </c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43" t="str">
        <f t="shared" si="0"/>
        <v/>
      </c>
      <c r="O53" s="38"/>
      <c r="P53" s="41"/>
      <c r="Q53" s="38"/>
      <c r="R53" s="38"/>
      <c r="S53" s="38"/>
      <c r="T53" s="38"/>
      <c r="U53" s="38"/>
    </row>
    <row r="54" spans="1:21">
      <c r="A54" s="43" t="str">
        <f>_xlfn.TEXTJOIN("",TRUE,Input!$B$2,ROW(My_Audit!A53))</f>
        <v>XX53</v>
      </c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43" t="str">
        <f t="shared" si="0"/>
        <v/>
      </c>
      <c r="O54" s="38"/>
      <c r="P54" s="41"/>
      <c r="Q54" s="38"/>
      <c r="R54" s="38"/>
      <c r="S54" s="38"/>
      <c r="T54" s="38"/>
      <c r="U54" s="38"/>
    </row>
    <row r="55" spans="1:21">
      <c r="A55" s="43" t="str">
        <f>_xlfn.TEXTJOIN("",TRUE,Input!$B$2,ROW(My_Audit!A54))</f>
        <v>XX54</v>
      </c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43" t="str">
        <f t="shared" si="0"/>
        <v/>
      </c>
      <c r="O55" s="38"/>
      <c r="P55" s="41"/>
      <c r="Q55" s="38"/>
      <c r="R55" s="38"/>
      <c r="S55" s="38"/>
      <c r="T55" s="38"/>
      <c r="U55" s="38"/>
    </row>
    <row r="56" spans="1:21">
      <c r="A56" s="43" t="str">
        <f>_xlfn.TEXTJOIN("",TRUE,Input!$B$2,ROW(My_Audit!A55))</f>
        <v>XX55</v>
      </c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43" t="str">
        <f t="shared" si="0"/>
        <v/>
      </c>
      <c r="O56" s="38"/>
      <c r="P56" s="41"/>
      <c r="Q56" s="38"/>
      <c r="R56" s="38"/>
      <c r="S56" s="38"/>
      <c r="T56" s="38"/>
      <c r="U56" s="38"/>
    </row>
    <row r="57" spans="1:21">
      <c r="A57" s="43" t="str">
        <f>_xlfn.TEXTJOIN("",TRUE,Input!$B$2,ROW(My_Audit!A56))</f>
        <v>XX56</v>
      </c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43" t="str">
        <f t="shared" si="0"/>
        <v/>
      </c>
      <c r="O57" s="38"/>
      <c r="P57" s="41"/>
      <c r="Q57" s="38"/>
      <c r="R57" s="38"/>
      <c r="S57" s="38"/>
      <c r="T57" s="38"/>
      <c r="U57" s="38"/>
    </row>
    <row r="58" spans="1:21">
      <c r="A58" s="43" t="str">
        <f>_xlfn.TEXTJOIN("",TRUE,Input!$B$2,ROW(My_Audit!A57))</f>
        <v>XX57</v>
      </c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43" t="str">
        <f t="shared" si="0"/>
        <v/>
      </c>
      <c r="O58" s="38"/>
      <c r="P58" s="41"/>
      <c r="Q58" s="38"/>
      <c r="R58" s="38"/>
      <c r="S58" s="38"/>
      <c r="T58" s="38"/>
      <c r="U58" s="38"/>
    </row>
    <row r="59" spans="1:21">
      <c r="A59" s="43" t="str">
        <f>_xlfn.TEXTJOIN("",TRUE,Input!$B$2,ROW(My_Audit!A58))</f>
        <v>XX58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43" t="str">
        <f t="shared" si="0"/>
        <v/>
      </c>
      <c r="O59" s="38"/>
      <c r="P59" s="41"/>
      <c r="Q59" s="38"/>
      <c r="R59" s="38"/>
      <c r="S59" s="38"/>
      <c r="T59" s="38"/>
      <c r="U59" s="38"/>
    </row>
    <row r="60" spans="1:21">
      <c r="A60" s="43" t="str">
        <f>_xlfn.TEXTJOIN("",TRUE,Input!$B$2,ROW(My_Audit!A59))</f>
        <v>XX59</v>
      </c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43" t="str">
        <f t="shared" si="0"/>
        <v/>
      </c>
      <c r="O60" s="38"/>
      <c r="P60" s="41"/>
      <c r="Q60" s="38"/>
      <c r="R60" s="38"/>
      <c r="S60" s="38"/>
      <c r="T60" s="38"/>
      <c r="U60" s="38"/>
    </row>
    <row r="61" spans="1:21">
      <c r="A61" s="43" t="str">
        <f>_xlfn.TEXTJOIN("",TRUE,Input!$B$2,ROW(My_Audit!A60))</f>
        <v>XX60</v>
      </c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43" t="str">
        <f t="shared" si="0"/>
        <v/>
      </c>
      <c r="O61" s="38"/>
      <c r="P61" s="41"/>
      <c r="Q61" s="38"/>
      <c r="R61" s="38"/>
      <c r="S61" s="38"/>
      <c r="T61" s="38"/>
      <c r="U61" s="38"/>
    </row>
    <row r="62" spans="1:21">
      <c r="A62" s="43" t="str">
        <f>_xlfn.TEXTJOIN("",TRUE,Input!$B$2,ROW(My_Audit!A61))</f>
        <v>XX61</v>
      </c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43" t="str">
        <f t="shared" si="0"/>
        <v/>
      </c>
      <c r="O62" s="38"/>
      <c r="P62" s="41"/>
      <c r="Q62" s="38"/>
      <c r="R62" s="38"/>
      <c r="S62" s="38"/>
      <c r="T62" s="38"/>
      <c r="U62" s="38"/>
    </row>
    <row r="63" spans="1:21">
      <c r="A63" s="43" t="str">
        <f>_xlfn.TEXTJOIN("",TRUE,Input!$B$2,ROW(My_Audit!A62))</f>
        <v>XX62</v>
      </c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43" t="str">
        <f t="shared" si="0"/>
        <v/>
      </c>
      <c r="O63" s="38"/>
      <c r="P63" s="41"/>
      <c r="Q63" s="38"/>
      <c r="R63" s="38"/>
      <c r="S63" s="38"/>
      <c r="T63" s="38"/>
      <c r="U63" s="38"/>
    </row>
    <row r="64" spans="1:21">
      <c r="A64" s="43" t="str">
        <f>_xlfn.TEXTJOIN("",TRUE,Input!$B$2,ROW(My_Audit!A63))</f>
        <v>XX63</v>
      </c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43" t="str">
        <f t="shared" si="0"/>
        <v/>
      </c>
      <c r="O64" s="38"/>
      <c r="P64" s="41"/>
      <c r="Q64" s="38"/>
      <c r="R64" s="38"/>
      <c r="S64" s="38"/>
      <c r="T64" s="38"/>
      <c r="U64" s="38"/>
    </row>
    <row r="65" spans="1:21">
      <c r="A65" s="43" t="str">
        <f>_xlfn.TEXTJOIN("",TRUE,Input!$B$2,ROW(My_Audit!A64))</f>
        <v>XX64</v>
      </c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43" t="str">
        <f t="shared" si="0"/>
        <v/>
      </c>
      <c r="O65" s="38"/>
      <c r="P65" s="41"/>
      <c r="Q65" s="38"/>
      <c r="R65" s="38"/>
      <c r="S65" s="38"/>
      <c r="T65" s="38"/>
      <c r="U65" s="38"/>
    </row>
    <row r="66" spans="1:21">
      <c r="A66" s="43" t="str">
        <f>_xlfn.TEXTJOIN("",TRUE,Input!$B$2,ROW(My_Audit!A65))</f>
        <v>XX65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43" t="str">
        <f t="shared" si="0"/>
        <v/>
      </c>
      <c r="O66" s="38"/>
      <c r="P66" s="41"/>
      <c r="Q66" s="38"/>
      <c r="R66" s="38"/>
      <c r="S66" s="38"/>
      <c r="T66" s="38"/>
      <c r="U66" s="38"/>
    </row>
    <row r="67" spans="1:21">
      <c r="A67" s="43" t="str">
        <f>_xlfn.TEXTJOIN("",TRUE,Input!$B$2,ROW(My_Audit!A66))</f>
        <v>XX66</v>
      </c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43" t="str">
        <f t="shared" ref="N67:N130" si="1">_xlfn.TEXTJOIN(", ",TRUE, L67, M67)</f>
        <v/>
      </c>
      <c r="O67" s="38"/>
      <c r="P67" s="41"/>
      <c r="Q67" s="38"/>
      <c r="R67" s="38"/>
      <c r="S67" s="38"/>
      <c r="T67" s="38"/>
      <c r="U67" s="38"/>
    </row>
    <row r="68" spans="1:21">
      <c r="A68" s="43" t="str">
        <f>_xlfn.TEXTJOIN("",TRUE,Input!$B$2,ROW(My_Audit!A67))</f>
        <v>XX67</v>
      </c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43" t="str">
        <f t="shared" si="1"/>
        <v/>
      </c>
      <c r="O68" s="38"/>
      <c r="P68" s="41"/>
      <c r="Q68" s="38"/>
      <c r="R68" s="38"/>
      <c r="S68" s="38"/>
      <c r="T68" s="38"/>
      <c r="U68" s="38"/>
    </row>
    <row r="69" spans="1:21">
      <c r="A69" s="43" t="str">
        <f>_xlfn.TEXTJOIN("",TRUE,Input!$B$2,ROW(My_Audit!A68))</f>
        <v>XX68</v>
      </c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43" t="str">
        <f t="shared" si="1"/>
        <v/>
      </c>
      <c r="O69" s="38"/>
      <c r="P69" s="41"/>
      <c r="Q69" s="38"/>
      <c r="R69" s="38"/>
      <c r="S69" s="38"/>
      <c r="T69" s="38"/>
      <c r="U69" s="38"/>
    </row>
    <row r="70" spans="1:21">
      <c r="A70" s="43" t="str">
        <f>_xlfn.TEXTJOIN("",TRUE,Input!$B$2,ROW(My_Audit!A69))</f>
        <v>XX69</v>
      </c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43" t="str">
        <f t="shared" si="1"/>
        <v/>
      </c>
      <c r="O70" s="38"/>
      <c r="P70" s="41"/>
      <c r="Q70" s="38"/>
      <c r="R70" s="38"/>
      <c r="S70" s="38"/>
      <c r="T70" s="38"/>
      <c r="U70" s="38"/>
    </row>
    <row r="71" spans="1:21">
      <c r="A71" s="43" t="str">
        <f>_xlfn.TEXTJOIN("",TRUE,Input!$B$2,ROW(My_Audit!A70))</f>
        <v>XX70</v>
      </c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43" t="str">
        <f t="shared" si="1"/>
        <v/>
      </c>
      <c r="O71" s="38"/>
      <c r="P71" s="41"/>
      <c r="Q71" s="38"/>
      <c r="R71" s="38"/>
      <c r="S71" s="38"/>
      <c r="T71" s="38"/>
      <c r="U71" s="38"/>
    </row>
    <row r="72" spans="1:21">
      <c r="A72" s="43" t="str">
        <f>_xlfn.TEXTJOIN("",TRUE,Input!$B$2,ROW(My_Audit!A71))</f>
        <v>XX71</v>
      </c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43" t="str">
        <f t="shared" si="1"/>
        <v/>
      </c>
      <c r="O72" s="38"/>
      <c r="P72" s="41"/>
      <c r="Q72" s="38"/>
      <c r="R72" s="38"/>
      <c r="S72" s="38"/>
      <c r="T72" s="38"/>
      <c r="U72" s="38"/>
    </row>
    <row r="73" spans="1:21">
      <c r="A73" s="43" t="str">
        <f>_xlfn.TEXTJOIN("",TRUE,Input!$B$2,ROW(My_Audit!A72))</f>
        <v>XX72</v>
      </c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43" t="str">
        <f t="shared" si="1"/>
        <v/>
      </c>
      <c r="O73" s="38"/>
      <c r="P73" s="41"/>
      <c r="Q73" s="38"/>
      <c r="R73" s="38"/>
      <c r="S73" s="38"/>
      <c r="T73" s="38"/>
      <c r="U73" s="38"/>
    </row>
    <row r="74" spans="1:21">
      <c r="A74" s="43" t="str">
        <f>_xlfn.TEXTJOIN("",TRUE,Input!$B$2,ROW(My_Audit!A73))</f>
        <v>XX73</v>
      </c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43" t="str">
        <f t="shared" si="1"/>
        <v/>
      </c>
      <c r="O74" s="38"/>
      <c r="P74" s="41"/>
      <c r="Q74" s="38"/>
      <c r="R74" s="38"/>
      <c r="S74" s="38"/>
      <c r="T74" s="38"/>
      <c r="U74" s="38"/>
    </row>
    <row r="75" spans="1:21">
      <c r="A75" s="43" t="str">
        <f>_xlfn.TEXTJOIN("",TRUE,Input!$B$2,ROW(My_Audit!A74))</f>
        <v>XX74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43" t="str">
        <f t="shared" si="1"/>
        <v/>
      </c>
      <c r="O75" s="38"/>
      <c r="P75" s="41"/>
      <c r="Q75" s="38"/>
      <c r="R75" s="38"/>
      <c r="S75" s="38"/>
      <c r="T75" s="38"/>
      <c r="U75" s="38"/>
    </row>
    <row r="76" spans="1:21">
      <c r="A76" s="43" t="str">
        <f>_xlfn.TEXTJOIN("",TRUE,Input!$B$2,ROW(My_Audit!A75))</f>
        <v>XX75</v>
      </c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43" t="str">
        <f t="shared" si="1"/>
        <v/>
      </c>
      <c r="O76" s="38"/>
      <c r="P76" s="41"/>
      <c r="Q76" s="38"/>
      <c r="R76" s="38"/>
      <c r="S76" s="38"/>
      <c r="T76" s="38"/>
      <c r="U76" s="38"/>
    </row>
    <row r="77" spans="1:21">
      <c r="A77" s="43" t="str">
        <f>_xlfn.TEXTJOIN("",TRUE,Input!$B$2,ROW(My_Audit!A76))</f>
        <v>XX76</v>
      </c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43" t="str">
        <f t="shared" si="1"/>
        <v/>
      </c>
      <c r="O77" s="38"/>
      <c r="P77" s="41"/>
      <c r="Q77" s="38"/>
      <c r="R77" s="38"/>
      <c r="S77" s="38"/>
      <c r="T77" s="38"/>
      <c r="U77" s="38"/>
    </row>
    <row r="78" spans="1:21">
      <c r="A78" s="43" t="str">
        <f>_xlfn.TEXTJOIN("",TRUE,Input!$B$2,ROW(My_Audit!A77))</f>
        <v>XX77</v>
      </c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43" t="str">
        <f t="shared" si="1"/>
        <v/>
      </c>
      <c r="O78" s="38"/>
      <c r="P78" s="41"/>
      <c r="Q78" s="38"/>
      <c r="R78" s="38"/>
      <c r="S78" s="38"/>
      <c r="T78" s="38"/>
      <c r="U78" s="38"/>
    </row>
    <row r="79" spans="1:21">
      <c r="A79" s="43" t="str">
        <f>_xlfn.TEXTJOIN("",TRUE,Input!$B$2,ROW(My_Audit!A78))</f>
        <v>XX78</v>
      </c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43" t="str">
        <f t="shared" si="1"/>
        <v/>
      </c>
      <c r="O79" s="38"/>
      <c r="P79" s="41"/>
      <c r="Q79" s="38"/>
      <c r="R79" s="38"/>
      <c r="S79" s="38"/>
      <c r="T79" s="38"/>
      <c r="U79" s="38"/>
    </row>
    <row r="80" spans="1:21">
      <c r="A80" s="43" t="str">
        <f>_xlfn.TEXTJOIN("",TRUE,Input!$B$2,ROW(My_Audit!A79))</f>
        <v>XX79</v>
      </c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43" t="str">
        <f t="shared" si="1"/>
        <v/>
      </c>
      <c r="O80" s="38"/>
      <c r="P80" s="41"/>
      <c r="Q80" s="38"/>
      <c r="R80" s="38"/>
      <c r="S80" s="38"/>
      <c r="T80" s="38"/>
      <c r="U80" s="38"/>
    </row>
    <row r="81" spans="1:21">
      <c r="A81" s="43" t="str">
        <f>_xlfn.TEXTJOIN("",TRUE,Input!$B$2,ROW(My_Audit!A80))</f>
        <v>XX80</v>
      </c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43" t="str">
        <f t="shared" si="1"/>
        <v/>
      </c>
      <c r="O81" s="38"/>
      <c r="P81" s="41"/>
      <c r="Q81" s="38"/>
      <c r="R81" s="38"/>
      <c r="S81" s="38"/>
      <c r="T81" s="38"/>
      <c r="U81" s="38"/>
    </row>
    <row r="82" spans="1:21">
      <c r="A82" s="43" t="str">
        <f>_xlfn.TEXTJOIN("",TRUE,Input!$B$2,ROW(My_Audit!A81))</f>
        <v>XX81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43" t="str">
        <f t="shared" si="1"/>
        <v/>
      </c>
      <c r="O82" s="38"/>
      <c r="P82" s="41"/>
      <c r="Q82" s="38"/>
      <c r="R82" s="38"/>
      <c r="S82" s="38"/>
      <c r="T82" s="38"/>
      <c r="U82" s="38"/>
    </row>
    <row r="83" spans="1:21">
      <c r="A83" s="43" t="str">
        <f>_xlfn.TEXTJOIN("",TRUE,Input!$B$2,ROW(My_Audit!A82))</f>
        <v>XX82</v>
      </c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43" t="str">
        <f t="shared" si="1"/>
        <v/>
      </c>
      <c r="O83" s="38"/>
      <c r="P83" s="41"/>
      <c r="Q83" s="38"/>
      <c r="R83" s="38"/>
      <c r="S83" s="38"/>
      <c r="T83" s="38"/>
      <c r="U83" s="38"/>
    </row>
    <row r="84" spans="1:21">
      <c r="A84" s="43" t="str">
        <f>_xlfn.TEXTJOIN("",TRUE,Input!$B$2,ROW(My_Audit!A83))</f>
        <v>XX83</v>
      </c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43" t="str">
        <f t="shared" si="1"/>
        <v/>
      </c>
      <c r="O84" s="38"/>
      <c r="P84" s="41"/>
      <c r="Q84" s="38"/>
      <c r="R84" s="38"/>
      <c r="S84" s="38"/>
      <c r="T84" s="38"/>
      <c r="U84" s="38"/>
    </row>
    <row r="85" spans="1:21">
      <c r="A85" s="43" t="str">
        <f>_xlfn.TEXTJOIN("",TRUE,Input!$B$2,ROW(My_Audit!A84))</f>
        <v>XX84</v>
      </c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43" t="str">
        <f t="shared" si="1"/>
        <v/>
      </c>
      <c r="O85" s="38"/>
      <c r="P85" s="41"/>
      <c r="Q85" s="38"/>
      <c r="R85" s="38"/>
      <c r="S85" s="38"/>
      <c r="T85" s="38"/>
      <c r="U85" s="38"/>
    </row>
    <row r="86" spans="1:21">
      <c r="A86" s="43" t="str">
        <f>_xlfn.TEXTJOIN("",TRUE,Input!$B$2,ROW(My_Audit!A85))</f>
        <v>XX85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43" t="str">
        <f t="shared" si="1"/>
        <v/>
      </c>
      <c r="O86" s="38"/>
      <c r="P86" s="41"/>
      <c r="Q86" s="38"/>
      <c r="R86" s="38"/>
      <c r="S86" s="38"/>
      <c r="T86" s="38"/>
      <c r="U86" s="38"/>
    </row>
    <row r="87" spans="1:21">
      <c r="A87" s="43" t="str">
        <f>_xlfn.TEXTJOIN("",TRUE,Input!$B$2,ROW(My_Audit!A86))</f>
        <v>XX86</v>
      </c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43" t="str">
        <f t="shared" si="1"/>
        <v/>
      </c>
      <c r="O87" s="38"/>
      <c r="P87" s="41"/>
      <c r="Q87" s="38"/>
      <c r="R87" s="38"/>
      <c r="S87" s="38"/>
      <c r="T87" s="38"/>
      <c r="U87" s="38"/>
    </row>
    <row r="88" spans="1:21">
      <c r="A88" s="43" t="str">
        <f>_xlfn.TEXTJOIN("",TRUE,Input!$B$2,ROW(My_Audit!A87))</f>
        <v>XX87</v>
      </c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43" t="str">
        <f t="shared" si="1"/>
        <v/>
      </c>
      <c r="O88" s="38"/>
      <c r="P88" s="41"/>
      <c r="Q88" s="38"/>
      <c r="R88" s="38"/>
      <c r="S88" s="38"/>
      <c r="T88" s="38"/>
      <c r="U88" s="38"/>
    </row>
    <row r="89" spans="1:21">
      <c r="A89" s="43" t="str">
        <f>_xlfn.TEXTJOIN("",TRUE,Input!$B$2,ROW(My_Audit!A88))</f>
        <v>XX88</v>
      </c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43" t="str">
        <f t="shared" si="1"/>
        <v/>
      </c>
      <c r="O89" s="38"/>
      <c r="P89" s="41"/>
      <c r="Q89" s="38"/>
      <c r="R89" s="38"/>
      <c r="S89" s="38"/>
      <c r="T89" s="38"/>
      <c r="U89" s="38"/>
    </row>
    <row r="90" spans="1:21">
      <c r="A90" s="43" t="str">
        <f>_xlfn.TEXTJOIN("",TRUE,Input!$B$2,ROW(My_Audit!A89))</f>
        <v>XX89</v>
      </c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43" t="str">
        <f t="shared" si="1"/>
        <v/>
      </c>
      <c r="O90" s="38"/>
      <c r="P90" s="41"/>
      <c r="Q90" s="38"/>
      <c r="R90" s="38"/>
      <c r="S90" s="38"/>
      <c r="T90" s="38"/>
      <c r="U90" s="38"/>
    </row>
    <row r="91" spans="1:21">
      <c r="A91" s="43" t="str">
        <f>_xlfn.TEXTJOIN("",TRUE,Input!$B$2,ROW(My_Audit!A90))</f>
        <v>XX90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43" t="str">
        <f t="shared" si="1"/>
        <v/>
      </c>
      <c r="O91" s="38"/>
      <c r="P91" s="41"/>
      <c r="Q91" s="38"/>
      <c r="R91" s="38"/>
      <c r="S91" s="38"/>
      <c r="T91" s="38"/>
      <c r="U91" s="38"/>
    </row>
    <row r="92" spans="1:21">
      <c r="A92" s="43" t="str">
        <f>_xlfn.TEXTJOIN("",TRUE,Input!$B$2,ROW(My_Audit!A91))</f>
        <v>XX91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43" t="str">
        <f t="shared" si="1"/>
        <v/>
      </c>
      <c r="O92" s="38"/>
      <c r="P92" s="41"/>
      <c r="Q92" s="38"/>
      <c r="R92" s="38"/>
      <c r="S92" s="38"/>
      <c r="T92" s="38"/>
      <c r="U92" s="38"/>
    </row>
    <row r="93" spans="1:21">
      <c r="A93" s="43" t="str">
        <f>_xlfn.TEXTJOIN("",TRUE,Input!$B$2,ROW(My_Audit!A92))</f>
        <v>XX92</v>
      </c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43" t="str">
        <f t="shared" si="1"/>
        <v/>
      </c>
      <c r="O93" s="38"/>
      <c r="P93" s="41"/>
      <c r="Q93" s="38"/>
      <c r="R93" s="38"/>
      <c r="S93" s="38"/>
      <c r="T93" s="38"/>
      <c r="U93" s="38"/>
    </row>
    <row r="94" spans="1:21">
      <c r="A94" s="43" t="str">
        <f>_xlfn.TEXTJOIN("",TRUE,Input!$B$2,ROW(My_Audit!A93))</f>
        <v>XX93</v>
      </c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43" t="str">
        <f t="shared" si="1"/>
        <v/>
      </c>
      <c r="O94" s="38"/>
      <c r="P94" s="41"/>
      <c r="Q94" s="38"/>
      <c r="R94" s="38"/>
      <c r="S94" s="38"/>
      <c r="T94" s="38"/>
      <c r="U94" s="38"/>
    </row>
    <row r="95" spans="1:21">
      <c r="A95" s="43" t="str">
        <f>_xlfn.TEXTJOIN("",TRUE,Input!$B$2,ROW(My_Audit!A94))</f>
        <v>XX94</v>
      </c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43" t="str">
        <f t="shared" si="1"/>
        <v/>
      </c>
      <c r="O95" s="38"/>
      <c r="P95" s="41"/>
      <c r="Q95" s="38"/>
      <c r="R95" s="38"/>
      <c r="S95" s="38"/>
      <c r="T95" s="38"/>
      <c r="U95" s="38"/>
    </row>
    <row r="96" spans="1:21">
      <c r="A96" s="43" t="str">
        <f>_xlfn.TEXTJOIN("",TRUE,Input!$B$2,ROW(My_Audit!A95))</f>
        <v>XX95</v>
      </c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43" t="str">
        <f t="shared" si="1"/>
        <v/>
      </c>
      <c r="O96" s="38"/>
      <c r="P96" s="41"/>
      <c r="Q96" s="38"/>
      <c r="R96" s="38"/>
      <c r="S96" s="38"/>
      <c r="T96" s="38"/>
      <c r="U96" s="38"/>
    </row>
    <row r="97" spans="1:21">
      <c r="A97" s="43" t="str">
        <f>_xlfn.TEXTJOIN("",TRUE,Input!$B$2,ROW(My_Audit!A96))</f>
        <v>XX96</v>
      </c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43" t="str">
        <f t="shared" si="1"/>
        <v/>
      </c>
      <c r="O97" s="38"/>
      <c r="P97" s="41"/>
      <c r="Q97" s="38"/>
      <c r="R97" s="38"/>
      <c r="S97" s="38"/>
      <c r="T97" s="38"/>
      <c r="U97" s="38"/>
    </row>
    <row r="98" spans="1:21">
      <c r="A98" s="43" t="str">
        <f>_xlfn.TEXTJOIN("",TRUE,Input!$B$2,ROW(My_Audit!A97))</f>
        <v>XX97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43" t="str">
        <f t="shared" si="1"/>
        <v/>
      </c>
      <c r="O98" s="38"/>
      <c r="P98" s="41"/>
      <c r="Q98" s="38"/>
      <c r="R98" s="38"/>
      <c r="S98" s="38"/>
      <c r="T98" s="38"/>
      <c r="U98" s="38"/>
    </row>
    <row r="99" spans="1:21">
      <c r="A99" s="43" t="str">
        <f>_xlfn.TEXTJOIN("",TRUE,Input!$B$2,ROW(My_Audit!A98))</f>
        <v>XX98</v>
      </c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43" t="str">
        <f t="shared" si="1"/>
        <v/>
      </c>
      <c r="O99" s="38"/>
      <c r="P99" s="41"/>
      <c r="Q99" s="38"/>
      <c r="R99" s="38"/>
      <c r="S99" s="38"/>
      <c r="T99" s="38"/>
      <c r="U99" s="38"/>
    </row>
    <row r="100" spans="1:21">
      <c r="A100" s="43" t="str">
        <f>_xlfn.TEXTJOIN("",TRUE,Input!$B$2,ROW(My_Audit!A99))</f>
        <v>XX99</v>
      </c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43" t="str">
        <f t="shared" si="1"/>
        <v/>
      </c>
      <c r="O100" s="38"/>
      <c r="P100" s="41"/>
      <c r="Q100" s="38"/>
      <c r="R100" s="38"/>
      <c r="S100" s="38"/>
      <c r="T100" s="38"/>
      <c r="U100" s="38"/>
    </row>
    <row r="101" spans="1:21">
      <c r="A101" s="43" t="str">
        <f>_xlfn.TEXTJOIN("",TRUE,Input!$B$2,ROW(My_Audit!A100))</f>
        <v>XX100</v>
      </c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43" t="str">
        <f t="shared" si="1"/>
        <v/>
      </c>
      <c r="O101" s="38"/>
      <c r="P101" s="41"/>
      <c r="Q101" s="38"/>
      <c r="R101" s="38"/>
      <c r="S101" s="38"/>
      <c r="T101" s="38"/>
      <c r="U101" s="38"/>
    </row>
    <row r="102" spans="1:21">
      <c r="A102" s="43" t="str">
        <f>_xlfn.TEXTJOIN("",TRUE,Input!$B$2,ROW(My_Audit!A101))</f>
        <v>XX101</v>
      </c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43" t="str">
        <f t="shared" si="1"/>
        <v/>
      </c>
      <c r="O102" s="38"/>
      <c r="P102" s="41"/>
      <c r="Q102" s="38"/>
      <c r="R102" s="38"/>
      <c r="S102" s="38"/>
      <c r="T102" s="38"/>
      <c r="U102" s="38"/>
    </row>
    <row r="103" spans="1:21">
      <c r="A103" s="43" t="str">
        <f>_xlfn.TEXTJOIN("",TRUE,Input!$B$2,ROW(My_Audit!A102))</f>
        <v>XX102</v>
      </c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43" t="str">
        <f t="shared" si="1"/>
        <v/>
      </c>
      <c r="O103" s="38"/>
      <c r="P103" s="41"/>
      <c r="Q103" s="38"/>
      <c r="R103" s="38"/>
      <c r="S103" s="38"/>
      <c r="T103" s="38"/>
      <c r="U103" s="38"/>
    </row>
    <row r="104" spans="1:21">
      <c r="A104" s="43" t="str">
        <f>_xlfn.TEXTJOIN("",TRUE,Input!$B$2,ROW(My_Audit!A103))</f>
        <v>XX103</v>
      </c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43" t="str">
        <f t="shared" si="1"/>
        <v/>
      </c>
      <c r="O104" s="38"/>
      <c r="P104" s="41"/>
      <c r="Q104" s="38"/>
      <c r="R104" s="38"/>
      <c r="S104" s="38"/>
      <c r="T104" s="38"/>
      <c r="U104" s="38"/>
    </row>
    <row r="105" spans="1:21">
      <c r="A105" s="43" t="str">
        <f>_xlfn.TEXTJOIN("",TRUE,Input!$B$2,ROW(My_Audit!A104))</f>
        <v>XX104</v>
      </c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43" t="str">
        <f t="shared" si="1"/>
        <v/>
      </c>
      <c r="O105" s="38"/>
      <c r="P105" s="41"/>
      <c r="Q105" s="38"/>
      <c r="R105" s="38"/>
      <c r="S105" s="38"/>
      <c r="T105" s="38"/>
      <c r="U105" s="38"/>
    </row>
    <row r="106" spans="1:21">
      <c r="A106" s="43" t="str">
        <f>_xlfn.TEXTJOIN("",TRUE,Input!$B$2,ROW(My_Audit!A105))</f>
        <v>XX105</v>
      </c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43" t="str">
        <f t="shared" si="1"/>
        <v/>
      </c>
      <c r="O106" s="38"/>
      <c r="P106" s="41"/>
      <c r="Q106" s="38"/>
      <c r="R106" s="38"/>
      <c r="S106" s="38"/>
      <c r="T106" s="38"/>
      <c r="U106" s="38"/>
    </row>
    <row r="107" spans="1:21">
      <c r="A107" s="43" t="str">
        <f>_xlfn.TEXTJOIN("",TRUE,Input!$B$2,ROW(My_Audit!A106))</f>
        <v>XX106</v>
      </c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43" t="str">
        <f t="shared" si="1"/>
        <v/>
      </c>
      <c r="O107" s="38"/>
      <c r="P107" s="41"/>
      <c r="Q107" s="38"/>
      <c r="R107" s="38"/>
      <c r="S107" s="38"/>
      <c r="T107" s="38"/>
      <c r="U107" s="38"/>
    </row>
    <row r="108" spans="1:21">
      <c r="A108" s="43" t="str">
        <f>_xlfn.TEXTJOIN("",TRUE,Input!$B$2,ROW(My_Audit!A107))</f>
        <v>XX107</v>
      </c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43" t="str">
        <f t="shared" si="1"/>
        <v/>
      </c>
      <c r="O108" s="38"/>
      <c r="P108" s="41"/>
      <c r="Q108" s="38"/>
      <c r="R108" s="38"/>
      <c r="S108" s="38"/>
      <c r="T108" s="38"/>
      <c r="U108" s="38"/>
    </row>
    <row r="109" spans="1:21">
      <c r="A109" s="43" t="str">
        <f>_xlfn.TEXTJOIN("",TRUE,Input!$B$2,ROW(My_Audit!A108))</f>
        <v>XX108</v>
      </c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43" t="str">
        <f t="shared" si="1"/>
        <v/>
      </c>
      <c r="O109" s="38"/>
      <c r="P109" s="41"/>
      <c r="Q109" s="38"/>
      <c r="R109" s="38"/>
      <c r="S109" s="38"/>
      <c r="T109" s="38"/>
      <c r="U109" s="38"/>
    </row>
    <row r="110" spans="1:21">
      <c r="A110" s="43" t="str">
        <f>_xlfn.TEXTJOIN("",TRUE,Input!$B$2,ROW(My_Audit!A109))</f>
        <v>XX109</v>
      </c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43" t="str">
        <f t="shared" si="1"/>
        <v/>
      </c>
      <c r="O110" s="38"/>
      <c r="P110" s="41"/>
      <c r="Q110" s="38"/>
      <c r="R110" s="38"/>
      <c r="S110" s="38"/>
      <c r="T110" s="38"/>
      <c r="U110" s="38"/>
    </row>
    <row r="111" spans="1:21">
      <c r="A111" s="43" t="str">
        <f>_xlfn.TEXTJOIN("",TRUE,Input!$B$2,ROW(My_Audit!A110))</f>
        <v>XX110</v>
      </c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43" t="str">
        <f t="shared" si="1"/>
        <v/>
      </c>
      <c r="O111" s="38"/>
      <c r="P111" s="41"/>
      <c r="Q111" s="38"/>
      <c r="R111" s="38"/>
      <c r="S111" s="38"/>
      <c r="T111" s="38"/>
      <c r="U111" s="38"/>
    </row>
    <row r="112" spans="1:21">
      <c r="A112" s="43" t="str">
        <f>_xlfn.TEXTJOIN("",TRUE,Input!$B$2,ROW(My_Audit!A111))</f>
        <v>XX111</v>
      </c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43" t="str">
        <f t="shared" si="1"/>
        <v/>
      </c>
      <c r="O112" s="38"/>
      <c r="P112" s="41"/>
      <c r="Q112" s="38"/>
      <c r="R112" s="38"/>
      <c r="S112" s="38"/>
      <c r="T112" s="38"/>
      <c r="U112" s="38"/>
    </row>
    <row r="113" spans="1:21">
      <c r="A113" s="43" t="str">
        <f>_xlfn.TEXTJOIN("",TRUE,Input!$B$2,ROW(My_Audit!A112))</f>
        <v>XX112</v>
      </c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43" t="str">
        <f t="shared" si="1"/>
        <v/>
      </c>
      <c r="O113" s="38"/>
      <c r="P113" s="41"/>
      <c r="Q113" s="38"/>
      <c r="R113" s="38"/>
      <c r="S113" s="38"/>
      <c r="T113" s="38"/>
      <c r="U113" s="38"/>
    </row>
    <row r="114" spans="1:21">
      <c r="A114" s="43" t="str">
        <f>_xlfn.TEXTJOIN("",TRUE,Input!$B$2,ROW(My_Audit!A113))</f>
        <v>XX113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43" t="str">
        <f t="shared" si="1"/>
        <v/>
      </c>
      <c r="O114" s="38"/>
      <c r="P114" s="41"/>
      <c r="Q114" s="38"/>
      <c r="R114" s="38"/>
      <c r="S114" s="38"/>
      <c r="T114" s="38"/>
      <c r="U114" s="38"/>
    </row>
    <row r="115" spans="1:21">
      <c r="A115" s="43" t="str">
        <f>_xlfn.TEXTJOIN("",TRUE,Input!$B$2,ROW(My_Audit!A114))</f>
        <v>XX114</v>
      </c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43" t="str">
        <f t="shared" si="1"/>
        <v/>
      </c>
      <c r="O115" s="38"/>
      <c r="P115" s="41"/>
      <c r="Q115" s="38"/>
      <c r="R115" s="38"/>
      <c r="S115" s="38"/>
      <c r="T115" s="38"/>
      <c r="U115" s="38"/>
    </row>
    <row r="116" spans="1:21">
      <c r="A116" s="43" t="str">
        <f>_xlfn.TEXTJOIN("",TRUE,Input!$B$2,ROW(My_Audit!A115))</f>
        <v>XX115</v>
      </c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43" t="str">
        <f t="shared" si="1"/>
        <v/>
      </c>
      <c r="O116" s="38"/>
      <c r="P116" s="41"/>
      <c r="Q116" s="38"/>
      <c r="R116" s="38"/>
      <c r="S116" s="38"/>
      <c r="T116" s="38"/>
      <c r="U116" s="38"/>
    </row>
    <row r="117" spans="1:21">
      <c r="A117" s="43" t="str">
        <f>_xlfn.TEXTJOIN("",TRUE,Input!$B$2,ROW(My_Audit!A116))</f>
        <v>XX116</v>
      </c>
      <c r="D117" s="38"/>
      <c r="F117" s="38"/>
      <c r="G117" s="38"/>
      <c r="H117" s="38"/>
      <c r="I117" s="38"/>
      <c r="J117" s="38"/>
      <c r="K117" s="38"/>
      <c r="L117" s="38"/>
      <c r="M117" s="38"/>
      <c r="N117" s="43" t="str">
        <f t="shared" si="1"/>
        <v/>
      </c>
      <c r="O117" s="38"/>
      <c r="P117" s="41"/>
      <c r="Q117" s="38"/>
      <c r="R117" s="38"/>
      <c r="S117" s="38"/>
      <c r="T117" s="38"/>
      <c r="U117" s="38"/>
    </row>
    <row r="118" spans="1:21">
      <c r="A118" s="43" t="str">
        <f>_xlfn.TEXTJOIN("",TRUE,Input!$B$2,ROW(My_Audit!A117))</f>
        <v>XX117</v>
      </c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43" t="str">
        <f t="shared" si="1"/>
        <v/>
      </c>
      <c r="O118" s="38"/>
      <c r="P118" s="41"/>
      <c r="Q118" s="38"/>
      <c r="R118" s="38"/>
      <c r="S118" s="38"/>
      <c r="T118" s="38"/>
      <c r="U118" s="38"/>
    </row>
    <row r="119" spans="1:21">
      <c r="A119" s="43" t="str">
        <f>_xlfn.TEXTJOIN("",TRUE,Input!$B$2,ROW(My_Audit!A118))</f>
        <v>XX118</v>
      </c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43" t="str">
        <f t="shared" si="1"/>
        <v/>
      </c>
      <c r="O119" s="38"/>
      <c r="P119" s="41"/>
      <c r="Q119" s="38"/>
      <c r="R119" s="38"/>
      <c r="S119" s="38"/>
      <c r="T119" s="38"/>
      <c r="U119" s="38"/>
    </row>
    <row r="120" spans="1:21">
      <c r="A120" s="43" t="str">
        <f>_xlfn.TEXTJOIN("",TRUE,Input!$B$2,ROW(My_Audit!A119))</f>
        <v>XX119</v>
      </c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43" t="str">
        <f t="shared" si="1"/>
        <v/>
      </c>
      <c r="O120" s="38"/>
      <c r="P120" s="41"/>
      <c r="Q120" s="38"/>
      <c r="R120" s="38"/>
      <c r="S120" s="38"/>
      <c r="T120" s="38"/>
      <c r="U120" s="38"/>
    </row>
    <row r="121" spans="1:21">
      <c r="A121" s="43" t="str">
        <f>_xlfn.TEXTJOIN("",TRUE,Input!$B$2,ROW(My_Audit!A120))</f>
        <v>XX120</v>
      </c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43" t="str">
        <f t="shared" si="1"/>
        <v/>
      </c>
      <c r="O121" s="38"/>
      <c r="P121" s="41"/>
      <c r="Q121" s="38"/>
      <c r="R121" s="38"/>
      <c r="S121" s="38"/>
      <c r="T121" s="38"/>
      <c r="U121" s="38"/>
    </row>
    <row r="122" spans="1:21">
      <c r="A122" s="43" t="str">
        <f>_xlfn.TEXTJOIN("",TRUE,Input!$B$2,ROW(My_Audit!A121))</f>
        <v>XX121</v>
      </c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43" t="str">
        <f t="shared" si="1"/>
        <v/>
      </c>
      <c r="O122" s="38"/>
      <c r="P122" s="41"/>
      <c r="Q122" s="38"/>
      <c r="R122" s="38"/>
      <c r="S122" s="38"/>
      <c r="T122" s="38"/>
      <c r="U122" s="38"/>
    </row>
    <row r="123" spans="1:21">
      <c r="A123" s="43" t="str">
        <f>_xlfn.TEXTJOIN("",TRUE,Input!$B$2,ROW(My_Audit!A122))</f>
        <v>XX122</v>
      </c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43" t="str">
        <f t="shared" si="1"/>
        <v/>
      </c>
      <c r="O123" s="38"/>
      <c r="P123" s="41"/>
      <c r="Q123" s="38"/>
      <c r="R123" s="38"/>
      <c r="S123" s="38"/>
      <c r="T123" s="38"/>
      <c r="U123" s="38"/>
    </row>
    <row r="124" spans="1:21">
      <c r="A124" s="43" t="str">
        <f>_xlfn.TEXTJOIN("",TRUE,Input!$B$2,ROW(My_Audit!A123))</f>
        <v>XX123</v>
      </c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43" t="str">
        <f t="shared" si="1"/>
        <v/>
      </c>
      <c r="O124" s="38"/>
      <c r="P124" s="41"/>
      <c r="Q124" s="38"/>
      <c r="R124" s="38"/>
      <c r="S124" s="38"/>
      <c r="T124" s="38"/>
      <c r="U124" s="38"/>
    </row>
    <row r="125" spans="1:21">
      <c r="A125" s="43" t="str">
        <f>_xlfn.TEXTJOIN("",TRUE,Input!$B$2,ROW(My_Audit!A124))</f>
        <v>XX124</v>
      </c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43" t="str">
        <f t="shared" si="1"/>
        <v/>
      </c>
      <c r="O125" s="38"/>
      <c r="P125" s="41"/>
      <c r="Q125" s="38"/>
      <c r="R125" s="38"/>
      <c r="S125" s="38"/>
      <c r="T125" s="38"/>
      <c r="U125" s="38"/>
    </row>
    <row r="126" spans="1:21">
      <c r="A126" s="43" t="str">
        <f>_xlfn.TEXTJOIN("",TRUE,Input!$B$2,ROW(My_Audit!A125))</f>
        <v>XX125</v>
      </c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43" t="str">
        <f t="shared" si="1"/>
        <v/>
      </c>
      <c r="O126" s="38"/>
      <c r="P126" s="41"/>
      <c r="Q126" s="38"/>
      <c r="R126" s="38"/>
      <c r="S126" s="38"/>
      <c r="T126" s="38"/>
      <c r="U126" s="38"/>
    </row>
    <row r="127" spans="1:21">
      <c r="A127" s="43" t="str">
        <f>_xlfn.TEXTJOIN("",TRUE,Input!$B$2,ROW(My_Audit!A126))</f>
        <v>XX126</v>
      </c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43" t="str">
        <f t="shared" si="1"/>
        <v/>
      </c>
      <c r="O127" s="38"/>
      <c r="P127" s="41"/>
      <c r="Q127" s="38"/>
      <c r="R127" s="38"/>
      <c r="S127" s="38"/>
      <c r="T127" s="38"/>
      <c r="U127" s="38"/>
    </row>
    <row r="128" spans="1:21">
      <c r="A128" s="43" t="str">
        <f>_xlfn.TEXTJOIN("",TRUE,Input!$B$2,ROW(My_Audit!A127))</f>
        <v>XX127</v>
      </c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43" t="str">
        <f t="shared" si="1"/>
        <v/>
      </c>
      <c r="O128" s="38"/>
      <c r="P128" s="41"/>
      <c r="Q128" s="38"/>
      <c r="R128" s="38"/>
      <c r="S128" s="38"/>
      <c r="T128" s="38"/>
      <c r="U128" s="38"/>
    </row>
    <row r="129" spans="1:21">
      <c r="A129" s="43" t="str">
        <f>_xlfn.TEXTJOIN("",TRUE,Input!$B$2,ROW(My_Audit!A128))</f>
        <v>XX128</v>
      </c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43" t="str">
        <f t="shared" si="1"/>
        <v/>
      </c>
      <c r="O129" s="38"/>
      <c r="P129" s="41"/>
      <c r="Q129" s="38"/>
      <c r="R129" s="38"/>
      <c r="S129" s="38"/>
      <c r="T129" s="38"/>
      <c r="U129" s="38"/>
    </row>
    <row r="130" spans="1:21">
      <c r="A130" s="43" t="str">
        <f>_xlfn.TEXTJOIN("",TRUE,Input!$B$2,ROW(My_Audit!A129))</f>
        <v>XX129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43" t="str">
        <f t="shared" si="1"/>
        <v/>
      </c>
      <c r="O130" s="38"/>
      <c r="P130" s="41"/>
      <c r="Q130" s="38"/>
      <c r="R130" s="38"/>
      <c r="S130" s="38"/>
      <c r="T130" s="38"/>
      <c r="U130" s="38"/>
    </row>
    <row r="131" spans="1:21">
      <c r="A131" s="43" t="str">
        <f>_xlfn.TEXTJOIN("",TRUE,Input!$B$2,ROW(My_Audit!A130))</f>
        <v>XX130</v>
      </c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43" t="str">
        <f t="shared" ref="N131:N194" si="2">_xlfn.TEXTJOIN(", ",TRUE, L131, M131)</f>
        <v/>
      </c>
      <c r="O131" s="38"/>
      <c r="P131" s="41"/>
      <c r="Q131" s="38"/>
      <c r="R131" s="38"/>
      <c r="S131" s="38"/>
      <c r="T131" s="38"/>
      <c r="U131" s="38"/>
    </row>
    <row r="132" spans="1:21">
      <c r="A132" s="43" t="str">
        <f>_xlfn.TEXTJOIN("",TRUE,Input!$B$2,ROW(My_Audit!A131))</f>
        <v>XX131</v>
      </c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43" t="str">
        <f t="shared" si="2"/>
        <v/>
      </c>
      <c r="O132" s="38"/>
      <c r="P132" s="41"/>
      <c r="Q132" s="38"/>
      <c r="R132" s="38"/>
      <c r="S132" s="38"/>
      <c r="T132" s="38"/>
      <c r="U132" s="38"/>
    </row>
    <row r="133" spans="1:21">
      <c r="A133" s="43" t="str">
        <f>_xlfn.TEXTJOIN("",TRUE,Input!$B$2,ROW(My_Audit!A132))</f>
        <v>XX132</v>
      </c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43" t="str">
        <f t="shared" si="2"/>
        <v/>
      </c>
      <c r="O133" s="38"/>
      <c r="P133" s="41"/>
      <c r="Q133" s="38"/>
      <c r="R133" s="38"/>
      <c r="S133" s="38"/>
      <c r="T133" s="38"/>
      <c r="U133" s="38"/>
    </row>
    <row r="134" spans="1:21">
      <c r="A134" s="43" t="str">
        <f>_xlfn.TEXTJOIN("",TRUE,Input!$B$2,ROW(My_Audit!A133))</f>
        <v>XX133</v>
      </c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43" t="str">
        <f t="shared" si="2"/>
        <v/>
      </c>
      <c r="O134" s="38"/>
      <c r="P134" s="41"/>
      <c r="Q134" s="38"/>
      <c r="R134" s="38"/>
      <c r="S134" s="38"/>
      <c r="T134" s="38"/>
      <c r="U134" s="38"/>
    </row>
    <row r="135" spans="1:21">
      <c r="A135" s="43" t="str">
        <f>_xlfn.TEXTJOIN("",TRUE,Input!$B$2,ROW(My_Audit!A134))</f>
        <v>XX134</v>
      </c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43" t="str">
        <f t="shared" si="2"/>
        <v/>
      </c>
      <c r="O135" s="38"/>
      <c r="P135" s="41"/>
      <c r="Q135" s="38"/>
      <c r="R135" s="38"/>
      <c r="S135" s="38"/>
      <c r="T135" s="38"/>
      <c r="U135" s="38"/>
    </row>
    <row r="136" spans="1:21">
      <c r="A136" s="43" t="str">
        <f>_xlfn.TEXTJOIN("",TRUE,Input!$B$2,ROW(My_Audit!A135))</f>
        <v>XX135</v>
      </c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43" t="str">
        <f t="shared" si="2"/>
        <v/>
      </c>
      <c r="O136" s="38"/>
      <c r="P136" s="41"/>
      <c r="Q136" s="38"/>
      <c r="R136" s="38"/>
      <c r="S136" s="38"/>
      <c r="T136" s="38"/>
      <c r="U136" s="38"/>
    </row>
    <row r="137" spans="1:21">
      <c r="A137" s="43" t="str">
        <f>_xlfn.TEXTJOIN("",TRUE,Input!$B$2,ROW(My_Audit!A136))</f>
        <v>XX136</v>
      </c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43" t="str">
        <f t="shared" si="2"/>
        <v/>
      </c>
      <c r="O137" s="38"/>
      <c r="P137" s="41"/>
      <c r="Q137" s="38"/>
      <c r="R137" s="38"/>
      <c r="S137" s="38"/>
      <c r="T137" s="38"/>
      <c r="U137" s="38"/>
    </row>
    <row r="138" spans="1:21">
      <c r="A138" s="43" t="str">
        <f>_xlfn.TEXTJOIN("",TRUE,Input!$B$2,ROW(My_Audit!A137))</f>
        <v>XX137</v>
      </c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43" t="str">
        <f t="shared" si="2"/>
        <v/>
      </c>
      <c r="O138" s="38"/>
      <c r="P138" s="41"/>
      <c r="Q138" s="38"/>
      <c r="R138" s="38"/>
      <c r="S138" s="38"/>
      <c r="T138" s="38"/>
      <c r="U138" s="38"/>
    </row>
    <row r="139" spans="1:21">
      <c r="A139" s="43" t="str">
        <f>_xlfn.TEXTJOIN("",TRUE,Input!$B$2,ROW(My_Audit!A138))</f>
        <v>XX138</v>
      </c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43" t="str">
        <f t="shared" si="2"/>
        <v/>
      </c>
      <c r="O139" s="38"/>
      <c r="P139" s="41"/>
      <c r="Q139" s="38"/>
      <c r="R139" s="38"/>
      <c r="S139" s="38"/>
      <c r="T139" s="38"/>
      <c r="U139" s="38"/>
    </row>
    <row r="140" spans="1:21">
      <c r="A140" s="43" t="str">
        <f>_xlfn.TEXTJOIN("",TRUE,Input!$B$2,ROW(My_Audit!A139))</f>
        <v>XX139</v>
      </c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43" t="str">
        <f t="shared" si="2"/>
        <v/>
      </c>
      <c r="O140" s="38"/>
      <c r="P140" s="41"/>
      <c r="Q140" s="38"/>
      <c r="R140" s="38"/>
      <c r="S140" s="38"/>
      <c r="T140" s="38"/>
      <c r="U140" s="38"/>
    </row>
    <row r="141" spans="1:21">
      <c r="A141" s="43" t="str">
        <f>_xlfn.TEXTJOIN("",TRUE,Input!$B$2,ROW(My_Audit!A140))</f>
        <v>XX140</v>
      </c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43" t="str">
        <f t="shared" si="2"/>
        <v/>
      </c>
      <c r="O141" s="38"/>
      <c r="P141" s="41"/>
      <c r="Q141" s="38"/>
      <c r="R141" s="38"/>
      <c r="S141" s="38"/>
      <c r="T141" s="38"/>
      <c r="U141" s="38"/>
    </row>
    <row r="142" spans="1:21">
      <c r="A142" s="43" t="str">
        <f>_xlfn.TEXTJOIN("",TRUE,Input!$B$2,ROW(My_Audit!A141))</f>
        <v>XX141</v>
      </c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43" t="str">
        <f t="shared" si="2"/>
        <v/>
      </c>
      <c r="O142" s="38"/>
      <c r="P142" s="41"/>
      <c r="Q142" s="38"/>
      <c r="R142" s="38"/>
      <c r="S142" s="38"/>
      <c r="T142" s="38"/>
      <c r="U142" s="38"/>
    </row>
    <row r="143" spans="1:21">
      <c r="A143" s="43" t="str">
        <f>_xlfn.TEXTJOIN("",TRUE,Input!$B$2,ROW(My_Audit!A142))</f>
        <v>XX142</v>
      </c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43" t="str">
        <f t="shared" si="2"/>
        <v/>
      </c>
      <c r="O143" s="38"/>
      <c r="P143" s="41"/>
      <c r="Q143" s="38"/>
      <c r="R143" s="38"/>
      <c r="S143" s="38"/>
      <c r="T143" s="38"/>
      <c r="U143" s="38"/>
    </row>
    <row r="144" spans="1:21">
      <c r="A144" s="43" t="str">
        <f>_xlfn.TEXTJOIN("",TRUE,Input!$B$2,ROW(My_Audit!A143))</f>
        <v>XX143</v>
      </c>
      <c r="B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43" t="str">
        <f t="shared" si="2"/>
        <v/>
      </c>
      <c r="O144" s="38"/>
      <c r="P144" s="41"/>
      <c r="Q144" s="38"/>
      <c r="R144" s="38"/>
      <c r="S144" s="38"/>
      <c r="T144" s="38"/>
      <c r="U144" s="38"/>
    </row>
    <row r="145" spans="1:21">
      <c r="A145" s="43" t="str">
        <f>_xlfn.TEXTJOIN("",TRUE,Input!$B$2,ROW(My_Audit!A144))</f>
        <v>XX144</v>
      </c>
      <c r="B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43" t="str">
        <f t="shared" si="2"/>
        <v/>
      </c>
      <c r="O145" s="38"/>
      <c r="P145" s="41"/>
      <c r="Q145" s="38"/>
      <c r="R145" s="38"/>
      <c r="S145" s="38"/>
      <c r="T145" s="38"/>
      <c r="U145" s="38"/>
    </row>
    <row r="146" spans="1:21">
      <c r="A146" s="43" t="str">
        <f>_xlfn.TEXTJOIN("",TRUE,Input!$B$2,ROW(My_Audit!A145))</f>
        <v>XX145</v>
      </c>
      <c r="B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43" t="str">
        <f t="shared" si="2"/>
        <v/>
      </c>
      <c r="O146" s="38"/>
      <c r="P146" s="41"/>
      <c r="Q146" s="38"/>
      <c r="R146" s="38"/>
      <c r="S146" s="38"/>
      <c r="T146" s="38"/>
      <c r="U146" s="38"/>
    </row>
    <row r="147" spans="1:21">
      <c r="A147" s="43" t="str">
        <f>_xlfn.TEXTJOIN("",TRUE,Input!$B$2,ROW(My_Audit!A146))</f>
        <v>XX146</v>
      </c>
      <c r="B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43" t="str">
        <f t="shared" si="2"/>
        <v/>
      </c>
      <c r="O147" s="38"/>
      <c r="P147" s="41"/>
      <c r="Q147" s="38"/>
      <c r="R147" s="38"/>
      <c r="S147" s="38"/>
      <c r="T147" s="38"/>
      <c r="U147" s="38"/>
    </row>
    <row r="148" spans="1:21">
      <c r="A148" s="43" t="str">
        <f>_xlfn.TEXTJOIN("",TRUE,Input!$B$2,ROW(My_Audit!A147))</f>
        <v>XX147</v>
      </c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43" t="str">
        <f t="shared" si="2"/>
        <v/>
      </c>
      <c r="O148" s="38"/>
      <c r="P148" s="41"/>
      <c r="Q148" s="38"/>
      <c r="R148" s="38"/>
      <c r="S148" s="38"/>
      <c r="T148" s="38"/>
      <c r="U148" s="38"/>
    </row>
    <row r="149" spans="1:21">
      <c r="A149" s="43" t="str">
        <f>_xlfn.TEXTJOIN("",TRUE,Input!$B$2,ROW(My_Audit!A148))</f>
        <v>XX148</v>
      </c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43" t="str">
        <f t="shared" si="2"/>
        <v/>
      </c>
      <c r="O149" s="38"/>
      <c r="P149" s="41"/>
      <c r="Q149" s="38"/>
      <c r="R149" s="38"/>
      <c r="S149" s="38"/>
      <c r="T149" s="38"/>
      <c r="U149" s="38"/>
    </row>
    <row r="150" spans="1:21">
      <c r="A150" s="43" t="str">
        <f>_xlfn.TEXTJOIN("",TRUE,Input!$B$2,ROW(My_Audit!A149))</f>
        <v>XX149</v>
      </c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43" t="str">
        <f t="shared" si="2"/>
        <v/>
      </c>
      <c r="O150" s="38"/>
      <c r="P150" s="41"/>
      <c r="Q150" s="38"/>
      <c r="R150" s="38"/>
      <c r="S150" s="38"/>
      <c r="T150" s="38"/>
      <c r="U150" s="38"/>
    </row>
    <row r="151" spans="1:21">
      <c r="A151" s="43" t="str">
        <f>_xlfn.TEXTJOIN("",TRUE,Input!$B$2,ROW(My_Audit!A150))</f>
        <v>XX150</v>
      </c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43" t="str">
        <f t="shared" si="2"/>
        <v/>
      </c>
      <c r="O151" s="38"/>
      <c r="P151" s="41"/>
      <c r="Q151" s="38"/>
      <c r="R151" s="38"/>
      <c r="S151" s="38"/>
      <c r="T151" s="38"/>
      <c r="U151" s="38"/>
    </row>
    <row r="152" spans="1:21">
      <c r="A152" s="43" t="str">
        <f>_xlfn.TEXTJOIN("",TRUE,Input!$B$2,ROW(My_Audit!A151))</f>
        <v>XX151</v>
      </c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43" t="str">
        <f t="shared" si="2"/>
        <v/>
      </c>
      <c r="O152" s="38"/>
      <c r="P152" s="41"/>
      <c r="Q152" s="38"/>
      <c r="R152" s="38"/>
      <c r="S152" s="38"/>
      <c r="T152" s="38"/>
      <c r="U152" s="38"/>
    </row>
    <row r="153" spans="1:21">
      <c r="A153" s="43" t="str">
        <f>_xlfn.TEXTJOIN("",TRUE,Input!$B$2,ROW(My_Audit!A152))</f>
        <v>XX152</v>
      </c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43" t="str">
        <f t="shared" si="2"/>
        <v/>
      </c>
      <c r="O153" s="38"/>
      <c r="P153" s="41"/>
      <c r="Q153" s="38"/>
      <c r="R153" s="38"/>
      <c r="S153" s="38"/>
      <c r="T153" s="38"/>
      <c r="U153" s="38"/>
    </row>
    <row r="154" spans="1:21">
      <c r="A154" s="43" t="str">
        <f>_xlfn.TEXTJOIN("",TRUE,Input!$B$2,ROW(My_Audit!A153))</f>
        <v>XX153</v>
      </c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43" t="str">
        <f t="shared" si="2"/>
        <v/>
      </c>
      <c r="O154" s="38"/>
      <c r="P154" s="41"/>
      <c r="Q154" s="38"/>
      <c r="R154" s="38"/>
      <c r="S154" s="38"/>
      <c r="T154" s="38"/>
      <c r="U154" s="38"/>
    </row>
    <row r="155" spans="1:21">
      <c r="A155" s="43" t="str">
        <f>_xlfn.TEXTJOIN("",TRUE,Input!$B$2,ROW(My_Audit!A154))</f>
        <v>XX154</v>
      </c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43" t="str">
        <f t="shared" si="2"/>
        <v/>
      </c>
      <c r="O155" s="38"/>
      <c r="P155" s="41"/>
      <c r="Q155" s="38"/>
      <c r="R155" s="38"/>
      <c r="S155" s="38"/>
      <c r="T155" s="38"/>
      <c r="U155" s="38"/>
    </row>
    <row r="156" spans="1:21">
      <c r="A156" s="43" t="str">
        <f>_xlfn.TEXTJOIN("",TRUE,Input!$B$2,ROW(My_Audit!A155))</f>
        <v>XX155</v>
      </c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43" t="str">
        <f t="shared" si="2"/>
        <v/>
      </c>
      <c r="O156" s="38"/>
      <c r="P156" s="41"/>
      <c r="Q156" s="38"/>
      <c r="R156" s="38"/>
      <c r="S156" s="38"/>
      <c r="T156" s="38"/>
      <c r="U156" s="38"/>
    </row>
    <row r="157" spans="1:21">
      <c r="A157" s="43" t="str">
        <f>_xlfn.TEXTJOIN("",TRUE,Input!$B$2,ROW(My_Audit!A156))</f>
        <v>XX156</v>
      </c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43" t="str">
        <f t="shared" si="2"/>
        <v/>
      </c>
      <c r="O157" s="38"/>
      <c r="P157" s="41"/>
      <c r="Q157" s="38"/>
      <c r="R157" s="38"/>
      <c r="S157" s="38"/>
      <c r="T157" s="38"/>
      <c r="U157" s="38"/>
    </row>
    <row r="158" spans="1:21">
      <c r="A158" s="43" t="str">
        <f>_xlfn.TEXTJOIN("",TRUE,Input!$B$2,ROW(My_Audit!A157))</f>
        <v>XX157</v>
      </c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43" t="str">
        <f t="shared" si="2"/>
        <v/>
      </c>
      <c r="O158" s="38"/>
      <c r="P158" s="41"/>
      <c r="Q158" s="38"/>
      <c r="R158" s="38"/>
      <c r="S158" s="38"/>
      <c r="T158" s="38"/>
      <c r="U158" s="38"/>
    </row>
    <row r="159" spans="1:21">
      <c r="A159" s="43" t="str">
        <f>_xlfn.TEXTJOIN("",TRUE,Input!$B$2,ROW(My_Audit!A158))</f>
        <v>XX158</v>
      </c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43" t="str">
        <f t="shared" si="2"/>
        <v/>
      </c>
      <c r="O159" s="38"/>
      <c r="P159" s="41"/>
      <c r="Q159" s="38"/>
      <c r="R159" s="38"/>
      <c r="S159" s="38"/>
      <c r="T159" s="38"/>
      <c r="U159" s="38"/>
    </row>
    <row r="160" spans="1:21">
      <c r="A160" s="43" t="str">
        <f>_xlfn.TEXTJOIN("",TRUE,Input!$B$2,ROW(My_Audit!A159))</f>
        <v>XX159</v>
      </c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43" t="str">
        <f t="shared" si="2"/>
        <v/>
      </c>
      <c r="O160" s="38"/>
      <c r="P160" s="41"/>
      <c r="Q160" s="38"/>
      <c r="R160" s="38"/>
      <c r="S160" s="38"/>
      <c r="T160" s="38"/>
      <c r="U160" s="38"/>
    </row>
    <row r="161" spans="1:21">
      <c r="A161" s="43" t="str">
        <f>_xlfn.TEXTJOIN("",TRUE,Input!$B$2,ROW(My_Audit!A160))</f>
        <v>XX160</v>
      </c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43" t="str">
        <f t="shared" si="2"/>
        <v/>
      </c>
      <c r="O161" s="38"/>
      <c r="P161" s="41"/>
      <c r="Q161" s="38"/>
      <c r="R161" s="38"/>
      <c r="S161" s="38"/>
      <c r="T161" s="38"/>
      <c r="U161" s="38"/>
    </row>
    <row r="162" spans="1:21">
      <c r="A162" s="43" t="str">
        <f>_xlfn.TEXTJOIN("",TRUE,Input!$B$2,ROW(My_Audit!A161))</f>
        <v>XX161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43" t="str">
        <f t="shared" si="2"/>
        <v/>
      </c>
      <c r="O162" s="38"/>
      <c r="P162" s="41"/>
      <c r="Q162" s="38"/>
      <c r="R162" s="38"/>
      <c r="S162" s="38"/>
      <c r="T162" s="38"/>
      <c r="U162" s="38"/>
    </row>
    <row r="163" spans="1:21">
      <c r="A163" s="43" t="str">
        <f>_xlfn.TEXTJOIN("",TRUE,Input!$B$2,ROW(My_Audit!A162))</f>
        <v>XX162</v>
      </c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43" t="str">
        <f t="shared" si="2"/>
        <v/>
      </c>
      <c r="O163" s="38"/>
      <c r="P163" s="41"/>
      <c r="Q163" s="38"/>
      <c r="R163" s="38"/>
      <c r="S163" s="38"/>
      <c r="T163" s="38"/>
      <c r="U163" s="38"/>
    </row>
    <row r="164" spans="1:21">
      <c r="A164" s="43" t="str">
        <f>_xlfn.TEXTJOIN("",TRUE,Input!$B$2,ROW(My_Audit!A163))</f>
        <v>XX163</v>
      </c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43" t="str">
        <f t="shared" si="2"/>
        <v/>
      </c>
      <c r="O164" s="38"/>
      <c r="P164" s="41"/>
      <c r="Q164" s="38"/>
      <c r="R164" s="38"/>
      <c r="S164" s="38"/>
      <c r="T164" s="38"/>
      <c r="U164" s="38"/>
    </row>
    <row r="165" spans="1:21">
      <c r="A165" s="43" t="str">
        <f>_xlfn.TEXTJOIN("",TRUE,Input!$B$2,ROW(My_Audit!A164))</f>
        <v>XX164</v>
      </c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43" t="str">
        <f t="shared" si="2"/>
        <v/>
      </c>
      <c r="O165" s="38"/>
      <c r="P165" s="41"/>
      <c r="Q165" s="38"/>
      <c r="R165" s="38"/>
      <c r="S165" s="38"/>
      <c r="T165" s="38"/>
      <c r="U165" s="38"/>
    </row>
    <row r="166" spans="1:21">
      <c r="A166" s="43" t="str">
        <f>_xlfn.TEXTJOIN("",TRUE,Input!$B$2,ROW(My_Audit!A165))</f>
        <v>XX165</v>
      </c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43" t="str">
        <f t="shared" si="2"/>
        <v/>
      </c>
      <c r="O166" s="38"/>
      <c r="P166" s="41"/>
      <c r="Q166" s="38"/>
      <c r="R166" s="38"/>
      <c r="S166" s="38"/>
      <c r="T166" s="38"/>
      <c r="U166" s="38"/>
    </row>
    <row r="167" spans="1:21">
      <c r="A167" s="43" t="str">
        <f>_xlfn.TEXTJOIN("",TRUE,Input!$B$2,ROW(My_Audit!A166))</f>
        <v>XX166</v>
      </c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43" t="str">
        <f t="shared" si="2"/>
        <v/>
      </c>
      <c r="O167" s="38"/>
      <c r="P167" s="41"/>
      <c r="Q167" s="38"/>
      <c r="R167" s="38"/>
      <c r="S167" s="38"/>
      <c r="T167" s="38"/>
      <c r="U167" s="38"/>
    </row>
    <row r="168" spans="1:21">
      <c r="A168" s="43" t="str">
        <f>_xlfn.TEXTJOIN("",TRUE,Input!$B$2,ROW(My_Audit!A167))</f>
        <v>XX167</v>
      </c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43" t="str">
        <f t="shared" si="2"/>
        <v/>
      </c>
      <c r="O168" s="38"/>
      <c r="P168" s="41"/>
      <c r="Q168" s="38"/>
      <c r="R168" s="38"/>
      <c r="S168" s="38"/>
      <c r="T168" s="38"/>
      <c r="U168" s="38"/>
    </row>
    <row r="169" spans="1:21">
      <c r="A169" s="43" t="str">
        <f>_xlfn.TEXTJOIN("",TRUE,Input!$B$2,ROW(My_Audit!A168))</f>
        <v>XX168</v>
      </c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N169" s="43" t="str">
        <f t="shared" si="2"/>
        <v/>
      </c>
      <c r="O169" s="38"/>
      <c r="P169" s="41"/>
      <c r="Q169" s="38"/>
      <c r="R169" s="38"/>
      <c r="S169" s="38"/>
      <c r="T169" s="38"/>
      <c r="U169" s="38"/>
    </row>
    <row r="170" spans="1:21">
      <c r="A170" s="43" t="str">
        <f>_xlfn.TEXTJOIN("",TRUE,Input!$B$2,ROW(My_Audit!A169))</f>
        <v>XX169</v>
      </c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43" t="str">
        <f t="shared" si="2"/>
        <v/>
      </c>
      <c r="O170" s="38"/>
      <c r="P170" s="41"/>
      <c r="Q170" s="38"/>
      <c r="R170" s="38"/>
      <c r="S170" s="38"/>
      <c r="T170" s="38"/>
      <c r="U170" s="38"/>
    </row>
    <row r="171" spans="1:21">
      <c r="A171" s="43" t="str">
        <f>_xlfn.TEXTJOIN("",TRUE,Input!$B$2,ROW(My_Audit!A170))</f>
        <v>XX170</v>
      </c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43" t="str">
        <f t="shared" si="2"/>
        <v/>
      </c>
      <c r="O171" s="38"/>
      <c r="P171" s="41"/>
      <c r="Q171" s="38"/>
      <c r="R171" s="38"/>
      <c r="S171" s="38"/>
      <c r="T171" s="38"/>
      <c r="U171" s="38"/>
    </row>
    <row r="172" spans="1:21">
      <c r="A172" s="43" t="str">
        <f>_xlfn.TEXTJOIN("",TRUE,Input!$B$2,ROW(My_Audit!A171))</f>
        <v>XX171</v>
      </c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43" t="str">
        <f t="shared" si="2"/>
        <v/>
      </c>
      <c r="O172" s="38"/>
      <c r="P172" s="41"/>
      <c r="Q172" s="38"/>
      <c r="R172" s="38"/>
      <c r="S172" s="38"/>
      <c r="T172" s="38"/>
      <c r="U172" s="38"/>
    </row>
    <row r="173" spans="1:21">
      <c r="A173" s="43" t="str">
        <f>_xlfn.TEXTJOIN("",TRUE,Input!$B$2,ROW(My_Audit!A172))</f>
        <v>XX172</v>
      </c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43" t="str">
        <f t="shared" si="2"/>
        <v/>
      </c>
      <c r="O173" s="38"/>
      <c r="P173" s="41"/>
      <c r="Q173" s="38"/>
      <c r="R173" s="38"/>
      <c r="S173" s="38"/>
      <c r="T173" s="38"/>
      <c r="U173" s="38"/>
    </row>
    <row r="174" spans="1:21">
      <c r="A174" s="43" t="str">
        <f>_xlfn.TEXTJOIN("",TRUE,Input!$B$2,ROW(My_Audit!A173))</f>
        <v>XX173</v>
      </c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43" t="str">
        <f t="shared" si="2"/>
        <v/>
      </c>
      <c r="O174" s="38"/>
      <c r="P174" s="41"/>
      <c r="Q174" s="38"/>
      <c r="R174" s="38"/>
      <c r="S174" s="38"/>
      <c r="T174" s="38"/>
      <c r="U174" s="38"/>
    </row>
    <row r="175" spans="1:21">
      <c r="A175" s="43" t="str">
        <f>_xlfn.TEXTJOIN("",TRUE,Input!$B$2,ROW(My_Audit!A174))</f>
        <v>XX174</v>
      </c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43" t="str">
        <f t="shared" si="2"/>
        <v/>
      </c>
      <c r="O175" s="38"/>
      <c r="P175" s="41"/>
      <c r="Q175" s="38"/>
      <c r="R175" s="38"/>
      <c r="S175" s="38"/>
      <c r="T175" s="38"/>
      <c r="U175" s="38"/>
    </row>
    <row r="176" spans="1:21">
      <c r="A176" s="43" t="str">
        <f>_xlfn.TEXTJOIN("",TRUE,Input!$B$2,ROW(My_Audit!A175))</f>
        <v>XX175</v>
      </c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43" t="str">
        <f t="shared" si="2"/>
        <v/>
      </c>
      <c r="O176" s="38"/>
      <c r="P176" s="41"/>
      <c r="Q176" s="38"/>
      <c r="R176" s="38"/>
      <c r="S176" s="38"/>
      <c r="T176" s="38"/>
      <c r="U176" s="38"/>
    </row>
    <row r="177" spans="1:21">
      <c r="A177" s="43" t="str">
        <f>_xlfn.TEXTJOIN("",TRUE,Input!$B$2,ROW(My_Audit!A176))</f>
        <v>XX176</v>
      </c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43" t="str">
        <f t="shared" si="2"/>
        <v/>
      </c>
      <c r="O177" s="38"/>
      <c r="P177" s="41"/>
      <c r="Q177" s="38"/>
      <c r="R177" s="38"/>
      <c r="S177" s="38"/>
      <c r="T177" s="38"/>
      <c r="U177" s="38"/>
    </row>
    <row r="178" spans="1:21">
      <c r="A178" s="43" t="str">
        <f>_xlfn.TEXTJOIN("",TRUE,Input!$B$2,ROW(My_Audit!A177))</f>
        <v>XX177</v>
      </c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43" t="str">
        <f t="shared" si="2"/>
        <v/>
      </c>
      <c r="O178" s="38"/>
      <c r="P178" s="41"/>
      <c r="Q178" s="38"/>
      <c r="R178" s="38"/>
      <c r="S178" s="38"/>
      <c r="T178" s="38"/>
      <c r="U178" s="38"/>
    </row>
    <row r="179" spans="1:21">
      <c r="A179" s="43" t="str">
        <f>_xlfn.TEXTJOIN("",TRUE,Input!$B$2,ROW(My_Audit!A178))</f>
        <v>XX178</v>
      </c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43" t="str">
        <f t="shared" si="2"/>
        <v/>
      </c>
      <c r="O179" s="38"/>
      <c r="P179" s="41"/>
      <c r="Q179" s="38"/>
      <c r="R179" s="38"/>
      <c r="S179" s="38"/>
      <c r="T179" s="38"/>
      <c r="U179" s="38"/>
    </row>
    <row r="180" spans="1:21">
      <c r="A180" s="43" t="str">
        <f>_xlfn.TEXTJOIN("",TRUE,Input!$B$2,ROW(My_Audit!A179))</f>
        <v>XX179</v>
      </c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43" t="str">
        <f t="shared" si="2"/>
        <v/>
      </c>
      <c r="O180" s="38"/>
      <c r="P180" s="41"/>
      <c r="Q180" s="38"/>
      <c r="R180" s="38"/>
      <c r="S180" s="38"/>
      <c r="T180" s="38"/>
      <c r="U180" s="38"/>
    </row>
    <row r="181" spans="1:21">
      <c r="A181" s="43" t="str">
        <f>_xlfn.TEXTJOIN("",TRUE,Input!$B$2,ROW(My_Audit!A180))</f>
        <v>XX180</v>
      </c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43" t="str">
        <f t="shared" si="2"/>
        <v/>
      </c>
      <c r="O181" s="38"/>
      <c r="P181" s="41"/>
      <c r="Q181" s="38"/>
      <c r="R181" s="38"/>
      <c r="S181" s="38"/>
      <c r="T181" s="38"/>
      <c r="U181" s="38"/>
    </row>
    <row r="182" spans="1:21">
      <c r="A182" s="43" t="str">
        <f>_xlfn.TEXTJOIN("",TRUE,Input!$B$2,ROW(My_Audit!A181))</f>
        <v>XX181</v>
      </c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43" t="str">
        <f t="shared" si="2"/>
        <v/>
      </c>
      <c r="O182" s="38"/>
      <c r="P182" s="41"/>
      <c r="Q182" s="38"/>
      <c r="R182" s="38"/>
      <c r="S182" s="38"/>
      <c r="T182" s="38"/>
      <c r="U182" s="38"/>
    </row>
    <row r="183" spans="1:21">
      <c r="A183" s="43" t="str">
        <f>_xlfn.TEXTJOIN("",TRUE,Input!$B$2,ROW(My_Audit!A182))</f>
        <v>XX182</v>
      </c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43" t="str">
        <f t="shared" si="2"/>
        <v/>
      </c>
      <c r="O183" s="38"/>
      <c r="P183" s="41"/>
      <c r="Q183" s="38"/>
      <c r="R183" s="38"/>
      <c r="S183" s="38"/>
      <c r="T183" s="38"/>
      <c r="U183" s="38"/>
    </row>
    <row r="184" spans="1:21">
      <c r="A184" s="43" t="str">
        <f>_xlfn.TEXTJOIN("",TRUE,Input!$B$2,ROW(My_Audit!A183))</f>
        <v>XX183</v>
      </c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43" t="str">
        <f t="shared" si="2"/>
        <v/>
      </c>
      <c r="O184" s="38"/>
      <c r="P184" s="41"/>
      <c r="Q184" s="38"/>
      <c r="R184" s="38"/>
      <c r="S184" s="38"/>
      <c r="T184" s="38"/>
      <c r="U184" s="38"/>
    </row>
    <row r="185" spans="1:21">
      <c r="A185" s="43" t="str">
        <f>_xlfn.TEXTJOIN("",TRUE,Input!$B$2,ROW(My_Audit!A184))</f>
        <v>XX184</v>
      </c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43" t="str">
        <f t="shared" si="2"/>
        <v/>
      </c>
      <c r="O185" s="38"/>
      <c r="P185" s="41"/>
      <c r="Q185" s="38"/>
      <c r="R185" s="38"/>
      <c r="S185" s="38"/>
      <c r="T185" s="38"/>
      <c r="U185" s="38"/>
    </row>
    <row r="186" spans="1:21">
      <c r="A186" s="43" t="str">
        <f>_xlfn.TEXTJOIN("",TRUE,Input!$B$2,ROW(My_Audit!A185))</f>
        <v>XX185</v>
      </c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43" t="str">
        <f t="shared" si="2"/>
        <v/>
      </c>
      <c r="O186" s="38"/>
      <c r="P186" s="41"/>
      <c r="Q186" s="38"/>
      <c r="R186" s="38"/>
      <c r="S186" s="38"/>
      <c r="T186" s="38"/>
      <c r="U186" s="38"/>
    </row>
    <row r="187" spans="1:21">
      <c r="A187" s="43" t="str">
        <f>_xlfn.TEXTJOIN("",TRUE,Input!$B$2,ROW(My_Audit!A186))</f>
        <v>XX186</v>
      </c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43" t="str">
        <f t="shared" si="2"/>
        <v/>
      </c>
      <c r="O187" s="38"/>
      <c r="P187" s="41"/>
      <c r="Q187" s="38"/>
      <c r="R187" s="38"/>
      <c r="S187" s="38"/>
      <c r="T187" s="38"/>
      <c r="U187" s="38"/>
    </row>
    <row r="188" spans="1:21">
      <c r="A188" s="43" t="str">
        <f>_xlfn.TEXTJOIN("",TRUE,Input!$B$2,ROW(My_Audit!A187))</f>
        <v>XX187</v>
      </c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43" t="str">
        <f t="shared" si="2"/>
        <v/>
      </c>
      <c r="O188" s="38"/>
      <c r="P188" s="41"/>
      <c r="Q188" s="38"/>
      <c r="R188" s="38"/>
      <c r="S188" s="38"/>
      <c r="T188" s="38"/>
      <c r="U188" s="38"/>
    </row>
    <row r="189" spans="1:21">
      <c r="A189" s="43" t="str">
        <f>_xlfn.TEXTJOIN("",TRUE,Input!$B$2,ROW(My_Audit!A188))</f>
        <v>XX188</v>
      </c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43" t="str">
        <f t="shared" si="2"/>
        <v/>
      </c>
      <c r="O189" s="38"/>
      <c r="P189" s="41"/>
      <c r="Q189" s="38"/>
      <c r="R189" s="38"/>
      <c r="S189" s="38"/>
      <c r="T189" s="38"/>
      <c r="U189" s="38"/>
    </row>
    <row r="190" spans="1:21">
      <c r="A190" s="43" t="str">
        <f>_xlfn.TEXTJOIN("",TRUE,Input!$B$2,ROW(My_Audit!A189))</f>
        <v>XX189</v>
      </c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43" t="str">
        <f t="shared" si="2"/>
        <v/>
      </c>
      <c r="O190" s="38"/>
      <c r="P190" s="41"/>
      <c r="Q190" s="38"/>
      <c r="R190" s="38"/>
      <c r="S190" s="38"/>
      <c r="T190" s="38"/>
      <c r="U190" s="38"/>
    </row>
    <row r="191" spans="1:21">
      <c r="A191" s="43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43" t="str">
        <f t="shared" si="2"/>
        <v/>
      </c>
      <c r="O191" s="38"/>
      <c r="P191" s="41"/>
      <c r="Q191" s="38"/>
      <c r="R191" s="38"/>
      <c r="S191" s="38"/>
      <c r="T191" s="38"/>
      <c r="U191" s="38"/>
    </row>
    <row r="192" spans="1:21">
      <c r="A192" s="43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43" t="str">
        <f t="shared" si="2"/>
        <v/>
      </c>
      <c r="O192" s="38"/>
      <c r="P192" s="41"/>
      <c r="Q192" s="38"/>
      <c r="R192" s="38"/>
      <c r="S192" s="38"/>
      <c r="T192" s="38"/>
      <c r="U192" s="38"/>
    </row>
    <row r="193" spans="1:21">
      <c r="A193" s="43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43" t="str">
        <f t="shared" si="2"/>
        <v/>
      </c>
      <c r="O193" s="38"/>
      <c r="P193" s="41"/>
      <c r="Q193" s="38"/>
      <c r="R193" s="38"/>
      <c r="S193" s="38"/>
      <c r="T193" s="38"/>
      <c r="U193" s="38"/>
    </row>
    <row r="194" spans="1:21">
      <c r="A194" s="43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43" t="str">
        <f t="shared" si="2"/>
        <v/>
      </c>
      <c r="O194" s="38"/>
      <c r="P194" s="41"/>
      <c r="Q194" s="38"/>
      <c r="R194" s="38"/>
      <c r="S194" s="38"/>
      <c r="T194" s="38"/>
      <c r="U194" s="38"/>
    </row>
    <row r="195" spans="1:21">
      <c r="A195" s="43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43" t="str">
        <f t="shared" ref="N195:N258" si="3">_xlfn.TEXTJOIN(", ",TRUE, L195, M195)</f>
        <v/>
      </c>
      <c r="O195" s="38"/>
      <c r="P195" s="41"/>
      <c r="Q195" s="38"/>
      <c r="R195" s="38"/>
      <c r="S195" s="38"/>
      <c r="T195" s="38"/>
      <c r="U195" s="38"/>
    </row>
    <row r="196" spans="1:21">
      <c r="A196" s="43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43" t="str">
        <f t="shared" si="3"/>
        <v/>
      </c>
      <c r="O196" s="38"/>
      <c r="P196" s="41"/>
      <c r="Q196" s="38"/>
      <c r="R196" s="38"/>
      <c r="S196" s="38"/>
      <c r="T196" s="38"/>
      <c r="U196" s="38"/>
    </row>
    <row r="197" spans="1:21">
      <c r="A197" s="43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43" t="str">
        <f t="shared" si="3"/>
        <v/>
      </c>
      <c r="O197" s="38"/>
      <c r="P197" s="41"/>
      <c r="Q197" s="38"/>
      <c r="R197" s="38"/>
      <c r="S197" s="38"/>
      <c r="T197" s="38"/>
      <c r="U197" s="38"/>
    </row>
    <row r="198" spans="1:21">
      <c r="A198" s="43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43" t="str">
        <f t="shared" si="3"/>
        <v/>
      </c>
      <c r="O198" s="38"/>
      <c r="P198" s="41"/>
      <c r="Q198" s="38"/>
      <c r="R198" s="38"/>
      <c r="S198" s="38"/>
      <c r="T198" s="38"/>
      <c r="U198" s="38"/>
    </row>
    <row r="199" spans="1:21">
      <c r="A199" s="43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43" t="str">
        <f t="shared" si="3"/>
        <v/>
      </c>
      <c r="O199" s="38"/>
      <c r="P199" s="41"/>
      <c r="Q199" s="38"/>
      <c r="R199" s="38"/>
      <c r="S199" s="38"/>
      <c r="T199" s="38"/>
      <c r="U199" s="38"/>
    </row>
    <row r="200" spans="1:21">
      <c r="A200" s="43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43" t="str">
        <f t="shared" si="3"/>
        <v/>
      </c>
      <c r="O200" s="38"/>
      <c r="P200" s="41"/>
      <c r="Q200" s="38"/>
      <c r="R200" s="38"/>
      <c r="S200" s="38"/>
      <c r="T200" s="38"/>
      <c r="U200" s="38"/>
    </row>
    <row r="201" spans="1:21">
      <c r="A201" s="43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43" t="str">
        <f t="shared" si="3"/>
        <v/>
      </c>
      <c r="O201" s="38"/>
      <c r="P201" s="41"/>
      <c r="Q201" s="38"/>
      <c r="R201" s="38"/>
      <c r="S201" s="38"/>
      <c r="T201" s="38"/>
      <c r="U201" s="38"/>
    </row>
    <row r="202" spans="1:21">
      <c r="A202" s="43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43" t="str">
        <f t="shared" si="3"/>
        <v/>
      </c>
      <c r="O202" s="38"/>
      <c r="P202" s="41"/>
      <c r="Q202" s="38"/>
      <c r="R202" s="38"/>
      <c r="S202" s="38"/>
      <c r="T202" s="38"/>
      <c r="U202" s="38"/>
    </row>
    <row r="203" spans="1:21">
      <c r="A203" s="43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43" t="str">
        <f t="shared" si="3"/>
        <v/>
      </c>
      <c r="O203" s="38"/>
      <c r="P203" s="41"/>
      <c r="Q203" s="38"/>
      <c r="R203" s="38"/>
      <c r="S203" s="38"/>
      <c r="T203" s="38"/>
      <c r="U203" s="38"/>
    </row>
    <row r="204" spans="1:21">
      <c r="A204" s="43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43" t="str">
        <f t="shared" si="3"/>
        <v/>
      </c>
      <c r="O204" s="38"/>
      <c r="P204" s="41"/>
      <c r="Q204" s="38"/>
      <c r="R204" s="38"/>
      <c r="S204" s="38"/>
      <c r="T204" s="38"/>
      <c r="U204" s="38"/>
    </row>
    <row r="205" spans="1:21">
      <c r="A205" s="43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43" t="str">
        <f t="shared" si="3"/>
        <v/>
      </c>
      <c r="O205" s="38"/>
      <c r="P205" s="41"/>
      <c r="Q205" s="38"/>
      <c r="R205" s="38"/>
      <c r="S205" s="38"/>
      <c r="T205" s="38"/>
      <c r="U205" s="38"/>
    </row>
    <row r="206" spans="1:21">
      <c r="A206" s="43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43" t="str">
        <f t="shared" si="3"/>
        <v/>
      </c>
      <c r="O206" s="38"/>
      <c r="P206" s="41"/>
      <c r="Q206" s="38"/>
      <c r="R206" s="38"/>
      <c r="S206" s="38"/>
      <c r="T206" s="38"/>
      <c r="U206" s="38"/>
    </row>
    <row r="207" spans="1:21">
      <c r="A207" s="43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43" t="str">
        <f t="shared" si="3"/>
        <v/>
      </c>
      <c r="O207" s="38"/>
      <c r="P207" s="41"/>
      <c r="Q207" s="38"/>
      <c r="R207" s="38"/>
      <c r="S207" s="38"/>
      <c r="T207" s="38"/>
      <c r="U207" s="38"/>
    </row>
    <row r="208" spans="1:21">
      <c r="A208" s="43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43" t="str">
        <f t="shared" si="3"/>
        <v/>
      </c>
      <c r="O208" s="38"/>
      <c r="P208" s="41"/>
      <c r="Q208" s="38"/>
      <c r="R208" s="38"/>
      <c r="S208" s="38"/>
      <c r="T208" s="38"/>
      <c r="U208" s="38"/>
    </row>
    <row r="209" spans="1:21">
      <c r="A209" s="43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43" t="str">
        <f t="shared" si="3"/>
        <v/>
      </c>
      <c r="O209" s="38"/>
      <c r="P209" s="41"/>
      <c r="Q209" s="38"/>
      <c r="R209" s="38"/>
      <c r="S209" s="38"/>
      <c r="T209" s="38"/>
      <c r="U209" s="38"/>
    </row>
    <row r="210" spans="1:21">
      <c r="A210" s="43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43" t="str">
        <f t="shared" si="3"/>
        <v/>
      </c>
      <c r="O210" s="38"/>
      <c r="P210" s="41"/>
      <c r="Q210" s="38"/>
      <c r="R210" s="38"/>
      <c r="S210" s="38"/>
      <c r="T210" s="38"/>
      <c r="U210" s="38"/>
    </row>
    <row r="211" spans="1:21">
      <c r="A211" s="43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43" t="str">
        <f t="shared" si="3"/>
        <v/>
      </c>
      <c r="O211" s="38"/>
      <c r="P211" s="41"/>
      <c r="Q211" s="38"/>
      <c r="R211" s="38"/>
      <c r="S211" s="38"/>
      <c r="T211" s="38"/>
      <c r="U211" s="38"/>
    </row>
    <row r="212" spans="1:21">
      <c r="A212" s="43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43" t="str">
        <f t="shared" si="3"/>
        <v/>
      </c>
      <c r="O212" s="38"/>
      <c r="P212" s="41"/>
      <c r="Q212" s="38"/>
      <c r="R212" s="38"/>
      <c r="S212" s="38"/>
      <c r="T212" s="38"/>
      <c r="U212" s="38"/>
    </row>
    <row r="213" spans="1:21">
      <c r="A213" s="43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43" t="str">
        <f t="shared" si="3"/>
        <v/>
      </c>
      <c r="O213" s="38"/>
      <c r="P213" s="41"/>
      <c r="Q213" s="38"/>
      <c r="R213" s="38"/>
      <c r="S213" s="38"/>
      <c r="T213" s="38"/>
      <c r="U213" s="38"/>
    </row>
    <row r="214" spans="1:21">
      <c r="A214" s="43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43" t="str">
        <f t="shared" si="3"/>
        <v/>
      </c>
      <c r="O214" s="38"/>
      <c r="P214" s="41"/>
      <c r="Q214" s="38"/>
      <c r="R214" s="38"/>
      <c r="S214" s="38"/>
      <c r="T214" s="38"/>
      <c r="U214" s="38"/>
    </row>
    <row r="215" spans="1:21">
      <c r="A215" s="43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43" t="str">
        <f t="shared" si="3"/>
        <v/>
      </c>
      <c r="O215" s="38"/>
      <c r="P215" s="41"/>
      <c r="Q215" s="38"/>
      <c r="R215" s="38"/>
      <c r="S215" s="38"/>
      <c r="T215" s="38"/>
      <c r="U215" s="38"/>
    </row>
    <row r="216" spans="1:21">
      <c r="A216" s="43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43" t="str">
        <f t="shared" si="3"/>
        <v/>
      </c>
      <c r="O216" s="38"/>
      <c r="P216" s="41"/>
      <c r="Q216" s="38"/>
      <c r="R216" s="38"/>
      <c r="S216" s="38"/>
      <c r="T216" s="38"/>
      <c r="U216" s="38"/>
    </row>
    <row r="217" spans="1:21">
      <c r="A217" s="43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43" t="str">
        <f t="shared" si="3"/>
        <v/>
      </c>
      <c r="O217" s="38"/>
      <c r="P217" s="41"/>
      <c r="Q217" s="38"/>
      <c r="R217" s="38"/>
      <c r="S217" s="38"/>
      <c r="T217" s="38"/>
      <c r="U217" s="38"/>
    </row>
    <row r="218" spans="1:21">
      <c r="A218" s="43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43" t="str">
        <f t="shared" si="3"/>
        <v/>
      </c>
      <c r="O218" s="38"/>
      <c r="P218" s="41"/>
      <c r="Q218" s="38"/>
      <c r="R218" s="38"/>
      <c r="S218" s="38"/>
      <c r="T218" s="38"/>
      <c r="U218" s="38"/>
    </row>
    <row r="219" spans="1:21">
      <c r="A219" s="43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43" t="str">
        <f t="shared" si="3"/>
        <v/>
      </c>
      <c r="O219" s="38"/>
      <c r="P219" s="41"/>
      <c r="Q219" s="38"/>
      <c r="R219" s="38"/>
      <c r="S219" s="38"/>
      <c r="T219" s="38"/>
      <c r="U219" s="38"/>
    </row>
    <row r="220" spans="1:21">
      <c r="A220" s="43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43" t="str">
        <f t="shared" si="3"/>
        <v/>
      </c>
      <c r="O220" s="38"/>
      <c r="P220" s="41"/>
      <c r="Q220" s="38"/>
      <c r="R220" s="38"/>
      <c r="S220" s="38"/>
      <c r="T220" s="38"/>
      <c r="U220" s="38"/>
    </row>
    <row r="221" spans="1:21">
      <c r="A221" s="43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43" t="str">
        <f t="shared" si="3"/>
        <v/>
      </c>
      <c r="O221" s="38"/>
      <c r="P221" s="41"/>
      <c r="Q221" s="38"/>
      <c r="R221" s="38"/>
      <c r="S221" s="38"/>
      <c r="T221" s="38"/>
      <c r="U221" s="38"/>
    </row>
    <row r="222" spans="1:21">
      <c r="A222" s="43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43" t="str">
        <f t="shared" si="3"/>
        <v/>
      </c>
      <c r="O222" s="38"/>
      <c r="P222" s="41"/>
      <c r="Q222" s="38"/>
      <c r="R222" s="38"/>
      <c r="S222" s="38"/>
      <c r="T222" s="38"/>
      <c r="U222" s="38"/>
    </row>
    <row r="223" spans="1:21">
      <c r="A223" s="43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43" t="str">
        <f t="shared" si="3"/>
        <v/>
      </c>
      <c r="O223" s="38"/>
      <c r="P223" s="41"/>
      <c r="Q223" s="38"/>
      <c r="R223" s="38"/>
      <c r="S223" s="38"/>
      <c r="T223" s="38"/>
      <c r="U223" s="38"/>
    </row>
    <row r="224" spans="1:21">
      <c r="A224" s="43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43" t="str">
        <f t="shared" si="3"/>
        <v/>
      </c>
      <c r="O224" s="38"/>
      <c r="P224" s="41"/>
      <c r="Q224" s="38"/>
      <c r="R224" s="38"/>
      <c r="S224" s="38"/>
      <c r="T224" s="38"/>
      <c r="U224" s="38"/>
    </row>
    <row r="225" spans="1:21">
      <c r="A225" s="43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43" t="str">
        <f t="shared" si="3"/>
        <v/>
      </c>
      <c r="O225" s="38"/>
      <c r="P225" s="41"/>
      <c r="Q225" s="38"/>
      <c r="R225" s="38"/>
      <c r="S225" s="38"/>
      <c r="T225" s="38"/>
      <c r="U225" s="38"/>
    </row>
    <row r="226" spans="1:21">
      <c r="A226" s="43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43" t="str">
        <f t="shared" si="3"/>
        <v/>
      </c>
      <c r="O226" s="38"/>
      <c r="P226" s="41"/>
      <c r="Q226" s="38"/>
      <c r="R226" s="38"/>
      <c r="S226" s="38"/>
      <c r="T226" s="38"/>
      <c r="U226" s="38"/>
    </row>
    <row r="227" spans="1:21">
      <c r="A227" s="43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43" t="str">
        <f t="shared" si="3"/>
        <v/>
      </c>
      <c r="O227" s="38"/>
      <c r="P227" s="41"/>
      <c r="Q227" s="38"/>
      <c r="R227" s="38"/>
      <c r="S227" s="38"/>
      <c r="T227" s="38"/>
      <c r="U227" s="38"/>
    </row>
    <row r="228" spans="1:21">
      <c r="A228" s="43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43" t="str">
        <f t="shared" si="3"/>
        <v/>
      </c>
      <c r="O228" s="38"/>
      <c r="P228" s="41"/>
      <c r="Q228" s="38"/>
      <c r="R228" s="38"/>
      <c r="S228" s="38"/>
      <c r="T228" s="38"/>
      <c r="U228" s="38"/>
    </row>
    <row r="229" spans="1:21">
      <c r="A229" s="43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43" t="str">
        <f t="shared" si="3"/>
        <v/>
      </c>
      <c r="O229" s="38"/>
      <c r="P229" s="41"/>
      <c r="Q229" s="38"/>
      <c r="R229" s="38"/>
      <c r="S229" s="38"/>
      <c r="T229" s="38"/>
      <c r="U229" s="38"/>
    </row>
    <row r="230" spans="1:21">
      <c r="A230" s="43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43" t="str">
        <f t="shared" si="3"/>
        <v/>
      </c>
      <c r="O230" s="38"/>
      <c r="P230" s="41"/>
      <c r="Q230" s="38"/>
      <c r="R230" s="38"/>
      <c r="S230" s="38"/>
      <c r="T230" s="38"/>
      <c r="U230" s="38"/>
    </row>
    <row r="231" spans="1:21">
      <c r="A231" s="43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43" t="str">
        <f t="shared" si="3"/>
        <v/>
      </c>
      <c r="O231" s="38"/>
      <c r="P231" s="41"/>
      <c r="Q231" s="38"/>
      <c r="R231" s="38"/>
      <c r="S231" s="38"/>
      <c r="T231" s="38"/>
      <c r="U231" s="38"/>
    </row>
    <row r="232" spans="1:21">
      <c r="A232" s="43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43" t="str">
        <f t="shared" si="3"/>
        <v/>
      </c>
      <c r="O232" s="38"/>
      <c r="P232" s="41"/>
      <c r="Q232" s="38"/>
      <c r="R232" s="38"/>
      <c r="S232" s="38"/>
      <c r="T232" s="38"/>
      <c r="U232" s="38"/>
    </row>
    <row r="233" spans="1:21">
      <c r="A233" s="43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43" t="str">
        <f t="shared" si="3"/>
        <v/>
      </c>
      <c r="O233" s="38"/>
      <c r="P233" s="41"/>
      <c r="Q233" s="38"/>
      <c r="R233" s="38"/>
      <c r="S233" s="38"/>
      <c r="T233" s="38"/>
      <c r="U233" s="38"/>
    </row>
    <row r="234" spans="1:21">
      <c r="A234" s="43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43" t="str">
        <f t="shared" si="3"/>
        <v/>
      </c>
      <c r="O234" s="38"/>
      <c r="P234" s="41"/>
      <c r="Q234" s="38"/>
      <c r="R234" s="38"/>
      <c r="S234" s="38"/>
      <c r="T234" s="38"/>
      <c r="U234" s="38"/>
    </row>
    <row r="235" spans="1:21">
      <c r="A235" s="43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43" t="str">
        <f t="shared" si="3"/>
        <v/>
      </c>
      <c r="O235" s="38"/>
      <c r="P235" s="41"/>
      <c r="Q235" s="38"/>
      <c r="R235" s="38"/>
      <c r="S235" s="38"/>
      <c r="T235" s="38"/>
      <c r="U235" s="38"/>
    </row>
    <row r="236" spans="1:21">
      <c r="A236" s="43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43" t="str">
        <f t="shared" si="3"/>
        <v/>
      </c>
      <c r="O236" s="38"/>
      <c r="P236" s="41"/>
      <c r="Q236" s="38"/>
      <c r="R236" s="38"/>
      <c r="S236" s="38"/>
      <c r="T236" s="38"/>
      <c r="U236" s="38"/>
    </row>
    <row r="237" spans="1:21">
      <c r="A237" s="43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43" t="str">
        <f t="shared" si="3"/>
        <v/>
      </c>
      <c r="O237" s="38"/>
      <c r="P237" s="41"/>
      <c r="Q237" s="38"/>
      <c r="R237" s="38"/>
      <c r="S237" s="38"/>
      <c r="T237" s="38"/>
      <c r="U237" s="38"/>
    </row>
    <row r="238" spans="1:21">
      <c r="A238" s="43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43" t="str">
        <f t="shared" si="3"/>
        <v/>
      </c>
      <c r="O238" s="38"/>
      <c r="P238" s="41"/>
      <c r="Q238" s="38"/>
      <c r="R238" s="38"/>
      <c r="S238" s="38"/>
      <c r="T238" s="38"/>
      <c r="U238" s="38"/>
    </row>
    <row r="239" spans="1:21">
      <c r="A239" s="43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43" t="str">
        <f t="shared" si="3"/>
        <v/>
      </c>
      <c r="O239" s="38"/>
      <c r="P239" s="41"/>
      <c r="Q239" s="38"/>
      <c r="R239" s="38"/>
      <c r="S239" s="38"/>
      <c r="T239" s="38"/>
      <c r="U239" s="38"/>
    </row>
    <row r="240" spans="1:21">
      <c r="A240" s="43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43" t="str">
        <f t="shared" si="3"/>
        <v/>
      </c>
      <c r="O240" s="38"/>
      <c r="P240" s="41"/>
      <c r="Q240" s="38"/>
      <c r="R240" s="38"/>
      <c r="S240" s="38"/>
      <c r="T240" s="38"/>
      <c r="U240" s="38"/>
    </row>
    <row r="241" spans="1:21">
      <c r="A241" s="43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43" t="str">
        <f t="shared" si="3"/>
        <v/>
      </c>
      <c r="O241" s="38"/>
      <c r="P241" s="41"/>
      <c r="Q241" s="38"/>
      <c r="R241" s="38"/>
      <c r="S241" s="38"/>
      <c r="T241" s="38"/>
      <c r="U241" s="38"/>
    </row>
    <row r="242" spans="1:21">
      <c r="A242" s="43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43" t="str">
        <f t="shared" si="3"/>
        <v/>
      </c>
      <c r="O242" s="38"/>
      <c r="P242" s="41"/>
      <c r="Q242" s="38"/>
      <c r="R242" s="38"/>
      <c r="S242" s="38"/>
      <c r="T242" s="38"/>
      <c r="U242" s="38"/>
    </row>
    <row r="243" spans="1:21">
      <c r="A243" s="43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43" t="str">
        <f t="shared" si="3"/>
        <v/>
      </c>
      <c r="O243" s="38"/>
      <c r="P243" s="41"/>
      <c r="Q243" s="38"/>
      <c r="R243" s="38"/>
      <c r="S243" s="38"/>
      <c r="T243" s="38"/>
      <c r="U243" s="38"/>
    </row>
    <row r="244" spans="1:21">
      <c r="A244" s="43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43" t="str">
        <f t="shared" si="3"/>
        <v/>
      </c>
      <c r="O244" s="38"/>
      <c r="P244" s="41"/>
      <c r="Q244" s="38"/>
      <c r="R244" s="38"/>
      <c r="S244" s="38"/>
      <c r="T244" s="38"/>
      <c r="U244" s="38"/>
    </row>
    <row r="245" spans="1:21">
      <c r="A245" s="43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43" t="str">
        <f t="shared" si="3"/>
        <v/>
      </c>
      <c r="O245" s="38"/>
      <c r="P245" s="41"/>
      <c r="Q245" s="38"/>
      <c r="R245" s="38"/>
      <c r="S245" s="38"/>
      <c r="T245" s="38"/>
      <c r="U245" s="38"/>
    </row>
    <row r="246" spans="1:21">
      <c r="A246" s="43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43" t="str">
        <f t="shared" si="3"/>
        <v/>
      </c>
      <c r="O246" s="38"/>
      <c r="P246" s="41"/>
      <c r="Q246" s="38"/>
      <c r="R246" s="38"/>
      <c r="S246" s="38"/>
      <c r="T246" s="38"/>
      <c r="U246" s="38"/>
    </row>
    <row r="247" spans="1:21">
      <c r="A247" s="43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43" t="str">
        <f t="shared" si="3"/>
        <v/>
      </c>
      <c r="O247" s="38"/>
      <c r="P247" s="41"/>
      <c r="Q247" s="38"/>
      <c r="R247" s="38"/>
      <c r="S247" s="38"/>
      <c r="T247" s="38"/>
      <c r="U247" s="38"/>
    </row>
    <row r="248" spans="1:21">
      <c r="A248" s="43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43" t="str">
        <f t="shared" si="3"/>
        <v/>
      </c>
      <c r="O248" s="38"/>
      <c r="P248" s="41"/>
      <c r="Q248" s="38"/>
      <c r="R248" s="38"/>
      <c r="S248" s="38"/>
      <c r="T248" s="38"/>
      <c r="U248" s="38"/>
    </row>
    <row r="249" spans="1:21">
      <c r="A249" s="43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43" t="str">
        <f t="shared" si="3"/>
        <v/>
      </c>
      <c r="O249" s="38"/>
      <c r="P249" s="41"/>
      <c r="Q249" s="38"/>
      <c r="R249" s="38"/>
      <c r="S249" s="38"/>
      <c r="T249" s="38"/>
      <c r="U249" s="38"/>
    </row>
    <row r="250" spans="1:21">
      <c r="A250" s="43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43" t="str">
        <f t="shared" si="3"/>
        <v/>
      </c>
      <c r="O250" s="38"/>
      <c r="P250" s="41"/>
      <c r="Q250" s="38"/>
      <c r="R250" s="38"/>
      <c r="S250" s="38"/>
      <c r="T250" s="38"/>
      <c r="U250" s="38"/>
    </row>
    <row r="251" spans="1:21">
      <c r="A251" s="43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43" t="str">
        <f t="shared" si="3"/>
        <v/>
      </c>
      <c r="O251" s="38"/>
      <c r="P251" s="41"/>
      <c r="Q251" s="38"/>
      <c r="R251" s="38"/>
      <c r="S251" s="38"/>
      <c r="T251" s="38"/>
      <c r="U251" s="38"/>
    </row>
    <row r="252" spans="1:21">
      <c r="A252" s="43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43" t="str">
        <f t="shared" si="3"/>
        <v/>
      </c>
      <c r="O252" s="38"/>
      <c r="P252" s="41"/>
      <c r="Q252" s="38"/>
      <c r="R252" s="38"/>
      <c r="S252" s="38"/>
      <c r="T252" s="38"/>
      <c r="U252" s="38"/>
    </row>
    <row r="253" spans="1:21">
      <c r="A253" s="43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43" t="str">
        <f t="shared" si="3"/>
        <v/>
      </c>
      <c r="O253" s="38"/>
      <c r="P253" s="41"/>
      <c r="Q253" s="38"/>
      <c r="R253" s="38"/>
      <c r="S253" s="38"/>
      <c r="T253" s="38"/>
      <c r="U253" s="38"/>
    </row>
    <row r="254" spans="1:21">
      <c r="A254" s="43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43" t="str">
        <f t="shared" si="3"/>
        <v/>
      </c>
      <c r="O254" s="38"/>
      <c r="P254" s="41"/>
      <c r="Q254" s="38"/>
      <c r="R254" s="38"/>
      <c r="S254" s="38"/>
      <c r="T254" s="38"/>
      <c r="U254" s="38"/>
    </row>
    <row r="255" spans="1:21">
      <c r="A255" s="43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43" t="str">
        <f t="shared" si="3"/>
        <v/>
      </c>
      <c r="O255" s="38"/>
      <c r="P255" s="41"/>
      <c r="Q255" s="38"/>
      <c r="R255" s="38"/>
      <c r="S255" s="38"/>
      <c r="T255" s="38"/>
      <c r="U255" s="38"/>
    </row>
    <row r="256" spans="1:21">
      <c r="A256" s="43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43" t="str">
        <f t="shared" si="3"/>
        <v/>
      </c>
      <c r="O256" s="38"/>
      <c r="P256" s="41"/>
      <c r="Q256" s="38"/>
      <c r="R256" s="38"/>
      <c r="S256" s="38"/>
      <c r="T256" s="38"/>
      <c r="U256" s="38"/>
    </row>
    <row r="257" spans="1:21">
      <c r="A257" s="43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43" t="str">
        <f t="shared" si="3"/>
        <v/>
      </c>
      <c r="O257" s="38"/>
      <c r="P257" s="41"/>
      <c r="Q257" s="38"/>
      <c r="R257" s="38"/>
      <c r="S257" s="38"/>
      <c r="T257" s="38"/>
      <c r="U257" s="38"/>
    </row>
    <row r="258" spans="1:21">
      <c r="A258" s="43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43" t="str">
        <f t="shared" si="3"/>
        <v/>
      </c>
      <c r="O258" s="38"/>
      <c r="P258" s="41"/>
      <c r="Q258" s="38"/>
      <c r="R258" s="38"/>
      <c r="S258" s="38"/>
      <c r="T258" s="38"/>
      <c r="U258" s="38"/>
    </row>
    <row r="259" spans="1:21">
      <c r="A259" s="43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43" t="str">
        <f t="shared" ref="N259:N322" si="4">_xlfn.TEXTJOIN(", ",TRUE, L259, M259)</f>
        <v/>
      </c>
      <c r="O259" s="38"/>
      <c r="P259" s="41"/>
      <c r="Q259" s="38"/>
      <c r="R259" s="38"/>
      <c r="S259" s="38"/>
      <c r="T259" s="38"/>
      <c r="U259" s="38"/>
    </row>
    <row r="260" spans="1:21">
      <c r="A260" s="43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43" t="str">
        <f t="shared" si="4"/>
        <v/>
      </c>
      <c r="O260" s="38"/>
      <c r="P260" s="41"/>
      <c r="Q260" s="38"/>
      <c r="R260" s="38"/>
      <c r="S260" s="38"/>
      <c r="T260" s="38"/>
      <c r="U260" s="38"/>
    </row>
    <row r="261" spans="1:21">
      <c r="A261" s="43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43" t="str">
        <f t="shared" si="4"/>
        <v/>
      </c>
      <c r="O261" s="38"/>
      <c r="P261" s="41"/>
      <c r="Q261" s="38"/>
      <c r="R261" s="38"/>
      <c r="S261" s="38"/>
      <c r="T261" s="38"/>
      <c r="U261" s="38"/>
    </row>
    <row r="262" spans="1:21">
      <c r="A262" s="43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43" t="str">
        <f t="shared" si="4"/>
        <v/>
      </c>
      <c r="O262" s="38"/>
      <c r="P262" s="41"/>
      <c r="Q262" s="38"/>
      <c r="R262" s="38"/>
      <c r="S262" s="38"/>
      <c r="T262" s="38"/>
      <c r="U262" s="38"/>
    </row>
    <row r="263" spans="1:21">
      <c r="A263" s="43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43" t="str">
        <f t="shared" si="4"/>
        <v/>
      </c>
      <c r="O263" s="38"/>
      <c r="P263" s="41"/>
      <c r="Q263" s="38"/>
      <c r="R263" s="38"/>
      <c r="S263" s="38"/>
      <c r="T263" s="38"/>
      <c r="U263" s="38"/>
    </row>
    <row r="264" spans="1:21">
      <c r="A264" s="43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43" t="str">
        <f t="shared" si="4"/>
        <v/>
      </c>
      <c r="O264" s="38"/>
      <c r="P264" s="41"/>
      <c r="Q264" s="38"/>
      <c r="R264" s="38"/>
      <c r="S264" s="38"/>
      <c r="T264" s="38"/>
      <c r="U264" s="38"/>
    </row>
    <row r="265" spans="1:21">
      <c r="A265" s="43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43" t="str">
        <f t="shared" si="4"/>
        <v/>
      </c>
      <c r="O265" s="38"/>
      <c r="P265" s="41"/>
      <c r="Q265" s="38"/>
      <c r="R265" s="38"/>
      <c r="S265" s="38"/>
      <c r="T265" s="38"/>
      <c r="U265" s="38"/>
    </row>
    <row r="266" spans="1:21">
      <c r="A266" s="43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43" t="str">
        <f t="shared" si="4"/>
        <v/>
      </c>
      <c r="O266" s="38"/>
      <c r="P266" s="41"/>
      <c r="Q266" s="38"/>
      <c r="R266" s="38"/>
      <c r="S266" s="38"/>
      <c r="T266" s="38"/>
      <c r="U266" s="38"/>
    </row>
    <row r="267" spans="1:21">
      <c r="A267" s="43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43" t="str">
        <f t="shared" si="4"/>
        <v/>
      </c>
      <c r="O267" s="38"/>
      <c r="P267" s="41"/>
      <c r="Q267" s="38"/>
      <c r="R267" s="38"/>
      <c r="S267" s="38"/>
      <c r="T267" s="38"/>
      <c r="U267" s="38"/>
    </row>
    <row r="268" spans="1:21">
      <c r="A268" s="43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43" t="str">
        <f t="shared" si="4"/>
        <v/>
      </c>
      <c r="O268" s="38"/>
      <c r="P268" s="41"/>
      <c r="Q268" s="38"/>
      <c r="R268" s="38"/>
      <c r="S268" s="38"/>
      <c r="T268" s="38"/>
      <c r="U268" s="38"/>
    </row>
    <row r="269" spans="1:21">
      <c r="A269" s="43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43" t="str">
        <f t="shared" si="4"/>
        <v/>
      </c>
      <c r="O269" s="38"/>
      <c r="P269" s="41"/>
      <c r="Q269" s="38"/>
      <c r="R269" s="38"/>
      <c r="S269" s="38"/>
      <c r="T269" s="38"/>
      <c r="U269" s="38"/>
    </row>
    <row r="270" spans="1:21">
      <c r="A270" s="43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43" t="str">
        <f t="shared" si="4"/>
        <v/>
      </c>
      <c r="O270" s="38"/>
      <c r="P270" s="41"/>
      <c r="Q270" s="38"/>
      <c r="R270" s="38"/>
      <c r="S270" s="38"/>
      <c r="T270" s="38"/>
      <c r="U270" s="38"/>
    </row>
    <row r="271" spans="1:21">
      <c r="A271" s="43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43" t="str">
        <f t="shared" si="4"/>
        <v/>
      </c>
      <c r="O271" s="38"/>
      <c r="P271" s="41"/>
      <c r="Q271" s="38"/>
      <c r="R271" s="38"/>
      <c r="S271" s="38"/>
      <c r="T271" s="38"/>
      <c r="U271" s="38"/>
    </row>
    <row r="272" spans="1:21">
      <c r="A272" s="43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43" t="str">
        <f t="shared" si="4"/>
        <v/>
      </c>
      <c r="O272" s="38"/>
      <c r="P272" s="41"/>
      <c r="Q272" s="38"/>
      <c r="R272" s="38"/>
      <c r="S272" s="38"/>
      <c r="T272" s="38"/>
      <c r="U272" s="38"/>
    </row>
    <row r="273" spans="1:21">
      <c r="A273" s="43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43" t="str">
        <f t="shared" si="4"/>
        <v/>
      </c>
      <c r="O273" s="38"/>
      <c r="P273" s="41"/>
      <c r="Q273" s="38"/>
      <c r="R273" s="38"/>
      <c r="S273" s="38"/>
      <c r="T273" s="38"/>
      <c r="U273" s="38"/>
    </row>
    <row r="274" spans="1:21">
      <c r="A274" s="43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43" t="str">
        <f t="shared" si="4"/>
        <v/>
      </c>
      <c r="O274" s="38"/>
      <c r="P274" s="41"/>
      <c r="Q274" s="38"/>
      <c r="R274" s="38"/>
      <c r="S274" s="38"/>
      <c r="T274" s="38"/>
      <c r="U274" s="38"/>
    </row>
    <row r="275" spans="1:21">
      <c r="A275" s="43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43" t="str">
        <f t="shared" si="4"/>
        <v/>
      </c>
      <c r="O275" s="38"/>
      <c r="P275" s="41"/>
      <c r="Q275" s="38"/>
      <c r="R275" s="38"/>
      <c r="S275" s="38"/>
      <c r="T275" s="38"/>
      <c r="U275" s="38"/>
    </row>
    <row r="276" spans="1:21">
      <c r="A276" s="43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43" t="str">
        <f t="shared" si="4"/>
        <v/>
      </c>
      <c r="O276" s="38"/>
      <c r="P276" s="41"/>
      <c r="Q276" s="38"/>
      <c r="R276" s="38"/>
      <c r="S276" s="38"/>
      <c r="T276" s="38"/>
      <c r="U276" s="38"/>
    </row>
    <row r="277" spans="1:21">
      <c r="A277" s="43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43" t="str">
        <f t="shared" si="4"/>
        <v/>
      </c>
      <c r="O277" s="38"/>
      <c r="P277" s="41"/>
      <c r="Q277" s="38"/>
      <c r="R277" s="38"/>
      <c r="S277" s="38"/>
      <c r="T277" s="38"/>
      <c r="U277" s="38"/>
    </row>
    <row r="278" spans="1:21">
      <c r="A278" s="43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43" t="str">
        <f t="shared" si="4"/>
        <v/>
      </c>
      <c r="O278" s="38"/>
      <c r="P278" s="41"/>
      <c r="Q278" s="38"/>
      <c r="R278" s="38"/>
      <c r="S278" s="38"/>
      <c r="T278" s="38"/>
      <c r="U278" s="38"/>
    </row>
    <row r="279" spans="1:21">
      <c r="A279" s="43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43" t="str">
        <f t="shared" si="4"/>
        <v/>
      </c>
      <c r="O279" s="38"/>
      <c r="P279" s="41"/>
      <c r="Q279" s="38"/>
      <c r="R279" s="38"/>
      <c r="S279" s="38"/>
      <c r="T279" s="38"/>
      <c r="U279" s="38"/>
    </row>
    <row r="280" spans="1:21">
      <c r="A280" s="43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43" t="str">
        <f t="shared" si="4"/>
        <v/>
      </c>
      <c r="O280" s="38"/>
      <c r="P280" s="41"/>
      <c r="Q280" s="38"/>
      <c r="R280" s="38"/>
      <c r="S280" s="38"/>
      <c r="T280" s="38"/>
      <c r="U280" s="38"/>
    </row>
    <row r="281" spans="1:21">
      <c r="A281" s="43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43" t="str">
        <f t="shared" si="4"/>
        <v/>
      </c>
      <c r="O281" s="38"/>
      <c r="P281" s="41"/>
      <c r="Q281" s="38"/>
      <c r="R281" s="38"/>
      <c r="S281" s="38"/>
      <c r="T281" s="38"/>
      <c r="U281" s="38"/>
    </row>
    <row r="282" spans="1:21">
      <c r="A282" s="43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43" t="str">
        <f t="shared" si="4"/>
        <v/>
      </c>
      <c r="O282" s="38"/>
      <c r="P282" s="41"/>
      <c r="Q282" s="38"/>
      <c r="R282" s="38"/>
      <c r="S282" s="38"/>
      <c r="T282" s="38"/>
      <c r="U282" s="38"/>
    </row>
    <row r="283" spans="1:21">
      <c r="A283" s="43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43" t="str">
        <f t="shared" si="4"/>
        <v/>
      </c>
      <c r="O283" s="38"/>
      <c r="P283" s="41"/>
      <c r="Q283" s="38"/>
      <c r="R283" s="38"/>
      <c r="S283" s="38"/>
      <c r="T283" s="38"/>
      <c r="U283" s="38"/>
    </row>
    <row r="284" spans="1:21">
      <c r="A284" s="43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43" t="str">
        <f t="shared" si="4"/>
        <v/>
      </c>
      <c r="O284" s="38"/>
      <c r="P284" s="41"/>
      <c r="Q284" s="38"/>
      <c r="R284" s="38"/>
      <c r="S284" s="38"/>
      <c r="T284" s="38"/>
      <c r="U284" s="38"/>
    </row>
    <row r="285" spans="1:21">
      <c r="A285" s="43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43" t="str">
        <f t="shared" si="4"/>
        <v/>
      </c>
      <c r="O285" s="38"/>
      <c r="P285" s="41"/>
      <c r="Q285" s="38"/>
      <c r="R285" s="38"/>
      <c r="S285" s="38"/>
      <c r="T285" s="38"/>
      <c r="U285" s="38"/>
    </row>
    <row r="286" spans="1:21">
      <c r="A286" s="43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43" t="str">
        <f t="shared" si="4"/>
        <v/>
      </c>
      <c r="O286" s="38"/>
      <c r="P286" s="41"/>
      <c r="Q286" s="38"/>
      <c r="R286" s="38"/>
      <c r="S286" s="38"/>
      <c r="T286" s="38"/>
      <c r="U286" s="38"/>
    </row>
    <row r="287" spans="1:21">
      <c r="A287" s="43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43" t="str">
        <f t="shared" si="4"/>
        <v/>
      </c>
      <c r="O287" s="38"/>
      <c r="P287" s="41"/>
      <c r="Q287" s="38"/>
      <c r="R287" s="38"/>
      <c r="S287" s="38"/>
      <c r="T287" s="38"/>
      <c r="U287" s="38"/>
    </row>
    <row r="288" spans="1:21">
      <c r="A288" s="43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43" t="str">
        <f t="shared" si="4"/>
        <v/>
      </c>
      <c r="O288" s="38"/>
      <c r="P288" s="41"/>
      <c r="Q288" s="38"/>
      <c r="R288" s="38"/>
      <c r="S288" s="38"/>
      <c r="T288" s="38"/>
      <c r="U288" s="38"/>
    </row>
    <row r="289" spans="1:21">
      <c r="A289" s="43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43" t="str">
        <f t="shared" si="4"/>
        <v/>
      </c>
      <c r="O289" s="38"/>
      <c r="P289" s="41"/>
      <c r="Q289" s="38"/>
      <c r="R289" s="38"/>
      <c r="S289" s="38"/>
      <c r="T289" s="38"/>
      <c r="U289" s="38"/>
    </row>
    <row r="290" spans="1:21">
      <c r="A290" s="43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43" t="str">
        <f t="shared" si="4"/>
        <v/>
      </c>
      <c r="O290" s="38"/>
      <c r="P290" s="41"/>
      <c r="Q290" s="38"/>
      <c r="R290" s="38"/>
      <c r="S290" s="38"/>
      <c r="T290" s="38"/>
      <c r="U290" s="38"/>
    </row>
    <row r="291" spans="1:21">
      <c r="A291" s="43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43" t="str">
        <f t="shared" si="4"/>
        <v/>
      </c>
      <c r="O291" s="38"/>
      <c r="P291" s="41"/>
      <c r="Q291" s="38"/>
      <c r="R291" s="38"/>
      <c r="S291" s="38"/>
      <c r="T291" s="38"/>
      <c r="U291" s="38"/>
    </row>
    <row r="292" spans="1:21">
      <c r="A292" s="43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43" t="str">
        <f t="shared" si="4"/>
        <v/>
      </c>
      <c r="O292" s="38"/>
      <c r="P292" s="41"/>
      <c r="Q292" s="38"/>
      <c r="R292" s="38"/>
      <c r="S292" s="38"/>
      <c r="T292" s="38"/>
      <c r="U292" s="38"/>
    </row>
    <row r="293" spans="1:21">
      <c r="A293" s="43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43" t="str">
        <f t="shared" si="4"/>
        <v/>
      </c>
      <c r="O293" s="38"/>
      <c r="P293" s="41"/>
      <c r="Q293" s="38"/>
      <c r="R293" s="38"/>
      <c r="S293" s="38"/>
      <c r="T293" s="38"/>
      <c r="U293" s="38"/>
    </row>
    <row r="294" spans="1:21">
      <c r="A294" s="43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43" t="str">
        <f t="shared" si="4"/>
        <v/>
      </c>
      <c r="O294" s="38"/>
      <c r="P294" s="41"/>
      <c r="Q294" s="38"/>
      <c r="R294" s="38"/>
      <c r="S294" s="38"/>
      <c r="T294" s="38"/>
      <c r="U294" s="38"/>
    </row>
    <row r="295" spans="1:21">
      <c r="A295" s="43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43" t="str">
        <f t="shared" si="4"/>
        <v/>
      </c>
      <c r="O295" s="38"/>
      <c r="P295" s="41"/>
      <c r="Q295" s="38"/>
      <c r="R295" s="38"/>
      <c r="S295" s="38"/>
      <c r="T295" s="38"/>
      <c r="U295" s="38"/>
    </row>
    <row r="296" spans="1:21">
      <c r="A296" s="43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43" t="str">
        <f t="shared" si="4"/>
        <v/>
      </c>
      <c r="O296" s="38"/>
      <c r="P296" s="41"/>
      <c r="Q296" s="38"/>
      <c r="R296" s="38"/>
      <c r="S296" s="38"/>
      <c r="T296" s="38"/>
      <c r="U296" s="38"/>
    </row>
    <row r="297" spans="1:21">
      <c r="A297" s="43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43" t="str">
        <f t="shared" si="4"/>
        <v/>
      </c>
      <c r="O297" s="38"/>
      <c r="P297" s="41"/>
      <c r="Q297" s="38"/>
      <c r="R297" s="38"/>
      <c r="S297" s="38"/>
      <c r="T297" s="38"/>
      <c r="U297" s="38"/>
    </row>
    <row r="298" spans="1:21">
      <c r="A298" s="43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43" t="str">
        <f t="shared" si="4"/>
        <v/>
      </c>
      <c r="O298" s="38"/>
      <c r="P298" s="41"/>
      <c r="Q298" s="38"/>
      <c r="R298" s="38"/>
      <c r="S298" s="38"/>
      <c r="T298" s="38"/>
      <c r="U298" s="38"/>
    </row>
    <row r="299" spans="1:21">
      <c r="A299" s="43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43" t="str">
        <f t="shared" si="4"/>
        <v/>
      </c>
      <c r="O299" s="38"/>
      <c r="P299" s="41"/>
      <c r="Q299" s="38"/>
      <c r="R299" s="38"/>
      <c r="S299" s="38"/>
      <c r="T299" s="38"/>
      <c r="U299" s="38"/>
    </row>
    <row r="300" spans="1:21">
      <c r="A300" s="43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43" t="str">
        <f t="shared" si="4"/>
        <v/>
      </c>
      <c r="O300" s="38"/>
      <c r="P300" s="41"/>
      <c r="Q300" s="38"/>
      <c r="R300" s="38"/>
      <c r="S300" s="38"/>
      <c r="T300" s="38"/>
      <c r="U300" s="38"/>
    </row>
    <row r="301" spans="1:21">
      <c r="A301" s="43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43" t="str">
        <f t="shared" si="4"/>
        <v/>
      </c>
      <c r="O301" s="38"/>
      <c r="P301" s="41"/>
      <c r="Q301" s="38"/>
      <c r="R301" s="38"/>
      <c r="S301" s="38"/>
      <c r="T301" s="38"/>
      <c r="U301" s="38"/>
    </row>
    <row r="302" spans="1:21">
      <c r="A302" s="43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43" t="str">
        <f t="shared" si="4"/>
        <v/>
      </c>
      <c r="O302" s="38"/>
      <c r="P302" s="41"/>
      <c r="Q302" s="38"/>
      <c r="R302" s="38"/>
      <c r="S302" s="38"/>
      <c r="T302" s="38"/>
      <c r="U302" s="38"/>
    </row>
    <row r="303" spans="1:21">
      <c r="A303" s="43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43" t="str">
        <f t="shared" si="4"/>
        <v/>
      </c>
      <c r="O303" s="38"/>
      <c r="P303" s="41"/>
      <c r="Q303" s="38"/>
      <c r="R303" s="38"/>
      <c r="S303" s="38"/>
      <c r="T303" s="38"/>
      <c r="U303" s="38"/>
    </row>
    <row r="304" spans="1:21">
      <c r="A304" s="43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43" t="str">
        <f t="shared" si="4"/>
        <v/>
      </c>
      <c r="O304" s="38"/>
      <c r="P304" s="41"/>
      <c r="Q304" s="38"/>
      <c r="R304" s="38"/>
      <c r="S304" s="38"/>
      <c r="T304" s="38"/>
      <c r="U304" s="38"/>
    </row>
    <row r="305" spans="1:21">
      <c r="A305" s="43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43" t="str">
        <f t="shared" si="4"/>
        <v/>
      </c>
      <c r="O305" s="38"/>
      <c r="P305" s="41"/>
      <c r="Q305" s="38"/>
      <c r="R305" s="38"/>
      <c r="S305" s="38"/>
      <c r="T305" s="38"/>
      <c r="U305" s="38"/>
    </row>
    <row r="306" spans="1:21">
      <c r="A306" s="43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43" t="str">
        <f t="shared" si="4"/>
        <v/>
      </c>
      <c r="O306" s="38"/>
      <c r="P306" s="41"/>
      <c r="Q306" s="38"/>
      <c r="R306" s="38"/>
      <c r="S306" s="38"/>
      <c r="T306" s="38"/>
      <c r="U306" s="38"/>
    </row>
    <row r="307" spans="1:21">
      <c r="A307" s="43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43" t="str">
        <f t="shared" si="4"/>
        <v/>
      </c>
      <c r="O307" s="38"/>
      <c r="P307" s="41"/>
      <c r="Q307" s="38"/>
      <c r="R307" s="38"/>
      <c r="S307" s="38"/>
      <c r="T307" s="38"/>
      <c r="U307" s="38"/>
    </row>
    <row r="308" spans="1:21">
      <c r="A308" s="43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43" t="str">
        <f t="shared" si="4"/>
        <v/>
      </c>
      <c r="O308" s="38"/>
      <c r="P308" s="41"/>
      <c r="Q308" s="38"/>
      <c r="R308" s="38"/>
      <c r="S308" s="38"/>
      <c r="T308" s="38"/>
      <c r="U308" s="38"/>
    </row>
    <row r="309" spans="1:21">
      <c r="A309" s="43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43" t="str">
        <f t="shared" si="4"/>
        <v/>
      </c>
      <c r="O309" s="38"/>
      <c r="P309" s="41"/>
      <c r="Q309" s="38"/>
      <c r="R309" s="38"/>
      <c r="S309" s="38"/>
      <c r="T309" s="38"/>
      <c r="U309" s="38"/>
    </row>
    <row r="310" spans="1:21">
      <c r="A310" s="43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43" t="str">
        <f t="shared" si="4"/>
        <v/>
      </c>
      <c r="O310" s="38"/>
      <c r="P310" s="41"/>
      <c r="Q310" s="38"/>
      <c r="R310" s="38"/>
      <c r="S310" s="38"/>
      <c r="T310" s="38"/>
      <c r="U310" s="38"/>
    </row>
    <row r="311" spans="1:21">
      <c r="A311" s="43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43" t="str">
        <f t="shared" si="4"/>
        <v/>
      </c>
      <c r="O311" s="38"/>
      <c r="P311" s="41"/>
      <c r="Q311" s="38"/>
      <c r="R311" s="38"/>
      <c r="S311" s="38"/>
      <c r="T311" s="38"/>
      <c r="U311" s="38"/>
    </row>
    <row r="312" spans="1:21">
      <c r="A312" s="43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43" t="str">
        <f t="shared" si="4"/>
        <v/>
      </c>
      <c r="O312" s="38"/>
      <c r="P312" s="41"/>
      <c r="Q312" s="38"/>
      <c r="R312" s="38"/>
      <c r="S312" s="38"/>
      <c r="T312" s="38"/>
      <c r="U312" s="38"/>
    </row>
    <row r="313" spans="1:21">
      <c r="A313" s="43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43" t="str">
        <f t="shared" si="4"/>
        <v/>
      </c>
      <c r="O313" s="38"/>
      <c r="P313" s="41"/>
      <c r="Q313" s="38"/>
      <c r="R313" s="38"/>
      <c r="S313" s="38"/>
      <c r="T313" s="38"/>
      <c r="U313" s="38"/>
    </row>
    <row r="314" spans="1:21">
      <c r="A314" s="43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43" t="str">
        <f t="shared" si="4"/>
        <v/>
      </c>
      <c r="O314" s="38"/>
      <c r="P314" s="41"/>
      <c r="Q314" s="38"/>
      <c r="R314" s="38"/>
      <c r="S314" s="38"/>
      <c r="T314" s="38"/>
      <c r="U314" s="38"/>
    </row>
    <row r="315" spans="1:21">
      <c r="A315" s="43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43" t="str">
        <f t="shared" si="4"/>
        <v/>
      </c>
      <c r="O315" s="38"/>
      <c r="P315" s="41"/>
      <c r="Q315" s="38"/>
      <c r="R315" s="38"/>
      <c r="S315" s="38"/>
      <c r="T315" s="38"/>
      <c r="U315" s="38"/>
    </row>
    <row r="316" spans="1:21">
      <c r="A316" s="43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43" t="str">
        <f t="shared" si="4"/>
        <v/>
      </c>
      <c r="O316" s="38"/>
      <c r="P316" s="41"/>
      <c r="Q316" s="38"/>
      <c r="R316" s="38"/>
      <c r="S316" s="38"/>
      <c r="T316" s="38"/>
      <c r="U316" s="38"/>
    </row>
    <row r="317" spans="1:21">
      <c r="A317" s="43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43" t="str">
        <f t="shared" si="4"/>
        <v/>
      </c>
      <c r="O317" s="38"/>
      <c r="P317" s="41"/>
      <c r="Q317" s="38"/>
      <c r="R317" s="38"/>
      <c r="S317" s="38"/>
      <c r="T317" s="38"/>
      <c r="U317" s="38"/>
    </row>
    <row r="318" spans="1:21">
      <c r="A318" s="43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43" t="str">
        <f t="shared" si="4"/>
        <v/>
      </c>
      <c r="O318" s="38"/>
      <c r="P318" s="41"/>
      <c r="Q318" s="38"/>
      <c r="R318" s="38"/>
      <c r="S318" s="38"/>
      <c r="T318" s="38"/>
      <c r="U318" s="38"/>
    </row>
    <row r="319" spans="1:21">
      <c r="A319" s="43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43" t="str">
        <f t="shared" si="4"/>
        <v/>
      </c>
      <c r="O319" s="38"/>
      <c r="P319" s="41"/>
      <c r="Q319" s="38"/>
      <c r="R319" s="38"/>
      <c r="S319" s="38"/>
      <c r="T319" s="38"/>
      <c r="U319" s="38"/>
    </row>
    <row r="320" spans="1:21">
      <c r="A320" s="43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43" t="str">
        <f t="shared" si="4"/>
        <v/>
      </c>
      <c r="O320" s="38"/>
      <c r="P320" s="41"/>
      <c r="Q320" s="38"/>
      <c r="R320" s="38"/>
      <c r="S320" s="38"/>
      <c r="T320" s="38"/>
      <c r="U320" s="38"/>
    </row>
    <row r="321" spans="1:21">
      <c r="A321" s="43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43" t="str">
        <f t="shared" si="4"/>
        <v/>
      </c>
      <c r="O321" s="38"/>
      <c r="P321" s="41"/>
      <c r="Q321" s="38"/>
      <c r="R321" s="38"/>
      <c r="S321" s="38"/>
      <c r="T321" s="38"/>
      <c r="U321" s="38"/>
    </row>
    <row r="322" spans="1:21">
      <c r="A322" s="43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43" t="str">
        <f t="shared" si="4"/>
        <v/>
      </c>
      <c r="O322" s="38"/>
      <c r="P322" s="41"/>
      <c r="Q322" s="38"/>
      <c r="R322" s="38"/>
      <c r="S322" s="38"/>
      <c r="T322" s="38"/>
      <c r="U322" s="38"/>
    </row>
    <row r="323" spans="1:21">
      <c r="A323" s="43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43" t="str">
        <f t="shared" ref="N323:N386" si="5">_xlfn.TEXTJOIN(", ",TRUE, L323, M323)</f>
        <v/>
      </c>
      <c r="O323" s="38"/>
      <c r="P323" s="41"/>
      <c r="Q323" s="38"/>
      <c r="R323" s="38"/>
      <c r="S323" s="38"/>
      <c r="T323" s="38"/>
      <c r="U323" s="38"/>
    </row>
    <row r="324" spans="1:21">
      <c r="A324" s="43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43" t="str">
        <f t="shared" si="5"/>
        <v/>
      </c>
      <c r="O324" s="38"/>
      <c r="P324" s="41"/>
      <c r="Q324" s="38"/>
      <c r="R324" s="38"/>
      <c r="S324" s="38"/>
      <c r="T324" s="38"/>
      <c r="U324" s="38"/>
    </row>
    <row r="325" spans="1:21">
      <c r="A325" s="43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43" t="str">
        <f t="shared" si="5"/>
        <v/>
      </c>
      <c r="O325" s="38"/>
      <c r="P325" s="41"/>
      <c r="Q325" s="38"/>
      <c r="R325" s="38"/>
      <c r="S325" s="38"/>
      <c r="T325" s="38"/>
      <c r="U325" s="38"/>
    </row>
    <row r="326" spans="1:21">
      <c r="A326" s="43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43" t="str">
        <f t="shared" si="5"/>
        <v/>
      </c>
      <c r="O326" s="38"/>
      <c r="P326" s="41"/>
      <c r="Q326" s="38"/>
      <c r="R326" s="38"/>
      <c r="S326" s="38"/>
      <c r="T326" s="38"/>
      <c r="U326" s="38"/>
    </row>
    <row r="327" spans="1:21">
      <c r="A327" s="43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43" t="str">
        <f t="shared" si="5"/>
        <v/>
      </c>
      <c r="O327" s="38"/>
      <c r="P327" s="41"/>
      <c r="Q327" s="38"/>
      <c r="R327" s="38"/>
      <c r="S327" s="38"/>
      <c r="T327" s="38"/>
      <c r="U327" s="38"/>
    </row>
    <row r="328" spans="1:21">
      <c r="A328" s="43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43" t="str">
        <f t="shared" si="5"/>
        <v/>
      </c>
      <c r="O328" s="38"/>
      <c r="P328" s="41"/>
      <c r="Q328" s="38"/>
      <c r="R328" s="38"/>
      <c r="S328" s="38"/>
      <c r="T328" s="38"/>
      <c r="U328" s="38"/>
    </row>
    <row r="329" spans="1:21">
      <c r="A329" s="43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43" t="str">
        <f t="shared" si="5"/>
        <v/>
      </c>
      <c r="O329" s="38"/>
      <c r="P329" s="41"/>
      <c r="Q329" s="38"/>
      <c r="R329" s="38"/>
      <c r="S329" s="38"/>
      <c r="T329" s="38"/>
      <c r="U329" s="38"/>
    </row>
    <row r="330" spans="1:21">
      <c r="A330" s="43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43" t="str">
        <f t="shared" si="5"/>
        <v/>
      </c>
      <c r="O330" s="38"/>
      <c r="P330" s="41"/>
      <c r="Q330" s="38"/>
      <c r="R330" s="38"/>
      <c r="S330" s="38"/>
      <c r="T330" s="38"/>
      <c r="U330" s="38"/>
    </row>
    <row r="331" spans="1:21">
      <c r="A331" s="43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43" t="str">
        <f t="shared" si="5"/>
        <v/>
      </c>
      <c r="O331" s="38"/>
      <c r="P331" s="41"/>
      <c r="Q331" s="38"/>
      <c r="R331" s="38"/>
      <c r="S331" s="38"/>
      <c r="T331" s="38"/>
      <c r="U331" s="38"/>
    </row>
    <row r="332" spans="1:21">
      <c r="A332" s="43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43" t="str">
        <f t="shared" si="5"/>
        <v/>
      </c>
      <c r="O332" s="38"/>
      <c r="P332" s="41"/>
      <c r="Q332" s="38"/>
      <c r="R332" s="38"/>
      <c r="S332" s="38"/>
      <c r="T332" s="38"/>
      <c r="U332" s="38"/>
    </row>
    <row r="333" spans="1:21">
      <c r="A333" s="43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43" t="str">
        <f t="shared" si="5"/>
        <v/>
      </c>
      <c r="O333" s="38"/>
      <c r="P333" s="41"/>
      <c r="Q333" s="38"/>
      <c r="R333" s="38"/>
      <c r="S333" s="38"/>
      <c r="T333" s="38"/>
      <c r="U333" s="38"/>
    </row>
    <row r="334" spans="1:21">
      <c r="A334" s="43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43" t="str">
        <f t="shared" si="5"/>
        <v/>
      </c>
      <c r="O334" s="38"/>
      <c r="P334" s="41"/>
      <c r="Q334" s="38"/>
      <c r="R334" s="38"/>
      <c r="S334" s="38"/>
      <c r="T334" s="38"/>
      <c r="U334" s="38"/>
    </row>
    <row r="335" spans="1:21">
      <c r="A335" s="43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43" t="str">
        <f t="shared" si="5"/>
        <v/>
      </c>
      <c r="O335" s="38"/>
      <c r="P335" s="41"/>
      <c r="Q335" s="38"/>
      <c r="R335" s="38"/>
      <c r="S335" s="38"/>
      <c r="T335" s="38"/>
      <c r="U335" s="38"/>
    </row>
    <row r="336" spans="1:21">
      <c r="A336" s="43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43" t="str">
        <f t="shared" si="5"/>
        <v/>
      </c>
      <c r="O336" s="38"/>
      <c r="P336" s="41"/>
      <c r="Q336" s="38"/>
      <c r="R336" s="38"/>
      <c r="S336" s="38"/>
      <c r="T336" s="38"/>
      <c r="U336" s="38"/>
    </row>
    <row r="337" spans="1:21">
      <c r="A337" s="43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43" t="str">
        <f t="shared" si="5"/>
        <v/>
      </c>
      <c r="O337" s="38"/>
      <c r="P337" s="41"/>
      <c r="Q337" s="38"/>
      <c r="R337" s="38"/>
      <c r="S337" s="38"/>
      <c r="T337" s="38"/>
      <c r="U337" s="38"/>
    </row>
    <row r="338" spans="1:21">
      <c r="A338" s="43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43" t="str">
        <f t="shared" si="5"/>
        <v/>
      </c>
      <c r="O338" s="38"/>
      <c r="P338" s="41"/>
      <c r="Q338" s="38"/>
      <c r="R338" s="38"/>
      <c r="S338" s="38"/>
      <c r="T338" s="38"/>
      <c r="U338" s="38"/>
    </row>
    <row r="339" spans="1:21">
      <c r="A339" s="43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43" t="str">
        <f t="shared" si="5"/>
        <v/>
      </c>
      <c r="O339" s="38"/>
      <c r="P339" s="41"/>
      <c r="Q339" s="38"/>
      <c r="R339" s="38"/>
      <c r="S339" s="38"/>
      <c r="T339" s="38"/>
      <c r="U339" s="38"/>
    </row>
    <row r="340" spans="1:21">
      <c r="A340" s="43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43" t="str">
        <f t="shared" si="5"/>
        <v/>
      </c>
      <c r="O340" s="38"/>
      <c r="P340" s="41"/>
      <c r="Q340" s="38"/>
      <c r="R340" s="38"/>
      <c r="S340" s="38"/>
      <c r="T340" s="38"/>
      <c r="U340" s="38"/>
    </row>
    <row r="341" spans="1:21">
      <c r="A341" s="43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43" t="str">
        <f t="shared" si="5"/>
        <v/>
      </c>
      <c r="O341" s="38"/>
      <c r="P341" s="41"/>
      <c r="Q341" s="38"/>
      <c r="R341" s="38"/>
      <c r="S341" s="38"/>
      <c r="T341" s="38"/>
      <c r="U341" s="38"/>
    </row>
    <row r="342" spans="1:21">
      <c r="A342" s="43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43" t="str">
        <f t="shared" si="5"/>
        <v/>
      </c>
      <c r="O342" s="38"/>
      <c r="P342" s="41"/>
      <c r="Q342" s="38"/>
      <c r="R342" s="38"/>
      <c r="S342" s="38"/>
      <c r="T342" s="38"/>
      <c r="U342" s="38"/>
    </row>
    <row r="343" spans="1:21">
      <c r="A343" s="43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43" t="str">
        <f t="shared" si="5"/>
        <v/>
      </c>
      <c r="O343" s="38"/>
      <c r="P343" s="41"/>
      <c r="Q343" s="38"/>
      <c r="R343" s="38"/>
      <c r="S343" s="38"/>
      <c r="T343" s="38"/>
      <c r="U343" s="38"/>
    </row>
    <row r="344" spans="1:21">
      <c r="A344" s="43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43" t="str">
        <f t="shared" si="5"/>
        <v/>
      </c>
      <c r="O344" s="38"/>
      <c r="P344" s="41"/>
      <c r="Q344" s="38"/>
      <c r="R344" s="38"/>
      <c r="S344" s="38"/>
      <c r="T344" s="38"/>
      <c r="U344" s="38"/>
    </row>
    <row r="345" spans="1:21">
      <c r="A345" s="43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43" t="str">
        <f t="shared" si="5"/>
        <v/>
      </c>
      <c r="O345" s="38"/>
      <c r="P345" s="41"/>
      <c r="Q345" s="38"/>
      <c r="R345" s="38"/>
      <c r="S345" s="38"/>
      <c r="T345" s="38"/>
      <c r="U345" s="38"/>
    </row>
    <row r="346" spans="1:21">
      <c r="A346" s="43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43" t="str">
        <f t="shared" si="5"/>
        <v/>
      </c>
      <c r="O346" s="38"/>
      <c r="P346" s="41"/>
      <c r="Q346" s="38"/>
      <c r="R346" s="38"/>
      <c r="S346" s="38"/>
      <c r="T346" s="38"/>
      <c r="U346" s="38"/>
    </row>
    <row r="347" spans="1:21">
      <c r="A347" s="43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43" t="str">
        <f t="shared" si="5"/>
        <v/>
      </c>
      <c r="O347" s="38"/>
      <c r="P347" s="41"/>
      <c r="Q347" s="38"/>
      <c r="R347" s="38"/>
      <c r="S347" s="38"/>
      <c r="T347" s="38"/>
      <c r="U347" s="38"/>
    </row>
    <row r="348" spans="1:21">
      <c r="A348" s="43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43" t="str">
        <f t="shared" si="5"/>
        <v/>
      </c>
      <c r="O348" s="38"/>
      <c r="P348" s="41"/>
      <c r="Q348" s="38"/>
      <c r="R348" s="38"/>
      <c r="S348" s="38"/>
      <c r="T348" s="38"/>
      <c r="U348" s="38"/>
    </row>
    <row r="349" spans="1:21">
      <c r="A349" s="43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43" t="str">
        <f t="shared" si="5"/>
        <v/>
      </c>
      <c r="O349" s="38"/>
      <c r="P349" s="41"/>
      <c r="Q349" s="38"/>
      <c r="R349" s="38"/>
      <c r="S349" s="38"/>
      <c r="T349" s="38"/>
      <c r="U349" s="38"/>
    </row>
    <row r="350" spans="1:21">
      <c r="A350" s="43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43" t="str">
        <f t="shared" si="5"/>
        <v/>
      </c>
      <c r="O350" s="38"/>
      <c r="P350" s="41"/>
      <c r="Q350" s="38"/>
      <c r="R350" s="38"/>
      <c r="S350" s="38"/>
      <c r="T350" s="38"/>
      <c r="U350" s="38"/>
    </row>
    <row r="351" spans="1:21">
      <c r="A351" s="43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43" t="str">
        <f t="shared" si="5"/>
        <v/>
      </c>
      <c r="O351" s="38"/>
      <c r="P351" s="41"/>
      <c r="Q351" s="38"/>
      <c r="R351" s="38"/>
      <c r="S351" s="38"/>
      <c r="T351" s="38"/>
      <c r="U351" s="38"/>
    </row>
    <row r="352" spans="1:21">
      <c r="A352" s="43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43" t="str">
        <f t="shared" si="5"/>
        <v/>
      </c>
      <c r="O352" s="38"/>
      <c r="P352" s="41"/>
      <c r="Q352" s="38"/>
      <c r="R352" s="38"/>
      <c r="S352" s="38"/>
      <c r="T352" s="38"/>
      <c r="U352" s="38"/>
    </row>
    <row r="353" spans="1:21">
      <c r="A353" s="43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43" t="str">
        <f t="shared" si="5"/>
        <v/>
      </c>
      <c r="O353" s="38"/>
      <c r="P353" s="41"/>
      <c r="Q353" s="38"/>
      <c r="R353" s="38"/>
      <c r="S353" s="38"/>
      <c r="T353" s="38"/>
      <c r="U353" s="38"/>
    </row>
    <row r="354" spans="1:21">
      <c r="A354" s="43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43" t="str">
        <f t="shared" si="5"/>
        <v/>
      </c>
      <c r="O354" s="38"/>
      <c r="P354" s="41"/>
      <c r="Q354" s="38"/>
      <c r="R354" s="38"/>
      <c r="S354" s="38"/>
      <c r="T354" s="38"/>
      <c r="U354" s="38"/>
    </row>
    <row r="355" spans="1:21">
      <c r="A355" s="43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43" t="str">
        <f t="shared" si="5"/>
        <v/>
      </c>
      <c r="O355" s="38"/>
      <c r="P355" s="41"/>
      <c r="Q355" s="38"/>
      <c r="R355" s="38"/>
      <c r="S355" s="38"/>
      <c r="T355" s="38"/>
      <c r="U355" s="38"/>
    </row>
    <row r="356" spans="1:21">
      <c r="A356" s="43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43" t="str">
        <f t="shared" si="5"/>
        <v/>
      </c>
      <c r="O356" s="38"/>
      <c r="P356" s="41"/>
      <c r="Q356" s="38"/>
      <c r="R356" s="38"/>
      <c r="S356" s="38"/>
      <c r="T356" s="38"/>
      <c r="U356" s="38"/>
    </row>
    <row r="357" spans="1:21">
      <c r="A357" s="43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43" t="str">
        <f t="shared" si="5"/>
        <v/>
      </c>
      <c r="O357" s="38"/>
      <c r="P357" s="41"/>
      <c r="Q357" s="38"/>
      <c r="R357" s="38"/>
      <c r="S357" s="38"/>
      <c r="T357" s="38"/>
      <c r="U357" s="38"/>
    </row>
    <row r="358" spans="1:21">
      <c r="A358" s="43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43" t="str">
        <f t="shared" si="5"/>
        <v/>
      </c>
      <c r="O358" s="38"/>
      <c r="P358" s="41"/>
      <c r="Q358" s="38"/>
      <c r="R358" s="38"/>
      <c r="S358" s="38"/>
      <c r="T358" s="38"/>
      <c r="U358" s="38"/>
    </row>
    <row r="359" spans="1:21">
      <c r="A359" s="43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43" t="str">
        <f t="shared" si="5"/>
        <v/>
      </c>
      <c r="O359" s="38"/>
      <c r="P359" s="41"/>
      <c r="Q359" s="38"/>
      <c r="R359" s="38"/>
      <c r="S359" s="38"/>
      <c r="T359" s="38"/>
      <c r="U359" s="38"/>
    </row>
    <row r="360" spans="1:21">
      <c r="A360" s="43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43" t="str">
        <f t="shared" si="5"/>
        <v/>
      </c>
      <c r="O360" s="38"/>
      <c r="P360" s="41"/>
      <c r="Q360" s="38"/>
      <c r="R360" s="38"/>
      <c r="S360" s="38"/>
      <c r="T360" s="38"/>
      <c r="U360" s="38"/>
    </row>
    <row r="361" spans="1:21">
      <c r="A361" s="43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43" t="str">
        <f t="shared" si="5"/>
        <v/>
      </c>
      <c r="O361" s="38"/>
      <c r="P361" s="41"/>
      <c r="Q361" s="38"/>
      <c r="R361" s="38"/>
      <c r="S361" s="38"/>
      <c r="T361" s="38"/>
      <c r="U361" s="38"/>
    </row>
    <row r="362" spans="1:21">
      <c r="A362" s="43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43" t="str">
        <f t="shared" si="5"/>
        <v/>
      </c>
      <c r="O362" s="38"/>
      <c r="P362" s="41"/>
      <c r="Q362" s="38"/>
      <c r="R362" s="38"/>
      <c r="S362" s="38"/>
      <c r="T362" s="38"/>
      <c r="U362" s="38"/>
    </row>
    <row r="363" spans="1:21">
      <c r="A363" s="43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43" t="str">
        <f t="shared" si="5"/>
        <v/>
      </c>
      <c r="O363" s="38"/>
      <c r="P363" s="41"/>
      <c r="Q363" s="38"/>
      <c r="R363" s="38"/>
      <c r="S363" s="38"/>
      <c r="T363" s="38"/>
      <c r="U363" s="38"/>
    </row>
    <row r="364" spans="1:21">
      <c r="A364" s="43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43" t="str">
        <f t="shared" si="5"/>
        <v/>
      </c>
      <c r="O364" s="38"/>
      <c r="P364" s="41"/>
      <c r="Q364" s="38"/>
      <c r="R364" s="38"/>
      <c r="S364" s="38"/>
      <c r="T364" s="38"/>
      <c r="U364" s="38"/>
    </row>
    <row r="365" spans="1:21">
      <c r="A365" s="43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43" t="str">
        <f t="shared" si="5"/>
        <v/>
      </c>
      <c r="O365" s="38"/>
      <c r="P365" s="41"/>
      <c r="Q365" s="38"/>
      <c r="R365" s="38"/>
      <c r="S365" s="38"/>
      <c r="T365" s="38"/>
      <c r="U365" s="38"/>
    </row>
    <row r="366" spans="1:21">
      <c r="A366" s="43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43" t="str">
        <f t="shared" si="5"/>
        <v/>
      </c>
      <c r="O366" s="38"/>
      <c r="P366" s="41"/>
      <c r="Q366" s="38"/>
      <c r="R366" s="38"/>
      <c r="S366" s="38"/>
      <c r="T366" s="38"/>
      <c r="U366" s="38"/>
    </row>
    <row r="367" spans="1:21">
      <c r="A367" s="43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43" t="str">
        <f t="shared" si="5"/>
        <v/>
      </c>
      <c r="O367" s="38"/>
      <c r="P367" s="41"/>
      <c r="Q367" s="38"/>
      <c r="R367" s="38"/>
      <c r="S367" s="38"/>
      <c r="T367" s="38"/>
      <c r="U367" s="38"/>
    </row>
    <row r="368" spans="1:21">
      <c r="A368" s="43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43" t="str">
        <f t="shared" si="5"/>
        <v/>
      </c>
      <c r="O368" s="38"/>
      <c r="P368" s="41"/>
      <c r="Q368" s="38"/>
      <c r="R368" s="38"/>
      <c r="S368" s="38"/>
      <c r="T368" s="38"/>
      <c r="U368" s="38"/>
    </row>
    <row r="369" spans="1:21">
      <c r="A369" s="43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43" t="str">
        <f t="shared" si="5"/>
        <v/>
      </c>
      <c r="O369" s="38"/>
      <c r="P369" s="41"/>
      <c r="Q369" s="38"/>
      <c r="R369" s="38"/>
      <c r="S369" s="38"/>
      <c r="T369" s="38"/>
      <c r="U369" s="38"/>
    </row>
    <row r="370" spans="1:21">
      <c r="A370" s="43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43" t="str">
        <f t="shared" si="5"/>
        <v/>
      </c>
      <c r="O370" s="38"/>
      <c r="P370" s="41"/>
      <c r="Q370" s="38"/>
      <c r="R370" s="38"/>
      <c r="S370" s="38"/>
      <c r="T370" s="38"/>
      <c r="U370" s="38"/>
    </row>
    <row r="371" spans="1:21">
      <c r="A371" s="43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43" t="str">
        <f t="shared" si="5"/>
        <v/>
      </c>
      <c r="O371" s="38"/>
      <c r="P371" s="41"/>
      <c r="Q371" s="38"/>
      <c r="R371" s="38"/>
      <c r="S371" s="38"/>
      <c r="T371" s="38"/>
      <c r="U371" s="38"/>
    </row>
    <row r="372" spans="1:21">
      <c r="A372" s="43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43" t="str">
        <f t="shared" si="5"/>
        <v/>
      </c>
      <c r="O372" s="38"/>
      <c r="P372" s="41"/>
      <c r="Q372" s="38"/>
      <c r="R372" s="38"/>
      <c r="S372" s="38"/>
      <c r="T372" s="38"/>
      <c r="U372" s="38"/>
    </row>
    <row r="373" spans="1:21">
      <c r="A373" s="43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43" t="str">
        <f t="shared" si="5"/>
        <v/>
      </c>
      <c r="O373" s="38"/>
      <c r="P373" s="41"/>
      <c r="Q373" s="38"/>
      <c r="R373" s="38"/>
      <c r="S373" s="38"/>
      <c r="T373" s="38"/>
      <c r="U373" s="38"/>
    </row>
    <row r="374" spans="1:21">
      <c r="A374" s="43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43" t="str">
        <f t="shared" si="5"/>
        <v/>
      </c>
      <c r="O374" s="38"/>
      <c r="P374" s="41"/>
      <c r="Q374" s="38"/>
      <c r="R374" s="38"/>
      <c r="S374" s="38"/>
      <c r="T374" s="38"/>
      <c r="U374" s="38"/>
    </row>
    <row r="375" spans="1:21">
      <c r="A375" s="43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43" t="str">
        <f t="shared" si="5"/>
        <v/>
      </c>
      <c r="O375" s="38"/>
      <c r="P375" s="41"/>
      <c r="Q375" s="38"/>
      <c r="R375" s="38"/>
      <c r="S375" s="38"/>
      <c r="T375" s="38"/>
      <c r="U375" s="38"/>
    </row>
    <row r="376" spans="1:21">
      <c r="A376" s="43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43" t="str">
        <f t="shared" si="5"/>
        <v/>
      </c>
      <c r="O376" s="38"/>
      <c r="P376" s="41"/>
      <c r="Q376" s="38"/>
      <c r="R376" s="38"/>
      <c r="S376" s="38"/>
      <c r="T376" s="38"/>
      <c r="U376" s="38"/>
    </row>
    <row r="377" spans="1:21">
      <c r="A377" s="43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43" t="str">
        <f t="shared" si="5"/>
        <v/>
      </c>
      <c r="O377" s="38"/>
      <c r="P377" s="41"/>
      <c r="Q377" s="38"/>
      <c r="R377" s="38"/>
      <c r="S377" s="38"/>
      <c r="T377" s="38"/>
      <c r="U377" s="38"/>
    </row>
    <row r="378" spans="1:21">
      <c r="A378" s="43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43" t="str">
        <f t="shared" si="5"/>
        <v/>
      </c>
      <c r="O378" s="38"/>
      <c r="P378" s="41"/>
      <c r="Q378" s="38"/>
      <c r="R378" s="38"/>
      <c r="S378" s="38"/>
      <c r="T378" s="38"/>
      <c r="U378" s="38"/>
    </row>
    <row r="379" spans="1:21">
      <c r="A379" s="43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43" t="str">
        <f t="shared" si="5"/>
        <v/>
      </c>
      <c r="O379" s="38"/>
      <c r="P379" s="41"/>
      <c r="Q379" s="38"/>
      <c r="R379" s="38"/>
      <c r="S379" s="38"/>
      <c r="T379" s="38"/>
      <c r="U379" s="38"/>
    </row>
    <row r="380" spans="1:21">
      <c r="A380" s="43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43" t="str">
        <f t="shared" si="5"/>
        <v/>
      </c>
      <c r="O380" s="38"/>
      <c r="P380" s="41"/>
      <c r="Q380" s="38"/>
      <c r="R380" s="38"/>
      <c r="S380" s="38"/>
      <c r="T380" s="38"/>
      <c r="U380" s="38"/>
    </row>
    <row r="381" spans="1:21">
      <c r="A381" s="43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43" t="str">
        <f t="shared" si="5"/>
        <v/>
      </c>
      <c r="O381" s="38"/>
      <c r="P381" s="41"/>
      <c r="Q381" s="38"/>
      <c r="R381" s="38"/>
      <c r="S381" s="38"/>
      <c r="T381" s="38"/>
      <c r="U381" s="38"/>
    </row>
    <row r="382" spans="1:21">
      <c r="A382" s="43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43" t="str">
        <f t="shared" si="5"/>
        <v/>
      </c>
      <c r="O382" s="38"/>
      <c r="P382" s="41"/>
      <c r="Q382" s="38"/>
      <c r="R382" s="38"/>
      <c r="S382" s="38"/>
      <c r="T382" s="38"/>
      <c r="U382" s="38"/>
    </row>
    <row r="383" spans="1:21">
      <c r="A383" s="43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43" t="str">
        <f t="shared" si="5"/>
        <v/>
      </c>
      <c r="O383" s="38"/>
      <c r="P383" s="41"/>
      <c r="Q383" s="38"/>
      <c r="R383" s="38"/>
      <c r="S383" s="38"/>
      <c r="T383" s="38"/>
      <c r="U383" s="38"/>
    </row>
    <row r="384" spans="1:21">
      <c r="A384" s="43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43" t="str">
        <f t="shared" si="5"/>
        <v/>
      </c>
      <c r="O384" s="38"/>
      <c r="P384" s="41"/>
      <c r="Q384" s="38"/>
      <c r="R384" s="38"/>
      <c r="S384" s="38"/>
      <c r="T384" s="38"/>
      <c r="U384" s="38"/>
    </row>
    <row r="385" spans="1:21">
      <c r="A385" s="43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43" t="str">
        <f t="shared" si="5"/>
        <v/>
      </c>
      <c r="O385" s="38"/>
      <c r="P385" s="41"/>
      <c r="Q385" s="38"/>
      <c r="R385" s="38"/>
      <c r="S385" s="38"/>
      <c r="T385" s="38"/>
      <c r="U385" s="38"/>
    </row>
    <row r="386" spans="1:21">
      <c r="A386" s="43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43" t="str">
        <f t="shared" si="5"/>
        <v/>
      </c>
      <c r="O386" s="38"/>
      <c r="P386" s="41"/>
      <c r="Q386" s="38"/>
      <c r="R386" s="38"/>
      <c r="S386" s="38"/>
      <c r="T386" s="38"/>
      <c r="U386" s="38"/>
    </row>
    <row r="387" spans="1:21">
      <c r="A387" s="43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43" t="str">
        <f t="shared" ref="N387:N450" si="6">_xlfn.TEXTJOIN(", ",TRUE, L387, M387)</f>
        <v/>
      </c>
      <c r="O387" s="38"/>
      <c r="P387" s="41"/>
      <c r="Q387" s="38"/>
      <c r="R387" s="38"/>
      <c r="S387" s="38"/>
      <c r="T387" s="38"/>
      <c r="U387" s="38"/>
    </row>
    <row r="388" spans="1:21">
      <c r="A388" s="43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43" t="str">
        <f t="shared" si="6"/>
        <v/>
      </c>
      <c r="O388" s="38"/>
      <c r="P388" s="41"/>
      <c r="Q388" s="38"/>
      <c r="R388" s="38"/>
      <c r="S388" s="38"/>
      <c r="T388" s="38"/>
      <c r="U388" s="38"/>
    </row>
    <row r="389" spans="1:21">
      <c r="A389" s="43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43" t="str">
        <f t="shared" si="6"/>
        <v/>
      </c>
      <c r="O389" s="38"/>
      <c r="P389" s="41"/>
      <c r="Q389" s="38"/>
      <c r="R389" s="38"/>
      <c r="S389" s="38"/>
      <c r="T389" s="38"/>
      <c r="U389" s="38"/>
    </row>
    <row r="390" spans="1:21">
      <c r="A390" s="43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43" t="str">
        <f t="shared" si="6"/>
        <v/>
      </c>
      <c r="O390" s="38"/>
      <c r="P390" s="41"/>
      <c r="Q390" s="38"/>
      <c r="R390" s="38"/>
      <c r="S390" s="38"/>
      <c r="T390" s="38"/>
      <c r="U390" s="38"/>
    </row>
    <row r="391" spans="1:21">
      <c r="A391" s="43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43" t="str">
        <f t="shared" si="6"/>
        <v/>
      </c>
      <c r="O391" s="38"/>
      <c r="P391" s="41"/>
      <c r="Q391" s="38"/>
      <c r="R391" s="38"/>
      <c r="S391" s="38"/>
      <c r="T391" s="38"/>
      <c r="U391" s="38"/>
    </row>
    <row r="392" spans="1:21">
      <c r="A392" s="43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43" t="str">
        <f t="shared" si="6"/>
        <v/>
      </c>
      <c r="O392" s="38"/>
      <c r="P392" s="41"/>
      <c r="Q392" s="38"/>
      <c r="R392" s="38"/>
      <c r="S392" s="38"/>
      <c r="T392" s="38"/>
      <c r="U392" s="38"/>
    </row>
    <row r="393" spans="1:21">
      <c r="A393" s="43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43" t="str">
        <f t="shared" si="6"/>
        <v/>
      </c>
      <c r="O393" s="38"/>
      <c r="P393" s="41"/>
      <c r="Q393" s="38"/>
      <c r="R393" s="38"/>
      <c r="S393" s="38"/>
      <c r="T393" s="38"/>
      <c r="U393" s="38"/>
    </row>
    <row r="394" spans="1:21">
      <c r="A394" s="43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43" t="str">
        <f t="shared" si="6"/>
        <v/>
      </c>
      <c r="O394" s="38"/>
      <c r="P394" s="41"/>
      <c r="Q394" s="38"/>
      <c r="R394" s="38"/>
      <c r="S394" s="38"/>
      <c r="T394" s="38"/>
      <c r="U394" s="38"/>
    </row>
    <row r="395" spans="1:21">
      <c r="A395" s="43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43" t="str">
        <f t="shared" si="6"/>
        <v/>
      </c>
      <c r="O395" s="38"/>
      <c r="P395" s="41"/>
      <c r="Q395" s="38"/>
      <c r="R395" s="38"/>
      <c r="S395" s="38"/>
      <c r="T395" s="38"/>
      <c r="U395" s="38"/>
    </row>
    <row r="396" spans="1:21">
      <c r="A396" s="43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43" t="str">
        <f t="shared" si="6"/>
        <v/>
      </c>
      <c r="O396" s="38"/>
      <c r="P396" s="41"/>
      <c r="Q396" s="38"/>
      <c r="R396" s="38"/>
      <c r="S396" s="38"/>
      <c r="T396" s="38"/>
      <c r="U396" s="38"/>
    </row>
    <row r="397" spans="1:21">
      <c r="A397" s="43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43" t="str">
        <f t="shared" si="6"/>
        <v/>
      </c>
      <c r="O397" s="38"/>
      <c r="P397" s="41"/>
      <c r="Q397" s="38"/>
      <c r="R397" s="38"/>
      <c r="S397" s="38"/>
      <c r="T397" s="38"/>
      <c r="U397" s="38"/>
    </row>
    <row r="398" spans="1:21">
      <c r="A398" s="43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43" t="str">
        <f t="shared" si="6"/>
        <v/>
      </c>
      <c r="O398" s="38"/>
      <c r="P398" s="41"/>
      <c r="Q398" s="38"/>
      <c r="R398" s="38"/>
      <c r="S398" s="38"/>
      <c r="T398" s="38"/>
      <c r="U398" s="38"/>
    </row>
    <row r="399" spans="1:21">
      <c r="A399" s="43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43" t="str">
        <f t="shared" si="6"/>
        <v/>
      </c>
      <c r="O399" s="38"/>
      <c r="P399" s="41"/>
      <c r="Q399" s="38"/>
      <c r="R399" s="38"/>
      <c r="S399" s="38"/>
      <c r="T399" s="38"/>
      <c r="U399" s="38"/>
    </row>
    <row r="400" spans="1:21">
      <c r="A400" s="43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43" t="str">
        <f t="shared" si="6"/>
        <v/>
      </c>
      <c r="O400" s="38"/>
      <c r="P400" s="41"/>
      <c r="Q400" s="38"/>
      <c r="R400" s="38"/>
      <c r="S400" s="38"/>
      <c r="T400" s="38"/>
      <c r="U400" s="38"/>
    </row>
    <row r="401" spans="1:21">
      <c r="A401" s="43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43" t="str">
        <f t="shared" si="6"/>
        <v/>
      </c>
      <c r="O401" s="38"/>
      <c r="P401" s="41"/>
      <c r="Q401" s="38"/>
      <c r="R401" s="38"/>
      <c r="S401" s="38"/>
      <c r="T401" s="38"/>
      <c r="U401" s="38"/>
    </row>
    <row r="402" spans="1:21">
      <c r="A402" s="43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43" t="str">
        <f t="shared" si="6"/>
        <v/>
      </c>
      <c r="O402" s="38"/>
      <c r="P402" s="41"/>
      <c r="Q402" s="38"/>
      <c r="R402" s="38"/>
      <c r="S402" s="38"/>
      <c r="T402" s="38"/>
      <c r="U402" s="38"/>
    </row>
    <row r="403" spans="1:21">
      <c r="A403" s="43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43" t="str">
        <f t="shared" si="6"/>
        <v/>
      </c>
      <c r="O403" s="38"/>
      <c r="P403" s="41"/>
      <c r="Q403" s="38"/>
      <c r="R403" s="38"/>
      <c r="S403" s="38"/>
      <c r="T403" s="38"/>
      <c r="U403" s="38"/>
    </row>
    <row r="404" spans="1:21">
      <c r="A404" s="43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43" t="str">
        <f t="shared" si="6"/>
        <v/>
      </c>
      <c r="O404" s="38"/>
      <c r="P404" s="41"/>
      <c r="Q404" s="38"/>
      <c r="R404" s="38"/>
      <c r="S404" s="38"/>
      <c r="T404" s="38"/>
      <c r="U404" s="38"/>
    </row>
    <row r="405" spans="1:21">
      <c r="A405" s="43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43" t="str">
        <f t="shared" si="6"/>
        <v/>
      </c>
      <c r="O405" s="38"/>
      <c r="P405" s="41"/>
      <c r="Q405" s="38"/>
      <c r="R405" s="38"/>
      <c r="S405" s="38"/>
      <c r="T405" s="38"/>
      <c r="U405" s="38"/>
    </row>
    <row r="406" spans="1:21">
      <c r="A406" s="43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43" t="str">
        <f t="shared" si="6"/>
        <v/>
      </c>
      <c r="O406" s="38"/>
      <c r="P406" s="41"/>
      <c r="Q406" s="38"/>
      <c r="R406" s="38"/>
      <c r="S406" s="38"/>
      <c r="T406" s="38"/>
      <c r="U406" s="38"/>
    </row>
    <row r="407" spans="1:21">
      <c r="A407" s="43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43" t="str">
        <f t="shared" si="6"/>
        <v/>
      </c>
      <c r="O407" s="38"/>
      <c r="P407" s="41"/>
      <c r="Q407" s="38"/>
      <c r="R407" s="38"/>
      <c r="S407" s="38"/>
      <c r="T407" s="38"/>
      <c r="U407" s="38"/>
    </row>
    <row r="408" spans="1:21">
      <c r="A408" s="43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43" t="str">
        <f t="shared" si="6"/>
        <v/>
      </c>
      <c r="O408" s="38"/>
      <c r="P408" s="41"/>
      <c r="Q408" s="38"/>
      <c r="R408" s="38"/>
      <c r="S408" s="38"/>
      <c r="T408" s="38"/>
      <c r="U408" s="38"/>
    </row>
    <row r="409" spans="1:21">
      <c r="A409" s="43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43" t="str">
        <f t="shared" si="6"/>
        <v/>
      </c>
      <c r="O409" s="38"/>
      <c r="P409" s="41"/>
      <c r="Q409" s="38"/>
      <c r="R409" s="38"/>
      <c r="S409" s="38"/>
      <c r="T409" s="38"/>
      <c r="U409" s="38"/>
    </row>
    <row r="410" spans="1:21">
      <c r="A410" s="43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43" t="str">
        <f t="shared" si="6"/>
        <v/>
      </c>
      <c r="O410" s="38"/>
      <c r="P410" s="41"/>
      <c r="Q410" s="38"/>
      <c r="R410" s="38"/>
      <c r="S410" s="38"/>
      <c r="T410" s="38"/>
      <c r="U410" s="38"/>
    </row>
    <row r="411" spans="1:21">
      <c r="A411" s="43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43" t="str">
        <f t="shared" si="6"/>
        <v/>
      </c>
      <c r="O411" s="38"/>
      <c r="P411" s="41"/>
      <c r="Q411" s="38"/>
      <c r="R411" s="38"/>
      <c r="S411" s="38"/>
      <c r="T411" s="38"/>
      <c r="U411" s="38"/>
    </row>
    <row r="412" spans="1:21">
      <c r="A412" s="43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43" t="str">
        <f t="shared" si="6"/>
        <v/>
      </c>
      <c r="O412" s="38"/>
      <c r="P412" s="41"/>
      <c r="Q412" s="38"/>
      <c r="R412" s="38"/>
      <c r="S412" s="38"/>
      <c r="T412" s="38"/>
      <c r="U412" s="38"/>
    </row>
    <row r="413" spans="1:21">
      <c r="A413" s="43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43" t="str">
        <f t="shared" si="6"/>
        <v/>
      </c>
      <c r="O413" s="38"/>
      <c r="P413" s="41"/>
      <c r="Q413" s="38"/>
      <c r="R413" s="38"/>
      <c r="S413" s="38"/>
      <c r="T413" s="38"/>
      <c r="U413" s="38"/>
    </row>
    <row r="414" spans="1:21">
      <c r="A414" s="43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43" t="str">
        <f t="shared" si="6"/>
        <v/>
      </c>
      <c r="O414" s="38"/>
      <c r="P414" s="41"/>
      <c r="Q414" s="38"/>
      <c r="R414" s="38"/>
      <c r="S414" s="38"/>
      <c r="T414" s="38"/>
      <c r="U414" s="38"/>
    </row>
    <row r="415" spans="1:21">
      <c r="A415" s="43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43" t="str">
        <f t="shared" si="6"/>
        <v/>
      </c>
      <c r="O415" s="38"/>
      <c r="P415" s="41"/>
      <c r="Q415" s="38"/>
      <c r="R415" s="38"/>
      <c r="S415" s="38"/>
      <c r="T415" s="38"/>
      <c r="U415" s="38"/>
    </row>
    <row r="416" spans="1:21">
      <c r="A416" s="43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43" t="str">
        <f t="shared" si="6"/>
        <v/>
      </c>
      <c r="O416" s="38"/>
      <c r="P416" s="41"/>
      <c r="Q416" s="38"/>
      <c r="R416" s="38"/>
      <c r="S416" s="38"/>
      <c r="T416" s="38"/>
      <c r="U416" s="38"/>
    </row>
    <row r="417" spans="1:21">
      <c r="A417" s="43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43" t="str">
        <f t="shared" si="6"/>
        <v/>
      </c>
      <c r="O417" s="38"/>
      <c r="P417" s="41"/>
      <c r="Q417" s="38"/>
      <c r="R417" s="38"/>
      <c r="S417" s="38"/>
      <c r="T417" s="38"/>
      <c r="U417" s="38"/>
    </row>
    <row r="418" spans="1:21">
      <c r="A418" s="43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43" t="str">
        <f t="shared" si="6"/>
        <v/>
      </c>
      <c r="O418" s="38"/>
      <c r="P418" s="41"/>
      <c r="Q418" s="38"/>
      <c r="R418" s="38"/>
      <c r="S418" s="38"/>
      <c r="T418" s="38"/>
      <c r="U418" s="38"/>
    </row>
    <row r="419" spans="1:21">
      <c r="A419" s="43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43" t="str">
        <f t="shared" si="6"/>
        <v/>
      </c>
      <c r="O419" s="38"/>
      <c r="P419" s="41"/>
      <c r="Q419" s="38"/>
      <c r="R419" s="38"/>
      <c r="S419" s="38"/>
      <c r="T419" s="38"/>
      <c r="U419" s="38"/>
    </row>
    <row r="420" spans="1:21">
      <c r="A420" s="43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43" t="str">
        <f t="shared" si="6"/>
        <v/>
      </c>
      <c r="O420" s="38"/>
      <c r="P420" s="41"/>
      <c r="Q420" s="38"/>
      <c r="R420" s="38"/>
      <c r="S420" s="38"/>
      <c r="T420" s="38"/>
      <c r="U420" s="38"/>
    </row>
    <row r="421" spans="1:21">
      <c r="A421" s="43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43" t="str">
        <f t="shared" si="6"/>
        <v/>
      </c>
      <c r="O421" s="38"/>
      <c r="P421" s="41"/>
      <c r="Q421" s="38"/>
      <c r="R421" s="38"/>
      <c r="S421" s="38"/>
      <c r="T421" s="38"/>
      <c r="U421" s="38"/>
    </row>
    <row r="422" spans="1:21">
      <c r="A422" s="43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43" t="str">
        <f t="shared" si="6"/>
        <v/>
      </c>
      <c r="O422" s="38"/>
      <c r="P422" s="41"/>
      <c r="Q422" s="38"/>
      <c r="R422" s="38"/>
      <c r="S422" s="38"/>
      <c r="T422" s="38"/>
      <c r="U422" s="38"/>
    </row>
    <row r="423" spans="1:21">
      <c r="A423" s="43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43" t="str">
        <f t="shared" si="6"/>
        <v/>
      </c>
      <c r="O423" s="38"/>
      <c r="P423" s="41"/>
      <c r="Q423" s="38"/>
      <c r="R423" s="38"/>
      <c r="S423" s="38"/>
      <c r="T423" s="38"/>
      <c r="U423" s="38"/>
    </row>
    <row r="424" spans="1:21">
      <c r="A424" s="43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43" t="str">
        <f t="shared" si="6"/>
        <v/>
      </c>
      <c r="O424" s="38"/>
      <c r="P424" s="41"/>
      <c r="Q424" s="38"/>
      <c r="R424" s="38"/>
      <c r="S424" s="38"/>
      <c r="T424" s="38"/>
      <c r="U424" s="38"/>
    </row>
    <row r="425" spans="1:21">
      <c r="A425" s="43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43" t="str">
        <f t="shared" si="6"/>
        <v/>
      </c>
      <c r="O425" s="38"/>
      <c r="P425" s="41"/>
      <c r="Q425" s="38"/>
      <c r="R425" s="38"/>
      <c r="S425" s="38"/>
      <c r="T425" s="38"/>
      <c r="U425" s="38"/>
    </row>
    <row r="426" spans="1:21">
      <c r="A426" s="43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43" t="str">
        <f t="shared" si="6"/>
        <v/>
      </c>
      <c r="O426" s="38"/>
      <c r="P426" s="41"/>
      <c r="Q426" s="38"/>
      <c r="R426" s="38"/>
      <c r="S426" s="38"/>
      <c r="T426" s="38"/>
      <c r="U426" s="38"/>
    </row>
    <row r="427" spans="1:21">
      <c r="A427" s="43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43" t="str">
        <f t="shared" si="6"/>
        <v/>
      </c>
      <c r="O427" s="38"/>
      <c r="P427" s="41"/>
      <c r="Q427" s="38"/>
      <c r="R427" s="38"/>
      <c r="S427" s="38"/>
      <c r="T427" s="38"/>
      <c r="U427" s="38"/>
    </row>
    <row r="428" spans="1:21">
      <c r="A428" s="43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43" t="str">
        <f t="shared" si="6"/>
        <v/>
      </c>
      <c r="O428" s="38"/>
      <c r="P428" s="41"/>
      <c r="Q428" s="38"/>
      <c r="R428" s="38"/>
      <c r="S428" s="38"/>
      <c r="T428" s="38"/>
      <c r="U428" s="38"/>
    </row>
    <row r="429" spans="1:21">
      <c r="A429" s="43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43" t="str">
        <f t="shared" si="6"/>
        <v/>
      </c>
      <c r="O429" s="38"/>
      <c r="P429" s="41"/>
      <c r="Q429" s="38"/>
      <c r="R429" s="38"/>
      <c r="S429" s="38"/>
      <c r="T429" s="38"/>
      <c r="U429" s="38"/>
    </row>
    <row r="430" spans="1:21">
      <c r="A430" s="43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43" t="str">
        <f t="shared" si="6"/>
        <v/>
      </c>
      <c r="O430" s="38"/>
      <c r="P430" s="41"/>
      <c r="Q430" s="38"/>
      <c r="R430" s="38"/>
      <c r="S430" s="38"/>
      <c r="T430" s="38"/>
      <c r="U430" s="38"/>
    </row>
    <row r="431" spans="1:21">
      <c r="A431" s="43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43" t="str">
        <f t="shared" si="6"/>
        <v/>
      </c>
      <c r="O431" s="38"/>
      <c r="P431" s="41"/>
      <c r="Q431" s="38"/>
      <c r="R431" s="38"/>
      <c r="S431" s="38"/>
      <c r="T431" s="38"/>
      <c r="U431" s="38"/>
    </row>
    <row r="432" spans="1:21">
      <c r="A432" s="43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43" t="str">
        <f t="shared" si="6"/>
        <v/>
      </c>
      <c r="O432" s="38"/>
      <c r="P432" s="41"/>
      <c r="Q432" s="38"/>
      <c r="R432" s="38"/>
      <c r="S432" s="38"/>
      <c r="T432" s="38"/>
      <c r="U432" s="38"/>
    </row>
    <row r="433" spans="1:21">
      <c r="A433" s="43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43" t="str">
        <f t="shared" si="6"/>
        <v/>
      </c>
      <c r="O433" s="38"/>
      <c r="P433" s="41"/>
      <c r="Q433" s="38"/>
      <c r="R433" s="38"/>
      <c r="S433" s="38"/>
      <c r="T433" s="38"/>
      <c r="U433" s="38"/>
    </row>
    <row r="434" spans="1:21">
      <c r="A434" s="43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43" t="str">
        <f t="shared" si="6"/>
        <v/>
      </c>
      <c r="O434" s="38"/>
      <c r="P434" s="41"/>
      <c r="Q434" s="38"/>
      <c r="R434" s="38"/>
      <c r="S434" s="38"/>
      <c r="T434" s="38"/>
      <c r="U434" s="38"/>
    </row>
    <row r="435" spans="1:21">
      <c r="A435" s="43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43" t="str">
        <f t="shared" si="6"/>
        <v/>
      </c>
      <c r="O435" s="38"/>
      <c r="P435" s="41"/>
      <c r="Q435" s="38"/>
      <c r="R435" s="38"/>
      <c r="S435" s="38"/>
      <c r="T435" s="38"/>
      <c r="U435" s="38"/>
    </row>
    <row r="436" spans="1:21">
      <c r="A436" s="43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43" t="str">
        <f t="shared" si="6"/>
        <v/>
      </c>
      <c r="O436" s="38"/>
      <c r="P436" s="41"/>
      <c r="Q436" s="38"/>
      <c r="R436" s="38"/>
      <c r="S436" s="38"/>
      <c r="T436" s="38"/>
      <c r="U436" s="38"/>
    </row>
    <row r="437" spans="1:21">
      <c r="A437" s="43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43" t="str">
        <f t="shared" si="6"/>
        <v/>
      </c>
      <c r="O437" s="38"/>
      <c r="P437" s="41"/>
      <c r="Q437" s="38"/>
      <c r="R437" s="38"/>
      <c r="S437" s="38"/>
      <c r="T437" s="38"/>
      <c r="U437" s="38"/>
    </row>
    <row r="438" spans="1:21">
      <c r="A438" s="43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43" t="str">
        <f t="shared" si="6"/>
        <v/>
      </c>
      <c r="O438" s="38"/>
      <c r="P438" s="41"/>
      <c r="Q438" s="38"/>
      <c r="R438" s="38"/>
      <c r="S438" s="38"/>
      <c r="T438" s="38"/>
      <c r="U438" s="38"/>
    </row>
    <row r="439" spans="1:21">
      <c r="A439" s="43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43" t="str">
        <f t="shared" si="6"/>
        <v/>
      </c>
      <c r="O439" s="38"/>
      <c r="P439" s="41"/>
      <c r="Q439" s="38"/>
      <c r="R439" s="38"/>
      <c r="S439" s="38"/>
      <c r="T439" s="38"/>
      <c r="U439" s="38"/>
    </row>
    <row r="440" spans="1:21">
      <c r="A440" s="43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43" t="str">
        <f t="shared" si="6"/>
        <v/>
      </c>
      <c r="O440" s="38"/>
      <c r="P440" s="41"/>
      <c r="Q440" s="38"/>
      <c r="R440" s="38"/>
      <c r="S440" s="38"/>
      <c r="T440" s="38"/>
      <c r="U440" s="38"/>
    </row>
    <row r="441" spans="1:21">
      <c r="A441" s="43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43" t="str">
        <f t="shared" si="6"/>
        <v/>
      </c>
      <c r="O441" s="38"/>
      <c r="P441" s="41"/>
      <c r="Q441" s="38"/>
      <c r="R441" s="38"/>
      <c r="S441" s="38"/>
      <c r="T441" s="38"/>
      <c r="U441" s="38"/>
    </row>
    <row r="442" spans="1:21">
      <c r="A442" s="43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43" t="str">
        <f t="shared" si="6"/>
        <v/>
      </c>
      <c r="O442" s="38"/>
      <c r="P442" s="41"/>
      <c r="Q442" s="38"/>
      <c r="R442" s="38"/>
      <c r="S442" s="38"/>
      <c r="T442" s="38"/>
      <c r="U442" s="38"/>
    </row>
    <row r="443" spans="1:21">
      <c r="A443" s="43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43" t="str">
        <f t="shared" si="6"/>
        <v/>
      </c>
      <c r="O443" s="38"/>
      <c r="P443" s="41"/>
      <c r="Q443" s="38"/>
      <c r="R443" s="38"/>
      <c r="S443" s="38"/>
      <c r="T443" s="38"/>
      <c r="U443" s="38"/>
    </row>
    <row r="444" spans="1:21">
      <c r="A444" s="43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43" t="str">
        <f t="shared" si="6"/>
        <v/>
      </c>
      <c r="O444" s="38"/>
      <c r="P444" s="41"/>
      <c r="Q444" s="38"/>
      <c r="R444" s="38"/>
      <c r="S444" s="38"/>
      <c r="T444" s="38"/>
      <c r="U444" s="38"/>
    </row>
    <row r="445" spans="1:21">
      <c r="A445" s="43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43" t="str">
        <f t="shared" si="6"/>
        <v/>
      </c>
      <c r="O445" s="38"/>
      <c r="P445" s="41"/>
      <c r="Q445" s="38"/>
      <c r="R445" s="38"/>
      <c r="S445" s="38"/>
      <c r="T445" s="38"/>
      <c r="U445" s="38"/>
    </row>
    <row r="446" spans="1:21">
      <c r="A446" s="43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43" t="str">
        <f t="shared" si="6"/>
        <v/>
      </c>
      <c r="O446" s="38"/>
      <c r="P446" s="41"/>
      <c r="Q446" s="38"/>
      <c r="R446" s="38"/>
      <c r="S446" s="38"/>
      <c r="T446" s="38"/>
      <c r="U446" s="38"/>
    </row>
    <row r="447" spans="1:21">
      <c r="A447" s="43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43" t="str">
        <f t="shared" si="6"/>
        <v/>
      </c>
      <c r="O447" s="38"/>
      <c r="P447" s="41"/>
      <c r="Q447" s="38"/>
      <c r="R447" s="38"/>
      <c r="S447" s="38"/>
      <c r="T447" s="38"/>
      <c r="U447" s="38"/>
    </row>
    <row r="448" spans="1:21">
      <c r="A448" s="43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43" t="str">
        <f t="shared" si="6"/>
        <v/>
      </c>
      <c r="O448" s="38"/>
      <c r="P448" s="41"/>
      <c r="Q448" s="38"/>
      <c r="R448" s="38"/>
      <c r="S448" s="38"/>
      <c r="T448" s="38"/>
      <c r="U448" s="38"/>
    </row>
    <row r="449" spans="1:21">
      <c r="A449" s="43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43" t="str">
        <f t="shared" si="6"/>
        <v/>
      </c>
      <c r="O449" s="38"/>
      <c r="P449" s="41"/>
      <c r="Q449" s="38"/>
      <c r="R449" s="38"/>
      <c r="S449" s="38"/>
      <c r="T449" s="38"/>
      <c r="U449" s="38"/>
    </row>
    <row r="450" spans="1:21">
      <c r="A450" s="43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43" t="str">
        <f t="shared" si="6"/>
        <v/>
      </c>
      <c r="O450" s="38"/>
      <c r="P450" s="41"/>
      <c r="Q450" s="38"/>
      <c r="R450" s="38"/>
      <c r="S450" s="38"/>
      <c r="T450" s="38"/>
      <c r="U450" s="38"/>
    </row>
    <row r="451" spans="1:21">
      <c r="A451" s="43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43" t="str">
        <f t="shared" ref="N451:N456" si="7">_xlfn.TEXTJOIN(", ",TRUE, L451, M451)</f>
        <v/>
      </c>
      <c r="O451" s="38"/>
      <c r="P451" s="41"/>
      <c r="Q451" s="38"/>
      <c r="R451" s="38"/>
      <c r="S451" s="38"/>
      <c r="T451" s="38"/>
      <c r="U451" s="38"/>
    </row>
    <row r="452" spans="1:21">
      <c r="A452" s="43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43" t="str">
        <f t="shared" si="7"/>
        <v/>
      </c>
      <c r="O452" s="38"/>
      <c r="P452" s="41"/>
      <c r="Q452" s="38"/>
      <c r="R452" s="38"/>
      <c r="S452" s="38"/>
      <c r="T452" s="38"/>
      <c r="U452" s="38"/>
    </row>
    <row r="453" spans="1:21">
      <c r="A453" s="43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43" t="str">
        <f t="shared" si="7"/>
        <v/>
      </c>
      <c r="O453" s="38"/>
      <c r="P453" s="41"/>
      <c r="Q453" s="38"/>
      <c r="R453" s="38"/>
      <c r="S453" s="38"/>
      <c r="T453" s="38"/>
      <c r="U453" s="38"/>
    </row>
    <row r="454" spans="1:21">
      <c r="A454" s="43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43" t="str">
        <f t="shared" si="7"/>
        <v/>
      </c>
      <c r="O454" s="38"/>
      <c r="P454" s="41"/>
      <c r="Q454" s="38"/>
      <c r="R454" s="38"/>
      <c r="S454" s="38"/>
      <c r="T454" s="38"/>
      <c r="U454" s="38"/>
    </row>
    <row r="455" spans="1:21">
      <c r="A455" s="43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43" t="str">
        <f t="shared" si="7"/>
        <v/>
      </c>
      <c r="O455" s="38"/>
      <c r="P455" s="41"/>
      <c r="Q455" s="38"/>
      <c r="R455" s="38"/>
      <c r="S455" s="38"/>
      <c r="T455" s="38"/>
      <c r="U455" s="38"/>
    </row>
    <row r="456" spans="1:21">
      <c r="N456" s="43" t="str">
        <f t="shared" si="7"/>
        <v/>
      </c>
    </row>
  </sheetData>
  <phoneticPr fontId="9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workbookViewId="0">
      <selection activeCell="B3" sqref="B3:B97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3">
      <c r="A1" s="34" t="s">
        <v>53</v>
      </c>
      <c r="B1" t="s">
        <v>54</v>
      </c>
      <c r="C1" s="34" t="s">
        <v>55</v>
      </c>
      <c r="D1" t="s">
        <v>23</v>
      </c>
      <c r="E1" t="s">
        <v>24</v>
      </c>
      <c r="F1" t="s">
        <v>25</v>
      </c>
      <c r="G1" t="s">
        <v>26</v>
      </c>
      <c r="H1" t="s">
        <v>482</v>
      </c>
      <c r="I1" t="s">
        <v>27</v>
      </c>
      <c r="J1" t="s">
        <v>28</v>
      </c>
      <c r="K1" t="s">
        <v>29</v>
      </c>
      <c r="L1" t="s">
        <v>30</v>
      </c>
      <c r="M1" t="s">
        <v>491</v>
      </c>
      <c r="N1" t="s">
        <v>492</v>
      </c>
      <c r="O1" t="s">
        <v>493</v>
      </c>
      <c r="P1" t="s">
        <v>494</v>
      </c>
      <c r="Q1" t="s">
        <v>495</v>
      </c>
      <c r="R1" t="s">
        <v>496</v>
      </c>
      <c r="S1" t="s">
        <v>497</v>
      </c>
      <c r="T1" t="s">
        <v>498</v>
      </c>
      <c r="U1" t="s">
        <v>499</v>
      </c>
      <c r="V1" t="s">
        <v>31</v>
      </c>
      <c r="W1" t="s">
        <v>543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552</v>
      </c>
    </row>
    <row r="2" spans="1:33">
      <c r="A2" s="34" t="s">
        <v>555</v>
      </c>
      <c r="B2" s="34" t="s">
        <v>541</v>
      </c>
      <c r="C2" s="34" t="s">
        <v>500</v>
      </c>
      <c r="X2"/>
      <c r="AC2" s="3"/>
    </row>
    <row r="3" spans="1:33">
      <c r="B3" s="54" t="s">
        <v>21</v>
      </c>
      <c r="C3" s="55" t="s">
        <v>22</v>
      </c>
      <c r="X3"/>
      <c r="AC3" s="3"/>
    </row>
    <row r="4" spans="1:33">
      <c r="B4" s="54"/>
      <c r="C4" s="55"/>
      <c r="X4"/>
      <c r="AC4" s="3"/>
    </row>
    <row r="5" spans="1:33">
      <c r="B5" s="54"/>
      <c r="C5" s="55"/>
      <c r="X5"/>
    </row>
    <row r="6" spans="1:33">
      <c r="B6" s="54"/>
      <c r="C6" s="55"/>
      <c r="X6"/>
      <c r="AC6" s="3"/>
    </row>
    <row r="7" spans="1:33">
      <c r="B7" s="54"/>
      <c r="C7" s="55"/>
      <c r="X7"/>
      <c r="AC7" s="3"/>
    </row>
    <row r="8" spans="1:33">
      <c r="B8" s="54"/>
      <c r="C8" s="55"/>
      <c r="X8"/>
      <c r="AC8" s="3"/>
    </row>
    <row r="9" spans="1:33">
      <c r="B9" s="54"/>
      <c r="C9" s="55"/>
      <c r="X9"/>
      <c r="AC9" s="3"/>
    </row>
    <row r="10" spans="1:33">
      <c r="B10" s="54"/>
      <c r="C10" s="55"/>
      <c r="X10"/>
    </row>
    <row r="11" spans="1:33">
      <c r="B11" s="54"/>
      <c r="C11" s="55"/>
      <c r="X11"/>
      <c r="AC11" s="3"/>
    </row>
    <row r="12" spans="1:33">
      <c r="B12" s="54"/>
      <c r="C12" s="55"/>
      <c r="X12"/>
    </row>
    <row r="13" spans="1:33">
      <c r="B13" s="54"/>
      <c r="C13" s="55"/>
      <c r="X13"/>
      <c r="AF13" s="4"/>
    </row>
    <row r="14" spans="1:33">
      <c r="B14" s="54"/>
      <c r="C14" s="55"/>
      <c r="X14"/>
      <c r="AC14" s="3"/>
    </row>
    <row r="15" spans="1:33">
      <c r="B15" s="54"/>
      <c r="C15" s="55"/>
      <c r="X15"/>
    </row>
    <row r="16" spans="1:33">
      <c r="B16" s="54"/>
      <c r="C16" s="55"/>
      <c r="X16"/>
      <c r="AC16" s="3"/>
    </row>
    <row r="17" spans="2:37">
      <c r="B17" s="54"/>
      <c r="C17" s="55"/>
      <c r="X17"/>
    </row>
    <row r="18" spans="2:37">
      <c r="B18" s="54"/>
      <c r="C18" s="55"/>
      <c r="X18"/>
      <c r="AC18" s="3"/>
    </row>
    <row r="19" spans="2:37">
      <c r="B19" s="54"/>
      <c r="C19" s="55"/>
      <c r="X19"/>
      <c r="AC19" s="3"/>
    </row>
    <row r="20" spans="2:37">
      <c r="B20" s="54"/>
      <c r="C20" s="55"/>
      <c r="X20"/>
      <c r="AC20" s="3"/>
    </row>
    <row r="21" spans="2:37">
      <c r="B21" s="54"/>
      <c r="C21" s="55"/>
      <c r="X21"/>
      <c r="AC21" s="3"/>
    </row>
    <row r="22" spans="2:37">
      <c r="B22" s="54"/>
      <c r="C22" s="55"/>
      <c r="X22"/>
      <c r="AC22" s="3"/>
    </row>
    <row r="23" spans="2:37">
      <c r="B23" s="54"/>
      <c r="C23" s="55"/>
      <c r="X23"/>
      <c r="AC23" s="3"/>
    </row>
    <row r="24" spans="2:37">
      <c r="B24" s="54"/>
      <c r="C24" s="55"/>
      <c r="X24"/>
      <c r="AC24" s="3"/>
    </row>
    <row r="25" spans="2:37">
      <c r="B25" s="54"/>
      <c r="C25" s="55"/>
      <c r="X25"/>
      <c r="AC25" s="3"/>
      <c r="AK25" s="3"/>
    </row>
    <row r="26" spans="2:37">
      <c r="B26" s="54"/>
      <c r="C26" s="55"/>
      <c r="X26"/>
      <c r="AK26" s="3"/>
    </row>
    <row r="27" spans="2:37">
      <c r="B27" s="54"/>
      <c r="C27" s="55"/>
      <c r="X27"/>
      <c r="AK27" s="3"/>
    </row>
    <row r="28" spans="2:37">
      <c r="B28" s="54"/>
      <c r="C28" s="55"/>
      <c r="X28"/>
      <c r="AK28" s="3"/>
    </row>
    <row r="29" spans="2:37">
      <c r="B29" s="54"/>
      <c r="C29" s="55"/>
      <c r="X29"/>
      <c r="AK29" s="3"/>
    </row>
    <row r="30" spans="2:37">
      <c r="B30" s="54"/>
      <c r="C30" s="55"/>
      <c r="X30"/>
    </row>
    <row r="31" spans="2:37">
      <c r="B31" s="54"/>
      <c r="C31" s="55"/>
      <c r="X31"/>
      <c r="AK31" s="3"/>
    </row>
    <row r="32" spans="2:37">
      <c r="B32" s="54"/>
      <c r="C32" s="55"/>
      <c r="X32"/>
    </row>
    <row r="33" spans="2:41">
      <c r="B33" s="54"/>
      <c r="C33" s="55"/>
      <c r="X33"/>
      <c r="AK33" s="3"/>
    </row>
    <row r="34" spans="2:41">
      <c r="B34" s="54"/>
      <c r="C34" s="55"/>
      <c r="X34"/>
      <c r="AK34" s="3"/>
    </row>
    <row r="35" spans="2:41">
      <c r="B35" s="54"/>
      <c r="C35" s="55"/>
      <c r="X35"/>
      <c r="AK35" s="3"/>
    </row>
    <row r="36" spans="2:41">
      <c r="B36" s="54"/>
      <c r="C36" s="55"/>
      <c r="X36"/>
      <c r="AK36" s="3"/>
    </row>
    <row r="37" spans="2:41">
      <c r="B37" s="54"/>
      <c r="C37" s="55"/>
      <c r="X37"/>
    </row>
    <row r="38" spans="2:41">
      <c r="B38" s="54"/>
      <c r="C38" s="55"/>
      <c r="X38"/>
      <c r="AK38" s="3"/>
    </row>
    <row r="39" spans="2:41">
      <c r="B39" s="54"/>
      <c r="C39" s="55"/>
      <c r="X39"/>
      <c r="AK39" s="3"/>
    </row>
    <row r="40" spans="2:41">
      <c r="B40" s="54"/>
      <c r="C40" s="55"/>
      <c r="X40"/>
      <c r="AK40" s="3"/>
    </row>
    <row r="41" spans="2:41">
      <c r="B41" s="54"/>
      <c r="C41" s="55"/>
      <c r="X41"/>
      <c r="AK41" s="3"/>
    </row>
    <row r="42" spans="2:41">
      <c r="B42" s="54"/>
      <c r="C42" s="55"/>
      <c r="X42"/>
      <c r="AK42" s="3"/>
    </row>
    <row r="43" spans="2:41">
      <c r="B43" s="54"/>
      <c r="C43" s="55"/>
      <c r="X43"/>
      <c r="AO43" s="4"/>
    </row>
    <row r="44" spans="2:41">
      <c r="B44" s="54"/>
      <c r="C44" s="55"/>
      <c r="X44"/>
    </row>
    <row r="45" spans="2:41">
      <c r="B45" s="54"/>
      <c r="C45" s="55"/>
      <c r="X45"/>
      <c r="AK45" s="3"/>
    </row>
    <row r="46" spans="2:41">
      <c r="B46" s="54"/>
      <c r="C46" s="55"/>
      <c r="X46"/>
      <c r="AK46" s="3"/>
    </row>
    <row r="47" spans="2:41">
      <c r="B47" s="54"/>
      <c r="C47" s="55"/>
      <c r="X47"/>
      <c r="AK47" s="3"/>
    </row>
    <row r="48" spans="2:41">
      <c r="B48" s="54"/>
      <c r="C48" s="55"/>
      <c r="X48"/>
    </row>
    <row r="49" spans="2:37">
      <c r="B49" s="54"/>
      <c r="C49" s="55"/>
      <c r="X49"/>
      <c r="AK49" s="3"/>
    </row>
    <row r="50" spans="2:37">
      <c r="B50" s="54"/>
      <c r="C50" s="55"/>
      <c r="X50"/>
      <c r="AK50" s="3"/>
    </row>
    <row r="51" spans="2:37">
      <c r="B51" s="54"/>
      <c r="C51" s="55"/>
      <c r="X51"/>
      <c r="AK51" s="3"/>
    </row>
    <row r="52" spans="2:37">
      <c r="B52" s="54"/>
      <c r="C52" s="55"/>
      <c r="X52"/>
      <c r="AK52" s="3"/>
    </row>
    <row r="53" spans="2:37">
      <c r="B53" s="54"/>
      <c r="C53" s="55"/>
      <c r="X53"/>
    </row>
    <row r="54" spans="2:37">
      <c r="B54" s="54"/>
      <c r="C54" s="55"/>
      <c r="X54"/>
      <c r="AK54" s="3"/>
    </row>
    <row r="55" spans="2:37">
      <c r="B55" s="54"/>
      <c r="C55" s="55"/>
      <c r="U55" s="30"/>
    </row>
    <row r="56" spans="2:37">
      <c r="B56" s="54"/>
      <c r="C56" s="55"/>
      <c r="U56" s="30"/>
    </row>
    <row r="57" spans="2:37">
      <c r="B57" s="54"/>
      <c r="C57" s="55"/>
      <c r="U57" s="30"/>
    </row>
    <row r="58" spans="2:37">
      <c r="B58" s="54"/>
      <c r="C58" s="55"/>
      <c r="U58" s="30"/>
    </row>
    <row r="59" spans="2:37">
      <c r="B59" s="54"/>
      <c r="C59" s="55"/>
      <c r="U59" s="30"/>
    </row>
    <row r="60" spans="2:37">
      <c r="B60" s="54"/>
      <c r="C60" s="55"/>
      <c r="U60" s="30"/>
    </row>
    <row r="61" spans="2:37">
      <c r="B61" s="54"/>
      <c r="C61" s="55"/>
      <c r="U61" s="30"/>
    </row>
    <row r="62" spans="2:37">
      <c r="B62" s="54"/>
      <c r="C62" s="55"/>
      <c r="U62" s="30"/>
    </row>
    <row r="63" spans="2:37">
      <c r="B63" s="54"/>
      <c r="C63" s="55"/>
      <c r="U63" s="30"/>
    </row>
    <row r="64" spans="2:37">
      <c r="B64" s="54"/>
      <c r="C64" s="55"/>
      <c r="U64" s="30"/>
    </row>
    <row r="65" spans="2:26">
      <c r="B65" s="54"/>
      <c r="C65" s="55"/>
      <c r="U65" s="30"/>
    </row>
    <row r="66" spans="2:26">
      <c r="B66" s="54"/>
      <c r="C66" s="55"/>
      <c r="U66" s="30"/>
    </row>
    <row r="67" spans="2:26">
      <c r="B67" s="54"/>
      <c r="C67" s="55"/>
      <c r="U67" s="30"/>
    </row>
    <row r="68" spans="2:26">
      <c r="B68" s="54"/>
      <c r="C68" s="55"/>
      <c r="U68" s="30"/>
    </row>
    <row r="69" spans="2:26">
      <c r="B69" s="54"/>
      <c r="C69" s="55"/>
      <c r="U69" s="30"/>
    </row>
    <row r="70" spans="2:26">
      <c r="B70" s="54"/>
      <c r="C70" s="55"/>
      <c r="U70" s="30"/>
    </row>
    <row r="71" spans="2:26">
      <c r="B71" s="54"/>
      <c r="C71" s="55"/>
      <c r="U71" s="30"/>
    </row>
    <row r="72" spans="2:26">
      <c r="B72" s="54"/>
      <c r="C72" s="55"/>
      <c r="U72" s="30"/>
      <c r="Z72" s="3"/>
    </row>
    <row r="73" spans="2:26">
      <c r="B73" s="54"/>
      <c r="C73" s="55"/>
      <c r="U73" s="30"/>
    </row>
    <row r="74" spans="2:26">
      <c r="B74" s="54"/>
      <c r="C74" s="55"/>
      <c r="U74" s="30"/>
      <c r="Z74" s="3"/>
    </row>
    <row r="75" spans="2:26">
      <c r="B75" s="54"/>
      <c r="C75" s="55"/>
      <c r="U75" s="30"/>
    </row>
    <row r="76" spans="2:26">
      <c r="B76" s="54"/>
      <c r="C76" s="55"/>
      <c r="U76" s="30"/>
    </row>
    <row r="77" spans="2:26">
      <c r="B77" s="54"/>
      <c r="C77" s="55"/>
      <c r="U77" s="30"/>
      <c r="Z77" s="3"/>
    </row>
    <row r="78" spans="2:26">
      <c r="B78" s="54"/>
      <c r="C78" s="55"/>
      <c r="U78" s="30"/>
    </row>
    <row r="79" spans="2:26">
      <c r="B79" s="54"/>
      <c r="C79" s="55"/>
      <c r="U79" s="30"/>
    </row>
    <row r="80" spans="2:26">
      <c r="B80" s="54"/>
      <c r="C80" s="55"/>
      <c r="U80" s="30"/>
    </row>
    <row r="81" spans="2:26">
      <c r="B81" s="54"/>
      <c r="C81" s="55"/>
      <c r="U81" s="30"/>
    </row>
    <row r="82" spans="2:26">
      <c r="B82" s="54"/>
      <c r="C82" s="55"/>
      <c r="U82" s="30"/>
    </row>
    <row r="83" spans="2:26">
      <c r="B83" s="54"/>
      <c r="C83" s="55"/>
      <c r="U83" s="30"/>
    </row>
    <row r="84" spans="2:26">
      <c r="B84" s="54"/>
      <c r="C84" s="55"/>
      <c r="U84" s="30"/>
    </row>
    <row r="85" spans="2:26">
      <c r="B85" s="54"/>
      <c r="C85" s="55"/>
      <c r="U85" s="30"/>
    </row>
    <row r="86" spans="2:26">
      <c r="B86" s="54"/>
      <c r="C86" s="55"/>
      <c r="U86" s="30"/>
    </row>
    <row r="87" spans="2:26">
      <c r="B87" s="54"/>
      <c r="C87" s="55"/>
      <c r="U87" s="30"/>
    </row>
    <row r="88" spans="2:26">
      <c r="B88" s="54"/>
      <c r="C88" s="55"/>
      <c r="U88" s="30"/>
    </row>
    <row r="89" spans="2:26">
      <c r="B89" s="54"/>
      <c r="C89" s="55"/>
      <c r="U89" s="30"/>
    </row>
    <row r="90" spans="2:26">
      <c r="B90" s="54"/>
      <c r="C90" s="55"/>
      <c r="U90" s="30"/>
    </row>
    <row r="91" spans="2:26">
      <c r="B91" s="54"/>
      <c r="C91" s="55"/>
      <c r="U91" s="30"/>
    </row>
    <row r="92" spans="2:26">
      <c r="B92" s="54"/>
      <c r="C92" s="55"/>
      <c r="U92" s="30"/>
    </row>
    <row r="93" spans="2:26">
      <c r="B93" s="54"/>
      <c r="C93" s="55"/>
      <c r="U93" s="30"/>
      <c r="Z93" s="3"/>
    </row>
    <row r="94" spans="2:26">
      <c r="B94" s="54"/>
      <c r="C94" s="55"/>
      <c r="U94" s="30"/>
    </row>
    <row r="95" spans="2:26">
      <c r="B95" s="54"/>
      <c r="C95" s="55"/>
      <c r="U95" s="30"/>
    </row>
    <row r="96" spans="2:26">
      <c r="B96" s="54"/>
      <c r="C96" s="55"/>
      <c r="U96" s="30"/>
    </row>
    <row r="97" spans="2:21">
      <c r="B97" s="54"/>
      <c r="C97" s="55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75"/>
  <sheetViews>
    <sheetView workbookViewId="0">
      <selection activeCell="C14" sqref="C14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291</v>
      </c>
      <c r="B1" s="31" t="s">
        <v>290</v>
      </c>
      <c r="G1" s="33" t="s">
        <v>56</v>
      </c>
      <c r="H1" s="12" t="s">
        <v>287</v>
      </c>
      <c r="I1" s="1" t="s">
        <v>13</v>
      </c>
      <c r="J1" s="12" t="s">
        <v>292</v>
      </c>
      <c r="K1" s="12" t="s">
        <v>293</v>
      </c>
      <c r="L1" s="12" t="s">
        <v>294</v>
      </c>
      <c r="M1" s="12" t="s">
        <v>295</v>
      </c>
      <c r="N1" s="1" t="s">
        <v>14</v>
      </c>
    </row>
    <row r="2" spans="1:14" ht="15.75" thickTop="1">
      <c r="A2" s="31" t="s">
        <v>288</v>
      </c>
      <c r="B2" t="s">
        <v>535</v>
      </c>
      <c r="C2" t="s">
        <v>536</v>
      </c>
      <c r="D2" t="s">
        <v>289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57">
        <v>1</v>
      </c>
      <c r="C3" s="57">
        <v>1</v>
      </c>
      <c r="D3" s="57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289</v>
      </c>
      <c r="B4" s="57">
        <v>1</v>
      </c>
      <c r="C4" s="57">
        <v>1</v>
      </c>
      <c r="D4" s="57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99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99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99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ref="H100:H163" si="8">IFERROR(GETPIVOTDATA("Successful / Failed",$A$1,"System serial",G100),0)</f>
        <v>2</v>
      </c>
      <c r="I100" t="str" cm="1">
        <f t="array" ref="I100">_xlfn.IFS(H100&lt;1,"No",H100=1,"Yes",H100&gt;1,_xlfn.TEXTJOIN("",TRUE,"Yes x",H100))</f>
        <v>Yes x2</v>
      </c>
      <c r="J100" s="13">
        <f t="shared" ref="J100:J163" si="9">IFERROR(GETPIVOTDATA("Successful / Failed",$A$1,"System serial",G100,"Successful / Failed","Successful"),0)</f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ref="N100:N163" si="10">_xlfn.TEXTJOIN(", ",TRUE, L100, M100)</f>
        <v>Pass, Fail</v>
      </c>
    </row>
    <row r="101" spans="8:14">
      <c r="H101" s="13">
        <f t="shared" si="8"/>
        <v>2</v>
      </c>
      <c r="I101" t="str" cm="1">
        <f t="array" ref="I101">_xlfn.IFS(H101&lt;1,"No",H101=1,"Yes",H101&gt;1,_xlfn.TEXTJOIN("",TRUE,"Yes x",H101))</f>
        <v>Yes x2</v>
      </c>
      <c r="J101" s="13">
        <f t="shared" si="9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10"/>
        <v>Pass, Fail</v>
      </c>
    </row>
    <row r="102" spans="8:14">
      <c r="H102" s="13">
        <f t="shared" si="8"/>
        <v>2</v>
      </c>
      <c r="I102" t="str" cm="1">
        <f t="array" ref="I102">_xlfn.IFS(H102&lt;1,"No",H102=1,"Yes",H102&gt;1,_xlfn.TEXTJOIN("",TRUE,"Yes x",H102))</f>
        <v>Yes x2</v>
      </c>
      <c r="J102" s="13">
        <f t="shared" si="9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10"/>
        <v>Pass, Fail</v>
      </c>
    </row>
    <row r="103" spans="8:14">
      <c r="H103" s="13">
        <f t="shared" si="8"/>
        <v>2</v>
      </c>
      <c r="I103" t="str" cm="1">
        <f t="array" ref="I103">_xlfn.IFS(H103&lt;1,"No",H103=1,"Yes",H103&gt;1,_xlfn.TEXTJOIN("",TRUE,"Yes x",H103))</f>
        <v>Yes x2</v>
      </c>
      <c r="J103" s="13">
        <f t="shared" si="9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10"/>
        <v>Pass, Fail</v>
      </c>
    </row>
    <row r="104" spans="8:14">
      <c r="H104" s="13">
        <f t="shared" si="8"/>
        <v>2</v>
      </c>
      <c r="I104" t="str" cm="1">
        <f t="array" ref="I104">_xlfn.IFS(H104&lt;1,"No",H104=1,"Yes",H104&gt;1,_xlfn.TEXTJOIN("",TRUE,"Yes x",H104))</f>
        <v>Yes x2</v>
      </c>
      <c r="J104" s="13">
        <f t="shared" si="9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10"/>
        <v>Pass, Fail</v>
      </c>
    </row>
    <row r="105" spans="8:14">
      <c r="H105" s="13">
        <f t="shared" si="8"/>
        <v>2</v>
      </c>
      <c r="I105" t="str" cm="1">
        <f t="array" ref="I105">_xlfn.IFS(H105&lt;1,"No",H105=1,"Yes",H105&gt;1,_xlfn.TEXTJOIN("",TRUE,"Yes x",H105))</f>
        <v>Yes x2</v>
      </c>
      <c r="J105" s="13">
        <f t="shared" si="9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10"/>
        <v>Pass, Fail</v>
      </c>
    </row>
    <row r="106" spans="8:14">
      <c r="H106" s="13">
        <f t="shared" si="8"/>
        <v>2</v>
      </c>
      <c r="I106" t="str" cm="1">
        <f t="array" ref="I106">_xlfn.IFS(H106&lt;1,"No",H106=1,"Yes",H106&gt;1,_xlfn.TEXTJOIN("",TRUE,"Yes x",H106))</f>
        <v>Yes x2</v>
      </c>
      <c r="J106" s="13">
        <f t="shared" si="9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10"/>
        <v>Pass, Fail</v>
      </c>
    </row>
    <row r="107" spans="8:14">
      <c r="H107" s="13">
        <f t="shared" si="8"/>
        <v>2</v>
      </c>
      <c r="I107" t="str" cm="1">
        <f t="array" ref="I107">_xlfn.IFS(H107&lt;1,"No",H107=1,"Yes",H107&gt;1,_xlfn.TEXTJOIN("",TRUE,"Yes x",H107))</f>
        <v>Yes x2</v>
      </c>
      <c r="J107" s="13">
        <f t="shared" si="9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10"/>
        <v>Pass, Fail</v>
      </c>
    </row>
    <row r="108" spans="8:14">
      <c r="H108" s="13">
        <f t="shared" si="8"/>
        <v>2</v>
      </c>
      <c r="I108" t="str" cm="1">
        <f t="array" ref="I108">_xlfn.IFS(H108&lt;1,"No",H108=1,"Yes",H108&gt;1,_xlfn.TEXTJOIN("",TRUE,"Yes x",H108))</f>
        <v>Yes x2</v>
      </c>
      <c r="J108" s="13">
        <f t="shared" si="9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10"/>
        <v>Pass, Fail</v>
      </c>
    </row>
    <row r="109" spans="8:14">
      <c r="H109" s="13">
        <f t="shared" si="8"/>
        <v>2</v>
      </c>
      <c r="I109" t="str" cm="1">
        <f t="array" ref="I109">_xlfn.IFS(H109&lt;1,"No",H109=1,"Yes",H109&gt;1,_xlfn.TEXTJOIN("",TRUE,"Yes x",H109))</f>
        <v>Yes x2</v>
      </c>
      <c r="J109" s="13">
        <f t="shared" si="9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10"/>
        <v>Pass, Fail</v>
      </c>
    </row>
    <row r="110" spans="8:14">
      <c r="H110" s="13">
        <f t="shared" si="8"/>
        <v>2</v>
      </c>
      <c r="I110" t="str" cm="1">
        <f t="array" ref="I110">_xlfn.IFS(H110&lt;1,"No",H110=1,"Yes",H110&gt;1,_xlfn.TEXTJOIN("",TRUE,"Yes x",H110))</f>
        <v>Yes x2</v>
      </c>
      <c r="J110" s="13">
        <f t="shared" si="9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10"/>
        <v>Pass, Fail</v>
      </c>
    </row>
    <row r="111" spans="8:14">
      <c r="H111" s="13">
        <f t="shared" si="8"/>
        <v>2</v>
      </c>
      <c r="I111" t="str" cm="1">
        <f t="array" ref="I111">_xlfn.IFS(H111&lt;1,"No",H111=1,"Yes",H111&gt;1,_xlfn.TEXTJOIN("",TRUE,"Yes x",H111))</f>
        <v>Yes x2</v>
      </c>
      <c r="J111" s="13">
        <f t="shared" si="9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10"/>
        <v>Pass, Fail</v>
      </c>
    </row>
    <row r="112" spans="8:14">
      <c r="H112" s="13">
        <f t="shared" si="8"/>
        <v>2</v>
      </c>
      <c r="I112" t="str" cm="1">
        <f t="array" ref="I112">_xlfn.IFS(H112&lt;1,"No",H112=1,"Yes",H112&gt;1,_xlfn.TEXTJOIN("",TRUE,"Yes x",H112))</f>
        <v>Yes x2</v>
      </c>
      <c r="J112" s="13">
        <f t="shared" si="9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10"/>
        <v>Pass, Fail</v>
      </c>
    </row>
    <row r="113" spans="8:14">
      <c r="H113" s="13">
        <f t="shared" si="8"/>
        <v>2</v>
      </c>
      <c r="I113" t="str" cm="1">
        <f t="array" ref="I113">_xlfn.IFS(H113&lt;1,"No",H113=1,"Yes",H113&gt;1,_xlfn.TEXTJOIN("",TRUE,"Yes x",H113))</f>
        <v>Yes x2</v>
      </c>
      <c r="J113" s="13">
        <f t="shared" si="9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10"/>
        <v>Pass, Fail</v>
      </c>
    </row>
    <row r="114" spans="8:14">
      <c r="H114" s="13">
        <f t="shared" si="8"/>
        <v>2</v>
      </c>
      <c r="I114" t="str" cm="1">
        <f t="array" ref="I114">_xlfn.IFS(H114&lt;1,"No",H114=1,"Yes",H114&gt;1,_xlfn.TEXTJOIN("",TRUE,"Yes x",H114))</f>
        <v>Yes x2</v>
      </c>
      <c r="J114" s="13">
        <f t="shared" si="9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10"/>
        <v>Pass, Fail</v>
      </c>
    </row>
    <row r="115" spans="8:14">
      <c r="H115" s="13">
        <f t="shared" si="8"/>
        <v>2</v>
      </c>
      <c r="I115" t="str" cm="1">
        <f t="array" ref="I115">_xlfn.IFS(H115&lt;1,"No",H115=1,"Yes",H115&gt;1,_xlfn.TEXTJOIN("",TRUE,"Yes x",H115))</f>
        <v>Yes x2</v>
      </c>
      <c r="J115" s="13">
        <f t="shared" si="9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10"/>
        <v>Pass, Fail</v>
      </c>
    </row>
    <row r="116" spans="8:14">
      <c r="H116" s="13">
        <f t="shared" si="8"/>
        <v>2</v>
      </c>
      <c r="I116" t="str" cm="1">
        <f t="array" ref="I116">_xlfn.IFS(H116&lt;1,"No",H116=1,"Yes",H116&gt;1,_xlfn.TEXTJOIN("",TRUE,"Yes x",H116))</f>
        <v>Yes x2</v>
      </c>
      <c r="J116" s="13">
        <f t="shared" si="9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10"/>
        <v>Pass, Fail</v>
      </c>
    </row>
    <row r="117" spans="8:14">
      <c r="H117" s="13">
        <f t="shared" si="8"/>
        <v>2</v>
      </c>
      <c r="I117" t="str" cm="1">
        <f t="array" ref="I117">_xlfn.IFS(H117&lt;1,"No",H117=1,"Yes",H117&gt;1,_xlfn.TEXTJOIN("",TRUE,"Yes x",H117))</f>
        <v>Yes x2</v>
      </c>
      <c r="J117" s="13">
        <f t="shared" si="9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10"/>
        <v>Pass, Fail</v>
      </c>
    </row>
    <row r="118" spans="8:14">
      <c r="H118" s="13">
        <f t="shared" si="8"/>
        <v>2</v>
      </c>
      <c r="I118" t="str" cm="1">
        <f t="array" ref="I118">_xlfn.IFS(H118&lt;1,"No",H118=1,"Yes",H118&gt;1,_xlfn.TEXTJOIN("",TRUE,"Yes x",H118))</f>
        <v>Yes x2</v>
      </c>
      <c r="J118" s="13">
        <f t="shared" si="9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10"/>
        <v>Pass, Fail</v>
      </c>
    </row>
    <row r="119" spans="8:14">
      <c r="H119" s="13">
        <f t="shared" si="8"/>
        <v>2</v>
      </c>
      <c r="I119" t="str" cm="1">
        <f t="array" ref="I119">_xlfn.IFS(H119&lt;1,"No",H119=1,"Yes",H119&gt;1,_xlfn.TEXTJOIN("",TRUE,"Yes x",H119))</f>
        <v>Yes x2</v>
      </c>
      <c r="J119" s="13">
        <f t="shared" si="9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10"/>
        <v>Pass, Fail</v>
      </c>
    </row>
    <row r="120" spans="8:14">
      <c r="H120" s="13">
        <f t="shared" si="8"/>
        <v>2</v>
      </c>
      <c r="I120" t="str" cm="1">
        <f t="array" ref="I120">_xlfn.IFS(H120&lt;1,"No",H120=1,"Yes",H120&gt;1,_xlfn.TEXTJOIN("",TRUE,"Yes x",H120))</f>
        <v>Yes x2</v>
      </c>
      <c r="J120" s="13">
        <f t="shared" si="9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10"/>
        <v>Pass, Fail</v>
      </c>
    </row>
    <row r="121" spans="8:14">
      <c r="H121" s="13">
        <f t="shared" si="8"/>
        <v>2</v>
      </c>
      <c r="I121" t="str" cm="1">
        <f t="array" ref="I121">_xlfn.IFS(H121&lt;1,"No",H121=1,"Yes",H121&gt;1,_xlfn.TEXTJOIN("",TRUE,"Yes x",H121))</f>
        <v>Yes x2</v>
      </c>
      <c r="J121" s="13">
        <f t="shared" si="9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10"/>
        <v>Pass, Fail</v>
      </c>
    </row>
    <row r="122" spans="8:14">
      <c r="H122" s="13">
        <f t="shared" si="8"/>
        <v>2</v>
      </c>
      <c r="I122" t="str" cm="1">
        <f t="array" ref="I122">_xlfn.IFS(H122&lt;1,"No",H122=1,"Yes",H122&gt;1,_xlfn.TEXTJOIN("",TRUE,"Yes x",H122))</f>
        <v>Yes x2</v>
      </c>
      <c r="J122" s="13">
        <f t="shared" si="9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10"/>
        <v>Pass, Fail</v>
      </c>
    </row>
    <row r="123" spans="8:14">
      <c r="H123" s="13">
        <f t="shared" si="8"/>
        <v>2</v>
      </c>
      <c r="I123" t="str" cm="1">
        <f t="array" ref="I123">_xlfn.IFS(H123&lt;1,"No",H123=1,"Yes",H123&gt;1,_xlfn.TEXTJOIN("",TRUE,"Yes x",H123))</f>
        <v>Yes x2</v>
      </c>
      <c r="J123" s="13">
        <f t="shared" si="9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10"/>
        <v>Pass, Fail</v>
      </c>
    </row>
    <row r="124" spans="8:14">
      <c r="H124" s="13">
        <f t="shared" si="8"/>
        <v>2</v>
      </c>
      <c r="I124" t="str" cm="1">
        <f t="array" ref="I124">_xlfn.IFS(H124&lt;1,"No",H124=1,"Yes",H124&gt;1,_xlfn.TEXTJOIN("",TRUE,"Yes x",H124))</f>
        <v>Yes x2</v>
      </c>
      <c r="J124" s="13">
        <f t="shared" si="9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10"/>
        <v>Pass, Fail</v>
      </c>
    </row>
    <row r="125" spans="8:14">
      <c r="H125" s="13">
        <f t="shared" si="8"/>
        <v>2</v>
      </c>
      <c r="I125" t="str" cm="1">
        <f t="array" ref="I125">_xlfn.IFS(H125&lt;1,"No",H125=1,"Yes",H125&gt;1,_xlfn.TEXTJOIN("",TRUE,"Yes x",H125))</f>
        <v>Yes x2</v>
      </c>
      <c r="J125" s="13">
        <f t="shared" si="9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10"/>
        <v>Pass, Fail</v>
      </c>
    </row>
    <row r="126" spans="8:14">
      <c r="H126" s="13">
        <f t="shared" si="8"/>
        <v>2</v>
      </c>
      <c r="I126" t="str" cm="1">
        <f t="array" ref="I126">_xlfn.IFS(H126&lt;1,"No",H126=1,"Yes",H126&gt;1,_xlfn.TEXTJOIN("",TRUE,"Yes x",H126))</f>
        <v>Yes x2</v>
      </c>
      <c r="J126" s="13">
        <f t="shared" si="9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10"/>
        <v>Pass, Fail</v>
      </c>
    </row>
    <row r="127" spans="8:14">
      <c r="H127" s="13">
        <f t="shared" si="8"/>
        <v>2</v>
      </c>
      <c r="I127" t="str" cm="1">
        <f t="array" ref="I127">_xlfn.IFS(H127&lt;1,"No",H127=1,"Yes",H127&gt;1,_xlfn.TEXTJOIN("",TRUE,"Yes x",H127))</f>
        <v>Yes x2</v>
      </c>
      <c r="J127" s="13">
        <f t="shared" si="9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10"/>
        <v>Pass, Fail</v>
      </c>
    </row>
    <row r="128" spans="8:14">
      <c r="H128" s="13">
        <f t="shared" si="8"/>
        <v>2</v>
      </c>
      <c r="I128" t="str" cm="1">
        <f t="array" ref="I128">_xlfn.IFS(H128&lt;1,"No",H128=1,"Yes",H128&gt;1,_xlfn.TEXTJOIN("",TRUE,"Yes x",H128))</f>
        <v>Yes x2</v>
      </c>
      <c r="J128" s="13">
        <f t="shared" si="9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10"/>
        <v>Pass, Fail</v>
      </c>
    </row>
    <row r="129" spans="8:14">
      <c r="H129" s="13">
        <f t="shared" si="8"/>
        <v>2</v>
      </c>
      <c r="I129" t="str" cm="1">
        <f t="array" ref="I129">_xlfn.IFS(H129&lt;1,"No",H129=1,"Yes",H129&gt;1,_xlfn.TEXTJOIN("",TRUE,"Yes x",H129))</f>
        <v>Yes x2</v>
      </c>
      <c r="J129" s="13">
        <f t="shared" si="9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10"/>
        <v>Pass, Fail</v>
      </c>
    </row>
    <row r="130" spans="8:14">
      <c r="H130" s="13">
        <f t="shared" si="8"/>
        <v>2</v>
      </c>
      <c r="I130" t="str" cm="1">
        <f t="array" ref="I130">_xlfn.IFS(H130&lt;1,"No",H130=1,"Yes",H130&gt;1,_xlfn.TEXTJOIN("",TRUE,"Yes x",H130))</f>
        <v>Yes x2</v>
      </c>
      <c r="J130" s="13">
        <f t="shared" si="9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10"/>
        <v>Pass, Fail</v>
      </c>
    </row>
    <row r="131" spans="8:14">
      <c r="H131" s="13">
        <f t="shared" si="8"/>
        <v>2</v>
      </c>
      <c r="I131" t="str" cm="1">
        <f t="array" ref="I131">_xlfn.IFS(H131&lt;1,"No",H131=1,"Yes",H131&gt;1,_xlfn.TEXTJOIN("",TRUE,"Yes x",H131))</f>
        <v>Yes x2</v>
      </c>
      <c r="J131" s="13">
        <f t="shared" si="9"/>
        <v>1</v>
      </c>
      <c r="K131" s="13">
        <f t="shared" ref="K131:K194" si="11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si="10"/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1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0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1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0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1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0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1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0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1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0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1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0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1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0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1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0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1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0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1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0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1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0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1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0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1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0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1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0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1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0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1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0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1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0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1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0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1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0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1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0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1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0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1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0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1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0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1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0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1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0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1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0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1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0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1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0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1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0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1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0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1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0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1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0"/>
        <v>Pass, Fail</v>
      </c>
    </row>
    <row r="164" spans="8:14">
      <c r="H164" s="13">
        <f t="shared" ref="H164:H227" si="12">IFERROR(GETPIVOTDATA("Successful / Failed",$A$1,"System serial",G164),0)</f>
        <v>2</v>
      </c>
      <c r="I164" t="str" cm="1">
        <f t="array" ref="I164">_xlfn.IFS(H164&lt;1,"No",H164=1,"Yes",H164&gt;1,_xlfn.TEXTJOIN("",TRUE,"Yes x",H164))</f>
        <v>Yes x2</v>
      </c>
      <c r="J164" s="13">
        <f t="shared" ref="J164:J227" si="13">IFERROR(GETPIVOTDATA("Successful / Failed",$A$1,"System serial",G164,"Successful / Failed","Successful"),0)</f>
        <v>1</v>
      </c>
      <c r="K164" s="13">
        <f t="shared" si="11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ref="N164:N227" si="14">_xlfn.TEXTJOIN(", ",TRUE, L164, M164)</f>
        <v>Pass, Fail</v>
      </c>
    </row>
    <row r="165" spans="8:14">
      <c r="H165" s="13">
        <f t="shared" si="12"/>
        <v>2</v>
      </c>
      <c r="I165" t="str" cm="1">
        <f t="array" ref="I165">_xlfn.IFS(H165&lt;1,"No",H165=1,"Yes",H165&gt;1,_xlfn.TEXTJOIN("",TRUE,"Yes x",H165))</f>
        <v>Yes x2</v>
      </c>
      <c r="J165" s="13">
        <f t="shared" si="13"/>
        <v>1</v>
      </c>
      <c r="K165" s="13">
        <f t="shared" si="11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4"/>
        <v>Pass, Fail</v>
      </c>
    </row>
    <row r="166" spans="8:14">
      <c r="H166" s="13">
        <f t="shared" si="12"/>
        <v>2</v>
      </c>
      <c r="I166" t="str" cm="1">
        <f t="array" ref="I166">_xlfn.IFS(H166&lt;1,"No",H166=1,"Yes",H166&gt;1,_xlfn.TEXTJOIN("",TRUE,"Yes x",H166))</f>
        <v>Yes x2</v>
      </c>
      <c r="J166" s="13">
        <f t="shared" si="13"/>
        <v>1</v>
      </c>
      <c r="K166" s="13">
        <f t="shared" si="11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4"/>
        <v>Pass, Fail</v>
      </c>
    </row>
    <row r="167" spans="8:14">
      <c r="H167" s="13">
        <f t="shared" si="12"/>
        <v>2</v>
      </c>
      <c r="I167" t="str" cm="1">
        <f t="array" ref="I167">_xlfn.IFS(H167&lt;1,"No",H167=1,"Yes",H167&gt;1,_xlfn.TEXTJOIN("",TRUE,"Yes x",H167))</f>
        <v>Yes x2</v>
      </c>
      <c r="J167" s="13">
        <f t="shared" si="13"/>
        <v>1</v>
      </c>
      <c r="K167" s="13">
        <f t="shared" si="11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4"/>
        <v>Pass, Fail</v>
      </c>
    </row>
    <row r="168" spans="8:14">
      <c r="H168" s="13">
        <f t="shared" si="12"/>
        <v>2</v>
      </c>
      <c r="I168" t="str" cm="1">
        <f t="array" ref="I168">_xlfn.IFS(H168&lt;1,"No",H168=1,"Yes",H168&gt;1,_xlfn.TEXTJOIN("",TRUE,"Yes x",H168))</f>
        <v>Yes x2</v>
      </c>
      <c r="J168" s="13">
        <f t="shared" si="13"/>
        <v>1</v>
      </c>
      <c r="K168" s="13">
        <f t="shared" si="11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4"/>
        <v>Pass, Fail</v>
      </c>
    </row>
    <row r="169" spans="8:14">
      <c r="H169" s="13">
        <f t="shared" si="12"/>
        <v>2</v>
      </c>
      <c r="I169" t="str" cm="1">
        <f t="array" ref="I169">_xlfn.IFS(H169&lt;1,"No",H169=1,"Yes",H169&gt;1,_xlfn.TEXTJOIN("",TRUE,"Yes x",H169))</f>
        <v>Yes x2</v>
      </c>
      <c r="J169" s="13">
        <f t="shared" si="13"/>
        <v>1</v>
      </c>
      <c r="K169" s="13">
        <f t="shared" si="11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4"/>
        <v>Pass, Fail</v>
      </c>
    </row>
    <row r="170" spans="8:14">
      <c r="H170" s="13">
        <f t="shared" si="12"/>
        <v>2</v>
      </c>
      <c r="I170" t="str" cm="1">
        <f t="array" ref="I170">_xlfn.IFS(H170&lt;1,"No",H170=1,"Yes",H170&gt;1,_xlfn.TEXTJOIN("",TRUE,"Yes x",H170))</f>
        <v>Yes x2</v>
      </c>
      <c r="J170" s="13">
        <f t="shared" si="13"/>
        <v>1</v>
      </c>
      <c r="K170" s="13">
        <f t="shared" si="11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4"/>
        <v>Pass, Fail</v>
      </c>
    </row>
    <row r="171" spans="8:14">
      <c r="H171" s="13">
        <f t="shared" si="12"/>
        <v>2</v>
      </c>
      <c r="I171" t="str" cm="1">
        <f t="array" ref="I171">_xlfn.IFS(H171&lt;1,"No",H171=1,"Yes",H171&gt;1,_xlfn.TEXTJOIN("",TRUE,"Yes x",H171))</f>
        <v>Yes x2</v>
      </c>
      <c r="J171" s="13">
        <f t="shared" si="13"/>
        <v>1</v>
      </c>
      <c r="K171" s="13">
        <f t="shared" si="11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4"/>
        <v>Pass, Fail</v>
      </c>
    </row>
    <row r="172" spans="8:14">
      <c r="H172" s="13">
        <f t="shared" si="12"/>
        <v>2</v>
      </c>
      <c r="I172" t="str" cm="1">
        <f t="array" ref="I172">_xlfn.IFS(H172&lt;1,"No",H172=1,"Yes",H172&gt;1,_xlfn.TEXTJOIN("",TRUE,"Yes x",H172))</f>
        <v>Yes x2</v>
      </c>
      <c r="J172" s="13">
        <f t="shared" si="13"/>
        <v>1</v>
      </c>
      <c r="K172" s="13">
        <f t="shared" si="11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4"/>
        <v>Pass, Fail</v>
      </c>
    </row>
    <row r="173" spans="8:14">
      <c r="H173" s="13">
        <f t="shared" si="12"/>
        <v>2</v>
      </c>
      <c r="I173" t="str" cm="1">
        <f t="array" ref="I173">_xlfn.IFS(H173&lt;1,"No",H173=1,"Yes",H173&gt;1,_xlfn.TEXTJOIN("",TRUE,"Yes x",H173))</f>
        <v>Yes x2</v>
      </c>
      <c r="J173" s="13">
        <f t="shared" si="13"/>
        <v>1</v>
      </c>
      <c r="K173" s="13">
        <f t="shared" si="11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4"/>
        <v>Pass, Fail</v>
      </c>
    </row>
    <row r="174" spans="8:14">
      <c r="H174" s="13">
        <f t="shared" si="12"/>
        <v>2</v>
      </c>
      <c r="I174" t="str" cm="1">
        <f t="array" ref="I174">_xlfn.IFS(H174&lt;1,"No",H174=1,"Yes",H174&gt;1,_xlfn.TEXTJOIN("",TRUE,"Yes x",H174))</f>
        <v>Yes x2</v>
      </c>
      <c r="J174" s="13">
        <f t="shared" si="13"/>
        <v>1</v>
      </c>
      <c r="K174" s="13">
        <f t="shared" si="11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4"/>
        <v>Pass, Fail</v>
      </c>
    </row>
    <row r="175" spans="8:14">
      <c r="H175" s="13">
        <f t="shared" si="12"/>
        <v>2</v>
      </c>
      <c r="I175" t="str" cm="1">
        <f t="array" ref="I175">_xlfn.IFS(H175&lt;1,"No",H175=1,"Yes",H175&gt;1,_xlfn.TEXTJOIN("",TRUE,"Yes x",H175))</f>
        <v>Yes x2</v>
      </c>
      <c r="J175" s="13">
        <f t="shared" si="13"/>
        <v>1</v>
      </c>
      <c r="K175" s="13">
        <f t="shared" si="11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4"/>
        <v>Pass, Fail</v>
      </c>
    </row>
    <row r="176" spans="8:14">
      <c r="H176" s="13">
        <f t="shared" si="12"/>
        <v>2</v>
      </c>
      <c r="I176" t="str" cm="1">
        <f t="array" ref="I176">_xlfn.IFS(H176&lt;1,"No",H176=1,"Yes",H176&gt;1,_xlfn.TEXTJOIN("",TRUE,"Yes x",H176))</f>
        <v>Yes x2</v>
      </c>
      <c r="J176" s="13">
        <f t="shared" si="13"/>
        <v>1</v>
      </c>
      <c r="K176" s="13">
        <f t="shared" si="11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4"/>
        <v>Pass, Fail</v>
      </c>
    </row>
    <row r="177" spans="8:14">
      <c r="H177" s="13">
        <f t="shared" si="12"/>
        <v>2</v>
      </c>
      <c r="I177" t="str" cm="1">
        <f t="array" ref="I177">_xlfn.IFS(H177&lt;1,"No",H177=1,"Yes",H177&gt;1,_xlfn.TEXTJOIN("",TRUE,"Yes x",H177))</f>
        <v>Yes x2</v>
      </c>
      <c r="J177" s="13">
        <f t="shared" si="13"/>
        <v>1</v>
      </c>
      <c r="K177" s="13">
        <f t="shared" si="11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4"/>
        <v>Pass, Fail</v>
      </c>
    </row>
    <row r="178" spans="8:14">
      <c r="H178" s="13">
        <f t="shared" si="12"/>
        <v>2</v>
      </c>
      <c r="I178" t="str" cm="1">
        <f t="array" ref="I178">_xlfn.IFS(H178&lt;1,"No",H178=1,"Yes",H178&gt;1,_xlfn.TEXTJOIN("",TRUE,"Yes x",H178))</f>
        <v>Yes x2</v>
      </c>
      <c r="J178" s="13">
        <f t="shared" si="13"/>
        <v>1</v>
      </c>
      <c r="K178" s="13">
        <f t="shared" si="11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4"/>
        <v>Pass, Fail</v>
      </c>
    </row>
    <row r="179" spans="8:14">
      <c r="H179" s="13">
        <f t="shared" si="12"/>
        <v>2</v>
      </c>
      <c r="I179" t="str" cm="1">
        <f t="array" ref="I179">_xlfn.IFS(H179&lt;1,"No",H179=1,"Yes",H179&gt;1,_xlfn.TEXTJOIN("",TRUE,"Yes x",H179))</f>
        <v>Yes x2</v>
      </c>
      <c r="J179" s="13">
        <f t="shared" si="13"/>
        <v>1</v>
      </c>
      <c r="K179" s="13">
        <f t="shared" si="11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4"/>
        <v>Pass, Fail</v>
      </c>
    </row>
    <row r="180" spans="8:14">
      <c r="H180" s="13">
        <f t="shared" si="12"/>
        <v>2</v>
      </c>
      <c r="I180" t="str" cm="1">
        <f t="array" ref="I180">_xlfn.IFS(H180&lt;1,"No",H180=1,"Yes",H180&gt;1,_xlfn.TEXTJOIN("",TRUE,"Yes x",H180))</f>
        <v>Yes x2</v>
      </c>
      <c r="J180" s="13">
        <f t="shared" si="13"/>
        <v>1</v>
      </c>
      <c r="K180" s="13">
        <f t="shared" si="11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4"/>
        <v>Pass, Fail</v>
      </c>
    </row>
    <row r="181" spans="8:14">
      <c r="H181" s="13">
        <f t="shared" si="12"/>
        <v>2</v>
      </c>
      <c r="I181" t="str" cm="1">
        <f t="array" ref="I181">_xlfn.IFS(H181&lt;1,"No",H181=1,"Yes",H181&gt;1,_xlfn.TEXTJOIN("",TRUE,"Yes x",H181))</f>
        <v>Yes x2</v>
      </c>
      <c r="J181" s="13">
        <f t="shared" si="13"/>
        <v>1</v>
      </c>
      <c r="K181" s="13">
        <f t="shared" si="11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4"/>
        <v>Pass, Fail</v>
      </c>
    </row>
    <row r="182" spans="8:14">
      <c r="H182" s="13">
        <f t="shared" si="12"/>
        <v>2</v>
      </c>
      <c r="I182" t="str" cm="1">
        <f t="array" ref="I182">_xlfn.IFS(H182&lt;1,"No",H182=1,"Yes",H182&gt;1,_xlfn.TEXTJOIN("",TRUE,"Yes x",H182))</f>
        <v>Yes x2</v>
      </c>
      <c r="J182" s="13">
        <f t="shared" si="13"/>
        <v>1</v>
      </c>
      <c r="K182" s="13">
        <f t="shared" si="11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4"/>
        <v>Pass, Fail</v>
      </c>
    </row>
    <row r="183" spans="8:14">
      <c r="H183" s="13">
        <f t="shared" si="12"/>
        <v>2</v>
      </c>
      <c r="I183" t="str" cm="1">
        <f t="array" ref="I183">_xlfn.IFS(H183&lt;1,"No",H183=1,"Yes",H183&gt;1,_xlfn.TEXTJOIN("",TRUE,"Yes x",H183))</f>
        <v>Yes x2</v>
      </c>
      <c r="J183" s="13">
        <f t="shared" si="13"/>
        <v>1</v>
      </c>
      <c r="K183" s="13">
        <f t="shared" si="11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4"/>
        <v>Pass, Fail</v>
      </c>
    </row>
    <row r="184" spans="8:14">
      <c r="H184" s="13">
        <f t="shared" si="12"/>
        <v>2</v>
      </c>
      <c r="I184" t="str" cm="1">
        <f t="array" ref="I184">_xlfn.IFS(H184&lt;1,"No",H184=1,"Yes",H184&gt;1,_xlfn.TEXTJOIN("",TRUE,"Yes x",H184))</f>
        <v>Yes x2</v>
      </c>
      <c r="J184" s="13">
        <f t="shared" si="13"/>
        <v>1</v>
      </c>
      <c r="K184" s="13">
        <f t="shared" si="11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4"/>
        <v>Pass, Fail</v>
      </c>
    </row>
    <row r="185" spans="8:14">
      <c r="H185" s="13">
        <f t="shared" si="12"/>
        <v>2</v>
      </c>
      <c r="I185" t="str" cm="1">
        <f t="array" ref="I185">_xlfn.IFS(H185&lt;1,"No",H185=1,"Yes",H185&gt;1,_xlfn.TEXTJOIN("",TRUE,"Yes x",H185))</f>
        <v>Yes x2</v>
      </c>
      <c r="J185" s="13">
        <f t="shared" si="13"/>
        <v>1</v>
      </c>
      <c r="K185" s="13">
        <f t="shared" si="11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4"/>
        <v>Pass, Fail</v>
      </c>
    </row>
    <row r="186" spans="8:14">
      <c r="H186" s="13">
        <f t="shared" si="12"/>
        <v>2</v>
      </c>
      <c r="I186" t="str" cm="1">
        <f t="array" ref="I186">_xlfn.IFS(H186&lt;1,"No",H186=1,"Yes",H186&gt;1,_xlfn.TEXTJOIN("",TRUE,"Yes x",H186))</f>
        <v>Yes x2</v>
      </c>
      <c r="J186" s="13">
        <f t="shared" si="13"/>
        <v>1</v>
      </c>
      <c r="K186" s="13">
        <f t="shared" si="11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4"/>
        <v>Pass, Fail</v>
      </c>
    </row>
    <row r="187" spans="8:14">
      <c r="H187" s="13">
        <f t="shared" si="12"/>
        <v>2</v>
      </c>
      <c r="I187" t="str" cm="1">
        <f t="array" ref="I187">_xlfn.IFS(H187&lt;1,"No",H187=1,"Yes",H187&gt;1,_xlfn.TEXTJOIN("",TRUE,"Yes x",H187))</f>
        <v>Yes x2</v>
      </c>
      <c r="J187" s="13">
        <f t="shared" si="13"/>
        <v>1</v>
      </c>
      <c r="K187" s="13">
        <f t="shared" si="11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4"/>
        <v>Pass, Fail</v>
      </c>
    </row>
    <row r="188" spans="8:14">
      <c r="H188" s="13">
        <f t="shared" si="12"/>
        <v>2</v>
      </c>
      <c r="I188" t="str" cm="1">
        <f t="array" ref="I188">_xlfn.IFS(H188&lt;1,"No",H188=1,"Yes",H188&gt;1,_xlfn.TEXTJOIN("",TRUE,"Yes x",H188))</f>
        <v>Yes x2</v>
      </c>
      <c r="J188" s="13">
        <f t="shared" si="13"/>
        <v>1</v>
      </c>
      <c r="K188" s="13">
        <f t="shared" si="11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4"/>
        <v>Pass, Fail</v>
      </c>
    </row>
    <row r="189" spans="8:14">
      <c r="H189" s="13">
        <f t="shared" si="12"/>
        <v>2</v>
      </c>
      <c r="I189" t="str" cm="1">
        <f t="array" ref="I189">_xlfn.IFS(H189&lt;1,"No",H189=1,"Yes",H189&gt;1,_xlfn.TEXTJOIN("",TRUE,"Yes x",H189))</f>
        <v>Yes x2</v>
      </c>
      <c r="J189" s="13">
        <f t="shared" si="13"/>
        <v>1</v>
      </c>
      <c r="K189" s="13">
        <f t="shared" si="11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4"/>
        <v>Pass, Fail</v>
      </c>
    </row>
    <row r="190" spans="8:14">
      <c r="H190" s="13">
        <f t="shared" si="12"/>
        <v>2</v>
      </c>
      <c r="I190" t="str" cm="1">
        <f t="array" ref="I190">_xlfn.IFS(H190&lt;1,"No",H190=1,"Yes",H190&gt;1,_xlfn.TEXTJOIN("",TRUE,"Yes x",H190))</f>
        <v>Yes x2</v>
      </c>
      <c r="J190" s="13">
        <f t="shared" si="13"/>
        <v>1</v>
      </c>
      <c r="K190" s="13">
        <f t="shared" si="11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4"/>
        <v>Pass, Fail</v>
      </c>
    </row>
    <row r="191" spans="8:14">
      <c r="H191" s="13">
        <f t="shared" si="12"/>
        <v>2</v>
      </c>
      <c r="I191" t="str" cm="1">
        <f t="array" ref="I191">_xlfn.IFS(H191&lt;1,"No",H191=1,"Yes",H191&gt;1,_xlfn.TEXTJOIN("",TRUE,"Yes x",H191))</f>
        <v>Yes x2</v>
      </c>
      <c r="J191" s="13">
        <f t="shared" si="13"/>
        <v>1</v>
      </c>
      <c r="K191" s="13">
        <f t="shared" si="11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4"/>
        <v>Pass, Fail</v>
      </c>
    </row>
    <row r="192" spans="8:14">
      <c r="H192" s="13">
        <f t="shared" si="12"/>
        <v>2</v>
      </c>
      <c r="I192" t="str" cm="1">
        <f t="array" ref="I192">_xlfn.IFS(H192&lt;1,"No",H192=1,"Yes",H192&gt;1,_xlfn.TEXTJOIN("",TRUE,"Yes x",H192))</f>
        <v>Yes x2</v>
      </c>
      <c r="J192" s="13">
        <f t="shared" si="13"/>
        <v>1</v>
      </c>
      <c r="K192" s="13">
        <f t="shared" si="11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4"/>
        <v>Pass, Fail</v>
      </c>
    </row>
    <row r="193" spans="8:14">
      <c r="H193" s="13">
        <f t="shared" si="12"/>
        <v>2</v>
      </c>
      <c r="I193" t="str" cm="1">
        <f t="array" ref="I193">_xlfn.IFS(H193&lt;1,"No",H193=1,"Yes",H193&gt;1,_xlfn.TEXTJOIN("",TRUE,"Yes x",H193))</f>
        <v>Yes x2</v>
      </c>
      <c r="J193" s="13">
        <f t="shared" si="13"/>
        <v>1</v>
      </c>
      <c r="K193" s="13">
        <f t="shared" si="11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4"/>
        <v>Pass, Fail</v>
      </c>
    </row>
    <row r="194" spans="8:14">
      <c r="H194" s="13">
        <f t="shared" si="12"/>
        <v>2</v>
      </c>
      <c r="I194" t="str" cm="1">
        <f t="array" ref="I194">_xlfn.IFS(H194&lt;1,"No",H194=1,"Yes",H194&gt;1,_xlfn.TEXTJOIN("",TRUE,"Yes x",H194))</f>
        <v>Yes x2</v>
      </c>
      <c r="J194" s="13">
        <f t="shared" si="13"/>
        <v>1</v>
      </c>
      <c r="K194" s="13">
        <f t="shared" si="11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4"/>
        <v>Pass, Fail</v>
      </c>
    </row>
    <row r="195" spans="8:14">
      <c r="H195" s="13">
        <f t="shared" si="12"/>
        <v>2</v>
      </c>
      <c r="I195" t="str" cm="1">
        <f t="array" ref="I195">_xlfn.IFS(H195&lt;1,"No",H195=1,"Yes",H195&gt;1,_xlfn.TEXTJOIN("",TRUE,"Yes x",H195))</f>
        <v>Yes x2</v>
      </c>
      <c r="J195" s="13">
        <f t="shared" si="13"/>
        <v>1</v>
      </c>
      <c r="K195" s="13">
        <f t="shared" ref="K195:K258" si="15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si="14"/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5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4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5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4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5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4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5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4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5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4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5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4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5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4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5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4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5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4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5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4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5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4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5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4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5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4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5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4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5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4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5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4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5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4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5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4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5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4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5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4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5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4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5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4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5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4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5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4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5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4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5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4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5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4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5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4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5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4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5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4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5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4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5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4"/>
        <v>Pass, Fail</v>
      </c>
    </row>
    <row r="228" spans="8:14">
      <c r="H228" s="13">
        <f t="shared" ref="H228:H291" si="16">IFERROR(GETPIVOTDATA("Successful / Failed",$A$1,"System serial",G228),0)</f>
        <v>2</v>
      </c>
      <c r="I228" t="str" cm="1">
        <f t="array" ref="I228">_xlfn.IFS(H228&lt;1,"No",H228=1,"Yes",H228&gt;1,_xlfn.TEXTJOIN("",TRUE,"Yes x",H228))</f>
        <v>Yes x2</v>
      </c>
      <c r="J228" s="13">
        <f t="shared" ref="J228:J291" si="17">IFERROR(GETPIVOTDATA("Successful / Failed",$A$1,"System serial",G228,"Successful / Failed","Successful"),0)</f>
        <v>1</v>
      </c>
      <c r="K228" s="13">
        <f t="shared" si="15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ref="N228:N291" si="18">_xlfn.TEXTJOIN(", ",TRUE, L228, M228)</f>
        <v>Pass, Fail</v>
      </c>
    </row>
    <row r="229" spans="8:14">
      <c r="H229" s="13">
        <f t="shared" si="16"/>
        <v>2</v>
      </c>
      <c r="I229" t="str" cm="1">
        <f t="array" ref="I229">_xlfn.IFS(H229&lt;1,"No",H229=1,"Yes",H229&gt;1,_xlfn.TEXTJOIN("",TRUE,"Yes x",H229))</f>
        <v>Yes x2</v>
      </c>
      <c r="J229" s="13">
        <f t="shared" si="17"/>
        <v>1</v>
      </c>
      <c r="K229" s="13">
        <f t="shared" si="15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8"/>
        <v>Pass, Fail</v>
      </c>
    </row>
    <row r="230" spans="8:14">
      <c r="H230" s="13">
        <f t="shared" si="16"/>
        <v>2</v>
      </c>
      <c r="I230" t="str" cm="1">
        <f t="array" ref="I230">_xlfn.IFS(H230&lt;1,"No",H230=1,"Yes",H230&gt;1,_xlfn.TEXTJOIN("",TRUE,"Yes x",H230))</f>
        <v>Yes x2</v>
      </c>
      <c r="J230" s="13">
        <f t="shared" si="17"/>
        <v>1</v>
      </c>
      <c r="K230" s="13">
        <f t="shared" si="15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8"/>
        <v>Pass, Fail</v>
      </c>
    </row>
    <row r="231" spans="8:14">
      <c r="H231" s="13">
        <f t="shared" si="16"/>
        <v>2</v>
      </c>
      <c r="I231" t="str" cm="1">
        <f t="array" ref="I231">_xlfn.IFS(H231&lt;1,"No",H231=1,"Yes",H231&gt;1,_xlfn.TEXTJOIN("",TRUE,"Yes x",H231))</f>
        <v>Yes x2</v>
      </c>
      <c r="J231" s="13">
        <f t="shared" si="17"/>
        <v>1</v>
      </c>
      <c r="K231" s="13">
        <f t="shared" si="15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8"/>
        <v>Pass, Fail</v>
      </c>
    </row>
    <row r="232" spans="8:14">
      <c r="H232" s="13">
        <f t="shared" si="16"/>
        <v>2</v>
      </c>
      <c r="I232" t="str" cm="1">
        <f t="array" ref="I232">_xlfn.IFS(H232&lt;1,"No",H232=1,"Yes",H232&gt;1,_xlfn.TEXTJOIN("",TRUE,"Yes x",H232))</f>
        <v>Yes x2</v>
      </c>
      <c r="J232" s="13">
        <f t="shared" si="17"/>
        <v>1</v>
      </c>
      <c r="K232" s="13">
        <f t="shared" si="15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8"/>
        <v>Pass, Fail</v>
      </c>
    </row>
    <row r="233" spans="8:14">
      <c r="H233" s="13">
        <f t="shared" si="16"/>
        <v>2</v>
      </c>
      <c r="I233" t="str" cm="1">
        <f t="array" ref="I233">_xlfn.IFS(H233&lt;1,"No",H233=1,"Yes",H233&gt;1,_xlfn.TEXTJOIN("",TRUE,"Yes x",H233))</f>
        <v>Yes x2</v>
      </c>
      <c r="J233" s="13">
        <f t="shared" si="17"/>
        <v>1</v>
      </c>
      <c r="K233" s="13">
        <f t="shared" si="15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8"/>
        <v>Pass, Fail</v>
      </c>
    </row>
    <row r="234" spans="8:14">
      <c r="H234" s="13">
        <f t="shared" si="16"/>
        <v>2</v>
      </c>
      <c r="I234" t="str" cm="1">
        <f t="array" ref="I234">_xlfn.IFS(H234&lt;1,"No",H234=1,"Yes",H234&gt;1,_xlfn.TEXTJOIN("",TRUE,"Yes x",H234))</f>
        <v>Yes x2</v>
      </c>
      <c r="J234" s="13">
        <f t="shared" si="17"/>
        <v>1</v>
      </c>
      <c r="K234" s="13">
        <f t="shared" si="15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8"/>
        <v>Pass, Fail</v>
      </c>
    </row>
    <row r="235" spans="8:14">
      <c r="H235" s="13">
        <f t="shared" si="16"/>
        <v>2</v>
      </c>
      <c r="I235" t="str" cm="1">
        <f t="array" ref="I235">_xlfn.IFS(H235&lt;1,"No",H235=1,"Yes",H235&gt;1,_xlfn.TEXTJOIN("",TRUE,"Yes x",H235))</f>
        <v>Yes x2</v>
      </c>
      <c r="J235" s="13">
        <f t="shared" si="17"/>
        <v>1</v>
      </c>
      <c r="K235" s="13">
        <f t="shared" si="15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8"/>
        <v>Pass, Fail</v>
      </c>
    </row>
    <row r="236" spans="8:14">
      <c r="H236" s="13">
        <f t="shared" si="16"/>
        <v>2</v>
      </c>
      <c r="I236" t="str" cm="1">
        <f t="array" ref="I236">_xlfn.IFS(H236&lt;1,"No",H236=1,"Yes",H236&gt;1,_xlfn.TEXTJOIN("",TRUE,"Yes x",H236))</f>
        <v>Yes x2</v>
      </c>
      <c r="J236" s="13">
        <f t="shared" si="17"/>
        <v>1</v>
      </c>
      <c r="K236" s="13">
        <f t="shared" si="15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8"/>
        <v>Pass, Fail</v>
      </c>
    </row>
    <row r="237" spans="8:14">
      <c r="H237" s="13">
        <f t="shared" si="16"/>
        <v>2</v>
      </c>
      <c r="I237" t="str" cm="1">
        <f t="array" ref="I237">_xlfn.IFS(H237&lt;1,"No",H237=1,"Yes",H237&gt;1,_xlfn.TEXTJOIN("",TRUE,"Yes x",H237))</f>
        <v>Yes x2</v>
      </c>
      <c r="J237" s="13">
        <f t="shared" si="17"/>
        <v>1</v>
      </c>
      <c r="K237" s="13">
        <f t="shared" si="15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8"/>
        <v>Pass, Fail</v>
      </c>
    </row>
    <row r="238" spans="8:14">
      <c r="H238" s="13">
        <f t="shared" si="16"/>
        <v>2</v>
      </c>
      <c r="I238" t="str" cm="1">
        <f t="array" ref="I238">_xlfn.IFS(H238&lt;1,"No",H238=1,"Yes",H238&gt;1,_xlfn.TEXTJOIN("",TRUE,"Yes x",H238))</f>
        <v>Yes x2</v>
      </c>
      <c r="J238" s="13">
        <f t="shared" si="17"/>
        <v>1</v>
      </c>
      <c r="K238" s="13">
        <f t="shared" si="15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8"/>
        <v>Pass, Fail</v>
      </c>
    </row>
    <row r="239" spans="8:14">
      <c r="H239" s="13">
        <f t="shared" si="16"/>
        <v>2</v>
      </c>
      <c r="I239" t="str" cm="1">
        <f t="array" ref="I239">_xlfn.IFS(H239&lt;1,"No",H239=1,"Yes",H239&gt;1,_xlfn.TEXTJOIN("",TRUE,"Yes x",H239))</f>
        <v>Yes x2</v>
      </c>
      <c r="J239" s="13">
        <f t="shared" si="17"/>
        <v>1</v>
      </c>
      <c r="K239" s="13">
        <f t="shared" si="15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8"/>
        <v>Pass, Fail</v>
      </c>
    </row>
    <row r="240" spans="8:14">
      <c r="H240" s="13">
        <f t="shared" si="16"/>
        <v>2</v>
      </c>
      <c r="I240" t="str" cm="1">
        <f t="array" ref="I240">_xlfn.IFS(H240&lt;1,"No",H240=1,"Yes",H240&gt;1,_xlfn.TEXTJOIN("",TRUE,"Yes x",H240))</f>
        <v>Yes x2</v>
      </c>
      <c r="J240" s="13">
        <f t="shared" si="17"/>
        <v>1</v>
      </c>
      <c r="K240" s="13">
        <f t="shared" si="15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8"/>
        <v>Pass, Fail</v>
      </c>
    </row>
    <row r="241" spans="8:14">
      <c r="H241" s="13">
        <f t="shared" si="16"/>
        <v>2</v>
      </c>
      <c r="I241" t="str" cm="1">
        <f t="array" ref="I241">_xlfn.IFS(H241&lt;1,"No",H241=1,"Yes",H241&gt;1,_xlfn.TEXTJOIN("",TRUE,"Yes x",H241))</f>
        <v>Yes x2</v>
      </c>
      <c r="J241" s="13">
        <f t="shared" si="17"/>
        <v>1</v>
      </c>
      <c r="K241" s="13">
        <f t="shared" si="15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8"/>
        <v>Pass, Fail</v>
      </c>
    </row>
    <row r="242" spans="8:14">
      <c r="H242" s="13">
        <f t="shared" si="16"/>
        <v>2</v>
      </c>
      <c r="I242" t="str" cm="1">
        <f t="array" ref="I242">_xlfn.IFS(H242&lt;1,"No",H242=1,"Yes",H242&gt;1,_xlfn.TEXTJOIN("",TRUE,"Yes x",H242))</f>
        <v>Yes x2</v>
      </c>
      <c r="J242" s="13">
        <f t="shared" si="17"/>
        <v>1</v>
      </c>
      <c r="K242" s="13">
        <f t="shared" si="15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8"/>
        <v>Pass, Fail</v>
      </c>
    </row>
    <row r="243" spans="8:14">
      <c r="H243" s="13">
        <f t="shared" si="16"/>
        <v>2</v>
      </c>
      <c r="I243" t="str" cm="1">
        <f t="array" ref="I243">_xlfn.IFS(H243&lt;1,"No",H243=1,"Yes",H243&gt;1,_xlfn.TEXTJOIN("",TRUE,"Yes x",H243))</f>
        <v>Yes x2</v>
      </c>
      <c r="J243" s="13">
        <f t="shared" si="17"/>
        <v>1</v>
      </c>
      <c r="K243" s="13">
        <f t="shared" si="15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8"/>
        <v>Pass, Fail</v>
      </c>
    </row>
    <row r="244" spans="8:14">
      <c r="H244" s="13">
        <f t="shared" si="16"/>
        <v>2</v>
      </c>
      <c r="I244" t="str" cm="1">
        <f t="array" ref="I244">_xlfn.IFS(H244&lt;1,"No",H244=1,"Yes",H244&gt;1,_xlfn.TEXTJOIN("",TRUE,"Yes x",H244))</f>
        <v>Yes x2</v>
      </c>
      <c r="J244" s="13">
        <f t="shared" si="17"/>
        <v>1</v>
      </c>
      <c r="K244" s="13">
        <f t="shared" si="15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8"/>
        <v>Pass, Fail</v>
      </c>
    </row>
    <row r="245" spans="8:14">
      <c r="H245" s="13">
        <f t="shared" si="16"/>
        <v>2</v>
      </c>
      <c r="I245" t="str" cm="1">
        <f t="array" ref="I245">_xlfn.IFS(H245&lt;1,"No",H245=1,"Yes",H245&gt;1,_xlfn.TEXTJOIN("",TRUE,"Yes x",H245))</f>
        <v>Yes x2</v>
      </c>
      <c r="J245" s="13">
        <f t="shared" si="17"/>
        <v>1</v>
      </c>
      <c r="K245" s="13">
        <f t="shared" si="15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8"/>
        <v>Pass, Fail</v>
      </c>
    </row>
    <row r="246" spans="8:14">
      <c r="H246" s="13">
        <f t="shared" si="16"/>
        <v>2</v>
      </c>
      <c r="I246" t="str" cm="1">
        <f t="array" ref="I246">_xlfn.IFS(H246&lt;1,"No",H246=1,"Yes",H246&gt;1,_xlfn.TEXTJOIN("",TRUE,"Yes x",H246))</f>
        <v>Yes x2</v>
      </c>
      <c r="J246" s="13">
        <f t="shared" si="17"/>
        <v>1</v>
      </c>
      <c r="K246" s="13">
        <f t="shared" si="15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8"/>
        <v>Pass, Fail</v>
      </c>
    </row>
    <row r="247" spans="8:14">
      <c r="H247" s="13">
        <f t="shared" si="16"/>
        <v>2</v>
      </c>
      <c r="I247" t="str" cm="1">
        <f t="array" ref="I247">_xlfn.IFS(H247&lt;1,"No",H247=1,"Yes",H247&gt;1,_xlfn.TEXTJOIN("",TRUE,"Yes x",H247))</f>
        <v>Yes x2</v>
      </c>
      <c r="J247" s="13">
        <f t="shared" si="17"/>
        <v>1</v>
      </c>
      <c r="K247" s="13">
        <f t="shared" si="15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8"/>
        <v>Pass, Fail</v>
      </c>
    </row>
    <row r="248" spans="8:14">
      <c r="H248" s="13">
        <f t="shared" si="16"/>
        <v>2</v>
      </c>
      <c r="I248" t="str" cm="1">
        <f t="array" ref="I248">_xlfn.IFS(H248&lt;1,"No",H248=1,"Yes",H248&gt;1,_xlfn.TEXTJOIN("",TRUE,"Yes x",H248))</f>
        <v>Yes x2</v>
      </c>
      <c r="J248" s="13">
        <f t="shared" si="17"/>
        <v>1</v>
      </c>
      <c r="K248" s="13">
        <f t="shared" si="15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8"/>
        <v>Pass, Fail</v>
      </c>
    </row>
    <row r="249" spans="8:14">
      <c r="H249" s="13">
        <f t="shared" si="16"/>
        <v>2</v>
      </c>
      <c r="I249" t="str" cm="1">
        <f t="array" ref="I249">_xlfn.IFS(H249&lt;1,"No",H249=1,"Yes",H249&gt;1,_xlfn.TEXTJOIN("",TRUE,"Yes x",H249))</f>
        <v>Yes x2</v>
      </c>
      <c r="J249" s="13">
        <f t="shared" si="17"/>
        <v>1</v>
      </c>
      <c r="K249" s="13">
        <f t="shared" si="15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8"/>
        <v>Pass, Fail</v>
      </c>
    </row>
    <row r="250" spans="8:14">
      <c r="H250" s="13">
        <f t="shared" si="16"/>
        <v>2</v>
      </c>
      <c r="I250" t="str" cm="1">
        <f t="array" ref="I250">_xlfn.IFS(H250&lt;1,"No",H250=1,"Yes",H250&gt;1,_xlfn.TEXTJOIN("",TRUE,"Yes x",H250))</f>
        <v>Yes x2</v>
      </c>
      <c r="J250" s="13">
        <f t="shared" si="17"/>
        <v>1</v>
      </c>
      <c r="K250" s="13">
        <f t="shared" si="15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8"/>
        <v>Pass, Fail</v>
      </c>
    </row>
    <row r="251" spans="8:14">
      <c r="H251" s="13">
        <f t="shared" si="16"/>
        <v>2</v>
      </c>
      <c r="I251" t="str" cm="1">
        <f t="array" ref="I251">_xlfn.IFS(H251&lt;1,"No",H251=1,"Yes",H251&gt;1,_xlfn.TEXTJOIN("",TRUE,"Yes x",H251))</f>
        <v>Yes x2</v>
      </c>
      <c r="J251" s="13">
        <f t="shared" si="17"/>
        <v>1</v>
      </c>
      <c r="K251" s="13">
        <f t="shared" si="15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8"/>
        <v>Pass, Fail</v>
      </c>
    </row>
    <row r="252" spans="8:14">
      <c r="H252" s="13">
        <f t="shared" si="16"/>
        <v>2</v>
      </c>
      <c r="I252" t="str" cm="1">
        <f t="array" ref="I252">_xlfn.IFS(H252&lt;1,"No",H252=1,"Yes",H252&gt;1,_xlfn.TEXTJOIN("",TRUE,"Yes x",H252))</f>
        <v>Yes x2</v>
      </c>
      <c r="J252" s="13">
        <f t="shared" si="17"/>
        <v>1</v>
      </c>
      <c r="K252" s="13">
        <f t="shared" si="15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8"/>
        <v>Pass, Fail</v>
      </c>
    </row>
    <row r="253" spans="8:14">
      <c r="H253" s="13">
        <f t="shared" si="16"/>
        <v>2</v>
      </c>
      <c r="I253" t="str" cm="1">
        <f t="array" ref="I253">_xlfn.IFS(H253&lt;1,"No",H253=1,"Yes",H253&gt;1,_xlfn.TEXTJOIN("",TRUE,"Yes x",H253))</f>
        <v>Yes x2</v>
      </c>
      <c r="J253" s="13">
        <f t="shared" si="17"/>
        <v>1</v>
      </c>
      <c r="K253" s="13">
        <f t="shared" si="15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8"/>
        <v>Pass, Fail</v>
      </c>
    </row>
    <row r="254" spans="8:14">
      <c r="H254" s="13">
        <f t="shared" si="16"/>
        <v>2</v>
      </c>
      <c r="I254" t="str" cm="1">
        <f t="array" ref="I254">_xlfn.IFS(H254&lt;1,"No",H254=1,"Yes",H254&gt;1,_xlfn.TEXTJOIN("",TRUE,"Yes x",H254))</f>
        <v>Yes x2</v>
      </c>
      <c r="J254" s="13">
        <f t="shared" si="17"/>
        <v>1</v>
      </c>
      <c r="K254" s="13">
        <f t="shared" si="15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8"/>
        <v>Pass, Fail</v>
      </c>
    </row>
    <row r="255" spans="8:14">
      <c r="H255" s="13">
        <f t="shared" si="16"/>
        <v>2</v>
      </c>
      <c r="I255" t="str" cm="1">
        <f t="array" ref="I255">_xlfn.IFS(H255&lt;1,"No",H255=1,"Yes",H255&gt;1,_xlfn.TEXTJOIN("",TRUE,"Yes x",H255))</f>
        <v>Yes x2</v>
      </c>
      <c r="J255" s="13">
        <f t="shared" si="17"/>
        <v>1</v>
      </c>
      <c r="K255" s="13">
        <f t="shared" si="15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8"/>
        <v>Pass, Fail</v>
      </c>
    </row>
    <row r="256" spans="8:14">
      <c r="H256" s="13">
        <f t="shared" si="16"/>
        <v>2</v>
      </c>
      <c r="I256" t="str" cm="1">
        <f t="array" ref="I256">_xlfn.IFS(H256&lt;1,"No",H256=1,"Yes",H256&gt;1,_xlfn.TEXTJOIN("",TRUE,"Yes x",H256))</f>
        <v>Yes x2</v>
      </c>
      <c r="J256" s="13">
        <f t="shared" si="17"/>
        <v>1</v>
      </c>
      <c r="K256" s="13">
        <f t="shared" si="15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8"/>
        <v>Pass, Fail</v>
      </c>
    </row>
    <row r="257" spans="8:14">
      <c r="H257" s="13">
        <f t="shared" si="16"/>
        <v>2</v>
      </c>
      <c r="I257" t="str" cm="1">
        <f t="array" ref="I257">_xlfn.IFS(H257&lt;1,"No",H257=1,"Yes",H257&gt;1,_xlfn.TEXTJOIN("",TRUE,"Yes x",H257))</f>
        <v>Yes x2</v>
      </c>
      <c r="J257" s="13">
        <f t="shared" si="17"/>
        <v>1</v>
      </c>
      <c r="K257" s="13">
        <f t="shared" si="15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8"/>
        <v>Pass, Fail</v>
      </c>
    </row>
    <row r="258" spans="8:14">
      <c r="H258" s="13">
        <f t="shared" si="16"/>
        <v>2</v>
      </c>
      <c r="I258" t="str" cm="1">
        <f t="array" ref="I258">_xlfn.IFS(H258&lt;1,"No",H258=1,"Yes",H258&gt;1,_xlfn.TEXTJOIN("",TRUE,"Yes x",H258))</f>
        <v>Yes x2</v>
      </c>
      <c r="J258" s="13">
        <f t="shared" si="17"/>
        <v>1</v>
      </c>
      <c r="K258" s="13">
        <f t="shared" si="15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8"/>
        <v>Pass, Fail</v>
      </c>
    </row>
    <row r="259" spans="8:14">
      <c r="H259" s="13">
        <f t="shared" si="16"/>
        <v>2</v>
      </c>
      <c r="I259" t="str" cm="1">
        <f t="array" ref="I259">_xlfn.IFS(H259&lt;1,"No",H259=1,"Yes",H259&gt;1,_xlfn.TEXTJOIN("",TRUE,"Yes x",H259))</f>
        <v>Yes x2</v>
      </c>
      <c r="J259" s="13">
        <f t="shared" si="17"/>
        <v>1</v>
      </c>
      <c r="K259" s="13">
        <f t="shared" ref="K259:K322" si="19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si="18"/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9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8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9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8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9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8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9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8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9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8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9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8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9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8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9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8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9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8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9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8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9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8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9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8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9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8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9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8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9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8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9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8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9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8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9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8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9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8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9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8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9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8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9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8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9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8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9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8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9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8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9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8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9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8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9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8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9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8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9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8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9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8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9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8"/>
        <v>Pass, Fail</v>
      </c>
    </row>
    <row r="292" spans="8:14">
      <c r="H292" s="13">
        <f t="shared" ref="H292:H355" si="20">IFERROR(GETPIVOTDATA("Successful / Failed",$A$1,"System serial",G292),0)</f>
        <v>2</v>
      </c>
      <c r="I292" t="str" cm="1">
        <f t="array" ref="I292">_xlfn.IFS(H292&lt;1,"No",H292=1,"Yes",H292&gt;1,_xlfn.TEXTJOIN("",TRUE,"Yes x",H292))</f>
        <v>Yes x2</v>
      </c>
      <c r="J292" s="13">
        <f t="shared" ref="J292:J355" si="21">IFERROR(GETPIVOTDATA("Successful / Failed",$A$1,"System serial",G292,"Successful / Failed","Successful"),0)</f>
        <v>1</v>
      </c>
      <c r="K292" s="13">
        <f t="shared" si="19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ref="N292:N355" si="22">_xlfn.TEXTJOIN(", ",TRUE, L292, M292)</f>
        <v>Pass, Fail</v>
      </c>
    </row>
    <row r="293" spans="8:14">
      <c r="H293" s="13">
        <f t="shared" si="20"/>
        <v>2</v>
      </c>
      <c r="I293" t="str" cm="1">
        <f t="array" ref="I293">_xlfn.IFS(H293&lt;1,"No",H293=1,"Yes",H293&gt;1,_xlfn.TEXTJOIN("",TRUE,"Yes x",H293))</f>
        <v>Yes x2</v>
      </c>
      <c r="J293" s="13">
        <f t="shared" si="21"/>
        <v>1</v>
      </c>
      <c r="K293" s="13">
        <f t="shared" si="19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22"/>
        <v>Pass, Fail</v>
      </c>
    </row>
    <row r="294" spans="8:14">
      <c r="H294" s="13">
        <f t="shared" si="20"/>
        <v>2</v>
      </c>
      <c r="I294" t="str" cm="1">
        <f t="array" ref="I294">_xlfn.IFS(H294&lt;1,"No",H294=1,"Yes",H294&gt;1,_xlfn.TEXTJOIN("",TRUE,"Yes x",H294))</f>
        <v>Yes x2</v>
      </c>
      <c r="J294" s="13">
        <f t="shared" si="21"/>
        <v>1</v>
      </c>
      <c r="K294" s="13">
        <f t="shared" si="19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22"/>
        <v>Pass, Fail</v>
      </c>
    </row>
    <row r="295" spans="8:14">
      <c r="H295" s="13">
        <f t="shared" si="20"/>
        <v>2</v>
      </c>
      <c r="I295" t="str" cm="1">
        <f t="array" ref="I295">_xlfn.IFS(H295&lt;1,"No",H295=1,"Yes",H295&gt;1,_xlfn.TEXTJOIN("",TRUE,"Yes x",H295))</f>
        <v>Yes x2</v>
      </c>
      <c r="J295" s="13">
        <f t="shared" si="21"/>
        <v>1</v>
      </c>
      <c r="K295" s="13">
        <f t="shared" si="19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22"/>
        <v>Pass, Fail</v>
      </c>
    </row>
    <row r="296" spans="8:14">
      <c r="H296" s="13">
        <f t="shared" si="20"/>
        <v>2</v>
      </c>
      <c r="I296" t="str" cm="1">
        <f t="array" ref="I296">_xlfn.IFS(H296&lt;1,"No",H296=1,"Yes",H296&gt;1,_xlfn.TEXTJOIN("",TRUE,"Yes x",H296))</f>
        <v>Yes x2</v>
      </c>
      <c r="J296" s="13">
        <f t="shared" si="21"/>
        <v>1</v>
      </c>
      <c r="K296" s="13">
        <f t="shared" si="19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22"/>
        <v>Pass, Fail</v>
      </c>
    </row>
    <row r="297" spans="8:14">
      <c r="H297" s="13">
        <f t="shared" si="20"/>
        <v>2</v>
      </c>
      <c r="I297" t="str" cm="1">
        <f t="array" ref="I297">_xlfn.IFS(H297&lt;1,"No",H297=1,"Yes",H297&gt;1,_xlfn.TEXTJOIN("",TRUE,"Yes x",H297))</f>
        <v>Yes x2</v>
      </c>
      <c r="J297" s="13">
        <f t="shared" si="21"/>
        <v>1</v>
      </c>
      <c r="K297" s="13">
        <f t="shared" si="19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22"/>
        <v>Pass, Fail</v>
      </c>
    </row>
    <row r="298" spans="8:14">
      <c r="H298" s="13">
        <f t="shared" si="20"/>
        <v>2</v>
      </c>
      <c r="I298" t="str" cm="1">
        <f t="array" ref="I298">_xlfn.IFS(H298&lt;1,"No",H298=1,"Yes",H298&gt;1,_xlfn.TEXTJOIN("",TRUE,"Yes x",H298))</f>
        <v>Yes x2</v>
      </c>
      <c r="J298" s="13">
        <f t="shared" si="21"/>
        <v>1</v>
      </c>
      <c r="K298" s="13">
        <f t="shared" si="19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22"/>
        <v>Pass, Fail</v>
      </c>
    </row>
    <row r="299" spans="8:14">
      <c r="H299" s="13">
        <f t="shared" si="20"/>
        <v>2</v>
      </c>
      <c r="I299" t="str" cm="1">
        <f t="array" ref="I299">_xlfn.IFS(H299&lt;1,"No",H299=1,"Yes",H299&gt;1,_xlfn.TEXTJOIN("",TRUE,"Yes x",H299))</f>
        <v>Yes x2</v>
      </c>
      <c r="J299" s="13">
        <f t="shared" si="21"/>
        <v>1</v>
      </c>
      <c r="K299" s="13">
        <f t="shared" si="19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22"/>
        <v>Pass, Fail</v>
      </c>
    </row>
    <row r="300" spans="8:14">
      <c r="H300" s="13">
        <f t="shared" si="20"/>
        <v>2</v>
      </c>
      <c r="I300" t="str" cm="1">
        <f t="array" ref="I300">_xlfn.IFS(H300&lt;1,"No",H300=1,"Yes",H300&gt;1,_xlfn.TEXTJOIN("",TRUE,"Yes x",H300))</f>
        <v>Yes x2</v>
      </c>
      <c r="J300" s="13">
        <f t="shared" si="21"/>
        <v>1</v>
      </c>
      <c r="K300" s="13">
        <f t="shared" si="19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22"/>
        <v>Pass, Fail</v>
      </c>
    </row>
    <row r="301" spans="8:14">
      <c r="H301" s="13">
        <f t="shared" si="20"/>
        <v>2</v>
      </c>
      <c r="I301" t="str" cm="1">
        <f t="array" ref="I301">_xlfn.IFS(H301&lt;1,"No",H301=1,"Yes",H301&gt;1,_xlfn.TEXTJOIN("",TRUE,"Yes x",H301))</f>
        <v>Yes x2</v>
      </c>
      <c r="J301" s="13">
        <f t="shared" si="21"/>
        <v>1</v>
      </c>
      <c r="K301" s="13">
        <f t="shared" si="19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22"/>
        <v>Pass, Fail</v>
      </c>
    </row>
    <row r="302" spans="8:14">
      <c r="H302" s="13">
        <f t="shared" si="20"/>
        <v>2</v>
      </c>
      <c r="I302" t="str" cm="1">
        <f t="array" ref="I302">_xlfn.IFS(H302&lt;1,"No",H302=1,"Yes",H302&gt;1,_xlfn.TEXTJOIN("",TRUE,"Yes x",H302))</f>
        <v>Yes x2</v>
      </c>
      <c r="J302" s="13">
        <f t="shared" si="21"/>
        <v>1</v>
      </c>
      <c r="K302" s="13">
        <f t="shared" si="19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22"/>
        <v>Pass, Fail</v>
      </c>
    </row>
    <row r="303" spans="8:14">
      <c r="H303" s="13">
        <f t="shared" si="20"/>
        <v>2</v>
      </c>
      <c r="I303" t="str" cm="1">
        <f t="array" ref="I303">_xlfn.IFS(H303&lt;1,"No",H303=1,"Yes",H303&gt;1,_xlfn.TEXTJOIN("",TRUE,"Yes x",H303))</f>
        <v>Yes x2</v>
      </c>
      <c r="J303" s="13">
        <f t="shared" si="21"/>
        <v>1</v>
      </c>
      <c r="K303" s="13">
        <f t="shared" si="19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22"/>
        <v>Pass, Fail</v>
      </c>
    </row>
    <row r="304" spans="8:14">
      <c r="H304" s="13">
        <f t="shared" si="20"/>
        <v>2</v>
      </c>
      <c r="I304" t="str" cm="1">
        <f t="array" ref="I304">_xlfn.IFS(H304&lt;1,"No",H304=1,"Yes",H304&gt;1,_xlfn.TEXTJOIN("",TRUE,"Yes x",H304))</f>
        <v>Yes x2</v>
      </c>
      <c r="J304" s="13">
        <f t="shared" si="21"/>
        <v>1</v>
      </c>
      <c r="K304" s="13">
        <f t="shared" si="19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22"/>
        <v>Pass, Fail</v>
      </c>
    </row>
    <row r="305" spans="8:14">
      <c r="H305" s="13">
        <f t="shared" si="20"/>
        <v>2</v>
      </c>
      <c r="I305" t="str" cm="1">
        <f t="array" ref="I305">_xlfn.IFS(H305&lt;1,"No",H305=1,"Yes",H305&gt;1,_xlfn.TEXTJOIN("",TRUE,"Yes x",H305))</f>
        <v>Yes x2</v>
      </c>
      <c r="J305" s="13">
        <f t="shared" si="21"/>
        <v>1</v>
      </c>
      <c r="K305" s="13">
        <f t="shared" si="19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22"/>
        <v>Pass, Fail</v>
      </c>
    </row>
    <row r="306" spans="8:14">
      <c r="H306" s="13">
        <f t="shared" si="20"/>
        <v>2</v>
      </c>
      <c r="I306" t="str" cm="1">
        <f t="array" ref="I306">_xlfn.IFS(H306&lt;1,"No",H306=1,"Yes",H306&gt;1,_xlfn.TEXTJOIN("",TRUE,"Yes x",H306))</f>
        <v>Yes x2</v>
      </c>
      <c r="J306" s="13">
        <f t="shared" si="21"/>
        <v>1</v>
      </c>
      <c r="K306" s="13">
        <f t="shared" si="19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22"/>
        <v>Pass, Fail</v>
      </c>
    </row>
    <row r="307" spans="8:14">
      <c r="H307" s="13">
        <f t="shared" si="20"/>
        <v>2</v>
      </c>
      <c r="I307" t="str" cm="1">
        <f t="array" ref="I307">_xlfn.IFS(H307&lt;1,"No",H307=1,"Yes",H307&gt;1,_xlfn.TEXTJOIN("",TRUE,"Yes x",H307))</f>
        <v>Yes x2</v>
      </c>
      <c r="J307" s="13">
        <f t="shared" si="21"/>
        <v>1</v>
      </c>
      <c r="K307" s="13">
        <f t="shared" si="19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22"/>
        <v>Pass, Fail</v>
      </c>
    </row>
    <row r="308" spans="8:14">
      <c r="H308" s="13">
        <f t="shared" si="20"/>
        <v>2</v>
      </c>
      <c r="I308" t="str" cm="1">
        <f t="array" ref="I308">_xlfn.IFS(H308&lt;1,"No",H308=1,"Yes",H308&gt;1,_xlfn.TEXTJOIN("",TRUE,"Yes x",H308))</f>
        <v>Yes x2</v>
      </c>
      <c r="J308" s="13">
        <f t="shared" si="21"/>
        <v>1</v>
      </c>
      <c r="K308" s="13">
        <f t="shared" si="19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22"/>
        <v>Pass, Fail</v>
      </c>
    </row>
    <row r="309" spans="8:14">
      <c r="H309" s="13">
        <f t="shared" si="20"/>
        <v>2</v>
      </c>
      <c r="I309" t="str" cm="1">
        <f t="array" ref="I309">_xlfn.IFS(H309&lt;1,"No",H309=1,"Yes",H309&gt;1,_xlfn.TEXTJOIN("",TRUE,"Yes x",H309))</f>
        <v>Yes x2</v>
      </c>
      <c r="J309" s="13">
        <f t="shared" si="21"/>
        <v>1</v>
      </c>
      <c r="K309" s="13">
        <f t="shared" si="19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22"/>
        <v>Pass, Fail</v>
      </c>
    </row>
    <row r="310" spans="8:14">
      <c r="H310" s="13">
        <f t="shared" si="20"/>
        <v>2</v>
      </c>
      <c r="I310" t="str" cm="1">
        <f t="array" ref="I310">_xlfn.IFS(H310&lt;1,"No",H310=1,"Yes",H310&gt;1,_xlfn.TEXTJOIN("",TRUE,"Yes x",H310))</f>
        <v>Yes x2</v>
      </c>
      <c r="J310" s="13">
        <f t="shared" si="21"/>
        <v>1</v>
      </c>
      <c r="K310" s="13">
        <f t="shared" si="19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22"/>
        <v>Pass, Fail</v>
      </c>
    </row>
    <row r="311" spans="8:14">
      <c r="H311" s="13">
        <f t="shared" si="20"/>
        <v>2</v>
      </c>
      <c r="I311" t="str" cm="1">
        <f t="array" ref="I311">_xlfn.IFS(H311&lt;1,"No",H311=1,"Yes",H311&gt;1,_xlfn.TEXTJOIN("",TRUE,"Yes x",H311))</f>
        <v>Yes x2</v>
      </c>
      <c r="J311" s="13">
        <f t="shared" si="21"/>
        <v>1</v>
      </c>
      <c r="K311" s="13">
        <f t="shared" si="19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22"/>
        <v>Pass, Fail</v>
      </c>
    </row>
    <row r="312" spans="8:14">
      <c r="H312" s="13">
        <f t="shared" si="20"/>
        <v>2</v>
      </c>
      <c r="I312" t="str" cm="1">
        <f t="array" ref="I312">_xlfn.IFS(H312&lt;1,"No",H312=1,"Yes",H312&gt;1,_xlfn.TEXTJOIN("",TRUE,"Yes x",H312))</f>
        <v>Yes x2</v>
      </c>
      <c r="J312" s="13">
        <f t="shared" si="21"/>
        <v>1</v>
      </c>
      <c r="K312" s="13">
        <f t="shared" si="19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22"/>
        <v>Pass, Fail</v>
      </c>
    </row>
    <row r="313" spans="8:14">
      <c r="H313" s="13">
        <f t="shared" si="20"/>
        <v>2</v>
      </c>
      <c r="I313" t="str" cm="1">
        <f t="array" ref="I313">_xlfn.IFS(H313&lt;1,"No",H313=1,"Yes",H313&gt;1,_xlfn.TEXTJOIN("",TRUE,"Yes x",H313))</f>
        <v>Yes x2</v>
      </c>
      <c r="J313" s="13">
        <f t="shared" si="21"/>
        <v>1</v>
      </c>
      <c r="K313" s="13">
        <f t="shared" si="19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22"/>
        <v>Pass, Fail</v>
      </c>
    </row>
    <row r="314" spans="8:14">
      <c r="H314" s="13">
        <f t="shared" si="20"/>
        <v>2</v>
      </c>
      <c r="I314" t="str" cm="1">
        <f t="array" ref="I314">_xlfn.IFS(H314&lt;1,"No",H314=1,"Yes",H314&gt;1,_xlfn.TEXTJOIN("",TRUE,"Yes x",H314))</f>
        <v>Yes x2</v>
      </c>
      <c r="J314" s="13">
        <f t="shared" si="21"/>
        <v>1</v>
      </c>
      <c r="K314" s="13">
        <f t="shared" si="19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22"/>
        <v>Pass, Fail</v>
      </c>
    </row>
    <row r="315" spans="8:14">
      <c r="H315" s="13">
        <f t="shared" si="20"/>
        <v>2</v>
      </c>
      <c r="I315" t="str" cm="1">
        <f t="array" ref="I315">_xlfn.IFS(H315&lt;1,"No",H315=1,"Yes",H315&gt;1,_xlfn.TEXTJOIN("",TRUE,"Yes x",H315))</f>
        <v>Yes x2</v>
      </c>
      <c r="J315" s="13">
        <f t="shared" si="21"/>
        <v>1</v>
      </c>
      <c r="K315" s="13">
        <f t="shared" si="19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22"/>
        <v>Pass, Fail</v>
      </c>
    </row>
    <row r="316" spans="8:14">
      <c r="H316" s="13">
        <f t="shared" si="20"/>
        <v>2</v>
      </c>
      <c r="I316" t="str" cm="1">
        <f t="array" ref="I316">_xlfn.IFS(H316&lt;1,"No",H316=1,"Yes",H316&gt;1,_xlfn.TEXTJOIN("",TRUE,"Yes x",H316))</f>
        <v>Yes x2</v>
      </c>
      <c r="J316" s="13">
        <f t="shared" si="21"/>
        <v>1</v>
      </c>
      <c r="K316" s="13">
        <f t="shared" si="19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22"/>
        <v>Pass, Fail</v>
      </c>
    </row>
    <row r="317" spans="8:14">
      <c r="H317" s="13">
        <f t="shared" si="20"/>
        <v>2</v>
      </c>
      <c r="I317" t="str" cm="1">
        <f t="array" ref="I317">_xlfn.IFS(H317&lt;1,"No",H317=1,"Yes",H317&gt;1,_xlfn.TEXTJOIN("",TRUE,"Yes x",H317))</f>
        <v>Yes x2</v>
      </c>
      <c r="J317" s="13">
        <f t="shared" si="21"/>
        <v>1</v>
      </c>
      <c r="K317" s="13">
        <f t="shared" si="19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22"/>
        <v>Pass, Fail</v>
      </c>
    </row>
    <row r="318" spans="8:14">
      <c r="H318" s="13">
        <f t="shared" si="20"/>
        <v>2</v>
      </c>
      <c r="I318" t="str" cm="1">
        <f t="array" ref="I318">_xlfn.IFS(H318&lt;1,"No",H318=1,"Yes",H318&gt;1,_xlfn.TEXTJOIN("",TRUE,"Yes x",H318))</f>
        <v>Yes x2</v>
      </c>
      <c r="J318" s="13">
        <f t="shared" si="21"/>
        <v>1</v>
      </c>
      <c r="K318" s="13">
        <f t="shared" si="19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22"/>
        <v>Pass, Fail</v>
      </c>
    </row>
    <row r="319" spans="8:14">
      <c r="H319" s="13">
        <f t="shared" si="20"/>
        <v>2</v>
      </c>
      <c r="I319" t="str" cm="1">
        <f t="array" ref="I319">_xlfn.IFS(H319&lt;1,"No",H319=1,"Yes",H319&gt;1,_xlfn.TEXTJOIN("",TRUE,"Yes x",H319))</f>
        <v>Yes x2</v>
      </c>
      <c r="J319" s="13">
        <f t="shared" si="21"/>
        <v>1</v>
      </c>
      <c r="K319" s="13">
        <f t="shared" si="19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22"/>
        <v>Pass, Fail</v>
      </c>
    </row>
    <row r="320" spans="8:14">
      <c r="H320" s="13">
        <f t="shared" si="20"/>
        <v>2</v>
      </c>
      <c r="I320" t="str" cm="1">
        <f t="array" ref="I320">_xlfn.IFS(H320&lt;1,"No",H320=1,"Yes",H320&gt;1,_xlfn.TEXTJOIN("",TRUE,"Yes x",H320))</f>
        <v>Yes x2</v>
      </c>
      <c r="J320" s="13">
        <f t="shared" si="21"/>
        <v>1</v>
      </c>
      <c r="K320" s="13">
        <f t="shared" si="19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22"/>
        <v>Pass, Fail</v>
      </c>
    </row>
    <row r="321" spans="8:14">
      <c r="H321" s="13">
        <f t="shared" si="20"/>
        <v>2</v>
      </c>
      <c r="I321" t="str" cm="1">
        <f t="array" ref="I321">_xlfn.IFS(H321&lt;1,"No",H321=1,"Yes",H321&gt;1,_xlfn.TEXTJOIN("",TRUE,"Yes x",H321))</f>
        <v>Yes x2</v>
      </c>
      <c r="J321" s="13">
        <f t="shared" si="21"/>
        <v>1</v>
      </c>
      <c r="K321" s="13">
        <f t="shared" si="19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22"/>
        <v>Pass, Fail</v>
      </c>
    </row>
    <row r="322" spans="8:14">
      <c r="H322" s="13">
        <f t="shared" si="20"/>
        <v>2</v>
      </c>
      <c r="I322" t="str" cm="1">
        <f t="array" ref="I322">_xlfn.IFS(H322&lt;1,"No",H322=1,"Yes",H322&gt;1,_xlfn.TEXTJOIN("",TRUE,"Yes x",H322))</f>
        <v>Yes x2</v>
      </c>
      <c r="J322" s="13">
        <f t="shared" si="21"/>
        <v>1</v>
      </c>
      <c r="K322" s="13">
        <f t="shared" si="19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22"/>
        <v>Pass, Fail</v>
      </c>
    </row>
    <row r="323" spans="8:14">
      <c r="H323" s="13">
        <f t="shared" si="20"/>
        <v>2</v>
      </c>
      <c r="I323" t="str" cm="1">
        <f t="array" ref="I323">_xlfn.IFS(H323&lt;1,"No",H323=1,"Yes",H323&gt;1,_xlfn.TEXTJOIN("",TRUE,"Yes x",H323))</f>
        <v>Yes x2</v>
      </c>
      <c r="J323" s="13">
        <f t="shared" si="21"/>
        <v>1</v>
      </c>
      <c r="K323" s="13">
        <f t="shared" ref="K323:K386" si="23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si="22"/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3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2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3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2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3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2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3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2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3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2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3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2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3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2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3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2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3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2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3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2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3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2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3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2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3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2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3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2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3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2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3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2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3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2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3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2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3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2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3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2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3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2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3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2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3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2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3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2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3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2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3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2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3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2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3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2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3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2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3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2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3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2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3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2"/>
        <v>Pass, Fail</v>
      </c>
    </row>
    <row r="356" spans="8:14">
      <c r="H356" s="13">
        <f t="shared" ref="H356:H419" si="24">IFERROR(GETPIVOTDATA("Successful / Failed",$A$1,"System serial",G356),0)</f>
        <v>2</v>
      </c>
      <c r="I356" t="str" cm="1">
        <f t="array" ref="I356">_xlfn.IFS(H356&lt;1,"No",H356=1,"Yes",H356&gt;1,_xlfn.TEXTJOIN("",TRUE,"Yes x",H356))</f>
        <v>Yes x2</v>
      </c>
      <c r="J356" s="13">
        <f t="shared" ref="J356:J419" si="25">IFERROR(GETPIVOTDATA("Successful / Failed",$A$1,"System serial",G356,"Successful / Failed","Successful"),0)</f>
        <v>1</v>
      </c>
      <c r="K356" s="13">
        <f t="shared" si="23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ref="N356:N419" si="26">_xlfn.TEXTJOIN(", ",TRUE, L356, M356)</f>
        <v>Pass, Fail</v>
      </c>
    </row>
    <row r="357" spans="8:14">
      <c r="H357" s="13">
        <f t="shared" si="24"/>
        <v>2</v>
      </c>
      <c r="I357" t="str" cm="1">
        <f t="array" ref="I357">_xlfn.IFS(H357&lt;1,"No",H357=1,"Yes",H357&gt;1,_xlfn.TEXTJOIN("",TRUE,"Yes x",H357))</f>
        <v>Yes x2</v>
      </c>
      <c r="J357" s="13">
        <f t="shared" si="25"/>
        <v>1</v>
      </c>
      <c r="K357" s="13">
        <f t="shared" si="23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6"/>
        <v>Pass, Fail</v>
      </c>
    </row>
    <row r="358" spans="8:14">
      <c r="H358" s="13">
        <f t="shared" si="24"/>
        <v>2</v>
      </c>
      <c r="I358" t="str" cm="1">
        <f t="array" ref="I358">_xlfn.IFS(H358&lt;1,"No",H358=1,"Yes",H358&gt;1,_xlfn.TEXTJOIN("",TRUE,"Yes x",H358))</f>
        <v>Yes x2</v>
      </c>
      <c r="J358" s="13">
        <f t="shared" si="25"/>
        <v>1</v>
      </c>
      <c r="K358" s="13">
        <f t="shared" si="23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6"/>
        <v>Pass, Fail</v>
      </c>
    </row>
    <row r="359" spans="8:14">
      <c r="H359" s="13">
        <f t="shared" si="24"/>
        <v>2</v>
      </c>
      <c r="I359" t="str" cm="1">
        <f t="array" ref="I359">_xlfn.IFS(H359&lt;1,"No",H359=1,"Yes",H359&gt;1,_xlfn.TEXTJOIN("",TRUE,"Yes x",H359))</f>
        <v>Yes x2</v>
      </c>
      <c r="J359" s="13">
        <f t="shared" si="25"/>
        <v>1</v>
      </c>
      <c r="K359" s="13">
        <f t="shared" si="23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6"/>
        <v>Pass, Fail</v>
      </c>
    </row>
    <row r="360" spans="8:14">
      <c r="H360" s="13">
        <f t="shared" si="24"/>
        <v>2</v>
      </c>
      <c r="I360" t="str" cm="1">
        <f t="array" ref="I360">_xlfn.IFS(H360&lt;1,"No",H360=1,"Yes",H360&gt;1,_xlfn.TEXTJOIN("",TRUE,"Yes x",H360))</f>
        <v>Yes x2</v>
      </c>
      <c r="J360" s="13">
        <f t="shared" si="25"/>
        <v>1</v>
      </c>
      <c r="K360" s="13">
        <f t="shared" si="23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6"/>
        <v>Pass, Fail</v>
      </c>
    </row>
    <row r="361" spans="8:14">
      <c r="H361" s="13">
        <f t="shared" si="24"/>
        <v>2</v>
      </c>
      <c r="I361" t="str" cm="1">
        <f t="array" ref="I361">_xlfn.IFS(H361&lt;1,"No",H361=1,"Yes",H361&gt;1,_xlfn.TEXTJOIN("",TRUE,"Yes x",H361))</f>
        <v>Yes x2</v>
      </c>
      <c r="J361" s="13">
        <f t="shared" si="25"/>
        <v>1</v>
      </c>
      <c r="K361" s="13">
        <f t="shared" si="23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6"/>
        <v>Pass, Fail</v>
      </c>
    </row>
    <row r="362" spans="8:14">
      <c r="H362" s="13">
        <f t="shared" si="24"/>
        <v>2</v>
      </c>
      <c r="I362" t="str" cm="1">
        <f t="array" ref="I362">_xlfn.IFS(H362&lt;1,"No",H362=1,"Yes",H362&gt;1,_xlfn.TEXTJOIN("",TRUE,"Yes x",H362))</f>
        <v>Yes x2</v>
      </c>
      <c r="J362" s="13">
        <f t="shared" si="25"/>
        <v>1</v>
      </c>
      <c r="K362" s="13">
        <f t="shared" si="23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6"/>
        <v>Pass, Fail</v>
      </c>
    </row>
    <row r="363" spans="8:14">
      <c r="H363" s="13">
        <f t="shared" si="24"/>
        <v>2</v>
      </c>
      <c r="I363" t="str" cm="1">
        <f t="array" ref="I363">_xlfn.IFS(H363&lt;1,"No",H363=1,"Yes",H363&gt;1,_xlfn.TEXTJOIN("",TRUE,"Yes x",H363))</f>
        <v>Yes x2</v>
      </c>
      <c r="J363" s="13">
        <f t="shared" si="25"/>
        <v>1</v>
      </c>
      <c r="K363" s="13">
        <f t="shared" si="23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6"/>
        <v>Pass, Fail</v>
      </c>
    </row>
    <row r="364" spans="8:14">
      <c r="H364" s="13">
        <f t="shared" si="24"/>
        <v>2</v>
      </c>
      <c r="I364" t="str" cm="1">
        <f t="array" ref="I364">_xlfn.IFS(H364&lt;1,"No",H364=1,"Yes",H364&gt;1,_xlfn.TEXTJOIN("",TRUE,"Yes x",H364))</f>
        <v>Yes x2</v>
      </c>
      <c r="J364" s="13">
        <f t="shared" si="25"/>
        <v>1</v>
      </c>
      <c r="K364" s="13">
        <f t="shared" si="23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6"/>
        <v>Pass, Fail</v>
      </c>
    </row>
    <row r="365" spans="8:14">
      <c r="H365" s="13">
        <f t="shared" si="24"/>
        <v>2</v>
      </c>
      <c r="I365" t="str" cm="1">
        <f t="array" ref="I365">_xlfn.IFS(H365&lt;1,"No",H365=1,"Yes",H365&gt;1,_xlfn.TEXTJOIN("",TRUE,"Yes x",H365))</f>
        <v>Yes x2</v>
      </c>
      <c r="J365" s="13">
        <f t="shared" si="25"/>
        <v>1</v>
      </c>
      <c r="K365" s="13">
        <f t="shared" si="23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6"/>
        <v>Pass, Fail</v>
      </c>
    </row>
    <row r="366" spans="8:14">
      <c r="H366" s="13">
        <f t="shared" si="24"/>
        <v>2</v>
      </c>
      <c r="I366" t="str" cm="1">
        <f t="array" ref="I366">_xlfn.IFS(H366&lt;1,"No",H366=1,"Yes",H366&gt;1,_xlfn.TEXTJOIN("",TRUE,"Yes x",H366))</f>
        <v>Yes x2</v>
      </c>
      <c r="J366" s="13">
        <f t="shared" si="25"/>
        <v>1</v>
      </c>
      <c r="K366" s="13">
        <f t="shared" si="23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6"/>
        <v>Pass, Fail</v>
      </c>
    </row>
    <row r="367" spans="8:14">
      <c r="H367" s="13">
        <f t="shared" si="24"/>
        <v>2</v>
      </c>
      <c r="I367" t="str" cm="1">
        <f t="array" ref="I367">_xlfn.IFS(H367&lt;1,"No",H367=1,"Yes",H367&gt;1,_xlfn.TEXTJOIN("",TRUE,"Yes x",H367))</f>
        <v>Yes x2</v>
      </c>
      <c r="J367" s="13">
        <f t="shared" si="25"/>
        <v>1</v>
      </c>
      <c r="K367" s="13">
        <f t="shared" si="23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6"/>
        <v>Pass, Fail</v>
      </c>
    </row>
    <row r="368" spans="8:14">
      <c r="H368" s="13">
        <f t="shared" si="24"/>
        <v>2</v>
      </c>
      <c r="I368" t="str" cm="1">
        <f t="array" ref="I368">_xlfn.IFS(H368&lt;1,"No",H368=1,"Yes",H368&gt;1,_xlfn.TEXTJOIN("",TRUE,"Yes x",H368))</f>
        <v>Yes x2</v>
      </c>
      <c r="J368" s="13">
        <f t="shared" si="25"/>
        <v>1</v>
      </c>
      <c r="K368" s="13">
        <f t="shared" si="23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6"/>
        <v>Pass, Fail</v>
      </c>
    </row>
    <row r="369" spans="8:14">
      <c r="H369" s="13">
        <f t="shared" si="24"/>
        <v>2</v>
      </c>
      <c r="I369" t="str" cm="1">
        <f t="array" ref="I369">_xlfn.IFS(H369&lt;1,"No",H369=1,"Yes",H369&gt;1,_xlfn.TEXTJOIN("",TRUE,"Yes x",H369))</f>
        <v>Yes x2</v>
      </c>
      <c r="J369" s="13">
        <f t="shared" si="25"/>
        <v>1</v>
      </c>
      <c r="K369" s="13">
        <f t="shared" si="23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6"/>
        <v>Pass, Fail</v>
      </c>
    </row>
    <row r="370" spans="8:14">
      <c r="H370" s="13">
        <f t="shared" si="24"/>
        <v>2</v>
      </c>
      <c r="I370" t="str" cm="1">
        <f t="array" ref="I370">_xlfn.IFS(H370&lt;1,"No",H370=1,"Yes",H370&gt;1,_xlfn.TEXTJOIN("",TRUE,"Yes x",H370))</f>
        <v>Yes x2</v>
      </c>
      <c r="J370" s="13">
        <f t="shared" si="25"/>
        <v>1</v>
      </c>
      <c r="K370" s="13">
        <f t="shared" si="23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6"/>
        <v>Pass, Fail</v>
      </c>
    </row>
    <row r="371" spans="8:14">
      <c r="H371" s="13">
        <f t="shared" si="24"/>
        <v>2</v>
      </c>
      <c r="I371" t="str" cm="1">
        <f t="array" ref="I371">_xlfn.IFS(H371&lt;1,"No",H371=1,"Yes",H371&gt;1,_xlfn.TEXTJOIN("",TRUE,"Yes x",H371))</f>
        <v>Yes x2</v>
      </c>
      <c r="J371" s="13">
        <f t="shared" si="25"/>
        <v>1</v>
      </c>
      <c r="K371" s="13">
        <f t="shared" si="23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6"/>
        <v>Pass, Fail</v>
      </c>
    </row>
    <row r="372" spans="8:14">
      <c r="H372" s="13">
        <f t="shared" si="24"/>
        <v>2</v>
      </c>
      <c r="I372" t="str" cm="1">
        <f t="array" ref="I372">_xlfn.IFS(H372&lt;1,"No",H372=1,"Yes",H372&gt;1,_xlfn.TEXTJOIN("",TRUE,"Yes x",H372))</f>
        <v>Yes x2</v>
      </c>
      <c r="J372" s="13">
        <f t="shared" si="25"/>
        <v>1</v>
      </c>
      <c r="K372" s="13">
        <f t="shared" si="23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6"/>
        <v>Pass, Fail</v>
      </c>
    </row>
    <row r="373" spans="8:14">
      <c r="H373" s="13">
        <f t="shared" si="24"/>
        <v>2</v>
      </c>
      <c r="I373" t="str" cm="1">
        <f t="array" ref="I373">_xlfn.IFS(H373&lt;1,"No",H373=1,"Yes",H373&gt;1,_xlfn.TEXTJOIN("",TRUE,"Yes x",H373))</f>
        <v>Yes x2</v>
      </c>
      <c r="J373" s="13">
        <f t="shared" si="25"/>
        <v>1</v>
      </c>
      <c r="K373" s="13">
        <f t="shared" si="23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6"/>
        <v>Pass, Fail</v>
      </c>
    </row>
    <row r="374" spans="8:14">
      <c r="H374" s="13">
        <f t="shared" si="24"/>
        <v>2</v>
      </c>
      <c r="I374" t="str" cm="1">
        <f t="array" ref="I374">_xlfn.IFS(H374&lt;1,"No",H374=1,"Yes",H374&gt;1,_xlfn.TEXTJOIN("",TRUE,"Yes x",H374))</f>
        <v>Yes x2</v>
      </c>
      <c r="J374" s="13">
        <f t="shared" si="25"/>
        <v>1</v>
      </c>
      <c r="K374" s="13">
        <f t="shared" si="23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6"/>
        <v>Pass, Fail</v>
      </c>
    </row>
    <row r="375" spans="8:14">
      <c r="H375" s="13">
        <f t="shared" si="24"/>
        <v>2</v>
      </c>
      <c r="I375" t="str" cm="1">
        <f t="array" ref="I375">_xlfn.IFS(H375&lt;1,"No",H375=1,"Yes",H375&gt;1,_xlfn.TEXTJOIN("",TRUE,"Yes x",H375))</f>
        <v>Yes x2</v>
      </c>
      <c r="J375" s="13">
        <f t="shared" si="25"/>
        <v>1</v>
      </c>
      <c r="K375" s="13">
        <f t="shared" si="23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6"/>
        <v>Pass, Fail</v>
      </c>
    </row>
    <row r="376" spans="8:14">
      <c r="H376" s="13">
        <f t="shared" si="24"/>
        <v>2</v>
      </c>
      <c r="I376" t="str" cm="1">
        <f t="array" ref="I376">_xlfn.IFS(H376&lt;1,"No",H376=1,"Yes",H376&gt;1,_xlfn.TEXTJOIN("",TRUE,"Yes x",H376))</f>
        <v>Yes x2</v>
      </c>
      <c r="J376" s="13">
        <f t="shared" si="25"/>
        <v>1</v>
      </c>
      <c r="K376" s="13">
        <f t="shared" si="23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6"/>
        <v>Pass, Fail</v>
      </c>
    </row>
    <row r="377" spans="8:14">
      <c r="H377" s="13">
        <f t="shared" si="24"/>
        <v>2</v>
      </c>
      <c r="I377" t="str" cm="1">
        <f t="array" ref="I377">_xlfn.IFS(H377&lt;1,"No",H377=1,"Yes",H377&gt;1,_xlfn.TEXTJOIN("",TRUE,"Yes x",H377))</f>
        <v>Yes x2</v>
      </c>
      <c r="J377" s="13">
        <f t="shared" si="25"/>
        <v>1</v>
      </c>
      <c r="K377" s="13">
        <f t="shared" si="23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6"/>
        <v>Pass, Fail</v>
      </c>
    </row>
    <row r="378" spans="8:14">
      <c r="H378" s="13">
        <f t="shared" si="24"/>
        <v>2</v>
      </c>
      <c r="I378" t="str" cm="1">
        <f t="array" ref="I378">_xlfn.IFS(H378&lt;1,"No",H378=1,"Yes",H378&gt;1,_xlfn.TEXTJOIN("",TRUE,"Yes x",H378))</f>
        <v>Yes x2</v>
      </c>
      <c r="J378" s="13">
        <f t="shared" si="25"/>
        <v>1</v>
      </c>
      <c r="K378" s="13">
        <f t="shared" si="23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6"/>
        <v>Pass, Fail</v>
      </c>
    </row>
    <row r="379" spans="8:14">
      <c r="H379" s="13">
        <f t="shared" si="24"/>
        <v>2</v>
      </c>
      <c r="I379" t="str" cm="1">
        <f t="array" ref="I379">_xlfn.IFS(H379&lt;1,"No",H379=1,"Yes",H379&gt;1,_xlfn.TEXTJOIN("",TRUE,"Yes x",H379))</f>
        <v>Yes x2</v>
      </c>
      <c r="J379" s="13">
        <f t="shared" si="25"/>
        <v>1</v>
      </c>
      <c r="K379" s="13">
        <f t="shared" si="23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6"/>
        <v>Pass, Fail</v>
      </c>
    </row>
    <row r="380" spans="8:14">
      <c r="H380" s="13">
        <f t="shared" si="24"/>
        <v>2</v>
      </c>
      <c r="I380" t="str" cm="1">
        <f t="array" ref="I380">_xlfn.IFS(H380&lt;1,"No",H380=1,"Yes",H380&gt;1,_xlfn.TEXTJOIN("",TRUE,"Yes x",H380))</f>
        <v>Yes x2</v>
      </c>
      <c r="J380" s="13">
        <f t="shared" si="25"/>
        <v>1</v>
      </c>
      <c r="K380" s="13">
        <f t="shared" si="23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6"/>
        <v>Pass, Fail</v>
      </c>
    </row>
    <row r="381" spans="8:14">
      <c r="H381" s="13">
        <f t="shared" si="24"/>
        <v>2</v>
      </c>
      <c r="I381" t="str" cm="1">
        <f t="array" ref="I381">_xlfn.IFS(H381&lt;1,"No",H381=1,"Yes",H381&gt;1,_xlfn.TEXTJOIN("",TRUE,"Yes x",H381))</f>
        <v>Yes x2</v>
      </c>
      <c r="J381" s="13">
        <f t="shared" si="25"/>
        <v>1</v>
      </c>
      <c r="K381" s="13">
        <f t="shared" si="23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6"/>
        <v>Pass, Fail</v>
      </c>
    </row>
    <row r="382" spans="8:14">
      <c r="H382" s="13">
        <f t="shared" si="24"/>
        <v>2</v>
      </c>
      <c r="I382" t="str" cm="1">
        <f t="array" ref="I382">_xlfn.IFS(H382&lt;1,"No",H382=1,"Yes",H382&gt;1,_xlfn.TEXTJOIN("",TRUE,"Yes x",H382))</f>
        <v>Yes x2</v>
      </c>
      <c r="J382" s="13">
        <f t="shared" si="25"/>
        <v>1</v>
      </c>
      <c r="K382" s="13">
        <f t="shared" si="23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6"/>
        <v>Pass, Fail</v>
      </c>
    </row>
    <row r="383" spans="8:14">
      <c r="H383" s="13">
        <f t="shared" si="24"/>
        <v>2</v>
      </c>
      <c r="I383" t="str" cm="1">
        <f t="array" ref="I383">_xlfn.IFS(H383&lt;1,"No",H383=1,"Yes",H383&gt;1,_xlfn.TEXTJOIN("",TRUE,"Yes x",H383))</f>
        <v>Yes x2</v>
      </c>
      <c r="J383" s="13">
        <f t="shared" si="25"/>
        <v>1</v>
      </c>
      <c r="K383" s="13">
        <f t="shared" si="23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6"/>
        <v>Pass, Fail</v>
      </c>
    </row>
    <row r="384" spans="8:14">
      <c r="H384" s="13">
        <f t="shared" si="24"/>
        <v>2</v>
      </c>
      <c r="I384" t="str" cm="1">
        <f t="array" ref="I384">_xlfn.IFS(H384&lt;1,"No",H384=1,"Yes",H384&gt;1,_xlfn.TEXTJOIN("",TRUE,"Yes x",H384))</f>
        <v>Yes x2</v>
      </c>
      <c r="J384" s="13">
        <f t="shared" si="25"/>
        <v>1</v>
      </c>
      <c r="K384" s="13">
        <f t="shared" si="23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6"/>
        <v>Pass, Fail</v>
      </c>
    </row>
    <row r="385" spans="8:14">
      <c r="H385" s="13">
        <f t="shared" si="24"/>
        <v>2</v>
      </c>
      <c r="I385" t="str" cm="1">
        <f t="array" ref="I385">_xlfn.IFS(H385&lt;1,"No",H385=1,"Yes",H385&gt;1,_xlfn.TEXTJOIN("",TRUE,"Yes x",H385))</f>
        <v>Yes x2</v>
      </c>
      <c r="J385" s="13">
        <f t="shared" si="25"/>
        <v>1</v>
      </c>
      <c r="K385" s="13">
        <f t="shared" si="23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6"/>
        <v>Pass, Fail</v>
      </c>
    </row>
    <row r="386" spans="8:14">
      <c r="H386" s="13">
        <f t="shared" si="24"/>
        <v>2</v>
      </c>
      <c r="I386" t="str" cm="1">
        <f t="array" ref="I386">_xlfn.IFS(H386&lt;1,"No",H386=1,"Yes",H386&gt;1,_xlfn.TEXTJOIN("",TRUE,"Yes x",H386))</f>
        <v>Yes x2</v>
      </c>
      <c r="J386" s="13">
        <f t="shared" si="25"/>
        <v>1</v>
      </c>
      <c r="K386" s="13">
        <f t="shared" si="23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6"/>
        <v>Pass, Fail</v>
      </c>
    </row>
    <row r="387" spans="8:14">
      <c r="H387" s="13">
        <f t="shared" si="24"/>
        <v>2</v>
      </c>
      <c r="I387" t="str" cm="1">
        <f t="array" ref="I387">_xlfn.IFS(H387&lt;1,"No",H387=1,"Yes",H387&gt;1,_xlfn.TEXTJOIN("",TRUE,"Yes x",H387))</f>
        <v>Yes x2</v>
      </c>
      <c r="J387" s="13">
        <f t="shared" si="25"/>
        <v>1</v>
      </c>
      <c r="K387" s="13">
        <f t="shared" ref="K387:K450" si="27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si="26"/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7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6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7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6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7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6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7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6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7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6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7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6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7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6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7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6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7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6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7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6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7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6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7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6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7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6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7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6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7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6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7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6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7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6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7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6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7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6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7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6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7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6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7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6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7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6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7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6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7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6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7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6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7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6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7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6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7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6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7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6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7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6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7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6"/>
        <v>Pass, Fail</v>
      </c>
    </row>
    <row r="420" spans="8:14">
      <c r="H420" s="13">
        <f t="shared" ref="H420:H423" si="28">IFERROR(GETPIVOTDATA("Successful / Failed",$A$1,"System serial",G420),0)</f>
        <v>2</v>
      </c>
      <c r="I420" t="str" cm="1">
        <f t="array" ref="I420">_xlfn.IFS(H420&lt;1,"No",H420=1,"Yes",H420&gt;1,_xlfn.TEXTJOIN("",TRUE,"Yes x",H420))</f>
        <v>Yes x2</v>
      </c>
      <c r="J420" s="13">
        <f t="shared" ref="J420:J423" si="29">IFERROR(GETPIVOTDATA("Successful / Failed",$A$1,"System serial",G420,"Successful / Failed","Successful"),0)</f>
        <v>1</v>
      </c>
      <c r="K420" s="13">
        <f t="shared" si="27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ref="N420:N423" si="30">_xlfn.TEXTJOIN(", ",TRUE, L420, M420)</f>
        <v>Pass, Fail</v>
      </c>
    </row>
    <row r="421" spans="8:14">
      <c r="H421" s="13">
        <f t="shared" si="28"/>
        <v>2</v>
      </c>
      <c r="I421" t="str" cm="1">
        <f t="array" ref="I421">_xlfn.IFS(H421&lt;1,"No",H421=1,"Yes",H421&gt;1,_xlfn.TEXTJOIN("",TRUE,"Yes x",H421))</f>
        <v>Yes x2</v>
      </c>
      <c r="J421" s="13">
        <f t="shared" si="29"/>
        <v>1</v>
      </c>
      <c r="K421" s="13">
        <f t="shared" si="27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30"/>
        <v>Pass, Fail</v>
      </c>
    </row>
    <row r="422" spans="8:14">
      <c r="H422" s="13">
        <f t="shared" si="28"/>
        <v>2</v>
      </c>
      <c r="I422" t="str" cm="1">
        <f t="array" ref="I422">_xlfn.IFS(H422&lt;1,"No",H422=1,"Yes",H422&gt;1,_xlfn.TEXTJOIN("",TRUE,"Yes x",H422))</f>
        <v>Yes x2</v>
      </c>
      <c r="J422" s="13">
        <f t="shared" si="29"/>
        <v>1</v>
      </c>
      <c r="K422" s="13">
        <f t="shared" si="27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30"/>
        <v>Pass, Fail</v>
      </c>
    </row>
    <row r="423" spans="8:14">
      <c r="H423" s="13">
        <f t="shared" si="28"/>
        <v>2</v>
      </c>
      <c r="I423" t="str" cm="1">
        <f t="array" ref="I423">_xlfn.IFS(H423&lt;1,"No",H423=1,"Yes",H423&gt;1,_xlfn.TEXTJOIN("",TRUE,"Yes x",H423))</f>
        <v>Yes x2</v>
      </c>
      <c r="J423" s="13">
        <f t="shared" si="29"/>
        <v>1</v>
      </c>
      <c r="K423" s="13">
        <f t="shared" si="27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30"/>
        <v>Pass, Fail</v>
      </c>
    </row>
    <row r="424" spans="8:14">
      <c r="H424" s="13">
        <f t="shared" ref="H424:H436" si="31">IFERROR(GETPIVOTDATA("Successful / Failed",$A$1,"System serial",G424),0)</f>
        <v>2</v>
      </c>
      <c r="I424" t="str" cm="1">
        <f t="array" ref="I424">_xlfn.IFS(H424&lt;1,"No",H424=1,"Yes",H424&gt;1,_xlfn.TEXTJOIN("",TRUE,"Yes x",H424))</f>
        <v>Yes x2</v>
      </c>
      <c r="J424" s="13">
        <f t="shared" ref="J424:J446" si="32">IFERROR(GETPIVOTDATA("Successful / Failed",$A$1,"System serial",G424,"Successful / Failed","Successful"),0)</f>
        <v>1</v>
      </c>
      <c r="K424" s="13">
        <f t="shared" si="27"/>
        <v>1</v>
      </c>
      <c r="N424" t="str">
        <f t="shared" ref="N424:N437" si="33">_xlfn.TEXTJOIN(", ",TRUE, L424, M424)</f>
        <v/>
      </c>
    </row>
    <row r="425" spans="8:14">
      <c r="H425" s="13">
        <f t="shared" si="31"/>
        <v>2</v>
      </c>
      <c r="I425" t="str" cm="1">
        <f t="array" ref="I425">_xlfn.IFS(H425&lt;1,"No",H425=1,"Yes",H425&gt;1,_xlfn.TEXTJOIN("",TRUE,"Yes x",H425))</f>
        <v>Yes x2</v>
      </c>
      <c r="J425" s="13">
        <f t="shared" si="32"/>
        <v>1</v>
      </c>
      <c r="K425" s="13">
        <f t="shared" si="27"/>
        <v>1</v>
      </c>
      <c r="N425" t="str">
        <f t="shared" si="33"/>
        <v/>
      </c>
    </row>
    <row r="426" spans="8:14">
      <c r="H426" s="13">
        <f t="shared" si="31"/>
        <v>2</v>
      </c>
      <c r="I426" t="str" cm="1">
        <f t="array" ref="I426">_xlfn.IFS(H426&lt;1,"No",H426=1,"Yes",H426&gt;1,_xlfn.TEXTJOIN("",TRUE,"Yes x",H426))</f>
        <v>Yes x2</v>
      </c>
      <c r="J426" s="13">
        <f t="shared" si="32"/>
        <v>1</v>
      </c>
      <c r="K426" s="13">
        <f t="shared" si="27"/>
        <v>1</v>
      </c>
      <c r="N426" t="str">
        <f t="shared" si="33"/>
        <v/>
      </c>
    </row>
    <row r="427" spans="8:14">
      <c r="H427" s="13">
        <f t="shared" si="31"/>
        <v>2</v>
      </c>
      <c r="I427" t="str" cm="1">
        <f t="array" ref="I427">_xlfn.IFS(H427&lt;1,"No",H427=1,"Yes",H427&gt;1,_xlfn.TEXTJOIN("",TRUE,"Yes x",H427))</f>
        <v>Yes x2</v>
      </c>
      <c r="J427" s="13">
        <f t="shared" si="32"/>
        <v>1</v>
      </c>
      <c r="K427" s="13">
        <f t="shared" si="27"/>
        <v>1</v>
      </c>
      <c r="N427" t="str">
        <f t="shared" si="33"/>
        <v/>
      </c>
    </row>
    <row r="428" spans="8:14">
      <c r="H428" s="13">
        <f t="shared" si="31"/>
        <v>2</v>
      </c>
      <c r="I428" t="str" cm="1">
        <f t="array" ref="I428">_xlfn.IFS(H428&lt;1,"No",H428=1,"Yes",H428&gt;1,_xlfn.TEXTJOIN("",TRUE,"Yes x",H428))</f>
        <v>Yes x2</v>
      </c>
      <c r="J428" s="13">
        <f t="shared" si="32"/>
        <v>1</v>
      </c>
      <c r="K428" s="13">
        <f t="shared" si="27"/>
        <v>1</v>
      </c>
      <c r="N428" t="str">
        <f t="shared" si="33"/>
        <v/>
      </c>
    </row>
    <row r="429" spans="8:14">
      <c r="H429" s="13">
        <f t="shared" si="31"/>
        <v>2</v>
      </c>
      <c r="I429" t="str" cm="1">
        <f t="array" ref="I429">_xlfn.IFS(H429&lt;1,"No",H429=1,"Yes",H429&gt;1,_xlfn.TEXTJOIN("",TRUE,"Yes x",H429))</f>
        <v>Yes x2</v>
      </c>
      <c r="J429" s="13">
        <f t="shared" si="32"/>
        <v>1</v>
      </c>
      <c r="K429" s="13">
        <f t="shared" si="27"/>
        <v>1</v>
      </c>
      <c r="N429" t="str">
        <f t="shared" si="33"/>
        <v/>
      </c>
    </row>
    <row r="430" spans="8:14">
      <c r="H430" s="13">
        <f t="shared" si="31"/>
        <v>2</v>
      </c>
      <c r="I430" t="str" cm="1">
        <f t="array" ref="I430">_xlfn.IFS(H430&lt;1,"No",H430=1,"Yes",H430&gt;1,_xlfn.TEXTJOIN("",TRUE,"Yes x",H430))</f>
        <v>Yes x2</v>
      </c>
      <c r="J430" s="13">
        <f t="shared" si="32"/>
        <v>1</v>
      </c>
      <c r="K430" s="13">
        <f t="shared" si="27"/>
        <v>1</v>
      </c>
      <c r="N430" t="str">
        <f t="shared" si="33"/>
        <v/>
      </c>
    </row>
    <row r="431" spans="8:14">
      <c r="H431" s="13">
        <f t="shared" si="31"/>
        <v>2</v>
      </c>
      <c r="J431" s="13">
        <f t="shared" si="32"/>
        <v>1</v>
      </c>
      <c r="K431" s="13">
        <f t="shared" si="27"/>
        <v>1</v>
      </c>
      <c r="N431" t="str">
        <f t="shared" si="33"/>
        <v/>
      </c>
    </row>
    <row r="432" spans="8:14">
      <c r="H432" s="13">
        <f t="shared" si="31"/>
        <v>2</v>
      </c>
      <c r="J432" s="13">
        <f t="shared" si="32"/>
        <v>1</v>
      </c>
      <c r="K432" s="13">
        <f t="shared" si="27"/>
        <v>1</v>
      </c>
      <c r="N432" t="str">
        <f t="shared" si="33"/>
        <v/>
      </c>
    </row>
    <row r="433" spans="8:14">
      <c r="H433" s="13">
        <f t="shared" si="31"/>
        <v>2</v>
      </c>
      <c r="J433" s="13">
        <f t="shared" si="32"/>
        <v>1</v>
      </c>
      <c r="K433" s="13">
        <f t="shared" si="27"/>
        <v>1</v>
      </c>
      <c r="N433" t="str">
        <f t="shared" si="33"/>
        <v/>
      </c>
    </row>
    <row r="434" spans="8:14">
      <c r="H434" s="13">
        <f t="shared" si="31"/>
        <v>2</v>
      </c>
      <c r="J434" s="13">
        <f t="shared" si="32"/>
        <v>1</v>
      </c>
      <c r="K434" s="13">
        <f t="shared" si="27"/>
        <v>1</v>
      </c>
      <c r="N434" t="str">
        <f t="shared" si="33"/>
        <v/>
      </c>
    </row>
    <row r="435" spans="8:14">
      <c r="H435" s="13">
        <f t="shared" si="31"/>
        <v>2</v>
      </c>
      <c r="J435" s="13">
        <f t="shared" si="32"/>
        <v>1</v>
      </c>
      <c r="K435" s="13">
        <f t="shared" si="27"/>
        <v>1</v>
      </c>
      <c r="N435" t="str">
        <f t="shared" si="33"/>
        <v/>
      </c>
    </row>
    <row r="436" spans="8:14">
      <c r="H436" s="13">
        <f t="shared" si="31"/>
        <v>2</v>
      </c>
      <c r="J436" s="13">
        <f t="shared" si="32"/>
        <v>1</v>
      </c>
      <c r="K436" s="13">
        <f t="shared" si="27"/>
        <v>1</v>
      </c>
      <c r="N436" t="str">
        <f t="shared" si="33"/>
        <v/>
      </c>
    </row>
    <row r="437" spans="8:14">
      <c r="J437" s="13">
        <f t="shared" si="32"/>
        <v>1</v>
      </c>
      <c r="K437" s="13">
        <f t="shared" si="27"/>
        <v>1</v>
      </c>
      <c r="N437" t="str">
        <f t="shared" si="33"/>
        <v/>
      </c>
    </row>
    <row r="438" spans="8:14">
      <c r="J438" s="13">
        <f t="shared" si="32"/>
        <v>1</v>
      </c>
      <c r="K438" s="13">
        <f t="shared" si="27"/>
        <v>1</v>
      </c>
    </row>
    <row r="439" spans="8:14">
      <c r="J439" s="13">
        <f t="shared" si="32"/>
        <v>1</v>
      </c>
      <c r="K439" s="13">
        <f t="shared" si="27"/>
        <v>1</v>
      </c>
    </row>
    <row r="440" spans="8:14">
      <c r="J440" s="13">
        <f t="shared" si="32"/>
        <v>1</v>
      </c>
      <c r="K440" s="13">
        <f t="shared" si="27"/>
        <v>1</v>
      </c>
    </row>
    <row r="441" spans="8:14">
      <c r="J441" s="13">
        <f t="shared" si="32"/>
        <v>1</v>
      </c>
      <c r="K441" s="13">
        <f t="shared" si="27"/>
        <v>1</v>
      </c>
    </row>
    <row r="442" spans="8:14">
      <c r="J442" s="13">
        <f t="shared" si="32"/>
        <v>1</v>
      </c>
      <c r="K442" s="13">
        <f t="shared" si="27"/>
        <v>1</v>
      </c>
    </row>
    <row r="443" spans="8:14">
      <c r="J443" s="13">
        <f t="shared" si="32"/>
        <v>1</v>
      </c>
      <c r="K443" s="13">
        <f t="shared" si="27"/>
        <v>1</v>
      </c>
    </row>
    <row r="444" spans="8:14">
      <c r="J444" s="13">
        <f t="shared" si="32"/>
        <v>1</v>
      </c>
      <c r="K444" s="13">
        <f t="shared" si="27"/>
        <v>1</v>
      </c>
    </row>
    <row r="445" spans="8:14">
      <c r="J445" s="13">
        <f t="shared" si="32"/>
        <v>1</v>
      </c>
      <c r="K445" s="13">
        <f t="shared" si="27"/>
        <v>1</v>
      </c>
    </row>
    <row r="446" spans="8:14">
      <c r="J446" s="13">
        <f t="shared" si="32"/>
        <v>1</v>
      </c>
      <c r="K446" s="13">
        <f t="shared" si="27"/>
        <v>1</v>
      </c>
    </row>
    <row r="447" spans="8:14">
      <c r="K447" s="13">
        <f t="shared" si="27"/>
        <v>1</v>
      </c>
    </row>
    <row r="448" spans="8:14">
      <c r="K448" s="13">
        <f t="shared" si="27"/>
        <v>1</v>
      </c>
    </row>
    <row r="449" spans="11:11">
      <c r="K449" s="13">
        <f t="shared" si="27"/>
        <v>1</v>
      </c>
    </row>
    <row r="450" spans="11:11">
      <c r="K450" s="13">
        <f t="shared" si="27"/>
        <v>1</v>
      </c>
    </row>
    <row r="451" spans="11:11">
      <c r="K451" s="13">
        <f t="shared" ref="K451:K475" si="34">IFERROR(GETPIVOTDATA("Successful / Failed",$A$1,"System serial",G451,"Successful / Failed","Failed"),0)</f>
        <v>1</v>
      </c>
    </row>
    <row r="452" spans="11:11">
      <c r="K452" s="13">
        <f t="shared" si="34"/>
        <v>1</v>
      </c>
    </row>
    <row r="453" spans="11:11">
      <c r="K453" s="13">
        <f t="shared" si="34"/>
        <v>1</v>
      </c>
    </row>
    <row r="454" spans="11:11">
      <c r="K454" s="13">
        <f t="shared" si="34"/>
        <v>1</v>
      </c>
    </row>
    <row r="455" spans="11:11">
      <c r="K455" s="13">
        <f t="shared" si="34"/>
        <v>1</v>
      </c>
    </row>
    <row r="456" spans="11:11">
      <c r="K456" s="13">
        <f t="shared" si="34"/>
        <v>1</v>
      </c>
    </row>
    <row r="457" spans="11:11">
      <c r="K457" s="13">
        <f t="shared" si="34"/>
        <v>1</v>
      </c>
    </row>
    <row r="458" spans="11:11">
      <c r="K458" s="13">
        <f t="shared" si="34"/>
        <v>1</v>
      </c>
    </row>
    <row r="459" spans="11:11">
      <c r="K459" s="13">
        <f t="shared" si="34"/>
        <v>1</v>
      </c>
    </row>
    <row r="460" spans="11:11">
      <c r="K460" s="13">
        <f t="shared" si="34"/>
        <v>1</v>
      </c>
    </row>
    <row r="461" spans="11:11">
      <c r="K461" s="13">
        <f t="shared" si="34"/>
        <v>1</v>
      </c>
    </row>
    <row r="462" spans="11:11">
      <c r="K462" s="13">
        <f t="shared" si="34"/>
        <v>1</v>
      </c>
    </row>
    <row r="463" spans="11:11">
      <c r="K463" s="13">
        <f t="shared" si="34"/>
        <v>1</v>
      </c>
    </row>
    <row r="464" spans="11:11">
      <c r="K464" s="13">
        <f t="shared" si="34"/>
        <v>1</v>
      </c>
    </row>
    <row r="465" spans="11:11">
      <c r="K465" s="13">
        <f t="shared" si="34"/>
        <v>1</v>
      </c>
    </row>
    <row r="466" spans="11:11">
      <c r="K466" s="13">
        <f t="shared" si="34"/>
        <v>1</v>
      </c>
    </row>
    <row r="467" spans="11:11">
      <c r="K467" s="13">
        <f t="shared" si="34"/>
        <v>1</v>
      </c>
    </row>
    <row r="468" spans="11:11">
      <c r="K468" s="13">
        <f t="shared" si="34"/>
        <v>1</v>
      </c>
    </row>
    <row r="469" spans="11:11">
      <c r="K469" s="13">
        <f t="shared" si="34"/>
        <v>1</v>
      </c>
    </row>
    <row r="470" spans="11:11">
      <c r="K470" s="13">
        <f t="shared" si="34"/>
        <v>1</v>
      </c>
    </row>
    <row r="471" spans="11:11">
      <c r="K471" s="13">
        <f t="shared" si="34"/>
        <v>1</v>
      </c>
    </row>
    <row r="472" spans="11:11">
      <c r="K472" s="13">
        <f t="shared" si="34"/>
        <v>1</v>
      </c>
    </row>
    <row r="473" spans="11:11">
      <c r="K473" s="13">
        <f t="shared" si="34"/>
        <v>1</v>
      </c>
    </row>
    <row r="474" spans="11:11">
      <c r="K474" s="13">
        <f t="shared" si="34"/>
        <v>1</v>
      </c>
    </row>
    <row r="475" spans="11:11">
      <c r="K475" s="13">
        <f t="shared" si="34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47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536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D17" sqref="D17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5" customWidth="1"/>
    <col min="9" max="9" width="8.7109375" bestFit="1" customWidth="1"/>
    <col min="10" max="10" width="15.5703125" customWidth="1"/>
    <col min="11" max="11" width="17.42578125" customWidth="1"/>
    <col min="12" max="12" width="13.5703125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56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57</v>
      </c>
      <c r="I1" t="s">
        <v>11</v>
      </c>
      <c r="J1" t="s">
        <v>58</v>
      </c>
      <c r="K1" t="s">
        <v>59</v>
      </c>
      <c r="L1" t="s">
        <v>60</v>
      </c>
      <c r="M1" t="s">
        <v>61</v>
      </c>
      <c r="N1" s="14" t="s">
        <v>62</v>
      </c>
      <c r="O1" t="s">
        <v>63</v>
      </c>
      <c r="P1" t="s">
        <v>64</v>
      </c>
      <c r="Q1" t="s">
        <v>12</v>
      </c>
      <c r="R1" t="s">
        <v>65</v>
      </c>
    </row>
    <row r="2" spans="1:18">
      <c r="A2" t="str" cm="1">
        <f t="array" ref="A2">IFERROR(_xlfn.TEXTSPLIT(Input!A3,"*"),"")</f>
        <v/>
      </c>
      <c r="R2">
        <f>_xlfn.XLOOKUP(B2,Input!J:J,Input!I:I,"Missing",0,1)</f>
        <v>0</v>
      </c>
    </row>
    <row r="3" spans="1:18">
      <c r="A3" t="str" cm="1">
        <f t="array" ref="A3">IFERROR(_xlfn.TEXTSPLIT(Input!A4,"*"),"")</f>
        <v/>
      </c>
      <c r="R3">
        <f>_xlfn.XLOOKUP(B3,Input!J:J,Input!I:I,"Missing",0,1)</f>
        <v>0</v>
      </c>
    </row>
    <row r="4" spans="1:18">
      <c r="A4" t="str" cm="1">
        <f t="array" ref="A4">IFERROR(_xlfn.TEXTSPLIT(Input!A5,"*"),"")</f>
        <v/>
      </c>
      <c r="R4">
        <f>_xlfn.XLOOKUP(B4,Input!J:J,Input!I:I,"Missing",0,1)</f>
        <v>0</v>
      </c>
    </row>
    <row r="5" spans="1:18">
      <c r="A5" t="str" cm="1">
        <f t="array" ref="A5">IFERROR(_xlfn.TEXTSPLIT(Input!A6,"*"),"")</f>
        <v/>
      </c>
      <c r="R5">
        <f>_xlfn.XLOOKUP(B5,Input!J:J,Input!I:I,"Missing",0,1)</f>
        <v>0</v>
      </c>
    </row>
    <row r="6" spans="1:18">
      <c r="A6" t="str" cm="1">
        <f t="array" ref="A6">IFERROR(_xlfn.TEXTSPLIT(Input!A7,"*"),"")</f>
        <v/>
      </c>
      <c r="R6">
        <f>_xlfn.XLOOKUP(B6,Input!J:J,Input!I:I,"Missing",0,1)</f>
        <v>0</v>
      </c>
    </row>
    <row r="7" spans="1:18">
      <c r="A7" t="str" cm="1">
        <f t="array" ref="A7">IFERROR(_xlfn.TEXTSPLIT(Input!A8,"*"),"")</f>
        <v/>
      </c>
      <c r="R7">
        <f>_xlfn.XLOOKUP(B7,Input!J:J,Input!I:I,"Missing",0,1)</f>
        <v>0</v>
      </c>
    </row>
    <row r="8" spans="1:18">
      <c r="A8" t="str" cm="1">
        <f t="array" ref="A8">IFERROR(_xlfn.TEXTSPLIT(Input!A9,"*"),"")</f>
        <v/>
      </c>
      <c r="R8">
        <f>_xlfn.XLOOKUP(B8,Input!J:J,Input!I:I,"Missing",0,1)</f>
        <v>0</v>
      </c>
    </row>
    <row r="9" spans="1:18">
      <c r="A9" t="str" cm="1">
        <f t="array" ref="A9">IFERROR(_xlfn.TEXTSPLIT(Input!A10,"*"),"")</f>
        <v/>
      </c>
      <c r="R9">
        <f>_xlfn.XLOOKUP(B9,Input!J:J,Input!I:I,"Missing",0,1)</f>
        <v>0</v>
      </c>
    </row>
    <row r="10" spans="1:18">
      <c r="A10" t="str" cm="1">
        <f t="array" ref="A10">IFERROR(_xlfn.TEXTSPLIT(Input!A11,"*"),"")</f>
        <v/>
      </c>
      <c r="R10">
        <f>_xlfn.XLOOKUP(B10,Input!J:J,Input!I:I,"Missing",0,1)</f>
        <v>0</v>
      </c>
    </row>
    <row r="11" spans="1:18">
      <c r="A11" t="str" cm="1">
        <f t="array" ref="A11">IFERROR(_xlfn.TEXTSPLIT(Input!A12,"*"),"")</f>
        <v/>
      </c>
      <c r="R11">
        <f>_xlfn.XLOOKUP(B11,Input!J:J,Input!I:I,"Missing",0,1)</f>
        <v>0</v>
      </c>
    </row>
    <row r="12" spans="1:18">
      <c r="A12" t="str" cm="1">
        <f t="array" ref="A12">IFERROR(_xlfn.TEXTSPLIT(Input!A13,"*"),"")</f>
        <v/>
      </c>
      <c r="R12">
        <f>_xlfn.XLOOKUP(B12,Input!J:J,Input!I:I,"Missing",0,1)</f>
        <v>0</v>
      </c>
    </row>
    <row r="13" spans="1:18">
      <c r="A13" t="str" cm="1">
        <f t="array" ref="A13">IFERROR(_xlfn.TEXTSPLIT(Input!A14,"*"),"")</f>
        <v/>
      </c>
      <c r="R13">
        <f>_xlfn.XLOOKUP(B13,Input!J:J,Input!I:I,"Missing",0,1)</f>
        <v>0</v>
      </c>
    </row>
    <row r="14" spans="1:18">
      <c r="A14" t="str" cm="1">
        <f t="array" ref="A14">IFERROR(_xlfn.TEXTSPLIT(Input!A15,"*"),"")</f>
        <v/>
      </c>
      <c r="R14">
        <f>_xlfn.XLOOKUP(B14,Input!J:J,Input!I:I,"Missing",0,1)</f>
        <v>0</v>
      </c>
    </row>
    <row r="15" spans="1:18">
      <c r="A15" t="str" cm="1">
        <f t="array" ref="A15">IFERROR(_xlfn.TEXTSPLIT(Input!A16,"*"),"")</f>
        <v/>
      </c>
      <c r="R15">
        <f>_xlfn.XLOOKUP(B15,Input!J:J,Input!I:I,"Missing",0,1)</f>
        <v>0</v>
      </c>
    </row>
    <row r="16" spans="1:18">
      <c r="A16" t="str" cm="1">
        <f t="array" ref="A16">IFERROR(_xlfn.TEXTSPLIT(Input!A17,"*"),"")</f>
        <v/>
      </c>
      <c r="R16">
        <f>_xlfn.XLOOKUP(B16,Input!J:J,Input!I:I,"Missing",0,1)</f>
        <v>0</v>
      </c>
    </row>
    <row r="17" spans="1:18">
      <c r="A17" t="str" cm="1">
        <f t="array" ref="A17">IFERROR(_xlfn.TEXTSPLIT(Input!A18,"*"),"")</f>
        <v/>
      </c>
      <c r="R17">
        <f>_xlfn.XLOOKUP(B17,Input!J:J,Input!I:I,"Missing",0,1)</f>
        <v>0</v>
      </c>
    </row>
    <row r="18" spans="1:18">
      <c r="A18" t="str" cm="1">
        <f t="array" ref="A18">IFERROR(_xlfn.TEXTSPLIT(Input!A19,"*"),"")</f>
        <v/>
      </c>
      <c r="R18">
        <f>_xlfn.XLOOKUP(B18,Input!J:J,Input!I:I,"Missing",0,1)</f>
        <v>0</v>
      </c>
    </row>
    <row r="19" spans="1:18">
      <c r="A19" t="str" cm="1">
        <f t="array" ref="A19">IFERROR(_xlfn.TEXTSPLIT(Input!A20,"*"),"")</f>
        <v/>
      </c>
      <c r="R19">
        <f>_xlfn.XLOOKUP(B19,Input!J:J,Input!I:I,"Missing",0,1)</f>
        <v>0</v>
      </c>
    </row>
    <row r="20" spans="1:18">
      <c r="A20" t="str" cm="1">
        <f t="array" ref="A20">IFERROR(_xlfn.TEXTSPLIT(Input!A21,"*"),"")</f>
        <v/>
      </c>
      <c r="R20">
        <f>_xlfn.XLOOKUP(B20,Input!J:J,Input!I:I,"Missing",0,1)</f>
        <v>0</v>
      </c>
    </row>
    <row r="21" spans="1:18">
      <c r="A21" t="str" cm="1">
        <f t="array" ref="A21">IFERROR(_xlfn.TEXTSPLIT(Input!A22,"*"),"")</f>
        <v/>
      </c>
      <c r="R21">
        <f>_xlfn.XLOOKUP(B21,Input!J:J,Input!I:I,"Missing",0,1)</f>
        <v>0</v>
      </c>
    </row>
    <row r="22" spans="1:18">
      <c r="A22" t="str" cm="1">
        <f t="array" ref="A22">IFERROR(_xlfn.TEXTSPLIT(Input!A23,"*"),"")</f>
        <v/>
      </c>
      <c r="R22">
        <f>_xlfn.XLOOKUP(B22,Input!J:J,Input!I:I,"Missing",0,1)</f>
        <v>0</v>
      </c>
    </row>
    <row r="23" spans="1:18">
      <c r="A23" t="str" cm="1">
        <f t="array" ref="A23">IFERROR(_xlfn.TEXTSPLIT(Input!A24,"*"),"")</f>
        <v/>
      </c>
      <c r="R23">
        <f>_xlfn.XLOOKUP(B23,Input!J:J,Input!I:I,"Missing",0,1)</f>
        <v>0</v>
      </c>
    </row>
    <row r="24" spans="1:18">
      <c r="A24" t="str" cm="1">
        <f t="array" ref="A24">IFERROR(_xlfn.TEXTSPLIT(Input!A25,"*"),"")</f>
        <v/>
      </c>
      <c r="R24">
        <f>_xlfn.XLOOKUP(B24,Input!J:J,Input!I:I,"Missing",0,1)</f>
        <v>0</v>
      </c>
    </row>
    <row r="25" spans="1:18">
      <c r="A25" t="str" cm="1">
        <f t="array" ref="A25">IFERROR(_xlfn.TEXTSPLIT(Input!A26,"*"),"")</f>
        <v/>
      </c>
      <c r="R25">
        <f>_xlfn.XLOOKUP(B25,Input!J:J,Input!I:I,"Missing",0,1)</f>
        <v>0</v>
      </c>
    </row>
    <row r="26" spans="1:18">
      <c r="A26" t="str" cm="1">
        <f t="array" ref="A26">IFERROR(_xlfn.TEXTSPLIT(Input!A27,"*"),"")</f>
        <v/>
      </c>
      <c r="R26">
        <f>_xlfn.XLOOKUP(B26,Input!J:J,Input!I:I,"Missing",0,1)</f>
        <v>0</v>
      </c>
    </row>
    <row r="27" spans="1:18">
      <c r="A27" t="str" cm="1">
        <f t="array" ref="A27">IFERROR(_xlfn.TEXTSPLIT(Input!A28,"*"),"")</f>
        <v/>
      </c>
      <c r="R27">
        <f>_xlfn.XLOOKUP(B27,Input!J:J,Input!I:I,"Missing",0,1)</f>
        <v>0</v>
      </c>
    </row>
    <row r="28" spans="1:18">
      <c r="A28" t="str" cm="1">
        <f t="array" ref="A28">IFERROR(_xlfn.TEXTSPLIT(Input!A29,"*"),"")</f>
        <v/>
      </c>
      <c r="R28">
        <f>_xlfn.XLOOKUP(B28,Input!J:J,Input!I:I,"Missing",0,1)</f>
        <v>0</v>
      </c>
    </row>
    <row r="29" spans="1:18">
      <c r="A29" t="str" cm="1">
        <f t="array" ref="A29">IFERROR(_xlfn.TEXTSPLIT(Input!A30,"*"),"")</f>
        <v/>
      </c>
      <c r="R29">
        <f>_xlfn.XLOOKUP(B29,Input!J:J,Input!I:I,"Missing",0,1)</f>
        <v>0</v>
      </c>
    </row>
    <row r="30" spans="1:18">
      <c r="A30" t="str" cm="1">
        <f t="array" ref="A30">IFERROR(_xlfn.TEXTSPLIT(Input!A31,"*"),"")</f>
        <v/>
      </c>
      <c r="R30">
        <f>_xlfn.XLOOKUP(B30,Input!J:J,Input!I:I,"Missing",0,1)</f>
        <v>0</v>
      </c>
    </row>
    <row r="31" spans="1:18">
      <c r="A31" t="str" cm="1">
        <f t="array" ref="A31">IFERROR(_xlfn.TEXTSPLIT(Input!A32,"*"),"")</f>
        <v/>
      </c>
      <c r="R31">
        <f>_xlfn.XLOOKUP(B31,Input!J:J,Input!I:I,"Missing",0,1)</f>
        <v>0</v>
      </c>
    </row>
    <row r="32" spans="1:18">
      <c r="A32" t="str" cm="1">
        <f t="array" ref="A32">IFERROR(_xlfn.TEXTSPLIT(Input!A33,"*"),"")</f>
        <v/>
      </c>
      <c r="R32">
        <f>_xlfn.XLOOKUP(B32,Input!J:J,Input!I:I,"Missing",0,1)</f>
        <v>0</v>
      </c>
    </row>
    <row r="33" spans="1:18">
      <c r="A33" t="str" cm="1">
        <f t="array" ref="A33">IFERROR(_xlfn.TEXTSPLIT(Input!A34,"*"),"")</f>
        <v/>
      </c>
      <c r="R33">
        <f>_xlfn.XLOOKUP(B33,Input!J:J,Input!I:I)</f>
        <v>0</v>
      </c>
    </row>
    <row r="34" spans="1:18">
      <c r="A34" t="str" cm="1">
        <f t="array" ref="A34">IFERROR(_xlfn.TEXTSPLIT(Input!A35,"*"),"")</f>
        <v/>
      </c>
      <c r="R34">
        <f>_xlfn.XLOOKUP(B34,Input!J:J,Input!I:I)</f>
        <v>0</v>
      </c>
    </row>
    <row r="35" spans="1:18">
      <c r="A35" t="str" cm="1">
        <f t="array" ref="A35">IFERROR(_xlfn.TEXTSPLIT(Input!A36,"*"),"")</f>
        <v/>
      </c>
    </row>
    <row r="36" spans="1:18">
      <c r="A36" t="str" cm="1">
        <f t="array" ref="A36">IFERROR(_xlfn.TEXTSPLIT(Input!A37,"*"),"")</f>
        <v/>
      </c>
    </row>
    <row r="37" spans="1:18">
      <c r="A37" t="str" cm="1">
        <f t="array" ref="A37">IFERROR(_xlfn.TEXTSPLIT(Input!A38,"*"),"")</f>
        <v/>
      </c>
    </row>
    <row r="38" spans="1:18">
      <c r="A38" t="str" cm="1">
        <f t="array" ref="A38">IFERROR(_xlfn.TEXTSPLIT(Input!A39,"*"),"")</f>
        <v/>
      </c>
    </row>
    <row r="39" spans="1:18">
      <c r="A39" t="str" cm="1">
        <f t="array" ref="A39">IFERROR(_xlfn.TEXTSPLIT(Input!A40,"*"),"")</f>
        <v/>
      </c>
    </row>
    <row r="40" spans="1:18">
      <c r="A40" t="str" cm="1">
        <f t="array" ref="A40">IFERROR(_xlfn.TEXTSPLIT(Input!A41,"*"),"")</f>
        <v/>
      </c>
    </row>
    <row r="41" spans="1:18">
      <c r="A41" t="str" cm="1">
        <f t="array" ref="A41">IFERROR(_xlfn.TEXTSPLIT(Input!A42,"*"),"")</f>
        <v/>
      </c>
    </row>
    <row r="42" spans="1:18">
      <c r="A42" t="str" cm="1">
        <f t="array" ref="A42">IFERROR(_xlfn.TEXTSPLIT(Input!A43,"*"),"")</f>
        <v/>
      </c>
    </row>
    <row r="43" spans="1:18">
      <c r="A43" t="str" cm="1">
        <f t="array" ref="A43">IFERROR(_xlfn.TEXTSPLIT(Input!A44,"*"),"")</f>
        <v/>
      </c>
    </row>
    <row r="44" spans="1:18">
      <c r="A44" t="str" cm="1">
        <f t="array" ref="A44">IFERROR(_xlfn.TEXTSPLIT(Input!A45,"*"),"")</f>
        <v/>
      </c>
    </row>
    <row r="45" spans="1:18">
      <c r="A45" t="str" cm="1">
        <f t="array" ref="A45">IFERROR(_xlfn.TEXTSPLIT(Input!A46,"*"),"")</f>
        <v/>
      </c>
    </row>
    <row r="46" spans="1:18">
      <c r="A46" t="str" cm="1">
        <f t="array" ref="A46">IFERROR(_xlfn.TEXTSPLIT(Input!A47,"*"),"")</f>
        <v/>
      </c>
    </row>
    <row r="47" spans="1:18">
      <c r="A47" t="str" cm="1">
        <f t="array" ref="A47">IFERROR(_xlfn.TEXTSPLIT(Input!A48,"*"),"")</f>
        <v/>
      </c>
    </row>
    <row r="48" spans="1:18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M746"/>
  <sheetViews>
    <sheetView zoomScaleNormal="100" workbookViewId="0">
      <pane ySplit="1" topLeftCell="A2" activePane="bottomLeft" state="frozen"/>
      <selection activeCell="E1" sqref="E1"/>
      <selection pane="bottomLeft" activeCell="A40" sqref="A40"/>
    </sheetView>
  </sheetViews>
  <sheetFormatPr defaultRowHeight="15"/>
  <cols>
    <col min="1" max="1" width="15.85546875" customWidth="1"/>
    <col min="2" max="2" width="12.7109375" bestFit="1" customWidth="1"/>
    <col min="3" max="3" width="12.7109375" customWidth="1"/>
    <col min="4" max="4" width="9.5703125" style="13" bestFit="1" customWidth="1"/>
    <col min="5" max="5" width="20.28515625" customWidth="1"/>
    <col min="7" max="7" width="22.42578125" customWidth="1"/>
    <col min="10" max="10" width="18.42578125" customWidth="1"/>
    <col min="11" max="11" width="23.85546875" style="13" customWidth="1"/>
    <col min="12" max="13" width="38.42578125" style="13" customWidth="1"/>
    <col min="14" max="14" width="38.42578125" customWidth="1"/>
    <col min="15" max="15" width="38.42578125" style="13" customWidth="1"/>
    <col min="16" max="16" width="16.28515625" style="13" customWidth="1"/>
    <col min="17" max="17" width="16.28515625" customWidth="1"/>
    <col min="18" max="22" width="15.140625" style="13" customWidth="1"/>
    <col min="23" max="23" width="15" style="13" customWidth="1"/>
    <col min="24" max="24" width="15.140625" style="13" customWidth="1"/>
    <col min="25" max="25" width="24.28515625" style="13" customWidth="1"/>
    <col min="26" max="30" width="15.140625" style="13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</cols>
  <sheetData>
    <row r="1" spans="1:39" s="34" customFormat="1" ht="18" thickBot="1">
      <c r="A1" s="1" t="s">
        <v>0</v>
      </c>
      <c r="B1" s="1" t="s">
        <v>1</v>
      </c>
      <c r="C1" s="1" t="s">
        <v>3</v>
      </c>
      <c r="D1" s="12" t="s">
        <v>2</v>
      </c>
      <c r="E1" s="1" t="s">
        <v>2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2" t="s">
        <v>10</v>
      </c>
      <c r="L1" s="12" t="s">
        <v>285</v>
      </c>
      <c r="M1" s="12" t="s">
        <v>286</v>
      </c>
      <c r="N1" s="1" t="s">
        <v>10</v>
      </c>
      <c r="O1" s="12" t="s">
        <v>553</v>
      </c>
      <c r="P1" s="12" t="s">
        <v>11</v>
      </c>
      <c r="Q1" s="1" t="s">
        <v>554</v>
      </c>
      <c r="R1" s="12" t="s">
        <v>296</v>
      </c>
      <c r="S1" s="12" t="s">
        <v>539</v>
      </c>
      <c r="T1" s="12" t="s">
        <v>540</v>
      </c>
      <c r="U1" s="12" t="s">
        <v>537</v>
      </c>
      <c r="V1" s="12" t="s">
        <v>538</v>
      </c>
      <c r="W1" s="56" t="s">
        <v>18</v>
      </c>
      <c r="X1" s="56"/>
      <c r="Y1" s="56"/>
      <c r="Z1" s="56"/>
      <c r="AA1" s="56"/>
      <c r="AB1" s="56"/>
      <c r="AC1" s="12"/>
      <c r="AD1" s="12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</row>
    <row r="2" spans="1:39" ht="15.75" thickTop="1">
      <c r="A2" s="32" t="e">
        <f>_xlfn.XLOOKUP(B2,Input!J:J,Input!G:G)&amp;""</f>
        <v>#N/A</v>
      </c>
      <c r="B2" s="32" cm="1">
        <f t="array" ref="B2">_xlfn.UNIQUE(_xlfn._xlws.FILTER(Input!J2:J500,ISNA(MATCH(Input!J2:J500,MacReports!B:B,0))))</f>
        <v>0</v>
      </c>
      <c r="C2" s="32" t="e">
        <f>_xlfn.XLOOKUP(B2,Input!J:J,Input!H:H)&amp;""</f>
        <v>#N/A</v>
      </c>
      <c r="D2" s="42" t="e">
        <f>_xlfn.XLOOKUP(B2,Input!J:J,Input!F:F)</f>
        <v>#N/A</v>
      </c>
      <c r="E2" s="32" t="e">
        <f>_xlfn.XLOOKUP(D2,Models!H:H,Models!G:G,D2)</f>
        <v>#N/A</v>
      </c>
      <c r="F2" s="32" t="e">
        <f>_xlfn.XLOOKUP(B2,Input!J:J,Input!E:E)</f>
        <v>#N/A</v>
      </c>
      <c r="G2" s="32" t="e">
        <f>IF(F2="LENOVO",_xlfn.XLOOKUP(B2,Input!J:J,Input!K:K),_xlfn.XLOOKUP(B2,Input!J:J,Input!L:L))</f>
        <v>#N/A</v>
      </c>
      <c r="H2" s="32"/>
      <c r="I2" s="32"/>
      <c r="J2" s="32" t="str">
        <f>_xlfn.XLOOKUP(B2,CPU_Formula!A:A,CPU_Formula!I:I)</f>
        <v/>
      </c>
      <c r="K2" s="42" t="e">
        <f>INDEX(Input!$D$2:$AC$500,
       MATCH(B2, Input!$J$2:$J$500, 0),
       MATCH("Total Memory", Input!$D$1:$AC$1, 0))</f>
        <v>#N/A</v>
      </c>
      <c r="L2" s="42" t="e">
        <f>INDEX(Input!$D$2:$AC$500,
       MATCH(B2, Input!$J$2:$J$500, 0),
       MATCH("Memory Type", Input!$D$1:$AC$1, 0))</f>
        <v>#N/A</v>
      </c>
      <c r="M2" s="42" t="str" cm="1">
        <f t="array" ref="M2">IFERROR(_xlfn.FILTERXML("&lt;t&gt;&lt;s&gt;" &amp; SUBSTITUTE(L2," / ","&lt;/s&gt;&lt;s&gt;") &amp; "&lt;/s&gt;&lt;/t&gt;","(//s[contains(.,'DDR')])[1]"),"")</f>
        <v/>
      </c>
      <c r="N2" s="32" t="e">
        <f>_xlfn.TEXTJOIN(" ",TRUE,K2,M2)</f>
        <v>#N/A</v>
      </c>
      <c r="O2" s="42" t="e">
        <f>INDEX(Input!$D$2:$AC$500,
       MATCH(B2, Input!$J$2:$J$500, 0),
       MATCH("Disk Interface Type", Input!$D$1:$AC$1, 0))</f>
        <v>#N/A</v>
      </c>
      <c r="P2" s="42" t="str" cm="1">
        <f t="array" ref="P2">IFERROR(_xlfn.TEXTJOIN(", ", TRUE, _xlfn._xlws.FILTER(
    INDEX(Input!$D$2:$AC$500,,MATCH("Disk Capacity",Input!$D$1:$AC$1,0)),
    Input!$J$2:$J$500=B2
)), "")</f>
        <v/>
      </c>
      <c r="Q2" s="32" t="e">
        <f>_xlfn.TEXTJOIN(" ",TRUE,P2,O2)</f>
        <v>#N/A</v>
      </c>
      <c r="R2" s="42" t="e">
        <f>_xlfn.LET(_xlpm.Result,INDEX(Input!$D$2:$AC$500,
       MATCH(B2, Input!$J$2:$J$500, 0),
       MATCH("Capacity", Input!$D$1:$AC$1, 0)),IF(_xlpm.Result="","",_xlpm.Result))</f>
        <v>#N/A</v>
      </c>
      <c r="S2" s="42" t="e" cm="1">
        <f t="array" ref="S2">_xlfn.TEXTSPLIT(R2," / ", ,TRUE,0,)</f>
        <v>#N/A</v>
      </c>
      <c r="T2" s="42"/>
      <c r="U2" s="42" t="str" cm="1">
        <f t="array" ref="U2">IFERROR(_xlfn.IFS(
S2="","",
--S2&lt;55,"Battery Defect",
--S2&lt;=69,"Battery D",
--S2&lt;=80,"Battery C",
--S2&gt;80,""
),"")</f>
        <v/>
      </c>
      <c r="V2" s="42" t="str" cm="1">
        <f t="array" ref="V2">IFERROR(_xlfn.IFS(
T2="","",
--T2&lt;55,"Battery Defect",
--T2&lt;=69,"Battery D",
--T2&lt;=80,"Battery C",
--T2&gt;80,""
),"")</f>
        <v/>
      </c>
      <c r="W2" s="42" t="str" cm="1">
        <f t="array" ref="W2">IFERROR(IF(_xlfn.XLOOKUP(B2,Input!J:J,Input!N:U)=0,"",
          _xlfn.XLOOKUP(B2,Input!J:J,Input!N:U)),"")</f>
        <v/>
      </c>
      <c r="X2" s="42"/>
      <c r="Y2" s="42"/>
      <c r="Z2" s="42"/>
      <c r="AA2" s="42"/>
      <c r="AB2" s="42"/>
      <c r="AC2" s="42"/>
      <c r="AD2" s="42"/>
      <c r="AE2" s="32" t="e">
        <f t="shared" ref="AE2:AE65" si="0">IF(E2="Laptop",_xlfn.TEXTJOIN(", ",TRUE,U2,V2,W2,X2,Y2,Z2,AA2,AB2), _xlfn.TEXTJOIN(", ",TRUE,W2,X2,Y2,Z2,AA2,AB2))</f>
        <v>#N/A</v>
      </c>
      <c r="AF2" s="32" t="str">
        <f>_xlfn.XLOOKUP(B:B,Disk_Pivot!G:G,Disk_Pivot!I:I)</f>
        <v>Yes x2</v>
      </c>
      <c r="AG2" s="32" t="str">
        <f>_xlfn.XLOOKUP(B2,Disk_Pivot!G:G,Disk_Pivot!N:N)</f>
        <v>Pass, Fail</v>
      </c>
      <c r="AH2" s="32"/>
      <c r="AI2" s="32"/>
      <c r="AJ2" s="32"/>
      <c r="AK2" s="32"/>
      <c r="AL2" s="32"/>
      <c r="AM2" s="32"/>
    </row>
    <row r="3" spans="1:39">
      <c r="A3" s="32" t="str">
        <f>_xlfn.XLOOKUP(B3,Input!J:J,Input!G:G)&amp;""</f>
        <v/>
      </c>
      <c r="B3" s="32"/>
      <c r="C3" s="32" t="str">
        <f>_xlfn.XLOOKUP(B3,Input!J:J,Input!H:H)&amp;""</f>
        <v/>
      </c>
      <c r="D3" s="42">
        <f>_xlfn.XLOOKUP(B3,Input!J:J,Input!F:F)</f>
        <v>0</v>
      </c>
      <c r="E3" s="32">
        <f>_xlfn.XLOOKUP(D3,Models!H:H,Models!G:G,D3)</f>
        <v>0</v>
      </c>
      <c r="F3" s="32">
        <f>_xlfn.XLOOKUP(B3,Input!J:J,Input!E:E)</f>
        <v>0</v>
      </c>
      <c r="G3" s="32">
        <f>IF(F3="LENOVO",_xlfn.XLOOKUP(B3,Input!J:J,Input!K:K),_xlfn.XLOOKUP(B3,Input!J:J,Input!L:L))</f>
        <v>0</v>
      </c>
      <c r="H3" s="32"/>
      <c r="I3" s="32"/>
      <c r="J3" s="32">
        <f>_xlfn.XLOOKUP(B3,CPU_Formula!A:A,CPU_Formula!I:I)</f>
        <v>0</v>
      </c>
      <c r="K3" s="42" t="e">
        <f>INDEX(Input!$D$2:$AC$500,
       MATCH(B3, Input!$J$2:$J$500, 0),
       MATCH("Total Memory", Input!$D$1:$AC$1, 0))</f>
        <v>#N/A</v>
      </c>
      <c r="L3" s="42" t="e">
        <f>INDEX(Input!$D$2:$AC$500,
       MATCH(B3, Input!$J$2:$J$500, 0),
       MATCH("Memory Type", Input!$D$1:$AC$1, 0))</f>
        <v>#N/A</v>
      </c>
      <c r="M3" s="42" t="str" cm="1">
        <f t="array" ref="M3">IFERROR(_xlfn.FILTERXML("&lt;t&gt;&lt;s&gt;" &amp; SUBSTITUTE(L3," / ","&lt;/s&gt;&lt;s&gt;") &amp; "&lt;/s&gt;&lt;/t&gt;","(//s[contains(.,'DDR')])[1]"),"")</f>
        <v/>
      </c>
      <c r="N3" s="32" t="e">
        <f>_xlfn.TEXTJOIN(" ",TRUE,SUBSTITUTE(K3,"i",""),M3)</f>
        <v>#N/A</v>
      </c>
      <c r="O3" s="42" t="e">
        <f>INDEX(Input!$D$2:$AC$500,
       MATCH(B3, Input!$J$2:$J$500, 0),
       MATCH("Disk Interface Type", Input!$D$1:$AC$1, 0))</f>
        <v>#N/A</v>
      </c>
      <c r="P3" s="42" t="str" cm="1">
        <f t="array" ref="P3">IFERROR(_xlfn.TEXTJOIN(", ", TRUE, _xlfn._xlws.FILTER(
    INDEX(Input!$D$2:$AC$500,,MATCH("Disk Capacity",Input!$D$1:$AC$1,0)),
    Input!$J$2:$J$500=B3
)), "")</f>
        <v/>
      </c>
      <c r="Q3" s="32" t="e">
        <f t="shared" ref="Q3:Q66" si="1">_xlfn.TEXTJOIN(" ",TRUE,P3,O3)</f>
        <v>#N/A</v>
      </c>
      <c r="R3" s="42" t="e">
        <f>_xlfn.LET(_xlpm.Result,INDEX(Input!$D$2:$AC$500,
       MATCH(B3, Input!$J$2:$J$500, 0),
       MATCH("Capacity", Input!$D$1:$AC$1, 0)),IF(_xlpm.Result="","",_xlpm.Result))</f>
        <v>#N/A</v>
      </c>
      <c r="S3" s="42" t="e" cm="1">
        <f t="array" ref="S3">_xlfn.TEXTSPLIT(R3," / ", ,TRUE,0,)</f>
        <v>#N/A</v>
      </c>
      <c r="T3" s="42"/>
      <c r="U3" s="42" t="str" cm="1">
        <f t="array" ref="U3">IFERROR(_xlfn.IFS(
S3="","",
--S3&lt;55,"Battery Defect",
--S3&lt;=69,"Battery D",
--S3&lt;=80,"Battery C",
--S3&gt;80,""
),"")</f>
        <v/>
      </c>
      <c r="V3" s="42" t="str" cm="1">
        <f t="array" ref="V3">IFERROR(_xlfn.IFS(
T3="","",
--T3&lt;55,"Battery Defect",
--T3&lt;=69,"Battery D",
--T3&lt;=80,"Battery C",
--T3&gt;80,""
),"")</f>
        <v/>
      </c>
      <c r="W3" s="42" t="str" cm="1">
        <f t="array" ref="W3:AD3">IFERROR(IF(_xlfn.XLOOKUP(B3,Input!J:J,Input!N:U)=0,"",
          _xlfn.XLOOKUP(B3,Input!J:J,Input!N:U)),"")</f>
        <v/>
      </c>
      <c r="X3" s="42" t="str">
        <v/>
      </c>
      <c r="Y3" s="42" t="str">
        <v/>
      </c>
      <c r="Z3" s="42" t="str">
        <v/>
      </c>
      <c r="AA3" s="42" t="str">
        <v/>
      </c>
      <c r="AB3" s="42" t="str">
        <v/>
      </c>
      <c r="AC3" s="42" t="str">
        <v/>
      </c>
      <c r="AD3" s="42" t="str">
        <v/>
      </c>
      <c r="AE3" s="32" t="str">
        <f t="shared" si="0"/>
        <v/>
      </c>
      <c r="AF3" s="32" t="str">
        <f>_xlfn.XLOOKUP(B:B,Disk_Pivot!G:G,Disk_Pivot!I:I)</f>
        <v>Yes x2</v>
      </c>
      <c r="AG3" s="32" t="str">
        <f>_xlfn.XLOOKUP(B3,Disk_Pivot!G:G,Disk_Pivot!N:N)</f>
        <v>Pass, Fail</v>
      </c>
      <c r="AH3" s="32"/>
      <c r="AI3" s="32"/>
      <c r="AJ3" s="32"/>
      <c r="AK3" s="32"/>
      <c r="AL3" s="32"/>
      <c r="AM3" s="32"/>
    </row>
    <row r="4" spans="1:39">
      <c r="A4" s="32" t="str">
        <f>_xlfn.XLOOKUP(B4,Input!J:J,Input!G:G)&amp;""</f>
        <v/>
      </c>
      <c r="B4" s="32"/>
      <c r="C4" s="32" t="str">
        <f>_xlfn.XLOOKUP(B4,Input!J:J,Input!H:H)&amp;""</f>
        <v/>
      </c>
      <c r="D4" s="42">
        <f>_xlfn.XLOOKUP(B4,Input!J:J,Input!F:F)</f>
        <v>0</v>
      </c>
      <c r="E4" s="32">
        <f>_xlfn.XLOOKUP(D4,Models!H:H,Models!G:G,D4)</f>
        <v>0</v>
      </c>
      <c r="F4" s="32">
        <f>_xlfn.XLOOKUP(B4,Input!J:J,Input!E:E)</f>
        <v>0</v>
      </c>
      <c r="G4" s="32">
        <f>IF(F4="LENOVO",_xlfn.XLOOKUP(B4,Input!J:J,Input!K:K),_xlfn.XLOOKUP(B4,Input!J:J,Input!L:L))</f>
        <v>0</v>
      </c>
      <c r="H4" s="32"/>
      <c r="I4" s="32"/>
      <c r="J4" s="32">
        <f>_xlfn.XLOOKUP(B4,CPU_Formula!A:A,CPU_Formula!I:I)</f>
        <v>0</v>
      </c>
      <c r="K4" s="42" t="e">
        <f>INDEX(Input!$D$2:$AC$500,
       MATCH(B4, Input!$J$2:$J$500, 0),
       MATCH("Total Memory", Input!$D$1:$AC$1, 0))</f>
        <v>#N/A</v>
      </c>
      <c r="L4" s="42" t="e">
        <f>INDEX(Input!$D$2:$AC$500,
       MATCH(B4, Input!$J$2:$J$500, 0),
       MATCH("Memory Type", Input!$D$1:$AC$1, 0))</f>
        <v>#N/A</v>
      </c>
      <c r="M4" s="42" t="str" cm="1">
        <f t="array" ref="M4">IFERROR(_xlfn.FILTERXML("&lt;t&gt;&lt;s&gt;" &amp; SUBSTITUTE(L4," / ","&lt;/s&gt;&lt;s&gt;") &amp; "&lt;/s&gt;&lt;/t&gt;","(//s[contains(.,'DDR')])[1]"),"")</f>
        <v/>
      </c>
      <c r="N4" s="32" t="e">
        <f t="shared" ref="N4:N67" si="2">_xlfn.TEXTJOIN(" ",TRUE,SUBSTITUTE(K4,"i",""),M4)</f>
        <v>#N/A</v>
      </c>
      <c r="O4" s="42" t="e">
        <f>INDEX(Input!$D$2:$AC$500,
       MATCH(B4, Input!$J$2:$J$500, 0),
       MATCH("Disk Interface Type", Input!$D$1:$AC$1, 0))</f>
        <v>#N/A</v>
      </c>
      <c r="P4" s="42" t="str" cm="1">
        <f t="array" ref="P4">IFERROR(_xlfn.TEXTJOIN(", ", TRUE, _xlfn._xlws.FILTER(
    INDEX(Input!$D$2:$AC$500,,MATCH("Disk Capacity",Input!$D$1:$AC$1,0)),
    Input!$J$2:$J$500=B4
)), "")</f>
        <v/>
      </c>
      <c r="Q4" s="32" t="e">
        <f t="shared" si="1"/>
        <v>#N/A</v>
      </c>
      <c r="R4" s="42" t="e">
        <f>_xlfn.LET(_xlpm.Result,INDEX(Input!$D$2:$AC$500,
       MATCH(B4, Input!$J$2:$J$500, 0),
       MATCH("Capacity", Input!$D$1:$AC$1, 0)),IF(_xlpm.Result="","",_xlpm.Result))</f>
        <v>#N/A</v>
      </c>
      <c r="S4" s="42" t="e" cm="1">
        <f t="array" ref="S4">_xlfn.TEXTSPLIT(R4," / ", ,TRUE,0,)</f>
        <v>#N/A</v>
      </c>
      <c r="T4" s="42"/>
      <c r="U4" s="42" t="str" cm="1">
        <f t="array" ref="U4">IFERROR(_xlfn.IFS(
S4="","",
--S4&lt;55,"Battery Defect",
--S4&lt;=69,"Battery D",
--S4&lt;=80,"Battery C",
--S4&gt;80,""
),"")</f>
        <v/>
      </c>
      <c r="V4" s="42" t="str" cm="1">
        <f t="array" ref="V4">IFERROR(_xlfn.IFS(
T4="","",
--T4&lt;55,"Battery Defect",
--T4&lt;=69,"Battery D",
--T4&lt;=80,"Battery C",
--T4&gt;80,""
),"")</f>
        <v/>
      </c>
      <c r="W4" s="42" t="str" cm="1">
        <f t="array" ref="W4:AD4">IFERROR(IF(_xlfn.XLOOKUP(B4,Input!J:J,Input!N:U)=0,"",
          _xlfn.XLOOKUP(B4,Input!J:J,Input!N:U)),"")</f>
        <v/>
      </c>
      <c r="X4" s="42" t="str">
        <v/>
      </c>
      <c r="Y4" s="42" t="str">
        <v/>
      </c>
      <c r="Z4" s="42" t="str">
        <v/>
      </c>
      <c r="AA4" s="42" t="str">
        <v/>
      </c>
      <c r="AB4" s="42" t="str">
        <v/>
      </c>
      <c r="AC4" s="42" t="str">
        <v/>
      </c>
      <c r="AD4" s="42" t="str">
        <v/>
      </c>
      <c r="AE4" s="32" t="str">
        <f t="shared" si="0"/>
        <v/>
      </c>
      <c r="AF4" s="32" t="str">
        <f>_xlfn.XLOOKUP(B:B,Disk_Pivot!G:G,Disk_Pivot!I:I)</f>
        <v>Yes x2</v>
      </c>
      <c r="AG4" s="32" t="str">
        <f>_xlfn.XLOOKUP(B4,Disk_Pivot!G:G,Disk_Pivot!N:N)</f>
        <v>Pass, Fail</v>
      </c>
      <c r="AH4" s="32"/>
      <c r="AI4" s="32"/>
      <c r="AJ4" s="32"/>
      <c r="AK4" s="32"/>
      <c r="AL4" s="32"/>
      <c r="AM4" s="32"/>
    </row>
    <row r="5" spans="1:39">
      <c r="A5" s="32" t="str">
        <f>_xlfn.XLOOKUP(B5,Input!J:J,Input!G:G)&amp;""</f>
        <v/>
      </c>
      <c r="B5" s="32"/>
      <c r="C5" s="32" t="str">
        <f>_xlfn.XLOOKUP(B5,Input!J:J,Input!H:H)&amp;""</f>
        <v/>
      </c>
      <c r="D5" s="42">
        <f>_xlfn.XLOOKUP(B5,Input!J:J,Input!F:F)</f>
        <v>0</v>
      </c>
      <c r="E5" s="32">
        <f>_xlfn.XLOOKUP(D5,Models!H:H,Models!G:G,D5)</f>
        <v>0</v>
      </c>
      <c r="F5" s="32">
        <f>_xlfn.XLOOKUP(B5,Input!J:J,Input!E:E)</f>
        <v>0</v>
      </c>
      <c r="G5" s="32">
        <f>IF(F5="LENOVO",_xlfn.XLOOKUP(B5,Input!J:J,Input!K:K),_xlfn.XLOOKUP(B5,Input!J:J,Input!L:L))</f>
        <v>0</v>
      </c>
      <c r="H5" s="32"/>
      <c r="I5" s="32"/>
      <c r="J5" s="32">
        <f>_xlfn.XLOOKUP(B5,CPU_Formula!A:A,CPU_Formula!I:I)</f>
        <v>0</v>
      </c>
      <c r="K5" s="42" t="e">
        <f>INDEX(Input!$D$2:$AC$500,
       MATCH(B5, Input!$J$2:$J$500, 0),
       MATCH("Total Memory", Input!$D$1:$AC$1, 0))</f>
        <v>#N/A</v>
      </c>
      <c r="L5" s="42" t="e">
        <f>INDEX(Input!$D$2:$AC$500,
       MATCH(B5, Input!$J$2:$J$500, 0),
       MATCH("Memory Type", Input!$D$1:$AC$1, 0))</f>
        <v>#N/A</v>
      </c>
      <c r="M5" s="42" t="str" cm="1">
        <f t="array" ref="M5">IFERROR(_xlfn.FILTERXML("&lt;t&gt;&lt;s&gt;" &amp; SUBSTITUTE(L5," / ","&lt;/s&gt;&lt;s&gt;") &amp; "&lt;/s&gt;&lt;/t&gt;","(//s[contains(.,'DDR')])[1]"),"")</f>
        <v/>
      </c>
      <c r="N5" s="32" t="e">
        <f t="shared" si="2"/>
        <v>#N/A</v>
      </c>
      <c r="O5" s="42" t="e">
        <f>INDEX(Input!$D$2:$AC$500,
       MATCH(B5, Input!$J$2:$J$500, 0),
       MATCH("Disk Interface Type", Input!$D$1:$AC$1, 0))</f>
        <v>#N/A</v>
      </c>
      <c r="P5" s="42" t="str" cm="1">
        <f t="array" ref="P5">IFERROR(_xlfn.TEXTJOIN(", ", TRUE, _xlfn._xlws.FILTER(
    INDEX(Input!$D$2:$AC$500,,MATCH("Disk Capacity",Input!$D$1:$AC$1,0)),
    Input!$J$2:$J$500=B5
)), "")</f>
        <v/>
      </c>
      <c r="Q5" s="32" t="e">
        <f t="shared" si="1"/>
        <v>#N/A</v>
      </c>
      <c r="R5" s="42" t="e">
        <f>_xlfn.LET(_xlpm.Result,INDEX(Input!$D$2:$AC$500,
       MATCH(B5, Input!$J$2:$J$500, 0),
       MATCH("Capacity", Input!$D$1:$AC$1, 0)),IF(_xlpm.Result="","",_xlpm.Result))</f>
        <v>#N/A</v>
      </c>
      <c r="S5" s="42" t="e" cm="1">
        <f t="array" ref="S5">_xlfn.TEXTSPLIT(R5," / ", ,TRUE,0,)</f>
        <v>#N/A</v>
      </c>
      <c r="T5" s="42"/>
      <c r="U5" s="42" t="str" cm="1">
        <f t="array" ref="U5">IFERROR(_xlfn.IFS(
S5="","",
--S5&lt;55,"Battery Defect",
--S5&lt;=69,"Battery D",
--S5&lt;=80,"Battery C",
--S5&gt;80,""
),"")</f>
        <v/>
      </c>
      <c r="V5" s="42" t="str" cm="1">
        <f t="array" ref="V5">IFERROR(_xlfn.IFS(
T5="","",
--T5&lt;55,"Battery Defect",
--T5&lt;=69,"Battery D",
--T5&lt;=80,"Battery C",
--T5&gt;80,""
),"")</f>
        <v/>
      </c>
      <c r="W5" s="42" t="str" cm="1">
        <f t="array" ref="W5:AD5">IFERROR(IF(_xlfn.XLOOKUP(B5,Input!J:J,Input!N:U)=0,"",
          _xlfn.XLOOKUP(B5,Input!J:J,Input!N:U)),"")</f>
        <v/>
      </c>
      <c r="X5" s="42" t="str">
        <v/>
      </c>
      <c r="Y5" s="42" t="str">
        <v/>
      </c>
      <c r="Z5" s="42" t="str">
        <v/>
      </c>
      <c r="AA5" s="42" t="str">
        <v/>
      </c>
      <c r="AB5" s="42" t="str">
        <v/>
      </c>
      <c r="AC5" s="42" t="str">
        <v/>
      </c>
      <c r="AD5" s="42" t="str">
        <v/>
      </c>
      <c r="AE5" s="32" t="str">
        <f t="shared" si="0"/>
        <v/>
      </c>
      <c r="AF5" s="32" t="str">
        <f>_xlfn.XLOOKUP(B:B,Disk_Pivot!G:G,Disk_Pivot!I:I)</f>
        <v>Yes x2</v>
      </c>
      <c r="AG5" s="32" t="str">
        <f>_xlfn.XLOOKUP(B5,Disk_Pivot!G:G,Disk_Pivot!N:N)</f>
        <v>Pass, Fail</v>
      </c>
      <c r="AH5" s="32"/>
      <c r="AI5" s="32"/>
      <c r="AJ5" s="32"/>
      <c r="AK5" s="32"/>
      <c r="AL5" s="32"/>
      <c r="AM5" s="32"/>
    </row>
    <row r="6" spans="1:39">
      <c r="A6" s="32" t="str">
        <f>_xlfn.XLOOKUP(B6,Input!J:J,Input!G:G)&amp;""</f>
        <v/>
      </c>
      <c r="B6" s="32"/>
      <c r="C6" s="32" t="str">
        <f>_xlfn.XLOOKUP(B6,Input!J:J,Input!H:H)&amp;""</f>
        <v/>
      </c>
      <c r="D6" s="42">
        <f>_xlfn.XLOOKUP(B6,Input!J:J,Input!F:F)</f>
        <v>0</v>
      </c>
      <c r="E6" s="32">
        <f>_xlfn.XLOOKUP(D6,Models!H:H,Models!G:G,D6)</f>
        <v>0</v>
      </c>
      <c r="F6" s="32">
        <f>_xlfn.XLOOKUP(B6,Input!J:J,Input!E:E)</f>
        <v>0</v>
      </c>
      <c r="G6" s="32">
        <f>IF(F6="LENOVO",_xlfn.XLOOKUP(B6,Input!J:J,Input!K:K),_xlfn.XLOOKUP(B6,Input!J:J,Input!L:L))</f>
        <v>0</v>
      </c>
      <c r="H6" s="32"/>
      <c r="I6" s="32"/>
      <c r="J6" s="32">
        <f>_xlfn.XLOOKUP(B6,CPU_Formula!A:A,CPU_Formula!I:I)</f>
        <v>0</v>
      </c>
      <c r="K6" s="42" t="e">
        <f>INDEX(Input!$D$2:$AC$500,
       MATCH(B6, Input!$J$2:$J$500, 0),
       MATCH("Total Memory", Input!$D$1:$AC$1, 0))</f>
        <v>#N/A</v>
      </c>
      <c r="L6" s="42" t="e">
        <f>INDEX(Input!$D$2:$AC$500,
       MATCH(B6, Input!$J$2:$J$500, 0),
       MATCH("Memory Type", Input!$D$1:$AC$1, 0))</f>
        <v>#N/A</v>
      </c>
      <c r="M6" s="42" t="str" cm="1">
        <f t="array" ref="M6">IFERROR(_xlfn.FILTERXML("&lt;t&gt;&lt;s&gt;" &amp; SUBSTITUTE(L6," / ","&lt;/s&gt;&lt;s&gt;") &amp; "&lt;/s&gt;&lt;/t&gt;","(//s[contains(.,'DDR')])[1]"),"")</f>
        <v/>
      </c>
      <c r="N6" s="32" t="e">
        <f t="shared" si="2"/>
        <v>#N/A</v>
      </c>
      <c r="O6" s="42" t="e">
        <f>INDEX(Input!$D$2:$AC$500,
       MATCH(B6, Input!$J$2:$J$500, 0),
       MATCH("Disk Interface Type", Input!$D$1:$AC$1, 0))</f>
        <v>#N/A</v>
      </c>
      <c r="P6" s="42" t="str" cm="1">
        <f t="array" ref="P6">IFERROR(_xlfn.TEXTJOIN(", ", TRUE, _xlfn._xlws.FILTER(
    INDEX(Input!$D$2:$AC$500,,MATCH("Disk Capacity",Input!$D$1:$AC$1,0)),
    Input!$J$2:$J$500=B6
)), "")</f>
        <v/>
      </c>
      <c r="Q6" s="32" t="e">
        <f t="shared" si="1"/>
        <v>#N/A</v>
      </c>
      <c r="R6" s="42" t="e">
        <f>_xlfn.LET(_xlpm.Result,INDEX(Input!$D$2:$AC$500,
       MATCH(B6, Input!$J$2:$J$500, 0),
       MATCH("Capacity", Input!$D$1:$AC$1, 0)),IF(_xlpm.Result="","",_xlpm.Result))</f>
        <v>#N/A</v>
      </c>
      <c r="S6" s="42" t="e" cm="1">
        <f t="array" ref="S6">_xlfn.TEXTSPLIT(R6," / ", ,TRUE,0,)</f>
        <v>#N/A</v>
      </c>
      <c r="T6" s="42"/>
      <c r="U6" s="42" t="str" cm="1">
        <f t="array" ref="U6">IFERROR(_xlfn.IFS(
S6="","",
--S6&lt;55,"Battery Defect",
--S6&lt;=69,"Battery D",
--S6&lt;=80,"Battery C",
--S6&gt;80,""
),"")</f>
        <v/>
      </c>
      <c r="V6" s="42" t="str" cm="1">
        <f t="array" ref="V6">IFERROR(_xlfn.IFS(
T6="","",
--T6&lt;55,"Battery Defect",
--T6&lt;=69,"Battery D",
--T6&lt;=80,"Battery C",
--T6&gt;80,""
),"")</f>
        <v/>
      </c>
      <c r="W6" s="42" t="str" cm="1">
        <f t="array" ref="W6:AD6">IFERROR(IF(_xlfn.XLOOKUP(B6,Input!J:J,Input!N:U)=0,"",
          _xlfn.XLOOKUP(B6,Input!J:J,Input!N:U)),"")</f>
        <v/>
      </c>
      <c r="X6" s="42" t="str">
        <v/>
      </c>
      <c r="Y6" s="42" t="str">
        <v/>
      </c>
      <c r="Z6" s="42" t="str">
        <v/>
      </c>
      <c r="AA6" s="42" t="str">
        <v/>
      </c>
      <c r="AB6" s="42" t="str">
        <v/>
      </c>
      <c r="AC6" s="42" t="str">
        <v/>
      </c>
      <c r="AD6" s="42" t="str">
        <v/>
      </c>
      <c r="AE6" s="32" t="str">
        <f t="shared" si="0"/>
        <v/>
      </c>
      <c r="AF6" s="32" t="str">
        <f>_xlfn.XLOOKUP(B:B,Disk_Pivot!G:G,Disk_Pivot!I:I)</f>
        <v>Yes x2</v>
      </c>
      <c r="AG6" s="32" t="str">
        <f>_xlfn.XLOOKUP(B6,Disk_Pivot!G:G,Disk_Pivot!N:N)</f>
        <v>Pass, Fail</v>
      </c>
      <c r="AH6" s="32"/>
      <c r="AI6" s="32"/>
      <c r="AJ6" s="32"/>
      <c r="AK6" s="32"/>
      <c r="AL6" s="32"/>
      <c r="AM6" s="32"/>
    </row>
    <row r="7" spans="1:39">
      <c r="A7" s="32" t="str">
        <f>_xlfn.XLOOKUP(B7,Input!J:J,Input!G:G)&amp;""</f>
        <v/>
      </c>
      <c r="B7" s="32"/>
      <c r="C7" s="32" t="str">
        <f>_xlfn.XLOOKUP(B7,Input!J:J,Input!H:H)&amp;""</f>
        <v/>
      </c>
      <c r="D7" s="42">
        <f>_xlfn.XLOOKUP(B7,Input!J:J,Input!F:F)</f>
        <v>0</v>
      </c>
      <c r="E7" s="32">
        <f>_xlfn.XLOOKUP(D7,Models!H:H,Models!G:G,D7)</f>
        <v>0</v>
      </c>
      <c r="F7" s="32">
        <f>_xlfn.XLOOKUP(B7,Input!J:J,Input!E:E)</f>
        <v>0</v>
      </c>
      <c r="G7" s="32">
        <f>IF(F7="LENOVO",_xlfn.XLOOKUP(B7,Input!J:J,Input!K:K),_xlfn.XLOOKUP(B7,Input!J:J,Input!L:L))</f>
        <v>0</v>
      </c>
      <c r="H7" s="32"/>
      <c r="I7" s="32"/>
      <c r="J7" s="32">
        <f>_xlfn.XLOOKUP(B7,CPU_Formula!A:A,CPU_Formula!I:I)</f>
        <v>0</v>
      </c>
      <c r="K7" s="42" t="e">
        <f>INDEX(Input!$D$2:$AC$500,
       MATCH(B7, Input!$J$2:$J$500, 0),
       MATCH("Total Memory", Input!$D$1:$AC$1, 0))</f>
        <v>#N/A</v>
      </c>
      <c r="L7" s="42" t="e">
        <f>INDEX(Input!$D$2:$AC$500,
       MATCH(B7, Input!$J$2:$J$500, 0),
       MATCH("Memory Type", Input!$D$1:$AC$1, 0))</f>
        <v>#N/A</v>
      </c>
      <c r="M7" s="42" t="str" cm="1">
        <f t="array" ref="M7">IFERROR(_xlfn.FILTERXML("&lt;t&gt;&lt;s&gt;" &amp; SUBSTITUTE(L7," / ","&lt;/s&gt;&lt;s&gt;") &amp; "&lt;/s&gt;&lt;/t&gt;","(//s[contains(.,'DDR')])[1]"),"")</f>
        <v/>
      </c>
      <c r="N7" s="32" t="e">
        <f t="shared" si="2"/>
        <v>#N/A</v>
      </c>
      <c r="O7" s="42" t="e">
        <f>INDEX(Input!$D$2:$AC$500,
       MATCH(B7, Input!$J$2:$J$500, 0),
       MATCH("Disk Interface Type", Input!$D$1:$AC$1, 0))</f>
        <v>#N/A</v>
      </c>
      <c r="P7" s="42" t="str" cm="1">
        <f t="array" ref="P7">IFERROR(_xlfn.TEXTJOIN(", ", TRUE, _xlfn._xlws.FILTER(
    INDEX(Input!$D$2:$AC$500,,MATCH("Disk Capacity",Input!$D$1:$AC$1,0)),
    Input!$J$2:$J$500=B7
)), "")</f>
        <v/>
      </c>
      <c r="Q7" s="32" t="e">
        <f t="shared" si="1"/>
        <v>#N/A</v>
      </c>
      <c r="R7" s="42" t="e">
        <f>_xlfn.LET(_xlpm.Result,INDEX(Input!$D$2:$AC$500,
       MATCH(B7, Input!$J$2:$J$500, 0),
       MATCH("Capacity", Input!$D$1:$AC$1, 0)),IF(_xlpm.Result="","",_xlpm.Result))</f>
        <v>#N/A</v>
      </c>
      <c r="S7" s="42" t="e" cm="1">
        <f t="array" ref="S7">_xlfn.TEXTSPLIT(R7," / ", ,TRUE,0,)</f>
        <v>#N/A</v>
      </c>
      <c r="T7" s="42"/>
      <c r="U7" s="42" t="str" cm="1">
        <f t="array" ref="U7">IFERROR(_xlfn.IFS(
S7="","",
--S7&lt;55,"Battery Defect",
--S7&lt;=69,"Battery D",
--S7&lt;=80,"Battery C",
--S7&gt;80,""
),"")</f>
        <v/>
      </c>
      <c r="V7" s="42" t="str" cm="1">
        <f t="array" ref="V7">IFERROR(_xlfn.IFS(
T7="","",
--T7&lt;55,"Battery Defect",
--T7&lt;=69,"Battery D",
--T7&lt;=80,"Battery C",
--T7&gt;80,""
),"")</f>
        <v/>
      </c>
      <c r="W7" s="42" t="str" cm="1">
        <f t="array" ref="W7:AD7">IFERROR(IF(_xlfn.XLOOKUP(B7,Input!J:J,Input!N:U)=0,"",
          _xlfn.XLOOKUP(B7,Input!J:J,Input!N:U)),"")</f>
        <v/>
      </c>
      <c r="X7" s="42" t="str">
        <v/>
      </c>
      <c r="Y7" s="42" t="str">
        <v/>
      </c>
      <c r="Z7" s="42" t="str">
        <v/>
      </c>
      <c r="AA7" s="42" t="str">
        <v/>
      </c>
      <c r="AB7" s="42" t="str">
        <v/>
      </c>
      <c r="AC7" s="42" t="str">
        <v/>
      </c>
      <c r="AD7" s="42" t="str">
        <v/>
      </c>
      <c r="AE7" s="32" t="str">
        <f t="shared" si="0"/>
        <v/>
      </c>
      <c r="AF7" s="32" t="str">
        <f>_xlfn.XLOOKUP(B:B,Disk_Pivot!G:G,Disk_Pivot!I:I)</f>
        <v>Yes x2</v>
      </c>
      <c r="AG7" s="32" t="str">
        <f>_xlfn.XLOOKUP(B7,Disk_Pivot!G:G,Disk_Pivot!N:N)</f>
        <v>Pass, Fail</v>
      </c>
      <c r="AH7" s="32"/>
      <c r="AI7" s="32"/>
      <c r="AJ7" s="32"/>
      <c r="AK7" s="32"/>
      <c r="AL7" s="32"/>
      <c r="AM7" s="32"/>
    </row>
    <row r="8" spans="1:39">
      <c r="A8" s="32" t="str">
        <f>_xlfn.XLOOKUP(B8,Input!J:J,Input!G:G)&amp;""</f>
        <v/>
      </c>
      <c r="B8" s="32"/>
      <c r="C8" s="32" t="str">
        <f>_xlfn.XLOOKUP(B8,Input!J:J,Input!H:H)&amp;""</f>
        <v/>
      </c>
      <c r="D8" s="42">
        <f>_xlfn.XLOOKUP(B8,Input!J:J,Input!F:F)</f>
        <v>0</v>
      </c>
      <c r="E8" s="32">
        <f>_xlfn.XLOOKUP(D8,Models!H:H,Models!G:G,D8)</f>
        <v>0</v>
      </c>
      <c r="F8" s="32">
        <f>_xlfn.XLOOKUP(B8,Input!J:J,Input!E:E)</f>
        <v>0</v>
      </c>
      <c r="G8" s="32">
        <f>IF(F8="LENOVO",_xlfn.XLOOKUP(B8,Input!J:J,Input!K:K),_xlfn.XLOOKUP(B8,Input!J:J,Input!L:L))</f>
        <v>0</v>
      </c>
      <c r="H8" s="32"/>
      <c r="I8" s="32"/>
      <c r="J8" s="32">
        <f>_xlfn.XLOOKUP(B8,CPU_Formula!A:A,CPU_Formula!I:I)</f>
        <v>0</v>
      </c>
      <c r="K8" s="42" t="e">
        <f>INDEX(Input!$D$2:$AC$500,
       MATCH(B8, Input!$J$2:$J$500, 0),
       MATCH("Total Memory", Input!$D$1:$AC$1, 0))</f>
        <v>#N/A</v>
      </c>
      <c r="L8" s="42" t="e">
        <f>INDEX(Input!$D$2:$AC$500,
       MATCH(B8, Input!$J$2:$J$500, 0),
       MATCH("Memory Type", Input!$D$1:$AC$1, 0))</f>
        <v>#N/A</v>
      </c>
      <c r="M8" s="42" t="str" cm="1">
        <f t="array" ref="M8">IFERROR(_xlfn.FILTERXML("&lt;t&gt;&lt;s&gt;" &amp; SUBSTITUTE(L8," / ","&lt;/s&gt;&lt;s&gt;") &amp; "&lt;/s&gt;&lt;/t&gt;","(//s[contains(.,'DDR')])[1]"),"")</f>
        <v/>
      </c>
      <c r="N8" s="32" t="e">
        <f t="shared" si="2"/>
        <v>#N/A</v>
      </c>
      <c r="O8" s="42" t="e">
        <f>INDEX(Input!$D$2:$AC$500,
       MATCH(B8, Input!$J$2:$J$500, 0),
       MATCH("Disk Interface Type", Input!$D$1:$AC$1, 0))</f>
        <v>#N/A</v>
      </c>
      <c r="P8" s="42" t="str" cm="1">
        <f t="array" ref="P8">IFERROR(_xlfn.TEXTJOIN(", ", TRUE, _xlfn._xlws.FILTER(
    INDEX(Input!$D$2:$AC$500,,MATCH("Disk Capacity",Input!$D$1:$AC$1,0)),
    Input!$J$2:$J$500=B8
)), "")</f>
        <v/>
      </c>
      <c r="Q8" s="32" t="e">
        <f t="shared" si="1"/>
        <v>#N/A</v>
      </c>
      <c r="R8" s="42" t="e">
        <f>_xlfn.LET(_xlpm.Result,INDEX(Input!$D$2:$AC$500,
       MATCH(B8, Input!$J$2:$J$500, 0),
       MATCH("Capacity", Input!$D$1:$AC$1, 0)),IF(_xlpm.Result="","",_xlpm.Result))</f>
        <v>#N/A</v>
      </c>
      <c r="S8" s="42" t="e" cm="1">
        <f t="array" ref="S8">_xlfn.TEXTSPLIT(R8," / ", ,TRUE,0,)</f>
        <v>#N/A</v>
      </c>
      <c r="T8" s="42"/>
      <c r="U8" s="42" t="str" cm="1">
        <f t="array" ref="U8">IFERROR(_xlfn.IFS(
S8="","",
--S8&lt;55,"Battery Defect",
--S8&lt;=69,"Battery D",
--S8&lt;=80,"Battery C",
--S8&gt;80,""
),"")</f>
        <v/>
      </c>
      <c r="V8" s="42" t="str" cm="1">
        <f t="array" ref="V8">IFERROR(_xlfn.IFS(
T8="","",
--T8&lt;55,"Battery Defect",
--T8&lt;=69,"Battery D",
--T8&lt;=80,"Battery C",
--T8&gt;80,""
),"")</f>
        <v/>
      </c>
      <c r="W8" s="42" t="str" cm="1">
        <f t="array" ref="W8:AD8">IFERROR(IF(_xlfn.XLOOKUP(B8,Input!J:J,Input!N:U)=0,"",
          _xlfn.XLOOKUP(B8,Input!J:J,Input!N:U)),"")</f>
        <v/>
      </c>
      <c r="X8" s="42" t="str">
        <v/>
      </c>
      <c r="Y8" s="42" t="str">
        <v/>
      </c>
      <c r="Z8" s="42" t="str">
        <v/>
      </c>
      <c r="AA8" s="42" t="str">
        <v/>
      </c>
      <c r="AB8" s="42" t="str">
        <v/>
      </c>
      <c r="AC8" s="42" t="str">
        <v/>
      </c>
      <c r="AD8" s="42" t="str">
        <v/>
      </c>
      <c r="AE8" s="32" t="str">
        <f t="shared" si="0"/>
        <v/>
      </c>
      <c r="AF8" s="32" t="str">
        <f>_xlfn.XLOOKUP(B:B,Disk_Pivot!G:G,Disk_Pivot!I:I)</f>
        <v>Yes x2</v>
      </c>
      <c r="AG8" s="32" t="str">
        <f>_xlfn.XLOOKUP(B8,Disk_Pivot!G:G,Disk_Pivot!N:N)</f>
        <v>Pass, Fail</v>
      </c>
      <c r="AH8" s="32"/>
      <c r="AI8" s="32"/>
      <c r="AJ8" s="32"/>
      <c r="AK8" s="32"/>
      <c r="AL8" s="32"/>
      <c r="AM8" s="32"/>
    </row>
    <row r="9" spans="1:39">
      <c r="A9" s="32" t="str">
        <f>_xlfn.XLOOKUP(B9,Input!J:J,Input!G:G)&amp;""</f>
        <v/>
      </c>
      <c r="B9" s="32"/>
      <c r="C9" s="32" t="str">
        <f>_xlfn.XLOOKUP(B9,Input!J:J,Input!H:H)&amp;""</f>
        <v/>
      </c>
      <c r="D9" s="42">
        <f>_xlfn.XLOOKUP(B9,Input!J:J,Input!F:F)</f>
        <v>0</v>
      </c>
      <c r="E9" s="32">
        <f>_xlfn.XLOOKUP(D9,Models!H:H,Models!G:G,D9)</f>
        <v>0</v>
      </c>
      <c r="F9" s="32">
        <f>_xlfn.XLOOKUP(B9,Input!J:J,Input!E:E)</f>
        <v>0</v>
      </c>
      <c r="G9" s="32">
        <f>IF(F9="LENOVO",_xlfn.XLOOKUP(B9,Input!J:J,Input!K:K),_xlfn.XLOOKUP(B9,Input!J:J,Input!L:L))</f>
        <v>0</v>
      </c>
      <c r="H9" s="32"/>
      <c r="I9" s="32"/>
      <c r="J9" s="32">
        <f>_xlfn.XLOOKUP(B9,CPU_Formula!A:A,CPU_Formula!I:I)</f>
        <v>0</v>
      </c>
      <c r="K9" s="42" t="e">
        <f>INDEX(Input!$D$2:$AC$500,
       MATCH(B9, Input!$J$2:$J$500, 0),
       MATCH("Total Memory", Input!$D$1:$AC$1, 0))</f>
        <v>#N/A</v>
      </c>
      <c r="L9" s="42" t="e">
        <f>INDEX(Input!$D$2:$AC$500,
       MATCH(B9, Input!$J$2:$J$500, 0),
       MATCH("Memory Type", Input!$D$1:$AC$1, 0))</f>
        <v>#N/A</v>
      </c>
      <c r="M9" s="42" t="str" cm="1">
        <f t="array" ref="M9">IFERROR(_xlfn.FILTERXML("&lt;t&gt;&lt;s&gt;" &amp; SUBSTITUTE(L9," / ","&lt;/s&gt;&lt;s&gt;") &amp; "&lt;/s&gt;&lt;/t&gt;","(//s[contains(.,'DDR')])[1]"),"")</f>
        <v/>
      </c>
      <c r="N9" s="32" t="e">
        <f t="shared" si="2"/>
        <v>#N/A</v>
      </c>
      <c r="O9" s="42" t="e">
        <f>INDEX(Input!$D$2:$AC$500,
       MATCH(B9, Input!$J$2:$J$500, 0),
       MATCH("Disk Interface Type", Input!$D$1:$AC$1, 0))</f>
        <v>#N/A</v>
      </c>
      <c r="P9" s="42" t="str" cm="1">
        <f t="array" ref="P9">IFERROR(_xlfn.TEXTJOIN(", ", TRUE, _xlfn._xlws.FILTER(
    INDEX(Input!$D$2:$AC$500,,MATCH("Disk Capacity",Input!$D$1:$AC$1,0)),
    Input!$J$2:$J$500=B9
)), "")</f>
        <v/>
      </c>
      <c r="Q9" s="32" t="e">
        <f t="shared" si="1"/>
        <v>#N/A</v>
      </c>
      <c r="R9" s="42" t="e">
        <f>_xlfn.LET(_xlpm.Result,INDEX(Input!$D$2:$AC$500,
       MATCH(B9, Input!$J$2:$J$500, 0),
       MATCH("Capacity", Input!$D$1:$AC$1, 0)),IF(_xlpm.Result="","",_xlpm.Result))</f>
        <v>#N/A</v>
      </c>
      <c r="S9" s="42" t="e" cm="1">
        <f t="array" ref="S9">_xlfn.TEXTSPLIT(R9," / ", ,TRUE,0,)</f>
        <v>#N/A</v>
      </c>
      <c r="T9" s="42"/>
      <c r="U9" s="42" t="str" cm="1">
        <f t="array" ref="U9">IFERROR(_xlfn.IFS(
S9="","",
--S9&lt;55,"Battery Defect",
--S9&lt;=69,"Battery D",
--S9&lt;=80,"Battery C",
--S9&gt;80,""
),"")</f>
        <v/>
      </c>
      <c r="V9" s="42" t="str" cm="1">
        <f t="array" ref="V9">IFERROR(_xlfn.IFS(
T9="","",
--T9&lt;55,"Battery Defect",
--T9&lt;=69,"Battery D",
--T9&lt;=80,"Battery C",
--T9&gt;80,""
),"")</f>
        <v/>
      </c>
      <c r="W9" s="42" t="str" cm="1">
        <f t="array" ref="W9:AD9">IFERROR(IF(_xlfn.XLOOKUP(B9,Input!J:J,Input!N:U)=0,"",
          _xlfn.XLOOKUP(B9,Input!J:J,Input!N:U)),"")</f>
        <v/>
      </c>
      <c r="X9" s="42" t="str">
        <v/>
      </c>
      <c r="Y9" s="42" t="str">
        <v/>
      </c>
      <c r="Z9" s="42" t="str">
        <v/>
      </c>
      <c r="AA9" s="42" t="str">
        <v/>
      </c>
      <c r="AB9" s="42" t="str">
        <v/>
      </c>
      <c r="AC9" s="42" t="str">
        <v/>
      </c>
      <c r="AD9" s="42" t="str">
        <v/>
      </c>
      <c r="AE9" s="32" t="str">
        <f t="shared" si="0"/>
        <v/>
      </c>
      <c r="AF9" s="32" t="str">
        <f>_xlfn.XLOOKUP(B:B,Disk_Pivot!G:G,Disk_Pivot!I:I)</f>
        <v>Yes x2</v>
      </c>
      <c r="AG9" s="32" t="str">
        <f>_xlfn.XLOOKUP(B9,Disk_Pivot!G:G,Disk_Pivot!N:N)</f>
        <v>Pass, Fail</v>
      </c>
      <c r="AH9" s="32"/>
      <c r="AI9" s="32"/>
      <c r="AJ9" s="32"/>
      <c r="AK9" s="32"/>
      <c r="AL9" s="32"/>
      <c r="AM9" s="32"/>
    </row>
    <row r="10" spans="1:39">
      <c r="A10" s="32" t="str">
        <f>_xlfn.XLOOKUP(B10,Input!J:J,Input!G:G)&amp;""</f>
        <v/>
      </c>
      <c r="B10" s="32"/>
      <c r="C10" s="32" t="str">
        <f>_xlfn.XLOOKUP(B10,Input!J:J,Input!H:H)&amp;""</f>
        <v/>
      </c>
      <c r="D10" s="42">
        <f>_xlfn.XLOOKUP(B10,Input!J:J,Input!F:F)</f>
        <v>0</v>
      </c>
      <c r="E10" s="32">
        <f>_xlfn.XLOOKUP(D10,Models!H:H,Models!G:G,D10)</f>
        <v>0</v>
      </c>
      <c r="F10" s="32">
        <f>_xlfn.XLOOKUP(B10,Input!J:J,Input!E:E)</f>
        <v>0</v>
      </c>
      <c r="G10" s="32">
        <f>IF(F10="LENOVO",_xlfn.XLOOKUP(B10,Input!J:J,Input!K:K),_xlfn.XLOOKUP(B10,Input!J:J,Input!L:L))</f>
        <v>0</v>
      </c>
      <c r="H10" s="32"/>
      <c r="I10" s="32"/>
      <c r="J10" s="32">
        <f>_xlfn.XLOOKUP(B10,CPU_Formula!A:A,CPU_Formula!I:I)</f>
        <v>0</v>
      </c>
      <c r="K10" s="42" t="e">
        <f>INDEX(Input!$D$2:$AC$500,
       MATCH(B10, Input!$J$2:$J$500, 0),
       MATCH("Total Memory", Input!$D$1:$AC$1, 0))</f>
        <v>#N/A</v>
      </c>
      <c r="L10" s="42" t="e">
        <f>INDEX(Input!$D$2:$AC$500,
       MATCH(B10, Input!$J$2:$J$500, 0),
       MATCH("Memory Type", Input!$D$1:$AC$1, 0))</f>
        <v>#N/A</v>
      </c>
      <c r="M10" s="42" t="str" cm="1">
        <f t="array" ref="M10">IFERROR(_xlfn.FILTERXML("&lt;t&gt;&lt;s&gt;" &amp; SUBSTITUTE(L10," / ","&lt;/s&gt;&lt;s&gt;") &amp; "&lt;/s&gt;&lt;/t&gt;","(//s[contains(.,'DDR')])[1]"),"")</f>
        <v/>
      </c>
      <c r="N10" s="32" t="e">
        <f t="shared" si="2"/>
        <v>#N/A</v>
      </c>
      <c r="O10" s="42" t="e">
        <f>INDEX(Input!$D$2:$AC$500,
       MATCH(B10, Input!$J$2:$J$500, 0),
       MATCH("Disk Interface Type", Input!$D$1:$AC$1, 0))</f>
        <v>#N/A</v>
      </c>
      <c r="P10" s="42" t="str" cm="1">
        <f t="array" ref="P10">IFERROR(_xlfn.TEXTJOIN(", ", TRUE, _xlfn._xlws.FILTER(
    INDEX(Input!$D$2:$AC$500,,MATCH("Disk Capacity",Input!$D$1:$AC$1,0)),
    Input!$J$2:$J$500=B10
)), "")</f>
        <v/>
      </c>
      <c r="Q10" s="32" t="e">
        <f t="shared" si="1"/>
        <v>#N/A</v>
      </c>
      <c r="R10" s="42" t="e">
        <f>_xlfn.LET(_xlpm.Result,INDEX(Input!$D$2:$AC$500,
       MATCH(B10, Input!$J$2:$J$500, 0),
       MATCH("Capacity", Input!$D$1:$AC$1, 0)),IF(_xlpm.Result="","",_xlpm.Result))</f>
        <v>#N/A</v>
      </c>
      <c r="S10" s="42" t="e" cm="1">
        <f t="array" ref="S10">_xlfn.TEXTSPLIT(R10," / ", ,TRUE,0,)</f>
        <v>#N/A</v>
      </c>
      <c r="T10" s="42"/>
      <c r="U10" s="42" t="str" cm="1">
        <f t="array" ref="U10">IFERROR(_xlfn.IFS(
S10="","",
--S10&lt;55,"Battery Defect",
--S10&lt;=69,"Battery D",
--S10&lt;=80,"Battery C",
--S10&gt;80,""
),"")</f>
        <v/>
      </c>
      <c r="V10" s="42" t="str" cm="1">
        <f t="array" ref="V10">IFERROR(_xlfn.IFS(
T10="","",
--T10&lt;55,"Battery Defect",
--T10&lt;=69,"Battery D",
--T10&lt;=80,"Battery C",
--T10&gt;80,""
),"")</f>
        <v/>
      </c>
      <c r="W10" s="42" t="str" cm="1">
        <f t="array" ref="W10:AD10">IFERROR(IF(_xlfn.XLOOKUP(B10,Input!J:J,Input!N:U)=0,"",
          _xlfn.XLOOKUP(B10,Input!J:J,Input!N:U)),"")</f>
        <v/>
      </c>
      <c r="X10" s="42" t="str">
        <v/>
      </c>
      <c r="Y10" s="42" t="str">
        <v/>
      </c>
      <c r="Z10" s="42" t="str">
        <v/>
      </c>
      <c r="AA10" s="42" t="str">
        <v/>
      </c>
      <c r="AB10" s="42" t="str">
        <v/>
      </c>
      <c r="AC10" s="42" t="str">
        <v/>
      </c>
      <c r="AD10" s="42" t="str">
        <v/>
      </c>
      <c r="AE10" s="32" t="str">
        <f t="shared" si="0"/>
        <v/>
      </c>
      <c r="AF10" s="32" t="str">
        <f>_xlfn.XLOOKUP(B:B,Disk_Pivot!G:G,Disk_Pivot!I:I)</f>
        <v>Yes x2</v>
      </c>
      <c r="AG10" s="32" t="str">
        <f>_xlfn.XLOOKUP(B10,Disk_Pivot!G:G,Disk_Pivot!N:N)</f>
        <v>Pass, Fail</v>
      </c>
      <c r="AH10" s="32"/>
      <c r="AI10" s="32"/>
      <c r="AJ10" s="32"/>
      <c r="AK10" s="32"/>
      <c r="AL10" s="32"/>
      <c r="AM10" s="32"/>
    </row>
    <row r="11" spans="1:39">
      <c r="A11" s="32" t="str">
        <f>_xlfn.XLOOKUP(B11,Input!J:J,Input!G:G)&amp;""</f>
        <v/>
      </c>
      <c r="B11" s="32"/>
      <c r="C11" s="32" t="str">
        <f>_xlfn.XLOOKUP(B11,Input!J:J,Input!H:H)&amp;""</f>
        <v/>
      </c>
      <c r="D11" s="42">
        <f>_xlfn.XLOOKUP(B11,Input!J:J,Input!F:F)</f>
        <v>0</v>
      </c>
      <c r="E11" s="32">
        <f>_xlfn.XLOOKUP(D11,Models!H:H,Models!G:G,D11)</f>
        <v>0</v>
      </c>
      <c r="F11" s="32">
        <f>_xlfn.XLOOKUP(B11,Input!J:J,Input!E:E)</f>
        <v>0</v>
      </c>
      <c r="G11" s="32">
        <f>IF(F11="LENOVO",_xlfn.XLOOKUP(B11,Input!J:J,Input!K:K),_xlfn.XLOOKUP(B11,Input!J:J,Input!L:L))</f>
        <v>0</v>
      </c>
      <c r="H11" s="32"/>
      <c r="I11" s="32"/>
      <c r="J11" s="32">
        <f>_xlfn.XLOOKUP(B11,CPU_Formula!A:A,CPU_Formula!I:I)</f>
        <v>0</v>
      </c>
      <c r="K11" s="42" t="e">
        <f>INDEX(Input!$D$2:$AC$500,
       MATCH(B11, Input!$J$2:$J$500, 0),
       MATCH("Total Memory", Input!$D$1:$AC$1, 0))</f>
        <v>#N/A</v>
      </c>
      <c r="L11" s="42" t="e">
        <f>INDEX(Input!$D$2:$AC$500,
       MATCH(B11, Input!$J$2:$J$500, 0),
       MATCH("Memory Type", Input!$D$1:$AC$1, 0))</f>
        <v>#N/A</v>
      </c>
      <c r="M11" s="42" t="str" cm="1">
        <f t="array" ref="M11">IFERROR(_xlfn.FILTERXML("&lt;t&gt;&lt;s&gt;" &amp; SUBSTITUTE(L11," / ","&lt;/s&gt;&lt;s&gt;") &amp; "&lt;/s&gt;&lt;/t&gt;","(//s[contains(.,'DDR')])[1]"),"")</f>
        <v/>
      </c>
      <c r="N11" s="32" t="e">
        <f t="shared" si="2"/>
        <v>#N/A</v>
      </c>
      <c r="O11" s="42" t="e">
        <f>INDEX(Input!$D$2:$AC$500,
       MATCH(B11, Input!$J$2:$J$500, 0),
       MATCH("Disk Interface Type", Input!$D$1:$AC$1, 0))</f>
        <v>#N/A</v>
      </c>
      <c r="P11" s="42" t="str" cm="1">
        <f t="array" ref="P11">IFERROR(_xlfn.TEXTJOIN(", ", TRUE, _xlfn._xlws.FILTER(
    INDEX(Input!$D$2:$AC$500,,MATCH("Disk Capacity",Input!$D$1:$AC$1,0)),
    Input!$J$2:$J$500=B11
)), "")</f>
        <v/>
      </c>
      <c r="Q11" s="32" t="e">
        <f t="shared" si="1"/>
        <v>#N/A</v>
      </c>
      <c r="R11" s="42" t="e">
        <f>_xlfn.LET(_xlpm.Result,INDEX(Input!$D$2:$AC$500,
       MATCH(B11, Input!$J$2:$J$500, 0),
       MATCH("Capacity", Input!$D$1:$AC$1, 0)),IF(_xlpm.Result="","",_xlpm.Result))</f>
        <v>#N/A</v>
      </c>
      <c r="S11" s="42" t="e" cm="1">
        <f t="array" ref="S11">_xlfn.TEXTSPLIT(R11," / ", ,TRUE,0,)</f>
        <v>#N/A</v>
      </c>
      <c r="T11" s="42"/>
      <c r="U11" s="42" t="str" cm="1">
        <f t="array" ref="U11">IFERROR(_xlfn.IFS(
S11="","",
--S11&lt;55,"Battery Defect",
--S11&lt;=69,"Battery D",
--S11&lt;=80,"Battery C",
--S11&gt;80,""
),"")</f>
        <v/>
      </c>
      <c r="V11" s="42" t="str" cm="1">
        <f t="array" ref="V11">IFERROR(_xlfn.IFS(
T11="","",
--T11&lt;55,"Battery Defect",
--T11&lt;=69,"Battery D",
--T11&lt;=80,"Battery C",
--T11&gt;80,""
),"")</f>
        <v/>
      </c>
      <c r="W11" s="42" t="str" cm="1">
        <f t="array" ref="W11:AD11">IFERROR(IF(_xlfn.XLOOKUP(B11,Input!J:J,Input!N:U)=0,"",
          _xlfn.XLOOKUP(B11,Input!J:J,Input!N:U)),"")</f>
        <v/>
      </c>
      <c r="X11" s="42" t="str">
        <v/>
      </c>
      <c r="Y11" s="42" t="str">
        <v/>
      </c>
      <c r="Z11" s="42" t="str">
        <v/>
      </c>
      <c r="AA11" s="42" t="str">
        <v/>
      </c>
      <c r="AB11" s="42" t="str">
        <v/>
      </c>
      <c r="AC11" s="42" t="str">
        <v/>
      </c>
      <c r="AD11" s="42" t="str">
        <v/>
      </c>
      <c r="AE11" s="32" t="str">
        <f t="shared" si="0"/>
        <v/>
      </c>
      <c r="AF11" s="32" t="str">
        <f>_xlfn.XLOOKUP(B:B,Disk_Pivot!G:G,Disk_Pivot!I:I)</f>
        <v>Yes x2</v>
      </c>
      <c r="AG11" s="32" t="str">
        <f>_xlfn.XLOOKUP(B11,Disk_Pivot!G:G,Disk_Pivot!N:N)</f>
        <v>Pass, Fail</v>
      </c>
      <c r="AH11" s="32"/>
      <c r="AI11" s="32"/>
      <c r="AJ11" s="32"/>
      <c r="AK11" s="32"/>
      <c r="AL11" s="32"/>
      <c r="AM11" s="32"/>
    </row>
    <row r="12" spans="1:39">
      <c r="A12" s="32" t="str">
        <f>_xlfn.XLOOKUP(B12,Input!J:J,Input!G:G)&amp;""</f>
        <v/>
      </c>
      <c r="B12" s="32"/>
      <c r="C12" s="32" t="str">
        <f>_xlfn.XLOOKUP(B12,Input!J:J,Input!H:H)&amp;""</f>
        <v/>
      </c>
      <c r="D12" s="42">
        <f>_xlfn.XLOOKUP(B12,Input!J:J,Input!F:F)</f>
        <v>0</v>
      </c>
      <c r="E12" s="32">
        <f>_xlfn.XLOOKUP(D12,Models!H:H,Models!G:G,D12)</f>
        <v>0</v>
      </c>
      <c r="F12" s="32">
        <f>_xlfn.XLOOKUP(B12,Input!J:J,Input!E:E)</f>
        <v>0</v>
      </c>
      <c r="G12" s="32">
        <f>IF(F12="LENOVO",_xlfn.XLOOKUP(B12,Input!J:J,Input!K:K),_xlfn.XLOOKUP(B12,Input!J:J,Input!L:L))</f>
        <v>0</v>
      </c>
      <c r="H12" s="32"/>
      <c r="I12" s="32"/>
      <c r="J12" s="32">
        <f>_xlfn.XLOOKUP(B12,CPU_Formula!A:A,CPU_Formula!I:I)</f>
        <v>0</v>
      </c>
      <c r="K12" s="42" t="e">
        <f>INDEX(Input!$D$2:$AC$500,
       MATCH(B12, Input!$J$2:$J$500, 0),
       MATCH("Total Memory", Input!$D$1:$AC$1, 0))</f>
        <v>#N/A</v>
      </c>
      <c r="L12" s="42" t="e">
        <f>INDEX(Input!$D$2:$AC$500,
       MATCH(B12, Input!$J$2:$J$500, 0),
       MATCH("Memory Type", Input!$D$1:$AC$1, 0))</f>
        <v>#N/A</v>
      </c>
      <c r="M12" s="42" t="str" cm="1">
        <f t="array" ref="M12">IFERROR(_xlfn.FILTERXML("&lt;t&gt;&lt;s&gt;" &amp; SUBSTITUTE(L12," / ","&lt;/s&gt;&lt;s&gt;") &amp; "&lt;/s&gt;&lt;/t&gt;","(//s[contains(.,'DDR')])[1]"),"")</f>
        <v/>
      </c>
      <c r="N12" s="32" t="e">
        <f t="shared" si="2"/>
        <v>#N/A</v>
      </c>
      <c r="O12" s="42" t="e">
        <f>INDEX(Input!$D$2:$AC$500,
       MATCH(B12, Input!$J$2:$J$500, 0),
       MATCH("Disk Interface Type", Input!$D$1:$AC$1, 0))</f>
        <v>#N/A</v>
      </c>
      <c r="P12" s="42" t="str" cm="1">
        <f t="array" ref="P12">IFERROR(_xlfn.TEXTJOIN(", ", TRUE, _xlfn._xlws.FILTER(
    INDEX(Input!$D$2:$AC$500,,MATCH("Disk Capacity",Input!$D$1:$AC$1,0)),
    Input!$J$2:$J$500=B12
)), "")</f>
        <v/>
      </c>
      <c r="Q12" s="32" t="e">
        <f t="shared" si="1"/>
        <v>#N/A</v>
      </c>
      <c r="R12" s="42" t="e">
        <f>_xlfn.LET(_xlpm.Result,INDEX(Input!$D$2:$AC$500,
       MATCH(B12, Input!$J$2:$J$500, 0),
       MATCH("Capacity", Input!$D$1:$AC$1, 0)),IF(_xlpm.Result="","",_xlpm.Result))</f>
        <v>#N/A</v>
      </c>
      <c r="S12" s="42" t="e" cm="1">
        <f t="array" ref="S12">_xlfn.TEXTSPLIT(R12," / ", ,TRUE,0,)</f>
        <v>#N/A</v>
      </c>
      <c r="T12" s="42"/>
      <c r="U12" s="42" t="str" cm="1">
        <f t="array" ref="U12">IFERROR(_xlfn.IFS(
S12="","",
--S12&lt;55,"Battery Defect",
--S12&lt;=69,"Battery D",
--S12&lt;=80,"Battery C",
--S12&gt;80,""
),"")</f>
        <v/>
      </c>
      <c r="V12" s="42" t="str" cm="1">
        <f t="array" ref="V12">IFERROR(_xlfn.IFS(
T12="","",
--T12&lt;55,"Battery Defect",
--T12&lt;=69,"Battery D",
--T12&lt;=80,"Battery C",
--T12&gt;80,""
),"")</f>
        <v/>
      </c>
      <c r="W12" s="42" t="str" cm="1">
        <f t="array" ref="W12:AD12">IFERROR(IF(_xlfn.XLOOKUP(B12,Input!J:J,Input!N:U)=0,"",
          _xlfn.XLOOKUP(B12,Input!J:J,Input!N:U)),"")</f>
        <v/>
      </c>
      <c r="X12" s="42" t="str">
        <v/>
      </c>
      <c r="Y12" s="42" t="str">
        <v/>
      </c>
      <c r="Z12" s="42" t="str">
        <v/>
      </c>
      <c r="AA12" s="42" t="str">
        <v/>
      </c>
      <c r="AB12" s="42" t="str">
        <v/>
      </c>
      <c r="AC12" s="42" t="str">
        <v/>
      </c>
      <c r="AD12" s="42" t="str">
        <v/>
      </c>
      <c r="AE12" s="32" t="str">
        <f t="shared" si="0"/>
        <v/>
      </c>
      <c r="AF12" s="32" t="str">
        <f>_xlfn.XLOOKUP(B:B,Disk_Pivot!G:G,Disk_Pivot!I:I)</f>
        <v>Yes x2</v>
      </c>
      <c r="AG12" s="32" t="str">
        <f>_xlfn.XLOOKUP(B12,Disk_Pivot!G:G,Disk_Pivot!N:N)</f>
        <v>Pass, Fail</v>
      </c>
      <c r="AH12" s="32"/>
      <c r="AI12" s="32"/>
      <c r="AJ12" s="32"/>
      <c r="AK12" s="32"/>
      <c r="AL12" s="32"/>
      <c r="AM12" s="32"/>
    </row>
    <row r="13" spans="1:39">
      <c r="A13" s="32" t="str">
        <f>_xlfn.XLOOKUP(B13,Input!J:J,Input!G:G)&amp;""</f>
        <v/>
      </c>
      <c r="B13" s="32"/>
      <c r="C13" s="32" t="str">
        <f>_xlfn.XLOOKUP(B13,Input!J:J,Input!H:H)&amp;""</f>
        <v/>
      </c>
      <c r="D13" s="42">
        <f>_xlfn.XLOOKUP(B13,Input!J:J,Input!F:F)</f>
        <v>0</v>
      </c>
      <c r="E13" s="32">
        <f>_xlfn.XLOOKUP(D13,Models!H:H,Models!G:G,D13)</f>
        <v>0</v>
      </c>
      <c r="F13" s="32">
        <f>_xlfn.XLOOKUP(B13,Input!J:J,Input!E:E)</f>
        <v>0</v>
      </c>
      <c r="G13" s="32">
        <f>IF(F13="LENOVO",_xlfn.XLOOKUP(B13,Input!J:J,Input!K:K),_xlfn.XLOOKUP(B13,Input!J:J,Input!L:L))</f>
        <v>0</v>
      </c>
      <c r="H13" s="32"/>
      <c r="I13" s="32"/>
      <c r="J13" s="32">
        <f>_xlfn.XLOOKUP(B13,CPU_Formula!A:A,CPU_Formula!I:I)</f>
        <v>0</v>
      </c>
      <c r="K13" s="42" t="e">
        <f>INDEX(Input!$D$2:$AC$500,
       MATCH(B13, Input!$J$2:$J$500, 0),
       MATCH("Total Memory", Input!$D$1:$AC$1, 0))</f>
        <v>#N/A</v>
      </c>
      <c r="L13" s="42" t="e">
        <f>INDEX(Input!$D$2:$AC$500,
       MATCH(B13, Input!$J$2:$J$500, 0),
       MATCH("Memory Type", Input!$D$1:$AC$1, 0))</f>
        <v>#N/A</v>
      </c>
      <c r="M13" s="42" t="str" cm="1">
        <f t="array" ref="M13">IFERROR(_xlfn.FILTERXML("&lt;t&gt;&lt;s&gt;" &amp; SUBSTITUTE(L13," / ","&lt;/s&gt;&lt;s&gt;") &amp; "&lt;/s&gt;&lt;/t&gt;","(//s[contains(.,'DDR')])[1]"),"")</f>
        <v/>
      </c>
      <c r="N13" s="32" t="e">
        <f t="shared" si="2"/>
        <v>#N/A</v>
      </c>
      <c r="O13" s="42" t="e">
        <f>INDEX(Input!$D$2:$AC$500,
       MATCH(B13, Input!$J$2:$J$500, 0),
       MATCH("Disk Interface Type", Input!$D$1:$AC$1, 0))</f>
        <v>#N/A</v>
      </c>
      <c r="P13" s="42" t="str" cm="1">
        <f t="array" ref="P13">IFERROR(_xlfn.TEXTJOIN(", ", TRUE, _xlfn._xlws.FILTER(
    INDEX(Input!$D$2:$AC$500,,MATCH("Disk Capacity",Input!$D$1:$AC$1,0)),
    Input!$J$2:$J$500=B13
)), "")</f>
        <v/>
      </c>
      <c r="Q13" s="32" t="e">
        <f t="shared" si="1"/>
        <v>#N/A</v>
      </c>
      <c r="R13" s="42" t="e">
        <f>_xlfn.LET(_xlpm.Result,INDEX(Input!$D$2:$AC$500,
       MATCH(B13, Input!$J$2:$J$500, 0),
       MATCH("Capacity", Input!$D$1:$AC$1, 0)),IF(_xlpm.Result="","",_xlpm.Result))</f>
        <v>#N/A</v>
      </c>
      <c r="S13" s="42" t="e" cm="1">
        <f t="array" ref="S13">_xlfn.TEXTSPLIT(R13," / ", ,TRUE,0,)</f>
        <v>#N/A</v>
      </c>
      <c r="T13" s="42"/>
      <c r="U13" s="42" t="str" cm="1">
        <f t="array" ref="U13">IFERROR(_xlfn.IFS(
S13="","",
--S13&lt;55,"Battery Defect",
--S13&lt;=69,"Battery D",
--S13&lt;=80,"Battery C",
--S13&gt;80,""
),"")</f>
        <v/>
      </c>
      <c r="V13" s="42" t="str" cm="1">
        <f t="array" ref="V13">IFERROR(_xlfn.IFS(
T13="","",
--T13&lt;55,"Battery Defect",
--T13&lt;=69,"Battery D",
--T13&lt;=80,"Battery C",
--T13&gt;80,""
),"")</f>
        <v/>
      </c>
      <c r="W13" s="42" t="str" cm="1">
        <f t="array" ref="W13:AD13">IFERROR(IF(_xlfn.XLOOKUP(B13,Input!J:J,Input!N:U)=0,"",
          _xlfn.XLOOKUP(B13,Input!J:J,Input!N:U)),"")</f>
        <v/>
      </c>
      <c r="X13" s="42" t="str">
        <v/>
      </c>
      <c r="Y13" s="42" t="str">
        <v/>
      </c>
      <c r="Z13" s="42" t="str">
        <v/>
      </c>
      <c r="AA13" s="42" t="str">
        <v/>
      </c>
      <c r="AB13" s="42" t="str">
        <v/>
      </c>
      <c r="AC13" s="42" t="str">
        <v/>
      </c>
      <c r="AD13" s="42" t="str">
        <v/>
      </c>
      <c r="AE13" s="32" t="str">
        <f t="shared" si="0"/>
        <v/>
      </c>
      <c r="AF13" s="32" t="str">
        <f>_xlfn.XLOOKUP(B:B,Disk_Pivot!G:G,Disk_Pivot!I:I)</f>
        <v>Yes x2</v>
      </c>
      <c r="AG13" s="32" t="str">
        <f>_xlfn.XLOOKUP(B13,Disk_Pivot!G:G,Disk_Pivot!N:N)</f>
        <v>Pass, Fail</v>
      </c>
      <c r="AH13" s="32"/>
      <c r="AI13" s="32"/>
      <c r="AJ13" s="32"/>
      <c r="AK13" s="32"/>
      <c r="AL13" s="32"/>
      <c r="AM13" s="32"/>
    </row>
    <row r="14" spans="1:39">
      <c r="A14" s="32" t="str">
        <f>_xlfn.XLOOKUP(B14,Input!J:J,Input!G:G)&amp;""</f>
        <v/>
      </c>
      <c r="B14" s="32"/>
      <c r="C14" s="32" t="str">
        <f>_xlfn.XLOOKUP(B14,Input!J:J,Input!H:H)&amp;""</f>
        <v/>
      </c>
      <c r="D14" s="42">
        <f>_xlfn.XLOOKUP(B14,Input!J:J,Input!F:F)</f>
        <v>0</v>
      </c>
      <c r="E14" s="32">
        <f>_xlfn.XLOOKUP(D14,Models!H:H,Models!G:G,D14)</f>
        <v>0</v>
      </c>
      <c r="F14" s="32">
        <f>_xlfn.XLOOKUP(B14,Input!J:J,Input!E:E)</f>
        <v>0</v>
      </c>
      <c r="G14" s="32">
        <f>IF(F14="LENOVO",_xlfn.XLOOKUP(B14,Input!J:J,Input!K:K),_xlfn.XLOOKUP(B14,Input!J:J,Input!L:L))</f>
        <v>0</v>
      </c>
      <c r="H14" s="32"/>
      <c r="I14" s="32"/>
      <c r="J14" s="32">
        <f>_xlfn.XLOOKUP(B14,CPU_Formula!A:A,CPU_Formula!I:I)</f>
        <v>0</v>
      </c>
      <c r="K14" s="42" t="e">
        <f>INDEX(Input!$D$2:$AC$500,
       MATCH(B14, Input!$J$2:$J$500, 0),
       MATCH("Total Memory", Input!$D$1:$AC$1, 0))</f>
        <v>#N/A</v>
      </c>
      <c r="L14" s="42" t="e">
        <f>INDEX(Input!$D$2:$AC$500,
       MATCH(B14, Input!$J$2:$J$500, 0),
       MATCH("Memory Type", Input!$D$1:$AC$1, 0))</f>
        <v>#N/A</v>
      </c>
      <c r="M14" s="42" t="str" cm="1">
        <f t="array" ref="M14">IFERROR(_xlfn.FILTERXML("&lt;t&gt;&lt;s&gt;" &amp; SUBSTITUTE(L14," / ","&lt;/s&gt;&lt;s&gt;") &amp; "&lt;/s&gt;&lt;/t&gt;","(//s[contains(.,'DDR')])[1]"),"")</f>
        <v/>
      </c>
      <c r="N14" s="32" t="e">
        <f t="shared" si="2"/>
        <v>#N/A</v>
      </c>
      <c r="O14" s="42" t="e">
        <f>INDEX(Input!$D$2:$AC$500,
       MATCH(B14, Input!$J$2:$J$500, 0),
       MATCH("Disk Interface Type", Input!$D$1:$AC$1, 0))</f>
        <v>#N/A</v>
      </c>
      <c r="P14" s="42" t="str" cm="1">
        <f t="array" ref="P14">IFERROR(_xlfn.TEXTJOIN(", ", TRUE, _xlfn._xlws.FILTER(
    INDEX(Input!$D$2:$AC$500,,MATCH("Disk Capacity",Input!$D$1:$AC$1,0)),
    Input!$J$2:$J$500=B14
)), "")</f>
        <v/>
      </c>
      <c r="Q14" s="32" t="e">
        <f t="shared" si="1"/>
        <v>#N/A</v>
      </c>
      <c r="R14" s="42" t="e">
        <f>_xlfn.LET(_xlpm.Result,INDEX(Input!$D$2:$AC$500,
       MATCH(B14, Input!$J$2:$J$500, 0),
       MATCH("Capacity", Input!$D$1:$AC$1, 0)),IF(_xlpm.Result="","",_xlpm.Result))</f>
        <v>#N/A</v>
      </c>
      <c r="S14" s="42" t="e" cm="1">
        <f t="array" ref="S14">_xlfn.TEXTSPLIT(R14," / ", ,TRUE,0,)</f>
        <v>#N/A</v>
      </c>
      <c r="T14" s="42"/>
      <c r="U14" s="42" t="str" cm="1">
        <f t="array" ref="U14">IFERROR(_xlfn.IFS(
S14="","",
--S14&lt;55,"Battery Defect",
--S14&lt;=69,"Battery D",
--S14&lt;=80,"Battery C",
--S14&gt;80,""
),"")</f>
        <v/>
      </c>
      <c r="V14" s="42" t="str" cm="1">
        <f t="array" ref="V14">IFERROR(_xlfn.IFS(
T14="","",
--T14&lt;55,"Battery Defect",
--T14&lt;=69,"Battery D",
--T14&lt;=80,"Battery C",
--T14&gt;80,""
),"")</f>
        <v/>
      </c>
      <c r="W14" s="42" t="str" cm="1">
        <f t="array" ref="W14:AD14">IFERROR(IF(_xlfn.XLOOKUP(B14,Input!J:J,Input!N:U)=0,"",
          _xlfn.XLOOKUP(B14,Input!J:J,Input!N:U)),"")</f>
        <v/>
      </c>
      <c r="X14" s="42" t="str">
        <v/>
      </c>
      <c r="Y14" s="42" t="str">
        <v/>
      </c>
      <c r="Z14" s="42" t="str">
        <v/>
      </c>
      <c r="AA14" s="42" t="str">
        <v/>
      </c>
      <c r="AB14" s="42" t="str">
        <v/>
      </c>
      <c r="AC14" s="42" t="str">
        <v/>
      </c>
      <c r="AD14" s="42" t="str">
        <v/>
      </c>
      <c r="AE14" s="32" t="str">
        <f t="shared" si="0"/>
        <v/>
      </c>
      <c r="AF14" s="32" t="str">
        <f>_xlfn.XLOOKUP(B:B,Disk_Pivot!G:G,Disk_Pivot!I:I)</f>
        <v>Yes x2</v>
      </c>
      <c r="AG14" s="32" t="str">
        <f>_xlfn.XLOOKUP(B14,Disk_Pivot!G:G,Disk_Pivot!N:N)</f>
        <v>Pass, Fail</v>
      </c>
      <c r="AH14" s="32"/>
      <c r="AI14" s="32"/>
      <c r="AJ14" s="32"/>
      <c r="AK14" s="32"/>
      <c r="AL14" s="32"/>
      <c r="AM14" s="32"/>
    </row>
    <row r="15" spans="1:39">
      <c r="A15" s="32" t="str">
        <f>_xlfn.XLOOKUP(B15,Input!J:J,Input!G:G)&amp;""</f>
        <v/>
      </c>
      <c r="B15" s="32"/>
      <c r="C15" s="32" t="str">
        <f>_xlfn.XLOOKUP(B15,Input!J:J,Input!H:H)&amp;""</f>
        <v/>
      </c>
      <c r="D15" s="42">
        <f>_xlfn.XLOOKUP(B15,Input!J:J,Input!F:F)</f>
        <v>0</v>
      </c>
      <c r="E15" s="32">
        <f>_xlfn.XLOOKUP(D15,Models!H:H,Models!G:G,D15)</f>
        <v>0</v>
      </c>
      <c r="F15" s="32">
        <f>_xlfn.XLOOKUP(B15,Input!J:J,Input!E:E)</f>
        <v>0</v>
      </c>
      <c r="G15" s="32">
        <f>IF(F15="LENOVO",_xlfn.XLOOKUP(B15,Input!J:J,Input!K:K),_xlfn.XLOOKUP(B15,Input!J:J,Input!L:L))</f>
        <v>0</v>
      </c>
      <c r="H15" s="32"/>
      <c r="I15" s="32"/>
      <c r="J15" s="32">
        <f>_xlfn.XLOOKUP(B15,CPU_Formula!A:A,CPU_Formula!I:I)</f>
        <v>0</v>
      </c>
      <c r="K15" s="42" t="e">
        <f>INDEX(Input!$D$2:$AC$500,
       MATCH(B15, Input!$J$2:$J$500, 0),
       MATCH("Total Memory", Input!$D$1:$AC$1, 0))</f>
        <v>#N/A</v>
      </c>
      <c r="L15" s="42" t="e">
        <f>INDEX(Input!$D$2:$AC$500,
       MATCH(B15, Input!$J$2:$J$500, 0),
       MATCH("Memory Type", Input!$D$1:$AC$1, 0))</f>
        <v>#N/A</v>
      </c>
      <c r="M15" s="42" t="str" cm="1">
        <f t="array" ref="M15">IFERROR(_xlfn.FILTERXML("&lt;t&gt;&lt;s&gt;" &amp; SUBSTITUTE(L15," / ","&lt;/s&gt;&lt;s&gt;") &amp; "&lt;/s&gt;&lt;/t&gt;","(//s[contains(.,'DDR')])[1]"),"")</f>
        <v/>
      </c>
      <c r="N15" s="32" t="e">
        <f t="shared" si="2"/>
        <v>#N/A</v>
      </c>
      <c r="O15" s="42" t="e">
        <f>INDEX(Input!$D$2:$AC$500,
       MATCH(B15, Input!$J$2:$J$500, 0),
       MATCH("Disk Interface Type", Input!$D$1:$AC$1, 0))</f>
        <v>#N/A</v>
      </c>
      <c r="P15" s="42" t="str" cm="1">
        <f t="array" ref="P15">IFERROR(_xlfn.TEXTJOIN(", ", TRUE, _xlfn._xlws.FILTER(
    INDEX(Input!$D$2:$AC$500,,MATCH("Disk Capacity",Input!$D$1:$AC$1,0)),
    Input!$J$2:$J$500=B15
)), "")</f>
        <v/>
      </c>
      <c r="Q15" s="32" t="e">
        <f t="shared" si="1"/>
        <v>#N/A</v>
      </c>
      <c r="R15" s="42" t="e">
        <f>_xlfn.LET(_xlpm.Result,INDEX(Input!$D$2:$AC$500,
       MATCH(B15, Input!$J$2:$J$500, 0),
       MATCH("Capacity", Input!$D$1:$AC$1, 0)),IF(_xlpm.Result="","",_xlpm.Result))</f>
        <v>#N/A</v>
      </c>
      <c r="S15" s="42" t="e" cm="1">
        <f t="array" ref="S15">_xlfn.TEXTSPLIT(R15," / ", ,TRUE,0,)</f>
        <v>#N/A</v>
      </c>
      <c r="T15" s="42"/>
      <c r="U15" s="42" t="str" cm="1">
        <f t="array" ref="U15">IFERROR(_xlfn.IFS(
S15="","",
--S15&lt;55,"Battery Defect",
--S15&lt;=69,"Battery D",
--S15&lt;=80,"Battery C",
--S15&gt;80,""
),"")</f>
        <v/>
      </c>
      <c r="V15" s="42" t="str" cm="1">
        <f t="array" ref="V15">IFERROR(_xlfn.IFS(
T15="","",
--T15&lt;55,"Battery Defect",
--T15&lt;=69,"Battery D",
--T15&lt;=80,"Battery C",
--T15&gt;80,""
),"")</f>
        <v/>
      </c>
      <c r="W15" s="42" t="str" cm="1">
        <f t="array" ref="W15:AD15">IFERROR(IF(_xlfn.XLOOKUP(B15,Input!J:J,Input!N:U)=0,"",
          _xlfn.XLOOKUP(B15,Input!J:J,Input!N:U)),"")</f>
        <v/>
      </c>
      <c r="X15" s="42" t="str">
        <v/>
      </c>
      <c r="Y15" s="42" t="str">
        <v/>
      </c>
      <c r="Z15" s="42" t="str">
        <v/>
      </c>
      <c r="AA15" s="42" t="str">
        <v/>
      </c>
      <c r="AB15" s="42" t="str">
        <v/>
      </c>
      <c r="AC15" s="42" t="str">
        <v/>
      </c>
      <c r="AD15" s="42" t="str">
        <v/>
      </c>
      <c r="AE15" s="32" t="str">
        <f t="shared" si="0"/>
        <v/>
      </c>
      <c r="AF15" s="32" t="str">
        <f>_xlfn.XLOOKUP(B:B,Disk_Pivot!G:G,Disk_Pivot!I:I)</f>
        <v>Yes x2</v>
      </c>
      <c r="AG15" s="32" t="str">
        <f>_xlfn.XLOOKUP(B15,Disk_Pivot!G:G,Disk_Pivot!N:N)</f>
        <v>Pass, Fail</v>
      </c>
      <c r="AH15" s="32"/>
      <c r="AI15" s="32"/>
      <c r="AJ15" s="32"/>
      <c r="AK15" s="32"/>
      <c r="AL15" s="32"/>
      <c r="AM15" s="32"/>
    </row>
    <row r="16" spans="1:39">
      <c r="A16" s="32" t="str">
        <f>_xlfn.XLOOKUP(B16,Input!J:J,Input!G:G)&amp;""</f>
        <v/>
      </c>
      <c r="B16" s="32"/>
      <c r="C16" s="32" t="str">
        <f>_xlfn.XLOOKUP(B16,Input!J:J,Input!H:H)&amp;""</f>
        <v/>
      </c>
      <c r="D16" s="42">
        <f>_xlfn.XLOOKUP(B16,Input!J:J,Input!F:F)</f>
        <v>0</v>
      </c>
      <c r="E16" s="32">
        <f>_xlfn.XLOOKUP(D16,Models!H:H,Models!G:G,D16)</f>
        <v>0</v>
      </c>
      <c r="F16" s="32">
        <f>_xlfn.XLOOKUP(B16,Input!J:J,Input!E:E)</f>
        <v>0</v>
      </c>
      <c r="G16" s="32">
        <f>IF(F16="LENOVO",_xlfn.XLOOKUP(B16,Input!J:J,Input!K:K),_xlfn.XLOOKUP(B16,Input!J:J,Input!L:L))</f>
        <v>0</v>
      </c>
      <c r="H16" s="32"/>
      <c r="I16" s="32"/>
      <c r="J16" s="32">
        <f>_xlfn.XLOOKUP(B16,CPU_Formula!A:A,CPU_Formula!I:I)</f>
        <v>0</v>
      </c>
      <c r="K16" s="42" t="e">
        <f>INDEX(Input!$D$2:$AC$500,
       MATCH(B16, Input!$J$2:$J$500, 0),
       MATCH("Total Memory", Input!$D$1:$AC$1, 0))</f>
        <v>#N/A</v>
      </c>
      <c r="L16" s="42" t="e">
        <f>INDEX(Input!$D$2:$AC$500,
       MATCH(B16, Input!$J$2:$J$500, 0),
       MATCH("Memory Type", Input!$D$1:$AC$1, 0))</f>
        <v>#N/A</v>
      </c>
      <c r="M16" s="42" t="str" cm="1">
        <f t="array" ref="M16">IFERROR(_xlfn.FILTERXML("&lt;t&gt;&lt;s&gt;" &amp; SUBSTITUTE(L16," / ","&lt;/s&gt;&lt;s&gt;") &amp; "&lt;/s&gt;&lt;/t&gt;","(//s[contains(.,'DDR')])[1]"),"")</f>
        <v/>
      </c>
      <c r="N16" s="32" t="e">
        <f t="shared" si="2"/>
        <v>#N/A</v>
      </c>
      <c r="O16" s="42" t="e">
        <f>INDEX(Input!$D$2:$AC$500,
       MATCH(B16, Input!$J$2:$J$500, 0),
       MATCH("Disk Interface Type", Input!$D$1:$AC$1, 0))</f>
        <v>#N/A</v>
      </c>
      <c r="P16" s="42" t="str" cm="1">
        <f t="array" ref="P16">IFERROR(_xlfn.TEXTJOIN(", ", TRUE, _xlfn._xlws.FILTER(
    INDEX(Input!$D$2:$AC$500,,MATCH("Disk Capacity",Input!$D$1:$AC$1,0)),
    Input!$J$2:$J$500=B16
)), "")</f>
        <v/>
      </c>
      <c r="Q16" s="32" t="e">
        <f t="shared" si="1"/>
        <v>#N/A</v>
      </c>
      <c r="R16" s="42" t="e">
        <f>_xlfn.LET(_xlpm.Result,INDEX(Input!$D$2:$AC$500,
       MATCH(B16, Input!$J$2:$J$500, 0),
       MATCH("Capacity", Input!$D$1:$AC$1, 0)),IF(_xlpm.Result="","",_xlpm.Result))</f>
        <v>#N/A</v>
      </c>
      <c r="S16" s="42" t="e" cm="1">
        <f t="array" ref="S16">_xlfn.TEXTSPLIT(R16," / ", ,TRUE,0,)</f>
        <v>#N/A</v>
      </c>
      <c r="T16" s="42"/>
      <c r="U16" s="42" t="str" cm="1">
        <f t="array" ref="U16">IFERROR(_xlfn.IFS(
S16="","",
--S16&lt;55,"Battery Defect",
--S16&lt;=69,"Battery D",
--S16&lt;=80,"Battery C",
--S16&gt;80,""
),"")</f>
        <v/>
      </c>
      <c r="V16" s="42" t="str" cm="1">
        <f t="array" ref="V16">IFERROR(_xlfn.IFS(
T16="","",
--T16&lt;55,"Battery Defect",
--T16&lt;=69,"Battery D",
--T16&lt;=80,"Battery C",
--T16&gt;80,""
),"")</f>
        <v/>
      </c>
      <c r="W16" s="42" t="str" cm="1">
        <f t="array" ref="W16:AD16">IFERROR(IF(_xlfn.XLOOKUP(B16,Input!J:J,Input!N:U)=0,"",
          _xlfn.XLOOKUP(B16,Input!J:J,Input!N:U)),"")</f>
        <v/>
      </c>
      <c r="X16" s="42" t="str">
        <v/>
      </c>
      <c r="Y16" s="42" t="str">
        <v/>
      </c>
      <c r="Z16" s="42" t="str">
        <v/>
      </c>
      <c r="AA16" s="42" t="str">
        <v/>
      </c>
      <c r="AB16" s="42" t="str">
        <v/>
      </c>
      <c r="AC16" s="42" t="str">
        <v/>
      </c>
      <c r="AD16" s="42" t="str">
        <v/>
      </c>
      <c r="AE16" s="32" t="str">
        <f t="shared" si="0"/>
        <v/>
      </c>
      <c r="AF16" s="32" t="str">
        <f>_xlfn.XLOOKUP(B:B,Disk_Pivot!G:G,Disk_Pivot!I:I)</f>
        <v>Yes x2</v>
      </c>
      <c r="AG16" s="32" t="str">
        <f>_xlfn.XLOOKUP(B16,Disk_Pivot!G:G,Disk_Pivot!N:N)</f>
        <v>Pass, Fail</v>
      </c>
      <c r="AH16" s="32"/>
      <c r="AI16" s="32"/>
      <c r="AJ16" s="32"/>
      <c r="AK16" s="32"/>
      <c r="AL16" s="32"/>
      <c r="AM16" s="32"/>
    </row>
    <row r="17" spans="1:39">
      <c r="A17" s="32" t="str">
        <f>_xlfn.XLOOKUP(B17,Input!J:J,Input!G:G)&amp;""</f>
        <v/>
      </c>
      <c r="B17" s="32"/>
      <c r="C17" s="32" t="str">
        <f>_xlfn.XLOOKUP(B17,Input!J:J,Input!H:H)&amp;""</f>
        <v/>
      </c>
      <c r="D17" s="42">
        <f>_xlfn.XLOOKUP(B17,Input!J:J,Input!F:F)</f>
        <v>0</v>
      </c>
      <c r="E17" s="32">
        <f>_xlfn.XLOOKUP(D17,Models!H:H,Models!G:G,D17)</f>
        <v>0</v>
      </c>
      <c r="F17" s="32">
        <f>_xlfn.XLOOKUP(B17,Input!J:J,Input!E:E)</f>
        <v>0</v>
      </c>
      <c r="G17" s="32">
        <f>IF(F17="LENOVO",_xlfn.XLOOKUP(B17,Input!J:J,Input!K:K),_xlfn.XLOOKUP(B17,Input!J:J,Input!L:L))</f>
        <v>0</v>
      </c>
      <c r="H17" s="32"/>
      <c r="I17" s="32"/>
      <c r="J17" s="32">
        <f>_xlfn.XLOOKUP(B17,CPU_Formula!A:A,CPU_Formula!I:I)</f>
        <v>0</v>
      </c>
      <c r="K17" s="42" t="e">
        <f>INDEX(Input!$D$2:$AC$500,
       MATCH(B17, Input!$J$2:$J$500, 0),
       MATCH("Total Memory", Input!$D$1:$AC$1, 0))</f>
        <v>#N/A</v>
      </c>
      <c r="L17" s="42" t="e">
        <f>INDEX(Input!$D$2:$AC$500,
       MATCH(B17, Input!$J$2:$J$500, 0),
       MATCH("Memory Type", Input!$D$1:$AC$1, 0))</f>
        <v>#N/A</v>
      </c>
      <c r="M17" s="42" t="str" cm="1">
        <f t="array" ref="M17">IFERROR(_xlfn.FILTERXML("&lt;t&gt;&lt;s&gt;" &amp; SUBSTITUTE(L17," / ","&lt;/s&gt;&lt;s&gt;") &amp; "&lt;/s&gt;&lt;/t&gt;","(//s[contains(.,'DDR')])[1]"),"")</f>
        <v/>
      </c>
      <c r="N17" s="32" t="e">
        <f t="shared" si="2"/>
        <v>#N/A</v>
      </c>
      <c r="O17" s="42" t="e">
        <f>INDEX(Input!$D$2:$AC$500,
       MATCH(B17, Input!$J$2:$J$500, 0),
       MATCH("Disk Interface Type", Input!$D$1:$AC$1, 0))</f>
        <v>#N/A</v>
      </c>
      <c r="P17" s="42" t="str" cm="1">
        <f t="array" ref="P17">IFERROR(_xlfn.TEXTJOIN(", ", TRUE, _xlfn._xlws.FILTER(
    INDEX(Input!$D$2:$AC$500,,MATCH("Disk Capacity",Input!$D$1:$AC$1,0)),
    Input!$J$2:$J$500=B17
)), "")</f>
        <v/>
      </c>
      <c r="Q17" s="32" t="e">
        <f t="shared" si="1"/>
        <v>#N/A</v>
      </c>
      <c r="R17" s="42" t="e">
        <f>_xlfn.LET(_xlpm.Result,INDEX(Input!$D$2:$AC$500,
       MATCH(B17, Input!$J$2:$J$500, 0),
       MATCH("Capacity", Input!$D$1:$AC$1, 0)),IF(_xlpm.Result="","",_xlpm.Result))</f>
        <v>#N/A</v>
      </c>
      <c r="S17" s="42" t="e" cm="1">
        <f t="array" ref="S17">_xlfn.TEXTSPLIT(R17," / ", ,TRUE,0,)</f>
        <v>#N/A</v>
      </c>
      <c r="T17" s="42"/>
      <c r="U17" s="42" t="str" cm="1">
        <f t="array" ref="U17">IFERROR(_xlfn.IFS(
S17="","",
--S17&lt;55,"Battery Defect",
--S17&lt;=69,"Battery D",
--S17&lt;=80,"Battery C",
--S17&gt;80,""
),"")</f>
        <v/>
      </c>
      <c r="V17" s="42" t="str" cm="1">
        <f t="array" ref="V17">IFERROR(_xlfn.IFS(
T17="","",
--T17&lt;55,"Battery Defect",
--T17&lt;=69,"Battery D",
--T17&lt;=80,"Battery C",
--T17&gt;80,""
),"")</f>
        <v/>
      </c>
      <c r="W17" s="42" t="str" cm="1">
        <f t="array" ref="W17:AD17">IFERROR(IF(_xlfn.XLOOKUP(B17,Input!J:J,Input!N:U)=0,"",
          _xlfn.XLOOKUP(B17,Input!J:J,Input!N:U)),"")</f>
        <v/>
      </c>
      <c r="X17" s="42" t="str">
        <v/>
      </c>
      <c r="Y17" s="42" t="str">
        <v/>
      </c>
      <c r="Z17" s="42" t="str">
        <v/>
      </c>
      <c r="AA17" s="42" t="str">
        <v/>
      </c>
      <c r="AB17" s="42" t="str">
        <v/>
      </c>
      <c r="AC17" s="42" t="str">
        <v/>
      </c>
      <c r="AD17" s="42" t="str">
        <v/>
      </c>
      <c r="AE17" s="32" t="str">
        <f t="shared" si="0"/>
        <v/>
      </c>
      <c r="AF17" s="32" t="str">
        <f>_xlfn.XLOOKUP(B:B,Disk_Pivot!G:G,Disk_Pivot!I:I)</f>
        <v>Yes x2</v>
      </c>
      <c r="AG17" s="32" t="str">
        <f>_xlfn.XLOOKUP(B17,Disk_Pivot!G:G,Disk_Pivot!N:N)</f>
        <v>Pass, Fail</v>
      </c>
      <c r="AH17" s="32"/>
      <c r="AI17" s="32"/>
      <c r="AJ17" s="32"/>
      <c r="AK17" s="32"/>
      <c r="AL17" s="32"/>
      <c r="AM17" s="32"/>
    </row>
    <row r="18" spans="1:39">
      <c r="A18" s="32" t="str">
        <f>_xlfn.XLOOKUP(B18,Input!J:J,Input!G:G)&amp;""</f>
        <v/>
      </c>
      <c r="B18" s="32"/>
      <c r="C18" s="32" t="str">
        <f>_xlfn.XLOOKUP(B18,Input!J:J,Input!H:H)&amp;""</f>
        <v/>
      </c>
      <c r="D18" s="42">
        <f>_xlfn.XLOOKUP(B18,Input!J:J,Input!F:F)</f>
        <v>0</v>
      </c>
      <c r="E18" s="32">
        <f>_xlfn.XLOOKUP(D18,Models!H:H,Models!G:G,D18)</f>
        <v>0</v>
      </c>
      <c r="F18" s="32">
        <f>_xlfn.XLOOKUP(B18,Input!J:J,Input!E:E)</f>
        <v>0</v>
      </c>
      <c r="G18" s="32">
        <f>IF(F18="LENOVO",_xlfn.XLOOKUP(B18,Input!J:J,Input!K:K),_xlfn.XLOOKUP(B18,Input!J:J,Input!L:L))</f>
        <v>0</v>
      </c>
      <c r="H18" s="32"/>
      <c r="I18" s="32"/>
      <c r="J18" s="32">
        <f>_xlfn.XLOOKUP(B18,CPU_Formula!A:A,CPU_Formula!I:I)</f>
        <v>0</v>
      </c>
      <c r="K18" s="42" t="e">
        <f>INDEX(Input!$D$2:$AC$500,
       MATCH(B18, Input!$J$2:$J$500, 0),
       MATCH("Total Memory", Input!$D$1:$AC$1, 0))</f>
        <v>#N/A</v>
      </c>
      <c r="L18" s="42" t="e">
        <f>INDEX(Input!$D$2:$AC$500,
       MATCH(B18, Input!$J$2:$J$500, 0),
       MATCH("Memory Type", Input!$D$1:$AC$1, 0))</f>
        <v>#N/A</v>
      </c>
      <c r="M18" s="42" t="str" cm="1">
        <f t="array" ref="M18">IFERROR(_xlfn.FILTERXML("&lt;t&gt;&lt;s&gt;" &amp; SUBSTITUTE(L18," / ","&lt;/s&gt;&lt;s&gt;") &amp; "&lt;/s&gt;&lt;/t&gt;","(//s[contains(.,'DDR')])[1]"),"")</f>
        <v/>
      </c>
      <c r="N18" s="32" t="e">
        <f t="shared" si="2"/>
        <v>#N/A</v>
      </c>
      <c r="O18" s="42" t="e">
        <f>INDEX(Input!$D$2:$AC$500,
       MATCH(B18, Input!$J$2:$J$500, 0),
       MATCH("Disk Interface Type", Input!$D$1:$AC$1, 0))</f>
        <v>#N/A</v>
      </c>
      <c r="P18" s="42" t="str" cm="1">
        <f t="array" ref="P18">IFERROR(_xlfn.TEXTJOIN(", ", TRUE, _xlfn._xlws.FILTER(
    INDEX(Input!$D$2:$AC$500,,MATCH("Disk Capacity",Input!$D$1:$AC$1,0)),
    Input!$J$2:$J$500=B18
)), "")</f>
        <v/>
      </c>
      <c r="Q18" s="32" t="e">
        <f t="shared" si="1"/>
        <v>#N/A</v>
      </c>
      <c r="R18" s="42" t="e">
        <f>_xlfn.LET(_xlpm.Result,INDEX(Input!$D$2:$AC$500,
       MATCH(B18, Input!$J$2:$J$500, 0),
       MATCH("Capacity", Input!$D$1:$AC$1, 0)),IF(_xlpm.Result="","",_xlpm.Result))</f>
        <v>#N/A</v>
      </c>
      <c r="S18" s="42" t="e" cm="1">
        <f t="array" ref="S18">_xlfn.TEXTSPLIT(R18," / ", ,TRUE,0,)</f>
        <v>#N/A</v>
      </c>
      <c r="T18" s="42"/>
      <c r="U18" s="42" t="str" cm="1">
        <f t="array" ref="U18">IFERROR(_xlfn.IFS(
S18="","",
--S18&lt;55,"Battery Defect",
--S18&lt;=69,"Battery D",
--S18&lt;=80,"Battery C",
--S18&gt;80,""
),"")</f>
        <v/>
      </c>
      <c r="V18" s="42" t="str" cm="1">
        <f t="array" ref="V18">IFERROR(_xlfn.IFS(
T18="","",
--T18&lt;55,"Battery Defect",
--T18&lt;=69,"Battery D",
--T18&lt;=80,"Battery C",
--T18&gt;80,""
),"")</f>
        <v/>
      </c>
      <c r="W18" s="42" t="str" cm="1">
        <f t="array" ref="W18:AD18">IFERROR(IF(_xlfn.XLOOKUP(B18,Input!J:J,Input!N:U)=0,"",
          _xlfn.XLOOKUP(B18,Input!J:J,Input!N:U)),"")</f>
        <v/>
      </c>
      <c r="X18" s="42" t="str">
        <v/>
      </c>
      <c r="Y18" s="42" t="str">
        <v/>
      </c>
      <c r="Z18" s="42" t="str">
        <v/>
      </c>
      <c r="AA18" s="42" t="str">
        <v/>
      </c>
      <c r="AB18" s="42" t="str">
        <v/>
      </c>
      <c r="AC18" s="42" t="str">
        <v/>
      </c>
      <c r="AD18" s="42" t="str">
        <v/>
      </c>
      <c r="AE18" s="32" t="str">
        <f t="shared" si="0"/>
        <v/>
      </c>
      <c r="AF18" s="32" t="str">
        <f>_xlfn.XLOOKUP(B:B,Disk_Pivot!G:G,Disk_Pivot!I:I)</f>
        <v>Yes x2</v>
      </c>
      <c r="AG18" s="32" t="str">
        <f>_xlfn.XLOOKUP(B18,Disk_Pivot!G:G,Disk_Pivot!N:N)</f>
        <v>Pass, Fail</v>
      </c>
      <c r="AH18" s="32"/>
      <c r="AI18" s="32"/>
      <c r="AJ18" s="32"/>
      <c r="AK18" s="32"/>
      <c r="AL18" s="32"/>
      <c r="AM18" s="32"/>
    </row>
    <row r="19" spans="1:39">
      <c r="A19" s="32" t="str">
        <f>_xlfn.XLOOKUP(B19,Input!J:J,Input!G:G)&amp;""</f>
        <v/>
      </c>
      <c r="B19" s="32"/>
      <c r="C19" s="32" t="str">
        <f>_xlfn.XLOOKUP(B19,Input!J:J,Input!H:H)&amp;""</f>
        <v/>
      </c>
      <c r="D19" s="42">
        <f>_xlfn.XLOOKUP(B19,Input!J:J,Input!F:F)</f>
        <v>0</v>
      </c>
      <c r="E19" s="32">
        <f>_xlfn.XLOOKUP(D19,Models!H:H,Models!G:G,D19)</f>
        <v>0</v>
      </c>
      <c r="F19" s="32">
        <f>_xlfn.XLOOKUP(B19,Input!J:J,Input!E:E)</f>
        <v>0</v>
      </c>
      <c r="G19" s="32">
        <f>IF(F19="LENOVO",_xlfn.XLOOKUP(B19,Input!J:J,Input!K:K),_xlfn.XLOOKUP(B19,Input!J:J,Input!L:L))</f>
        <v>0</v>
      </c>
      <c r="H19" s="32"/>
      <c r="I19" s="32"/>
      <c r="J19" s="32">
        <f>_xlfn.XLOOKUP(B19,CPU_Formula!A:A,CPU_Formula!I:I)</f>
        <v>0</v>
      </c>
      <c r="K19" s="42" t="e">
        <f>INDEX(Input!$D$2:$AC$500,
       MATCH(B19, Input!$J$2:$J$500, 0),
       MATCH("Total Memory", Input!$D$1:$AC$1, 0))</f>
        <v>#N/A</v>
      </c>
      <c r="L19" s="42" t="e">
        <f>INDEX(Input!$D$2:$AC$500,
       MATCH(B19, Input!$J$2:$J$500, 0),
       MATCH("Memory Type", Input!$D$1:$AC$1, 0))</f>
        <v>#N/A</v>
      </c>
      <c r="M19" s="42" t="str" cm="1">
        <f t="array" ref="M19">IFERROR(_xlfn.FILTERXML("&lt;t&gt;&lt;s&gt;" &amp; SUBSTITUTE(L19," / ","&lt;/s&gt;&lt;s&gt;") &amp; "&lt;/s&gt;&lt;/t&gt;","(//s[contains(.,'DDR')])[1]"),"")</f>
        <v/>
      </c>
      <c r="N19" s="32" t="e">
        <f t="shared" si="2"/>
        <v>#N/A</v>
      </c>
      <c r="O19" s="42" t="e">
        <f>INDEX(Input!$D$2:$AC$500,
       MATCH(B19, Input!$J$2:$J$500, 0),
       MATCH("Disk Interface Type", Input!$D$1:$AC$1, 0))</f>
        <v>#N/A</v>
      </c>
      <c r="P19" s="42" t="str" cm="1">
        <f t="array" ref="P19">IFERROR(_xlfn.TEXTJOIN(", ", TRUE, _xlfn._xlws.FILTER(
    INDEX(Input!$D$2:$AC$500,,MATCH("Disk Capacity",Input!$D$1:$AC$1,0)),
    Input!$J$2:$J$500=B19
)), "")</f>
        <v/>
      </c>
      <c r="Q19" s="32" t="e">
        <f t="shared" si="1"/>
        <v>#N/A</v>
      </c>
      <c r="R19" s="42" t="e">
        <f>_xlfn.LET(_xlpm.Result,INDEX(Input!$D$2:$AC$500,
       MATCH(B19, Input!$J$2:$J$500, 0),
       MATCH("Capacity", Input!$D$1:$AC$1, 0)),IF(_xlpm.Result="","",_xlpm.Result))</f>
        <v>#N/A</v>
      </c>
      <c r="S19" s="42" t="e" cm="1">
        <f t="array" ref="S19">_xlfn.TEXTSPLIT(R19," / ", ,TRUE,0,)</f>
        <v>#N/A</v>
      </c>
      <c r="T19" s="42"/>
      <c r="U19" s="42" t="str" cm="1">
        <f t="array" ref="U19">IFERROR(_xlfn.IFS(
S19="","",
--S19&lt;55,"Battery Defect",
--S19&lt;=69,"Battery D",
--S19&lt;=80,"Battery C",
--S19&gt;80,""
),"")</f>
        <v/>
      </c>
      <c r="V19" s="42" t="str" cm="1">
        <f t="array" ref="V19">IFERROR(_xlfn.IFS(
T19="","",
--T19&lt;55,"Battery Defect",
--T19&lt;=69,"Battery D",
--T19&lt;=80,"Battery C",
--T19&gt;80,""
),"")</f>
        <v/>
      </c>
      <c r="W19" s="42" t="str" cm="1">
        <f t="array" ref="W19:AD19">IFERROR(IF(_xlfn.XLOOKUP(B19,Input!J:J,Input!N:U)=0,"",
          _xlfn.XLOOKUP(B19,Input!J:J,Input!N:U)),"")</f>
        <v/>
      </c>
      <c r="X19" s="42" t="str">
        <v/>
      </c>
      <c r="Y19" s="42" t="str">
        <v/>
      </c>
      <c r="Z19" s="42" t="str">
        <v/>
      </c>
      <c r="AA19" s="42" t="str">
        <v/>
      </c>
      <c r="AB19" s="42" t="str">
        <v/>
      </c>
      <c r="AC19" s="42" t="str">
        <v/>
      </c>
      <c r="AD19" s="42" t="str">
        <v/>
      </c>
      <c r="AE19" s="32" t="str">
        <f t="shared" si="0"/>
        <v/>
      </c>
      <c r="AF19" s="32" t="str">
        <f>_xlfn.XLOOKUP(B:B,Disk_Pivot!G:G,Disk_Pivot!I:I)</f>
        <v>Yes x2</v>
      </c>
      <c r="AG19" s="32" t="str">
        <f>_xlfn.XLOOKUP(B19,Disk_Pivot!G:G,Disk_Pivot!N:N)</f>
        <v>Pass, Fail</v>
      </c>
      <c r="AH19" s="32"/>
      <c r="AI19" s="32"/>
      <c r="AJ19" s="32"/>
      <c r="AK19" s="32"/>
      <c r="AL19" s="32"/>
      <c r="AM19" s="32"/>
    </row>
    <row r="20" spans="1:39">
      <c r="A20" s="32" t="str">
        <f>_xlfn.XLOOKUP(B20,Input!J:J,Input!G:G)&amp;""</f>
        <v/>
      </c>
      <c r="B20" s="32"/>
      <c r="C20" s="32" t="str">
        <f>_xlfn.XLOOKUP(B20,Input!J:J,Input!H:H)&amp;""</f>
        <v/>
      </c>
      <c r="D20" s="42">
        <f>_xlfn.XLOOKUP(B20,Input!J:J,Input!F:F)</f>
        <v>0</v>
      </c>
      <c r="E20" s="32">
        <f>_xlfn.XLOOKUP(D20,Models!H:H,Models!G:G,D20)</f>
        <v>0</v>
      </c>
      <c r="F20" s="32">
        <f>_xlfn.XLOOKUP(B20,Input!J:J,Input!E:E)</f>
        <v>0</v>
      </c>
      <c r="G20" s="32">
        <f>IF(F20="LENOVO",_xlfn.XLOOKUP(B20,Input!J:J,Input!K:K),_xlfn.XLOOKUP(B20,Input!J:J,Input!L:L))</f>
        <v>0</v>
      </c>
      <c r="H20" s="32"/>
      <c r="I20" s="32"/>
      <c r="J20" s="32">
        <f>_xlfn.XLOOKUP(B20,CPU_Formula!A:A,CPU_Formula!I:I)</f>
        <v>0</v>
      </c>
      <c r="K20" s="42" t="e">
        <f>INDEX(Input!$D$2:$AC$500,
       MATCH(B20, Input!$J$2:$J$500, 0),
       MATCH("Total Memory", Input!$D$1:$AC$1, 0))</f>
        <v>#N/A</v>
      </c>
      <c r="L20" s="42" t="e">
        <f>INDEX(Input!$D$2:$AC$500,
       MATCH(B20, Input!$J$2:$J$500, 0),
       MATCH("Memory Type", Input!$D$1:$AC$1, 0))</f>
        <v>#N/A</v>
      </c>
      <c r="M20" s="42" t="str" cm="1">
        <f t="array" ref="M20">IFERROR(_xlfn.FILTERXML("&lt;t&gt;&lt;s&gt;" &amp; SUBSTITUTE(L20," / ","&lt;/s&gt;&lt;s&gt;") &amp; "&lt;/s&gt;&lt;/t&gt;","(//s[contains(.,'DDR')])[1]"),"")</f>
        <v/>
      </c>
      <c r="N20" s="32" t="e">
        <f t="shared" si="2"/>
        <v>#N/A</v>
      </c>
      <c r="O20" s="42" t="e">
        <f>INDEX(Input!$D$2:$AC$500,
       MATCH(B20, Input!$J$2:$J$500, 0),
       MATCH("Disk Interface Type", Input!$D$1:$AC$1, 0))</f>
        <v>#N/A</v>
      </c>
      <c r="P20" s="42" t="str" cm="1">
        <f t="array" ref="P20">IFERROR(_xlfn.TEXTJOIN(", ", TRUE, _xlfn._xlws.FILTER(
    INDEX(Input!$D$2:$AC$500,,MATCH("Disk Capacity",Input!$D$1:$AC$1,0)),
    Input!$J$2:$J$500=B20
)), "")</f>
        <v/>
      </c>
      <c r="Q20" s="32" t="e">
        <f t="shared" si="1"/>
        <v>#N/A</v>
      </c>
      <c r="R20" s="42" t="e">
        <f>_xlfn.LET(_xlpm.Result,INDEX(Input!$D$2:$AC$500,
       MATCH(B20, Input!$J$2:$J$500, 0),
       MATCH("Capacity", Input!$D$1:$AC$1, 0)),IF(_xlpm.Result="","",_xlpm.Result))</f>
        <v>#N/A</v>
      </c>
      <c r="S20" s="42" t="e" cm="1">
        <f t="array" ref="S20">_xlfn.TEXTSPLIT(R20," / ", ,TRUE,0,)</f>
        <v>#N/A</v>
      </c>
      <c r="T20" s="42"/>
      <c r="U20" s="42" t="str" cm="1">
        <f t="array" ref="U20">IFERROR(_xlfn.IFS(
S20="","",
--S20&lt;55,"Battery Defect",
--S20&lt;=69,"Battery D",
--S20&lt;=80,"Battery C",
--S20&gt;80,""
),"")</f>
        <v/>
      </c>
      <c r="V20" s="42" t="str" cm="1">
        <f t="array" ref="V20">IFERROR(_xlfn.IFS(
T20="","",
--T20&lt;55,"Battery Defect",
--T20&lt;=69,"Battery D",
--T20&lt;=80,"Battery C",
--T20&gt;80,""
),"")</f>
        <v/>
      </c>
      <c r="W20" s="42" t="str" cm="1">
        <f t="array" ref="W20:AD20">IFERROR(IF(_xlfn.XLOOKUP(B20,Input!J:J,Input!N:U)=0,"",
          _xlfn.XLOOKUP(B20,Input!J:J,Input!N:U)),"")</f>
        <v/>
      </c>
      <c r="X20" s="42" t="str">
        <v/>
      </c>
      <c r="Y20" s="42" t="str">
        <v/>
      </c>
      <c r="Z20" s="42" t="str">
        <v/>
      </c>
      <c r="AA20" s="42" t="str">
        <v/>
      </c>
      <c r="AB20" s="42" t="str">
        <v/>
      </c>
      <c r="AC20" s="42" t="str">
        <v/>
      </c>
      <c r="AD20" s="42" t="str">
        <v/>
      </c>
      <c r="AE20" s="32" t="str">
        <f t="shared" si="0"/>
        <v/>
      </c>
      <c r="AF20" s="32" t="str">
        <f>_xlfn.XLOOKUP(B:B,Disk_Pivot!G:G,Disk_Pivot!I:I)</f>
        <v>Yes x2</v>
      </c>
      <c r="AG20" s="32" t="str">
        <f>_xlfn.XLOOKUP(B20,Disk_Pivot!G:G,Disk_Pivot!N:N)</f>
        <v>Pass, Fail</v>
      </c>
      <c r="AH20" s="32"/>
      <c r="AI20" s="32"/>
      <c r="AJ20" s="32"/>
      <c r="AK20" s="32"/>
      <c r="AL20" s="32"/>
      <c r="AM20" s="32"/>
    </row>
    <row r="21" spans="1:39">
      <c r="A21" s="32" t="str">
        <f>_xlfn.XLOOKUP(B21,Input!J:J,Input!G:G)&amp;""</f>
        <v/>
      </c>
      <c r="B21" s="32"/>
      <c r="C21" s="32" t="str">
        <f>_xlfn.XLOOKUP(B21,Input!J:J,Input!H:H)&amp;""</f>
        <v/>
      </c>
      <c r="D21" s="42">
        <f>_xlfn.XLOOKUP(B21,Input!J:J,Input!F:F)</f>
        <v>0</v>
      </c>
      <c r="E21" s="32">
        <f>_xlfn.XLOOKUP(D21,Models!H:H,Models!G:G,D21)</f>
        <v>0</v>
      </c>
      <c r="F21" s="32">
        <f>_xlfn.XLOOKUP(B21,Input!J:J,Input!E:E)</f>
        <v>0</v>
      </c>
      <c r="G21" s="32">
        <f>IF(F21="LENOVO",_xlfn.XLOOKUP(B21,Input!J:J,Input!K:K),_xlfn.XLOOKUP(B21,Input!J:J,Input!L:L))</f>
        <v>0</v>
      </c>
      <c r="H21" s="32"/>
      <c r="I21" s="32"/>
      <c r="J21" s="32">
        <f>_xlfn.XLOOKUP(B21,CPU_Formula!A:A,CPU_Formula!I:I)</f>
        <v>0</v>
      </c>
      <c r="K21" s="42" t="e">
        <f>INDEX(Input!$D$2:$AC$500,
       MATCH(B21, Input!$J$2:$J$500, 0),
       MATCH("Total Memory", Input!$D$1:$AC$1, 0))</f>
        <v>#N/A</v>
      </c>
      <c r="L21" s="42" t="e">
        <f>INDEX(Input!$D$2:$AC$500,
       MATCH(B21, Input!$J$2:$J$500, 0),
       MATCH("Memory Type", Input!$D$1:$AC$1, 0))</f>
        <v>#N/A</v>
      </c>
      <c r="M21" s="42" t="str" cm="1">
        <f t="array" ref="M21">IFERROR(_xlfn.FILTERXML("&lt;t&gt;&lt;s&gt;" &amp; SUBSTITUTE(L21," / ","&lt;/s&gt;&lt;s&gt;") &amp; "&lt;/s&gt;&lt;/t&gt;","(//s[contains(.,'DDR')])[1]"),"")</f>
        <v/>
      </c>
      <c r="N21" s="32" t="e">
        <f t="shared" si="2"/>
        <v>#N/A</v>
      </c>
      <c r="O21" s="42" t="e">
        <f>INDEX(Input!$D$2:$AC$500,
       MATCH(B21, Input!$J$2:$J$500, 0),
       MATCH("Disk Interface Type", Input!$D$1:$AC$1, 0))</f>
        <v>#N/A</v>
      </c>
      <c r="P21" s="42" t="str" cm="1">
        <f t="array" ref="P21">IFERROR(_xlfn.TEXTJOIN(", ", TRUE, _xlfn._xlws.FILTER(
    INDEX(Input!$D$2:$AC$500,,MATCH("Disk Capacity",Input!$D$1:$AC$1,0)),
    Input!$J$2:$J$500=B21
)), "")</f>
        <v/>
      </c>
      <c r="Q21" s="32" t="e">
        <f t="shared" si="1"/>
        <v>#N/A</v>
      </c>
      <c r="R21" s="42" t="e">
        <f>_xlfn.LET(_xlpm.Result,INDEX(Input!$D$2:$AC$500,
       MATCH(B21, Input!$J$2:$J$500, 0),
       MATCH("Capacity", Input!$D$1:$AC$1, 0)),IF(_xlpm.Result="","",_xlpm.Result))</f>
        <v>#N/A</v>
      </c>
      <c r="S21" s="42" t="e" cm="1">
        <f t="array" ref="S21">_xlfn.TEXTSPLIT(R21," / ", ,TRUE,0,)</f>
        <v>#N/A</v>
      </c>
      <c r="T21" s="42"/>
      <c r="U21" s="42" t="str" cm="1">
        <f t="array" ref="U21">IFERROR(_xlfn.IFS(
S21="","",
--S21&lt;55,"Battery Defect",
--S21&lt;=69,"Battery D",
--S21&lt;=80,"Battery C",
--S21&gt;80,""
),"")</f>
        <v/>
      </c>
      <c r="V21" s="42" t="str" cm="1">
        <f t="array" ref="V21">IFERROR(_xlfn.IFS(
T21="","",
--T21&lt;55,"Battery Defect",
--T21&lt;=69,"Battery D",
--T21&lt;=80,"Battery C",
--T21&gt;80,""
),"")</f>
        <v/>
      </c>
      <c r="W21" s="42" t="str" cm="1">
        <f t="array" ref="W21:AD21">IFERROR(IF(_xlfn.XLOOKUP(B21,Input!J:J,Input!N:U)=0,"",
          _xlfn.XLOOKUP(B21,Input!J:J,Input!N:U)),"")</f>
        <v/>
      </c>
      <c r="X21" s="42" t="str">
        <v/>
      </c>
      <c r="Y21" s="42" t="str">
        <v/>
      </c>
      <c r="Z21" s="42" t="str">
        <v/>
      </c>
      <c r="AA21" s="42" t="str">
        <v/>
      </c>
      <c r="AB21" s="42" t="str">
        <v/>
      </c>
      <c r="AC21" s="42" t="str">
        <v/>
      </c>
      <c r="AD21" s="42" t="str">
        <v/>
      </c>
      <c r="AE21" s="32" t="str">
        <f t="shared" si="0"/>
        <v/>
      </c>
      <c r="AF21" s="32" t="str">
        <f>_xlfn.XLOOKUP(B:B,Disk_Pivot!G:G,Disk_Pivot!I:I)</f>
        <v>Yes x2</v>
      </c>
      <c r="AG21" s="32" t="str">
        <f>_xlfn.XLOOKUP(B21,Disk_Pivot!G:G,Disk_Pivot!N:N)</f>
        <v>Pass, Fail</v>
      </c>
      <c r="AH21" s="32"/>
      <c r="AI21" s="32"/>
      <c r="AJ21" s="32"/>
      <c r="AK21" s="32"/>
      <c r="AL21" s="32"/>
      <c r="AM21" s="32"/>
    </row>
    <row r="22" spans="1:39">
      <c r="A22" s="32" t="str">
        <f>_xlfn.XLOOKUP(B22,Input!J:J,Input!G:G)&amp;""</f>
        <v/>
      </c>
      <c r="B22" s="32"/>
      <c r="C22" s="32" t="str">
        <f>_xlfn.XLOOKUP(B22,Input!J:J,Input!H:H)&amp;""</f>
        <v/>
      </c>
      <c r="D22" s="42">
        <f>_xlfn.XLOOKUP(B22,Input!J:J,Input!F:F)</f>
        <v>0</v>
      </c>
      <c r="E22" s="32">
        <f>_xlfn.XLOOKUP(D22,Models!H:H,Models!G:G,D22)</f>
        <v>0</v>
      </c>
      <c r="F22" s="32">
        <f>_xlfn.XLOOKUP(B22,Input!J:J,Input!E:E)</f>
        <v>0</v>
      </c>
      <c r="G22" s="32">
        <f>IF(F22="LENOVO",_xlfn.XLOOKUP(B22,Input!J:J,Input!K:K),_xlfn.XLOOKUP(B22,Input!J:J,Input!L:L))</f>
        <v>0</v>
      </c>
      <c r="H22" s="32"/>
      <c r="I22" s="32"/>
      <c r="J22" s="32">
        <f>_xlfn.XLOOKUP(B22,CPU_Formula!A:A,CPU_Formula!I:I)</f>
        <v>0</v>
      </c>
      <c r="K22" s="42" t="e">
        <f>INDEX(Input!$D$2:$AC$500,
       MATCH(B22, Input!$J$2:$J$500, 0),
       MATCH("Total Memory", Input!$D$1:$AC$1, 0))</f>
        <v>#N/A</v>
      </c>
      <c r="L22" s="42" t="e">
        <f>INDEX(Input!$D$2:$AC$500,
       MATCH(B22, Input!$J$2:$J$500, 0),
       MATCH("Memory Type", Input!$D$1:$AC$1, 0))</f>
        <v>#N/A</v>
      </c>
      <c r="M22" s="42" t="str" cm="1">
        <f t="array" ref="M22">IFERROR(_xlfn.FILTERXML("&lt;t&gt;&lt;s&gt;" &amp; SUBSTITUTE(L22," / ","&lt;/s&gt;&lt;s&gt;") &amp; "&lt;/s&gt;&lt;/t&gt;","(//s[contains(.,'DDR')])[1]"),"")</f>
        <v/>
      </c>
      <c r="N22" s="32" t="e">
        <f t="shared" si="2"/>
        <v>#N/A</v>
      </c>
      <c r="O22" s="42" t="e">
        <f>INDEX(Input!$D$2:$AC$500,
       MATCH(B22, Input!$J$2:$J$500, 0),
       MATCH("Disk Interface Type", Input!$D$1:$AC$1, 0))</f>
        <v>#N/A</v>
      </c>
      <c r="P22" s="42" t="str" cm="1">
        <f t="array" ref="P22">IFERROR(_xlfn.TEXTJOIN(", ", TRUE, _xlfn._xlws.FILTER(
    INDEX(Input!$D$2:$AC$500,,MATCH("Disk Capacity",Input!$D$1:$AC$1,0)),
    Input!$J$2:$J$500=B22
)), "")</f>
        <v/>
      </c>
      <c r="Q22" s="32" t="e">
        <f t="shared" si="1"/>
        <v>#N/A</v>
      </c>
      <c r="R22" s="42" t="e">
        <f>_xlfn.LET(_xlpm.Result,INDEX(Input!$D$2:$AC$500,
       MATCH(B22, Input!$J$2:$J$500, 0),
       MATCH("Capacity", Input!$D$1:$AC$1, 0)),IF(_xlpm.Result="","",_xlpm.Result))</f>
        <v>#N/A</v>
      </c>
      <c r="S22" s="42" t="e" cm="1">
        <f t="array" ref="S22">_xlfn.TEXTSPLIT(R22," / ", ,TRUE,0,)</f>
        <v>#N/A</v>
      </c>
      <c r="T22" s="42"/>
      <c r="U22" s="42" t="str" cm="1">
        <f t="array" ref="U22">IFERROR(_xlfn.IFS(
S22="","",
--S22&lt;55,"Battery Defect",
--S22&lt;=69,"Battery D",
--S22&lt;=80,"Battery C",
--S22&gt;80,""
),"")</f>
        <v/>
      </c>
      <c r="V22" s="42" t="str" cm="1">
        <f t="array" ref="V22">IFERROR(_xlfn.IFS(
T22="","",
--T22&lt;55,"Battery Defect",
--T22&lt;=69,"Battery D",
--T22&lt;=80,"Battery C",
--T22&gt;80,""
),"")</f>
        <v/>
      </c>
      <c r="W22" s="42" t="str" cm="1">
        <f t="array" ref="W22:AD22">IFERROR(IF(_xlfn.XLOOKUP(B22,Input!J:J,Input!N:U)=0,"",
          _xlfn.XLOOKUP(B22,Input!J:J,Input!N:U)),"")</f>
        <v/>
      </c>
      <c r="X22" s="42" t="str">
        <v/>
      </c>
      <c r="Y22" s="42" t="str">
        <v/>
      </c>
      <c r="Z22" s="42" t="str">
        <v/>
      </c>
      <c r="AA22" s="42" t="str">
        <v/>
      </c>
      <c r="AB22" s="42" t="str">
        <v/>
      </c>
      <c r="AC22" s="42" t="str">
        <v/>
      </c>
      <c r="AD22" s="42" t="str">
        <v/>
      </c>
      <c r="AE22" s="32" t="str">
        <f t="shared" si="0"/>
        <v/>
      </c>
      <c r="AF22" s="32" t="str">
        <f>_xlfn.XLOOKUP(B:B,Disk_Pivot!G:G,Disk_Pivot!I:I)</f>
        <v>Yes x2</v>
      </c>
      <c r="AG22" s="32" t="str">
        <f>_xlfn.XLOOKUP(B22,Disk_Pivot!G:G,Disk_Pivot!N:N)</f>
        <v>Pass, Fail</v>
      </c>
      <c r="AH22" s="32"/>
      <c r="AI22" s="32"/>
      <c r="AJ22" s="32"/>
      <c r="AK22" s="32"/>
      <c r="AL22" s="32"/>
      <c r="AM22" s="32"/>
    </row>
    <row r="23" spans="1:39">
      <c r="A23" s="32" t="str">
        <f>_xlfn.XLOOKUP(B23,Input!J:J,Input!G:G)&amp;""</f>
        <v/>
      </c>
      <c r="B23" s="32"/>
      <c r="C23" s="32" t="str">
        <f>_xlfn.XLOOKUP(B23,Input!J:J,Input!H:H)&amp;""</f>
        <v/>
      </c>
      <c r="D23" s="42">
        <f>_xlfn.XLOOKUP(B23,Input!J:J,Input!F:F)</f>
        <v>0</v>
      </c>
      <c r="E23" s="32">
        <f>_xlfn.XLOOKUP(D23,Models!H:H,Models!G:G,D23)</f>
        <v>0</v>
      </c>
      <c r="F23" s="32">
        <f>_xlfn.XLOOKUP(B23,Input!J:J,Input!E:E)</f>
        <v>0</v>
      </c>
      <c r="G23" s="32">
        <f>IF(F23="LENOVO",_xlfn.XLOOKUP(B23,Input!J:J,Input!K:K),_xlfn.XLOOKUP(B23,Input!J:J,Input!L:L))</f>
        <v>0</v>
      </c>
      <c r="H23" s="32"/>
      <c r="I23" s="32"/>
      <c r="J23" s="32">
        <f>_xlfn.XLOOKUP(B23,CPU_Formula!A:A,CPU_Formula!I:I)</f>
        <v>0</v>
      </c>
      <c r="K23" s="42" t="e">
        <f>INDEX(Input!$D$2:$AC$500,
       MATCH(B23, Input!$J$2:$J$500, 0),
       MATCH("Total Memory", Input!$D$1:$AC$1, 0))</f>
        <v>#N/A</v>
      </c>
      <c r="L23" s="42" t="e">
        <f>INDEX(Input!$D$2:$AC$500,
       MATCH(B23, Input!$J$2:$J$500, 0),
       MATCH("Memory Type", Input!$D$1:$AC$1, 0))</f>
        <v>#N/A</v>
      </c>
      <c r="M23" s="42" t="str" cm="1">
        <f t="array" ref="M23">IFERROR(_xlfn.FILTERXML("&lt;t&gt;&lt;s&gt;" &amp; SUBSTITUTE(L23," / ","&lt;/s&gt;&lt;s&gt;") &amp; "&lt;/s&gt;&lt;/t&gt;","(//s[contains(.,'DDR')])[1]"),"")</f>
        <v/>
      </c>
      <c r="N23" s="32" t="e">
        <f t="shared" si="2"/>
        <v>#N/A</v>
      </c>
      <c r="O23" s="42" t="e">
        <f>INDEX(Input!$D$2:$AC$500,
       MATCH(B23, Input!$J$2:$J$500, 0),
       MATCH("Disk Interface Type", Input!$D$1:$AC$1, 0))</f>
        <v>#N/A</v>
      </c>
      <c r="P23" s="42" t="str" cm="1">
        <f t="array" ref="P23">IFERROR(_xlfn.TEXTJOIN(", ", TRUE, _xlfn._xlws.FILTER(
    INDEX(Input!$D$2:$AC$500,,MATCH("Disk Capacity",Input!$D$1:$AC$1,0)),
    Input!$J$2:$J$500=B23
)), "")</f>
        <v/>
      </c>
      <c r="Q23" s="32" t="e">
        <f t="shared" si="1"/>
        <v>#N/A</v>
      </c>
      <c r="R23" s="42" t="e">
        <f>_xlfn.LET(_xlpm.Result,INDEX(Input!$D$2:$AC$500,
       MATCH(B23, Input!$J$2:$J$500, 0),
       MATCH("Capacity", Input!$D$1:$AC$1, 0)),IF(_xlpm.Result="","",_xlpm.Result))</f>
        <v>#N/A</v>
      </c>
      <c r="S23" s="42" t="e" cm="1">
        <f t="array" ref="S23">_xlfn.TEXTSPLIT(R23," / ", ,TRUE,0,)</f>
        <v>#N/A</v>
      </c>
      <c r="T23" s="42"/>
      <c r="U23" s="42" t="str" cm="1">
        <f t="array" ref="U23">IFERROR(_xlfn.IFS(
S23="","",
--S23&lt;55,"Battery Defect",
--S23&lt;=69,"Battery D",
--S23&lt;=80,"Battery C",
--S23&gt;80,""
),"")</f>
        <v/>
      </c>
      <c r="V23" s="42" t="str" cm="1">
        <f t="array" ref="V23">IFERROR(_xlfn.IFS(
T23="","",
--T23&lt;55,"Battery Defect",
--T23&lt;=69,"Battery D",
--T23&lt;=80,"Battery C",
--T23&gt;80,""
),"")</f>
        <v/>
      </c>
      <c r="W23" s="42" t="str" cm="1">
        <f t="array" ref="W23:AD23">IFERROR(IF(_xlfn.XLOOKUP(B23,Input!J:J,Input!N:U)=0,"",
          _xlfn.XLOOKUP(B23,Input!J:J,Input!N:U)),"")</f>
        <v/>
      </c>
      <c r="X23" s="42" t="str">
        <v/>
      </c>
      <c r="Y23" s="42" t="str">
        <v/>
      </c>
      <c r="Z23" s="42" t="str">
        <v/>
      </c>
      <c r="AA23" s="42" t="str">
        <v/>
      </c>
      <c r="AB23" s="42" t="str">
        <v/>
      </c>
      <c r="AC23" s="42" t="str">
        <v/>
      </c>
      <c r="AD23" s="42" t="str">
        <v/>
      </c>
      <c r="AE23" s="32" t="str">
        <f t="shared" si="0"/>
        <v/>
      </c>
      <c r="AF23" s="32" t="str">
        <f>_xlfn.XLOOKUP(B:B,Disk_Pivot!G:G,Disk_Pivot!I:I)</f>
        <v>Yes x2</v>
      </c>
      <c r="AG23" s="32" t="str">
        <f>_xlfn.XLOOKUP(B23,Disk_Pivot!G:G,Disk_Pivot!N:N)</f>
        <v>Pass, Fail</v>
      </c>
      <c r="AH23" s="32"/>
      <c r="AI23" s="32"/>
      <c r="AJ23" s="32"/>
      <c r="AK23" s="32"/>
      <c r="AL23" s="32"/>
      <c r="AM23" s="32"/>
    </row>
    <row r="24" spans="1:39">
      <c r="A24" s="32" t="str">
        <f>_xlfn.XLOOKUP(B24,Input!J:J,Input!G:G)&amp;""</f>
        <v/>
      </c>
      <c r="B24" s="32"/>
      <c r="C24" s="32" t="str">
        <f>_xlfn.XLOOKUP(B24,Input!J:J,Input!H:H)&amp;""</f>
        <v/>
      </c>
      <c r="D24" s="42">
        <f>_xlfn.XLOOKUP(B24,Input!J:J,Input!F:F)</f>
        <v>0</v>
      </c>
      <c r="E24" s="32">
        <f>_xlfn.XLOOKUP(D24,Models!H:H,Models!G:G,D24)</f>
        <v>0</v>
      </c>
      <c r="F24" s="32">
        <f>_xlfn.XLOOKUP(B24,Input!J:J,Input!E:E)</f>
        <v>0</v>
      </c>
      <c r="G24" s="32">
        <f>IF(F24="LENOVO",_xlfn.XLOOKUP(B24,Input!J:J,Input!K:K),_xlfn.XLOOKUP(B24,Input!J:J,Input!L:L))</f>
        <v>0</v>
      </c>
      <c r="H24" s="32"/>
      <c r="I24" s="32"/>
      <c r="J24" s="32">
        <f>_xlfn.XLOOKUP(B24,CPU_Formula!A:A,CPU_Formula!I:I)</f>
        <v>0</v>
      </c>
      <c r="K24" s="42" t="e">
        <f>INDEX(Input!$D$2:$AC$500,
       MATCH(B24, Input!$J$2:$J$500, 0),
       MATCH("Total Memory", Input!$D$1:$AC$1, 0))</f>
        <v>#N/A</v>
      </c>
      <c r="L24" s="42" t="e">
        <f>INDEX(Input!$D$2:$AC$500,
       MATCH(B24, Input!$J$2:$J$500, 0),
       MATCH("Memory Type", Input!$D$1:$AC$1, 0))</f>
        <v>#N/A</v>
      </c>
      <c r="M24" s="42" t="str" cm="1">
        <f t="array" ref="M24">IFERROR(_xlfn.FILTERXML("&lt;t&gt;&lt;s&gt;" &amp; SUBSTITUTE(L24," / ","&lt;/s&gt;&lt;s&gt;") &amp; "&lt;/s&gt;&lt;/t&gt;","(//s[contains(.,'DDR')])[1]"),"")</f>
        <v/>
      </c>
      <c r="N24" s="32" t="e">
        <f t="shared" si="2"/>
        <v>#N/A</v>
      </c>
      <c r="O24" s="42" t="e">
        <f>INDEX(Input!$D$2:$AC$500,
       MATCH(B24, Input!$J$2:$J$500, 0),
       MATCH("Disk Interface Type", Input!$D$1:$AC$1, 0))</f>
        <v>#N/A</v>
      </c>
      <c r="P24" s="42" t="str" cm="1">
        <f t="array" ref="P24">IFERROR(_xlfn.TEXTJOIN(", ", TRUE, _xlfn._xlws.FILTER(
    INDEX(Input!$D$2:$AC$500,,MATCH("Disk Capacity",Input!$D$1:$AC$1,0)),
    Input!$J$2:$J$500=B24
)), "")</f>
        <v/>
      </c>
      <c r="Q24" s="32" t="e">
        <f t="shared" si="1"/>
        <v>#N/A</v>
      </c>
      <c r="R24" s="42" t="e">
        <f>_xlfn.LET(_xlpm.Result,INDEX(Input!$D$2:$AC$500,
       MATCH(B24, Input!$J$2:$J$500, 0),
       MATCH("Capacity", Input!$D$1:$AC$1, 0)),IF(_xlpm.Result="","",_xlpm.Result))</f>
        <v>#N/A</v>
      </c>
      <c r="S24" s="42" t="e" cm="1">
        <f t="array" ref="S24">_xlfn.TEXTSPLIT(R24," / ", ,TRUE,0,)</f>
        <v>#N/A</v>
      </c>
      <c r="T24" s="42"/>
      <c r="U24" s="42" t="str" cm="1">
        <f t="array" ref="U24">IFERROR(_xlfn.IFS(
S24="","",
--S24&lt;55,"Battery Defect",
--S24&lt;=69,"Battery D",
--S24&lt;=80,"Battery C",
--S24&gt;80,""
),"")</f>
        <v/>
      </c>
      <c r="V24" s="42" t="str" cm="1">
        <f t="array" ref="V24">IFERROR(_xlfn.IFS(
T24="","",
--T24&lt;55,"Battery Defect",
--T24&lt;=69,"Battery D",
--T24&lt;=80,"Battery C",
--T24&gt;80,""
),"")</f>
        <v/>
      </c>
      <c r="W24" s="42" t="str" cm="1">
        <f t="array" ref="W24:AD24">IFERROR(IF(_xlfn.XLOOKUP(B24,Input!J:J,Input!N:U)=0,"",
          _xlfn.XLOOKUP(B24,Input!J:J,Input!N:U)),"")</f>
        <v/>
      </c>
      <c r="X24" s="42" t="str">
        <v/>
      </c>
      <c r="Y24" s="42" t="str">
        <v/>
      </c>
      <c r="Z24" s="42" t="str">
        <v/>
      </c>
      <c r="AA24" s="42" t="str">
        <v/>
      </c>
      <c r="AB24" s="42" t="str">
        <v/>
      </c>
      <c r="AC24" s="42" t="str">
        <v/>
      </c>
      <c r="AD24" s="42" t="str">
        <v/>
      </c>
      <c r="AE24" s="32" t="str">
        <f t="shared" si="0"/>
        <v/>
      </c>
      <c r="AF24" s="32" t="str">
        <f>_xlfn.XLOOKUP(B:B,Disk_Pivot!G:G,Disk_Pivot!I:I)</f>
        <v>Yes x2</v>
      </c>
      <c r="AG24" s="32" t="str">
        <f>_xlfn.XLOOKUP(B24,Disk_Pivot!G:G,Disk_Pivot!N:N)</f>
        <v>Pass, Fail</v>
      </c>
      <c r="AH24" s="32"/>
      <c r="AI24" s="32"/>
      <c r="AJ24" s="32"/>
      <c r="AK24" s="32"/>
      <c r="AL24" s="32"/>
      <c r="AM24" s="32"/>
    </row>
    <row r="25" spans="1:39">
      <c r="A25" s="32" t="str">
        <f>_xlfn.XLOOKUP(B25,Input!J:J,Input!G:G)&amp;""</f>
        <v/>
      </c>
      <c r="B25" s="32"/>
      <c r="C25" s="32" t="str">
        <f>_xlfn.XLOOKUP(B25,Input!J:J,Input!H:H)&amp;""</f>
        <v/>
      </c>
      <c r="D25" s="42">
        <f>_xlfn.XLOOKUP(B25,Input!J:J,Input!F:F)</f>
        <v>0</v>
      </c>
      <c r="E25" s="32">
        <f>_xlfn.XLOOKUP(D25,Models!H:H,Models!G:G,D25)</f>
        <v>0</v>
      </c>
      <c r="F25" s="32">
        <f>_xlfn.XLOOKUP(B25,Input!J:J,Input!E:E)</f>
        <v>0</v>
      </c>
      <c r="G25" s="32">
        <f>IF(F25="LENOVO",_xlfn.XLOOKUP(B25,Input!J:J,Input!K:K),_xlfn.XLOOKUP(B25,Input!J:J,Input!L:L))</f>
        <v>0</v>
      </c>
      <c r="H25" s="32"/>
      <c r="I25" s="32"/>
      <c r="J25" s="32">
        <f>_xlfn.XLOOKUP(B25,CPU_Formula!A:A,CPU_Formula!I:I)</f>
        <v>0</v>
      </c>
      <c r="K25" s="42" t="e">
        <f>INDEX(Input!$D$2:$AC$500,
       MATCH(B25, Input!$J$2:$J$500, 0),
       MATCH("Total Memory", Input!$D$1:$AC$1, 0))</f>
        <v>#N/A</v>
      </c>
      <c r="L25" s="42" t="e">
        <f>INDEX(Input!$D$2:$AC$500,
       MATCH(B25, Input!$J$2:$J$500, 0),
       MATCH("Memory Type", Input!$D$1:$AC$1, 0))</f>
        <v>#N/A</v>
      </c>
      <c r="M25" s="42" t="str" cm="1">
        <f t="array" ref="M25">IFERROR(_xlfn.FILTERXML("&lt;t&gt;&lt;s&gt;" &amp; SUBSTITUTE(L25," / ","&lt;/s&gt;&lt;s&gt;") &amp; "&lt;/s&gt;&lt;/t&gt;","(//s[contains(.,'DDR')])[1]"),"")</f>
        <v/>
      </c>
      <c r="N25" s="32" t="e">
        <f t="shared" si="2"/>
        <v>#N/A</v>
      </c>
      <c r="O25" s="42" t="e">
        <f>INDEX(Input!$D$2:$AC$500,
       MATCH(B25, Input!$J$2:$J$500, 0),
       MATCH("Disk Interface Type", Input!$D$1:$AC$1, 0))</f>
        <v>#N/A</v>
      </c>
      <c r="P25" s="42" t="str" cm="1">
        <f t="array" ref="P25">IFERROR(_xlfn.TEXTJOIN(", ", TRUE, _xlfn._xlws.FILTER(
    INDEX(Input!$D$2:$AC$500,,MATCH("Disk Capacity",Input!$D$1:$AC$1,0)),
    Input!$J$2:$J$500=B25
)), "")</f>
        <v/>
      </c>
      <c r="Q25" s="32" t="e">
        <f t="shared" si="1"/>
        <v>#N/A</v>
      </c>
      <c r="R25" s="42" t="e">
        <f>_xlfn.LET(_xlpm.Result,INDEX(Input!$D$2:$AC$500,
       MATCH(B25, Input!$J$2:$J$500, 0),
       MATCH("Capacity", Input!$D$1:$AC$1, 0)),IF(_xlpm.Result="","",_xlpm.Result))</f>
        <v>#N/A</v>
      </c>
      <c r="S25" s="42" t="e" cm="1">
        <f t="array" ref="S25">_xlfn.TEXTSPLIT(R25," / ", ,TRUE,0,)</f>
        <v>#N/A</v>
      </c>
      <c r="T25" s="42"/>
      <c r="U25" s="42" t="str" cm="1">
        <f t="array" ref="U25">IFERROR(_xlfn.IFS(
S25="","",
--S25&lt;55,"Battery Defect",
--S25&lt;=69,"Battery D",
--S25&lt;=80,"Battery C",
--S25&gt;80,""
),"")</f>
        <v/>
      </c>
      <c r="V25" s="42" t="str" cm="1">
        <f t="array" ref="V25">IFERROR(_xlfn.IFS(
T25="","",
--T25&lt;55,"Battery Defect",
--T25&lt;=69,"Battery D",
--T25&lt;=80,"Battery C",
--T25&gt;80,""
),"")</f>
        <v/>
      </c>
      <c r="W25" s="42" t="str" cm="1">
        <f t="array" ref="W25:AD25">IFERROR(IF(_xlfn.XLOOKUP(B25,Input!J:J,Input!N:U)=0,"",
          _xlfn.XLOOKUP(B25,Input!J:J,Input!N:U)),"")</f>
        <v/>
      </c>
      <c r="X25" s="42" t="str">
        <v/>
      </c>
      <c r="Y25" s="42" t="str">
        <v/>
      </c>
      <c r="Z25" s="42" t="str">
        <v/>
      </c>
      <c r="AA25" s="42" t="str">
        <v/>
      </c>
      <c r="AB25" s="42" t="str">
        <v/>
      </c>
      <c r="AC25" s="42" t="str">
        <v/>
      </c>
      <c r="AD25" s="42" t="str">
        <v/>
      </c>
      <c r="AE25" s="32" t="str">
        <f t="shared" si="0"/>
        <v/>
      </c>
      <c r="AF25" s="32" t="str">
        <f>_xlfn.XLOOKUP(B:B,Disk_Pivot!G:G,Disk_Pivot!I:I)</f>
        <v>Yes x2</v>
      </c>
      <c r="AG25" s="32" t="str">
        <f>_xlfn.XLOOKUP(B25,Disk_Pivot!G:G,Disk_Pivot!N:N)</f>
        <v>Pass, Fail</v>
      </c>
      <c r="AH25" s="32"/>
      <c r="AI25" s="32"/>
      <c r="AJ25" s="32"/>
      <c r="AK25" s="32"/>
      <c r="AL25" s="32"/>
      <c r="AM25" s="32"/>
    </row>
    <row r="26" spans="1:39">
      <c r="A26" s="32" t="str">
        <f>_xlfn.XLOOKUP(B26,Input!J:J,Input!G:G)&amp;""</f>
        <v/>
      </c>
      <c r="B26" s="32"/>
      <c r="C26" s="32" t="str">
        <f>_xlfn.XLOOKUP(B26,Input!J:J,Input!H:H)&amp;""</f>
        <v/>
      </c>
      <c r="D26" s="42">
        <f>_xlfn.XLOOKUP(B26,Input!J:J,Input!F:F)</f>
        <v>0</v>
      </c>
      <c r="E26" s="32">
        <f>_xlfn.XLOOKUP(D26,Models!H:H,Models!G:G,D26)</f>
        <v>0</v>
      </c>
      <c r="F26" s="32">
        <f>_xlfn.XLOOKUP(B26,Input!J:J,Input!E:E)</f>
        <v>0</v>
      </c>
      <c r="G26" s="32">
        <f>IF(F26="LENOVO",_xlfn.XLOOKUP(B26,Input!J:J,Input!K:K),_xlfn.XLOOKUP(B26,Input!J:J,Input!L:L))</f>
        <v>0</v>
      </c>
      <c r="H26" s="32"/>
      <c r="I26" s="32"/>
      <c r="J26" s="32">
        <f>_xlfn.XLOOKUP(B26,CPU_Formula!A:A,CPU_Formula!I:I)</f>
        <v>0</v>
      </c>
      <c r="K26" s="42" t="e">
        <f>INDEX(Input!$D$2:$AC$500,
       MATCH(B26, Input!$J$2:$J$500, 0),
       MATCH("Total Memory", Input!$D$1:$AC$1, 0))</f>
        <v>#N/A</v>
      </c>
      <c r="L26" s="42" t="e">
        <f>INDEX(Input!$D$2:$AC$500,
       MATCH(B26, Input!$J$2:$J$500, 0),
       MATCH("Memory Type", Input!$D$1:$AC$1, 0))</f>
        <v>#N/A</v>
      </c>
      <c r="M26" s="42" t="str" cm="1">
        <f t="array" ref="M26">IFERROR(_xlfn.FILTERXML("&lt;t&gt;&lt;s&gt;" &amp; SUBSTITUTE(L26," / ","&lt;/s&gt;&lt;s&gt;") &amp; "&lt;/s&gt;&lt;/t&gt;","(//s[contains(.,'DDR')])[1]"),"")</f>
        <v/>
      </c>
      <c r="N26" s="32" t="e">
        <f t="shared" si="2"/>
        <v>#N/A</v>
      </c>
      <c r="O26" s="42" t="e">
        <f>INDEX(Input!$D$2:$AC$500,
       MATCH(B26, Input!$J$2:$J$500, 0),
       MATCH("Disk Interface Type", Input!$D$1:$AC$1, 0))</f>
        <v>#N/A</v>
      </c>
      <c r="P26" s="42" t="str" cm="1">
        <f t="array" ref="P26">IFERROR(_xlfn.TEXTJOIN(", ", TRUE, _xlfn._xlws.FILTER(
    INDEX(Input!$D$2:$AC$500,,MATCH("Disk Capacity",Input!$D$1:$AC$1,0)),
    Input!$J$2:$J$500=B26
)), "")</f>
        <v/>
      </c>
      <c r="Q26" s="32" t="e">
        <f t="shared" si="1"/>
        <v>#N/A</v>
      </c>
      <c r="R26" s="42" t="e">
        <f>_xlfn.LET(_xlpm.Result,INDEX(Input!$D$2:$AC$500,
       MATCH(B26, Input!$J$2:$J$500, 0),
       MATCH("Capacity", Input!$D$1:$AC$1, 0)),IF(_xlpm.Result="","",_xlpm.Result))</f>
        <v>#N/A</v>
      </c>
      <c r="S26" s="42" t="e" cm="1">
        <f t="array" ref="S26">_xlfn.TEXTSPLIT(R26," / ", ,TRUE,0,)</f>
        <v>#N/A</v>
      </c>
      <c r="T26" s="42"/>
      <c r="U26" s="42" t="str" cm="1">
        <f t="array" ref="U26">IFERROR(_xlfn.IFS(
S26="","",
--S26&lt;55,"Battery Defect",
--S26&lt;=69,"Battery D",
--S26&lt;=80,"Battery C",
--S26&gt;80,""
),"")</f>
        <v/>
      </c>
      <c r="V26" s="42" t="str" cm="1">
        <f t="array" ref="V26">IFERROR(_xlfn.IFS(
T26="","",
--T26&lt;55,"Battery Defect",
--T26&lt;=69,"Battery D",
--T26&lt;=80,"Battery C",
--T26&gt;80,""
),"")</f>
        <v/>
      </c>
      <c r="W26" s="42" t="str" cm="1">
        <f t="array" ref="W26:AD26">IFERROR(IF(_xlfn.XLOOKUP(B26,Input!J:J,Input!N:U)=0,"",
          _xlfn.XLOOKUP(B26,Input!J:J,Input!N:U)),"")</f>
        <v/>
      </c>
      <c r="X26" s="42" t="str">
        <v/>
      </c>
      <c r="Y26" s="42" t="str">
        <v/>
      </c>
      <c r="Z26" s="42" t="str">
        <v/>
      </c>
      <c r="AA26" s="42" t="str">
        <v/>
      </c>
      <c r="AB26" s="42" t="str">
        <v/>
      </c>
      <c r="AC26" s="42" t="str">
        <v/>
      </c>
      <c r="AD26" s="42" t="str">
        <v/>
      </c>
      <c r="AE26" s="32" t="str">
        <f t="shared" si="0"/>
        <v/>
      </c>
      <c r="AF26" s="32" t="str">
        <f>_xlfn.XLOOKUP(B:B,Disk_Pivot!G:G,Disk_Pivot!I:I)</f>
        <v>Yes x2</v>
      </c>
      <c r="AG26" s="32" t="str">
        <f>_xlfn.XLOOKUP(B26,Disk_Pivot!G:G,Disk_Pivot!N:N)</f>
        <v>Pass, Fail</v>
      </c>
      <c r="AH26" s="32"/>
      <c r="AI26" s="32"/>
      <c r="AJ26" s="32"/>
      <c r="AK26" s="32"/>
      <c r="AL26" s="32"/>
      <c r="AM26" s="32"/>
    </row>
    <row r="27" spans="1:39">
      <c r="A27" s="32" t="str">
        <f>_xlfn.XLOOKUP(B27,Input!J:J,Input!G:G)&amp;""</f>
        <v/>
      </c>
      <c r="B27" s="32"/>
      <c r="C27" s="32" t="str">
        <f>_xlfn.XLOOKUP(B27,Input!J:J,Input!H:H)&amp;""</f>
        <v/>
      </c>
      <c r="D27" s="42">
        <f>_xlfn.XLOOKUP(B27,Input!J:J,Input!F:F)</f>
        <v>0</v>
      </c>
      <c r="E27" s="32">
        <f>_xlfn.XLOOKUP(D27,Models!H:H,Models!G:G,D27)</f>
        <v>0</v>
      </c>
      <c r="F27" s="32">
        <f>_xlfn.XLOOKUP(B27,Input!J:J,Input!E:E)</f>
        <v>0</v>
      </c>
      <c r="G27" s="32">
        <f>IF(F27="LENOVO",_xlfn.XLOOKUP(B27,Input!J:J,Input!K:K),_xlfn.XLOOKUP(B27,Input!J:J,Input!L:L))</f>
        <v>0</v>
      </c>
      <c r="H27" s="32"/>
      <c r="I27" s="32"/>
      <c r="J27" s="32">
        <f>_xlfn.XLOOKUP(B27,CPU_Formula!A:A,CPU_Formula!I:I)</f>
        <v>0</v>
      </c>
      <c r="K27" s="42" t="e">
        <f>INDEX(Input!$D$2:$AC$500,
       MATCH(B27, Input!$J$2:$J$500, 0),
       MATCH("Total Memory", Input!$D$1:$AC$1, 0))</f>
        <v>#N/A</v>
      </c>
      <c r="L27" s="42" t="e">
        <f>INDEX(Input!$D$2:$AC$500,
       MATCH(B27, Input!$J$2:$J$500, 0),
       MATCH("Memory Type", Input!$D$1:$AC$1, 0))</f>
        <v>#N/A</v>
      </c>
      <c r="M27" s="42" t="str" cm="1">
        <f t="array" ref="M27">IFERROR(_xlfn.FILTERXML("&lt;t&gt;&lt;s&gt;" &amp; SUBSTITUTE(L27," / ","&lt;/s&gt;&lt;s&gt;") &amp; "&lt;/s&gt;&lt;/t&gt;","(//s[contains(.,'DDR')])[1]"),"")</f>
        <v/>
      </c>
      <c r="N27" s="32" t="e">
        <f t="shared" si="2"/>
        <v>#N/A</v>
      </c>
      <c r="O27" s="42" t="e">
        <f>INDEX(Input!$D$2:$AC$500,
       MATCH(B27, Input!$J$2:$J$500, 0),
       MATCH("Disk Interface Type", Input!$D$1:$AC$1, 0))</f>
        <v>#N/A</v>
      </c>
      <c r="P27" s="42" t="str" cm="1">
        <f t="array" ref="P27">IFERROR(_xlfn.TEXTJOIN(", ", TRUE, _xlfn._xlws.FILTER(
    INDEX(Input!$D$2:$AC$500,,MATCH("Disk Capacity",Input!$D$1:$AC$1,0)),
    Input!$J$2:$J$500=B27
)), "")</f>
        <v/>
      </c>
      <c r="Q27" s="32" t="e">
        <f t="shared" si="1"/>
        <v>#N/A</v>
      </c>
      <c r="R27" s="42" t="e">
        <f>_xlfn.LET(_xlpm.Result,INDEX(Input!$D$2:$AC$500,
       MATCH(B27, Input!$J$2:$J$500, 0),
       MATCH("Capacity", Input!$D$1:$AC$1, 0)),IF(_xlpm.Result="","",_xlpm.Result))</f>
        <v>#N/A</v>
      </c>
      <c r="S27" s="42" t="e" cm="1">
        <f t="array" ref="S27">_xlfn.TEXTSPLIT(R27," / ", ,TRUE,0,)</f>
        <v>#N/A</v>
      </c>
      <c r="T27" s="42"/>
      <c r="U27" s="42" t="str" cm="1">
        <f t="array" ref="U27">IFERROR(_xlfn.IFS(
S27="","",
--S27&lt;55,"Battery Defect",
--S27&lt;=69,"Battery D",
--S27&lt;=80,"Battery C",
--S27&gt;80,""
),"")</f>
        <v/>
      </c>
      <c r="V27" s="42" t="str" cm="1">
        <f t="array" ref="V27">IFERROR(_xlfn.IFS(
T27="","",
--T27&lt;55,"Battery Defect",
--T27&lt;=69,"Battery D",
--T27&lt;=80,"Battery C",
--T27&gt;80,""
),"")</f>
        <v/>
      </c>
      <c r="W27" s="42" t="str" cm="1">
        <f t="array" ref="W27:AD27">IFERROR(IF(_xlfn.XLOOKUP(B27,Input!J:J,Input!N:U)=0,"",
          _xlfn.XLOOKUP(B27,Input!J:J,Input!N:U)),"")</f>
        <v/>
      </c>
      <c r="X27" s="42" t="str">
        <v/>
      </c>
      <c r="Y27" s="42" t="str">
        <v/>
      </c>
      <c r="Z27" s="42" t="str">
        <v/>
      </c>
      <c r="AA27" s="42" t="str">
        <v/>
      </c>
      <c r="AB27" s="42" t="str">
        <v/>
      </c>
      <c r="AC27" s="42" t="str">
        <v/>
      </c>
      <c r="AD27" s="42" t="str">
        <v/>
      </c>
      <c r="AE27" s="32" t="str">
        <f t="shared" si="0"/>
        <v/>
      </c>
      <c r="AF27" s="32" t="str">
        <f>_xlfn.XLOOKUP(B:B,Disk_Pivot!G:G,Disk_Pivot!I:I)</f>
        <v>Yes x2</v>
      </c>
      <c r="AG27" s="32" t="str">
        <f>_xlfn.XLOOKUP(B27,Disk_Pivot!G:G,Disk_Pivot!N:N)</f>
        <v>Pass, Fail</v>
      </c>
      <c r="AH27" s="32"/>
      <c r="AI27" s="32"/>
      <c r="AJ27" s="32"/>
      <c r="AK27" s="32"/>
      <c r="AL27" s="32"/>
      <c r="AM27" s="32"/>
    </row>
    <row r="28" spans="1:39">
      <c r="A28" s="32" t="str">
        <f>_xlfn.XLOOKUP(B28,Input!J:J,Input!G:G)&amp;""</f>
        <v/>
      </c>
      <c r="B28" s="32"/>
      <c r="C28" s="32" t="str">
        <f>_xlfn.XLOOKUP(B28,Input!J:J,Input!H:H)&amp;""</f>
        <v/>
      </c>
      <c r="D28" s="42">
        <f>_xlfn.XLOOKUP(B28,Input!J:J,Input!F:F)</f>
        <v>0</v>
      </c>
      <c r="E28" s="32">
        <f>_xlfn.XLOOKUP(D28,Models!H:H,Models!G:G,D28)</f>
        <v>0</v>
      </c>
      <c r="F28" s="32">
        <f>_xlfn.XLOOKUP(B28,Input!J:J,Input!E:E)</f>
        <v>0</v>
      </c>
      <c r="G28" s="32">
        <f>IF(F28="LENOVO",_xlfn.XLOOKUP(B28,Input!J:J,Input!K:K),_xlfn.XLOOKUP(B28,Input!J:J,Input!L:L))</f>
        <v>0</v>
      </c>
      <c r="H28" s="32"/>
      <c r="I28" s="32"/>
      <c r="J28" s="32">
        <f>_xlfn.XLOOKUP(B28,CPU_Formula!A:A,CPU_Formula!I:I)</f>
        <v>0</v>
      </c>
      <c r="K28" s="42" t="e">
        <f>INDEX(Input!$D$2:$AC$500,
       MATCH(B28, Input!$J$2:$J$500, 0),
       MATCH("Total Memory", Input!$D$1:$AC$1, 0))</f>
        <v>#N/A</v>
      </c>
      <c r="L28" s="42" t="e">
        <f>INDEX(Input!$D$2:$AC$500,
       MATCH(B28, Input!$J$2:$J$500, 0),
       MATCH("Memory Type", Input!$D$1:$AC$1, 0))</f>
        <v>#N/A</v>
      </c>
      <c r="M28" s="42" t="str" cm="1">
        <f t="array" ref="M28">IFERROR(_xlfn.FILTERXML("&lt;t&gt;&lt;s&gt;" &amp; SUBSTITUTE(L28," / ","&lt;/s&gt;&lt;s&gt;") &amp; "&lt;/s&gt;&lt;/t&gt;","(//s[contains(.,'DDR')])[1]"),"")</f>
        <v/>
      </c>
      <c r="N28" s="32" t="e">
        <f t="shared" si="2"/>
        <v>#N/A</v>
      </c>
      <c r="O28" s="42" t="e">
        <f>INDEX(Input!$D$2:$AC$500,
       MATCH(B28, Input!$J$2:$J$500, 0),
       MATCH("Disk Interface Type", Input!$D$1:$AC$1, 0))</f>
        <v>#N/A</v>
      </c>
      <c r="P28" s="42" t="str" cm="1">
        <f t="array" ref="P28">IFERROR(_xlfn.TEXTJOIN(", ", TRUE, _xlfn._xlws.FILTER(
    INDEX(Input!$D$2:$AC$500,,MATCH("Disk Capacity",Input!$D$1:$AC$1,0)),
    Input!$J$2:$J$500=B28
)), "")</f>
        <v/>
      </c>
      <c r="Q28" s="32" t="e">
        <f t="shared" si="1"/>
        <v>#N/A</v>
      </c>
      <c r="R28" s="42" t="e">
        <f>_xlfn.LET(_xlpm.Result,INDEX(Input!$D$2:$AC$500,
       MATCH(B28, Input!$J$2:$J$500, 0),
       MATCH("Capacity", Input!$D$1:$AC$1, 0)),IF(_xlpm.Result="","",_xlpm.Result))</f>
        <v>#N/A</v>
      </c>
      <c r="S28" s="42" t="e" cm="1">
        <f t="array" ref="S28">_xlfn.TEXTSPLIT(R28," / ", ,TRUE,0,)</f>
        <v>#N/A</v>
      </c>
      <c r="T28" s="42"/>
      <c r="U28" s="42" t="str" cm="1">
        <f t="array" ref="U28">IFERROR(_xlfn.IFS(
S28="","",
--S28&lt;55,"Battery Defect",
--S28&lt;=69,"Battery D",
--S28&lt;=80,"Battery C",
--S28&gt;80,""
),"")</f>
        <v/>
      </c>
      <c r="V28" s="42" t="str" cm="1">
        <f t="array" ref="V28">IFERROR(_xlfn.IFS(
T28="","",
--T28&lt;55,"Battery Defect",
--T28&lt;=69,"Battery D",
--T28&lt;=80,"Battery C",
--T28&gt;80,""
),"")</f>
        <v/>
      </c>
      <c r="W28" s="42" t="str" cm="1">
        <f t="array" ref="W28:AD28">IFERROR(IF(_xlfn.XLOOKUP(B28,Input!J:J,Input!N:U)=0,"",
          _xlfn.XLOOKUP(B28,Input!J:J,Input!N:U)),"")</f>
        <v/>
      </c>
      <c r="X28" s="42" t="str">
        <v/>
      </c>
      <c r="Y28" s="42" t="str">
        <v/>
      </c>
      <c r="Z28" s="42" t="str">
        <v/>
      </c>
      <c r="AA28" s="42" t="str">
        <v/>
      </c>
      <c r="AB28" s="42" t="str">
        <v/>
      </c>
      <c r="AC28" s="42" t="str">
        <v/>
      </c>
      <c r="AD28" s="42" t="str">
        <v/>
      </c>
      <c r="AE28" s="32" t="str">
        <f t="shared" si="0"/>
        <v/>
      </c>
      <c r="AF28" s="32" t="str">
        <f>_xlfn.XLOOKUP(B:B,Disk_Pivot!G:G,Disk_Pivot!I:I)</f>
        <v>Yes x2</v>
      </c>
      <c r="AG28" s="32" t="str">
        <f>_xlfn.XLOOKUP(B28,Disk_Pivot!G:G,Disk_Pivot!N:N)</f>
        <v>Pass, Fail</v>
      </c>
      <c r="AH28" s="32"/>
      <c r="AI28" s="32"/>
      <c r="AJ28" s="32"/>
      <c r="AK28" s="32"/>
      <c r="AL28" s="32"/>
      <c r="AM28" s="32"/>
    </row>
    <row r="29" spans="1:39">
      <c r="A29" s="32" t="str">
        <f>_xlfn.XLOOKUP(B29,Input!J:J,Input!G:G)&amp;""</f>
        <v/>
      </c>
      <c r="B29" s="32"/>
      <c r="C29" s="32" t="str">
        <f>_xlfn.XLOOKUP(B29,Input!J:J,Input!H:H)&amp;""</f>
        <v/>
      </c>
      <c r="D29" s="42">
        <f>_xlfn.XLOOKUP(B29,Input!J:J,Input!F:F)</f>
        <v>0</v>
      </c>
      <c r="E29" s="32">
        <f>_xlfn.XLOOKUP(D29,Models!H:H,Models!G:G,D29)</f>
        <v>0</v>
      </c>
      <c r="F29" s="32">
        <f>_xlfn.XLOOKUP(B29,Input!J:J,Input!E:E)</f>
        <v>0</v>
      </c>
      <c r="G29" s="32">
        <f>IF(F29="LENOVO",_xlfn.XLOOKUP(B29,Input!J:J,Input!K:K),_xlfn.XLOOKUP(B29,Input!J:J,Input!L:L))</f>
        <v>0</v>
      </c>
      <c r="H29" s="32"/>
      <c r="I29" s="32"/>
      <c r="J29" s="32">
        <f>_xlfn.XLOOKUP(B29,CPU_Formula!A:A,CPU_Formula!I:I)</f>
        <v>0</v>
      </c>
      <c r="K29" s="42" t="e">
        <f>INDEX(Input!$D$2:$AC$500,
       MATCH(B29, Input!$J$2:$J$500, 0),
       MATCH("Total Memory", Input!$D$1:$AC$1, 0))</f>
        <v>#N/A</v>
      </c>
      <c r="L29" s="42" t="e">
        <f>INDEX(Input!$D$2:$AC$500,
       MATCH(B29, Input!$J$2:$J$500, 0),
       MATCH("Memory Type", Input!$D$1:$AC$1, 0))</f>
        <v>#N/A</v>
      </c>
      <c r="M29" s="42" t="str" cm="1">
        <f t="array" ref="M29">IFERROR(_xlfn.FILTERXML("&lt;t&gt;&lt;s&gt;" &amp; SUBSTITUTE(L29," / ","&lt;/s&gt;&lt;s&gt;") &amp; "&lt;/s&gt;&lt;/t&gt;","(//s[contains(.,'DDR')])[1]"),"")</f>
        <v/>
      </c>
      <c r="N29" s="32" t="e">
        <f t="shared" si="2"/>
        <v>#N/A</v>
      </c>
      <c r="O29" s="42" t="e">
        <f>INDEX(Input!$D$2:$AC$500,
       MATCH(B29, Input!$J$2:$J$500, 0),
       MATCH("Disk Interface Type", Input!$D$1:$AC$1, 0))</f>
        <v>#N/A</v>
      </c>
      <c r="P29" s="42" t="str" cm="1">
        <f t="array" ref="P29">IFERROR(_xlfn.TEXTJOIN(", ", TRUE, _xlfn._xlws.FILTER(
    INDEX(Input!$D$2:$AC$500,,MATCH("Disk Capacity",Input!$D$1:$AC$1,0)),
    Input!$J$2:$J$500=B29
)), "")</f>
        <v/>
      </c>
      <c r="Q29" s="32" t="e">
        <f t="shared" si="1"/>
        <v>#N/A</v>
      </c>
      <c r="R29" s="42" t="e">
        <f>_xlfn.LET(_xlpm.Result,INDEX(Input!$D$2:$AC$500,
       MATCH(B29, Input!$J$2:$J$500, 0),
       MATCH("Capacity", Input!$D$1:$AC$1, 0)),IF(_xlpm.Result="","",_xlpm.Result))</f>
        <v>#N/A</v>
      </c>
      <c r="S29" s="42" t="e" cm="1">
        <f t="array" ref="S29">_xlfn.TEXTSPLIT(R29," / ", ,TRUE,0,)</f>
        <v>#N/A</v>
      </c>
      <c r="T29" s="42"/>
      <c r="U29" s="42" t="str" cm="1">
        <f t="array" ref="U29">IFERROR(_xlfn.IFS(
S29="","",
--S29&lt;55,"Battery Defect",
--S29&lt;=69,"Battery D",
--S29&lt;=80,"Battery C",
--S29&gt;80,""
),"")</f>
        <v/>
      </c>
      <c r="V29" s="42" t="str" cm="1">
        <f t="array" ref="V29">IFERROR(_xlfn.IFS(
T29="","",
--T29&lt;55,"Battery Defect",
--T29&lt;=69,"Battery D",
--T29&lt;=80,"Battery C",
--T29&gt;80,""
),"")</f>
        <v/>
      </c>
      <c r="W29" s="42" t="str" cm="1">
        <f t="array" ref="W29:AD29">IFERROR(IF(_xlfn.XLOOKUP(B29,Input!J:J,Input!N:U)=0,"",
          _xlfn.XLOOKUP(B29,Input!J:J,Input!N:U)),"")</f>
        <v/>
      </c>
      <c r="X29" s="42" t="str">
        <v/>
      </c>
      <c r="Y29" s="42" t="str">
        <v/>
      </c>
      <c r="Z29" s="42" t="str">
        <v/>
      </c>
      <c r="AA29" s="42" t="str">
        <v/>
      </c>
      <c r="AB29" s="42" t="str">
        <v/>
      </c>
      <c r="AC29" s="42" t="str">
        <v/>
      </c>
      <c r="AD29" s="42" t="str">
        <v/>
      </c>
      <c r="AE29" s="32" t="str">
        <f t="shared" si="0"/>
        <v/>
      </c>
      <c r="AF29" s="32" t="str">
        <f>_xlfn.XLOOKUP(B:B,Disk_Pivot!G:G,Disk_Pivot!I:I)</f>
        <v>Yes x2</v>
      </c>
      <c r="AG29" s="32" t="str">
        <f>_xlfn.XLOOKUP(B29,Disk_Pivot!G:G,Disk_Pivot!N:N)</f>
        <v>Pass, Fail</v>
      </c>
      <c r="AH29" s="32"/>
      <c r="AI29" s="32"/>
      <c r="AJ29" s="32"/>
      <c r="AK29" s="32"/>
      <c r="AL29" s="32"/>
      <c r="AM29" s="32"/>
    </row>
    <row r="30" spans="1:39">
      <c r="A30" s="32" t="str">
        <f>_xlfn.XLOOKUP(B30,Input!J:J,Input!G:G)&amp;""</f>
        <v/>
      </c>
      <c r="B30" s="32"/>
      <c r="C30" s="32" t="str">
        <f>_xlfn.XLOOKUP(B30,Input!J:J,Input!H:H)&amp;""</f>
        <v/>
      </c>
      <c r="D30" s="42">
        <f>_xlfn.XLOOKUP(B30,Input!J:J,Input!F:F)</f>
        <v>0</v>
      </c>
      <c r="E30" s="32">
        <f>_xlfn.XLOOKUP(D30,Models!H:H,Models!G:G,D30)</f>
        <v>0</v>
      </c>
      <c r="F30" s="32">
        <f>_xlfn.XLOOKUP(B30,Input!J:J,Input!E:E)</f>
        <v>0</v>
      </c>
      <c r="G30" s="32">
        <f>IF(F30="LENOVO",_xlfn.XLOOKUP(B30,Input!J:J,Input!K:K),_xlfn.XLOOKUP(B30,Input!J:J,Input!L:L))</f>
        <v>0</v>
      </c>
      <c r="H30" s="32"/>
      <c r="I30" s="32"/>
      <c r="J30" s="32">
        <f>_xlfn.XLOOKUP(B30,CPU_Formula!A:A,CPU_Formula!I:I)</f>
        <v>0</v>
      </c>
      <c r="K30" s="42" t="e">
        <f>INDEX(Input!$D$2:$AC$500,
       MATCH(B30, Input!$J$2:$J$500, 0),
       MATCH("Total Memory", Input!$D$1:$AC$1, 0))</f>
        <v>#N/A</v>
      </c>
      <c r="L30" s="42" t="e">
        <f>INDEX(Input!$D$2:$AC$500,
       MATCH(B30, Input!$J$2:$J$500, 0),
       MATCH("Memory Type", Input!$D$1:$AC$1, 0))</f>
        <v>#N/A</v>
      </c>
      <c r="M30" s="42" t="str" cm="1">
        <f t="array" ref="M30">IFERROR(_xlfn.FILTERXML("&lt;t&gt;&lt;s&gt;" &amp; SUBSTITUTE(L30," / ","&lt;/s&gt;&lt;s&gt;") &amp; "&lt;/s&gt;&lt;/t&gt;","(//s[contains(.,'DDR')])[1]"),"")</f>
        <v/>
      </c>
      <c r="N30" s="32" t="e">
        <f t="shared" si="2"/>
        <v>#N/A</v>
      </c>
      <c r="O30" s="42" t="e">
        <f>INDEX(Input!$D$2:$AC$500,
       MATCH(B30, Input!$J$2:$J$500, 0),
       MATCH("Disk Interface Type", Input!$D$1:$AC$1, 0))</f>
        <v>#N/A</v>
      </c>
      <c r="P30" s="42" t="str" cm="1">
        <f t="array" ref="P30">IFERROR(_xlfn.TEXTJOIN(", ", TRUE, _xlfn._xlws.FILTER(
    INDEX(Input!$D$2:$AC$500,,MATCH("Disk Capacity",Input!$D$1:$AC$1,0)),
    Input!$J$2:$J$500=B30
)), "")</f>
        <v/>
      </c>
      <c r="Q30" s="32" t="e">
        <f t="shared" si="1"/>
        <v>#N/A</v>
      </c>
      <c r="R30" s="42" t="e">
        <f>_xlfn.LET(_xlpm.Result,INDEX(Input!$D$2:$AC$500,
       MATCH(B30, Input!$J$2:$J$500, 0),
       MATCH("Capacity", Input!$D$1:$AC$1, 0)),IF(_xlpm.Result="","",_xlpm.Result))</f>
        <v>#N/A</v>
      </c>
      <c r="S30" s="42" t="e" cm="1">
        <f t="array" ref="S30">_xlfn.TEXTSPLIT(R30," / ", ,TRUE,0,)</f>
        <v>#N/A</v>
      </c>
      <c r="T30" s="42"/>
      <c r="U30" s="42" t="str" cm="1">
        <f t="array" ref="U30">IFERROR(_xlfn.IFS(
S30="","",
--S30&lt;55,"Battery Defect",
--S30&lt;=69,"Battery D",
--S30&lt;=80,"Battery C",
--S30&gt;80,""
),"")</f>
        <v/>
      </c>
      <c r="V30" s="42" t="str" cm="1">
        <f t="array" ref="V30">IFERROR(_xlfn.IFS(
T30="","",
--T30&lt;55,"Battery Defect",
--T30&lt;=69,"Battery D",
--T30&lt;=80,"Battery C",
--T30&gt;80,""
),"")</f>
        <v/>
      </c>
      <c r="W30" s="42" t="str" cm="1">
        <f t="array" ref="W30:AD30">IFERROR(IF(_xlfn.XLOOKUP(B30,Input!J:J,Input!N:U)=0,"",
          _xlfn.XLOOKUP(B30,Input!J:J,Input!N:U)),"")</f>
        <v/>
      </c>
      <c r="X30" s="42" t="str">
        <v/>
      </c>
      <c r="Y30" s="42" t="str">
        <v/>
      </c>
      <c r="Z30" s="42" t="str">
        <v/>
      </c>
      <c r="AA30" s="42" t="str">
        <v/>
      </c>
      <c r="AB30" s="42" t="str">
        <v/>
      </c>
      <c r="AC30" s="42" t="str">
        <v/>
      </c>
      <c r="AD30" s="42" t="str">
        <v/>
      </c>
      <c r="AE30" s="32" t="str">
        <f t="shared" si="0"/>
        <v/>
      </c>
      <c r="AF30" s="32" t="str">
        <f>_xlfn.XLOOKUP(B:B,Disk_Pivot!G:G,Disk_Pivot!I:I)</f>
        <v>Yes x2</v>
      </c>
      <c r="AG30" s="32" t="str">
        <f>_xlfn.XLOOKUP(B30,Disk_Pivot!G:G,Disk_Pivot!N:N)</f>
        <v>Pass, Fail</v>
      </c>
      <c r="AH30" s="32"/>
      <c r="AI30" s="32"/>
      <c r="AJ30" s="32"/>
      <c r="AK30" s="32"/>
      <c r="AL30" s="32"/>
      <c r="AM30" s="32"/>
    </row>
    <row r="31" spans="1:39">
      <c r="A31" s="32" t="str">
        <f>_xlfn.XLOOKUP(B31,Input!J:J,Input!G:G)&amp;""</f>
        <v/>
      </c>
      <c r="B31" s="32"/>
      <c r="C31" s="32" t="str">
        <f>_xlfn.XLOOKUP(B31,Input!J:J,Input!H:H)&amp;""</f>
        <v/>
      </c>
      <c r="D31" s="42">
        <f>_xlfn.XLOOKUP(B31,Input!J:J,Input!F:F)</f>
        <v>0</v>
      </c>
      <c r="E31" s="32">
        <f>_xlfn.XLOOKUP(D31,Models!H:H,Models!G:G,D31)</f>
        <v>0</v>
      </c>
      <c r="F31" s="32">
        <f>_xlfn.XLOOKUP(B31,Input!J:J,Input!E:E)</f>
        <v>0</v>
      </c>
      <c r="G31" s="32">
        <f>IF(F31="LENOVO",_xlfn.XLOOKUP(B31,Input!J:J,Input!K:K),_xlfn.XLOOKUP(B31,Input!J:J,Input!L:L))</f>
        <v>0</v>
      </c>
      <c r="H31" s="32"/>
      <c r="I31" s="32"/>
      <c r="J31" s="32">
        <f>_xlfn.XLOOKUP(B31,CPU_Formula!A:A,CPU_Formula!I:I)</f>
        <v>0</v>
      </c>
      <c r="K31" s="42" t="e">
        <f>INDEX(Input!$D$2:$AC$500,
       MATCH(B31, Input!$J$2:$J$500, 0),
       MATCH("Total Memory", Input!$D$1:$AC$1, 0))</f>
        <v>#N/A</v>
      </c>
      <c r="L31" s="42" t="e">
        <f>INDEX(Input!$D$2:$AC$500,
       MATCH(B31, Input!$J$2:$J$500, 0),
       MATCH("Memory Type", Input!$D$1:$AC$1, 0))</f>
        <v>#N/A</v>
      </c>
      <c r="M31" s="42" t="str" cm="1">
        <f t="array" ref="M31">IFERROR(_xlfn.FILTERXML("&lt;t&gt;&lt;s&gt;" &amp; SUBSTITUTE(L31," / ","&lt;/s&gt;&lt;s&gt;") &amp; "&lt;/s&gt;&lt;/t&gt;","(//s[contains(.,'DDR')])[1]"),"")</f>
        <v/>
      </c>
      <c r="N31" s="32" t="e">
        <f t="shared" si="2"/>
        <v>#N/A</v>
      </c>
      <c r="O31" s="42" t="e">
        <f>INDEX(Input!$D$2:$AC$500,
       MATCH(B31, Input!$J$2:$J$500, 0),
       MATCH("Disk Interface Type", Input!$D$1:$AC$1, 0))</f>
        <v>#N/A</v>
      </c>
      <c r="P31" s="42" t="str" cm="1">
        <f t="array" ref="P31">IFERROR(_xlfn.TEXTJOIN(", ", TRUE, _xlfn._xlws.FILTER(
    INDEX(Input!$D$2:$AC$500,,MATCH("Disk Capacity",Input!$D$1:$AC$1,0)),
    Input!$J$2:$J$500=B31
)), "")</f>
        <v/>
      </c>
      <c r="Q31" s="32" t="e">
        <f t="shared" si="1"/>
        <v>#N/A</v>
      </c>
      <c r="R31" s="42" t="e">
        <f>_xlfn.LET(_xlpm.Result,INDEX(Input!$D$2:$AC$500,
       MATCH(B31, Input!$J$2:$J$500, 0),
       MATCH("Capacity", Input!$D$1:$AC$1, 0)),IF(_xlpm.Result="","",_xlpm.Result))</f>
        <v>#N/A</v>
      </c>
      <c r="S31" s="42" t="e" cm="1">
        <f t="array" ref="S31">_xlfn.TEXTSPLIT(R31," / ", ,TRUE,0,)</f>
        <v>#N/A</v>
      </c>
      <c r="T31" s="42"/>
      <c r="U31" s="42" t="str" cm="1">
        <f t="array" ref="U31">IFERROR(_xlfn.IFS(
S31="","",
--S31&lt;55,"Battery Defect",
--S31&lt;=69,"Battery D",
--S31&lt;=80,"Battery C",
--S31&gt;80,""
),"")</f>
        <v/>
      </c>
      <c r="V31" s="42" t="str" cm="1">
        <f t="array" ref="V31">IFERROR(_xlfn.IFS(
T31="","",
--T31&lt;55,"Battery Defect",
--T31&lt;=69,"Battery D",
--T31&lt;=80,"Battery C",
--T31&gt;80,""
),"")</f>
        <v/>
      </c>
      <c r="W31" s="42" t="str" cm="1">
        <f t="array" ref="W31:AD31">IFERROR(IF(_xlfn.XLOOKUP(B31,Input!J:J,Input!N:U)=0,"",
          _xlfn.XLOOKUP(B31,Input!J:J,Input!N:U)),"")</f>
        <v/>
      </c>
      <c r="X31" s="42" t="str">
        <v/>
      </c>
      <c r="Y31" s="42" t="str">
        <v/>
      </c>
      <c r="Z31" s="42" t="str">
        <v/>
      </c>
      <c r="AA31" s="42" t="str">
        <v/>
      </c>
      <c r="AB31" s="42" t="str">
        <v/>
      </c>
      <c r="AC31" s="42" t="str">
        <v/>
      </c>
      <c r="AD31" s="42" t="str">
        <v/>
      </c>
      <c r="AE31" s="32" t="str">
        <f t="shared" si="0"/>
        <v/>
      </c>
      <c r="AF31" s="32" t="str">
        <f>_xlfn.XLOOKUP(B:B,Disk_Pivot!G:G,Disk_Pivot!I:I)</f>
        <v>Yes x2</v>
      </c>
      <c r="AG31" s="32" t="str">
        <f>_xlfn.XLOOKUP(B31,Disk_Pivot!G:G,Disk_Pivot!N:N)</f>
        <v>Pass, Fail</v>
      </c>
      <c r="AH31" s="32"/>
      <c r="AI31" s="32"/>
      <c r="AJ31" s="32"/>
      <c r="AK31" s="32"/>
      <c r="AL31" s="32"/>
      <c r="AM31" s="32"/>
    </row>
    <row r="32" spans="1:39">
      <c r="A32" s="32" t="str">
        <f>_xlfn.XLOOKUP(B32,Input!J:J,Input!G:G)&amp;""</f>
        <v/>
      </c>
      <c r="B32" s="32"/>
      <c r="C32" s="32" t="str">
        <f>_xlfn.XLOOKUP(B32,Input!J:J,Input!H:H)&amp;""</f>
        <v/>
      </c>
      <c r="D32" s="42">
        <f>_xlfn.XLOOKUP(B32,Input!J:J,Input!F:F)</f>
        <v>0</v>
      </c>
      <c r="E32" s="32">
        <f>_xlfn.XLOOKUP(D32,Models!H:H,Models!G:G,D32)</f>
        <v>0</v>
      </c>
      <c r="F32" s="32">
        <f>_xlfn.XLOOKUP(B32,Input!J:J,Input!E:E)</f>
        <v>0</v>
      </c>
      <c r="G32" s="32">
        <f>IF(F32="LENOVO",_xlfn.XLOOKUP(B32,Input!J:J,Input!K:K),_xlfn.XLOOKUP(B32,Input!J:J,Input!L:L))</f>
        <v>0</v>
      </c>
      <c r="H32" s="32"/>
      <c r="I32" s="32"/>
      <c r="J32" s="32">
        <f>_xlfn.XLOOKUP(B32,CPU_Formula!A:A,CPU_Formula!I:I)</f>
        <v>0</v>
      </c>
      <c r="K32" s="42" t="e">
        <f>INDEX(Input!$D$2:$AC$500,
       MATCH(B32, Input!$J$2:$J$500, 0),
       MATCH("Total Memory", Input!$D$1:$AC$1, 0))</f>
        <v>#N/A</v>
      </c>
      <c r="L32" s="42" t="e">
        <f>INDEX(Input!$D$2:$AC$500,
       MATCH(B32, Input!$J$2:$J$500, 0),
       MATCH("Memory Type", Input!$D$1:$AC$1, 0))</f>
        <v>#N/A</v>
      </c>
      <c r="M32" s="42" t="str" cm="1">
        <f t="array" ref="M32">IFERROR(_xlfn.FILTERXML("&lt;t&gt;&lt;s&gt;" &amp; SUBSTITUTE(L32," / ","&lt;/s&gt;&lt;s&gt;") &amp; "&lt;/s&gt;&lt;/t&gt;","(//s[contains(.,'DDR')])[1]"),"")</f>
        <v/>
      </c>
      <c r="N32" s="32" t="e">
        <f t="shared" si="2"/>
        <v>#N/A</v>
      </c>
      <c r="O32" s="42" t="e">
        <f>INDEX(Input!$D$2:$AC$500,
       MATCH(B32, Input!$J$2:$J$500, 0),
       MATCH("Disk Interface Type", Input!$D$1:$AC$1, 0))</f>
        <v>#N/A</v>
      </c>
      <c r="P32" s="42" t="str" cm="1">
        <f t="array" ref="P32">IFERROR(_xlfn.TEXTJOIN(", ", TRUE, _xlfn._xlws.FILTER(
    INDEX(Input!$D$2:$AC$500,,MATCH("Disk Capacity",Input!$D$1:$AC$1,0)),
    Input!$J$2:$J$500=B32
)), "")</f>
        <v/>
      </c>
      <c r="Q32" s="32" t="e">
        <f t="shared" si="1"/>
        <v>#N/A</v>
      </c>
      <c r="R32" s="42" t="e">
        <f>_xlfn.LET(_xlpm.Result,INDEX(Input!$D$2:$AC$500,
       MATCH(B32, Input!$J$2:$J$500, 0),
       MATCH("Capacity", Input!$D$1:$AC$1, 0)),IF(_xlpm.Result="","",_xlpm.Result))</f>
        <v>#N/A</v>
      </c>
      <c r="S32" s="42" t="e" cm="1">
        <f t="array" ref="S32">_xlfn.TEXTSPLIT(R32," / ", ,TRUE,0,)</f>
        <v>#N/A</v>
      </c>
      <c r="T32" s="42"/>
      <c r="U32" s="42" t="str" cm="1">
        <f t="array" ref="U32">IFERROR(_xlfn.IFS(
S32="","",
--S32&lt;55,"Battery Defect",
--S32&lt;=69,"Battery D",
--S32&lt;=80,"Battery C",
--S32&gt;80,""
),"")</f>
        <v/>
      </c>
      <c r="V32" s="42" t="str" cm="1">
        <f t="array" ref="V32">IFERROR(_xlfn.IFS(
T32="","",
--T32&lt;55,"Battery Defect",
--T32&lt;=69,"Battery D",
--T32&lt;=80,"Battery C",
--T32&gt;80,""
),"")</f>
        <v/>
      </c>
      <c r="W32" s="42" t="str" cm="1">
        <f t="array" ref="W32:AD32">IFERROR(IF(_xlfn.XLOOKUP(B32,Input!J:J,Input!N:U)=0,"",
          _xlfn.XLOOKUP(B32,Input!J:J,Input!N:U)),"")</f>
        <v/>
      </c>
      <c r="X32" s="42" t="str">
        <v/>
      </c>
      <c r="Y32" s="42" t="str">
        <v/>
      </c>
      <c r="Z32" s="42" t="str">
        <v/>
      </c>
      <c r="AA32" s="42" t="str">
        <v/>
      </c>
      <c r="AB32" s="42" t="str">
        <v/>
      </c>
      <c r="AC32" s="42" t="str">
        <v/>
      </c>
      <c r="AD32" s="42" t="str">
        <v/>
      </c>
      <c r="AE32" s="32" t="str">
        <f t="shared" si="0"/>
        <v/>
      </c>
      <c r="AF32" s="32" t="str">
        <f>_xlfn.XLOOKUP(B:B,Disk_Pivot!G:G,Disk_Pivot!I:I)</f>
        <v>Yes x2</v>
      </c>
      <c r="AG32" s="32" t="str">
        <f>_xlfn.XLOOKUP(B32,Disk_Pivot!G:G,Disk_Pivot!N:N)</f>
        <v>Pass, Fail</v>
      </c>
      <c r="AH32" s="32"/>
      <c r="AI32" s="32"/>
      <c r="AJ32" s="32"/>
      <c r="AK32" s="32"/>
      <c r="AL32" s="32"/>
      <c r="AM32" s="32"/>
    </row>
    <row r="33" spans="1:39">
      <c r="A33" s="32" t="str">
        <f>_xlfn.XLOOKUP(B33,Input!J:J,Input!G:G)&amp;""</f>
        <v/>
      </c>
      <c r="B33" s="32"/>
      <c r="C33" s="32" t="str">
        <f>_xlfn.XLOOKUP(B33,Input!J:J,Input!H:H)&amp;""</f>
        <v/>
      </c>
      <c r="D33" s="42">
        <f>_xlfn.XLOOKUP(B33,Input!J:J,Input!F:F)</f>
        <v>0</v>
      </c>
      <c r="E33" s="32">
        <f>_xlfn.XLOOKUP(D33,Models!H:H,Models!G:G,D33)</f>
        <v>0</v>
      </c>
      <c r="F33" s="32">
        <f>_xlfn.XLOOKUP(B33,Input!J:J,Input!E:E)</f>
        <v>0</v>
      </c>
      <c r="G33" s="32">
        <f>IF(F33="LENOVO",_xlfn.XLOOKUP(B33,Input!J:J,Input!K:K),_xlfn.XLOOKUP(B33,Input!J:J,Input!L:L))</f>
        <v>0</v>
      </c>
      <c r="H33" s="32"/>
      <c r="I33" s="32"/>
      <c r="J33" s="32">
        <f>_xlfn.XLOOKUP(B33,CPU_Formula!A:A,CPU_Formula!I:I)</f>
        <v>0</v>
      </c>
      <c r="K33" s="42" t="e">
        <f>INDEX(Input!$D$2:$AC$500,
       MATCH(B33, Input!$J$2:$J$500, 0),
       MATCH("Total Memory", Input!$D$1:$AC$1, 0))</f>
        <v>#N/A</v>
      </c>
      <c r="L33" s="42" t="e">
        <f>INDEX(Input!$D$2:$AC$500,
       MATCH(B33, Input!$J$2:$J$500, 0),
       MATCH("Memory Type", Input!$D$1:$AC$1, 0))</f>
        <v>#N/A</v>
      </c>
      <c r="M33" s="42" t="str" cm="1">
        <f t="array" ref="M33">IFERROR(_xlfn.FILTERXML("&lt;t&gt;&lt;s&gt;" &amp; SUBSTITUTE(L33," / ","&lt;/s&gt;&lt;s&gt;") &amp; "&lt;/s&gt;&lt;/t&gt;","(//s[contains(.,'DDR')])[1]"),"")</f>
        <v/>
      </c>
      <c r="N33" s="32" t="e">
        <f t="shared" si="2"/>
        <v>#N/A</v>
      </c>
      <c r="O33" s="42" t="e">
        <f>INDEX(Input!$D$2:$AC$500,
       MATCH(B33, Input!$J$2:$J$500, 0),
       MATCH("Disk Interface Type", Input!$D$1:$AC$1, 0))</f>
        <v>#N/A</v>
      </c>
      <c r="P33" s="42" t="str" cm="1">
        <f t="array" ref="P33">IFERROR(_xlfn.TEXTJOIN(", ", TRUE, _xlfn._xlws.FILTER(
    INDEX(Input!$D$2:$AC$500,,MATCH("Disk Capacity",Input!$D$1:$AC$1,0)),
    Input!$J$2:$J$500=B33
)), "")</f>
        <v/>
      </c>
      <c r="Q33" s="32" t="e">
        <f t="shared" si="1"/>
        <v>#N/A</v>
      </c>
      <c r="R33" s="42" t="e">
        <f>_xlfn.LET(_xlpm.Result,INDEX(Input!$D$2:$AC$500,
       MATCH(B33, Input!$J$2:$J$500, 0),
       MATCH("Capacity", Input!$D$1:$AC$1, 0)),IF(_xlpm.Result="","",_xlpm.Result))</f>
        <v>#N/A</v>
      </c>
      <c r="S33" s="42" t="e" cm="1">
        <f t="array" ref="S33">_xlfn.TEXTSPLIT(R33," / ", ,TRUE,0,)</f>
        <v>#N/A</v>
      </c>
      <c r="T33" s="42"/>
      <c r="U33" s="42" t="str" cm="1">
        <f t="array" ref="U33">IFERROR(_xlfn.IFS(
S33="","",
--S33&lt;55,"Battery Defect",
--S33&lt;=69,"Battery D",
--S33&lt;=80,"Battery C",
--S33&gt;80,""
),"")</f>
        <v/>
      </c>
      <c r="V33" s="42" t="str" cm="1">
        <f t="array" ref="V33">IFERROR(_xlfn.IFS(
T33="","",
--T33&lt;55,"Battery Defect",
--T33&lt;=69,"Battery D",
--T33&lt;=80,"Battery C",
--T33&gt;80,""
),"")</f>
        <v/>
      </c>
      <c r="W33" s="42" t="str" cm="1">
        <f t="array" ref="W33:AD33">IFERROR(IF(_xlfn.XLOOKUP(B33,Input!J:J,Input!N:U)=0,"",
          _xlfn.XLOOKUP(B33,Input!J:J,Input!N:U)),"")</f>
        <v/>
      </c>
      <c r="X33" s="42" t="str">
        <v/>
      </c>
      <c r="Y33" s="42" t="str">
        <v/>
      </c>
      <c r="Z33" s="42" t="str">
        <v/>
      </c>
      <c r="AA33" s="42" t="str">
        <v/>
      </c>
      <c r="AB33" s="42" t="str">
        <v/>
      </c>
      <c r="AC33" s="42" t="str">
        <v/>
      </c>
      <c r="AD33" s="42" t="str">
        <v/>
      </c>
      <c r="AE33" s="32" t="str">
        <f t="shared" si="0"/>
        <v/>
      </c>
      <c r="AF33" s="32" t="str">
        <f>_xlfn.XLOOKUP(B:B,Disk_Pivot!G:G,Disk_Pivot!I:I)</f>
        <v>Yes x2</v>
      </c>
      <c r="AG33" s="32" t="str">
        <f>_xlfn.XLOOKUP(B33,Disk_Pivot!G:G,Disk_Pivot!N:N)</f>
        <v>Pass, Fail</v>
      </c>
      <c r="AH33" s="32"/>
      <c r="AI33" s="32"/>
      <c r="AJ33" s="32"/>
      <c r="AK33" s="32"/>
      <c r="AL33" s="32"/>
      <c r="AM33" s="32"/>
    </row>
    <row r="34" spans="1:39">
      <c r="A34" s="32" t="str">
        <f>_xlfn.XLOOKUP(B34,Input!J:J,Input!G:G)&amp;""</f>
        <v/>
      </c>
      <c r="B34" s="32"/>
      <c r="C34" s="32" t="str">
        <f>_xlfn.XLOOKUP(B34,Input!J:J,Input!H:H)&amp;""</f>
        <v/>
      </c>
      <c r="D34" s="42">
        <f>_xlfn.XLOOKUP(B34,Input!J:J,Input!F:F)</f>
        <v>0</v>
      </c>
      <c r="E34" s="32">
        <f>_xlfn.XLOOKUP(D34,Models!H:H,Models!G:G,D34)</f>
        <v>0</v>
      </c>
      <c r="F34" s="32">
        <f>_xlfn.XLOOKUP(B34,Input!J:J,Input!E:E)</f>
        <v>0</v>
      </c>
      <c r="G34" s="32">
        <f>IF(F34="LENOVO",_xlfn.XLOOKUP(B34,Input!J:J,Input!K:K),_xlfn.XLOOKUP(B34,Input!J:J,Input!L:L))</f>
        <v>0</v>
      </c>
      <c r="H34" s="32"/>
      <c r="I34" s="32"/>
      <c r="J34" s="32">
        <f>_xlfn.XLOOKUP(B34,CPU_Formula!A:A,CPU_Formula!I:I)</f>
        <v>0</v>
      </c>
      <c r="K34" s="42" t="e">
        <f>INDEX(Input!$D$2:$AC$500,
       MATCH(B34, Input!$J$2:$J$500, 0),
       MATCH("Total Memory", Input!$D$1:$AC$1, 0))</f>
        <v>#N/A</v>
      </c>
      <c r="L34" s="42" t="e">
        <f>INDEX(Input!$D$2:$AC$500,
       MATCH(B34, Input!$J$2:$J$500, 0),
       MATCH("Memory Type", Input!$D$1:$AC$1, 0))</f>
        <v>#N/A</v>
      </c>
      <c r="M34" s="42" t="str" cm="1">
        <f t="array" ref="M34">IFERROR(_xlfn.FILTERXML("&lt;t&gt;&lt;s&gt;" &amp; SUBSTITUTE(L34," / ","&lt;/s&gt;&lt;s&gt;") &amp; "&lt;/s&gt;&lt;/t&gt;","(//s[contains(.,'DDR')])[1]"),"")</f>
        <v/>
      </c>
      <c r="N34" s="32" t="e">
        <f t="shared" si="2"/>
        <v>#N/A</v>
      </c>
      <c r="O34" s="42" t="e">
        <f>INDEX(Input!$D$2:$AC$500,
       MATCH(B34, Input!$J$2:$J$500, 0),
       MATCH("Disk Interface Type", Input!$D$1:$AC$1, 0))</f>
        <v>#N/A</v>
      </c>
      <c r="P34" s="42" t="str" cm="1">
        <f t="array" ref="P34">IFERROR(_xlfn.TEXTJOIN(", ", TRUE, _xlfn._xlws.FILTER(
    INDEX(Input!$D$2:$AC$500,,MATCH("Disk Capacity",Input!$D$1:$AC$1,0)),
    Input!$J$2:$J$500=B34
)), "")</f>
        <v/>
      </c>
      <c r="Q34" s="32" t="e">
        <f t="shared" si="1"/>
        <v>#N/A</v>
      </c>
      <c r="R34" s="42" t="e">
        <f>_xlfn.LET(_xlpm.Result,INDEX(Input!$D$2:$AC$500,
       MATCH(B34, Input!$J$2:$J$500, 0),
       MATCH("Capacity", Input!$D$1:$AC$1, 0)),IF(_xlpm.Result="","",_xlpm.Result))</f>
        <v>#N/A</v>
      </c>
      <c r="S34" s="42" t="e" cm="1">
        <f t="array" ref="S34">_xlfn.TEXTSPLIT(R34," / ", ,TRUE,0,)</f>
        <v>#N/A</v>
      </c>
      <c r="T34" s="42"/>
      <c r="U34" s="42" t="str" cm="1">
        <f t="array" ref="U34">IFERROR(_xlfn.IFS(
S34="","",
--S34&lt;55,"Battery Defect",
--S34&lt;=69,"Battery D",
--S34&lt;=80,"Battery C",
--S34&gt;80,""
),"")</f>
        <v/>
      </c>
      <c r="V34" s="42" t="str" cm="1">
        <f t="array" ref="V34">IFERROR(_xlfn.IFS(
T34="","",
--T34&lt;55,"Battery Defect",
--T34&lt;=69,"Battery D",
--T34&lt;=80,"Battery C",
--T34&gt;80,""
),"")</f>
        <v/>
      </c>
      <c r="W34" s="42" t="str" cm="1">
        <f t="array" ref="W34:AD34">IFERROR(IF(_xlfn.XLOOKUP(B34,Input!J:J,Input!N:U)=0,"",
          _xlfn.XLOOKUP(B34,Input!J:J,Input!N:U)),"")</f>
        <v/>
      </c>
      <c r="X34" s="42" t="str">
        <v/>
      </c>
      <c r="Y34" s="42" t="str">
        <v/>
      </c>
      <c r="Z34" s="42" t="str">
        <v/>
      </c>
      <c r="AA34" s="42" t="str">
        <v/>
      </c>
      <c r="AB34" s="42" t="str">
        <v/>
      </c>
      <c r="AC34" s="42" t="str">
        <v/>
      </c>
      <c r="AD34" s="42" t="str">
        <v/>
      </c>
      <c r="AE34" s="32" t="str">
        <f t="shared" si="0"/>
        <v/>
      </c>
      <c r="AF34" s="32" t="str">
        <f>_xlfn.XLOOKUP(B:B,Disk_Pivot!G:G,Disk_Pivot!I:I)</f>
        <v>Yes x2</v>
      </c>
      <c r="AG34" s="32" t="str">
        <f>_xlfn.XLOOKUP(B34,Disk_Pivot!G:G,Disk_Pivot!N:N)</f>
        <v>Pass, Fail</v>
      </c>
      <c r="AH34" s="32"/>
      <c r="AI34" s="32"/>
      <c r="AJ34" s="32"/>
      <c r="AK34" s="32"/>
      <c r="AL34" s="32"/>
      <c r="AM34" s="32"/>
    </row>
    <row r="35" spans="1:39">
      <c r="A35" s="32" t="str">
        <f>_xlfn.XLOOKUP(B35,Input!J:J,Input!G:G)&amp;""</f>
        <v/>
      </c>
      <c r="B35" s="32"/>
      <c r="C35" s="32" t="str">
        <f>_xlfn.XLOOKUP(B35,Input!J:J,Input!H:H)&amp;""</f>
        <v/>
      </c>
      <c r="D35" s="42">
        <f>_xlfn.XLOOKUP(B35,Input!J:J,Input!F:F)</f>
        <v>0</v>
      </c>
      <c r="E35" s="32">
        <f>_xlfn.XLOOKUP(D35,Models!H:H,Models!G:G,D35)</f>
        <v>0</v>
      </c>
      <c r="F35" s="32">
        <f>_xlfn.XLOOKUP(B35,Input!J:J,Input!E:E)</f>
        <v>0</v>
      </c>
      <c r="G35" s="32">
        <f>IF(F35="LENOVO",_xlfn.XLOOKUP(B35,Input!J:J,Input!K:K),_xlfn.XLOOKUP(B35,Input!J:J,Input!L:L))</f>
        <v>0</v>
      </c>
      <c r="H35" s="32"/>
      <c r="I35" s="32"/>
      <c r="J35" s="32">
        <f>_xlfn.XLOOKUP(B35,CPU_Formula!A:A,CPU_Formula!I:I)</f>
        <v>0</v>
      </c>
      <c r="K35" s="42" t="e">
        <f>INDEX(Input!$D$2:$AC$500,
       MATCH(B35, Input!$J$2:$J$500, 0),
       MATCH("Total Memory", Input!$D$1:$AC$1, 0))</f>
        <v>#N/A</v>
      </c>
      <c r="L35" s="42" t="e">
        <f>INDEX(Input!$D$2:$AC$500,
       MATCH(B35, Input!$J$2:$J$500, 0),
       MATCH("Memory Type", Input!$D$1:$AC$1, 0))</f>
        <v>#N/A</v>
      </c>
      <c r="M35" s="42" t="str" cm="1">
        <f t="array" ref="M35">IFERROR(_xlfn.FILTERXML("&lt;t&gt;&lt;s&gt;" &amp; SUBSTITUTE(L35," / ","&lt;/s&gt;&lt;s&gt;") &amp; "&lt;/s&gt;&lt;/t&gt;","(//s[contains(.,'DDR')])[1]"),"")</f>
        <v/>
      </c>
      <c r="N35" s="32" t="e">
        <f t="shared" si="2"/>
        <v>#N/A</v>
      </c>
      <c r="O35" s="42" t="e">
        <f>INDEX(Input!$D$2:$AC$500,
       MATCH(B35, Input!$J$2:$J$500, 0),
       MATCH("Disk Interface Type", Input!$D$1:$AC$1, 0))</f>
        <v>#N/A</v>
      </c>
      <c r="P35" s="42" t="str" cm="1">
        <f t="array" ref="P35">IFERROR(_xlfn.TEXTJOIN(", ", TRUE, _xlfn._xlws.FILTER(
    INDEX(Input!$D$2:$AC$500,,MATCH("Disk Capacity",Input!$D$1:$AC$1,0)),
    Input!$J$2:$J$500=B35
)), "")</f>
        <v/>
      </c>
      <c r="Q35" s="32" t="e">
        <f t="shared" si="1"/>
        <v>#N/A</v>
      </c>
      <c r="R35" s="42" t="e">
        <f>_xlfn.LET(_xlpm.Result,INDEX(Input!$D$2:$AC$500,
       MATCH(B35, Input!$J$2:$J$500, 0),
       MATCH("Capacity", Input!$D$1:$AC$1, 0)),IF(_xlpm.Result="","",_xlpm.Result))</f>
        <v>#N/A</v>
      </c>
      <c r="S35" s="42" t="e" cm="1">
        <f t="array" ref="S35">_xlfn.TEXTSPLIT(R35," / ", ,TRUE,0,)</f>
        <v>#N/A</v>
      </c>
      <c r="T35" s="42"/>
      <c r="U35" s="42" t="str" cm="1">
        <f t="array" ref="U35">IFERROR(_xlfn.IFS(
S35="","",
--S35&lt;55,"Battery Defect",
--S35&lt;=69,"Battery D",
--S35&lt;=80,"Battery C",
--S35&gt;80,""
),"")</f>
        <v/>
      </c>
      <c r="V35" s="42" t="str" cm="1">
        <f t="array" ref="V35">IFERROR(_xlfn.IFS(
T35="","",
--T35&lt;55,"Battery Defect",
--T35&lt;=69,"Battery D",
--T35&lt;=80,"Battery C",
--T35&gt;80,""
),"")</f>
        <v/>
      </c>
      <c r="W35" s="42" t="str" cm="1">
        <f t="array" ref="W35:AD35">IFERROR(IF(_xlfn.XLOOKUP(B35,Input!J:J,Input!N:U)=0,"",
          _xlfn.XLOOKUP(B35,Input!J:J,Input!N:U)),"")</f>
        <v/>
      </c>
      <c r="X35" s="42" t="str">
        <v/>
      </c>
      <c r="Y35" s="42" t="str">
        <v/>
      </c>
      <c r="Z35" s="42" t="str">
        <v/>
      </c>
      <c r="AA35" s="42" t="str">
        <v/>
      </c>
      <c r="AB35" s="42" t="str">
        <v/>
      </c>
      <c r="AC35" s="42" t="str">
        <v/>
      </c>
      <c r="AD35" s="42" t="str">
        <v/>
      </c>
      <c r="AE35" s="32" t="str">
        <f t="shared" si="0"/>
        <v/>
      </c>
      <c r="AF35" s="32" t="str">
        <f>_xlfn.XLOOKUP(B:B,Disk_Pivot!G:G,Disk_Pivot!I:I)</f>
        <v>Yes x2</v>
      </c>
      <c r="AG35" s="32" t="str">
        <f>_xlfn.XLOOKUP(B35,Disk_Pivot!G:G,Disk_Pivot!N:N)</f>
        <v>Pass, Fail</v>
      </c>
      <c r="AH35" s="32"/>
      <c r="AI35" s="32"/>
      <c r="AJ35" s="32"/>
      <c r="AK35" s="32"/>
      <c r="AL35" s="32"/>
      <c r="AM35" s="32"/>
    </row>
    <row r="36" spans="1:39">
      <c r="A36" s="32" t="str">
        <f>_xlfn.XLOOKUP(B36,Input!J:J,Input!G:G)&amp;""</f>
        <v/>
      </c>
      <c r="B36" s="32"/>
      <c r="C36" s="32" t="str">
        <f>_xlfn.XLOOKUP(B36,Input!J:J,Input!H:H)&amp;""</f>
        <v/>
      </c>
      <c r="D36" s="42">
        <f>_xlfn.XLOOKUP(B36,Input!J:J,Input!F:F)</f>
        <v>0</v>
      </c>
      <c r="E36" s="32">
        <f>_xlfn.XLOOKUP(D36,Models!H:H,Models!G:G,D36)</f>
        <v>0</v>
      </c>
      <c r="F36" s="32">
        <f>_xlfn.XLOOKUP(B36,Input!J:J,Input!E:E)</f>
        <v>0</v>
      </c>
      <c r="G36" s="32">
        <f>IF(F36="LENOVO",_xlfn.XLOOKUP(B36,Input!J:J,Input!K:K),_xlfn.XLOOKUP(B36,Input!J:J,Input!L:L))</f>
        <v>0</v>
      </c>
      <c r="H36" s="32"/>
      <c r="I36" s="32"/>
      <c r="J36" s="32">
        <f>_xlfn.XLOOKUP(B36,CPU_Formula!A:A,CPU_Formula!I:I)</f>
        <v>0</v>
      </c>
      <c r="K36" s="42" t="e">
        <f>INDEX(Input!$D$2:$AC$500,
       MATCH(B36, Input!$J$2:$J$500, 0),
       MATCH("Total Memory", Input!$D$1:$AC$1, 0))</f>
        <v>#N/A</v>
      </c>
      <c r="L36" s="42" t="e">
        <f>INDEX(Input!$D$2:$AC$500,
       MATCH(B36, Input!$J$2:$J$500, 0),
       MATCH("Memory Type", Input!$D$1:$AC$1, 0))</f>
        <v>#N/A</v>
      </c>
      <c r="M36" s="42" t="str" cm="1">
        <f t="array" ref="M36">IFERROR(_xlfn.FILTERXML("&lt;t&gt;&lt;s&gt;" &amp; SUBSTITUTE(L36," / ","&lt;/s&gt;&lt;s&gt;") &amp; "&lt;/s&gt;&lt;/t&gt;","(//s[contains(.,'DDR')])[1]"),"")</f>
        <v/>
      </c>
      <c r="N36" s="32" t="e">
        <f t="shared" si="2"/>
        <v>#N/A</v>
      </c>
      <c r="O36" s="42" t="e">
        <f>INDEX(Input!$D$2:$AC$500,
       MATCH(B36, Input!$J$2:$J$500, 0),
       MATCH("Disk Interface Type", Input!$D$1:$AC$1, 0))</f>
        <v>#N/A</v>
      </c>
      <c r="P36" s="42" t="str" cm="1">
        <f t="array" ref="P36">IFERROR(_xlfn.TEXTJOIN(", ", TRUE, _xlfn._xlws.FILTER(
    INDEX(Input!$D$2:$AC$500,,MATCH("Disk Capacity",Input!$D$1:$AC$1,0)),
    Input!$J$2:$J$500=B36
)), "")</f>
        <v/>
      </c>
      <c r="Q36" s="32" t="e">
        <f t="shared" si="1"/>
        <v>#N/A</v>
      </c>
      <c r="R36" s="42" t="e">
        <f>_xlfn.LET(_xlpm.Result,INDEX(Input!$D$2:$AC$500,
       MATCH(B36, Input!$J$2:$J$500, 0),
       MATCH("Capacity", Input!$D$1:$AC$1, 0)),IF(_xlpm.Result="","",_xlpm.Result))</f>
        <v>#N/A</v>
      </c>
      <c r="S36" s="42" t="e" cm="1">
        <f t="array" ref="S36">_xlfn.TEXTSPLIT(R36," / ", ,TRUE,0,)</f>
        <v>#N/A</v>
      </c>
      <c r="T36" s="42"/>
      <c r="U36" s="42" t="str" cm="1">
        <f t="array" ref="U36">IFERROR(_xlfn.IFS(
S36="","",
--S36&lt;55,"Battery Defect",
--S36&lt;=69,"Battery D",
--S36&lt;=80,"Battery C",
--S36&gt;80,""
),"")</f>
        <v/>
      </c>
      <c r="V36" s="42" t="str" cm="1">
        <f t="array" ref="V36">IFERROR(_xlfn.IFS(
T36="","",
--T36&lt;55,"Battery Defect",
--T36&lt;=69,"Battery D",
--T36&lt;=80,"Battery C",
--T36&gt;80,""
),"")</f>
        <v/>
      </c>
      <c r="W36" s="42" t="str" cm="1">
        <f t="array" ref="W36:AD36">IFERROR(IF(_xlfn.XLOOKUP(B36,Input!J:J,Input!N:U)=0,"",
          _xlfn.XLOOKUP(B36,Input!J:J,Input!N:U)),"")</f>
        <v/>
      </c>
      <c r="X36" s="42" t="str">
        <v/>
      </c>
      <c r="Y36" s="42" t="str">
        <v/>
      </c>
      <c r="Z36" s="42" t="str">
        <v/>
      </c>
      <c r="AA36" s="42" t="str">
        <v/>
      </c>
      <c r="AB36" s="42" t="str">
        <v/>
      </c>
      <c r="AC36" s="42" t="str">
        <v/>
      </c>
      <c r="AD36" s="42" t="str">
        <v/>
      </c>
      <c r="AE36" s="32" t="str">
        <f t="shared" si="0"/>
        <v/>
      </c>
      <c r="AF36" s="32" t="str">
        <f>_xlfn.XLOOKUP(B:B,Disk_Pivot!G:G,Disk_Pivot!I:I)</f>
        <v>Yes x2</v>
      </c>
      <c r="AG36" s="32" t="str">
        <f>_xlfn.XLOOKUP(B36,Disk_Pivot!G:G,Disk_Pivot!N:N)</f>
        <v>Pass, Fail</v>
      </c>
      <c r="AH36" s="32"/>
      <c r="AI36" s="32"/>
      <c r="AJ36" s="32"/>
      <c r="AK36" s="32"/>
      <c r="AL36" s="32"/>
      <c r="AM36" s="32"/>
    </row>
    <row r="37" spans="1:39">
      <c r="A37" s="32" t="str">
        <f>_xlfn.XLOOKUP(B37,Input!J:J,Input!G:G)&amp;""</f>
        <v/>
      </c>
      <c r="B37" s="32"/>
      <c r="C37" s="32" t="str">
        <f>_xlfn.XLOOKUP(B37,Input!J:J,Input!H:H)&amp;""</f>
        <v/>
      </c>
      <c r="D37" s="42">
        <f>_xlfn.XLOOKUP(B37,Input!J:J,Input!F:F)</f>
        <v>0</v>
      </c>
      <c r="E37" s="32">
        <f>_xlfn.XLOOKUP(D37,Models!H:H,Models!G:G,D37)</f>
        <v>0</v>
      </c>
      <c r="F37" s="32">
        <f>_xlfn.XLOOKUP(B37,Input!J:J,Input!E:E)</f>
        <v>0</v>
      </c>
      <c r="G37" s="32">
        <f>IF(F37="LENOVO",_xlfn.XLOOKUP(B37,Input!J:J,Input!K:K),_xlfn.XLOOKUP(B37,Input!J:J,Input!L:L))</f>
        <v>0</v>
      </c>
      <c r="H37" s="32"/>
      <c r="I37" s="32"/>
      <c r="J37" s="32">
        <f>_xlfn.XLOOKUP(B37,CPU_Formula!A:A,CPU_Formula!I:I)</f>
        <v>0</v>
      </c>
      <c r="K37" s="42" t="e">
        <f>INDEX(Input!$D$2:$AC$500,
       MATCH(B37, Input!$J$2:$J$500, 0),
       MATCH("Total Memory", Input!$D$1:$AC$1, 0))</f>
        <v>#N/A</v>
      </c>
      <c r="L37" s="42" t="e">
        <f>INDEX(Input!$D$2:$AC$500,
       MATCH(B37, Input!$J$2:$J$500, 0),
       MATCH("Memory Type", Input!$D$1:$AC$1, 0))</f>
        <v>#N/A</v>
      </c>
      <c r="M37" s="42" t="str" cm="1">
        <f t="array" ref="M37">IFERROR(_xlfn.FILTERXML("&lt;t&gt;&lt;s&gt;" &amp; SUBSTITUTE(L37," / ","&lt;/s&gt;&lt;s&gt;") &amp; "&lt;/s&gt;&lt;/t&gt;","(//s[contains(.,'DDR')])[1]"),"")</f>
        <v/>
      </c>
      <c r="N37" s="32" t="e">
        <f t="shared" si="2"/>
        <v>#N/A</v>
      </c>
      <c r="O37" s="42" t="e">
        <f>INDEX(Input!$D$2:$AC$500,
       MATCH(B37, Input!$J$2:$J$500, 0),
       MATCH("Disk Interface Type", Input!$D$1:$AC$1, 0))</f>
        <v>#N/A</v>
      </c>
      <c r="P37" s="42" t="str" cm="1">
        <f t="array" ref="P37">IFERROR(_xlfn.TEXTJOIN(", ", TRUE, _xlfn._xlws.FILTER(
    INDEX(Input!$D$2:$AC$500,,MATCH("Disk Capacity",Input!$D$1:$AC$1,0)),
    Input!$J$2:$J$500=B37
)), "")</f>
        <v/>
      </c>
      <c r="Q37" s="32" t="e">
        <f t="shared" si="1"/>
        <v>#N/A</v>
      </c>
      <c r="R37" s="42" t="e">
        <f>_xlfn.LET(_xlpm.Result,INDEX(Input!$D$2:$AC$500,
       MATCH(B37, Input!$J$2:$J$500, 0),
       MATCH("Capacity", Input!$D$1:$AC$1, 0)),IF(_xlpm.Result="","",_xlpm.Result))</f>
        <v>#N/A</v>
      </c>
      <c r="S37" s="42" t="e" cm="1">
        <f t="array" ref="S37">_xlfn.TEXTSPLIT(R37," / ", ,TRUE,0,)</f>
        <v>#N/A</v>
      </c>
      <c r="T37" s="42"/>
      <c r="U37" s="42" t="str" cm="1">
        <f t="array" ref="U37">IFERROR(_xlfn.IFS(
S37="","",
--S37&lt;55,"Battery Defect",
--S37&lt;=69,"Battery D",
--S37&lt;=80,"Battery C",
--S37&gt;80,""
),"")</f>
        <v/>
      </c>
      <c r="V37" s="42" t="str" cm="1">
        <f t="array" ref="V37">IFERROR(_xlfn.IFS(
T37="","",
--T37&lt;55,"Battery Defect",
--T37&lt;=69,"Battery D",
--T37&lt;=80,"Battery C",
--T37&gt;80,""
),"")</f>
        <v/>
      </c>
      <c r="W37" s="42" t="str" cm="1">
        <f t="array" ref="W37:AD37">IFERROR(IF(_xlfn.XLOOKUP(B37,Input!J:J,Input!N:U)=0,"",
          _xlfn.XLOOKUP(B37,Input!J:J,Input!N:U)),"")</f>
        <v/>
      </c>
      <c r="X37" s="42" t="str">
        <v/>
      </c>
      <c r="Y37" s="42" t="str">
        <v/>
      </c>
      <c r="Z37" s="42" t="str">
        <v/>
      </c>
      <c r="AA37" s="42" t="str">
        <v/>
      </c>
      <c r="AB37" s="42" t="str">
        <v/>
      </c>
      <c r="AC37" s="42" t="str">
        <v/>
      </c>
      <c r="AD37" s="42" t="str">
        <v/>
      </c>
      <c r="AE37" s="32" t="str">
        <f t="shared" si="0"/>
        <v/>
      </c>
      <c r="AF37" s="32" t="str">
        <f>_xlfn.XLOOKUP(B:B,Disk_Pivot!G:G,Disk_Pivot!I:I)</f>
        <v>Yes x2</v>
      </c>
      <c r="AG37" s="32" t="str">
        <f>_xlfn.XLOOKUP(B37,Disk_Pivot!G:G,Disk_Pivot!N:N)</f>
        <v>Pass, Fail</v>
      </c>
      <c r="AH37" s="32"/>
      <c r="AI37" s="32"/>
      <c r="AJ37" s="32"/>
      <c r="AK37" s="32"/>
      <c r="AL37" s="32"/>
      <c r="AM37" s="32"/>
    </row>
    <row r="38" spans="1:39">
      <c r="A38" s="32" t="str">
        <f>_xlfn.XLOOKUP(B38,Input!J:J,Input!G:G)&amp;""</f>
        <v/>
      </c>
      <c r="B38" s="32"/>
      <c r="C38" s="32" t="str">
        <f>_xlfn.XLOOKUP(B38,Input!J:J,Input!H:H)&amp;""</f>
        <v/>
      </c>
      <c r="D38" s="42">
        <f>_xlfn.XLOOKUP(B38,Input!J:J,Input!F:F)</f>
        <v>0</v>
      </c>
      <c r="E38" s="32">
        <f>_xlfn.XLOOKUP(D38,Models!H:H,Models!G:G,D38)</f>
        <v>0</v>
      </c>
      <c r="F38" s="32">
        <f>_xlfn.XLOOKUP(B38,Input!J:J,Input!E:E)</f>
        <v>0</v>
      </c>
      <c r="G38" s="32">
        <f>IF(F38="LENOVO",_xlfn.XLOOKUP(B38,Input!J:J,Input!K:K),_xlfn.XLOOKUP(B38,Input!J:J,Input!L:L))</f>
        <v>0</v>
      </c>
      <c r="H38" s="32"/>
      <c r="I38" s="32"/>
      <c r="J38" s="32">
        <f>_xlfn.XLOOKUP(B38,CPU_Formula!A:A,CPU_Formula!I:I)</f>
        <v>0</v>
      </c>
      <c r="K38" s="42" t="e">
        <f>INDEX(Input!$D$2:$AC$500,
       MATCH(B38, Input!$J$2:$J$500, 0),
       MATCH("Total Memory", Input!$D$1:$AC$1, 0))</f>
        <v>#N/A</v>
      </c>
      <c r="L38" s="42" t="e">
        <f>INDEX(Input!$D$2:$AC$500,
       MATCH(B38, Input!$J$2:$J$500, 0),
       MATCH("Memory Type", Input!$D$1:$AC$1, 0))</f>
        <v>#N/A</v>
      </c>
      <c r="M38" s="42" t="str" cm="1">
        <f t="array" ref="M38">IFERROR(_xlfn.FILTERXML("&lt;t&gt;&lt;s&gt;" &amp; SUBSTITUTE(L38," / ","&lt;/s&gt;&lt;s&gt;") &amp; "&lt;/s&gt;&lt;/t&gt;","(//s[contains(.,'DDR')])[1]"),"")</f>
        <v/>
      </c>
      <c r="N38" s="32" t="e">
        <f t="shared" si="2"/>
        <v>#N/A</v>
      </c>
      <c r="O38" s="42" t="e">
        <f>INDEX(Input!$D$2:$AC$500,
       MATCH(B38, Input!$J$2:$J$500, 0),
       MATCH("Disk Interface Type", Input!$D$1:$AC$1, 0))</f>
        <v>#N/A</v>
      </c>
      <c r="P38" s="42" t="str" cm="1">
        <f t="array" ref="P38">IFERROR(_xlfn.TEXTJOIN(", ", TRUE, _xlfn._xlws.FILTER(
    INDEX(Input!$D$2:$AC$500,,MATCH("Disk Capacity",Input!$D$1:$AC$1,0)),
    Input!$J$2:$J$500=B38
)), "")</f>
        <v/>
      </c>
      <c r="Q38" s="32" t="e">
        <f t="shared" si="1"/>
        <v>#N/A</v>
      </c>
      <c r="R38" s="42" t="e">
        <f>_xlfn.LET(_xlpm.Result,INDEX(Input!$D$2:$AC$500,
       MATCH(B38, Input!$J$2:$J$500, 0),
       MATCH("Capacity", Input!$D$1:$AC$1, 0)),IF(_xlpm.Result="","",_xlpm.Result))</f>
        <v>#N/A</v>
      </c>
      <c r="S38" s="42" t="e" cm="1">
        <f t="array" ref="S38">_xlfn.TEXTSPLIT(R38," / ", ,TRUE,0,)</f>
        <v>#N/A</v>
      </c>
      <c r="T38" s="42"/>
      <c r="U38" s="42" t="str" cm="1">
        <f t="array" ref="U38">IFERROR(_xlfn.IFS(
S38="","",
--S38&lt;55,"Battery Defect",
--S38&lt;=69,"Battery D",
--S38&lt;=80,"Battery C",
--S38&gt;80,""
),"")</f>
        <v/>
      </c>
      <c r="V38" s="42" t="str" cm="1">
        <f t="array" ref="V38">IFERROR(_xlfn.IFS(
T38="","",
--T38&lt;55,"Battery Defect",
--T38&lt;=69,"Battery D",
--T38&lt;=80,"Battery C",
--T38&gt;80,""
),"")</f>
        <v/>
      </c>
      <c r="W38" s="42" t="str" cm="1">
        <f t="array" ref="W38:AD38">IFERROR(IF(_xlfn.XLOOKUP(B38,Input!J:J,Input!N:U)=0,"",
          _xlfn.XLOOKUP(B38,Input!J:J,Input!N:U)),"")</f>
        <v/>
      </c>
      <c r="X38" s="42" t="str">
        <v/>
      </c>
      <c r="Y38" s="42" t="str">
        <v/>
      </c>
      <c r="Z38" s="42" t="str">
        <v/>
      </c>
      <c r="AA38" s="42" t="str">
        <v/>
      </c>
      <c r="AB38" s="42" t="str">
        <v/>
      </c>
      <c r="AC38" s="42" t="str">
        <v/>
      </c>
      <c r="AD38" s="42" t="str">
        <v/>
      </c>
      <c r="AE38" s="32" t="str">
        <f t="shared" si="0"/>
        <v/>
      </c>
      <c r="AF38" s="32" t="str">
        <f>_xlfn.XLOOKUP(B:B,Disk_Pivot!G:G,Disk_Pivot!I:I)</f>
        <v>Yes x2</v>
      </c>
      <c r="AG38" s="32" t="str">
        <f>_xlfn.XLOOKUP(B38,Disk_Pivot!G:G,Disk_Pivot!N:N)</f>
        <v>Pass, Fail</v>
      </c>
      <c r="AH38" s="32"/>
      <c r="AI38" s="32"/>
      <c r="AJ38" s="32"/>
      <c r="AK38" s="32"/>
      <c r="AL38" s="32"/>
      <c r="AM38" s="32"/>
    </row>
    <row r="39" spans="1:39">
      <c r="A39" s="32" t="str">
        <f>_xlfn.XLOOKUP(B39,Input!J:J,Input!G:G)&amp;""</f>
        <v/>
      </c>
      <c r="B39" s="32"/>
      <c r="C39" s="32" t="str">
        <f>_xlfn.XLOOKUP(B39,Input!J:J,Input!H:H)&amp;""</f>
        <v/>
      </c>
      <c r="D39" s="42">
        <f>_xlfn.XLOOKUP(B39,Input!J:J,Input!F:F)</f>
        <v>0</v>
      </c>
      <c r="E39" s="32">
        <f>_xlfn.XLOOKUP(D39,Models!H:H,Models!G:G,D39)</f>
        <v>0</v>
      </c>
      <c r="F39" s="32">
        <f>_xlfn.XLOOKUP(B39,Input!J:J,Input!E:E)</f>
        <v>0</v>
      </c>
      <c r="G39" s="32">
        <f>IF(F39="LENOVO",_xlfn.XLOOKUP(B39,Input!J:J,Input!K:K),_xlfn.XLOOKUP(B39,Input!J:J,Input!L:L))</f>
        <v>0</v>
      </c>
      <c r="H39" s="32"/>
      <c r="I39" s="32"/>
      <c r="J39" s="32">
        <f>_xlfn.XLOOKUP(B39,CPU_Formula!A:A,CPU_Formula!I:I)</f>
        <v>0</v>
      </c>
      <c r="K39" s="42" t="e">
        <f>INDEX(Input!$D$2:$AC$500,
       MATCH(B39, Input!$J$2:$J$500, 0),
       MATCH("Total Memory", Input!$D$1:$AC$1, 0))</f>
        <v>#N/A</v>
      </c>
      <c r="L39" s="42" t="e">
        <f>INDEX(Input!$D$2:$AC$500,
       MATCH(B39, Input!$J$2:$J$500, 0),
       MATCH("Memory Type", Input!$D$1:$AC$1, 0))</f>
        <v>#N/A</v>
      </c>
      <c r="M39" s="42" t="str" cm="1">
        <f t="array" ref="M39">IFERROR(_xlfn.FILTERXML("&lt;t&gt;&lt;s&gt;" &amp; SUBSTITUTE(L39," / ","&lt;/s&gt;&lt;s&gt;") &amp; "&lt;/s&gt;&lt;/t&gt;","(//s[contains(.,'DDR')])[1]"),"")</f>
        <v/>
      </c>
      <c r="N39" s="32" t="e">
        <f t="shared" si="2"/>
        <v>#N/A</v>
      </c>
      <c r="O39" s="42" t="e">
        <f>INDEX(Input!$D$2:$AC$500,
       MATCH(B39, Input!$J$2:$J$500, 0),
       MATCH("Disk Interface Type", Input!$D$1:$AC$1, 0))</f>
        <v>#N/A</v>
      </c>
      <c r="P39" s="42" t="str" cm="1">
        <f t="array" ref="P39">IFERROR(_xlfn.TEXTJOIN(", ", TRUE, _xlfn._xlws.FILTER(
    INDEX(Input!$D$2:$AC$500,,MATCH("Disk Capacity",Input!$D$1:$AC$1,0)),
    Input!$J$2:$J$500=B39
)), "")</f>
        <v/>
      </c>
      <c r="Q39" s="32" t="e">
        <f t="shared" si="1"/>
        <v>#N/A</v>
      </c>
      <c r="R39" s="42" t="e">
        <f>_xlfn.LET(_xlpm.Result,INDEX(Input!$D$2:$AC$500,
       MATCH(B39, Input!$J$2:$J$500, 0),
       MATCH("Capacity", Input!$D$1:$AC$1, 0)),IF(_xlpm.Result="","",_xlpm.Result))</f>
        <v>#N/A</v>
      </c>
      <c r="S39" s="42" t="e" cm="1">
        <f t="array" ref="S39">_xlfn.TEXTSPLIT(R39," / ", ,TRUE,0,)</f>
        <v>#N/A</v>
      </c>
      <c r="T39" s="42"/>
      <c r="U39" s="42" t="str" cm="1">
        <f t="array" ref="U39">IFERROR(_xlfn.IFS(
S39="","",
--S39&lt;55,"Battery Defect",
--S39&lt;=69,"Battery D",
--S39&lt;=80,"Battery C",
--S39&gt;80,""
),"")</f>
        <v/>
      </c>
      <c r="V39" s="42" t="str" cm="1">
        <f t="array" ref="V39">IFERROR(_xlfn.IFS(
T39="","",
--T39&lt;55,"Battery Defect",
--T39&lt;=69,"Battery D",
--T39&lt;=80,"Battery C",
--T39&gt;80,""
),"")</f>
        <v/>
      </c>
      <c r="W39" s="42" t="str" cm="1">
        <f t="array" ref="W39:AD39">IFERROR(IF(_xlfn.XLOOKUP(B39,Input!J:J,Input!N:U)=0,"",
          _xlfn.XLOOKUP(B39,Input!J:J,Input!N:U)),"")</f>
        <v/>
      </c>
      <c r="X39" s="42" t="str">
        <v/>
      </c>
      <c r="Y39" s="42" t="str">
        <v/>
      </c>
      <c r="Z39" s="42" t="str">
        <v/>
      </c>
      <c r="AA39" s="42" t="str">
        <v/>
      </c>
      <c r="AB39" s="42" t="str">
        <v/>
      </c>
      <c r="AC39" s="42" t="str">
        <v/>
      </c>
      <c r="AD39" s="42" t="str">
        <v/>
      </c>
      <c r="AE39" s="32" t="str">
        <f t="shared" si="0"/>
        <v/>
      </c>
      <c r="AF39" s="32" t="str">
        <f>_xlfn.XLOOKUP(B:B,Disk_Pivot!G:G,Disk_Pivot!I:I)</f>
        <v>Yes x2</v>
      </c>
      <c r="AG39" s="32" t="str">
        <f>_xlfn.XLOOKUP(B39,Disk_Pivot!G:G,Disk_Pivot!N:N)</f>
        <v>Pass, Fail</v>
      </c>
      <c r="AH39" s="32"/>
      <c r="AI39" s="32"/>
      <c r="AJ39" s="32"/>
      <c r="AK39" s="32"/>
      <c r="AL39" s="32"/>
      <c r="AM39" s="32"/>
    </row>
    <row r="40" spans="1:39">
      <c r="A40" s="32" t="str">
        <f>_xlfn.XLOOKUP(B40,Input!J:J,Input!G:G)&amp;""</f>
        <v/>
      </c>
      <c r="B40" s="32"/>
      <c r="C40" s="32" t="str">
        <f>_xlfn.XLOOKUP(B40,Input!J:J,Input!H:H)&amp;""</f>
        <v/>
      </c>
      <c r="D40" s="42">
        <f>_xlfn.XLOOKUP(B40,Input!J:J,Input!F:F)</f>
        <v>0</v>
      </c>
      <c r="E40" s="32">
        <f>_xlfn.XLOOKUP(D40,Models!H:H,Models!G:G,D40)</f>
        <v>0</v>
      </c>
      <c r="F40" s="32">
        <f>_xlfn.XLOOKUP(B40,Input!J:J,Input!E:E)</f>
        <v>0</v>
      </c>
      <c r="G40" s="32">
        <f>IF(F40="LENOVO",_xlfn.XLOOKUP(B40,Input!J:J,Input!K:K),_xlfn.XLOOKUP(B40,Input!J:J,Input!L:L))</f>
        <v>0</v>
      </c>
      <c r="H40" s="32"/>
      <c r="I40" s="32"/>
      <c r="J40" s="32">
        <f>_xlfn.XLOOKUP(B40,CPU_Formula!A:A,CPU_Formula!I:I)</f>
        <v>0</v>
      </c>
      <c r="K40" s="42" t="e">
        <f>INDEX(Input!$D$2:$AC$500,
       MATCH(B40, Input!$J$2:$J$500, 0),
       MATCH("Total Memory", Input!$D$1:$AC$1, 0))</f>
        <v>#N/A</v>
      </c>
      <c r="L40" s="42" t="e">
        <f>INDEX(Input!$D$2:$AC$500,
       MATCH(B40, Input!$J$2:$J$500, 0),
       MATCH("Memory Type", Input!$D$1:$AC$1, 0))</f>
        <v>#N/A</v>
      </c>
      <c r="M40" s="42" t="str" cm="1">
        <f t="array" ref="M40">IFERROR(_xlfn.FILTERXML("&lt;t&gt;&lt;s&gt;" &amp; SUBSTITUTE(L40," / ","&lt;/s&gt;&lt;s&gt;") &amp; "&lt;/s&gt;&lt;/t&gt;","(//s[contains(.,'DDR')])[1]"),"")</f>
        <v/>
      </c>
      <c r="N40" s="32" t="e">
        <f t="shared" si="2"/>
        <v>#N/A</v>
      </c>
      <c r="O40" s="42" t="e">
        <f>INDEX(Input!$D$2:$AC$500,
       MATCH(B40, Input!$J$2:$J$500, 0),
       MATCH("Disk Interface Type", Input!$D$1:$AC$1, 0))</f>
        <v>#N/A</v>
      </c>
      <c r="P40" s="42" t="str" cm="1">
        <f t="array" ref="P40">IFERROR(_xlfn.TEXTJOIN(", ", TRUE, _xlfn._xlws.FILTER(
    INDEX(Input!$D$2:$AC$500,,MATCH("Disk Capacity",Input!$D$1:$AC$1,0)),
    Input!$J$2:$J$500=B40
)), "")</f>
        <v/>
      </c>
      <c r="Q40" s="32" t="e">
        <f t="shared" si="1"/>
        <v>#N/A</v>
      </c>
      <c r="R40" s="42" t="e">
        <f>_xlfn.LET(_xlpm.Result,INDEX(Input!$D$2:$AC$500,
       MATCH(B40, Input!$J$2:$J$500, 0),
       MATCH("Capacity", Input!$D$1:$AC$1, 0)),IF(_xlpm.Result="","",_xlpm.Result))</f>
        <v>#N/A</v>
      </c>
      <c r="S40" s="42" t="e" cm="1">
        <f t="array" ref="S40">_xlfn.TEXTSPLIT(R40," / ", ,TRUE,0,)</f>
        <v>#N/A</v>
      </c>
      <c r="T40" s="42"/>
      <c r="U40" s="42" t="str" cm="1">
        <f t="array" ref="U40">IFERROR(_xlfn.IFS(
S40="","",
--S40&lt;55,"Battery Defect",
--S40&lt;=69,"Battery D",
--S40&lt;=80,"Battery C",
--S40&gt;80,""
),"")</f>
        <v/>
      </c>
      <c r="V40" s="42" t="str" cm="1">
        <f t="array" ref="V40">IFERROR(_xlfn.IFS(
T40="","",
--T40&lt;55,"Battery Defect",
--T40&lt;=69,"Battery D",
--T40&lt;=80,"Battery C",
--T40&gt;80,""
),"")</f>
        <v/>
      </c>
      <c r="W40" s="42" t="str" cm="1">
        <f t="array" ref="W40:AD40">IFERROR(IF(_xlfn.XLOOKUP(B40,Input!J:J,Input!N:U)=0,"",
          _xlfn.XLOOKUP(B40,Input!J:J,Input!N:U)),"")</f>
        <v/>
      </c>
      <c r="X40" s="42" t="str">
        <v/>
      </c>
      <c r="Y40" s="42" t="str">
        <v/>
      </c>
      <c r="Z40" s="42" t="str">
        <v/>
      </c>
      <c r="AA40" s="42" t="str">
        <v/>
      </c>
      <c r="AB40" s="42" t="str">
        <v/>
      </c>
      <c r="AC40" s="42" t="str">
        <v/>
      </c>
      <c r="AD40" s="42" t="str">
        <v/>
      </c>
      <c r="AE40" s="32" t="str">
        <f t="shared" si="0"/>
        <v/>
      </c>
      <c r="AF40" s="32" t="str">
        <f>_xlfn.XLOOKUP(B:B,Disk_Pivot!G:G,Disk_Pivot!I:I)</f>
        <v>Yes x2</v>
      </c>
      <c r="AG40" s="32" t="str">
        <f>_xlfn.XLOOKUP(B40,Disk_Pivot!G:G,Disk_Pivot!N:N)</f>
        <v>Pass, Fail</v>
      </c>
      <c r="AH40" s="32"/>
      <c r="AI40" s="32"/>
      <c r="AJ40" s="32"/>
      <c r="AK40" s="32"/>
      <c r="AL40" s="32"/>
      <c r="AM40" s="32"/>
    </row>
    <row r="41" spans="1:39">
      <c r="A41" s="32" t="str">
        <f>_xlfn.XLOOKUP(B41,Input!J:J,Input!G:G)&amp;""</f>
        <v/>
      </c>
      <c r="B41" s="32"/>
      <c r="C41" s="32" t="str">
        <f>_xlfn.XLOOKUP(B41,Input!J:J,Input!H:H)&amp;""</f>
        <v/>
      </c>
      <c r="D41" s="42">
        <f>_xlfn.XLOOKUP(B41,Input!J:J,Input!F:F)</f>
        <v>0</v>
      </c>
      <c r="E41" s="32">
        <f>_xlfn.XLOOKUP(D41,Models!H:H,Models!G:G,D41)</f>
        <v>0</v>
      </c>
      <c r="F41" s="32">
        <f>_xlfn.XLOOKUP(B41,Input!J:J,Input!E:E)</f>
        <v>0</v>
      </c>
      <c r="G41" s="32">
        <f>IF(F41="LENOVO",_xlfn.XLOOKUP(B41,Input!J:J,Input!K:K),_xlfn.XLOOKUP(B41,Input!J:J,Input!L:L))</f>
        <v>0</v>
      </c>
      <c r="H41" s="32"/>
      <c r="I41" s="32"/>
      <c r="J41" s="32">
        <f>_xlfn.XLOOKUP(B41,CPU_Formula!A:A,CPU_Formula!I:I)</f>
        <v>0</v>
      </c>
      <c r="K41" s="42" t="e">
        <f>INDEX(Input!$D$2:$AC$500,
       MATCH(B41, Input!$J$2:$J$500, 0),
       MATCH("Total Memory", Input!$D$1:$AC$1, 0))</f>
        <v>#N/A</v>
      </c>
      <c r="L41" s="42" t="e">
        <f>INDEX(Input!$D$2:$AC$500,
       MATCH(B41, Input!$J$2:$J$500, 0),
       MATCH("Memory Type", Input!$D$1:$AC$1, 0))</f>
        <v>#N/A</v>
      </c>
      <c r="M41" s="42" t="str" cm="1">
        <f t="array" ref="M41">IFERROR(_xlfn.FILTERXML("&lt;t&gt;&lt;s&gt;" &amp; SUBSTITUTE(L41," / ","&lt;/s&gt;&lt;s&gt;") &amp; "&lt;/s&gt;&lt;/t&gt;","(//s[contains(.,'DDR')])[1]"),"")</f>
        <v/>
      </c>
      <c r="N41" s="32" t="e">
        <f t="shared" si="2"/>
        <v>#N/A</v>
      </c>
      <c r="O41" s="42" t="e">
        <f>INDEX(Input!$D$2:$AC$500,
       MATCH(B41, Input!$J$2:$J$500, 0),
       MATCH("Disk Interface Type", Input!$D$1:$AC$1, 0))</f>
        <v>#N/A</v>
      </c>
      <c r="P41" s="42" t="str" cm="1">
        <f t="array" ref="P41">IFERROR(_xlfn.TEXTJOIN(", ", TRUE, _xlfn._xlws.FILTER(
    INDEX(Input!$D$2:$AC$500,,MATCH("Disk Capacity",Input!$D$1:$AC$1,0)),
    Input!$J$2:$J$500=B41
)), "")</f>
        <v/>
      </c>
      <c r="Q41" s="32" t="e">
        <f t="shared" si="1"/>
        <v>#N/A</v>
      </c>
      <c r="R41" s="42" t="e">
        <f>_xlfn.LET(_xlpm.Result,INDEX(Input!$D$2:$AC$500,
       MATCH(B41, Input!$J$2:$J$500, 0),
       MATCH("Capacity", Input!$D$1:$AC$1, 0)),IF(_xlpm.Result="","",_xlpm.Result))</f>
        <v>#N/A</v>
      </c>
      <c r="S41" s="42" t="e" cm="1">
        <f t="array" ref="S41">_xlfn.TEXTSPLIT(R41," / ", ,TRUE,0,)</f>
        <v>#N/A</v>
      </c>
      <c r="T41" s="42"/>
      <c r="U41" s="42" t="str" cm="1">
        <f t="array" ref="U41">IFERROR(_xlfn.IFS(
S41="","",
--S41&lt;55,"Battery Defect",
--S41&lt;=69,"Battery D",
--S41&lt;=80,"Battery C",
--S41&gt;80,""
),"")</f>
        <v/>
      </c>
      <c r="V41" s="42" t="str" cm="1">
        <f t="array" ref="V41">IFERROR(_xlfn.IFS(
T41="","",
--T41&lt;55,"Battery Defect",
--T41&lt;=69,"Battery D",
--T41&lt;=80,"Battery C",
--T41&gt;80,""
),"")</f>
        <v/>
      </c>
      <c r="W41" s="42" t="str" cm="1">
        <f t="array" ref="W41:AD41">IFERROR(IF(_xlfn.XLOOKUP(B41,Input!J:J,Input!N:U)=0,"",
          _xlfn.XLOOKUP(B41,Input!J:J,Input!N:U)),"")</f>
        <v/>
      </c>
      <c r="X41" s="42" t="str">
        <v/>
      </c>
      <c r="Y41" s="42" t="str">
        <v/>
      </c>
      <c r="Z41" s="42" t="str">
        <v/>
      </c>
      <c r="AA41" s="42" t="str">
        <v/>
      </c>
      <c r="AB41" s="42" t="str">
        <v/>
      </c>
      <c r="AC41" s="42" t="str">
        <v/>
      </c>
      <c r="AD41" s="42" t="str">
        <v/>
      </c>
      <c r="AE41" s="32" t="str">
        <f t="shared" si="0"/>
        <v/>
      </c>
      <c r="AF41" s="32" t="str">
        <f>_xlfn.XLOOKUP(B:B,Disk_Pivot!G:G,Disk_Pivot!I:I)</f>
        <v>Yes x2</v>
      </c>
      <c r="AG41" s="32" t="str">
        <f>_xlfn.XLOOKUP(B41,Disk_Pivot!G:G,Disk_Pivot!N:N)</f>
        <v>Pass, Fail</v>
      </c>
      <c r="AH41" s="32"/>
      <c r="AI41" s="32"/>
      <c r="AJ41" s="32"/>
      <c r="AK41" s="32"/>
      <c r="AL41" s="32"/>
      <c r="AM41" s="32"/>
    </row>
    <row r="42" spans="1:39">
      <c r="A42" s="32" t="str">
        <f>_xlfn.XLOOKUP(B42,Input!J:J,Input!G:G)&amp;""</f>
        <v/>
      </c>
      <c r="B42" s="32"/>
      <c r="C42" s="32" t="str">
        <f>_xlfn.XLOOKUP(B42,Input!J:J,Input!H:H)&amp;""</f>
        <v/>
      </c>
      <c r="D42" s="42">
        <f>_xlfn.XLOOKUP(B42,Input!J:J,Input!F:F)</f>
        <v>0</v>
      </c>
      <c r="E42" s="32">
        <f>_xlfn.XLOOKUP(D42,Models!H:H,Models!G:G,D42)</f>
        <v>0</v>
      </c>
      <c r="F42" s="32">
        <f>_xlfn.XLOOKUP(B42,Input!J:J,Input!E:E)</f>
        <v>0</v>
      </c>
      <c r="G42" s="32">
        <f>IF(F42="LENOVO",_xlfn.XLOOKUP(B42,Input!J:J,Input!K:K),_xlfn.XLOOKUP(B42,Input!J:J,Input!L:L))</f>
        <v>0</v>
      </c>
      <c r="H42" s="32"/>
      <c r="I42" s="32"/>
      <c r="J42" s="32">
        <f>_xlfn.XLOOKUP(B42,CPU_Formula!A:A,CPU_Formula!I:I)</f>
        <v>0</v>
      </c>
      <c r="K42" s="42" t="e">
        <f>INDEX(Input!$D$2:$AC$500,
       MATCH(B42, Input!$J$2:$J$500, 0),
       MATCH("Total Memory", Input!$D$1:$AC$1, 0))</f>
        <v>#N/A</v>
      </c>
      <c r="L42" s="42" t="e">
        <f>INDEX(Input!$D$2:$AC$500,
       MATCH(B42, Input!$J$2:$J$500, 0),
       MATCH("Memory Type", Input!$D$1:$AC$1, 0))</f>
        <v>#N/A</v>
      </c>
      <c r="M42" s="42" t="str" cm="1">
        <f t="array" ref="M42">IFERROR(_xlfn.FILTERXML("&lt;t&gt;&lt;s&gt;" &amp; SUBSTITUTE(L42," / ","&lt;/s&gt;&lt;s&gt;") &amp; "&lt;/s&gt;&lt;/t&gt;","(//s[contains(.,'DDR')])[1]"),"")</f>
        <v/>
      </c>
      <c r="N42" s="32" t="e">
        <f t="shared" si="2"/>
        <v>#N/A</v>
      </c>
      <c r="O42" s="42" t="e">
        <f>INDEX(Input!$D$2:$AC$500,
       MATCH(B42, Input!$J$2:$J$500, 0),
       MATCH("Disk Interface Type", Input!$D$1:$AC$1, 0))</f>
        <v>#N/A</v>
      </c>
      <c r="P42" s="42" t="str" cm="1">
        <f t="array" ref="P42">IFERROR(_xlfn.TEXTJOIN(", ", TRUE, _xlfn._xlws.FILTER(
    INDEX(Input!$D$2:$AC$500,,MATCH("Disk Capacity",Input!$D$1:$AC$1,0)),
    Input!$J$2:$J$500=B42
)), "")</f>
        <v/>
      </c>
      <c r="Q42" s="32" t="e">
        <f t="shared" si="1"/>
        <v>#N/A</v>
      </c>
      <c r="R42" s="42" t="e">
        <f>_xlfn.LET(_xlpm.Result,INDEX(Input!$D$2:$AC$500,
       MATCH(B42, Input!$J$2:$J$500, 0),
       MATCH("Capacity", Input!$D$1:$AC$1, 0)),IF(_xlpm.Result="","",_xlpm.Result))</f>
        <v>#N/A</v>
      </c>
      <c r="S42" s="42" t="e" cm="1">
        <f t="array" ref="S42">_xlfn.TEXTSPLIT(R42," / ", ,TRUE,0,)</f>
        <v>#N/A</v>
      </c>
      <c r="T42" s="42"/>
      <c r="U42" s="42" t="str" cm="1">
        <f t="array" ref="U42">IFERROR(_xlfn.IFS(
S42="","",
--S42&lt;55,"Battery Defect",
--S42&lt;=69,"Battery D",
--S42&lt;=80,"Battery C",
--S42&gt;80,""
),"")</f>
        <v/>
      </c>
      <c r="V42" s="42" t="str" cm="1">
        <f t="array" ref="V42">IFERROR(_xlfn.IFS(
T42="","",
--T42&lt;55,"Battery Defect",
--T42&lt;=69,"Battery D",
--T42&lt;=80,"Battery C",
--T42&gt;80,""
),"")</f>
        <v/>
      </c>
      <c r="W42" s="42" t="str" cm="1">
        <f t="array" ref="W42:AD42">IFERROR(IF(_xlfn.XLOOKUP(B42,Input!J:J,Input!N:U)=0,"",
          _xlfn.XLOOKUP(B42,Input!J:J,Input!N:U)),"")</f>
        <v/>
      </c>
      <c r="X42" s="42" t="str">
        <v/>
      </c>
      <c r="Y42" s="42" t="str">
        <v/>
      </c>
      <c r="Z42" s="42" t="str">
        <v/>
      </c>
      <c r="AA42" s="42" t="str">
        <v/>
      </c>
      <c r="AB42" s="42" t="str">
        <v/>
      </c>
      <c r="AC42" s="42" t="str">
        <v/>
      </c>
      <c r="AD42" s="42" t="str">
        <v/>
      </c>
      <c r="AE42" s="32" t="str">
        <f t="shared" si="0"/>
        <v/>
      </c>
      <c r="AF42" s="32" t="str">
        <f>_xlfn.XLOOKUP(B:B,Disk_Pivot!G:G,Disk_Pivot!I:I)</f>
        <v>Yes x2</v>
      </c>
      <c r="AG42" s="32" t="str">
        <f>_xlfn.XLOOKUP(B42,Disk_Pivot!G:G,Disk_Pivot!N:N)</f>
        <v>Pass, Fail</v>
      </c>
      <c r="AH42" s="32"/>
      <c r="AI42" s="32"/>
      <c r="AJ42" s="32"/>
      <c r="AK42" s="32"/>
      <c r="AL42" s="32"/>
      <c r="AM42" s="32"/>
    </row>
    <row r="43" spans="1:39">
      <c r="A43" s="32" t="str">
        <f>_xlfn.XLOOKUP(B43,Input!J:J,Input!G:G)&amp;""</f>
        <v/>
      </c>
      <c r="B43" s="32"/>
      <c r="C43" s="32" t="str">
        <f>_xlfn.XLOOKUP(B43,Input!J:J,Input!H:H)&amp;""</f>
        <v/>
      </c>
      <c r="D43" s="42">
        <f>_xlfn.XLOOKUP(B43,Input!J:J,Input!F:F)</f>
        <v>0</v>
      </c>
      <c r="E43" s="32">
        <f>_xlfn.XLOOKUP(D43,Models!H:H,Models!G:G,D43)</f>
        <v>0</v>
      </c>
      <c r="F43" s="32">
        <f>_xlfn.XLOOKUP(B43,Input!J:J,Input!E:E)</f>
        <v>0</v>
      </c>
      <c r="G43" s="32">
        <f>IF(F43="LENOVO",_xlfn.XLOOKUP(B43,Input!J:J,Input!K:K),_xlfn.XLOOKUP(B43,Input!J:J,Input!L:L))</f>
        <v>0</v>
      </c>
      <c r="H43" s="32"/>
      <c r="I43" s="32"/>
      <c r="J43" s="32">
        <f>_xlfn.XLOOKUP(B43,CPU_Formula!A:A,CPU_Formula!I:I)</f>
        <v>0</v>
      </c>
      <c r="K43" s="42" t="e">
        <f>INDEX(Input!$D$2:$AC$500,
       MATCH(B43, Input!$J$2:$J$500, 0),
       MATCH("Total Memory", Input!$D$1:$AC$1, 0))</f>
        <v>#N/A</v>
      </c>
      <c r="L43" s="42" t="e">
        <f>INDEX(Input!$D$2:$AC$500,
       MATCH(B43, Input!$J$2:$J$500, 0),
       MATCH("Memory Type", Input!$D$1:$AC$1, 0))</f>
        <v>#N/A</v>
      </c>
      <c r="M43" s="42" t="str" cm="1">
        <f t="array" ref="M43">IFERROR(_xlfn.FILTERXML("&lt;t&gt;&lt;s&gt;" &amp; SUBSTITUTE(L43," / ","&lt;/s&gt;&lt;s&gt;") &amp; "&lt;/s&gt;&lt;/t&gt;","(//s[contains(.,'DDR')])[1]"),"")</f>
        <v/>
      </c>
      <c r="N43" s="32" t="e">
        <f t="shared" si="2"/>
        <v>#N/A</v>
      </c>
      <c r="O43" s="42" t="e">
        <f>INDEX(Input!$D$2:$AC$500,
       MATCH(B43, Input!$J$2:$J$500, 0),
       MATCH("Disk Interface Type", Input!$D$1:$AC$1, 0))</f>
        <v>#N/A</v>
      </c>
      <c r="P43" s="42" t="str" cm="1">
        <f t="array" ref="P43">IFERROR(_xlfn.TEXTJOIN(", ", TRUE, _xlfn._xlws.FILTER(
    INDEX(Input!$D$2:$AC$500,,MATCH("Disk Capacity",Input!$D$1:$AC$1,0)),
    Input!$J$2:$J$500=B43
)), "")</f>
        <v/>
      </c>
      <c r="Q43" s="32" t="e">
        <f t="shared" si="1"/>
        <v>#N/A</v>
      </c>
      <c r="R43" s="42" t="e">
        <f>_xlfn.LET(_xlpm.Result,INDEX(Input!$D$2:$AC$500,
       MATCH(B43, Input!$J$2:$J$500, 0),
       MATCH("Capacity", Input!$D$1:$AC$1, 0)),IF(_xlpm.Result="","",_xlpm.Result))</f>
        <v>#N/A</v>
      </c>
      <c r="S43" s="42" t="e" cm="1">
        <f t="array" ref="S43">_xlfn.TEXTSPLIT(R43," / ", ,TRUE,0,)</f>
        <v>#N/A</v>
      </c>
      <c r="T43" s="42"/>
      <c r="U43" s="42" t="str" cm="1">
        <f t="array" ref="U43">IFERROR(_xlfn.IFS(
S43="","",
--S43&lt;55,"Battery Defect",
--S43&lt;=69,"Battery D",
--S43&lt;=80,"Battery C",
--S43&gt;80,""
),"")</f>
        <v/>
      </c>
      <c r="V43" s="42" t="str" cm="1">
        <f t="array" ref="V43">IFERROR(_xlfn.IFS(
T43="","",
--T43&lt;55,"Battery Defect",
--T43&lt;=69,"Battery D",
--T43&lt;=80,"Battery C",
--T43&gt;80,""
),"")</f>
        <v/>
      </c>
      <c r="W43" s="42" t="str" cm="1">
        <f t="array" ref="W43:AD43">IFERROR(IF(_xlfn.XLOOKUP(B43,Input!J:J,Input!N:U)=0,"",
          _xlfn.XLOOKUP(B43,Input!J:J,Input!N:U)),"")</f>
        <v/>
      </c>
      <c r="X43" s="42" t="str">
        <v/>
      </c>
      <c r="Y43" s="42" t="str">
        <v/>
      </c>
      <c r="Z43" s="42" t="str">
        <v/>
      </c>
      <c r="AA43" s="42" t="str">
        <v/>
      </c>
      <c r="AB43" s="42" t="str">
        <v/>
      </c>
      <c r="AC43" s="42" t="str">
        <v/>
      </c>
      <c r="AD43" s="42" t="str">
        <v/>
      </c>
      <c r="AE43" s="32" t="str">
        <f t="shared" si="0"/>
        <v/>
      </c>
      <c r="AF43" s="32" t="str">
        <f>_xlfn.XLOOKUP(B:B,Disk_Pivot!G:G,Disk_Pivot!I:I)</f>
        <v>Yes x2</v>
      </c>
      <c r="AG43" s="32" t="str">
        <f>_xlfn.XLOOKUP(B43,Disk_Pivot!G:G,Disk_Pivot!N:N)</f>
        <v>Pass, Fail</v>
      </c>
      <c r="AH43" s="32"/>
      <c r="AI43" s="32"/>
      <c r="AJ43" s="32"/>
      <c r="AK43" s="32"/>
      <c r="AL43" s="32"/>
      <c r="AM43" s="32"/>
    </row>
    <row r="44" spans="1:39">
      <c r="A44" s="32" t="str">
        <f>_xlfn.XLOOKUP(B44,Input!J:J,Input!G:G)&amp;""</f>
        <v/>
      </c>
      <c r="B44" s="32"/>
      <c r="C44" s="32" t="str">
        <f>_xlfn.XLOOKUP(B44,Input!J:J,Input!H:H)&amp;""</f>
        <v/>
      </c>
      <c r="D44" s="42">
        <f>_xlfn.XLOOKUP(B44,Input!J:J,Input!F:F)</f>
        <v>0</v>
      </c>
      <c r="E44" s="32">
        <f>_xlfn.XLOOKUP(D44,Models!H:H,Models!G:G,D44)</f>
        <v>0</v>
      </c>
      <c r="F44" s="32">
        <f>_xlfn.XLOOKUP(B44,Input!J:J,Input!E:E)</f>
        <v>0</v>
      </c>
      <c r="G44" s="32">
        <f>IF(F44="LENOVO",_xlfn.XLOOKUP(B44,Input!J:J,Input!K:K),_xlfn.XLOOKUP(B44,Input!J:J,Input!L:L))</f>
        <v>0</v>
      </c>
      <c r="H44" s="32"/>
      <c r="I44" s="32"/>
      <c r="J44" s="32">
        <f>_xlfn.XLOOKUP(B44,CPU_Formula!A:A,CPU_Formula!I:I)</f>
        <v>0</v>
      </c>
      <c r="K44" s="42" t="e">
        <f>INDEX(Input!$D$2:$AC$500,
       MATCH(B44, Input!$J$2:$J$500, 0),
       MATCH("Total Memory", Input!$D$1:$AC$1, 0))</f>
        <v>#N/A</v>
      </c>
      <c r="L44" s="42" t="e">
        <f>INDEX(Input!$D$2:$AC$500,
       MATCH(B44, Input!$J$2:$J$500, 0),
       MATCH("Memory Type", Input!$D$1:$AC$1, 0))</f>
        <v>#N/A</v>
      </c>
      <c r="M44" s="42" t="str" cm="1">
        <f t="array" ref="M44">IFERROR(_xlfn.FILTERXML("&lt;t&gt;&lt;s&gt;" &amp; SUBSTITUTE(L44," / ","&lt;/s&gt;&lt;s&gt;") &amp; "&lt;/s&gt;&lt;/t&gt;","(//s[contains(.,'DDR')])[1]"),"")</f>
        <v/>
      </c>
      <c r="N44" s="32" t="e">
        <f t="shared" si="2"/>
        <v>#N/A</v>
      </c>
      <c r="O44" s="42" t="e">
        <f>INDEX(Input!$D$2:$AC$500,
       MATCH(B44, Input!$J$2:$J$500, 0),
       MATCH("Disk Interface Type", Input!$D$1:$AC$1, 0))</f>
        <v>#N/A</v>
      </c>
      <c r="P44" s="42" t="str" cm="1">
        <f t="array" ref="P44">IFERROR(_xlfn.TEXTJOIN(", ", TRUE, _xlfn._xlws.FILTER(
    INDEX(Input!$D$2:$AC$500,,MATCH("Disk Capacity",Input!$D$1:$AC$1,0)),
    Input!$J$2:$J$500=B44
)), "")</f>
        <v/>
      </c>
      <c r="Q44" s="32" t="e">
        <f t="shared" si="1"/>
        <v>#N/A</v>
      </c>
      <c r="R44" s="42" t="e">
        <f>_xlfn.LET(_xlpm.Result,INDEX(Input!$D$2:$AC$500,
       MATCH(B44, Input!$J$2:$J$500, 0),
       MATCH("Capacity", Input!$D$1:$AC$1, 0)),IF(_xlpm.Result="","",_xlpm.Result))</f>
        <v>#N/A</v>
      </c>
      <c r="S44" s="42" t="e" cm="1">
        <f t="array" ref="S44">_xlfn.TEXTSPLIT(R44," / ", ,TRUE,0,)</f>
        <v>#N/A</v>
      </c>
      <c r="T44" s="42"/>
      <c r="U44" s="42" t="str" cm="1">
        <f t="array" ref="U44">IFERROR(_xlfn.IFS(
S44="","",
--S44&lt;55,"Battery Defect",
--S44&lt;=69,"Battery D",
--S44&lt;=80,"Battery C",
--S44&gt;80,""
),"")</f>
        <v/>
      </c>
      <c r="V44" s="42" t="str" cm="1">
        <f t="array" ref="V44">IFERROR(_xlfn.IFS(
T44="","",
--T44&lt;55,"Battery Defect",
--T44&lt;=69,"Battery D",
--T44&lt;=80,"Battery C",
--T44&gt;80,""
),"")</f>
        <v/>
      </c>
      <c r="W44" s="42" t="str" cm="1">
        <f t="array" ref="W44:AD44">IFERROR(IF(_xlfn.XLOOKUP(B44,Input!J:J,Input!N:U)=0,"",
          _xlfn.XLOOKUP(B44,Input!J:J,Input!N:U)),"")</f>
        <v/>
      </c>
      <c r="X44" s="42" t="str">
        <v/>
      </c>
      <c r="Y44" s="42" t="str">
        <v/>
      </c>
      <c r="Z44" s="42" t="str">
        <v/>
      </c>
      <c r="AA44" s="42" t="str">
        <v/>
      </c>
      <c r="AB44" s="42" t="str">
        <v/>
      </c>
      <c r="AC44" s="42" t="str">
        <v/>
      </c>
      <c r="AD44" s="42" t="str">
        <v/>
      </c>
      <c r="AE44" s="32" t="str">
        <f t="shared" si="0"/>
        <v/>
      </c>
      <c r="AF44" s="32" t="str">
        <f>_xlfn.XLOOKUP(B:B,Disk_Pivot!G:G,Disk_Pivot!I:I)</f>
        <v>Yes x2</v>
      </c>
      <c r="AG44" s="32" t="str">
        <f>_xlfn.XLOOKUP(B44,Disk_Pivot!G:G,Disk_Pivot!N:N)</f>
        <v>Pass, Fail</v>
      </c>
      <c r="AH44" s="32"/>
      <c r="AI44" s="32"/>
      <c r="AJ44" s="32"/>
      <c r="AK44" s="32"/>
      <c r="AL44" s="32"/>
      <c r="AM44" s="32"/>
    </row>
    <row r="45" spans="1:39">
      <c r="A45" s="32" t="str">
        <f>_xlfn.XLOOKUP(B45,Input!J:J,Input!G:G)&amp;""</f>
        <v/>
      </c>
      <c r="B45" s="32"/>
      <c r="C45" s="32" t="str">
        <f>_xlfn.XLOOKUP(B45,Input!J:J,Input!H:H)&amp;""</f>
        <v/>
      </c>
      <c r="D45" s="42">
        <f>_xlfn.XLOOKUP(B45,Input!J:J,Input!F:F)</f>
        <v>0</v>
      </c>
      <c r="E45" s="32">
        <f>_xlfn.XLOOKUP(D45,Models!H:H,Models!G:G,D45)</f>
        <v>0</v>
      </c>
      <c r="F45" s="32">
        <f>_xlfn.XLOOKUP(B45,Input!J:J,Input!E:E)</f>
        <v>0</v>
      </c>
      <c r="G45" s="32">
        <f>IF(F45="LENOVO",_xlfn.XLOOKUP(B45,Input!J:J,Input!K:K),_xlfn.XLOOKUP(B45,Input!J:J,Input!L:L))</f>
        <v>0</v>
      </c>
      <c r="H45" s="32"/>
      <c r="I45" s="32"/>
      <c r="J45" s="32">
        <f>_xlfn.XLOOKUP(B45,CPU_Formula!A:A,CPU_Formula!I:I)</f>
        <v>0</v>
      </c>
      <c r="K45" s="42" t="e">
        <f>INDEX(Input!$D$2:$AC$500,
       MATCH(B45, Input!$J$2:$J$500, 0),
       MATCH("Total Memory", Input!$D$1:$AC$1, 0))</f>
        <v>#N/A</v>
      </c>
      <c r="L45" s="42" t="e">
        <f>INDEX(Input!$D$2:$AC$500,
       MATCH(B45, Input!$J$2:$J$500, 0),
       MATCH("Memory Type", Input!$D$1:$AC$1, 0))</f>
        <v>#N/A</v>
      </c>
      <c r="M45" s="42" t="str" cm="1">
        <f t="array" ref="M45">IFERROR(_xlfn.FILTERXML("&lt;t&gt;&lt;s&gt;" &amp; SUBSTITUTE(L45," / ","&lt;/s&gt;&lt;s&gt;") &amp; "&lt;/s&gt;&lt;/t&gt;","(//s[contains(.,'DDR')])[1]"),"")</f>
        <v/>
      </c>
      <c r="N45" s="32" t="e">
        <f t="shared" si="2"/>
        <v>#N/A</v>
      </c>
      <c r="O45" s="42" t="e">
        <f>INDEX(Input!$D$2:$AC$500,
       MATCH(B45, Input!$J$2:$J$500, 0),
       MATCH("Disk Interface Type", Input!$D$1:$AC$1, 0))</f>
        <v>#N/A</v>
      </c>
      <c r="P45" s="42" t="str" cm="1">
        <f t="array" ref="P45">IFERROR(_xlfn.TEXTJOIN(", ", TRUE, _xlfn._xlws.FILTER(
    INDEX(Input!$D$2:$AC$500,,MATCH("Disk Capacity",Input!$D$1:$AC$1,0)),
    Input!$J$2:$J$500=B45
)), "")</f>
        <v/>
      </c>
      <c r="Q45" s="32" t="e">
        <f t="shared" si="1"/>
        <v>#N/A</v>
      </c>
      <c r="R45" s="42" t="e">
        <f>_xlfn.LET(_xlpm.Result,INDEX(Input!$D$2:$AC$500,
       MATCH(B45, Input!$J$2:$J$500, 0),
       MATCH("Capacity", Input!$D$1:$AC$1, 0)),IF(_xlpm.Result="","",_xlpm.Result))</f>
        <v>#N/A</v>
      </c>
      <c r="S45" s="42" t="e" cm="1">
        <f t="array" ref="S45">_xlfn.TEXTSPLIT(R45," / ", ,TRUE,0,)</f>
        <v>#N/A</v>
      </c>
      <c r="T45" s="42"/>
      <c r="U45" s="42" t="str" cm="1">
        <f t="array" ref="U45">IFERROR(_xlfn.IFS(
S45="","",
--S45&lt;55,"Battery Defect",
--S45&lt;=69,"Battery D",
--S45&lt;=80,"Battery C",
--S45&gt;80,""
),"")</f>
        <v/>
      </c>
      <c r="V45" s="42" t="str" cm="1">
        <f t="array" ref="V45">IFERROR(_xlfn.IFS(
T45="","",
--T45&lt;55,"Battery Defect",
--T45&lt;=69,"Battery D",
--T45&lt;=80,"Battery C",
--T45&gt;80,""
),"")</f>
        <v/>
      </c>
      <c r="W45" s="42" t="str" cm="1">
        <f t="array" ref="W45:AD45">IFERROR(IF(_xlfn.XLOOKUP(B45,Input!J:J,Input!N:U)=0,"",
          _xlfn.XLOOKUP(B45,Input!J:J,Input!N:U)),"")</f>
        <v/>
      </c>
      <c r="X45" s="42" t="str">
        <v/>
      </c>
      <c r="Y45" s="42" t="str">
        <v/>
      </c>
      <c r="Z45" s="42" t="str">
        <v/>
      </c>
      <c r="AA45" s="42" t="str">
        <v/>
      </c>
      <c r="AB45" s="42" t="str">
        <v/>
      </c>
      <c r="AC45" s="42" t="str">
        <v/>
      </c>
      <c r="AD45" s="42" t="str">
        <v/>
      </c>
      <c r="AE45" s="32" t="str">
        <f t="shared" si="0"/>
        <v/>
      </c>
      <c r="AF45" s="32" t="str">
        <f>_xlfn.XLOOKUP(B:B,Disk_Pivot!G:G,Disk_Pivot!I:I)</f>
        <v>Yes x2</v>
      </c>
      <c r="AG45" s="32" t="str">
        <f>_xlfn.XLOOKUP(B45,Disk_Pivot!G:G,Disk_Pivot!N:N)</f>
        <v>Pass, Fail</v>
      </c>
      <c r="AH45" s="32"/>
      <c r="AI45" s="32"/>
      <c r="AJ45" s="32"/>
      <c r="AK45" s="32"/>
      <c r="AL45" s="32"/>
      <c r="AM45" s="32"/>
    </row>
    <row r="46" spans="1:39">
      <c r="A46" s="32" t="str">
        <f>_xlfn.XLOOKUP(B46,Input!J:J,Input!G:G)&amp;""</f>
        <v/>
      </c>
      <c r="B46" s="32"/>
      <c r="C46" s="32" t="str">
        <f>_xlfn.XLOOKUP(B46,Input!J:J,Input!H:H)&amp;""</f>
        <v/>
      </c>
      <c r="D46" s="42">
        <f>_xlfn.XLOOKUP(B46,Input!J:J,Input!F:F)</f>
        <v>0</v>
      </c>
      <c r="E46" s="32">
        <f>_xlfn.XLOOKUP(D46,Models!H:H,Models!G:G,D46)</f>
        <v>0</v>
      </c>
      <c r="F46" s="32">
        <f>_xlfn.XLOOKUP(B46,Input!J:J,Input!E:E)</f>
        <v>0</v>
      </c>
      <c r="G46" s="32">
        <f>IF(F46="LENOVO",_xlfn.XLOOKUP(B46,Input!J:J,Input!K:K),_xlfn.XLOOKUP(B46,Input!J:J,Input!L:L))</f>
        <v>0</v>
      </c>
      <c r="H46" s="32"/>
      <c r="I46" s="32"/>
      <c r="J46" s="32">
        <f>_xlfn.XLOOKUP(B46,CPU_Formula!A:A,CPU_Formula!I:I)</f>
        <v>0</v>
      </c>
      <c r="K46" s="42" t="e">
        <f>INDEX(Input!$D$2:$AC$500,
       MATCH(B46, Input!$J$2:$J$500, 0),
       MATCH("Total Memory", Input!$D$1:$AC$1, 0))</f>
        <v>#N/A</v>
      </c>
      <c r="L46" s="42" t="e">
        <f>INDEX(Input!$D$2:$AC$500,
       MATCH(B46, Input!$J$2:$J$500, 0),
       MATCH("Memory Type", Input!$D$1:$AC$1, 0))</f>
        <v>#N/A</v>
      </c>
      <c r="M46" s="42" t="str" cm="1">
        <f t="array" ref="M46">IFERROR(_xlfn.FILTERXML("&lt;t&gt;&lt;s&gt;" &amp; SUBSTITUTE(L46," / ","&lt;/s&gt;&lt;s&gt;") &amp; "&lt;/s&gt;&lt;/t&gt;","(//s[contains(.,'DDR')])[1]"),"")</f>
        <v/>
      </c>
      <c r="N46" s="32" t="e">
        <f t="shared" si="2"/>
        <v>#N/A</v>
      </c>
      <c r="O46" s="42" t="e">
        <f>INDEX(Input!$D$2:$AC$500,
       MATCH(B46, Input!$J$2:$J$500, 0),
       MATCH("Disk Interface Type", Input!$D$1:$AC$1, 0))</f>
        <v>#N/A</v>
      </c>
      <c r="P46" s="42" t="str" cm="1">
        <f t="array" ref="P46">IFERROR(_xlfn.TEXTJOIN(", ", TRUE, _xlfn._xlws.FILTER(
    INDEX(Input!$D$2:$AC$500,,MATCH("Disk Capacity",Input!$D$1:$AC$1,0)),
    Input!$J$2:$J$500=B46
)), "")</f>
        <v/>
      </c>
      <c r="Q46" s="32" t="e">
        <f t="shared" si="1"/>
        <v>#N/A</v>
      </c>
      <c r="R46" s="42" t="e">
        <f>_xlfn.LET(_xlpm.Result,INDEX(Input!$D$2:$AC$500,
       MATCH(B46, Input!$J$2:$J$500, 0),
       MATCH("Capacity", Input!$D$1:$AC$1, 0)),IF(_xlpm.Result="","",_xlpm.Result))</f>
        <v>#N/A</v>
      </c>
      <c r="S46" s="42" t="e" cm="1">
        <f t="array" ref="S46">_xlfn.TEXTSPLIT(R46," / ", ,TRUE,0,)</f>
        <v>#N/A</v>
      </c>
      <c r="T46" s="42"/>
      <c r="U46" s="42" t="str" cm="1">
        <f t="array" ref="U46">IFERROR(_xlfn.IFS(
S46="","",
--S46&lt;55,"Battery Defect",
--S46&lt;=69,"Battery D",
--S46&lt;=80,"Battery C",
--S46&gt;80,""
),"")</f>
        <v/>
      </c>
      <c r="V46" s="42" t="str" cm="1">
        <f t="array" ref="V46">IFERROR(_xlfn.IFS(
T46="","",
--T46&lt;55,"Battery Defect",
--T46&lt;=69,"Battery D",
--T46&lt;=80,"Battery C",
--T46&gt;80,""
),"")</f>
        <v/>
      </c>
      <c r="W46" s="42" t="str" cm="1">
        <f t="array" ref="W46:AD46">IFERROR(IF(_xlfn.XLOOKUP(B46,Input!J:J,Input!N:U)=0,"",
          _xlfn.XLOOKUP(B46,Input!J:J,Input!N:U)),"")</f>
        <v/>
      </c>
      <c r="X46" s="42" t="str">
        <v/>
      </c>
      <c r="Y46" s="42" t="str">
        <v/>
      </c>
      <c r="Z46" s="42" t="str">
        <v/>
      </c>
      <c r="AA46" s="42" t="str">
        <v/>
      </c>
      <c r="AB46" s="42" t="str">
        <v/>
      </c>
      <c r="AC46" s="42" t="str">
        <v/>
      </c>
      <c r="AD46" s="42" t="str">
        <v/>
      </c>
      <c r="AE46" s="32" t="str">
        <f t="shared" si="0"/>
        <v/>
      </c>
      <c r="AF46" s="32" t="str">
        <f>_xlfn.XLOOKUP(B:B,Disk_Pivot!G:G,Disk_Pivot!I:I)</f>
        <v>Yes x2</v>
      </c>
      <c r="AG46" s="32" t="str">
        <f>_xlfn.XLOOKUP(B46,Disk_Pivot!G:G,Disk_Pivot!N:N)</f>
        <v>Pass, Fail</v>
      </c>
      <c r="AH46" s="32"/>
      <c r="AI46" s="32"/>
      <c r="AJ46" s="32"/>
      <c r="AK46" s="32"/>
      <c r="AL46" s="32"/>
      <c r="AM46" s="32"/>
    </row>
    <row r="47" spans="1:39">
      <c r="A47" s="32" t="str">
        <f>_xlfn.XLOOKUP(B47,Input!J:J,Input!G:G)&amp;""</f>
        <v/>
      </c>
      <c r="B47" s="32"/>
      <c r="C47" s="32" t="str">
        <f>_xlfn.XLOOKUP(B47,Input!J:J,Input!H:H)&amp;""</f>
        <v/>
      </c>
      <c r="D47" s="42">
        <f>_xlfn.XLOOKUP(B47,Input!J:J,Input!F:F)</f>
        <v>0</v>
      </c>
      <c r="E47" s="32">
        <f>_xlfn.XLOOKUP(D47,Models!H:H,Models!G:G,D47)</f>
        <v>0</v>
      </c>
      <c r="F47" s="32">
        <f>_xlfn.XLOOKUP(B47,Input!J:J,Input!E:E)</f>
        <v>0</v>
      </c>
      <c r="G47" s="32">
        <f>IF(F47="LENOVO",_xlfn.XLOOKUP(B47,Input!J:J,Input!K:K),_xlfn.XLOOKUP(B47,Input!J:J,Input!L:L))</f>
        <v>0</v>
      </c>
      <c r="H47" s="32"/>
      <c r="I47" s="32"/>
      <c r="J47" s="32">
        <f>_xlfn.XLOOKUP(B47,CPU_Formula!A:A,CPU_Formula!I:I)</f>
        <v>0</v>
      </c>
      <c r="K47" s="42" t="e">
        <f>INDEX(Input!$D$2:$AC$500,
       MATCH(B47, Input!$J$2:$J$500, 0),
       MATCH("Total Memory", Input!$D$1:$AC$1, 0))</f>
        <v>#N/A</v>
      </c>
      <c r="L47" s="42" t="e">
        <f>INDEX(Input!$D$2:$AC$500,
       MATCH(B47, Input!$J$2:$J$500, 0),
       MATCH("Memory Type", Input!$D$1:$AC$1, 0))</f>
        <v>#N/A</v>
      </c>
      <c r="M47" s="42" t="str" cm="1">
        <f t="array" ref="M47">IFERROR(_xlfn.FILTERXML("&lt;t&gt;&lt;s&gt;" &amp; SUBSTITUTE(L47," / ","&lt;/s&gt;&lt;s&gt;") &amp; "&lt;/s&gt;&lt;/t&gt;","(//s[contains(.,'DDR')])[1]"),"")</f>
        <v/>
      </c>
      <c r="N47" s="32" t="e">
        <f t="shared" si="2"/>
        <v>#N/A</v>
      </c>
      <c r="O47" s="42" t="e">
        <f>INDEX(Input!$D$2:$AC$500,
       MATCH(B47, Input!$J$2:$J$500, 0),
       MATCH("Disk Interface Type", Input!$D$1:$AC$1, 0))</f>
        <v>#N/A</v>
      </c>
      <c r="P47" s="42" t="str" cm="1">
        <f t="array" ref="P47">IFERROR(_xlfn.TEXTJOIN(", ", TRUE, _xlfn._xlws.FILTER(
    INDEX(Input!$D$2:$AC$500,,MATCH("Disk Capacity",Input!$D$1:$AC$1,0)),
    Input!$J$2:$J$500=B47
)), "")</f>
        <v/>
      </c>
      <c r="Q47" s="32" t="e">
        <f t="shared" si="1"/>
        <v>#N/A</v>
      </c>
      <c r="R47" s="42" t="e">
        <f>_xlfn.LET(_xlpm.Result,INDEX(Input!$D$2:$AC$500,
       MATCH(B47, Input!$J$2:$J$500, 0),
       MATCH("Capacity", Input!$D$1:$AC$1, 0)),IF(_xlpm.Result="","",_xlpm.Result))</f>
        <v>#N/A</v>
      </c>
      <c r="S47" s="42" t="e" cm="1">
        <f t="array" ref="S47">_xlfn.TEXTSPLIT(R47," / ", ,TRUE,0,)</f>
        <v>#N/A</v>
      </c>
      <c r="T47" s="42"/>
      <c r="U47" s="42" t="str" cm="1">
        <f t="array" ref="U47">IFERROR(_xlfn.IFS(
S47="","",
--S47&lt;55,"Battery Defect",
--S47&lt;=69,"Battery D",
--S47&lt;=80,"Battery C",
--S47&gt;80,""
),"")</f>
        <v/>
      </c>
      <c r="V47" s="42" t="str" cm="1">
        <f t="array" ref="V47">IFERROR(_xlfn.IFS(
T47="","",
--T47&lt;55,"Battery Defect",
--T47&lt;=69,"Battery D",
--T47&lt;=80,"Battery C",
--T47&gt;80,""
),"")</f>
        <v/>
      </c>
      <c r="W47" s="42" t="str" cm="1">
        <f t="array" ref="W47:AD47">IFERROR(IF(_xlfn.XLOOKUP(B47,Input!J:J,Input!N:U)=0,"",
          _xlfn.XLOOKUP(B47,Input!J:J,Input!N:U)),"")</f>
        <v/>
      </c>
      <c r="X47" s="42" t="str">
        <v/>
      </c>
      <c r="Y47" s="42" t="str">
        <v/>
      </c>
      <c r="Z47" s="42" t="str">
        <v/>
      </c>
      <c r="AA47" s="42" t="str">
        <v/>
      </c>
      <c r="AB47" s="42" t="str">
        <v/>
      </c>
      <c r="AC47" s="42" t="str">
        <v/>
      </c>
      <c r="AD47" s="42" t="str">
        <v/>
      </c>
      <c r="AE47" s="32" t="str">
        <f t="shared" si="0"/>
        <v/>
      </c>
      <c r="AF47" s="32" t="str">
        <f>_xlfn.XLOOKUP(B:B,Disk_Pivot!G:G,Disk_Pivot!I:I)</f>
        <v>Yes x2</v>
      </c>
      <c r="AG47" s="32" t="str">
        <f>_xlfn.XLOOKUP(B47,Disk_Pivot!G:G,Disk_Pivot!N:N)</f>
        <v>Pass, Fail</v>
      </c>
      <c r="AH47" s="32"/>
      <c r="AI47" s="32"/>
      <c r="AJ47" s="32"/>
      <c r="AK47" s="32"/>
      <c r="AL47" s="32"/>
      <c r="AM47" s="32"/>
    </row>
    <row r="48" spans="1:39">
      <c r="A48" s="32" t="str">
        <f>_xlfn.XLOOKUP(B48,Input!J:J,Input!G:G)&amp;""</f>
        <v/>
      </c>
      <c r="B48" s="32"/>
      <c r="C48" s="32" t="str">
        <f>_xlfn.XLOOKUP(B48,Input!J:J,Input!H:H)&amp;""</f>
        <v/>
      </c>
      <c r="D48" s="42">
        <f>_xlfn.XLOOKUP(B48,Input!J:J,Input!F:F)</f>
        <v>0</v>
      </c>
      <c r="E48" s="32">
        <f>_xlfn.XLOOKUP(D48,Models!H:H,Models!G:G,D48)</f>
        <v>0</v>
      </c>
      <c r="F48" s="32">
        <f>_xlfn.XLOOKUP(B48,Input!J:J,Input!E:E)</f>
        <v>0</v>
      </c>
      <c r="G48" s="32">
        <f>IF(F48="LENOVO",_xlfn.XLOOKUP(B48,Input!J:J,Input!K:K),_xlfn.XLOOKUP(B48,Input!J:J,Input!L:L))</f>
        <v>0</v>
      </c>
      <c r="H48" s="32"/>
      <c r="I48" s="32"/>
      <c r="J48" s="32">
        <f>_xlfn.XLOOKUP(B48,CPU_Formula!A:A,CPU_Formula!I:I)</f>
        <v>0</v>
      </c>
      <c r="K48" s="42" t="e">
        <f>INDEX(Input!$D$2:$AC$500,
       MATCH(B48, Input!$J$2:$J$500, 0),
       MATCH("Total Memory", Input!$D$1:$AC$1, 0))</f>
        <v>#N/A</v>
      </c>
      <c r="L48" s="42" t="e">
        <f>INDEX(Input!$D$2:$AC$500,
       MATCH(B48, Input!$J$2:$J$500, 0),
       MATCH("Memory Type", Input!$D$1:$AC$1, 0))</f>
        <v>#N/A</v>
      </c>
      <c r="M48" s="42" t="str" cm="1">
        <f t="array" ref="M48">IFERROR(_xlfn.FILTERXML("&lt;t&gt;&lt;s&gt;" &amp; SUBSTITUTE(L48," / ","&lt;/s&gt;&lt;s&gt;") &amp; "&lt;/s&gt;&lt;/t&gt;","(//s[contains(.,'DDR')])[1]"),"")</f>
        <v/>
      </c>
      <c r="N48" s="32" t="e">
        <f t="shared" si="2"/>
        <v>#N/A</v>
      </c>
      <c r="O48" s="42" t="e">
        <f>INDEX(Input!$D$2:$AC$500,
       MATCH(B48, Input!$J$2:$J$500, 0),
       MATCH("Disk Interface Type", Input!$D$1:$AC$1, 0))</f>
        <v>#N/A</v>
      </c>
      <c r="P48" s="42" t="str" cm="1">
        <f t="array" ref="P48">IFERROR(_xlfn.TEXTJOIN(", ", TRUE, _xlfn._xlws.FILTER(
    INDEX(Input!$D$2:$AC$500,,MATCH("Disk Capacity",Input!$D$1:$AC$1,0)),
    Input!$J$2:$J$500=B48
)), "")</f>
        <v/>
      </c>
      <c r="Q48" s="32" t="e">
        <f t="shared" si="1"/>
        <v>#N/A</v>
      </c>
      <c r="R48" s="42" t="e">
        <f>_xlfn.LET(_xlpm.Result,INDEX(Input!$D$2:$AC$500,
       MATCH(B48, Input!$J$2:$J$500, 0),
       MATCH("Capacity", Input!$D$1:$AC$1, 0)),IF(_xlpm.Result="","",_xlpm.Result))</f>
        <v>#N/A</v>
      </c>
      <c r="S48" s="42" t="e" cm="1">
        <f t="array" ref="S48">_xlfn.TEXTSPLIT(R48," / ", ,TRUE,0,)</f>
        <v>#N/A</v>
      </c>
      <c r="T48" s="42"/>
      <c r="U48" s="42" t="str" cm="1">
        <f t="array" ref="U48">IFERROR(_xlfn.IFS(
S48="","",
--S48&lt;55,"Battery Defect",
--S48&lt;=69,"Battery D",
--S48&lt;=80,"Battery C",
--S48&gt;80,""
),"")</f>
        <v/>
      </c>
      <c r="V48" s="42" t="str" cm="1">
        <f t="array" ref="V48">IFERROR(_xlfn.IFS(
T48="","",
--T48&lt;55,"Battery Defect",
--T48&lt;=69,"Battery D",
--T48&lt;=80,"Battery C",
--T48&gt;80,""
),"")</f>
        <v/>
      </c>
      <c r="W48" s="42" t="str" cm="1">
        <f t="array" ref="W48:AD48">IFERROR(IF(_xlfn.XLOOKUP(B48,Input!J:J,Input!N:U)=0,"",
          _xlfn.XLOOKUP(B48,Input!J:J,Input!N:U)),"")</f>
        <v/>
      </c>
      <c r="X48" s="42" t="str">
        <v/>
      </c>
      <c r="Y48" s="42" t="str">
        <v/>
      </c>
      <c r="Z48" s="42" t="str">
        <v/>
      </c>
      <c r="AA48" s="42" t="str">
        <v/>
      </c>
      <c r="AB48" s="42" t="str">
        <v/>
      </c>
      <c r="AC48" s="42" t="str">
        <v/>
      </c>
      <c r="AD48" s="42" t="str">
        <v/>
      </c>
      <c r="AE48" s="32" t="str">
        <f t="shared" si="0"/>
        <v/>
      </c>
      <c r="AF48" s="32" t="str">
        <f>_xlfn.XLOOKUP(B:B,Disk_Pivot!G:G,Disk_Pivot!I:I)</f>
        <v>Yes x2</v>
      </c>
      <c r="AG48" s="32" t="str">
        <f>_xlfn.XLOOKUP(B48,Disk_Pivot!G:G,Disk_Pivot!N:N)</f>
        <v>Pass, Fail</v>
      </c>
      <c r="AH48" s="32"/>
      <c r="AI48" s="32"/>
      <c r="AJ48" s="32"/>
      <c r="AK48" s="32"/>
      <c r="AL48" s="32"/>
      <c r="AM48" s="32"/>
    </row>
    <row r="49" spans="1:39">
      <c r="A49" s="32" t="str">
        <f>_xlfn.XLOOKUP(B49,Input!J:J,Input!G:G)&amp;""</f>
        <v/>
      </c>
      <c r="B49" s="32"/>
      <c r="C49" s="32" t="str">
        <f>_xlfn.XLOOKUP(B49,Input!J:J,Input!H:H)&amp;""</f>
        <v/>
      </c>
      <c r="D49" s="42">
        <f>_xlfn.XLOOKUP(B49,Input!J:J,Input!F:F)</f>
        <v>0</v>
      </c>
      <c r="E49" s="32">
        <f>_xlfn.XLOOKUP(D49,Models!H:H,Models!G:G,D49)</f>
        <v>0</v>
      </c>
      <c r="F49" s="32">
        <f>_xlfn.XLOOKUP(B49,Input!J:J,Input!E:E)</f>
        <v>0</v>
      </c>
      <c r="G49" s="32">
        <f>IF(F49="LENOVO",_xlfn.XLOOKUP(B49,Input!J:J,Input!K:K),_xlfn.XLOOKUP(B49,Input!J:J,Input!L:L))</f>
        <v>0</v>
      </c>
      <c r="H49" s="32"/>
      <c r="I49" s="32"/>
      <c r="J49" s="32">
        <f>_xlfn.XLOOKUP(B49,CPU_Formula!A:A,CPU_Formula!I:I)</f>
        <v>0</v>
      </c>
      <c r="K49" s="42" t="e">
        <f>INDEX(Input!$D$2:$AC$500,
       MATCH(B49, Input!$J$2:$J$500, 0),
       MATCH("Total Memory", Input!$D$1:$AC$1, 0))</f>
        <v>#N/A</v>
      </c>
      <c r="L49" s="42" t="e">
        <f>INDEX(Input!$D$2:$AC$500,
       MATCH(B49, Input!$J$2:$J$500, 0),
       MATCH("Memory Type", Input!$D$1:$AC$1, 0))</f>
        <v>#N/A</v>
      </c>
      <c r="M49" s="42" t="str" cm="1">
        <f t="array" ref="M49">IFERROR(_xlfn.FILTERXML("&lt;t&gt;&lt;s&gt;" &amp; SUBSTITUTE(L49," / ","&lt;/s&gt;&lt;s&gt;") &amp; "&lt;/s&gt;&lt;/t&gt;","(//s[contains(.,'DDR')])[1]"),"")</f>
        <v/>
      </c>
      <c r="N49" s="32" t="e">
        <f t="shared" si="2"/>
        <v>#N/A</v>
      </c>
      <c r="O49" s="42" t="e">
        <f>INDEX(Input!$D$2:$AC$500,
       MATCH(B49, Input!$J$2:$J$500, 0),
       MATCH("Disk Interface Type", Input!$D$1:$AC$1, 0))</f>
        <v>#N/A</v>
      </c>
      <c r="P49" s="42" t="str" cm="1">
        <f t="array" ref="P49">IFERROR(_xlfn.TEXTJOIN(", ", TRUE, _xlfn._xlws.FILTER(
    INDEX(Input!$D$2:$AC$500,,MATCH("Disk Capacity",Input!$D$1:$AC$1,0)),
    Input!$J$2:$J$500=B49
)), "")</f>
        <v/>
      </c>
      <c r="Q49" s="32" t="e">
        <f t="shared" si="1"/>
        <v>#N/A</v>
      </c>
      <c r="R49" s="42" t="e">
        <f>_xlfn.LET(_xlpm.Result,INDEX(Input!$D$2:$AC$500,
       MATCH(B49, Input!$J$2:$J$500, 0),
       MATCH("Capacity", Input!$D$1:$AC$1, 0)),IF(_xlpm.Result="","",_xlpm.Result))</f>
        <v>#N/A</v>
      </c>
      <c r="S49" s="42" t="e" cm="1">
        <f t="array" ref="S49">_xlfn.TEXTSPLIT(R49," / ", ,TRUE,0,)</f>
        <v>#N/A</v>
      </c>
      <c r="T49" s="42"/>
      <c r="U49" s="42" t="str" cm="1">
        <f t="array" ref="U49">IFERROR(_xlfn.IFS(
S49="","",
--S49&lt;55,"Battery Defect",
--S49&lt;=69,"Battery D",
--S49&lt;=80,"Battery C",
--S49&gt;80,""
),"")</f>
        <v/>
      </c>
      <c r="V49" s="42" t="str" cm="1">
        <f t="array" ref="V49">IFERROR(_xlfn.IFS(
T49="","",
--T49&lt;55,"Battery Defect",
--T49&lt;=69,"Battery D",
--T49&lt;=80,"Battery C",
--T49&gt;80,""
),"")</f>
        <v/>
      </c>
      <c r="W49" s="42" t="str" cm="1">
        <f t="array" ref="W49:AD49">IFERROR(IF(_xlfn.XLOOKUP(B49,Input!J:J,Input!N:U)=0,"",
          _xlfn.XLOOKUP(B49,Input!J:J,Input!N:U)),"")</f>
        <v/>
      </c>
      <c r="X49" s="42" t="str">
        <v/>
      </c>
      <c r="Y49" s="42" t="str">
        <v/>
      </c>
      <c r="Z49" s="42" t="str">
        <v/>
      </c>
      <c r="AA49" s="42" t="str">
        <v/>
      </c>
      <c r="AB49" s="42" t="str">
        <v/>
      </c>
      <c r="AC49" s="42" t="str">
        <v/>
      </c>
      <c r="AD49" s="42" t="str">
        <v/>
      </c>
      <c r="AE49" s="32" t="str">
        <f t="shared" si="0"/>
        <v/>
      </c>
      <c r="AF49" s="32" t="str">
        <f>_xlfn.XLOOKUP(B:B,Disk_Pivot!G:G,Disk_Pivot!I:I)</f>
        <v>Yes x2</v>
      </c>
      <c r="AG49" s="32" t="str">
        <f>_xlfn.XLOOKUP(B49,Disk_Pivot!G:G,Disk_Pivot!N:N)</f>
        <v>Pass, Fail</v>
      </c>
      <c r="AH49" s="32"/>
      <c r="AI49" s="32"/>
      <c r="AJ49" s="32"/>
      <c r="AK49" s="32"/>
      <c r="AL49" s="32"/>
      <c r="AM49" s="32"/>
    </row>
    <row r="50" spans="1:39">
      <c r="A50" s="32" t="str">
        <f>_xlfn.XLOOKUP(B50,Input!J:J,Input!G:G)&amp;""</f>
        <v/>
      </c>
      <c r="B50" s="32"/>
      <c r="C50" s="32" t="str">
        <f>_xlfn.XLOOKUP(B50,Input!J:J,Input!H:H)&amp;""</f>
        <v/>
      </c>
      <c r="D50" s="42">
        <f>_xlfn.XLOOKUP(B50,Input!J:J,Input!F:F)</f>
        <v>0</v>
      </c>
      <c r="E50" s="32">
        <f>_xlfn.XLOOKUP(D50,Models!H:H,Models!G:G,D50)</f>
        <v>0</v>
      </c>
      <c r="F50" s="32">
        <f>_xlfn.XLOOKUP(B50,Input!J:J,Input!E:E)</f>
        <v>0</v>
      </c>
      <c r="G50" s="32">
        <f>IF(F50="LENOVO",_xlfn.XLOOKUP(B50,Input!J:J,Input!K:K),_xlfn.XLOOKUP(B50,Input!J:J,Input!L:L))</f>
        <v>0</v>
      </c>
      <c r="H50" s="32"/>
      <c r="I50" s="32"/>
      <c r="J50" s="32">
        <f>_xlfn.XLOOKUP(B50,CPU_Formula!A:A,CPU_Formula!I:I)</f>
        <v>0</v>
      </c>
      <c r="K50" s="42" t="e">
        <f>INDEX(Input!$D$2:$AC$500,
       MATCH(B50, Input!$J$2:$J$500, 0),
       MATCH("Total Memory", Input!$D$1:$AC$1, 0))</f>
        <v>#N/A</v>
      </c>
      <c r="L50" s="42" t="e">
        <f>INDEX(Input!$D$2:$AC$500,
       MATCH(B50, Input!$J$2:$J$500, 0),
       MATCH("Memory Type", Input!$D$1:$AC$1, 0))</f>
        <v>#N/A</v>
      </c>
      <c r="M50" s="42" t="str" cm="1">
        <f t="array" ref="M50">IFERROR(_xlfn.FILTERXML("&lt;t&gt;&lt;s&gt;" &amp; SUBSTITUTE(L50," / ","&lt;/s&gt;&lt;s&gt;") &amp; "&lt;/s&gt;&lt;/t&gt;","(//s[contains(.,'DDR')])[1]"),"")</f>
        <v/>
      </c>
      <c r="N50" s="32" t="e">
        <f t="shared" si="2"/>
        <v>#N/A</v>
      </c>
      <c r="O50" s="42" t="e">
        <f>INDEX(Input!$D$2:$AC$500,
       MATCH(B50, Input!$J$2:$J$500, 0),
       MATCH("Disk Interface Type", Input!$D$1:$AC$1, 0))</f>
        <v>#N/A</v>
      </c>
      <c r="P50" s="42" t="str" cm="1">
        <f t="array" ref="P50">IFERROR(_xlfn.TEXTJOIN(", ", TRUE, _xlfn._xlws.FILTER(
    INDEX(Input!$D$2:$AC$500,,MATCH("Disk Capacity",Input!$D$1:$AC$1,0)),
    Input!$J$2:$J$500=B50
)), "")</f>
        <v/>
      </c>
      <c r="Q50" s="32" t="e">
        <f t="shared" si="1"/>
        <v>#N/A</v>
      </c>
      <c r="R50" s="42" t="e">
        <f>_xlfn.LET(_xlpm.Result,INDEX(Input!$D$2:$AC$500,
       MATCH(B50, Input!$J$2:$J$500, 0),
       MATCH("Capacity", Input!$D$1:$AC$1, 0)),IF(_xlpm.Result="","",_xlpm.Result))</f>
        <v>#N/A</v>
      </c>
      <c r="S50" s="42" t="e" cm="1">
        <f t="array" ref="S50">_xlfn.TEXTSPLIT(R50," / ", ,TRUE,0,)</f>
        <v>#N/A</v>
      </c>
      <c r="T50" s="42"/>
      <c r="U50" s="42" t="str" cm="1">
        <f t="array" ref="U50">IFERROR(_xlfn.IFS(
S50="","",
--S50&lt;55,"Battery Defect",
--S50&lt;=69,"Battery D",
--S50&lt;=80,"Battery C",
--S50&gt;80,""
),"")</f>
        <v/>
      </c>
      <c r="V50" s="42" t="str" cm="1">
        <f t="array" ref="V50">IFERROR(_xlfn.IFS(
T50="","",
--T50&lt;55,"Battery Defect",
--T50&lt;=69,"Battery D",
--T50&lt;=80,"Battery C",
--T50&gt;80,""
),"")</f>
        <v/>
      </c>
      <c r="W50" s="42" t="str" cm="1">
        <f t="array" ref="W50:AD50">IFERROR(IF(_xlfn.XLOOKUP(B50,Input!J:J,Input!N:U)=0,"",
          _xlfn.XLOOKUP(B50,Input!J:J,Input!N:U)),"")</f>
        <v/>
      </c>
      <c r="X50" s="42" t="str">
        <v/>
      </c>
      <c r="Y50" s="42" t="str">
        <v/>
      </c>
      <c r="Z50" s="42" t="str">
        <v/>
      </c>
      <c r="AA50" s="42" t="str">
        <v/>
      </c>
      <c r="AB50" s="42" t="str">
        <v/>
      </c>
      <c r="AC50" s="42" t="str">
        <v/>
      </c>
      <c r="AD50" s="42" t="str">
        <v/>
      </c>
      <c r="AE50" s="32" t="str">
        <f t="shared" si="0"/>
        <v/>
      </c>
      <c r="AF50" s="32" t="str">
        <f>_xlfn.XLOOKUP(B:B,Disk_Pivot!G:G,Disk_Pivot!I:I)</f>
        <v>Yes x2</v>
      </c>
      <c r="AG50" s="32" t="str">
        <f>_xlfn.XLOOKUP(B50,Disk_Pivot!G:G,Disk_Pivot!N:N)</f>
        <v>Pass, Fail</v>
      </c>
      <c r="AH50" s="32"/>
      <c r="AI50" s="32"/>
      <c r="AJ50" s="32"/>
      <c r="AK50" s="32"/>
      <c r="AL50" s="32"/>
      <c r="AM50" s="32"/>
    </row>
    <row r="51" spans="1:39">
      <c r="A51" s="32" t="str">
        <f>_xlfn.XLOOKUP(B51,Input!J:J,Input!G:G)&amp;""</f>
        <v/>
      </c>
      <c r="B51" s="32"/>
      <c r="C51" s="32" t="str">
        <f>_xlfn.XLOOKUP(B51,Input!J:J,Input!H:H)&amp;""</f>
        <v/>
      </c>
      <c r="D51" s="42">
        <f>_xlfn.XLOOKUP(B51,Input!J:J,Input!F:F)</f>
        <v>0</v>
      </c>
      <c r="E51" s="32">
        <f>_xlfn.XLOOKUP(D51,Models!H:H,Models!G:G,D51)</f>
        <v>0</v>
      </c>
      <c r="F51" s="32">
        <f>_xlfn.XLOOKUP(B51,Input!J:J,Input!E:E)</f>
        <v>0</v>
      </c>
      <c r="G51" s="32">
        <f>IF(F51="LENOVO",_xlfn.XLOOKUP(B51,Input!J:J,Input!K:K),_xlfn.XLOOKUP(B51,Input!J:J,Input!L:L))</f>
        <v>0</v>
      </c>
      <c r="H51" s="32"/>
      <c r="I51" s="32"/>
      <c r="J51" s="32">
        <f>_xlfn.XLOOKUP(B51,CPU_Formula!A:A,CPU_Formula!I:I)</f>
        <v>0</v>
      </c>
      <c r="K51" s="42" t="e">
        <f>INDEX(Input!$D$2:$AC$500,
       MATCH(B51, Input!$J$2:$J$500, 0),
       MATCH("Total Memory", Input!$D$1:$AC$1, 0))</f>
        <v>#N/A</v>
      </c>
      <c r="L51" s="42" t="e">
        <f>INDEX(Input!$D$2:$AC$500,
       MATCH(B51, Input!$J$2:$J$500, 0),
       MATCH("Memory Type", Input!$D$1:$AC$1, 0))</f>
        <v>#N/A</v>
      </c>
      <c r="M51" s="42" t="str" cm="1">
        <f t="array" ref="M51">IFERROR(_xlfn.FILTERXML("&lt;t&gt;&lt;s&gt;" &amp; SUBSTITUTE(L51," / ","&lt;/s&gt;&lt;s&gt;") &amp; "&lt;/s&gt;&lt;/t&gt;","(//s[contains(.,'DDR')])[1]"),"")</f>
        <v/>
      </c>
      <c r="N51" s="32" t="e">
        <f t="shared" si="2"/>
        <v>#N/A</v>
      </c>
      <c r="O51" s="42" t="e">
        <f>INDEX(Input!$D$2:$AC$500,
       MATCH(B51, Input!$J$2:$J$500, 0),
       MATCH("Disk Interface Type", Input!$D$1:$AC$1, 0))</f>
        <v>#N/A</v>
      </c>
      <c r="P51" s="42" t="str" cm="1">
        <f t="array" ref="P51">IFERROR(_xlfn.TEXTJOIN(", ", TRUE, _xlfn._xlws.FILTER(
    INDEX(Input!$D$2:$AC$500,,MATCH("Disk Capacity",Input!$D$1:$AC$1,0)),
    Input!$J$2:$J$500=B51
)), "")</f>
        <v/>
      </c>
      <c r="Q51" s="32" t="e">
        <f t="shared" si="1"/>
        <v>#N/A</v>
      </c>
      <c r="R51" s="42" t="e">
        <f>_xlfn.LET(_xlpm.Result,INDEX(Input!$D$2:$AC$500,
       MATCH(B51, Input!$J$2:$J$500, 0),
       MATCH("Capacity", Input!$D$1:$AC$1, 0)),IF(_xlpm.Result="","",_xlpm.Result))</f>
        <v>#N/A</v>
      </c>
      <c r="S51" s="42" t="e" cm="1">
        <f t="array" ref="S51">_xlfn.TEXTSPLIT(R51," / ", ,TRUE,0,)</f>
        <v>#N/A</v>
      </c>
      <c r="T51" s="42"/>
      <c r="U51" s="42" t="str" cm="1">
        <f t="array" ref="U51">IFERROR(_xlfn.IFS(
S51="","",
--S51&lt;55,"Battery Defect",
--S51&lt;=69,"Battery D",
--S51&lt;=80,"Battery C",
--S51&gt;80,""
),"")</f>
        <v/>
      </c>
      <c r="V51" s="42" t="str" cm="1">
        <f t="array" ref="V51">IFERROR(_xlfn.IFS(
T51="","",
--T51&lt;55,"Battery Defect",
--T51&lt;=69,"Battery D",
--T51&lt;=80,"Battery C",
--T51&gt;80,""
),"")</f>
        <v/>
      </c>
      <c r="W51" s="42" t="str" cm="1">
        <f t="array" ref="W51:AD51">IFERROR(IF(_xlfn.XLOOKUP(B51,Input!J:J,Input!N:U)=0,"",
          _xlfn.XLOOKUP(B51,Input!J:J,Input!N:U)),"")</f>
        <v/>
      </c>
      <c r="X51" s="42" t="str">
        <v/>
      </c>
      <c r="Y51" s="42" t="str">
        <v/>
      </c>
      <c r="Z51" s="42" t="str">
        <v/>
      </c>
      <c r="AA51" s="42" t="str">
        <v/>
      </c>
      <c r="AB51" s="42" t="str">
        <v/>
      </c>
      <c r="AC51" s="42" t="str">
        <v/>
      </c>
      <c r="AD51" s="42" t="str">
        <v/>
      </c>
      <c r="AE51" s="32" t="str">
        <f t="shared" si="0"/>
        <v/>
      </c>
      <c r="AF51" s="32" t="str">
        <f>_xlfn.XLOOKUP(B:B,Disk_Pivot!G:G,Disk_Pivot!I:I)</f>
        <v>Yes x2</v>
      </c>
      <c r="AG51" s="32" t="str">
        <f>_xlfn.XLOOKUP(B51,Disk_Pivot!G:G,Disk_Pivot!N:N)</f>
        <v>Pass, Fail</v>
      </c>
      <c r="AH51" s="32"/>
      <c r="AI51" s="32"/>
      <c r="AJ51" s="32"/>
      <c r="AK51" s="32"/>
      <c r="AL51" s="32"/>
      <c r="AM51" s="32"/>
    </row>
    <row r="52" spans="1:39">
      <c r="A52" s="32" t="str">
        <f>_xlfn.XLOOKUP(B52,Input!J:J,Input!G:G)&amp;""</f>
        <v/>
      </c>
      <c r="B52" s="32"/>
      <c r="C52" s="32" t="str">
        <f>_xlfn.XLOOKUP(B52,Input!J:J,Input!H:H)&amp;""</f>
        <v/>
      </c>
      <c r="D52" s="42">
        <f>_xlfn.XLOOKUP(B52,Input!J:J,Input!F:F)</f>
        <v>0</v>
      </c>
      <c r="E52" s="32">
        <f>_xlfn.XLOOKUP(D52,Models!H:H,Models!G:G,D52)</f>
        <v>0</v>
      </c>
      <c r="F52" s="32">
        <f>_xlfn.XLOOKUP(B52,Input!J:J,Input!E:E)</f>
        <v>0</v>
      </c>
      <c r="G52" s="32">
        <f>IF(F52="LENOVO",_xlfn.XLOOKUP(B52,Input!J:J,Input!K:K),_xlfn.XLOOKUP(B52,Input!J:J,Input!L:L))</f>
        <v>0</v>
      </c>
      <c r="H52" s="32"/>
      <c r="I52" s="32"/>
      <c r="J52" s="32">
        <f>_xlfn.XLOOKUP(B52,CPU_Formula!A:A,CPU_Formula!I:I)</f>
        <v>0</v>
      </c>
      <c r="K52" s="42" t="e">
        <f>INDEX(Input!$D$2:$AC$500,
       MATCH(B52, Input!$J$2:$J$500, 0),
       MATCH("Total Memory", Input!$D$1:$AC$1, 0))</f>
        <v>#N/A</v>
      </c>
      <c r="L52" s="42" t="e">
        <f>INDEX(Input!$D$2:$AC$500,
       MATCH(B52, Input!$J$2:$J$500, 0),
       MATCH("Memory Type", Input!$D$1:$AC$1, 0))</f>
        <v>#N/A</v>
      </c>
      <c r="M52" s="42" t="str" cm="1">
        <f t="array" ref="M52">IFERROR(_xlfn.FILTERXML("&lt;t&gt;&lt;s&gt;" &amp; SUBSTITUTE(L52," / ","&lt;/s&gt;&lt;s&gt;") &amp; "&lt;/s&gt;&lt;/t&gt;","(//s[contains(.,'DDR')])[1]"),"")</f>
        <v/>
      </c>
      <c r="N52" s="32" t="e">
        <f t="shared" si="2"/>
        <v>#N/A</v>
      </c>
      <c r="O52" s="42" t="e">
        <f>INDEX(Input!$D$2:$AC$500,
       MATCH(B52, Input!$J$2:$J$500, 0),
       MATCH("Disk Interface Type", Input!$D$1:$AC$1, 0))</f>
        <v>#N/A</v>
      </c>
      <c r="P52" s="42" t="str" cm="1">
        <f t="array" ref="P52">IFERROR(_xlfn.TEXTJOIN(", ", TRUE, _xlfn._xlws.FILTER(
    INDEX(Input!$D$2:$AC$500,,MATCH("Disk Capacity",Input!$D$1:$AC$1,0)),
    Input!$J$2:$J$500=B52
)), "")</f>
        <v/>
      </c>
      <c r="Q52" s="32" t="e">
        <f t="shared" si="1"/>
        <v>#N/A</v>
      </c>
      <c r="R52" s="42" t="e">
        <f>_xlfn.LET(_xlpm.Result,INDEX(Input!$D$2:$AC$500,
       MATCH(B52, Input!$J$2:$J$500, 0),
       MATCH("Capacity", Input!$D$1:$AC$1, 0)),IF(_xlpm.Result="","",_xlpm.Result))</f>
        <v>#N/A</v>
      </c>
      <c r="S52" s="42" t="e" cm="1">
        <f t="array" ref="S52">_xlfn.TEXTSPLIT(R52," / ", ,TRUE,0,)</f>
        <v>#N/A</v>
      </c>
      <c r="T52" s="42"/>
      <c r="U52" s="42" t="str" cm="1">
        <f t="array" ref="U52">IFERROR(_xlfn.IFS(
S52="","",
--S52&lt;55,"Battery Defect",
--S52&lt;=69,"Battery D",
--S52&lt;=80,"Battery C",
--S52&gt;80,""
),"")</f>
        <v/>
      </c>
      <c r="V52" s="42" t="str" cm="1">
        <f t="array" ref="V52">IFERROR(_xlfn.IFS(
T52="","",
--T52&lt;55,"Battery Defect",
--T52&lt;=69,"Battery D",
--T52&lt;=80,"Battery C",
--T52&gt;80,""
),"")</f>
        <v/>
      </c>
      <c r="W52" s="42" t="str" cm="1">
        <f t="array" ref="W52:AD52">IFERROR(IF(_xlfn.XLOOKUP(B52,Input!J:J,Input!N:U)=0,"",
          _xlfn.XLOOKUP(B52,Input!J:J,Input!N:U)),"")</f>
        <v/>
      </c>
      <c r="X52" s="42" t="str">
        <v/>
      </c>
      <c r="Y52" s="42" t="str">
        <v/>
      </c>
      <c r="Z52" s="42" t="str">
        <v/>
      </c>
      <c r="AA52" s="42" t="str">
        <v/>
      </c>
      <c r="AB52" s="42" t="str">
        <v/>
      </c>
      <c r="AC52" s="42" t="str">
        <v/>
      </c>
      <c r="AD52" s="42" t="str">
        <v/>
      </c>
      <c r="AE52" s="32" t="str">
        <f t="shared" si="0"/>
        <v/>
      </c>
      <c r="AF52" s="32" t="str">
        <f>_xlfn.XLOOKUP(B:B,Disk_Pivot!G:G,Disk_Pivot!I:I)</f>
        <v>Yes x2</v>
      </c>
      <c r="AG52" s="32" t="str">
        <f>_xlfn.XLOOKUP(B52,Disk_Pivot!G:G,Disk_Pivot!N:N)</f>
        <v>Pass, Fail</v>
      </c>
      <c r="AH52" s="32"/>
      <c r="AI52" s="32"/>
      <c r="AJ52" s="32"/>
      <c r="AK52" s="32"/>
      <c r="AL52" s="32"/>
      <c r="AM52" s="32"/>
    </row>
    <row r="53" spans="1:39">
      <c r="A53" s="32" t="str">
        <f>_xlfn.XLOOKUP(B53,Input!J:J,Input!G:G)&amp;""</f>
        <v/>
      </c>
      <c r="B53" s="32"/>
      <c r="C53" s="32" t="str">
        <f>_xlfn.XLOOKUP(B53,Input!J:J,Input!H:H)&amp;""</f>
        <v/>
      </c>
      <c r="D53" s="42">
        <f>_xlfn.XLOOKUP(B53,Input!J:J,Input!F:F)</f>
        <v>0</v>
      </c>
      <c r="E53" s="32">
        <f>_xlfn.XLOOKUP(D53,Models!H:H,Models!G:G,D53)</f>
        <v>0</v>
      </c>
      <c r="F53" s="32">
        <f>_xlfn.XLOOKUP(B53,Input!J:J,Input!E:E)</f>
        <v>0</v>
      </c>
      <c r="G53" s="32">
        <f>IF(F53="LENOVO",_xlfn.XLOOKUP(B53,Input!J:J,Input!K:K),_xlfn.XLOOKUP(B53,Input!J:J,Input!L:L))</f>
        <v>0</v>
      </c>
      <c r="H53" s="32"/>
      <c r="I53" s="32"/>
      <c r="J53" s="32">
        <f>_xlfn.XLOOKUP(B53,CPU_Formula!A:A,CPU_Formula!I:I)</f>
        <v>0</v>
      </c>
      <c r="K53" s="42" t="e">
        <f>INDEX(Input!$D$2:$AC$500,
       MATCH(B53, Input!$J$2:$J$500, 0),
       MATCH("Total Memory", Input!$D$1:$AC$1, 0))</f>
        <v>#N/A</v>
      </c>
      <c r="L53" s="42" t="e">
        <f>INDEX(Input!$D$2:$AC$500,
       MATCH(B53, Input!$J$2:$J$500, 0),
       MATCH("Memory Type", Input!$D$1:$AC$1, 0))</f>
        <v>#N/A</v>
      </c>
      <c r="M53" s="42" t="str" cm="1">
        <f t="array" ref="M53">IFERROR(_xlfn.FILTERXML("&lt;t&gt;&lt;s&gt;" &amp; SUBSTITUTE(L53," / ","&lt;/s&gt;&lt;s&gt;") &amp; "&lt;/s&gt;&lt;/t&gt;","(//s[contains(.,'DDR')])[1]"),"")</f>
        <v/>
      </c>
      <c r="N53" s="32" t="e">
        <f t="shared" si="2"/>
        <v>#N/A</v>
      </c>
      <c r="O53" s="42" t="e">
        <f>INDEX(Input!$D$2:$AC$500,
       MATCH(B53, Input!$J$2:$J$500, 0),
       MATCH("Disk Interface Type", Input!$D$1:$AC$1, 0))</f>
        <v>#N/A</v>
      </c>
      <c r="P53" s="42" t="str" cm="1">
        <f t="array" ref="P53">IFERROR(_xlfn.TEXTJOIN(", ", TRUE, _xlfn._xlws.FILTER(
    INDEX(Input!$D$2:$AC$500,,MATCH("Disk Capacity",Input!$D$1:$AC$1,0)),
    Input!$J$2:$J$500=B53
)), "")</f>
        <v/>
      </c>
      <c r="Q53" s="32" t="e">
        <f t="shared" si="1"/>
        <v>#N/A</v>
      </c>
      <c r="R53" s="42" t="e">
        <f>_xlfn.LET(_xlpm.Result,INDEX(Input!$D$2:$AC$500,
       MATCH(B53, Input!$J$2:$J$500, 0),
       MATCH("Capacity", Input!$D$1:$AC$1, 0)),IF(_xlpm.Result="","",_xlpm.Result))</f>
        <v>#N/A</v>
      </c>
      <c r="S53" s="42" t="e" cm="1">
        <f t="array" ref="S53">_xlfn.TEXTSPLIT(R53," / ", ,TRUE,0,)</f>
        <v>#N/A</v>
      </c>
      <c r="T53" s="42"/>
      <c r="U53" s="42" t="str" cm="1">
        <f t="array" ref="U53">IFERROR(_xlfn.IFS(
S53="","",
--S53&lt;55,"Battery Defect",
--S53&lt;=69,"Battery D",
--S53&lt;=80,"Battery C",
--S53&gt;80,""
),"")</f>
        <v/>
      </c>
      <c r="V53" s="42" t="str" cm="1">
        <f t="array" ref="V53">IFERROR(_xlfn.IFS(
T53="","",
--T53&lt;55,"Battery Defect",
--T53&lt;=69,"Battery D",
--T53&lt;=80,"Battery C",
--T53&gt;80,""
),"")</f>
        <v/>
      </c>
      <c r="W53" s="42" t="str" cm="1">
        <f t="array" ref="W53:AD53">IFERROR(IF(_xlfn.XLOOKUP(B53,Input!J:J,Input!N:U)=0,"",
          _xlfn.XLOOKUP(B53,Input!J:J,Input!N:U)),"")</f>
        <v/>
      </c>
      <c r="X53" s="42" t="str">
        <v/>
      </c>
      <c r="Y53" s="42" t="str">
        <v/>
      </c>
      <c r="Z53" s="42" t="str">
        <v/>
      </c>
      <c r="AA53" s="42" t="str">
        <v/>
      </c>
      <c r="AB53" s="42" t="str">
        <v/>
      </c>
      <c r="AC53" s="42" t="str">
        <v/>
      </c>
      <c r="AD53" s="42" t="str">
        <v/>
      </c>
      <c r="AE53" s="32" t="str">
        <f t="shared" si="0"/>
        <v/>
      </c>
      <c r="AF53" s="32" t="str">
        <f>_xlfn.XLOOKUP(B:B,Disk_Pivot!G:G,Disk_Pivot!I:I)</f>
        <v>Yes x2</v>
      </c>
      <c r="AG53" s="32" t="str">
        <f>_xlfn.XLOOKUP(B53,Disk_Pivot!G:G,Disk_Pivot!N:N)</f>
        <v>Pass, Fail</v>
      </c>
      <c r="AH53" s="32"/>
      <c r="AI53" s="32"/>
      <c r="AJ53" s="32"/>
      <c r="AK53" s="32"/>
      <c r="AL53" s="32"/>
      <c r="AM53" s="32"/>
    </row>
    <row r="54" spans="1:39">
      <c r="A54" s="32" t="str">
        <f>_xlfn.XLOOKUP(B54,Input!J:J,Input!G:G)&amp;""</f>
        <v/>
      </c>
      <c r="B54" s="32"/>
      <c r="C54" s="32" t="str">
        <f>_xlfn.XLOOKUP(B54,Input!J:J,Input!H:H)&amp;""</f>
        <v/>
      </c>
      <c r="D54" s="42">
        <f>_xlfn.XLOOKUP(B54,Input!J:J,Input!F:F)</f>
        <v>0</v>
      </c>
      <c r="E54" s="32">
        <f>_xlfn.XLOOKUP(D54,Models!H:H,Models!G:G,D54)</f>
        <v>0</v>
      </c>
      <c r="F54" s="32">
        <f>_xlfn.XLOOKUP(B54,Input!J:J,Input!E:E)</f>
        <v>0</v>
      </c>
      <c r="G54" s="32">
        <f>IF(F54="LENOVO",_xlfn.XLOOKUP(B54,Input!J:J,Input!K:K),_xlfn.XLOOKUP(B54,Input!J:J,Input!L:L))</f>
        <v>0</v>
      </c>
      <c r="H54" s="32"/>
      <c r="I54" s="32"/>
      <c r="J54" s="32">
        <f>_xlfn.XLOOKUP(B54,CPU_Formula!A:A,CPU_Formula!I:I)</f>
        <v>0</v>
      </c>
      <c r="K54" s="42" t="e">
        <f>INDEX(Input!$D$2:$AC$500,
       MATCH(B54, Input!$J$2:$J$500, 0),
       MATCH("Total Memory", Input!$D$1:$AC$1, 0))</f>
        <v>#N/A</v>
      </c>
      <c r="L54" s="42" t="e">
        <f>INDEX(Input!$D$2:$AC$500,
       MATCH(B54, Input!$J$2:$J$500, 0),
       MATCH("Memory Type", Input!$D$1:$AC$1, 0))</f>
        <v>#N/A</v>
      </c>
      <c r="M54" s="42" t="str" cm="1">
        <f t="array" ref="M54">IFERROR(_xlfn.FILTERXML("&lt;t&gt;&lt;s&gt;" &amp; SUBSTITUTE(L54," / ","&lt;/s&gt;&lt;s&gt;") &amp; "&lt;/s&gt;&lt;/t&gt;","(//s[contains(.,'DDR')])[1]"),"")</f>
        <v/>
      </c>
      <c r="N54" s="32" t="e">
        <f t="shared" si="2"/>
        <v>#N/A</v>
      </c>
      <c r="O54" s="42" t="e">
        <f>INDEX(Input!$D$2:$AC$500,
       MATCH(B54, Input!$J$2:$J$500, 0),
       MATCH("Disk Interface Type", Input!$D$1:$AC$1, 0))</f>
        <v>#N/A</v>
      </c>
      <c r="P54" s="42" t="str" cm="1">
        <f t="array" ref="P54">IFERROR(_xlfn.TEXTJOIN(", ", TRUE, _xlfn._xlws.FILTER(
    INDEX(Input!$D$2:$AC$500,,MATCH("Disk Capacity",Input!$D$1:$AC$1,0)),
    Input!$J$2:$J$500=B54
)), "")</f>
        <v/>
      </c>
      <c r="Q54" s="32" t="e">
        <f t="shared" si="1"/>
        <v>#N/A</v>
      </c>
      <c r="R54" s="42" t="e">
        <f>_xlfn.LET(_xlpm.Result,INDEX(Input!$D$2:$AC$500,
       MATCH(B54, Input!$J$2:$J$500, 0),
       MATCH("Capacity", Input!$D$1:$AC$1, 0)),IF(_xlpm.Result="","",_xlpm.Result))</f>
        <v>#N/A</v>
      </c>
      <c r="S54" s="42" t="e" cm="1">
        <f t="array" ref="S54">_xlfn.TEXTSPLIT(R54," / ", ,TRUE,0,)</f>
        <v>#N/A</v>
      </c>
      <c r="T54" s="42"/>
      <c r="U54" s="42" t="str" cm="1">
        <f t="array" ref="U54">IFERROR(_xlfn.IFS(
S54="","",
--S54&lt;55,"Battery Defect",
--S54&lt;=69,"Battery D",
--S54&lt;=80,"Battery C",
--S54&gt;80,""
),"")</f>
        <v/>
      </c>
      <c r="V54" s="42" t="str" cm="1">
        <f t="array" ref="V54">IFERROR(_xlfn.IFS(
T54="","",
--T54&lt;55,"Battery Defect",
--T54&lt;=69,"Battery D",
--T54&lt;=80,"Battery C",
--T54&gt;80,""
),"")</f>
        <v/>
      </c>
      <c r="W54" s="42" t="str" cm="1">
        <f t="array" ref="W54:AD54">IFERROR(IF(_xlfn.XLOOKUP(B54,Input!J:J,Input!N:U)=0,"",
          _xlfn.XLOOKUP(B54,Input!J:J,Input!N:U)),"")</f>
        <v/>
      </c>
      <c r="X54" s="42" t="str">
        <v/>
      </c>
      <c r="Y54" s="42" t="str">
        <v/>
      </c>
      <c r="Z54" s="42" t="str">
        <v/>
      </c>
      <c r="AA54" s="42" t="str">
        <v/>
      </c>
      <c r="AB54" s="42" t="str">
        <v/>
      </c>
      <c r="AC54" s="42" t="str">
        <v/>
      </c>
      <c r="AD54" s="42" t="str">
        <v/>
      </c>
      <c r="AE54" s="32" t="str">
        <f t="shared" si="0"/>
        <v/>
      </c>
      <c r="AF54" s="32" t="str">
        <f>_xlfn.XLOOKUP(B:B,Disk_Pivot!G:G,Disk_Pivot!I:I)</f>
        <v>Yes x2</v>
      </c>
      <c r="AG54" s="32" t="str">
        <f>_xlfn.XLOOKUP(B54,Disk_Pivot!G:G,Disk_Pivot!N:N)</f>
        <v>Pass, Fail</v>
      </c>
      <c r="AH54" s="32"/>
      <c r="AI54" s="32"/>
      <c r="AJ54" s="32"/>
      <c r="AK54" s="32"/>
      <c r="AL54" s="32"/>
      <c r="AM54" s="32"/>
    </row>
    <row r="55" spans="1:39">
      <c r="A55" s="32" t="str">
        <f>_xlfn.XLOOKUP(B55,Input!J:J,Input!G:G)&amp;""</f>
        <v/>
      </c>
      <c r="B55" s="32"/>
      <c r="C55" s="32" t="str">
        <f>_xlfn.XLOOKUP(B55,Input!J:J,Input!H:H)&amp;""</f>
        <v/>
      </c>
      <c r="D55" s="42">
        <f>_xlfn.XLOOKUP(B55,Input!J:J,Input!F:F)</f>
        <v>0</v>
      </c>
      <c r="E55" s="32">
        <f>_xlfn.XLOOKUP(D55,Models!H:H,Models!G:G,D55)</f>
        <v>0</v>
      </c>
      <c r="F55" s="32">
        <f>_xlfn.XLOOKUP(B55,Input!J:J,Input!E:E)</f>
        <v>0</v>
      </c>
      <c r="G55" s="32">
        <f>IF(F55="LENOVO",_xlfn.XLOOKUP(B55,Input!J:J,Input!K:K),_xlfn.XLOOKUP(B55,Input!J:J,Input!L:L))</f>
        <v>0</v>
      </c>
      <c r="H55" s="32"/>
      <c r="I55" s="32"/>
      <c r="J55" s="32">
        <f>_xlfn.XLOOKUP(B55,CPU_Formula!A:A,CPU_Formula!I:I)</f>
        <v>0</v>
      </c>
      <c r="K55" s="42" t="e">
        <f>INDEX(Input!$D$2:$AC$500,
       MATCH(B55, Input!$J$2:$J$500, 0),
       MATCH("Total Memory", Input!$D$1:$AC$1, 0))</f>
        <v>#N/A</v>
      </c>
      <c r="L55" s="42" t="e">
        <f>INDEX(Input!$D$2:$AC$500,
       MATCH(B55, Input!$J$2:$J$500, 0),
       MATCH("Memory Type", Input!$D$1:$AC$1, 0))</f>
        <v>#N/A</v>
      </c>
      <c r="M55" s="42" t="str" cm="1">
        <f t="array" ref="M55">IFERROR(_xlfn.FILTERXML("&lt;t&gt;&lt;s&gt;" &amp; SUBSTITUTE(L55," / ","&lt;/s&gt;&lt;s&gt;") &amp; "&lt;/s&gt;&lt;/t&gt;","(//s[contains(.,'DDR')])[1]"),"")</f>
        <v/>
      </c>
      <c r="N55" s="32" t="e">
        <f t="shared" si="2"/>
        <v>#N/A</v>
      </c>
      <c r="O55" s="42" t="e">
        <f>INDEX(Input!$D$2:$AC$500,
       MATCH(B55, Input!$J$2:$J$500, 0),
       MATCH("Disk Interface Type", Input!$D$1:$AC$1, 0))</f>
        <v>#N/A</v>
      </c>
      <c r="P55" s="42" t="str" cm="1">
        <f t="array" ref="P55">IFERROR(_xlfn.TEXTJOIN(", ", TRUE, _xlfn._xlws.FILTER(
    INDEX(Input!$D$2:$AC$500,,MATCH("Disk Capacity",Input!$D$1:$AC$1,0)),
    Input!$J$2:$J$500=B55
)), "")</f>
        <v/>
      </c>
      <c r="Q55" s="32" t="e">
        <f t="shared" si="1"/>
        <v>#N/A</v>
      </c>
      <c r="R55" s="42" t="e">
        <f>_xlfn.LET(_xlpm.Result,INDEX(Input!$D$2:$AC$500,
       MATCH(B55, Input!$J$2:$J$500, 0),
       MATCH("Capacity", Input!$D$1:$AC$1, 0)),IF(_xlpm.Result="","",_xlpm.Result))</f>
        <v>#N/A</v>
      </c>
      <c r="S55" s="42" t="e" cm="1">
        <f t="array" ref="S55">_xlfn.TEXTSPLIT(R55," / ", ,TRUE,0,)</f>
        <v>#N/A</v>
      </c>
      <c r="T55" s="42"/>
      <c r="U55" s="42" t="str" cm="1">
        <f t="array" ref="U55">IFERROR(_xlfn.IFS(
S55="","",
--S55&lt;55,"Battery Defect",
--S55&lt;=69,"Battery D",
--S55&lt;=80,"Battery C",
--S55&gt;80,""
),"")</f>
        <v/>
      </c>
      <c r="V55" s="42" t="str" cm="1">
        <f t="array" ref="V55">IFERROR(_xlfn.IFS(
T55="","",
--T55&lt;55,"Battery Defect",
--T55&lt;=69,"Battery D",
--T55&lt;=80,"Battery C",
--T55&gt;80,""
),"")</f>
        <v/>
      </c>
      <c r="W55" s="42" t="str" cm="1">
        <f t="array" ref="W55:AD55">IFERROR(IF(_xlfn.XLOOKUP(B55,Input!J:J,Input!N:U)=0,"",
          _xlfn.XLOOKUP(B55,Input!J:J,Input!N:U)),"")</f>
        <v/>
      </c>
      <c r="X55" s="42" t="str">
        <v/>
      </c>
      <c r="Y55" s="42" t="str">
        <v/>
      </c>
      <c r="Z55" s="42" t="str">
        <v/>
      </c>
      <c r="AA55" s="42" t="str">
        <v/>
      </c>
      <c r="AB55" s="42" t="str">
        <v/>
      </c>
      <c r="AC55" s="42" t="str">
        <v/>
      </c>
      <c r="AD55" s="42" t="str">
        <v/>
      </c>
      <c r="AE55" s="32" t="str">
        <f t="shared" si="0"/>
        <v/>
      </c>
      <c r="AF55" s="32" t="str">
        <f>_xlfn.XLOOKUP(B:B,Disk_Pivot!G:G,Disk_Pivot!I:I)</f>
        <v>Yes x2</v>
      </c>
      <c r="AG55" s="32" t="str">
        <f>_xlfn.XLOOKUP(B55,Disk_Pivot!G:G,Disk_Pivot!N:N)</f>
        <v>Pass, Fail</v>
      </c>
      <c r="AH55" s="32"/>
      <c r="AI55" s="32"/>
      <c r="AJ55" s="32"/>
      <c r="AK55" s="32"/>
      <c r="AL55" s="32"/>
      <c r="AM55" s="32"/>
    </row>
    <row r="56" spans="1:39">
      <c r="A56" s="32" t="str">
        <f>_xlfn.XLOOKUP(B56,Input!J:J,Input!G:G)&amp;""</f>
        <v/>
      </c>
      <c r="B56" s="32"/>
      <c r="C56" s="32" t="str">
        <f>_xlfn.XLOOKUP(B56,Input!J:J,Input!H:H)&amp;""</f>
        <v/>
      </c>
      <c r="D56" s="42">
        <f>_xlfn.XLOOKUP(B56,Input!J:J,Input!F:F)</f>
        <v>0</v>
      </c>
      <c r="E56" s="32">
        <f>_xlfn.XLOOKUP(D56,Models!H:H,Models!G:G,D56)</f>
        <v>0</v>
      </c>
      <c r="F56" s="32">
        <f>_xlfn.XLOOKUP(B56,Input!J:J,Input!E:E)</f>
        <v>0</v>
      </c>
      <c r="G56" s="32">
        <f>IF(F56="LENOVO",_xlfn.XLOOKUP(B56,Input!J:J,Input!K:K),_xlfn.XLOOKUP(B56,Input!J:J,Input!L:L))</f>
        <v>0</v>
      </c>
      <c r="H56" s="32"/>
      <c r="I56" s="32"/>
      <c r="J56" s="32">
        <f>_xlfn.XLOOKUP(B56,CPU_Formula!A:A,CPU_Formula!I:I)</f>
        <v>0</v>
      </c>
      <c r="K56" s="42" t="e">
        <f>INDEX(Input!$D$2:$AC$500,
       MATCH(B56, Input!$J$2:$J$500, 0),
       MATCH("Total Memory", Input!$D$1:$AC$1, 0))</f>
        <v>#N/A</v>
      </c>
      <c r="L56" s="42" t="e">
        <f>INDEX(Input!$D$2:$AC$500,
       MATCH(B56, Input!$J$2:$J$500, 0),
       MATCH("Memory Type", Input!$D$1:$AC$1, 0))</f>
        <v>#N/A</v>
      </c>
      <c r="M56" s="42" t="str" cm="1">
        <f t="array" ref="M56">IFERROR(_xlfn.FILTERXML("&lt;t&gt;&lt;s&gt;" &amp; SUBSTITUTE(L56," / ","&lt;/s&gt;&lt;s&gt;") &amp; "&lt;/s&gt;&lt;/t&gt;","(//s[contains(.,'DDR')])[1]"),"")</f>
        <v/>
      </c>
      <c r="N56" s="32" t="e">
        <f t="shared" si="2"/>
        <v>#N/A</v>
      </c>
      <c r="O56" s="42" t="e">
        <f>INDEX(Input!$D$2:$AC$500,
       MATCH(B56, Input!$J$2:$J$500, 0),
       MATCH("Disk Interface Type", Input!$D$1:$AC$1, 0))</f>
        <v>#N/A</v>
      </c>
      <c r="P56" s="42" t="str" cm="1">
        <f t="array" ref="P56">IFERROR(_xlfn.TEXTJOIN(", ", TRUE, _xlfn._xlws.FILTER(
    INDEX(Input!$D$2:$AC$500,,MATCH("Disk Capacity",Input!$D$1:$AC$1,0)),
    Input!$J$2:$J$500=B56
)), "")</f>
        <v/>
      </c>
      <c r="Q56" s="32" t="e">
        <f t="shared" si="1"/>
        <v>#N/A</v>
      </c>
      <c r="R56" s="42" t="e">
        <f>_xlfn.LET(_xlpm.Result,INDEX(Input!$D$2:$AC$500,
       MATCH(B56, Input!$J$2:$J$500, 0),
       MATCH("Capacity", Input!$D$1:$AC$1, 0)),IF(_xlpm.Result="","",_xlpm.Result))</f>
        <v>#N/A</v>
      </c>
      <c r="S56" s="42" t="e" cm="1">
        <f t="array" ref="S56">_xlfn.TEXTSPLIT(R56," / ", ,TRUE,0,)</f>
        <v>#N/A</v>
      </c>
      <c r="T56" s="42"/>
      <c r="U56" s="42" t="str" cm="1">
        <f t="array" ref="U56">IFERROR(_xlfn.IFS(
S56="","",
--S56&lt;55,"Battery Defect",
--S56&lt;=69,"Battery D",
--S56&lt;=80,"Battery C",
--S56&gt;80,""
),"")</f>
        <v/>
      </c>
      <c r="V56" s="42" t="str" cm="1">
        <f t="array" ref="V56">IFERROR(_xlfn.IFS(
T56="","",
--T56&lt;55,"Battery Defect",
--T56&lt;=69,"Battery D",
--T56&lt;=80,"Battery C",
--T56&gt;80,""
),"")</f>
        <v/>
      </c>
      <c r="W56" s="42" t="str" cm="1">
        <f t="array" ref="W56:AD56">IFERROR(IF(_xlfn.XLOOKUP(B56,Input!J:J,Input!N:U)=0,"",
          _xlfn.XLOOKUP(B56,Input!J:J,Input!N:U)),"")</f>
        <v/>
      </c>
      <c r="X56" s="42" t="str">
        <v/>
      </c>
      <c r="Y56" s="42" t="str">
        <v/>
      </c>
      <c r="Z56" s="42" t="str">
        <v/>
      </c>
      <c r="AA56" s="42" t="str">
        <v/>
      </c>
      <c r="AB56" s="42" t="str">
        <v/>
      </c>
      <c r="AC56" s="42" t="str">
        <v/>
      </c>
      <c r="AD56" s="42" t="str">
        <v/>
      </c>
      <c r="AE56" s="32" t="str">
        <f t="shared" si="0"/>
        <v/>
      </c>
      <c r="AF56" s="32" t="str">
        <f>_xlfn.XLOOKUP(B:B,Disk_Pivot!G:G,Disk_Pivot!I:I)</f>
        <v>Yes x2</v>
      </c>
      <c r="AG56" s="32" t="str">
        <f>_xlfn.XLOOKUP(B56,Disk_Pivot!G:G,Disk_Pivot!N:N)</f>
        <v>Pass, Fail</v>
      </c>
      <c r="AH56" s="32"/>
      <c r="AI56" s="32"/>
      <c r="AJ56" s="32"/>
      <c r="AK56" s="32"/>
      <c r="AL56" s="32"/>
      <c r="AM56" s="32"/>
    </row>
    <row r="57" spans="1:39">
      <c r="A57" s="32" t="str">
        <f>_xlfn.XLOOKUP(B57,Input!J:J,Input!G:G)&amp;""</f>
        <v/>
      </c>
      <c r="B57" s="32"/>
      <c r="C57" s="32" t="str">
        <f>_xlfn.XLOOKUP(B57,Input!J:J,Input!H:H)&amp;""</f>
        <v/>
      </c>
      <c r="D57" s="42">
        <f>_xlfn.XLOOKUP(B57,Input!J:J,Input!F:F)</f>
        <v>0</v>
      </c>
      <c r="E57" s="32">
        <f>_xlfn.XLOOKUP(D57,Models!H:H,Models!G:G,D57)</f>
        <v>0</v>
      </c>
      <c r="F57" s="32">
        <f>_xlfn.XLOOKUP(B57,Input!J:J,Input!E:E)</f>
        <v>0</v>
      </c>
      <c r="G57" s="32">
        <f>IF(F57="LENOVO",_xlfn.XLOOKUP(B57,Input!J:J,Input!K:K),_xlfn.XLOOKUP(B57,Input!J:J,Input!L:L))</f>
        <v>0</v>
      </c>
      <c r="H57" s="32"/>
      <c r="I57" s="32"/>
      <c r="J57" s="32">
        <f>_xlfn.XLOOKUP(B57,CPU_Formula!A:A,CPU_Formula!I:I)</f>
        <v>0</v>
      </c>
      <c r="K57" s="42" t="e">
        <f>INDEX(Input!$D$2:$AC$500,
       MATCH(B57, Input!$J$2:$J$500, 0),
       MATCH("Total Memory", Input!$D$1:$AC$1, 0))</f>
        <v>#N/A</v>
      </c>
      <c r="L57" s="42" t="e">
        <f>INDEX(Input!$D$2:$AC$500,
       MATCH(B57, Input!$J$2:$J$500, 0),
       MATCH("Memory Type", Input!$D$1:$AC$1, 0))</f>
        <v>#N/A</v>
      </c>
      <c r="M57" s="42" t="str" cm="1">
        <f t="array" ref="M57">IFERROR(_xlfn.FILTERXML("&lt;t&gt;&lt;s&gt;" &amp; SUBSTITUTE(L57," / ","&lt;/s&gt;&lt;s&gt;") &amp; "&lt;/s&gt;&lt;/t&gt;","(//s[contains(.,'DDR')])[1]"),"")</f>
        <v/>
      </c>
      <c r="N57" s="32" t="e">
        <f t="shared" si="2"/>
        <v>#N/A</v>
      </c>
      <c r="O57" s="42" t="e">
        <f>INDEX(Input!$D$2:$AC$500,
       MATCH(B57, Input!$J$2:$J$500, 0),
       MATCH("Disk Interface Type", Input!$D$1:$AC$1, 0))</f>
        <v>#N/A</v>
      </c>
      <c r="P57" s="42" t="str" cm="1">
        <f t="array" ref="P57">IFERROR(_xlfn.TEXTJOIN(", ", TRUE, _xlfn._xlws.FILTER(
    INDEX(Input!$D$2:$AC$500,,MATCH("Disk Capacity",Input!$D$1:$AC$1,0)),
    Input!$J$2:$J$500=B57
)), "")</f>
        <v/>
      </c>
      <c r="Q57" s="32" t="e">
        <f t="shared" si="1"/>
        <v>#N/A</v>
      </c>
      <c r="R57" s="42" t="e">
        <f>_xlfn.LET(_xlpm.Result,INDEX(Input!$D$2:$AC$500,
       MATCH(B57, Input!$J$2:$J$500, 0),
       MATCH("Capacity", Input!$D$1:$AC$1, 0)),IF(_xlpm.Result="","",_xlpm.Result))</f>
        <v>#N/A</v>
      </c>
      <c r="S57" s="42" t="e" cm="1">
        <f t="array" ref="S57">_xlfn.TEXTSPLIT(R57," / ", ,TRUE,0,)</f>
        <v>#N/A</v>
      </c>
      <c r="T57" s="42"/>
      <c r="U57" s="42" t="str" cm="1">
        <f t="array" ref="U57">IFERROR(_xlfn.IFS(
S57="","",
--S57&lt;55,"Battery Defect",
--S57&lt;=69,"Battery D",
--S57&lt;=80,"Battery C",
--S57&gt;80,""
),"")</f>
        <v/>
      </c>
      <c r="V57" s="42" t="str" cm="1">
        <f t="array" ref="V57">IFERROR(_xlfn.IFS(
T57="","",
--T57&lt;55,"Battery Defect",
--T57&lt;=69,"Battery D",
--T57&lt;=80,"Battery C",
--T57&gt;80,""
),"")</f>
        <v/>
      </c>
      <c r="W57" s="42" t="str" cm="1">
        <f t="array" ref="W57:AD57">IFERROR(IF(_xlfn.XLOOKUP(B57,Input!J:J,Input!N:U)=0,"",
          _xlfn.XLOOKUP(B57,Input!J:J,Input!N:U)),"")</f>
        <v/>
      </c>
      <c r="X57" s="42" t="str">
        <v/>
      </c>
      <c r="Y57" s="42" t="str">
        <v/>
      </c>
      <c r="Z57" s="42" t="str">
        <v/>
      </c>
      <c r="AA57" s="42" t="str">
        <v/>
      </c>
      <c r="AB57" s="42" t="str">
        <v/>
      </c>
      <c r="AC57" s="42" t="str">
        <v/>
      </c>
      <c r="AD57" s="42" t="str">
        <v/>
      </c>
      <c r="AE57" s="32" t="str">
        <f t="shared" si="0"/>
        <v/>
      </c>
      <c r="AF57" s="32" t="str">
        <f>_xlfn.XLOOKUP(B:B,Disk_Pivot!G:G,Disk_Pivot!I:I)</f>
        <v>Yes x2</v>
      </c>
      <c r="AG57" s="32" t="str">
        <f>_xlfn.XLOOKUP(B57,Disk_Pivot!G:G,Disk_Pivot!N:N)</f>
        <v>Pass, Fail</v>
      </c>
      <c r="AH57" s="32"/>
      <c r="AI57" s="32"/>
      <c r="AJ57" s="32"/>
      <c r="AK57" s="32"/>
      <c r="AL57" s="32"/>
      <c r="AM57" s="32"/>
    </row>
    <row r="58" spans="1:39">
      <c r="A58" s="32" t="str">
        <f>_xlfn.XLOOKUP(B58,Input!J:J,Input!G:G)&amp;""</f>
        <v/>
      </c>
      <c r="B58" s="32"/>
      <c r="C58" s="32" t="str">
        <f>_xlfn.XLOOKUP(B58,Input!J:J,Input!H:H)&amp;""</f>
        <v/>
      </c>
      <c r="D58" s="42">
        <f>_xlfn.XLOOKUP(B58,Input!J:J,Input!F:F)</f>
        <v>0</v>
      </c>
      <c r="E58" s="32">
        <f>_xlfn.XLOOKUP(D58,Models!H:H,Models!G:G,D58)</f>
        <v>0</v>
      </c>
      <c r="F58" s="32">
        <f>_xlfn.XLOOKUP(B58,Input!J:J,Input!E:E)</f>
        <v>0</v>
      </c>
      <c r="G58" s="32">
        <f>IF(F58="LENOVO",_xlfn.XLOOKUP(B58,Input!J:J,Input!K:K),_xlfn.XLOOKUP(B58,Input!J:J,Input!L:L))</f>
        <v>0</v>
      </c>
      <c r="H58" s="32"/>
      <c r="I58" s="32"/>
      <c r="J58" s="32">
        <f>_xlfn.XLOOKUP(B58,CPU_Formula!A:A,CPU_Formula!I:I)</f>
        <v>0</v>
      </c>
      <c r="K58" s="42" t="e">
        <f>INDEX(Input!$D$2:$AC$500,
       MATCH(B58, Input!$J$2:$J$500, 0),
       MATCH("Total Memory", Input!$D$1:$AC$1, 0))</f>
        <v>#N/A</v>
      </c>
      <c r="L58" s="42" t="e">
        <f>INDEX(Input!$D$2:$AC$500,
       MATCH(B58, Input!$J$2:$J$500, 0),
       MATCH("Memory Type", Input!$D$1:$AC$1, 0))</f>
        <v>#N/A</v>
      </c>
      <c r="M58" s="42" t="str" cm="1">
        <f t="array" ref="M58">IFERROR(_xlfn.FILTERXML("&lt;t&gt;&lt;s&gt;" &amp; SUBSTITUTE(L58," / ","&lt;/s&gt;&lt;s&gt;") &amp; "&lt;/s&gt;&lt;/t&gt;","(//s[contains(.,'DDR')])[1]"),"")</f>
        <v/>
      </c>
      <c r="N58" s="32" t="e">
        <f t="shared" si="2"/>
        <v>#N/A</v>
      </c>
      <c r="O58" s="42" t="e">
        <f>INDEX(Input!$D$2:$AC$500,
       MATCH(B58, Input!$J$2:$J$500, 0),
       MATCH("Disk Interface Type", Input!$D$1:$AC$1, 0))</f>
        <v>#N/A</v>
      </c>
      <c r="P58" s="42" t="str" cm="1">
        <f t="array" ref="P58">IFERROR(_xlfn.TEXTJOIN(", ", TRUE, _xlfn._xlws.FILTER(
    INDEX(Input!$D$2:$AC$500,,MATCH("Disk Capacity",Input!$D$1:$AC$1,0)),
    Input!$J$2:$J$500=B58
)), "")</f>
        <v/>
      </c>
      <c r="Q58" s="32" t="e">
        <f t="shared" si="1"/>
        <v>#N/A</v>
      </c>
      <c r="R58" s="42" t="e">
        <f>_xlfn.LET(_xlpm.Result,INDEX(Input!$D$2:$AC$500,
       MATCH(B58, Input!$J$2:$J$500, 0),
       MATCH("Capacity", Input!$D$1:$AC$1, 0)),IF(_xlpm.Result="","",_xlpm.Result))</f>
        <v>#N/A</v>
      </c>
      <c r="S58" s="42" t="e" cm="1">
        <f t="array" ref="S58">_xlfn.TEXTSPLIT(R58," / ", ,TRUE,0,)</f>
        <v>#N/A</v>
      </c>
      <c r="T58" s="42"/>
      <c r="U58" s="42" t="str" cm="1">
        <f t="array" ref="U58">IFERROR(_xlfn.IFS(
S58="","",
--S58&lt;55,"Battery Defect",
--S58&lt;=69,"Battery D",
--S58&lt;=80,"Battery C",
--S58&gt;80,""
),"")</f>
        <v/>
      </c>
      <c r="V58" s="42" t="str" cm="1">
        <f t="array" ref="V58">IFERROR(_xlfn.IFS(
T58="","",
--T58&lt;55,"Battery Defect",
--T58&lt;=69,"Battery D",
--T58&lt;=80,"Battery C",
--T58&gt;80,""
),"")</f>
        <v/>
      </c>
      <c r="W58" s="42" t="str" cm="1">
        <f t="array" ref="W58:AD58">IFERROR(IF(_xlfn.XLOOKUP(B58,Input!J:J,Input!N:U)=0,"",
          _xlfn.XLOOKUP(B58,Input!J:J,Input!N:U)),"")</f>
        <v/>
      </c>
      <c r="X58" s="42" t="str">
        <v/>
      </c>
      <c r="Y58" s="42" t="str">
        <v/>
      </c>
      <c r="Z58" s="42" t="str">
        <v/>
      </c>
      <c r="AA58" s="42" t="str">
        <v/>
      </c>
      <c r="AB58" s="42" t="str">
        <v/>
      </c>
      <c r="AC58" s="42" t="str">
        <v/>
      </c>
      <c r="AD58" s="42" t="str">
        <v/>
      </c>
      <c r="AE58" s="32" t="str">
        <f t="shared" si="0"/>
        <v/>
      </c>
      <c r="AF58" s="32" t="str">
        <f>_xlfn.XLOOKUP(B:B,Disk_Pivot!G:G,Disk_Pivot!I:I)</f>
        <v>Yes x2</v>
      </c>
      <c r="AG58" s="32" t="str">
        <f>_xlfn.XLOOKUP(B58,Disk_Pivot!G:G,Disk_Pivot!N:N)</f>
        <v>Pass, Fail</v>
      </c>
      <c r="AH58" s="32"/>
      <c r="AI58" s="32"/>
      <c r="AJ58" s="32"/>
      <c r="AK58" s="32"/>
      <c r="AL58" s="32"/>
      <c r="AM58" s="32"/>
    </row>
    <row r="59" spans="1:39">
      <c r="A59" s="32" t="str">
        <f>_xlfn.XLOOKUP(B59,Input!J:J,Input!G:G)&amp;""</f>
        <v/>
      </c>
      <c r="B59" s="32"/>
      <c r="C59" s="32" t="str">
        <f>_xlfn.XLOOKUP(B59,Input!J:J,Input!H:H)&amp;""</f>
        <v/>
      </c>
      <c r="D59" s="42">
        <f>_xlfn.XLOOKUP(B59,Input!J:J,Input!F:F)</f>
        <v>0</v>
      </c>
      <c r="E59" s="32">
        <f>_xlfn.XLOOKUP(D59,Models!H:H,Models!G:G,D59)</f>
        <v>0</v>
      </c>
      <c r="F59" s="32">
        <f>_xlfn.XLOOKUP(B59,Input!J:J,Input!E:E)</f>
        <v>0</v>
      </c>
      <c r="G59" s="32">
        <f>IF(F59="LENOVO",_xlfn.XLOOKUP(B59,Input!J:J,Input!K:K),_xlfn.XLOOKUP(B59,Input!J:J,Input!L:L))</f>
        <v>0</v>
      </c>
      <c r="H59" s="32"/>
      <c r="I59" s="32"/>
      <c r="J59" s="32">
        <f>_xlfn.XLOOKUP(B59,CPU_Formula!A:A,CPU_Formula!I:I)</f>
        <v>0</v>
      </c>
      <c r="K59" s="42" t="e">
        <f>INDEX(Input!$D$2:$AC$500,
       MATCH(B59, Input!$J$2:$J$500, 0),
       MATCH("Total Memory", Input!$D$1:$AC$1, 0))</f>
        <v>#N/A</v>
      </c>
      <c r="L59" s="42" t="e">
        <f>INDEX(Input!$D$2:$AC$500,
       MATCH(B59, Input!$J$2:$J$500, 0),
       MATCH("Memory Type", Input!$D$1:$AC$1, 0))</f>
        <v>#N/A</v>
      </c>
      <c r="M59" s="42" t="str" cm="1">
        <f t="array" ref="M59">IFERROR(_xlfn.FILTERXML("&lt;t&gt;&lt;s&gt;" &amp; SUBSTITUTE(L59," / ","&lt;/s&gt;&lt;s&gt;") &amp; "&lt;/s&gt;&lt;/t&gt;","(//s[contains(.,'DDR')])[1]"),"")</f>
        <v/>
      </c>
      <c r="N59" s="32" t="e">
        <f t="shared" si="2"/>
        <v>#N/A</v>
      </c>
      <c r="O59" s="42" t="e">
        <f>INDEX(Input!$D$2:$AC$500,
       MATCH(B59, Input!$J$2:$J$500, 0),
       MATCH("Disk Interface Type", Input!$D$1:$AC$1, 0))</f>
        <v>#N/A</v>
      </c>
      <c r="P59" s="42" t="str" cm="1">
        <f t="array" ref="P59">IFERROR(_xlfn.TEXTJOIN(", ", TRUE, _xlfn._xlws.FILTER(
    INDEX(Input!$D$2:$AC$500,,MATCH("Disk Capacity",Input!$D$1:$AC$1,0)),
    Input!$J$2:$J$500=B59
)), "")</f>
        <v/>
      </c>
      <c r="Q59" s="32" t="e">
        <f t="shared" si="1"/>
        <v>#N/A</v>
      </c>
      <c r="R59" s="42" t="e">
        <f>_xlfn.LET(_xlpm.Result,INDEX(Input!$D$2:$AC$500,
       MATCH(B59, Input!$J$2:$J$500, 0),
       MATCH("Capacity", Input!$D$1:$AC$1, 0)),IF(_xlpm.Result="","",_xlpm.Result))</f>
        <v>#N/A</v>
      </c>
      <c r="S59" s="42" t="e" cm="1">
        <f t="array" ref="S59">_xlfn.TEXTSPLIT(R59," / ", ,TRUE,0,)</f>
        <v>#N/A</v>
      </c>
      <c r="T59" s="42"/>
      <c r="U59" s="42" t="str" cm="1">
        <f t="array" ref="U59">IFERROR(_xlfn.IFS(
S59="","",
--S59&lt;55,"Battery Defect",
--S59&lt;=69,"Battery D",
--S59&lt;=80,"Battery C",
--S59&gt;80,""
),"")</f>
        <v/>
      </c>
      <c r="V59" s="42" t="str" cm="1">
        <f t="array" ref="V59">IFERROR(_xlfn.IFS(
T59="","",
--T59&lt;55,"Battery Defect",
--T59&lt;=69,"Battery D",
--T59&lt;=80,"Battery C",
--T59&gt;80,""
),"")</f>
        <v/>
      </c>
      <c r="W59" s="42" t="str" cm="1">
        <f t="array" ref="W59:AD59">IFERROR(IF(_xlfn.XLOOKUP(B59,Input!J:J,Input!N:U)=0,"",
          _xlfn.XLOOKUP(B59,Input!J:J,Input!N:U)),"")</f>
        <v/>
      </c>
      <c r="X59" s="42" t="str">
        <v/>
      </c>
      <c r="Y59" s="42" t="str">
        <v/>
      </c>
      <c r="Z59" s="42" t="str">
        <v/>
      </c>
      <c r="AA59" s="42" t="str">
        <v/>
      </c>
      <c r="AB59" s="42" t="str">
        <v/>
      </c>
      <c r="AC59" s="42" t="str">
        <v/>
      </c>
      <c r="AD59" s="42" t="str">
        <v/>
      </c>
      <c r="AE59" s="32" t="str">
        <f t="shared" si="0"/>
        <v/>
      </c>
      <c r="AF59" s="32" t="str">
        <f>_xlfn.XLOOKUP(B:B,Disk_Pivot!G:G,Disk_Pivot!I:I)</f>
        <v>Yes x2</v>
      </c>
      <c r="AG59" s="32" t="str">
        <f>_xlfn.XLOOKUP(B59,Disk_Pivot!G:G,Disk_Pivot!N:N)</f>
        <v>Pass, Fail</v>
      </c>
      <c r="AH59" s="32"/>
      <c r="AI59" s="32"/>
      <c r="AJ59" s="32"/>
      <c r="AK59" s="32"/>
      <c r="AL59" s="32"/>
      <c r="AM59" s="32"/>
    </row>
    <row r="60" spans="1:39">
      <c r="A60" s="32" t="str">
        <f>_xlfn.XLOOKUP(B60,Input!J:J,Input!G:G)&amp;""</f>
        <v/>
      </c>
      <c r="B60" s="32"/>
      <c r="C60" s="32" t="str">
        <f>_xlfn.XLOOKUP(B60,Input!J:J,Input!H:H)&amp;""</f>
        <v/>
      </c>
      <c r="D60" s="42">
        <f>_xlfn.XLOOKUP(B60,Input!J:J,Input!F:F)</f>
        <v>0</v>
      </c>
      <c r="E60" s="32">
        <f>_xlfn.XLOOKUP(D60,Models!H:H,Models!G:G,D60)</f>
        <v>0</v>
      </c>
      <c r="F60" s="32">
        <f>_xlfn.XLOOKUP(B60,Input!J:J,Input!E:E)</f>
        <v>0</v>
      </c>
      <c r="G60" s="32">
        <f>IF(F60="LENOVO",_xlfn.XLOOKUP(B60,Input!J:J,Input!K:K),_xlfn.XLOOKUP(B60,Input!J:J,Input!L:L))</f>
        <v>0</v>
      </c>
      <c r="H60" s="32"/>
      <c r="I60" s="32"/>
      <c r="J60" s="32">
        <f>_xlfn.XLOOKUP(B60,CPU_Formula!A:A,CPU_Formula!I:I)</f>
        <v>0</v>
      </c>
      <c r="K60" s="42" t="e">
        <f>INDEX(Input!$D$2:$AC$500,
       MATCH(B60, Input!$J$2:$J$500, 0),
       MATCH("Total Memory", Input!$D$1:$AC$1, 0))</f>
        <v>#N/A</v>
      </c>
      <c r="L60" s="42" t="e">
        <f>INDEX(Input!$D$2:$AC$500,
       MATCH(B60, Input!$J$2:$J$500, 0),
       MATCH("Memory Type", Input!$D$1:$AC$1, 0))</f>
        <v>#N/A</v>
      </c>
      <c r="M60" s="42" t="str" cm="1">
        <f t="array" ref="M60">IFERROR(_xlfn.FILTERXML("&lt;t&gt;&lt;s&gt;" &amp; SUBSTITUTE(L60," / ","&lt;/s&gt;&lt;s&gt;") &amp; "&lt;/s&gt;&lt;/t&gt;","(//s[contains(.,'DDR')])[1]"),"")</f>
        <v/>
      </c>
      <c r="N60" s="32" t="e">
        <f t="shared" si="2"/>
        <v>#N/A</v>
      </c>
      <c r="O60" s="42" t="e">
        <f>INDEX(Input!$D$2:$AC$500,
       MATCH(B60, Input!$J$2:$J$500, 0),
       MATCH("Disk Interface Type", Input!$D$1:$AC$1, 0))</f>
        <v>#N/A</v>
      </c>
      <c r="P60" s="42" t="str" cm="1">
        <f t="array" ref="P60">IFERROR(_xlfn.TEXTJOIN(", ", TRUE, _xlfn._xlws.FILTER(
    INDEX(Input!$D$2:$AC$500,,MATCH("Disk Capacity",Input!$D$1:$AC$1,0)),
    Input!$J$2:$J$500=B60
)), "")</f>
        <v/>
      </c>
      <c r="Q60" s="32" t="e">
        <f t="shared" si="1"/>
        <v>#N/A</v>
      </c>
      <c r="R60" s="42" t="e">
        <f>_xlfn.LET(_xlpm.Result,INDEX(Input!$D$2:$AC$500,
       MATCH(B60, Input!$J$2:$J$500, 0),
       MATCH("Capacity", Input!$D$1:$AC$1, 0)),IF(_xlpm.Result="","",_xlpm.Result))</f>
        <v>#N/A</v>
      </c>
      <c r="S60" s="42" t="e" cm="1">
        <f t="array" ref="S60">_xlfn.TEXTSPLIT(R60," / ", ,TRUE,0,)</f>
        <v>#N/A</v>
      </c>
      <c r="T60" s="42"/>
      <c r="U60" s="42" t="str" cm="1">
        <f t="array" ref="U60">IFERROR(_xlfn.IFS(
S60="","",
--S60&lt;55,"Battery Defect",
--S60&lt;=69,"Battery D",
--S60&lt;=80,"Battery C",
--S60&gt;80,""
),"")</f>
        <v/>
      </c>
      <c r="V60" s="42" t="str" cm="1">
        <f t="array" ref="V60">IFERROR(_xlfn.IFS(
T60="","",
--T60&lt;55,"Battery Defect",
--T60&lt;=69,"Battery D",
--T60&lt;=80,"Battery C",
--T60&gt;80,""
),"")</f>
        <v/>
      </c>
      <c r="W60" s="42" t="str" cm="1">
        <f t="array" ref="W60:AD60">IFERROR(IF(_xlfn.XLOOKUP(B60,Input!J:J,Input!N:U)=0,"",
          _xlfn.XLOOKUP(B60,Input!J:J,Input!N:U)),"")</f>
        <v/>
      </c>
      <c r="X60" s="42" t="str">
        <v/>
      </c>
      <c r="Y60" s="42" t="str">
        <v/>
      </c>
      <c r="Z60" s="42" t="str">
        <v/>
      </c>
      <c r="AA60" s="42" t="str">
        <v/>
      </c>
      <c r="AB60" s="42" t="str">
        <v/>
      </c>
      <c r="AC60" s="42" t="str">
        <v/>
      </c>
      <c r="AD60" s="42" t="str">
        <v/>
      </c>
      <c r="AE60" s="32" t="str">
        <f t="shared" si="0"/>
        <v/>
      </c>
      <c r="AF60" s="32" t="str">
        <f>_xlfn.XLOOKUP(B:B,Disk_Pivot!G:G,Disk_Pivot!I:I)</f>
        <v>Yes x2</v>
      </c>
      <c r="AG60" s="32" t="str">
        <f>_xlfn.XLOOKUP(B60,Disk_Pivot!G:G,Disk_Pivot!N:N)</f>
        <v>Pass, Fail</v>
      </c>
      <c r="AH60" s="32"/>
      <c r="AI60" s="32"/>
      <c r="AJ60" s="32"/>
      <c r="AK60" s="32"/>
      <c r="AL60" s="32"/>
      <c r="AM60" s="32"/>
    </row>
    <row r="61" spans="1:39">
      <c r="A61" s="32" t="str">
        <f>_xlfn.XLOOKUP(B61,Input!J:J,Input!G:G)&amp;""</f>
        <v/>
      </c>
      <c r="B61" s="32"/>
      <c r="C61" s="32" t="str">
        <f>_xlfn.XLOOKUP(B61,Input!J:J,Input!H:H)&amp;""</f>
        <v/>
      </c>
      <c r="D61" s="42">
        <f>_xlfn.XLOOKUP(B61,Input!J:J,Input!F:F)</f>
        <v>0</v>
      </c>
      <c r="E61" s="32">
        <f>_xlfn.XLOOKUP(D61,Models!H:H,Models!G:G,D61)</f>
        <v>0</v>
      </c>
      <c r="F61" s="32">
        <f>_xlfn.XLOOKUP(B61,Input!J:J,Input!E:E)</f>
        <v>0</v>
      </c>
      <c r="G61" s="32">
        <f>IF(F61="LENOVO",_xlfn.XLOOKUP(B61,Input!J:J,Input!K:K),_xlfn.XLOOKUP(B61,Input!J:J,Input!L:L))</f>
        <v>0</v>
      </c>
      <c r="H61" s="32"/>
      <c r="I61" s="32"/>
      <c r="J61" s="32">
        <f>_xlfn.XLOOKUP(B61,CPU_Formula!A:A,CPU_Formula!I:I)</f>
        <v>0</v>
      </c>
      <c r="K61" s="42" t="e">
        <f>INDEX(Input!$D$2:$AC$500,
       MATCH(B61, Input!$J$2:$J$500, 0),
       MATCH("Total Memory", Input!$D$1:$AC$1, 0))</f>
        <v>#N/A</v>
      </c>
      <c r="L61" s="42" t="e">
        <f>INDEX(Input!$D$2:$AC$500,
       MATCH(B61, Input!$J$2:$J$500, 0),
       MATCH("Memory Type", Input!$D$1:$AC$1, 0))</f>
        <v>#N/A</v>
      </c>
      <c r="M61" s="42" t="str" cm="1">
        <f t="array" ref="M61">IFERROR(_xlfn.FILTERXML("&lt;t&gt;&lt;s&gt;" &amp; SUBSTITUTE(L61," / ","&lt;/s&gt;&lt;s&gt;") &amp; "&lt;/s&gt;&lt;/t&gt;","(//s[contains(.,'DDR')])[1]"),"")</f>
        <v/>
      </c>
      <c r="N61" s="32" t="e">
        <f t="shared" si="2"/>
        <v>#N/A</v>
      </c>
      <c r="O61" s="42" t="e">
        <f>INDEX(Input!$D$2:$AC$500,
       MATCH(B61, Input!$J$2:$J$500, 0),
       MATCH("Disk Interface Type", Input!$D$1:$AC$1, 0))</f>
        <v>#N/A</v>
      </c>
      <c r="P61" s="42" t="str" cm="1">
        <f t="array" ref="P61">IFERROR(_xlfn.TEXTJOIN(", ", TRUE, _xlfn._xlws.FILTER(
    INDEX(Input!$D$2:$AC$500,,MATCH("Disk Capacity",Input!$D$1:$AC$1,0)),
    Input!$J$2:$J$500=B61
)), "")</f>
        <v/>
      </c>
      <c r="Q61" s="32" t="e">
        <f t="shared" si="1"/>
        <v>#N/A</v>
      </c>
      <c r="R61" s="42" t="e">
        <f>_xlfn.LET(_xlpm.Result,INDEX(Input!$D$2:$AC$500,
       MATCH(B61, Input!$J$2:$J$500, 0),
       MATCH("Capacity", Input!$D$1:$AC$1, 0)),IF(_xlpm.Result="","",_xlpm.Result))</f>
        <v>#N/A</v>
      </c>
      <c r="S61" s="42" t="e" cm="1">
        <f t="array" ref="S61">_xlfn.TEXTSPLIT(R61," / ", ,TRUE,0,)</f>
        <v>#N/A</v>
      </c>
      <c r="T61" s="42"/>
      <c r="U61" s="42" t="str" cm="1">
        <f t="array" ref="U61">IFERROR(_xlfn.IFS(
S61="","",
--S61&lt;55,"Battery Defect",
--S61&lt;=69,"Battery D",
--S61&lt;=80,"Battery C",
--S61&gt;80,""
),"")</f>
        <v/>
      </c>
      <c r="V61" s="42" t="str" cm="1">
        <f t="array" ref="V61">IFERROR(_xlfn.IFS(
T61="","",
--T61&lt;55,"Battery Defect",
--T61&lt;=69,"Battery D",
--T61&lt;=80,"Battery C",
--T61&gt;80,""
),"")</f>
        <v/>
      </c>
      <c r="W61" s="42" t="str" cm="1">
        <f t="array" ref="W61:AD61">IFERROR(IF(_xlfn.XLOOKUP(B61,Input!J:J,Input!N:U)=0,"",
          _xlfn.XLOOKUP(B61,Input!J:J,Input!N:U)),"")</f>
        <v/>
      </c>
      <c r="X61" s="42" t="str">
        <v/>
      </c>
      <c r="Y61" s="42" t="str">
        <v/>
      </c>
      <c r="Z61" s="42" t="str">
        <v/>
      </c>
      <c r="AA61" s="42" t="str">
        <v/>
      </c>
      <c r="AB61" s="42" t="str">
        <v/>
      </c>
      <c r="AC61" s="42" t="str">
        <v/>
      </c>
      <c r="AD61" s="42" t="str">
        <v/>
      </c>
      <c r="AE61" s="32" t="str">
        <f t="shared" si="0"/>
        <v/>
      </c>
      <c r="AF61" s="32" t="str">
        <f>_xlfn.XLOOKUP(B:B,Disk_Pivot!G:G,Disk_Pivot!I:I)</f>
        <v>Yes x2</v>
      </c>
      <c r="AG61" s="32" t="str">
        <f>_xlfn.XLOOKUP(B61,Disk_Pivot!G:G,Disk_Pivot!N:N)</f>
        <v>Pass, Fail</v>
      </c>
      <c r="AH61" s="32"/>
      <c r="AI61" s="32"/>
      <c r="AJ61" s="32"/>
      <c r="AK61" s="32"/>
      <c r="AL61" s="32"/>
      <c r="AM61" s="32"/>
    </row>
    <row r="62" spans="1:39">
      <c r="A62" s="32" t="str">
        <f>_xlfn.XLOOKUP(B62,Input!J:J,Input!G:G)&amp;""</f>
        <v/>
      </c>
      <c r="B62" s="32"/>
      <c r="C62" s="32" t="str">
        <f>_xlfn.XLOOKUP(B62,Input!J:J,Input!H:H)&amp;""</f>
        <v/>
      </c>
      <c r="D62" s="42">
        <f>_xlfn.XLOOKUP(B62,Input!J:J,Input!F:F)</f>
        <v>0</v>
      </c>
      <c r="E62" s="32">
        <f>_xlfn.XLOOKUP(D62,Models!H:H,Models!G:G,D62)</f>
        <v>0</v>
      </c>
      <c r="F62" s="32">
        <f>_xlfn.XLOOKUP(B62,Input!J:J,Input!E:E)</f>
        <v>0</v>
      </c>
      <c r="G62" s="32">
        <f>IF(F62="LENOVO",_xlfn.XLOOKUP(B62,Input!J:J,Input!K:K),_xlfn.XLOOKUP(B62,Input!J:J,Input!L:L))</f>
        <v>0</v>
      </c>
      <c r="H62" s="32"/>
      <c r="I62" s="32"/>
      <c r="J62" s="32">
        <f>_xlfn.XLOOKUP(B62,CPU_Formula!A:A,CPU_Formula!I:I)</f>
        <v>0</v>
      </c>
      <c r="K62" s="42" t="e">
        <f>INDEX(Input!$D$2:$AC$500,
       MATCH(B62, Input!$J$2:$J$500, 0),
       MATCH("Total Memory", Input!$D$1:$AC$1, 0))</f>
        <v>#N/A</v>
      </c>
      <c r="L62" s="42" t="e">
        <f>INDEX(Input!$D$2:$AC$500,
       MATCH(B62, Input!$J$2:$J$500, 0),
       MATCH("Memory Type", Input!$D$1:$AC$1, 0))</f>
        <v>#N/A</v>
      </c>
      <c r="M62" s="42" t="str" cm="1">
        <f t="array" ref="M62">IFERROR(_xlfn.FILTERXML("&lt;t&gt;&lt;s&gt;" &amp; SUBSTITUTE(L62," / ","&lt;/s&gt;&lt;s&gt;") &amp; "&lt;/s&gt;&lt;/t&gt;","(//s[contains(.,'DDR')])[1]"),"")</f>
        <v/>
      </c>
      <c r="N62" s="32" t="e">
        <f t="shared" si="2"/>
        <v>#N/A</v>
      </c>
      <c r="O62" s="42" t="e">
        <f>INDEX(Input!$D$2:$AC$500,
       MATCH(B62, Input!$J$2:$J$500, 0),
       MATCH("Disk Interface Type", Input!$D$1:$AC$1, 0))</f>
        <v>#N/A</v>
      </c>
      <c r="P62" s="42" t="str" cm="1">
        <f t="array" ref="P62">IFERROR(_xlfn.TEXTJOIN(", ", TRUE, _xlfn._xlws.FILTER(
    INDEX(Input!$D$2:$AC$500,,MATCH("Disk Capacity",Input!$D$1:$AC$1,0)),
    Input!$J$2:$J$500=B62
)), "")</f>
        <v/>
      </c>
      <c r="Q62" s="32" t="e">
        <f t="shared" si="1"/>
        <v>#N/A</v>
      </c>
      <c r="R62" s="42" t="e">
        <f>_xlfn.LET(_xlpm.Result,INDEX(Input!$D$2:$AC$500,
       MATCH(B62, Input!$J$2:$J$500, 0),
       MATCH("Capacity", Input!$D$1:$AC$1, 0)),IF(_xlpm.Result="","",_xlpm.Result))</f>
        <v>#N/A</v>
      </c>
      <c r="S62" s="42" t="e" cm="1">
        <f t="array" ref="S62">_xlfn.TEXTSPLIT(R62," / ", ,TRUE,0,)</f>
        <v>#N/A</v>
      </c>
      <c r="T62" s="42"/>
      <c r="U62" s="42" t="str" cm="1">
        <f t="array" ref="U62">IFERROR(_xlfn.IFS(
S62="","",
--S62&lt;55,"Battery Defect",
--S62&lt;=69,"Battery D",
--S62&lt;=80,"Battery C",
--S62&gt;80,""
),"")</f>
        <v/>
      </c>
      <c r="V62" s="42" t="str" cm="1">
        <f t="array" ref="V62">IFERROR(_xlfn.IFS(
T62="","",
--T62&lt;55,"Battery Defect",
--T62&lt;=69,"Battery D",
--T62&lt;=80,"Battery C",
--T62&gt;80,""
),"")</f>
        <v/>
      </c>
      <c r="W62" s="42" t="str" cm="1">
        <f t="array" ref="W62:AD62">IFERROR(IF(_xlfn.XLOOKUP(B62,Input!J:J,Input!N:U)=0,"",
          _xlfn.XLOOKUP(B62,Input!J:J,Input!N:U)),"")</f>
        <v/>
      </c>
      <c r="X62" s="42" t="str">
        <v/>
      </c>
      <c r="Y62" s="42" t="str">
        <v/>
      </c>
      <c r="Z62" s="42" t="str">
        <v/>
      </c>
      <c r="AA62" s="42" t="str">
        <v/>
      </c>
      <c r="AB62" s="42" t="str">
        <v/>
      </c>
      <c r="AC62" s="42" t="str">
        <v/>
      </c>
      <c r="AD62" s="42" t="str">
        <v/>
      </c>
      <c r="AE62" s="32" t="str">
        <f t="shared" si="0"/>
        <v/>
      </c>
      <c r="AF62" s="32" t="str">
        <f>_xlfn.XLOOKUP(B:B,Disk_Pivot!G:G,Disk_Pivot!I:I)</f>
        <v>Yes x2</v>
      </c>
      <c r="AG62" s="32" t="str">
        <f>_xlfn.XLOOKUP(B62,Disk_Pivot!G:G,Disk_Pivot!N:N)</f>
        <v>Pass, Fail</v>
      </c>
      <c r="AH62" s="32"/>
      <c r="AI62" s="32"/>
      <c r="AJ62" s="32"/>
      <c r="AK62" s="32"/>
      <c r="AL62" s="32"/>
      <c r="AM62" s="32"/>
    </row>
    <row r="63" spans="1:39">
      <c r="A63" s="32" t="str">
        <f>_xlfn.XLOOKUP(B63,Input!J:J,Input!G:G)&amp;""</f>
        <v/>
      </c>
      <c r="B63" s="32"/>
      <c r="C63" s="32" t="str">
        <f>_xlfn.XLOOKUP(B63,Input!J:J,Input!H:H)&amp;""</f>
        <v/>
      </c>
      <c r="D63" s="42">
        <f>_xlfn.XLOOKUP(B63,Input!J:J,Input!F:F)</f>
        <v>0</v>
      </c>
      <c r="E63" s="32">
        <f>_xlfn.XLOOKUP(D63,Models!H:H,Models!G:G,D63)</f>
        <v>0</v>
      </c>
      <c r="F63" s="32">
        <f>_xlfn.XLOOKUP(B63,Input!J:J,Input!E:E)</f>
        <v>0</v>
      </c>
      <c r="G63" s="32">
        <f>IF(F63="LENOVO",_xlfn.XLOOKUP(B63,Input!J:J,Input!K:K),_xlfn.XLOOKUP(B63,Input!J:J,Input!L:L))</f>
        <v>0</v>
      </c>
      <c r="H63" s="32"/>
      <c r="I63" s="32"/>
      <c r="J63" s="32">
        <f>_xlfn.XLOOKUP(B63,CPU_Formula!A:A,CPU_Formula!I:I)</f>
        <v>0</v>
      </c>
      <c r="K63" s="42" t="e">
        <f>INDEX(Input!$D$2:$AC$500,
       MATCH(B63, Input!$J$2:$J$500, 0),
       MATCH("Total Memory", Input!$D$1:$AC$1, 0))</f>
        <v>#N/A</v>
      </c>
      <c r="L63" s="42" t="e">
        <f>INDEX(Input!$D$2:$AC$500,
       MATCH(B63, Input!$J$2:$J$500, 0),
       MATCH("Memory Type", Input!$D$1:$AC$1, 0))</f>
        <v>#N/A</v>
      </c>
      <c r="M63" s="42" t="str" cm="1">
        <f t="array" ref="M63">IFERROR(_xlfn.FILTERXML("&lt;t&gt;&lt;s&gt;" &amp; SUBSTITUTE(L63," / ","&lt;/s&gt;&lt;s&gt;") &amp; "&lt;/s&gt;&lt;/t&gt;","(//s[contains(.,'DDR')])[1]"),"")</f>
        <v/>
      </c>
      <c r="N63" s="32" t="e">
        <f t="shared" si="2"/>
        <v>#N/A</v>
      </c>
      <c r="O63" s="42" t="e">
        <f>INDEX(Input!$D$2:$AC$500,
       MATCH(B63, Input!$J$2:$J$500, 0),
       MATCH("Disk Interface Type", Input!$D$1:$AC$1, 0))</f>
        <v>#N/A</v>
      </c>
      <c r="P63" s="42" t="str" cm="1">
        <f t="array" ref="P63">IFERROR(_xlfn.TEXTJOIN(", ", TRUE, _xlfn._xlws.FILTER(
    INDEX(Input!$D$2:$AC$500,,MATCH("Disk Capacity",Input!$D$1:$AC$1,0)),
    Input!$J$2:$J$500=B63
)), "")</f>
        <v/>
      </c>
      <c r="Q63" s="32" t="e">
        <f t="shared" si="1"/>
        <v>#N/A</v>
      </c>
      <c r="R63" s="42" t="e">
        <f>_xlfn.LET(_xlpm.Result,INDEX(Input!$D$2:$AC$500,
       MATCH(B63, Input!$J$2:$J$500, 0),
       MATCH("Capacity", Input!$D$1:$AC$1, 0)),IF(_xlpm.Result="","",_xlpm.Result))</f>
        <v>#N/A</v>
      </c>
      <c r="S63" s="42" t="e" cm="1">
        <f t="array" ref="S63">_xlfn.TEXTSPLIT(R63," / ", ,TRUE,0,)</f>
        <v>#N/A</v>
      </c>
      <c r="T63" s="42"/>
      <c r="U63" s="42" t="str" cm="1">
        <f t="array" ref="U63">IFERROR(_xlfn.IFS(
S63="","",
--S63&lt;55,"Battery Defect",
--S63&lt;=69,"Battery D",
--S63&lt;=80,"Battery C",
--S63&gt;80,""
),"")</f>
        <v/>
      </c>
      <c r="V63" s="42" t="str" cm="1">
        <f t="array" ref="V63">IFERROR(_xlfn.IFS(
T63="","",
--T63&lt;55,"Battery Defect",
--T63&lt;=69,"Battery D",
--T63&lt;=80,"Battery C",
--T63&gt;80,""
),"")</f>
        <v/>
      </c>
      <c r="W63" s="42" t="str" cm="1">
        <f t="array" ref="W63:AD63">IFERROR(IF(_xlfn.XLOOKUP(B63,Input!J:J,Input!N:U)=0,"",
          _xlfn.XLOOKUP(B63,Input!J:J,Input!N:U)),"")</f>
        <v/>
      </c>
      <c r="X63" s="42" t="str">
        <v/>
      </c>
      <c r="Y63" s="42" t="str">
        <v/>
      </c>
      <c r="Z63" s="42" t="str">
        <v/>
      </c>
      <c r="AA63" s="42" t="str">
        <v/>
      </c>
      <c r="AB63" s="42" t="str">
        <v/>
      </c>
      <c r="AC63" s="42" t="str">
        <v/>
      </c>
      <c r="AD63" s="42" t="str">
        <v/>
      </c>
      <c r="AE63" s="32" t="str">
        <f t="shared" si="0"/>
        <v/>
      </c>
      <c r="AF63" s="32" t="str">
        <f>_xlfn.XLOOKUP(B:B,Disk_Pivot!G:G,Disk_Pivot!I:I)</f>
        <v>Yes x2</v>
      </c>
      <c r="AG63" s="32" t="str">
        <f>_xlfn.XLOOKUP(B63,Disk_Pivot!G:G,Disk_Pivot!N:N)</f>
        <v>Pass, Fail</v>
      </c>
      <c r="AH63" s="32"/>
      <c r="AI63" s="32"/>
      <c r="AJ63" s="32"/>
      <c r="AK63" s="32"/>
      <c r="AL63" s="32"/>
      <c r="AM63" s="32"/>
    </row>
    <row r="64" spans="1:39">
      <c r="A64" s="32" t="str">
        <f>_xlfn.XLOOKUP(B64,Input!J:J,Input!G:G)&amp;""</f>
        <v/>
      </c>
      <c r="B64" s="32"/>
      <c r="C64" s="32" t="str">
        <f>_xlfn.XLOOKUP(B64,Input!J:J,Input!H:H)&amp;""</f>
        <v/>
      </c>
      <c r="D64" s="42">
        <f>_xlfn.XLOOKUP(B64,Input!J:J,Input!F:F)</f>
        <v>0</v>
      </c>
      <c r="E64" s="32">
        <f>_xlfn.XLOOKUP(D64,Models!H:H,Models!G:G,D64)</f>
        <v>0</v>
      </c>
      <c r="F64" s="32">
        <f>_xlfn.XLOOKUP(B64,Input!J:J,Input!E:E)</f>
        <v>0</v>
      </c>
      <c r="G64" s="32">
        <f>IF(F64="LENOVO",_xlfn.XLOOKUP(B64,Input!J:J,Input!K:K),_xlfn.XLOOKUP(B64,Input!J:J,Input!L:L))</f>
        <v>0</v>
      </c>
      <c r="H64" s="32"/>
      <c r="I64" s="32"/>
      <c r="J64" s="32">
        <f>_xlfn.XLOOKUP(B64,CPU_Formula!A:A,CPU_Formula!I:I)</f>
        <v>0</v>
      </c>
      <c r="K64" s="42" t="e">
        <f>INDEX(Input!$D$2:$AC$500,
       MATCH(B64, Input!$J$2:$J$500, 0),
       MATCH("Total Memory", Input!$D$1:$AC$1, 0))</f>
        <v>#N/A</v>
      </c>
      <c r="L64" s="42" t="e">
        <f>INDEX(Input!$D$2:$AC$500,
       MATCH(B64, Input!$J$2:$J$500, 0),
       MATCH("Memory Type", Input!$D$1:$AC$1, 0))</f>
        <v>#N/A</v>
      </c>
      <c r="M64" s="42" t="str" cm="1">
        <f t="array" ref="M64">IFERROR(_xlfn.FILTERXML("&lt;t&gt;&lt;s&gt;" &amp; SUBSTITUTE(L64," / ","&lt;/s&gt;&lt;s&gt;") &amp; "&lt;/s&gt;&lt;/t&gt;","(//s[contains(.,'DDR')])[1]"),"")</f>
        <v/>
      </c>
      <c r="N64" s="32" t="e">
        <f t="shared" si="2"/>
        <v>#N/A</v>
      </c>
      <c r="O64" s="42" t="e">
        <f>INDEX(Input!$D$2:$AC$500,
       MATCH(B64, Input!$J$2:$J$500, 0),
       MATCH("Disk Interface Type", Input!$D$1:$AC$1, 0))</f>
        <v>#N/A</v>
      </c>
      <c r="P64" s="42" t="str" cm="1">
        <f t="array" ref="P64">IFERROR(_xlfn.TEXTJOIN(", ", TRUE, _xlfn._xlws.FILTER(
    INDEX(Input!$D$2:$AC$500,,MATCH("Disk Capacity",Input!$D$1:$AC$1,0)),
    Input!$J$2:$J$500=B64
)), "")</f>
        <v/>
      </c>
      <c r="Q64" s="32" t="e">
        <f t="shared" si="1"/>
        <v>#N/A</v>
      </c>
      <c r="R64" s="42" t="e">
        <f>_xlfn.LET(_xlpm.Result,INDEX(Input!$D$2:$AC$500,
       MATCH(B64, Input!$J$2:$J$500, 0),
       MATCH("Capacity", Input!$D$1:$AC$1, 0)),IF(_xlpm.Result="","",_xlpm.Result))</f>
        <v>#N/A</v>
      </c>
      <c r="S64" s="42" t="e" cm="1">
        <f t="array" ref="S64">_xlfn.TEXTSPLIT(R64," / ", ,TRUE,0,)</f>
        <v>#N/A</v>
      </c>
      <c r="T64" s="42"/>
      <c r="U64" s="42" t="str" cm="1">
        <f t="array" ref="U64">IFERROR(_xlfn.IFS(
S64="","",
--S64&lt;55,"Battery Defect",
--S64&lt;=69,"Battery D",
--S64&lt;=80,"Battery C",
--S64&gt;80,""
),"")</f>
        <v/>
      </c>
      <c r="V64" s="42" t="str" cm="1">
        <f t="array" ref="V64">IFERROR(_xlfn.IFS(
T64="","",
--T64&lt;55,"Battery Defect",
--T64&lt;=69,"Battery D",
--T64&lt;=80,"Battery C",
--T64&gt;80,""
),"")</f>
        <v/>
      </c>
      <c r="W64" s="42" t="str" cm="1">
        <f t="array" ref="W64:AD64">IFERROR(IF(_xlfn.XLOOKUP(B64,Input!J:J,Input!N:U)=0,"",
          _xlfn.XLOOKUP(B64,Input!J:J,Input!N:U)),"")</f>
        <v/>
      </c>
      <c r="X64" s="42" t="str">
        <v/>
      </c>
      <c r="Y64" s="42" t="str">
        <v/>
      </c>
      <c r="Z64" s="42" t="str">
        <v/>
      </c>
      <c r="AA64" s="42" t="str">
        <v/>
      </c>
      <c r="AB64" s="42" t="str">
        <v/>
      </c>
      <c r="AC64" s="42" t="str">
        <v/>
      </c>
      <c r="AD64" s="42" t="str">
        <v/>
      </c>
      <c r="AE64" s="32" t="str">
        <f t="shared" si="0"/>
        <v/>
      </c>
      <c r="AF64" s="32" t="str">
        <f>_xlfn.XLOOKUP(B:B,Disk_Pivot!G:G,Disk_Pivot!I:I)</f>
        <v>Yes x2</v>
      </c>
      <c r="AG64" s="32" t="str">
        <f>_xlfn.XLOOKUP(B64,Disk_Pivot!G:G,Disk_Pivot!N:N)</f>
        <v>Pass, Fail</v>
      </c>
      <c r="AH64" s="32"/>
      <c r="AI64" s="32"/>
      <c r="AJ64" s="32"/>
      <c r="AK64" s="32"/>
      <c r="AL64" s="32"/>
      <c r="AM64" s="32"/>
    </row>
    <row r="65" spans="1:39">
      <c r="A65" s="32" t="str">
        <f>_xlfn.XLOOKUP(B65,Input!J:J,Input!G:G)&amp;""</f>
        <v/>
      </c>
      <c r="B65" s="32"/>
      <c r="C65" s="32" t="str">
        <f>_xlfn.XLOOKUP(B65,Input!J:J,Input!H:H)&amp;""</f>
        <v/>
      </c>
      <c r="D65" s="42">
        <f>_xlfn.XLOOKUP(B65,Input!J:J,Input!F:F)</f>
        <v>0</v>
      </c>
      <c r="E65" s="32">
        <f>_xlfn.XLOOKUP(D65,Models!H:H,Models!G:G,D65)</f>
        <v>0</v>
      </c>
      <c r="F65" s="32">
        <f>_xlfn.XLOOKUP(B65,Input!J:J,Input!E:E)</f>
        <v>0</v>
      </c>
      <c r="G65" s="32">
        <f>IF(F65="LENOVO",_xlfn.XLOOKUP(B65,Input!J:J,Input!K:K),_xlfn.XLOOKUP(B65,Input!J:J,Input!L:L))</f>
        <v>0</v>
      </c>
      <c r="H65" s="32"/>
      <c r="I65" s="32"/>
      <c r="J65" s="32">
        <f>_xlfn.XLOOKUP(B65,CPU_Formula!A:A,CPU_Formula!I:I)</f>
        <v>0</v>
      </c>
      <c r="K65" s="42" t="e">
        <f>INDEX(Input!$D$2:$AC$500,
       MATCH(B65, Input!$J$2:$J$500, 0),
       MATCH("Total Memory", Input!$D$1:$AC$1, 0))</f>
        <v>#N/A</v>
      </c>
      <c r="L65" s="42" t="e">
        <f>INDEX(Input!$D$2:$AC$500,
       MATCH(B65, Input!$J$2:$J$500, 0),
       MATCH("Memory Type", Input!$D$1:$AC$1, 0))</f>
        <v>#N/A</v>
      </c>
      <c r="M65" s="42" t="str" cm="1">
        <f t="array" ref="M65">IFERROR(_xlfn.FILTERXML("&lt;t&gt;&lt;s&gt;" &amp; SUBSTITUTE(L65," / ","&lt;/s&gt;&lt;s&gt;") &amp; "&lt;/s&gt;&lt;/t&gt;","(//s[contains(.,'DDR')])[1]"),"")</f>
        <v/>
      </c>
      <c r="N65" s="32" t="e">
        <f t="shared" si="2"/>
        <v>#N/A</v>
      </c>
      <c r="O65" s="42" t="e">
        <f>INDEX(Input!$D$2:$AC$500,
       MATCH(B65, Input!$J$2:$J$500, 0),
       MATCH("Disk Interface Type", Input!$D$1:$AC$1, 0))</f>
        <v>#N/A</v>
      </c>
      <c r="P65" s="42" t="str" cm="1">
        <f t="array" ref="P65">IFERROR(_xlfn.TEXTJOIN(", ", TRUE, _xlfn._xlws.FILTER(
    INDEX(Input!$D$2:$AC$500,,MATCH("Disk Capacity",Input!$D$1:$AC$1,0)),
    Input!$J$2:$J$500=B65
)), "")</f>
        <v/>
      </c>
      <c r="Q65" s="32" t="e">
        <f t="shared" si="1"/>
        <v>#N/A</v>
      </c>
      <c r="R65" s="42" t="e">
        <f>_xlfn.LET(_xlpm.Result,INDEX(Input!$D$2:$AC$500,
       MATCH(B65, Input!$J$2:$J$500, 0),
       MATCH("Capacity", Input!$D$1:$AC$1, 0)),IF(_xlpm.Result="","",_xlpm.Result))</f>
        <v>#N/A</v>
      </c>
      <c r="S65" s="42" t="e" cm="1">
        <f t="array" ref="S65">_xlfn.TEXTSPLIT(R65," / ", ,TRUE,0,)</f>
        <v>#N/A</v>
      </c>
      <c r="T65" s="42"/>
      <c r="U65" s="42" t="str" cm="1">
        <f t="array" ref="U65">IFERROR(_xlfn.IFS(
S65="","",
--S65&lt;55,"Battery Defect",
--S65&lt;=69,"Battery D",
--S65&lt;=80,"Battery C",
--S65&gt;80,""
),"")</f>
        <v/>
      </c>
      <c r="V65" s="42" t="str" cm="1">
        <f t="array" ref="V65">IFERROR(_xlfn.IFS(
T65="","",
--T65&lt;55,"Battery Defect",
--T65&lt;=69,"Battery D",
--T65&lt;=80,"Battery C",
--T65&gt;80,""
),"")</f>
        <v/>
      </c>
      <c r="W65" s="42" t="str" cm="1">
        <f t="array" ref="W65:AD65">IFERROR(IF(_xlfn.XLOOKUP(B65,Input!J:J,Input!N:U)=0,"",
          _xlfn.XLOOKUP(B65,Input!J:J,Input!N:U)),"")</f>
        <v/>
      </c>
      <c r="X65" s="42" t="str">
        <v/>
      </c>
      <c r="Y65" s="42" t="str">
        <v/>
      </c>
      <c r="Z65" s="42" t="str">
        <v/>
      </c>
      <c r="AA65" s="42" t="str">
        <v/>
      </c>
      <c r="AB65" s="42" t="str">
        <v/>
      </c>
      <c r="AC65" s="42" t="str">
        <v/>
      </c>
      <c r="AD65" s="42" t="str">
        <v/>
      </c>
      <c r="AE65" s="32" t="str">
        <f t="shared" si="0"/>
        <v/>
      </c>
      <c r="AF65" s="32" t="str">
        <f>_xlfn.XLOOKUP(B:B,Disk_Pivot!G:G,Disk_Pivot!I:I)</f>
        <v>Yes x2</v>
      </c>
      <c r="AG65" s="32" t="str">
        <f>_xlfn.XLOOKUP(B65,Disk_Pivot!G:G,Disk_Pivot!N:N)</f>
        <v>Pass, Fail</v>
      </c>
      <c r="AH65" s="32"/>
      <c r="AI65" s="32"/>
      <c r="AJ65" s="32"/>
      <c r="AK65" s="32"/>
      <c r="AL65" s="32"/>
      <c r="AM65" s="32"/>
    </row>
    <row r="66" spans="1:39">
      <c r="A66" s="32" t="str">
        <f>_xlfn.XLOOKUP(B66,Input!J:J,Input!G:G)&amp;""</f>
        <v/>
      </c>
      <c r="B66" s="32"/>
      <c r="C66" s="32" t="str">
        <f>_xlfn.XLOOKUP(B66,Input!J:J,Input!H:H)&amp;""</f>
        <v/>
      </c>
      <c r="D66" s="42">
        <f>_xlfn.XLOOKUP(B66,Input!J:J,Input!F:F)</f>
        <v>0</v>
      </c>
      <c r="E66" s="32">
        <f>_xlfn.XLOOKUP(D66,Models!H:H,Models!G:G,D66)</f>
        <v>0</v>
      </c>
      <c r="F66" s="32">
        <f>_xlfn.XLOOKUP(B66,Input!J:J,Input!E:E)</f>
        <v>0</v>
      </c>
      <c r="G66" s="32">
        <f>IF(F66="LENOVO",_xlfn.XLOOKUP(B66,Input!J:J,Input!K:K),_xlfn.XLOOKUP(B66,Input!J:J,Input!L:L))</f>
        <v>0</v>
      </c>
      <c r="H66" s="32"/>
      <c r="I66" s="32"/>
      <c r="J66" s="32">
        <f>_xlfn.XLOOKUP(B66,CPU_Formula!A:A,CPU_Formula!I:I)</f>
        <v>0</v>
      </c>
      <c r="K66" s="42" t="e">
        <f>INDEX(Input!$D$2:$AC$500,
       MATCH(B66, Input!$J$2:$J$500, 0),
       MATCH("Total Memory", Input!$D$1:$AC$1, 0))</f>
        <v>#N/A</v>
      </c>
      <c r="L66" s="42" t="e">
        <f>INDEX(Input!$D$2:$AC$500,
       MATCH(B66, Input!$J$2:$J$500, 0),
       MATCH("Memory Type", Input!$D$1:$AC$1, 0))</f>
        <v>#N/A</v>
      </c>
      <c r="M66" s="42" t="str" cm="1">
        <f t="array" ref="M66">IFERROR(_xlfn.FILTERXML("&lt;t&gt;&lt;s&gt;" &amp; SUBSTITUTE(L66," / ","&lt;/s&gt;&lt;s&gt;") &amp; "&lt;/s&gt;&lt;/t&gt;","(//s[contains(.,'DDR')])[1]"),"")</f>
        <v/>
      </c>
      <c r="N66" s="32" t="e">
        <f t="shared" si="2"/>
        <v>#N/A</v>
      </c>
      <c r="O66" s="42" t="e">
        <f>INDEX(Input!$D$2:$AC$500,
       MATCH(B66, Input!$J$2:$J$500, 0),
       MATCH("Disk Interface Type", Input!$D$1:$AC$1, 0))</f>
        <v>#N/A</v>
      </c>
      <c r="P66" s="42" t="str" cm="1">
        <f t="array" ref="P66">IFERROR(_xlfn.TEXTJOIN(", ", TRUE, _xlfn._xlws.FILTER(
    INDEX(Input!$D$2:$AC$500,,MATCH("Disk Capacity",Input!$D$1:$AC$1,0)),
    Input!$J$2:$J$500=B66
)), "")</f>
        <v/>
      </c>
      <c r="Q66" s="32" t="e">
        <f t="shared" si="1"/>
        <v>#N/A</v>
      </c>
      <c r="R66" s="42" t="e">
        <f>_xlfn.LET(_xlpm.Result,INDEX(Input!$D$2:$AC$500,
       MATCH(B66, Input!$J$2:$J$500, 0),
       MATCH("Capacity", Input!$D$1:$AC$1, 0)),IF(_xlpm.Result="","",_xlpm.Result))</f>
        <v>#N/A</v>
      </c>
      <c r="S66" s="42" t="e" cm="1">
        <f t="array" ref="S66">_xlfn.TEXTSPLIT(R66," / ", ,TRUE,0,)</f>
        <v>#N/A</v>
      </c>
      <c r="T66" s="42"/>
      <c r="U66" s="42" t="str" cm="1">
        <f t="array" ref="U66">IFERROR(_xlfn.IFS(
S66="","",
--S66&lt;55,"Battery Defect",
--S66&lt;=69,"Battery D",
--S66&lt;=80,"Battery C",
--S66&gt;80,""
),"")</f>
        <v/>
      </c>
      <c r="V66" s="42" t="str" cm="1">
        <f t="array" ref="V66">IFERROR(_xlfn.IFS(
T66="","",
--T66&lt;55,"Battery Defect",
--T66&lt;=69,"Battery D",
--T66&lt;=80,"Battery C",
--T66&gt;80,""
),"")</f>
        <v/>
      </c>
      <c r="W66" s="42" t="str" cm="1">
        <f t="array" ref="W66:AD66">IFERROR(IF(_xlfn.XLOOKUP(B66,Input!J:J,Input!N:U)=0,"",
          _xlfn.XLOOKUP(B66,Input!J:J,Input!N:U)),"")</f>
        <v/>
      </c>
      <c r="X66" s="42" t="str">
        <v/>
      </c>
      <c r="Y66" s="42" t="str">
        <v/>
      </c>
      <c r="Z66" s="42" t="str">
        <v/>
      </c>
      <c r="AA66" s="42" t="str">
        <v/>
      </c>
      <c r="AB66" s="42" t="str">
        <v/>
      </c>
      <c r="AC66" s="42" t="str">
        <v/>
      </c>
      <c r="AD66" s="42" t="str">
        <v/>
      </c>
      <c r="AE66" s="32" t="str">
        <f t="shared" ref="AE66:AE129" si="3">IF(E66="Laptop",_xlfn.TEXTJOIN(", ",TRUE,U66,V66,W66,X66,Y66,Z66,AA66,AB66), _xlfn.TEXTJOIN(", ",TRUE,W66,X66,Y66,Z66,AA66,AB66))</f>
        <v/>
      </c>
      <c r="AF66" s="32" t="str">
        <f>_xlfn.XLOOKUP(B:B,Disk_Pivot!G:G,Disk_Pivot!I:I)</f>
        <v>Yes x2</v>
      </c>
      <c r="AG66" s="32" t="str">
        <f>_xlfn.XLOOKUP(B66,Disk_Pivot!G:G,Disk_Pivot!N:N)</f>
        <v>Pass, Fail</v>
      </c>
      <c r="AH66" s="32"/>
      <c r="AI66" s="32"/>
      <c r="AJ66" s="32"/>
      <c r="AK66" s="32"/>
      <c r="AL66" s="32"/>
      <c r="AM66" s="32"/>
    </row>
    <row r="67" spans="1:39">
      <c r="A67" s="32" t="str">
        <f>_xlfn.XLOOKUP(B67,Input!J:J,Input!G:G)&amp;""</f>
        <v/>
      </c>
      <c r="B67" s="32"/>
      <c r="C67" s="32" t="str">
        <f>_xlfn.XLOOKUP(B67,Input!J:J,Input!H:H)&amp;""</f>
        <v/>
      </c>
      <c r="D67" s="42">
        <f>_xlfn.XLOOKUP(B67,Input!J:J,Input!F:F)</f>
        <v>0</v>
      </c>
      <c r="E67" s="32">
        <f>_xlfn.XLOOKUP(D67,Models!H:H,Models!G:G,D67)</f>
        <v>0</v>
      </c>
      <c r="F67" s="32">
        <f>_xlfn.XLOOKUP(B67,Input!J:J,Input!E:E)</f>
        <v>0</v>
      </c>
      <c r="G67" s="32">
        <f>IF(F67="LENOVO",_xlfn.XLOOKUP(B67,Input!J:J,Input!K:K),_xlfn.XLOOKUP(B67,Input!J:J,Input!L:L))</f>
        <v>0</v>
      </c>
      <c r="H67" s="32"/>
      <c r="I67" s="32"/>
      <c r="J67" s="32">
        <f>_xlfn.XLOOKUP(B67,CPU_Formula!A:A,CPU_Formula!I:I)</f>
        <v>0</v>
      </c>
      <c r="K67" s="42" t="e">
        <f>INDEX(Input!$D$2:$AC$500,
       MATCH(B67, Input!$J$2:$J$500, 0),
       MATCH("Total Memory", Input!$D$1:$AC$1, 0))</f>
        <v>#N/A</v>
      </c>
      <c r="L67" s="42" t="e">
        <f>INDEX(Input!$D$2:$AC$500,
       MATCH(B67, Input!$J$2:$J$500, 0),
       MATCH("Memory Type", Input!$D$1:$AC$1, 0))</f>
        <v>#N/A</v>
      </c>
      <c r="M67" s="42" t="str" cm="1">
        <f t="array" ref="M67">IFERROR(_xlfn.FILTERXML("&lt;t&gt;&lt;s&gt;" &amp; SUBSTITUTE(L67," / ","&lt;/s&gt;&lt;s&gt;") &amp; "&lt;/s&gt;&lt;/t&gt;","(//s[contains(.,'DDR')])[1]"),"")</f>
        <v/>
      </c>
      <c r="N67" s="32" t="e">
        <f t="shared" si="2"/>
        <v>#N/A</v>
      </c>
      <c r="O67" s="42" t="e">
        <f>INDEX(Input!$D$2:$AC$500,
       MATCH(B67, Input!$J$2:$J$500, 0),
       MATCH("Disk Interface Type", Input!$D$1:$AC$1, 0))</f>
        <v>#N/A</v>
      </c>
      <c r="P67" s="42" t="str" cm="1">
        <f t="array" ref="P67">IFERROR(_xlfn.TEXTJOIN(", ", TRUE, _xlfn._xlws.FILTER(
    INDEX(Input!$D$2:$AC$500,,MATCH("Disk Capacity",Input!$D$1:$AC$1,0)),
    Input!$J$2:$J$500=B67
)), "")</f>
        <v/>
      </c>
      <c r="Q67" s="32" t="e">
        <f t="shared" ref="Q67:Q130" si="4">_xlfn.TEXTJOIN(" ",TRUE,P67,O67)</f>
        <v>#N/A</v>
      </c>
      <c r="R67" s="42" t="e">
        <f>_xlfn.LET(_xlpm.Result,INDEX(Input!$D$2:$AC$500,
       MATCH(B67, Input!$J$2:$J$500, 0),
       MATCH("Capacity", Input!$D$1:$AC$1, 0)),IF(_xlpm.Result="","",_xlpm.Result))</f>
        <v>#N/A</v>
      </c>
      <c r="S67" s="42" t="e" cm="1">
        <f t="array" ref="S67">_xlfn.TEXTSPLIT(R67," / ", ,TRUE,0,)</f>
        <v>#N/A</v>
      </c>
      <c r="T67" s="42"/>
      <c r="U67" s="42" t="str" cm="1">
        <f t="array" ref="U67">IFERROR(_xlfn.IFS(
S67="","",
--S67&lt;55,"Battery Defect",
--S67&lt;=69,"Battery D",
--S67&lt;=80,"Battery C",
--S67&gt;80,""
),"")</f>
        <v/>
      </c>
      <c r="V67" s="42" t="str" cm="1">
        <f t="array" ref="V67">IFERROR(_xlfn.IFS(
T67="","",
--T67&lt;55,"Battery Defect",
--T67&lt;=69,"Battery D",
--T67&lt;=80,"Battery C",
--T67&gt;80,""
),"")</f>
        <v/>
      </c>
      <c r="W67" s="42" t="str" cm="1">
        <f t="array" ref="W67:AD67">IFERROR(IF(_xlfn.XLOOKUP(B67,Input!J:J,Input!N:U)=0,"",
          _xlfn.XLOOKUP(B67,Input!J:J,Input!N:U)),"")</f>
        <v/>
      </c>
      <c r="X67" s="42" t="str">
        <v/>
      </c>
      <c r="Y67" s="42" t="str">
        <v/>
      </c>
      <c r="Z67" s="42" t="str">
        <v/>
      </c>
      <c r="AA67" s="42" t="str">
        <v/>
      </c>
      <c r="AB67" s="42" t="str">
        <v/>
      </c>
      <c r="AC67" s="42" t="str">
        <v/>
      </c>
      <c r="AD67" s="42" t="str">
        <v/>
      </c>
      <c r="AE67" s="32" t="str">
        <f t="shared" si="3"/>
        <v/>
      </c>
      <c r="AF67" s="32" t="str">
        <f>_xlfn.XLOOKUP(B:B,Disk_Pivot!G:G,Disk_Pivot!I:I)</f>
        <v>Yes x2</v>
      </c>
      <c r="AG67" s="32" t="str">
        <f>_xlfn.XLOOKUP(B67,Disk_Pivot!G:G,Disk_Pivot!N:N)</f>
        <v>Pass, Fail</v>
      </c>
      <c r="AH67" s="32"/>
      <c r="AI67" s="32"/>
      <c r="AJ67" s="32"/>
      <c r="AK67" s="32"/>
      <c r="AL67" s="32"/>
      <c r="AM67" s="32"/>
    </row>
    <row r="68" spans="1:39">
      <c r="A68" s="32" t="str">
        <f>_xlfn.XLOOKUP(B68,Input!J:J,Input!G:G)&amp;""</f>
        <v/>
      </c>
      <c r="B68" s="32"/>
      <c r="C68" s="32" t="str">
        <f>_xlfn.XLOOKUP(B68,Input!J:J,Input!H:H)&amp;""</f>
        <v/>
      </c>
      <c r="D68" s="42">
        <f>_xlfn.XLOOKUP(B68,Input!J:J,Input!F:F)</f>
        <v>0</v>
      </c>
      <c r="E68" s="32">
        <f>_xlfn.XLOOKUP(D68,Models!H:H,Models!G:G,D68)</f>
        <v>0</v>
      </c>
      <c r="F68" s="32">
        <f>_xlfn.XLOOKUP(B68,Input!J:J,Input!E:E)</f>
        <v>0</v>
      </c>
      <c r="G68" s="32">
        <f>IF(F68="LENOVO",_xlfn.XLOOKUP(B68,Input!J:J,Input!K:K),_xlfn.XLOOKUP(B68,Input!J:J,Input!L:L))</f>
        <v>0</v>
      </c>
      <c r="H68" s="32"/>
      <c r="I68" s="32"/>
      <c r="J68" s="32">
        <f>_xlfn.XLOOKUP(B68,CPU_Formula!A:A,CPU_Formula!I:I)</f>
        <v>0</v>
      </c>
      <c r="K68" s="42" t="e">
        <f>INDEX(Input!$D$2:$AC$500,
       MATCH(B68, Input!$J$2:$J$500, 0),
       MATCH("Total Memory", Input!$D$1:$AC$1, 0))</f>
        <v>#N/A</v>
      </c>
      <c r="L68" s="42" t="e">
        <f>INDEX(Input!$D$2:$AC$500,
       MATCH(B68, Input!$J$2:$J$500, 0),
       MATCH("Memory Type", Input!$D$1:$AC$1, 0))</f>
        <v>#N/A</v>
      </c>
      <c r="M68" s="42" t="str" cm="1">
        <f t="array" ref="M68">IFERROR(_xlfn.FILTERXML("&lt;t&gt;&lt;s&gt;" &amp; SUBSTITUTE(L68," / ","&lt;/s&gt;&lt;s&gt;") &amp; "&lt;/s&gt;&lt;/t&gt;","(//s[contains(.,'DDR')])[1]"),"")</f>
        <v/>
      </c>
      <c r="N68" s="32" t="e">
        <f t="shared" ref="N68:N131" si="5">_xlfn.TEXTJOIN(" ",TRUE,SUBSTITUTE(K68,"i",""),M68)</f>
        <v>#N/A</v>
      </c>
      <c r="O68" s="42" t="e">
        <f>INDEX(Input!$D$2:$AC$500,
       MATCH(B68, Input!$J$2:$J$500, 0),
       MATCH("Disk Interface Type", Input!$D$1:$AC$1, 0))</f>
        <v>#N/A</v>
      </c>
      <c r="P68" s="42" t="str" cm="1">
        <f t="array" ref="P68">IFERROR(_xlfn.TEXTJOIN(", ", TRUE, _xlfn._xlws.FILTER(
    INDEX(Input!$D$2:$AC$500,,MATCH("Disk Capacity",Input!$D$1:$AC$1,0)),
    Input!$J$2:$J$500=B68
)), "")</f>
        <v/>
      </c>
      <c r="Q68" s="32" t="e">
        <f t="shared" si="4"/>
        <v>#N/A</v>
      </c>
      <c r="R68" s="42" t="e">
        <f>_xlfn.LET(_xlpm.Result,INDEX(Input!$D$2:$AC$500,
       MATCH(B68, Input!$J$2:$J$500, 0),
       MATCH("Capacity", Input!$D$1:$AC$1, 0)),IF(_xlpm.Result="","",_xlpm.Result))</f>
        <v>#N/A</v>
      </c>
      <c r="S68" s="42" t="e" cm="1">
        <f t="array" ref="S68">_xlfn.TEXTSPLIT(R68," / ", ,TRUE,0,)</f>
        <v>#N/A</v>
      </c>
      <c r="T68" s="42"/>
      <c r="U68" s="42" t="str" cm="1">
        <f t="array" ref="U68">IFERROR(_xlfn.IFS(
S68="","",
--S68&lt;55,"Battery Defect",
--S68&lt;=69,"Battery D",
--S68&lt;=80,"Battery C",
--S68&gt;80,""
),"")</f>
        <v/>
      </c>
      <c r="V68" s="42" t="str" cm="1">
        <f t="array" ref="V68">IFERROR(_xlfn.IFS(
T68="","",
--T68&lt;55,"Battery Defect",
--T68&lt;=69,"Battery D",
--T68&lt;=80,"Battery C",
--T68&gt;80,""
),"")</f>
        <v/>
      </c>
      <c r="W68" s="42" t="str" cm="1">
        <f t="array" ref="W68:AD68">IFERROR(IF(_xlfn.XLOOKUP(B68,Input!J:J,Input!N:U)=0,"",
          _xlfn.XLOOKUP(B68,Input!J:J,Input!N:U)),"")</f>
        <v/>
      </c>
      <c r="X68" s="42" t="str">
        <v/>
      </c>
      <c r="Y68" s="42" t="str">
        <v/>
      </c>
      <c r="Z68" s="42" t="str">
        <v/>
      </c>
      <c r="AA68" s="42" t="str">
        <v/>
      </c>
      <c r="AB68" s="42" t="str">
        <v/>
      </c>
      <c r="AC68" s="42" t="str">
        <v/>
      </c>
      <c r="AD68" s="42" t="str">
        <v/>
      </c>
      <c r="AE68" s="32" t="str">
        <f t="shared" si="3"/>
        <v/>
      </c>
      <c r="AF68" s="32" t="str">
        <f>_xlfn.XLOOKUP(B:B,Disk_Pivot!G:G,Disk_Pivot!I:I)</f>
        <v>Yes x2</v>
      </c>
      <c r="AG68" s="32" t="str">
        <f>_xlfn.XLOOKUP(B68,Disk_Pivot!G:G,Disk_Pivot!N:N)</f>
        <v>Pass, Fail</v>
      </c>
      <c r="AH68" s="32"/>
      <c r="AI68" s="32"/>
      <c r="AJ68" s="32"/>
      <c r="AK68" s="32"/>
      <c r="AL68" s="32"/>
      <c r="AM68" s="32"/>
    </row>
    <row r="69" spans="1:39">
      <c r="A69" s="32" t="str">
        <f>_xlfn.XLOOKUP(B69,Input!J:J,Input!G:G)&amp;""</f>
        <v/>
      </c>
      <c r="B69" s="32"/>
      <c r="C69" s="32" t="str">
        <f>_xlfn.XLOOKUP(B69,Input!J:J,Input!H:H)&amp;""</f>
        <v/>
      </c>
      <c r="D69" s="42">
        <f>_xlfn.XLOOKUP(B69,Input!J:J,Input!F:F)</f>
        <v>0</v>
      </c>
      <c r="E69" s="32">
        <f>_xlfn.XLOOKUP(D69,Models!H:H,Models!G:G,D69)</f>
        <v>0</v>
      </c>
      <c r="F69" s="32">
        <f>_xlfn.XLOOKUP(B69,Input!J:J,Input!E:E)</f>
        <v>0</v>
      </c>
      <c r="G69" s="32">
        <f>IF(F69="LENOVO",_xlfn.XLOOKUP(B69,Input!J:J,Input!K:K),_xlfn.XLOOKUP(B69,Input!J:J,Input!L:L))</f>
        <v>0</v>
      </c>
      <c r="H69" s="32"/>
      <c r="I69" s="32"/>
      <c r="J69" s="32">
        <f>_xlfn.XLOOKUP(B69,CPU_Formula!A:A,CPU_Formula!I:I)</f>
        <v>0</v>
      </c>
      <c r="K69" s="42" t="e">
        <f>INDEX(Input!$D$2:$AC$500,
       MATCH(B69, Input!$J$2:$J$500, 0),
       MATCH("Total Memory", Input!$D$1:$AC$1, 0))</f>
        <v>#N/A</v>
      </c>
      <c r="L69" s="42" t="e">
        <f>INDEX(Input!$D$2:$AC$500,
       MATCH(B69, Input!$J$2:$J$500, 0),
       MATCH("Memory Type", Input!$D$1:$AC$1, 0))</f>
        <v>#N/A</v>
      </c>
      <c r="M69" s="42" t="str" cm="1">
        <f t="array" ref="M69">IFERROR(_xlfn.FILTERXML("&lt;t&gt;&lt;s&gt;" &amp; SUBSTITUTE(L69," / ","&lt;/s&gt;&lt;s&gt;") &amp; "&lt;/s&gt;&lt;/t&gt;","(//s[contains(.,'DDR')])[1]"),"")</f>
        <v/>
      </c>
      <c r="N69" s="32" t="e">
        <f t="shared" si="5"/>
        <v>#N/A</v>
      </c>
      <c r="O69" s="42" t="e">
        <f>INDEX(Input!$D$2:$AC$500,
       MATCH(B69, Input!$J$2:$J$500, 0),
       MATCH("Disk Interface Type", Input!$D$1:$AC$1, 0))</f>
        <v>#N/A</v>
      </c>
      <c r="P69" s="42" t="str" cm="1">
        <f t="array" ref="P69">IFERROR(_xlfn.TEXTJOIN(", ", TRUE, _xlfn._xlws.FILTER(
    INDEX(Input!$D$2:$AC$500,,MATCH("Disk Capacity",Input!$D$1:$AC$1,0)),
    Input!$J$2:$J$500=B69
)), "")</f>
        <v/>
      </c>
      <c r="Q69" s="32" t="e">
        <f t="shared" si="4"/>
        <v>#N/A</v>
      </c>
      <c r="R69" s="42" t="e">
        <f>_xlfn.LET(_xlpm.Result,INDEX(Input!$D$2:$AC$500,
       MATCH(B69, Input!$J$2:$J$500, 0),
       MATCH("Capacity", Input!$D$1:$AC$1, 0)),IF(_xlpm.Result="","",_xlpm.Result))</f>
        <v>#N/A</v>
      </c>
      <c r="S69" s="42" t="e" cm="1">
        <f t="array" ref="S69">_xlfn.TEXTSPLIT(R69," / ", ,TRUE,0,)</f>
        <v>#N/A</v>
      </c>
      <c r="T69" s="42"/>
      <c r="U69" s="42" t="str" cm="1">
        <f t="array" ref="U69">IFERROR(_xlfn.IFS(
S69="","",
--S69&lt;55,"Battery Defect",
--S69&lt;=69,"Battery D",
--S69&lt;=80,"Battery C",
--S69&gt;80,""
),"")</f>
        <v/>
      </c>
      <c r="V69" s="42" t="str" cm="1">
        <f t="array" ref="V69">IFERROR(_xlfn.IFS(
T69="","",
--T69&lt;55,"Battery Defect",
--T69&lt;=69,"Battery D",
--T69&lt;=80,"Battery C",
--T69&gt;80,""
),"")</f>
        <v/>
      </c>
      <c r="W69" s="42" t="str" cm="1">
        <f t="array" ref="W69:AD69">IFERROR(IF(_xlfn.XLOOKUP(B69,Input!J:J,Input!N:U)=0,"",
          _xlfn.XLOOKUP(B69,Input!J:J,Input!N:U)),"")</f>
        <v/>
      </c>
      <c r="X69" s="42" t="str">
        <v/>
      </c>
      <c r="Y69" s="42" t="str">
        <v/>
      </c>
      <c r="Z69" s="42" t="str">
        <v/>
      </c>
      <c r="AA69" s="42" t="str">
        <v/>
      </c>
      <c r="AB69" s="42" t="str">
        <v/>
      </c>
      <c r="AC69" s="42" t="str">
        <v/>
      </c>
      <c r="AD69" s="42" t="str">
        <v/>
      </c>
      <c r="AE69" s="32" t="str">
        <f t="shared" si="3"/>
        <v/>
      </c>
      <c r="AF69" s="32" t="str">
        <f>_xlfn.XLOOKUP(B:B,Disk_Pivot!G:G,Disk_Pivot!I:I)</f>
        <v>Yes x2</v>
      </c>
      <c r="AG69" s="32" t="str">
        <f>_xlfn.XLOOKUP(B69,Disk_Pivot!G:G,Disk_Pivot!N:N)</f>
        <v>Pass, Fail</v>
      </c>
      <c r="AH69" s="32"/>
      <c r="AI69" s="32"/>
      <c r="AJ69" s="32"/>
      <c r="AK69" s="32"/>
      <c r="AL69" s="32"/>
      <c r="AM69" s="32"/>
    </row>
    <row r="70" spans="1:39">
      <c r="A70" s="32" t="str">
        <f>_xlfn.XLOOKUP(B70,Input!J:J,Input!G:G)&amp;""</f>
        <v/>
      </c>
      <c r="B70" s="32"/>
      <c r="C70" s="32" t="str">
        <f>_xlfn.XLOOKUP(B70,Input!J:J,Input!H:H)&amp;""</f>
        <v/>
      </c>
      <c r="D70" s="42">
        <f>_xlfn.XLOOKUP(B70,Input!J:J,Input!F:F)</f>
        <v>0</v>
      </c>
      <c r="E70" s="32">
        <f>_xlfn.XLOOKUP(D70,Models!H:H,Models!G:G,D70)</f>
        <v>0</v>
      </c>
      <c r="F70" s="32">
        <f>_xlfn.XLOOKUP(B70,Input!J:J,Input!E:E)</f>
        <v>0</v>
      </c>
      <c r="G70" s="32">
        <f>IF(F70="LENOVO",_xlfn.XLOOKUP(B70,Input!J:J,Input!K:K),_xlfn.XLOOKUP(B70,Input!J:J,Input!L:L))</f>
        <v>0</v>
      </c>
      <c r="H70" s="32"/>
      <c r="I70" s="32"/>
      <c r="J70" s="32">
        <f>_xlfn.XLOOKUP(B70,CPU_Formula!A:A,CPU_Formula!I:I)</f>
        <v>0</v>
      </c>
      <c r="K70" s="42" t="e">
        <f>INDEX(Input!$D$2:$AC$500,
       MATCH(B70, Input!$J$2:$J$500, 0),
       MATCH("Total Memory", Input!$D$1:$AC$1, 0))</f>
        <v>#N/A</v>
      </c>
      <c r="L70" s="42" t="e">
        <f>INDEX(Input!$D$2:$AC$500,
       MATCH(B70, Input!$J$2:$J$500, 0),
       MATCH("Memory Type", Input!$D$1:$AC$1, 0))</f>
        <v>#N/A</v>
      </c>
      <c r="M70" s="42" t="str" cm="1">
        <f t="array" ref="M70">IFERROR(_xlfn.FILTERXML("&lt;t&gt;&lt;s&gt;" &amp; SUBSTITUTE(L70," / ","&lt;/s&gt;&lt;s&gt;") &amp; "&lt;/s&gt;&lt;/t&gt;","(//s[contains(.,'DDR')])[1]"),"")</f>
        <v/>
      </c>
      <c r="N70" s="32" t="e">
        <f t="shared" si="5"/>
        <v>#N/A</v>
      </c>
      <c r="O70" s="42" t="e">
        <f>INDEX(Input!$D$2:$AC$500,
       MATCH(B70, Input!$J$2:$J$500, 0),
       MATCH("Disk Interface Type", Input!$D$1:$AC$1, 0))</f>
        <v>#N/A</v>
      </c>
      <c r="P70" s="42" t="str" cm="1">
        <f t="array" ref="P70">IFERROR(_xlfn.TEXTJOIN(", ", TRUE, _xlfn._xlws.FILTER(
    INDEX(Input!$D$2:$AC$500,,MATCH("Disk Capacity",Input!$D$1:$AC$1,0)),
    Input!$J$2:$J$500=B70
)), "")</f>
        <v/>
      </c>
      <c r="Q70" s="32" t="e">
        <f t="shared" si="4"/>
        <v>#N/A</v>
      </c>
      <c r="R70" s="42" t="e">
        <f>_xlfn.LET(_xlpm.Result,INDEX(Input!$D$2:$AC$500,
       MATCH(B70, Input!$J$2:$J$500, 0),
       MATCH("Capacity", Input!$D$1:$AC$1, 0)),IF(_xlpm.Result="","",_xlpm.Result))</f>
        <v>#N/A</v>
      </c>
      <c r="S70" s="42" t="e" cm="1">
        <f t="array" ref="S70">_xlfn.TEXTSPLIT(R70," / ", ,TRUE,0,)</f>
        <v>#N/A</v>
      </c>
      <c r="T70" s="42"/>
      <c r="U70" s="42" t="str" cm="1">
        <f t="array" ref="U70">IFERROR(_xlfn.IFS(
S70="","",
--S70&lt;55,"Battery Defect",
--S70&lt;=69,"Battery D",
--S70&lt;=80,"Battery C",
--S70&gt;80,""
),"")</f>
        <v/>
      </c>
      <c r="V70" s="42" t="str" cm="1">
        <f t="array" ref="V70">IFERROR(_xlfn.IFS(
T70="","",
--T70&lt;55,"Battery Defect",
--T70&lt;=69,"Battery D",
--T70&lt;=80,"Battery C",
--T70&gt;80,""
),"")</f>
        <v/>
      </c>
      <c r="W70" s="42" t="str" cm="1">
        <f t="array" ref="W70:AD70">IFERROR(IF(_xlfn.XLOOKUP(B70,Input!J:J,Input!N:U)=0,"",
          _xlfn.XLOOKUP(B70,Input!J:J,Input!N:U)),"")</f>
        <v/>
      </c>
      <c r="X70" s="42" t="str">
        <v/>
      </c>
      <c r="Y70" s="42" t="str">
        <v/>
      </c>
      <c r="Z70" s="42" t="str">
        <v/>
      </c>
      <c r="AA70" s="42" t="str">
        <v/>
      </c>
      <c r="AB70" s="42" t="str">
        <v/>
      </c>
      <c r="AC70" s="42" t="str">
        <v/>
      </c>
      <c r="AD70" s="42" t="str">
        <v/>
      </c>
      <c r="AE70" s="32" t="str">
        <f t="shared" si="3"/>
        <v/>
      </c>
      <c r="AF70" s="32" t="str">
        <f>_xlfn.XLOOKUP(B:B,Disk_Pivot!G:G,Disk_Pivot!I:I)</f>
        <v>Yes x2</v>
      </c>
      <c r="AG70" s="32" t="str">
        <f>_xlfn.XLOOKUP(B70,Disk_Pivot!G:G,Disk_Pivot!N:N)</f>
        <v>Pass, Fail</v>
      </c>
      <c r="AH70" s="32"/>
      <c r="AI70" s="32"/>
      <c r="AJ70" s="32"/>
      <c r="AK70" s="32"/>
      <c r="AL70" s="32"/>
      <c r="AM70" s="32"/>
    </row>
    <row r="71" spans="1:39">
      <c r="A71" s="32" t="str">
        <f>_xlfn.XLOOKUP(B71,Input!J:J,Input!G:G)&amp;""</f>
        <v/>
      </c>
      <c r="B71" s="32"/>
      <c r="C71" s="32" t="str">
        <f>_xlfn.XLOOKUP(B71,Input!J:J,Input!H:H)&amp;""</f>
        <v/>
      </c>
      <c r="D71" s="42">
        <f>_xlfn.XLOOKUP(B71,Input!J:J,Input!F:F)</f>
        <v>0</v>
      </c>
      <c r="E71" s="32">
        <f>_xlfn.XLOOKUP(D71,Models!H:H,Models!G:G,D71)</f>
        <v>0</v>
      </c>
      <c r="F71" s="32">
        <f>_xlfn.XLOOKUP(B71,Input!J:J,Input!E:E)</f>
        <v>0</v>
      </c>
      <c r="G71" s="32">
        <f>IF(F71="LENOVO",_xlfn.XLOOKUP(B71,Input!J:J,Input!K:K),_xlfn.XLOOKUP(B71,Input!J:J,Input!L:L))</f>
        <v>0</v>
      </c>
      <c r="H71" s="32"/>
      <c r="I71" s="32"/>
      <c r="J71" s="32">
        <f>_xlfn.XLOOKUP(B71,CPU_Formula!A:A,CPU_Formula!I:I)</f>
        <v>0</v>
      </c>
      <c r="K71" s="42" t="e">
        <f>INDEX(Input!$D$2:$AC$500,
       MATCH(B71, Input!$J$2:$J$500, 0),
       MATCH("Total Memory", Input!$D$1:$AC$1, 0))</f>
        <v>#N/A</v>
      </c>
      <c r="L71" s="42" t="e">
        <f>INDEX(Input!$D$2:$AC$500,
       MATCH(B71, Input!$J$2:$J$500, 0),
       MATCH("Memory Type", Input!$D$1:$AC$1, 0))</f>
        <v>#N/A</v>
      </c>
      <c r="M71" s="42" t="str" cm="1">
        <f t="array" ref="M71">IFERROR(_xlfn.FILTERXML("&lt;t&gt;&lt;s&gt;" &amp; SUBSTITUTE(L71," / ","&lt;/s&gt;&lt;s&gt;") &amp; "&lt;/s&gt;&lt;/t&gt;","(//s[contains(.,'DDR')])[1]"),"")</f>
        <v/>
      </c>
      <c r="N71" s="32" t="e">
        <f t="shared" si="5"/>
        <v>#N/A</v>
      </c>
      <c r="O71" s="42" t="e">
        <f>INDEX(Input!$D$2:$AC$500,
       MATCH(B71, Input!$J$2:$J$500, 0),
       MATCH("Disk Interface Type", Input!$D$1:$AC$1, 0))</f>
        <v>#N/A</v>
      </c>
      <c r="P71" s="42" t="str" cm="1">
        <f t="array" ref="P71">IFERROR(_xlfn.TEXTJOIN(", ", TRUE, _xlfn._xlws.FILTER(
    INDEX(Input!$D$2:$AC$500,,MATCH("Disk Capacity",Input!$D$1:$AC$1,0)),
    Input!$J$2:$J$500=B71
)), "")</f>
        <v/>
      </c>
      <c r="Q71" s="32" t="e">
        <f t="shared" si="4"/>
        <v>#N/A</v>
      </c>
      <c r="R71" s="42" t="e">
        <f>_xlfn.LET(_xlpm.Result,INDEX(Input!$D$2:$AC$500,
       MATCH(B71, Input!$J$2:$J$500, 0),
       MATCH("Capacity", Input!$D$1:$AC$1, 0)),IF(_xlpm.Result="","",_xlpm.Result))</f>
        <v>#N/A</v>
      </c>
      <c r="S71" s="42" t="e" cm="1">
        <f t="array" ref="S71">_xlfn.TEXTSPLIT(R71," / ", ,TRUE,0,)</f>
        <v>#N/A</v>
      </c>
      <c r="T71" s="42"/>
      <c r="U71" s="42" t="str" cm="1">
        <f t="array" ref="U71">IFERROR(_xlfn.IFS(
S71="","",
--S71&lt;55,"Battery Defect",
--S71&lt;=69,"Battery D",
--S71&lt;=80,"Battery C",
--S71&gt;80,""
),"")</f>
        <v/>
      </c>
      <c r="V71" s="42" t="str" cm="1">
        <f t="array" ref="V71">IFERROR(_xlfn.IFS(
T71="","",
--T71&lt;55,"Battery Defect",
--T71&lt;=69,"Battery D",
--T71&lt;=80,"Battery C",
--T71&gt;80,""
),"")</f>
        <v/>
      </c>
      <c r="W71" s="42" t="str" cm="1">
        <f t="array" ref="W71:AD71">IFERROR(IF(_xlfn.XLOOKUP(B71,Input!J:J,Input!N:U)=0,"",
          _xlfn.XLOOKUP(B71,Input!J:J,Input!N:U)),"")</f>
        <v/>
      </c>
      <c r="X71" s="42" t="str">
        <v/>
      </c>
      <c r="Y71" s="42" t="str">
        <v/>
      </c>
      <c r="Z71" s="42" t="str">
        <v/>
      </c>
      <c r="AA71" s="42" t="str">
        <v/>
      </c>
      <c r="AB71" s="42" t="str">
        <v/>
      </c>
      <c r="AC71" s="42" t="str">
        <v/>
      </c>
      <c r="AD71" s="42" t="str">
        <v/>
      </c>
      <c r="AE71" s="32" t="str">
        <f t="shared" si="3"/>
        <v/>
      </c>
      <c r="AF71" s="32" t="str">
        <f>_xlfn.XLOOKUP(B:B,Disk_Pivot!G:G,Disk_Pivot!I:I)</f>
        <v>Yes x2</v>
      </c>
      <c r="AG71" s="32" t="str">
        <f>_xlfn.XLOOKUP(B71,Disk_Pivot!G:G,Disk_Pivot!N:N)</f>
        <v>Pass, Fail</v>
      </c>
      <c r="AH71" s="32"/>
      <c r="AI71" s="32"/>
      <c r="AJ71" s="32"/>
      <c r="AK71" s="32"/>
      <c r="AL71" s="32"/>
      <c r="AM71" s="32"/>
    </row>
    <row r="72" spans="1:39">
      <c r="A72" s="32" t="str">
        <f>_xlfn.XLOOKUP(B72,Input!J:J,Input!G:G)&amp;""</f>
        <v/>
      </c>
      <c r="B72" s="32"/>
      <c r="C72" s="32" t="str">
        <f>_xlfn.XLOOKUP(B72,Input!J:J,Input!H:H)&amp;""</f>
        <v/>
      </c>
      <c r="D72" s="42">
        <f>_xlfn.XLOOKUP(B72,Input!J:J,Input!F:F)</f>
        <v>0</v>
      </c>
      <c r="E72" s="32">
        <f>_xlfn.XLOOKUP(D72,Models!H:H,Models!G:G,D72)</f>
        <v>0</v>
      </c>
      <c r="F72" s="32">
        <f>_xlfn.XLOOKUP(B72,Input!J:J,Input!E:E)</f>
        <v>0</v>
      </c>
      <c r="G72" s="32">
        <f>IF(F72="LENOVO",_xlfn.XLOOKUP(B72,Input!J:J,Input!K:K),_xlfn.XLOOKUP(B72,Input!J:J,Input!L:L))</f>
        <v>0</v>
      </c>
      <c r="H72" s="32"/>
      <c r="I72" s="32"/>
      <c r="J72" s="32">
        <f>_xlfn.XLOOKUP(B72,CPU_Formula!A:A,CPU_Formula!I:I)</f>
        <v>0</v>
      </c>
      <c r="K72" s="42" t="e">
        <f>INDEX(Input!$D$2:$AC$500,
       MATCH(B72, Input!$J$2:$J$500, 0),
       MATCH("Total Memory", Input!$D$1:$AC$1, 0))</f>
        <v>#N/A</v>
      </c>
      <c r="L72" s="42" t="e">
        <f>INDEX(Input!$D$2:$AC$500,
       MATCH(B72, Input!$J$2:$J$500, 0),
       MATCH("Memory Type", Input!$D$1:$AC$1, 0))</f>
        <v>#N/A</v>
      </c>
      <c r="M72" s="42" t="str" cm="1">
        <f t="array" ref="M72">IFERROR(_xlfn.FILTERXML("&lt;t&gt;&lt;s&gt;" &amp; SUBSTITUTE(L72," / ","&lt;/s&gt;&lt;s&gt;") &amp; "&lt;/s&gt;&lt;/t&gt;","(//s[contains(.,'DDR')])[1]"),"")</f>
        <v/>
      </c>
      <c r="N72" s="32" t="e">
        <f t="shared" si="5"/>
        <v>#N/A</v>
      </c>
      <c r="O72" s="42" t="e">
        <f>INDEX(Input!$D$2:$AC$500,
       MATCH(B72, Input!$J$2:$J$500, 0),
       MATCH("Disk Interface Type", Input!$D$1:$AC$1, 0))</f>
        <v>#N/A</v>
      </c>
      <c r="P72" s="42" t="str" cm="1">
        <f t="array" ref="P72">IFERROR(_xlfn.TEXTJOIN(", ", TRUE, _xlfn._xlws.FILTER(
    INDEX(Input!$D$2:$AC$500,,MATCH("Disk Capacity",Input!$D$1:$AC$1,0)),
    Input!$J$2:$J$500=B72
)), "")</f>
        <v/>
      </c>
      <c r="Q72" s="32" t="e">
        <f t="shared" si="4"/>
        <v>#N/A</v>
      </c>
      <c r="R72" s="42" t="e">
        <f>_xlfn.LET(_xlpm.Result,INDEX(Input!$D$2:$AC$500,
       MATCH(B72, Input!$J$2:$J$500, 0),
       MATCH("Capacity", Input!$D$1:$AC$1, 0)),IF(_xlpm.Result="","",_xlpm.Result))</f>
        <v>#N/A</v>
      </c>
      <c r="S72" s="42" t="e" cm="1">
        <f t="array" ref="S72">_xlfn.TEXTSPLIT(R72," / ", ,TRUE,0,)</f>
        <v>#N/A</v>
      </c>
      <c r="T72" s="42"/>
      <c r="U72" s="42" t="str" cm="1">
        <f t="array" ref="U72">IFERROR(_xlfn.IFS(
S72="","",
--S72&lt;55,"Battery Defect",
--S72&lt;=69,"Battery D",
--S72&lt;=80,"Battery C",
--S72&gt;80,""
),"")</f>
        <v/>
      </c>
      <c r="V72" s="42" t="str" cm="1">
        <f t="array" ref="V72">IFERROR(_xlfn.IFS(
T72="","",
--T72&lt;55,"Battery Defect",
--T72&lt;=69,"Battery D",
--T72&lt;=80,"Battery C",
--T72&gt;80,""
),"")</f>
        <v/>
      </c>
      <c r="W72" s="42" t="str" cm="1">
        <f t="array" ref="W72:AD72">IFERROR(IF(_xlfn.XLOOKUP(B72,Input!J:J,Input!N:U)=0,"",
          _xlfn.XLOOKUP(B72,Input!J:J,Input!N:U)),"")</f>
        <v/>
      </c>
      <c r="X72" s="42" t="str">
        <v/>
      </c>
      <c r="Y72" s="42" t="str">
        <v/>
      </c>
      <c r="Z72" s="42" t="str">
        <v/>
      </c>
      <c r="AA72" s="42" t="str">
        <v/>
      </c>
      <c r="AB72" s="42" t="str">
        <v/>
      </c>
      <c r="AC72" s="42" t="str">
        <v/>
      </c>
      <c r="AD72" s="42" t="str">
        <v/>
      </c>
      <c r="AE72" s="32" t="str">
        <f t="shared" si="3"/>
        <v/>
      </c>
      <c r="AF72" s="32" t="str">
        <f>_xlfn.XLOOKUP(B:B,Disk_Pivot!G:G,Disk_Pivot!I:I)</f>
        <v>Yes x2</v>
      </c>
      <c r="AG72" s="32" t="str">
        <f>_xlfn.XLOOKUP(B72,Disk_Pivot!G:G,Disk_Pivot!N:N)</f>
        <v>Pass, Fail</v>
      </c>
      <c r="AH72" s="32"/>
      <c r="AI72" s="32"/>
      <c r="AJ72" s="32"/>
      <c r="AK72" s="32"/>
      <c r="AL72" s="32"/>
      <c r="AM72" s="32"/>
    </row>
    <row r="73" spans="1:39">
      <c r="A73" s="32" t="str">
        <f>_xlfn.XLOOKUP(B73,Input!J:J,Input!G:G)&amp;""</f>
        <v/>
      </c>
      <c r="B73" s="32"/>
      <c r="C73" s="32" t="str">
        <f>_xlfn.XLOOKUP(B73,Input!J:J,Input!H:H)&amp;""</f>
        <v/>
      </c>
      <c r="D73" s="42">
        <f>_xlfn.XLOOKUP(B73,Input!J:J,Input!F:F)</f>
        <v>0</v>
      </c>
      <c r="E73" s="32">
        <f>_xlfn.XLOOKUP(D73,Models!H:H,Models!G:G,D73)</f>
        <v>0</v>
      </c>
      <c r="F73" s="32">
        <f>_xlfn.XLOOKUP(B73,Input!J:J,Input!E:E)</f>
        <v>0</v>
      </c>
      <c r="G73" s="32">
        <f>IF(F73="LENOVO",_xlfn.XLOOKUP(B73,Input!J:J,Input!K:K),_xlfn.XLOOKUP(B73,Input!J:J,Input!L:L))</f>
        <v>0</v>
      </c>
      <c r="H73" s="32"/>
      <c r="I73" s="32"/>
      <c r="J73" s="32">
        <f>_xlfn.XLOOKUP(B73,CPU_Formula!A:A,CPU_Formula!I:I)</f>
        <v>0</v>
      </c>
      <c r="K73" s="42" t="e">
        <f>INDEX(Input!$D$2:$AC$500,
       MATCH(B73, Input!$J$2:$J$500, 0),
       MATCH("Total Memory", Input!$D$1:$AC$1, 0))</f>
        <v>#N/A</v>
      </c>
      <c r="L73" s="42" t="e">
        <f>INDEX(Input!$D$2:$AC$500,
       MATCH(B73, Input!$J$2:$J$500, 0),
       MATCH("Memory Type", Input!$D$1:$AC$1, 0))</f>
        <v>#N/A</v>
      </c>
      <c r="M73" s="42" t="str" cm="1">
        <f t="array" ref="M73">IFERROR(_xlfn.FILTERXML("&lt;t&gt;&lt;s&gt;" &amp; SUBSTITUTE(L73," / ","&lt;/s&gt;&lt;s&gt;") &amp; "&lt;/s&gt;&lt;/t&gt;","(//s[contains(.,'DDR')])[1]"),"")</f>
        <v/>
      </c>
      <c r="N73" s="32" t="e">
        <f t="shared" si="5"/>
        <v>#N/A</v>
      </c>
      <c r="O73" s="42" t="e">
        <f>INDEX(Input!$D$2:$AC$500,
       MATCH(B73, Input!$J$2:$J$500, 0),
       MATCH("Disk Interface Type", Input!$D$1:$AC$1, 0))</f>
        <v>#N/A</v>
      </c>
      <c r="P73" s="42" t="str" cm="1">
        <f t="array" ref="P73">IFERROR(_xlfn.TEXTJOIN(", ", TRUE, _xlfn._xlws.FILTER(
    INDEX(Input!$D$2:$AC$500,,MATCH("Disk Capacity",Input!$D$1:$AC$1,0)),
    Input!$J$2:$J$500=B73
)), "")</f>
        <v/>
      </c>
      <c r="Q73" s="32" t="e">
        <f t="shared" si="4"/>
        <v>#N/A</v>
      </c>
      <c r="R73" s="42" t="e">
        <f>_xlfn.LET(_xlpm.Result,INDEX(Input!$D$2:$AC$500,
       MATCH(B73, Input!$J$2:$J$500, 0),
       MATCH("Capacity", Input!$D$1:$AC$1, 0)),IF(_xlpm.Result="","",_xlpm.Result))</f>
        <v>#N/A</v>
      </c>
      <c r="S73" s="42" t="e" cm="1">
        <f t="array" ref="S73">_xlfn.TEXTSPLIT(R73," / ", ,TRUE,0,)</f>
        <v>#N/A</v>
      </c>
      <c r="T73" s="42"/>
      <c r="U73" s="42" t="str" cm="1">
        <f t="array" ref="U73">IFERROR(_xlfn.IFS(
S73="","",
--S73&lt;55,"Battery Defect",
--S73&lt;=69,"Battery D",
--S73&lt;=80,"Battery C",
--S73&gt;80,""
),"")</f>
        <v/>
      </c>
      <c r="V73" s="42" t="str" cm="1">
        <f t="array" ref="V73">IFERROR(_xlfn.IFS(
T73="","",
--T73&lt;55,"Battery Defect",
--T73&lt;=69,"Battery D",
--T73&lt;=80,"Battery C",
--T73&gt;80,""
),"")</f>
        <v/>
      </c>
      <c r="W73" s="42" t="str" cm="1">
        <f t="array" ref="W73:AD73">IFERROR(IF(_xlfn.XLOOKUP(B73,Input!J:J,Input!N:U)=0,"",
          _xlfn.XLOOKUP(B73,Input!J:J,Input!N:U)),"")</f>
        <v/>
      </c>
      <c r="X73" s="42" t="str">
        <v/>
      </c>
      <c r="Y73" s="42" t="str">
        <v/>
      </c>
      <c r="Z73" s="42" t="str">
        <v/>
      </c>
      <c r="AA73" s="42" t="str">
        <v/>
      </c>
      <c r="AB73" s="42" t="str">
        <v/>
      </c>
      <c r="AC73" s="42" t="str">
        <v/>
      </c>
      <c r="AD73" s="42" t="str">
        <v/>
      </c>
      <c r="AE73" s="32" t="str">
        <f t="shared" si="3"/>
        <v/>
      </c>
      <c r="AF73" s="32" t="str">
        <f>_xlfn.XLOOKUP(B:B,Disk_Pivot!G:G,Disk_Pivot!I:I)</f>
        <v>Yes x2</v>
      </c>
      <c r="AG73" s="32" t="str">
        <f>_xlfn.XLOOKUP(B73,Disk_Pivot!G:G,Disk_Pivot!N:N)</f>
        <v>Pass, Fail</v>
      </c>
      <c r="AH73" s="32"/>
      <c r="AI73" s="32"/>
      <c r="AJ73" s="32"/>
      <c r="AK73" s="32"/>
      <c r="AL73" s="32"/>
      <c r="AM73" s="32"/>
    </row>
    <row r="74" spans="1:39">
      <c r="A74" s="32" t="str">
        <f>_xlfn.XLOOKUP(B74,Input!J:J,Input!G:G)&amp;""</f>
        <v/>
      </c>
      <c r="B74" s="32"/>
      <c r="C74" s="32" t="str">
        <f>_xlfn.XLOOKUP(B74,Input!J:J,Input!H:H)&amp;""</f>
        <v/>
      </c>
      <c r="D74" s="42">
        <f>_xlfn.XLOOKUP(B74,Input!J:J,Input!F:F)</f>
        <v>0</v>
      </c>
      <c r="E74" s="32">
        <f>_xlfn.XLOOKUP(D74,Models!H:H,Models!G:G,D74)</f>
        <v>0</v>
      </c>
      <c r="F74" s="32">
        <f>_xlfn.XLOOKUP(B74,Input!J:J,Input!E:E)</f>
        <v>0</v>
      </c>
      <c r="G74" s="32">
        <f>IF(F74="LENOVO",_xlfn.XLOOKUP(B74,Input!J:J,Input!K:K),_xlfn.XLOOKUP(B74,Input!J:J,Input!L:L))</f>
        <v>0</v>
      </c>
      <c r="H74" s="32"/>
      <c r="I74" s="32"/>
      <c r="J74" s="32">
        <f>_xlfn.XLOOKUP(B74,CPU_Formula!A:A,CPU_Formula!I:I)</f>
        <v>0</v>
      </c>
      <c r="K74" s="42" t="e">
        <f>INDEX(Input!$D$2:$AC$500,
       MATCH(B74, Input!$J$2:$J$500, 0),
       MATCH("Total Memory", Input!$D$1:$AC$1, 0))</f>
        <v>#N/A</v>
      </c>
      <c r="L74" s="42" t="e">
        <f>INDEX(Input!$D$2:$AC$500,
       MATCH(B74, Input!$J$2:$J$500, 0),
       MATCH("Memory Type", Input!$D$1:$AC$1, 0))</f>
        <v>#N/A</v>
      </c>
      <c r="M74" s="42" t="str" cm="1">
        <f t="array" ref="M74">IFERROR(_xlfn.FILTERXML("&lt;t&gt;&lt;s&gt;" &amp; SUBSTITUTE(L74," / ","&lt;/s&gt;&lt;s&gt;") &amp; "&lt;/s&gt;&lt;/t&gt;","(//s[contains(.,'DDR')])[1]"),"")</f>
        <v/>
      </c>
      <c r="N74" s="32" t="e">
        <f t="shared" si="5"/>
        <v>#N/A</v>
      </c>
      <c r="O74" s="42" t="e">
        <f>INDEX(Input!$D$2:$AC$500,
       MATCH(B74, Input!$J$2:$J$500, 0),
       MATCH("Disk Interface Type", Input!$D$1:$AC$1, 0))</f>
        <v>#N/A</v>
      </c>
      <c r="P74" s="42" t="str" cm="1">
        <f t="array" ref="P74">IFERROR(_xlfn.TEXTJOIN(", ", TRUE, _xlfn._xlws.FILTER(
    INDEX(Input!$D$2:$AC$500,,MATCH("Disk Capacity",Input!$D$1:$AC$1,0)),
    Input!$J$2:$J$500=B74
)), "")</f>
        <v/>
      </c>
      <c r="Q74" s="32" t="e">
        <f t="shared" si="4"/>
        <v>#N/A</v>
      </c>
      <c r="R74" s="42" t="e">
        <f>_xlfn.LET(_xlpm.Result,INDEX(Input!$D$2:$AC$500,
       MATCH(B74, Input!$J$2:$J$500, 0),
       MATCH("Capacity", Input!$D$1:$AC$1, 0)),IF(_xlpm.Result="","",_xlpm.Result))</f>
        <v>#N/A</v>
      </c>
      <c r="S74" s="42" t="e" cm="1">
        <f t="array" ref="S74">_xlfn.TEXTSPLIT(R74," / ", ,TRUE,0,)</f>
        <v>#N/A</v>
      </c>
      <c r="T74" s="42"/>
      <c r="U74" s="42" t="str" cm="1">
        <f t="array" ref="U74">IFERROR(_xlfn.IFS(
S74="","",
--S74&lt;55,"Battery Defect",
--S74&lt;=69,"Battery D",
--S74&lt;=80,"Battery C",
--S74&gt;80,""
),"")</f>
        <v/>
      </c>
      <c r="V74" s="42" t="str" cm="1">
        <f t="array" ref="V74">IFERROR(_xlfn.IFS(
T74="","",
--T74&lt;55,"Battery Defect",
--T74&lt;=69,"Battery D",
--T74&lt;=80,"Battery C",
--T74&gt;80,""
),"")</f>
        <v/>
      </c>
      <c r="W74" s="42" t="str" cm="1">
        <f t="array" ref="W74:AD74">IFERROR(IF(_xlfn.XLOOKUP(B74,Input!J:J,Input!N:U)=0,"",
          _xlfn.XLOOKUP(B74,Input!J:J,Input!N:U)),"")</f>
        <v/>
      </c>
      <c r="X74" s="42" t="str">
        <v/>
      </c>
      <c r="Y74" s="42" t="str">
        <v/>
      </c>
      <c r="Z74" s="42" t="str">
        <v/>
      </c>
      <c r="AA74" s="42" t="str">
        <v/>
      </c>
      <c r="AB74" s="42" t="str">
        <v/>
      </c>
      <c r="AC74" s="42" t="str">
        <v/>
      </c>
      <c r="AD74" s="42" t="str">
        <v/>
      </c>
      <c r="AE74" s="32" t="str">
        <f t="shared" si="3"/>
        <v/>
      </c>
      <c r="AF74" s="32" t="str">
        <f>_xlfn.XLOOKUP(B:B,Disk_Pivot!G:G,Disk_Pivot!I:I)</f>
        <v>Yes x2</v>
      </c>
      <c r="AG74" s="32" t="str">
        <f>_xlfn.XLOOKUP(B74,Disk_Pivot!G:G,Disk_Pivot!N:N)</f>
        <v>Pass, Fail</v>
      </c>
      <c r="AH74" s="32"/>
      <c r="AI74" s="32"/>
      <c r="AJ74" s="32"/>
      <c r="AK74" s="32"/>
      <c r="AL74" s="32"/>
      <c r="AM74" s="32"/>
    </row>
    <row r="75" spans="1:39">
      <c r="A75" s="32" t="str">
        <f>_xlfn.XLOOKUP(B75,Input!J:J,Input!G:G)&amp;""</f>
        <v/>
      </c>
      <c r="B75" s="32"/>
      <c r="C75" s="32" t="str">
        <f>_xlfn.XLOOKUP(B75,Input!J:J,Input!H:H)&amp;""</f>
        <v/>
      </c>
      <c r="D75" s="42">
        <f>_xlfn.XLOOKUP(B75,Input!J:J,Input!F:F)</f>
        <v>0</v>
      </c>
      <c r="E75" s="32">
        <f>_xlfn.XLOOKUP(D75,Models!H:H,Models!G:G,D75)</f>
        <v>0</v>
      </c>
      <c r="F75" s="32">
        <f>_xlfn.XLOOKUP(B75,Input!J:J,Input!E:E)</f>
        <v>0</v>
      </c>
      <c r="G75" s="32">
        <f>IF(F75="LENOVO",_xlfn.XLOOKUP(B75,Input!J:J,Input!K:K),_xlfn.XLOOKUP(B75,Input!J:J,Input!L:L))</f>
        <v>0</v>
      </c>
      <c r="H75" s="32"/>
      <c r="I75" s="32"/>
      <c r="J75" s="32">
        <f>_xlfn.XLOOKUP(B75,CPU_Formula!A:A,CPU_Formula!I:I)</f>
        <v>0</v>
      </c>
      <c r="K75" s="42" t="e">
        <f>INDEX(Input!$D$2:$AC$500,
       MATCH(B75, Input!$J$2:$J$500, 0),
       MATCH("Total Memory", Input!$D$1:$AC$1, 0))</f>
        <v>#N/A</v>
      </c>
      <c r="L75" s="42" t="e">
        <f>INDEX(Input!$D$2:$AC$500,
       MATCH(B75, Input!$J$2:$J$500, 0),
       MATCH("Memory Type", Input!$D$1:$AC$1, 0))</f>
        <v>#N/A</v>
      </c>
      <c r="M75" s="42" t="str" cm="1">
        <f t="array" ref="M75">IFERROR(_xlfn.FILTERXML("&lt;t&gt;&lt;s&gt;" &amp; SUBSTITUTE(L75," / ","&lt;/s&gt;&lt;s&gt;") &amp; "&lt;/s&gt;&lt;/t&gt;","(//s[contains(.,'DDR')])[1]"),"")</f>
        <v/>
      </c>
      <c r="N75" s="32" t="e">
        <f t="shared" si="5"/>
        <v>#N/A</v>
      </c>
      <c r="O75" s="42" t="e">
        <f>INDEX(Input!$D$2:$AC$500,
       MATCH(B75, Input!$J$2:$J$500, 0),
       MATCH("Disk Interface Type", Input!$D$1:$AC$1, 0))</f>
        <v>#N/A</v>
      </c>
      <c r="P75" s="42" t="str" cm="1">
        <f t="array" ref="P75">IFERROR(_xlfn.TEXTJOIN(", ", TRUE, _xlfn._xlws.FILTER(
    INDEX(Input!$D$2:$AC$500,,MATCH("Disk Capacity",Input!$D$1:$AC$1,0)),
    Input!$J$2:$J$500=B75
)), "")</f>
        <v/>
      </c>
      <c r="Q75" s="32" t="e">
        <f t="shared" si="4"/>
        <v>#N/A</v>
      </c>
      <c r="R75" s="42" t="e">
        <f>_xlfn.LET(_xlpm.Result,INDEX(Input!$D$2:$AC$500,
       MATCH(B75, Input!$J$2:$J$500, 0),
       MATCH("Capacity", Input!$D$1:$AC$1, 0)),IF(_xlpm.Result="","",_xlpm.Result))</f>
        <v>#N/A</v>
      </c>
      <c r="S75" s="42" t="e" cm="1">
        <f t="array" ref="S75">_xlfn.TEXTSPLIT(R75," / ", ,TRUE,0,)</f>
        <v>#N/A</v>
      </c>
      <c r="T75" s="42"/>
      <c r="U75" s="42" t="str" cm="1">
        <f t="array" ref="U75">IFERROR(_xlfn.IFS(
S75="","",
--S75&lt;55,"Battery Defect",
--S75&lt;=69,"Battery D",
--S75&lt;=80,"Battery C",
--S75&gt;80,""
),"")</f>
        <v/>
      </c>
      <c r="V75" s="42" t="str" cm="1">
        <f t="array" ref="V75">IFERROR(_xlfn.IFS(
T75="","",
--T75&lt;55,"Battery Defect",
--T75&lt;=69,"Battery D",
--T75&lt;=80,"Battery C",
--T75&gt;80,""
),"")</f>
        <v/>
      </c>
      <c r="W75" s="42" t="str" cm="1">
        <f t="array" ref="W75:AD75">IFERROR(IF(_xlfn.XLOOKUP(B75,Input!J:J,Input!N:U)=0,"",
          _xlfn.XLOOKUP(B75,Input!J:J,Input!N:U)),"")</f>
        <v/>
      </c>
      <c r="X75" s="42" t="str">
        <v/>
      </c>
      <c r="Y75" s="42" t="str">
        <v/>
      </c>
      <c r="Z75" s="42" t="str">
        <v/>
      </c>
      <c r="AA75" s="42" t="str">
        <v/>
      </c>
      <c r="AB75" s="42" t="str">
        <v/>
      </c>
      <c r="AC75" s="42" t="str">
        <v/>
      </c>
      <c r="AD75" s="42" t="str">
        <v/>
      </c>
      <c r="AE75" s="32" t="str">
        <f t="shared" si="3"/>
        <v/>
      </c>
      <c r="AF75" s="32" t="str">
        <f>_xlfn.XLOOKUP(B:B,Disk_Pivot!G:G,Disk_Pivot!I:I)</f>
        <v>Yes x2</v>
      </c>
      <c r="AG75" s="32" t="str">
        <f>_xlfn.XLOOKUP(B75,Disk_Pivot!G:G,Disk_Pivot!N:N)</f>
        <v>Pass, Fail</v>
      </c>
      <c r="AH75" s="32"/>
      <c r="AI75" s="32"/>
      <c r="AJ75" s="32"/>
      <c r="AK75" s="32"/>
      <c r="AL75" s="32"/>
      <c r="AM75" s="32"/>
    </row>
    <row r="76" spans="1:39">
      <c r="A76" s="32" t="str">
        <f>_xlfn.XLOOKUP(B76,Input!J:J,Input!G:G)&amp;""</f>
        <v/>
      </c>
      <c r="B76" s="32"/>
      <c r="C76" s="32" t="str">
        <f>_xlfn.XLOOKUP(B76,Input!J:J,Input!H:H)&amp;""</f>
        <v/>
      </c>
      <c r="D76" s="42">
        <f>_xlfn.XLOOKUP(B76,Input!J:J,Input!F:F)</f>
        <v>0</v>
      </c>
      <c r="E76" s="32">
        <f>_xlfn.XLOOKUP(D76,Models!H:H,Models!G:G,D76)</f>
        <v>0</v>
      </c>
      <c r="F76" s="32">
        <f>_xlfn.XLOOKUP(B76,Input!J:J,Input!E:E)</f>
        <v>0</v>
      </c>
      <c r="G76" s="32">
        <f>IF(F76="LENOVO",_xlfn.XLOOKUP(B76,Input!J:J,Input!K:K),_xlfn.XLOOKUP(B76,Input!J:J,Input!L:L))</f>
        <v>0</v>
      </c>
      <c r="H76" s="32"/>
      <c r="I76" s="32"/>
      <c r="J76" s="32">
        <f>_xlfn.XLOOKUP(B76,CPU_Formula!A:A,CPU_Formula!I:I)</f>
        <v>0</v>
      </c>
      <c r="K76" s="42" t="e">
        <f>INDEX(Input!$D$2:$AC$500,
       MATCH(B76, Input!$J$2:$J$500, 0),
       MATCH("Total Memory", Input!$D$1:$AC$1, 0))</f>
        <v>#N/A</v>
      </c>
      <c r="L76" s="42" t="e">
        <f>INDEX(Input!$D$2:$AC$500,
       MATCH(B76, Input!$J$2:$J$500, 0),
       MATCH("Memory Type", Input!$D$1:$AC$1, 0))</f>
        <v>#N/A</v>
      </c>
      <c r="M76" s="42" t="str" cm="1">
        <f t="array" ref="M76">IFERROR(_xlfn.FILTERXML("&lt;t&gt;&lt;s&gt;" &amp; SUBSTITUTE(L76," / ","&lt;/s&gt;&lt;s&gt;") &amp; "&lt;/s&gt;&lt;/t&gt;","(//s[contains(.,'DDR')])[1]"),"")</f>
        <v/>
      </c>
      <c r="N76" s="32" t="e">
        <f t="shared" si="5"/>
        <v>#N/A</v>
      </c>
      <c r="O76" s="42" t="e">
        <f>INDEX(Input!$D$2:$AC$500,
       MATCH(B76, Input!$J$2:$J$500, 0),
       MATCH("Disk Interface Type", Input!$D$1:$AC$1, 0))</f>
        <v>#N/A</v>
      </c>
      <c r="P76" s="42" t="str" cm="1">
        <f t="array" ref="P76">IFERROR(_xlfn.TEXTJOIN(", ", TRUE, _xlfn._xlws.FILTER(
    INDEX(Input!$D$2:$AC$500,,MATCH("Disk Capacity",Input!$D$1:$AC$1,0)),
    Input!$J$2:$J$500=B76
)), "")</f>
        <v/>
      </c>
      <c r="Q76" s="32" t="e">
        <f t="shared" si="4"/>
        <v>#N/A</v>
      </c>
      <c r="R76" s="42" t="e">
        <f>_xlfn.LET(_xlpm.Result,INDEX(Input!$D$2:$AC$500,
       MATCH(B76, Input!$J$2:$J$500, 0),
       MATCH("Capacity", Input!$D$1:$AC$1, 0)),IF(_xlpm.Result="","",_xlpm.Result))</f>
        <v>#N/A</v>
      </c>
      <c r="S76" s="42" t="e" cm="1">
        <f t="array" ref="S76">_xlfn.TEXTSPLIT(R76," / ", ,TRUE,0,)</f>
        <v>#N/A</v>
      </c>
      <c r="T76" s="42"/>
      <c r="U76" s="42" t="str" cm="1">
        <f t="array" ref="U76">IFERROR(_xlfn.IFS(
S76="","",
--S76&lt;55,"Battery Defect",
--S76&lt;=69,"Battery D",
--S76&lt;=80,"Battery C",
--S76&gt;80,""
),"")</f>
        <v/>
      </c>
      <c r="V76" s="42" t="str" cm="1">
        <f t="array" ref="V76">IFERROR(_xlfn.IFS(
T76="","",
--T76&lt;55,"Battery Defect",
--T76&lt;=69,"Battery D",
--T76&lt;=80,"Battery C",
--T76&gt;80,""
),"")</f>
        <v/>
      </c>
      <c r="W76" s="42" t="str" cm="1">
        <f t="array" ref="W76:AD76">IFERROR(IF(_xlfn.XLOOKUP(B76,Input!J:J,Input!N:U)=0,"",
          _xlfn.XLOOKUP(B76,Input!J:J,Input!N:U)),"")</f>
        <v/>
      </c>
      <c r="X76" s="42" t="str">
        <v/>
      </c>
      <c r="Y76" s="42" t="str">
        <v/>
      </c>
      <c r="Z76" s="42" t="str">
        <v/>
      </c>
      <c r="AA76" s="42" t="str">
        <v/>
      </c>
      <c r="AB76" s="42" t="str">
        <v/>
      </c>
      <c r="AC76" s="42" t="str">
        <v/>
      </c>
      <c r="AD76" s="42" t="str">
        <v/>
      </c>
      <c r="AE76" s="32" t="str">
        <f t="shared" si="3"/>
        <v/>
      </c>
      <c r="AF76" s="32" t="str">
        <f>_xlfn.XLOOKUP(B:B,Disk_Pivot!G:G,Disk_Pivot!I:I)</f>
        <v>Yes x2</v>
      </c>
      <c r="AG76" s="32" t="str">
        <f>_xlfn.XLOOKUP(B76,Disk_Pivot!G:G,Disk_Pivot!N:N)</f>
        <v>Pass, Fail</v>
      </c>
      <c r="AH76" s="32"/>
      <c r="AI76" s="32"/>
      <c r="AJ76" s="32"/>
      <c r="AK76" s="32"/>
      <c r="AL76" s="32"/>
      <c r="AM76" s="32"/>
    </row>
    <row r="77" spans="1:39">
      <c r="A77" s="32" t="str">
        <f>_xlfn.XLOOKUP(B77,Input!J:J,Input!G:G)&amp;""</f>
        <v/>
      </c>
      <c r="B77" s="32"/>
      <c r="C77" s="32" t="str">
        <f>_xlfn.XLOOKUP(B77,Input!J:J,Input!H:H)&amp;""</f>
        <v/>
      </c>
      <c r="D77" s="42">
        <f>_xlfn.XLOOKUP(B77,Input!J:J,Input!F:F)</f>
        <v>0</v>
      </c>
      <c r="E77" s="32">
        <f>_xlfn.XLOOKUP(D77,Models!H:H,Models!G:G,D77)</f>
        <v>0</v>
      </c>
      <c r="F77" s="32">
        <f>_xlfn.XLOOKUP(B77,Input!J:J,Input!E:E)</f>
        <v>0</v>
      </c>
      <c r="G77" s="32">
        <f>IF(F77="LENOVO",_xlfn.XLOOKUP(B77,Input!J:J,Input!K:K),_xlfn.XLOOKUP(B77,Input!J:J,Input!L:L))</f>
        <v>0</v>
      </c>
      <c r="H77" s="32"/>
      <c r="I77" s="32"/>
      <c r="J77" s="32">
        <f>_xlfn.XLOOKUP(B77,CPU_Formula!A:A,CPU_Formula!I:I)</f>
        <v>0</v>
      </c>
      <c r="K77" s="42" t="e">
        <f>INDEX(Input!$D$2:$AC$500,
       MATCH(B77, Input!$J$2:$J$500, 0),
       MATCH("Total Memory", Input!$D$1:$AC$1, 0))</f>
        <v>#N/A</v>
      </c>
      <c r="L77" s="42" t="e">
        <f>INDEX(Input!$D$2:$AC$500,
       MATCH(B77, Input!$J$2:$J$500, 0),
       MATCH("Memory Type", Input!$D$1:$AC$1, 0))</f>
        <v>#N/A</v>
      </c>
      <c r="M77" s="42" t="str" cm="1">
        <f t="array" ref="M77">IFERROR(_xlfn.FILTERXML("&lt;t&gt;&lt;s&gt;" &amp; SUBSTITUTE(L77," / ","&lt;/s&gt;&lt;s&gt;") &amp; "&lt;/s&gt;&lt;/t&gt;","(//s[contains(.,'DDR')])[1]"),"")</f>
        <v/>
      </c>
      <c r="N77" s="32" t="e">
        <f t="shared" si="5"/>
        <v>#N/A</v>
      </c>
      <c r="O77" s="42" t="e">
        <f>INDEX(Input!$D$2:$AC$500,
       MATCH(B77, Input!$J$2:$J$500, 0),
       MATCH("Disk Interface Type", Input!$D$1:$AC$1, 0))</f>
        <v>#N/A</v>
      </c>
      <c r="P77" s="42" t="str" cm="1">
        <f t="array" ref="P77">IFERROR(_xlfn.TEXTJOIN(", ", TRUE, _xlfn._xlws.FILTER(
    INDEX(Input!$D$2:$AC$500,,MATCH("Disk Capacity",Input!$D$1:$AC$1,0)),
    Input!$J$2:$J$500=B77
)), "")</f>
        <v/>
      </c>
      <c r="Q77" s="32" t="e">
        <f t="shared" si="4"/>
        <v>#N/A</v>
      </c>
      <c r="R77" s="42" t="e">
        <f>_xlfn.LET(_xlpm.Result,INDEX(Input!$D$2:$AC$500,
       MATCH(B77, Input!$J$2:$J$500, 0),
       MATCH("Capacity", Input!$D$1:$AC$1, 0)),IF(_xlpm.Result="","",_xlpm.Result))</f>
        <v>#N/A</v>
      </c>
      <c r="S77" s="42" t="e" cm="1">
        <f t="array" ref="S77">_xlfn.TEXTSPLIT(R77," / ", ,TRUE,0,)</f>
        <v>#N/A</v>
      </c>
      <c r="T77" s="42"/>
      <c r="U77" s="42" t="str" cm="1">
        <f t="array" ref="U77">IFERROR(_xlfn.IFS(
S77="","",
--S77&lt;55,"Battery Defect",
--S77&lt;=69,"Battery D",
--S77&lt;=80,"Battery C",
--S77&gt;80,""
),"")</f>
        <v/>
      </c>
      <c r="V77" s="42" t="str" cm="1">
        <f t="array" ref="V77">IFERROR(_xlfn.IFS(
T77="","",
--T77&lt;55,"Battery Defect",
--T77&lt;=69,"Battery D",
--T77&lt;=80,"Battery C",
--T77&gt;80,""
),"")</f>
        <v/>
      </c>
      <c r="W77" s="42" t="str" cm="1">
        <f t="array" ref="W77:AD77">IFERROR(IF(_xlfn.XLOOKUP(B77,Input!J:J,Input!N:U)=0,"",
          _xlfn.XLOOKUP(B77,Input!J:J,Input!N:U)),"")</f>
        <v/>
      </c>
      <c r="X77" s="42" t="str">
        <v/>
      </c>
      <c r="Y77" s="42" t="str">
        <v/>
      </c>
      <c r="Z77" s="42" t="str">
        <v/>
      </c>
      <c r="AA77" s="42" t="str">
        <v/>
      </c>
      <c r="AB77" s="42" t="str">
        <v/>
      </c>
      <c r="AC77" s="42" t="str">
        <v/>
      </c>
      <c r="AD77" s="42" t="str">
        <v/>
      </c>
      <c r="AE77" s="32" t="str">
        <f t="shared" si="3"/>
        <v/>
      </c>
      <c r="AF77" s="32" t="str">
        <f>_xlfn.XLOOKUP(B:B,Disk_Pivot!G:G,Disk_Pivot!I:I)</f>
        <v>Yes x2</v>
      </c>
      <c r="AG77" s="32" t="str">
        <f>_xlfn.XLOOKUP(B77,Disk_Pivot!G:G,Disk_Pivot!N:N)</f>
        <v>Pass, Fail</v>
      </c>
      <c r="AH77" s="32"/>
      <c r="AI77" s="32"/>
      <c r="AJ77" s="32"/>
      <c r="AK77" s="32"/>
      <c r="AL77" s="32"/>
      <c r="AM77" s="32"/>
    </row>
    <row r="78" spans="1:39">
      <c r="A78" s="32" t="str">
        <f>_xlfn.XLOOKUP(B78,Input!J:J,Input!G:G)&amp;""</f>
        <v/>
      </c>
      <c r="B78" s="32"/>
      <c r="C78" s="32" t="str">
        <f>_xlfn.XLOOKUP(B78,Input!J:J,Input!H:H)&amp;""</f>
        <v/>
      </c>
      <c r="D78" s="42">
        <f>_xlfn.XLOOKUP(B78,Input!J:J,Input!F:F)</f>
        <v>0</v>
      </c>
      <c r="E78" s="32">
        <f>_xlfn.XLOOKUP(D78,Models!H:H,Models!G:G,D78)</f>
        <v>0</v>
      </c>
      <c r="F78" s="32">
        <f>_xlfn.XLOOKUP(B78,Input!J:J,Input!E:E)</f>
        <v>0</v>
      </c>
      <c r="G78" s="32">
        <f>IF(F78="LENOVO",_xlfn.XLOOKUP(B78,Input!J:J,Input!K:K),_xlfn.XLOOKUP(B78,Input!J:J,Input!L:L))</f>
        <v>0</v>
      </c>
      <c r="H78" s="32"/>
      <c r="I78" s="32"/>
      <c r="J78" s="32">
        <f>_xlfn.XLOOKUP(B78,CPU_Formula!A:A,CPU_Formula!I:I)</f>
        <v>0</v>
      </c>
      <c r="K78" s="42" t="e">
        <f>INDEX(Input!$D$2:$AC$500,
       MATCH(B78, Input!$J$2:$J$500, 0),
       MATCH("Total Memory", Input!$D$1:$AC$1, 0))</f>
        <v>#N/A</v>
      </c>
      <c r="L78" s="42" t="e">
        <f>INDEX(Input!$D$2:$AC$500,
       MATCH(B78, Input!$J$2:$J$500, 0),
       MATCH("Memory Type", Input!$D$1:$AC$1, 0))</f>
        <v>#N/A</v>
      </c>
      <c r="M78" s="42" t="str" cm="1">
        <f t="array" ref="M78">IFERROR(_xlfn.FILTERXML("&lt;t&gt;&lt;s&gt;" &amp; SUBSTITUTE(L78," / ","&lt;/s&gt;&lt;s&gt;") &amp; "&lt;/s&gt;&lt;/t&gt;","(//s[contains(.,'DDR')])[1]"),"")</f>
        <v/>
      </c>
      <c r="N78" s="32" t="e">
        <f t="shared" si="5"/>
        <v>#N/A</v>
      </c>
      <c r="O78" s="42" t="e">
        <f>INDEX(Input!$D$2:$AC$500,
       MATCH(B78, Input!$J$2:$J$500, 0),
       MATCH("Disk Interface Type", Input!$D$1:$AC$1, 0))</f>
        <v>#N/A</v>
      </c>
      <c r="P78" s="42" t="str" cm="1">
        <f t="array" ref="P78">IFERROR(_xlfn.TEXTJOIN(", ", TRUE, _xlfn._xlws.FILTER(
    INDEX(Input!$D$2:$AC$500,,MATCH("Disk Capacity",Input!$D$1:$AC$1,0)),
    Input!$J$2:$J$500=B78
)), "")</f>
        <v/>
      </c>
      <c r="Q78" s="32" t="e">
        <f t="shared" si="4"/>
        <v>#N/A</v>
      </c>
      <c r="R78" s="42" t="e">
        <f>_xlfn.LET(_xlpm.Result,INDEX(Input!$D$2:$AC$500,
       MATCH(B78, Input!$J$2:$J$500, 0),
       MATCH("Capacity", Input!$D$1:$AC$1, 0)),IF(_xlpm.Result="","",_xlpm.Result))</f>
        <v>#N/A</v>
      </c>
      <c r="S78" s="42" t="e" cm="1">
        <f t="array" ref="S78">_xlfn.TEXTSPLIT(R78," / ", ,TRUE,0,)</f>
        <v>#N/A</v>
      </c>
      <c r="T78" s="42"/>
      <c r="U78" s="42" t="str" cm="1">
        <f t="array" ref="U78">IFERROR(_xlfn.IFS(
S78="","",
--S78&lt;55,"Battery Defect",
--S78&lt;=69,"Battery D",
--S78&lt;=80,"Battery C",
--S78&gt;80,""
),"")</f>
        <v/>
      </c>
      <c r="V78" s="42" t="str" cm="1">
        <f t="array" ref="V78">IFERROR(_xlfn.IFS(
T78="","",
--T78&lt;55,"Battery Defect",
--T78&lt;=69,"Battery D",
--T78&lt;=80,"Battery C",
--T78&gt;80,""
),"")</f>
        <v/>
      </c>
      <c r="W78" s="42" t="str" cm="1">
        <f t="array" ref="W78:AD78">IFERROR(IF(_xlfn.XLOOKUP(B78,Input!J:J,Input!N:U)=0,"",
          _xlfn.XLOOKUP(B78,Input!J:J,Input!N:U)),"")</f>
        <v/>
      </c>
      <c r="X78" s="42" t="str">
        <v/>
      </c>
      <c r="Y78" s="42" t="str">
        <v/>
      </c>
      <c r="Z78" s="42" t="str">
        <v/>
      </c>
      <c r="AA78" s="42" t="str">
        <v/>
      </c>
      <c r="AB78" s="42" t="str">
        <v/>
      </c>
      <c r="AC78" s="42" t="str">
        <v/>
      </c>
      <c r="AD78" s="42" t="str">
        <v/>
      </c>
      <c r="AE78" s="32" t="str">
        <f t="shared" si="3"/>
        <v/>
      </c>
      <c r="AF78" s="32" t="str">
        <f>_xlfn.XLOOKUP(B:B,Disk_Pivot!G:G,Disk_Pivot!I:I)</f>
        <v>Yes x2</v>
      </c>
      <c r="AG78" s="32" t="str">
        <f>_xlfn.XLOOKUP(B78,Disk_Pivot!G:G,Disk_Pivot!N:N)</f>
        <v>Pass, Fail</v>
      </c>
      <c r="AH78" s="32"/>
      <c r="AI78" s="32"/>
      <c r="AJ78" s="32"/>
      <c r="AK78" s="32"/>
      <c r="AL78" s="32"/>
      <c r="AM78" s="32"/>
    </row>
    <row r="79" spans="1:39">
      <c r="A79" s="32" t="str">
        <f>_xlfn.XLOOKUP(B79,Input!J:J,Input!G:G)&amp;""</f>
        <v/>
      </c>
      <c r="B79" s="32"/>
      <c r="C79" s="32" t="str">
        <f>_xlfn.XLOOKUP(B79,Input!J:J,Input!H:H)&amp;""</f>
        <v/>
      </c>
      <c r="D79" s="42">
        <f>_xlfn.XLOOKUP(B79,Input!J:J,Input!F:F)</f>
        <v>0</v>
      </c>
      <c r="E79" s="32">
        <f>_xlfn.XLOOKUP(D79,Models!H:H,Models!G:G,D79)</f>
        <v>0</v>
      </c>
      <c r="F79" s="32">
        <f>_xlfn.XLOOKUP(B79,Input!J:J,Input!E:E)</f>
        <v>0</v>
      </c>
      <c r="G79" s="32">
        <f>IF(F79="LENOVO",_xlfn.XLOOKUP(B79,Input!J:J,Input!K:K),_xlfn.XLOOKUP(B79,Input!J:J,Input!L:L))</f>
        <v>0</v>
      </c>
      <c r="H79" s="32"/>
      <c r="I79" s="32"/>
      <c r="J79" s="32">
        <f>_xlfn.XLOOKUP(B79,CPU_Formula!A:A,CPU_Formula!I:I)</f>
        <v>0</v>
      </c>
      <c r="K79" s="42" t="e">
        <f>INDEX(Input!$D$2:$AC$500,
       MATCH(B79, Input!$J$2:$J$500, 0),
       MATCH("Total Memory", Input!$D$1:$AC$1, 0))</f>
        <v>#N/A</v>
      </c>
      <c r="L79" s="42" t="e">
        <f>INDEX(Input!$D$2:$AC$500,
       MATCH(B79, Input!$J$2:$J$500, 0),
       MATCH("Memory Type", Input!$D$1:$AC$1, 0))</f>
        <v>#N/A</v>
      </c>
      <c r="M79" s="42" t="str" cm="1">
        <f t="array" ref="M79">IFERROR(_xlfn.FILTERXML("&lt;t&gt;&lt;s&gt;" &amp; SUBSTITUTE(L79," / ","&lt;/s&gt;&lt;s&gt;") &amp; "&lt;/s&gt;&lt;/t&gt;","(//s[contains(.,'DDR')])[1]"),"")</f>
        <v/>
      </c>
      <c r="N79" s="32" t="e">
        <f t="shared" si="5"/>
        <v>#N/A</v>
      </c>
      <c r="O79" s="42" t="e">
        <f>INDEX(Input!$D$2:$AC$500,
       MATCH(B79, Input!$J$2:$J$500, 0),
       MATCH("Disk Interface Type", Input!$D$1:$AC$1, 0))</f>
        <v>#N/A</v>
      </c>
      <c r="P79" s="42" t="str" cm="1">
        <f t="array" ref="P79">IFERROR(_xlfn.TEXTJOIN(", ", TRUE, _xlfn._xlws.FILTER(
    INDEX(Input!$D$2:$AC$500,,MATCH("Disk Capacity",Input!$D$1:$AC$1,0)),
    Input!$J$2:$J$500=B79
)), "")</f>
        <v/>
      </c>
      <c r="Q79" s="32" t="e">
        <f t="shared" si="4"/>
        <v>#N/A</v>
      </c>
      <c r="R79" s="42" t="e">
        <f>_xlfn.LET(_xlpm.Result,INDEX(Input!$D$2:$AC$500,
       MATCH(B79, Input!$J$2:$J$500, 0),
       MATCH("Capacity", Input!$D$1:$AC$1, 0)),IF(_xlpm.Result="","",_xlpm.Result))</f>
        <v>#N/A</v>
      </c>
      <c r="S79" s="42" t="e" cm="1">
        <f t="array" ref="S79">_xlfn.TEXTSPLIT(R79," / ", ,TRUE,0,)</f>
        <v>#N/A</v>
      </c>
      <c r="T79" s="42"/>
      <c r="U79" s="42" t="str" cm="1">
        <f t="array" ref="U79">IFERROR(_xlfn.IFS(
S79="","",
--S79&lt;55,"Battery Defect",
--S79&lt;=69,"Battery D",
--S79&lt;=80,"Battery C",
--S79&gt;80,""
),"")</f>
        <v/>
      </c>
      <c r="V79" s="42" t="str" cm="1">
        <f t="array" ref="V79">IFERROR(_xlfn.IFS(
T79="","",
--T79&lt;55,"Battery Defect",
--T79&lt;=69,"Battery D",
--T79&lt;=80,"Battery C",
--T79&gt;80,""
),"")</f>
        <v/>
      </c>
      <c r="W79" s="42" t="str" cm="1">
        <f t="array" ref="W79:AD79">IFERROR(IF(_xlfn.XLOOKUP(B79,Input!J:J,Input!N:U)=0,"",
          _xlfn.XLOOKUP(B79,Input!J:J,Input!N:U)),"")</f>
        <v/>
      </c>
      <c r="X79" s="42" t="str">
        <v/>
      </c>
      <c r="Y79" s="42" t="str">
        <v/>
      </c>
      <c r="Z79" s="42" t="str">
        <v/>
      </c>
      <c r="AA79" s="42" t="str">
        <v/>
      </c>
      <c r="AB79" s="42" t="str">
        <v/>
      </c>
      <c r="AC79" s="42" t="str">
        <v/>
      </c>
      <c r="AD79" s="42" t="str">
        <v/>
      </c>
      <c r="AE79" s="32" t="str">
        <f t="shared" si="3"/>
        <v/>
      </c>
      <c r="AF79" s="32" t="str">
        <f>_xlfn.XLOOKUP(B:B,Disk_Pivot!G:G,Disk_Pivot!I:I)</f>
        <v>Yes x2</v>
      </c>
      <c r="AG79" s="32" t="str">
        <f>_xlfn.XLOOKUP(B79,Disk_Pivot!G:G,Disk_Pivot!N:N)</f>
        <v>Pass, Fail</v>
      </c>
      <c r="AH79" s="32"/>
      <c r="AI79" s="32"/>
      <c r="AJ79" s="32"/>
      <c r="AK79" s="32"/>
      <c r="AL79" s="32"/>
      <c r="AM79" s="32"/>
    </row>
    <row r="80" spans="1:39">
      <c r="A80" s="32" t="str">
        <f>_xlfn.XLOOKUP(B80,Input!J:J,Input!G:G)&amp;""</f>
        <v/>
      </c>
      <c r="B80" s="32"/>
      <c r="C80" s="32" t="str">
        <f>_xlfn.XLOOKUP(B80,Input!J:J,Input!H:H)&amp;""</f>
        <v/>
      </c>
      <c r="D80" s="42">
        <f>_xlfn.XLOOKUP(B80,Input!J:J,Input!F:F)</f>
        <v>0</v>
      </c>
      <c r="E80" s="32">
        <f>_xlfn.XLOOKUP(D80,Models!H:H,Models!G:G,D80)</f>
        <v>0</v>
      </c>
      <c r="F80" s="32">
        <f>_xlfn.XLOOKUP(B80,Input!J:J,Input!E:E)</f>
        <v>0</v>
      </c>
      <c r="G80" s="32">
        <f>IF(F80="LENOVO",_xlfn.XLOOKUP(B80,Input!J:J,Input!K:K),_xlfn.XLOOKUP(B80,Input!J:J,Input!L:L))</f>
        <v>0</v>
      </c>
      <c r="H80" s="32"/>
      <c r="I80" s="32"/>
      <c r="J80" s="32">
        <f>_xlfn.XLOOKUP(B80,CPU_Formula!A:A,CPU_Formula!I:I)</f>
        <v>0</v>
      </c>
      <c r="K80" s="42" t="e">
        <f>INDEX(Input!$D$2:$AC$500,
       MATCH(B80, Input!$J$2:$J$500, 0),
       MATCH("Total Memory", Input!$D$1:$AC$1, 0))</f>
        <v>#N/A</v>
      </c>
      <c r="L80" s="42" t="e">
        <f>INDEX(Input!$D$2:$AC$500,
       MATCH(B80, Input!$J$2:$J$500, 0),
       MATCH("Memory Type", Input!$D$1:$AC$1, 0))</f>
        <v>#N/A</v>
      </c>
      <c r="M80" s="42" t="str" cm="1">
        <f t="array" ref="M80">IFERROR(_xlfn.FILTERXML("&lt;t&gt;&lt;s&gt;" &amp; SUBSTITUTE(L80," / ","&lt;/s&gt;&lt;s&gt;") &amp; "&lt;/s&gt;&lt;/t&gt;","(//s[contains(.,'DDR')])[1]"),"")</f>
        <v/>
      </c>
      <c r="N80" s="32" t="e">
        <f t="shared" si="5"/>
        <v>#N/A</v>
      </c>
      <c r="O80" s="42" t="e">
        <f>INDEX(Input!$D$2:$AC$500,
       MATCH(B80, Input!$J$2:$J$500, 0),
       MATCH("Disk Interface Type", Input!$D$1:$AC$1, 0))</f>
        <v>#N/A</v>
      </c>
      <c r="P80" s="42" t="str" cm="1">
        <f t="array" ref="P80">IFERROR(_xlfn.TEXTJOIN(", ", TRUE, _xlfn._xlws.FILTER(
    INDEX(Input!$D$2:$AC$500,,MATCH("Disk Capacity",Input!$D$1:$AC$1,0)),
    Input!$J$2:$J$500=B80
)), "")</f>
        <v/>
      </c>
      <c r="Q80" s="32" t="e">
        <f t="shared" si="4"/>
        <v>#N/A</v>
      </c>
      <c r="R80" s="42" t="e">
        <f>_xlfn.LET(_xlpm.Result,INDEX(Input!$D$2:$AC$500,
       MATCH(B80, Input!$J$2:$J$500, 0),
       MATCH("Capacity", Input!$D$1:$AC$1, 0)),IF(_xlpm.Result="","",_xlpm.Result))</f>
        <v>#N/A</v>
      </c>
      <c r="S80" s="42" t="e" cm="1">
        <f t="array" ref="S80">_xlfn.TEXTSPLIT(R80," / ", ,TRUE,0,)</f>
        <v>#N/A</v>
      </c>
      <c r="T80" s="42"/>
      <c r="U80" s="42" t="str" cm="1">
        <f t="array" ref="U80">IFERROR(_xlfn.IFS(
S80="","",
--S80&lt;55,"Battery Defect",
--S80&lt;=69,"Battery D",
--S80&lt;=80,"Battery C",
--S80&gt;80,""
),"")</f>
        <v/>
      </c>
      <c r="V80" s="42" t="str" cm="1">
        <f t="array" ref="V80">IFERROR(_xlfn.IFS(
T80="","",
--T80&lt;55,"Battery Defect",
--T80&lt;=69,"Battery D",
--T80&lt;=80,"Battery C",
--T80&gt;80,""
),"")</f>
        <v/>
      </c>
      <c r="W80" s="42" t="str" cm="1">
        <f t="array" ref="W80:AD80">IFERROR(IF(_xlfn.XLOOKUP(B80,Input!J:J,Input!N:U)=0,"",
          _xlfn.XLOOKUP(B80,Input!J:J,Input!N:U)),"")</f>
        <v/>
      </c>
      <c r="X80" s="42" t="str">
        <v/>
      </c>
      <c r="Y80" s="42" t="str">
        <v/>
      </c>
      <c r="Z80" s="42" t="str">
        <v/>
      </c>
      <c r="AA80" s="42" t="str">
        <v/>
      </c>
      <c r="AB80" s="42" t="str">
        <v/>
      </c>
      <c r="AC80" s="42" t="str">
        <v/>
      </c>
      <c r="AD80" s="42" t="str">
        <v/>
      </c>
      <c r="AE80" s="32" t="str">
        <f t="shared" si="3"/>
        <v/>
      </c>
      <c r="AF80" s="32" t="str">
        <f>_xlfn.XLOOKUP(B:B,Disk_Pivot!G:G,Disk_Pivot!I:I)</f>
        <v>Yes x2</v>
      </c>
      <c r="AG80" s="32" t="str">
        <f>_xlfn.XLOOKUP(B80,Disk_Pivot!G:G,Disk_Pivot!N:N)</f>
        <v>Pass, Fail</v>
      </c>
      <c r="AH80" s="32"/>
      <c r="AI80" s="32"/>
      <c r="AJ80" s="32"/>
      <c r="AK80" s="32"/>
      <c r="AL80" s="32"/>
      <c r="AM80" s="32"/>
    </row>
    <row r="81" spans="1:39">
      <c r="A81" s="32" t="str">
        <f>_xlfn.XLOOKUP(B81,Input!J:J,Input!G:G)&amp;""</f>
        <v/>
      </c>
      <c r="B81" s="32"/>
      <c r="C81" s="32" t="str">
        <f>_xlfn.XLOOKUP(B81,Input!J:J,Input!H:H)&amp;""</f>
        <v/>
      </c>
      <c r="D81" s="42">
        <f>_xlfn.XLOOKUP(B81,Input!J:J,Input!F:F)</f>
        <v>0</v>
      </c>
      <c r="E81" s="32">
        <f>_xlfn.XLOOKUP(D81,Models!H:H,Models!G:G,D81)</f>
        <v>0</v>
      </c>
      <c r="F81" s="32">
        <f>_xlfn.XLOOKUP(B81,Input!J:J,Input!E:E)</f>
        <v>0</v>
      </c>
      <c r="G81" s="32">
        <f>IF(F81="LENOVO",_xlfn.XLOOKUP(B81,Input!J:J,Input!K:K),_xlfn.XLOOKUP(B81,Input!J:J,Input!L:L))</f>
        <v>0</v>
      </c>
      <c r="H81" s="32"/>
      <c r="I81" s="32"/>
      <c r="J81" s="32">
        <f>_xlfn.XLOOKUP(B81,CPU_Formula!A:A,CPU_Formula!I:I)</f>
        <v>0</v>
      </c>
      <c r="K81" s="42" t="e">
        <f>INDEX(Input!$D$2:$AC$500,
       MATCH(B81, Input!$J$2:$J$500, 0),
       MATCH("Total Memory", Input!$D$1:$AC$1, 0))</f>
        <v>#N/A</v>
      </c>
      <c r="L81" s="42" t="e">
        <f>INDEX(Input!$D$2:$AC$500,
       MATCH(B81, Input!$J$2:$J$500, 0),
       MATCH("Memory Type", Input!$D$1:$AC$1, 0))</f>
        <v>#N/A</v>
      </c>
      <c r="M81" s="42" t="str" cm="1">
        <f t="array" ref="M81">IFERROR(_xlfn.FILTERXML("&lt;t&gt;&lt;s&gt;" &amp; SUBSTITUTE(L81," / ","&lt;/s&gt;&lt;s&gt;") &amp; "&lt;/s&gt;&lt;/t&gt;","(//s[contains(.,'DDR')])[1]"),"")</f>
        <v/>
      </c>
      <c r="N81" s="32" t="e">
        <f t="shared" si="5"/>
        <v>#N/A</v>
      </c>
      <c r="O81" s="42" t="e">
        <f>INDEX(Input!$D$2:$AC$500,
       MATCH(B81, Input!$J$2:$J$500, 0),
       MATCH("Disk Interface Type", Input!$D$1:$AC$1, 0))</f>
        <v>#N/A</v>
      </c>
      <c r="P81" s="42" t="str" cm="1">
        <f t="array" ref="P81">IFERROR(_xlfn.TEXTJOIN(", ", TRUE, _xlfn._xlws.FILTER(
    INDEX(Input!$D$2:$AC$500,,MATCH("Disk Capacity",Input!$D$1:$AC$1,0)),
    Input!$J$2:$J$500=B81
)), "")</f>
        <v/>
      </c>
      <c r="Q81" s="32" t="e">
        <f t="shared" si="4"/>
        <v>#N/A</v>
      </c>
      <c r="R81" s="42" t="e">
        <f>_xlfn.LET(_xlpm.Result,INDEX(Input!$D$2:$AC$500,
       MATCH(B81, Input!$J$2:$J$500, 0),
       MATCH("Capacity", Input!$D$1:$AC$1, 0)),IF(_xlpm.Result="","",_xlpm.Result))</f>
        <v>#N/A</v>
      </c>
      <c r="S81" s="42" t="e" cm="1">
        <f t="array" ref="S81">_xlfn.TEXTSPLIT(R81," / ", ,TRUE,0,)</f>
        <v>#N/A</v>
      </c>
      <c r="T81" s="42"/>
      <c r="U81" s="42" t="str" cm="1">
        <f t="array" ref="U81">IFERROR(_xlfn.IFS(
S81="","",
--S81&lt;55,"Battery Defect",
--S81&lt;=69,"Battery D",
--S81&lt;=80,"Battery C",
--S81&gt;80,""
),"")</f>
        <v/>
      </c>
      <c r="V81" s="42" t="str" cm="1">
        <f t="array" ref="V81">IFERROR(_xlfn.IFS(
T81="","",
--T81&lt;55,"Battery Defect",
--T81&lt;=69,"Battery D",
--T81&lt;=80,"Battery C",
--T81&gt;80,""
),"")</f>
        <v/>
      </c>
      <c r="W81" s="42" t="str" cm="1">
        <f t="array" ref="W81:AD81">IFERROR(IF(_xlfn.XLOOKUP(B81,Input!J:J,Input!N:U)=0,"",
          _xlfn.XLOOKUP(B81,Input!J:J,Input!N:U)),"")</f>
        <v/>
      </c>
      <c r="X81" s="42" t="str">
        <v/>
      </c>
      <c r="Y81" s="42" t="str">
        <v/>
      </c>
      <c r="Z81" s="42" t="str">
        <v/>
      </c>
      <c r="AA81" s="42" t="str">
        <v/>
      </c>
      <c r="AB81" s="42" t="str">
        <v/>
      </c>
      <c r="AC81" s="42" t="str">
        <v/>
      </c>
      <c r="AD81" s="42" t="str">
        <v/>
      </c>
      <c r="AE81" s="32" t="str">
        <f t="shared" si="3"/>
        <v/>
      </c>
      <c r="AF81" s="32" t="str">
        <f>_xlfn.XLOOKUP(B:B,Disk_Pivot!G:G,Disk_Pivot!I:I)</f>
        <v>Yes x2</v>
      </c>
      <c r="AG81" s="32" t="str">
        <f>_xlfn.XLOOKUP(B81,Disk_Pivot!G:G,Disk_Pivot!N:N)</f>
        <v>Pass, Fail</v>
      </c>
      <c r="AH81" s="32"/>
      <c r="AI81" s="32"/>
      <c r="AJ81" s="32"/>
      <c r="AK81" s="32"/>
      <c r="AL81" s="32"/>
      <c r="AM81" s="32"/>
    </row>
    <row r="82" spans="1:39">
      <c r="A82" s="32" t="str">
        <f>_xlfn.XLOOKUP(B82,Input!J:J,Input!G:G)&amp;""</f>
        <v/>
      </c>
      <c r="B82" s="32"/>
      <c r="C82" s="32" t="str">
        <f>_xlfn.XLOOKUP(B82,Input!J:J,Input!H:H)&amp;""</f>
        <v/>
      </c>
      <c r="D82" s="42">
        <f>_xlfn.XLOOKUP(B82,Input!J:J,Input!F:F)</f>
        <v>0</v>
      </c>
      <c r="E82" s="32">
        <f>_xlfn.XLOOKUP(D82,Models!H:H,Models!G:G,D82)</f>
        <v>0</v>
      </c>
      <c r="F82" s="32">
        <f>_xlfn.XLOOKUP(B82,Input!J:J,Input!E:E)</f>
        <v>0</v>
      </c>
      <c r="G82" s="32">
        <f>IF(F82="LENOVO",_xlfn.XLOOKUP(B82,Input!J:J,Input!K:K),_xlfn.XLOOKUP(B82,Input!J:J,Input!L:L))</f>
        <v>0</v>
      </c>
      <c r="H82" s="32"/>
      <c r="I82" s="32"/>
      <c r="J82" s="32">
        <f>_xlfn.XLOOKUP(B82,CPU_Formula!A:A,CPU_Formula!I:I)</f>
        <v>0</v>
      </c>
      <c r="K82" s="42" t="e">
        <f>INDEX(Input!$D$2:$AC$500,
       MATCH(B82, Input!$J$2:$J$500, 0),
       MATCH("Total Memory", Input!$D$1:$AC$1, 0))</f>
        <v>#N/A</v>
      </c>
      <c r="L82" s="42" t="e">
        <f>INDEX(Input!$D$2:$AC$500,
       MATCH(B82, Input!$J$2:$J$500, 0),
       MATCH("Memory Type", Input!$D$1:$AC$1, 0))</f>
        <v>#N/A</v>
      </c>
      <c r="M82" s="42" t="str" cm="1">
        <f t="array" ref="M82">IFERROR(_xlfn.FILTERXML("&lt;t&gt;&lt;s&gt;" &amp; SUBSTITUTE(L82," / ","&lt;/s&gt;&lt;s&gt;") &amp; "&lt;/s&gt;&lt;/t&gt;","(//s[contains(.,'DDR')])[1]"),"")</f>
        <v/>
      </c>
      <c r="N82" s="32" t="e">
        <f t="shared" si="5"/>
        <v>#N/A</v>
      </c>
      <c r="O82" s="42" t="e">
        <f>INDEX(Input!$D$2:$AC$500,
       MATCH(B82, Input!$J$2:$J$500, 0),
       MATCH("Disk Interface Type", Input!$D$1:$AC$1, 0))</f>
        <v>#N/A</v>
      </c>
      <c r="P82" s="42" t="str" cm="1">
        <f t="array" ref="P82">IFERROR(_xlfn.TEXTJOIN(", ", TRUE, _xlfn._xlws.FILTER(
    INDEX(Input!$D$2:$AC$500,,MATCH("Disk Capacity",Input!$D$1:$AC$1,0)),
    Input!$J$2:$J$500=B82
)), "")</f>
        <v/>
      </c>
      <c r="Q82" s="32" t="e">
        <f t="shared" si="4"/>
        <v>#N/A</v>
      </c>
      <c r="R82" s="42" t="e">
        <f>_xlfn.LET(_xlpm.Result,INDEX(Input!$D$2:$AC$500,
       MATCH(B82, Input!$J$2:$J$500, 0),
       MATCH("Capacity", Input!$D$1:$AC$1, 0)),IF(_xlpm.Result="","",_xlpm.Result))</f>
        <v>#N/A</v>
      </c>
      <c r="S82" s="42" t="e" cm="1">
        <f t="array" ref="S82">_xlfn.TEXTSPLIT(R82," / ", ,TRUE,0,)</f>
        <v>#N/A</v>
      </c>
      <c r="T82" s="42"/>
      <c r="U82" s="42" t="str" cm="1">
        <f t="array" ref="U82">IFERROR(_xlfn.IFS(
S82="","",
--S82&lt;55,"Battery Defect",
--S82&lt;=69,"Battery D",
--S82&lt;=80,"Battery C",
--S82&gt;80,""
),"")</f>
        <v/>
      </c>
      <c r="V82" s="42" t="str" cm="1">
        <f t="array" ref="V82">IFERROR(_xlfn.IFS(
T82="","",
--T82&lt;55,"Battery Defect",
--T82&lt;=69,"Battery D",
--T82&lt;=80,"Battery C",
--T82&gt;80,""
),"")</f>
        <v/>
      </c>
      <c r="W82" s="42" t="str" cm="1">
        <f t="array" ref="W82:AD82">IFERROR(IF(_xlfn.XLOOKUP(B82,Input!J:J,Input!N:U)=0,"",
          _xlfn.XLOOKUP(B82,Input!J:J,Input!N:U)),"")</f>
        <v/>
      </c>
      <c r="X82" s="42" t="str">
        <v/>
      </c>
      <c r="Y82" s="42" t="str">
        <v/>
      </c>
      <c r="Z82" s="42" t="str">
        <v/>
      </c>
      <c r="AA82" s="42" t="str">
        <v/>
      </c>
      <c r="AB82" s="42" t="str">
        <v/>
      </c>
      <c r="AC82" s="42" t="str">
        <v/>
      </c>
      <c r="AD82" s="42" t="str">
        <v/>
      </c>
      <c r="AE82" s="32" t="str">
        <f t="shared" si="3"/>
        <v/>
      </c>
      <c r="AF82" s="32" t="str">
        <f>_xlfn.XLOOKUP(B:B,Disk_Pivot!G:G,Disk_Pivot!I:I)</f>
        <v>Yes x2</v>
      </c>
      <c r="AG82" s="32" t="str">
        <f>_xlfn.XLOOKUP(B82,Disk_Pivot!G:G,Disk_Pivot!N:N)</f>
        <v>Pass, Fail</v>
      </c>
      <c r="AH82" s="32"/>
      <c r="AI82" s="32"/>
      <c r="AJ82" s="32"/>
      <c r="AK82" s="32"/>
      <c r="AL82" s="32"/>
      <c r="AM82" s="32"/>
    </row>
    <row r="83" spans="1:39">
      <c r="A83" s="32" t="str">
        <f>_xlfn.XLOOKUP(B83,Input!J:J,Input!G:G)&amp;""</f>
        <v/>
      </c>
      <c r="B83" s="32"/>
      <c r="C83" s="32" t="str">
        <f>_xlfn.XLOOKUP(B83,Input!J:J,Input!H:H)&amp;""</f>
        <v/>
      </c>
      <c r="D83" s="42">
        <f>_xlfn.XLOOKUP(B83,Input!J:J,Input!F:F)</f>
        <v>0</v>
      </c>
      <c r="E83" s="32">
        <f>_xlfn.XLOOKUP(D83,Models!H:H,Models!G:G,D83)</f>
        <v>0</v>
      </c>
      <c r="F83" s="32">
        <f>_xlfn.XLOOKUP(B83,Input!J:J,Input!E:E)</f>
        <v>0</v>
      </c>
      <c r="G83" s="32">
        <f>IF(F83="LENOVO",_xlfn.XLOOKUP(B83,Input!J:J,Input!K:K),_xlfn.XLOOKUP(B83,Input!J:J,Input!L:L))</f>
        <v>0</v>
      </c>
      <c r="H83" s="32"/>
      <c r="I83" s="32"/>
      <c r="J83" s="32">
        <f>_xlfn.XLOOKUP(B83,CPU_Formula!A:A,CPU_Formula!I:I)</f>
        <v>0</v>
      </c>
      <c r="K83" s="42" t="e">
        <f>INDEX(Input!$D$2:$AC$500,
       MATCH(B83, Input!$J$2:$J$500, 0),
       MATCH("Total Memory", Input!$D$1:$AC$1, 0))</f>
        <v>#N/A</v>
      </c>
      <c r="L83" s="42" t="e">
        <f>INDEX(Input!$D$2:$AC$500,
       MATCH(B83, Input!$J$2:$J$500, 0),
       MATCH("Memory Type", Input!$D$1:$AC$1, 0))</f>
        <v>#N/A</v>
      </c>
      <c r="M83" s="42" t="str" cm="1">
        <f t="array" ref="M83">IFERROR(_xlfn.FILTERXML("&lt;t&gt;&lt;s&gt;" &amp; SUBSTITUTE(L83," / ","&lt;/s&gt;&lt;s&gt;") &amp; "&lt;/s&gt;&lt;/t&gt;","(//s[contains(.,'DDR')])[1]"),"")</f>
        <v/>
      </c>
      <c r="N83" s="32" t="e">
        <f t="shared" si="5"/>
        <v>#N/A</v>
      </c>
      <c r="O83" s="42" t="e">
        <f>INDEX(Input!$D$2:$AC$500,
       MATCH(B83, Input!$J$2:$J$500, 0),
       MATCH("Disk Interface Type", Input!$D$1:$AC$1, 0))</f>
        <v>#N/A</v>
      </c>
      <c r="P83" s="42" t="str" cm="1">
        <f t="array" ref="P83">IFERROR(_xlfn.TEXTJOIN(", ", TRUE, _xlfn._xlws.FILTER(
    INDEX(Input!$D$2:$AC$500,,MATCH("Disk Capacity",Input!$D$1:$AC$1,0)),
    Input!$J$2:$J$500=B83
)), "")</f>
        <v/>
      </c>
      <c r="Q83" s="32" t="e">
        <f t="shared" si="4"/>
        <v>#N/A</v>
      </c>
      <c r="R83" s="42" t="e">
        <f>_xlfn.LET(_xlpm.Result,INDEX(Input!$D$2:$AC$500,
       MATCH(B83, Input!$J$2:$J$500, 0),
       MATCH("Capacity", Input!$D$1:$AC$1, 0)),IF(_xlpm.Result="","",_xlpm.Result))</f>
        <v>#N/A</v>
      </c>
      <c r="S83" s="42" t="e" cm="1">
        <f t="array" ref="S83">_xlfn.TEXTSPLIT(R83," / ", ,TRUE,0,)</f>
        <v>#N/A</v>
      </c>
      <c r="T83" s="42"/>
      <c r="U83" s="42" t="str" cm="1">
        <f t="array" ref="U83">IFERROR(_xlfn.IFS(
S83="","",
--S83&lt;55,"Battery Defect",
--S83&lt;=69,"Battery D",
--S83&lt;=80,"Battery C",
--S83&gt;80,""
),"")</f>
        <v/>
      </c>
      <c r="V83" s="42" t="str" cm="1">
        <f t="array" ref="V83">IFERROR(_xlfn.IFS(
T83="","",
--T83&lt;55,"Battery Defect",
--T83&lt;=69,"Battery D",
--T83&lt;=80,"Battery C",
--T83&gt;80,""
),"")</f>
        <v/>
      </c>
      <c r="W83" s="42" t="str" cm="1">
        <f t="array" ref="W83:AD83">IFERROR(IF(_xlfn.XLOOKUP(B83,Input!J:J,Input!N:U)=0,"",
          _xlfn.XLOOKUP(B83,Input!J:J,Input!N:U)),"")</f>
        <v/>
      </c>
      <c r="X83" s="42" t="str">
        <v/>
      </c>
      <c r="Y83" s="42" t="str">
        <v/>
      </c>
      <c r="Z83" s="42" t="str">
        <v/>
      </c>
      <c r="AA83" s="42" t="str">
        <v/>
      </c>
      <c r="AB83" s="42" t="str">
        <v/>
      </c>
      <c r="AC83" s="42" t="str">
        <v/>
      </c>
      <c r="AD83" s="42" t="str">
        <v/>
      </c>
      <c r="AE83" s="32" t="str">
        <f t="shared" si="3"/>
        <v/>
      </c>
      <c r="AF83" s="32" t="str">
        <f>_xlfn.XLOOKUP(B:B,Disk_Pivot!G:G,Disk_Pivot!I:I)</f>
        <v>Yes x2</v>
      </c>
      <c r="AG83" s="32" t="str">
        <f>_xlfn.XLOOKUP(B83,Disk_Pivot!G:G,Disk_Pivot!N:N)</f>
        <v>Pass, Fail</v>
      </c>
      <c r="AH83" s="32"/>
      <c r="AI83" s="32"/>
      <c r="AJ83" s="32"/>
      <c r="AK83" s="32"/>
      <c r="AL83" s="32"/>
      <c r="AM83" s="32"/>
    </row>
    <row r="84" spans="1:39">
      <c r="A84" s="32" t="str">
        <f>_xlfn.XLOOKUP(B84,Input!J:J,Input!G:G)&amp;""</f>
        <v/>
      </c>
      <c r="B84" s="32"/>
      <c r="C84" s="32" t="str">
        <f>_xlfn.XLOOKUP(B84,Input!J:J,Input!H:H)&amp;""</f>
        <v/>
      </c>
      <c r="D84" s="42">
        <f>_xlfn.XLOOKUP(B84,Input!J:J,Input!F:F)</f>
        <v>0</v>
      </c>
      <c r="E84" s="32">
        <f>_xlfn.XLOOKUP(D84,Models!H:H,Models!G:G,D84)</f>
        <v>0</v>
      </c>
      <c r="F84" s="32">
        <f>_xlfn.XLOOKUP(B84,Input!J:J,Input!E:E)</f>
        <v>0</v>
      </c>
      <c r="G84" s="32">
        <f>IF(F84="LENOVO",_xlfn.XLOOKUP(B84,Input!J:J,Input!K:K),_xlfn.XLOOKUP(B84,Input!J:J,Input!L:L))</f>
        <v>0</v>
      </c>
      <c r="H84" s="32"/>
      <c r="I84" s="32"/>
      <c r="J84" s="32">
        <f>_xlfn.XLOOKUP(B84,CPU_Formula!A:A,CPU_Formula!I:I)</f>
        <v>0</v>
      </c>
      <c r="K84" s="42" t="e">
        <f>INDEX(Input!$D$2:$AC$500,
       MATCH(B84, Input!$J$2:$J$500, 0),
       MATCH("Total Memory", Input!$D$1:$AC$1, 0))</f>
        <v>#N/A</v>
      </c>
      <c r="L84" s="42" t="e">
        <f>INDEX(Input!$D$2:$AC$500,
       MATCH(B84, Input!$J$2:$J$500, 0),
       MATCH("Memory Type", Input!$D$1:$AC$1, 0))</f>
        <v>#N/A</v>
      </c>
      <c r="M84" s="42" t="str" cm="1">
        <f t="array" ref="M84">IFERROR(_xlfn.FILTERXML("&lt;t&gt;&lt;s&gt;" &amp; SUBSTITUTE(L84," / ","&lt;/s&gt;&lt;s&gt;") &amp; "&lt;/s&gt;&lt;/t&gt;","(//s[contains(.,'DDR')])[1]"),"")</f>
        <v/>
      </c>
      <c r="N84" s="32" t="e">
        <f t="shared" si="5"/>
        <v>#N/A</v>
      </c>
      <c r="O84" s="42" t="e">
        <f>INDEX(Input!$D$2:$AC$500,
       MATCH(B84, Input!$J$2:$J$500, 0),
       MATCH("Disk Interface Type", Input!$D$1:$AC$1, 0))</f>
        <v>#N/A</v>
      </c>
      <c r="P84" s="42" t="str" cm="1">
        <f t="array" ref="P84">IFERROR(_xlfn.TEXTJOIN(", ", TRUE, _xlfn._xlws.FILTER(
    INDEX(Input!$D$2:$AC$500,,MATCH("Disk Capacity",Input!$D$1:$AC$1,0)),
    Input!$J$2:$J$500=B84
)), "")</f>
        <v/>
      </c>
      <c r="Q84" s="32" t="e">
        <f t="shared" si="4"/>
        <v>#N/A</v>
      </c>
      <c r="R84" s="42" t="e">
        <f>_xlfn.LET(_xlpm.Result,INDEX(Input!$D$2:$AC$500,
       MATCH(B84, Input!$J$2:$J$500, 0),
       MATCH("Capacity", Input!$D$1:$AC$1, 0)),IF(_xlpm.Result="","",_xlpm.Result))</f>
        <v>#N/A</v>
      </c>
      <c r="S84" s="42" t="e" cm="1">
        <f t="array" ref="S84">_xlfn.TEXTSPLIT(R84," / ", ,TRUE,0,)</f>
        <v>#N/A</v>
      </c>
      <c r="T84" s="42"/>
      <c r="U84" s="42" t="str" cm="1">
        <f t="array" ref="U84">IFERROR(_xlfn.IFS(
S84="","",
--S84&lt;55,"Battery Defect",
--S84&lt;=69,"Battery D",
--S84&lt;=80,"Battery C",
--S84&gt;80,""
),"")</f>
        <v/>
      </c>
      <c r="V84" s="42" t="str" cm="1">
        <f t="array" ref="V84">IFERROR(_xlfn.IFS(
T84="","",
--T84&lt;55,"Battery Defect",
--T84&lt;=69,"Battery D",
--T84&lt;=80,"Battery C",
--T84&gt;80,""
),"")</f>
        <v/>
      </c>
      <c r="W84" s="42" t="str" cm="1">
        <f t="array" ref="W84:AD84">IFERROR(IF(_xlfn.XLOOKUP(B84,Input!J:J,Input!N:U)=0,"",
          _xlfn.XLOOKUP(B84,Input!J:J,Input!N:U)),"")</f>
        <v/>
      </c>
      <c r="X84" s="42" t="str">
        <v/>
      </c>
      <c r="Y84" s="42" t="str">
        <v/>
      </c>
      <c r="Z84" s="42" t="str">
        <v/>
      </c>
      <c r="AA84" s="42" t="str">
        <v/>
      </c>
      <c r="AB84" s="42" t="str">
        <v/>
      </c>
      <c r="AC84" s="42" t="str">
        <v/>
      </c>
      <c r="AD84" s="42" t="str">
        <v/>
      </c>
      <c r="AE84" s="32" t="str">
        <f t="shared" si="3"/>
        <v/>
      </c>
      <c r="AF84" s="32" t="str">
        <f>_xlfn.XLOOKUP(B:B,Disk_Pivot!G:G,Disk_Pivot!I:I)</f>
        <v>Yes x2</v>
      </c>
      <c r="AG84" s="32" t="str">
        <f>_xlfn.XLOOKUP(B84,Disk_Pivot!G:G,Disk_Pivot!N:N)</f>
        <v>Pass, Fail</v>
      </c>
      <c r="AH84" s="32"/>
      <c r="AI84" s="32"/>
      <c r="AJ84" s="32"/>
      <c r="AK84" s="32"/>
      <c r="AL84" s="32"/>
      <c r="AM84" s="32"/>
    </row>
    <row r="85" spans="1:39">
      <c r="A85" s="32" t="str">
        <f>_xlfn.XLOOKUP(B85,Input!J:J,Input!G:G)&amp;""</f>
        <v/>
      </c>
      <c r="B85" s="32"/>
      <c r="C85" s="32" t="str">
        <f>_xlfn.XLOOKUP(B85,Input!J:J,Input!H:H)&amp;""</f>
        <v/>
      </c>
      <c r="D85" s="42">
        <f>_xlfn.XLOOKUP(B85,Input!J:J,Input!F:F)</f>
        <v>0</v>
      </c>
      <c r="E85" s="32">
        <f>_xlfn.XLOOKUP(D85,Models!H:H,Models!G:G,D85)</f>
        <v>0</v>
      </c>
      <c r="F85" s="32">
        <f>_xlfn.XLOOKUP(B85,Input!J:J,Input!E:E)</f>
        <v>0</v>
      </c>
      <c r="G85" s="32">
        <f>IF(F85="LENOVO",_xlfn.XLOOKUP(B85,Input!J:J,Input!K:K),_xlfn.XLOOKUP(B85,Input!J:J,Input!L:L))</f>
        <v>0</v>
      </c>
      <c r="H85" s="32"/>
      <c r="I85" s="32"/>
      <c r="J85" s="32">
        <f>_xlfn.XLOOKUP(B85,CPU_Formula!A:A,CPU_Formula!I:I)</f>
        <v>0</v>
      </c>
      <c r="K85" s="42" t="e">
        <f>INDEX(Input!$D$2:$AC$500,
       MATCH(B85, Input!$J$2:$J$500, 0),
       MATCH("Total Memory", Input!$D$1:$AC$1, 0))</f>
        <v>#N/A</v>
      </c>
      <c r="L85" s="42" t="e">
        <f>INDEX(Input!$D$2:$AC$500,
       MATCH(B85, Input!$J$2:$J$500, 0),
       MATCH("Memory Type", Input!$D$1:$AC$1, 0))</f>
        <v>#N/A</v>
      </c>
      <c r="M85" s="42" t="str" cm="1">
        <f t="array" ref="M85">IFERROR(_xlfn.FILTERXML("&lt;t&gt;&lt;s&gt;" &amp; SUBSTITUTE(L85," / ","&lt;/s&gt;&lt;s&gt;") &amp; "&lt;/s&gt;&lt;/t&gt;","(//s[contains(.,'DDR')])[1]"),"")</f>
        <v/>
      </c>
      <c r="N85" s="32" t="e">
        <f t="shared" si="5"/>
        <v>#N/A</v>
      </c>
      <c r="O85" s="42" t="e">
        <f>INDEX(Input!$D$2:$AC$500,
       MATCH(B85, Input!$J$2:$J$500, 0),
       MATCH("Disk Interface Type", Input!$D$1:$AC$1, 0))</f>
        <v>#N/A</v>
      </c>
      <c r="P85" s="42" t="str" cm="1">
        <f t="array" ref="P85">IFERROR(_xlfn.TEXTJOIN(", ", TRUE, _xlfn._xlws.FILTER(
    INDEX(Input!$D$2:$AC$500,,MATCH("Disk Capacity",Input!$D$1:$AC$1,0)),
    Input!$J$2:$J$500=B85
)), "")</f>
        <v/>
      </c>
      <c r="Q85" s="32" t="e">
        <f t="shared" si="4"/>
        <v>#N/A</v>
      </c>
      <c r="R85" s="42" t="e">
        <f>_xlfn.LET(_xlpm.Result,INDEX(Input!$D$2:$AC$500,
       MATCH(B85, Input!$J$2:$J$500, 0),
       MATCH("Capacity", Input!$D$1:$AC$1, 0)),IF(_xlpm.Result="","",_xlpm.Result))</f>
        <v>#N/A</v>
      </c>
      <c r="S85" s="42" t="e" cm="1">
        <f t="array" ref="S85">_xlfn.TEXTSPLIT(R85," / ", ,TRUE,0,)</f>
        <v>#N/A</v>
      </c>
      <c r="T85" s="42"/>
      <c r="U85" s="42" t="str" cm="1">
        <f t="array" ref="U85">IFERROR(_xlfn.IFS(
S85="","",
--S85&lt;55,"Battery Defect",
--S85&lt;=69,"Battery D",
--S85&lt;=80,"Battery C",
--S85&gt;80,""
),"")</f>
        <v/>
      </c>
      <c r="V85" s="42" t="str" cm="1">
        <f t="array" ref="V85">IFERROR(_xlfn.IFS(
T85="","",
--T85&lt;55,"Battery Defect",
--T85&lt;=69,"Battery D",
--T85&lt;=80,"Battery C",
--T85&gt;80,""
),"")</f>
        <v/>
      </c>
      <c r="W85" s="42" t="str" cm="1">
        <f t="array" ref="W85:AD85">IFERROR(IF(_xlfn.XLOOKUP(B85,Input!J:J,Input!N:U)=0,"",
          _xlfn.XLOOKUP(B85,Input!J:J,Input!N:U)),"")</f>
        <v/>
      </c>
      <c r="X85" s="42" t="str">
        <v/>
      </c>
      <c r="Y85" s="42" t="str">
        <v/>
      </c>
      <c r="Z85" s="42" t="str">
        <v/>
      </c>
      <c r="AA85" s="42" t="str">
        <v/>
      </c>
      <c r="AB85" s="42" t="str">
        <v/>
      </c>
      <c r="AC85" s="42" t="str">
        <v/>
      </c>
      <c r="AD85" s="42" t="str">
        <v/>
      </c>
      <c r="AE85" s="32" t="str">
        <f t="shared" si="3"/>
        <v/>
      </c>
      <c r="AF85" s="32" t="str">
        <f>_xlfn.XLOOKUP(B:B,Disk_Pivot!G:G,Disk_Pivot!I:I)</f>
        <v>Yes x2</v>
      </c>
      <c r="AG85" s="32" t="str">
        <f>_xlfn.XLOOKUP(B85,Disk_Pivot!G:G,Disk_Pivot!N:N)</f>
        <v>Pass, Fail</v>
      </c>
      <c r="AH85" s="32"/>
      <c r="AI85" s="32"/>
      <c r="AJ85" s="32"/>
      <c r="AK85" s="32"/>
      <c r="AL85" s="32"/>
      <c r="AM85" s="32"/>
    </row>
    <row r="86" spans="1:39">
      <c r="A86" s="32" t="str">
        <f>_xlfn.XLOOKUP(B86,Input!J:J,Input!G:G)&amp;""</f>
        <v/>
      </c>
      <c r="B86" s="32"/>
      <c r="C86" s="32" t="str">
        <f>_xlfn.XLOOKUP(B86,Input!J:J,Input!H:H)&amp;""</f>
        <v/>
      </c>
      <c r="D86" s="42">
        <f>_xlfn.XLOOKUP(B86,Input!J:J,Input!F:F)</f>
        <v>0</v>
      </c>
      <c r="E86" s="32">
        <f>_xlfn.XLOOKUP(D86,Models!H:H,Models!G:G,D86)</f>
        <v>0</v>
      </c>
      <c r="F86" s="32">
        <f>_xlfn.XLOOKUP(B86,Input!J:J,Input!E:E)</f>
        <v>0</v>
      </c>
      <c r="G86" s="32">
        <f>IF(F86="LENOVO",_xlfn.XLOOKUP(B86,Input!J:J,Input!K:K),_xlfn.XLOOKUP(B86,Input!J:J,Input!L:L))</f>
        <v>0</v>
      </c>
      <c r="H86" s="32"/>
      <c r="I86" s="32"/>
      <c r="J86" s="32">
        <f>_xlfn.XLOOKUP(B86,CPU_Formula!A:A,CPU_Formula!I:I)</f>
        <v>0</v>
      </c>
      <c r="K86" s="42" t="e">
        <f>INDEX(Input!$D$2:$AC$500,
       MATCH(B86, Input!$J$2:$J$500, 0),
       MATCH("Total Memory", Input!$D$1:$AC$1, 0))</f>
        <v>#N/A</v>
      </c>
      <c r="L86" s="42" t="e">
        <f>INDEX(Input!$D$2:$AC$500,
       MATCH(B86, Input!$J$2:$J$500, 0),
       MATCH("Memory Type", Input!$D$1:$AC$1, 0))</f>
        <v>#N/A</v>
      </c>
      <c r="M86" s="42" t="str" cm="1">
        <f t="array" ref="M86">IFERROR(_xlfn.FILTERXML("&lt;t&gt;&lt;s&gt;" &amp; SUBSTITUTE(L86," / ","&lt;/s&gt;&lt;s&gt;") &amp; "&lt;/s&gt;&lt;/t&gt;","(//s[contains(.,'DDR')])[1]"),"")</f>
        <v/>
      </c>
      <c r="N86" s="32" t="e">
        <f t="shared" si="5"/>
        <v>#N/A</v>
      </c>
      <c r="O86" s="42" t="e">
        <f>INDEX(Input!$D$2:$AC$500,
       MATCH(B86, Input!$J$2:$J$500, 0),
       MATCH("Disk Interface Type", Input!$D$1:$AC$1, 0))</f>
        <v>#N/A</v>
      </c>
      <c r="P86" s="42" t="str" cm="1">
        <f t="array" ref="P86">IFERROR(_xlfn.TEXTJOIN(", ", TRUE, _xlfn._xlws.FILTER(
    INDEX(Input!$D$2:$AC$500,,MATCH("Disk Capacity",Input!$D$1:$AC$1,0)),
    Input!$J$2:$J$500=B86
)), "")</f>
        <v/>
      </c>
      <c r="Q86" s="32" t="e">
        <f t="shared" si="4"/>
        <v>#N/A</v>
      </c>
      <c r="R86" s="42" t="e">
        <f>_xlfn.LET(_xlpm.Result,INDEX(Input!$D$2:$AC$500,
       MATCH(B86, Input!$J$2:$J$500, 0),
       MATCH("Capacity", Input!$D$1:$AC$1, 0)),IF(_xlpm.Result="","",_xlpm.Result))</f>
        <v>#N/A</v>
      </c>
      <c r="S86" s="42" t="e" cm="1">
        <f t="array" ref="S86">_xlfn.TEXTSPLIT(R86," / ", ,TRUE,0,)</f>
        <v>#N/A</v>
      </c>
      <c r="T86" s="42"/>
      <c r="U86" s="42" t="str" cm="1">
        <f t="array" ref="U86">IFERROR(_xlfn.IFS(
S86="","",
--S86&lt;55,"Battery Defect",
--S86&lt;=69,"Battery D",
--S86&lt;=80,"Battery C",
--S86&gt;80,""
),"")</f>
        <v/>
      </c>
      <c r="V86" s="42" t="str" cm="1">
        <f t="array" ref="V86">IFERROR(_xlfn.IFS(
T86="","",
--T86&lt;55,"Battery Defect",
--T86&lt;=69,"Battery D",
--T86&lt;=80,"Battery C",
--T86&gt;80,""
),"")</f>
        <v/>
      </c>
      <c r="W86" s="42" t="str" cm="1">
        <f t="array" ref="W86:AD86">IFERROR(IF(_xlfn.XLOOKUP(B86,Input!J:J,Input!N:U)=0,"",
          _xlfn.XLOOKUP(B86,Input!J:J,Input!N:U)),"")</f>
        <v/>
      </c>
      <c r="X86" s="42" t="str">
        <v/>
      </c>
      <c r="Y86" s="42" t="str">
        <v/>
      </c>
      <c r="Z86" s="42" t="str">
        <v/>
      </c>
      <c r="AA86" s="42" t="str">
        <v/>
      </c>
      <c r="AB86" s="42" t="str">
        <v/>
      </c>
      <c r="AC86" s="42" t="str">
        <v/>
      </c>
      <c r="AD86" s="42" t="str">
        <v/>
      </c>
      <c r="AE86" s="32" t="str">
        <f t="shared" si="3"/>
        <v/>
      </c>
      <c r="AF86" s="32" t="str">
        <f>_xlfn.XLOOKUP(B:B,Disk_Pivot!G:G,Disk_Pivot!I:I)</f>
        <v>Yes x2</v>
      </c>
      <c r="AG86" s="32" t="str">
        <f>_xlfn.XLOOKUP(B86,Disk_Pivot!G:G,Disk_Pivot!N:N)</f>
        <v>Pass, Fail</v>
      </c>
      <c r="AH86" s="32"/>
      <c r="AI86" s="32"/>
      <c r="AJ86" s="32"/>
      <c r="AK86" s="32"/>
      <c r="AL86" s="32"/>
      <c r="AM86" s="32"/>
    </row>
    <row r="87" spans="1:39">
      <c r="A87" s="32" t="str">
        <f>_xlfn.XLOOKUP(B87,Input!J:J,Input!G:G)&amp;""</f>
        <v/>
      </c>
      <c r="B87" s="32"/>
      <c r="C87" s="32" t="str">
        <f>_xlfn.XLOOKUP(B87,Input!J:J,Input!H:H)&amp;""</f>
        <v/>
      </c>
      <c r="D87" s="42">
        <f>_xlfn.XLOOKUP(B87,Input!J:J,Input!F:F)</f>
        <v>0</v>
      </c>
      <c r="E87" s="32">
        <f>_xlfn.XLOOKUP(D87,Models!H:H,Models!G:G,D87)</f>
        <v>0</v>
      </c>
      <c r="F87" s="32">
        <f>_xlfn.XLOOKUP(B87,Input!J:J,Input!E:E)</f>
        <v>0</v>
      </c>
      <c r="G87" s="32">
        <f>IF(F87="LENOVO",_xlfn.XLOOKUP(B87,Input!J:J,Input!K:K),_xlfn.XLOOKUP(B87,Input!J:J,Input!L:L))</f>
        <v>0</v>
      </c>
      <c r="H87" s="32"/>
      <c r="I87" s="32"/>
      <c r="J87" s="32">
        <f>_xlfn.XLOOKUP(B87,CPU_Formula!A:A,CPU_Formula!I:I)</f>
        <v>0</v>
      </c>
      <c r="K87" s="42" t="e">
        <f>INDEX(Input!$D$2:$AC$500,
       MATCH(B87, Input!$J$2:$J$500, 0),
       MATCH("Total Memory", Input!$D$1:$AC$1, 0))</f>
        <v>#N/A</v>
      </c>
      <c r="L87" s="42" t="e">
        <f>INDEX(Input!$D$2:$AC$500,
       MATCH(B87, Input!$J$2:$J$500, 0),
       MATCH("Memory Type", Input!$D$1:$AC$1, 0))</f>
        <v>#N/A</v>
      </c>
      <c r="M87" s="42" t="str" cm="1">
        <f t="array" ref="M87">IFERROR(_xlfn.FILTERXML("&lt;t&gt;&lt;s&gt;" &amp; SUBSTITUTE(L87," / ","&lt;/s&gt;&lt;s&gt;") &amp; "&lt;/s&gt;&lt;/t&gt;","(//s[contains(.,'DDR')])[1]"),"")</f>
        <v/>
      </c>
      <c r="N87" s="32" t="e">
        <f t="shared" si="5"/>
        <v>#N/A</v>
      </c>
      <c r="O87" s="42" t="e">
        <f>INDEX(Input!$D$2:$AC$500,
       MATCH(B87, Input!$J$2:$J$500, 0),
       MATCH("Disk Interface Type", Input!$D$1:$AC$1, 0))</f>
        <v>#N/A</v>
      </c>
      <c r="P87" s="42" t="str" cm="1">
        <f t="array" ref="P87">IFERROR(_xlfn.TEXTJOIN(", ", TRUE, _xlfn._xlws.FILTER(
    INDEX(Input!$D$2:$AC$500,,MATCH("Disk Capacity",Input!$D$1:$AC$1,0)),
    Input!$J$2:$J$500=B87
)), "")</f>
        <v/>
      </c>
      <c r="Q87" s="32" t="e">
        <f t="shared" si="4"/>
        <v>#N/A</v>
      </c>
      <c r="R87" s="42" t="e">
        <f>_xlfn.LET(_xlpm.Result,INDEX(Input!$D$2:$AC$500,
       MATCH(B87, Input!$J$2:$J$500, 0),
       MATCH("Capacity", Input!$D$1:$AC$1, 0)),IF(_xlpm.Result="","",_xlpm.Result))</f>
        <v>#N/A</v>
      </c>
      <c r="S87" s="42" t="e" cm="1">
        <f t="array" ref="S87">_xlfn.TEXTSPLIT(R87," / ", ,TRUE,0,)</f>
        <v>#N/A</v>
      </c>
      <c r="T87" s="42"/>
      <c r="U87" s="42" t="str" cm="1">
        <f t="array" ref="U87">IFERROR(_xlfn.IFS(
S87="","",
--S87&lt;55,"Battery Defect",
--S87&lt;=69,"Battery D",
--S87&lt;=80,"Battery C",
--S87&gt;80,""
),"")</f>
        <v/>
      </c>
      <c r="V87" s="42" t="str" cm="1">
        <f t="array" ref="V87">IFERROR(_xlfn.IFS(
T87="","",
--T87&lt;55,"Battery Defect",
--T87&lt;=69,"Battery D",
--T87&lt;=80,"Battery C",
--T87&gt;80,""
),"")</f>
        <v/>
      </c>
      <c r="W87" s="42" t="str" cm="1">
        <f t="array" ref="W87:AD87">IFERROR(IF(_xlfn.XLOOKUP(B87,Input!J:J,Input!N:U)=0,"",
          _xlfn.XLOOKUP(B87,Input!J:J,Input!N:U)),"")</f>
        <v/>
      </c>
      <c r="X87" s="42" t="str">
        <v/>
      </c>
      <c r="Y87" s="42" t="str">
        <v/>
      </c>
      <c r="Z87" s="42" t="str">
        <v/>
      </c>
      <c r="AA87" s="42" t="str">
        <v/>
      </c>
      <c r="AB87" s="42" t="str">
        <v/>
      </c>
      <c r="AC87" s="42" t="str">
        <v/>
      </c>
      <c r="AD87" s="42" t="str">
        <v/>
      </c>
      <c r="AE87" s="32" t="str">
        <f t="shared" si="3"/>
        <v/>
      </c>
      <c r="AF87" s="32" t="str">
        <f>_xlfn.XLOOKUP(B:B,Disk_Pivot!G:G,Disk_Pivot!I:I)</f>
        <v>Yes x2</v>
      </c>
      <c r="AG87" s="32" t="str">
        <f>_xlfn.XLOOKUP(B87,Disk_Pivot!G:G,Disk_Pivot!N:N)</f>
        <v>Pass, Fail</v>
      </c>
      <c r="AH87" s="32"/>
      <c r="AI87" s="32"/>
      <c r="AJ87" s="32"/>
      <c r="AK87" s="32"/>
      <c r="AL87" s="32"/>
      <c r="AM87" s="32"/>
    </row>
    <row r="88" spans="1:39">
      <c r="A88" s="32" t="str">
        <f>_xlfn.XLOOKUP(B88,Input!J:J,Input!G:G)&amp;""</f>
        <v/>
      </c>
      <c r="B88" s="32"/>
      <c r="C88" s="32" t="str">
        <f>_xlfn.XLOOKUP(B88,Input!J:J,Input!H:H)&amp;""</f>
        <v/>
      </c>
      <c r="D88" s="42">
        <f>_xlfn.XLOOKUP(B88,Input!J:J,Input!F:F)</f>
        <v>0</v>
      </c>
      <c r="E88" s="32">
        <f>_xlfn.XLOOKUP(D88,Models!H:H,Models!G:G,D88)</f>
        <v>0</v>
      </c>
      <c r="F88" s="32">
        <f>_xlfn.XLOOKUP(B88,Input!J:J,Input!E:E)</f>
        <v>0</v>
      </c>
      <c r="G88" s="32">
        <f>IF(F88="LENOVO",_xlfn.XLOOKUP(B88,Input!J:J,Input!K:K),_xlfn.XLOOKUP(B88,Input!J:J,Input!L:L))</f>
        <v>0</v>
      </c>
      <c r="H88" s="32"/>
      <c r="I88" s="32"/>
      <c r="J88" s="32">
        <f>_xlfn.XLOOKUP(B88,CPU_Formula!A:A,CPU_Formula!I:I)</f>
        <v>0</v>
      </c>
      <c r="K88" s="42" t="e">
        <f>INDEX(Input!$D$2:$AC$500,
       MATCH(B88, Input!$J$2:$J$500, 0),
       MATCH("Total Memory", Input!$D$1:$AC$1, 0))</f>
        <v>#N/A</v>
      </c>
      <c r="L88" s="42" t="e">
        <f>INDEX(Input!$D$2:$AC$500,
       MATCH(B88, Input!$J$2:$J$500, 0),
       MATCH("Memory Type", Input!$D$1:$AC$1, 0))</f>
        <v>#N/A</v>
      </c>
      <c r="M88" s="42" t="str" cm="1">
        <f t="array" ref="M88">IFERROR(_xlfn.FILTERXML("&lt;t&gt;&lt;s&gt;" &amp; SUBSTITUTE(L88," / ","&lt;/s&gt;&lt;s&gt;") &amp; "&lt;/s&gt;&lt;/t&gt;","(//s[contains(.,'DDR')])[1]"),"")</f>
        <v/>
      </c>
      <c r="N88" s="32" t="e">
        <f t="shared" si="5"/>
        <v>#N/A</v>
      </c>
      <c r="O88" s="42" t="e">
        <f>INDEX(Input!$D$2:$AC$500,
       MATCH(B88, Input!$J$2:$J$500, 0),
       MATCH("Disk Interface Type", Input!$D$1:$AC$1, 0))</f>
        <v>#N/A</v>
      </c>
      <c r="P88" s="42" t="str" cm="1">
        <f t="array" ref="P88">IFERROR(_xlfn.TEXTJOIN(", ", TRUE, _xlfn._xlws.FILTER(
    INDEX(Input!$D$2:$AC$500,,MATCH("Disk Capacity",Input!$D$1:$AC$1,0)),
    Input!$J$2:$J$500=B88
)), "")</f>
        <v/>
      </c>
      <c r="Q88" s="32" t="e">
        <f t="shared" si="4"/>
        <v>#N/A</v>
      </c>
      <c r="R88" s="42" t="e">
        <f>_xlfn.LET(_xlpm.Result,INDEX(Input!$D$2:$AC$500,
       MATCH(B88, Input!$J$2:$J$500, 0),
       MATCH("Capacity", Input!$D$1:$AC$1, 0)),IF(_xlpm.Result="","",_xlpm.Result))</f>
        <v>#N/A</v>
      </c>
      <c r="S88" s="42" t="e" cm="1">
        <f t="array" ref="S88">_xlfn.TEXTSPLIT(R88," / ", ,TRUE,0,)</f>
        <v>#N/A</v>
      </c>
      <c r="T88" s="42"/>
      <c r="U88" s="42" t="str" cm="1">
        <f t="array" ref="U88">IFERROR(_xlfn.IFS(
S88="","",
--S88&lt;55,"Battery Defect",
--S88&lt;=69,"Battery D",
--S88&lt;=80,"Battery C",
--S88&gt;80,""
),"")</f>
        <v/>
      </c>
      <c r="V88" s="42" t="str" cm="1">
        <f t="array" ref="V88">IFERROR(_xlfn.IFS(
T88="","",
--T88&lt;55,"Battery Defect",
--T88&lt;=69,"Battery D",
--T88&lt;=80,"Battery C",
--T88&gt;80,""
),"")</f>
        <v/>
      </c>
      <c r="W88" s="42" t="str" cm="1">
        <f t="array" ref="W88:AD88">IFERROR(IF(_xlfn.XLOOKUP(B88,Input!J:J,Input!N:U)=0,"",
          _xlfn.XLOOKUP(B88,Input!J:J,Input!N:U)),"")</f>
        <v/>
      </c>
      <c r="X88" s="42" t="str">
        <v/>
      </c>
      <c r="Y88" s="42" t="str">
        <v/>
      </c>
      <c r="Z88" s="42" t="str">
        <v/>
      </c>
      <c r="AA88" s="42" t="str">
        <v/>
      </c>
      <c r="AB88" s="42" t="str">
        <v/>
      </c>
      <c r="AC88" s="42" t="str">
        <v/>
      </c>
      <c r="AD88" s="42" t="str">
        <v/>
      </c>
      <c r="AE88" s="32" t="str">
        <f t="shared" si="3"/>
        <v/>
      </c>
      <c r="AF88" s="32" t="str">
        <f>_xlfn.XLOOKUP(B:B,Disk_Pivot!G:G,Disk_Pivot!I:I)</f>
        <v>Yes x2</v>
      </c>
      <c r="AG88" s="32" t="str">
        <f>_xlfn.XLOOKUP(B88,Disk_Pivot!G:G,Disk_Pivot!N:N)</f>
        <v>Pass, Fail</v>
      </c>
      <c r="AH88" s="32"/>
      <c r="AI88" s="32"/>
      <c r="AJ88" s="32"/>
      <c r="AK88" s="32"/>
      <c r="AL88" s="32"/>
      <c r="AM88" s="32"/>
    </row>
    <row r="89" spans="1:39">
      <c r="A89" s="32" t="str">
        <f>_xlfn.XLOOKUP(B89,Input!J:J,Input!G:G)&amp;""</f>
        <v/>
      </c>
      <c r="B89" s="32"/>
      <c r="C89" s="32" t="str">
        <f>_xlfn.XLOOKUP(B89,Input!J:J,Input!H:H)&amp;""</f>
        <v/>
      </c>
      <c r="D89" s="42">
        <f>_xlfn.XLOOKUP(B89,Input!J:J,Input!F:F)</f>
        <v>0</v>
      </c>
      <c r="E89" s="32">
        <f>_xlfn.XLOOKUP(D89,Models!H:H,Models!G:G,D89)</f>
        <v>0</v>
      </c>
      <c r="F89" s="32">
        <f>_xlfn.XLOOKUP(B89,Input!J:J,Input!E:E)</f>
        <v>0</v>
      </c>
      <c r="G89" s="32">
        <f>IF(F89="LENOVO",_xlfn.XLOOKUP(B89,Input!J:J,Input!K:K),_xlfn.XLOOKUP(B89,Input!J:J,Input!L:L))</f>
        <v>0</v>
      </c>
      <c r="H89" s="32"/>
      <c r="I89" s="32"/>
      <c r="J89" s="32"/>
      <c r="K89" s="42" t="e">
        <f>INDEX(Input!$D$2:$AC$500,
       MATCH(B89, Input!$J$2:$J$500, 0),
       MATCH("Total Memory", Input!$D$1:$AC$1, 0))</f>
        <v>#N/A</v>
      </c>
      <c r="L89" s="42" t="e">
        <f>INDEX(Input!$D$2:$AC$500,
       MATCH(B89, Input!$J$2:$J$500, 0),
       MATCH("Memory Type", Input!$D$1:$AC$1, 0))</f>
        <v>#N/A</v>
      </c>
      <c r="M89" s="42" t="str" cm="1">
        <f t="array" ref="M89">IFERROR(_xlfn.FILTERXML("&lt;t&gt;&lt;s&gt;" &amp; SUBSTITUTE(L89," / ","&lt;/s&gt;&lt;s&gt;") &amp; "&lt;/s&gt;&lt;/t&gt;","(//s[contains(.,'DDR')])[1]"),"")</f>
        <v/>
      </c>
      <c r="N89" s="32" t="e">
        <f t="shared" si="5"/>
        <v>#N/A</v>
      </c>
      <c r="O89" s="42" t="e">
        <f>INDEX(Input!$D$2:$AC$500,
       MATCH(B89, Input!$J$2:$J$500, 0),
       MATCH("Disk Interface Type", Input!$D$1:$AC$1, 0))</f>
        <v>#N/A</v>
      </c>
      <c r="P89" s="42" t="str" cm="1">
        <f t="array" ref="P89">IFERROR(_xlfn.TEXTJOIN(", ", TRUE, _xlfn._xlws.FILTER(
    INDEX(Input!$D$2:$AC$500,,MATCH("Disk Capacity",Input!$D$1:$AC$1,0)),
    Input!$J$2:$J$500=B89
)), "")</f>
        <v/>
      </c>
      <c r="Q89" s="32" t="e">
        <f t="shared" si="4"/>
        <v>#N/A</v>
      </c>
      <c r="R89" s="42" t="e">
        <f>_xlfn.LET(_xlpm.Result,INDEX(Input!$D$2:$AC$500,
       MATCH(B89, Input!$J$2:$J$500, 0),
       MATCH("Capacity", Input!$D$1:$AC$1, 0)),IF(_xlpm.Result="","",_xlpm.Result))</f>
        <v>#N/A</v>
      </c>
      <c r="S89" s="42" t="e" cm="1">
        <f t="array" ref="S89">_xlfn.TEXTSPLIT(R89," / ", ,TRUE,0,)</f>
        <v>#N/A</v>
      </c>
      <c r="T89" s="42"/>
      <c r="U89" s="42" t="str" cm="1">
        <f t="array" ref="U89">IFERROR(_xlfn.IFS(
S89="","",
--S89&lt;55,"Battery Defect",
--S89&lt;=69,"Battery D",
--S89&lt;=80,"Battery C",
--S89&gt;80,""
),"")</f>
        <v/>
      </c>
      <c r="V89" s="42" t="str" cm="1">
        <f t="array" ref="V89">IFERROR(_xlfn.IFS(
T89="","",
--T89&lt;55,"Battery Defect",
--T89&lt;=69,"Battery D",
--T89&lt;=80,"Battery C",
--T89&gt;80,""
),"")</f>
        <v/>
      </c>
      <c r="W89" s="42" t="str" cm="1">
        <f t="array" ref="W89:AD89">IFERROR(IF(_xlfn.XLOOKUP(B89,Input!J:J,Input!N:U)=0,"",
          _xlfn.XLOOKUP(B89,Input!J:J,Input!N:U)),"")</f>
        <v/>
      </c>
      <c r="X89" s="42" t="str">
        <v/>
      </c>
      <c r="Y89" s="42" t="str">
        <v/>
      </c>
      <c r="Z89" s="42" t="str">
        <v/>
      </c>
      <c r="AA89" s="42" t="str">
        <v/>
      </c>
      <c r="AB89" s="42" t="str">
        <v/>
      </c>
      <c r="AC89" s="42" t="str">
        <v/>
      </c>
      <c r="AD89" s="42" t="str">
        <v/>
      </c>
      <c r="AE89" s="32" t="str">
        <f t="shared" si="3"/>
        <v/>
      </c>
      <c r="AF89" s="32" t="str">
        <f>_xlfn.XLOOKUP(B:B,Disk_Pivot!G:G,Disk_Pivot!I:I)</f>
        <v>Yes x2</v>
      </c>
      <c r="AG89" s="32" t="str">
        <f>_xlfn.XLOOKUP(B89,Disk_Pivot!G:G,Disk_Pivot!N:N)</f>
        <v>Pass, Fail</v>
      </c>
      <c r="AH89" s="32"/>
      <c r="AI89" s="32"/>
      <c r="AJ89" s="32"/>
      <c r="AK89" s="32"/>
      <c r="AL89" s="32"/>
      <c r="AM89" s="32"/>
    </row>
    <row r="90" spans="1:39">
      <c r="A90" s="32" t="str">
        <f>_xlfn.XLOOKUP(B90,Input!J:J,Input!G:G)&amp;""</f>
        <v/>
      </c>
      <c r="B90" s="32"/>
      <c r="C90" s="32" t="str">
        <f>_xlfn.XLOOKUP(B90,Input!J:J,Input!H:H)&amp;""</f>
        <v/>
      </c>
      <c r="D90" s="42">
        <f>_xlfn.XLOOKUP(B90,Input!J:J,Input!F:F)</f>
        <v>0</v>
      </c>
      <c r="E90" s="32">
        <f>_xlfn.XLOOKUP(D90,Models!H:H,Models!G:G,D90)</f>
        <v>0</v>
      </c>
      <c r="F90" s="32">
        <f>_xlfn.XLOOKUP(B90,Input!J:J,Input!E:E)</f>
        <v>0</v>
      </c>
      <c r="G90" s="32">
        <f>IF(F90="LENOVO",_xlfn.XLOOKUP(B90,Input!J:J,Input!K:K),_xlfn.XLOOKUP(B90,Input!J:J,Input!L:L))</f>
        <v>0</v>
      </c>
      <c r="H90" s="32"/>
      <c r="I90" s="32"/>
      <c r="J90" s="32">
        <f>_xlfn.XLOOKUP(B90,CPU_Formula!A:A,CPU_Formula!I:I)</f>
        <v>0</v>
      </c>
      <c r="K90" s="42" t="e">
        <f>INDEX(Input!$D$2:$AC$500,
       MATCH(B90, Input!$J$2:$J$500, 0),
       MATCH("Total Memory", Input!$D$1:$AC$1, 0))</f>
        <v>#N/A</v>
      </c>
      <c r="L90" s="42" t="e">
        <f>INDEX(Input!$D$2:$AC$500,
       MATCH(B90, Input!$J$2:$J$500, 0),
       MATCH("Memory Type", Input!$D$1:$AC$1, 0))</f>
        <v>#N/A</v>
      </c>
      <c r="M90" s="42" t="str" cm="1">
        <f t="array" ref="M90">IFERROR(_xlfn.FILTERXML("&lt;t&gt;&lt;s&gt;" &amp; SUBSTITUTE(L90," / ","&lt;/s&gt;&lt;s&gt;") &amp; "&lt;/s&gt;&lt;/t&gt;","(//s[contains(.,'DDR')])[1]"),"")</f>
        <v/>
      </c>
      <c r="N90" s="32" t="e">
        <f t="shared" si="5"/>
        <v>#N/A</v>
      </c>
      <c r="O90" s="42" t="e">
        <f>INDEX(Input!$D$2:$AC$500,
       MATCH(B90, Input!$J$2:$J$500, 0),
       MATCH("Disk Interface Type", Input!$D$1:$AC$1, 0))</f>
        <v>#N/A</v>
      </c>
      <c r="P90" s="42" t="str" cm="1">
        <f t="array" ref="P90">IFERROR(_xlfn.TEXTJOIN(", ", TRUE, _xlfn._xlws.FILTER(
    INDEX(Input!$D$2:$AC$500,,MATCH("Disk Capacity",Input!$D$1:$AC$1,0)),
    Input!$J$2:$J$500=B90
)), "")</f>
        <v/>
      </c>
      <c r="Q90" s="32" t="e">
        <f t="shared" si="4"/>
        <v>#N/A</v>
      </c>
      <c r="R90" s="42" t="e">
        <f>_xlfn.LET(_xlpm.Result,INDEX(Input!$D$2:$AC$500,
       MATCH(B90, Input!$J$2:$J$500, 0),
       MATCH("Capacity", Input!$D$1:$AC$1, 0)),IF(_xlpm.Result="","",_xlpm.Result))</f>
        <v>#N/A</v>
      </c>
      <c r="S90" s="42" t="e" cm="1">
        <f t="array" ref="S90">_xlfn.TEXTSPLIT(R90," / ", ,TRUE,0,)</f>
        <v>#N/A</v>
      </c>
      <c r="T90" s="42"/>
      <c r="U90" s="42" t="str" cm="1">
        <f t="array" ref="U90">IFERROR(_xlfn.IFS(
S90="","",
--S90&lt;55,"Battery Defect",
--S90&lt;=69,"Battery D",
--S90&lt;=80,"Battery C",
--S90&gt;80,""
),"")</f>
        <v/>
      </c>
      <c r="V90" s="42" t="str" cm="1">
        <f t="array" ref="V90">IFERROR(_xlfn.IFS(
T90="","",
--T90&lt;55,"Battery Defect",
--T90&lt;=69,"Battery D",
--T90&lt;=80,"Battery C",
--T90&gt;80,""
),"")</f>
        <v/>
      </c>
      <c r="W90" s="42" t="str" cm="1">
        <f t="array" ref="W90:AD90">IFERROR(IF(_xlfn.XLOOKUP(B90,Input!J:J,Input!N:U)=0,"",
          _xlfn.XLOOKUP(B90,Input!J:J,Input!N:U)),"")</f>
        <v/>
      </c>
      <c r="X90" s="42" t="str">
        <v/>
      </c>
      <c r="Y90" s="42" t="str">
        <v/>
      </c>
      <c r="Z90" s="42" t="str">
        <v/>
      </c>
      <c r="AA90" s="42" t="str">
        <v/>
      </c>
      <c r="AB90" s="42" t="str">
        <v/>
      </c>
      <c r="AC90" s="42" t="str">
        <v/>
      </c>
      <c r="AD90" s="42" t="str">
        <v/>
      </c>
      <c r="AE90" s="32" t="str">
        <f t="shared" si="3"/>
        <v/>
      </c>
      <c r="AF90" s="32" t="str">
        <f>_xlfn.XLOOKUP(B:B,Disk_Pivot!G:G,Disk_Pivot!I:I)</f>
        <v>Yes x2</v>
      </c>
      <c r="AG90" s="32" t="str">
        <f>_xlfn.XLOOKUP(B90,Disk_Pivot!G:G,Disk_Pivot!N:N)</f>
        <v>Pass, Fail</v>
      </c>
      <c r="AH90" s="32"/>
      <c r="AI90" s="32"/>
      <c r="AJ90" s="32"/>
      <c r="AK90" s="32"/>
      <c r="AL90" s="32"/>
      <c r="AM90" s="32"/>
    </row>
    <row r="91" spans="1:39">
      <c r="A91" s="32" t="str">
        <f>_xlfn.XLOOKUP(B91,Input!J:J,Input!G:G)&amp;""</f>
        <v/>
      </c>
      <c r="B91" s="32"/>
      <c r="C91" s="32" t="str">
        <f>_xlfn.XLOOKUP(B91,Input!J:J,Input!H:H)&amp;""</f>
        <v/>
      </c>
      <c r="D91" s="42">
        <f>_xlfn.XLOOKUP(B91,Input!J:J,Input!F:F)</f>
        <v>0</v>
      </c>
      <c r="E91" s="32">
        <f>_xlfn.XLOOKUP(D91,Models!H:H,Models!G:G,D91)</f>
        <v>0</v>
      </c>
      <c r="F91" s="32">
        <f>_xlfn.XLOOKUP(B91,Input!J:J,Input!E:E)</f>
        <v>0</v>
      </c>
      <c r="G91" s="32">
        <f>IF(F91="LENOVO",_xlfn.XLOOKUP(B91,Input!J:J,Input!K:K),_xlfn.XLOOKUP(B91,Input!J:J,Input!L:L))</f>
        <v>0</v>
      </c>
      <c r="H91" s="32"/>
      <c r="I91" s="32"/>
      <c r="J91" s="32">
        <f>_xlfn.XLOOKUP(B91,CPU_Formula!A:A,CPU_Formula!I:I)</f>
        <v>0</v>
      </c>
      <c r="K91" s="42" t="e">
        <f>INDEX(Input!$D$2:$AC$500,
       MATCH(B91, Input!$J$2:$J$500, 0),
       MATCH("Total Memory", Input!$D$1:$AC$1, 0))</f>
        <v>#N/A</v>
      </c>
      <c r="L91" s="42" t="e">
        <f>INDEX(Input!$D$2:$AC$500,
       MATCH(B91, Input!$J$2:$J$500, 0),
       MATCH("Memory Type", Input!$D$1:$AC$1, 0))</f>
        <v>#N/A</v>
      </c>
      <c r="M91" s="42" t="str" cm="1">
        <f t="array" ref="M91">IFERROR(_xlfn.FILTERXML("&lt;t&gt;&lt;s&gt;" &amp; SUBSTITUTE(L91," / ","&lt;/s&gt;&lt;s&gt;") &amp; "&lt;/s&gt;&lt;/t&gt;","(//s[contains(.,'DDR')])[1]"),"")</f>
        <v/>
      </c>
      <c r="N91" s="32" t="e">
        <f t="shared" si="5"/>
        <v>#N/A</v>
      </c>
      <c r="O91" s="42" t="e">
        <f>INDEX(Input!$D$2:$AC$500,
       MATCH(B91, Input!$J$2:$J$500, 0),
       MATCH("Disk Interface Type", Input!$D$1:$AC$1, 0))</f>
        <v>#N/A</v>
      </c>
      <c r="P91" s="42" t="str" cm="1">
        <f t="array" ref="P91">IFERROR(_xlfn.TEXTJOIN(", ", TRUE, _xlfn._xlws.FILTER(
    INDEX(Input!$D$2:$AC$500,,MATCH("Disk Capacity",Input!$D$1:$AC$1,0)),
    Input!$J$2:$J$500=B91
)), "")</f>
        <v/>
      </c>
      <c r="Q91" s="32" t="e">
        <f t="shared" si="4"/>
        <v>#N/A</v>
      </c>
      <c r="R91" s="42" t="e">
        <f>_xlfn.LET(_xlpm.Result,INDEX(Input!$D$2:$AC$500,
       MATCH(B91, Input!$J$2:$J$500, 0),
       MATCH("Capacity", Input!$D$1:$AC$1, 0)),IF(_xlpm.Result="","",_xlpm.Result))</f>
        <v>#N/A</v>
      </c>
      <c r="S91" s="42" t="e" cm="1">
        <f t="array" ref="S91">_xlfn.TEXTSPLIT(R91," / ", ,TRUE,0,)</f>
        <v>#N/A</v>
      </c>
      <c r="T91" s="42"/>
      <c r="U91" s="42" t="str" cm="1">
        <f t="array" ref="U91">IFERROR(_xlfn.IFS(
S91="","",
--S91&lt;55,"Battery Defect",
--S91&lt;=69,"Battery D",
--S91&lt;=80,"Battery C",
--S91&gt;80,""
),"")</f>
        <v/>
      </c>
      <c r="V91" s="42" t="str" cm="1">
        <f t="array" ref="V91">IFERROR(_xlfn.IFS(
T91="","",
--T91&lt;55,"Battery Defect",
--T91&lt;=69,"Battery D",
--T91&lt;=80,"Battery C",
--T91&gt;80,""
),"")</f>
        <v/>
      </c>
      <c r="W91" s="42" t="str" cm="1">
        <f t="array" ref="W91:AD91">IFERROR(IF(_xlfn.XLOOKUP(B91,Input!J:J,Input!N:U)=0,"",
          _xlfn.XLOOKUP(B91,Input!J:J,Input!N:U)),"")</f>
        <v/>
      </c>
      <c r="X91" s="42" t="str">
        <v/>
      </c>
      <c r="Y91" s="42" t="str">
        <v/>
      </c>
      <c r="Z91" s="42" t="str">
        <v/>
      </c>
      <c r="AA91" s="42" t="str">
        <v/>
      </c>
      <c r="AB91" s="42" t="str">
        <v/>
      </c>
      <c r="AC91" s="42" t="str">
        <v/>
      </c>
      <c r="AD91" s="42" t="str">
        <v/>
      </c>
      <c r="AE91" s="32" t="str">
        <f t="shared" si="3"/>
        <v/>
      </c>
      <c r="AF91" s="32" t="str">
        <f>_xlfn.XLOOKUP(B:B,Disk_Pivot!G:G,Disk_Pivot!I:I)</f>
        <v>Yes x2</v>
      </c>
      <c r="AG91" s="32" t="str">
        <f>_xlfn.XLOOKUP(B91,Disk_Pivot!G:G,Disk_Pivot!N:N)</f>
        <v>Pass, Fail</v>
      </c>
      <c r="AH91" s="32"/>
      <c r="AI91" s="32"/>
      <c r="AJ91" s="32"/>
      <c r="AK91" s="32"/>
      <c r="AL91" s="32"/>
      <c r="AM91" s="32"/>
    </row>
    <row r="92" spans="1:39">
      <c r="A92" s="32" t="str">
        <f>_xlfn.XLOOKUP(B92,Input!J:J,Input!G:G)&amp;""</f>
        <v/>
      </c>
      <c r="B92" s="32"/>
      <c r="C92" s="32" t="str">
        <f>_xlfn.XLOOKUP(B92,Input!J:J,Input!H:H)&amp;""</f>
        <v/>
      </c>
      <c r="D92" s="42">
        <f>_xlfn.XLOOKUP(B92,Input!J:J,Input!F:F)</f>
        <v>0</v>
      </c>
      <c r="E92" s="32">
        <f>_xlfn.XLOOKUP(D92,Models!H:H,Models!G:G,D92)</f>
        <v>0</v>
      </c>
      <c r="F92" s="32">
        <f>_xlfn.XLOOKUP(B92,Input!J:J,Input!E:E)</f>
        <v>0</v>
      </c>
      <c r="G92" s="32">
        <f>IF(F92="LENOVO",_xlfn.XLOOKUP(B92,Input!J:J,Input!K:K),_xlfn.XLOOKUP(B92,Input!J:J,Input!L:L))</f>
        <v>0</v>
      </c>
      <c r="H92" s="32"/>
      <c r="I92" s="32"/>
      <c r="J92" s="32">
        <f>_xlfn.XLOOKUP(B92,CPU_Formula!A:A,CPU_Formula!I:I)</f>
        <v>0</v>
      </c>
      <c r="K92" s="42" t="e">
        <f>INDEX(Input!$D$2:$AC$500,
       MATCH(B92, Input!$J$2:$J$500, 0),
       MATCH("Total Memory", Input!$D$1:$AC$1, 0))</f>
        <v>#N/A</v>
      </c>
      <c r="L92" s="42" t="e">
        <f>INDEX(Input!$D$2:$AC$500,
       MATCH(B92, Input!$J$2:$J$500, 0),
       MATCH("Memory Type", Input!$D$1:$AC$1, 0))</f>
        <v>#N/A</v>
      </c>
      <c r="M92" s="42" t="str" cm="1">
        <f t="array" ref="M92">IFERROR(_xlfn.FILTERXML("&lt;t&gt;&lt;s&gt;" &amp; SUBSTITUTE(L92," / ","&lt;/s&gt;&lt;s&gt;") &amp; "&lt;/s&gt;&lt;/t&gt;","(//s[contains(.,'DDR')])[1]"),"")</f>
        <v/>
      </c>
      <c r="N92" s="32" t="e">
        <f t="shared" si="5"/>
        <v>#N/A</v>
      </c>
      <c r="O92" s="42" t="e">
        <f>INDEX(Input!$D$2:$AC$500,
       MATCH(B92, Input!$J$2:$J$500, 0),
       MATCH("Disk Interface Type", Input!$D$1:$AC$1, 0))</f>
        <v>#N/A</v>
      </c>
      <c r="P92" s="42" t="str" cm="1">
        <f t="array" ref="P92">IFERROR(_xlfn.TEXTJOIN(", ", TRUE, _xlfn._xlws.FILTER(
    INDEX(Input!$D$2:$AC$500,,MATCH("Disk Capacity",Input!$D$1:$AC$1,0)),
    Input!$J$2:$J$500=B92
)), "")</f>
        <v/>
      </c>
      <c r="Q92" s="32" t="e">
        <f t="shared" si="4"/>
        <v>#N/A</v>
      </c>
      <c r="R92" s="42" t="e">
        <f>_xlfn.LET(_xlpm.Result,INDEX(Input!$D$2:$AC$500,
       MATCH(B92, Input!$J$2:$J$500, 0),
       MATCH("Capacity", Input!$D$1:$AC$1, 0)),IF(_xlpm.Result="","",_xlpm.Result))</f>
        <v>#N/A</v>
      </c>
      <c r="S92" s="42" t="e" cm="1">
        <f t="array" ref="S92">_xlfn.TEXTSPLIT(R92," / ", ,TRUE,0,)</f>
        <v>#N/A</v>
      </c>
      <c r="T92" s="42"/>
      <c r="U92" s="42" t="str" cm="1">
        <f t="array" ref="U92">IFERROR(_xlfn.IFS(
S92="","",
--S92&lt;55,"Battery Defect",
--S92&lt;=69,"Battery D",
--S92&lt;=80,"Battery C",
--S92&gt;80,""
),"")</f>
        <v/>
      </c>
      <c r="V92" s="42" t="str" cm="1">
        <f t="array" ref="V92">IFERROR(_xlfn.IFS(
T92="","",
--T92&lt;55,"Battery Defect",
--T92&lt;=69,"Battery D",
--T92&lt;=80,"Battery C",
--T92&gt;80,""
),"")</f>
        <v/>
      </c>
      <c r="W92" s="42" t="str" cm="1">
        <f t="array" ref="W92:AD92">IFERROR(IF(_xlfn.XLOOKUP(B92,Input!J:J,Input!N:U)=0,"",
          _xlfn.XLOOKUP(B92,Input!J:J,Input!N:U)),"")</f>
        <v/>
      </c>
      <c r="X92" s="42" t="str">
        <v/>
      </c>
      <c r="Y92" s="42" t="str">
        <v/>
      </c>
      <c r="Z92" s="42" t="str">
        <v/>
      </c>
      <c r="AA92" s="42" t="str">
        <v/>
      </c>
      <c r="AB92" s="42" t="str">
        <v/>
      </c>
      <c r="AC92" s="42" t="str">
        <v/>
      </c>
      <c r="AD92" s="42" t="str">
        <v/>
      </c>
      <c r="AE92" s="32" t="str">
        <f t="shared" si="3"/>
        <v/>
      </c>
      <c r="AF92" s="32" t="str">
        <f>_xlfn.XLOOKUP(B:B,Disk_Pivot!G:G,Disk_Pivot!I:I)</f>
        <v>Yes x2</v>
      </c>
      <c r="AG92" s="32" t="str">
        <f>_xlfn.XLOOKUP(B92,Disk_Pivot!G:G,Disk_Pivot!N:N)</f>
        <v>Pass, Fail</v>
      </c>
      <c r="AH92" s="32"/>
      <c r="AI92" s="32"/>
      <c r="AJ92" s="32"/>
      <c r="AK92" s="32"/>
      <c r="AL92" s="32"/>
      <c r="AM92" s="32"/>
    </row>
    <row r="93" spans="1:39">
      <c r="A93" s="32" t="str">
        <f>_xlfn.XLOOKUP(B93,Input!J:J,Input!G:G)&amp;""</f>
        <v/>
      </c>
      <c r="B93" s="32"/>
      <c r="C93" s="32" t="str">
        <f>_xlfn.XLOOKUP(B93,Input!J:J,Input!H:H)&amp;""</f>
        <v/>
      </c>
      <c r="D93" s="42">
        <f>_xlfn.XLOOKUP(B93,Input!J:J,Input!F:F)</f>
        <v>0</v>
      </c>
      <c r="E93" s="32">
        <f>_xlfn.XLOOKUP(D93,Models!H:H,Models!G:G,D93)</f>
        <v>0</v>
      </c>
      <c r="F93" s="32">
        <f>_xlfn.XLOOKUP(B93,Input!J:J,Input!E:E)</f>
        <v>0</v>
      </c>
      <c r="G93" s="32">
        <f>IF(F93="LENOVO",_xlfn.XLOOKUP(B93,Input!J:J,Input!K:K),_xlfn.XLOOKUP(B93,Input!J:J,Input!L:L))</f>
        <v>0</v>
      </c>
      <c r="H93" s="32"/>
      <c r="I93" s="32"/>
      <c r="J93" s="32">
        <f>_xlfn.XLOOKUP(B93,CPU_Formula!A:A,CPU_Formula!I:I)</f>
        <v>0</v>
      </c>
      <c r="K93" s="42" t="e">
        <f>INDEX(Input!$D$2:$AC$500,
       MATCH(B93, Input!$J$2:$J$500, 0),
       MATCH("Total Memory", Input!$D$1:$AC$1, 0))</f>
        <v>#N/A</v>
      </c>
      <c r="L93" s="42" t="e">
        <f>INDEX(Input!$D$2:$AC$500,
       MATCH(B93, Input!$J$2:$J$500, 0),
       MATCH("Memory Type", Input!$D$1:$AC$1, 0))</f>
        <v>#N/A</v>
      </c>
      <c r="M93" s="42" t="str" cm="1">
        <f t="array" ref="M93">IFERROR(_xlfn.FILTERXML("&lt;t&gt;&lt;s&gt;" &amp; SUBSTITUTE(L93," / ","&lt;/s&gt;&lt;s&gt;") &amp; "&lt;/s&gt;&lt;/t&gt;","(//s[contains(.,'DDR')])[1]"),"")</f>
        <v/>
      </c>
      <c r="N93" s="32" t="e">
        <f t="shared" si="5"/>
        <v>#N/A</v>
      </c>
      <c r="O93" s="42" t="e">
        <f>INDEX(Input!$D$2:$AC$500,
       MATCH(B93, Input!$J$2:$J$500, 0),
       MATCH("Disk Interface Type", Input!$D$1:$AC$1, 0))</f>
        <v>#N/A</v>
      </c>
      <c r="P93" s="42" t="str" cm="1">
        <f t="array" ref="P93">IFERROR(_xlfn.TEXTJOIN(", ", TRUE, _xlfn._xlws.FILTER(
    INDEX(Input!$D$2:$AC$500,,MATCH("Disk Capacity",Input!$D$1:$AC$1,0)),
    Input!$J$2:$J$500=B93
)), "")</f>
        <v/>
      </c>
      <c r="Q93" s="32" t="e">
        <f t="shared" si="4"/>
        <v>#N/A</v>
      </c>
      <c r="R93" s="42" t="e">
        <f>_xlfn.LET(_xlpm.Result,INDEX(Input!$D$2:$AC$500,
       MATCH(B93, Input!$J$2:$J$500, 0),
       MATCH("Capacity", Input!$D$1:$AC$1, 0)),IF(_xlpm.Result="","",_xlpm.Result))</f>
        <v>#N/A</v>
      </c>
      <c r="S93" s="42" t="e" cm="1">
        <f t="array" ref="S93">_xlfn.TEXTSPLIT(R93," / ", ,TRUE,0,)</f>
        <v>#N/A</v>
      </c>
      <c r="T93" s="42"/>
      <c r="U93" s="42" t="str" cm="1">
        <f t="array" ref="U93">IFERROR(_xlfn.IFS(
S93="","",
--S93&lt;55,"Battery Defect",
--S93&lt;=69,"Battery D",
--S93&lt;=80,"Battery C",
--S93&gt;80,""
),"")</f>
        <v/>
      </c>
      <c r="V93" s="42" t="str" cm="1">
        <f t="array" ref="V93">IFERROR(_xlfn.IFS(
T93="","",
--T93&lt;55,"Battery Defect",
--T93&lt;=69,"Battery D",
--T93&lt;=80,"Battery C",
--T93&gt;80,""
),"")</f>
        <v/>
      </c>
      <c r="W93" s="42" t="str" cm="1">
        <f t="array" ref="W93:AD93">IFERROR(IF(_xlfn.XLOOKUP(B93,Input!J:J,Input!N:U)=0,"",
          _xlfn.XLOOKUP(B93,Input!J:J,Input!N:U)),"")</f>
        <v/>
      </c>
      <c r="X93" s="42" t="str">
        <v/>
      </c>
      <c r="Y93" s="42" t="str">
        <v/>
      </c>
      <c r="Z93" s="42" t="str">
        <v/>
      </c>
      <c r="AA93" s="42" t="str">
        <v/>
      </c>
      <c r="AB93" s="42" t="str">
        <v/>
      </c>
      <c r="AC93" s="42" t="str">
        <v/>
      </c>
      <c r="AD93" s="42" t="str">
        <v/>
      </c>
      <c r="AE93" s="32" t="str">
        <f t="shared" si="3"/>
        <v/>
      </c>
      <c r="AF93" s="32" t="str">
        <f>_xlfn.XLOOKUP(B:B,Disk_Pivot!G:G,Disk_Pivot!I:I)</f>
        <v>Yes x2</v>
      </c>
      <c r="AG93" s="32" t="str">
        <f>_xlfn.XLOOKUP(B93,Disk_Pivot!G:G,Disk_Pivot!N:N)</f>
        <v>Pass, Fail</v>
      </c>
      <c r="AH93" s="32"/>
      <c r="AI93" s="32"/>
      <c r="AJ93" s="32"/>
      <c r="AK93" s="32"/>
      <c r="AL93" s="32"/>
      <c r="AM93" s="32"/>
    </row>
    <row r="94" spans="1:39">
      <c r="A94" s="32" t="str">
        <f>_xlfn.XLOOKUP(B94,Input!J:J,Input!G:G)&amp;""</f>
        <v/>
      </c>
      <c r="B94" s="32"/>
      <c r="C94" s="32" t="str">
        <f>_xlfn.XLOOKUP(B94,Input!J:J,Input!H:H)&amp;""</f>
        <v/>
      </c>
      <c r="D94" s="42">
        <f>_xlfn.XLOOKUP(B94,Input!J:J,Input!F:F)</f>
        <v>0</v>
      </c>
      <c r="E94" s="32">
        <f>_xlfn.XLOOKUP(D94,Models!H:H,Models!G:G,D94)</f>
        <v>0</v>
      </c>
      <c r="F94" s="32">
        <f>_xlfn.XLOOKUP(B94,Input!J:J,Input!E:E)</f>
        <v>0</v>
      </c>
      <c r="G94" s="32">
        <f>IF(F94="LENOVO",_xlfn.XLOOKUP(B94,Input!J:J,Input!K:K),_xlfn.XLOOKUP(B94,Input!J:J,Input!L:L))</f>
        <v>0</v>
      </c>
      <c r="H94" s="32"/>
      <c r="I94" s="32"/>
      <c r="J94" s="32">
        <f>_xlfn.XLOOKUP(B94,CPU_Formula!A:A,CPU_Formula!I:I)</f>
        <v>0</v>
      </c>
      <c r="K94" s="42" t="e">
        <f>INDEX(Input!$D$2:$AC$500,
       MATCH(B94, Input!$J$2:$J$500, 0),
       MATCH("Total Memory", Input!$D$1:$AC$1, 0))</f>
        <v>#N/A</v>
      </c>
      <c r="L94" s="42" t="e">
        <f>INDEX(Input!$D$2:$AC$500,
       MATCH(B94, Input!$J$2:$J$500, 0),
       MATCH("Memory Type", Input!$D$1:$AC$1, 0))</f>
        <v>#N/A</v>
      </c>
      <c r="M94" s="42" t="str" cm="1">
        <f t="array" ref="M94">IFERROR(_xlfn.FILTERXML("&lt;t&gt;&lt;s&gt;" &amp; SUBSTITUTE(L94," / ","&lt;/s&gt;&lt;s&gt;") &amp; "&lt;/s&gt;&lt;/t&gt;","(//s[contains(.,'DDR')])[1]"),"")</f>
        <v/>
      </c>
      <c r="N94" s="32" t="e">
        <f t="shared" si="5"/>
        <v>#N/A</v>
      </c>
      <c r="O94" s="42" t="e">
        <f>INDEX(Input!$D$2:$AC$500,
       MATCH(B94, Input!$J$2:$J$500, 0),
       MATCH("Disk Interface Type", Input!$D$1:$AC$1, 0))</f>
        <v>#N/A</v>
      </c>
      <c r="P94" s="42" t="str" cm="1">
        <f t="array" ref="P94">IFERROR(_xlfn.TEXTJOIN(", ", TRUE, _xlfn._xlws.FILTER(
    INDEX(Input!$D$2:$AC$500,,MATCH("Disk Capacity",Input!$D$1:$AC$1,0)),
    Input!$J$2:$J$500=B94
)), "")</f>
        <v/>
      </c>
      <c r="Q94" s="32" t="e">
        <f t="shared" si="4"/>
        <v>#N/A</v>
      </c>
      <c r="R94" s="42" t="e">
        <f>_xlfn.LET(_xlpm.Result,INDEX(Input!$D$2:$AC$500,
       MATCH(B94, Input!$J$2:$J$500, 0),
       MATCH("Capacity", Input!$D$1:$AC$1, 0)),IF(_xlpm.Result="","",_xlpm.Result))</f>
        <v>#N/A</v>
      </c>
      <c r="S94" s="42" t="e" cm="1">
        <f t="array" ref="S94">_xlfn.TEXTSPLIT(R94," / ", ,TRUE,0,)</f>
        <v>#N/A</v>
      </c>
      <c r="T94" s="42"/>
      <c r="U94" s="42" t="str" cm="1">
        <f t="array" ref="U94">IFERROR(_xlfn.IFS(
S94="","",
--S94&lt;55,"Battery Defect",
--S94&lt;=69,"Battery D",
--S94&lt;=80,"Battery C",
--S94&gt;80,""
),"")</f>
        <v/>
      </c>
      <c r="V94" s="42" t="str" cm="1">
        <f t="array" ref="V94">IFERROR(_xlfn.IFS(
T94="","",
--T94&lt;55,"Battery Defect",
--T94&lt;=69,"Battery D",
--T94&lt;=80,"Battery C",
--T94&gt;80,""
),"")</f>
        <v/>
      </c>
      <c r="W94" s="42" t="str" cm="1">
        <f t="array" ref="W94:AD94">IFERROR(IF(_xlfn.XLOOKUP(B94,Input!J:J,Input!N:U)=0,"",
          _xlfn.XLOOKUP(B94,Input!J:J,Input!N:U)),"")</f>
        <v/>
      </c>
      <c r="X94" s="42" t="str">
        <v/>
      </c>
      <c r="Y94" s="42" t="str">
        <v/>
      </c>
      <c r="Z94" s="42" t="str">
        <v/>
      </c>
      <c r="AA94" s="42" t="str">
        <v/>
      </c>
      <c r="AB94" s="42" t="str">
        <v/>
      </c>
      <c r="AC94" s="42" t="str">
        <v/>
      </c>
      <c r="AD94" s="42" t="str">
        <v/>
      </c>
      <c r="AE94" s="32" t="str">
        <f t="shared" si="3"/>
        <v/>
      </c>
      <c r="AF94" s="32" t="str">
        <f>_xlfn.XLOOKUP(B:B,Disk_Pivot!G:G,Disk_Pivot!I:I)</f>
        <v>Yes x2</v>
      </c>
      <c r="AG94" s="32" t="str">
        <f>_xlfn.XLOOKUP(B94,Disk_Pivot!G:G,Disk_Pivot!N:N)</f>
        <v>Pass, Fail</v>
      </c>
      <c r="AH94" s="32"/>
      <c r="AI94" s="32"/>
      <c r="AJ94" s="32"/>
      <c r="AK94" s="32"/>
      <c r="AL94" s="32"/>
      <c r="AM94" s="32"/>
    </row>
    <row r="95" spans="1:39">
      <c r="A95" s="32" t="str">
        <f>_xlfn.XLOOKUP(B95,Input!J:J,Input!G:G)&amp;""</f>
        <v/>
      </c>
      <c r="B95" s="32"/>
      <c r="C95" s="32" t="str">
        <f>_xlfn.XLOOKUP(B95,Input!J:J,Input!H:H)&amp;""</f>
        <v/>
      </c>
      <c r="D95" s="42">
        <f>_xlfn.XLOOKUP(B95,Input!J:J,Input!F:F)</f>
        <v>0</v>
      </c>
      <c r="E95" s="32">
        <f>_xlfn.XLOOKUP(D95,Models!H:H,Models!G:G,D95)</f>
        <v>0</v>
      </c>
      <c r="F95" s="32">
        <f>_xlfn.XLOOKUP(B95,Input!J:J,Input!E:E)</f>
        <v>0</v>
      </c>
      <c r="G95" s="32">
        <f>IF(F95="LENOVO",_xlfn.XLOOKUP(B95,Input!J:J,Input!K:K),_xlfn.XLOOKUP(B95,Input!J:J,Input!L:L))</f>
        <v>0</v>
      </c>
      <c r="H95" s="32"/>
      <c r="I95" s="32"/>
      <c r="J95" s="32">
        <f>_xlfn.XLOOKUP(B95,CPU_Formula!A:A,CPU_Formula!I:I)</f>
        <v>0</v>
      </c>
      <c r="K95" s="42" t="e">
        <f>INDEX(Input!$D$2:$AC$500,
       MATCH(B95, Input!$J$2:$J$500, 0),
       MATCH("Total Memory", Input!$D$1:$AC$1, 0))</f>
        <v>#N/A</v>
      </c>
      <c r="L95" s="42" t="e">
        <f>INDEX(Input!$D$2:$AC$500,
       MATCH(B95, Input!$J$2:$J$500, 0),
       MATCH("Memory Type", Input!$D$1:$AC$1, 0))</f>
        <v>#N/A</v>
      </c>
      <c r="M95" s="42" t="str" cm="1">
        <f t="array" ref="M95">IFERROR(_xlfn.FILTERXML("&lt;t&gt;&lt;s&gt;" &amp; SUBSTITUTE(L95," / ","&lt;/s&gt;&lt;s&gt;") &amp; "&lt;/s&gt;&lt;/t&gt;","(//s[contains(.,'DDR')])[1]"),"")</f>
        <v/>
      </c>
      <c r="N95" s="32" t="e">
        <f t="shared" si="5"/>
        <v>#N/A</v>
      </c>
      <c r="O95" s="42" t="e">
        <f>INDEX(Input!$D$2:$AC$500,
       MATCH(B95, Input!$J$2:$J$500, 0),
       MATCH("Disk Interface Type", Input!$D$1:$AC$1, 0))</f>
        <v>#N/A</v>
      </c>
      <c r="P95" s="42" t="str" cm="1">
        <f t="array" ref="P95">IFERROR(_xlfn.TEXTJOIN(", ", TRUE, _xlfn._xlws.FILTER(
    INDEX(Input!$D$2:$AC$500,,MATCH("Disk Capacity",Input!$D$1:$AC$1,0)),
    Input!$J$2:$J$500=B95
)), "")</f>
        <v/>
      </c>
      <c r="Q95" s="32" t="e">
        <f t="shared" si="4"/>
        <v>#N/A</v>
      </c>
      <c r="R95" s="42" t="e">
        <f>_xlfn.LET(_xlpm.Result,INDEX(Input!$D$2:$AC$500,
       MATCH(B95, Input!$J$2:$J$500, 0),
       MATCH("Capacity", Input!$D$1:$AC$1, 0)),IF(_xlpm.Result="","",_xlpm.Result))</f>
        <v>#N/A</v>
      </c>
      <c r="S95" s="42" t="e" cm="1">
        <f t="array" ref="S95">_xlfn.TEXTSPLIT(R95," / ", ,TRUE,0,)</f>
        <v>#N/A</v>
      </c>
      <c r="T95" s="42"/>
      <c r="U95" s="42" t="str" cm="1">
        <f t="array" ref="U95">IFERROR(_xlfn.IFS(
S95="","",
--S95&lt;55,"Battery Defect",
--S95&lt;=69,"Battery D",
--S95&lt;=80,"Battery C",
--S95&gt;80,""
),"")</f>
        <v/>
      </c>
      <c r="V95" s="42" t="str" cm="1">
        <f t="array" ref="V95">IFERROR(_xlfn.IFS(
T95="","",
--T95&lt;55,"Battery Defect",
--T95&lt;=69,"Battery D",
--T95&lt;=80,"Battery C",
--T95&gt;80,""
),"")</f>
        <v/>
      </c>
      <c r="W95" s="42" t="str" cm="1">
        <f t="array" ref="W95:AD95">IFERROR(IF(_xlfn.XLOOKUP(B95,Input!J:J,Input!N:U)=0,"",
          _xlfn.XLOOKUP(B95,Input!J:J,Input!N:U)),"")</f>
        <v/>
      </c>
      <c r="X95" s="42" t="str">
        <v/>
      </c>
      <c r="Y95" s="42" t="str">
        <v/>
      </c>
      <c r="Z95" s="42" t="str">
        <v/>
      </c>
      <c r="AA95" s="42" t="str">
        <v/>
      </c>
      <c r="AB95" s="42" t="str">
        <v/>
      </c>
      <c r="AC95" s="42" t="str">
        <v/>
      </c>
      <c r="AD95" s="42" t="str">
        <v/>
      </c>
      <c r="AE95" s="32" t="str">
        <f t="shared" si="3"/>
        <v/>
      </c>
      <c r="AF95" s="32" t="str">
        <f>_xlfn.XLOOKUP(B:B,Disk_Pivot!G:G,Disk_Pivot!I:I)</f>
        <v>Yes x2</v>
      </c>
      <c r="AG95" s="32" t="str">
        <f>_xlfn.XLOOKUP(B95,Disk_Pivot!G:G,Disk_Pivot!N:N)</f>
        <v>Pass, Fail</v>
      </c>
      <c r="AH95" s="32"/>
      <c r="AI95" s="32"/>
      <c r="AJ95" s="32"/>
      <c r="AK95" s="32"/>
      <c r="AL95" s="32"/>
      <c r="AM95" s="32"/>
    </row>
    <row r="96" spans="1:39">
      <c r="A96" s="32" t="str">
        <f>_xlfn.XLOOKUP(B96,Input!J:J,Input!G:G)&amp;""</f>
        <v/>
      </c>
      <c r="B96" s="32"/>
      <c r="C96" s="32" t="str">
        <f>_xlfn.XLOOKUP(B96,Input!J:J,Input!H:H)&amp;""</f>
        <v/>
      </c>
      <c r="D96" s="42">
        <f>_xlfn.XLOOKUP(B96,Input!J:J,Input!F:F)</f>
        <v>0</v>
      </c>
      <c r="E96" s="32">
        <f>_xlfn.XLOOKUP(D96,Models!H:H,Models!G:G,D96)</f>
        <v>0</v>
      </c>
      <c r="F96" s="32">
        <f>_xlfn.XLOOKUP(B96,Input!J:J,Input!E:E)</f>
        <v>0</v>
      </c>
      <c r="G96" s="32">
        <f>IF(F96="LENOVO",_xlfn.XLOOKUP(B96,Input!J:J,Input!K:K),_xlfn.XLOOKUP(B96,Input!J:J,Input!L:L))</f>
        <v>0</v>
      </c>
      <c r="H96" s="32"/>
      <c r="I96" s="32"/>
      <c r="J96" s="32">
        <f>_xlfn.XLOOKUP(B96,CPU_Formula!A:A,CPU_Formula!I:I)</f>
        <v>0</v>
      </c>
      <c r="K96" s="42" t="e">
        <f>INDEX(Input!$D$2:$AC$500,
       MATCH(B96, Input!$J$2:$J$500, 0),
       MATCH("Total Memory", Input!$D$1:$AC$1, 0))</f>
        <v>#N/A</v>
      </c>
      <c r="L96" s="42" t="e">
        <f>INDEX(Input!$D$2:$AC$500,
       MATCH(B96, Input!$J$2:$J$500, 0),
       MATCH("Memory Type", Input!$D$1:$AC$1, 0))</f>
        <v>#N/A</v>
      </c>
      <c r="M96" s="42" t="str" cm="1">
        <f t="array" ref="M96">IFERROR(_xlfn.FILTERXML("&lt;t&gt;&lt;s&gt;" &amp; SUBSTITUTE(L96," / ","&lt;/s&gt;&lt;s&gt;") &amp; "&lt;/s&gt;&lt;/t&gt;","(//s[contains(.,'DDR')])[1]"),"")</f>
        <v/>
      </c>
      <c r="N96" s="32" t="e">
        <f t="shared" si="5"/>
        <v>#N/A</v>
      </c>
      <c r="O96" s="42" t="e">
        <f>INDEX(Input!$D$2:$AC$500,
       MATCH(B96, Input!$J$2:$J$500, 0),
       MATCH("Disk Interface Type", Input!$D$1:$AC$1, 0))</f>
        <v>#N/A</v>
      </c>
      <c r="P96" s="42" t="str" cm="1">
        <f t="array" ref="P96">IFERROR(_xlfn.TEXTJOIN(", ", TRUE, _xlfn._xlws.FILTER(
    INDEX(Input!$D$2:$AC$500,,MATCH("Disk Capacity",Input!$D$1:$AC$1,0)),
    Input!$J$2:$J$500=B96
)), "")</f>
        <v/>
      </c>
      <c r="Q96" s="32" t="e">
        <f t="shared" si="4"/>
        <v>#N/A</v>
      </c>
      <c r="R96" s="42" t="e">
        <f>_xlfn.LET(_xlpm.Result,INDEX(Input!$D$2:$AC$500,
       MATCH(B96, Input!$J$2:$J$500, 0),
       MATCH("Capacity", Input!$D$1:$AC$1, 0)),IF(_xlpm.Result="","",_xlpm.Result))</f>
        <v>#N/A</v>
      </c>
      <c r="S96" s="42" t="e" cm="1">
        <f t="array" ref="S96">_xlfn.TEXTSPLIT(R96," / ", ,TRUE,0,)</f>
        <v>#N/A</v>
      </c>
      <c r="T96" s="42"/>
      <c r="U96" s="42" t="str" cm="1">
        <f t="array" ref="U96">IFERROR(_xlfn.IFS(
S96="","",
--S96&lt;55,"Battery Defect",
--S96&lt;=69,"Battery D",
--S96&lt;=80,"Battery C",
--S96&gt;80,""
),"")</f>
        <v/>
      </c>
      <c r="V96" s="42" t="str" cm="1">
        <f t="array" ref="V96">IFERROR(_xlfn.IFS(
T96="","",
--T96&lt;55,"Battery Defect",
--T96&lt;=69,"Battery D",
--T96&lt;=80,"Battery C",
--T96&gt;80,""
),"")</f>
        <v/>
      </c>
      <c r="W96" s="42" t="str" cm="1">
        <f t="array" ref="W96:AD96">IFERROR(IF(_xlfn.XLOOKUP(B96,Input!J:J,Input!N:U)=0,"",
          _xlfn.XLOOKUP(B96,Input!J:J,Input!N:U)),"")</f>
        <v/>
      </c>
      <c r="X96" s="42" t="str">
        <v/>
      </c>
      <c r="Y96" s="42" t="str">
        <v/>
      </c>
      <c r="Z96" s="42" t="str">
        <v/>
      </c>
      <c r="AA96" s="42" t="str">
        <v/>
      </c>
      <c r="AB96" s="42" t="str">
        <v/>
      </c>
      <c r="AC96" s="42" t="str">
        <v/>
      </c>
      <c r="AD96" s="42" t="str">
        <v/>
      </c>
      <c r="AE96" s="32" t="str">
        <f t="shared" si="3"/>
        <v/>
      </c>
      <c r="AF96" s="32" t="str">
        <f>_xlfn.XLOOKUP(B:B,Disk_Pivot!G:G,Disk_Pivot!I:I)</f>
        <v>Yes x2</v>
      </c>
      <c r="AG96" s="32" t="str">
        <f>_xlfn.XLOOKUP(B96,Disk_Pivot!G:G,Disk_Pivot!N:N)</f>
        <v>Pass, Fail</v>
      </c>
      <c r="AH96" s="32"/>
      <c r="AI96" s="32"/>
      <c r="AJ96" s="32"/>
      <c r="AK96" s="32"/>
      <c r="AL96" s="32"/>
      <c r="AM96" s="32"/>
    </row>
    <row r="97" spans="1:39">
      <c r="A97" s="32" t="str">
        <f>_xlfn.XLOOKUP(B97,Input!J:J,Input!G:G)&amp;""</f>
        <v/>
      </c>
      <c r="B97" s="32"/>
      <c r="C97" s="32" t="str">
        <f>_xlfn.XLOOKUP(B97,Input!J:J,Input!H:H)&amp;""</f>
        <v/>
      </c>
      <c r="D97" s="42">
        <f>_xlfn.XLOOKUP(B97,Input!J:J,Input!F:F)</f>
        <v>0</v>
      </c>
      <c r="E97" s="32">
        <f>_xlfn.XLOOKUP(D97,Models!H:H,Models!G:G,D97)</f>
        <v>0</v>
      </c>
      <c r="F97" s="32">
        <f>_xlfn.XLOOKUP(B97,Input!J:J,Input!E:E)</f>
        <v>0</v>
      </c>
      <c r="G97" s="32">
        <f>IF(F97="LENOVO",_xlfn.XLOOKUP(B97,Input!J:J,Input!K:K),_xlfn.XLOOKUP(B97,Input!J:J,Input!L:L))</f>
        <v>0</v>
      </c>
      <c r="H97" s="32"/>
      <c r="I97" s="32"/>
      <c r="J97" s="32">
        <f>_xlfn.XLOOKUP(B97,CPU_Formula!A:A,CPU_Formula!I:I)</f>
        <v>0</v>
      </c>
      <c r="K97" s="42" t="e">
        <f>INDEX(Input!$D$2:$AC$500,
       MATCH(B97, Input!$J$2:$J$500, 0),
       MATCH("Total Memory", Input!$D$1:$AC$1, 0))</f>
        <v>#N/A</v>
      </c>
      <c r="L97" s="42" t="e">
        <f>INDEX(Input!$D$2:$AC$500,
       MATCH(B97, Input!$J$2:$J$500, 0),
       MATCH("Memory Type", Input!$D$1:$AC$1, 0))</f>
        <v>#N/A</v>
      </c>
      <c r="M97" s="42" t="str" cm="1">
        <f t="array" ref="M97">IFERROR(_xlfn.FILTERXML("&lt;t&gt;&lt;s&gt;" &amp; SUBSTITUTE(L97," / ","&lt;/s&gt;&lt;s&gt;") &amp; "&lt;/s&gt;&lt;/t&gt;","(//s[contains(.,'DDR')])[1]"),"")</f>
        <v/>
      </c>
      <c r="N97" s="32" t="e">
        <f t="shared" si="5"/>
        <v>#N/A</v>
      </c>
      <c r="O97" s="42" t="e">
        <f>INDEX(Input!$D$2:$AC$500,
       MATCH(B97, Input!$J$2:$J$500, 0),
       MATCH("Disk Interface Type", Input!$D$1:$AC$1, 0))</f>
        <v>#N/A</v>
      </c>
      <c r="P97" s="42" t="str" cm="1">
        <f t="array" ref="P97">IFERROR(_xlfn.TEXTJOIN(", ", TRUE, _xlfn._xlws.FILTER(
    INDEX(Input!$D$2:$AC$500,,MATCH("Disk Capacity",Input!$D$1:$AC$1,0)),
    Input!$J$2:$J$500=B97
)), "")</f>
        <v/>
      </c>
      <c r="Q97" s="32" t="e">
        <f t="shared" si="4"/>
        <v>#N/A</v>
      </c>
      <c r="R97" s="42" t="e">
        <f>_xlfn.LET(_xlpm.Result,INDEX(Input!$D$2:$AC$500,
       MATCH(B97, Input!$J$2:$J$500, 0),
       MATCH("Capacity", Input!$D$1:$AC$1, 0)),IF(_xlpm.Result="","",_xlpm.Result))</f>
        <v>#N/A</v>
      </c>
      <c r="S97" s="42" t="e" cm="1">
        <f t="array" ref="S97">_xlfn.TEXTSPLIT(R97," / ", ,TRUE,0,)</f>
        <v>#N/A</v>
      </c>
      <c r="T97" s="42"/>
      <c r="U97" s="42" t="str" cm="1">
        <f t="array" ref="U97">IFERROR(_xlfn.IFS(
S97="","",
--S97&lt;55,"Battery Defect",
--S97&lt;=69,"Battery D",
--S97&lt;=80,"Battery C",
--S97&gt;80,""
),"")</f>
        <v/>
      </c>
      <c r="V97" s="42" t="str" cm="1">
        <f t="array" ref="V97">IFERROR(_xlfn.IFS(
T97="","",
--T97&lt;55,"Battery Defect",
--T97&lt;=69,"Battery D",
--T97&lt;=80,"Battery C",
--T97&gt;80,""
),"")</f>
        <v/>
      </c>
      <c r="W97" s="42" t="str" cm="1">
        <f t="array" ref="W97:AD97">IFERROR(IF(_xlfn.XLOOKUP(B97,Input!J:J,Input!N:U)=0,"",
          _xlfn.XLOOKUP(B97,Input!J:J,Input!N:U)),"")</f>
        <v/>
      </c>
      <c r="X97" s="42" t="str">
        <v/>
      </c>
      <c r="Y97" s="42" t="str">
        <v/>
      </c>
      <c r="Z97" s="42" t="str">
        <v/>
      </c>
      <c r="AA97" s="42" t="str">
        <v/>
      </c>
      <c r="AB97" s="42" t="str">
        <v/>
      </c>
      <c r="AC97" s="42" t="str">
        <v/>
      </c>
      <c r="AD97" s="42" t="str">
        <v/>
      </c>
      <c r="AE97" s="32" t="str">
        <f t="shared" si="3"/>
        <v/>
      </c>
      <c r="AF97" s="32" t="str">
        <f>_xlfn.XLOOKUP(B:B,Disk_Pivot!G:G,Disk_Pivot!I:I)</f>
        <v>Yes x2</v>
      </c>
      <c r="AG97" s="32" t="str">
        <f>_xlfn.XLOOKUP(B97,Disk_Pivot!G:G,Disk_Pivot!N:N)</f>
        <v>Pass, Fail</v>
      </c>
      <c r="AH97" s="32"/>
      <c r="AI97" s="32"/>
      <c r="AJ97" s="32"/>
      <c r="AK97" s="32"/>
      <c r="AL97" s="32"/>
      <c r="AM97" s="32"/>
    </row>
    <row r="98" spans="1:39">
      <c r="A98" s="32" t="str">
        <f>_xlfn.XLOOKUP(B98,Input!J:J,Input!G:G)&amp;""</f>
        <v/>
      </c>
      <c r="B98" s="32"/>
      <c r="C98" s="32" t="str">
        <f>_xlfn.XLOOKUP(B98,Input!J:J,Input!H:H)&amp;""</f>
        <v/>
      </c>
      <c r="D98" s="42">
        <f>_xlfn.XLOOKUP(B98,Input!J:J,Input!F:F)</f>
        <v>0</v>
      </c>
      <c r="E98" s="32">
        <f>_xlfn.XLOOKUP(D98,Models!H:H,Models!G:G,D98)</f>
        <v>0</v>
      </c>
      <c r="F98" s="32">
        <f>_xlfn.XLOOKUP(B98,Input!J:J,Input!E:E)</f>
        <v>0</v>
      </c>
      <c r="G98" s="32">
        <f>IF(F98="LENOVO",_xlfn.XLOOKUP(B98,Input!J:J,Input!K:K),_xlfn.XLOOKUP(B98,Input!J:J,Input!L:L))</f>
        <v>0</v>
      </c>
      <c r="H98" s="32"/>
      <c r="I98" s="32"/>
      <c r="J98" s="32">
        <f>_xlfn.XLOOKUP(B98,CPU_Formula!A:A,CPU_Formula!I:I)</f>
        <v>0</v>
      </c>
      <c r="K98" s="42" t="e">
        <f>INDEX(Input!$D$2:$AC$500,
       MATCH(B98, Input!$J$2:$J$500, 0),
       MATCH("Total Memory", Input!$D$1:$AC$1, 0))</f>
        <v>#N/A</v>
      </c>
      <c r="L98" s="42" t="e">
        <f>INDEX(Input!$D$2:$AC$500,
       MATCH(B98, Input!$J$2:$J$500, 0),
       MATCH("Memory Type", Input!$D$1:$AC$1, 0))</f>
        <v>#N/A</v>
      </c>
      <c r="M98" s="42" t="str" cm="1">
        <f t="array" ref="M98">IFERROR(_xlfn.FILTERXML("&lt;t&gt;&lt;s&gt;" &amp; SUBSTITUTE(L98," / ","&lt;/s&gt;&lt;s&gt;") &amp; "&lt;/s&gt;&lt;/t&gt;","(//s[contains(.,'DDR')])[1]"),"")</f>
        <v/>
      </c>
      <c r="N98" s="32" t="e">
        <f t="shared" si="5"/>
        <v>#N/A</v>
      </c>
      <c r="O98" s="42" t="e">
        <f>INDEX(Input!$D$2:$AC$500,
       MATCH(B98, Input!$J$2:$J$500, 0),
       MATCH("Disk Interface Type", Input!$D$1:$AC$1, 0))</f>
        <v>#N/A</v>
      </c>
      <c r="P98" s="42" t="str" cm="1">
        <f t="array" ref="P98">IFERROR(_xlfn.TEXTJOIN(", ", TRUE, _xlfn._xlws.FILTER(
    INDEX(Input!$D$2:$AC$500,,MATCH("Disk Capacity",Input!$D$1:$AC$1,0)),
    Input!$J$2:$J$500=B98
)), "")</f>
        <v/>
      </c>
      <c r="Q98" s="32" t="e">
        <f t="shared" si="4"/>
        <v>#N/A</v>
      </c>
      <c r="R98" s="42" t="e">
        <f>_xlfn.LET(_xlpm.Result,INDEX(Input!$D$2:$AC$500,
       MATCH(B98, Input!$J$2:$J$500, 0),
       MATCH("Capacity", Input!$D$1:$AC$1, 0)),IF(_xlpm.Result="","",_xlpm.Result))</f>
        <v>#N/A</v>
      </c>
      <c r="S98" s="42" t="e" cm="1">
        <f t="array" ref="S98">_xlfn.TEXTSPLIT(R98," / ", ,TRUE,0,)</f>
        <v>#N/A</v>
      </c>
      <c r="T98" s="42"/>
      <c r="U98" s="42" t="str" cm="1">
        <f t="array" ref="U98">IFERROR(_xlfn.IFS(
S98="","",
--S98&lt;55,"Battery Defect",
--S98&lt;=69,"Battery D",
--S98&lt;=80,"Battery C",
--S98&gt;80,""
),"")</f>
        <v/>
      </c>
      <c r="V98" s="42" t="str" cm="1">
        <f t="array" ref="V98">IFERROR(_xlfn.IFS(
T98="","",
--T98&lt;55,"Battery Defect",
--T98&lt;=69,"Battery D",
--T98&lt;=80,"Battery C",
--T98&gt;80,""
),"")</f>
        <v/>
      </c>
      <c r="W98" s="42" t="str" cm="1">
        <f t="array" ref="W98:AD98">IFERROR(IF(_xlfn.XLOOKUP(B98,Input!J:J,Input!N:U)=0,"",
          _xlfn.XLOOKUP(B98,Input!J:J,Input!N:U)),"")</f>
        <v/>
      </c>
      <c r="X98" s="42" t="str">
        <v/>
      </c>
      <c r="Y98" s="42" t="str">
        <v/>
      </c>
      <c r="Z98" s="42" t="str">
        <v/>
      </c>
      <c r="AA98" s="42" t="str">
        <v/>
      </c>
      <c r="AB98" s="42" t="str">
        <v/>
      </c>
      <c r="AC98" s="42" t="str">
        <v/>
      </c>
      <c r="AD98" s="42" t="str">
        <v/>
      </c>
      <c r="AE98" s="32" t="str">
        <f t="shared" si="3"/>
        <v/>
      </c>
      <c r="AF98" s="32" t="str">
        <f>_xlfn.XLOOKUP(B:B,Disk_Pivot!G:G,Disk_Pivot!I:I)</f>
        <v>Yes x2</v>
      </c>
      <c r="AG98" s="32" t="str">
        <f>_xlfn.XLOOKUP(B98,Disk_Pivot!G:G,Disk_Pivot!N:N)</f>
        <v>Pass, Fail</v>
      </c>
      <c r="AH98" s="32"/>
      <c r="AI98" s="32"/>
      <c r="AJ98" s="32"/>
      <c r="AK98" s="32"/>
      <c r="AL98" s="32"/>
      <c r="AM98" s="32"/>
    </row>
    <row r="99" spans="1:39">
      <c r="A99" s="32" t="str">
        <f>_xlfn.XLOOKUP(B99,Input!J:J,Input!G:G)&amp;""</f>
        <v/>
      </c>
      <c r="B99" s="32"/>
      <c r="C99" s="32" t="str">
        <f>_xlfn.XLOOKUP(B99,Input!J:J,Input!H:H)&amp;""</f>
        <v/>
      </c>
      <c r="D99" s="42">
        <f>_xlfn.XLOOKUP(B99,Input!J:J,Input!F:F)</f>
        <v>0</v>
      </c>
      <c r="E99" s="32">
        <f>_xlfn.XLOOKUP(D99,Models!H:H,Models!G:G,D99)</f>
        <v>0</v>
      </c>
      <c r="F99" s="32">
        <f>_xlfn.XLOOKUP(B99,Input!J:J,Input!E:E)</f>
        <v>0</v>
      </c>
      <c r="G99" s="32">
        <f>IF(F99="LENOVO",_xlfn.XLOOKUP(B99,Input!J:J,Input!K:K),_xlfn.XLOOKUP(B99,Input!J:J,Input!L:L))</f>
        <v>0</v>
      </c>
      <c r="H99" s="32"/>
      <c r="I99" s="32"/>
      <c r="J99" s="32">
        <f>_xlfn.XLOOKUP(B99,CPU_Formula!A:A,CPU_Formula!I:I)</f>
        <v>0</v>
      </c>
      <c r="K99" s="42" t="e">
        <f>INDEX(Input!$D$2:$AC$500,
       MATCH(B99, Input!$J$2:$J$500, 0),
       MATCH("Total Memory", Input!$D$1:$AC$1, 0))</f>
        <v>#N/A</v>
      </c>
      <c r="L99" s="42" t="e">
        <f>INDEX(Input!$D$2:$AC$500,
       MATCH(B99, Input!$J$2:$J$500, 0),
       MATCH("Memory Type", Input!$D$1:$AC$1, 0))</f>
        <v>#N/A</v>
      </c>
      <c r="M99" s="42" t="str" cm="1">
        <f t="array" ref="M99">IFERROR(_xlfn.FILTERXML("&lt;t&gt;&lt;s&gt;" &amp; SUBSTITUTE(L99," / ","&lt;/s&gt;&lt;s&gt;") &amp; "&lt;/s&gt;&lt;/t&gt;","(//s[contains(.,'DDR')])[1]"),"")</f>
        <v/>
      </c>
      <c r="N99" s="32" t="e">
        <f t="shared" si="5"/>
        <v>#N/A</v>
      </c>
      <c r="O99" s="42" t="e">
        <f>INDEX(Input!$D$2:$AC$500,
       MATCH(B99, Input!$J$2:$J$500, 0),
       MATCH("Disk Interface Type", Input!$D$1:$AC$1, 0))</f>
        <v>#N/A</v>
      </c>
      <c r="P99" s="42" t="str" cm="1">
        <f t="array" ref="P99">IFERROR(_xlfn.TEXTJOIN(", ", TRUE, _xlfn._xlws.FILTER(
    INDEX(Input!$D$2:$AC$500,,MATCH("Disk Capacity",Input!$D$1:$AC$1,0)),
    Input!$J$2:$J$500=B99
)), "")</f>
        <v/>
      </c>
      <c r="Q99" s="32" t="e">
        <f t="shared" si="4"/>
        <v>#N/A</v>
      </c>
      <c r="R99" s="42" t="e">
        <f>_xlfn.LET(_xlpm.Result,INDEX(Input!$D$2:$AC$500,
       MATCH(B99, Input!$J$2:$J$500, 0),
       MATCH("Capacity", Input!$D$1:$AC$1, 0)),IF(_xlpm.Result="","",_xlpm.Result))</f>
        <v>#N/A</v>
      </c>
      <c r="S99" s="42" t="e" cm="1">
        <f t="array" ref="S99">_xlfn.TEXTSPLIT(R99," / ", ,TRUE,0,)</f>
        <v>#N/A</v>
      </c>
      <c r="T99" s="42"/>
      <c r="U99" s="42" t="str" cm="1">
        <f t="array" ref="U99">IFERROR(_xlfn.IFS(
S99="","",
--S99&lt;55,"Battery Defect",
--S99&lt;=69,"Battery D",
--S99&lt;=80,"Battery C",
--S99&gt;80,""
),"")</f>
        <v/>
      </c>
      <c r="V99" s="42" t="str" cm="1">
        <f t="array" ref="V99">IFERROR(_xlfn.IFS(
T99="","",
--T99&lt;55,"Battery Defect",
--T99&lt;=69,"Battery D",
--T99&lt;=80,"Battery C",
--T99&gt;80,""
),"")</f>
        <v/>
      </c>
      <c r="W99" s="42" t="str" cm="1">
        <f t="array" ref="W99:AD99">IFERROR(IF(_xlfn.XLOOKUP(B99,Input!J:J,Input!N:U)=0,"",
          _xlfn.XLOOKUP(B99,Input!J:J,Input!N:U)),"")</f>
        <v/>
      </c>
      <c r="X99" s="42" t="str">
        <v/>
      </c>
      <c r="Y99" s="42" t="str">
        <v/>
      </c>
      <c r="Z99" s="42" t="str">
        <v/>
      </c>
      <c r="AA99" s="42" t="str">
        <v/>
      </c>
      <c r="AB99" s="42" t="str">
        <v/>
      </c>
      <c r="AC99" s="42" t="str">
        <v/>
      </c>
      <c r="AD99" s="42" t="str">
        <v/>
      </c>
      <c r="AE99" s="32" t="str">
        <f t="shared" si="3"/>
        <v/>
      </c>
      <c r="AF99" s="32" t="str">
        <f>_xlfn.XLOOKUP(B:B,Disk_Pivot!G:G,Disk_Pivot!I:I)</f>
        <v>Yes x2</v>
      </c>
      <c r="AG99" s="32" t="str">
        <f>_xlfn.XLOOKUP(B99,Disk_Pivot!G:G,Disk_Pivot!N:N)</f>
        <v>Pass, Fail</v>
      </c>
      <c r="AH99" s="32"/>
      <c r="AI99" s="32"/>
      <c r="AJ99" s="32"/>
      <c r="AK99" s="32"/>
      <c r="AL99" s="32"/>
      <c r="AM99" s="32"/>
    </row>
    <row r="100" spans="1:39">
      <c r="A100" s="32" t="str">
        <f>_xlfn.XLOOKUP(B100,Input!J:J,Input!G:G)&amp;""</f>
        <v/>
      </c>
      <c r="B100" s="32"/>
      <c r="C100" s="32" t="str">
        <f>_xlfn.XLOOKUP(B100,Input!J:J,Input!H:H)&amp;""</f>
        <v/>
      </c>
      <c r="D100" s="42">
        <f>_xlfn.XLOOKUP(B100,Input!J:J,Input!F:F)</f>
        <v>0</v>
      </c>
      <c r="E100" s="32">
        <f>_xlfn.XLOOKUP(D100,Models!H:H,Models!G:G,D100)</f>
        <v>0</v>
      </c>
      <c r="F100" s="32">
        <f>_xlfn.XLOOKUP(B100,Input!J:J,Input!E:E)</f>
        <v>0</v>
      </c>
      <c r="G100" s="32">
        <f>IF(F100="LENOVO",_xlfn.XLOOKUP(B100,Input!J:J,Input!K:K),_xlfn.XLOOKUP(B100,Input!J:J,Input!L:L))</f>
        <v>0</v>
      </c>
      <c r="H100" s="32"/>
      <c r="I100" s="32"/>
      <c r="J100" s="32">
        <f>_xlfn.XLOOKUP(B100,CPU_Formula!A:A,CPU_Formula!I:I)</f>
        <v>0</v>
      </c>
      <c r="K100" s="42" t="e">
        <f>INDEX(Input!$D$2:$AC$500,
       MATCH(B100, Input!$J$2:$J$500, 0),
       MATCH("Total Memory", Input!$D$1:$AC$1, 0))</f>
        <v>#N/A</v>
      </c>
      <c r="L100" s="42" t="e">
        <f>INDEX(Input!$D$2:$AC$500,
       MATCH(B100, Input!$J$2:$J$500, 0),
       MATCH("Memory Type", Input!$D$1:$AC$1, 0))</f>
        <v>#N/A</v>
      </c>
      <c r="M100" s="42" t="str" cm="1">
        <f t="array" ref="M100">IFERROR(_xlfn.FILTERXML("&lt;t&gt;&lt;s&gt;" &amp; SUBSTITUTE(L100," / ","&lt;/s&gt;&lt;s&gt;") &amp; "&lt;/s&gt;&lt;/t&gt;","(//s[contains(.,'DDR')])[1]"),"")</f>
        <v/>
      </c>
      <c r="N100" s="32" t="e">
        <f t="shared" si="5"/>
        <v>#N/A</v>
      </c>
      <c r="O100" s="42" t="e">
        <f>INDEX(Input!$D$2:$AC$500,
       MATCH(B100, Input!$J$2:$J$500, 0),
       MATCH("Disk Interface Type", Input!$D$1:$AC$1, 0))</f>
        <v>#N/A</v>
      </c>
      <c r="P100" s="42" t="str" cm="1">
        <f t="array" ref="P100">IFERROR(_xlfn.TEXTJOIN(", ", TRUE, _xlfn._xlws.FILTER(
    INDEX(Input!$D$2:$AC$500,,MATCH("Disk Capacity",Input!$D$1:$AC$1,0)),
    Input!$J$2:$J$500=B100
)), "")</f>
        <v/>
      </c>
      <c r="Q100" s="32" t="e">
        <f t="shared" si="4"/>
        <v>#N/A</v>
      </c>
      <c r="R100" s="42" t="e">
        <f>_xlfn.LET(_xlpm.Result,INDEX(Input!$D$2:$AC$500,
       MATCH(B100, Input!$J$2:$J$500, 0),
       MATCH("Capacity", Input!$D$1:$AC$1, 0)),IF(_xlpm.Result="","",_xlpm.Result))</f>
        <v>#N/A</v>
      </c>
      <c r="S100" s="42" t="e" cm="1">
        <f t="array" ref="S100">_xlfn.TEXTSPLIT(R100," / ", ,TRUE,0,)</f>
        <v>#N/A</v>
      </c>
      <c r="T100" s="42"/>
      <c r="U100" s="42" t="str" cm="1">
        <f t="array" ref="U100">IFERROR(_xlfn.IFS(
S100="","",
--S100&lt;55,"Battery Defect",
--S100&lt;=69,"Battery D",
--S100&lt;=80,"Battery C",
--S100&gt;80,""
),"")</f>
        <v/>
      </c>
      <c r="V100" s="42" t="str" cm="1">
        <f t="array" ref="V100">IFERROR(_xlfn.IFS(
T100="","",
--T100&lt;55,"Battery Defect",
--T100&lt;=69,"Battery D",
--T100&lt;=80,"Battery C",
--T100&gt;80,""
),"")</f>
        <v/>
      </c>
      <c r="W100" s="42" t="str" cm="1">
        <f t="array" ref="W100:AD100">IFERROR(IF(_xlfn.XLOOKUP(B100,Input!J:J,Input!N:U)=0,"",
          _xlfn.XLOOKUP(B100,Input!J:J,Input!N:U)),"")</f>
        <v/>
      </c>
      <c r="X100" s="42" t="str">
        <v/>
      </c>
      <c r="Y100" s="42" t="str">
        <v/>
      </c>
      <c r="Z100" s="42" t="str">
        <v/>
      </c>
      <c r="AA100" s="42" t="str">
        <v/>
      </c>
      <c r="AB100" s="42" t="str">
        <v/>
      </c>
      <c r="AC100" s="42" t="str">
        <v/>
      </c>
      <c r="AD100" s="42" t="str">
        <v/>
      </c>
      <c r="AE100" s="32" t="str">
        <f t="shared" si="3"/>
        <v/>
      </c>
      <c r="AF100" s="32" t="str">
        <f>_xlfn.XLOOKUP(B:B,Disk_Pivot!G:G,Disk_Pivot!I:I)</f>
        <v>Yes x2</v>
      </c>
      <c r="AG100" s="32" t="str">
        <f>_xlfn.XLOOKUP(B100,Disk_Pivot!G:G,Disk_Pivot!N:N)</f>
        <v>Pass, Fail</v>
      </c>
      <c r="AH100" s="32"/>
      <c r="AI100" s="32"/>
      <c r="AJ100" s="32"/>
      <c r="AK100" s="32"/>
      <c r="AL100" s="32"/>
      <c r="AM100" s="32"/>
    </row>
    <row r="101" spans="1:39">
      <c r="A101" s="32" t="str">
        <f>_xlfn.XLOOKUP(B101,Input!J:J,Input!G:G)&amp;""</f>
        <v/>
      </c>
      <c r="B101" s="32"/>
      <c r="C101" s="32" t="str">
        <f>_xlfn.XLOOKUP(B101,Input!J:J,Input!H:H)&amp;""</f>
        <v/>
      </c>
      <c r="D101" s="42">
        <f>_xlfn.XLOOKUP(B101,Input!J:J,Input!F:F)</f>
        <v>0</v>
      </c>
      <c r="E101" s="32">
        <f>_xlfn.XLOOKUP(D101,Models!H:H,Models!G:G,D101)</f>
        <v>0</v>
      </c>
      <c r="F101" s="32">
        <f>_xlfn.XLOOKUP(B101,Input!J:J,Input!E:E)</f>
        <v>0</v>
      </c>
      <c r="G101" s="32">
        <f>IF(F101="LENOVO",_xlfn.XLOOKUP(B101,Input!J:J,Input!K:K),_xlfn.XLOOKUP(B101,Input!J:J,Input!L:L))</f>
        <v>0</v>
      </c>
      <c r="H101" s="32"/>
      <c r="I101" s="32"/>
      <c r="J101" s="32">
        <f>_xlfn.XLOOKUP(B101,CPU_Formula!A:A,CPU_Formula!I:I)</f>
        <v>0</v>
      </c>
      <c r="K101" s="42" t="e">
        <f>INDEX(Input!$D$2:$AC$500,
       MATCH(B101, Input!$J$2:$J$500, 0),
       MATCH("Total Memory", Input!$D$1:$AC$1, 0))</f>
        <v>#N/A</v>
      </c>
      <c r="L101" s="42" t="e">
        <f>INDEX(Input!$D$2:$AC$500,
       MATCH(B101, Input!$J$2:$J$500, 0),
       MATCH("Memory Type", Input!$D$1:$AC$1, 0))</f>
        <v>#N/A</v>
      </c>
      <c r="M101" s="42" t="str" cm="1">
        <f t="array" ref="M101">IFERROR(_xlfn.FILTERXML("&lt;t&gt;&lt;s&gt;" &amp; SUBSTITUTE(L101," / ","&lt;/s&gt;&lt;s&gt;") &amp; "&lt;/s&gt;&lt;/t&gt;","(//s[contains(.,'DDR')])[1]"),"")</f>
        <v/>
      </c>
      <c r="N101" s="32" t="e">
        <f t="shared" si="5"/>
        <v>#N/A</v>
      </c>
      <c r="O101" s="42" t="e">
        <f>INDEX(Input!$D$2:$AC$500,
       MATCH(B101, Input!$J$2:$J$500, 0),
       MATCH("Disk Interface Type", Input!$D$1:$AC$1, 0))</f>
        <v>#N/A</v>
      </c>
      <c r="P101" s="42" t="str" cm="1">
        <f t="array" ref="P101">IFERROR(_xlfn.TEXTJOIN(", ", TRUE, _xlfn._xlws.FILTER(
    INDEX(Input!$D$2:$AC$500,,MATCH("Disk Capacity",Input!$D$1:$AC$1,0)),
    Input!$J$2:$J$500=B101
)), "")</f>
        <v/>
      </c>
      <c r="Q101" s="32" t="e">
        <f t="shared" si="4"/>
        <v>#N/A</v>
      </c>
      <c r="R101" s="42" t="e">
        <f>_xlfn.LET(_xlpm.Result,INDEX(Input!$D$2:$AC$500,
       MATCH(B101, Input!$J$2:$J$500, 0),
       MATCH("Capacity", Input!$D$1:$AC$1, 0)),IF(_xlpm.Result="","",_xlpm.Result))</f>
        <v>#N/A</v>
      </c>
      <c r="S101" s="42" t="e" cm="1">
        <f t="array" ref="S101">_xlfn.TEXTSPLIT(R101," / ", ,TRUE,0,)</f>
        <v>#N/A</v>
      </c>
      <c r="T101" s="42"/>
      <c r="U101" s="42" t="str" cm="1">
        <f t="array" ref="U101">IFERROR(_xlfn.IFS(
S101="","",
--S101&lt;55,"Battery Defect",
--S101&lt;=69,"Battery D",
--S101&lt;=80,"Battery C",
--S101&gt;80,""
),"")</f>
        <v/>
      </c>
      <c r="V101" s="42" t="str" cm="1">
        <f t="array" ref="V101">IFERROR(_xlfn.IFS(
T101="","",
--T101&lt;55,"Battery Defect",
--T101&lt;=69,"Battery D",
--T101&lt;=80,"Battery C",
--T101&gt;80,""
),"")</f>
        <v/>
      </c>
      <c r="W101" s="42" t="str" cm="1">
        <f t="array" ref="W101:AD101">IFERROR(IF(_xlfn.XLOOKUP(B101,Input!J:J,Input!N:U)=0,"",
          _xlfn.XLOOKUP(B101,Input!J:J,Input!N:U)),"")</f>
        <v/>
      </c>
      <c r="X101" s="42" t="str">
        <v/>
      </c>
      <c r="Y101" s="42" t="str">
        <v/>
      </c>
      <c r="Z101" s="42" t="str">
        <v/>
      </c>
      <c r="AA101" s="42" t="str">
        <v/>
      </c>
      <c r="AB101" s="42" t="str">
        <v/>
      </c>
      <c r="AC101" s="42" t="str">
        <v/>
      </c>
      <c r="AD101" s="42" t="str">
        <v/>
      </c>
      <c r="AE101" s="32" t="str">
        <f t="shared" si="3"/>
        <v/>
      </c>
      <c r="AF101" s="32" t="str">
        <f>_xlfn.XLOOKUP(B:B,Disk_Pivot!G:G,Disk_Pivot!I:I)</f>
        <v>Yes x2</v>
      </c>
      <c r="AG101" s="32" t="str">
        <f>_xlfn.XLOOKUP(B101,Disk_Pivot!G:G,Disk_Pivot!N:N)</f>
        <v>Pass, Fail</v>
      </c>
      <c r="AH101" s="32"/>
      <c r="AI101" s="32"/>
      <c r="AJ101" s="32"/>
      <c r="AK101" s="32"/>
      <c r="AL101" s="32"/>
      <c r="AM101" s="32"/>
    </row>
    <row r="102" spans="1:39">
      <c r="A102" s="32" t="str">
        <f>_xlfn.XLOOKUP(B102,Input!J:J,Input!G:G)&amp;""</f>
        <v/>
      </c>
      <c r="B102" s="32"/>
      <c r="C102" s="32" t="str">
        <f>_xlfn.XLOOKUP(B102,Input!J:J,Input!H:H)&amp;""</f>
        <v/>
      </c>
      <c r="D102" s="42">
        <f>_xlfn.XLOOKUP(B102,Input!J:J,Input!F:F)</f>
        <v>0</v>
      </c>
      <c r="E102" s="32">
        <f>_xlfn.XLOOKUP(D102,Models!H:H,Models!G:G,D102)</f>
        <v>0</v>
      </c>
      <c r="F102" s="32">
        <f>_xlfn.XLOOKUP(B102,Input!J:J,Input!E:E)</f>
        <v>0</v>
      </c>
      <c r="G102" s="32">
        <f>IF(F102="LENOVO",_xlfn.XLOOKUP(B102,Input!J:J,Input!K:K),_xlfn.XLOOKUP(B102,Input!J:J,Input!L:L))</f>
        <v>0</v>
      </c>
      <c r="H102" s="32"/>
      <c r="I102" s="32"/>
      <c r="J102" s="32">
        <f>_xlfn.XLOOKUP(B102,CPU_Formula!A:A,CPU_Formula!I:I)</f>
        <v>0</v>
      </c>
      <c r="K102" s="42" t="e">
        <f>INDEX(Input!$D$2:$AC$500,
       MATCH(B102, Input!$J$2:$J$500, 0),
       MATCH("Total Memory", Input!$D$1:$AC$1, 0))</f>
        <v>#N/A</v>
      </c>
      <c r="L102" s="42" t="e">
        <f>INDEX(Input!$D$2:$AC$500,
       MATCH(B102, Input!$J$2:$J$500, 0),
       MATCH("Memory Type", Input!$D$1:$AC$1, 0))</f>
        <v>#N/A</v>
      </c>
      <c r="M102" s="42" t="str" cm="1">
        <f t="array" ref="M102">IFERROR(_xlfn.FILTERXML("&lt;t&gt;&lt;s&gt;" &amp; SUBSTITUTE(L102," / ","&lt;/s&gt;&lt;s&gt;") &amp; "&lt;/s&gt;&lt;/t&gt;","(//s[contains(.,'DDR')])[1]"),"")</f>
        <v/>
      </c>
      <c r="N102" s="32" t="e">
        <f t="shared" si="5"/>
        <v>#N/A</v>
      </c>
      <c r="O102" s="42" t="e">
        <f>INDEX(Input!$D$2:$AC$500,
       MATCH(B102, Input!$J$2:$J$500, 0),
       MATCH("Disk Interface Type", Input!$D$1:$AC$1, 0))</f>
        <v>#N/A</v>
      </c>
      <c r="P102" s="42" t="str" cm="1">
        <f t="array" ref="P102">IFERROR(_xlfn.TEXTJOIN(", ", TRUE, _xlfn._xlws.FILTER(
    INDEX(Input!$D$2:$AC$500,,MATCH("Disk Capacity",Input!$D$1:$AC$1,0)),
    Input!$J$2:$J$500=B102
)), "")</f>
        <v/>
      </c>
      <c r="Q102" s="32" t="e">
        <f t="shared" si="4"/>
        <v>#N/A</v>
      </c>
      <c r="R102" s="42" t="e">
        <f>_xlfn.LET(_xlpm.Result,INDEX(Input!$D$2:$AC$500,
       MATCH(B102, Input!$J$2:$J$500, 0),
       MATCH("Capacity", Input!$D$1:$AC$1, 0)),IF(_xlpm.Result="","",_xlpm.Result))</f>
        <v>#N/A</v>
      </c>
      <c r="S102" s="42" t="e" cm="1">
        <f t="array" ref="S102">_xlfn.TEXTSPLIT(R102," / ", ,TRUE,0,)</f>
        <v>#N/A</v>
      </c>
      <c r="T102" s="42"/>
      <c r="U102" s="42" t="str" cm="1">
        <f t="array" ref="U102">IFERROR(_xlfn.IFS(
S102="","",
--S102&lt;55,"Battery Defect",
--S102&lt;=69,"Battery D",
--S102&lt;=80,"Battery C",
--S102&gt;80,""
),"")</f>
        <v/>
      </c>
      <c r="V102" s="42" t="str" cm="1">
        <f t="array" ref="V102">IFERROR(_xlfn.IFS(
T102="","",
--T102&lt;55,"Battery Defect",
--T102&lt;=69,"Battery D",
--T102&lt;=80,"Battery C",
--T102&gt;80,""
),"")</f>
        <v/>
      </c>
      <c r="W102" s="42" t="str" cm="1">
        <f t="array" ref="W102:AD102">IFERROR(IF(_xlfn.XLOOKUP(B102,Input!J:J,Input!N:U)=0,"",
          _xlfn.XLOOKUP(B102,Input!J:J,Input!N:U)),"")</f>
        <v/>
      </c>
      <c r="X102" s="42" t="str">
        <v/>
      </c>
      <c r="Y102" s="42" t="str">
        <v/>
      </c>
      <c r="Z102" s="42" t="str">
        <v/>
      </c>
      <c r="AA102" s="42" t="str">
        <v/>
      </c>
      <c r="AB102" s="42" t="str">
        <v/>
      </c>
      <c r="AC102" s="42" t="str">
        <v/>
      </c>
      <c r="AD102" s="42" t="str">
        <v/>
      </c>
      <c r="AE102" s="32" t="str">
        <f t="shared" si="3"/>
        <v/>
      </c>
      <c r="AF102" s="32" t="str">
        <f>_xlfn.XLOOKUP(B:B,Disk_Pivot!G:G,Disk_Pivot!I:I)</f>
        <v>Yes x2</v>
      </c>
      <c r="AG102" s="32" t="str">
        <f>_xlfn.XLOOKUP(B102,Disk_Pivot!G:G,Disk_Pivot!N:N)</f>
        <v>Pass, Fail</v>
      </c>
      <c r="AH102" s="32"/>
      <c r="AI102" s="32"/>
      <c r="AJ102" s="32"/>
      <c r="AK102" s="32"/>
      <c r="AL102" s="32"/>
      <c r="AM102" s="32"/>
    </row>
    <row r="103" spans="1:39">
      <c r="A103" s="32" t="str">
        <f>_xlfn.XLOOKUP(B103,Input!J:J,Input!G:G)&amp;""</f>
        <v/>
      </c>
      <c r="B103" s="32"/>
      <c r="C103" s="32" t="str">
        <f>_xlfn.XLOOKUP(B103,Input!J:J,Input!H:H)&amp;""</f>
        <v/>
      </c>
      <c r="D103" s="42">
        <f>_xlfn.XLOOKUP(B103,Input!J:J,Input!F:F)</f>
        <v>0</v>
      </c>
      <c r="E103" s="32">
        <f>_xlfn.XLOOKUP(D103,Models!H:H,Models!G:G,D103)</f>
        <v>0</v>
      </c>
      <c r="F103" s="32">
        <f>_xlfn.XLOOKUP(B103,Input!J:J,Input!E:E)</f>
        <v>0</v>
      </c>
      <c r="G103" s="32">
        <f>IF(F103="LENOVO",_xlfn.XLOOKUP(B103,Input!J:J,Input!K:K),_xlfn.XLOOKUP(B103,Input!J:J,Input!L:L))</f>
        <v>0</v>
      </c>
      <c r="H103" s="32"/>
      <c r="I103" s="32"/>
      <c r="J103" s="32">
        <f>_xlfn.XLOOKUP(B103,CPU_Formula!A:A,CPU_Formula!I:I)</f>
        <v>0</v>
      </c>
      <c r="K103" s="42" t="e">
        <f>INDEX(Input!$D$2:$AC$500,
       MATCH(B103, Input!$J$2:$J$500, 0),
       MATCH("Total Memory", Input!$D$1:$AC$1, 0))</f>
        <v>#N/A</v>
      </c>
      <c r="L103" s="42" t="e">
        <f>INDEX(Input!$D$2:$AC$500,
       MATCH(B103, Input!$J$2:$J$500, 0),
       MATCH("Memory Type", Input!$D$1:$AC$1, 0))</f>
        <v>#N/A</v>
      </c>
      <c r="M103" s="42" t="str" cm="1">
        <f t="array" ref="M103">IFERROR(_xlfn.FILTERXML("&lt;t&gt;&lt;s&gt;" &amp; SUBSTITUTE(L103," / ","&lt;/s&gt;&lt;s&gt;") &amp; "&lt;/s&gt;&lt;/t&gt;","(//s[contains(.,'DDR')])[1]"),"")</f>
        <v/>
      </c>
      <c r="N103" s="32" t="e">
        <f t="shared" si="5"/>
        <v>#N/A</v>
      </c>
      <c r="O103" s="42" t="e">
        <f>INDEX(Input!$D$2:$AC$500,
       MATCH(B103, Input!$J$2:$J$500, 0),
       MATCH("Disk Interface Type", Input!$D$1:$AC$1, 0))</f>
        <v>#N/A</v>
      </c>
      <c r="P103" s="42" t="str" cm="1">
        <f t="array" ref="P103">IFERROR(_xlfn.TEXTJOIN(", ", TRUE, _xlfn._xlws.FILTER(
    INDEX(Input!$D$2:$AC$500,,MATCH("Disk Capacity",Input!$D$1:$AC$1,0)),
    Input!$J$2:$J$500=B103
)), "")</f>
        <v/>
      </c>
      <c r="Q103" s="32" t="e">
        <f t="shared" si="4"/>
        <v>#N/A</v>
      </c>
      <c r="R103" s="42" t="e">
        <f>_xlfn.LET(_xlpm.Result,INDEX(Input!$D$2:$AC$500,
       MATCH(B103, Input!$J$2:$J$500, 0),
       MATCH("Capacity", Input!$D$1:$AC$1, 0)),IF(_xlpm.Result="","",_xlpm.Result))</f>
        <v>#N/A</v>
      </c>
      <c r="S103" s="42" t="e" cm="1">
        <f t="array" ref="S103">_xlfn.TEXTSPLIT(R103," / ", ,TRUE,0,)</f>
        <v>#N/A</v>
      </c>
      <c r="T103" s="42"/>
      <c r="U103" s="42" t="str" cm="1">
        <f t="array" ref="U103">IFERROR(_xlfn.IFS(
S103="","",
--S103&lt;55,"Battery Defect",
--S103&lt;=69,"Battery D",
--S103&lt;=80,"Battery C",
--S103&gt;80,""
),"")</f>
        <v/>
      </c>
      <c r="V103" s="42" t="str" cm="1">
        <f t="array" ref="V103">IFERROR(_xlfn.IFS(
T103="","",
--T103&lt;55,"Battery Defect",
--T103&lt;=69,"Battery D",
--T103&lt;=80,"Battery C",
--T103&gt;80,""
),"")</f>
        <v/>
      </c>
      <c r="W103" s="42" t="str" cm="1">
        <f t="array" ref="W103:AD103">IFERROR(IF(_xlfn.XLOOKUP(B103,Input!J:J,Input!N:U)=0,"",
          _xlfn.XLOOKUP(B103,Input!J:J,Input!N:U)),"")</f>
        <v/>
      </c>
      <c r="X103" s="42" t="str">
        <v/>
      </c>
      <c r="Y103" s="42" t="str">
        <v/>
      </c>
      <c r="Z103" s="42" t="str">
        <v/>
      </c>
      <c r="AA103" s="42" t="str">
        <v/>
      </c>
      <c r="AB103" s="42" t="str">
        <v/>
      </c>
      <c r="AC103" s="42" t="str">
        <v/>
      </c>
      <c r="AD103" s="42" t="str">
        <v/>
      </c>
      <c r="AE103" s="32" t="str">
        <f t="shared" si="3"/>
        <v/>
      </c>
      <c r="AF103" s="32" t="str">
        <f>_xlfn.XLOOKUP(B:B,Disk_Pivot!G:G,Disk_Pivot!I:I)</f>
        <v>Yes x2</v>
      </c>
      <c r="AG103" s="32" t="str">
        <f>_xlfn.XLOOKUP(B103,Disk_Pivot!G:G,Disk_Pivot!N:N)</f>
        <v>Pass, Fail</v>
      </c>
      <c r="AH103" s="32"/>
      <c r="AI103" s="32"/>
      <c r="AJ103" s="32"/>
      <c r="AK103" s="32"/>
      <c r="AL103" s="32"/>
      <c r="AM103" s="32"/>
    </row>
    <row r="104" spans="1:39">
      <c r="A104" s="32" t="str">
        <f>_xlfn.XLOOKUP(B104,Input!J:J,Input!G:G)&amp;""</f>
        <v/>
      </c>
      <c r="B104" s="32"/>
      <c r="C104" s="32" t="str">
        <f>_xlfn.XLOOKUP(B104,Input!J:J,Input!H:H)&amp;""</f>
        <v/>
      </c>
      <c r="D104" s="42">
        <f>_xlfn.XLOOKUP(B104,Input!J:J,Input!F:F)</f>
        <v>0</v>
      </c>
      <c r="E104" s="32">
        <f>_xlfn.XLOOKUP(D104,Models!H:H,Models!G:G,D104)</f>
        <v>0</v>
      </c>
      <c r="F104" s="32">
        <f>_xlfn.XLOOKUP(B104,Input!J:J,Input!E:E)</f>
        <v>0</v>
      </c>
      <c r="G104" s="32">
        <f>IF(F104="LENOVO",_xlfn.XLOOKUP(B104,Input!J:J,Input!K:K),_xlfn.XLOOKUP(B104,Input!J:J,Input!L:L))</f>
        <v>0</v>
      </c>
      <c r="H104" s="32"/>
      <c r="I104" s="32"/>
      <c r="J104" s="32">
        <f>_xlfn.XLOOKUP(B104,CPU_Formula!A:A,CPU_Formula!I:I)</f>
        <v>0</v>
      </c>
      <c r="K104" s="42" t="e">
        <f>INDEX(Input!$D$2:$AC$500,
       MATCH(B104, Input!$J$2:$J$500, 0),
       MATCH("Total Memory", Input!$D$1:$AC$1, 0))</f>
        <v>#N/A</v>
      </c>
      <c r="L104" s="42" t="e">
        <f>INDEX(Input!$D$2:$AC$500,
       MATCH(B104, Input!$J$2:$J$500, 0),
       MATCH("Memory Type", Input!$D$1:$AC$1, 0))</f>
        <v>#N/A</v>
      </c>
      <c r="M104" s="42" t="str" cm="1">
        <f t="array" ref="M104">IFERROR(_xlfn.FILTERXML("&lt;t&gt;&lt;s&gt;" &amp; SUBSTITUTE(L104," / ","&lt;/s&gt;&lt;s&gt;") &amp; "&lt;/s&gt;&lt;/t&gt;","(//s[contains(.,'DDR')])[1]"),"")</f>
        <v/>
      </c>
      <c r="N104" s="32" t="e">
        <f t="shared" si="5"/>
        <v>#N/A</v>
      </c>
      <c r="O104" s="42" t="e">
        <f>INDEX(Input!$D$2:$AC$500,
       MATCH(B104, Input!$J$2:$J$500, 0),
       MATCH("Disk Interface Type", Input!$D$1:$AC$1, 0))</f>
        <v>#N/A</v>
      </c>
      <c r="P104" s="42" t="str" cm="1">
        <f t="array" ref="P104">IFERROR(_xlfn.TEXTJOIN(", ", TRUE, _xlfn._xlws.FILTER(
    INDEX(Input!$D$2:$AC$500,,MATCH("Disk Capacity",Input!$D$1:$AC$1,0)),
    Input!$J$2:$J$500=B104
)), "")</f>
        <v/>
      </c>
      <c r="Q104" s="32" t="e">
        <f t="shared" si="4"/>
        <v>#N/A</v>
      </c>
      <c r="R104" s="42" t="e">
        <f>_xlfn.LET(_xlpm.Result,INDEX(Input!$D$2:$AC$500,
       MATCH(B104, Input!$J$2:$J$500, 0),
       MATCH("Capacity", Input!$D$1:$AC$1, 0)),IF(_xlpm.Result="","",_xlpm.Result))</f>
        <v>#N/A</v>
      </c>
      <c r="S104" s="42" t="e" cm="1">
        <f t="array" ref="S104">_xlfn.TEXTSPLIT(R104," / ", ,TRUE,0,)</f>
        <v>#N/A</v>
      </c>
      <c r="T104" s="42"/>
      <c r="U104" s="42" t="str" cm="1">
        <f t="array" ref="U104">IFERROR(_xlfn.IFS(
S104="","",
--S104&lt;55,"Battery Defect",
--S104&lt;=69,"Battery D",
--S104&lt;=80,"Battery C",
--S104&gt;80,""
),"")</f>
        <v/>
      </c>
      <c r="V104" s="42" t="str" cm="1">
        <f t="array" ref="V104">IFERROR(_xlfn.IFS(
T104="","",
--T104&lt;55,"Battery Defect",
--T104&lt;=69,"Battery D",
--T104&lt;=80,"Battery C",
--T104&gt;80,""
),"")</f>
        <v/>
      </c>
      <c r="W104" s="42" t="str" cm="1">
        <f t="array" ref="W104:AD104">IFERROR(IF(_xlfn.XLOOKUP(B104,Input!J:J,Input!N:U)=0,"",
          _xlfn.XLOOKUP(B104,Input!J:J,Input!N:U)),"")</f>
        <v/>
      </c>
      <c r="X104" s="42" t="str">
        <v/>
      </c>
      <c r="Y104" s="42" t="str">
        <v/>
      </c>
      <c r="Z104" s="42" t="str">
        <v/>
      </c>
      <c r="AA104" s="42" t="str">
        <v/>
      </c>
      <c r="AB104" s="42" t="str">
        <v/>
      </c>
      <c r="AC104" s="42" t="str">
        <v/>
      </c>
      <c r="AD104" s="42" t="str">
        <v/>
      </c>
      <c r="AE104" s="32" t="str">
        <f t="shared" si="3"/>
        <v/>
      </c>
      <c r="AF104" s="32" t="str">
        <f>_xlfn.XLOOKUP(B:B,Disk_Pivot!G:G,Disk_Pivot!I:I)</f>
        <v>Yes x2</v>
      </c>
      <c r="AG104" s="32" t="str">
        <f>_xlfn.XLOOKUP(B104,Disk_Pivot!G:G,Disk_Pivot!N:N)</f>
        <v>Pass, Fail</v>
      </c>
      <c r="AH104" s="32"/>
      <c r="AI104" s="32"/>
      <c r="AJ104" s="32"/>
      <c r="AK104" s="32"/>
      <c r="AL104" s="32"/>
      <c r="AM104" s="32"/>
    </row>
    <row r="105" spans="1:39">
      <c r="A105" s="32" t="str">
        <f>_xlfn.XLOOKUP(B105,Input!J:J,Input!G:G)&amp;""</f>
        <v/>
      </c>
      <c r="B105" s="32"/>
      <c r="C105" s="32" t="str">
        <f>_xlfn.XLOOKUP(B105,Input!J:J,Input!H:H)&amp;""</f>
        <v/>
      </c>
      <c r="D105" s="42">
        <f>_xlfn.XLOOKUP(B105,Input!J:J,Input!F:F)</f>
        <v>0</v>
      </c>
      <c r="E105" s="32">
        <f>_xlfn.XLOOKUP(D105,Models!H:H,Models!G:G,D105)</f>
        <v>0</v>
      </c>
      <c r="F105" s="32">
        <f>_xlfn.XLOOKUP(B105,Input!J:J,Input!E:E)</f>
        <v>0</v>
      </c>
      <c r="G105" s="32">
        <f>IF(F105="LENOVO",_xlfn.XLOOKUP(B105,Input!J:J,Input!K:K),_xlfn.XLOOKUP(B105,Input!J:J,Input!L:L))</f>
        <v>0</v>
      </c>
      <c r="H105" s="32"/>
      <c r="I105" s="32"/>
      <c r="J105" s="32">
        <f>_xlfn.XLOOKUP(B105,CPU_Formula!A:A,CPU_Formula!I:I)</f>
        <v>0</v>
      </c>
      <c r="K105" s="42" t="e">
        <f>INDEX(Input!$D$2:$AC$500,
       MATCH(B105, Input!$J$2:$J$500, 0),
       MATCH("Total Memory", Input!$D$1:$AC$1, 0))</f>
        <v>#N/A</v>
      </c>
      <c r="L105" s="42" t="e">
        <f>INDEX(Input!$D$2:$AC$500,
       MATCH(B105, Input!$J$2:$J$500, 0),
       MATCH("Memory Type", Input!$D$1:$AC$1, 0))</f>
        <v>#N/A</v>
      </c>
      <c r="M105" s="42" t="str" cm="1">
        <f t="array" ref="M105">IFERROR(_xlfn.FILTERXML("&lt;t&gt;&lt;s&gt;" &amp; SUBSTITUTE(L105," / ","&lt;/s&gt;&lt;s&gt;") &amp; "&lt;/s&gt;&lt;/t&gt;","(//s[contains(.,'DDR')])[1]"),"")</f>
        <v/>
      </c>
      <c r="N105" s="32" t="e">
        <f t="shared" si="5"/>
        <v>#N/A</v>
      </c>
      <c r="O105" s="42" t="e">
        <f>INDEX(Input!$D$2:$AC$500,
       MATCH(B105, Input!$J$2:$J$500, 0),
       MATCH("Disk Interface Type", Input!$D$1:$AC$1, 0))</f>
        <v>#N/A</v>
      </c>
      <c r="P105" s="42" t="str" cm="1">
        <f t="array" ref="P105">IFERROR(_xlfn.TEXTJOIN(", ", TRUE, _xlfn._xlws.FILTER(
    INDEX(Input!$D$2:$AC$500,,MATCH("Disk Capacity",Input!$D$1:$AC$1,0)),
    Input!$J$2:$J$500=B105
)), "")</f>
        <v/>
      </c>
      <c r="Q105" s="32" t="e">
        <f t="shared" si="4"/>
        <v>#N/A</v>
      </c>
      <c r="R105" s="42" t="e">
        <f>_xlfn.LET(_xlpm.Result,INDEX(Input!$D$2:$AC$500,
       MATCH(B105, Input!$J$2:$J$500, 0),
       MATCH("Capacity", Input!$D$1:$AC$1, 0)),IF(_xlpm.Result="","",_xlpm.Result))</f>
        <v>#N/A</v>
      </c>
      <c r="S105" s="42" t="e" cm="1">
        <f t="array" ref="S105">_xlfn.TEXTSPLIT(R105," / ", ,TRUE,0,)</f>
        <v>#N/A</v>
      </c>
      <c r="T105" s="42"/>
      <c r="U105" s="42" t="str" cm="1">
        <f t="array" ref="U105">IFERROR(_xlfn.IFS(
S105="","",
--S105&lt;55,"Battery Defect",
--S105&lt;=69,"Battery D",
--S105&lt;=80,"Battery C",
--S105&gt;80,""
),"")</f>
        <v/>
      </c>
      <c r="V105" s="42" t="str" cm="1">
        <f t="array" ref="V105">IFERROR(_xlfn.IFS(
T105="","",
--T105&lt;55,"Battery Defect",
--T105&lt;=69,"Battery D",
--T105&lt;=80,"Battery C",
--T105&gt;80,""
),"")</f>
        <v/>
      </c>
      <c r="W105" s="42" t="str" cm="1">
        <f t="array" ref="W105:AD105">IFERROR(IF(_xlfn.XLOOKUP(B105,Input!J:J,Input!N:U)=0,"",
          _xlfn.XLOOKUP(B105,Input!J:J,Input!N:U)),"")</f>
        <v/>
      </c>
      <c r="X105" s="42" t="str">
        <v/>
      </c>
      <c r="Y105" s="42" t="str">
        <v/>
      </c>
      <c r="Z105" s="42" t="str">
        <v/>
      </c>
      <c r="AA105" s="42" t="str">
        <v/>
      </c>
      <c r="AB105" s="42" t="str">
        <v/>
      </c>
      <c r="AC105" s="42" t="str">
        <v/>
      </c>
      <c r="AD105" s="42" t="str">
        <v/>
      </c>
      <c r="AE105" s="32" t="str">
        <f t="shared" si="3"/>
        <v/>
      </c>
      <c r="AF105" s="32" t="str">
        <f>_xlfn.XLOOKUP(B:B,Disk_Pivot!G:G,Disk_Pivot!I:I)</f>
        <v>Yes x2</v>
      </c>
      <c r="AG105" s="32" t="str">
        <f>_xlfn.XLOOKUP(B105,Disk_Pivot!G:G,Disk_Pivot!N:N)</f>
        <v>Pass, Fail</v>
      </c>
      <c r="AH105" s="32"/>
      <c r="AI105" s="32"/>
      <c r="AJ105" s="32"/>
      <c r="AK105" s="32"/>
      <c r="AL105" s="32"/>
      <c r="AM105" s="32"/>
    </row>
    <row r="106" spans="1:39">
      <c r="A106" s="32" t="str">
        <f>_xlfn.XLOOKUP(B106,Input!J:J,Input!G:G)&amp;""</f>
        <v/>
      </c>
      <c r="B106" s="32"/>
      <c r="C106" s="32" t="str">
        <f>_xlfn.XLOOKUP(B106,Input!J:J,Input!H:H)&amp;""</f>
        <v/>
      </c>
      <c r="D106" s="42">
        <f>_xlfn.XLOOKUP(B106,Input!J:J,Input!F:F)</f>
        <v>0</v>
      </c>
      <c r="E106" s="32">
        <f>_xlfn.XLOOKUP(D106,Models!H:H,Models!G:G,D106)</f>
        <v>0</v>
      </c>
      <c r="F106" s="32">
        <f>_xlfn.XLOOKUP(B106,Input!J:J,Input!E:E)</f>
        <v>0</v>
      </c>
      <c r="G106" s="32">
        <f>IF(F106="LENOVO",_xlfn.XLOOKUP(B106,Input!J:J,Input!K:K),_xlfn.XLOOKUP(B106,Input!J:J,Input!L:L))</f>
        <v>0</v>
      </c>
      <c r="H106" s="32"/>
      <c r="I106" s="32"/>
      <c r="J106" s="32">
        <f>_xlfn.XLOOKUP(B106,CPU_Formula!A:A,CPU_Formula!I:I)</f>
        <v>0</v>
      </c>
      <c r="K106" s="42" t="e">
        <f>INDEX(Input!$D$2:$AC$500,
       MATCH(B106, Input!$J$2:$J$500, 0),
       MATCH("Total Memory", Input!$D$1:$AC$1, 0))</f>
        <v>#N/A</v>
      </c>
      <c r="L106" s="42" t="e">
        <f>INDEX(Input!$D$2:$AC$500,
       MATCH(B106, Input!$J$2:$J$500, 0),
       MATCH("Memory Type", Input!$D$1:$AC$1, 0))</f>
        <v>#N/A</v>
      </c>
      <c r="M106" s="42" t="str" cm="1">
        <f t="array" ref="M106">IFERROR(_xlfn.FILTERXML("&lt;t&gt;&lt;s&gt;" &amp; SUBSTITUTE(L106," / ","&lt;/s&gt;&lt;s&gt;") &amp; "&lt;/s&gt;&lt;/t&gt;","(//s[contains(.,'DDR')])[1]"),"")</f>
        <v/>
      </c>
      <c r="N106" s="32" t="e">
        <f t="shared" si="5"/>
        <v>#N/A</v>
      </c>
      <c r="O106" s="42" t="e">
        <f>INDEX(Input!$D$2:$AC$500,
       MATCH(B106, Input!$J$2:$J$500, 0),
       MATCH("Disk Interface Type", Input!$D$1:$AC$1, 0))</f>
        <v>#N/A</v>
      </c>
      <c r="P106" s="42" t="str" cm="1">
        <f t="array" ref="P106">IFERROR(_xlfn.TEXTJOIN(", ", TRUE, _xlfn._xlws.FILTER(
    INDEX(Input!$D$2:$AC$500,,MATCH("Disk Capacity",Input!$D$1:$AC$1,0)),
    Input!$J$2:$J$500=B106
)), "")</f>
        <v/>
      </c>
      <c r="Q106" s="32" t="e">
        <f t="shared" si="4"/>
        <v>#N/A</v>
      </c>
      <c r="R106" s="42" t="e">
        <f>_xlfn.LET(_xlpm.Result,INDEX(Input!$D$2:$AC$500,
       MATCH(B106, Input!$J$2:$J$500, 0),
       MATCH("Capacity", Input!$D$1:$AC$1, 0)),IF(_xlpm.Result="","",_xlpm.Result))</f>
        <v>#N/A</v>
      </c>
      <c r="S106" s="42" t="e" cm="1">
        <f t="array" ref="S106">_xlfn.TEXTSPLIT(R106," / ", ,TRUE,0,)</f>
        <v>#N/A</v>
      </c>
      <c r="T106" s="42"/>
      <c r="U106" s="42" t="str" cm="1">
        <f t="array" ref="U106">IFERROR(_xlfn.IFS(
S106="","",
--S106&lt;55,"Battery Defect",
--S106&lt;=69,"Battery D",
--S106&lt;=80,"Battery C",
--S106&gt;80,""
),"")</f>
        <v/>
      </c>
      <c r="V106" s="42" t="str" cm="1">
        <f t="array" ref="V106">IFERROR(_xlfn.IFS(
T106="","",
--T106&lt;55,"Battery Defect",
--T106&lt;=69,"Battery D",
--T106&lt;=80,"Battery C",
--T106&gt;80,""
),"")</f>
        <v/>
      </c>
      <c r="W106" s="42" t="str" cm="1">
        <f t="array" ref="W106:AD106">IFERROR(IF(_xlfn.XLOOKUP(B106,Input!J:J,Input!N:U)=0,"",
          _xlfn.XLOOKUP(B106,Input!J:J,Input!N:U)),"")</f>
        <v/>
      </c>
      <c r="X106" s="42" t="str">
        <v/>
      </c>
      <c r="Y106" s="42" t="str">
        <v/>
      </c>
      <c r="Z106" s="42" t="str">
        <v/>
      </c>
      <c r="AA106" s="42" t="str">
        <v/>
      </c>
      <c r="AB106" s="42" t="str">
        <v/>
      </c>
      <c r="AC106" s="42" t="str">
        <v/>
      </c>
      <c r="AD106" s="42" t="str">
        <v/>
      </c>
      <c r="AE106" s="32" t="str">
        <f t="shared" si="3"/>
        <v/>
      </c>
      <c r="AF106" s="32" t="str">
        <f>_xlfn.XLOOKUP(B:B,Disk_Pivot!G:G,Disk_Pivot!I:I)</f>
        <v>Yes x2</v>
      </c>
      <c r="AG106" s="32" t="str">
        <f>_xlfn.XLOOKUP(B106,Disk_Pivot!G:G,Disk_Pivot!N:N)</f>
        <v>Pass, Fail</v>
      </c>
      <c r="AH106" s="32"/>
      <c r="AI106" s="32"/>
      <c r="AJ106" s="32"/>
      <c r="AK106" s="32"/>
      <c r="AL106" s="32"/>
      <c r="AM106" s="32"/>
    </row>
    <row r="107" spans="1:39">
      <c r="A107" s="32" t="str">
        <f>_xlfn.XLOOKUP(B107,Input!J:J,Input!G:G)&amp;""</f>
        <v/>
      </c>
      <c r="B107" s="32"/>
      <c r="C107" s="32" t="str">
        <f>_xlfn.XLOOKUP(B107,Input!J:J,Input!H:H)&amp;""</f>
        <v/>
      </c>
      <c r="D107" s="42">
        <f>_xlfn.XLOOKUP(B107,Input!J:J,Input!F:F)</f>
        <v>0</v>
      </c>
      <c r="E107" s="32">
        <f>_xlfn.XLOOKUP(D107,Models!H:H,Models!G:G,D107)</f>
        <v>0</v>
      </c>
      <c r="F107" s="32">
        <f>_xlfn.XLOOKUP(B107,Input!J:J,Input!E:E)</f>
        <v>0</v>
      </c>
      <c r="G107" s="32">
        <f>IF(F107="LENOVO",_xlfn.XLOOKUP(B107,Input!J:J,Input!K:K),_xlfn.XLOOKUP(B107,Input!J:J,Input!L:L))</f>
        <v>0</v>
      </c>
      <c r="H107" s="32"/>
      <c r="I107" s="32"/>
      <c r="J107" s="32">
        <f>_xlfn.XLOOKUP(B107,CPU_Formula!A:A,CPU_Formula!I:I)</f>
        <v>0</v>
      </c>
      <c r="K107" s="42" t="e">
        <f>INDEX(Input!$D$2:$AC$500,
       MATCH(B107, Input!$J$2:$J$500, 0),
       MATCH("Total Memory", Input!$D$1:$AC$1, 0))</f>
        <v>#N/A</v>
      </c>
      <c r="L107" s="42" t="e">
        <f>INDEX(Input!$D$2:$AC$500,
       MATCH(B107, Input!$J$2:$J$500, 0),
       MATCH("Memory Type", Input!$D$1:$AC$1, 0))</f>
        <v>#N/A</v>
      </c>
      <c r="M107" s="42" t="str" cm="1">
        <f t="array" ref="M107">IFERROR(_xlfn.FILTERXML("&lt;t&gt;&lt;s&gt;" &amp; SUBSTITUTE(L107," / ","&lt;/s&gt;&lt;s&gt;") &amp; "&lt;/s&gt;&lt;/t&gt;","(//s[contains(.,'DDR')])[1]"),"")</f>
        <v/>
      </c>
      <c r="N107" s="32" t="e">
        <f t="shared" si="5"/>
        <v>#N/A</v>
      </c>
      <c r="O107" s="42" t="e">
        <f>INDEX(Input!$D$2:$AC$500,
       MATCH(B107, Input!$J$2:$J$500, 0),
       MATCH("Disk Interface Type", Input!$D$1:$AC$1, 0))</f>
        <v>#N/A</v>
      </c>
      <c r="P107" s="42" t="str" cm="1">
        <f t="array" ref="P107">IFERROR(_xlfn.TEXTJOIN(", ", TRUE, _xlfn._xlws.FILTER(
    INDEX(Input!$D$2:$AC$500,,MATCH("Disk Capacity",Input!$D$1:$AC$1,0)),
    Input!$J$2:$J$500=B107
)), "")</f>
        <v/>
      </c>
      <c r="Q107" s="32" t="e">
        <f t="shared" si="4"/>
        <v>#N/A</v>
      </c>
      <c r="R107" s="42" t="e">
        <f>_xlfn.LET(_xlpm.Result,INDEX(Input!$D$2:$AC$500,
       MATCH(B107, Input!$J$2:$J$500, 0),
       MATCH("Capacity", Input!$D$1:$AC$1, 0)),IF(_xlpm.Result="","",_xlpm.Result))</f>
        <v>#N/A</v>
      </c>
      <c r="S107" s="42" t="e" cm="1">
        <f t="array" ref="S107">_xlfn.TEXTSPLIT(R107," / ", ,TRUE,0,)</f>
        <v>#N/A</v>
      </c>
      <c r="T107" s="42"/>
      <c r="U107" s="42" t="str" cm="1">
        <f t="array" ref="U107">IFERROR(_xlfn.IFS(
S107="","",
--S107&lt;55,"Battery Defect",
--S107&lt;=69,"Battery D",
--S107&lt;=80,"Battery C",
--S107&gt;80,""
),"")</f>
        <v/>
      </c>
      <c r="V107" s="42" t="str" cm="1">
        <f t="array" ref="V107">IFERROR(_xlfn.IFS(
T107="","",
--T107&lt;55,"Battery Defect",
--T107&lt;=69,"Battery D",
--T107&lt;=80,"Battery C",
--T107&gt;80,""
),"")</f>
        <v/>
      </c>
      <c r="W107" s="42" t="str" cm="1">
        <f t="array" ref="W107:AD107">IFERROR(IF(_xlfn.XLOOKUP(B107,Input!J:J,Input!N:U)=0,"",
          _xlfn.XLOOKUP(B107,Input!J:J,Input!N:U)),"")</f>
        <v/>
      </c>
      <c r="X107" s="42" t="str">
        <v/>
      </c>
      <c r="Y107" s="42" t="str">
        <v/>
      </c>
      <c r="Z107" s="42" t="str">
        <v/>
      </c>
      <c r="AA107" s="42" t="str">
        <v/>
      </c>
      <c r="AB107" s="42" t="str">
        <v/>
      </c>
      <c r="AC107" s="42" t="str">
        <v/>
      </c>
      <c r="AD107" s="42" t="str">
        <v/>
      </c>
      <c r="AE107" s="32" t="str">
        <f t="shared" si="3"/>
        <v/>
      </c>
      <c r="AF107" s="32" t="str">
        <f>_xlfn.XLOOKUP(B:B,Disk_Pivot!G:G,Disk_Pivot!I:I)</f>
        <v>Yes x2</v>
      </c>
      <c r="AG107" s="32" t="str">
        <f>_xlfn.XLOOKUP(B107,Disk_Pivot!G:G,Disk_Pivot!N:N)</f>
        <v>Pass, Fail</v>
      </c>
      <c r="AH107" s="32"/>
      <c r="AI107" s="32"/>
      <c r="AJ107" s="32"/>
      <c r="AK107" s="32"/>
      <c r="AL107" s="32"/>
      <c r="AM107" s="32"/>
    </row>
    <row r="108" spans="1:39">
      <c r="A108" s="32" t="str">
        <f>_xlfn.XLOOKUP(B108,Input!J:J,Input!G:G)&amp;""</f>
        <v/>
      </c>
      <c r="B108" s="32"/>
      <c r="C108" s="32" t="str">
        <f>_xlfn.XLOOKUP(B108,Input!J:J,Input!H:H)&amp;""</f>
        <v/>
      </c>
      <c r="D108" s="42">
        <f>_xlfn.XLOOKUP(B108,Input!J:J,Input!F:F)</f>
        <v>0</v>
      </c>
      <c r="E108" s="32">
        <f>_xlfn.XLOOKUP(D108,Models!H:H,Models!G:G,D108)</f>
        <v>0</v>
      </c>
      <c r="F108" s="32">
        <f>_xlfn.XLOOKUP(B108,Input!J:J,Input!E:E)</f>
        <v>0</v>
      </c>
      <c r="G108" s="32">
        <f>IF(F108="LENOVO",_xlfn.XLOOKUP(B108,Input!J:J,Input!K:K),_xlfn.XLOOKUP(B108,Input!J:J,Input!L:L))</f>
        <v>0</v>
      </c>
      <c r="H108" s="32"/>
      <c r="I108" s="32"/>
      <c r="J108" s="32">
        <f>_xlfn.XLOOKUP(B108,CPU_Formula!A:A,CPU_Formula!I:I)</f>
        <v>0</v>
      </c>
      <c r="K108" s="42" t="e">
        <f>INDEX(Input!$D$2:$AC$500,
       MATCH(B108, Input!$J$2:$J$500, 0),
       MATCH("Total Memory", Input!$D$1:$AC$1, 0))</f>
        <v>#N/A</v>
      </c>
      <c r="L108" s="42" t="e">
        <f>INDEX(Input!$D$2:$AC$500,
       MATCH(B108, Input!$J$2:$J$500, 0),
       MATCH("Memory Type", Input!$D$1:$AC$1, 0))</f>
        <v>#N/A</v>
      </c>
      <c r="M108" s="42" t="str" cm="1">
        <f t="array" ref="M108">IFERROR(_xlfn.FILTERXML("&lt;t&gt;&lt;s&gt;" &amp; SUBSTITUTE(L108," / ","&lt;/s&gt;&lt;s&gt;") &amp; "&lt;/s&gt;&lt;/t&gt;","(//s[contains(.,'DDR')])[1]"),"")</f>
        <v/>
      </c>
      <c r="N108" s="32" t="e">
        <f t="shared" si="5"/>
        <v>#N/A</v>
      </c>
      <c r="O108" s="42" t="e">
        <f>INDEX(Input!$D$2:$AC$500,
       MATCH(B108, Input!$J$2:$J$500, 0),
       MATCH("Disk Interface Type", Input!$D$1:$AC$1, 0))</f>
        <v>#N/A</v>
      </c>
      <c r="P108" s="42" t="str" cm="1">
        <f t="array" ref="P108">IFERROR(_xlfn.TEXTJOIN(", ", TRUE, _xlfn._xlws.FILTER(
    INDEX(Input!$D$2:$AC$500,,MATCH("Disk Capacity",Input!$D$1:$AC$1,0)),
    Input!$J$2:$J$500=B108
)), "")</f>
        <v/>
      </c>
      <c r="Q108" s="32" t="e">
        <f t="shared" si="4"/>
        <v>#N/A</v>
      </c>
      <c r="R108" s="42" t="e">
        <f>_xlfn.LET(_xlpm.Result,INDEX(Input!$D$2:$AC$500,
       MATCH(B108, Input!$J$2:$J$500, 0),
       MATCH("Capacity", Input!$D$1:$AC$1, 0)),IF(_xlpm.Result="","",_xlpm.Result))</f>
        <v>#N/A</v>
      </c>
      <c r="S108" s="42" t="e" cm="1">
        <f t="array" ref="S108">_xlfn.TEXTSPLIT(R108," / ", ,TRUE,0,)</f>
        <v>#N/A</v>
      </c>
      <c r="T108" s="42"/>
      <c r="U108" s="42" t="str" cm="1">
        <f t="array" ref="U108">IFERROR(_xlfn.IFS(
S108="","",
--S108&lt;55,"Battery Defect",
--S108&lt;=69,"Battery D",
--S108&lt;=80,"Battery C",
--S108&gt;80,""
),"")</f>
        <v/>
      </c>
      <c r="V108" s="42" t="str" cm="1">
        <f t="array" ref="V108">IFERROR(_xlfn.IFS(
T108="","",
--T108&lt;55,"Battery Defect",
--T108&lt;=69,"Battery D",
--T108&lt;=80,"Battery C",
--T108&gt;80,""
),"")</f>
        <v/>
      </c>
      <c r="W108" s="42" t="str" cm="1">
        <f t="array" ref="W108:AD108">IFERROR(IF(_xlfn.XLOOKUP(B108,Input!J:J,Input!N:U)=0,"",
          _xlfn.XLOOKUP(B108,Input!J:J,Input!N:U)),"")</f>
        <v/>
      </c>
      <c r="X108" s="42" t="str">
        <v/>
      </c>
      <c r="Y108" s="42" t="str">
        <v/>
      </c>
      <c r="Z108" s="42" t="str">
        <v/>
      </c>
      <c r="AA108" s="42" t="str">
        <v/>
      </c>
      <c r="AB108" s="42" t="str">
        <v/>
      </c>
      <c r="AC108" s="42" t="str">
        <v/>
      </c>
      <c r="AD108" s="42" t="str">
        <v/>
      </c>
      <c r="AE108" s="32" t="str">
        <f t="shared" si="3"/>
        <v/>
      </c>
      <c r="AF108" s="32" t="str">
        <f>_xlfn.XLOOKUP(B:B,Disk_Pivot!G:G,Disk_Pivot!I:I)</f>
        <v>Yes x2</v>
      </c>
      <c r="AG108" s="32" t="str">
        <f>_xlfn.XLOOKUP(B108,Disk_Pivot!G:G,Disk_Pivot!N:N)</f>
        <v>Pass, Fail</v>
      </c>
      <c r="AH108" s="32"/>
      <c r="AI108" s="32"/>
      <c r="AJ108" s="32"/>
      <c r="AK108" s="32"/>
      <c r="AL108" s="32"/>
      <c r="AM108" s="32"/>
    </row>
    <row r="109" spans="1:39">
      <c r="A109" s="32" t="str">
        <f>_xlfn.XLOOKUP(B109,Input!J:J,Input!G:G)&amp;""</f>
        <v/>
      </c>
      <c r="B109" s="32"/>
      <c r="C109" s="32" t="str">
        <f>_xlfn.XLOOKUP(B109,Input!J:J,Input!H:H)&amp;""</f>
        <v/>
      </c>
      <c r="D109" s="42">
        <f>_xlfn.XLOOKUP(B109,Input!J:J,Input!F:F)</f>
        <v>0</v>
      </c>
      <c r="E109" s="32">
        <f>_xlfn.XLOOKUP(D109,Models!H:H,Models!G:G,D109)</f>
        <v>0</v>
      </c>
      <c r="F109" s="32">
        <f>_xlfn.XLOOKUP(B109,Input!J:J,Input!E:E)</f>
        <v>0</v>
      </c>
      <c r="G109" s="32">
        <f>IF(F109="LENOVO",_xlfn.XLOOKUP(B109,Input!J:J,Input!K:K),_xlfn.XLOOKUP(B109,Input!J:J,Input!L:L))</f>
        <v>0</v>
      </c>
      <c r="H109" s="32"/>
      <c r="I109" s="32"/>
      <c r="J109" s="32">
        <f>_xlfn.XLOOKUP(B109,CPU_Formula!A:A,CPU_Formula!I:I)</f>
        <v>0</v>
      </c>
      <c r="K109" s="42" t="e">
        <f>INDEX(Input!$D$2:$AC$500,
       MATCH(B109, Input!$J$2:$J$500, 0),
       MATCH("Total Memory", Input!$D$1:$AC$1, 0))</f>
        <v>#N/A</v>
      </c>
      <c r="L109" s="42" t="e">
        <f>INDEX(Input!$D$2:$AC$500,
       MATCH(B109, Input!$J$2:$J$500, 0),
       MATCH("Memory Type", Input!$D$1:$AC$1, 0))</f>
        <v>#N/A</v>
      </c>
      <c r="M109" s="42" t="str" cm="1">
        <f t="array" ref="M109">IFERROR(_xlfn.FILTERXML("&lt;t&gt;&lt;s&gt;" &amp; SUBSTITUTE(L109," / ","&lt;/s&gt;&lt;s&gt;") &amp; "&lt;/s&gt;&lt;/t&gt;","(//s[contains(.,'DDR')])[1]"),"")</f>
        <v/>
      </c>
      <c r="N109" s="32" t="e">
        <f t="shared" si="5"/>
        <v>#N/A</v>
      </c>
      <c r="O109" s="42" t="e">
        <f>INDEX(Input!$D$2:$AC$500,
       MATCH(B109, Input!$J$2:$J$500, 0),
       MATCH("Disk Interface Type", Input!$D$1:$AC$1, 0))</f>
        <v>#N/A</v>
      </c>
      <c r="P109" s="42" t="str" cm="1">
        <f t="array" ref="P109">IFERROR(_xlfn.TEXTJOIN(", ", TRUE, _xlfn._xlws.FILTER(
    INDEX(Input!$D$2:$AC$500,,MATCH("Disk Capacity",Input!$D$1:$AC$1,0)),
    Input!$J$2:$J$500=B109
)), "")</f>
        <v/>
      </c>
      <c r="Q109" s="32" t="e">
        <f t="shared" si="4"/>
        <v>#N/A</v>
      </c>
      <c r="R109" s="42" t="e">
        <f>_xlfn.LET(_xlpm.Result,INDEX(Input!$D$2:$AC$500,
       MATCH(B109, Input!$J$2:$J$500, 0),
       MATCH("Capacity", Input!$D$1:$AC$1, 0)),IF(_xlpm.Result="","",_xlpm.Result))</f>
        <v>#N/A</v>
      </c>
      <c r="S109" s="42" t="e" cm="1">
        <f t="array" ref="S109">_xlfn.TEXTSPLIT(R109," / ", ,TRUE,0,)</f>
        <v>#N/A</v>
      </c>
      <c r="T109" s="42"/>
      <c r="U109" s="42" t="str" cm="1">
        <f t="array" ref="U109">IFERROR(_xlfn.IFS(
S109="","",
--S109&lt;55,"Battery Defect",
--S109&lt;=69,"Battery D",
--S109&lt;=80,"Battery C",
--S109&gt;80,""
),"")</f>
        <v/>
      </c>
      <c r="V109" s="42" t="str" cm="1">
        <f t="array" ref="V109">IFERROR(_xlfn.IFS(
T109="","",
--T109&lt;55,"Battery Defect",
--T109&lt;=69,"Battery D",
--T109&lt;=80,"Battery C",
--T109&gt;80,""
),"")</f>
        <v/>
      </c>
      <c r="W109" s="42" t="str" cm="1">
        <f t="array" ref="W109:AD109">IFERROR(IF(_xlfn.XLOOKUP(B109,Input!J:J,Input!N:U)=0,"",
          _xlfn.XLOOKUP(B109,Input!J:J,Input!N:U)),"")</f>
        <v/>
      </c>
      <c r="X109" s="42" t="str">
        <v/>
      </c>
      <c r="Y109" s="42" t="str">
        <v/>
      </c>
      <c r="Z109" s="42" t="str">
        <v/>
      </c>
      <c r="AA109" s="42" t="str">
        <v/>
      </c>
      <c r="AB109" s="42" t="str">
        <v/>
      </c>
      <c r="AC109" s="42" t="str">
        <v/>
      </c>
      <c r="AD109" s="42" t="str">
        <v/>
      </c>
      <c r="AE109" s="32" t="str">
        <f t="shared" si="3"/>
        <v/>
      </c>
      <c r="AF109" s="32" t="str">
        <f>_xlfn.XLOOKUP(B:B,Disk_Pivot!G:G,Disk_Pivot!I:I)</f>
        <v>Yes x2</v>
      </c>
      <c r="AG109" s="32" t="str">
        <f>_xlfn.XLOOKUP(B109,Disk_Pivot!G:G,Disk_Pivot!N:N)</f>
        <v>Pass, Fail</v>
      </c>
      <c r="AH109" s="32"/>
      <c r="AI109" s="32"/>
      <c r="AJ109" s="32"/>
      <c r="AK109" s="32"/>
      <c r="AL109" s="32"/>
      <c r="AM109" s="32"/>
    </row>
    <row r="110" spans="1:39">
      <c r="A110" s="32" t="str">
        <f>_xlfn.XLOOKUP(B110,Input!J:J,Input!G:G)&amp;""</f>
        <v/>
      </c>
      <c r="B110" s="32"/>
      <c r="C110" s="32" t="str">
        <f>_xlfn.XLOOKUP(B110,Input!J:J,Input!H:H)&amp;""</f>
        <v/>
      </c>
      <c r="D110" s="42">
        <f>_xlfn.XLOOKUP(B110,Input!J:J,Input!F:F)</f>
        <v>0</v>
      </c>
      <c r="E110" s="32">
        <f>_xlfn.XLOOKUP(D110,Models!H:H,Models!G:G,D110)</f>
        <v>0</v>
      </c>
      <c r="F110" s="32">
        <f>_xlfn.XLOOKUP(B110,Input!J:J,Input!E:E)</f>
        <v>0</v>
      </c>
      <c r="G110" s="32">
        <f>IF(F110="LENOVO",_xlfn.XLOOKUP(B110,Input!J:J,Input!K:K),_xlfn.XLOOKUP(B110,Input!J:J,Input!L:L))</f>
        <v>0</v>
      </c>
      <c r="H110" s="32"/>
      <c r="I110" s="32"/>
      <c r="J110" s="32">
        <f>_xlfn.XLOOKUP(B110,CPU_Formula!A:A,CPU_Formula!I:I)</f>
        <v>0</v>
      </c>
      <c r="K110" s="42" t="e">
        <f>INDEX(Input!$D$2:$AC$500,
       MATCH(B110, Input!$J$2:$J$500, 0),
       MATCH("Total Memory", Input!$D$1:$AC$1, 0))</f>
        <v>#N/A</v>
      </c>
      <c r="L110" s="42" t="e">
        <f>INDEX(Input!$D$2:$AC$500,
       MATCH(B110, Input!$J$2:$J$500, 0),
       MATCH("Memory Type", Input!$D$1:$AC$1, 0))</f>
        <v>#N/A</v>
      </c>
      <c r="M110" s="42" t="str" cm="1">
        <f t="array" ref="M110">IFERROR(_xlfn.FILTERXML("&lt;t&gt;&lt;s&gt;" &amp; SUBSTITUTE(L110," / ","&lt;/s&gt;&lt;s&gt;") &amp; "&lt;/s&gt;&lt;/t&gt;","(//s[contains(.,'DDR')])[1]"),"")</f>
        <v/>
      </c>
      <c r="N110" s="32" t="e">
        <f t="shared" si="5"/>
        <v>#N/A</v>
      </c>
      <c r="O110" s="42" t="e">
        <f>INDEX(Input!$D$2:$AC$500,
       MATCH(B110, Input!$J$2:$J$500, 0),
       MATCH("Disk Interface Type", Input!$D$1:$AC$1, 0))</f>
        <v>#N/A</v>
      </c>
      <c r="P110" s="42" t="str" cm="1">
        <f t="array" ref="P110">IFERROR(_xlfn.TEXTJOIN(", ", TRUE, _xlfn._xlws.FILTER(
    INDEX(Input!$D$2:$AC$500,,MATCH("Disk Capacity",Input!$D$1:$AC$1,0)),
    Input!$J$2:$J$500=B110
)), "")</f>
        <v/>
      </c>
      <c r="Q110" s="32" t="e">
        <f t="shared" si="4"/>
        <v>#N/A</v>
      </c>
      <c r="R110" s="42" t="e">
        <f>_xlfn.LET(_xlpm.Result,INDEX(Input!$D$2:$AC$500,
       MATCH(B110, Input!$J$2:$J$500, 0),
       MATCH("Capacity", Input!$D$1:$AC$1, 0)),IF(_xlpm.Result="","",_xlpm.Result))</f>
        <v>#N/A</v>
      </c>
      <c r="S110" s="42" t="e" cm="1">
        <f t="array" ref="S110">_xlfn.TEXTSPLIT(R110," / ", ,TRUE,0,)</f>
        <v>#N/A</v>
      </c>
      <c r="T110" s="42"/>
      <c r="U110" s="42" t="str" cm="1">
        <f t="array" ref="U110">IFERROR(_xlfn.IFS(
S110="","",
--S110&lt;55,"Battery Defect",
--S110&lt;=69,"Battery D",
--S110&lt;=80,"Battery C",
--S110&gt;80,""
),"")</f>
        <v/>
      </c>
      <c r="V110" s="42" t="str" cm="1">
        <f t="array" ref="V110">IFERROR(_xlfn.IFS(
T110="","",
--T110&lt;55,"Battery Defect",
--T110&lt;=69,"Battery D",
--T110&lt;=80,"Battery C",
--T110&gt;80,""
),"")</f>
        <v/>
      </c>
      <c r="W110" s="42" t="str" cm="1">
        <f t="array" ref="W110:AD110">IFERROR(IF(_xlfn.XLOOKUP(B110,Input!J:J,Input!N:U)=0,"",
          _xlfn.XLOOKUP(B110,Input!J:J,Input!N:U)),"")</f>
        <v/>
      </c>
      <c r="X110" s="42" t="str">
        <v/>
      </c>
      <c r="Y110" s="42" t="str">
        <v/>
      </c>
      <c r="Z110" s="42" t="str">
        <v/>
      </c>
      <c r="AA110" s="42" t="str">
        <v/>
      </c>
      <c r="AB110" s="42" t="str">
        <v/>
      </c>
      <c r="AC110" s="42" t="str">
        <v/>
      </c>
      <c r="AD110" s="42" t="str">
        <v/>
      </c>
      <c r="AE110" s="32" t="str">
        <f t="shared" si="3"/>
        <v/>
      </c>
      <c r="AF110" s="32" t="str">
        <f>_xlfn.XLOOKUP(B:B,Disk_Pivot!G:G,Disk_Pivot!I:I)</f>
        <v>Yes x2</v>
      </c>
      <c r="AG110" s="32" t="str">
        <f>_xlfn.XLOOKUP(B110,Disk_Pivot!G:G,Disk_Pivot!N:N)</f>
        <v>Pass, Fail</v>
      </c>
      <c r="AH110" s="32"/>
      <c r="AI110" s="32"/>
      <c r="AJ110" s="32"/>
      <c r="AK110" s="32"/>
      <c r="AL110" s="32"/>
      <c r="AM110" s="32"/>
    </row>
    <row r="111" spans="1:39">
      <c r="A111" s="32" t="str">
        <f>_xlfn.XLOOKUP(B111,Input!J:J,Input!G:G)&amp;""</f>
        <v/>
      </c>
      <c r="B111" s="32"/>
      <c r="C111" s="32" t="str">
        <f>_xlfn.XLOOKUP(B111,Input!J:J,Input!H:H)&amp;""</f>
        <v/>
      </c>
      <c r="D111" s="42">
        <f>_xlfn.XLOOKUP(B111,Input!J:J,Input!F:F)</f>
        <v>0</v>
      </c>
      <c r="E111" s="32">
        <f>_xlfn.XLOOKUP(D111,Models!H:H,Models!G:G,D111)</f>
        <v>0</v>
      </c>
      <c r="F111" s="32">
        <f>_xlfn.XLOOKUP(B111,Input!J:J,Input!E:E)</f>
        <v>0</v>
      </c>
      <c r="G111" s="32">
        <f>IF(F111="LENOVO",_xlfn.XLOOKUP(B111,Input!J:J,Input!K:K),_xlfn.XLOOKUP(B111,Input!J:J,Input!L:L))</f>
        <v>0</v>
      </c>
      <c r="H111" s="32"/>
      <c r="I111" s="32"/>
      <c r="J111" s="32">
        <f>_xlfn.XLOOKUP(B111,CPU_Formula!A:A,CPU_Formula!I:I)</f>
        <v>0</v>
      </c>
      <c r="K111" s="42" t="e">
        <f>INDEX(Input!$D$2:$AC$500,
       MATCH(B111, Input!$J$2:$J$500, 0),
       MATCH("Total Memory", Input!$D$1:$AC$1, 0))</f>
        <v>#N/A</v>
      </c>
      <c r="L111" s="42" t="e">
        <f>INDEX(Input!$D$2:$AC$500,
       MATCH(B111, Input!$J$2:$J$500, 0),
       MATCH("Memory Type", Input!$D$1:$AC$1, 0))</f>
        <v>#N/A</v>
      </c>
      <c r="M111" s="42" t="str" cm="1">
        <f t="array" ref="M111">IFERROR(_xlfn.FILTERXML("&lt;t&gt;&lt;s&gt;" &amp; SUBSTITUTE(L111," / ","&lt;/s&gt;&lt;s&gt;") &amp; "&lt;/s&gt;&lt;/t&gt;","(//s[contains(.,'DDR')])[1]"),"")</f>
        <v/>
      </c>
      <c r="N111" s="32" t="e">
        <f t="shared" si="5"/>
        <v>#N/A</v>
      </c>
      <c r="O111" s="42" t="e">
        <f>INDEX(Input!$D$2:$AC$500,
       MATCH(B111, Input!$J$2:$J$500, 0),
       MATCH("Disk Interface Type", Input!$D$1:$AC$1, 0))</f>
        <v>#N/A</v>
      </c>
      <c r="P111" s="42" t="str" cm="1">
        <f t="array" ref="P111">IFERROR(_xlfn.TEXTJOIN(", ", TRUE, _xlfn._xlws.FILTER(
    INDEX(Input!$D$2:$AC$500,,MATCH("Disk Capacity",Input!$D$1:$AC$1,0)),
    Input!$J$2:$J$500=B111
)), "")</f>
        <v/>
      </c>
      <c r="Q111" s="32" t="e">
        <f t="shared" si="4"/>
        <v>#N/A</v>
      </c>
      <c r="R111" s="42" t="e">
        <f>_xlfn.LET(_xlpm.Result,INDEX(Input!$D$2:$AC$500,
       MATCH(B111, Input!$J$2:$J$500, 0),
       MATCH("Capacity", Input!$D$1:$AC$1, 0)),IF(_xlpm.Result="","",_xlpm.Result))</f>
        <v>#N/A</v>
      </c>
      <c r="S111" s="42" t="e" cm="1">
        <f t="array" ref="S111">_xlfn.TEXTSPLIT(R111," / ", ,TRUE,0,)</f>
        <v>#N/A</v>
      </c>
      <c r="T111" s="42"/>
      <c r="U111" s="42" t="str" cm="1">
        <f t="array" ref="U111">IFERROR(_xlfn.IFS(
S111="","",
--S111&lt;55,"Battery Defect",
--S111&lt;=69,"Battery D",
--S111&lt;=80,"Battery C",
--S111&gt;80,""
),"")</f>
        <v/>
      </c>
      <c r="V111" s="42" t="str" cm="1">
        <f t="array" ref="V111">IFERROR(_xlfn.IFS(
T111="","",
--T111&lt;55,"Battery Defect",
--T111&lt;=69,"Battery D",
--T111&lt;=80,"Battery C",
--T111&gt;80,""
),"")</f>
        <v/>
      </c>
      <c r="W111" s="42" t="str" cm="1">
        <f t="array" ref="W111:AD111">IFERROR(IF(_xlfn.XLOOKUP(B111,Input!J:J,Input!N:U)=0,"",
          _xlfn.XLOOKUP(B111,Input!J:J,Input!N:U)),"")</f>
        <v/>
      </c>
      <c r="X111" s="42" t="str">
        <v/>
      </c>
      <c r="Y111" s="42" t="str">
        <v/>
      </c>
      <c r="Z111" s="42" t="str">
        <v/>
      </c>
      <c r="AA111" s="42" t="str">
        <v/>
      </c>
      <c r="AB111" s="42" t="str">
        <v/>
      </c>
      <c r="AC111" s="42" t="str">
        <v/>
      </c>
      <c r="AD111" s="42" t="str">
        <v/>
      </c>
      <c r="AE111" s="32" t="str">
        <f t="shared" si="3"/>
        <v/>
      </c>
      <c r="AF111" s="32" t="str">
        <f>_xlfn.XLOOKUP(B:B,Disk_Pivot!G:G,Disk_Pivot!I:I)</f>
        <v>Yes x2</v>
      </c>
      <c r="AG111" s="32" t="str">
        <f>_xlfn.XLOOKUP(B111,Disk_Pivot!G:G,Disk_Pivot!N:N)</f>
        <v>Pass, Fail</v>
      </c>
      <c r="AH111" s="32"/>
      <c r="AI111" s="32"/>
      <c r="AJ111" s="32"/>
      <c r="AK111" s="32"/>
      <c r="AL111" s="32"/>
      <c r="AM111" s="32"/>
    </row>
    <row r="112" spans="1:39">
      <c r="A112" s="32" t="str">
        <f>_xlfn.XLOOKUP(B112,Input!J:J,Input!G:G)&amp;""</f>
        <v/>
      </c>
      <c r="B112" s="32"/>
      <c r="C112" s="32" t="str">
        <f>_xlfn.XLOOKUP(B112,Input!J:J,Input!H:H)&amp;""</f>
        <v/>
      </c>
      <c r="D112" s="42">
        <f>_xlfn.XLOOKUP(B112,Input!J:J,Input!F:F)</f>
        <v>0</v>
      </c>
      <c r="E112" s="32">
        <f>_xlfn.XLOOKUP(D112,Models!H:H,Models!G:G,D112)</f>
        <v>0</v>
      </c>
      <c r="F112" s="32">
        <f>_xlfn.XLOOKUP(B112,Input!J:J,Input!E:E)</f>
        <v>0</v>
      </c>
      <c r="G112" s="32">
        <f>IF(F112="LENOVO",_xlfn.XLOOKUP(B112,Input!J:J,Input!K:K),_xlfn.XLOOKUP(B112,Input!J:J,Input!L:L))</f>
        <v>0</v>
      </c>
      <c r="H112" s="32"/>
      <c r="I112" s="32"/>
      <c r="J112" s="32">
        <f>_xlfn.XLOOKUP(B112,CPU_Formula!A:A,CPU_Formula!I:I)</f>
        <v>0</v>
      </c>
      <c r="K112" s="42" t="e">
        <f>INDEX(Input!$D$2:$AC$500,
       MATCH(B112, Input!$J$2:$J$500, 0),
       MATCH("Total Memory", Input!$D$1:$AC$1, 0))</f>
        <v>#N/A</v>
      </c>
      <c r="L112" s="42" t="e">
        <f>INDEX(Input!$D$2:$AC$500,
       MATCH(B112, Input!$J$2:$J$500, 0),
       MATCH("Memory Type", Input!$D$1:$AC$1, 0))</f>
        <v>#N/A</v>
      </c>
      <c r="M112" s="42" t="str" cm="1">
        <f t="array" ref="M112">IFERROR(_xlfn.FILTERXML("&lt;t&gt;&lt;s&gt;" &amp; SUBSTITUTE(L112," / ","&lt;/s&gt;&lt;s&gt;") &amp; "&lt;/s&gt;&lt;/t&gt;","(//s[contains(.,'DDR')])[1]"),"")</f>
        <v/>
      </c>
      <c r="N112" s="32" t="e">
        <f t="shared" si="5"/>
        <v>#N/A</v>
      </c>
      <c r="O112" s="42" t="e">
        <f>INDEX(Input!$D$2:$AC$500,
       MATCH(B112, Input!$J$2:$J$500, 0),
       MATCH("Disk Interface Type", Input!$D$1:$AC$1, 0))</f>
        <v>#N/A</v>
      </c>
      <c r="P112" s="42" t="str" cm="1">
        <f t="array" ref="P112">IFERROR(_xlfn.TEXTJOIN(", ", TRUE, _xlfn._xlws.FILTER(
    INDEX(Input!$D$2:$AC$500,,MATCH("Disk Capacity",Input!$D$1:$AC$1,0)),
    Input!$J$2:$J$500=B112
)), "")</f>
        <v/>
      </c>
      <c r="Q112" s="32" t="e">
        <f t="shared" si="4"/>
        <v>#N/A</v>
      </c>
      <c r="R112" s="42" t="e">
        <f>_xlfn.LET(_xlpm.Result,INDEX(Input!$D$2:$AC$500,
       MATCH(B112, Input!$J$2:$J$500, 0),
       MATCH("Capacity", Input!$D$1:$AC$1, 0)),IF(_xlpm.Result="","",_xlpm.Result))</f>
        <v>#N/A</v>
      </c>
      <c r="S112" s="42" t="e" cm="1">
        <f t="array" ref="S112">_xlfn.TEXTSPLIT(R112," / ", ,TRUE,0,)</f>
        <v>#N/A</v>
      </c>
      <c r="T112" s="42"/>
      <c r="U112" s="42" t="str" cm="1">
        <f t="array" ref="U112">IFERROR(_xlfn.IFS(
S112="","",
--S112&lt;55,"Battery Defect",
--S112&lt;=69,"Battery D",
--S112&lt;=80,"Battery C",
--S112&gt;80,""
),"")</f>
        <v/>
      </c>
      <c r="V112" s="42" t="str" cm="1">
        <f t="array" ref="V112">IFERROR(_xlfn.IFS(
T112="","",
--T112&lt;55,"Battery Defect",
--T112&lt;=69,"Battery D",
--T112&lt;=80,"Battery C",
--T112&gt;80,""
),"")</f>
        <v/>
      </c>
      <c r="W112" s="42" t="str" cm="1">
        <f t="array" ref="W112:AD112">IFERROR(IF(_xlfn.XLOOKUP(B112,Input!J:J,Input!N:U)=0,"",
          _xlfn.XLOOKUP(B112,Input!J:J,Input!N:U)),"")</f>
        <v/>
      </c>
      <c r="X112" s="42" t="str">
        <v/>
      </c>
      <c r="Y112" s="42" t="str">
        <v/>
      </c>
      <c r="Z112" s="42" t="str">
        <v/>
      </c>
      <c r="AA112" s="42" t="str">
        <v/>
      </c>
      <c r="AB112" s="42" t="str">
        <v/>
      </c>
      <c r="AC112" s="42" t="str">
        <v/>
      </c>
      <c r="AD112" s="42" t="str">
        <v/>
      </c>
      <c r="AE112" s="32" t="str">
        <f t="shared" si="3"/>
        <v/>
      </c>
      <c r="AF112" s="32" t="str">
        <f>_xlfn.XLOOKUP(B:B,Disk_Pivot!G:G,Disk_Pivot!I:I)</f>
        <v>Yes x2</v>
      </c>
      <c r="AG112" s="32" t="str">
        <f>_xlfn.XLOOKUP(B112,Disk_Pivot!G:G,Disk_Pivot!N:N)</f>
        <v>Pass, Fail</v>
      </c>
      <c r="AH112" s="32"/>
      <c r="AI112" s="32"/>
      <c r="AJ112" s="32"/>
      <c r="AK112" s="32"/>
      <c r="AL112" s="32"/>
      <c r="AM112" s="32"/>
    </row>
    <row r="113" spans="1:39">
      <c r="A113" s="32" t="str">
        <f>_xlfn.XLOOKUP(B113,Input!J:J,Input!G:G)&amp;""</f>
        <v/>
      </c>
      <c r="B113" s="32"/>
      <c r="C113" s="32" t="str">
        <f>_xlfn.XLOOKUP(B113,Input!J:J,Input!H:H)&amp;""</f>
        <v/>
      </c>
      <c r="D113" s="42">
        <f>_xlfn.XLOOKUP(B113,Input!J:J,Input!F:F)</f>
        <v>0</v>
      </c>
      <c r="E113" s="32">
        <f>_xlfn.XLOOKUP(D113,Models!H:H,Models!G:G,D113)</f>
        <v>0</v>
      </c>
      <c r="F113" s="32">
        <f>_xlfn.XLOOKUP(B113,Input!J:J,Input!E:E)</f>
        <v>0</v>
      </c>
      <c r="G113" s="32">
        <f>IF(F113="LENOVO",_xlfn.XLOOKUP(B113,Input!J:J,Input!K:K),_xlfn.XLOOKUP(B113,Input!J:J,Input!L:L))</f>
        <v>0</v>
      </c>
      <c r="H113" s="32"/>
      <c r="I113" s="32"/>
      <c r="J113" s="32">
        <f>_xlfn.XLOOKUP(B113,CPU_Formula!A:A,CPU_Formula!I:I)</f>
        <v>0</v>
      </c>
      <c r="K113" s="42" t="e">
        <f>INDEX(Input!$D$2:$AC$500,
       MATCH(B113, Input!$J$2:$J$500, 0),
       MATCH("Total Memory", Input!$D$1:$AC$1, 0))</f>
        <v>#N/A</v>
      </c>
      <c r="L113" s="42" t="e">
        <f>INDEX(Input!$D$2:$AC$500,
       MATCH(B113, Input!$J$2:$J$500, 0),
       MATCH("Memory Type", Input!$D$1:$AC$1, 0))</f>
        <v>#N/A</v>
      </c>
      <c r="M113" s="42" t="str" cm="1">
        <f t="array" ref="M113">IFERROR(_xlfn.FILTERXML("&lt;t&gt;&lt;s&gt;" &amp; SUBSTITUTE(L113," / ","&lt;/s&gt;&lt;s&gt;") &amp; "&lt;/s&gt;&lt;/t&gt;","(//s[contains(.,'DDR')])[1]"),"")</f>
        <v/>
      </c>
      <c r="N113" s="32" t="e">
        <f t="shared" si="5"/>
        <v>#N/A</v>
      </c>
      <c r="O113" s="42" t="e">
        <f>INDEX(Input!$D$2:$AC$500,
       MATCH(B113, Input!$J$2:$J$500, 0),
       MATCH("Disk Interface Type", Input!$D$1:$AC$1, 0))</f>
        <v>#N/A</v>
      </c>
      <c r="P113" s="42" t="str" cm="1">
        <f t="array" ref="P113">IFERROR(_xlfn.TEXTJOIN(", ", TRUE, _xlfn._xlws.FILTER(
    INDEX(Input!$D$2:$AC$500,,MATCH("Disk Capacity",Input!$D$1:$AC$1,0)),
    Input!$J$2:$J$500=B113
)), "")</f>
        <v/>
      </c>
      <c r="Q113" s="32" t="e">
        <f t="shared" si="4"/>
        <v>#N/A</v>
      </c>
      <c r="R113" s="42" t="e">
        <f>_xlfn.LET(_xlpm.Result,INDEX(Input!$D$2:$AC$500,
       MATCH(B113, Input!$J$2:$J$500, 0),
       MATCH("Capacity", Input!$D$1:$AC$1, 0)),IF(_xlpm.Result="","",_xlpm.Result))</f>
        <v>#N/A</v>
      </c>
      <c r="S113" s="42" t="e" cm="1">
        <f t="array" ref="S113">_xlfn.TEXTSPLIT(R113," / ", ,TRUE,0,)</f>
        <v>#N/A</v>
      </c>
      <c r="T113" s="42"/>
      <c r="U113" s="42" t="str" cm="1">
        <f t="array" ref="U113">IFERROR(_xlfn.IFS(
S113="","",
--S113&lt;55,"Battery Defect",
--S113&lt;=69,"Battery D",
--S113&lt;=80,"Battery C",
--S113&gt;80,""
),"")</f>
        <v/>
      </c>
      <c r="V113" s="42" t="str" cm="1">
        <f t="array" ref="V113">IFERROR(_xlfn.IFS(
T113="","",
--T113&lt;55,"Battery Defect",
--T113&lt;=69,"Battery D",
--T113&lt;=80,"Battery C",
--T113&gt;80,""
),"")</f>
        <v/>
      </c>
      <c r="W113" s="42" t="str" cm="1">
        <f t="array" ref="W113:AD113">IFERROR(IF(_xlfn.XLOOKUP(B113,Input!J:J,Input!N:U)=0,"",
          _xlfn.XLOOKUP(B113,Input!J:J,Input!N:U)),"")</f>
        <v/>
      </c>
      <c r="X113" s="42" t="str">
        <v/>
      </c>
      <c r="Y113" s="42" t="str">
        <v/>
      </c>
      <c r="Z113" s="42" t="str">
        <v/>
      </c>
      <c r="AA113" s="42" t="str">
        <v/>
      </c>
      <c r="AB113" s="42" t="str">
        <v/>
      </c>
      <c r="AC113" s="42" t="str">
        <v/>
      </c>
      <c r="AD113" s="42" t="str">
        <v/>
      </c>
      <c r="AE113" s="32" t="str">
        <f t="shared" si="3"/>
        <v/>
      </c>
      <c r="AF113" s="32" t="str">
        <f>_xlfn.XLOOKUP(B:B,Disk_Pivot!G:G,Disk_Pivot!I:I)</f>
        <v>Yes x2</v>
      </c>
      <c r="AG113" s="32" t="str">
        <f>_xlfn.XLOOKUP(B113,Disk_Pivot!G:G,Disk_Pivot!N:N)</f>
        <v>Pass, Fail</v>
      </c>
      <c r="AH113" s="32"/>
      <c r="AI113" s="32"/>
      <c r="AJ113" s="32"/>
      <c r="AK113" s="32"/>
      <c r="AL113" s="32"/>
      <c r="AM113" s="32"/>
    </row>
    <row r="114" spans="1:39">
      <c r="A114" s="32" t="str">
        <f>_xlfn.XLOOKUP(B114,Input!J:J,Input!G:G)&amp;""</f>
        <v/>
      </c>
      <c r="B114" s="32"/>
      <c r="C114" s="32" t="str">
        <f>_xlfn.XLOOKUP(B114,Input!J:J,Input!H:H)&amp;""</f>
        <v/>
      </c>
      <c r="D114" s="42">
        <f>_xlfn.XLOOKUP(B114,Input!J:J,Input!F:F)</f>
        <v>0</v>
      </c>
      <c r="E114" s="32">
        <f>_xlfn.XLOOKUP(D114,Models!H:H,Models!G:G,D114)</f>
        <v>0</v>
      </c>
      <c r="F114" s="32">
        <f>_xlfn.XLOOKUP(B114,Input!J:J,Input!E:E)</f>
        <v>0</v>
      </c>
      <c r="G114" s="32">
        <f>IF(F114="LENOVO",_xlfn.XLOOKUP(B114,Input!J:J,Input!K:K),_xlfn.XLOOKUP(B114,Input!J:J,Input!L:L))</f>
        <v>0</v>
      </c>
      <c r="H114" s="32"/>
      <c r="I114" s="32"/>
      <c r="J114" s="32">
        <f>_xlfn.XLOOKUP(B114,CPU_Formula!A:A,CPU_Formula!I:I)</f>
        <v>0</v>
      </c>
      <c r="K114" s="42" t="e">
        <f>INDEX(Input!$D$2:$AC$500,
       MATCH(B114, Input!$J$2:$J$500, 0),
       MATCH("Total Memory", Input!$D$1:$AC$1, 0))</f>
        <v>#N/A</v>
      </c>
      <c r="L114" s="42" t="e">
        <f>INDEX(Input!$D$2:$AC$500,
       MATCH(B114, Input!$J$2:$J$500, 0),
       MATCH("Memory Type", Input!$D$1:$AC$1, 0))</f>
        <v>#N/A</v>
      </c>
      <c r="M114" s="42" t="str" cm="1">
        <f t="array" ref="M114">IFERROR(_xlfn.FILTERXML("&lt;t&gt;&lt;s&gt;" &amp; SUBSTITUTE(L114," / ","&lt;/s&gt;&lt;s&gt;") &amp; "&lt;/s&gt;&lt;/t&gt;","(//s[contains(.,'DDR')])[1]"),"")</f>
        <v/>
      </c>
      <c r="N114" s="32" t="e">
        <f t="shared" si="5"/>
        <v>#N/A</v>
      </c>
      <c r="O114" s="42" t="e">
        <f>INDEX(Input!$D$2:$AC$500,
       MATCH(B114, Input!$J$2:$J$500, 0),
       MATCH("Disk Interface Type", Input!$D$1:$AC$1, 0))</f>
        <v>#N/A</v>
      </c>
      <c r="P114" s="42" t="str" cm="1">
        <f t="array" ref="P114">IFERROR(_xlfn.TEXTJOIN(", ", TRUE, _xlfn._xlws.FILTER(
    INDEX(Input!$D$2:$AC$500,,MATCH("Disk Capacity",Input!$D$1:$AC$1,0)),
    Input!$J$2:$J$500=B114
)), "")</f>
        <v/>
      </c>
      <c r="Q114" s="32" t="e">
        <f t="shared" si="4"/>
        <v>#N/A</v>
      </c>
      <c r="R114" s="42" t="e">
        <f>_xlfn.LET(_xlpm.Result,INDEX(Input!$D$2:$AC$500,
       MATCH(B114, Input!$J$2:$J$500, 0),
       MATCH("Capacity", Input!$D$1:$AC$1, 0)),IF(_xlpm.Result="","",_xlpm.Result))</f>
        <v>#N/A</v>
      </c>
      <c r="S114" s="42" t="e" cm="1">
        <f t="array" ref="S114">_xlfn.TEXTSPLIT(R114," / ", ,TRUE,0,)</f>
        <v>#N/A</v>
      </c>
      <c r="T114" s="42"/>
      <c r="U114" s="42" t="str" cm="1">
        <f t="array" ref="U114">IFERROR(_xlfn.IFS(
S114="","",
--S114&lt;55,"Battery Defect",
--S114&lt;=69,"Battery D",
--S114&lt;=80,"Battery C",
--S114&gt;80,""
),"")</f>
        <v/>
      </c>
      <c r="V114" s="42" t="str" cm="1">
        <f t="array" ref="V114">IFERROR(_xlfn.IFS(
T114="","",
--T114&lt;55,"Battery Defect",
--T114&lt;=69,"Battery D",
--T114&lt;=80,"Battery C",
--T114&gt;80,""
),"")</f>
        <v/>
      </c>
      <c r="W114" s="42" t="str" cm="1">
        <f t="array" ref="W114:AD114">IFERROR(IF(_xlfn.XLOOKUP(B114,Input!J:J,Input!N:U)=0,"",
          _xlfn.XLOOKUP(B114,Input!J:J,Input!N:U)),"")</f>
        <v/>
      </c>
      <c r="X114" s="42" t="str">
        <v/>
      </c>
      <c r="Y114" s="42" t="str">
        <v/>
      </c>
      <c r="Z114" s="42" t="str">
        <v/>
      </c>
      <c r="AA114" s="42" t="str">
        <v/>
      </c>
      <c r="AB114" s="42" t="str">
        <v/>
      </c>
      <c r="AC114" s="42" t="str">
        <v/>
      </c>
      <c r="AD114" s="42" t="str">
        <v/>
      </c>
      <c r="AE114" s="32" t="str">
        <f t="shared" si="3"/>
        <v/>
      </c>
      <c r="AF114" s="32" t="str">
        <f>_xlfn.XLOOKUP(B:B,Disk_Pivot!G:G,Disk_Pivot!I:I)</f>
        <v>Yes x2</v>
      </c>
      <c r="AG114" s="32" t="str">
        <f>_xlfn.XLOOKUP(B114,Disk_Pivot!G:G,Disk_Pivot!N:N)</f>
        <v>Pass, Fail</v>
      </c>
      <c r="AH114" s="32"/>
      <c r="AI114" s="32"/>
      <c r="AJ114" s="32"/>
      <c r="AK114" s="32"/>
      <c r="AL114" s="32"/>
      <c r="AM114" s="32"/>
    </row>
    <row r="115" spans="1:39">
      <c r="A115" s="32" t="str">
        <f>_xlfn.XLOOKUP(B115,Input!J:J,Input!G:G)&amp;""</f>
        <v/>
      </c>
      <c r="B115" s="32"/>
      <c r="C115" s="32" t="str">
        <f>_xlfn.XLOOKUP(B115,Input!J:J,Input!H:H)&amp;""</f>
        <v/>
      </c>
      <c r="D115" s="42">
        <f>_xlfn.XLOOKUP(B115,Input!J:J,Input!F:F)</f>
        <v>0</v>
      </c>
      <c r="E115" s="32">
        <f>_xlfn.XLOOKUP(D115,Models!H:H,Models!G:G,D115)</f>
        <v>0</v>
      </c>
      <c r="F115" s="32">
        <f>_xlfn.XLOOKUP(B115,Input!J:J,Input!E:E)</f>
        <v>0</v>
      </c>
      <c r="G115" s="32">
        <f>IF(F115="LENOVO",_xlfn.XLOOKUP(B115,Input!J:J,Input!K:K),_xlfn.XLOOKUP(B115,Input!J:J,Input!L:L))</f>
        <v>0</v>
      </c>
      <c r="H115" s="32"/>
      <c r="I115" s="32"/>
      <c r="J115" s="32">
        <f>_xlfn.XLOOKUP(B115,CPU_Formula!A:A,CPU_Formula!I:I)</f>
        <v>0</v>
      </c>
      <c r="K115" s="42" t="e">
        <f>INDEX(Input!$D$2:$AC$500,
       MATCH(B115, Input!$J$2:$J$500, 0),
       MATCH("Total Memory", Input!$D$1:$AC$1, 0))</f>
        <v>#N/A</v>
      </c>
      <c r="L115" s="42" t="e">
        <f>INDEX(Input!$D$2:$AC$500,
       MATCH(B115, Input!$J$2:$J$500, 0),
       MATCH("Memory Type", Input!$D$1:$AC$1, 0))</f>
        <v>#N/A</v>
      </c>
      <c r="M115" s="42" t="str" cm="1">
        <f t="array" ref="M115">IFERROR(_xlfn.FILTERXML("&lt;t&gt;&lt;s&gt;" &amp; SUBSTITUTE(L115," / ","&lt;/s&gt;&lt;s&gt;") &amp; "&lt;/s&gt;&lt;/t&gt;","(//s[contains(.,'DDR')])[1]"),"")</f>
        <v/>
      </c>
      <c r="N115" s="32" t="e">
        <f t="shared" si="5"/>
        <v>#N/A</v>
      </c>
      <c r="O115" s="42" t="e">
        <f>INDEX(Input!$D$2:$AC$500,
       MATCH(B115, Input!$J$2:$J$500, 0),
       MATCH("Disk Interface Type", Input!$D$1:$AC$1, 0))</f>
        <v>#N/A</v>
      </c>
      <c r="P115" s="42" t="str" cm="1">
        <f t="array" ref="P115">IFERROR(_xlfn.TEXTJOIN(", ", TRUE, _xlfn._xlws.FILTER(
    INDEX(Input!$D$2:$AC$500,,MATCH("Disk Capacity",Input!$D$1:$AC$1,0)),
    Input!$J$2:$J$500=B115
)), "")</f>
        <v/>
      </c>
      <c r="Q115" s="32" t="e">
        <f t="shared" si="4"/>
        <v>#N/A</v>
      </c>
      <c r="R115" s="42" t="e">
        <f>_xlfn.LET(_xlpm.Result,INDEX(Input!$D$2:$AC$500,
       MATCH(B115, Input!$J$2:$J$500, 0),
       MATCH("Capacity", Input!$D$1:$AC$1, 0)),IF(_xlpm.Result="","",_xlpm.Result))</f>
        <v>#N/A</v>
      </c>
      <c r="S115" s="42" t="e" cm="1">
        <f t="array" ref="S115">_xlfn.TEXTSPLIT(R115," / ", ,TRUE,0,)</f>
        <v>#N/A</v>
      </c>
      <c r="T115" s="42"/>
      <c r="U115" s="42" t="str" cm="1">
        <f t="array" ref="U115">IFERROR(_xlfn.IFS(
S115="","",
--S115&lt;55,"Battery Defect",
--S115&lt;=69,"Battery D",
--S115&lt;=80,"Battery C",
--S115&gt;80,""
),"")</f>
        <v/>
      </c>
      <c r="V115" s="42" t="str" cm="1">
        <f t="array" ref="V115">IFERROR(_xlfn.IFS(
T115="","",
--T115&lt;55,"Battery Defect",
--T115&lt;=69,"Battery D",
--T115&lt;=80,"Battery C",
--T115&gt;80,""
),"")</f>
        <v/>
      </c>
      <c r="W115" s="42" t="str" cm="1">
        <f t="array" ref="W115:AD115">IFERROR(IF(_xlfn.XLOOKUP(B115,Input!J:J,Input!N:U)=0,"",
          _xlfn.XLOOKUP(B115,Input!J:J,Input!N:U)),"")</f>
        <v/>
      </c>
      <c r="X115" s="42" t="str">
        <v/>
      </c>
      <c r="Y115" s="42" t="str">
        <v/>
      </c>
      <c r="Z115" s="42" t="str">
        <v/>
      </c>
      <c r="AA115" s="42" t="str">
        <v/>
      </c>
      <c r="AB115" s="42" t="str">
        <v/>
      </c>
      <c r="AC115" s="42" t="str">
        <v/>
      </c>
      <c r="AD115" s="42" t="str">
        <v/>
      </c>
      <c r="AE115" s="32" t="str">
        <f t="shared" si="3"/>
        <v/>
      </c>
      <c r="AF115" s="32" t="str">
        <f>_xlfn.XLOOKUP(B:B,Disk_Pivot!G:G,Disk_Pivot!I:I)</f>
        <v>Yes x2</v>
      </c>
      <c r="AG115" s="32" t="str">
        <f>_xlfn.XLOOKUP(B115,Disk_Pivot!G:G,Disk_Pivot!N:N)</f>
        <v>Pass, Fail</v>
      </c>
      <c r="AH115" s="32"/>
      <c r="AI115" s="32"/>
      <c r="AJ115" s="32"/>
      <c r="AK115" s="32"/>
      <c r="AL115" s="32"/>
      <c r="AM115" s="32"/>
    </row>
    <row r="116" spans="1:39">
      <c r="A116" s="32" t="str">
        <f>_xlfn.XLOOKUP(B116,Input!J:J,Input!G:G)&amp;""</f>
        <v/>
      </c>
      <c r="B116" s="32"/>
      <c r="C116" s="32" t="str">
        <f>_xlfn.XLOOKUP(B116,Input!J:J,Input!H:H)&amp;""</f>
        <v/>
      </c>
      <c r="D116" s="42">
        <f>_xlfn.XLOOKUP(B116,Input!J:J,Input!F:F)</f>
        <v>0</v>
      </c>
      <c r="E116" s="32">
        <f>_xlfn.XLOOKUP(D116,Models!H:H,Models!G:G,D116)</f>
        <v>0</v>
      </c>
      <c r="F116" s="32">
        <f>_xlfn.XLOOKUP(B116,Input!J:J,Input!E:E)</f>
        <v>0</v>
      </c>
      <c r="G116" s="32">
        <f>IF(F116="LENOVO",_xlfn.XLOOKUP(B116,Input!J:J,Input!K:K),_xlfn.XLOOKUP(B116,Input!J:J,Input!L:L))</f>
        <v>0</v>
      </c>
      <c r="H116" s="32"/>
      <c r="I116" s="32"/>
      <c r="J116" s="32">
        <f>_xlfn.XLOOKUP(B116,CPU_Formula!A:A,CPU_Formula!I:I)</f>
        <v>0</v>
      </c>
      <c r="K116" s="42" t="e">
        <f>INDEX(Input!$D$2:$AC$500,
       MATCH(B116, Input!$J$2:$J$500, 0),
       MATCH("Total Memory", Input!$D$1:$AC$1, 0))</f>
        <v>#N/A</v>
      </c>
      <c r="L116" s="42" t="e">
        <f>INDEX(Input!$D$2:$AC$500,
       MATCH(B116, Input!$J$2:$J$500, 0),
       MATCH("Memory Type", Input!$D$1:$AC$1, 0))</f>
        <v>#N/A</v>
      </c>
      <c r="M116" s="42" t="str" cm="1">
        <f t="array" ref="M116">IFERROR(_xlfn.FILTERXML("&lt;t&gt;&lt;s&gt;" &amp; SUBSTITUTE(L116," / ","&lt;/s&gt;&lt;s&gt;") &amp; "&lt;/s&gt;&lt;/t&gt;","(//s[contains(.,'DDR')])[1]"),"")</f>
        <v/>
      </c>
      <c r="N116" s="32" t="e">
        <f t="shared" si="5"/>
        <v>#N/A</v>
      </c>
      <c r="O116" s="42" t="e">
        <f>INDEX(Input!$D$2:$AC$500,
       MATCH(B116, Input!$J$2:$J$500, 0),
       MATCH("Disk Interface Type", Input!$D$1:$AC$1, 0))</f>
        <v>#N/A</v>
      </c>
      <c r="P116" s="42" t="str" cm="1">
        <f t="array" ref="P116">IFERROR(_xlfn.TEXTJOIN(", ", TRUE, _xlfn._xlws.FILTER(
    INDEX(Input!$D$2:$AC$500,,MATCH("Disk Capacity",Input!$D$1:$AC$1,0)),
    Input!$J$2:$J$500=B116
)), "")</f>
        <v/>
      </c>
      <c r="Q116" s="32" t="e">
        <f t="shared" si="4"/>
        <v>#N/A</v>
      </c>
      <c r="R116" s="42" t="e">
        <f>_xlfn.LET(_xlpm.Result,INDEX(Input!$D$2:$AC$500,
       MATCH(B116, Input!$J$2:$J$500, 0),
       MATCH("Capacity", Input!$D$1:$AC$1, 0)),IF(_xlpm.Result="","",_xlpm.Result))</f>
        <v>#N/A</v>
      </c>
      <c r="S116" s="42" t="e" cm="1">
        <f t="array" ref="S116">_xlfn.TEXTSPLIT(R116," / ", ,TRUE,0,)</f>
        <v>#N/A</v>
      </c>
      <c r="T116" s="42"/>
      <c r="U116" s="42" t="str" cm="1">
        <f t="array" ref="U116">IFERROR(_xlfn.IFS(
S116="","",
--S116&lt;55,"Battery Defect",
--S116&lt;=69,"Battery D",
--S116&lt;=80,"Battery C",
--S116&gt;80,""
),"")</f>
        <v/>
      </c>
      <c r="V116" s="42" t="str" cm="1">
        <f t="array" ref="V116">IFERROR(_xlfn.IFS(
T116="","",
--T116&lt;55,"Battery Defect",
--T116&lt;=69,"Battery D",
--T116&lt;=80,"Battery C",
--T116&gt;80,""
),"")</f>
        <v/>
      </c>
      <c r="W116" s="42" t="str" cm="1">
        <f t="array" ref="W116:AD116">IFERROR(IF(_xlfn.XLOOKUP(B116,Input!J:J,Input!N:U)=0,"",
          _xlfn.XLOOKUP(B116,Input!J:J,Input!N:U)),"")</f>
        <v/>
      </c>
      <c r="X116" s="42" t="str">
        <v/>
      </c>
      <c r="Y116" s="42" t="str">
        <v/>
      </c>
      <c r="Z116" s="42" t="str">
        <v/>
      </c>
      <c r="AA116" s="42" t="str">
        <v/>
      </c>
      <c r="AB116" s="42" t="str">
        <v/>
      </c>
      <c r="AC116" s="42" t="str">
        <v/>
      </c>
      <c r="AD116" s="42" t="str">
        <v/>
      </c>
      <c r="AE116" s="32" t="str">
        <f t="shared" si="3"/>
        <v/>
      </c>
      <c r="AF116" s="32" t="str">
        <f>_xlfn.XLOOKUP(B:B,Disk_Pivot!G:G,Disk_Pivot!I:I)</f>
        <v>Yes x2</v>
      </c>
      <c r="AG116" s="32" t="str">
        <f>_xlfn.XLOOKUP(B116,Disk_Pivot!G:G,Disk_Pivot!N:N)</f>
        <v>Pass, Fail</v>
      </c>
      <c r="AH116" s="32"/>
      <c r="AI116" s="32"/>
      <c r="AJ116" s="32"/>
      <c r="AK116" s="32"/>
      <c r="AL116" s="32"/>
      <c r="AM116" s="32"/>
    </row>
    <row r="117" spans="1:39">
      <c r="A117" s="32" t="str">
        <f>_xlfn.XLOOKUP(B117,Input!J:J,Input!G:G)&amp;""</f>
        <v/>
      </c>
      <c r="B117" s="32"/>
      <c r="C117" s="32" t="str">
        <f>_xlfn.XLOOKUP(B117,Input!J:J,Input!H:H)&amp;""</f>
        <v/>
      </c>
      <c r="D117" s="42">
        <f>_xlfn.XLOOKUP(B117,Input!J:J,Input!F:F)</f>
        <v>0</v>
      </c>
      <c r="E117" s="32">
        <f>_xlfn.XLOOKUP(D117,Models!H:H,Models!G:G,D117)</f>
        <v>0</v>
      </c>
      <c r="F117" s="32">
        <f>_xlfn.XLOOKUP(B117,Input!J:J,Input!E:E)</f>
        <v>0</v>
      </c>
      <c r="G117" s="32">
        <f>IF(F117="LENOVO",_xlfn.XLOOKUP(B117,Input!J:J,Input!K:K),_xlfn.XLOOKUP(B117,Input!J:J,Input!L:L))</f>
        <v>0</v>
      </c>
      <c r="H117" s="32"/>
      <c r="I117" s="32"/>
      <c r="J117" s="32">
        <f>_xlfn.XLOOKUP(B117,CPU_Formula!A:A,CPU_Formula!I:I)</f>
        <v>0</v>
      </c>
      <c r="K117" s="42" t="e">
        <f>INDEX(Input!$D$2:$AC$500,
       MATCH(B117, Input!$J$2:$J$500, 0),
       MATCH("Total Memory", Input!$D$1:$AC$1, 0))</f>
        <v>#N/A</v>
      </c>
      <c r="L117" s="42" t="e">
        <f>INDEX(Input!$D$2:$AC$500,
       MATCH(B117, Input!$J$2:$J$500, 0),
       MATCH("Memory Type", Input!$D$1:$AC$1, 0))</f>
        <v>#N/A</v>
      </c>
      <c r="M117" s="42" t="str" cm="1">
        <f t="array" ref="M117">IFERROR(_xlfn.FILTERXML("&lt;t&gt;&lt;s&gt;" &amp; SUBSTITUTE(L117," / ","&lt;/s&gt;&lt;s&gt;") &amp; "&lt;/s&gt;&lt;/t&gt;","(//s[contains(.,'DDR')])[1]"),"")</f>
        <v/>
      </c>
      <c r="N117" s="32" t="e">
        <f t="shared" si="5"/>
        <v>#N/A</v>
      </c>
      <c r="O117" s="42" t="e">
        <f>INDEX(Input!$D$2:$AC$500,
       MATCH(B117, Input!$J$2:$J$500, 0),
       MATCH("Disk Interface Type", Input!$D$1:$AC$1, 0))</f>
        <v>#N/A</v>
      </c>
      <c r="P117" s="42" t="str" cm="1">
        <f t="array" ref="P117">IFERROR(_xlfn.TEXTJOIN(", ", TRUE, _xlfn._xlws.FILTER(
    INDEX(Input!$D$2:$AC$500,,MATCH("Disk Capacity",Input!$D$1:$AC$1,0)),
    Input!$J$2:$J$500=B117
)), "")</f>
        <v/>
      </c>
      <c r="Q117" s="32" t="e">
        <f t="shared" si="4"/>
        <v>#N/A</v>
      </c>
      <c r="R117" s="42" t="e">
        <f>_xlfn.LET(_xlpm.Result,INDEX(Input!$D$2:$AC$500,
       MATCH(B117, Input!$J$2:$J$500, 0),
       MATCH("Capacity", Input!$D$1:$AC$1, 0)),IF(_xlpm.Result="","",_xlpm.Result))</f>
        <v>#N/A</v>
      </c>
      <c r="S117" s="42" t="e" cm="1">
        <f t="array" ref="S117">_xlfn.TEXTSPLIT(R117," / ", ,TRUE,0,)</f>
        <v>#N/A</v>
      </c>
      <c r="T117" s="42"/>
      <c r="U117" s="42" t="str" cm="1">
        <f t="array" ref="U117">IFERROR(_xlfn.IFS(
S117="","",
--S117&lt;55,"Battery Defect",
--S117&lt;=69,"Battery D",
--S117&lt;=80,"Battery C",
--S117&gt;80,""
),"")</f>
        <v/>
      </c>
      <c r="V117" s="42" t="str" cm="1">
        <f t="array" ref="V117">IFERROR(_xlfn.IFS(
T117="","",
--T117&lt;55,"Battery Defect",
--T117&lt;=69,"Battery D",
--T117&lt;=80,"Battery C",
--T117&gt;80,""
),"")</f>
        <v/>
      </c>
      <c r="W117" s="42" t="str" cm="1">
        <f t="array" ref="W117:AD117">IFERROR(IF(_xlfn.XLOOKUP(B117,Input!J:J,Input!N:U)=0,"",
          _xlfn.XLOOKUP(B117,Input!J:J,Input!N:U)),"")</f>
        <v/>
      </c>
      <c r="X117" s="42" t="str">
        <v/>
      </c>
      <c r="Y117" s="42" t="str">
        <v/>
      </c>
      <c r="Z117" s="42" t="str">
        <v/>
      </c>
      <c r="AA117" s="42" t="str">
        <v/>
      </c>
      <c r="AB117" s="42" t="str">
        <v/>
      </c>
      <c r="AC117" s="42" t="str">
        <v/>
      </c>
      <c r="AD117" s="42" t="str">
        <v/>
      </c>
      <c r="AE117" s="32" t="str">
        <f t="shared" si="3"/>
        <v/>
      </c>
      <c r="AF117" s="32" t="str">
        <f>_xlfn.XLOOKUP(B:B,Disk_Pivot!G:G,Disk_Pivot!I:I)</f>
        <v>Yes x2</v>
      </c>
      <c r="AG117" s="32" t="str">
        <f>_xlfn.XLOOKUP(B117,Disk_Pivot!G:G,Disk_Pivot!N:N)</f>
        <v>Pass, Fail</v>
      </c>
      <c r="AH117" s="32"/>
      <c r="AI117" s="32"/>
      <c r="AJ117" s="32"/>
      <c r="AK117" s="32"/>
      <c r="AL117" s="32"/>
      <c r="AM117" s="32"/>
    </row>
    <row r="118" spans="1:39">
      <c r="A118" s="32" t="str">
        <f>_xlfn.XLOOKUP(B118,Input!J:J,Input!G:G)&amp;""</f>
        <v/>
      </c>
      <c r="B118" s="32"/>
      <c r="C118" s="32" t="str">
        <f>_xlfn.XLOOKUP(B118,Input!J:J,Input!H:H)&amp;""</f>
        <v/>
      </c>
      <c r="D118" s="42">
        <f>_xlfn.XLOOKUP(B118,Input!J:J,Input!F:F)</f>
        <v>0</v>
      </c>
      <c r="E118" s="32">
        <f>_xlfn.XLOOKUP(D118,Models!H:H,Models!G:G,D118)</f>
        <v>0</v>
      </c>
      <c r="F118" s="32">
        <f>_xlfn.XLOOKUP(B118,Input!J:J,Input!E:E)</f>
        <v>0</v>
      </c>
      <c r="G118" s="32">
        <f>IF(F118="LENOVO",_xlfn.XLOOKUP(B118,Input!J:J,Input!K:K),_xlfn.XLOOKUP(B118,Input!J:J,Input!L:L))</f>
        <v>0</v>
      </c>
      <c r="H118" s="32"/>
      <c r="I118" s="32"/>
      <c r="J118" s="32">
        <f>_xlfn.XLOOKUP(B118,CPU_Formula!A:A,CPU_Formula!I:I)</f>
        <v>0</v>
      </c>
      <c r="K118" s="42" t="e">
        <f>INDEX(Input!$D$2:$AC$500,
       MATCH(B118, Input!$J$2:$J$500, 0),
       MATCH("Total Memory", Input!$D$1:$AC$1, 0))</f>
        <v>#N/A</v>
      </c>
      <c r="L118" s="42" t="e">
        <f>INDEX(Input!$D$2:$AC$500,
       MATCH(B118, Input!$J$2:$J$500, 0),
       MATCH("Memory Type", Input!$D$1:$AC$1, 0))</f>
        <v>#N/A</v>
      </c>
      <c r="M118" s="42" t="str" cm="1">
        <f t="array" ref="M118">IFERROR(_xlfn.FILTERXML("&lt;t&gt;&lt;s&gt;" &amp; SUBSTITUTE(L118," / ","&lt;/s&gt;&lt;s&gt;") &amp; "&lt;/s&gt;&lt;/t&gt;","(//s[contains(.,'DDR')])[1]"),"")</f>
        <v/>
      </c>
      <c r="N118" s="32" t="e">
        <f t="shared" si="5"/>
        <v>#N/A</v>
      </c>
      <c r="O118" s="42" t="e">
        <f>INDEX(Input!$D$2:$AC$500,
       MATCH(B118, Input!$J$2:$J$500, 0),
       MATCH("Disk Interface Type", Input!$D$1:$AC$1, 0))</f>
        <v>#N/A</v>
      </c>
      <c r="P118" s="42" t="str" cm="1">
        <f t="array" ref="P118">IFERROR(_xlfn.TEXTJOIN(", ", TRUE, _xlfn._xlws.FILTER(
    INDEX(Input!$D$2:$AC$500,,MATCH("Disk Capacity",Input!$D$1:$AC$1,0)),
    Input!$J$2:$J$500=B118
)), "")</f>
        <v/>
      </c>
      <c r="Q118" s="32" t="e">
        <f t="shared" si="4"/>
        <v>#N/A</v>
      </c>
      <c r="R118" s="42" t="e">
        <f>_xlfn.LET(_xlpm.Result,INDEX(Input!$D$2:$AC$500,
       MATCH(B118, Input!$J$2:$J$500, 0),
       MATCH("Capacity", Input!$D$1:$AC$1, 0)),IF(_xlpm.Result="","",_xlpm.Result))</f>
        <v>#N/A</v>
      </c>
      <c r="S118" s="42" t="e" cm="1">
        <f t="array" ref="S118">_xlfn.TEXTSPLIT(R118," / ", ,TRUE,0,)</f>
        <v>#N/A</v>
      </c>
      <c r="T118" s="42"/>
      <c r="U118" s="42" t="str" cm="1">
        <f t="array" ref="U118">IFERROR(_xlfn.IFS(
S118="","",
--S118&lt;55,"Battery Defect",
--S118&lt;=69,"Battery D",
--S118&lt;=80,"Battery C",
--S118&gt;80,""
),"")</f>
        <v/>
      </c>
      <c r="V118" s="42" t="str" cm="1">
        <f t="array" ref="V118">IFERROR(_xlfn.IFS(
T118="","",
--T118&lt;55,"Battery Defect",
--T118&lt;=69,"Battery D",
--T118&lt;=80,"Battery C",
--T118&gt;80,""
),"")</f>
        <v/>
      </c>
      <c r="W118" s="42" t="str" cm="1">
        <f t="array" ref="W118:AD118">IFERROR(IF(_xlfn.XLOOKUP(B118,Input!J:J,Input!N:U)=0,"",
          _xlfn.XLOOKUP(B118,Input!J:J,Input!N:U)),"")</f>
        <v/>
      </c>
      <c r="X118" s="42" t="str">
        <v/>
      </c>
      <c r="Y118" s="42" t="str">
        <v/>
      </c>
      <c r="Z118" s="42" t="str">
        <v/>
      </c>
      <c r="AA118" s="42" t="str">
        <v/>
      </c>
      <c r="AB118" s="42" t="str">
        <v/>
      </c>
      <c r="AC118" s="42" t="str">
        <v/>
      </c>
      <c r="AD118" s="42" t="str">
        <v/>
      </c>
      <c r="AE118" s="32" t="str">
        <f t="shared" si="3"/>
        <v/>
      </c>
      <c r="AF118" s="32" t="str">
        <f>_xlfn.XLOOKUP(B:B,Disk_Pivot!G:G,Disk_Pivot!I:I)</f>
        <v>Yes x2</v>
      </c>
      <c r="AG118" s="32" t="str">
        <f>_xlfn.XLOOKUP(B118,Disk_Pivot!G:G,Disk_Pivot!N:N)</f>
        <v>Pass, Fail</v>
      </c>
      <c r="AH118" s="32"/>
      <c r="AI118" s="32"/>
      <c r="AJ118" s="32"/>
      <c r="AK118" s="32"/>
      <c r="AL118" s="32"/>
      <c r="AM118" s="32"/>
    </row>
    <row r="119" spans="1:39">
      <c r="A119" s="32" t="str">
        <f>_xlfn.XLOOKUP(B119,Input!J:J,Input!G:G)&amp;""</f>
        <v/>
      </c>
      <c r="B119" s="32"/>
      <c r="C119" s="32" t="str">
        <f>_xlfn.XLOOKUP(B119,Input!J:J,Input!H:H)&amp;""</f>
        <v/>
      </c>
      <c r="D119" s="42">
        <f>_xlfn.XLOOKUP(B119,Input!J:J,Input!F:F)</f>
        <v>0</v>
      </c>
      <c r="E119" s="32">
        <f>_xlfn.XLOOKUP(D119,Models!H:H,Models!G:G,D119)</f>
        <v>0</v>
      </c>
      <c r="F119" s="32">
        <f>_xlfn.XLOOKUP(B119,Input!J:J,Input!E:E)</f>
        <v>0</v>
      </c>
      <c r="G119" s="32">
        <f>IF(F119="LENOVO",_xlfn.XLOOKUP(B119,Input!J:J,Input!K:K),_xlfn.XLOOKUP(B119,Input!J:J,Input!L:L))</f>
        <v>0</v>
      </c>
      <c r="H119" s="32"/>
      <c r="I119" s="32"/>
      <c r="J119" s="32">
        <f>_xlfn.XLOOKUP(B119,CPU_Formula!A:A,CPU_Formula!I:I)</f>
        <v>0</v>
      </c>
      <c r="K119" s="42" t="e">
        <f>INDEX(Input!$D$2:$AC$500,
       MATCH(B119, Input!$J$2:$J$500, 0),
       MATCH("Total Memory", Input!$D$1:$AC$1, 0))</f>
        <v>#N/A</v>
      </c>
      <c r="L119" s="42" t="e">
        <f>INDEX(Input!$D$2:$AC$500,
       MATCH(B119, Input!$J$2:$J$500, 0),
       MATCH("Memory Type", Input!$D$1:$AC$1, 0))</f>
        <v>#N/A</v>
      </c>
      <c r="M119" s="42" t="str" cm="1">
        <f t="array" ref="M119">IFERROR(_xlfn.FILTERXML("&lt;t&gt;&lt;s&gt;" &amp; SUBSTITUTE(L119," / ","&lt;/s&gt;&lt;s&gt;") &amp; "&lt;/s&gt;&lt;/t&gt;","(//s[contains(.,'DDR')])[1]"),"")</f>
        <v/>
      </c>
      <c r="N119" s="32" t="e">
        <f t="shared" si="5"/>
        <v>#N/A</v>
      </c>
      <c r="O119" s="42" t="e">
        <f>INDEX(Input!$D$2:$AC$500,
       MATCH(B119, Input!$J$2:$J$500, 0),
       MATCH("Disk Interface Type", Input!$D$1:$AC$1, 0))</f>
        <v>#N/A</v>
      </c>
      <c r="P119" s="42" t="str" cm="1">
        <f t="array" ref="P119">IFERROR(_xlfn.TEXTJOIN(", ", TRUE, _xlfn._xlws.FILTER(
    INDEX(Input!$D$2:$AC$500,,MATCH("Disk Capacity",Input!$D$1:$AC$1,0)),
    Input!$J$2:$J$500=B119
)), "")</f>
        <v/>
      </c>
      <c r="Q119" s="32" t="e">
        <f t="shared" si="4"/>
        <v>#N/A</v>
      </c>
      <c r="R119" s="42" t="e">
        <f>_xlfn.LET(_xlpm.Result,INDEX(Input!$D$2:$AC$500,
       MATCH(B119, Input!$J$2:$J$500, 0),
       MATCH("Capacity", Input!$D$1:$AC$1, 0)),IF(_xlpm.Result="","",_xlpm.Result))</f>
        <v>#N/A</v>
      </c>
      <c r="S119" s="42" t="e" cm="1">
        <f t="array" ref="S119">_xlfn.TEXTSPLIT(R119," / ", ,TRUE,0,)</f>
        <v>#N/A</v>
      </c>
      <c r="T119" s="42"/>
      <c r="U119" s="42" t="str" cm="1">
        <f t="array" ref="U119">IFERROR(_xlfn.IFS(
S119="","",
--S119&lt;55,"Battery Defect",
--S119&lt;=69,"Battery D",
--S119&lt;=80,"Battery C",
--S119&gt;80,""
),"")</f>
        <v/>
      </c>
      <c r="V119" s="42" t="str" cm="1">
        <f t="array" ref="V119">IFERROR(_xlfn.IFS(
T119="","",
--T119&lt;55,"Battery Defect",
--T119&lt;=69,"Battery D",
--T119&lt;=80,"Battery C",
--T119&gt;80,""
),"")</f>
        <v/>
      </c>
      <c r="W119" s="42" t="str" cm="1">
        <f t="array" ref="W119:AD119">IFERROR(IF(_xlfn.XLOOKUP(B119,Input!J:J,Input!N:U)=0,"",
          _xlfn.XLOOKUP(B119,Input!J:J,Input!N:U)),"")</f>
        <v/>
      </c>
      <c r="X119" s="42" t="str">
        <v/>
      </c>
      <c r="Y119" s="42" t="str">
        <v/>
      </c>
      <c r="Z119" s="42" t="str">
        <v/>
      </c>
      <c r="AA119" s="42" t="str">
        <v/>
      </c>
      <c r="AB119" s="42" t="str">
        <v/>
      </c>
      <c r="AC119" s="42" t="str">
        <v/>
      </c>
      <c r="AD119" s="42" t="str">
        <v/>
      </c>
      <c r="AE119" s="32" t="str">
        <f t="shared" si="3"/>
        <v/>
      </c>
      <c r="AF119" s="32" t="str">
        <f>_xlfn.XLOOKUP(B:B,Disk_Pivot!G:G,Disk_Pivot!I:I)</f>
        <v>Yes x2</v>
      </c>
      <c r="AG119" s="32" t="str">
        <f>_xlfn.XLOOKUP(B119,Disk_Pivot!G:G,Disk_Pivot!N:N)</f>
        <v>Pass, Fail</v>
      </c>
      <c r="AH119" s="32"/>
      <c r="AI119" s="32"/>
      <c r="AJ119" s="32"/>
      <c r="AK119" s="32"/>
      <c r="AL119" s="32"/>
      <c r="AM119" s="32"/>
    </row>
    <row r="120" spans="1:39">
      <c r="A120" s="32" t="str">
        <f>_xlfn.XLOOKUP(B120,Input!J:J,Input!G:G)&amp;""</f>
        <v/>
      </c>
      <c r="B120" s="32"/>
      <c r="C120" s="32" t="str">
        <f>_xlfn.XLOOKUP(B120,Input!J:J,Input!H:H)&amp;""</f>
        <v/>
      </c>
      <c r="D120" s="42">
        <f>_xlfn.XLOOKUP(B120,Input!J:J,Input!F:F)</f>
        <v>0</v>
      </c>
      <c r="E120" s="32">
        <f>_xlfn.XLOOKUP(D120,Models!H:H,Models!G:G,D120)</f>
        <v>0</v>
      </c>
      <c r="F120" s="32">
        <f>_xlfn.XLOOKUP(B120,Input!J:J,Input!E:E)</f>
        <v>0</v>
      </c>
      <c r="G120" s="32">
        <f>IF(F120="LENOVO",_xlfn.XLOOKUP(B120,Input!J:J,Input!K:K),_xlfn.XLOOKUP(B120,Input!J:J,Input!L:L))</f>
        <v>0</v>
      </c>
      <c r="H120" s="32"/>
      <c r="I120" s="32"/>
      <c r="J120" s="32">
        <f>_xlfn.XLOOKUP(B120,CPU_Formula!A:A,CPU_Formula!I:I)</f>
        <v>0</v>
      </c>
      <c r="K120" s="42" t="e">
        <f>INDEX(Input!$D$2:$AC$500,
       MATCH(B120, Input!$J$2:$J$500, 0),
       MATCH("Total Memory", Input!$D$1:$AC$1, 0))</f>
        <v>#N/A</v>
      </c>
      <c r="L120" s="42" t="e">
        <f>INDEX(Input!$D$2:$AC$500,
       MATCH(B120, Input!$J$2:$J$500, 0),
       MATCH("Memory Type", Input!$D$1:$AC$1, 0))</f>
        <v>#N/A</v>
      </c>
      <c r="M120" s="42" t="str" cm="1">
        <f t="array" ref="M120">IFERROR(_xlfn.FILTERXML("&lt;t&gt;&lt;s&gt;" &amp; SUBSTITUTE(L120," / ","&lt;/s&gt;&lt;s&gt;") &amp; "&lt;/s&gt;&lt;/t&gt;","(//s[contains(.,'DDR')])[1]"),"")</f>
        <v/>
      </c>
      <c r="N120" s="32" t="e">
        <f t="shared" si="5"/>
        <v>#N/A</v>
      </c>
      <c r="O120" s="42" t="e">
        <f>INDEX(Input!$D$2:$AC$500,
       MATCH(B120, Input!$J$2:$J$500, 0),
       MATCH("Disk Interface Type", Input!$D$1:$AC$1, 0))</f>
        <v>#N/A</v>
      </c>
      <c r="P120" s="42" t="str" cm="1">
        <f t="array" ref="P120">IFERROR(_xlfn.TEXTJOIN(", ", TRUE, _xlfn._xlws.FILTER(
    INDEX(Input!$D$2:$AC$500,,MATCH("Disk Capacity",Input!$D$1:$AC$1,0)),
    Input!$J$2:$J$500=B120
)), "")</f>
        <v/>
      </c>
      <c r="Q120" s="32" t="e">
        <f t="shared" si="4"/>
        <v>#N/A</v>
      </c>
      <c r="R120" s="42" t="e">
        <f>_xlfn.LET(_xlpm.Result,INDEX(Input!$D$2:$AC$500,
       MATCH(B120, Input!$J$2:$J$500, 0),
       MATCH("Capacity", Input!$D$1:$AC$1, 0)),IF(_xlpm.Result="","",_xlpm.Result))</f>
        <v>#N/A</v>
      </c>
      <c r="S120" s="42" t="e" cm="1">
        <f t="array" ref="S120">_xlfn.TEXTSPLIT(R120," / ", ,TRUE,0,)</f>
        <v>#N/A</v>
      </c>
      <c r="T120" s="42"/>
      <c r="U120" s="42" t="str" cm="1">
        <f t="array" ref="U120">IFERROR(_xlfn.IFS(
S120="","",
--S120&lt;55,"Battery Defect",
--S120&lt;=69,"Battery D",
--S120&lt;=80,"Battery C",
--S120&gt;80,""
),"")</f>
        <v/>
      </c>
      <c r="V120" s="42" t="str" cm="1">
        <f t="array" ref="V120">IFERROR(_xlfn.IFS(
T120="","",
--T120&lt;55,"Battery Defect",
--T120&lt;=69,"Battery D",
--T120&lt;=80,"Battery C",
--T120&gt;80,""
),"")</f>
        <v/>
      </c>
      <c r="W120" s="42" t="str" cm="1">
        <f t="array" ref="W120:AD120">IFERROR(IF(_xlfn.XLOOKUP(B120,Input!J:J,Input!N:U)=0,"",
          _xlfn.XLOOKUP(B120,Input!J:J,Input!N:U)),"")</f>
        <v/>
      </c>
      <c r="X120" s="42" t="str">
        <v/>
      </c>
      <c r="Y120" s="42" t="str">
        <v/>
      </c>
      <c r="Z120" s="42" t="str">
        <v/>
      </c>
      <c r="AA120" s="42" t="str">
        <v/>
      </c>
      <c r="AB120" s="42" t="str">
        <v/>
      </c>
      <c r="AC120" s="42" t="str">
        <v/>
      </c>
      <c r="AD120" s="42" t="str">
        <v/>
      </c>
      <c r="AE120" s="32" t="str">
        <f t="shared" si="3"/>
        <v/>
      </c>
      <c r="AF120" s="32" t="str">
        <f>_xlfn.XLOOKUP(B:B,Disk_Pivot!G:G,Disk_Pivot!I:I)</f>
        <v>Yes x2</v>
      </c>
      <c r="AG120" s="32" t="str">
        <f>_xlfn.XLOOKUP(B120,Disk_Pivot!G:G,Disk_Pivot!N:N)</f>
        <v>Pass, Fail</v>
      </c>
      <c r="AH120" s="32"/>
      <c r="AI120" s="32"/>
      <c r="AJ120" s="32"/>
      <c r="AK120" s="32"/>
      <c r="AL120" s="32"/>
      <c r="AM120" s="32"/>
    </row>
    <row r="121" spans="1:39">
      <c r="A121" s="32" t="str">
        <f>_xlfn.XLOOKUP(B121,Input!J:J,Input!G:G)&amp;""</f>
        <v/>
      </c>
      <c r="B121" s="32"/>
      <c r="C121" s="32" t="str">
        <f>_xlfn.XLOOKUP(B121,Input!J:J,Input!H:H)&amp;""</f>
        <v/>
      </c>
      <c r="D121" s="42">
        <f>_xlfn.XLOOKUP(B121,Input!J:J,Input!F:F)</f>
        <v>0</v>
      </c>
      <c r="E121" s="32">
        <f>_xlfn.XLOOKUP(D121,Models!H:H,Models!G:G,D121)</f>
        <v>0</v>
      </c>
      <c r="F121" s="32">
        <f>_xlfn.XLOOKUP(B121,Input!J:J,Input!E:E)</f>
        <v>0</v>
      </c>
      <c r="G121" s="32">
        <f>IF(F121="LENOVO",_xlfn.XLOOKUP(B121,Input!J:J,Input!K:K),_xlfn.XLOOKUP(B121,Input!J:J,Input!L:L))</f>
        <v>0</v>
      </c>
      <c r="H121" s="32"/>
      <c r="I121" s="32"/>
      <c r="J121" s="32">
        <f>_xlfn.XLOOKUP(B121,CPU_Formula!A:A,CPU_Formula!I:I)</f>
        <v>0</v>
      </c>
      <c r="K121" s="42" t="e">
        <f>INDEX(Input!$D$2:$AC$500,
       MATCH(B121, Input!$J$2:$J$500, 0),
       MATCH("Total Memory", Input!$D$1:$AC$1, 0))</f>
        <v>#N/A</v>
      </c>
      <c r="L121" s="42" t="e">
        <f>INDEX(Input!$D$2:$AC$500,
       MATCH(B121, Input!$J$2:$J$500, 0),
       MATCH("Memory Type", Input!$D$1:$AC$1, 0))</f>
        <v>#N/A</v>
      </c>
      <c r="M121" s="42" t="str" cm="1">
        <f t="array" ref="M121">IFERROR(_xlfn.FILTERXML("&lt;t&gt;&lt;s&gt;" &amp; SUBSTITUTE(L121," / ","&lt;/s&gt;&lt;s&gt;") &amp; "&lt;/s&gt;&lt;/t&gt;","(//s[contains(.,'DDR')])[1]"),"")</f>
        <v/>
      </c>
      <c r="N121" s="32" t="e">
        <f t="shared" si="5"/>
        <v>#N/A</v>
      </c>
      <c r="O121" s="42" t="e">
        <f>INDEX(Input!$D$2:$AC$500,
       MATCH(B121, Input!$J$2:$J$500, 0),
       MATCH("Disk Interface Type", Input!$D$1:$AC$1, 0))</f>
        <v>#N/A</v>
      </c>
      <c r="P121" s="42" t="str" cm="1">
        <f t="array" ref="P121">IFERROR(_xlfn.TEXTJOIN(", ", TRUE, _xlfn._xlws.FILTER(
    INDEX(Input!$D$2:$AC$500,,MATCH("Disk Capacity",Input!$D$1:$AC$1,0)),
    Input!$J$2:$J$500=B121
)), "")</f>
        <v/>
      </c>
      <c r="Q121" s="32" t="e">
        <f t="shared" si="4"/>
        <v>#N/A</v>
      </c>
      <c r="R121" s="42" t="e">
        <f>_xlfn.LET(_xlpm.Result,INDEX(Input!$D$2:$AC$500,
       MATCH(B121, Input!$J$2:$J$500, 0),
       MATCH("Capacity", Input!$D$1:$AC$1, 0)),IF(_xlpm.Result="","",_xlpm.Result))</f>
        <v>#N/A</v>
      </c>
      <c r="S121" s="42" t="e" cm="1">
        <f t="array" ref="S121">_xlfn.TEXTSPLIT(R121," / ", ,TRUE,0,)</f>
        <v>#N/A</v>
      </c>
      <c r="T121" s="42"/>
      <c r="U121" s="42" t="str" cm="1">
        <f t="array" ref="U121">IFERROR(_xlfn.IFS(
S121="","",
--S121&lt;55,"Battery Defect",
--S121&lt;=69,"Battery D",
--S121&lt;=80,"Battery C",
--S121&gt;80,""
),"")</f>
        <v/>
      </c>
      <c r="V121" s="42" t="str" cm="1">
        <f t="array" ref="V121">IFERROR(_xlfn.IFS(
T121="","",
--T121&lt;55,"Battery Defect",
--T121&lt;=69,"Battery D",
--T121&lt;=80,"Battery C",
--T121&gt;80,""
),"")</f>
        <v/>
      </c>
      <c r="W121" s="42" t="str" cm="1">
        <f t="array" ref="W121:AD121">IFERROR(IF(_xlfn.XLOOKUP(B121,Input!J:J,Input!N:U)=0,"",
          _xlfn.XLOOKUP(B121,Input!J:J,Input!N:U)),"")</f>
        <v/>
      </c>
      <c r="X121" s="42" t="str">
        <v/>
      </c>
      <c r="Y121" s="42" t="str">
        <v/>
      </c>
      <c r="Z121" s="42" t="str">
        <v/>
      </c>
      <c r="AA121" s="42" t="str">
        <v/>
      </c>
      <c r="AB121" s="42" t="str">
        <v/>
      </c>
      <c r="AC121" s="42" t="str">
        <v/>
      </c>
      <c r="AD121" s="42" t="str">
        <v/>
      </c>
      <c r="AE121" s="32" t="str">
        <f t="shared" si="3"/>
        <v/>
      </c>
      <c r="AF121" s="32" t="str">
        <f>_xlfn.XLOOKUP(B:B,Disk_Pivot!G:G,Disk_Pivot!I:I)</f>
        <v>Yes x2</v>
      </c>
      <c r="AG121" s="32" t="str">
        <f>_xlfn.XLOOKUP(B121,Disk_Pivot!G:G,Disk_Pivot!N:N)</f>
        <v>Pass, Fail</v>
      </c>
      <c r="AH121" s="32"/>
      <c r="AI121" s="32"/>
      <c r="AJ121" s="32"/>
      <c r="AK121" s="32"/>
      <c r="AL121" s="32"/>
      <c r="AM121" s="32"/>
    </row>
    <row r="122" spans="1:39">
      <c r="A122" s="32" t="str">
        <f>_xlfn.XLOOKUP(B122,Input!J:J,Input!G:G)&amp;""</f>
        <v/>
      </c>
      <c r="B122" s="32"/>
      <c r="C122" s="32" t="str">
        <f>_xlfn.XLOOKUP(B122,Input!J:J,Input!H:H)&amp;""</f>
        <v/>
      </c>
      <c r="D122" s="42">
        <f>_xlfn.XLOOKUP(B122,Input!J:J,Input!F:F)</f>
        <v>0</v>
      </c>
      <c r="E122" s="32">
        <f>_xlfn.XLOOKUP(D122,Models!H:H,Models!G:G,D122)</f>
        <v>0</v>
      </c>
      <c r="F122" s="32">
        <f>_xlfn.XLOOKUP(B122,Input!J:J,Input!E:E)</f>
        <v>0</v>
      </c>
      <c r="G122" s="32">
        <f>IF(F122="LENOVO",_xlfn.XLOOKUP(B122,Input!J:J,Input!K:K),_xlfn.XLOOKUP(B122,Input!J:J,Input!L:L))</f>
        <v>0</v>
      </c>
      <c r="H122" s="32"/>
      <c r="I122" s="32"/>
      <c r="J122" s="32">
        <f>_xlfn.XLOOKUP(B122,CPU_Formula!A:A,CPU_Formula!I:I)</f>
        <v>0</v>
      </c>
      <c r="K122" s="42" t="e">
        <f>INDEX(Input!$D$2:$AC$500,
       MATCH(B122, Input!$J$2:$J$500, 0),
       MATCH("Total Memory", Input!$D$1:$AC$1, 0))</f>
        <v>#N/A</v>
      </c>
      <c r="L122" s="42" t="e">
        <f>INDEX(Input!$D$2:$AC$500,
       MATCH(B122, Input!$J$2:$J$500, 0),
       MATCH("Memory Type", Input!$D$1:$AC$1, 0))</f>
        <v>#N/A</v>
      </c>
      <c r="M122" s="42" t="str" cm="1">
        <f t="array" ref="M122">IFERROR(_xlfn.FILTERXML("&lt;t&gt;&lt;s&gt;" &amp; SUBSTITUTE(L122," / ","&lt;/s&gt;&lt;s&gt;") &amp; "&lt;/s&gt;&lt;/t&gt;","(//s[contains(.,'DDR')])[1]"),"")</f>
        <v/>
      </c>
      <c r="N122" s="32" t="e">
        <f t="shared" si="5"/>
        <v>#N/A</v>
      </c>
      <c r="O122" s="42" t="e">
        <f>INDEX(Input!$D$2:$AC$500,
       MATCH(B122, Input!$J$2:$J$500, 0),
       MATCH("Disk Interface Type", Input!$D$1:$AC$1, 0))</f>
        <v>#N/A</v>
      </c>
      <c r="P122" s="42" t="str" cm="1">
        <f t="array" ref="P122">IFERROR(_xlfn.TEXTJOIN(", ", TRUE, _xlfn._xlws.FILTER(
    INDEX(Input!$D$2:$AC$500,,MATCH("Disk Capacity",Input!$D$1:$AC$1,0)),
    Input!$J$2:$J$500=B122
)), "")</f>
        <v/>
      </c>
      <c r="Q122" s="32" t="e">
        <f t="shared" si="4"/>
        <v>#N/A</v>
      </c>
      <c r="R122" s="42" t="e">
        <f>_xlfn.LET(_xlpm.Result,INDEX(Input!$D$2:$AC$500,
       MATCH(B122, Input!$J$2:$J$500, 0),
       MATCH("Capacity", Input!$D$1:$AC$1, 0)),IF(_xlpm.Result="","",_xlpm.Result))</f>
        <v>#N/A</v>
      </c>
      <c r="S122" s="42" t="e" cm="1">
        <f t="array" ref="S122">_xlfn.TEXTSPLIT(R122," / ", ,TRUE,0,)</f>
        <v>#N/A</v>
      </c>
      <c r="T122" s="42"/>
      <c r="U122" s="42" t="str" cm="1">
        <f t="array" ref="U122">IFERROR(_xlfn.IFS(
S122="","",
--S122&lt;55,"Battery Defect",
--S122&lt;=69,"Battery D",
--S122&lt;=80,"Battery C",
--S122&gt;80,""
),"")</f>
        <v/>
      </c>
      <c r="V122" s="42" t="str" cm="1">
        <f t="array" ref="V122">IFERROR(_xlfn.IFS(
T122="","",
--T122&lt;55,"Battery Defect",
--T122&lt;=69,"Battery D",
--T122&lt;=80,"Battery C",
--T122&gt;80,""
),"")</f>
        <v/>
      </c>
      <c r="W122" s="42" t="str" cm="1">
        <f t="array" ref="W122:AD122">IFERROR(IF(_xlfn.XLOOKUP(B122,Input!J:J,Input!N:U)=0,"",
          _xlfn.XLOOKUP(B122,Input!J:J,Input!N:U)),"")</f>
        <v/>
      </c>
      <c r="X122" s="42" t="str">
        <v/>
      </c>
      <c r="Y122" s="42" t="str">
        <v/>
      </c>
      <c r="Z122" s="42" t="str">
        <v/>
      </c>
      <c r="AA122" s="42" t="str">
        <v/>
      </c>
      <c r="AB122" s="42" t="str">
        <v/>
      </c>
      <c r="AC122" s="42" t="str">
        <v/>
      </c>
      <c r="AD122" s="42" t="str">
        <v/>
      </c>
      <c r="AE122" s="32" t="str">
        <f t="shared" si="3"/>
        <v/>
      </c>
      <c r="AF122" s="32" t="str">
        <f>_xlfn.XLOOKUP(B:B,Disk_Pivot!G:G,Disk_Pivot!I:I)</f>
        <v>Yes x2</v>
      </c>
      <c r="AG122" s="32" t="str">
        <f>_xlfn.XLOOKUP(B122,Disk_Pivot!G:G,Disk_Pivot!N:N)</f>
        <v>Pass, Fail</v>
      </c>
      <c r="AH122" s="32"/>
      <c r="AI122" s="32"/>
      <c r="AJ122" s="32"/>
      <c r="AK122" s="32"/>
      <c r="AL122" s="32"/>
      <c r="AM122" s="32"/>
    </row>
    <row r="123" spans="1:39">
      <c r="A123" s="32" t="str">
        <f>_xlfn.XLOOKUP(B123,Input!J:J,Input!G:G)&amp;""</f>
        <v/>
      </c>
      <c r="B123" s="32"/>
      <c r="C123" s="32" t="str">
        <f>_xlfn.XLOOKUP(B123,Input!J:J,Input!H:H)&amp;""</f>
        <v/>
      </c>
      <c r="D123" s="42">
        <f>_xlfn.XLOOKUP(B123,Input!J:J,Input!F:F)</f>
        <v>0</v>
      </c>
      <c r="E123" s="32">
        <f>_xlfn.XLOOKUP(D123,Models!H:H,Models!G:G,D123)</f>
        <v>0</v>
      </c>
      <c r="F123" s="32">
        <f>_xlfn.XLOOKUP(B123,Input!J:J,Input!E:E)</f>
        <v>0</v>
      </c>
      <c r="G123" s="32">
        <f>IF(F123="LENOVO",_xlfn.XLOOKUP(B123,Input!J:J,Input!K:K),_xlfn.XLOOKUP(B123,Input!J:J,Input!L:L))</f>
        <v>0</v>
      </c>
      <c r="H123" s="32"/>
      <c r="I123" s="32"/>
      <c r="J123" s="32">
        <f>_xlfn.XLOOKUP(B123,CPU_Formula!A:A,CPU_Formula!I:I)</f>
        <v>0</v>
      </c>
      <c r="K123" s="42" t="e">
        <f>INDEX(Input!$D$2:$AC$500,
       MATCH(B123, Input!$J$2:$J$500, 0),
       MATCH("Total Memory", Input!$D$1:$AC$1, 0))</f>
        <v>#N/A</v>
      </c>
      <c r="L123" s="42" t="e">
        <f>INDEX(Input!$D$2:$AC$500,
       MATCH(B123, Input!$J$2:$J$500, 0),
       MATCH("Memory Type", Input!$D$1:$AC$1, 0))</f>
        <v>#N/A</v>
      </c>
      <c r="M123" s="42" t="str" cm="1">
        <f t="array" ref="M123">IFERROR(_xlfn.FILTERXML("&lt;t&gt;&lt;s&gt;" &amp; SUBSTITUTE(L123," / ","&lt;/s&gt;&lt;s&gt;") &amp; "&lt;/s&gt;&lt;/t&gt;","(//s[contains(.,'DDR')])[1]"),"")</f>
        <v/>
      </c>
      <c r="N123" s="32" t="e">
        <f t="shared" si="5"/>
        <v>#N/A</v>
      </c>
      <c r="O123" s="42" t="e">
        <f>INDEX(Input!$D$2:$AC$500,
       MATCH(B123, Input!$J$2:$J$500, 0),
       MATCH("Disk Interface Type", Input!$D$1:$AC$1, 0))</f>
        <v>#N/A</v>
      </c>
      <c r="P123" s="42" t="str" cm="1">
        <f t="array" ref="P123">IFERROR(_xlfn.TEXTJOIN(", ", TRUE, _xlfn._xlws.FILTER(
    INDEX(Input!$D$2:$AC$500,,MATCH("Disk Capacity",Input!$D$1:$AC$1,0)),
    Input!$J$2:$J$500=B123
)), "")</f>
        <v/>
      </c>
      <c r="Q123" s="32" t="e">
        <f t="shared" si="4"/>
        <v>#N/A</v>
      </c>
      <c r="R123" s="42" t="e">
        <f>_xlfn.LET(_xlpm.Result,INDEX(Input!$D$2:$AC$500,
       MATCH(B123, Input!$J$2:$J$500, 0),
       MATCH("Capacity", Input!$D$1:$AC$1, 0)),IF(_xlpm.Result="","",_xlpm.Result))</f>
        <v>#N/A</v>
      </c>
      <c r="S123" s="42" t="e" cm="1">
        <f t="array" ref="S123">_xlfn.TEXTSPLIT(R123," / ", ,TRUE,0,)</f>
        <v>#N/A</v>
      </c>
      <c r="T123" s="42"/>
      <c r="U123" s="42" t="str" cm="1">
        <f t="array" ref="U123">IFERROR(_xlfn.IFS(
S123="","",
--S123&lt;55,"Battery Defect",
--S123&lt;=69,"Battery D",
--S123&lt;=80,"Battery C",
--S123&gt;80,""
),"")</f>
        <v/>
      </c>
      <c r="V123" s="42" t="str" cm="1">
        <f t="array" ref="V123">IFERROR(_xlfn.IFS(
T123="","",
--T123&lt;55,"Battery Defect",
--T123&lt;=69,"Battery D",
--T123&lt;=80,"Battery C",
--T123&gt;80,""
),"")</f>
        <v/>
      </c>
      <c r="W123" s="42" t="str" cm="1">
        <f t="array" ref="W123:AD123">IFERROR(IF(_xlfn.XLOOKUP(B123,Input!J:J,Input!N:U)=0,"",
          _xlfn.XLOOKUP(B123,Input!J:J,Input!N:U)),"")</f>
        <v/>
      </c>
      <c r="X123" s="42" t="str">
        <v/>
      </c>
      <c r="Y123" s="42" t="str">
        <v/>
      </c>
      <c r="Z123" s="42" t="str">
        <v/>
      </c>
      <c r="AA123" s="42" t="str">
        <v/>
      </c>
      <c r="AB123" s="42" t="str">
        <v/>
      </c>
      <c r="AC123" s="42" t="str">
        <v/>
      </c>
      <c r="AD123" s="42" t="str">
        <v/>
      </c>
      <c r="AE123" s="32" t="str">
        <f t="shared" si="3"/>
        <v/>
      </c>
      <c r="AF123" s="32" t="str">
        <f>_xlfn.XLOOKUP(B:B,Disk_Pivot!G:G,Disk_Pivot!I:I)</f>
        <v>Yes x2</v>
      </c>
      <c r="AG123" s="32" t="str">
        <f>_xlfn.XLOOKUP(B123,Disk_Pivot!G:G,Disk_Pivot!N:N)</f>
        <v>Pass, Fail</v>
      </c>
      <c r="AH123" s="32"/>
      <c r="AI123" s="32"/>
      <c r="AJ123" s="32"/>
      <c r="AK123" s="32"/>
      <c r="AL123" s="32"/>
      <c r="AM123" s="32"/>
    </row>
    <row r="124" spans="1:39">
      <c r="A124" s="32" t="str">
        <f>_xlfn.XLOOKUP(B124,Input!J:J,Input!G:G)&amp;""</f>
        <v/>
      </c>
      <c r="B124" s="32"/>
      <c r="C124" s="32" t="str">
        <f>_xlfn.XLOOKUP(B124,Input!J:J,Input!H:H)&amp;""</f>
        <v/>
      </c>
      <c r="D124" s="42">
        <f>_xlfn.XLOOKUP(B124,Input!J:J,Input!F:F)</f>
        <v>0</v>
      </c>
      <c r="E124" s="32">
        <f>_xlfn.XLOOKUP(D124,Models!H:H,Models!G:G,D124)</f>
        <v>0</v>
      </c>
      <c r="F124" s="32">
        <f>_xlfn.XLOOKUP(B124,Input!J:J,Input!E:E)</f>
        <v>0</v>
      </c>
      <c r="G124" s="32">
        <f>IF(F124="LENOVO",_xlfn.XLOOKUP(B124,Input!J:J,Input!K:K),_xlfn.XLOOKUP(B124,Input!J:J,Input!L:L))</f>
        <v>0</v>
      </c>
      <c r="H124" s="32"/>
      <c r="I124" s="32"/>
      <c r="J124" s="32">
        <f>_xlfn.XLOOKUP(B124,CPU_Formula!A:A,CPU_Formula!I:I)</f>
        <v>0</v>
      </c>
      <c r="K124" s="42" t="e">
        <f>INDEX(Input!$D$2:$AC$500,
       MATCH(B124, Input!$J$2:$J$500, 0),
       MATCH("Total Memory", Input!$D$1:$AC$1, 0))</f>
        <v>#N/A</v>
      </c>
      <c r="L124" s="42" t="e">
        <f>INDEX(Input!$D$2:$AC$500,
       MATCH(B124, Input!$J$2:$J$500, 0),
       MATCH("Memory Type", Input!$D$1:$AC$1, 0))</f>
        <v>#N/A</v>
      </c>
      <c r="M124" s="42" t="str" cm="1">
        <f t="array" ref="M124">IFERROR(_xlfn.FILTERXML("&lt;t&gt;&lt;s&gt;" &amp; SUBSTITUTE(L124," / ","&lt;/s&gt;&lt;s&gt;") &amp; "&lt;/s&gt;&lt;/t&gt;","(//s[contains(.,'DDR')])[1]"),"")</f>
        <v/>
      </c>
      <c r="N124" s="32" t="e">
        <f t="shared" si="5"/>
        <v>#N/A</v>
      </c>
      <c r="O124" s="42" t="e">
        <f>INDEX(Input!$D$2:$AC$500,
       MATCH(B124, Input!$J$2:$J$500, 0),
       MATCH("Disk Interface Type", Input!$D$1:$AC$1, 0))</f>
        <v>#N/A</v>
      </c>
      <c r="P124" s="42" t="str" cm="1">
        <f t="array" ref="P124">IFERROR(_xlfn.TEXTJOIN(", ", TRUE, _xlfn._xlws.FILTER(
    INDEX(Input!$D$2:$AC$500,,MATCH("Disk Capacity",Input!$D$1:$AC$1,0)),
    Input!$J$2:$J$500=B124
)), "")</f>
        <v/>
      </c>
      <c r="Q124" s="32" t="e">
        <f t="shared" si="4"/>
        <v>#N/A</v>
      </c>
      <c r="R124" s="42" t="e">
        <f>_xlfn.LET(_xlpm.Result,INDEX(Input!$D$2:$AC$500,
       MATCH(B124, Input!$J$2:$J$500, 0),
       MATCH("Capacity", Input!$D$1:$AC$1, 0)),IF(_xlpm.Result="","",_xlpm.Result))</f>
        <v>#N/A</v>
      </c>
      <c r="S124" s="42" t="e" cm="1">
        <f t="array" ref="S124">_xlfn.TEXTSPLIT(R124," / ", ,TRUE,0,)</f>
        <v>#N/A</v>
      </c>
      <c r="T124" s="42"/>
      <c r="U124" s="42" t="str" cm="1">
        <f t="array" ref="U124">IFERROR(_xlfn.IFS(
S124="","",
--S124&lt;55,"Battery Defect",
--S124&lt;=69,"Battery D",
--S124&lt;=80,"Battery C",
--S124&gt;80,""
),"")</f>
        <v/>
      </c>
      <c r="V124" s="42" t="str" cm="1">
        <f t="array" ref="V124">IFERROR(_xlfn.IFS(
T124="","",
--T124&lt;55,"Battery Defect",
--T124&lt;=69,"Battery D",
--T124&lt;=80,"Battery C",
--T124&gt;80,""
),"")</f>
        <v/>
      </c>
      <c r="W124" s="42" t="str" cm="1">
        <f t="array" ref="W124:AD124">IFERROR(IF(_xlfn.XLOOKUP(B124,Input!J:J,Input!N:U)=0,"",
          _xlfn.XLOOKUP(B124,Input!J:J,Input!N:U)),"")</f>
        <v/>
      </c>
      <c r="X124" s="42" t="str">
        <v/>
      </c>
      <c r="Y124" s="42" t="str">
        <v/>
      </c>
      <c r="Z124" s="42" t="str">
        <v/>
      </c>
      <c r="AA124" s="42" t="str">
        <v/>
      </c>
      <c r="AB124" s="42" t="str">
        <v/>
      </c>
      <c r="AC124" s="42" t="str">
        <v/>
      </c>
      <c r="AD124" s="42" t="str">
        <v/>
      </c>
      <c r="AE124" s="32" t="str">
        <f t="shared" si="3"/>
        <v/>
      </c>
      <c r="AF124" s="32" t="str">
        <f>_xlfn.XLOOKUP(B:B,Disk_Pivot!G:G,Disk_Pivot!I:I)</f>
        <v>Yes x2</v>
      </c>
      <c r="AG124" s="32" t="str">
        <f>_xlfn.XLOOKUP(B124,Disk_Pivot!G:G,Disk_Pivot!N:N)</f>
        <v>Pass, Fail</v>
      </c>
      <c r="AH124" s="32"/>
      <c r="AI124" s="32"/>
      <c r="AJ124" s="32"/>
      <c r="AK124" s="32"/>
      <c r="AL124" s="32"/>
      <c r="AM124" s="32"/>
    </row>
    <row r="125" spans="1:39">
      <c r="A125" s="32" t="str">
        <f>_xlfn.XLOOKUP(B125,Input!J:J,Input!G:G)&amp;""</f>
        <v/>
      </c>
      <c r="B125" s="32"/>
      <c r="C125" s="32" t="str">
        <f>_xlfn.XLOOKUP(B125,Input!J:J,Input!H:H)&amp;""</f>
        <v/>
      </c>
      <c r="D125" s="42">
        <f>_xlfn.XLOOKUP(B125,Input!J:J,Input!F:F)</f>
        <v>0</v>
      </c>
      <c r="E125" s="32">
        <f>_xlfn.XLOOKUP(D125,Models!H:H,Models!G:G,D125)</f>
        <v>0</v>
      </c>
      <c r="F125" s="32">
        <f>_xlfn.XLOOKUP(B125,Input!J:J,Input!E:E)</f>
        <v>0</v>
      </c>
      <c r="G125" s="32">
        <f>IF(F125="LENOVO",_xlfn.XLOOKUP(B125,Input!J:J,Input!K:K),_xlfn.XLOOKUP(B125,Input!J:J,Input!L:L))</f>
        <v>0</v>
      </c>
      <c r="H125" s="32"/>
      <c r="I125" s="32"/>
      <c r="J125" s="32">
        <f>_xlfn.XLOOKUP(B125,CPU_Formula!A:A,CPU_Formula!I:I)</f>
        <v>0</v>
      </c>
      <c r="K125" s="42" t="e">
        <f>INDEX(Input!$D$2:$AC$500,
       MATCH(B125, Input!$J$2:$J$500, 0),
       MATCH("Total Memory", Input!$D$1:$AC$1, 0))</f>
        <v>#N/A</v>
      </c>
      <c r="L125" s="42" t="e">
        <f>INDEX(Input!$D$2:$AC$500,
       MATCH(B125, Input!$J$2:$J$500, 0),
       MATCH("Memory Type", Input!$D$1:$AC$1, 0))</f>
        <v>#N/A</v>
      </c>
      <c r="M125" s="42" t="str" cm="1">
        <f t="array" ref="M125">IFERROR(_xlfn.FILTERXML("&lt;t&gt;&lt;s&gt;" &amp; SUBSTITUTE(L125," / ","&lt;/s&gt;&lt;s&gt;") &amp; "&lt;/s&gt;&lt;/t&gt;","(//s[contains(.,'DDR')])[1]"),"")</f>
        <v/>
      </c>
      <c r="N125" s="32" t="e">
        <f t="shared" si="5"/>
        <v>#N/A</v>
      </c>
      <c r="O125" s="42" t="e">
        <f>INDEX(Input!$D$2:$AC$500,
       MATCH(B125, Input!$J$2:$J$500, 0),
       MATCH("Disk Interface Type", Input!$D$1:$AC$1, 0))</f>
        <v>#N/A</v>
      </c>
      <c r="P125" s="42" t="str" cm="1">
        <f t="array" ref="P125">IFERROR(_xlfn.TEXTJOIN(", ", TRUE, _xlfn._xlws.FILTER(
    INDEX(Input!$D$2:$AC$500,,MATCH("Disk Capacity",Input!$D$1:$AC$1,0)),
    Input!$J$2:$J$500=B125
)), "")</f>
        <v/>
      </c>
      <c r="Q125" s="32" t="e">
        <f t="shared" si="4"/>
        <v>#N/A</v>
      </c>
      <c r="R125" s="42" t="e">
        <f>_xlfn.LET(_xlpm.Result,INDEX(Input!$D$2:$AC$500,
       MATCH(B125, Input!$J$2:$J$500, 0),
       MATCH("Capacity", Input!$D$1:$AC$1, 0)),IF(_xlpm.Result="","",_xlpm.Result))</f>
        <v>#N/A</v>
      </c>
      <c r="S125" s="42" t="e" cm="1">
        <f t="array" ref="S125">_xlfn.TEXTSPLIT(R125," / ", ,TRUE,0,)</f>
        <v>#N/A</v>
      </c>
      <c r="T125" s="42"/>
      <c r="U125" s="42" t="str" cm="1">
        <f t="array" ref="U125">IFERROR(_xlfn.IFS(
S125="","",
--S125&lt;55,"Battery Defect",
--S125&lt;=69,"Battery D",
--S125&lt;=80,"Battery C",
--S125&gt;80,""
),"")</f>
        <v/>
      </c>
      <c r="V125" s="42" t="str" cm="1">
        <f t="array" ref="V125">IFERROR(_xlfn.IFS(
T125="","",
--T125&lt;55,"Battery Defect",
--T125&lt;=69,"Battery D",
--T125&lt;=80,"Battery C",
--T125&gt;80,""
),"")</f>
        <v/>
      </c>
      <c r="W125" s="42" t="str" cm="1">
        <f t="array" ref="W125:AD125">IFERROR(IF(_xlfn.XLOOKUP(B125,Input!J:J,Input!N:U)=0,"",
          _xlfn.XLOOKUP(B125,Input!J:J,Input!N:U)),"")</f>
        <v/>
      </c>
      <c r="X125" s="42" t="str">
        <v/>
      </c>
      <c r="Y125" s="42" t="str">
        <v/>
      </c>
      <c r="Z125" s="42" t="str">
        <v/>
      </c>
      <c r="AA125" s="42" t="str">
        <v/>
      </c>
      <c r="AB125" s="42" t="str">
        <v/>
      </c>
      <c r="AC125" s="42" t="str">
        <v/>
      </c>
      <c r="AD125" s="42" t="str">
        <v/>
      </c>
      <c r="AE125" s="32" t="str">
        <f t="shared" si="3"/>
        <v/>
      </c>
      <c r="AF125" s="32" t="str">
        <f>_xlfn.XLOOKUP(B:B,Disk_Pivot!G:G,Disk_Pivot!I:I)</f>
        <v>Yes x2</v>
      </c>
      <c r="AG125" s="32" t="str">
        <f>_xlfn.XLOOKUP(B125,Disk_Pivot!G:G,Disk_Pivot!N:N)</f>
        <v>Pass, Fail</v>
      </c>
      <c r="AH125" s="32"/>
      <c r="AI125" s="32"/>
      <c r="AJ125" s="32"/>
      <c r="AK125" s="32"/>
      <c r="AL125" s="32"/>
      <c r="AM125" s="32"/>
    </row>
    <row r="126" spans="1:39">
      <c r="A126" s="32" t="str">
        <f>_xlfn.XLOOKUP(B126,Input!J:J,Input!G:G)&amp;""</f>
        <v/>
      </c>
      <c r="B126" s="32"/>
      <c r="C126" s="32" t="str">
        <f>_xlfn.XLOOKUP(B126,Input!J:J,Input!H:H)&amp;""</f>
        <v/>
      </c>
      <c r="D126" s="42">
        <f>_xlfn.XLOOKUP(B126,Input!J:J,Input!F:F)</f>
        <v>0</v>
      </c>
      <c r="E126" s="32">
        <f>_xlfn.XLOOKUP(D126,Models!H:H,Models!G:G,D126)</f>
        <v>0</v>
      </c>
      <c r="F126" s="32">
        <f>_xlfn.XLOOKUP(B126,Input!J:J,Input!E:E)</f>
        <v>0</v>
      </c>
      <c r="G126" s="32">
        <f>IF(F126="LENOVO",_xlfn.XLOOKUP(B126,Input!J:J,Input!K:K),_xlfn.XLOOKUP(B126,Input!J:J,Input!L:L))</f>
        <v>0</v>
      </c>
      <c r="H126" s="32"/>
      <c r="I126" s="32"/>
      <c r="J126" s="32">
        <f>_xlfn.XLOOKUP(B126,CPU_Formula!A:A,CPU_Formula!I:I)</f>
        <v>0</v>
      </c>
      <c r="K126" s="42" t="e">
        <f>INDEX(Input!$D$2:$AC$500,
       MATCH(B126, Input!$J$2:$J$500, 0),
       MATCH("Total Memory", Input!$D$1:$AC$1, 0))</f>
        <v>#N/A</v>
      </c>
      <c r="L126" s="42" t="e">
        <f>INDEX(Input!$D$2:$AC$500,
       MATCH(B126, Input!$J$2:$J$500, 0),
       MATCH("Memory Type", Input!$D$1:$AC$1, 0))</f>
        <v>#N/A</v>
      </c>
      <c r="M126" s="42" t="str" cm="1">
        <f t="array" ref="M126">IFERROR(_xlfn.FILTERXML("&lt;t&gt;&lt;s&gt;" &amp; SUBSTITUTE(L126," / ","&lt;/s&gt;&lt;s&gt;") &amp; "&lt;/s&gt;&lt;/t&gt;","(//s[contains(.,'DDR')])[1]"),"")</f>
        <v/>
      </c>
      <c r="N126" s="32" t="e">
        <f t="shared" si="5"/>
        <v>#N/A</v>
      </c>
      <c r="O126" s="42" t="e">
        <f>INDEX(Input!$D$2:$AC$500,
       MATCH(B126, Input!$J$2:$J$500, 0),
       MATCH("Disk Interface Type", Input!$D$1:$AC$1, 0))</f>
        <v>#N/A</v>
      </c>
      <c r="P126" s="42" t="str" cm="1">
        <f t="array" ref="P126">IFERROR(_xlfn.TEXTJOIN(", ", TRUE, _xlfn._xlws.FILTER(
    INDEX(Input!$D$2:$AC$500,,MATCH("Disk Capacity",Input!$D$1:$AC$1,0)),
    Input!$J$2:$J$500=B126
)), "")</f>
        <v/>
      </c>
      <c r="Q126" s="32" t="e">
        <f t="shared" si="4"/>
        <v>#N/A</v>
      </c>
      <c r="R126" s="42" t="e">
        <f>_xlfn.LET(_xlpm.Result,INDEX(Input!$D$2:$AC$500,
       MATCH(B126, Input!$J$2:$J$500, 0),
       MATCH("Capacity", Input!$D$1:$AC$1, 0)),IF(_xlpm.Result="","",_xlpm.Result))</f>
        <v>#N/A</v>
      </c>
      <c r="S126" s="42" t="e" cm="1">
        <f t="array" ref="S126">_xlfn.TEXTSPLIT(R126," / ", ,TRUE,0,)</f>
        <v>#N/A</v>
      </c>
      <c r="T126" s="42"/>
      <c r="U126" s="42" t="str" cm="1">
        <f t="array" ref="U126">IFERROR(_xlfn.IFS(
S126="","",
--S126&lt;55,"Battery Defect",
--S126&lt;=69,"Battery D",
--S126&lt;=80,"Battery C",
--S126&gt;80,""
),"")</f>
        <v/>
      </c>
      <c r="V126" s="42" t="str" cm="1">
        <f t="array" ref="V126">IFERROR(_xlfn.IFS(
T126="","",
--T126&lt;55,"Battery Defect",
--T126&lt;=69,"Battery D",
--T126&lt;=80,"Battery C",
--T126&gt;80,""
),"")</f>
        <v/>
      </c>
      <c r="W126" s="42" t="str" cm="1">
        <f t="array" ref="W126:AD126">IFERROR(IF(_xlfn.XLOOKUP(B126,Input!J:J,Input!N:U)=0,"",
          _xlfn.XLOOKUP(B126,Input!J:J,Input!N:U)),"")</f>
        <v/>
      </c>
      <c r="X126" s="42" t="str">
        <v/>
      </c>
      <c r="Y126" s="42" t="str">
        <v/>
      </c>
      <c r="Z126" s="42" t="str">
        <v/>
      </c>
      <c r="AA126" s="42" t="str">
        <v/>
      </c>
      <c r="AB126" s="42" t="str">
        <v/>
      </c>
      <c r="AC126" s="42" t="str">
        <v/>
      </c>
      <c r="AD126" s="42" t="str">
        <v/>
      </c>
      <c r="AE126" s="32" t="str">
        <f t="shared" si="3"/>
        <v/>
      </c>
      <c r="AF126" s="32" t="str">
        <f>_xlfn.XLOOKUP(B:B,Disk_Pivot!G:G,Disk_Pivot!I:I)</f>
        <v>Yes x2</v>
      </c>
      <c r="AG126" s="32" t="str">
        <f>_xlfn.XLOOKUP(B126,Disk_Pivot!G:G,Disk_Pivot!N:N)</f>
        <v>Pass, Fail</v>
      </c>
      <c r="AH126" s="32"/>
      <c r="AI126" s="32"/>
      <c r="AJ126" s="32"/>
      <c r="AK126" s="32"/>
      <c r="AL126" s="32"/>
      <c r="AM126" s="32"/>
    </row>
    <row r="127" spans="1:39">
      <c r="A127" s="32" t="str">
        <f>_xlfn.XLOOKUP(B127,Input!J:J,Input!G:G)&amp;""</f>
        <v/>
      </c>
      <c r="B127" s="32"/>
      <c r="C127" s="32" t="str">
        <f>_xlfn.XLOOKUP(B127,Input!J:J,Input!H:H)&amp;""</f>
        <v/>
      </c>
      <c r="D127" s="42">
        <f>_xlfn.XLOOKUP(B127,Input!J:J,Input!F:F)</f>
        <v>0</v>
      </c>
      <c r="E127" s="32">
        <f>_xlfn.XLOOKUP(D127,Models!H:H,Models!G:G,D127)</f>
        <v>0</v>
      </c>
      <c r="F127" s="32">
        <f>_xlfn.XLOOKUP(B127,Input!J:J,Input!E:E)</f>
        <v>0</v>
      </c>
      <c r="G127" s="32">
        <f>IF(F127="LENOVO",_xlfn.XLOOKUP(B127,Input!J:J,Input!K:K),_xlfn.XLOOKUP(B127,Input!J:J,Input!L:L))</f>
        <v>0</v>
      </c>
      <c r="H127" s="32"/>
      <c r="I127" s="32"/>
      <c r="J127" s="32">
        <f>_xlfn.XLOOKUP(B127,CPU_Formula!A:A,CPU_Formula!I:I)</f>
        <v>0</v>
      </c>
      <c r="K127" s="42" t="e">
        <f>INDEX(Input!$D$2:$AC$500,
       MATCH(B127, Input!$J$2:$J$500, 0),
       MATCH("Total Memory", Input!$D$1:$AC$1, 0))</f>
        <v>#N/A</v>
      </c>
      <c r="L127" s="42" t="e">
        <f>INDEX(Input!$D$2:$AC$500,
       MATCH(B127, Input!$J$2:$J$500, 0),
       MATCH("Memory Type", Input!$D$1:$AC$1, 0))</f>
        <v>#N/A</v>
      </c>
      <c r="M127" s="42" t="str" cm="1">
        <f t="array" ref="M127">IFERROR(_xlfn.FILTERXML("&lt;t&gt;&lt;s&gt;" &amp; SUBSTITUTE(L127," / ","&lt;/s&gt;&lt;s&gt;") &amp; "&lt;/s&gt;&lt;/t&gt;","(//s[contains(.,'DDR')])[1]"),"")</f>
        <v/>
      </c>
      <c r="N127" s="32" t="e">
        <f t="shared" si="5"/>
        <v>#N/A</v>
      </c>
      <c r="O127" s="42" t="e">
        <f>INDEX(Input!$D$2:$AC$500,
       MATCH(B127, Input!$J$2:$J$500, 0),
       MATCH("Disk Interface Type", Input!$D$1:$AC$1, 0))</f>
        <v>#N/A</v>
      </c>
      <c r="P127" s="42" t="str" cm="1">
        <f t="array" ref="P127">IFERROR(_xlfn.TEXTJOIN(", ", TRUE, _xlfn._xlws.FILTER(
    INDEX(Input!$D$2:$AC$500,,MATCH("Disk Capacity",Input!$D$1:$AC$1,0)),
    Input!$J$2:$J$500=B127
)), "")</f>
        <v/>
      </c>
      <c r="Q127" s="32" t="e">
        <f t="shared" si="4"/>
        <v>#N/A</v>
      </c>
      <c r="R127" s="42" t="e">
        <f>_xlfn.LET(_xlpm.Result,INDEX(Input!$D$2:$AC$500,
       MATCH(B127, Input!$J$2:$J$500, 0),
       MATCH("Capacity", Input!$D$1:$AC$1, 0)),IF(_xlpm.Result="","",_xlpm.Result))</f>
        <v>#N/A</v>
      </c>
      <c r="S127" s="42" t="e" cm="1">
        <f t="array" ref="S127">_xlfn.TEXTSPLIT(R127," / ", ,TRUE,0,)</f>
        <v>#N/A</v>
      </c>
      <c r="T127" s="42"/>
      <c r="U127" s="42" t="str" cm="1">
        <f t="array" ref="U127">IFERROR(_xlfn.IFS(
S127="","",
--S127&lt;55,"Battery Defect",
--S127&lt;=69,"Battery D",
--S127&lt;=80,"Battery C",
--S127&gt;80,""
),"")</f>
        <v/>
      </c>
      <c r="V127" s="42" t="str" cm="1">
        <f t="array" ref="V127">IFERROR(_xlfn.IFS(
T127="","",
--T127&lt;55,"Battery Defect",
--T127&lt;=69,"Battery D",
--T127&lt;=80,"Battery C",
--T127&gt;80,""
),"")</f>
        <v/>
      </c>
      <c r="W127" s="42" t="str" cm="1">
        <f t="array" ref="W127:AD127">IFERROR(IF(_xlfn.XLOOKUP(B127,Input!J:J,Input!N:U)=0,"",
          _xlfn.XLOOKUP(B127,Input!J:J,Input!N:U)),"")</f>
        <v/>
      </c>
      <c r="X127" s="42" t="str">
        <v/>
      </c>
      <c r="Y127" s="42" t="str">
        <v/>
      </c>
      <c r="Z127" s="42" t="str">
        <v/>
      </c>
      <c r="AA127" s="42" t="str">
        <v/>
      </c>
      <c r="AB127" s="42" t="str">
        <v/>
      </c>
      <c r="AC127" s="42" t="str">
        <v/>
      </c>
      <c r="AD127" s="42" t="str">
        <v/>
      </c>
      <c r="AE127" s="32" t="str">
        <f t="shared" si="3"/>
        <v/>
      </c>
      <c r="AF127" s="32" t="str">
        <f>_xlfn.XLOOKUP(B:B,Disk_Pivot!G:G,Disk_Pivot!I:I)</f>
        <v>Yes x2</v>
      </c>
      <c r="AG127" s="32" t="str">
        <f>_xlfn.XLOOKUP(B127,Disk_Pivot!G:G,Disk_Pivot!N:N)</f>
        <v>Pass, Fail</v>
      </c>
      <c r="AH127" s="32"/>
      <c r="AI127" s="32"/>
      <c r="AJ127" s="32"/>
      <c r="AK127" s="32"/>
      <c r="AL127" s="32"/>
      <c r="AM127" s="32"/>
    </row>
    <row r="128" spans="1:39">
      <c r="A128" s="32" t="str">
        <f>_xlfn.XLOOKUP(B128,Input!J:J,Input!G:G)&amp;""</f>
        <v/>
      </c>
      <c r="B128" s="32"/>
      <c r="C128" s="32" t="str">
        <f>_xlfn.XLOOKUP(B128,Input!J:J,Input!H:H)&amp;""</f>
        <v/>
      </c>
      <c r="D128" s="42">
        <f>_xlfn.XLOOKUP(B128,Input!J:J,Input!F:F)</f>
        <v>0</v>
      </c>
      <c r="E128" s="32">
        <f>_xlfn.XLOOKUP(D128,Models!H:H,Models!G:G,D128)</f>
        <v>0</v>
      </c>
      <c r="F128" s="32">
        <f>_xlfn.XLOOKUP(B128,Input!J:J,Input!E:E)</f>
        <v>0</v>
      </c>
      <c r="G128" s="32">
        <f>IF(F128="LENOVO",_xlfn.XLOOKUP(B128,Input!J:J,Input!K:K),_xlfn.XLOOKUP(B128,Input!J:J,Input!L:L))</f>
        <v>0</v>
      </c>
      <c r="H128" s="32"/>
      <c r="I128" s="32"/>
      <c r="J128" s="32">
        <f>_xlfn.XLOOKUP(B128,CPU_Formula!A:A,CPU_Formula!I:I)</f>
        <v>0</v>
      </c>
      <c r="K128" s="42" t="e">
        <f>INDEX(Input!$D$2:$AC$500,
       MATCH(B128, Input!$J$2:$J$500, 0),
       MATCH("Total Memory", Input!$D$1:$AC$1, 0))</f>
        <v>#N/A</v>
      </c>
      <c r="L128" s="42" t="e">
        <f>INDEX(Input!$D$2:$AC$500,
       MATCH(B128, Input!$J$2:$J$500, 0),
       MATCH("Memory Type", Input!$D$1:$AC$1, 0))</f>
        <v>#N/A</v>
      </c>
      <c r="M128" s="42" t="str" cm="1">
        <f t="array" ref="M128">IFERROR(_xlfn.FILTERXML("&lt;t&gt;&lt;s&gt;" &amp; SUBSTITUTE(L128," / ","&lt;/s&gt;&lt;s&gt;") &amp; "&lt;/s&gt;&lt;/t&gt;","(//s[contains(.,'DDR')])[1]"),"")</f>
        <v/>
      </c>
      <c r="N128" s="32" t="e">
        <f t="shared" si="5"/>
        <v>#N/A</v>
      </c>
      <c r="O128" s="42" t="e">
        <f>INDEX(Input!$D$2:$AC$500,
       MATCH(B128, Input!$J$2:$J$500, 0),
       MATCH("Disk Interface Type", Input!$D$1:$AC$1, 0))</f>
        <v>#N/A</v>
      </c>
      <c r="P128" s="42" t="str" cm="1">
        <f t="array" ref="P128">IFERROR(_xlfn.TEXTJOIN(", ", TRUE, _xlfn._xlws.FILTER(
    INDEX(Input!$D$2:$AC$500,,MATCH("Disk Capacity",Input!$D$1:$AC$1,0)),
    Input!$J$2:$J$500=B128
)), "")</f>
        <v/>
      </c>
      <c r="Q128" s="32" t="e">
        <f t="shared" si="4"/>
        <v>#N/A</v>
      </c>
      <c r="R128" s="42" t="e">
        <f>_xlfn.LET(_xlpm.Result,INDEX(Input!$D$2:$AC$500,
       MATCH(B128, Input!$J$2:$J$500, 0),
       MATCH("Capacity", Input!$D$1:$AC$1, 0)),IF(_xlpm.Result="","",_xlpm.Result))</f>
        <v>#N/A</v>
      </c>
      <c r="S128" s="42" t="e" cm="1">
        <f t="array" ref="S128">_xlfn.TEXTSPLIT(R128," / ", ,TRUE,0,)</f>
        <v>#N/A</v>
      </c>
      <c r="T128" s="42"/>
      <c r="U128" s="42" t="str" cm="1">
        <f t="array" ref="U128">IFERROR(_xlfn.IFS(
S128="","",
--S128&lt;55,"Battery Defect",
--S128&lt;=69,"Battery D",
--S128&lt;=80,"Battery C",
--S128&gt;80,""
),"")</f>
        <v/>
      </c>
      <c r="V128" s="42" t="str" cm="1">
        <f t="array" ref="V128">IFERROR(_xlfn.IFS(
T128="","",
--T128&lt;55,"Battery Defect",
--T128&lt;=69,"Battery D",
--T128&lt;=80,"Battery C",
--T128&gt;80,""
),"")</f>
        <v/>
      </c>
      <c r="W128" s="42" t="str" cm="1">
        <f t="array" ref="W128:AD128">IFERROR(IF(_xlfn.XLOOKUP(B128,Input!J:J,Input!N:U)=0,"",
          _xlfn.XLOOKUP(B128,Input!J:J,Input!N:U)),"")</f>
        <v/>
      </c>
      <c r="X128" s="42" t="str">
        <v/>
      </c>
      <c r="Y128" s="42" t="str">
        <v/>
      </c>
      <c r="Z128" s="42" t="str">
        <v/>
      </c>
      <c r="AA128" s="42" t="str">
        <v/>
      </c>
      <c r="AB128" s="42" t="str">
        <v/>
      </c>
      <c r="AC128" s="42" t="str">
        <v/>
      </c>
      <c r="AD128" s="42" t="str">
        <v/>
      </c>
      <c r="AE128" s="32" t="str">
        <f t="shared" si="3"/>
        <v/>
      </c>
      <c r="AF128" s="32" t="str">
        <f>_xlfn.XLOOKUP(B:B,Disk_Pivot!G:G,Disk_Pivot!I:I)</f>
        <v>Yes x2</v>
      </c>
      <c r="AG128" s="32" t="str">
        <f>_xlfn.XLOOKUP(B128,Disk_Pivot!G:G,Disk_Pivot!N:N)</f>
        <v>Pass, Fail</v>
      </c>
      <c r="AH128" s="32"/>
      <c r="AI128" s="32"/>
      <c r="AJ128" s="32"/>
      <c r="AK128" s="32"/>
      <c r="AL128" s="32"/>
      <c r="AM128" s="32"/>
    </row>
    <row r="129" spans="1:39">
      <c r="A129" s="32" t="str">
        <f>_xlfn.XLOOKUP(B129,Input!J:J,Input!G:G)&amp;""</f>
        <v/>
      </c>
      <c r="B129" s="32"/>
      <c r="C129" s="32" t="str">
        <f>_xlfn.XLOOKUP(B129,Input!J:J,Input!H:H)&amp;""</f>
        <v/>
      </c>
      <c r="D129" s="42">
        <f>_xlfn.XLOOKUP(B129,Input!J:J,Input!F:F)</f>
        <v>0</v>
      </c>
      <c r="E129" s="32">
        <f>_xlfn.XLOOKUP(D129,Models!H:H,Models!G:G,D129)</f>
        <v>0</v>
      </c>
      <c r="F129" s="32">
        <f>_xlfn.XLOOKUP(B129,Input!J:J,Input!E:E)</f>
        <v>0</v>
      </c>
      <c r="G129" s="32">
        <f>IF(F129="LENOVO",_xlfn.XLOOKUP(B129,Input!J:J,Input!K:K),_xlfn.XLOOKUP(B129,Input!J:J,Input!L:L))</f>
        <v>0</v>
      </c>
      <c r="H129" s="32"/>
      <c r="I129" s="32"/>
      <c r="J129" s="32">
        <f>_xlfn.XLOOKUP(B129,CPU_Formula!A:A,CPU_Formula!I:I)</f>
        <v>0</v>
      </c>
      <c r="K129" s="42" t="e">
        <f>INDEX(Input!$D$2:$AC$500,
       MATCH(B129, Input!$J$2:$J$500, 0),
       MATCH("Total Memory", Input!$D$1:$AC$1, 0))</f>
        <v>#N/A</v>
      </c>
      <c r="L129" s="42" t="e">
        <f>INDEX(Input!$D$2:$AC$500,
       MATCH(B129, Input!$J$2:$J$500, 0),
       MATCH("Memory Type", Input!$D$1:$AC$1, 0))</f>
        <v>#N/A</v>
      </c>
      <c r="M129" s="42" t="str" cm="1">
        <f t="array" ref="M129">IFERROR(_xlfn.FILTERXML("&lt;t&gt;&lt;s&gt;" &amp; SUBSTITUTE(L129," / ","&lt;/s&gt;&lt;s&gt;") &amp; "&lt;/s&gt;&lt;/t&gt;","(//s[contains(.,'DDR')])[1]"),"")</f>
        <v/>
      </c>
      <c r="N129" s="32" t="e">
        <f t="shared" si="5"/>
        <v>#N/A</v>
      </c>
      <c r="O129" s="42" t="e">
        <f>INDEX(Input!$D$2:$AC$500,
       MATCH(B129, Input!$J$2:$J$500, 0),
       MATCH("Disk Interface Type", Input!$D$1:$AC$1, 0))</f>
        <v>#N/A</v>
      </c>
      <c r="P129" s="42" t="str" cm="1">
        <f t="array" ref="P129">IFERROR(_xlfn.TEXTJOIN(", ", TRUE, _xlfn._xlws.FILTER(
    INDEX(Input!$D$2:$AC$500,,MATCH("Disk Capacity",Input!$D$1:$AC$1,0)),
    Input!$J$2:$J$500=B129
)), "")</f>
        <v/>
      </c>
      <c r="Q129" s="32" t="e">
        <f t="shared" si="4"/>
        <v>#N/A</v>
      </c>
      <c r="R129" s="42" t="e">
        <f>_xlfn.LET(_xlpm.Result,INDEX(Input!$D$2:$AC$500,
       MATCH(B129, Input!$J$2:$J$500, 0),
       MATCH("Capacity", Input!$D$1:$AC$1, 0)),IF(_xlpm.Result="","",_xlpm.Result))</f>
        <v>#N/A</v>
      </c>
      <c r="S129" s="42" t="e" cm="1">
        <f t="array" ref="S129">_xlfn.TEXTSPLIT(R129," / ", ,TRUE,0,)</f>
        <v>#N/A</v>
      </c>
      <c r="T129" s="42"/>
      <c r="U129" s="42" t="str" cm="1">
        <f t="array" ref="U129">IFERROR(_xlfn.IFS(
S129="","",
--S129&lt;55,"Battery Defect",
--S129&lt;=69,"Battery D",
--S129&lt;=80,"Battery C",
--S129&gt;80,""
),"")</f>
        <v/>
      </c>
      <c r="V129" s="42" t="str" cm="1">
        <f t="array" ref="V129">IFERROR(_xlfn.IFS(
T129="","",
--T129&lt;55,"Battery Defect",
--T129&lt;=69,"Battery D",
--T129&lt;=80,"Battery C",
--T129&gt;80,""
),"")</f>
        <v/>
      </c>
      <c r="W129" s="42" t="str" cm="1">
        <f t="array" ref="W129:AD129">IFERROR(IF(_xlfn.XLOOKUP(B129,Input!J:J,Input!N:U)=0,"",
          _xlfn.XLOOKUP(B129,Input!J:J,Input!N:U)),"")</f>
        <v/>
      </c>
      <c r="X129" s="42" t="str">
        <v/>
      </c>
      <c r="Y129" s="42" t="str">
        <v/>
      </c>
      <c r="Z129" s="42" t="str">
        <v/>
      </c>
      <c r="AA129" s="42" t="str">
        <v/>
      </c>
      <c r="AB129" s="42" t="str">
        <v/>
      </c>
      <c r="AC129" s="42" t="str">
        <v/>
      </c>
      <c r="AD129" s="42" t="str">
        <v/>
      </c>
      <c r="AE129" s="32" t="str">
        <f t="shared" si="3"/>
        <v/>
      </c>
      <c r="AF129" s="32" t="str">
        <f>_xlfn.XLOOKUP(B:B,Disk_Pivot!G:G,Disk_Pivot!I:I)</f>
        <v>Yes x2</v>
      </c>
      <c r="AG129" s="32" t="str">
        <f>_xlfn.XLOOKUP(B129,Disk_Pivot!G:G,Disk_Pivot!N:N)</f>
        <v>Pass, Fail</v>
      </c>
      <c r="AH129" s="32"/>
      <c r="AI129" s="32"/>
      <c r="AJ129" s="32"/>
      <c r="AK129" s="32"/>
      <c r="AL129" s="32"/>
      <c r="AM129" s="32"/>
    </row>
    <row r="130" spans="1:39">
      <c r="A130" s="32" t="str">
        <f>_xlfn.XLOOKUP(B130,Input!J:J,Input!G:G)&amp;""</f>
        <v/>
      </c>
      <c r="B130" s="32"/>
      <c r="C130" s="32" t="str">
        <f>_xlfn.XLOOKUP(B130,Input!J:J,Input!H:H)&amp;""</f>
        <v/>
      </c>
      <c r="D130" s="42">
        <f>_xlfn.XLOOKUP(B130,Input!J:J,Input!F:F)</f>
        <v>0</v>
      </c>
      <c r="E130" s="32">
        <f>_xlfn.XLOOKUP(D130,Models!H:H,Models!G:G,D130)</f>
        <v>0</v>
      </c>
      <c r="F130" s="32">
        <f>_xlfn.XLOOKUP(B130,Input!J:J,Input!E:E)</f>
        <v>0</v>
      </c>
      <c r="G130" s="32">
        <f>IF(F130="LENOVO",_xlfn.XLOOKUP(B130,Input!J:J,Input!K:K),_xlfn.XLOOKUP(B130,Input!J:J,Input!L:L))</f>
        <v>0</v>
      </c>
      <c r="H130" s="32"/>
      <c r="I130" s="32"/>
      <c r="J130" s="32">
        <f>_xlfn.XLOOKUP(B130,CPU_Formula!A:A,CPU_Formula!I:I)</f>
        <v>0</v>
      </c>
      <c r="K130" s="42" t="e">
        <f>INDEX(Input!$D$2:$AC$500,
       MATCH(B130, Input!$J$2:$J$500, 0),
       MATCH("Total Memory", Input!$D$1:$AC$1, 0))</f>
        <v>#N/A</v>
      </c>
      <c r="L130" s="42" t="e">
        <f>INDEX(Input!$D$2:$AC$500,
       MATCH(B130, Input!$J$2:$J$500, 0),
       MATCH("Memory Type", Input!$D$1:$AC$1, 0))</f>
        <v>#N/A</v>
      </c>
      <c r="M130" s="42" t="str" cm="1">
        <f t="array" ref="M130">IFERROR(_xlfn.FILTERXML("&lt;t&gt;&lt;s&gt;" &amp; SUBSTITUTE(L130," / ","&lt;/s&gt;&lt;s&gt;") &amp; "&lt;/s&gt;&lt;/t&gt;","(//s[contains(.,'DDR')])[1]"),"")</f>
        <v/>
      </c>
      <c r="N130" s="32" t="e">
        <f t="shared" si="5"/>
        <v>#N/A</v>
      </c>
      <c r="O130" s="42" t="e">
        <f>INDEX(Input!$D$2:$AC$500,
       MATCH(B130, Input!$J$2:$J$500, 0),
       MATCH("Disk Interface Type", Input!$D$1:$AC$1, 0))</f>
        <v>#N/A</v>
      </c>
      <c r="P130" s="42" t="str" cm="1">
        <f t="array" ref="P130">IFERROR(_xlfn.TEXTJOIN(", ", TRUE, _xlfn._xlws.FILTER(
    INDEX(Input!$D$2:$AC$500,,MATCH("Disk Capacity",Input!$D$1:$AC$1,0)),
    Input!$J$2:$J$500=B130
)), "")</f>
        <v/>
      </c>
      <c r="Q130" s="32" t="e">
        <f t="shared" si="4"/>
        <v>#N/A</v>
      </c>
      <c r="R130" s="42" t="e">
        <f>_xlfn.LET(_xlpm.Result,INDEX(Input!$D$2:$AC$500,
       MATCH(B130, Input!$J$2:$J$500, 0),
       MATCH("Capacity", Input!$D$1:$AC$1, 0)),IF(_xlpm.Result="","",_xlpm.Result))</f>
        <v>#N/A</v>
      </c>
      <c r="S130" s="42" t="e" cm="1">
        <f t="array" ref="S130">_xlfn.TEXTSPLIT(R130," / ", ,TRUE,0,)</f>
        <v>#N/A</v>
      </c>
      <c r="T130" s="42"/>
      <c r="U130" s="42" t="str" cm="1">
        <f t="array" ref="U130">IFERROR(_xlfn.IFS(
S130="","",
--S130&lt;55,"Battery Defect",
--S130&lt;=69,"Battery D",
--S130&lt;=80,"Battery C",
--S130&gt;80,""
),"")</f>
        <v/>
      </c>
      <c r="V130" s="42" t="str" cm="1">
        <f t="array" ref="V130">IFERROR(_xlfn.IFS(
T130="","",
--T130&lt;55,"Battery Defect",
--T130&lt;=69,"Battery D",
--T130&lt;=80,"Battery C",
--T130&gt;80,""
),"")</f>
        <v/>
      </c>
      <c r="W130" s="42" t="str" cm="1">
        <f t="array" ref="W130:AD130">IFERROR(IF(_xlfn.XLOOKUP(B130,Input!J:J,Input!N:U)=0,"",
          _xlfn.XLOOKUP(B130,Input!J:J,Input!N:U)),"")</f>
        <v/>
      </c>
      <c r="X130" s="42" t="str">
        <v/>
      </c>
      <c r="Y130" s="42" t="str">
        <v/>
      </c>
      <c r="Z130" s="42" t="str">
        <v/>
      </c>
      <c r="AA130" s="42" t="str">
        <v/>
      </c>
      <c r="AB130" s="42" t="str">
        <v/>
      </c>
      <c r="AC130" s="42" t="str">
        <v/>
      </c>
      <c r="AD130" s="42" t="str">
        <v/>
      </c>
      <c r="AE130" s="32" t="str">
        <f t="shared" ref="AE130:AE193" si="6">IF(E130="Laptop",_xlfn.TEXTJOIN(", ",TRUE,U130,V130,W130,X130,Y130,Z130,AA130,AB130), _xlfn.TEXTJOIN(", ",TRUE,W130,X130,Y130,Z130,AA130,AB130))</f>
        <v/>
      </c>
      <c r="AF130" s="32" t="str">
        <f>_xlfn.XLOOKUP(B:B,Disk_Pivot!G:G,Disk_Pivot!I:I)</f>
        <v>Yes x2</v>
      </c>
      <c r="AG130" s="32" t="str">
        <f>_xlfn.XLOOKUP(B130,Disk_Pivot!G:G,Disk_Pivot!N:N)</f>
        <v>Pass, Fail</v>
      </c>
      <c r="AH130" s="32"/>
      <c r="AI130" s="32"/>
      <c r="AJ130" s="32"/>
      <c r="AK130" s="32"/>
      <c r="AL130" s="32"/>
      <c r="AM130" s="32"/>
    </row>
    <row r="131" spans="1:39">
      <c r="A131" s="32" t="str">
        <f>_xlfn.XLOOKUP(B131,Input!J:J,Input!G:G)&amp;""</f>
        <v/>
      </c>
      <c r="B131" s="32"/>
      <c r="C131" s="32" t="str">
        <f>_xlfn.XLOOKUP(B131,Input!J:J,Input!H:H)&amp;""</f>
        <v/>
      </c>
      <c r="D131" s="42">
        <f>_xlfn.XLOOKUP(B131,Input!J:J,Input!F:F)</f>
        <v>0</v>
      </c>
      <c r="E131" s="32">
        <f>_xlfn.XLOOKUP(D131,Models!H:H,Models!G:G,D131)</f>
        <v>0</v>
      </c>
      <c r="F131" s="32">
        <f>_xlfn.XLOOKUP(B131,Input!J:J,Input!E:E)</f>
        <v>0</v>
      </c>
      <c r="G131" s="32">
        <f>IF(F131="LENOVO",_xlfn.XLOOKUP(B131,Input!J:J,Input!K:K),_xlfn.XLOOKUP(B131,Input!J:J,Input!L:L))</f>
        <v>0</v>
      </c>
      <c r="H131" s="32"/>
      <c r="I131" s="32"/>
      <c r="J131" s="32">
        <f>_xlfn.XLOOKUP(B131,CPU_Formula!A:A,CPU_Formula!I:I)</f>
        <v>0</v>
      </c>
      <c r="K131" s="42" t="e">
        <f>INDEX(Input!$D$2:$AC$500,
       MATCH(B131, Input!$J$2:$J$500, 0),
       MATCH("Total Memory", Input!$D$1:$AC$1, 0))</f>
        <v>#N/A</v>
      </c>
      <c r="L131" s="42" t="e">
        <f>INDEX(Input!$D$2:$AC$500,
       MATCH(B131, Input!$J$2:$J$500, 0),
       MATCH("Memory Type", Input!$D$1:$AC$1, 0))</f>
        <v>#N/A</v>
      </c>
      <c r="M131" s="42" t="str" cm="1">
        <f t="array" ref="M131">IFERROR(_xlfn.FILTERXML("&lt;t&gt;&lt;s&gt;" &amp; SUBSTITUTE(L131," / ","&lt;/s&gt;&lt;s&gt;") &amp; "&lt;/s&gt;&lt;/t&gt;","(//s[contains(.,'DDR')])[1]"),"")</f>
        <v/>
      </c>
      <c r="N131" s="32" t="e">
        <f t="shared" si="5"/>
        <v>#N/A</v>
      </c>
      <c r="O131" s="42" t="e">
        <f>INDEX(Input!$D$2:$AC$500,
       MATCH(B131, Input!$J$2:$J$500, 0),
       MATCH("Disk Interface Type", Input!$D$1:$AC$1, 0))</f>
        <v>#N/A</v>
      </c>
      <c r="P131" s="42" t="str" cm="1">
        <f t="array" ref="P131">IFERROR(_xlfn.TEXTJOIN(", ", TRUE, _xlfn._xlws.FILTER(
    INDEX(Input!$D$2:$AC$500,,MATCH("Disk Capacity",Input!$D$1:$AC$1,0)),
    Input!$J$2:$J$500=B131
)), "")</f>
        <v/>
      </c>
      <c r="Q131" s="32" t="e">
        <f t="shared" ref="Q131:Q194" si="7">_xlfn.TEXTJOIN(" ",TRUE,P131,O131)</f>
        <v>#N/A</v>
      </c>
      <c r="R131" s="42" t="e">
        <f>_xlfn.LET(_xlpm.Result,INDEX(Input!$D$2:$AC$500,
       MATCH(B131, Input!$J$2:$J$500, 0),
       MATCH("Capacity", Input!$D$1:$AC$1, 0)),IF(_xlpm.Result="","",_xlpm.Result))</f>
        <v>#N/A</v>
      </c>
      <c r="S131" s="42" t="e" cm="1">
        <f t="array" ref="S131">_xlfn.TEXTSPLIT(R131," / ", ,TRUE,0,)</f>
        <v>#N/A</v>
      </c>
      <c r="T131" s="42"/>
      <c r="U131" s="42" t="str" cm="1">
        <f t="array" ref="U131">IFERROR(_xlfn.IFS(
S131="","",
--S131&lt;55,"Battery Defect",
--S131&lt;=69,"Battery D",
--S131&lt;=80,"Battery C",
--S131&gt;80,""
),"")</f>
        <v/>
      </c>
      <c r="V131" s="42" t="str" cm="1">
        <f t="array" ref="V131">IFERROR(_xlfn.IFS(
T131="","",
--T131&lt;55,"Battery Defect",
--T131&lt;=69,"Battery D",
--T131&lt;=80,"Battery C",
--T131&gt;80,""
),"")</f>
        <v/>
      </c>
      <c r="W131" s="42" t="str" cm="1">
        <f t="array" ref="W131:AD131">IFERROR(IF(_xlfn.XLOOKUP(B131,Input!J:J,Input!N:U)=0,"",
          _xlfn.XLOOKUP(B131,Input!J:J,Input!N:U)),"")</f>
        <v/>
      </c>
      <c r="X131" s="42" t="str">
        <v/>
      </c>
      <c r="Y131" s="42" t="str">
        <v/>
      </c>
      <c r="Z131" s="42" t="str">
        <v/>
      </c>
      <c r="AA131" s="42" t="str">
        <v/>
      </c>
      <c r="AB131" s="42" t="str">
        <v/>
      </c>
      <c r="AC131" s="42" t="str">
        <v/>
      </c>
      <c r="AD131" s="42" t="str">
        <v/>
      </c>
      <c r="AE131" s="32" t="str">
        <f t="shared" si="6"/>
        <v/>
      </c>
      <c r="AF131" s="32" t="str">
        <f>_xlfn.XLOOKUP(B:B,Disk_Pivot!G:G,Disk_Pivot!I:I)</f>
        <v>Yes x2</v>
      </c>
      <c r="AG131" s="32" t="str">
        <f>_xlfn.XLOOKUP(B131,Disk_Pivot!G:G,Disk_Pivot!N:N)</f>
        <v>Pass, Fail</v>
      </c>
      <c r="AH131" s="32"/>
      <c r="AI131" s="32"/>
      <c r="AJ131" s="32"/>
      <c r="AK131" s="32"/>
      <c r="AL131" s="32"/>
      <c r="AM131" s="32"/>
    </row>
    <row r="132" spans="1:39">
      <c r="A132" s="32" t="str">
        <f>_xlfn.XLOOKUP(B132,Input!J:J,Input!G:G)&amp;""</f>
        <v/>
      </c>
      <c r="B132" s="32"/>
      <c r="C132" s="32" t="str">
        <f>_xlfn.XLOOKUP(B132,Input!J:J,Input!H:H)&amp;""</f>
        <v/>
      </c>
      <c r="D132" s="42">
        <f>_xlfn.XLOOKUP(B132,Input!J:J,Input!F:F)</f>
        <v>0</v>
      </c>
      <c r="E132" s="32">
        <f>_xlfn.XLOOKUP(D132,Models!H:H,Models!G:G,D132)</f>
        <v>0</v>
      </c>
      <c r="F132" s="32">
        <f>_xlfn.XLOOKUP(B132,Input!J:J,Input!E:E)</f>
        <v>0</v>
      </c>
      <c r="G132" s="32">
        <f>IF(F132="LENOVO",_xlfn.XLOOKUP(B132,Input!J:J,Input!K:K),_xlfn.XLOOKUP(B132,Input!J:J,Input!L:L))</f>
        <v>0</v>
      </c>
      <c r="H132" s="32"/>
      <c r="I132" s="32"/>
      <c r="J132" s="32">
        <f>_xlfn.XLOOKUP(B132,CPU_Formula!A:A,CPU_Formula!I:I)</f>
        <v>0</v>
      </c>
      <c r="K132" s="42" t="e">
        <f>INDEX(Input!$D$2:$AC$500,
       MATCH(B132, Input!$J$2:$J$500, 0),
       MATCH("Total Memory", Input!$D$1:$AC$1, 0))</f>
        <v>#N/A</v>
      </c>
      <c r="L132" s="42" t="e">
        <f>INDEX(Input!$D$2:$AC$500,
       MATCH(B132, Input!$J$2:$J$500, 0),
       MATCH("Memory Type", Input!$D$1:$AC$1, 0))</f>
        <v>#N/A</v>
      </c>
      <c r="M132" s="42" t="str" cm="1">
        <f t="array" ref="M132">IFERROR(_xlfn.FILTERXML("&lt;t&gt;&lt;s&gt;" &amp; SUBSTITUTE(L132," / ","&lt;/s&gt;&lt;s&gt;") &amp; "&lt;/s&gt;&lt;/t&gt;","(//s[contains(.,'DDR')])[1]"),"")</f>
        <v/>
      </c>
      <c r="N132" s="32" t="e">
        <f t="shared" ref="N132:N195" si="8">_xlfn.TEXTJOIN(" ",TRUE,SUBSTITUTE(K132,"i",""),M132)</f>
        <v>#N/A</v>
      </c>
      <c r="O132" s="42" t="e">
        <f>INDEX(Input!$D$2:$AC$500,
       MATCH(B132, Input!$J$2:$J$500, 0),
       MATCH("Disk Interface Type", Input!$D$1:$AC$1, 0))</f>
        <v>#N/A</v>
      </c>
      <c r="P132" s="42" t="str" cm="1">
        <f t="array" ref="P132">IFERROR(_xlfn.TEXTJOIN(", ", TRUE, _xlfn._xlws.FILTER(
    INDEX(Input!$D$2:$AC$500,,MATCH("Disk Capacity",Input!$D$1:$AC$1,0)),
    Input!$J$2:$J$500=B132
)), "")</f>
        <v/>
      </c>
      <c r="Q132" s="32" t="e">
        <f t="shared" si="7"/>
        <v>#N/A</v>
      </c>
      <c r="R132" s="42" t="e">
        <f>_xlfn.LET(_xlpm.Result,INDEX(Input!$D$2:$AC$500,
       MATCH(B132, Input!$J$2:$J$500, 0),
       MATCH("Capacity", Input!$D$1:$AC$1, 0)),IF(_xlpm.Result="","",_xlpm.Result))</f>
        <v>#N/A</v>
      </c>
      <c r="S132" s="42" t="e" cm="1">
        <f t="array" ref="S132">_xlfn.TEXTSPLIT(R132," / ", ,TRUE,0,)</f>
        <v>#N/A</v>
      </c>
      <c r="T132" s="42"/>
      <c r="U132" s="42" t="str" cm="1">
        <f t="array" ref="U132">IFERROR(_xlfn.IFS(
S132="","",
--S132&lt;55,"Battery Defect",
--S132&lt;=69,"Battery D",
--S132&lt;=80,"Battery C",
--S132&gt;80,""
),"")</f>
        <v/>
      </c>
      <c r="V132" s="42" t="str" cm="1">
        <f t="array" ref="V132">IFERROR(_xlfn.IFS(
T132="","",
--T132&lt;55,"Battery Defect",
--T132&lt;=69,"Battery D",
--T132&lt;=80,"Battery C",
--T132&gt;80,""
),"")</f>
        <v/>
      </c>
      <c r="W132" s="42" t="str" cm="1">
        <f t="array" ref="W132:AD132">IFERROR(IF(_xlfn.XLOOKUP(B132,Input!J:J,Input!N:U)=0,"",
          _xlfn.XLOOKUP(B132,Input!J:J,Input!N:U)),"")</f>
        <v/>
      </c>
      <c r="X132" s="42" t="str">
        <v/>
      </c>
      <c r="Y132" s="42" t="str">
        <v/>
      </c>
      <c r="Z132" s="42" t="str">
        <v/>
      </c>
      <c r="AA132" s="42" t="str">
        <v/>
      </c>
      <c r="AB132" s="42" t="str">
        <v/>
      </c>
      <c r="AC132" s="42" t="str">
        <v/>
      </c>
      <c r="AD132" s="42" t="str">
        <v/>
      </c>
      <c r="AE132" s="32" t="str">
        <f t="shared" si="6"/>
        <v/>
      </c>
      <c r="AF132" s="32" t="str">
        <f>_xlfn.XLOOKUP(B:B,Disk_Pivot!G:G,Disk_Pivot!I:I)</f>
        <v>Yes x2</v>
      </c>
      <c r="AG132" s="32" t="str">
        <f>_xlfn.XLOOKUP(B132,Disk_Pivot!G:G,Disk_Pivot!N:N)</f>
        <v>Pass, Fail</v>
      </c>
      <c r="AH132" s="32"/>
      <c r="AI132" s="32"/>
      <c r="AJ132" s="32"/>
      <c r="AK132" s="32"/>
      <c r="AL132" s="32"/>
      <c r="AM132" s="32"/>
    </row>
    <row r="133" spans="1:39">
      <c r="A133" s="32" t="str">
        <f>_xlfn.XLOOKUP(B133,Input!J:J,Input!G:G)&amp;""</f>
        <v/>
      </c>
      <c r="B133" s="32"/>
      <c r="C133" s="32" t="str">
        <f>_xlfn.XLOOKUP(B133,Input!J:J,Input!H:H)&amp;""</f>
        <v/>
      </c>
      <c r="D133" s="42">
        <f>_xlfn.XLOOKUP(B133,Input!J:J,Input!F:F)</f>
        <v>0</v>
      </c>
      <c r="E133" s="32">
        <f>_xlfn.XLOOKUP(D133,Models!H:H,Models!G:G,D133)</f>
        <v>0</v>
      </c>
      <c r="F133" s="32">
        <f>_xlfn.XLOOKUP(B133,Input!J:J,Input!E:E)</f>
        <v>0</v>
      </c>
      <c r="G133" s="32">
        <f>IF(F133="LENOVO",_xlfn.XLOOKUP(B133,Input!J:J,Input!K:K),_xlfn.XLOOKUP(B133,Input!J:J,Input!L:L))</f>
        <v>0</v>
      </c>
      <c r="H133" s="32"/>
      <c r="I133" s="32"/>
      <c r="J133" s="32">
        <f>_xlfn.XLOOKUP(B133,CPU_Formula!A:A,CPU_Formula!I:I)</f>
        <v>0</v>
      </c>
      <c r="K133" s="42" t="e">
        <f>INDEX(Input!$D$2:$AC$500,
       MATCH(B133, Input!$J$2:$J$500, 0),
       MATCH("Total Memory", Input!$D$1:$AC$1, 0))</f>
        <v>#N/A</v>
      </c>
      <c r="L133" s="42" t="e">
        <f>INDEX(Input!$D$2:$AC$500,
       MATCH(B133, Input!$J$2:$J$500, 0),
       MATCH("Memory Type", Input!$D$1:$AC$1, 0))</f>
        <v>#N/A</v>
      </c>
      <c r="M133" s="42" t="str" cm="1">
        <f t="array" ref="M133">IFERROR(_xlfn.FILTERXML("&lt;t&gt;&lt;s&gt;" &amp; SUBSTITUTE(L133," / ","&lt;/s&gt;&lt;s&gt;") &amp; "&lt;/s&gt;&lt;/t&gt;","(//s[contains(.,'DDR')])[1]"),"")</f>
        <v/>
      </c>
      <c r="N133" s="32" t="e">
        <f t="shared" si="8"/>
        <v>#N/A</v>
      </c>
      <c r="O133" s="42" t="e">
        <f>INDEX(Input!$D$2:$AC$500,
       MATCH(B133, Input!$J$2:$J$500, 0),
       MATCH("Disk Interface Type", Input!$D$1:$AC$1, 0))</f>
        <v>#N/A</v>
      </c>
      <c r="P133" s="42" t="str" cm="1">
        <f t="array" ref="P133">IFERROR(_xlfn.TEXTJOIN(", ", TRUE, _xlfn._xlws.FILTER(
    INDEX(Input!$D$2:$AC$500,,MATCH("Disk Capacity",Input!$D$1:$AC$1,0)),
    Input!$J$2:$J$500=B133
)), "")</f>
        <v/>
      </c>
      <c r="Q133" s="32" t="e">
        <f t="shared" si="7"/>
        <v>#N/A</v>
      </c>
      <c r="R133" s="42" t="e">
        <f>_xlfn.LET(_xlpm.Result,INDEX(Input!$D$2:$AC$500,
       MATCH(B133, Input!$J$2:$J$500, 0),
       MATCH("Capacity", Input!$D$1:$AC$1, 0)),IF(_xlpm.Result="","",_xlpm.Result))</f>
        <v>#N/A</v>
      </c>
      <c r="S133" s="42" t="e" cm="1">
        <f t="array" ref="S133">_xlfn.TEXTSPLIT(R133," / ", ,TRUE,0,)</f>
        <v>#N/A</v>
      </c>
      <c r="T133" s="42"/>
      <c r="U133" s="42" t="str" cm="1">
        <f t="array" ref="U133">IFERROR(_xlfn.IFS(
S133="","",
--S133&lt;55,"Battery Defect",
--S133&lt;=69,"Battery D",
--S133&lt;=80,"Battery C",
--S133&gt;80,""
),"")</f>
        <v/>
      </c>
      <c r="V133" s="42" t="str" cm="1">
        <f t="array" ref="V133">IFERROR(_xlfn.IFS(
T133="","",
--T133&lt;55,"Battery Defect",
--T133&lt;=69,"Battery D",
--T133&lt;=80,"Battery C",
--T133&gt;80,""
),"")</f>
        <v/>
      </c>
      <c r="W133" s="42" t="str" cm="1">
        <f t="array" ref="W133:AD133">IFERROR(IF(_xlfn.XLOOKUP(B133,Input!J:J,Input!N:U)=0,"",
          _xlfn.XLOOKUP(B133,Input!J:J,Input!N:U)),"")</f>
        <v/>
      </c>
      <c r="X133" s="42" t="str">
        <v/>
      </c>
      <c r="Y133" s="42" t="str">
        <v/>
      </c>
      <c r="Z133" s="42" t="str">
        <v/>
      </c>
      <c r="AA133" s="42" t="str">
        <v/>
      </c>
      <c r="AB133" s="42" t="str">
        <v/>
      </c>
      <c r="AC133" s="42" t="str">
        <v/>
      </c>
      <c r="AD133" s="42" t="str">
        <v/>
      </c>
      <c r="AE133" s="32" t="str">
        <f t="shared" si="6"/>
        <v/>
      </c>
      <c r="AF133" s="32" t="str">
        <f>_xlfn.XLOOKUP(B:B,Disk_Pivot!G:G,Disk_Pivot!I:I)</f>
        <v>Yes x2</v>
      </c>
      <c r="AG133" s="32" t="str">
        <f>_xlfn.XLOOKUP(B133,Disk_Pivot!G:G,Disk_Pivot!N:N)</f>
        <v>Pass, Fail</v>
      </c>
      <c r="AH133" s="32"/>
      <c r="AI133" s="32"/>
      <c r="AJ133" s="32"/>
      <c r="AK133" s="32"/>
      <c r="AL133" s="32"/>
      <c r="AM133" s="32"/>
    </row>
    <row r="134" spans="1:39">
      <c r="A134" s="32" t="str">
        <f>_xlfn.XLOOKUP(B134,Input!J:J,Input!G:G)&amp;""</f>
        <v/>
      </c>
      <c r="B134" s="32"/>
      <c r="C134" s="32" t="str">
        <f>_xlfn.XLOOKUP(B134,Input!J:J,Input!H:H)&amp;""</f>
        <v/>
      </c>
      <c r="D134" s="42">
        <f>_xlfn.XLOOKUP(B134,Input!J:J,Input!F:F)</f>
        <v>0</v>
      </c>
      <c r="E134" s="32">
        <f>_xlfn.XLOOKUP(D134,Models!H:H,Models!G:G,D134)</f>
        <v>0</v>
      </c>
      <c r="F134" s="32">
        <f>_xlfn.XLOOKUP(B134,Input!J:J,Input!E:E)</f>
        <v>0</v>
      </c>
      <c r="G134" s="32">
        <f>IF(F134="LENOVO",_xlfn.XLOOKUP(B134,Input!J:J,Input!K:K),_xlfn.XLOOKUP(B134,Input!J:J,Input!L:L))</f>
        <v>0</v>
      </c>
      <c r="H134" s="32"/>
      <c r="I134" s="32"/>
      <c r="J134" s="32">
        <f>_xlfn.XLOOKUP(B134,CPU_Formula!A:A,CPU_Formula!I:I)</f>
        <v>0</v>
      </c>
      <c r="K134" s="42" t="e">
        <f>INDEX(Input!$D$2:$AC$500,
       MATCH(B134, Input!$J$2:$J$500, 0),
       MATCH("Total Memory", Input!$D$1:$AC$1, 0))</f>
        <v>#N/A</v>
      </c>
      <c r="L134" s="42" t="e">
        <f>INDEX(Input!$D$2:$AC$500,
       MATCH(B134, Input!$J$2:$J$500, 0),
       MATCH("Memory Type", Input!$D$1:$AC$1, 0))</f>
        <v>#N/A</v>
      </c>
      <c r="M134" s="42" t="str" cm="1">
        <f t="array" ref="M134">IFERROR(_xlfn.FILTERXML("&lt;t&gt;&lt;s&gt;" &amp; SUBSTITUTE(L134," / ","&lt;/s&gt;&lt;s&gt;") &amp; "&lt;/s&gt;&lt;/t&gt;","(//s[contains(.,'DDR')])[1]"),"")</f>
        <v/>
      </c>
      <c r="N134" s="32" t="e">
        <f t="shared" si="8"/>
        <v>#N/A</v>
      </c>
      <c r="O134" s="42" t="e">
        <f>INDEX(Input!$D$2:$AC$500,
       MATCH(B134, Input!$J$2:$J$500, 0),
       MATCH("Disk Interface Type", Input!$D$1:$AC$1, 0))</f>
        <v>#N/A</v>
      </c>
      <c r="P134" s="42" t="str" cm="1">
        <f t="array" ref="P134">IFERROR(_xlfn.TEXTJOIN(", ", TRUE, _xlfn._xlws.FILTER(
    INDEX(Input!$D$2:$AC$500,,MATCH("Disk Capacity",Input!$D$1:$AC$1,0)),
    Input!$J$2:$J$500=B134
)), "")</f>
        <v/>
      </c>
      <c r="Q134" s="32" t="e">
        <f t="shared" si="7"/>
        <v>#N/A</v>
      </c>
      <c r="R134" s="42" t="e">
        <f>_xlfn.LET(_xlpm.Result,INDEX(Input!$D$2:$AC$500,
       MATCH(B134, Input!$J$2:$J$500, 0),
       MATCH("Capacity", Input!$D$1:$AC$1, 0)),IF(_xlpm.Result="","",_xlpm.Result))</f>
        <v>#N/A</v>
      </c>
      <c r="S134" s="42" t="e" cm="1">
        <f t="array" ref="S134">_xlfn.TEXTSPLIT(R134," / ", ,TRUE,0,)</f>
        <v>#N/A</v>
      </c>
      <c r="T134" s="42"/>
      <c r="U134" s="42" t="str" cm="1">
        <f t="array" ref="U134">IFERROR(_xlfn.IFS(
S134="","",
--S134&lt;55,"Battery Defect",
--S134&lt;=69,"Battery D",
--S134&lt;=80,"Battery C",
--S134&gt;80,""
),"")</f>
        <v/>
      </c>
      <c r="V134" s="42" t="str" cm="1">
        <f t="array" ref="V134">IFERROR(_xlfn.IFS(
T134="","",
--T134&lt;55,"Battery Defect",
--T134&lt;=69,"Battery D",
--T134&lt;=80,"Battery C",
--T134&gt;80,""
),"")</f>
        <v/>
      </c>
      <c r="W134" s="42" t="str" cm="1">
        <f t="array" ref="W134:AD134">IFERROR(IF(_xlfn.XLOOKUP(B134,Input!J:J,Input!N:U)=0,"",
          _xlfn.XLOOKUP(B134,Input!J:J,Input!N:U)),"")</f>
        <v/>
      </c>
      <c r="X134" s="42" t="str">
        <v/>
      </c>
      <c r="Y134" s="42" t="str">
        <v/>
      </c>
      <c r="Z134" s="42" t="str">
        <v/>
      </c>
      <c r="AA134" s="42" t="str">
        <v/>
      </c>
      <c r="AB134" s="42" t="str">
        <v/>
      </c>
      <c r="AC134" s="42" t="str">
        <v/>
      </c>
      <c r="AD134" s="42" t="str">
        <v/>
      </c>
      <c r="AE134" s="32" t="str">
        <f t="shared" si="6"/>
        <v/>
      </c>
      <c r="AF134" s="32" t="str">
        <f>_xlfn.XLOOKUP(B:B,Disk_Pivot!G:G,Disk_Pivot!I:I)</f>
        <v>Yes x2</v>
      </c>
      <c r="AG134" s="32" t="str">
        <f>_xlfn.XLOOKUP(B134,Disk_Pivot!G:G,Disk_Pivot!N:N)</f>
        <v>Pass, Fail</v>
      </c>
      <c r="AH134" s="32"/>
      <c r="AI134" s="32"/>
      <c r="AJ134" s="32"/>
      <c r="AK134" s="32"/>
      <c r="AL134" s="32"/>
      <c r="AM134" s="32"/>
    </row>
    <row r="135" spans="1:39">
      <c r="A135" s="32" t="str">
        <f>_xlfn.XLOOKUP(B135,Input!J:J,Input!G:G)&amp;""</f>
        <v/>
      </c>
      <c r="B135" s="32"/>
      <c r="C135" s="32" t="str">
        <f>_xlfn.XLOOKUP(B135,Input!J:J,Input!H:H)&amp;""</f>
        <v/>
      </c>
      <c r="D135" s="42">
        <f>_xlfn.XLOOKUP(B135,Input!J:J,Input!F:F)</f>
        <v>0</v>
      </c>
      <c r="E135" s="32">
        <f>_xlfn.XLOOKUP(D135,Models!H:H,Models!G:G,D135)</f>
        <v>0</v>
      </c>
      <c r="F135" s="32">
        <f>_xlfn.XLOOKUP(B135,Input!J:J,Input!E:E)</f>
        <v>0</v>
      </c>
      <c r="G135" s="32">
        <f>IF(F135="LENOVO",_xlfn.XLOOKUP(B135,Input!J:J,Input!K:K),_xlfn.XLOOKUP(B135,Input!J:J,Input!L:L))</f>
        <v>0</v>
      </c>
      <c r="H135" s="32"/>
      <c r="I135" s="32"/>
      <c r="J135" s="32">
        <f>_xlfn.XLOOKUP(B135,CPU_Formula!A:A,CPU_Formula!I:I)</f>
        <v>0</v>
      </c>
      <c r="K135" s="42" t="e">
        <f>INDEX(Input!$D$2:$AC$500,
       MATCH(B135, Input!$J$2:$J$500, 0),
       MATCH("Total Memory", Input!$D$1:$AC$1, 0))</f>
        <v>#N/A</v>
      </c>
      <c r="L135" s="42" t="e">
        <f>INDEX(Input!$D$2:$AC$500,
       MATCH(B135, Input!$J$2:$J$500, 0),
       MATCH("Memory Type", Input!$D$1:$AC$1, 0))</f>
        <v>#N/A</v>
      </c>
      <c r="M135" s="42" t="str" cm="1">
        <f t="array" ref="M135">IFERROR(_xlfn.FILTERXML("&lt;t&gt;&lt;s&gt;" &amp; SUBSTITUTE(L135," / ","&lt;/s&gt;&lt;s&gt;") &amp; "&lt;/s&gt;&lt;/t&gt;","(//s[contains(.,'DDR')])[1]"),"")</f>
        <v/>
      </c>
      <c r="N135" s="32" t="e">
        <f t="shared" si="8"/>
        <v>#N/A</v>
      </c>
      <c r="O135" s="42" t="e">
        <f>INDEX(Input!$D$2:$AC$500,
       MATCH(B135, Input!$J$2:$J$500, 0),
       MATCH("Disk Interface Type", Input!$D$1:$AC$1, 0))</f>
        <v>#N/A</v>
      </c>
      <c r="P135" s="42" t="str" cm="1">
        <f t="array" ref="P135">IFERROR(_xlfn.TEXTJOIN(", ", TRUE, _xlfn._xlws.FILTER(
    INDEX(Input!$D$2:$AC$500,,MATCH("Disk Capacity",Input!$D$1:$AC$1,0)),
    Input!$J$2:$J$500=B135
)), "")</f>
        <v/>
      </c>
      <c r="Q135" s="32" t="e">
        <f t="shared" si="7"/>
        <v>#N/A</v>
      </c>
      <c r="R135" s="42" t="e">
        <f>_xlfn.LET(_xlpm.Result,INDEX(Input!$D$2:$AC$500,
       MATCH(B135, Input!$J$2:$J$500, 0),
       MATCH("Capacity", Input!$D$1:$AC$1, 0)),IF(_xlpm.Result="","",_xlpm.Result))</f>
        <v>#N/A</v>
      </c>
      <c r="S135" s="42" t="e" cm="1">
        <f t="array" ref="S135">_xlfn.TEXTSPLIT(R135," / ", ,TRUE,0,)</f>
        <v>#N/A</v>
      </c>
      <c r="T135" s="42"/>
      <c r="U135" s="42" t="str" cm="1">
        <f t="array" ref="U135">IFERROR(_xlfn.IFS(
S135="","",
--S135&lt;55,"Battery Defect",
--S135&lt;=69,"Battery D",
--S135&lt;=80,"Battery C",
--S135&gt;80,""
),"")</f>
        <v/>
      </c>
      <c r="V135" s="42" t="str" cm="1">
        <f t="array" ref="V135">IFERROR(_xlfn.IFS(
T135="","",
--T135&lt;55,"Battery Defect",
--T135&lt;=69,"Battery D",
--T135&lt;=80,"Battery C",
--T135&gt;80,""
),"")</f>
        <v/>
      </c>
      <c r="W135" s="42" t="str" cm="1">
        <f t="array" ref="W135:AD135">IFERROR(IF(_xlfn.XLOOKUP(B135,Input!J:J,Input!N:U)=0,"",
          _xlfn.XLOOKUP(B135,Input!J:J,Input!N:U)),"")</f>
        <v/>
      </c>
      <c r="X135" s="42" t="str">
        <v/>
      </c>
      <c r="Y135" s="42" t="str">
        <v/>
      </c>
      <c r="Z135" s="42" t="str">
        <v/>
      </c>
      <c r="AA135" s="42" t="str">
        <v/>
      </c>
      <c r="AB135" s="42" t="str">
        <v/>
      </c>
      <c r="AC135" s="42" t="str">
        <v/>
      </c>
      <c r="AD135" s="42" t="str">
        <v/>
      </c>
      <c r="AE135" s="32" t="str">
        <f t="shared" si="6"/>
        <v/>
      </c>
      <c r="AF135" s="32" t="str">
        <f>_xlfn.XLOOKUP(B:B,Disk_Pivot!G:G,Disk_Pivot!I:I)</f>
        <v>Yes x2</v>
      </c>
      <c r="AG135" s="32" t="str">
        <f>_xlfn.XLOOKUP(B135,Disk_Pivot!G:G,Disk_Pivot!N:N)</f>
        <v>Pass, Fail</v>
      </c>
      <c r="AH135" s="32"/>
      <c r="AI135" s="32"/>
      <c r="AJ135" s="32"/>
      <c r="AK135" s="32"/>
      <c r="AL135" s="32"/>
      <c r="AM135" s="32"/>
    </row>
    <row r="136" spans="1:39">
      <c r="A136" s="32" t="str">
        <f>_xlfn.XLOOKUP(B136,Input!J:J,Input!G:G)&amp;""</f>
        <v/>
      </c>
      <c r="B136" s="32"/>
      <c r="C136" s="32" t="str">
        <f>_xlfn.XLOOKUP(B136,Input!J:J,Input!H:H)&amp;""</f>
        <v/>
      </c>
      <c r="D136" s="42">
        <f>_xlfn.XLOOKUP(B136,Input!J:J,Input!F:F)</f>
        <v>0</v>
      </c>
      <c r="E136" s="32">
        <f>_xlfn.XLOOKUP(D136,Models!H:H,Models!G:G,D136)</f>
        <v>0</v>
      </c>
      <c r="F136" s="32">
        <f>_xlfn.XLOOKUP(B136,Input!J:J,Input!E:E)</f>
        <v>0</v>
      </c>
      <c r="G136" s="32">
        <f>IF(F136="LENOVO",_xlfn.XLOOKUP(B136,Input!J:J,Input!K:K),_xlfn.XLOOKUP(B136,Input!J:J,Input!L:L))</f>
        <v>0</v>
      </c>
      <c r="H136" s="32"/>
      <c r="I136" s="32"/>
      <c r="J136" s="32">
        <f>_xlfn.XLOOKUP(B136,CPU_Formula!A:A,CPU_Formula!I:I)</f>
        <v>0</v>
      </c>
      <c r="K136" s="42" t="e">
        <f>INDEX(Input!$D$2:$AC$500,
       MATCH(B136, Input!$J$2:$J$500, 0),
       MATCH("Total Memory", Input!$D$1:$AC$1, 0))</f>
        <v>#N/A</v>
      </c>
      <c r="L136" s="42" t="e">
        <f>INDEX(Input!$D$2:$AC$500,
       MATCH(B136, Input!$J$2:$J$500, 0),
       MATCH("Memory Type", Input!$D$1:$AC$1, 0))</f>
        <v>#N/A</v>
      </c>
      <c r="M136" s="42" t="str" cm="1">
        <f t="array" ref="M136">IFERROR(_xlfn.FILTERXML("&lt;t&gt;&lt;s&gt;" &amp; SUBSTITUTE(L136," / ","&lt;/s&gt;&lt;s&gt;") &amp; "&lt;/s&gt;&lt;/t&gt;","(//s[contains(.,'DDR')])[1]"),"")</f>
        <v/>
      </c>
      <c r="N136" s="32" t="e">
        <f t="shared" si="8"/>
        <v>#N/A</v>
      </c>
      <c r="O136" s="42" t="e">
        <f>INDEX(Input!$D$2:$AC$500,
       MATCH(B136, Input!$J$2:$J$500, 0),
       MATCH("Disk Interface Type", Input!$D$1:$AC$1, 0))</f>
        <v>#N/A</v>
      </c>
      <c r="P136" s="42" t="str" cm="1">
        <f t="array" ref="P136">IFERROR(_xlfn.TEXTJOIN(", ", TRUE, _xlfn._xlws.FILTER(
    INDEX(Input!$D$2:$AC$500,,MATCH("Disk Capacity",Input!$D$1:$AC$1,0)),
    Input!$J$2:$J$500=B136
)), "")</f>
        <v/>
      </c>
      <c r="Q136" s="32" t="e">
        <f t="shared" si="7"/>
        <v>#N/A</v>
      </c>
      <c r="R136" s="42" t="e">
        <f>_xlfn.LET(_xlpm.Result,INDEX(Input!$D$2:$AC$500,
       MATCH(B136, Input!$J$2:$J$500, 0),
       MATCH("Capacity", Input!$D$1:$AC$1, 0)),IF(_xlpm.Result="","",_xlpm.Result))</f>
        <v>#N/A</v>
      </c>
      <c r="S136" s="42" t="e" cm="1">
        <f t="array" ref="S136">_xlfn.TEXTSPLIT(R136," / ", ,TRUE,0,)</f>
        <v>#N/A</v>
      </c>
      <c r="T136" s="42"/>
      <c r="U136" s="42" t="str" cm="1">
        <f t="array" ref="U136">IFERROR(_xlfn.IFS(
S136="","",
--S136&lt;55,"Battery Defect",
--S136&lt;=69,"Battery D",
--S136&lt;=80,"Battery C",
--S136&gt;80,""
),"")</f>
        <v/>
      </c>
      <c r="V136" s="42" t="str" cm="1">
        <f t="array" ref="V136">IFERROR(_xlfn.IFS(
T136="","",
--T136&lt;55,"Battery Defect",
--T136&lt;=69,"Battery D",
--T136&lt;=80,"Battery C",
--T136&gt;80,""
),"")</f>
        <v/>
      </c>
      <c r="W136" s="42" t="str" cm="1">
        <f t="array" ref="W136:AD136">IFERROR(IF(_xlfn.XLOOKUP(B136,Input!J:J,Input!N:U)=0,"",
          _xlfn.XLOOKUP(B136,Input!J:J,Input!N:U)),"")</f>
        <v/>
      </c>
      <c r="X136" s="42" t="str">
        <v/>
      </c>
      <c r="Y136" s="42" t="str">
        <v/>
      </c>
      <c r="Z136" s="42" t="str">
        <v/>
      </c>
      <c r="AA136" s="42" t="str">
        <v/>
      </c>
      <c r="AB136" s="42" t="str">
        <v/>
      </c>
      <c r="AC136" s="42" t="str">
        <v/>
      </c>
      <c r="AD136" s="42" t="str">
        <v/>
      </c>
      <c r="AE136" s="32" t="str">
        <f t="shared" si="6"/>
        <v/>
      </c>
      <c r="AF136" s="32" t="str">
        <f>_xlfn.XLOOKUP(B:B,Disk_Pivot!G:G,Disk_Pivot!I:I)</f>
        <v>Yes x2</v>
      </c>
      <c r="AG136" s="32" t="str">
        <f>_xlfn.XLOOKUP(B136,Disk_Pivot!G:G,Disk_Pivot!N:N)</f>
        <v>Pass, Fail</v>
      </c>
      <c r="AH136" s="32"/>
      <c r="AI136" s="32"/>
      <c r="AJ136" s="32"/>
      <c r="AK136" s="32"/>
      <c r="AL136" s="32"/>
      <c r="AM136" s="32"/>
    </row>
    <row r="137" spans="1:39">
      <c r="A137" s="32" t="str">
        <f>_xlfn.XLOOKUP(B137,Input!J:J,Input!G:G)&amp;""</f>
        <v/>
      </c>
      <c r="B137" s="32"/>
      <c r="C137" s="32" t="str">
        <f>_xlfn.XLOOKUP(B137,Input!J:J,Input!H:H)&amp;""</f>
        <v/>
      </c>
      <c r="D137" s="42">
        <f>_xlfn.XLOOKUP(B137,Input!J:J,Input!F:F)</f>
        <v>0</v>
      </c>
      <c r="E137" s="32">
        <f>_xlfn.XLOOKUP(D137,Models!H:H,Models!G:G,D137)</f>
        <v>0</v>
      </c>
      <c r="F137" s="32">
        <f>_xlfn.XLOOKUP(B137,Input!J:J,Input!E:E)</f>
        <v>0</v>
      </c>
      <c r="G137" s="32">
        <f>IF(F137="LENOVO",_xlfn.XLOOKUP(B137,Input!J:J,Input!K:K),_xlfn.XLOOKUP(B137,Input!J:J,Input!L:L))</f>
        <v>0</v>
      </c>
      <c r="H137" s="32"/>
      <c r="I137" s="32"/>
      <c r="J137" s="32">
        <f>_xlfn.XLOOKUP(B137,CPU_Formula!A:A,CPU_Formula!I:I)</f>
        <v>0</v>
      </c>
      <c r="K137" s="42" t="e">
        <f>INDEX(Input!$D$2:$AC$500,
       MATCH(B137, Input!$J$2:$J$500, 0),
       MATCH("Total Memory", Input!$D$1:$AC$1, 0))</f>
        <v>#N/A</v>
      </c>
      <c r="L137" s="42" t="e">
        <f>INDEX(Input!$D$2:$AC$500,
       MATCH(B137, Input!$J$2:$J$500, 0),
       MATCH("Memory Type", Input!$D$1:$AC$1, 0))</f>
        <v>#N/A</v>
      </c>
      <c r="M137" s="42" t="str" cm="1">
        <f t="array" ref="M137">IFERROR(_xlfn.FILTERXML("&lt;t&gt;&lt;s&gt;" &amp; SUBSTITUTE(L137," / ","&lt;/s&gt;&lt;s&gt;") &amp; "&lt;/s&gt;&lt;/t&gt;","(//s[contains(.,'DDR')])[1]"),"")</f>
        <v/>
      </c>
      <c r="N137" s="32" t="e">
        <f t="shared" si="8"/>
        <v>#N/A</v>
      </c>
      <c r="O137" s="42" t="e">
        <f>INDEX(Input!$D$2:$AC$500,
       MATCH(B137, Input!$J$2:$J$500, 0),
       MATCH("Disk Interface Type", Input!$D$1:$AC$1, 0))</f>
        <v>#N/A</v>
      </c>
      <c r="P137" s="42" t="str" cm="1">
        <f t="array" ref="P137">IFERROR(_xlfn.TEXTJOIN(", ", TRUE, _xlfn._xlws.FILTER(
    INDEX(Input!$D$2:$AC$500,,MATCH("Disk Capacity",Input!$D$1:$AC$1,0)),
    Input!$J$2:$J$500=B137
)), "")</f>
        <v/>
      </c>
      <c r="Q137" s="32" t="e">
        <f t="shared" si="7"/>
        <v>#N/A</v>
      </c>
      <c r="R137" s="42" t="e">
        <f>_xlfn.LET(_xlpm.Result,INDEX(Input!$D$2:$AC$500,
       MATCH(B137, Input!$J$2:$J$500, 0),
       MATCH("Capacity", Input!$D$1:$AC$1, 0)),IF(_xlpm.Result="","",_xlpm.Result))</f>
        <v>#N/A</v>
      </c>
      <c r="S137" s="42" t="e" cm="1">
        <f t="array" ref="S137">_xlfn.TEXTSPLIT(R137," / ", ,TRUE,0,)</f>
        <v>#N/A</v>
      </c>
      <c r="T137" s="42"/>
      <c r="U137" s="42" t="str" cm="1">
        <f t="array" ref="U137">IFERROR(_xlfn.IFS(
S137="","",
--S137&lt;55,"Battery Defect",
--S137&lt;=69,"Battery D",
--S137&lt;=80,"Battery C",
--S137&gt;80,""
),"")</f>
        <v/>
      </c>
      <c r="V137" s="42" t="str" cm="1">
        <f t="array" ref="V137">IFERROR(_xlfn.IFS(
T137="","",
--T137&lt;55,"Battery Defect",
--T137&lt;=69,"Battery D",
--T137&lt;=80,"Battery C",
--T137&gt;80,""
),"")</f>
        <v/>
      </c>
      <c r="W137" s="42" t="str" cm="1">
        <f t="array" ref="W137:AD137">IFERROR(IF(_xlfn.XLOOKUP(B137,Input!J:J,Input!N:U)=0,"",
          _xlfn.XLOOKUP(B137,Input!J:J,Input!N:U)),"")</f>
        <v/>
      </c>
      <c r="X137" s="42" t="str">
        <v/>
      </c>
      <c r="Y137" s="42" t="str">
        <v/>
      </c>
      <c r="Z137" s="42" t="str">
        <v/>
      </c>
      <c r="AA137" s="42" t="str">
        <v/>
      </c>
      <c r="AB137" s="42" t="str">
        <v/>
      </c>
      <c r="AC137" s="42" t="str">
        <v/>
      </c>
      <c r="AD137" s="42" t="str">
        <v/>
      </c>
      <c r="AE137" s="32" t="str">
        <f t="shared" si="6"/>
        <v/>
      </c>
      <c r="AF137" s="32" t="str">
        <f>_xlfn.XLOOKUP(B:B,Disk_Pivot!G:G,Disk_Pivot!I:I)</f>
        <v>Yes x2</v>
      </c>
      <c r="AG137" s="32" t="str">
        <f>_xlfn.XLOOKUP(B137,Disk_Pivot!G:G,Disk_Pivot!N:N)</f>
        <v>Pass, Fail</v>
      </c>
      <c r="AH137" s="32"/>
      <c r="AI137" s="32"/>
      <c r="AJ137" s="32"/>
      <c r="AK137" s="32"/>
      <c r="AL137" s="32"/>
      <c r="AM137" s="32"/>
    </row>
    <row r="138" spans="1:39">
      <c r="A138" s="32" t="str">
        <f>_xlfn.XLOOKUP(B138,Input!J:J,Input!G:G)&amp;""</f>
        <v/>
      </c>
      <c r="B138" s="32"/>
      <c r="C138" s="32" t="str">
        <f>_xlfn.XLOOKUP(B138,Input!J:J,Input!H:H)&amp;""</f>
        <v/>
      </c>
      <c r="D138" s="42">
        <f>_xlfn.XLOOKUP(B138,Input!J:J,Input!F:F)</f>
        <v>0</v>
      </c>
      <c r="E138" s="32">
        <f>_xlfn.XLOOKUP(D138,Models!H:H,Models!G:G,D138)</f>
        <v>0</v>
      </c>
      <c r="F138" s="32">
        <f>_xlfn.XLOOKUP(B138,Input!J:J,Input!E:E)</f>
        <v>0</v>
      </c>
      <c r="G138" s="32">
        <f>IF(F138="LENOVO",_xlfn.XLOOKUP(B138,Input!J:J,Input!K:K),_xlfn.XLOOKUP(B138,Input!J:J,Input!L:L))</f>
        <v>0</v>
      </c>
      <c r="H138" s="32"/>
      <c r="I138" s="32"/>
      <c r="J138" s="32">
        <f>_xlfn.XLOOKUP(B138,CPU_Formula!A:A,CPU_Formula!I:I)</f>
        <v>0</v>
      </c>
      <c r="K138" s="42" t="e">
        <f>INDEX(Input!$D$2:$AC$500,
       MATCH(B138, Input!$J$2:$J$500, 0),
       MATCH("Total Memory", Input!$D$1:$AC$1, 0))</f>
        <v>#N/A</v>
      </c>
      <c r="L138" s="42" t="e">
        <f>INDEX(Input!$D$2:$AC$500,
       MATCH(B138, Input!$J$2:$J$500, 0),
       MATCH("Memory Type", Input!$D$1:$AC$1, 0))</f>
        <v>#N/A</v>
      </c>
      <c r="M138" s="42" t="str" cm="1">
        <f t="array" ref="M138">IFERROR(_xlfn.FILTERXML("&lt;t&gt;&lt;s&gt;" &amp; SUBSTITUTE(L138," / ","&lt;/s&gt;&lt;s&gt;") &amp; "&lt;/s&gt;&lt;/t&gt;","(//s[contains(.,'DDR')])[1]"),"")</f>
        <v/>
      </c>
      <c r="N138" s="32" t="e">
        <f t="shared" si="8"/>
        <v>#N/A</v>
      </c>
      <c r="O138" s="42" t="e">
        <f>INDEX(Input!$D$2:$AC$500,
       MATCH(B138, Input!$J$2:$J$500, 0),
       MATCH("Disk Interface Type", Input!$D$1:$AC$1, 0))</f>
        <v>#N/A</v>
      </c>
      <c r="P138" s="42" t="str" cm="1">
        <f t="array" ref="P138">IFERROR(_xlfn.TEXTJOIN(", ", TRUE, _xlfn._xlws.FILTER(
    INDEX(Input!$D$2:$AC$500,,MATCH("Disk Capacity",Input!$D$1:$AC$1,0)),
    Input!$J$2:$J$500=B138
)), "")</f>
        <v/>
      </c>
      <c r="Q138" s="32" t="e">
        <f t="shared" si="7"/>
        <v>#N/A</v>
      </c>
      <c r="R138" s="42" t="e">
        <f>_xlfn.LET(_xlpm.Result,INDEX(Input!$D$2:$AC$500,
       MATCH(B138, Input!$J$2:$J$500, 0),
       MATCH("Capacity", Input!$D$1:$AC$1, 0)),IF(_xlpm.Result="","",_xlpm.Result))</f>
        <v>#N/A</v>
      </c>
      <c r="S138" s="42" t="e" cm="1">
        <f t="array" ref="S138">_xlfn.TEXTSPLIT(R138," / ", ,TRUE,0,)</f>
        <v>#N/A</v>
      </c>
      <c r="T138" s="42"/>
      <c r="U138" s="42" t="str" cm="1">
        <f t="array" ref="U138">IFERROR(_xlfn.IFS(
S138="","",
--S138&lt;55,"Battery Defect",
--S138&lt;=69,"Battery D",
--S138&lt;=80,"Battery C",
--S138&gt;80,""
),"")</f>
        <v/>
      </c>
      <c r="V138" s="42" t="str" cm="1">
        <f t="array" ref="V138">IFERROR(_xlfn.IFS(
T138="","",
--T138&lt;55,"Battery Defect",
--T138&lt;=69,"Battery D",
--T138&lt;=80,"Battery C",
--T138&gt;80,""
),"")</f>
        <v/>
      </c>
      <c r="W138" s="42" t="str" cm="1">
        <f t="array" ref="W138:AD138">IFERROR(IF(_xlfn.XLOOKUP(B138,Input!J:J,Input!N:U)=0,"",
          _xlfn.XLOOKUP(B138,Input!J:J,Input!N:U)),"")</f>
        <v/>
      </c>
      <c r="X138" s="42" t="str">
        <v/>
      </c>
      <c r="Y138" s="42" t="str">
        <v/>
      </c>
      <c r="Z138" s="42" t="str">
        <v/>
      </c>
      <c r="AA138" s="42" t="str">
        <v/>
      </c>
      <c r="AB138" s="42" t="str">
        <v/>
      </c>
      <c r="AC138" s="42" t="str">
        <v/>
      </c>
      <c r="AD138" s="42" t="str">
        <v/>
      </c>
      <c r="AE138" s="32" t="str">
        <f t="shared" si="6"/>
        <v/>
      </c>
      <c r="AF138" s="32" t="str">
        <f>_xlfn.XLOOKUP(B:B,Disk_Pivot!G:G,Disk_Pivot!I:I)</f>
        <v>Yes x2</v>
      </c>
      <c r="AG138" s="32" t="str">
        <f>_xlfn.XLOOKUP(B138,Disk_Pivot!G:G,Disk_Pivot!N:N)</f>
        <v>Pass, Fail</v>
      </c>
      <c r="AH138" s="32"/>
      <c r="AI138" s="32"/>
      <c r="AJ138" s="32"/>
      <c r="AK138" s="32"/>
      <c r="AL138" s="32"/>
      <c r="AM138" s="32"/>
    </row>
    <row r="139" spans="1:39">
      <c r="A139" s="32" t="str">
        <f>_xlfn.XLOOKUP(B139,Input!J:J,Input!G:G)&amp;""</f>
        <v/>
      </c>
      <c r="B139" s="32"/>
      <c r="C139" s="32" t="str">
        <f>_xlfn.XLOOKUP(B139,Input!J:J,Input!H:H)&amp;""</f>
        <v/>
      </c>
      <c r="D139" s="42">
        <f>_xlfn.XLOOKUP(B139,Input!J:J,Input!F:F)</f>
        <v>0</v>
      </c>
      <c r="E139" s="32">
        <f>_xlfn.XLOOKUP(D139,Models!H:H,Models!G:G,D139)</f>
        <v>0</v>
      </c>
      <c r="F139" s="32">
        <f>_xlfn.XLOOKUP(B139,Input!J:J,Input!E:E)</f>
        <v>0</v>
      </c>
      <c r="G139" s="32">
        <f>IF(F139="LENOVO",_xlfn.XLOOKUP(B139,Input!J:J,Input!K:K),_xlfn.XLOOKUP(B139,Input!J:J,Input!L:L))</f>
        <v>0</v>
      </c>
      <c r="H139" s="32"/>
      <c r="I139" s="32"/>
      <c r="J139" s="32">
        <f>_xlfn.XLOOKUP(B139,CPU_Formula!A:A,CPU_Formula!I:I)</f>
        <v>0</v>
      </c>
      <c r="K139" s="42" t="e">
        <f>INDEX(Input!$D$2:$AC$500,
       MATCH(B139, Input!$J$2:$J$500, 0),
       MATCH("Total Memory", Input!$D$1:$AC$1, 0))</f>
        <v>#N/A</v>
      </c>
      <c r="L139" s="42" t="e">
        <f>INDEX(Input!$D$2:$AC$500,
       MATCH(B139, Input!$J$2:$J$500, 0),
       MATCH("Memory Type", Input!$D$1:$AC$1, 0))</f>
        <v>#N/A</v>
      </c>
      <c r="M139" s="42" t="str" cm="1">
        <f t="array" ref="M139">IFERROR(_xlfn.FILTERXML("&lt;t&gt;&lt;s&gt;" &amp; SUBSTITUTE(L139," / ","&lt;/s&gt;&lt;s&gt;") &amp; "&lt;/s&gt;&lt;/t&gt;","(//s[contains(.,'DDR')])[1]"),"")</f>
        <v/>
      </c>
      <c r="N139" s="32" t="e">
        <f t="shared" si="8"/>
        <v>#N/A</v>
      </c>
      <c r="O139" s="42" t="e">
        <f>INDEX(Input!$D$2:$AC$500,
       MATCH(B139, Input!$J$2:$J$500, 0),
       MATCH("Disk Interface Type", Input!$D$1:$AC$1, 0))</f>
        <v>#N/A</v>
      </c>
      <c r="P139" s="42" t="str" cm="1">
        <f t="array" ref="P139">IFERROR(_xlfn.TEXTJOIN(", ", TRUE, _xlfn._xlws.FILTER(
    INDEX(Input!$D$2:$AC$500,,MATCH("Disk Capacity",Input!$D$1:$AC$1,0)),
    Input!$J$2:$J$500=B139
)), "")</f>
        <v/>
      </c>
      <c r="Q139" s="32" t="e">
        <f t="shared" si="7"/>
        <v>#N/A</v>
      </c>
      <c r="R139" s="42" t="e">
        <f>_xlfn.LET(_xlpm.Result,INDEX(Input!$D$2:$AC$500,
       MATCH(B139, Input!$J$2:$J$500, 0),
       MATCH("Capacity", Input!$D$1:$AC$1, 0)),IF(_xlpm.Result="","",_xlpm.Result))</f>
        <v>#N/A</v>
      </c>
      <c r="S139" s="42" t="e" cm="1">
        <f t="array" ref="S139">_xlfn.TEXTSPLIT(R139," / ", ,TRUE,0,)</f>
        <v>#N/A</v>
      </c>
      <c r="T139" s="42"/>
      <c r="U139" s="42" t="str" cm="1">
        <f t="array" ref="U139">IFERROR(_xlfn.IFS(
S139="","",
--S139&lt;55,"Battery Defect",
--S139&lt;=69,"Battery D",
--S139&lt;=80,"Battery C",
--S139&gt;80,""
),"")</f>
        <v/>
      </c>
      <c r="V139" s="42" t="str" cm="1">
        <f t="array" ref="V139">IFERROR(_xlfn.IFS(
T139="","",
--T139&lt;55,"Battery Defect",
--T139&lt;=69,"Battery D",
--T139&lt;=80,"Battery C",
--T139&gt;80,""
),"")</f>
        <v/>
      </c>
      <c r="W139" s="42" t="str" cm="1">
        <f t="array" ref="W139:AD139">IFERROR(IF(_xlfn.XLOOKUP(B139,Input!J:J,Input!N:U)=0,"",
          _xlfn.XLOOKUP(B139,Input!J:J,Input!N:U)),"")</f>
        <v/>
      </c>
      <c r="X139" s="42" t="str">
        <v/>
      </c>
      <c r="Y139" s="42" t="str">
        <v/>
      </c>
      <c r="Z139" s="42" t="str">
        <v/>
      </c>
      <c r="AA139" s="42" t="str">
        <v/>
      </c>
      <c r="AB139" s="42" t="str">
        <v/>
      </c>
      <c r="AC139" s="42" t="str">
        <v/>
      </c>
      <c r="AD139" s="42" t="str">
        <v/>
      </c>
      <c r="AE139" s="32" t="str">
        <f t="shared" si="6"/>
        <v/>
      </c>
      <c r="AF139" s="32" t="str">
        <f>_xlfn.XLOOKUP(B:B,Disk_Pivot!G:G,Disk_Pivot!I:I)</f>
        <v>Yes x2</v>
      </c>
      <c r="AG139" s="32" t="str">
        <f>_xlfn.XLOOKUP(B139,Disk_Pivot!G:G,Disk_Pivot!N:N)</f>
        <v>Pass, Fail</v>
      </c>
      <c r="AH139" s="32"/>
      <c r="AI139" s="32"/>
      <c r="AJ139" s="32"/>
      <c r="AK139" s="32"/>
      <c r="AL139" s="32"/>
      <c r="AM139" s="32"/>
    </row>
    <row r="140" spans="1:39">
      <c r="A140" s="32" t="str">
        <f>_xlfn.XLOOKUP(B140,Input!J:J,Input!G:G)&amp;""</f>
        <v/>
      </c>
      <c r="B140" s="32"/>
      <c r="C140" s="32" t="str">
        <f>_xlfn.XLOOKUP(B140,Input!J:J,Input!H:H)&amp;""</f>
        <v/>
      </c>
      <c r="D140" s="42">
        <f>_xlfn.XLOOKUP(B140,Input!J:J,Input!F:F)</f>
        <v>0</v>
      </c>
      <c r="E140" s="32">
        <f>_xlfn.XLOOKUP(D140,Models!H:H,Models!G:G,D140)</f>
        <v>0</v>
      </c>
      <c r="F140" s="32">
        <f>_xlfn.XLOOKUP(B140,Input!J:J,Input!E:E)</f>
        <v>0</v>
      </c>
      <c r="G140" s="32">
        <f>IF(F140="LENOVO",_xlfn.XLOOKUP(B140,Input!J:J,Input!K:K),_xlfn.XLOOKUP(B140,Input!J:J,Input!L:L))</f>
        <v>0</v>
      </c>
      <c r="H140" s="32"/>
      <c r="I140" s="32"/>
      <c r="J140" s="32">
        <f>_xlfn.XLOOKUP(B140,CPU_Formula!A:A,CPU_Formula!I:I)</f>
        <v>0</v>
      </c>
      <c r="K140" s="42" t="e">
        <f>INDEX(Input!$D$2:$AC$500,
       MATCH(B140, Input!$J$2:$J$500, 0),
       MATCH("Total Memory", Input!$D$1:$AC$1, 0))</f>
        <v>#N/A</v>
      </c>
      <c r="L140" s="42" t="e">
        <f>INDEX(Input!$D$2:$AC$500,
       MATCH(B140, Input!$J$2:$J$500, 0),
       MATCH("Memory Type", Input!$D$1:$AC$1, 0))</f>
        <v>#N/A</v>
      </c>
      <c r="M140" s="42" t="str" cm="1">
        <f t="array" ref="M140">IFERROR(_xlfn.FILTERXML("&lt;t&gt;&lt;s&gt;" &amp; SUBSTITUTE(L140," / ","&lt;/s&gt;&lt;s&gt;") &amp; "&lt;/s&gt;&lt;/t&gt;","(//s[contains(.,'DDR')])[1]"),"")</f>
        <v/>
      </c>
      <c r="N140" s="32" t="e">
        <f t="shared" si="8"/>
        <v>#N/A</v>
      </c>
      <c r="O140" s="42" t="e">
        <f>INDEX(Input!$D$2:$AC$500,
       MATCH(B140, Input!$J$2:$J$500, 0),
       MATCH("Disk Interface Type", Input!$D$1:$AC$1, 0))</f>
        <v>#N/A</v>
      </c>
      <c r="P140" s="42" t="str" cm="1">
        <f t="array" ref="P140">IFERROR(_xlfn.TEXTJOIN(", ", TRUE, _xlfn._xlws.FILTER(
    INDEX(Input!$D$2:$AC$500,,MATCH("Disk Capacity",Input!$D$1:$AC$1,0)),
    Input!$J$2:$J$500=B140
)), "")</f>
        <v/>
      </c>
      <c r="Q140" s="32" t="e">
        <f t="shared" si="7"/>
        <v>#N/A</v>
      </c>
      <c r="R140" s="42" t="e">
        <f>_xlfn.LET(_xlpm.Result,INDEX(Input!$D$2:$AC$500,
       MATCH(B140, Input!$J$2:$J$500, 0),
       MATCH("Capacity", Input!$D$1:$AC$1, 0)),IF(_xlpm.Result="","",_xlpm.Result))</f>
        <v>#N/A</v>
      </c>
      <c r="S140" s="42" t="e" cm="1">
        <f t="array" ref="S140">_xlfn.TEXTSPLIT(R140," / ", ,TRUE,0,)</f>
        <v>#N/A</v>
      </c>
      <c r="T140" s="42"/>
      <c r="U140" s="42" t="str" cm="1">
        <f t="array" ref="U140">IFERROR(_xlfn.IFS(
S140="","",
--S140&lt;55,"Battery Defect",
--S140&lt;=69,"Battery D",
--S140&lt;=80,"Battery C",
--S140&gt;80,""
),"")</f>
        <v/>
      </c>
      <c r="V140" s="42" t="str" cm="1">
        <f t="array" ref="V140">IFERROR(_xlfn.IFS(
T140="","",
--T140&lt;55,"Battery Defect",
--T140&lt;=69,"Battery D",
--T140&lt;=80,"Battery C",
--T140&gt;80,""
),"")</f>
        <v/>
      </c>
      <c r="W140" s="42" t="str" cm="1">
        <f t="array" ref="W140:AD140">IFERROR(IF(_xlfn.XLOOKUP(B140,Input!J:J,Input!N:U)=0,"",
          _xlfn.XLOOKUP(B140,Input!J:J,Input!N:U)),"")</f>
        <v/>
      </c>
      <c r="X140" s="42" t="str">
        <v/>
      </c>
      <c r="Y140" s="42" t="str">
        <v/>
      </c>
      <c r="Z140" s="42" t="str">
        <v/>
      </c>
      <c r="AA140" s="42" t="str">
        <v/>
      </c>
      <c r="AB140" s="42" t="str">
        <v/>
      </c>
      <c r="AC140" s="42" t="str">
        <v/>
      </c>
      <c r="AD140" s="42" t="str">
        <v/>
      </c>
      <c r="AE140" s="32" t="str">
        <f t="shared" si="6"/>
        <v/>
      </c>
      <c r="AF140" s="32" t="str">
        <f>_xlfn.XLOOKUP(B:B,Disk_Pivot!G:G,Disk_Pivot!I:I)</f>
        <v>Yes x2</v>
      </c>
      <c r="AG140" s="32" t="str">
        <f>_xlfn.XLOOKUP(B140,Disk_Pivot!G:G,Disk_Pivot!N:N)</f>
        <v>Pass, Fail</v>
      </c>
      <c r="AH140" s="32"/>
      <c r="AI140" s="32"/>
      <c r="AJ140" s="32"/>
      <c r="AK140" s="32"/>
      <c r="AL140" s="32"/>
      <c r="AM140" s="32"/>
    </row>
    <row r="141" spans="1:39">
      <c r="A141" s="32" t="str">
        <f>_xlfn.XLOOKUP(B141,Input!J:J,Input!G:G)&amp;""</f>
        <v/>
      </c>
      <c r="B141" s="32"/>
      <c r="C141" s="32" t="str">
        <f>_xlfn.XLOOKUP(B141,Input!J:J,Input!H:H)&amp;""</f>
        <v/>
      </c>
      <c r="D141" s="42">
        <f>_xlfn.XLOOKUP(B141,Input!J:J,Input!F:F)</f>
        <v>0</v>
      </c>
      <c r="E141" s="32">
        <f>_xlfn.XLOOKUP(D141,Models!H:H,Models!G:G,D141)</f>
        <v>0</v>
      </c>
      <c r="F141" s="32">
        <f>_xlfn.XLOOKUP(B141,Input!J:J,Input!E:E)</f>
        <v>0</v>
      </c>
      <c r="G141" s="32">
        <f>IF(F141="LENOVO",_xlfn.XLOOKUP(B141,Input!J:J,Input!K:K),_xlfn.XLOOKUP(B141,Input!J:J,Input!L:L))</f>
        <v>0</v>
      </c>
      <c r="H141" s="32"/>
      <c r="I141" s="32"/>
      <c r="J141" s="32">
        <f>_xlfn.XLOOKUP(B141,CPU_Formula!A:A,CPU_Formula!I:I)</f>
        <v>0</v>
      </c>
      <c r="K141" s="42" t="e">
        <f>INDEX(Input!$D$2:$AC$500,
       MATCH(B141, Input!$J$2:$J$500, 0),
       MATCH("Total Memory", Input!$D$1:$AC$1, 0))</f>
        <v>#N/A</v>
      </c>
      <c r="L141" s="42" t="e">
        <f>INDEX(Input!$D$2:$AC$500,
       MATCH(B141, Input!$J$2:$J$500, 0),
       MATCH("Memory Type", Input!$D$1:$AC$1, 0))</f>
        <v>#N/A</v>
      </c>
      <c r="M141" s="42" t="str" cm="1">
        <f t="array" ref="M141">IFERROR(_xlfn.FILTERXML("&lt;t&gt;&lt;s&gt;" &amp; SUBSTITUTE(L141," / ","&lt;/s&gt;&lt;s&gt;") &amp; "&lt;/s&gt;&lt;/t&gt;","(//s[contains(.,'DDR')])[1]"),"")</f>
        <v/>
      </c>
      <c r="N141" s="32" t="e">
        <f t="shared" si="8"/>
        <v>#N/A</v>
      </c>
      <c r="O141" s="42" t="e">
        <f>INDEX(Input!$D$2:$AC$500,
       MATCH(B141, Input!$J$2:$J$500, 0),
       MATCH("Disk Interface Type", Input!$D$1:$AC$1, 0))</f>
        <v>#N/A</v>
      </c>
      <c r="P141" s="42" t="str" cm="1">
        <f t="array" ref="P141">IFERROR(_xlfn.TEXTJOIN(", ", TRUE, _xlfn._xlws.FILTER(
    INDEX(Input!$D$2:$AC$500,,MATCH("Disk Capacity",Input!$D$1:$AC$1,0)),
    Input!$J$2:$J$500=B141
)), "")</f>
        <v/>
      </c>
      <c r="Q141" s="32" t="e">
        <f t="shared" si="7"/>
        <v>#N/A</v>
      </c>
      <c r="R141" s="42" t="e">
        <f>_xlfn.LET(_xlpm.Result,INDEX(Input!$D$2:$AC$500,
       MATCH(B141, Input!$J$2:$J$500, 0),
       MATCH("Capacity", Input!$D$1:$AC$1, 0)),IF(_xlpm.Result="","",_xlpm.Result))</f>
        <v>#N/A</v>
      </c>
      <c r="S141" s="42" t="e" cm="1">
        <f t="array" ref="S141">_xlfn.TEXTSPLIT(R141," / ", ,TRUE,0,)</f>
        <v>#N/A</v>
      </c>
      <c r="T141" s="42"/>
      <c r="U141" s="42" t="str" cm="1">
        <f t="array" ref="U141">IFERROR(_xlfn.IFS(
S141="","",
--S141&lt;55,"Battery Defect",
--S141&lt;=69,"Battery D",
--S141&lt;=80,"Battery C",
--S141&gt;80,""
),"")</f>
        <v/>
      </c>
      <c r="V141" s="42" t="str" cm="1">
        <f t="array" ref="V141">IFERROR(_xlfn.IFS(
T141="","",
--T141&lt;55,"Battery Defect",
--T141&lt;=69,"Battery D",
--T141&lt;=80,"Battery C",
--T141&gt;80,""
),"")</f>
        <v/>
      </c>
      <c r="W141" s="42" t="str" cm="1">
        <f t="array" ref="W141:AD141">IFERROR(IF(_xlfn.XLOOKUP(B141,Input!J:J,Input!N:U)=0,"",
          _xlfn.XLOOKUP(B141,Input!J:J,Input!N:U)),"")</f>
        <v/>
      </c>
      <c r="X141" s="42" t="str">
        <v/>
      </c>
      <c r="Y141" s="42" t="str">
        <v/>
      </c>
      <c r="Z141" s="42" t="str">
        <v/>
      </c>
      <c r="AA141" s="42" t="str">
        <v/>
      </c>
      <c r="AB141" s="42" t="str">
        <v/>
      </c>
      <c r="AC141" s="42" t="str">
        <v/>
      </c>
      <c r="AD141" s="42" t="str">
        <v/>
      </c>
      <c r="AE141" s="32" t="str">
        <f t="shared" si="6"/>
        <v/>
      </c>
      <c r="AF141" s="32" t="str">
        <f>_xlfn.XLOOKUP(B:B,Disk_Pivot!G:G,Disk_Pivot!I:I)</f>
        <v>Yes x2</v>
      </c>
      <c r="AG141" s="32" t="str">
        <f>_xlfn.XLOOKUP(B141,Disk_Pivot!G:G,Disk_Pivot!N:N)</f>
        <v>Pass, Fail</v>
      </c>
      <c r="AH141" s="32"/>
      <c r="AI141" s="32"/>
      <c r="AJ141" s="32"/>
      <c r="AK141" s="32"/>
      <c r="AL141" s="32"/>
      <c r="AM141" s="32"/>
    </row>
    <row r="142" spans="1:39">
      <c r="A142" s="32" t="str">
        <f>_xlfn.XLOOKUP(B142,Input!J:J,Input!G:G)&amp;""</f>
        <v/>
      </c>
      <c r="B142" s="32"/>
      <c r="C142" s="32" t="str">
        <f>_xlfn.XLOOKUP(B142,Input!J:J,Input!H:H)&amp;""</f>
        <v/>
      </c>
      <c r="D142" s="42">
        <f>_xlfn.XLOOKUP(B142,Input!J:J,Input!F:F)</f>
        <v>0</v>
      </c>
      <c r="E142" s="32">
        <f>_xlfn.XLOOKUP(D142,Models!H:H,Models!G:G,D142)</f>
        <v>0</v>
      </c>
      <c r="F142" s="32">
        <f>_xlfn.XLOOKUP(B142,Input!J:J,Input!E:E)</f>
        <v>0</v>
      </c>
      <c r="G142" s="32">
        <f>IF(F142="LENOVO",_xlfn.XLOOKUP(B142,Input!J:J,Input!K:K),_xlfn.XLOOKUP(B142,Input!J:J,Input!L:L))</f>
        <v>0</v>
      </c>
      <c r="H142" s="32"/>
      <c r="I142" s="32"/>
      <c r="J142" s="32">
        <f>_xlfn.XLOOKUP(B142,CPU_Formula!A:A,CPU_Formula!I:I)</f>
        <v>0</v>
      </c>
      <c r="K142" s="42" t="e">
        <f>INDEX(Input!$D$2:$AC$500,
       MATCH(B142, Input!$J$2:$J$500, 0),
       MATCH("Total Memory", Input!$D$1:$AC$1, 0))</f>
        <v>#N/A</v>
      </c>
      <c r="L142" s="42" t="e">
        <f>INDEX(Input!$D$2:$AC$500,
       MATCH(B142, Input!$J$2:$J$500, 0),
       MATCH("Memory Type", Input!$D$1:$AC$1, 0))</f>
        <v>#N/A</v>
      </c>
      <c r="M142" s="42" t="str" cm="1">
        <f t="array" ref="M142">IFERROR(_xlfn.FILTERXML("&lt;t&gt;&lt;s&gt;" &amp; SUBSTITUTE(L142," / ","&lt;/s&gt;&lt;s&gt;") &amp; "&lt;/s&gt;&lt;/t&gt;","(//s[contains(.,'DDR')])[1]"),"")</f>
        <v/>
      </c>
      <c r="N142" s="32" t="e">
        <f t="shared" si="8"/>
        <v>#N/A</v>
      </c>
      <c r="O142" s="42" t="e">
        <f>INDEX(Input!$D$2:$AC$500,
       MATCH(B142, Input!$J$2:$J$500, 0),
       MATCH("Disk Interface Type", Input!$D$1:$AC$1, 0))</f>
        <v>#N/A</v>
      </c>
      <c r="P142" s="42" t="str" cm="1">
        <f t="array" ref="P142">IFERROR(_xlfn.TEXTJOIN(", ", TRUE, _xlfn._xlws.FILTER(
    INDEX(Input!$D$2:$AC$500,,MATCH("Disk Capacity",Input!$D$1:$AC$1,0)),
    Input!$J$2:$J$500=B142
)), "")</f>
        <v/>
      </c>
      <c r="Q142" s="32" t="e">
        <f t="shared" si="7"/>
        <v>#N/A</v>
      </c>
      <c r="R142" s="42" t="e">
        <f>_xlfn.LET(_xlpm.Result,INDEX(Input!$D$2:$AC$500,
       MATCH(B142, Input!$J$2:$J$500, 0),
       MATCH("Capacity", Input!$D$1:$AC$1, 0)),IF(_xlpm.Result="","",_xlpm.Result))</f>
        <v>#N/A</v>
      </c>
      <c r="S142" s="42" t="e" cm="1">
        <f t="array" ref="S142">_xlfn.TEXTSPLIT(R142," / ", ,TRUE,0,)</f>
        <v>#N/A</v>
      </c>
      <c r="T142" s="42"/>
      <c r="U142" s="42" t="str" cm="1">
        <f t="array" ref="U142">IFERROR(_xlfn.IFS(
S142="","",
--S142&lt;55,"Battery Defect",
--S142&lt;=69,"Battery D",
--S142&lt;=80,"Battery C",
--S142&gt;80,""
),"")</f>
        <v/>
      </c>
      <c r="V142" s="42" t="str" cm="1">
        <f t="array" ref="V142">IFERROR(_xlfn.IFS(
T142="","",
--T142&lt;55,"Battery Defect",
--T142&lt;=69,"Battery D",
--T142&lt;=80,"Battery C",
--T142&gt;80,""
),"")</f>
        <v/>
      </c>
      <c r="W142" s="42" t="str" cm="1">
        <f t="array" ref="W142:AD142">IFERROR(IF(_xlfn.XLOOKUP(B142,Input!J:J,Input!N:U)=0,"",
          _xlfn.XLOOKUP(B142,Input!J:J,Input!N:U)),"")</f>
        <v/>
      </c>
      <c r="X142" s="42" t="str">
        <v/>
      </c>
      <c r="Y142" s="42" t="str">
        <v/>
      </c>
      <c r="Z142" s="42" t="str">
        <v/>
      </c>
      <c r="AA142" s="42" t="str">
        <v/>
      </c>
      <c r="AB142" s="42" t="str">
        <v/>
      </c>
      <c r="AC142" s="42" t="str">
        <v/>
      </c>
      <c r="AD142" s="42" t="str">
        <v/>
      </c>
      <c r="AE142" s="32" t="str">
        <f t="shared" si="6"/>
        <v/>
      </c>
      <c r="AF142" s="32" t="str">
        <f>_xlfn.XLOOKUP(B:B,Disk_Pivot!G:G,Disk_Pivot!I:I)</f>
        <v>Yes x2</v>
      </c>
      <c r="AG142" s="32" t="str">
        <f>_xlfn.XLOOKUP(B142,Disk_Pivot!G:G,Disk_Pivot!N:N)</f>
        <v>Pass, Fail</v>
      </c>
      <c r="AH142" s="32"/>
      <c r="AI142" s="32"/>
      <c r="AJ142" s="32"/>
      <c r="AK142" s="32"/>
      <c r="AL142" s="32"/>
      <c r="AM142" s="32"/>
    </row>
    <row r="143" spans="1:39">
      <c r="A143" s="32" t="str">
        <f>_xlfn.XLOOKUP(B143,Input!J:J,Input!G:G)&amp;""</f>
        <v/>
      </c>
      <c r="B143" s="32"/>
      <c r="C143" s="32" t="str">
        <f>_xlfn.XLOOKUP(B143,Input!J:J,Input!H:H)&amp;""</f>
        <v/>
      </c>
      <c r="D143" s="42">
        <f>_xlfn.XLOOKUP(B143,Input!J:J,Input!F:F)</f>
        <v>0</v>
      </c>
      <c r="E143" s="32">
        <f>_xlfn.XLOOKUP(D143,Models!H:H,Models!G:G,D143)</f>
        <v>0</v>
      </c>
      <c r="F143" s="32">
        <f>_xlfn.XLOOKUP(B143,Input!J:J,Input!E:E)</f>
        <v>0</v>
      </c>
      <c r="G143" s="32">
        <f>IF(F143="LENOVO",_xlfn.XLOOKUP(B143,Input!J:J,Input!K:K),_xlfn.XLOOKUP(B143,Input!J:J,Input!L:L))</f>
        <v>0</v>
      </c>
      <c r="H143" s="32"/>
      <c r="I143" s="32"/>
      <c r="J143" s="32">
        <f>_xlfn.XLOOKUP(B143,CPU_Formula!A:A,CPU_Formula!I:I)</f>
        <v>0</v>
      </c>
      <c r="K143" s="42" t="e">
        <f>INDEX(Input!$D$2:$AC$500,
       MATCH(B143, Input!$J$2:$J$500, 0),
       MATCH("Total Memory", Input!$D$1:$AC$1, 0))</f>
        <v>#N/A</v>
      </c>
      <c r="L143" s="42" t="e">
        <f>INDEX(Input!$D$2:$AC$500,
       MATCH(B143, Input!$J$2:$J$500, 0),
       MATCH("Memory Type", Input!$D$1:$AC$1, 0))</f>
        <v>#N/A</v>
      </c>
      <c r="M143" s="42" t="str" cm="1">
        <f t="array" ref="M143">IFERROR(_xlfn.FILTERXML("&lt;t&gt;&lt;s&gt;" &amp; SUBSTITUTE(L143," / ","&lt;/s&gt;&lt;s&gt;") &amp; "&lt;/s&gt;&lt;/t&gt;","(//s[contains(.,'DDR')])[1]"),"")</f>
        <v/>
      </c>
      <c r="N143" s="32" t="e">
        <f t="shared" si="8"/>
        <v>#N/A</v>
      </c>
      <c r="O143" s="42" t="e">
        <f>INDEX(Input!$D$2:$AC$500,
       MATCH(B143, Input!$J$2:$J$500, 0),
       MATCH("Disk Interface Type", Input!$D$1:$AC$1, 0))</f>
        <v>#N/A</v>
      </c>
      <c r="P143" s="42" t="str" cm="1">
        <f t="array" ref="P143">IFERROR(_xlfn.TEXTJOIN(", ", TRUE, _xlfn._xlws.FILTER(
    INDEX(Input!$D$2:$AC$500,,MATCH("Disk Capacity",Input!$D$1:$AC$1,0)),
    Input!$J$2:$J$500=B143
)), "")</f>
        <v/>
      </c>
      <c r="Q143" s="32" t="e">
        <f t="shared" si="7"/>
        <v>#N/A</v>
      </c>
      <c r="R143" s="42" t="e">
        <f>_xlfn.LET(_xlpm.Result,INDEX(Input!$D$2:$AC$500,
       MATCH(B143, Input!$J$2:$J$500, 0),
       MATCH("Capacity", Input!$D$1:$AC$1, 0)),IF(_xlpm.Result="","",_xlpm.Result))</f>
        <v>#N/A</v>
      </c>
      <c r="S143" s="42" t="e" cm="1">
        <f t="array" ref="S143">_xlfn.TEXTSPLIT(R143," / ", ,TRUE,0,)</f>
        <v>#N/A</v>
      </c>
      <c r="T143" s="42"/>
      <c r="U143" s="42" t="str" cm="1">
        <f t="array" ref="U143">IFERROR(_xlfn.IFS(
S143="","",
--S143&lt;55,"Battery Defect",
--S143&lt;=69,"Battery D",
--S143&lt;=80,"Battery C",
--S143&gt;80,""
),"")</f>
        <v/>
      </c>
      <c r="V143" s="42" t="str" cm="1">
        <f t="array" ref="V143">IFERROR(_xlfn.IFS(
T143="","",
--T143&lt;55,"Battery Defect",
--T143&lt;=69,"Battery D",
--T143&lt;=80,"Battery C",
--T143&gt;80,""
),"")</f>
        <v/>
      </c>
      <c r="W143" s="42" t="str" cm="1">
        <f t="array" ref="W143:AD143">IFERROR(IF(_xlfn.XLOOKUP(B143,Input!J:J,Input!N:U)=0,"",
          _xlfn.XLOOKUP(B143,Input!J:J,Input!N:U)),"")</f>
        <v/>
      </c>
      <c r="X143" s="42" t="str">
        <v/>
      </c>
      <c r="Y143" s="42" t="str">
        <v/>
      </c>
      <c r="Z143" s="42" t="str">
        <v/>
      </c>
      <c r="AA143" s="42" t="str">
        <v/>
      </c>
      <c r="AB143" s="42" t="str">
        <v/>
      </c>
      <c r="AC143" s="42" t="str">
        <v/>
      </c>
      <c r="AD143" s="42" t="str">
        <v/>
      </c>
      <c r="AE143" s="32" t="str">
        <f t="shared" si="6"/>
        <v/>
      </c>
      <c r="AF143" s="32" t="str">
        <f>_xlfn.XLOOKUP(B:B,Disk_Pivot!G:G,Disk_Pivot!I:I)</f>
        <v>Yes x2</v>
      </c>
      <c r="AG143" s="32" t="str">
        <f>_xlfn.XLOOKUP(B143,Disk_Pivot!G:G,Disk_Pivot!N:N)</f>
        <v>Pass, Fail</v>
      </c>
      <c r="AH143" s="32"/>
      <c r="AI143" s="32"/>
      <c r="AJ143" s="32"/>
      <c r="AK143" s="32"/>
      <c r="AL143" s="32"/>
      <c r="AM143" s="32"/>
    </row>
    <row r="144" spans="1:39">
      <c r="A144" s="32" t="str">
        <f>_xlfn.XLOOKUP(B144,Input!J:J,Input!G:G)&amp;""</f>
        <v/>
      </c>
      <c r="B144" s="32"/>
      <c r="C144" s="32" t="str">
        <f>_xlfn.XLOOKUP(B144,Input!J:J,Input!H:H)&amp;""</f>
        <v/>
      </c>
      <c r="D144" s="42">
        <f>_xlfn.XLOOKUP(B144,Input!J:J,Input!F:F)</f>
        <v>0</v>
      </c>
      <c r="E144" s="32">
        <f>_xlfn.XLOOKUP(D144,Models!H:H,Models!G:G,D144)</f>
        <v>0</v>
      </c>
      <c r="F144" s="32">
        <f>_xlfn.XLOOKUP(B144,Input!J:J,Input!E:E)</f>
        <v>0</v>
      </c>
      <c r="G144" s="32">
        <f>IF(F144="LENOVO",_xlfn.XLOOKUP(B144,Input!J:J,Input!K:K),_xlfn.XLOOKUP(B144,Input!J:J,Input!L:L))</f>
        <v>0</v>
      </c>
      <c r="H144" s="32"/>
      <c r="I144" s="32"/>
      <c r="J144" s="32">
        <f>_xlfn.XLOOKUP(B144,CPU_Formula!A:A,CPU_Formula!I:I)</f>
        <v>0</v>
      </c>
      <c r="K144" s="42" t="e">
        <f>INDEX(Input!$D$2:$AC$500,
       MATCH(B144, Input!$J$2:$J$500, 0),
       MATCH("Total Memory", Input!$D$1:$AC$1, 0))</f>
        <v>#N/A</v>
      </c>
      <c r="L144" s="42" t="e">
        <f>INDEX(Input!$D$2:$AC$500,
       MATCH(B144, Input!$J$2:$J$500, 0),
       MATCH("Memory Type", Input!$D$1:$AC$1, 0))</f>
        <v>#N/A</v>
      </c>
      <c r="M144" s="42" t="str" cm="1">
        <f t="array" ref="M144">IFERROR(_xlfn.FILTERXML("&lt;t&gt;&lt;s&gt;" &amp; SUBSTITUTE(L144," / ","&lt;/s&gt;&lt;s&gt;") &amp; "&lt;/s&gt;&lt;/t&gt;","(//s[contains(.,'DDR')])[1]"),"")</f>
        <v/>
      </c>
      <c r="N144" s="32" t="e">
        <f t="shared" si="8"/>
        <v>#N/A</v>
      </c>
      <c r="O144" s="42" t="e">
        <f>INDEX(Input!$D$2:$AC$500,
       MATCH(B144, Input!$J$2:$J$500, 0),
       MATCH("Disk Interface Type", Input!$D$1:$AC$1, 0))</f>
        <v>#N/A</v>
      </c>
      <c r="P144" s="42" t="str" cm="1">
        <f t="array" ref="P144">IFERROR(_xlfn.TEXTJOIN(", ", TRUE, _xlfn._xlws.FILTER(
    INDEX(Input!$D$2:$AC$500,,MATCH("Disk Capacity",Input!$D$1:$AC$1,0)),
    Input!$J$2:$J$500=B144
)), "")</f>
        <v/>
      </c>
      <c r="Q144" s="32" t="e">
        <f t="shared" si="7"/>
        <v>#N/A</v>
      </c>
      <c r="R144" s="42" t="e">
        <f>_xlfn.LET(_xlpm.Result,INDEX(Input!$D$2:$AC$500,
       MATCH(B144, Input!$J$2:$J$500, 0),
       MATCH("Capacity", Input!$D$1:$AC$1, 0)),IF(_xlpm.Result="","",_xlpm.Result))</f>
        <v>#N/A</v>
      </c>
      <c r="S144" s="42" t="e" cm="1">
        <f t="array" ref="S144">_xlfn.TEXTSPLIT(R144," / ", ,TRUE,0,)</f>
        <v>#N/A</v>
      </c>
      <c r="T144" s="42"/>
      <c r="U144" s="42" t="str" cm="1">
        <f t="array" ref="U144">IFERROR(_xlfn.IFS(
S144="","",
--S144&lt;55,"Battery Defect",
--S144&lt;=69,"Battery D",
--S144&lt;=80,"Battery C",
--S144&gt;80,""
),"")</f>
        <v/>
      </c>
      <c r="V144" s="42" t="str" cm="1">
        <f t="array" ref="V144">IFERROR(_xlfn.IFS(
T144="","",
--T144&lt;55,"Battery Defect",
--T144&lt;=69,"Battery D",
--T144&lt;=80,"Battery C",
--T144&gt;80,""
),"")</f>
        <v/>
      </c>
      <c r="W144" s="42" t="str" cm="1">
        <f t="array" ref="W144:AD144">IFERROR(IF(_xlfn.XLOOKUP(B144,Input!J:J,Input!N:U)=0,"",
          _xlfn.XLOOKUP(B144,Input!J:J,Input!N:U)),"")</f>
        <v/>
      </c>
      <c r="X144" s="42" t="str">
        <v/>
      </c>
      <c r="Y144" s="42" t="str">
        <v/>
      </c>
      <c r="Z144" s="42" t="str">
        <v/>
      </c>
      <c r="AA144" s="42" t="str">
        <v/>
      </c>
      <c r="AB144" s="42" t="str">
        <v/>
      </c>
      <c r="AC144" s="42" t="str">
        <v/>
      </c>
      <c r="AD144" s="42" t="str">
        <v/>
      </c>
      <c r="AE144" s="32" t="str">
        <f t="shared" si="6"/>
        <v/>
      </c>
      <c r="AF144" s="32" t="str">
        <f>_xlfn.XLOOKUP(B:B,Disk_Pivot!G:G,Disk_Pivot!I:I)</f>
        <v>Yes x2</v>
      </c>
      <c r="AG144" s="32" t="str">
        <f>_xlfn.XLOOKUP(B144,Disk_Pivot!G:G,Disk_Pivot!N:N)</f>
        <v>Pass, Fail</v>
      </c>
      <c r="AH144" s="32"/>
      <c r="AI144" s="32"/>
      <c r="AJ144" s="32"/>
      <c r="AK144" s="32"/>
      <c r="AL144" s="32"/>
      <c r="AM144" s="32"/>
    </row>
    <row r="145" spans="1:39">
      <c r="A145" s="32" t="str">
        <f>_xlfn.XLOOKUP(B145,Input!J:J,Input!G:G)&amp;""</f>
        <v/>
      </c>
      <c r="B145" s="32"/>
      <c r="C145" s="32" t="str">
        <f>_xlfn.XLOOKUP(B145,Input!J:J,Input!H:H)&amp;""</f>
        <v/>
      </c>
      <c r="D145" s="42">
        <f>_xlfn.XLOOKUP(B145,Input!J:J,Input!F:F)</f>
        <v>0</v>
      </c>
      <c r="E145" s="32">
        <f>_xlfn.XLOOKUP(D145,Models!H:H,Models!G:G,D145)</f>
        <v>0</v>
      </c>
      <c r="F145" s="32">
        <f>_xlfn.XLOOKUP(B145,Input!J:J,Input!E:E)</f>
        <v>0</v>
      </c>
      <c r="G145" s="32">
        <f>IF(F145="LENOVO",_xlfn.XLOOKUP(B145,Input!J:J,Input!K:K),_xlfn.XLOOKUP(B145,Input!J:J,Input!L:L))</f>
        <v>0</v>
      </c>
      <c r="H145" s="32"/>
      <c r="I145" s="32"/>
      <c r="J145" s="32">
        <f>_xlfn.XLOOKUP(B145,CPU_Formula!A:A,CPU_Formula!I:I)</f>
        <v>0</v>
      </c>
      <c r="K145" s="42" t="e">
        <f>INDEX(Input!$D$2:$AC$500,
       MATCH(B145, Input!$J$2:$J$500, 0),
       MATCH("Total Memory", Input!$D$1:$AC$1, 0))</f>
        <v>#N/A</v>
      </c>
      <c r="L145" s="42" t="e">
        <f>INDEX(Input!$D$2:$AC$500,
       MATCH(B145, Input!$J$2:$J$500, 0),
       MATCH("Memory Type", Input!$D$1:$AC$1, 0))</f>
        <v>#N/A</v>
      </c>
      <c r="M145" s="42" t="str" cm="1">
        <f t="array" ref="M145">IFERROR(_xlfn.FILTERXML("&lt;t&gt;&lt;s&gt;" &amp; SUBSTITUTE(L145," / ","&lt;/s&gt;&lt;s&gt;") &amp; "&lt;/s&gt;&lt;/t&gt;","(//s[contains(.,'DDR')])[1]"),"")</f>
        <v/>
      </c>
      <c r="N145" s="32" t="e">
        <f t="shared" si="8"/>
        <v>#N/A</v>
      </c>
      <c r="O145" s="42" t="e">
        <f>INDEX(Input!$D$2:$AC$500,
       MATCH(B145, Input!$J$2:$J$500, 0),
       MATCH("Disk Interface Type", Input!$D$1:$AC$1, 0))</f>
        <v>#N/A</v>
      </c>
      <c r="P145" s="42" t="str" cm="1">
        <f t="array" ref="P145">IFERROR(_xlfn.TEXTJOIN(", ", TRUE, _xlfn._xlws.FILTER(
    INDEX(Input!$D$2:$AC$500,,MATCH("Disk Capacity",Input!$D$1:$AC$1,0)),
    Input!$J$2:$J$500=B145
)), "")</f>
        <v/>
      </c>
      <c r="Q145" s="32" t="e">
        <f t="shared" si="7"/>
        <v>#N/A</v>
      </c>
      <c r="R145" s="42" t="e">
        <f>_xlfn.LET(_xlpm.Result,INDEX(Input!$D$2:$AC$500,
       MATCH(B145, Input!$J$2:$J$500, 0),
       MATCH("Capacity", Input!$D$1:$AC$1, 0)),IF(_xlpm.Result="","",_xlpm.Result))</f>
        <v>#N/A</v>
      </c>
      <c r="S145" s="42" t="e" cm="1">
        <f t="array" ref="S145">_xlfn.TEXTSPLIT(R145," / ", ,TRUE,0,)</f>
        <v>#N/A</v>
      </c>
      <c r="T145" s="42"/>
      <c r="U145" s="42" t="str" cm="1">
        <f t="array" ref="U145">IFERROR(_xlfn.IFS(
S145="","",
--S145&lt;55,"Battery Defect",
--S145&lt;=69,"Battery D",
--S145&lt;=80,"Battery C",
--S145&gt;80,""
),"")</f>
        <v/>
      </c>
      <c r="V145" s="42" t="str" cm="1">
        <f t="array" ref="V145">IFERROR(_xlfn.IFS(
T145="","",
--T145&lt;55,"Battery Defect",
--T145&lt;=69,"Battery D",
--T145&lt;=80,"Battery C",
--T145&gt;80,""
),"")</f>
        <v/>
      </c>
      <c r="W145" s="42" t="str" cm="1">
        <f t="array" ref="W145:AD145">IFERROR(IF(_xlfn.XLOOKUP(B145,Input!J:J,Input!N:U)=0,"",
          _xlfn.XLOOKUP(B145,Input!J:J,Input!N:U)),"")</f>
        <v/>
      </c>
      <c r="X145" s="42" t="str">
        <v/>
      </c>
      <c r="Y145" s="42" t="str">
        <v/>
      </c>
      <c r="Z145" s="42" t="str">
        <v/>
      </c>
      <c r="AA145" s="42" t="str">
        <v/>
      </c>
      <c r="AB145" s="42" t="str">
        <v/>
      </c>
      <c r="AC145" s="42" t="str">
        <v/>
      </c>
      <c r="AD145" s="42" t="str">
        <v/>
      </c>
      <c r="AE145" s="32" t="str">
        <f t="shared" si="6"/>
        <v/>
      </c>
      <c r="AF145" s="32" t="str">
        <f>_xlfn.XLOOKUP(B:B,Disk_Pivot!G:G,Disk_Pivot!I:I)</f>
        <v>Yes x2</v>
      </c>
      <c r="AG145" s="32" t="str">
        <f>_xlfn.XLOOKUP(B145,Disk_Pivot!G:G,Disk_Pivot!N:N)</f>
        <v>Pass, Fail</v>
      </c>
      <c r="AH145" s="32"/>
      <c r="AI145" s="32"/>
      <c r="AJ145" s="32"/>
      <c r="AK145" s="32"/>
      <c r="AL145" s="32"/>
      <c r="AM145" s="32"/>
    </row>
    <row r="146" spans="1:39">
      <c r="A146" s="32" t="str">
        <f>_xlfn.XLOOKUP(B146,Input!J:J,Input!G:G)&amp;""</f>
        <v/>
      </c>
      <c r="B146" s="32"/>
      <c r="C146" s="32" t="str">
        <f>_xlfn.XLOOKUP(B146,Input!J:J,Input!H:H)&amp;""</f>
        <v/>
      </c>
      <c r="D146" s="42">
        <f>_xlfn.XLOOKUP(B146,Input!J:J,Input!F:F)</f>
        <v>0</v>
      </c>
      <c r="E146" s="32">
        <f>_xlfn.XLOOKUP(D146,Models!H:H,Models!G:G,D146)</f>
        <v>0</v>
      </c>
      <c r="F146" s="32">
        <f>_xlfn.XLOOKUP(B146,Input!J:J,Input!E:E)</f>
        <v>0</v>
      </c>
      <c r="G146" s="32">
        <f>IF(F146="LENOVO",_xlfn.XLOOKUP(B146,Input!J:J,Input!K:K),_xlfn.XLOOKUP(B146,Input!J:J,Input!L:L))</f>
        <v>0</v>
      </c>
      <c r="H146" s="32"/>
      <c r="I146" s="32"/>
      <c r="J146" s="32">
        <f>_xlfn.XLOOKUP(B146,CPU_Formula!A:A,CPU_Formula!I:I)</f>
        <v>0</v>
      </c>
      <c r="K146" s="42" t="e">
        <f>INDEX(Input!$D$2:$AC$500,
       MATCH(B146, Input!$J$2:$J$500, 0),
       MATCH("Total Memory", Input!$D$1:$AC$1, 0))</f>
        <v>#N/A</v>
      </c>
      <c r="L146" s="42" t="e">
        <f>INDEX(Input!$D$2:$AC$500,
       MATCH(B146, Input!$J$2:$J$500, 0),
       MATCH("Memory Type", Input!$D$1:$AC$1, 0))</f>
        <v>#N/A</v>
      </c>
      <c r="M146" s="42" t="str" cm="1">
        <f t="array" ref="M146">IFERROR(_xlfn.FILTERXML("&lt;t&gt;&lt;s&gt;" &amp; SUBSTITUTE(L146," / ","&lt;/s&gt;&lt;s&gt;") &amp; "&lt;/s&gt;&lt;/t&gt;","(//s[contains(.,'DDR')])[1]"),"")</f>
        <v/>
      </c>
      <c r="N146" s="32" t="e">
        <f t="shared" si="8"/>
        <v>#N/A</v>
      </c>
      <c r="O146" s="42" t="e">
        <f>INDEX(Input!$D$2:$AC$500,
       MATCH(B146, Input!$J$2:$J$500, 0),
       MATCH("Disk Interface Type", Input!$D$1:$AC$1, 0))</f>
        <v>#N/A</v>
      </c>
      <c r="P146" s="42" t="str" cm="1">
        <f t="array" ref="P146">IFERROR(_xlfn.TEXTJOIN(", ", TRUE, _xlfn._xlws.FILTER(
    INDEX(Input!$D$2:$AC$500,,MATCH("Disk Capacity",Input!$D$1:$AC$1,0)),
    Input!$J$2:$J$500=B146
)), "")</f>
        <v/>
      </c>
      <c r="Q146" s="32" t="e">
        <f t="shared" si="7"/>
        <v>#N/A</v>
      </c>
      <c r="R146" s="42" t="e">
        <f>_xlfn.LET(_xlpm.Result,INDEX(Input!$D$2:$AC$500,
       MATCH(B146, Input!$J$2:$J$500, 0),
       MATCH("Capacity", Input!$D$1:$AC$1, 0)),IF(_xlpm.Result="","",_xlpm.Result))</f>
        <v>#N/A</v>
      </c>
      <c r="S146" s="42" t="e" cm="1">
        <f t="array" ref="S146">_xlfn.TEXTSPLIT(R146," / ", ,TRUE,0,)</f>
        <v>#N/A</v>
      </c>
      <c r="T146" s="42"/>
      <c r="U146" s="42" t="str" cm="1">
        <f t="array" ref="U146">IFERROR(_xlfn.IFS(
S146="","",
--S146&lt;55,"Battery Defect",
--S146&lt;=69,"Battery D",
--S146&lt;=80,"Battery C",
--S146&gt;80,""
),"")</f>
        <v/>
      </c>
      <c r="V146" s="42" t="str" cm="1">
        <f t="array" ref="V146">IFERROR(_xlfn.IFS(
T146="","",
--T146&lt;55,"Battery Defect",
--T146&lt;=69,"Battery D",
--T146&lt;=80,"Battery C",
--T146&gt;80,""
),"")</f>
        <v/>
      </c>
      <c r="W146" s="42" t="str" cm="1">
        <f t="array" ref="W146:AD146">IFERROR(IF(_xlfn.XLOOKUP(B146,Input!J:J,Input!N:U)=0,"",
          _xlfn.XLOOKUP(B146,Input!J:J,Input!N:U)),"")</f>
        <v/>
      </c>
      <c r="X146" s="42" t="str">
        <v/>
      </c>
      <c r="Y146" s="42" t="str">
        <v/>
      </c>
      <c r="Z146" s="42" t="str">
        <v/>
      </c>
      <c r="AA146" s="42" t="str">
        <v/>
      </c>
      <c r="AB146" s="42" t="str">
        <v/>
      </c>
      <c r="AC146" s="42" t="str">
        <v/>
      </c>
      <c r="AD146" s="42" t="str">
        <v/>
      </c>
      <c r="AE146" s="32" t="str">
        <f t="shared" si="6"/>
        <v/>
      </c>
      <c r="AF146" s="32" t="str">
        <f>_xlfn.XLOOKUP(B:B,Disk_Pivot!G:G,Disk_Pivot!I:I)</f>
        <v>Yes x2</v>
      </c>
      <c r="AG146" s="32" t="str">
        <f>_xlfn.XLOOKUP(B146,Disk_Pivot!G:G,Disk_Pivot!N:N)</f>
        <v>Pass, Fail</v>
      </c>
      <c r="AH146" s="32"/>
      <c r="AI146" s="32"/>
      <c r="AJ146" s="32"/>
      <c r="AK146" s="32"/>
      <c r="AL146" s="32"/>
      <c r="AM146" s="32"/>
    </row>
    <row r="147" spans="1:39">
      <c r="A147" s="32" t="str">
        <f>_xlfn.XLOOKUP(B147,Input!J:J,Input!G:G)&amp;""</f>
        <v/>
      </c>
      <c r="B147" s="32"/>
      <c r="C147" s="32" t="str">
        <f>_xlfn.XLOOKUP(B147,Input!J:J,Input!H:H)&amp;""</f>
        <v/>
      </c>
      <c r="D147" s="42">
        <f>_xlfn.XLOOKUP(B147,Input!J:J,Input!F:F)</f>
        <v>0</v>
      </c>
      <c r="E147" s="32">
        <f>_xlfn.XLOOKUP(D147,Models!H:H,Models!G:G,D147)</f>
        <v>0</v>
      </c>
      <c r="F147" s="32">
        <f>_xlfn.XLOOKUP(B147,Input!J:J,Input!E:E)</f>
        <v>0</v>
      </c>
      <c r="G147" s="32">
        <f>IF(F147="LENOVO",_xlfn.XLOOKUP(B147,Input!J:J,Input!K:K),_xlfn.XLOOKUP(B147,Input!J:J,Input!L:L))</f>
        <v>0</v>
      </c>
      <c r="H147" s="32"/>
      <c r="I147" s="32"/>
      <c r="J147" s="32">
        <f>_xlfn.XLOOKUP(B147,CPU_Formula!A:A,CPU_Formula!I:I)</f>
        <v>0</v>
      </c>
      <c r="K147" s="42" t="e">
        <f>INDEX(Input!$D$2:$AC$500,
       MATCH(B147, Input!$J$2:$J$500, 0),
       MATCH("Total Memory", Input!$D$1:$AC$1, 0))</f>
        <v>#N/A</v>
      </c>
      <c r="L147" s="42" t="e">
        <f>INDEX(Input!$D$2:$AC$500,
       MATCH(B147, Input!$J$2:$J$500, 0),
       MATCH("Memory Type", Input!$D$1:$AC$1, 0))</f>
        <v>#N/A</v>
      </c>
      <c r="M147" s="42" t="str" cm="1">
        <f t="array" ref="M147">IFERROR(_xlfn.FILTERXML("&lt;t&gt;&lt;s&gt;" &amp; SUBSTITUTE(L147," / ","&lt;/s&gt;&lt;s&gt;") &amp; "&lt;/s&gt;&lt;/t&gt;","(//s[contains(.,'DDR')])[1]"),"")</f>
        <v/>
      </c>
      <c r="N147" s="32" t="e">
        <f t="shared" si="8"/>
        <v>#N/A</v>
      </c>
      <c r="O147" s="42" t="e">
        <f>INDEX(Input!$D$2:$AC$500,
       MATCH(B147, Input!$J$2:$J$500, 0),
       MATCH("Disk Interface Type", Input!$D$1:$AC$1, 0))</f>
        <v>#N/A</v>
      </c>
      <c r="P147" s="42" t="str" cm="1">
        <f t="array" ref="P147">IFERROR(_xlfn.TEXTJOIN(", ", TRUE, _xlfn._xlws.FILTER(
    INDEX(Input!$D$2:$AC$500,,MATCH("Disk Capacity",Input!$D$1:$AC$1,0)),
    Input!$J$2:$J$500=B147
)), "")</f>
        <v/>
      </c>
      <c r="Q147" s="32" t="e">
        <f t="shared" si="7"/>
        <v>#N/A</v>
      </c>
      <c r="R147" s="42" t="e">
        <f>_xlfn.LET(_xlpm.Result,INDEX(Input!$D$2:$AC$500,
       MATCH(B147, Input!$J$2:$J$500, 0),
       MATCH("Capacity", Input!$D$1:$AC$1, 0)),IF(_xlpm.Result="","",_xlpm.Result))</f>
        <v>#N/A</v>
      </c>
      <c r="S147" s="42" t="e" cm="1">
        <f t="array" ref="S147">_xlfn.TEXTSPLIT(R147," / ", ,TRUE,0,)</f>
        <v>#N/A</v>
      </c>
      <c r="T147" s="42"/>
      <c r="U147" s="42" t="str" cm="1">
        <f t="array" ref="U147">IFERROR(_xlfn.IFS(
S147="","",
--S147&lt;55,"Battery Defect",
--S147&lt;=69,"Battery D",
--S147&lt;=80,"Battery C",
--S147&gt;80,""
),"")</f>
        <v/>
      </c>
      <c r="V147" s="42" t="str" cm="1">
        <f t="array" ref="V147">IFERROR(_xlfn.IFS(
T147="","",
--T147&lt;55,"Battery Defect",
--T147&lt;=69,"Battery D",
--T147&lt;=80,"Battery C",
--T147&gt;80,""
),"")</f>
        <v/>
      </c>
      <c r="W147" s="42" t="str" cm="1">
        <f t="array" ref="W147:AD147">IFERROR(IF(_xlfn.XLOOKUP(B147,Input!J:J,Input!N:U)=0,"",
          _xlfn.XLOOKUP(B147,Input!J:J,Input!N:U)),"")</f>
        <v/>
      </c>
      <c r="X147" s="42" t="str">
        <v/>
      </c>
      <c r="Y147" s="42" t="str">
        <v/>
      </c>
      <c r="Z147" s="42" t="str">
        <v/>
      </c>
      <c r="AA147" s="42" t="str">
        <v/>
      </c>
      <c r="AB147" s="42" t="str">
        <v/>
      </c>
      <c r="AC147" s="42" t="str">
        <v/>
      </c>
      <c r="AD147" s="42" t="str">
        <v/>
      </c>
      <c r="AE147" s="32" t="str">
        <f t="shared" si="6"/>
        <v/>
      </c>
      <c r="AF147" s="32" t="str">
        <f>_xlfn.XLOOKUP(B:B,Disk_Pivot!G:G,Disk_Pivot!I:I)</f>
        <v>Yes x2</v>
      </c>
      <c r="AG147" s="32" t="str">
        <f>_xlfn.XLOOKUP(B147,Disk_Pivot!G:G,Disk_Pivot!N:N)</f>
        <v>Pass, Fail</v>
      </c>
      <c r="AH147" s="32"/>
      <c r="AI147" s="32"/>
      <c r="AJ147" s="32"/>
      <c r="AK147" s="32"/>
      <c r="AL147" s="32"/>
      <c r="AM147" s="32"/>
    </row>
    <row r="148" spans="1:39">
      <c r="A148" s="32" t="str">
        <f>_xlfn.XLOOKUP(B148,Input!J:J,Input!G:G)&amp;""</f>
        <v/>
      </c>
      <c r="B148" s="32"/>
      <c r="C148" s="32" t="str">
        <f>_xlfn.XLOOKUP(B148,Input!J:J,Input!H:H)&amp;""</f>
        <v/>
      </c>
      <c r="D148" s="42">
        <f>_xlfn.XLOOKUP(B148,Input!J:J,Input!F:F)</f>
        <v>0</v>
      </c>
      <c r="E148" s="32">
        <f>_xlfn.XLOOKUP(D148,Models!H:H,Models!G:G,D148)</f>
        <v>0</v>
      </c>
      <c r="F148" s="32">
        <f>_xlfn.XLOOKUP(B148,Input!J:J,Input!E:E)</f>
        <v>0</v>
      </c>
      <c r="G148" s="32">
        <f>IF(F148="LENOVO",_xlfn.XLOOKUP(B148,Input!J:J,Input!K:K),_xlfn.XLOOKUP(B148,Input!J:J,Input!L:L))</f>
        <v>0</v>
      </c>
      <c r="H148" s="32"/>
      <c r="I148" s="32"/>
      <c r="J148" s="32">
        <f>_xlfn.XLOOKUP(B148,CPU_Formula!A:A,CPU_Formula!I:I)</f>
        <v>0</v>
      </c>
      <c r="K148" s="42" t="e">
        <f>INDEX(Input!$D$2:$AC$500,
       MATCH(B148, Input!$J$2:$J$500, 0),
       MATCH("Total Memory", Input!$D$1:$AC$1, 0))</f>
        <v>#N/A</v>
      </c>
      <c r="L148" s="42" t="e">
        <f>INDEX(Input!$D$2:$AC$500,
       MATCH(B148, Input!$J$2:$J$500, 0),
       MATCH("Memory Type", Input!$D$1:$AC$1, 0))</f>
        <v>#N/A</v>
      </c>
      <c r="M148" s="42" t="str" cm="1">
        <f t="array" ref="M148">IFERROR(_xlfn.FILTERXML("&lt;t&gt;&lt;s&gt;" &amp; SUBSTITUTE(L148," / ","&lt;/s&gt;&lt;s&gt;") &amp; "&lt;/s&gt;&lt;/t&gt;","(//s[contains(.,'DDR')])[1]"),"")</f>
        <v/>
      </c>
      <c r="N148" s="32" t="e">
        <f t="shared" si="8"/>
        <v>#N/A</v>
      </c>
      <c r="O148" s="42" t="e">
        <f>INDEX(Input!$D$2:$AC$500,
       MATCH(B148, Input!$J$2:$J$500, 0),
       MATCH("Disk Interface Type", Input!$D$1:$AC$1, 0))</f>
        <v>#N/A</v>
      </c>
      <c r="P148" s="42" t="str" cm="1">
        <f t="array" ref="P148">IFERROR(_xlfn.TEXTJOIN(", ", TRUE, _xlfn._xlws.FILTER(
    INDEX(Input!$D$2:$AC$500,,MATCH("Disk Capacity",Input!$D$1:$AC$1,0)),
    Input!$J$2:$J$500=B148
)), "")</f>
        <v/>
      </c>
      <c r="Q148" s="32" t="e">
        <f t="shared" si="7"/>
        <v>#N/A</v>
      </c>
      <c r="R148" s="42" t="e">
        <f>_xlfn.LET(_xlpm.Result,INDEX(Input!$D$2:$AC$500,
       MATCH(B148, Input!$J$2:$J$500, 0),
       MATCH("Capacity", Input!$D$1:$AC$1, 0)),IF(_xlpm.Result="","",_xlpm.Result))</f>
        <v>#N/A</v>
      </c>
      <c r="S148" s="42" t="e" cm="1">
        <f t="array" ref="S148">_xlfn.TEXTSPLIT(R148," / ", ,TRUE,0,)</f>
        <v>#N/A</v>
      </c>
      <c r="T148" s="42"/>
      <c r="U148" s="42" t="str" cm="1">
        <f t="array" ref="U148">IFERROR(_xlfn.IFS(
S148="","",
--S148&lt;55,"Battery Defect",
--S148&lt;=69,"Battery D",
--S148&lt;=80,"Battery C",
--S148&gt;80,""
),"")</f>
        <v/>
      </c>
      <c r="V148" s="42" t="str" cm="1">
        <f t="array" ref="V148">IFERROR(_xlfn.IFS(
T148="","",
--T148&lt;55,"Battery Defect",
--T148&lt;=69,"Battery D",
--T148&lt;=80,"Battery C",
--T148&gt;80,""
),"")</f>
        <v/>
      </c>
      <c r="W148" s="42" t="str" cm="1">
        <f t="array" ref="W148:AD148">IFERROR(IF(_xlfn.XLOOKUP(B148,Input!J:J,Input!N:U)=0,"",
          _xlfn.XLOOKUP(B148,Input!J:J,Input!N:U)),"")</f>
        <v/>
      </c>
      <c r="X148" s="42" t="str">
        <v/>
      </c>
      <c r="Y148" s="42" t="str">
        <v/>
      </c>
      <c r="Z148" s="42" t="str">
        <v/>
      </c>
      <c r="AA148" s="42" t="str">
        <v/>
      </c>
      <c r="AB148" s="42" t="str">
        <v/>
      </c>
      <c r="AC148" s="42" t="str">
        <v/>
      </c>
      <c r="AD148" s="42" t="str">
        <v/>
      </c>
      <c r="AE148" s="32" t="str">
        <f t="shared" si="6"/>
        <v/>
      </c>
      <c r="AF148" s="32" t="str">
        <f>_xlfn.XLOOKUP(B:B,Disk_Pivot!G:G,Disk_Pivot!I:I)</f>
        <v>Yes x2</v>
      </c>
      <c r="AG148" s="32" t="str">
        <f>_xlfn.XLOOKUP(B148,Disk_Pivot!G:G,Disk_Pivot!N:N)</f>
        <v>Pass, Fail</v>
      </c>
      <c r="AH148" s="32"/>
      <c r="AI148" s="32"/>
      <c r="AJ148" s="32"/>
      <c r="AK148" s="32"/>
      <c r="AL148" s="32"/>
      <c r="AM148" s="32"/>
    </row>
    <row r="149" spans="1:39">
      <c r="A149" s="32" t="str">
        <f>_xlfn.XLOOKUP(B149,Input!J:J,Input!G:G)&amp;""</f>
        <v/>
      </c>
      <c r="B149" s="32"/>
      <c r="C149" s="32" t="str">
        <f>_xlfn.XLOOKUP(B149,Input!J:J,Input!H:H)&amp;""</f>
        <v/>
      </c>
      <c r="D149" s="42">
        <f>_xlfn.XLOOKUP(B149,Input!J:J,Input!F:F)</f>
        <v>0</v>
      </c>
      <c r="E149" s="32">
        <f>_xlfn.XLOOKUP(D149,Models!H:H,Models!G:G,D149)</f>
        <v>0</v>
      </c>
      <c r="F149" s="32">
        <f>_xlfn.XLOOKUP(B149,Input!J:J,Input!E:E)</f>
        <v>0</v>
      </c>
      <c r="G149" s="32">
        <f>IF(F149="LENOVO",_xlfn.XLOOKUP(B149,Input!J:J,Input!K:K),_xlfn.XLOOKUP(B149,Input!J:J,Input!L:L))</f>
        <v>0</v>
      </c>
      <c r="H149" s="32"/>
      <c r="I149" s="32"/>
      <c r="J149" s="32">
        <f>_xlfn.XLOOKUP(B149,CPU_Formula!A:A,CPU_Formula!I:I)</f>
        <v>0</v>
      </c>
      <c r="K149" s="42" t="e">
        <f>INDEX(Input!$D$2:$AC$500,
       MATCH(B149, Input!$J$2:$J$500, 0),
       MATCH("Total Memory", Input!$D$1:$AC$1, 0))</f>
        <v>#N/A</v>
      </c>
      <c r="L149" s="42" t="e">
        <f>INDEX(Input!$D$2:$AC$500,
       MATCH(B149, Input!$J$2:$J$500, 0),
       MATCH("Memory Type", Input!$D$1:$AC$1, 0))</f>
        <v>#N/A</v>
      </c>
      <c r="M149" s="42" t="str" cm="1">
        <f t="array" ref="M149">IFERROR(_xlfn.FILTERXML("&lt;t&gt;&lt;s&gt;" &amp; SUBSTITUTE(L149," / ","&lt;/s&gt;&lt;s&gt;") &amp; "&lt;/s&gt;&lt;/t&gt;","(//s[contains(.,'DDR')])[1]"),"")</f>
        <v/>
      </c>
      <c r="N149" s="32" t="e">
        <f t="shared" si="8"/>
        <v>#N/A</v>
      </c>
      <c r="O149" s="42" t="e">
        <f>INDEX(Input!$D$2:$AC$500,
       MATCH(B149, Input!$J$2:$J$500, 0),
       MATCH("Disk Interface Type", Input!$D$1:$AC$1, 0))</f>
        <v>#N/A</v>
      </c>
      <c r="P149" s="42" t="str" cm="1">
        <f t="array" ref="P149">IFERROR(_xlfn.TEXTJOIN(", ", TRUE, _xlfn._xlws.FILTER(
    INDEX(Input!$D$2:$AC$500,,MATCH("Disk Capacity",Input!$D$1:$AC$1,0)),
    Input!$J$2:$J$500=B149
)), "")</f>
        <v/>
      </c>
      <c r="Q149" s="32" t="e">
        <f t="shared" si="7"/>
        <v>#N/A</v>
      </c>
      <c r="R149" s="42" t="e">
        <f>_xlfn.LET(_xlpm.Result,INDEX(Input!$D$2:$AC$500,
       MATCH(B149, Input!$J$2:$J$500, 0),
       MATCH("Capacity", Input!$D$1:$AC$1, 0)),IF(_xlpm.Result="","",_xlpm.Result))</f>
        <v>#N/A</v>
      </c>
      <c r="S149" s="42" t="e" cm="1">
        <f t="array" ref="S149">_xlfn.TEXTSPLIT(R149," / ", ,TRUE,0,)</f>
        <v>#N/A</v>
      </c>
      <c r="T149" s="42"/>
      <c r="U149" s="42" t="str" cm="1">
        <f t="array" ref="U149">IFERROR(_xlfn.IFS(
S149="","",
--S149&lt;55,"Battery Defect",
--S149&lt;=69,"Battery D",
--S149&lt;=80,"Battery C",
--S149&gt;80,""
),"")</f>
        <v/>
      </c>
      <c r="V149" s="42" t="str" cm="1">
        <f t="array" ref="V149">IFERROR(_xlfn.IFS(
T149="","",
--T149&lt;55,"Battery Defect",
--T149&lt;=69,"Battery D",
--T149&lt;=80,"Battery C",
--T149&gt;80,""
),"")</f>
        <v/>
      </c>
      <c r="W149" s="42" t="str" cm="1">
        <f t="array" ref="W149:AD149">IFERROR(IF(_xlfn.XLOOKUP(B149,Input!J:J,Input!N:U)=0,"",
          _xlfn.XLOOKUP(B149,Input!J:J,Input!N:U)),"")</f>
        <v/>
      </c>
      <c r="X149" s="42" t="str">
        <v/>
      </c>
      <c r="Y149" s="42" t="str">
        <v/>
      </c>
      <c r="Z149" s="42" t="str">
        <v/>
      </c>
      <c r="AA149" s="42" t="str">
        <v/>
      </c>
      <c r="AB149" s="42" t="str">
        <v/>
      </c>
      <c r="AC149" s="42" t="str">
        <v/>
      </c>
      <c r="AD149" s="42" t="str">
        <v/>
      </c>
      <c r="AE149" s="32" t="str">
        <f t="shared" si="6"/>
        <v/>
      </c>
      <c r="AF149" s="32" t="str">
        <f>_xlfn.XLOOKUP(B:B,Disk_Pivot!G:G,Disk_Pivot!I:I)</f>
        <v>Yes x2</v>
      </c>
      <c r="AG149" s="32" t="str">
        <f>_xlfn.XLOOKUP(B149,Disk_Pivot!G:G,Disk_Pivot!N:N)</f>
        <v>Pass, Fail</v>
      </c>
      <c r="AH149" s="32"/>
      <c r="AI149" s="32"/>
      <c r="AJ149" s="32"/>
      <c r="AK149" s="32"/>
      <c r="AL149" s="32"/>
      <c r="AM149" s="32"/>
    </row>
    <row r="150" spans="1:39">
      <c r="A150" s="32" t="str">
        <f>_xlfn.XLOOKUP(B150,Input!J:J,Input!G:G)&amp;""</f>
        <v/>
      </c>
      <c r="B150" s="32"/>
      <c r="C150" s="32" t="str">
        <f>_xlfn.XLOOKUP(B150,Input!J:J,Input!H:H)&amp;""</f>
        <v/>
      </c>
      <c r="D150" s="42">
        <f>_xlfn.XLOOKUP(B150,Input!J:J,Input!F:F)</f>
        <v>0</v>
      </c>
      <c r="E150" s="32">
        <f>_xlfn.XLOOKUP(D150,Models!H:H,Models!G:G,D150)</f>
        <v>0</v>
      </c>
      <c r="F150" s="32">
        <f>_xlfn.XLOOKUP(B150,Input!J:J,Input!E:E)</f>
        <v>0</v>
      </c>
      <c r="G150" s="32">
        <f>IF(F150="LENOVO",_xlfn.XLOOKUP(B150,Input!J:J,Input!K:K),_xlfn.XLOOKUP(B150,Input!J:J,Input!L:L))</f>
        <v>0</v>
      </c>
      <c r="H150" s="32"/>
      <c r="I150" s="32"/>
      <c r="J150" s="32">
        <f>_xlfn.XLOOKUP(B150,CPU_Formula!A:A,CPU_Formula!I:I)</f>
        <v>0</v>
      </c>
      <c r="K150" s="42" t="e">
        <f>INDEX(Input!$D$2:$AC$500,
       MATCH(B150, Input!$J$2:$J$500, 0),
       MATCH("Total Memory", Input!$D$1:$AC$1, 0))</f>
        <v>#N/A</v>
      </c>
      <c r="L150" s="42" t="e">
        <f>INDEX(Input!$D$2:$AC$500,
       MATCH(B150, Input!$J$2:$J$500, 0),
       MATCH("Memory Type", Input!$D$1:$AC$1, 0))</f>
        <v>#N/A</v>
      </c>
      <c r="M150" s="42" t="str" cm="1">
        <f t="array" ref="M150">IFERROR(_xlfn.FILTERXML("&lt;t&gt;&lt;s&gt;" &amp; SUBSTITUTE(L150," / ","&lt;/s&gt;&lt;s&gt;") &amp; "&lt;/s&gt;&lt;/t&gt;","(//s[contains(.,'DDR')])[1]"),"")</f>
        <v/>
      </c>
      <c r="N150" s="32" t="e">
        <f t="shared" si="8"/>
        <v>#N/A</v>
      </c>
      <c r="O150" s="42" t="e">
        <f>INDEX(Input!$D$2:$AC$500,
       MATCH(B150, Input!$J$2:$J$500, 0),
       MATCH("Disk Interface Type", Input!$D$1:$AC$1, 0))</f>
        <v>#N/A</v>
      </c>
      <c r="P150" s="42" t="str" cm="1">
        <f t="array" ref="P150">IFERROR(_xlfn.TEXTJOIN(", ", TRUE, _xlfn._xlws.FILTER(
    INDEX(Input!$D$2:$AC$500,,MATCH("Disk Capacity",Input!$D$1:$AC$1,0)),
    Input!$J$2:$J$500=B150
)), "")</f>
        <v/>
      </c>
      <c r="Q150" s="32" t="e">
        <f t="shared" si="7"/>
        <v>#N/A</v>
      </c>
      <c r="R150" s="42" t="e">
        <f>_xlfn.LET(_xlpm.Result,INDEX(Input!$D$2:$AC$500,
       MATCH(B150, Input!$J$2:$J$500, 0),
       MATCH("Capacity", Input!$D$1:$AC$1, 0)),IF(_xlpm.Result="","",_xlpm.Result))</f>
        <v>#N/A</v>
      </c>
      <c r="S150" s="42" t="e" cm="1">
        <f t="array" ref="S150">_xlfn.TEXTSPLIT(R150," / ", ,TRUE,0,)</f>
        <v>#N/A</v>
      </c>
      <c r="T150" s="42"/>
      <c r="U150" s="42" t="str" cm="1">
        <f t="array" ref="U150">IFERROR(_xlfn.IFS(
S150="","",
--S150&lt;55,"Battery Defect",
--S150&lt;=69,"Battery D",
--S150&lt;=80,"Battery C",
--S150&gt;80,""
),"")</f>
        <v/>
      </c>
      <c r="V150" s="42" t="str" cm="1">
        <f t="array" ref="V150">IFERROR(_xlfn.IFS(
T150="","",
--T150&lt;55,"Battery Defect",
--T150&lt;=69,"Battery D",
--T150&lt;=80,"Battery C",
--T150&gt;80,""
),"")</f>
        <v/>
      </c>
      <c r="W150" s="42" t="str" cm="1">
        <f t="array" ref="W150:AD150">IFERROR(IF(_xlfn.XLOOKUP(B150,Input!J:J,Input!N:U)=0,"",
          _xlfn.XLOOKUP(B150,Input!J:J,Input!N:U)),"")</f>
        <v/>
      </c>
      <c r="X150" s="42" t="str">
        <v/>
      </c>
      <c r="Y150" s="42" t="str">
        <v/>
      </c>
      <c r="Z150" s="42" t="str">
        <v/>
      </c>
      <c r="AA150" s="42" t="str">
        <v/>
      </c>
      <c r="AB150" s="42" t="str">
        <v/>
      </c>
      <c r="AC150" s="42" t="str">
        <v/>
      </c>
      <c r="AD150" s="42" t="str">
        <v/>
      </c>
      <c r="AE150" s="32" t="str">
        <f t="shared" si="6"/>
        <v/>
      </c>
      <c r="AF150" s="32" t="str">
        <f>_xlfn.XLOOKUP(B:B,Disk_Pivot!G:G,Disk_Pivot!I:I)</f>
        <v>Yes x2</v>
      </c>
      <c r="AG150" s="32" t="str">
        <f>_xlfn.XLOOKUP(B150,Disk_Pivot!G:G,Disk_Pivot!N:N)</f>
        <v>Pass, Fail</v>
      </c>
      <c r="AH150" s="32"/>
      <c r="AI150" s="32"/>
      <c r="AJ150" s="32"/>
      <c r="AK150" s="32"/>
      <c r="AL150" s="32"/>
      <c r="AM150" s="32"/>
    </row>
    <row r="151" spans="1:39">
      <c r="A151" s="32" t="str">
        <f>_xlfn.XLOOKUP(B151,Input!J:J,Input!G:G)&amp;""</f>
        <v/>
      </c>
      <c r="B151" s="32"/>
      <c r="C151" s="32" t="str">
        <f>_xlfn.XLOOKUP(B151,Input!J:J,Input!H:H)&amp;""</f>
        <v/>
      </c>
      <c r="D151" s="42">
        <f>_xlfn.XLOOKUP(B151,Input!J:J,Input!F:F)</f>
        <v>0</v>
      </c>
      <c r="E151" s="32">
        <f>_xlfn.XLOOKUP(D151,Models!H:H,Models!G:G,D151)</f>
        <v>0</v>
      </c>
      <c r="F151" s="32">
        <f>_xlfn.XLOOKUP(B151,Input!J:J,Input!E:E)</f>
        <v>0</v>
      </c>
      <c r="G151" s="32">
        <f>IF(F151="LENOVO",_xlfn.XLOOKUP(B151,Input!J:J,Input!K:K),_xlfn.XLOOKUP(B151,Input!J:J,Input!L:L))</f>
        <v>0</v>
      </c>
      <c r="H151" s="32"/>
      <c r="I151" s="32"/>
      <c r="J151" s="32">
        <f>_xlfn.XLOOKUP(B151,CPU_Formula!A:A,CPU_Formula!I:I)</f>
        <v>0</v>
      </c>
      <c r="K151" s="42" t="e">
        <f>INDEX(Input!$D$2:$AC$500,
       MATCH(B151, Input!$J$2:$J$500, 0),
       MATCH("Total Memory", Input!$D$1:$AC$1, 0))</f>
        <v>#N/A</v>
      </c>
      <c r="L151" s="42" t="e">
        <f>INDEX(Input!$D$2:$AC$500,
       MATCH(B151, Input!$J$2:$J$500, 0),
       MATCH("Memory Type", Input!$D$1:$AC$1, 0))</f>
        <v>#N/A</v>
      </c>
      <c r="M151" s="42" t="str" cm="1">
        <f t="array" ref="M151">IFERROR(_xlfn.FILTERXML("&lt;t&gt;&lt;s&gt;" &amp; SUBSTITUTE(L151," / ","&lt;/s&gt;&lt;s&gt;") &amp; "&lt;/s&gt;&lt;/t&gt;","(//s[contains(.,'DDR')])[1]"),"")</f>
        <v/>
      </c>
      <c r="N151" s="32" t="e">
        <f t="shared" si="8"/>
        <v>#N/A</v>
      </c>
      <c r="O151" s="42" t="e">
        <f>INDEX(Input!$D$2:$AC$500,
       MATCH(B151, Input!$J$2:$J$500, 0),
       MATCH("Disk Interface Type", Input!$D$1:$AC$1, 0))</f>
        <v>#N/A</v>
      </c>
      <c r="P151" s="42" t="str" cm="1">
        <f t="array" ref="P151">IFERROR(_xlfn.TEXTJOIN(", ", TRUE, _xlfn._xlws.FILTER(
    INDEX(Input!$D$2:$AC$500,,MATCH("Disk Capacity",Input!$D$1:$AC$1,0)),
    Input!$J$2:$J$500=B151
)), "")</f>
        <v/>
      </c>
      <c r="Q151" s="32" t="e">
        <f t="shared" si="7"/>
        <v>#N/A</v>
      </c>
      <c r="R151" s="42" t="e">
        <f>_xlfn.LET(_xlpm.Result,INDEX(Input!$D$2:$AC$500,
       MATCH(B151, Input!$J$2:$J$500, 0),
       MATCH("Capacity", Input!$D$1:$AC$1, 0)),IF(_xlpm.Result="","",_xlpm.Result))</f>
        <v>#N/A</v>
      </c>
      <c r="S151" s="42" t="e" cm="1">
        <f t="array" ref="S151">_xlfn.TEXTSPLIT(R151," / ", ,TRUE,0,)</f>
        <v>#N/A</v>
      </c>
      <c r="T151" s="42"/>
      <c r="U151" s="42" t="str" cm="1">
        <f t="array" ref="U151">IFERROR(_xlfn.IFS(
S151="","",
--S151&lt;55,"Battery Defect",
--S151&lt;=69,"Battery D",
--S151&lt;=80,"Battery C",
--S151&gt;80,""
),"")</f>
        <v/>
      </c>
      <c r="V151" s="42" t="str" cm="1">
        <f t="array" ref="V151">IFERROR(_xlfn.IFS(
T151="","",
--T151&lt;55,"Battery Defect",
--T151&lt;=69,"Battery D",
--T151&lt;=80,"Battery C",
--T151&gt;80,""
),"")</f>
        <v/>
      </c>
      <c r="W151" s="42" t="str" cm="1">
        <f t="array" ref="W151:AD151">IFERROR(IF(_xlfn.XLOOKUP(B151,Input!J:J,Input!N:U)=0,"",
          _xlfn.XLOOKUP(B151,Input!J:J,Input!N:U)),"")</f>
        <v/>
      </c>
      <c r="X151" s="42" t="str">
        <v/>
      </c>
      <c r="Y151" s="42" t="str">
        <v/>
      </c>
      <c r="Z151" s="42" t="str">
        <v/>
      </c>
      <c r="AA151" s="42" t="str">
        <v/>
      </c>
      <c r="AB151" s="42" t="str">
        <v/>
      </c>
      <c r="AC151" s="42" t="str">
        <v/>
      </c>
      <c r="AD151" s="42" t="str">
        <v/>
      </c>
      <c r="AE151" s="32" t="str">
        <f t="shared" si="6"/>
        <v/>
      </c>
      <c r="AF151" s="32" t="str">
        <f>_xlfn.XLOOKUP(B:B,Disk_Pivot!G:G,Disk_Pivot!I:I)</f>
        <v>Yes x2</v>
      </c>
      <c r="AG151" s="32" t="str">
        <f>_xlfn.XLOOKUP(B151,Disk_Pivot!G:G,Disk_Pivot!N:N)</f>
        <v>Pass, Fail</v>
      </c>
      <c r="AH151" s="32"/>
      <c r="AI151" s="32"/>
      <c r="AJ151" s="32"/>
      <c r="AK151" s="32"/>
      <c r="AL151" s="32"/>
      <c r="AM151" s="32"/>
    </row>
    <row r="152" spans="1:39">
      <c r="A152" s="32" t="str">
        <f>_xlfn.XLOOKUP(B152,Input!J:J,Input!G:G)&amp;""</f>
        <v/>
      </c>
      <c r="B152" s="32"/>
      <c r="C152" s="32" t="str">
        <f>_xlfn.XLOOKUP(B152,Input!J:J,Input!H:H)&amp;""</f>
        <v/>
      </c>
      <c r="D152" s="42">
        <f>_xlfn.XLOOKUP(B152,Input!J:J,Input!F:F)</f>
        <v>0</v>
      </c>
      <c r="E152" s="32">
        <f>_xlfn.XLOOKUP(D152,Models!H:H,Models!G:G,D152)</f>
        <v>0</v>
      </c>
      <c r="F152" s="32">
        <f>_xlfn.XLOOKUP(B152,Input!J:J,Input!E:E)</f>
        <v>0</v>
      </c>
      <c r="G152" s="32">
        <f>IF(F152="LENOVO",_xlfn.XLOOKUP(B152,Input!J:J,Input!K:K),_xlfn.XLOOKUP(B152,Input!J:J,Input!L:L))</f>
        <v>0</v>
      </c>
      <c r="H152" s="32"/>
      <c r="I152" s="32"/>
      <c r="J152" s="32">
        <f>_xlfn.XLOOKUP(B152,CPU_Formula!A:A,CPU_Formula!I:I)</f>
        <v>0</v>
      </c>
      <c r="K152" s="42" t="e">
        <f>INDEX(Input!$D$2:$AC$500,
       MATCH(B152, Input!$J$2:$J$500, 0),
       MATCH("Total Memory", Input!$D$1:$AC$1, 0))</f>
        <v>#N/A</v>
      </c>
      <c r="L152" s="42" t="e">
        <f>INDEX(Input!$D$2:$AC$500,
       MATCH(B152, Input!$J$2:$J$500, 0),
       MATCH("Memory Type", Input!$D$1:$AC$1, 0))</f>
        <v>#N/A</v>
      </c>
      <c r="M152" s="42" t="str" cm="1">
        <f t="array" ref="M152">IFERROR(_xlfn.FILTERXML("&lt;t&gt;&lt;s&gt;" &amp; SUBSTITUTE(L152," / ","&lt;/s&gt;&lt;s&gt;") &amp; "&lt;/s&gt;&lt;/t&gt;","(//s[contains(.,'DDR')])[1]"),"")</f>
        <v/>
      </c>
      <c r="N152" s="32" t="e">
        <f t="shared" si="8"/>
        <v>#N/A</v>
      </c>
      <c r="O152" s="42" t="e">
        <f>INDEX(Input!$D$2:$AC$500,
       MATCH(B152, Input!$J$2:$J$500, 0),
       MATCH("Disk Interface Type", Input!$D$1:$AC$1, 0))</f>
        <v>#N/A</v>
      </c>
      <c r="P152" s="42" t="str" cm="1">
        <f t="array" ref="P152">IFERROR(_xlfn.TEXTJOIN(", ", TRUE, _xlfn._xlws.FILTER(
    INDEX(Input!$D$2:$AC$500,,MATCH("Disk Capacity",Input!$D$1:$AC$1,0)),
    Input!$J$2:$J$500=B152
)), "")</f>
        <v/>
      </c>
      <c r="Q152" s="32" t="e">
        <f t="shared" si="7"/>
        <v>#N/A</v>
      </c>
      <c r="R152" s="42" t="e">
        <f>_xlfn.LET(_xlpm.Result,INDEX(Input!$D$2:$AC$500,
       MATCH(B152, Input!$J$2:$J$500, 0),
       MATCH("Capacity", Input!$D$1:$AC$1, 0)),IF(_xlpm.Result="","",_xlpm.Result))</f>
        <v>#N/A</v>
      </c>
      <c r="S152" s="42" t="e" cm="1">
        <f t="array" ref="S152">_xlfn.TEXTSPLIT(R152," / ", ,TRUE,0,)</f>
        <v>#N/A</v>
      </c>
      <c r="T152" s="42"/>
      <c r="U152" s="42" t="str" cm="1">
        <f t="array" ref="U152">IFERROR(_xlfn.IFS(
S152="","",
--S152&lt;55,"Battery Defect",
--S152&lt;=69,"Battery D",
--S152&lt;=80,"Battery C",
--S152&gt;80,""
),"")</f>
        <v/>
      </c>
      <c r="V152" s="42" t="str" cm="1">
        <f t="array" ref="V152">IFERROR(_xlfn.IFS(
T152="","",
--T152&lt;55,"Battery Defect",
--T152&lt;=69,"Battery D",
--T152&lt;=80,"Battery C",
--T152&gt;80,""
),"")</f>
        <v/>
      </c>
      <c r="W152" s="42" t="str" cm="1">
        <f t="array" ref="W152:AD152">IFERROR(IF(_xlfn.XLOOKUP(B152,Input!J:J,Input!N:U)=0,"",
          _xlfn.XLOOKUP(B152,Input!J:J,Input!N:U)),"")</f>
        <v/>
      </c>
      <c r="X152" s="42" t="str">
        <v/>
      </c>
      <c r="Y152" s="42" t="str">
        <v/>
      </c>
      <c r="Z152" s="42" t="str">
        <v/>
      </c>
      <c r="AA152" s="42" t="str">
        <v/>
      </c>
      <c r="AB152" s="42" t="str">
        <v/>
      </c>
      <c r="AC152" s="42" t="str">
        <v/>
      </c>
      <c r="AD152" s="42" t="str">
        <v/>
      </c>
      <c r="AE152" s="32" t="str">
        <f t="shared" si="6"/>
        <v/>
      </c>
      <c r="AF152" s="32" t="str">
        <f>_xlfn.XLOOKUP(B:B,Disk_Pivot!G:G,Disk_Pivot!I:I)</f>
        <v>Yes x2</v>
      </c>
      <c r="AG152" s="32" t="str">
        <f>_xlfn.XLOOKUP(B152,Disk_Pivot!G:G,Disk_Pivot!N:N)</f>
        <v>Pass, Fail</v>
      </c>
      <c r="AH152" s="32"/>
      <c r="AI152" s="32"/>
      <c r="AJ152" s="32"/>
      <c r="AK152" s="32"/>
      <c r="AL152" s="32"/>
      <c r="AM152" s="32"/>
    </row>
    <row r="153" spans="1:39">
      <c r="A153" s="32" t="str">
        <f>_xlfn.XLOOKUP(B153,Input!J:J,Input!G:G)&amp;""</f>
        <v/>
      </c>
      <c r="B153" s="32"/>
      <c r="C153" s="32" t="str">
        <f>_xlfn.XLOOKUP(B153,Input!J:J,Input!H:H)&amp;""</f>
        <v/>
      </c>
      <c r="D153" s="42">
        <f>_xlfn.XLOOKUP(B153,Input!J:J,Input!F:F)</f>
        <v>0</v>
      </c>
      <c r="E153" s="32">
        <f>_xlfn.XLOOKUP(D153,Models!H:H,Models!G:G,D153)</f>
        <v>0</v>
      </c>
      <c r="F153" s="32">
        <f>_xlfn.XLOOKUP(B153,Input!J:J,Input!E:E)</f>
        <v>0</v>
      </c>
      <c r="G153" s="32">
        <f>IF(F153="LENOVO",_xlfn.XLOOKUP(B153,Input!J:J,Input!K:K),_xlfn.XLOOKUP(B153,Input!J:J,Input!L:L))</f>
        <v>0</v>
      </c>
      <c r="H153" s="32"/>
      <c r="I153" s="32"/>
      <c r="J153" s="32">
        <f>_xlfn.XLOOKUP(B153,CPU_Formula!A:A,CPU_Formula!I:I)</f>
        <v>0</v>
      </c>
      <c r="K153" s="42" t="e">
        <f>INDEX(Input!$D$2:$AC$500,
       MATCH(B153, Input!$J$2:$J$500, 0),
       MATCH("Total Memory", Input!$D$1:$AC$1, 0))</f>
        <v>#N/A</v>
      </c>
      <c r="L153" s="42" t="e">
        <f>INDEX(Input!$D$2:$AC$500,
       MATCH(B153, Input!$J$2:$J$500, 0),
       MATCH("Memory Type", Input!$D$1:$AC$1, 0))</f>
        <v>#N/A</v>
      </c>
      <c r="M153" s="42" t="str" cm="1">
        <f t="array" ref="M153">IFERROR(_xlfn.FILTERXML("&lt;t&gt;&lt;s&gt;" &amp; SUBSTITUTE(L153," / ","&lt;/s&gt;&lt;s&gt;") &amp; "&lt;/s&gt;&lt;/t&gt;","(//s[contains(.,'DDR')])[1]"),"")</f>
        <v/>
      </c>
      <c r="N153" s="32" t="e">
        <f t="shared" si="8"/>
        <v>#N/A</v>
      </c>
      <c r="O153" s="42" t="e">
        <f>INDEX(Input!$D$2:$AC$500,
       MATCH(B153, Input!$J$2:$J$500, 0),
       MATCH("Disk Interface Type", Input!$D$1:$AC$1, 0))</f>
        <v>#N/A</v>
      </c>
      <c r="P153" s="42" t="str" cm="1">
        <f t="array" ref="P153">IFERROR(_xlfn.TEXTJOIN(", ", TRUE, _xlfn._xlws.FILTER(
    INDEX(Input!$D$2:$AC$500,,MATCH("Disk Capacity",Input!$D$1:$AC$1,0)),
    Input!$J$2:$J$500=B153
)), "")</f>
        <v/>
      </c>
      <c r="Q153" s="32" t="e">
        <f t="shared" si="7"/>
        <v>#N/A</v>
      </c>
      <c r="R153" s="42" t="e">
        <f>_xlfn.LET(_xlpm.Result,INDEX(Input!$D$2:$AC$500,
       MATCH(B153, Input!$J$2:$J$500, 0),
       MATCH("Capacity", Input!$D$1:$AC$1, 0)),IF(_xlpm.Result="","",_xlpm.Result))</f>
        <v>#N/A</v>
      </c>
      <c r="S153" s="42" t="e" cm="1">
        <f t="array" ref="S153">_xlfn.TEXTSPLIT(R153," / ", ,TRUE,0,)</f>
        <v>#N/A</v>
      </c>
      <c r="T153" s="42"/>
      <c r="U153" s="42" t="str" cm="1">
        <f t="array" ref="U153">IFERROR(_xlfn.IFS(
S153="","",
--S153&lt;55,"Battery Defect",
--S153&lt;=69,"Battery D",
--S153&lt;=80,"Battery C",
--S153&gt;80,""
),"")</f>
        <v/>
      </c>
      <c r="V153" s="42" t="str" cm="1">
        <f t="array" ref="V153">IFERROR(_xlfn.IFS(
T153="","",
--T153&lt;55,"Battery Defect",
--T153&lt;=69,"Battery D",
--T153&lt;=80,"Battery C",
--T153&gt;80,""
),"")</f>
        <v/>
      </c>
      <c r="W153" s="42" t="str" cm="1">
        <f t="array" ref="W153:AD153">IFERROR(IF(_xlfn.XLOOKUP(B153,Input!J:J,Input!N:U)=0,"",
          _xlfn.XLOOKUP(B153,Input!J:J,Input!N:U)),"")</f>
        <v/>
      </c>
      <c r="X153" s="42" t="str">
        <v/>
      </c>
      <c r="Y153" s="42" t="str">
        <v/>
      </c>
      <c r="Z153" s="42" t="str">
        <v/>
      </c>
      <c r="AA153" s="42" t="str">
        <v/>
      </c>
      <c r="AB153" s="42" t="str">
        <v/>
      </c>
      <c r="AC153" s="42" t="str">
        <v/>
      </c>
      <c r="AD153" s="42" t="str">
        <v/>
      </c>
      <c r="AE153" s="32" t="str">
        <f t="shared" si="6"/>
        <v/>
      </c>
      <c r="AF153" s="32" t="str">
        <f>_xlfn.XLOOKUP(B:B,Disk_Pivot!G:G,Disk_Pivot!I:I)</f>
        <v>Yes x2</v>
      </c>
      <c r="AG153" s="32" t="str">
        <f>_xlfn.XLOOKUP(B153,Disk_Pivot!G:G,Disk_Pivot!N:N)</f>
        <v>Pass, Fail</v>
      </c>
      <c r="AH153" s="32"/>
      <c r="AI153" s="32"/>
      <c r="AJ153" s="32"/>
      <c r="AK153" s="32"/>
      <c r="AL153" s="32"/>
      <c r="AM153" s="32"/>
    </row>
    <row r="154" spans="1:39">
      <c r="A154" s="32" t="str">
        <f>_xlfn.XLOOKUP(B154,Input!J:J,Input!G:G)&amp;""</f>
        <v/>
      </c>
      <c r="B154" s="32"/>
      <c r="C154" s="32" t="str">
        <f>_xlfn.XLOOKUP(B154,Input!J:J,Input!H:H)&amp;""</f>
        <v/>
      </c>
      <c r="D154" s="42">
        <f>_xlfn.XLOOKUP(B154,Input!J:J,Input!F:F)</f>
        <v>0</v>
      </c>
      <c r="E154" s="32">
        <f>_xlfn.XLOOKUP(D154,Models!H:H,Models!G:G,D154)</f>
        <v>0</v>
      </c>
      <c r="F154" s="32">
        <f>_xlfn.XLOOKUP(B154,Input!J:J,Input!E:E)</f>
        <v>0</v>
      </c>
      <c r="G154" s="32">
        <f>IF(F154="LENOVO",_xlfn.XLOOKUP(B154,Input!J:J,Input!K:K),_xlfn.XLOOKUP(B154,Input!J:J,Input!L:L))</f>
        <v>0</v>
      </c>
      <c r="H154" s="32"/>
      <c r="I154" s="32"/>
      <c r="J154" s="32">
        <f>_xlfn.XLOOKUP(B154,CPU_Formula!A:A,CPU_Formula!I:I)</f>
        <v>0</v>
      </c>
      <c r="K154" s="42" t="e">
        <f>INDEX(Input!$D$2:$AC$500,
       MATCH(B154, Input!$J$2:$J$500, 0),
       MATCH("Total Memory", Input!$D$1:$AC$1, 0))</f>
        <v>#N/A</v>
      </c>
      <c r="L154" s="42" t="e">
        <f>INDEX(Input!$D$2:$AC$500,
       MATCH(B154, Input!$J$2:$J$500, 0),
       MATCH("Memory Type", Input!$D$1:$AC$1, 0))</f>
        <v>#N/A</v>
      </c>
      <c r="M154" s="42" t="str" cm="1">
        <f t="array" ref="M154">IFERROR(_xlfn.FILTERXML("&lt;t&gt;&lt;s&gt;" &amp; SUBSTITUTE(L154," / ","&lt;/s&gt;&lt;s&gt;") &amp; "&lt;/s&gt;&lt;/t&gt;","(//s[contains(.,'DDR')])[1]"),"")</f>
        <v/>
      </c>
      <c r="N154" s="32" t="e">
        <f t="shared" si="8"/>
        <v>#N/A</v>
      </c>
      <c r="O154" s="42" t="e">
        <f>INDEX(Input!$D$2:$AC$500,
       MATCH(B154, Input!$J$2:$J$500, 0),
       MATCH("Disk Interface Type", Input!$D$1:$AC$1, 0))</f>
        <v>#N/A</v>
      </c>
      <c r="P154" s="42" t="str" cm="1">
        <f t="array" ref="P154">IFERROR(_xlfn.TEXTJOIN(", ", TRUE, _xlfn._xlws.FILTER(
    INDEX(Input!$D$2:$AC$500,,MATCH("Disk Capacity",Input!$D$1:$AC$1,0)),
    Input!$J$2:$J$500=B154
)), "")</f>
        <v/>
      </c>
      <c r="Q154" s="32" t="e">
        <f t="shared" si="7"/>
        <v>#N/A</v>
      </c>
      <c r="R154" s="42" t="e">
        <f>_xlfn.LET(_xlpm.Result,INDEX(Input!$D$2:$AC$500,
       MATCH(B154, Input!$J$2:$J$500, 0),
       MATCH("Capacity", Input!$D$1:$AC$1, 0)),IF(_xlpm.Result="","",_xlpm.Result))</f>
        <v>#N/A</v>
      </c>
      <c r="S154" s="42" t="e" cm="1">
        <f t="array" ref="S154">_xlfn.TEXTSPLIT(R154," / ", ,TRUE,0,)</f>
        <v>#N/A</v>
      </c>
      <c r="T154" s="42"/>
      <c r="U154" s="42" t="str" cm="1">
        <f t="array" ref="U154">IFERROR(_xlfn.IFS(
S154="","",
--S154&lt;55,"Battery Defect",
--S154&lt;=69,"Battery D",
--S154&lt;=80,"Battery C",
--S154&gt;80,""
),"")</f>
        <v/>
      </c>
      <c r="V154" s="42" t="str" cm="1">
        <f t="array" ref="V154">IFERROR(_xlfn.IFS(
T154="","",
--T154&lt;55,"Battery Defect",
--T154&lt;=69,"Battery D",
--T154&lt;=80,"Battery C",
--T154&gt;80,""
),"")</f>
        <v/>
      </c>
      <c r="W154" s="42" t="str" cm="1">
        <f t="array" ref="W154:AD154">IFERROR(IF(_xlfn.XLOOKUP(B154,Input!J:J,Input!N:U)=0,"",
          _xlfn.XLOOKUP(B154,Input!J:J,Input!N:U)),"")</f>
        <v/>
      </c>
      <c r="X154" s="42" t="str">
        <v/>
      </c>
      <c r="Y154" s="42" t="str">
        <v/>
      </c>
      <c r="Z154" s="42" t="str">
        <v/>
      </c>
      <c r="AA154" s="42" t="str">
        <v/>
      </c>
      <c r="AB154" s="42" t="str">
        <v/>
      </c>
      <c r="AC154" s="42" t="str">
        <v/>
      </c>
      <c r="AD154" s="42" t="str">
        <v/>
      </c>
      <c r="AE154" s="32" t="str">
        <f t="shared" si="6"/>
        <v/>
      </c>
      <c r="AF154" s="32" t="str">
        <f>_xlfn.XLOOKUP(B:B,Disk_Pivot!G:G,Disk_Pivot!I:I)</f>
        <v>Yes x2</v>
      </c>
      <c r="AG154" s="32" t="str">
        <f>_xlfn.XLOOKUP(B154,Disk_Pivot!G:G,Disk_Pivot!N:N)</f>
        <v>Pass, Fail</v>
      </c>
      <c r="AH154" s="32"/>
      <c r="AI154" s="32"/>
      <c r="AJ154" s="32"/>
      <c r="AK154" s="32"/>
      <c r="AL154" s="32"/>
      <c r="AM154" s="32"/>
    </row>
    <row r="155" spans="1:39">
      <c r="A155" s="32" t="str">
        <f>_xlfn.XLOOKUP(B155,Input!J:J,Input!G:G)&amp;""</f>
        <v/>
      </c>
      <c r="B155" s="32"/>
      <c r="C155" s="32" t="str">
        <f>_xlfn.XLOOKUP(B155,Input!J:J,Input!H:H)&amp;""</f>
        <v/>
      </c>
      <c r="D155" s="42">
        <f>_xlfn.XLOOKUP(B155,Input!J:J,Input!F:F)</f>
        <v>0</v>
      </c>
      <c r="E155" s="32">
        <f>_xlfn.XLOOKUP(D155,Models!H:H,Models!G:G,D155)</f>
        <v>0</v>
      </c>
      <c r="F155" s="32">
        <f>_xlfn.XLOOKUP(B155,Input!J:J,Input!E:E)</f>
        <v>0</v>
      </c>
      <c r="G155" s="32">
        <f>IF(F155="LENOVO",_xlfn.XLOOKUP(B155,Input!J:J,Input!K:K),_xlfn.XLOOKUP(B155,Input!J:J,Input!L:L))</f>
        <v>0</v>
      </c>
      <c r="H155" s="32"/>
      <c r="I155" s="32"/>
      <c r="J155" s="32">
        <f>_xlfn.XLOOKUP(B155,CPU_Formula!A:A,CPU_Formula!I:I)</f>
        <v>0</v>
      </c>
      <c r="K155" s="42" t="e">
        <f>INDEX(Input!$D$2:$AC$500,
       MATCH(B155, Input!$J$2:$J$500, 0),
       MATCH("Total Memory", Input!$D$1:$AC$1, 0))</f>
        <v>#N/A</v>
      </c>
      <c r="L155" s="42" t="e">
        <f>INDEX(Input!$D$2:$AC$500,
       MATCH(B155, Input!$J$2:$J$500, 0),
       MATCH("Memory Type", Input!$D$1:$AC$1, 0))</f>
        <v>#N/A</v>
      </c>
      <c r="M155" s="42" t="str" cm="1">
        <f t="array" ref="M155">IFERROR(_xlfn.FILTERXML("&lt;t&gt;&lt;s&gt;" &amp; SUBSTITUTE(L155," / ","&lt;/s&gt;&lt;s&gt;") &amp; "&lt;/s&gt;&lt;/t&gt;","(//s[contains(.,'DDR')])[1]"),"")</f>
        <v/>
      </c>
      <c r="N155" s="32" t="e">
        <f t="shared" si="8"/>
        <v>#N/A</v>
      </c>
      <c r="O155" s="42" t="e">
        <f>INDEX(Input!$D$2:$AC$500,
       MATCH(B155, Input!$J$2:$J$500, 0),
       MATCH("Disk Interface Type", Input!$D$1:$AC$1, 0))</f>
        <v>#N/A</v>
      </c>
      <c r="P155" s="42" t="str" cm="1">
        <f t="array" ref="P155">IFERROR(_xlfn.TEXTJOIN(", ", TRUE, _xlfn._xlws.FILTER(
    INDEX(Input!$D$2:$AC$500,,MATCH("Disk Capacity",Input!$D$1:$AC$1,0)),
    Input!$J$2:$J$500=B155
)), "")</f>
        <v/>
      </c>
      <c r="Q155" s="32" t="e">
        <f t="shared" si="7"/>
        <v>#N/A</v>
      </c>
      <c r="R155" s="42" t="e">
        <f>_xlfn.LET(_xlpm.Result,INDEX(Input!$D$2:$AC$500,
       MATCH(B155, Input!$J$2:$J$500, 0),
       MATCH("Capacity", Input!$D$1:$AC$1, 0)),IF(_xlpm.Result="","",_xlpm.Result))</f>
        <v>#N/A</v>
      </c>
      <c r="S155" s="42" t="e" cm="1">
        <f t="array" ref="S155">_xlfn.TEXTSPLIT(R155," / ", ,TRUE,0,)</f>
        <v>#N/A</v>
      </c>
      <c r="T155" s="42"/>
      <c r="U155" s="42" t="str" cm="1">
        <f t="array" ref="U155">IFERROR(_xlfn.IFS(
S155="","",
--S155&lt;55,"Battery Defect",
--S155&lt;=69,"Battery D",
--S155&lt;=80,"Battery C",
--S155&gt;80,""
),"")</f>
        <v/>
      </c>
      <c r="V155" s="42" t="str" cm="1">
        <f t="array" ref="V155">IFERROR(_xlfn.IFS(
T155="","",
--T155&lt;55,"Battery Defect",
--T155&lt;=69,"Battery D",
--T155&lt;=80,"Battery C",
--T155&gt;80,""
),"")</f>
        <v/>
      </c>
      <c r="W155" s="42" t="str" cm="1">
        <f t="array" ref="W155:AD155">IFERROR(IF(_xlfn.XLOOKUP(B155,Input!J:J,Input!N:U)=0,"",
          _xlfn.XLOOKUP(B155,Input!J:J,Input!N:U)),"")</f>
        <v/>
      </c>
      <c r="X155" s="42" t="str">
        <v/>
      </c>
      <c r="Y155" s="42" t="str">
        <v/>
      </c>
      <c r="Z155" s="42" t="str">
        <v/>
      </c>
      <c r="AA155" s="42" t="str">
        <v/>
      </c>
      <c r="AB155" s="42" t="str">
        <v/>
      </c>
      <c r="AC155" s="42" t="str">
        <v/>
      </c>
      <c r="AD155" s="42" t="str">
        <v/>
      </c>
      <c r="AE155" s="32" t="str">
        <f t="shared" si="6"/>
        <v/>
      </c>
      <c r="AF155" s="32" t="str">
        <f>_xlfn.XLOOKUP(B:B,Disk_Pivot!G:G,Disk_Pivot!I:I)</f>
        <v>Yes x2</v>
      </c>
      <c r="AG155" s="32" t="str">
        <f>_xlfn.XLOOKUP(B155,Disk_Pivot!G:G,Disk_Pivot!N:N)</f>
        <v>Pass, Fail</v>
      </c>
      <c r="AH155" s="32"/>
      <c r="AI155" s="32"/>
      <c r="AJ155" s="32"/>
      <c r="AK155" s="32"/>
      <c r="AL155" s="32"/>
      <c r="AM155" s="32"/>
    </row>
    <row r="156" spans="1:39">
      <c r="A156" s="32" t="str">
        <f>_xlfn.XLOOKUP(B156,Input!J:J,Input!G:G)&amp;""</f>
        <v/>
      </c>
      <c r="B156" s="32"/>
      <c r="C156" s="32" t="str">
        <f>_xlfn.XLOOKUP(B156,Input!J:J,Input!H:H)&amp;""</f>
        <v/>
      </c>
      <c r="D156" s="42">
        <f>_xlfn.XLOOKUP(B156,Input!J:J,Input!F:F)</f>
        <v>0</v>
      </c>
      <c r="E156" s="32">
        <f>_xlfn.XLOOKUP(D156,Models!H:H,Models!G:G,D156)</f>
        <v>0</v>
      </c>
      <c r="F156" s="32">
        <f>_xlfn.XLOOKUP(B156,Input!J:J,Input!E:E)</f>
        <v>0</v>
      </c>
      <c r="G156" s="32">
        <f>IF(F156="LENOVO",_xlfn.XLOOKUP(B156,Input!J:J,Input!K:K),_xlfn.XLOOKUP(B156,Input!J:J,Input!L:L))</f>
        <v>0</v>
      </c>
      <c r="H156" s="32"/>
      <c r="I156" s="32"/>
      <c r="J156" s="32">
        <f>_xlfn.XLOOKUP(B156,CPU_Formula!A:A,CPU_Formula!I:I)</f>
        <v>0</v>
      </c>
      <c r="K156" s="42" t="e">
        <f>INDEX(Input!$D$2:$AC$500,
       MATCH(B156, Input!$J$2:$J$500, 0),
       MATCH("Total Memory", Input!$D$1:$AC$1, 0))</f>
        <v>#N/A</v>
      </c>
      <c r="L156" s="42" t="e">
        <f>INDEX(Input!$D$2:$AC$500,
       MATCH(B156, Input!$J$2:$J$500, 0),
       MATCH("Memory Type", Input!$D$1:$AC$1, 0))</f>
        <v>#N/A</v>
      </c>
      <c r="M156" s="42" t="str" cm="1">
        <f t="array" ref="M156">IFERROR(_xlfn.FILTERXML("&lt;t&gt;&lt;s&gt;" &amp; SUBSTITUTE(L156," / ","&lt;/s&gt;&lt;s&gt;") &amp; "&lt;/s&gt;&lt;/t&gt;","(//s[contains(.,'DDR')])[1]"),"")</f>
        <v/>
      </c>
      <c r="N156" s="32" t="e">
        <f t="shared" si="8"/>
        <v>#N/A</v>
      </c>
      <c r="O156" s="42" t="e">
        <f>INDEX(Input!$D$2:$AC$500,
       MATCH(B156, Input!$J$2:$J$500, 0),
       MATCH("Disk Interface Type", Input!$D$1:$AC$1, 0))</f>
        <v>#N/A</v>
      </c>
      <c r="P156" s="42" t="str" cm="1">
        <f t="array" ref="P156">IFERROR(_xlfn.TEXTJOIN(", ", TRUE, _xlfn._xlws.FILTER(
    INDEX(Input!$D$2:$AC$500,,MATCH("Disk Capacity",Input!$D$1:$AC$1,0)),
    Input!$J$2:$J$500=B156
)), "")</f>
        <v/>
      </c>
      <c r="Q156" s="32" t="e">
        <f t="shared" si="7"/>
        <v>#N/A</v>
      </c>
      <c r="R156" s="42" t="e">
        <f>_xlfn.LET(_xlpm.Result,INDEX(Input!$D$2:$AC$500,
       MATCH(B156, Input!$J$2:$J$500, 0),
       MATCH("Capacity", Input!$D$1:$AC$1, 0)),IF(_xlpm.Result="","",_xlpm.Result))</f>
        <v>#N/A</v>
      </c>
      <c r="S156" s="42" t="e" cm="1">
        <f t="array" ref="S156">_xlfn.TEXTSPLIT(R156," / ", ,TRUE,0,)</f>
        <v>#N/A</v>
      </c>
      <c r="T156" s="42"/>
      <c r="U156" s="42" t="str" cm="1">
        <f t="array" ref="U156">IFERROR(_xlfn.IFS(
S156="","",
--S156&lt;55,"Battery Defect",
--S156&lt;=69,"Battery D",
--S156&lt;=80,"Battery C",
--S156&gt;80,""
),"")</f>
        <v/>
      </c>
      <c r="V156" s="42" t="str" cm="1">
        <f t="array" ref="V156">IFERROR(_xlfn.IFS(
T156="","",
--T156&lt;55,"Battery Defect",
--T156&lt;=69,"Battery D",
--T156&lt;=80,"Battery C",
--T156&gt;80,""
),"")</f>
        <v/>
      </c>
      <c r="W156" s="42" t="str" cm="1">
        <f t="array" ref="W156:AD156">IFERROR(IF(_xlfn.XLOOKUP(B156,Input!J:J,Input!N:U)=0,"",
          _xlfn.XLOOKUP(B156,Input!J:J,Input!N:U)),"")</f>
        <v/>
      </c>
      <c r="X156" s="42" t="str">
        <v/>
      </c>
      <c r="Y156" s="42" t="str">
        <v/>
      </c>
      <c r="Z156" s="42" t="str">
        <v/>
      </c>
      <c r="AA156" s="42" t="str">
        <v/>
      </c>
      <c r="AB156" s="42" t="str">
        <v/>
      </c>
      <c r="AC156" s="42" t="str">
        <v/>
      </c>
      <c r="AD156" s="42" t="str">
        <v/>
      </c>
      <c r="AE156" s="32" t="str">
        <f t="shared" si="6"/>
        <v/>
      </c>
      <c r="AF156" s="32" t="str">
        <f>_xlfn.XLOOKUP(B:B,Disk_Pivot!G:G,Disk_Pivot!I:I)</f>
        <v>Yes x2</v>
      </c>
      <c r="AG156" s="32" t="str">
        <f>_xlfn.XLOOKUP(B156,Disk_Pivot!G:G,Disk_Pivot!N:N)</f>
        <v>Pass, Fail</v>
      </c>
      <c r="AH156" s="32"/>
      <c r="AI156" s="32"/>
      <c r="AJ156" s="32"/>
      <c r="AK156" s="32"/>
      <c r="AL156" s="32"/>
      <c r="AM156" s="32"/>
    </row>
    <row r="157" spans="1:39">
      <c r="A157" s="32" t="str">
        <f>_xlfn.XLOOKUP(B157,Input!J:J,Input!G:G)&amp;""</f>
        <v/>
      </c>
      <c r="B157" s="32"/>
      <c r="C157" s="32" t="str">
        <f>_xlfn.XLOOKUP(B157,Input!J:J,Input!H:H)&amp;""</f>
        <v/>
      </c>
      <c r="D157" s="42">
        <f>_xlfn.XLOOKUP(B157,Input!J:J,Input!F:F)</f>
        <v>0</v>
      </c>
      <c r="E157" s="32">
        <f>_xlfn.XLOOKUP(D157,Models!H:H,Models!G:G,D157)</f>
        <v>0</v>
      </c>
      <c r="F157" s="32">
        <f>_xlfn.XLOOKUP(B157,Input!J:J,Input!E:E)</f>
        <v>0</v>
      </c>
      <c r="G157" s="32">
        <f>IF(F157="LENOVO",_xlfn.XLOOKUP(B157,Input!J:J,Input!K:K),_xlfn.XLOOKUP(B157,Input!J:J,Input!L:L))</f>
        <v>0</v>
      </c>
      <c r="H157" s="32"/>
      <c r="I157" s="32"/>
      <c r="J157" s="32">
        <f>_xlfn.XLOOKUP(B157,CPU_Formula!A:A,CPU_Formula!I:I)</f>
        <v>0</v>
      </c>
      <c r="K157" s="42" t="e">
        <f>INDEX(Input!$D$2:$AC$500,
       MATCH(B157, Input!$J$2:$J$500, 0),
       MATCH("Total Memory", Input!$D$1:$AC$1, 0))</f>
        <v>#N/A</v>
      </c>
      <c r="L157" s="42" t="e">
        <f>INDEX(Input!$D$2:$AC$500,
       MATCH(B157, Input!$J$2:$J$500, 0),
       MATCH("Memory Type", Input!$D$1:$AC$1, 0))</f>
        <v>#N/A</v>
      </c>
      <c r="M157" s="42" t="str" cm="1">
        <f t="array" ref="M157">IFERROR(_xlfn.FILTERXML("&lt;t&gt;&lt;s&gt;" &amp; SUBSTITUTE(L157," / ","&lt;/s&gt;&lt;s&gt;") &amp; "&lt;/s&gt;&lt;/t&gt;","(//s[contains(.,'DDR')])[1]"),"")</f>
        <v/>
      </c>
      <c r="N157" s="32" t="e">
        <f t="shared" si="8"/>
        <v>#N/A</v>
      </c>
      <c r="O157" s="42" t="e">
        <f>INDEX(Input!$D$2:$AC$500,
       MATCH(B157, Input!$J$2:$J$500, 0),
       MATCH("Disk Interface Type", Input!$D$1:$AC$1, 0))</f>
        <v>#N/A</v>
      </c>
      <c r="P157" s="42" t="str" cm="1">
        <f t="array" ref="P157">IFERROR(_xlfn.TEXTJOIN(", ", TRUE, _xlfn._xlws.FILTER(
    INDEX(Input!$D$2:$AC$500,,MATCH("Disk Capacity",Input!$D$1:$AC$1,0)),
    Input!$J$2:$J$500=B157
)), "")</f>
        <v/>
      </c>
      <c r="Q157" s="32" t="e">
        <f t="shared" si="7"/>
        <v>#N/A</v>
      </c>
      <c r="R157" s="42" t="e">
        <f>_xlfn.LET(_xlpm.Result,INDEX(Input!$D$2:$AC$500,
       MATCH(B157, Input!$J$2:$J$500, 0),
       MATCH("Capacity", Input!$D$1:$AC$1, 0)),IF(_xlpm.Result="","",_xlpm.Result))</f>
        <v>#N/A</v>
      </c>
      <c r="S157" s="42" t="e" cm="1">
        <f t="array" ref="S157">_xlfn.TEXTSPLIT(R157," / ", ,TRUE,0,)</f>
        <v>#N/A</v>
      </c>
      <c r="T157" s="42"/>
      <c r="U157" s="42" t="str" cm="1">
        <f t="array" ref="U157">IFERROR(_xlfn.IFS(
S157="","",
--S157&lt;55,"Battery Defect",
--S157&lt;=69,"Battery D",
--S157&lt;=80,"Battery C",
--S157&gt;80,""
),"")</f>
        <v/>
      </c>
      <c r="V157" s="42" t="str" cm="1">
        <f t="array" ref="V157">IFERROR(_xlfn.IFS(
T157="","",
--T157&lt;55,"Battery Defect",
--T157&lt;=69,"Battery D",
--T157&lt;=80,"Battery C",
--T157&gt;80,""
),"")</f>
        <v/>
      </c>
      <c r="W157" s="42" t="str" cm="1">
        <f t="array" ref="W157:AD157">IFERROR(IF(_xlfn.XLOOKUP(B157,Input!J:J,Input!N:U)=0,"",
          _xlfn.XLOOKUP(B157,Input!J:J,Input!N:U)),"")</f>
        <v/>
      </c>
      <c r="X157" s="42" t="str">
        <v/>
      </c>
      <c r="Y157" s="42" t="str">
        <v/>
      </c>
      <c r="Z157" s="42" t="str">
        <v/>
      </c>
      <c r="AA157" s="42" t="str">
        <v/>
      </c>
      <c r="AB157" s="42" t="str">
        <v/>
      </c>
      <c r="AC157" s="42" t="str">
        <v/>
      </c>
      <c r="AD157" s="42" t="str">
        <v/>
      </c>
      <c r="AE157" s="32" t="str">
        <f t="shared" si="6"/>
        <v/>
      </c>
      <c r="AF157" s="32" t="str">
        <f>_xlfn.XLOOKUP(B:B,Disk_Pivot!G:G,Disk_Pivot!I:I)</f>
        <v>Yes x2</v>
      </c>
      <c r="AG157" s="32" t="str">
        <f>_xlfn.XLOOKUP(B157,Disk_Pivot!G:G,Disk_Pivot!N:N)</f>
        <v>Pass, Fail</v>
      </c>
      <c r="AH157" s="32"/>
      <c r="AI157" s="32"/>
      <c r="AJ157" s="32"/>
      <c r="AK157" s="32"/>
      <c r="AL157" s="32"/>
      <c r="AM157" s="32"/>
    </row>
    <row r="158" spans="1:39">
      <c r="A158" s="32" t="str">
        <f>_xlfn.XLOOKUP(B158,Input!J:J,Input!G:G)&amp;""</f>
        <v/>
      </c>
      <c r="B158" s="32"/>
      <c r="C158" s="32" t="str">
        <f>_xlfn.XLOOKUP(B158,Input!J:J,Input!H:H)&amp;""</f>
        <v/>
      </c>
      <c r="D158" s="42">
        <f>_xlfn.XLOOKUP(B158,Input!J:J,Input!F:F)</f>
        <v>0</v>
      </c>
      <c r="E158" s="32">
        <f>_xlfn.XLOOKUP(D158,Models!H:H,Models!G:G,D158)</f>
        <v>0</v>
      </c>
      <c r="F158" s="32">
        <f>_xlfn.XLOOKUP(B158,Input!J:J,Input!E:E)</f>
        <v>0</v>
      </c>
      <c r="G158" s="32">
        <f>IF(F158="LENOVO",_xlfn.XLOOKUP(B158,Input!J:J,Input!K:K),_xlfn.XLOOKUP(B158,Input!J:J,Input!L:L))</f>
        <v>0</v>
      </c>
      <c r="H158" s="32"/>
      <c r="I158" s="32"/>
      <c r="J158" s="32">
        <f>_xlfn.XLOOKUP(B158,CPU_Formula!A:A,CPU_Formula!I:I)</f>
        <v>0</v>
      </c>
      <c r="K158" s="42" t="e">
        <f>INDEX(Input!$D$2:$AC$500,
       MATCH(B158, Input!$J$2:$J$500, 0),
       MATCH("Total Memory", Input!$D$1:$AC$1, 0))</f>
        <v>#N/A</v>
      </c>
      <c r="L158" s="42" t="e">
        <f>INDEX(Input!$D$2:$AC$500,
       MATCH(B158, Input!$J$2:$J$500, 0),
       MATCH("Memory Type", Input!$D$1:$AC$1, 0))</f>
        <v>#N/A</v>
      </c>
      <c r="M158" s="42" t="str" cm="1">
        <f t="array" ref="M158">IFERROR(_xlfn.FILTERXML("&lt;t&gt;&lt;s&gt;" &amp; SUBSTITUTE(L158," / ","&lt;/s&gt;&lt;s&gt;") &amp; "&lt;/s&gt;&lt;/t&gt;","(//s[contains(.,'DDR')])[1]"),"")</f>
        <v/>
      </c>
      <c r="N158" s="32" t="e">
        <f t="shared" si="8"/>
        <v>#N/A</v>
      </c>
      <c r="O158" s="42" t="e">
        <f>INDEX(Input!$D$2:$AC$500,
       MATCH(B158, Input!$J$2:$J$500, 0),
       MATCH("Disk Interface Type", Input!$D$1:$AC$1, 0))</f>
        <v>#N/A</v>
      </c>
      <c r="P158" s="42" t="str" cm="1">
        <f t="array" ref="P158">IFERROR(_xlfn.TEXTJOIN(", ", TRUE, _xlfn._xlws.FILTER(
    INDEX(Input!$D$2:$AC$500,,MATCH("Disk Capacity",Input!$D$1:$AC$1,0)),
    Input!$J$2:$J$500=B158
)), "")</f>
        <v/>
      </c>
      <c r="Q158" s="32" t="e">
        <f t="shared" si="7"/>
        <v>#N/A</v>
      </c>
      <c r="R158" s="42" t="e">
        <f>_xlfn.LET(_xlpm.Result,INDEX(Input!$D$2:$AC$500,
       MATCH(B158, Input!$J$2:$J$500, 0),
       MATCH("Capacity", Input!$D$1:$AC$1, 0)),IF(_xlpm.Result="","",_xlpm.Result))</f>
        <v>#N/A</v>
      </c>
      <c r="S158" s="42" t="e" cm="1">
        <f t="array" ref="S158">_xlfn.TEXTSPLIT(R158," / ", ,TRUE,0,)</f>
        <v>#N/A</v>
      </c>
      <c r="T158" s="42"/>
      <c r="U158" s="42" t="str" cm="1">
        <f t="array" ref="U158">IFERROR(_xlfn.IFS(
S158="","",
--S158&lt;55,"Battery Defect",
--S158&lt;=69,"Battery D",
--S158&lt;=80,"Battery C",
--S158&gt;80,""
),"")</f>
        <v/>
      </c>
      <c r="V158" s="42" t="str" cm="1">
        <f t="array" ref="V158">IFERROR(_xlfn.IFS(
T158="","",
--T158&lt;55,"Battery Defect",
--T158&lt;=69,"Battery D",
--T158&lt;=80,"Battery C",
--T158&gt;80,""
),"")</f>
        <v/>
      </c>
      <c r="W158" s="42" t="str" cm="1">
        <f t="array" ref="W158:AD158">IFERROR(IF(_xlfn.XLOOKUP(B158,Input!J:J,Input!N:U)=0,"",
          _xlfn.XLOOKUP(B158,Input!J:J,Input!N:U)),"")</f>
        <v/>
      </c>
      <c r="X158" s="42" t="str">
        <v/>
      </c>
      <c r="Y158" s="42" t="str">
        <v/>
      </c>
      <c r="Z158" s="42" t="str">
        <v/>
      </c>
      <c r="AA158" s="42" t="str">
        <v/>
      </c>
      <c r="AB158" s="42" t="str">
        <v/>
      </c>
      <c r="AC158" s="42" t="str">
        <v/>
      </c>
      <c r="AD158" s="42" t="str">
        <v/>
      </c>
      <c r="AE158" s="32" t="str">
        <f t="shared" si="6"/>
        <v/>
      </c>
      <c r="AF158" s="32" t="str">
        <f>_xlfn.XLOOKUP(B:B,Disk_Pivot!G:G,Disk_Pivot!I:I)</f>
        <v>Yes x2</v>
      </c>
      <c r="AG158" s="32" t="str">
        <f>_xlfn.XLOOKUP(B158,Disk_Pivot!G:G,Disk_Pivot!N:N)</f>
        <v>Pass, Fail</v>
      </c>
      <c r="AH158" s="32"/>
      <c r="AI158" s="32"/>
      <c r="AJ158" s="32"/>
      <c r="AK158" s="32"/>
      <c r="AL158" s="32"/>
      <c r="AM158" s="32"/>
    </row>
    <row r="159" spans="1:39">
      <c r="A159" s="32" t="str">
        <f>_xlfn.XLOOKUP(B159,Input!J:J,Input!G:G)&amp;""</f>
        <v/>
      </c>
      <c r="B159" s="32"/>
      <c r="C159" s="32" t="str">
        <f>_xlfn.XLOOKUP(B159,Input!J:J,Input!H:H)&amp;""</f>
        <v/>
      </c>
      <c r="D159" s="42">
        <f>_xlfn.XLOOKUP(B159,Input!J:J,Input!F:F)</f>
        <v>0</v>
      </c>
      <c r="E159" s="32">
        <f>_xlfn.XLOOKUP(D159,Models!H:H,Models!G:G,D159)</f>
        <v>0</v>
      </c>
      <c r="F159" s="32">
        <f>_xlfn.XLOOKUP(B159,Input!J:J,Input!E:E)</f>
        <v>0</v>
      </c>
      <c r="G159" s="32">
        <f>IF(F159="LENOVO",_xlfn.XLOOKUP(B159,Input!J:J,Input!K:K),_xlfn.XLOOKUP(B159,Input!J:J,Input!L:L))</f>
        <v>0</v>
      </c>
      <c r="H159" s="32"/>
      <c r="I159" s="32"/>
      <c r="J159" s="32">
        <f>_xlfn.XLOOKUP(B159,CPU_Formula!A:A,CPU_Formula!I:I)</f>
        <v>0</v>
      </c>
      <c r="K159" s="42" t="e">
        <f>INDEX(Input!$D$2:$AC$500,
       MATCH(B159, Input!$J$2:$J$500, 0),
       MATCH("Total Memory", Input!$D$1:$AC$1, 0))</f>
        <v>#N/A</v>
      </c>
      <c r="L159" s="42" t="e">
        <f>INDEX(Input!$D$2:$AC$500,
       MATCH(B159, Input!$J$2:$J$500, 0),
       MATCH("Memory Type", Input!$D$1:$AC$1, 0))</f>
        <v>#N/A</v>
      </c>
      <c r="M159" s="42" t="str" cm="1">
        <f t="array" ref="M159">IFERROR(_xlfn.FILTERXML("&lt;t&gt;&lt;s&gt;" &amp; SUBSTITUTE(L159," / ","&lt;/s&gt;&lt;s&gt;") &amp; "&lt;/s&gt;&lt;/t&gt;","(//s[contains(.,'DDR')])[1]"),"")</f>
        <v/>
      </c>
      <c r="N159" s="32" t="e">
        <f t="shared" si="8"/>
        <v>#N/A</v>
      </c>
      <c r="O159" s="42" t="e">
        <f>INDEX(Input!$D$2:$AC$500,
       MATCH(B159, Input!$J$2:$J$500, 0),
       MATCH("Disk Interface Type", Input!$D$1:$AC$1, 0))</f>
        <v>#N/A</v>
      </c>
      <c r="P159" s="42" t="str" cm="1">
        <f t="array" ref="P159">IFERROR(_xlfn.TEXTJOIN(", ", TRUE, _xlfn._xlws.FILTER(
    INDEX(Input!$D$2:$AC$500,,MATCH("Disk Capacity",Input!$D$1:$AC$1,0)),
    Input!$J$2:$J$500=B159
)), "")</f>
        <v/>
      </c>
      <c r="Q159" s="32" t="e">
        <f t="shared" si="7"/>
        <v>#N/A</v>
      </c>
      <c r="R159" s="42" t="e">
        <f>_xlfn.LET(_xlpm.Result,INDEX(Input!$D$2:$AC$500,
       MATCH(B159, Input!$J$2:$J$500, 0),
       MATCH("Capacity", Input!$D$1:$AC$1, 0)),IF(_xlpm.Result="","",_xlpm.Result))</f>
        <v>#N/A</v>
      </c>
      <c r="S159" s="42" t="e" cm="1">
        <f t="array" ref="S159">_xlfn.TEXTSPLIT(R159," / ", ,TRUE,0,)</f>
        <v>#N/A</v>
      </c>
      <c r="T159" s="42"/>
      <c r="U159" s="42" t="str" cm="1">
        <f t="array" ref="U159">IFERROR(_xlfn.IFS(
S159="","",
--S159&lt;55,"Battery Defect",
--S159&lt;=69,"Battery D",
--S159&lt;=80,"Battery C",
--S159&gt;80,""
),"")</f>
        <v/>
      </c>
      <c r="V159" s="42" t="str" cm="1">
        <f t="array" ref="V159">IFERROR(_xlfn.IFS(
T159="","",
--T159&lt;55,"Battery Defect",
--T159&lt;=69,"Battery D",
--T159&lt;=80,"Battery C",
--T159&gt;80,""
),"")</f>
        <v/>
      </c>
      <c r="W159" s="42" t="str" cm="1">
        <f t="array" ref="W159:AD159">IFERROR(IF(_xlfn.XLOOKUP(B159,Input!J:J,Input!N:U)=0,"",
          _xlfn.XLOOKUP(B159,Input!J:J,Input!N:U)),"")</f>
        <v/>
      </c>
      <c r="X159" s="42" t="str">
        <v/>
      </c>
      <c r="Y159" s="42" t="str">
        <v/>
      </c>
      <c r="Z159" s="42" t="str">
        <v/>
      </c>
      <c r="AA159" s="42" t="str">
        <v/>
      </c>
      <c r="AB159" s="42" t="str">
        <v/>
      </c>
      <c r="AC159" s="42" t="str">
        <v/>
      </c>
      <c r="AD159" s="42" t="str">
        <v/>
      </c>
      <c r="AE159" s="32" t="str">
        <f t="shared" si="6"/>
        <v/>
      </c>
      <c r="AF159" s="32" t="str">
        <f>_xlfn.XLOOKUP(B:B,Disk_Pivot!G:G,Disk_Pivot!I:I)</f>
        <v>Yes x2</v>
      </c>
      <c r="AG159" s="32" t="str">
        <f>_xlfn.XLOOKUP(B159,Disk_Pivot!G:G,Disk_Pivot!N:N)</f>
        <v>Pass, Fail</v>
      </c>
      <c r="AH159" s="32"/>
      <c r="AI159" s="32"/>
      <c r="AJ159" s="32"/>
      <c r="AK159" s="32"/>
      <c r="AL159" s="32"/>
      <c r="AM159" s="32"/>
    </row>
    <row r="160" spans="1:39">
      <c r="A160" s="32" t="str">
        <f>_xlfn.XLOOKUP(B160,Input!J:J,Input!G:G)&amp;""</f>
        <v/>
      </c>
      <c r="B160" s="32"/>
      <c r="C160" s="32" t="str">
        <f>_xlfn.XLOOKUP(B160,Input!J:J,Input!H:H)&amp;""</f>
        <v/>
      </c>
      <c r="D160" s="42">
        <f>_xlfn.XLOOKUP(B160,Input!J:J,Input!F:F)</f>
        <v>0</v>
      </c>
      <c r="E160" s="32">
        <f>_xlfn.XLOOKUP(D160,Models!H:H,Models!G:G,D160)</f>
        <v>0</v>
      </c>
      <c r="F160" s="32">
        <f>_xlfn.XLOOKUP(B160,Input!J:J,Input!E:E)</f>
        <v>0</v>
      </c>
      <c r="G160" s="32">
        <f>IF(F160="LENOVO",_xlfn.XLOOKUP(B160,Input!J:J,Input!K:K),_xlfn.XLOOKUP(B160,Input!J:J,Input!L:L))</f>
        <v>0</v>
      </c>
      <c r="H160" s="32"/>
      <c r="I160" s="32"/>
      <c r="J160" s="32">
        <f>_xlfn.XLOOKUP(B160,CPU_Formula!A:A,CPU_Formula!I:I)</f>
        <v>0</v>
      </c>
      <c r="K160" s="42" t="e">
        <f>INDEX(Input!$D$2:$AC$500,
       MATCH(B160, Input!$J$2:$J$500, 0),
       MATCH("Total Memory", Input!$D$1:$AC$1, 0))</f>
        <v>#N/A</v>
      </c>
      <c r="L160" s="42" t="e">
        <f>INDEX(Input!$D$2:$AC$500,
       MATCH(B160, Input!$J$2:$J$500, 0),
       MATCH("Memory Type", Input!$D$1:$AC$1, 0))</f>
        <v>#N/A</v>
      </c>
      <c r="M160" s="42" t="str" cm="1">
        <f t="array" ref="M160">IFERROR(_xlfn.FILTERXML("&lt;t&gt;&lt;s&gt;" &amp; SUBSTITUTE(L160," / ","&lt;/s&gt;&lt;s&gt;") &amp; "&lt;/s&gt;&lt;/t&gt;","(//s[contains(.,'DDR')])[1]"),"")</f>
        <v/>
      </c>
      <c r="N160" s="32" t="e">
        <f t="shared" si="8"/>
        <v>#N/A</v>
      </c>
      <c r="O160" s="42" t="e">
        <f>INDEX(Input!$D$2:$AC$500,
       MATCH(B160, Input!$J$2:$J$500, 0),
       MATCH("Disk Interface Type", Input!$D$1:$AC$1, 0))</f>
        <v>#N/A</v>
      </c>
      <c r="P160" s="42" t="str" cm="1">
        <f t="array" ref="P160">IFERROR(_xlfn.TEXTJOIN(", ", TRUE, _xlfn._xlws.FILTER(
    INDEX(Input!$D$2:$AC$500,,MATCH("Disk Capacity",Input!$D$1:$AC$1,0)),
    Input!$J$2:$J$500=B160
)), "")</f>
        <v/>
      </c>
      <c r="Q160" s="32" t="e">
        <f t="shared" si="7"/>
        <v>#N/A</v>
      </c>
      <c r="R160" s="42" t="e">
        <f>_xlfn.LET(_xlpm.Result,INDEX(Input!$D$2:$AC$500,
       MATCH(B160, Input!$J$2:$J$500, 0),
       MATCH("Capacity", Input!$D$1:$AC$1, 0)),IF(_xlpm.Result="","",_xlpm.Result))</f>
        <v>#N/A</v>
      </c>
      <c r="S160" s="42" t="e" cm="1">
        <f t="array" ref="S160">_xlfn.TEXTSPLIT(R160," / ", ,TRUE,0,)</f>
        <v>#N/A</v>
      </c>
      <c r="T160" s="42"/>
      <c r="U160" s="42" t="str" cm="1">
        <f t="array" ref="U160">IFERROR(_xlfn.IFS(
S160="","",
--S160&lt;55,"Battery Defect",
--S160&lt;=69,"Battery D",
--S160&lt;=80,"Battery C",
--S160&gt;80,""
),"")</f>
        <v/>
      </c>
      <c r="V160" s="42" t="str" cm="1">
        <f t="array" ref="V160">IFERROR(_xlfn.IFS(
T160="","",
--T160&lt;55,"Battery Defect",
--T160&lt;=69,"Battery D",
--T160&lt;=80,"Battery C",
--T160&gt;80,""
),"")</f>
        <v/>
      </c>
      <c r="W160" s="42" t="str" cm="1">
        <f t="array" ref="W160:AD160">IFERROR(IF(_xlfn.XLOOKUP(B160,Input!J:J,Input!N:U)=0,"",
          _xlfn.XLOOKUP(B160,Input!J:J,Input!N:U)),"")</f>
        <v/>
      </c>
      <c r="X160" s="42" t="str">
        <v/>
      </c>
      <c r="Y160" s="42" t="str">
        <v/>
      </c>
      <c r="Z160" s="42" t="str">
        <v/>
      </c>
      <c r="AA160" s="42" t="str">
        <v/>
      </c>
      <c r="AB160" s="42" t="str">
        <v/>
      </c>
      <c r="AC160" s="42" t="str">
        <v/>
      </c>
      <c r="AD160" s="42" t="str">
        <v/>
      </c>
      <c r="AE160" s="32" t="str">
        <f t="shared" si="6"/>
        <v/>
      </c>
      <c r="AF160" s="32" t="str">
        <f>_xlfn.XLOOKUP(B:B,Disk_Pivot!G:G,Disk_Pivot!I:I)</f>
        <v>Yes x2</v>
      </c>
      <c r="AG160" s="32" t="str">
        <f>_xlfn.XLOOKUP(B160,Disk_Pivot!G:G,Disk_Pivot!N:N)</f>
        <v>Pass, Fail</v>
      </c>
      <c r="AH160" s="32"/>
      <c r="AI160" s="32"/>
      <c r="AJ160" s="32"/>
      <c r="AK160" s="32"/>
      <c r="AL160" s="32"/>
      <c r="AM160" s="32"/>
    </row>
    <row r="161" spans="1:39">
      <c r="A161" s="32" t="str">
        <f>_xlfn.XLOOKUP(B161,Input!J:J,Input!G:G)&amp;""</f>
        <v/>
      </c>
      <c r="B161" s="32"/>
      <c r="C161" s="32" t="str">
        <f>_xlfn.XLOOKUP(B161,Input!J:J,Input!H:H)&amp;""</f>
        <v/>
      </c>
      <c r="D161" s="42">
        <f>_xlfn.XLOOKUP(B161,Input!J:J,Input!F:F)</f>
        <v>0</v>
      </c>
      <c r="E161" s="32">
        <f>_xlfn.XLOOKUP(D161,Models!H:H,Models!G:G,D161)</f>
        <v>0</v>
      </c>
      <c r="F161" s="32">
        <f>_xlfn.XLOOKUP(B161,Input!J:J,Input!E:E)</f>
        <v>0</v>
      </c>
      <c r="G161" s="32">
        <f>IF(F161="LENOVO",_xlfn.XLOOKUP(B161,Input!J:J,Input!K:K),_xlfn.XLOOKUP(B161,Input!J:J,Input!L:L))</f>
        <v>0</v>
      </c>
      <c r="H161" s="32"/>
      <c r="I161" s="32"/>
      <c r="J161" s="32">
        <f>_xlfn.XLOOKUP(B161,CPU_Formula!A:A,CPU_Formula!I:I)</f>
        <v>0</v>
      </c>
      <c r="K161" s="42" t="e">
        <f>INDEX(Input!$D$2:$AC$500,
       MATCH(B161, Input!$J$2:$J$500, 0),
       MATCH("Total Memory", Input!$D$1:$AC$1, 0))</f>
        <v>#N/A</v>
      </c>
      <c r="L161" s="42" t="e">
        <f>INDEX(Input!$D$2:$AC$500,
       MATCH(B161, Input!$J$2:$J$500, 0),
       MATCH("Memory Type", Input!$D$1:$AC$1, 0))</f>
        <v>#N/A</v>
      </c>
      <c r="M161" s="42" t="str" cm="1">
        <f t="array" ref="M161">IFERROR(_xlfn.FILTERXML("&lt;t&gt;&lt;s&gt;" &amp; SUBSTITUTE(L161," / ","&lt;/s&gt;&lt;s&gt;") &amp; "&lt;/s&gt;&lt;/t&gt;","(//s[contains(.,'DDR')])[1]"),"")</f>
        <v/>
      </c>
      <c r="N161" s="32" t="e">
        <f t="shared" si="8"/>
        <v>#N/A</v>
      </c>
      <c r="O161" s="42" t="e">
        <f>INDEX(Input!$D$2:$AC$500,
       MATCH(B161, Input!$J$2:$J$500, 0),
       MATCH("Disk Interface Type", Input!$D$1:$AC$1, 0))</f>
        <v>#N/A</v>
      </c>
      <c r="P161" s="42" t="str" cm="1">
        <f t="array" ref="P161">IFERROR(_xlfn.TEXTJOIN(", ", TRUE, _xlfn._xlws.FILTER(
    INDEX(Input!$D$2:$AC$500,,MATCH("Disk Capacity",Input!$D$1:$AC$1,0)),
    Input!$J$2:$J$500=B161
)), "")</f>
        <v/>
      </c>
      <c r="Q161" s="32" t="e">
        <f t="shared" si="7"/>
        <v>#N/A</v>
      </c>
      <c r="R161" s="42" t="e">
        <f>_xlfn.LET(_xlpm.Result,INDEX(Input!$D$2:$AC$500,
       MATCH(B161, Input!$J$2:$J$500, 0),
       MATCH("Capacity", Input!$D$1:$AC$1, 0)),IF(_xlpm.Result="","",_xlpm.Result))</f>
        <v>#N/A</v>
      </c>
      <c r="S161" s="42" t="e" cm="1">
        <f t="array" ref="S161">_xlfn.TEXTSPLIT(R161," / ", ,TRUE,0,)</f>
        <v>#N/A</v>
      </c>
      <c r="T161" s="42"/>
      <c r="U161" s="42" t="str" cm="1">
        <f t="array" ref="U161">IFERROR(_xlfn.IFS(
S161="","",
--S161&lt;55,"Battery Defect",
--S161&lt;=69,"Battery D",
--S161&lt;=80,"Battery C",
--S161&gt;80,""
),"")</f>
        <v/>
      </c>
      <c r="V161" s="42" t="str" cm="1">
        <f t="array" ref="V161">IFERROR(_xlfn.IFS(
T161="","",
--T161&lt;55,"Battery Defect",
--T161&lt;=69,"Battery D",
--T161&lt;=80,"Battery C",
--T161&gt;80,""
),"")</f>
        <v/>
      </c>
      <c r="W161" s="42" t="str" cm="1">
        <f t="array" ref="W161:AD161">IFERROR(IF(_xlfn.XLOOKUP(B161,Input!J:J,Input!N:U)=0,"",
          _xlfn.XLOOKUP(B161,Input!J:J,Input!N:U)),"")</f>
        <v/>
      </c>
      <c r="X161" s="42" t="str">
        <v/>
      </c>
      <c r="Y161" s="42" t="str">
        <v/>
      </c>
      <c r="Z161" s="42" t="str">
        <v/>
      </c>
      <c r="AA161" s="42" t="str">
        <v/>
      </c>
      <c r="AB161" s="42" t="str">
        <v/>
      </c>
      <c r="AC161" s="42" t="str">
        <v/>
      </c>
      <c r="AD161" s="42" t="str">
        <v/>
      </c>
      <c r="AE161" s="32" t="str">
        <f t="shared" si="6"/>
        <v/>
      </c>
      <c r="AF161" s="32" t="str">
        <f>_xlfn.XLOOKUP(B:B,Disk_Pivot!G:G,Disk_Pivot!I:I)</f>
        <v>Yes x2</v>
      </c>
      <c r="AG161" s="32" t="str">
        <f>_xlfn.XLOOKUP(B161,Disk_Pivot!G:G,Disk_Pivot!N:N)</f>
        <v>Pass, Fail</v>
      </c>
      <c r="AH161" s="32"/>
      <c r="AI161" s="32"/>
      <c r="AJ161" s="32"/>
      <c r="AK161" s="32"/>
      <c r="AL161" s="32"/>
      <c r="AM161" s="32"/>
    </row>
    <row r="162" spans="1:39">
      <c r="A162" s="32" t="str">
        <f>_xlfn.XLOOKUP(B162,Input!J:J,Input!G:G)&amp;""</f>
        <v/>
      </c>
      <c r="B162" s="32"/>
      <c r="C162" s="32" t="str">
        <f>_xlfn.XLOOKUP(B162,Input!J:J,Input!H:H)&amp;""</f>
        <v/>
      </c>
      <c r="D162" s="42">
        <f>_xlfn.XLOOKUP(B162,Input!J:J,Input!F:F)</f>
        <v>0</v>
      </c>
      <c r="E162" s="32">
        <f>_xlfn.XLOOKUP(D162,Models!H:H,Models!G:G,D162)</f>
        <v>0</v>
      </c>
      <c r="F162" s="32">
        <f>_xlfn.XLOOKUP(B162,Input!J:J,Input!E:E)</f>
        <v>0</v>
      </c>
      <c r="G162" s="32">
        <f>IF(F162="LENOVO",_xlfn.XLOOKUP(B162,Input!J:J,Input!K:K),_xlfn.XLOOKUP(B162,Input!J:J,Input!L:L))</f>
        <v>0</v>
      </c>
      <c r="H162" s="32"/>
      <c r="I162" s="32"/>
      <c r="J162" s="32">
        <f>_xlfn.XLOOKUP(B162,CPU_Formula!A:A,CPU_Formula!I:I)</f>
        <v>0</v>
      </c>
      <c r="K162" s="42" t="e">
        <f>INDEX(Input!$D$2:$AC$500,
       MATCH(B162, Input!$J$2:$J$500, 0),
       MATCH("Total Memory", Input!$D$1:$AC$1, 0))</f>
        <v>#N/A</v>
      </c>
      <c r="L162" s="42" t="e">
        <f>INDEX(Input!$D$2:$AC$500,
       MATCH(B162, Input!$J$2:$J$500, 0),
       MATCH("Memory Type", Input!$D$1:$AC$1, 0))</f>
        <v>#N/A</v>
      </c>
      <c r="M162" s="42" t="str" cm="1">
        <f t="array" ref="M162">IFERROR(_xlfn.FILTERXML("&lt;t&gt;&lt;s&gt;" &amp; SUBSTITUTE(L162," / ","&lt;/s&gt;&lt;s&gt;") &amp; "&lt;/s&gt;&lt;/t&gt;","(//s[contains(.,'DDR')])[1]"),"")</f>
        <v/>
      </c>
      <c r="N162" s="32" t="e">
        <f t="shared" si="8"/>
        <v>#N/A</v>
      </c>
      <c r="O162" s="42" t="e">
        <f>INDEX(Input!$D$2:$AC$500,
       MATCH(B162, Input!$J$2:$J$500, 0),
       MATCH("Disk Interface Type", Input!$D$1:$AC$1, 0))</f>
        <v>#N/A</v>
      </c>
      <c r="P162" s="42" t="str" cm="1">
        <f t="array" ref="P162">IFERROR(_xlfn.TEXTJOIN(", ", TRUE, _xlfn._xlws.FILTER(
    INDEX(Input!$D$2:$AC$500,,MATCH("Disk Capacity",Input!$D$1:$AC$1,0)),
    Input!$J$2:$J$500=B162
)), "")</f>
        <v/>
      </c>
      <c r="Q162" s="32" t="e">
        <f t="shared" si="7"/>
        <v>#N/A</v>
      </c>
      <c r="R162" s="42" t="e">
        <f>_xlfn.LET(_xlpm.Result,INDEX(Input!$D$2:$AC$500,
       MATCH(B162, Input!$J$2:$J$500, 0),
       MATCH("Capacity", Input!$D$1:$AC$1, 0)),IF(_xlpm.Result="","",_xlpm.Result))</f>
        <v>#N/A</v>
      </c>
      <c r="S162" s="42" t="e" cm="1">
        <f t="array" ref="S162">_xlfn.TEXTSPLIT(R162," / ", ,TRUE,0,)</f>
        <v>#N/A</v>
      </c>
      <c r="T162" s="42"/>
      <c r="U162" s="42" t="str" cm="1">
        <f t="array" ref="U162">IFERROR(_xlfn.IFS(
S162="","",
--S162&lt;55,"Battery Defect",
--S162&lt;=69,"Battery D",
--S162&lt;=80,"Battery C",
--S162&gt;80,""
),"")</f>
        <v/>
      </c>
      <c r="V162" s="42" t="str" cm="1">
        <f t="array" ref="V162">IFERROR(_xlfn.IFS(
T162="","",
--T162&lt;55,"Battery Defect",
--T162&lt;=69,"Battery D",
--T162&lt;=80,"Battery C",
--T162&gt;80,""
),"")</f>
        <v/>
      </c>
      <c r="W162" s="42" t="str" cm="1">
        <f t="array" ref="W162:AD162">IFERROR(IF(_xlfn.XLOOKUP(B162,Input!J:J,Input!N:U)=0,"",
          _xlfn.XLOOKUP(B162,Input!J:J,Input!N:U)),"")</f>
        <v/>
      </c>
      <c r="X162" s="42" t="str">
        <v/>
      </c>
      <c r="Y162" s="42" t="str">
        <v/>
      </c>
      <c r="Z162" s="42" t="str">
        <v/>
      </c>
      <c r="AA162" s="42" t="str">
        <v/>
      </c>
      <c r="AB162" s="42" t="str">
        <v/>
      </c>
      <c r="AC162" s="42" t="str">
        <v/>
      </c>
      <c r="AD162" s="42" t="str">
        <v/>
      </c>
      <c r="AE162" s="32" t="str">
        <f t="shared" si="6"/>
        <v/>
      </c>
      <c r="AF162" s="32" t="str">
        <f>_xlfn.XLOOKUP(B:B,Disk_Pivot!G:G,Disk_Pivot!I:I)</f>
        <v>Yes x2</v>
      </c>
      <c r="AG162" s="32" t="str">
        <f>_xlfn.XLOOKUP(B162,Disk_Pivot!G:G,Disk_Pivot!N:N)</f>
        <v>Pass, Fail</v>
      </c>
      <c r="AH162" s="32"/>
      <c r="AI162" s="32"/>
      <c r="AJ162" s="32"/>
      <c r="AK162" s="32"/>
      <c r="AL162" s="32"/>
      <c r="AM162" s="32"/>
    </row>
    <row r="163" spans="1:39">
      <c r="A163" s="32" t="str">
        <f>_xlfn.XLOOKUP(B163,Input!J:J,Input!G:G)&amp;""</f>
        <v/>
      </c>
      <c r="B163" s="32"/>
      <c r="C163" s="32" t="str">
        <f>_xlfn.XLOOKUP(B163,Input!J:J,Input!H:H)&amp;""</f>
        <v/>
      </c>
      <c r="D163" s="42">
        <f>_xlfn.XLOOKUP(B163,Input!J:J,Input!F:F)</f>
        <v>0</v>
      </c>
      <c r="E163" s="32">
        <f>_xlfn.XLOOKUP(D163,Models!H:H,Models!G:G,D163)</f>
        <v>0</v>
      </c>
      <c r="F163" s="32">
        <f>_xlfn.XLOOKUP(B163,Input!J:J,Input!E:E)</f>
        <v>0</v>
      </c>
      <c r="G163" s="32">
        <f>IF(F163="LENOVO",_xlfn.XLOOKUP(B163,Input!J:J,Input!K:K),_xlfn.XLOOKUP(B163,Input!J:J,Input!L:L))</f>
        <v>0</v>
      </c>
      <c r="H163" s="32"/>
      <c r="I163" s="32"/>
      <c r="J163" s="32">
        <f>_xlfn.XLOOKUP(B163,CPU_Formula!A:A,CPU_Formula!I:I)</f>
        <v>0</v>
      </c>
      <c r="K163" s="42" t="e">
        <f>INDEX(Input!$D$2:$AC$500,
       MATCH(B163, Input!$J$2:$J$500, 0),
       MATCH("Total Memory", Input!$D$1:$AC$1, 0))</f>
        <v>#N/A</v>
      </c>
      <c r="L163" s="42" t="e">
        <f>INDEX(Input!$D$2:$AC$500,
       MATCH(B163, Input!$J$2:$J$500, 0),
       MATCH("Memory Type", Input!$D$1:$AC$1, 0))</f>
        <v>#N/A</v>
      </c>
      <c r="M163" s="42" t="str" cm="1">
        <f t="array" ref="M163">IFERROR(_xlfn.FILTERXML("&lt;t&gt;&lt;s&gt;" &amp; SUBSTITUTE(L163," / ","&lt;/s&gt;&lt;s&gt;") &amp; "&lt;/s&gt;&lt;/t&gt;","(//s[contains(.,'DDR')])[1]"),"")</f>
        <v/>
      </c>
      <c r="N163" s="32" t="e">
        <f t="shared" si="8"/>
        <v>#N/A</v>
      </c>
      <c r="O163" s="42" t="e">
        <f>INDEX(Input!$D$2:$AC$500,
       MATCH(B163, Input!$J$2:$J$500, 0),
       MATCH("Disk Interface Type", Input!$D$1:$AC$1, 0))</f>
        <v>#N/A</v>
      </c>
      <c r="P163" s="42" t="str" cm="1">
        <f t="array" ref="P163">IFERROR(_xlfn.TEXTJOIN(", ", TRUE, _xlfn._xlws.FILTER(
    INDEX(Input!$D$2:$AC$500,,MATCH("Disk Capacity",Input!$D$1:$AC$1,0)),
    Input!$J$2:$J$500=B163
)), "")</f>
        <v/>
      </c>
      <c r="Q163" s="32" t="e">
        <f t="shared" si="7"/>
        <v>#N/A</v>
      </c>
      <c r="R163" s="42" t="e">
        <f>_xlfn.LET(_xlpm.Result,INDEX(Input!$D$2:$AC$500,
       MATCH(B163, Input!$J$2:$J$500, 0),
       MATCH("Capacity", Input!$D$1:$AC$1, 0)),IF(_xlpm.Result="","",_xlpm.Result))</f>
        <v>#N/A</v>
      </c>
      <c r="S163" s="42" t="e" cm="1">
        <f t="array" ref="S163">_xlfn.TEXTSPLIT(R163," / ", ,TRUE,0,)</f>
        <v>#N/A</v>
      </c>
      <c r="T163" s="42"/>
      <c r="U163" s="42" t="str" cm="1">
        <f t="array" ref="U163">IFERROR(_xlfn.IFS(
S163="","",
--S163&lt;55,"Battery Defect",
--S163&lt;=69,"Battery D",
--S163&lt;=80,"Battery C",
--S163&gt;80,""
),"")</f>
        <v/>
      </c>
      <c r="V163" s="42" t="str" cm="1">
        <f t="array" ref="V163">IFERROR(_xlfn.IFS(
T163="","",
--T163&lt;55,"Battery Defect",
--T163&lt;=69,"Battery D",
--T163&lt;=80,"Battery C",
--T163&gt;80,""
),"")</f>
        <v/>
      </c>
      <c r="W163" s="42" t="str" cm="1">
        <f t="array" ref="W163:AD163">IFERROR(IF(_xlfn.XLOOKUP(B163,Input!J:J,Input!N:U)=0,"",
          _xlfn.XLOOKUP(B163,Input!J:J,Input!N:U)),"")</f>
        <v/>
      </c>
      <c r="X163" s="42" t="str">
        <v/>
      </c>
      <c r="Y163" s="42" t="str">
        <v/>
      </c>
      <c r="Z163" s="42" t="str">
        <v/>
      </c>
      <c r="AA163" s="42" t="str">
        <v/>
      </c>
      <c r="AB163" s="42" t="str">
        <v/>
      </c>
      <c r="AC163" s="42" t="str">
        <v/>
      </c>
      <c r="AD163" s="42" t="str">
        <v/>
      </c>
      <c r="AE163" s="32" t="str">
        <f t="shared" si="6"/>
        <v/>
      </c>
      <c r="AF163" s="32" t="str">
        <f>_xlfn.XLOOKUP(B:B,Disk_Pivot!G:G,Disk_Pivot!I:I)</f>
        <v>Yes x2</v>
      </c>
      <c r="AG163" s="32" t="str">
        <f>_xlfn.XLOOKUP(B163,Disk_Pivot!G:G,Disk_Pivot!N:N)</f>
        <v>Pass, Fail</v>
      </c>
      <c r="AH163" s="32"/>
      <c r="AI163" s="32"/>
      <c r="AJ163" s="32"/>
      <c r="AK163" s="32"/>
      <c r="AL163" s="32"/>
      <c r="AM163" s="32"/>
    </row>
    <row r="164" spans="1:39">
      <c r="A164" s="32" t="str">
        <f>_xlfn.XLOOKUP(B164,Input!J:J,Input!G:G)&amp;""</f>
        <v/>
      </c>
      <c r="B164" s="32"/>
      <c r="C164" s="32" t="str">
        <f>_xlfn.XLOOKUP(B164,Input!J:J,Input!H:H)&amp;""</f>
        <v/>
      </c>
      <c r="D164" s="42">
        <f>_xlfn.XLOOKUP(B164,Input!J:J,Input!F:F)</f>
        <v>0</v>
      </c>
      <c r="E164" s="32">
        <f>_xlfn.XLOOKUP(D164,Models!H:H,Models!G:G,D164)</f>
        <v>0</v>
      </c>
      <c r="F164" s="32">
        <f>_xlfn.XLOOKUP(B164,Input!J:J,Input!E:E)</f>
        <v>0</v>
      </c>
      <c r="G164" s="32">
        <f>IF(F164="LENOVO",_xlfn.XLOOKUP(B164,Input!J:J,Input!K:K),_xlfn.XLOOKUP(B164,Input!J:J,Input!L:L))</f>
        <v>0</v>
      </c>
      <c r="H164" s="32"/>
      <c r="I164" s="32"/>
      <c r="J164" s="32">
        <f>_xlfn.XLOOKUP(B164,CPU_Formula!A:A,CPU_Formula!I:I)</f>
        <v>0</v>
      </c>
      <c r="K164" s="42" t="e">
        <f>INDEX(Input!$D$2:$AC$500,
       MATCH(B164, Input!$J$2:$J$500, 0),
       MATCH("Total Memory", Input!$D$1:$AC$1, 0))</f>
        <v>#N/A</v>
      </c>
      <c r="L164" s="42" t="e">
        <f>INDEX(Input!$D$2:$AC$500,
       MATCH(B164, Input!$J$2:$J$500, 0),
       MATCH("Memory Type", Input!$D$1:$AC$1, 0))</f>
        <v>#N/A</v>
      </c>
      <c r="M164" s="42" t="str" cm="1">
        <f t="array" ref="M164">IFERROR(_xlfn.FILTERXML("&lt;t&gt;&lt;s&gt;" &amp; SUBSTITUTE(L164," / ","&lt;/s&gt;&lt;s&gt;") &amp; "&lt;/s&gt;&lt;/t&gt;","(//s[contains(.,'DDR')])[1]"),"")</f>
        <v/>
      </c>
      <c r="N164" s="32" t="e">
        <f t="shared" si="8"/>
        <v>#N/A</v>
      </c>
      <c r="O164" s="42" t="e">
        <f>INDEX(Input!$D$2:$AC$500,
       MATCH(B164, Input!$J$2:$J$500, 0),
       MATCH("Disk Interface Type", Input!$D$1:$AC$1, 0))</f>
        <v>#N/A</v>
      </c>
      <c r="P164" s="42" t="str" cm="1">
        <f t="array" ref="P164">IFERROR(_xlfn.TEXTJOIN(", ", TRUE, _xlfn._xlws.FILTER(
    INDEX(Input!$D$2:$AC$500,,MATCH("Disk Capacity",Input!$D$1:$AC$1,0)),
    Input!$J$2:$J$500=B164
)), "")</f>
        <v/>
      </c>
      <c r="Q164" s="32" t="e">
        <f t="shared" si="7"/>
        <v>#N/A</v>
      </c>
      <c r="R164" s="42" t="e">
        <f>_xlfn.LET(_xlpm.Result,INDEX(Input!$D$2:$AC$500,
       MATCH(B164, Input!$J$2:$J$500, 0),
       MATCH("Capacity", Input!$D$1:$AC$1, 0)),IF(_xlpm.Result="","",_xlpm.Result))</f>
        <v>#N/A</v>
      </c>
      <c r="S164" s="42" t="e" cm="1">
        <f t="array" ref="S164">_xlfn.TEXTSPLIT(R164," / ", ,TRUE,0,)</f>
        <v>#N/A</v>
      </c>
      <c r="T164" s="42"/>
      <c r="U164" s="42" t="str" cm="1">
        <f t="array" ref="U164">IFERROR(_xlfn.IFS(
S164="","",
--S164&lt;55,"Battery Defect",
--S164&lt;=69,"Battery D",
--S164&lt;=80,"Battery C",
--S164&gt;80,""
),"")</f>
        <v/>
      </c>
      <c r="V164" s="42" t="str" cm="1">
        <f t="array" ref="V164">IFERROR(_xlfn.IFS(
T164="","",
--T164&lt;55,"Battery Defect",
--T164&lt;=69,"Battery D",
--T164&lt;=80,"Battery C",
--T164&gt;80,""
),"")</f>
        <v/>
      </c>
      <c r="W164" s="42" t="str" cm="1">
        <f t="array" ref="W164:AD164">IFERROR(IF(_xlfn.XLOOKUP(B164,Input!J:J,Input!N:U)=0,"",
          _xlfn.XLOOKUP(B164,Input!J:J,Input!N:U)),"")</f>
        <v/>
      </c>
      <c r="X164" s="42" t="str">
        <v/>
      </c>
      <c r="Y164" s="42" t="str">
        <v/>
      </c>
      <c r="Z164" s="42" t="str">
        <v/>
      </c>
      <c r="AA164" s="42" t="str">
        <v/>
      </c>
      <c r="AB164" s="42" t="str">
        <v/>
      </c>
      <c r="AC164" s="42" t="str">
        <v/>
      </c>
      <c r="AD164" s="42" t="str">
        <v/>
      </c>
      <c r="AE164" s="32" t="str">
        <f t="shared" si="6"/>
        <v/>
      </c>
      <c r="AF164" s="32" t="str">
        <f>_xlfn.XLOOKUP(B:B,Disk_Pivot!G:G,Disk_Pivot!I:I)</f>
        <v>Yes x2</v>
      </c>
      <c r="AG164" s="32" t="str">
        <f>_xlfn.XLOOKUP(B164,Disk_Pivot!G:G,Disk_Pivot!N:N)</f>
        <v>Pass, Fail</v>
      </c>
      <c r="AH164" s="32"/>
      <c r="AI164" s="32"/>
      <c r="AJ164" s="32"/>
      <c r="AK164" s="32"/>
      <c r="AL164" s="32"/>
      <c r="AM164" s="32"/>
    </row>
    <row r="165" spans="1:39">
      <c r="A165" s="32" t="str">
        <f>_xlfn.XLOOKUP(B165,Input!J:J,Input!G:G)&amp;""</f>
        <v/>
      </c>
      <c r="B165" s="32"/>
      <c r="C165" s="32" t="str">
        <f>_xlfn.XLOOKUP(B165,Input!J:J,Input!H:H)&amp;""</f>
        <v/>
      </c>
      <c r="D165" s="42">
        <f>_xlfn.XLOOKUP(B165,Input!J:J,Input!F:F)</f>
        <v>0</v>
      </c>
      <c r="E165" s="32">
        <f>_xlfn.XLOOKUP(D165,Models!H:H,Models!G:G,D165)</f>
        <v>0</v>
      </c>
      <c r="F165" s="32">
        <f>_xlfn.XLOOKUP(B165,Input!J:J,Input!E:E)</f>
        <v>0</v>
      </c>
      <c r="G165" s="32">
        <f>IF(F165="LENOVO",_xlfn.XLOOKUP(B165,Input!J:J,Input!K:K),_xlfn.XLOOKUP(B165,Input!J:J,Input!L:L))</f>
        <v>0</v>
      </c>
      <c r="H165" s="32"/>
      <c r="I165" s="32"/>
      <c r="J165" s="32">
        <f>_xlfn.XLOOKUP(B165,CPU_Formula!A:A,CPU_Formula!I:I)</f>
        <v>0</v>
      </c>
      <c r="K165" s="42" t="e">
        <f>INDEX(Input!$D$2:$AC$500,
       MATCH(B165, Input!$J$2:$J$500, 0),
       MATCH("Total Memory", Input!$D$1:$AC$1, 0))</f>
        <v>#N/A</v>
      </c>
      <c r="L165" s="42" t="e">
        <f>INDEX(Input!$D$2:$AC$500,
       MATCH(B165, Input!$J$2:$J$500, 0),
       MATCH("Memory Type", Input!$D$1:$AC$1, 0))</f>
        <v>#N/A</v>
      </c>
      <c r="M165" s="42" t="str" cm="1">
        <f t="array" ref="M165">IFERROR(_xlfn.FILTERXML("&lt;t&gt;&lt;s&gt;" &amp; SUBSTITUTE(L165," / ","&lt;/s&gt;&lt;s&gt;") &amp; "&lt;/s&gt;&lt;/t&gt;","(//s[contains(.,'DDR')])[1]"),"")</f>
        <v/>
      </c>
      <c r="N165" s="32" t="e">
        <f t="shared" si="8"/>
        <v>#N/A</v>
      </c>
      <c r="O165" s="42" t="e">
        <f>INDEX(Input!$D$2:$AC$500,
       MATCH(B165, Input!$J$2:$J$500, 0),
       MATCH("Disk Interface Type", Input!$D$1:$AC$1, 0))</f>
        <v>#N/A</v>
      </c>
      <c r="P165" s="42" t="str" cm="1">
        <f t="array" ref="P165">IFERROR(_xlfn.TEXTJOIN(", ", TRUE, _xlfn._xlws.FILTER(
    INDEX(Input!$D$2:$AC$500,,MATCH("Disk Capacity",Input!$D$1:$AC$1,0)),
    Input!$J$2:$J$500=B165
)), "")</f>
        <v/>
      </c>
      <c r="Q165" s="32" t="e">
        <f t="shared" si="7"/>
        <v>#N/A</v>
      </c>
      <c r="R165" s="42" t="e">
        <f>_xlfn.LET(_xlpm.Result,INDEX(Input!$D$2:$AC$500,
       MATCH(B165, Input!$J$2:$J$500, 0),
       MATCH("Capacity", Input!$D$1:$AC$1, 0)),IF(_xlpm.Result="","",_xlpm.Result))</f>
        <v>#N/A</v>
      </c>
      <c r="S165" s="42" t="e" cm="1">
        <f t="array" ref="S165">_xlfn.TEXTSPLIT(R165," / ", ,TRUE,0,)</f>
        <v>#N/A</v>
      </c>
      <c r="T165" s="42"/>
      <c r="U165" s="42" t="str" cm="1">
        <f t="array" ref="U165">IFERROR(_xlfn.IFS(
S165="","",
--S165&lt;55,"Battery Defect",
--S165&lt;=69,"Battery D",
--S165&lt;=80,"Battery C",
--S165&gt;80,""
),"")</f>
        <v/>
      </c>
      <c r="V165" s="42" t="str" cm="1">
        <f t="array" ref="V165">IFERROR(_xlfn.IFS(
T165="","",
--T165&lt;55,"Battery Defect",
--T165&lt;=69,"Battery D",
--T165&lt;=80,"Battery C",
--T165&gt;80,""
),"")</f>
        <v/>
      </c>
      <c r="W165" s="42" t="str" cm="1">
        <f t="array" ref="W165:AD165">IFERROR(IF(_xlfn.XLOOKUP(B165,Input!J:J,Input!N:U)=0,"",
          _xlfn.XLOOKUP(B165,Input!J:J,Input!N:U)),"")</f>
        <v/>
      </c>
      <c r="X165" s="42" t="str">
        <v/>
      </c>
      <c r="Y165" s="42" t="str">
        <v/>
      </c>
      <c r="Z165" s="42" t="str">
        <v/>
      </c>
      <c r="AA165" s="42" t="str">
        <v/>
      </c>
      <c r="AB165" s="42" t="str">
        <v/>
      </c>
      <c r="AC165" s="42" t="str">
        <v/>
      </c>
      <c r="AD165" s="42" t="str">
        <v/>
      </c>
      <c r="AE165" s="32" t="str">
        <f t="shared" si="6"/>
        <v/>
      </c>
      <c r="AF165" s="32" t="str">
        <f>_xlfn.XLOOKUP(B:B,Disk_Pivot!G:G,Disk_Pivot!I:I)</f>
        <v>Yes x2</v>
      </c>
      <c r="AG165" s="32" t="str">
        <f>_xlfn.XLOOKUP(B165,Disk_Pivot!G:G,Disk_Pivot!N:N)</f>
        <v>Pass, Fail</v>
      </c>
      <c r="AH165" s="32"/>
      <c r="AI165" s="32"/>
      <c r="AJ165" s="32"/>
      <c r="AK165" s="32"/>
      <c r="AL165" s="32"/>
      <c r="AM165" s="32"/>
    </row>
    <row r="166" spans="1:39">
      <c r="A166" s="32" t="str">
        <f>_xlfn.XLOOKUP(B166,Input!J:J,Input!G:G)&amp;""</f>
        <v/>
      </c>
      <c r="B166" s="32"/>
      <c r="C166" s="32" t="str">
        <f>_xlfn.XLOOKUP(B166,Input!J:J,Input!H:H)&amp;""</f>
        <v/>
      </c>
      <c r="D166" s="42">
        <f>_xlfn.XLOOKUP(B166,Input!J:J,Input!F:F)</f>
        <v>0</v>
      </c>
      <c r="E166" s="32">
        <f>_xlfn.XLOOKUP(D166,Models!H:H,Models!G:G,D166)</f>
        <v>0</v>
      </c>
      <c r="F166" s="32">
        <f>_xlfn.XLOOKUP(B166,Input!J:J,Input!E:E)</f>
        <v>0</v>
      </c>
      <c r="G166" s="32">
        <f>IF(F166="LENOVO",_xlfn.XLOOKUP(B166,Input!J:J,Input!K:K),_xlfn.XLOOKUP(B166,Input!J:J,Input!L:L))</f>
        <v>0</v>
      </c>
      <c r="H166" s="32"/>
      <c r="I166" s="32"/>
      <c r="J166" s="32">
        <f>_xlfn.XLOOKUP(B166,CPU_Formula!A:A,CPU_Formula!I:I)</f>
        <v>0</v>
      </c>
      <c r="K166" s="42" t="e">
        <f>INDEX(Input!$D$2:$AC$500,
       MATCH(B166, Input!$J$2:$J$500, 0),
       MATCH("Total Memory", Input!$D$1:$AC$1, 0))</f>
        <v>#N/A</v>
      </c>
      <c r="L166" s="42" t="e">
        <f>INDEX(Input!$D$2:$AC$500,
       MATCH(B166, Input!$J$2:$J$500, 0),
       MATCH("Memory Type", Input!$D$1:$AC$1, 0))</f>
        <v>#N/A</v>
      </c>
      <c r="M166" s="42" t="str" cm="1">
        <f t="array" ref="M166">IFERROR(_xlfn.FILTERXML("&lt;t&gt;&lt;s&gt;" &amp; SUBSTITUTE(L166," / ","&lt;/s&gt;&lt;s&gt;") &amp; "&lt;/s&gt;&lt;/t&gt;","(//s[contains(.,'DDR')])[1]"),"")</f>
        <v/>
      </c>
      <c r="N166" s="32" t="e">
        <f t="shared" si="8"/>
        <v>#N/A</v>
      </c>
      <c r="O166" s="42" t="e">
        <f>INDEX(Input!$D$2:$AC$500,
       MATCH(B166, Input!$J$2:$J$500, 0),
       MATCH("Disk Interface Type", Input!$D$1:$AC$1, 0))</f>
        <v>#N/A</v>
      </c>
      <c r="P166" s="42" t="str" cm="1">
        <f t="array" ref="P166">IFERROR(_xlfn.TEXTJOIN(", ", TRUE, _xlfn._xlws.FILTER(
    INDEX(Input!$D$2:$AC$500,,MATCH("Disk Capacity",Input!$D$1:$AC$1,0)),
    Input!$J$2:$J$500=B166
)), "")</f>
        <v/>
      </c>
      <c r="Q166" s="32" t="e">
        <f t="shared" si="7"/>
        <v>#N/A</v>
      </c>
      <c r="R166" s="42" t="e">
        <f>_xlfn.LET(_xlpm.Result,INDEX(Input!$D$2:$AC$500,
       MATCH(B166, Input!$J$2:$J$500, 0),
       MATCH("Capacity", Input!$D$1:$AC$1, 0)),IF(_xlpm.Result="","",_xlpm.Result))</f>
        <v>#N/A</v>
      </c>
      <c r="S166" s="42" t="e" cm="1">
        <f t="array" ref="S166">_xlfn.TEXTSPLIT(R166," / ", ,TRUE,0,)</f>
        <v>#N/A</v>
      </c>
      <c r="T166" s="42"/>
      <c r="U166" s="42" t="str" cm="1">
        <f t="array" ref="U166">IFERROR(_xlfn.IFS(
S166="","",
--S166&lt;55,"Battery Defect",
--S166&lt;=69,"Battery D",
--S166&lt;=80,"Battery C",
--S166&gt;80,""
),"")</f>
        <v/>
      </c>
      <c r="V166" s="42" t="str" cm="1">
        <f t="array" ref="V166">IFERROR(_xlfn.IFS(
T166="","",
--T166&lt;55,"Battery Defect",
--T166&lt;=69,"Battery D",
--T166&lt;=80,"Battery C",
--T166&gt;80,""
),"")</f>
        <v/>
      </c>
      <c r="W166" s="42" t="str" cm="1">
        <f t="array" ref="W166:AD166">IFERROR(IF(_xlfn.XLOOKUP(B166,Input!J:J,Input!N:U)=0,"",
          _xlfn.XLOOKUP(B166,Input!J:J,Input!N:U)),"")</f>
        <v/>
      </c>
      <c r="X166" s="42" t="str">
        <v/>
      </c>
      <c r="Y166" s="42" t="str">
        <v/>
      </c>
      <c r="Z166" s="42" t="str">
        <v/>
      </c>
      <c r="AA166" s="42" t="str">
        <v/>
      </c>
      <c r="AB166" s="42" t="str">
        <v/>
      </c>
      <c r="AC166" s="42" t="str">
        <v/>
      </c>
      <c r="AD166" s="42" t="str">
        <v/>
      </c>
      <c r="AE166" s="32" t="str">
        <f t="shared" si="6"/>
        <v/>
      </c>
      <c r="AF166" s="32" t="str">
        <f>_xlfn.XLOOKUP(B:B,Disk_Pivot!G:G,Disk_Pivot!I:I)</f>
        <v>Yes x2</v>
      </c>
      <c r="AG166" s="32" t="str">
        <f>_xlfn.XLOOKUP(B166,Disk_Pivot!G:G,Disk_Pivot!N:N)</f>
        <v>Pass, Fail</v>
      </c>
      <c r="AH166" s="32"/>
      <c r="AI166" s="32"/>
      <c r="AJ166" s="32"/>
      <c r="AK166" s="32"/>
      <c r="AL166" s="32"/>
      <c r="AM166" s="32"/>
    </row>
    <row r="167" spans="1:39">
      <c r="A167" s="32" t="str">
        <f>_xlfn.XLOOKUP(B167,Input!J:J,Input!G:G)&amp;""</f>
        <v/>
      </c>
      <c r="B167" s="32"/>
      <c r="C167" s="32" t="str">
        <f>_xlfn.XLOOKUP(B167,Input!J:J,Input!H:H)&amp;""</f>
        <v/>
      </c>
      <c r="D167" s="42">
        <f>_xlfn.XLOOKUP(B167,Input!J:J,Input!F:F)</f>
        <v>0</v>
      </c>
      <c r="E167" s="32">
        <f>_xlfn.XLOOKUP(D167,Models!H:H,Models!G:G,D167)</f>
        <v>0</v>
      </c>
      <c r="F167" s="32">
        <f>_xlfn.XLOOKUP(B167,Input!J:J,Input!E:E)</f>
        <v>0</v>
      </c>
      <c r="G167" s="32">
        <f>IF(F167="LENOVO",_xlfn.XLOOKUP(B167,Input!J:J,Input!K:K),_xlfn.XLOOKUP(B167,Input!J:J,Input!L:L))</f>
        <v>0</v>
      </c>
      <c r="H167" s="32"/>
      <c r="I167" s="32"/>
      <c r="J167" s="32">
        <f>_xlfn.XLOOKUP(B167,CPU_Formula!A:A,CPU_Formula!I:I)</f>
        <v>0</v>
      </c>
      <c r="K167" s="42" t="e">
        <f>INDEX(Input!$D$2:$AC$500,
       MATCH(B167, Input!$J$2:$J$500, 0),
       MATCH("Total Memory", Input!$D$1:$AC$1, 0))</f>
        <v>#N/A</v>
      </c>
      <c r="L167" s="42" t="e">
        <f>INDEX(Input!$D$2:$AC$500,
       MATCH(B167, Input!$J$2:$J$500, 0),
       MATCH("Memory Type", Input!$D$1:$AC$1, 0))</f>
        <v>#N/A</v>
      </c>
      <c r="M167" s="42" t="str" cm="1">
        <f t="array" ref="M167">IFERROR(_xlfn.FILTERXML("&lt;t&gt;&lt;s&gt;" &amp; SUBSTITUTE(L167," / ","&lt;/s&gt;&lt;s&gt;") &amp; "&lt;/s&gt;&lt;/t&gt;","(//s[contains(.,'DDR')])[1]"),"")</f>
        <v/>
      </c>
      <c r="N167" s="32" t="e">
        <f t="shared" si="8"/>
        <v>#N/A</v>
      </c>
      <c r="O167" s="42" t="e">
        <f>INDEX(Input!$D$2:$AC$500,
       MATCH(B167, Input!$J$2:$J$500, 0),
       MATCH("Disk Interface Type", Input!$D$1:$AC$1, 0))</f>
        <v>#N/A</v>
      </c>
      <c r="P167" s="42" t="str" cm="1">
        <f t="array" ref="P167">IFERROR(_xlfn.TEXTJOIN(", ", TRUE, _xlfn._xlws.FILTER(
    INDEX(Input!$D$2:$AC$500,,MATCH("Disk Capacity",Input!$D$1:$AC$1,0)),
    Input!$J$2:$J$500=B167
)), "")</f>
        <v/>
      </c>
      <c r="Q167" s="32" t="e">
        <f t="shared" si="7"/>
        <v>#N/A</v>
      </c>
      <c r="R167" s="42" t="e">
        <f>_xlfn.LET(_xlpm.Result,INDEX(Input!$D$2:$AC$500,
       MATCH(B167, Input!$J$2:$J$500, 0),
       MATCH("Capacity", Input!$D$1:$AC$1, 0)),IF(_xlpm.Result="","",_xlpm.Result))</f>
        <v>#N/A</v>
      </c>
      <c r="S167" s="42" t="e" cm="1">
        <f t="array" ref="S167">_xlfn.TEXTSPLIT(R167," / ", ,TRUE,0,)</f>
        <v>#N/A</v>
      </c>
      <c r="T167" s="42"/>
      <c r="U167" s="42" t="str" cm="1">
        <f t="array" ref="U167">IFERROR(_xlfn.IFS(
S167="","",
--S167&lt;55,"Battery Defect",
--S167&lt;=69,"Battery D",
--S167&lt;=80,"Battery C",
--S167&gt;80,""
),"")</f>
        <v/>
      </c>
      <c r="V167" s="42" t="str" cm="1">
        <f t="array" ref="V167">IFERROR(_xlfn.IFS(
T167="","",
--T167&lt;55,"Battery Defect",
--T167&lt;=69,"Battery D",
--T167&lt;=80,"Battery C",
--T167&gt;80,""
),"")</f>
        <v/>
      </c>
      <c r="W167" s="42" t="str" cm="1">
        <f t="array" ref="W167:AD167">IFERROR(IF(_xlfn.XLOOKUP(B167,Input!J:J,Input!N:U)=0,"",
          _xlfn.XLOOKUP(B167,Input!J:J,Input!N:U)),"")</f>
        <v/>
      </c>
      <c r="X167" s="42" t="str">
        <v/>
      </c>
      <c r="Y167" s="42" t="str">
        <v/>
      </c>
      <c r="Z167" s="42" t="str">
        <v/>
      </c>
      <c r="AA167" s="42" t="str">
        <v/>
      </c>
      <c r="AB167" s="42" t="str">
        <v/>
      </c>
      <c r="AC167" s="42" t="str">
        <v/>
      </c>
      <c r="AD167" s="42" t="str">
        <v/>
      </c>
      <c r="AE167" s="32" t="str">
        <f t="shared" si="6"/>
        <v/>
      </c>
      <c r="AF167" s="32" t="str">
        <f>_xlfn.XLOOKUP(B:B,Disk_Pivot!G:G,Disk_Pivot!I:I)</f>
        <v>Yes x2</v>
      </c>
      <c r="AG167" s="32" t="str">
        <f>_xlfn.XLOOKUP(B167,Disk_Pivot!G:G,Disk_Pivot!N:N)</f>
        <v>Pass, Fail</v>
      </c>
      <c r="AH167" s="32"/>
      <c r="AI167" s="32"/>
      <c r="AJ167" s="32"/>
      <c r="AK167" s="32"/>
      <c r="AL167" s="32"/>
      <c r="AM167" s="32"/>
    </row>
    <row r="168" spans="1:39">
      <c r="A168" s="32" t="str">
        <f>_xlfn.XLOOKUP(B168,Input!J:J,Input!G:G)&amp;""</f>
        <v/>
      </c>
      <c r="B168" s="32"/>
      <c r="C168" s="32" t="str">
        <f>_xlfn.XLOOKUP(B168,Input!J:J,Input!H:H)&amp;""</f>
        <v/>
      </c>
      <c r="D168" s="42">
        <f>_xlfn.XLOOKUP(B168,Input!J:J,Input!F:F)</f>
        <v>0</v>
      </c>
      <c r="E168" s="32">
        <f>_xlfn.XLOOKUP(D168,Models!H:H,Models!G:G,D168)</f>
        <v>0</v>
      </c>
      <c r="F168" s="32">
        <f>_xlfn.XLOOKUP(B168,Input!J:J,Input!E:E)</f>
        <v>0</v>
      </c>
      <c r="G168" s="32">
        <f>IF(F168="LENOVO",_xlfn.XLOOKUP(B168,Input!J:J,Input!K:K),_xlfn.XLOOKUP(B168,Input!J:J,Input!L:L))</f>
        <v>0</v>
      </c>
      <c r="H168" s="32"/>
      <c r="I168" s="32"/>
      <c r="J168" s="32">
        <f>_xlfn.XLOOKUP(B168,CPU_Formula!A:A,CPU_Formula!I:I)</f>
        <v>0</v>
      </c>
      <c r="K168" s="42" t="e">
        <f>INDEX(Input!$D$2:$AC$500,
       MATCH(B168, Input!$J$2:$J$500, 0),
       MATCH("Total Memory", Input!$D$1:$AC$1, 0))</f>
        <v>#N/A</v>
      </c>
      <c r="L168" s="42" t="e">
        <f>INDEX(Input!$D$2:$AC$500,
       MATCH(B168, Input!$J$2:$J$500, 0),
       MATCH("Memory Type", Input!$D$1:$AC$1, 0))</f>
        <v>#N/A</v>
      </c>
      <c r="M168" s="42" t="str" cm="1">
        <f t="array" ref="M168">IFERROR(_xlfn.FILTERXML("&lt;t&gt;&lt;s&gt;" &amp; SUBSTITUTE(L168," / ","&lt;/s&gt;&lt;s&gt;") &amp; "&lt;/s&gt;&lt;/t&gt;","(//s[contains(.,'DDR')])[1]"),"")</f>
        <v/>
      </c>
      <c r="N168" s="32" t="e">
        <f t="shared" si="8"/>
        <v>#N/A</v>
      </c>
      <c r="O168" s="42" t="e">
        <f>INDEX(Input!$D$2:$AC$500,
       MATCH(B168, Input!$J$2:$J$500, 0),
       MATCH("Disk Interface Type", Input!$D$1:$AC$1, 0))</f>
        <v>#N/A</v>
      </c>
      <c r="P168" s="42" t="str" cm="1">
        <f t="array" ref="P168">IFERROR(_xlfn.TEXTJOIN(", ", TRUE, _xlfn._xlws.FILTER(
    INDEX(Input!$D$2:$AC$500,,MATCH("Disk Capacity",Input!$D$1:$AC$1,0)),
    Input!$J$2:$J$500=B168
)), "")</f>
        <v/>
      </c>
      <c r="Q168" s="32" t="e">
        <f t="shared" si="7"/>
        <v>#N/A</v>
      </c>
      <c r="R168" s="42" t="e">
        <f>_xlfn.LET(_xlpm.Result,INDEX(Input!$D$2:$AC$500,
       MATCH(B168, Input!$J$2:$J$500, 0),
       MATCH("Capacity", Input!$D$1:$AC$1, 0)),IF(_xlpm.Result="","",_xlpm.Result))</f>
        <v>#N/A</v>
      </c>
      <c r="S168" s="42" t="e" cm="1">
        <f t="array" ref="S168">_xlfn.TEXTSPLIT(R168," / ", ,TRUE,0,)</f>
        <v>#N/A</v>
      </c>
      <c r="T168" s="42"/>
      <c r="U168" s="42" t="str" cm="1">
        <f t="array" ref="U168">IFERROR(_xlfn.IFS(
S168="","",
--S168&lt;55,"Battery Defect",
--S168&lt;=69,"Battery D",
--S168&lt;=80,"Battery C",
--S168&gt;80,""
),"")</f>
        <v/>
      </c>
      <c r="V168" s="42" t="str" cm="1">
        <f t="array" ref="V168">IFERROR(_xlfn.IFS(
T168="","",
--T168&lt;55,"Battery Defect",
--T168&lt;=69,"Battery D",
--T168&lt;=80,"Battery C",
--T168&gt;80,""
),"")</f>
        <v/>
      </c>
      <c r="W168" s="42" t="str" cm="1">
        <f t="array" ref="W168:AD168">IFERROR(IF(_xlfn.XLOOKUP(B168,Input!J:J,Input!N:U)=0,"",
          _xlfn.XLOOKUP(B168,Input!J:J,Input!N:U)),"")</f>
        <v/>
      </c>
      <c r="X168" s="42" t="str">
        <v/>
      </c>
      <c r="Y168" s="42" t="str">
        <v/>
      </c>
      <c r="Z168" s="42" t="str">
        <v/>
      </c>
      <c r="AA168" s="42" t="str">
        <v/>
      </c>
      <c r="AB168" s="42" t="str">
        <v/>
      </c>
      <c r="AC168" s="42" t="str">
        <v/>
      </c>
      <c r="AD168" s="42" t="str">
        <v/>
      </c>
      <c r="AE168" s="32" t="str">
        <f t="shared" si="6"/>
        <v/>
      </c>
      <c r="AF168" s="32" t="str">
        <f>_xlfn.XLOOKUP(B:B,Disk_Pivot!G:G,Disk_Pivot!I:I)</f>
        <v>Yes x2</v>
      </c>
      <c r="AG168" s="32" t="str">
        <f>_xlfn.XLOOKUP(B168,Disk_Pivot!G:G,Disk_Pivot!N:N)</f>
        <v>Pass, Fail</v>
      </c>
      <c r="AH168" s="32"/>
      <c r="AI168" s="32"/>
      <c r="AJ168" s="32"/>
      <c r="AK168" s="32"/>
      <c r="AL168" s="32"/>
      <c r="AM168" s="32"/>
    </row>
    <row r="169" spans="1:39">
      <c r="A169" s="32" t="str">
        <f>_xlfn.XLOOKUP(B169,Input!J:J,Input!G:G)&amp;""</f>
        <v/>
      </c>
      <c r="B169" s="32"/>
      <c r="C169" s="32" t="str">
        <f>_xlfn.XLOOKUP(B169,Input!J:J,Input!H:H)&amp;""</f>
        <v/>
      </c>
      <c r="D169" s="42">
        <f>_xlfn.XLOOKUP(B169,Input!J:J,Input!F:F)</f>
        <v>0</v>
      </c>
      <c r="E169" s="32">
        <f>_xlfn.XLOOKUP(D169,Models!H:H,Models!G:G,D169)</f>
        <v>0</v>
      </c>
      <c r="F169" s="32">
        <f>_xlfn.XLOOKUP(B169,Input!J:J,Input!E:E)</f>
        <v>0</v>
      </c>
      <c r="G169" s="32">
        <f>IF(F169="LENOVO",_xlfn.XLOOKUP(B169,Input!J:J,Input!K:K),_xlfn.XLOOKUP(B169,Input!J:J,Input!L:L))</f>
        <v>0</v>
      </c>
      <c r="H169" s="32"/>
      <c r="I169" s="32"/>
      <c r="J169" s="32">
        <f>_xlfn.XLOOKUP(B169,CPU_Formula!A:A,CPU_Formula!I:I)</f>
        <v>0</v>
      </c>
      <c r="K169" s="42" t="e">
        <f>INDEX(Input!$D$2:$AC$500,
       MATCH(B169, Input!$J$2:$J$500, 0),
       MATCH("Total Memory", Input!$D$1:$AC$1, 0))</f>
        <v>#N/A</v>
      </c>
      <c r="L169" s="42" t="e">
        <f>INDEX(Input!$D$2:$AC$500,
       MATCH(B169, Input!$J$2:$J$500, 0),
       MATCH("Memory Type", Input!$D$1:$AC$1, 0))</f>
        <v>#N/A</v>
      </c>
      <c r="M169" s="42" t="str" cm="1">
        <f t="array" ref="M169">IFERROR(_xlfn.FILTERXML("&lt;t&gt;&lt;s&gt;" &amp; SUBSTITUTE(L169," / ","&lt;/s&gt;&lt;s&gt;") &amp; "&lt;/s&gt;&lt;/t&gt;","(//s[contains(.,'DDR')])[1]"),"")</f>
        <v/>
      </c>
      <c r="N169" s="32" t="e">
        <f t="shared" si="8"/>
        <v>#N/A</v>
      </c>
      <c r="O169" s="42" t="e">
        <f>INDEX(Input!$D$2:$AC$500,
       MATCH(B169, Input!$J$2:$J$500, 0),
       MATCH("Disk Interface Type", Input!$D$1:$AC$1, 0))</f>
        <v>#N/A</v>
      </c>
      <c r="P169" s="42" t="str" cm="1">
        <f t="array" ref="P169">IFERROR(_xlfn.TEXTJOIN(", ", TRUE, _xlfn._xlws.FILTER(
    INDEX(Input!$D$2:$AC$500,,MATCH("Disk Capacity",Input!$D$1:$AC$1,0)),
    Input!$J$2:$J$500=B169
)), "")</f>
        <v/>
      </c>
      <c r="Q169" s="32" t="e">
        <f t="shared" si="7"/>
        <v>#N/A</v>
      </c>
      <c r="R169" s="42" t="e">
        <f>_xlfn.LET(_xlpm.Result,INDEX(Input!$D$2:$AC$500,
       MATCH(B169, Input!$J$2:$J$500, 0),
       MATCH("Capacity", Input!$D$1:$AC$1, 0)),IF(_xlpm.Result="","",_xlpm.Result))</f>
        <v>#N/A</v>
      </c>
      <c r="S169" s="42" t="e" cm="1">
        <f t="array" ref="S169">_xlfn.TEXTSPLIT(R169," / ", ,TRUE,0,)</f>
        <v>#N/A</v>
      </c>
      <c r="T169" s="42"/>
      <c r="U169" s="42" t="str" cm="1">
        <f t="array" ref="U169">IFERROR(_xlfn.IFS(
S169="","",
--S169&lt;55,"Battery Defect",
--S169&lt;=69,"Battery D",
--S169&lt;=80,"Battery C",
--S169&gt;80,""
),"")</f>
        <v/>
      </c>
      <c r="V169" s="42" t="str" cm="1">
        <f t="array" ref="V169">IFERROR(_xlfn.IFS(
T169="","",
--T169&lt;55,"Battery Defect",
--T169&lt;=69,"Battery D",
--T169&lt;=80,"Battery C",
--T169&gt;80,""
),"")</f>
        <v/>
      </c>
      <c r="W169" s="42" t="str" cm="1">
        <f t="array" ref="W169:AD169">IFERROR(IF(_xlfn.XLOOKUP(B169,Input!J:J,Input!N:U)=0,"",
          _xlfn.XLOOKUP(B169,Input!J:J,Input!N:U)),"")</f>
        <v/>
      </c>
      <c r="X169" s="42" t="str">
        <v/>
      </c>
      <c r="Y169" s="42" t="str">
        <v/>
      </c>
      <c r="Z169" s="42" t="str">
        <v/>
      </c>
      <c r="AA169" s="42" t="str">
        <v/>
      </c>
      <c r="AB169" s="42" t="str">
        <v/>
      </c>
      <c r="AC169" s="42" t="str">
        <v/>
      </c>
      <c r="AD169" s="42" t="str">
        <v/>
      </c>
      <c r="AE169" s="32" t="str">
        <f t="shared" si="6"/>
        <v/>
      </c>
      <c r="AF169" s="32" t="str">
        <f>_xlfn.XLOOKUP(B:B,Disk_Pivot!G:G,Disk_Pivot!I:I)</f>
        <v>Yes x2</v>
      </c>
      <c r="AG169" s="32" t="str">
        <f>_xlfn.XLOOKUP(B169,Disk_Pivot!G:G,Disk_Pivot!N:N)</f>
        <v>Pass, Fail</v>
      </c>
      <c r="AH169" s="32"/>
      <c r="AI169" s="32"/>
      <c r="AJ169" s="32"/>
      <c r="AK169" s="32"/>
      <c r="AL169" s="32"/>
      <c r="AM169" s="32"/>
    </row>
    <row r="170" spans="1:39">
      <c r="A170" s="32" t="str">
        <f>_xlfn.XLOOKUP(B170,Input!J:J,Input!G:G)&amp;""</f>
        <v/>
      </c>
      <c r="B170" s="32"/>
      <c r="C170" s="32" t="str">
        <f>_xlfn.XLOOKUP(B170,Input!J:J,Input!H:H)&amp;""</f>
        <v/>
      </c>
      <c r="D170" s="42">
        <f>_xlfn.XLOOKUP(B170,Input!J:J,Input!F:F)</f>
        <v>0</v>
      </c>
      <c r="E170" s="32">
        <f>_xlfn.XLOOKUP(D170,Models!H:H,Models!G:G,D170)</f>
        <v>0</v>
      </c>
      <c r="F170" s="32">
        <f>_xlfn.XLOOKUP(B170,Input!J:J,Input!E:E)</f>
        <v>0</v>
      </c>
      <c r="G170" s="32">
        <f>IF(F170="LENOVO",_xlfn.XLOOKUP(B170,Input!J:J,Input!K:K),_xlfn.XLOOKUP(B170,Input!J:J,Input!L:L))</f>
        <v>0</v>
      </c>
      <c r="H170" s="32"/>
      <c r="I170" s="32"/>
      <c r="J170" s="32">
        <f>_xlfn.XLOOKUP(B170,CPU_Formula!A:A,CPU_Formula!I:I)</f>
        <v>0</v>
      </c>
      <c r="K170" s="42" t="e">
        <f>INDEX(Input!$D$2:$AC$500,
       MATCH(B170, Input!$J$2:$J$500, 0),
       MATCH("Total Memory", Input!$D$1:$AC$1, 0))</f>
        <v>#N/A</v>
      </c>
      <c r="L170" s="42" t="e">
        <f>INDEX(Input!$D$2:$AC$500,
       MATCH(B170, Input!$J$2:$J$500, 0),
       MATCH("Memory Type", Input!$D$1:$AC$1, 0))</f>
        <v>#N/A</v>
      </c>
      <c r="M170" s="42" t="str" cm="1">
        <f t="array" ref="M170">IFERROR(_xlfn.FILTERXML("&lt;t&gt;&lt;s&gt;" &amp; SUBSTITUTE(L170," / ","&lt;/s&gt;&lt;s&gt;") &amp; "&lt;/s&gt;&lt;/t&gt;","(//s[contains(.,'DDR')])[1]"),"")</f>
        <v/>
      </c>
      <c r="N170" s="32" t="e">
        <f t="shared" si="8"/>
        <v>#N/A</v>
      </c>
      <c r="O170" s="42" t="e">
        <f>INDEX(Input!$D$2:$AC$500,
       MATCH(B170, Input!$J$2:$J$500, 0),
       MATCH("Disk Interface Type", Input!$D$1:$AC$1, 0))</f>
        <v>#N/A</v>
      </c>
      <c r="P170" s="42" t="str" cm="1">
        <f t="array" ref="P170">IFERROR(_xlfn.TEXTJOIN(", ", TRUE, _xlfn._xlws.FILTER(
    INDEX(Input!$D$2:$AC$500,,MATCH("Disk Capacity",Input!$D$1:$AC$1,0)),
    Input!$J$2:$J$500=B170
)), "")</f>
        <v/>
      </c>
      <c r="Q170" s="32" t="e">
        <f t="shared" si="7"/>
        <v>#N/A</v>
      </c>
      <c r="R170" s="42" t="e">
        <f>_xlfn.LET(_xlpm.Result,INDEX(Input!$D$2:$AC$500,
       MATCH(B170, Input!$J$2:$J$500, 0),
       MATCH("Capacity", Input!$D$1:$AC$1, 0)),IF(_xlpm.Result="","",_xlpm.Result))</f>
        <v>#N/A</v>
      </c>
      <c r="S170" s="42" t="e" cm="1">
        <f t="array" ref="S170">_xlfn.TEXTSPLIT(R170," / ", ,TRUE,0,)</f>
        <v>#N/A</v>
      </c>
      <c r="T170" s="42"/>
      <c r="U170" s="42" t="str" cm="1">
        <f t="array" ref="U170">IFERROR(_xlfn.IFS(
S170="","",
--S170&lt;55,"Battery Defect",
--S170&lt;=69,"Battery D",
--S170&lt;=80,"Battery C",
--S170&gt;80,""
),"")</f>
        <v/>
      </c>
      <c r="V170" s="42" t="str" cm="1">
        <f t="array" ref="V170">IFERROR(_xlfn.IFS(
T170="","",
--T170&lt;55,"Battery Defect",
--T170&lt;=69,"Battery D",
--T170&lt;=80,"Battery C",
--T170&gt;80,""
),"")</f>
        <v/>
      </c>
      <c r="W170" s="42" t="str" cm="1">
        <f t="array" ref="W170:AD170">IFERROR(IF(_xlfn.XLOOKUP(B170,Input!J:J,Input!N:U)=0,"",
          _xlfn.XLOOKUP(B170,Input!J:J,Input!N:U)),"")</f>
        <v/>
      </c>
      <c r="X170" s="42" t="str">
        <v/>
      </c>
      <c r="Y170" s="42" t="str">
        <v/>
      </c>
      <c r="Z170" s="42" t="str">
        <v/>
      </c>
      <c r="AA170" s="42" t="str">
        <v/>
      </c>
      <c r="AB170" s="42" t="str">
        <v/>
      </c>
      <c r="AC170" s="42" t="str">
        <v/>
      </c>
      <c r="AD170" s="42" t="str">
        <v/>
      </c>
      <c r="AE170" s="32" t="str">
        <f t="shared" si="6"/>
        <v/>
      </c>
      <c r="AF170" s="32" t="str">
        <f>_xlfn.XLOOKUP(B:B,Disk_Pivot!G:G,Disk_Pivot!I:I)</f>
        <v>Yes x2</v>
      </c>
      <c r="AG170" s="32" t="str">
        <f>_xlfn.XLOOKUP(B170,Disk_Pivot!G:G,Disk_Pivot!N:N)</f>
        <v>Pass, Fail</v>
      </c>
      <c r="AH170" s="32"/>
      <c r="AI170" s="32"/>
      <c r="AJ170" s="32"/>
      <c r="AK170" s="32"/>
      <c r="AL170" s="32"/>
      <c r="AM170" s="32"/>
    </row>
    <row r="171" spans="1:39">
      <c r="A171" s="32" t="str">
        <f>_xlfn.XLOOKUP(B171,Input!J:J,Input!G:G)&amp;""</f>
        <v/>
      </c>
      <c r="B171" s="32"/>
      <c r="C171" s="32" t="str">
        <f>_xlfn.XLOOKUP(B171,Input!J:J,Input!H:H)&amp;""</f>
        <v/>
      </c>
      <c r="D171" s="42">
        <f>_xlfn.XLOOKUP(B171,Input!J:J,Input!F:F)</f>
        <v>0</v>
      </c>
      <c r="E171" s="32">
        <f>_xlfn.XLOOKUP(D171,Models!H:H,Models!G:G,D171)</f>
        <v>0</v>
      </c>
      <c r="F171" s="32">
        <f>_xlfn.XLOOKUP(B171,Input!J:J,Input!E:E)</f>
        <v>0</v>
      </c>
      <c r="G171" s="32">
        <f>IF(F171="LENOVO",_xlfn.XLOOKUP(B171,Input!J:J,Input!K:K),_xlfn.XLOOKUP(B171,Input!J:J,Input!L:L))</f>
        <v>0</v>
      </c>
      <c r="H171" s="32"/>
      <c r="I171" s="32"/>
      <c r="J171" s="32">
        <f>_xlfn.XLOOKUP(B171,CPU_Formula!A:A,CPU_Formula!I:I)</f>
        <v>0</v>
      </c>
      <c r="K171" s="42" t="e">
        <f>INDEX(Input!$D$2:$AC$500,
       MATCH(B171, Input!$J$2:$J$500, 0),
       MATCH("Total Memory", Input!$D$1:$AC$1, 0))</f>
        <v>#N/A</v>
      </c>
      <c r="L171" s="42" t="e">
        <f>INDEX(Input!$D$2:$AC$500,
       MATCH(B171, Input!$J$2:$J$500, 0),
       MATCH("Memory Type", Input!$D$1:$AC$1, 0))</f>
        <v>#N/A</v>
      </c>
      <c r="M171" s="42" t="str" cm="1">
        <f t="array" ref="M171">IFERROR(_xlfn.FILTERXML("&lt;t&gt;&lt;s&gt;" &amp; SUBSTITUTE(L171," / ","&lt;/s&gt;&lt;s&gt;") &amp; "&lt;/s&gt;&lt;/t&gt;","(//s[contains(.,'DDR')])[1]"),"")</f>
        <v/>
      </c>
      <c r="N171" s="32" t="e">
        <f t="shared" si="8"/>
        <v>#N/A</v>
      </c>
      <c r="O171" s="42" t="e">
        <f>INDEX(Input!$D$2:$AC$500,
       MATCH(B171, Input!$J$2:$J$500, 0),
       MATCH("Disk Interface Type", Input!$D$1:$AC$1, 0))</f>
        <v>#N/A</v>
      </c>
      <c r="P171" s="42" t="str" cm="1">
        <f t="array" ref="P171">IFERROR(_xlfn.TEXTJOIN(", ", TRUE, _xlfn._xlws.FILTER(
    INDEX(Input!$D$2:$AC$500,,MATCH("Disk Capacity",Input!$D$1:$AC$1,0)),
    Input!$J$2:$J$500=B171
)), "")</f>
        <v/>
      </c>
      <c r="Q171" s="32" t="e">
        <f t="shared" si="7"/>
        <v>#N/A</v>
      </c>
      <c r="R171" s="42" t="e">
        <f>_xlfn.LET(_xlpm.Result,INDEX(Input!$D$2:$AC$500,
       MATCH(B171, Input!$J$2:$J$500, 0),
       MATCH("Capacity", Input!$D$1:$AC$1, 0)),IF(_xlpm.Result="","",_xlpm.Result))</f>
        <v>#N/A</v>
      </c>
      <c r="S171" s="42" t="e" cm="1">
        <f t="array" ref="S171">_xlfn.TEXTSPLIT(R171," / ", ,TRUE,0,)</f>
        <v>#N/A</v>
      </c>
      <c r="T171" s="42"/>
      <c r="U171" s="42" t="str" cm="1">
        <f t="array" ref="U171">IFERROR(_xlfn.IFS(
S171="","",
--S171&lt;55,"Battery Defect",
--S171&lt;=69,"Battery D",
--S171&lt;=80,"Battery C",
--S171&gt;80,""
),"")</f>
        <v/>
      </c>
      <c r="V171" s="42" t="str" cm="1">
        <f t="array" ref="V171">IFERROR(_xlfn.IFS(
T171="","",
--T171&lt;55,"Battery Defect",
--T171&lt;=69,"Battery D",
--T171&lt;=80,"Battery C",
--T171&gt;80,""
),"")</f>
        <v/>
      </c>
      <c r="W171" s="42" t="str" cm="1">
        <f t="array" ref="W171:AD171">IFERROR(IF(_xlfn.XLOOKUP(B171,Input!J:J,Input!N:U)=0,"",
          _xlfn.XLOOKUP(B171,Input!J:J,Input!N:U)),"")</f>
        <v/>
      </c>
      <c r="X171" s="42" t="str">
        <v/>
      </c>
      <c r="Y171" s="42" t="str">
        <v/>
      </c>
      <c r="Z171" s="42" t="str">
        <v/>
      </c>
      <c r="AA171" s="42" t="str">
        <v/>
      </c>
      <c r="AB171" s="42" t="str">
        <v/>
      </c>
      <c r="AC171" s="42" t="str">
        <v/>
      </c>
      <c r="AD171" s="42" t="str">
        <v/>
      </c>
      <c r="AE171" s="32" t="str">
        <f t="shared" si="6"/>
        <v/>
      </c>
      <c r="AF171" s="32" t="str">
        <f>_xlfn.XLOOKUP(B:B,Disk_Pivot!G:G,Disk_Pivot!I:I)</f>
        <v>Yes x2</v>
      </c>
      <c r="AG171" s="32" t="str">
        <f>_xlfn.XLOOKUP(B171,Disk_Pivot!G:G,Disk_Pivot!N:N)</f>
        <v>Pass, Fail</v>
      </c>
      <c r="AH171" s="32"/>
      <c r="AI171" s="32"/>
      <c r="AJ171" s="32"/>
      <c r="AK171" s="32"/>
      <c r="AL171" s="32"/>
      <c r="AM171" s="32"/>
    </row>
    <row r="172" spans="1:39">
      <c r="A172" s="32" t="str">
        <f>_xlfn.XLOOKUP(B172,Input!J:J,Input!G:G)&amp;""</f>
        <v/>
      </c>
      <c r="B172" s="32"/>
      <c r="C172" s="32" t="str">
        <f>_xlfn.XLOOKUP(B172,Input!J:J,Input!H:H)&amp;""</f>
        <v/>
      </c>
      <c r="D172" s="42">
        <f>_xlfn.XLOOKUP(B172,Input!J:J,Input!F:F)</f>
        <v>0</v>
      </c>
      <c r="E172" s="32">
        <f>_xlfn.XLOOKUP(D172,Models!H:H,Models!G:G,D172)</f>
        <v>0</v>
      </c>
      <c r="F172" s="32">
        <f>_xlfn.XLOOKUP(B172,Input!J:J,Input!E:E)</f>
        <v>0</v>
      </c>
      <c r="G172" s="32">
        <f>IF(F172="LENOVO",_xlfn.XLOOKUP(B172,Input!J:J,Input!K:K),_xlfn.XLOOKUP(B172,Input!J:J,Input!L:L))</f>
        <v>0</v>
      </c>
      <c r="H172" s="32"/>
      <c r="I172" s="32"/>
      <c r="J172" s="32">
        <f>_xlfn.XLOOKUP(B172,CPU_Formula!A:A,CPU_Formula!I:I)</f>
        <v>0</v>
      </c>
      <c r="K172" s="42" t="e">
        <f>INDEX(Input!$D$2:$AC$500,
       MATCH(B172, Input!$J$2:$J$500, 0),
       MATCH("Total Memory", Input!$D$1:$AC$1, 0))</f>
        <v>#N/A</v>
      </c>
      <c r="L172" s="42" t="e">
        <f>INDEX(Input!$D$2:$AC$500,
       MATCH(B172, Input!$J$2:$J$500, 0),
       MATCH("Memory Type", Input!$D$1:$AC$1, 0))</f>
        <v>#N/A</v>
      </c>
      <c r="M172" s="42" t="str" cm="1">
        <f t="array" ref="M172">IFERROR(_xlfn.FILTERXML("&lt;t&gt;&lt;s&gt;" &amp; SUBSTITUTE(L172," / ","&lt;/s&gt;&lt;s&gt;") &amp; "&lt;/s&gt;&lt;/t&gt;","(//s[contains(.,'DDR')])[1]"),"")</f>
        <v/>
      </c>
      <c r="N172" s="32" t="e">
        <f t="shared" si="8"/>
        <v>#N/A</v>
      </c>
      <c r="O172" s="42" t="e">
        <f>INDEX(Input!$D$2:$AC$500,
       MATCH(B172, Input!$J$2:$J$500, 0),
       MATCH("Disk Interface Type", Input!$D$1:$AC$1, 0))</f>
        <v>#N/A</v>
      </c>
      <c r="P172" s="42" t="str" cm="1">
        <f t="array" ref="P172">IFERROR(_xlfn.TEXTJOIN(", ", TRUE, _xlfn._xlws.FILTER(
    INDEX(Input!$D$2:$AC$500,,MATCH("Disk Capacity",Input!$D$1:$AC$1,0)),
    Input!$J$2:$J$500=B172
)), "")</f>
        <v/>
      </c>
      <c r="Q172" s="32" t="e">
        <f t="shared" si="7"/>
        <v>#N/A</v>
      </c>
      <c r="R172" s="42" t="e">
        <f>_xlfn.LET(_xlpm.Result,INDEX(Input!$D$2:$AC$500,
       MATCH(B172, Input!$J$2:$J$500, 0),
       MATCH("Capacity", Input!$D$1:$AC$1, 0)),IF(_xlpm.Result="","",_xlpm.Result))</f>
        <v>#N/A</v>
      </c>
      <c r="S172" s="42" t="e" cm="1">
        <f t="array" ref="S172">_xlfn.TEXTSPLIT(R172," / ", ,TRUE,0,)</f>
        <v>#N/A</v>
      </c>
      <c r="T172" s="42"/>
      <c r="U172" s="42" t="str" cm="1">
        <f t="array" ref="U172">IFERROR(_xlfn.IFS(
S172="","",
--S172&lt;55,"Battery Defect",
--S172&lt;=69,"Battery D",
--S172&lt;=80,"Battery C",
--S172&gt;80,""
),"")</f>
        <v/>
      </c>
      <c r="V172" s="42" t="str" cm="1">
        <f t="array" ref="V172">IFERROR(_xlfn.IFS(
T172="","",
--T172&lt;55,"Battery Defect",
--T172&lt;=69,"Battery D",
--T172&lt;=80,"Battery C",
--T172&gt;80,""
),"")</f>
        <v/>
      </c>
      <c r="W172" s="42" t="str" cm="1">
        <f t="array" ref="W172:AD172">IFERROR(IF(_xlfn.XLOOKUP(B172,Input!J:J,Input!N:U)=0,"",
          _xlfn.XLOOKUP(B172,Input!J:J,Input!N:U)),"")</f>
        <v/>
      </c>
      <c r="X172" s="42" t="str">
        <v/>
      </c>
      <c r="Y172" s="42" t="str">
        <v/>
      </c>
      <c r="Z172" s="42" t="str">
        <v/>
      </c>
      <c r="AA172" s="42" t="str">
        <v/>
      </c>
      <c r="AB172" s="42" t="str">
        <v/>
      </c>
      <c r="AC172" s="42" t="str">
        <v/>
      </c>
      <c r="AD172" s="42" t="str">
        <v/>
      </c>
      <c r="AE172" s="32" t="str">
        <f t="shared" si="6"/>
        <v/>
      </c>
      <c r="AF172" s="32" t="str">
        <f>_xlfn.XLOOKUP(B:B,Disk_Pivot!G:G,Disk_Pivot!I:I)</f>
        <v>Yes x2</v>
      </c>
      <c r="AG172" s="32" t="str">
        <f>_xlfn.XLOOKUP(B172,Disk_Pivot!G:G,Disk_Pivot!N:N)</f>
        <v>Pass, Fail</v>
      </c>
      <c r="AH172" s="32"/>
      <c r="AI172" s="32"/>
      <c r="AJ172" s="32"/>
      <c r="AK172" s="32"/>
      <c r="AL172" s="32"/>
      <c r="AM172" s="32"/>
    </row>
    <row r="173" spans="1:39">
      <c r="A173" s="32" t="str">
        <f>_xlfn.XLOOKUP(B173,Input!J:J,Input!G:G)&amp;""</f>
        <v/>
      </c>
      <c r="B173" s="32"/>
      <c r="C173" s="32" t="str">
        <f>_xlfn.XLOOKUP(B173,Input!J:J,Input!H:H)&amp;""</f>
        <v/>
      </c>
      <c r="D173" s="42">
        <f>_xlfn.XLOOKUP(B173,Input!J:J,Input!F:F)</f>
        <v>0</v>
      </c>
      <c r="E173" s="32">
        <f>_xlfn.XLOOKUP(D173,Models!H:H,Models!G:G,D173)</f>
        <v>0</v>
      </c>
      <c r="F173" s="32">
        <f>_xlfn.XLOOKUP(B173,Input!J:J,Input!E:E)</f>
        <v>0</v>
      </c>
      <c r="G173" s="32">
        <f>IF(F173="LENOVO",_xlfn.XLOOKUP(B173,Input!J:J,Input!K:K),_xlfn.XLOOKUP(B173,Input!J:J,Input!L:L))</f>
        <v>0</v>
      </c>
      <c r="H173" s="32"/>
      <c r="I173" s="32"/>
      <c r="J173" s="32">
        <f>_xlfn.XLOOKUP(B173,CPU_Formula!A:A,CPU_Formula!I:I)</f>
        <v>0</v>
      </c>
      <c r="K173" s="42" t="e">
        <f>INDEX(Input!$D$2:$AC$500,
       MATCH(B173, Input!$J$2:$J$500, 0),
       MATCH("Total Memory", Input!$D$1:$AC$1, 0))</f>
        <v>#N/A</v>
      </c>
      <c r="L173" s="42" t="e">
        <f>INDEX(Input!$D$2:$AC$500,
       MATCH(B173, Input!$J$2:$J$500, 0),
       MATCH("Memory Type", Input!$D$1:$AC$1, 0))</f>
        <v>#N/A</v>
      </c>
      <c r="M173" s="42" t="str" cm="1">
        <f t="array" ref="M173">IFERROR(_xlfn.FILTERXML("&lt;t&gt;&lt;s&gt;" &amp; SUBSTITUTE(L173," / ","&lt;/s&gt;&lt;s&gt;") &amp; "&lt;/s&gt;&lt;/t&gt;","(//s[contains(.,'DDR')])[1]"),"")</f>
        <v/>
      </c>
      <c r="N173" s="32" t="e">
        <f t="shared" si="8"/>
        <v>#N/A</v>
      </c>
      <c r="O173" s="42" t="e">
        <f>INDEX(Input!$D$2:$AC$500,
       MATCH(B173, Input!$J$2:$J$500, 0),
       MATCH("Disk Interface Type", Input!$D$1:$AC$1, 0))</f>
        <v>#N/A</v>
      </c>
      <c r="P173" s="42" t="str" cm="1">
        <f t="array" ref="P173">IFERROR(_xlfn.TEXTJOIN(", ", TRUE, _xlfn._xlws.FILTER(
    INDEX(Input!$D$2:$AC$500,,MATCH("Disk Capacity",Input!$D$1:$AC$1,0)),
    Input!$J$2:$J$500=B173
)), "")</f>
        <v/>
      </c>
      <c r="Q173" s="32" t="e">
        <f t="shared" si="7"/>
        <v>#N/A</v>
      </c>
      <c r="R173" s="42" t="e">
        <f>_xlfn.LET(_xlpm.Result,INDEX(Input!$D$2:$AC$500,
       MATCH(B173, Input!$J$2:$J$500, 0),
       MATCH("Capacity", Input!$D$1:$AC$1, 0)),IF(_xlpm.Result="","",_xlpm.Result))</f>
        <v>#N/A</v>
      </c>
      <c r="S173" s="42" t="e" cm="1">
        <f t="array" ref="S173">_xlfn.TEXTSPLIT(R173," / ", ,TRUE,0,)</f>
        <v>#N/A</v>
      </c>
      <c r="T173" s="42"/>
      <c r="U173" s="42" t="str" cm="1">
        <f t="array" ref="U173">IFERROR(_xlfn.IFS(
S173="","",
--S173&lt;55,"Battery Defect",
--S173&lt;=69,"Battery D",
--S173&lt;=80,"Battery C",
--S173&gt;80,""
),"")</f>
        <v/>
      </c>
      <c r="V173" s="42" t="str" cm="1">
        <f t="array" ref="V173">IFERROR(_xlfn.IFS(
T173="","",
--T173&lt;55,"Battery Defect",
--T173&lt;=69,"Battery D",
--T173&lt;=80,"Battery C",
--T173&gt;80,""
),"")</f>
        <v/>
      </c>
      <c r="W173" s="42" t="str" cm="1">
        <f t="array" ref="W173:AD173">IFERROR(IF(_xlfn.XLOOKUP(B173,Input!J:J,Input!N:U)=0,"",
          _xlfn.XLOOKUP(B173,Input!J:J,Input!N:U)),"")</f>
        <v/>
      </c>
      <c r="X173" s="42" t="str">
        <v/>
      </c>
      <c r="Y173" s="42" t="str">
        <v/>
      </c>
      <c r="Z173" s="42" t="str">
        <v/>
      </c>
      <c r="AA173" s="42" t="str">
        <v/>
      </c>
      <c r="AB173" s="42" t="str">
        <v/>
      </c>
      <c r="AC173" s="42" t="str">
        <v/>
      </c>
      <c r="AD173" s="42" t="str">
        <v/>
      </c>
      <c r="AE173" s="32" t="str">
        <f t="shared" si="6"/>
        <v/>
      </c>
      <c r="AF173" s="32" t="str">
        <f>_xlfn.XLOOKUP(B:B,Disk_Pivot!G:G,Disk_Pivot!I:I)</f>
        <v>Yes x2</v>
      </c>
      <c r="AG173" s="32" t="str">
        <f>_xlfn.XLOOKUP(B173,Disk_Pivot!G:G,Disk_Pivot!N:N)</f>
        <v>Pass, Fail</v>
      </c>
      <c r="AH173" s="32"/>
      <c r="AI173" s="32"/>
      <c r="AJ173" s="32"/>
      <c r="AK173" s="32"/>
      <c r="AL173" s="32"/>
      <c r="AM173" s="32"/>
    </row>
    <row r="174" spans="1:39">
      <c r="A174" s="32" t="str">
        <f>_xlfn.XLOOKUP(B174,Input!J:J,Input!G:G)&amp;""</f>
        <v/>
      </c>
      <c r="B174" s="32"/>
      <c r="C174" s="32" t="str">
        <f>_xlfn.XLOOKUP(B174,Input!J:J,Input!H:H)&amp;""</f>
        <v/>
      </c>
      <c r="D174" s="42">
        <f>_xlfn.XLOOKUP(B174,Input!J:J,Input!F:F)</f>
        <v>0</v>
      </c>
      <c r="E174" s="32">
        <f>_xlfn.XLOOKUP(D174,Models!H:H,Models!G:G,D174)</f>
        <v>0</v>
      </c>
      <c r="F174" s="32">
        <f>_xlfn.XLOOKUP(B174,Input!J:J,Input!E:E)</f>
        <v>0</v>
      </c>
      <c r="G174" s="32">
        <f>IF(F174="LENOVO",_xlfn.XLOOKUP(B174,Input!J:J,Input!K:K),_xlfn.XLOOKUP(B174,Input!J:J,Input!L:L))</f>
        <v>0</v>
      </c>
      <c r="H174" s="32"/>
      <c r="I174" s="32"/>
      <c r="J174" s="32">
        <f>_xlfn.XLOOKUP(B174,CPU_Formula!A:A,CPU_Formula!I:I)</f>
        <v>0</v>
      </c>
      <c r="K174" s="42" t="e">
        <f>INDEX(Input!$D$2:$AC$500,
       MATCH(B174, Input!$J$2:$J$500, 0),
       MATCH("Total Memory", Input!$D$1:$AC$1, 0))</f>
        <v>#N/A</v>
      </c>
      <c r="L174" s="42" t="e">
        <f>INDEX(Input!$D$2:$AC$500,
       MATCH(B174, Input!$J$2:$J$500, 0),
       MATCH("Memory Type", Input!$D$1:$AC$1, 0))</f>
        <v>#N/A</v>
      </c>
      <c r="M174" s="42" t="str" cm="1">
        <f t="array" ref="M174">IFERROR(_xlfn.FILTERXML("&lt;t&gt;&lt;s&gt;" &amp; SUBSTITUTE(L174," / ","&lt;/s&gt;&lt;s&gt;") &amp; "&lt;/s&gt;&lt;/t&gt;","(//s[contains(.,'DDR')])[1]"),"")</f>
        <v/>
      </c>
      <c r="N174" s="32" t="e">
        <f t="shared" si="8"/>
        <v>#N/A</v>
      </c>
      <c r="O174" s="42" t="e">
        <f>INDEX(Input!$D$2:$AC$500,
       MATCH(B174, Input!$J$2:$J$500, 0),
       MATCH("Disk Interface Type", Input!$D$1:$AC$1, 0))</f>
        <v>#N/A</v>
      </c>
      <c r="P174" s="42" t="str" cm="1">
        <f t="array" ref="P174">IFERROR(_xlfn.TEXTJOIN(", ", TRUE, _xlfn._xlws.FILTER(
    INDEX(Input!$D$2:$AC$500,,MATCH("Disk Capacity",Input!$D$1:$AC$1,0)),
    Input!$J$2:$J$500=B174
)), "")</f>
        <v/>
      </c>
      <c r="Q174" s="32" t="e">
        <f t="shared" si="7"/>
        <v>#N/A</v>
      </c>
      <c r="R174" s="42" t="e">
        <f>_xlfn.LET(_xlpm.Result,INDEX(Input!$D$2:$AC$500,
       MATCH(B174, Input!$J$2:$J$500, 0),
       MATCH("Capacity", Input!$D$1:$AC$1, 0)),IF(_xlpm.Result="","",_xlpm.Result))</f>
        <v>#N/A</v>
      </c>
      <c r="S174" s="42" t="e" cm="1">
        <f t="array" ref="S174">_xlfn.TEXTSPLIT(R174," / ", ,TRUE,0,)</f>
        <v>#N/A</v>
      </c>
      <c r="T174" s="42"/>
      <c r="U174" s="42" t="str" cm="1">
        <f t="array" ref="U174">IFERROR(_xlfn.IFS(
S174="","",
--S174&lt;55,"Battery Defect",
--S174&lt;=69,"Battery D",
--S174&lt;=80,"Battery C",
--S174&gt;80,""
),"")</f>
        <v/>
      </c>
      <c r="V174" s="42" t="str" cm="1">
        <f t="array" ref="V174">IFERROR(_xlfn.IFS(
T174="","",
--T174&lt;55,"Battery Defect",
--T174&lt;=69,"Battery D",
--T174&lt;=80,"Battery C",
--T174&gt;80,""
),"")</f>
        <v/>
      </c>
      <c r="W174" s="42" t="str" cm="1">
        <f t="array" ref="W174:AD174">IFERROR(IF(_xlfn.XLOOKUP(B174,Input!J:J,Input!N:U)=0,"",
          _xlfn.XLOOKUP(B174,Input!J:J,Input!N:U)),"")</f>
        <v/>
      </c>
      <c r="X174" s="42" t="str">
        <v/>
      </c>
      <c r="Y174" s="42" t="str">
        <v/>
      </c>
      <c r="Z174" s="42" t="str">
        <v/>
      </c>
      <c r="AA174" s="42" t="str">
        <v/>
      </c>
      <c r="AB174" s="42" t="str">
        <v/>
      </c>
      <c r="AC174" s="42" t="str">
        <v/>
      </c>
      <c r="AD174" s="42" t="str">
        <v/>
      </c>
      <c r="AE174" s="32" t="str">
        <f t="shared" si="6"/>
        <v/>
      </c>
      <c r="AF174" s="32" t="str">
        <f>_xlfn.XLOOKUP(B:B,Disk_Pivot!G:G,Disk_Pivot!I:I)</f>
        <v>Yes x2</v>
      </c>
      <c r="AG174" s="32" t="str">
        <f>_xlfn.XLOOKUP(B174,Disk_Pivot!G:G,Disk_Pivot!N:N)</f>
        <v>Pass, Fail</v>
      </c>
      <c r="AH174" s="32"/>
      <c r="AI174" s="32"/>
      <c r="AJ174" s="32"/>
      <c r="AK174" s="32"/>
      <c r="AL174" s="32"/>
      <c r="AM174" s="32"/>
    </row>
    <row r="175" spans="1:39">
      <c r="A175" s="32" t="str">
        <f>_xlfn.XLOOKUP(B175,Input!J:J,Input!G:G)&amp;""</f>
        <v/>
      </c>
      <c r="B175" s="32"/>
      <c r="C175" s="32" t="str">
        <f>_xlfn.XLOOKUP(B175,Input!J:J,Input!H:H)&amp;""</f>
        <v/>
      </c>
      <c r="D175" s="42">
        <f>_xlfn.XLOOKUP(B175,Input!J:J,Input!F:F)</f>
        <v>0</v>
      </c>
      <c r="E175" s="32">
        <f>_xlfn.XLOOKUP(D175,Models!H:H,Models!G:G,D175)</f>
        <v>0</v>
      </c>
      <c r="F175" s="32">
        <f>_xlfn.XLOOKUP(B175,Input!J:J,Input!E:E)</f>
        <v>0</v>
      </c>
      <c r="G175" s="32">
        <f>IF(F175="LENOVO",_xlfn.XLOOKUP(B175,Input!J:J,Input!K:K),_xlfn.XLOOKUP(B175,Input!J:J,Input!L:L))</f>
        <v>0</v>
      </c>
      <c r="H175" s="32"/>
      <c r="I175" s="32"/>
      <c r="J175" s="32">
        <f>_xlfn.XLOOKUP(B175,CPU_Formula!A:A,CPU_Formula!I:I)</f>
        <v>0</v>
      </c>
      <c r="K175" s="42" t="e">
        <f>INDEX(Input!$D$2:$AC$500,
       MATCH(B175, Input!$J$2:$J$500, 0),
       MATCH("Total Memory", Input!$D$1:$AC$1, 0))</f>
        <v>#N/A</v>
      </c>
      <c r="L175" s="42" t="e">
        <f>INDEX(Input!$D$2:$AC$500,
       MATCH(B175, Input!$J$2:$J$500, 0),
       MATCH("Memory Type", Input!$D$1:$AC$1, 0))</f>
        <v>#N/A</v>
      </c>
      <c r="M175" s="42" t="str" cm="1">
        <f t="array" ref="M175">IFERROR(_xlfn.FILTERXML("&lt;t&gt;&lt;s&gt;" &amp; SUBSTITUTE(L175," / ","&lt;/s&gt;&lt;s&gt;") &amp; "&lt;/s&gt;&lt;/t&gt;","(//s[contains(.,'DDR')])[1]"),"")</f>
        <v/>
      </c>
      <c r="N175" s="32" t="e">
        <f t="shared" si="8"/>
        <v>#N/A</v>
      </c>
      <c r="O175" s="42" t="e">
        <f>INDEX(Input!$D$2:$AC$500,
       MATCH(B175, Input!$J$2:$J$500, 0),
       MATCH("Disk Interface Type", Input!$D$1:$AC$1, 0))</f>
        <v>#N/A</v>
      </c>
      <c r="P175" s="42" t="str" cm="1">
        <f t="array" ref="P175">IFERROR(_xlfn.TEXTJOIN(", ", TRUE, _xlfn._xlws.FILTER(
    INDEX(Input!$D$2:$AC$500,,MATCH("Disk Capacity",Input!$D$1:$AC$1,0)),
    Input!$J$2:$J$500=B175
)), "")</f>
        <v/>
      </c>
      <c r="Q175" s="32" t="e">
        <f t="shared" si="7"/>
        <v>#N/A</v>
      </c>
      <c r="R175" s="42" t="e">
        <f>_xlfn.LET(_xlpm.Result,INDEX(Input!$D$2:$AC$500,
       MATCH(B175, Input!$J$2:$J$500, 0),
       MATCH("Capacity", Input!$D$1:$AC$1, 0)),IF(_xlpm.Result="","",_xlpm.Result))</f>
        <v>#N/A</v>
      </c>
      <c r="S175" s="42" t="e" cm="1">
        <f t="array" ref="S175">_xlfn.TEXTSPLIT(R175," / ", ,TRUE,0,)</f>
        <v>#N/A</v>
      </c>
      <c r="T175" s="42"/>
      <c r="U175" s="42" t="str" cm="1">
        <f t="array" ref="U175">IFERROR(_xlfn.IFS(
S175="","",
--S175&lt;55,"Battery Defect",
--S175&lt;=69,"Battery D",
--S175&lt;=80,"Battery C",
--S175&gt;80,""
),"")</f>
        <v/>
      </c>
      <c r="V175" s="42" t="str" cm="1">
        <f t="array" ref="V175">IFERROR(_xlfn.IFS(
T175="","",
--T175&lt;55,"Battery Defect",
--T175&lt;=69,"Battery D",
--T175&lt;=80,"Battery C",
--T175&gt;80,""
),"")</f>
        <v/>
      </c>
      <c r="W175" s="42" t="str" cm="1">
        <f t="array" ref="W175:AD175">IFERROR(IF(_xlfn.XLOOKUP(B175,Input!J:J,Input!N:U)=0,"",
          _xlfn.XLOOKUP(B175,Input!J:J,Input!N:U)),"")</f>
        <v/>
      </c>
      <c r="X175" s="42" t="str">
        <v/>
      </c>
      <c r="Y175" s="42" t="str">
        <v/>
      </c>
      <c r="Z175" s="42" t="str">
        <v/>
      </c>
      <c r="AA175" s="42" t="str">
        <v/>
      </c>
      <c r="AB175" s="42" t="str">
        <v/>
      </c>
      <c r="AC175" s="42" t="str">
        <v/>
      </c>
      <c r="AD175" s="42" t="str">
        <v/>
      </c>
      <c r="AE175" s="32" t="str">
        <f t="shared" si="6"/>
        <v/>
      </c>
      <c r="AF175" s="32" t="str">
        <f>_xlfn.XLOOKUP(B:B,Disk_Pivot!G:G,Disk_Pivot!I:I)</f>
        <v>Yes x2</v>
      </c>
      <c r="AG175" s="32" t="str">
        <f>_xlfn.XLOOKUP(B175,Disk_Pivot!G:G,Disk_Pivot!N:N)</f>
        <v>Pass, Fail</v>
      </c>
      <c r="AH175" s="32"/>
      <c r="AI175" s="32"/>
      <c r="AJ175" s="32"/>
      <c r="AK175" s="32"/>
      <c r="AL175" s="32"/>
      <c r="AM175" s="32"/>
    </row>
    <row r="176" spans="1:39">
      <c r="A176" s="32" t="str">
        <f>_xlfn.XLOOKUP(B176,Input!J:J,Input!G:G)&amp;""</f>
        <v/>
      </c>
      <c r="B176" s="32"/>
      <c r="C176" s="32" t="str">
        <f>_xlfn.XLOOKUP(B176,Input!J:J,Input!H:H)&amp;""</f>
        <v/>
      </c>
      <c r="D176" s="42">
        <f>_xlfn.XLOOKUP(B176,Input!J:J,Input!F:F)</f>
        <v>0</v>
      </c>
      <c r="E176" s="32">
        <f>_xlfn.XLOOKUP(D176,Models!H:H,Models!G:G,D176)</f>
        <v>0</v>
      </c>
      <c r="F176" s="32">
        <f>_xlfn.XLOOKUP(B176,Input!J:J,Input!E:E)</f>
        <v>0</v>
      </c>
      <c r="G176" s="32">
        <f>IF(F176="LENOVO",_xlfn.XLOOKUP(B176,Input!J:J,Input!K:K),_xlfn.XLOOKUP(B176,Input!J:J,Input!L:L))</f>
        <v>0</v>
      </c>
      <c r="H176" s="32"/>
      <c r="I176" s="32"/>
      <c r="J176" s="32">
        <f>_xlfn.XLOOKUP(B176,CPU_Formula!A:A,CPU_Formula!I:I)</f>
        <v>0</v>
      </c>
      <c r="K176" s="42" t="e">
        <f>INDEX(Input!$D$2:$AC$500,
       MATCH(B176, Input!$J$2:$J$500, 0),
       MATCH("Total Memory", Input!$D$1:$AC$1, 0))</f>
        <v>#N/A</v>
      </c>
      <c r="L176" s="42" t="e">
        <f>INDEX(Input!$D$2:$AC$500,
       MATCH(B176, Input!$J$2:$J$500, 0),
       MATCH("Memory Type", Input!$D$1:$AC$1, 0))</f>
        <v>#N/A</v>
      </c>
      <c r="M176" s="42" t="str" cm="1">
        <f t="array" ref="M176">IFERROR(_xlfn.FILTERXML("&lt;t&gt;&lt;s&gt;" &amp; SUBSTITUTE(L176," / ","&lt;/s&gt;&lt;s&gt;") &amp; "&lt;/s&gt;&lt;/t&gt;","(//s[contains(.,'DDR')])[1]"),"")</f>
        <v/>
      </c>
      <c r="N176" s="32" t="e">
        <f t="shared" si="8"/>
        <v>#N/A</v>
      </c>
      <c r="O176" s="42" t="e">
        <f>INDEX(Input!$D$2:$AC$500,
       MATCH(B176, Input!$J$2:$J$500, 0),
       MATCH("Disk Interface Type", Input!$D$1:$AC$1, 0))</f>
        <v>#N/A</v>
      </c>
      <c r="P176" s="42" t="str" cm="1">
        <f t="array" ref="P176">IFERROR(_xlfn.TEXTJOIN(", ", TRUE, _xlfn._xlws.FILTER(
    INDEX(Input!$D$2:$AC$500,,MATCH("Disk Capacity",Input!$D$1:$AC$1,0)),
    Input!$J$2:$J$500=B176
)), "")</f>
        <v/>
      </c>
      <c r="Q176" s="32" t="e">
        <f t="shared" si="7"/>
        <v>#N/A</v>
      </c>
      <c r="R176" s="42" t="e">
        <f>_xlfn.LET(_xlpm.Result,INDEX(Input!$D$2:$AC$500,
       MATCH(B176, Input!$J$2:$J$500, 0),
       MATCH("Capacity", Input!$D$1:$AC$1, 0)),IF(_xlpm.Result="","",_xlpm.Result))</f>
        <v>#N/A</v>
      </c>
      <c r="S176" s="42" t="e" cm="1">
        <f t="array" ref="S176">_xlfn.TEXTSPLIT(R176," / ", ,TRUE,0,)</f>
        <v>#N/A</v>
      </c>
      <c r="T176" s="42"/>
      <c r="U176" s="42" t="str" cm="1">
        <f t="array" ref="U176">IFERROR(_xlfn.IFS(
S176="","",
--S176&lt;55,"Battery Defect",
--S176&lt;=69,"Battery D",
--S176&lt;=80,"Battery C",
--S176&gt;80,""
),"")</f>
        <v/>
      </c>
      <c r="V176" s="42" t="str" cm="1">
        <f t="array" ref="V176">IFERROR(_xlfn.IFS(
T176="","",
--T176&lt;55,"Battery Defect",
--T176&lt;=69,"Battery D",
--T176&lt;=80,"Battery C",
--T176&gt;80,""
),"")</f>
        <v/>
      </c>
      <c r="W176" s="42" t="str" cm="1">
        <f t="array" ref="W176:AD176">IFERROR(IF(_xlfn.XLOOKUP(B176,Input!J:J,Input!N:U)=0,"",
          _xlfn.XLOOKUP(B176,Input!J:J,Input!N:U)),"")</f>
        <v/>
      </c>
      <c r="X176" s="42" t="str">
        <v/>
      </c>
      <c r="Y176" s="42" t="str">
        <v/>
      </c>
      <c r="Z176" s="42" t="str">
        <v/>
      </c>
      <c r="AA176" s="42" t="str">
        <v/>
      </c>
      <c r="AB176" s="42" t="str">
        <v/>
      </c>
      <c r="AC176" s="42" t="str">
        <v/>
      </c>
      <c r="AD176" s="42" t="str">
        <v/>
      </c>
      <c r="AE176" s="32" t="str">
        <f t="shared" si="6"/>
        <v/>
      </c>
      <c r="AF176" s="32" t="str">
        <f>_xlfn.XLOOKUP(B:B,Disk_Pivot!G:G,Disk_Pivot!I:I)</f>
        <v>Yes x2</v>
      </c>
      <c r="AG176" s="32" t="str">
        <f>_xlfn.XLOOKUP(B176,Disk_Pivot!G:G,Disk_Pivot!N:N)</f>
        <v>Pass, Fail</v>
      </c>
      <c r="AH176" s="32"/>
      <c r="AI176" s="32"/>
      <c r="AJ176" s="32"/>
      <c r="AK176" s="32"/>
      <c r="AL176" s="32"/>
      <c r="AM176" s="32"/>
    </row>
    <row r="177" spans="1:39">
      <c r="A177" s="32" t="str">
        <f>_xlfn.XLOOKUP(B177,Input!J:J,Input!G:G)&amp;""</f>
        <v/>
      </c>
      <c r="B177" s="32"/>
      <c r="C177" s="32" t="str">
        <f>_xlfn.XLOOKUP(B177,Input!J:J,Input!H:H)&amp;""</f>
        <v/>
      </c>
      <c r="D177" s="42">
        <f>_xlfn.XLOOKUP(B177,Input!J:J,Input!F:F)</f>
        <v>0</v>
      </c>
      <c r="E177" s="32">
        <f>_xlfn.XLOOKUP(D177,Models!H:H,Models!G:G,D177)</f>
        <v>0</v>
      </c>
      <c r="F177" s="32">
        <f>_xlfn.XLOOKUP(B177,Input!J:J,Input!E:E)</f>
        <v>0</v>
      </c>
      <c r="G177" s="32">
        <f>IF(F177="LENOVO",_xlfn.XLOOKUP(B177,Input!J:J,Input!K:K),_xlfn.XLOOKUP(B177,Input!J:J,Input!L:L))</f>
        <v>0</v>
      </c>
      <c r="H177" s="32"/>
      <c r="I177" s="32"/>
      <c r="J177" s="32">
        <f>_xlfn.XLOOKUP(B177,CPU_Formula!A:A,CPU_Formula!I:I)</f>
        <v>0</v>
      </c>
      <c r="K177" s="42" t="e">
        <f>INDEX(Input!$D$2:$AC$500,
       MATCH(B177, Input!$J$2:$J$500, 0),
       MATCH("Total Memory", Input!$D$1:$AC$1, 0))</f>
        <v>#N/A</v>
      </c>
      <c r="L177" s="42" t="e">
        <f>INDEX(Input!$D$2:$AC$500,
       MATCH(B177, Input!$J$2:$J$500, 0),
       MATCH("Memory Type", Input!$D$1:$AC$1, 0))</f>
        <v>#N/A</v>
      </c>
      <c r="M177" s="42" t="str" cm="1">
        <f t="array" ref="M177">IFERROR(_xlfn.FILTERXML("&lt;t&gt;&lt;s&gt;" &amp; SUBSTITUTE(L177," / ","&lt;/s&gt;&lt;s&gt;") &amp; "&lt;/s&gt;&lt;/t&gt;","(//s[contains(.,'DDR')])[1]"),"")</f>
        <v/>
      </c>
      <c r="N177" s="32" t="e">
        <f t="shared" si="8"/>
        <v>#N/A</v>
      </c>
      <c r="O177" s="42" t="e">
        <f>INDEX(Input!$D$2:$AC$500,
       MATCH(B177, Input!$J$2:$J$500, 0),
       MATCH("Disk Interface Type", Input!$D$1:$AC$1, 0))</f>
        <v>#N/A</v>
      </c>
      <c r="P177" s="42" t="str" cm="1">
        <f t="array" ref="P177">IFERROR(_xlfn.TEXTJOIN(", ", TRUE, _xlfn._xlws.FILTER(
    INDEX(Input!$D$2:$AC$500,,MATCH("Disk Capacity",Input!$D$1:$AC$1,0)),
    Input!$J$2:$J$500=B177
)), "")</f>
        <v/>
      </c>
      <c r="Q177" s="32" t="e">
        <f t="shared" si="7"/>
        <v>#N/A</v>
      </c>
      <c r="R177" s="42" t="e">
        <f>_xlfn.LET(_xlpm.Result,INDEX(Input!$D$2:$AC$500,
       MATCH(B177, Input!$J$2:$J$500, 0),
       MATCH("Capacity", Input!$D$1:$AC$1, 0)),IF(_xlpm.Result="","",_xlpm.Result))</f>
        <v>#N/A</v>
      </c>
      <c r="S177" s="42" t="e" cm="1">
        <f t="array" ref="S177">_xlfn.TEXTSPLIT(R177," / ", ,TRUE,0,)</f>
        <v>#N/A</v>
      </c>
      <c r="T177" s="42"/>
      <c r="U177" s="42" t="str" cm="1">
        <f t="array" ref="U177">IFERROR(_xlfn.IFS(
S177="","",
--S177&lt;55,"Battery Defect",
--S177&lt;=69,"Battery D",
--S177&lt;=80,"Battery C",
--S177&gt;80,""
),"")</f>
        <v/>
      </c>
      <c r="V177" s="42" t="str" cm="1">
        <f t="array" ref="V177">IFERROR(_xlfn.IFS(
T177="","",
--T177&lt;55,"Battery Defect",
--T177&lt;=69,"Battery D",
--T177&lt;=80,"Battery C",
--T177&gt;80,""
),"")</f>
        <v/>
      </c>
      <c r="W177" s="42" t="str" cm="1">
        <f t="array" ref="W177:AD177">IFERROR(IF(_xlfn.XLOOKUP(B177,Input!J:J,Input!N:U)=0,"",
          _xlfn.XLOOKUP(B177,Input!J:J,Input!N:U)),"")</f>
        <v/>
      </c>
      <c r="X177" s="42" t="str">
        <v/>
      </c>
      <c r="Y177" s="42" t="str">
        <v/>
      </c>
      <c r="Z177" s="42" t="str">
        <v/>
      </c>
      <c r="AA177" s="42" t="str">
        <v/>
      </c>
      <c r="AB177" s="42" t="str">
        <v/>
      </c>
      <c r="AC177" s="42" t="str">
        <v/>
      </c>
      <c r="AD177" s="42" t="str">
        <v/>
      </c>
      <c r="AE177" s="32" t="str">
        <f t="shared" si="6"/>
        <v/>
      </c>
      <c r="AF177" s="32" t="str">
        <f>_xlfn.XLOOKUP(B:B,Disk_Pivot!G:G,Disk_Pivot!I:I)</f>
        <v>Yes x2</v>
      </c>
      <c r="AG177" s="32" t="str">
        <f>_xlfn.XLOOKUP(B177,Disk_Pivot!G:G,Disk_Pivot!N:N)</f>
        <v>Pass, Fail</v>
      </c>
      <c r="AH177" s="32"/>
      <c r="AI177" s="32"/>
      <c r="AJ177" s="32"/>
      <c r="AK177" s="32"/>
      <c r="AL177" s="32"/>
      <c r="AM177" s="32"/>
    </row>
    <row r="178" spans="1:39">
      <c r="A178" s="32" t="str">
        <f>_xlfn.XLOOKUP(B178,Input!J:J,Input!G:G)&amp;""</f>
        <v/>
      </c>
      <c r="B178" s="32"/>
      <c r="C178" s="32" t="str">
        <f>_xlfn.XLOOKUP(B178,Input!J:J,Input!H:H)&amp;""</f>
        <v/>
      </c>
      <c r="D178" s="42">
        <f>_xlfn.XLOOKUP(B178,Input!J:J,Input!F:F)</f>
        <v>0</v>
      </c>
      <c r="E178" s="32">
        <f>_xlfn.XLOOKUP(D178,Models!H:H,Models!G:G,D178)</f>
        <v>0</v>
      </c>
      <c r="F178" s="32">
        <f>_xlfn.XLOOKUP(B178,Input!J:J,Input!E:E)</f>
        <v>0</v>
      </c>
      <c r="G178" s="32">
        <f>IF(F178="LENOVO",_xlfn.XLOOKUP(B178,Input!J:J,Input!K:K),_xlfn.XLOOKUP(B178,Input!J:J,Input!L:L))</f>
        <v>0</v>
      </c>
      <c r="H178" s="32"/>
      <c r="I178" s="32"/>
      <c r="J178" s="32">
        <f>_xlfn.XLOOKUP(B178,CPU_Formula!A:A,CPU_Formula!I:I)</f>
        <v>0</v>
      </c>
      <c r="K178" s="42" t="e">
        <f>INDEX(Input!$D$2:$AC$500,
       MATCH(B178, Input!$J$2:$J$500, 0),
       MATCH("Total Memory", Input!$D$1:$AC$1, 0))</f>
        <v>#N/A</v>
      </c>
      <c r="L178" s="42" t="e">
        <f>INDEX(Input!$D$2:$AC$500,
       MATCH(B178, Input!$J$2:$J$500, 0),
       MATCH("Memory Type", Input!$D$1:$AC$1, 0))</f>
        <v>#N/A</v>
      </c>
      <c r="M178" s="42" t="str" cm="1">
        <f t="array" ref="M178">IFERROR(_xlfn.FILTERXML("&lt;t&gt;&lt;s&gt;" &amp; SUBSTITUTE(L178," / ","&lt;/s&gt;&lt;s&gt;") &amp; "&lt;/s&gt;&lt;/t&gt;","(//s[contains(.,'DDR')])[1]"),"")</f>
        <v/>
      </c>
      <c r="N178" s="32" t="e">
        <f t="shared" si="8"/>
        <v>#N/A</v>
      </c>
      <c r="O178" s="42" t="e">
        <f>INDEX(Input!$D$2:$AC$500,
       MATCH(B178, Input!$J$2:$J$500, 0),
       MATCH("Disk Interface Type", Input!$D$1:$AC$1, 0))</f>
        <v>#N/A</v>
      </c>
      <c r="P178" s="42" t="str" cm="1">
        <f t="array" ref="P178">IFERROR(_xlfn.TEXTJOIN(", ", TRUE, _xlfn._xlws.FILTER(
    INDEX(Input!$D$2:$AC$500,,MATCH("Disk Capacity",Input!$D$1:$AC$1,0)),
    Input!$J$2:$J$500=B178
)), "")</f>
        <v/>
      </c>
      <c r="Q178" s="32" t="e">
        <f t="shared" si="7"/>
        <v>#N/A</v>
      </c>
      <c r="R178" s="42" t="e">
        <f>_xlfn.LET(_xlpm.Result,INDEX(Input!$D$2:$AC$500,
       MATCH(B178, Input!$J$2:$J$500, 0),
       MATCH("Capacity", Input!$D$1:$AC$1, 0)),IF(_xlpm.Result="","",_xlpm.Result))</f>
        <v>#N/A</v>
      </c>
      <c r="S178" s="42" t="e" cm="1">
        <f t="array" ref="S178">_xlfn.TEXTSPLIT(R178," / ", ,TRUE,0,)</f>
        <v>#N/A</v>
      </c>
      <c r="T178" s="42"/>
      <c r="U178" s="42" t="str" cm="1">
        <f t="array" ref="U178">IFERROR(_xlfn.IFS(
S178="","",
--S178&lt;55,"Battery Defect",
--S178&lt;=69,"Battery D",
--S178&lt;=80,"Battery C",
--S178&gt;80,""
),"")</f>
        <v/>
      </c>
      <c r="V178" s="42" t="str" cm="1">
        <f t="array" ref="V178">IFERROR(_xlfn.IFS(
T178="","",
--T178&lt;55,"Battery Defect",
--T178&lt;=69,"Battery D",
--T178&lt;=80,"Battery C",
--T178&gt;80,""
),"")</f>
        <v/>
      </c>
      <c r="W178" s="42" t="str" cm="1">
        <f t="array" ref="W178:AD178">IFERROR(IF(_xlfn.XLOOKUP(B178,Input!J:J,Input!N:U)=0,"",
          _xlfn.XLOOKUP(B178,Input!J:J,Input!N:U)),"")</f>
        <v/>
      </c>
      <c r="X178" s="42" t="str">
        <v/>
      </c>
      <c r="Y178" s="42" t="str">
        <v/>
      </c>
      <c r="Z178" s="42" t="str">
        <v/>
      </c>
      <c r="AA178" s="42" t="str">
        <v/>
      </c>
      <c r="AB178" s="42" t="str">
        <v/>
      </c>
      <c r="AC178" s="42" t="str">
        <v/>
      </c>
      <c r="AD178" s="42" t="str">
        <v/>
      </c>
      <c r="AE178" s="32" t="str">
        <f t="shared" si="6"/>
        <v/>
      </c>
      <c r="AF178" s="32" t="str">
        <f>_xlfn.XLOOKUP(B:B,Disk_Pivot!G:G,Disk_Pivot!I:I)</f>
        <v>Yes x2</v>
      </c>
      <c r="AG178" s="32" t="str">
        <f>_xlfn.XLOOKUP(B178,Disk_Pivot!G:G,Disk_Pivot!N:N)</f>
        <v>Pass, Fail</v>
      </c>
      <c r="AH178" s="32"/>
      <c r="AI178" s="32"/>
      <c r="AJ178" s="32"/>
      <c r="AK178" s="32"/>
      <c r="AL178" s="32"/>
      <c r="AM178" s="32"/>
    </row>
    <row r="179" spans="1:39">
      <c r="A179" s="32" t="str">
        <f>_xlfn.XLOOKUP(B179,Input!J:J,Input!G:G)&amp;""</f>
        <v/>
      </c>
      <c r="B179" s="32"/>
      <c r="C179" s="32" t="str">
        <f>_xlfn.XLOOKUP(B179,Input!J:J,Input!H:H)&amp;""</f>
        <v/>
      </c>
      <c r="D179" s="42">
        <f>_xlfn.XLOOKUP(B179,Input!J:J,Input!F:F)</f>
        <v>0</v>
      </c>
      <c r="E179" s="32">
        <f>_xlfn.XLOOKUP(D179,Models!H:H,Models!G:G,D179)</f>
        <v>0</v>
      </c>
      <c r="F179" s="32">
        <f>_xlfn.XLOOKUP(B179,Input!J:J,Input!E:E)</f>
        <v>0</v>
      </c>
      <c r="G179" s="32">
        <f>IF(F179="LENOVO",_xlfn.XLOOKUP(B179,Input!J:J,Input!K:K),_xlfn.XLOOKUP(B179,Input!J:J,Input!L:L))</f>
        <v>0</v>
      </c>
      <c r="H179" s="32"/>
      <c r="I179" s="32"/>
      <c r="J179" s="32">
        <f>_xlfn.XLOOKUP(B179,CPU_Formula!A:A,CPU_Formula!I:I)</f>
        <v>0</v>
      </c>
      <c r="K179" s="42" t="e">
        <f>INDEX(Input!$D$2:$AC$500,
       MATCH(B179, Input!$J$2:$J$500, 0),
       MATCH("Total Memory", Input!$D$1:$AC$1, 0))</f>
        <v>#N/A</v>
      </c>
      <c r="L179" s="42" t="e">
        <f>INDEX(Input!$D$2:$AC$500,
       MATCH(B179, Input!$J$2:$J$500, 0),
       MATCH("Memory Type", Input!$D$1:$AC$1, 0))</f>
        <v>#N/A</v>
      </c>
      <c r="M179" s="42" t="str" cm="1">
        <f t="array" ref="M179">IFERROR(_xlfn.FILTERXML("&lt;t&gt;&lt;s&gt;" &amp; SUBSTITUTE(L179," / ","&lt;/s&gt;&lt;s&gt;") &amp; "&lt;/s&gt;&lt;/t&gt;","(//s[contains(.,'DDR')])[1]"),"")</f>
        <v/>
      </c>
      <c r="N179" s="32" t="e">
        <f t="shared" si="8"/>
        <v>#N/A</v>
      </c>
      <c r="O179" s="42" t="e">
        <f>INDEX(Input!$D$2:$AC$500,
       MATCH(B179, Input!$J$2:$J$500, 0),
       MATCH("Disk Interface Type", Input!$D$1:$AC$1, 0))</f>
        <v>#N/A</v>
      </c>
      <c r="P179" s="42" t="str" cm="1">
        <f t="array" ref="P179">IFERROR(_xlfn.TEXTJOIN(", ", TRUE, _xlfn._xlws.FILTER(
    INDEX(Input!$D$2:$AC$500,,MATCH("Disk Capacity",Input!$D$1:$AC$1,0)),
    Input!$J$2:$J$500=B179
)), "")</f>
        <v/>
      </c>
      <c r="Q179" s="32" t="e">
        <f t="shared" si="7"/>
        <v>#N/A</v>
      </c>
      <c r="R179" s="42" t="e">
        <f>_xlfn.LET(_xlpm.Result,INDEX(Input!$D$2:$AC$500,
       MATCH(B179, Input!$J$2:$J$500, 0),
       MATCH("Capacity", Input!$D$1:$AC$1, 0)),IF(_xlpm.Result="","",_xlpm.Result))</f>
        <v>#N/A</v>
      </c>
      <c r="S179" s="42" t="e" cm="1">
        <f t="array" ref="S179">_xlfn.TEXTSPLIT(R179," / ", ,TRUE,0,)</f>
        <v>#N/A</v>
      </c>
      <c r="T179" s="42"/>
      <c r="U179" s="42" t="str" cm="1">
        <f t="array" ref="U179">IFERROR(_xlfn.IFS(
S179="","",
--S179&lt;55,"Battery Defect",
--S179&lt;=69,"Battery D",
--S179&lt;=80,"Battery C",
--S179&gt;80,""
),"")</f>
        <v/>
      </c>
      <c r="V179" s="42" t="str" cm="1">
        <f t="array" ref="V179">IFERROR(_xlfn.IFS(
T179="","",
--T179&lt;55,"Battery Defect",
--T179&lt;=69,"Battery D",
--T179&lt;=80,"Battery C",
--T179&gt;80,""
),"")</f>
        <v/>
      </c>
      <c r="W179" s="42" t="str" cm="1">
        <f t="array" ref="W179:AD179">IFERROR(IF(_xlfn.XLOOKUP(B179,Input!J:J,Input!N:U)=0,"",
          _xlfn.XLOOKUP(B179,Input!J:J,Input!N:U)),"")</f>
        <v/>
      </c>
      <c r="X179" s="42" t="str">
        <v/>
      </c>
      <c r="Y179" s="42" t="str">
        <v/>
      </c>
      <c r="Z179" s="42" t="str">
        <v/>
      </c>
      <c r="AA179" s="42" t="str">
        <v/>
      </c>
      <c r="AB179" s="42" t="str">
        <v/>
      </c>
      <c r="AC179" s="42" t="str">
        <v/>
      </c>
      <c r="AD179" s="42" t="str">
        <v/>
      </c>
      <c r="AE179" s="32" t="str">
        <f t="shared" si="6"/>
        <v/>
      </c>
      <c r="AF179" s="32" t="str">
        <f>_xlfn.XLOOKUP(B:B,Disk_Pivot!G:G,Disk_Pivot!I:I)</f>
        <v>Yes x2</v>
      </c>
      <c r="AG179" s="32" t="str">
        <f>_xlfn.XLOOKUP(B179,Disk_Pivot!G:G,Disk_Pivot!N:N)</f>
        <v>Pass, Fail</v>
      </c>
      <c r="AH179" s="32"/>
      <c r="AI179" s="32"/>
      <c r="AJ179" s="32"/>
      <c r="AK179" s="32"/>
      <c r="AL179" s="32"/>
      <c r="AM179" s="32"/>
    </row>
    <row r="180" spans="1:39">
      <c r="A180" s="32" t="str">
        <f>_xlfn.XLOOKUP(B180,Input!J:J,Input!G:G)&amp;""</f>
        <v/>
      </c>
      <c r="B180" s="32"/>
      <c r="C180" s="32" t="str">
        <f>_xlfn.XLOOKUP(B180,Input!J:J,Input!H:H)&amp;""</f>
        <v/>
      </c>
      <c r="D180" s="42">
        <f>_xlfn.XLOOKUP(B180,Input!J:J,Input!F:F)</f>
        <v>0</v>
      </c>
      <c r="E180" s="32">
        <f>_xlfn.XLOOKUP(D180,Models!H:H,Models!G:G,D180)</f>
        <v>0</v>
      </c>
      <c r="F180" s="32">
        <f>_xlfn.XLOOKUP(B180,Input!J:J,Input!E:E)</f>
        <v>0</v>
      </c>
      <c r="G180" s="32">
        <f>IF(F180="LENOVO",_xlfn.XLOOKUP(B180,Input!J:J,Input!K:K),_xlfn.XLOOKUP(B180,Input!J:J,Input!L:L))</f>
        <v>0</v>
      </c>
      <c r="H180" s="32"/>
      <c r="I180" s="32"/>
      <c r="J180" s="32">
        <f>_xlfn.XLOOKUP(B180,CPU_Formula!A:A,CPU_Formula!I:I)</f>
        <v>0</v>
      </c>
      <c r="K180" s="42" t="e">
        <f>INDEX(Input!$D$2:$AC$500,
       MATCH(B180, Input!$J$2:$J$500, 0),
       MATCH("Total Memory", Input!$D$1:$AC$1, 0))</f>
        <v>#N/A</v>
      </c>
      <c r="L180" s="42" t="e">
        <f>INDEX(Input!$D$2:$AC$500,
       MATCH(B180, Input!$J$2:$J$500, 0),
       MATCH("Memory Type", Input!$D$1:$AC$1, 0))</f>
        <v>#N/A</v>
      </c>
      <c r="M180" s="42" t="str" cm="1">
        <f t="array" ref="M180">IFERROR(_xlfn.FILTERXML("&lt;t&gt;&lt;s&gt;" &amp; SUBSTITUTE(L180," / ","&lt;/s&gt;&lt;s&gt;") &amp; "&lt;/s&gt;&lt;/t&gt;","(//s[contains(.,'DDR')])[1]"),"")</f>
        <v/>
      </c>
      <c r="N180" s="32" t="e">
        <f t="shared" si="8"/>
        <v>#N/A</v>
      </c>
      <c r="O180" s="42" t="e">
        <f>INDEX(Input!$D$2:$AC$500,
       MATCH(B180, Input!$J$2:$J$500, 0),
       MATCH("Disk Interface Type", Input!$D$1:$AC$1, 0))</f>
        <v>#N/A</v>
      </c>
      <c r="P180" s="42" t="str" cm="1">
        <f t="array" ref="P180">IFERROR(_xlfn.TEXTJOIN(", ", TRUE, _xlfn._xlws.FILTER(
    INDEX(Input!$D$2:$AC$500,,MATCH("Disk Capacity",Input!$D$1:$AC$1,0)),
    Input!$J$2:$J$500=B180
)), "")</f>
        <v/>
      </c>
      <c r="Q180" s="32" t="e">
        <f t="shared" si="7"/>
        <v>#N/A</v>
      </c>
      <c r="R180" s="42" t="e">
        <f>_xlfn.LET(_xlpm.Result,INDEX(Input!$D$2:$AC$500,
       MATCH(B180, Input!$J$2:$J$500, 0),
       MATCH("Capacity", Input!$D$1:$AC$1, 0)),IF(_xlpm.Result="","",_xlpm.Result))</f>
        <v>#N/A</v>
      </c>
      <c r="S180" s="42" t="e" cm="1">
        <f t="array" ref="S180">_xlfn.TEXTSPLIT(R180," / ", ,TRUE,0,)</f>
        <v>#N/A</v>
      </c>
      <c r="T180" s="42"/>
      <c r="U180" s="42" t="str" cm="1">
        <f t="array" ref="U180">IFERROR(_xlfn.IFS(
S180="","",
--S180&lt;55,"Battery Defect",
--S180&lt;=69,"Battery D",
--S180&lt;=80,"Battery C",
--S180&gt;80,""
),"")</f>
        <v/>
      </c>
      <c r="V180" s="42" t="str" cm="1">
        <f t="array" ref="V180">IFERROR(_xlfn.IFS(
T180="","",
--T180&lt;55,"Battery Defect",
--T180&lt;=69,"Battery D",
--T180&lt;=80,"Battery C",
--T180&gt;80,""
),"")</f>
        <v/>
      </c>
      <c r="W180" s="42" t="str" cm="1">
        <f t="array" ref="W180:AD180">IFERROR(IF(_xlfn.XLOOKUP(B180,Input!J:J,Input!N:U)=0,"",
          _xlfn.XLOOKUP(B180,Input!J:J,Input!N:U)),"")</f>
        <v/>
      </c>
      <c r="X180" s="42" t="str">
        <v/>
      </c>
      <c r="Y180" s="42" t="str">
        <v/>
      </c>
      <c r="Z180" s="42" t="str">
        <v/>
      </c>
      <c r="AA180" s="42" t="str">
        <v/>
      </c>
      <c r="AB180" s="42" t="str">
        <v/>
      </c>
      <c r="AC180" s="42" t="str">
        <v/>
      </c>
      <c r="AD180" s="42" t="str">
        <v/>
      </c>
      <c r="AE180" s="32" t="str">
        <f t="shared" si="6"/>
        <v/>
      </c>
      <c r="AF180" s="32" t="str">
        <f>_xlfn.XLOOKUP(B:B,Disk_Pivot!G:G,Disk_Pivot!I:I)</f>
        <v>Yes x2</v>
      </c>
      <c r="AG180" s="32" t="str">
        <f>_xlfn.XLOOKUP(B180,Disk_Pivot!G:G,Disk_Pivot!N:N)</f>
        <v>Pass, Fail</v>
      </c>
      <c r="AH180" s="32"/>
      <c r="AI180" s="32"/>
      <c r="AJ180" s="32"/>
      <c r="AK180" s="32"/>
      <c r="AL180" s="32"/>
      <c r="AM180" s="32"/>
    </row>
    <row r="181" spans="1:39">
      <c r="A181" s="32" t="str">
        <f>_xlfn.XLOOKUP(B181,Input!J:J,Input!G:G)&amp;""</f>
        <v/>
      </c>
      <c r="B181" s="32"/>
      <c r="C181" s="32" t="str">
        <f>_xlfn.XLOOKUP(B181,Input!J:J,Input!H:H)&amp;""</f>
        <v/>
      </c>
      <c r="D181" s="42">
        <f>_xlfn.XLOOKUP(B181,Input!J:J,Input!F:F)</f>
        <v>0</v>
      </c>
      <c r="E181" s="32">
        <f>_xlfn.XLOOKUP(D181,Models!H:H,Models!G:G,D181)</f>
        <v>0</v>
      </c>
      <c r="F181" s="32">
        <f>_xlfn.XLOOKUP(B181,Input!J:J,Input!E:E)</f>
        <v>0</v>
      </c>
      <c r="G181" s="32">
        <f>IF(F181="LENOVO",_xlfn.XLOOKUP(B181,Input!J:J,Input!K:K),_xlfn.XLOOKUP(B181,Input!J:J,Input!L:L))</f>
        <v>0</v>
      </c>
      <c r="H181" s="32"/>
      <c r="I181" s="32"/>
      <c r="J181" s="32">
        <f>_xlfn.XLOOKUP(B181,CPU_Formula!A:A,CPU_Formula!I:I)</f>
        <v>0</v>
      </c>
      <c r="K181" s="42" t="e">
        <f>INDEX(Input!$D$2:$AC$500,
       MATCH(B181, Input!$J$2:$J$500, 0),
       MATCH("Total Memory", Input!$D$1:$AC$1, 0))</f>
        <v>#N/A</v>
      </c>
      <c r="L181" s="42" t="e">
        <f>INDEX(Input!$D$2:$AC$500,
       MATCH(B181, Input!$J$2:$J$500, 0),
       MATCH("Memory Type", Input!$D$1:$AC$1, 0))</f>
        <v>#N/A</v>
      </c>
      <c r="M181" s="42" t="str" cm="1">
        <f t="array" ref="M181">IFERROR(_xlfn.FILTERXML("&lt;t&gt;&lt;s&gt;" &amp; SUBSTITUTE(L181," / ","&lt;/s&gt;&lt;s&gt;") &amp; "&lt;/s&gt;&lt;/t&gt;","(//s[contains(.,'DDR')])[1]"),"")</f>
        <v/>
      </c>
      <c r="N181" s="32" t="e">
        <f t="shared" si="8"/>
        <v>#N/A</v>
      </c>
      <c r="O181" s="42" t="e">
        <f>INDEX(Input!$D$2:$AC$500,
       MATCH(B181, Input!$J$2:$J$500, 0),
       MATCH("Disk Interface Type", Input!$D$1:$AC$1, 0))</f>
        <v>#N/A</v>
      </c>
      <c r="P181" s="42" t="str" cm="1">
        <f t="array" ref="P181">IFERROR(_xlfn.TEXTJOIN(", ", TRUE, _xlfn._xlws.FILTER(
    INDEX(Input!$D$2:$AC$500,,MATCH("Disk Capacity",Input!$D$1:$AC$1,0)),
    Input!$J$2:$J$500=B181
)), "")</f>
        <v/>
      </c>
      <c r="Q181" s="32" t="e">
        <f t="shared" si="7"/>
        <v>#N/A</v>
      </c>
      <c r="R181" s="42" t="e">
        <f>_xlfn.LET(_xlpm.Result,INDEX(Input!$D$2:$AC$500,
       MATCH(B181, Input!$J$2:$J$500, 0),
       MATCH("Capacity", Input!$D$1:$AC$1, 0)),IF(_xlpm.Result="","",_xlpm.Result))</f>
        <v>#N/A</v>
      </c>
      <c r="S181" s="42" t="e" cm="1">
        <f t="array" ref="S181">_xlfn.TEXTSPLIT(R181," / ", ,TRUE,0,)</f>
        <v>#N/A</v>
      </c>
      <c r="T181" s="42"/>
      <c r="U181" s="42" t="str" cm="1">
        <f t="array" ref="U181">IFERROR(_xlfn.IFS(
S181="","",
--S181&lt;55,"Battery Defect",
--S181&lt;=69,"Battery D",
--S181&lt;=80,"Battery C",
--S181&gt;80,""
),"")</f>
        <v/>
      </c>
      <c r="V181" s="42" t="str" cm="1">
        <f t="array" ref="V181">IFERROR(_xlfn.IFS(
T181="","",
--T181&lt;55,"Battery Defect",
--T181&lt;=69,"Battery D",
--T181&lt;=80,"Battery C",
--T181&gt;80,""
),"")</f>
        <v/>
      </c>
      <c r="W181" s="42" t="str" cm="1">
        <f t="array" ref="W181:AD181">IFERROR(IF(_xlfn.XLOOKUP(B181,Input!J:J,Input!N:U)=0,"",
          _xlfn.XLOOKUP(B181,Input!J:J,Input!N:U)),"")</f>
        <v/>
      </c>
      <c r="X181" s="42" t="str">
        <v/>
      </c>
      <c r="Y181" s="42" t="str">
        <v/>
      </c>
      <c r="Z181" s="42" t="str">
        <v/>
      </c>
      <c r="AA181" s="42" t="str">
        <v/>
      </c>
      <c r="AB181" s="42" t="str">
        <v/>
      </c>
      <c r="AC181" s="42" t="str">
        <v/>
      </c>
      <c r="AD181" s="42" t="str">
        <v/>
      </c>
      <c r="AE181" s="32" t="str">
        <f t="shared" si="6"/>
        <v/>
      </c>
      <c r="AF181" s="32" t="str">
        <f>_xlfn.XLOOKUP(B:B,Disk_Pivot!G:G,Disk_Pivot!I:I)</f>
        <v>Yes x2</v>
      </c>
      <c r="AG181" s="32" t="str">
        <f>_xlfn.XLOOKUP(B181,Disk_Pivot!G:G,Disk_Pivot!N:N)</f>
        <v>Pass, Fail</v>
      </c>
      <c r="AH181" s="32"/>
      <c r="AI181" s="32"/>
      <c r="AJ181" s="32"/>
      <c r="AK181" s="32"/>
      <c r="AL181" s="32"/>
      <c r="AM181" s="32"/>
    </row>
    <row r="182" spans="1:39">
      <c r="A182" s="32" t="str">
        <f>_xlfn.XLOOKUP(B182,Input!J:J,Input!G:G)&amp;""</f>
        <v/>
      </c>
      <c r="B182" s="32"/>
      <c r="C182" s="32" t="str">
        <f>_xlfn.XLOOKUP(B182,Input!J:J,Input!H:H)&amp;""</f>
        <v/>
      </c>
      <c r="D182" s="42">
        <f>_xlfn.XLOOKUP(B182,Input!J:J,Input!F:F)</f>
        <v>0</v>
      </c>
      <c r="E182" s="32">
        <f>_xlfn.XLOOKUP(D182,Models!H:H,Models!G:G,D182)</f>
        <v>0</v>
      </c>
      <c r="F182" s="32">
        <f>_xlfn.XLOOKUP(B182,Input!J:J,Input!E:E)</f>
        <v>0</v>
      </c>
      <c r="G182" s="32">
        <f>IF(F182="LENOVO",_xlfn.XLOOKUP(B182,Input!J:J,Input!K:K),_xlfn.XLOOKUP(B182,Input!J:J,Input!L:L))</f>
        <v>0</v>
      </c>
      <c r="H182" s="32"/>
      <c r="I182" s="32"/>
      <c r="J182" s="32">
        <f>_xlfn.XLOOKUP(B182,CPU_Formula!A:A,CPU_Formula!I:I)</f>
        <v>0</v>
      </c>
      <c r="K182" s="42" t="e">
        <f>INDEX(Input!$D$2:$AC$500,
       MATCH(B182, Input!$J$2:$J$500, 0),
       MATCH("Total Memory", Input!$D$1:$AC$1, 0))</f>
        <v>#N/A</v>
      </c>
      <c r="L182" s="42" t="e">
        <f>INDEX(Input!$D$2:$AC$500,
       MATCH(B182, Input!$J$2:$J$500, 0),
       MATCH("Memory Type", Input!$D$1:$AC$1, 0))</f>
        <v>#N/A</v>
      </c>
      <c r="M182" s="42" t="str" cm="1">
        <f t="array" ref="M182">IFERROR(_xlfn.FILTERXML("&lt;t&gt;&lt;s&gt;" &amp; SUBSTITUTE(L182," / ","&lt;/s&gt;&lt;s&gt;") &amp; "&lt;/s&gt;&lt;/t&gt;","(//s[contains(.,'DDR')])[1]"),"")</f>
        <v/>
      </c>
      <c r="N182" s="32" t="e">
        <f t="shared" si="8"/>
        <v>#N/A</v>
      </c>
      <c r="O182" s="42" t="e">
        <f>INDEX(Input!$D$2:$AC$500,
       MATCH(B182, Input!$J$2:$J$500, 0),
       MATCH("Disk Interface Type", Input!$D$1:$AC$1, 0))</f>
        <v>#N/A</v>
      </c>
      <c r="P182" s="42" t="str" cm="1">
        <f t="array" ref="P182">IFERROR(_xlfn.TEXTJOIN(", ", TRUE, _xlfn._xlws.FILTER(
    INDEX(Input!$D$2:$AC$500,,MATCH("Disk Capacity",Input!$D$1:$AC$1,0)),
    Input!$J$2:$J$500=B182
)), "")</f>
        <v/>
      </c>
      <c r="Q182" s="32" t="e">
        <f t="shared" si="7"/>
        <v>#N/A</v>
      </c>
      <c r="R182" s="42" t="e">
        <f>_xlfn.LET(_xlpm.Result,INDEX(Input!$D$2:$AC$500,
       MATCH(B182, Input!$J$2:$J$500, 0),
       MATCH("Capacity", Input!$D$1:$AC$1, 0)),IF(_xlpm.Result="","",_xlpm.Result))</f>
        <v>#N/A</v>
      </c>
      <c r="S182" s="42" t="e" cm="1">
        <f t="array" ref="S182">_xlfn.TEXTSPLIT(R182," / ", ,TRUE,0,)</f>
        <v>#N/A</v>
      </c>
      <c r="T182" s="42"/>
      <c r="U182" s="42" t="str" cm="1">
        <f t="array" ref="U182">IFERROR(_xlfn.IFS(
S182="","",
--S182&lt;55,"Battery Defect",
--S182&lt;=69,"Battery D",
--S182&lt;=80,"Battery C",
--S182&gt;80,""
),"")</f>
        <v/>
      </c>
      <c r="V182" s="42" t="str" cm="1">
        <f t="array" ref="V182">IFERROR(_xlfn.IFS(
T182="","",
--T182&lt;55,"Battery Defect",
--T182&lt;=69,"Battery D",
--T182&lt;=80,"Battery C",
--T182&gt;80,""
),"")</f>
        <v/>
      </c>
      <c r="W182" s="42" t="str" cm="1">
        <f t="array" ref="W182:AD182">IFERROR(IF(_xlfn.XLOOKUP(B182,Input!J:J,Input!N:U)=0,"",
          _xlfn.XLOOKUP(B182,Input!J:J,Input!N:U)),"")</f>
        <v/>
      </c>
      <c r="X182" s="42" t="str">
        <v/>
      </c>
      <c r="Y182" s="42" t="str">
        <v/>
      </c>
      <c r="Z182" s="42" t="str">
        <v/>
      </c>
      <c r="AA182" s="42" t="str">
        <v/>
      </c>
      <c r="AB182" s="42" t="str">
        <v/>
      </c>
      <c r="AC182" s="42" t="str">
        <v/>
      </c>
      <c r="AD182" s="42" t="str">
        <v/>
      </c>
      <c r="AE182" s="32" t="str">
        <f t="shared" si="6"/>
        <v/>
      </c>
      <c r="AF182" s="32" t="str">
        <f>_xlfn.XLOOKUP(B:B,Disk_Pivot!G:G,Disk_Pivot!I:I)</f>
        <v>Yes x2</v>
      </c>
      <c r="AG182" s="32" t="str">
        <f>_xlfn.XLOOKUP(B182,Disk_Pivot!G:G,Disk_Pivot!N:N)</f>
        <v>Pass, Fail</v>
      </c>
      <c r="AH182" s="32"/>
      <c r="AI182" s="32"/>
      <c r="AJ182" s="32"/>
      <c r="AK182" s="32"/>
      <c r="AL182" s="32"/>
      <c r="AM182" s="32"/>
    </row>
    <row r="183" spans="1:39">
      <c r="A183" s="32" t="str">
        <f>_xlfn.XLOOKUP(B183,Input!J:J,Input!G:G)&amp;""</f>
        <v/>
      </c>
      <c r="B183" s="32"/>
      <c r="C183" s="32" t="str">
        <f>_xlfn.XLOOKUP(B183,Input!J:J,Input!H:H)&amp;""</f>
        <v/>
      </c>
      <c r="D183" s="42">
        <f>_xlfn.XLOOKUP(B183,Input!J:J,Input!F:F)</f>
        <v>0</v>
      </c>
      <c r="E183" s="32">
        <f>_xlfn.XLOOKUP(D183,Models!H:H,Models!G:G,D183)</f>
        <v>0</v>
      </c>
      <c r="F183" s="32">
        <f>_xlfn.XLOOKUP(B183,Input!J:J,Input!E:E)</f>
        <v>0</v>
      </c>
      <c r="G183" s="32">
        <f>IF(F183="LENOVO",_xlfn.XLOOKUP(B183,Input!J:J,Input!K:K),_xlfn.XLOOKUP(B183,Input!J:J,Input!L:L))</f>
        <v>0</v>
      </c>
      <c r="H183" s="32"/>
      <c r="I183" s="32"/>
      <c r="J183" s="32">
        <f>_xlfn.XLOOKUP(B183,CPU_Formula!A:A,CPU_Formula!I:I)</f>
        <v>0</v>
      </c>
      <c r="K183" s="42" t="e">
        <f>INDEX(Input!$D$2:$AC$500,
       MATCH(B183, Input!$J$2:$J$500, 0),
       MATCH("Total Memory", Input!$D$1:$AC$1, 0))</f>
        <v>#N/A</v>
      </c>
      <c r="L183" s="42" t="e">
        <f>INDEX(Input!$D$2:$AC$500,
       MATCH(B183, Input!$J$2:$J$500, 0),
       MATCH("Memory Type", Input!$D$1:$AC$1, 0))</f>
        <v>#N/A</v>
      </c>
      <c r="M183" s="42" t="str" cm="1">
        <f t="array" ref="M183">IFERROR(_xlfn.FILTERXML("&lt;t&gt;&lt;s&gt;" &amp; SUBSTITUTE(L183," / ","&lt;/s&gt;&lt;s&gt;") &amp; "&lt;/s&gt;&lt;/t&gt;","(//s[contains(.,'DDR')])[1]"),"")</f>
        <v/>
      </c>
      <c r="N183" s="32" t="e">
        <f t="shared" si="8"/>
        <v>#N/A</v>
      </c>
      <c r="O183" s="42" t="e">
        <f>INDEX(Input!$D$2:$AC$500,
       MATCH(B183, Input!$J$2:$J$500, 0),
       MATCH("Disk Interface Type", Input!$D$1:$AC$1, 0))</f>
        <v>#N/A</v>
      </c>
      <c r="P183" s="42" t="str" cm="1">
        <f t="array" ref="P183">IFERROR(_xlfn.TEXTJOIN(", ", TRUE, _xlfn._xlws.FILTER(
    INDEX(Input!$D$2:$AC$500,,MATCH("Disk Capacity",Input!$D$1:$AC$1,0)),
    Input!$J$2:$J$500=B183
)), "")</f>
        <v/>
      </c>
      <c r="Q183" s="32" t="e">
        <f t="shared" si="7"/>
        <v>#N/A</v>
      </c>
      <c r="R183" s="42" t="e">
        <f>_xlfn.LET(_xlpm.Result,INDEX(Input!$D$2:$AC$500,
       MATCH(B183, Input!$J$2:$J$500, 0),
       MATCH("Capacity", Input!$D$1:$AC$1, 0)),IF(_xlpm.Result="","",_xlpm.Result))</f>
        <v>#N/A</v>
      </c>
      <c r="S183" s="42" t="e" cm="1">
        <f t="array" ref="S183">_xlfn.TEXTSPLIT(R183," / ", ,TRUE,0,)</f>
        <v>#N/A</v>
      </c>
      <c r="T183" s="42"/>
      <c r="U183" s="42" t="str" cm="1">
        <f t="array" ref="U183">IFERROR(_xlfn.IFS(
S183="","",
--S183&lt;55,"Battery Defect",
--S183&lt;=69,"Battery D",
--S183&lt;=80,"Battery C",
--S183&gt;80,""
),"")</f>
        <v/>
      </c>
      <c r="V183" s="42" t="str" cm="1">
        <f t="array" ref="V183">IFERROR(_xlfn.IFS(
T183="","",
--T183&lt;55,"Battery Defect",
--T183&lt;=69,"Battery D",
--T183&lt;=80,"Battery C",
--T183&gt;80,""
),"")</f>
        <v/>
      </c>
      <c r="W183" s="42" t="str" cm="1">
        <f t="array" ref="W183:AD183">IFERROR(IF(_xlfn.XLOOKUP(B183,Input!J:J,Input!N:U)=0,"",
          _xlfn.XLOOKUP(B183,Input!J:J,Input!N:U)),"")</f>
        <v/>
      </c>
      <c r="X183" s="42" t="str">
        <v/>
      </c>
      <c r="Y183" s="42" t="str">
        <v/>
      </c>
      <c r="Z183" s="42" t="str">
        <v/>
      </c>
      <c r="AA183" s="42" t="str">
        <v/>
      </c>
      <c r="AB183" s="42" t="str">
        <v/>
      </c>
      <c r="AC183" s="42" t="str">
        <v/>
      </c>
      <c r="AD183" s="42" t="str">
        <v/>
      </c>
      <c r="AE183" s="32" t="str">
        <f t="shared" si="6"/>
        <v/>
      </c>
      <c r="AF183" s="32" t="str">
        <f>_xlfn.XLOOKUP(B:B,Disk_Pivot!G:G,Disk_Pivot!I:I)</f>
        <v>Yes x2</v>
      </c>
      <c r="AG183" s="32" t="str">
        <f>_xlfn.XLOOKUP(B183,Disk_Pivot!G:G,Disk_Pivot!N:N)</f>
        <v>Pass, Fail</v>
      </c>
      <c r="AH183" s="32"/>
      <c r="AI183" s="32"/>
      <c r="AJ183" s="32"/>
      <c r="AK183" s="32"/>
      <c r="AL183" s="32"/>
      <c r="AM183" s="32"/>
    </row>
    <row r="184" spans="1:39">
      <c r="A184" s="32" t="str">
        <f>_xlfn.XLOOKUP(B184,Input!J:J,Input!G:G)&amp;""</f>
        <v/>
      </c>
      <c r="B184" s="32"/>
      <c r="C184" s="32" t="str">
        <f>_xlfn.XLOOKUP(B184,Input!J:J,Input!H:H)&amp;""</f>
        <v/>
      </c>
      <c r="D184" s="42">
        <f>_xlfn.XLOOKUP(B184,Input!J:J,Input!F:F)</f>
        <v>0</v>
      </c>
      <c r="E184" s="32">
        <f>_xlfn.XLOOKUP(D184,Models!H:H,Models!G:G,D184)</f>
        <v>0</v>
      </c>
      <c r="F184" s="32">
        <f>_xlfn.XLOOKUP(B184,Input!J:J,Input!E:E)</f>
        <v>0</v>
      </c>
      <c r="G184" s="32">
        <f>IF(F184="LENOVO",_xlfn.XLOOKUP(B184,Input!J:J,Input!K:K),_xlfn.XLOOKUP(B184,Input!J:J,Input!L:L))</f>
        <v>0</v>
      </c>
      <c r="H184" s="32"/>
      <c r="I184" s="32"/>
      <c r="J184" s="32">
        <f>_xlfn.XLOOKUP(B184,CPU_Formula!A:A,CPU_Formula!I:I)</f>
        <v>0</v>
      </c>
      <c r="K184" s="42" t="e">
        <f>INDEX(Input!$D$2:$AC$500,
       MATCH(B184, Input!$J$2:$J$500, 0),
       MATCH("Total Memory", Input!$D$1:$AC$1, 0))</f>
        <v>#N/A</v>
      </c>
      <c r="L184" s="42" t="e">
        <f>INDEX(Input!$D$2:$AC$500,
       MATCH(B184, Input!$J$2:$J$500, 0),
       MATCH("Memory Type", Input!$D$1:$AC$1, 0))</f>
        <v>#N/A</v>
      </c>
      <c r="M184" s="42" t="str" cm="1">
        <f t="array" ref="M184">IFERROR(_xlfn.FILTERXML("&lt;t&gt;&lt;s&gt;" &amp; SUBSTITUTE(L184," / ","&lt;/s&gt;&lt;s&gt;") &amp; "&lt;/s&gt;&lt;/t&gt;","(//s[contains(.,'DDR')])[1]"),"")</f>
        <v/>
      </c>
      <c r="N184" s="32" t="e">
        <f t="shared" si="8"/>
        <v>#N/A</v>
      </c>
      <c r="O184" s="42" t="e">
        <f>INDEX(Input!$D$2:$AC$500,
       MATCH(B184, Input!$J$2:$J$500, 0),
       MATCH("Disk Interface Type", Input!$D$1:$AC$1, 0))</f>
        <v>#N/A</v>
      </c>
      <c r="P184" s="42" t="str" cm="1">
        <f t="array" ref="P184">IFERROR(_xlfn.TEXTJOIN(", ", TRUE, _xlfn._xlws.FILTER(
    INDEX(Input!$D$2:$AC$500,,MATCH("Disk Capacity",Input!$D$1:$AC$1,0)),
    Input!$J$2:$J$500=B184
)), "")</f>
        <v/>
      </c>
      <c r="Q184" s="32" t="e">
        <f t="shared" si="7"/>
        <v>#N/A</v>
      </c>
      <c r="R184" s="42" t="e">
        <f>_xlfn.LET(_xlpm.Result,INDEX(Input!$D$2:$AC$500,
       MATCH(B184, Input!$J$2:$J$500, 0),
       MATCH("Capacity", Input!$D$1:$AC$1, 0)),IF(_xlpm.Result="","",_xlpm.Result))</f>
        <v>#N/A</v>
      </c>
      <c r="S184" s="42" t="e" cm="1">
        <f t="array" ref="S184">_xlfn.TEXTSPLIT(R184," / ", ,TRUE,0,)</f>
        <v>#N/A</v>
      </c>
      <c r="T184" s="42"/>
      <c r="U184" s="42" t="str" cm="1">
        <f t="array" ref="U184">IFERROR(_xlfn.IFS(
S184="","",
--S184&lt;55,"Battery Defect",
--S184&lt;=69,"Battery D",
--S184&lt;=80,"Battery C",
--S184&gt;80,""
),"")</f>
        <v/>
      </c>
      <c r="V184" s="42" t="str" cm="1">
        <f t="array" ref="V184">IFERROR(_xlfn.IFS(
T184="","",
--T184&lt;55,"Battery Defect",
--T184&lt;=69,"Battery D",
--T184&lt;=80,"Battery C",
--T184&gt;80,""
),"")</f>
        <v/>
      </c>
      <c r="W184" s="42" t="str" cm="1">
        <f t="array" ref="W184:AD184">IFERROR(IF(_xlfn.XLOOKUP(B184,Input!J:J,Input!N:U)=0,"",
          _xlfn.XLOOKUP(B184,Input!J:J,Input!N:U)),"")</f>
        <v/>
      </c>
      <c r="X184" s="42" t="str">
        <v/>
      </c>
      <c r="Y184" s="42" t="str">
        <v/>
      </c>
      <c r="Z184" s="42" t="str">
        <v/>
      </c>
      <c r="AA184" s="42" t="str">
        <v/>
      </c>
      <c r="AB184" s="42" t="str">
        <v/>
      </c>
      <c r="AC184" s="42" t="str">
        <v/>
      </c>
      <c r="AD184" s="42" t="str">
        <v/>
      </c>
      <c r="AE184" s="32" t="str">
        <f t="shared" si="6"/>
        <v/>
      </c>
      <c r="AF184" s="32" t="str">
        <f>_xlfn.XLOOKUP(B:B,Disk_Pivot!G:G,Disk_Pivot!I:I)</f>
        <v>Yes x2</v>
      </c>
      <c r="AG184" s="32" t="str">
        <f>_xlfn.XLOOKUP(B184,Disk_Pivot!G:G,Disk_Pivot!N:N)</f>
        <v>Pass, Fail</v>
      </c>
      <c r="AH184" s="32"/>
      <c r="AI184" s="32"/>
      <c r="AJ184" s="32"/>
      <c r="AK184" s="32"/>
      <c r="AL184" s="32"/>
      <c r="AM184" s="32"/>
    </row>
    <row r="185" spans="1:39">
      <c r="A185" s="32" t="str">
        <f>_xlfn.XLOOKUP(B185,Input!J:J,Input!G:G)&amp;""</f>
        <v/>
      </c>
      <c r="B185" s="32"/>
      <c r="C185" s="32" t="str">
        <f>_xlfn.XLOOKUP(B185,Input!J:J,Input!H:H)&amp;""</f>
        <v/>
      </c>
      <c r="D185" s="42">
        <f>_xlfn.XLOOKUP(B185,Input!J:J,Input!F:F)</f>
        <v>0</v>
      </c>
      <c r="E185" s="32">
        <f>_xlfn.XLOOKUP(D185,Models!H:H,Models!G:G,D185)</f>
        <v>0</v>
      </c>
      <c r="F185" s="32">
        <f>_xlfn.XLOOKUP(B185,Input!J:J,Input!E:E)</f>
        <v>0</v>
      </c>
      <c r="G185" s="32">
        <f>IF(F185="LENOVO",_xlfn.XLOOKUP(B185,Input!J:J,Input!K:K),_xlfn.XLOOKUP(B185,Input!J:J,Input!L:L))</f>
        <v>0</v>
      </c>
      <c r="H185" s="32"/>
      <c r="I185" s="32"/>
      <c r="J185" s="32">
        <f>_xlfn.XLOOKUP(B185,CPU_Formula!A:A,CPU_Formula!I:I)</f>
        <v>0</v>
      </c>
      <c r="K185" s="42" t="e">
        <f>INDEX(Input!$D$2:$AC$500,
       MATCH(B185, Input!$J$2:$J$500, 0),
       MATCH("Total Memory", Input!$D$1:$AC$1, 0))</f>
        <v>#N/A</v>
      </c>
      <c r="L185" s="42" t="e">
        <f>INDEX(Input!$D$2:$AC$500,
       MATCH(B185, Input!$J$2:$J$500, 0),
       MATCH("Memory Type", Input!$D$1:$AC$1, 0))</f>
        <v>#N/A</v>
      </c>
      <c r="M185" s="42" t="str" cm="1">
        <f t="array" ref="M185">IFERROR(_xlfn.FILTERXML("&lt;t&gt;&lt;s&gt;" &amp; SUBSTITUTE(L185," / ","&lt;/s&gt;&lt;s&gt;") &amp; "&lt;/s&gt;&lt;/t&gt;","(//s[contains(.,'DDR')])[1]"),"")</f>
        <v/>
      </c>
      <c r="N185" s="32" t="e">
        <f t="shared" si="8"/>
        <v>#N/A</v>
      </c>
      <c r="O185" s="42" t="e">
        <f>INDEX(Input!$D$2:$AC$500,
       MATCH(B185, Input!$J$2:$J$500, 0),
       MATCH("Disk Interface Type", Input!$D$1:$AC$1, 0))</f>
        <v>#N/A</v>
      </c>
      <c r="P185" s="42" t="str" cm="1">
        <f t="array" ref="P185">IFERROR(_xlfn.TEXTJOIN(", ", TRUE, _xlfn._xlws.FILTER(
    INDEX(Input!$D$2:$AC$500,,MATCH("Disk Capacity",Input!$D$1:$AC$1,0)),
    Input!$J$2:$J$500=B185
)), "")</f>
        <v/>
      </c>
      <c r="Q185" s="32" t="e">
        <f t="shared" si="7"/>
        <v>#N/A</v>
      </c>
      <c r="R185" s="42" t="e">
        <f>_xlfn.LET(_xlpm.Result,INDEX(Input!$D$2:$AC$500,
       MATCH(B185, Input!$J$2:$J$500, 0),
       MATCH("Capacity", Input!$D$1:$AC$1, 0)),IF(_xlpm.Result="","",_xlpm.Result))</f>
        <v>#N/A</v>
      </c>
      <c r="S185" s="42" t="e" cm="1">
        <f t="array" ref="S185">_xlfn.TEXTSPLIT(R185," / ", ,TRUE,0,)</f>
        <v>#N/A</v>
      </c>
      <c r="T185" s="42"/>
      <c r="U185" s="42" t="str" cm="1">
        <f t="array" ref="U185">IFERROR(_xlfn.IFS(
S185="","",
--S185&lt;55,"Battery Defect",
--S185&lt;=69,"Battery D",
--S185&lt;=80,"Battery C",
--S185&gt;80,""
),"")</f>
        <v/>
      </c>
      <c r="V185" s="42" t="str" cm="1">
        <f t="array" ref="V185">IFERROR(_xlfn.IFS(
T185="","",
--T185&lt;55,"Battery Defect",
--T185&lt;=69,"Battery D",
--T185&lt;=80,"Battery C",
--T185&gt;80,""
),"")</f>
        <v/>
      </c>
      <c r="W185" s="42" t="str" cm="1">
        <f t="array" ref="W185:AD185">IFERROR(IF(_xlfn.XLOOKUP(B185,Input!J:J,Input!N:U)=0,"",
          _xlfn.XLOOKUP(B185,Input!J:J,Input!N:U)),"")</f>
        <v/>
      </c>
      <c r="X185" s="42" t="str">
        <v/>
      </c>
      <c r="Y185" s="42" t="str">
        <v/>
      </c>
      <c r="Z185" s="42" t="str">
        <v/>
      </c>
      <c r="AA185" s="42" t="str">
        <v/>
      </c>
      <c r="AB185" s="42" t="str">
        <v/>
      </c>
      <c r="AC185" s="42" t="str">
        <v/>
      </c>
      <c r="AD185" s="42" t="str">
        <v/>
      </c>
      <c r="AE185" s="32" t="str">
        <f t="shared" si="6"/>
        <v/>
      </c>
      <c r="AF185" s="32" t="str">
        <f>_xlfn.XLOOKUP(B:B,Disk_Pivot!G:G,Disk_Pivot!I:I)</f>
        <v>Yes x2</v>
      </c>
      <c r="AG185" s="32" t="str">
        <f>_xlfn.XLOOKUP(B185,Disk_Pivot!G:G,Disk_Pivot!N:N)</f>
        <v>Pass, Fail</v>
      </c>
      <c r="AH185" s="32"/>
      <c r="AI185" s="32"/>
      <c r="AJ185" s="32"/>
      <c r="AK185" s="32"/>
      <c r="AL185" s="32"/>
      <c r="AM185" s="32"/>
    </row>
    <row r="186" spans="1:39">
      <c r="A186" s="32" t="str">
        <f>_xlfn.XLOOKUP(B186,Input!J:J,Input!G:G)&amp;""</f>
        <v/>
      </c>
      <c r="B186" s="32"/>
      <c r="C186" s="32" t="str">
        <f>_xlfn.XLOOKUP(B186,Input!J:J,Input!H:H)&amp;""</f>
        <v/>
      </c>
      <c r="D186" s="42">
        <f>_xlfn.XLOOKUP(B186,Input!J:J,Input!F:F)</f>
        <v>0</v>
      </c>
      <c r="E186" s="32">
        <f>_xlfn.XLOOKUP(D186,Models!H:H,Models!G:G,D186)</f>
        <v>0</v>
      </c>
      <c r="F186" s="32">
        <f>_xlfn.XLOOKUP(B186,Input!J:J,Input!E:E)</f>
        <v>0</v>
      </c>
      <c r="G186" s="32">
        <f>IF(F186="LENOVO",_xlfn.XLOOKUP(B186,Input!J:J,Input!K:K),_xlfn.XLOOKUP(B186,Input!J:J,Input!L:L))</f>
        <v>0</v>
      </c>
      <c r="H186" s="32"/>
      <c r="I186" s="32"/>
      <c r="J186" s="32">
        <f>_xlfn.XLOOKUP(B186,CPU_Formula!A:A,CPU_Formula!I:I)</f>
        <v>0</v>
      </c>
      <c r="K186" s="42" t="e">
        <f>INDEX(Input!$D$2:$AC$500,
       MATCH(B186, Input!$J$2:$J$500, 0),
       MATCH("Total Memory", Input!$D$1:$AC$1, 0))</f>
        <v>#N/A</v>
      </c>
      <c r="L186" s="42" t="e">
        <f>INDEX(Input!$D$2:$AC$500,
       MATCH(B186, Input!$J$2:$J$500, 0),
       MATCH("Memory Type", Input!$D$1:$AC$1, 0))</f>
        <v>#N/A</v>
      </c>
      <c r="M186" s="42" t="str" cm="1">
        <f t="array" ref="M186">IFERROR(_xlfn.FILTERXML("&lt;t&gt;&lt;s&gt;" &amp; SUBSTITUTE(L186," / ","&lt;/s&gt;&lt;s&gt;") &amp; "&lt;/s&gt;&lt;/t&gt;","(//s[contains(.,'DDR')])[1]"),"")</f>
        <v/>
      </c>
      <c r="N186" s="32" t="e">
        <f t="shared" si="8"/>
        <v>#N/A</v>
      </c>
      <c r="O186" s="42" t="e">
        <f>INDEX(Input!$D$2:$AC$500,
       MATCH(B186, Input!$J$2:$J$500, 0),
       MATCH("Disk Interface Type", Input!$D$1:$AC$1, 0))</f>
        <v>#N/A</v>
      </c>
      <c r="P186" s="42" t="str" cm="1">
        <f t="array" ref="P186">IFERROR(_xlfn.TEXTJOIN(", ", TRUE, _xlfn._xlws.FILTER(
    INDEX(Input!$D$2:$AC$500,,MATCH("Disk Capacity",Input!$D$1:$AC$1,0)),
    Input!$J$2:$J$500=B186
)), "")</f>
        <v/>
      </c>
      <c r="Q186" s="32" t="e">
        <f t="shared" si="7"/>
        <v>#N/A</v>
      </c>
      <c r="R186" s="42" t="e">
        <f>_xlfn.LET(_xlpm.Result,INDEX(Input!$D$2:$AC$500,
       MATCH(B186, Input!$J$2:$J$500, 0),
       MATCH("Capacity", Input!$D$1:$AC$1, 0)),IF(_xlpm.Result="","",_xlpm.Result))</f>
        <v>#N/A</v>
      </c>
      <c r="S186" s="42" t="e" cm="1">
        <f t="array" ref="S186">_xlfn.TEXTSPLIT(R186," / ", ,TRUE,0,)</f>
        <v>#N/A</v>
      </c>
      <c r="T186" s="42"/>
      <c r="U186" s="42" t="str" cm="1">
        <f t="array" ref="U186">IFERROR(_xlfn.IFS(
S186="","",
--S186&lt;55,"Battery Defect",
--S186&lt;=69,"Battery D",
--S186&lt;=80,"Battery C",
--S186&gt;80,""
),"")</f>
        <v/>
      </c>
      <c r="V186" s="42" t="str" cm="1">
        <f t="array" ref="V186">IFERROR(_xlfn.IFS(
T186="","",
--T186&lt;55,"Battery Defect",
--T186&lt;=69,"Battery D",
--T186&lt;=80,"Battery C",
--T186&gt;80,""
),"")</f>
        <v/>
      </c>
      <c r="W186" s="42" t="str" cm="1">
        <f t="array" ref="W186:AD186">IFERROR(IF(_xlfn.XLOOKUP(B186,Input!J:J,Input!N:U)=0,"",
          _xlfn.XLOOKUP(B186,Input!J:J,Input!N:U)),"")</f>
        <v/>
      </c>
      <c r="X186" s="42" t="str">
        <v/>
      </c>
      <c r="Y186" s="42" t="str">
        <v/>
      </c>
      <c r="Z186" s="42" t="str">
        <v/>
      </c>
      <c r="AA186" s="42" t="str">
        <v/>
      </c>
      <c r="AB186" s="42" t="str">
        <v/>
      </c>
      <c r="AC186" s="42" t="str">
        <v/>
      </c>
      <c r="AD186" s="42" t="str">
        <v/>
      </c>
      <c r="AE186" s="32" t="str">
        <f t="shared" si="6"/>
        <v/>
      </c>
      <c r="AF186" s="32" t="str">
        <f>_xlfn.XLOOKUP(B:B,Disk_Pivot!G:G,Disk_Pivot!I:I)</f>
        <v>Yes x2</v>
      </c>
      <c r="AG186" s="32" t="str">
        <f>_xlfn.XLOOKUP(B186,Disk_Pivot!G:G,Disk_Pivot!N:N)</f>
        <v>Pass, Fail</v>
      </c>
      <c r="AH186" s="32"/>
      <c r="AI186" s="32"/>
      <c r="AJ186" s="32"/>
      <c r="AK186" s="32"/>
      <c r="AL186" s="32"/>
      <c r="AM186" s="32"/>
    </row>
    <row r="187" spans="1:39">
      <c r="A187" s="32" t="str">
        <f>_xlfn.XLOOKUP(B187,Input!J:J,Input!G:G)&amp;""</f>
        <v/>
      </c>
      <c r="B187" s="32"/>
      <c r="C187" s="32" t="str">
        <f>_xlfn.XLOOKUP(B187,Input!J:J,Input!H:H)&amp;""</f>
        <v/>
      </c>
      <c r="D187" s="42">
        <f>_xlfn.XLOOKUP(B187,Input!J:J,Input!F:F)</f>
        <v>0</v>
      </c>
      <c r="E187" s="32">
        <f>_xlfn.XLOOKUP(D187,Models!H:H,Models!G:G,D187)</f>
        <v>0</v>
      </c>
      <c r="F187" s="32">
        <f>_xlfn.XLOOKUP(B187,Input!J:J,Input!E:E)</f>
        <v>0</v>
      </c>
      <c r="G187" s="32">
        <f>IF(F187="LENOVO",_xlfn.XLOOKUP(B187,Input!J:J,Input!K:K),_xlfn.XLOOKUP(B187,Input!J:J,Input!L:L))</f>
        <v>0</v>
      </c>
      <c r="H187" s="32"/>
      <c r="I187" s="32"/>
      <c r="J187" s="32">
        <f>_xlfn.XLOOKUP(B187,CPU_Formula!A:A,CPU_Formula!I:I)</f>
        <v>0</v>
      </c>
      <c r="K187" s="42" t="e">
        <f>INDEX(Input!$D$2:$AC$500,
       MATCH(B187, Input!$J$2:$J$500, 0),
       MATCH("Total Memory", Input!$D$1:$AC$1, 0))</f>
        <v>#N/A</v>
      </c>
      <c r="L187" s="42" t="e">
        <f>INDEX(Input!$D$2:$AC$500,
       MATCH(B187, Input!$J$2:$J$500, 0),
       MATCH("Memory Type", Input!$D$1:$AC$1, 0))</f>
        <v>#N/A</v>
      </c>
      <c r="M187" s="42" t="str" cm="1">
        <f t="array" ref="M187">IFERROR(_xlfn.FILTERXML("&lt;t&gt;&lt;s&gt;" &amp; SUBSTITUTE(L187," / ","&lt;/s&gt;&lt;s&gt;") &amp; "&lt;/s&gt;&lt;/t&gt;","(//s[contains(.,'DDR')])[1]"),"")</f>
        <v/>
      </c>
      <c r="N187" s="32" t="e">
        <f t="shared" si="8"/>
        <v>#N/A</v>
      </c>
      <c r="O187" s="42" t="e">
        <f>INDEX(Input!$D$2:$AC$500,
       MATCH(B187, Input!$J$2:$J$500, 0),
       MATCH("Disk Interface Type", Input!$D$1:$AC$1, 0))</f>
        <v>#N/A</v>
      </c>
      <c r="P187" s="42" t="str" cm="1">
        <f t="array" ref="P187">IFERROR(_xlfn.TEXTJOIN(", ", TRUE, _xlfn._xlws.FILTER(
    INDEX(Input!$D$2:$AC$500,,MATCH("Disk Capacity",Input!$D$1:$AC$1,0)),
    Input!$J$2:$J$500=B187
)), "")</f>
        <v/>
      </c>
      <c r="Q187" s="32" t="e">
        <f t="shared" si="7"/>
        <v>#N/A</v>
      </c>
      <c r="R187" s="42" t="e">
        <f>_xlfn.LET(_xlpm.Result,INDEX(Input!$D$2:$AC$500,
       MATCH(B187, Input!$J$2:$J$500, 0),
       MATCH("Capacity", Input!$D$1:$AC$1, 0)),IF(_xlpm.Result="","",_xlpm.Result))</f>
        <v>#N/A</v>
      </c>
      <c r="S187" s="42" t="e" cm="1">
        <f t="array" ref="S187">_xlfn.TEXTSPLIT(R187," / ", ,TRUE,0,)</f>
        <v>#N/A</v>
      </c>
      <c r="T187" s="42"/>
      <c r="U187" s="42" t="str" cm="1">
        <f t="array" ref="U187">IFERROR(_xlfn.IFS(
S187="","",
--S187&lt;55,"Battery Defect",
--S187&lt;=69,"Battery D",
--S187&lt;=80,"Battery C",
--S187&gt;80,""
),"")</f>
        <v/>
      </c>
      <c r="V187" s="42" t="str" cm="1">
        <f t="array" ref="V187">IFERROR(_xlfn.IFS(
T187="","",
--T187&lt;55,"Battery Defect",
--T187&lt;=69,"Battery D",
--T187&lt;=80,"Battery C",
--T187&gt;80,""
),"")</f>
        <v/>
      </c>
      <c r="W187" s="42" t="str" cm="1">
        <f t="array" ref="W187:AD187">IFERROR(IF(_xlfn.XLOOKUP(B187,Input!J:J,Input!N:U)=0,"",
          _xlfn.XLOOKUP(B187,Input!J:J,Input!N:U)),"")</f>
        <v/>
      </c>
      <c r="X187" s="42" t="str">
        <v/>
      </c>
      <c r="Y187" s="42" t="str">
        <v/>
      </c>
      <c r="Z187" s="42" t="str">
        <v/>
      </c>
      <c r="AA187" s="42" t="str">
        <v/>
      </c>
      <c r="AB187" s="42" t="str">
        <v/>
      </c>
      <c r="AC187" s="42" t="str">
        <v/>
      </c>
      <c r="AD187" s="42" t="str">
        <v/>
      </c>
      <c r="AE187" s="32" t="str">
        <f t="shared" si="6"/>
        <v/>
      </c>
      <c r="AF187" s="32" t="str">
        <f>_xlfn.XLOOKUP(B:B,Disk_Pivot!G:G,Disk_Pivot!I:I)</f>
        <v>Yes x2</v>
      </c>
      <c r="AG187" s="32" t="str">
        <f>_xlfn.XLOOKUP(B187,Disk_Pivot!G:G,Disk_Pivot!N:N)</f>
        <v>Pass, Fail</v>
      </c>
      <c r="AH187" s="32"/>
      <c r="AI187" s="32"/>
      <c r="AJ187" s="32"/>
      <c r="AK187" s="32"/>
      <c r="AL187" s="32"/>
      <c r="AM187" s="32"/>
    </row>
    <row r="188" spans="1:39">
      <c r="A188" s="32" t="str">
        <f>_xlfn.XLOOKUP(B188,Input!J:J,Input!G:G)&amp;""</f>
        <v/>
      </c>
      <c r="B188" s="32"/>
      <c r="C188" s="32" t="str">
        <f>_xlfn.XLOOKUP(B188,Input!J:J,Input!H:H)&amp;""</f>
        <v/>
      </c>
      <c r="D188" s="42">
        <f>_xlfn.XLOOKUP(B188,Input!J:J,Input!F:F)</f>
        <v>0</v>
      </c>
      <c r="E188" s="32">
        <f>_xlfn.XLOOKUP(D188,Models!H:H,Models!G:G,D188)</f>
        <v>0</v>
      </c>
      <c r="F188" s="32">
        <f>_xlfn.XLOOKUP(B188,Input!J:J,Input!E:E)</f>
        <v>0</v>
      </c>
      <c r="G188" s="32">
        <f>IF(F188="LENOVO",_xlfn.XLOOKUP(B188,Input!J:J,Input!K:K),_xlfn.XLOOKUP(B188,Input!J:J,Input!L:L))</f>
        <v>0</v>
      </c>
      <c r="H188" s="32"/>
      <c r="I188" s="32"/>
      <c r="J188" s="32">
        <f>_xlfn.XLOOKUP(B188,CPU_Formula!A:A,CPU_Formula!I:I)</f>
        <v>0</v>
      </c>
      <c r="K188" s="42" t="e">
        <f>INDEX(Input!$D$2:$AC$500,
       MATCH(B188, Input!$J$2:$J$500, 0),
       MATCH("Total Memory", Input!$D$1:$AC$1, 0))</f>
        <v>#N/A</v>
      </c>
      <c r="L188" s="42" t="e">
        <f>INDEX(Input!$D$2:$AC$500,
       MATCH(B188, Input!$J$2:$J$500, 0),
       MATCH("Memory Type", Input!$D$1:$AC$1, 0))</f>
        <v>#N/A</v>
      </c>
      <c r="M188" s="42" t="str" cm="1">
        <f t="array" ref="M188">IFERROR(_xlfn.FILTERXML("&lt;t&gt;&lt;s&gt;" &amp; SUBSTITUTE(L188," / ","&lt;/s&gt;&lt;s&gt;") &amp; "&lt;/s&gt;&lt;/t&gt;","(//s[contains(.,'DDR')])[1]"),"")</f>
        <v/>
      </c>
      <c r="N188" s="32" t="e">
        <f t="shared" si="8"/>
        <v>#N/A</v>
      </c>
      <c r="O188" s="42" t="e">
        <f>INDEX(Input!$D$2:$AC$500,
       MATCH(B188, Input!$J$2:$J$500, 0),
       MATCH("Disk Interface Type", Input!$D$1:$AC$1, 0))</f>
        <v>#N/A</v>
      </c>
      <c r="P188" s="42" t="str" cm="1">
        <f t="array" ref="P188">IFERROR(_xlfn.TEXTJOIN(", ", TRUE, _xlfn._xlws.FILTER(
    INDEX(Input!$D$2:$AC$500,,MATCH("Disk Capacity",Input!$D$1:$AC$1,0)),
    Input!$J$2:$J$500=B188
)), "")</f>
        <v/>
      </c>
      <c r="Q188" s="32" t="e">
        <f t="shared" si="7"/>
        <v>#N/A</v>
      </c>
      <c r="R188" s="42" t="e">
        <f>_xlfn.LET(_xlpm.Result,INDEX(Input!$D$2:$AC$500,
       MATCH(B188, Input!$J$2:$J$500, 0),
       MATCH("Capacity", Input!$D$1:$AC$1, 0)),IF(_xlpm.Result="","",_xlpm.Result))</f>
        <v>#N/A</v>
      </c>
      <c r="S188" s="42" t="e" cm="1">
        <f t="array" ref="S188">_xlfn.TEXTSPLIT(R188," / ", ,TRUE,0,)</f>
        <v>#N/A</v>
      </c>
      <c r="T188" s="42"/>
      <c r="U188" s="42" t="str" cm="1">
        <f t="array" ref="U188">IFERROR(_xlfn.IFS(
S188="","",
--S188&lt;55,"Battery Defect",
--S188&lt;=69,"Battery D",
--S188&lt;=80,"Battery C",
--S188&gt;80,""
),"")</f>
        <v/>
      </c>
      <c r="V188" s="42" t="str" cm="1">
        <f t="array" ref="V188">IFERROR(_xlfn.IFS(
T188="","",
--T188&lt;55,"Battery Defect",
--T188&lt;=69,"Battery D",
--T188&lt;=80,"Battery C",
--T188&gt;80,""
),"")</f>
        <v/>
      </c>
      <c r="W188" s="42" t="str" cm="1">
        <f t="array" ref="W188:AD188">IFERROR(IF(_xlfn.XLOOKUP(B188,Input!J:J,Input!N:U)=0,"",
          _xlfn.XLOOKUP(B188,Input!J:J,Input!N:U)),"")</f>
        <v/>
      </c>
      <c r="X188" s="42" t="str">
        <v/>
      </c>
      <c r="Y188" s="42" t="str">
        <v/>
      </c>
      <c r="Z188" s="42" t="str">
        <v/>
      </c>
      <c r="AA188" s="42" t="str">
        <v/>
      </c>
      <c r="AB188" s="42" t="str">
        <v/>
      </c>
      <c r="AC188" s="42" t="str">
        <v/>
      </c>
      <c r="AD188" s="42" t="str">
        <v/>
      </c>
      <c r="AE188" s="32" t="str">
        <f t="shared" si="6"/>
        <v/>
      </c>
      <c r="AF188" s="32" t="str">
        <f>_xlfn.XLOOKUP(B:B,Disk_Pivot!G:G,Disk_Pivot!I:I)</f>
        <v>Yes x2</v>
      </c>
      <c r="AG188" s="32" t="str">
        <f>_xlfn.XLOOKUP(B188,Disk_Pivot!G:G,Disk_Pivot!N:N)</f>
        <v>Pass, Fail</v>
      </c>
      <c r="AH188" s="32"/>
      <c r="AI188" s="32"/>
      <c r="AJ188" s="32"/>
      <c r="AK188" s="32"/>
      <c r="AL188" s="32"/>
      <c r="AM188" s="32"/>
    </row>
    <row r="189" spans="1:39">
      <c r="A189" s="32" t="str">
        <f>_xlfn.XLOOKUP(B189,Input!J:J,Input!G:G)&amp;""</f>
        <v/>
      </c>
      <c r="B189" s="32"/>
      <c r="C189" s="32" t="str">
        <f>_xlfn.XLOOKUP(B189,Input!J:J,Input!H:H)&amp;""</f>
        <v/>
      </c>
      <c r="D189" s="42">
        <f>_xlfn.XLOOKUP(B189,Input!J:J,Input!F:F)</f>
        <v>0</v>
      </c>
      <c r="E189" s="32">
        <f>_xlfn.XLOOKUP(D189,Models!H:H,Models!G:G,D189)</f>
        <v>0</v>
      </c>
      <c r="F189" s="32">
        <f>_xlfn.XLOOKUP(B189,Input!J:J,Input!E:E)</f>
        <v>0</v>
      </c>
      <c r="G189" s="32">
        <f>IF(F189="LENOVO",_xlfn.XLOOKUP(B189,Input!J:J,Input!K:K),_xlfn.XLOOKUP(B189,Input!J:J,Input!L:L))</f>
        <v>0</v>
      </c>
      <c r="H189" s="32"/>
      <c r="I189" s="32"/>
      <c r="J189" s="32">
        <f>_xlfn.XLOOKUP(B189,CPU_Formula!A:A,CPU_Formula!I:I)</f>
        <v>0</v>
      </c>
      <c r="K189" s="42" t="e">
        <f>INDEX(Input!$D$2:$AC$500,
       MATCH(B189, Input!$J$2:$J$500, 0),
       MATCH("Total Memory", Input!$D$1:$AC$1, 0))</f>
        <v>#N/A</v>
      </c>
      <c r="L189" s="42" t="e">
        <f>INDEX(Input!$D$2:$AC$500,
       MATCH(B189, Input!$J$2:$J$500, 0),
       MATCH("Memory Type", Input!$D$1:$AC$1, 0))</f>
        <v>#N/A</v>
      </c>
      <c r="M189" s="42" t="str" cm="1">
        <f t="array" ref="M189">IFERROR(_xlfn.FILTERXML("&lt;t&gt;&lt;s&gt;" &amp; SUBSTITUTE(L189," / ","&lt;/s&gt;&lt;s&gt;") &amp; "&lt;/s&gt;&lt;/t&gt;","(//s[contains(.,'DDR')])[1]"),"")</f>
        <v/>
      </c>
      <c r="N189" s="32" t="e">
        <f t="shared" si="8"/>
        <v>#N/A</v>
      </c>
      <c r="O189" s="42" t="e">
        <f>INDEX(Input!$D$2:$AC$500,
       MATCH(B189, Input!$J$2:$J$500, 0),
       MATCH("Disk Interface Type", Input!$D$1:$AC$1, 0))</f>
        <v>#N/A</v>
      </c>
      <c r="P189" s="42" t="str" cm="1">
        <f t="array" ref="P189">IFERROR(_xlfn.TEXTJOIN(", ", TRUE, _xlfn._xlws.FILTER(
    INDEX(Input!$D$2:$AC$500,,MATCH("Disk Capacity",Input!$D$1:$AC$1,0)),
    Input!$J$2:$J$500=B189
)), "")</f>
        <v/>
      </c>
      <c r="Q189" s="32" t="e">
        <f t="shared" si="7"/>
        <v>#N/A</v>
      </c>
      <c r="R189" s="42" t="e">
        <f>_xlfn.LET(_xlpm.Result,INDEX(Input!$D$2:$AC$500,
       MATCH(B189, Input!$J$2:$J$500, 0),
       MATCH("Capacity", Input!$D$1:$AC$1, 0)),IF(_xlpm.Result="","",_xlpm.Result))</f>
        <v>#N/A</v>
      </c>
      <c r="S189" s="42" t="e" cm="1">
        <f t="array" ref="S189">_xlfn.TEXTSPLIT(R189," / ", ,TRUE,0,)</f>
        <v>#N/A</v>
      </c>
      <c r="T189" s="42"/>
      <c r="U189" s="42" t="str" cm="1">
        <f t="array" ref="U189">IFERROR(_xlfn.IFS(
S189="","",
--S189&lt;55,"Battery Defect",
--S189&lt;=69,"Battery D",
--S189&lt;=80,"Battery C",
--S189&gt;80,""
),"")</f>
        <v/>
      </c>
      <c r="V189" s="42" t="str" cm="1">
        <f t="array" ref="V189">IFERROR(_xlfn.IFS(
T189="","",
--T189&lt;55,"Battery Defect",
--T189&lt;=69,"Battery D",
--T189&lt;=80,"Battery C",
--T189&gt;80,""
),"")</f>
        <v/>
      </c>
      <c r="W189" s="42" t="str" cm="1">
        <f t="array" ref="W189:AD189">IFERROR(IF(_xlfn.XLOOKUP(B189,Input!J:J,Input!N:U)=0,"",
          _xlfn.XLOOKUP(B189,Input!J:J,Input!N:U)),"")</f>
        <v/>
      </c>
      <c r="X189" s="42" t="str">
        <v/>
      </c>
      <c r="Y189" s="42" t="str">
        <v/>
      </c>
      <c r="Z189" s="42" t="str">
        <v/>
      </c>
      <c r="AA189" s="42" t="str">
        <v/>
      </c>
      <c r="AB189" s="42" t="str">
        <v/>
      </c>
      <c r="AC189" s="42" t="str">
        <v/>
      </c>
      <c r="AD189" s="42" t="str">
        <v/>
      </c>
      <c r="AE189" s="32" t="str">
        <f t="shared" si="6"/>
        <v/>
      </c>
      <c r="AF189" s="32" t="str">
        <f>_xlfn.XLOOKUP(B:B,Disk_Pivot!G:G,Disk_Pivot!I:I)</f>
        <v>Yes x2</v>
      </c>
      <c r="AG189" s="32" t="str">
        <f>_xlfn.XLOOKUP(B189,Disk_Pivot!G:G,Disk_Pivot!N:N)</f>
        <v>Pass, Fail</v>
      </c>
      <c r="AH189" s="32"/>
      <c r="AI189" s="32"/>
      <c r="AJ189" s="32"/>
      <c r="AK189" s="32"/>
      <c r="AL189" s="32"/>
      <c r="AM189" s="32"/>
    </row>
    <row r="190" spans="1:39">
      <c r="A190" s="32" t="str">
        <f>_xlfn.XLOOKUP(B190,Input!J:J,Input!G:G)&amp;""</f>
        <v/>
      </c>
      <c r="B190" s="32"/>
      <c r="C190" s="32" t="str">
        <f>_xlfn.XLOOKUP(B190,Input!J:J,Input!H:H)&amp;""</f>
        <v/>
      </c>
      <c r="D190" s="42">
        <f>_xlfn.XLOOKUP(B190,Input!J:J,Input!F:F)</f>
        <v>0</v>
      </c>
      <c r="E190" s="32">
        <f>_xlfn.XLOOKUP(D190,Models!H:H,Models!G:G,D190)</f>
        <v>0</v>
      </c>
      <c r="F190" s="32">
        <f>_xlfn.XLOOKUP(B190,Input!J:J,Input!E:E)</f>
        <v>0</v>
      </c>
      <c r="G190" s="32">
        <f>IF(F190="LENOVO",_xlfn.XLOOKUP(B190,Input!J:J,Input!K:K),_xlfn.XLOOKUP(B190,Input!J:J,Input!L:L))</f>
        <v>0</v>
      </c>
      <c r="H190" s="32"/>
      <c r="I190" s="32"/>
      <c r="J190" s="32">
        <f>_xlfn.XLOOKUP(B190,CPU_Formula!A:A,CPU_Formula!I:I)</f>
        <v>0</v>
      </c>
      <c r="K190" s="42" t="e">
        <f>INDEX(Input!$D$2:$AC$500,
       MATCH(B190, Input!$J$2:$J$500, 0),
       MATCH("Total Memory", Input!$D$1:$AC$1, 0))</f>
        <v>#N/A</v>
      </c>
      <c r="L190" s="42" t="e">
        <f>INDEX(Input!$D$2:$AC$500,
       MATCH(B190, Input!$J$2:$J$500, 0),
       MATCH("Memory Type", Input!$D$1:$AC$1, 0))</f>
        <v>#N/A</v>
      </c>
      <c r="M190" s="42" t="str" cm="1">
        <f t="array" ref="M190">IFERROR(_xlfn.FILTERXML("&lt;t&gt;&lt;s&gt;" &amp; SUBSTITUTE(L190," / ","&lt;/s&gt;&lt;s&gt;") &amp; "&lt;/s&gt;&lt;/t&gt;","(//s[contains(.,'DDR')])[1]"),"")</f>
        <v/>
      </c>
      <c r="N190" s="32" t="e">
        <f t="shared" si="8"/>
        <v>#N/A</v>
      </c>
      <c r="O190" s="42" t="e">
        <f>INDEX(Input!$D$2:$AC$500,
       MATCH(B190, Input!$J$2:$J$500, 0),
       MATCH("Disk Interface Type", Input!$D$1:$AC$1, 0))</f>
        <v>#N/A</v>
      </c>
      <c r="P190" s="42" t="str" cm="1">
        <f t="array" ref="P190">IFERROR(_xlfn.TEXTJOIN(", ", TRUE, _xlfn._xlws.FILTER(
    INDEX(Input!$D$2:$AC$500,,MATCH("Disk Capacity",Input!$D$1:$AC$1,0)),
    Input!$J$2:$J$500=B190
)), "")</f>
        <v/>
      </c>
      <c r="Q190" s="32" t="e">
        <f t="shared" si="7"/>
        <v>#N/A</v>
      </c>
      <c r="R190" s="42" t="e">
        <f>_xlfn.LET(_xlpm.Result,INDEX(Input!$D$2:$AC$500,
       MATCH(B190, Input!$J$2:$J$500, 0),
       MATCH("Capacity", Input!$D$1:$AC$1, 0)),IF(_xlpm.Result="","",_xlpm.Result))</f>
        <v>#N/A</v>
      </c>
      <c r="S190" s="42" t="e" cm="1">
        <f t="array" ref="S190">_xlfn.TEXTSPLIT(R190," / ", ,TRUE,0,)</f>
        <v>#N/A</v>
      </c>
      <c r="T190" s="42"/>
      <c r="U190" s="42" t="str" cm="1">
        <f t="array" ref="U190">IFERROR(_xlfn.IFS(
S190="","",
--S190&lt;55,"Battery Defect",
--S190&lt;=69,"Battery D",
--S190&lt;=80,"Battery C",
--S190&gt;80,""
),"")</f>
        <v/>
      </c>
      <c r="V190" s="42" t="str" cm="1">
        <f t="array" ref="V190">IFERROR(_xlfn.IFS(
T190="","",
--T190&lt;55,"Battery Defect",
--T190&lt;=69,"Battery D",
--T190&lt;=80,"Battery C",
--T190&gt;80,""
),"")</f>
        <v/>
      </c>
      <c r="W190" s="42" t="str" cm="1">
        <f t="array" ref="W190:AD190">IFERROR(IF(_xlfn.XLOOKUP(B190,Input!J:J,Input!N:U)=0,"",
          _xlfn.XLOOKUP(B190,Input!J:J,Input!N:U)),"")</f>
        <v/>
      </c>
      <c r="X190" s="42" t="str">
        <v/>
      </c>
      <c r="Y190" s="42" t="str">
        <v/>
      </c>
      <c r="Z190" s="42" t="str">
        <v/>
      </c>
      <c r="AA190" s="42" t="str">
        <v/>
      </c>
      <c r="AB190" s="42" t="str">
        <v/>
      </c>
      <c r="AC190" s="42" t="str">
        <v/>
      </c>
      <c r="AD190" s="42" t="str">
        <v/>
      </c>
      <c r="AE190" s="32" t="str">
        <f t="shared" si="6"/>
        <v/>
      </c>
      <c r="AF190" s="32" t="str">
        <f>_xlfn.XLOOKUP(B:B,Disk_Pivot!G:G,Disk_Pivot!I:I)</f>
        <v>Yes x2</v>
      </c>
      <c r="AG190" s="32" t="str">
        <f>_xlfn.XLOOKUP(B190,Disk_Pivot!G:G,Disk_Pivot!N:N)</f>
        <v>Pass, Fail</v>
      </c>
      <c r="AH190" s="32"/>
      <c r="AI190" s="32"/>
      <c r="AJ190" s="32"/>
      <c r="AK190" s="32"/>
      <c r="AL190" s="32"/>
      <c r="AM190" s="32"/>
    </row>
    <row r="191" spans="1:39">
      <c r="A191" s="32" t="str">
        <f>_xlfn.XLOOKUP(B191,Input!J:J,Input!G:G)&amp;""</f>
        <v/>
      </c>
      <c r="B191" s="32"/>
      <c r="C191" s="32" t="str">
        <f>_xlfn.XLOOKUP(B191,Input!J:J,Input!H:H)&amp;""</f>
        <v/>
      </c>
      <c r="D191" s="42">
        <f>_xlfn.XLOOKUP(B191,Input!J:J,Input!F:F)</f>
        <v>0</v>
      </c>
      <c r="E191" s="32">
        <f>_xlfn.XLOOKUP(D191,Models!H:H,Models!G:G,D191)</f>
        <v>0</v>
      </c>
      <c r="F191" s="32">
        <f>_xlfn.XLOOKUP(B191,Input!J:J,Input!E:E)</f>
        <v>0</v>
      </c>
      <c r="G191" s="32">
        <f>IF(F191="LENOVO",_xlfn.XLOOKUP(B191,Input!J:J,Input!K:K),_xlfn.XLOOKUP(B191,Input!J:J,Input!L:L))</f>
        <v>0</v>
      </c>
      <c r="H191" s="32"/>
      <c r="I191" s="32"/>
      <c r="J191" s="32">
        <f>_xlfn.XLOOKUP(B191,CPU_Formula!A:A,CPU_Formula!I:I)</f>
        <v>0</v>
      </c>
      <c r="K191" s="42" t="e">
        <f>INDEX(Input!$D$2:$AC$500,
       MATCH(B191, Input!$J$2:$J$500, 0),
       MATCH("Total Memory", Input!$D$1:$AC$1, 0))</f>
        <v>#N/A</v>
      </c>
      <c r="L191" s="42" t="e">
        <f>INDEX(Input!$D$2:$AC$500,
       MATCH(B191, Input!$J$2:$J$500, 0),
       MATCH("Memory Type", Input!$D$1:$AC$1, 0))</f>
        <v>#N/A</v>
      </c>
      <c r="M191" s="42" t="str" cm="1">
        <f t="array" ref="M191">IFERROR(_xlfn.FILTERXML("&lt;t&gt;&lt;s&gt;" &amp; SUBSTITUTE(L191," / ","&lt;/s&gt;&lt;s&gt;") &amp; "&lt;/s&gt;&lt;/t&gt;","(//s[contains(.,'DDR')])[1]"),"")</f>
        <v/>
      </c>
      <c r="N191" s="32" t="e">
        <f t="shared" si="8"/>
        <v>#N/A</v>
      </c>
      <c r="O191" s="42" t="e">
        <f>INDEX(Input!$D$2:$AC$500,
       MATCH(B191, Input!$J$2:$J$500, 0),
       MATCH("Disk Interface Type", Input!$D$1:$AC$1, 0))</f>
        <v>#N/A</v>
      </c>
      <c r="P191" s="42" t="str" cm="1">
        <f t="array" ref="P191">IFERROR(_xlfn.TEXTJOIN(", ", TRUE, _xlfn._xlws.FILTER(
    INDEX(Input!$D$2:$AC$500,,MATCH("Disk Capacity",Input!$D$1:$AC$1,0)),
    Input!$J$2:$J$500=B191
)), "")</f>
        <v/>
      </c>
      <c r="Q191" s="32" t="e">
        <f t="shared" si="7"/>
        <v>#N/A</v>
      </c>
      <c r="R191" s="42" t="e">
        <f>_xlfn.LET(_xlpm.Result,INDEX(Input!$D$2:$AC$500,
       MATCH(B191, Input!$J$2:$J$500, 0),
       MATCH("Capacity", Input!$D$1:$AC$1, 0)),IF(_xlpm.Result="","",_xlpm.Result))</f>
        <v>#N/A</v>
      </c>
      <c r="S191" s="42" t="e" cm="1">
        <f t="array" ref="S191">_xlfn.TEXTSPLIT(R191," / ", ,TRUE,0,)</f>
        <v>#N/A</v>
      </c>
      <c r="T191" s="42"/>
      <c r="U191" s="42" t="str" cm="1">
        <f t="array" ref="U191">IFERROR(_xlfn.IFS(
S191="","",
--S191&lt;55,"Battery Defect",
--S191&lt;=69,"Battery D",
--S191&lt;=80,"Battery C",
--S191&gt;80,""
),"")</f>
        <v/>
      </c>
      <c r="V191" s="42" t="str" cm="1">
        <f t="array" ref="V191">IFERROR(_xlfn.IFS(
T191="","",
--T191&lt;55,"Battery Defect",
--T191&lt;=69,"Battery D",
--T191&lt;=80,"Battery C",
--T191&gt;80,""
),"")</f>
        <v/>
      </c>
      <c r="W191" s="42" t="str" cm="1">
        <f t="array" ref="W191:AD191">IFERROR(IF(_xlfn.XLOOKUP(B191,Input!J:J,Input!N:U)=0,"",
          _xlfn.XLOOKUP(B191,Input!J:J,Input!N:U)),"")</f>
        <v/>
      </c>
      <c r="X191" s="42" t="str">
        <v/>
      </c>
      <c r="Y191" s="42" t="str">
        <v/>
      </c>
      <c r="Z191" s="42" t="str">
        <v/>
      </c>
      <c r="AA191" s="42" t="str">
        <v/>
      </c>
      <c r="AB191" s="42" t="str">
        <v/>
      </c>
      <c r="AC191" s="42" t="str">
        <v/>
      </c>
      <c r="AD191" s="42" t="str">
        <v/>
      </c>
      <c r="AE191" s="32" t="str">
        <f t="shared" si="6"/>
        <v/>
      </c>
      <c r="AF191" s="32" t="str">
        <f>_xlfn.XLOOKUP(B:B,Disk_Pivot!G:G,Disk_Pivot!I:I)</f>
        <v>Yes x2</v>
      </c>
      <c r="AG191" s="32" t="str">
        <f>_xlfn.XLOOKUP(B191,Disk_Pivot!G:G,Disk_Pivot!N:N)</f>
        <v>Pass, Fail</v>
      </c>
      <c r="AH191" s="32"/>
      <c r="AI191" s="32"/>
      <c r="AJ191" s="32"/>
      <c r="AK191" s="32"/>
      <c r="AL191" s="32"/>
      <c r="AM191" s="32"/>
    </row>
    <row r="192" spans="1:39">
      <c r="A192" s="32" t="str">
        <f>_xlfn.XLOOKUP(B192,Input!J:J,Input!G:G)&amp;""</f>
        <v/>
      </c>
      <c r="B192" s="32"/>
      <c r="C192" s="32" t="str">
        <f>_xlfn.XLOOKUP(B192,Input!J:J,Input!H:H)&amp;""</f>
        <v/>
      </c>
      <c r="D192" s="42">
        <f>_xlfn.XLOOKUP(B192,Input!J:J,Input!F:F)</f>
        <v>0</v>
      </c>
      <c r="E192" s="32">
        <f>_xlfn.XLOOKUP(D192,Models!H:H,Models!G:G,D192)</f>
        <v>0</v>
      </c>
      <c r="F192" s="32">
        <f>_xlfn.XLOOKUP(B192,Input!J:J,Input!E:E)</f>
        <v>0</v>
      </c>
      <c r="G192" s="32">
        <f>IF(F192="LENOVO",_xlfn.XLOOKUP(B192,Input!J:J,Input!K:K),_xlfn.XLOOKUP(B192,Input!J:J,Input!L:L))</f>
        <v>0</v>
      </c>
      <c r="H192" s="32"/>
      <c r="I192" s="32"/>
      <c r="J192" s="32">
        <f>_xlfn.XLOOKUP(B192,CPU_Formula!A:A,CPU_Formula!I:I)</f>
        <v>0</v>
      </c>
      <c r="K192" s="42" t="e">
        <f>INDEX(Input!$D$2:$AC$500,
       MATCH(B192, Input!$J$2:$J$500, 0),
       MATCH("Total Memory", Input!$D$1:$AC$1, 0))</f>
        <v>#N/A</v>
      </c>
      <c r="L192" s="42" t="e">
        <f>INDEX(Input!$D$2:$AC$500,
       MATCH(B192, Input!$J$2:$J$500, 0),
       MATCH("Memory Type", Input!$D$1:$AC$1, 0))</f>
        <v>#N/A</v>
      </c>
      <c r="M192" s="42" t="str" cm="1">
        <f t="array" ref="M192">IFERROR(_xlfn.FILTERXML("&lt;t&gt;&lt;s&gt;" &amp; SUBSTITUTE(L192," / ","&lt;/s&gt;&lt;s&gt;") &amp; "&lt;/s&gt;&lt;/t&gt;","(//s[contains(.,'DDR')])[1]"),"")</f>
        <v/>
      </c>
      <c r="N192" s="32" t="e">
        <f t="shared" si="8"/>
        <v>#N/A</v>
      </c>
      <c r="O192" s="42" t="e">
        <f>INDEX(Input!$D$2:$AC$500,
       MATCH(B192, Input!$J$2:$J$500, 0),
       MATCH("Disk Interface Type", Input!$D$1:$AC$1, 0))</f>
        <v>#N/A</v>
      </c>
      <c r="P192" s="42" t="str" cm="1">
        <f t="array" ref="P192">IFERROR(_xlfn.TEXTJOIN(", ", TRUE, _xlfn._xlws.FILTER(
    INDEX(Input!$D$2:$AC$500,,MATCH("Disk Capacity",Input!$D$1:$AC$1,0)),
    Input!$J$2:$J$500=B192
)), "")</f>
        <v/>
      </c>
      <c r="Q192" s="32" t="e">
        <f t="shared" si="7"/>
        <v>#N/A</v>
      </c>
      <c r="R192" s="42" t="e">
        <f>_xlfn.LET(_xlpm.Result,INDEX(Input!$D$2:$AC$500,
       MATCH(B192, Input!$J$2:$J$500, 0),
       MATCH("Capacity", Input!$D$1:$AC$1, 0)),IF(_xlpm.Result="","",_xlpm.Result))</f>
        <v>#N/A</v>
      </c>
      <c r="S192" s="42" t="e" cm="1">
        <f t="array" ref="S192">_xlfn.TEXTSPLIT(R192," / ", ,TRUE,0,)</f>
        <v>#N/A</v>
      </c>
      <c r="T192" s="42"/>
      <c r="U192" s="42" t="str" cm="1">
        <f t="array" ref="U192">IFERROR(_xlfn.IFS(
S192="","",
--S192&lt;55,"Battery Defect",
--S192&lt;=69,"Battery D",
--S192&lt;=80,"Battery C",
--S192&gt;80,""
),"")</f>
        <v/>
      </c>
      <c r="V192" s="42" t="str" cm="1">
        <f t="array" ref="V192">IFERROR(_xlfn.IFS(
T192="","",
--T192&lt;55,"Battery Defect",
--T192&lt;=69,"Battery D",
--T192&lt;=80,"Battery C",
--T192&gt;80,""
),"")</f>
        <v/>
      </c>
      <c r="W192" s="42" t="str" cm="1">
        <f t="array" ref="W192:AD192">IFERROR(IF(_xlfn.XLOOKUP(B192,Input!J:J,Input!N:U)=0,"",
          _xlfn.XLOOKUP(B192,Input!J:J,Input!N:U)),"")</f>
        <v/>
      </c>
      <c r="X192" s="42" t="str">
        <v/>
      </c>
      <c r="Y192" s="42" t="str">
        <v/>
      </c>
      <c r="Z192" s="42" t="str">
        <v/>
      </c>
      <c r="AA192" s="42" t="str">
        <v/>
      </c>
      <c r="AB192" s="42" t="str">
        <v/>
      </c>
      <c r="AC192" s="42" t="str">
        <v/>
      </c>
      <c r="AD192" s="42" t="str">
        <v/>
      </c>
      <c r="AE192" s="32" t="str">
        <f t="shared" si="6"/>
        <v/>
      </c>
      <c r="AF192" s="32" t="str">
        <f>_xlfn.XLOOKUP(B:B,Disk_Pivot!G:G,Disk_Pivot!I:I)</f>
        <v>Yes x2</v>
      </c>
      <c r="AG192" s="32" t="str">
        <f>_xlfn.XLOOKUP(B192,Disk_Pivot!G:G,Disk_Pivot!N:N)</f>
        <v>Pass, Fail</v>
      </c>
      <c r="AH192" s="32"/>
      <c r="AI192" s="32"/>
      <c r="AJ192" s="32"/>
      <c r="AK192" s="32"/>
      <c r="AL192" s="32"/>
      <c r="AM192" s="32"/>
    </row>
    <row r="193" spans="1:39">
      <c r="A193" s="32" t="str">
        <f>_xlfn.XLOOKUP(B193,Input!J:J,Input!G:G)&amp;""</f>
        <v/>
      </c>
      <c r="B193" s="32"/>
      <c r="C193" s="32" t="str">
        <f>_xlfn.XLOOKUP(B193,Input!J:J,Input!H:H)&amp;""</f>
        <v/>
      </c>
      <c r="D193" s="42">
        <f>_xlfn.XLOOKUP(B193,Input!J:J,Input!F:F)</f>
        <v>0</v>
      </c>
      <c r="E193" s="32">
        <f>_xlfn.XLOOKUP(D193,Models!H:H,Models!G:G,D193)</f>
        <v>0</v>
      </c>
      <c r="F193" s="32">
        <f>_xlfn.XLOOKUP(B193,Input!J:J,Input!E:E)</f>
        <v>0</v>
      </c>
      <c r="G193" s="32">
        <f>IF(F193="LENOVO",_xlfn.XLOOKUP(B193,Input!J:J,Input!K:K),_xlfn.XLOOKUP(B193,Input!J:J,Input!L:L))</f>
        <v>0</v>
      </c>
      <c r="H193" s="32"/>
      <c r="I193" s="32"/>
      <c r="J193" s="32">
        <f>_xlfn.XLOOKUP(B193,CPU_Formula!A:A,CPU_Formula!I:I)</f>
        <v>0</v>
      </c>
      <c r="K193" s="42" t="e">
        <f>INDEX(Input!$D$2:$AC$500,
       MATCH(B193, Input!$J$2:$J$500, 0),
       MATCH("Total Memory", Input!$D$1:$AC$1, 0))</f>
        <v>#N/A</v>
      </c>
      <c r="L193" s="42" t="e">
        <f>INDEX(Input!$D$2:$AC$500,
       MATCH(B193, Input!$J$2:$J$500, 0),
       MATCH("Memory Type", Input!$D$1:$AC$1, 0))</f>
        <v>#N/A</v>
      </c>
      <c r="M193" s="42" t="str" cm="1">
        <f t="array" ref="M193">IFERROR(_xlfn.FILTERXML("&lt;t&gt;&lt;s&gt;" &amp; SUBSTITUTE(L193," / ","&lt;/s&gt;&lt;s&gt;") &amp; "&lt;/s&gt;&lt;/t&gt;","(//s[contains(.,'DDR')])[1]"),"")</f>
        <v/>
      </c>
      <c r="N193" s="32" t="e">
        <f t="shared" si="8"/>
        <v>#N/A</v>
      </c>
      <c r="O193" s="42" t="e">
        <f>INDEX(Input!$D$2:$AC$500,
       MATCH(B193, Input!$J$2:$J$500, 0),
       MATCH("Disk Interface Type", Input!$D$1:$AC$1, 0))</f>
        <v>#N/A</v>
      </c>
      <c r="P193" s="42" t="str" cm="1">
        <f t="array" ref="P193">IFERROR(_xlfn.TEXTJOIN(", ", TRUE, _xlfn._xlws.FILTER(
    INDEX(Input!$D$2:$AC$500,,MATCH("Disk Capacity",Input!$D$1:$AC$1,0)),
    Input!$J$2:$J$500=B193
)), "")</f>
        <v/>
      </c>
      <c r="Q193" s="32" t="e">
        <f t="shared" si="7"/>
        <v>#N/A</v>
      </c>
      <c r="R193" s="42" t="e">
        <f>_xlfn.LET(_xlpm.Result,INDEX(Input!$D$2:$AC$500,
       MATCH(B193, Input!$J$2:$J$500, 0),
       MATCH("Capacity", Input!$D$1:$AC$1, 0)),IF(_xlpm.Result="","",_xlpm.Result))</f>
        <v>#N/A</v>
      </c>
      <c r="S193" s="42" t="e" cm="1">
        <f t="array" ref="S193">_xlfn.TEXTSPLIT(R193," / ", ,TRUE,0,)</f>
        <v>#N/A</v>
      </c>
      <c r="T193" s="42"/>
      <c r="U193" s="42" t="str" cm="1">
        <f t="array" ref="U193">IFERROR(_xlfn.IFS(
S193="","",
--S193&lt;55,"Battery Defect",
--S193&lt;=69,"Battery D",
--S193&lt;=80,"Battery C",
--S193&gt;80,""
),"")</f>
        <v/>
      </c>
      <c r="V193" s="42" t="str" cm="1">
        <f t="array" ref="V193">IFERROR(_xlfn.IFS(
T193="","",
--T193&lt;55,"Battery Defect",
--T193&lt;=69,"Battery D",
--T193&lt;=80,"Battery C",
--T193&gt;80,""
),"")</f>
        <v/>
      </c>
      <c r="W193" s="42" t="str" cm="1">
        <f t="array" ref="W193:AD193">IFERROR(IF(_xlfn.XLOOKUP(B193,Input!J:J,Input!N:U)=0,"",
          _xlfn.XLOOKUP(B193,Input!J:J,Input!N:U)),"")</f>
        <v/>
      </c>
      <c r="X193" s="42" t="str">
        <v/>
      </c>
      <c r="Y193" s="42" t="str">
        <v/>
      </c>
      <c r="Z193" s="42" t="str">
        <v/>
      </c>
      <c r="AA193" s="42" t="str">
        <v/>
      </c>
      <c r="AB193" s="42" t="str">
        <v/>
      </c>
      <c r="AC193" s="42" t="str">
        <v/>
      </c>
      <c r="AD193" s="42" t="str">
        <v/>
      </c>
      <c r="AE193" s="32" t="str">
        <f t="shared" si="6"/>
        <v/>
      </c>
      <c r="AF193" s="32" t="str">
        <f>_xlfn.XLOOKUP(B:B,Disk_Pivot!G:G,Disk_Pivot!I:I)</f>
        <v>Yes x2</v>
      </c>
      <c r="AG193" s="32" t="str">
        <f>_xlfn.XLOOKUP(B193,Disk_Pivot!G:G,Disk_Pivot!N:N)</f>
        <v>Pass, Fail</v>
      </c>
      <c r="AH193" s="32"/>
      <c r="AI193" s="32"/>
      <c r="AJ193" s="32"/>
      <c r="AK193" s="32"/>
      <c r="AL193" s="32"/>
      <c r="AM193" s="32"/>
    </row>
    <row r="194" spans="1:39">
      <c r="A194" s="32" t="str">
        <f>_xlfn.XLOOKUP(B194,Input!J:J,Input!G:G)&amp;""</f>
        <v/>
      </c>
      <c r="B194" s="32"/>
      <c r="C194" s="32" t="str">
        <f>_xlfn.XLOOKUP(B194,Input!J:J,Input!H:H)&amp;""</f>
        <v/>
      </c>
      <c r="D194" s="42">
        <f>_xlfn.XLOOKUP(B194,Input!J:J,Input!F:F)</f>
        <v>0</v>
      </c>
      <c r="E194" s="32">
        <f>_xlfn.XLOOKUP(D194,Models!H:H,Models!G:G,D194)</f>
        <v>0</v>
      </c>
      <c r="F194" s="32">
        <f>_xlfn.XLOOKUP(B194,Input!J:J,Input!E:E)</f>
        <v>0</v>
      </c>
      <c r="G194" s="32">
        <f>IF(F194="LENOVO",_xlfn.XLOOKUP(B194,Input!J:J,Input!K:K),_xlfn.XLOOKUP(B194,Input!J:J,Input!L:L))</f>
        <v>0</v>
      </c>
      <c r="H194" s="32"/>
      <c r="I194" s="32"/>
      <c r="J194" s="32">
        <f>_xlfn.XLOOKUP(B194,CPU_Formula!A:A,CPU_Formula!I:I)</f>
        <v>0</v>
      </c>
      <c r="K194" s="42" t="e">
        <f>INDEX(Input!$D$2:$AC$500,
       MATCH(B194, Input!$J$2:$J$500, 0),
       MATCH("Total Memory", Input!$D$1:$AC$1, 0))</f>
        <v>#N/A</v>
      </c>
      <c r="L194" s="42" t="e">
        <f>INDEX(Input!$D$2:$AC$500,
       MATCH(B194, Input!$J$2:$J$500, 0),
       MATCH("Memory Type", Input!$D$1:$AC$1, 0))</f>
        <v>#N/A</v>
      </c>
      <c r="M194" s="42" t="str" cm="1">
        <f t="array" ref="M194">IFERROR(_xlfn.FILTERXML("&lt;t&gt;&lt;s&gt;" &amp; SUBSTITUTE(L194," / ","&lt;/s&gt;&lt;s&gt;") &amp; "&lt;/s&gt;&lt;/t&gt;","(//s[contains(.,'DDR')])[1]"),"")</f>
        <v/>
      </c>
      <c r="N194" s="32" t="e">
        <f t="shared" si="8"/>
        <v>#N/A</v>
      </c>
      <c r="O194" s="42" t="e">
        <f>INDEX(Input!$D$2:$AC$500,
       MATCH(B194, Input!$J$2:$J$500, 0),
       MATCH("Disk Interface Type", Input!$D$1:$AC$1, 0))</f>
        <v>#N/A</v>
      </c>
      <c r="P194" s="42" t="str" cm="1">
        <f t="array" ref="P194">IFERROR(_xlfn.TEXTJOIN(", ", TRUE, _xlfn._xlws.FILTER(
    INDEX(Input!$D$2:$AC$500,,MATCH("Disk Capacity",Input!$D$1:$AC$1,0)),
    Input!$J$2:$J$500=B194
)), "")</f>
        <v/>
      </c>
      <c r="Q194" s="32" t="e">
        <f t="shared" si="7"/>
        <v>#N/A</v>
      </c>
      <c r="R194" s="42" t="e">
        <f>_xlfn.LET(_xlpm.Result,INDEX(Input!$D$2:$AC$500,
       MATCH(B194, Input!$J$2:$J$500, 0),
       MATCH("Capacity", Input!$D$1:$AC$1, 0)),IF(_xlpm.Result="","",_xlpm.Result))</f>
        <v>#N/A</v>
      </c>
      <c r="S194" s="42" t="e" cm="1">
        <f t="array" ref="S194">_xlfn.TEXTSPLIT(R194," / ", ,TRUE,0,)</f>
        <v>#N/A</v>
      </c>
      <c r="T194" s="42"/>
      <c r="U194" s="42" t="str" cm="1">
        <f t="array" ref="U194">IFERROR(_xlfn.IFS(
S194="","",
--S194&lt;55,"Battery Defect",
--S194&lt;=69,"Battery D",
--S194&lt;=80,"Battery C",
--S194&gt;80,""
),"")</f>
        <v/>
      </c>
      <c r="V194" s="42" t="str" cm="1">
        <f t="array" ref="V194">IFERROR(_xlfn.IFS(
T194="","",
--T194&lt;55,"Battery Defect",
--T194&lt;=69,"Battery D",
--T194&lt;=80,"Battery C",
--T194&gt;80,""
),"")</f>
        <v/>
      </c>
      <c r="W194" s="42" t="str" cm="1">
        <f t="array" ref="W194:AD194">IFERROR(IF(_xlfn.XLOOKUP(B194,Input!J:J,Input!N:U)=0,"",
          _xlfn.XLOOKUP(B194,Input!J:J,Input!N:U)),"")</f>
        <v/>
      </c>
      <c r="X194" s="42" t="str">
        <v/>
      </c>
      <c r="Y194" s="42" t="str">
        <v/>
      </c>
      <c r="Z194" s="42" t="str">
        <v/>
      </c>
      <c r="AA194" s="42" t="str">
        <v/>
      </c>
      <c r="AB194" s="42" t="str">
        <v/>
      </c>
      <c r="AC194" s="42" t="str">
        <v/>
      </c>
      <c r="AD194" s="42" t="str">
        <v/>
      </c>
      <c r="AE194" s="32" t="str">
        <f t="shared" ref="AE194:AE257" si="9">IF(E194="Laptop",_xlfn.TEXTJOIN(", ",TRUE,U194,V194,W194,X194,Y194,Z194,AA194,AB194), _xlfn.TEXTJOIN(", ",TRUE,W194,X194,Y194,Z194,AA194,AB194))</f>
        <v/>
      </c>
      <c r="AF194" s="32" t="str">
        <f>_xlfn.XLOOKUP(B:B,Disk_Pivot!G:G,Disk_Pivot!I:I)</f>
        <v>Yes x2</v>
      </c>
      <c r="AG194" s="32" t="str">
        <f>_xlfn.XLOOKUP(B194,Disk_Pivot!G:G,Disk_Pivot!N:N)</f>
        <v>Pass, Fail</v>
      </c>
      <c r="AH194" s="32"/>
      <c r="AI194" s="32"/>
      <c r="AJ194" s="32"/>
      <c r="AK194" s="32"/>
      <c r="AL194" s="32"/>
      <c r="AM194" s="32"/>
    </row>
    <row r="195" spans="1:39">
      <c r="A195" s="32" t="str">
        <f>_xlfn.XLOOKUP(B195,Input!J:J,Input!G:G)&amp;""</f>
        <v/>
      </c>
      <c r="B195" s="32"/>
      <c r="C195" s="32" t="str">
        <f>_xlfn.XLOOKUP(B195,Input!J:J,Input!H:H)&amp;""</f>
        <v/>
      </c>
      <c r="D195" s="42">
        <f>_xlfn.XLOOKUP(B195,Input!J:J,Input!F:F)</f>
        <v>0</v>
      </c>
      <c r="E195" s="32">
        <f>_xlfn.XLOOKUP(D195,Models!H:H,Models!G:G,D195)</f>
        <v>0</v>
      </c>
      <c r="F195" s="32">
        <f>_xlfn.XLOOKUP(B195,Input!J:J,Input!E:E)</f>
        <v>0</v>
      </c>
      <c r="G195" s="32">
        <f>IF(F195="LENOVO",_xlfn.XLOOKUP(B195,Input!J:J,Input!K:K),_xlfn.XLOOKUP(B195,Input!J:J,Input!L:L))</f>
        <v>0</v>
      </c>
      <c r="H195" s="32"/>
      <c r="I195" s="32"/>
      <c r="J195" s="32">
        <f>_xlfn.XLOOKUP(B195,CPU_Formula!A:A,CPU_Formula!I:I)</f>
        <v>0</v>
      </c>
      <c r="K195" s="42" t="e">
        <f>INDEX(Input!$D$2:$AC$500,
       MATCH(B195, Input!$J$2:$J$500, 0),
       MATCH("Total Memory", Input!$D$1:$AC$1, 0))</f>
        <v>#N/A</v>
      </c>
      <c r="L195" s="42" t="e">
        <f>INDEX(Input!$D$2:$AC$500,
       MATCH(B195, Input!$J$2:$J$500, 0),
       MATCH("Memory Type", Input!$D$1:$AC$1, 0))</f>
        <v>#N/A</v>
      </c>
      <c r="M195" s="42" t="str" cm="1">
        <f t="array" ref="M195">IFERROR(_xlfn.FILTERXML("&lt;t&gt;&lt;s&gt;" &amp; SUBSTITUTE(L195," / ","&lt;/s&gt;&lt;s&gt;") &amp; "&lt;/s&gt;&lt;/t&gt;","(//s[contains(.,'DDR')])[1]"),"")</f>
        <v/>
      </c>
      <c r="N195" s="32" t="e">
        <f t="shared" si="8"/>
        <v>#N/A</v>
      </c>
      <c r="O195" s="42" t="e">
        <f>INDEX(Input!$D$2:$AC$500,
       MATCH(B195, Input!$J$2:$J$500, 0),
       MATCH("Disk Interface Type", Input!$D$1:$AC$1, 0))</f>
        <v>#N/A</v>
      </c>
      <c r="P195" s="42" t="str" cm="1">
        <f t="array" ref="P195">IFERROR(_xlfn.TEXTJOIN(", ", TRUE, _xlfn._xlws.FILTER(
    INDEX(Input!$D$2:$AC$500,,MATCH("Disk Capacity",Input!$D$1:$AC$1,0)),
    Input!$J$2:$J$500=B195
)), "")</f>
        <v/>
      </c>
      <c r="Q195" s="32" t="e">
        <f t="shared" ref="Q195:Q258" si="10">_xlfn.TEXTJOIN(" ",TRUE,P195,O195)</f>
        <v>#N/A</v>
      </c>
      <c r="R195" s="42" t="e">
        <f>_xlfn.LET(_xlpm.Result,INDEX(Input!$D$2:$AC$500,
       MATCH(B195, Input!$J$2:$J$500, 0),
       MATCH("Capacity", Input!$D$1:$AC$1, 0)),IF(_xlpm.Result="","",_xlpm.Result))</f>
        <v>#N/A</v>
      </c>
      <c r="S195" s="42" t="e" cm="1">
        <f t="array" ref="S195">_xlfn.TEXTSPLIT(R195," / ", ,TRUE,0,)</f>
        <v>#N/A</v>
      </c>
      <c r="T195" s="42"/>
      <c r="U195" s="42" t="str" cm="1">
        <f t="array" ref="U195">IFERROR(_xlfn.IFS(
S195="","",
--S195&lt;55,"Battery Defect",
--S195&lt;=69,"Battery D",
--S195&lt;=80,"Battery C",
--S195&gt;80,""
),"")</f>
        <v/>
      </c>
      <c r="V195" s="42" t="str" cm="1">
        <f t="array" ref="V195">IFERROR(_xlfn.IFS(
T195="","",
--T195&lt;55,"Battery Defect",
--T195&lt;=69,"Battery D",
--T195&lt;=80,"Battery C",
--T195&gt;80,""
),"")</f>
        <v/>
      </c>
      <c r="W195" s="42" t="str" cm="1">
        <f t="array" ref="W195:AD195">IFERROR(IF(_xlfn.XLOOKUP(B195,Input!J:J,Input!N:U)=0,"",
          _xlfn.XLOOKUP(B195,Input!J:J,Input!N:U)),"")</f>
        <v/>
      </c>
      <c r="X195" s="42" t="str">
        <v/>
      </c>
      <c r="Y195" s="42" t="str">
        <v/>
      </c>
      <c r="Z195" s="42" t="str">
        <v/>
      </c>
      <c r="AA195" s="42" t="str">
        <v/>
      </c>
      <c r="AB195" s="42" t="str">
        <v/>
      </c>
      <c r="AC195" s="42" t="str">
        <v/>
      </c>
      <c r="AD195" s="42" t="str">
        <v/>
      </c>
      <c r="AE195" s="32" t="str">
        <f t="shared" si="9"/>
        <v/>
      </c>
      <c r="AF195" s="32" t="str">
        <f>_xlfn.XLOOKUP(B:B,Disk_Pivot!G:G,Disk_Pivot!I:I)</f>
        <v>Yes x2</v>
      </c>
      <c r="AG195" s="32" t="str">
        <f>_xlfn.XLOOKUP(B195,Disk_Pivot!G:G,Disk_Pivot!N:N)</f>
        <v>Pass, Fail</v>
      </c>
      <c r="AH195" s="32"/>
      <c r="AI195" s="32"/>
      <c r="AJ195" s="32"/>
      <c r="AK195" s="32"/>
      <c r="AL195" s="32"/>
      <c r="AM195" s="32"/>
    </row>
    <row r="196" spans="1:39">
      <c r="A196" s="32" t="str">
        <f>_xlfn.XLOOKUP(B196,Input!J:J,Input!G:G)&amp;""</f>
        <v/>
      </c>
      <c r="B196" s="32"/>
      <c r="C196" s="32" t="str">
        <f>_xlfn.XLOOKUP(B196,Input!J:J,Input!H:H)&amp;""</f>
        <v/>
      </c>
      <c r="D196" s="42">
        <f>_xlfn.XLOOKUP(B196,Input!J:J,Input!F:F)</f>
        <v>0</v>
      </c>
      <c r="E196" s="32">
        <f>_xlfn.XLOOKUP(D196,Models!H:H,Models!G:G,D196)</f>
        <v>0</v>
      </c>
      <c r="F196" s="32">
        <f>_xlfn.XLOOKUP(B196,Input!J:J,Input!E:E)</f>
        <v>0</v>
      </c>
      <c r="G196" s="32">
        <f>IF(F196="LENOVO",_xlfn.XLOOKUP(B196,Input!J:J,Input!K:K),_xlfn.XLOOKUP(B196,Input!J:J,Input!L:L))</f>
        <v>0</v>
      </c>
      <c r="H196" s="32"/>
      <c r="I196" s="32"/>
      <c r="J196" s="32">
        <f>_xlfn.XLOOKUP(B196,CPU_Formula!A:A,CPU_Formula!I:I)</f>
        <v>0</v>
      </c>
      <c r="K196" s="42" t="e">
        <f>INDEX(Input!$D$2:$AC$500,
       MATCH(B196, Input!$J$2:$J$500, 0),
       MATCH("Total Memory", Input!$D$1:$AC$1, 0))</f>
        <v>#N/A</v>
      </c>
      <c r="L196" s="42" t="e">
        <f>INDEX(Input!$D$2:$AC$500,
       MATCH(B196, Input!$J$2:$J$500, 0),
       MATCH("Memory Type", Input!$D$1:$AC$1, 0))</f>
        <v>#N/A</v>
      </c>
      <c r="M196" s="42" t="str" cm="1">
        <f t="array" ref="M196">IFERROR(_xlfn.FILTERXML("&lt;t&gt;&lt;s&gt;" &amp; SUBSTITUTE(L196," / ","&lt;/s&gt;&lt;s&gt;") &amp; "&lt;/s&gt;&lt;/t&gt;","(//s[contains(.,'DDR')])[1]"),"")</f>
        <v/>
      </c>
      <c r="N196" s="32" t="e">
        <f t="shared" ref="N196:N259" si="11">_xlfn.TEXTJOIN(" ",TRUE,SUBSTITUTE(K196,"i",""),M196)</f>
        <v>#N/A</v>
      </c>
      <c r="O196" s="42" t="e">
        <f>INDEX(Input!$D$2:$AC$500,
       MATCH(B196, Input!$J$2:$J$500, 0),
       MATCH("Disk Interface Type", Input!$D$1:$AC$1, 0))</f>
        <v>#N/A</v>
      </c>
      <c r="P196" s="42" t="str" cm="1">
        <f t="array" ref="P196">IFERROR(_xlfn.TEXTJOIN(", ", TRUE, _xlfn._xlws.FILTER(
    INDEX(Input!$D$2:$AC$500,,MATCH("Disk Capacity",Input!$D$1:$AC$1,0)),
    Input!$J$2:$J$500=B196
)), "")</f>
        <v/>
      </c>
      <c r="Q196" s="32" t="e">
        <f t="shared" si="10"/>
        <v>#N/A</v>
      </c>
      <c r="R196" s="42" t="e">
        <f>_xlfn.LET(_xlpm.Result,INDEX(Input!$D$2:$AC$500,
       MATCH(B196, Input!$J$2:$J$500, 0),
       MATCH("Capacity", Input!$D$1:$AC$1, 0)),IF(_xlpm.Result="","",_xlpm.Result))</f>
        <v>#N/A</v>
      </c>
      <c r="S196" s="42" t="e" cm="1">
        <f t="array" ref="S196">_xlfn.TEXTSPLIT(R196," / ", ,TRUE,0,)</f>
        <v>#N/A</v>
      </c>
      <c r="T196" s="42"/>
      <c r="U196" s="42" t="str" cm="1">
        <f t="array" ref="U196">IFERROR(_xlfn.IFS(
S196="","",
--S196&lt;55,"Battery Defect",
--S196&lt;=69,"Battery D",
--S196&lt;=80,"Battery C",
--S196&gt;80,""
),"")</f>
        <v/>
      </c>
      <c r="V196" s="42" t="str" cm="1">
        <f t="array" ref="V196">IFERROR(_xlfn.IFS(
T196="","",
--T196&lt;55,"Battery Defect",
--T196&lt;=69,"Battery D",
--T196&lt;=80,"Battery C",
--T196&gt;80,""
),"")</f>
        <v/>
      </c>
      <c r="W196" s="42" t="str" cm="1">
        <f t="array" ref="W196:AD196">IFERROR(IF(_xlfn.XLOOKUP(B196,Input!J:J,Input!N:U)=0,"",
          _xlfn.XLOOKUP(B196,Input!J:J,Input!N:U)),"")</f>
        <v/>
      </c>
      <c r="X196" s="42" t="str">
        <v/>
      </c>
      <c r="Y196" s="42" t="str">
        <v/>
      </c>
      <c r="Z196" s="42" t="str">
        <v/>
      </c>
      <c r="AA196" s="42" t="str">
        <v/>
      </c>
      <c r="AB196" s="42" t="str">
        <v/>
      </c>
      <c r="AC196" s="42" t="str">
        <v/>
      </c>
      <c r="AD196" s="42" t="str">
        <v/>
      </c>
      <c r="AE196" s="32" t="str">
        <f t="shared" si="9"/>
        <v/>
      </c>
      <c r="AF196" s="32" t="str">
        <f>_xlfn.XLOOKUP(B:B,Disk_Pivot!G:G,Disk_Pivot!I:I)</f>
        <v>Yes x2</v>
      </c>
      <c r="AG196" s="32" t="str">
        <f>_xlfn.XLOOKUP(B196,Disk_Pivot!G:G,Disk_Pivot!N:N)</f>
        <v>Pass, Fail</v>
      </c>
      <c r="AH196" s="32"/>
      <c r="AI196" s="32"/>
      <c r="AJ196" s="32"/>
      <c r="AK196" s="32"/>
      <c r="AL196" s="32"/>
      <c r="AM196" s="32"/>
    </row>
    <row r="197" spans="1:39">
      <c r="A197" s="32" t="str">
        <f>_xlfn.XLOOKUP(B197,Input!J:J,Input!G:G)&amp;""</f>
        <v/>
      </c>
      <c r="B197" s="32"/>
      <c r="C197" s="32" t="str">
        <f>_xlfn.XLOOKUP(B197,Input!J:J,Input!H:H)&amp;""</f>
        <v/>
      </c>
      <c r="D197" s="42">
        <f>_xlfn.XLOOKUP(B197,Input!J:J,Input!F:F)</f>
        <v>0</v>
      </c>
      <c r="E197" s="32">
        <f>_xlfn.XLOOKUP(D197,Models!H:H,Models!G:G,D197)</f>
        <v>0</v>
      </c>
      <c r="F197" s="32">
        <f>_xlfn.XLOOKUP(B197,Input!J:J,Input!E:E)</f>
        <v>0</v>
      </c>
      <c r="G197" s="32">
        <f>IF(F197="LENOVO",_xlfn.XLOOKUP(B197,Input!J:J,Input!K:K),_xlfn.XLOOKUP(B197,Input!J:J,Input!L:L))</f>
        <v>0</v>
      </c>
      <c r="H197" s="32"/>
      <c r="I197" s="32"/>
      <c r="J197" s="32">
        <f>_xlfn.XLOOKUP(B197,CPU_Formula!A:A,CPU_Formula!I:I)</f>
        <v>0</v>
      </c>
      <c r="K197" s="42" t="e">
        <f>INDEX(Input!$D$2:$AC$500,
       MATCH(B197, Input!$J$2:$J$500, 0),
       MATCH("Total Memory", Input!$D$1:$AC$1, 0))</f>
        <v>#N/A</v>
      </c>
      <c r="L197" s="42" t="e">
        <f>INDEX(Input!$D$2:$AC$500,
       MATCH(B197, Input!$J$2:$J$500, 0),
       MATCH("Memory Type", Input!$D$1:$AC$1, 0))</f>
        <v>#N/A</v>
      </c>
      <c r="M197" s="42" t="str" cm="1">
        <f t="array" ref="M197">IFERROR(_xlfn.FILTERXML("&lt;t&gt;&lt;s&gt;" &amp; SUBSTITUTE(L197," / ","&lt;/s&gt;&lt;s&gt;") &amp; "&lt;/s&gt;&lt;/t&gt;","(//s[contains(.,'DDR')])[1]"),"")</f>
        <v/>
      </c>
      <c r="N197" s="32" t="e">
        <f t="shared" si="11"/>
        <v>#N/A</v>
      </c>
      <c r="O197" s="42" t="e">
        <f>INDEX(Input!$D$2:$AC$500,
       MATCH(B197, Input!$J$2:$J$500, 0),
       MATCH("Disk Interface Type", Input!$D$1:$AC$1, 0))</f>
        <v>#N/A</v>
      </c>
      <c r="P197" s="42" t="str" cm="1">
        <f t="array" ref="P197">IFERROR(_xlfn.TEXTJOIN(", ", TRUE, _xlfn._xlws.FILTER(
    INDEX(Input!$D$2:$AC$500,,MATCH("Disk Capacity",Input!$D$1:$AC$1,0)),
    Input!$J$2:$J$500=B197
)), "")</f>
        <v/>
      </c>
      <c r="Q197" s="32" t="e">
        <f t="shared" si="10"/>
        <v>#N/A</v>
      </c>
      <c r="R197" s="42" t="e">
        <f>_xlfn.LET(_xlpm.Result,INDEX(Input!$D$2:$AC$500,
       MATCH(B197, Input!$J$2:$J$500, 0),
       MATCH("Capacity", Input!$D$1:$AC$1, 0)),IF(_xlpm.Result="","",_xlpm.Result))</f>
        <v>#N/A</v>
      </c>
      <c r="S197" s="42" t="e" cm="1">
        <f t="array" ref="S197">_xlfn.TEXTSPLIT(R197," / ", ,TRUE,0,)</f>
        <v>#N/A</v>
      </c>
      <c r="T197" s="42"/>
      <c r="U197" s="42" t="str" cm="1">
        <f t="array" ref="U197">IFERROR(_xlfn.IFS(
S197="","",
--S197&lt;55,"Battery Defect",
--S197&lt;=69,"Battery D",
--S197&lt;=80,"Battery C",
--S197&gt;80,""
),"")</f>
        <v/>
      </c>
      <c r="V197" s="42" t="str" cm="1">
        <f t="array" ref="V197">IFERROR(_xlfn.IFS(
T197="","",
--T197&lt;55,"Battery Defect",
--T197&lt;=69,"Battery D",
--T197&lt;=80,"Battery C",
--T197&gt;80,""
),"")</f>
        <v/>
      </c>
      <c r="W197" s="42" t="str" cm="1">
        <f t="array" ref="W197:AD197">IFERROR(IF(_xlfn.XLOOKUP(B197,Input!J:J,Input!N:U)=0,"",
          _xlfn.XLOOKUP(B197,Input!J:J,Input!N:U)),"")</f>
        <v/>
      </c>
      <c r="X197" s="42" t="str">
        <v/>
      </c>
      <c r="Y197" s="42" t="str">
        <v/>
      </c>
      <c r="Z197" s="42" t="str">
        <v/>
      </c>
      <c r="AA197" s="42" t="str">
        <v/>
      </c>
      <c r="AB197" s="42" t="str">
        <v/>
      </c>
      <c r="AC197" s="42" t="str">
        <v/>
      </c>
      <c r="AD197" s="42" t="str">
        <v/>
      </c>
      <c r="AE197" s="32" t="str">
        <f t="shared" si="9"/>
        <v/>
      </c>
      <c r="AF197" s="32" t="str">
        <f>_xlfn.XLOOKUP(B:B,Disk_Pivot!G:G,Disk_Pivot!I:I)</f>
        <v>Yes x2</v>
      </c>
      <c r="AG197" s="32" t="str">
        <f>_xlfn.XLOOKUP(B197,Disk_Pivot!G:G,Disk_Pivot!N:N)</f>
        <v>Pass, Fail</v>
      </c>
      <c r="AH197" s="32"/>
      <c r="AI197" s="32"/>
      <c r="AJ197" s="32"/>
      <c r="AK197" s="32"/>
      <c r="AL197" s="32"/>
      <c r="AM197" s="32"/>
    </row>
    <row r="198" spans="1:39">
      <c r="A198" s="32" t="str">
        <f>_xlfn.XLOOKUP(B198,Input!J:J,Input!G:G)&amp;""</f>
        <v/>
      </c>
      <c r="B198" s="32"/>
      <c r="C198" s="32" t="str">
        <f>_xlfn.XLOOKUP(B198,Input!J:J,Input!H:H)&amp;""</f>
        <v/>
      </c>
      <c r="D198" s="42">
        <f>_xlfn.XLOOKUP(B198,Input!J:J,Input!F:F)</f>
        <v>0</v>
      </c>
      <c r="E198" s="32">
        <f>_xlfn.XLOOKUP(D198,Models!H:H,Models!G:G,D198)</f>
        <v>0</v>
      </c>
      <c r="F198" s="32">
        <f>_xlfn.XLOOKUP(B198,Input!J:J,Input!E:E)</f>
        <v>0</v>
      </c>
      <c r="G198" s="32">
        <f>IF(F198="LENOVO",_xlfn.XLOOKUP(B198,Input!J:J,Input!K:K),_xlfn.XLOOKUP(B198,Input!J:J,Input!L:L))</f>
        <v>0</v>
      </c>
      <c r="H198" s="32"/>
      <c r="I198" s="32"/>
      <c r="J198" s="32">
        <f>_xlfn.XLOOKUP(B198,CPU_Formula!A:A,CPU_Formula!I:I)</f>
        <v>0</v>
      </c>
      <c r="K198" s="42" t="e">
        <f>INDEX(Input!$D$2:$AC$500,
       MATCH(B198, Input!$J$2:$J$500, 0),
       MATCH("Total Memory", Input!$D$1:$AC$1, 0))</f>
        <v>#N/A</v>
      </c>
      <c r="L198" s="42" t="e">
        <f>INDEX(Input!$D$2:$AC$500,
       MATCH(B198, Input!$J$2:$J$500, 0),
       MATCH("Memory Type", Input!$D$1:$AC$1, 0))</f>
        <v>#N/A</v>
      </c>
      <c r="M198" s="42" t="str" cm="1">
        <f t="array" ref="M198">IFERROR(_xlfn.FILTERXML("&lt;t&gt;&lt;s&gt;" &amp; SUBSTITUTE(L198," / ","&lt;/s&gt;&lt;s&gt;") &amp; "&lt;/s&gt;&lt;/t&gt;","(//s[contains(.,'DDR')])[1]"),"")</f>
        <v/>
      </c>
      <c r="N198" s="32" t="e">
        <f t="shared" si="11"/>
        <v>#N/A</v>
      </c>
      <c r="O198" s="42" t="e">
        <f>INDEX(Input!$D$2:$AC$500,
       MATCH(B198, Input!$J$2:$J$500, 0),
       MATCH("Disk Interface Type", Input!$D$1:$AC$1, 0))</f>
        <v>#N/A</v>
      </c>
      <c r="P198" s="42" t="str" cm="1">
        <f t="array" ref="P198">IFERROR(_xlfn.TEXTJOIN(", ", TRUE, _xlfn._xlws.FILTER(
    INDEX(Input!$D$2:$AC$500,,MATCH("Disk Capacity",Input!$D$1:$AC$1,0)),
    Input!$J$2:$J$500=B198
)), "")</f>
        <v/>
      </c>
      <c r="Q198" s="32" t="e">
        <f t="shared" si="10"/>
        <v>#N/A</v>
      </c>
      <c r="R198" s="42" t="e">
        <f>_xlfn.LET(_xlpm.Result,INDEX(Input!$D$2:$AC$500,
       MATCH(B198, Input!$J$2:$J$500, 0),
       MATCH("Capacity", Input!$D$1:$AC$1, 0)),IF(_xlpm.Result="","",_xlpm.Result))</f>
        <v>#N/A</v>
      </c>
      <c r="S198" s="42" t="e" cm="1">
        <f t="array" ref="S198">_xlfn.TEXTSPLIT(R198," / ", ,TRUE,0,)</f>
        <v>#N/A</v>
      </c>
      <c r="T198" s="42"/>
      <c r="U198" s="42" t="str" cm="1">
        <f t="array" ref="U198">IFERROR(_xlfn.IFS(
S198="","",
--S198&lt;55,"Battery Defect",
--S198&lt;=69,"Battery D",
--S198&lt;=80,"Battery C",
--S198&gt;80,""
),"")</f>
        <v/>
      </c>
      <c r="V198" s="42" t="str" cm="1">
        <f t="array" ref="V198">IFERROR(_xlfn.IFS(
T198="","",
--T198&lt;55,"Battery Defect",
--T198&lt;=69,"Battery D",
--T198&lt;=80,"Battery C",
--T198&gt;80,""
),"")</f>
        <v/>
      </c>
      <c r="W198" s="42" t="str" cm="1">
        <f t="array" ref="W198:AD198">IFERROR(IF(_xlfn.XLOOKUP(B198,Input!J:J,Input!N:U)=0,"",
          _xlfn.XLOOKUP(B198,Input!J:J,Input!N:U)),"")</f>
        <v/>
      </c>
      <c r="X198" s="42" t="str">
        <v/>
      </c>
      <c r="Y198" s="42" t="str">
        <v/>
      </c>
      <c r="Z198" s="42" t="str">
        <v/>
      </c>
      <c r="AA198" s="42" t="str">
        <v/>
      </c>
      <c r="AB198" s="42" t="str">
        <v/>
      </c>
      <c r="AC198" s="42" t="str">
        <v/>
      </c>
      <c r="AD198" s="42" t="str">
        <v/>
      </c>
      <c r="AE198" s="32" t="str">
        <f t="shared" si="9"/>
        <v/>
      </c>
      <c r="AF198" s="32" t="str">
        <f>_xlfn.XLOOKUP(B:B,Disk_Pivot!G:G,Disk_Pivot!I:I)</f>
        <v>Yes x2</v>
      </c>
      <c r="AG198" s="32" t="str">
        <f>_xlfn.XLOOKUP(B198,Disk_Pivot!G:G,Disk_Pivot!N:N)</f>
        <v>Pass, Fail</v>
      </c>
      <c r="AH198" s="32"/>
      <c r="AI198" s="32"/>
      <c r="AJ198" s="32"/>
      <c r="AK198" s="32"/>
      <c r="AL198" s="32"/>
      <c r="AM198" s="32"/>
    </row>
    <row r="199" spans="1:39">
      <c r="A199" s="32" t="str">
        <f>_xlfn.XLOOKUP(B199,Input!J:J,Input!G:G)&amp;""</f>
        <v/>
      </c>
      <c r="B199" s="32"/>
      <c r="C199" s="32" t="str">
        <f>_xlfn.XLOOKUP(B199,Input!J:J,Input!H:H)&amp;""</f>
        <v/>
      </c>
      <c r="D199" s="42">
        <f>_xlfn.XLOOKUP(B199,Input!J:J,Input!F:F)</f>
        <v>0</v>
      </c>
      <c r="E199" s="32">
        <f>_xlfn.XLOOKUP(D199,Models!H:H,Models!G:G,D199)</f>
        <v>0</v>
      </c>
      <c r="F199" s="32">
        <f>_xlfn.XLOOKUP(B199,Input!J:J,Input!E:E)</f>
        <v>0</v>
      </c>
      <c r="G199" s="32">
        <f>IF(F199="LENOVO",_xlfn.XLOOKUP(B199,Input!J:J,Input!K:K),_xlfn.XLOOKUP(B199,Input!J:J,Input!L:L))</f>
        <v>0</v>
      </c>
      <c r="H199" s="32"/>
      <c r="I199" s="32"/>
      <c r="J199" s="32">
        <f>_xlfn.XLOOKUP(B199,CPU_Formula!A:A,CPU_Formula!I:I)</f>
        <v>0</v>
      </c>
      <c r="K199" s="42" t="e">
        <f>INDEX(Input!$D$2:$AC$500,
       MATCH(B199, Input!$J$2:$J$500, 0),
       MATCH("Total Memory", Input!$D$1:$AC$1, 0))</f>
        <v>#N/A</v>
      </c>
      <c r="L199" s="42" t="e">
        <f>INDEX(Input!$D$2:$AC$500,
       MATCH(B199, Input!$J$2:$J$500, 0),
       MATCH("Memory Type", Input!$D$1:$AC$1, 0))</f>
        <v>#N/A</v>
      </c>
      <c r="M199" s="42" t="str" cm="1">
        <f t="array" ref="M199">IFERROR(_xlfn.FILTERXML("&lt;t&gt;&lt;s&gt;" &amp; SUBSTITUTE(L199," / ","&lt;/s&gt;&lt;s&gt;") &amp; "&lt;/s&gt;&lt;/t&gt;","(//s[contains(.,'DDR')])[1]"),"")</f>
        <v/>
      </c>
      <c r="N199" s="32" t="e">
        <f t="shared" si="11"/>
        <v>#N/A</v>
      </c>
      <c r="O199" s="42" t="e">
        <f>INDEX(Input!$D$2:$AC$500,
       MATCH(B199, Input!$J$2:$J$500, 0),
       MATCH("Disk Interface Type", Input!$D$1:$AC$1, 0))</f>
        <v>#N/A</v>
      </c>
      <c r="P199" s="42" t="str" cm="1">
        <f t="array" ref="P199">IFERROR(_xlfn.TEXTJOIN(", ", TRUE, _xlfn._xlws.FILTER(
    INDEX(Input!$D$2:$AC$500,,MATCH("Disk Capacity",Input!$D$1:$AC$1,0)),
    Input!$J$2:$J$500=B199
)), "")</f>
        <v/>
      </c>
      <c r="Q199" s="32" t="e">
        <f t="shared" si="10"/>
        <v>#N/A</v>
      </c>
      <c r="R199" s="42" t="e">
        <f>_xlfn.LET(_xlpm.Result,INDEX(Input!$D$2:$AC$500,
       MATCH(B199, Input!$J$2:$J$500, 0),
       MATCH("Capacity", Input!$D$1:$AC$1, 0)),IF(_xlpm.Result="","",_xlpm.Result))</f>
        <v>#N/A</v>
      </c>
      <c r="S199" s="42" t="e" cm="1">
        <f t="array" ref="S199">_xlfn.TEXTSPLIT(R199," / ", ,TRUE,0,)</f>
        <v>#N/A</v>
      </c>
      <c r="T199" s="42"/>
      <c r="U199" s="42" t="str" cm="1">
        <f t="array" ref="U199">IFERROR(_xlfn.IFS(
S199="","",
--S199&lt;55,"Battery Defect",
--S199&lt;=69,"Battery D",
--S199&lt;=80,"Battery C",
--S199&gt;80,""
),"")</f>
        <v/>
      </c>
      <c r="V199" s="42" t="str" cm="1">
        <f t="array" ref="V199">IFERROR(_xlfn.IFS(
T199="","",
--T199&lt;55,"Battery Defect",
--T199&lt;=69,"Battery D",
--T199&lt;=80,"Battery C",
--T199&gt;80,""
),"")</f>
        <v/>
      </c>
      <c r="W199" s="42" t="str" cm="1">
        <f t="array" ref="W199:AD199">IFERROR(IF(_xlfn.XLOOKUP(B199,Input!J:J,Input!N:U)=0,"",
          _xlfn.XLOOKUP(B199,Input!J:J,Input!N:U)),"")</f>
        <v/>
      </c>
      <c r="X199" s="42" t="str">
        <v/>
      </c>
      <c r="Y199" s="42" t="str">
        <v/>
      </c>
      <c r="Z199" s="42" t="str">
        <v/>
      </c>
      <c r="AA199" s="42" t="str">
        <v/>
      </c>
      <c r="AB199" s="42" t="str">
        <v/>
      </c>
      <c r="AC199" s="42" t="str">
        <v/>
      </c>
      <c r="AD199" s="42" t="str">
        <v/>
      </c>
      <c r="AE199" s="32" t="str">
        <f t="shared" si="9"/>
        <v/>
      </c>
      <c r="AF199" s="32" t="str">
        <f>_xlfn.XLOOKUP(B:B,Disk_Pivot!G:G,Disk_Pivot!I:I)</f>
        <v>Yes x2</v>
      </c>
      <c r="AG199" s="32" t="str">
        <f>_xlfn.XLOOKUP(B199,Disk_Pivot!G:G,Disk_Pivot!N:N)</f>
        <v>Pass, Fail</v>
      </c>
      <c r="AH199" s="32"/>
      <c r="AI199" s="32"/>
      <c r="AJ199" s="32"/>
      <c r="AK199" s="32"/>
      <c r="AL199" s="32"/>
      <c r="AM199" s="32"/>
    </row>
    <row r="200" spans="1:39">
      <c r="A200" s="32" t="str">
        <f>_xlfn.XLOOKUP(B200,Input!J:J,Input!G:G)&amp;""</f>
        <v/>
      </c>
      <c r="B200" s="32"/>
      <c r="C200" s="32" t="str">
        <f>_xlfn.XLOOKUP(B200,Input!J:J,Input!H:H)&amp;""</f>
        <v/>
      </c>
      <c r="D200" s="42">
        <f>_xlfn.XLOOKUP(B200,Input!J:J,Input!F:F)</f>
        <v>0</v>
      </c>
      <c r="E200" s="32">
        <f>_xlfn.XLOOKUP(D200,Models!H:H,Models!G:G,D200)</f>
        <v>0</v>
      </c>
      <c r="F200" s="32">
        <f>_xlfn.XLOOKUP(B200,Input!J:J,Input!E:E)</f>
        <v>0</v>
      </c>
      <c r="G200" s="32">
        <f>IF(F200="LENOVO",_xlfn.XLOOKUP(B200,Input!J:J,Input!K:K),_xlfn.XLOOKUP(B200,Input!J:J,Input!L:L))</f>
        <v>0</v>
      </c>
      <c r="H200" s="32"/>
      <c r="I200" s="32"/>
      <c r="J200" s="32">
        <f>_xlfn.XLOOKUP(B200,CPU_Formula!A:A,CPU_Formula!I:I)</f>
        <v>0</v>
      </c>
      <c r="K200" s="42" t="e">
        <f>INDEX(Input!$D$2:$AC$500,
       MATCH(B200, Input!$J$2:$J$500, 0),
       MATCH("Total Memory", Input!$D$1:$AC$1, 0))</f>
        <v>#N/A</v>
      </c>
      <c r="L200" s="42" t="e">
        <f>INDEX(Input!$D$2:$AC$500,
       MATCH(B200, Input!$J$2:$J$500, 0),
       MATCH("Memory Type", Input!$D$1:$AC$1, 0))</f>
        <v>#N/A</v>
      </c>
      <c r="M200" s="42" t="str" cm="1">
        <f t="array" ref="M200">IFERROR(_xlfn.FILTERXML("&lt;t&gt;&lt;s&gt;" &amp; SUBSTITUTE(L200," / ","&lt;/s&gt;&lt;s&gt;") &amp; "&lt;/s&gt;&lt;/t&gt;","(//s[contains(.,'DDR')])[1]"),"")</f>
        <v/>
      </c>
      <c r="N200" s="32" t="e">
        <f t="shared" si="11"/>
        <v>#N/A</v>
      </c>
      <c r="O200" s="42" t="e">
        <f>INDEX(Input!$D$2:$AC$500,
       MATCH(B200, Input!$J$2:$J$500, 0),
       MATCH("Disk Interface Type", Input!$D$1:$AC$1, 0))</f>
        <v>#N/A</v>
      </c>
      <c r="P200" s="42" t="str" cm="1">
        <f t="array" ref="P200">IFERROR(_xlfn.TEXTJOIN(", ", TRUE, _xlfn._xlws.FILTER(
    INDEX(Input!$D$2:$AC$500,,MATCH("Disk Capacity",Input!$D$1:$AC$1,0)),
    Input!$J$2:$J$500=B200
)), "")</f>
        <v/>
      </c>
      <c r="Q200" s="32" t="e">
        <f t="shared" si="10"/>
        <v>#N/A</v>
      </c>
      <c r="R200" s="42" t="e">
        <f>_xlfn.LET(_xlpm.Result,INDEX(Input!$D$2:$AC$500,
       MATCH(B200, Input!$J$2:$J$500, 0),
       MATCH("Capacity", Input!$D$1:$AC$1, 0)),IF(_xlpm.Result="","",_xlpm.Result))</f>
        <v>#N/A</v>
      </c>
      <c r="S200" s="42" t="e" cm="1">
        <f t="array" ref="S200">_xlfn.TEXTSPLIT(R200," / ", ,TRUE,0,)</f>
        <v>#N/A</v>
      </c>
      <c r="T200" s="42"/>
      <c r="U200" s="42" t="str" cm="1">
        <f t="array" ref="U200">IFERROR(_xlfn.IFS(
S200="","",
--S200&lt;55,"Battery Defect",
--S200&lt;=69,"Battery D",
--S200&lt;=80,"Battery C",
--S200&gt;80,""
),"")</f>
        <v/>
      </c>
      <c r="V200" s="42" t="str" cm="1">
        <f t="array" ref="V200">IFERROR(_xlfn.IFS(
T200="","",
--T200&lt;55,"Battery Defect",
--T200&lt;=69,"Battery D",
--T200&lt;=80,"Battery C",
--T200&gt;80,""
),"")</f>
        <v/>
      </c>
      <c r="W200" s="42" t="str" cm="1">
        <f t="array" ref="W200:AD200">IFERROR(IF(_xlfn.XLOOKUP(B200,Input!J:J,Input!N:U)=0,"",
          _xlfn.XLOOKUP(B200,Input!J:J,Input!N:U)),"")</f>
        <v/>
      </c>
      <c r="X200" s="42" t="str">
        <v/>
      </c>
      <c r="Y200" s="42" t="str">
        <v/>
      </c>
      <c r="Z200" s="42" t="str">
        <v/>
      </c>
      <c r="AA200" s="42" t="str">
        <v/>
      </c>
      <c r="AB200" s="42" t="str">
        <v/>
      </c>
      <c r="AC200" s="42" t="str">
        <v/>
      </c>
      <c r="AD200" s="42" t="str">
        <v/>
      </c>
      <c r="AE200" s="32" t="str">
        <f t="shared" si="9"/>
        <v/>
      </c>
      <c r="AF200" s="32" t="str">
        <f>_xlfn.XLOOKUP(B:B,Disk_Pivot!G:G,Disk_Pivot!I:I)</f>
        <v>Yes x2</v>
      </c>
      <c r="AG200" s="32" t="str">
        <f>_xlfn.XLOOKUP(B200,Disk_Pivot!G:G,Disk_Pivot!N:N)</f>
        <v>Pass, Fail</v>
      </c>
      <c r="AH200" s="32"/>
      <c r="AI200" s="32"/>
      <c r="AJ200" s="32"/>
      <c r="AK200" s="32"/>
      <c r="AL200" s="32"/>
      <c r="AM200" s="32"/>
    </row>
    <row r="201" spans="1:39">
      <c r="A201" s="32" t="str">
        <f>_xlfn.XLOOKUP(B201,Input!J:J,Input!G:G)&amp;""</f>
        <v/>
      </c>
      <c r="B201" s="32"/>
      <c r="C201" s="32" t="str">
        <f>_xlfn.XLOOKUP(B201,Input!J:J,Input!H:H)&amp;""</f>
        <v/>
      </c>
      <c r="D201" s="42">
        <f>_xlfn.XLOOKUP(B201,Input!J:J,Input!F:F)</f>
        <v>0</v>
      </c>
      <c r="E201" s="32">
        <f>_xlfn.XLOOKUP(D201,Models!H:H,Models!G:G,D201)</f>
        <v>0</v>
      </c>
      <c r="F201" s="32">
        <f>_xlfn.XLOOKUP(B201,Input!J:J,Input!E:E)</f>
        <v>0</v>
      </c>
      <c r="G201" s="32">
        <f>IF(F201="LENOVO",_xlfn.XLOOKUP(B201,Input!J:J,Input!K:K),_xlfn.XLOOKUP(B201,Input!J:J,Input!L:L))</f>
        <v>0</v>
      </c>
      <c r="H201" s="32"/>
      <c r="I201" s="32"/>
      <c r="J201" s="32">
        <f>_xlfn.XLOOKUP(B201,CPU_Formula!A:A,CPU_Formula!I:I)</f>
        <v>0</v>
      </c>
      <c r="K201" s="42" t="e">
        <f>INDEX(Input!$D$2:$AC$500,
       MATCH(B201, Input!$J$2:$J$500, 0),
       MATCH("Total Memory", Input!$D$1:$AC$1, 0))</f>
        <v>#N/A</v>
      </c>
      <c r="L201" s="42" t="e">
        <f>INDEX(Input!$D$2:$AC$500,
       MATCH(B201, Input!$J$2:$J$500, 0),
       MATCH("Memory Type", Input!$D$1:$AC$1, 0))</f>
        <v>#N/A</v>
      </c>
      <c r="M201" s="42" t="str" cm="1">
        <f t="array" ref="M201">IFERROR(_xlfn.FILTERXML("&lt;t&gt;&lt;s&gt;" &amp; SUBSTITUTE(L201," / ","&lt;/s&gt;&lt;s&gt;") &amp; "&lt;/s&gt;&lt;/t&gt;","(//s[contains(.,'DDR')])[1]"),"")</f>
        <v/>
      </c>
      <c r="N201" s="32" t="e">
        <f t="shared" si="11"/>
        <v>#N/A</v>
      </c>
      <c r="O201" s="42" t="e">
        <f>INDEX(Input!$D$2:$AC$500,
       MATCH(B201, Input!$J$2:$J$500, 0),
       MATCH("Disk Interface Type", Input!$D$1:$AC$1, 0))</f>
        <v>#N/A</v>
      </c>
      <c r="P201" s="42" t="str" cm="1">
        <f t="array" ref="P201">IFERROR(_xlfn.TEXTJOIN(", ", TRUE, _xlfn._xlws.FILTER(
    INDEX(Input!$D$2:$AC$500,,MATCH("Disk Capacity",Input!$D$1:$AC$1,0)),
    Input!$J$2:$J$500=B201
)), "")</f>
        <v/>
      </c>
      <c r="Q201" s="32" t="e">
        <f t="shared" si="10"/>
        <v>#N/A</v>
      </c>
      <c r="R201" s="42" t="e">
        <f>_xlfn.LET(_xlpm.Result,INDEX(Input!$D$2:$AC$500,
       MATCH(B201, Input!$J$2:$J$500, 0),
       MATCH("Capacity", Input!$D$1:$AC$1, 0)),IF(_xlpm.Result="","",_xlpm.Result))</f>
        <v>#N/A</v>
      </c>
      <c r="S201" s="42" t="e" cm="1">
        <f t="array" ref="S201">_xlfn.TEXTSPLIT(R201," / ", ,TRUE,0,)</f>
        <v>#N/A</v>
      </c>
      <c r="T201" s="42"/>
      <c r="U201" s="42" t="str" cm="1">
        <f t="array" ref="U201">IFERROR(_xlfn.IFS(
S201="","",
--S201&lt;55,"Battery Defect",
--S201&lt;=69,"Battery D",
--S201&lt;=80,"Battery C",
--S201&gt;80,""
),"")</f>
        <v/>
      </c>
      <c r="V201" s="42" t="str" cm="1">
        <f t="array" ref="V201">IFERROR(_xlfn.IFS(
T201="","",
--T201&lt;55,"Battery Defect",
--T201&lt;=69,"Battery D",
--T201&lt;=80,"Battery C",
--T201&gt;80,""
),"")</f>
        <v/>
      </c>
      <c r="W201" s="42" t="str" cm="1">
        <f t="array" ref="W201:AD201">IFERROR(IF(_xlfn.XLOOKUP(B201,Input!J:J,Input!N:U)=0,"",
          _xlfn.XLOOKUP(B201,Input!J:J,Input!N:U)),"")</f>
        <v/>
      </c>
      <c r="X201" s="42" t="str">
        <v/>
      </c>
      <c r="Y201" s="42" t="str">
        <v/>
      </c>
      <c r="Z201" s="42" t="str">
        <v/>
      </c>
      <c r="AA201" s="42" t="str">
        <v/>
      </c>
      <c r="AB201" s="42" t="str">
        <v/>
      </c>
      <c r="AC201" s="42" t="str">
        <v/>
      </c>
      <c r="AD201" s="42" t="str">
        <v/>
      </c>
      <c r="AE201" s="32" t="str">
        <f t="shared" si="9"/>
        <v/>
      </c>
      <c r="AF201" s="32" t="str">
        <f>_xlfn.XLOOKUP(B:B,Disk_Pivot!G:G,Disk_Pivot!I:I)</f>
        <v>Yes x2</v>
      </c>
      <c r="AG201" s="32" t="str">
        <f>_xlfn.XLOOKUP(B201,Disk_Pivot!G:G,Disk_Pivot!N:N)</f>
        <v>Pass, Fail</v>
      </c>
      <c r="AH201" s="32"/>
      <c r="AI201" s="32"/>
      <c r="AJ201" s="32"/>
      <c r="AK201" s="32"/>
      <c r="AL201" s="32"/>
      <c r="AM201" s="32"/>
    </row>
    <row r="202" spans="1:39">
      <c r="A202" s="32" t="str">
        <f>_xlfn.XLOOKUP(B202,Input!J:J,Input!G:G)&amp;""</f>
        <v/>
      </c>
      <c r="B202" s="32"/>
      <c r="C202" s="32" t="str">
        <f>_xlfn.XLOOKUP(B202,Input!J:J,Input!H:H)&amp;""</f>
        <v/>
      </c>
      <c r="D202" s="42">
        <f>_xlfn.XLOOKUP(B202,Input!J:J,Input!F:F)</f>
        <v>0</v>
      </c>
      <c r="E202" s="32">
        <f>_xlfn.XLOOKUP(D202,Models!H:H,Models!G:G,D202)</f>
        <v>0</v>
      </c>
      <c r="F202" s="32">
        <f>_xlfn.XLOOKUP(B202,Input!J:J,Input!E:E)</f>
        <v>0</v>
      </c>
      <c r="G202" s="32">
        <f>IF(F202="LENOVO",_xlfn.XLOOKUP(B202,Input!J:J,Input!K:K),_xlfn.XLOOKUP(B202,Input!J:J,Input!L:L))</f>
        <v>0</v>
      </c>
      <c r="H202" s="32"/>
      <c r="I202" s="32"/>
      <c r="J202" s="32">
        <f>_xlfn.XLOOKUP(B202,CPU_Formula!A:A,CPU_Formula!I:I)</f>
        <v>0</v>
      </c>
      <c r="K202" s="42" t="e">
        <f>INDEX(Input!$D$2:$AC$500,
       MATCH(B202, Input!$J$2:$J$500, 0),
       MATCH("Total Memory", Input!$D$1:$AC$1, 0))</f>
        <v>#N/A</v>
      </c>
      <c r="L202" s="42" t="e">
        <f>INDEX(Input!$D$2:$AC$500,
       MATCH(B202, Input!$J$2:$J$500, 0),
       MATCH("Memory Type", Input!$D$1:$AC$1, 0))</f>
        <v>#N/A</v>
      </c>
      <c r="M202" s="42" t="str" cm="1">
        <f t="array" ref="M202">IFERROR(_xlfn.FILTERXML("&lt;t&gt;&lt;s&gt;" &amp; SUBSTITUTE(L202," / ","&lt;/s&gt;&lt;s&gt;") &amp; "&lt;/s&gt;&lt;/t&gt;","(//s[contains(.,'DDR')])[1]"),"")</f>
        <v/>
      </c>
      <c r="N202" s="32" t="e">
        <f t="shared" si="11"/>
        <v>#N/A</v>
      </c>
      <c r="O202" s="42" t="e">
        <f>INDEX(Input!$D$2:$AC$500,
       MATCH(B202, Input!$J$2:$J$500, 0),
       MATCH("Disk Interface Type", Input!$D$1:$AC$1, 0))</f>
        <v>#N/A</v>
      </c>
      <c r="P202" s="42" t="str" cm="1">
        <f t="array" ref="P202">IFERROR(_xlfn.TEXTJOIN(", ", TRUE, _xlfn._xlws.FILTER(
    INDEX(Input!$D$2:$AC$500,,MATCH("Disk Capacity",Input!$D$1:$AC$1,0)),
    Input!$J$2:$J$500=B202
)), "")</f>
        <v/>
      </c>
      <c r="Q202" s="32" t="e">
        <f t="shared" si="10"/>
        <v>#N/A</v>
      </c>
      <c r="R202" s="42" t="e">
        <f>_xlfn.LET(_xlpm.Result,INDEX(Input!$D$2:$AC$500,
       MATCH(B202, Input!$J$2:$J$500, 0),
       MATCH("Capacity", Input!$D$1:$AC$1, 0)),IF(_xlpm.Result="","",_xlpm.Result))</f>
        <v>#N/A</v>
      </c>
      <c r="S202" s="42" t="e" cm="1">
        <f t="array" ref="S202">_xlfn.TEXTSPLIT(R202," / ", ,TRUE,0,)</f>
        <v>#N/A</v>
      </c>
      <c r="T202" s="42"/>
      <c r="U202" s="42" t="str" cm="1">
        <f t="array" ref="U202">IFERROR(_xlfn.IFS(
S202="","",
--S202&lt;55,"Battery Defect",
--S202&lt;=69,"Battery D",
--S202&lt;=80,"Battery C",
--S202&gt;80,""
),"")</f>
        <v/>
      </c>
      <c r="V202" s="42" t="str" cm="1">
        <f t="array" ref="V202">IFERROR(_xlfn.IFS(
T202="","",
--T202&lt;55,"Battery Defect",
--T202&lt;=69,"Battery D",
--T202&lt;=80,"Battery C",
--T202&gt;80,""
),"")</f>
        <v/>
      </c>
      <c r="W202" s="42" t="str" cm="1">
        <f t="array" ref="W202:AD202">IFERROR(IF(_xlfn.XLOOKUP(B202,Input!J:J,Input!N:U)=0,"",
          _xlfn.XLOOKUP(B202,Input!J:J,Input!N:U)),"")</f>
        <v/>
      </c>
      <c r="X202" s="42" t="str">
        <v/>
      </c>
      <c r="Y202" s="42" t="str">
        <v/>
      </c>
      <c r="Z202" s="42" t="str">
        <v/>
      </c>
      <c r="AA202" s="42" t="str">
        <v/>
      </c>
      <c r="AB202" s="42" t="str">
        <v/>
      </c>
      <c r="AC202" s="42" t="str">
        <v/>
      </c>
      <c r="AD202" s="42" t="str">
        <v/>
      </c>
      <c r="AE202" s="32" t="str">
        <f t="shared" si="9"/>
        <v/>
      </c>
      <c r="AF202" s="32" t="str">
        <f>_xlfn.XLOOKUP(B:B,Disk_Pivot!G:G,Disk_Pivot!I:I)</f>
        <v>Yes x2</v>
      </c>
      <c r="AG202" s="32" t="str">
        <f>_xlfn.XLOOKUP(B202,Disk_Pivot!G:G,Disk_Pivot!N:N)</f>
        <v>Pass, Fail</v>
      </c>
      <c r="AH202" s="32"/>
      <c r="AI202" s="32"/>
      <c r="AJ202" s="32"/>
      <c r="AK202" s="32"/>
      <c r="AL202" s="32"/>
      <c r="AM202" s="32"/>
    </row>
    <row r="203" spans="1:39">
      <c r="A203" s="32" t="str">
        <f>_xlfn.XLOOKUP(B203,Input!J:J,Input!G:G)&amp;""</f>
        <v/>
      </c>
      <c r="B203" s="32"/>
      <c r="C203" s="32" t="str">
        <f>_xlfn.XLOOKUP(B203,Input!J:J,Input!H:H)&amp;""</f>
        <v/>
      </c>
      <c r="D203" s="42">
        <f>_xlfn.XLOOKUP(B203,Input!J:J,Input!F:F)</f>
        <v>0</v>
      </c>
      <c r="E203" s="32">
        <f>_xlfn.XLOOKUP(D203,Models!H:H,Models!G:G,D203)</f>
        <v>0</v>
      </c>
      <c r="F203" s="32">
        <f>_xlfn.XLOOKUP(B203,Input!J:J,Input!E:E)</f>
        <v>0</v>
      </c>
      <c r="G203" s="32">
        <f>IF(F203="LENOVO",_xlfn.XLOOKUP(B203,Input!J:J,Input!K:K),_xlfn.XLOOKUP(B203,Input!J:J,Input!L:L))</f>
        <v>0</v>
      </c>
      <c r="H203" s="32"/>
      <c r="I203" s="32"/>
      <c r="J203" s="32">
        <f>_xlfn.XLOOKUP(B203,CPU_Formula!A:A,CPU_Formula!I:I)</f>
        <v>0</v>
      </c>
      <c r="K203" s="42" t="e">
        <f>INDEX(Input!$D$2:$AC$500,
       MATCH(B203, Input!$J$2:$J$500, 0),
       MATCH("Total Memory", Input!$D$1:$AC$1, 0))</f>
        <v>#N/A</v>
      </c>
      <c r="L203" s="42" t="e">
        <f>INDEX(Input!$D$2:$AC$500,
       MATCH(B203, Input!$J$2:$J$500, 0),
       MATCH("Memory Type", Input!$D$1:$AC$1, 0))</f>
        <v>#N/A</v>
      </c>
      <c r="M203" s="42" t="str" cm="1">
        <f t="array" ref="M203">IFERROR(_xlfn.FILTERXML("&lt;t&gt;&lt;s&gt;" &amp; SUBSTITUTE(L203," / ","&lt;/s&gt;&lt;s&gt;") &amp; "&lt;/s&gt;&lt;/t&gt;","(//s[contains(.,'DDR')])[1]"),"")</f>
        <v/>
      </c>
      <c r="N203" s="32" t="e">
        <f t="shared" si="11"/>
        <v>#N/A</v>
      </c>
      <c r="O203" s="42" t="e">
        <f>INDEX(Input!$D$2:$AC$500,
       MATCH(B203, Input!$J$2:$J$500, 0),
       MATCH("Disk Interface Type", Input!$D$1:$AC$1, 0))</f>
        <v>#N/A</v>
      </c>
      <c r="P203" s="42" t="str" cm="1">
        <f t="array" ref="P203">IFERROR(_xlfn.TEXTJOIN(", ", TRUE, _xlfn._xlws.FILTER(
    INDEX(Input!$D$2:$AC$500,,MATCH("Disk Capacity",Input!$D$1:$AC$1,0)),
    Input!$J$2:$J$500=B203
)), "")</f>
        <v/>
      </c>
      <c r="Q203" s="32" t="e">
        <f t="shared" si="10"/>
        <v>#N/A</v>
      </c>
      <c r="R203" s="42" t="e">
        <f>_xlfn.LET(_xlpm.Result,INDEX(Input!$D$2:$AC$500,
       MATCH(B203, Input!$J$2:$J$500, 0),
       MATCH("Capacity", Input!$D$1:$AC$1, 0)),IF(_xlpm.Result="","",_xlpm.Result))</f>
        <v>#N/A</v>
      </c>
      <c r="S203" s="42" t="e" cm="1">
        <f t="array" ref="S203">_xlfn.TEXTSPLIT(R203," / ", ,TRUE,0,)</f>
        <v>#N/A</v>
      </c>
      <c r="T203" s="42"/>
      <c r="U203" s="42" t="str" cm="1">
        <f t="array" ref="U203">IFERROR(_xlfn.IFS(
S203="","",
--S203&lt;55,"Battery Defect",
--S203&lt;=69,"Battery D",
--S203&lt;=80,"Battery C",
--S203&gt;80,""
),"")</f>
        <v/>
      </c>
      <c r="V203" s="42" t="str" cm="1">
        <f t="array" ref="V203">IFERROR(_xlfn.IFS(
T203="","",
--T203&lt;55,"Battery Defect",
--T203&lt;=69,"Battery D",
--T203&lt;=80,"Battery C",
--T203&gt;80,""
),"")</f>
        <v/>
      </c>
      <c r="W203" s="42" t="str" cm="1">
        <f t="array" ref="W203:AD203">IFERROR(IF(_xlfn.XLOOKUP(B203,Input!J:J,Input!N:U)=0,"",
          _xlfn.XLOOKUP(B203,Input!J:J,Input!N:U)),"")</f>
        <v/>
      </c>
      <c r="X203" s="42" t="str">
        <v/>
      </c>
      <c r="Y203" s="42" t="str">
        <v/>
      </c>
      <c r="Z203" s="42" t="str">
        <v/>
      </c>
      <c r="AA203" s="42" t="str">
        <v/>
      </c>
      <c r="AB203" s="42" t="str">
        <v/>
      </c>
      <c r="AC203" s="42" t="str">
        <v/>
      </c>
      <c r="AD203" s="42" t="str">
        <v/>
      </c>
      <c r="AE203" s="32" t="str">
        <f t="shared" si="9"/>
        <v/>
      </c>
      <c r="AF203" s="32" t="str">
        <f>_xlfn.XLOOKUP(B:B,Disk_Pivot!G:G,Disk_Pivot!I:I)</f>
        <v>Yes x2</v>
      </c>
      <c r="AG203" s="32" t="str">
        <f>_xlfn.XLOOKUP(B203,Disk_Pivot!G:G,Disk_Pivot!N:N)</f>
        <v>Pass, Fail</v>
      </c>
      <c r="AH203" s="32"/>
      <c r="AI203" s="32"/>
      <c r="AJ203" s="32"/>
      <c r="AK203" s="32"/>
      <c r="AL203" s="32"/>
      <c r="AM203" s="32"/>
    </row>
    <row r="204" spans="1:39">
      <c r="A204" s="32" t="str">
        <f>_xlfn.XLOOKUP(B204,Input!J:J,Input!G:G)&amp;""</f>
        <v/>
      </c>
      <c r="B204" s="32"/>
      <c r="C204" s="32" t="str">
        <f>_xlfn.XLOOKUP(B204,Input!J:J,Input!H:H)&amp;""</f>
        <v/>
      </c>
      <c r="D204" s="42">
        <f>_xlfn.XLOOKUP(B204,Input!J:J,Input!F:F)</f>
        <v>0</v>
      </c>
      <c r="E204" s="32">
        <f>_xlfn.XLOOKUP(D204,Models!H:H,Models!G:G,D204)</f>
        <v>0</v>
      </c>
      <c r="F204" s="32">
        <f>_xlfn.XLOOKUP(B204,Input!J:J,Input!E:E)</f>
        <v>0</v>
      </c>
      <c r="G204" s="32">
        <f>IF(F204="LENOVO",_xlfn.XLOOKUP(B204,Input!J:J,Input!K:K),_xlfn.XLOOKUP(B204,Input!J:J,Input!L:L))</f>
        <v>0</v>
      </c>
      <c r="H204" s="32"/>
      <c r="I204" s="32"/>
      <c r="J204" s="32">
        <f>_xlfn.XLOOKUP(B204,CPU_Formula!A:A,CPU_Formula!I:I)</f>
        <v>0</v>
      </c>
      <c r="K204" s="42" t="e">
        <f>INDEX(Input!$D$2:$AC$500,
       MATCH(B204, Input!$J$2:$J$500, 0),
       MATCH("Total Memory", Input!$D$1:$AC$1, 0))</f>
        <v>#N/A</v>
      </c>
      <c r="L204" s="42" t="e">
        <f>INDEX(Input!$D$2:$AC$500,
       MATCH(B204, Input!$J$2:$J$500, 0),
       MATCH("Memory Type", Input!$D$1:$AC$1, 0))</f>
        <v>#N/A</v>
      </c>
      <c r="M204" s="42" t="str" cm="1">
        <f t="array" ref="M204">IFERROR(_xlfn.FILTERXML("&lt;t&gt;&lt;s&gt;" &amp; SUBSTITUTE(L204," / ","&lt;/s&gt;&lt;s&gt;") &amp; "&lt;/s&gt;&lt;/t&gt;","(//s[contains(.,'DDR')])[1]"),"")</f>
        <v/>
      </c>
      <c r="N204" s="32" t="e">
        <f t="shared" si="11"/>
        <v>#N/A</v>
      </c>
      <c r="O204" s="42" t="e">
        <f>INDEX(Input!$D$2:$AC$500,
       MATCH(B204, Input!$J$2:$J$500, 0),
       MATCH("Disk Interface Type", Input!$D$1:$AC$1, 0))</f>
        <v>#N/A</v>
      </c>
      <c r="P204" s="42" t="str" cm="1">
        <f t="array" ref="P204">IFERROR(_xlfn.TEXTJOIN(", ", TRUE, _xlfn._xlws.FILTER(
    INDEX(Input!$D$2:$AC$500,,MATCH("Disk Capacity",Input!$D$1:$AC$1,0)),
    Input!$J$2:$J$500=B204
)), "")</f>
        <v/>
      </c>
      <c r="Q204" s="32" t="e">
        <f t="shared" si="10"/>
        <v>#N/A</v>
      </c>
      <c r="R204" s="42" t="e">
        <f>_xlfn.LET(_xlpm.Result,INDEX(Input!$D$2:$AC$500,
       MATCH(B204, Input!$J$2:$J$500, 0),
       MATCH("Capacity", Input!$D$1:$AC$1, 0)),IF(_xlpm.Result="","",_xlpm.Result))</f>
        <v>#N/A</v>
      </c>
      <c r="S204" s="42" t="e" cm="1">
        <f t="array" ref="S204">_xlfn.TEXTSPLIT(R204," / ", ,TRUE,0,)</f>
        <v>#N/A</v>
      </c>
      <c r="T204" s="42"/>
      <c r="U204" s="42" t="str" cm="1">
        <f t="array" ref="U204">IFERROR(_xlfn.IFS(
S204="","",
--S204&lt;55,"Battery Defect",
--S204&lt;=69,"Battery D",
--S204&lt;=80,"Battery C",
--S204&gt;80,""
),"")</f>
        <v/>
      </c>
      <c r="V204" s="42" t="str" cm="1">
        <f t="array" ref="V204">IFERROR(_xlfn.IFS(
T204="","",
--T204&lt;55,"Battery Defect",
--T204&lt;=69,"Battery D",
--T204&lt;=80,"Battery C",
--T204&gt;80,""
),"")</f>
        <v/>
      </c>
      <c r="W204" s="42" t="str" cm="1">
        <f t="array" ref="W204:AD204">IFERROR(IF(_xlfn.XLOOKUP(B204,Input!J:J,Input!N:U)=0,"",
          _xlfn.XLOOKUP(B204,Input!J:J,Input!N:U)),"")</f>
        <v/>
      </c>
      <c r="X204" s="42" t="str">
        <v/>
      </c>
      <c r="Y204" s="42" t="str">
        <v/>
      </c>
      <c r="Z204" s="42" t="str">
        <v/>
      </c>
      <c r="AA204" s="42" t="str">
        <v/>
      </c>
      <c r="AB204" s="42" t="str">
        <v/>
      </c>
      <c r="AC204" s="42" t="str">
        <v/>
      </c>
      <c r="AD204" s="42" t="str">
        <v/>
      </c>
      <c r="AE204" s="32" t="str">
        <f t="shared" si="9"/>
        <v/>
      </c>
      <c r="AF204" s="32" t="str">
        <f>_xlfn.XLOOKUP(B:B,Disk_Pivot!G:G,Disk_Pivot!I:I)</f>
        <v>Yes x2</v>
      </c>
      <c r="AG204" s="32" t="str">
        <f>_xlfn.XLOOKUP(B204,Disk_Pivot!G:G,Disk_Pivot!N:N)</f>
        <v>Pass, Fail</v>
      </c>
      <c r="AH204" s="32"/>
      <c r="AI204" s="32"/>
      <c r="AJ204" s="32"/>
      <c r="AK204" s="32"/>
      <c r="AL204" s="32"/>
      <c r="AM204" s="32"/>
    </row>
    <row r="205" spans="1:39">
      <c r="A205" s="32" t="str">
        <f>_xlfn.XLOOKUP(B205,Input!J:J,Input!G:G)&amp;""</f>
        <v/>
      </c>
      <c r="B205" s="32"/>
      <c r="C205" s="32" t="str">
        <f>_xlfn.XLOOKUP(B205,Input!J:J,Input!H:H)&amp;""</f>
        <v/>
      </c>
      <c r="D205" s="42">
        <f>_xlfn.XLOOKUP(B205,Input!J:J,Input!F:F)</f>
        <v>0</v>
      </c>
      <c r="E205" s="32">
        <f>_xlfn.XLOOKUP(D205,Models!H:H,Models!G:G,D205)</f>
        <v>0</v>
      </c>
      <c r="F205" s="32">
        <f>_xlfn.XLOOKUP(B205,Input!J:J,Input!E:E)</f>
        <v>0</v>
      </c>
      <c r="G205" s="32">
        <f>IF(F205="LENOVO",_xlfn.XLOOKUP(B205,Input!J:J,Input!K:K),_xlfn.XLOOKUP(B205,Input!J:J,Input!L:L))</f>
        <v>0</v>
      </c>
      <c r="H205" s="32"/>
      <c r="I205" s="32"/>
      <c r="J205" s="32">
        <f>_xlfn.XLOOKUP(B205,CPU_Formula!A:A,CPU_Formula!I:I)</f>
        <v>0</v>
      </c>
      <c r="K205" s="42" t="e">
        <f>INDEX(Input!$D$2:$AC$500,
       MATCH(B205, Input!$J$2:$J$500, 0),
       MATCH("Total Memory", Input!$D$1:$AC$1, 0))</f>
        <v>#N/A</v>
      </c>
      <c r="L205" s="42" t="e">
        <f>INDEX(Input!$D$2:$AC$500,
       MATCH(B205, Input!$J$2:$J$500, 0),
       MATCH("Memory Type", Input!$D$1:$AC$1, 0))</f>
        <v>#N/A</v>
      </c>
      <c r="M205" s="42" t="str" cm="1">
        <f t="array" ref="M205">IFERROR(_xlfn.FILTERXML("&lt;t&gt;&lt;s&gt;" &amp; SUBSTITUTE(L205," / ","&lt;/s&gt;&lt;s&gt;") &amp; "&lt;/s&gt;&lt;/t&gt;","(//s[contains(.,'DDR')])[1]"),"")</f>
        <v/>
      </c>
      <c r="N205" s="32" t="e">
        <f t="shared" si="11"/>
        <v>#N/A</v>
      </c>
      <c r="O205" s="42" t="e">
        <f>INDEX(Input!$D$2:$AC$500,
       MATCH(B205, Input!$J$2:$J$500, 0),
       MATCH("Disk Interface Type", Input!$D$1:$AC$1, 0))</f>
        <v>#N/A</v>
      </c>
      <c r="P205" s="42" t="str" cm="1">
        <f t="array" ref="P205">IFERROR(_xlfn.TEXTJOIN(", ", TRUE, _xlfn._xlws.FILTER(
    INDEX(Input!$D$2:$AC$500,,MATCH("Disk Capacity",Input!$D$1:$AC$1,0)),
    Input!$J$2:$J$500=B205
)), "")</f>
        <v/>
      </c>
      <c r="Q205" s="32" t="e">
        <f t="shared" si="10"/>
        <v>#N/A</v>
      </c>
      <c r="R205" s="42" t="e">
        <f>_xlfn.LET(_xlpm.Result,INDEX(Input!$D$2:$AC$500,
       MATCH(B205, Input!$J$2:$J$500, 0),
       MATCH("Capacity", Input!$D$1:$AC$1, 0)),IF(_xlpm.Result="","",_xlpm.Result))</f>
        <v>#N/A</v>
      </c>
      <c r="S205" s="42" t="e" cm="1">
        <f t="array" ref="S205">_xlfn.TEXTSPLIT(R205," / ", ,TRUE,0,)</f>
        <v>#N/A</v>
      </c>
      <c r="T205" s="42"/>
      <c r="U205" s="42" t="str" cm="1">
        <f t="array" ref="U205">IFERROR(_xlfn.IFS(
S205="","",
--S205&lt;55,"Battery Defect",
--S205&lt;=69,"Battery D",
--S205&lt;=80,"Battery C",
--S205&gt;80,""
),"")</f>
        <v/>
      </c>
      <c r="V205" s="42" t="str" cm="1">
        <f t="array" ref="V205">IFERROR(_xlfn.IFS(
T205="","",
--T205&lt;55,"Battery Defect",
--T205&lt;=69,"Battery D",
--T205&lt;=80,"Battery C",
--T205&gt;80,""
),"")</f>
        <v/>
      </c>
      <c r="W205" s="42" t="str" cm="1">
        <f t="array" ref="W205:AD205">IFERROR(IF(_xlfn.XLOOKUP(B205,Input!J:J,Input!N:U)=0,"",
          _xlfn.XLOOKUP(B205,Input!J:J,Input!N:U)),"")</f>
        <v/>
      </c>
      <c r="X205" s="42" t="str">
        <v/>
      </c>
      <c r="Y205" s="42" t="str">
        <v/>
      </c>
      <c r="Z205" s="42" t="str">
        <v/>
      </c>
      <c r="AA205" s="42" t="str">
        <v/>
      </c>
      <c r="AB205" s="42" t="str">
        <v/>
      </c>
      <c r="AC205" s="42" t="str">
        <v/>
      </c>
      <c r="AD205" s="42" t="str">
        <v/>
      </c>
      <c r="AE205" s="32" t="str">
        <f t="shared" si="9"/>
        <v/>
      </c>
      <c r="AF205" s="32" t="str">
        <f>_xlfn.XLOOKUP(B:B,Disk_Pivot!G:G,Disk_Pivot!I:I)</f>
        <v>Yes x2</v>
      </c>
      <c r="AG205" s="32" t="str">
        <f>_xlfn.XLOOKUP(B205,Disk_Pivot!G:G,Disk_Pivot!N:N)</f>
        <v>Pass, Fail</v>
      </c>
      <c r="AH205" s="32"/>
      <c r="AI205" s="32"/>
      <c r="AJ205" s="32"/>
      <c r="AK205" s="32"/>
      <c r="AL205" s="32"/>
      <c r="AM205" s="32"/>
    </row>
    <row r="206" spans="1:39">
      <c r="A206" s="32" t="str">
        <f>_xlfn.XLOOKUP(B206,Input!J:J,Input!G:G)&amp;""</f>
        <v/>
      </c>
      <c r="B206" s="32"/>
      <c r="C206" s="32" t="str">
        <f>_xlfn.XLOOKUP(B206,Input!J:J,Input!H:H)&amp;""</f>
        <v/>
      </c>
      <c r="D206" s="42">
        <f>_xlfn.XLOOKUP(B206,Input!J:J,Input!F:F)</f>
        <v>0</v>
      </c>
      <c r="E206" s="32">
        <f>_xlfn.XLOOKUP(D206,Models!H:H,Models!G:G,D206)</f>
        <v>0</v>
      </c>
      <c r="F206" s="32">
        <f>_xlfn.XLOOKUP(B206,Input!J:J,Input!E:E)</f>
        <v>0</v>
      </c>
      <c r="G206" s="32">
        <f>IF(F206="LENOVO",_xlfn.XLOOKUP(B206,Input!J:J,Input!K:K),_xlfn.XLOOKUP(B206,Input!J:J,Input!L:L))</f>
        <v>0</v>
      </c>
      <c r="H206" s="32"/>
      <c r="I206" s="32"/>
      <c r="J206" s="32">
        <f>_xlfn.XLOOKUP(B206,CPU_Formula!A:A,CPU_Formula!I:I)</f>
        <v>0</v>
      </c>
      <c r="K206" s="42" t="e">
        <f>INDEX(Input!$D$2:$AC$500,
       MATCH(B206, Input!$J$2:$J$500, 0),
       MATCH("Total Memory", Input!$D$1:$AC$1, 0))</f>
        <v>#N/A</v>
      </c>
      <c r="L206" s="42" t="e">
        <f>INDEX(Input!$D$2:$AC$500,
       MATCH(B206, Input!$J$2:$J$500, 0),
       MATCH("Memory Type", Input!$D$1:$AC$1, 0))</f>
        <v>#N/A</v>
      </c>
      <c r="M206" s="42" t="str" cm="1">
        <f t="array" ref="M206">IFERROR(_xlfn.FILTERXML("&lt;t&gt;&lt;s&gt;" &amp; SUBSTITUTE(L206," / ","&lt;/s&gt;&lt;s&gt;") &amp; "&lt;/s&gt;&lt;/t&gt;","(//s[contains(.,'DDR')])[1]"),"")</f>
        <v/>
      </c>
      <c r="N206" s="32" t="e">
        <f t="shared" si="11"/>
        <v>#N/A</v>
      </c>
      <c r="O206" s="42" t="e">
        <f>INDEX(Input!$D$2:$AC$500,
       MATCH(B206, Input!$J$2:$J$500, 0),
       MATCH("Disk Interface Type", Input!$D$1:$AC$1, 0))</f>
        <v>#N/A</v>
      </c>
      <c r="P206" s="42" t="str" cm="1">
        <f t="array" ref="P206">IFERROR(_xlfn.TEXTJOIN(", ", TRUE, _xlfn._xlws.FILTER(
    INDEX(Input!$D$2:$AC$500,,MATCH("Disk Capacity",Input!$D$1:$AC$1,0)),
    Input!$J$2:$J$500=B206
)), "")</f>
        <v/>
      </c>
      <c r="Q206" s="32" t="e">
        <f t="shared" si="10"/>
        <v>#N/A</v>
      </c>
      <c r="R206" s="42" t="e">
        <f>_xlfn.LET(_xlpm.Result,INDEX(Input!$D$2:$AC$500,
       MATCH(B206, Input!$J$2:$J$500, 0),
       MATCH("Capacity", Input!$D$1:$AC$1, 0)),IF(_xlpm.Result="","",_xlpm.Result))</f>
        <v>#N/A</v>
      </c>
      <c r="S206" s="42" t="e" cm="1">
        <f t="array" ref="S206">_xlfn.TEXTSPLIT(R206," / ", ,TRUE,0,)</f>
        <v>#N/A</v>
      </c>
      <c r="T206" s="42"/>
      <c r="U206" s="42" t="str" cm="1">
        <f t="array" ref="U206">IFERROR(_xlfn.IFS(
S206="","",
--S206&lt;55,"Battery Defect",
--S206&lt;=69,"Battery D",
--S206&lt;=80,"Battery C",
--S206&gt;80,""
),"")</f>
        <v/>
      </c>
      <c r="V206" s="42" t="str" cm="1">
        <f t="array" ref="V206">IFERROR(_xlfn.IFS(
T206="","",
--T206&lt;55,"Battery Defect",
--T206&lt;=69,"Battery D",
--T206&lt;=80,"Battery C",
--T206&gt;80,""
),"")</f>
        <v/>
      </c>
      <c r="W206" s="42" t="str" cm="1">
        <f t="array" ref="W206:AD206">IFERROR(IF(_xlfn.XLOOKUP(B206,Input!J:J,Input!N:U)=0,"",
          _xlfn.XLOOKUP(B206,Input!J:J,Input!N:U)),"")</f>
        <v/>
      </c>
      <c r="X206" s="42" t="str">
        <v/>
      </c>
      <c r="Y206" s="42" t="str">
        <v/>
      </c>
      <c r="Z206" s="42" t="str">
        <v/>
      </c>
      <c r="AA206" s="42" t="str">
        <v/>
      </c>
      <c r="AB206" s="42" t="str">
        <v/>
      </c>
      <c r="AC206" s="42" t="str">
        <v/>
      </c>
      <c r="AD206" s="42" t="str">
        <v/>
      </c>
      <c r="AE206" s="32" t="str">
        <f t="shared" si="9"/>
        <v/>
      </c>
      <c r="AF206" s="32" t="str">
        <f>_xlfn.XLOOKUP(B:B,Disk_Pivot!G:G,Disk_Pivot!I:I)</f>
        <v>Yes x2</v>
      </c>
      <c r="AG206" s="32" t="str">
        <f>_xlfn.XLOOKUP(B206,Disk_Pivot!G:G,Disk_Pivot!N:N)</f>
        <v>Pass, Fail</v>
      </c>
      <c r="AH206" s="32"/>
      <c r="AI206" s="32"/>
      <c r="AJ206" s="32"/>
      <c r="AK206" s="32"/>
      <c r="AL206" s="32"/>
      <c r="AM206" s="32"/>
    </row>
    <row r="207" spans="1:39">
      <c r="A207" s="32" t="str">
        <f>_xlfn.XLOOKUP(B207,Input!J:J,Input!G:G)&amp;""</f>
        <v/>
      </c>
      <c r="B207" s="32"/>
      <c r="C207" s="32" t="str">
        <f>_xlfn.XLOOKUP(B207,Input!J:J,Input!H:H)&amp;""</f>
        <v/>
      </c>
      <c r="D207" s="42">
        <f>_xlfn.XLOOKUP(B207,Input!J:J,Input!F:F)</f>
        <v>0</v>
      </c>
      <c r="E207" s="32">
        <f>_xlfn.XLOOKUP(D207,Models!H:H,Models!G:G,D207)</f>
        <v>0</v>
      </c>
      <c r="F207" s="32">
        <f>_xlfn.XLOOKUP(B207,Input!J:J,Input!E:E)</f>
        <v>0</v>
      </c>
      <c r="G207" s="32">
        <f>IF(F207="LENOVO",_xlfn.XLOOKUP(B207,Input!J:J,Input!K:K),_xlfn.XLOOKUP(B207,Input!J:J,Input!L:L))</f>
        <v>0</v>
      </c>
      <c r="H207" s="32"/>
      <c r="I207" s="32"/>
      <c r="J207" s="32">
        <f>_xlfn.XLOOKUP(B207,CPU_Formula!A:A,CPU_Formula!I:I)</f>
        <v>0</v>
      </c>
      <c r="K207" s="42" t="e">
        <f>INDEX(Input!$D$2:$AC$500,
       MATCH(B207, Input!$J$2:$J$500, 0),
       MATCH("Total Memory", Input!$D$1:$AC$1, 0))</f>
        <v>#N/A</v>
      </c>
      <c r="L207" s="42" t="e">
        <f>INDEX(Input!$D$2:$AC$500,
       MATCH(B207, Input!$J$2:$J$500, 0),
       MATCH("Memory Type", Input!$D$1:$AC$1, 0))</f>
        <v>#N/A</v>
      </c>
      <c r="M207" s="42" t="str" cm="1">
        <f t="array" ref="M207">IFERROR(_xlfn.FILTERXML("&lt;t&gt;&lt;s&gt;" &amp; SUBSTITUTE(L207," / ","&lt;/s&gt;&lt;s&gt;") &amp; "&lt;/s&gt;&lt;/t&gt;","(//s[contains(.,'DDR')])[1]"),"")</f>
        <v/>
      </c>
      <c r="N207" s="32" t="e">
        <f t="shared" si="11"/>
        <v>#N/A</v>
      </c>
      <c r="O207" s="42" t="e">
        <f>INDEX(Input!$D$2:$AC$500,
       MATCH(B207, Input!$J$2:$J$500, 0),
       MATCH("Disk Interface Type", Input!$D$1:$AC$1, 0))</f>
        <v>#N/A</v>
      </c>
      <c r="P207" s="42" t="str" cm="1">
        <f t="array" ref="P207">IFERROR(_xlfn.TEXTJOIN(", ", TRUE, _xlfn._xlws.FILTER(
    INDEX(Input!$D$2:$AC$500,,MATCH("Disk Capacity",Input!$D$1:$AC$1,0)),
    Input!$J$2:$J$500=B207
)), "")</f>
        <v/>
      </c>
      <c r="Q207" s="32" t="e">
        <f t="shared" si="10"/>
        <v>#N/A</v>
      </c>
      <c r="R207" s="42" t="e">
        <f>_xlfn.LET(_xlpm.Result,INDEX(Input!$D$2:$AC$500,
       MATCH(B207, Input!$J$2:$J$500, 0),
       MATCH("Capacity", Input!$D$1:$AC$1, 0)),IF(_xlpm.Result="","",_xlpm.Result))</f>
        <v>#N/A</v>
      </c>
      <c r="S207" s="42" t="e" cm="1">
        <f t="array" ref="S207">_xlfn.TEXTSPLIT(R207," / ", ,TRUE,0,)</f>
        <v>#N/A</v>
      </c>
      <c r="T207" s="42"/>
      <c r="U207" s="42" t="str" cm="1">
        <f t="array" ref="U207">IFERROR(_xlfn.IFS(
S207="","",
--S207&lt;55,"Battery Defect",
--S207&lt;=69,"Battery D",
--S207&lt;=80,"Battery C",
--S207&gt;80,""
),"")</f>
        <v/>
      </c>
      <c r="V207" s="42" t="str" cm="1">
        <f t="array" ref="V207">IFERROR(_xlfn.IFS(
T207="","",
--T207&lt;55,"Battery Defect",
--T207&lt;=69,"Battery D",
--T207&lt;=80,"Battery C",
--T207&gt;80,""
),"")</f>
        <v/>
      </c>
      <c r="W207" s="42" t="str" cm="1">
        <f t="array" ref="W207:AD207">IFERROR(IF(_xlfn.XLOOKUP(B207,Input!J:J,Input!N:U)=0,"",
          _xlfn.XLOOKUP(B207,Input!J:J,Input!N:U)),"")</f>
        <v/>
      </c>
      <c r="X207" s="42" t="str">
        <v/>
      </c>
      <c r="Y207" s="42" t="str">
        <v/>
      </c>
      <c r="Z207" s="42" t="str">
        <v/>
      </c>
      <c r="AA207" s="42" t="str">
        <v/>
      </c>
      <c r="AB207" s="42" t="str">
        <v/>
      </c>
      <c r="AC207" s="42" t="str">
        <v/>
      </c>
      <c r="AD207" s="42" t="str">
        <v/>
      </c>
      <c r="AE207" s="32" t="str">
        <f t="shared" si="9"/>
        <v/>
      </c>
      <c r="AF207" s="32" t="str">
        <f>_xlfn.XLOOKUP(B:B,Disk_Pivot!G:G,Disk_Pivot!I:I)</f>
        <v>Yes x2</v>
      </c>
      <c r="AG207" s="32" t="str">
        <f>_xlfn.XLOOKUP(B207,Disk_Pivot!G:G,Disk_Pivot!N:N)</f>
        <v>Pass, Fail</v>
      </c>
      <c r="AH207" s="32"/>
      <c r="AI207" s="32"/>
      <c r="AJ207" s="32"/>
      <c r="AK207" s="32"/>
      <c r="AL207" s="32"/>
      <c r="AM207" s="32"/>
    </row>
    <row r="208" spans="1:39">
      <c r="A208" s="32" t="str">
        <f>_xlfn.XLOOKUP(B208,Input!J:J,Input!G:G)&amp;""</f>
        <v/>
      </c>
      <c r="B208" s="32"/>
      <c r="C208" s="32" t="str">
        <f>_xlfn.XLOOKUP(B208,Input!J:J,Input!H:H)&amp;""</f>
        <v/>
      </c>
      <c r="D208" s="42">
        <f>_xlfn.XLOOKUP(B208,Input!J:J,Input!F:F)</f>
        <v>0</v>
      </c>
      <c r="E208" s="32">
        <f>_xlfn.XLOOKUP(D208,Models!H:H,Models!G:G,D208)</f>
        <v>0</v>
      </c>
      <c r="F208" s="32">
        <f>_xlfn.XLOOKUP(B208,Input!J:J,Input!E:E)</f>
        <v>0</v>
      </c>
      <c r="G208" s="32">
        <f>IF(F208="LENOVO",_xlfn.XLOOKUP(B208,Input!J:J,Input!K:K),_xlfn.XLOOKUP(B208,Input!J:J,Input!L:L))</f>
        <v>0</v>
      </c>
      <c r="H208" s="32"/>
      <c r="I208" s="32"/>
      <c r="J208" s="32">
        <f>_xlfn.XLOOKUP(B208,CPU_Formula!A:A,CPU_Formula!I:I)</f>
        <v>0</v>
      </c>
      <c r="K208" s="42" t="e">
        <f>INDEX(Input!$D$2:$AC$500,
       MATCH(B208, Input!$J$2:$J$500, 0),
       MATCH("Total Memory", Input!$D$1:$AC$1, 0))</f>
        <v>#N/A</v>
      </c>
      <c r="L208" s="42" t="e">
        <f>INDEX(Input!$D$2:$AC$500,
       MATCH(B208, Input!$J$2:$J$500, 0),
       MATCH("Memory Type", Input!$D$1:$AC$1, 0))</f>
        <v>#N/A</v>
      </c>
      <c r="M208" s="42" t="str" cm="1">
        <f t="array" ref="M208">IFERROR(_xlfn.FILTERXML("&lt;t&gt;&lt;s&gt;" &amp; SUBSTITUTE(L208," / ","&lt;/s&gt;&lt;s&gt;") &amp; "&lt;/s&gt;&lt;/t&gt;","(//s[contains(.,'DDR')])[1]"),"")</f>
        <v/>
      </c>
      <c r="N208" s="32" t="e">
        <f t="shared" si="11"/>
        <v>#N/A</v>
      </c>
      <c r="O208" s="42" t="e">
        <f>INDEX(Input!$D$2:$AC$500,
       MATCH(B208, Input!$J$2:$J$500, 0),
       MATCH("Disk Interface Type", Input!$D$1:$AC$1, 0))</f>
        <v>#N/A</v>
      </c>
      <c r="P208" s="42" t="str" cm="1">
        <f t="array" ref="P208">IFERROR(_xlfn.TEXTJOIN(", ", TRUE, _xlfn._xlws.FILTER(
    INDEX(Input!$D$2:$AC$500,,MATCH("Disk Capacity",Input!$D$1:$AC$1,0)),
    Input!$J$2:$J$500=B208
)), "")</f>
        <v/>
      </c>
      <c r="Q208" s="32" t="e">
        <f t="shared" si="10"/>
        <v>#N/A</v>
      </c>
      <c r="R208" s="42" t="e">
        <f>_xlfn.LET(_xlpm.Result,INDEX(Input!$D$2:$AC$500,
       MATCH(B208, Input!$J$2:$J$500, 0),
       MATCH("Capacity", Input!$D$1:$AC$1, 0)),IF(_xlpm.Result="","",_xlpm.Result))</f>
        <v>#N/A</v>
      </c>
      <c r="S208" s="42" t="e" cm="1">
        <f t="array" ref="S208">_xlfn.TEXTSPLIT(R208," / ", ,TRUE,0,)</f>
        <v>#N/A</v>
      </c>
      <c r="T208" s="42"/>
      <c r="U208" s="42" t="str" cm="1">
        <f t="array" ref="U208">IFERROR(_xlfn.IFS(
S208="","",
--S208&lt;55,"Battery Defect",
--S208&lt;=69,"Battery D",
--S208&lt;=80,"Battery C",
--S208&gt;80,""
),"")</f>
        <v/>
      </c>
      <c r="V208" s="42" t="str" cm="1">
        <f t="array" ref="V208">IFERROR(_xlfn.IFS(
T208="","",
--T208&lt;55,"Battery Defect",
--T208&lt;=69,"Battery D",
--T208&lt;=80,"Battery C",
--T208&gt;80,""
),"")</f>
        <v/>
      </c>
      <c r="W208" s="42" t="str" cm="1">
        <f t="array" ref="W208:AD208">IFERROR(IF(_xlfn.XLOOKUP(B208,Input!J:J,Input!N:U)=0,"",
          _xlfn.XLOOKUP(B208,Input!J:J,Input!N:U)),"")</f>
        <v/>
      </c>
      <c r="X208" s="42" t="str">
        <v/>
      </c>
      <c r="Y208" s="42" t="str">
        <v/>
      </c>
      <c r="Z208" s="42" t="str">
        <v/>
      </c>
      <c r="AA208" s="42" t="str">
        <v/>
      </c>
      <c r="AB208" s="42" t="str">
        <v/>
      </c>
      <c r="AC208" s="42" t="str">
        <v/>
      </c>
      <c r="AD208" s="42" t="str">
        <v/>
      </c>
      <c r="AE208" s="32" t="str">
        <f t="shared" si="9"/>
        <v/>
      </c>
      <c r="AF208" s="32" t="str">
        <f>_xlfn.XLOOKUP(B:B,Disk_Pivot!G:G,Disk_Pivot!I:I)</f>
        <v>Yes x2</v>
      </c>
      <c r="AG208" s="32" t="str">
        <f>_xlfn.XLOOKUP(B208,Disk_Pivot!G:G,Disk_Pivot!N:N)</f>
        <v>Pass, Fail</v>
      </c>
      <c r="AH208" s="32"/>
      <c r="AI208" s="32"/>
      <c r="AJ208" s="32"/>
      <c r="AK208" s="32"/>
      <c r="AL208" s="32"/>
      <c r="AM208" s="32"/>
    </row>
    <row r="209" spans="1:39">
      <c r="A209" s="32" t="str">
        <f>_xlfn.XLOOKUP(B209,Input!J:J,Input!G:G)&amp;""</f>
        <v/>
      </c>
      <c r="B209" s="32"/>
      <c r="C209" s="32" t="str">
        <f>_xlfn.XLOOKUP(B209,Input!J:J,Input!H:H)&amp;""</f>
        <v/>
      </c>
      <c r="D209" s="42">
        <f>_xlfn.XLOOKUP(B209,Input!J:J,Input!F:F)</f>
        <v>0</v>
      </c>
      <c r="E209" s="32">
        <f>_xlfn.XLOOKUP(D209,Models!H:H,Models!G:G,D209)</f>
        <v>0</v>
      </c>
      <c r="F209" s="32">
        <f>_xlfn.XLOOKUP(B209,Input!J:J,Input!E:E)</f>
        <v>0</v>
      </c>
      <c r="G209" s="32">
        <f>IF(F209="LENOVO",_xlfn.XLOOKUP(B209,Input!J:J,Input!K:K),_xlfn.XLOOKUP(B209,Input!J:J,Input!L:L))</f>
        <v>0</v>
      </c>
      <c r="H209" s="32"/>
      <c r="I209" s="32"/>
      <c r="J209" s="32">
        <f>_xlfn.XLOOKUP(B209,CPU_Formula!A:A,CPU_Formula!I:I)</f>
        <v>0</v>
      </c>
      <c r="K209" s="42" t="e">
        <f>INDEX(Input!$D$2:$AC$500,
       MATCH(B209, Input!$J$2:$J$500, 0),
       MATCH("Total Memory", Input!$D$1:$AC$1, 0))</f>
        <v>#N/A</v>
      </c>
      <c r="L209" s="42" t="e">
        <f>INDEX(Input!$D$2:$AC$500,
       MATCH(B209, Input!$J$2:$J$500, 0),
       MATCH("Memory Type", Input!$D$1:$AC$1, 0))</f>
        <v>#N/A</v>
      </c>
      <c r="M209" s="42" t="str" cm="1">
        <f t="array" ref="M209">IFERROR(_xlfn.FILTERXML("&lt;t&gt;&lt;s&gt;" &amp; SUBSTITUTE(L209," / ","&lt;/s&gt;&lt;s&gt;") &amp; "&lt;/s&gt;&lt;/t&gt;","(//s[contains(.,'DDR')])[1]"),"")</f>
        <v/>
      </c>
      <c r="N209" s="32" t="e">
        <f t="shared" si="11"/>
        <v>#N/A</v>
      </c>
      <c r="O209" s="42" t="e">
        <f>INDEX(Input!$D$2:$AC$500,
       MATCH(B209, Input!$J$2:$J$500, 0),
       MATCH("Disk Interface Type", Input!$D$1:$AC$1, 0))</f>
        <v>#N/A</v>
      </c>
      <c r="P209" s="42" t="str" cm="1">
        <f t="array" ref="P209">IFERROR(_xlfn.TEXTJOIN(", ", TRUE, _xlfn._xlws.FILTER(
    INDEX(Input!$D$2:$AC$500,,MATCH("Disk Capacity",Input!$D$1:$AC$1,0)),
    Input!$J$2:$J$500=B209
)), "")</f>
        <v/>
      </c>
      <c r="Q209" s="32" t="e">
        <f t="shared" si="10"/>
        <v>#N/A</v>
      </c>
      <c r="R209" s="42" t="e">
        <f>_xlfn.LET(_xlpm.Result,INDEX(Input!$D$2:$AC$500,
       MATCH(B209, Input!$J$2:$J$500, 0),
       MATCH("Capacity", Input!$D$1:$AC$1, 0)),IF(_xlpm.Result="","",_xlpm.Result))</f>
        <v>#N/A</v>
      </c>
      <c r="S209" s="42" t="e" cm="1">
        <f t="array" ref="S209">_xlfn.TEXTSPLIT(R209," / ", ,TRUE,0,)</f>
        <v>#N/A</v>
      </c>
      <c r="T209" s="42"/>
      <c r="U209" s="42" t="str" cm="1">
        <f t="array" ref="U209">IFERROR(_xlfn.IFS(
S209="","",
--S209&lt;55,"Battery Defect",
--S209&lt;=69,"Battery D",
--S209&lt;=80,"Battery C",
--S209&gt;80,""
),"")</f>
        <v/>
      </c>
      <c r="V209" s="42" t="str" cm="1">
        <f t="array" ref="V209">IFERROR(_xlfn.IFS(
T209="","",
--T209&lt;55,"Battery Defect",
--T209&lt;=69,"Battery D",
--T209&lt;=80,"Battery C",
--T209&gt;80,""
),"")</f>
        <v/>
      </c>
      <c r="W209" s="42" t="str" cm="1">
        <f t="array" ref="W209:AD209">IFERROR(IF(_xlfn.XLOOKUP(B209,Input!J:J,Input!N:U)=0,"",
          _xlfn.XLOOKUP(B209,Input!J:J,Input!N:U)),"")</f>
        <v/>
      </c>
      <c r="X209" s="42" t="str">
        <v/>
      </c>
      <c r="Y209" s="42" t="str">
        <v/>
      </c>
      <c r="Z209" s="42" t="str">
        <v/>
      </c>
      <c r="AA209" s="42" t="str">
        <v/>
      </c>
      <c r="AB209" s="42" t="str">
        <v/>
      </c>
      <c r="AC209" s="42" t="str">
        <v/>
      </c>
      <c r="AD209" s="42" t="str">
        <v/>
      </c>
      <c r="AE209" s="32" t="str">
        <f t="shared" si="9"/>
        <v/>
      </c>
      <c r="AF209" s="32" t="str">
        <f>_xlfn.XLOOKUP(B:B,Disk_Pivot!G:G,Disk_Pivot!I:I)</f>
        <v>Yes x2</v>
      </c>
      <c r="AG209" s="32" t="str">
        <f>_xlfn.XLOOKUP(B209,Disk_Pivot!G:G,Disk_Pivot!N:N)</f>
        <v>Pass, Fail</v>
      </c>
      <c r="AH209" s="32"/>
      <c r="AI209" s="32"/>
      <c r="AJ209" s="32"/>
      <c r="AK209" s="32"/>
      <c r="AL209" s="32"/>
      <c r="AM209" s="32"/>
    </row>
    <row r="210" spans="1:39">
      <c r="A210" s="32" t="str">
        <f>_xlfn.XLOOKUP(B210,Input!J:J,Input!G:G)&amp;""</f>
        <v/>
      </c>
      <c r="B210" s="32"/>
      <c r="C210" s="32" t="str">
        <f>_xlfn.XLOOKUP(B210,Input!J:J,Input!H:H)&amp;""</f>
        <v/>
      </c>
      <c r="D210" s="42">
        <f>_xlfn.XLOOKUP(B210,Input!J:J,Input!F:F)</f>
        <v>0</v>
      </c>
      <c r="E210" s="32">
        <f>_xlfn.XLOOKUP(D210,Models!H:H,Models!G:G,D210)</f>
        <v>0</v>
      </c>
      <c r="F210" s="32">
        <f>_xlfn.XLOOKUP(B210,Input!J:J,Input!E:E)</f>
        <v>0</v>
      </c>
      <c r="G210" s="32">
        <f>IF(F210="LENOVO",_xlfn.XLOOKUP(B210,Input!J:J,Input!K:K),_xlfn.XLOOKUP(B210,Input!J:J,Input!L:L))</f>
        <v>0</v>
      </c>
      <c r="H210" s="32"/>
      <c r="I210" s="32"/>
      <c r="J210" s="32">
        <f>_xlfn.XLOOKUP(B210,CPU_Formula!A:A,CPU_Formula!I:I)</f>
        <v>0</v>
      </c>
      <c r="K210" s="42" t="e">
        <f>INDEX(Input!$D$2:$AC$500,
       MATCH(B210, Input!$J$2:$J$500, 0),
       MATCH("Total Memory", Input!$D$1:$AC$1, 0))</f>
        <v>#N/A</v>
      </c>
      <c r="L210" s="42" t="e">
        <f>INDEX(Input!$D$2:$AC$500,
       MATCH(B210, Input!$J$2:$J$500, 0),
       MATCH("Memory Type", Input!$D$1:$AC$1, 0))</f>
        <v>#N/A</v>
      </c>
      <c r="M210" s="42" t="str" cm="1">
        <f t="array" ref="M210">IFERROR(_xlfn.FILTERXML("&lt;t&gt;&lt;s&gt;" &amp; SUBSTITUTE(L210," / ","&lt;/s&gt;&lt;s&gt;") &amp; "&lt;/s&gt;&lt;/t&gt;","(//s[contains(.,'DDR')])[1]"),"")</f>
        <v/>
      </c>
      <c r="N210" s="32" t="e">
        <f t="shared" si="11"/>
        <v>#N/A</v>
      </c>
      <c r="O210" s="42" t="e">
        <f>INDEX(Input!$D$2:$AC$500,
       MATCH(B210, Input!$J$2:$J$500, 0),
       MATCH("Disk Interface Type", Input!$D$1:$AC$1, 0))</f>
        <v>#N/A</v>
      </c>
      <c r="P210" s="42" t="str" cm="1">
        <f t="array" ref="P210">IFERROR(_xlfn.TEXTJOIN(", ", TRUE, _xlfn._xlws.FILTER(
    INDEX(Input!$D$2:$AC$500,,MATCH("Disk Capacity",Input!$D$1:$AC$1,0)),
    Input!$J$2:$J$500=B210
)), "")</f>
        <v/>
      </c>
      <c r="Q210" s="32" t="e">
        <f t="shared" si="10"/>
        <v>#N/A</v>
      </c>
      <c r="R210" s="42" t="e">
        <f>_xlfn.LET(_xlpm.Result,INDEX(Input!$D$2:$AC$500,
       MATCH(B210, Input!$J$2:$J$500, 0),
       MATCH("Capacity", Input!$D$1:$AC$1, 0)),IF(_xlpm.Result="","",_xlpm.Result))</f>
        <v>#N/A</v>
      </c>
      <c r="S210" s="42" t="e" cm="1">
        <f t="array" ref="S210">_xlfn.TEXTSPLIT(R210," / ", ,TRUE,0,)</f>
        <v>#N/A</v>
      </c>
      <c r="T210" s="42"/>
      <c r="U210" s="42" t="str" cm="1">
        <f t="array" ref="U210">IFERROR(_xlfn.IFS(
S210="","",
--S210&lt;55,"Battery Defect",
--S210&lt;=69,"Battery D",
--S210&lt;=80,"Battery C",
--S210&gt;80,""
),"")</f>
        <v/>
      </c>
      <c r="V210" s="42" t="str" cm="1">
        <f t="array" ref="V210">IFERROR(_xlfn.IFS(
T210="","",
--T210&lt;55,"Battery Defect",
--T210&lt;=69,"Battery D",
--T210&lt;=80,"Battery C",
--T210&gt;80,""
),"")</f>
        <v/>
      </c>
      <c r="W210" s="42" t="str" cm="1">
        <f t="array" ref="W210:AD210">IFERROR(IF(_xlfn.XLOOKUP(B210,Input!J:J,Input!N:U)=0,"",
          _xlfn.XLOOKUP(B210,Input!J:J,Input!N:U)),"")</f>
        <v/>
      </c>
      <c r="X210" s="42" t="str">
        <v/>
      </c>
      <c r="Y210" s="42" t="str">
        <v/>
      </c>
      <c r="Z210" s="42" t="str">
        <v/>
      </c>
      <c r="AA210" s="42" t="str">
        <v/>
      </c>
      <c r="AB210" s="42" t="str">
        <v/>
      </c>
      <c r="AC210" s="42" t="str">
        <v/>
      </c>
      <c r="AD210" s="42" t="str">
        <v/>
      </c>
      <c r="AE210" s="32" t="str">
        <f t="shared" si="9"/>
        <v/>
      </c>
      <c r="AF210" s="32" t="str">
        <f>_xlfn.XLOOKUP(B:B,Disk_Pivot!G:G,Disk_Pivot!I:I)</f>
        <v>Yes x2</v>
      </c>
      <c r="AG210" s="32" t="str">
        <f>_xlfn.XLOOKUP(B210,Disk_Pivot!G:G,Disk_Pivot!N:N)</f>
        <v>Pass, Fail</v>
      </c>
      <c r="AH210" s="32"/>
      <c r="AI210" s="32"/>
      <c r="AJ210" s="32"/>
      <c r="AK210" s="32"/>
      <c r="AL210" s="32"/>
      <c r="AM210" s="32"/>
    </row>
    <row r="211" spans="1:39">
      <c r="A211" s="32" t="str">
        <f>_xlfn.XLOOKUP(B211,Input!J:J,Input!G:G)&amp;""</f>
        <v/>
      </c>
      <c r="B211" s="32"/>
      <c r="C211" s="32" t="str">
        <f>_xlfn.XLOOKUP(B211,Input!J:J,Input!H:H)&amp;""</f>
        <v/>
      </c>
      <c r="D211" s="42">
        <f>_xlfn.XLOOKUP(B211,Input!J:J,Input!F:F)</f>
        <v>0</v>
      </c>
      <c r="E211" s="32">
        <f>_xlfn.XLOOKUP(D211,Models!H:H,Models!G:G,D211)</f>
        <v>0</v>
      </c>
      <c r="F211" s="32">
        <f>_xlfn.XLOOKUP(B211,Input!J:J,Input!E:E)</f>
        <v>0</v>
      </c>
      <c r="G211" s="32">
        <f>IF(F211="LENOVO",_xlfn.XLOOKUP(B211,Input!J:J,Input!K:K),_xlfn.XLOOKUP(B211,Input!J:J,Input!L:L))</f>
        <v>0</v>
      </c>
      <c r="H211" s="32"/>
      <c r="I211" s="32"/>
      <c r="J211" s="32">
        <f>_xlfn.XLOOKUP(B211,CPU_Formula!A:A,CPU_Formula!I:I)</f>
        <v>0</v>
      </c>
      <c r="K211" s="42" t="e">
        <f>INDEX(Input!$D$2:$AC$500,
       MATCH(B211, Input!$J$2:$J$500, 0),
       MATCH("Total Memory", Input!$D$1:$AC$1, 0))</f>
        <v>#N/A</v>
      </c>
      <c r="L211" s="42" t="e">
        <f>INDEX(Input!$D$2:$AC$500,
       MATCH(B211, Input!$J$2:$J$500, 0),
       MATCH("Memory Type", Input!$D$1:$AC$1, 0))</f>
        <v>#N/A</v>
      </c>
      <c r="M211" s="42" t="str" cm="1">
        <f t="array" ref="M211">IFERROR(_xlfn.FILTERXML("&lt;t&gt;&lt;s&gt;" &amp; SUBSTITUTE(L211," / ","&lt;/s&gt;&lt;s&gt;") &amp; "&lt;/s&gt;&lt;/t&gt;","(//s[contains(.,'DDR')])[1]"),"")</f>
        <v/>
      </c>
      <c r="N211" s="32" t="e">
        <f t="shared" si="11"/>
        <v>#N/A</v>
      </c>
      <c r="O211" s="42" t="e">
        <f>INDEX(Input!$D$2:$AC$500,
       MATCH(B211, Input!$J$2:$J$500, 0),
       MATCH("Disk Interface Type", Input!$D$1:$AC$1, 0))</f>
        <v>#N/A</v>
      </c>
      <c r="P211" s="42" t="str" cm="1">
        <f t="array" ref="P211">IFERROR(_xlfn.TEXTJOIN(", ", TRUE, _xlfn._xlws.FILTER(
    INDEX(Input!$D$2:$AC$500,,MATCH("Disk Capacity",Input!$D$1:$AC$1,0)),
    Input!$J$2:$J$500=B211
)), "")</f>
        <v/>
      </c>
      <c r="Q211" s="32" t="e">
        <f t="shared" si="10"/>
        <v>#N/A</v>
      </c>
      <c r="R211" s="42" t="e">
        <f>_xlfn.LET(_xlpm.Result,INDEX(Input!$D$2:$AC$500,
       MATCH(B211, Input!$J$2:$J$500, 0),
       MATCH("Capacity", Input!$D$1:$AC$1, 0)),IF(_xlpm.Result="","",_xlpm.Result))</f>
        <v>#N/A</v>
      </c>
      <c r="S211" s="42" t="e" cm="1">
        <f t="array" ref="S211">_xlfn.TEXTSPLIT(R211," / ", ,TRUE,0,)</f>
        <v>#N/A</v>
      </c>
      <c r="T211" s="42"/>
      <c r="U211" s="42" t="str" cm="1">
        <f t="array" ref="U211">IFERROR(_xlfn.IFS(
S211="","",
--S211&lt;55,"Battery Defect",
--S211&lt;=69,"Battery D",
--S211&lt;=80,"Battery C",
--S211&gt;80,""
),"")</f>
        <v/>
      </c>
      <c r="V211" s="42" t="str" cm="1">
        <f t="array" ref="V211">IFERROR(_xlfn.IFS(
T211="","",
--T211&lt;55,"Battery Defect",
--T211&lt;=69,"Battery D",
--T211&lt;=80,"Battery C",
--T211&gt;80,""
),"")</f>
        <v/>
      </c>
      <c r="W211" s="42" t="str" cm="1">
        <f t="array" ref="W211:AD211">IFERROR(IF(_xlfn.XLOOKUP(B211,Input!J:J,Input!N:U)=0,"",
          _xlfn.XLOOKUP(B211,Input!J:J,Input!N:U)),"")</f>
        <v/>
      </c>
      <c r="X211" s="42" t="str">
        <v/>
      </c>
      <c r="Y211" s="42" t="str">
        <v/>
      </c>
      <c r="Z211" s="42" t="str">
        <v/>
      </c>
      <c r="AA211" s="42" t="str">
        <v/>
      </c>
      <c r="AB211" s="42" t="str">
        <v/>
      </c>
      <c r="AC211" s="42" t="str">
        <v/>
      </c>
      <c r="AD211" s="42" t="str">
        <v/>
      </c>
      <c r="AE211" s="32" t="str">
        <f t="shared" si="9"/>
        <v/>
      </c>
      <c r="AF211" s="32" t="str">
        <f>_xlfn.XLOOKUP(B:B,Disk_Pivot!G:G,Disk_Pivot!I:I)</f>
        <v>Yes x2</v>
      </c>
      <c r="AG211" s="32" t="str">
        <f>_xlfn.XLOOKUP(B211,Disk_Pivot!G:G,Disk_Pivot!N:N)</f>
        <v>Pass, Fail</v>
      </c>
      <c r="AH211" s="32"/>
      <c r="AI211" s="32"/>
      <c r="AJ211" s="32"/>
      <c r="AK211" s="32"/>
      <c r="AL211" s="32"/>
      <c r="AM211" s="32"/>
    </row>
    <row r="212" spans="1:39">
      <c r="A212" s="32" t="str">
        <f>_xlfn.XLOOKUP(B212,Input!J:J,Input!G:G)&amp;""</f>
        <v/>
      </c>
      <c r="B212" s="32"/>
      <c r="C212" s="32" t="str">
        <f>_xlfn.XLOOKUP(B212,Input!J:J,Input!H:H)&amp;""</f>
        <v/>
      </c>
      <c r="D212" s="42">
        <f>_xlfn.XLOOKUP(B212,Input!J:J,Input!F:F)</f>
        <v>0</v>
      </c>
      <c r="E212" s="32">
        <f>_xlfn.XLOOKUP(D212,Models!H:H,Models!G:G,D212)</f>
        <v>0</v>
      </c>
      <c r="F212" s="32">
        <f>_xlfn.XLOOKUP(B212,Input!J:J,Input!E:E)</f>
        <v>0</v>
      </c>
      <c r="G212" s="32">
        <f>IF(F212="LENOVO",_xlfn.XLOOKUP(B212,Input!J:J,Input!K:K),_xlfn.XLOOKUP(B212,Input!J:J,Input!L:L))</f>
        <v>0</v>
      </c>
      <c r="H212" s="32"/>
      <c r="I212" s="32"/>
      <c r="J212" s="32">
        <f>_xlfn.XLOOKUP(B212,CPU_Formula!A:A,CPU_Formula!I:I)</f>
        <v>0</v>
      </c>
      <c r="K212" s="42" t="e">
        <f>INDEX(Input!$D$2:$AC$500,
       MATCH(B212, Input!$J$2:$J$500, 0),
       MATCH("Total Memory", Input!$D$1:$AC$1, 0))</f>
        <v>#N/A</v>
      </c>
      <c r="L212" s="42" t="e">
        <f>INDEX(Input!$D$2:$AC$500,
       MATCH(B212, Input!$J$2:$J$500, 0),
       MATCH("Memory Type", Input!$D$1:$AC$1, 0))</f>
        <v>#N/A</v>
      </c>
      <c r="M212" s="42" t="str" cm="1">
        <f t="array" ref="M212">IFERROR(_xlfn.FILTERXML("&lt;t&gt;&lt;s&gt;" &amp; SUBSTITUTE(L212," / ","&lt;/s&gt;&lt;s&gt;") &amp; "&lt;/s&gt;&lt;/t&gt;","(//s[contains(.,'DDR')])[1]"),"")</f>
        <v/>
      </c>
      <c r="N212" s="32" t="e">
        <f t="shared" si="11"/>
        <v>#N/A</v>
      </c>
      <c r="O212" s="42" t="e">
        <f>INDEX(Input!$D$2:$AC$500,
       MATCH(B212, Input!$J$2:$J$500, 0),
       MATCH("Disk Interface Type", Input!$D$1:$AC$1, 0))</f>
        <v>#N/A</v>
      </c>
      <c r="P212" s="42" t="str" cm="1">
        <f t="array" ref="P212">IFERROR(_xlfn.TEXTJOIN(", ", TRUE, _xlfn._xlws.FILTER(
    INDEX(Input!$D$2:$AC$500,,MATCH("Disk Capacity",Input!$D$1:$AC$1,0)),
    Input!$J$2:$J$500=B212
)), "")</f>
        <v/>
      </c>
      <c r="Q212" s="32" t="e">
        <f t="shared" si="10"/>
        <v>#N/A</v>
      </c>
      <c r="R212" s="42" t="e">
        <f>_xlfn.LET(_xlpm.Result,INDEX(Input!$D$2:$AC$500,
       MATCH(B212, Input!$J$2:$J$500, 0),
       MATCH("Capacity", Input!$D$1:$AC$1, 0)),IF(_xlpm.Result="","",_xlpm.Result))</f>
        <v>#N/A</v>
      </c>
      <c r="S212" s="42" t="e" cm="1">
        <f t="array" ref="S212">_xlfn.TEXTSPLIT(R212," / ", ,TRUE,0,)</f>
        <v>#N/A</v>
      </c>
      <c r="T212" s="42"/>
      <c r="U212" s="42" t="str" cm="1">
        <f t="array" ref="U212">IFERROR(_xlfn.IFS(
S212="","",
--S212&lt;55,"Battery Defect",
--S212&lt;=69,"Battery D",
--S212&lt;=80,"Battery C",
--S212&gt;80,""
),"")</f>
        <v/>
      </c>
      <c r="V212" s="42" t="str" cm="1">
        <f t="array" ref="V212">IFERROR(_xlfn.IFS(
T212="","",
--T212&lt;55,"Battery Defect",
--T212&lt;=69,"Battery D",
--T212&lt;=80,"Battery C",
--T212&gt;80,""
),"")</f>
        <v/>
      </c>
      <c r="W212" s="42" t="str" cm="1">
        <f t="array" ref="W212:AD212">IFERROR(IF(_xlfn.XLOOKUP(B212,Input!J:J,Input!N:U)=0,"",
          _xlfn.XLOOKUP(B212,Input!J:J,Input!N:U)),"")</f>
        <v/>
      </c>
      <c r="X212" s="42" t="str">
        <v/>
      </c>
      <c r="Y212" s="42" t="str">
        <v/>
      </c>
      <c r="Z212" s="42" t="str">
        <v/>
      </c>
      <c r="AA212" s="42" t="str">
        <v/>
      </c>
      <c r="AB212" s="42" t="str">
        <v/>
      </c>
      <c r="AC212" s="42" t="str">
        <v/>
      </c>
      <c r="AD212" s="42" t="str">
        <v/>
      </c>
      <c r="AE212" s="32" t="str">
        <f t="shared" si="9"/>
        <v/>
      </c>
      <c r="AF212" s="32" t="str">
        <f>_xlfn.XLOOKUP(B:B,Disk_Pivot!G:G,Disk_Pivot!I:I)</f>
        <v>Yes x2</v>
      </c>
      <c r="AG212" s="32" t="str">
        <f>_xlfn.XLOOKUP(B212,Disk_Pivot!G:G,Disk_Pivot!N:N)</f>
        <v>Pass, Fail</v>
      </c>
      <c r="AH212" s="32"/>
      <c r="AI212" s="32"/>
      <c r="AJ212" s="32"/>
      <c r="AK212" s="32"/>
      <c r="AL212" s="32"/>
      <c r="AM212" s="32"/>
    </row>
    <row r="213" spans="1:39">
      <c r="A213" s="32" t="str">
        <f>_xlfn.XLOOKUP(B213,Input!J:J,Input!G:G)&amp;""</f>
        <v/>
      </c>
      <c r="B213" s="32"/>
      <c r="C213" s="32" t="str">
        <f>_xlfn.XLOOKUP(B213,Input!J:J,Input!H:H)&amp;""</f>
        <v/>
      </c>
      <c r="D213" s="42">
        <f>_xlfn.XLOOKUP(B213,Input!J:J,Input!F:F)</f>
        <v>0</v>
      </c>
      <c r="E213" s="32">
        <f>_xlfn.XLOOKUP(D213,Models!H:H,Models!G:G,D213)</f>
        <v>0</v>
      </c>
      <c r="F213" s="32">
        <f>_xlfn.XLOOKUP(B213,Input!J:J,Input!E:E)</f>
        <v>0</v>
      </c>
      <c r="G213" s="32">
        <f>IF(F213="LENOVO",_xlfn.XLOOKUP(B213,Input!J:J,Input!K:K),_xlfn.XLOOKUP(B213,Input!J:J,Input!L:L))</f>
        <v>0</v>
      </c>
      <c r="H213" s="32"/>
      <c r="I213" s="32"/>
      <c r="J213" s="32">
        <f>_xlfn.XLOOKUP(B213,CPU_Formula!A:A,CPU_Formula!I:I)</f>
        <v>0</v>
      </c>
      <c r="K213" s="42" t="e">
        <f>INDEX(Input!$D$2:$AC$500,
       MATCH(B213, Input!$J$2:$J$500, 0),
       MATCH("Total Memory", Input!$D$1:$AC$1, 0))</f>
        <v>#N/A</v>
      </c>
      <c r="L213" s="42" t="e">
        <f>INDEX(Input!$D$2:$AC$500,
       MATCH(B213, Input!$J$2:$J$500, 0),
       MATCH("Memory Type", Input!$D$1:$AC$1, 0))</f>
        <v>#N/A</v>
      </c>
      <c r="M213" s="42" t="str" cm="1">
        <f t="array" ref="M213">IFERROR(_xlfn.FILTERXML("&lt;t&gt;&lt;s&gt;" &amp; SUBSTITUTE(L213," / ","&lt;/s&gt;&lt;s&gt;") &amp; "&lt;/s&gt;&lt;/t&gt;","(//s[contains(.,'DDR')])[1]"),"")</f>
        <v/>
      </c>
      <c r="N213" s="32" t="e">
        <f t="shared" si="11"/>
        <v>#N/A</v>
      </c>
      <c r="O213" s="42" t="e">
        <f>INDEX(Input!$D$2:$AC$500,
       MATCH(B213, Input!$J$2:$J$500, 0),
       MATCH("Disk Interface Type", Input!$D$1:$AC$1, 0))</f>
        <v>#N/A</v>
      </c>
      <c r="P213" s="42" t="str" cm="1">
        <f t="array" ref="P213">IFERROR(_xlfn.TEXTJOIN(", ", TRUE, _xlfn._xlws.FILTER(
    INDEX(Input!$D$2:$AC$500,,MATCH("Disk Capacity",Input!$D$1:$AC$1,0)),
    Input!$J$2:$J$500=B213
)), "")</f>
        <v/>
      </c>
      <c r="Q213" s="32" t="e">
        <f t="shared" si="10"/>
        <v>#N/A</v>
      </c>
      <c r="R213" s="42" t="e">
        <f>_xlfn.LET(_xlpm.Result,INDEX(Input!$D$2:$AC$500,
       MATCH(B213, Input!$J$2:$J$500, 0),
       MATCH("Capacity", Input!$D$1:$AC$1, 0)),IF(_xlpm.Result="","",_xlpm.Result))</f>
        <v>#N/A</v>
      </c>
      <c r="S213" s="42" t="e" cm="1">
        <f t="array" ref="S213">_xlfn.TEXTSPLIT(R213," / ", ,TRUE,0,)</f>
        <v>#N/A</v>
      </c>
      <c r="T213" s="42"/>
      <c r="U213" s="42" t="str" cm="1">
        <f t="array" ref="U213">IFERROR(_xlfn.IFS(
S213="","",
--S213&lt;55,"Battery Defect",
--S213&lt;=69,"Battery D",
--S213&lt;=80,"Battery C",
--S213&gt;80,""
),"")</f>
        <v/>
      </c>
      <c r="V213" s="42" t="str" cm="1">
        <f t="array" ref="V213">IFERROR(_xlfn.IFS(
T213="","",
--T213&lt;55,"Battery Defect",
--T213&lt;=69,"Battery D",
--T213&lt;=80,"Battery C",
--T213&gt;80,""
),"")</f>
        <v/>
      </c>
      <c r="W213" s="42" t="str" cm="1">
        <f t="array" ref="W213:AD213">IFERROR(IF(_xlfn.XLOOKUP(B213,Input!J:J,Input!N:U)=0,"",
          _xlfn.XLOOKUP(B213,Input!J:J,Input!N:U)),"")</f>
        <v/>
      </c>
      <c r="X213" s="42" t="str">
        <v/>
      </c>
      <c r="Y213" s="42" t="str">
        <v/>
      </c>
      <c r="Z213" s="42" t="str">
        <v/>
      </c>
      <c r="AA213" s="42" t="str">
        <v/>
      </c>
      <c r="AB213" s="42" t="str">
        <v/>
      </c>
      <c r="AC213" s="42" t="str">
        <v/>
      </c>
      <c r="AD213" s="42" t="str">
        <v/>
      </c>
      <c r="AE213" s="32" t="str">
        <f t="shared" si="9"/>
        <v/>
      </c>
      <c r="AF213" s="32" t="str">
        <f>_xlfn.XLOOKUP(B:B,Disk_Pivot!G:G,Disk_Pivot!I:I)</f>
        <v>Yes x2</v>
      </c>
      <c r="AG213" s="32" t="str">
        <f>_xlfn.XLOOKUP(B213,Disk_Pivot!G:G,Disk_Pivot!N:N)</f>
        <v>Pass, Fail</v>
      </c>
      <c r="AH213" s="32"/>
      <c r="AI213" s="32"/>
      <c r="AJ213" s="32"/>
      <c r="AK213" s="32"/>
      <c r="AL213" s="32"/>
      <c r="AM213" s="32"/>
    </row>
    <row r="214" spans="1:39">
      <c r="A214" s="32" t="str">
        <f>_xlfn.XLOOKUP(B214,Input!J:J,Input!G:G)&amp;""</f>
        <v/>
      </c>
      <c r="B214" s="32"/>
      <c r="C214" s="32" t="str">
        <f>_xlfn.XLOOKUP(B214,Input!J:J,Input!H:H)&amp;""</f>
        <v/>
      </c>
      <c r="D214" s="42">
        <f>_xlfn.XLOOKUP(B214,Input!J:J,Input!F:F)</f>
        <v>0</v>
      </c>
      <c r="E214" s="32">
        <f>_xlfn.XLOOKUP(D214,Models!H:H,Models!G:G,D214)</f>
        <v>0</v>
      </c>
      <c r="F214" s="32">
        <f>_xlfn.XLOOKUP(B214,Input!J:J,Input!E:E)</f>
        <v>0</v>
      </c>
      <c r="G214" s="32">
        <f>IF(F214="LENOVO",_xlfn.XLOOKUP(B214,Input!J:J,Input!K:K),_xlfn.XLOOKUP(B214,Input!J:J,Input!L:L))</f>
        <v>0</v>
      </c>
      <c r="H214" s="32"/>
      <c r="I214" s="32"/>
      <c r="J214" s="32">
        <f>_xlfn.XLOOKUP(B214,CPU_Formula!A:A,CPU_Formula!I:I)</f>
        <v>0</v>
      </c>
      <c r="K214" s="42" t="e">
        <f>INDEX(Input!$D$2:$AC$500,
       MATCH(B214, Input!$J$2:$J$500, 0),
       MATCH("Total Memory", Input!$D$1:$AC$1, 0))</f>
        <v>#N/A</v>
      </c>
      <c r="L214" s="42" t="e">
        <f>INDEX(Input!$D$2:$AC$500,
       MATCH(B214, Input!$J$2:$J$500, 0),
       MATCH("Memory Type", Input!$D$1:$AC$1, 0))</f>
        <v>#N/A</v>
      </c>
      <c r="M214" s="42" t="str" cm="1">
        <f t="array" ref="M214">IFERROR(_xlfn.FILTERXML("&lt;t&gt;&lt;s&gt;" &amp; SUBSTITUTE(L214," / ","&lt;/s&gt;&lt;s&gt;") &amp; "&lt;/s&gt;&lt;/t&gt;","(//s[contains(.,'DDR')])[1]"),"")</f>
        <v/>
      </c>
      <c r="N214" s="32" t="e">
        <f t="shared" si="11"/>
        <v>#N/A</v>
      </c>
      <c r="O214" s="42" t="e">
        <f>INDEX(Input!$D$2:$AC$500,
       MATCH(B214, Input!$J$2:$J$500, 0),
       MATCH("Disk Interface Type", Input!$D$1:$AC$1, 0))</f>
        <v>#N/A</v>
      </c>
      <c r="P214" s="42" t="str" cm="1">
        <f t="array" ref="P214">IFERROR(_xlfn.TEXTJOIN(", ", TRUE, _xlfn._xlws.FILTER(
    INDEX(Input!$D$2:$AC$500,,MATCH("Disk Capacity",Input!$D$1:$AC$1,0)),
    Input!$J$2:$J$500=B214
)), "")</f>
        <v/>
      </c>
      <c r="Q214" s="32" t="e">
        <f t="shared" si="10"/>
        <v>#N/A</v>
      </c>
      <c r="R214" s="42" t="e">
        <f>_xlfn.LET(_xlpm.Result,INDEX(Input!$D$2:$AC$500,
       MATCH(B214, Input!$J$2:$J$500, 0),
       MATCH("Capacity", Input!$D$1:$AC$1, 0)),IF(_xlpm.Result="","",_xlpm.Result))</f>
        <v>#N/A</v>
      </c>
      <c r="S214" s="42" t="e" cm="1">
        <f t="array" ref="S214">_xlfn.TEXTSPLIT(R214," / ", ,TRUE,0,)</f>
        <v>#N/A</v>
      </c>
      <c r="T214" s="42"/>
      <c r="U214" s="42" t="str" cm="1">
        <f t="array" ref="U214">IFERROR(_xlfn.IFS(
S214="","",
--S214&lt;55,"Battery Defect",
--S214&lt;=69,"Battery D",
--S214&lt;=80,"Battery C",
--S214&gt;80,""
),"")</f>
        <v/>
      </c>
      <c r="V214" s="42" t="str" cm="1">
        <f t="array" ref="V214">IFERROR(_xlfn.IFS(
T214="","",
--T214&lt;55,"Battery Defect",
--T214&lt;=69,"Battery D",
--T214&lt;=80,"Battery C",
--T214&gt;80,""
),"")</f>
        <v/>
      </c>
      <c r="W214" s="42" t="str" cm="1">
        <f t="array" ref="W214:AD214">IFERROR(IF(_xlfn.XLOOKUP(B214,Input!J:J,Input!N:U)=0,"",
          _xlfn.XLOOKUP(B214,Input!J:J,Input!N:U)),"")</f>
        <v/>
      </c>
      <c r="X214" s="42" t="str">
        <v/>
      </c>
      <c r="Y214" s="42" t="str">
        <v/>
      </c>
      <c r="Z214" s="42" t="str">
        <v/>
      </c>
      <c r="AA214" s="42" t="str">
        <v/>
      </c>
      <c r="AB214" s="42" t="str">
        <v/>
      </c>
      <c r="AC214" s="42" t="str">
        <v/>
      </c>
      <c r="AD214" s="42" t="str">
        <v/>
      </c>
      <c r="AE214" s="32" t="str">
        <f t="shared" si="9"/>
        <v/>
      </c>
      <c r="AF214" s="32" t="str">
        <f>_xlfn.XLOOKUP(B:B,Disk_Pivot!G:G,Disk_Pivot!I:I)</f>
        <v>Yes x2</v>
      </c>
      <c r="AG214" s="32" t="str">
        <f>_xlfn.XLOOKUP(B214,Disk_Pivot!G:G,Disk_Pivot!N:N)</f>
        <v>Pass, Fail</v>
      </c>
      <c r="AH214" s="32"/>
      <c r="AI214" s="32"/>
      <c r="AJ214" s="32"/>
      <c r="AK214" s="32"/>
      <c r="AL214" s="32"/>
      <c r="AM214" s="32"/>
    </row>
    <row r="215" spans="1:39">
      <c r="A215" s="32" t="str">
        <f>_xlfn.XLOOKUP(B215,Input!J:J,Input!G:G)&amp;""</f>
        <v/>
      </c>
      <c r="B215" s="32"/>
      <c r="C215" s="32" t="str">
        <f>_xlfn.XLOOKUP(B215,Input!J:J,Input!H:H)&amp;""</f>
        <v/>
      </c>
      <c r="D215" s="42">
        <f>_xlfn.XLOOKUP(B215,Input!J:J,Input!F:F)</f>
        <v>0</v>
      </c>
      <c r="E215" s="32">
        <f>_xlfn.XLOOKUP(D215,Models!H:H,Models!G:G,D215)</f>
        <v>0</v>
      </c>
      <c r="F215" s="32">
        <f>_xlfn.XLOOKUP(B215,Input!J:J,Input!E:E)</f>
        <v>0</v>
      </c>
      <c r="G215" s="32">
        <f>IF(F215="LENOVO",_xlfn.XLOOKUP(B215,Input!J:J,Input!K:K),_xlfn.XLOOKUP(B215,Input!J:J,Input!L:L))</f>
        <v>0</v>
      </c>
      <c r="H215" s="32"/>
      <c r="I215" s="32"/>
      <c r="J215" s="32">
        <f>_xlfn.XLOOKUP(B215,CPU_Formula!A:A,CPU_Formula!I:I)</f>
        <v>0</v>
      </c>
      <c r="K215" s="42" t="e">
        <f>INDEX(Input!$D$2:$AC$500,
       MATCH(B215, Input!$J$2:$J$500, 0),
       MATCH("Total Memory", Input!$D$1:$AC$1, 0))</f>
        <v>#N/A</v>
      </c>
      <c r="L215" s="42" t="e">
        <f>INDEX(Input!$D$2:$AC$500,
       MATCH(B215, Input!$J$2:$J$500, 0),
       MATCH("Memory Type", Input!$D$1:$AC$1, 0))</f>
        <v>#N/A</v>
      </c>
      <c r="M215" s="42" t="str" cm="1">
        <f t="array" ref="M215">IFERROR(_xlfn.FILTERXML("&lt;t&gt;&lt;s&gt;" &amp; SUBSTITUTE(L215," / ","&lt;/s&gt;&lt;s&gt;") &amp; "&lt;/s&gt;&lt;/t&gt;","(//s[contains(.,'DDR')])[1]"),"")</f>
        <v/>
      </c>
      <c r="N215" s="32" t="e">
        <f t="shared" si="11"/>
        <v>#N/A</v>
      </c>
      <c r="O215" s="42" t="e">
        <f>INDEX(Input!$D$2:$AC$500,
       MATCH(B215, Input!$J$2:$J$500, 0),
       MATCH("Disk Interface Type", Input!$D$1:$AC$1, 0))</f>
        <v>#N/A</v>
      </c>
      <c r="P215" s="42" t="str" cm="1">
        <f t="array" ref="P215">IFERROR(_xlfn.TEXTJOIN(", ", TRUE, _xlfn._xlws.FILTER(
    INDEX(Input!$D$2:$AC$500,,MATCH("Disk Capacity",Input!$D$1:$AC$1,0)),
    Input!$J$2:$J$500=B215
)), "")</f>
        <v/>
      </c>
      <c r="Q215" s="32" t="e">
        <f t="shared" si="10"/>
        <v>#N/A</v>
      </c>
      <c r="R215" s="42" t="e">
        <f>_xlfn.LET(_xlpm.Result,INDEX(Input!$D$2:$AC$500,
       MATCH(B215, Input!$J$2:$J$500, 0),
       MATCH("Capacity", Input!$D$1:$AC$1, 0)),IF(_xlpm.Result="","",_xlpm.Result))</f>
        <v>#N/A</v>
      </c>
      <c r="S215" s="42" t="e" cm="1">
        <f t="array" ref="S215">_xlfn.TEXTSPLIT(R215," / ", ,TRUE,0,)</f>
        <v>#N/A</v>
      </c>
      <c r="T215" s="42"/>
      <c r="U215" s="42" t="str" cm="1">
        <f t="array" ref="U215">IFERROR(_xlfn.IFS(
S215="","",
--S215&lt;55,"Battery Defect",
--S215&lt;=69,"Battery D",
--S215&lt;=80,"Battery C",
--S215&gt;80,""
),"")</f>
        <v/>
      </c>
      <c r="V215" s="42" t="str" cm="1">
        <f t="array" ref="V215">IFERROR(_xlfn.IFS(
T215="","",
--T215&lt;55,"Battery Defect",
--T215&lt;=69,"Battery D",
--T215&lt;=80,"Battery C",
--T215&gt;80,""
),"")</f>
        <v/>
      </c>
      <c r="W215" s="42" t="str" cm="1">
        <f t="array" ref="W215:AD215">IFERROR(IF(_xlfn.XLOOKUP(B215,Input!J:J,Input!N:U)=0,"",
          _xlfn.XLOOKUP(B215,Input!J:J,Input!N:U)),"")</f>
        <v/>
      </c>
      <c r="X215" s="42" t="str">
        <v/>
      </c>
      <c r="Y215" s="42" t="str">
        <v/>
      </c>
      <c r="Z215" s="42" t="str">
        <v/>
      </c>
      <c r="AA215" s="42" t="str">
        <v/>
      </c>
      <c r="AB215" s="42" t="str">
        <v/>
      </c>
      <c r="AC215" s="42" t="str">
        <v/>
      </c>
      <c r="AD215" s="42" t="str">
        <v/>
      </c>
      <c r="AE215" s="32" t="str">
        <f t="shared" si="9"/>
        <v/>
      </c>
      <c r="AF215" s="32" t="str">
        <f>_xlfn.XLOOKUP(B:B,Disk_Pivot!G:G,Disk_Pivot!I:I)</f>
        <v>Yes x2</v>
      </c>
      <c r="AG215" s="32" t="str">
        <f>_xlfn.XLOOKUP(B215,Disk_Pivot!G:G,Disk_Pivot!N:N)</f>
        <v>Pass, Fail</v>
      </c>
      <c r="AH215" s="32"/>
      <c r="AI215" s="32"/>
      <c r="AJ215" s="32"/>
      <c r="AK215" s="32"/>
      <c r="AL215" s="32"/>
      <c r="AM215" s="32"/>
    </row>
    <row r="216" spans="1:39">
      <c r="A216" s="32" t="str">
        <f>_xlfn.XLOOKUP(B216,Input!J:J,Input!G:G)&amp;""</f>
        <v/>
      </c>
      <c r="B216" s="32"/>
      <c r="C216" s="32" t="str">
        <f>_xlfn.XLOOKUP(B216,Input!J:J,Input!H:H)&amp;""</f>
        <v/>
      </c>
      <c r="D216" s="42">
        <f>_xlfn.XLOOKUP(B216,Input!J:J,Input!F:F)</f>
        <v>0</v>
      </c>
      <c r="E216" s="32">
        <f>_xlfn.XLOOKUP(D216,Models!H:H,Models!G:G,D216)</f>
        <v>0</v>
      </c>
      <c r="F216" s="32">
        <f>_xlfn.XLOOKUP(B216,Input!J:J,Input!E:E)</f>
        <v>0</v>
      </c>
      <c r="G216" s="32">
        <f>IF(F216="LENOVO",_xlfn.XLOOKUP(B216,Input!J:J,Input!K:K),_xlfn.XLOOKUP(B216,Input!J:J,Input!L:L))</f>
        <v>0</v>
      </c>
      <c r="H216" s="32"/>
      <c r="I216" s="32"/>
      <c r="J216" s="32">
        <f>_xlfn.XLOOKUP(B216,CPU_Formula!A:A,CPU_Formula!I:I)</f>
        <v>0</v>
      </c>
      <c r="K216" s="42" t="e">
        <f>INDEX(Input!$D$2:$AC$500,
       MATCH(B216, Input!$J$2:$J$500, 0),
       MATCH("Total Memory", Input!$D$1:$AC$1, 0))</f>
        <v>#N/A</v>
      </c>
      <c r="L216" s="42" t="e">
        <f>INDEX(Input!$D$2:$AC$500,
       MATCH(B216, Input!$J$2:$J$500, 0),
       MATCH("Memory Type", Input!$D$1:$AC$1, 0))</f>
        <v>#N/A</v>
      </c>
      <c r="M216" s="42" t="str" cm="1">
        <f t="array" ref="M216">IFERROR(_xlfn.FILTERXML("&lt;t&gt;&lt;s&gt;" &amp; SUBSTITUTE(L216," / ","&lt;/s&gt;&lt;s&gt;") &amp; "&lt;/s&gt;&lt;/t&gt;","(//s[contains(.,'DDR')])[1]"),"")</f>
        <v/>
      </c>
      <c r="N216" s="32" t="e">
        <f t="shared" si="11"/>
        <v>#N/A</v>
      </c>
      <c r="O216" s="42" t="e">
        <f>INDEX(Input!$D$2:$AC$500,
       MATCH(B216, Input!$J$2:$J$500, 0),
       MATCH("Disk Interface Type", Input!$D$1:$AC$1, 0))</f>
        <v>#N/A</v>
      </c>
      <c r="P216" s="42" t="str" cm="1">
        <f t="array" ref="P216">IFERROR(_xlfn.TEXTJOIN(", ", TRUE, _xlfn._xlws.FILTER(
    INDEX(Input!$D$2:$AC$500,,MATCH("Disk Capacity",Input!$D$1:$AC$1,0)),
    Input!$J$2:$J$500=B216
)), "")</f>
        <v/>
      </c>
      <c r="Q216" s="32" t="e">
        <f t="shared" si="10"/>
        <v>#N/A</v>
      </c>
      <c r="R216" s="42" t="e">
        <f>_xlfn.LET(_xlpm.Result,INDEX(Input!$D$2:$AC$500,
       MATCH(B216, Input!$J$2:$J$500, 0),
       MATCH("Capacity", Input!$D$1:$AC$1, 0)),IF(_xlpm.Result="","",_xlpm.Result))</f>
        <v>#N/A</v>
      </c>
      <c r="S216" s="42" t="e" cm="1">
        <f t="array" ref="S216">_xlfn.TEXTSPLIT(R216," / ", ,TRUE,0,)</f>
        <v>#N/A</v>
      </c>
      <c r="T216" s="42"/>
      <c r="U216" s="42" t="str" cm="1">
        <f t="array" ref="U216">IFERROR(_xlfn.IFS(
S216="","",
--S216&lt;55,"Battery Defect",
--S216&lt;=69,"Battery D",
--S216&lt;=80,"Battery C",
--S216&gt;80,""
),"")</f>
        <v/>
      </c>
      <c r="V216" s="42" t="str" cm="1">
        <f t="array" ref="V216">IFERROR(_xlfn.IFS(
T216="","",
--T216&lt;55,"Battery Defect",
--T216&lt;=69,"Battery D",
--T216&lt;=80,"Battery C",
--T216&gt;80,""
),"")</f>
        <v/>
      </c>
      <c r="W216" s="42" t="str" cm="1">
        <f t="array" ref="W216:AD216">IFERROR(IF(_xlfn.XLOOKUP(B216,Input!J:J,Input!N:U)=0,"",
          _xlfn.XLOOKUP(B216,Input!J:J,Input!N:U)),"")</f>
        <v/>
      </c>
      <c r="X216" s="42" t="str">
        <v/>
      </c>
      <c r="Y216" s="42" t="str">
        <v/>
      </c>
      <c r="Z216" s="42" t="str">
        <v/>
      </c>
      <c r="AA216" s="42" t="str">
        <v/>
      </c>
      <c r="AB216" s="42" t="str">
        <v/>
      </c>
      <c r="AC216" s="42" t="str">
        <v/>
      </c>
      <c r="AD216" s="42" t="str">
        <v/>
      </c>
      <c r="AE216" s="32" t="str">
        <f t="shared" si="9"/>
        <v/>
      </c>
      <c r="AF216" s="32" t="str">
        <f>_xlfn.XLOOKUP(B:B,Disk_Pivot!G:G,Disk_Pivot!I:I)</f>
        <v>Yes x2</v>
      </c>
      <c r="AG216" s="32" t="str">
        <f>_xlfn.XLOOKUP(B216,Disk_Pivot!G:G,Disk_Pivot!N:N)</f>
        <v>Pass, Fail</v>
      </c>
      <c r="AH216" s="32"/>
      <c r="AI216" s="32"/>
      <c r="AJ216" s="32"/>
      <c r="AK216" s="32"/>
      <c r="AL216" s="32"/>
      <c r="AM216" s="32"/>
    </row>
    <row r="217" spans="1:39">
      <c r="A217" s="32" t="str">
        <f>_xlfn.XLOOKUP(B217,Input!J:J,Input!G:G)&amp;""</f>
        <v/>
      </c>
      <c r="B217" s="32"/>
      <c r="C217" s="32" t="str">
        <f>_xlfn.XLOOKUP(B217,Input!J:J,Input!H:H)&amp;""</f>
        <v/>
      </c>
      <c r="D217" s="42">
        <f>_xlfn.XLOOKUP(B217,Input!J:J,Input!F:F)</f>
        <v>0</v>
      </c>
      <c r="E217" s="32">
        <f>_xlfn.XLOOKUP(D217,Models!H:H,Models!G:G,D217)</f>
        <v>0</v>
      </c>
      <c r="F217" s="32">
        <f>_xlfn.XLOOKUP(B217,Input!J:J,Input!E:E)</f>
        <v>0</v>
      </c>
      <c r="G217" s="32">
        <f>IF(F217="LENOVO",_xlfn.XLOOKUP(B217,Input!J:J,Input!K:K),_xlfn.XLOOKUP(B217,Input!J:J,Input!L:L))</f>
        <v>0</v>
      </c>
      <c r="H217" s="32"/>
      <c r="I217" s="32"/>
      <c r="J217" s="32">
        <f>_xlfn.XLOOKUP(B217,CPU_Formula!A:A,CPU_Formula!I:I)</f>
        <v>0</v>
      </c>
      <c r="K217" s="42" t="e">
        <f>INDEX(Input!$D$2:$AC$500,
       MATCH(B217, Input!$J$2:$J$500, 0),
       MATCH("Total Memory", Input!$D$1:$AC$1, 0))</f>
        <v>#N/A</v>
      </c>
      <c r="L217" s="42" t="e">
        <f>INDEX(Input!$D$2:$AC$500,
       MATCH(B217, Input!$J$2:$J$500, 0),
       MATCH("Memory Type", Input!$D$1:$AC$1, 0))</f>
        <v>#N/A</v>
      </c>
      <c r="M217" s="42" t="str" cm="1">
        <f t="array" ref="M217">IFERROR(_xlfn.FILTERXML("&lt;t&gt;&lt;s&gt;" &amp; SUBSTITUTE(L217," / ","&lt;/s&gt;&lt;s&gt;") &amp; "&lt;/s&gt;&lt;/t&gt;","(//s[contains(.,'DDR')])[1]"),"")</f>
        <v/>
      </c>
      <c r="N217" s="32" t="e">
        <f t="shared" si="11"/>
        <v>#N/A</v>
      </c>
      <c r="O217" s="42" t="e">
        <f>INDEX(Input!$D$2:$AC$500,
       MATCH(B217, Input!$J$2:$J$500, 0),
       MATCH("Disk Interface Type", Input!$D$1:$AC$1, 0))</f>
        <v>#N/A</v>
      </c>
      <c r="P217" s="42" t="str" cm="1">
        <f t="array" ref="P217">IFERROR(_xlfn.TEXTJOIN(", ", TRUE, _xlfn._xlws.FILTER(
    INDEX(Input!$D$2:$AC$500,,MATCH("Disk Capacity",Input!$D$1:$AC$1,0)),
    Input!$J$2:$J$500=B217
)), "")</f>
        <v/>
      </c>
      <c r="Q217" s="32" t="e">
        <f t="shared" si="10"/>
        <v>#N/A</v>
      </c>
      <c r="R217" s="42" t="e">
        <f>_xlfn.LET(_xlpm.Result,INDEX(Input!$D$2:$AC$500,
       MATCH(B217, Input!$J$2:$J$500, 0),
       MATCH("Capacity", Input!$D$1:$AC$1, 0)),IF(_xlpm.Result="","",_xlpm.Result))</f>
        <v>#N/A</v>
      </c>
      <c r="S217" s="42" t="e" cm="1">
        <f t="array" ref="S217">_xlfn.TEXTSPLIT(R217," / ", ,TRUE,0,)</f>
        <v>#N/A</v>
      </c>
      <c r="T217" s="42"/>
      <c r="U217" s="42" t="str" cm="1">
        <f t="array" ref="U217">IFERROR(_xlfn.IFS(
S217="","",
--S217&lt;55,"Battery Defect",
--S217&lt;=69,"Battery D",
--S217&lt;=80,"Battery C",
--S217&gt;80,""
),"")</f>
        <v/>
      </c>
      <c r="V217" s="42" t="str" cm="1">
        <f t="array" ref="V217">IFERROR(_xlfn.IFS(
T217="","",
--T217&lt;55,"Battery Defect",
--T217&lt;=69,"Battery D",
--T217&lt;=80,"Battery C",
--T217&gt;80,""
),"")</f>
        <v/>
      </c>
      <c r="W217" s="42" t="str" cm="1">
        <f t="array" ref="W217:AD217">IFERROR(IF(_xlfn.XLOOKUP(B217,Input!J:J,Input!N:U)=0,"",
          _xlfn.XLOOKUP(B217,Input!J:J,Input!N:U)),"")</f>
        <v/>
      </c>
      <c r="X217" s="42" t="str">
        <v/>
      </c>
      <c r="Y217" s="42" t="str">
        <v/>
      </c>
      <c r="Z217" s="42" t="str">
        <v/>
      </c>
      <c r="AA217" s="42" t="str">
        <v/>
      </c>
      <c r="AB217" s="42" t="str">
        <v/>
      </c>
      <c r="AC217" s="42" t="str">
        <v/>
      </c>
      <c r="AD217" s="42" t="str">
        <v/>
      </c>
      <c r="AE217" s="32" t="str">
        <f t="shared" si="9"/>
        <v/>
      </c>
      <c r="AF217" s="32" t="str">
        <f>_xlfn.XLOOKUP(B:B,Disk_Pivot!G:G,Disk_Pivot!I:I)</f>
        <v>Yes x2</v>
      </c>
      <c r="AG217" s="32" t="str">
        <f>_xlfn.XLOOKUP(B217,Disk_Pivot!G:G,Disk_Pivot!N:N)</f>
        <v>Pass, Fail</v>
      </c>
      <c r="AH217" s="32"/>
      <c r="AI217" s="32"/>
      <c r="AJ217" s="32"/>
      <c r="AK217" s="32"/>
      <c r="AL217" s="32"/>
      <c r="AM217" s="32"/>
    </row>
    <row r="218" spans="1:39">
      <c r="A218" s="32" t="str">
        <f>_xlfn.XLOOKUP(B218,Input!J:J,Input!G:G)&amp;""</f>
        <v/>
      </c>
      <c r="B218" s="32"/>
      <c r="C218" s="32" t="str">
        <f>_xlfn.XLOOKUP(B218,Input!J:J,Input!H:H)&amp;""</f>
        <v/>
      </c>
      <c r="D218" s="42">
        <f>_xlfn.XLOOKUP(B218,Input!J:J,Input!F:F)</f>
        <v>0</v>
      </c>
      <c r="E218" s="32">
        <f>_xlfn.XLOOKUP(D218,Models!H:H,Models!G:G,D218)</f>
        <v>0</v>
      </c>
      <c r="F218" s="32">
        <f>_xlfn.XLOOKUP(B218,Input!J:J,Input!E:E)</f>
        <v>0</v>
      </c>
      <c r="G218" s="32">
        <f>IF(F218="LENOVO",_xlfn.XLOOKUP(B218,Input!J:J,Input!K:K),_xlfn.XLOOKUP(B218,Input!J:J,Input!L:L))</f>
        <v>0</v>
      </c>
      <c r="H218" s="32"/>
      <c r="I218" s="32"/>
      <c r="J218" s="32">
        <f>_xlfn.XLOOKUP(B218,CPU_Formula!A:A,CPU_Formula!I:I)</f>
        <v>0</v>
      </c>
      <c r="K218" s="42" t="e">
        <f>INDEX(Input!$D$2:$AC$500,
       MATCH(B218, Input!$J$2:$J$500, 0),
       MATCH("Total Memory", Input!$D$1:$AC$1, 0))</f>
        <v>#N/A</v>
      </c>
      <c r="L218" s="42" t="e">
        <f>INDEX(Input!$D$2:$AC$500,
       MATCH(B218, Input!$J$2:$J$500, 0),
       MATCH("Memory Type", Input!$D$1:$AC$1, 0))</f>
        <v>#N/A</v>
      </c>
      <c r="M218" s="42" t="str" cm="1">
        <f t="array" ref="M218">IFERROR(_xlfn.FILTERXML("&lt;t&gt;&lt;s&gt;" &amp; SUBSTITUTE(L218," / ","&lt;/s&gt;&lt;s&gt;") &amp; "&lt;/s&gt;&lt;/t&gt;","(//s[contains(.,'DDR')])[1]"),"")</f>
        <v/>
      </c>
      <c r="N218" s="32" t="e">
        <f t="shared" si="11"/>
        <v>#N/A</v>
      </c>
      <c r="O218" s="42" t="e">
        <f>INDEX(Input!$D$2:$AC$500,
       MATCH(B218, Input!$J$2:$J$500, 0),
       MATCH("Disk Interface Type", Input!$D$1:$AC$1, 0))</f>
        <v>#N/A</v>
      </c>
      <c r="P218" s="42" t="str" cm="1">
        <f t="array" ref="P218">IFERROR(_xlfn.TEXTJOIN(", ", TRUE, _xlfn._xlws.FILTER(
    INDEX(Input!$D$2:$AC$500,,MATCH("Disk Capacity",Input!$D$1:$AC$1,0)),
    Input!$J$2:$J$500=B218
)), "")</f>
        <v/>
      </c>
      <c r="Q218" s="32" t="e">
        <f t="shared" si="10"/>
        <v>#N/A</v>
      </c>
      <c r="R218" s="42" t="e">
        <f>_xlfn.LET(_xlpm.Result,INDEX(Input!$D$2:$AC$500,
       MATCH(B218, Input!$J$2:$J$500, 0),
       MATCH("Capacity", Input!$D$1:$AC$1, 0)),IF(_xlpm.Result="","",_xlpm.Result))</f>
        <v>#N/A</v>
      </c>
      <c r="S218" s="42" t="e" cm="1">
        <f t="array" ref="S218">_xlfn.TEXTSPLIT(R218," / ", ,TRUE,0,)</f>
        <v>#N/A</v>
      </c>
      <c r="T218" s="42"/>
      <c r="U218" s="42" t="str" cm="1">
        <f t="array" ref="U218">IFERROR(_xlfn.IFS(
S218="","",
--S218&lt;55,"Battery Defect",
--S218&lt;=69,"Battery D",
--S218&lt;=80,"Battery C",
--S218&gt;80,""
),"")</f>
        <v/>
      </c>
      <c r="V218" s="42" t="str" cm="1">
        <f t="array" ref="V218">IFERROR(_xlfn.IFS(
T218="","",
--T218&lt;55,"Battery Defect",
--T218&lt;=69,"Battery D",
--T218&lt;=80,"Battery C",
--T218&gt;80,""
),"")</f>
        <v/>
      </c>
      <c r="W218" s="42" t="str" cm="1">
        <f t="array" ref="W218:AD218">IFERROR(IF(_xlfn.XLOOKUP(B218,Input!J:J,Input!N:U)=0,"",
          _xlfn.XLOOKUP(B218,Input!J:J,Input!N:U)),"")</f>
        <v/>
      </c>
      <c r="X218" s="42" t="str">
        <v/>
      </c>
      <c r="Y218" s="42" t="str">
        <v/>
      </c>
      <c r="Z218" s="42" t="str">
        <v/>
      </c>
      <c r="AA218" s="42" t="str">
        <v/>
      </c>
      <c r="AB218" s="42" t="str">
        <v/>
      </c>
      <c r="AC218" s="42" t="str">
        <v/>
      </c>
      <c r="AD218" s="42" t="str">
        <v/>
      </c>
      <c r="AE218" s="32" t="str">
        <f t="shared" si="9"/>
        <v/>
      </c>
      <c r="AF218" s="32" t="str">
        <f>_xlfn.XLOOKUP(B:B,Disk_Pivot!G:G,Disk_Pivot!I:I)</f>
        <v>Yes x2</v>
      </c>
      <c r="AG218" s="32" t="str">
        <f>_xlfn.XLOOKUP(B218,Disk_Pivot!G:G,Disk_Pivot!N:N)</f>
        <v>Pass, Fail</v>
      </c>
      <c r="AH218" s="32"/>
      <c r="AI218" s="32"/>
      <c r="AJ218" s="32"/>
      <c r="AK218" s="32"/>
      <c r="AL218" s="32"/>
      <c r="AM218" s="32"/>
    </row>
    <row r="219" spans="1:39">
      <c r="A219" s="32" t="str">
        <f>_xlfn.XLOOKUP(B219,Input!J:J,Input!G:G)&amp;""</f>
        <v/>
      </c>
      <c r="B219" s="32"/>
      <c r="C219" s="32" t="str">
        <f>_xlfn.XLOOKUP(B219,Input!J:J,Input!H:H)&amp;""</f>
        <v/>
      </c>
      <c r="D219" s="42">
        <f>_xlfn.XLOOKUP(B219,Input!J:J,Input!F:F)</f>
        <v>0</v>
      </c>
      <c r="E219" s="32">
        <f>_xlfn.XLOOKUP(D219,Models!H:H,Models!G:G,D219)</f>
        <v>0</v>
      </c>
      <c r="F219" s="32">
        <f>_xlfn.XLOOKUP(B219,Input!J:J,Input!E:E)</f>
        <v>0</v>
      </c>
      <c r="G219" s="32">
        <f>IF(F219="LENOVO",_xlfn.XLOOKUP(B219,Input!J:J,Input!K:K),_xlfn.XLOOKUP(B219,Input!J:J,Input!L:L))</f>
        <v>0</v>
      </c>
      <c r="H219" s="32"/>
      <c r="I219" s="32"/>
      <c r="J219" s="32">
        <f>_xlfn.XLOOKUP(B219,CPU_Formula!A:A,CPU_Formula!I:I)</f>
        <v>0</v>
      </c>
      <c r="K219" s="42" t="e">
        <f>INDEX(Input!$D$2:$AC$500,
       MATCH(B219, Input!$J$2:$J$500, 0),
       MATCH("Total Memory", Input!$D$1:$AC$1, 0))</f>
        <v>#N/A</v>
      </c>
      <c r="L219" s="42" t="e">
        <f>INDEX(Input!$D$2:$AC$500,
       MATCH(B219, Input!$J$2:$J$500, 0),
       MATCH("Memory Type", Input!$D$1:$AC$1, 0))</f>
        <v>#N/A</v>
      </c>
      <c r="M219" s="42" t="str" cm="1">
        <f t="array" ref="M219">IFERROR(_xlfn.FILTERXML("&lt;t&gt;&lt;s&gt;" &amp; SUBSTITUTE(L219," / ","&lt;/s&gt;&lt;s&gt;") &amp; "&lt;/s&gt;&lt;/t&gt;","(//s[contains(.,'DDR')])[1]"),"")</f>
        <v/>
      </c>
      <c r="N219" s="32" t="e">
        <f t="shared" si="11"/>
        <v>#N/A</v>
      </c>
      <c r="O219" s="42" t="e">
        <f>INDEX(Input!$D$2:$AC$500,
       MATCH(B219, Input!$J$2:$J$500, 0),
       MATCH("Disk Interface Type", Input!$D$1:$AC$1, 0))</f>
        <v>#N/A</v>
      </c>
      <c r="P219" s="42" t="str" cm="1">
        <f t="array" ref="P219">IFERROR(_xlfn.TEXTJOIN(", ", TRUE, _xlfn._xlws.FILTER(
    INDEX(Input!$D$2:$AC$500,,MATCH("Disk Capacity",Input!$D$1:$AC$1,0)),
    Input!$J$2:$J$500=B219
)), "")</f>
        <v/>
      </c>
      <c r="Q219" s="32" t="e">
        <f t="shared" si="10"/>
        <v>#N/A</v>
      </c>
      <c r="R219" s="42" t="e">
        <f>_xlfn.LET(_xlpm.Result,INDEX(Input!$D$2:$AC$500,
       MATCH(B219, Input!$J$2:$J$500, 0),
       MATCH("Capacity", Input!$D$1:$AC$1, 0)),IF(_xlpm.Result="","",_xlpm.Result))</f>
        <v>#N/A</v>
      </c>
      <c r="S219" s="42" t="e" cm="1">
        <f t="array" ref="S219">_xlfn.TEXTSPLIT(R219," / ", ,TRUE,0,)</f>
        <v>#N/A</v>
      </c>
      <c r="T219" s="42"/>
      <c r="U219" s="42" t="str" cm="1">
        <f t="array" ref="U219">IFERROR(_xlfn.IFS(
S219="","",
--S219&lt;55,"Battery Defect",
--S219&lt;=69,"Battery D",
--S219&lt;=80,"Battery C",
--S219&gt;80,""
),"")</f>
        <v/>
      </c>
      <c r="V219" s="42" t="str" cm="1">
        <f t="array" ref="V219">IFERROR(_xlfn.IFS(
T219="","",
--T219&lt;55,"Battery Defect",
--T219&lt;=69,"Battery D",
--T219&lt;=80,"Battery C",
--T219&gt;80,""
),"")</f>
        <v/>
      </c>
      <c r="W219" s="42" t="str" cm="1">
        <f t="array" ref="W219:AD219">IFERROR(IF(_xlfn.XLOOKUP(B219,Input!J:J,Input!N:U)=0,"",
          _xlfn.XLOOKUP(B219,Input!J:J,Input!N:U)),"")</f>
        <v/>
      </c>
      <c r="X219" s="42" t="str">
        <v/>
      </c>
      <c r="Y219" s="42" t="str">
        <v/>
      </c>
      <c r="Z219" s="42" t="str">
        <v/>
      </c>
      <c r="AA219" s="42" t="str">
        <v/>
      </c>
      <c r="AB219" s="42" t="str">
        <v/>
      </c>
      <c r="AC219" s="42" t="str">
        <v/>
      </c>
      <c r="AD219" s="42" t="str">
        <v/>
      </c>
      <c r="AE219" s="32" t="str">
        <f t="shared" si="9"/>
        <v/>
      </c>
      <c r="AF219" s="32" t="str">
        <f>_xlfn.XLOOKUP(B:B,Disk_Pivot!G:G,Disk_Pivot!I:I)</f>
        <v>Yes x2</v>
      </c>
      <c r="AG219" s="32" t="str">
        <f>_xlfn.XLOOKUP(B219,Disk_Pivot!G:G,Disk_Pivot!N:N)</f>
        <v>Pass, Fail</v>
      </c>
      <c r="AH219" s="32"/>
      <c r="AI219" s="32"/>
      <c r="AJ219" s="32"/>
      <c r="AK219" s="32"/>
      <c r="AL219" s="32"/>
      <c r="AM219" s="32"/>
    </row>
    <row r="220" spans="1:39">
      <c r="A220" s="32" t="str">
        <f>_xlfn.XLOOKUP(B220,Input!J:J,Input!G:G)&amp;""</f>
        <v/>
      </c>
      <c r="B220" s="32"/>
      <c r="C220" s="32" t="str">
        <f>_xlfn.XLOOKUP(B220,Input!J:J,Input!H:H)&amp;""</f>
        <v/>
      </c>
      <c r="D220" s="42">
        <f>_xlfn.XLOOKUP(B220,Input!J:J,Input!F:F)</f>
        <v>0</v>
      </c>
      <c r="E220" s="32">
        <f>_xlfn.XLOOKUP(D220,Models!H:H,Models!G:G,D220)</f>
        <v>0</v>
      </c>
      <c r="F220" s="32">
        <f>_xlfn.XLOOKUP(B220,Input!J:J,Input!E:E)</f>
        <v>0</v>
      </c>
      <c r="G220" s="32">
        <f>IF(F220="LENOVO",_xlfn.XLOOKUP(B220,Input!J:J,Input!K:K),_xlfn.XLOOKUP(B220,Input!J:J,Input!L:L))</f>
        <v>0</v>
      </c>
      <c r="H220" s="32"/>
      <c r="I220" s="32"/>
      <c r="J220" s="32">
        <f>_xlfn.XLOOKUP(B220,CPU_Formula!A:A,CPU_Formula!I:I)</f>
        <v>0</v>
      </c>
      <c r="K220" s="42" t="e">
        <f>INDEX(Input!$D$2:$AC$500,
       MATCH(B220, Input!$J$2:$J$500, 0),
       MATCH("Total Memory", Input!$D$1:$AC$1, 0))</f>
        <v>#N/A</v>
      </c>
      <c r="L220" s="42" t="e">
        <f>INDEX(Input!$D$2:$AC$500,
       MATCH(B220, Input!$J$2:$J$500, 0),
       MATCH("Memory Type", Input!$D$1:$AC$1, 0))</f>
        <v>#N/A</v>
      </c>
      <c r="M220" s="42" t="str" cm="1">
        <f t="array" ref="M220">IFERROR(_xlfn.FILTERXML("&lt;t&gt;&lt;s&gt;" &amp; SUBSTITUTE(L220," / ","&lt;/s&gt;&lt;s&gt;") &amp; "&lt;/s&gt;&lt;/t&gt;","(//s[contains(.,'DDR')])[1]"),"")</f>
        <v/>
      </c>
      <c r="N220" s="32" t="e">
        <f t="shared" si="11"/>
        <v>#N/A</v>
      </c>
      <c r="O220" s="42" t="e">
        <f>INDEX(Input!$D$2:$AC$500,
       MATCH(B220, Input!$J$2:$J$500, 0),
       MATCH("Disk Interface Type", Input!$D$1:$AC$1, 0))</f>
        <v>#N/A</v>
      </c>
      <c r="P220" s="42" t="str" cm="1">
        <f t="array" ref="P220">IFERROR(_xlfn.TEXTJOIN(", ", TRUE, _xlfn._xlws.FILTER(
    INDEX(Input!$D$2:$AC$500,,MATCH("Disk Capacity",Input!$D$1:$AC$1,0)),
    Input!$J$2:$J$500=B220
)), "")</f>
        <v/>
      </c>
      <c r="Q220" s="32" t="e">
        <f t="shared" si="10"/>
        <v>#N/A</v>
      </c>
      <c r="R220" s="42" t="e">
        <f>_xlfn.LET(_xlpm.Result,INDEX(Input!$D$2:$AC$500,
       MATCH(B220, Input!$J$2:$J$500, 0),
       MATCH("Capacity", Input!$D$1:$AC$1, 0)),IF(_xlpm.Result="","",_xlpm.Result))</f>
        <v>#N/A</v>
      </c>
      <c r="S220" s="42" t="e" cm="1">
        <f t="array" ref="S220">_xlfn.TEXTSPLIT(R220," / ", ,TRUE,0,)</f>
        <v>#N/A</v>
      </c>
      <c r="T220" s="42"/>
      <c r="U220" s="42" t="str" cm="1">
        <f t="array" ref="U220">IFERROR(_xlfn.IFS(
S220="","",
--S220&lt;55,"Battery Defect",
--S220&lt;=69,"Battery D",
--S220&lt;=80,"Battery C",
--S220&gt;80,""
),"")</f>
        <v/>
      </c>
      <c r="V220" s="42" t="str" cm="1">
        <f t="array" ref="V220">IFERROR(_xlfn.IFS(
T220="","",
--T220&lt;55,"Battery Defect",
--T220&lt;=69,"Battery D",
--T220&lt;=80,"Battery C",
--T220&gt;80,""
),"")</f>
        <v/>
      </c>
      <c r="W220" s="42" t="str" cm="1">
        <f t="array" ref="W220:AD220">IFERROR(IF(_xlfn.XLOOKUP(B220,Input!J:J,Input!N:U)=0,"",
          _xlfn.XLOOKUP(B220,Input!J:J,Input!N:U)),"")</f>
        <v/>
      </c>
      <c r="X220" s="42" t="str">
        <v/>
      </c>
      <c r="Y220" s="42" t="str">
        <v/>
      </c>
      <c r="Z220" s="42" t="str">
        <v/>
      </c>
      <c r="AA220" s="42" t="str">
        <v/>
      </c>
      <c r="AB220" s="42" t="str">
        <v/>
      </c>
      <c r="AC220" s="42" t="str">
        <v/>
      </c>
      <c r="AD220" s="42" t="str">
        <v/>
      </c>
      <c r="AE220" s="32" t="str">
        <f t="shared" si="9"/>
        <v/>
      </c>
      <c r="AF220" s="32" t="str">
        <f>_xlfn.XLOOKUP(B:B,Disk_Pivot!G:G,Disk_Pivot!I:I)</f>
        <v>Yes x2</v>
      </c>
      <c r="AG220" s="32" t="str">
        <f>_xlfn.XLOOKUP(B220,Disk_Pivot!G:G,Disk_Pivot!N:N)</f>
        <v>Pass, Fail</v>
      </c>
      <c r="AH220" s="32"/>
      <c r="AI220" s="32"/>
      <c r="AJ220" s="32"/>
      <c r="AK220" s="32"/>
      <c r="AL220" s="32"/>
      <c r="AM220" s="32"/>
    </row>
    <row r="221" spans="1:39">
      <c r="A221" s="32" t="str">
        <f>_xlfn.XLOOKUP(B221,Input!J:J,Input!G:G)&amp;""</f>
        <v/>
      </c>
      <c r="B221" s="32"/>
      <c r="C221" s="32" t="str">
        <f>_xlfn.XLOOKUP(B221,Input!J:J,Input!H:H)&amp;""</f>
        <v/>
      </c>
      <c r="D221" s="42">
        <f>_xlfn.XLOOKUP(B221,Input!J:J,Input!F:F)</f>
        <v>0</v>
      </c>
      <c r="E221" s="32">
        <f>_xlfn.XLOOKUP(D221,Models!H:H,Models!G:G,D221)</f>
        <v>0</v>
      </c>
      <c r="F221" s="32">
        <f>_xlfn.XLOOKUP(B221,Input!J:J,Input!E:E)</f>
        <v>0</v>
      </c>
      <c r="G221" s="32">
        <f>IF(F221="LENOVO",_xlfn.XLOOKUP(B221,Input!J:J,Input!K:K),_xlfn.XLOOKUP(B221,Input!J:J,Input!L:L))</f>
        <v>0</v>
      </c>
      <c r="H221" s="32"/>
      <c r="I221" s="32"/>
      <c r="J221" s="32">
        <f>_xlfn.XLOOKUP(B221,CPU_Formula!A:A,CPU_Formula!I:I)</f>
        <v>0</v>
      </c>
      <c r="K221" s="42" t="e">
        <f>INDEX(Input!$D$2:$AC$500,
       MATCH(B221, Input!$J$2:$J$500, 0),
       MATCH("Total Memory", Input!$D$1:$AC$1, 0))</f>
        <v>#N/A</v>
      </c>
      <c r="L221" s="42" t="e">
        <f>INDEX(Input!$D$2:$AC$500,
       MATCH(B221, Input!$J$2:$J$500, 0),
       MATCH("Memory Type", Input!$D$1:$AC$1, 0))</f>
        <v>#N/A</v>
      </c>
      <c r="M221" s="42" t="str" cm="1">
        <f t="array" ref="M221">IFERROR(_xlfn.FILTERXML("&lt;t&gt;&lt;s&gt;" &amp; SUBSTITUTE(L221," / ","&lt;/s&gt;&lt;s&gt;") &amp; "&lt;/s&gt;&lt;/t&gt;","(//s[contains(.,'DDR')])[1]"),"")</f>
        <v/>
      </c>
      <c r="N221" s="32" t="e">
        <f t="shared" si="11"/>
        <v>#N/A</v>
      </c>
      <c r="O221" s="42" t="e">
        <f>INDEX(Input!$D$2:$AC$500,
       MATCH(B221, Input!$J$2:$J$500, 0),
       MATCH("Disk Interface Type", Input!$D$1:$AC$1, 0))</f>
        <v>#N/A</v>
      </c>
      <c r="P221" s="42" t="str" cm="1">
        <f t="array" ref="P221">IFERROR(_xlfn.TEXTJOIN(", ", TRUE, _xlfn._xlws.FILTER(
    INDEX(Input!$D$2:$AC$500,,MATCH("Disk Capacity",Input!$D$1:$AC$1,0)),
    Input!$J$2:$J$500=B221
)), "")</f>
        <v/>
      </c>
      <c r="Q221" s="32" t="e">
        <f t="shared" si="10"/>
        <v>#N/A</v>
      </c>
      <c r="R221" s="42" t="e">
        <f>_xlfn.LET(_xlpm.Result,INDEX(Input!$D$2:$AC$500,
       MATCH(B221, Input!$J$2:$J$500, 0),
       MATCH("Capacity", Input!$D$1:$AC$1, 0)),IF(_xlpm.Result="","",_xlpm.Result))</f>
        <v>#N/A</v>
      </c>
      <c r="S221" s="42" t="e" cm="1">
        <f t="array" ref="S221">_xlfn.TEXTSPLIT(R221," / ", ,TRUE,0,)</f>
        <v>#N/A</v>
      </c>
      <c r="T221" s="42"/>
      <c r="U221" s="42" t="str" cm="1">
        <f t="array" ref="U221">IFERROR(_xlfn.IFS(
S221="","",
--S221&lt;55,"Battery Defect",
--S221&lt;=69,"Battery D",
--S221&lt;=80,"Battery C",
--S221&gt;80,""
),"")</f>
        <v/>
      </c>
      <c r="V221" s="42" t="str" cm="1">
        <f t="array" ref="V221">IFERROR(_xlfn.IFS(
T221="","",
--T221&lt;55,"Battery Defect",
--T221&lt;=69,"Battery D",
--T221&lt;=80,"Battery C",
--T221&gt;80,""
),"")</f>
        <v/>
      </c>
      <c r="W221" s="42" t="str" cm="1">
        <f t="array" ref="W221:AD221">IFERROR(IF(_xlfn.XLOOKUP(B221,Input!J:J,Input!N:U)=0,"",
          _xlfn.XLOOKUP(B221,Input!J:J,Input!N:U)),"")</f>
        <v/>
      </c>
      <c r="X221" s="42" t="str">
        <v/>
      </c>
      <c r="Y221" s="42" t="str">
        <v/>
      </c>
      <c r="Z221" s="42" t="str">
        <v/>
      </c>
      <c r="AA221" s="42" t="str">
        <v/>
      </c>
      <c r="AB221" s="42" t="str">
        <v/>
      </c>
      <c r="AC221" s="42" t="str">
        <v/>
      </c>
      <c r="AD221" s="42" t="str">
        <v/>
      </c>
      <c r="AE221" s="32" t="str">
        <f t="shared" si="9"/>
        <v/>
      </c>
      <c r="AF221" s="32" t="str">
        <f>_xlfn.XLOOKUP(B:B,Disk_Pivot!G:G,Disk_Pivot!I:I)</f>
        <v>Yes x2</v>
      </c>
      <c r="AG221" s="32" t="str">
        <f>_xlfn.XLOOKUP(B221,Disk_Pivot!G:G,Disk_Pivot!N:N)</f>
        <v>Pass, Fail</v>
      </c>
      <c r="AH221" s="32"/>
      <c r="AI221" s="32"/>
      <c r="AJ221" s="32"/>
      <c r="AK221" s="32"/>
      <c r="AL221" s="32"/>
      <c r="AM221" s="32"/>
    </row>
    <row r="222" spans="1:39">
      <c r="A222" s="32" t="str">
        <f>_xlfn.XLOOKUP(B222,Input!J:J,Input!G:G)&amp;""</f>
        <v/>
      </c>
      <c r="B222" s="32"/>
      <c r="C222" s="32" t="str">
        <f>_xlfn.XLOOKUP(B222,Input!J:J,Input!H:H)&amp;""</f>
        <v/>
      </c>
      <c r="D222" s="42">
        <f>_xlfn.XLOOKUP(B222,Input!J:J,Input!F:F)</f>
        <v>0</v>
      </c>
      <c r="E222" s="32">
        <f>_xlfn.XLOOKUP(D222,Models!H:H,Models!G:G,D222)</f>
        <v>0</v>
      </c>
      <c r="F222" s="32">
        <f>_xlfn.XLOOKUP(B222,Input!J:J,Input!E:E)</f>
        <v>0</v>
      </c>
      <c r="G222" s="32">
        <f>IF(F222="LENOVO",_xlfn.XLOOKUP(B222,Input!J:J,Input!K:K),_xlfn.XLOOKUP(B222,Input!J:J,Input!L:L))</f>
        <v>0</v>
      </c>
      <c r="H222" s="32"/>
      <c r="I222" s="32"/>
      <c r="J222" s="32">
        <f>_xlfn.XLOOKUP(B222,CPU_Formula!A:A,CPU_Formula!I:I)</f>
        <v>0</v>
      </c>
      <c r="K222" s="42" t="e">
        <f>INDEX(Input!$D$2:$AC$500,
       MATCH(B222, Input!$J$2:$J$500, 0),
       MATCH("Total Memory", Input!$D$1:$AC$1, 0))</f>
        <v>#N/A</v>
      </c>
      <c r="L222" s="42" t="e">
        <f>INDEX(Input!$D$2:$AC$500,
       MATCH(B222, Input!$J$2:$J$500, 0),
       MATCH("Memory Type", Input!$D$1:$AC$1, 0))</f>
        <v>#N/A</v>
      </c>
      <c r="M222" s="42" t="str" cm="1">
        <f t="array" ref="M222">IFERROR(_xlfn.FILTERXML("&lt;t&gt;&lt;s&gt;" &amp; SUBSTITUTE(L222," / ","&lt;/s&gt;&lt;s&gt;") &amp; "&lt;/s&gt;&lt;/t&gt;","(//s[contains(.,'DDR')])[1]"),"")</f>
        <v/>
      </c>
      <c r="N222" s="32" t="e">
        <f t="shared" si="11"/>
        <v>#N/A</v>
      </c>
      <c r="O222" s="42" t="e">
        <f>INDEX(Input!$D$2:$AC$500,
       MATCH(B222, Input!$J$2:$J$500, 0),
       MATCH("Disk Interface Type", Input!$D$1:$AC$1, 0))</f>
        <v>#N/A</v>
      </c>
      <c r="P222" s="42" t="str" cm="1">
        <f t="array" ref="P222">IFERROR(_xlfn.TEXTJOIN(", ", TRUE, _xlfn._xlws.FILTER(
    INDEX(Input!$D$2:$AC$500,,MATCH("Disk Capacity",Input!$D$1:$AC$1,0)),
    Input!$J$2:$J$500=B222
)), "")</f>
        <v/>
      </c>
      <c r="Q222" s="32" t="e">
        <f t="shared" si="10"/>
        <v>#N/A</v>
      </c>
      <c r="R222" s="42" t="e">
        <f>_xlfn.LET(_xlpm.Result,INDEX(Input!$D$2:$AC$500,
       MATCH(B222, Input!$J$2:$J$500, 0),
       MATCH("Capacity", Input!$D$1:$AC$1, 0)),IF(_xlpm.Result="","",_xlpm.Result))</f>
        <v>#N/A</v>
      </c>
      <c r="S222" s="42" t="e" cm="1">
        <f t="array" ref="S222">_xlfn.TEXTSPLIT(R222," / ", ,TRUE,0,)</f>
        <v>#N/A</v>
      </c>
      <c r="T222" s="42"/>
      <c r="U222" s="42" t="str" cm="1">
        <f t="array" ref="U222">IFERROR(_xlfn.IFS(
S222="","",
--S222&lt;55,"Battery Defect",
--S222&lt;=69,"Battery D",
--S222&lt;=80,"Battery C",
--S222&gt;80,""
),"")</f>
        <v/>
      </c>
      <c r="V222" s="42" t="str" cm="1">
        <f t="array" ref="V222">IFERROR(_xlfn.IFS(
T222="","",
--T222&lt;55,"Battery Defect",
--T222&lt;=69,"Battery D",
--T222&lt;=80,"Battery C",
--T222&gt;80,""
),"")</f>
        <v/>
      </c>
      <c r="W222" s="42" t="str" cm="1">
        <f t="array" ref="W222:AD222">IFERROR(IF(_xlfn.XLOOKUP(B222,Input!J:J,Input!N:U)=0,"",
          _xlfn.XLOOKUP(B222,Input!J:J,Input!N:U)),"")</f>
        <v/>
      </c>
      <c r="X222" s="42" t="str">
        <v/>
      </c>
      <c r="Y222" s="42" t="str">
        <v/>
      </c>
      <c r="Z222" s="42" t="str">
        <v/>
      </c>
      <c r="AA222" s="42" t="str">
        <v/>
      </c>
      <c r="AB222" s="42" t="str">
        <v/>
      </c>
      <c r="AC222" s="42" t="str">
        <v/>
      </c>
      <c r="AD222" s="42" t="str">
        <v/>
      </c>
      <c r="AE222" s="32" t="str">
        <f t="shared" si="9"/>
        <v/>
      </c>
      <c r="AF222" s="32" t="str">
        <f>_xlfn.XLOOKUP(B:B,Disk_Pivot!G:G,Disk_Pivot!I:I)</f>
        <v>Yes x2</v>
      </c>
      <c r="AG222" s="32" t="str">
        <f>_xlfn.XLOOKUP(B222,Disk_Pivot!G:G,Disk_Pivot!N:N)</f>
        <v>Pass, Fail</v>
      </c>
      <c r="AH222" s="32"/>
      <c r="AI222" s="32"/>
      <c r="AJ222" s="32"/>
      <c r="AK222" s="32"/>
      <c r="AL222" s="32"/>
      <c r="AM222" s="32"/>
    </row>
    <row r="223" spans="1:39">
      <c r="A223" s="32" t="str">
        <f>_xlfn.XLOOKUP(B223,Input!J:J,Input!G:G)&amp;""</f>
        <v/>
      </c>
      <c r="B223" s="32"/>
      <c r="C223" s="32" t="str">
        <f>_xlfn.XLOOKUP(B223,Input!J:J,Input!H:H)&amp;""</f>
        <v/>
      </c>
      <c r="D223" s="42">
        <f>_xlfn.XLOOKUP(B223,Input!J:J,Input!F:F)</f>
        <v>0</v>
      </c>
      <c r="E223" s="32">
        <f>_xlfn.XLOOKUP(D223,Models!H:H,Models!G:G,D223)</f>
        <v>0</v>
      </c>
      <c r="F223" s="32">
        <f>_xlfn.XLOOKUP(B223,Input!J:J,Input!E:E)</f>
        <v>0</v>
      </c>
      <c r="G223" s="32">
        <f>IF(F223="LENOVO",_xlfn.XLOOKUP(B223,Input!J:J,Input!K:K),_xlfn.XLOOKUP(B223,Input!J:J,Input!L:L))</f>
        <v>0</v>
      </c>
      <c r="H223" s="32"/>
      <c r="I223" s="32"/>
      <c r="J223" s="32">
        <f>_xlfn.XLOOKUP(B223,CPU_Formula!A:A,CPU_Formula!I:I)</f>
        <v>0</v>
      </c>
      <c r="K223" s="42" t="e">
        <f>INDEX(Input!$D$2:$AC$500,
       MATCH(B223, Input!$J$2:$J$500, 0),
       MATCH("Total Memory", Input!$D$1:$AC$1, 0))</f>
        <v>#N/A</v>
      </c>
      <c r="L223" s="42" t="e">
        <f>INDEX(Input!$D$2:$AC$500,
       MATCH(B223, Input!$J$2:$J$500, 0),
       MATCH("Memory Type", Input!$D$1:$AC$1, 0))</f>
        <v>#N/A</v>
      </c>
      <c r="M223" s="42" t="str" cm="1">
        <f t="array" ref="M223">IFERROR(_xlfn.FILTERXML("&lt;t&gt;&lt;s&gt;" &amp; SUBSTITUTE(L223," / ","&lt;/s&gt;&lt;s&gt;") &amp; "&lt;/s&gt;&lt;/t&gt;","(//s[contains(.,'DDR')])[1]"),"")</f>
        <v/>
      </c>
      <c r="N223" s="32" t="e">
        <f t="shared" si="11"/>
        <v>#N/A</v>
      </c>
      <c r="O223" s="42" t="e">
        <f>INDEX(Input!$D$2:$AC$500,
       MATCH(B223, Input!$J$2:$J$500, 0),
       MATCH("Disk Interface Type", Input!$D$1:$AC$1, 0))</f>
        <v>#N/A</v>
      </c>
      <c r="P223" s="42" t="str" cm="1">
        <f t="array" ref="P223">IFERROR(_xlfn.TEXTJOIN(", ", TRUE, _xlfn._xlws.FILTER(
    INDEX(Input!$D$2:$AC$500,,MATCH("Disk Capacity",Input!$D$1:$AC$1,0)),
    Input!$J$2:$J$500=B223
)), "")</f>
        <v/>
      </c>
      <c r="Q223" s="32" t="e">
        <f t="shared" si="10"/>
        <v>#N/A</v>
      </c>
      <c r="R223" s="42" t="e">
        <f>_xlfn.LET(_xlpm.Result,INDEX(Input!$D$2:$AC$500,
       MATCH(B223, Input!$J$2:$J$500, 0),
       MATCH("Capacity", Input!$D$1:$AC$1, 0)),IF(_xlpm.Result="","",_xlpm.Result))</f>
        <v>#N/A</v>
      </c>
      <c r="S223" s="42" t="e" cm="1">
        <f t="array" ref="S223">_xlfn.TEXTSPLIT(R223," / ", ,TRUE,0,)</f>
        <v>#N/A</v>
      </c>
      <c r="T223" s="42"/>
      <c r="U223" s="42" t="str" cm="1">
        <f t="array" ref="U223">IFERROR(_xlfn.IFS(
S223="","",
--S223&lt;55,"Battery Defect",
--S223&lt;=69,"Battery D",
--S223&lt;=80,"Battery C",
--S223&gt;80,""
),"")</f>
        <v/>
      </c>
      <c r="V223" s="42" t="str" cm="1">
        <f t="array" ref="V223">IFERROR(_xlfn.IFS(
T223="","",
--T223&lt;55,"Battery Defect",
--T223&lt;=69,"Battery D",
--T223&lt;=80,"Battery C",
--T223&gt;80,""
),"")</f>
        <v/>
      </c>
      <c r="W223" s="42" t="str" cm="1">
        <f t="array" ref="W223:AD223">IFERROR(IF(_xlfn.XLOOKUP(B223,Input!J:J,Input!N:U)=0,"",
          _xlfn.XLOOKUP(B223,Input!J:J,Input!N:U)),"")</f>
        <v/>
      </c>
      <c r="X223" s="42" t="str">
        <v/>
      </c>
      <c r="Y223" s="42" t="str">
        <v/>
      </c>
      <c r="Z223" s="42" t="str">
        <v/>
      </c>
      <c r="AA223" s="42" t="str">
        <v/>
      </c>
      <c r="AB223" s="42" t="str">
        <v/>
      </c>
      <c r="AC223" s="42" t="str">
        <v/>
      </c>
      <c r="AD223" s="42" t="str">
        <v/>
      </c>
      <c r="AE223" s="32" t="str">
        <f t="shared" si="9"/>
        <v/>
      </c>
      <c r="AF223" s="32" t="str">
        <f>_xlfn.XLOOKUP(B:B,Disk_Pivot!G:G,Disk_Pivot!I:I)</f>
        <v>Yes x2</v>
      </c>
      <c r="AG223" s="32" t="str">
        <f>_xlfn.XLOOKUP(B223,Disk_Pivot!G:G,Disk_Pivot!N:N)</f>
        <v>Pass, Fail</v>
      </c>
      <c r="AH223" s="32"/>
      <c r="AI223" s="32"/>
      <c r="AJ223" s="32"/>
      <c r="AK223" s="32"/>
      <c r="AL223" s="32"/>
      <c r="AM223" s="32"/>
    </row>
    <row r="224" spans="1:39">
      <c r="A224" s="32" t="str">
        <f>_xlfn.XLOOKUP(B224,Input!J:J,Input!G:G)&amp;""</f>
        <v/>
      </c>
      <c r="B224" s="32"/>
      <c r="C224" s="32" t="str">
        <f>_xlfn.XLOOKUP(B224,Input!J:J,Input!H:H)&amp;""</f>
        <v/>
      </c>
      <c r="D224" s="42">
        <f>_xlfn.XLOOKUP(B224,Input!J:J,Input!F:F)</f>
        <v>0</v>
      </c>
      <c r="E224" s="32">
        <f>_xlfn.XLOOKUP(D224,Models!H:H,Models!G:G,D224)</f>
        <v>0</v>
      </c>
      <c r="F224" s="32">
        <f>_xlfn.XLOOKUP(B224,Input!J:J,Input!E:E)</f>
        <v>0</v>
      </c>
      <c r="G224" s="32">
        <f>IF(F224="LENOVO",_xlfn.XLOOKUP(B224,Input!J:J,Input!K:K),_xlfn.XLOOKUP(B224,Input!J:J,Input!L:L))</f>
        <v>0</v>
      </c>
      <c r="H224" s="32"/>
      <c r="I224" s="32"/>
      <c r="J224" s="32">
        <f>_xlfn.XLOOKUP(B224,CPU_Formula!A:A,CPU_Formula!I:I)</f>
        <v>0</v>
      </c>
      <c r="K224" s="42" t="e">
        <f>INDEX(Input!$D$2:$AC$500,
       MATCH(B224, Input!$J$2:$J$500, 0),
       MATCH("Total Memory", Input!$D$1:$AC$1, 0))</f>
        <v>#N/A</v>
      </c>
      <c r="L224" s="42" t="e">
        <f>INDEX(Input!$D$2:$AC$500,
       MATCH(B224, Input!$J$2:$J$500, 0),
       MATCH("Memory Type", Input!$D$1:$AC$1, 0))</f>
        <v>#N/A</v>
      </c>
      <c r="M224" s="42" t="str" cm="1">
        <f t="array" ref="M224">IFERROR(_xlfn.FILTERXML("&lt;t&gt;&lt;s&gt;" &amp; SUBSTITUTE(L224," / ","&lt;/s&gt;&lt;s&gt;") &amp; "&lt;/s&gt;&lt;/t&gt;","(//s[contains(.,'DDR')])[1]"),"")</f>
        <v/>
      </c>
      <c r="N224" s="32" t="e">
        <f t="shared" si="11"/>
        <v>#N/A</v>
      </c>
      <c r="O224" s="42" t="e">
        <f>INDEX(Input!$D$2:$AC$500,
       MATCH(B224, Input!$J$2:$J$500, 0),
       MATCH("Disk Interface Type", Input!$D$1:$AC$1, 0))</f>
        <v>#N/A</v>
      </c>
      <c r="P224" s="42" t="str" cm="1">
        <f t="array" ref="P224">IFERROR(_xlfn.TEXTJOIN(", ", TRUE, _xlfn._xlws.FILTER(
    INDEX(Input!$D$2:$AC$500,,MATCH("Disk Capacity",Input!$D$1:$AC$1,0)),
    Input!$J$2:$J$500=B224
)), "")</f>
        <v/>
      </c>
      <c r="Q224" s="32" t="e">
        <f t="shared" si="10"/>
        <v>#N/A</v>
      </c>
      <c r="R224" s="42" t="e">
        <f>_xlfn.LET(_xlpm.Result,INDEX(Input!$D$2:$AC$500,
       MATCH(B224, Input!$J$2:$J$500, 0),
       MATCH("Capacity", Input!$D$1:$AC$1, 0)),IF(_xlpm.Result="","",_xlpm.Result))</f>
        <v>#N/A</v>
      </c>
      <c r="S224" s="42" t="e" cm="1">
        <f t="array" ref="S224">_xlfn.TEXTSPLIT(R224," / ", ,TRUE,0,)</f>
        <v>#N/A</v>
      </c>
      <c r="T224" s="42"/>
      <c r="U224" s="42" t="str" cm="1">
        <f t="array" ref="U224">IFERROR(_xlfn.IFS(
S224="","",
--S224&lt;55,"Battery Defect",
--S224&lt;=69,"Battery D",
--S224&lt;=80,"Battery C",
--S224&gt;80,""
),"")</f>
        <v/>
      </c>
      <c r="V224" s="42" t="str" cm="1">
        <f t="array" ref="V224">IFERROR(_xlfn.IFS(
T224="","",
--T224&lt;55,"Battery Defect",
--T224&lt;=69,"Battery D",
--T224&lt;=80,"Battery C",
--T224&gt;80,""
),"")</f>
        <v/>
      </c>
      <c r="W224" s="42" t="str" cm="1">
        <f t="array" ref="W224:AD224">IFERROR(IF(_xlfn.XLOOKUP(B224,Input!J:J,Input!N:U)=0,"",
          _xlfn.XLOOKUP(B224,Input!J:J,Input!N:U)),"")</f>
        <v/>
      </c>
      <c r="X224" s="42" t="str">
        <v/>
      </c>
      <c r="Y224" s="42" t="str">
        <v/>
      </c>
      <c r="Z224" s="42" t="str">
        <v/>
      </c>
      <c r="AA224" s="42" t="str">
        <v/>
      </c>
      <c r="AB224" s="42" t="str">
        <v/>
      </c>
      <c r="AC224" s="42" t="str">
        <v/>
      </c>
      <c r="AD224" s="42" t="str">
        <v/>
      </c>
      <c r="AE224" s="32" t="str">
        <f t="shared" si="9"/>
        <v/>
      </c>
      <c r="AF224" s="32" t="str">
        <f>_xlfn.XLOOKUP(B:B,Disk_Pivot!G:G,Disk_Pivot!I:I)</f>
        <v>Yes x2</v>
      </c>
      <c r="AG224" s="32" t="str">
        <f>_xlfn.XLOOKUP(B224,Disk_Pivot!G:G,Disk_Pivot!N:N)</f>
        <v>Pass, Fail</v>
      </c>
      <c r="AH224" s="32"/>
      <c r="AI224" s="32"/>
      <c r="AJ224" s="32"/>
      <c r="AK224" s="32"/>
      <c r="AL224" s="32"/>
      <c r="AM224" s="32"/>
    </row>
    <row r="225" spans="1:39">
      <c r="A225" s="32" t="str">
        <f>_xlfn.XLOOKUP(B225,Input!J:J,Input!G:G)&amp;""</f>
        <v/>
      </c>
      <c r="B225" s="32"/>
      <c r="C225" s="32" t="str">
        <f>_xlfn.XLOOKUP(B225,Input!J:J,Input!H:H)&amp;""</f>
        <v/>
      </c>
      <c r="D225" s="42">
        <f>_xlfn.XLOOKUP(B225,Input!J:J,Input!F:F)</f>
        <v>0</v>
      </c>
      <c r="E225" s="32">
        <f>_xlfn.XLOOKUP(D225,Models!H:H,Models!G:G,D225)</f>
        <v>0</v>
      </c>
      <c r="F225" s="32">
        <f>_xlfn.XLOOKUP(B225,Input!J:J,Input!E:E)</f>
        <v>0</v>
      </c>
      <c r="G225" s="32">
        <f>IF(F225="LENOVO",_xlfn.XLOOKUP(B225,Input!J:J,Input!K:K),_xlfn.XLOOKUP(B225,Input!J:J,Input!L:L))</f>
        <v>0</v>
      </c>
      <c r="H225" s="32"/>
      <c r="I225" s="32"/>
      <c r="J225" s="32">
        <f>_xlfn.XLOOKUP(B225,CPU_Formula!A:A,CPU_Formula!I:I)</f>
        <v>0</v>
      </c>
      <c r="K225" s="42" t="e">
        <f>INDEX(Input!$D$2:$AC$500,
       MATCH(B225, Input!$J$2:$J$500, 0),
       MATCH("Total Memory", Input!$D$1:$AC$1, 0))</f>
        <v>#N/A</v>
      </c>
      <c r="L225" s="42" t="e">
        <f>INDEX(Input!$D$2:$AC$500,
       MATCH(B225, Input!$J$2:$J$500, 0),
       MATCH("Memory Type", Input!$D$1:$AC$1, 0))</f>
        <v>#N/A</v>
      </c>
      <c r="M225" s="42" t="str" cm="1">
        <f t="array" ref="M225">IFERROR(_xlfn.FILTERXML("&lt;t&gt;&lt;s&gt;" &amp; SUBSTITUTE(L225," / ","&lt;/s&gt;&lt;s&gt;") &amp; "&lt;/s&gt;&lt;/t&gt;","(//s[contains(.,'DDR')])[1]"),"")</f>
        <v/>
      </c>
      <c r="N225" s="32" t="e">
        <f t="shared" si="11"/>
        <v>#N/A</v>
      </c>
      <c r="O225" s="42" t="e">
        <f>INDEX(Input!$D$2:$AC$500,
       MATCH(B225, Input!$J$2:$J$500, 0),
       MATCH("Disk Interface Type", Input!$D$1:$AC$1, 0))</f>
        <v>#N/A</v>
      </c>
      <c r="P225" s="42" t="str" cm="1">
        <f t="array" ref="P225">IFERROR(_xlfn.TEXTJOIN(", ", TRUE, _xlfn._xlws.FILTER(
    INDEX(Input!$D$2:$AC$500,,MATCH("Disk Capacity",Input!$D$1:$AC$1,0)),
    Input!$J$2:$J$500=B225
)), "")</f>
        <v/>
      </c>
      <c r="Q225" s="32" t="e">
        <f t="shared" si="10"/>
        <v>#N/A</v>
      </c>
      <c r="R225" s="42" t="e">
        <f>_xlfn.LET(_xlpm.Result,INDEX(Input!$D$2:$AC$500,
       MATCH(B225, Input!$J$2:$J$500, 0),
       MATCH("Capacity", Input!$D$1:$AC$1, 0)),IF(_xlpm.Result="","",_xlpm.Result))</f>
        <v>#N/A</v>
      </c>
      <c r="S225" s="42" t="e" cm="1">
        <f t="array" ref="S225">_xlfn.TEXTSPLIT(R225," / ", ,TRUE,0,)</f>
        <v>#N/A</v>
      </c>
      <c r="T225" s="42"/>
      <c r="U225" s="42" t="str" cm="1">
        <f t="array" ref="U225">IFERROR(_xlfn.IFS(
S225="","",
--S225&lt;55,"Battery Defect",
--S225&lt;=69,"Battery D",
--S225&lt;=80,"Battery C",
--S225&gt;80,""
),"")</f>
        <v/>
      </c>
      <c r="V225" s="42" t="str" cm="1">
        <f t="array" ref="V225">IFERROR(_xlfn.IFS(
T225="","",
--T225&lt;55,"Battery Defect",
--T225&lt;=69,"Battery D",
--T225&lt;=80,"Battery C",
--T225&gt;80,""
),"")</f>
        <v/>
      </c>
      <c r="W225" s="42" t="str" cm="1">
        <f t="array" ref="W225:AD225">IFERROR(IF(_xlfn.XLOOKUP(B225,Input!J:J,Input!N:U)=0,"",
          _xlfn.XLOOKUP(B225,Input!J:J,Input!N:U)),"")</f>
        <v/>
      </c>
      <c r="X225" s="42" t="str">
        <v/>
      </c>
      <c r="Y225" s="42" t="str">
        <v/>
      </c>
      <c r="Z225" s="42" t="str">
        <v/>
      </c>
      <c r="AA225" s="42" t="str">
        <v/>
      </c>
      <c r="AB225" s="42" t="str">
        <v/>
      </c>
      <c r="AC225" s="42" t="str">
        <v/>
      </c>
      <c r="AD225" s="42" t="str">
        <v/>
      </c>
      <c r="AE225" s="32" t="str">
        <f t="shared" si="9"/>
        <v/>
      </c>
      <c r="AF225" s="32" t="str">
        <f>_xlfn.XLOOKUP(B:B,Disk_Pivot!G:G,Disk_Pivot!I:I)</f>
        <v>Yes x2</v>
      </c>
      <c r="AG225" s="32" t="str">
        <f>_xlfn.XLOOKUP(B225,Disk_Pivot!G:G,Disk_Pivot!N:N)</f>
        <v>Pass, Fail</v>
      </c>
      <c r="AH225" s="32"/>
      <c r="AI225" s="32"/>
      <c r="AJ225" s="32"/>
      <c r="AK225" s="32"/>
      <c r="AL225" s="32"/>
      <c r="AM225" s="32"/>
    </row>
    <row r="226" spans="1:39">
      <c r="A226" s="32" t="str">
        <f>_xlfn.XLOOKUP(B226,Input!J:J,Input!G:G)&amp;""</f>
        <v/>
      </c>
      <c r="B226" s="32"/>
      <c r="C226" s="32" t="str">
        <f>_xlfn.XLOOKUP(B226,Input!J:J,Input!H:H)&amp;""</f>
        <v/>
      </c>
      <c r="D226" s="42">
        <f>_xlfn.XLOOKUP(B226,Input!J:J,Input!F:F)</f>
        <v>0</v>
      </c>
      <c r="E226" s="32">
        <f>_xlfn.XLOOKUP(D226,Models!H:H,Models!G:G,D226)</f>
        <v>0</v>
      </c>
      <c r="F226" s="32">
        <f>_xlfn.XLOOKUP(B226,Input!J:J,Input!E:E)</f>
        <v>0</v>
      </c>
      <c r="G226" s="32">
        <f>IF(F226="LENOVO",_xlfn.XLOOKUP(B226,Input!J:J,Input!K:K),_xlfn.XLOOKUP(B226,Input!J:J,Input!L:L))</f>
        <v>0</v>
      </c>
      <c r="H226" s="32"/>
      <c r="I226" s="32"/>
      <c r="J226" s="32">
        <f>_xlfn.XLOOKUP(B226,CPU_Formula!A:A,CPU_Formula!I:I)</f>
        <v>0</v>
      </c>
      <c r="K226" s="42" t="e">
        <f>INDEX(Input!$D$2:$AC$500,
       MATCH(B226, Input!$J$2:$J$500, 0),
       MATCH("Total Memory", Input!$D$1:$AC$1, 0))</f>
        <v>#N/A</v>
      </c>
      <c r="L226" s="42" t="e">
        <f>INDEX(Input!$D$2:$AC$500,
       MATCH(B226, Input!$J$2:$J$500, 0),
       MATCH("Memory Type", Input!$D$1:$AC$1, 0))</f>
        <v>#N/A</v>
      </c>
      <c r="M226" s="42" t="str" cm="1">
        <f t="array" ref="M226">IFERROR(_xlfn.FILTERXML("&lt;t&gt;&lt;s&gt;" &amp; SUBSTITUTE(L226," / ","&lt;/s&gt;&lt;s&gt;") &amp; "&lt;/s&gt;&lt;/t&gt;","(//s[contains(.,'DDR')])[1]"),"")</f>
        <v/>
      </c>
      <c r="N226" s="32" t="e">
        <f t="shared" si="11"/>
        <v>#N/A</v>
      </c>
      <c r="O226" s="42" t="e">
        <f>INDEX(Input!$D$2:$AC$500,
       MATCH(B226, Input!$J$2:$J$500, 0),
       MATCH("Disk Interface Type", Input!$D$1:$AC$1, 0))</f>
        <v>#N/A</v>
      </c>
      <c r="P226" s="42" t="str" cm="1">
        <f t="array" ref="P226">IFERROR(_xlfn.TEXTJOIN(", ", TRUE, _xlfn._xlws.FILTER(
    INDEX(Input!$D$2:$AC$500,,MATCH("Disk Capacity",Input!$D$1:$AC$1,0)),
    Input!$J$2:$J$500=B226
)), "")</f>
        <v/>
      </c>
      <c r="Q226" s="32" t="e">
        <f t="shared" si="10"/>
        <v>#N/A</v>
      </c>
      <c r="R226" s="42" t="e">
        <f>_xlfn.LET(_xlpm.Result,INDEX(Input!$D$2:$AC$500,
       MATCH(B226, Input!$J$2:$J$500, 0),
       MATCH("Capacity", Input!$D$1:$AC$1, 0)),IF(_xlpm.Result="","",_xlpm.Result))</f>
        <v>#N/A</v>
      </c>
      <c r="S226" s="42" t="e" cm="1">
        <f t="array" ref="S226">_xlfn.TEXTSPLIT(R226," / ", ,TRUE,0,)</f>
        <v>#N/A</v>
      </c>
      <c r="T226" s="42"/>
      <c r="U226" s="42" t="str" cm="1">
        <f t="array" ref="U226">IFERROR(_xlfn.IFS(
S226="","",
--S226&lt;55,"Battery Defect",
--S226&lt;=69,"Battery D",
--S226&lt;=80,"Battery C",
--S226&gt;80,""
),"")</f>
        <v/>
      </c>
      <c r="V226" s="42" t="str" cm="1">
        <f t="array" ref="V226">IFERROR(_xlfn.IFS(
T226="","",
--T226&lt;55,"Battery Defect",
--T226&lt;=69,"Battery D",
--T226&lt;=80,"Battery C",
--T226&gt;80,""
),"")</f>
        <v/>
      </c>
      <c r="W226" s="42" t="str" cm="1">
        <f t="array" ref="W226:AD226">IFERROR(IF(_xlfn.XLOOKUP(B226,Input!J:J,Input!N:U)=0,"",
          _xlfn.XLOOKUP(B226,Input!J:J,Input!N:U)),"")</f>
        <v/>
      </c>
      <c r="X226" s="42" t="str">
        <v/>
      </c>
      <c r="Y226" s="42" t="str">
        <v/>
      </c>
      <c r="Z226" s="42" t="str">
        <v/>
      </c>
      <c r="AA226" s="42" t="str">
        <v/>
      </c>
      <c r="AB226" s="42" t="str">
        <v/>
      </c>
      <c r="AC226" s="42" t="str">
        <v/>
      </c>
      <c r="AD226" s="42" t="str">
        <v/>
      </c>
      <c r="AE226" s="32" t="str">
        <f t="shared" si="9"/>
        <v/>
      </c>
      <c r="AF226" s="32" t="str">
        <f>_xlfn.XLOOKUP(B:B,Disk_Pivot!G:G,Disk_Pivot!I:I)</f>
        <v>Yes x2</v>
      </c>
      <c r="AG226" s="32" t="str">
        <f>_xlfn.XLOOKUP(B226,Disk_Pivot!G:G,Disk_Pivot!N:N)</f>
        <v>Pass, Fail</v>
      </c>
      <c r="AH226" s="32"/>
      <c r="AI226" s="32"/>
      <c r="AJ226" s="32"/>
      <c r="AK226" s="32"/>
      <c r="AL226" s="32"/>
      <c r="AM226" s="32"/>
    </row>
    <row r="227" spans="1:39">
      <c r="A227" s="32" t="str">
        <f>_xlfn.XLOOKUP(B227,Input!J:J,Input!G:G)&amp;""</f>
        <v/>
      </c>
      <c r="B227" s="32"/>
      <c r="C227" s="32" t="str">
        <f>_xlfn.XLOOKUP(B227,Input!J:J,Input!H:H)&amp;""</f>
        <v/>
      </c>
      <c r="D227" s="42">
        <f>_xlfn.XLOOKUP(B227,Input!J:J,Input!F:F)</f>
        <v>0</v>
      </c>
      <c r="E227" s="32">
        <f>_xlfn.XLOOKUP(D227,Models!H:H,Models!G:G,D227)</f>
        <v>0</v>
      </c>
      <c r="F227" s="32">
        <f>_xlfn.XLOOKUP(B227,Input!J:J,Input!E:E)</f>
        <v>0</v>
      </c>
      <c r="G227" s="32">
        <f>IF(F227="LENOVO",_xlfn.XLOOKUP(B227,Input!J:J,Input!K:K),_xlfn.XLOOKUP(B227,Input!J:J,Input!L:L))</f>
        <v>0</v>
      </c>
      <c r="H227" s="32"/>
      <c r="I227" s="32"/>
      <c r="J227" s="32">
        <f>_xlfn.XLOOKUP(B227,CPU_Formula!A:A,CPU_Formula!I:I)</f>
        <v>0</v>
      </c>
      <c r="K227" s="42" t="e">
        <f>INDEX(Input!$D$2:$AC$500,
       MATCH(B227, Input!$J$2:$J$500, 0),
       MATCH("Total Memory", Input!$D$1:$AC$1, 0))</f>
        <v>#N/A</v>
      </c>
      <c r="L227" s="42" t="e">
        <f>INDEX(Input!$D$2:$AC$500,
       MATCH(B227, Input!$J$2:$J$500, 0),
       MATCH("Memory Type", Input!$D$1:$AC$1, 0))</f>
        <v>#N/A</v>
      </c>
      <c r="M227" s="42" t="str" cm="1">
        <f t="array" ref="M227">IFERROR(_xlfn.FILTERXML("&lt;t&gt;&lt;s&gt;" &amp; SUBSTITUTE(L227," / ","&lt;/s&gt;&lt;s&gt;") &amp; "&lt;/s&gt;&lt;/t&gt;","(//s[contains(.,'DDR')])[1]"),"")</f>
        <v/>
      </c>
      <c r="N227" s="32" t="e">
        <f t="shared" si="11"/>
        <v>#N/A</v>
      </c>
      <c r="O227" s="42" t="e">
        <f>INDEX(Input!$D$2:$AC$500,
       MATCH(B227, Input!$J$2:$J$500, 0),
       MATCH("Disk Interface Type", Input!$D$1:$AC$1, 0))</f>
        <v>#N/A</v>
      </c>
      <c r="P227" s="42" t="str" cm="1">
        <f t="array" ref="P227">IFERROR(_xlfn.TEXTJOIN(", ", TRUE, _xlfn._xlws.FILTER(
    INDEX(Input!$D$2:$AC$500,,MATCH("Disk Capacity",Input!$D$1:$AC$1,0)),
    Input!$J$2:$J$500=B227
)), "")</f>
        <v/>
      </c>
      <c r="Q227" s="32" t="e">
        <f t="shared" si="10"/>
        <v>#N/A</v>
      </c>
      <c r="R227" s="42" t="e">
        <f>_xlfn.LET(_xlpm.Result,INDEX(Input!$D$2:$AC$500,
       MATCH(B227, Input!$J$2:$J$500, 0),
       MATCH("Capacity", Input!$D$1:$AC$1, 0)),IF(_xlpm.Result="","",_xlpm.Result))</f>
        <v>#N/A</v>
      </c>
      <c r="S227" s="42" t="e" cm="1">
        <f t="array" ref="S227">_xlfn.TEXTSPLIT(R227," / ", ,TRUE,0,)</f>
        <v>#N/A</v>
      </c>
      <c r="T227" s="42"/>
      <c r="U227" s="42" t="str" cm="1">
        <f t="array" ref="U227">IFERROR(_xlfn.IFS(
S227="","",
--S227&lt;55,"Battery Defect",
--S227&lt;=69,"Battery D",
--S227&lt;=80,"Battery C",
--S227&gt;80,""
),"")</f>
        <v/>
      </c>
      <c r="V227" s="42" t="str" cm="1">
        <f t="array" ref="V227">IFERROR(_xlfn.IFS(
T227="","",
--T227&lt;55,"Battery Defect",
--T227&lt;=69,"Battery D",
--T227&lt;=80,"Battery C",
--T227&gt;80,""
),"")</f>
        <v/>
      </c>
      <c r="W227" s="42" t="str" cm="1">
        <f t="array" ref="W227:AD227">IFERROR(IF(_xlfn.XLOOKUP(B227,Input!J:J,Input!N:U)=0,"",
          _xlfn.XLOOKUP(B227,Input!J:J,Input!N:U)),"")</f>
        <v/>
      </c>
      <c r="X227" s="42" t="str">
        <v/>
      </c>
      <c r="Y227" s="42" t="str">
        <v/>
      </c>
      <c r="Z227" s="42" t="str">
        <v/>
      </c>
      <c r="AA227" s="42" t="str">
        <v/>
      </c>
      <c r="AB227" s="42" t="str">
        <v/>
      </c>
      <c r="AC227" s="42" t="str">
        <v/>
      </c>
      <c r="AD227" s="42" t="str">
        <v/>
      </c>
      <c r="AE227" s="32" t="str">
        <f t="shared" si="9"/>
        <v/>
      </c>
      <c r="AF227" s="32" t="str">
        <f>_xlfn.XLOOKUP(B:B,Disk_Pivot!G:G,Disk_Pivot!I:I)</f>
        <v>Yes x2</v>
      </c>
      <c r="AG227" s="32" t="str">
        <f>_xlfn.XLOOKUP(B227,Disk_Pivot!G:G,Disk_Pivot!N:N)</f>
        <v>Pass, Fail</v>
      </c>
      <c r="AH227" s="32"/>
      <c r="AI227" s="32"/>
      <c r="AJ227" s="32"/>
      <c r="AK227" s="32"/>
      <c r="AL227" s="32"/>
      <c r="AM227" s="32"/>
    </row>
    <row r="228" spans="1:39">
      <c r="A228" s="32" t="str">
        <f>_xlfn.XLOOKUP(B228,Input!J:J,Input!G:G)&amp;""</f>
        <v/>
      </c>
      <c r="B228" s="32"/>
      <c r="C228" s="32" t="str">
        <f>_xlfn.XLOOKUP(B228,Input!J:J,Input!H:H)&amp;""</f>
        <v/>
      </c>
      <c r="D228" s="42">
        <f>_xlfn.XLOOKUP(B228,Input!J:J,Input!F:F)</f>
        <v>0</v>
      </c>
      <c r="E228" s="32">
        <f>_xlfn.XLOOKUP(D228,Models!H:H,Models!G:G,D228)</f>
        <v>0</v>
      </c>
      <c r="F228" s="32">
        <f>_xlfn.XLOOKUP(B228,Input!J:J,Input!E:E)</f>
        <v>0</v>
      </c>
      <c r="G228" s="32">
        <f>IF(F228="LENOVO",_xlfn.XLOOKUP(B228,Input!J:J,Input!K:K),_xlfn.XLOOKUP(B228,Input!J:J,Input!L:L))</f>
        <v>0</v>
      </c>
      <c r="H228" s="32"/>
      <c r="I228" s="32"/>
      <c r="J228" s="32">
        <f>_xlfn.XLOOKUP(B228,CPU_Formula!A:A,CPU_Formula!I:I)</f>
        <v>0</v>
      </c>
      <c r="K228" s="42" t="e">
        <f>INDEX(Input!$D$2:$AC$500,
       MATCH(B228, Input!$J$2:$J$500, 0),
       MATCH("Total Memory", Input!$D$1:$AC$1, 0))</f>
        <v>#N/A</v>
      </c>
      <c r="L228" s="42" t="e">
        <f>INDEX(Input!$D$2:$AC$500,
       MATCH(B228, Input!$J$2:$J$500, 0),
       MATCH("Memory Type", Input!$D$1:$AC$1, 0))</f>
        <v>#N/A</v>
      </c>
      <c r="M228" s="42" t="str" cm="1">
        <f t="array" ref="M228">IFERROR(_xlfn.FILTERXML("&lt;t&gt;&lt;s&gt;" &amp; SUBSTITUTE(L228," / ","&lt;/s&gt;&lt;s&gt;") &amp; "&lt;/s&gt;&lt;/t&gt;","(//s[contains(.,'DDR')])[1]"),"")</f>
        <v/>
      </c>
      <c r="N228" s="32" t="e">
        <f t="shared" si="11"/>
        <v>#N/A</v>
      </c>
      <c r="O228" s="42" t="e">
        <f>INDEX(Input!$D$2:$AC$500,
       MATCH(B228, Input!$J$2:$J$500, 0),
       MATCH("Disk Interface Type", Input!$D$1:$AC$1, 0))</f>
        <v>#N/A</v>
      </c>
      <c r="P228" s="42" t="str" cm="1">
        <f t="array" ref="P228">IFERROR(_xlfn.TEXTJOIN(", ", TRUE, _xlfn._xlws.FILTER(
    INDEX(Input!$D$2:$AC$500,,MATCH("Disk Capacity",Input!$D$1:$AC$1,0)),
    Input!$J$2:$J$500=B228
)), "")</f>
        <v/>
      </c>
      <c r="Q228" s="32" t="e">
        <f t="shared" si="10"/>
        <v>#N/A</v>
      </c>
      <c r="R228" s="42" t="e">
        <f>_xlfn.LET(_xlpm.Result,INDEX(Input!$D$2:$AC$500,
       MATCH(B228, Input!$J$2:$J$500, 0),
       MATCH("Capacity", Input!$D$1:$AC$1, 0)),IF(_xlpm.Result="","",_xlpm.Result))</f>
        <v>#N/A</v>
      </c>
      <c r="S228" s="42" t="e" cm="1">
        <f t="array" ref="S228">_xlfn.TEXTSPLIT(R228," / ", ,TRUE,0,)</f>
        <v>#N/A</v>
      </c>
      <c r="T228" s="42"/>
      <c r="U228" s="42" t="str" cm="1">
        <f t="array" ref="U228">IFERROR(_xlfn.IFS(
S228="","",
--S228&lt;55,"Battery Defect",
--S228&lt;=69,"Battery D",
--S228&lt;=80,"Battery C",
--S228&gt;80,""
),"")</f>
        <v/>
      </c>
      <c r="V228" s="42" t="str" cm="1">
        <f t="array" ref="V228">IFERROR(_xlfn.IFS(
T228="","",
--T228&lt;55,"Battery Defect",
--T228&lt;=69,"Battery D",
--T228&lt;=80,"Battery C",
--T228&gt;80,""
),"")</f>
        <v/>
      </c>
      <c r="W228" s="42" t="str" cm="1">
        <f t="array" ref="W228:AD228">IFERROR(IF(_xlfn.XLOOKUP(B228,Input!J:J,Input!N:U)=0,"",
          _xlfn.XLOOKUP(B228,Input!J:J,Input!N:U)),"")</f>
        <v/>
      </c>
      <c r="X228" s="42" t="str">
        <v/>
      </c>
      <c r="Y228" s="42" t="str">
        <v/>
      </c>
      <c r="Z228" s="42" t="str">
        <v/>
      </c>
      <c r="AA228" s="42" t="str">
        <v/>
      </c>
      <c r="AB228" s="42" t="str">
        <v/>
      </c>
      <c r="AC228" s="42" t="str">
        <v/>
      </c>
      <c r="AD228" s="42" t="str">
        <v/>
      </c>
      <c r="AE228" s="32" t="str">
        <f t="shared" si="9"/>
        <v/>
      </c>
      <c r="AF228" s="32" t="str">
        <f>_xlfn.XLOOKUP(B:B,Disk_Pivot!G:G,Disk_Pivot!I:I)</f>
        <v>Yes x2</v>
      </c>
      <c r="AG228" s="32" t="str">
        <f>_xlfn.XLOOKUP(B228,Disk_Pivot!G:G,Disk_Pivot!N:N)</f>
        <v>Pass, Fail</v>
      </c>
      <c r="AH228" s="32"/>
      <c r="AI228" s="32"/>
      <c r="AJ228" s="32"/>
      <c r="AK228" s="32"/>
      <c r="AL228" s="32"/>
      <c r="AM228" s="32"/>
    </row>
    <row r="229" spans="1:39">
      <c r="A229" s="32" t="str">
        <f>_xlfn.XLOOKUP(B229,Input!J:J,Input!G:G)&amp;""</f>
        <v/>
      </c>
      <c r="B229" s="32"/>
      <c r="C229" s="32" t="str">
        <f>_xlfn.XLOOKUP(B229,Input!J:J,Input!H:H)&amp;""</f>
        <v/>
      </c>
      <c r="D229" s="42">
        <f>_xlfn.XLOOKUP(B229,Input!J:J,Input!F:F)</f>
        <v>0</v>
      </c>
      <c r="E229" s="32">
        <f>_xlfn.XLOOKUP(D229,Models!H:H,Models!G:G,D229)</f>
        <v>0</v>
      </c>
      <c r="F229" s="32">
        <f>_xlfn.XLOOKUP(B229,Input!J:J,Input!E:E)</f>
        <v>0</v>
      </c>
      <c r="G229" s="32">
        <f>IF(F229="LENOVO",_xlfn.XLOOKUP(B229,Input!J:J,Input!K:K),_xlfn.XLOOKUP(B229,Input!J:J,Input!L:L))</f>
        <v>0</v>
      </c>
      <c r="H229" s="32"/>
      <c r="I229" s="32"/>
      <c r="J229" s="32">
        <f>_xlfn.XLOOKUP(B229,CPU_Formula!A:A,CPU_Formula!I:I)</f>
        <v>0</v>
      </c>
      <c r="K229" s="42" t="e">
        <f>INDEX(Input!$D$2:$AC$500,
       MATCH(B229, Input!$J$2:$J$500, 0),
       MATCH("Total Memory", Input!$D$1:$AC$1, 0))</f>
        <v>#N/A</v>
      </c>
      <c r="L229" s="42" t="e">
        <f>INDEX(Input!$D$2:$AC$500,
       MATCH(B229, Input!$J$2:$J$500, 0),
       MATCH("Memory Type", Input!$D$1:$AC$1, 0))</f>
        <v>#N/A</v>
      </c>
      <c r="M229" s="42" t="str" cm="1">
        <f t="array" ref="M229">IFERROR(_xlfn.FILTERXML("&lt;t&gt;&lt;s&gt;" &amp; SUBSTITUTE(L229," / ","&lt;/s&gt;&lt;s&gt;") &amp; "&lt;/s&gt;&lt;/t&gt;","(//s[contains(.,'DDR')])[1]"),"")</f>
        <v/>
      </c>
      <c r="N229" s="32" t="e">
        <f t="shared" si="11"/>
        <v>#N/A</v>
      </c>
      <c r="O229" s="42" t="e">
        <f>INDEX(Input!$D$2:$AC$500,
       MATCH(B229, Input!$J$2:$J$500, 0),
       MATCH("Disk Interface Type", Input!$D$1:$AC$1, 0))</f>
        <v>#N/A</v>
      </c>
      <c r="P229" s="42" t="str" cm="1">
        <f t="array" ref="P229">IFERROR(_xlfn.TEXTJOIN(", ", TRUE, _xlfn._xlws.FILTER(
    INDEX(Input!$D$2:$AC$500,,MATCH("Disk Capacity",Input!$D$1:$AC$1,0)),
    Input!$J$2:$J$500=B229
)), "")</f>
        <v/>
      </c>
      <c r="Q229" s="32" t="e">
        <f t="shared" si="10"/>
        <v>#N/A</v>
      </c>
      <c r="R229" s="42" t="e">
        <f>_xlfn.LET(_xlpm.Result,INDEX(Input!$D$2:$AC$500,
       MATCH(B229, Input!$J$2:$J$500, 0),
       MATCH("Capacity", Input!$D$1:$AC$1, 0)),IF(_xlpm.Result="","",_xlpm.Result))</f>
        <v>#N/A</v>
      </c>
      <c r="S229" s="42" t="e" cm="1">
        <f t="array" ref="S229">_xlfn.TEXTSPLIT(R229," / ", ,TRUE,0,)</f>
        <v>#N/A</v>
      </c>
      <c r="T229" s="42"/>
      <c r="U229" s="42" t="str" cm="1">
        <f t="array" ref="U229">IFERROR(_xlfn.IFS(
S229="","",
--S229&lt;55,"Battery Defect",
--S229&lt;=69,"Battery D",
--S229&lt;=80,"Battery C",
--S229&gt;80,""
),"")</f>
        <v/>
      </c>
      <c r="V229" s="42" t="str" cm="1">
        <f t="array" ref="V229">IFERROR(_xlfn.IFS(
T229="","",
--T229&lt;55,"Battery Defect",
--T229&lt;=69,"Battery D",
--T229&lt;=80,"Battery C",
--T229&gt;80,""
),"")</f>
        <v/>
      </c>
      <c r="W229" s="42" t="str" cm="1">
        <f t="array" ref="W229:AD229">IFERROR(IF(_xlfn.XLOOKUP(B229,Input!J:J,Input!N:U)=0,"",
          _xlfn.XLOOKUP(B229,Input!J:J,Input!N:U)),"")</f>
        <v/>
      </c>
      <c r="X229" s="42" t="str">
        <v/>
      </c>
      <c r="Y229" s="42" t="str">
        <v/>
      </c>
      <c r="Z229" s="42" t="str">
        <v/>
      </c>
      <c r="AA229" s="42" t="str">
        <v/>
      </c>
      <c r="AB229" s="42" t="str">
        <v/>
      </c>
      <c r="AC229" s="42" t="str">
        <v/>
      </c>
      <c r="AD229" s="42" t="str">
        <v/>
      </c>
      <c r="AE229" s="32" t="str">
        <f t="shared" si="9"/>
        <v/>
      </c>
      <c r="AF229" s="32" t="str">
        <f>_xlfn.XLOOKUP(B:B,Disk_Pivot!G:G,Disk_Pivot!I:I)</f>
        <v>Yes x2</v>
      </c>
      <c r="AG229" s="32" t="str">
        <f>_xlfn.XLOOKUP(B229,Disk_Pivot!G:G,Disk_Pivot!N:N)</f>
        <v>Pass, Fail</v>
      </c>
      <c r="AH229" s="32"/>
      <c r="AI229" s="32"/>
      <c r="AJ229" s="32"/>
      <c r="AK229" s="32"/>
      <c r="AL229" s="32"/>
      <c r="AM229" s="32"/>
    </row>
    <row r="230" spans="1:39">
      <c r="A230" s="32" t="str">
        <f>_xlfn.XLOOKUP(B230,Input!J:J,Input!G:G)&amp;""</f>
        <v/>
      </c>
      <c r="B230" s="32"/>
      <c r="C230" s="32" t="str">
        <f>_xlfn.XLOOKUP(B230,Input!J:J,Input!H:H)&amp;""</f>
        <v/>
      </c>
      <c r="D230" s="42">
        <f>_xlfn.XLOOKUP(B230,Input!J:J,Input!F:F)</f>
        <v>0</v>
      </c>
      <c r="E230" s="32">
        <f>_xlfn.XLOOKUP(D230,Models!H:H,Models!G:G,D230)</f>
        <v>0</v>
      </c>
      <c r="F230" s="32">
        <f>_xlfn.XLOOKUP(B230,Input!J:J,Input!E:E)</f>
        <v>0</v>
      </c>
      <c r="G230" s="32">
        <f>IF(F230="LENOVO",_xlfn.XLOOKUP(B230,Input!J:J,Input!K:K),_xlfn.XLOOKUP(B230,Input!J:J,Input!L:L))</f>
        <v>0</v>
      </c>
      <c r="H230" s="32"/>
      <c r="I230" s="32"/>
      <c r="J230" s="32">
        <f>_xlfn.XLOOKUP(B230,CPU_Formula!A:A,CPU_Formula!I:I)</f>
        <v>0</v>
      </c>
      <c r="K230" s="42" t="e">
        <f>INDEX(Input!$D$2:$AC$500,
       MATCH(B230, Input!$J$2:$J$500, 0),
       MATCH("Total Memory", Input!$D$1:$AC$1, 0))</f>
        <v>#N/A</v>
      </c>
      <c r="L230" s="42" t="e">
        <f>INDEX(Input!$D$2:$AC$500,
       MATCH(B230, Input!$J$2:$J$500, 0),
       MATCH("Memory Type", Input!$D$1:$AC$1, 0))</f>
        <v>#N/A</v>
      </c>
      <c r="M230" s="42" t="str" cm="1">
        <f t="array" ref="M230">IFERROR(_xlfn.FILTERXML("&lt;t&gt;&lt;s&gt;" &amp; SUBSTITUTE(L230," / ","&lt;/s&gt;&lt;s&gt;") &amp; "&lt;/s&gt;&lt;/t&gt;","(//s[contains(.,'DDR')])[1]"),"")</f>
        <v/>
      </c>
      <c r="N230" s="32" t="e">
        <f t="shared" si="11"/>
        <v>#N/A</v>
      </c>
      <c r="O230" s="42" t="e">
        <f>INDEX(Input!$D$2:$AC$500,
       MATCH(B230, Input!$J$2:$J$500, 0),
       MATCH("Disk Interface Type", Input!$D$1:$AC$1, 0))</f>
        <v>#N/A</v>
      </c>
      <c r="P230" s="42" t="str" cm="1">
        <f t="array" ref="P230">IFERROR(_xlfn.TEXTJOIN(", ", TRUE, _xlfn._xlws.FILTER(
    INDEX(Input!$D$2:$AC$500,,MATCH("Disk Capacity",Input!$D$1:$AC$1,0)),
    Input!$J$2:$J$500=B230
)), "")</f>
        <v/>
      </c>
      <c r="Q230" s="32" t="e">
        <f t="shared" si="10"/>
        <v>#N/A</v>
      </c>
      <c r="R230" s="42" t="e">
        <f>_xlfn.LET(_xlpm.Result,INDEX(Input!$D$2:$AC$500,
       MATCH(B230, Input!$J$2:$J$500, 0),
       MATCH("Capacity", Input!$D$1:$AC$1, 0)),IF(_xlpm.Result="","",_xlpm.Result))</f>
        <v>#N/A</v>
      </c>
      <c r="S230" s="42" t="e" cm="1">
        <f t="array" ref="S230">_xlfn.TEXTSPLIT(R230," / ", ,TRUE,0,)</f>
        <v>#N/A</v>
      </c>
      <c r="T230" s="42"/>
      <c r="U230" s="42" t="str" cm="1">
        <f t="array" ref="U230">IFERROR(_xlfn.IFS(
S230="","",
--S230&lt;55,"Battery Defect",
--S230&lt;=69,"Battery D",
--S230&lt;=80,"Battery C",
--S230&gt;80,""
),"")</f>
        <v/>
      </c>
      <c r="V230" s="42" t="str" cm="1">
        <f t="array" ref="V230">IFERROR(_xlfn.IFS(
T230="","",
--T230&lt;55,"Battery Defect",
--T230&lt;=69,"Battery D",
--T230&lt;=80,"Battery C",
--T230&gt;80,""
),"")</f>
        <v/>
      </c>
      <c r="W230" s="42" t="str" cm="1">
        <f t="array" ref="W230:AD230">IFERROR(IF(_xlfn.XLOOKUP(B230,Input!J:J,Input!N:U)=0,"",
          _xlfn.XLOOKUP(B230,Input!J:J,Input!N:U)),"")</f>
        <v/>
      </c>
      <c r="X230" s="42" t="str">
        <v/>
      </c>
      <c r="Y230" s="42" t="str">
        <v/>
      </c>
      <c r="Z230" s="42" t="str">
        <v/>
      </c>
      <c r="AA230" s="42" t="str">
        <v/>
      </c>
      <c r="AB230" s="42" t="str">
        <v/>
      </c>
      <c r="AC230" s="42" t="str">
        <v/>
      </c>
      <c r="AD230" s="42" t="str">
        <v/>
      </c>
      <c r="AE230" s="32" t="str">
        <f t="shared" si="9"/>
        <v/>
      </c>
      <c r="AF230" s="32" t="str">
        <f>_xlfn.XLOOKUP(B:B,Disk_Pivot!G:G,Disk_Pivot!I:I)</f>
        <v>Yes x2</v>
      </c>
      <c r="AG230" s="32" t="str">
        <f>_xlfn.XLOOKUP(B230,Disk_Pivot!G:G,Disk_Pivot!N:N)</f>
        <v>Pass, Fail</v>
      </c>
      <c r="AH230" s="32"/>
      <c r="AI230" s="32"/>
      <c r="AJ230" s="32"/>
      <c r="AK230" s="32"/>
      <c r="AL230" s="32"/>
      <c r="AM230" s="32"/>
    </row>
    <row r="231" spans="1:39">
      <c r="A231" s="32" t="str">
        <f>_xlfn.XLOOKUP(B231,Input!J:J,Input!G:G)&amp;""</f>
        <v/>
      </c>
      <c r="B231" s="32"/>
      <c r="C231" s="32" t="str">
        <f>_xlfn.XLOOKUP(B231,Input!J:J,Input!H:H)&amp;""</f>
        <v/>
      </c>
      <c r="D231" s="42">
        <f>_xlfn.XLOOKUP(B231,Input!J:J,Input!F:F)</f>
        <v>0</v>
      </c>
      <c r="E231" s="32">
        <f>_xlfn.XLOOKUP(D231,Models!H:H,Models!G:G,D231)</f>
        <v>0</v>
      </c>
      <c r="F231" s="32">
        <f>_xlfn.XLOOKUP(B231,Input!J:J,Input!E:E)</f>
        <v>0</v>
      </c>
      <c r="G231" s="32">
        <f>IF(F231="LENOVO",_xlfn.XLOOKUP(B231,Input!J:J,Input!K:K),_xlfn.XLOOKUP(B231,Input!J:J,Input!L:L))</f>
        <v>0</v>
      </c>
      <c r="H231" s="32"/>
      <c r="I231" s="32"/>
      <c r="J231" s="32">
        <f>_xlfn.XLOOKUP(B231,CPU_Formula!A:A,CPU_Formula!I:I)</f>
        <v>0</v>
      </c>
      <c r="K231" s="42" t="e">
        <f>INDEX(Input!$D$2:$AC$500,
       MATCH(B231, Input!$J$2:$J$500, 0),
       MATCH("Total Memory", Input!$D$1:$AC$1, 0))</f>
        <v>#N/A</v>
      </c>
      <c r="L231" s="42" t="e">
        <f>INDEX(Input!$D$2:$AC$500,
       MATCH(B231, Input!$J$2:$J$500, 0),
       MATCH("Memory Type", Input!$D$1:$AC$1, 0))</f>
        <v>#N/A</v>
      </c>
      <c r="M231" s="42" t="str" cm="1">
        <f t="array" ref="M231">IFERROR(_xlfn.FILTERXML("&lt;t&gt;&lt;s&gt;" &amp; SUBSTITUTE(L231," / ","&lt;/s&gt;&lt;s&gt;") &amp; "&lt;/s&gt;&lt;/t&gt;","(//s[contains(.,'DDR')])[1]"),"")</f>
        <v/>
      </c>
      <c r="N231" s="32" t="e">
        <f t="shared" si="11"/>
        <v>#N/A</v>
      </c>
      <c r="O231" s="42" t="e">
        <f>INDEX(Input!$D$2:$AC$500,
       MATCH(B231, Input!$J$2:$J$500, 0),
       MATCH("Disk Interface Type", Input!$D$1:$AC$1, 0))</f>
        <v>#N/A</v>
      </c>
      <c r="P231" s="42" t="str" cm="1">
        <f t="array" ref="P231">IFERROR(_xlfn.TEXTJOIN(", ", TRUE, _xlfn._xlws.FILTER(
    INDEX(Input!$D$2:$AC$500,,MATCH("Disk Capacity",Input!$D$1:$AC$1,0)),
    Input!$J$2:$J$500=B231
)), "")</f>
        <v/>
      </c>
      <c r="Q231" s="32" t="e">
        <f t="shared" si="10"/>
        <v>#N/A</v>
      </c>
      <c r="R231" s="42" t="e">
        <f>_xlfn.LET(_xlpm.Result,INDEX(Input!$D$2:$AC$500,
       MATCH(B231, Input!$J$2:$J$500, 0),
       MATCH("Capacity", Input!$D$1:$AC$1, 0)),IF(_xlpm.Result="","",_xlpm.Result))</f>
        <v>#N/A</v>
      </c>
      <c r="S231" s="42" t="e" cm="1">
        <f t="array" ref="S231">_xlfn.TEXTSPLIT(R231," / ", ,TRUE,0,)</f>
        <v>#N/A</v>
      </c>
      <c r="T231" s="42"/>
      <c r="U231" s="42" t="str" cm="1">
        <f t="array" ref="U231">IFERROR(_xlfn.IFS(
S231="","",
--S231&lt;55,"Battery Defect",
--S231&lt;=69,"Battery D",
--S231&lt;=80,"Battery C",
--S231&gt;80,""
),"")</f>
        <v/>
      </c>
      <c r="V231" s="42" t="str" cm="1">
        <f t="array" ref="V231">IFERROR(_xlfn.IFS(
T231="","",
--T231&lt;55,"Battery Defect",
--T231&lt;=69,"Battery D",
--T231&lt;=80,"Battery C",
--T231&gt;80,""
),"")</f>
        <v/>
      </c>
      <c r="W231" s="42" t="str" cm="1">
        <f t="array" ref="W231:AD231">IFERROR(IF(_xlfn.XLOOKUP(B231,Input!J:J,Input!N:U)=0,"",
          _xlfn.XLOOKUP(B231,Input!J:J,Input!N:U)),"")</f>
        <v/>
      </c>
      <c r="X231" s="42" t="str">
        <v/>
      </c>
      <c r="Y231" s="42" t="str">
        <v/>
      </c>
      <c r="Z231" s="42" t="str">
        <v/>
      </c>
      <c r="AA231" s="42" t="str">
        <v/>
      </c>
      <c r="AB231" s="42" t="str">
        <v/>
      </c>
      <c r="AC231" s="42" t="str">
        <v/>
      </c>
      <c r="AD231" s="42" t="str">
        <v/>
      </c>
      <c r="AE231" s="32" t="str">
        <f t="shared" si="9"/>
        <v/>
      </c>
      <c r="AF231" s="32" t="str">
        <f>_xlfn.XLOOKUP(B:B,Disk_Pivot!G:G,Disk_Pivot!I:I)</f>
        <v>Yes x2</v>
      </c>
      <c r="AG231" s="32" t="str">
        <f>_xlfn.XLOOKUP(B231,Disk_Pivot!G:G,Disk_Pivot!N:N)</f>
        <v>Pass, Fail</v>
      </c>
      <c r="AH231" s="32"/>
      <c r="AI231" s="32"/>
      <c r="AJ231" s="32"/>
      <c r="AK231" s="32"/>
      <c r="AL231" s="32"/>
      <c r="AM231" s="32"/>
    </row>
    <row r="232" spans="1:39">
      <c r="A232" s="32" t="str">
        <f>_xlfn.XLOOKUP(B232,Input!J:J,Input!G:G)&amp;""</f>
        <v/>
      </c>
      <c r="B232" s="32"/>
      <c r="C232" s="32" t="str">
        <f>_xlfn.XLOOKUP(B232,Input!J:J,Input!H:H)&amp;""</f>
        <v/>
      </c>
      <c r="D232" s="42">
        <f>_xlfn.XLOOKUP(B232,Input!J:J,Input!F:F)</f>
        <v>0</v>
      </c>
      <c r="E232" s="32">
        <f>_xlfn.XLOOKUP(D232,Models!H:H,Models!G:G,D232)</f>
        <v>0</v>
      </c>
      <c r="F232" s="32">
        <f>_xlfn.XLOOKUP(B232,Input!J:J,Input!E:E)</f>
        <v>0</v>
      </c>
      <c r="G232" s="32">
        <f>IF(F232="LENOVO",_xlfn.XLOOKUP(B232,Input!J:J,Input!K:K),_xlfn.XLOOKUP(B232,Input!J:J,Input!L:L))</f>
        <v>0</v>
      </c>
      <c r="H232" s="32"/>
      <c r="I232" s="32"/>
      <c r="J232" s="32">
        <f>_xlfn.XLOOKUP(B232,CPU_Formula!A:A,CPU_Formula!I:I)</f>
        <v>0</v>
      </c>
      <c r="K232" s="42" t="e">
        <f>INDEX(Input!$D$2:$AC$500,
       MATCH(B232, Input!$J$2:$J$500, 0),
       MATCH("Total Memory", Input!$D$1:$AC$1, 0))</f>
        <v>#N/A</v>
      </c>
      <c r="L232" s="42" t="e">
        <f>INDEX(Input!$D$2:$AC$500,
       MATCH(B232, Input!$J$2:$J$500, 0),
       MATCH("Memory Type", Input!$D$1:$AC$1, 0))</f>
        <v>#N/A</v>
      </c>
      <c r="M232" s="42" t="str" cm="1">
        <f t="array" ref="M232">IFERROR(_xlfn.FILTERXML("&lt;t&gt;&lt;s&gt;" &amp; SUBSTITUTE(L232," / ","&lt;/s&gt;&lt;s&gt;") &amp; "&lt;/s&gt;&lt;/t&gt;","(//s[contains(.,'DDR')])[1]"),"")</f>
        <v/>
      </c>
      <c r="N232" s="32" t="e">
        <f t="shared" si="11"/>
        <v>#N/A</v>
      </c>
      <c r="O232" s="42" t="e">
        <f>INDEX(Input!$D$2:$AC$500,
       MATCH(B232, Input!$J$2:$J$500, 0),
       MATCH("Disk Interface Type", Input!$D$1:$AC$1, 0))</f>
        <v>#N/A</v>
      </c>
      <c r="P232" s="42" t="str" cm="1">
        <f t="array" ref="P232">IFERROR(_xlfn.TEXTJOIN(", ", TRUE, _xlfn._xlws.FILTER(
    INDEX(Input!$D$2:$AC$500,,MATCH("Disk Capacity",Input!$D$1:$AC$1,0)),
    Input!$J$2:$J$500=B232
)), "")</f>
        <v/>
      </c>
      <c r="Q232" s="32" t="e">
        <f t="shared" si="10"/>
        <v>#N/A</v>
      </c>
      <c r="R232" s="42" t="e">
        <f>_xlfn.LET(_xlpm.Result,INDEX(Input!$D$2:$AC$500,
       MATCH(B232, Input!$J$2:$J$500, 0),
       MATCH("Capacity", Input!$D$1:$AC$1, 0)),IF(_xlpm.Result="","",_xlpm.Result))</f>
        <v>#N/A</v>
      </c>
      <c r="S232" s="42" t="e" cm="1">
        <f t="array" ref="S232">_xlfn.TEXTSPLIT(R232," / ", ,TRUE,0,)</f>
        <v>#N/A</v>
      </c>
      <c r="T232" s="42"/>
      <c r="U232" s="42" t="str" cm="1">
        <f t="array" ref="U232">IFERROR(_xlfn.IFS(
S232="","",
--S232&lt;55,"Battery Defect",
--S232&lt;=69,"Battery D",
--S232&lt;=80,"Battery C",
--S232&gt;80,""
),"")</f>
        <v/>
      </c>
      <c r="V232" s="42" t="str" cm="1">
        <f t="array" ref="V232">IFERROR(_xlfn.IFS(
T232="","",
--T232&lt;55,"Battery Defect",
--T232&lt;=69,"Battery D",
--T232&lt;=80,"Battery C",
--T232&gt;80,""
),"")</f>
        <v/>
      </c>
      <c r="W232" s="42" t="str" cm="1">
        <f t="array" ref="W232:AD232">IFERROR(IF(_xlfn.XLOOKUP(B232,Input!J:J,Input!N:U)=0,"",
          _xlfn.XLOOKUP(B232,Input!J:J,Input!N:U)),"")</f>
        <v/>
      </c>
      <c r="X232" s="42" t="str">
        <v/>
      </c>
      <c r="Y232" s="42" t="str">
        <v/>
      </c>
      <c r="Z232" s="42" t="str">
        <v/>
      </c>
      <c r="AA232" s="42" t="str">
        <v/>
      </c>
      <c r="AB232" s="42" t="str">
        <v/>
      </c>
      <c r="AC232" s="42" t="str">
        <v/>
      </c>
      <c r="AD232" s="42" t="str">
        <v/>
      </c>
      <c r="AE232" s="32" t="str">
        <f t="shared" si="9"/>
        <v/>
      </c>
      <c r="AF232" s="32" t="str">
        <f>_xlfn.XLOOKUP(B:B,Disk_Pivot!G:G,Disk_Pivot!I:I)</f>
        <v>Yes x2</v>
      </c>
      <c r="AG232" s="32" t="str">
        <f>_xlfn.XLOOKUP(B232,Disk_Pivot!G:G,Disk_Pivot!N:N)</f>
        <v>Pass, Fail</v>
      </c>
      <c r="AH232" s="32"/>
      <c r="AI232" s="32"/>
      <c r="AJ232" s="32"/>
      <c r="AK232" s="32"/>
      <c r="AL232" s="32"/>
      <c r="AM232" s="32"/>
    </row>
    <row r="233" spans="1:39">
      <c r="A233" s="32" t="str">
        <f>_xlfn.XLOOKUP(B233,Input!J:J,Input!G:G)&amp;""</f>
        <v/>
      </c>
      <c r="B233" s="32"/>
      <c r="C233" s="32" t="str">
        <f>_xlfn.XLOOKUP(B233,Input!J:J,Input!H:H)&amp;""</f>
        <v/>
      </c>
      <c r="D233" s="42">
        <f>_xlfn.XLOOKUP(B233,Input!J:J,Input!F:F)</f>
        <v>0</v>
      </c>
      <c r="E233" s="32">
        <f>_xlfn.XLOOKUP(D233,Models!H:H,Models!G:G,D233)</f>
        <v>0</v>
      </c>
      <c r="F233" s="32">
        <f>_xlfn.XLOOKUP(B233,Input!J:J,Input!E:E)</f>
        <v>0</v>
      </c>
      <c r="G233" s="32">
        <f>IF(F233="LENOVO",_xlfn.XLOOKUP(B233,Input!J:J,Input!K:K),_xlfn.XLOOKUP(B233,Input!J:J,Input!L:L))</f>
        <v>0</v>
      </c>
      <c r="H233" s="32"/>
      <c r="I233" s="32"/>
      <c r="J233" s="32">
        <f>_xlfn.XLOOKUP(B233,CPU_Formula!A:A,CPU_Formula!I:I)</f>
        <v>0</v>
      </c>
      <c r="K233" s="42" t="e">
        <f>INDEX(Input!$D$2:$AC$500,
       MATCH(B233, Input!$J$2:$J$500, 0),
       MATCH("Total Memory", Input!$D$1:$AC$1, 0))</f>
        <v>#N/A</v>
      </c>
      <c r="L233" s="42" t="e">
        <f>INDEX(Input!$D$2:$AC$500,
       MATCH(B233, Input!$J$2:$J$500, 0),
       MATCH("Memory Type", Input!$D$1:$AC$1, 0))</f>
        <v>#N/A</v>
      </c>
      <c r="M233" s="42" t="str" cm="1">
        <f t="array" ref="M233">IFERROR(_xlfn.FILTERXML("&lt;t&gt;&lt;s&gt;" &amp; SUBSTITUTE(L233," / ","&lt;/s&gt;&lt;s&gt;") &amp; "&lt;/s&gt;&lt;/t&gt;","(//s[contains(.,'DDR')])[1]"),"")</f>
        <v/>
      </c>
      <c r="N233" s="32" t="e">
        <f t="shared" si="11"/>
        <v>#N/A</v>
      </c>
      <c r="O233" s="42" t="e">
        <f>INDEX(Input!$D$2:$AC$500,
       MATCH(B233, Input!$J$2:$J$500, 0),
       MATCH("Disk Interface Type", Input!$D$1:$AC$1, 0))</f>
        <v>#N/A</v>
      </c>
      <c r="P233" s="42" t="str" cm="1">
        <f t="array" ref="P233">IFERROR(_xlfn.TEXTJOIN(", ", TRUE, _xlfn._xlws.FILTER(
    INDEX(Input!$D$2:$AC$500,,MATCH("Disk Capacity",Input!$D$1:$AC$1,0)),
    Input!$J$2:$J$500=B233
)), "")</f>
        <v/>
      </c>
      <c r="Q233" s="32" t="e">
        <f t="shared" si="10"/>
        <v>#N/A</v>
      </c>
      <c r="R233" s="42" t="e">
        <f>_xlfn.LET(_xlpm.Result,INDEX(Input!$D$2:$AC$500,
       MATCH(B233, Input!$J$2:$J$500, 0),
       MATCH("Capacity", Input!$D$1:$AC$1, 0)),IF(_xlpm.Result="","",_xlpm.Result))</f>
        <v>#N/A</v>
      </c>
      <c r="S233" s="42" t="e" cm="1">
        <f t="array" ref="S233">_xlfn.TEXTSPLIT(R233," / ", ,TRUE,0,)</f>
        <v>#N/A</v>
      </c>
      <c r="T233" s="42"/>
      <c r="U233" s="42" t="str" cm="1">
        <f t="array" ref="U233">IFERROR(_xlfn.IFS(
S233="","",
--S233&lt;55,"Battery Defect",
--S233&lt;=69,"Battery D",
--S233&lt;=80,"Battery C",
--S233&gt;80,""
),"")</f>
        <v/>
      </c>
      <c r="V233" s="42" t="str" cm="1">
        <f t="array" ref="V233">IFERROR(_xlfn.IFS(
T233="","",
--T233&lt;55,"Battery Defect",
--T233&lt;=69,"Battery D",
--T233&lt;=80,"Battery C",
--T233&gt;80,""
),"")</f>
        <v/>
      </c>
      <c r="W233" s="42" t="str" cm="1">
        <f t="array" ref="W233:AD233">IFERROR(IF(_xlfn.XLOOKUP(B233,Input!J:J,Input!N:U)=0,"",
          _xlfn.XLOOKUP(B233,Input!J:J,Input!N:U)),"")</f>
        <v/>
      </c>
      <c r="X233" s="42" t="str">
        <v/>
      </c>
      <c r="Y233" s="42" t="str">
        <v/>
      </c>
      <c r="Z233" s="42" t="str">
        <v/>
      </c>
      <c r="AA233" s="42" t="str">
        <v/>
      </c>
      <c r="AB233" s="42" t="str">
        <v/>
      </c>
      <c r="AC233" s="42" t="str">
        <v/>
      </c>
      <c r="AD233" s="42" t="str">
        <v/>
      </c>
      <c r="AE233" s="32" t="str">
        <f t="shared" si="9"/>
        <v/>
      </c>
      <c r="AF233" s="32" t="str">
        <f>_xlfn.XLOOKUP(B:B,Disk_Pivot!G:G,Disk_Pivot!I:I)</f>
        <v>Yes x2</v>
      </c>
      <c r="AG233" s="32" t="str">
        <f>_xlfn.XLOOKUP(B233,Disk_Pivot!G:G,Disk_Pivot!N:N)</f>
        <v>Pass, Fail</v>
      </c>
      <c r="AH233" s="32"/>
      <c r="AI233" s="32"/>
      <c r="AJ233" s="32"/>
      <c r="AK233" s="32"/>
      <c r="AL233" s="32"/>
      <c r="AM233" s="32"/>
    </row>
    <row r="234" spans="1:39">
      <c r="A234" s="32" t="str">
        <f>_xlfn.XLOOKUP(B234,Input!J:J,Input!G:G)&amp;""</f>
        <v/>
      </c>
      <c r="B234" s="32"/>
      <c r="C234" s="32" t="str">
        <f>_xlfn.XLOOKUP(B234,Input!J:J,Input!H:H)&amp;""</f>
        <v/>
      </c>
      <c r="D234" s="42">
        <f>_xlfn.XLOOKUP(B234,Input!J:J,Input!F:F)</f>
        <v>0</v>
      </c>
      <c r="E234" s="32">
        <f>_xlfn.XLOOKUP(D234,Models!H:H,Models!G:G,D234)</f>
        <v>0</v>
      </c>
      <c r="F234" s="32">
        <f>_xlfn.XLOOKUP(B234,Input!J:J,Input!E:E)</f>
        <v>0</v>
      </c>
      <c r="G234" s="32">
        <f>IF(F234="LENOVO",_xlfn.XLOOKUP(B234,Input!J:J,Input!K:K),_xlfn.XLOOKUP(B234,Input!J:J,Input!L:L))</f>
        <v>0</v>
      </c>
      <c r="H234" s="32"/>
      <c r="I234" s="32"/>
      <c r="J234" s="32">
        <f>_xlfn.XLOOKUP(B234,CPU_Formula!A:A,CPU_Formula!I:I)</f>
        <v>0</v>
      </c>
      <c r="K234" s="42" t="e">
        <f>INDEX(Input!$D$2:$AC$500,
       MATCH(B234, Input!$J$2:$J$500, 0),
       MATCH("Total Memory", Input!$D$1:$AC$1, 0))</f>
        <v>#N/A</v>
      </c>
      <c r="L234" s="42" t="e">
        <f>INDEX(Input!$D$2:$AC$500,
       MATCH(B234, Input!$J$2:$J$500, 0),
       MATCH("Memory Type", Input!$D$1:$AC$1, 0))</f>
        <v>#N/A</v>
      </c>
      <c r="M234" s="42" t="str" cm="1">
        <f t="array" ref="M234">IFERROR(_xlfn.FILTERXML("&lt;t&gt;&lt;s&gt;" &amp; SUBSTITUTE(L234," / ","&lt;/s&gt;&lt;s&gt;") &amp; "&lt;/s&gt;&lt;/t&gt;","(//s[contains(.,'DDR')])[1]"),"")</f>
        <v/>
      </c>
      <c r="N234" s="32" t="e">
        <f t="shared" si="11"/>
        <v>#N/A</v>
      </c>
      <c r="O234" s="42" t="e">
        <f>INDEX(Input!$D$2:$AC$500,
       MATCH(B234, Input!$J$2:$J$500, 0),
       MATCH("Disk Interface Type", Input!$D$1:$AC$1, 0))</f>
        <v>#N/A</v>
      </c>
      <c r="P234" s="42" t="str" cm="1">
        <f t="array" ref="P234">IFERROR(_xlfn.TEXTJOIN(", ", TRUE, _xlfn._xlws.FILTER(
    INDEX(Input!$D$2:$AC$500,,MATCH("Disk Capacity",Input!$D$1:$AC$1,0)),
    Input!$J$2:$J$500=B234
)), "")</f>
        <v/>
      </c>
      <c r="Q234" s="32" t="e">
        <f t="shared" si="10"/>
        <v>#N/A</v>
      </c>
      <c r="R234" s="42" t="e">
        <f>_xlfn.LET(_xlpm.Result,INDEX(Input!$D$2:$AC$500,
       MATCH(B234, Input!$J$2:$J$500, 0),
       MATCH("Capacity", Input!$D$1:$AC$1, 0)),IF(_xlpm.Result="","",_xlpm.Result))</f>
        <v>#N/A</v>
      </c>
      <c r="S234" s="42" t="e" cm="1">
        <f t="array" ref="S234">_xlfn.TEXTSPLIT(R234," / ", ,TRUE,0,)</f>
        <v>#N/A</v>
      </c>
      <c r="T234" s="42"/>
      <c r="U234" s="42" t="str" cm="1">
        <f t="array" ref="U234">IFERROR(_xlfn.IFS(
S234="","",
--S234&lt;55,"Battery Defect",
--S234&lt;=69,"Battery D",
--S234&lt;=80,"Battery C",
--S234&gt;80,""
),"")</f>
        <v/>
      </c>
      <c r="V234" s="42" t="str" cm="1">
        <f t="array" ref="V234">IFERROR(_xlfn.IFS(
T234="","",
--T234&lt;55,"Battery Defect",
--T234&lt;=69,"Battery D",
--T234&lt;=80,"Battery C",
--T234&gt;80,""
),"")</f>
        <v/>
      </c>
      <c r="W234" s="42" t="str" cm="1">
        <f t="array" ref="W234:AD234">IFERROR(IF(_xlfn.XLOOKUP(B234,Input!J:J,Input!N:U)=0,"",
          _xlfn.XLOOKUP(B234,Input!J:J,Input!N:U)),"")</f>
        <v/>
      </c>
      <c r="X234" s="42" t="str">
        <v/>
      </c>
      <c r="Y234" s="42" t="str">
        <v/>
      </c>
      <c r="Z234" s="42" t="str">
        <v/>
      </c>
      <c r="AA234" s="42" t="str">
        <v/>
      </c>
      <c r="AB234" s="42" t="str">
        <v/>
      </c>
      <c r="AC234" s="42" t="str">
        <v/>
      </c>
      <c r="AD234" s="42" t="str">
        <v/>
      </c>
      <c r="AE234" s="32" t="str">
        <f t="shared" si="9"/>
        <v/>
      </c>
      <c r="AF234" s="32" t="str">
        <f>_xlfn.XLOOKUP(B:B,Disk_Pivot!G:G,Disk_Pivot!I:I)</f>
        <v>Yes x2</v>
      </c>
      <c r="AG234" s="32" t="str">
        <f>_xlfn.XLOOKUP(B234,Disk_Pivot!G:G,Disk_Pivot!N:N)</f>
        <v>Pass, Fail</v>
      </c>
      <c r="AH234" s="32"/>
      <c r="AI234" s="32"/>
      <c r="AJ234" s="32"/>
      <c r="AK234" s="32"/>
      <c r="AL234" s="32"/>
      <c r="AM234" s="32"/>
    </row>
    <row r="235" spans="1:39">
      <c r="A235" s="32" t="str">
        <f>_xlfn.XLOOKUP(B235,Input!J:J,Input!G:G)&amp;""</f>
        <v/>
      </c>
      <c r="B235" s="32"/>
      <c r="C235" s="32" t="str">
        <f>_xlfn.XLOOKUP(B235,Input!J:J,Input!H:H)&amp;""</f>
        <v/>
      </c>
      <c r="D235" s="42">
        <f>_xlfn.XLOOKUP(B235,Input!J:J,Input!F:F)</f>
        <v>0</v>
      </c>
      <c r="E235" s="32">
        <f>_xlfn.XLOOKUP(D235,Models!H:H,Models!G:G,D235)</f>
        <v>0</v>
      </c>
      <c r="F235" s="32">
        <f>_xlfn.XLOOKUP(B235,Input!J:J,Input!E:E)</f>
        <v>0</v>
      </c>
      <c r="G235" s="32">
        <f>IF(F235="LENOVO",_xlfn.XLOOKUP(B235,Input!J:J,Input!K:K),_xlfn.XLOOKUP(B235,Input!J:J,Input!L:L))</f>
        <v>0</v>
      </c>
      <c r="H235" s="32"/>
      <c r="I235" s="32"/>
      <c r="J235" s="32">
        <f>_xlfn.XLOOKUP(B235,CPU_Formula!A:A,CPU_Formula!I:I)</f>
        <v>0</v>
      </c>
      <c r="K235" s="42" t="e">
        <f>INDEX(Input!$D$2:$AC$500,
       MATCH(B235, Input!$J$2:$J$500, 0),
       MATCH("Total Memory", Input!$D$1:$AC$1, 0))</f>
        <v>#N/A</v>
      </c>
      <c r="L235" s="42" t="e">
        <f>INDEX(Input!$D$2:$AC$500,
       MATCH(B235, Input!$J$2:$J$500, 0),
       MATCH("Memory Type", Input!$D$1:$AC$1, 0))</f>
        <v>#N/A</v>
      </c>
      <c r="M235" s="42" t="str" cm="1">
        <f t="array" ref="M235">IFERROR(_xlfn.FILTERXML("&lt;t&gt;&lt;s&gt;" &amp; SUBSTITUTE(L235," / ","&lt;/s&gt;&lt;s&gt;") &amp; "&lt;/s&gt;&lt;/t&gt;","(//s[contains(.,'DDR')])[1]"),"")</f>
        <v/>
      </c>
      <c r="N235" s="32" t="e">
        <f t="shared" si="11"/>
        <v>#N/A</v>
      </c>
      <c r="O235" s="42" t="e">
        <f>INDEX(Input!$D$2:$AC$500,
       MATCH(B235, Input!$J$2:$J$500, 0),
       MATCH("Disk Interface Type", Input!$D$1:$AC$1, 0))</f>
        <v>#N/A</v>
      </c>
      <c r="P235" s="42" t="str" cm="1">
        <f t="array" ref="P235">IFERROR(_xlfn.TEXTJOIN(", ", TRUE, _xlfn._xlws.FILTER(
    INDEX(Input!$D$2:$AC$500,,MATCH("Disk Capacity",Input!$D$1:$AC$1,0)),
    Input!$J$2:$J$500=B235
)), "")</f>
        <v/>
      </c>
      <c r="Q235" s="32" t="e">
        <f t="shared" si="10"/>
        <v>#N/A</v>
      </c>
      <c r="R235" s="42" t="e">
        <f>_xlfn.LET(_xlpm.Result,INDEX(Input!$D$2:$AC$500,
       MATCH(B235, Input!$J$2:$J$500, 0),
       MATCH("Capacity", Input!$D$1:$AC$1, 0)),IF(_xlpm.Result="","",_xlpm.Result))</f>
        <v>#N/A</v>
      </c>
      <c r="S235" s="42" t="e" cm="1">
        <f t="array" ref="S235">_xlfn.TEXTSPLIT(R235," / ", ,TRUE,0,)</f>
        <v>#N/A</v>
      </c>
      <c r="T235" s="42"/>
      <c r="U235" s="42" t="str" cm="1">
        <f t="array" ref="U235">IFERROR(_xlfn.IFS(
S235="","",
--S235&lt;55,"Battery Defect",
--S235&lt;=69,"Battery D",
--S235&lt;=80,"Battery C",
--S235&gt;80,""
),"")</f>
        <v/>
      </c>
      <c r="V235" s="42" t="str" cm="1">
        <f t="array" ref="V235">IFERROR(_xlfn.IFS(
T235="","",
--T235&lt;55,"Battery Defect",
--T235&lt;=69,"Battery D",
--T235&lt;=80,"Battery C",
--T235&gt;80,""
),"")</f>
        <v/>
      </c>
      <c r="W235" s="42" t="str" cm="1">
        <f t="array" ref="W235:AD235">IFERROR(IF(_xlfn.XLOOKUP(B235,Input!J:J,Input!N:U)=0,"",
          _xlfn.XLOOKUP(B235,Input!J:J,Input!N:U)),"")</f>
        <v/>
      </c>
      <c r="X235" s="42" t="str">
        <v/>
      </c>
      <c r="Y235" s="42" t="str">
        <v/>
      </c>
      <c r="Z235" s="42" t="str">
        <v/>
      </c>
      <c r="AA235" s="42" t="str">
        <v/>
      </c>
      <c r="AB235" s="42" t="str">
        <v/>
      </c>
      <c r="AC235" s="42" t="str">
        <v/>
      </c>
      <c r="AD235" s="42" t="str">
        <v/>
      </c>
      <c r="AE235" s="32" t="str">
        <f t="shared" si="9"/>
        <v/>
      </c>
      <c r="AF235" s="32" t="str">
        <f>_xlfn.XLOOKUP(B:B,Disk_Pivot!G:G,Disk_Pivot!I:I)</f>
        <v>Yes x2</v>
      </c>
      <c r="AG235" s="32" t="str">
        <f>_xlfn.XLOOKUP(B235,Disk_Pivot!G:G,Disk_Pivot!N:N)</f>
        <v>Pass, Fail</v>
      </c>
      <c r="AH235" s="32"/>
      <c r="AI235" s="32"/>
      <c r="AJ235" s="32"/>
      <c r="AK235" s="32"/>
      <c r="AL235" s="32"/>
      <c r="AM235" s="32"/>
    </row>
    <row r="236" spans="1:39">
      <c r="A236" s="32" t="str">
        <f>_xlfn.XLOOKUP(B236,Input!J:J,Input!G:G)&amp;""</f>
        <v/>
      </c>
      <c r="B236" s="32"/>
      <c r="C236" s="32" t="str">
        <f>_xlfn.XLOOKUP(B236,Input!J:J,Input!H:H)&amp;""</f>
        <v/>
      </c>
      <c r="D236" s="42">
        <f>_xlfn.XLOOKUP(B236,Input!J:J,Input!F:F)</f>
        <v>0</v>
      </c>
      <c r="E236" s="32">
        <f>_xlfn.XLOOKUP(D236,Models!H:H,Models!G:G,D236)</f>
        <v>0</v>
      </c>
      <c r="F236" s="32">
        <f>_xlfn.XLOOKUP(B236,Input!J:J,Input!E:E)</f>
        <v>0</v>
      </c>
      <c r="G236" s="32">
        <f>IF(F236="LENOVO",_xlfn.XLOOKUP(B236,Input!J:J,Input!K:K),_xlfn.XLOOKUP(B236,Input!J:J,Input!L:L))</f>
        <v>0</v>
      </c>
      <c r="H236" s="32"/>
      <c r="I236" s="32"/>
      <c r="J236" s="32">
        <f>_xlfn.XLOOKUP(B236,CPU_Formula!A:A,CPU_Formula!I:I)</f>
        <v>0</v>
      </c>
      <c r="K236" s="42" t="e">
        <f>INDEX(Input!$D$2:$AC$500,
       MATCH(B236, Input!$J$2:$J$500, 0),
       MATCH("Total Memory", Input!$D$1:$AC$1, 0))</f>
        <v>#N/A</v>
      </c>
      <c r="L236" s="42" t="e">
        <f>INDEX(Input!$D$2:$AC$500,
       MATCH(B236, Input!$J$2:$J$500, 0),
       MATCH("Memory Type", Input!$D$1:$AC$1, 0))</f>
        <v>#N/A</v>
      </c>
      <c r="M236" s="42" t="str" cm="1">
        <f t="array" ref="M236">IFERROR(_xlfn.FILTERXML("&lt;t&gt;&lt;s&gt;" &amp; SUBSTITUTE(L236," / ","&lt;/s&gt;&lt;s&gt;") &amp; "&lt;/s&gt;&lt;/t&gt;","(//s[contains(.,'DDR')])[1]"),"")</f>
        <v/>
      </c>
      <c r="N236" s="32" t="e">
        <f t="shared" si="11"/>
        <v>#N/A</v>
      </c>
      <c r="O236" s="42" t="e">
        <f>INDEX(Input!$D$2:$AC$500,
       MATCH(B236, Input!$J$2:$J$500, 0),
       MATCH("Disk Interface Type", Input!$D$1:$AC$1, 0))</f>
        <v>#N/A</v>
      </c>
      <c r="P236" s="42" t="str" cm="1">
        <f t="array" ref="P236">IFERROR(_xlfn.TEXTJOIN(", ", TRUE, _xlfn._xlws.FILTER(
    INDEX(Input!$D$2:$AC$500,,MATCH("Disk Capacity",Input!$D$1:$AC$1,0)),
    Input!$J$2:$J$500=B236
)), "")</f>
        <v/>
      </c>
      <c r="Q236" s="32" t="e">
        <f t="shared" si="10"/>
        <v>#N/A</v>
      </c>
      <c r="R236" s="42" t="e">
        <f>_xlfn.LET(_xlpm.Result,INDEX(Input!$D$2:$AC$500,
       MATCH(B236, Input!$J$2:$J$500, 0),
       MATCH("Capacity", Input!$D$1:$AC$1, 0)),IF(_xlpm.Result="","",_xlpm.Result))</f>
        <v>#N/A</v>
      </c>
      <c r="S236" s="42" t="e" cm="1">
        <f t="array" ref="S236">_xlfn.TEXTSPLIT(R236," / ", ,TRUE,0,)</f>
        <v>#N/A</v>
      </c>
      <c r="T236" s="42"/>
      <c r="U236" s="42" t="str" cm="1">
        <f t="array" ref="U236">IFERROR(_xlfn.IFS(
S236="","",
--S236&lt;55,"Battery Defect",
--S236&lt;=69,"Battery D",
--S236&lt;=80,"Battery C",
--S236&gt;80,""
),"")</f>
        <v/>
      </c>
      <c r="V236" s="42" t="str" cm="1">
        <f t="array" ref="V236">IFERROR(_xlfn.IFS(
T236="","",
--T236&lt;55,"Battery Defect",
--T236&lt;=69,"Battery D",
--T236&lt;=80,"Battery C",
--T236&gt;80,""
),"")</f>
        <v/>
      </c>
      <c r="W236" s="42" t="str" cm="1">
        <f t="array" ref="W236:AD236">IFERROR(IF(_xlfn.XLOOKUP(B236,Input!J:J,Input!N:U)=0,"",
          _xlfn.XLOOKUP(B236,Input!J:J,Input!N:U)),"")</f>
        <v/>
      </c>
      <c r="X236" s="42" t="str">
        <v/>
      </c>
      <c r="Y236" s="42" t="str">
        <v/>
      </c>
      <c r="Z236" s="42" t="str">
        <v/>
      </c>
      <c r="AA236" s="42" t="str">
        <v/>
      </c>
      <c r="AB236" s="42" t="str">
        <v/>
      </c>
      <c r="AC236" s="42" t="str">
        <v/>
      </c>
      <c r="AD236" s="42" t="str">
        <v/>
      </c>
      <c r="AE236" s="32" t="str">
        <f t="shared" si="9"/>
        <v/>
      </c>
      <c r="AF236" s="32" t="str">
        <f>_xlfn.XLOOKUP(B:B,Disk_Pivot!G:G,Disk_Pivot!I:I)</f>
        <v>Yes x2</v>
      </c>
      <c r="AG236" s="32" t="str">
        <f>_xlfn.XLOOKUP(B236,Disk_Pivot!G:G,Disk_Pivot!N:N)</f>
        <v>Pass, Fail</v>
      </c>
      <c r="AH236" s="32"/>
      <c r="AI236" s="32"/>
      <c r="AJ236" s="32"/>
      <c r="AK236" s="32"/>
      <c r="AL236" s="32"/>
      <c r="AM236" s="32"/>
    </row>
    <row r="237" spans="1:39">
      <c r="A237" s="32" t="str">
        <f>_xlfn.XLOOKUP(B237,Input!J:J,Input!G:G)&amp;""</f>
        <v/>
      </c>
      <c r="B237" s="32"/>
      <c r="C237" s="32" t="str">
        <f>_xlfn.XLOOKUP(B237,Input!J:J,Input!H:H)&amp;""</f>
        <v/>
      </c>
      <c r="D237" s="42">
        <f>_xlfn.XLOOKUP(B237,Input!J:J,Input!F:F)</f>
        <v>0</v>
      </c>
      <c r="E237" s="32">
        <f>_xlfn.XLOOKUP(D237,Models!H:H,Models!G:G,D237)</f>
        <v>0</v>
      </c>
      <c r="F237" s="32">
        <f>_xlfn.XLOOKUP(B237,Input!J:J,Input!E:E)</f>
        <v>0</v>
      </c>
      <c r="G237" s="32">
        <f>IF(F237="LENOVO",_xlfn.XLOOKUP(B237,Input!J:J,Input!K:K),_xlfn.XLOOKUP(B237,Input!J:J,Input!L:L))</f>
        <v>0</v>
      </c>
      <c r="H237" s="32"/>
      <c r="I237" s="32"/>
      <c r="J237" s="32">
        <f>_xlfn.XLOOKUP(B237,CPU_Formula!A:A,CPU_Formula!I:I)</f>
        <v>0</v>
      </c>
      <c r="K237" s="42" t="e">
        <f>INDEX(Input!$D$2:$AC$500,
       MATCH(B237, Input!$J$2:$J$500, 0),
       MATCH("Total Memory", Input!$D$1:$AC$1, 0))</f>
        <v>#N/A</v>
      </c>
      <c r="L237" s="42" t="e">
        <f>INDEX(Input!$D$2:$AC$500,
       MATCH(B237, Input!$J$2:$J$500, 0),
       MATCH("Memory Type", Input!$D$1:$AC$1, 0))</f>
        <v>#N/A</v>
      </c>
      <c r="M237" s="42" t="str" cm="1">
        <f t="array" ref="M237">IFERROR(_xlfn.FILTERXML("&lt;t&gt;&lt;s&gt;" &amp; SUBSTITUTE(L237," / ","&lt;/s&gt;&lt;s&gt;") &amp; "&lt;/s&gt;&lt;/t&gt;","(//s[contains(.,'DDR')])[1]"),"")</f>
        <v/>
      </c>
      <c r="N237" s="32" t="e">
        <f t="shared" si="11"/>
        <v>#N/A</v>
      </c>
      <c r="O237" s="42" t="e">
        <f>INDEX(Input!$D$2:$AC$500,
       MATCH(B237, Input!$J$2:$J$500, 0),
       MATCH("Disk Interface Type", Input!$D$1:$AC$1, 0))</f>
        <v>#N/A</v>
      </c>
      <c r="P237" s="42" t="str" cm="1">
        <f t="array" ref="P237">IFERROR(_xlfn.TEXTJOIN(", ", TRUE, _xlfn._xlws.FILTER(
    INDEX(Input!$D$2:$AC$500,,MATCH("Disk Capacity",Input!$D$1:$AC$1,0)),
    Input!$J$2:$J$500=B237
)), "")</f>
        <v/>
      </c>
      <c r="Q237" s="32" t="e">
        <f t="shared" si="10"/>
        <v>#N/A</v>
      </c>
      <c r="R237" s="42" t="e">
        <f>_xlfn.LET(_xlpm.Result,INDEX(Input!$D$2:$AC$500,
       MATCH(B237, Input!$J$2:$J$500, 0),
       MATCH("Capacity", Input!$D$1:$AC$1, 0)),IF(_xlpm.Result="","",_xlpm.Result))</f>
        <v>#N/A</v>
      </c>
      <c r="S237" s="42" t="e" cm="1">
        <f t="array" ref="S237">_xlfn.TEXTSPLIT(R237," / ", ,TRUE,0,)</f>
        <v>#N/A</v>
      </c>
      <c r="T237" s="42"/>
      <c r="U237" s="42" t="str" cm="1">
        <f t="array" ref="U237">IFERROR(_xlfn.IFS(
S237="","",
--S237&lt;55,"Battery Defect",
--S237&lt;=69,"Battery D",
--S237&lt;=80,"Battery C",
--S237&gt;80,""
),"")</f>
        <v/>
      </c>
      <c r="V237" s="42" t="str" cm="1">
        <f t="array" ref="V237">IFERROR(_xlfn.IFS(
T237="","",
--T237&lt;55,"Battery Defect",
--T237&lt;=69,"Battery D",
--T237&lt;=80,"Battery C",
--T237&gt;80,""
),"")</f>
        <v/>
      </c>
      <c r="W237" s="42" t="str" cm="1">
        <f t="array" ref="W237:AD237">IFERROR(IF(_xlfn.XLOOKUP(B237,Input!J:J,Input!N:U)=0,"",
          _xlfn.XLOOKUP(B237,Input!J:J,Input!N:U)),"")</f>
        <v/>
      </c>
      <c r="X237" s="42" t="str">
        <v/>
      </c>
      <c r="Y237" s="42" t="str">
        <v/>
      </c>
      <c r="Z237" s="42" t="str">
        <v/>
      </c>
      <c r="AA237" s="42" t="str">
        <v/>
      </c>
      <c r="AB237" s="42" t="str">
        <v/>
      </c>
      <c r="AC237" s="42" t="str">
        <v/>
      </c>
      <c r="AD237" s="42" t="str">
        <v/>
      </c>
      <c r="AE237" s="32" t="str">
        <f t="shared" si="9"/>
        <v/>
      </c>
      <c r="AF237" s="32" t="str">
        <f>_xlfn.XLOOKUP(B:B,Disk_Pivot!G:G,Disk_Pivot!I:I)</f>
        <v>Yes x2</v>
      </c>
      <c r="AG237" s="32" t="str">
        <f>_xlfn.XLOOKUP(B237,Disk_Pivot!G:G,Disk_Pivot!N:N)</f>
        <v>Pass, Fail</v>
      </c>
      <c r="AH237" s="32"/>
      <c r="AI237" s="32"/>
      <c r="AJ237" s="32"/>
      <c r="AK237" s="32"/>
      <c r="AL237" s="32"/>
      <c r="AM237" s="32"/>
    </row>
    <row r="238" spans="1:39">
      <c r="A238" s="32" t="str">
        <f>_xlfn.XLOOKUP(B238,Input!J:J,Input!G:G)&amp;""</f>
        <v/>
      </c>
      <c r="B238" s="32"/>
      <c r="C238" s="32" t="str">
        <f>_xlfn.XLOOKUP(B238,Input!J:J,Input!H:H)&amp;""</f>
        <v/>
      </c>
      <c r="D238" s="42">
        <f>_xlfn.XLOOKUP(B238,Input!J:J,Input!F:F)</f>
        <v>0</v>
      </c>
      <c r="E238" s="32">
        <f>_xlfn.XLOOKUP(D238,Models!H:H,Models!G:G,D238)</f>
        <v>0</v>
      </c>
      <c r="F238" s="32">
        <f>_xlfn.XLOOKUP(B238,Input!J:J,Input!E:E)</f>
        <v>0</v>
      </c>
      <c r="G238" s="32">
        <f>IF(F238="LENOVO",_xlfn.XLOOKUP(B238,Input!J:J,Input!K:K),_xlfn.XLOOKUP(B238,Input!J:J,Input!L:L))</f>
        <v>0</v>
      </c>
      <c r="H238" s="32"/>
      <c r="I238" s="32"/>
      <c r="J238" s="32">
        <f>_xlfn.XLOOKUP(B238,CPU_Formula!A:A,CPU_Formula!I:I)</f>
        <v>0</v>
      </c>
      <c r="K238" s="42" t="e">
        <f>INDEX(Input!$D$2:$AC$500,
       MATCH(B238, Input!$J$2:$J$500, 0),
       MATCH("Total Memory", Input!$D$1:$AC$1, 0))</f>
        <v>#N/A</v>
      </c>
      <c r="L238" s="42" t="e">
        <f>INDEX(Input!$D$2:$AC$500,
       MATCH(B238, Input!$J$2:$J$500, 0),
       MATCH("Memory Type", Input!$D$1:$AC$1, 0))</f>
        <v>#N/A</v>
      </c>
      <c r="M238" s="42" t="str" cm="1">
        <f t="array" ref="M238">IFERROR(_xlfn.FILTERXML("&lt;t&gt;&lt;s&gt;" &amp; SUBSTITUTE(L238," / ","&lt;/s&gt;&lt;s&gt;") &amp; "&lt;/s&gt;&lt;/t&gt;","(//s[contains(.,'DDR')])[1]"),"")</f>
        <v/>
      </c>
      <c r="N238" s="32" t="e">
        <f t="shared" si="11"/>
        <v>#N/A</v>
      </c>
      <c r="O238" s="42" t="e">
        <f>INDEX(Input!$D$2:$AC$500,
       MATCH(B238, Input!$J$2:$J$500, 0),
       MATCH("Disk Interface Type", Input!$D$1:$AC$1, 0))</f>
        <v>#N/A</v>
      </c>
      <c r="P238" s="42" t="str" cm="1">
        <f t="array" ref="P238">IFERROR(_xlfn.TEXTJOIN(", ", TRUE, _xlfn._xlws.FILTER(
    INDEX(Input!$D$2:$AC$500,,MATCH("Disk Capacity",Input!$D$1:$AC$1,0)),
    Input!$J$2:$J$500=B238
)), "")</f>
        <v/>
      </c>
      <c r="Q238" s="32" t="e">
        <f t="shared" si="10"/>
        <v>#N/A</v>
      </c>
      <c r="R238" s="42" t="e">
        <f>_xlfn.LET(_xlpm.Result,INDEX(Input!$D$2:$AC$500,
       MATCH(B238, Input!$J$2:$J$500, 0),
       MATCH("Capacity", Input!$D$1:$AC$1, 0)),IF(_xlpm.Result="","",_xlpm.Result))</f>
        <v>#N/A</v>
      </c>
      <c r="S238" s="42" t="e" cm="1">
        <f t="array" ref="S238">_xlfn.TEXTSPLIT(R238," / ", ,TRUE,0,)</f>
        <v>#N/A</v>
      </c>
      <c r="T238" s="42"/>
      <c r="U238" s="42" t="str" cm="1">
        <f t="array" ref="U238">IFERROR(_xlfn.IFS(
S238="","",
--S238&lt;55,"Battery Defect",
--S238&lt;=69,"Battery D",
--S238&lt;=80,"Battery C",
--S238&gt;80,""
),"")</f>
        <v/>
      </c>
      <c r="V238" s="42" t="str" cm="1">
        <f t="array" ref="V238">IFERROR(_xlfn.IFS(
T238="","",
--T238&lt;55,"Battery Defect",
--T238&lt;=69,"Battery D",
--T238&lt;=80,"Battery C",
--T238&gt;80,""
),"")</f>
        <v/>
      </c>
      <c r="W238" s="42" t="str" cm="1">
        <f t="array" ref="W238:AD238">IFERROR(IF(_xlfn.XLOOKUP(B238,Input!J:J,Input!N:U)=0,"",
          _xlfn.XLOOKUP(B238,Input!J:J,Input!N:U)),"")</f>
        <v/>
      </c>
      <c r="X238" s="42" t="str">
        <v/>
      </c>
      <c r="Y238" s="42" t="str">
        <v/>
      </c>
      <c r="Z238" s="42" t="str">
        <v/>
      </c>
      <c r="AA238" s="42" t="str">
        <v/>
      </c>
      <c r="AB238" s="42" t="str">
        <v/>
      </c>
      <c r="AC238" s="42" t="str">
        <v/>
      </c>
      <c r="AD238" s="42" t="str">
        <v/>
      </c>
      <c r="AE238" s="32" t="str">
        <f t="shared" si="9"/>
        <v/>
      </c>
      <c r="AF238" s="32" t="str">
        <f>_xlfn.XLOOKUP(B:B,Disk_Pivot!G:G,Disk_Pivot!I:I)</f>
        <v>Yes x2</v>
      </c>
      <c r="AG238" s="32" t="str">
        <f>_xlfn.XLOOKUP(B238,Disk_Pivot!G:G,Disk_Pivot!N:N)</f>
        <v>Pass, Fail</v>
      </c>
      <c r="AH238" s="32"/>
      <c r="AI238" s="32"/>
      <c r="AJ238" s="32"/>
      <c r="AK238" s="32"/>
      <c r="AL238" s="32"/>
      <c r="AM238" s="32"/>
    </row>
    <row r="239" spans="1:39">
      <c r="A239" s="32" t="str">
        <f>_xlfn.XLOOKUP(B239,Input!J:J,Input!G:G)&amp;""</f>
        <v/>
      </c>
      <c r="B239" s="32"/>
      <c r="C239" s="32" t="str">
        <f>_xlfn.XLOOKUP(B239,Input!J:J,Input!H:H)&amp;""</f>
        <v/>
      </c>
      <c r="D239" s="42">
        <f>_xlfn.XLOOKUP(B239,Input!J:J,Input!F:F)</f>
        <v>0</v>
      </c>
      <c r="E239" s="32">
        <f>_xlfn.XLOOKUP(D239,Models!H:H,Models!G:G,D239)</f>
        <v>0</v>
      </c>
      <c r="F239" s="32">
        <f>_xlfn.XLOOKUP(B239,Input!J:J,Input!E:E)</f>
        <v>0</v>
      </c>
      <c r="G239" s="32">
        <f>IF(F239="LENOVO",_xlfn.XLOOKUP(B239,Input!J:J,Input!K:K),_xlfn.XLOOKUP(B239,Input!J:J,Input!L:L))</f>
        <v>0</v>
      </c>
      <c r="H239" s="32"/>
      <c r="I239" s="32"/>
      <c r="J239" s="32">
        <f>_xlfn.XLOOKUP(B239,CPU_Formula!A:A,CPU_Formula!I:I)</f>
        <v>0</v>
      </c>
      <c r="K239" s="42" t="e">
        <f>INDEX(Input!$D$2:$AC$500,
       MATCH(B239, Input!$J$2:$J$500, 0),
       MATCH("Total Memory", Input!$D$1:$AC$1, 0))</f>
        <v>#N/A</v>
      </c>
      <c r="L239" s="42" t="e">
        <f>INDEX(Input!$D$2:$AC$500,
       MATCH(B239, Input!$J$2:$J$500, 0),
       MATCH("Memory Type", Input!$D$1:$AC$1, 0))</f>
        <v>#N/A</v>
      </c>
      <c r="M239" s="42" t="str" cm="1">
        <f t="array" ref="M239">IFERROR(_xlfn.FILTERXML("&lt;t&gt;&lt;s&gt;" &amp; SUBSTITUTE(L239," / ","&lt;/s&gt;&lt;s&gt;") &amp; "&lt;/s&gt;&lt;/t&gt;","(//s[contains(.,'DDR')])[1]"),"")</f>
        <v/>
      </c>
      <c r="N239" s="32" t="e">
        <f t="shared" si="11"/>
        <v>#N/A</v>
      </c>
      <c r="O239" s="42" t="e">
        <f>INDEX(Input!$D$2:$AC$500,
       MATCH(B239, Input!$J$2:$J$500, 0),
       MATCH("Disk Interface Type", Input!$D$1:$AC$1, 0))</f>
        <v>#N/A</v>
      </c>
      <c r="P239" s="42" t="str" cm="1">
        <f t="array" ref="P239">IFERROR(_xlfn.TEXTJOIN(", ", TRUE, _xlfn._xlws.FILTER(
    INDEX(Input!$D$2:$AC$500,,MATCH("Disk Capacity",Input!$D$1:$AC$1,0)),
    Input!$J$2:$J$500=B239
)), "")</f>
        <v/>
      </c>
      <c r="Q239" s="32" t="e">
        <f t="shared" si="10"/>
        <v>#N/A</v>
      </c>
      <c r="R239" s="42" t="e">
        <f>_xlfn.LET(_xlpm.Result,INDEX(Input!$D$2:$AC$500,
       MATCH(B239, Input!$J$2:$J$500, 0),
       MATCH("Capacity", Input!$D$1:$AC$1, 0)),IF(_xlpm.Result="","",_xlpm.Result))</f>
        <v>#N/A</v>
      </c>
      <c r="S239" s="42" t="e" cm="1">
        <f t="array" ref="S239">_xlfn.TEXTSPLIT(R239," / ", ,TRUE,0,)</f>
        <v>#N/A</v>
      </c>
      <c r="T239" s="42"/>
      <c r="U239" s="42" t="str" cm="1">
        <f t="array" ref="U239">IFERROR(_xlfn.IFS(
S239="","",
--S239&lt;55,"Battery Defect",
--S239&lt;=69,"Battery D",
--S239&lt;=80,"Battery C",
--S239&gt;80,""
),"")</f>
        <v/>
      </c>
      <c r="V239" s="42" t="str" cm="1">
        <f t="array" ref="V239">IFERROR(_xlfn.IFS(
T239="","",
--T239&lt;55,"Battery Defect",
--T239&lt;=69,"Battery D",
--T239&lt;=80,"Battery C",
--T239&gt;80,""
),"")</f>
        <v/>
      </c>
      <c r="W239" s="42" t="str" cm="1">
        <f t="array" ref="W239:AD239">IFERROR(IF(_xlfn.XLOOKUP(B239,Input!J:J,Input!N:U)=0,"",
          _xlfn.XLOOKUP(B239,Input!J:J,Input!N:U)),"")</f>
        <v/>
      </c>
      <c r="X239" s="42" t="str">
        <v/>
      </c>
      <c r="Y239" s="42" t="str">
        <v/>
      </c>
      <c r="Z239" s="42" t="str">
        <v/>
      </c>
      <c r="AA239" s="42" t="str">
        <v/>
      </c>
      <c r="AB239" s="42" t="str">
        <v/>
      </c>
      <c r="AC239" s="42" t="str">
        <v/>
      </c>
      <c r="AD239" s="42" t="str">
        <v/>
      </c>
      <c r="AE239" s="32" t="str">
        <f t="shared" si="9"/>
        <v/>
      </c>
      <c r="AF239" s="32" t="str">
        <f>_xlfn.XLOOKUP(B:B,Disk_Pivot!G:G,Disk_Pivot!I:I)</f>
        <v>Yes x2</v>
      </c>
      <c r="AG239" s="32" t="str">
        <f>_xlfn.XLOOKUP(B239,Disk_Pivot!G:G,Disk_Pivot!N:N)</f>
        <v>Pass, Fail</v>
      </c>
      <c r="AH239" s="32"/>
      <c r="AI239" s="32"/>
      <c r="AJ239" s="32"/>
      <c r="AK239" s="32"/>
      <c r="AL239" s="32"/>
      <c r="AM239" s="32"/>
    </row>
    <row r="240" spans="1:39">
      <c r="A240" s="32" t="str">
        <f>_xlfn.XLOOKUP(B240,Input!J:J,Input!G:G)&amp;""</f>
        <v/>
      </c>
      <c r="B240" s="32"/>
      <c r="C240" s="32" t="str">
        <f>_xlfn.XLOOKUP(B240,Input!J:J,Input!H:H)&amp;""</f>
        <v/>
      </c>
      <c r="D240" s="42">
        <f>_xlfn.XLOOKUP(B240,Input!J:J,Input!F:F)</f>
        <v>0</v>
      </c>
      <c r="E240" s="32">
        <f>_xlfn.XLOOKUP(D240,Models!H:H,Models!G:G,D240)</f>
        <v>0</v>
      </c>
      <c r="F240" s="32">
        <f>_xlfn.XLOOKUP(B240,Input!J:J,Input!E:E)</f>
        <v>0</v>
      </c>
      <c r="G240" s="32">
        <f>IF(F240="LENOVO",_xlfn.XLOOKUP(B240,Input!J:J,Input!K:K),_xlfn.XLOOKUP(B240,Input!J:J,Input!L:L))</f>
        <v>0</v>
      </c>
      <c r="H240" s="32"/>
      <c r="I240" s="32"/>
      <c r="J240" s="32">
        <f>_xlfn.XLOOKUP(B240,CPU_Formula!A:A,CPU_Formula!I:I)</f>
        <v>0</v>
      </c>
      <c r="K240" s="42" t="e">
        <f>INDEX(Input!$D$2:$AC$500,
       MATCH(B240, Input!$J$2:$J$500, 0),
       MATCH("Total Memory", Input!$D$1:$AC$1, 0))</f>
        <v>#N/A</v>
      </c>
      <c r="L240" s="42" t="e">
        <f>INDEX(Input!$D$2:$AC$500,
       MATCH(B240, Input!$J$2:$J$500, 0),
       MATCH("Memory Type", Input!$D$1:$AC$1, 0))</f>
        <v>#N/A</v>
      </c>
      <c r="M240" s="42" t="str" cm="1">
        <f t="array" ref="M240">IFERROR(_xlfn.FILTERXML("&lt;t&gt;&lt;s&gt;" &amp; SUBSTITUTE(L240," / ","&lt;/s&gt;&lt;s&gt;") &amp; "&lt;/s&gt;&lt;/t&gt;","(//s[contains(.,'DDR')])[1]"),"")</f>
        <v/>
      </c>
      <c r="N240" s="32" t="e">
        <f t="shared" si="11"/>
        <v>#N/A</v>
      </c>
      <c r="O240" s="42" t="e">
        <f>INDEX(Input!$D$2:$AC$500,
       MATCH(B240, Input!$J$2:$J$500, 0),
       MATCH("Disk Interface Type", Input!$D$1:$AC$1, 0))</f>
        <v>#N/A</v>
      </c>
      <c r="P240" s="42" t="str" cm="1">
        <f t="array" ref="P240">IFERROR(_xlfn.TEXTJOIN(", ", TRUE, _xlfn._xlws.FILTER(
    INDEX(Input!$D$2:$AC$500,,MATCH("Disk Capacity",Input!$D$1:$AC$1,0)),
    Input!$J$2:$J$500=B240
)), "")</f>
        <v/>
      </c>
      <c r="Q240" s="32" t="e">
        <f t="shared" si="10"/>
        <v>#N/A</v>
      </c>
      <c r="R240" s="42" t="e">
        <f>_xlfn.LET(_xlpm.Result,INDEX(Input!$D$2:$AC$500,
       MATCH(B240, Input!$J$2:$J$500, 0),
       MATCH("Capacity", Input!$D$1:$AC$1, 0)),IF(_xlpm.Result="","",_xlpm.Result))</f>
        <v>#N/A</v>
      </c>
      <c r="S240" s="42" t="e" cm="1">
        <f t="array" ref="S240">_xlfn.TEXTSPLIT(R240," / ", ,TRUE,0,)</f>
        <v>#N/A</v>
      </c>
      <c r="T240" s="42"/>
      <c r="U240" s="42" t="str" cm="1">
        <f t="array" ref="U240">IFERROR(_xlfn.IFS(
S240="","",
--S240&lt;55,"Battery Defect",
--S240&lt;=69,"Battery D",
--S240&lt;=80,"Battery C",
--S240&gt;80,""
),"")</f>
        <v/>
      </c>
      <c r="V240" s="42" t="str" cm="1">
        <f t="array" ref="V240">IFERROR(_xlfn.IFS(
T240="","",
--T240&lt;55,"Battery Defect",
--T240&lt;=69,"Battery D",
--T240&lt;=80,"Battery C",
--T240&gt;80,""
),"")</f>
        <v/>
      </c>
      <c r="W240" s="42" t="str" cm="1">
        <f t="array" ref="W240:AD240">IFERROR(IF(_xlfn.XLOOKUP(B240,Input!J:J,Input!N:U)=0,"",
          _xlfn.XLOOKUP(B240,Input!J:J,Input!N:U)),"")</f>
        <v/>
      </c>
      <c r="X240" s="42" t="str">
        <v/>
      </c>
      <c r="Y240" s="42" t="str">
        <v/>
      </c>
      <c r="Z240" s="42" t="str">
        <v/>
      </c>
      <c r="AA240" s="42" t="str">
        <v/>
      </c>
      <c r="AB240" s="42" t="str">
        <v/>
      </c>
      <c r="AC240" s="42" t="str">
        <v/>
      </c>
      <c r="AD240" s="42" t="str">
        <v/>
      </c>
      <c r="AE240" s="32" t="str">
        <f t="shared" si="9"/>
        <v/>
      </c>
      <c r="AF240" s="32" t="str">
        <f>_xlfn.XLOOKUP(B:B,Disk_Pivot!G:G,Disk_Pivot!I:I)</f>
        <v>Yes x2</v>
      </c>
      <c r="AG240" s="32" t="str">
        <f>_xlfn.XLOOKUP(B240,Disk_Pivot!G:G,Disk_Pivot!N:N)</f>
        <v>Pass, Fail</v>
      </c>
      <c r="AH240" s="32"/>
      <c r="AI240" s="32"/>
      <c r="AJ240" s="32"/>
      <c r="AK240" s="32"/>
      <c r="AL240" s="32"/>
      <c r="AM240" s="32"/>
    </row>
    <row r="241" spans="1:39">
      <c r="A241" s="32" t="str">
        <f>_xlfn.XLOOKUP(B241,Input!J:J,Input!G:G)&amp;""</f>
        <v/>
      </c>
      <c r="B241" s="32"/>
      <c r="C241" s="32" t="str">
        <f>_xlfn.XLOOKUP(B241,Input!J:J,Input!H:H)&amp;""</f>
        <v/>
      </c>
      <c r="D241" s="42">
        <f>_xlfn.XLOOKUP(B241,Input!J:J,Input!F:F)</f>
        <v>0</v>
      </c>
      <c r="E241" s="32">
        <f>_xlfn.XLOOKUP(D241,Models!H:H,Models!G:G,D241)</f>
        <v>0</v>
      </c>
      <c r="F241" s="32">
        <f>_xlfn.XLOOKUP(B241,Input!J:J,Input!E:E)</f>
        <v>0</v>
      </c>
      <c r="G241" s="32">
        <f>IF(F241="LENOVO",_xlfn.XLOOKUP(B241,Input!J:J,Input!K:K),_xlfn.XLOOKUP(B241,Input!J:J,Input!L:L))</f>
        <v>0</v>
      </c>
      <c r="H241" s="32"/>
      <c r="I241" s="32"/>
      <c r="J241" s="32">
        <f>_xlfn.XLOOKUP(B241,CPU_Formula!A:A,CPU_Formula!I:I)</f>
        <v>0</v>
      </c>
      <c r="K241" s="42" t="e">
        <f>INDEX(Input!$D$2:$AC$500,
       MATCH(B241, Input!$J$2:$J$500, 0),
       MATCH("Total Memory", Input!$D$1:$AC$1, 0))</f>
        <v>#N/A</v>
      </c>
      <c r="L241" s="42" t="e">
        <f>INDEX(Input!$D$2:$AC$500,
       MATCH(B241, Input!$J$2:$J$500, 0),
       MATCH("Memory Type", Input!$D$1:$AC$1, 0))</f>
        <v>#N/A</v>
      </c>
      <c r="M241" s="42" t="str" cm="1">
        <f t="array" ref="M241">IFERROR(_xlfn.FILTERXML("&lt;t&gt;&lt;s&gt;" &amp; SUBSTITUTE(L241," / ","&lt;/s&gt;&lt;s&gt;") &amp; "&lt;/s&gt;&lt;/t&gt;","(//s[contains(.,'DDR')])[1]"),"")</f>
        <v/>
      </c>
      <c r="N241" s="32" t="e">
        <f t="shared" si="11"/>
        <v>#N/A</v>
      </c>
      <c r="O241" s="42" t="e">
        <f>INDEX(Input!$D$2:$AC$500,
       MATCH(B241, Input!$J$2:$J$500, 0),
       MATCH("Disk Interface Type", Input!$D$1:$AC$1, 0))</f>
        <v>#N/A</v>
      </c>
      <c r="P241" s="42" t="str" cm="1">
        <f t="array" ref="P241">IFERROR(_xlfn.TEXTJOIN(", ", TRUE, _xlfn._xlws.FILTER(
    INDEX(Input!$D$2:$AC$500,,MATCH("Disk Capacity",Input!$D$1:$AC$1,0)),
    Input!$J$2:$J$500=B241
)), "")</f>
        <v/>
      </c>
      <c r="Q241" s="32" t="e">
        <f t="shared" si="10"/>
        <v>#N/A</v>
      </c>
      <c r="R241" s="42" t="e">
        <f>_xlfn.LET(_xlpm.Result,INDEX(Input!$D$2:$AC$500,
       MATCH(B241, Input!$J$2:$J$500, 0),
       MATCH("Capacity", Input!$D$1:$AC$1, 0)),IF(_xlpm.Result="","",_xlpm.Result))</f>
        <v>#N/A</v>
      </c>
      <c r="S241" s="42" t="e" cm="1">
        <f t="array" ref="S241">_xlfn.TEXTSPLIT(R241," / ", ,TRUE,0,)</f>
        <v>#N/A</v>
      </c>
      <c r="T241" s="42"/>
      <c r="U241" s="42" t="str" cm="1">
        <f t="array" ref="U241">IFERROR(_xlfn.IFS(
S241="","",
--S241&lt;55,"Battery Defect",
--S241&lt;=69,"Battery D",
--S241&lt;=80,"Battery C",
--S241&gt;80,""
),"")</f>
        <v/>
      </c>
      <c r="V241" s="42" t="str" cm="1">
        <f t="array" ref="V241">IFERROR(_xlfn.IFS(
T241="","",
--T241&lt;55,"Battery Defect",
--T241&lt;=69,"Battery D",
--T241&lt;=80,"Battery C",
--T241&gt;80,""
),"")</f>
        <v/>
      </c>
      <c r="W241" s="42" t="str" cm="1">
        <f t="array" ref="W241:AD241">IFERROR(IF(_xlfn.XLOOKUP(B241,Input!J:J,Input!N:U)=0,"",
          _xlfn.XLOOKUP(B241,Input!J:J,Input!N:U)),"")</f>
        <v/>
      </c>
      <c r="X241" s="42" t="str">
        <v/>
      </c>
      <c r="Y241" s="42" t="str">
        <v/>
      </c>
      <c r="Z241" s="42" t="str">
        <v/>
      </c>
      <c r="AA241" s="42" t="str">
        <v/>
      </c>
      <c r="AB241" s="42" t="str">
        <v/>
      </c>
      <c r="AC241" s="42" t="str">
        <v/>
      </c>
      <c r="AD241" s="42" t="str">
        <v/>
      </c>
      <c r="AE241" s="32" t="str">
        <f t="shared" si="9"/>
        <v/>
      </c>
      <c r="AF241" s="32" t="str">
        <f>_xlfn.XLOOKUP(B:B,Disk_Pivot!G:G,Disk_Pivot!I:I)</f>
        <v>Yes x2</v>
      </c>
      <c r="AG241" s="32" t="str">
        <f>_xlfn.XLOOKUP(B241,Disk_Pivot!G:G,Disk_Pivot!N:N)</f>
        <v>Pass, Fail</v>
      </c>
      <c r="AH241" s="32"/>
      <c r="AI241" s="32"/>
      <c r="AJ241" s="32"/>
      <c r="AK241" s="32"/>
      <c r="AL241" s="32"/>
      <c r="AM241" s="32"/>
    </row>
    <row r="242" spans="1:39">
      <c r="A242" s="32" t="str">
        <f>_xlfn.XLOOKUP(B242,Input!J:J,Input!G:G)&amp;""</f>
        <v/>
      </c>
      <c r="B242" s="32"/>
      <c r="C242" s="32" t="str">
        <f>_xlfn.XLOOKUP(B242,Input!J:J,Input!H:H)&amp;""</f>
        <v/>
      </c>
      <c r="D242" s="42">
        <f>_xlfn.XLOOKUP(B242,Input!J:J,Input!F:F)</f>
        <v>0</v>
      </c>
      <c r="E242" s="32">
        <f>_xlfn.XLOOKUP(D242,Models!H:H,Models!G:G,D242)</f>
        <v>0</v>
      </c>
      <c r="F242" s="32">
        <f>_xlfn.XLOOKUP(B242,Input!J:J,Input!E:E)</f>
        <v>0</v>
      </c>
      <c r="G242" s="32">
        <f>IF(F242="LENOVO",_xlfn.XLOOKUP(B242,Input!J:J,Input!K:K),_xlfn.XLOOKUP(B242,Input!J:J,Input!L:L))</f>
        <v>0</v>
      </c>
      <c r="H242" s="32"/>
      <c r="I242" s="32"/>
      <c r="J242" s="32">
        <f>_xlfn.XLOOKUP(B242,CPU_Formula!A:A,CPU_Formula!I:I)</f>
        <v>0</v>
      </c>
      <c r="K242" s="42" t="e">
        <f>INDEX(Input!$D$2:$AC$500,
       MATCH(B242, Input!$J$2:$J$500, 0),
       MATCH("Total Memory", Input!$D$1:$AC$1, 0))</f>
        <v>#N/A</v>
      </c>
      <c r="L242" s="42" t="e">
        <f>INDEX(Input!$D$2:$AC$500,
       MATCH(B242, Input!$J$2:$J$500, 0),
       MATCH("Memory Type", Input!$D$1:$AC$1, 0))</f>
        <v>#N/A</v>
      </c>
      <c r="M242" s="42" t="str" cm="1">
        <f t="array" ref="M242">IFERROR(_xlfn.FILTERXML("&lt;t&gt;&lt;s&gt;" &amp; SUBSTITUTE(L242," / ","&lt;/s&gt;&lt;s&gt;") &amp; "&lt;/s&gt;&lt;/t&gt;","(//s[contains(.,'DDR')])[1]"),"")</f>
        <v/>
      </c>
      <c r="N242" s="32" t="e">
        <f t="shared" si="11"/>
        <v>#N/A</v>
      </c>
      <c r="O242" s="42" t="e">
        <f>INDEX(Input!$D$2:$AC$500,
       MATCH(B242, Input!$J$2:$J$500, 0),
       MATCH("Disk Interface Type", Input!$D$1:$AC$1, 0))</f>
        <v>#N/A</v>
      </c>
      <c r="P242" s="42" t="str" cm="1">
        <f t="array" ref="P242">IFERROR(_xlfn.TEXTJOIN(", ", TRUE, _xlfn._xlws.FILTER(
    INDEX(Input!$D$2:$AC$500,,MATCH("Disk Capacity",Input!$D$1:$AC$1,0)),
    Input!$J$2:$J$500=B242
)), "")</f>
        <v/>
      </c>
      <c r="Q242" s="32" t="e">
        <f t="shared" si="10"/>
        <v>#N/A</v>
      </c>
      <c r="R242" s="42" t="e">
        <f>_xlfn.LET(_xlpm.Result,INDEX(Input!$D$2:$AC$500,
       MATCH(B242, Input!$J$2:$J$500, 0),
       MATCH("Capacity", Input!$D$1:$AC$1, 0)),IF(_xlpm.Result="","",_xlpm.Result))</f>
        <v>#N/A</v>
      </c>
      <c r="S242" s="42" t="e" cm="1">
        <f t="array" ref="S242">_xlfn.TEXTSPLIT(R242," / ", ,TRUE,0,)</f>
        <v>#N/A</v>
      </c>
      <c r="T242" s="42"/>
      <c r="U242" s="42" t="str" cm="1">
        <f t="array" ref="U242">IFERROR(_xlfn.IFS(
S242="","",
--S242&lt;55,"Battery Defect",
--S242&lt;=69,"Battery D",
--S242&lt;=80,"Battery C",
--S242&gt;80,""
),"")</f>
        <v/>
      </c>
      <c r="V242" s="42" t="str" cm="1">
        <f t="array" ref="V242">IFERROR(_xlfn.IFS(
T242="","",
--T242&lt;55,"Battery Defect",
--T242&lt;=69,"Battery D",
--T242&lt;=80,"Battery C",
--T242&gt;80,""
),"")</f>
        <v/>
      </c>
      <c r="W242" s="42" t="str" cm="1">
        <f t="array" ref="W242:AD242">IFERROR(IF(_xlfn.XLOOKUP(B242,Input!J:J,Input!N:U)=0,"",
          _xlfn.XLOOKUP(B242,Input!J:J,Input!N:U)),"")</f>
        <v/>
      </c>
      <c r="X242" s="42" t="str">
        <v/>
      </c>
      <c r="Y242" s="42" t="str">
        <v/>
      </c>
      <c r="Z242" s="42" t="str">
        <v/>
      </c>
      <c r="AA242" s="42" t="str">
        <v/>
      </c>
      <c r="AB242" s="42" t="str">
        <v/>
      </c>
      <c r="AC242" s="42" t="str">
        <v/>
      </c>
      <c r="AD242" s="42" t="str">
        <v/>
      </c>
      <c r="AE242" s="32" t="str">
        <f t="shared" si="9"/>
        <v/>
      </c>
      <c r="AF242" s="32" t="str">
        <f>_xlfn.XLOOKUP(B:B,Disk_Pivot!G:G,Disk_Pivot!I:I)</f>
        <v>Yes x2</v>
      </c>
      <c r="AG242" s="32" t="str">
        <f>_xlfn.XLOOKUP(B242,Disk_Pivot!G:G,Disk_Pivot!N:N)</f>
        <v>Pass, Fail</v>
      </c>
      <c r="AH242" s="32"/>
      <c r="AI242" s="32"/>
      <c r="AJ242" s="32"/>
      <c r="AK242" s="32"/>
      <c r="AL242" s="32"/>
      <c r="AM242" s="32"/>
    </row>
    <row r="243" spans="1:39">
      <c r="A243" s="32" t="str">
        <f>_xlfn.XLOOKUP(B243,Input!J:J,Input!G:G)&amp;""</f>
        <v/>
      </c>
      <c r="B243" s="32"/>
      <c r="C243" s="32" t="str">
        <f>_xlfn.XLOOKUP(B243,Input!J:J,Input!H:H)&amp;""</f>
        <v/>
      </c>
      <c r="D243" s="42">
        <f>_xlfn.XLOOKUP(B243,Input!J:J,Input!F:F)</f>
        <v>0</v>
      </c>
      <c r="E243" s="32">
        <f>_xlfn.XLOOKUP(D243,Models!H:H,Models!G:G,D243)</f>
        <v>0</v>
      </c>
      <c r="F243" s="32">
        <f>_xlfn.XLOOKUP(B243,Input!J:J,Input!E:E)</f>
        <v>0</v>
      </c>
      <c r="G243" s="32">
        <f>IF(F243="LENOVO",_xlfn.XLOOKUP(B243,Input!J:J,Input!K:K),_xlfn.XLOOKUP(B243,Input!J:J,Input!L:L))</f>
        <v>0</v>
      </c>
      <c r="H243" s="32"/>
      <c r="I243" s="32"/>
      <c r="J243" s="32">
        <f>_xlfn.XLOOKUP(B243,CPU_Formula!A:A,CPU_Formula!I:I)</f>
        <v>0</v>
      </c>
      <c r="K243" s="42" t="e">
        <f>INDEX(Input!$D$2:$AC$500,
       MATCH(B243, Input!$J$2:$J$500, 0),
       MATCH("Total Memory", Input!$D$1:$AC$1, 0))</f>
        <v>#N/A</v>
      </c>
      <c r="L243" s="42" t="e">
        <f>INDEX(Input!$D$2:$AC$500,
       MATCH(B243, Input!$J$2:$J$500, 0),
       MATCH("Memory Type", Input!$D$1:$AC$1, 0))</f>
        <v>#N/A</v>
      </c>
      <c r="M243" s="42" t="str" cm="1">
        <f t="array" ref="M243">IFERROR(_xlfn.FILTERXML("&lt;t&gt;&lt;s&gt;" &amp; SUBSTITUTE(L243," / ","&lt;/s&gt;&lt;s&gt;") &amp; "&lt;/s&gt;&lt;/t&gt;","(//s[contains(.,'DDR')])[1]"),"")</f>
        <v/>
      </c>
      <c r="N243" s="32" t="e">
        <f t="shared" si="11"/>
        <v>#N/A</v>
      </c>
      <c r="O243" s="42" t="e">
        <f>INDEX(Input!$D$2:$AC$500,
       MATCH(B243, Input!$J$2:$J$500, 0),
       MATCH("Disk Interface Type", Input!$D$1:$AC$1, 0))</f>
        <v>#N/A</v>
      </c>
      <c r="P243" s="42" t="str" cm="1">
        <f t="array" ref="P243">IFERROR(_xlfn.TEXTJOIN(", ", TRUE, _xlfn._xlws.FILTER(
    INDEX(Input!$D$2:$AC$500,,MATCH("Disk Capacity",Input!$D$1:$AC$1,0)),
    Input!$J$2:$J$500=B243
)), "")</f>
        <v/>
      </c>
      <c r="Q243" s="32" t="e">
        <f t="shared" si="10"/>
        <v>#N/A</v>
      </c>
      <c r="R243" s="42" t="e">
        <f>_xlfn.LET(_xlpm.Result,INDEX(Input!$D$2:$AC$500,
       MATCH(B243, Input!$J$2:$J$500, 0),
       MATCH("Capacity", Input!$D$1:$AC$1, 0)),IF(_xlpm.Result="","",_xlpm.Result))</f>
        <v>#N/A</v>
      </c>
      <c r="S243" s="42" t="e" cm="1">
        <f t="array" ref="S243">_xlfn.TEXTSPLIT(R243," / ", ,TRUE,0,)</f>
        <v>#N/A</v>
      </c>
      <c r="T243" s="42"/>
      <c r="U243" s="42" t="str" cm="1">
        <f t="array" ref="U243">IFERROR(_xlfn.IFS(
S243="","",
--S243&lt;55,"Battery Defect",
--S243&lt;=69,"Battery D",
--S243&lt;=80,"Battery C",
--S243&gt;80,""
),"")</f>
        <v/>
      </c>
      <c r="V243" s="42" t="str" cm="1">
        <f t="array" ref="V243">IFERROR(_xlfn.IFS(
T243="","",
--T243&lt;55,"Battery Defect",
--T243&lt;=69,"Battery D",
--T243&lt;=80,"Battery C",
--T243&gt;80,""
),"")</f>
        <v/>
      </c>
      <c r="W243" s="42" t="str" cm="1">
        <f t="array" ref="W243:AD243">IFERROR(IF(_xlfn.XLOOKUP(B243,Input!J:J,Input!N:U)=0,"",
          _xlfn.XLOOKUP(B243,Input!J:J,Input!N:U)),"")</f>
        <v/>
      </c>
      <c r="X243" s="42" t="str">
        <v/>
      </c>
      <c r="Y243" s="42" t="str">
        <v/>
      </c>
      <c r="Z243" s="42" t="str">
        <v/>
      </c>
      <c r="AA243" s="42" t="str">
        <v/>
      </c>
      <c r="AB243" s="42" t="str">
        <v/>
      </c>
      <c r="AC243" s="42" t="str">
        <v/>
      </c>
      <c r="AD243" s="42" t="str">
        <v/>
      </c>
      <c r="AE243" s="32" t="str">
        <f t="shared" si="9"/>
        <v/>
      </c>
      <c r="AF243" s="32" t="str">
        <f>_xlfn.XLOOKUP(B:B,Disk_Pivot!G:G,Disk_Pivot!I:I)</f>
        <v>Yes x2</v>
      </c>
      <c r="AG243" s="32" t="str">
        <f>_xlfn.XLOOKUP(B243,Disk_Pivot!G:G,Disk_Pivot!N:N)</f>
        <v>Pass, Fail</v>
      </c>
      <c r="AH243" s="32"/>
      <c r="AI243" s="32"/>
      <c r="AJ243" s="32"/>
      <c r="AK243" s="32"/>
      <c r="AL243" s="32"/>
      <c r="AM243" s="32"/>
    </row>
    <row r="244" spans="1:39">
      <c r="A244" s="32" t="str">
        <f>_xlfn.XLOOKUP(B244,Input!J:J,Input!G:G)&amp;""</f>
        <v/>
      </c>
      <c r="B244" s="32"/>
      <c r="C244" s="32" t="str">
        <f>_xlfn.XLOOKUP(B244,Input!J:J,Input!H:H)&amp;""</f>
        <v/>
      </c>
      <c r="D244" s="42">
        <f>_xlfn.XLOOKUP(B244,Input!J:J,Input!F:F)</f>
        <v>0</v>
      </c>
      <c r="E244" s="32">
        <f>_xlfn.XLOOKUP(D244,Models!H:H,Models!G:G,D244)</f>
        <v>0</v>
      </c>
      <c r="F244" s="32">
        <f>_xlfn.XLOOKUP(B244,Input!J:J,Input!E:E)</f>
        <v>0</v>
      </c>
      <c r="G244" s="32">
        <f>IF(F244="LENOVO",_xlfn.XLOOKUP(B244,Input!J:J,Input!K:K),_xlfn.XLOOKUP(B244,Input!J:J,Input!L:L))</f>
        <v>0</v>
      </c>
      <c r="H244" s="32"/>
      <c r="I244" s="32"/>
      <c r="J244" s="32">
        <f>_xlfn.XLOOKUP(B244,CPU_Formula!A:A,CPU_Formula!I:I)</f>
        <v>0</v>
      </c>
      <c r="K244" s="42" t="e">
        <f>INDEX(Input!$D$2:$AC$500,
       MATCH(B244, Input!$J$2:$J$500, 0),
       MATCH("Total Memory", Input!$D$1:$AC$1, 0))</f>
        <v>#N/A</v>
      </c>
      <c r="L244" s="42" t="e">
        <f>INDEX(Input!$D$2:$AC$500,
       MATCH(B244, Input!$J$2:$J$500, 0),
       MATCH("Memory Type", Input!$D$1:$AC$1, 0))</f>
        <v>#N/A</v>
      </c>
      <c r="M244" s="42" t="str" cm="1">
        <f t="array" ref="M244">IFERROR(_xlfn.FILTERXML("&lt;t&gt;&lt;s&gt;" &amp; SUBSTITUTE(L244," / ","&lt;/s&gt;&lt;s&gt;") &amp; "&lt;/s&gt;&lt;/t&gt;","(//s[contains(.,'DDR')])[1]"),"")</f>
        <v/>
      </c>
      <c r="N244" s="32" t="e">
        <f t="shared" si="11"/>
        <v>#N/A</v>
      </c>
      <c r="O244" s="42" t="e">
        <f>INDEX(Input!$D$2:$AC$500,
       MATCH(B244, Input!$J$2:$J$500, 0),
       MATCH("Disk Interface Type", Input!$D$1:$AC$1, 0))</f>
        <v>#N/A</v>
      </c>
      <c r="P244" s="42" t="str" cm="1">
        <f t="array" ref="P244">IFERROR(_xlfn.TEXTJOIN(", ", TRUE, _xlfn._xlws.FILTER(
    INDEX(Input!$D$2:$AC$500,,MATCH("Disk Capacity",Input!$D$1:$AC$1,0)),
    Input!$J$2:$J$500=B244
)), "")</f>
        <v/>
      </c>
      <c r="Q244" s="32" t="e">
        <f t="shared" si="10"/>
        <v>#N/A</v>
      </c>
      <c r="R244" s="42" t="e">
        <f>_xlfn.LET(_xlpm.Result,INDEX(Input!$D$2:$AC$500,
       MATCH(B244, Input!$J$2:$J$500, 0),
       MATCH("Capacity", Input!$D$1:$AC$1, 0)),IF(_xlpm.Result="","",_xlpm.Result))</f>
        <v>#N/A</v>
      </c>
      <c r="S244" s="42" t="e" cm="1">
        <f t="array" ref="S244">_xlfn.TEXTSPLIT(R244," / ", ,TRUE,0,)</f>
        <v>#N/A</v>
      </c>
      <c r="T244" s="42"/>
      <c r="U244" s="42" t="str" cm="1">
        <f t="array" ref="U244">IFERROR(_xlfn.IFS(
S244="","",
--S244&lt;55,"Battery Defect",
--S244&lt;=69,"Battery D",
--S244&lt;=80,"Battery C",
--S244&gt;80,""
),"")</f>
        <v/>
      </c>
      <c r="V244" s="42" t="str" cm="1">
        <f t="array" ref="V244">IFERROR(_xlfn.IFS(
T244="","",
--T244&lt;55,"Battery Defect",
--T244&lt;=69,"Battery D",
--T244&lt;=80,"Battery C",
--T244&gt;80,""
),"")</f>
        <v/>
      </c>
      <c r="W244" s="42" t="str" cm="1">
        <f t="array" ref="W244:AD244">IFERROR(IF(_xlfn.XLOOKUP(B244,Input!J:J,Input!N:U)=0,"",
          _xlfn.XLOOKUP(B244,Input!J:J,Input!N:U)),"")</f>
        <v/>
      </c>
      <c r="X244" s="42" t="str">
        <v/>
      </c>
      <c r="Y244" s="42" t="str">
        <v/>
      </c>
      <c r="Z244" s="42" t="str">
        <v/>
      </c>
      <c r="AA244" s="42" t="str">
        <v/>
      </c>
      <c r="AB244" s="42" t="str">
        <v/>
      </c>
      <c r="AC244" s="42" t="str">
        <v/>
      </c>
      <c r="AD244" s="42" t="str">
        <v/>
      </c>
      <c r="AE244" s="32" t="str">
        <f t="shared" si="9"/>
        <v/>
      </c>
      <c r="AF244" s="32" t="str">
        <f>_xlfn.XLOOKUP(B:B,Disk_Pivot!G:G,Disk_Pivot!I:I)</f>
        <v>Yes x2</v>
      </c>
      <c r="AG244" s="32" t="str">
        <f>_xlfn.XLOOKUP(B244,Disk_Pivot!G:G,Disk_Pivot!N:N)</f>
        <v>Pass, Fail</v>
      </c>
      <c r="AH244" s="32"/>
      <c r="AI244" s="32"/>
      <c r="AJ244" s="32"/>
      <c r="AK244" s="32"/>
      <c r="AL244" s="32"/>
      <c r="AM244" s="32"/>
    </row>
    <row r="245" spans="1:39">
      <c r="A245" s="32" t="str">
        <f>_xlfn.XLOOKUP(B245,Input!J:J,Input!G:G)&amp;""</f>
        <v/>
      </c>
      <c r="B245" s="32"/>
      <c r="C245" s="32" t="str">
        <f>_xlfn.XLOOKUP(B245,Input!J:J,Input!H:H)&amp;""</f>
        <v/>
      </c>
      <c r="D245" s="42">
        <f>_xlfn.XLOOKUP(B245,Input!J:J,Input!F:F)</f>
        <v>0</v>
      </c>
      <c r="E245" s="32">
        <f>_xlfn.XLOOKUP(D245,Models!H:H,Models!G:G,D245)</f>
        <v>0</v>
      </c>
      <c r="F245" s="32">
        <f>_xlfn.XLOOKUP(B245,Input!J:J,Input!E:E)</f>
        <v>0</v>
      </c>
      <c r="G245" s="32">
        <f>IF(F245="LENOVO",_xlfn.XLOOKUP(B245,Input!J:J,Input!K:K),_xlfn.XLOOKUP(B245,Input!J:J,Input!L:L))</f>
        <v>0</v>
      </c>
      <c r="H245" s="32"/>
      <c r="I245" s="32"/>
      <c r="J245" s="32">
        <f>_xlfn.XLOOKUP(B245,CPU_Formula!A:A,CPU_Formula!I:I)</f>
        <v>0</v>
      </c>
      <c r="K245" s="42" t="e">
        <f>INDEX(Input!$D$2:$AC$500,
       MATCH(B245, Input!$J$2:$J$500, 0),
       MATCH("Total Memory", Input!$D$1:$AC$1, 0))</f>
        <v>#N/A</v>
      </c>
      <c r="L245" s="42" t="e">
        <f>INDEX(Input!$D$2:$AC$500,
       MATCH(B245, Input!$J$2:$J$500, 0),
       MATCH("Memory Type", Input!$D$1:$AC$1, 0))</f>
        <v>#N/A</v>
      </c>
      <c r="M245" s="42" t="str" cm="1">
        <f t="array" ref="M245">IFERROR(_xlfn.FILTERXML("&lt;t&gt;&lt;s&gt;" &amp; SUBSTITUTE(L245," / ","&lt;/s&gt;&lt;s&gt;") &amp; "&lt;/s&gt;&lt;/t&gt;","(//s[contains(.,'DDR')])[1]"),"")</f>
        <v/>
      </c>
      <c r="N245" s="32" t="e">
        <f t="shared" si="11"/>
        <v>#N/A</v>
      </c>
      <c r="O245" s="42" t="e">
        <f>INDEX(Input!$D$2:$AC$500,
       MATCH(B245, Input!$J$2:$J$500, 0),
       MATCH("Disk Interface Type", Input!$D$1:$AC$1, 0))</f>
        <v>#N/A</v>
      </c>
      <c r="P245" s="42" t="str" cm="1">
        <f t="array" ref="P245">IFERROR(_xlfn.TEXTJOIN(", ", TRUE, _xlfn._xlws.FILTER(
    INDEX(Input!$D$2:$AC$500,,MATCH("Disk Capacity",Input!$D$1:$AC$1,0)),
    Input!$J$2:$J$500=B245
)), "")</f>
        <v/>
      </c>
      <c r="Q245" s="32" t="e">
        <f t="shared" si="10"/>
        <v>#N/A</v>
      </c>
      <c r="R245" s="42" t="e">
        <f>_xlfn.LET(_xlpm.Result,INDEX(Input!$D$2:$AC$500,
       MATCH(B245, Input!$J$2:$J$500, 0),
       MATCH("Capacity", Input!$D$1:$AC$1, 0)),IF(_xlpm.Result="","",_xlpm.Result))</f>
        <v>#N/A</v>
      </c>
      <c r="S245" s="42" t="e" cm="1">
        <f t="array" ref="S245">_xlfn.TEXTSPLIT(R245," / ", ,TRUE,0,)</f>
        <v>#N/A</v>
      </c>
      <c r="T245" s="42"/>
      <c r="U245" s="42" t="str" cm="1">
        <f t="array" ref="U245">IFERROR(_xlfn.IFS(
S245="","",
--S245&lt;55,"Battery Defect",
--S245&lt;=69,"Battery D",
--S245&lt;=80,"Battery C",
--S245&gt;80,""
),"")</f>
        <v/>
      </c>
      <c r="V245" s="42" t="str" cm="1">
        <f t="array" ref="V245">IFERROR(_xlfn.IFS(
T245="","",
--T245&lt;55,"Battery Defect",
--T245&lt;=69,"Battery D",
--T245&lt;=80,"Battery C",
--T245&gt;80,""
),"")</f>
        <v/>
      </c>
      <c r="W245" s="42" t="str" cm="1">
        <f t="array" ref="W245:AD245">IFERROR(IF(_xlfn.XLOOKUP(B245,Input!J:J,Input!N:U)=0,"",
          _xlfn.XLOOKUP(B245,Input!J:J,Input!N:U)),"")</f>
        <v/>
      </c>
      <c r="X245" s="42" t="str">
        <v/>
      </c>
      <c r="Y245" s="42" t="str">
        <v/>
      </c>
      <c r="Z245" s="42" t="str">
        <v/>
      </c>
      <c r="AA245" s="42" t="str">
        <v/>
      </c>
      <c r="AB245" s="42" t="str">
        <v/>
      </c>
      <c r="AC245" s="42" t="str">
        <v/>
      </c>
      <c r="AD245" s="42" t="str">
        <v/>
      </c>
      <c r="AE245" s="32" t="str">
        <f t="shared" si="9"/>
        <v/>
      </c>
      <c r="AF245" s="32" t="str">
        <f>_xlfn.XLOOKUP(B:B,Disk_Pivot!G:G,Disk_Pivot!I:I)</f>
        <v>Yes x2</v>
      </c>
      <c r="AG245" s="32" t="str">
        <f>_xlfn.XLOOKUP(B245,Disk_Pivot!G:G,Disk_Pivot!N:N)</f>
        <v>Pass, Fail</v>
      </c>
      <c r="AH245" s="32"/>
      <c r="AI245" s="32"/>
      <c r="AJ245" s="32"/>
      <c r="AK245" s="32"/>
      <c r="AL245" s="32"/>
      <c r="AM245" s="32"/>
    </row>
    <row r="246" spans="1:39">
      <c r="A246" s="32" t="str">
        <f>_xlfn.XLOOKUP(B246,Input!J:J,Input!G:G)&amp;""</f>
        <v/>
      </c>
      <c r="B246" s="32"/>
      <c r="C246" s="32" t="str">
        <f>_xlfn.XLOOKUP(B246,Input!J:J,Input!H:H)&amp;""</f>
        <v/>
      </c>
      <c r="D246" s="42">
        <f>_xlfn.XLOOKUP(B246,Input!J:J,Input!F:F)</f>
        <v>0</v>
      </c>
      <c r="E246" s="32">
        <f>_xlfn.XLOOKUP(D246,Models!H:H,Models!G:G,D246)</f>
        <v>0</v>
      </c>
      <c r="F246" s="32">
        <f>_xlfn.XLOOKUP(B246,Input!J:J,Input!E:E)</f>
        <v>0</v>
      </c>
      <c r="G246" s="32">
        <f>IF(F246="LENOVO",_xlfn.XLOOKUP(B246,Input!J:J,Input!K:K),_xlfn.XLOOKUP(B246,Input!J:J,Input!L:L))</f>
        <v>0</v>
      </c>
      <c r="H246" s="32"/>
      <c r="I246" s="32"/>
      <c r="J246" s="32">
        <f>_xlfn.XLOOKUP(B246,CPU_Formula!A:A,CPU_Formula!I:I)</f>
        <v>0</v>
      </c>
      <c r="K246" s="42" t="e">
        <f>INDEX(Input!$D$2:$AC$500,
       MATCH(B246, Input!$J$2:$J$500, 0),
       MATCH("Total Memory", Input!$D$1:$AC$1, 0))</f>
        <v>#N/A</v>
      </c>
      <c r="L246" s="42" t="e">
        <f>INDEX(Input!$D$2:$AC$500,
       MATCH(B246, Input!$J$2:$J$500, 0),
       MATCH("Memory Type", Input!$D$1:$AC$1, 0))</f>
        <v>#N/A</v>
      </c>
      <c r="M246" s="42" t="str" cm="1">
        <f t="array" ref="M246">IFERROR(_xlfn.FILTERXML("&lt;t&gt;&lt;s&gt;" &amp; SUBSTITUTE(L246," / ","&lt;/s&gt;&lt;s&gt;") &amp; "&lt;/s&gt;&lt;/t&gt;","(//s[contains(.,'DDR')])[1]"),"")</f>
        <v/>
      </c>
      <c r="N246" s="32" t="e">
        <f t="shared" si="11"/>
        <v>#N/A</v>
      </c>
      <c r="O246" s="42" t="e">
        <f>INDEX(Input!$D$2:$AC$500,
       MATCH(B246, Input!$J$2:$J$500, 0),
       MATCH("Disk Interface Type", Input!$D$1:$AC$1, 0))</f>
        <v>#N/A</v>
      </c>
      <c r="P246" s="42" t="str" cm="1">
        <f t="array" ref="P246">IFERROR(_xlfn.TEXTJOIN(", ", TRUE, _xlfn._xlws.FILTER(
    INDEX(Input!$D$2:$AC$500,,MATCH("Disk Capacity",Input!$D$1:$AC$1,0)),
    Input!$J$2:$J$500=B246
)), "")</f>
        <v/>
      </c>
      <c r="Q246" s="32" t="e">
        <f t="shared" si="10"/>
        <v>#N/A</v>
      </c>
      <c r="R246" s="42" t="e">
        <f>_xlfn.LET(_xlpm.Result,INDEX(Input!$D$2:$AC$500,
       MATCH(B246, Input!$J$2:$J$500, 0),
       MATCH("Capacity", Input!$D$1:$AC$1, 0)),IF(_xlpm.Result="","",_xlpm.Result))</f>
        <v>#N/A</v>
      </c>
      <c r="S246" s="42" t="e" cm="1">
        <f t="array" ref="S246">_xlfn.TEXTSPLIT(R246," / ", ,TRUE,0,)</f>
        <v>#N/A</v>
      </c>
      <c r="T246" s="42"/>
      <c r="U246" s="42" t="str" cm="1">
        <f t="array" ref="U246">IFERROR(_xlfn.IFS(
S246="","",
--S246&lt;55,"Battery Defect",
--S246&lt;=69,"Battery D",
--S246&lt;=80,"Battery C",
--S246&gt;80,""
),"")</f>
        <v/>
      </c>
      <c r="V246" s="42" t="str" cm="1">
        <f t="array" ref="V246">IFERROR(_xlfn.IFS(
T246="","",
--T246&lt;55,"Battery Defect",
--T246&lt;=69,"Battery D",
--T246&lt;=80,"Battery C",
--T246&gt;80,""
),"")</f>
        <v/>
      </c>
      <c r="W246" s="42" t="str" cm="1">
        <f t="array" ref="W246:AD246">IFERROR(IF(_xlfn.XLOOKUP(B246,Input!J:J,Input!N:U)=0,"",
          _xlfn.XLOOKUP(B246,Input!J:J,Input!N:U)),"")</f>
        <v/>
      </c>
      <c r="X246" s="42" t="str">
        <v/>
      </c>
      <c r="Y246" s="42" t="str">
        <v/>
      </c>
      <c r="Z246" s="42" t="str">
        <v/>
      </c>
      <c r="AA246" s="42" t="str">
        <v/>
      </c>
      <c r="AB246" s="42" t="str">
        <v/>
      </c>
      <c r="AC246" s="42" t="str">
        <v/>
      </c>
      <c r="AD246" s="42" t="str">
        <v/>
      </c>
      <c r="AE246" s="32" t="str">
        <f t="shared" si="9"/>
        <v/>
      </c>
      <c r="AF246" s="32" t="str">
        <f>_xlfn.XLOOKUP(B:B,Disk_Pivot!G:G,Disk_Pivot!I:I)</f>
        <v>Yes x2</v>
      </c>
      <c r="AG246" s="32" t="str">
        <f>_xlfn.XLOOKUP(B246,Disk_Pivot!G:G,Disk_Pivot!N:N)</f>
        <v>Pass, Fail</v>
      </c>
      <c r="AH246" s="32"/>
      <c r="AI246" s="32"/>
      <c r="AJ246" s="32"/>
      <c r="AK246" s="32"/>
      <c r="AL246" s="32"/>
      <c r="AM246" s="32"/>
    </row>
    <row r="247" spans="1:39">
      <c r="A247" s="32" t="str">
        <f>_xlfn.XLOOKUP(B247,Input!J:J,Input!G:G)&amp;""</f>
        <v/>
      </c>
      <c r="B247" s="32"/>
      <c r="C247" s="32" t="str">
        <f>_xlfn.XLOOKUP(B247,Input!J:J,Input!H:H)&amp;""</f>
        <v/>
      </c>
      <c r="D247" s="42">
        <f>_xlfn.XLOOKUP(B247,Input!J:J,Input!F:F)</f>
        <v>0</v>
      </c>
      <c r="E247" s="32">
        <f>_xlfn.XLOOKUP(D247,Models!H:H,Models!G:G,D247)</f>
        <v>0</v>
      </c>
      <c r="F247" s="32">
        <f>_xlfn.XLOOKUP(B247,Input!J:J,Input!E:E)</f>
        <v>0</v>
      </c>
      <c r="G247" s="32">
        <f>IF(F247="LENOVO",_xlfn.XLOOKUP(B247,Input!J:J,Input!K:K),_xlfn.XLOOKUP(B247,Input!J:J,Input!L:L))</f>
        <v>0</v>
      </c>
      <c r="H247" s="32"/>
      <c r="I247" s="32"/>
      <c r="J247" s="32">
        <f>_xlfn.XLOOKUP(B247,CPU_Formula!A:A,CPU_Formula!I:I)</f>
        <v>0</v>
      </c>
      <c r="K247" s="42" t="e">
        <f>INDEX(Input!$D$2:$AC$500,
       MATCH(B247, Input!$J$2:$J$500, 0),
       MATCH("Total Memory", Input!$D$1:$AC$1, 0))</f>
        <v>#N/A</v>
      </c>
      <c r="L247" s="42" t="e">
        <f>INDEX(Input!$D$2:$AC$500,
       MATCH(B247, Input!$J$2:$J$500, 0),
       MATCH("Memory Type", Input!$D$1:$AC$1, 0))</f>
        <v>#N/A</v>
      </c>
      <c r="M247" s="42" t="str" cm="1">
        <f t="array" ref="M247">IFERROR(_xlfn.FILTERXML("&lt;t&gt;&lt;s&gt;" &amp; SUBSTITUTE(L247," / ","&lt;/s&gt;&lt;s&gt;") &amp; "&lt;/s&gt;&lt;/t&gt;","(//s[contains(.,'DDR')])[1]"),"")</f>
        <v/>
      </c>
      <c r="N247" s="32" t="e">
        <f t="shared" si="11"/>
        <v>#N/A</v>
      </c>
      <c r="O247" s="42" t="e">
        <f>INDEX(Input!$D$2:$AC$500,
       MATCH(B247, Input!$J$2:$J$500, 0),
       MATCH("Disk Interface Type", Input!$D$1:$AC$1, 0))</f>
        <v>#N/A</v>
      </c>
      <c r="P247" s="42" t="str" cm="1">
        <f t="array" ref="P247">IFERROR(_xlfn.TEXTJOIN(", ", TRUE, _xlfn._xlws.FILTER(
    INDEX(Input!$D$2:$AC$500,,MATCH("Disk Capacity",Input!$D$1:$AC$1,0)),
    Input!$J$2:$J$500=B247
)), "")</f>
        <v/>
      </c>
      <c r="Q247" s="32" t="e">
        <f t="shared" si="10"/>
        <v>#N/A</v>
      </c>
      <c r="R247" s="42" t="e">
        <f>_xlfn.LET(_xlpm.Result,INDEX(Input!$D$2:$AC$500,
       MATCH(B247, Input!$J$2:$J$500, 0),
       MATCH("Capacity", Input!$D$1:$AC$1, 0)),IF(_xlpm.Result="","",_xlpm.Result))</f>
        <v>#N/A</v>
      </c>
      <c r="S247" s="42" t="e" cm="1">
        <f t="array" ref="S247">_xlfn.TEXTSPLIT(R247," / ", ,TRUE,0,)</f>
        <v>#N/A</v>
      </c>
      <c r="T247" s="42"/>
      <c r="U247" s="42" t="str" cm="1">
        <f t="array" ref="U247">IFERROR(_xlfn.IFS(
S247="","",
--S247&lt;55,"Battery Defect",
--S247&lt;=69,"Battery D",
--S247&lt;=80,"Battery C",
--S247&gt;80,""
),"")</f>
        <v/>
      </c>
      <c r="V247" s="42" t="str" cm="1">
        <f t="array" ref="V247">IFERROR(_xlfn.IFS(
T247="","",
--T247&lt;55,"Battery Defect",
--T247&lt;=69,"Battery D",
--T247&lt;=80,"Battery C",
--T247&gt;80,""
),"")</f>
        <v/>
      </c>
      <c r="W247" s="42" t="str" cm="1">
        <f t="array" ref="W247:AD247">IFERROR(IF(_xlfn.XLOOKUP(B247,Input!J:J,Input!N:U)=0,"",
          _xlfn.XLOOKUP(B247,Input!J:J,Input!N:U)),"")</f>
        <v/>
      </c>
      <c r="X247" s="42" t="str">
        <v/>
      </c>
      <c r="Y247" s="42" t="str">
        <v/>
      </c>
      <c r="Z247" s="42" t="str">
        <v/>
      </c>
      <c r="AA247" s="42" t="str">
        <v/>
      </c>
      <c r="AB247" s="42" t="str">
        <v/>
      </c>
      <c r="AC247" s="42" t="str">
        <v/>
      </c>
      <c r="AD247" s="42" t="str">
        <v/>
      </c>
      <c r="AE247" s="32" t="str">
        <f t="shared" si="9"/>
        <v/>
      </c>
      <c r="AF247" s="32" t="str">
        <f>_xlfn.XLOOKUP(B:B,Disk_Pivot!G:G,Disk_Pivot!I:I)</f>
        <v>Yes x2</v>
      </c>
      <c r="AG247" s="32" t="str">
        <f>_xlfn.XLOOKUP(B247,Disk_Pivot!G:G,Disk_Pivot!N:N)</f>
        <v>Pass, Fail</v>
      </c>
      <c r="AH247" s="32"/>
      <c r="AI247" s="32"/>
      <c r="AJ247" s="32"/>
      <c r="AK247" s="32"/>
      <c r="AL247" s="32"/>
      <c r="AM247" s="32"/>
    </row>
    <row r="248" spans="1:39">
      <c r="A248" s="32" t="str">
        <f>_xlfn.XLOOKUP(B248,Input!J:J,Input!G:G)&amp;""</f>
        <v/>
      </c>
      <c r="B248" s="32"/>
      <c r="C248" s="32" t="str">
        <f>_xlfn.XLOOKUP(B248,Input!J:J,Input!H:H)&amp;""</f>
        <v/>
      </c>
      <c r="D248" s="42">
        <f>_xlfn.XLOOKUP(B248,Input!J:J,Input!F:F)</f>
        <v>0</v>
      </c>
      <c r="E248" s="32">
        <f>_xlfn.XLOOKUP(D248,Models!H:H,Models!G:G,D248)</f>
        <v>0</v>
      </c>
      <c r="F248" s="32">
        <f>_xlfn.XLOOKUP(B248,Input!J:J,Input!E:E)</f>
        <v>0</v>
      </c>
      <c r="G248" s="32">
        <f>IF(F248="LENOVO",_xlfn.XLOOKUP(B248,Input!J:J,Input!K:K),_xlfn.XLOOKUP(B248,Input!J:J,Input!L:L))</f>
        <v>0</v>
      </c>
      <c r="H248" s="32"/>
      <c r="I248" s="32"/>
      <c r="J248" s="32">
        <f>_xlfn.XLOOKUP(B248,CPU_Formula!A:A,CPU_Formula!I:I)</f>
        <v>0</v>
      </c>
      <c r="K248" s="42" t="e">
        <f>INDEX(Input!$D$2:$AC$500,
       MATCH(B248, Input!$J$2:$J$500, 0),
       MATCH("Total Memory", Input!$D$1:$AC$1, 0))</f>
        <v>#N/A</v>
      </c>
      <c r="L248" s="42" t="e">
        <f>INDEX(Input!$D$2:$AC$500,
       MATCH(B248, Input!$J$2:$J$500, 0),
       MATCH("Memory Type", Input!$D$1:$AC$1, 0))</f>
        <v>#N/A</v>
      </c>
      <c r="M248" s="42" t="str" cm="1">
        <f t="array" ref="M248">IFERROR(_xlfn.FILTERXML("&lt;t&gt;&lt;s&gt;" &amp; SUBSTITUTE(L248," / ","&lt;/s&gt;&lt;s&gt;") &amp; "&lt;/s&gt;&lt;/t&gt;","(//s[contains(.,'DDR')])[1]"),"")</f>
        <v/>
      </c>
      <c r="N248" s="32" t="e">
        <f t="shared" si="11"/>
        <v>#N/A</v>
      </c>
      <c r="O248" s="42" t="e">
        <f>INDEX(Input!$D$2:$AC$500,
       MATCH(B248, Input!$J$2:$J$500, 0),
       MATCH("Disk Interface Type", Input!$D$1:$AC$1, 0))</f>
        <v>#N/A</v>
      </c>
      <c r="P248" s="42" t="str" cm="1">
        <f t="array" ref="P248">IFERROR(_xlfn.TEXTJOIN(", ", TRUE, _xlfn._xlws.FILTER(
    INDEX(Input!$D$2:$AC$500,,MATCH("Disk Capacity",Input!$D$1:$AC$1,0)),
    Input!$J$2:$J$500=B248
)), "")</f>
        <v/>
      </c>
      <c r="Q248" s="32" t="e">
        <f t="shared" si="10"/>
        <v>#N/A</v>
      </c>
      <c r="R248" s="42" t="e">
        <f>_xlfn.LET(_xlpm.Result,INDEX(Input!$D$2:$AC$500,
       MATCH(B248, Input!$J$2:$J$500, 0),
       MATCH("Capacity", Input!$D$1:$AC$1, 0)),IF(_xlpm.Result="","",_xlpm.Result))</f>
        <v>#N/A</v>
      </c>
      <c r="S248" s="42" t="e" cm="1">
        <f t="array" ref="S248">_xlfn.TEXTSPLIT(R248," / ", ,TRUE,0,)</f>
        <v>#N/A</v>
      </c>
      <c r="T248" s="42"/>
      <c r="U248" s="42" t="str" cm="1">
        <f t="array" ref="U248">IFERROR(_xlfn.IFS(
S248="","",
--S248&lt;55,"Battery Defect",
--S248&lt;=69,"Battery D",
--S248&lt;=80,"Battery C",
--S248&gt;80,""
),"")</f>
        <v/>
      </c>
      <c r="V248" s="42" t="str" cm="1">
        <f t="array" ref="V248">IFERROR(_xlfn.IFS(
T248="","",
--T248&lt;55,"Battery Defect",
--T248&lt;=69,"Battery D",
--T248&lt;=80,"Battery C",
--T248&gt;80,""
),"")</f>
        <v/>
      </c>
      <c r="W248" s="42" t="str" cm="1">
        <f t="array" ref="W248:AD248">IFERROR(IF(_xlfn.XLOOKUP(B248,Input!J:J,Input!N:U)=0,"",
          _xlfn.XLOOKUP(B248,Input!J:J,Input!N:U)),"")</f>
        <v/>
      </c>
      <c r="X248" s="42" t="str">
        <v/>
      </c>
      <c r="Y248" s="42" t="str">
        <v/>
      </c>
      <c r="Z248" s="42" t="str">
        <v/>
      </c>
      <c r="AA248" s="42" t="str">
        <v/>
      </c>
      <c r="AB248" s="42" t="str">
        <v/>
      </c>
      <c r="AC248" s="42" t="str">
        <v/>
      </c>
      <c r="AD248" s="42" t="str">
        <v/>
      </c>
      <c r="AE248" s="32" t="str">
        <f t="shared" si="9"/>
        <v/>
      </c>
      <c r="AF248" s="32" t="str">
        <f>_xlfn.XLOOKUP(B:B,Disk_Pivot!G:G,Disk_Pivot!I:I)</f>
        <v>Yes x2</v>
      </c>
      <c r="AG248" s="32" t="str">
        <f>_xlfn.XLOOKUP(B248,Disk_Pivot!G:G,Disk_Pivot!N:N)</f>
        <v>Pass, Fail</v>
      </c>
      <c r="AH248" s="32"/>
      <c r="AI248" s="32"/>
      <c r="AJ248" s="32"/>
      <c r="AK248" s="32"/>
      <c r="AL248" s="32"/>
      <c r="AM248" s="32"/>
    </row>
    <row r="249" spans="1:39">
      <c r="A249" s="32" t="str">
        <f>_xlfn.XLOOKUP(B249,Input!J:J,Input!G:G)&amp;""</f>
        <v/>
      </c>
      <c r="B249" s="32"/>
      <c r="C249" s="32" t="str">
        <f>_xlfn.XLOOKUP(B249,Input!J:J,Input!H:H)&amp;""</f>
        <v/>
      </c>
      <c r="D249" s="42">
        <f>_xlfn.XLOOKUP(B249,Input!J:J,Input!F:F)</f>
        <v>0</v>
      </c>
      <c r="E249" s="32">
        <f>_xlfn.XLOOKUP(D249,Models!H:H,Models!G:G,D249)</f>
        <v>0</v>
      </c>
      <c r="F249" s="32">
        <f>_xlfn.XLOOKUP(B249,Input!J:J,Input!E:E)</f>
        <v>0</v>
      </c>
      <c r="G249" s="32">
        <f>IF(F249="LENOVO",_xlfn.XLOOKUP(B249,Input!J:J,Input!K:K),_xlfn.XLOOKUP(B249,Input!J:J,Input!L:L))</f>
        <v>0</v>
      </c>
      <c r="H249" s="32"/>
      <c r="I249" s="32"/>
      <c r="J249" s="32">
        <f>_xlfn.XLOOKUP(B249,CPU_Formula!A:A,CPU_Formula!I:I)</f>
        <v>0</v>
      </c>
      <c r="K249" s="42" t="e">
        <f>INDEX(Input!$D$2:$AC$500,
       MATCH(B249, Input!$J$2:$J$500, 0),
       MATCH("Total Memory", Input!$D$1:$AC$1, 0))</f>
        <v>#N/A</v>
      </c>
      <c r="L249" s="42" t="e">
        <f>INDEX(Input!$D$2:$AC$500,
       MATCH(B249, Input!$J$2:$J$500, 0),
       MATCH("Memory Type", Input!$D$1:$AC$1, 0))</f>
        <v>#N/A</v>
      </c>
      <c r="M249" s="42" t="str" cm="1">
        <f t="array" ref="M249">IFERROR(_xlfn.FILTERXML("&lt;t&gt;&lt;s&gt;" &amp; SUBSTITUTE(L249," / ","&lt;/s&gt;&lt;s&gt;") &amp; "&lt;/s&gt;&lt;/t&gt;","(//s[contains(.,'DDR')])[1]"),"")</f>
        <v/>
      </c>
      <c r="N249" s="32" t="e">
        <f t="shared" si="11"/>
        <v>#N/A</v>
      </c>
      <c r="O249" s="42" t="e">
        <f>INDEX(Input!$D$2:$AC$500,
       MATCH(B249, Input!$J$2:$J$500, 0),
       MATCH("Disk Interface Type", Input!$D$1:$AC$1, 0))</f>
        <v>#N/A</v>
      </c>
      <c r="P249" s="42" t="str" cm="1">
        <f t="array" ref="P249">IFERROR(_xlfn.TEXTJOIN(", ", TRUE, _xlfn._xlws.FILTER(
    INDEX(Input!$D$2:$AC$500,,MATCH("Disk Capacity",Input!$D$1:$AC$1,0)),
    Input!$J$2:$J$500=B249
)), "")</f>
        <v/>
      </c>
      <c r="Q249" s="32" t="e">
        <f t="shared" si="10"/>
        <v>#N/A</v>
      </c>
      <c r="R249" s="42" t="e">
        <f>_xlfn.LET(_xlpm.Result,INDEX(Input!$D$2:$AC$500,
       MATCH(B249, Input!$J$2:$J$500, 0),
       MATCH("Capacity", Input!$D$1:$AC$1, 0)),IF(_xlpm.Result="","",_xlpm.Result))</f>
        <v>#N/A</v>
      </c>
      <c r="S249" s="42" t="e" cm="1">
        <f t="array" ref="S249">_xlfn.TEXTSPLIT(R249," / ", ,TRUE,0,)</f>
        <v>#N/A</v>
      </c>
      <c r="T249" s="42"/>
      <c r="U249" s="42" t="str" cm="1">
        <f t="array" ref="U249">IFERROR(_xlfn.IFS(
S249="","",
--S249&lt;55,"Battery Defect",
--S249&lt;=69,"Battery D",
--S249&lt;=80,"Battery C",
--S249&gt;80,""
),"")</f>
        <v/>
      </c>
      <c r="V249" s="42" t="str" cm="1">
        <f t="array" ref="V249">IFERROR(_xlfn.IFS(
T249="","",
--T249&lt;55,"Battery Defect",
--T249&lt;=69,"Battery D",
--T249&lt;=80,"Battery C",
--T249&gt;80,""
),"")</f>
        <v/>
      </c>
      <c r="W249" s="42" t="str" cm="1">
        <f t="array" ref="W249:AD249">IFERROR(IF(_xlfn.XLOOKUP(B249,Input!J:J,Input!N:U)=0,"",
          _xlfn.XLOOKUP(B249,Input!J:J,Input!N:U)),"")</f>
        <v/>
      </c>
      <c r="X249" s="42" t="str">
        <v/>
      </c>
      <c r="Y249" s="42" t="str">
        <v/>
      </c>
      <c r="Z249" s="42" t="str">
        <v/>
      </c>
      <c r="AA249" s="42" t="str">
        <v/>
      </c>
      <c r="AB249" s="42" t="str">
        <v/>
      </c>
      <c r="AC249" s="42" t="str">
        <v/>
      </c>
      <c r="AD249" s="42" t="str">
        <v/>
      </c>
      <c r="AE249" s="32" t="str">
        <f t="shared" si="9"/>
        <v/>
      </c>
      <c r="AF249" s="32" t="str">
        <f>_xlfn.XLOOKUP(B:B,Disk_Pivot!G:G,Disk_Pivot!I:I)</f>
        <v>Yes x2</v>
      </c>
      <c r="AG249" s="32" t="str">
        <f>_xlfn.XLOOKUP(B249,Disk_Pivot!G:G,Disk_Pivot!N:N)</f>
        <v>Pass, Fail</v>
      </c>
      <c r="AH249" s="32"/>
      <c r="AI249" s="32"/>
      <c r="AJ249" s="32"/>
      <c r="AK249" s="32"/>
      <c r="AL249" s="32"/>
      <c r="AM249" s="32"/>
    </row>
    <row r="250" spans="1:39">
      <c r="A250" s="32" t="str">
        <f>_xlfn.XLOOKUP(B250,Input!J:J,Input!G:G)&amp;""</f>
        <v/>
      </c>
      <c r="B250" s="32"/>
      <c r="C250" s="32" t="str">
        <f>_xlfn.XLOOKUP(B250,Input!J:J,Input!H:H)&amp;""</f>
        <v/>
      </c>
      <c r="D250" s="42">
        <f>_xlfn.XLOOKUP(B250,Input!J:J,Input!F:F)</f>
        <v>0</v>
      </c>
      <c r="E250" s="32">
        <f>_xlfn.XLOOKUP(D250,Models!H:H,Models!G:G,D250)</f>
        <v>0</v>
      </c>
      <c r="F250" s="32">
        <f>_xlfn.XLOOKUP(B250,Input!J:J,Input!E:E)</f>
        <v>0</v>
      </c>
      <c r="G250" s="32">
        <f>IF(F250="LENOVO",_xlfn.XLOOKUP(B250,Input!J:J,Input!K:K),_xlfn.XLOOKUP(B250,Input!J:J,Input!L:L))</f>
        <v>0</v>
      </c>
      <c r="H250" s="32"/>
      <c r="I250" s="32"/>
      <c r="J250" s="32">
        <f>_xlfn.XLOOKUP(B250,CPU_Formula!A:A,CPU_Formula!I:I)</f>
        <v>0</v>
      </c>
      <c r="K250" s="42" t="e">
        <f>INDEX(Input!$D$2:$AC$500,
       MATCH(B250, Input!$J$2:$J$500, 0),
       MATCH("Total Memory", Input!$D$1:$AC$1, 0))</f>
        <v>#N/A</v>
      </c>
      <c r="L250" s="42" t="e">
        <f>INDEX(Input!$D$2:$AC$500,
       MATCH(B250, Input!$J$2:$J$500, 0),
       MATCH("Memory Type", Input!$D$1:$AC$1, 0))</f>
        <v>#N/A</v>
      </c>
      <c r="M250" s="42" t="str" cm="1">
        <f t="array" ref="M250">IFERROR(_xlfn.FILTERXML("&lt;t&gt;&lt;s&gt;" &amp; SUBSTITUTE(L250," / ","&lt;/s&gt;&lt;s&gt;") &amp; "&lt;/s&gt;&lt;/t&gt;","(//s[contains(.,'DDR')])[1]"),"")</f>
        <v/>
      </c>
      <c r="N250" s="32" t="e">
        <f t="shared" si="11"/>
        <v>#N/A</v>
      </c>
      <c r="O250" s="42" t="e">
        <f>INDEX(Input!$D$2:$AC$500,
       MATCH(B250, Input!$J$2:$J$500, 0),
       MATCH("Disk Interface Type", Input!$D$1:$AC$1, 0))</f>
        <v>#N/A</v>
      </c>
      <c r="P250" s="42" t="str" cm="1">
        <f t="array" ref="P250">IFERROR(_xlfn.TEXTJOIN(", ", TRUE, _xlfn._xlws.FILTER(
    INDEX(Input!$D$2:$AC$500,,MATCH("Disk Capacity",Input!$D$1:$AC$1,0)),
    Input!$J$2:$J$500=B250
)), "")</f>
        <v/>
      </c>
      <c r="Q250" s="32" t="e">
        <f t="shared" si="10"/>
        <v>#N/A</v>
      </c>
      <c r="R250" s="42" t="e">
        <f>_xlfn.LET(_xlpm.Result,INDEX(Input!$D$2:$AC$500,
       MATCH(B250, Input!$J$2:$J$500, 0),
       MATCH("Capacity", Input!$D$1:$AC$1, 0)),IF(_xlpm.Result="","",_xlpm.Result))</f>
        <v>#N/A</v>
      </c>
      <c r="S250" s="42" t="e" cm="1">
        <f t="array" ref="S250">_xlfn.TEXTSPLIT(R250," / ", ,TRUE,0,)</f>
        <v>#N/A</v>
      </c>
      <c r="T250" s="42"/>
      <c r="U250" s="42" t="str" cm="1">
        <f t="array" ref="U250">IFERROR(_xlfn.IFS(
S250="","",
--S250&lt;55,"Battery Defect",
--S250&lt;=69,"Battery D",
--S250&lt;=80,"Battery C",
--S250&gt;80,""
),"")</f>
        <v/>
      </c>
      <c r="V250" s="42" t="str" cm="1">
        <f t="array" ref="V250">IFERROR(_xlfn.IFS(
T250="","",
--T250&lt;55,"Battery Defect",
--T250&lt;=69,"Battery D",
--T250&lt;=80,"Battery C",
--T250&gt;80,""
),"")</f>
        <v/>
      </c>
      <c r="W250" s="42" t="str" cm="1">
        <f t="array" ref="W250:AD250">IFERROR(IF(_xlfn.XLOOKUP(B250,Input!J:J,Input!N:U)=0,"",
          _xlfn.XLOOKUP(B250,Input!J:J,Input!N:U)),"")</f>
        <v/>
      </c>
      <c r="X250" s="42" t="str">
        <v/>
      </c>
      <c r="Y250" s="42" t="str">
        <v/>
      </c>
      <c r="Z250" s="42" t="str">
        <v/>
      </c>
      <c r="AA250" s="42" t="str">
        <v/>
      </c>
      <c r="AB250" s="42" t="str">
        <v/>
      </c>
      <c r="AC250" s="42" t="str">
        <v/>
      </c>
      <c r="AD250" s="42" t="str">
        <v/>
      </c>
      <c r="AE250" s="32" t="str">
        <f t="shared" si="9"/>
        <v/>
      </c>
      <c r="AF250" s="32" t="str">
        <f>_xlfn.XLOOKUP(B:B,Disk_Pivot!G:G,Disk_Pivot!I:I)</f>
        <v>Yes x2</v>
      </c>
      <c r="AG250" s="32" t="str">
        <f>_xlfn.XLOOKUP(B250,Disk_Pivot!G:G,Disk_Pivot!N:N)</f>
        <v>Pass, Fail</v>
      </c>
      <c r="AH250" s="32"/>
      <c r="AI250" s="32"/>
      <c r="AJ250" s="32"/>
      <c r="AK250" s="32"/>
      <c r="AL250" s="32"/>
      <c r="AM250" s="32"/>
    </row>
    <row r="251" spans="1:39">
      <c r="A251" s="32" t="str">
        <f>_xlfn.XLOOKUP(B251,Input!J:J,Input!G:G)&amp;""</f>
        <v/>
      </c>
      <c r="B251" s="32"/>
      <c r="C251" s="32" t="str">
        <f>_xlfn.XLOOKUP(B251,Input!J:J,Input!H:H)&amp;""</f>
        <v/>
      </c>
      <c r="D251" s="42">
        <f>_xlfn.XLOOKUP(B251,Input!J:J,Input!F:F)</f>
        <v>0</v>
      </c>
      <c r="E251" s="32">
        <f>_xlfn.XLOOKUP(D251,Models!H:H,Models!G:G,D251)</f>
        <v>0</v>
      </c>
      <c r="F251" s="32">
        <f>_xlfn.XLOOKUP(B251,Input!J:J,Input!E:E)</f>
        <v>0</v>
      </c>
      <c r="G251" s="32">
        <f>IF(F251="LENOVO",_xlfn.XLOOKUP(B251,Input!J:J,Input!K:K),_xlfn.XLOOKUP(B251,Input!J:J,Input!L:L))</f>
        <v>0</v>
      </c>
      <c r="H251" s="32"/>
      <c r="I251" s="32"/>
      <c r="J251" s="32">
        <f>_xlfn.XLOOKUP(B251,CPU_Formula!A:A,CPU_Formula!I:I)</f>
        <v>0</v>
      </c>
      <c r="K251" s="42" t="e">
        <f>INDEX(Input!$D$2:$AC$500,
       MATCH(B251, Input!$J$2:$J$500, 0),
       MATCH("Total Memory", Input!$D$1:$AC$1, 0))</f>
        <v>#N/A</v>
      </c>
      <c r="L251" s="42" t="e">
        <f>INDEX(Input!$D$2:$AC$500,
       MATCH(B251, Input!$J$2:$J$500, 0),
       MATCH("Memory Type", Input!$D$1:$AC$1, 0))</f>
        <v>#N/A</v>
      </c>
      <c r="M251" s="42" t="str" cm="1">
        <f t="array" ref="M251">IFERROR(_xlfn.FILTERXML("&lt;t&gt;&lt;s&gt;" &amp; SUBSTITUTE(L251," / ","&lt;/s&gt;&lt;s&gt;") &amp; "&lt;/s&gt;&lt;/t&gt;","(//s[contains(.,'DDR')])[1]"),"")</f>
        <v/>
      </c>
      <c r="N251" s="32" t="e">
        <f t="shared" si="11"/>
        <v>#N/A</v>
      </c>
      <c r="O251" s="42" t="e">
        <f>INDEX(Input!$D$2:$AC$500,
       MATCH(B251, Input!$J$2:$J$500, 0),
       MATCH("Disk Interface Type", Input!$D$1:$AC$1, 0))</f>
        <v>#N/A</v>
      </c>
      <c r="P251" s="42" t="str" cm="1">
        <f t="array" ref="P251">IFERROR(_xlfn.TEXTJOIN(", ", TRUE, _xlfn._xlws.FILTER(
    INDEX(Input!$D$2:$AC$500,,MATCH("Disk Capacity",Input!$D$1:$AC$1,0)),
    Input!$J$2:$J$500=B251
)), "")</f>
        <v/>
      </c>
      <c r="Q251" s="32" t="e">
        <f t="shared" si="10"/>
        <v>#N/A</v>
      </c>
      <c r="R251" s="42" t="e">
        <f>_xlfn.LET(_xlpm.Result,INDEX(Input!$D$2:$AC$500,
       MATCH(B251, Input!$J$2:$J$500, 0),
       MATCH("Capacity", Input!$D$1:$AC$1, 0)),IF(_xlpm.Result="","",_xlpm.Result))</f>
        <v>#N/A</v>
      </c>
      <c r="S251" s="42" t="e" cm="1">
        <f t="array" ref="S251">_xlfn.TEXTSPLIT(R251," / ", ,TRUE,0,)</f>
        <v>#N/A</v>
      </c>
      <c r="T251" s="42"/>
      <c r="U251" s="42" t="str" cm="1">
        <f t="array" ref="U251">IFERROR(_xlfn.IFS(
S251="","",
--S251&lt;55,"Battery Defect",
--S251&lt;=69,"Battery D",
--S251&lt;=80,"Battery C",
--S251&gt;80,""
),"")</f>
        <v/>
      </c>
      <c r="V251" s="42" t="str" cm="1">
        <f t="array" ref="V251">IFERROR(_xlfn.IFS(
T251="","",
--T251&lt;55,"Battery Defect",
--T251&lt;=69,"Battery D",
--T251&lt;=80,"Battery C",
--T251&gt;80,""
),"")</f>
        <v/>
      </c>
      <c r="W251" s="42" t="str" cm="1">
        <f t="array" ref="W251:AD251">IFERROR(IF(_xlfn.XLOOKUP(B251,Input!J:J,Input!N:U)=0,"",
          _xlfn.XLOOKUP(B251,Input!J:J,Input!N:U)),"")</f>
        <v/>
      </c>
      <c r="X251" s="42" t="str">
        <v/>
      </c>
      <c r="Y251" s="42" t="str">
        <v/>
      </c>
      <c r="Z251" s="42" t="str">
        <v/>
      </c>
      <c r="AA251" s="42" t="str">
        <v/>
      </c>
      <c r="AB251" s="42" t="str">
        <v/>
      </c>
      <c r="AC251" s="42" t="str">
        <v/>
      </c>
      <c r="AD251" s="42" t="str">
        <v/>
      </c>
      <c r="AE251" s="32" t="str">
        <f t="shared" si="9"/>
        <v/>
      </c>
      <c r="AF251" s="32" t="str">
        <f>_xlfn.XLOOKUP(B:B,Disk_Pivot!G:G,Disk_Pivot!I:I)</f>
        <v>Yes x2</v>
      </c>
      <c r="AG251" s="32" t="str">
        <f>_xlfn.XLOOKUP(B251,Disk_Pivot!G:G,Disk_Pivot!N:N)</f>
        <v>Pass, Fail</v>
      </c>
      <c r="AH251" s="32"/>
      <c r="AI251" s="32"/>
      <c r="AJ251" s="32"/>
      <c r="AK251" s="32"/>
      <c r="AL251" s="32"/>
      <c r="AM251" s="32"/>
    </row>
    <row r="252" spans="1:39">
      <c r="A252" s="32" t="str">
        <f>_xlfn.XLOOKUP(B252,Input!J:J,Input!G:G)&amp;""</f>
        <v/>
      </c>
      <c r="B252" s="32"/>
      <c r="C252" s="32" t="str">
        <f>_xlfn.XLOOKUP(B252,Input!J:J,Input!H:H)&amp;""</f>
        <v/>
      </c>
      <c r="D252" s="42">
        <f>_xlfn.XLOOKUP(B252,Input!J:J,Input!F:F)</f>
        <v>0</v>
      </c>
      <c r="E252" s="32">
        <f>_xlfn.XLOOKUP(D252,Models!H:H,Models!G:G,D252)</f>
        <v>0</v>
      </c>
      <c r="F252" s="32">
        <f>_xlfn.XLOOKUP(B252,Input!J:J,Input!E:E)</f>
        <v>0</v>
      </c>
      <c r="G252" s="32">
        <f>IF(F252="LENOVO",_xlfn.XLOOKUP(B252,Input!J:J,Input!K:K),_xlfn.XLOOKUP(B252,Input!J:J,Input!L:L))</f>
        <v>0</v>
      </c>
      <c r="H252" s="32"/>
      <c r="I252" s="32"/>
      <c r="J252" s="32">
        <f>_xlfn.XLOOKUP(B252,CPU_Formula!A:A,CPU_Formula!I:I)</f>
        <v>0</v>
      </c>
      <c r="K252" s="42" t="e">
        <f>INDEX(Input!$D$2:$AC$500,
       MATCH(B252, Input!$J$2:$J$500, 0),
       MATCH("Total Memory", Input!$D$1:$AC$1, 0))</f>
        <v>#N/A</v>
      </c>
      <c r="L252" s="42" t="e">
        <f>INDEX(Input!$D$2:$AC$500,
       MATCH(B252, Input!$J$2:$J$500, 0),
       MATCH("Memory Type", Input!$D$1:$AC$1, 0))</f>
        <v>#N/A</v>
      </c>
      <c r="M252" s="42" t="str" cm="1">
        <f t="array" ref="M252">IFERROR(_xlfn.FILTERXML("&lt;t&gt;&lt;s&gt;" &amp; SUBSTITUTE(L252," / ","&lt;/s&gt;&lt;s&gt;") &amp; "&lt;/s&gt;&lt;/t&gt;","(//s[contains(.,'DDR')])[1]"),"")</f>
        <v/>
      </c>
      <c r="N252" s="32" t="e">
        <f t="shared" si="11"/>
        <v>#N/A</v>
      </c>
      <c r="O252" s="42" t="e">
        <f>INDEX(Input!$D$2:$AC$500,
       MATCH(B252, Input!$J$2:$J$500, 0),
       MATCH("Disk Interface Type", Input!$D$1:$AC$1, 0))</f>
        <v>#N/A</v>
      </c>
      <c r="P252" s="42" t="str" cm="1">
        <f t="array" ref="P252">IFERROR(_xlfn.TEXTJOIN(", ", TRUE, _xlfn._xlws.FILTER(
    INDEX(Input!$D$2:$AC$500,,MATCH("Disk Capacity",Input!$D$1:$AC$1,0)),
    Input!$J$2:$J$500=B252
)), "")</f>
        <v/>
      </c>
      <c r="Q252" s="32" t="e">
        <f t="shared" si="10"/>
        <v>#N/A</v>
      </c>
      <c r="R252" s="42" t="e">
        <f>_xlfn.LET(_xlpm.Result,INDEX(Input!$D$2:$AC$500,
       MATCH(B252, Input!$J$2:$J$500, 0),
       MATCH("Capacity", Input!$D$1:$AC$1, 0)),IF(_xlpm.Result="","",_xlpm.Result))</f>
        <v>#N/A</v>
      </c>
      <c r="S252" s="42" t="e" cm="1">
        <f t="array" ref="S252">_xlfn.TEXTSPLIT(R252," / ", ,TRUE,0,)</f>
        <v>#N/A</v>
      </c>
      <c r="T252" s="42"/>
      <c r="U252" s="42" t="str" cm="1">
        <f t="array" ref="U252">IFERROR(_xlfn.IFS(
S252="","",
--S252&lt;55,"Battery Defect",
--S252&lt;=69,"Battery D",
--S252&lt;=80,"Battery C",
--S252&gt;80,""
),"")</f>
        <v/>
      </c>
      <c r="V252" s="42" t="str" cm="1">
        <f t="array" ref="V252">IFERROR(_xlfn.IFS(
T252="","",
--T252&lt;55,"Battery Defect",
--T252&lt;=69,"Battery D",
--T252&lt;=80,"Battery C",
--T252&gt;80,""
),"")</f>
        <v/>
      </c>
      <c r="W252" s="42" t="str" cm="1">
        <f t="array" ref="W252:AD252">IFERROR(IF(_xlfn.XLOOKUP(B252,Input!J:J,Input!N:U)=0,"",
          _xlfn.XLOOKUP(B252,Input!J:J,Input!N:U)),"")</f>
        <v/>
      </c>
      <c r="X252" s="42" t="str">
        <v/>
      </c>
      <c r="Y252" s="42" t="str">
        <v/>
      </c>
      <c r="Z252" s="42" t="str">
        <v/>
      </c>
      <c r="AA252" s="42" t="str">
        <v/>
      </c>
      <c r="AB252" s="42" t="str">
        <v/>
      </c>
      <c r="AC252" s="42" t="str">
        <v/>
      </c>
      <c r="AD252" s="42" t="str">
        <v/>
      </c>
      <c r="AE252" s="32" t="str">
        <f t="shared" si="9"/>
        <v/>
      </c>
      <c r="AF252" s="32" t="str">
        <f>_xlfn.XLOOKUP(B:B,Disk_Pivot!G:G,Disk_Pivot!I:I)</f>
        <v>Yes x2</v>
      </c>
      <c r="AG252" s="32" t="str">
        <f>_xlfn.XLOOKUP(B252,Disk_Pivot!G:G,Disk_Pivot!N:N)</f>
        <v>Pass, Fail</v>
      </c>
      <c r="AH252" s="32"/>
      <c r="AI252" s="32"/>
      <c r="AJ252" s="32"/>
      <c r="AK252" s="32"/>
      <c r="AL252" s="32"/>
      <c r="AM252" s="32"/>
    </row>
    <row r="253" spans="1:39">
      <c r="A253" s="32" t="str">
        <f>_xlfn.XLOOKUP(B253,Input!J:J,Input!G:G)&amp;""</f>
        <v/>
      </c>
      <c r="B253" s="32"/>
      <c r="C253" s="32" t="str">
        <f>_xlfn.XLOOKUP(B253,Input!J:J,Input!H:H)&amp;""</f>
        <v/>
      </c>
      <c r="D253" s="42">
        <f>_xlfn.XLOOKUP(B253,Input!J:J,Input!F:F)</f>
        <v>0</v>
      </c>
      <c r="E253" s="32">
        <f>_xlfn.XLOOKUP(D253,Models!H:H,Models!G:G,D253)</f>
        <v>0</v>
      </c>
      <c r="F253" s="32">
        <f>_xlfn.XLOOKUP(B253,Input!J:J,Input!E:E)</f>
        <v>0</v>
      </c>
      <c r="G253" s="32">
        <f>IF(F253="LENOVO",_xlfn.XLOOKUP(B253,Input!J:J,Input!K:K),_xlfn.XLOOKUP(B253,Input!J:J,Input!L:L))</f>
        <v>0</v>
      </c>
      <c r="H253" s="32"/>
      <c r="I253" s="32"/>
      <c r="J253" s="32">
        <f>_xlfn.XLOOKUP(B253,CPU_Formula!A:A,CPU_Formula!I:I)</f>
        <v>0</v>
      </c>
      <c r="K253" s="42" t="e">
        <f>INDEX(Input!$D$2:$AC$500,
       MATCH(B253, Input!$J$2:$J$500, 0),
       MATCH("Total Memory", Input!$D$1:$AC$1, 0))</f>
        <v>#N/A</v>
      </c>
      <c r="L253" s="42" t="e">
        <f>INDEX(Input!$D$2:$AC$500,
       MATCH(B253, Input!$J$2:$J$500, 0),
       MATCH("Memory Type", Input!$D$1:$AC$1, 0))</f>
        <v>#N/A</v>
      </c>
      <c r="M253" s="42" t="str" cm="1">
        <f t="array" ref="M253">IFERROR(_xlfn.FILTERXML("&lt;t&gt;&lt;s&gt;" &amp; SUBSTITUTE(L253," / ","&lt;/s&gt;&lt;s&gt;") &amp; "&lt;/s&gt;&lt;/t&gt;","(//s[contains(.,'DDR')])[1]"),"")</f>
        <v/>
      </c>
      <c r="N253" s="32" t="e">
        <f t="shared" si="11"/>
        <v>#N/A</v>
      </c>
      <c r="O253" s="42" t="e">
        <f>INDEX(Input!$D$2:$AC$500,
       MATCH(B253, Input!$J$2:$J$500, 0),
       MATCH("Disk Interface Type", Input!$D$1:$AC$1, 0))</f>
        <v>#N/A</v>
      </c>
      <c r="P253" s="42" t="str" cm="1">
        <f t="array" ref="P253">IFERROR(_xlfn.TEXTJOIN(", ", TRUE, _xlfn._xlws.FILTER(
    INDEX(Input!$D$2:$AC$500,,MATCH("Disk Capacity",Input!$D$1:$AC$1,0)),
    Input!$J$2:$J$500=B253
)), "")</f>
        <v/>
      </c>
      <c r="Q253" s="32" t="e">
        <f t="shared" si="10"/>
        <v>#N/A</v>
      </c>
      <c r="R253" s="42" t="e">
        <f>_xlfn.LET(_xlpm.Result,INDEX(Input!$D$2:$AC$500,
       MATCH(B253, Input!$J$2:$J$500, 0),
       MATCH("Capacity", Input!$D$1:$AC$1, 0)),IF(_xlpm.Result="","",_xlpm.Result))</f>
        <v>#N/A</v>
      </c>
      <c r="S253" s="42" t="e" cm="1">
        <f t="array" ref="S253">_xlfn.TEXTSPLIT(R253," / ", ,TRUE,0,)</f>
        <v>#N/A</v>
      </c>
      <c r="T253" s="42"/>
      <c r="U253" s="42" t="str" cm="1">
        <f t="array" ref="U253">IFERROR(_xlfn.IFS(
S253="","",
--S253&lt;55,"Battery Defect",
--S253&lt;=69,"Battery D",
--S253&lt;=80,"Battery C",
--S253&gt;80,""
),"")</f>
        <v/>
      </c>
      <c r="V253" s="42" t="str" cm="1">
        <f t="array" ref="V253">IFERROR(_xlfn.IFS(
T253="","",
--T253&lt;55,"Battery Defect",
--T253&lt;=69,"Battery D",
--T253&lt;=80,"Battery C",
--T253&gt;80,""
),"")</f>
        <v/>
      </c>
      <c r="W253" s="42" t="str" cm="1">
        <f t="array" ref="W253:AB253">IFERROR(IF(_xlfn.XLOOKUP(B254,Input!J:J,Input!N:S)=0,"",
          _xlfn.XLOOKUP(B254,Input!J:J,Input!N:S)),"")</f>
        <v/>
      </c>
      <c r="X253" s="42" t="str">
        <v/>
      </c>
      <c r="Y253" s="42" t="str">
        <v/>
      </c>
      <c r="Z253" s="42" t="str">
        <v/>
      </c>
      <c r="AA253" s="42" t="str">
        <v/>
      </c>
      <c r="AB253" s="42" t="str">
        <v/>
      </c>
      <c r="AC253" s="42"/>
      <c r="AD253" s="42"/>
      <c r="AE253" s="32" t="str">
        <f t="shared" si="9"/>
        <v/>
      </c>
      <c r="AF253" s="32"/>
      <c r="AG253" s="32"/>
      <c r="AH253" s="32"/>
      <c r="AI253" s="32"/>
      <c r="AJ253" s="32"/>
      <c r="AK253" s="32"/>
      <c r="AL253" s="32"/>
      <c r="AM253" s="32"/>
    </row>
    <row r="254" spans="1:39">
      <c r="A254" s="32" t="str">
        <f>_xlfn.XLOOKUP(B254,Input!J:J,Input!G:G)&amp;""</f>
        <v/>
      </c>
      <c r="B254" s="32"/>
      <c r="C254" s="32" t="str">
        <f>_xlfn.XLOOKUP(B254,Input!J:J,Input!H:H)&amp;""</f>
        <v/>
      </c>
      <c r="D254" s="42">
        <f>_xlfn.XLOOKUP(B254,Input!J:J,Input!F:F)</f>
        <v>0</v>
      </c>
      <c r="E254" s="32">
        <f>_xlfn.XLOOKUP(D254,Models!H:H,Models!G:G,D254)</f>
        <v>0</v>
      </c>
      <c r="F254" s="32">
        <f>_xlfn.XLOOKUP(B254,Input!J:J,Input!E:E)</f>
        <v>0</v>
      </c>
      <c r="G254" s="32">
        <f>IF(F254="LENOVO",_xlfn.XLOOKUP(B254,Input!J:J,Input!K:K),_xlfn.XLOOKUP(B254,Input!J:J,Input!L:L))</f>
        <v>0</v>
      </c>
      <c r="H254" s="32"/>
      <c r="I254" s="32"/>
      <c r="J254" s="32">
        <f>_xlfn.XLOOKUP(B254,CPU_Formula!A:A,CPU_Formula!I:I)</f>
        <v>0</v>
      </c>
      <c r="K254" s="42" t="e">
        <f>INDEX(Input!$D$2:$AC$500,
       MATCH(B254, Input!$J$2:$J$500, 0),
       MATCH("Total Memory", Input!$D$1:$AC$1, 0))</f>
        <v>#N/A</v>
      </c>
      <c r="L254" s="42" t="e">
        <f>INDEX(Input!$D$2:$AC$500,
       MATCH(B254, Input!$J$2:$J$500, 0),
       MATCH("Memory Type", Input!$D$1:$AC$1, 0))</f>
        <v>#N/A</v>
      </c>
      <c r="M254" s="42" t="str" cm="1">
        <f t="array" ref="M254">IFERROR(_xlfn.FILTERXML("&lt;t&gt;&lt;s&gt;" &amp; SUBSTITUTE(L254," / ","&lt;/s&gt;&lt;s&gt;") &amp; "&lt;/s&gt;&lt;/t&gt;","(//s[contains(.,'DDR')])[1]"),"")</f>
        <v/>
      </c>
      <c r="N254" s="32" t="e">
        <f t="shared" si="11"/>
        <v>#N/A</v>
      </c>
      <c r="O254" s="42" t="e">
        <f>INDEX(Input!$D$2:$AC$500,
       MATCH(B254, Input!$J$2:$J$500, 0),
       MATCH("Disk Interface Type", Input!$D$1:$AC$1, 0))</f>
        <v>#N/A</v>
      </c>
      <c r="P254" s="42" t="str" cm="1">
        <f t="array" ref="P254">IFERROR(_xlfn.TEXTJOIN(", ", TRUE, _xlfn._xlws.FILTER(
    INDEX(Input!$D$2:$AC$500,,MATCH("Disk Capacity",Input!$D$1:$AC$1,0)),
    Input!$J$2:$J$500=B254
)), "")</f>
        <v/>
      </c>
      <c r="Q254" s="32" t="e">
        <f t="shared" si="10"/>
        <v>#N/A</v>
      </c>
      <c r="R254" s="42" t="e">
        <f>_xlfn.LET(_xlpm.Result,INDEX(Input!$D$2:$AC$500,
       MATCH(B254, Input!$J$2:$J$500, 0),
       MATCH("Capacity", Input!$D$1:$AC$1, 0)),IF(_xlpm.Result="","",_xlpm.Result))</f>
        <v>#N/A</v>
      </c>
      <c r="S254" s="42" t="e" cm="1">
        <f t="array" ref="S254">_xlfn.TEXTSPLIT(R254," / ", ,TRUE,0,)</f>
        <v>#N/A</v>
      </c>
      <c r="T254" s="42"/>
      <c r="U254" s="42" t="str" cm="1">
        <f t="array" ref="U254">IFERROR(_xlfn.IFS(
S254="","",
--S254&lt;55,"Battery Defect",
--S254&lt;=69,"Battery D",
--S254&lt;=80,"Battery C",
--S254&gt;80,""
),"")</f>
        <v/>
      </c>
      <c r="V254" s="42" t="str" cm="1">
        <f t="array" ref="V254">IFERROR(_xlfn.IFS(
T254="","",
--T254&lt;55,"Battery Defect",
--T254&lt;=69,"Battery D",
--T254&lt;=80,"Battery C",
--T254&gt;80,""
),"")</f>
        <v/>
      </c>
      <c r="W254" s="42" t="str" cm="1">
        <f t="array" ref="W254:AB254">IFERROR(IF(_xlfn.XLOOKUP(B255,Input!J:J,Input!N:S)=0,"",
          _xlfn.XLOOKUP(B255,Input!J:J,Input!N:S)),"")</f>
        <v/>
      </c>
      <c r="X254" s="42" t="str">
        <v/>
      </c>
      <c r="Y254" s="42" t="str">
        <v/>
      </c>
      <c r="Z254" s="42" t="str">
        <v/>
      </c>
      <c r="AA254" s="42" t="str">
        <v/>
      </c>
      <c r="AB254" s="42" t="str">
        <v/>
      </c>
      <c r="AC254" s="42"/>
      <c r="AD254" s="42"/>
      <c r="AE254" s="32" t="str">
        <f t="shared" si="9"/>
        <v/>
      </c>
      <c r="AF254" s="32"/>
      <c r="AG254" s="32"/>
      <c r="AH254" s="32"/>
      <c r="AI254" s="32"/>
      <c r="AJ254" s="32"/>
      <c r="AK254" s="32"/>
      <c r="AL254" s="32"/>
      <c r="AM254" s="32"/>
    </row>
    <row r="255" spans="1:39">
      <c r="A255" s="32" t="str">
        <f>_xlfn.XLOOKUP(B255,Input!J:J,Input!G:G)&amp;""</f>
        <v/>
      </c>
      <c r="B255" s="32"/>
      <c r="C255" s="32" t="str">
        <f>_xlfn.XLOOKUP(B255,Input!J:J,Input!H:H)&amp;""</f>
        <v/>
      </c>
      <c r="D255" s="42">
        <f>_xlfn.XLOOKUP(B255,Input!J:J,Input!F:F)</f>
        <v>0</v>
      </c>
      <c r="E255" s="32">
        <f>_xlfn.XLOOKUP(D255,Models!H:H,Models!G:G,D255)</f>
        <v>0</v>
      </c>
      <c r="F255" s="32">
        <f>_xlfn.XLOOKUP(B255,Input!J:J,Input!E:E)</f>
        <v>0</v>
      </c>
      <c r="G255" s="32">
        <f>IF(F255="LENOVO",_xlfn.XLOOKUP(B255,Input!J:J,Input!K:K),_xlfn.XLOOKUP(B255,Input!J:J,Input!L:L))</f>
        <v>0</v>
      </c>
      <c r="H255" s="32"/>
      <c r="I255" s="32"/>
      <c r="J255" s="32">
        <f>_xlfn.XLOOKUP(B255,CPU_Formula!A:A,CPU_Formula!I:I)</f>
        <v>0</v>
      </c>
      <c r="K255" s="42" t="e">
        <f>INDEX(Input!$D$2:$AC$500,
       MATCH(B255, Input!$J$2:$J$500, 0),
       MATCH("Total Memory", Input!$D$1:$AC$1, 0))</f>
        <v>#N/A</v>
      </c>
      <c r="L255" s="42"/>
      <c r="M255" s="42" t="str" cm="1">
        <f t="array" ref="M255">IFERROR(_xlfn.FILTERXML("&lt;t&gt;&lt;s&gt;" &amp; SUBSTITUTE(L255," / ","&lt;/s&gt;&lt;s&gt;") &amp; "&lt;/s&gt;&lt;/t&gt;","(//s[contains(.,'DDR')])[1]"),"")</f>
        <v/>
      </c>
      <c r="N255" s="32" t="e">
        <f t="shared" si="11"/>
        <v>#N/A</v>
      </c>
      <c r="O255" s="42" t="e">
        <f>INDEX(Input!$D$2:$AC$500,
       MATCH(B255, Input!$J$2:$J$500, 0),
       MATCH("Disk Interface Type", Input!$D$1:$AC$1, 0))</f>
        <v>#N/A</v>
      </c>
      <c r="P255" s="42" t="str" cm="1">
        <f t="array" ref="P255">IFERROR(_xlfn.TEXTJOIN(", ", TRUE, _xlfn._xlws.FILTER(
    INDEX(Input!$D$2:$AC$500,,MATCH("Disk Capacity",Input!$D$1:$AC$1,0)),
    Input!$J$2:$J$500=B255
)), "")</f>
        <v/>
      </c>
      <c r="Q255" s="32" t="e">
        <f t="shared" si="10"/>
        <v>#N/A</v>
      </c>
      <c r="R255" s="42" t="e">
        <f>_xlfn.LET(_xlpm.Result,INDEX(Input!$D$2:$AC$500,
       MATCH(B255, Input!$J$2:$J$500, 0),
       MATCH("Capacity", Input!$D$1:$AC$1, 0)),IF(_xlpm.Result="","",_xlpm.Result))</f>
        <v>#N/A</v>
      </c>
      <c r="S255" s="42" t="e" cm="1">
        <f t="array" ref="S255">_xlfn.TEXTSPLIT(R255," / ", ,TRUE,0,)</f>
        <v>#N/A</v>
      </c>
      <c r="T255" s="42"/>
      <c r="U255" s="42" t="str" cm="1">
        <f t="array" ref="U255">IFERROR(_xlfn.IFS(
S255="","",
--S255&lt;55,"Battery Defect",
--S255&lt;=69,"Battery D",
--S255&lt;=80,"Battery C",
--S255&gt;80,""
),"")</f>
        <v/>
      </c>
      <c r="V255" s="42" t="str" cm="1">
        <f t="array" ref="V255">IFERROR(_xlfn.IFS(
T255="","",
--T255&lt;55,"Battery Defect",
--T255&lt;=69,"Battery D",
--T255&lt;=80,"Battery C",
--T255&gt;80,""
),"")</f>
        <v/>
      </c>
      <c r="W255" s="42" t="str" cm="1">
        <f t="array" ref="W255:AB255">IFERROR(IF(_xlfn.XLOOKUP(B256,Input!J:J,Input!N:S)=0,"",
          _xlfn.XLOOKUP(B256,Input!J:J,Input!N:S)),"")</f>
        <v/>
      </c>
      <c r="X255" s="42" t="str">
        <v/>
      </c>
      <c r="Y255" s="42" t="str">
        <v/>
      </c>
      <c r="Z255" s="42" t="str">
        <v/>
      </c>
      <c r="AA255" s="42" t="str">
        <v/>
      </c>
      <c r="AB255" s="42" t="str">
        <v/>
      </c>
      <c r="AC255" s="42"/>
      <c r="AD255" s="42"/>
      <c r="AE255" s="32" t="str">
        <f t="shared" si="9"/>
        <v/>
      </c>
      <c r="AF255" s="32"/>
      <c r="AG255" s="32"/>
      <c r="AH255" s="32"/>
      <c r="AI255" s="32"/>
      <c r="AJ255" s="32"/>
      <c r="AK255" s="32"/>
      <c r="AL255" s="32"/>
      <c r="AM255" s="32"/>
    </row>
    <row r="256" spans="1:39">
      <c r="A256" s="32" t="str">
        <f>_xlfn.XLOOKUP(B256,Input!J:J,Input!G:G)&amp;""</f>
        <v/>
      </c>
      <c r="B256" s="32"/>
      <c r="C256" s="32" t="str">
        <f>_xlfn.XLOOKUP(B256,Input!J:J,Input!H:H)&amp;""</f>
        <v/>
      </c>
      <c r="D256" s="42">
        <f>_xlfn.XLOOKUP(B256,Input!J:J,Input!F:F)</f>
        <v>0</v>
      </c>
      <c r="E256" s="32">
        <f>_xlfn.XLOOKUP(D256,Models!H:H,Models!G:G,D256)</f>
        <v>0</v>
      </c>
      <c r="F256" s="32">
        <f>_xlfn.XLOOKUP(B256,Input!J:J,Input!E:E)</f>
        <v>0</v>
      </c>
      <c r="G256" s="32">
        <f>IF(F256="LENOVO",_xlfn.XLOOKUP(B256,Input!J:J,Input!K:K),_xlfn.XLOOKUP(B256,Input!J:J,Input!L:L))</f>
        <v>0</v>
      </c>
      <c r="H256" s="32"/>
      <c r="I256" s="32"/>
      <c r="J256" s="32">
        <f>_xlfn.XLOOKUP(B256,CPU_Formula!A:A,CPU_Formula!I:I)</f>
        <v>0</v>
      </c>
      <c r="K256" s="42" t="e">
        <f>INDEX(Input!$D$2:$AC$500,
       MATCH(B256, Input!$J$2:$J$500, 0),
       MATCH("Total Memory", Input!$D$1:$AC$1, 0))</f>
        <v>#N/A</v>
      </c>
      <c r="L256" s="42"/>
      <c r="M256" s="42" t="str" cm="1">
        <f t="array" ref="M256">IFERROR(_xlfn.FILTERXML("&lt;t&gt;&lt;s&gt;" &amp; SUBSTITUTE(L256," / ","&lt;/s&gt;&lt;s&gt;") &amp; "&lt;/s&gt;&lt;/t&gt;","(//s[contains(.,'DDR')])[1]"),"")</f>
        <v/>
      </c>
      <c r="N256" s="32" t="e">
        <f t="shared" si="11"/>
        <v>#N/A</v>
      </c>
      <c r="O256" s="42" t="e">
        <f>INDEX(Input!$D$2:$AC$500,
       MATCH(B256, Input!$J$2:$J$500, 0),
       MATCH("Disk Interface Type", Input!$D$1:$AC$1, 0))</f>
        <v>#N/A</v>
      </c>
      <c r="P256" s="42" t="str" cm="1">
        <f t="array" ref="P256">IFERROR(_xlfn.TEXTJOIN(", ", TRUE, _xlfn._xlws.FILTER(
    INDEX(Input!$D$2:$AC$500,,MATCH("Disk Capacity",Input!$D$1:$AC$1,0)),
    Input!$J$2:$J$500=B256
)), "")</f>
        <v/>
      </c>
      <c r="Q256" s="32" t="e">
        <f t="shared" si="10"/>
        <v>#N/A</v>
      </c>
      <c r="R256" s="42" t="e">
        <f>_xlfn.LET(_xlpm.Result,INDEX(Input!$D$2:$AC$500,
       MATCH(B256, Input!$J$2:$J$500, 0),
       MATCH("Capacity", Input!$D$1:$AC$1, 0)),IF(_xlpm.Result="","",_xlpm.Result))</f>
        <v>#N/A</v>
      </c>
      <c r="S256" s="42" t="e" cm="1">
        <f t="array" ref="S256">_xlfn.TEXTSPLIT(R256," / ", ,TRUE,0,)</f>
        <v>#N/A</v>
      </c>
      <c r="T256" s="42"/>
      <c r="U256" s="42" t="str" cm="1">
        <f t="array" ref="U256">IFERROR(_xlfn.IFS(
S256="","",
--S256&lt;55,"Battery Defect",
--S256&lt;=69,"Battery D",
--S256&lt;=80,"Battery C",
--S256&gt;80,""
),"")</f>
        <v/>
      </c>
      <c r="V256" s="42" t="str" cm="1">
        <f t="array" ref="V256">IFERROR(_xlfn.IFS(
T256="","",
--T256&lt;55,"Battery Defect",
--T256&lt;=69,"Battery D",
--T256&lt;=80,"Battery C",
--T256&gt;80,""
),"")</f>
        <v/>
      </c>
      <c r="W256" s="42" t="str" cm="1">
        <f t="array" ref="W256:AB256">IFERROR(IF(_xlfn.XLOOKUP(B257,Input!J:J,Input!N:S)=0,"",
          _xlfn.XLOOKUP(B257,Input!J:J,Input!N:S)),"")</f>
        <v/>
      </c>
      <c r="X256" s="42" t="str">
        <v/>
      </c>
      <c r="Y256" s="42" t="str">
        <v/>
      </c>
      <c r="Z256" s="42" t="str">
        <v/>
      </c>
      <c r="AA256" s="42" t="str">
        <v/>
      </c>
      <c r="AB256" s="42" t="str">
        <v/>
      </c>
      <c r="AC256" s="42"/>
      <c r="AD256" s="42"/>
      <c r="AE256" s="32" t="str">
        <f t="shared" si="9"/>
        <v/>
      </c>
      <c r="AF256" s="32"/>
      <c r="AG256" s="32"/>
      <c r="AH256" s="32"/>
      <c r="AI256" s="32"/>
      <c r="AJ256" s="32"/>
      <c r="AK256" s="32"/>
      <c r="AL256" s="32"/>
      <c r="AM256" s="32"/>
    </row>
    <row r="257" spans="1:39">
      <c r="A257" s="32" t="str">
        <f>_xlfn.XLOOKUP(B257,Input!J:J,Input!G:G)&amp;""</f>
        <v/>
      </c>
      <c r="B257" s="32"/>
      <c r="C257" s="32" t="str">
        <f>_xlfn.XLOOKUP(B257,Input!J:J,Input!H:H)&amp;""</f>
        <v/>
      </c>
      <c r="D257" s="42">
        <f>_xlfn.XLOOKUP(B257,Input!J:J,Input!F:F)</f>
        <v>0</v>
      </c>
      <c r="E257" s="32">
        <f>_xlfn.XLOOKUP(D257,Models!H:H,Models!G:G,D257)</f>
        <v>0</v>
      </c>
      <c r="F257" s="32">
        <f>_xlfn.XLOOKUP(B257,Input!J:J,Input!E:E)</f>
        <v>0</v>
      </c>
      <c r="G257" s="32">
        <f>IF(F257="LENOVO",_xlfn.XLOOKUP(B257,Input!J:J,Input!K:K),_xlfn.XLOOKUP(B257,Input!J:J,Input!L:L))</f>
        <v>0</v>
      </c>
      <c r="H257" s="32"/>
      <c r="I257" s="32"/>
      <c r="J257" s="32">
        <f>_xlfn.XLOOKUP(B257,CPU_Formula!A:A,CPU_Formula!I:I)</f>
        <v>0</v>
      </c>
      <c r="K257" s="42" t="e">
        <f>INDEX(Input!$D$2:$AC$500,
       MATCH(B257, Input!$J$2:$J$500, 0),
       MATCH("Total Memory", Input!$D$1:$AC$1, 0))</f>
        <v>#N/A</v>
      </c>
      <c r="L257" s="42"/>
      <c r="M257" s="42" t="str" cm="1">
        <f t="array" ref="M257">IFERROR(_xlfn.FILTERXML("&lt;t&gt;&lt;s&gt;" &amp; SUBSTITUTE(L257," / ","&lt;/s&gt;&lt;s&gt;") &amp; "&lt;/s&gt;&lt;/t&gt;","(//s[contains(.,'DDR')])[1]"),"")</f>
        <v/>
      </c>
      <c r="N257" s="32" t="e">
        <f t="shared" si="11"/>
        <v>#N/A</v>
      </c>
      <c r="O257" s="42" t="e">
        <f>INDEX(Input!$D$2:$AC$500,
       MATCH(B257, Input!$J$2:$J$500, 0),
       MATCH("Disk Interface Type", Input!$D$1:$AC$1, 0))</f>
        <v>#N/A</v>
      </c>
      <c r="P257" s="42" t="str" cm="1">
        <f t="array" ref="P257">IFERROR(_xlfn.TEXTJOIN(", ", TRUE, _xlfn._xlws.FILTER(
    INDEX(Input!$D$2:$AC$500,,MATCH("Disk Capacity",Input!$D$1:$AC$1,0)),
    Input!$J$2:$J$500=B257
)), "")</f>
        <v/>
      </c>
      <c r="Q257" s="32" t="e">
        <f t="shared" si="10"/>
        <v>#N/A</v>
      </c>
      <c r="R257" s="42" t="e">
        <f>_xlfn.LET(_xlpm.Result,INDEX(Input!$D$2:$AC$500,
       MATCH(B257, Input!$J$2:$J$500, 0),
       MATCH("Capacity", Input!$D$1:$AC$1, 0)),IF(_xlpm.Result="","",_xlpm.Result))</f>
        <v>#N/A</v>
      </c>
      <c r="S257" s="42" t="e" cm="1">
        <f t="array" ref="S257">_xlfn.TEXTSPLIT(R257," / ", ,TRUE,0,)</f>
        <v>#N/A</v>
      </c>
      <c r="T257" s="42"/>
      <c r="U257" s="42" t="str" cm="1">
        <f t="array" ref="U257">IFERROR(_xlfn.IFS(
S257="","",
--S257&lt;55,"Battery Defect",
--S257&lt;=69,"Battery D",
--S257&lt;=80,"Battery C",
--S257&gt;80,""
),"")</f>
        <v/>
      </c>
      <c r="V257" s="42" t="str" cm="1">
        <f t="array" ref="V257">IFERROR(_xlfn.IFS(
T257="","",
--T257&lt;55,"Battery Defect",
--T257&lt;=69,"Battery D",
--T257&lt;=80,"Battery C",
--T257&gt;80,""
),"")</f>
        <v/>
      </c>
      <c r="W257" s="42" t="str" cm="1">
        <f t="array" ref="W257:AB257">IFERROR(IF(_xlfn.XLOOKUP(B258,Input!J:J,Input!N:S)=0,"",
          _xlfn.XLOOKUP(B258,Input!J:J,Input!N:S)),"")</f>
        <v/>
      </c>
      <c r="X257" s="42" t="str">
        <v/>
      </c>
      <c r="Y257" s="42" t="str">
        <v/>
      </c>
      <c r="Z257" s="42" t="str">
        <v/>
      </c>
      <c r="AA257" s="42" t="str">
        <v/>
      </c>
      <c r="AB257" s="42" t="str">
        <v/>
      </c>
      <c r="AC257" s="42"/>
      <c r="AD257" s="42"/>
      <c r="AE257" s="32" t="str">
        <f t="shared" si="9"/>
        <v/>
      </c>
      <c r="AF257" s="32"/>
      <c r="AG257" s="32"/>
      <c r="AH257" s="32"/>
      <c r="AI257" s="32"/>
      <c r="AJ257" s="32"/>
      <c r="AK257" s="32"/>
      <c r="AL257" s="32"/>
      <c r="AM257" s="32"/>
    </row>
    <row r="258" spans="1:39">
      <c r="A258" s="32" t="str">
        <f>_xlfn.XLOOKUP(B258,Input!J:J,Input!G:G)&amp;""</f>
        <v/>
      </c>
      <c r="B258" s="32"/>
      <c r="C258" s="32" t="str">
        <f>_xlfn.XLOOKUP(B258,Input!J:J,Input!H:H)&amp;""</f>
        <v/>
      </c>
      <c r="D258" s="42">
        <f>_xlfn.XLOOKUP(B258,Input!J:J,Input!F:F)</f>
        <v>0</v>
      </c>
      <c r="E258" s="32">
        <f>_xlfn.XLOOKUP(D258,Models!H:H,Models!G:G,D258)</f>
        <v>0</v>
      </c>
      <c r="F258" s="32">
        <f>_xlfn.XLOOKUP(B258,Input!J:J,Input!E:E)</f>
        <v>0</v>
      </c>
      <c r="G258" s="32">
        <f>IF(F258="LENOVO",_xlfn.XLOOKUP(B258,Input!J:J,Input!K:K),_xlfn.XLOOKUP(B258,Input!J:J,Input!L:L))</f>
        <v>0</v>
      </c>
      <c r="H258" s="32"/>
      <c r="I258" s="32"/>
      <c r="J258" s="32">
        <f>_xlfn.XLOOKUP(B258,CPU_Formula!A:A,CPU_Formula!I:I)</f>
        <v>0</v>
      </c>
      <c r="K258" s="42" t="e">
        <f>INDEX(Input!$D$2:$AC$500,
       MATCH(B258, Input!$J$2:$J$500, 0),
       MATCH("Total Memory", Input!$D$1:$AC$1, 0))</f>
        <v>#N/A</v>
      </c>
      <c r="L258" s="42"/>
      <c r="M258" s="42" t="str" cm="1">
        <f t="array" ref="M258">IFERROR(_xlfn.FILTERXML("&lt;t&gt;&lt;s&gt;" &amp; SUBSTITUTE(L258," / ","&lt;/s&gt;&lt;s&gt;") &amp; "&lt;/s&gt;&lt;/t&gt;","(//s[contains(.,'DDR')])[1]"),"")</f>
        <v/>
      </c>
      <c r="N258" s="32" t="e">
        <f t="shared" si="11"/>
        <v>#N/A</v>
      </c>
      <c r="O258" s="42" t="e">
        <f>INDEX(Input!$D$2:$AC$500,
       MATCH(B258, Input!$J$2:$J$500, 0),
       MATCH("Disk Interface Type", Input!$D$1:$AC$1, 0))</f>
        <v>#N/A</v>
      </c>
      <c r="P258" s="42" t="str" cm="1">
        <f t="array" ref="P258">IFERROR(_xlfn.TEXTJOIN(", ", TRUE, _xlfn._xlws.FILTER(
    INDEX(Input!$D$2:$AC$500,,MATCH("Disk Capacity",Input!$D$1:$AC$1,0)),
    Input!$J$2:$J$500=B258
)), "")</f>
        <v/>
      </c>
      <c r="Q258" s="32" t="e">
        <f t="shared" si="10"/>
        <v>#N/A</v>
      </c>
      <c r="R258" s="42" t="e">
        <f>_xlfn.LET(_xlpm.Result,INDEX(Input!$D$2:$AC$500,
       MATCH(B258, Input!$J$2:$J$500, 0),
       MATCH("Capacity", Input!$D$1:$AC$1, 0)),IF(_xlpm.Result="","",_xlpm.Result))</f>
        <v>#N/A</v>
      </c>
      <c r="S258" s="42" t="e" cm="1">
        <f t="array" ref="S258">_xlfn.TEXTSPLIT(R258," / ", ,TRUE,0,)</f>
        <v>#N/A</v>
      </c>
      <c r="T258" s="42"/>
      <c r="U258" s="42" t="str" cm="1">
        <f t="array" ref="U258">IFERROR(_xlfn.IFS(
S258="","",
--S258&lt;55,"Battery Defect",
--S258&lt;=69,"Battery D",
--S258&lt;=80,"Battery C",
--S258&gt;80,""
),"")</f>
        <v/>
      </c>
      <c r="V258" s="42" t="str" cm="1">
        <f t="array" ref="V258">IFERROR(_xlfn.IFS(
T258="","",
--T258&lt;55,"Battery Defect",
--T258&lt;=69,"Battery D",
--T258&lt;=80,"Battery C",
--T258&gt;80,""
),"")</f>
        <v/>
      </c>
      <c r="W258" s="42" t="str" cm="1">
        <f t="array" ref="W258:AB258">IFERROR(IF(_xlfn.XLOOKUP(B259,Input!J:J,Input!N:S)=0,"",
          _xlfn.XLOOKUP(B259,Input!J:J,Input!N:S)),"")</f>
        <v/>
      </c>
      <c r="X258" s="42" t="str">
        <v/>
      </c>
      <c r="Y258" s="42" t="str">
        <v/>
      </c>
      <c r="Z258" s="42" t="str">
        <v/>
      </c>
      <c r="AA258" s="42" t="str">
        <v/>
      </c>
      <c r="AB258" s="42" t="str">
        <v/>
      </c>
      <c r="AC258" s="42"/>
      <c r="AD258" s="42"/>
      <c r="AE258" s="32" t="str">
        <f t="shared" ref="AE258:AE321" si="12">IF(E258="Laptop",_xlfn.TEXTJOIN(", ",TRUE,U258,V258,W258,X258,Y258,Z258,AA258,AB258), _xlfn.TEXTJOIN(", ",TRUE,W258,X258,Y258,Z258,AA258,AB258))</f>
        <v/>
      </c>
      <c r="AF258" s="32"/>
      <c r="AG258" s="32"/>
      <c r="AH258" s="32"/>
      <c r="AI258" s="32"/>
      <c r="AJ258" s="32"/>
      <c r="AK258" s="32"/>
      <c r="AL258" s="32"/>
      <c r="AM258" s="32"/>
    </row>
    <row r="259" spans="1:39">
      <c r="A259" s="32" t="str">
        <f>_xlfn.XLOOKUP(B259,Input!J:J,Input!G:G)&amp;""</f>
        <v/>
      </c>
      <c r="B259" s="32"/>
      <c r="C259" s="32" t="str">
        <f>_xlfn.XLOOKUP(B259,Input!J:J,Input!H:H)&amp;""</f>
        <v/>
      </c>
      <c r="D259" s="42">
        <f>_xlfn.XLOOKUP(B259,Input!J:J,Input!F:F)</f>
        <v>0</v>
      </c>
      <c r="E259" s="32">
        <f>_xlfn.XLOOKUP(D259,Models!H:H,Models!G:G,D259)</f>
        <v>0</v>
      </c>
      <c r="F259" s="32">
        <f>_xlfn.XLOOKUP(B259,Input!J:J,Input!E:E)</f>
        <v>0</v>
      </c>
      <c r="G259" s="32">
        <f>IF(F259="LENOVO",_xlfn.XLOOKUP(B259,Input!J:J,Input!K:K),_xlfn.XLOOKUP(B259,Input!J:J,Input!L:L))</f>
        <v>0</v>
      </c>
      <c r="H259" s="32"/>
      <c r="I259" s="32"/>
      <c r="J259" s="32">
        <f>_xlfn.XLOOKUP(B259,CPU_Formula!A:A,CPU_Formula!I:I)</f>
        <v>0</v>
      </c>
      <c r="K259" s="42" t="e">
        <f>INDEX(Input!$D$2:$AC$500,
       MATCH(B259, Input!$J$2:$J$500, 0),
       MATCH("Total Memory", Input!$D$1:$AC$1, 0))</f>
        <v>#N/A</v>
      </c>
      <c r="L259" s="42"/>
      <c r="M259" s="42" t="str" cm="1">
        <f t="array" ref="M259">IFERROR(_xlfn.FILTERXML("&lt;t&gt;&lt;s&gt;" &amp; SUBSTITUTE(L259," / ","&lt;/s&gt;&lt;s&gt;") &amp; "&lt;/s&gt;&lt;/t&gt;","(//s[contains(.,'DDR')])[1]"),"")</f>
        <v/>
      </c>
      <c r="N259" s="32" t="e">
        <f t="shared" si="11"/>
        <v>#N/A</v>
      </c>
      <c r="O259" s="42" t="e">
        <f>INDEX(Input!$D$2:$AC$500,
       MATCH(B259, Input!$J$2:$J$500, 0),
       MATCH("Disk Interface Type", Input!$D$1:$AC$1, 0))</f>
        <v>#N/A</v>
      </c>
      <c r="P259" s="42" t="str" cm="1">
        <f t="array" ref="P259">IFERROR(_xlfn.TEXTJOIN(", ", TRUE, _xlfn._xlws.FILTER(
    INDEX(Input!$D$2:$AC$500,,MATCH("Disk Capacity",Input!$D$1:$AC$1,0)),
    Input!$J$2:$J$500=B259
)), "")</f>
        <v/>
      </c>
      <c r="Q259" s="32" t="e">
        <f t="shared" ref="Q259:Q322" si="13">_xlfn.TEXTJOIN(" ",TRUE,P259,O259)</f>
        <v>#N/A</v>
      </c>
      <c r="R259" s="42" t="e">
        <f>_xlfn.LET(_xlpm.Result,INDEX(Input!$D$2:$AC$500,
       MATCH(B259, Input!$J$2:$J$500, 0),
       MATCH("Capacity", Input!$D$1:$AC$1, 0)),IF(_xlpm.Result="","",_xlpm.Result))</f>
        <v>#N/A</v>
      </c>
      <c r="S259" s="42" t="e" cm="1">
        <f t="array" ref="S259">_xlfn.TEXTSPLIT(R259," / ", ,TRUE,0,)</f>
        <v>#N/A</v>
      </c>
      <c r="T259" s="42"/>
      <c r="U259" s="42" t="str" cm="1">
        <f t="array" ref="U259">IFERROR(_xlfn.IFS(
S259="","",
--S259&lt;55,"Battery Defect",
--S259&lt;=69,"Battery D",
--S259&lt;=80,"Battery C",
--S259&gt;80,""
),"")</f>
        <v/>
      </c>
      <c r="V259" s="42" t="str" cm="1">
        <f t="array" ref="V259">IFERROR(_xlfn.IFS(
T259="","",
--T259&lt;55,"Battery Defect",
--T259&lt;=69,"Battery D",
--T259&lt;=80,"Battery C",
--T259&gt;80,""
),"")</f>
        <v/>
      </c>
      <c r="W259" s="42" t="str" cm="1">
        <f t="array" ref="W259:AB259">IFERROR(IF(_xlfn.XLOOKUP(B260,Input!J:J,Input!N:S)=0,"",
          _xlfn.XLOOKUP(B260,Input!J:J,Input!N:S)),"")</f>
        <v/>
      </c>
      <c r="X259" s="42" t="str">
        <v/>
      </c>
      <c r="Y259" s="42" t="str">
        <v/>
      </c>
      <c r="Z259" s="42" t="str">
        <v/>
      </c>
      <c r="AA259" s="42" t="str">
        <v/>
      </c>
      <c r="AB259" s="42" t="str">
        <v/>
      </c>
      <c r="AC259" s="42"/>
      <c r="AD259" s="42"/>
      <c r="AE259" s="32" t="str">
        <f t="shared" si="12"/>
        <v/>
      </c>
      <c r="AF259" s="32"/>
      <c r="AG259" s="32"/>
      <c r="AH259" s="32"/>
      <c r="AI259" s="32"/>
      <c r="AJ259" s="32"/>
      <c r="AK259" s="32"/>
      <c r="AL259" s="32"/>
      <c r="AM259" s="32"/>
    </row>
    <row r="260" spans="1:39">
      <c r="A260" s="32" t="str">
        <f>_xlfn.XLOOKUP(B260,Input!J:J,Input!G:G)&amp;""</f>
        <v/>
      </c>
      <c r="B260" s="32"/>
      <c r="C260" s="32" t="str">
        <f>_xlfn.XLOOKUP(B260,Input!J:J,Input!H:H)&amp;""</f>
        <v/>
      </c>
      <c r="D260" s="42">
        <f>_xlfn.XLOOKUP(B260,Input!J:J,Input!F:F)</f>
        <v>0</v>
      </c>
      <c r="E260" s="32">
        <f>_xlfn.XLOOKUP(D260,Models!H:H,Models!G:G,D260)</f>
        <v>0</v>
      </c>
      <c r="F260" s="32">
        <f>_xlfn.XLOOKUP(B260,Input!J:J,Input!E:E)</f>
        <v>0</v>
      </c>
      <c r="G260" s="32">
        <f>IF(F260="LENOVO",_xlfn.XLOOKUP(B260,Input!J:J,Input!K:K),_xlfn.XLOOKUP(B260,Input!J:J,Input!L:L))</f>
        <v>0</v>
      </c>
      <c r="H260" s="32"/>
      <c r="I260" s="32"/>
      <c r="J260" s="32">
        <f>_xlfn.XLOOKUP(B260,CPU_Formula!A:A,CPU_Formula!I:I)</f>
        <v>0</v>
      </c>
      <c r="K260" s="42" t="e">
        <f>INDEX(Input!$D$2:$AC$500,
       MATCH(B260, Input!$J$2:$J$500, 0),
       MATCH("Total Memory", Input!$D$1:$AC$1, 0))</f>
        <v>#N/A</v>
      </c>
      <c r="L260" s="42"/>
      <c r="M260" s="42" t="str" cm="1">
        <f t="array" ref="M260">IFERROR(_xlfn.FILTERXML("&lt;t&gt;&lt;s&gt;" &amp; SUBSTITUTE(L260," / ","&lt;/s&gt;&lt;s&gt;") &amp; "&lt;/s&gt;&lt;/t&gt;","(//s[contains(.,'DDR')])[1]"),"")</f>
        <v/>
      </c>
      <c r="N260" s="32" t="e">
        <f t="shared" ref="N260:N323" si="14">_xlfn.TEXTJOIN(" ",TRUE,SUBSTITUTE(K260,"i",""),M260)</f>
        <v>#N/A</v>
      </c>
      <c r="O260" s="42" t="e">
        <f>INDEX(Input!$D$2:$AC$500,
       MATCH(B260, Input!$J$2:$J$500, 0),
       MATCH("Disk Interface Type", Input!$D$1:$AC$1, 0))</f>
        <v>#N/A</v>
      </c>
      <c r="P260" s="42" t="str" cm="1">
        <f t="array" ref="P260">IFERROR(_xlfn.TEXTJOIN(", ", TRUE, _xlfn._xlws.FILTER(
    INDEX(Input!$D$2:$AC$500,,MATCH("Disk Capacity",Input!$D$1:$AC$1,0)),
    Input!$J$2:$J$500=B260
)), "")</f>
        <v/>
      </c>
      <c r="Q260" s="32" t="e">
        <f t="shared" si="13"/>
        <v>#N/A</v>
      </c>
      <c r="R260" s="42" t="e">
        <f>_xlfn.LET(_xlpm.Result,INDEX(Input!$D$2:$AC$500,
       MATCH(B260, Input!$J$2:$J$500, 0),
       MATCH("Capacity", Input!$D$1:$AC$1, 0)),IF(_xlpm.Result="","",_xlpm.Result))</f>
        <v>#N/A</v>
      </c>
      <c r="S260" s="42" t="e" cm="1">
        <f t="array" ref="S260">_xlfn.TEXTSPLIT(R260," / ", ,TRUE,0,)</f>
        <v>#N/A</v>
      </c>
      <c r="T260" s="42"/>
      <c r="U260" s="42" t="str" cm="1">
        <f t="array" ref="U260">IFERROR(_xlfn.IFS(
S260="","",
--S260&lt;55,"Battery Defect",
--S260&lt;=69,"Battery D",
--S260&lt;=80,"Battery C",
--S260&gt;80,""
),"")</f>
        <v/>
      </c>
      <c r="V260" s="42" t="str" cm="1">
        <f t="array" ref="V260">IFERROR(_xlfn.IFS(
T260="","",
--T260&lt;55,"Battery Defect",
--T260&lt;=69,"Battery D",
--T260&lt;=80,"Battery C",
--T260&gt;80,""
),"")</f>
        <v/>
      </c>
      <c r="W260" s="42"/>
      <c r="X260" s="42"/>
      <c r="Y260" s="42"/>
      <c r="Z260" s="42"/>
      <c r="AA260" s="42"/>
      <c r="AB260" s="42"/>
      <c r="AC260" s="42"/>
      <c r="AD260" s="42"/>
      <c r="AE260" s="32" t="str">
        <f t="shared" si="12"/>
        <v/>
      </c>
      <c r="AF260" s="32"/>
      <c r="AG260" s="32"/>
      <c r="AH260" s="32"/>
      <c r="AI260" s="32"/>
      <c r="AJ260" s="32"/>
      <c r="AK260" s="32"/>
      <c r="AL260" s="32"/>
      <c r="AM260" s="32"/>
    </row>
    <row r="261" spans="1:39">
      <c r="A261" s="32" t="str">
        <f>_xlfn.XLOOKUP(B261,Input!J:J,Input!G:G)&amp;""</f>
        <v/>
      </c>
      <c r="B261" s="32"/>
      <c r="C261" s="32" t="str">
        <f>_xlfn.XLOOKUP(B261,Input!J:J,Input!H:H)&amp;""</f>
        <v/>
      </c>
      <c r="D261" s="42">
        <f>_xlfn.XLOOKUP(B261,Input!J:J,Input!F:F)</f>
        <v>0</v>
      </c>
      <c r="E261" s="32">
        <f>_xlfn.XLOOKUP(D261,Models!H:H,Models!G:G,D261)</f>
        <v>0</v>
      </c>
      <c r="F261" s="32">
        <f>_xlfn.XLOOKUP(B261,Input!J:J,Input!E:E)</f>
        <v>0</v>
      </c>
      <c r="G261" s="32">
        <f>IF(F261="LENOVO",_xlfn.XLOOKUP(B261,Input!J:J,Input!K:K),_xlfn.XLOOKUP(B261,Input!J:J,Input!L:L))</f>
        <v>0</v>
      </c>
      <c r="H261" s="32"/>
      <c r="I261" s="32"/>
      <c r="J261" s="32"/>
      <c r="K261" s="42" t="e">
        <f>INDEX(Input!$D$2:$AC$500,
       MATCH(B261, Input!$J$2:$J$500, 0),
       MATCH("Total Memory", Input!$D$1:$AC$1, 0))</f>
        <v>#N/A</v>
      </c>
      <c r="L261" s="42"/>
      <c r="M261" s="42" t="str" cm="1">
        <f t="array" ref="M261">IFERROR(_xlfn.FILTERXML("&lt;t&gt;&lt;s&gt;" &amp; SUBSTITUTE(L261," / ","&lt;/s&gt;&lt;s&gt;") &amp; "&lt;/s&gt;&lt;/t&gt;","(//s[contains(.,'DDR')])[1]"),"")</f>
        <v/>
      </c>
      <c r="N261" s="32" t="e">
        <f t="shared" si="14"/>
        <v>#N/A</v>
      </c>
      <c r="O261" s="42" t="e">
        <f>INDEX(Input!$D$2:$AC$500,
       MATCH(B261, Input!$J$2:$J$500, 0),
       MATCH("Disk Interface Type", Input!$D$1:$AC$1, 0))</f>
        <v>#N/A</v>
      </c>
      <c r="P261" s="42" t="str" cm="1">
        <f t="array" ref="P261">IFERROR(_xlfn.TEXTJOIN(", ", TRUE, _xlfn._xlws.FILTER(
    INDEX(Input!$D$2:$AC$500,,MATCH("Disk Capacity",Input!$D$1:$AC$1,0)),
    Input!$J$2:$J$500=B261
)), "")</f>
        <v/>
      </c>
      <c r="Q261" s="32" t="e">
        <f t="shared" si="13"/>
        <v>#N/A</v>
      </c>
      <c r="R261" s="42" t="e">
        <f>_xlfn.LET(_xlpm.Result,INDEX(Input!$D$2:$AC$500,
       MATCH(B261, Input!$J$2:$J$500, 0),
       MATCH("Capacity", Input!$D$1:$AC$1, 0)),IF(_xlpm.Result="","",_xlpm.Result))</f>
        <v>#N/A</v>
      </c>
      <c r="S261" s="42" t="e" cm="1">
        <f t="array" ref="S261">_xlfn.TEXTSPLIT(R261," / ", ,TRUE,0,)</f>
        <v>#N/A</v>
      </c>
      <c r="T261" s="42"/>
      <c r="U261" s="42" t="str" cm="1">
        <f t="array" ref="U261">IFERROR(_xlfn.IFS(
S261="","",
--S261&lt;55,"Battery Defect",
--S261&lt;=69,"Battery D",
--S261&lt;=80,"Battery C",
--S261&gt;80,""
),"")</f>
        <v/>
      </c>
      <c r="V261" s="42" t="str" cm="1">
        <f t="array" ref="V261">IFERROR(_xlfn.IFS(
T261="","",
--T261&lt;55,"Battery Defect",
--T261&lt;=69,"Battery D",
--T261&lt;=80,"Battery C",
--T261&gt;80,""
),"")</f>
        <v/>
      </c>
      <c r="W261" s="42"/>
      <c r="X261" s="42"/>
      <c r="Y261" s="42"/>
      <c r="Z261" s="42"/>
      <c r="AA261" s="42"/>
      <c r="AB261" s="42"/>
      <c r="AC261" s="42"/>
      <c r="AD261" s="42"/>
      <c r="AE261" s="32" t="str">
        <f t="shared" si="12"/>
        <v/>
      </c>
      <c r="AF261" s="32"/>
      <c r="AG261" s="32"/>
      <c r="AH261" s="32"/>
      <c r="AI261" s="32"/>
      <c r="AJ261" s="32"/>
      <c r="AK261" s="32"/>
      <c r="AL261" s="32"/>
      <c r="AM261" s="32"/>
    </row>
    <row r="262" spans="1:39">
      <c r="A262" s="32" t="str">
        <f>_xlfn.XLOOKUP(B262,Input!J:J,Input!G:G)&amp;""</f>
        <v/>
      </c>
      <c r="B262" s="32"/>
      <c r="C262" s="32" t="str">
        <f>_xlfn.XLOOKUP(B262,Input!J:J,Input!H:H)&amp;""</f>
        <v/>
      </c>
      <c r="D262" s="42">
        <f>_xlfn.XLOOKUP(B262,Input!J:J,Input!F:F)</f>
        <v>0</v>
      </c>
      <c r="E262" s="32">
        <f>_xlfn.XLOOKUP(D262,Models!H:H,Models!G:G,D262)</f>
        <v>0</v>
      </c>
      <c r="F262" s="32">
        <f>_xlfn.XLOOKUP(B262,Input!J:J,Input!E:E)</f>
        <v>0</v>
      </c>
      <c r="G262" s="32">
        <f>IF(F262="LENOVO",_xlfn.XLOOKUP(B262,Input!J:J,Input!K:K),_xlfn.XLOOKUP(B262,Input!J:J,Input!L:L))</f>
        <v>0</v>
      </c>
      <c r="H262" s="32"/>
      <c r="I262" s="32"/>
      <c r="J262" s="32"/>
      <c r="K262" s="42" t="e">
        <f>INDEX(Input!$D$2:$AC$500,
       MATCH(B262, Input!$J$2:$J$500, 0),
       MATCH("Total Memory", Input!$D$1:$AC$1, 0))</f>
        <v>#N/A</v>
      </c>
      <c r="L262" s="42"/>
      <c r="M262" s="42" t="str" cm="1">
        <f t="array" ref="M262">IFERROR(_xlfn.FILTERXML("&lt;t&gt;&lt;s&gt;" &amp; SUBSTITUTE(L262," / ","&lt;/s&gt;&lt;s&gt;") &amp; "&lt;/s&gt;&lt;/t&gt;","(//s[contains(.,'DDR')])[1]"),"")</f>
        <v/>
      </c>
      <c r="N262" s="32" t="e">
        <f t="shared" si="14"/>
        <v>#N/A</v>
      </c>
      <c r="O262" s="42" t="e">
        <f>INDEX(Input!$D$2:$AC$500,
       MATCH(B262, Input!$J$2:$J$500, 0),
       MATCH("Disk Interface Type", Input!$D$1:$AC$1, 0))</f>
        <v>#N/A</v>
      </c>
      <c r="P262" s="42" t="str" cm="1">
        <f t="array" ref="P262">IFERROR(_xlfn.TEXTJOIN(", ", TRUE, _xlfn._xlws.FILTER(
    INDEX(Input!$D$2:$AC$500,,MATCH("Disk Capacity",Input!$D$1:$AC$1,0)),
    Input!$J$2:$J$500=B262
)), "")</f>
        <v/>
      </c>
      <c r="Q262" s="32" t="e">
        <f t="shared" si="13"/>
        <v>#N/A</v>
      </c>
      <c r="R262" s="42" t="e">
        <f>_xlfn.LET(_xlpm.Result,INDEX(Input!$D$2:$AC$500,
       MATCH(B262, Input!$J$2:$J$500, 0),
       MATCH("Capacity", Input!$D$1:$AC$1, 0)),IF(_xlpm.Result="","",_xlpm.Result))</f>
        <v>#N/A</v>
      </c>
      <c r="S262" s="42" t="e" cm="1">
        <f t="array" ref="S262">_xlfn.TEXTSPLIT(R262," / ", ,TRUE,0,)</f>
        <v>#N/A</v>
      </c>
      <c r="T262" s="42"/>
      <c r="U262" s="42" t="str" cm="1">
        <f t="array" ref="U262">IFERROR(_xlfn.IFS(
S262="","",
--S262&lt;55,"Battery Defect",
--S262&lt;=69,"Battery D",
--S262&lt;=80,"Battery C",
--S262&gt;80,""
),"")</f>
        <v/>
      </c>
      <c r="V262" s="42" t="str" cm="1">
        <f t="array" ref="V262">IFERROR(_xlfn.IFS(
T262="","",
--T262&lt;55,"Battery Defect",
--T262&lt;=69,"Battery D",
--T262&lt;=80,"Battery C",
--T262&gt;80,""
),"")</f>
        <v/>
      </c>
      <c r="W262" s="42"/>
      <c r="X262" s="42"/>
      <c r="Y262" s="42"/>
      <c r="Z262" s="42"/>
      <c r="AA262" s="42"/>
      <c r="AB262" s="42"/>
      <c r="AC262" s="42"/>
      <c r="AD262" s="42"/>
      <c r="AE262" s="32" t="str">
        <f t="shared" si="12"/>
        <v/>
      </c>
      <c r="AF262" s="32"/>
      <c r="AG262" s="32"/>
      <c r="AH262" s="32"/>
      <c r="AI262" s="32"/>
      <c r="AJ262" s="32"/>
      <c r="AK262" s="32"/>
      <c r="AL262" s="32"/>
      <c r="AM262" s="32"/>
    </row>
    <row r="263" spans="1:39">
      <c r="A263" s="32" t="str">
        <f>_xlfn.XLOOKUP(B263,Input!J:J,Input!G:G)&amp;""</f>
        <v/>
      </c>
      <c r="B263" s="32"/>
      <c r="C263" s="32" t="str">
        <f>_xlfn.XLOOKUP(B263,Input!J:J,Input!H:H)&amp;""</f>
        <v/>
      </c>
      <c r="D263" s="42">
        <f>_xlfn.XLOOKUP(B263,Input!J:J,Input!F:F)</f>
        <v>0</v>
      </c>
      <c r="E263" s="32">
        <f>_xlfn.XLOOKUP(D263,Models!H:H,Models!G:G,D263)</f>
        <v>0</v>
      </c>
      <c r="F263" s="32">
        <f>_xlfn.XLOOKUP(B263,Input!J:J,Input!E:E)</f>
        <v>0</v>
      </c>
      <c r="G263" s="32">
        <f>IF(F263="LENOVO",_xlfn.XLOOKUP(B263,Input!J:J,Input!K:K),_xlfn.XLOOKUP(B263,Input!J:J,Input!L:L))</f>
        <v>0</v>
      </c>
      <c r="H263" s="32"/>
      <c r="I263" s="32"/>
      <c r="J263" s="32"/>
      <c r="K263" s="42" t="e">
        <f>INDEX(Input!$D$2:$AC$500,
       MATCH(B263, Input!$J$2:$J$500, 0),
       MATCH("Total Memory", Input!$D$1:$AC$1, 0))</f>
        <v>#N/A</v>
      </c>
      <c r="L263" s="42"/>
      <c r="M263" s="42" t="str" cm="1">
        <f t="array" ref="M263">IFERROR(_xlfn.FILTERXML("&lt;t&gt;&lt;s&gt;" &amp; SUBSTITUTE(L263," / ","&lt;/s&gt;&lt;s&gt;") &amp; "&lt;/s&gt;&lt;/t&gt;","(//s[contains(.,'DDR')])[1]"),"")</f>
        <v/>
      </c>
      <c r="N263" s="32" t="e">
        <f t="shared" si="14"/>
        <v>#N/A</v>
      </c>
      <c r="O263" s="42" t="e">
        <f>INDEX(Input!$D$2:$AC$500,
       MATCH(B263, Input!$J$2:$J$500, 0),
       MATCH("Disk Interface Type", Input!$D$1:$AC$1, 0))</f>
        <v>#N/A</v>
      </c>
      <c r="P263" s="42" t="str" cm="1">
        <f t="array" ref="P263">IFERROR(_xlfn.TEXTJOIN(", ", TRUE, _xlfn._xlws.FILTER(
    INDEX(Input!$D$2:$AC$500,,MATCH("Disk Capacity",Input!$D$1:$AC$1,0)),
    Input!$J$2:$J$500=B263
)), "")</f>
        <v/>
      </c>
      <c r="Q263" s="32" t="e">
        <f t="shared" si="13"/>
        <v>#N/A</v>
      </c>
      <c r="R263" s="42" t="e">
        <f>_xlfn.LET(_xlpm.Result,INDEX(Input!$D$2:$AC$500,
       MATCH(B263, Input!$J$2:$J$500, 0),
       MATCH("Capacity", Input!$D$1:$AC$1, 0)),IF(_xlpm.Result="","",_xlpm.Result))</f>
        <v>#N/A</v>
      </c>
      <c r="S263" s="42" t="e" cm="1">
        <f t="array" ref="S263">_xlfn.TEXTSPLIT(R263," / ", ,TRUE,0,)</f>
        <v>#N/A</v>
      </c>
      <c r="T263" s="42"/>
      <c r="U263" s="42" t="str" cm="1">
        <f t="array" ref="U263">IFERROR(_xlfn.IFS(
S263="","",
--S263&lt;55,"Battery Defect",
--S263&lt;=69,"Battery D",
--S263&lt;=80,"Battery C",
--S263&gt;80,""
),"")</f>
        <v/>
      </c>
      <c r="V263" s="42" t="str" cm="1">
        <f t="array" ref="V263">IFERROR(_xlfn.IFS(
T263="","",
--T263&lt;55,"Battery Defect",
--T263&lt;=69,"Battery D",
--T263&lt;=80,"Battery C",
--T263&gt;80,""
),"")</f>
        <v/>
      </c>
      <c r="W263" s="42"/>
      <c r="X263" s="42"/>
      <c r="Y263" s="42"/>
      <c r="Z263" s="42"/>
      <c r="AA263" s="42"/>
      <c r="AB263" s="42"/>
      <c r="AC263" s="42"/>
      <c r="AD263" s="42"/>
      <c r="AE263" s="32" t="str">
        <f t="shared" si="12"/>
        <v/>
      </c>
      <c r="AF263" s="32"/>
      <c r="AG263" s="32"/>
      <c r="AH263" s="32"/>
      <c r="AI263" s="32"/>
      <c r="AJ263" s="32"/>
      <c r="AK263" s="32"/>
      <c r="AL263" s="32"/>
      <c r="AM263" s="32"/>
    </row>
    <row r="264" spans="1:39">
      <c r="A264" s="32" t="str">
        <f>_xlfn.XLOOKUP(B264,Input!J:J,Input!G:G)&amp;""</f>
        <v/>
      </c>
      <c r="B264" s="32"/>
      <c r="C264" s="32" t="str">
        <f>_xlfn.XLOOKUP(B264,Input!J:J,Input!H:H)&amp;""</f>
        <v/>
      </c>
      <c r="D264" s="42">
        <f>_xlfn.XLOOKUP(B264,Input!J:J,Input!F:F)</f>
        <v>0</v>
      </c>
      <c r="E264" s="32">
        <f>_xlfn.XLOOKUP(D264,Models!H:H,Models!G:G,D264)</f>
        <v>0</v>
      </c>
      <c r="F264" s="32">
        <f>_xlfn.XLOOKUP(B264,Input!J:J,Input!E:E)</f>
        <v>0</v>
      </c>
      <c r="G264" s="32">
        <f>IF(F264="LENOVO",_xlfn.XLOOKUP(B264,Input!J:J,Input!K:K),_xlfn.XLOOKUP(B264,Input!J:J,Input!L:L))</f>
        <v>0</v>
      </c>
      <c r="H264" s="32"/>
      <c r="I264" s="32"/>
      <c r="J264" s="32"/>
      <c r="K264" s="42" t="e">
        <f>INDEX(Input!$D$2:$AC$500,
       MATCH(B264, Input!$J$2:$J$500, 0),
       MATCH("Total Memory", Input!$D$1:$AC$1, 0))</f>
        <v>#N/A</v>
      </c>
      <c r="L264" s="42"/>
      <c r="M264" s="42" t="str" cm="1">
        <f t="array" ref="M264">IFERROR(_xlfn.FILTERXML("&lt;t&gt;&lt;s&gt;" &amp; SUBSTITUTE(L264," / ","&lt;/s&gt;&lt;s&gt;") &amp; "&lt;/s&gt;&lt;/t&gt;","(//s[contains(.,'DDR')])[1]"),"")</f>
        <v/>
      </c>
      <c r="N264" s="32" t="e">
        <f t="shared" si="14"/>
        <v>#N/A</v>
      </c>
      <c r="O264" s="42" t="e">
        <f>INDEX(Input!$D$2:$AC$500,
       MATCH(B264, Input!$J$2:$J$500, 0),
       MATCH("Disk Interface Type", Input!$D$1:$AC$1, 0))</f>
        <v>#N/A</v>
      </c>
      <c r="P264" s="42" t="str" cm="1">
        <f t="array" ref="P264">IFERROR(_xlfn.TEXTJOIN(", ", TRUE, _xlfn._xlws.FILTER(
    INDEX(Input!$D$2:$AC$500,,MATCH("Disk Capacity",Input!$D$1:$AC$1,0)),
    Input!$J$2:$J$500=B264
)), "")</f>
        <v/>
      </c>
      <c r="Q264" s="32" t="e">
        <f t="shared" si="13"/>
        <v>#N/A</v>
      </c>
      <c r="R264" s="42" t="e">
        <f>_xlfn.LET(_xlpm.Result,INDEX(Input!$D$2:$AC$500,
       MATCH(B264, Input!$J$2:$J$500, 0),
       MATCH("Capacity", Input!$D$1:$AC$1, 0)),IF(_xlpm.Result="","",_xlpm.Result))</f>
        <v>#N/A</v>
      </c>
      <c r="S264" s="42" t="e" cm="1">
        <f t="array" ref="S264">_xlfn.TEXTSPLIT(R264," / ", ,TRUE,0,)</f>
        <v>#N/A</v>
      </c>
      <c r="T264" s="42"/>
      <c r="U264" s="42" t="str" cm="1">
        <f t="array" ref="U264">IFERROR(_xlfn.IFS(
S264="","",
--S264&lt;55,"Battery Defect",
--S264&lt;=69,"Battery D",
--S264&lt;=80,"Battery C",
--S264&gt;80,""
),"")</f>
        <v/>
      </c>
      <c r="V264" s="42" t="str" cm="1">
        <f t="array" ref="V264">IFERROR(_xlfn.IFS(
T264="","",
--T264&lt;55,"Battery Defect",
--T264&lt;=69,"Battery D",
--T264&lt;=80,"Battery C",
--T264&gt;80,""
),"")</f>
        <v/>
      </c>
      <c r="W264" s="42"/>
      <c r="X264" s="42"/>
      <c r="Y264" s="42"/>
      <c r="Z264" s="42"/>
      <c r="AA264" s="42"/>
      <c r="AB264" s="42"/>
      <c r="AC264" s="42"/>
      <c r="AD264" s="42"/>
      <c r="AE264" s="32" t="str">
        <f t="shared" si="12"/>
        <v/>
      </c>
      <c r="AF264" s="32"/>
      <c r="AG264" s="32"/>
      <c r="AH264" s="32"/>
      <c r="AI264" s="32"/>
      <c r="AJ264" s="32"/>
      <c r="AK264" s="32"/>
      <c r="AL264" s="32"/>
      <c r="AM264" s="32"/>
    </row>
    <row r="265" spans="1:39">
      <c r="A265" s="32" t="str">
        <f>_xlfn.XLOOKUP(B265,Input!J:J,Input!G:G)&amp;""</f>
        <v/>
      </c>
      <c r="B265" s="32"/>
      <c r="C265" s="32" t="str">
        <f>_xlfn.XLOOKUP(B265,Input!J:J,Input!H:H)&amp;""</f>
        <v/>
      </c>
      <c r="D265" s="42">
        <f>_xlfn.XLOOKUP(B265,Input!J:J,Input!F:F)</f>
        <v>0</v>
      </c>
      <c r="E265" s="32">
        <f>_xlfn.XLOOKUP(D265,Models!H:H,Models!G:G,D265)</f>
        <v>0</v>
      </c>
      <c r="F265" s="32">
        <f>_xlfn.XLOOKUP(B265,Input!J:J,Input!E:E)</f>
        <v>0</v>
      </c>
      <c r="G265" s="32">
        <f>IF(F265="LENOVO",_xlfn.XLOOKUP(B265,Input!J:J,Input!K:K),_xlfn.XLOOKUP(B265,Input!J:J,Input!L:L))</f>
        <v>0</v>
      </c>
      <c r="H265" s="32"/>
      <c r="I265" s="32"/>
      <c r="J265" s="32"/>
      <c r="K265" s="42" t="e">
        <f>INDEX(Input!$D$2:$AC$500,
       MATCH(B265, Input!$J$2:$J$500, 0),
       MATCH("Total Memory", Input!$D$1:$AC$1, 0))</f>
        <v>#N/A</v>
      </c>
      <c r="L265" s="42"/>
      <c r="M265" s="42" t="str" cm="1">
        <f t="array" ref="M265">IFERROR(_xlfn.FILTERXML("&lt;t&gt;&lt;s&gt;" &amp; SUBSTITUTE(L265," / ","&lt;/s&gt;&lt;s&gt;") &amp; "&lt;/s&gt;&lt;/t&gt;","(//s[contains(.,'DDR')])[1]"),"")</f>
        <v/>
      </c>
      <c r="N265" s="32" t="e">
        <f t="shared" si="14"/>
        <v>#N/A</v>
      </c>
      <c r="O265" s="42" t="e">
        <f>INDEX(Input!$D$2:$AC$500,
       MATCH(B265, Input!$J$2:$J$500, 0),
       MATCH("Disk Interface Type", Input!$D$1:$AC$1, 0))</f>
        <v>#N/A</v>
      </c>
      <c r="P265" s="42" t="str" cm="1">
        <f t="array" ref="P265">IFERROR(_xlfn.TEXTJOIN(", ", TRUE, _xlfn._xlws.FILTER(
    INDEX(Input!$D$2:$AC$500,,MATCH("Disk Capacity",Input!$D$1:$AC$1,0)),
    Input!$J$2:$J$500=B265
)), "")</f>
        <v/>
      </c>
      <c r="Q265" s="32" t="e">
        <f t="shared" si="13"/>
        <v>#N/A</v>
      </c>
      <c r="R265" s="42" t="e">
        <f>_xlfn.LET(_xlpm.Result,INDEX(Input!$D$2:$AC$500,
       MATCH(B265, Input!$J$2:$J$500, 0),
       MATCH("Capacity", Input!$D$1:$AC$1, 0)),IF(_xlpm.Result="","",_xlpm.Result))</f>
        <v>#N/A</v>
      </c>
      <c r="S265" s="42" t="e" cm="1">
        <f t="array" ref="S265">_xlfn.TEXTSPLIT(R265," / ", ,TRUE,0,)</f>
        <v>#N/A</v>
      </c>
      <c r="T265" s="42"/>
      <c r="U265" s="42" t="str" cm="1">
        <f t="array" ref="U265">IFERROR(_xlfn.IFS(
S265="","",
--S265&lt;55,"Battery Defect",
--S265&lt;=69,"Battery D",
--S265&lt;=80,"Battery C",
--S265&gt;80,""
),"")</f>
        <v/>
      </c>
      <c r="V265" s="42" t="str" cm="1">
        <f t="array" ref="V265">IFERROR(_xlfn.IFS(
T265="","",
--T265&lt;55,"Battery Defect",
--T265&lt;=69,"Battery D",
--T265&lt;=80,"Battery C",
--T265&gt;80,""
),"")</f>
        <v/>
      </c>
      <c r="W265" s="42"/>
      <c r="X265" s="42"/>
      <c r="Y265" s="42"/>
      <c r="Z265" s="42"/>
      <c r="AA265" s="42"/>
      <c r="AB265" s="42"/>
      <c r="AC265" s="42"/>
      <c r="AD265" s="42"/>
      <c r="AE265" s="32" t="str">
        <f t="shared" si="12"/>
        <v/>
      </c>
      <c r="AF265" s="32"/>
      <c r="AG265" s="32"/>
      <c r="AH265" s="32"/>
      <c r="AI265" s="32"/>
      <c r="AJ265" s="32"/>
      <c r="AK265" s="32"/>
      <c r="AL265" s="32"/>
      <c r="AM265" s="32"/>
    </row>
    <row r="266" spans="1:39">
      <c r="A266" s="32" t="str">
        <f>_xlfn.XLOOKUP(B266,Input!J:J,Input!G:G)&amp;""</f>
        <v/>
      </c>
      <c r="B266" s="32"/>
      <c r="C266" s="32" t="str">
        <f>_xlfn.XLOOKUP(B266,Input!J:J,Input!H:H)&amp;""</f>
        <v/>
      </c>
      <c r="D266" s="42">
        <f>_xlfn.XLOOKUP(B266,Input!J:J,Input!F:F)</f>
        <v>0</v>
      </c>
      <c r="E266" s="32">
        <f>_xlfn.XLOOKUP(D266,Models!H:H,Models!G:G,D266)</f>
        <v>0</v>
      </c>
      <c r="F266" s="32">
        <f>_xlfn.XLOOKUP(B266,Input!J:J,Input!E:E)</f>
        <v>0</v>
      </c>
      <c r="G266" s="32">
        <f>IF(F266="LENOVO",_xlfn.XLOOKUP(B266,Input!J:J,Input!K:K),_xlfn.XLOOKUP(B266,Input!J:J,Input!L:L))</f>
        <v>0</v>
      </c>
      <c r="H266" s="32"/>
      <c r="I266" s="32"/>
      <c r="J266" s="32"/>
      <c r="K266" s="42" t="e">
        <f>INDEX(Input!$D$2:$AC$500,
       MATCH(B266, Input!$J$2:$J$500, 0),
       MATCH("Total Memory", Input!$D$1:$AC$1, 0))</f>
        <v>#N/A</v>
      </c>
      <c r="L266" s="42"/>
      <c r="M266" s="42" t="str" cm="1">
        <f t="array" ref="M266">IFERROR(_xlfn.FILTERXML("&lt;t&gt;&lt;s&gt;" &amp; SUBSTITUTE(L266," / ","&lt;/s&gt;&lt;s&gt;") &amp; "&lt;/s&gt;&lt;/t&gt;","(//s[contains(.,'DDR')])[1]"),"")</f>
        <v/>
      </c>
      <c r="N266" s="32" t="e">
        <f t="shared" si="14"/>
        <v>#N/A</v>
      </c>
      <c r="O266" s="42" t="e">
        <f>INDEX(Input!$D$2:$AC$500,
       MATCH(B266, Input!$J$2:$J$500, 0),
       MATCH("Disk Interface Type", Input!$D$1:$AC$1, 0))</f>
        <v>#N/A</v>
      </c>
      <c r="P266" s="42" t="str" cm="1">
        <f t="array" ref="P266">IFERROR(_xlfn.TEXTJOIN(", ", TRUE, _xlfn._xlws.FILTER(
    INDEX(Input!$D$2:$AC$500,,MATCH("Disk Capacity",Input!$D$1:$AC$1,0)),
    Input!$J$2:$J$500=B266
)), "")</f>
        <v/>
      </c>
      <c r="Q266" s="32" t="e">
        <f t="shared" si="13"/>
        <v>#N/A</v>
      </c>
      <c r="R266" s="42" t="e">
        <f>_xlfn.LET(_xlpm.Result,INDEX(Input!$D$2:$AC$500,
       MATCH(B266, Input!$J$2:$J$500, 0),
       MATCH("Capacity", Input!$D$1:$AC$1, 0)),IF(_xlpm.Result="","",_xlpm.Result))</f>
        <v>#N/A</v>
      </c>
      <c r="S266" s="42" t="e" cm="1">
        <f t="array" ref="S266">_xlfn.TEXTSPLIT(R266," / ", ,TRUE,0,)</f>
        <v>#N/A</v>
      </c>
      <c r="T266" s="42"/>
      <c r="U266" s="42" t="str" cm="1">
        <f t="array" ref="U266">IFERROR(_xlfn.IFS(
S266="","",
--S266&lt;55,"Battery Defect",
--S266&lt;=69,"Battery D",
--S266&lt;=80,"Battery C",
--S266&gt;80,""
),"")</f>
        <v/>
      </c>
      <c r="V266" s="42" t="str" cm="1">
        <f t="array" ref="V266">IFERROR(_xlfn.IFS(
T266="","",
--T266&lt;55,"Battery Defect",
--T266&lt;=69,"Battery D",
--T266&lt;=80,"Battery C",
--T266&gt;80,""
),"")</f>
        <v/>
      </c>
      <c r="W266" s="42"/>
      <c r="X266" s="42"/>
      <c r="Y266" s="42"/>
      <c r="Z266" s="42"/>
      <c r="AA266" s="42"/>
      <c r="AB266" s="42"/>
      <c r="AC266" s="42"/>
      <c r="AD266" s="42"/>
      <c r="AE266" s="32" t="str">
        <f t="shared" si="12"/>
        <v/>
      </c>
      <c r="AF266" s="32"/>
      <c r="AG266" s="32"/>
      <c r="AH266" s="32"/>
      <c r="AI266" s="32"/>
      <c r="AJ266" s="32"/>
      <c r="AK266" s="32"/>
      <c r="AL266" s="32"/>
      <c r="AM266" s="32"/>
    </row>
    <row r="267" spans="1:39">
      <c r="A267" s="32" t="str">
        <f>_xlfn.XLOOKUP(B267,Input!J:J,Input!G:G)&amp;""</f>
        <v/>
      </c>
      <c r="B267" s="32"/>
      <c r="C267" s="32" t="str">
        <f>_xlfn.XLOOKUP(B267,Input!J:J,Input!H:H)&amp;""</f>
        <v/>
      </c>
      <c r="D267" s="42">
        <f>_xlfn.XLOOKUP(B267,Input!J:J,Input!F:F)</f>
        <v>0</v>
      </c>
      <c r="E267" s="32">
        <f>_xlfn.XLOOKUP(D267,Models!H:H,Models!G:G,D267)</f>
        <v>0</v>
      </c>
      <c r="F267" s="32">
        <f>_xlfn.XLOOKUP(B267,Input!J:J,Input!E:E)</f>
        <v>0</v>
      </c>
      <c r="G267" s="32">
        <f>IF(F267="LENOVO",_xlfn.XLOOKUP(B267,Input!J:J,Input!K:K),_xlfn.XLOOKUP(B267,Input!J:J,Input!L:L))</f>
        <v>0</v>
      </c>
      <c r="H267" s="32"/>
      <c r="I267" s="32"/>
      <c r="J267" s="32"/>
      <c r="K267" s="42" t="e">
        <f>INDEX(Input!$D$2:$AC$500,
       MATCH(B267, Input!$J$2:$J$500, 0),
       MATCH("Total Memory", Input!$D$1:$AC$1, 0))</f>
        <v>#N/A</v>
      </c>
      <c r="L267" s="42"/>
      <c r="M267" s="42" t="str" cm="1">
        <f t="array" ref="M267">IFERROR(_xlfn.FILTERXML("&lt;t&gt;&lt;s&gt;" &amp; SUBSTITUTE(L267," / ","&lt;/s&gt;&lt;s&gt;") &amp; "&lt;/s&gt;&lt;/t&gt;","(//s[contains(.,'DDR')])[1]"),"")</f>
        <v/>
      </c>
      <c r="N267" s="32" t="e">
        <f t="shared" si="14"/>
        <v>#N/A</v>
      </c>
      <c r="O267" s="42" t="e">
        <f>INDEX(Input!$D$2:$AC$500,
       MATCH(B267, Input!$J$2:$J$500, 0),
       MATCH("Disk Interface Type", Input!$D$1:$AC$1, 0))</f>
        <v>#N/A</v>
      </c>
      <c r="P267" s="42" t="str" cm="1">
        <f t="array" ref="P267">IFERROR(_xlfn.TEXTJOIN(", ", TRUE, _xlfn._xlws.FILTER(
    INDEX(Input!$D$2:$AC$500,,MATCH("Disk Capacity",Input!$D$1:$AC$1,0)),
    Input!$J$2:$J$500=B267
)), "")</f>
        <v/>
      </c>
      <c r="Q267" s="32" t="e">
        <f t="shared" si="13"/>
        <v>#N/A</v>
      </c>
      <c r="R267" s="42" t="e">
        <f>_xlfn.LET(_xlpm.Result,INDEX(Input!$D$2:$AC$500,
       MATCH(B267, Input!$J$2:$J$500, 0),
       MATCH("Capacity", Input!$D$1:$AC$1, 0)),IF(_xlpm.Result="","",_xlpm.Result))</f>
        <v>#N/A</v>
      </c>
      <c r="S267" s="42" t="e" cm="1">
        <f t="array" ref="S267">_xlfn.TEXTSPLIT(R267," / ", ,TRUE,0,)</f>
        <v>#N/A</v>
      </c>
      <c r="T267" s="42"/>
      <c r="U267" s="42" t="str" cm="1">
        <f t="array" ref="U267">IFERROR(_xlfn.IFS(
S267="","",
--S267&lt;55,"Battery Defect",
--S267&lt;=69,"Battery D",
--S267&lt;=80,"Battery C",
--S267&gt;80,""
),"")</f>
        <v/>
      </c>
      <c r="V267" s="42" t="str" cm="1">
        <f t="array" ref="V267">IFERROR(_xlfn.IFS(
T267="","",
--T267&lt;55,"Battery Defect",
--T267&lt;=69,"Battery D",
--T267&lt;=80,"Battery C",
--T267&gt;80,""
),"")</f>
        <v/>
      </c>
      <c r="W267" s="42"/>
      <c r="X267" s="42"/>
      <c r="Y267" s="42"/>
      <c r="Z267" s="42"/>
      <c r="AA267" s="42"/>
      <c r="AB267" s="42"/>
      <c r="AC267" s="42"/>
      <c r="AD267" s="42"/>
      <c r="AE267" s="32" t="str">
        <f t="shared" si="12"/>
        <v/>
      </c>
      <c r="AF267" s="32"/>
      <c r="AG267" s="32"/>
      <c r="AH267" s="32"/>
      <c r="AI267" s="32"/>
      <c r="AJ267" s="32"/>
      <c r="AK267" s="32"/>
      <c r="AL267" s="32"/>
      <c r="AM267" s="32"/>
    </row>
    <row r="268" spans="1:39">
      <c r="A268" s="32" t="str">
        <f>_xlfn.XLOOKUP(B268,Input!J:J,Input!G:G)&amp;""</f>
        <v/>
      </c>
      <c r="B268" s="32"/>
      <c r="C268" s="32" t="str">
        <f>_xlfn.XLOOKUP(B268,Input!J:J,Input!H:H)&amp;""</f>
        <v/>
      </c>
      <c r="D268" s="42">
        <f>_xlfn.XLOOKUP(B268,Input!J:J,Input!F:F)</f>
        <v>0</v>
      </c>
      <c r="E268" s="32">
        <f>_xlfn.XLOOKUP(D268,Models!H:H,Models!G:G,D268)</f>
        <v>0</v>
      </c>
      <c r="F268" s="32">
        <f>_xlfn.XLOOKUP(B268,Input!J:J,Input!E:E)</f>
        <v>0</v>
      </c>
      <c r="G268" s="32">
        <f>IF(F268="LENOVO",_xlfn.XLOOKUP(B268,Input!J:J,Input!K:K),_xlfn.XLOOKUP(B268,Input!J:J,Input!L:L))</f>
        <v>0</v>
      </c>
      <c r="H268" s="32"/>
      <c r="I268" s="32"/>
      <c r="J268" s="32"/>
      <c r="K268" s="42" t="e">
        <f>INDEX(Input!$D$2:$AC$500,
       MATCH(B268, Input!$J$2:$J$500, 0),
       MATCH("Total Memory", Input!$D$1:$AC$1, 0))</f>
        <v>#N/A</v>
      </c>
      <c r="L268" s="42"/>
      <c r="M268" s="42" t="str" cm="1">
        <f t="array" ref="M268">IFERROR(_xlfn.FILTERXML("&lt;t&gt;&lt;s&gt;" &amp; SUBSTITUTE(L268," / ","&lt;/s&gt;&lt;s&gt;") &amp; "&lt;/s&gt;&lt;/t&gt;","(//s[contains(.,'DDR')])[1]"),"")</f>
        <v/>
      </c>
      <c r="N268" s="32" t="e">
        <f t="shared" si="14"/>
        <v>#N/A</v>
      </c>
      <c r="O268" s="42" t="e">
        <f>INDEX(Input!$D$2:$AC$500,
       MATCH(B268, Input!$J$2:$J$500, 0),
       MATCH("Disk Interface Type", Input!$D$1:$AC$1, 0))</f>
        <v>#N/A</v>
      </c>
      <c r="P268" s="42" t="str" cm="1">
        <f t="array" ref="P268">IFERROR(_xlfn.TEXTJOIN(", ", TRUE, _xlfn._xlws.FILTER(
    INDEX(Input!$D$2:$AC$500,,MATCH("Disk Capacity",Input!$D$1:$AC$1,0)),
    Input!$J$2:$J$500=B268
)), "")</f>
        <v/>
      </c>
      <c r="Q268" s="32" t="e">
        <f t="shared" si="13"/>
        <v>#N/A</v>
      </c>
      <c r="R268" s="42" t="e">
        <f>_xlfn.LET(_xlpm.Result,INDEX(Input!$D$2:$AC$500,
       MATCH(B268, Input!$J$2:$J$500, 0),
       MATCH("Capacity", Input!$D$1:$AC$1, 0)),IF(_xlpm.Result="","",_xlpm.Result))</f>
        <v>#N/A</v>
      </c>
      <c r="S268" s="42" t="e" cm="1">
        <f t="array" ref="S268">_xlfn.TEXTSPLIT(R268," / ", ,TRUE,0,)</f>
        <v>#N/A</v>
      </c>
      <c r="T268" s="42"/>
      <c r="U268" s="42" t="str" cm="1">
        <f t="array" ref="U268">IFERROR(_xlfn.IFS(
S268="","",
--S268&lt;55,"Battery Defect",
--S268&lt;=69,"Battery D",
--S268&lt;=80,"Battery C",
--S268&gt;80,""
),"")</f>
        <v/>
      </c>
      <c r="V268" s="42" t="str" cm="1">
        <f t="array" ref="V268">IFERROR(_xlfn.IFS(
T268="","",
--T268&lt;55,"Battery Defect",
--T268&lt;=69,"Battery D",
--T268&lt;=80,"Battery C",
--T268&gt;80,""
),"")</f>
        <v/>
      </c>
      <c r="W268" s="42"/>
      <c r="X268" s="42"/>
      <c r="Y268" s="42"/>
      <c r="Z268" s="42"/>
      <c r="AA268" s="42"/>
      <c r="AB268" s="42"/>
      <c r="AC268" s="42"/>
      <c r="AD268" s="42"/>
      <c r="AE268" s="32" t="str">
        <f t="shared" si="12"/>
        <v/>
      </c>
      <c r="AF268" s="32"/>
      <c r="AG268" s="32"/>
      <c r="AH268" s="32"/>
      <c r="AI268" s="32"/>
      <c r="AJ268" s="32"/>
      <c r="AK268" s="32"/>
      <c r="AL268" s="32"/>
      <c r="AM268" s="32"/>
    </row>
    <row r="269" spans="1:39">
      <c r="A269" s="32" t="str">
        <f>_xlfn.XLOOKUP(B269,Input!J:J,Input!G:G)&amp;""</f>
        <v/>
      </c>
      <c r="B269" s="32"/>
      <c r="C269" s="32" t="str">
        <f>_xlfn.XLOOKUP(B269,Input!J:J,Input!H:H)&amp;""</f>
        <v/>
      </c>
      <c r="D269" s="42">
        <f>_xlfn.XLOOKUP(B269,Input!J:J,Input!F:F)</f>
        <v>0</v>
      </c>
      <c r="E269" s="32">
        <f>_xlfn.XLOOKUP(D269,Models!H:H,Models!G:G,D269)</f>
        <v>0</v>
      </c>
      <c r="F269" s="32">
        <f>_xlfn.XLOOKUP(B269,Input!J:J,Input!E:E)</f>
        <v>0</v>
      </c>
      <c r="G269" s="32">
        <f>IF(F269="LENOVO",_xlfn.XLOOKUP(B269,Input!J:J,Input!K:K),_xlfn.XLOOKUP(B269,Input!J:J,Input!L:L))</f>
        <v>0</v>
      </c>
      <c r="H269" s="32"/>
      <c r="I269" s="32"/>
      <c r="J269" s="32"/>
      <c r="K269" s="42" t="e">
        <f>INDEX(Input!$D$2:$AC$500,
       MATCH(B269, Input!$J$2:$J$500, 0),
       MATCH("Total Memory", Input!$D$1:$AC$1, 0))</f>
        <v>#N/A</v>
      </c>
      <c r="L269" s="42"/>
      <c r="M269" s="42" t="str" cm="1">
        <f t="array" ref="M269">IFERROR(_xlfn.FILTERXML("&lt;t&gt;&lt;s&gt;" &amp; SUBSTITUTE(L269," / ","&lt;/s&gt;&lt;s&gt;") &amp; "&lt;/s&gt;&lt;/t&gt;","(//s[contains(.,'DDR')])[1]"),"")</f>
        <v/>
      </c>
      <c r="N269" s="32" t="e">
        <f t="shared" si="14"/>
        <v>#N/A</v>
      </c>
      <c r="O269" s="42" t="e">
        <f>INDEX(Input!$D$2:$AC$500,
       MATCH(B269, Input!$J$2:$J$500, 0),
       MATCH("Disk Interface Type", Input!$D$1:$AC$1, 0))</f>
        <v>#N/A</v>
      </c>
      <c r="P269" s="42" t="str" cm="1">
        <f t="array" ref="P269">IFERROR(_xlfn.TEXTJOIN(", ", TRUE, _xlfn._xlws.FILTER(
    INDEX(Input!$D$2:$AC$500,,MATCH("Disk Capacity",Input!$D$1:$AC$1,0)),
    Input!$J$2:$J$500=B269
)), "")</f>
        <v/>
      </c>
      <c r="Q269" s="32" t="e">
        <f t="shared" si="13"/>
        <v>#N/A</v>
      </c>
      <c r="R269" s="42" t="e">
        <f>_xlfn.LET(_xlpm.Result,INDEX(Input!$D$2:$AC$500,
       MATCH(B269, Input!$J$2:$J$500, 0),
       MATCH("Capacity", Input!$D$1:$AC$1, 0)),IF(_xlpm.Result="","",_xlpm.Result))</f>
        <v>#N/A</v>
      </c>
      <c r="S269" s="42" t="e" cm="1">
        <f t="array" ref="S269">_xlfn.TEXTSPLIT(R269," / ", ,TRUE,0,)</f>
        <v>#N/A</v>
      </c>
      <c r="T269" s="42"/>
      <c r="U269" s="42" t="str" cm="1">
        <f t="array" ref="U269">IFERROR(_xlfn.IFS(
S269="","",
--S269&lt;55,"Battery Defect",
--S269&lt;=69,"Battery D",
--S269&lt;=80,"Battery C",
--S269&gt;80,""
),"")</f>
        <v/>
      </c>
      <c r="V269" s="42" t="str" cm="1">
        <f t="array" ref="V269">IFERROR(_xlfn.IFS(
T269="","",
--T269&lt;55,"Battery Defect",
--T269&lt;=69,"Battery D",
--T269&lt;=80,"Battery C",
--T269&gt;80,""
),"")</f>
        <v/>
      </c>
      <c r="W269" s="42"/>
      <c r="X269" s="42"/>
      <c r="Y269" s="42"/>
      <c r="Z269" s="42"/>
      <c r="AA269" s="42"/>
      <c r="AB269" s="42"/>
      <c r="AC269" s="42"/>
      <c r="AD269" s="42"/>
      <c r="AE269" s="32" t="str">
        <f t="shared" si="12"/>
        <v/>
      </c>
      <c r="AF269" s="32"/>
      <c r="AG269" s="32"/>
      <c r="AH269" s="32"/>
      <c r="AI269" s="32"/>
      <c r="AJ269" s="32"/>
      <c r="AK269" s="32"/>
      <c r="AL269" s="32"/>
      <c r="AM269" s="32"/>
    </row>
    <row r="270" spans="1:39">
      <c r="A270" s="32" t="str">
        <f>_xlfn.XLOOKUP(B270,Input!J:J,Input!G:G)&amp;""</f>
        <v/>
      </c>
      <c r="B270" s="32"/>
      <c r="C270" s="32" t="str">
        <f>_xlfn.XLOOKUP(B270,Input!J:J,Input!H:H)&amp;""</f>
        <v/>
      </c>
      <c r="D270" s="42">
        <f>_xlfn.XLOOKUP(B270,Input!J:J,Input!F:F)</f>
        <v>0</v>
      </c>
      <c r="E270" s="32">
        <f>_xlfn.XLOOKUP(D270,Models!H:H,Models!G:G,D270)</f>
        <v>0</v>
      </c>
      <c r="F270" s="32">
        <f>_xlfn.XLOOKUP(B270,Input!J:J,Input!E:E)</f>
        <v>0</v>
      </c>
      <c r="G270" s="32">
        <f>IF(F270="LENOVO",_xlfn.XLOOKUP(B270,Input!J:J,Input!K:K),_xlfn.XLOOKUP(B270,Input!J:J,Input!L:L))</f>
        <v>0</v>
      </c>
      <c r="H270" s="32"/>
      <c r="I270" s="32"/>
      <c r="J270" s="32"/>
      <c r="K270" s="42" t="e">
        <f>INDEX(Input!$D$2:$AC$500,
       MATCH(B270, Input!$J$2:$J$500, 0),
       MATCH("Total Memory", Input!$D$1:$AC$1, 0))</f>
        <v>#N/A</v>
      </c>
      <c r="L270" s="42"/>
      <c r="M270" s="42" t="str" cm="1">
        <f t="array" ref="M270">IFERROR(_xlfn.FILTERXML("&lt;t&gt;&lt;s&gt;" &amp; SUBSTITUTE(L270," / ","&lt;/s&gt;&lt;s&gt;") &amp; "&lt;/s&gt;&lt;/t&gt;","(//s[contains(.,'DDR')])[1]"),"")</f>
        <v/>
      </c>
      <c r="N270" s="32" t="e">
        <f t="shared" si="14"/>
        <v>#N/A</v>
      </c>
      <c r="O270" s="42" t="e">
        <f>INDEX(Input!$D$2:$AC$500,
       MATCH(B270, Input!$J$2:$J$500, 0),
       MATCH("Disk Interface Type", Input!$D$1:$AC$1, 0))</f>
        <v>#N/A</v>
      </c>
      <c r="P270" s="42" t="str" cm="1">
        <f t="array" ref="P270">IFERROR(_xlfn.TEXTJOIN(", ", TRUE, _xlfn._xlws.FILTER(
    INDEX(Input!$D$2:$AC$500,,MATCH("Disk Capacity",Input!$D$1:$AC$1,0)),
    Input!$J$2:$J$500=B270
)), "")</f>
        <v/>
      </c>
      <c r="Q270" s="32" t="e">
        <f t="shared" si="13"/>
        <v>#N/A</v>
      </c>
      <c r="R270" s="42" t="e">
        <f>_xlfn.LET(_xlpm.Result,INDEX(Input!$D$2:$AC$500,
       MATCH(B270, Input!$J$2:$J$500, 0),
       MATCH("Capacity", Input!$D$1:$AC$1, 0)),IF(_xlpm.Result="","",_xlpm.Result))</f>
        <v>#N/A</v>
      </c>
      <c r="S270" s="42" t="e" cm="1">
        <f t="array" ref="S270">_xlfn.TEXTSPLIT(R270," / ", ,TRUE,0,)</f>
        <v>#N/A</v>
      </c>
      <c r="T270" s="42"/>
      <c r="U270" s="42" t="str" cm="1">
        <f t="array" ref="U270">IFERROR(_xlfn.IFS(
S270="","",
--S270&lt;55,"Battery Defect",
--S270&lt;=69,"Battery D",
--S270&lt;=80,"Battery C",
--S270&gt;80,""
),"")</f>
        <v/>
      </c>
      <c r="V270" s="42" t="str" cm="1">
        <f t="array" ref="V270">IFERROR(_xlfn.IFS(
T270="","",
--T270&lt;55,"Battery Defect",
--T270&lt;=69,"Battery D",
--T270&lt;=80,"Battery C",
--T270&gt;80,""
),"")</f>
        <v/>
      </c>
      <c r="W270" s="42"/>
      <c r="X270" s="42"/>
      <c r="Y270" s="42"/>
      <c r="Z270" s="42"/>
      <c r="AA270" s="42"/>
      <c r="AB270" s="42"/>
      <c r="AC270" s="42"/>
      <c r="AD270" s="42"/>
      <c r="AE270" s="32" t="str">
        <f t="shared" si="12"/>
        <v/>
      </c>
      <c r="AF270" s="32"/>
      <c r="AG270" s="32"/>
      <c r="AH270" s="32"/>
      <c r="AI270" s="32"/>
      <c r="AJ270" s="32"/>
      <c r="AK270" s="32"/>
      <c r="AL270" s="32"/>
      <c r="AM270" s="32"/>
    </row>
    <row r="271" spans="1:39">
      <c r="A271" s="32" t="str">
        <f>_xlfn.XLOOKUP(B271,Input!J:J,Input!G:G)&amp;""</f>
        <v/>
      </c>
      <c r="B271" s="32"/>
      <c r="C271" s="32" t="str">
        <f>_xlfn.XLOOKUP(B271,Input!J:J,Input!H:H)&amp;""</f>
        <v/>
      </c>
      <c r="D271" s="42">
        <f>_xlfn.XLOOKUP(B271,Input!J:J,Input!F:F)</f>
        <v>0</v>
      </c>
      <c r="E271" s="32">
        <f>_xlfn.XLOOKUP(D271,Models!H:H,Models!G:G,D271)</f>
        <v>0</v>
      </c>
      <c r="F271" s="32">
        <f>_xlfn.XLOOKUP(B271,Input!J:J,Input!E:E)</f>
        <v>0</v>
      </c>
      <c r="G271" s="32">
        <f>IF(F271="LENOVO",_xlfn.XLOOKUP(B271,Input!J:J,Input!K:K),_xlfn.XLOOKUP(B271,Input!J:J,Input!L:L))</f>
        <v>0</v>
      </c>
      <c r="H271" s="32"/>
      <c r="I271" s="32"/>
      <c r="J271" s="32"/>
      <c r="K271" s="42" t="e">
        <f>INDEX(Input!$D$2:$AC$500,
       MATCH(B271, Input!$J$2:$J$500, 0),
       MATCH("Total Memory", Input!$D$1:$AC$1, 0))</f>
        <v>#N/A</v>
      </c>
      <c r="L271" s="42"/>
      <c r="M271" s="42" t="str" cm="1">
        <f t="array" ref="M271">IFERROR(_xlfn.FILTERXML("&lt;t&gt;&lt;s&gt;" &amp; SUBSTITUTE(L271," / ","&lt;/s&gt;&lt;s&gt;") &amp; "&lt;/s&gt;&lt;/t&gt;","(//s[contains(.,'DDR')])[1]"),"")</f>
        <v/>
      </c>
      <c r="N271" s="32" t="e">
        <f t="shared" si="14"/>
        <v>#N/A</v>
      </c>
      <c r="O271" s="42" t="e">
        <f>INDEX(Input!$D$2:$AC$500,
       MATCH(B271, Input!$J$2:$J$500, 0),
       MATCH("Disk Interface Type", Input!$D$1:$AC$1, 0))</f>
        <v>#N/A</v>
      </c>
      <c r="P271" s="42" t="str" cm="1">
        <f t="array" ref="P271">IFERROR(_xlfn.TEXTJOIN(", ", TRUE, _xlfn._xlws.FILTER(
    INDEX(Input!$D$2:$AC$500,,MATCH("Disk Capacity",Input!$D$1:$AC$1,0)),
    Input!$J$2:$J$500=B271
)), "")</f>
        <v/>
      </c>
      <c r="Q271" s="32" t="e">
        <f t="shared" si="13"/>
        <v>#N/A</v>
      </c>
      <c r="R271" s="42" t="e">
        <f>_xlfn.LET(_xlpm.Result,INDEX(Input!$D$2:$AC$500,
       MATCH(B271, Input!$J$2:$J$500, 0),
       MATCH("Capacity", Input!$D$1:$AC$1, 0)),IF(_xlpm.Result="","",_xlpm.Result))</f>
        <v>#N/A</v>
      </c>
      <c r="S271" s="42" t="e" cm="1">
        <f t="array" ref="S271">_xlfn.TEXTSPLIT(R271," / ", ,TRUE,0,)</f>
        <v>#N/A</v>
      </c>
      <c r="T271" s="42"/>
      <c r="U271" s="42" t="str" cm="1">
        <f t="array" ref="U271">IFERROR(_xlfn.IFS(
S271="","",
--S271&lt;55,"Battery Defect",
--S271&lt;=69,"Battery D",
--S271&lt;=80,"Battery C",
--S271&gt;80,""
),"")</f>
        <v/>
      </c>
      <c r="V271" s="42" t="str" cm="1">
        <f t="array" ref="V271">IFERROR(_xlfn.IFS(
T271="","",
--T271&lt;55,"Battery Defect",
--T271&lt;=69,"Battery D",
--T271&lt;=80,"Battery C",
--T271&gt;80,""
),"")</f>
        <v/>
      </c>
      <c r="W271" s="42"/>
      <c r="X271" s="42"/>
      <c r="Y271" s="42"/>
      <c r="Z271" s="42"/>
      <c r="AA271" s="42"/>
      <c r="AB271" s="42"/>
      <c r="AC271" s="42"/>
      <c r="AD271" s="42"/>
      <c r="AE271" s="32" t="str">
        <f t="shared" si="12"/>
        <v/>
      </c>
      <c r="AF271" s="32"/>
      <c r="AG271" s="32"/>
      <c r="AH271" s="32"/>
      <c r="AI271" s="32"/>
      <c r="AJ271" s="32"/>
      <c r="AK271" s="32"/>
      <c r="AL271" s="32"/>
      <c r="AM271" s="32"/>
    </row>
    <row r="272" spans="1:39">
      <c r="A272" s="32" t="str">
        <f>_xlfn.XLOOKUP(B272,Input!J:J,Input!G:G)&amp;""</f>
        <v/>
      </c>
      <c r="B272" s="32"/>
      <c r="C272" s="32" t="str">
        <f>_xlfn.XLOOKUP(B272,Input!J:J,Input!H:H)&amp;""</f>
        <v/>
      </c>
      <c r="D272" s="42">
        <f>_xlfn.XLOOKUP(B272,Input!J:J,Input!F:F)</f>
        <v>0</v>
      </c>
      <c r="E272" s="32">
        <f>_xlfn.XLOOKUP(D272,Models!H:H,Models!G:G,D272)</f>
        <v>0</v>
      </c>
      <c r="F272" s="32">
        <f>_xlfn.XLOOKUP(B272,Input!J:J,Input!E:E)</f>
        <v>0</v>
      </c>
      <c r="G272" s="32">
        <f>IF(F272="LENOVO",_xlfn.XLOOKUP(B272,Input!J:J,Input!K:K),_xlfn.XLOOKUP(B272,Input!J:J,Input!L:L))</f>
        <v>0</v>
      </c>
      <c r="H272" s="32"/>
      <c r="I272" s="32"/>
      <c r="J272" s="32"/>
      <c r="K272" s="42" t="e">
        <f>INDEX(Input!$D$2:$AC$500,
       MATCH(B272, Input!$J$2:$J$500, 0),
       MATCH("Total Memory", Input!$D$1:$AC$1, 0))</f>
        <v>#N/A</v>
      </c>
      <c r="L272" s="42"/>
      <c r="M272" s="42" t="str" cm="1">
        <f t="array" ref="M272">IFERROR(_xlfn.FILTERXML("&lt;t&gt;&lt;s&gt;" &amp; SUBSTITUTE(L272," / ","&lt;/s&gt;&lt;s&gt;") &amp; "&lt;/s&gt;&lt;/t&gt;","(//s[contains(.,'DDR')])[1]"),"")</f>
        <v/>
      </c>
      <c r="N272" s="32" t="e">
        <f t="shared" si="14"/>
        <v>#N/A</v>
      </c>
      <c r="O272" s="42" t="e">
        <f>INDEX(Input!$D$2:$AC$500,
       MATCH(B272, Input!$J$2:$J$500, 0),
       MATCH("Disk Interface Type", Input!$D$1:$AC$1, 0))</f>
        <v>#N/A</v>
      </c>
      <c r="P272" s="42" t="str" cm="1">
        <f t="array" ref="P272">IFERROR(_xlfn.TEXTJOIN(", ", TRUE, _xlfn._xlws.FILTER(
    INDEX(Input!$D$2:$AC$500,,MATCH("Disk Capacity",Input!$D$1:$AC$1,0)),
    Input!$J$2:$J$500=B272
)), "")</f>
        <v/>
      </c>
      <c r="Q272" s="32" t="e">
        <f t="shared" si="13"/>
        <v>#N/A</v>
      </c>
      <c r="R272" s="42" t="e">
        <f>_xlfn.LET(_xlpm.Result,INDEX(Input!$D$2:$AC$500,
       MATCH(B272, Input!$J$2:$J$500, 0),
       MATCH("Capacity", Input!$D$1:$AC$1, 0)),IF(_xlpm.Result="","",_xlpm.Result))</f>
        <v>#N/A</v>
      </c>
      <c r="S272" s="42" t="e" cm="1">
        <f t="array" ref="S272">_xlfn.TEXTSPLIT(R272," / ", ,TRUE,0,)</f>
        <v>#N/A</v>
      </c>
      <c r="T272" s="42"/>
      <c r="U272" s="42" t="str" cm="1">
        <f t="array" ref="U272">IFERROR(_xlfn.IFS(
S272="","",
--S272&lt;55,"Battery Defect",
--S272&lt;=69,"Battery D",
--S272&lt;=80,"Battery C",
--S272&gt;80,""
),"")</f>
        <v/>
      </c>
      <c r="V272" s="42" t="str" cm="1">
        <f t="array" ref="V272">IFERROR(_xlfn.IFS(
T272="","",
--T272&lt;55,"Battery Defect",
--T272&lt;=69,"Battery D",
--T272&lt;=80,"Battery C",
--T272&gt;80,""
),"")</f>
        <v/>
      </c>
      <c r="W272" s="42"/>
      <c r="X272" s="42"/>
      <c r="Y272" s="42"/>
      <c r="Z272" s="42"/>
      <c r="AA272" s="42"/>
      <c r="AB272" s="42"/>
      <c r="AC272" s="42"/>
      <c r="AD272" s="42"/>
      <c r="AE272" s="32" t="str">
        <f t="shared" si="12"/>
        <v/>
      </c>
      <c r="AF272" s="32"/>
      <c r="AG272" s="32"/>
      <c r="AH272" s="32"/>
      <c r="AI272" s="32"/>
      <c r="AJ272" s="32"/>
      <c r="AK272" s="32"/>
      <c r="AL272" s="32"/>
      <c r="AM272" s="32"/>
    </row>
    <row r="273" spans="1:39">
      <c r="A273" s="32" t="str">
        <f>_xlfn.XLOOKUP(B273,Input!J:J,Input!G:G)&amp;""</f>
        <v/>
      </c>
      <c r="B273" s="32"/>
      <c r="C273" s="32" t="str">
        <f>_xlfn.XLOOKUP(B273,Input!J:J,Input!H:H)&amp;""</f>
        <v/>
      </c>
      <c r="D273" s="42">
        <f>_xlfn.XLOOKUP(B273,Input!J:J,Input!F:F)</f>
        <v>0</v>
      </c>
      <c r="E273" s="32">
        <f>_xlfn.XLOOKUP(D273,Models!H:H,Models!G:G,D273)</f>
        <v>0</v>
      </c>
      <c r="F273" s="32">
        <f>_xlfn.XLOOKUP(B273,Input!J:J,Input!E:E)</f>
        <v>0</v>
      </c>
      <c r="G273" s="32">
        <f>IF(F273="LENOVO",_xlfn.XLOOKUP(B273,Input!J:J,Input!K:K),_xlfn.XLOOKUP(B273,Input!J:J,Input!L:L))</f>
        <v>0</v>
      </c>
      <c r="H273" s="32"/>
      <c r="I273" s="32"/>
      <c r="J273" s="32"/>
      <c r="K273" s="42" t="e">
        <f>INDEX(Input!$D$2:$AC$500,
       MATCH(B273, Input!$J$2:$J$500, 0),
       MATCH("Total Memory", Input!$D$1:$AC$1, 0))</f>
        <v>#N/A</v>
      </c>
      <c r="L273" s="42"/>
      <c r="M273" s="42" t="str" cm="1">
        <f t="array" ref="M273">IFERROR(_xlfn.FILTERXML("&lt;t&gt;&lt;s&gt;" &amp; SUBSTITUTE(L273," / ","&lt;/s&gt;&lt;s&gt;") &amp; "&lt;/s&gt;&lt;/t&gt;","(//s[contains(.,'DDR')])[1]"),"")</f>
        <v/>
      </c>
      <c r="N273" s="32" t="e">
        <f t="shared" si="14"/>
        <v>#N/A</v>
      </c>
      <c r="O273" s="42" t="e">
        <f>INDEX(Input!$D$2:$AC$500,
       MATCH(B273, Input!$J$2:$J$500, 0),
       MATCH("Disk Interface Type", Input!$D$1:$AC$1, 0))</f>
        <v>#N/A</v>
      </c>
      <c r="P273" s="42" t="str" cm="1">
        <f t="array" ref="P273">IFERROR(_xlfn.TEXTJOIN(", ", TRUE, _xlfn._xlws.FILTER(
    INDEX(Input!$D$2:$AC$500,,MATCH("Disk Capacity",Input!$D$1:$AC$1,0)),
    Input!$J$2:$J$500=B273
)), "")</f>
        <v/>
      </c>
      <c r="Q273" s="32" t="e">
        <f t="shared" si="13"/>
        <v>#N/A</v>
      </c>
      <c r="R273" s="42" t="e">
        <f>_xlfn.LET(_xlpm.Result,INDEX(Input!$D$2:$AC$500,
       MATCH(B273, Input!$J$2:$J$500, 0),
       MATCH("Capacity", Input!$D$1:$AC$1, 0)),IF(_xlpm.Result="","",_xlpm.Result))</f>
        <v>#N/A</v>
      </c>
      <c r="S273" s="42" t="e" cm="1">
        <f t="array" ref="S273">_xlfn.TEXTSPLIT(R273," / ", ,TRUE,0,)</f>
        <v>#N/A</v>
      </c>
      <c r="T273" s="42"/>
      <c r="U273" s="42" t="str" cm="1">
        <f t="array" ref="U273">IFERROR(_xlfn.IFS(
S273="","",
--S273&lt;55,"Battery Defect",
--S273&lt;=69,"Battery D",
--S273&lt;=80,"Battery C",
--S273&gt;80,""
),"")</f>
        <v/>
      </c>
      <c r="V273" s="42" t="str" cm="1">
        <f t="array" ref="V273">IFERROR(_xlfn.IFS(
T273="","",
--T273&lt;55,"Battery Defect",
--T273&lt;=69,"Battery D",
--T273&lt;=80,"Battery C",
--T273&gt;80,""
),"")</f>
        <v/>
      </c>
      <c r="W273" s="42"/>
      <c r="X273" s="42"/>
      <c r="Y273" s="42"/>
      <c r="Z273" s="42"/>
      <c r="AA273" s="42"/>
      <c r="AB273" s="42"/>
      <c r="AC273" s="42"/>
      <c r="AD273" s="42"/>
      <c r="AE273" s="32" t="str">
        <f t="shared" si="12"/>
        <v/>
      </c>
      <c r="AF273" s="32"/>
      <c r="AG273" s="32"/>
      <c r="AH273" s="32"/>
      <c r="AI273" s="32"/>
      <c r="AJ273" s="32"/>
      <c r="AK273" s="32"/>
      <c r="AL273" s="32"/>
      <c r="AM273" s="32"/>
    </row>
    <row r="274" spans="1:39">
      <c r="A274" s="32" t="str">
        <f>_xlfn.XLOOKUP(B274,Input!J:J,Input!G:G)&amp;""</f>
        <v/>
      </c>
      <c r="B274" s="32"/>
      <c r="C274" s="32" t="str">
        <f>_xlfn.XLOOKUP(B274,Input!J:J,Input!H:H)&amp;""</f>
        <v/>
      </c>
      <c r="D274" s="42">
        <f>_xlfn.XLOOKUP(B274,Input!J:J,Input!F:F)</f>
        <v>0</v>
      </c>
      <c r="E274" s="32">
        <f>_xlfn.XLOOKUP(D274,Models!H:H,Models!G:G,D274)</f>
        <v>0</v>
      </c>
      <c r="F274" s="32">
        <f>_xlfn.XLOOKUP(B274,Input!J:J,Input!E:E)</f>
        <v>0</v>
      </c>
      <c r="G274" s="32">
        <f>IF(F274="LENOVO",_xlfn.XLOOKUP(B274,Input!J:J,Input!K:K),_xlfn.XLOOKUP(B274,Input!J:J,Input!L:L))</f>
        <v>0</v>
      </c>
      <c r="H274" s="32"/>
      <c r="I274" s="32"/>
      <c r="J274" s="32"/>
      <c r="K274" s="42" t="e">
        <f>INDEX(Input!$D$2:$AC$500,
       MATCH(B274, Input!$J$2:$J$500, 0),
       MATCH("Total Memory", Input!$D$1:$AC$1, 0))</f>
        <v>#N/A</v>
      </c>
      <c r="L274" s="42"/>
      <c r="M274" s="42" t="str" cm="1">
        <f t="array" ref="M274">IFERROR(_xlfn.FILTERXML("&lt;t&gt;&lt;s&gt;" &amp; SUBSTITUTE(L274," / ","&lt;/s&gt;&lt;s&gt;") &amp; "&lt;/s&gt;&lt;/t&gt;","(//s[contains(.,'DDR')])[1]"),"")</f>
        <v/>
      </c>
      <c r="N274" s="32" t="e">
        <f t="shared" si="14"/>
        <v>#N/A</v>
      </c>
      <c r="O274" s="42" t="e">
        <f>INDEX(Input!$D$2:$AC$500,
       MATCH(B274, Input!$J$2:$J$500, 0),
       MATCH("Disk Interface Type", Input!$D$1:$AC$1, 0))</f>
        <v>#N/A</v>
      </c>
      <c r="P274" s="42" t="str" cm="1">
        <f t="array" ref="P274">IFERROR(_xlfn.TEXTJOIN(", ", TRUE, _xlfn._xlws.FILTER(
    INDEX(Input!$D$2:$AC$500,,MATCH("Disk Capacity",Input!$D$1:$AC$1,0)),
    Input!$J$2:$J$500=B274
)), "")</f>
        <v/>
      </c>
      <c r="Q274" s="32" t="e">
        <f t="shared" si="13"/>
        <v>#N/A</v>
      </c>
      <c r="R274" s="42" t="e">
        <f>_xlfn.LET(_xlpm.Result,INDEX(Input!$D$2:$AC$500,
       MATCH(B274, Input!$J$2:$J$500, 0),
       MATCH("Capacity", Input!$D$1:$AC$1, 0)),IF(_xlpm.Result="","",_xlpm.Result))</f>
        <v>#N/A</v>
      </c>
      <c r="S274" s="42" t="e" cm="1">
        <f t="array" ref="S274">_xlfn.TEXTSPLIT(R274," / ", ,TRUE,0,)</f>
        <v>#N/A</v>
      </c>
      <c r="T274" s="42"/>
      <c r="U274" s="42" t="str" cm="1">
        <f t="array" ref="U274">IFERROR(_xlfn.IFS(
S274="","",
--S274&lt;55,"Battery Defect",
--S274&lt;=69,"Battery D",
--S274&lt;=80,"Battery C",
--S274&gt;80,""
),"")</f>
        <v/>
      </c>
      <c r="V274" s="42" t="str" cm="1">
        <f t="array" ref="V274">IFERROR(_xlfn.IFS(
T274="","",
--T274&lt;55,"Battery Defect",
--T274&lt;=69,"Battery D",
--T274&lt;=80,"Battery C",
--T274&gt;80,""
),"")</f>
        <v/>
      </c>
      <c r="W274" s="42"/>
      <c r="X274" s="42"/>
      <c r="Y274" s="42"/>
      <c r="Z274" s="42"/>
      <c r="AA274" s="42"/>
      <c r="AB274" s="42"/>
      <c r="AC274" s="42"/>
      <c r="AD274" s="42"/>
      <c r="AE274" s="32" t="str">
        <f t="shared" si="12"/>
        <v/>
      </c>
      <c r="AF274" s="32"/>
      <c r="AG274" s="32"/>
      <c r="AH274" s="32"/>
      <c r="AI274" s="32"/>
      <c r="AJ274" s="32"/>
      <c r="AK274" s="32"/>
      <c r="AL274" s="32"/>
      <c r="AM274" s="32"/>
    </row>
    <row r="275" spans="1:39">
      <c r="A275" s="32" t="str">
        <f>_xlfn.XLOOKUP(B275,Input!J:J,Input!G:G)&amp;""</f>
        <v/>
      </c>
      <c r="B275" s="32"/>
      <c r="C275" s="32" t="str">
        <f>_xlfn.XLOOKUP(B275,Input!J:J,Input!H:H)&amp;""</f>
        <v/>
      </c>
      <c r="D275" s="42">
        <f>_xlfn.XLOOKUP(B275,Input!J:J,Input!F:F)</f>
        <v>0</v>
      </c>
      <c r="E275" s="32">
        <f>_xlfn.XLOOKUP(D275,Models!H:H,Models!G:G,D275)</f>
        <v>0</v>
      </c>
      <c r="F275" s="32">
        <f>_xlfn.XLOOKUP(B275,Input!J:J,Input!E:E)</f>
        <v>0</v>
      </c>
      <c r="G275" s="32">
        <f>IF(F275="LENOVO",_xlfn.XLOOKUP(B275,Input!J:J,Input!K:K),_xlfn.XLOOKUP(B275,Input!J:J,Input!L:L))</f>
        <v>0</v>
      </c>
      <c r="H275" s="32"/>
      <c r="I275" s="32"/>
      <c r="J275" s="32"/>
      <c r="K275" s="42" t="e">
        <f>INDEX(Input!$D$2:$AC$500,
       MATCH(B275, Input!$J$2:$J$500, 0),
       MATCH("Total Memory", Input!$D$1:$AC$1, 0))</f>
        <v>#N/A</v>
      </c>
      <c r="L275" s="42"/>
      <c r="M275" s="42" t="str" cm="1">
        <f t="array" ref="M275">IFERROR(_xlfn.FILTERXML("&lt;t&gt;&lt;s&gt;" &amp; SUBSTITUTE(L275," / ","&lt;/s&gt;&lt;s&gt;") &amp; "&lt;/s&gt;&lt;/t&gt;","(//s[contains(.,'DDR')])[1]"),"")</f>
        <v/>
      </c>
      <c r="N275" s="32" t="e">
        <f t="shared" si="14"/>
        <v>#N/A</v>
      </c>
      <c r="O275" s="42" t="e">
        <f>INDEX(Input!$D$2:$AC$500,
       MATCH(B275, Input!$J$2:$J$500, 0),
       MATCH("Disk Interface Type", Input!$D$1:$AC$1, 0))</f>
        <v>#N/A</v>
      </c>
      <c r="P275" s="42" t="str" cm="1">
        <f t="array" ref="P275">IFERROR(_xlfn.TEXTJOIN(", ", TRUE, _xlfn._xlws.FILTER(
    INDEX(Input!$D$2:$AC$500,,MATCH("Disk Capacity",Input!$D$1:$AC$1,0)),
    Input!$J$2:$J$500=B275
)), "")</f>
        <v/>
      </c>
      <c r="Q275" s="32" t="e">
        <f t="shared" si="13"/>
        <v>#N/A</v>
      </c>
      <c r="R275" s="42" t="e">
        <f>_xlfn.LET(_xlpm.Result,INDEX(Input!$D$2:$AC$500,
       MATCH(B275, Input!$J$2:$J$500, 0),
       MATCH("Capacity", Input!$D$1:$AC$1, 0)),IF(_xlpm.Result="","",_xlpm.Result))</f>
        <v>#N/A</v>
      </c>
      <c r="S275" s="42" t="e" cm="1">
        <f t="array" ref="S275">_xlfn.TEXTSPLIT(R275," / ", ,TRUE,0,)</f>
        <v>#N/A</v>
      </c>
      <c r="T275" s="42"/>
      <c r="U275" s="42" t="str" cm="1">
        <f t="array" ref="U275">IFERROR(_xlfn.IFS(
S275="","",
--S275&lt;55,"Battery Defect",
--S275&lt;=69,"Battery D",
--S275&lt;=80,"Battery C",
--S275&gt;80,""
),"")</f>
        <v/>
      </c>
      <c r="V275" s="42" t="str" cm="1">
        <f t="array" ref="V275">IFERROR(_xlfn.IFS(
T275="","",
--T275&lt;55,"Battery Defect",
--T275&lt;=69,"Battery D",
--T275&lt;=80,"Battery C",
--T275&gt;80,""
),"")</f>
        <v/>
      </c>
      <c r="W275" s="42"/>
      <c r="X275" s="42"/>
      <c r="Y275" s="42"/>
      <c r="Z275" s="42"/>
      <c r="AA275" s="42"/>
      <c r="AB275" s="42"/>
      <c r="AC275" s="42"/>
      <c r="AD275" s="42"/>
      <c r="AE275" s="32" t="str">
        <f t="shared" si="12"/>
        <v/>
      </c>
      <c r="AF275" s="32"/>
      <c r="AG275" s="32"/>
      <c r="AH275" s="32"/>
      <c r="AI275" s="32"/>
      <c r="AJ275" s="32"/>
      <c r="AK275" s="32"/>
      <c r="AL275" s="32"/>
      <c r="AM275" s="32"/>
    </row>
    <row r="276" spans="1:39">
      <c r="A276" s="32" t="str">
        <f>_xlfn.XLOOKUP(B276,Input!J:J,Input!G:G)&amp;""</f>
        <v/>
      </c>
      <c r="B276" s="32"/>
      <c r="C276" s="32" t="str">
        <f>_xlfn.XLOOKUP(B276,Input!J:J,Input!H:H)&amp;""</f>
        <v/>
      </c>
      <c r="D276" s="42">
        <f>_xlfn.XLOOKUP(B276,Input!J:J,Input!F:F)</f>
        <v>0</v>
      </c>
      <c r="E276" s="32">
        <f>_xlfn.XLOOKUP(D276,Models!H:H,Models!G:G,D276)</f>
        <v>0</v>
      </c>
      <c r="F276" s="32">
        <f>_xlfn.XLOOKUP(B276,Input!J:J,Input!E:E)</f>
        <v>0</v>
      </c>
      <c r="G276" s="32">
        <f>IF(F276="LENOVO",_xlfn.XLOOKUP(B276,Input!J:J,Input!K:K),_xlfn.XLOOKUP(B276,Input!J:J,Input!L:L))</f>
        <v>0</v>
      </c>
      <c r="H276" s="32"/>
      <c r="I276" s="32"/>
      <c r="J276" s="32"/>
      <c r="K276" s="42" t="e">
        <f>INDEX(Input!$D$2:$AC$500,
       MATCH(B276, Input!$J$2:$J$500, 0),
       MATCH("Total Memory", Input!$D$1:$AC$1, 0))</f>
        <v>#N/A</v>
      </c>
      <c r="L276" s="42"/>
      <c r="M276" s="42" t="str" cm="1">
        <f t="array" ref="M276">IFERROR(_xlfn.FILTERXML("&lt;t&gt;&lt;s&gt;" &amp; SUBSTITUTE(L276," / ","&lt;/s&gt;&lt;s&gt;") &amp; "&lt;/s&gt;&lt;/t&gt;","(//s[contains(.,'DDR')])[1]"),"")</f>
        <v/>
      </c>
      <c r="N276" s="32" t="e">
        <f t="shared" si="14"/>
        <v>#N/A</v>
      </c>
      <c r="O276" s="42" t="e">
        <f>INDEX(Input!$D$2:$AC$500,
       MATCH(B276, Input!$J$2:$J$500, 0),
       MATCH("Disk Interface Type", Input!$D$1:$AC$1, 0))</f>
        <v>#N/A</v>
      </c>
      <c r="P276" s="42" t="str" cm="1">
        <f t="array" ref="P276">IFERROR(_xlfn.TEXTJOIN(", ", TRUE, _xlfn._xlws.FILTER(
    INDEX(Input!$D$2:$AC$500,,MATCH("Disk Capacity",Input!$D$1:$AC$1,0)),
    Input!$J$2:$J$500=B276
)), "")</f>
        <v/>
      </c>
      <c r="Q276" s="32" t="e">
        <f t="shared" si="13"/>
        <v>#N/A</v>
      </c>
      <c r="R276" s="42" t="e">
        <f>_xlfn.LET(_xlpm.Result,INDEX(Input!$D$2:$AC$500,
       MATCH(B276, Input!$J$2:$J$500, 0),
       MATCH("Capacity", Input!$D$1:$AC$1, 0)),IF(_xlpm.Result="","",_xlpm.Result))</f>
        <v>#N/A</v>
      </c>
      <c r="S276" s="42" t="e" cm="1">
        <f t="array" ref="S276">_xlfn.TEXTSPLIT(R276," / ", ,TRUE,0,)</f>
        <v>#N/A</v>
      </c>
      <c r="T276" s="42"/>
      <c r="U276" s="42" t="str" cm="1">
        <f t="array" ref="U276">IFERROR(_xlfn.IFS(
S276="","",
--S276&lt;55,"Battery Defect",
--S276&lt;=69,"Battery D",
--S276&lt;=80,"Battery C",
--S276&gt;80,""
),"")</f>
        <v/>
      </c>
      <c r="V276" s="42" t="str" cm="1">
        <f t="array" ref="V276">IFERROR(_xlfn.IFS(
T276="","",
--T276&lt;55,"Battery Defect",
--T276&lt;=69,"Battery D",
--T276&lt;=80,"Battery C",
--T276&gt;80,""
),"")</f>
        <v/>
      </c>
      <c r="W276" s="42"/>
      <c r="X276" s="42"/>
      <c r="Y276" s="42"/>
      <c r="Z276" s="42"/>
      <c r="AA276" s="42"/>
      <c r="AB276" s="42"/>
      <c r="AC276" s="42"/>
      <c r="AD276" s="42"/>
      <c r="AE276" s="32" t="str">
        <f t="shared" si="12"/>
        <v/>
      </c>
      <c r="AF276" s="32"/>
      <c r="AG276" s="32"/>
      <c r="AH276" s="32"/>
      <c r="AI276" s="32"/>
      <c r="AJ276" s="32"/>
      <c r="AK276" s="32"/>
      <c r="AL276" s="32"/>
      <c r="AM276" s="32"/>
    </row>
    <row r="277" spans="1:39">
      <c r="A277" s="32" t="str">
        <f>_xlfn.XLOOKUP(B277,Input!J:J,Input!G:G)&amp;""</f>
        <v/>
      </c>
      <c r="B277" s="32"/>
      <c r="C277" s="32" t="str">
        <f>_xlfn.XLOOKUP(B277,Input!J:J,Input!H:H)&amp;""</f>
        <v/>
      </c>
      <c r="D277" s="42">
        <f>_xlfn.XLOOKUP(B277,Input!J:J,Input!F:F)</f>
        <v>0</v>
      </c>
      <c r="E277" s="32">
        <f>_xlfn.XLOOKUP(D277,Models!H:H,Models!G:G,D277)</f>
        <v>0</v>
      </c>
      <c r="F277" s="32">
        <f>_xlfn.XLOOKUP(B277,Input!J:J,Input!E:E)</f>
        <v>0</v>
      </c>
      <c r="G277" s="32">
        <f>IF(F277="LENOVO",_xlfn.XLOOKUP(B277,Input!J:J,Input!K:K),_xlfn.XLOOKUP(B277,Input!J:J,Input!L:L))</f>
        <v>0</v>
      </c>
      <c r="H277" s="32"/>
      <c r="I277" s="32"/>
      <c r="J277" s="32"/>
      <c r="K277" s="42" t="e">
        <f>INDEX(Input!$D$2:$AC$500,
       MATCH(B277, Input!$J$2:$J$500, 0),
       MATCH("Total Memory", Input!$D$1:$AC$1, 0))</f>
        <v>#N/A</v>
      </c>
      <c r="L277" s="42"/>
      <c r="M277" s="42" t="str" cm="1">
        <f t="array" ref="M277">IFERROR(_xlfn.FILTERXML("&lt;t&gt;&lt;s&gt;" &amp; SUBSTITUTE(L277," / ","&lt;/s&gt;&lt;s&gt;") &amp; "&lt;/s&gt;&lt;/t&gt;","(//s[contains(.,'DDR')])[1]"),"")</f>
        <v/>
      </c>
      <c r="N277" s="32" t="e">
        <f t="shared" si="14"/>
        <v>#N/A</v>
      </c>
      <c r="O277" s="42" t="e">
        <f>INDEX(Input!$D$2:$AC$500,
       MATCH(B277, Input!$J$2:$J$500, 0),
       MATCH("Disk Interface Type", Input!$D$1:$AC$1, 0))</f>
        <v>#N/A</v>
      </c>
      <c r="P277" s="42" t="str" cm="1">
        <f t="array" ref="P277">IFERROR(_xlfn.TEXTJOIN(", ", TRUE, _xlfn._xlws.FILTER(
    INDEX(Input!$D$2:$AC$500,,MATCH("Disk Capacity",Input!$D$1:$AC$1,0)),
    Input!$J$2:$J$500=B277
)), "")</f>
        <v/>
      </c>
      <c r="Q277" s="32" t="e">
        <f t="shared" si="13"/>
        <v>#N/A</v>
      </c>
      <c r="R277" s="42" t="e">
        <f>_xlfn.LET(_xlpm.Result,INDEX(Input!$D$2:$AC$500,
       MATCH(B277, Input!$J$2:$J$500, 0),
       MATCH("Capacity", Input!$D$1:$AC$1, 0)),IF(_xlpm.Result="","",_xlpm.Result))</f>
        <v>#N/A</v>
      </c>
      <c r="S277" s="42" t="e" cm="1">
        <f t="array" ref="S277">_xlfn.TEXTSPLIT(R277," / ", ,TRUE,0,)</f>
        <v>#N/A</v>
      </c>
      <c r="T277" s="42"/>
      <c r="U277" s="42" t="str" cm="1">
        <f t="array" ref="U277">IFERROR(_xlfn.IFS(
S277="","",
--S277&lt;55,"Battery Defect",
--S277&lt;=69,"Battery D",
--S277&lt;=80,"Battery C",
--S277&gt;80,""
),"")</f>
        <v/>
      </c>
      <c r="V277" s="42" t="str" cm="1">
        <f t="array" ref="V277">IFERROR(_xlfn.IFS(
T277="","",
--T277&lt;55,"Battery Defect",
--T277&lt;=69,"Battery D",
--T277&lt;=80,"Battery C",
--T277&gt;80,""
),"")</f>
        <v/>
      </c>
      <c r="W277" s="42"/>
      <c r="X277" s="42"/>
      <c r="Y277" s="42"/>
      <c r="Z277" s="42"/>
      <c r="AA277" s="42"/>
      <c r="AB277" s="42"/>
      <c r="AC277" s="42"/>
      <c r="AD277" s="42"/>
      <c r="AE277" s="32" t="str">
        <f t="shared" si="12"/>
        <v/>
      </c>
      <c r="AF277" s="32"/>
      <c r="AG277" s="32"/>
      <c r="AH277" s="32"/>
      <c r="AI277" s="32"/>
      <c r="AJ277" s="32"/>
      <c r="AK277" s="32"/>
      <c r="AL277" s="32"/>
      <c r="AM277" s="32"/>
    </row>
    <row r="278" spans="1:39">
      <c r="A278" s="32" t="str">
        <f>_xlfn.XLOOKUP(B278,Input!J:J,Input!G:G)&amp;""</f>
        <v/>
      </c>
      <c r="B278" s="32"/>
      <c r="C278" s="32" t="str">
        <f>_xlfn.XLOOKUP(B278,Input!J:J,Input!H:H)&amp;""</f>
        <v/>
      </c>
      <c r="D278" s="42">
        <f>_xlfn.XLOOKUP(B278,Input!J:J,Input!F:F)</f>
        <v>0</v>
      </c>
      <c r="E278" s="32">
        <f>_xlfn.XLOOKUP(D278,Models!H:H,Models!G:G,D278)</f>
        <v>0</v>
      </c>
      <c r="F278" s="32">
        <f>_xlfn.XLOOKUP(B278,Input!J:J,Input!E:E)</f>
        <v>0</v>
      </c>
      <c r="G278" s="32">
        <f>IF(F278="LENOVO",_xlfn.XLOOKUP(B278,Input!J:J,Input!K:K),_xlfn.XLOOKUP(B278,Input!J:J,Input!L:L))</f>
        <v>0</v>
      </c>
      <c r="H278" s="32"/>
      <c r="I278" s="32"/>
      <c r="J278" s="32"/>
      <c r="K278" s="42" t="e">
        <f>INDEX(Input!$D$2:$AC$500,
       MATCH(B278, Input!$J$2:$J$500, 0),
       MATCH("Total Memory", Input!$D$1:$AC$1, 0))</f>
        <v>#N/A</v>
      </c>
      <c r="L278" s="42"/>
      <c r="M278" s="42" t="str" cm="1">
        <f t="array" ref="M278">IFERROR(_xlfn.FILTERXML("&lt;t&gt;&lt;s&gt;" &amp; SUBSTITUTE(L278," / ","&lt;/s&gt;&lt;s&gt;") &amp; "&lt;/s&gt;&lt;/t&gt;","(//s[contains(.,'DDR')])[1]"),"")</f>
        <v/>
      </c>
      <c r="N278" s="32" t="e">
        <f t="shared" si="14"/>
        <v>#N/A</v>
      </c>
      <c r="O278" s="42" t="e">
        <f>INDEX(Input!$D$2:$AC$500,
       MATCH(B278, Input!$J$2:$J$500, 0),
       MATCH("Disk Interface Type", Input!$D$1:$AC$1, 0))</f>
        <v>#N/A</v>
      </c>
      <c r="P278" s="42" t="str" cm="1">
        <f t="array" ref="P278">IFERROR(_xlfn.TEXTJOIN(", ", TRUE, _xlfn._xlws.FILTER(
    INDEX(Input!$D$2:$AC$500,,MATCH("Disk Capacity",Input!$D$1:$AC$1,0)),
    Input!$J$2:$J$500=B278
)), "")</f>
        <v/>
      </c>
      <c r="Q278" s="32" t="e">
        <f t="shared" si="13"/>
        <v>#N/A</v>
      </c>
      <c r="R278" s="42" t="e">
        <f>_xlfn.LET(_xlpm.Result,INDEX(Input!$D$2:$AC$500,
       MATCH(B278, Input!$J$2:$J$500, 0),
       MATCH("Capacity", Input!$D$1:$AC$1, 0)),IF(_xlpm.Result="","",_xlpm.Result))</f>
        <v>#N/A</v>
      </c>
      <c r="S278" s="42" t="e" cm="1">
        <f t="array" ref="S278">_xlfn.TEXTSPLIT(R278," / ", ,TRUE,0,)</f>
        <v>#N/A</v>
      </c>
      <c r="T278" s="42"/>
      <c r="U278" s="42" t="str" cm="1">
        <f t="array" ref="U278">IFERROR(_xlfn.IFS(
S278="","",
--S278&lt;55,"Battery Defect",
--S278&lt;=69,"Battery D",
--S278&lt;=80,"Battery C",
--S278&gt;80,""
),"")</f>
        <v/>
      </c>
      <c r="V278" s="42" t="str" cm="1">
        <f t="array" ref="V278">IFERROR(_xlfn.IFS(
T278="","",
--T278&lt;55,"Battery Defect",
--T278&lt;=69,"Battery D",
--T278&lt;=80,"Battery C",
--T278&gt;80,""
),"")</f>
        <v/>
      </c>
      <c r="W278" s="42"/>
      <c r="X278" s="42"/>
      <c r="Y278" s="42"/>
      <c r="Z278" s="42"/>
      <c r="AA278" s="42"/>
      <c r="AB278" s="42"/>
      <c r="AC278" s="42"/>
      <c r="AD278" s="42"/>
      <c r="AE278" s="32" t="str">
        <f t="shared" si="12"/>
        <v/>
      </c>
      <c r="AF278" s="32"/>
      <c r="AG278" s="32"/>
      <c r="AH278" s="32"/>
      <c r="AI278" s="32"/>
      <c r="AJ278" s="32"/>
      <c r="AK278" s="32"/>
      <c r="AL278" s="32"/>
      <c r="AM278" s="32"/>
    </row>
    <row r="279" spans="1:39">
      <c r="A279" s="32" t="str">
        <f>_xlfn.XLOOKUP(B279,Input!J:J,Input!G:G)&amp;""</f>
        <v/>
      </c>
      <c r="B279" s="32"/>
      <c r="C279" s="32" t="str">
        <f>_xlfn.XLOOKUP(B279,Input!J:J,Input!H:H)&amp;""</f>
        <v/>
      </c>
      <c r="D279" s="42">
        <f>_xlfn.XLOOKUP(B279,Input!J:J,Input!F:F)</f>
        <v>0</v>
      </c>
      <c r="E279" s="32">
        <f>_xlfn.XLOOKUP(D279,Models!H:H,Models!G:G,D279)</f>
        <v>0</v>
      </c>
      <c r="F279" s="32">
        <f>_xlfn.XLOOKUP(B279,Input!J:J,Input!E:E)</f>
        <v>0</v>
      </c>
      <c r="G279" s="32">
        <f>IF(F279="LENOVO",_xlfn.XLOOKUP(B279,Input!J:J,Input!K:K),_xlfn.XLOOKUP(B279,Input!J:J,Input!L:L))</f>
        <v>0</v>
      </c>
      <c r="H279" s="32"/>
      <c r="I279" s="32"/>
      <c r="J279" s="32"/>
      <c r="K279" s="42" t="e">
        <f>INDEX(Input!$D$2:$AC$500,
       MATCH(B279, Input!$J$2:$J$500, 0),
       MATCH("Total Memory", Input!$D$1:$AC$1, 0))</f>
        <v>#N/A</v>
      </c>
      <c r="L279" s="42"/>
      <c r="M279" s="42" t="str" cm="1">
        <f t="array" ref="M279">IFERROR(_xlfn.FILTERXML("&lt;t&gt;&lt;s&gt;" &amp; SUBSTITUTE(L279," / ","&lt;/s&gt;&lt;s&gt;") &amp; "&lt;/s&gt;&lt;/t&gt;","(//s[contains(.,'DDR')])[1]"),"")</f>
        <v/>
      </c>
      <c r="N279" s="32" t="e">
        <f t="shared" si="14"/>
        <v>#N/A</v>
      </c>
      <c r="O279" s="42" t="e">
        <f>INDEX(Input!$D$2:$AC$500,
       MATCH(B279, Input!$J$2:$J$500, 0),
       MATCH("Disk Interface Type", Input!$D$1:$AC$1, 0))</f>
        <v>#N/A</v>
      </c>
      <c r="P279" s="42" t="str" cm="1">
        <f t="array" ref="P279">IFERROR(_xlfn.TEXTJOIN(", ", TRUE, _xlfn._xlws.FILTER(
    INDEX(Input!$D$2:$AC$500,,MATCH("Disk Capacity",Input!$D$1:$AC$1,0)),
    Input!$J$2:$J$500=B279
)), "")</f>
        <v/>
      </c>
      <c r="Q279" s="32" t="e">
        <f t="shared" si="13"/>
        <v>#N/A</v>
      </c>
      <c r="R279" s="42" t="e">
        <f>_xlfn.LET(_xlpm.Result,INDEX(Input!$D$2:$AC$500,
       MATCH(B279, Input!$J$2:$J$500, 0),
       MATCH("Capacity", Input!$D$1:$AC$1, 0)),IF(_xlpm.Result="","",_xlpm.Result))</f>
        <v>#N/A</v>
      </c>
      <c r="S279" s="42" t="e" cm="1">
        <f t="array" ref="S279">_xlfn.TEXTSPLIT(R279," / ", ,TRUE,0,)</f>
        <v>#N/A</v>
      </c>
      <c r="T279" s="42"/>
      <c r="U279" s="42" t="str" cm="1">
        <f t="array" ref="U279">IFERROR(_xlfn.IFS(
S279="","",
--S279&lt;55,"Battery Defect",
--S279&lt;=69,"Battery D",
--S279&lt;=80,"Battery C",
--S279&gt;80,""
),"")</f>
        <v/>
      </c>
      <c r="V279" s="42" t="str" cm="1">
        <f t="array" ref="V279">IFERROR(_xlfn.IFS(
T279="","",
--T279&lt;55,"Battery Defect",
--T279&lt;=69,"Battery D",
--T279&lt;=80,"Battery C",
--T279&gt;80,""
),"")</f>
        <v/>
      </c>
      <c r="W279" s="42"/>
      <c r="X279" s="42"/>
      <c r="Y279" s="42"/>
      <c r="Z279" s="42"/>
      <c r="AA279" s="42"/>
      <c r="AB279" s="42"/>
      <c r="AC279" s="42"/>
      <c r="AD279" s="42"/>
      <c r="AE279" s="32" t="str">
        <f t="shared" si="12"/>
        <v/>
      </c>
      <c r="AF279" s="32"/>
      <c r="AG279" s="32"/>
      <c r="AH279" s="32"/>
      <c r="AI279" s="32"/>
      <c r="AJ279" s="32"/>
      <c r="AK279" s="32"/>
      <c r="AL279" s="32"/>
      <c r="AM279" s="32"/>
    </row>
    <row r="280" spans="1:39">
      <c r="A280" s="32" t="str">
        <f>_xlfn.XLOOKUP(B280,Input!J:J,Input!G:G)&amp;""</f>
        <v/>
      </c>
      <c r="B280" s="32"/>
      <c r="C280" s="32" t="str">
        <f>_xlfn.XLOOKUP(B280,Input!J:J,Input!H:H)&amp;""</f>
        <v/>
      </c>
      <c r="D280" s="42">
        <f>_xlfn.XLOOKUP(B280,Input!J:J,Input!F:F)</f>
        <v>0</v>
      </c>
      <c r="E280" s="32">
        <f>_xlfn.XLOOKUP(D280,Models!H:H,Models!G:G,D280)</f>
        <v>0</v>
      </c>
      <c r="F280" s="32">
        <f>_xlfn.XLOOKUP(B280,Input!J:J,Input!E:E)</f>
        <v>0</v>
      </c>
      <c r="G280" s="32">
        <f>IF(F280="LENOVO",_xlfn.XLOOKUP(B280,Input!J:J,Input!K:K),_xlfn.XLOOKUP(B280,Input!J:J,Input!L:L))</f>
        <v>0</v>
      </c>
      <c r="H280" s="32"/>
      <c r="I280" s="32"/>
      <c r="J280" s="32"/>
      <c r="K280" s="42" t="e">
        <f>INDEX(Input!$D$2:$AC$500,
       MATCH(B280, Input!$J$2:$J$500, 0),
       MATCH("Total Memory", Input!$D$1:$AC$1, 0))</f>
        <v>#N/A</v>
      </c>
      <c r="L280" s="42"/>
      <c r="M280" s="42" t="str" cm="1">
        <f t="array" ref="M280">IFERROR(_xlfn.FILTERXML("&lt;t&gt;&lt;s&gt;" &amp; SUBSTITUTE(L280," / ","&lt;/s&gt;&lt;s&gt;") &amp; "&lt;/s&gt;&lt;/t&gt;","(//s[contains(.,'DDR')])[1]"),"")</f>
        <v/>
      </c>
      <c r="N280" s="32" t="e">
        <f t="shared" si="14"/>
        <v>#N/A</v>
      </c>
      <c r="O280" s="42" t="e">
        <f>INDEX(Input!$D$2:$AC$500,
       MATCH(B280, Input!$J$2:$J$500, 0),
       MATCH("Disk Interface Type", Input!$D$1:$AC$1, 0))</f>
        <v>#N/A</v>
      </c>
      <c r="P280" s="42" t="str" cm="1">
        <f t="array" ref="P280">IFERROR(_xlfn.TEXTJOIN(", ", TRUE, _xlfn._xlws.FILTER(
    INDEX(Input!$D$2:$AC$500,,MATCH("Disk Capacity",Input!$D$1:$AC$1,0)),
    Input!$J$2:$J$500=B280
)), "")</f>
        <v/>
      </c>
      <c r="Q280" s="32" t="e">
        <f t="shared" si="13"/>
        <v>#N/A</v>
      </c>
      <c r="R280" s="42" t="e">
        <f>_xlfn.LET(_xlpm.Result,INDEX(Input!$D$2:$AC$500,
       MATCH(B280, Input!$J$2:$J$500, 0),
       MATCH("Capacity", Input!$D$1:$AC$1, 0)),IF(_xlpm.Result="","",_xlpm.Result))</f>
        <v>#N/A</v>
      </c>
      <c r="S280" s="42" t="e" cm="1">
        <f t="array" ref="S280">_xlfn.TEXTSPLIT(R280," / ", ,TRUE,0,)</f>
        <v>#N/A</v>
      </c>
      <c r="T280" s="42"/>
      <c r="U280" s="42" t="str" cm="1">
        <f t="array" ref="U280">IFERROR(_xlfn.IFS(
S280="","",
--S280&lt;55,"Battery Defect",
--S280&lt;=69,"Battery D",
--S280&lt;=80,"Battery C",
--S280&gt;80,""
),"")</f>
        <v/>
      </c>
      <c r="V280" s="42" t="str" cm="1">
        <f t="array" ref="V280">IFERROR(_xlfn.IFS(
T280="","",
--T280&lt;55,"Battery Defect",
--T280&lt;=69,"Battery D",
--T280&lt;=80,"Battery C",
--T280&gt;80,""
),"")</f>
        <v/>
      </c>
      <c r="W280" s="42"/>
      <c r="X280" s="42"/>
      <c r="Y280" s="42"/>
      <c r="Z280" s="42"/>
      <c r="AA280" s="42"/>
      <c r="AB280" s="42"/>
      <c r="AC280" s="42"/>
      <c r="AD280" s="42"/>
      <c r="AE280" s="32" t="str">
        <f t="shared" si="12"/>
        <v/>
      </c>
      <c r="AF280" s="32"/>
      <c r="AG280" s="32"/>
      <c r="AH280" s="32"/>
      <c r="AI280" s="32"/>
      <c r="AJ280" s="32"/>
      <c r="AK280" s="32"/>
      <c r="AL280" s="32"/>
      <c r="AM280" s="32"/>
    </row>
    <row r="281" spans="1:39">
      <c r="A281" s="32" t="str">
        <f>_xlfn.XLOOKUP(B281,Input!J:J,Input!G:G)&amp;""</f>
        <v/>
      </c>
      <c r="B281" s="32"/>
      <c r="C281" s="32" t="str">
        <f>_xlfn.XLOOKUP(B281,Input!J:J,Input!H:H)&amp;""</f>
        <v/>
      </c>
      <c r="D281" s="42">
        <f>_xlfn.XLOOKUP(B281,Input!J:J,Input!F:F)</f>
        <v>0</v>
      </c>
      <c r="E281" s="32">
        <f>_xlfn.XLOOKUP(D281,Models!H:H,Models!G:G,D281)</f>
        <v>0</v>
      </c>
      <c r="F281" s="32">
        <f>_xlfn.XLOOKUP(B281,Input!J:J,Input!E:E)</f>
        <v>0</v>
      </c>
      <c r="G281" s="32">
        <f>IF(F281="LENOVO",_xlfn.XLOOKUP(B281,Input!J:J,Input!K:K),_xlfn.XLOOKUP(B281,Input!J:J,Input!L:L))</f>
        <v>0</v>
      </c>
      <c r="H281" s="32"/>
      <c r="I281" s="32"/>
      <c r="J281" s="32"/>
      <c r="K281" s="42" t="e">
        <f>INDEX(Input!$D$2:$AC$500,
       MATCH(B281, Input!$J$2:$J$500, 0),
       MATCH("Total Memory", Input!$D$1:$AC$1, 0))</f>
        <v>#N/A</v>
      </c>
      <c r="L281" s="42"/>
      <c r="M281" s="42" t="str" cm="1">
        <f t="array" ref="M281">IFERROR(_xlfn.FILTERXML("&lt;t&gt;&lt;s&gt;" &amp; SUBSTITUTE(L281," / ","&lt;/s&gt;&lt;s&gt;") &amp; "&lt;/s&gt;&lt;/t&gt;","(//s[contains(.,'DDR')])[1]"),"")</f>
        <v/>
      </c>
      <c r="N281" s="32" t="e">
        <f t="shared" si="14"/>
        <v>#N/A</v>
      </c>
      <c r="O281" s="42" t="e">
        <f>INDEX(Input!$D$2:$AC$500,
       MATCH(B281, Input!$J$2:$J$500, 0),
       MATCH("Disk Interface Type", Input!$D$1:$AC$1, 0))</f>
        <v>#N/A</v>
      </c>
      <c r="P281" s="42" t="str" cm="1">
        <f t="array" ref="P281">IFERROR(_xlfn.TEXTJOIN(", ", TRUE, _xlfn._xlws.FILTER(
    INDEX(Input!$D$2:$AC$500,,MATCH("Disk Capacity",Input!$D$1:$AC$1,0)),
    Input!$J$2:$J$500=B281
)), "")</f>
        <v/>
      </c>
      <c r="Q281" s="32" t="e">
        <f t="shared" si="13"/>
        <v>#N/A</v>
      </c>
      <c r="R281" s="42" t="e">
        <f>_xlfn.LET(_xlpm.Result,INDEX(Input!$D$2:$AC$500,
       MATCH(B281, Input!$J$2:$J$500, 0),
       MATCH("Capacity", Input!$D$1:$AC$1, 0)),IF(_xlpm.Result="","",_xlpm.Result))</f>
        <v>#N/A</v>
      </c>
      <c r="S281" s="42" t="e" cm="1">
        <f t="array" ref="S281">_xlfn.TEXTSPLIT(R281," / ", ,TRUE,0,)</f>
        <v>#N/A</v>
      </c>
      <c r="T281" s="42"/>
      <c r="U281" s="42" t="str" cm="1">
        <f t="array" ref="U281">IFERROR(_xlfn.IFS(
S281="","",
--S281&lt;55,"Battery Defect",
--S281&lt;=69,"Battery D",
--S281&lt;=80,"Battery C",
--S281&gt;80,""
),"")</f>
        <v/>
      </c>
      <c r="V281" s="42" t="str" cm="1">
        <f t="array" ref="V281">IFERROR(_xlfn.IFS(
T281="","",
--T281&lt;55,"Battery Defect",
--T281&lt;=69,"Battery D",
--T281&lt;=80,"Battery C",
--T281&gt;80,""
),"")</f>
        <v/>
      </c>
      <c r="W281" s="42"/>
      <c r="X281" s="42"/>
      <c r="Y281" s="42"/>
      <c r="Z281" s="42"/>
      <c r="AA281" s="42"/>
      <c r="AB281" s="42"/>
      <c r="AC281" s="42"/>
      <c r="AD281" s="42"/>
      <c r="AE281" s="32" t="str">
        <f t="shared" si="12"/>
        <v/>
      </c>
      <c r="AF281" s="32"/>
      <c r="AG281" s="32"/>
      <c r="AH281" s="32"/>
      <c r="AI281" s="32"/>
      <c r="AJ281" s="32"/>
      <c r="AK281" s="32"/>
      <c r="AL281" s="32"/>
      <c r="AM281" s="32"/>
    </row>
    <row r="282" spans="1:39">
      <c r="A282" s="32" t="str">
        <f>_xlfn.XLOOKUP(B282,Input!J:J,Input!G:G)&amp;""</f>
        <v/>
      </c>
      <c r="B282" s="32"/>
      <c r="C282" s="32" t="str">
        <f>_xlfn.XLOOKUP(B282,Input!J:J,Input!H:H)&amp;""</f>
        <v/>
      </c>
      <c r="D282" s="42">
        <f>_xlfn.XLOOKUP(B282,Input!J:J,Input!F:F)</f>
        <v>0</v>
      </c>
      <c r="E282" s="32">
        <f>_xlfn.XLOOKUP(D282,Models!H:H,Models!G:G,D282)</f>
        <v>0</v>
      </c>
      <c r="F282" s="32">
        <f>_xlfn.XLOOKUP(B282,Input!J:J,Input!E:E)</f>
        <v>0</v>
      </c>
      <c r="G282" s="32">
        <f>IF(F282="LENOVO",_xlfn.XLOOKUP(B282,Input!J:J,Input!K:K),_xlfn.XLOOKUP(B282,Input!J:J,Input!L:L))</f>
        <v>0</v>
      </c>
      <c r="H282" s="32"/>
      <c r="I282" s="32"/>
      <c r="J282" s="32"/>
      <c r="K282" s="42" t="e">
        <f>INDEX(Input!$D$2:$AC$500,
       MATCH(B282, Input!$J$2:$J$500, 0),
       MATCH("Total Memory", Input!$D$1:$AC$1, 0))</f>
        <v>#N/A</v>
      </c>
      <c r="L282" s="42"/>
      <c r="M282" s="42" t="str" cm="1">
        <f t="array" ref="M282">IFERROR(_xlfn.FILTERXML("&lt;t&gt;&lt;s&gt;" &amp; SUBSTITUTE(L282," / ","&lt;/s&gt;&lt;s&gt;") &amp; "&lt;/s&gt;&lt;/t&gt;","(//s[contains(.,'DDR')])[1]"),"")</f>
        <v/>
      </c>
      <c r="N282" s="32" t="e">
        <f t="shared" si="14"/>
        <v>#N/A</v>
      </c>
      <c r="O282" s="42" t="e">
        <f>INDEX(Input!$D$2:$AC$500,
       MATCH(B282, Input!$J$2:$J$500, 0),
       MATCH("Disk Interface Type", Input!$D$1:$AC$1, 0))</f>
        <v>#N/A</v>
      </c>
      <c r="P282" s="42" t="str" cm="1">
        <f t="array" ref="P282">IFERROR(_xlfn.TEXTJOIN(", ", TRUE, _xlfn._xlws.FILTER(
    INDEX(Input!$D$2:$AC$500,,MATCH("Disk Capacity",Input!$D$1:$AC$1,0)),
    Input!$J$2:$J$500=B282
)), "")</f>
        <v/>
      </c>
      <c r="Q282" s="32" t="e">
        <f t="shared" si="13"/>
        <v>#N/A</v>
      </c>
      <c r="R282" s="42" t="e">
        <f>_xlfn.LET(_xlpm.Result,INDEX(Input!$D$2:$AC$500,
       MATCH(B282, Input!$J$2:$J$500, 0),
       MATCH("Capacity", Input!$D$1:$AC$1, 0)),IF(_xlpm.Result="","",_xlpm.Result))</f>
        <v>#N/A</v>
      </c>
      <c r="S282" s="42" t="e" cm="1">
        <f t="array" ref="S282">_xlfn.TEXTSPLIT(R282," / ", ,TRUE,0,)</f>
        <v>#N/A</v>
      </c>
      <c r="T282" s="42"/>
      <c r="U282" s="42" t="str" cm="1">
        <f t="array" ref="U282">IFERROR(_xlfn.IFS(
S282="","",
--S282&lt;55,"Battery Defect",
--S282&lt;=69,"Battery D",
--S282&lt;=80,"Battery C",
--S282&gt;80,""
),"")</f>
        <v/>
      </c>
      <c r="V282" s="42" t="str" cm="1">
        <f t="array" ref="V282">IFERROR(_xlfn.IFS(
T282="","",
--T282&lt;55,"Battery Defect",
--T282&lt;=69,"Battery D",
--T282&lt;=80,"Battery C",
--T282&gt;80,""
),"")</f>
        <v/>
      </c>
      <c r="W282" s="42"/>
      <c r="X282" s="42"/>
      <c r="Y282" s="42"/>
      <c r="Z282" s="42"/>
      <c r="AA282" s="42"/>
      <c r="AB282" s="42"/>
      <c r="AC282" s="42"/>
      <c r="AD282" s="42"/>
      <c r="AE282" s="32" t="str">
        <f t="shared" si="12"/>
        <v/>
      </c>
      <c r="AF282" s="32"/>
      <c r="AG282" s="32"/>
      <c r="AH282" s="32"/>
      <c r="AI282" s="32"/>
      <c r="AJ282" s="32"/>
      <c r="AK282" s="32"/>
      <c r="AL282" s="32"/>
      <c r="AM282" s="32"/>
    </row>
    <row r="283" spans="1:39">
      <c r="A283" s="32" t="str">
        <f>_xlfn.XLOOKUP(B283,Input!J:J,Input!G:G)&amp;""</f>
        <v/>
      </c>
      <c r="B283" s="32"/>
      <c r="C283" s="32" t="str">
        <f>_xlfn.XLOOKUP(B283,Input!J:J,Input!H:H)&amp;""</f>
        <v/>
      </c>
      <c r="D283" s="42">
        <f>_xlfn.XLOOKUP(B283,Input!J:J,Input!F:F)</f>
        <v>0</v>
      </c>
      <c r="E283" s="32">
        <f>_xlfn.XLOOKUP(D283,Models!H:H,Models!G:G,D283)</f>
        <v>0</v>
      </c>
      <c r="F283" s="32">
        <f>_xlfn.XLOOKUP(B283,Input!J:J,Input!E:E)</f>
        <v>0</v>
      </c>
      <c r="G283" s="32">
        <f>IF(F283="LENOVO",_xlfn.XLOOKUP(B283,Input!J:J,Input!K:K),_xlfn.XLOOKUP(B283,Input!J:J,Input!L:L))</f>
        <v>0</v>
      </c>
      <c r="H283" s="32"/>
      <c r="I283" s="32"/>
      <c r="J283" s="32"/>
      <c r="K283" s="42" t="e">
        <f>INDEX(Input!$D$2:$AC$500,
       MATCH(B283, Input!$J$2:$J$500, 0),
       MATCH("Total Memory", Input!$D$1:$AC$1, 0))</f>
        <v>#N/A</v>
      </c>
      <c r="L283" s="42"/>
      <c r="M283" s="42" t="str" cm="1">
        <f t="array" ref="M283">IFERROR(_xlfn.FILTERXML("&lt;t&gt;&lt;s&gt;" &amp; SUBSTITUTE(L283," / ","&lt;/s&gt;&lt;s&gt;") &amp; "&lt;/s&gt;&lt;/t&gt;","(//s[contains(.,'DDR')])[1]"),"")</f>
        <v/>
      </c>
      <c r="N283" s="32" t="e">
        <f t="shared" si="14"/>
        <v>#N/A</v>
      </c>
      <c r="O283" s="42" t="e">
        <f>INDEX(Input!$D$2:$AC$500,
       MATCH(B283, Input!$J$2:$J$500, 0),
       MATCH("Disk Interface Type", Input!$D$1:$AC$1, 0))</f>
        <v>#N/A</v>
      </c>
      <c r="P283" s="42" t="str" cm="1">
        <f t="array" ref="P283">IFERROR(_xlfn.TEXTJOIN(", ", TRUE, _xlfn._xlws.FILTER(
    INDEX(Input!$D$2:$AC$500,,MATCH("Disk Capacity",Input!$D$1:$AC$1,0)),
    Input!$J$2:$J$500=B283
)), "")</f>
        <v/>
      </c>
      <c r="Q283" s="32" t="e">
        <f t="shared" si="13"/>
        <v>#N/A</v>
      </c>
      <c r="R283" s="42" t="e">
        <f>_xlfn.LET(_xlpm.Result,INDEX(Input!$D$2:$AC$500,
       MATCH(B283, Input!$J$2:$J$500, 0),
       MATCH("Capacity", Input!$D$1:$AC$1, 0)),IF(_xlpm.Result="","",_xlpm.Result))</f>
        <v>#N/A</v>
      </c>
      <c r="S283" s="42" t="e" cm="1">
        <f t="array" ref="S283">_xlfn.TEXTSPLIT(R283," / ", ,TRUE,0,)</f>
        <v>#N/A</v>
      </c>
      <c r="T283" s="42"/>
      <c r="U283" s="42" t="str" cm="1">
        <f t="array" ref="U283">IFERROR(_xlfn.IFS(
S283="","",
--S283&lt;55,"Battery Defect",
--S283&lt;=69,"Battery D",
--S283&lt;=80,"Battery C",
--S283&gt;80,""
),"")</f>
        <v/>
      </c>
      <c r="V283" s="42" t="str" cm="1">
        <f t="array" ref="V283">IFERROR(_xlfn.IFS(
T283="","",
--T283&lt;55,"Battery Defect",
--T283&lt;=69,"Battery D",
--T283&lt;=80,"Battery C",
--T283&gt;80,""
),"")</f>
        <v/>
      </c>
      <c r="W283" s="42"/>
      <c r="X283" s="42"/>
      <c r="Y283" s="42"/>
      <c r="Z283" s="42"/>
      <c r="AA283" s="42"/>
      <c r="AB283" s="42"/>
      <c r="AC283" s="42"/>
      <c r="AD283" s="42"/>
      <c r="AE283" s="32" t="str">
        <f t="shared" si="12"/>
        <v/>
      </c>
      <c r="AF283" s="32"/>
      <c r="AG283" s="32"/>
      <c r="AH283" s="32"/>
      <c r="AI283" s="32"/>
      <c r="AJ283" s="32"/>
      <c r="AK283" s="32"/>
      <c r="AL283" s="32"/>
      <c r="AM283" s="32"/>
    </row>
    <row r="284" spans="1:39">
      <c r="A284" s="32" t="str">
        <f>_xlfn.XLOOKUP(B284,Input!J:J,Input!G:G)&amp;""</f>
        <v/>
      </c>
      <c r="B284" s="32"/>
      <c r="C284" s="32" t="str">
        <f>_xlfn.XLOOKUP(B284,Input!J:J,Input!H:H)&amp;""</f>
        <v/>
      </c>
      <c r="D284" s="42">
        <f>_xlfn.XLOOKUP(B284,Input!J:J,Input!F:F)</f>
        <v>0</v>
      </c>
      <c r="E284" s="32">
        <f>_xlfn.XLOOKUP(D284,Models!H:H,Models!G:G,D284)</f>
        <v>0</v>
      </c>
      <c r="F284" s="32">
        <f>_xlfn.XLOOKUP(B284,Input!J:J,Input!E:E)</f>
        <v>0</v>
      </c>
      <c r="G284" s="32">
        <f>IF(F284="LENOVO",_xlfn.XLOOKUP(B284,Input!J:J,Input!K:K),_xlfn.XLOOKUP(B284,Input!J:J,Input!L:L))</f>
        <v>0</v>
      </c>
      <c r="H284" s="32"/>
      <c r="I284" s="32"/>
      <c r="J284" s="32"/>
      <c r="K284" s="42" t="e">
        <f>INDEX(Input!$D$2:$AC$500,
       MATCH(B284, Input!$J$2:$J$500, 0),
       MATCH("Total Memory", Input!$D$1:$AC$1, 0))</f>
        <v>#N/A</v>
      </c>
      <c r="L284" s="42"/>
      <c r="M284" s="42" t="str" cm="1">
        <f t="array" ref="M284">IFERROR(_xlfn.FILTERXML("&lt;t&gt;&lt;s&gt;" &amp; SUBSTITUTE(L284," / ","&lt;/s&gt;&lt;s&gt;") &amp; "&lt;/s&gt;&lt;/t&gt;","(//s[contains(.,'DDR')])[1]"),"")</f>
        <v/>
      </c>
      <c r="N284" s="32" t="e">
        <f t="shared" si="14"/>
        <v>#N/A</v>
      </c>
      <c r="O284" s="42" t="e">
        <f>INDEX(Input!$D$2:$AC$500,
       MATCH(B284, Input!$J$2:$J$500, 0),
       MATCH("Disk Interface Type", Input!$D$1:$AC$1, 0))</f>
        <v>#N/A</v>
      </c>
      <c r="P284" s="42" t="str" cm="1">
        <f t="array" ref="P284">IFERROR(_xlfn.TEXTJOIN(", ", TRUE, _xlfn._xlws.FILTER(
    INDEX(Input!$D$2:$AC$500,,MATCH("Disk Capacity",Input!$D$1:$AC$1,0)),
    Input!$J$2:$J$500=B284
)), "")</f>
        <v/>
      </c>
      <c r="Q284" s="32" t="e">
        <f t="shared" si="13"/>
        <v>#N/A</v>
      </c>
      <c r="R284" s="42" t="e">
        <f>_xlfn.LET(_xlpm.Result,INDEX(Input!$D$2:$AC$500,
       MATCH(B284, Input!$J$2:$J$500, 0),
       MATCH("Capacity", Input!$D$1:$AC$1, 0)),IF(_xlpm.Result="","",_xlpm.Result))</f>
        <v>#N/A</v>
      </c>
      <c r="S284" s="42" t="e" cm="1">
        <f t="array" ref="S284">_xlfn.TEXTSPLIT(R284," / ", ,TRUE,0,)</f>
        <v>#N/A</v>
      </c>
      <c r="T284" s="42"/>
      <c r="U284" s="42" t="str" cm="1">
        <f t="array" ref="U284">IFERROR(_xlfn.IFS(
S284="","",
--S284&lt;55,"Battery Defect",
--S284&lt;=69,"Battery D",
--S284&lt;=80,"Battery C",
--S284&gt;80,""
),"")</f>
        <v/>
      </c>
      <c r="V284" s="42" t="str" cm="1">
        <f t="array" ref="V284">IFERROR(_xlfn.IFS(
T284="","",
--T284&lt;55,"Battery Defect",
--T284&lt;=69,"Battery D",
--T284&lt;=80,"Battery C",
--T284&gt;80,""
),"")</f>
        <v/>
      </c>
      <c r="W284" s="42"/>
      <c r="X284" s="42"/>
      <c r="Y284" s="42"/>
      <c r="Z284" s="42"/>
      <c r="AA284" s="42"/>
      <c r="AB284" s="42"/>
      <c r="AC284" s="42"/>
      <c r="AD284" s="42"/>
      <c r="AE284" s="32" t="str">
        <f t="shared" si="12"/>
        <v/>
      </c>
      <c r="AF284" s="32"/>
      <c r="AG284" s="32"/>
      <c r="AH284" s="32"/>
      <c r="AI284" s="32"/>
      <c r="AJ284" s="32"/>
      <c r="AK284" s="32"/>
      <c r="AL284" s="32"/>
      <c r="AM284" s="32"/>
    </row>
    <row r="285" spans="1:39">
      <c r="A285" s="32" t="str">
        <f>_xlfn.XLOOKUP(B285,Input!J:J,Input!G:G)&amp;""</f>
        <v/>
      </c>
      <c r="B285" s="32"/>
      <c r="C285" s="32" t="str">
        <f>_xlfn.XLOOKUP(B285,Input!J:J,Input!H:H)&amp;""</f>
        <v/>
      </c>
      <c r="D285" s="42">
        <f>_xlfn.XLOOKUP(B285,Input!J:J,Input!F:F)</f>
        <v>0</v>
      </c>
      <c r="E285" s="32">
        <f>_xlfn.XLOOKUP(D285,Models!H:H,Models!G:G,D285)</f>
        <v>0</v>
      </c>
      <c r="F285" s="32">
        <f>_xlfn.XLOOKUP(B285,Input!J:J,Input!E:E)</f>
        <v>0</v>
      </c>
      <c r="G285" s="32">
        <f>IF(F285="LENOVO",_xlfn.XLOOKUP(B285,Input!J:J,Input!K:K),_xlfn.XLOOKUP(B285,Input!J:J,Input!L:L))</f>
        <v>0</v>
      </c>
      <c r="H285" s="32"/>
      <c r="I285" s="32"/>
      <c r="J285" s="32"/>
      <c r="K285" s="42" t="e">
        <f>INDEX(Input!$D$2:$AC$500,
       MATCH(B285, Input!$J$2:$J$500, 0),
       MATCH("Total Memory", Input!$D$1:$AC$1, 0))</f>
        <v>#N/A</v>
      </c>
      <c r="L285" s="42"/>
      <c r="M285" s="42" t="str" cm="1">
        <f t="array" ref="M285">IFERROR(_xlfn.FILTERXML("&lt;t&gt;&lt;s&gt;" &amp; SUBSTITUTE(L285," / ","&lt;/s&gt;&lt;s&gt;") &amp; "&lt;/s&gt;&lt;/t&gt;","(//s[contains(.,'DDR')])[1]"),"")</f>
        <v/>
      </c>
      <c r="N285" s="32" t="e">
        <f t="shared" si="14"/>
        <v>#N/A</v>
      </c>
      <c r="O285" s="42" t="e">
        <f>INDEX(Input!$D$2:$AC$500,
       MATCH(B285, Input!$J$2:$J$500, 0),
       MATCH("Disk Interface Type", Input!$D$1:$AC$1, 0))</f>
        <v>#N/A</v>
      </c>
      <c r="P285" s="42" t="str" cm="1">
        <f t="array" ref="P285">IFERROR(_xlfn.TEXTJOIN(", ", TRUE, _xlfn._xlws.FILTER(
    INDEX(Input!$D$2:$AC$500,,MATCH("Disk Capacity",Input!$D$1:$AC$1,0)),
    Input!$J$2:$J$500=B285
)), "")</f>
        <v/>
      </c>
      <c r="Q285" s="32" t="e">
        <f t="shared" si="13"/>
        <v>#N/A</v>
      </c>
      <c r="R285" s="42" t="e">
        <f>_xlfn.LET(_xlpm.Result,INDEX(Input!$D$2:$AC$500,
       MATCH(B285, Input!$J$2:$J$500, 0),
       MATCH("Capacity", Input!$D$1:$AC$1, 0)),IF(_xlpm.Result="","",_xlpm.Result))</f>
        <v>#N/A</v>
      </c>
      <c r="S285" s="42" t="e" cm="1">
        <f t="array" ref="S285">_xlfn.TEXTSPLIT(R285," / ", ,TRUE,0,)</f>
        <v>#N/A</v>
      </c>
      <c r="T285" s="42"/>
      <c r="U285" s="42" t="str" cm="1">
        <f t="array" ref="U285">IFERROR(_xlfn.IFS(
S285="","",
--S285&lt;55,"Battery Defect",
--S285&lt;=69,"Battery D",
--S285&lt;=80,"Battery C",
--S285&gt;80,""
),"")</f>
        <v/>
      </c>
      <c r="V285" s="42" t="str" cm="1">
        <f t="array" ref="V285">IFERROR(_xlfn.IFS(
T285="","",
--T285&lt;55,"Battery Defect",
--T285&lt;=69,"Battery D",
--T285&lt;=80,"Battery C",
--T285&gt;80,""
),"")</f>
        <v/>
      </c>
      <c r="W285" s="42"/>
      <c r="X285" s="42"/>
      <c r="Y285" s="42"/>
      <c r="Z285" s="42"/>
      <c r="AA285" s="42"/>
      <c r="AB285" s="42"/>
      <c r="AC285" s="42"/>
      <c r="AD285" s="42"/>
      <c r="AE285" s="32" t="str">
        <f t="shared" si="12"/>
        <v/>
      </c>
      <c r="AF285" s="32"/>
      <c r="AG285" s="32"/>
      <c r="AH285" s="32"/>
      <c r="AI285" s="32"/>
      <c r="AJ285" s="32"/>
      <c r="AK285" s="32"/>
      <c r="AL285" s="32"/>
      <c r="AM285" s="32"/>
    </row>
    <row r="286" spans="1:39">
      <c r="A286" s="32" t="str">
        <f>_xlfn.XLOOKUP(B286,Input!J:J,Input!G:G)&amp;""</f>
        <v/>
      </c>
      <c r="B286" s="32"/>
      <c r="C286" s="32" t="str">
        <f>_xlfn.XLOOKUP(B286,Input!J:J,Input!H:H)&amp;""</f>
        <v/>
      </c>
      <c r="D286" s="42">
        <f>_xlfn.XLOOKUP(B286,Input!J:J,Input!F:F)</f>
        <v>0</v>
      </c>
      <c r="E286" s="32">
        <f>_xlfn.XLOOKUP(D286,Models!H:H,Models!G:G,D286)</f>
        <v>0</v>
      </c>
      <c r="F286" s="32">
        <f>_xlfn.XLOOKUP(B286,Input!J:J,Input!E:E)</f>
        <v>0</v>
      </c>
      <c r="G286" s="32">
        <f>IF(F286="LENOVO",_xlfn.XLOOKUP(B286,Input!J:J,Input!K:K),_xlfn.XLOOKUP(B286,Input!J:J,Input!L:L))</f>
        <v>0</v>
      </c>
      <c r="H286" s="32"/>
      <c r="I286" s="32"/>
      <c r="J286" s="32"/>
      <c r="K286" s="42" t="e">
        <f>INDEX(Input!$D$2:$AC$500,
       MATCH(B286, Input!$J$2:$J$500, 0),
       MATCH("Total Memory", Input!$D$1:$AC$1, 0))</f>
        <v>#N/A</v>
      </c>
      <c r="L286" s="42"/>
      <c r="M286" s="42" t="str" cm="1">
        <f t="array" ref="M286">IFERROR(_xlfn.FILTERXML("&lt;t&gt;&lt;s&gt;" &amp; SUBSTITUTE(L286," / ","&lt;/s&gt;&lt;s&gt;") &amp; "&lt;/s&gt;&lt;/t&gt;","(//s[contains(.,'DDR')])[1]"),"")</f>
        <v/>
      </c>
      <c r="N286" s="32" t="e">
        <f t="shared" si="14"/>
        <v>#N/A</v>
      </c>
      <c r="O286" s="42" t="e">
        <f>INDEX(Input!$D$2:$AC$500,
       MATCH(B286, Input!$J$2:$J$500, 0),
       MATCH("Disk Interface Type", Input!$D$1:$AC$1, 0))</f>
        <v>#N/A</v>
      </c>
      <c r="P286" s="42" t="str" cm="1">
        <f t="array" ref="P286">IFERROR(_xlfn.TEXTJOIN(", ", TRUE, _xlfn._xlws.FILTER(
    INDEX(Input!$D$2:$AC$500,,MATCH("Disk Capacity",Input!$D$1:$AC$1,0)),
    Input!$J$2:$J$500=B286
)), "")</f>
        <v/>
      </c>
      <c r="Q286" s="32" t="e">
        <f t="shared" si="13"/>
        <v>#N/A</v>
      </c>
      <c r="R286" s="42" t="e">
        <f>_xlfn.LET(_xlpm.Result,INDEX(Input!$D$2:$AC$500,
       MATCH(B286, Input!$J$2:$J$500, 0),
       MATCH("Capacity", Input!$D$1:$AC$1, 0)),IF(_xlpm.Result="","",_xlpm.Result))</f>
        <v>#N/A</v>
      </c>
      <c r="S286" s="42" t="e" cm="1">
        <f t="array" ref="S286">_xlfn.TEXTSPLIT(R286," / ", ,TRUE,0,)</f>
        <v>#N/A</v>
      </c>
      <c r="T286" s="42"/>
      <c r="U286" s="42" t="str" cm="1">
        <f t="array" ref="U286">IFERROR(_xlfn.IFS(
S286="","",
--S286&lt;55,"Battery Defect",
--S286&lt;=69,"Battery D",
--S286&lt;=80,"Battery C",
--S286&gt;80,""
),"")</f>
        <v/>
      </c>
      <c r="V286" s="42" t="str" cm="1">
        <f t="array" ref="V286">IFERROR(_xlfn.IFS(
T286="","",
--T286&lt;55,"Battery Defect",
--T286&lt;=69,"Battery D",
--T286&lt;=80,"Battery C",
--T286&gt;80,""
),"")</f>
        <v/>
      </c>
      <c r="W286" s="42"/>
      <c r="X286" s="42"/>
      <c r="Y286" s="42"/>
      <c r="Z286" s="42"/>
      <c r="AA286" s="42"/>
      <c r="AB286" s="42"/>
      <c r="AC286" s="42"/>
      <c r="AD286" s="42"/>
      <c r="AE286" s="32" t="str">
        <f t="shared" si="12"/>
        <v/>
      </c>
      <c r="AF286" s="32"/>
      <c r="AG286" s="32"/>
      <c r="AH286" s="32"/>
      <c r="AI286" s="32"/>
      <c r="AJ286" s="32"/>
      <c r="AK286" s="32"/>
      <c r="AL286" s="32"/>
      <c r="AM286" s="32"/>
    </row>
    <row r="287" spans="1:39">
      <c r="A287" s="32" t="str">
        <f>_xlfn.XLOOKUP(B287,Input!J:J,Input!G:G)&amp;""</f>
        <v/>
      </c>
      <c r="B287" s="32"/>
      <c r="C287" s="32" t="str">
        <f>_xlfn.XLOOKUP(B287,Input!J:J,Input!H:H)&amp;""</f>
        <v/>
      </c>
      <c r="D287" s="42">
        <f>_xlfn.XLOOKUP(B287,Input!J:J,Input!F:F)</f>
        <v>0</v>
      </c>
      <c r="E287" s="32">
        <f>_xlfn.XLOOKUP(D287,Models!H:H,Models!G:G,D287)</f>
        <v>0</v>
      </c>
      <c r="F287" s="32">
        <f>_xlfn.XLOOKUP(B287,Input!J:J,Input!E:E)</f>
        <v>0</v>
      </c>
      <c r="G287" s="32">
        <f>IF(F287="LENOVO",_xlfn.XLOOKUP(B287,Input!J:J,Input!K:K),_xlfn.XLOOKUP(B287,Input!J:J,Input!L:L))</f>
        <v>0</v>
      </c>
      <c r="H287" s="32"/>
      <c r="I287" s="32"/>
      <c r="J287" s="32"/>
      <c r="K287" s="42" t="e">
        <f>INDEX(Input!$D$2:$AC$500,
       MATCH(B287, Input!$J$2:$J$500, 0),
       MATCH("Total Memory", Input!$D$1:$AC$1, 0))</f>
        <v>#N/A</v>
      </c>
      <c r="L287" s="42"/>
      <c r="M287" s="42" t="str" cm="1">
        <f t="array" ref="M287">IFERROR(_xlfn.FILTERXML("&lt;t&gt;&lt;s&gt;" &amp; SUBSTITUTE(L287," / ","&lt;/s&gt;&lt;s&gt;") &amp; "&lt;/s&gt;&lt;/t&gt;","(//s[contains(.,'DDR')])[1]"),"")</f>
        <v/>
      </c>
      <c r="N287" s="32" t="e">
        <f t="shared" si="14"/>
        <v>#N/A</v>
      </c>
      <c r="O287" s="42" t="e">
        <f>INDEX(Input!$D$2:$AC$500,
       MATCH(B287, Input!$J$2:$J$500, 0),
       MATCH("Disk Interface Type", Input!$D$1:$AC$1, 0))</f>
        <v>#N/A</v>
      </c>
      <c r="P287" s="42" t="str" cm="1">
        <f t="array" ref="P287">IFERROR(_xlfn.TEXTJOIN(", ", TRUE, _xlfn._xlws.FILTER(
    INDEX(Input!$D$2:$AC$500,,MATCH("Disk Capacity",Input!$D$1:$AC$1,0)),
    Input!$J$2:$J$500=B287
)), "")</f>
        <v/>
      </c>
      <c r="Q287" s="32" t="e">
        <f t="shared" si="13"/>
        <v>#N/A</v>
      </c>
      <c r="R287" s="42" t="e">
        <f>_xlfn.LET(_xlpm.Result,INDEX(Input!$D$2:$AC$500,
       MATCH(B287, Input!$J$2:$J$500, 0),
       MATCH("Capacity", Input!$D$1:$AC$1, 0)),IF(_xlpm.Result="","",_xlpm.Result))</f>
        <v>#N/A</v>
      </c>
      <c r="S287" s="42" t="e" cm="1">
        <f t="array" ref="S287">_xlfn.TEXTSPLIT(R287," / ", ,TRUE,0,)</f>
        <v>#N/A</v>
      </c>
      <c r="T287" s="42"/>
      <c r="U287" s="42" t="str" cm="1">
        <f t="array" ref="U287">IFERROR(_xlfn.IFS(
S287="","",
--S287&lt;55,"Battery Defect",
--S287&lt;=69,"Battery D",
--S287&lt;=80,"Battery C",
--S287&gt;80,""
),"")</f>
        <v/>
      </c>
      <c r="V287" s="42" t="str" cm="1">
        <f t="array" ref="V287">IFERROR(_xlfn.IFS(
T287="","",
--T287&lt;55,"Battery Defect",
--T287&lt;=69,"Battery D",
--T287&lt;=80,"Battery C",
--T287&gt;80,""
),"")</f>
        <v/>
      </c>
      <c r="W287" s="42"/>
      <c r="X287" s="42"/>
      <c r="Y287" s="42"/>
      <c r="Z287" s="42"/>
      <c r="AA287" s="42"/>
      <c r="AB287" s="42"/>
      <c r="AC287" s="42"/>
      <c r="AD287" s="42"/>
      <c r="AE287" s="32" t="str">
        <f t="shared" si="12"/>
        <v/>
      </c>
      <c r="AF287" s="32"/>
      <c r="AG287" s="32"/>
      <c r="AH287" s="32"/>
      <c r="AI287" s="32"/>
      <c r="AJ287" s="32"/>
      <c r="AK287" s="32"/>
      <c r="AL287" s="32"/>
      <c r="AM287" s="32"/>
    </row>
    <row r="288" spans="1:39">
      <c r="A288" s="32" t="str">
        <f>_xlfn.XLOOKUP(B288,Input!J:J,Input!G:G)&amp;""</f>
        <v/>
      </c>
      <c r="B288" s="32"/>
      <c r="C288" s="32" t="str">
        <f>_xlfn.XLOOKUP(B288,Input!J:J,Input!H:H)&amp;""</f>
        <v/>
      </c>
      <c r="D288" s="42">
        <f>_xlfn.XLOOKUP(B288,Input!J:J,Input!F:F)</f>
        <v>0</v>
      </c>
      <c r="E288" s="32">
        <f>_xlfn.XLOOKUP(D288,Models!H:H,Models!G:G,D288)</f>
        <v>0</v>
      </c>
      <c r="F288" s="32">
        <f>_xlfn.XLOOKUP(B288,Input!J:J,Input!E:E)</f>
        <v>0</v>
      </c>
      <c r="G288" s="32">
        <f>IF(F288="LENOVO",_xlfn.XLOOKUP(B288,Input!J:J,Input!K:K),_xlfn.XLOOKUP(B288,Input!J:J,Input!L:L))</f>
        <v>0</v>
      </c>
      <c r="H288" s="32"/>
      <c r="I288" s="32"/>
      <c r="J288" s="32"/>
      <c r="K288" s="42" t="e">
        <f>INDEX(Input!$D$2:$AC$500,
       MATCH(B288, Input!$J$2:$J$500, 0),
       MATCH("Total Memory", Input!$D$1:$AC$1, 0))</f>
        <v>#N/A</v>
      </c>
      <c r="L288" s="42"/>
      <c r="M288" s="42" t="str" cm="1">
        <f t="array" ref="M288">IFERROR(_xlfn.FILTERXML("&lt;t&gt;&lt;s&gt;" &amp; SUBSTITUTE(L288," / ","&lt;/s&gt;&lt;s&gt;") &amp; "&lt;/s&gt;&lt;/t&gt;","(//s[contains(.,'DDR')])[1]"),"")</f>
        <v/>
      </c>
      <c r="N288" s="32" t="e">
        <f t="shared" si="14"/>
        <v>#N/A</v>
      </c>
      <c r="O288" s="42" t="e">
        <f>INDEX(Input!$D$2:$AC$500,
       MATCH(B288, Input!$J$2:$J$500, 0),
       MATCH("Disk Interface Type", Input!$D$1:$AC$1, 0))</f>
        <v>#N/A</v>
      </c>
      <c r="P288" s="42" t="str" cm="1">
        <f t="array" ref="P288">IFERROR(_xlfn.TEXTJOIN(", ", TRUE, _xlfn._xlws.FILTER(
    INDEX(Input!$D$2:$AC$500,,MATCH("Disk Capacity",Input!$D$1:$AC$1,0)),
    Input!$J$2:$J$500=B288
)), "")</f>
        <v/>
      </c>
      <c r="Q288" s="32" t="e">
        <f t="shared" si="13"/>
        <v>#N/A</v>
      </c>
      <c r="R288" s="42" t="e">
        <f>_xlfn.LET(_xlpm.Result,INDEX(Input!$D$2:$AC$500,
       MATCH(B288, Input!$J$2:$J$500, 0),
       MATCH("Capacity", Input!$D$1:$AC$1, 0)),IF(_xlpm.Result="","",_xlpm.Result))</f>
        <v>#N/A</v>
      </c>
      <c r="S288" s="42" t="e" cm="1">
        <f t="array" ref="S288">_xlfn.TEXTSPLIT(R288," / ", ,TRUE,0,)</f>
        <v>#N/A</v>
      </c>
      <c r="T288" s="42"/>
      <c r="U288" s="42" t="str" cm="1">
        <f t="array" ref="U288">IFERROR(_xlfn.IFS(
S288="","",
--S288&lt;55,"Battery Defect",
--S288&lt;=69,"Battery D",
--S288&lt;=80,"Battery C",
--S288&gt;80,""
),"")</f>
        <v/>
      </c>
      <c r="V288" s="42" t="str" cm="1">
        <f t="array" ref="V288">IFERROR(_xlfn.IFS(
T288="","",
--T288&lt;55,"Battery Defect",
--T288&lt;=69,"Battery D",
--T288&lt;=80,"Battery C",
--T288&gt;80,""
),"")</f>
        <v/>
      </c>
      <c r="W288" s="42"/>
      <c r="X288" s="42"/>
      <c r="Y288" s="42"/>
      <c r="Z288" s="42"/>
      <c r="AA288" s="42"/>
      <c r="AB288" s="42"/>
      <c r="AC288" s="42"/>
      <c r="AD288" s="42"/>
      <c r="AE288" s="32" t="str">
        <f t="shared" si="12"/>
        <v/>
      </c>
      <c r="AF288" s="32"/>
      <c r="AG288" s="32"/>
      <c r="AH288" s="32"/>
      <c r="AI288" s="32"/>
      <c r="AJ288" s="32"/>
      <c r="AK288" s="32"/>
      <c r="AL288" s="32"/>
      <c r="AM288" s="32"/>
    </row>
    <row r="289" spans="1:39">
      <c r="A289" s="32" t="str">
        <f>_xlfn.XLOOKUP(B289,Input!J:J,Input!G:G)&amp;""</f>
        <v/>
      </c>
      <c r="B289" s="32"/>
      <c r="C289" s="32" t="str">
        <f>_xlfn.XLOOKUP(B289,Input!J:J,Input!H:H)&amp;""</f>
        <v/>
      </c>
      <c r="D289" s="42">
        <f>_xlfn.XLOOKUP(B289,Input!J:J,Input!F:F)</f>
        <v>0</v>
      </c>
      <c r="E289" s="32">
        <f>_xlfn.XLOOKUP(D289,Models!H:H,Models!G:G,D289)</f>
        <v>0</v>
      </c>
      <c r="F289" s="32">
        <f>_xlfn.XLOOKUP(B289,Input!J:J,Input!E:E)</f>
        <v>0</v>
      </c>
      <c r="G289" s="32">
        <f>IF(F289="LENOVO",_xlfn.XLOOKUP(B289,Input!J:J,Input!K:K),_xlfn.XLOOKUP(B289,Input!J:J,Input!L:L))</f>
        <v>0</v>
      </c>
      <c r="H289" s="32"/>
      <c r="I289" s="32"/>
      <c r="J289" s="32"/>
      <c r="K289" s="42" t="e">
        <f>INDEX(Input!$D$2:$AC$500,
       MATCH(B289, Input!$J$2:$J$500, 0),
       MATCH("Total Memory", Input!$D$1:$AC$1, 0))</f>
        <v>#N/A</v>
      </c>
      <c r="L289" s="42"/>
      <c r="M289" s="42" t="str" cm="1">
        <f t="array" ref="M289">IFERROR(_xlfn.FILTERXML("&lt;t&gt;&lt;s&gt;" &amp; SUBSTITUTE(L289," / ","&lt;/s&gt;&lt;s&gt;") &amp; "&lt;/s&gt;&lt;/t&gt;","(//s[contains(.,'DDR')])[1]"),"")</f>
        <v/>
      </c>
      <c r="N289" s="32" t="e">
        <f t="shared" si="14"/>
        <v>#N/A</v>
      </c>
      <c r="O289" s="42" t="e">
        <f>INDEX(Input!$D$2:$AC$500,
       MATCH(B289, Input!$J$2:$J$500, 0),
       MATCH("Disk Interface Type", Input!$D$1:$AC$1, 0))</f>
        <v>#N/A</v>
      </c>
      <c r="P289" s="42" t="str" cm="1">
        <f t="array" ref="P289">IFERROR(_xlfn.TEXTJOIN(", ", TRUE, _xlfn._xlws.FILTER(
    INDEX(Input!$D$2:$AC$500,,MATCH("Disk Capacity",Input!$D$1:$AC$1,0)),
    Input!$J$2:$J$500=B289
)), "")</f>
        <v/>
      </c>
      <c r="Q289" s="32" t="e">
        <f t="shared" si="13"/>
        <v>#N/A</v>
      </c>
      <c r="R289" s="42" t="e">
        <f>_xlfn.LET(_xlpm.Result,INDEX(Input!$D$2:$AC$500,
       MATCH(B289, Input!$J$2:$J$500, 0),
       MATCH("Capacity", Input!$D$1:$AC$1, 0)),IF(_xlpm.Result="","",_xlpm.Result))</f>
        <v>#N/A</v>
      </c>
      <c r="S289" s="42" t="e" cm="1">
        <f t="array" ref="S289">_xlfn.TEXTSPLIT(R289," / ", ,TRUE,0,)</f>
        <v>#N/A</v>
      </c>
      <c r="T289" s="42"/>
      <c r="U289" s="42" t="str" cm="1">
        <f t="array" ref="U289">IFERROR(_xlfn.IFS(
S289="","",
--S289&lt;55,"Battery Defect",
--S289&lt;=69,"Battery D",
--S289&lt;=80,"Battery C",
--S289&gt;80,""
),"")</f>
        <v/>
      </c>
      <c r="V289" s="42" t="str" cm="1">
        <f t="array" ref="V289">IFERROR(_xlfn.IFS(
T289="","",
--T289&lt;55,"Battery Defect",
--T289&lt;=69,"Battery D",
--T289&lt;=80,"Battery C",
--T289&gt;80,""
),"")</f>
        <v/>
      </c>
      <c r="W289" s="42"/>
      <c r="X289" s="42"/>
      <c r="Y289" s="42"/>
      <c r="Z289" s="42"/>
      <c r="AA289" s="42"/>
      <c r="AB289" s="42"/>
      <c r="AC289" s="42"/>
      <c r="AD289" s="42"/>
      <c r="AE289" s="32" t="str">
        <f t="shared" si="12"/>
        <v/>
      </c>
      <c r="AF289" s="32"/>
      <c r="AG289" s="32"/>
      <c r="AH289" s="32"/>
      <c r="AI289" s="32"/>
      <c r="AJ289" s="32"/>
      <c r="AK289" s="32"/>
      <c r="AL289" s="32"/>
      <c r="AM289" s="32"/>
    </row>
    <row r="290" spans="1:39">
      <c r="A290" s="32" t="str">
        <f>_xlfn.XLOOKUP(B290,Input!J:J,Input!G:G)&amp;""</f>
        <v/>
      </c>
      <c r="B290" s="32"/>
      <c r="C290" s="32" t="str">
        <f>_xlfn.XLOOKUP(B290,Input!J:J,Input!H:H)&amp;""</f>
        <v/>
      </c>
      <c r="D290" s="42">
        <f>_xlfn.XLOOKUP(B290,Input!J:J,Input!F:F)</f>
        <v>0</v>
      </c>
      <c r="E290" s="32">
        <f>_xlfn.XLOOKUP(D290,Models!H:H,Models!G:G,D290)</f>
        <v>0</v>
      </c>
      <c r="F290" s="32">
        <f>_xlfn.XLOOKUP(B290,Input!J:J,Input!E:E)</f>
        <v>0</v>
      </c>
      <c r="G290" s="32">
        <f>IF(F290="LENOVO",_xlfn.XLOOKUP(B290,Input!J:J,Input!K:K),_xlfn.XLOOKUP(B290,Input!J:J,Input!L:L))</f>
        <v>0</v>
      </c>
      <c r="H290" s="32"/>
      <c r="I290" s="32"/>
      <c r="J290" s="32"/>
      <c r="K290" s="42" t="e">
        <f>INDEX(Input!$D$2:$AC$500,
       MATCH(B290, Input!$J$2:$J$500, 0),
       MATCH("Total Memory", Input!$D$1:$AC$1, 0))</f>
        <v>#N/A</v>
      </c>
      <c r="L290" s="42"/>
      <c r="M290" s="42" t="str" cm="1">
        <f t="array" ref="M290">IFERROR(_xlfn.FILTERXML("&lt;t&gt;&lt;s&gt;" &amp; SUBSTITUTE(L290," / ","&lt;/s&gt;&lt;s&gt;") &amp; "&lt;/s&gt;&lt;/t&gt;","(//s[contains(.,'DDR')])[1]"),"")</f>
        <v/>
      </c>
      <c r="N290" s="32" t="e">
        <f t="shared" si="14"/>
        <v>#N/A</v>
      </c>
      <c r="O290" s="42" t="e">
        <f>INDEX(Input!$D$2:$AC$500,
       MATCH(B290, Input!$J$2:$J$500, 0),
       MATCH("Disk Interface Type", Input!$D$1:$AC$1, 0))</f>
        <v>#N/A</v>
      </c>
      <c r="P290" s="42" t="str" cm="1">
        <f t="array" ref="P290">IFERROR(_xlfn.TEXTJOIN(", ", TRUE, _xlfn._xlws.FILTER(
    INDEX(Input!$D$2:$AC$500,,MATCH("Disk Capacity",Input!$D$1:$AC$1,0)),
    Input!$J$2:$J$500=B290
)), "")</f>
        <v/>
      </c>
      <c r="Q290" s="32" t="e">
        <f t="shared" si="13"/>
        <v>#N/A</v>
      </c>
      <c r="R290" s="42" t="e">
        <f>_xlfn.LET(_xlpm.Result,INDEX(Input!$D$2:$AC$500,
       MATCH(B290, Input!$J$2:$J$500, 0),
       MATCH("Capacity", Input!$D$1:$AC$1, 0)),IF(_xlpm.Result="","",_xlpm.Result))</f>
        <v>#N/A</v>
      </c>
      <c r="S290" s="42" t="e" cm="1">
        <f t="array" ref="S290">_xlfn.TEXTSPLIT(R290," / ", ,TRUE,0,)</f>
        <v>#N/A</v>
      </c>
      <c r="T290" s="42"/>
      <c r="U290" s="42" t="str" cm="1">
        <f t="array" ref="U290">IFERROR(_xlfn.IFS(
S290="","",
--S290&lt;55,"Battery Defect",
--S290&lt;=69,"Battery D",
--S290&lt;=80,"Battery C",
--S290&gt;80,""
),"")</f>
        <v/>
      </c>
      <c r="V290" s="42" t="str" cm="1">
        <f t="array" ref="V290">IFERROR(_xlfn.IFS(
T290="","",
--T290&lt;55,"Battery Defect",
--T290&lt;=69,"Battery D",
--T290&lt;=80,"Battery C",
--T290&gt;80,""
),"")</f>
        <v/>
      </c>
      <c r="W290" s="42"/>
      <c r="X290" s="42"/>
      <c r="Y290" s="42"/>
      <c r="Z290" s="42"/>
      <c r="AA290" s="42"/>
      <c r="AB290" s="42"/>
      <c r="AC290" s="42"/>
      <c r="AD290" s="42"/>
      <c r="AE290" s="32" t="str">
        <f t="shared" si="12"/>
        <v/>
      </c>
      <c r="AF290" s="32"/>
      <c r="AG290" s="32"/>
      <c r="AH290" s="32"/>
      <c r="AI290" s="32"/>
      <c r="AJ290" s="32"/>
      <c r="AK290" s="32"/>
      <c r="AL290" s="32"/>
      <c r="AM290" s="32"/>
    </row>
    <row r="291" spans="1:39">
      <c r="A291" s="32" t="str">
        <f>_xlfn.XLOOKUP(B291,Input!J:J,Input!G:G)&amp;""</f>
        <v/>
      </c>
      <c r="B291" s="32"/>
      <c r="C291" s="32" t="str">
        <f>_xlfn.XLOOKUP(B291,Input!J:J,Input!H:H)&amp;""</f>
        <v/>
      </c>
      <c r="D291" s="42">
        <f>_xlfn.XLOOKUP(B291,Input!J:J,Input!F:F)</f>
        <v>0</v>
      </c>
      <c r="E291" s="32">
        <f>_xlfn.XLOOKUP(D291,Models!H:H,Models!G:G,D291)</f>
        <v>0</v>
      </c>
      <c r="F291" s="32">
        <f>_xlfn.XLOOKUP(B291,Input!J:J,Input!E:E)</f>
        <v>0</v>
      </c>
      <c r="G291" s="32">
        <f>IF(F291="LENOVO",_xlfn.XLOOKUP(B291,Input!J:J,Input!K:K),_xlfn.XLOOKUP(B291,Input!J:J,Input!L:L))</f>
        <v>0</v>
      </c>
      <c r="H291" s="32"/>
      <c r="I291" s="32"/>
      <c r="J291" s="32"/>
      <c r="K291" s="42" t="e">
        <f>INDEX(Input!$D$2:$AC$500,
       MATCH(B291, Input!$J$2:$J$500, 0),
       MATCH("Total Memory", Input!$D$1:$AC$1, 0))</f>
        <v>#N/A</v>
      </c>
      <c r="L291" s="42"/>
      <c r="M291" s="42" t="str" cm="1">
        <f t="array" ref="M291">IFERROR(_xlfn.FILTERXML("&lt;t&gt;&lt;s&gt;" &amp; SUBSTITUTE(L291," / ","&lt;/s&gt;&lt;s&gt;") &amp; "&lt;/s&gt;&lt;/t&gt;","(//s[contains(.,'DDR')])[1]"),"")</f>
        <v/>
      </c>
      <c r="N291" s="32" t="e">
        <f t="shared" si="14"/>
        <v>#N/A</v>
      </c>
      <c r="O291" s="42" t="e">
        <f>INDEX(Input!$D$2:$AC$500,
       MATCH(B291, Input!$J$2:$J$500, 0),
       MATCH("Disk Interface Type", Input!$D$1:$AC$1, 0))</f>
        <v>#N/A</v>
      </c>
      <c r="P291" s="42" t="str" cm="1">
        <f t="array" ref="P291">IFERROR(_xlfn.TEXTJOIN(", ", TRUE, _xlfn._xlws.FILTER(
    INDEX(Input!$D$2:$AC$500,,MATCH("Disk Capacity",Input!$D$1:$AC$1,0)),
    Input!$J$2:$J$500=B291
)), "")</f>
        <v/>
      </c>
      <c r="Q291" s="32" t="e">
        <f t="shared" si="13"/>
        <v>#N/A</v>
      </c>
      <c r="R291" s="42" t="e">
        <f>_xlfn.LET(_xlpm.Result,INDEX(Input!$D$2:$AC$500,
       MATCH(B291, Input!$J$2:$J$500, 0),
       MATCH("Capacity", Input!$D$1:$AC$1, 0)),IF(_xlpm.Result="","",_xlpm.Result))</f>
        <v>#N/A</v>
      </c>
      <c r="S291" s="42" t="e" cm="1">
        <f t="array" ref="S291">_xlfn.TEXTSPLIT(R291," / ", ,TRUE,0,)</f>
        <v>#N/A</v>
      </c>
      <c r="T291" s="42"/>
      <c r="U291" s="42" t="str" cm="1">
        <f t="array" ref="U291">IFERROR(_xlfn.IFS(
S291="","",
--S291&lt;55,"Battery Defect",
--S291&lt;=69,"Battery D",
--S291&lt;=80,"Battery C",
--S291&gt;80,""
),"")</f>
        <v/>
      </c>
      <c r="V291" s="42" t="str" cm="1">
        <f t="array" ref="V291">IFERROR(_xlfn.IFS(
T291="","",
--T291&lt;55,"Battery Defect",
--T291&lt;=69,"Battery D",
--T291&lt;=80,"Battery C",
--T291&gt;80,""
),"")</f>
        <v/>
      </c>
      <c r="W291" s="42"/>
      <c r="X291" s="42"/>
      <c r="Y291" s="42"/>
      <c r="Z291" s="42"/>
      <c r="AA291" s="42"/>
      <c r="AB291" s="42"/>
      <c r="AC291" s="42"/>
      <c r="AD291" s="42"/>
      <c r="AE291" s="32" t="str">
        <f t="shared" si="12"/>
        <v/>
      </c>
      <c r="AF291" s="32"/>
      <c r="AG291" s="32"/>
      <c r="AH291" s="32"/>
      <c r="AI291" s="32"/>
      <c r="AJ291" s="32"/>
      <c r="AK291" s="32"/>
      <c r="AL291" s="32"/>
      <c r="AM291" s="32"/>
    </row>
    <row r="292" spans="1:39">
      <c r="A292" s="32" t="str">
        <f>_xlfn.XLOOKUP(B292,Input!J:J,Input!G:G)&amp;""</f>
        <v/>
      </c>
      <c r="B292" s="32"/>
      <c r="C292" s="32" t="str">
        <f>_xlfn.XLOOKUP(B292,Input!J:J,Input!H:H)&amp;""</f>
        <v/>
      </c>
      <c r="D292" s="42">
        <f>_xlfn.XLOOKUP(B292,Input!J:J,Input!F:F)</f>
        <v>0</v>
      </c>
      <c r="E292" s="32">
        <f>_xlfn.XLOOKUP(D292,Models!H:H,Models!G:G,D292)</f>
        <v>0</v>
      </c>
      <c r="F292" s="32">
        <f>_xlfn.XLOOKUP(B292,Input!J:J,Input!E:E)</f>
        <v>0</v>
      </c>
      <c r="G292" s="32">
        <f>IF(F292="LENOVO",_xlfn.XLOOKUP(B292,Input!J:J,Input!K:K),_xlfn.XLOOKUP(B292,Input!J:J,Input!L:L))</f>
        <v>0</v>
      </c>
      <c r="H292" s="32"/>
      <c r="I292" s="32"/>
      <c r="J292" s="32"/>
      <c r="K292" s="42" t="e">
        <f>INDEX(Input!$D$2:$AC$500,
       MATCH(B292, Input!$J$2:$J$500, 0),
       MATCH("Total Memory", Input!$D$1:$AC$1, 0))</f>
        <v>#N/A</v>
      </c>
      <c r="L292" s="42"/>
      <c r="M292" s="42" t="str" cm="1">
        <f t="array" ref="M292">IFERROR(_xlfn.FILTERXML("&lt;t&gt;&lt;s&gt;" &amp; SUBSTITUTE(L292," / ","&lt;/s&gt;&lt;s&gt;") &amp; "&lt;/s&gt;&lt;/t&gt;","(//s[contains(.,'DDR')])[1]"),"")</f>
        <v/>
      </c>
      <c r="N292" s="32" t="e">
        <f t="shared" si="14"/>
        <v>#N/A</v>
      </c>
      <c r="O292" s="42" t="e">
        <f>INDEX(Input!$D$2:$AC$500,
       MATCH(B292, Input!$J$2:$J$500, 0),
       MATCH("Disk Interface Type", Input!$D$1:$AC$1, 0))</f>
        <v>#N/A</v>
      </c>
      <c r="P292" s="42" t="str" cm="1">
        <f t="array" ref="P292">IFERROR(_xlfn.TEXTJOIN(", ", TRUE, _xlfn._xlws.FILTER(
    INDEX(Input!$D$2:$AC$500,,MATCH("Disk Capacity",Input!$D$1:$AC$1,0)),
    Input!$J$2:$J$500=B292
)), "")</f>
        <v/>
      </c>
      <c r="Q292" s="32" t="e">
        <f t="shared" si="13"/>
        <v>#N/A</v>
      </c>
      <c r="R292" s="42" t="e">
        <f>_xlfn.LET(_xlpm.Result,INDEX(Input!$D$2:$AC$500,
       MATCH(B292, Input!$J$2:$J$500, 0),
       MATCH("Capacity", Input!$D$1:$AC$1, 0)),IF(_xlpm.Result="","",_xlpm.Result))</f>
        <v>#N/A</v>
      </c>
      <c r="S292" s="42" t="e" cm="1">
        <f t="array" ref="S292">_xlfn.TEXTSPLIT(R292," / ", ,TRUE,0,)</f>
        <v>#N/A</v>
      </c>
      <c r="T292" s="42"/>
      <c r="U292" s="42" t="str" cm="1">
        <f t="array" ref="U292">IFERROR(_xlfn.IFS(
S292="","",
--S292&lt;55,"Battery Defect",
--S292&lt;=69,"Battery D",
--S292&lt;=80,"Battery C",
--S292&gt;80,""
),"")</f>
        <v/>
      </c>
      <c r="V292" s="42" t="str" cm="1">
        <f t="array" ref="V292">IFERROR(_xlfn.IFS(
T292="","",
--T292&lt;55,"Battery Defect",
--T292&lt;=69,"Battery D",
--T292&lt;=80,"Battery C",
--T292&gt;80,""
),"")</f>
        <v/>
      </c>
      <c r="W292" s="42"/>
      <c r="X292" s="42"/>
      <c r="Y292" s="42"/>
      <c r="Z292" s="42"/>
      <c r="AA292" s="42"/>
      <c r="AB292" s="42"/>
      <c r="AC292" s="42"/>
      <c r="AD292" s="42"/>
      <c r="AE292" s="32" t="str">
        <f t="shared" si="12"/>
        <v/>
      </c>
      <c r="AF292" s="32"/>
      <c r="AG292" s="32"/>
      <c r="AH292" s="32"/>
      <c r="AI292" s="32"/>
      <c r="AJ292" s="32"/>
      <c r="AK292" s="32"/>
      <c r="AL292" s="32"/>
      <c r="AM292" s="32"/>
    </row>
    <row r="293" spans="1:39">
      <c r="A293" s="32" t="str">
        <f>_xlfn.XLOOKUP(B293,Input!J:J,Input!G:G)&amp;""</f>
        <v/>
      </c>
      <c r="B293" s="32"/>
      <c r="C293" s="32" t="str">
        <f>_xlfn.XLOOKUP(B293,Input!J:J,Input!H:H)&amp;""</f>
        <v/>
      </c>
      <c r="D293" s="42">
        <f>_xlfn.XLOOKUP(B293,Input!J:J,Input!F:F)</f>
        <v>0</v>
      </c>
      <c r="E293" s="32">
        <f>_xlfn.XLOOKUP(D293,Models!H:H,Models!G:G,D293)</f>
        <v>0</v>
      </c>
      <c r="F293" s="32">
        <f>_xlfn.XLOOKUP(B293,Input!J:J,Input!E:E)</f>
        <v>0</v>
      </c>
      <c r="G293" s="32">
        <f>IF(F293="LENOVO",_xlfn.XLOOKUP(B293,Input!J:J,Input!K:K),_xlfn.XLOOKUP(B293,Input!J:J,Input!L:L))</f>
        <v>0</v>
      </c>
      <c r="H293" s="32"/>
      <c r="I293" s="32"/>
      <c r="J293" s="32"/>
      <c r="K293" s="42" t="e">
        <f>INDEX(Input!$D$2:$AC$500,
       MATCH(B293, Input!$J$2:$J$500, 0),
       MATCH("Total Memory", Input!$D$1:$AC$1, 0))</f>
        <v>#N/A</v>
      </c>
      <c r="L293" s="42"/>
      <c r="M293" s="42" t="str" cm="1">
        <f t="array" ref="M293">IFERROR(_xlfn.FILTERXML("&lt;t&gt;&lt;s&gt;" &amp; SUBSTITUTE(L293," / ","&lt;/s&gt;&lt;s&gt;") &amp; "&lt;/s&gt;&lt;/t&gt;","(//s[contains(.,'DDR')])[1]"),"")</f>
        <v/>
      </c>
      <c r="N293" s="32" t="e">
        <f t="shared" si="14"/>
        <v>#N/A</v>
      </c>
      <c r="O293" s="42" t="e">
        <f>INDEX(Input!$D$2:$AC$500,
       MATCH(B293, Input!$J$2:$J$500, 0),
       MATCH("Disk Interface Type", Input!$D$1:$AC$1, 0))</f>
        <v>#N/A</v>
      </c>
      <c r="P293" s="42" t="str" cm="1">
        <f t="array" ref="P293">IFERROR(_xlfn.TEXTJOIN(", ", TRUE, _xlfn._xlws.FILTER(
    INDEX(Input!$D$2:$AC$500,,MATCH("Disk Capacity",Input!$D$1:$AC$1,0)),
    Input!$J$2:$J$500=B293
)), "")</f>
        <v/>
      </c>
      <c r="Q293" s="32" t="e">
        <f t="shared" si="13"/>
        <v>#N/A</v>
      </c>
      <c r="R293" s="42" t="e">
        <f>_xlfn.LET(_xlpm.Result,INDEX(Input!$D$2:$AC$500,
       MATCH(B293, Input!$J$2:$J$500, 0),
       MATCH("Capacity", Input!$D$1:$AC$1, 0)),IF(_xlpm.Result="","",_xlpm.Result))</f>
        <v>#N/A</v>
      </c>
      <c r="S293" s="42" t="e" cm="1">
        <f t="array" ref="S293">_xlfn.TEXTSPLIT(R293," / ", ,TRUE,0,)</f>
        <v>#N/A</v>
      </c>
      <c r="T293" s="42"/>
      <c r="U293" s="42" t="str" cm="1">
        <f t="array" ref="U293">IFERROR(_xlfn.IFS(
S293="","",
--S293&lt;55,"Battery Defect",
--S293&lt;=69,"Battery D",
--S293&lt;=80,"Battery C",
--S293&gt;80,""
),"")</f>
        <v/>
      </c>
      <c r="V293" s="42" t="str" cm="1">
        <f t="array" ref="V293">IFERROR(_xlfn.IFS(
T293="","",
--T293&lt;55,"Battery Defect",
--T293&lt;=69,"Battery D",
--T293&lt;=80,"Battery C",
--T293&gt;80,""
),"")</f>
        <v/>
      </c>
      <c r="W293" s="42"/>
      <c r="X293" s="42"/>
      <c r="Y293" s="42"/>
      <c r="Z293" s="42"/>
      <c r="AA293" s="42"/>
      <c r="AB293" s="42"/>
      <c r="AC293" s="42"/>
      <c r="AD293" s="42"/>
      <c r="AE293" s="32" t="str">
        <f t="shared" si="12"/>
        <v/>
      </c>
      <c r="AF293" s="32"/>
      <c r="AG293" s="32"/>
      <c r="AH293" s="32"/>
      <c r="AI293" s="32"/>
      <c r="AJ293" s="32"/>
      <c r="AK293" s="32"/>
      <c r="AL293" s="32"/>
      <c r="AM293" s="32"/>
    </row>
    <row r="294" spans="1:39">
      <c r="A294" s="32" t="str">
        <f>_xlfn.XLOOKUP(B294,Input!J:J,Input!G:G)&amp;""</f>
        <v/>
      </c>
      <c r="B294" s="32"/>
      <c r="C294" s="32" t="str">
        <f>_xlfn.XLOOKUP(B294,Input!J:J,Input!H:H)&amp;""</f>
        <v/>
      </c>
      <c r="D294" s="42">
        <f>_xlfn.XLOOKUP(B294,Input!J:J,Input!F:F)</f>
        <v>0</v>
      </c>
      <c r="E294" s="32">
        <f>_xlfn.XLOOKUP(D294,Models!H:H,Models!G:G,D294)</f>
        <v>0</v>
      </c>
      <c r="F294" s="32">
        <f>_xlfn.XLOOKUP(B294,Input!J:J,Input!E:E)</f>
        <v>0</v>
      </c>
      <c r="G294" s="32">
        <f>IF(F294="LENOVO",_xlfn.XLOOKUP(B294,Input!J:J,Input!K:K),_xlfn.XLOOKUP(B294,Input!J:J,Input!L:L))</f>
        <v>0</v>
      </c>
      <c r="H294" s="32"/>
      <c r="I294" s="32"/>
      <c r="J294" s="32"/>
      <c r="K294" s="42" t="e">
        <f>INDEX(Input!$D$2:$AC$500,
       MATCH(B294, Input!$J$2:$J$500, 0),
       MATCH("Total Memory", Input!$D$1:$AC$1, 0))</f>
        <v>#N/A</v>
      </c>
      <c r="L294" s="42"/>
      <c r="M294" s="42" t="str" cm="1">
        <f t="array" ref="M294">IFERROR(_xlfn.FILTERXML("&lt;t&gt;&lt;s&gt;" &amp; SUBSTITUTE(L294," / ","&lt;/s&gt;&lt;s&gt;") &amp; "&lt;/s&gt;&lt;/t&gt;","(//s[contains(.,'DDR')])[1]"),"")</f>
        <v/>
      </c>
      <c r="N294" s="32" t="e">
        <f t="shared" si="14"/>
        <v>#N/A</v>
      </c>
      <c r="O294" s="42" t="e">
        <f>INDEX(Input!$D$2:$AC$500,
       MATCH(B294, Input!$J$2:$J$500, 0),
       MATCH("Disk Interface Type", Input!$D$1:$AC$1, 0))</f>
        <v>#N/A</v>
      </c>
      <c r="P294" s="42" t="str" cm="1">
        <f t="array" ref="P294">IFERROR(_xlfn.TEXTJOIN(", ", TRUE, _xlfn._xlws.FILTER(
    INDEX(Input!$D$2:$AC$500,,MATCH("Disk Capacity",Input!$D$1:$AC$1,0)),
    Input!$J$2:$J$500=B294
)), "")</f>
        <v/>
      </c>
      <c r="Q294" s="32" t="e">
        <f t="shared" si="13"/>
        <v>#N/A</v>
      </c>
      <c r="R294" s="42" t="e">
        <f>_xlfn.LET(_xlpm.Result,INDEX(Input!$D$2:$AC$500,
       MATCH(B294, Input!$J$2:$J$500, 0),
       MATCH("Capacity", Input!$D$1:$AC$1, 0)),IF(_xlpm.Result="","",_xlpm.Result))</f>
        <v>#N/A</v>
      </c>
      <c r="S294" s="42" t="e" cm="1">
        <f t="array" ref="S294">_xlfn.TEXTSPLIT(R294," / ", ,TRUE,0,)</f>
        <v>#N/A</v>
      </c>
      <c r="T294" s="42"/>
      <c r="U294" s="42" t="str" cm="1">
        <f t="array" ref="U294">IFERROR(_xlfn.IFS(
S294="","",
--S294&lt;55,"Battery Defect",
--S294&lt;=69,"Battery D",
--S294&lt;=80,"Battery C",
--S294&gt;80,""
),"")</f>
        <v/>
      </c>
      <c r="V294" s="42" t="str" cm="1">
        <f t="array" ref="V294">IFERROR(_xlfn.IFS(
T294="","",
--T294&lt;55,"Battery Defect",
--T294&lt;=69,"Battery D",
--T294&lt;=80,"Battery C",
--T294&gt;80,""
),"")</f>
        <v/>
      </c>
      <c r="W294" s="42"/>
      <c r="X294" s="42"/>
      <c r="Y294" s="42"/>
      <c r="Z294" s="42"/>
      <c r="AA294" s="42"/>
      <c r="AB294" s="42"/>
      <c r="AC294" s="42"/>
      <c r="AD294" s="42"/>
      <c r="AE294" s="32" t="str">
        <f t="shared" si="12"/>
        <v/>
      </c>
      <c r="AF294" s="32"/>
      <c r="AG294" s="32"/>
      <c r="AH294" s="32"/>
      <c r="AI294" s="32"/>
      <c r="AJ294" s="32"/>
      <c r="AK294" s="32"/>
      <c r="AL294" s="32"/>
      <c r="AM294" s="32"/>
    </row>
    <row r="295" spans="1:39">
      <c r="A295" s="32" t="str">
        <f>_xlfn.XLOOKUP(B295,Input!J:J,Input!G:G)&amp;""</f>
        <v/>
      </c>
      <c r="B295" s="32"/>
      <c r="C295" s="32" t="str">
        <f>_xlfn.XLOOKUP(B295,Input!J:J,Input!H:H)&amp;""</f>
        <v/>
      </c>
      <c r="D295" s="42">
        <f>_xlfn.XLOOKUP(B295,Input!J:J,Input!F:F)</f>
        <v>0</v>
      </c>
      <c r="E295" s="32">
        <f>_xlfn.XLOOKUP(D295,Models!H:H,Models!G:G,D295)</f>
        <v>0</v>
      </c>
      <c r="F295" s="32">
        <f>_xlfn.XLOOKUP(B295,Input!J:J,Input!E:E)</f>
        <v>0</v>
      </c>
      <c r="G295" s="32">
        <f>IF(F295="LENOVO",_xlfn.XLOOKUP(B295,Input!J:J,Input!K:K),_xlfn.XLOOKUP(B295,Input!J:J,Input!L:L))</f>
        <v>0</v>
      </c>
      <c r="H295" s="32"/>
      <c r="I295" s="32"/>
      <c r="J295" s="32"/>
      <c r="K295" s="42" t="e">
        <f>INDEX(Input!$D$2:$AC$500,
       MATCH(B295, Input!$J$2:$J$500, 0),
       MATCH("Total Memory", Input!$D$1:$AC$1, 0))</f>
        <v>#N/A</v>
      </c>
      <c r="L295" s="42"/>
      <c r="M295" s="42" t="str" cm="1">
        <f t="array" ref="M295">IFERROR(_xlfn.FILTERXML("&lt;t&gt;&lt;s&gt;" &amp; SUBSTITUTE(L295," / ","&lt;/s&gt;&lt;s&gt;") &amp; "&lt;/s&gt;&lt;/t&gt;","(//s[contains(.,'DDR')])[1]"),"")</f>
        <v/>
      </c>
      <c r="N295" s="32" t="e">
        <f t="shared" si="14"/>
        <v>#N/A</v>
      </c>
      <c r="O295" s="42" t="e">
        <f>INDEX(Input!$D$2:$AC$500,
       MATCH(B295, Input!$J$2:$J$500, 0),
       MATCH("Disk Interface Type", Input!$D$1:$AC$1, 0))</f>
        <v>#N/A</v>
      </c>
      <c r="P295" s="42" t="str" cm="1">
        <f t="array" ref="P295">IFERROR(_xlfn.TEXTJOIN(", ", TRUE, _xlfn._xlws.FILTER(
    INDEX(Input!$D$2:$AC$500,,MATCH("Disk Capacity",Input!$D$1:$AC$1,0)),
    Input!$J$2:$J$500=B295
)), "")</f>
        <v/>
      </c>
      <c r="Q295" s="32" t="e">
        <f t="shared" si="13"/>
        <v>#N/A</v>
      </c>
      <c r="R295" s="42" t="e">
        <f>_xlfn.LET(_xlpm.Result,INDEX(Input!$D$2:$AC$500,
       MATCH(B295, Input!$J$2:$J$500, 0),
       MATCH("Capacity", Input!$D$1:$AC$1, 0)),IF(_xlpm.Result="","",_xlpm.Result))</f>
        <v>#N/A</v>
      </c>
      <c r="S295" s="42" t="e" cm="1">
        <f t="array" ref="S295">_xlfn.TEXTSPLIT(R295," / ", ,TRUE,0,)</f>
        <v>#N/A</v>
      </c>
      <c r="T295" s="42"/>
      <c r="U295" s="42" t="str" cm="1">
        <f t="array" ref="U295">IFERROR(_xlfn.IFS(
S295="","",
--S295&lt;55,"Battery Defect",
--S295&lt;=69,"Battery D",
--S295&lt;=80,"Battery C",
--S295&gt;80,""
),"")</f>
        <v/>
      </c>
      <c r="V295" s="42" t="str" cm="1">
        <f t="array" ref="V295">IFERROR(_xlfn.IFS(
T295="","",
--T295&lt;55,"Battery Defect",
--T295&lt;=69,"Battery D",
--T295&lt;=80,"Battery C",
--T295&gt;80,""
),"")</f>
        <v/>
      </c>
      <c r="W295" s="42"/>
      <c r="X295" s="42"/>
      <c r="Y295" s="42"/>
      <c r="Z295" s="42"/>
      <c r="AA295" s="42"/>
      <c r="AB295" s="42"/>
      <c r="AC295" s="42"/>
      <c r="AD295" s="42"/>
      <c r="AE295" s="32" t="str">
        <f t="shared" si="12"/>
        <v/>
      </c>
      <c r="AF295" s="32"/>
      <c r="AG295" s="32"/>
      <c r="AH295" s="32"/>
      <c r="AI295" s="32"/>
      <c r="AJ295" s="32"/>
      <c r="AK295" s="32"/>
      <c r="AL295" s="32"/>
      <c r="AM295" s="32"/>
    </row>
    <row r="296" spans="1:39">
      <c r="A296" s="32" t="str">
        <f>_xlfn.XLOOKUP(B296,Input!J:J,Input!G:G)&amp;""</f>
        <v/>
      </c>
      <c r="B296" s="32"/>
      <c r="C296" s="32" t="str">
        <f>_xlfn.XLOOKUP(B296,Input!J:J,Input!H:H)&amp;""</f>
        <v/>
      </c>
      <c r="D296" s="42">
        <f>_xlfn.XLOOKUP(B296,Input!J:J,Input!F:F)</f>
        <v>0</v>
      </c>
      <c r="E296" s="32">
        <f>_xlfn.XLOOKUP(D296,Models!H:H,Models!G:G,D296)</f>
        <v>0</v>
      </c>
      <c r="F296" s="32">
        <f>_xlfn.XLOOKUP(B296,Input!J:J,Input!E:E)</f>
        <v>0</v>
      </c>
      <c r="G296" s="32">
        <f>IF(F296="LENOVO",_xlfn.XLOOKUP(B296,Input!J:J,Input!K:K),_xlfn.XLOOKUP(B296,Input!J:J,Input!L:L))</f>
        <v>0</v>
      </c>
      <c r="H296" s="32"/>
      <c r="I296" s="32"/>
      <c r="J296" s="32"/>
      <c r="K296" s="42" t="e">
        <f>INDEX(Input!$D$2:$AC$500,
       MATCH(B296, Input!$J$2:$J$500, 0),
       MATCH("Total Memory", Input!$D$1:$AC$1, 0))</f>
        <v>#N/A</v>
      </c>
      <c r="L296" s="42"/>
      <c r="M296" s="42" t="str" cm="1">
        <f t="array" ref="M296">IFERROR(_xlfn.FILTERXML("&lt;t&gt;&lt;s&gt;" &amp; SUBSTITUTE(L296," / ","&lt;/s&gt;&lt;s&gt;") &amp; "&lt;/s&gt;&lt;/t&gt;","(//s[contains(.,'DDR')])[1]"),"")</f>
        <v/>
      </c>
      <c r="N296" s="32" t="e">
        <f t="shared" si="14"/>
        <v>#N/A</v>
      </c>
      <c r="O296" s="42" t="e">
        <f>INDEX(Input!$D$2:$AC$500,
       MATCH(B296, Input!$J$2:$J$500, 0),
       MATCH("Disk Interface Type", Input!$D$1:$AC$1, 0))</f>
        <v>#N/A</v>
      </c>
      <c r="P296" s="42" t="str" cm="1">
        <f t="array" ref="P296">IFERROR(_xlfn.TEXTJOIN(", ", TRUE, _xlfn._xlws.FILTER(
    INDEX(Input!$D$2:$AC$500,,MATCH("Disk Capacity",Input!$D$1:$AC$1,0)),
    Input!$J$2:$J$500=B296
)), "")</f>
        <v/>
      </c>
      <c r="Q296" s="32" t="e">
        <f t="shared" si="13"/>
        <v>#N/A</v>
      </c>
      <c r="R296" s="42" t="e">
        <f>_xlfn.LET(_xlpm.Result,INDEX(Input!$D$2:$AC$500,
       MATCH(B296, Input!$J$2:$J$500, 0),
       MATCH("Capacity", Input!$D$1:$AC$1, 0)),IF(_xlpm.Result="","",_xlpm.Result))</f>
        <v>#N/A</v>
      </c>
      <c r="S296" s="42" t="e" cm="1">
        <f t="array" ref="S296">_xlfn.TEXTSPLIT(R296," / ", ,TRUE,0,)</f>
        <v>#N/A</v>
      </c>
      <c r="T296" s="42"/>
      <c r="U296" s="42" t="str" cm="1">
        <f t="array" ref="U296">IFERROR(_xlfn.IFS(
S296="","",
--S296&lt;55,"Battery Defect",
--S296&lt;=69,"Battery D",
--S296&lt;=80,"Battery C",
--S296&gt;80,""
),"")</f>
        <v/>
      </c>
      <c r="V296" s="42" t="str" cm="1">
        <f t="array" ref="V296">IFERROR(_xlfn.IFS(
T296="","",
--T296&lt;55,"Battery Defect",
--T296&lt;=69,"Battery D",
--T296&lt;=80,"Battery C",
--T296&gt;80,""
),"")</f>
        <v/>
      </c>
      <c r="W296" s="42"/>
      <c r="X296" s="42"/>
      <c r="Y296" s="42"/>
      <c r="Z296" s="42"/>
      <c r="AA296" s="42"/>
      <c r="AB296" s="42"/>
      <c r="AC296" s="42"/>
      <c r="AD296" s="42"/>
      <c r="AE296" s="32" t="str">
        <f t="shared" si="12"/>
        <v/>
      </c>
      <c r="AF296" s="32"/>
      <c r="AG296" s="32"/>
      <c r="AH296" s="32"/>
      <c r="AI296" s="32"/>
      <c r="AJ296" s="32"/>
      <c r="AK296" s="32"/>
      <c r="AL296" s="32"/>
      <c r="AM296" s="32"/>
    </row>
    <row r="297" spans="1:39">
      <c r="A297" s="32" t="str">
        <f>_xlfn.XLOOKUP(B297,Input!J:J,Input!G:G)&amp;""</f>
        <v/>
      </c>
      <c r="B297" s="32"/>
      <c r="C297" s="32" t="str">
        <f>_xlfn.XLOOKUP(B297,Input!J:J,Input!H:H)&amp;""</f>
        <v/>
      </c>
      <c r="D297" s="42">
        <f>_xlfn.XLOOKUP(B297,Input!J:J,Input!F:F)</f>
        <v>0</v>
      </c>
      <c r="E297" s="32">
        <f>_xlfn.XLOOKUP(D297,Models!H:H,Models!G:G,D297)</f>
        <v>0</v>
      </c>
      <c r="F297" s="32">
        <f>_xlfn.XLOOKUP(B297,Input!J:J,Input!E:E)</f>
        <v>0</v>
      </c>
      <c r="G297" s="32">
        <f>IF(F297="LENOVO",_xlfn.XLOOKUP(B297,Input!J:J,Input!K:K),_xlfn.XLOOKUP(B297,Input!J:J,Input!L:L))</f>
        <v>0</v>
      </c>
      <c r="H297" s="32"/>
      <c r="I297" s="32"/>
      <c r="J297" s="32"/>
      <c r="K297" s="42" t="e">
        <f>INDEX(Input!$D$2:$AC$500,
       MATCH(B297, Input!$J$2:$J$500, 0),
       MATCH("Total Memory", Input!$D$1:$AC$1, 0))</f>
        <v>#N/A</v>
      </c>
      <c r="L297" s="42"/>
      <c r="M297" s="42" t="str" cm="1">
        <f t="array" ref="M297">IFERROR(_xlfn.FILTERXML("&lt;t&gt;&lt;s&gt;" &amp; SUBSTITUTE(L297," / ","&lt;/s&gt;&lt;s&gt;") &amp; "&lt;/s&gt;&lt;/t&gt;","(//s[contains(.,'DDR')])[1]"),"")</f>
        <v/>
      </c>
      <c r="N297" s="32" t="e">
        <f t="shared" si="14"/>
        <v>#N/A</v>
      </c>
      <c r="O297" s="42" t="e">
        <f>INDEX(Input!$D$2:$AC$500,
       MATCH(B297, Input!$J$2:$J$500, 0),
       MATCH("Disk Interface Type", Input!$D$1:$AC$1, 0))</f>
        <v>#N/A</v>
      </c>
      <c r="P297" s="42" t="str" cm="1">
        <f t="array" ref="P297">IFERROR(_xlfn.TEXTJOIN(", ", TRUE, _xlfn._xlws.FILTER(
    INDEX(Input!$D$2:$AC$500,,MATCH("Disk Capacity",Input!$D$1:$AC$1,0)),
    Input!$J$2:$J$500=B297
)), "")</f>
        <v/>
      </c>
      <c r="Q297" s="32" t="e">
        <f t="shared" si="13"/>
        <v>#N/A</v>
      </c>
      <c r="R297" s="42" t="e">
        <f>_xlfn.LET(_xlpm.Result,INDEX(Input!$D$2:$AC$500,
       MATCH(B297, Input!$J$2:$J$500, 0),
       MATCH("Capacity", Input!$D$1:$AC$1, 0)),IF(_xlpm.Result="","",_xlpm.Result))</f>
        <v>#N/A</v>
      </c>
      <c r="S297" s="42" t="e" cm="1">
        <f t="array" ref="S297">_xlfn.TEXTSPLIT(R297," / ", ,TRUE,0,)</f>
        <v>#N/A</v>
      </c>
      <c r="T297" s="42"/>
      <c r="U297" s="42" t="str" cm="1">
        <f t="array" ref="U297">IFERROR(_xlfn.IFS(
S297="","",
--S297&lt;55,"Battery Defect",
--S297&lt;=69,"Battery D",
--S297&lt;=80,"Battery C",
--S297&gt;80,""
),"")</f>
        <v/>
      </c>
      <c r="V297" s="42" t="str" cm="1">
        <f t="array" ref="V297">IFERROR(_xlfn.IFS(
T297="","",
--T297&lt;55,"Battery Defect",
--T297&lt;=69,"Battery D",
--T297&lt;=80,"Battery C",
--T297&gt;80,""
),"")</f>
        <v/>
      </c>
      <c r="W297" s="42"/>
      <c r="X297" s="42"/>
      <c r="Y297" s="42"/>
      <c r="Z297" s="42"/>
      <c r="AA297" s="42"/>
      <c r="AB297" s="42"/>
      <c r="AC297" s="42"/>
      <c r="AD297" s="42"/>
      <c r="AE297" s="32" t="str">
        <f t="shared" si="12"/>
        <v/>
      </c>
      <c r="AF297" s="32"/>
      <c r="AG297" s="32"/>
      <c r="AH297" s="32"/>
      <c r="AI297" s="32"/>
      <c r="AJ297" s="32"/>
      <c r="AK297" s="32"/>
      <c r="AL297" s="32"/>
      <c r="AM297" s="32"/>
    </row>
    <row r="298" spans="1:39">
      <c r="A298" s="32" t="str">
        <f>_xlfn.XLOOKUP(B298,Input!J:J,Input!G:G)&amp;""</f>
        <v/>
      </c>
      <c r="B298" s="32"/>
      <c r="C298" s="32" t="str">
        <f>_xlfn.XLOOKUP(B298,Input!J:J,Input!H:H)&amp;""</f>
        <v/>
      </c>
      <c r="D298" s="42">
        <f>_xlfn.XLOOKUP(B298,Input!J:J,Input!F:F)</f>
        <v>0</v>
      </c>
      <c r="E298" s="32">
        <f>_xlfn.XLOOKUP(D298,Models!H:H,Models!G:G,D298)</f>
        <v>0</v>
      </c>
      <c r="F298" s="32">
        <f>_xlfn.XLOOKUP(B298,Input!J:J,Input!E:E)</f>
        <v>0</v>
      </c>
      <c r="G298" s="32">
        <f>IF(F298="LENOVO",_xlfn.XLOOKUP(B298,Input!J:J,Input!K:K),_xlfn.XLOOKUP(B298,Input!J:J,Input!L:L))</f>
        <v>0</v>
      </c>
      <c r="H298" s="32"/>
      <c r="I298" s="32"/>
      <c r="J298" s="32"/>
      <c r="K298" s="42" t="e">
        <f>INDEX(Input!$D$2:$AC$500,
       MATCH(B298, Input!$J$2:$J$500, 0),
       MATCH("Total Memory", Input!$D$1:$AC$1, 0))</f>
        <v>#N/A</v>
      </c>
      <c r="L298" s="42"/>
      <c r="M298" s="42" t="str" cm="1">
        <f t="array" ref="M298">IFERROR(_xlfn.FILTERXML("&lt;t&gt;&lt;s&gt;" &amp; SUBSTITUTE(L298," / ","&lt;/s&gt;&lt;s&gt;") &amp; "&lt;/s&gt;&lt;/t&gt;","(//s[contains(.,'DDR')])[1]"),"")</f>
        <v/>
      </c>
      <c r="N298" s="32" t="e">
        <f t="shared" si="14"/>
        <v>#N/A</v>
      </c>
      <c r="O298" s="42" t="e">
        <f>INDEX(Input!$D$2:$AC$500,
       MATCH(B298, Input!$J$2:$J$500, 0),
       MATCH("Disk Interface Type", Input!$D$1:$AC$1, 0))</f>
        <v>#N/A</v>
      </c>
      <c r="P298" s="42" t="str" cm="1">
        <f t="array" ref="P298">IFERROR(_xlfn.TEXTJOIN(", ", TRUE, _xlfn._xlws.FILTER(
    INDEX(Input!$D$2:$AC$500,,MATCH("Disk Capacity",Input!$D$1:$AC$1,0)),
    Input!$J$2:$J$500=B298
)), "")</f>
        <v/>
      </c>
      <c r="Q298" s="32" t="e">
        <f t="shared" si="13"/>
        <v>#N/A</v>
      </c>
      <c r="R298" s="42" t="e">
        <f>_xlfn.LET(_xlpm.Result,INDEX(Input!$D$2:$AC$500,
       MATCH(B298, Input!$J$2:$J$500, 0),
       MATCH("Capacity", Input!$D$1:$AC$1, 0)),IF(_xlpm.Result="","",_xlpm.Result))</f>
        <v>#N/A</v>
      </c>
      <c r="S298" s="42" t="e" cm="1">
        <f t="array" ref="S298">_xlfn.TEXTSPLIT(R298," / ", ,TRUE,0,)</f>
        <v>#N/A</v>
      </c>
      <c r="T298" s="42"/>
      <c r="U298" s="42" t="str" cm="1">
        <f t="array" ref="U298">IFERROR(_xlfn.IFS(
S298="","",
--S298&lt;55,"Battery Defect",
--S298&lt;=69,"Battery D",
--S298&lt;=80,"Battery C",
--S298&gt;80,""
),"")</f>
        <v/>
      </c>
      <c r="V298" s="42" t="str" cm="1">
        <f t="array" ref="V298">IFERROR(_xlfn.IFS(
T298="","",
--T298&lt;55,"Battery Defect",
--T298&lt;=69,"Battery D",
--T298&lt;=80,"Battery C",
--T298&gt;80,""
),"")</f>
        <v/>
      </c>
      <c r="W298" s="42"/>
      <c r="X298" s="42"/>
      <c r="Y298" s="42"/>
      <c r="Z298" s="42"/>
      <c r="AA298" s="42"/>
      <c r="AB298" s="42"/>
      <c r="AC298" s="42"/>
      <c r="AD298" s="42"/>
      <c r="AE298" s="32" t="str">
        <f t="shared" si="12"/>
        <v/>
      </c>
      <c r="AF298" s="32"/>
      <c r="AG298" s="32"/>
      <c r="AH298" s="32"/>
      <c r="AI298" s="32"/>
      <c r="AJ298" s="32"/>
      <c r="AK298" s="32"/>
      <c r="AL298" s="32"/>
      <c r="AM298" s="32"/>
    </row>
    <row r="299" spans="1:39">
      <c r="A299" s="32" t="str">
        <f>_xlfn.XLOOKUP(B299,Input!J:J,Input!G:G)&amp;""</f>
        <v/>
      </c>
      <c r="B299" s="32"/>
      <c r="C299" s="32" t="str">
        <f>_xlfn.XLOOKUP(B299,Input!J:J,Input!H:H)&amp;""</f>
        <v/>
      </c>
      <c r="D299" s="42">
        <f>_xlfn.XLOOKUP(B299,Input!J:J,Input!F:F)</f>
        <v>0</v>
      </c>
      <c r="E299" s="32">
        <f>_xlfn.XLOOKUP(D299,Models!H:H,Models!G:G,D299)</f>
        <v>0</v>
      </c>
      <c r="F299" s="32">
        <f>_xlfn.XLOOKUP(B299,Input!J:J,Input!E:E)</f>
        <v>0</v>
      </c>
      <c r="G299" s="32">
        <f>IF(F299="LENOVO",_xlfn.XLOOKUP(B299,Input!J:J,Input!K:K),_xlfn.XLOOKUP(B299,Input!J:J,Input!L:L))</f>
        <v>0</v>
      </c>
      <c r="H299" s="32"/>
      <c r="I299" s="32"/>
      <c r="J299" s="32"/>
      <c r="K299" s="42" t="e">
        <f>INDEX(Input!$D$2:$AC$500,
       MATCH(B299, Input!$J$2:$J$500, 0),
       MATCH("Total Memory", Input!$D$1:$AC$1, 0))</f>
        <v>#N/A</v>
      </c>
      <c r="L299" s="42"/>
      <c r="M299" s="42" t="str" cm="1">
        <f t="array" ref="M299">IFERROR(_xlfn.FILTERXML("&lt;t&gt;&lt;s&gt;" &amp; SUBSTITUTE(L299," / ","&lt;/s&gt;&lt;s&gt;") &amp; "&lt;/s&gt;&lt;/t&gt;","(//s[contains(.,'DDR')])[1]"),"")</f>
        <v/>
      </c>
      <c r="N299" s="32" t="e">
        <f t="shared" si="14"/>
        <v>#N/A</v>
      </c>
      <c r="O299" s="42" t="e">
        <f>INDEX(Input!$D$2:$AC$500,
       MATCH(B299, Input!$J$2:$J$500, 0),
       MATCH("Disk Interface Type", Input!$D$1:$AC$1, 0))</f>
        <v>#N/A</v>
      </c>
      <c r="P299" s="42" t="str" cm="1">
        <f t="array" ref="P299">IFERROR(_xlfn.TEXTJOIN(", ", TRUE, _xlfn._xlws.FILTER(
    INDEX(Input!$D$2:$AC$500,,MATCH("Disk Capacity",Input!$D$1:$AC$1,0)),
    Input!$J$2:$J$500=B299
)), "")</f>
        <v/>
      </c>
      <c r="Q299" s="32" t="e">
        <f t="shared" si="13"/>
        <v>#N/A</v>
      </c>
      <c r="R299" s="42" t="e">
        <f>_xlfn.LET(_xlpm.Result,INDEX(Input!$D$2:$AC$500,
       MATCH(B299, Input!$J$2:$J$500, 0),
       MATCH("Capacity", Input!$D$1:$AC$1, 0)),IF(_xlpm.Result="","",_xlpm.Result))</f>
        <v>#N/A</v>
      </c>
      <c r="S299" s="42" t="e" cm="1">
        <f t="array" ref="S299">_xlfn.TEXTSPLIT(R299," / ", ,TRUE,0,)</f>
        <v>#N/A</v>
      </c>
      <c r="T299" s="42"/>
      <c r="U299" s="42" t="str" cm="1">
        <f t="array" ref="U299">IFERROR(_xlfn.IFS(
S299="","",
--S299&lt;55,"Battery Defect",
--S299&lt;=69,"Battery D",
--S299&lt;=80,"Battery C",
--S299&gt;80,""
),"")</f>
        <v/>
      </c>
      <c r="V299" s="42" t="str" cm="1">
        <f t="array" ref="V299">IFERROR(_xlfn.IFS(
T299="","",
--T299&lt;55,"Battery Defect",
--T299&lt;=69,"Battery D",
--T299&lt;=80,"Battery C",
--T299&gt;80,""
),"")</f>
        <v/>
      </c>
      <c r="W299" s="42"/>
      <c r="X299" s="42"/>
      <c r="Y299" s="42"/>
      <c r="Z299" s="42"/>
      <c r="AA299" s="42"/>
      <c r="AB299" s="42"/>
      <c r="AC299" s="42"/>
      <c r="AD299" s="42"/>
      <c r="AE299" s="32" t="str">
        <f t="shared" si="12"/>
        <v/>
      </c>
      <c r="AF299" s="32"/>
      <c r="AG299" s="32"/>
      <c r="AH299" s="32"/>
      <c r="AI299" s="32"/>
      <c r="AJ299" s="32"/>
      <c r="AK299" s="32"/>
      <c r="AL299" s="32"/>
      <c r="AM299" s="32"/>
    </row>
    <row r="300" spans="1:39">
      <c r="A300" s="32" t="str">
        <f>_xlfn.XLOOKUP(B300,Input!J:J,Input!G:G)&amp;""</f>
        <v/>
      </c>
      <c r="B300" s="32"/>
      <c r="C300" s="32" t="str">
        <f>_xlfn.XLOOKUP(B300,Input!J:J,Input!H:H)&amp;""</f>
        <v/>
      </c>
      <c r="D300" s="42">
        <f>_xlfn.XLOOKUP(B300,Input!J:J,Input!F:F)</f>
        <v>0</v>
      </c>
      <c r="E300" s="32">
        <f>_xlfn.XLOOKUP(D300,Models!H:H,Models!G:G,D300)</f>
        <v>0</v>
      </c>
      <c r="F300" s="32">
        <f>_xlfn.XLOOKUP(B300,Input!J:J,Input!E:E)</f>
        <v>0</v>
      </c>
      <c r="G300" s="32">
        <f>IF(F300="LENOVO",_xlfn.XLOOKUP(B300,Input!J:J,Input!K:K),_xlfn.XLOOKUP(B300,Input!J:J,Input!L:L))</f>
        <v>0</v>
      </c>
      <c r="H300" s="32"/>
      <c r="I300" s="32"/>
      <c r="J300" s="32"/>
      <c r="K300" s="42" t="e">
        <f>INDEX(Input!$D$2:$AC$500,
       MATCH(B300, Input!$J$2:$J$500, 0),
       MATCH("Total Memory", Input!$D$1:$AC$1, 0))</f>
        <v>#N/A</v>
      </c>
      <c r="L300" s="42"/>
      <c r="M300" s="42" t="str" cm="1">
        <f t="array" ref="M300">IFERROR(_xlfn.FILTERXML("&lt;t&gt;&lt;s&gt;" &amp; SUBSTITUTE(L300," / ","&lt;/s&gt;&lt;s&gt;") &amp; "&lt;/s&gt;&lt;/t&gt;","(//s[contains(.,'DDR')])[1]"),"")</f>
        <v/>
      </c>
      <c r="N300" s="32" t="e">
        <f t="shared" si="14"/>
        <v>#N/A</v>
      </c>
      <c r="O300" s="42" t="e">
        <f>INDEX(Input!$D$2:$AC$500,
       MATCH(B300, Input!$J$2:$J$500, 0),
       MATCH("Disk Interface Type", Input!$D$1:$AC$1, 0))</f>
        <v>#N/A</v>
      </c>
      <c r="P300" s="42" t="str" cm="1">
        <f t="array" ref="P300">IFERROR(_xlfn.TEXTJOIN(", ", TRUE, _xlfn._xlws.FILTER(
    INDEX(Input!$D$2:$AC$500,,MATCH("Disk Capacity",Input!$D$1:$AC$1,0)),
    Input!$J$2:$J$500=B300
)), "")</f>
        <v/>
      </c>
      <c r="Q300" s="32" t="e">
        <f t="shared" si="13"/>
        <v>#N/A</v>
      </c>
      <c r="R300" s="42" t="e">
        <f>_xlfn.LET(_xlpm.Result,INDEX(Input!$D$2:$AC$500,
       MATCH(B300, Input!$J$2:$J$500, 0),
       MATCH("Capacity", Input!$D$1:$AC$1, 0)),IF(_xlpm.Result="","",_xlpm.Result))</f>
        <v>#N/A</v>
      </c>
      <c r="S300" s="42" t="e" cm="1">
        <f t="array" ref="S300">_xlfn.TEXTSPLIT(R300," / ", ,TRUE,0,)</f>
        <v>#N/A</v>
      </c>
      <c r="T300" s="42"/>
      <c r="U300" s="42" t="str" cm="1">
        <f t="array" ref="U300">IFERROR(_xlfn.IFS(
S300="","",
--S300&lt;55,"Battery Defect",
--S300&lt;=69,"Battery D",
--S300&lt;=80,"Battery C",
--S300&gt;80,""
),"")</f>
        <v/>
      </c>
      <c r="V300" s="42" t="str" cm="1">
        <f t="array" ref="V300">IFERROR(_xlfn.IFS(
T300="","",
--T300&lt;55,"Battery Defect",
--T300&lt;=69,"Battery D",
--T300&lt;=80,"Battery C",
--T300&gt;80,""
),"")</f>
        <v/>
      </c>
      <c r="W300" s="42"/>
      <c r="X300" s="42"/>
      <c r="Y300" s="42"/>
      <c r="Z300" s="42"/>
      <c r="AA300" s="42"/>
      <c r="AB300" s="42"/>
      <c r="AC300" s="42"/>
      <c r="AD300" s="42"/>
      <c r="AE300" s="32" t="str">
        <f t="shared" si="12"/>
        <v/>
      </c>
      <c r="AF300" s="32"/>
      <c r="AG300" s="32"/>
      <c r="AH300" s="32"/>
      <c r="AI300" s="32"/>
      <c r="AJ300" s="32"/>
      <c r="AK300" s="32"/>
      <c r="AL300" s="32"/>
      <c r="AM300" s="32"/>
    </row>
    <row r="301" spans="1:39">
      <c r="A301" s="32" t="str">
        <f>_xlfn.XLOOKUP(B301,Input!J:J,Input!G:G)&amp;""</f>
        <v/>
      </c>
      <c r="B301" s="32"/>
      <c r="C301" s="32" t="str">
        <f>_xlfn.XLOOKUP(B301,Input!J:J,Input!H:H)&amp;""</f>
        <v/>
      </c>
      <c r="D301" s="42">
        <f>_xlfn.XLOOKUP(B301,Input!J:J,Input!F:F)</f>
        <v>0</v>
      </c>
      <c r="E301" s="32">
        <f>_xlfn.XLOOKUP(D301,Models!H:H,Models!G:G,D301)</f>
        <v>0</v>
      </c>
      <c r="F301" s="32">
        <f>_xlfn.XLOOKUP(B301,Input!J:J,Input!E:E)</f>
        <v>0</v>
      </c>
      <c r="G301" s="32">
        <f>IF(F301="LENOVO",_xlfn.XLOOKUP(B301,Input!J:J,Input!K:K),_xlfn.XLOOKUP(B301,Input!J:J,Input!L:L))</f>
        <v>0</v>
      </c>
      <c r="H301" s="32"/>
      <c r="I301" s="32"/>
      <c r="J301" s="32"/>
      <c r="K301" s="42" t="e">
        <f>INDEX(Input!$D$2:$AC$500,
       MATCH(B301, Input!$J$2:$J$500, 0),
       MATCH("Total Memory", Input!$D$1:$AC$1, 0))</f>
        <v>#N/A</v>
      </c>
      <c r="L301" s="42"/>
      <c r="M301" s="42" t="str" cm="1">
        <f t="array" ref="M301">IFERROR(_xlfn.FILTERXML("&lt;t&gt;&lt;s&gt;" &amp; SUBSTITUTE(L301," / ","&lt;/s&gt;&lt;s&gt;") &amp; "&lt;/s&gt;&lt;/t&gt;","(//s[contains(.,'DDR')])[1]"),"")</f>
        <v/>
      </c>
      <c r="N301" s="32" t="e">
        <f t="shared" si="14"/>
        <v>#N/A</v>
      </c>
      <c r="O301" s="42" t="e">
        <f>INDEX(Input!$D$2:$AC$500,
       MATCH(B301, Input!$J$2:$J$500, 0),
       MATCH("Disk Interface Type", Input!$D$1:$AC$1, 0))</f>
        <v>#N/A</v>
      </c>
      <c r="P301" s="42" t="str" cm="1">
        <f t="array" ref="P301">IFERROR(_xlfn.TEXTJOIN(", ", TRUE, _xlfn._xlws.FILTER(
    INDEX(Input!$D$2:$AC$500,,MATCH("Disk Capacity",Input!$D$1:$AC$1,0)),
    Input!$J$2:$J$500=B301
)), "")</f>
        <v/>
      </c>
      <c r="Q301" s="32" t="e">
        <f t="shared" si="13"/>
        <v>#N/A</v>
      </c>
      <c r="R301" s="42" t="e">
        <f>_xlfn.LET(_xlpm.Result,INDEX(Input!$D$2:$AC$500,
       MATCH(B301, Input!$J$2:$J$500, 0),
       MATCH("Capacity", Input!$D$1:$AC$1, 0)),IF(_xlpm.Result="","",_xlpm.Result))</f>
        <v>#N/A</v>
      </c>
      <c r="S301" s="42" t="e" cm="1">
        <f t="array" ref="S301">_xlfn.TEXTSPLIT(R301," / ", ,TRUE,0,)</f>
        <v>#N/A</v>
      </c>
      <c r="T301" s="42"/>
      <c r="U301" s="42" t="str" cm="1">
        <f t="array" ref="U301">IFERROR(_xlfn.IFS(
S301="","",
--S301&lt;55,"Battery Defect",
--S301&lt;=69,"Battery D",
--S301&lt;=80,"Battery C",
--S301&gt;80,""
),"")</f>
        <v/>
      </c>
      <c r="V301" s="42" t="str" cm="1">
        <f t="array" ref="V301">IFERROR(_xlfn.IFS(
T301="","",
--T301&lt;55,"Battery Defect",
--T301&lt;=69,"Battery D",
--T301&lt;=80,"Battery C",
--T301&gt;80,""
),"")</f>
        <v/>
      </c>
      <c r="W301" s="42"/>
      <c r="X301" s="42"/>
      <c r="Y301" s="42"/>
      <c r="Z301" s="42"/>
      <c r="AA301" s="42"/>
      <c r="AB301" s="42"/>
      <c r="AC301" s="42"/>
      <c r="AD301" s="42"/>
      <c r="AE301" s="32" t="str">
        <f t="shared" si="12"/>
        <v/>
      </c>
      <c r="AF301" s="32"/>
      <c r="AG301" s="32"/>
      <c r="AH301" s="32"/>
      <c r="AI301" s="32"/>
      <c r="AJ301" s="32"/>
      <c r="AK301" s="32"/>
      <c r="AL301" s="32"/>
      <c r="AM301" s="32"/>
    </row>
    <row r="302" spans="1:39">
      <c r="A302" s="32" t="str">
        <f>_xlfn.XLOOKUP(B302,Input!J:J,Input!G:G)&amp;""</f>
        <v/>
      </c>
      <c r="B302" s="32"/>
      <c r="C302" s="32" t="str">
        <f>_xlfn.XLOOKUP(B302,Input!J:J,Input!H:H)&amp;""</f>
        <v/>
      </c>
      <c r="D302" s="42">
        <f>_xlfn.XLOOKUP(B302,Input!J:J,Input!F:F)</f>
        <v>0</v>
      </c>
      <c r="E302" s="32">
        <f>_xlfn.XLOOKUP(D302,Models!H:H,Models!G:G,D302)</f>
        <v>0</v>
      </c>
      <c r="F302" s="32">
        <f>_xlfn.XLOOKUP(B302,Input!J:J,Input!E:E)</f>
        <v>0</v>
      </c>
      <c r="G302" s="32">
        <f>IF(F302="LENOVO",_xlfn.XLOOKUP(B302,Input!J:J,Input!K:K),_xlfn.XLOOKUP(B302,Input!J:J,Input!L:L))</f>
        <v>0</v>
      </c>
      <c r="H302" s="32"/>
      <c r="I302" s="32"/>
      <c r="J302" s="32"/>
      <c r="K302" s="42" t="e">
        <f>INDEX(Input!$D$2:$AC$500,
       MATCH(B302, Input!$J$2:$J$500, 0),
       MATCH("Total Memory", Input!$D$1:$AC$1, 0))</f>
        <v>#N/A</v>
      </c>
      <c r="L302" s="42"/>
      <c r="M302" s="42" t="str" cm="1">
        <f t="array" ref="M302">IFERROR(_xlfn.FILTERXML("&lt;t&gt;&lt;s&gt;" &amp; SUBSTITUTE(L302," / ","&lt;/s&gt;&lt;s&gt;") &amp; "&lt;/s&gt;&lt;/t&gt;","(//s[contains(.,'DDR')])[1]"),"")</f>
        <v/>
      </c>
      <c r="N302" s="32" t="e">
        <f t="shared" si="14"/>
        <v>#N/A</v>
      </c>
      <c r="O302" s="42" t="e">
        <f>INDEX(Input!$D$2:$AC$500,
       MATCH(B302, Input!$J$2:$J$500, 0),
       MATCH("Disk Interface Type", Input!$D$1:$AC$1, 0))</f>
        <v>#N/A</v>
      </c>
      <c r="P302" s="42" t="str" cm="1">
        <f t="array" ref="P302">IFERROR(_xlfn.TEXTJOIN(", ", TRUE, _xlfn._xlws.FILTER(
    INDEX(Input!$D$2:$AC$500,,MATCH("Disk Capacity",Input!$D$1:$AC$1,0)),
    Input!$J$2:$J$500=B302
)), "")</f>
        <v/>
      </c>
      <c r="Q302" s="32" t="e">
        <f t="shared" si="13"/>
        <v>#N/A</v>
      </c>
      <c r="R302" s="42" t="e">
        <f>_xlfn.LET(_xlpm.Result,INDEX(Input!$D$2:$AC$500,
       MATCH(B302, Input!$J$2:$J$500, 0),
       MATCH("Capacity", Input!$D$1:$AC$1, 0)),IF(_xlpm.Result="","",_xlpm.Result))</f>
        <v>#N/A</v>
      </c>
      <c r="S302" s="42" t="e" cm="1">
        <f t="array" ref="S302">_xlfn.TEXTSPLIT(R302," / ", ,TRUE,0,)</f>
        <v>#N/A</v>
      </c>
      <c r="T302" s="42"/>
      <c r="U302" s="42" t="str" cm="1">
        <f t="array" ref="U302">IFERROR(_xlfn.IFS(
S302="","",
--S302&lt;55,"Battery Defect",
--S302&lt;=69,"Battery D",
--S302&lt;=80,"Battery C",
--S302&gt;80,""
),"")</f>
        <v/>
      </c>
      <c r="V302" s="42" t="str" cm="1">
        <f t="array" ref="V302">IFERROR(_xlfn.IFS(
T302="","",
--T302&lt;55,"Battery Defect",
--T302&lt;=69,"Battery D",
--T302&lt;=80,"Battery C",
--T302&gt;80,""
),"")</f>
        <v/>
      </c>
      <c r="W302" s="42"/>
      <c r="X302" s="42"/>
      <c r="Y302" s="42"/>
      <c r="Z302" s="42"/>
      <c r="AA302" s="42"/>
      <c r="AB302" s="42"/>
      <c r="AC302" s="42"/>
      <c r="AD302" s="42"/>
      <c r="AE302" s="32" t="str">
        <f t="shared" si="12"/>
        <v/>
      </c>
      <c r="AF302" s="32"/>
      <c r="AG302" s="32"/>
      <c r="AH302" s="32"/>
      <c r="AI302" s="32"/>
      <c r="AJ302" s="32"/>
      <c r="AK302" s="32"/>
      <c r="AL302" s="32"/>
      <c r="AM302" s="32"/>
    </row>
    <row r="303" spans="1:39">
      <c r="A303" s="32" t="str">
        <f>_xlfn.XLOOKUP(B303,Input!J:J,Input!G:G)&amp;""</f>
        <v/>
      </c>
      <c r="B303" s="32"/>
      <c r="C303" s="32" t="str">
        <f>_xlfn.XLOOKUP(B303,Input!J:J,Input!H:H)&amp;""</f>
        <v/>
      </c>
      <c r="D303" s="42">
        <f>_xlfn.XLOOKUP(B303,Input!J:J,Input!F:F)</f>
        <v>0</v>
      </c>
      <c r="E303" s="32">
        <f>_xlfn.XLOOKUP(D303,Models!H:H,Models!G:G,D303)</f>
        <v>0</v>
      </c>
      <c r="F303" s="32">
        <f>_xlfn.XLOOKUP(B303,Input!J:J,Input!E:E)</f>
        <v>0</v>
      </c>
      <c r="G303" s="32">
        <f>IF(F303="LENOVO",_xlfn.XLOOKUP(B303,Input!J:J,Input!K:K),_xlfn.XLOOKUP(B303,Input!J:J,Input!L:L))</f>
        <v>0</v>
      </c>
      <c r="H303" s="32"/>
      <c r="I303" s="32"/>
      <c r="J303" s="32"/>
      <c r="K303" s="42" t="e">
        <f>INDEX(Input!$D$2:$AC$500,
       MATCH(B303, Input!$J$2:$J$500, 0),
       MATCH("Total Memory", Input!$D$1:$AC$1, 0))</f>
        <v>#N/A</v>
      </c>
      <c r="L303" s="42"/>
      <c r="M303" s="42" t="str" cm="1">
        <f t="array" ref="M303">IFERROR(_xlfn.FILTERXML("&lt;t&gt;&lt;s&gt;" &amp; SUBSTITUTE(L303," / ","&lt;/s&gt;&lt;s&gt;") &amp; "&lt;/s&gt;&lt;/t&gt;","(//s[contains(.,'DDR')])[1]"),"")</f>
        <v/>
      </c>
      <c r="N303" s="32" t="e">
        <f t="shared" si="14"/>
        <v>#N/A</v>
      </c>
      <c r="O303" s="42" t="e">
        <f>INDEX(Input!$D$2:$AC$500,
       MATCH(B303, Input!$J$2:$J$500, 0),
       MATCH("Disk Interface Type", Input!$D$1:$AC$1, 0))</f>
        <v>#N/A</v>
      </c>
      <c r="P303" s="42" t="str" cm="1">
        <f t="array" ref="P303">IFERROR(_xlfn.TEXTJOIN(", ", TRUE, _xlfn._xlws.FILTER(
    INDEX(Input!$D$2:$AC$500,,MATCH("Disk Capacity",Input!$D$1:$AC$1,0)),
    Input!$J$2:$J$500=B303
)), "")</f>
        <v/>
      </c>
      <c r="Q303" s="32" t="e">
        <f t="shared" si="13"/>
        <v>#N/A</v>
      </c>
      <c r="R303" s="42" t="e">
        <f>_xlfn.LET(_xlpm.Result,INDEX(Input!$D$2:$AC$500,
       MATCH(B303, Input!$J$2:$J$500, 0),
       MATCH("Capacity", Input!$D$1:$AC$1, 0)),IF(_xlpm.Result="","",_xlpm.Result))</f>
        <v>#N/A</v>
      </c>
      <c r="S303" s="42" t="e" cm="1">
        <f t="array" ref="S303">_xlfn.TEXTSPLIT(R303," / ", ,TRUE,0,)</f>
        <v>#N/A</v>
      </c>
      <c r="T303" s="42"/>
      <c r="U303" s="42" t="str" cm="1">
        <f t="array" ref="U303">IFERROR(_xlfn.IFS(
S303="","",
--S303&lt;55,"Battery Defect",
--S303&lt;=69,"Battery D",
--S303&lt;=80,"Battery C",
--S303&gt;80,""
),"")</f>
        <v/>
      </c>
      <c r="V303" s="42" t="str" cm="1">
        <f t="array" ref="V303">IFERROR(_xlfn.IFS(
T303="","",
--T303&lt;55,"Battery Defect",
--T303&lt;=69,"Battery D",
--T303&lt;=80,"Battery C",
--T303&gt;80,""
),"")</f>
        <v/>
      </c>
      <c r="W303" s="42"/>
      <c r="X303" s="42"/>
      <c r="Y303" s="42"/>
      <c r="Z303" s="42"/>
      <c r="AA303" s="42"/>
      <c r="AB303" s="42"/>
      <c r="AC303" s="42"/>
      <c r="AD303" s="42"/>
      <c r="AE303" s="32" t="str">
        <f t="shared" si="12"/>
        <v/>
      </c>
      <c r="AF303" s="32"/>
      <c r="AG303" s="32"/>
      <c r="AH303" s="32"/>
      <c r="AI303" s="32"/>
      <c r="AJ303" s="32"/>
      <c r="AK303" s="32"/>
      <c r="AL303" s="32"/>
      <c r="AM303" s="32"/>
    </row>
    <row r="304" spans="1:39">
      <c r="A304" s="32" t="str">
        <f>_xlfn.XLOOKUP(B304,Input!J:J,Input!G:G)&amp;""</f>
        <v/>
      </c>
      <c r="B304" s="32"/>
      <c r="C304" s="32" t="str">
        <f>_xlfn.XLOOKUP(B304,Input!J:J,Input!H:H)&amp;""</f>
        <v/>
      </c>
      <c r="D304" s="42">
        <f>_xlfn.XLOOKUP(B304,Input!J:J,Input!F:F)</f>
        <v>0</v>
      </c>
      <c r="E304" s="32">
        <f>_xlfn.XLOOKUP(D304,Models!H:H,Models!G:G,D304)</f>
        <v>0</v>
      </c>
      <c r="F304" s="32">
        <f>_xlfn.XLOOKUP(B304,Input!J:J,Input!E:E)</f>
        <v>0</v>
      </c>
      <c r="G304" s="32">
        <f>IF(F304="LENOVO",_xlfn.XLOOKUP(B304,Input!J:J,Input!K:K),_xlfn.XLOOKUP(B304,Input!J:J,Input!L:L))</f>
        <v>0</v>
      </c>
      <c r="H304" s="32"/>
      <c r="I304" s="32"/>
      <c r="J304" s="32"/>
      <c r="K304" s="42" t="e">
        <f>INDEX(Input!$D$2:$AC$500,
       MATCH(B304, Input!$J$2:$J$500, 0),
       MATCH("Total Memory", Input!$D$1:$AC$1, 0))</f>
        <v>#N/A</v>
      </c>
      <c r="L304" s="42"/>
      <c r="M304" s="42" t="str" cm="1">
        <f t="array" ref="M304">IFERROR(_xlfn.FILTERXML("&lt;t&gt;&lt;s&gt;" &amp; SUBSTITUTE(L304," / ","&lt;/s&gt;&lt;s&gt;") &amp; "&lt;/s&gt;&lt;/t&gt;","(//s[contains(.,'DDR')])[1]"),"")</f>
        <v/>
      </c>
      <c r="N304" s="32" t="e">
        <f t="shared" si="14"/>
        <v>#N/A</v>
      </c>
      <c r="O304" s="42" t="e">
        <f>INDEX(Input!$D$2:$AC$500,
       MATCH(B304, Input!$J$2:$J$500, 0),
       MATCH("Disk Interface Type", Input!$D$1:$AC$1, 0))</f>
        <v>#N/A</v>
      </c>
      <c r="P304" s="42" t="str" cm="1">
        <f t="array" ref="P304">IFERROR(_xlfn.TEXTJOIN(", ", TRUE, _xlfn._xlws.FILTER(
    INDEX(Input!$D$2:$AC$500,,MATCH("Disk Capacity",Input!$D$1:$AC$1,0)),
    Input!$J$2:$J$500=B304
)), "")</f>
        <v/>
      </c>
      <c r="Q304" s="32" t="e">
        <f t="shared" si="13"/>
        <v>#N/A</v>
      </c>
      <c r="R304" s="42" t="e">
        <f>_xlfn.LET(_xlpm.Result,INDEX(Input!$D$2:$AC$500,
       MATCH(B304, Input!$J$2:$J$500, 0),
       MATCH("Capacity", Input!$D$1:$AC$1, 0)),IF(_xlpm.Result="","",_xlpm.Result))</f>
        <v>#N/A</v>
      </c>
      <c r="S304" s="42" t="e" cm="1">
        <f t="array" ref="S304">_xlfn.TEXTSPLIT(R304," / ", ,TRUE,0,)</f>
        <v>#N/A</v>
      </c>
      <c r="T304" s="42"/>
      <c r="U304" s="42" t="str" cm="1">
        <f t="array" ref="U304">IFERROR(_xlfn.IFS(
S304="","",
--S304&lt;55,"Battery Defect",
--S304&lt;=69,"Battery D",
--S304&lt;=80,"Battery C",
--S304&gt;80,""
),"")</f>
        <v/>
      </c>
      <c r="V304" s="42" t="str" cm="1">
        <f t="array" ref="V304">IFERROR(_xlfn.IFS(
T304="","",
--T304&lt;55,"Battery Defect",
--T304&lt;=69,"Battery D",
--T304&lt;=80,"Battery C",
--T304&gt;80,""
),"")</f>
        <v/>
      </c>
      <c r="W304" s="42"/>
      <c r="X304" s="42"/>
      <c r="Y304" s="42"/>
      <c r="Z304" s="42"/>
      <c r="AA304" s="42"/>
      <c r="AB304" s="42"/>
      <c r="AC304" s="42"/>
      <c r="AD304" s="42"/>
      <c r="AE304" s="32" t="str">
        <f t="shared" si="12"/>
        <v/>
      </c>
      <c r="AF304" s="32"/>
      <c r="AG304" s="32"/>
      <c r="AH304" s="32"/>
      <c r="AI304" s="32"/>
      <c r="AJ304" s="32"/>
      <c r="AK304" s="32"/>
      <c r="AL304" s="32"/>
      <c r="AM304" s="32"/>
    </row>
    <row r="305" spans="1:39">
      <c r="A305" s="32" t="str">
        <f>_xlfn.XLOOKUP(B305,Input!J:J,Input!G:G)&amp;""</f>
        <v/>
      </c>
      <c r="B305" s="32"/>
      <c r="C305" s="32" t="str">
        <f>_xlfn.XLOOKUP(B305,Input!J:J,Input!H:H)&amp;""</f>
        <v/>
      </c>
      <c r="D305" s="42">
        <f>_xlfn.XLOOKUP(B305,Input!J:J,Input!F:F)</f>
        <v>0</v>
      </c>
      <c r="E305" s="32">
        <f>_xlfn.XLOOKUP(D305,Models!H:H,Models!G:G,D305)</f>
        <v>0</v>
      </c>
      <c r="F305" s="32">
        <f>_xlfn.XLOOKUP(B305,Input!J:J,Input!E:E)</f>
        <v>0</v>
      </c>
      <c r="G305" s="32">
        <f>IF(F305="LENOVO",_xlfn.XLOOKUP(B305,Input!J:J,Input!K:K),_xlfn.XLOOKUP(B305,Input!J:J,Input!L:L))</f>
        <v>0</v>
      </c>
      <c r="H305" s="32"/>
      <c r="I305" s="32"/>
      <c r="J305" s="32"/>
      <c r="K305" s="42" t="e">
        <f>INDEX(Input!$D$2:$AC$500,
       MATCH(B305, Input!$J$2:$J$500, 0),
       MATCH("Total Memory", Input!$D$1:$AC$1, 0))</f>
        <v>#N/A</v>
      </c>
      <c r="L305" s="42"/>
      <c r="M305" s="42" t="str" cm="1">
        <f t="array" ref="M305">IFERROR(_xlfn.FILTERXML("&lt;t&gt;&lt;s&gt;" &amp; SUBSTITUTE(L305," / ","&lt;/s&gt;&lt;s&gt;") &amp; "&lt;/s&gt;&lt;/t&gt;","(//s[contains(.,'DDR')])[1]"),"")</f>
        <v/>
      </c>
      <c r="N305" s="32" t="e">
        <f t="shared" si="14"/>
        <v>#N/A</v>
      </c>
      <c r="O305" s="42" t="e">
        <f>INDEX(Input!$D$2:$AC$500,
       MATCH(B305, Input!$J$2:$J$500, 0),
       MATCH("Disk Interface Type", Input!$D$1:$AC$1, 0))</f>
        <v>#N/A</v>
      </c>
      <c r="P305" s="42" t="str" cm="1">
        <f t="array" ref="P305">IFERROR(_xlfn.TEXTJOIN(", ", TRUE, _xlfn._xlws.FILTER(
    INDEX(Input!$D$2:$AC$500,,MATCH("Disk Capacity",Input!$D$1:$AC$1,0)),
    Input!$J$2:$J$500=B305
)), "")</f>
        <v/>
      </c>
      <c r="Q305" s="32" t="e">
        <f t="shared" si="13"/>
        <v>#N/A</v>
      </c>
      <c r="R305" s="42" t="e">
        <f>_xlfn.LET(_xlpm.Result,INDEX(Input!$D$2:$AC$500,
       MATCH(B305, Input!$J$2:$J$500, 0),
       MATCH("Capacity", Input!$D$1:$AC$1, 0)),IF(_xlpm.Result="","",_xlpm.Result))</f>
        <v>#N/A</v>
      </c>
      <c r="S305" s="42" t="e" cm="1">
        <f t="array" ref="S305">_xlfn.TEXTSPLIT(R305," / ", ,TRUE,0,)</f>
        <v>#N/A</v>
      </c>
      <c r="T305" s="42"/>
      <c r="U305" s="42" t="str" cm="1">
        <f t="array" ref="U305">IFERROR(_xlfn.IFS(
S305="","",
--S305&lt;55,"Battery Defect",
--S305&lt;=69,"Battery D",
--S305&lt;=80,"Battery C",
--S305&gt;80,""
),"")</f>
        <v/>
      </c>
      <c r="V305" s="42" t="str" cm="1">
        <f t="array" ref="V305">IFERROR(_xlfn.IFS(
T305="","",
--T305&lt;55,"Battery Defect",
--T305&lt;=69,"Battery D",
--T305&lt;=80,"Battery C",
--T305&gt;80,""
),"")</f>
        <v/>
      </c>
      <c r="W305" s="42"/>
      <c r="X305" s="42"/>
      <c r="Y305" s="42"/>
      <c r="Z305" s="42"/>
      <c r="AA305" s="42"/>
      <c r="AB305" s="42"/>
      <c r="AC305" s="42"/>
      <c r="AD305" s="42"/>
      <c r="AE305" s="32" t="str">
        <f t="shared" si="12"/>
        <v/>
      </c>
      <c r="AF305" s="32"/>
      <c r="AG305" s="32"/>
      <c r="AH305" s="32"/>
      <c r="AI305" s="32"/>
      <c r="AJ305" s="32"/>
      <c r="AK305" s="32"/>
      <c r="AL305" s="32"/>
      <c r="AM305" s="32"/>
    </row>
    <row r="306" spans="1:39">
      <c r="A306" s="32" t="str">
        <f>_xlfn.XLOOKUP(B306,Input!J:J,Input!G:G)&amp;""</f>
        <v/>
      </c>
      <c r="B306" s="32"/>
      <c r="C306" s="32" t="str">
        <f>_xlfn.XLOOKUP(B306,Input!J:J,Input!H:H)&amp;""</f>
        <v/>
      </c>
      <c r="D306" s="42">
        <f>_xlfn.XLOOKUP(B306,Input!J:J,Input!F:F)</f>
        <v>0</v>
      </c>
      <c r="E306" s="32">
        <f>_xlfn.XLOOKUP(D306,Models!H:H,Models!G:G,D306)</f>
        <v>0</v>
      </c>
      <c r="F306" s="32">
        <f>_xlfn.XLOOKUP(B306,Input!J:J,Input!E:E)</f>
        <v>0</v>
      </c>
      <c r="G306" s="32">
        <f>IF(F306="LENOVO",_xlfn.XLOOKUP(B306,Input!J:J,Input!K:K),_xlfn.XLOOKUP(B306,Input!J:J,Input!L:L))</f>
        <v>0</v>
      </c>
      <c r="H306" s="32"/>
      <c r="I306" s="32"/>
      <c r="J306" s="32"/>
      <c r="K306" s="42" t="e">
        <f>INDEX(Input!$D$2:$AC$500,
       MATCH(B306, Input!$J$2:$J$500, 0),
       MATCH("Total Memory", Input!$D$1:$AC$1, 0))</f>
        <v>#N/A</v>
      </c>
      <c r="L306" s="42"/>
      <c r="M306" s="42" t="str" cm="1">
        <f t="array" ref="M306">IFERROR(_xlfn.FILTERXML("&lt;t&gt;&lt;s&gt;" &amp; SUBSTITUTE(L306," / ","&lt;/s&gt;&lt;s&gt;") &amp; "&lt;/s&gt;&lt;/t&gt;","(//s[contains(.,'DDR')])[1]"),"")</f>
        <v/>
      </c>
      <c r="N306" s="32" t="e">
        <f t="shared" si="14"/>
        <v>#N/A</v>
      </c>
      <c r="O306" s="42" t="e">
        <f>INDEX(Input!$D$2:$AC$500,
       MATCH(B306, Input!$J$2:$J$500, 0),
       MATCH("Disk Interface Type", Input!$D$1:$AC$1, 0))</f>
        <v>#N/A</v>
      </c>
      <c r="P306" s="42" t="str" cm="1">
        <f t="array" ref="P306">IFERROR(_xlfn.TEXTJOIN(", ", TRUE, _xlfn._xlws.FILTER(
    INDEX(Input!$D$2:$AC$500,,MATCH("Disk Capacity",Input!$D$1:$AC$1,0)),
    Input!$J$2:$J$500=B306
)), "")</f>
        <v/>
      </c>
      <c r="Q306" s="32" t="e">
        <f t="shared" si="13"/>
        <v>#N/A</v>
      </c>
      <c r="R306" s="42" t="e">
        <f>_xlfn.LET(_xlpm.Result,INDEX(Input!$D$2:$AC$500,
       MATCH(B306, Input!$J$2:$J$500, 0),
       MATCH("Capacity", Input!$D$1:$AC$1, 0)),IF(_xlpm.Result="","",_xlpm.Result))</f>
        <v>#N/A</v>
      </c>
      <c r="S306" s="42" t="e" cm="1">
        <f t="array" ref="S306">_xlfn.TEXTSPLIT(R306," / ", ,TRUE,0,)</f>
        <v>#N/A</v>
      </c>
      <c r="T306" s="42"/>
      <c r="U306" s="42" t="str" cm="1">
        <f t="array" ref="U306">IFERROR(_xlfn.IFS(
S306="","",
--S306&lt;55,"Battery Defect",
--S306&lt;=69,"Battery D",
--S306&lt;=80,"Battery C",
--S306&gt;80,""
),"")</f>
        <v/>
      </c>
      <c r="V306" s="42" t="str" cm="1">
        <f t="array" ref="V306">IFERROR(_xlfn.IFS(
T306="","",
--T306&lt;55,"Battery Defect",
--T306&lt;=69,"Battery D",
--T306&lt;=80,"Battery C",
--T306&gt;80,""
),"")</f>
        <v/>
      </c>
      <c r="W306" s="42"/>
      <c r="X306" s="42"/>
      <c r="Y306" s="42"/>
      <c r="Z306" s="42"/>
      <c r="AA306" s="42"/>
      <c r="AB306" s="42"/>
      <c r="AC306" s="42"/>
      <c r="AD306" s="42"/>
      <c r="AE306" s="32" t="str">
        <f t="shared" si="12"/>
        <v/>
      </c>
      <c r="AF306" s="32"/>
      <c r="AG306" s="32"/>
      <c r="AH306" s="32"/>
      <c r="AI306" s="32"/>
      <c r="AJ306" s="32"/>
      <c r="AK306" s="32"/>
      <c r="AL306" s="32"/>
      <c r="AM306" s="32"/>
    </row>
    <row r="307" spans="1:39">
      <c r="A307" s="32" t="str">
        <f>_xlfn.XLOOKUP(B307,Input!J:J,Input!G:G)&amp;""</f>
        <v/>
      </c>
      <c r="B307" s="32"/>
      <c r="C307" s="32" t="str">
        <f>_xlfn.XLOOKUP(B307,Input!J:J,Input!H:H)&amp;""</f>
        <v/>
      </c>
      <c r="D307" s="42">
        <f>_xlfn.XLOOKUP(B307,Input!J:J,Input!F:F)</f>
        <v>0</v>
      </c>
      <c r="E307" s="32">
        <f>_xlfn.XLOOKUP(D307,Models!H:H,Models!G:G,D307)</f>
        <v>0</v>
      </c>
      <c r="F307" s="32">
        <f>_xlfn.XLOOKUP(B307,Input!J:J,Input!E:E)</f>
        <v>0</v>
      </c>
      <c r="G307" s="32">
        <f>IF(F307="LENOVO",_xlfn.XLOOKUP(B307,Input!J:J,Input!K:K),_xlfn.XLOOKUP(B307,Input!J:J,Input!L:L))</f>
        <v>0</v>
      </c>
      <c r="H307" s="32"/>
      <c r="I307" s="32"/>
      <c r="J307" s="32"/>
      <c r="K307" s="42" t="e">
        <f>INDEX(Input!$D$2:$AC$500,
       MATCH(B307, Input!$J$2:$J$500, 0),
       MATCH("Total Memory", Input!$D$1:$AC$1, 0))</f>
        <v>#N/A</v>
      </c>
      <c r="L307" s="42"/>
      <c r="M307" s="42" t="str" cm="1">
        <f t="array" ref="M307">IFERROR(_xlfn.FILTERXML("&lt;t&gt;&lt;s&gt;" &amp; SUBSTITUTE(L307," / ","&lt;/s&gt;&lt;s&gt;") &amp; "&lt;/s&gt;&lt;/t&gt;","(//s[contains(.,'DDR')])[1]"),"")</f>
        <v/>
      </c>
      <c r="N307" s="32" t="e">
        <f t="shared" si="14"/>
        <v>#N/A</v>
      </c>
      <c r="O307" s="42" t="e">
        <f>INDEX(Input!$D$2:$AC$500,
       MATCH(B307, Input!$J$2:$J$500, 0),
       MATCH("Disk Interface Type", Input!$D$1:$AC$1, 0))</f>
        <v>#N/A</v>
      </c>
      <c r="P307" s="42" t="str" cm="1">
        <f t="array" ref="P307">IFERROR(_xlfn.TEXTJOIN(", ", TRUE, _xlfn._xlws.FILTER(
    INDEX(Input!$D$2:$AC$500,,MATCH("Disk Capacity",Input!$D$1:$AC$1,0)),
    Input!$J$2:$J$500=B307
)), "")</f>
        <v/>
      </c>
      <c r="Q307" s="32" t="e">
        <f t="shared" si="13"/>
        <v>#N/A</v>
      </c>
      <c r="R307" s="42" t="e">
        <f>_xlfn.LET(_xlpm.Result,INDEX(Input!$D$2:$AC$500,
       MATCH(B307, Input!$J$2:$J$500, 0),
       MATCH("Capacity", Input!$D$1:$AC$1, 0)),IF(_xlpm.Result="","",_xlpm.Result))</f>
        <v>#N/A</v>
      </c>
      <c r="S307" s="42" t="e" cm="1">
        <f t="array" ref="S307">_xlfn.TEXTSPLIT(R307," / ", ,TRUE,0,)</f>
        <v>#N/A</v>
      </c>
      <c r="T307" s="42"/>
      <c r="U307" s="42" t="str" cm="1">
        <f t="array" ref="U307">IFERROR(_xlfn.IFS(
S307="","",
--S307&lt;55,"Battery Defect",
--S307&lt;=69,"Battery D",
--S307&lt;=80,"Battery C",
--S307&gt;80,""
),"")</f>
        <v/>
      </c>
      <c r="V307" s="42" t="str" cm="1">
        <f t="array" ref="V307">IFERROR(_xlfn.IFS(
T307="","",
--T307&lt;55,"Battery Defect",
--T307&lt;=69,"Battery D",
--T307&lt;=80,"Battery C",
--T307&gt;80,""
),"")</f>
        <v/>
      </c>
      <c r="W307" s="42"/>
      <c r="X307" s="42"/>
      <c r="Y307" s="42"/>
      <c r="Z307" s="42"/>
      <c r="AA307" s="42"/>
      <c r="AB307" s="42"/>
      <c r="AC307" s="42"/>
      <c r="AD307" s="42"/>
      <c r="AE307" s="32" t="str">
        <f t="shared" si="12"/>
        <v/>
      </c>
      <c r="AF307" s="32"/>
      <c r="AG307" s="32"/>
      <c r="AH307" s="32"/>
      <c r="AI307" s="32"/>
      <c r="AJ307" s="32"/>
      <c r="AK307" s="32"/>
      <c r="AL307" s="32"/>
      <c r="AM307" s="32"/>
    </row>
    <row r="308" spans="1:39">
      <c r="A308" s="32" t="str">
        <f>_xlfn.XLOOKUP(B308,Input!J:J,Input!G:G)&amp;""</f>
        <v/>
      </c>
      <c r="B308" s="32"/>
      <c r="C308" s="32" t="str">
        <f>_xlfn.XLOOKUP(B308,Input!J:J,Input!H:H)&amp;""</f>
        <v/>
      </c>
      <c r="D308" s="42">
        <f>_xlfn.XLOOKUP(B308,Input!J:J,Input!F:F)</f>
        <v>0</v>
      </c>
      <c r="E308" s="32">
        <f>_xlfn.XLOOKUP(D308,Models!H:H,Models!G:G,D308)</f>
        <v>0</v>
      </c>
      <c r="F308" s="32">
        <f>_xlfn.XLOOKUP(B308,Input!J:J,Input!E:E)</f>
        <v>0</v>
      </c>
      <c r="G308" s="32">
        <f>IF(F308="LENOVO",_xlfn.XLOOKUP(B308,Input!J:J,Input!K:K),_xlfn.XLOOKUP(B308,Input!J:J,Input!L:L))</f>
        <v>0</v>
      </c>
      <c r="H308" s="32"/>
      <c r="I308" s="32"/>
      <c r="J308" s="32"/>
      <c r="K308" s="42" t="e">
        <f>INDEX(Input!$D$2:$AC$500,
       MATCH(B308, Input!$J$2:$J$500, 0),
       MATCH("Total Memory", Input!$D$1:$AC$1, 0))</f>
        <v>#N/A</v>
      </c>
      <c r="L308" s="42"/>
      <c r="M308" s="42" t="str" cm="1">
        <f t="array" ref="M308">IFERROR(_xlfn.FILTERXML("&lt;t&gt;&lt;s&gt;" &amp; SUBSTITUTE(L308," / ","&lt;/s&gt;&lt;s&gt;") &amp; "&lt;/s&gt;&lt;/t&gt;","(//s[contains(.,'DDR')])[1]"),"")</f>
        <v/>
      </c>
      <c r="N308" s="32" t="e">
        <f t="shared" si="14"/>
        <v>#N/A</v>
      </c>
      <c r="O308" s="42" t="e">
        <f>INDEX(Input!$D$2:$AC$500,
       MATCH(B308, Input!$J$2:$J$500, 0),
       MATCH("Disk Interface Type", Input!$D$1:$AC$1, 0))</f>
        <v>#N/A</v>
      </c>
      <c r="P308" s="42" t="str" cm="1">
        <f t="array" ref="P308">IFERROR(_xlfn.TEXTJOIN(", ", TRUE, _xlfn._xlws.FILTER(
    INDEX(Input!$D$2:$AC$500,,MATCH("Disk Capacity",Input!$D$1:$AC$1,0)),
    Input!$J$2:$J$500=B308
)), "")</f>
        <v/>
      </c>
      <c r="Q308" s="32" t="e">
        <f t="shared" si="13"/>
        <v>#N/A</v>
      </c>
      <c r="R308" s="42" t="e">
        <f>_xlfn.LET(_xlpm.Result,INDEX(Input!$D$2:$AC$500,
       MATCH(B308, Input!$J$2:$J$500, 0),
       MATCH("Capacity", Input!$D$1:$AC$1, 0)),IF(_xlpm.Result="","",_xlpm.Result))</f>
        <v>#N/A</v>
      </c>
      <c r="S308" s="42" t="e" cm="1">
        <f t="array" ref="S308">_xlfn.TEXTSPLIT(R308," / ", ,TRUE,0,)</f>
        <v>#N/A</v>
      </c>
      <c r="T308" s="42"/>
      <c r="U308" s="42" t="str" cm="1">
        <f t="array" ref="U308">IFERROR(_xlfn.IFS(
S308="","",
--S308&lt;55,"Battery Defect",
--S308&lt;=69,"Battery D",
--S308&lt;=80,"Battery C",
--S308&gt;80,""
),"")</f>
        <v/>
      </c>
      <c r="V308" s="42" t="str" cm="1">
        <f t="array" ref="V308">IFERROR(_xlfn.IFS(
T308="","",
--T308&lt;55,"Battery Defect",
--T308&lt;=69,"Battery D",
--T308&lt;=80,"Battery C",
--T308&gt;80,""
),"")</f>
        <v/>
      </c>
      <c r="W308" s="42"/>
      <c r="X308" s="42"/>
      <c r="Y308" s="42"/>
      <c r="Z308" s="42"/>
      <c r="AA308" s="42"/>
      <c r="AB308" s="42"/>
      <c r="AC308" s="42"/>
      <c r="AD308" s="42"/>
      <c r="AE308" s="32" t="str">
        <f t="shared" si="12"/>
        <v/>
      </c>
      <c r="AF308" s="32"/>
      <c r="AG308" s="32"/>
      <c r="AH308" s="32"/>
      <c r="AI308" s="32"/>
      <c r="AJ308" s="32"/>
      <c r="AK308" s="32"/>
      <c r="AL308" s="32"/>
      <c r="AM308" s="32"/>
    </row>
    <row r="309" spans="1:39">
      <c r="A309" s="32" t="str">
        <f>_xlfn.XLOOKUP(B309,Input!J:J,Input!G:G)&amp;""</f>
        <v/>
      </c>
      <c r="B309" s="32"/>
      <c r="C309" s="32" t="str">
        <f>_xlfn.XLOOKUP(B309,Input!J:J,Input!H:H)&amp;""</f>
        <v/>
      </c>
      <c r="D309" s="42">
        <f>_xlfn.XLOOKUP(B309,Input!J:J,Input!F:F)</f>
        <v>0</v>
      </c>
      <c r="E309" s="32">
        <f>_xlfn.XLOOKUP(D309,Models!H:H,Models!G:G,D309)</f>
        <v>0</v>
      </c>
      <c r="F309" s="32">
        <f>_xlfn.XLOOKUP(B309,Input!J:J,Input!E:E)</f>
        <v>0</v>
      </c>
      <c r="G309" s="32">
        <f>IF(F309="LENOVO",_xlfn.XLOOKUP(B309,Input!J:J,Input!K:K),_xlfn.XLOOKUP(B309,Input!J:J,Input!L:L))</f>
        <v>0</v>
      </c>
      <c r="H309" s="32"/>
      <c r="I309" s="32"/>
      <c r="J309" s="32"/>
      <c r="K309" s="42" t="e">
        <f>INDEX(Input!$D$2:$AC$500,
       MATCH(B309, Input!$J$2:$J$500, 0),
       MATCH("Total Memory", Input!$D$1:$AC$1, 0))</f>
        <v>#N/A</v>
      </c>
      <c r="L309" s="42"/>
      <c r="M309" s="42" t="str" cm="1">
        <f t="array" ref="M309">IFERROR(_xlfn.FILTERXML("&lt;t&gt;&lt;s&gt;" &amp; SUBSTITUTE(L309," / ","&lt;/s&gt;&lt;s&gt;") &amp; "&lt;/s&gt;&lt;/t&gt;","(//s[contains(.,'DDR')])[1]"),"")</f>
        <v/>
      </c>
      <c r="N309" s="32" t="e">
        <f t="shared" si="14"/>
        <v>#N/A</v>
      </c>
      <c r="O309" s="42" t="e">
        <f>INDEX(Input!$D$2:$AC$500,
       MATCH(B309, Input!$J$2:$J$500, 0),
       MATCH("Disk Interface Type", Input!$D$1:$AC$1, 0))</f>
        <v>#N/A</v>
      </c>
      <c r="P309" s="42" t="str" cm="1">
        <f t="array" ref="P309">IFERROR(_xlfn.TEXTJOIN(", ", TRUE, _xlfn._xlws.FILTER(
    INDEX(Input!$D$2:$AC$500,,MATCH("Disk Capacity",Input!$D$1:$AC$1,0)),
    Input!$J$2:$J$500=B309
)), "")</f>
        <v/>
      </c>
      <c r="Q309" s="32" t="e">
        <f t="shared" si="13"/>
        <v>#N/A</v>
      </c>
      <c r="R309" s="42" t="e">
        <f>_xlfn.LET(_xlpm.Result,INDEX(Input!$D$2:$AC$500,
       MATCH(B309, Input!$J$2:$J$500, 0),
       MATCH("Capacity", Input!$D$1:$AC$1, 0)),IF(_xlpm.Result="","",_xlpm.Result))</f>
        <v>#N/A</v>
      </c>
      <c r="S309" s="42" t="e" cm="1">
        <f t="array" ref="S309">_xlfn.TEXTSPLIT(R309," / ", ,TRUE,0,)</f>
        <v>#N/A</v>
      </c>
      <c r="T309" s="42"/>
      <c r="U309" s="42" t="str" cm="1">
        <f t="array" ref="U309">IFERROR(_xlfn.IFS(
S309="","",
--S309&lt;55,"Battery Defect",
--S309&lt;=69,"Battery D",
--S309&lt;=80,"Battery C",
--S309&gt;80,""
),"")</f>
        <v/>
      </c>
      <c r="V309" s="42" t="str" cm="1">
        <f t="array" ref="V309">IFERROR(_xlfn.IFS(
T309="","",
--T309&lt;55,"Battery Defect",
--T309&lt;=69,"Battery D",
--T309&lt;=80,"Battery C",
--T309&gt;80,""
),"")</f>
        <v/>
      </c>
      <c r="W309" s="42"/>
      <c r="X309" s="42"/>
      <c r="Y309" s="42"/>
      <c r="Z309" s="42"/>
      <c r="AA309" s="42"/>
      <c r="AB309" s="42"/>
      <c r="AC309" s="42"/>
      <c r="AD309" s="42"/>
      <c r="AE309" s="32" t="str">
        <f t="shared" si="12"/>
        <v/>
      </c>
      <c r="AF309" s="32"/>
      <c r="AG309" s="32"/>
      <c r="AH309" s="32"/>
      <c r="AI309" s="32"/>
      <c r="AJ309" s="32"/>
      <c r="AK309" s="32"/>
      <c r="AL309" s="32"/>
      <c r="AM309" s="32"/>
    </row>
    <row r="310" spans="1:39">
      <c r="A310" s="32" t="str">
        <f>_xlfn.XLOOKUP(B310,Input!J:J,Input!G:G)&amp;""</f>
        <v/>
      </c>
      <c r="B310" s="32"/>
      <c r="C310" s="32" t="str">
        <f>_xlfn.XLOOKUP(B310,Input!J:J,Input!H:H)&amp;""</f>
        <v/>
      </c>
      <c r="D310" s="42">
        <f>_xlfn.XLOOKUP(B310,Input!J:J,Input!F:F)</f>
        <v>0</v>
      </c>
      <c r="E310" s="32">
        <f>_xlfn.XLOOKUP(D310,Models!H:H,Models!G:G,D310)</f>
        <v>0</v>
      </c>
      <c r="F310" s="32">
        <f>_xlfn.XLOOKUP(B310,Input!J:J,Input!E:E)</f>
        <v>0</v>
      </c>
      <c r="G310" s="32">
        <f>IF(F310="LENOVO",_xlfn.XLOOKUP(B310,Input!J:J,Input!K:K),_xlfn.XLOOKUP(B310,Input!J:J,Input!L:L))</f>
        <v>0</v>
      </c>
      <c r="H310" s="32"/>
      <c r="I310" s="32"/>
      <c r="J310" s="32"/>
      <c r="K310" s="42" t="e">
        <f>INDEX(Input!$D$2:$AC$500,
       MATCH(B310, Input!$J$2:$J$500, 0),
       MATCH("Total Memory", Input!$D$1:$AC$1, 0))</f>
        <v>#N/A</v>
      </c>
      <c r="L310" s="42"/>
      <c r="M310" s="42" t="str" cm="1">
        <f t="array" ref="M310">IFERROR(_xlfn.FILTERXML("&lt;t&gt;&lt;s&gt;" &amp; SUBSTITUTE(L310," / ","&lt;/s&gt;&lt;s&gt;") &amp; "&lt;/s&gt;&lt;/t&gt;","(//s[contains(.,'DDR')])[1]"),"")</f>
        <v/>
      </c>
      <c r="N310" s="32" t="e">
        <f t="shared" si="14"/>
        <v>#N/A</v>
      </c>
      <c r="O310" s="42" t="e">
        <f>INDEX(Input!$D$2:$AC$500,
       MATCH(B310, Input!$J$2:$J$500, 0),
       MATCH("Disk Interface Type", Input!$D$1:$AC$1, 0))</f>
        <v>#N/A</v>
      </c>
      <c r="P310" s="42" t="str" cm="1">
        <f t="array" ref="P310">IFERROR(_xlfn.TEXTJOIN(", ", TRUE, _xlfn._xlws.FILTER(
    INDEX(Input!$D$2:$AC$500,,MATCH("Disk Capacity",Input!$D$1:$AC$1,0)),
    Input!$J$2:$J$500=B310
)), "")</f>
        <v/>
      </c>
      <c r="Q310" s="32" t="e">
        <f t="shared" si="13"/>
        <v>#N/A</v>
      </c>
      <c r="R310" s="42" t="e">
        <f>_xlfn.LET(_xlpm.Result,INDEX(Input!$D$2:$AC$500,
       MATCH(B310, Input!$J$2:$J$500, 0),
       MATCH("Capacity", Input!$D$1:$AC$1, 0)),IF(_xlpm.Result="","",_xlpm.Result))</f>
        <v>#N/A</v>
      </c>
      <c r="S310" s="42" t="e" cm="1">
        <f t="array" ref="S310">_xlfn.TEXTSPLIT(R310," / ", ,TRUE,0,)</f>
        <v>#N/A</v>
      </c>
      <c r="T310" s="42"/>
      <c r="U310" s="42" t="str" cm="1">
        <f t="array" ref="U310">IFERROR(_xlfn.IFS(
S310="","",
--S310&lt;55,"Battery Defect",
--S310&lt;=69,"Battery D",
--S310&lt;=80,"Battery C",
--S310&gt;80,""
),"")</f>
        <v/>
      </c>
      <c r="V310" s="42" t="str" cm="1">
        <f t="array" ref="V310">IFERROR(_xlfn.IFS(
T310="","",
--T310&lt;55,"Battery Defect",
--T310&lt;=69,"Battery D",
--T310&lt;=80,"Battery C",
--T310&gt;80,""
),"")</f>
        <v/>
      </c>
      <c r="W310" s="42"/>
      <c r="X310" s="42"/>
      <c r="Y310" s="42"/>
      <c r="Z310" s="42"/>
      <c r="AA310" s="42"/>
      <c r="AB310" s="42"/>
      <c r="AC310" s="42"/>
      <c r="AD310" s="42"/>
      <c r="AE310" s="32" t="str">
        <f t="shared" si="12"/>
        <v/>
      </c>
      <c r="AF310" s="32"/>
      <c r="AG310" s="32"/>
      <c r="AH310" s="32"/>
      <c r="AI310" s="32"/>
      <c r="AJ310" s="32"/>
      <c r="AK310" s="32"/>
      <c r="AL310" s="32"/>
      <c r="AM310" s="32"/>
    </row>
    <row r="311" spans="1:39">
      <c r="A311" s="32" t="str">
        <f>_xlfn.XLOOKUP(B311,Input!J:J,Input!G:G)&amp;""</f>
        <v/>
      </c>
      <c r="B311" s="32"/>
      <c r="C311" s="32" t="str">
        <f>_xlfn.XLOOKUP(B311,Input!J:J,Input!H:H)&amp;""</f>
        <v/>
      </c>
      <c r="D311" s="42">
        <f>_xlfn.XLOOKUP(B311,Input!J:J,Input!F:F)</f>
        <v>0</v>
      </c>
      <c r="E311" s="32">
        <f>_xlfn.XLOOKUP(D311,Models!H:H,Models!G:G,D311)</f>
        <v>0</v>
      </c>
      <c r="F311" s="32">
        <f>_xlfn.XLOOKUP(B311,Input!J:J,Input!E:E)</f>
        <v>0</v>
      </c>
      <c r="G311" s="32">
        <f>IF(F311="LENOVO",_xlfn.XLOOKUP(B311,Input!J:J,Input!K:K),_xlfn.XLOOKUP(B311,Input!J:J,Input!L:L))</f>
        <v>0</v>
      </c>
      <c r="H311" s="32"/>
      <c r="I311" s="32"/>
      <c r="J311" s="32"/>
      <c r="K311" s="42" t="e">
        <f>INDEX(Input!$D$2:$AC$500,
       MATCH(B311, Input!$J$2:$J$500, 0),
       MATCH("Total Memory", Input!$D$1:$AC$1, 0))</f>
        <v>#N/A</v>
      </c>
      <c r="L311" s="42"/>
      <c r="M311" s="42" t="str" cm="1">
        <f t="array" ref="M311">IFERROR(_xlfn.FILTERXML("&lt;t&gt;&lt;s&gt;" &amp; SUBSTITUTE(L311," / ","&lt;/s&gt;&lt;s&gt;") &amp; "&lt;/s&gt;&lt;/t&gt;","(//s[contains(.,'DDR')])[1]"),"")</f>
        <v/>
      </c>
      <c r="N311" s="32" t="e">
        <f t="shared" si="14"/>
        <v>#N/A</v>
      </c>
      <c r="O311" s="42" t="e">
        <f>INDEX(Input!$D$2:$AC$500,
       MATCH(B311, Input!$J$2:$J$500, 0),
       MATCH("Disk Interface Type", Input!$D$1:$AC$1, 0))</f>
        <v>#N/A</v>
      </c>
      <c r="P311" s="42" t="str" cm="1">
        <f t="array" ref="P311">IFERROR(_xlfn.TEXTJOIN(", ", TRUE, _xlfn._xlws.FILTER(
    INDEX(Input!$D$2:$AC$500,,MATCH("Disk Capacity",Input!$D$1:$AC$1,0)),
    Input!$J$2:$J$500=B311
)), "")</f>
        <v/>
      </c>
      <c r="Q311" s="32" t="e">
        <f t="shared" si="13"/>
        <v>#N/A</v>
      </c>
      <c r="R311" s="42" t="e">
        <f>_xlfn.LET(_xlpm.Result,INDEX(Input!$D$2:$AC$500,
       MATCH(B311, Input!$J$2:$J$500, 0),
       MATCH("Capacity", Input!$D$1:$AC$1, 0)),IF(_xlpm.Result="","",_xlpm.Result))</f>
        <v>#N/A</v>
      </c>
      <c r="S311" s="42" t="e" cm="1">
        <f t="array" ref="S311">_xlfn.TEXTSPLIT(R311," / ", ,TRUE,0,)</f>
        <v>#N/A</v>
      </c>
      <c r="T311" s="42"/>
      <c r="U311" s="42" t="str" cm="1">
        <f t="array" ref="U311">IFERROR(_xlfn.IFS(
S311="","",
--S311&lt;55,"Battery Defect",
--S311&lt;=69,"Battery D",
--S311&lt;=80,"Battery C",
--S311&gt;80,""
),"")</f>
        <v/>
      </c>
      <c r="V311" s="42" t="str" cm="1">
        <f t="array" ref="V311">IFERROR(_xlfn.IFS(
T311="","",
--T311&lt;55,"Battery Defect",
--T311&lt;=69,"Battery D",
--T311&lt;=80,"Battery C",
--T311&gt;80,""
),"")</f>
        <v/>
      </c>
      <c r="W311" s="42"/>
      <c r="X311" s="42"/>
      <c r="Y311" s="42"/>
      <c r="Z311" s="42"/>
      <c r="AA311" s="42"/>
      <c r="AB311" s="42"/>
      <c r="AC311" s="42"/>
      <c r="AD311" s="42"/>
      <c r="AE311" s="32" t="str">
        <f t="shared" si="12"/>
        <v/>
      </c>
      <c r="AF311" s="32"/>
      <c r="AG311" s="32"/>
      <c r="AH311" s="32"/>
      <c r="AI311" s="32"/>
      <c r="AJ311" s="32"/>
      <c r="AK311" s="32"/>
      <c r="AL311" s="32"/>
      <c r="AM311" s="32"/>
    </row>
    <row r="312" spans="1:39">
      <c r="A312" s="32" t="str">
        <f>_xlfn.XLOOKUP(B312,Input!J:J,Input!G:G)&amp;""</f>
        <v/>
      </c>
      <c r="B312" s="32"/>
      <c r="C312" s="32" t="str">
        <f>_xlfn.XLOOKUP(B312,Input!J:J,Input!H:H)&amp;""</f>
        <v/>
      </c>
      <c r="D312" s="42">
        <f>_xlfn.XLOOKUP(B312,Input!J:J,Input!F:F)</f>
        <v>0</v>
      </c>
      <c r="E312" s="32">
        <f>_xlfn.XLOOKUP(D312,Models!H:H,Models!G:G,D312)</f>
        <v>0</v>
      </c>
      <c r="F312" s="32">
        <f>_xlfn.XLOOKUP(B312,Input!J:J,Input!E:E)</f>
        <v>0</v>
      </c>
      <c r="G312" s="32">
        <f>IF(F312="LENOVO",_xlfn.XLOOKUP(B312,Input!J:J,Input!K:K),_xlfn.XLOOKUP(B312,Input!J:J,Input!L:L))</f>
        <v>0</v>
      </c>
      <c r="H312" s="32"/>
      <c r="I312" s="32"/>
      <c r="J312" s="32"/>
      <c r="K312" s="42" t="e">
        <f>INDEX(Input!$D$2:$AC$500,
       MATCH(B312, Input!$J$2:$J$500, 0),
       MATCH("Total Memory", Input!$D$1:$AC$1, 0))</f>
        <v>#N/A</v>
      </c>
      <c r="L312" s="42"/>
      <c r="M312" s="42" t="str" cm="1">
        <f t="array" ref="M312">IFERROR(_xlfn.FILTERXML("&lt;t&gt;&lt;s&gt;" &amp; SUBSTITUTE(L312," / ","&lt;/s&gt;&lt;s&gt;") &amp; "&lt;/s&gt;&lt;/t&gt;","(//s[contains(.,'DDR')])[1]"),"")</f>
        <v/>
      </c>
      <c r="N312" s="32" t="e">
        <f t="shared" si="14"/>
        <v>#N/A</v>
      </c>
      <c r="O312" s="42" t="e">
        <f>INDEX(Input!$D$2:$AC$500,
       MATCH(B312, Input!$J$2:$J$500, 0),
       MATCH("Disk Interface Type", Input!$D$1:$AC$1, 0))</f>
        <v>#N/A</v>
      </c>
      <c r="P312" s="42" t="str" cm="1">
        <f t="array" ref="P312">IFERROR(_xlfn.TEXTJOIN(", ", TRUE, _xlfn._xlws.FILTER(
    INDEX(Input!$D$2:$AC$500,,MATCH("Disk Capacity",Input!$D$1:$AC$1,0)),
    Input!$J$2:$J$500=B312
)), "")</f>
        <v/>
      </c>
      <c r="Q312" s="32" t="e">
        <f t="shared" si="13"/>
        <v>#N/A</v>
      </c>
      <c r="R312" s="42" t="e">
        <f>_xlfn.LET(_xlpm.Result,INDEX(Input!$D$2:$AC$500,
       MATCH(B312, Input!$J$2:$J$500, 0),
       MATCH("Capacity", Input!$D$1:$AC$1, 0)),IF(_xlpm.Result="","",_xlpm.Result))</f>
        <v>#N/A</v>
      </c>
      <c r="S312" s="42" t="e" cm="1">
        <f t="array" ref="S312">_xlfn.TEXTSPLIT(R312," / ", ,TRUE,0,)</f>
        <v>#N/A</v>
      </c>
      <c r="T312" s="42"/>
      <c r="U312" s="42" t="str" cm="1">
        <f t="array" ref="U312">IFERROR(_xlfn.IFS(
S312="","",
--S312&lt;55,"Battery Defect",
--S312&lt;=69,"Battery D",
--S312&lt;=80,"Battery C",
--S312&gt;80,""
),"")</f>
        <v/>
      </c>
      <c r="V312" s="42" t="str" cm="1">
        <f t="array" ref="V312">IFERROR(_xlfn.IFS(
T312="","",
--T312&lt;55,"Battery Defect",
--T312&lt;=69,"Battery D",
--T312&lt;=80,"Battery C",
--T312&gt;80,""
),"")</f>
        <v/>
      </c>
      <c r="W312" s="42"/>
      <c r="X312" s="42"/>
      <c r="Y312" s="42"/>
      <c r="Z312" s="42"/>
      <c r="AA312" s="42"/>
      <c r="AB312" s="42"/>
      <c r="AC312" s="42"/>
      <c r="AD312" s="42"/>
      <c r="AE312" s="32" t="str">
        <f t="shared" si="12"/>
        <v/>
      </c>
      <c r="AF312" s="32"/>
      <c r="AG312" s="32"/>
      <c r="AH312" s="32"/>
      <c r="AI312" s="32"/>
      <c r="AJ312" s="32"/>
      <c r="AK312" s="32"/>
      <c r="AL312" s="32"/>
      <c r="AM312" s="32"/>
    </row>
    <row r="313" spans="1:39">
      <c r="A313" s="32" t="str">
        <f>_xlfn.XLOOKUP(B313,Input!J:J,Input!G:G)&amp;""</f>
        <v/>
      </c>
      <c r="B313" s="32"/>
      <c r="C313" s="32" t="str">
        <f>_xlfn.XLOOKUP(B313,Input!J:J,Input!H:H)&amp;""</f>
        <v/>
      </c>
      <c r="D313" s="42">
        <f>_xlfn.XLOOKUP(B313,Input!J:J,Input!F:F)</f>
        <v>0</v>
      </c>
      <c r="E313" s="32">
        <f>_xlfn.XLOOKUP(D313,Models!H:H,Models!G:G,D313)</f>
        <v>0</v>
      </c>
      <c r="F313" s="32">
        <f>_xlfn.XLOOKUP(B313,Input!J:J,Input!E:E)</f>
        <v>0</v>
      </c>
      <c r="G313" s="32">
        <f>IF(F313="LENOVO",_xlfn.XLOOKUP(B313,Input!J:J,Input!K:K),_xlfn.XLOOKUP(B313,Input!J:J,Input!L:L))</f>
        <v>0</v>
      </c>
      <c r="H313" s="32"/>
      <c r="I313" s="32"/>
      <c r="J313" s="32"/>
      <c r="K313" s="42" t="e">
        <f>INDEX(Input!$D$2:$AC$500,
       MATCH(B313, Input!$J$2:$J$500, 0),
       MATCH("Total Memory", Input!$D$1:$AC$1, 0))</f>
        <v>#N/A</v>
      </c>
      <c r="L313" s="42"/>
      <c r="M313" s="42" t="str" cm="1">
        <f t="array" ref="M313">IFERROR(_xlfn.FILTERXML("&lt;t&gt;&lt;s&gt;" &amp; SUBSTITUTE(L313," / ","&lt;/s&gt;&lt;s&gt;") &amp; "&lt;/s&gt;&lt;/t&gt;","(//s[contains(.,'DDR')])[1]"),"")</f>
        <v/>
      </c>
      <c r="N313" s="32" t="e">
        <f t="shared" si="14"/>
        <v>#N/A</v>
      </c>
      <c r="O313" s="42" t="e">
        <f>INDEX(Input!$D$2:$AC$500,
       MATCH(B313, Input!$J$2:$J$500, 0),
       MATCH("Disk Interface Type", Input!$D$1:$AC$1, 0))</f>
        <v>#N/A</v>
      </c>
      <c r="P313" s="42" t="str" cm="1">
        <f t="array" ref="P313">IFERROR(_xlfn.TEXTJOIN(", ", TRUE, _xlfn._xlws.FILTER(
    INDEX(Input!$D$2:$AC$500,,MATCH("Disk Capacity",Input!$D$1:$AC$1,0)),
    Input!$J$2:$J$500=B313
)), "")</f>
        <v/>
      </c>
      <c r="Q313" s="32" t="e">
        <f t="shared" si="13"/>
        <v>#N/A</v>
      </c>
      <c r="R313" s="42" t="e">
        <f>_xlfn.LET(_xlpm.Result,INDEX(Input!$D$2:$AC$500,
       MATCH(B313, Input!$J$2:$J$500, 0),
       MATCH("Capacity", Input!$D$1:$AC$1, 0)),IF(_xlpm.Result="","",_xlpm.Result))</f>
        <v>#N/A</v>
      </c>
      <c r="S313" s="42" t="e" cm="1">
        <f t="array" ref="S313">_xlfn.TEXTSPLIT(R313," / ", ,TRUE,0,)</f>
        <v>#N/A</v>
      </c>
      <c r="T313" s="42"/>
      <c r="U313" s="42" t="str" cm="1">
        <f t="array" ref="U313">IFERROR(_xlfn.IFS(
S313="","",
--S313&lt;55,"Battery Defect",
--S313&lt;=69,"Battery D",
--S313&lt;=80,"Battery C",
--S313&gt;80,""
),"")</f>
        <v/>
      </c>
      <c r="V313" s="42" t="str" cm="1">
        <f t="array" ref="V313">IFERROR(_xlfn.IFS(
T313="","",
--T313&lt;55,"Battery Defect",
--T313&lt;=69,"Battery D",
--T313&lt;=80,"Battery C",
--T313&gt;80,""
),"")</f>
        <v/>
      </c>
      <c r="W313" s="42"/>
      <c r="X313" s="42"/>
      <c r="Y313" s="42"/>
      <c r="Z313" s="42"/>
      <c r="AA313" s="42"/>
      <c r="AB313" s="42"/>
      <c r="AC313" s="42"/>
      <c r="AD313" s="42"/>
      <c r="AE313" s="32" t="str">
        <f t="shared" si="12"/>
        <v/>
      </c>
      <c r="AF313" s="32"/>
      <c r="AG313" s="32"/>
      <c r="AH313" s="32"/>
      <c r="AI313" s="32"/>
      <c r="AJ313" s="32"/>
      <c r="AK313" s="32"/>
      <c r="AL313" s="32"/>
      <c r="AM313" s="32"/>
    </row>
    <row r="314" spans="1:39">
      <c r="A314" s="32" t="str">
        <f>_xlfn.XLOOKUP(B314,Input!J:J,Input!G:G)&amp;""</f>
        <v/>
      </c>
      <c r="B314" s="32"/>
      <c r="C314" s="32" t="str">
        <f>_xlfn.XLOOKUP(B314,Input!J:J,Input!H:H)&amp;""</f>
        <v/>
      </c>
      <c r="D314" s="42">
        <f>_xlfn.XLOOKUP(B314,Input!J:J,Input!F:F)</f>
        <v>0</v>
      </c>
      <c r="E314" s="32">
        <f>_xlfn.XLOOKUP(D314,Models!H:H,Models!G:G,D314)</f>
        <v>0</v>
      </c>
      <c r="F314" s="32">
        <f>_xlfn.XLOOKUP(B314,Input!J:J,Input!E:E)</f>
        <v>0</v>
      </c>
      <c r="G314" s="32">
        <f>IF(F314="LENOVO",_xlfn.XLOOKUP(B314,Input!J:J,Input!K:K),_xlfn.XLOOKUP(B314,Input!J:J,Input!L:L))</f>
        <v>0</v>
      </c>
      <c r="H314" s="32"/>
      <c r="I314" s="32"/>
      <c r="J314" s="32"/>
      <c r="K314" s="42" t="e">
        <f>INDEX(Input!$D$2:$AC$500,
       MATCH(B314, Input!$J$2:$J$500, 0),
       MATCH("Total Memory", Input!$D$1:$AC$1, 0))</f>
        <v>#N/A</v>
      </c>
      <c r="L314" s="42"/>
      <c r="M314" s="42" t="str" cm="1">
        <f t="array" ref="M314">IFERROR(_xlfn.FILTERXML("&lt;t&gt;&lt;s&gt;" &amp; SUBSTITUTE(L314," / ","&lt;/s&gt;&lt;s&gt;") &amp; "&lt;/s&gt;&lt;/t&gt;","(//s[contains(.,'DDR')])[1]"),"")</f>
        <v/>
      </c>
      <c r="N314" s="32" t="e">
        <f t="shared" si="14"/>
        <v>#N/A</v>
      </c>
      <c r="O314" s="42" t="e">
        <f>INDEX(Input!$D$2:$AC$500,
       MATCH(B314, Input!$J$2:$J$500, 0),
       MATCH("Disk Interface Type", Input!$D$1:$AC$1, 0))</f>
        <v>#N/A</v>
      </c>
      <c r="P314" s="42" t="str" cm="1">
        <f t="array" ref="P314">IFERROR(_xlfn.TEXTJOIN(", ", TRUE, _xlfn._xlws.FILTER(
    INDEX(Input!$D$2:$AC$500,,MATCH("Disk Capacity",Input!$D$1:$AC$1,0)),
    Input!$J$2:$J$500=B314
)), "")</f>
        <v/>
      </c>
      <c r="Q314" s="32" t="e">
        <f t="shared" si="13"/>
        <v>#N/A</v>
      </c>
      <c r="R314" s="42" t="e">
        <f>_xlfn.LET(_xlpm.Result,INDEX(Input!$D$2:$AC$500,
       MATCH(B314, Input!$J$2:$J$500, 0),
       MATCH("Capacity", Input!$D$1:$AC$1, 0)),IF(_xlpm.Result="","",_xlpm.Result))</f>
        <v>#N/A</v>
      </c>
      <c r="S314" s="42" t="e" cm="1">
        <f t="array" ref="S314">_xlfn.TEXTSPLIT(R314," / ", ,TRUE,0,)</f>
        <v>#N/A</v>
      </c>
      <c r="T314" s="42"/>
      <c r="U314" s="42" t="str" cm="1">
        <f t="array" ref="U314">IFERROR(_xlfn.IFS(
S314="","",
--S314&lt;55,"Battery Defect",
--S314&lt;=69,"Battery D",
--S314&lt;=80,"Battery C",
--S314&gt;80,""
),"")</f>
        <v/>
      </c>
      <c r="V314" s="42" t="str" cm="1">
        <f t="array" ref="V314">IFERROR(_xlfn.IFS(
T314="","",
--T314&lt;55,"Battery Defect",
--T314&lt;=69,"Battery D",
--T314&lt;=80,"Battery C",
--T314&gt;80,""
),"")</f>
        <v/>
      </c>
      <c r="W314" s="42"/>
      <c r="X314" s="42"/>
      <c r="Y314" s="42"/>
      <c r="Z314" s="42"/>
      <c r="AA314" s="42"/>
      <c r="AB314" s="42"/>
      <c r="AC314" s="42"/>
      <c r="AD314" s="42"/>
      <c r="AE314" s="32" t="str">
        <f t="shared" si="12"/>
        <v/>
      </c>
      <c r="AF314" s="32"/>
      <c r="AG314" s="32"/>
      <c r="AH314" s="32"/>
      <c r="AI314" s="32"/>
      <c r="AJ314" s="32"/>
      <c r="AK314" s="32"/>
      <c r="AL314" s="32"/>
      <c r="AM314" s="32"/>
    </row>
    <row r="315" spans="1:39">
      <c r="A315" s="32" t="str">
        <f>_xlfn.XLOOKUP(B315,Input!J:J,Input!G:G)&amp;""</f>
        <v/>
      </c>
      <c r="B315" s="32"/>
      <c r="C315" s="32" t="str">
        <f>_xlfn.XLOOKUP(B315,Input!J:J,Input!H:H)&amp;""</f>
        <v/>
      </c>
      <c r="D315" s="42">
        <f>_xlfn.XLOOKUP(B315,Input!J:J,Input!F:F)</f>
        <v>0</v>
      </c>
      <c r="E315" s="32">
        <f>_xlfn.XLOOKUP(D315,Models!H:H,Models!G:G,D315)</f>
        <v>0</v>
      </c>
      <c r="F315" s="32">
        <f>_xlfn.XLOOKUP(B315,Input!J:J,Input!E:E)</f>
        <v>0</v>
      </c>
      <c r="G315" s="32">
        <f>IF(F315="LENOVO",_xlfn.XLOOKUP(B315,Input!J:J,Input!K:K),_xlfn.XLOOKUP(B315,Input!J:J,Input!L:L))</f>
        <v>0</v>
      </c>
      <c r="H315" s="32"/>
      <c r="I315" s="32"/>
      <c r="J315" s="32"/>
      <c r="K315" s="42" t="e">
        <f>INDEX(Input!$D$2:$AC$500,
       MATCH(B315, Input!$J$2:$J$500, 0),
       MATCH("Total Memory", Input!$D$1:$AC$1, 0))</f>
        <v>#N/A</v>
      </c>
      <c r="L315" s="42"/>
      <c r="M315" s="42" t="str" cm="1">
        <f t="array" ref="M315">IFERROR(_xlfn.FILTERXML("&lt;t&gt;&lt;s&gt;" &amp; SUBSTITUTE(L315," / ","&lt;/s&gt;&lt;s&gt;") &amp; "&lt;/s&gt;&lt;/t&gt;","(//s[contains(.,'DDR')])[1]"),"")</f>
        <v/>
      </c>
      <c r="N315" s="32" t="e">
        <f t="shared" si="14"/>
        <v>#N/A</v>
      </c>
      <c r="O315" s="42" t="e">
        <f>INDEX(Input!$D$2:$AC$500,
       MATCH(B315, Input!$J$2:$J$500, 0),
       MATCH("Disk Interface Type", Input!$D$1:$AC$1, 0))</f>
        <v>#N/A</v>
      </c>
      <c r="P315" s="42" t="str" cm="1">
        <f t="array" ref="P315">IFERROR(_xlfn.TEXTJOIN(", ", TRUE, _xlfn._xlws.FILTER(
    INDEX(Input!$D$2:$AC$500,,MATCH("Disk Capacity",Input!$D$1:$AC$1,0)),
    Input!$J$2:$J$500=B315
)), "")</f>
        <v/>
      </c>
      <c r="Q315" s="32" t="e">
        <f t="shared" si="13"/>
        <v>#N/A</v>
      </c>
      <c r="R315" s="42" t="e">
        <f>_xlfn.LET(_xlpm.Result,INDEX(Input!$D$2:$AC$500,
       MATCH(B315, Input!$J$2:$J$500, 0),
       MATCH("Capacity", Input!$D$1:$AC$1, 0)),IF(_xlpm.Result="","",_xlpm.Result))</f>
        <v>#N/A</v>
      </c>
      <c r="S315" s="42" t="e" cm="1">
        <f t="array" ref="S315">_xlfn.TEXTSPLIT(R315," / ", ,TRUE,0,)</f>
        <v>#N/A</v>
      </c>
      <c r="T315" s="42"/>
      <c r="U315" s="42" t="str" cm="1">
        <f t="array" ref="U315">IFERROR(_xlfn.IFS(
S315="","",
--S315&lt;55,"Battery Defect",
--S315&lt;=69,"Battery D",
--S315&lt;=80,"Battery C",
--S315&gt;80,""
),"")</f>
        <v/>
      </c>
      <c r="V315" s="42" t="str" cm="1">
        <f t="array" ref="V315">IFERROR(_xlfn.IFS(
T315="","",
--T315&lt;55,"Battery Defect",
--T315&lt;=69,"Battery D",
--T315&lt;=80,"Battery C",
--T315&gt;80,""
),"")</f>
        <v/>
      </c>
      <c r="W315" s="42"/>
      <c r="X315" s="42"/>
      <c r="Y315" s="42"/>
      <c r="Z315" s="42"/>
      <c r="AA315" s="42"/>
      <c r="AB315" s="42"/>
      <c r="AC315" s="42"/>
      <c r="AD315" s="42"/>
      <c r="AE315" s="32" t="str">
        <f t="shared" si="12"/>
        <v/>
      </c>
      <c r="AF315" s="32"/>
      <c r="AG315" s="32"/>
      <c r="AH315" s="32"/>
      <c r="AI315" s="32"/>
      <c r="AJ315" s="32"/>
      <c r="AK315" s="32"/>
      <c r="AL315" s="32"/>
      <c r="AM315" s="32"/>
    </row>
    <row r="316" spans="1:39">
      <c r="A316" s="32" t="str">
        <f>_xlfn.XLOOKUP(B316,Input!J:J,Input!G:G)&amp;""</f>
        <v/>
      </c>
      <c r="B316" s="32"/>
      <c r="C316" s="32" t="str">
        <f>_xlfn.XLOOKUP(B316,Input!J:J,Input!H:H)&amp;""</f>
        <v/>
      </c>
      <c r="D316" s="42">
        <f>_xlfn.XLOOKUP(B316,Input!J:J,Input!F:F)</f>
        <v>0</v>
      </c>
      <c r="E316" s="32">
        <f>_xlfn.XLOOKUP(D316,Models!H:H,Models!G:G,D316)</f>
        <v>0</v>
      </c>
      <c r="F316" s="32">
        <f>_xlfn.XLOOKUP(B316,Input!J:J,Input!E:E)</f>
        <v>0</v>
      </c>
      <c r="G316" s="32">
        <f>IF(F316="LENOVO",_xlfn.XLOOKUP(B316,Input!J:J,Input!K:K),_xlfn.XLOOKUP(B316,Input!J:J,Input!L:L))</f>
        <v>0</v>
      </c>
      <c r="H316" s="32"/>
      <c r="I316" s="32"/>
      <c r="J316" s="32"/>
      <c r="K316" s="42" t="e">
        <f>INDEX(Input!$D$2:$AC$500,
       MATCH(B316, Input!$J$2:$J$500, 0),
       MATCH("Total Memory", Input!$D$1:$AC$1, 0))</f>
        <v>#N/A</v>
      </c>
      <c r="L316" s="42"/>
      <c r="M316" s="42" t="str" cm="1">
        <f t="array" ref="M316">IFERROR(_xlfn.FILTERXML("&lt;t&gt;&lt;s&gt;" &amp; SUBSTITUTE(L316," / ","&lt;/s&gt;&lt;s&gt;") &amp; "&lt;/s&gt;&lt;/t&gt;","(//s[contains(.,'DDR')])[1]"),"")</f>
        <v/>
      </c>
      <c r="N316" s="32" t="e">
        <f t="shared" si="14"/>
        <v>#N/A</v>
      </c>
      <c r="O316" s="42" t="e">
        <f>INDEX(Input!$D$2:$AC$500,
       MATCH(B316, Input!$J$2:$J$500, 0),
       MATCH("Disk Interface Type", Input!$D$1:$AC$1, 0))</f>
        <v>#N/A</v>
      </c>
      <c r="P316" s="42" t="str" cm="1">
        <f t="array" ref="P316">IFERROR(_xlfn.TEXTJOIN(", ", TRUE, _xlfn._xlws.FILTER(
    INDEX(Input!$D$2:$AC$500,,MATCH("Disk Capacity",Input!$D$1:$AC$1,0)),
    Input!$J$2:$J$500=B316
)), "")</f>
        <v/>
      </c>
      <c r="Q316" s="32" t="e">
        <f t="shared" si="13"/>
        <v>#N/A</v>
      </c>
      <c r="R316" s="42" t="e">
        <f>_xlfn.LET(_xlpm.Result,INDEX(Input!$D$2:$AC$500,
       MATCH(B316, Input!$J$2:$J$500, 0),
       MATCH("Capacity", Input!$D$1:$AC$1, 0)),IF(_xlpm.Result="","",_xlpm.Result))</f>
        <v>#N/A</v>
      </c>
      <c r="S316" s="42" t="e" cm="1">
        <f t="array" ref="S316">_xlfn.TEXTSPLIT(R316," / ", ,TRUE,0,)</f>
        <v>#N/A</v>
      </c>
      <c r="T316" s="42"/>
      <c r="U316" s="42" t="str" cm="1">
        <f t="array" ref="U316">IFERROR(_xlfn.IFS(
S316="","",
--S316&lt;55,"Battery Defect",
--S316&lt;=69,"Battery D",
--S316&lt;=80,"Battery C",
--S316&gt;80,""
),"")</f>
        <v/>
      </c>
      <c r="V316" s="42" t="str" cm="1">
        <f t="array" ref="V316">IFERROR(_xlfn.IFS(
T316="","",
--T316&lt;55,"Battery Defect",
--T316&lt;=69,"Battery D",
--T316&lt;=80,"Battery C",
--T316&gt;80,""
),"")</f>
        <v/>
      </c>
      <c r="W316" s="42"/>
      <c r="X316" s="42"/>
      <c r="Y316" s="42"/>
      <c r="Z316" s="42"/>
      <c r="AA316" s="42"/>
      <c r="AB316" s="42"/>
      <c r="AC316" s="42"/>
      <c r="AD316" s="42"/>
      <c r="AE316" s="32" t="str">
        <f t="shared" si="12"/>
        <v/>
      </c>
      <c r="AF316" s="32"/>
      <c r="AG316" s="32"/>
      <c r="AH316" s="32"/>
      <c r="AI316" s="32"/>
      <c r="AJ316" s="32"/>
      <c r="AK316" s="32"/>
      <c r="AL316" s="32"/>
      <c r="AM316" s="32"/>
    </row>
    <row r="317" spans="1:39">
      <c r="A317" s="32" t="str">
        <f>_xlfn.XLOOKUP(B317,Input!J:J,Input!G:G)&amp;""</f>
        <v/>
      </c>
      <c r="B317" s="32"/>
      <c r="C317" s="32" t="str">
        <f>_xlfn.XLOOKUP(B317,Input!J:J,Input!H:H)&amp;""</f>
        <v/>
      </c>
      <c r="D317" s="42">
        <f>_xlfn.XLOOKUP(B317,Input!J:J,Input!F:F)</f>
        <v>0</v>
      </c>
      <c r="E317" s="32">
        <f>_xlfn.XLOOKUP(D317,Models!H:H,Models!G:G,D317)</f>
        <v>0</v>
      </c>
      <c r="F317" s="32">
        <f>_xlfn.XLOOKUP(B317,Input!J:J,Input!E:E)</f>
        <v>0</v>
      </c>
      <c r="G317" s="32">
        <f>IF(F317="LENOVO",_xlfn.XLOOKUP(B317,Input!J:J,Input!K:K),_xlfn.XLOOKUP(B317,Input!J:J,Input!L:L))</f>
        <v>0</v>
      </c>
      <c r="H317" s="32"/>
      <c r="I317" s="32"/>
      <c r="J317" s="32"/>
      <c r="K317" s="42" t="e">
        <f>INDEX(Input!$D$2:$AC$500,
       MATCH(B317, Input!$J$2:$J$500, 0),
       MATCH("Total Memory", Input!$D$1:$AC$1, 0))</f>
        <v>#N/A</v>
      </c>
      <c r="L317" s="42"/>
      <c r="M317" s="42" t="str" cm="1">
        <f t="array" ref="M317">IFERROR(_xlfn.FILTERXML("&lt;t&gt;&lt;s&gt;" &amp; SUBSTITUTE(L317," / ","&lt;/s&gt;&lt;s&gt;") &amp; "&lt;/s&gt;&lt;/t&gt;","(//s[contains(.,'DDR')])[1]"),"")</f>
        <v/>
      </c>
      <c r="N317" s="32" t="e">
        <f t="shared" si="14"/>
        <v>#N/A</v>
      </c>
      <c r="O317" s="42" t="e">
        <f>INDEX(Input!$D$2:$AC$500,
       MATCH(B317, Input!$J$2:$J$500, 0),
       MATCH("Disk Interface Type", Input!$D$1:$AC$1, 0))</f>
        <v>#N/A</v>
      </c>
      <c r="P317" s="42" t="str" cm="1">
        <f t="array" ref="P317">IFERROR(_xlfn.TEXTJOIN(", ", TRUE, _xlfn._xlws.FILTER(
    INDEX(Input!$D$2:$AC$500,,MATCH("Disk Capacity",Input!$D$1:$AC$1,0)),
    Input!$J$2:$J$500=B317
)), "")</f>
        <v/>
      </c>
      <c r="Q317" s="32" t="e">
        <f t="shared" si="13"/>
        <v>#N/A</v>
      </c>
      <c r="R317" s="42" t="e">
        <f>_xlfn.LET(_xlpm.Result,INDEX(Input!$D$2:$AC$500,
       MATCH(B317, Input!$J$2:$J$500, 0),
       MATCH("Capacity", Input!$D$1:$AC$1, 0)),IF(_xlpm.Result="","",_xlpm.Result))</f>
        <v>#N/A</v>
      </c>
      <c r="S317" s="42" t="e" cm="1">
        <f t="array" ref="S317">_xlfn.TEXTSPLIT(R317," / ", ,TRUE,0,)</f>
        <v>#N/A</v>
      </c>
      <c r="T317" s="42"/>
      <c r="U317" s="42" t="str" cm="1">
        <f t="array" ref="U317">IFERROR(_xlfn.IFS(
S317="","",
--S317&lt;55,"Battery Defect",
--S317&lt;=69,"Battery D",
--S317&lt;=80,"Battery C",
--S317&gt;80,""
),"")</f>
        <v/>
      </c>
      <c r="V317" s="42" t="str" cm="1">
        <f t="array" ref="V317">IFERROR(_xlfn.IFS(
T317="","",
--T317&lt;55,"Battery Defect",
--T317&lt;=69,"Battery D",
--T317&lt;=80,"Battery C",
--T317&gt;80,""
),"")</f>
        <v/>
      </c>
      <c r="W317" s="42"/>
      <c r="X317" s="42"/>
      <c r="Y317" s="42"/>
      <c r="Z317" s="42"/>
      <c r="AA317" s="42"/>
      <c r="AB317" s="42"/>
      <c r="AC317" s="42"/>
      <c r="AD317" s="42"/>
      <c r="AE317" s="32" t="str">
        <f t="shared" si="12"/>
        <v/>
      </c>
      <c r="AF317" s="32"/>
      <c r="AG317" s="32"/>
      <c r="AH317" s="32"/>
      <c r="AI317" s="32"/>
      <c r="AJ317" s="32"/>
      <c r="AK317" s="32"/>
      <c r="AL317" s="32"/>
      <c r="AM317" s="32"/>
    </row>
    <row r="318" spans="1:39">
      <c r="A318" s="32" t="str">
        <f>_xlfn.XLOOKUP(B318,Input!J:J,Input!G:G)&amp;""</f>
        <v/>
      </c>
      <c r="B318" s="32"/>
      <c r="C318" s="32" t="str">
        <f>_xlfn.XLOOKUP(B318,Input!J:J,Input!H:H)&amp;""</f>
        <v/>
      </c>
      <c r="D318" s="42">
        <f>_xlfn.XLOOKUP(B318,Input!J:J,Input!F:F)</f>
        <v>0</v>
      </c>
      <c r="E318" s="32">
        <f>_xlfn.XLOOKUP(D318,Models!H:H,Models!G:G,D318)</f>
        <v>0</v>
      </c>
      <c r="F318" s="32">
        <f>_xlfn.XLOOKUP(B318,Input!J:J,Input!E:E)</f>
        <v>0</v>
      </c>
      <c r="G318" s="32">
        <f>IF(F318="LENOVO",_xlfn.XLOOKUP(B318,Input!J:J,Input!K:K),_xlfn.XLOOKUP(B318,Input!J:J,Input!L:L))</f>
        <v>0</v>
      </c>
      <c r="H318" s="32"/>
      <c r="I318" s="32"/>
      <c r="J318" s="32"/>
      <c r="K318" s="42" t="e">
        <f>INDEX(Input!$D$2:$AC$500,
       MATCH(B318, Input!$J$2:$J$500, 0),
       MATCH("Total Memory", Input!$D$1:$AC$1, 0))</f>
        <v>#N/A</v>
      </c>
      <c r="L318" s="42"/>
      <c r="M318" s="42" t="str" cm="1">
        <f t="array" ref="M318">IFERROR(_xlfn.FILTERXML("&lt;t&gt;&lt;s&gt;" &amp; SUBSTITUTE(L318," / ","&lt;/s&gt;&lt;s&gt;") &amp; "&lt;/s&gt;&lt;/t&gt;","(//s[contains(.,'DDR')])[1]"),"")</f>
        <v/>
      </c>
      <c r="N318" s="32" t="e">
        <f t="shared" si="14"/>
        <v>#N/A</v>
      </c>
      <c r="O318" s="42" t="e">
        <f>INDEX(Input!$D$2:$AC$500,
       MATCH(B318, Input!$J$2:$J$500, 0),
       MATCH("Disk Interface Type", Input!$D$1:$AC$1, 0))</f>
        <v>#N/A</v>
      </c>
      <c r="P318" s="42" t="str" cm="1">
        <f t="array" ref="P318">IFERROR(_xlfn.TEXTJOIN(", ", TRUE, _xlfn._xlws.FILTER(
    INDEX(Input!$D$2:$AC$500,,MATCH("Disk Capacity",Input!$D$1:$AC$1,0)),
    Input!$J$2:$J$500=B318
)), "")</f>
        <v/>
      </c>
      <c r="Q318" s="32" t="e">
        <f t="shared" si="13"/>
        <v>#N/A</v>
      </c>
      <c r="R318" s="42" t="e">
        <f>_xlfn.LET(_xlpm.Result,INDEX(Input!$D$2:$AC$500,
       MATCH(B318, Input!$J$2:$J$500, 0),
       MATCH("Capacity", Input!$D$1:$AC$1, 0)),IF(_xlpm.Result="","",_xlpm.Result))</f>
        <v>#N/A</v>
      </c>
      <c r="S318" s="42" t="e" cm="1">
        <f t="array" ref="S318">_xlfn.TEXTSPLIT(R318," / ", ,TRUE,0,)</f>
        <v>#N/A</v>
      </c>
      <c r="T318" s="42"/>
      <c r="U318" s="42" t="str" cm="1">
        <f t="array" ref="U318">IFERROR(_xlfn.IFS(
S318="","",
--S318&lt;55,"Battery Defect",
--S318&lt;=69,"Battery D",
--S318&lt;=80,"Battery C",
--S318&gt;80,""
),"")</f>
        <v/>
      </c>
      <c r="V318" s="42" t="str" cm="1">
        <f t="array" ref="V318">IFERROR(_xlfn.IFS(
T318="","",
--T318&lt;55,"Battery Defect",
--T318&lt;=69,"Battery D",
--T318&lt;=80,"Battery C",
--T318&gt;80,""
),"")</f>
        <v/>
      </c>
      <c r="W318" s="42"/>
      <c r="X318" s="42"/>
      <c r="Y318" s="42"/>
      <c r="Z318" s="42"/>
      <c r="AA318" s="42"/>
      <c r="AB318" s="42"/>
      <c r="AC318" s="42"/>
      <c r="AD318" s="42"/>
      <c r="AE318" s="32" t="str">
        <f t="shared" si="12"/>
        <v/>
      </c>
      <c r="AF318" s="32"/>
      <c r="AG318" s="32"/>
      <c r="AH318" s="32"/>
      <c r="AI318" s="32"/>
      <c r="AJ318" s="32"/>
      <c r="AK318" s="32"/>
      <c r="AL318" s="32"/>
      <c r="AM318" s="32"/>
    </row>
    <row r="319" spans="1:39">
      <c r="A319" s="32" t="str">
        <f>_xlfn.XLOOKUP(B319,Input!J:J,Input!G:G)&amp;""</f>
        <v/>
      </c>
      <c r="B319" s="32"/>
      <c r="C319" s="32" t="str">
        <f>_xlfn.XLOOKUP(B319,Input!J:J,Input!H:H)&amp;""</f>
        <v/>
      </c>
      <c r="D319" s="42">
        <f>_xlfn.XLOOKUP(B319,Input!J:J,Input!F:F)</f>
        <v>0</v>
      </c>
      <c r="E319" s="32">
        <f>_xlfn.XLOOKUP(D319,Models!H:H,Models!G:G,D319)</f>
        <v>0</v>
      </c>
      <c r="F319" s="32">
        <f>_xlfn.XLOOKUP(B319,Input!J:J,Input!E:E)</f>
        <v>0</v>
      </c>
      <c r="G319" s="32">
        <f>IF(F319="LENOVO",_xlfn.XLOOKUP(B319,Input!J:J,Input!K:K),_xlfn.XLOOKUP(B319,Input!J:J,Input!L:L))</f>
        <v>0</v>
      </c>
      <c r="H319" s="32"/>
      <c r="I319" s="32"/>
      <c r="J319" s="32"/>
      <c r="K319" s="42" t="e">
        <f>INDEX(Input!$D$2:$AC$500,
       MATCH(B319, Input!$J$2:$J$500, 0),
       MATCH("Total Memory", Input!$D$1:$AC$1, 0))</f>
        <v>#N/A</v>
      </c>
      <c r="L319" s="42"/>
      <c r="M319" s="42" t="str" cm="1">
        <f t="array" ref="M319">IFERROR(_xlfn.FILTERXML("&lt;t&gt;&lt;s&gt;" &amp; SUBSTITUTE(L319," / ","&lt;/s&gt;&lt;s&gt;") &amp; "&lt;/s&gt;&lt;/t&gt;","(//s[contains(.,'DDR')])[1]"),"")</f>
        <v/>
      </c>
      <c r="N319" s="32" t="e">
        <f t="shared" si="14"/>
        <v>#N/A</v>
      </c>
      <c r="O319" s="42" t="e">
        <f>INDEX(Input!$D$2:$AC$500,
       MATCH(B319, Input!$J$2:$J$500, 0),
       MATCH("Disk Interface Type", Input!$D$1:$AC$1, 0))</f>
        <v>#N/A</v>
      </c>
      <c r="P319" s="42" t="str" cm="1">
        <f t="array" ref="P319">IFERROR(_xlfn.TEXTJOIN(", ", TRUE, _xlfn._xlws.FILTER(
    INDEX(Input!$D$2:$AC$500,,MATCH("Disk Capacity",Input!$D$1:$AC$1,0)),
    Input!$J$2:$J$500=B319
)), "")</f>
        <v/>
      </c>
      <c r="Q319" s="32" t="e">
        <f t="shared" si="13"/>
        <v>#N/A</v>
      </c>
      <c r="R319" s="42" t="e">
        <f>_xlfn.LET(_xlpm.Result,INDEX(Input!$D$2:$AC$500,
       MATCH(B319, Input!$J$2:$J$500, 0),
       MATCH("Capacity", Input!$D$1:$AC$1, 0)),IF(_xlpm.Result="","",_xlpm.Result))</f>
        <v>#N/A</v>
      </c>
      <c r="S319" s="42" t="e" cm="1">
        <f t="array" ref="S319">_xlfn.TEXTSPLIT(R319," / ", ,TRUE,0,)</f>
        <v>#N/A</v>
      </c>
      <c r="T319" s="42"/>
      <c r="U319" s="42" t="str" cm="1">
        <f t="array" ref="U319">IFERROR(_xlfn.IFS(
S319="","",
--S319&lt;55,"Battery Defect",
--S319&lt;=69,"Battery D",
--S319&lt;=80,"Battery C",
--S319&gt;80,""
),"")</f>
        <v/>
      </c>
      <c r="V319" s="42" t="str" cm="1">
        <f t="array" ref="V319">IFERROR(_xlfn.IFS(
T319="","",
--T319&lt;55,"Battery Defect",
--T319&lt;=69,"Battery D",
--T319&lt;=80,"Battery C",
--T319&gt;80,""
),"")</f>
        <v/>
      </c>
      <c r="W319" s="42"/>
      <c r="X319" s="42"/>
      <c r="Y319" s="42"/>
      <c r="Z319" s="42"/>
      <c r="AA319" s="42"/>
      <c r="AB319" s="42"/>
      <c r="AC319" s="42"/>
      <c r="AD319" s="42"/>
      <c r="AE319" s="32" t="str">
        <f t="shared" si="12"/>
        <v/>
      </c>
      <c r="AF319" s="32"/>
      <c r="AG319" s="32"/>
      <c r="AH319" s="32"/>
      <c r="AI319" s="32"/>
      <c r="AJ319" s="32"/>
      <c r="AK319" s="32"/>
      <c r="AL319" s="32"/>
      <c r="AM319" s="32"/>
    </row>
    <row r="320" spans="1:39">
      <c r="A320" s="32" t="str">
        <f>_xlfn.XLOOKUP(B320,Input!J:J,Input!G:G)&amp;""</f>
        <v/>
      </c>
      <c r="B320" s="32"/>
      <c r="C320" s="32" t="str">
        <f>_xlfn.XLOOKUP(B320,Input!J:J,Input!H:H)&amp;""</f>
        <v/>
      </c>
      <c r="D320" s="42">
        <f>_xlfn.XLOOKUP(B320,Input!J:J,Input!F:F)</f>
        <v>0</v>
      </c>
      <c r="E320" s="32">
        <f>_xlfn.XLOOKUP(D320,Models!H:H,Models!G:G,D320)</f>
        <v>0</v>
      </c>
      <c r="F320" s="32">
        <f>_xlfn.XLOOKUP(B320,Input!J:J,Input!E:E)</f>
        <v>0</v>
      </c>
      <c r="G320" s="32">
        <f>IF(F320="LENOVO",_xlfn.XLOOKUP(B320,Input!J:J,Input!K:K),_xlfn.XLOOKUP(B320,Input!J:J,Input!L:L))</f>
        <v>0</v>
      </c>
      <c r="H320" s="32"/>
      <c r="I320" s="32"/>
      <c r="J320" s="32"/>
      <c r="K320" s="42" t="e">
        <f>INDEX(Input!$D$2:$AC$500,
       MATCH(B320, Input!$J$2:$J$500, 0),
       MATCH("Total Memory", Input!$D$1:$AC$1, 0))</f>
        <v>#N/A</v>
      </c>
      <c r="L320" s="42"/>
      <c r="M320" s="42" t="str" cm="1">
        <f t="array" ref="M320">IFERROR(_xlfn.FILTERXML("&lt;t&gt;&lt;s&gt;" &amp; SUBSTITUTE(L320," / ","&lt;/s&gt;&lt;s&gt;") &amp; "&lt;/s&gt;&lt;/t&gt;","(//s[contains(.,'DDR')])[1]"),"")</f>
        <v/>
      </c>
      <c r="N320" s="32" t="e">
        <f t="shared" si="14"/>
        <v>#N/A</v>
      </c>
      <c r="O320" s="42" t="e">
        <f>INDEX(Input!$D$2:$AC$500,
       MATCH(B320, Input!$J$2:$J$500, 0),
       MATCH("Disk Interface Type", Input!$D$1:$AC$1, 0))</f>
        <v>#N/A</v>
      </c>
      <c r="P320" s="42" t="str" cm="1">
        <f t="array" ref="P320">IFERROR(_xlfn.TEXTJOIN(", ", TRUE, _xlfn._xlws.FILTER(
    INDEX(Input!$D$2:$AC$500,,MATCH("Disk Capacity",Input!$D$1:$AC$1,0)),
    Input!$J$2:$J$500=B320
)), "")</f>
        <v/>
      </c>
      <c r="Q320" s="32" t="e">
        <f t="shared" si="13"/>
        <v>#N/A</v>
      </c>
      <c r="R320" s="42" t="e">
        <f>_xlfn.LET(_xlpm.Result,INDEX(Input!$D$2:$AC$500,
       MATCH(B320, Input!$J$2:$J$500, 0),
       MATCH("Capacity", Input!$D$1:$AC$1, 0)),IF(_xlpm.Result="","",_xlpm.Result))</f>
        <v>#N/A</v>
      </c>
      <c r="S320" s="42" t="e" cm="1">
        <f t="array" ref="S320">_xlfn.TEXTSPLIT(R320," / ", ,TRUE,0,)</f>
        <v>#N/A</v>
      </c>
      <c r="T320" s="42"/>
      <c r="U320" s="42" t="str" cm="1">
        <f t="array" ref="U320">IFERROR(_xlfn.IFS(
S320="","",
--S320&lt;55,"Battery Defect",
--S320&lt;=69,"Battery D",
--S320&lt;=80,"Battery C",
--S320&gt;80,""
),"")</f>
        <v/>
      </c>
      <c r="V320" s="42" t="str" cm="1">
        <f t="array" ref="V320">IFERROR(_xlfn.IFS(
T320="","",
--T320&lt;55,"Battery Defect",
--T320&lt;=69,"Battery D",
--T320&lt;=80,"Battery C",
--T320&gt;80,""
),"")</f>
        <v/>
      </c>
      <c r="W320" s="42"/>
      <c r="X320" s="42"/>
      <c r="Y320" s="42"/>
      <c r="Z320" s="42"/>
      <c r="AA320" s="42"/>
      <c r="AB320" s="42"/>
      <c r="AC320" s="42"/>
      <c r="AD320" s="42"/>
      <c r="AE320" s="32" t="str">
        <f t="shared" si="12"/>
        <v/>
      </c>
      <c r="AF320" s="32"/>
      <c r="AG320" s="32"/>
      <c r="AH320" s="32"/>
      <c r="AI320" s="32"/>
      <c r="AJ320" s="32"/>
      <c r="AK320" s="32"/>
      <c r="AL320" s="32"/>
      <c r="AM320" s="32"/>
    </row>
    <row r="321" spans="1:39">
      <c r="A321" s="32" t="str">
        <f>_xlfn.XLOOKUP(B321,Input!J:J,Input!G:G)&amp;""</f>
        <v/>
      </c>
      <c r="B321" s="32"/>
      <c r="C321" s="32" t="str">
        <f>_xlfn.XLOOKUP(B321,Input!J:J,Input!H:H)&amp;""</f>
        <v/>
      </c>
      <c r="D321" s="42">
        <f>_xlfn.XLOOKUP(B321,Input!J:J,Input!F:F)</f>
        <v>0</v>
      </c>
      <c r="E321" s="32">
        <f>_xlfn.XLOOKUP(D321,Models!H:H,Models!G:G,D321)</f>
        <v>0</v>
      </c>
      <c r="F321" s="32">
        <f>_xlfn.XLOOKUP(B321,Input!J:J,Input!E:E)</f>
        <v>0</v>
      </c>
      <c r="G321" s="32">
        <f>IF(F321="LENOVO",_xlfn.XLOOKUP(B321,Input!J:J,Input!K:K),_xlfn.XLOOKUP(B321,Input!J:J,Input!L:L))</f>
        <v>0</v>
      </c>
      <c r="H321" s="32"/>
      <c r="I321" s="32"/>
      <c r="J321" s="32"/>
      <c r="K321" s="42" t="e">
        <f>INDEX(Input!$D$2:$AC$500,
       MATCH(B321, Input!$J$2:$J$500, 0),
       MATCH("Total Memory", Input!$D$1:$AC$1, 0))</f>
        <v>#N/A</v>
      </c>
      <c r="L321" s="42"/>
      <c r="M321" s="42" t="str" cm="1">
        <f t="array" ref="M321">IFERROR(_xlfn.FILTERXML("&lt;t&gt;&lt;s&gt;" &amp; SUBSTITUTE(L321," / ","&lt;/s&gt;&lt;s&gt;") &amp; "&lt;/s&gt;&lt;/t&gt;","(//s[contains(.,'DDR')])[1]"),"")</f>
        <v/>
      </c>
      <c r="N321" s="32" t="e">
        <f t="shared" si="14"/>
        <v>#N/A</v>
      </c>
      <c r="O321" s="42" t="e">
        <f>INDEX(Input!$D$2:$AC$500,
       MATCH(B321, Input!$J$2:$J$500, 0),
       MATCH("Disk Interface Type", Input!$D$1:$AC$1, 0))</f>
        <v>#N/A</v>
      </c>
      <c r="P321" s="42" t="str" cm="1">
        <f t="array" ref="P321">IFERROR(_xlfn.TEXTJOIN(", ", TRUE, _xlfn._xlws.FILTER(
    INDEX(Input!$D$2:$AC$500,,MATCH("Disk Capacity",Input!$D$1:$AC$1,0)),
    Input!$J$2:$J$500=B321
)), "")</f>
        <v/>
      </c>
      <c r="Q321" s="32" t="e">
        <f t="shared" si="13"/>
        <v>#N/A</v>
      </c>
      <c r="R321" s="42" t="e">
        <f>_xlfn.LET(_xlpm.Result,INDEX(Input!$D$2:$AC$500,
       MATCH(B321, Input!$J$2:$J$500, 0),
       MATCH("Capacity", Input!$D$1:$AC$1, 0)),IF(_xlpm.Result="","",_xlpm.Result))</f>
        <v>#N/A</v>
      </c>
      <c r="S321" s="42" t="e" cm="1">
        <f t="array" ref="S321">_xlfn.TEXTSPLIT(R321," / ", ,TRUE,0,)</f>
        <v>#N/A</v>
      </c>
      <c r="T321" s="42"/>
      <c r="U321" s="42" t="str" cm="1">
        <f t="array" ref="U321">IFERROR(_xlfn.IFS(
S321="","",
--S321&lt;55,"Battery Defect",
--S321&lt;=69,"Battery D",
--S321&lt;=80,"Battery C",
--S321&gt;80,""
),"")</f>
        <v/>
      </c>
      <c r="V321" s="42" t="str" cm="1">
        <f t="array" ref="V321">IFERROR(_xlfn.IFS(
T321="","",
--T321&lt;55,"Battery Defect",
--T321&lt;=69,"Battery D",
--T321&lt;=80,"Battery C",
--T321&gt;80,""
),"")</f>
        <v/>
      </c>
      <c r="W321" s="42"/>
      <c r="X321" s="42"/>
      <c r="Y321" s="42"/>
      <c r="Z321" s="42"/>
      <c r="AA321" s="42"/>
      <c r="AB321" s="42"/>
      <c r="AC321" s="42"/>
      <c r="AD321" s="42"/>
      <c r="AE321" s="32" t="str">
        <f t="shared" si="12"/>
        <v/>
      </c>
      <c r="AF321" s="32"/>
      <c r="AG321" s="32"/>
      <c r="AH321" s="32"/>
      <c r="AI321" s="32"/>
      <c r="AJ321" s="32"/>
      <c r="AK321" s="32"/>
      <c r="AL321" s="32"/>
      <c r="AM321" s="32"/>
    </row>
    <row r="322" spans="1:39">
      <c r="A322" s="32" t="str">
        <f>_xlfn.XLOOKUP(B322,Input!J:J,Input!G:G)&amp;""</f>
        <v/>
      </c>
      <c r="B322" s="32"/>
      <c r="C322" s="32" t="str">
        <f>_xlfn.XLOOKUP(B322,Input!J:J,Input!H:H)&amp;""</f>
        <v/>
      </c>
      <c r="D322" s="42">
        <f>_xlfn.XLOOKUP(B322,Input!J:J,Input!F:F)</f>
        <v>0</v>
      </c>
      <c r="E322" s="32">
        <f>_xlfn.XLOOKUP(D322,Models!H:H,Models!G:G,D322)</f>
        <v>0</v>
      </c>
      <c r="F322" s="32">
        <f>_xlfn.XLOOKUP(B322,Input!J:J,Input!E:E)</f>
        <v>0</v>
      </c>
      <c r="G322" s="32">
        <f>IF(F322="LENOVO",_xlfn.XLOOKUP(B322,Input!J:J,Input!K:K),_xlfn.XLOOKUP(B322,Input!J:J,Input!L:L))</f>
        <v>0</v>
      </c>
      <c r="H322" s="32"/>
      <c r="I322" s="32"/>
      <c r="J322" s="32"/>
      <c r="K322" s="42" t="e">
        <f>INDEX(Input!$D$2:$AC$500,
       MATCH(B322, Input!$J$2:$J$500, 0),
       MATCH("Total Memory", Input!$D$1:$AC$1, 0))</f>
        <v>#N/A</v>
      </c>
      <c r="L322" s="42"/>
      <c r="M322" s="42" t="str" cm="1">
        <f t="array" ref="M322">IFERROR(_xlfn.FILTERXML("&lt;t&gt;&lt;s&gt;" &amp; SUBSTITUTE(L322," / ","&lt;/s&gt;&lt;s&gt;") &amp; "&lt;/s&gt;&lt;/t&gt;","(//s[contains(.,'DDR')])[1]"),"")</f>
        <v/>
      </c>
      <c r="N322" s="32" t="e">
        <f t="shared" si="14"/>
        <v>#N/A</v>
      </c>
      <c r="O322" s="42" t="e">
        <f>INDEX(Input!$D$2:$AC$500,
       MATCH(B322, Input!$J$2:$J$500, 0),
       MATCH("Disk Interface Type", Input!$D$1:$AC$1, 0))</f>
        <v>#N/A</v>
      </c>
      <c r="P322" s="42" t="str" cm="1">
        <f t="array" ref="P322">IFERROR(_xlfn.TEXTJOIN(", ", TRUE, _xlfn._xlws.FILTER(
    INDEX(Input!$D$2:$AC$500,,MATCH("Disk Capacity",Input!$D$1:$AC$1,0)),
    Input!$J$2:$J$500=B322
)), "")</f>
        <v/>
      </c>
      <c r="Q322" s="32" t="e">
        <f t="shared" si="13"/>
        <v>#N/A</v>
      </c>
      <c r="R322" s="42" t="e">
        <f>_xlfn.LET(_xlpm.Result,INDEX(Input!$D$2:$AC$500,
       MATCH(B322, Input!$J$2:$J$500, 0),
       MATCH("Capacity", Input!$D$1:$AC$1, 0)),IF(_xlpm.Result="","",_xlpm.Result))</f>
        <v>#N/A</v>
      </c>
      <c r="S322" s="42" t="e" cm="1">
        <f t="array" ref="S322">_xlfn.TEXTSPLIT(R322," / ", ,TRUE,0,)</f>
        <v>#N/A</v>
      </c>
      <c r="T322" s="42"/>
      <c r="U322" s="42" t="str" cm="1">
        <f t="array" ref="U322">IFERROR(_xlfn.IFS(
S322="","",
--S322&lt;55,"Battery Defect",
--S322&lt;=69,"Battery D",
--S322&lt;=80,"Battery C",
--S322&gt;80,""
),"")</f>
        <v/>
      </c>
      <c r="V322" s="42" t="str" cm="1">
        <f t="array" ref="V322">IFERROR(_xlfn.IFS(
T322="","",
--T322&lt;55,"Battery Defect",
--T322&lt;=69,"Battery D",
--T322&lt;=80,"Battery C",
--T322&gt;80,""
),"")</f>
        <v/>
      </c>
      <c r="W322" s="42"/>
      <c r="X322" s="42"/>
      <c r="Y322" s="42"/>
      <c r="Z322" s="42"/>
      <c r="AA322" s="42"/>
      <c r="AB322" s="42"/>
      <c r="AC322" s="42"/>
      <c r="AD322" s="42"/>
      <c r="AE322" s="32" t="str">
        <f t="shared" ref="AE322:AE385" si="15">IF(E322="Laptop",_xlfn.TEXTJOIN(", ",TRUE,U322,V322,W322,X322,Y322,Z322,AA322,AB322), _xlfn.TEXTJOIN(", ",TRUE,W322,X322,Y322,Z322,AA322,AB322))</f>
        <v/>
      </c>
      <c r="AF322" s="32"/>
      <c r="AG322" s="32"/>
      <c r="AH322" s="32"/>
      <c r="AI322" s="32"/>
      <c r="AJ322" s="32"/>
      <c r="AK322" s="32"/>
      <c r="AL322" s="32"/>
      <c r="AM322" s="32"/>
    </row>
    <row r="323" spans="1:39">
      <c r="A323" s="32" t="str">
        <f>_xlfn.XLOOKUP(B323,Input!J:J,Input!G:G)&amp;""</f>
        <v/>
      </c>
      <c r="B323" s="32"/>
      <c r="C323" s="32" t="str">
        <f>_xlfn.XLOOKUP(B323,Input!J:J,Input!H:H)&amp;""</f>
        <v/>
      </c>
      <c r="D323" s="42">
        <f>_xlfn.XLOOKUP(B323,Input!J:J,Input!F:F)</f>
        <v>0</v>
      </c>
      <c r="E323" s="32">
        <f>_xlfn.XLOOKUP(D323,Models!H:H,Models!G:G,D323)</f>
        <v>0</v>
      </c>
      <c r="F323" s="32">
        <f>_xlfn.XLOOKUP(B323,Input!J:J,Input!E:E)</f>
        <v>0</v>
      </c>
      <c r="G323" s="32">
        <f>IF(F323="LENOVO",_xlfn.XLOOKUP(B323,Input!J:J,Input!K:K),_xlfn.XLOOKUP(B323,Input!J:J,Input!L:L))</f>
        <v>0</v>
      </c>
      <c r="H323" s="32"/>
      <c r="I323" s="32"/>
      <c r="J323" s="32"/>
      <c r="K323" s="42" t="e">
        <f>INDEX(Input!$D$2:$AC$500,
       MATCH(B323, Input!$J$2:$J$500, 0),
       MATCH("Total Memory", Input!$D$1:$AC$1, 0))</f>
        <v>#N/A</v>
      </c>
      <c r="L323" s="42"/>
      <c r="M323" s="42" t="str" cm="1">
        <f t="array" ref="M323">IFERROR(_xlfn.FILTERXML("&lt;t&gt;&lt;s&gt;" &amp; SUBSTITUTE(L323," / ","&lt;/s&gt;&lt;s&gt;") &amp; "&lt;/s&gt;&lt;/t&gt;","(//s[contains(.,'DDR')])[1]"),"")</f>
        <v/>
      </c>
      <c r="N323" s="32" t="e">
        <f t="shared" si="14"/>
        <v>#N/A</v>
      </c>
      <c r="O323" s="42" t="e">
        <f>INDEX(Input!$D$2:$AC$500,
       MATCH(B323, Input!$J$2:$J$500, 0),
       MATCH("Disk Interface Type", Input!$D$1:$AC$1, 0))</f>
        <v>#N/A</v>
      </c>
      <c r="P323" s="42" t="str" cm="1">
        <f t="array" ref="P323">IFERROR(_xlfn.TEXTJOIN(", ", TRUE, _xlfn._xlws.FILTER(
    INDEX(Input!$D$2:$AC$500,,MATCH("Disk Capacity",Input!$D$1:$AC$1,0)),
    Input!$J$2:$J$500=B323
)), "")</f>
        <v/>
      </c>
      <c r="Q323" s="32" t="e">
        <f t="shared" ref="Q323:Q386" si="16">_xlfn.TEXTJOIN(" ",TRUE,P323,O323)</f>
        <v>#N/A</v>
      </c>
      <c r="R323" s="42" t="e">
        <f>_xlfn.LET(_xlpm.Result,INDEX(Input!$D$2:$AC$500,
       MATCH(B323, Input!$J$2:$J$500, 0),
       MATCH("Capacity", Input!$D$1:$AC$1, 0)),IF(_xlpm.Result="","",_xlpm.Result))</f>
        <v>#N/A</v>
      </c>
      <c r="S323" s="42" t="e" cm="1">
        <f t="array" ref="S323">_xlfn.TEXTSPLIT(R323," / ", ,TRUE,0,)</f>
        <v>#N/A</v>
      </c>
      <c r="T323" s="42"/>
      <c r="U323" s="42" t="str" cm="1">
        <f t="array" ref="U323">IFERROR(_xlfn.IFS(
S323="","",
--S323&lt;55,"Battery Defect",
--S323&lt;=69,"Battery D",
--S323&lt;=80,"Battery C",
--S323&gt;80,""
),"")</f>
        <v/>
      </c>
      <c r="V323" s="42" t="str" cm="1">
        <f t="array" ref="V323">IFERROR(_xlfn.IFS(
T323="","",
--T323&lt;55,"Battery Defect",
--T323&lt;=69,"Battery D",
--T323&lt;=80,"Battery C",
--T323&gt;80,""
),"")</f>
        <v/>
      </c>
      <c r="W323" s="42"/>
      <c r="X323" s="42"/>
      <c r="Y323" s="42"/>
      <c r="Z323" s="42"/>
      <c r="AA323" s="42"/>
      <c r="AB323" s="42"/>
      <c r="AC323" s="42"/>
      <c r="AD323" s="42"/>
      <c r="AE323" s="32" t="str">
        <f t="shared" si="15"/>
        <v/>
      </c>
      <c r="AF323" s="32"/>
      <c r="AG323" s="32"/>
      <c r="AH323" s="32"/>
      <c r="AI323" s="32"/>
      <c r="AJ323" s="32"/>
      <c r="AK323" s="32"/>
      <c r="AL323" s="32"/>
      <c r="AM323" s="32"/>
    </row>
    <row r="324" spans="1:39">
      <c r="A324" s="32" t="str">
        <f>_xlfn.XLOOKUP(B324,Input!J:J,Input!G:G)&amp;""</f>
        <v/>
      </c>
      <c r="B324" s="32"/>
      <c r="C324" s="32" t="str">
        <f>_xlfn.XLOOKUP(B324,Input!J:J,Input!H:H)&amp;""</f>
        <v/>
      </c>
      <c r="D324" s="42">
        <f>_xlfn.XLOOKUP(B324,Input!J:J,Input!F:F)</f>
        <v>0</v>
      </c>
      <c r="E324" s="32">
        <f>_xlfn.XLOOKUP(D324,Models!H:H,Models!G:G,D324)</f>
        <v>0</v>
      </c>
      <c r="F324" s="32">
        <f>_xlfn.XLOOKUP(B324,Input!J:J,Input!E:E)</f>
        <v>0</v>
      </c>
      <c r="G324" s="32">
        <f>IF(F324="LENOVO",_xlfn.XLOOKUP(B324,Input!J:J,Input!K:K),_xlfn.XLOOKUP(B324,Input!J:J,Input!L:L))</f>
        <v>0</v>
      </c>
      <c r="H324" s="32"/>
      <c r="I324" s="32"/>
      <c r="J324" s="32"/>
      <c r="K324" s="42" t="e">
        <f>INDEX(Input!$D$2:$AC$500,
       MATCH(B324, Input!$J$2:$J$500, 0),
       MATCH("Total Memory", Input!$D$1:$AC$1, 0))</f>
        <v>#N/A</v>
      </c>
      <c r="L324" s="42"/>
      <c r="M324" s="42" t="str" cm="1">
        <f t="array" ref="M324">IFERROR(_xlfn.FILTERXML("&lt;t&gt;&lt;s&gt;" &amp; SUBSTITUTE(L324," / ","&lt;/s&gt;&lt;s&gt;") &amp; "&lt;/s&gt;&lt;/t&gt;","(//s[contains(.,'DDR')])[1]"),"")</f>
        <v/>
      </c>
      <c r="N324" s="32" t="e">
        <f t="shared" ref="N324:N387" si="17">_xlfn.TEXTJOIN(" ",TRUE,SUBSTITUTE(K324,"i",""),M324)</f>
        <v>#N/A</v>
      </c>
      <c r="O324" s="42" t="e">
        <f>INDEX(Input!$D$2:$AC$500,
       MATCH(B324, Input!$J$2:$J$500, 0),
       MATCH("Disk Interface Type", Input!$D$1:$AC$1, 0))</f>
        <v>#N/A</v>
      </c>
      <c r="P324" s="42" t="str" cm="1">
        <f t="array" ref="P324">IFERROR(_xlfn.TEXTJOIN(", ", TRUE, _xlfn._xlws.FILTER(
    INDEX(Input!$D$2:$AC$500,,MATCH("Disk Capacity",Input!$D$1:$AC$1,0)),
    Input!$J$2:$J$500=B324
)), "")</f>
        <v/>
      </c>
      <c r="Q324" s="32" t="e">
        <f t="shared" si="16"/>
        <v>#N/A</v>
      </c>
      <c r="R324" s="42" t="e">
        <f>_xlfn.LET(_xlpm.Result,INDEX(Input!$D$2:$AC$500,
       MATCH(B324, Input!$J$2:$J$500, 0),
       MATCH("Capacity", Input!$D$1:$AC$1, 0)),IF(_xlpm.Result="","",_xlpm.Result))</f>
        <v>#N/A</v>
      </c>
      <c r="S324" s="42" t="e" cm="1">
        <f t="array" ref="S324">_xlfn.TEXTSPLIT(R324," / ", ,TRUE,0,)</f>
        <v>#N/A</v>
      </c>
      <c r="T324" s="42"/>
      <c r="U324" s="42" t="str" cm="1">
        <f t="array" ref="U324">IFERROR(_xlfn.IFS(
S324="","",
--S324&lt;55,"Battery Defect",
--S324&lt;=69,"Battery D",
--S324&lt;=80,"Battery C",
--S324&gt;80,""
),"")</f>
        <v/>
      </c>
      <c r="V324" s="42" t="str" cm="1">
        <f t="array" ref="V324">IFERROR(_xlfn.IFS(
T324="","",
--T324&lt;55,"Battery Defect",
--T324&lt;=69,"Battery D",
--T324&lt;=80,"Battery C",
--T324&gt;80,""
),"")</f>
        <v/>
      </c>
      <c r="W324" s="42"/>
      <c r="X324" s="42"/>
      <c r="Y324" s="42"/>
      <c r="Z324" s="42"/>
      <c r="AA324" s="42"/>
      <c r="AB324" s="42"/>
      <c r="AC324" s="42"/>
      <c r="AD324" s="42"/>
      <c r="AE324" s="32" t="str">
        <f t="shared" si="15"/>
        <v/>
      </c>
      <c r="AF324" s="32"/>
      <c r="AG324" s="32"/>
      <c r="AH324" s="32"/>
      <c r="AI324" s="32"/>
      <c r="AJ324" s="32"/>
      <c r="AK324" s="32"/>
      <c r="AL324" s="32"/>
      <c r="AM324" s="32"/>
    </row>
    <row r="325" spans="1:39">
      <c r="A325" s="32" t="str">
        <f>_xlfn.XLOOKUP(B325,Input!J:J,Input!G:G)&amp;""</f>
        <v/>
      </c>
      <c r="B325" s="32"/>
      <c r="C325" s="32" t="str">
        <f>_xlfn.XLOOKUP(B325,Input!J:J,Input!H:H)&amp;""</f>
        <v/>
      </c>
      <c r="D325" s="42">
        <f>_xlfn.XLOOKUP(B325,Input!J:J,Input!F:F)</f>
        <v>0</v>
      </c>
      <c r="E325" s="32">
        <f>_xlfn.XLOOKUP(D325,Models!H:H,Models!G:G,D325)</f>
        <v>0</v>
      </c>
      <c r="F325" s="32">
        <f>_xlfn.XLOOKUP(B325,Input!J:J,Input!E:E)</f>
        <v>0</v>
      </c>
      <c r="G325" s="32">
        <f>IF(F325="LENOVO",_xlfn.XLOOKUP(B325,Input!J:J,Input!K:K),_xlfn.XLOOKUP(B325,Input!J:J,Input!L:L))</f>
        <v>0</v>
      </c>
      <c r="H325" s="32"/>
      <c r="I325" s="32"/>
      <c r="J325" s="32"/>
      <c r="K325" s="42" t="e">
        <f>INDEX(Input!$D$2:$AC$500,
       MATCH(B325, Input!$J$2:$J$500, 0),
       MATCH("Total Memory", Input!$D$1:$AC$1, 0))</f>
        <v>#N/A</v>
      </c>
      <c r="L325" s="42"/>
      <c r="M325" s="42" t="str" cm="1">
        <f t="array" ref="M325">IFERROR(_xlfn.FILTERXML("&lt;t&gt;&lt;s&gt;" &amp; SUBSTITUTE(L325," / ","&lt;/s&gt;&lt;s&gt;") &amp; "&lt;/s&gt;&lt;/t&gt;","(//s[contains(.,'DDR')])[1]"),"")</f>
        <v/>
      </c>
      <c r="N325" s="32" t="e">
        <f t="shared" si="17"/>
        <v>#N/A</v>
      </c>
      <c r="O325" s="42" t="e">
        <f>INDEX(Input!$D$2:$AC$500,
       MATCH(B325, Input!$J$2:$J$500, 0),
       MATCH("Disk Interface Type", Input!$D$1:$AC$1, 0))</f>
        <v>#N/A</v>
      </c>
      <c r="P325" s="42" t="str" cm="1">
        <f t="array" ref="P325">IFERROR(_xlfn.TEXTJOIN(", ", TRUE, _xlfn._xlws.FILTER(
    INDEX(Input!$D$2:$AC$500,,MATCH("Disk Capacity",Input!$D$1:$AC$1,0)),
    Input!$J$2:$J$500=B325
)), "")</f>
        <v/>
      </c>
      <c r="Q325" s="32" t="e">
        <f t="shared" si="16"/>
        <v>#N/A</v>
      </c>
      <c r="R325" s="42" t="e">
        <f>_xlfn.LET(_xlpm.Result,INDEX(Input!$D$2:$AC$500,
       MATCH(B325, Input!$J$2:$J$500, 0),
       MATCH("Capacity", Input!$D$1:$AC$1, 0)),IF(_xlpm.Result="","",_xlpm.Result))</f>
        <v>#N/A</v>
      </c>
      <c r="S325" s="42" t="e" cm="1">
        <f t="array" ref="S325">_xlfn.TEXTSPLIT(R325," / ", ,TRUE,0,)</f>
        <v>#N/A</v>
      </c>
      <c r="T325" s="42"/>
      <c r="U325" s="42" t="str" cm="1">
        <f t="array" ref="U325">IFERROR(_xlfn.IFS(
S325="","",
--S325&lt;55,"Battery Defect",
--S325&lt;=69,"Battery D",
--S325&lt;=80,"Battery C",
--S325&gt;80,""
),"")</f>
        <v/>
      </c>
      <c r="V325" s="42" t="str" cm="1">
        <f t="array" ref="V325">IFERROR(_xlfn.IFS(
T325="","",
--T325&lt;55,"Battery Defect",
--T325&lt;=69,"Battery D",
--T325&lt;=80,"Battery C",
--T325&gt;80,""
),"")</f>
        <v/>
      </c>
      <c r="W325" s="42"/>
      <c r="X325" s="42"/>
      <c r="Y325" s="42"/>
      <c r="Z325" s="42"/>
      <c r="AA325" s="42"/>
      <c r="AB325" s="42"/>
      <c r="AC325" s="42"/>
      <c r="AD325" s="42"/>
      <c r="AE325" s="32" t="str">
        <f t="shared" si="15"/>
        <v/>
      </c>
      <c r="AF325" s="32"/>
      <c r="AG325" s="32"/>
      <c r="AH325" s="32"/>
      <c r="AI325" s="32"/>
      <c r="AJ325" s="32"/>
      <c r="AK325" s="32"/>
      <c r="AL325" s="32"/>
      <c r="AM325" s="32"/>
    </row>
    <row r="326" spans="1:39">
      <c r="A326" s="32" t="str">
        <f>_xlfn.XLOOKUP(B326,Input!J:J,Input!G:G)&amp;""</f>
        <v/>
      </c>
      <c r="B326" s="32"/>
      <c r="C326" s="32" t="str">
        <f>_xlfn.XLOOKUP(B326,Input!J:J,Input!H:H)&amp;""</f>
        <v/>
      </c>
      <c r="D326" s="42">
        <f>_xlfn.XLOOKUP(B326,Input!J:J,Input!F:F)</f>
        <v>0</v>
      </c>
      <c r="E326" s="32">
        <f>_xlfn.XLOOKUP(D326,Models!H:H,Models!G:G,D326)</f>
        <v>0</v>
      </c>
      <c r="F326" s="32">
        <f>_xlfn.XLOOKUP(B326,Input!J:J,Input!E:E)</f>
        <v>0</v>
      </c>
      <c r="G326" s="32">
        <f>IF(F326="LENOVO",_xlfn.XLOOKUP(B326,Input!J:J,Input!K:K),_xlfn.XLOOKUP(B326,Input!J:J,Input!L:L))</f>
        <v>0</v>
      </c>
      <c r="H326" s="32"/>
      <c r="I326" s="32"/>
      <c r="J326" s="32"/>
      <c r="K326" s="42" t="e">
        <f>INDEX(Input!$D$2:$AC$500,
       MATCH(B326, Input!$J$2:$J$500, 0),
       MATCH("Total Memory", Input!$D$1:$AC$1, 0))</f>
        <v>#N/A</v>
      </c>
      <c r="L326" s="42"/>
      <c r="M326" s="42" t="str" cm="1">
        <f t="array" ref="M326">IFERROR(_xlfn.FILTERXML("&lt;t&gt;&lt;s&gt;" &amp; SUBSTITUTE(L326," / ","&lt;/s&gt;&lt;s&gt;") &amp; "&lt;/s&gt;&lt;/t&gt;","(//s[contains(.,'DDR')])[1]"),"")</f>
        <v/>
      </c>
      <c r="N326" s="32" t="e">
        <f t="shared" si="17"/>
        <v>#N/A</v>
      </c>
      <c r="O326" s="42" t="e">
        <f>INDEX(Input!$D$2:$AC$500,
       MATCH(B326, Input!$J$2:$J$500, 0),
       MATCH("Disk Interface Type", Input!$D$1:$AC$1, 0))</f>
        <v>#N/A</v>
      </c>
      <c r="P326" s="42" t="str" cm="1">
        <f t="array" ref="P326">IFERROR(_xlfn.TEXTJOIN(", ", TRUE, _xlfn._xlws.FILTER(
    INDEX(Input!$D$2:$AC$500,,MATCH("Disk Capacity",Input!$D$1:$AC$1,0)),
    Input!$J$2:$J$500=B326
)), "")</f>
        <v/>
      </c>
      <c r="Q326" s="32" t="e">
        <f t="shared" si="16"/>
        <v>#N/A</v>
      </c>
      <c r="R326" s="42" t="e">
        <f>_xlfn.LET(_xlpm.Result,INDEX(Input!$D$2:$AC$500,
       MATCH(B326, Input!$J$2:$J$500, 0),
       MATCH("Capacity", Input!$D$1:$AC$1, 0)),IF(_xlpm.Result="","",_xlpm.Result))</f>
        <v>#N/A</v>
      </c>
      <c r="S326" s="42" t="e" cm="1">
        <f t="array" ref="S326">_xlfn.TEXTSPLIT(R326," / ", ,TRUE,0,)</f>
        <v>#N/A</v>
      </c>
      <c r="T326" s="42"/>
      <c r="U326" s="42" t="str" cm="1">
        <f t="array" ref="U326">IFERROR(_xlfn.IFS(
S326="","",
--S326&lt;55,"Battery Defect",
--S326&lt;=69,"Battery D",
--S326&lt;=80,"Battery C",
--S326&gt;80,""
),"")</f>
        <v/>
      </c>
      <c r="V326" s="42" t="str" cm="1">
        <f t="array" ref="V326">IFERROR(_xlfn.IFS(
T326="","",
--T326&lt;55,"Battery Defect",
--T326&lt;=69,"Battery D",
--T326&lt;=80,"Battery C",
--T326&gt;80,""
),"")</f>
        <v/>
      </c>
      <c r="W326" s="42"/>
      <c r="X326" s="42"/>
      <c r="Y326" s="42"/>
      <c r="Z326" s="42"/>
      <c r="AA326" s="42"/>
      <c r="AB326" s="42"/>
      <c r="AC326" s="42"/>
      <c r="AD326" s="42"/>
      <c r="AE326" s="32" t="str">
        <f t="shared" si="15"/>
        <v/>
      </c>
      <c r="AF326" s="32"/>
      <c r="AG326" s="32"/>
      <c r="AH326" s="32"/>
      <c r="AI326" s="32"/>
      <c r="AJ326" s="32"/>
      <c r="AK326" s="32"/>
      <c r="AL326" s="32"/>
      <c r="AM326" s="32"/>
    </row>
    <row r="327" spans="1:39">
      <c r="A327" s="32" t="str">
        <f>_xlfn.XLOOKUP(B327,Input!J:J,Input!G:G)&amp;""</f>
        <v/>
      </c>
      <c r="B327" s="32"/>
      <c r="C327" s="32" t="str">
        <f>_xlfn.XLOOKUP(B327,Input!J:J,Input!H:H)&amp;""</f>
        <v/>
      </c>
      <c r="D327" s="42">
        <f>_xlfn.XLOOKUP(B327,Input!J:J,Input!F:F)</f>
        <v>0</v>
      </c>
      <c r="E327" s="32">
        <f>_xlfn.XLOOKUP(D327,Models!H:H,Models!G:G,D327)</f>
        <v>0</v>
      </c>
      <c r="F327" s="32">
        <f>_xlfn.XLOOKUP(B327,Input!J:J,Input!E:E)</f>
        <v>0</v>
      </c>
      <c r="G327" s="32">
        <f>IF(F327="LENOVO",_xlfn.XLOOKUP(B327,Input!J:J,Input!K:K),_xlfn.XLOOKUP(B327,Input!J:J,Input!L:L))</f>
        <v>0</v>
      </c>
      <c r="H327" s="32"/>
      <c r="I327" s="32"/>
      <c r="J327" s="32"/>
      <c r="K327" s="42" t="e">
        <f>INDEX(Input!$D$2:$AC$500,
       MATCH(B327, Input!$J$2:$J$500, 0),
       MATCH("Total Memory", Input!$D$1:$AC$1, 0))</f>
        <v>#N/A</v>
      </c>
      <c r="L327" s="42"/>
      <c r="M327" s="42" t="str" cm="1">
        <f t="array" ref="M327">IFERROR(_xlfn.FILTERXML("&lt;t&gt;&lt;s&gt;" &amp; SUBSTITUTE(L327," / ","&lt;/s&gt;&lt;s&gt;") &amp; "&lt;/s&gt;&lt;/t&gt;","(//s[contains(.,'DDR')])[1]"),"")</f>
        <v/>
      </c>
      <c r="N327" s="32" t="e">
        <f t="shared" si="17"/>
        <v>#N/A</v>
      </c>
      <c r="O327" s="42" t="e">
        <f>INDEX(Input!$D$2:$AC$500,
       MATCH(B327, Input!$J$2:$J$500, 0),
       MATCH("Disk Interface Type", Input!$D$1:$AC$1, 0))</f>
        <v>#N/A</v>
      </c>
      <c r="P327" s="42" t="str" cm="1">
        <f t="array" ref="P327">IFERROR(_xlfn.TEXTJOIN(", ", TRUE, _xlfn._xlws.FILTER(
    INDEX(Input!$D$2:$AC$500,,MATCH("Disk Capacity",Input!$D$1:$AC$1,0)),
    Input!$J$2:$J$500=B327
)), "")</f>
        <v/>
      </c>
      <c r="Q327" s="32" t="e">
        <f t="shared" si="16"/>
        <v>#N/A</v>
      </c>
      <c r="R327" s="42" t="e">
        <f>_xlfn.LET(_xlpm.Result,INDEX(Input!$D$2:$AC$500,
       MATCH(B327, Input!$J$2:$J$500, 0),
       MATCH("Capacity", Input!$D$1:$AC$1, 0)),IF(_xlpm.Result="","",_xlpm.Result))</f>
        <v>#N/A</v>
      </c>
      <c r="S327" s="42" t="e" cm="1">
        <f t="array" ref="S327">_xlfn.TEXTSPLIT(R327," / ", ,TRUE,0,)</f>
        <v>#N/A</v>
      </c>
      <c r="T327" s="42"/>
      <c r="U327" s="42" t="str" cm="1">
        <f t="array" ref="U327">IFERROR(_xlfn.IFS(
S327="","",
--S327&lt;55,"Battery Defect",
--S327&lt;=69,"Battery D",
--S327&lt;=80,"Battery C",
--S327&gt;80,""
),"")</f>
        <v/>
      </c>
      <c r="V327" s="42" t="str" cm="1">
        <f t="array" ref="V327">IFERROR(_xlfn.IFS(
T327="","",
--T327&lt;55,"Battery Defect",
--T327&lt;=69,"Battery D",
--T327&lt;=80,"Battery C",
--T327&gt;80,""
),"")</f>
        <v/>
      </c>
      <c r="W327" s="42"/>
      <c r="X327" s="42"/>
      <c r="Y327" s="42"/>
      <c r="Z327" s="42"/>
      <c r="AA327" s="42"/>
      <c r="AB327" s="42"/>
      <c r="AC327" s="42"/>
      <c r="AD327" s="42"/>
      <c r="AE327" s="32" t="str">
        <f t="shared" si="15"/>
        <v/>
      </c>
      <c r="AF327" s="32"/>
      <c r="AG327" s="32"/>
      <c r="AH327" s="32"/>
      <c r="AI327" s="32"/>
      <c r="AJ327" s="32"/>
      <c r="AK327" s="32"/>
      <c r="AL327" s="32"/>
      <c r="AM327" s="32"/>
    </row>
    <row r="328" spans="1:39">
      <c r="A328" s="32" t="str">
        <f>_xlfn.XLOOKUP(B328,Input!J:J,Input!G:G)&amp;""</f>
        <v/>
      </c>
      <c r="B328" s="32"/>
      <c r="C328" s="32" t="str">
        <f>_xlfn.XLOOKUP(B328,Input!J:J,Input!H:H)&amp;""</f>
        <v/>
      </c>
      <c r="D328" s="42">
        <f>_xlfn.XLOOKUP(B328,Input!J:J,Input!F:F)</f>
        <v>0</v>
      </c>
      <c r="E328" s="32">
        <f>_xlfn.XLOOKUP(D328,Models!H:H,Models!G:G,D328)</f>
        <v>0</v>
      </c>
      <c r="F328" s="32">
        <f>_xlfn.XLOOKUP(B328,Input!J:J,Input!E:E)</f>
        <v>0</v>
      </c>
      <c r="G328" s="32">
        <f>IF(F328="LENOVO",_xlfn.XLOOKUP(B328,Input!J:J,Input!K:K),_xlfn.XLOOKUP(B328,Input!J:J,Input!L:L))</f>
        <v>0</v>
      </c>
      <c r="H328" s="32"/>
      <c r="I328" s="32"/>
      <c r="J328" s="32"/>
      <c r="K328" s="42" t="e">
        <f>INDEX(Input!$D$2:$AC$500,
       MATCH(B328, Input!$J$2:$J$500, 0),
       MATCH("Total Memory", Input!$D$1:$AC$1, 0))</f>
        <v>#N/A</v>
      </c>
      <c r="L328" s="42"/>
      <c r="M328" s="42" t="str" cm="1">
        <f t="array" ref="M328">IFERROR(_xlfn.FILTERXML("&lt;t&gt;&lt;s&gt;" &amp; SUBSTITUTE(L328," / ","&lt;/s&gt;&lt;s&gt;") &amp; "&lt;/s&gt;&lt;/t&gt;","(//s[contains(.,'DDR')])[1]"),"")</f>
        <v/>
      </c>
      <c r="N328" s="32" t="e">
        <f t="shared" si="17"/>
        <v>#N/A</v>
      </c>
      <c r="O328" s="42" t="e">
        <f>INDEX(Input!$D$2:$AC$500,
       MATCH(B328, Input!$J$2:$J$500, 0),
       MATCH("Disk Interface Type", Input!$D$1:$AC$1, 0))</f>
        <v>#N/A</v>
      </c>
      <c r="P328" s="42" t="str" cm="1">
        <f t="array" ref="P328">IFERROR(_xlfn.TEXTJOIN(", ", TRUE, _xlfn._xlws.FILTER(
    INDEX(Input!$D$2:$AC$500,,MATCH("Disk Capacity",Input!$D$1:$AC$1,0)),
    Input!$J$2:$J$500=B328
)), "")</f>
        <v/>
      </c>
      <c r="Q328" s="32" t="e">
        <f t="shared" si="16"/>
        <v>#N/A</v>
      </c>
      <c r="R328" s="42" t="e">
        <f>_xlfn.LET(_xlpm.Result,INDEX(Input!$D$2:$AC$500,
       MATCH(B328, Input!$J$2:$J$500, 0),
       MATCH("Capacity", Input!$D$1:$AC$1, 0)),IF(_xlpm.Result="","",_xlpm.Result))</f>
        <v>#N/A</v>
      </c>
      <c r="S328" s="42" t="e" cm="1">
        <f t="array" ref="S328">_xlfn.TEXTSPLIT(R328," / ", ,TRUE,0,)</f>
        <v>#N/A</v>
      </c>
      <c r="T328" s="42"/>
      <c r="U328" s="42" t="str" cm="1">
        <f t="array" ref="U328">IFERROR(_xlfn.IFS(
S328="","",
--S328&lt;55,"Battery Defect",
--S328&lt;=69,"Battery D",
--S328&lt;=80,"Battery C",
--S328&gt;80,""
),"")</f>
        <v/>
      </c>
      <c r="V328" s="42" t="str" cm="1">
        <f t="array" ref="V328">IFERROR(_xlfn.IFS(
T328="","",
--T328&lt;55,"Battery Defect",
--T328&lt;=69,"Battery D",
--T328&lt;=80,"Battery C",
--T328&gt;80,""
),"")</f>
        <v/>
      </c>
      <c r="W328" s="42"/>
      <c r="X328" s="42"/>
      <c r="Y328" s="42"/>
      <c r="Z328" s="42"/>
      <c r="AA328" s="42"/>
      <c r="AB328" s="42"/>
      <c r="AC328" s="42"/>
      <c r="AD328" s="42"/>
      <c r="AE328" s="32" t="str">
        <f t="shared" si="15"/>
        <v/>
      </c>
      <c r="AF328" s="32"/>
      <c r="AG328" s="32"/>
      <c r="AH328" s="32"/>
      <c r="AI328" s="32"/>
      <c r="AJ328" s="32"/>
      <c r="AK328" s="32"/>
      <c r="AL328" s="32"/>
      <c r="AM328" s="32"/>
    </row>
    <row r="329" spans="1:39">
      <c r="A329" s="32" t="str">
        <f>_xlfn.XLOOKUP(B329,Input!J:J,Input!G:G)&amp;""</f>
        <v/>
      </c>
      <c r="B329" s="32"/>
      <c r="C329" s="32" t="str">
        <f>_xlfn.XLOOKUP(B329,Input!J:J,Input!H:H)&amp;""</f>
        <v/>
      </c>
      <c r="D329" s="42">
        <f>_xlfn.XLOOKUP(B329,Input!J:J,Input!F:F)</f>
        <v>0</v>
      </c>
      <c r="E329" s="32">
        <f>_xlfn.XLOOKUP(D329,Models!H:H,Models!G:G,D329)</f>
        <v>0</v>
      </c>
      <c r="F329" s="32">
        <f>_xlfn.XLOOKUP(B329,Input!J:J,Input!E:E)</f>
        <v>0</v>
      </c>
      <c r="G329" s="32">
        <f>IF(F329="LENOVO",_xlfn.XLOOKUP(B329,Input!J:J,Input!K:K),_xlfn.XLOOKUP(B329,Input!J:J,Input!L:L))</f>
        <v>0</v>
      </c>
      <c r="H329" s="32"/>
      <c r="I329" s="32"/>
      <c r="J329" s="32"/>
      <c r="K329" s="42" t="e">
        <f>INDEX(Input!$D$2:$AC$500,
       MATCH(B329, Input!$J$2:$J$500, 0),
       MATCH("Total Memory", Input!$D$1:$AC$1, 0))</f>
        <v>#N/A</v>
      </c>
      <c r="L329" s="42"/>
      <c r="M329" s="42" t="str" cm="1">
        <f t="array" ref="M329">IFERROR(_xlfn.FILTERXML("&lt;t&gt;&lt;s&gt;" &amp; SUBSTITUTE(L329," / ","&lt;/s&gt;&lt;s&gt;") &amp; "&lt;/s&gt;&lt;/t&gt;","(//s[contains(.,'DDR')])[1]"),"")</f>
        <v/>
      </c>
      <c r="N329" s="32" t="e">
        <f t="shared" si="17"/>
        <v>#N/A</v>
      </c>
      <c r="O329" s="42" t="e">
        <f>INDEX(Input!$D$2:$AC$500,
       MATCH(B329, Input!$J$2:$J$500, 0),
       MATCH("Disk Interface Type", Input!$D$1:$AC$1, 0))</f>
        <v>#N/A</v>
      </c>
      <c r="P329" s="42" t="str" cm="1">
        <f t="array" ref="P329">IFERROR(_xlfn.TEXTJOIN(", ", TRUE, _xlfn._xlws.FILTER(
    INDEX(Input!$D$2:$AC$500,,MATCH("Disk Capacity",Input!$D$1:$AC$1,0)),
    Input!$J$2:$J$500=B329
)), "")</f>
        <v/>
      </c>
      <c r="Q329" s="32" t="e">
        <f t="shared" si="16"/>
        <v>#N/A</v>
      </c>
      <c r="R329" s="42" t="e">
        <f>_xlfn.LET(_xlpm.Result,INDEX(Input!$D$2:$AC$500,
       MATCH(B329, Input!$J$2:$J$500, 0),
       MATCH("Capacity", Input!$D$1:$AC$1, 0)),IF(_xlpm.Result="","",_xlpm.Result))</f>
        <v>#N/A</v>
      </c>
      <c r="S329" s="42" t="e" cm="1">
        <f t="array" ref="S329">_xlfn.TEXTSPLIT(R329," / ", ,TRUE,0,)</f>
        <v>#N/A</v>
      </c>
      <c r="T329" s="42"/>
      <c r="U329" s="42" t="str" cm="1">
        <f t="array" ref="U329">IFERROR(_xlfn.IFS(
S329="","",
--S329&lt;55,"Battery Defect",
--S329&lt;=69,"Battery D",
--S329&lt;=80,"Battery C",
--S329&gt;80,""
),"")</f>
        <v/>
      </c>
      <c r="V329" s="42" t="str" cm="1">
        <f t="array" ref="V329">IFERROR(_xlfn.IFS(
T329="","",
--T329&lt;55,"Battery Defect",
--T329&lt;=69,"Battery D",
--T329&lt;=80,"Battery C",
--T329&gt;80,""
),"")</f>
        <v/>
      </c>
      <c r="W329" s="42"/>
      <c r="X329" s="42"/>
      <c r="Y329" s="42"/>
      <c r="Z329" s="42"/>
      <c r="AA329" s="42"/>
      <c r="AB329" s="42"/>
      <c r="AC329" s="42"/>
      <c r="AD329" s="42"/>
      <c r="AE329" s="32" t="str">
        <f t="shared" si="15"/>
        <v/>
      </c>
      <c r="AF329" s="32"/>
      <c r="AG329" s="32"/>
      <c r="AH329" s="32"/>
      <c r="AI329" s="32"/>
      <c r="AJ329" s="32"/>
      <c r="AK329" s="32"/>
      <c r="AL329" s="32"/>
      <c r="AM329" s="32"/>
    </row>
    <row r="330" spans="1:39">
      <c r="A330" s="32" t="str">
        <f>_xlfn.XLOOKUP(B330,Input!J:J,Input!G:G)&amp;""</f>
        <v/>
      </c>
      <c r="B330" s="32"/>
      <c r="C330" s="32" t="str">
        <f>_xlfn.XLOOKUP(B330,Input!J:J,Input!H:H)&amp;""</f>
        <v/>
      </c>
      <c r="D330" s="42">
        <f>_xlfn.XLOOKUP(B330,Input!J:J,Input!F:F)</f>
        <v>0</v>
      </c>
      <c r="E330" s="32">
        <f>_xlfn.XLOOKUP(D330,Models!H:H,Models!G:G,D330)</f>
        <v>0</v>
      </c>
      <c r="F330" s="32">
        <f>_xlfn.XLOOKUP(B330,Input!J:J,Input!E:E)</f>
        <v>0</v>
      </c>
      <c r="G330" s="32">
        <f>IF(F330="LENOVO",_xlfn.XLOOKUP(B330,Input!J:J,Input!K:K),_xlfn.XLOOKUP(B330,Input!J:J,Input!L:L))</f>
        <v>0</v>
      </c>
      <c r="H330" s="32"/>
      <c r="I330" s="32"/>
      <c r="J330" s="32"/>
      <c r="K330" s="42" t="e">
        <f>INDEX(Input!$D$2:$AC$500,
       MATCH(B330, Input!$J$2:$J$500, 0),
       MATCH("Total Memory", Input!$D$1:$AC$1, 0))</f>
        <v>#N/A</v>
      </c>
      <c r="L330" s="42"/>
      <c r="M330" s="42" t="str" cm="1">
        <f t="array" ref="M330">IFERROR(_xlfn.FILTERXML("&lt;t&gt;&lt;s&gt;" &amp; SUBSTITUTE(L330," / ","&lt;/s&gt;&lt;s&gt;") &amp; "&lt;/s&gt;&lt;/t&gt;","(//s[contains(.,'DDR')])[1]"),"")</f>
        <v/>
      </c>
      <c r="N330" s="32" t="e">
        <f t="shared" si="17"/>
        <v>#N/A</v>
      </c>
      <c r="O330" s="42" t="e">
        <f>INDEX(Input!$D$2:$AC$500,
       MATCH(B330, Input!$J$2:$J$500, 0),
       MATCH("Disk Interface Type", Input!$D$1:$AC$1, 0))</f>
        <v>#N/A</v>
      </c>
      <c r="P330" s="42" t="str" cm="1">
        <f t="array" ref="P330">IFERROR(_xlfn.TEXTJOIN(", ", TRUE, _xlfn._xlws.FILTER(
    INDEX(Input!$D$2:$AC$500,,MATCH("Disk Capacity",Input!$D$1:$AC$1,0)),
    Input!$J$2:$J$500=B330
)), "")</f>
        <v/>
      </c>
      <c r="Q330" s="32" t="e">
        <f t="shared" si="16"/>
        <v>#N/A</v>
      </c>
      <c r="R330" s="42" t="e">
        <f>_xlfn.LET(_xlpm.Result,INDEX(Input!$D$2:$AC$500,
       MATCH(B330, Input!$J$2:$J$500, 0),
       MATCH("Capacity", Input!$D$1:$AC$1, 0)),IF(_xlpm.Result="","",_xlpm.Result))</f>
        <v>#N/A</v>
      </c>
      <c r="S330" s="42" t="e" cm="1">
        <f t="array" ref="S330">_xlfn.TEXTSPLIT(R330," / ", ,TRUE,0,)</f>
        <v>#N/A</v>
      </c>
      <c r="T330" s="42"/>
      <c r="U330" s="42" t="str" cm="1">
        <f t="array" ref="U330">IFERROR(_xlfn.IFS(
S330="","",
--S330&lt;55,"Battery Defect",
--S330&lt;=69,"Battery D",
--S330&lt;=80,"Battery C",
--S330&gt;80,""
),"")</f>
        <v/>
      </c>
      <c r="V330" s="42" t="str" cm="1">
        <f t="array" ref="V330">IFERROR(_xlfn.IFS(
T330="","",
--T330&lt;55,"Battery Defect",
--T330&lt;=69,"Battery D",
--T330&lt;=80,"Battery C",
--T330&gt;80,""
),"")</f>
        <v/>
      </c>
      <c r="W330" s="42"/>
      <c r="X330" s="42"/>
      <c r="Y330" s="42"/>
      <c r="Z330" s="42"/>
      <c r="AA330" s="42"/>
      <c r="AB330" s="42"/>
      <c r="AC330" s="42"/>
      <c r="AD330" s="42"/>
      <c r="AE330" s="32" t="str">
        <f t="shared" si="15"/>
        <v/>
      </c>
      <c r="AF330" s="32"/>
      <c r="AG330" s="32"/>
      <c r="AH330" s="32"/>
      <c r="AI330" s="32"/>
      <c r="AJ330" s="32"/>
      <c r="AK330" s="32"/>
      <c r="AL330" s="32"/>
      <c r="AM330" s="32"/>
    </row>
    <row r="331" spans="1:39">
      <c r="A331" s="32" t="str">
        <f>_xlfn.XLOOKUP(B331,Input!J:J,Input!G:G)&amp;""</f>
        <v/>
      </c>
      <c r="B331" s="32"/>
      <c r="C331" s="32" t="str">
        <f>_xlfn.XLOOKUP(B331,Input!J:J,Input!H:H)&amp;""</f>
        <v/>
      </c>
      <c r="D331" s="42">
        <f>_xlfn.XLOOKUP(B331,Input!J:J,Input!F:F)</f>
        <v>0</v>
      </c>
      <c r="E331" s="32">
        <f>_xlfn.XLOOKUP(D331,Models!H:H,Models!G:G,D331)</f>
        <v>0</v>
      </c>
      <c r="F331" s="32">
        <f>_xlfn.XLOOKUP(B331,Input!J:J,Input!E:E)</f>
        <v>0</v>
      </c>
      <c r="G331" s="32">
        <f>IF(F331="LENOVO",_xlfn.XLOOKUP(B331,Input!J:J,Input!K:K),_xlfn.XLOOKUP(B331,Input!J:J,Input!L:L))</f>
        <v>0</v>
      </c>
      <c r="H331" s="32"/>
      <c r="I331" s="32"/>
      <c r="J331" s="32"/>
      <c r="K331" s="42" t="e">
        <f>INDEX(Input!$D$2:$AC$500,
       MATCH(B331, Input!$J$2:$J$500, 0),
       MATCH("Total Memory", Input!$D$1:$AC$1, 0))</f>
        <v>#N/A</v>
      </c>
      <c r="L331" s="42"/>
      <c r="M331" s="42" t="str" cm="1">
        <f t="array" ref="M331">IFERROR(_xlfn.FILTERXML("&lt;t&gt;&lt;s&gt;" &amp; SUBSTITUTE(L331," / ","&lt;/s&gt;&lt;s&gt;") &amp; "&lt;/s&gt;&lt;/t&gt;","(//s[contains(.,'DDR')])[1]"),"")</f>
        <v/>
      </c>
      <c r="N331" s="32" t="e">
        <f t="shared" si="17"/>
        <v>#N/A</v>
      </c>
      <c r="O331" s="42" t="e">
        <f>INDEX(Input!$D$2:$AC$500,
       MATCH(B331, Input!$J$2:$J$500, 0),
       MATCH("Disk Interface Type", Input!$D$1:$AC$1, 0))</f>
        <v>#N/A</v>
      </c>
      <c r="P331" s="42" t="str" cm="1">
        <f t="array" ref="P331">IFERROR(_xlfn.TEXTJOIN(", ", TRUE, _xlfn._xlws.FILTER(
    INDEX(Input!$D$2:$AC$500,,MATCH("Disk Capacity",Input!$D$1:$AC$1,0)),
    Input!$J$2:$J$500=B331
)), "")</f>
        <v/>
      </c>
      <c r="Q331" s="32" t="e">
        <f t="shared" si="16"/>
        <v>#N/A</v>
      </c>
      <c r="R331" s="42" t="e">
        <f>_xlfn.LET(_xlpm.Result,INDEX(Input!$D$2:$AC$500,
       MATCH(B331, Input!$J$2:$J$500, 0),
       MATCH("Capacity", Input!$D$1:$AC$1, 0)),IF(_xlpm.Result="","",_xlpm.Result))</f>
        <v>#N/A</v>
      </c>
      <c r="S331" s="42" t="e" cm="1">
        <f t="array" ref="S331">_xlfn.TEXTSPLIT(R331," / ", ,TRUE,0,)</f>
        <v>#N/A</v>
      </c>
      <c r="T331" s="42"/>
      <c r="U331" s="42" t="str" cm="1">
        <f t="array" ref="U331">IFERROR(_xlfn.IFS(
S331="","",
--S331&lt;55,"Battery Defect",
--S331&lt;=69,"Battery D",
--S331&lt;=80,"Battery C",
--S331&gt;80,""
),"")</f>
        <v/>
      </c>
      <c r="V331" s="42" t="str" cm="1">
        <f t="array" ref="V331">IFERROR(_xlfn.IFS(
T331="","",
--T331&lt;55,"Battery Defect",
--T331&lt;=69,"Battery D",
--T331&lt;=80,"Battery C",
--T331&gt;80,""
),"")</f>
        <v/>
      </c>
      <c r="W331" s="42"/>
      <c r="X331" s="42"/>
      <c r="Y331" s="42"/>
      <c r="Z331" s="42"/>
      <c r="AA331" s="42"/>
      <c r="AB331" s="42"/>
      <c r="AC331" s="42"/>
      <c r="AD331" s="42"/>
      <c r="AE331" s="32" t="str">
        <f t="shared" si="15"/>
        <v/>
      </c>
      <c r="AF331" s="32"/>
      <c r="AG331" s="32"/>
      <c r="AH331" s="32"/>
      <c r="AI331" s="32"/>
      <c r="AJ331" s="32"/>
      <c r="AK331" s="32"/>
      <c r="AL331" s="32"/>
      <c r="AM331" s="32"/>
    </row>
    <row r="332" spans="1:39">
      <c r="A332" s="32" t="str">
        <f>_xlfn.XLOOKUP(B332,Input!J:J,Input!G:G)&amp;""</f>
        <v/>
      </c>
      <c r="B332" s="32"/>
      <c r="C332" s="32" t="str">
        <f>_xlfn.XLOOKUP(B332,Input!J:J,Input!H:H)&amp;""</f>
        <v/>
      </c>
      <c r="D332" s="42">
        <f>_xlfn.XLOOKUP(B332,Input!J:J,Input!F:F)</f>
        <v>0</v>
      </c>
      <c r="E332" s="32">
        <f>_xlfn.XLOOKUP(D332,Models!H:H,Models!G:G,D332)</f>
        <v>0</v>
      </c>
      <c r="F332" s="32">
        <f>_xlfn.XLOOKUP(B332,Input!J:J,Input!E:E)</f>
        <v>0</v>
      </c>
      <c r="G332" s="32">
        <f>IF(F332="LENOVO",_xlfn.XLOOKUP(B332,Input!J:J,Input!K:K),_xlfn.XLOOKUP(B332,Input!J:J,Input!L:L))</f>
        <v>0</v>
      </c>
      <c r="H332" s="32"/>
      <c r="I332" s="32"/>
      <c r="J332" s="32"/>
      <c r="K332" s="42" t="e">
        <f>INDEX(Input!$D$2:$AC$500,
       MATCH(B332, Input!$J$2:$J$500, 0),
       MATCH("Total Memory", Input!$D$1:$AC$1, 0))</f>
        <v>#N/A</v>
      </c>
      <c r="L332" s="42"/>
      <c r="M332" s="42" t="str" cm="1">
        <f t="array" ref="M332">IFERROR(_xlfn.FILTERXML("&lt;t&gt;&lt;s&gt;" &amp; SUBSTITUTE(L332," / ","&lt;/s&gt;&lt;s&gt;") &amp; "&lt;/s&gt;&lt;/t&gt;","(//s[contains(.,'DDR')])[1]"),"")</f>
        <v/>
      </c>
      <c r="N332" s="32" t="e">
        <f t="shared" si="17"/>
        <v>#N/A</v>
      </c>
      <c r="O332" s="42" t="e">
        <f>INDEX(Input!$D$2:$AC$500,
       MATCH(B332, Input!$J$2:$J$500, 0),
       MATCH("Disk Interface Type", Input!$D$1:$AC$1, 0))</f>
        <v>#N/A</v>
      </c>
      <c r="P332" s="42" t="str" cm="1">
        <f t="array" ref="P332">IFERROR(_xlfn.TEXTJOIN(", ", TRUE, _xlfn._xlws.FILTER(
    INDEX(Input!$D$2:$AC$500,,MATCH("Disk Capacity",Input!$D$1:$AC$1,0)),
    Input!$J$2:$J$500=B332
)), "")</f>
        <v/>
      </c>
      <c r="Q332" s="32" t="e">
        <f t="shared" si="16"/>
        <v>#N/A</v>
      </c>
      <c r="R332" s="42" t="e">
        <f>_xlfn.LET(_xlpm.Result,INDEX(Input!$D$2:$AC$500,
       MATCH(B332, Input!$J$2:$J$500, 0),
       MATCH("Capacity", Input!$D$1:$AC$1, 0)),IF(_xlpm.Result="","",_xlpm.Result))</f>
        <v>#N/A</v>
      </c>
      <c r="S332" s="42" t="e" cm="1">
        <f t="array" ref="S332">_xlfn.TEXTSPLIT(R332," / ", ,TRUE,0,)</f>
        <v>#N/A</v>
      </c>
      <c r="T332" s="42"/>
      <c r="U332" s="42" t="str" cm="1">
        <f t="array" ref="U332">IFERROR(_xlfn.IFS(
S332="","",
--S332&lt;55,"Battery Defect",
--S332&lt;=69,"Battery D",
--S332&lt;=80,"Battery C",
--S332&gt;80,""
),"")</f>
        <v/>
      </c>
      <c r="V332" s="42" t="str" cm="1">
        <f t="array" ref="V332">IFERROR(_xlfn.IFS(
T332="","",
--T332&lt;55,"Battery Defect",
--T332&lt;=69,"Battery D",
--T332&lt;=80,"Battery C",
--T332&gt;80,""
),"")</f>
        <v/>
      </c>
      <c r="W332" s="42"/>
      <c r="X332" s="42"/>
      <c r="Y332" s="42"/>
      <c r="Z332" s="42"/>
      <c r="AA332" s="42"/>
      <c r="AB332" s="42"/>
      <c r="AC332" s="42"/>
      <c r="AD332" s="42"/>
      <c r="AE332" s="32" t="str">
        <f t="shared" si="15"/>
        <v/>
      </c>
      <c r="AF332" s="32"/>
      <c r="AG332" s="32"/>
      <c r="AH332" s="32"/>
      <c r="AI332" s="32"/>
      <c r="AJ332" s="32"/>
      <c r="AK332" s="32"/>
      <c r="AL332" s="32"/>
      <c r="AM332" s="32"/>
    </row>
    <row r="333" spans="1:39">
      <c r="A333" s="32" t="str">
        <f>_xlfn.XLOOKUP(B333,Input!J:J,Input!G:G)&amp;""</f>
        <v/>
      </c>
      <c r="B333" s="32"/>
      <c r="C333" s="32" t="str">
        <f>_xlfn.XLOOKUP(B333,Input!J:J,Input!H:H)&amp;""</f>
        <v/>
      </c>
      <c r="D333" s="42">
        <f>_xlfn.XLOOKUP(B333,Input!J:J,Input!F:F)</f>
        <v>0</v>
      </c>
      <c r="E333" s="32">
        <f>_xlfn.XLOOKUP(D333,Models!H:H,Models!G:G,D333)</f>
        <v>0</v>
      </c>
      <c r="F333" s="32">
        <f>_xlfn.XLOOKUP(B333,Input!J:J,Input!E:E)</f>
        <v>0</v>
      </c>
      <c r="G333" s="32">
        <f>IF(F333="LENOVO",_xlfn.XLOOKUP(B333,Input!J:J,Input!K:K),_xlfn.XLOOKUP(B333,Input!J:J,Input!L:L))</f>
        <v>0</v>
      </c>
      <c r="H333" s="32"/>
      <c r="I333" s="32"/>
      <c r="J333" s="32"/>
      <c r="K333" s="42" t="e">
        <f>INDEX(Input!$D$2:$AC$500,
       MATCH(B333, Input!$J$2:$J$500, 0),
       MATCH("Total Memory", Input!$D$1:$AC$1, 0))</f>
        <v>#N/A</v>
      </c>
      <c r="L333" s="42"/>
      <c r="M333" s="42" t="str" cm="1">
        <f t="array" ref="M333">IFERROR(_xlfn.FILTERXML("&lt;t&gt;&lt;s&gt;" &amp; SUBSTITUTE(L333," / ","&lt;/s&gt;&lt;s&gt;") &amp; "&lt;/s&gt;&lt;/t&gt;","(//s[contains(.,'DDR')])[1]"),"")</f>
        <v/>
      </c>
      <c r="N333" s="32" t="e">
        <f t="shared" si="17"/>
        <v>#N/A</v>
      </c>
      <c r="O333" s="42" t="e">
        <f>INDEX(Input!$D$2:$AC$500,
       MATCH(B333, Input!$J$2:$J$500, 0),
       MATCH("Disk Interface Type", Input!$D$1:$AC$1, 0))</f>
        <v>#N/A</v>
      </c>
      <c r="P333" s="42" t="str" cm="1">
        <f t="array" ref="P333">IFERROR(_xlfn.TEXTJOIN(", ", TRUE, _xlfn._xlws.FILTER(
    INDEX(Input!$D$2:$AC$500,,MATCH("Disk Capacity",Input!$D$1:$AC$1,0)),
    Input!$J$2:$J$500=B333
)), "")</f>
        <v/>
      </c>
      <c r="Q333" s="32" t="e">
        <f t="shared" si="16"/>
        <v>#N/A</v>
      </c>
      <c r="R333" s="42" t="e">
        <f>_xlfn.LET(_xlpm.Result,INDEX(Input!$D$2:$AC$500,
       MATCH(B333, Input!$J$2:$J$500, 0),
       MATCH("Capacity", Input!$D$1:$AC$1, 0)),IF(_xlpm.Result="","",_xlpm.Result))</f>
        <v>#N/A</v>
      </c>
      <c r="S333" s="42" t="e" cm="1">
        <f t="array" ref="S333">_xlfn.TEXTSPLIT(R333," / ", ,TRUE,0,)</f>
        <v>#N/A</v>
      </c>
      <c r="T333" s="42"/>
      <c r="U333" s="42" t="str" cm="1">
        <f t="array" ref="U333">IFERROR(_xlfn.IFS(
S333="","",
--S333&lt;55,"Battery Defect",
--S333&lt;=69,"Battery D",
--S333&lt;=80,"Battery C",
--S333&gt;80,""
),"")</f>
        <v/>
      </c>
      <c r="V333" s="42" t="str" cm="1">
        <f t="array" ref="V333">IFERROR(_xlfn.IFS(
T333="","",
--T333&lt;55,"Battery Defect",
--T333&lt;=69,"Battery D",
--T333&lt;=80,"Battery C",
--T333&gt;80,""
),"")</f>
        <v/>
      </c>
      <c r="W333" s="42"/>
      <c r="X333" s="42"/>
      <c r="Y333" s="42"/>
      <c r="Z333" s="42"/>
      <c r="AA333" s="42"/>
      <c r="AB333" s="42"/>
      <c r="AC333" s="42"/>
      <c r="AD333" s="42"/>
      <c r="AE333" s="32" t="str">
        <f t="shared" si="15"/>
        <v/>
      </c>
      <c r="AF333" s="32"/>
      <c r="AG333" s="32"/>
      <c r="AH333" s="32"/>
      <c r="AI333" s="32"/>
      <c r="AJ333" s="32"/>
      <c r="AK333" s="32"/>
      <c r="AL333" s="32"/>
      <c r="AM333" s="32"/>
    </row>
    <row r="334" spans="1:39">
      <c r="A334" s="32" t="str">
        <f>_xlfn.XLOOKUP(B334,Input!J:J,Input!G:G)&amp;""</f>
        <v/>
      </c>
      <c r="B334" s="32"/>
      <c r="C334" s="32" t="str">
        <f>_xlfn.XLOOKUP(B334,Input!J:J,Input!H:H)&amp;""</f>
        <v/>
      </c>
      <c r="D334" s="42">
        <f>_xlfn.XLOOKUP(B334,Input!J:J,Input!F:F)</f>
        <v>0</v>
      </c>
      <c r="E334" s="32">
        <f>_xlfn.XLOOKUP(D334,Models!H:H,Models!G:G,D334)</f>
        <v>0</v>
      </c>
      <c r="F334" s="32">
        <f>_xlfn.XLOOKUP(B334,Input!J:J,Input!E:E)</f>
        <v>0</v>
      </c>
      <c r="G334" s="32">
        <f>IF(F334="LENOVO",_xlfn.XLOOKUP(B334,Input!J:J,Input!K:K),_xlfn.XLOOKUP(B334,Input!J:J,Input!L:L))</f>
        <v>0</v>
      </c>
      <c r="H334" s="32"/>
      <c r="I334" s="32"/>
      <c r="J334" s="32"/>
      <c r="K334" s="42" t="e">
        <f>INDEX(Input!$D$2:$AC$500,
       MATCH(B334, Input!$J$2:$J$500, 0),
       MATCH("Total Memory", Input!$D$1:$AC$1, 0))</f>
        <v>#N/A</v>
      </c>
      <c r="L334" s="42"/>
      <c r="M334" s="42" t="str" cm="1">
        <f t="array" ref="M334">IFERROR(_xlfn.FILTERXML("&lt;t&gt;&lt;s&gt;" &amp; SUBSTITUTE(L334," / ","&lt;/s&gt;&lt;s&gt;") &amp; "&lt;/s&gt;&lt;/t&gt;","(//s[contains(.,'DDR')])[1]"),"")</f>
        <v/>
      </c>
      <c r="N334" s="32" t="e">
        <f t="shared" si="17"/>
        <v>#N/A</v>
      </c>
      <c r="O334" s="42" t="e">
        <f>INDEX(Input!$D$2:$AC$500,
       MATCH(B334, Input!$J$2:$J$500, 0),
       MATCH("Disk Interface Type", Input!$D$1:$AC$1, 0))</f>
        <v>#N/A</v>
      </c>
      <c r="P334" s="42" t="str" cm="1">
        <f t="array" ref="P334">IFERROR(_xlfn.TEXTJOIN(", ", TRUE, _xlfn._xlws.FILTER(
    INDEX(Input!$D$2:$AC$500,,MATCH("Disk Capacity",Input!$D$1:$AC$1,0)),
    Input!$J$2:$J$500=B334
)), "")</f>
        <v/>
      </c>
      <c r="Q334" s="32" t="e">
        <f t="shared" si="16"/>
        <v>#N/A</v>
      </c>
      <c r="R334" s="42" t="e">
        <f>_xlfn.LET(_xlpm.Result,INDEX(Input!$D$2:$AC$500,
       MATCH(B334, Input!$J$2:$J$500, 0),
       MATCH("Capacity", Input!$D$1:$AC$1, 0)),IF(_xlpm.Result="","",_xlpm.Result))</f>
        <v>#N/A</v>
      </c>
      <c r="S334" s="42" t="e" cm="1">
        <f t="array" ref="S334">_xlfn.TEXTSPLIT(R334," / ", ,TRUE,0,)</f>
        <v>#N/A</v>
      </c>
      <c r="T334" s="42"/>
      <c r="U334" s="42" t="str" cm="1">
        <f t="array" ref="U334">IFERROR(_xlfn.IFS(
S334="","",
--S334&lt;55,"Battery Defect",
--S334&lt;=69,"Battery D",
--S334&lt;=80,"Battery C",
--S334&gt;80,""
),"")</f>
        <v/>
      </c>
      <c r="V334" s="42" t="str" cm="1">
        <f t="array" ref="V334">IFERROR(_xlfn.IFS(
T334="","",
--T334&lt;55,"Battery Defect",
--T334&lt;=69,"Battery D",
--T334&lt;=80,"Battery C",
--T334&gt;80,""
),"")</f>
        <v/>
      </c>
      <c r="W334" s="42"/>
      <c r="X334" s="42"/>
      <c r="Y334" s="42"/>
      <c r="Z334" s="42"/>
      <c r="AA334" s="42"/>
      <c r="AB334" s="42"/>
      <c r="AC334" s="42"/>
      <c r="AD334" s="42"/>
      <c r="AE334" s="32" t="str">
        <f t="shared" si="15"/>
        <v/>
      </c>
      <c r="AF334" s="32"/>
      <c r="AG334" s="32"/>
      <c r="AH334" s="32"/>
      <c r="AI334" s="32"/>
      <c r="AJ334" s="32"/>
      <c r="AK334" s="32"/>
      <c r="AL334" s="32"/>
      <c r="AM334" s="32"/>
    </row>
    <row r="335" spans="1:39">
      <c r="A335" s="32" t="str">
        <f>_xlfn.XLOOKUP(B335,Input!J:J,Input!G:G)&amp;""</f>
        <v/>
      </c>
      <c r="B335" s="32"/>
      <c r="C335" s="32" t="str">
        <f>_xlfn.XLOOKUP(B335,Input!J:J,Input!H:H)&amp;""</f>
        <v/>
      </c>
      <c r="D335" s="42">
        <f>_xlfn.XLOOKUP(B335,Input!J:J,Input!F:F)</f>
        <v>0</v>
      </c>
      <c r="E335" s="32">
        <f>_xlfn.XLOOKUP(D335,Models!H:H,Models!G:G,D335)</f>
        <v>0</v>
      </c>
      <c r="F335" s="32">
        <f>_xlfn.XLOOKUP(B335,Input!J:J,Input!E:E)</f>
        <v>0</v>
      </c>
      <c r="G335" s="32">
        <f>IF(F335="LENOVO",_xlfn.XLOOKUP(B335,Input!J:J,Input!K:K),_xlfn.XLOOKUP(B335,Input!J:J,Input!L:L))</f>
        <v>0</v>
      </c>
      <c r="H335" s="32"/>
      <c r="I335" s="32"/>
      <c r="J335" s="32"/>
      <c r="K335" s="42" t="e">
        <f>INDEX(Input!$D$2:$AC$500,
       MATCH(B335, Input!$J$2:$J$500, 0),
       MATCH("Total Memory", Input!$D$1:$AC$1, 0))</f>
        <v>#N/A</v>
      </c>
      <c r="L335" s="42"/>
      <c r="M335" s="42" t="str" cm="1">
        <f t="array" ref="M335">IFERROR(_xlfn.FILTERXML("&lt;t&gt;&lt;s&gt;" &amp; SUBSTITUTE(L335," / ","&lt;/s&gt;&lt;s&gt;") &amp; "&lt;/s&gt;&lt;/t&gt;","(//s[contains(.,'DDR')])[1]"),"")</f>
        <v/>
      </c>
      <c r="N335" s="32" t="e">
        <f t="shared" si="17"/>
        <v>#N/A</v>
      </c>
      <c r="O335" s="42" t="e">
        <f>INDEX(Input!$D$2:$AC$500,
       MATCH(B335, Input!$J$2:$J$500, 0),
       MATCH("Disk Interface Type", Input!$D$1:$AC$1, 0))</f>
        <v>#N/A</v>
      </c>
      <c r="P335" s="42" t="str" cm="1">
        <f t="array" ref="P335">IFERROR(_xlfn.TEXTJOIN(", ", TRUE, _xlfn._xlws.FILTER(
    INDEX(Input!$D$2:$AC$500,,MATCH("Disk Capacity",Input!$D$1:$AC$1,0)),
    Input!$J$2:$J$500=B335
)), "")</f>
        <v/>
      </c>
      <c r="Q335" s="32" t="e">
        <f t="shared" si="16"/>
        <v>#N/A</v>
      </c>
      <c r="R335" s="42" t="e">
        <f>_xlfn.LET(_xlpm.Result,INDEX(Input!$D$2:$AC$500,
       MATCH(B335, Input!$J$2:$J$500, 0),
       MATCH("Capacity", Input!$D$1:$AC$1, 0)),IF(_xlpm.Result="","",_xlpm.Result))</f>
        <v>#N/A</v>
      </c>
      <c r="S335" s="42" t="e" cm="1">
        <f t="array" ref="S335">_xlfn.TEXTSPLIT(R335," / ", ,TRUE,0,)</f>
        <v>#N/A</v>
      </c>
      <c r="T335" s="42"/>
      <c r="U335" s="42" t="str" cm="1">
        <f t="array" ref="U335">IFERROR(_xlfn.IFS(
S335="","",
--S335&lt;55,"Battery Defect",
--S335&lt;=69,"Battery D",
--S335&lt;=80,"Battery C",
--S335&gt;80,""
),"")</f>
        <v/>
      </c>
      <c r="V335" s="42" t="str" cm="1">
        <f t="array" ref="V335">IFERROR(_xlfn.IFS(
T335="","",
--T335&lt;55,"Battery Defect",
--T335&lt;=69,"Battery D",
--T335&lt;=80,"Battery C",
--T335&gt;80,""
),"")</f>
        <v/>
      </c>
      <c r="W335" s="42"/>
      <c r="X335" s="42"/>
      <c r="Y335" s="42"/>
      <c r="Z335" s="42"/>
      <c r="AA335" s="42"/>
      <c r="AB335" s="42"/>
      <c r="AC335" s="42"/>
      <c r="AD335" s="42"/>
      <c r="AE335" s="32" t="str">
        <f t="shared" si="15"/>
        <v/>
      </c>
      <c r="AF335" s="32"/>
      <c r="AG335" s="32"/>
      <c r="AH335" s="32"/>
      <c r="AI335" s="32"/>
      <c r="AJ335" s="32"/>
      <c r="AK335" s="32"/>
      <c r="AL335" s="32"/>
      <c r="AM335" s="32"/>
    </row>
    <row r="336" spans="1:39">
      <c r="A336" s="32" t="str">
        <f>_xlfn.XLOOKUP(B336,Input!J:J,Input!G:G)&amp;""</f>
        <v/>
      </c>
      <c r="B336" s="32"/>
      <c r="C336" s="32" t="str">
        <f>_xlfn.XLOOKUP(B336,Input!J:J,Input!H:H)&amp;""</f>
        <v/>
      </c>
      <c r="D336" s="42">
        <f>_xlfn.XLOOKUP(B336,Input!J:J,Input!F:F)</f>
        <v>0</v>
      </c>
      <c r="E336" s="32">
        <f>_xlfn.XLOOKUP(D336,Models!H:H,Models!G:G,D336)</f>
        <v>0</v>
      </c>
      <c r="F336" s="32">
        <f>_xlfn.XLOOKUP(B336,Input!J:J,Input!E:E)</f>
        <v>0</v>
      </c>
      <c r="G336" s="32">
        <f>IF(F336="LENOVO",_xlfn.XLOOKUP(B336,Input!J:J,Input!K:K),_xlfn.XLOOKUP(B336,Input!J:J,Input!L:L))</f>
        <v>0</v>
      </c>
      <c r="H336" s="32"/>
      <c r="I336" s="32"/>
      <c r="J336" s="32"/>
      <c r="K336" s="42" t="e">
        <f>INDEX(Input!$D$2:$AC$500,
       MATCH(B336, Input!$J$2:$J$500, 0),
       MATCH("Total Memory", Input!$D$1:$AC$1, 0))</f>
        <v>#N/A</v>
      </c>
      <c r="L336" s="42"/>
      <c r="M336" s="42" t="str" cm="1">
        <f t="array" ref="M336">IFERROR(_xlfn.FILTERXML("&lt;t&gt;&lt;s&gt;" &amp; SUBSTITUTE(L336," / ","&lt;/s&gt;&lt;s&gt;") &amp; "&lt;/s&gt;&lt;/t&gt;","(//s[contains(.,'DDR')])[1]"),"")</f>
        <v/>
      </c>
      <c r="N336" s="32" t="e">
        <f t="shared" si="17"/>
        <v>#N/A</v>
      </c>
      <c r="O336" s="42" t="e">
        <f>INDEX(Input!$D$2:$AC$500,
       MATCH(B336, Input!$J$2:$J$500, 0),
       MATCH("Disk Interface Type", Input!$D$1:$AC$1, 0))</f>
        <v>#N/A</v>
      </c>
      <c r="P336" s="42" t="str" cm="1">
        <f t="array" ref="P336">IFERROR(_xlfn.TEXTJOIN(", ", TRUE, _xlfn._xlws.FILTER(
    INDEX(Input!$D$2:$AC$500,,MATCH("Disk Capacity",Input!$D$1:$AC$1,0)),
    Input!$J$2:$J$500=B336
)), "")</f>
        <v/>
      </c>
      <c r="Q336" s="32" t="e">
        <f t="shared" si="16"/>
        <v>#N/A</v>
      </c>
      <c r="R336" s="42" t="e">
        <f>_xlfn.LET(_xlpm.Result,INDEX(Input!$D$2:$AC$500,
       MATCH(B336, Input!$J$2:$J$500, 0),
       MATCH("Capacity", Input!$D$1:$AC$1, 0)),IF(_xlpm.Result="","",_xlpm.Result))</f>
        <v>#N/A</v>
      </c>
      <c r="S336" s="42" t="e" cm="1">
        <f t="array" ref="S336">_xlfn.TEXTSPLIT(R336," / ", ,TRUE,0,)</f>
        <v>#N/A</v>
      </c>
      <c r="T336" s="42"/>
      <c r="U336" s="42" t="str" cm="1">
        <f t="array" ref="U336">IFERROR(_xlfn.IFS(
S336="","",
--S336&lt;55,"Battery Defect",
--S336&lt;=69,"Battery D",
--S336&lt;=80,"Battery C",
--S336&gt;80,""
),"")</f>
        <v/>
      </c>
      <c r="V336" s="42" t="str" cm="1">
        <f t="array" ref="V336">IFERROR(_xlfn.IFS(
T336="","",
--T336&lt;55,"Battery Defect",
--T336&lt;=69,"Battery D",
--T336&lt;=80,"Battery C",
--T336&gt;80,""
),"")</f>
        <v/>
      </c>
      <c r="W336" s="42"/>
      <c r="X336" s="42"/>
      <c r="Y336" s="42"/>
      <c r="Z336" s="42"/>
      <c r="AA336" s="42"/>
      <c r="AB336" s="42"/>
      <c r="AC336" s="42"/>
      <c r="AD336" s="42"/>
      <c r="AE336" s="32" t="str">
        <f t="shared" si="15"/>
        <v/>
      </c>
      <c r="AF336" s="32"/>
      <c r="AG336" s="32"/>
      <c r="AH336" s="32"/>
      <c r="AI336" s="32"/>
      <c r="AJ336" s="32"/>
      <c r="AK336" s="32"/>
      <c r="AL336" s="32"/>
      <c r="AM336" s="32"/>
    </row>
    <row r="337" spans="1:39">
      <c r="A337" s="32" t="str">
        <f>_xlfn.XLOOKUP(B337,Input!J:J,Input!G:G)&amp;""</f>
        <v/>
      </c>
      <c r="B337" s="32"/>
      <c r="C337" s="32" t="str">
        <f>_xlfn.XLOOKUP(B337,Input!J:J,Input!H:H)&amp;""</f>
        <v/>
      </c>
      <c r="D337" s="42">
        <f>_xlfn.XLOOKUP(B337,Input!J:J,Input!F:F)</f>
        <v>0</v>
      </c>
      <c r="E337" s="32">
        <f>_xlfn.XLOOKUP(D337,Models!H:H,Models!G:G,D337)</f>
        <v>0</v>
      </c>
      <c r="F337" s="32">
        <f>_xlfn.XLOOKUP(B337,Input!J:J,Input!E:E)</f>
        <v>0</v>
      </c>
      <c r="G337" s="32">
        <f>IF(F337="LENOVO",_xlfn.XLOOKUP(B337,Input!J:J,Input!K:K),_xlfn.XLOOKUP(B337,Input!J:J,Input!L:L))</f>
        <v>0</v>
      </c>
      <c r="H337" s="32"/>
      <c r="I337" s="32"/>
      <c r="J337" s="32"/>
      <c r="K337" s="42" t="e">
        <f>INDEX(Input!$D$2:$AC$500,
       MATCH(B337, Input!$J$2:$J$500, 0),
       MATCH("Total Memory", Input!$D$1:$AC$1, 0))</f>
        <v>#N/A</v>
      </c>
      <c r="L337" s="42"/>
      <c r="M337" s="42" t="str" cm="1">
        <f t="array" ref="M337">IFERROR(_xlfn.FILTERXML("&lt;t&gt;&lt;s&gt;" &amp; SUBSTITUTE(L337," / ","&lt;/s&gt;&lt;s&gt;") &amp; "&lt;/s&gt;&lt;/t&gt;","(//s[contains(.,'DDR')])[1]"),"")</f>
        <v/>
      </c>
      <c r="N337" s="32" t="e">
        <f t="shared" si="17"/>
        <v>#N/A</v>
      </c>
      <c r="O337" s="42" t="e">
        <f>INDEX(Input!$D$2:$AC$500,
       MATCH(B337, Input!$J$2:$J$500, 0),
       MATCH("Disk Interface Type", Input!$D$1:$AC$1, 0))</f>
        <v>#N/A</v>
      </c>
      <c r="P337" s="42" t="str" cm="1">
        <f t="array" ref="P337">IFERROR(_xlfn.TEXTJOIN(", ", TRUE, _xlfn._xlws.FILTER(
    INDEX(Input!$D$2:$AC$500,,MATCH("Disk Capacity",Input!$D$1:$AC$1,0)),
    Input!$J$2:$J$500=B337
)), "")</f>
        <v/>
      </c>
      <c r="Q337" s="32" t="e">
        <f t="shared" si="16"/>
        <v>#N/A</v>
      </c>
      <c r="R337" s="42" t="e">
        <f>_xlfn.LET(_xlpm.Result,INDEX(Input!$D$2:$AC$500,
       MATCH(B337, Input!$J$2:$J$500, 0),
       MATCH("Capacity", Input!$D$1:$AC$1, 0)),IF(_xlpm.Result="","",_xlpm.Result))</f>
        <v>#N/A</v>
      </c>
      <c r="S337" s="42" t="e" cm="1">
        <f t="array" ref="S337">_xlfn.TEXTSPLIT(R337," / ", ,TRUE,0,)</f>
        <v>#N/A</v>
      </c>
      <c r="T337" s="42"/>
      <c r="U337" s="42" t="str" cm="1">
        <f t="array" ref="U337">IFERROR(_xlfn.IFS(
S337="","",
--S337&lt;55,"Battery Defect",
--S337&lt;=69,"Battery D",
--S337&lt;=80,"Battery C",
--S337&gt;80,""
),"")</f>
        <v/>
      </c>
      <c r="V337" s="42" t="str" cm="1">
        <f t="array" ref="V337">IFERROR(_xlfn.IFS(
T337="","",
--T337&lt;55,"Battery Defect",
--T337&lt;=69,"Battery D",
--T337&lt;=80,"Battery C",
--T337&gt;80,""
),"")</f>
        <v/>
      </c>
      <c r="W337" s="42"/>
      <c r="X337" s="42"/>
      <c r="Y337" s="42"/>
      <c r="Z337" s="42"/>
      <c r="AA337" s="42"/>
      <c r="AB337" s="42"/>
      <c r="AC337" s="42"/>
      <c r="AD337" s="42"/>
      <c r="AE337" s="32" t="str">
        <f t="shared" si="15"/>
        <v/>
      </c>
      <c r="AF337" s="32"/>
      <c r="AG337" s="32"/>
      <c r="AH337" s="32"/>
      <c r="AI337" s="32"/>
      <c r="AJ337" s="32"/>
      <c r="AK337" s="32"/>
      <c r="AL337" s="32"/>
      <c r="AM337" s="32"/>
    </row>
    <row r="338" spans="1:39">
      <c r="A338" s="32" t="str">
        <f>_xlfn.XLOOKUP(B338,Input!J:J,Input!G:G)&amp;""</f>
        <v/>
      </c>
      <c r="B338" s="32"/>
      <c r="C338" s="32" t="str">
        <f>_xlfn.XLOOKUP(B338,Input!J:J,Input!H:H)&amp;""</f>
        <v/>
      </c>
      <c r="D338" s="42">
        <f>_xlfn.XLOOKUP(B338,Input!J:J,Input!F:F)</f>
        <v>0</v>
      </c>
      <c r="E338" s="32">
        <f>_xlfn.XLOOKUP(D338,Models!H:H,Models!G:G,D338)</f>
        <v>0</v>
      </c>
      <c r="F338" s="32">
        <f>_xlfn.XLOOKUP(B338,Input!J:J,Input!E:E)</f>
        <v>0</v>
      </c>
      <c r="G338" s="32">
        <f>IF(F338="LENOVO",_xlfn.XLOOKUP(B338,Input!J:J,Input!K:K),_xlfn.XLOOKUP(B338,Input!J:J,Input!L:L))</f>
        <v>0</v>
      </c>
      <c r="H338" s="32"/>
      <c r="I338" s="32"/>
      <c r="J338" s="32"/>
      <c r="K338" s="42" t="e">
        <f>INDEX(Input!$D$2:$AC$500,
       MATCH(B338, Input!$J$2:$J$500, 0),
       MATCH("Total Memory", Input!$D$1:$AC$1, 0))</f>
        <v>#N/A</v>
      </c>
      <c r="L338" s="42"/>
      <c r="M338" s="42" t="str" cm="1">
        <f t="array" ref="M338">IFERROR(_xlfn.FILTERXML("&lt;t&gt;&lt;s&gt;" &amp; SUBSTITUTE(L338," / ","&lt;/s&gt;&lt;s&gt;") &amp; "&lt;/s&gt;&lt;/t&gt;","(//s[contains(.,'DDR')])[1]"),"")</f>
        <v/>
      </c>
      <c r="N338" s="32" t="e">
        <f t="shared" si="17"/>
        <v>#N/A</v>
      </c>
      <c r="O338" s="42" t="e">
        <f>INDEX(Input!$D$2:$AC$500,
       MATCH(B338, Input!$J$2:$J$500, 0),
       MATCH("Disk Interface Type", Input!$D$1:$AC$1, 0))</f>
        <v>#N/A</v>
      </c>
      <c r="P338" s="42" t="str" cm="1">
        <f t="array" ref="P338">IFERROR(_xlfn.TEXTJOIN(", ", TRUE, _xlfn._xlws.FILTER(
    INDEX(Input!$D$2:$AC$500,,MATCH("Disk Capacity",Input!$D$1:$AC$1,0)),
    Input!$J$2:$J$500=B338
)), "")</f>
        <v/>
      </c>
      <c r="Q338" s="32" t="e">
        <f t="shared" si="16"/>
        <v>#N/A</v>
      </c>
      <c r="R338" s="42" t="e">
        <f>_xlfn.LET(_xlpm.Result,INDEX(Input!$D$2:$AC$500,
       MATCH(B338, Input!$J$2:$J$500, 0),
       MATCH("Capacity", Input!$D$1:$AC$1, 0)),IF(_xlpm.Result="","",_xlpm.Result))</f>
        <v>#N/A</v>
      </c>
      <c r="S338" s="42" t="e" cm="1">
        <f t="array" ref="S338">_xlfn.TEXTSPLIT(R338," / ", ,TRUE,0,)</f>
        <v>#N/A</v>
      </c>
      <c r="T338" s="42"/>
      <c r="U338" s="42" t="str" cm="1">
        <f t="array" ref="U338">IFERROR(_xlfn.IFS(
S338="","",
--S338&lt;55,"Battery Defect",
--S338&lt;=69,"Battery D",
--S338&lt;=80,"Battery C",
--S338&gt;80,""
),"")</f>
        <v/>
      </c>
      <c r="V338" s="42" t="str" cm="1">
        <f t="array" ref="V338">IFERROR(_xlfn.IFS(
T338="","",
--T338&lt;55,"Battery Defect",
--T338&lt;=69,"Battery D",
--T338&lt;=80,"Battery C",
--T338&gt;80,""
),"")</f>
        <v/>
      </c>
      <c r="W338" s="42"/>
      <c r="X338" s="42"/>
      <c r="Y338" s="42"/>
      <c r="Z338" s="42"/>
      <c r="AA338" s="42"/>
      <c r="AB338" s="42"/>
      <c r="AC338" s="42"/>
      <c r="AD338" s="42"/>
      <c r="AE338" s="32" t="str">
        <f t="shared" si="15"/>
        <v/>
      </c>
      <c r="AF338" s="32"/>
      <c r="AG338" s="32"/>
      <c r="AH338" s="32"/>
      <c r="AI338" s="32"/>
      <c r="AJ338" s="32"/>
      <c r="AK338" s="32"/>
      <c r="AL338" s="32"/>
      <c r="AM338" s="32"/>
    </row>
    <row r="339" spans="1:39">
      <c r="A339" s="32" t="str">
        <f>_xlfn.XLOOKUP(B339,Input!J:J,Input!G:G)&amp;""</f>
        <v/>
      </c>
      <c r="B339" s="32"/>
      <c r="C339" s="32" t="str">
        <f>_xlfn.XLOOKUP(B339,Input!J:J,Input!H:H)&amp;""</f>
        <v/>
      </c>
      <c r="D339" s="42">
        <f>_xlfn.XLOOKUP(B339,Input!J:J,Input!F:F)</f>
        <v>0</v>
      </c>
      <c r="E339" s="32">
        <f>_xlfn.XLOOKUP(D339,Models!H:H,Models!G:G,D339)</f>
        <v>0</v>
      </c>
      <c r="F339" s="32">
        <f>_xlfn.XLOOKUP(B339,Input!J:J,Input!E:E)</f>
        <v>0</v>
      </c>
      <c r="G339" s="32">
        <f>IF(F339="LENOVO",_xlfn.XLOOKUP(B339,Input!J:J,Input!K:K),_xlfn.XLOOKUP(B339,Input!J:J,Input!L:L))</f>
        <v>0</v>
      </c>
      <c r="H339" s="32"/>
      <c r="I339" s="32"/>
      <c r="J339" s="32"/>
      <c r="K339" s="42" t="e">
        <f>INDEX(Input!$D$2:$AC$500,
       MATCH(B339, Input!$J$2:$J$500, 0),
       MATCH("Total Memory", Input!$D$1:$AC$1, 0))</f>
        <v>#N/A</v>
      </c>
      <c r="L339" s="42"/>
      <c r="M339" s="42" t="str" cm="1">
        <f t="array" ref="M339">IFERROR(_xlfn.FILTERXML("&lt;t&gt;&lt;s&gt;" &amp; SUBSTITUTE(L339," / ","&lt;/s&gt;&lt;s&gt;") &amp; "&lt;/s&gt;&lt;/t&gt;","(//s[contains(.,'DDR')])[1]"),"")</f>
        <v/>
      </c>
      <c r="N339" s="32" t="e">
        <f t="shared" si="17"/>
        <v>#N/A</v>
      </c>
      <c r="O339" s="42" t="e">
        <f>INDEX(Input!$D$2:$AC$500,
       MATCH(B339, Input!$J$2:$J$500, 0),
       MATCH("Disk Interface Type", Input!$D$1:$AC$1, 0))</f>
        <v>#N/A</v>
      </c>
      <c r="P339" s="42" t="str" cm="1">
        <f t="array" ref="P339">IFERROR(_xlfn.TEXTJOIN(", ", TRUE, _xlfn._xlws.FILTER(
    INDEX(Input!$D$2:$AC$500,,MATCH("Disk Capacity",Input!$D$1:$AC$1,0)),
    Input!$J$2:$J$500=B339
)), "")</f>
        <v/>
      </c>
      <c r="Q339" s="32" t="e">
        <f t="shared" si="16"/>
        <v>#N/A</v>
      </c>
      <c r="R339" s="42" t="e">
        <f>_xlfn.LET(_xlpm.Result,INDEX(Input!$D$2:$AC$500,
       MATCH(B339, Input!$J$2:$J$500, 0),
       MATCH("Capacity", Input!$D$1:$AC$1, 0)),IF(_xlpm.Result="","",_xlpm.Result))</f>
        <v>#N/A</v>
      </c>
      <c r="S339" s="42" t="e" cm="1">
        <f t="array" ref="S339">_xlfn.TEXTSPLIT(R339," / ", ,TRUE,0,)</f>
        <v>#N/A</v>
      </c>
      <c r="T339" s="42"/>
      <c r="U339" s="42" t="str" cm="1">
        <f t="array" ref="U339">IFERROR(_xlfn.IFS(
S339="","",
--S339&lt;55,"Battery Defect",
--S339&lt;=69,"Battery D",
--S339&lt;=80,"Battery C",
--S339&gt;80,""
),"")</f>
        <v/>
      </c>
      <c r="V339" s="42" t="str" cm="1">
        <f t="array" ref="V339">IFERROR(_xlfn.IFS(
T339="","",
--T339&lt;55,"Battery Defect",
--T339&lt;=69,"Battery D",
--T339&lt;=80,"Battery C",
--T339&gt;80,""
),"")</f>
        <v/>
      </c>
      <c r="W339" s="42"/>
      <c r="X339" s="42"/>
      <c r="Y339" s="42"/>
      <c r="Z339" s="42"/>
      <c r="AA339" s="42"/>
      <c r="AB339" s="42"/>
      <c r="AC339" s="42"/>
      <c r="AD339" s="42"/>
      <c r="AE339" s="32" t="str">
        <f t="shared" si="15"/>
        <v/>
      </c>
      <c r="AF339" s="32"/>
      <c r="AG339" s="32"/>
      <c r="AH339" s="32"/>
      <c r="AI339" s="32"/>
      <c r="AJ339" s="32"/>
      <c r="AK339" s="32"/>
      <c r="AL339" s="32"/>
      <c r="AM339" s="32"/>
    </row>
    <row r="340" spans="1:39">
      <c r="A340" s="32" t="str">
        <f>_xlfn.XLOOKUP(B340,Input!J:J,Input!G:G)&amp;""</f>
        <v/>
      </c>
      <c r="B340" s="32"/>
      <c r="C340" s="32" t="str">
        <f>_xlfn.XLOOKUP(B340,Input!J:J,Input!H:H)&amp;""</f>
        <v/>
      </c>
      <c r="D340" s="42">
        <f>_xlfn.XLOOKUP(B340,Input!J:J,Input!F:F)</f>
        <v>0</v>
      </c>
      <c r="E340" s="32">
        <f>_xlfn.XLOOKUP(D340,Models!H:H,Models!G:G,D340)</f>
        <v>0</v>
      </c>
      <c r="F340" s="32">
        <f>_xlfn.XLOOKUP(B340,Input!J:J,Input!E:E)</f>
        <v>0</v>
      </c>
      <c r="G340" s="32">
        <f>IF(F340="LENOVO",_xlfn.XLOOKUP(B340,Input!J:J,Input!K:K),_xlfn.XLOOKUP(B340,Input!J:J,Input!L:L))</f>
        <v>0</v>
      </c>
      <c r="H340" s="32"/>
      <c r="I340" s="32"/>
      <c r="J340" s="32"/>
      <c r="K340" s="42" t="e">
        <f>INDEX(Input!$D$2:$AC$500,
       MATCH(B340, Input!$J$2:$J$500, 0),
       MATCH("Total Memory", Input!$D$1:$AC$1, 0))</f>
        <v>#N/A</v>
      </c>
      <c r="L340" s="42"/>
      <c r="M340" s="42" t="str" cm="1">
        <f t="array" ref="M340">IFERROR(_xlfn.FILTERXML("&lt;t&gt;&lt;s&gt;" &amp; SUBSTITUTE(L340," / ","&lt;/s&gt;&lt;s&gt;") &amp; "&lt;/s&gt;&lt;/t&gt;","(//s[contains(.,'DDR')])[1]"),"")</f>
        <v/>
      </c>
      <c r="N340" s="32" t="e">
        <f t="shared" si="17"/>
        <v>#N/A</v>
      </c>
      <c r="O340" s="42" t="e">
        <f>INDEX(Input!$D$2:$AC$500,
       MATCH(B340, Input!$J$2:$J$500, 0),
       MATCH("Disk Interface Type", Input!$D$1:$AC$1, 0))</f>
        <v>#N/A</v>
      </c>
      <c r="P340" s="42" t="str" cm="1">
        <f t="array" ref="P340">IFERROR(_xlfn.TEXTJOIN(", ", TRUE, _xlfn._xlws.FILTER(
    INDEX(Input!$D$2:$AC$500,,MATCH("Disk Capacity",Input!$D$1:$AC$1,0)),
    Input!$J$2:$J$500=B340
)), "")</f>
        <v/>
      </c>
      <c r="Q340" s="32" t="e">
        <f t="shared" si="16"/>
        <v>#N/A</v>
      </c>
      <c r="R340" s="42" t="e">
        <f>_xlfn.LET(_xlpm.Result,INDEX(Input!$D$2:$AC$500,
       MATCH(B340, Input!$J$2:$J$500, 0),
       MATCH("Capacity", Input!$D$1:$AC$1, 0)),IF(_xlpm.Result="","",_xlpm.Result))</f>
        <v>#N/A</v>
      </c>
      <c r="S340" s="42" t="e" cm="1">
        <f t="array" ref="S340">_xlfn.TEXTSPLIT(R340," / ", ,TRUE,0,)</f>
        <v>#N/A</v>
      </c>
      <c r="T340" s="42"/>
      <c r="U340" s="42" t="str" cm="1">
        <f t="array" ref="U340">IFERROR(_xlfn.IFS(
S340="","",
--S340&lt;55,"Battery Defect",
--S340&lt;=69,"Battery D",
--S340&lt;=80,"Battery C",
--S340&gt;80,""
),"")</f>
        <v/>
      </c>
      <c r="V340" s="42" t="str" cm="1">
        <f t="array" ref="V340">IFERROR(_xlfn.IFS(
T340="","",
--T340&lt;55,"Battery Defect",
--T340&lt;=69,"Battery D",
--T340&lt;=80,"Battery C",
--T340&gt;80,""
),"")</f>
        <v/>
      </c>
      <c r="W340" s="42"/>
      <c r="X340" s="42"/>
      <c r="Y340" s="42"/>
      <c r="Z340" s="42"/>
      <c r="AA340" s="42"/>
      <c r="AB340" s="42"/>
      <c r="AC340" s="42"/>
      <c r="AD340" s="42"/>
      <c r="AE340" s="32" t="str">
        <f t="shared" si="15"/>
        <v/>
      </c>
      <c r="AF340" s="32"/>
      <c r="AG340" s="32"/>
      <c r="AH340" s="32"/>
      <c r="AI340" s="32"/>
      <c r="AJ340" s="32"/>
      <c r="AK340" s="32"/>
      <c r="AL340" s="32"/>
      <c r="AM340" s="32"/>
    </row>
    <row r="341" spans="1:39">
      <c r="A341" s="32" t="str">
        <f>_xlfn.XLOOKUP(B341,Input!J:J,Input!G:G)&amp;""</f>
        <v/>
      </c>
      <c r="B341" s="32"/>
      <c r="C341" s="32" t="str">
        <f>_xlfn.XLOOKUP(B341,Input!J:J,Input!H:H)&amp;""</f>
        <v/>
      </c>
      <c r="D341" s="42">
        <f>_xlfn.XLOOKUP(B341,Input!J:J,Input!F:F)</f>
        <v>0</v>
      </c>
      <c r="E341" s="32">
        <f>_xlfn.XLOOKUP(D341,Models!H:H,Models!G:G,D341)</f>
        <v>0</v>
      </c>
      <c r="F341" s="32">
        <f>_xlfn.XLOOKUP(B341,Input!J:J,Input!E:E)</f>
        <v>0</v>
      </c>
      <c r="G341" s="32">
        <f>IF(F341="LENOVO",_xlfn.XLOOKUP(B341,Input!J:J,Input!K:K),_xlfn.XLOOKUP(B341,Input!J:J,Input!L:L))</f>
        <v>0</v>
      </c>
      <c r="H341" s="32"/>
      <c r="I341" s="32"/>
      <c r="J341" s="32"/>
      <c r="K341" s="42" t="e">
        <f>INDEX(Input!$D$2:$AC$500,
       MATCH(B341, Input!$J$2:$J$500, 0),
       MATCH("Total Memory", Input!$D$1:$AC$1, 0))</f>
        <v>#N/A</v>
      </c>
      <c r="L341" s="42"/>
      <c r="M341" s="42" t="str" cm="1">
        <f t="array" ref="M341">IFERROR(_xlfn.FILTERXML("&lt;t&gt;&lt;s&gt;" &amp; SUBSTITUTE(L341," / ","&lt;/s&gt;&lt;s&gt;") &amp; "&lt;/s&gt;&lt;/t&gt;","(//s[contains(.,'DDR')])[1]"),"")</f>
        <v/>
      </c>
      <c r="N341" s="32" t="e">
        <f t="shared" si="17"/>
        <v>#N/A</v>
      </c>
      <c r="O341" s="42" t="e">
        <f>INDEX(Input!$D$2:$AC$500,
       MATCH(B341, Input!$J$2:$J$500, 0),
       MATCH("Disk Interface Type", Input!$D$1:$AC$1, 0))</f>
        <v>#N/A</v>
      </c>
      <c r="P341" s="42" t="str" cm="1">
        <f t="array" ref="P341">IFERROR(_xlfn.TEXTJOIN(", ", TRUE, _xlfn._xlws.FILTER(
    INDEX(Input!$D$2:$AC$500,,MATCH("Disk Capacity",Input!$D$1:$AC$1,0)),
    Input!$J$2:$J$500=B341
)), "")</f>
        <v/>
      </c>
      <c r="Q341" s="32" t="e">
        <f t="shared" si="16"/>
        <v>#N/A</v>
      </c>
      <c r="R341" s="42" t="e">
        <f>_xlfn.LET(_xlpm.Result,INDEX(Input!$D$2:$AC$500,
       MATCH(B341, Input!$J$2:$J$500, 0),
       MATCH("Capacity", Input!$D$1:$AC$1, 0)),IF(_xlpm.Result="","",_xlpm.Result))</f>
        <v>#N/A</v>
      </c>
      <c r="S341" s="42" t="e" cm="1">
        <f t="array" ref="S341">_xlfn.TEXTSPLIT(R341," / ", ,TRUE,0,)</f>
        <v>#N/A</v>
      </c>
      <c r="T341" s="42"/>
      <c r="U341" s="42" t="str" cm="1">
        <f t="array" ref="U341">IFERROR(_xlfn.IFS(
S341="","",
--S341&lt;55,"Battery Defect",
--S341&lt;=69,"Battery D",
--S341&lt;=80,"Battery C",
--S341&gt;80,""
),"")</f>
        <v/>
      </c>
      <c r="V341" s="42" t="str" cm="1">
        <f t="array" ref="V341">IFERROR(_xlfn.IFS(
T341="","",
--T341&lt;55,"Battery Defect",
--T341&lt;=69,"Battery D",
--T341&lt;=80,"Battery C",
--T341&gt;80,""
),"")</f>
        <v/>
      </c>
      <c r="W341" s="42"/>
      <c r="X341" s="42"/>
      <c r="Y341" s="42"/>
      <c r="Z341" s="42"/>
      <c r="AA341" s="42"/>
      <c r="AB341" s="42"/>
      <c r="AC341" s="42"/>
      <c r="AD341" s="42"/>
      <c r="AE341" s="32" t="str">
        <f t="shared" si="15"/>
        <v/>
      </c>
      <c r="AF341" s="32"/>
      <c r="AG341" s="32"/>
      <c r="AH341" s="32"/>
      <c r="AI341" s="32"/>
      <c r="AJ341" s="32"/>
      <c r="AK341" s="32"/>
      <c r="AL341" s="32"/>
      <c r="AM341" s="32"/>
    </row>
    <row r="342" spans="1:39">
      <c r="A342" s="32" t="str">
        <f>_xlfn.XLOOKUP(B342,Input!J:J,Input!G:G)&amp;""</f>
        <v/>
      </c>
      <c r="B342" s="32"/>
      <c r="C342" s="32" t="str">
        <f>_xlfn.XLOOKUP(B342,Input!J:J,Input!H:H)&amp;""</f>
        <v/>
      </c>
      <c r="D342" s="42">
        <f>_xlfn.XLOOKUP(B342,Input!J:J,Input!F:F)</f>
        <v>0</v>
      </c>
      <c r="E342" s="32">
        <f>_xlfn.XLOOKUP(D342,Models!H:H,Models!G:G,D342)</f>
        <v>0</v>
      </c>
      <c r="F342" s="32">
        <f>_xlfn.XLOOKUP(B342,Input!J:J,Input!E:E)</f>
        <v>0</v>
      </c>
      <c r="G342" s="32">
        <f>IF(F342="LENOVO",_xlfn.XLOOKUP(B342,Input!J:J,Input!K:K),_xlfn.XLOOKUP(B342,Input!J:J,Input!L:L))</f>
        <v>0</v>
      </c>
      <c r="H342" s="32"/>
      <c r="I342" s="32"/>
      <c r="J342" s="32"/>
      <c r="K342" s="42" t="e">
        <f>INDEX(Input!$D$2:$AC$500,
       MATCH(B342, Input!$J$2:$J$500, 0),
       MATCH("Total Memory", Input!$D$1:$AC$1, 0))</f>
        <v>#N/A</v>
      </c>
      <c r="L342" s="42"/>
      <c r="M342" s="42" t="str" cm="1">
        <f t="array" ref="M342">IFERROR(_xlfn.FILTERXML("&lt;t&gt;&lt;s&gt;" &amp; SUBSTITUTE(L342," / ","&lt;/s&gt;&lt;s&gt;") &amp; "&lt;/s&gt;&lt;/t&gt;","(//s[contains(.,'DDR')])[1]"),"")</f>
        <v/>
      </c>
      <c r="N342" s="32" t="e">
        <f t="shared" si="17"/>
        <v>#N/A</v>
      </c>
      <c r="O342" s="42" t="e">
        <f>INDEX(Input!$D$2:$AC$500,
       MATCH(B342, Input!$J$2:$J$500, 0),
       MATCH("Disk Interface Type", Input!$D$1:$AC$1, 0))</f>
        <v>#N/A</v>
      </c>
      <c r="P342" s="42" t="str" cm="1">
        <f t="array" ref="P342">IFERROR(_xlfn.TEXTJOIN(", ", TRUE, _xlfn._xlws.FILTER(
    INDEX(Input!$D$2:$AC$500,,MATCH("Disk Capacity",Input!$D$1:$AC$1,0)),
    Input!$J$2:$J$500=B342
)), "")</f>
        <v/>
      </c>
      <c r="Q342" s="32" t="e">
        <f t="shared" si="16"/>
        <v>#N/A</v>
      </c>
      <c r="R342" s="42" t="e">
        <f>_xlfn.LET(_xlpm.Result,INDEX(Input!$D$2:$AC$500,
       MATCH(B342, Input!$J$2:$J$500, 0),
       MATCH("Capacity", Input!$D$1:$AC$1, 0)),IF(_xlpm.Result="","",_xlpm.Result))</f>
        <v>#N/A</v>
      </c>
      <c r="S342" s="42" t="e" cm="1">
        <f t="array" ref="S342">_xlfn.TEXTSPLIT(R342," / ", ,TRUE,0,)</f>
        <v>#N/A</v>
      </c>
      <c r="T342" s="42"/>
      <c r="U342" s="42" t="str" cm="1">
        <f t="array" ref="U342">IFERROR(_xlfn.IFS(
S342="","",
--S342&lt;55,"Battery Defect",
--S342&lt;=69,"Battery D",
--S342&lt;=80,"Battery C",
--S342&gt;80,""
),"")</f>
        <v/>
      </c>
      <c r="V342" s="42" t="str" cm="1">
        <f t="array" ref="V342">IFERROR(_xlfn.IFS(
T342="","",
--T342&lt;55,"Battery Defect",
--T342&lt;=69,"Battery D",
--T342&lt;=80,"Battery C",
--T342&gt;80,""
),"")</f>
        <v/>
      </c>
      <c r="W342" s="42"/>
      <c r="X342" s="42"/>
      <c r="Y342" s="42"/>
      <c r="Z342" s="42"/>
      <c r="AA342" s="42"/>
      <c r="AB342" s="42"/>
      <c r="AC342" s="42"/>
      <c r="AD342" s="42"/>
      <c r="AE342" s="32" t="str">
        <f t="shared" si="15"/>
        <v/>
      </c>
      <c r="AF342" s="32"/>
      <c r="AG342" s="32"/>
      <c r="AH342" s="32"/>
      <c r="AI342" s="32"/>
      <c r="AJ342" s="32"/>
      <c r="AK342" s="32"/>
      <c r="AL342" s="32"/>
      <c r="AM342" s="32"/>
    </row>
    <row r="343" spans="1:39">
      <c r="A343" s="32" t="str">
        <f>_xlfn.XLOOKUP(B343,Input!J:J,Input!G:G)&amp;""</f>
        <v/>
      </c>
      <c r="B343" s="32"/>
      <c r="C343" s="32" t="str">
        <f>_xlfn.XLOOKUP(B343,Input!J:J,Input!H:H)&amp;""</f>
        <v/>
      </c>
      <c r="D343" s="42">
        <f>_xlfn.XLOOKUP(B343,Input!J:J,Input!F:F)</f>
        <v>0</v>
      </c>
      <c r="E343" s="32">
        <f>_xlfn.XLOOKUP(D343,Models!H:H,Models!G:G,D343)</f>
        <v>0</v>
      </c>
      <c r="F343" s="32">
        <f>_xlfn.XLOOKUP(B343,Input!J:J,Input!E:E)</f>
        <v>0</v>
      </c>
      <c r="G343" s="32">
        <f>IF(F343="LENOVO",_xlfn.XLOOKUP(B343,Input!J:J,Input!K:K),_xlfn.XLOOKUP(B343,Input!J:J,Input!L:L))</f>
        <v>0</v>
      </c>
      <c r="H343" s="32"/>
      <c r="I343" s="32"/>
      <c r="J343" s="32"/>
      <c r="K343" s="42" t="e">
        <f>INDEX(Input!$D$2:$AC$500,
       MATCH(B343, Input!$J$2:$J$500, 0),
       MATCH("Total Memory", Input!$D$1:$AC$1, 0))</f>
        <v>#N/A</v>
      </c>
      <c r="L343" s="42"/>
      <c r="M343" s="42" t="str" cm="1">
        <f t="array" ref="M343">IFERROR(_xlfn.FILTERXML("&lt;t&gt;&lt;s&gt;" &amp; SUBSTITUTE(L343," / ","&lt;/s&gt;&lt;s&gt;") &amp; "&lt;/s&gt;&lt;/t&gt;","(//s[contains(.,'DDR')])[1]"),"")</f>
        <v/>
      </c>
      <c r="N343" s="32" t="e">
        <f t="shared" si="17"/>
        <v>#N/A</v>
      </c>
      <c r="O343" s="42" t="e">
        <f>INDEX(Input!$D$2:$AC$500,
       MATCH(B343, Input!$J$2:$J$500, 0),
       MATCH("Disk Interface Type", Input!$D$1:$AC$1, 0))</f>
        <v>#N/A</v>
      </c>
      <c r="P343" s="42" t="str" cm="1">
        <f t="array" ref="P343">IFERROR(_xlfn.TEXTJOIN(", ", TRUE, _xlfn._xlws.FILTER(
    INDEX(Input!$D$2:$AC$500,,MATCH("Disk Capacity",Input!$D$1:$AC$1,0)),
    Input!$J$2:$J$500=B343
)), "")</f>
        <v/>
      </c>
      <c r="Q343" s="32" t="e">
        <f t="shared" si="16"/>
        <v>#N/A</v>
      </c>
      <c r="R343" s="42" t="e">
        <f>_xlfn.LET(_xlpm.Result,INDEX(Input!$D$2:$AC$500,
       MATCH(B343, Input!$J$2:$J$500, 0),
       MATCH("Capacity", Input!$D$1:$AC$1, 0)),IF(_xlpm.Result="","",_xlpm.Result))</f>
        <v>#N/A</v>
      </c>
      <c r="S343" s="42" t="e" cm="1">
        <f t="array" ref="S343">_xlfn.TEXTSPLIT(R343," / ", ,TRUE,0,)</f>
        <v>#N/A</v>
      </c>
      <c r="T343" s="42"/>
      <c r="U343" s="42" t="str" cm="1">
        <f t="array" ref="U343">IFERROR(_xlfn.IFS(
S343="","",
--S343&lt;55,"Battery Defect",
--S343&lt;=69,"Battery D",
--S343&lt;=80,"Battery C",
--S343&gt;80,""
),"")</f>
        <v/>
      </c>
      <c r="V343" s="42" t="str" cm="1">
        <f t="array" ref="V343">IFERROR(_xlfn.IFS(
T343="","",
--T343&lt;55,"Battery Defect",
--T343&lt;=69,"Battery D",
--T343&lt;=80,"Battery C",
--T343&gt;80,""
),"")</f>
        <v/>
      </c>
      <c r="W343" s="42"/>
      <c r="X343" s="42"/>
      <c r="Y343" s="42"/>
      <c r="Z343" s="42"/>
      <c r="AA343" s="42"/>
      <c r="AB343" s="42"/>
      <c r="AC343" s="42"/>
      <c r="AD343" s="42"/>
      <c r="AE343" s="32" t="str">
        <f t="shared" si="15"/>
        <v/>
      </c>
      <c r="AF343" s="32"/>
      <c r="AG343" s="32"/>
      <c r="AH343" s="32"/>
      <c r="AI343" s="32"/>
      <c r="AJ343" s="32"/>
      <c r="AK343" s="32"/>
      <c r="AL343" s="32"/>
      <c r="AM343" s="32"/>
    </row>
    <row r="344" spans="1:39">
      <c r="A344" s="32" t="str">
        <f>_xlfn.XLOOKUP(B344,Input!J:J,Input!G:G)&amp;""</f>
        <v/>
      </c>
      <c r="B344" s="32"/>
      <c r="C344" s="32" t="str">
        <f>_xlfn.XLOOKUP(B344,Input!J:J,Input!H:H)&amp;""</f>
        <v/>
      </c>
      <c r="D344" s="42">
        <f>_xlfn.XLOOKUP(B344,Input!J:J,Input!F:F)</f>
        <v>0</v>
      </c>
      <c r="E344" s="32">
        <f>_xlfn.XLOOKUP(D344,Models!H:H,Models!G:G,D344)</f>
        <v>0</v>
      </c>
      <c r="F344" s="32">
        <f>_xlfn.XLOOKUP(B344,Input!J:J,Input!E:E)</f>
        <v>0</v>
      </c>
      <c r="G344" s="32">
        <f>IF(F344="LENOVO",_xlfn.XLOOKUP(B344,Input!J:J,Input!K:K),_xlfn.XLOOKUP(B344,Input!J:J,Input!L:L))</f>
        <v>0</v>
      </c>
      <c r="H344" s="32"/>
      <c r="I344" s="32"/>
      <c r="J344" s="32"/>
      <c r="K344" s="42" t="e">
        <f>INDEX(Input!$D$2:$AC$500,
       MATCH(B344, Input!$J$2:$J$500, 0),
       MATCH("Total Memory", Input!$D$1:$AC$1, 0))</f>
        <v>#N/A</v>
      </c>
      <c r="L344" s="42"/>
      <c r="M344" s="42" t="str" cm="1">
        <f t="array" ref="M344">IFERROR(_xlfn.FILTERXML("&lt;t&gt;&lt;s&gt;" &amp; SUBSTITUTE(L344," / ","&lt;/s&gt;&lt;s&gt;") &amp; "&lt;/s&gt;&lt;/t&gt;","(//s[contains(.,'DDR')])[1]"),"")</f>
        <v/>
      </c>
      <c r="N344" s="32" t="e">
        <f t="shared" si="17"/>
        <v>#N/A</v>
      </c>
      <c r="O344" s="42" t="e">
        <f>INDEX(Input!$D$2:$AC$500,
       MATCH(B344, Input!$J$2:$J$500, 0),
       MATCH("Disk Interface Type", Input!$D$1:$AC$1, 0))</f>
        <v>#N/A</v>
      </c>
      <c r="P344" s="42" t="str" cm="1">
        <f t="array" ref="P344">IFERROR(_xlfn.TEXTJOIN(", ", TRUE, _xlfn._xlws.FILTER(
    INDEX(Input!$D$2:$AC$500,,MATCH("Disk Capacity",Input!$D$1:$AC$1,0)),
    Input!$J$2:$J$500=B344
)), "")</f>
        <v/>
      </c>
      <c r="Q344" s="32" t="e">
        <f t="shared" si="16"/>
        <v>#N/A</v>
      </c>
      <c r="R344" s="42" t="e">
        <f>_xlfn.LET(_xlpm.Result,INDEX(Input!$D$2:$AC$500,
       MATCH(B344, Input!$J$2:$J$500, 0),
       MATCH("Capacity", Input!$D$1:$AC$1, 0)),IF(_xlpm.Result="","",_xlpm.Result))</f>
        <v>#N/A</v>
      </c>
      <c r="S344" s="42" t="e" cm="1">
        <f t="array" ref="S344">_xlfn.TEXTSPLIT(R344," / ", ,TRUE,0,)</f>
        <v>#N/A</v>
      </c>
      <c r="T344" s="42"/>
      <c r="U344" s="42" t="str" cm="1">
        <f t="array" ref="U344">IFERROR(_xlfn.IFS(
S344="","",
--S344&lt;55,"Battery Defect",
--S344&lt;=69,"Battery D",
--S344&lt;=80,"Battery C",
--S344&gt;80,""
),"")</f>
        <v/>
      </c>
      <c r="V344" s="42" t="str" cm="1">
        <f t="array" ref="V344">IFERROR(_xlfn.IFS(
T344="","",
--T344&lt;55,"Battery Defect",
--T344&lt;=69,"Battery D",
--T344&lt;=80,"Battery C",
--T344&gt;80,""
),"")</f>
        <v/>
      </c>
      <c r="W344" s="42"/>
      <c r="X344" s="42"/>
      <c r="Y344" s="42"/>
      <c r="Z344" s="42"/>
      <c r="AA344" s="42"/>
      <c r="AB344" s="42"/>
      <c r="AC344" s="42"/>
      <c r="AD344" s="42"/>
      <c r="AE344" s="32" t="str">
        <f t="shared" si="15"/>
        <v/>
      </c>
      <c r="AF344" s="32"/>
      <c r="AG344" s="32"/>
      <c r="AH344" s="32"/>
      <c r="AI344" s="32"/>
      <c r="AJ344" s="32"/>
      <c r="AK344" s="32"/>
      <c r="AL344" s="32"/>
      <c r="AM344" s="32"/>
    </row>
    <row r="345" spans="1:39">
      <c r="A345" s="32" t="str">
        <f>_xlfn.XLOOKUP(B345,Input!J:J,Input!G:G)&amp;""</f>
        <v/>
      </c>
      <c r="B345" s="32"/>
      <c r="C345" s="32" t="str">
        <f>_xlfn.XLOOKUP(B345,Input!J:J,Input!H:H)&amp;""</f>
        <v/>
      </c>
      <c r="D345" s="42">
        <f>_xlfn.XLOOKUP(B345,Input!J:J,Input!F:F)</f>
        <v>0</v>
      </c>
      <c r="E345" s="32">
        <f>_xlfn.XLOOKUP(D345,Models!H:H,Models!G:G,D345)</f>
        <v>0</v>
      </c>
      <c r="F345" s="32">
        <f>_xlfn.XLOOKUP(B345,Input!J:J,Input!E:E)</f>
        <v>0</v>
      </c>
      <c r="G345" s="32">
        <f>IF(F345="LENOVO",_xlfn.XLOOKUP(B345,Input!J:J,Input!K:K),_xlfn.XLOOKUP(B345,Input!J:J,Input!L:L))</f>
        <v>0</v>
      </c>
      <c r="H345" s="32"/>
      <c r="I345" s="32"/>
      <c r="J345" s="32"/>
      <c r="K345" s="42" t="e">
        <f>INDEX(Input!$D$2:$AC$500,
       MATCH(B345, Input!$J$2:$J$500, 0),
       MATCH("Total Memory", Input!$D$1:$AC$1, 0))</f>
        <v>#N/A</v>
      </c>
      <c r="L345" s="42"/>
      <c r="M345" s="42" t="str" cm="1">
        <f t="array" ref="M345">IFERROR(_xlfn.FILTERXML("&lt;t&gt;&lt;s&gt;" &amp; SUBSTITUTE(L345," / ","&lt;/s&gt;&lt;s&gt;") &amp; "&lt;/s&gt;&lt;/t&gt;","(//s[contains(.,'DDR')])[1]"),"")</f>
        <v/>
      </c>
      <c r="N345" s="32" t="e">
        <f t="shared" si="17"/>
        <v>#N/A</v>
      </c>
      <c r="O345" s="42" t="e">
        <f>INDEX(Input!$D$2:$AC$500,
       MATCH(B345, Input!$J$2:$J$500, 0),
       MATCH("Disk Interface Type", Input!$D$1:$AC$1, 0))</f>
        <v>#N/A</v>
      </c>
      <c r="P345" s="42" t="str" cm="1">
        <f t="array" ref="P345">IFERROR(_xlfn.TEXTJOIN(", ", TRUE, _xlfn._xlws.FILTER(
    INDEX(Input!$D$2:$AC$500,,MATCH("Disk Capacity",Input!$D$1:$AC$1,0)),
    Input!$J$2:$J$500=B345
)), "")</f>
        <v/>
      </c>
      <c r="Q345" s="32" t="e">
        <f t="shared" si="16"/>
        <v>#N/A</v>
      </c>
      <c r="R345" s="42" t="e">
        <f>_xlfn.LET(_xlpm.Result,INDEX(Input!$D$2:$AC$500,
       MATCH(B345, Input!$J$2:$J$500, 0),
       MATCH("Capacity", Input!$D$1:$AC$1, 0)),IF(_xlpm.Result="","",_xlpm.Result))</f>
        <v>#N/A</v>
      </c>
      <c r="S345" s="42" t="e" cm="1">
        <f t="array" ref="S345">_xlfn.TEXTSPLIT(R345," / ", ,TRUE,0,)</f>
        <v>#N/A</v>
      </c>
      <c r="T345" s="42"/>
      <c r="U345" s="42" t="str" cm="1">
        <f t="array" ref="U345">IFERROR(_xlfn.IFS(
S345="","",
--S345&lt;55,"Battery Defect",
--S345&lt;=69,"Battery D",
--S345&lt;=80,"Battery C",
--S345&gt;80,""
),"")</f>
        <v/>
      </c>
      <c r="V345" s="42" t="str" cm="1">
        <f t="array" ref="V345">IFERROR(_xlfn.IFS(
T345="","",
--T345&lt;55,"Battery Defect",
--T345&lt;=69,"Battery D",
--T345&lt;=80,"Battery C",
--T345&gt;80,""
),"")</f>
        <v/>
      </c>
      <c r="W345" s="42"/>
      <c r="X345" s="42"/>
      <c r="Y345" s="42"/>
      <c r="Z345" s="42"/>
      <c r="AA345" s="42"/>
      <c r="AB345" s="42"/>
      <c r="AC345" s="42"/>
      <c r="AD345" s="42"/>
      <c r="AE345" s="32" t="str">
        <f t="shared" si="15"/>
        <v/>
      </c>
      <c r="AF345" s="32"/>
      <c r="AG345" s="32"/>
      <c r="AH345" s="32"/>
      <c r="AI345" s="32"/>
      <c r="AJ345" s="32"/>
      <c r="AK345" s="32"/>
      <c r="AL345" s="32"/>
      <c r="AM345" s="32"/>
    </row>
    <row r="346" spans="1:39">
      <c r="A346" s="32" t="str">
        <f>_xlfn.XLOOKUP(B346,Input!J:J,Input!G:G)&amp;""</f>
        <v/>
      </c>
      <c r="B346" s="32"/>
      <c r="C346" s="32" t="str">
        <f>_xlfn.XLOOKUP(B346,Input!J:J,Input!H:H)&amp;""</f>
        <v/>
      </c>
      <c r="D346" s="42">
        <f>_xlfn.XLOOKUP(B346,Input!J:J,Input!F:F)</f>
        <v>0</v>
      </c>
      <c r="E346" s="32">
        <f>_xlfn.XLOOKUP(D346,Models!H:H,Models!G:G,D346)</f>
        <v>0</v>
      </c>
      <c r="F346" s="32">
        <f>_xlfn.XLOOKUP(B346,Input!J:J,Input!E:E)</f>
        <v>0</v>
      </c>
      <c r="G346" s="32">
        <f>IF(F346="LENOVO",_xlfn.XLOOKUP(B346,Input!J:J,Input!K:K),_xlfn.XLOOKUP(B346,Input!J:J,Input!L:L))</f>
        <v>0</v>
      </c>
      <c r="H346" s="32"/>
      <c r="I346" s="32"/>
      <c r="J346" s="32"/>
      <c r="K346" s="42" t="e">
        <f>INDEX(Input!$D$2:$AC$500,
       MATCH(B346, Input!$J$2:$J$500, 0),
       MATCH("Total Memory", Input!$D$1:$AC$1, 0))</f>
        <v>#N/A</v>
      </c>
      <c r="L346" s="42"/>
      <c r="M346" s="42" t="str" cm="1">
        <f t="array" ref="M346">IFERROR(_xlfn.FILTERXML("&lt;t&gt;&lt;s&gt;" &amp; SUBSTITUTE(L346," / ","&lt;/s&gt;&lt;s&gt;") &amp; "&lt;/s&gt;&lt;/t&gt;","(//s[contains(.,'DDR')])[1]"),"")</f>
        <v/>
      </c>
      <c r="N346" s="32" t="e">
        <f t="shared" si="17"/>
        <v>#N/A</v>
      </c>
      <c r="O346" s="42" t="e">
        <f>INDEX(Input!$D$2:$AC$500,
       MATCH(B346, Input!$J$2:$J$500, 0),
       MATCH("Disk Interface Type", Input!$D$1:$AC$1, 0))</f>
        <v>#N/A</v>
      </c>
      <c r="P346" s="42" t="str" cm="1">
        <f t="array" ref="P346">IFERROR(_xlfn.TEXTJOIN(", ", TRUE, _xlfn._xlws.FILTER(
    INDEX(Input!$D$2:$AC$500,,MATCH("Disk Capacity",Input!$D$1:$AC$1,0)),
    Input!$J$2:$J$500=B346
)), "")</f>
        <v/>
      </c>
      <c r="Q346" s="32" t="e">
        <f t="shared" si="16"/>
        <v>#N/A</v>
      </c>
      <c r="R346" s="42" t="e">
        <f>_xlfn.LET(_xlpm.Result,INDEX(Input!$D$2:$AC$500,
       MATCH(B346, Input!$J$2:$J$500, 0),
       MATCH("Capacity", Input!$D$1:$AC$1, 0)),IF(_xlpm.Result="","",_xlpm.Result))</f>
        <v>#N/A</v>
      </c>
      <c r="S346" s="42" t="e" cm="1">
        <f t="array" ref="S346">_xlfn.TEXTSPLIT(R346," / ", ,TRUE,0,)</f>
        <v>#N/A</v>
      </c>
      <c r="T346" s="42"/>
      <c r="U346" s="42" t="str" cm="1">
        <f t="array" ref="U346">IFERROR(_xlfn.IFS(
S346="","",
--S346&lt;55,"Battery Defect",
--S346&lt;=69,"Battery D",
--S346&lt;=80,"Battery C",
--S346&gt;80,""
),"")</f>
        <v/>
      </c>
      <c r="V346" s="42" t="str" cm="1">
        <f t="array" ref="V346">IFERROR(_xlfn.IFS(
T346="","",
--T346&lt;55,"Battery Defect",
--T346&lt;=69,"Battery D",
--T346&lt;=80,"Battery C",
--T346&gt;80,""
),"")</f>
        <v/>
      </c>
      <c r="W346" s="42"/>
      <c r="X346" s="42"/>
      <c r="Y346" s="42"/>
      <c r="Z346" s="42"/>
      <c r="AA346" s="42"/>
      <c r="AB346" s="42"/>
      <c r="AC346" s="42"/>
      <c r="AD346" s="42"/>
      <c r="AE346" s="32" t="str">
        <f t="shared" si="15"/>
        <v/>
      </c>
      <c r="AF346" s="32"/>
      <c r="AG346" s="32"/>
      <c r="AH346" s="32"/>
      <c r="AI346" s="32"/>
      <c r="AJ346" s="32"/>
      <c r="AK346" s="32"/>
      <c r="AL346" s="32"/>
      <c r="AM346" s="32"/>
    </row>
    <row r="347" spans="1:39">
      <c r="A347" s="32" t="str">
        <f>_xlfn.XLOOKUP(B347,Input!J:J,Input!G:G)&amp;""</f>
        <v/>
      </c>
      <c r="B347" s="32"/>
      <c r="C347" s="32" t="str">
        <f>_xlfn.XLOOKUP(B347,Input!J:J,Input!H:H)&amp;""</f>
        <v/>
      </c>
      <c r="D347" s="42">
        <f>_xlfn.XLOOKUP(B347,Input!J:J,Input!F:F)</f>
        <v>0</v>
      </c>
      <c r="E347" s="32">
        <f>_xlfn.XLOOKUP(D347,Models!H:H,Models!G:G,D347)</f>
        <v>0</v>
      </c>
      <c r="F347" s="32">
        <f>_xlfn.XLOOKUP(B347,Input!J:J,Input!E:E)</f>
        <v>0</v>
      </c>
      <c r="G347" s="32">
        <f>IF(F347="LENOVO",_xlfn.XLOOKUP(B347,Input!J:J,Input!K:K),_xlfn.XLOOKUP(B347,Input!J:J,Input!L:L))</f>
        <v>0</v>
      </c>
      <c r="H347" s="32"/>
      <c r="I347" s="32"/>
      <c r="J347" s="32"/>
      <c r="K347" s="42" t="e">
        <f>INDEX(Input!$D$2:$AC$500,
       MATCH(B347, Input!$J$2:$J$500, 0),
       MATCH("Total Memory", Input!$D$1:$AC$1, 0))</f>
        <v>#N/A</v>
      </c>
      <c r="L347" s="42"/>
      <c r="M347" s="42" t="str" cm="1">
        <f t="array" ref="M347">IFERROR(_xlfn.FILTERXML("&lt;t&gt;&lt;s&gt;" &amp; SUBSTITUTE(L347," / ","&lt;/s&gt;&lt;s&gt;") &amp; "&lt;/s&gt;&lt;/t&gt;","(//s[contains(.,'DDR')])[1]"),"")</f>
        <v/>
      </c>
      <c r="N347" s="32" t="e">
        <f t="shared" si="17"/>
        <v>#N/A</v>
      </c>
      <c r="O347" s="42" t="e">
        <f>INDEX(Input!$D$2:$AC$500,
       MATCH(B347, Input!$J$2:$J$500, 0),
       MATCH("Disk Interface Type", Input!$D$1:$AC$1, 0))</f>
        <v>#N/A</v>
      </c>
      <c r="P347" s="42" t="str" cm="1">
        <f t="array" ref="P347">IFERROR(_xlfn.TEXTJOIN(", ", TRUE, _xlfn._xlws.FILTER(
    INDEX(Input!$D$2:$AC$500,,MATCH("Disk Capacity",Input!$D$1:$AC$1,0)),
    Input!$J$2:$J$500=B347
)), "")</f>
        <v/>
      </c>
      <c r="Q347" s="32" t="e">
        <f t="shared" si="16"/>
        <v>#N/A</v>
      </c>
      <c r="R347" s="42" t="e">
        <f>_xlfn.LET(_xlpm.Result,INDEX(Input!$D$2:$AC$500,
       MATCH(B347, Input!$J$2:$J$500, 0),
       MATCH("Capacity", Input!$D$1:$AC$1, 0)),IF(_xlpm.Result="","",_xlpm.Result))</f>
        <v>#N/A</v>
      </c>
      <c r="S347" s="42" t="e" cm="1">
        <f t="array" ref="S347">_xlfn.TEXTSPLIT(R347," / ", ,TRUE,0,)</f>
        <v>#N/A</v>
      </c>
      <c r="T347" s="42"/>
      <c r="U347" s="42" t="str" cm="1">
        <f t="array" ref="U347">IFERROR(_xlfn.IFS(
S347="","",
--S347&lt;55,"Battery Defect",
--S347&lt;=69,"Battery D",
--S347&lt;=80,"Battery C",
--S347&gt;80,""
),"")</f>
        <v/>
      </c>
      <c r="V347" s="42" t="str" cm="1">
        <f t="array" ref="V347">IFERROR(_xlfn.IFS(
T347="","",
--T347&lt;55,"Battery Defect",
--T347&lt;=69,"Battery D",
--T347&lt;=80,"Battery C",
--T347&gt;80,""
),"")</f>
        <v/>
      </c>
      <c r="W347" s="42"/>
      <c r="X347" s="42"/>
      <c r="Y347" s="42"/>
      <c r="Z347" s="42"/>
      <c r="AA347" s="42"/>
      <c r="AB347" s="42"/>
      <c r="AC347" s="42"/>
      <c r="AD347" s="42"/>
      <c r="AE347" s="32" t="str">
        <f t="shared" si="15"/>
        <v/>
      </c>
      <c r="AF347" s="32"/>
      <c r="AG347" s="32"/>
      <c r="AH347" s="32"/>
      <c r="AI347" s="32"/>
      <c r="AJ347" s="32"/>
      <c r="AK347" s="32"/>
      <c r="AL347" s="32"/>
      <c r="AM347" s="32"/>
    </row>
    <row r="348" spans="1:39">
      <c r="A348" s="32" t="str">
        <f>_xlfn.XLOOKUP(B348,Input!J:J,Input!G:G)&amp;""</f>
        <v/>
      </c>
      <c r="B348" s="32"/>
      <c r="C348" s="32" t="str">
        <f>_xlfn.XLOOKUP(B348,Input!J:J,Input!H:H)&amp;""</f>
        <v/>
      </c>
      <c r="D348" s="42">
        <f>_xlfn.XLOOKUP(B348,Input!J:J,Input!F:F)</f>
        <v>0</v>
      </c>
      <c r="E348" s="32">
        <f>_xlfn.XLOOKUP(D348,Models!H:H,Models!G:G,D348)</f>
        <v>0</v>
      </c>
      <c r="F348" s="32">
        <f>_xlfn.XLOOKUP(B348,Input!J:J,Input!E:E)</f>
        <v>0</v>
      </c>
      <c r="G348" s="32">
        <f>IF(F348="LENOVO",_xlfn.XLOOKUP(B348,Input!J:J,Input!K:K),_xlfn.XLOOKUP(B348,Input!J:J,Input!L:L))</f>
        <v>0</v>
      </c>
      <c r="H348" s="32"/>
      <c r="I348" s="32"/>
      <c r="J348" s="32"/>
      <c r="K348" s="42" t="e">
        <f>INDEX(Input!$D$2:$AC$500,
       MATCH(B348, Input!$J$2:$J$500, 0),
       MATCH("Total Memory", Input!$D$1:$AC$1, 0))</f>
        <v>#N/A</v>
      </c>
      <c r="L348" s="42"/>
      <c r="M348" s="42" t="str" cm="1">
        <f t="array" ref="M348">IFERROR(_xlfn.FILTERXML("&lt;t&gt;&lt;s&gt;" &amp; SUBSTITUTE(L348," / ","&lt;/s&gt;&lt;s&gt;") &amp; "&lt;/s&gt;&lt;/t&gt;","(//s[contains(.,'DDR')])[1]"),"")</f>
        <v/>
      </c>
      <c r="N348" s="32" t="e">
        <f t="shared" si="17"/>
        <v>#N/A</v>
      </c>
      <c r="O348" s="42" t="e">
        <f>INDEX(Input!$D$2:$AC$500,
       MATCH(B348, Input!$J$2:$J$500, 0),
       MATCH("Disk Interface Type", Input!$D$1:$AC$1, 0))</f>
        <v>#N/A</v>
      </c>
      <c r="P348" s="42" t="str" cm="1">
        <f t="array" ref="P348">IFERROR(_xlfn.TEXTJOIN(", ", TRUE, _xlfn._xlws.FILTER(
    INDEX(Input!$D$2:$AC$500,,MATCH("Disk Capacity",Input!$D$1:$AC$1,0)),
    Input!$J$2:$J$500=B348
)), "")</f>
        <v/>
      </c>
      <c r="Q348" s="32" t="e">
        <f t="shared" si="16"/>
        <v>#N/A</v>
      </c>
      <c r="R348" s="42" t="e">
        <f>_xlfn.LET(_xlpm.Result,INDEX(Input!$D$2:$AC$500,
       MATCH(B348, Input!$J$2:$J$500, 0),
       MATCH("Capacity", Input!$D$1:$AC$1, 0)),IF(_xlpm.Result="","",_xlpm.Result))</f>
        <v>#N/A</v>
      </c>
      <c r="S348" s="42" t="e" cm="1">
        <f t="array" ref="S348">_xlfn.TEXTSPLIT(R348," / ", ,TRUE,0,)</f>
        <v>#N/A</v>
      </c>
      <c r="T348" s="42"/>
      <c r="U348" s="42" t="str" cm="1">
        <f t="array" ref="U348">IFERROR(_xlfn.IFS(
S348="","",
--S348&lt;55,"Battery Defect",
--S348&lt;=69,"Battery D",
--S348&lt;=80,"Battery C",
--S348&gt;80,""
),"")</f>
        <v/>
      </c>
      <c r="V348" s="42" t="str" cm="1">
        <f t="array" ref="V348">IFERROR(_xlfn.IFS(
T348="","",
--T348&lt;55,"Battery Defect",
--T348&lt;=69,"Battery D",
--T348&lt;=80,"Battery C",
--T348&gt;80,""
),"")</f>
        <v/>
      </c>
      <c r="W348" s="42"/>
      <c r="X348" s="42"/>
      <c r="Y348" s="42"/>
      <c r="Z348" s="42"/>
      <c r="AA348" s="42"/>
      <c r="AB348" s="42"/>
      <c r="AC348" s="42"/>
      <c r="AD348" s="42"/>
      <c r="AE348" s="32" t="str">
        <f t="shared" si="15"/>
        <v/>
      </c>
      <c r="AF348" s="32"/>
      <c r="AG348" s="32"/>
      <c r="AH348" s="32"/>
      <c r="AI348" s="32"/>
      <c r="AJ348" s="32"/>
      <c r="AK348" s="32"/>
      <c r="AL348" s="32"/>
      <c r="AM348" s="32"/>
    </row>
    <row r="349" spans="1:39">
      <c r="A349" s="32" t="str">
        <f>_xlfn.XLOOKUP(B349,Input!J:J,Input!G:G)&amp;""</f>
        <v/>
      </c>
      <c r="B349" s="32"/>
      <c r="C349" s="32" t="str">
        <f>_xlfn.XLOOKUP(B349,Input!J:J,Input!H:H)&amp;""</f>
        <v/>
      </c>
      <c r="D349" s="42">
        <f>_xlfn.XLOOKUP(B349,Input!J:J,Input!F:F)</f>
        <v>0</v>
      </c>
      <c r="E349" s="32">
        <f>_xlfn.XLOOKUP(D349,Models!H:H,Models!G:G,D349)</f>
        <v>0</v>
      </c>
      <c r="F349" s="32">
        <f>_xlfn.XLOOKUP(B349,Input!J:J,Input!E:E)</f>
        <v>0</v>
      </c>
      <c r="G349" s="32">
        <f>IF(F349="LENOVO",_xlfn.XLOOKUP(B349,Input!J:J,Input!K:K),_xlfn.XLOOKUP(B349,Input!J:J,Input!L:L))</f>
        <v>0</v>
      </c>
      <c r="H349" s="32"/>
      <c r="I349" s="32"/>
      <c r="J349" s="32"/>
      <c r="K349" s="42" t="e">
        <f>INDEX(Input!$D$2:$AC$500,
       MATCH(B349, Input!$J$2:$J$500, 0),
       MATCH("Total Memory", Input!$D$1:$AC$1, 0))</f>
        <v>#N/A</v>
      </c>
      <c r="L349" s="42"/>
      <c r="M349" s="42" t="str" cm="1">
        <f t="array" ref="M349">IFERROR(_xlfn.FILTERXML("&lt;t&gt;&lt;s&gt;" &amp; SUBSTITUTE(L349," / ","&lt;/s&gt;&lt;s&gt;") &amp; "&lt;/s&gt;&lt;/t&gt;","(//s[contains(.,'DDR')])[1]"),"")</f>
        <v/>
      </c>
      <c r="N349" s="32" t="e">
        <f t="shared" si="17"/>
        <v>#N/A</v>
      </c>
      <c r="O349" s="42" t="e">
        <f>INDEX(Input!$D$2:$AC$500,
       MATCH(B349, Input!$J$2:$J$500, 0),
       MATCH("Disk Interface Type", Input!$D$1:$AC$1, 0))</f>
        <v>#N/A</v>
      </c>
      <c r="P349" s="42" t="str" cm="1">
        <f t="array" ref="P349">IFERROR(_xlfn.TEXTJOIN(", ", TRUE, _xlfn._xlws.FILTER(
    INDEX(Input!$D$2:$AC$500,,MATCH("Disk Capacity",Input!$D$1:$AC$1,0)),
    Input!$J$2:$J$500=B349
)), "")</f>
        <v/>
      </c>
      <c r="Q349" s="32" t="e">
        <f t="shared" si="16"/>
        <v>#N/A</v>
      </c>
      <c r="R349" s="42" t="e">
        <f>_xlfn.LET(_xlpm.Result,INDEX(Input!$D$2:$AC$500,
       MATCH(B349, Input!$J$2:$J$500, 0),
       MATCH("Capacity", Input!$D$1:$AC$1, 0)),IF(_xlpm.Result="","",_xlpm.Result))</f>
        <v>#N/A</v>
      </c>
      <c r="S349" s="42" t="e" cm="1">
        <f t="array" ref="S349">_xlfn.TEXTSPLIT(R349," / ", ,TRUE,0,)</f>
        <v>#N/A</v>
      </c>
      <c r="T349" s="42"/>
      <c r="U349" s="42" t="str" cm="1">
        <f t="array" ref="U349">IFERROR(_xlfn.IFS(
S349="","",
--S349&lt;55,"Battery Defect",
--S349&lt;=69,"Battery D",
--S349&lt;=80,"Battery C",
--S349&gt;80,""
),"")</f>
        <v/>
      </c>
      <c r="V349" s="42" t="str" cm="1">
        <f t="array" ref="V349">IFERROR(_xlfn.IFS(
T349="","",
--T349&lt;55,"Battery Defect",
--T349&lt;=69,"Battery D",
--T349&lt;=80,"Battery C",
--T349&gt;80,""
),"")</f>
        <v/>
      </c>
      <c r="W349" s="42"/>
      <c r="X349" s="42"/>
      <c r="Y349" s="42"/>
      <c r="Z349" s="42"/>
      <c r="AA349" s="42"/>
      <c r="AB349" s="42"/>
      <c r="AC349" s="42"/>
      <c r="AD349" s="42"/>
      <c r="AE349" s="32" t="str">
        <f t="shared" si="15"/>
        <v/>
      </c>
      <c r="AF349" s="32"/>
      <c r="AG349" s="32"/>
      <c r="AH349" s="32"/>
      <c r="AI349" s="32"/>
      <c r="AJ349" s="32"/>
      <c r="AK349" s="32"/>
      <c r="AL349" s="32"/>
      <c r="AM349" s="32"/>
    </row>
    <row r="350" spans="1:39">
      <c r="A350" s="32" t="str">
        <f>_xlfn.XLOOKUP(B350,Input!J:J,Input!G:G)&amp;""</f>
        <v/>
      </c>
      <c r="B350" s="32"/>
      <c r="C350" s="32" t="str">
        <f>_xlfn.XLOOKUP(B350,Input!J:J,Input!H:H)&amp;""</f>
        <v/>
      </c>
      <c r="D350" s="42">
        <f>_xlfn.XLOOKUP(B350,Input!J:J,Input!F:F)</f>
        <v>0</v>
      </c>
      <c r="E350" s="32">
        <f>_xlfn.XLOOKUP(D350,Models!H:H,Models!G:G,D350)</f>
        <v>0</v>
      </c>
      <c r="F350" s="32">
        <f>_xlfn.XLOOKUP(B350,Input!J:J,Input!E:E)</f>
        <v>0</v>
      </c>
      <c r="G350" s="32">
        <f>IF(F350="LENOVO",_xlfn.XLOOKUP(B350,Input!J:J,Input!K:K),_xlfn.XLOOKUP(B350,Input!J:J,Input!L:L))</f>
        <v>0</v>
      </c>
      <c r="H350" s="32"/>
      <c r="I350" s="32"/>
      <c r="J350" s="32"/>
      <c r="K350" s="42" t="e">
        <f>INDEX(Input!$D$2:$AC$500,
       MATCH(B350, Input!$J$2:$J$500, 0),
       MATCH("Total Memory", Input!$D$1:$AC$1, 0))</f>
        <v>#N/A</v>
      </c>
      <c r="L350" s="42"/>
      <c r="M350" s="42" t="str" cm="1">
        <f t="array" ref="M350">IFERROR(_xlfn.FILTERXML("&lt;t&gt;&lt;s&gt;" &amp; SUBSTITUTE(L350," / ","&lt;/s&gt;&lt;s&gt;") &amp; "&lt;/s&gt;&lt;/t&gt;","(//s[contains(.,'DDR')])[1]"),"")</f>
        <v/>
      </c>
      <c r="N350" s="32" t="e">
        <f t="shared" si="17"/>
        <v>#N/A</v>
      </c>
      <c r="O350" s="42" t="e">
        <f>INDEX(Input!$D$2:$AC$500,
       MATCH(B350, Input!$J$2:$J$500, 0),
       MATCH("Disk Interface Type", Input!$D$1:$AC$1, 0))</f>
        <v>#N/A</v>
      </c>
      <c r="P350" s="42" t="str" cm="1">
        <f t="array" ref="P350">IFERROR(_xlfn.TEXTJOIN(", ", TRUE, _xlfn._xlws.FILTER(
    INDEX(Input!$D$2:$AC$500,,MATCH("Disk Capacity",Input!$D$1:$AC$1,0)),
    Input!$J$2:$J$500=B350
)), "")</f>
        <v/>
      </c>
      <c r="Q350" s="32" t="e">
        <f t="shared" si="16"/>
        <v>#N/A</v>
      </c>
      <c r="R350" s="42" t="e">
        <f>_xlfn.LET(_xlpm.Result,INDEX(Input!$D$2:$AC$500,
       MATCH(B350, Input!$J$2:$J$500, 0),
       MATCH("Capacity", Input!$D$1:$AC$1, 0)),IF(_xlpm.Result="","",_xlpm.Result))</f>
        <v>#N/A</v>
      </c>
      <c r="S350" s="42" t="e" cm="1">
        <f t="array" ref="S350">_xlfn.TEXTSPLIT(R350," / ", ,TRUE,0,)</f>
        <v>#N/A</v>
      </c>
      <c r="T350" s="42"/>
      <c r="U350" s="42" t="str" cm="1">
        <f t="array" ref="U350">IFERROR(_xlfn.IFS(
S350="","",
--S350&lt;55,"Battery Defect",
--S350&lt;=69,"Battery D",
--S350&lt;=80,"Battery C",
--S350&gt;80,""
),"")</f>
        <v/>
      </c>
      <c r="V350" s="42" t="str" cm="1">
        <f t="array" ref="V350">IFERROR(_xlfn.IFS(
T350="","",
--T350&lt;55,"Battery Defect",
--T350&lt;=69,"Battery D",
--T350&lt;=80,"Battery C",
--T350&gt;80,""
),"")</f>
        <v/>
      </c>
      <c r="W350" s="42"/>
      <c r="X350" s="42"/>
      <c r="Y350" s="42"/>
      <c r="Z350" s="42"/>
      <c r="AA350" s="42"/>
      <c r="AB350" s="42"/>
      <c r="AC350" s="42"/>
      <c r="AD350" s="42"/>
      <c r="AE350" s="32" t="str">
        <f t="shared" si="15"/>
        <v/>
      </c>
      <c r="AF350" s="32"/>
      <c r="AG350" s="32"/>
      <c r="AH350" s="32"/>
      <c r="AI350" s="32"/>
      <c r="AJ350" s="32"/>
      <c r="AK350" s="32"/>
      <c r="AL350" s="32"/>
      <c r="AM350" s="32"/>
    </row>
    <row r="351" spans="1:39">
      <c r="A351" s="32" t="str">
        <f>_xlfn.XLOOKUP(B351,Input!J:J,Input!G:G)&amp;""</f>
        <v/>
      </c>
      <c r="B351" s="32"/>
      <c r="C351" s="32" t="str">
        <f>_xlfn.XLOOKUP(B351,Input!J:J,Input!H:H)&amp;""</f>
        <v/>
      </c>
      <c r="D351" s="42">
        <f>_xlfn.XLOOKUP(B351,Input!J:J,Input!F:F)</f>
        <v>0</v>
      </c>
      <c r="E351" s="32">
        <f>_xlfn.XLOOKUP(D351,Models!H:H,Models!G:G,D351)</f>
        <v>0</v>
      </c>
      <c r="F351" s="32">
        <f>_xlfn.XLOOKUP(B351,Input!J:J,Input!E:E)</f>
        <v>0</v>
      </c>
      <c r="G351" s="32">
        <f>IF(F351="LENOVO",_xlfn.XLOOKUP(B351,Input!J:J,Input!K:K),_xlfn.XLOOKUP(B351,Input!J:J,Input!L:L))</f>
        <v>0</v>
      </c>
      <c r="H351" s="32"/>
      <c r="I351" s="32"/>
      <c r="J351" s="32"/>
      <c r="K351" s="42" t="e">
        <f>INDEX(Input!$D$2:$AC$500,
       MATCH(B351, Input!$J$2:$J$500, 0),
       MATCH("Total Memory", Input!$D$1:$AC$1, 0))</f>
        <v>#N/A</v>
      </c>
      <c r="L351" s="42"/>
      <c r="M351" s="42" t="str" cm="1">
        <f t="array" ref="M351">IFERROR(_xlfn.FILTERXML("&lt;t&gt;&lt;s&gt;" &amp; SUBSTITUTE(L351," / ","&lt;/s&gt;&lt;s&gt;") &amp; "&lt;/s&gt;&lt;/t&gt;","(//s[contains(.,'DDR')])[1]"),"")</f>
        <v/>
      </c>
      <c r="N351" s="32" t="e">
        <f t="shared" si="17"/>
        <v>#N/A</v>
      </c>
      <c r="O351" s="42" t="e">
        <f>INDEX(Input!$D$2:$AC$500,
       MATCH(B351, Input!$J$2:$J$500, 0),
       MATCH("Disk Interface Type", Input!$D$1:$AC$1, 0))</f>
        <v>#N/A</v>
      </c>
      <c r="P351" s="42" t="str" cm="1">
        <f t="array" ref="P351">IFERROR(_xlfn.TEXTJOIN(", ", TRUE, _xlfn._xlws.FILTER(
    INDEX(Input!$D$2:$AC$500,,MATCH("Disk Capacity",Input!$D$1:$AC$1,0)),
    Input!$J$2:$J$500=B351
)), "")</f>
        <v/>
      </c>
      <c r="Q351" s="32" t="e">
        <f t="shared" si="16"/>
        <v>#N/A</v>
      </c>
      <c r="R351" s="42" t="e">
        <f>_xlfn.LET(_xlpm.Result,INDEX(Input!$D$2:$AC$500,
       MATCH(B351, Input!$J$2:$J$500, 0),
       MATCH("Capacity", Input!$D$1:$AC$1, 0)),IF(_xlpm.Result="","",_xlpm.Result))</f>
        <v>#N/A</v>
      </c>
      <c r="S351" s="42" t="e" cm="1">
        <f t="array" ref="S351">_xlfn.TEXTSPLIT(R351," / ", ,TRUE,0,)</f>
        <v>#N/A</v>
      </c>
      <c r="T351" s="42"/>
      <c r="U351" s="42" t="str" cm="1">
        <f t="array" ref="U351">IFERROR(_xlfn.IFS(
S351="","",
--S351&lt;55,"Battery Defect",
--S351&lt;=69,"Battery D",
--S351&lt;=80,"Battery C",
--S351&gt;80,""
),"")</f>
        <v/>
      </c>
      <c r="V351" s="42" t="str" cm="1">
        <f t="array" ref="V351">IFERROR(_xlfn.IFS(
T351="","",
--T351&lt;55,"Battery Defect",
--T351&lt;=69,"Battery D",
--T351&lt;=80,"Battery C",
--T351&gt;80,""
),"")</f>
        <v/>
      </c>
      <c r="W351" s="42"/>
      <c r="X351" s="42"/>
      <c r="Y351" s="42"/>
      <c r="Z351" s="42"/>
      <c r="AA351" s="42"/>
      <c r="AB351" s="42"/>
      <c r="AC351" s="42"/>
      <c r="AD351" s="42"/>
      <c r="AE351" s="32" t="str">
        <f t="shared" si="15"/>
        <v/>
      </c>
      <c r="AF351" s="32"/>
      <c r="AG351" s="32"/>
      <c r="AH351" s="32"/>
      <c r="AI351" s="32"/>
      <c r="AJ351" s="32"/>
      <c r="AK351" s="32"/>
      <c r="AL351" s="32"/>
      <c r="AM351" s="32"/>
    </row>
    <row r="352" spans="1:39">
      <c r="A352" s="32" t="str">
        <f>_xlfn.XLOOKUP(B352,Input!J:J,Input!G:G)&amp;""</f>
        <v/>
      </c>
      <c r="B352" s="32"/>
      <c r="C352" s="32" t="str">
        <f>_xlfn.XLOOKUP(B352,Input!J:J,Input!H:H)&amp;""</f>
        <v/>
      </c>
      <c r="D352" s="42">
        <f>_xlfn.XLOOKUP(B352,Input!J:J,Input!F:F)</f>
        <v>0</v>
      </c>
      <c r="E352" s="32">
        <f>_xlfn.XLOOKUP(D352,Models!H:H,Models!G:G,D352)</f>
        <v>0</v>
      </c>
      <c r="F352" s="32">
        <f>_xlfn.XLOOKUP(B352,Input!J:J,Input!E:E)</f>
        <v>0</v>
      </c>
      <c r="G352" s="32">
        <f>IF(F352="LENOVO",_xlfn.XLOOKUP(B352,Input!J:J,Input!K:K),_xlfn.XLOOKUP(B352,Input!J:J,Input!L:L))</f>
        <v>0</v>
      </c>
      <c r="H352" s="32"/>
      <c r="I352" s="32"/>
      <c r="J352" s="32"/>
      <c r="K352" s="42" t="e">
        <f>INDEX(Input!$D$2:$AC$500,
       MATCH(B352, Input!$J$2:$J$500, 0),
       MATCH("Total Memory", Input!$D$1:$AC$1, 0))</f>
        <v>#N/A</v>
      </c>
      <c r="L352" s="42"/>
      <c r="M352" s="42" t="str" cm="1">
        <f t="array" ref="M352">IFERROR(_xlfn.FILTERXML("&lt;t&gt;&lt;s&gt;" &amp; SUBSTITUTE(L352," / ","&lt;/s&gt;&lt;s&gt;") &amp; "&lt;/s&gt;&lt;/t&gt;","(//s[contains(.,'DDR')])[1]"),"")</f>
        <v/>
      </c>
      <c r="N352" s="32" t="e">
        <f t="shared" si="17"/>
        <v>#N/A</v>
      </c>
      <c r="O352" s="42" t="e">
        <f>INDEX(Input!$D$2:$AC$500,
       MATCH(B352, Input!$J$2:$J$500, 0),
       MATCH("Disk Interface Type", Input!$D$1:$AC$1, 0))</f>
        <v>#N/A</v>
      </c>
      <c r="P352" s="42" t="str" cm="1">
        <f t="array" ref="P352">IFERROR(_xlfn.TEXTJOIN(", ", TRUE, _xlfn._xlws.FILTER(
    INDEX(Input!$D$2:$AC$500,,MATCH("Disk Capacity",Input!$D$1:$AC$1,0)),
    Input!$J$2:$J$500=B352
)), "")</f>
        <v/>
      </c>
      <c r="Q352" s="32" t="e">
        <f t="shared" si="16"/>
        <v>#N/A</v>
      </c>
      <c r="R352" s="42" t="e">
        <f>_xlfn.LET(_xlpm.Result,INDEX(Input!$D$2:$AC$500,
       MATCH(B352, Input!$J$2:$J$500, 0),
       MATCH("Capacity", Input!$D$1:$AC$1, 0)),IF(_xlpm.Result="","",_xlpm.Result))</f>
        <v>#N/A</v>
      </c>
      <c r="S352" s="42" t="e" cm="1">
        <f t="array" ref="S352">_xlfn.TEXTSPLIT(R352," / ", ,TRUE,0,)</f>
        <v>#N/A</v>
      </c>
      <c r="T352" s="42"/>
      <c r="U352" s="42" t="str" cm="1">
        <f t="array" ref="U352">IFERROR(_xlfn.IFS(
S352="","",
--S352&lt;55,"Battery Defect",
--S352&lt;=69,"Battery D",
--S352&lt;=80,"Battery C",
--S352&gt;80,""
),"")</f>
        <v/>
      </c>
      <c r="V352" s="42" t="str" cm="1">
        <f t="array" ref="V352">IFERROR(_xlfn.IFS(
T352="","",
--T352&lt;55,"Battery Defect",
--T352&lt;=69,"Battery D",
--T352&lt;=80,"Battery C",
--T352&gt;80,""
),"")</f>
        <v/>
      </c>
      <c r="W352" s="42"/>
      <c r="X352" s="42"/>
      <c r="Y352" s="42"/>
      <c r="Z352" s="42"/>
      <c r="AA352" s="42"/>
      <c r="AB352" s="42"/>
      <c r="AC352" s="42"/>
      <c r="AD352" s="42"/>
      <c r="AE352" s="32" t="str">
        <f t="shared" si="15"/>
        <v/>
      </c>
      <c r="AF352" s="32"/>
      <c r="AG352" s="32"/>
      <c r="AH352" s="32"/>
      <c r="AI352" s="32"/>
      <c r="AJ352" s="32"/>
      <c r="AK352" s="32"/>
      <c r="AL352" s="32"/>
      <c r="AM352" s="32"/>
    </row>
    <row r="353" spans="1:39">
      <c r="A353" s="32" t="str">
        <f>_xlfn.XLOOKUP(B353,Input!J:J,Input!G:G)&amp;""</f>
        <v/>
      </c>
      <c r="B353" s="32"/>
      <c r="C353" s="32" t="str">
        <f>_xlfn.XLOOKUP(B353,Input!J:J,Input!H:H)&amp;""</f>
        <v/>
      </c>
      <c r="D353" s="42">
        <f>_xlfn.XLOOKUP(B353,Input!J:J,Input!F:F)</f>
        <v>0</v>
      </c>
      <c r="E353" s="32">
        <f>_xlfn.XLOOKUP(D353,Models!H:H,Models!G:G,D353)</f>
        <v>0</v>
      </c>
      <c r="F353" s="32">
        <f>_xlfn.XLOOKUP(B353,Input!J:J,Input!E:E)</f>
        <v>0</v>
      </c>
      <c r="G353" s="32">
        <f>IF(F353="LENOVO",_xlfn.XLOOKUP(B353,Input!J:J,Input!K:K),_xlfn.XLOOKUP(B353,Input!J:J,Input!L:L))</f>
        <v>0</v>
      </c>
      <c r="H353" s="32"/>
      <c r="I353" s="32"/>
      <c r="J353" s="32"/>
      <c r="K353" s="42" t="e">
        <f>INDEX(Input!$D$2:$AC$500,
       MATCH(B353, Input!$J$2:$J$500, 0),
       MATCH("Total Memory", Input!$D$1:$AC$1, 0))</f>
        <v>#N/A</v>
      </c>
      <c r="L353" s="42"/>
      <c r="M353" s="42" t="str" cm="1">
        <f t="array" ref="M353">IFERROR(_xlfn.FILTERXML("&lt;t&gt;&lt;s&gt;" &amp; SUBSTITUTE(L353," / ","&lt;/s&gt;&lt;s&gt;") &amp; "&lt;/s&gt;&lt;/t&gt;","(//s[contains(.,'DDR')])[1]"),"")</f>
        <v/>
      </c>
      <c r="N353" s="32" t="e">
        <f t="shared" si="17"/>
        <v>#N/A</v>
      </c>
      <c r="O353" s="42" t="e">
        <f>INDEX(Input!$D$2:$AC$500,
       MATCH(B353, Input!$J$2:$J$500, 0),
       MATCH("Disk Interface Type", Input!$D$1:$AC$1, 0))</f>
        <v>#N/A</v>
      </c>
      <c r="P353" s="42" t="str" cm="1">
        <f t="array" ref="P353">IFERROR(_xlfn.TEXTJOIN(", ", TRUE, _xlfn._xlws.FILTER(
    INDEX(Input!$D$2:$AC$500,,MATCH("Disk Capacity",Input!$D$1:$AC$1,0)),
    Input!$J$2:$J$500=B353
)), "")</f>
        <v/>
      </c>
      <c r="Q353" s="32" t="e">
        <f t="shared" si="16"/>
        <v>#N/A</v>
      </c>
      <c r="R353" s="42" t="e">
        <f>_xlfn.LET(_xlpm.Result,INDEX(Input!$D$2:$AC$500,
       MATCH(B353, Input!$J$2:$J$500, 0),
       MATCH("Capacity", Input!$D$1:$AC$1, 0)),IF(_xlpm.Result="","",_xlpm.Result))</f>
        <v>#N/A</v>
      </c>
      <c r="S353" s="42" t="e" cm="1">
        <f t="array" ref="S353">_xlfn.TEXTSPLIT(R353," / ", ,TRUE,0,)</f>
        <v>#N/A</v>
      </c>
      <c r="T353" s="42"/>
      <c r="U353" s="42" t="str" cm="1">
        <f t="array" ref="U353">IFERROR(_xlfn.IFS(
S353="","",
--S353&lt;55,"Battery Defect",
--S353&lt;=69,"Battery D",
--S353&lt;=80,"Battery C",
--S353&gt;80,""
),"")</f>
        <v/>
      </c>
      <c r="V353" s="42" t="str" cm="1">
        <f t="array" ref="V353">IFERROR(_xlfn.IFS(
T353="","",
--T353&lt;55,"Battery Defect",
--T353&lt;=69,"Battery D",
--T353&lt;=80,"Battery C",
--T353&gt;80,""
),"")</f>
        <v/>
      </c>
      <c r="W353" s="42"/>
      <c r="X353" s="42"/>
      <c r="Y353" s="42"/>
      <c r="Z353" s="42"/>
      <c r="AA353" s="42"/>
      <c r="AB353" s="42"/>
      <c r="AC353" s="42"/>
      <c r="AD353" s="42"/>
      <c r="AE353" s="32" t="str">
        <f t="shared" si="15"/>
        <v/>
      </c>
      <c r="AF353" s="32"/>
      <c r="AG353" s="32"/>
      <c r="AH353" s="32"/>
      <c r="AI353" s="32"/>
      <c r="AJ353" s="32"/>
      <c r="AK353" s="32"/>
      <c r="AL353" s="32"/>
      <c r="AM353" s="32"/>
    </row>
    <row r="354" spans="1:39">
      <c r="A354" s="32" t="str">
        <f>_xlfn.XLOOKUP(B354,Input!J:J,Input!G:G)&amp;""</f>
        <v/>
      </c>
      <c r="B354" s="32"/>
      <c r="C354" s="32" t="str">
        <f>_xlfn.XLOOKUP(B354,Input!J:J,Input!H:H)&amp;""</f>
        <v/>
      </c>
      <c r="D354" s="42">
        <f>_xlfn.XLOOKUP(B354,Input!J:J,Input!F:F)</f>
        <v>0</v>
      </c>
      <c r="E354" s="32">
        <f>_xlfn.XLOOKUP(D354,Models!H:H,Models!G:G,D354)</f>
        <v>0</v>
      </c>
      <c r="F354" s="32">
        <f>_xlfn.XLOOKUP(B354,Input!J:J,Input!E:E)</f>
        <v>0</v>
      </c>
      <c r="G354" s="32">
        <f>IF(F354="LENOVO",_xlfn.XLOOKUP(B354,Input!J:J,Input!K:K),_xlfn.XLOOKUP(B354,Input!J:J,Input!L:L))</f>
        <v>0</v>
      </c>
      <c r="H354" s="32"/>
      <c r="I354" s="32"/>
      <c r="J354" s="32"/>
      <c r="K354" s="42" t="e">
        <f>INDEX(Input!$D$2:$AC$500,
       MATCH(B354, Input!$J$2:$J$500, 0),
       MATCH("Total Memory", Input!$D$1:$AC$1, 0))</f>
        <v>#N/A</v>
      </c>
      <c r="L354" s="42"/>
      <c r="M354" s="42" t="str" cm="1">
        <f t="array" ref="M354">IFERROR(_xlfn.FILTERXML("&lt;t&gt;&lt;s&gt;" &amp; SUBSTITUTE(L354," / ","&lt;/s&gt;&lt;s&gt;") &amp; "&lt;/s&gt;&lt;/t&gt;","(//s[contains(.,'DDR')])[1]"),"")</f>
        <v/>
      </c>
      <c r="N354" s="32" t="e">
        <f t="shared" si="17"/>
        <v>#N/A</v>
      </c>
      <c r="O354" s="42" t="e">
        <f>INDEX(Input!$D$2:$AC$500,
       MATCH(B354, Input!$J$2:$J$500, 0),
       MATCH("Disk Interface Type", Input!$D$1:$AC$1, 0))</f>
        <v>#N/A</v>
      </c>
      <c r="P354" s="42" t="str" cm="1">
        <f t="array" ref="P354">IFERROR(_xlfn.TEXTJOIN(", ", TRUE, _xlfn._xlws.FILTER(
    INDEX(Input!$D$2:$AC$500,,MATCH("Disk Capacity",Input!$D$1:$AC$1,0)),
    Input!$J$2:$J$500=B354
)), "")</f>
        <v/>
      </c>
      <c r="Q354" s="32" t="e">
        <f t="shared" si="16"/>
        <v>#N/A</v>
      </c>
      <c r="R354" s="42" t="e">
        <f>_xlfn.LET(_xlpm.Result,INDEX(Input!$D$2:$AC$500,
       MATCH(B354, Input!$J$2:$J$500, 0),
       MATCH("Capacity", Input!$D$1:$AC$1, 0)),IF(_xlpm.Result="","",_xlpm.Result))</f>
        <v>#N/A</v>
      </c>
      <c r="S354" s="42" t="e" cm="1">
        <f t="array" ref="S354">_xlfn.TEXTSPLIT(R354," / ", ,TRUE,0,)</f>
        <v>#N/A</v>
      </c>
      <c r="T354" s="42"/>
      <c r="U354" s="42" t="str" cm="1">
        <f t="array" ref="U354">IFERROR(_xlfn.IFS(
S354="","",
--S354&lt;55,"Battery Defect",
--S354&lt;=69,"Battery D",
--S354&lt;=80,"Battery C",
--S354&gt;80,""
),"")</f>
        <v/>
      </c>
      <c r="V354" s="42" t="str" cm="1">
        <f t="array" ref="V354">IFERROR(_xlfn.IFS(
T354="","",
--T354&lt;55,"Battery Defect",
--T354&lt;=69,"Battery D",
--T354&lt;=80,"Battery C",
--T354&gt;80,""
),"")</f>
        <v/>
      </c>
      <c r="W354" s="42"/>
      <c r="X354" s="42"/>
      <c r="Y354" s="42"/>
      <c r="Z354" s="42"/>
      <c r="AA354" s="42"/>
      <c r="AB354" s="42"/>
      <c r="AC354" s="42"/>
      <c r="AD354" s="42"/>
      <c r="AE354" s="32" t="str">
        <f t="shared" si="15"/>
        <v/>
      </c>
      <c r="AF354" s="32"/>
      <c r="AG354" s="32"/>
      <c r="AH354" s="32"/>
      <c r="AI354" s="32"/>
      <c r="AJ354" s="32"/>
      <c r="AK354" s="32"/>
      <c r="AL354" s="32"/>
      <c r="AM354" s="32"/>
    </row>
    <row r="355" spans="1:39">
      <c r="A355" s="32" t="str">
        <f>_xlfn.XLOOKUP(B355,Input!J:J,Input!G:G)&amp;""</f>
        <v/>
      </c>
      <c r="B355" s="32"/>
      <c r="C355" s="32" t="str">
        <f>_xlfn.XLOOKUP(B355,Input!J:J,Input!H:H)&amp;""</f>
        <v/>
      </c>
      <c r="D355" s="42">
        <f>_xlfn.XLOOKUP(B355,Input!J:J,Input!F:F)</f>
        <v>0</v>
      </c>
      <c r="E355" s="32">
        <f>_xlfn.XLOOKUP(D355,Models!H:H,Models!G:G,D355)</f>
        <v>0</v>
      </c>
      <c r="F355" s="32">
        <f>_xlfn.XLOOKUP(B355,Input!J:J,Input!E:E)</f>
        <v>0</v>
      </c>
      <c r="G355" s="32">
        <f>IF(F355="LENOVO",_xlfn.XLOOKUP(B355,Input!J:J,Input!K:K),_xlfn.XLOOKUP(B355,Input!J:J,Input!L:L))</f>
        <v>0</v>
      </c>
      <c r="H355" s="32"/>
      <c r="I355" s="32"/>
      <c r="J355" s="32"/>
      <c r="K355" s="42" t="e">
        <f>INDEX(Input!$D$2:$AC$500,
       MATCH(B355, Input!$J$2:$J$500, 0),
       MATCH("Total Memory", Input!$D$1:$AC$1, 0))</f>
        <v>#N/A</v>
      </c>
      <c r="L355" s="42"/>
      <c r="M355" s="42" t="str" cm="1">
        <f t="array" ref="M355">IFERROR(_xlfn.FILTERXML("&lt;t&gt;&lt;s&gt;" &amp; SUBSTITUTE(L355," / ","&lt;/s&gt;&lt;s&gt;") &amp; "&lt;/s&gt;&lt;/t&gt;","(//s[contains(.,'DDR')])[1]"),"")</f>
        <v/>
      </c>
      <c r="N355" s="32" t="e">
        <f t="shared" si="17"/>
        <v>#N/A</v>
      </c>
      <c r="O355" s="42" t="e">
        <f>INDEX(Input!$D$2:$AC$500,
       MATCH(B355, Input!$J$2:$J$500, 0),
       MATCH("Disk Interface Type", Input!$D$1:$AC$1, 0))</f>
        <v>#N/A</v>
      </c>
      <c r="P355" s="42" t="str" cm="1">
        <f t="array" ref="P355">IFERROR(_xlfn.TEXTJOIN(", ", TRUE, _xlfn._xlws.FILTER(
    INDEX(Input!$D$2:$AC$500,,MATCH("Disk Capacity",Input!$D$1:$AC$1,0)),
    Input!$J$2:$J$500=B355
)), "")</f>
        <v/>
      </c>
      <c r="Q355" s="32" t="e">
        <f t="shared" si="16"/>
        <v>#N/A</v>
      </c>
      <c r="R355" s="42" t="e">
        <f>_xlfn.LET(_xlpm.Result,INDEX(Input!$D$2:$AC$500,
       MATCH(B355, Input!$J$2:$J$500, 0),
       MATCH("Capacity", Input!$D$1:$AC$1, 0)),IF(_xlpm.Result="","",_xlpm.Result))</f>
        <v>#N/A</v>
      </c>
      <c r="S355" s="42" t="e" cm="1">
        <f t="array" ref="S355">_xlfn.TEXTSPLIT(R355," / ", ,TRUE,0,)</f>
        <v>#N/A</v>
      </c>
      <c r="T355" s="42"/>
      <c r="U355" s="42" t="str" cm="1">
        <f t="array" ref="U355">IFERROR(_xlfn.IFS(
S355="","",
--S355&lt;55,"Battery Defect",
--S355&lt;=69,"Battery D",
--S355&lt;=80,"Battery C",
--S355&gt;80,""
),"")</f>
        <v/>
      </c>
      <c r="V355" s="42" t="str" cm="1">
        <f t="array" ref="V355">IFERROR(_xlfn.IFS(
T355="","",
--T355&lt;55,"Battery Defect",
--T355&lt;=69,"Battery D",
--T355&lt;=80,"Battery C",
--T355&gt;80,""
),"")</f>
        <v/>
      </c>
      <c r="W355" s="42"/>
      <c r="X355" s="42"/>
      <c r="Y355" s="42"/>
      <c r="Z355" s="42"/>
      <c r="AA355" s="42"/>
      <c r="AB355" s="42"/>
      <c r="AC355" s="42"/>
      <c r="AD355" s="42"/>
      <c r="AE355" s="32" t="str">
        <f t="shared" si="15"/>
        <v/>
      </c>
      <c r="AF355" s="32"/>
      <c r="AG355" s="32"/>
      <c r="AH355" s="32"/>
      <c r="AI355" s="32"/>
      <c r="AJ355" s="32"/>
      <c r="AK355" s="32"/>
      <c r="AL355" s="32"/>
      <c r="AM355" s="32"/>
    </row>
    <row r="356" spans="1:39">
      <c r="A356" s="32" t="str">
        <f>_xlfn.XLOOKUP(B356,Input!J:J,Input!G:G)&amp;""</f>
        <v/>
      </c>
      <c r="B356" s="32"/>
      <c r="C356" s="32" t="str">
        <f>_xlfn.XLOOKUP(B356,Input!J:J,Input!H:H)&amp;""</f>
        <v/>
      </c>
      <c r="D356" s="42">
        <f>_xlfn.XLOOKUP(B356,Input!J:J,Input!F:F)</f>
        <v>0</v>
      </c>
      <c r="E356" s="32">
        <f>_xlfn.XLOOKUP(D356,Models!H:H,Models!G:G,D356)</f>
        <v>0</v>
      </c>
      <c r="F356" s="32">
        <f>_xlfn.XLOOKUP(B356,Input!J:J,Input!E:E)</f>
        <v>0</v>
      </c>
      <c r="G356" s="32">
        <f>IF(F356="LENOVO",_xlfn.XLOOKUP(B356,Input!J:J,Input!K:K),_xlfn.XLOOKUP(B356,Input!J:J,Input!L:L))</f>
        <v>0</v>
      </c>
      <c r="H356" s="32"/>
      <c r="I356" s="32"/>
      <c r="J356" s="32"/>
      <c r="K356" s="42" t="e">
        <f>INDEX(Input!$D$2:$AC$500,
       MATCH(B356, Input!$J$2:$J$500, 0),
       MATCH("Total Memory", Input!$D$1:$AC$1, 0))</f>
        <v>#N/A</v>
      </c>
      <c r="L356" s="42"/>
      <c r="M356" s="42" t="str" cm="1">
        <f t="array" ref="M356">IFERROR(_xlfn.FILTERXML("&lt;t&gt;&lt;s&gt;" &amp; SUBSTITUTE(L356," / ","&lt;/s&gt;&lt;s&gt;") &amp; "&lt;/s&gt;&lt;/t&gt;","(//s[contains(.,'DDR')])[1]"),"")</f>
        <v/>
      </c>
      <c r="N356" s="32" t="e">
        <f t="shared" si="17"/>
        <v>#N/A</v>
      </c>
      <c r="O356" s="42" t="e">
        <f>INDEX(Input!$D$2:$AC$500,
       MATCH(B356, Input!$J$2:$J$500, 0),
       MATCH("Disk Interface Type", Input!$D$1:$AC$1, 0))</f>
        <v>#N/A</v>
      </c>
      <c r="P356" s="42" t="str" cm="1">
        <f t="array" ref="P356">IFERROR(_xlfn.TEXTJOIN(", ", TRUE, _xlfn._xlws.FILTER(
    INDEX(Input!$D$2:$AC$500,,MATCH("Disk Capacity",Input!$D$1:$AC$1,0)),
    Input!$J$2:$J$500=B356
)), "")</f>
        <v/>
      </c>
      <c r="Q356" s="32" t="e">
        <f t="shared" si="16"/>
        <v>#N/A</v>
      </c>
      <c r="R356" s="42" t="e">
        <f>_xlfn.LET(_xlpm.Result,INDEX(Input!$D$2:$AC$500,
       MATCH(B356, Input!$J$2:$J$500, 0),
       MATCH("Capacity", Input!$D$1:$AC$1, 0)),IF(_xlpm.Result="","",_xlpm.Result))</f>
        <v>#N/A</v>
      </c>
      <c r="S356" s="42" t="e" cm="1">
        <f t="array" ref="S356">_xlfn.TEXTSPLIT(R356," / ", ,TRUE,0,)</f>
        <v>#N/A</v>
      </c>
      <c r="T356" s="42"/>
      <c r="U356" s="42" t="str" cm="1">
        <f t="array" ref="U356">IFERROR(_xlfn.IFS(
S356="","",
--S356&lt;55,"Battery Defect",
--S356&lt;=69,"Battery D",
--S356&lt;=80,"Battery C",
--S356&gt;80,""
),"")</f>
        <v/>
      </c>
      <c r="V356" s="42" t="str" cm="1">
        <f t="array" ref="V356">IFERROR(_xlfn.IFS(
T356="","",
--T356&lt;55,"Battery Defect",
--T356&lt;=69,"Battery D",
--T356&lt;=80,"Battery C",
--T356&gt;80,""
),"")</f>
        <v/>
      </c>
      <c r="W356" s="42"/>
      <c r="X356" s="42"/>
      <c r="Y356" s="42"/>
      <c r="Z356" s="42"/>
      <c r="AA356" s="42"/>
      <c r="AB356" s="42"/>
      <c r="AC356" s="42"/>
      <c r="AD356" s="42"/>
      <c r="AE356" s="32" t="str">
        <f t="shared" si="15"/>
        <v/>
      </c>
      <c r="AF356" s="32"/>
      <c r="AG356" s="32"/>
      <c r="AH356" s="32"/>
      <c r="AI356" s="32"/>
      <c r="AJ356" s="32"/>
      <c r="AK356" s="32"/>
      <c r="AL356" s="32"/>
      <c r="AM356" s="32"/>
    </row>
    <row r="357" spans="1:39">
      <c r="A357" s="32" t="str">
        <f>_xlfn.XLOOKUP(B357,Input!J:J,Input!G:G)&amp;""</f>
        <v/>
      </c>
      <c r="B357" s="32"/>
      <c r="C357" s="32" t="str">
        <f>_xlfn.XLOOKUP(B357,Input!J:J,Input!H:H)&amp;""</f>
        <v/>
      </c>
      <c r="D357" s="42">
        <f>_xlfn.XLOOKUP(B357,Input!J:J,Input!F:F)</f>
        <v>0</v>
      </c>
      <c r="E357" s="32">
        <f>_xlfn.XLOOKUP(D357,Models!H:H,Models!G:G,D357)</f>
        <v>0</v>
      </c>
      <c r="F357" s="32">
        <f>_xlfn.XLOOKUP(B357,Input!J:J,Input!E:E)</f>
        <v>0</v>
      </c>
      <c r="G357" s="32">
        <f>IF(F357="LENOVO",_xlfn.XLOOKUP(B357,Input!J:J,Input!K:K),_xlfn.XLOOKUP(B357,Input!J:J,Input!L:L))</f>
        <v>0</v>
      </c>
      <c r="H357" s="32"/>
      <c r="I357" s="32"/>
      <c r="J357" s="32"/>
      <c r="K357" s="42" t="e">
        <f>INDEX(Input!$D$2:$AC$500,
       MATCH(B357, Input!$J$2:$J$500, 0),
       MATCH("Total Memory", Input!$D$1:$AC$1, 0))</f>
        <v>#N/A</v>
      </c>
      <c r="L357" s="42"/>
      <c r="M357" s="42" t="str" cm="1">
        <f t="array" ref="M357">IFERROR(_xlfn.FILTERXML("&lt;t&gt;&lt;s&gt;" &amp; SUBSTITUTE(L357," / ","&lt;/s&gt;&lt;s&gt;") &amp; "&lt;/s&gt;&lt;/t&gt;","(//s[contains(.,'DDR')])[1]"),"")</f>
        <v/>
      </c>
      <c r="N357" s="32" t="e">
        <f t="shared" si="17"/>
        <v>#N/A</v>
      </c>
      <c r="O357" s="42" t="e">
        <f>INDEX(Input!$D$2:$AC$500,
       MATCH(B357, Input!$J$2:$J$500, 0),
       MATCH("Disk Interface Type", Input!$D$1:$AC$1, 0))</f>
        <v>#N/A</v>
      </c>
      <c r="P357" s="42" t="str" cm="1">
        <f t="array" ref="P357">IFERROR(_xlfn.TEXTJOIN(", ", TRUE, _xlfn._xlws.FILTER(
    INDEX(Input!$D$2:$AC$500,,MATCH("Disk Capacity",Input!$D$1:$AC$1,0)),
    Input!$J$2:$J$500=B357
)), "")</f>
        <v/>
      </c>
      <c r="Q357" s="32" t="e">
        <f t="shared" si="16"/>
        <v>#N/A</v>
      </c>
      <c r="R357" s="42" t="e">
        <f>_xlfn.LET(_xlpm.Result,INDEX(Input!$D$2:$AC$500,
       MATCH(B357, Input!$J$2:$J$500, 0),
       MATCH("Capacity", Input!$D$1:$AC$1, 0)),IF(_xlpm.Result="","",_xlpm.Result))</f>
        <v>#N/A</v>
      </c>
      <c r="S357" s="42" t="e" cm="1">
        <f t="array" ref="S357">_xlfn.TEXTSPLIT(R357," / ", ,TRUE,0,)</f>
        <v>#N/A</v>
      </c>
      <c r="T357" s="42"/>
      <c r="U357" s="42" t="str" cm="1">
        <f t="array" ref="U357">IFERROR(_xlfn.IFS(
S357="","",
--S357&lt;55,"Battery Defect",
--S357&lt;=69,"Battery D",
--S357&lt;=80,"Battery C",
--S357&gt;80,""
),"")</f>
        <v/>
      </c>
      <c r="V357" s="42" t="str" cm="1">
        <f t="array" ref="V357">IFERROR(_xlfn.IFS(
T357="","",
--T357&lt;55,"Battery Defect",
--T357&lt;=69,"Battery D",
--T357&lt;=80,"Battery C",
--T357&gt;80,""
),"")</f>
        <v/>
      </c>
      <c r="W357" s="42"/>
      <c r="X357" s="42"/>
      <c r="Y357" s="42"/>
      <c r="Z357" s="42"/>
      <c r="AA357" s="42"/>
      <c r="AB357" s="42"/>
      <c r="AC357" s="42"/>
      <c r="AD357" s="42"/>
      <c r="AE357" s="32" t="str">
        <f t="shared" si="15"/>
        <v/>
      </c>
      <c r="AF357" s="32"/>
      <c r="AG357" s="32"/>
      <c r="AH357" s="32"/>
      <c r="AI357" s="32"/>
      <c r="AJ357" s="32"/>
      <c r="AK357" s="32"/>
      <c r="AL357" s="32"/>
      <c r="AM357" s="32"/>
    </row>
    <row r="358" spans="1:39">
      <c r="A358" s="32" t="str">
        <f>_xlfn.XLOOKUP(B358,Input!J:J,Input!G:G)&amp;""</f>
        <v/>
      </c>
      <c r="B358" s="32"/>
      <c r="C358" s="32" t="str">
        <f>_xlfn.XLOOKUP(B358,Input!J:J,Input!H:H)&amp;""</f>
        <v/>
      </c>
      <c r="D358" s="42">
        <f>_xlfn.XLOOKUP(B358,Input!J:J,Input!F:F)</f>
        <v>0</v>
      </c>
      <c r="E358" s="32">
        <f>_xlfn.XLOOKUP(D358,Models!H:H,Models!G:G,D358)</f>
        <v>0</v>
      </c>
      <c r="F358" s="32">
        <f>_xlfn.XLOOKUP(B358,Input!J:J,Input!E:E)</f>
        <v>0</v>
      </c>
      <c r="G358" s="32">
        <f>IF(F358="LENOVO",_xlfn.XLOOKUP(B358,Input!J:J,Input!K:K),_xlfn.XLOOKUP(B358,Input!J:J,Input!L:L))</f>
        <v>0</v>
      </c>
      <c r="H358" s="32"/>
      <c r="I358" s="32"/>
      <c r="J358" s="32"/>
      <c r="K358" s="42" t="e">
        <f>INDEX(Input!$D$2:$AC$500,
       MATCH(B358, Input!$J$2:$J$500, 0),
       MATCH("Total Memory", Input!$D$1:$AC$1, 0))</f>
        <v>#N/A</v>
      </c>
      <c r="L358" s="42"/>
      <c r="M358" s="42" t="str" cm="1">
        <f t="array" ref="M358">IFERROR(_xlfn.FILTERXML("&lt;t&gt;&lt;s&gt;" &amp; SUBSTITUTE(L358," / ","&lt;/s&gt;&lt;s&gt;") &amp; "&lt;/s&gt;&lt;/t&gt;","(//s[contains(.,'DDR')])[1]"),"")</f>
        <v/>
      </c>
      <c r="N358" s="32" t="e">
        <f t="shared" si="17"/>
        <v>#N/A</v>
      </c>
      <c r="O358" s="42" t="e">
        <f>INDEX(Input!$D$2:$AC$500,
       MATCH(B358, Input!$J$2:$J$500, 0),
       MATCH("Disk Interface Type", Input!$D$1:$AC$1, 0))</f>
        <v>#N/A</v>
      </c>
      <c r="P358" s="42" t="str" cm="1">
        <f t="array" ref="P358">IFERROR(_xlfn.TEXTJOIN(", ", TRUE, _xlfn._xlws.FILTER(
    INDEX(Input!$D$2:$AC$500,,MATCH("Disk Capacity",Input!$D$1:$AC$1,0)),
    Input!$J$2:$J$500=B358
)), "")</f>
        <v/>
      </c>
      <c r="Q358" s="32" t="e">
        <f t="shared" si="16"/>
        <v>#N/A</v>
      </c>
      <c r="R358" s="42" t="e">
        <f>_xlfn.LET(_xlpm.Result,INDEX(Input!$D$2:$AC$500,
       MATCH(B358, Input!$J$2:$J$500, 0),
       MATCH("Capacity", Input!$D$1:$AC$1, 0)),IF(_xlpm.Result="","",_xlpm.Result))</f>
        <v>#N/A</v>
      </c>
      <c r="S358" s="42" t="e" cm="1">
        <f t="array" ref="S358">_xlfn.TEXTSPLIT(R358," / ", ,TRUE,0,)</f>
        <v>#N/A</v>
      </c>
      <c r="T358" s="42"/>
      <c r="U358" s="42" t="str" cm="1">
        <f t="array" ref="U358">IFERROR(_xlfn.IFS(
S358="","",
--S358&lt;55,"Battery Defect",
--S358&lt;=69,"Battery D",
--S358&lt;=80,"Battery C",
--S358&gt;80,""
),"")</f>
        <v/>
      </c>
      <c r="V358" s="42" t="str" cm="1">
        <f t="array" ref="V358">IFERROR(_xlfn.IFS(
T358="","",
--T358&lt;55,"Battery Defect",
--T358&lt;=69,"Battery D",
--T358&lt;=80,"Battery C",
--T358&gt;80,""
),"")</f>
        <v/>
      </c>
      <c r="W358" s="42"/>
      <c r="X358" s="42"/>
      <c r="Y358" s="42"/>
      <c r="Z358" s="42"/>
      <c r="AA358" s="42"/>
      <c r="AB358" s="42"/>
      <c r="AC358" s="42"/>
      <c r="AD358" s="42"/>
      <c r="AE358" s="32" t="str">
        <f t="shared" si="15"/>
        <v/>
      </c>
      <c r="AF358" s="32"/>
      <c r="AG358" s="32"/>
      <c r="AH358" s="32"/>
      <c r="AI358" s="32"/>
      <c r="AJ358" s="32"/>
      <c r="AK358" s="32"/>
      <c r="AL358" s="32"/>
      <c r="AM358" s="32"/>
    </row>
    <row r="359" spans="1:39">
      <c r="A359" s="32" t="str">
        <f>_xlfn.XLOOKUP(B359,Input!J:J,Input!G:G)&amp;""</f>
        <v/>
      </c>
      <c r="B359" s="32"/>
      <c r="C359" s="32" t="str">
        <f>_xlfn.XLOOKUP(B359,Input!J:J,Input!H:H)&amp;""</f>
        <v/>
      </c>
      <c r="D359" s="42">
        <f>_xlfn.XLOOKUP(B359,Input!J:J,Input!F:F)</f>
        <v>0</v>
      </c>
      <c r="E359" s="32">
        <f>_xlfn.XLOOKUP(D359,Models!H:H,Models!G:G,D359)</f>
        <v>0</v>
      </c>
      <c r="F359" s="32">
        <f>_xlfn.XLOOKUP(B359,Input!J:J,Input!E:E)</f>
        <v>0</v>
      </c>
      <c r="G359" s="32">
        <f>IF(F359="LENOVO",_xlfn.XLOOKUP(B359,Input!J:J,Input!K:K),_xlfn.XLOOKUP(B359,Input!J:J,Input!L:L))</f>
        <v>0</v>
      </c>
      <c r="H359" s="32"/>
      <c r="I359" s="32"/>
      <c r="J359" s="32"/>
      <c r="K359" s="42" t="e">
        <f>INDEX(Input!$D$2:$AC$500,
       MATCH(B359, Input!$J$2:$J$500, 0),
       MATCH("Total Memory", Input!$D$1:$AC$1, 0))</f>
        <v>#N/A</v>
      </c>
      <c r="L359" s="42"/>
      <c r="M359" s="42" t="str" cm="1">
        <f t="array" ref="M359">IFERROR(_xlfn.FILTERXML("&lt;t&gt;&lt;s&gt;" &amp; SUBSTITUTE(L359," / ","&lt;/s&gt;&lt;s&gt;") &amp; "&lt;/s&gt;&lt;/t&gt;","(//s[contains(.,'DDR')])[1]"),"")</f>
        <v/>
      </c>
      <c r="N359" s="32" t="e">
        <f t="shared" si="17"/>
        <v>#N/A</v>
      </c>
      <c r="O359" s="42" t="e">
        <f>INDEX(Input!$D$2:$AC$500,
       MATCH(B359, Input!$J$2:$J$500, 0),
       MATCH("Disk Interface Type", Input!$D$1:$AC$1, 0))</f>
        <v>#N/A</v>
      </c>
      <c r="P359" s="42" t="str" cm="1">
        <f t="array" ref="P359">IFERROR(_xlfn.TEXTJOIN(", ", TRUE, _xlfn._xlws.FILTER(
    INDEX(Input!$D$2:$AC$500,,MATCH("Disk Capacity",Input!$D$1:$AC$1,0)),
    Input!$J$2:$J$500=B359
)), "")</f>
        <v/>
      </c>
      <c r="Q359" s="32" t="e">
        <f t="shared" si="16"/>
        <v>#N/A</v>
      </c>
      <c r="R359" s="42" t="e">
        <f>_xlfn.LET(_xlpm.Result,INDEX(Input!$D$2:$AC$500,
       MATCH(B359, Input!$J$2:$J$500, 0),
       MATCH("Capacity", Input!$D$1:$AC$1, 0)),IF(_xlpm.Result="","",_xlpm.Result))</f>
        <v>#N/A</v>
      </c>
      <c r="S359" s="42" t="e" cm="1">
        <f t="array" ref="S359">_xlfn.TEXTSPLIT(R359," / ", ,TRUE,0,)</f>
        <v>#N/A</v>
      </c>
      <c r="T359" s="42"/>
      <c r="U359" s="42" t="str" cm="1">
        <f t="array" ref="U359">IFERROR(_xlfn.IFS(
S359="","",
--S359&lt;55,"Battery Defect",
--S359&lt;=69,"Battery D",
--S359&lt;=80,"Battery C",
--S359&gt;80,""
),"")</f>
        <v/>
      </c>
      <c r="V359" s="42" t="str" cm="1">
        <f t="array" ref="V359">IFERROR(_xlfn.IFS(
T359="","",
--T359&lt;55,"Battery Defect",
--T359&lt;=69,"Battery D",
--T359&lt;=80,"Battery C",
--T359&gt;80,""
),"")</f>
        <v/>
      </c>
      <c r="W359" s="42"/>
      <c r="X359" s="42"/>
      <c r="Y359" s="42"/>
      <c r="Z359" s="42"/>
      <c r="AA359" s="42"/>
      <c r="AB359" s="42"/>
      <c r="AC359" s="42"/>
      <c r="AD359" s="42"/>
      <c r="AE359" s="32" t="str">
        <f t="shared" si="15"/>
        <v/>
      </c>
      <c r="AF359" s="32"/>
      <c r="AG359" s="32"/>
      <c r="AH359" s="32"/>
      <c r="AI359" s="32"/>
      <c r="AJ359" s="32"/>
      <c r="AK359" s="32"/>
      <c r="AL359" s="32"/>
      <c r="AM359" s="32"/>
    </row>
    <row r="360" spans="1:39">
      <c r="A360" s="32" t="str">
        <f>_xlfn.XLOOKUP(B360,Input!J:J,Input!G:G)&amp;""</f>
        <v/>
      </c>
      <c r="B360" s="32"/>
      <c r="C360" s="32" t="str">
        <f>_xlfn.XLOOKUP(B360,Input!J:J,Input!H:H)&amp;""</f>
        <v/>
      </c>
      <c r="D360" s="42">
        <f>_xlfn.XLOOKUP(B360,Input!J:J,Input!F:F)</f>
        <v>0</v>
      </c>
      <c r="E360" s="32">
        <f>_xlfn.XLOOKUP(D360,Models!H:H,Models!G:G,D360)</f>
        <v>0</v>
      </c>
      <c r="F360" s="32">
        <f>_xlfn.XLOOKUP(B360,Input!J:J,Input!E:E)</f>
        <v>0</v>
      </c>
      <c r="G360" s="32">
        <f>IF(F360="LENOVO",_xlfn.XLOOKUP(B360,Input!J:J,Input!K:K),_xlfn.XLOOKUP(B360,Input!J:J,Input!L:L))</f>
        <v>0</v>
      </c>
      <c r="H360" s="32"/>
      <c r="I360" s="32"/>
      <c r="J360" s="32"/>
      <c r="K360" s="42" t="e">
        <f>INDEX(Input!$D$2:$AC$500,
       MATCH(B360, Input!$J$2:$J$500, 0),
       MATCH("Total Memory", Input!$D$1:$AC$1, 0))</f>
        <v>#N/A</v>
      </c>
      <c r="L360" s="42"/>
      <c r="M360" s="42" t="str" cm="1">
        <f t="array" ref="M360">IFERROR(_xlfn.FILTERXML("&lt;t&gt;&lt;s&gt;" &amp; SUBSTITUTE(L360," / ","&lt;/s&gt;&lt;s&gt;") &amp; "&lt;/s&gt;&lt;/t&gt;","(//s[contains(.,'DDR')])[1]"),"")</f>
        <v/>
      </c>
      <c r="N360" s="32" t="e">
        <f t="shared" si="17"/>
        <v>#N/A</v>
      </c>
      <c r="O360" s="42" t="e">
        <f>INDEX(Input!$D$2:$AC$500,
       MATCH(B360, Input!$J$2:$J$500, 0),
       MATCH("Disk Interface Type", Input!$D$1:$AC$1, 0))</f>
        <v>#N/A</v>
      </c>
      <c r="P360" s="42" t="str" cm="1">
        <f t="array" ref="P360">IFERROR(_xlfn.TEXTJOIN(", ", TRUE, _xlfn._xlws.FILTER(
    INDEX(Input!$D$2:$AC$500,,MATCH("Disk Capacity",Input!$D$1:$AC$1,0)),
    Input!$J$2:$J$500=B360
)), "")</f>
        <v/>
      </c>
      <c r="Q360" s="32" t="e">
        <f t="shared" si="16"/>
        <v>#N/A</v>
      </c>
      <c r="R360" s="42" t="e">
        <f>_xlfn.LET(_xlpm.Result,INDEX(Input!$D$2:$AC$500,
       MATCH(B360, Input!$J$2:$J$500, 0),
       MATCH("Capacity", Input!$D$1:$AC$1, 0)),IF(_xlpm.Result="","",_xlpm.Result))</f>
        <v>#N/A</v>
      </c>
      <c r="S360" s="42" t="e" cm="1">
        <f t="array" ref="S360">_xlfn.TEXTSPLIT(R360," / ", ,TRUE,0,)</f>
        <v>#N/A</v>
      </c>
      <c r="T360" s="42"/>
      <c r="U360" s="42" t="str" cm="1">
        <f t="array" ref="U360">IFERROR(_xlfn.IFS(
S360="","",
--S360&lt;55,"Battery Defect",
--S360&lt;=69,"Battery D",
--S360&lt;=80,"Battery C",
--S360&gt;80,""
),"")</f>
        <v/>
      </c>
      <c r="V360" s="42" t="str" cm="1">
        <f t="array" ref="V360">IFERROR(_xlfn.IFS(
T360="","",
--T360&lt;55,"Battery Defect",
--T360&lt;=69,"Battery D",
--T360&lt;=80,"Battery C",
--T360&gt;80,""
),"")</f>
        <v/>
      </c>
      <c r="W360" s="42"/>
      <c r="X360" s="42"/>
      <c r="Y360" s="42"/>
      <c r="Z360" s="42"/>
      <c r="AA360" s="42"/>
      <c r="AB360" s="42"/>
      <c r="AC360" s="42"/>
      <c r="AD360" s="42"/>
      <c r="AE360" s="32" t="str">
        <f t="shared" si="15"/>
        <v/>
      </c>
      <c r="AF360" s="32"/>
      <c r="AG360" s="32"/>
      <c r="AH360" s="32"/>
      <c r="AI360" s="32"/>
      <c r="AJ360" s="32"/>
      <c r="AK360" s="32"/>
      <c r="AL360" s="32"/>
      <c r="AM360" s="32"/>
    </row>
    <row r="361" spans="1:39">
      <c r="A361" s="32" t="str">
        <f>_xlfn.XLOOKUP(B361,Input!J:J,Input!G:G)&amp;""</f>
        <v/>
      </c>
      <c r="B361" s="32"/>
      <c r="C361" s="32" t="str">
        <f>_xlfn.XLOOKUP(B361,Input!J:J,Input!H:H)&amp;""</f>
        <v/>
      </c>
      <c r="D361" s="42">
        <f>_xlfn.XLOOKUP(B361,Input!J:J,Input!F:F)</f>
        <v>0</v>
      </c>
      <c r="E361" s="32">
        <f>_xlfn.XLOOKUP(D361,Models!H:H,Models!G:G,D361)</f>
        <v>0</v>
      </c>
      <c r="F361" s="32">
        <f>_xlfn.XLOOKUP(B361,Input!J:J,Input!E:E)</f>
        <v>0</v>
      </c>
      <c r="G361" s="32">
        <f>IF(F361="LENOVO",_xlfn.XLOOKUP(B361,Input!J:J,Input!K:K),_xlfn.XLOOKUP(B361,Input!J:J,Input!L:L))</f>
        <v>0</v>
      </c>
      <c r="H361" s="32"/>
      <c r="I361" s="32"/>
      <c r="J361" s="32"/>
      <c r="K361" s="42" t="e">
        <f>INDEX(Input!$D$2:$AC$500,
       MATCH(B361, Input!$J$2:$J$500, 0),
       MATCH("Total Memory", Input!$D$1:$AC$1, 0))</f>
        <v>#N/A</v>
      </c>
      <c r="L361" s="42"/>
      <c r="M361" s="42" t="str" cm="1">
        <f t="array" ref="M361">IFERROR(_xlfn.FILTERXML("&lt;t&gt;&lt;s&gt;" &amp; SUBSTITUTE(L361," / ","&lt;/s&gt;&lt;s&gt;") &amp; "&lt;/s&gt;&lt;/t&gt;","(//s[contains(.,'DDR')])[1]"),"")</f>
        <v/>
      </c>
      <c r="N361" s="32" t="e">
        <f t="shared" si="17"/>
        <v>#N/A</v>
      </c>
      <c r="O361" s="42" t="e">
        <f>INDEX(Input!$D$2:$AC$500,
       MATCH(B361, Input!$J$2:$J$500, 0),
       MATCH("Disk Interface Type", Input!$D$1:$AC$1, 0))</f>
        <v>#N/A</v>
      </c>
      <c r="P361" s="42" t="str" cm="1">
        <f t="array" ref="P361">IFERROR(_xlfn.TEXTJOIN(", ", TRUE, _xlfn._xlws.FILTER(
    INDEX(Input!$D$2:$AC$500,,MATCH("Disk Capacity",Input!$D$1:$AC$1,0)),
    Input!$J$2:$J$500=B361
)), "")</f>
        <v/>
      </c>
      <c r="Q361" s="32" t="e">
        <f t="shared" si="16"/>
        <v>#N/A</v>
      </c>
      <c r="R361" s="42" t="e">
        <f>_xlfn.LET(_xlpm.Result,INDEX(Input!$D$2:$AC$500,
       MATCH(B361, Input!$J$2:$J$500, 0),
       MATCH("Capacity", Input!$D$1:$AC$1, 0)),IF(_xlpm.Result="","",_xlpm.Result))</f>
        <v>#N/A</v>
      </c>
      <c r="S361" s="42" t="e" cm="1">
        <f t="array" ref="S361">_xlfn.TEXTSPLIT(R361," / ", ,TRUE,0,)</f>
        <v>#N/A</v>
      </c>
      <c r="T361" s="42"/>
      <c r="U361" s="42" t="str" cm="1">
        <f t="array" ref="U361">IFERROR(_xlfn.IFS(
S361="","",
--S361&lt;55,"Battery Defect",
--S361&lt;=69,"Battery D",
--S361&lt;=80,"Battery C",
--S361&gt;80,""
),"")</f>
        <v/>
      </c>
      <c r="V361" s="42" t="str" cm="1">
        <f t="array" ref="V361">IFERROR(_xlfn.IFS(
T361="","",
--T361&lt;55,"Battery Defect",
--T361&lt;=69,"Battery D",
--T361&lt;=80,"Battery C",
--T361&gt;80,""
),"")</f>
        <v/>
      </c>
      <c r="W361" s="42"/>
      <c r="X361" s="42"/>
      <c r="Y361" s="42"/>
      <c r="Z361" s="42"/>
      <c r="AA361" s="42"/>
      <c r="AB361" s="42"/>
      <c r="AC361" s="42"/>
      <c r="AD361" s="42"/>
      <c r="AE361" s="32" t="str">
        <f t="shared" si="15"/>
        <v/>
      </c>
      <c r="AF361" s="32"/>
      <c r="AG361" s="32"/>
      <c r="AH361" s="32"/>
      <c r="AI361" s="32"/>
      <c r="AJ361" s="32"/>
      <c r="AK361" s="32"/>
      <c r="AL361" s="32"/>
      <c r="AM361" s="32"/>
    </row>
    <row r="362" spans="1:39">
      <c r="A362" s="32" t="str">
        <f>_xlfn.XLOOKUP(B362,Input!J:J,Input!G:G)&amp;""</f>
        <v/>
      </c>
      <c r="B362" s="32"/>
      <c r="C362" s="32" t="str">
        <f>_xlfn.XLOOKUP(B362,Input!J:J,Input!H:H)&amp;""</f>
        <v/>
      </c>
      <c r="D362" s="42">
        <f>_xlfn.XLOOKUP(B362,Input!J:J,Input!F:F)</f>
        <v>0</v>
      </c>
      <c r="E362" s="32">
        <f>_xlfn.XLOOKUP(D362,Models!H:H,Models!G:G,D362)</f>
        <v>0</v>
      </c>
      <c r="F362" s="32">
        <f>_xlfn.XLOOKUP(B362,Input!J:J,Input!E:E)</f>
        <v>0</v>
      </c>
      <c r="G362" s="32">
        <f>IF(F362="LENOVO",_xlfn.XLOOKUP(B362,Input!J:J,Input!K:K),_xlfn.XLOOKUP(B362,Input!J:J,Input!L:L))</f>
        <v>0</v>
      </c>
      <c r="H362" s="32"/>
      <c r="I362" s="32"/>
      <c r="J362" s="32"/>
      <c r="K362" s="42" t="e">
        <f>INDEX(Input!$D$2:$AC$500,
       MATCH(B362, Input!$J$2:$J$500, 0),
       MATCH("Total Memory", Input!$D$1:$AC$1, 0))</f>
        <v>#N/A</v>
      </c>
      <c r="L362" s="42"/>
      <c r="M362" s="42" t="str" cm="1">
        <f t="array" ref="M362">IFERROR(_xlfn.FILTERXML("&lt;t&gt;&lt;s&gt;" &amp; SUBSTITUTE(L362," / ","&lt;/s&gt;&lt;s&gt;") &amp; "&lt;/s&gt;&lt;/t&gt;","(//s[contains(.,'DDR')])[1]"),"")</f>
        <v/>
      </c>
      <c r="N362" s="32" t="e">
        <f t="shared" si="17"/>
        <v>#N/A</v>
      </c>
      <c r="O362" s="42" t="e">
        <f>INDEX(Input!$D$2:$AC$500,
       MATCH(B362, Input!$J$2:$J$500, 0),
       MATCH("Disk Interface Type", Input!$D$1:$AC$1, 0))</f>
        <v>#N/A</v>
      </c>
      <c r="P362" s="42" t="str" cm="1">
        <f t="array" ref="P362">IFERROR(_xlfn.TEXTJOIN(", ", TRUE, _xlfn._xlws.FILTER(
    INDEX(Input!$D$2:$AC$500,,MATCH("Disk Capacity",Input!$D$1:$AC$1,0)),
    Input!$J$2:$J$500=B362
)), "")</f>
        <v/>
      </c>
      <c r="Q362" s="32" t="e">
        <f t="shared" si="16"/>
        <v>#N/A</v>
      </c>
      <c r="R362" s="42" t="e">
        <f>_xlfn.LET(_xlpm.Result,INDEX(Input!$D$2:$AC$500,
       MATCH(B362, Input!$J$2:$J$500, 0),
       MATCH("Capacity", Input!$D$1:$AC$1, 0)),IF(_xlpm.Result="","",_xlpm.Result))</f>
        <v>#N/A</v>
      </c>
      <c r="S362" s="42" t="e" cm="1">
        <f t="array" ref="S362">_xlfn.TEXTSPLIT(R362," / ", ,TRUE,0,)</f>
        <v>#N/A</v>
      </c>
      <c r="T362" s="42"/>
      <c r="U362" s="42" t="str" cm="1">
        <f t="array" ref="U362">IFERROR(_xlfn.IFS(
S362="","",
--S362&lt;55,"Battery Defect",
--S362&lt;=69,"Battery D",
--S362&lt;=80,"Battery C",
--S362&gt;80,""
),"")</f>
        <v/>
      </c>
      <c r="V362" s="42" t="str" cm="1">
        <f t="array" ref="V362">IFERROR(_xlfn.IFS(
T362="","",
--T362&lt;55,"Battery Defect",
--T362&lt;=69,"Battery D",
--T362&lt;=80,"Battery C",
--T362&gt;80,""
),"")</f>
        <v/>
      </c>
      <c r="W362" s="42"/>
      <c r="X362" s="42"/>
      <c r="Y362" s="42"/>
      <c r="Z362" s="42"/>
      <c r="AA362" s="42"/>
      <c r="AB362" s="42"/>
      <c r="AC362" s="42"/>
      <c r="AD362" s="42"/>
      <c r="AE362" s="32" t="str">
        <f t="shared" si="15"/>
        <v/>
      </c>
      <c r="AF362" s="32"/>
      <c r="AG362" s="32"/>
      <c r="AH362" s="32"/>
      <c r="AI362" s="32"/>
      <c r="AJ362" s="32"/>
      <c r="AK362" s="32"/>
      <c r="AL362" s="32"/>
      <c r="AM362" s="32"/>
    </row>
    <row r="363" spans="1:39">
      <c r="A363" s="32" t="str">
        <f>_xlfn.XLOOKUP(B363,Input!J:J,Input!G:G)&amp;""</f>
        <v/>
      </c>
      <c r="B363" s="32"/>
      <c r="C363" s="32" t="str">
        <f>_xlfn.XLOOKUP(B363,Input!J:J,Input!H:H)&amp;""</f>
        <v/>
      </c>
      <c r="D363" s="42">
        <f>_xlfn.XLOOKUP(B363,Input!J:J,Input!F:F)</f>
        <v>0</v>
      </c>
      <c r="E363" s="32">
        <f>_xlfn.XLOOKUP(D363,Models!H:H,Models!G:G,D363)</f>
        <v>0</v>
      </c>
      <c r="F363" s="32">
        <f>_xlfn.XLOOKUP(B363,Input!J:J,Input!E:E)</f>
        <v>0</v>
      </c>
      <c r="G363" s="32">
        <f>IF(F363="LENOVO",_xlfn.XLOOKUP(B363,Input!J:J,Input!K:K),_xlfn.XLOOKUP(B363,Input!J:J,Input!L:L))</f>
        <v>0</v>
      </c>
      <c r="H363" s="32"/>
      <c r="I363" s="32"/>
      <c r="J363" s="32"/>
      <c r="K363" s="42" t="e">
        <f>INDEX(Input!$D$2:$AC$500,
       MATCH(B363, Input!$J$2:$J$500, 0),
       MATCH("Total Memory", Input!$D$1:$AC$1, 0))</f>
        <v>#N/A</v>
      </c>
      <c r="L363" s="42"/>
      <c r="M363" s="42" t="str" cm="1">
        <f t="array" ref="M363">IFERROR(_xlfn.FILTERXML("&lt;t&gt;&lt;s&gt;" &amp; SUBSTITUTE(L363," / ","&lt;/s&gt;&lt;s&gt;") &amp; "&lt;/s&gt;&lt;/t&gt;","(//s[contains(.,'DDR')])[1]"),"")</f>
        <v/>
      </c>
      <c r="N363" s="32" t="e">
        <f t="shared" si="17"/>
        <v>#N/A</v>
      </c>
      <c r="O363" s="42" t="e">
        <f>INDEX(Input!$D$2:$AC$500,
       MATCH(B363, Input!$J$2:$J$500, 0),
       MATCH("Disk Interface Type", Input!$D$1:$AC$1, 0))</f>
        <v>#N/A</v>
      </c>
      <c r="P363" s="42" t="str" cm="1">
        <f t="array" ref="P363">IFERROR(_xlfn.TEXTJOIN(", ", TRUE, _xlfn._xlws.FILTER(
    INDEX(Input!$D$2:$AC$500,,MATCH("Disk Capacity",Input!$D$1:$AC$1,0)),
    Input!$J$2:$J$500=B363
)), "")</f>
        <v/>
      </c>
      <c r="Q363" s="32" t="e">
        <f t="shared" si="16"/>
        <v>#N/A</v>
      </c>
      <c r="R363" s="42" t="e">
        <f>_xlfn.LET(_xlpm.Result,INDEX(Input!$D$2:$AC$500,
       MATCH(B363, Input!$J$2:$J$500, 0),
       MATCH("Capacity", Input!$D$1:$AC$1, 0)),IF(_xlpm.Result="","",_xlpm.Result))</f>
        <v>#N/A</v>
      </c>
      <c r="S363" s="42" t="e" cm="1">
        <f t="array" ref="S363">_xlfn.TEXTSPLIT(R363," / ", ,TRUE,0,)</f>
        <v>#N/A</v>
      </c>
      <c r="T363" s="42"/>
      <c r="U363" s="42" t="str" cm="1">
        <f t="array" ref="U363">IFERROR(_xlfn.IFS(
S363="","",
--S363&lt;55,"Battery Defect",
--S363&lt;=69,"Battery D",
--S363&lt;=80,"Battery C",
--S363&gt;80,""
),"")</f>
        <v/>
      </c>
      <c r="V363" s="42" t="str" cm="1">
        <f t="array" ref="V363">IFERROR(_xlfn.IFS(
T363="","",
--T363&lt;55,"Battery Defect",
--T363&lt;=69,"Battery D",
--T363&lt;=80,"Battery C",
--T363&gt;80,""
),"")</f>
        <v/>
      </c>
      <c r="W363" s="42"/>
      <c r="X363" s="42"/>
      <c r="Y363" s="42"/>
      <c r="Z363" s="42"/>
      <c r="AA363" s="42"/>
      <c r="AB363" s="42"/>
      <c r="AC363" s="42"/>
      <c r="AD363" s="42"/>
      <c r="AE363" s="32" t="str">
        <f t="shared" si="15"/>
        <v/>
      </c>
      <c r="AF363" s="32"/>
      <c r="AG363" s="32"/>
      <c r="AH363" s="32"/>
      <c r="AI363" s="32"/>
      <c r="AJ363" s="32"/>
      <c r="AK363" s="32"/>
      <c r="AL363" s="32"/>
      <c r="AM363" s="32"/>
    </row>
    <row r="364" spans="1:39">
      <c r="A364" s="32" t="str">
        <f>_xlfn.XLOOKUP(B364,Input!J:J,Input!G:G)&amp;""</f>
        <v/>
      </c>
      <c r="B364" s="32"/>
      <c r="C364" s="32" t="str">
        <f>_xlfn.XLOOKUP(B364,Input!J:J,Input!H:H)&amp;""</f>
        <v/>
      </c>
      <c r="D364" s="42">
        <f>_xlfn.XLOOKUP(B364,Input!J:J,Input!F:F)</f>
        <v>0</v>
      </c>
      <c r="E364" s="32">
        <f>_xlfn.XLOOKUP(D364,Models!H:H,Models!G:G,D364)</f>
        <v>0</v>
      </c>
      <c r="F364" s="32">
        <f>_xlfn.XLOOKUP(B364,Input!J:J,Input!E:E)</f>
        <v>0</v>
      </c>
      <c r="G364" s="32">
        <f>IF(F364="LENOVO",_xlfn.XLOOKUP(B364,Input!J:J,Input!K:K),_xlfn.XLOOKUP(B364,Input!J:J,Input!L:L))</f>
        <v>0</v>
      </c>
      <c r="H364" s="32"/>
      <c r="I364" s="32"/>
      <c r="J364" s="32"/>
      <c r="K364" s="42" t="e">
        <f>INDEX(Input!$D$2:$AC$500,
       MATCH(B364, Input!$J$2:$J$500, 0),
       MATCH("Total Memory", Input!$D$1:$AC$1, 0))</f>
        <v>#N/A</v>
      </c>
      <c r="L364" s="42"/>
      <c r="M364" s="42" t="str" cm="1">
        <f t="array" ref="M364">IFERROR(_xlfn.FILTERXML("&lt;t&gt;&lt;s&gt;" &amp; SUBSTITUTE(L364," / ","&lt;/s&gt;&lt;s&gt;") &amp; "&lt;/s&gt;&lt;/t&gt;","(//s[contains(.,'DDR')])[1]"),"")</f>
        <v/>
      </c>
      <c r="N364" s="32" t="e">
        <f t="shared" si="17"/>
        <v>#N/A</v>
      </c>
      <c r="O364" s="42" t="e">
        <f>INDEX(Input!$D$2:$AC$500,
       MATCH(B364, Input!$J$2:$J$500, 0),
       MATCH("Disk Interface Type", Input!$D$1:$AC$1, 0))</f>
        <v>#N/A</v>
      </c>
      <c r="P364" s="42" t="str" cm="1">
        <f t="array" ref="P364">IFERROR(_xlfn.TEXTJOIN(", ", TRUE, _xlfn._xlws.FILTER(
    INDEX(Input!$D$2:$AC$500,,MATCH("Disk Capacity",Input!$D$1:$AC$1,0)),
    Input!$J$2:$J$500=B364
)), "")</f>
        <v/>
      </c>
      <c r="Q364" s="32" t="e">
        <f t="shared" si="16"/>
        <v>#N/A</v>
      </c>
      <c r="R364" s="42" t="e">
        <f>_xlfn.LET(_xlpm.Result,INDEX(Input!$D$2:$AC$500,
       MATCH(B364, Input!$J$2:$J$500, 0),
       MATCH("Capacity", Input!$D$1:$AC$1, 0)),IF(_xlpm.Result="","",_xlpm.Result))</f>
        <v>#N/A</v>
      </c>
      <c r="S364" s="42" t="e" cm="1">
        <f t="array" ref="S364">_xlfn.TEXTSPLIT(R364," / ", ,TRUE,0,)</f>
        <v>#N/A</v>
      </c>
      <c r="T364" s="42"/>
      <c r="U364" s="42" t="str" cm="1">
        <f t="array" ref="U364">IFERROR(_xlfn.IFS(
S364="","",
--S364&lt;55,"Battery Defect",
--S364&lt;=69,"Battery D",
--S364&lt;=80,"Battery C",
--S364&gt;80,""
),"")</f>
        <v/>
      </c>
      <c r="V364" s="42" t="str" cm="1">
        <f t="array" ref="V364">IFERROR(_xlfn.IFS(
T364="","",
--T364&lt;55,"Battery Defect",
--T364&lt;=69,"Battery D",
--T364&lt;=80,"Battery C",
--T364&gt;80,""
),"")</f>
        <v/>
      </c>
      <c r="W364" s="42"/>
      <c r="X364" s="42"/>
      <c r="Y364" s="42"/>
      <c r="Z364" s="42"/>
      <c r="AA364" s="42"/>
      <c r="AB364" s="42"/>
      <c r="AC364" s="42"/>
      <c r="AD364" s="42"/>
      <c r="AE364" s="32" t="str">
        <f t="shared" si="15"/>
        <v/>
      </c>
      <c r="AF364" s="32"/>
      <c r="AG364" s="32"/>
      <c r="AH364" s="32"/>
      <c r="AI364" s="32"/>
      <c r="AJ364" s="32"/>
      <c r="AK364" s="32"/>
      <c r="AL364" s="32"/>
      <c r="AM364" s="32"/>
    </row>
    <row r="365" spans="1:39">
      <c r="A365" s="32" t="str">
        <f>_xlfn.XLOOKUP(B365,Input!J:J,Input!G:G)&amp;""</f>
        <v/>
      </c>
      <c r="B365" s="32"/>
      <c r="C365" s="32" t="str">
        <f>_xlfn.XLOOKUP(B365,Input!J:J,Input!H:H)&amp;""</f>
        <v/>
      </c>
      <c r="D365" s="42">
        <f>_xlfn.XLOOKUP(B365,Input!J:J,Input!F:F)</f>
        <v>0</v>
      </c>
      <c r="E365" s="32">
        <f>_xlfn.XLOOKUP(D365,Models!H:H,Models!G:G,D365)</f>
        <v>0</v>
      </c>
      <c r="F365" s="32">
        <f>_xlfn.XLOOKUP(B365,Input!J:J,Input!E:E)</f>
        <v>0</v>
      </c>
      <c r="G365" s="32">
        <f>IF(F365="LENOVO",_xlfn.XLOOKUP(B365,Input!J:J,Input!K:K),_xlfn.XLOOKUP(B365,Input!J:J,Input!L:L))</f>
        <v>0</v>
      </c>
      <c r="H365" s="32"/>
      <c r="I365" s="32"/>
      <c r="J365" s="32"/>
      <c r="K365" s="42" t="e">
        <f>INDEX(Input!$D$2:$AC$500,
       MATCH(B365, Input!$J$2:$J$500, 0),
       MATCH("Total Memory", Input!$D$1:$AC$1, 0))</f>
        <v>#N/A</v>
      </c>
      <c r="L365" s="42"/>
      <c r="M365" s="42" t="str" cm="1">
        <f t="array" ref="M365">IFERROR(_xlfn.FILTERXML("&lt;t&gt;&lt;s&gt;" &amp; SUBSTITUTE(L365," / ","&lt;/s&gt;&lt;s&gt;") &amp; "&lt;/s&gt;&lt;/t&gt;","(//s[contains(.,'DDR')])[1]"),"")</f>
        <v/>
      </c>
      <c r="N365" s="32" t="e">
        <f t="shared" si="17"/>
        <v>#N/A</v>
      </c>
      <c r="O365" s="42" t="e">
        <f>INDEX(Input!$D$2:$AC$500,
       MATCH(B365, Input!$J$2:$J$500, 0),
       MATCH("Disk Interface Type", Input!$D$1:$AC$1, 0))</f>
        <v>#N/A</v>
      </c>
      <c r="P365" s="42" t="str" cm="1">
        <f t="array" ref="P365">IFERROR(_xlfn.TEXTJOIN(", ", TRUE, _xlfn._xlws.FILTER(
    INDEX(Input!$D$2:$AC$500,,MATCH("Disk Capacity",Input!$D$1:$AC$1,0)),
    Input!$J$2:$J$500=B365
)), "")</f>
        <v/>
      </c>
      <c r="Q365" s="32" t="e">
        <f t="shared" si="16"/>
        <v>#N/A</v>
      </c>
      <c r="R365" s="42" t="e">
        <f>_xlfn.LET(_xlpm.Result,INDEX(Input!$D$2:$AC$500,
       MATCH(B365, Input!$J$2:$J$500, 0),
       MATCH("Capacity", Input!$D$1:$AC$1, 0)),IF(_xlpm.Result="","",_xlpm.Result))</f>
        <v>#N/A</v>
      </c>
      <c r="S365" s="42" t="e" cm="1">
        <f t="array" ref="S365">_xlfn.TEXTSPLIT(R365," / ", ,TRUE,0,)</f>
        <v>#N/A</v>
      </c>
      <c r="T365" s="42"/>
      <c r="U365" s="42" t="str" cm="1">
        <f t="array" ref="U365">IFERROR(_xlfn.IFS(
S365="","",
--S365&lt;55,"Battery Defect",
--S365&lt;=69,"Battery D",
--S365&lt;=80,"Battery C",
--S365&gt;80,""
),"")</f>
        <v/>
      </c>
      <c r="V365" s="42" t="str" cm="1">
        <f t="array" ref="V365">IFERROR(_xlfn.IFS(
T365="","",
--T365&lt;55,"Battery Defect",
--T365&lt;=69,"Battery D",
--T365&lt;=80,"Battery C",
--T365&gt;80,""
),"")</f>
        <v/>
      </c>
      <c r="W365" s="42"/>
      <c r="X365" s="42"/>
      <c r="Y365" s="42"/>
      <c r="Z365" s="42"/>
      <c r="AA365" s="42"/>
      <c r="AB365" s="42"/>
      <c r="AC365" s="42"/>
      <c r="AD365" s="42"/>
      <c r="AE365" s="32" t="str">
        <f t="shared" si="15"/>
        <v/>
      </c>
      <c r="AF365" s="32"/>
      <c r="AG365" s="32"/>
      <c r="AH365" s="32"/>
      <c r="AI365" s="32"/>
      <c r="AJ365" s="32"/>
      <c r="AK365" s="32"/>
      <c r="AL365" s="32"/>
      <c r="AM365" s="32"/>
    </row>
    <row r="366" spans="1:39">
      <c r="A366" s="32" t="str">
        <f>_xlfn.XLOOKUP(B366,Input!J:J,Input!G:G)&amp;""</f>
        <v/>
      </c>
      <c r="B366" s="32"/>
      <c r="C366" s="32" t="str">
        <f>_xlfn.XLOOKUP(B366,Input!J:J,Input!H:H)&amp;""</f>
        <v/>
      </c>
      <c r="D366" s="42">
        <f>_xlfn.XLOOKUP(B366,Input!J:J,Input!F:F)</f>
        <v>0</v>
      </c>
      <c r="E366" s="32">
        <f>_xlfn.XLOOKUP(D366,Models!H:H,Models!G:G,D366)</f>
        <v>0</v>
      </c>
      <c r="F366" s="32">
        <f>_xlfn.XLOOKUP(B366,Input!J:J,Input!E:E)</f>
        <v>0</v>
      </c>
      <c r="G366" s="32">
        <f>IF(F366="LENOVO",_xlfn.XLOOKUP(B366,Input!J:J,Input!K:K),_xlfn.XLOOKUP(B366,Input!J:J,Input!L:L))</f>
        <v>0</v>
      </c>
      <c r="H366" s="32"/>
      <c r="I366" s="32"/>
      <c r="J366" s="32"/>
      <c r="K366" s="42" t="e">
        <f>INDEX(Input!$D$2:$AC$500,
       MATCH(B366, Input!$J$2:$J$500, 0),
       MATCH("Total Memory", Input!$D$1:$AC$1, 0))</f>
        <v>#N/A</v>
      </c>
      <c r="L366" s="42"/>
      <c r="M366" s="42" t="str" cm="1">
        <f t="array" ref="M366">IFERROR(_xlfn.FILTERXML("&lt;t&gt;&lt;s&gt;" &amp; SUBSTITUTE(L366," / ","&lt;/s&gt;&lt;s&gt;") &amp; "&lt;/s&gt;&lt;/t&gt;","(//s[contains(.,'DDR')])[1]"),"")</f>
        <v/>
      </c>
      <c r="N366" s="32" t="e">
        <f t="shared" si="17"/>
        <v>#N/A</v>
      </c>
      <c r="O366" s="42" t="e">
        <f>INDEX(Input!$D$2:$AC$500,
       MATCH(B366, Input!$J$2:$J$500, 0),
       MATCH("Disk Interface Type", Input!$D$1:$AC$1, 0))</f>
        <v>#N/A</v>
      </c>
      <c r="P366" s="42" t="str" cm="1">
        <f t="array" ref="P366">IFERROR(_xlfn.TEXTJOIN(", ", TRUE, _xlfn._xlws.FILTER(
    INDEX(Input!$D$2:$AC$500,,MATCH("Disk Capacity",Input!$D$1:$AC$1,0)),
    Input!$J$2:$J$500=B366
)), "")</f>
        <v/>
      </c>
      <c r="Q366" s="32" t="e">
        <f t="shared" si="16"/>
        <v>#N/A</v>
      </c>
      <c r="R366" s="42" t="e">
        <f>_xlfn.LET(_xlpm.Result,INDEX(Input!$D$2:$AC$500,
       MATCH(B366, Input!$J$2:$J$500, 0),
       MATCH("Capacity", Input!$D$1:$AC$1, 0)),IF(_xlpm.Result="","",_xlpm.Result))</f>
        <v>#N/A</v>
      </c>
      <c r="S366" s="42" t="e" cm="1">
        <f t="array" ref="S366">_xlfn.TEXTSPLIT(R366," / ", ,TRUE,0,)</f>
        <v>#N/A</v>
      </c>
      <c r="T366" s="42"/>
      <c r="U366" s="42" t="str" cm="1">
        <f t="array" ref="U366">IFERROR(_xlfn.IFS(
S366="","",
--S366&lt;55,"Battery Defect",
--S366&lt;=69,"Battery D",
--S366&lt;=80,"Battery C",
--S366&gt;80,""
),"")</f>
        <v/>
      </c>
      <c r="V366" s="42" t="str" cm="1">
        <f t="array" ref="V366">IFERROR(_xlfn.IFS(
T366="","",
--T366&lt;55,"Battery Defect",
--T366&lt;=69,"Battery D",
--T366&lt;=80,"Battery C",
--T366&gt;80,""
),"")</f>
        <v/>
      </c>
      <c r="W366" s="42"/>
      <c r="X366" s="42"/>
      <c r="Y366" s="42"/>
      <c r="Z366" s="42"/>
      <c r="AA366" s="42"/>
      <c r="AB366" s="42"/>
      <c r="AC366" s="42"/>
      <c r="AD366" s="42"/>
      <c r="AE366" s="32" t="str">
        <f t="shared" si="15"/>
        <v/>
      </c>
      <c r="AF366" s="32"/>
      <c r="AG366" s="32"/>
      <c r="AH366" s="32"/>
      <c r="AI366" s="32"/>
      <c r="AJ366" s="32"/>
      <c r="AK366" s="32"/>
      <c r="AL366" s="32"/>
      <c r="AM366" s="32"/>
    </row>
    <row r="367" spans="1:39">
      <c r="A367" s="32" t="str">
        <f>_xlfn.XLOOKUP(B367,Input!J:J,Input!G:G)&amp;""</f>
        <v/>
      </c>
      <c r="B367" s="32"/>
      <c r="C367" s="32" t="str">
        <f>_xlfn.XLOOKUP(B367,Input!J:J,Input!H:H)&amp;""</f>
        <v/>
      </c>
      <c r="D367" s="42">
        <f>_xlfn.XLOOKUP(B367,Input!J:J,Input!F:F)</f>
        <v>0</v>
      </c>
      <c r="E367" s="32">
        <f>_xlfn.XLOOKUP(D367,Models!H:H,Models!G:G,D367)</f>
        <v>0</v>
      </c>
      <c r="F367" s="32">
        <f>_xlfn.XLOOKUP(B367,Input!J:J,Input!E:E)</f>
        <v>0</v>
      </c>
      <c r="G367" s="32">
        <f>IF(F367="LENOVO",_xlfn.XLOOKUP(B367,Input!J:J,Input!K:K),_xlfn.XLOOKUP(B367,Input!J:J,Input!L:L))</f>
        <v>0</v>
      </c>
      <c r="H367" s="32"/>
      <c r="I367" s="32"/>
      <c r="J367" s="32"/>
      <c r="K367" s="42" t="e">
        <f>INDEX(Input!$D$2:$AC$500,
       MATCH(B367, Input!$J$2:$J$500, 0),
       MATCH("Total Memory", Input!$D$1:$AC$1, 0))</f>
        <v>#N/A</v>
      </c>
      <c r="L367" s="42"/>
      <c r="M367" s="42" t="str" cm="1">
        <f t="array" ref="M367">IFERROR(_xlfn.FILTERXML("&lt;t&gt;&lt;s&gt;" &amp; SUBSTITUTE(L367," / ","&lt;/s&gt;&lt;s&gt;") &amp; "&lt;/s&gt;&lt;/t&gt;","(//s[contains(.,'DDR')])[1]"),"")</f>
        <v/>
      </c>
      <c r="N367" s="32" t="e">
        <f t="shared" si="17"/>
        <v>#N/A</v>
      </c>
      <c r="O367" s="42" t="e">
        <f>INDEX(Input!$D$2:$AC$500,
       MATCH(B367, Input!$J$2:$J$500, 0),
       MATCH("Disk Interface Type", Input!$D$1:$AC$1, 0))</f>
        <v>#N/A</v>
      </c>
      <c r="P367" s="42" t="str" cm="1">
        <f t="array" ref="P367">IFERROR(_xlfn.TEXTJOIN(", ", TRUE, _xlfn._xlws.FILTER(
    INDEX(Input!$D$2:$AC$500,,MATCH("Disk Capacity",Input!$D$1:$AC$1,0)),
    Input!$J$2:$J$500=B367
)), "")</f>
        <v/>
      </c>
      <c r="Q367" s="32" t="e">
        <f t="shared" si="16"/>
        <v>#N/A</v>
      </c>
      <c r="R367" s="42" t="e">
        <f>_xlfn.LET(_xlpm.Result,INDEX(Input!$D$2:$AC$500,
       MATCH(B367, Input!$J$2:$J$500, 0),
       MATCH("Capacity", Input!$D$1:$AC$1, 0)),IF(_xlpm.Result="","",_xlpm.Result))</f>
        <v>#N/A</v>
      </c>
      <c r="S367" s="42" t="e" cm="1">
        <f t="array" ref="S367">_xlfn.TEXTSPLIT(R367," / ", ,TRUE,0,)</f>
        <v>#N/A</v>
      </c>
      <c r="T367" s="42"/>
      <c r="U367" s="42" t="str" cm="1">
        <f t="array" ref="U367">IFERROR(_xlfn.IFS(
S367="","",
--S367&lt;55,"Battery Defect",
--S367&lt;=69,"Battery D",
--S367&lt;=80,"Battery C",
--S367&gt;80,""
),"")</f>
        <v/>
      </c>
      <c r="V367" s="42" t="str" cm="1">
        <f t="array" ref="V367">IFERROR(_xlfn.IFS(
T367="","",
--T367&lt;55,"Battery Defect",
--T367&lt;=69,"Battery D",
--T367&lt;=80,"Battery C",
--T367&gt;80,""
),"")</f>
        <v/>
      </c>
      <c r="W367" s="42"/>
      <c r="X367" s="42"/>
      <c r="Y367" s="42"/>
      <c r="Z367" s="42"/>
      <c r="AA367" s="42"/>
      <c r="AB367" s="42"/>
      <c r="AC367" s="42"/>
      <c r="AD367" s="42"/>
      <c r="AE367" s="32" t="str">
        <f t="shared" si="15"/>
        <v/>
      </c>
      <c r="AF367" s="32"/>
      <c r="AG367" s="32"/>
      <c r="AH367" s="32"/>
      <c r="AI367" s="32"/>
      <c r="AJ367" s="32"/>
      <c r="AK367" s="32"/>
      <c r="AL367" s="32"/>
      <c r="AM367" s="32"/>
    </row>
    <row r="368" spans="1:39">
      <c r="A368" s="32" t="str">
        <f>_xlfn.XLOOKUP(B368,Input!J:J,Input!G:G)&amp;""</f>
        <v/>
      </c>
      <c r="B368" s="32"/>
      <c r="C368" s="32" t="str">
        <f>_xlfn.XLOOKUP(B368,Input!J:J,Input!H:H)&amp;""</f>
        <v/>
      </c>
      <c r="D368" s="42">
        <f>_xlfn.XLOOKUP(B368,Input!J:J,Input!F:F)</f>
        <v>0</v>
      </c>
      <c r="E368" s="32">
        <f>_xlfn.XLOOKUP(D368,Models!H:H,Models!G:G,D368)</f>
        <v>0</v>
      </c>
      <c r="F368" s="32">
        <f>_xlfn.XLOOKUP(B368,Input!J:J,Input!E:E)</f>
        <v>0</v>
      </c>
      <c r="G368" s="32">
        <f>IF(F368="LENOVO",_xlfn.XLOOKUP(B368,Input!J:J,Input!K:K),_xlfn.XLOOKUP(B368,Input!J:J,Input!L:L))</f>
        <v>0</v>
      </c>
      <c r="H368" s="32"/>
      <c r="I368" s="32"/>
      <c r="J368" s="32"/>
      <c r="K368" s="42" t="e">
        <f>INDEX(Input!$D$2:$AC$500,
       MATCH(B368, Input!$J$2:$J$500, 0),
       MATCH("Total Memory", Input!$D$1:$AC$1, 0))</f>
        <v>#N/A</v>
      </c>
      <c r="L368" s="42"/>
      <c r="M368" s="42" t="str" cm="1">
        <f t="array" ref="M368">IFERROR(_xlfn.FILTERXML("&lt;t&gt;&lt;s&gt;" &amp; SUBSTITUTE(L368," / ","&lt;/s&gt;&lt;s&gt;") &amp; "&lt;/s&gt;&lt;/t&gt;","(//s[contains(.,'DDR')])[1]"),"")</f>
        <v/>
      </c>
      <c r="N368" s="32" t="e">
        <f t="shared" si="17"/>
        <v>#N/A</v>
      </c>
      <c r="O368" s="42" t="e">
        <f>INDEX(Input!$D$2:$AC$500,
       MATCH(B368, Input!$J$2:$J$500, 0),
       MATCH("Disk Interface Type", Input!$D$1:$AC$1, 0))</f>
        <v>#N/A</v>
      </c>
      <c r="P368" s="42" t="str" cm="1">
        <f t="array" ref="P368">IFERROR(_xlfn.TEXTJOIN(", ", TRUE, _xlfn._xlws.FILTER(
    INDEX(Input!$D$2:$AC$500,,MATCH("Disk Capacity",Input!$D$1:$AC$1,0)),
    Input!$J$2:$J$500=B368
)), "")</f>
        <v/>
      </c>
      <c r="Q368" s="32" t="e">
        <f t="shared" si="16"/>
        <v>#N/A</v>
      </c>
      <c r="R368" s="42" t="e">
        <f>_xlfn.LET(_xlpm.Result,INDEX(Input!$D$2:$AC$500,
       MATCH(B368, Input!$J$2:$J$500, 0),
       MATCH("Capacity", Input!$D$1:$AC$1, 0)),IF(_xlpm.Result="","",_xlpm.Result))</f>
        <v>#N/A</v>
      </c>
      <c r="S368" s="42" t="e" cm="1">
        <f t="array" ref="S368">_xlfn.TEXTSPLIT(R368," / ", ,TRUE,0,)</f>
        <v>#N/A</v>
      </c>
      <c r="T368" s="42"/>
      <c r="U368" s="42" t="str" cm="1">
        <f t="array" ref="U368">IFERROR(_xlfn.IFS(
S368="","",
--S368&lt;55,"Battery Defect",
--S368&lt;=69,"Battery D",
--S368&lt;=80,"Battery C",
--S368&gt;80,""
),"")</f>
        <v/>
      </c>
      <c r="V368" s="42" t="str" cm="1">
        <f t="array" ref="V368">IFERROR(_xlfn.IFS(
T368="","",
--T368&lt;55,"Battery Defect",
--T368&lt;=69,"Battery D",
--T368&lt;=80,"Battery C",
--T368&gt;80,""
),"")</f>
        <v/>
      </c>
      <c r="W368" s="42"/>
      <c r="X368" s="42"/>
      <c r="Y368" s="42"/>
      <c r="Z368" s="42"/>
      <c r="AA368" s="42"/>
      <c r="AB368" s="42"/>
      <c r="AC368" s="42"/>
      <c r="AD368" s="42"/>
      <c r="AE368" s="32" t="str">
        <f t="shared" si="15"/>
        <v/>
      </c>
      <c r="AF368" s="32"/>
      <c r="AG368" s="32"/>
      <c r="AH368" s="32"/>
      <c r="AI368" s="32"/>
      <c r="AJ368" s="32"/>
      <c r="AK368" s="32"/>
      <c r="AL368" s="32"/>
      <c r="AM368" s="32"/>
    </row>
    <row r="369" spans="1:39">
      <c r="A369" s="32" t="str">
        <f>_xlfn.XLOOKUP(B369,Input!J:J,Input!G:G)&amp;""</f>
        <v/>
      </c>
      <c r="B369" s="32"/>
      <c r="C369" s="32" t="str">
        <f>_xlfn.XLOOKUP(B369,Input!J:J,Input!H:H)&amp;""</f>
        <v/>
      </c>
      <c r="D369" s="42">
        <f>_xlfn.XLOOKUP(B369,Input!J:J,Input!F:F)</f>
        <v>0</v>
      </c>
      <c r="E369" s="32">
        <f>_xlfn.XLOOKUP(D369,Models!H:H,Models!G:G,D369)</f>
        <v>0</v>
      </c>
      <c r="F369" s="32">
        <f>_xlfn.XLOOKUP(B369,Input!J:J,Input!E:E)</f>
        <v>0</v>
      </c>
      <c r="G369" s="32">
        <f>IF(F369="LENOVO",_xlfn.XLOOKUP(B369,Input!J:J,Input!K:K),_xlfn.XLOOKUP(B369,Input!J:J,Input!L:L))</f>
        <v>0</v>
      </c>
      <c r="H369" s="32"/>
      <c r="I369" s="32"/>
      <c r="J369" s="32"/>
      <c r="K369" s="42" t="e">
        <f>INDEX(Input!$D$2:$AC$500,
       MATCH(B369, Input!$J$2:$J$500, 0),
       MATCH("Total Memory", Input!$D$1:$AC$1, 0))</f>
        <v>#N/A</v>
      </c>
      <c r="L369" s="42"/>
      <c r="M369" s="42" t="str" cm="1">
        <f t="array" ref="M369">IFERROR(_xlfn.FILTERXML("&lt;t&gt;&lt;s&gt;" &amp; SUBSTITUTE(L369," / ","&lt;/s&gt;&lt;s&gt;") &amp; "&lt;/s&gt;&lt;/t&gt;","(//s[contains(.,'DDR')])[1]"),"")</f>
        <v/>
      </c>
      <c r="N369" s="32" t="e">
        <f t="shared" si="17"/>
        <v>#N/A</v>
      </c>
      <c r="O369" s="42" t="e">
        <f>INDEX(Input!$D$2:$AC$500,
       MATCH(B369, Input!$J$2:$J$500, 0),
       MATCH("Disk Interface Type", Input!$D$1:$AC$1, 0))</f>
        <v>#N/A</v>
      </c>
      <c r="P369" s="42" t="str" cm="1">
        <f t="array" ref="P369">IFERROR(_xlfn.TEXTJOIN(", ", TRUE, _xlfn._xlws.FILTER(
    INDEX(Input!$D$2:$AC$500,,MATCH("Disk Capacity",Input!$D$1:$AC$1,0)),
    Input!$J$2:$J$500=B369
)), "")</f>
        <v/>
      </c>
      <c r="Q369" s="32" t="e">
        <f t="shared" si="16"/>
        <v>#N/A</v>
      </c>
      <c r="R369" s="42" t="e">
        <f>_xlfn.LET(_xlpm.Result,INDEX(Input!$D$2:$AC$500,
       MATCH(B369, Input!$J$2:$J$500, 0),
       MATCH("Capacity", Input!$D$1:$AC$1, 0)),IF(_xlpm.Result="","",_xlpm.Result))</f>
        <v>#N/A</v>
      </c>
      <c r="S369" s="42" t="e" cm="1">
        <f t="array" ref="S369">_xlfn.TEXTSPLIT(R369," / ", ,TRUE,0,)</f>
        <v>#N/A</v>
      </c>
      <c r="T369" s="42"/>
      <c r="U369" s="42" t="str" cm="1">
        <f t="array" ref="U369">IFERROR(_xlfn.IFS(
S369="","",
--S369&lt;55,"Battery Defect",
--S369&lt;=69,"Battery D",
--S369&lt;=80,"Battery C",
--S369&gt;80,""
),"")</f>
        <v/>
      </c>
      <c r="V369" s="42" t="str" cm="1">
        <f t="array" ref="V369">IFERROR(_xlfn.IFS(
T369="","",
--T369&lt;55,"Battery Defect",
--T369&lt;=69,"Battery D",
--T369&lt;=80,"Battery C",
--T369&gt;80,""
),"")</f>
        <v/>
      </c>
      <c r="W369" s="42"/>
      <c r="X369" s="42"/>
      <c r="Y369" s="42"/>
      <c r="Z369" s="42"/>
      <c r="AA369" s="42"/>
      <c r="AB369" s="42"/>
      <c r="AC369" s="42"/>
      <c r="AD369" s="42"/>
      <c r="AE369" s="32" t="str">
        <f t="shared" si="15"/>
        <v/>
      </c>
      <c r="AF369" s="32"/>
      <c r="AG369" s="32"/>
      <c r="AH369" s="32"/>
      <c r="AI369" s="32"/>
      <c r="AJ369" s="32"/>
      <c r="AK369" s="32"/>
      <c r="AL369" s="32"/>
      <c r="AM369" s="32"/>
    </row>
    <row r="370" spans="1:39">
      <c r="A370" s="32" t="str">
        <f>_xlfn.XLOOKUP(B370,Input!J:J,Input!G:G)&amp;""</f>
        <v/>
      </c>
      <c r="B370" s="32"/>
      <c r="C370" s="32" t="str">
        <f>_xlfn.XLOOKUP(B370,Input!J:J,Input!H:H)&amp;""</f>
        <v/>
      </c>
      <c r="D370" s="42">
        <f>_xlfn.XLOOKUP(B370,Input!J:J,Input!F:F)</f>
        <v>0</v>
      </c>
      <c r="E370" s="32">
        <f>_xlfn.XLOOKUP(D370,Models!H:H,Models!G:G,D370)</f>
        <v>0</v>
      </c>
      <c r="F370" s="32">
        <f>_xlfn.XLOOKUP(B370,Input!J:J,Input!E:E)</f>
        <v>0</v>
      </c>
      <c r="G370" s="32">
        <f>IF(F370="LENOVO",_xlfn.XLOOKUP(B370,Input!J:J,Input!K:K),_xlfn.XLOOKUP(B370,Input!J:J,Input!L:L))</f>
        <v>0</v>
      </c>
      <c r="H370" s="32"/>
      <c r="I370" s="32"/>
      <c r="J370" s="32"/>
      <c r="K370" s="42" t="e">
        <f>INDEX(Input!$D$2:$AC$500,
       MATCH(B370, Input!$J$2:$J$500, 0),
       MATCH("Total Memory", Input!$D$1:$AC$1, 0))</f>
        <v>#N/A</v>
      </c>
      <c r="L370" s="42"/>
      <c r="M370" s="42" t="str" cm="1">
        <f t="array" ref="M370">IFERROR(_xlfn.FILTERXML("&lt;t&gt;&lt;s&gt;" &amp; SUBSTITUTE(L370," / ","&lt;/s&gt;&lt;s&gt;") &amp; "&lt;/s&gt;&lt;/t&gt;","(//s[contains(.,'DDR')])[1]"),"")</f>
        <v/>
      </c>
      <c r="N370" s="32" t="e">
        <f t="shared" si="17"/>
        <v>#N/A</v>
      </c>
      <c r="O370" s="42" t="e">
        <f>INDEX(Input!$D$2:$AC$500,
       MATCH(B370, Input!$J$2:$J$500, 0),
       MATCH("Disk Interface Type", Input!$D$1:$AC$1, 0))</f>
        <v>#N/A</v>
      </c>
      <c r="P370" s="42" t="str" cm="1">
        <f t="array" ref="P370">IFERROR(_xlfn.TEXTJOIN(", ", TRUE, _xlfn._xlws.FILTER(
    INDEX(Input!$D$2:$AC$500,,MATCH("Disk Capacity",Input!$D$1:$AC$1,0)),
    Input!$J$2:$J$500=B370
)), "")</f>
        <v/>
      </c>
      <c r="Q370" s="32" t="e">
        <f t="shared" si="16"/>
        <v>#N/A</v>
      </c>
      <c r="R370" s="42" t="e">
        <f>_xlfn.LET(_xlpm.Result,INDEX(Input!$D$2:$AC$500,
       MATCH(B370, Input!$J$2:$J$500, 0),
       MATCH("Capacity", Input!$D$1:$AC$1, 0)),IF(_xlpm.Result="","",_xlpm.Result))</f>
        <v>#N/A</v>
      </c>
      <c r="S370" s="42" t="e" cm="1">
        <f t="array" ref="S370">_xlfn.TEXTSPLIT(R370," / ", ,TRUE,0,)</f>
        <v>#N/A</v>
      </c>
      <c r="T370" s="42"/>
      <c r="U370" s="42" t="str" cm="1">
        <f t="array" ref="U370">IFERROR(_xlfn.IFS(
S370="","",
--S370&lt;55,"Battery Defect",
--S370&lt;=69,"Battery D",
--S370&lt;=80,"Battery C",
--S370&gt;80,""
),"")</f>
        <v/>
      </c>
      <c r="V370" s="42" t="str" cm="1">
        <f t="array" ref="V370">IFERROR(_xlfn.IFS(
T370="","",
--T370&lt;55,"Battery Defect",
--T370&lt;=69,"Battery D",
--T370&lt;=80,"Battery C",
--T370&gt;80,""
),"")</f>
        <v/>
      </c>
      <c r="W370" s="42"/>
      <c r="X370" s="42"/>
      <c r="Y370" s="42"/>
      <c r="Z370" s="42"/>
      <c r="AA370" s="42"/>
      <c r="AB370" s="42"/>
      <c r="AC370" s="42"/>
      <c r="AD370" s="42"/>
      <c r="AE370" s="32" t="str">
        <f t="shared" si="15"/>
        <v/>
      </c>
      <c r="AF370" s="32"/>
      <c r="AG370" s="32"/>
      <c r="AH370" s="32"/>
      <c r="AI370" s="32"/>
      <c r="AJ370" s="32"/>
      <c r="AK370" s="32"/>
      <c r="AL370" s="32"/>
      <c r="AM370" s="32"/>
    </row>
    <row r="371" spans="1:39">
      <c r="A371" s="32" t="str">
        <f>_xlfn.XLOOKUP(B371,Input!J:J,Input!G:G)&amp;""</f>
        <v/>
      </c>
      <c r="B371" s="32"/>
      <c r="C371" s="32" t="str">
        <f>_xlfn.XLOOKUP(B371,Input!J:J,Input!H:H)&amp;""</f>
        <v/>
      </c>
      <c r="D371" s="42">
        <f>_xlfn.XLOOKUP(B371,Input!J:J,Input!F:F)</f>
        <v>0</v>
      </c>
      <c r="E371" s="32">
        <f>_xlfn.XLOOKUP(D371,Models!H:H,Models!G:G,D371)</f>
        <v>0</v>
      </c>
      <c r="F371" s="32">
        <f>_xlfn.XLOOKUP(B371,Input!J:J,Input!E:E)</f>
        <v>0</v>
      </c>
      <c r="G371" s="32">
        <f>IF(F371="LENOVO",_xlfn.XLOOKUP(B371,Input!J:J,Input!K:K),_xlfn.XLOOKUP(B371,Input!J:J,Input!L:L))</f>
        <v>0</v>
      </c>
      <c r="H371" s="32"/>
      <c r="I371" s="32"/>
      <c r="J371" s="32"/>
      <c r="K371" s="42" t="e">
        <f>INDEX(Input!$D$2:$AC$500,
       MATCH(B371, Input!$J$2:$J$500, 0),
       MATCH("Total Memory", Input!$D$1:$AC$1, 0))</f>
        <v>#N/A</v>
      </c>
      <c r="L371" s="42"/>
      <c r="M371" s="42" t="str" cm="1">
        <f t="array" ref="M371">IFERROR(_xlfn.FILTERXML("&lt;t&gt;&lt;s&gt;" &amp; SUBSTITUTE(L371," / ","&lt;/s&gt;&lt;s&gt;") &amp; "&lt;/s&gt;&lt;/t&gt;","(//s[contains(.,'DDR')])[1]"),"")</f>
        <v/>
      </c>
      <c r="N371" s="32" t="e">
        <f t="shared" si="17"/>
        <v>#N/A</v>
      </c>
      <c r="O371" s="42" t="e">
        <f>INDEX(Input!$D$2:$AC$500,
       MATCH(B371, Input!$J$2:$J$500, 0),
       MATCH("Disk Interface Type", Input!$D$1:$AC$1, 0))</f>
        <v>#N/A</v>
      </c>
      <c r="P371" s="42" t="str" cm="1">
        <f t="array" ref="P371">IFERROR(_xlfn.TEXTJOIN(", ", TRUE, _xlfn._xlws.FILTER(
    INDEX(Input!$D$2:$AC$500,,MATCH("Disk Capacity",Input!$D$1:$AC$1,0)),
    Input!$J$2:$J$500=B371
)), "")</f>
        <v/>
      </c>
      <c r="Q371" s="32" t="e">
        <f t="shared" si="16"/>
        <v>#N/A</v>
      </c>
      <c r="R371" s="42" t="e">
        <f>_xlfn.LET(_xlpm.Result,INDEX(Input!$D$2:$AC$500,
       MATCH(B371, Input!$J$2:$J$500, 0),
       MATCH("Capacity", Input!$D$1:$AC$1, 0)),IF(_xlpm.Result="","",_xlpm.Result))</f>
        <v>#N/A</v>
      </c>
      <c r="S371" s="42" t="e" cm="1">
        <f t="array" ref="S371">_xlfn.TEXTSPLIT(R371," / ", ,TRUE,0,)</f>
        <v>#N/A</v>
      </c>
      <c r="T371" s="42"/>
      <c r="U371" s="42" t="str" cm="1">
        <f t="array" ref="U371">IFERROR(_xlfn.IFS(
S371="","",
--S371&lt;55,"Battery Defect",
--S371&lt;=69,"Battery D",
--S371&lt;=80,"Battery C",
--S371&gt;80,""
),"")</f>
        <v/>
      </c>
      <c r="V371" s="42" t="str" cm="1">
        <f t="array" ref="V371">IFERROR(_xlfn.IFS(
T371="","",
--T371&lt;55,"Battery Defect",
--T371&lt;=69,"Battery D",
--T371&lt;=80,"Battery C",
--T371&gt;80,""
),"")</f>
        <v/>
      </c>
      <c r="W371" s="42"/>
      <c r="X371" s="42"/>
      <c r="Y371" s="42"/>
      <c r="Z371" s="42"/>
      <c r="AA371" s="42"/>
      <c r="AB371" s="42"/>
      <c r="AC371" s="42"/>
      <c r="AD371" s="42"/>
      <c r="AE371" s="32" t="str">
        <f t="shared" si="15"/>
        <v/>
      </c>
      <c r="AF371" s="32"/>
      <c r="AG371" s="32"/>
      <c r="AH371" s="32"/>
      <c r="AI371" s="32"/>
      <c r="AJ371" s="32"/>
      <c r="AK371" s="32"/>
      <c r="AL371" s="32"/>
      <c r="AM371" s="32"/>
    </row>
    <row r="372" spans="1:39">
      <c r="A372" s="32" t="str">
        <f>_xlfn.XLOOKUP(B372,Input!J:J,Input!G:G)&amp;""</f>
        <v/>
      </c>
      <c r="B372" s="32"/>
      <c r="C372" s="32" t="str">
        <f>_xlfn.XLOOKUP(B372,Input!J:J,Input!H:H)&amp;""</f>
        <v/>
      </c>
      <c r="D372" s="42">
        <f>_xlfn.XLOOKUP(B372,Input!J:J,Input!F:F)</f>
        <v>0</v>
      </c>
      <c r="E372" s="32">
        <f>_xlfn.XLOOKUP(D372,Models!H:H,Models!G:G,D372)</f>
        <v>0</v>
      </c>
      <c r="F372" s="32">
        <f>_xlfn.XLOOKUP(B372,Input!J:J,Input!E:E)</f>
        <v>0</v>
      </c>
      <c r="G372" s="32">
        <f>IF(F372="LENOVO",_xlfn.XLOOKUP(B372,Input!J:J,Input!K:K),_xlfn.XLOOKUP(B372,Input!J:J,Input!L:L))</f>
        <v>0</v>
      </c>
      <c r="H372" s="32"/>
      <c r="I372" s="32"/>
      <c r="J372" s="32"/>
      <c r="K372" s="42" t="e">
        <f>INDEX(Input!$D$2:$AC$500,
       MATCH(B372, Input!$J$2:$J$500, 0),
       MATCH("Total Memory", Input!$D$1:$AC$1, 0))</f>
        <v>#N/A</v>
      </c>
      <c r="L372" s="42"/>
      <c r="M372" s="42" t="str" cm="1">
        <f t="array" ref="M372">IFERROR(_xlfn.FILTERXML("&lt;t&gt;&lt;s&gt;" &amp; SUBSTITUTE(L372," / ","&lt;/s&gt;&lt;s&gt;") &amp; "&lt;/s&gt;&lt;/t&gt;","(//s[contains(.,'DDR')])[1]"),"")</f>
        <v/>
      </c>
      <c r="N372" s="32" t="e">
        <f t="shared" si="17"/>
        <v>#N/A</v>
      </c>
      <c r="O372" s="42" t="e">
        <f>INDEX(Input!$D$2:$AC$500,
       MATCH(B372, Input!$J$2:$J$500, 0),
       MATCH("Disk Interface Type", Input!$D$1:$AC$1, 0))</f>
        <v>#N/A</v>
      </c>
      <c r="P372" s="42" t="str" cm="1">
        <f t="array" ref="P372">IFERROR(_xlfn.TEXTJOIN(", ", TRUE, _xlfn._xlws.FILTER(
    INDEX(Input!$D$2:$AC$500,,MATCH("Disk Capacity",Input!$D$1:$AC$1,0)),
    Input!$J$2:$J$500=B372
)), "")</f>
        <v/>
      </c>
      <c r="Q372" s="32" t="e">
        <f t="shared" si="16"/>
        <v>#N/A</v>
      </c>
      <c r="R372" s="42" t="e">
        <f>_xlfn.LET(_xlpm.Result,INDEX(Input!$D$2:$AC$500,
       MATCH(B372, Input!$J$2:$J$500, 0),
       MATCH("Capacity", Input!$D$1:$AC$1, 0)),IF(_xlpm.Result="","",_xlpm.Result))</f>
        <v>#N/A</v>
      </c>
      <c r="S372" s="42" t="e" cm="1">
        <f t="array" ref="S372">_xlfn.TEXTSPLIT(R372," / ", ,TRUE,0,)</f>
        <v>#N/A</v>
      </c>
      <c r="T372" s="42"/>
      <c r="U372" s="42" t="str" cm="1">
        <f t="array" ref="U372">IFERROR(_xlfn.IFS(
S372="","",
--S372&lt;55,"Battery Defect",
--S372&lt;=69,"Battery D",
--S372&lt;=80,"Battery C",
--S372&gt;80,""
),"")</f>
        <v/>
      </c>
      <c r="V372" s="42" t="str" cm="1">
        <f t="array" ref="V372">IFERROR(_xlfn.IFS(
T372="","",
--T372&lt;55,"Battery Defect",
--T372&lt;=69,"Battery D",
--T372&lt;=80,"Battery C",
--T372&gt;80,""
),"")</f>
        <v/>
      </c>
      <c r="W372" s="42"/>
      <c r="X372" s="42"/>
      <c r="Y372" s="42"/>
      <c r="Z372" s="42"/>
      <c r="AA372" s="42"/>
      <c r="AB372" s="42"/>
      <c r="AC372" s="42"/>
      <c r="AD372" s="42"/>
      <c r="AE372" s="32" t="str">
        <f t="shared" si="15"/>
        <v/>
      </c>
      <c r="AF372" s="32"/>
      <c r="AG372" s="32"/>
      <c r="AH372" s="32"/>
      <c r="AI372" s="32"/>
      <c r="AJ372" s="32"/>
      <c r="AK372" s="32"/>
      <c r="AL372" s="32"/>
      <c r="AM372" s="32"/>
    </row>
    <row r="373" spans="1:39">
      <c r="A373" s="32" t="str">
        <f>_xlfn.XLOOKUP(B373,Input!J:J,Input!G:G)&amp;""</f>
        <v/>
      </c>
      <c r="B373" s="32"/>
      <c r="C373" s="32" t="str">
        <f>_xlfn.XLOOKUP(B373,Input!J:J,Input!H:H)&amp;""</f>
        <v/>
      </c>
      <c r="D373" s="42">
        <f>_xlfn.XLOOKUP(B373,Input!J:J,Input!F:F)</f>
        <v>0</v>
      </c>
      <c r="E373" s="32">
        <f>_xlfn.XLOOKUP(D373,Models!H:H,Models!G:G,D373)</f>
        <v>0</v>
      </c>
      <c r="F373" s="32">
        <f>_xlfn.XLOOKUP(B373,Input!J:J,Input!E:E)</f>
        <v>0</v>
      </c>
      <c r="G373" s="32">
        <f>IF(F373="LENOVO",_xlfn.XLOOKUP(B373,Input!J:J,Input!K:K),_xlfn.XLOOKUP(B373,Input!J:J,Input!L:L))</f>
        <v>0</v>
      </c>
      <c r="H373" s="32"/>
      <c r="I373" s="32"/>
      <c r="J373" s="32"/>
      <c r="K373" s="42" t="e">
        <f>INDEX(Input!$D$2:$AC$500,
       MATCH(B373, Input!$J$2:$J$500, 0),
       MATCH("Total Memory", Input!$D$1:$AC$1, 0))</f>
        <v>#N/A</v>
      </c>
      <c r="L373" s="42"/>
      <c r="M373" s="42" t="str" cm="1">
        <f t="array" ref="M373">IFERROR(_xlfn.FILTERXML("&lt;t&gt;&lt;s&gt;" &amp; SUBSTITUTE(L373," / ","&lt;/s&gt;&lt;s&gt;") &amp; "&lt;/s&gt;&lt;/t&gt;","(//s[contains(.,'DDR')])[1]"),"")</f>
        <v/>
      </c>
      <c r="N373" s="32" t="e">
        <f t="shared" si="17"/>
        <v>#N/A</v>
      </c>
      <c r="O373" s="42" t="e">
        <f>INDEX(Input!$D$2:$AC$500,
       MATCH(B373, Input!$J$2:$J$500, 0),
       MATCH("Disk Interface Type", Input!$D$1:$AC$1, 0))</f>
        <v>#N/A</v>
      </c>
      <c r="P373" s="42" t="str" cm="1">
        <f t="array" ref="P373">IFERROR(_xlfn.TEXTJOIN(", ", TRUE, _xlfn._xlws.FILTER(
    INDEX(Input!$D$2:$AC$500,,MATCH("Disk Capacity",Input!$D$1:$AC$1,0)),
    Input!$J$2:$J$500=B373
)), "")</f>
        <v/>
      </c>
      <c r="Q373" s="32" t="e">
        <f t="shared" si="16"/>
        <v>#N/A</v>
      </c>
      <c r="R373" s="42" t="e">
        <f>_xlfn.LET(_xlpm.Result,INDEX(Input!$D$2:$AC$500,
       MATCH(B373, Input!$J$2:$J$500, 0),
       MATCH("Capacity", Input!$D$1:$AC$1, 0)),IF(_xlpm.Result="","",_xlpm.Result))</f>
        <v>#N/A</v>
      </c>
      <c r="S373" s="42" t="e" cm="1">
        <f t="array" ref="S373">_xlfn.TEXTSPLIT(R373," / ", ,TRUE,0,)</f>
        <v>#N/A</v>
      </c>
      <c r="T373" s="42"/>
      <c r="U373" s="42" t="str" cm="1">
        <f t="array" ref="U373">IFERROR(_xlfn.IFS(
S373="","",
--S373&lt;55,"Battery Defect",
--S373&lt;=69,"Battery D",
--S373&lt;=80,"Battery C",
--S373&gt;80,""
),"")</f>
        <v/>
      </c>
      <c r="V373" s="42" t="str" cm="1">
        <f t="array" ref="V373">IFERROR(_xlfn.IFS(
T373="","",
--T373&lt;55,"Battery Defect",
--T373&lt;=69,"Battery D",
--T373&lt;=80,"Battery C",
--T373&gt;80,""
),"")</f>
        <v/>
      </c>
      <c r="W373" s="42"/>
      <c r="X373" s="42"/>
      <c r="Y373" s="42"/>
      <c r="Z373" s="42"/>
      <c r="AA373" s="42"/>
      <c r="AB373" s="42"/>
      <c r="AC373" s="42"/>
      <c r="AD373" s="42"/>
      <c r="AE373" s="32" t="str">
        <f t="shared" si="15"/>
        <v/>
      </c>
      <c r="AF373" s="32"/>
      <c r="AG373" s="32"/>
      <c r="AH373" s="32"/>
      <c r="AI373" s="32"/>
      <c r="AJ373" s="32"/>
      <c r="AK373" s="32"/>
      <c r="AL373" s="32"/>
      <c r="AM373" s="32"/>
    </row>
    <row r="374" spans="1:39">
      <c r="A374" s="32" t="str">
        <f>_xlfn.XLOOKUP(B374,Input!J:J,Input!G:G)&amp;""</f>
        <v/>
      </c>
      <c r="B374" s="32"/>
      <c r="C374" s="32" t="str">
        <f>_xlfn.XLOOKUP(B374,Input!J:J,Input!H:H)&amp;""</f>
        <v/>
      </c>
      <c r="D374" s="42">
        <f>_xlfn.XLOOKUP(B374,Input!J:J,Input!F:F)</f>
        <v>0</v>
      </c>
      <c r="E374" s="32">
        <f>_xlfn.XLOOKUP(D374,Models!H:H,Models!G:G,D374)</f>
        <v>0</v>
      </c>
      <c r="F374" s="32">
        <f>_xlfn.XLOOKUP(B374,Input!J:J,Input!E:E)</f>
        <v>0</v>
      </c>
      <c r="G374" s="32">
        <f>IF(F374="LENOVO",_xlfn.XLOOKUP(B374,Input!J:J,Input!K:K),_xlfn.XLOOKUP(B374,Input!J:J,Input!L:L))</f>
        <v>0</v>
      </c>
      <c r="H374" s="32"/>
      <c r="I374" s="32"/>
      <c r="J374" s="32"/>
      <c r="K374" s="42" t="e">
        <f>INDEX(Input!$D$2:$AC$500,
       MATCH(B374, Input!$J$2:$J$500, 0),
       MATCH("Total Memory", Input!$D$1:$AC$1, 0))</f>
        <v>#N/A</v>
      </c>
      <c r="L374" s="42"/>
      <c r="M374" s="42" t="str" cm="1">
        <f t="array" ref="M374">IFERROR(_xlfn.FILTERXML("&lt;t&gt;&lt;s&gt;" &amp; SUBSTITUTE(L374," / ","&lt;/s&gt;&lt;s&gt;") &amp; "&lt;/s&gt;&lt;/t&gt;","(//s[contains(.,'DDR')])[1]"),"")</f>
        <v/>
      </c>
      <c r="N374" s="32" t="e">
        <f t="shared" si="17"/>
        <v>#N/A</v>
      </c>
      <c r="O374" s="42" t="e">
        <f>INDEX(Input!$D$2:$AC$500,
       MATCH(B374, Input!$J$2:$J$500, 0),
       MATCH("Disk Interface Type", Input!$D$1:$AC$1, 0))</f>
        <v>#N/A</v>
      </c>
      <c r="P374" s="42" t="str" cm="1">
        <f t="array" ref="P374">IFERROR(_xlfn.TEXTJOIN(", ", TRUE, _xlfn._xlws.FILTER(
    INDEX(Input!$D$2:$AC$500,,MATCH("Disk Capacity",Input!$D$1:$AC$1,0)),
    Input!$J$2:$J$500=B374
)), "")</f>
        <v/>
      </c>
      <c r="Q374" s="32" t="e">
        <f t="shared" si="16"/>
        <v>#N/A</v>
      </c>
      <c r="R374" s="42" t="e">
        <f>_xlfn.LET(_xlpm.Result,INDEX(Input!$D$2:$AC$500,
       MATCH(B374, Input!$J$2:$J$500, 0),
       MATCH("Capacity", Input!$D$1:$AC$1, 0)),IF(_xlpm.Result="","",_xlpm.Result))</f>
        <v>#N/A</v>
      </c>
      <c r="S374" s="42" t="e" cm="1">
        <f t="array" ref="S374">_xlfn.TEXTSPLIT(R374," / ", ,TRUE,0,)</f>
        <v>#N/A</v>
      </c>
      <c r="T374" s="42"/>
      <c r="U374" s="42" t="str" cm="1">
        <f t="array" ref="U374">IFERROR(_xlfn.IFS(
S374="","",
--S374&lt;55,"Battery Defect",
--S374&lt;=69,"Battery D",
--S374&lt;=80,"Battery C",
--S374&gt;80,""
),"")</f>
        <v/>
      </c>
      <c r="V374" s="42" t="str" cm="1">
        <f t="array" ref="V374">IFERROR(_xlfn.IFS(
T374="","",
--T374&lt;55,"Battery Defect",
--T374&lt;=69,"Battery D",
--T374&lt;=80,"Battery C",
--T374&gt;80,""
),"")</f>
        <v/>
      </c>
      <c r="W374" s="42"/>
      <c r="X374" s="42"/>
      <c r="Y374" s="42"/>
      <c r="Z374" s="42"/>
      <c r="AA374" s="42"/>
      <c r="AB374" s="42"/>
      <c r="AC374" s="42"/>
      <c r="AD374" s="42"/>
      <c r="AE374" s="32" t="str">
        <f t="shared" si="15"/>
        <v/>
      </c>
      <c r="AF374" s="32"/>
      <c r="AG374" s="32"/>
      <c r="AH374" s="32"/>
      <c r="AI374" s="32"/>
      <c r="AJ374" s="32"/>
      <c r="AK374" s="32"/>
      <c r="AL374" s="32"/>
      <c r="AM374" s="32"/>
    </row>
    <row r="375" spans="1:39">
      <c r="A375" s="32" t="str">
        <f>_xlfn.XLOOKUP(B375,Input!J:J,Input!G:G)&amp;""</f>
        <v/>
      </c>
      <c r="B375" s="32"/>
      <c r="C375" s="32" t="str">
        <f>_xlfn.XLOOKUP(B375,Input!J:J,Input!H:H)&amp;""</f>
        <v/>
      </c>
      <c r="D375" s="42">
        <f>_xlfn.XLOOKUP(B375,Input!J:J,Input!F:F)</f>
        <v>0</v>
      </c>
      <c r="E375" s="32">
        <f>_xlfn.XLOOKUP(D375,Models!H:H,Models!G:G,D375)</f>
        <v>0</v>
      </c>
      <c r="F375" s="32">
        <f>_xlfn.XLOOKUP(B375,Input!J:J,Input!E:E)</f>
        <v>0</v>
      </c>
      <c r="G375" s="32">
        <f>IF(F375="LENOVO",_xlfn.XLOOKUP(B375,Input!J:J,Input!K:K),_xlfn.XLOOKUP(B375,Input!J:J,Input!L:L))</f>
        <v>0</v>
      </c>
      <c r="H375" s="32"/>
      <c r="I375" s="32"/>
      <c r="J375" s="32"/>
      <c r="K375" s="42" t="e">
        <f>INDEX(Input!$D$2:$AC$500,
       MATCH(B375, Input!$J$2:$J$500, 0),
       MATCH("Total Memory", Input!$D$1:$AC$1, 0))</f>
        <v>#N/A</v>
      </c>
      <c r="L375" s="42"/>
      <c r="M375" s="42" t="str" cm="1">
        <f t="array" ref="M375">IFERROR(_xlfn.FILTERXML("&lt;t&gt;&lt;s&gt;" &amp; SUBSTITUTE(L375," / ","&lt;/s&gt;&lt;s&gt;") &amp; "&lt;/s&gt;&lt;/t&gt;","(//s[contains(.,'DDR')])[1]"),"")</f>
        <v/>
      </c>
      <c r="N375" s="32" t="e">
        <f t="shared" si="17"/>
        <v>#N/A</v>
      </c>
      <c r="O375" s="42" t="e">
        <f>INDEX(Input!$D$2:$AC$500,
       MATCH(B375, Input!$J$2:$J$500, 0),
       MATCH("Disk Interface Type", Input!$D$1:$AC$1, 0))</f>
        <v>#N/A</v>
      </c>
      <c r="P375" s="42" t="str" cm="1">
        <f t="array" ref="P375">IFERROR(_xlfn.TEXTJOIN(", ", TRUE, _xlfn._xlws.FILTER(
    INDEX(Input!$D$2:$AC$500,,MATCH("Disk Capacity",Input!$D$1:$AC$1,0)),
    Input!$J$2:$J$500=B375
)), "")</f>
        <v/>
      </c>
      <c r="Q375" s="32" t="e">
        <f t="shared" si="16"/>
        <v>#N/A</v>
      </c>
      <c r="R375" s="42" t="e">
        <f>_xlfn.LET(_xlpm.Result,INDEX(Input!$D$2:$AC$500,
       MATCH(B375, Input!$J$2:$J$500, 0),
       MATCH("Capacity", Input!$D$1:$AC$1, 0)),IF(_xlpm.Result="","",_xlpm.Result))</f>
        <v>#N/A</v>
      </c>
      <c r="S375" s="42" t="e" cm="1">
        <f t="array" ref="S375">_xlfn.TEXTSPLIT(R375," / ", ,TRUE,0,)</f>
        <v>#N/A</v>
      </c>
      <c r="T375" s="42"/>
      <c r="U375" s="42" t="str" cm="1">
        <f t="array" ref="U375">IFERROR(_xlfn.IFS(
S375="","",
--S375&lt;55,"Battery Defect",
--S375&lt;=69,"Battery D",
--S375&lt;=80,"Battery C",
--S375&gt;80,""
),"")</f>
        <v/>
      </c>
      <c r="V375" s="42" t="str" cm="1">
        <f t="array" ref="V375">IFERROR(_xlfn.IFS(
T375="","",
--T375&lt;55,"Battery Defect",
--T375&lt;=69,"Battery D",
--T375&lt;=80,"Battery C",
--T375&gt;80,""
),"")</f>
        <v/>
      </c>
      <c r="W375" s="42"/>
      <c r="X375" s="42"/>
      <c r="Y375" s="42"/>
      <c r="Z375" s="42"/>
      <c r="AA375" s="42"/>
      <c r="AB375" s="42"/>
      <c r="AC375" s="42"/>
      <c r="AD375" s="42"/>
      <c r="AE375" s="32" t="str">
        <f t="shared" si="15"/>
        <v/>
      </c>
      <c r="AF375" s="32"/>
      <c r="AG375" s="32"/>
      <c r="AH375" s="32"/>
      <c r="AI375" s="32"/>
      <c r="AJ375" s="32"/>
      <c r="AK375" s="32"/>
      <c r="AL375" s="32"/>
      <c r="AM375" s="32"/>
    </row>
    <row r="376" spans="1:39">
      <c r="A376" s="32" t="str">
        <f>_xlfn.XLOOKUP(B376,Input!J:J,Input!G:G)&amp;""</f>
        <v/>
      </c>
      <c r="B376" s="32"/>
      <c r="C376" s="32" t="str">
        <f>_xlfn.XLOOKUP(B376,Input!J:J,Input!H:H)&amp;""</f>
        <v/>
      </c>
      <c r="D376" s="42">
        <f>_xlfn.XLOOKUP(B376,Input!J:J,Input!F:F)</f>
        <v>0</v>
      </c>
      <c r="E376" s="32">
        <f>_xlfn.XLOOKUP(D376,Models!H:H,Models!G:G,D376)</f>
        <v>0</v>
      </c>
      <c r="F376" s="32">
        <f>_xlfn.XLOOKUP(B376,Input!J:J,Input!E:E)</f>
        <v>0</v>
      </c>
      <c r="G376" s="32">
        <f>IF(F376="LENOVO",_xlfn.XLOOKUP(B376,Input!J:J,Input!K:K),_xlfn.XLOOKUP(B376,Input!J:J,Input!L:L))</f>
        <v>0</v>
      </c>
      <c r="H376" s="32"/>
      <c r="I376" s="32"/>
      <c r="J376" s="32"/>
      <c r="K376" s="42" t="e">
        <f>INDEX(Input!$D$2:$AC$500,
       MATCH(B376, Input!$J$2:$J$500, 0),
       MATCH("Total Memory", Input!$D$1:$AC$1, 0))</f>
        <v>#N/A</v>
      </c>
      <c r="L376" s="42"/>
      <c r="M376" s="42" t="str" cm="1">
        <f t="array" ref="M376">IFERROR(_xlfn.FILTERXML("&lt;t&gt;&lt;s&gt;" &amp; SUBSTITUTE(L376," / ","&lt;/s&gt;&lt;s&gt;") &amp; "&lt;/s&gt;&lt;/t&gt;","(//s[contains(.,'DDR')])[1]"),"")</f>
        <v/>
      </c>
      <c r="N376" s="32" t="e">
        <f t="shared" si="17"/>
        <v>#N/A</v>
      </c>
      <c r="O376" s="42" t="e">
        <f>INDEX(Input!$D$2:$AC$500,
       MATCH(B376, Input!$J$2:$J$500, 0),
       MATCH("Disk Interface Type", Input!$D$1:$AC$1, 0))</f>
        <v>#N/A</v>
      </c>
      <c r="P376" s="42" t="str" cm="1">
        <f t="array" ref="P376">IFERROR(_xlfn.TEXTJOIN(", ", TRUE, _xlfn._xlws.FILTER(
    INDEX(Input!$D$2:$AC$500,,MATCH("Disk Capacity",Input!$D$1:$AC$1,0)),
    Input!$J$2:$J$500=B376
)), "")</f>
        <v/>
      </c>
      <c r="Q376" s="32" t="e">
        <f t="shared" si="16"/>
        <v>#N/A</v>
      </c>
      <c r="R376" s="42" t="e">
        <f>_xlfn.LET(_xlpm.Result,INDEX(Input!$D$2:$AC$500,
       MATCH(B376, Input!$J$2:$J$500, 0),
       MATCH("Capacity", Input!$D$1:$AC$1, 0)),IF(_xlpm.Result="","",_xlpm.Result))</f>
        <v>#N/A</v>
      </c>
      <c r="S376" s="42" t="e" cm="1">
        <f t="array" ref="S376">_xlfn.TEXTSPLIT(R376," / ", ,TRUE,0,)</f>
        <v>#N/A</v>
      </c>
      <c r="T376" s="42"/>
      <c r="U376" s="42" t="str" cm="1">
        <f t="array" ref="U376">IFERROR(_xlfn.IFS(
S376="","",
--S376&lt;55,"Battery Defect",
--S376&lt;=69,"Battery D",
--S376&lt;=80,"Battery C",
--S376&gt;80,""
),"")</f>
        <v/>
      </c>
      <c r="V376" s="42" t="str" cm="1">
        <f t="array" ref="V376">IFERROR(_xlfn.IFS(
T376="","",
--T376&lt;55,"Battery Defect",
--T376&lt;=69,"Battery D",
--T376&lt;=80,"Battery C",
--T376&gt;80,""
),"")</f>
        <v/>
      </c>
      <c r="W376" s="42"/>
      <c r="X376" s="42"/>
      <c r="Y376" s="42"/>
      <c r="Z376" s="42"/>
      <c r="AA376" s="42"/>
      <c r="AB376" s="42"/>
      <c r="AC376" s="42"/>
      <c r="AD376" s="42"/>
      <c r="AE376" s="32" t="str">
        <f t="shared" si="15"/>
        <v/>
      </c>
      <c r="AF376" s="32"/>
      <c r="AG376" s="32"/>
      <c r="AH376" s="32"/>
      <c r="AI376" s="32"/>
      <c r="AJ376" s="32"/>
      <c r="AK376" s="32"/>
      <c r="AL376" s="32"/>
      <c r="AM376" s="32"/>
    </row>
    <row r="377" spans="1:39">
      <c r="A377" s="32" t="str">
        <f>_xlfn.XLOOKUP(B377,Input!J:J,Input!G:G)&amp;""</f>
        <v/>
      </c>
      <c r="B377" s="32"/>
      <c r="C377" s="32" t="str">
        <f>_xlfn.XLOOKUP(B377,Input!J:J,Input!H:H)&amp;""</f>
        <v/>
      </c>
      <c r="D377" s="42">
        <f>_xlfn.XLOOKUP(B377,Input!J:J,Input!F:F)</f>
        <v>0</v>
      </c>
      <c r="E377" s="32">
        <f>_xlfn.XLOOKUP(D377,Models!H:H,Models!G:G,D377)</f>
        <v>0</v>
      </c>
      <c r="F377" s="32">
        <f>_xlfn.XLOOKUP(B377,Input!J:J,Input!E:E)</f>
        <v>0</v>
      </c>
      <c r="G377" s="32">
        <f>IF(F377="LENOVO",_xlfn.XLOOKUP(B377,Input!J:J,Input!K:K),_xlfn.XLOOKUP(B377,Input!J:J,Input!L:L))</f>
        <v>0</v>
      </c>
      <c r="H377" s="32"/>
      <c r="I377" s="32"/>
      <c r="J377" s="32"/>
      <c r="K377" s="42" t="e">
        <f>INDEX(Input!$D$2:$AC$500,
       MATCH(B377, Input!$J$2:$J$500, 0),
       MATCH("Total Memory", Input!$D$1:$AC$1, 0))</f>
        <v>#N/A</v>
      </c>
      <c r="L377" s="42"/>
      <c r="M377" s="42" t="str" cm="1">
        <f t="array" ref="M377">IFERROR(_xlfn.FILTERXML("&lt;t&gt;&lt;s&gt;" &amp; SUBSTITUTE(L377," / ","&lt;/s&gt;&lt;s&gt;") &amp; "&lt;/s&gt;&lt;/t&gt;","(//s[contains(.,'DDR')])[1]"),"")</f>
        <v/>
      </c>
      <c r="N377" s="32" t="e">
        <f t="shared" si="17"/>
        <v>#N/A</v>
      </c>
      <c r="O377" s="42" t="e">
        <f>INDEX(Input!$D$2:$AC$500,
       MATCH(B377, Input!$J$2:$J$500, 0),
       MATCH("Disk Interface Type", Input!$D$1:$AC$1, 0))</f>
        <v>#N/A</v>
      </c>
      <c r="P377" s="42" t="str" cm="1">
        <f t="array" ref="P377">IFERROR(_xlfn.TEXTJOIN(", ", TRUE, _xlfn._xlws.FILTER(
    INDEX(Input!$D$2:$AC$500,,MATCH("Disk Capacity",Input!$D$1:$AC$1,0)),
    Input!$J$2:$J$500=B377
)), "")</f>
        <v/>
      </c>
      <c r="Q377" s="32" t="e">
        <f t="shared" si="16"/>
        <v>#N/A</v>
      </c>
      <c r="R377" s="42" t="e">
        <f>_xlfn.LET(_xlpm.Result,INDEX(Input!$D$2:$AC$500,
       MATCH(B377, Input!$J$2:$J$500, 0),
       MATCH("Capacity", Input!$D$1:$AC$1, 0)),IF(_xlpm.Result="","",_xlpm.Result))</f>
        <v>#N/A</v>
      </c>
      <c r="S377" s="42" t="e" cm="1">
        <f t="array" ref="S377">_xlfn.TEXTSPLIT(R377," / ", ,TRUE,0,)</f>
        <v>#N/A</v>
      </c>
      <c r="T377" s="42"/>
      <c r="U377" s="42" t="str" cm="1">
        <f t="array" ref="U377">IFERROR(_xlfn.IFS(
S377="","",
--S377&lt;55,"Battery Defect",
--S377&lt;=69,"Battery D",
--S377&lt;=80,"Battery C",
--S377&gt;80,""
),"")</f>
        <v/>
      </c>
      <c r="V377" s="42" t="str" cm="1">
        <f t="array" ref="V377">IFERROR(_xlfn.IFS(
T377="","",
--T377&lt;55,"Battery Defect",
--T377&lt;=69,"Battery D",
--T377&lt;=80,"Battery C",
--T377&gt;80,""
),"")</f>
        <v/>
      </c>
      <c r="W377" s="42"/>
      <c r="X377" s="42"/>
      <c r="Y377" s="42"/>
      <c r="Z377" s="42"/>
      <c r="AA377" s="42"/>
      <c r="AB377" s="42"/>
      <c r="AC377" s="42"/>
      <c r="AD377" s="42"/>
      <c r="AE377" s="32" t="str">
        <f t="shared" si="15"/>
        <v/>
      </c>
      <c r="AF377" s="32"/>
      <c r="AG377" s="32"/>
      <c r="AH377" s="32"/>
      <c r="AI377" s="32"/>
      <c r="AJ377" s="32"/>
      <c r="AK377" s="32"/>
      <c r="AL377" s="32"/>
      <c r="AM377" s="32"/>
    </row>
    <row r="378" spans="1:39">
      <c r="A378" s="32" t="str">
        <f>_xlfn.XLOOKUP(B378,Input!J:J,Input!G:G)&amp;""</f>
        <v/>
      </c>
      <c r="B378" s="32"/>
      <c r="C378" s="32" t="str">
        <f>_xlfn.XLOOKUP(B378,Input!J:J,Input!H:H)&amp;""</f>
        <v/>
      </c>
      <c r="D378" s="42">
        <f>_xlfn.XLOOKUP(B378,Input!J:J,Input!F:F)</f>
        <v>0</v>
      </c>
      <c r="E378" s="32">
        <f>_xlfn.XLOOKUP(D378,Models!H:H,Models!G:G,D378)</f>
        <v>0</v>
      </c>
      <c r="F378" s="32">
        <f>_xlfn.XLOOKUP(B378,Input!J:J,Input!E:E)</f>
        <v>0</v>
      </c>
      <c r="G378" s="32">
        <f>IF(F378="LENOVO",_xlfn.XLOOKUP(B378,Input!J:J,Input!K:K),_xlfn.XLOOKUP(B378,Input!J:J,Input!L:L))</f>
        <v>0</v>
      </c>
      <c r="H378" s="32"/>
      <c r="I378" s="32"/>
      <c r="J378" s="32"/>
      <c r="K378" s="42" t="e">
        <f>INDEX(Input!$D$2:$AC$500,
       MATCH(B378, Input!$J$2:$J$500, 0),
       MATCH("Total Memory", Input!$D$1:$AC$1, 0))</f>
        <v>#N/A</v>
      </c>
      <c r="L378" s="42"/>
      <c r="M378" s="42" t="str" cm="1">
        <f t="array" ref="M378">IFERROR(_xlfn.FILTERXML("&lt;t&gt;&lt;s&gt;" &amp; SUBSTITUTE(L378," / ","&lt;/s&gt;&lt;s&gt;") &amp; "&lt;/s&gt;&lt;/t&gt;","(//s[contains(.,'DDR')])[1]"),"")</f>
        <v/>
      </c>
      <c r="N378" s="32" t="e">
        <f t="shared" si="17"/>
        <v>#N/A</v>
      </c>
      <c r="O378" s="42" t="e">
        <f>INDEX(Input!$D$2:$AC$500,
       MATCH(B378, Input!$J$2:$J$500, 0),
       MATCH("Disk Interface Type", Input!$D$1:$AC$1, 0))</f>
        <v>#N/A</v>
      </c>
      <c r="P378" s="42" t="str" cm="1">
        <f t="array" ref="P378">IFERROR(_xlfn.TEXTJOIN(", ", TRUE, _xlfn._xlws.FILTER(
    INDEX(Input!$D$2:$AC$500,,MATCH("Disk Capacity",Input!$D$1:$AC$1,0)),
    Input!$J$2:$J$500=B378
)), "")</f>
        <v/>
      </c>
      <c r="Q378" s="32" t="e">
        <f t="shared" si="16"/>
        <v>#N/A</v>
      </c>
      <c r="R378" s="42" t="e">
        <f>_xlfn.LET(_xlpm.Result,INDEX(Input!$D$2:$AC$500,
       MATCH(B378, Input!$J$2:$J$500, 0),
       MATCH("Capacity", Input!$D$1:$AC$1, 0)),IF(_xlpm.Result="","",_xlpm.Result))</f>
        <v>#N/A</v>
      </c>
      <c r="S378" s="42" t="e" cm="1">
        <f t="array" ref="S378">_xlfn.TEXTSPLIT(R378," / ", ,TRUE,0,)</f>
        <v>#N/A</v>
      </c>
      <c r="T378" s="42"/>
      <c r="U378" s="42" t="str" cm="1">
        <f t="array" ref="U378">IFERROR(_xlfn.IFS(
S378="","",
--S378&lt;55,"Battery Defect",
--S378&lt;=69,"Battery D",
--S378&lt;=80,"Battery C",
--S378&gt;80,""
),"")</f>
        <v/>
      </c>
      <c r="V378" s="42" t="str" cm="1">
        <f t="array" ref="V378">IFERROR(_xlfn.IFS(
T378="","",
--T378&lt;55,"Battery Defect",
--T378&lt;=69,"Battery D",
--T378&lt;=80,"Battery C",
--T378&gt;80,""
),"")</f>
        <v/>
      </c>
      <c r="W378" s="42"/>
      <c r="X378" s="42"/>
      <c r="Y378" s="42"/>
      <c r="Z378" s="42"/>
      <c r="AA378" s="42"/>
      <c r="AB378" s="42"/>
      <c r="AC378" s="42"/>
      <c r="AD378" s="42"/>
      <c r="AE378" s="32" t="str">
        <f t="shared" si="15"/>
        <v/>
      </c>
      <c r="AF378" s="32"/>
      <c r="AG378" s="32"/>
      <c r="AH378" s="32"/>
      <c r="AI378" s="32"/>
      <c r="AJ378" s="32"/>
      <c r="AK378" s="32"/>
      <c r="AL378" s="32"/>
      <c r="AM378" s="32"/>
    </row>
    <row r="379" spans="1:39">
      <c r="A379" s="32" t="str">
        <f>_xlfn.XLOOKUP(B379,Input!J:J,Input!G:G)&amp;""</f>
        <v/>
      </c>
      <c r="B379" s="32"/>
      <c r="C379" s="32" t="str">
        <f>_xlfn.XLOOKUP(B379,Input!J:J,Input!H:H)&amp;""</f>
        <v/>
      </c>
      <c r="D379" s="42">
        <f>_xlfn.XLOOKUP(B379,Input!J:J,Input!F:F)</f>
        <v>0</v>
      </c>
      <c r="E379" s="32">
        <f>_xlfn.XLOOKUP(D379,Models!H:H,Models!G:G,D379)</f>
        <v>0</v>
      </c>
      <c r="F379" s="32">
        <f>_xlfn.XLOOKUP(B379,Input!J:J,Input!E:E)</f>
        <v>0</v>
      </c>
      <c r="G379" s="32">
        <f>IF(F379="LENOVO",_xlfn.XLOOKUP(B379,Input!J:J,Input!K:K),_xlfn.XLOOKUP(B379,Input!J:J,Input!L:L))</f>
        <v>0</v>
      </c>
      <c r="H379" s="32"/>
      <c r="I379" s="32"/>
      <c r="J379" s="32"/>
      <c r="K379" s="42" t="e">
        <f>INDEX(Input!$D$2:$AC$500,
       MATCH(B379, Input!$J$2:$J$500, 0),
       MATCH("Total Memory", Input!$D$1:$AC$1, 0))</f>
        <v>#N/A</v>
      </c>
      <c r="L379" s="42"/>
      <c r="M379" s="42" t="str" cm="1">
        <f t="array" ref="M379">IFERROR(_xlfn.FILTERXML("&lt;t&gt;&lt;s&gt;" &amp; SUBSTITUTE(L379," / ","&lt;/s&gt;&lt;s&gt;") &amp; "&lt;/s&gt;&lt;/t&gt;","(//s[contains(.,'DDR')])[1]"),"")</f>
        <v/>
      </c>
      <c r="N379" s="32" t="e">
        <f t="shared" si="17"/>
        <v>#N/A</v>
      </c>
      <c r="O379" s="42" t="e">
        <f>INDEX(Input!$D$2:$AC$500,
       MATCH(B379, Input!$J$2:$J$500, 0),
       MATCH("Disk Interface Type", Input!$D$1:$AC$1, 0))</f>
        <v>#N/A</v>
      </c>
      <c r="P379" s="42" t="str" cm="1">
        <f t="array" ref="P379">IFERROR(_xlfn.TEXTJOIN(", ", TRUE, _xlfn._xlws.FILTER(
    INDEX(Input!$D$2:$AC$500,,MATCH("Disk Capacity",Input!$D$1:$AC$1,0)),
    Input!$J$2:$J$500=B379
)), "")</f>
        <v/>
      </c>
      <c r="Q379" s="32" t="e">
        <f t="shared" si="16"/>
        <v>#N/A</v>
      </c>
      <c r="R379" s="42" t="e">
        <f>_xlfn.LET(_xlpm.Result,INDEX(Input!$D$2:$AC$500,
       MATCH(B379, Input!$J$2:$J$500, 0),
       MATCH("Capacity", Input!$D$1:$AC$1, 0)),IF(_xlpm.Result="","",_xlpm.Result))</f>
        <v>#N/A</v>
      </c>
      <c r="S379" s="42" t="e" cm="1">
        <f t="array" ref="S379">_xlfn.TEXTSPLIT(R379," / ", ,TRUE,0,)</f>
        <v>#N/A</v>
      </c>
      <c r="T379" s="42"/>
      <c r="U379" s="42" t="str" cm="1">
        <f t="array" ref="U379">IFERROR(_xlfn.IFS(
S379="","",
--S379&lt;55,"Battery Defect",
--S379&lt;=69,"Battery D",
--S379&lt;=80,"Battery C",
--S379&gt;80,""
),"")</f>
        <v/>
      </c>
      <c r="V379" s="42" t="str" cm="1">
        <f t="array" ref="V379">IFERROR(_xlfn.IFS(
T379="","",
--T379&lt;55,"Battery Defect",
--T379&lt;=69,"Battery D",
--T379&lt;=80,"Battery C",
--T379&gt;80,""
),"")</f>
        <v/>
      </c>
      <c r="W379" s="42"/>
      <c r="X379" s="42"/>
      <c r="Y379" s="42"/>
      <c r="Z379" s="42"/>
      <c r="AA379" s="42"/>
      <c r="AB379" s="42"/>
      <c r="AC379" s="42"/>
      <c r="AD379" s="42"/>
      <c r="AE379" s="32" t="str">
        <f t="shared" si="15"/>
        <v/>
      </c>
      <c r="AF379" s="32"/>
      <c r="AG379" s="32"/>
      <c r="AH379" s="32"/>
      <c r="AI379" s="32"/>
      <c r="AJ379" s="32"/>
      <c r="AK379" s="32"/>
      <c r="AL379" s="32"/>
      <c r="AM379" s="32"/>
    </row>
    <row r="380" spans="1:39">
      <c r="A380" s="32" t="str">
        <f>_xlfn.XLOOKUP(B380,Input!J:J,Input!G:G)&amp;""</f>
        <v/>
      </c>
      <c r="B380" s="32"/>
      <c r="C380" s="32" t="str">
        <f>_xlfn.XLOOKUP(B380,Input!J:J,Input!H:H)&amp;""</f>
        <v/>
      </c>
      <c r="D380" s="42">
        <f>_xlfn.XLOOKUP(B380,Input!J:J,Input!F:F)</f>
        <v>0</v>
      </c>
      <c r="E380" s="32">
        <f>_xlfn.XLOOKUP(D380,Models!H:H,Models!G:G,D380)</f>
        <v>0</v>
      </c>
      <c r="F380" s="32">
        <f>_xlfn.XLOOKUP(B380,Input!J:J,Input!E:E)</f>
        <v>0</v>
      </c>
      <c r="G380" s="32">
        <f>IF(F380="LENOVO",_xlfn.XLOOKUP(B380,Input!J:J,Input!K:K),_xlfn.XLOOKUP(B380,Input!J:J,Input!L:L))</f>
        <v>0</v>
      </c>
      <c r="H380" s="32"/>
      <c r="I380" s="32"/>
      <c r="J380" s="32"/>
      <c r="K380" s="42" t="e">
        <f>INDEX(Input!$D$2:$AC$500,
       MATCH(B380, Input!$J$2:$J$500, 0),
       MATCH("Total Memory", Input!$D$1:$AC$1, 0))</f>
        <v>#N/A</v>
      </c>
      <c r="L380" s="42"/>
      <c r="M380" s="42" t="str" cm="1">
        <f t="array" ref="M380">IFERROR(_xlfn.FILTERXML("&lt;t&gt;&lt;s&gt;" &amp; SUBSTITUTE(L380," / ","&lt;/s&gt;&lt;s&gt;") &amp; "&lt;/s&gt;&lt;/t&gt;","(//s[contains(.,'DDR')])[1]"),"")</f>
        <v/>
      </c>
      <c r="N380" s="32" t="e">
        <f t="shared" si="17"/>
        <v>#N/A</v>
      </c>
      <c r="O380" s="42" t="e">
        <f>INDEX(Input!$D$2:$AC$500,
       MATCH(B380, Input!$J$2:$J$500, 0),
       MATCH("Disk Interface Type", Input!$D$1:$AC$1, 0))</f>
        <v>#N/A</v>
      </c>
      <c r="P380" s="42" t="str" cm="1">
        <f t="array" ref="P380">IFERROR(_xlfn.TEXTJOIN(", ", TRUE, _xlfn._xlws.FILTER(
    INDEX(Input!$D$2:$AC$500,,MATCH("Disk Capacity",Input!$D$1:$AC$1,0)),
    Input!$J$2:$J$500=B380
)), "")</f>
        <v/>
      </c>
      <c r="Q380" s="32" t="e">
        <f t="shared" si="16"/>
        <v>#N/A</v>
      </c>
      <c r="R380" s="42" t="e">
        <f>_xlfn.LET(_xlpm.Result,INDEX(Input!$D$2:$AC$500,
       MATCH(B380, Input!$J$2:$J$500, 0),
       MATCH("Capacity", Input!$D$1:$AC$1, 0)),IF(_xlpm.Result="","",_xlpm.Result))</f>
        <v>#N/A</v>
      </c>
      <c r="S380" s="42" t="e" cm="1">
        <f t="array" ref="S380">_xlfn.TEXTSPLIT(R380," / ", ,TRUE,0,)</f>
        <v>#N/A</v>
      </c>
      <c r="T380" s="42"/>
      <c r="U380" s="42" t="str" cm="1">
        <f t="array" ref="U380">IFERROR(_xlfn.IFS(
S380="","",
--S380&lt;55,"Battery Defect",
--S380&lt;=69,"Battery D",
--S380&lt;=80,"Battery C",
--S380&gt;80,""
),"")</f>
        <v/>
      </c>
      <c r="V380" s="42" t="str" cm="1">
        <f t="array" ref="V380">IFERROR(_xlfn.IFS(
T380="","",
--T380&lt;55,"Battery Defect",
--T380&lt;=69,"Battery D",
--T380&lt;=80,"Battery C",
--T380&gt;80,""
),"")</f>
        <v/>
      </c>
      <c r="W380" s="42"/>
      <c r="X380" s="42"/>
      <c r="Y380" s="42"/>
      <c r="Z380" s="42"/>
      <c r="AA380" s="42"/>
      <c r="AB380" s="42"/>
      <c r="AC380" s="42"/>
      <c r="AD380" s="42"/>
      <c r="AE380" s="32" t="str">
        <f t="shared" si="15"/>
        <v/>
      </c>
      <c r="AF380" s="32"/>
      <c r="AG380" s="32"/>
      <c r="AH380" s="32"/>
      <c r="AI380" s="32"/>
      <c r="AJ380" s="32"/>
      <c r="AK380" s="32"/>
      <c r="AL380" s="32"/>
      <c r="AM380" s="32"/>
    </row>
    <row r="381" spans="1:39">
      <c r="A381" s="32" t="str">
        <f>_xlfn.XLOOKUP(B381,Input!J:J,Input!G:G)&amp;""</f>
        <v/>
      </c>
      <c r="B381" s="32"/>
      <c r="C381" s="32" t="str">
        <f>_xlfn.XLOOKUP(B381,Input!J:J,Input!H:H)&amp;""</f>
        <v/>
      </c>
      <c r="D381" s="42">
        <f>_xlfn.XLOOKUP(B381,Input!J:J,Input!F:F)</f>
        <v>0</v>
      </c>
      <c r="E381" s="32">
        <f>_xlfn.XLOOKUP(D381,Models!H:H,Models!G:G,D381)</f>
        <v>0</v>
      </c>
      <c r="F381" s="32">
        <f>_xlfn.XLOOKUP(B381,Input!J:J,Input!E:E)</f>
        <v>0</v>
      </c>
      <c r="G381" s="32">
        <f>IF(F381="LENOVO",_xlfn.XLOOKUP(B381,Input!J:J,Input!K:K),_xlfn.XLOOKUP(B381,Input!J:J,Input!L:L))</f>
        <v>0</v>
      </c>
      <c r="H381" s="32"/>
      <c r="I381" s="32"/>
      <c r="J381" s="32"/>
      <c r="K381" s="42" t="e">
        <f>INDEX(Input!$D$2:$AC$500,
       MATCH(B381, Input!$J$2:$J$500, 0),
       MATCH("Total Memory", Input!$D$1:$AC$1, 0))</f>
        <v>#N/A</v>
      </c>
      <c r="L381" s="42"/>
      <c r="M381" s="42" t="str" cm="1">
        <f t="array" ref="M381">IFERROR(_xlfn.FILTERXML("&lt;t&gt;&lt;s&gt;" &amp; SUBSTITUTE(L381," / ","&lt;/s&gt;&lt;s&gt;") &amp; "&lt;/s&gt;&lt;/t&gt;","(//s[contains(.,'DDR')])[1]"),"")</f>
        <v/>
      </c>
      <c r="N381" s="32" t="e">
        <f t="shared" si="17"/>
        <v>#N/A</v>
      </c>
      <c r="O381" s="42" t="e">
        <f>INDEX(Input!$D$2:$AC$500,
       MATCH(B381, Input!$J$2:$J$500, 0),
       MATCH("Disk Interface Type", Input!$D$1:$AC$1, 0))</f>
        <v>#N/A</v>
      </c>
      <c r="P381" s="42" t="str" cm="1">
        <f t="array" ref="P381">IFERROR(_xlfn.TEXTJOIN(", ", TRUE, _xlfn._xlws.FILTER(
    INDEX(Input!$D$2:$AC$500,,MATCH("Disk Capacity",Input!$D$1:$AC$1,0)),
    Input!$J$2:$J$500=B381
)), "")</f>
        <v/>
      </c>
      <c r="Q381" s="32" t="e">
        <f t="shared" si="16"/>
        <v>#N/A</v>
      </c>
      <c r="R381" s="42" t="e">
        <f>_xlfn.LET(_xlpm.Result,INDEX(Input!$D$2:$AC$500,
       MATCH(B381, Input!$J$2:$J$500, 0),
       MATCH("Capacity", Input!$D$1:$AC$1, 0)),IF(_xlpm.Result="","",_xlpm.Result))</f>
        <v>#N/A</v>
      </c>
      <c r="S381" s="42" t="e" cm="1">
        <f t="array" ref="S381">_xlfn.TEXTSPLIT(R381," / ", ,TRUE,0,)</f>
        <v>#N/A</v>
      </c>
      <c r="T381" s="42"/>
      <c r="U381" s="42" t="str" cm="1">
        <f t="array" ref="U381">IFERROR(_xlfn.IFS(
S381="","",
--S381&lt;55,"Battery Defect",
--S381&lt;=69,"Battery D",
--S381&lt;=80,"Battery C",
--S381&gt;80,""
),"")</f>
        <v/>
      </c>
      <c r="V381" s="42" t="str" cm="1">
        <f t="array" ref="V381">IFERROR(_xlfn.IFS(
T381="","",
--T381&lt;55,"Battery Defect",
--T381&lt;=69,"Battery D",
--T381&lt;=80,"Battery C",
--T381&gt;80,""
),"")</f>
        <v/>
      </c>
      <c r="W381" s="42"/>
      <c r="X381" s="42"/>
      <c r="Y381" s="42"/>
      <c r="Z381" s="42"/>
      <c r="AA381" s="42"/>
      <c r="AB381" s="42"/>
      <c r="AC381" s="42"/>
      <c r="AD381" s="42"/>
      <c r="AE381" s="32" t="str">
        <f t="shared" si="15"/>
        <v/>
      </c>
      <c r="AF381" s="32"/>
      <c r="AG381" s="32"/>
      <c r="AH381" s="32"/>
      <c r="AI381" s="32"/>
      <c r="AJ381" s="32"/>
      <c r="AK381" s="32"/>
      <c r="AL381" s="32"/>
      <c r="AM381" s="32"/>
    </row>
    <row r="382" spans="1:39">
      <c r="A382" s="32" t="str">
        <f>_xlfn.XLOOKUP(B382,Input!J:J,Input!G:G)&amp;""</f>
        <v/>
      </c>
      <c r="B382" s="32"/>
      <c r="C382" s="32" t="str">
        <f>_xlfn.XLOOKUP(B382,Input!J:J,Input!H:H)&amp;""</f>
        <v/>
      </c>
      <c r="D382" s="42">
        <f>_xlfn.XLOOKUP(B382,Input!J:J,Input!F:F)</f>
        <v>0</v>
      </c>
      <c r="E382" s="32">
        <f>_xlfn.XLOOKUP(D382,Models!H:H,Models!G:G,D382)</f>
        <v>0</v>
      </c>
      <c r="F382" s="32">
        <f>_xlfn.XLOOKUP(B382,Input!J:J,Input!E:E)</f>
        <v>0</v>
      </c>
      <c r="G382" s="32">
        <f>IF(F382="LENOVO",_xlfn.XLOOKUP(B382,Input!J:J,Input!K:K),_xlfn.XLOOKUP(B382,Input!J:J,Input!L:L))</f>
        <v>0</v>
      </c>
      <c r="H382" s="32"/>
      <c r="I382" s="32"/>
      <c r="J382" s="32"/>
      <c r="K382" s="42" t="e">
        <f>INDEX(Input!$D$2:$AC$500,
       MATCH(B382, Input!$J$2:$J$500, 0),
       MATCH("Total Memory", Input!$D$1:$AC$1, 0))</f>
        <v>#N/A</v>
      </c>
      <c r="L382" s="42"/>
      <c r="M382" s="42" t="str" cm="1">
        <f t="array" ref="M382">IFERROR(_xlfn.FILTERXML("&lt;t&gt;&lt;s&gt;" &amp; SUBSTITUTE(L382," / ","&lt;/s&gt;&lt;s&gt;") &amp; "&lt;/s&gt;&lt;/t&gt;","(//s[contains(.,'DDR')])[1]"),"")</f>
        <v/>
      </c>
      <c r="N382" s="32" t="e">
        <f t="shared" si="17"/>
        <v>#N/A</v>
      </c>
      <c r="O382" s="42" t="e">
        <f>INDEX(Input!$D$2:$AC$500,
       MATCH(B382, Input!$J$2:$J$500, 0),
       MATCH("Disk Interface Type", Input!$D$1:$AC$1, 0))</f>
        <v>#N/A</v>
      </c>
      <c r="P382" s="42" t="str" cm="1">
        <f t="array" ref="P382">IFERROR(_xlfn.TEXTJOIN(", ", TRUE, _xlfn._xlws.FILTER(
    INDEX(Input!$D$2:$AC$500,,MATCH("Disk Capacity",Input!$D$1:$AC$1,0)),
    Input!$J$2:$J$500=B382
)), "")</f>
        <v/>
      </c>
      <c r="Q382" s="32" t="e">
        <f t="shared" si="16"/>
        <v>#N/A</v>
      </c>
      <c r="R382" s="42" t="e">
        <f>_xlfn.LET(_xlpm.Result,INDEX(Input!$D$2:$AC$500,
       MATCH(B382, Input!$J$2:$J$500, 0),
       MATCH("Capacity", Input!$D$1:$AC$1, 0)),IF(_xlpm.Result="","",_xlpm.Result))</f>
        <v>#N/A</v>
      </c>
      <c r="S382" s="42" t="e" cm="1">
        <f t="array" ref="S382">_xlfn.TEXTSPLIT(R382," / ", ,TRUE,0,)</f>
        <v>#N/A</v>
      </c>
      <c r="T382" s="42"/>
      <c r="U382" s="42" t="str" cm="1">
        <f t="array" ref="U382">IFERROR(_xlfn.IFS(
S382="","",
--S382&lt;55,"Battery Defect",
--S382&lt;=69,"Battery D",
--S382&lt;=80,"Battery C",
--S382&gt;80,""
),"")</f>
        <v/>
      </c>
      <c r="V382" s="42" t="str" cm="1">
        <f t="array" ref="V382">IFERROR(_xlfn.IFS(
T382="","",
--T382&lt;55,"Battery Defect",
--T382&lt;=69,"Battery D",
--T382&lt;=80,"Battery C",
--T382&gt;80,""
),"")</f>
        <v/>
      </c>
      <c r="W382" s="42"/>
      <c r="X382" s="42"/>
      <c r="Y382" s="42"/>
      <c r="Z382" s="42"/>
      <c r="AA382" s="42"/>
      <c r="AB382" s="42"/>
      <c r="AC382" s="42"/>
      <c r="AD382" s="42"/>
      <c r="AE382" s="32" t="str">
        <f t="shared" si="15"/>
        <v/>
      </c>
      <c r="AF382" s="32"/>
      <c r="AG382" s="32"/>
      <c r="AH382" s="32"/>
      <c r="AI382" s="32"/>
      <c r="AJ382" s="32"/>
      <c r="AK382" s="32"/>
      <c r="AL382" s="32"/>
      <c r="AM382" s="32"/>
    </row>
    <row r="383" spans="1:39">
      <c r="A383" s="32" t="str">
        <f>_xlfn.XLOOKUP(B383,Input!J:J,Input!G:G)&amp;""</f>
        <v/>
      </c>
      <c r="B383" s="32"/>
      <c r="C383" s="32" t="str">
        <f>_xlfn.XLOOKUP(B383,Input!J:J,Input!H:H)&amp;""</f>
        <v/>
      </c>
      <c r="D383" s="42">
        <f>_xlfn.XLOOKUP(B383,Input!J:J,Input!F:F)</f>
        <v>0</v>
      </c>
      <c r="E383" s="32">
        <f>_xlfn.XLOOKUP(D383,Models!H:H,Models!G:G,D383)</f>
        <v>0</v>
      </c>
      <c r="F383" s="32">
        <f>_xlfn.XLOOKUP(B383,Input!J:J,Input!E:E)</f>
        <v>0</v>
      </c>
      <c r="G383" s="32">
        <f>IF(F383="LENOVO",_xlfn.XLOOKUP(B383,Input!J:J,Input!K:K),_xlfn.XLOOKUP(B383,Input!J:J,Input!L:L))</f>
        <v>0</v>
      </c>
      <c r="H383" s="32"/>
      <c r="I383" s="32"/>
      <c r="J383" s="32"/>
      <c r="K383" s="42" t="e">
        <f>INDEX(Input!$D$2:$AC$500,
       MATCH(B383, Input!$J$2:$J$500, 0),
       MATCH("Total Memory", Input!$D$1:$AC$1, 0))</f>
        <v>#N/A</v>
      </c>
      <c r="L383" s="42"/>
      <c r="M383" s="42" t="str" cm="1">
        <f t="array" ref="M383">IFERROR(_xlfn.FILTERXML("&lt;t&gt;&lt;s&gt;" &amp; SUBSTITUTE(L383," / ","&lt;/s&gt;&lt;s&gt;") &amp; "&lt;/s&gt;&lt;/t&gt;","(//s[contains(.,'DDR')])[1]"),"")</f>
        <v/>
      </c>
      <c r="N383" s="32" t="e">
        <f t="shared" si="17"/>
        <v>#N/A</v>
      </c>
      <c r="O383" s="42" t="e">
        <f>INDEX(Input!$D$2:$AC$500,
       MATCH(B383, Input!$J$2:$J$500, 0),
       MATCH("Disk Interface Type", Input!$D$1:$AC$1, 0))</f>
        <v>#N/A</v>
      </c>
      <c r="P383" s="42" t="str" cm="1">
        <f t="array" ref="P383">IFERROR(_xlfn.TEXTJOIN(", ", TRUE, _xlfn._xlws.FILTER(
    INDEX(Input!$D$2:$AC$500,,MATCH("Disk Capacity",Input!$D$1:$AC$1,0)),
    Input!$J$2:$J$500=B383
)), "")</f>
        <v/>
      </c>
      <c r="Q383" s="32" t="e">
        <f t="shared" si="16"/>
        <v>#N/A</v>
      </c>
      <c r="R383" s="42" t="e">
        <f>_xlfn.LET(_xlpm.Result,INDEX(Input!$D$2:$AC$500,
       MATCH(B383, Input!$J$2:$J$500, 0),
       MATCH("Capacity", Input!$D$1:$AC$1, 0)),IF(_xlpm.Result="","",_xlpm.Result))</f>
        <v>#N/A</v>
      </c>
      <c r="S383" s="42" t="e" cm="1">
        <f t="array" ref="S383">_xlfn.TEXTSPLIT(R383," / ", ,TRUE,0,)</f>
        <v>#N/A</v>
      </c>
      <c r="T383" s="42"/>
      <c r="U383" s="42" t="str" cm="1">
        <f t="array" ref="U383">IFERROR(_xlfn.IFS(
S383="","",
--S383&lt;55,"Battery Defect",
--S383&lt;=69,"Battery D",
--S383&lt;=80,"Battery C",
--S383&gt;80,""
),"")</f>
        <v/>
      </c>
      <c r="V383" s="42" t="str" cm="1">
        <f t="array" ref="V383">IFERROR(_xlfn.IFS(
T383="","",
--T383&lt;55,"Battery Defect",
--T383&lt;=69,"Battery D",
--T383&lt;=80,"Battery C",
--T383&gt;80,""
),"")</f>
        <v/>
      </c>
      <c r="W383" s="42"/>
      <c r="X383" s="42"/>
      <c r="Y383" s="42"/>
      <c r="Z383" s="42"/>
      <c r="AA383" s="42"/>
      <c r="AB383" s="42"/>
      <c r="AC383" s="42"/>
      <c r="AD383" s="42"/>
      <c r="AE383" s="32" t="str">
        <f t="shared" si="15"/>
        <v/>
      </c>
      <c r="AF383" s="32"/>
      <c r="AG383" s="32"/>
      <c r="AH383" s="32"/>
      <c r="AI383" s="32"/>
      <c r="AJ383" s="32"/>
      <c r="AK383" s="32"/>
      <c r="AL383" s="32"/>
      <c r="AM383" s="32"/>
    </row>
    <row r="384" spans="1:39">
      <c r="A384" s="32" t="str">
        <f>_xlfn.XLOOKUP(B384,Input!J:J,Input!G:G)&amp;""</f>
        <v/>
      </c>
      <c r="B384" s="32"/>
      <c r="C384" s="32" t="str">
        <f>_xlfn.XLOOKUP(B384,Input!J:J,Input!H:H)&amp;""</f>
        <v/>
      </c>
      <c r="D384" s="42">
        <f>_xlfn.XLOOKUP(B384,Input!J:J,Input!F:F)</f>
        <v>0</v>
      </c>
      <c r="E384" s="32">
        <f>_xlfn.XLOOKUP(D384,Models!H:H,Models!G:G,D384)</f>
        <v>0</v>
      </c>
      <c r="F384" s="32">
        <f>_xlfn.XLOOKUP(B384,Input!J:J,Input!E:E)</f>
        <v>0</v>
      </c>
      <c r="G384" s="32">
        <f>IF(F384="LENOVO",_xlfn.XLOOKUP(B384,Input!J:J,Input!K:K),_xlfn.XLOOKUP(B384,Input!J:J,Input!L:L))</f>
        <v>0</v>
      </c>
      <c r="H384" s="32"/>
      <c r="I384" s="32"/>
      <c r="J384" s="32"/>
      <c r="K384" s="42" t="e">
        <f>INDEX(Input!$D$2:$AC$500,
       MATCH(B384, Input!$J$2:$J$500, 0),
       MATCH("Total Memory", Input!$D$1:$AC$1, 0))</f>
        <v>#N/A</v>
      </c>
      <c r="L384" s="42"/>
      <c r="M384" s="42" t="str" cm="1">
        <f t="array" ref="M384">IFERROR(_xlfn.FILTERXML("&lt;t&gt;&lt;s&gt;" &amp; SUBSTITUTE(L384," / ","&lt;/s&gt;&lt;s&gt;") &amp; "&lt;/s&gt;&lt;/t&gt;","(//s[contains(.,'DDR')])[1]"),"")</f>
        <v/>
      </c>
      <c r="N384" s="32" t="e">
        <f t="shared" si="17"/>
        <v>#N/A</v>
      </c>
      <c r="O384" s="42" t="e">
        <f>INDEX(Input!$D$2:$AC$500,
       MATCH(B384, Input!$J$2:$J$500, 0),
       MATCH("Disk Interface Type", Input!$D$1:$AC$1, 0))</f>
        <v>#N/A</v>
      </c>
      <c r="P384" s="42" t="str" cm="1">
        <f t="array" ref="P384">IFERROR(_xlfn.TEXTJOIN(", ", TRUE, _xlfn._xlws.FILTER(
    INDEX(Input!$D$2:$AC$500,,MATCH("Disk Capacity",Input!$D$1:$AC$1,0)),
    Input!$J$2:$J$500=B384
)), "")</f>
        <v/>
      </c>
      <c r="Q384" s="32" t="e">
        <f t="shared" si="16"/>
        <v>#N/A</v>
      </c>
      <c r="R384" s="42" t="e">
        <f>_xlfn.LET(_xlpm.Result,INDEX(Input!$D$2:$AC$500,
       MATCH(B384, Input!$J$2:$J$500, 0),
       MATCH("Capacity", Input!$D$1:$AC$1, 0)),IF(_xlpm.Result="","",_xlpm.Result))</f>
        <v>#N/A</v>
      </c>
      <c r="S384" s="42" t="e" cm="1">
        <f t="array" ref="S384">_xlfn.TEXTSPLIT(R384," / ", ,TRUE,0,)</f>
        <v>#N/A</v>
      </c>
      <c r="T384" s="42"/>
      <c r="U384" s="42" t="str" cm="1">
        <f t="array" ref="U384">IFERROR(_xlfn.IFS(
S384="","",
--S384&lt;55,"Battery Defect",
--S384&lt;=69,"Battery D",
--S384&lt;=80,"Battery C",
--S384&gt;80,""
),"")</f>
        <v/>
      </c>
      <c r="V384" s="42" t="str" cm="1">
        <f t="array" ref="V384">IFERROR(_xlfn.IFS(
T384="","",
--T384&lt;55,"Battery Defect",
--T384&lt;=69,"Battery D",
--T384&lt;=80,"Battery C",
--T384&gt;80,""
),"")</f>
        <v/>
      </c>
      <c r="W384" s="42"/>
      <c r="X384" s="42"/>
      <c r="Y384" s="42"/>
      <c r="Z384" s="42"/>
      <c r="AA384" s="42"/>
      <c r="AB384" s="42"/>
      <c r="AC384" s="42"/>
      <c r="AD384" s="42"/>
      <c r="AE384" s="32" t="str">
        <f t="shared" si="15"/>
        <v/>
      </c>
      <c r="AF384" s="32"/>
      <c r="AG384" s="32"/>
      <c r="AH384" s="32"/>
      <c r="AI384" s="32"/>
      <c r="AJ384" s="32"/>
      <c r="AK384" s="32"/>
      <c r="AL384" s="32"/>
      <c r="AM384" s="32"/>
    </row>
    <row r="385" spans="1:39">
      <c r="A385" s="32" t="str">
        <f>_xlfn.XLOOKUP(B385,Input!J:J,Input!G:G)&amp;""</f>
        <v/>
      </c>
      <c r="B385" s="32"/>
      <c r="C385" s="32" t="str">
        <f>_xlfn.XLOOKUP(B385,Input!J:J,Input!H:H)&amp;""</f>
        <v/>
      </c>
      <c r="D385" s="42">
        <f>_xlfn.XLOOKUP(B385,Input!J:J,Input!F:F)</f>
        <v>0</v>
      </c>
      <c r="E385" s="32">
        <f>_xlfn.XLOOKUP(D385,Models!H:H,Models!G:G,D385)</f>
        <v>0</v>
      </c>
      <c r="F385" s="32">
        <f>_xlfn.XLOOKUP(B385,Input!J:J,Input!E:E)</f>
        <v>0</v>
      </c>
      <c r="G385" s="32">
        <f>IF(F385="LENOVO",_xlfn.XLOOKUP(B385,Input!J:J,Input!K:K),_xlfn.XLOOKUP(B385,Input!J:J,Input!L:L))</f>
        <v>0</v>
      </c>
      <c r="H385" s="32"/>
      <c r="I385" s="32"/>
      <c r="J385" s="32"/>
      <c r="K385" s="42" t="e">
        <f>INDEX(Input!$D$2:$AC$500,
       MATCH(B385, Input!$J$2:$J$500, 0),
       MATCH("Total Memory", Input!$D$1:$AC$1, 0))</f>
        <v>#N/A</v>
      </c>
      <c r="L385" s="42"/>
      <c r="M385" s="42" t="str" cm="1">
        <f t="array" ref="M385">IFERROR(_xlfn.FILTERXML("&lt;t&gt;&lt;s&gt;" &amp; SUBSTITUTE(L385," / ","&lt;/s&gt;&lt;s&gt;") &amp; "&lt;/s&gt;&lt;/t&gt;","(//s[contains(.,'DDR')])[1]"),"")</f>
        <v/>
      </c>
      <c r="N385" s="32" t="e">
        <f t="shared" si="17"/>
        <v>#N/A</v>
      </c>
      <c r="O385" s="42" t="e">
        <f>INDEX(Input!$D$2:$AC$500,
       MATCH(B385, Input!$J$2:$J$500, 0),
       MATCH("Disk Interface Type", Input!$D$1:$AC$1, 0))</f>
        <v>#N/A</v>
      </c>
      <c r="P385" s="42" t="str" cm="1">
        <f t="array" ref="P385">IFERROR(_xlfn.TEXTJOIN(", ", TRUE, _xlfn._xlws.FILTER(
    INDEX(Input!$D$2:$AC$500,,MATCH("Disk Capacity",Input!$D$1:$AC$1,0)),
    Input!$J$2:$J$500=B385
)), "")</f>
        <v/>
      </c>
      <c r="Q385" s="32" t="e">
        <f t="shared" si="16"/>
        <v>#N/A</v>
      </c>
      <c r="R385" s="42" t="e">
        <f>_xlfn.LET(_xlpm.Result,INDEX(Input!$D$2:$AC$500,
       MATCH(B385, Input!$J$2:$J$500, 0),
       MATCH("Capacity", Input!$D$1:$AC$1, 0)),IF(_xlpm.Result="","",_xlpm.Result))</f>
        <v>#N/A</v>
      </c>
      <c r="S385" s="42" t="e" cm="1">
        <f t="array" ref="S385">_xlfn.TEXTSPLIT(R385," / ", ,TRUE,0,)</f>
        <v>#N/A</v>
      </c>
      <c r="T385" s="42"/>
      <c r="U385" s="42" t="str" cm="1">
        <f t="array" ref="U385">IFERROR(_xlfn.IFS(
S385="","",
--S385&lt;55,"Battery Defect",
--S385&lt;=69,"Battery D",
--S385&lt;=80,"Battery C",
--S385&gt;80,""
),"")</f>
        <v/>
      </c>
      <c r="V385" s="42" t="str" cm="1">
        <f t="array" ref="V385">IFERROR(_xlfn.IFS(
T385="","",
--T385&lt;55,"Battery Defect",
--T385&lt;=69,"Battery D",
--T385&lt;=80,"Battery C",
--T385&gt;80,""
),"")</f>
        <v/>
      </c>
      <c r="W385" s="42"/>
      <c r="X385" s="42"/>
      <c r="Y385" s="42"/>
      <c r="Z385" s="42"/>
      <c r="AA385" s="42"/>
      <c r="AB385" s="42"/>
      <c r="AC385" s="42"/>
      <c r="AD385" s="42"/>
      <c r="AE385" s="32" t="str">
        <f t="shared" si="15"/>
        <v/>
      </c>
      <c r="AF385" s="32"/>
      <c r="AG385" s="32"/>
      <c r="AH385" s="32"/>
      <c r="AI385" s="32"/>
      <c r="AJ385" s="32"/>
      <c r="AK385" s="32"/>
      <c r="AL385" s="32"/>
      <c r="AM385" s="32"/>
    </row>
    <row r="386" spans="1:39">
      <c r="A386" s="32" t="str">
        <f>_xlfn.XLOOKUP(B386,Input!J:J,Input!G:G)&amp;""</f>
        <v/>
      </c>
      <c r="B386" s="32"/>
      <c r="C386" s="32" t="str">
        <f>_xlfn.XLOOKUP(B386,Input!J:J,Input!H:H)&amp;""</f>
        <v/>
      </c>
      <c r="D386" s="42">
        <f>_xlfn.XLOOKUP(B386,Input!J:J,Input!F:F)</f>
        <v>0</v>
      </c>
      <c r="E386" s="32">
        <f>_xlfn.XLOOKUP(D386,Models!H:H,Models!G:G,D386)</f>
        <v>0</v>
      </c>
      <c r="F386" s="32">
        <f>_xlfn.XLOOKUP(B386,Input!J:J,Input!E:E)</f>
        <v>0</v>
      </c>
      <c r="G386" s="32">
        <f>IF(F386="LENOVO",_xlfn.XLOOKUP(B386,Input!J:J,Input!K:K),_xlfn.XLOOKUP(B386,Input!J:J,Input!L:L))</f>
        <v>0</v>
      </c>
      <c r="H386" s="32"/>
      <c r="I386" s="32"/>
      <c r="J386" s="32"/>
      <c r="K386" s="42" t="e">
        <f>INDEX(Input!$D$2:$AC$500,
       MATCH(B386, Input!$J$2:$J$500, 0),
       MATCH("Total Memory", Input!$D$1:$AC$1, 0))</f>
        <v>#N/A</v>
      </c>
      <c r="L386" s="42"/>
      <c r="M386" s="42" t="str" cm="1">
        <f t="array" ref="M386">IFERROR(_xlfn.FILTERXML("&lt;t&gt;&lt;s&gt;" &amp; SUBSTITUTE(L386," / ","&lt;/s&gt;&lt;s&gt;") &amp; "&lt;/s&gt;&lt;/t&gt;","(//s[contains(.,'DDR')])[1]"),"")</f>
        <v/>
      </c>
      <c r="N386" s="32" t="e">
        <f t="shared" si="17"/>
        <v>#N/A</v>
      </c>
      <c r="O386" s="42" t="e">
        <f>INDEX(Input!$D$2:$AC$500,
       MATCH(B386, Input!$J$2:$J$500, 0),
       MATCH("Disk Interface Type", Input!$D$1:$AC$1, 0))</f>
        <v>#N/A</v>
      </c>
      <c r="P386" s="42" t="str" cm="1">
        <f t="array" ref="P386">IFERROR(_xlfn.TEXTJOIN(", ", TRUE, _xlfn._xlws.FILTER(
    INDEX(Input!$D$2:$AC$500,,MATCH("Disk Capacity",Input!$D$1:$AC$1,0)),
    Input!$J$2:$J$500=B386
)), "")</f>
        <v/>
      </c>
      <c r="Q386" s="32" t="e">
        <f t="shared" si="16"/>
        <v>#N/A</v>
      </c>
      <c r="R386" s="42" t="e">
        <f>_xlfn.LET(_xlpm.Result,INDEX(Input!$D$2:$AC$500,
       MATCH(B386, Input!$J$2:$J$500, 0),
       MATCH("Capacity", Input!$D$1:$AC$1, 0)),IF(_xlpm.Result="","",_xlpm.Result))</f>
        <v>#N/A</v>
      </c>
      <c r="S386" s="42" t="e" cm="1">
        <f t="array" ref="S386">_xlfn.TEXTSPLIT(R386," / ", ,TRUE,0,)</f>
        <v>#N/A</v>
      </c>
      <c r="T386" s="42"/>
      <c r="U386" s="42" t="str" cm="1">
        <f t="array" ref="U386">IFERROR(_xlfn.IFS(
S386="","",
--S386&lt;55,"Battery Defect",
--S386&lt;=69,"Battery D",
--S386&lt;=80,"Battery C",
--S386&gt;80,""
),"")</f>
        <v/>
      </c>
      <c r="V386" s="42" t="str" cm="1">
        <f t="array" ref="V386">IFERROR(_xlfn.IFS(
T386="","",
--T386&lt;55,"Battery Defect",
--T386&lt;=69,"Battery D",
--T386&lt;=80,"Battery C",
--T386&gt;80,""
),"")</f>
        <v/>
      </c>
      <c r="W386" s="42"/>
      <c r="X386" s="42"/>
      <c r="Y386" s="42"/>
      <c r="Z386" s="42"/>
      <c r="AA386" s="42"/>
      <c r="AB386" s="42"/>
      <c r="AC386" s="42"/>
      <c r="AD386" s="42"/>
      <c r="AE386" s="32" t="str">
        <f t="shared" ref="AE386:AE449" si="18">IF(E386="Laptop",_xlfn.TEXTJOIN(", ",TRUE,U386,V386,W386,X386,Y386,Z386,AA386,AB386), _xlfn.TEXTJOIN(", ",TRUE,W386,X386,Y386,Z386,AA386,AB386))</f>
        <v/>
      </c>
      <c r="AF386" s="32"/>
      <c r="AG386" s="32"/>
      <c r="AH386" s="32"/>
      <c r="AI386" s="32"/>
      <c r="AJ386" s="32"/>
      <c r="AK386" s="32"/>
      <c r="AL386" s="32"/>
      <c r="AM386" s="32"/>
    </row>
    <row r="387" spans="1:39">
      <c r="A387" s="32" t="str">
        <f>_xlfn.XLOOKUP(B387,Input!J:J,Input!G:G)&amp;""</f>
        <v/>
      </c>
      <c r="B387" s="32"/>
      <c r="C387" s="32" t="str">
        <f>_xlfn.XLOOKUP(B387,Input!J:J,Input!H:H)&amp;""</f>
        <v/>
      </c>
      <c r="D387" s="42">
        <f>_xlfn.XLOOKUP(B387,Input!J:J,Input!F:F)</f>
        <v>0</v>
      </c>
      <c r="E387" s="32">
        <f>_xlfn.XLOOKUP(D387,Models!H:H,Models!G:G,D387)</f>
        <v>0</v>
      </c>
      <c r="F387" s="32">
        <f>_xlfn.XLOOKUP(B387,Input!J:J,Input!E:E)</f>
        <v>0</v>
      </c>
      <c r="G387" s="32">
        <f>IF(F387="LENOVO",_xlfn.XLOOKUP(B387,Input!J:J,Input!K:K),_xlfn.XLOOKUP(B387,Input!J:J,Input!L:L))</f>
        <v>0</v>
      </c>
      <c r="H387" s="32"/>
      <c r="I387" s="32"/>
      <c r="J387" s="32"/>
      <c r="K387" s="42" t="e">
        <f>INDEX(Input!$D$2:$AC$500,
       MATCH(B387, Input!$J$2:$J$500, 0),
       MATCH("Total Memory", Input!$D$1:$AC$1, 0))</f>
        <v>#N/A</v>
      </c>
      <c r="L387" s="42"/>
      <c r="M387" s="42" t="str" cm="1">
        <f t="array" ref="M387">IFERROR(_xlfn.FILTERXML("&lt;t&gt;&lt;s&gt;" &amp; SUBSTITUTE(L387," / ","&lt;/s&gt;&lt;s&gt;") &amp; "&lt;/s&gt;&lt;/t&gt;","(//s[contains(.,'DDR')])[1]"),"")</f>
        <v/>
      </c>
      <c r="N387" s="32" t="e">
        <f t="shared" si="17"/>
        <v>#N/A</v>
      </c>
      <c r="O387" s="42" t="e">
        <f>INDEX(Input!$D$2:$AC$500,
       MATCH(B387, Input!$J$2:$J$500, 0),
       MATCH("Disk Interface Type", Input!$D$1:$AC$1, 0))</f>
        <v>#N/A</v>
      </c>
      <c r="P387" s="42" t="str" cm="1">
        <f t="array" ref="P387">IFERROR(_xlfn.TEXTJOIN(", ", TRUE, _xlfn._xlws.FILTER(
    INDEX(Input!$D$2:$AC$500,,MATCH("Disk Capacity",Input!$D$1:$AC$1,0)),
    Input!$J$2:$J$500=B387
)), "")</f>
        <v/>
      </c>
      <c r="Q387" s="32" t="e">
        <f t="shared" ref="Q387:Q450" si="19">_xlfn.TEXTJOIN(" ",TRUE,P387,O387)</f>
        <v>#N/A</v>
      </c>
      <c r="R387" s="42" t="e">
        <f>_xlfn.LET(_xlpm.Result,INDEX(Input!$D$2:$AC$500,
       MATCH(B387, Input!$J$2:$J$500, 0),
       MATCH("Capacity", Input!$D$1:$AC$1, 0)),IF(_xlpm.Result="","",_xlpm.Result))</f>
        <v>#N/A</v>
      </c>
      <c r="S387" s="42" t="e" cm="1">
        <f t="array" ref="S387">_xlfn.TEXTSPLIT(R387," / ", ,TRUE,0,)</f>
        <v>#N/A</v>
      </c>
      <c r="T387" s="42"/>
      <c r="U387" s="42" t="str" cm="1">
        <f t="array" ref="U387">IFERROR(_xlfn.IFS(
S387="","",
--S387&lt;55,"Battery Defect",
--S387&lt;=69,"Battery D",
--S387&lt;=80,"Battery C",
--S387&gt;80,""
),"")</f>
        <v/>
      </c>
      <c r="V387" s="42" t="str" cm="1">
        <f t="array" ref="V387">IFERROR(_xlfn.IFS(
T387="","",
--T387&lt;55,"Battery Defect",
--T387&lt;=69,"Battery D",
--T387&lt;=80,"Battery C",
--T387&gt;80,""
),"")</f>
        <v/>
      </c>
      <c r="W387" s="42"/>
      <c r="X387" s="42"/>
      <c r="Y387" s="42"/>
      <c r="Z387" s="42"/>
      <c r="AA387" s="42"/>
      <c r="AB387" s="42"/>
      <c r="AC387" s="42"/>
      <c r="AD387" s="42"/>
      <c r="AE387" s="32" t="str">
        <f t="shared" si="18"/>
        <v/>
      </c>
      <c r="AF387" s="32"/>
      <c r="AG387" s="32"/>
      <c r="AH387" s="32"/>
      <c r="AI387" s="32"/>
      <c r="AJ387" s="32"/>
      <c r="AK387" s="32"/>
      <c r="AL387" s="32"/>
      <c r="AM387" s="32"/>
    </row>
    <row r="388" spans="1:39">
      <c r="A388" s="32" t="str">
        <f>_xlfn.XLOOKUP(B388,Input!J:J,Input!G:G)&amp;""</f>
        <v/>
      </c>
      <c r="B388" s="32"/>
      <c r="C388" s="32" t="str">
        <f>_xlfn.XLOOKUP(B388,Input!J:J,Input!H:H)&amp;""</f>
        <v/>
      </c>
      <c r="D388" s="42">
        <f>_xlfn.XLOOKUP(B388,Input!J:J,Input!F:F)</f>
        <v>0</v>
      </c>
      <c r="E388" s="32">
        <f>_xlfn.XLOOKUP(D388,Models!H:H,Models!G:G,D388)</f>
        <v>0</v>
      </c>
      <c r="F388" s="32">
        <f>_xlfn.XLOOKUP(B388,Input!J:J,Input!E:E)</f>
        <v>0</v>
      </c>
      <c r="G388" s="32">
        <f>IF(F388="LENOVO",_xlfn.XLOOKUP(B388,Input!J:J,Input!K:K),_xlfn.XLOOKUP(B388,Input!J:J,Input!L:L))</f>
        <v>0</v>
      </c>
      <c r="H388" s="32"/>
      <c r="I388" s="32"/>
      <c r="J388" s="32"/>
      <c r="K388" s="42" t="e">
        <f>INDEX(Input!$D$2:$AC$500,
       MATCH(B388, Input!$J$2:$J$500, 0),
       MATCH("Total Memory", Input!$D$1:$AC$1, 0))</f>
        <v>#N/A</v>
      </c>
      <c r="L388" s="42"/>
      <c r="M388" s="42" t="str" cm="1">
        <f t="array" ref="M388">IFERROR(_xlfn.FILTERXML("&lt;t&gt;&lt;s&gt;" &amp; SUBSTITUTE(L388," / ","&lt;/s&gt;&lt;s&gt;") &amp; "&lt;/s&gt;&lt;/t&gt;","(//s[contains(.,'DDR')])[1]"),"")</f>
        <v/>
      </c>
      <c r="N388" s="32" t="e">
        <f t="shared" ref="N388:N451" si="20">_xlfn.TEXTJOIN(" ",TRUE,SUBSTITUTE(K388,"i",""),M388)</f>
        <v>#N/A</v>
      </c>
      <c r="O388" s="42" t="e">
        <f>INDEX(Input!$D$2:$AC$500,
       MATCH(B388, Input!$J$2:$J$500, 0),
       MATCH("Disk Interface Type", Input!$D$1:$AC$1, 0))</f>
        <v>#N/A</v>
      </c>
      <c r="P388" s="42" t="str" cm="1">
        <f t="array" ref="P388">IFERROR(_xlfn.TEXTJOIN(", ", TRUE, _xlfn._xlws.FILTER(
    INDEX(Input!$D$2:$AC$500,,MATCH("Disk Capacity",Input!$D$1:$AC$1,0)),
    Input!$J$2:$J$500=B388
)), "")</f>
        <v/>
      </c>
      <c r="Q388" s="32" t="e">
        <f t="shared" si="19"/>
        <v>#N/A</v>
      </c>
      <c r="R388" s="42" t="e">
        <f>_xlfn.LET(_xlpm.Result,INDEX(Input!$D$2:$AC$500,
       MATCH(B388, Input!$J$2:$J$500, 0),
       MATCH("Capacity", Input!$D$1:$AC$1, 0)),IF(_xlpm.Result="","",_xlpm.Result))</f>
        <v>#N/A</v>
      </c>
      <c r="S388" s="42" t="e" cm="1">
        <f t="array" ref="S388">_xlfn.TEXTSPLIT(R388," / ", ,TRUE,0,)</f>
        <v>#N/A</v>
      </c>
      <c r="T388" s="42"/>
      <c r="U388" s="42" t="str" cm="1">
        <f t="array" ref="U388">IFERROR(_xlfn.IFS(
S388="","",
--S388&lt;55,"Battery Defect",
--S388&lt;=69,"Battery D",
--S388&lt;=80,"Battery C",
--S388&gt;80,""
),"")</f>
        <v/>
      </c>
      <c r="V388" s="42" t="str" cm="1">
        <f t="array" ref="V388">IFERROR(_xlfn.IFS(
T388="","",
--T388&lt;55,"Battery Defect",
--T388&lt;=69,"Battery D",
--T388&lt;=80,"Battery C",
--T388&gt;80,""
),"")</f>
        <v/>
      </c>
      <c r="W388" s="42"/>
      <c r="X388" s="42"/>
      <c r="Y388" s="42"/>
      <c r="Z388" s="42"/>
      <c r="AA388" s="42"/>
      <c r="AB388" s="42"/>
      <c r="AC388" s="42"/>
      <c r="AD388" s="42"/>
      <c r="AE388" s="32" t="str">
        <f t="shared" si="18"/>
        <v/>
      </c>
      <c r="AF388" s="32"/>
      <c r="AG388" s="32"/>
      <c r="AH388" s="32"/>
      <c r="AI388" s="32"/>
      <c r="AJ388" s="32"/>
      <c r="AK388" s="32"/>
      <c r="AL388" s="32"/>
      <c r="AM388" s="32"/>
    </row>
    <row r="389" spans="1:39">
      <c r="A389" s="32" t="str">
        <f>_xlfn.XLOOKUP(B389,Input!J:J,Input!G:G)&amp;""</f>
        <v/>
      </c>
      <c r="B389" s="32"/>
      <c r="C389" s="32" t="str">
        <f>_xlfn.XLOOKUP(B389,Input!J:J,Input!H:H)&amp;""</f>
        <v/>
      </c>
      <c r="D389" s="42">
        <f>_xlfn.XLOOKUP(B389,Input!J:J,Input!F:F)</f>
        <v>0</v>
      </c>
      <c r="E389" s="32">
        <f>_xlfn.XLOOKUP(D389,Models!H:H,Models!G:G,D389)</f>
        <v>0</v>
      </c>
      <c r="F389" s="32">
        <f>_xlfn.XLOOKUP(B389,Input!J:J,Input!E:E)</f>
        <v>0</v>
      </c>
      <c r="G389" s="32">
        <f>IF(F389="LENOVO",_xlfn.XLOOKUP(B389,Input!J:J,Input!K:K),_xlfn.XLOOKUP(B389,Input!J:J,Input!L:L))</f>
        <v>0</v>
      </c>
      <c r="H389" s="32"/>
      <c r="I389" s="32"/>
      <c r="J389" s="32"/>
      <c r="K389" s="42" t="e">
        <f>INDEX(Input!$D$2:$AC$500,
       MATCH(B389, Input!$J$2:$J$500, 0),
       MATCH("Total Memory", Input!$D$1:$AC$1, 0))</f>
        <v>#N/A</v>
      </c>
      <c r="L389" s="42"/>
      <c r="M389" s="42" t="str" cm="1">
        <f t="array" ref="M389">IFERROR(_xlfn.FILTERXML("&lt;t&gt;&lt;s&gt;" &amp; SUBSTITUTE(L389," / ","&lt;/s&gt;&lt;s&gt;") &amp; "&lt;/s&gt;&lt;/t&gt;","(//s[contains(.,'DDR')])[1]"),"")</f>
        <v/>
      </c>
      <c r="N389" s="32" t="e">
        <f t="shared" si="20"/>
        <v>#N/A</v>
      </c>
      <c r="O389" s="42" t="e">
        <f>INDEX(Input!$D$2:$AC$500,
       MATCH(B389, Input!$J$2:$J$500, 0),
       MATCH("Disk Interface Type", Input!$D$1:$AC$1, 0))</f>
        <v>#N/A</v>
      </c>
      <c r="P389" s="42" t="str" cm="1">
        <f t="array" ref="P389">IFERROR(_xlfn.TEXTJOIN(", ", TRUE, _xlfn._xlws.FILTER(
    INDEX(Input!$D$2:$AC$500,,MATCH("Disk Capacity",Input!$D$1:$AC$1,0)),
    Input!$J$2:$J$500=B389
)), "")</f>
        <v/>
      </c>
      <c r="Q389" s="32" t="e">
        <f t="shared" si="19"/>
        <v>#N/A</v>
      </c>
      <c r="R389" s="42" t="e">
        <f>_xlfn.LET(_xlpm.Result,INDEX(Input!$D$2:$AC$500,
       MATCH(B389, Input!$J$2:$J$500, 0),
       MATCH("Capacity", Input!$D$1:$AC$1, 0)),IF(_xlpm.Result="","",_xlpm.Result))</f>
        <v>#N/A</v>
      </c>
      <c r="S389" s="42" t="e" cm="1">
        <f t="array" ref="S389">_xlfn.TEXTSPLIT(R389," / ", ,TRUE,0,)</f>
        <v>#N/A</v>
      </c>
      <c r="T389" s="42"/>
      <c r="U389" s="42" t="str" cm="1">
        <f t="array" ref="U389">IFERROR(_xlfn.IFS(
S389="","",
--S389&lt;55,"Battery Defect",
--S389&lt;=69,"Battery D",
--S389&lt;=80,"Battery C",
--S389&gt;80,""
),"")</f>
        <v/>
      </c>
      <c r="V389" s="42" t="str" cm="1">
        <f t="array" ref="V389">IFERROR(_xlfn.IFS(
T389="","",
--T389&lt;55,"Battery Defect",
--T389&lt;=69,"Battery D",
--T389&lt;=80,"Battery C",
--T389&gt;80,""
),"")</f>
        <v/>
      </c>
      <c r="W389" s="42"/>
      <c r="X389" s="42"/>
      <c r="Y389" s="42"/>
      <c r="Z389" s="42"/>
      <c r="AA389" s="42"/>
      <c r="AB389" s="42"/>
      <c r="AC389" s="42"/>
      <c r="AD389" s="42"/>
      <c r="AE389" s="32" t="str">
        <f t="shared" si="18"/>
        <v/>
      </c>
      <c r="AF389" s="32"/>
      <c r="AG389" s="32"/>
      <c r="AH389" s="32"/>
      <c r="AI389" s="32"/>
      <c r="AJ389" s="32"/>
      <c r="AK389" s="32"/>
      <c r="AL389" s="32"/>
      <c r="AM389" s="32"/>
    </row>
    <row r="390" spans="1:39">
      <c r="A390" s="32" t="str">
        <f>_xlfn.XLOOKUP(B390,Input!J:J,Input!G:G)&amp;""</f>
        <v/>
      </c>
      <c r="B390" s="32"/>
      <c r="C390" s="32" t="str">
        <f>_xlfn.XLOOKUP(B390,Input!J:J,Input!H:H)&amp;""</f>
        <v/>
      </c>
      <c r="D390" s="42">
        <f>_xlfn.XLOOKUP(B390,Input!J:J,Input!F:F)</f>
        <v>0</v>
      </c>
      <c r="E390" s="32">
        <f>_xlfn.XLOOKUP(D390,Models!H:H,Models!G:G,D390)</f>
        <v>0</v>
      </c>
      <c r="F390" s="32">
        <f>_xlfn.XLOOKUP(B390,Input!J:J,Input!E:E)</f>
        <v>0</v>
      </c>
      <c r="G390" s="32">
        <f>IF(F390="LENOVO",_xlfn.XLOOKUP(B390,Input!J:J,Input!K:K),_xlfn.XLOOKUP(B390,Input!J:J,Input!L:L))</f>
        <v>0</v>
      </c>
      <c r="H390" s="32"/>
      <c r="I390" s="32"/>
      <c r="J390" s="32"/>
      <c r="K390" s="42" t="e">
        <f>INDEX(Input!$D$2:$AC$500,
       MATCH(B390, Input!$J$2:$J$500, 0),
       MATCH("Total Memory", Input!$D$1:$AC$1, 0))</f>
        <v>#N/A</v>
      </c>
      <c r="L390" s="42"/>
      <c r="M390" s="42" t="str" cm="1">
        <f t="array" ref="M390">IFERROR(_xlfn.FILTERXML("&lt;t&gt;&lt;s&gt;" &amp; SUBSTITUTE(L390," / ","&lt;/s&gt;&lt;s&gt;") &amp; "&lt;/s&gt;&lt;/t&gt;","(//s[contains(.,'DDR')])[1]"),"")</f>
        <v/>
      </c>
      <c r="N390" s="32" t="e">
        <f t="shared" si="20"/>
        <v>#N/A</v>
      </c>
      <c r="O390" s="42" t="e">
        <f>INDEX(Input!$D$2:$AC$500,
       MATCH(B390, Input!$J$2:$J$500, 0),
       MATCH("Disk Interface Type", Input!$D$1:$AC$1, 0))</f>
        <v>#N/A</v>
      </c>
      <c r="P390" s="42" t="str" cm="1">
        <f t="array" ref="P390">IFERROR(_xlfn.TEXTJOIN(", ", TRUE, _xlfn._xlws.FILTER(
    INDEX(Input!$D$2:$AC$500,,MATCH("Disk Capacity",Input!$D$1:$AC$1,0)),
    Input!$J$2:$J$500=B390
)), "")</f>
        <v/>
      </c>
      <c r="Q390" s="32" t="e">
        <f t="shared" si="19"/>
        <v>#N/A</v>
      </c>
      <c r="R390" s="42" t="e">
        <f>_xlfn.LET(_xlpm.Result,INDEX(Input!$D$2:$AC$500,
       MATCH(B390, Input!$J$2:$J$500, 0),
       MATCH("Capacity", Input!$D$1:$AC$1, 0)),IF(_xlpm.Result="","",_xlpm.Result))</f>
        <v>#N/A</v>
      </c>
      <c r="S390" s="42" t="e" cm="1">
        <f t="array" ref="S390">_xlfn.TEXTSPLIT(R390," / ", ,TRUE,0,)</f>
        <v>#N/A</v>
      </c>
      <c r="T390" s="42"/>
      <c r="U390" s="42" t="str" cm="1">
        <f t="array" ref="U390">IFERROR(_xlfn.IFS(
S390="","",
--S390&lt;55,"Battery Defect",
--S390&lt;=69,"Battery D",
--S390&lt;=80,"Battery C",
--S390&gt;80,""
),"")</f>
        <v/>
      </c>
      <c r="V390" s="42" t="str" cm="1">
        <f t="array" ref="V390">IFERROR(_xlfn.IFS(
T390="","",
--T390&lt;55,"Battery Defect",
--T390&lt;=69,"Battery D",
--T390&lt;=80,"Battery C",
--T390&gt;80,""
),"")</f>
        <v/>
      </c>
      <c r="W390" s="42"/>
      <c r="X390" s="42"/>
      <c r="Y390" s="42"/>
      <c r="Z390" s="42"/>
      <c r="AA390" s="42"/>
      <c r="AB390" s="42"/>
      <c r="AC390" s="42"/>
      <c r="AD390" s="42"/>
      <c r="AE390" s="32" t="str">
        <f t="shared" si="18"/>
        <v/>
      </c>
      <c r="AF390" s="32"/>
      <c r="AG390" s="32"/>
      <c r="AH390" s="32"/>
      <c r="AI390" s="32"/>
      <c r="AJ390" s="32"/>
      <c r="AK390" s="32"/>
      <c r="AL390" s="32"/>
      <c r="AM390" s="32"/>
    </row>
    <row r="391" spans="1:39">
      <c r="A391" s="32" t="str">
        <f>_xlfn.XLOOKUP(B391,Input!J:J,Input!G:G)&amp;""</f>
        <v/>
      </c>
      <c r="B391" s="32"/>
      <c r="C391" s="32" t="str">
        <f>_xlfn.XLOOKUP(B391,Input!J:J,Input!H:H)&amp;""</f>
        <v/>
      </c>
      <c r="D391" s="42">
        <f>_xlfn.XLOOKUP(B391,Input!J:J,Input!F:F)</f>
        <v>0</v>
      </c>
      <c r="E391" s="32">
        <f>_xlfn.XLOOKUP(D391,Models!H:H,Models!G:G,D391)</f>
        <v>0</v>
      </c>
      <c r="F391" s="32">
        <f>_xlfn.XLOOKUP(B391,Input!J:J,Input!E:E)</f>
        <v>0</v>
      </c>
      <c r="G391" s="32">
        <f>IF(F391="LENOVO",_xlfn.XLOOKUP(B391,Input!J:J,Input!K:K),_xlfn.XLOOKUP(B391,Input!J:J,Input!L:L))</f>
        <v>0</v>
      </c>
      <c r="H391" s="32"/>
      <c r="I391" s="32"/>
      <c r="J391" s="32"/>
      <c r="K391" s="42" t="e">
        <f>INDEX(Input!$D$2:$AC$500,
       MATCH(B391, Input!$J$2:$J$500, 0),
       MATCH("Total Memory", Input!$D$1:$AC$1, 0))</f>
        <v>#N/A</v>
      </c>
      <c r="L391" s="42"/>
      <c r="M391" s="42" t="str" cm="1">
        <f t="array" ref="M391">IFERROR(_xlfn.FILTERXML("&lt;t&gt;&lt;s&gt;" &amp; SUBSTITUTE(L391," / ","&lt;/s&gt;&lt;s&gt;") &amp; "&lt;/s&gt;&lt;/t&gt;","(//s[contains(.,'DDR')])[1]"),"")</f>
        <v/>
      </c>
      <c r="N391" s="32" t="e">
        <f t="shared" si="20"/>
        <v>#N/A</v>
      </c>
      <c r="O391" s="42" t="e">
        <f>INDEX(Input!$D$2:$AC$500,
       MATCH(B391, Input!$J$2:$J$500, 0),
       MATCH("Disk Interface Type", Input!$D$1:$AC$1, 0))</f>
        <v>#N/A</v>
      </c>
      <c r="P391" s="42" t="str" cm="1">
        <f t="array" ref="P391">IFERROR(_xlfn.TEXTJOIN(", ", TRUE, _xlfn._xlws.FILTER(
    INDEX(Input!$D$2:$AC$500,,MATCH("Disk Capacity",Input!$D$1:$AC$1,0)),
    Input!$J$2:$J$500=B391
)), "")</f>
        <v/>
      </c>
      <c r="Q391" s="32" t="e">
        <f t="shared" si="19"/>
        <v>#N/A</v>
      </c>
      <c r="R391" s="42" t="e">
        <f>_xlfn.LET(_xlpm.Result,INDEX(Input!$D$2:$AC$500,
       MATCH(B391, Input!$J$2:$J$500, 0),
       MATCH("Capacity", Input!$D$1:$AC$1, 0)),IF(_xlpm.Result="","",_xlpm.Result))</f>
        <v>#N/A</v>
      </c>
      <c r="S391" s="42" t="e" cm="1">
        <f t="array" ref="S391">_xlfn.TEXTSPLIT(R391," / ", ,TRUE,0,)</f>
        <v>#N/A</v>
      </c>
      <c r="T391" s="42"/>
      <c r="U391" s="42" t="str" cm="1">
        <f t="array" ref="U391">IFERROR(_xlfn.IFS(
S391="","",
--S391&lt;55,"Battery Defect",
--S391&lt;=69,"Battery D",
--S391&lt;=80,"Battery C",
--S391&gt;80,""
),"")</f>
        <v/>
      </c>
      <c r="V391" s="42" t="str" cm="1">
        <f t="array" ref="V391">IFERROR(_xlfn.IFS(
T391="","",
--T391&lt;55,"Battery Defect",
--T391&lt;=69,"Battery D",
--T391&lt;=80,"Battery C",
--T391&gt;80,""
),"")</f>
        <v/>
      </c>
      <c r="W391" s="42"/>
      <c r="X391" s="42"/>
      <c r="Y391" s="42"/>
      <c r="Z391" s="42"/>
      <c r="AA391" s="42"/>
      <c r="AB391" s="42"/>
      <c r="AC391" s="42"/>
      <c r="AD391" s="42"/>
      <c r="AE391" s="32" t="str">
        <f t="shared" si="18"/>
        <v/>
      </c>
      <c r="AF391" s="32"/>
      <c r="AG391" s="32"/>
      <c r="AH391" s="32"/>
      <c r="AI391" s="32"/>
      <c r="AJ391" s="32"/>
      <c r="AK391" s="32"/>
      <c r="AL391" s="32"/>
      <c r="AM391" s="32"/>
    </row>
    <row r="392" spans="1:39">
      <c r="A392" s="32" t="str">
        <f>_xlfn.XLOOKUP(B392,Input!J:J,Input!G:G)&amp;""</f>
        <v/>
      </c>
      <c r="B392" s="32"/>
      <c r="C392" s="32" t="str">
        <f>_xlfn.XLOOKUP(B392,Input!J:J,Input!H:H)&amp;""</f>
        <v/>
      </c>
      <c r="D392" s="42">
        <f>_xlfn.XLOOKUP(B392,Input!J:J,Input!F:F)</f>
        <v>0</v>
      </c>
      <c r="E392" s="32">
        <f>_xlfn.XLOOKUP(D392,Models!H:H,Models!G:G,D392)</f>
        <v>0</v>
      </c>
      <c r="F392" s="32">
        <f>_xlfn.XLOOKUP(B392,Input!J:J,Input!E:E)</f>
        <v>0</v>
      </c>
      <c r="G392" s="32">
        <f>IF(F392="LENOVO",_xlfn.XLOOKUP(B392,Input!J:J,Input!K:K),_xlfn.XLOOKUP(B392,Input!J:J,Input!L:L))</f>
        <v>0</v>
      </c>
      <c r="H392" s="32"/>
      <c r="I392" s="32"/>
      <c r="J392" s="32"/>
      <c r="K392" s="42" t="e">
        <f>INDEX(Input!$D$2:$AC$500,
       MATCH(B392, Input!$J$2:$J$500, 0),
       MATCH("Total Memory", Input!$D$1:$AC$1, 0))</f>
        <v>#N/A</v>
      </c>
      <c r="L392" s="42"/>
      <c r="M392" s="42" t="str" cm="1">
        <f t="array" ref="M392">IFERROR(_xlfn.FILTERXML("&lt;t&gt;&lt;s&gt;" &amp; SUBSTITUTE(L392," / ","&lt;/s&gt;&lt;s&gt;") &amp; "&lt;/s&gt;&lt;/t&gt;","(//s[contains(.,'DDR')])[1]"),"")</f>
        <v/>
      </c>
      <c r="N392" s="32" t="e">
        <f t="shared" si="20"/>
        <v>#N/A</v>
      </c>
      <c r="O392" s="42" t="e">
        <f>INDEX(Input!$D$2:$AC$500,
       MATCH(B392, Input!$J$2:$J$500, 0),
       MATCH("Disk Interface Type", Input!$D$1:$AC$1, 0))</f>
        <v>#N/A</v>
      </c>
      <c r="P392" s="42" t="str" cm="1">
        <f t="array" ref="P392">IFERROR(_xlfn.TEXTJOIN(", ", TRUE, _xlfn._xlws.FILTER(
    INDEX(Input!$D$2:$AC$500,,MATCH("Disk Capacity",Input!$D$1:$AC$1,0)),
    Input!$J$2:$J$500=B392
)), "")</f>
        <v/>
      </c>
      <c r="Q392" s="32" t="e">
        <f t="shared" si="19"/>
        <v>#N/A</v>
      </c>
      <c r="R392" s="42" t="e">
        <f>_xlfn.LET(_xlpm.Result,INDEX(Input!$D$2:$AC$500,
       MATCH(B392, Input!$J$2:$J$500, 0),
       MATCH("Capacity", Input!$D$1:$AC$1, 0)),IF(_xlpm.Result="","",_xlpm.Result))</f>
        <v>#N/A</v>
      </c>
      <c r="S392" s="42" t="e" cm="1">
        <f t="array" ref="S392">_xlfn.TEXTSPLIT(R392," / ", ,TRUE,0,)</f>
        <v>#N/A</v>
      </c>
      <c r="T392" s="42"/>
      <c r="U392" s="42" t="str" cm="1">
        <f t="array" ref="U392">IFERROR(_xlfn.IFS(
S392="","",
--S392&lt;55,"Battery Defect",
--S392&lt;=69,"Battery D",
--S392&lt;=80,"Battery C",
--S392&gt;80,""
),"")</f>
        <v/>
      </c>
      <c r="V392" s="42" t="str" cm="1">
        <f t="array" ref="V392">IFERROR(_xlfn.IFS(
T392="","",
--T392&lt;55,"Battery Defect",
--T392&lt;=69,"Battery D",
--T392&lt;=80,"Battery C",
--T392&gt;80,""
),"")</f>
        <v/>
      </c>
      <c r="W392" s="42"/>
      <c r="X392" s="42"/>
      <c r="Y392" s="42"/>
      <c r="Z392" s="42"/>
      <c r="AA392" s="42"/>
      <c r="AB392" s="42"/>
      <c r="AC392" s="42"/>
      <c r="AD392" s="42"/>
      <c r="AE392" s="32" t="str">
        <f t="shared" si="18"/>
        <v/>
      </c>
      <c r="AF392" s="32"/>
      <c r="AG392" s="32"/>
      <c r="AH392" s="32"/>
      <c r="AI392" s="32"/>
      <c r="AJ392" s="32"/>
      <c r="AK392" s="32"/>
      <c r="AL392" s="32"/>
      <c r="AM392" s="32"/>
    </row>
    <row r="393" spans="1:39">
      <c r="A393" s="32" t="str">
        <f>_xlfn.XLOOKUP(B393,Input!J:J,Input!G:G)&amp;""</f>
        <v/>
      </c>
      <c r="B393" s="32"/>
      <c r="C393" s="32" t="str">
        <f>_xlfn.XLOOKUP(B393,Input!J:J,Input!H:H)&amp;""</f>
        <v/>
      </c>
      <c r="D393" s="42">
        <f>_xlfn.XLOOKUP(B393,Input!J:J,Input!F:F)</f>
        <v>0</v>
      </c>
      <c r="E393" s="32">
        <f>_xlfn.XLOOKUP(D393,Models!H:H,Models!G:G,D393)</f>
        <v>0</v>
      </c>
      <c r="F393" s="32">
        <f>_xlfn.XLOOKUP(B393,Input!J:J,Input!E:E)</f>
        <v>0</v>
      </c>
      <c r="G393" s="32">
        <f>IF(F393="LENOVO",_xlfn.XLOOKUP(B393,Input!J:J,Input!K:K),_xlfn.XLOOKUP(B393,Input!J:J,Input!L:L))</f>
        <v>0</v>
      </c>
      <c r="H393" s="32"/>
      <c r="I393" s="32"/>
      <c r="J393" s="32"/>
      <c r="K393" s="42" t="e">
        <f>INDEX(Input!$D$2:$AC$500,
       MATCH(B393, Input!$J$2:$J$500, 0),
       MATCH("Total Memory", Input!$D$1:$AC$1, 0))</f>
        <v>#N/A</v>
      </c>
      <c r="L393" s="42"/>
      <c r="M393" s="42" t="str" cm="1">
        <f t="array" ref="M393">IFERROR(_xlfn.FILTERXML("&lt;t&gt;&lt;s&gt;" &amp; SUBSTITUTE(L393," / ","&lt;/s&gt;&lt;s&gt;") &amp; "&lt;/s&gt;&lt;/t&gt;","(//s[contains(.,'DDR')])[1]"),"")</f>
        <v/>
      </c>
      <c r="N393" s="32" t="e">
        <f t="shared" si="20"/>
        <v>#N/A</v>
      </c>
      <c r="O393" s="42" t="e">
        <f>INDEX(Input!$D$2:$AC$500,
       MATCH(B393, Input!$J$2:$J$500, 0),
       MATCH("Disk Interface Type", Input!$D$1:$AC$1, 0))</f>
        <v>#N/A</v>
      </c>
      <c r="P393" s="42" t="str" cm="1">
        <f t="array" ref="P393">IFERROR(_xlfn.TEXTJOIN(", ", TRUE, _xlfn._xlws.FILTER(
    INDEX(Input!$D$2:$AC$500,,MATCH("Disk Capacity",Input!$D$1:$AC$1,0)),
    Input!$J$2:$J$500=B393
)), "")</f>
        <v/>
      </c>
      <c r="Q393" s="32" t="e">
        <f t="shared" si="19"/>
        <v>#N/A</v>
      </c>
      <c r="R393" s="42" t="e">
        <f>_xlfn.LET(_xlpm.Result,INDEX(Input!$D$2:$AC$500,
       MATCH(B393, Input!$J$2:$J$500, 0),
       MATCH("Capacity", Input!$D$1:$AC$1, 0)),IF(_xlpm.Result="","",_xlpm.Result))</f>
        <v>#N/A</v>
      </c>
      <c r="S393" s="42" t="e" cm="1">
        <f t="array" ref="S393">_xlfn.TEXTSPLIT(R393," / ", ,TRUE,0,)</f>
        <v>#N/A</v>
      </c>
      <c r="T393" s="42"/>
      <c r="U393" s="42" t="str" cm="1">
        <f t="array" ref="U393">IFERROR(_xlfn.IFS(
S393="","",
--S393&lt;55,"Battery Defect",
--S393&lt;=69,"Battery D",
--S393&lt;=80,"Battery C",
--S393&gt;80,""
),"")</f>
        <v/>
      </c>
      <c r="V393" s="42" t="str" cm="1">
        <f t="array" ref="V393">IFERROR(_xlfn.IFS(
T393="","",
--T393&lt;55,"Battery Defect",
--T393&lt;=69,"Battery D",
--T393&lt;=80,"Battery C",
--T393&gt;80,""
),"")</f>
        <v/>
      </c>
      <c r="W393" s="42"/>
      <c r="X393" s="42"/>
      <c r="Y393" s="42"/>
      <c r="Z393" s="42"/>
      <c r="AA393" s="42"/>
      <c r="AB393" s="42"/>
      <c r="AC393" s="42"/>
      <c r="AD393" s="42"/>
      <c r="AE393" s="32" t="str">
        <f t="shared" si="18"/>
        <v/>
      </c>
      <c r="AF393" s="32"/>
      <c r="AG393" s="32"/>
      <c r="AH393" s="32"/>
      <c r="AI393" s="32"/>
      <c r="AJ393" s="32"/>
      <c r="AK393" s="32"/>
      <c r="AL393" s="32"/>
      <c r="AM393" s="32"/>
    </row>
    <row r="394" spans="1:39">
      <c r="A394" s="32" t="str">
        <f>_xlfn.XLOOKUP(B394,Input!J:J,Input!G:G)&amp;""</f>
        <v/>
      </c>
      <c r="B394" s="32"/>
      <c r="C394" s="32" t="str">
        <f>_xlfn.XLOOKUP(B394,Input!J:J,Input!H:H)&amp;""</f>
        <v/>
      </c>
      <c r="D394" s="42">
        <f>_xlfn.XLOOKUP(B394,Input!J:J,Input!F:F)</f>
        <v>0</v>
      </c>
      <c r="E394" s="32">
        <f>_xlfn.XLOOKUP(D394,Models!H:H,Models!G:G,D394)</f>
        <v>0</v>
      </c>
      <c r="F394" s="32">
        <f>_xlfn.XLOOKUP(B394,Input!J:J,Input!E:E)</f>
        <v>0</v>
      </c>
      <c r="G394" s="32">
        <f>IF(F394="LENOVO",_xlfn.XLOOKUP(B394,Input!J:J,Input!K:K),_xlfn.XLOOKUP(B394,Input!J:J,Input!L:L))</f>
        <v>0</v>
      </c>
      <c r="H394" s="32"/>
      <c r="I394" s="32"/>
      <c r="J394" s="32"/>
      <c r="K394" s="42" t="e">
        <f>INDEX(Input!$D$2:$AC$500,
       MATCH(B394, Input!$J$2:$J$500, 0),
       MATCH("Total Memory", Input!$D$1:$AC$1, 0))</f>
        <v>#N/A</v>
      </c>
      <c r="L394" s="42"/>
      <c r="M394" s="42" t="str" cm="1">
        <f t="array" ref="M394">IFERROR(_xlfn.FILTERXML("&lt;t&gt;&lt;s&gt;" &amp; SUBSTITUTE(L394," / ","&lt;/s&gt;&lt;s&gt;") &amp; "&lt;/s&gt;&lt;/t&gt;","(//s[contains(.,'DDR')])[1]"),"")</f>
        <v/>
      </c>
      <c r="N394" s="32" t="e">
        <f t="shared" si="20"/>
        <v>#N/A</v>
      </c>
      <c r="O394" s="42" t="e">
        <f>INDEX(Input!$D$2:$AC$500,
       MATCH(B394, Input!$J$2:$J$500, 0),
       MATCH("Disk Interface Type", Input!$D$1:$AC$1, 0))</f>
        <v>#N/A</v>
      </c>
      <c r="P394" s="42" t="str" cm="1">
        <f t="array" ref="P394">IFERROR(_xlfn.TEXTJOIN(", ", TRUE, _xlfn._xlws.FILTER(
    INDEX(Input!$D$2:$AC$500,,MATCH("Disk Capacity",Input!$D$1:$AC$1,0)),
    Input!$J$2:$J$500=B394
)), "")</f>
        <v/>
      </c>
      <c r="Q394" s="32" t="e">
        <f t="shared" si="19"/>
        <v>#N/A</v>
      </c>
      <c r="R394" s="42" t="e">
        <f>_xlfn.LET(_xlpm.Result,INDEX(Input!$D$2:$AC$500,
       MATCH(B394, Input!$J$2:$J$500, 0),
       MATCH("Capacity", Input!$D$1:$AC$1, 0)),IF(_xlpm.Result="","",_xlpm.Result))</f>
        <v>#N/A</v>
      </c>
      <c r="S394" s="42" t="e" cm="1">
        <f t="array" ref="S394">_xlfn.TEXTSPLIT(R394," / ", ,TRUE,0,)</f>
        <v>#N/A</v>
      </c>
      <c r="T394" s="42"/>
      <c r="U394" s="42" t="str" cm="1">
        <f t="array" ref="U394">IFERROR(_xlfn.IFS(
S394="","",
--S394&lt;55,"Battery Defect",
--S394&lt;=69,"Battery D",
--S394&lt;=80,"Battery C",
--S394&gt;80,""
),"")</f>
        <v/>
      </c>
      <c r="V394" s="42" t="str" cm="1">
        <f t="array" ref="V394">IFERROR(_xlfn.IFS(
T394="","",
--T394&lt;55,"Battery Defect",
--T394&lt;=69,"Battery D",
--T394&lt;=80,"Battery C",
--T394&gt;80,""
),"")</f>
        <v/>
      </c>
      <c r="W394" s="42"/>
      <c r="X394" s="42"/>
      <c r="Y394" s="42"/>
      <c r="Z394" s="42"/>
      <c r="AA394" s="42"/>
      <c r="AB394" s="42"/>
      <c r="AC394" s="42"/>
      <c r="AD394" s="42"/>
      <c r="AE394" s="32" t="str">
        <f t="shared" si="18"/>
        <v/>
      </c>
      <c r="AF394" s="32"/>
      <c r="AG394" s="32"/>
      <c r="AH394" s="32"/>
      <c r="AI394" s="32"/>
      <c r="AJ394" s="32"/>
      <c r="AK394" s="32"/>
      <c r="AL394" s="32"/>
      <c r="AM394" s="32"/>
    </row>
    <row r="395" spans="1:39">
      <c r="A395" s="32" t="str">
        <f>_xlfn.XLOOKUP(B395,Input!J:J,Input!G:G)&amp;""</f>
        <v/>
      </c>
      <c r="B395" s="32"/>
      <c r="C395" s="32" t="str">
        <f>_xlfn.XLOOKUP(B395,Input!J:J,Input!H:H)&amp;""</f>
        <v/>
      </c>
      <c r="D395" s="42">
        <f>_xlfn.XLOOKUP(B395,Input!J:J,Input!F:F)</f>
        <v>0</v>
      </c>
      <c r="E395" s="32">
        <f>_xlfn.XLOOKUP(D395,Models!H:H,Models!G:G,D395)</f>
        <v>0</v>
      </c>
      <c r="F395" s="32">
        <f>_xlfn.XLOOKUP(B395,Input!J:J,Input!E:E)</f>
        <v>0</v>
      </c>
      <c r="G395" s="32">
        <f>IF(F395="LENOVO",_xlfn.XLOOKUP(B395,Input!J:J,Input!K:K),_xlfn.XLOOKUP(B395,Input!J:J,Input!L:L))</f>
        <v>0</v>
      </c>
      <c r="H395" s="32"/>
      <c r="I395" s="32"/>
      <c r="J395" s="32"/>
      <c r="K395" s="42" t="e">
        <f>INDEX(Input!$D$2:$AC$500,
       MATCH(B395, Input!$J$2:$J$500, 0),
       MATCH("Total Memory", Input!$D$1:$AC$1, 0))</f>
        <v>#N/A</v>
      </c>
      <c r="L395" s="42"/>
      <c r="M395" s="42" t="str" cm="1">
        <f t="array" ref="M395">IFERROR(_xlfn.FILTERXML("&lt;t&gt;&lt;s&gt;" &amp; SUBSTITUTE(L395," / ","&lt;/s&gt;&lt;s&gt;") &amp; "&lt;/s&gt;&lt;/t&gt;","(//s[contains(.,'DDR')])[1]"),"")</f>
        <v/>
      </c>
      <c r="N395" s="32" t="e">
        <f t="shared" si="20"/>
        <v>#N/A</v>
      </c>
      <c r="O395" s="42" t="e">
        <f>INDEX(Input!$D$2:$AC$500,
       MATCH(B395, Input!$J$2:$J$500, 0),
       MATCH("Disk Interface Type", Input!$D$1:$AC$1, 0))</f>
        <v>#N/A</v>
      </c>
      <c r="P395" s="42" t="str" cm="1">
        <f t="array" ref="P395">IFERROR(_xlfn.TEXTJOIN(", ", TRUE, _xlfn._xlws.FILTER(
    INDEX(Input!$D$2:$AC$500,,MATCH("Disk Capacity",Input!$D$1:$AC$1,0)),
    Input!$J$2:$J$500=B395
)), "")</f>
        <v/>
      </c>
      <c r="Q395" s="32" t="e">
        <f t="shared" si="19"/>
        <v>#N/A</v>
      </c>
      <c r="R395" s="42" t="e">
        <f>_xlfn.LET(_xlpm.Result,INDEX(Input!$D$2:$AC$500,
       MATCH(B395, Input!$J$2:$J$500, 0),
       MATCH("Capacity", Input!$D$1:$AC$1, 0)),IF(_xlpm.Result="","",_xlpm.Result))</f>
        <v>#N/A</v>
      </c>
      <c r="S395" s="42" t="e" cm="1">
        <f t="array" ref="S395">_xlfn.TEXTSPLIT(R395," / ", ,TRUE,0,)</f>
        <v>#N/A</v>
      </c>
      <c r="T395" s="42"/>
      <c r="U395" s="42" t="str" cm="1">
        <f t="array" ref="U395">IFERROR(_xlfn.IFS(
S395="","",
--S395&lt;55,"Battery Defect",
--S395&lt;=69,"Battery D",
--S395&lt;=80,"Battery C",
--S395&gt;80,""
),"")</f>
        <v/>
      </c>
      <c r="V395" s="42" t="str" cm="1">
        <f t="array" ref="V395">IFERROR(_xlfn.IFS(
T395="","",
--T395&lt;55,"Battery Defect",
--T395&lt;=69,"Battery D",
--T395&lt;=80,"Battery C",
--T395&gt;80,""
),"")</f>
        <v/>
      </c>
      <c r="W395" s="42"/>
      <c r="X395" s="42"/>
      <c r="Y395" s="42"/>
      <c r="Z395" s="42"/>
      <c r="AA395" s="42"/>
      <c r="AB395" s="42"/>
      <c r="AC395" s="42"/>
      <c r="AD395" s="42"/>
      <c r="AE395" s="32" t="str">
        <f t="shared" si="18"/>
        <v/>
      </c>
      <c r="AF395" s="32"/>
      <c r="AG395" s="32"/>
      <c r="AH395" s="32"/>
      <c r="AI395" s="32"/>
      <c r="AJ395" s="32"/>
      <c r="AK395" s="32"/>
      <c r="AL395" s="32"/>
      <c r="AM395" s="32"/>
    </row>
    <row r="396" spans="1:39">
      <c r="A396" s="32" t="str">
        <f>_xlfn.XLOOKUP(B396,Input!J:J,Input!G:G)&amp;""</f>
        <v/>
      </c>
      <c r="B396" s="32"/>
      <c r="C396" s="32" t="str">
        <f>_xlfn.XLOOKUP(B396,Input!J:J,Input!H:H)&amp;""</f>
        <v/>
      </c>
      <c r="D396" s="42">
        <f>_xlfn.XLOOKUP(B396,Input!J:J,Input!F:F)</f>
        <v>0</v>
      </c>
      <c r="E396" s="32">
        <f>_xlfn.XLOOKUP(D396,Models!H:H,Models!G:G,D396)</f>
        <v>0</v>
      </c>
      <c r="F396" s="32">
        <f>_xlfn.XLOOKUP(B396,Input!J:J,Input!E:E)</f>
        <v>0</v>
      </c>
      <c r="G396" s="32">
        <f>IF(F396="LENOVO",_xlfn.XLOOKUP(B396,Input!J:J,Input!K:K),_xlfn.XLOOKUP(B396,Input!J:J,Input!L:L))</f>
        <v>0</v>
      </c>
      <c r="H396" s="32"/>
      <c r="I396" s="32"/>
      <c r="J396" s="32"/>
      <c r="K396" s="42" t="e">
        <f>INDEX(Input!$D$2:$AC$500,
       MATCH(B396, Input!$J$2:$J$500, 0),
       MATCH("Total Memory", Input!$D$1:$AC$1, 0))</f>
        <v>#N/A</v>
      </c>
      <c r="L396" s="42"/>
      <c r="M396" s="42" t="str" cm="1">
        <f t="array" ref="M396">IFERROR(_xlfn.FILTERXML("&lt;t&gt;&lt;s&gt;" &amp; SUBSTITUTE(L396," / ","&lt;/s&gt;&lt;s&gt;") &amp; "&lt;/s&gt;&lt;/t&gt;","(//s[contains(.,'DDR')])[1]"),"")</f>
        <v/>
      </c>
      <c r="N396" s="32" t="e">
        <f t="shared" si="20"/>
        <v>#N/A</v>
      </c>
      <c r="O396" s="42" t="e">
        <f>INDEX(Input!$D$2:$AC$500,
       MATCH(B396, Input!$J$2:$J$500, 0),
       MATCH("Disk Interface Type", Input!$D$1:$AC$1, 0))</f>
        <v>#N/A</v>
      </c>
      <c r="P396" s="42" t="str" cm="1">
        <f t="array" ref="P396">IFERROR(_xlfn.TEXTJOIN(", ", TRUE, _xlfn._xlws.FILTER(
    INDEX(Input!$D$2:$AC$500,,MATCH("Disk Capacity",Input!$D$1:$AC$1,0)),
    Input!$J$2:$J$500=B396
)), "")</f>
        <v/>
      </c>
      <c r="Q396" s="32" t="e">
        <f t="shared" si="19"/>
        <v>#N/A</v>
      </c>
      <c r="R396" s="42" t="e">
        <f>_xlfn.LET(_xlpm.Result,INDEX(Input!$D$2:$AC$500,
       MATCH(B396, Input!$J$2:$J$500, 0),
       MATCH("Capacity", Input!$D$1:$AC$1, 0)),IF(_xlpm.Result="","",_xlpm.Result))</f>
        <v>#N/A</v>
      </c>
      <c r="S396" s="42" t="e" cm="1">
        <f t="array" ref="S396">_xlfn.TEXTSPLIT(R396," / ", ,TRUE,0,)</f>
        <v>#N/A</v>
      </c>
      <c r="T396" s="42"/>
      <c r="U396" s="42" t="str" cm="1">
        <f t="array" ref="U396">IFERROR(_xlfn.IFS(
S396="","",
--S396&lt;55,"Battery Defect",
--S396&lt;=69,"Battery D",
--S396&lt;=80,"Battery C",
--S396&gt;80,""
),"")</f>
        <v/>
      </c>
      <c r="V396" s="42" t="str" cm="1">
        <f t="array" ref="V396">IFERROR(_xlfn.IFS(
T396="","",
--T396&lt;55,"Battery Defect",
--T396&lt;=69,"Battery D",
--T396&lt;=80,"Battery C",
--T396&gt;80,""
),"")</f>
        <v/>
      </c>
      <c r="W396" s="42"/>
      <c r="X396" s="42"/>
      <c r="Y396" s="42"/>
      <c r="Z396" s="42"/>
      <c r="AA396" s="42"/>
      <c r="AB396" s="42"/>
      <c r="AC396" s="42"/>
      <c r="AD396" s="42"/>
      <c r="AE396" s="32" t="str">
        <f t="shared" si="18"/>
        <v/>
      </c>
      <c r="AF396" s="32"/>
      <c r="AG396" s="32"/>
      <c r="AH396" s="32"/>
      <c r="AI396" s="32"/>
      <c r="AJ396" s="32"/>
      <c r="AK396" s="32"/>
      <c r="AL396" s="32"/>
      <c r="AM396" s="32"/>
    </row>
    <row r="397" spans="1:39">
      <c r="A397" s="32" t="str">
        <f>_xlfn.XLOOKUP(B397,Input!J:J,Input!G:G)&amp;""</f>
        <v/>
      </c>
      <c r="B397" s="32"/>
      <c r="C397" s="32" t="str">
        <f>_xlfn.XLOOKUP(B397,Input!J:J,Input!H:H)&amp;""</f>
        <v/>
      </c>
      <c r="D397" s="42">
        <f>_xlfn.XLOOKUP(B397,Input!J:J,Input!F:F)</f>
        <v>0</v>
      </c>
      <c r="E397" s="32">
        <f>_xlfn.XLOOKUP(D397,Models!H:H,Models!G:G,D397)</f>
        <v>0</v>
      </c>
      <c r="F397" s="32">
        <f>_xlfn.XLOOKUP(B397,Input!J:J,Input!E:E)</f>
        <v>0</v>
      </c>
      <c r="G397" s="32">
        <f>IF(F397="LENOVO",_xlfn.XLOOKUP(B397,Input!J:J,Input!K:K),_xlfn.XLOOKUP(B397,Input!J:J,Input!L:L))</f>
        <v>0</v>
      </c>
      <c r="H397" s="32"/>
      <c r="I397" s="32"/>
      <c r="J397" s="32"/>
      <c r="K397" s="42" t="e">
        <f>INDEX(Input!$D$2:$AC$500,
       MATCH(B397, Input!$J$2:$J$500, 0),
       MATCH("Total Memory", Input!$D$1:$AC$1, 0))</f>
        <v>#N/A</v>
      </c>
      <c r="L397" s="42"/>
      <c r="M397" s="42" t="str" cm="1">
        <f t="array" ref="M397">IFERROR(_xlfn.FILTERXML("&lt;t&gt;&lt;s&gt;" &amp; SUBSTITUTE(L397," / ","&lt;/s&gt;&lt;s&gt;") &amp; "&lt;/s&gt;&lt;/t&gt;","(//s[contains(.,'DDR')])[1]"),"")</f>
        <v/>
      </c>
      <c r="N397" s="32" t="e">
        <f t="shared" si="20"/>
        <v>#N/A</v>
      </c>
      <c r="O397" s="42" t="e">
        <f>INDEX(Input!$D$2:$AC$500,
       MATCH(B397, Input!$J$2:$J$500, 0),
       MATCH("Disk Interface Type", Input!$D$1:$AC$1, 0))</f>
        <v>#N/A</v>
      </c>
      <c r="P397" s="42" t="str" cm="1">
        <f t="array" ref="P397">IFERROR(_xlfn.TEXTJOIN(", ", TRUE, _xlfn._xlws.FILTER(
    INDEX(Input!$D$2:$AC$500,,MATCH("Disk Capacity",Input!$D$1:$AC$1,0)),
    Input!$J$2:$J$500=B397
)), "")</f>
        <v/>
      </c>
      <c r="Q397" s="32" t="e">
        <f t="shared" si="19"/>
        <v>#N/A</v>
      </c>
      <c r="R397" s="42" t="e">
        <f>_xlfn.LET(_xlpm.Result,INDEX(Input!$D$2:$AC$500,
       MATCH(B397, Input!$J$2:$J$500, 0),
       MATCH("Capacity", Input!$D$1:$AC$1, 0)),IF(_xlpm.Result="","",_xlpm.Result))</f>
        <v>#N/A</v>
      </c>
      <c r="S397" s="42" t="e" cm="1">
        <f t="array" ref="S397">_xlfn.TEXTSPLIT(R397," / ", ,TRUE,0,)</f>
        <v>#N/A</v>
      </c>
      <c r="T397" s="42"/>
      <c r="U397" s="42" t="str" cm="1">
        <f t="array" ref="U397">IFERROR(_xlfn.IFS(
S397="","",
--S397&lt;55,"Battery Defect",
--S397&lt;=69,"Battery D",
--S397&lt;=80,"Battery C",
--S397&gt;80,""
),"")</f>
        <v/>
      </c>
      <c r="V397" s="42" t="str" cm="1">
        <f t="array" ref="V397">IFERROR(_xlfn.IFS(
T397="","",
--T397&lt;55,"Battery Defect",
--T397&lt;=69,"Battery D",
--T397&lt;=80,"Battery C",
--T397&gt;80,""
),"")</f>
        <v/>
      </c>
      <c r="W397" s="42"/>
      <c r="X397" s="42"/>
      <c r="Y397" s="42"/>
      <c r="Z397" s="42"/>
      <c r="AA397" s="42"/>
      <c r="AB397" s="42"/>
      <c r="AC397" s="42"/>
      <c r="AD397" s="42"/>
      <c r="AE397" s="32" t="str">
        <f t="shared" si="18"/>
        <v/>
      </c>
      <c r="AF397" s="32"/>
      <c r="AG397" s="32"/>
      <c r="AH397" s="32"/>
      <c r="AI397" s="32"/>
      <c r="AJ397" s="32"/>
      <c r="AK397" s="32"/>
      <c r="AL397" s="32"/>
      <c r="AM397" s="32"/>
    </row>
    <row r="398" spans="1:39">
      <c r="A398" s="32" t="str">
        <f>_xlfn.XLOOKUP(B398,Input!J:J,Input!G:G)&amp;""</f>
        <v/>
      </c>
      <c r="B398" s="32"/>
      <c r="C398" s="32" t="str">
        <f>_xlfn.XLOOKUP(B398,Input!J:J,Input!H:H)&amp;""</f>
        <v/>
      </c>
      <c r="D398" s="42">
        <f>_xlfn.XLOOKUP(B398,Input!J:J,Input!F:F)</f>
        <v>0</v>
      </c>
      <c r="E398" s="32">
        <f>_xlfn.XLOOKUP(D398,Models!H:H,Models!G:G,D398)</f>
        <v>0</v>
      </c>
      <c r="F398" s="32">
        <f>_xlfn.XLOOKUP(B398,Input!J:J,Input!E:E)</f>
        <v>0</v>
      </c>
      <c r="G398" s="32">
        <f>IF(F398="LENOVO",_xlfn.XLOOKUP(B398,Input!J:J,Input!K:K),_xlfn.XLOOKUP(B398,Input!J:J,Input!L:L))</f>
        <v>0</v>
      </c>
      <c r="H398" s="32"/>
      <c r="I398" s="32"/>
      <c r="J398" s="32"/>
      <c r="K398" s="42" t="e">
        <f>INDEX(Input!$D$2:$AC$500,
       MATCH(B398, Input!$J$2:$J$500, 0),
       MATCH("Total Memory", Input!$D$1:$AC$1, 0))</f>
        <v>#N/A</v>
      </c>
      <c r="L398" s="42"/>
      <c r="M398" s="42" t="str" cm="1">
        <f t="array" ref="M398">IFERROR(_xlfn.FILTERXML("&lt;t&gt;&lt;s&gt;" &amp; SUBSTITUTE(L398," / ","&lt;/s&gt;&lt;s&gt;") &amp; "&lt;/s&gt;&lt;/t&gt;","(//s[contains(.,'DDR')])[1]"),"")</f>
        <v/>
      </c>
      <c r="N398" s="32" t="e">
        <f t="shared" si="20"/>
        <v>#N/A</v>
      </c>
      <c r="O398" s="42" t="e">
        <f>INDEX(Input!$D$2:$AC$500,
       MATCH(B398, Input!$J$2:$J$500, 0),
       MATCH("Disk Interface Type", Input!$D$1:$AC$1, 0))</f>
        <v>#N/A</v>
      </c>
      <c r="P398" s="42" t="str" cm="1">
        <f t="array" ref="P398">IFERROR(_xlfn.TEXTJOIN(", ", TRUE, _xlfn._xlws.FILTER(
    INDEX(Input!$D$2:$AC$500,,MATCH("Disk Capacity",Input!$D$1:$AC$1,0)),
    Input!$J$2:$J$500=B398
)), "")</f>
        <v/>
      </c>
      <c r="Q398" s="32" t="e">
        <f t="shared" si="19"/>
        <v>#N/A</v>
      </c>
      <c r="R398" s="42" t="e">
        <f>_xlfn.LET(_xlpm.Result,INDEX(Input!$D$2:$AC$500,
       MATCH(B398, Input!$J$2:$J$500, 0),
       MATCH("Capacity", Input!$D$1:$AC$1, 0)),IF(_xlpm.Result="","",_xlpm.Result))</f>
        <v>#N/A</v>
      </c>
      <c r="S398" s="42" t="e" cm="1">
        <f t="array" ref="S398">_xlfn.TEXTSPLIT(R398," / ", ,TRUE,0,)</f>
        <v>#N/A</v>
      </c>
      <c r="T398" s="42"/>
      <c r="U398" s="42" t="str" cm="1">
        <f t="array" ref="U398">IFERROR(_xlfn.IFS(
S398="","",
--S398&lt;55,"Battery Defect",
--S398&lt;=69,"Battery D",
--S398&lt;=80,"Battery C",
--S398&gt;80,""
),"")</f>
        <v/>
      </c>
      <c r="V398" s="42" t="str" cm="1">
        <f t="array" ref="V398">IFERROR(_xlfn.IFS(
T398="","",
--T398&lt;55,"Battery Defect",
--T398&lt;=69,"Battery D",
--T398&lt;=80,"Battery C",
--T398&gt;80,""
),"")</f>
        <v/>
      </c>
      <c r="W398" s="42"/>
      <c r="X398" s="42"/>
      <c r="Y398" s="42"/>
      <c r="Z398" s="42"/>
      <c r="AA398" s="42"/>
      <c r="AB398" s="42"/>
      <c r="AC398" s="42"/>
      <c r="AD398" s="42"/>
      <c r="AE398" s="32" t="str">
        <f t="shared" si="18"/>
        <v/>
      </c>
      <c r="AF398" s="32"/>
      <c r="AG398" s="32"/>
      <c r="AH398" s="32"/>
      <c r="AI398" s="32"/>
      <c r="AJ398" s="32"/>
      <c r="AK398" s="32"/>
      <c r="AL398" s="32"/>
      <c r="AM398" s="32"/>
    </row>
    <row r="399" spans="1:39">
      <c r="A399" s="32" t="str">
        <f>_xlfn.XLOOKUP(B399,Input!J:J,Input!G:G)&amp;""</f>
        <v/>
      </c>
      <c r="B399" s="32"/>
      <c r="C399" s="32" t="str">
        <f>_xlfn.XLOOKUP(B399,Input!J:J,Input!H:H)&amp;""</f>
        <v/>
      </c>
      <c r="D399" s="42">
        <f>_xlfn.XLOOKUP(B399,Input!J:J,Input!F:F)</f>
        <v>0</v>
      </c>
      <c r="E399" s="32">
        <f>_xlfn.XLOOKUP(D399,Models!H:H,Models!G:G,D399)</f>
        <v>0</v>
      </c>
      <c r="F399" s="32">
        <f>_xlfn.XLOOKUP(B399,Input!J:J,Input!E:E)</f>
        <v>0</v>
      </c>
      <c r="G399" s="32">
        <f>IF(F399="LENOVO",_xlfn.XLOOKUP(B399,Input!J:J,Input!K:K),_xlfn.XLOOKUP(B399,Input!J:J,Input!L:L))</f>
        <v>0</v>
      </c>
      <c r="H399" s="32"/>
      <c r="I399" s="32"/>
      <c r="J399" s="32"/>
      <c r="K399" s="42" t="e">
        <f>INDEX(Input!$D$2:$AC$500,
       MATCH(B399, Input!$J$2:$J$500, 0),
       MATCH("Total Memory", Input!$D$1:$AC$1, 0))</f>
        <v>#N/A</v>
      </c>
      <c r="L399" s="42"/>
      <c r="M399" s="42" t="str" cm="1">
        <f t="array" ref="M399">IFERROR(_xlfn.FILTERXML("&lt;t&gt;&lt;s&gt;" &amp; SUBSTITUTE(L399," / ","&lt;/s&gt;&lt;s&gt;") &amp; "&lt;/s&gt;&lt;/t&gt;","(//s[contains(.,'DDR')])[1]"),"")</f>
        <v/>
      </c>
      <c r="N399" s="32" t="e">
        <f t="shared" si="20"/>
        <v>#N/A</v>
      </c>
      <c r="O399" s="42" t="e">
        <f>INDEX(Input!$D$2:$AC$500,
       MATCH(B399, Input!$J$2:$J$500, 0),
       MATCH("Disk Interface Type", Input!$D$1:$AC$1, 0))</f>
        <v>#N/A</v>
      </c>
      <c r="P399" s="42" t="str" cm="1">
        <f t="array" ref="P399">IFERROR(_xlfn.TEXTJOIN(", ", TRUE, _xlfn._xlws.FILTER(
    INDEX(Input!$D$2:$AC$500,,MATCH("Disk Capacity",Input!$D$1:$AC$1,0)),
    Input!$J$2:$J$500=B399
)), "")</f>
        <v/>
      </c>
      <c r="Q399" s="32" t="e">
        <f t="shared" si="19"/>
        <v>#N/A</v>
      </c>
      <c r="R399" s="42" t="e">
        <f>_xlfn.LET(_xlpm.Result,INDEX(Input!$D$2:$AC$500,
       MATCH(B399, Input!$J$2:$J$500, 0),
       MATCH("Capacity", Input!$D$1:$AC$1, 0)),IF(_xlpm.Result="","",_xlpm.Result))</f>
        <v>#N/A</v>
      </c>
      <c r="S399" s="42" t="e" cm="1">
        <f t="array" ref="S399">_xlfn.TEXTSPLIT(R399," / ", ,TRUE,0,)</f>
        <v>#N/A</v>
      </c>
      <c r="T399" s="42"/>
      <c r="U399" s="42" t="str" cm="1">
        <f t="array" ref="U399">IFERROR(_xlfn.IFS(
S399="","",
--S399&lt;55,"Battery Defect",
--S399&lt;=69,"Battery D",
--S399&lt;=80,"Battery C",
--S399&gt;80,""
),"")</f>
        <v/>
      </c>
      <c r="V399" s="42" t="str" cm="1">
        <f t="array" ref="V399">IFERROR(_xlfn.IFS(
T399="","",
--T399&lt;55,"Battery Defect",
--T399&lt;=69,"Battery D",
--T399&lt;=80,"Battery C",
--T399&gt;80,""
),"")</f>
        <v/>
      </c>
      <c r="W399" s="42"/>
      <c r="X399" s="42"/>
      <c r="Y399" s="42"/>
      <c r="Z399" s="42"/>
      <c r="AA399" s="42"/>
      <c r="AB399" s="42"/>
      <c r="AC399" s="42"/>
      <c r="AD399" s="42"/>
      <c r="AE399" s="32" t="str">
        <f t="shared" si="18"/>
        <v/>
      </c>
      <c r="AF399" s="32"/>
      <c r="AG399" s="32"/>
      <c r="AH399" s="32"/>
      <c r="AI399" s="32"/>
      <c r="AJ399" s="32"/>
      <c r="AK399" s="32"/>
      <c r="AL399" s="32"/>
      <c r="AM399" s="32"/>
    </row>
    <row r="400" spans="1:39">
      <c r="A400" s="32" t="str">
        <f>_xlfn.XLOOKUP(B400,Input!J:J,Input!G:G)&amp;""</f>
        <v/>
      </c>
      <c r="B400" s="32"/>
      <c r="C400" s="32" t="str">
        <f>_xlfn.XLOOKUP(B400,Input!J:J,Input!H:H)&amp;""</f>
        <v/>
      </c>
      <c r="D400" s="42">
        <f>_xlfn.XLOOKUP(B400,Input!J:J,Input!F:F)</f>
        <v>0</v>
      </c>
      <c r="E400" s="32">
        <f>_xlfn.XLOOKUP(D400,Models!H:H,Models!G:G,D400)</f>
        <v>0</v>
      </c>
      <c r="F400" s="32">
        <f>_xlfn.XLOOKUP(B400,Input!J:J,Input!E:E)</f>
        <v>0</v>
      </c>
      <c r="G400" s="32">
        <f>IF(F400="LENOVO",_xlfn.XLOOKUP(B400,Input!J:J,Input!K:K),_xlfn.XLOOKUP(B400,Input!J:J,Input!L:L))</f>
        <v>0</v>
      </c>
      <c r="H400" s="32"/>
      <c r="I400" s="32"/>
      <c r="J400" s="32"/>
      <c r="K400" s="42" t="e">
        <f>INDEX(Input!$D$2:$AC$500,
       MATCH(B400, Input!$J$2:$J$500, 0),
       MATCH("Total Memory", Input!$D$1:$AC$1, 0))</f>
        <v>#N/A</v>
      </c>
      <c r="L400" s="42"/>
      <c r="M400" s="42" t="str" cm="1">
        <f t="array" ref="M400">IFERROR(_xlfn.FILTERXML("&lt;t&gt;&lt;s&gt;" &amp; SUBSTITUTE(L400," / ","&lt;/s&gt;&lt;s&gt;") &amp; "&lt;/s&gt;&lt;/t&gt;","(//s[contains(.,'DDR')])[1]"),"")</f>
        <v/>
      </c>
      <c r="N400" s="32" t="e">
        <f t="shared" si="20"/>
        <v>#N/A</v>
      </c>
      <c r="O400" s="42" t="e">
        <f>INDEX(Input!$D$2:$AC$500,
       MATCH(B400, Input!$J$2:$J$500, 0),
       MATCH("Disk Interface Type", Input!$D$1:$AC$1, 0))</f>
        <v>#N/A</v>
      </c>
      <c r="P400" s="42" t="str" cm="1">
        <f t="array" ref="P400">IFERROR(_xlfn.TEXTJOIN(", ", TRUE, _xlfn._xlws.FILTER(
    INDEX(Input!$D$2:$AC$500,,MATCH("Disk Capacity",Input!$D$1:$AC$1,0)),
    Input!$J$2:$J$500=B400
)), "")</f>
        <v/>
      </c>
      <c r="Q400" s="32" t="e">
        <f t="shared" si="19"/>
        <v>#N/A</v>
      </c>
      <c r="R400" s="42" t="e">
        <f>_xlfn.LET(_xlpm.Result,INDEX(Input!$D$2:$AC$500,
       MATCH(B400, Input!$J$2:$J$500, 0),
       MATCH("Capacity", Input!$D$1:$AC$1, 0)),IF(_xlpm.Result="","",_xlpm.Result))</f>
        <v>#N/A</v>
      </c>
      <c r="S400" s="42" t="e" cm="1">
        <f t="array" ref="S400">_xlfn.TEXTSPLIT(R400," / ", ,TRUE,0,)</f>
        <v>#N/A</v>
      </c>
      <c r="T400" s="42"/>
      <c r="U400" s="42" t="str" cm="1">
        <f t="array" ref="U400">IFERROR(_xlfn.IFS(
S400="","",
--S400&lt;55,"Battery Defect",
--S400&lt;=69,"Battery D",
--S400&lt;=80,"Battery C",
--S400&gt;80,""
),"")</f>
        <v/>
      </c>
      <c r="V400" s="42" t="str" cm="1">
        <f t="array" ref="V400">IFERROR(_xlfn.IFS(
T400="","",
--T400&lt;55,"Battery Defect",
--T400&lt;=69,"Battery D",
--T400&lt;=80,"Battery C",
--T400&gt;80,""
),"")</f>
        <v/>
      </c>
      <c r="W400" s="42"/>
      <c r="X400" s="42"/>
      <c r="Y400" s="42"/>
      <c r="Z400" s="42"/>
      <c r="AA400" s="42"/>
      <c r="AB400" s="42"/>
      <c r="AC400" s="42"/>
      <c r="AD400" s="42"/>
      <c r="AE400" s="32" t="str">
        <f t="shared" si="18"/>
        <v/>
      </c>
      <c r="AF400" s="32"/>
      <c r="AG400" s="32"/>
      <c r="AH400" s="32"/>
      <c r="AI400" s="32"/>
      <c r="AJ400" s="32"/>
      <c r="AK400" s="32"/>
      <c r="AL400" s="32"/>
      <c r="AM400" s="32"/>
    </row>
    <row r="401" spans="1:39">
      <c r="A401" s="32" t="str">
        <f>_xlfn.XLOOKUP(B401,Input!J:J,Input!G:G)&amp;""</f>
        <v/>
      </c>
      <c r="B401" s="32"/>
      <c r="C401" s="32" t="str">
        <f>_xlfn.XLOOKUP(B401,Input!J:J,Input!H:H)&amp;""</f>
        <v/>
      </c>
      <c r="D401" s="42">
        <f>_xlfn.XLOOKUP(B401,Input!J:J,Input!F:F)</f>
        <v>0</v>
      </c>
      <c r="E401" s="32">
        <f>_xlfn.XLOOKUP(D401,Models!H:H,Models!G:G,D401)</f>
        <v>0</v>
      </c>
      <c r="F401" s="32">
        <f>_xlfn.XLOOKUP(B401,Input!J:J,Input!E:E)</f>
        <v>0</v>
      </c>
      <c r="G401" s="32">
        <f>IF(F401="LENOVO",_xlfn.XLOOKUP(B401,Input!J:J,Input!K:K),_xlfn.XLOOKUP(B401,Input!J:J,Input!L:L))</f>
        <v>0</v>
      </c>
      <c r="H401" s="32"/>
      <c r="I401" s="32"/>
      <c r="J401" s="32"/>
      <c r="K401" s="42" t="e">
        <f>INDEX(Input!$D$2:$AC$500,
       MATCH(B401, Input!$J$2:$J$500, 0),
       MATCH("Total Memory", Input!$D$1:$AC$1, 0))</f>
        <v>#N/A</v>
      </c>
      <c r="L401" s="42"/>
      <c r="M401" s="42" t="str" cm="1">
        <f t="array" ref="M401">IFERROR(_xlfn.FILTERXML("&lt;t&gt;&lt;s&gt;" &amp; SUBSTITUTE(L401," / ","&lt;/s&gt;&lt;s&gt;") &amp; "&lt;/s&gt;&lt;/t&gt;","(//s[contains(.,'DDR')])[1]"),"")</f>
        <v/>
      </c>
      <c r="N401" s="32" t="e">
        <f t="shared" si="20"/>
        <v>#N/A</v>
      </c>
      <c r="O401" s="42" t="e">
        <f>INDEX(Input!$D$2:$AC$500,
       MATCH(B401, Input!$J$2:$J$500, 0),
       MATCH("Disk Interface Type", Input!$D$1:$AC$1, 0))</f>
        <v>#N/A</v>
      </c>
      <c r="P401" s="42" t="str" cm="1">
        <f t="array" ref="P401">IFERROR(_xlfn.TEXTJOIN(", ", TRUE, _xlfn._xlws.FILTER(
    INDEX(Input!$D$2:$AC$500,,MATCH("Disk Capacity",Input!$D$1:$AC$1,0)),
    Input!$J$2:$J$500=B401
)), "")</f>
        <v/>
      </c>
      <c r="Q401" s="32" t="e">
        <f t="shared" si="19"/>
        <v>#N/A</v>
      </c>
      <c r="R401" s="42" t="e">
        <f>_xlfn.LET(_xlpm.Result,INDEX(Input!$D$2:$AC$500,
       MATCH(B401, Input!$J$2:$J$500, 0),
       MATCH("Capacity", Input!$D$1:$AC$1, 0)),IF(_xlpm.Result="","",_xlpm.Result))</f>
        <v>#N/A</v>
      </c>
      <c r="S401" s="42" t="e" cm="1">
        <f t="array" ref="S401">_xlfn.TEXTSPLIT(R401," / ", ,TRUE,0,)</f>
        <v>#N/A</v>
      </c>
      <c r="T401" s="42"/>
      <c r="U401" s="42" t="str" cm="1">
        <f t="array" ref="U401">IFERROR(_xlfn.IFS(
S401="","",
--S401&lt;55,"Battery Defect",
--S401&lt;=69,"Battery D",
--S401&lt;=80,"Battery C",
--S401&gt;80,""
),"")</f>
        <v/>
      </c>
      <c r="V401" s="42" t="str" cm="1">
        <f t="array" ref="V401">IFERROR(_xlfn.IFS(
T401="","",
--T401&lt;55,"Battery Defect",
--T401&lt;=69,"Battery D",
--T401&lt;=80,"Battery C",
--T401&gt;80,""
),"")</f>
        <v/>
      </c>
      <c r="W401" s="42"/>
      <c r="X401" s="42"/>
      <c r="Y401" s="42"/>
      <c r="Z401" s="42"/>
      <c r="AA401" s="42"/>
      <c r="AB401" s="42"/>
      <c r="AC401" s="42"/>
      <c r="AD401" s="42"/>
      <c r="AE401" s="32" t="str">
        <f t="shared" si="18"/>
        <v/>
      </c>
      <c r="AF401" s="32"/>
      <c r="AG401" s="32"/>
      <c r="AH401" s="32"/>
      <c r="AI401" s="32"/>
      <c r="AJ401" s="32"/>
      <c r="AK401" s="32"/>
      <c r="AL401" s="32"/>
      <c r="AM401" s="32"/>
    </row>
    <row r="402" spans="1:39">
      <c r="A402" s="32" t="str">
        <f>_xlfn.XLOOKUP(B402,Input!J:J,Input!G:G)&amp;""</f>
        <v/>
      </c>
      <c r="B402" s="32"/>
      <c r="C402" s="32" t="str">
        <f>_xlfn.XLOOKUP(B402,Input!J:J,Input!H:H)&amp;""</f>
        <v/>
      </c>
      <c r="D402" s="42">
        <f>_xlfn.XLOOKUP(B402,Input!J:J,Input!F:F)</f>
        <v>0</v>
      </c>
      <c r="E402" s="32">
        <f>_xlfn.XLOOKUP(D402,Models!H:H,Models!G:G,D402)</f>
        <v>0</v>
      </c>
      <c r="F402" s="32">
        <f>_xlfn.XLOOKUP(B402,Input!J:J,Input!E:E)</f>
        <v>0</v>
      </c>
      <c r="G402" s="32">
        <f>IF(F402="LENOVO",_xlfn.XLOOKUP(B402,Input!J:J,Input!K:K),_xlfn.XLOOKUP(B402,Input!J:J,Input!L:L))</f>
        <v>0</v>
      </c>
      <c r="H402" s="32"/>
      <c r="I402" s="32"/>
      <c r="J402" s="32"/>
      <c r="K402" s="42" t="e">
        <f>INDEX(Input!$D$2:$AC$500,
       MATCH(B402, Input!$J$2:$J$500, 0),
       MATCH("Total Memory", Input!$D$1:$AC$1, 0))</f>
        <v>#N/A</v>
      </c>
      <c r="L402" s="42"/>
      <c r="M402" s="42" t="str" cm="1">
        <f t="array" ref="M402">IFERROR(_xlfn.FILTERXML("&lt;t&gt;&lt;s&gt;" &amp; SUBSTITUTE(L402," / ","&lt;/s&gt;&lt;s&gt;") &amp; "&lt;/s&gt;&lt;/t&gt;","(//s[contains(.,'DDR')])[1]"),"")</f>
        <v/>
      </c>
      <c r="N402" s="32" t="e">
        <f t="shared" si="20"/>
        <v>#N/A</v>
      </c>
      <c r="O402" s="42" t="e">
        <f>INDEX(Input!$D$2:$AC$500,
       MATCH(B402, Input!$J$2:$J$500, 0),
       MATCH("Disk Interface Type", Input!$D$1:$AC$1, 0))</f>
        <v>#N/A</v>
      </c>
      <c r="P402" s="42" t="str" cm="1">
        <f t="array" ref="P402">IFERROR(_xlfn.TEXTJOIN(", ", TRUE, _xlfn._xlws.FILTER(
    INDEX(Input!$D$2:$AC$500,,MATCH("Disk Capacity",Input!$D$1:$AC$1,0)),
    Input!$J$2:$J$500=B402
)), "")</f>
        <v/>
      </c>
      <c r="Q402" s="32" t="e">
        <f t="shared" si="19"/>
        <v>#N/A</v>
      </c>
      <c r="R402" s="42" t="e">
        <f>_xlfn.LET(_xlpm.Result,INDEX(Input!$D$2:$AC$500,
       MATCH(B402, Input!$J$2:$J$500, 0),
       MATCH("Capacity", Input!$D$1:$AC$1, 0)),IF(_xlpm.Result="","",_xlpm.Result))</f>
        <v>#N/A</v>
      </c>
      <c r="S402" s="42" t="e" cm="1">
        <f t="array" ref="S402">_xlfn.TEXTSPLIT(R402," / ", ,TRUE,0,)</f>
        <v>#N/A</v>
      </c>
      <c r="T402" s="42"/>
      <c r="U402" s="42" t="str" cm="1">
        <f t="array" ref="U402">IFERROR(_xlfn.IFS(
S402="","",
--S402&lt;55,"Battery Defect",
--S402&lt;=69,"Battery D",
--S402&lt;=80,"Battery C",
--S402&gt;80,""
),"")</f>
        <v/>
      </c>
      <c r="V402" s="42" t="str" cm="1">
        <f t="array" ref="V402">IFERROR(_xlfn.IFS(
T402="","",
--T402&lt;55,"Battery Defect",
--T402&lt;=69,"Battery D",
--T402&lt;=80,"Battery C",
--T402&gt;80,""
),"")</f>
        <v/>
      </c>
      <c r="W402" s="42"/>
      <c r="X402" s="42"/>
      <c r="Y402" s="42"/>
      <c r="Z402" s="42"/>
      <c r="AA402" s="42"/>
      <c r="AB402" s="42"/>
      <c r="AC402" s="42"/>
      <c r="AD402" s="42"/>
      <c r="AE402" s="32" t="str">
        <f t="shared" si="18"/>
        <v/>
      </c>
      <c r="AF402" s="32"/>
      <c r="AG402" s="32"/>
      <c r="AH402" s="32"/>
      <c r="AI402" s="32"/>
      <c r="AJ402" s="32"/>
      <c r="AK402" s="32"/>
      <c r="AL402" s="32"/>
      <c r="AM402" s="32"/>
    </row>
    <row r="403" spans="1:39">
      <c r="A403" s="32" t="str">
        <f>_xlfn.XLOOKUP(B403,Input!J:J,Input!G:G)&amp;""</f>
        <v/>
      </c>
      <c r="B403" s="32"/>
      <c r="C403" s="32" t="str">
        <f>_xlfn.XLOOKUP(B403,Input!J:J,Input!H:H)&amp;""</f>
        <v/>
      </c>
      <c r="D403" s="42">
        <f>_xlfn.XLOOKUP(B403,Input!J:J,Input!F:F)</f>
        <v>0</v>
      </c>
      <c r="E403" s="32">
        <f>_xlfn.XLOOKUP(D403,Models!H:H,Models!G:G,D403)</f>
        <v>0</v>
      </c>
      <c r="F403" s="32">
        <f>_xlfn.XLOOKUP(B403,Input!J:J,Input!E:E)</f>
        <v>0</v>
      </c>
      <c r="G403" s="32">
        <f>IF(F403="LENOVO",_xlfn.XLOOKUP(B403,Input!J:J,Input!K:K),_xlfn.XLOOKUP(B403,Input!J:J,Input!L:L))</f>
        <v>0</v>
      </c>
      <c r="H403" s="32"/>
      <c r="I403" s="32"/>
      <c r="J403" s="32"/>
      <c r="K403" s="42" t="e">
        <f>INDEX(Input!$D$2:$AC$500,
       MATCH(B403, Input!$J$2:$J$500, 0),
       MATCH("Total Memory", Input!$D$1:$AC$1, 0))</f>
        <v>#N/A</v>
      </c>
      <c r="L403" s="42"/>
      <c r="M403" s="42" t="str" cm="1">
        <f t="array" ref="M403">IFERROR(_xlfn.FILTERXML("&lt;t&gt;&lt;s&gt;" &amp; SUBSTITUTE(L403," / ","&lt;/s&gt;&lt;s&gt;") &amp; "&lt;/s&gt;&lt;/t&gt;","(//s[contains(.,'DDR')])[1]"),"")</f>
        <v/>
      </c>
      <c r="N403" s="32" t="e">
        <f t="shared" si="20"/>
        <v>#N/A</v>
      </c>
      <c r="O403" s="42" t="e">
        <f>INDEX(Input!$D$2:$AC$500,
       MATCH(B403, Input!$J$2:$J$500, 0),
       MATCH("Disk Interface Type", Input!$D$1:$AC$1, 0))</f>
        <v>#N/A</v>
      </c>
      <c r="P403" s="42" t="str" cm="1">
        <f t="array" ref="P403">IFERROR(_xlfn.TEXTJOIN(", ", TRUE, _xlfn._xlws.FILTER(
    INDEX(Input!$D$2:$AC$500,,MATCH("Disk Capacity",Input!$D$1:$AC$1,0)),
    Input!$J$2:$J$500=B403
)), "")</f>
        <v/>
      </c>
      <c r="Q403" s="32" t="e">
        <f t="shared" si="19"/>
        <v>#N/A</v>
      </c>
      <c r="R403" s="42" t="e">
        <f>_xlfn.LET(_xlpm.Result,INDEX(Input!$D$2:$AC$500,
       MATCH(B403, Input!$J$2:$J$500, 0),
       MATCH("Capacity", Input!$D$1:$AC$1, 0)),IF(_xlpm.Result="","",_xlpm.Result))</f>
        <v>#N/A</v>
      </c>
      <c r="S403" s="42" t="e" cm="1">
        <f t="array" ref="S403">_xlfn.TEXTSPLIT(R403," / ", ,TRUE,0,)</f>
        <v>#N/A</v>
      </c>
      <c r="T403" s="42"/>
      <c r="U403" s="42" t="str" cm="1">
        <f t="array" ref="U403">IFERROR(_xlfn.IFS(
S403="","",
--S403&lt;55,"Battery Defect",
--S403&lt;=69,"Battery D",
--S403&lt;=80,"Battery C",
--S403&gt;80,""
),"")</f>
        <v/>
      </c>
      <c r="V403" s="42" t="str" cm="1">
        <f t="array" ref="V403">IFERROR(_xlfn.IFS(
T403="","",
--T403&lt;55,"Battery Defect",
--T403&lt;=69,"Battery D",
--T403&lt;=80,"Battery C",
--T403&gt;80,""
),"")</f>
        <v/>
      </c>
      <c r="W403" s="42"/>
      <c r="X403" s="42"/>
      <c r="Y403" s="42"/>
      <c r="Z403" s="42"/>
      <c r="AA403" s="42"/>
      <c r="AB403" s="42"/>
      <c r="AC403" s="42"/>
      <c r="AD403" s="42"/>
      <c r="AE403" s="32" t="str">
        <f t="shared" si="18"/>
        <v/>
      </c>
      <c r="AF403" s="32"/>
      <c r="AG403" s="32"/>
      <c r="AH403" s="32"/>
      <c r="AI403" s="32"/>
      <c r="AJ403" s="32"/>
      <c r="AK403" s="32"/>
      <c r="AL403" s="32"/>
      <c r="AM403" s="32"/>
    </row>
    <row r="404" spans="1:39">
      <c r="A404" s="32" t="str">
        <f>_xlfn.XLOOKUP(B404,Input!J:J,Input!G:G)&amp;""</f>
        <v/>
      </c>
      <c r="B404" s="32"/>
      <c r="C404" s="32" t="str">
        <f>_xlfn.XLOOKUP(B404,Input!J:J,Input!H:H)&amp;""</f>
        <v/>
      </c>
      <c r="D404" s="42">
        <f>_xlfn.XLOOKUP(B404,Input!J:J,Input!F:F)</f>
        <v>0</v>
      </c>
      <c r="E404" s="32">
        <f>_xlfn.XLOOKUP(D404,Models!H:H,Models!G:G,D404)</f>
        <v>0</v>
      </c>
      <c r="F404" s="32">
        <f>_xlfn.XLOOKUP(B404,Input!J:J,Input!E:E)</f>
        <v>0</v>
      </c>
      <c r="G404" s="32">
        <f>IF(F404="LENOVO",_xlfn.XLOOKUP(B404,Input!J:J,Input!K:K),_xlfn.XLOOKUP(B404,Input!J:J,Input!L:L))</f>
        <v>0</v>
      </c>
      <c r="H404" s="32"/>
      <c r="I404" s="32"/>
      <c r="J404" s="32"/>
      <c r="K404" s="42" t="e">
        <f>INDEX(Input!$D$2:$AC$500,
       MATCH(B404, Input!$J$2:$J$500, 0),
       MATCH("Total Memory", Input!$D$1:$AC$1, 0))</f>
        <v>#N/A</v>
      </c>
      <c r="L404" s="42"/>
      <c r="M404" s="42" t="str" cm="1">
        <f t="array" ref="M404">IFERROR(_xlfn.FILTERXML("&lt;t&gt;&lt;s&gt;" &amp; SUBSTITUTE(L404," / ","&lt;/s&gt;&lt;s&gt;") &amp; "&lt;/s&gt;&lt;/t&gt;","(//s[contains(.,'DDR')])[1]"),"")</f>
        <v/>
      </c>
      <c r="N404" s="32" t="e">
        <f t="shared" si="20"/>
        <v>#N/A</v>
      </c>
      <c r="O404" s="42" t="e">
        <f>INDEX(Input!$D$2:$AC$500,
       MATCH(B404, Input!$J$2:$J$500, 0),
       MATCH("Disk Interface Type", Input!$D$1:$AC$1, 0))</f>
        <v>#N/A</v>
      </c>
      <c r="P404" s="42" t="str" cm="1">
        <f t="array" ref="P404">IFERROR(_xlfn.TEXTJOIN(", ", TRUE, _xlfn._xlws.FILTER(
    INDEX(Input!$D$2:$AC$500,,MATCH("Disk Capacity",Input!$D$1:$AC$1,0)),
    Input!$J$2:$J$500=B404
)), "")</f>
        <v/>
      </c>
      <c r="Q404" s="32" t="e">
        <f t="shared" si="19"/>
        <v>#N/A</v>
      </c>
      <c r="R404" s="42" t="e">
        <f>_xlfn.LET(_xlpm.Result,INDEX(Input!$D$2:$AC$500,
       MATCH(B404, Input!$J$2:$J$500, 0),
       MATCH("Capacity", Input!$D$1:$AC$1, 0)),IF(_xlpm.Result="","",_xlpm.Result))</f>
        <v>#N/A</v>
      </c>
      <c r="S404" s="42" t="e" cm="1">
        <f t="array" ref="S404">_xlfn.TEXTSPLIT(R404," / ", ,TRUE,0,)</f>
        <v>#N/A</v>
      </c>
      <c r="T404" s="42"/>
      <c r="U404" s="42" t="str" cm="1">
        <f t="array" ref="U404">IFERROR(_xlfn.IFS(
S404="","",
--S404&lt;55,"Battery Defect",
--S404&lt;=69,"Battery D",
--S404&lt;=80,"Battery C",
--S404&gt;80,""
),"")</f>
        <v/>
      </c>
      <c r="V404" s="42" t="str" cm="1">
        <f t="array" ref="V404">IFERROR(_xlfn.IFS(
T404="","",
--T404&lt;55,"Battery Defect",
--T404&lt;=69,"Battery D",
--T404&lt;=80,"Battery C",
--T404&gt;80,""
),"")</f>
        <v/>
      </c>
      <c r="W404" s="42"/>
      <c r="X404" s="42"/>
      <c r="Y404" s="42"/>
      <c r="Z404" s="42"/>
      <c r="AA404" s="42"/>
      <c r="AB404" s="42"/>
      <c r="AC404" s="42"/>
      <c r="AD404" s="42"/>
      <c r="AE404" s="32" t="str">
        <f t="shared" si="18"/>
        <v/>
      </c>
      <c r="AF404" s="32"/>
      <c r="AG404" s="32"/>
      <c r="AH404" s="32"/>
      <c r="AI404" s="32"/>
      <c r="AJ404" s="32"/>
      <c r="AK404" s="32"/>
      <c r="AL404" s="32"/>
      <c r="AM404" s="32"/>
    </row>
    <row r="405" spans="1:39">
      <c r="A405" s="32" t="str">
        <f>_xlfn.XLOOKUP(B405,Input!J:J,Input!G:G)&amp;""</f>
        <v/>
      </c>
      <c r="B405" s="32"/>
      <c r="C405" s="32" t="str">
        <f>_xlfn.XLOOKUP(B405,Input!J:J,Input!H:H)&amp;""</f>
        <v/>
      </c>
      <c r="D405" s="42">
        <f>_xlfn.XLOOKUP(B405,Input!J:J,Input!F:F)</f>
        <v>0</v>
      </c>
      <c r="E405" s="32">
        <f>_xlfn.XLOOKUP(D405,Models!H:H,Models!G:G,D405)</f>
        <v>0</v>
      </c>
      <c r="F405" s="32">
        <f>_xlfn.XLOOKUP(B405,Input!J:J,Input!E:E)</f>
        <v>0</v>
      </c>
      <c r="G405" s="32">
        <f>IF(F405="LENOVO",_xlfn.XLOOKUP(B405,Input!J:J,Input!K:K),_xlfn.XLOOKUP(B405,Input!J:J,Input!L:L))</f>
        <v>0</v>
      </c>
      <c r="H405" s="32"/>
      <c r="I405" s="32"/>
      <c r="J405" s="32"/>
      <c r="K405" s="42" t="e">
        <f>INDEX(Input!$D$2:$AC$500,
       MATCH(B405, Input!$J$2:$J$500, 0),
       MATCH("Total Memory", Input!$D$1:$AC$1, 0))</f>
        <v>#N/A</v>
      </c>
      <c r="L405" s="42"/>
      <c r="M405" s="42" t="str" cm="1">
        <f t="array" ref="M405">IFERROR(_xlfn.FILTERXML("&lt;t&gt;&lt;s&gt;" &amp; SUBSTITUTE(L405," / ","&lt;/s&gt;&lt;s&gt;") &amp; "&lt;/s&gt;&lt;/t&gt;","(//s[contains(.,'DDR')])[1]"),"")</f>
        <v/>
      </c>
      <c r="N405" s="32" t="e">
        <f t="shared" si="20"/>
        <v>#N/A</v>
      </c>
      <c r="O405" s="42" t="e">
        <f>INDEX(Input!$D$2:$AC$500,
       MATCH(B405, Input!$J$2:$J$500, 0),
       MATCH("Disk Interface Type", Input!$D$1:$AC$1, 0))</f>
        <v>#N/A</v>
      </c>
      <c r="P405" s="42" t="str" cm="1">
        <f t="array" ref="P405">IFERROR(_xlfn.TEXTJOIN(", ", TRUE, _xlfn._xlws.FILTER(
    INDEX(Input!$D$2:$AC$500,,MATCH("Disk Capacity",Input!$D$1:$AC$1,0)),
    Input!$J$2:$J$500=B405
)), "")</f>
        <v/>
      </c>
      <c r="Q405" s="32" t="e">
        <f t="shared" si="19"/>
        <v>#N/A</v>
      </c>
      <c r="R405" s="42" t="e">
        <f>_xlfn.LET(_xlpm.Result,INDEX(Input!$D$2:$AC$500,
       MATCH(B405, Input!$J$2:$J$500, 0),
       MATCH("Capacity", Input!$D$1:$AC$1, 0)),IF(_xlpm.Result="","",_xlpm.Result))</f>
        <v>#N/A</v>
      </c>
      <c r="S405" s="42" t="e" cm="1">
        <f t="array" ref="S405">_xlfn.TEXTSPLIT(R405," / ", ,TRUE,0,)</f>
        <v>#N/A</v>
      </c>
      <c r="T405" s="42"/>
      <c r="U405" s="42" t="str" cm="1">
        <f t="array" ref="U405">IFERROR(_xlfn.IFS(
S405="","",
--S405&lt;55,"Battery Defect",
--S405&lt;=69,"Battery D",
--S405&lt;=80,"Battery C",
--S405&gt;80,""
),"")</f>
        <v/>
      </c>
      <c r="V405" s="42" t="str" cm="1">
        <f t="array" ref="V405">IFERROR(_xlfn.IFS(
T405="","",
--T405&lt;55,"Battery Defect",
--T405&lt;=69,"Battery D",
--T405&lt;=80,"Battery C",
--T405&gt;80,""
),"")</f>
        <v/>
      </c>
      <c r="W405" s="42"/>
      <c r="X405" s="42"/>
      <c r="Y405" s="42"/>
      <c r="Z405" s="42"/>
      <c r="AA405" s="42"/>
      <c r="AB405" s="42"/>
      <c r="AC405" s="42"/>
      <c r="AD405" s="42"/>
      <c r="AE405" s="32" t="str">
        <f t="shared" si="18"/>
        <v/>
      </c>
      <c r="AF405" s="32"/>
      <c r="AG405" s="32"/>
      <c r="AH405" s="32"/>
      <c r="AI405" s="32"/>
      <c r="AJ405" s="32"/>
      <c r="AK405" s="32"/>
      <c r="AL405" s="32"/>
      <c r="AM405" s="32"/>
    </row>
    <row r="406" spans="1:39">
      <c r="A406" s="32" t="str">
        <f>_xlfn.XLOOKUP(B406,Input!J:J,Input!G:G)&amp;""</f>
        <v/>
      </c>
      <c r="B406" s="32"/>
      <c r="C406" s="32" t="str">
        <f>_xlfn.XLOOKUP(B406,Input!J:J,Input!H:H)&amp;""</f>
        <v/>
      </c>
      <c r="D406" s="42">
        <f>_xlfn.XLOOKUP(B406,Input!J:J,Input!F:F)</f>
        <v>0</v>
      </c>
      <c r="E406" s="32">
        <f>_xlfn.XLOOKUP(D406,Models!H:H,Models!G:G,D406)</f>
        <v>0</v>
      </c>
      <c r="F406" s="32">
        <f>_xlfn.XLOOKUP(B406,Input!J:J,Input!E:E)</f>
        <v>0</v>
      </c>
      <c r="G406" s="32">
        <f>IF(F406="LENOVO",_xlfn.XLOOKUP(B406,Input!J:J,Input!K:K),_xlfn.XLOOKUP(B406,Input!J:J,Input!L:L))</f>
        <v>0</v>
      </c>
      <c r="H406" s="32"/>
      <c r="I406" s="32"/>
      <c r="J406" s="32"/>
      <c r="K406" s="42" t="e">
        <f>INDEX(Input!$D$2:$AC$500,
       MATCH(B406, Input!$J$2:$J$500, 0),
       MATCH("Total Memory", Input!$D$1:$AC$1, 0))</f>
        <v>#N/A</v>
      </c>
      <c r="L406" s="42"/>
      <c r="M406" s="42" t="str" cm="1">
        <f t="array" ref="M406">IFERROR(_xlfn.FILTERXML("&lt;t&gt;&lt;s&gt;" &amp; SUBSTITUTE(L406," / ","&lt;/s&gt;&lt;s&gt;") &amp; "&lt;/s&gt;&lt;/t&gt;","(//s[contains(.,'DDR')])[1]"),"")</f>
        <v/>
      </c>
      <c r="N406" s="32" t="e">
        <f t="shared" si="20"/>
        <v>#N/A</v>
      </c>
      <c r="O406" s="42" t="e">
        <f>INDEX(Input!$D$2:$AC$500,
       MATCH(B406, Input!$J$2:$J$500, 0),
       MATCH("Disk Interface Type", Input!$D$1:$AC$1, 0))</f>
        <v>#N/A</v>
      </c>
      <c r="P406" s="42" t="str" cm="1">
        <f t="array" ref="P406">IFERROR(_xlfn.TEXTJOIN(", ", TRUE, _xlfn._xlws.FILTER(
    INDEX(Input!$D$2:$AC$500,,MATCH("Disk Capacity",Input!$D$1:$AC$1,0)),
    Input!$J$2:$J$500=B406
)), "")</f>
        <v/>
      </c>
      <c r="Q406" s="32" t="e">
        <f t="shared" si="19"/>
        <v>#N/A</v>
      </c>
      <c r="R406" s="42" t="e">
        <f>_xlfn.LET(_xlpm.Result,INDEX(Input!$D$2:$AC$500,
       MATCH(B406, Input!$J$2:$J$500, 0),
       MATCH("Capacity", Input!$D$1:$AC$1, 0)),IF(_xlpm.Result="","",_xlpm.Result))</f>
        <v>#N/A</v>
      </c>
      <c r="S406" s="42" t="e" cm="1">
        <f t="array" ref="S406">_xlfn.TEXTSPLIT(R406," / ", ,TRUE,0,)</f>
        <v>#N/A</v>
      </c>
      <c r="T406" s="42"/>
      <c r="U406" s="42" t="str" cm="1">
        <f t="array" ref="U406">IFERROR(_xlfn.IFS(
S406="","",
--S406&lt;55,"Battery Defect",
--S406&lt;=69,"Battery D",
--S406&lt;=80,"Battery C",
--S406&gt;80,""
),"")</f>
        <v/>
      </c>
      <c r="V406" s="42" t="str" cm="1">
        <f t="array" ref="V406">IFERROR(_xlfn.IFS(
T406="","",
--T406&lt;55,"Battery Defect",
--T406&lt;=69,"Battery D",
--T406&lt;=80,"Battery C",
--T406&gt;80,""
),"")</f>
        <v/>
      </c>
      <c r="W406" s="42"/>
      <c r="X406" s="42"/>
      <c r="Y406" s="42"/>
      <c r="Z406" s="42"/>
      <c r="AA406" s="42"/>
      <c r="AB406" s="42"/>
      <c r="AC406" s="42"/>
      <c r="AD406" s="42"/>
      <c r="AE406" s="32" t="str">
        <f t="shared" si="18"/>
        <v/>
      </c>
      <c r="AF406" s="32"/>
      <c r="AG406" s="32"/>
      <c r="AH406" s="32"/>
      <c r="AI406" s="32"/>
      <c r="AJ406" s="32"/>
      <c r="AK406" s="32"/>
      <c r="AL406" s="32"/>
      <c r="AM406" s="32"/>
    </row>
    <row r="407" spans="1:39">
      <c r="A407" s="32" t="str">
        <f>_xlfn.XLOOKUP(B407,Input!J:J,Input!G:G)&amp;""</f>
        <v/>
      </c>
      <c r="B407" s="32"/>
      <c r="C407" s="32" t="str">
        <f>_xlfn.XLOOKUP(B407,Input!J:J,Input!H:H)&amp;""</f>
        <v/>
      </c>
      <c r="D407" s="42">
        <f>_xlfn.XLOOKUP(B407,Input!J:J,Input!F:F)</f>
        <v>0</v>
      </c>
      <c r="E407" s="32">
        <f>_xlfn.XLOOKUP(D407,Models!H:H,Models!G:G,D407)</f>
        <v>0</v>
      </c>
      <c r="F407" s="32">
        <f>_xlfn.XLOOKUP(B407,Input!J:J,Input!E:E)</f>
        <v>0</v>
      </c>
      <c r="G407" s="32">
        <f>IF(F407="LENOVO",_xlfn.XLOOKUP(B407,Input!J:J,Input!K:K),_xlfn.XLOOKUP(B407,Input!J:J,Input!L:L))</f>
        <v>0</v>
      </c>
      <c r="H407" s="32"/>
      <c r="I407" s="32"/>
      <c r="J407" s="32"/>
      <c r="K407" s="42" t="e">
        <f>INDEX(Input!$D$2:$AC$500,
       MATCH(B407, Input!$J$2:$J$500, 0),
       MATCH("Total Memory", Input!$D$1:$AC$1, 0))</f>
        <v>#N/A</v>
      </c>
      <c r="L407" s="42"/>
      <c r="M407" s="42" t="str" cm="1">
        <f t="array" ref="M407">IFERROR(_xlfn.FILTERXML("&lt;t&gt;&lt;s&gt;" &amp; SUBSTITUTE(L407," / ","&lt;/s&gt;&lt;s&gt;") &amp; "&lt;/s&gt;&lt;/t&gt;","(//s[contains(.,'DDR')])[1]"),"")</f>
        <v/>
      </c>
      <c r="N407" s="32" t="e">
        <f t="shared" si="20"/>
        <v>#N/A</v>
      </c>
      <c r="O407" s="42" t="e">
        <f>INDEX(Input!$D$2:$AC$500,
       MATCH(B407, Input!$J$2:$J$500, 0),
       MATCH("Disk Interface Type", Input!$D$1:$AC$1, 0))</f>
        <v>#N/A</v>
      </c>
      <c r="P407" s="42" t="str" cm="1">
        <f t="array" ref="P407">IFERROR(_xlfn.TEXTJOIN(", ", TRUE, _xlfn._xlws.FILTER(
    INDEX(Input!$D$2:$AC$500,,MATCH("Disk Capacity",Input!$D$1:$AC$1,0)),
    Input!$J$2:$J$500=B407
)), "")</f>
        <v/>
      </c>
      <c r="Q407" s="32" t="e">
        <f t="shared" si="19"/>
        <v>#N/A</v>
      </c>
      <c r="R407" s="42" t="e">
        <f>_xlfn.LET(_xlpm.Result,INDEX(Input!$D$2:$AC$500,
       MATCH(B407, Input!$J$2:$J$500, 0),
       MATCH("Capacity", Input!$D$1:$AC$1, 0)),IF(_xlpm.Result="","",_xlpm.Result))</f>
        <v>#N/A</v>
      </c>
      <c r="S407" s="42" t="e" cm="1">
        <f t="array" ref="S407">_xlfn.TEXTSPLIT(R407," / ", ,TRUE,0,)</f>
        <v>#N/A</v>
      </c>
      <c r="T407" s="42"/>
      <c r="U407" s="42" t="str" cm="1">
        <f t="array" ref="U407">IFERROR(_xlfn.IFS(
S407="","",
--S407&lt;55,"Battery Defect",
--S407&lt;=69,"Battery D",
--S407&lt;=80,"Battery C",
--S407&gt;80,""
),"")</f>
        <v/>
      </c>
      <c r="V407" s="42" t="str" cm="1">
        <f t="array" ref="V407">IFERROR(_xlfn.IFS(
T407="","",
--T407&lt;55,"Battery Defect",
--T407&lt;=69,"Battery D",
--T407&lt;=80,"Battery C",
--T407&gt;80,""
),"")</f>
        <v/>
      </c>
      <c r="W407" s="42"/>
      <c r="X407" s="42"/>
      <c r="Y407" s="42"/>
      <c r="Z407" s="42"/>
      <c r="AA407" s="42"/>
      <c r="AB407" s="42"/>
      <c r="AC407" s="42"/>
      <c r="AD407" s="42"/>
      <c r="AE407" s="32" t="str">
        <f t="shared" si="18"/>
        <v/>
      </c>
      <c r="AF407" s="32"/>
      <c r="AG407" s="32"/>
      <c r="AH407" s="32"/>
      <c r="AI407" s="32"/>
      <c r="AJ407" s="32"/>
      <c r="AK407" s="32"/>
      <c r="AL407" s="32"/>
      <c r="AM407" s="32"/>
    </row>
    <row r="408" spans="1:39">
      <c r="A408" s="32" t="str">
        <f>_xlfn.XLOOKUP(B408,Input!J:J,Input!G:G)&amp;""</f>
        <v/>
      </c>
      <c r="B408" s="32"/>
      <c r="C408" s="32" t="str">
        <f>_xlfn.XLOOKUP(B408,Input!J:J,Input!H:H)&amp;""</f>
        <v/>
      </c>
      <c r="D408" s="42">
        <f>_xlfn.XLOOKUP(B408,Input!J:J,Input!F:F)</f>
        <v>0</v>
      </c>
      <c r="E408" s="32">
        <f>_xlfn.XLOOKUP(D408,Models!H:H,Models!G:G,D408)</f>
        <v>0</v>
      </c>
      <c r="F408" s="32">
        <f>_xlfn.XLOOKUP(B408,Input!J:J,Input!E:E)</f>
        <v>0</v>
      </c>
      <c r="G408" s="32">
        <f>IF(F408="LENOVO",_xlfn.XLOOKUP(B408,Input!J:J,Input!K:K),_xlfn.XLOOKUP(B408,Input!J:J,Input!L:L))</f>
        <v>0</v>
      </c>
      <c r="H408" s="32"/>
      <c r="I408" s="32"/>
      <c r="J408" s="32"/>
      <c r="K408" s="42" t="e">
        <f>INDEX(Input!$D$2:$AC$500,
       MATCH(B408, Input!$J$2:$J$500, 0),
       MATCH("Total Memory", Input!$D$1:$AC$1, 0))</f>
        <v>#N/A</v>
      </c>
      <c r="L408" s="42"/>
      <c r="M408" s="42" t="str" cm="1">
        <f t="array" ref="M408">IFERROR(_xlfn.FILTERXML("&lt;t&gt;&lt;s&gt;" &amp; SUBSTITUTE(L408," / ","&lt;/s&gt;&lt;s&gt;") &amp; "&lt;/s&gt;&lt;/t&gt;","(//s[contains(.,'DDR')])[1]"),"")</f>
        <v/>
      </c>
      <c r="N408" s="32" t="e">
        <f t="shared" si="20"/>
        <v>#N/A</v>
      </c>
      <c r="O408" s="42" t="e">
        <f>INDEX(Input!$D$2:$AC$500,
       MATCH(B408, Input!$J$2:$J$500, 0),
       MATCH("Disk Interface Type", Input!$D$1:$AC$1, 0))</f>
        <v>#N/A</v>
      </c>
      <c r="P408" s="42" t="str" cm="1">
        <f t="array" ref="P408">IFERROR(_xlfn.TEXTJOIN(", ", TRUE, _xlfn._xlws.FILTER(
    INDEX(Input!$D$2:$AC$500,,MATCH("Disk Capacity",Input!$D$1:$AC$1,0)),
    Input!$J$2:$J$500=B408
)), "")</f>
        <v/>
      </c>
      <c r="Q408" s="32" t="e">
        <f t="shared" si="19"/>
        <v>#N/A</v>
      </c>
      <c r="R408" s="42" t="e">
        <f>_xlfn.LET(_xlpm.Result,INDEX(Input!$D$2:$AC$500,
       MATCH(B408, Input!$J$2:$J$500, 0),
       MATCH("Capacity", Input!$D$1:$AC$1, 0)),IF(_xlpm.Result="","",_xlpm.Result))</f>
        <v>#N/A</v>
      </c>
      <c r="S408" s="42" t="e" cm="1">
        <f t="array" ref="S408">_xlfn.TEXTSPLIT(R408," / ", ,TRUE,0,)</f>
        <v>#N/A</v>
      </c>
      <c r="T408" s="42"/>
      <c r="U408" s="42" t="str" cm="1">
        <f t="array" ref="U408">IFERROR(_xlfn.IFS(
S408="","",
--S408&lt;55,"Battery Defect",
--S408&lt;=69,"Battery D",
--S408&lt;=80,"Battery C",
--S408&gt;80,""
),"")</f>
        <v/>
      </c>
      <c r="V408" s="42" t="str" cm="1">
        <f t="array" ref="V408">IFERROR(_xlfn.IFS(
T408="","",
--T408&lt;55,"Battery Defect",
--T408&lt;=69,"Battery D",
--T408&lt;=80,"Battery C",
--T408&gt;80,""
),"")</f>
        <v/>
      </c>
      <c r="W408" s="42"/>
      <c r="X408" s="42"/>
      <c r="Y408" s="42"/>
      <c r="Z408" s="42"/>
      <c r="AA408" s="42"/>
      <c r="AB408" s="42"/>
      <c r="AC408" s="42"/>
      <c r="AD408" s="42"/>
      <c r="AE408" s="32" t="str">
        <f t="shared" si="18"/>
        <v/>
      </c>
      <c r="AF408" s="32"/>
      <c r="AG408" s="32"/>
      <c r="AH408" s="32"/>
      <c r="AI408" s="32"/>
      <c r="AJ408" s="32"/>
      <c r="AK408" s="32"/>
      <c r="AL408" s="32"/>
      <c r="AM408" s="32"/>
    </row>
    <row r="409" spans="1:39">
      <c r="A409" s="32" t="str">
        <f>_xlfn.XLOOKUP(B409,Input!J:J,Input!G:G)&amp;""</f>
        <v/>
      </c>
      <c r="B409" s="32"/>
      <c r="C409" s="32" t="str">
        <f>_xlfn.XLOOKUP(B409,Input!J:J,Input!H:H)&amp;""</f>
        <v/>
      </c>
      <c r="D409" s="42">
        <f>_xlfn.XLOOKUP(B409,Input!J:J,Input!F:F)</f>
        <v>0</v>
      </c>
      <c r="E409" s="32">
        <f>_xlfn.XLOOKUP(D409,Models!H:H,Models!G:G,D409)</f>
        <v>0</v>
      </c>
      <c r="F409" s="32">
        <f>_xlfn.XLOOKUP(B409,Input!J:J,Input!E:E)</f>
        <v>0</v>
      </c>
      <c r="G409" s="32">
        <f>IF(F409="LENOVO",_xlfn.XLOOKUP(B409,Input!J:J,Input!K:K),_xlfn.XLOOKUP(B409,Input!J:J,Input!L:L))</f>
        <v>0</v>
      </c>
      <c r="H409" s="32"/>
      <c r="I409" s="32"/>
      <c r="J409" s="32"/>
      <c r="K409" s="42" t="e">
        <f>INDEX(Input!$D$2:$AC$500,
       MATCH(B409, Input!$J$2:$J$500, 0),
       MATCH("Total Memory", Input!$D$1:$AC$1, 0))</f>
        <v>#N/A</v>
      </c>
      <c r="L409" s="42"/>
      <c r="M409" s="42" t="str" cm="1">
        <f t="array" ref="M409">IFERROR(_xlfn.FILTERXML("&lt;t&gt;&lt;s&gt;" &amp; SUBSTITUTE(L409," / ","&lt;/s&gt;&lt;s&gt;") &amp; "&lt;/s&gt;&lt;/t&gt;","(//s[contains(.,'DDR')])[1]"),"")</f>
        <v/>
      </c>
      <c r="N409" s="32" t="e">
        <f t="shared" si="20"/>
        <v>#N/A</v>
      </c>
      <c r="O409" s="42" t="e">
        <f>INDEX(Input!$D$2:$AC$500,
       MATCH(B409, Input!$J$2:$J$500, 0),
       MATCH("Disk Interface Type", Input!$D$1:$AC$1, 0))</f>
        <v>#N/A</v>
      </c>
      <c r="P409" s="42" t="str" cm="1">
        <f t="array" ref="P409">IFERROR(_xlfn.TEXTJOIN(", ", TRUE, _xlfn._xlws.FILTER(
    INDEX(Input!$D$2:$AC$500,,MATCH("Disk Capacity",Input!$D$1:$AC$1,0)),
    Input!$J$2:$J$500=B409
)), "")</f>
        <v/>
      </c>
      <c r="Q409" s="32" t="e">
        <f t="shared" si="19"/>
        <v>#N/A</v>
      </c>
      <c r="R409" s="42" t="e">
        <f>_xlfn.LET(_xlpm.Result,INDEX(Input!$D$2:$AC$500,
       MATCH(B409, Input!$J$2:$J$500, 0),
       MATCH("Capacity", Input!$D$1:$AC$1, 0)),IF(_xlpm.Result="","",_xlpm.Result))</f>
        <v>#N/A</v>
      </c>
      <c r="S409" s="42" t="e" cm="1">
        <f t="array" ref="S409">_xlfn.TEXTSPLIT(R409," / ", ,TRUE,0,)</f>
        <v>#N/A</v>
      </c>
      <c r="T409" s="42"/>
      <c r="U409" s="42" t="str" cm="1">
        <f t="array" ref="U409">IFERROR(_xlfn.IFS(
S409="","",
--S409&lt;55,"Battery Defect",
--S409&lt;=69,"Battery D",
--S409&lt;=80,"Battery C",
--S409&gt;80,""
),"")</f>
        <v/>
      </c>
      <c r="V409" s="42" t="str" cm="1">
        <f t="array" ref="V409">IFERROR(_xlfn.IFS(
T409="","",
--T409&lt;55,"Battery Defect",
--T409&lt;=69,"Battery D",
--T409&lt;=80,"Battery C",
--T409&gt;80,""
),"")</f>
        <v/>
      </c>
      <c r="W409" s="42"/>
      <c r="X409" s="42"/>
      <c r="Y409" s="42"/>
      <c r="Z409" s="42"/>
      <c r="AA409" s="42"/>
      <c r="AB409" s="42"/>
      <c r="AC409" s="42"/>
      <c r="AD409" s="42"/>
      <c r="AE409" s="32" t="str">
        <f t="shared" si="18"/>
        <v/>
      </c>
      <c r="AF409" s="32"/>
      <c r="AG409" s="32"/>
      <c r="AH409" s="32"/>
      <c r="AI409" s="32"/>
      <c r="AJ409" s="32"/>
      <c r="AK409" s="32"/>
      <c r="AL409" s="32"/>
      <c r="AM409" s="32"/>
    </row>
    <row r="410" spans="1:39">
      <c r="A410" s="32" t="str">
        <f>_xlfn.XLOOKUP(B410,Input!J:J,Input!G:G)&amp;""</f>
        <v/>
      </c>
      <c r="B410" s="32"/>
      <c r="C410" s="32" t="str">
        <f>_xlfn.XLOOKUP(B410,Input!J:J,Input!H:H)&amp;""</f>
        <v/>
      </c>
      <c r="D410" s="42">
        <f>_xlfn.XLOOKUP(B410,Input!J:J,Input!F:F)</f>
        <v>0</v>
      </c>
      <c r="E410" s="32">
        <f>_xlfn.XLOOKUP(D410,Models!H:H,Models!G:G,D410)</f>
        <v>0</v>
      </c>
      <c r="F410" s="32">
        <f>_xlfn.XLOOKUP(B410,Input!J:J,Input!E:E)</f>
        <v>0</v>
      </c>
      <c r="G410" s="32">
        <f>IF(F410="LENOVO",_xlfn.XLOOKUP(B410,Input!J:J,Input!K:K),_xlfn.XLOOKUP(B410,Input!J:J,Input!L:L))</f>
        <v>0</v>
      </c>
      <c r="H410" s="32"/>
      <c r="I410" s="32"/>
      <c r="J410" s="32"/>
      <c r="K410" s="42" t="e">
        <f>INDEX(Input!$D$2:$AC$500,
       MATCH(B410, Input!$J$2:$J$500, 0),
       MATCH("Total Memory", Input!$D$1:$AC$1, 0))</f>
        <v>#N/A</v>
      </c>
      <c r="L410" s="42"/>
      <c r="M410" s="42" t="str" cm="1">
        <f t="array" ref="M410">IFERROR(_xlfn.FILTERXML("&lt;t&gt;&lt;s&gt;" &amp; SUBSTITUTE(L410," / ","&lt;/s&gt;&lt;s&gt;") &amp; "&lt;/s&gt;&lt;/t&gt;","(//s[contains(.,'DDR')])[1]"),"")</f>
        <v/>
      </c>
      <c r="N410" s="32" t="e">
        <f t="shared" si="20"/>
        <v>#N/A</v>
      </c>
      <c r="O410" s="42" t="e">
        <f>INDEX(Input!$D$2:$AC$500,
       MATCH(B410, Input!$J$2:$J$500, 0),
       MATCH("Disk Interface Type", Input!$D$1:$AC$1, 0))</f>
        <v>#N/A</v>
      </c>
      <c r="P410" s="42" t="str" cm="1">
        <f t="array" ref="P410">IFERROR(_xlfn.TEXTJOIN(", ", TRUE, _xlfn._xlws.FILTER(
    INDEX(Input!$D$2:$AC$500,,MATCH("Disk Capacity",Input!$D$1:$AC$1,0)),
    Input!$J$2:$J$500=B410
)), "")</f>
        <v/>
      </c>
      <c r="Q410" s="32" t="e">
        <f t="shared" si="19"/>
        <v>#N/A</v>
      </c>
      <c r="R410" s="42" t="e">
        <f>_xlfn.LET(_xlpm.Result,INDEX(Input!$D$2:$AC$500,
       MATCH(B410, Input!$J$2:$J$500, 0),
       MATCH("Capacity", Input!$D$1:$AC$1, 0)),IF(_xlpm.Result="","",_xlpm.Result))</f>
        <v>#N/A</v>
      </c>
      <c r="S410" s="42" t="e" cm="1">
        <f t="array" ref="S410">_xlfn.TEXTSPLIT(R410," / ", ,TRUE,0,)</f>
        <v>#N/A</v>
      </c>
      <c r="T410" s="42"/>
      <c r="U410" s="42" t="str" cm="1">
        <f t="array" ref="U410">IFERROR(_xlfn.IFS(
S410="","",
--S410&lt;55,"Battery Defect",
--S410&lt;=69,"Battery D",
--S410&lt;=80,"Battery C",
--S410&gt;80,""
),"")</f>
        <v/>
      </c>
      <c r="V410" s="42" t="str" cm="1">
        <f t="array" ref="V410">IFERROR(_xlfn.IFS(
T410="","",
--T410&lt;55,"Battery Defect",
--T410&lt;=69,"Battery D",
--T410&lt;=80,"Battery C",
--T410&gt;80,""
),"")</f>
        <v/>
      </c>
      <c r="W410" s="42"/>
      <c r="X410" s="42"/>
      <c r="Y410" s="42"/>
      <c r="Z410" s="42"/>
      <c r="AA410" s="42"/>
      <c r="AB410" s="42"/>
      <c r="AC410" s="42"/>
      <c r="AD410" s="42"/>
      <c r="AE410" s="32" t="str">
        <f t="shared" si="18"/>
        <v/>
      </c>
      <c r="AF410" s="32"/>
      <c r="AG410" s="32"/>
      <c r="AH410" s="32"/>
      <c r="AI410" s="32"/>
      <c r="AJ410" s="32"/>
      <c r="AK410" s="32"/>
      <c r="AL410" s="32"/>
      <c r="AM410" s="32"/>
    </row>
    <row r="411" spans="1:39">
      <c r="A411" s="32" t="str">
        <f>_xlfn.XLOOKUP(B411,Input!J:J,Input!G:G)&amp;""</f>
        <v/>
      </c>
      <c r="B411" s="32"/>
      <c r="C411" s="32" t="str">
        <f>_xlfn.XLOOKUP(B411,Input!J:J,Input!H:H)&amp;""</f>
        <v/>
      </c>
      <c r="D411" s="42">
        <f>_xlfn.XLOOKUP(B411,Input!J:J,Input!F:F)</f>
        <v>0</v>
      </c>
      <c r="E411" s="32">
        <f>_xlfn.XLOOKUP(D411,Models!H:H,Models!G:G,D411)</f>
        <v>0</v>
      </c>
      <c r="F411" s="32">
        <f>_xlfn.XLOOKUP(B411,Input!J:J,Input!E:E)</f>
        <v>0</v>
      </c>
      <c r="G411" s="32">
        <f>IF(F411="LENOVO",_xlfn.XLOOKUP(B411,Input!J:J,Input!K:K),_xlfn.XLOOKUP(B411,Input!J:J,Input!L:L))</f>
        <v>0</v>
      </c>
      <c r="H411" s="32"/>
      <c r="I411" s="32"/>
      <c r="J411" s="32"/>
      <c r="K411" s="42" t="e">
        <f>INDEX(Input!$D$2:$AC$500,
       MATCH(B411, Input!$J$2:$J$500, 0),
       MATCH("Total Memory", Input!$D$1:$AC$1, 0))</f>
        <v>#N/A</v>
      </c>
      <c r="L411" s="42"/>
      <c r="M411" s="42" t="str" cm="1">
        <f t="array" ref="M411">IFERROR(_xlfn.FILTERXML("&lt;t&gt;&lt;s&gt;" &amp; SUBSTITUTE(L411," / ","&lt;/s&gt;&lt;s&gt;") &amp; "&lt;/s&gt;&lt;/t&gt;","(//s[contains(.,'DDR')])[1]"),"")</f>
        <v/>
      </c>
      <c r="N411" s="32" t="e">
        <f t="shared" si="20"/>
        <v>#N/A</v>
      </c>
      <c r="O411" s="42" t="e">
        <f>INDEX(Input!$D$2:$AC$500,
       MATCH(B411, Input!$J$2:$J$500, 0),
       MATCH("Disk Interface Type", Input!$D$1:$AC$1, 0))</f>
        <v>#N/A</v>
      </c>
      <c r="P411" s="42" t="str" cm="1">
        <f t="array" ref="P411">IFERROR(_xlfn.TEXTJOIN(", ", TRUE, _xlfn._xlws.FILTER(
    INDEX(Input!$D$2:$AC$500,,MATCH("Disk Capacity",Input!$D$1:$AC$1,0)),
    Input!$J$2:$J$500=B411
)), "")</f>
        <v/>
      </c>
      <c r="Q411" s="32" t="e">
        <f t="shared" si="19"/>
        <v>#N/A</v>
      </c>
      <c r="R411" s="42" t="e">
        <f>_xlfn.LET(_xlpm.Result,INDEX(Input!$D$2:$AC$500,
       MATCH(B411, Input!$J$2:$J$500, 0),
       MATCH("Capacity", Input!$D$1:$AC$1, 0)),IF(_xlpm.Result="","",_xlpm.Result))</f>
        <v>#N/A</v>
      </c>
      <c r="S411" s="42" t="e" cm="1">
        <f t="array" ref="S411">_xlfn.TEXTSPLIT(R411," / ", ,TRUE,0,)</f>
        <v>#N/A</v>
      </c>
      <c r="T411" s="42"/>
      <c r="U411" s="42" t="str" cm="1">
        <f t="array" ref="U411">IFERROR(_xlfn.IFS(
S411="","",
--S411&lt;55,"Battery Defect",
--S411&lt;=69,"Battery D",
--S411&lt;=80,"Battery C",
--S411&gt;80,""
),"")</f>
        <v/>
      </c>
      <c r="V411" s="42" t="str" cm="1">
        <f t="array" ref="V411">IFERROR(_xlfn.IFS(
T411="","",
--T411&lt;55,"Battery Defect",
--T411&lt;=69,"Battery D",
--T411&lt;=80,"Battery C",
--T411&gt;80,""
),"")</f>
        <v/>
      </c>
      <c r="W411" s="42"/>
      <c r="X411" s="42"/>
      <c r="Y411" s="42"/>
      <c r="Z411" s="42"/>
      <c r="AA411" s="42"/>
      <c r="AB411" s="42"/>
      <c r="AC411" s="42"/>
      <c r="AD411" s="42"/>
      <c r="AE411" s="32" t="str">
        <f t="shared" si="18"/>
        <v/>
      </c>
      <c r="AF411" s="32"/>
      <c r="AG411" s="32"/>
      <c r="AH411" s="32"/>
      <c r="AI411" s="32"/>
      <c r="AJ411" s="32"/>
      <c r="AK411" s="32"/>
      <c r="AL411" s="32"/>
      <c r="AM411" s="32"/>
    </row>
    <row r="412" spans="1:39">
      <c r="A412" s="32" t="str">
        <f>_xlfn.XLOOKUP(B412,Input!J:J,Input!G:G)&amp;""</f>
        <v/>
      </c>
      <c r="B412" s="32"/>
      <c r="C412" s="32" t="str">
        <f>_xlfn.XLOOKUP(B412,Input!J:J,Input!H:H)&amp;""</f>
        <v/>
      </c>
      <c r="D412" s="42">
        <f>_xlfn.XLOOKUP(B412,Input!J:J,Input!F:F)</f>
        <v>0</v>
      </c>
      <c r="E412" s="32">
        <f>_xlfn.XLOOKUP(D412,Models!H:H,Models!G:G,D412)</f>
        <v>0</v>
      </c>
      <c r="F412" s="32">
        <f>_xlfn.XLOOKUP(B412,Input!J:J,Input!E:E)</f>
        <v>0</v>
      </c>
      <c r="G412" s="32">
        <f>IF(F412="LENOVO",_xlfn.XLOOKUP(B412,Input!J:J,Input!K:K),_xlfn.XLOOKUP(B412,Input!J:J,Input!L:L))</f>
        <v>0</v>
      </c>
      <c r="H412" s="32"/>
      <c r="I412" s="32"/>
      <c r="J412" s="32"/>
      <c r="K412" s="42" t="e">
        <f>INDEX(Input!$D$2:$AC$500,
       MATCH(B412, Input!$J$2:$J$500, 0),
       MATCH("Total Memory", Input!$D$1:$AC$1, 0))</f>
        <v>#N/A</v>
      </c>
      <c r="L412" s="42"/>
      <c r="M412" s="42" t="str" cm="1">
        <f t="array" ref="M412">IFERROR(_xlfn.FILTERXML("&lt;t&gt;&lt;s&gt;" &amp; SUBSTITUTE(L412," / ","&lt;/s&gt;&lt;s&gt;") &amp; "&lt;/s&gt;&lt;/t&gt;","(//s[contains(.,'DDR')])[1]"),"")</f>
        <v/>
      </c>
      <c r="N412" s="32" t="e">
        <f t="shared" si="20"/>
        <v>#N/A</v>
      </c>
      <c r="O412" s="42" t="e">
        <f>INDEX(Input!$D$2:$AC$500,
       MATCH(B412, Input!$J$2:$J$500, 0),
       MATCH("Disk Interface Type", Input!$D$1:$AC$1, 0))</f>
        <v>#N/A</v>
      </c>
      <c r="P412" s="42" t="str" cm="1">
        <f t="array" ref="P412">IFERROR(_xlfn.TEXTJOIN(", ", TRUE, _xlfn._xlws.FILTER(
    INDEX(Input!$D$2:$AC$500,,MATCH("Disk Capacity",Input!$D$1:$AC$1,0)),
    Input!$J$2:$J$500=B412
)), "")</f>
        <v/>
      </c>
      <c r="Q412" s="32" t="e">
        <f t="shared" si="19"/>
        <v>#N/A</v>
      </c>
      <c r="R412" s="42" t="e">
        <f>_xlfn.LET(_xlpm.Result,INDEX(Input!$D$2:$AC$500,
       MATCH(B412, Input!$J$2:$J$500, 0),
       MATCH("Capacity", Input!$D$1:$AC$1, 0)),IF(_xlpm.Result="","",_xlpm.Result))</f>
        <v>#N/A</v>
      </c>
      <c r="S412" s="42" t="e" cm="1">
        <f t="array" ref="S412">_xlfn.TEXTSPLIT(R412," / ", ,TRUE,0,)</f>
        <v>#N/A</v>
      </c>
      <c r="T412" s="42"/>
      <c r="U412" s="42" t="str" cm="1">
        <f t="array" ref="U412">IFERROR(_xlfn.IFS(
S412="","",
--S412&lt;55,"Battery Defect",
--S412&lt;=69,"Battery D",
--S412&lt;=80,"Battery C",
--S412&gt;80,""
),"")</f>
        <v/>
      </c>
      <c r="V412" s="42" t="str" cm="1">
        <f t="array" ref="V412">IFERROR(_xlfn.IFS(
T412="","",
--T412&lt;55,"Battery Defect",
--T412&lt;=69,"Battery D",
--T412&lt;=80,"Battery C",
--T412&gt;80,""
),"")</f>
        <v/>
      </c>
      <c r="W412" s="42"/>
      <c r="X412" s="42"/>
      <c r="Y412" s="42"/>
      <c r="Z412" s="42"/>
      <c r="AA412" s="42"/>
      <c r="AB412" s="42"/>
      <c r="AC412" s="42"/>
      <c r="AD412" s="42"/>
      <c r="AE412" s="32" t="str">
        <f t="shared" si="18"/>
        <v/>
      </c>
      <c r="AF412" s="32"/>
      <c r="AG412" s="32"/>
      <c r="AH412" s="32"/>
      <c r="AI412" s="32"/>
      <c r="AJ412" s="32"/>
      <c r="AK412" s="32"/>
      <c r="AL412" s="32"/>
      <c r="AM412" s="32"/>
    </row>
    <row r="413" spans="1:39">
      <c r="A413" s="32" t="str">
        <f>_xlfn.XLOOKUP(B413,Input!J:J,Input!G:G)&amp;""</f>
        <v/>
      </c>
      <c r="B413" s="32"/>
      <c r="C413" s="32" t="str">
        <f>_xlfn.XLOOKUP(B413,Input!J:J,Input!H:H)&amp;""</f>
        <v/>
      </c>
      <c r="D413" s="42">
        <f>_xlfn.XLOOKUP(B413,Input!J:J,Input!F:F)</f>
        <v>0</v>
      </c>
      <c r="E413" s="32">
        <f>_xlfn.XLOOKUP(D413,Models!H:H,Models!G:G,D413)</f>
        <v>0</v>
      </c>
      <c r="F413" s="32">
        <f>_xlfn.XLOOKUP(B413,Input!J:J,Input!E:E)</f>
        <v>0</v>
      </c>
      <c r="G413" s="32">
        <f>IF(F413="LENOVO",_xlfn.XLOOKUP(B413,Input!J:J,Input!K:K),_xlfn.XLOOKUP(B413,Input!J:J,Input!L:L))</f>
        <v>0</v>
      </c>
      <c r="H413" s="32"/>
      <c r="I413" s="32"/>
      <c r="J413" s="32"/>
      <c r="K413" s="42" t="e">
        <f>INDEX(Input!$D$2:$AC$500,
       MATCH(B413, Input!$J$2:$J$500, 0),
       MATCH("Total Memory", Input!$D$1:$AC$1, 0))</f>
        <v>#N/A</v>
      </c>
      <c r="L413" s="42"/>
      <c r="M413" s="42" t="str" cm="1">
        <f t="array" ref="M413">IFERROR(_xlfn.FILTERXML("&lt;t&gt;&lt;s&gt;" &amp; SUBSTITUTE(L413," / ","&lt;/s&gt;&lt;s&gt;") &amp; "&lt;/s&gt;&lt;/t&gt;","(//s[contains(.,'DDR')])[1]"),"")</f>
        <v/>
      </c>
      <c r="N413" s="32" t="e">
        <f t="shared" si="20"/>
        <v>#N/A</v>
      </c>
      <c r="O413" s="42" t="e">
        <f>INDEX(Input!$D$2:$AC$500,
       MATCH(B413, Input!$J$2:$J$500, 0),
       MATCH("Disk Interface Type", Input!$D$1:$AC$1, 0))</f>
        <v>#N/A</v>
      </c>
      <c r="P413" s="42" t="str" cm="1">
        <f t="array" ref="P413">IFERROR(_xlfn.TEXTJOIN(", ", TRUE, _xlfn._xlws.FILTER(
    INDEX(Input!$D$2:$AC$500,,MATCH("Disk Capacity",Input!$D$1:$AC$1,0)),
    Input!$J$2:$J$500=B413
)), "")</f>
        <v/>
      </c>
      <c r="Q413" s="32" t="e">
        <f t="shared" si="19"/>
        <v>#N/A</v>
      </c>
      <c r="R413" s="42" t="e">
        <f>_xlfn.LET(_xlpm.Result,INDEX(Input!$D$2:$AC$500,
       MATCH(B413, Input!$J$2:$J$500, 0),
       MATCH("Capacity", Input!$D$1:$AC$1, 0)),IF(_xlpm.Result="","",_xlpm.Result))</f>
        <v>#N/A</v>
      </c>
      <c r="S413" s="42" t="e" cm="1">
        <f t="array" ref="S413">_xlfn.TEXTSPLIT(R413," / ", ,TRUE,0,)</f>
        <v>#N/A</v>
      </c>
      <c r="T413" s="42"/>
      <c r="U413" s="42" t="str" cm="1">
        <f t="array" ref="U413">IFERROR(_xlfn.IFS(
S413="","",
--S413&lt;55,"Battery Defect",
--S413&lt;=69,"Battery D",
--S413&lt;=80,"Battery C",
--S413&gt;80,""
),"")</f>
        <v/>
      </c>
      <c r="V413" s="42" t="str" cm="1">
        <f t="array" ref="V413">IFERROR(_xlfn.IFS(
T413="","",
--T413&lt;55,"Battery Defect",
--T413&lt;=69,"Battery D",
--T413&lt;=80,"Battery C",
--T413&gt;80,""
),"")</f>
        <v/>
      </c>
      <c r="W413" s="42"/>
      <c r="X413" s="42"/>
      <c r="Y413" s="42"/>
      <c r="Z413" s="42"/>
      <c r="AA413" s="42"/>
      <c r="AB413" s="42"/>
      <c r="AC413" s="42"/>
      <c r="AD413" s="42"/>
      <c r="AE413" s="32" t="str">
        <f t="shared" si="18"/>
        <v/>
      </c>
      <c r="AF413" s="32"/>
      <c r="AG413" s="32"/>
      <c r="AH413" s="32"/>
      <c r="AI413" s="32"/>
      <c r="AJ413" s="32"/>
      <c r="AK413" s="32"/>
      <c r="AL413" s="32"/>
      <c r="AM413" s="32"/>
    </row>
    <row r="414" spans="1:39">
      <c r="A414" s="32" t="str">
        <f>_xlfn.XLOOKUP(B414,Input!J:J,Input!G:G)&amp;""</f>
        <v/>
      </c>
      <c r="B414" s="32"/>
      <c r="C414" s="32" t="str">
        <f>_xlfn.XLOOKUP(B414,Input!J:J,Input!H:H)&amp;""</f>
        <v/>
      </c>
      <c r="D414" s="42">
        <f>_xlfn.XLOOKUP(B414,Input!J:J,Input!F:F)</f>
        <v>0</v>
      </c>
      <c r="E414" s="32">
        <f>_xlfn.XLOOKUP(D414,Models!H:H,Models!G:G,D414)</f>
        <v>0</v>
      </c>
      <c r="F414" s="32">
        <f>_xlfn.XLOOKUP(B414,Input!J:J,Input!E:E)</f>
        <v>0</v>
      </c>
      <c r="G414" s="32">
        <f>IF(F414="LENOVO",_xlfn.XLOOKUP(B414,Input!J:J,Input!K:K),_xlfn.XLOOKUP(B414,Input!J:J,Input!L:L))</f>
        <v>0</v>
      </c>
      <c r="H414" s="32"/>
      <c r="I414" s="32"/>
      <c r="J414" s="32"/>
      <c r="K414" s="42" t="e">
        <f>INDEX(Input!$D$2:$AC$500,
       MATCH(B414, Input!$J$2:$J$500, 0),
       MATCH("Total Memory", Input!$D$1:$AC$1, 0))</f>
        <v>#N/A</v>
      </c>
      <c r="L414" s="42"/>
      <c r="M414" s="42" t="str" cm="1">
        <f t="array" ref="M414">IFERROR(_xlfn.FILTERXML("&lt;t&gt;&lt;s&gt;" &amp; SUBSTITUTE(L414," / ","&lt;/s&gt;&lt;s&gt;") &amp; "&lt;/s&gt;&lt;/t&gt;","(//s[contains(.,'DDR')])[1]"),"")</f>
        <v/>
      </c>
      <c r="N414" s="32" t="e">
        <f t="shared" si="20"/>
        <v>#N/A</v>
      </c>
      <c r="O414" s="42" t="e">
        <f>INDEX(Input!$D$2:$AC$500,
       MATCH(B414, Input!$J$2:$J$500, 0),
       MATCH("Disk Interface Type", Input!$D$1:$AC$1, 0))</f>
        <v>#N/A</v>
      </c>
      <c r="P414" s="42" t="str" cm="1">
        <f t="array" ref="P414">IFERROR(_xlfn.TEXTJOIN(", ", TRUE, _xlfn._xlws.FILTER(
    INDEX(Input!$D$2:$AC$500,,MATCH("Disk Capacity",Input!$D$1:$AC$1,0)),
    Input!$J$2:$J$500=B414
)), "")</f>
        <v/>
      </c>
      <c r="Q414" s="32" t="e">
        <f t="shared" si="19"/>
        <v>#N/A</v>
      </c>
      <c r="R414" s="42" t="e">
        <f>_xlfn.LET(_xlpm.Result,INDEX(Input!$D$2:$AC$500,
       MATCH(B414, Input!$J$2:$J$500, 0),
       MATCH("Capacity", Input!$D$1:$AC$1, 0)),IF(_xlpm.Result="","",_xlpm.Result))</f>
        <v>#N/A</v>
      </c>
      <c r="S414" s="42" t="e" cm="1">
        <f t="array" ref="S414">_xlfn.TEXTSPLIT(R414," / ", ,TRUE,0,)</f>
        <v>#N/A</v>
      </c>
      <c r="T414" s="42"/>
      <c r="U414" s="42" t="str" cm="1">
        <f t="array" ref="U414">IFERROR(_xlfn.IFS(
S414="","",
--S414&lt;55,"Battery Defect",
--S414&lt;=69,"Battery D",
--S414&lt;=80,"Battery C",
--S414&gt;80,""
),"")</f>
        <v/>
      </c>
      <c r="V414" s="42" t="str" cm="1">
        <f t="array" ref="V414">IFERROR(_xlfn.IFS(
T414="","",
--T414&lt;55,"Battery Defect",
--T414&lt;=69,"Battery D",
--T414&lt;=80,"Battery C",
--T414&gt;80,""
),"")</f>
        <v/>
      </c>
      <c r="W414" s="42"/>
      <c r="X414" s="42"/>
      <c r="Y414" s="42"/>
      <c r="Z414" s="42"/>
      <c r="AA414" s="42"/>
      <c r="AB414" s="42"/>
      <c r="AC414" s="42"/>
      <c r="AD414" s="42"/>
      <c r="AE414" s="32" t="str">
        <f t="shared" si="18"/>
        <v/>
      </c>
      <c r="AF414" s="32"/>
      <c r="AG414" s="32"/>
      <c r="AH414" s="32"/>
      <c r="AI414" s="32"/>
      <c r="AJ414" s="32"/>
      <c r="AK414" s="32"/>
      <c r="AL414" s="32"/>
      <c r="AM414" s="32"/>
    </row>
    <row r="415" spans="1:39">
      <c r="A415" s="32" t="str">
        <f>_xlfn.XLOOKUP(B415,Input!J:J,Input!G:G)&amp;""</f>
        <v/>
      </c>
      <c r="B415" s="32"/>
      <c r="C415" s="32" t="str">
        <f>_xlfn.XLOOKUP(B415,Input!J:J,Input!H:H)&amp;""</f>
        <v/>
      </c>
      <c r="D415" s="42">
        <f>_xlfn.XLOOKUP(B415,Input!J:J,Input!F:F)</f>
        <v>0</v>
      </c>
      <c r="E415" s="32">
        <f>_xlfn.XLOOKUP(D415,Models!H:H,Models!G:G,D415)</f>
        <v>0</v>
      </c>
      <c r="F415" s="32">
        <f>_xlfn.XLOOKUP(B415,Input!J:J,Input!E:E)</f>
        <v>0</v>
      </c>
      <c r="G415" s="32">
        <f>IF(F415="LENOVO",_xlfn.XLOOKUP(B415,Input!J:J,Input!K:K),_xlfn.XLOOKUP(B415,Input!J:J,Input!L:L))</f>
        <v>0</v>
      </c>
      <c r="H415" s="32"/>
      <c r="I415" s="32"/>
      <c r="J415" s="32"/>
      <c r="K415" s="42" t="e">
        <f>INDEX(Input!$D$2:$AC$500,
       MATCH(B415, Input!$J$2:$J$500, 0),
       MATCH("Total Memory", Input!$D$1:$AC$1, 0))</f>
        <v>#N/A</v>
      </c>
      <c r="L415" s="42"/>
      <c r="M415" s="42" t="str" cm="1">
        <f t="array" ref="M415">IFERROR(_xlfn.FILTERXML("&lt;t&gt;&lt;s&gt;" &amp; SUBSTITUTE(L415," / ","&lt;/s&gt;&lt;s&gt;") &amp; "&lt;/s&gt;&lt;/t&gt;","(//s[contains(.,'DDR')])[1]"),"")</f>
        <v/>
      </c>
      <c r="N415" s="32" t="e">
        <f t="shared" si="20"/>
        <v>#N/A</v>
      </c>
      <c r="O415" s="42" t="e">
        <f>INDEX(Input!$D$2:$AC$500,
       MATCH(B415, Input!$J$2:$J$500, 0),
       MATCH("Disk Interface Type", Input!$D$1:$AC$1, 0))</f>
        <v>#N/A</v>
      </c>
      <c r="P415" s="42" t="str" cm="1">
        <f t="array" ref="P415">IFERROR(_xlfn.TEXTJOIN(", ", TRUE, _xlfn._xlws.FILTER(
    INDEX(Input!$D$2:$AC$500,,MATCH("Disk Capacity",Input!$D$1:$AC$1,0)),
    Input!$J$2:$J$500=B415
)), "")</f>
        <v/>
      </c>
      <c r="Q415" s="32" t="e">
        <f t="shared" si="19"/>
        <v>#N/A</v>
      </c>
      <c r="R415" s="42" t="e">
        <f>_xlfn.LET(_xlpm.Result,INDEX(Input!$D$2:$AC$500,
       MATCH(B415, Input!$J$2:$J$500, 0),
       MATCH("Capacity", Input!$D$1:$AC$1, 0)),IF(_xlpm.Result="","",_xlpm.Result))</f>
        <v>#N/A</v>
      </c>
      <c r="S415" s="42" t="e" cm="1">
        <f t="array" ref="S415">_xlfn.TEXTSPLIT(R415," / ", ,TRUE,0,)</f>
        <v>#N/A</v>
      </c>
      <c r="T415" s="42"/>
      <c r="U415" s="42" t="str" cm="1">
        <f t="array" ref="U415">IFERROR(_xlfn.IFS(
S415="","",
--S415&lt;55,"Battery Defect",
--S415&lt;=69,"Battery D",
--S415&lt;=80,"Battery C",
--S415&gt;80,""
),"")</f>
        <v/>
      </c>
      <c r="V415" s="42" t="str" cm="1">
        <f t="array" ref="V415">IFERROR(_xlfn.IFS(
T415="","",
--T415&lt;55,"Battery Defect",
--T415&lt;=69,"Battery D",
--T415&lt;=80,"Battery C",
--T415&gt;80,""
),"")</f>
        <v/>
      </c>
      <c r="W415" s="42"/>
      <c r="X415" s="42"/>
      <c r="Y415" s="42"/>
      <c r="Z415" s="42"/>
      <c r="AA415" s="42"/>
      <c r="AB415" s="42"/>
      <c r="AC415" s="42"/>
      <c r="AD415" s="42"/>
      <c r="AE415" s="32" t="str">
        <f t="shared" si="18"/>
        <v/>
      </c>
      <c r="AF415" s="32"/>
      <c r="AG415" s="32"/>
      <c r="AH415" s="32"/>
      <c r="AI415" s="32"/>
      <c r="AJ415" s="32"/>
      <c r="AK415" s="32"/>
      <c r="AL415" s="32"/>
      <c r="AM415" s="32"/>
    </row>
    <row r="416" spans="1:39">
      <c r="A416" s="32" t="str">
        <f>_xlfn.XLOOKUP(B416,Input!J:J,Input!G:G)&amp;""</f>
        <v/>
      </c>
      <c r="B416" s="32"/>
      <c r="C416" s="32" t="str">
        <f>_xlfn.XLOOKUP(B416,Input!J:J,Input!H:H)&amp;""</f>
        <v/>
      </c>
      <c r="D416" s="42">
        <f>_xlfn.XLOOKUP(B416,Input!J:J,Input!F:F)</f>
        <v>0</v>
      </c>
      <c r="E416" s="32">
        <f>_xlfn.XLOOKUP(D416,Models!H:H,Models!G:G,D416)</f>
        <v>0</v>
      </c>
      <c r="F416" s="32">
        <f>_xlfn.XLOOKUP(B416,Input!J:J,Input!E:E)</f>
        <v>0</v>
      </c>
      <c r="G416" s="32">
        <f>IF(F416="LENOVO",_xlfn.XLOOKUP(B416,Input!J:J,Input!K:K),_xlfn.XLOOKUP(B416,Input!J:J,Input!L:L))</f>
        <v>0</v>
      </c>
      <c r="H416" s="32"/>
      <c r="I416" s="32"/>
      <c r="J416" s="32"/>
      <c r="K416" s="42" t="e">
        <f>INDEX(Input!$D$2:$AC$500,
       MATCH(B416, Input!$J$2:$J$500, 0),
       MATCH("Total Memory", Input!$D$1:$AC$1, 0))</f>
        <v>#N/A</v>
      </c>
      <c r="L416" s="42"/>
      <c r="M416" s="42" t="str" cm="1">
        <f t="array" ref="M416">IFERROR(_xlfn.FILTERXML("&lt;t&gt;&lt;s&gt;" &amp; SUBSTITUTE(L416," / ","&lt;/s&gt;&lt;s&gt;") &amp; "&lt;/s&gt;&lt;/t&gt;","(//s[contains(.,'DDR')])[1]"),"")</f>
        <v/>
      </c>
      <c r="N416" s="32" t="e">
        <f t="shared" si="20"/>
        <v>#N/A</v>
      </c>
      <c r="O416" s="42" t="e">
        <f>INDEX(Input!$D$2:$AC$500,
       MATCH(B416, Input!$J$2:$J$500, 0),
       MATCH("Disk Interface Type", Input!$D$1:$AC$1, 0))</f>
        <v>#N/A</v>
      </c>
      <c r="P416" s="42" t="str" cm="1">
        <f t="array" ref="P416">IFERROR(_xlfn.TEXTJOIN(", ", TRUE, _xlfn._xlws.FILTER(
    INDEX(Input!$D$2:$AC$500,,MATCH("Disk Capacity",Input!$D$1:$AC$1,0)),
    Input!$J$2:$J$500=B416
)), "")</f>
        <v/>
      </c>
      <c r="Q416" s="32" t="e">
        <f t="shared" si="19"/>
        <v>#N/A</v>
      </c>
      <c r="R416" s="42" t="e">
        <f>_xlfn.LET(_xlpm.Result,INDEX(Input!$D$2:$AC$500,
       MATCH(B416, Input!$J$2:$J$500, 0),
       MATCH("Capacity", Input!$D$1:$AC$1, 0)),IF(_xlpm.Result="","",_xlpm.Result))</f>
        <v>#N/A</v>
      </c>
      <c r="S416" s="42" t="e" cm="1">
        <f t="array" ref="S416">_xlfn.TEXTSPLIT(R416," / ", ,TRUE,0,)</f>
        <v>#N/A</v>
      </c>
      <c r="T416" s="42"/>
      <c r="U416" s="42" t="str" cm="1">
        <f t="array" ref="U416">IFERROR(_xlfn.IFS(
S416="","",
--S416&lt;55,"Battery Defect",
--S416&lt;=69,"Battery D",
--S416&lt;=80,"Battery C",
--S416&gt;80,""
),"")</f>
        <v/>
      </c>
      <c r="V416" s="42" t="str" cm="1">
        <f t="array" ref="V416">IFERROR(_xlfn.IFS(
T416="","",
--T416&lt;55,"Battery Defect",
--T416&lt;=69,"Battery D",
--T416&lt;=80,"Battery C",
--T416&gt;80,""
),"")</f>
        <v/>
      </c>
      <c r="W416" s="42"/>
      <c r="X416" s="42"/>
      <c r="Y416" s="42"/>
      <c r="Z416" s="42"/>
      <c r="AA416" s="42"/>
      <c r="AB416" s="42"/>
      <c r="AC416" s="42"/>
      <c r="AD416" s="42"/>
      <c r="AE416" s="32" t="str">
        <f t="shared" si="18"/>
        <v/>
      </c>
      <c r="AF416" s="32"/>
      <c r="AG416" s="32"/>
      <c r="AH416" s="32"/>
      <c r="AI416" s="32"/>
      <c r="AJ416" s="32"/>
      <c r="AK416" s="32"/>
      <c r="AL416" s="32"/>
      <c r="AM416" s="32"/>
    </row>
    <row r="417" spans="1:39">
      <c r="A417" s="32" t="str">
        <f>_xlfn.XLOOKUP(B417,Input!J:J,Input!G:G)&amp;""</f>
        <v/>
      </c>
      <c r="B417" s="32"/>
      <c r="C417" s="32" t="str">
        <f>_xlfn.XLOOKUP(B417,Input!J:J,Input!H:H)&amp;""</f>
        <v/>
      </c>
      <c r="D417" s="42">
        <f>_xlfn.XLOOKUP(B417,Input!J:J,Input!F:F)</f>
        <v>0</v>
      </c>
      <c r="E417" s="32">
        <f>_xlfn.XLOOKUP(D417,Models!H:H,Models!G:G,D417)</f>
        <v>0</v>
      </c>
      <c r="F417" s="32">
        <f>_xlfn.XLOOKUP(B417,Input!J:J,Input!E:E)</f>
        <v>0</v>
      </c>
      <c r="G417" s="32">
        <f>IF(F417="LENOVO",_xlfn.XLOOKUP(B417,Input!J:J,Input!K:K),_xlfn.XLOOKUP(B417,Input!J:J,Input!L:L))</f>
        <v>0</v>
      </c>
      <c r="H417" s="32"/>
      <c r="I417" s="32"/>
      <c r="J417" s="32"/>
      <c r="K417" s="42" t="e">
        <f>INDEX(Input!$D$2:$AC$500,
       MATCH(B417, Input!$J$2:$J$500, 0),
       MATCH("Total Memory", Input!$D$1:$AC$1, 0))</f>
        <v>#N/A</v>
      </c>
      <c r="L417" s="42"/>
      <c r="M417" s="42" t="str" cm="1">
        <f t="array" ref="M417">IFERROR(_xlfn.FILTERXML("&lt;t&gt;&lt;s&gt;" &amp; SUBSTITUTE(L417," / ","&lt;/s&gt;&lt;s&gt;") &amp; "&lt;/s&gt;&lt;/t&gt;","(//s[contains(.,'DDR')])[1]"),"")</f>
        <v/>
      </c>
      <c r="N417" s="32" t="e">
        <f t="shared" si="20"/>
        <v>#N/A</v>
      </c>
      <c r="O417" s="42" t="e">
        <f>INDEX(Input!$D$2:$AC$500,
       MATCH(B417, Input!$J$2:$J$500, 0),
       MATCH("Disk Interface Type", Input!$D$1:$AC$1, 0))</f>
        <v>#N/A</v>
      </c>
      <c r="P417" s="42" t="str" cm="1">
        <f t="array" ref="P417">IFERROR(_xlfn.TEXTJOIN(", ", TRUE, _xlfn._xlws.FILTER(
    INDEX(Input!$D$2:$AC$500,,MATCH("Disk Capacity",Input!$D$1:$AC$1,0)),
    Input!$J$2:$J$500=B417
)), "")</f>
        <v/>
      </c>
      <c r="Q417" s="32" t="e">
        <f t="shared" si="19"/>
        <v>#N/A</v>
      </c>
      <c r="R417" s="42" t="e">
        <f>_xlfn.LET(_xlpm.Result,INDEX(Input!$D$2:$AC$500,
       MATCH(B417, Input!$J$2:$J$500, 0),
       MATCH("Capacity", Input!$D$1:$AC$1, 0)),IF(_xlpm.Result="","",_xlpm.Result))</f>
        <v>#N/A</v>
      </c>
      <c r="S417" s="42" t="e" cm="1">
        <f t="array" ref="S417">_xlfn.TEXTSPLIT(R417," / ", ,TRUE,0,)</f>
        <v>#N/A</v>
      </c>
      <c r="T417" s="42"/>
      <c r="U417" s="42" t="str" cm="1">
        <f t="array" ref="U417">IFERROR(_xlfn.IFS(
S417="","",
--S417&lt;55,"Battery Defect",
--S417&lt;=69,"Battery D",
--S417&lt;=80,"Battery C",
--S417&gt;80,""
),"")</f>
        <v/>
      </c>
      <c r="V417" s="42" t="str" cm="1">
        <f t="array" ref="V417">IFERROR(_xlfn.IFS(
T417="","",
--T417&lt;55,"Battery Defect",
--T417&lt;=69,"Battery D",
--T417&lt;=80,"Battery C",
--T417&gt;80,""
),"")</f>
        <v/>
      </c>
      <c r="W417" s="42"/>
      <c r="X417" s="42"/>
      <c r="Y417" s="42"/>
      <c r="Z417" s="42"/>
      <c r="AA417" s="42"/>
      <c r="AB417" s="42"/>
      <c r="AC417" s="42"/>
      <c r="AD417" s="42"/>
      <c r="AE417" s="32" t="str">
        <f t="shared" si="18"/>
        <v/>
      </c>
      <c r="AF417" s="32"/>
      <c r="AG417" s="32"/>
      <c r="AH417" s="32"/>
      <c r="AI417" s="32"/>
      <c r="AJ417" s="32"/>
      <c r="AK417" s="32"/>
      <c r="AL417" s="32"/>
      <c r="AM417" s="32"/>
    </row>
    <row r="418" spans="1:39">
      <c r="A418" s="32" t="str">
        <f>_xlfn.XLOOKUP(B418,Input!J:J,Input!G:G)&amp;""</f>
        <v/>
      </c>
      <c r="B418" s="32"/>
      <c r="C418" s="32" t="str">
        <f>_xlfn.XLOOKUP(B418,Input!J:J,Input!H:H)&amp;""</f>
        <v/>
      </c>
      <c r="D418" s="42">
        <f>_xlfn.XLOOKUP(B418,Input!J:J,Input!F:F)</f>
        <v>0</v>
      </c>
      <c r="E418" s="32">
        <f>_xlfn.XLOOKUP(D418,Models!H:H,Models!G:G,D418)</f>
        <v>0</v>
      </c>
      <c r="F418" s="32">
        <f>_xlfn.XLOOKUP(B418,Input!J:J,Input!E:E)</f>
        <v>0</v>
      </c>
      <c r="G418" s="32">
        <f>IF(F418="LENOVO",_xlfn.XLOOKUP(B418,Input!J:J,Input!K:K),_xlfn.XLOOKUP(B418,Input!J:J,Input!L:L))</f>
        <v>0</v>
      </c>
      <c r="H418" s="32"/>
      <c r="I418" s="32"/>
      <c r="J418" s="32"/>
      <c r="K418" s="42" t="e">
        <f>INDEX(Input!$D$2:$AC$500,
       MATCH(B418, Input!$J$2:$J$500, 0),
       MATCH("Total Memory", Input!$D$1:$AC$1, 0))</f>
        <v>#N/A</v>
      </c>
      <c r="L418" s="42"/>
      <c r="M418" s="42" t="str" cm="1">
        <f t="array" ref="M418">IFERROR(_xlfn.FILTERXML("&lt;t&gt;&lt;s&gt;" &amp; SUBSTITUTE(L418," / ","&lt;/s&gt;&lt;s&gt;") &amp; "&lt;/s&gt;&lt;/t&gt;","(//s[contains(.,'DDR')])[1]"),"")</f>
        <v/>
      </c>
      <c r="N418" s="32" t="e">
        <f t="shared" si="20"/>
        <v>#N/A</v>
      </c>
      <c r="O418" s="42" t="e">
        <f>INDEX(Input!$D$2:$AC$500,
       MATCH(B418, Input!$J$2:$J$500, 0),
       MATCH("Disk Interface Type", Input!$D$1:$AC$1, 0))</f>
        <v>#N/A</v>
      </c>
      <c r="P418" s="42" t="str" cm="1">
        <f t="array" ref="P418">IFERROR(_xlfn.TEXTJOIN(", ", TRUE, _xlfn._xlws.FILTER(
    INDEX(Input!$D$2:$AC$500,,MATCH("Disk Capacity",Input!$D$1:$AC$1,0)),
    Input!$J$2:$J$500=B418
)), "")</f>
        <v/>
      </c>
      <c r="Q418" s="32" t="e">
        <f t="shared" si="19"/>
        <v>#N/A</v>
      </c>
      <c r="R418" s="42" t="e">
        <f>_xlfn.LET(_xlpm.Result,INDEX(Input!$D$2:$AC$500,
       MATCH(B418, Input!$J$2:$J$500, 0),
       MATCH("Capacity", Input!$D$1:$AC$1, 0)),IF(_xlpm.Result="","",_xlpm.Result))</f>
        <v>#N/A</v>
      </c>
      <c r="S418" s="42" t="e" cm="1">
        <f t="array" ref="S418">_xlfn.TEXTSPLIT(R418," / ", ,TRUE,0,)</f>
        <v>#N/A</v>
      </c>
      <c r="T418" s="42"/>
      <c r="U418" s="42" t="str" cm="1">
        <f t="array" ref="U418">IFERROR(_xlfn.IFS(
S418="","",
--S418&lt;55,"Battery Defect",
--S418&lt;=69,"Battery D",
--S418&lt;=80,"Battery C",
--S418&gt;80,""
),"")</f>
        <v/>
      </c>
      <c r="V418" s="42" t="str" cm="1">
        <f t="array" ref="V418">IFERROR(_xlfn.IFS(
T418="","",
--T418&lt;55,"Battery Defect",
--T418&lt;=69,"Battery D",
--T418&lt;=80,"Battery C",
--T418&gt;80,""
),"")</f>
        <v/>
      </c>
      <c r="W418" s="42"/>
      <c r="X418" s="42"/>
      <c r="Y418" s="42"/>
      <c r="Z418" s="42"/>
      <c r="AA418" s="42"/>
      <c r="AB418" s="42"/>
      <c r="AC418" s="42"/>
      <c r="AD418" s="42"/>
      <c r="AE418" s="32" t="str">
        <f t="shared" si="18"/>
        <v/>
      </c>
      <c r="AF418" s="32"/>
      <c r="AG418" s="32"/>
      <c r="AH418" s="32"/>
      <c r="AI418" s="32"/>
      <c r="AJ418" s="32"/>
      <c r="AK418" s="32"/>
      <c r="AL418" s="32"/>
      <c r="AM418" s="32"/>
    </row>
    <row r="419" spans="1:39">
      <c r="A419" s="32" t="str">
        <f>_xlfn.XLOOKUP(B419,Input!J:J,Input!G:G)&amp;""</f>
        <v/>
      </c>
      <c r="B419" s="32"/>
      <c r="C419" s="32" t="str">
        <f>_xlfn.XLOOKUP(B419,Input!J:J,Input!H:H)&amp;""</f>
        <v/>
      </c>
      <c r="D419" s="42">
        <f>_xlfn.XLOOKUP(B419,Input!J:J,Input!F:F)</f>
        <v>0</v>
      </c>
      <c r="E419" s="32">
        <f>_xlfn.XLOOKUP(D419,Models!H:H,Models!G:G,D419)</f>
        <v>0</v>
      </c>
      <c r="F419" s="32">
        <f>_xlfn.XLOOKUP(B419,Input!J:J,Input!E:E)</f>
        <v>0</v>
      </c>
      <c r="G419" s="32">
        <f>IF(F419="LENOVO",_xlfn.XLOOKUP(B419,Input!J:J,Input!K:K),_xlfn.XLOOKUP(B419,Input!J:J,Input!L:L))</f>
        <v>0</v>
      </c>
      <c r="H419" s="32"/>
      <c r="I419" s="32"/>
      <c r="J419" s="32"/>
      <c r="K419" s="42" t="e">
        <f>INDEX(Input!$D$2:$AC$500,
       MATCH(B419, Input!$J$2:$J$500, 0),
       MATCH("Total Memory", Input!$D$1:$AC$1, 0))</f>
        <v>#N/A</v>
      </c>
      <c r="L419" s="42"/>
      <c r="M419" s="42" t="str" cm="1">
        <f t="array" ref="M419">IFERROR(_xlfn.FILTERXML("&lt;t&gt;&lt;s&gt;" &amp; SUBSTITUTE(L419," / ","&lt;/s&gt;&lt;s&gt;") &amp; "&lt;/s&gt;&lt;/t&gt;","(//s[contains(.,'DDR')])[1]"),"")</f>
        <v/>
      </c>
      <c r="N419" s="32" t="e">
        <f t="shared" si="20"/>
        <v>#N/A</v>
      </c>
      <c r="O419" s="42" t="e">
        <f>INDEX(Input!$D$2:$AC$500,
       MATCH(B419, Input!$J$2:$J$500, 0),
       MATCH("Disk Interface Type", Input!$D$1:$AC$1, 0))</f>
        <v>#N/A</v>
      </c>
      <c r="P419" s="42" t="str" cm="1">
        <f t="array" ref="P419">IFERROR(_xlfn.TEXTJOIN(", ", TRUE, _xlfn._xlws.FILTER(
    INDEX(Input!$D$2:$AC$500,,MATCH("Disk Capacity",Input!$D$1:$AC$1,0)),
    Input!$J$2:$J$500=B419
)), "")</f>
        <v/>
      </c>
      <c r="Q419" s="32" t="e">
        <f t="shared" si="19"/>
        <v>#N/A</v>
      </c>
      <c r="R419" s="42" t="e">
        <f>_xlfn.LET(_xlpm.Result,INDEX(Input!$D$2:$AC$500,
       MATCH(B419, Input!$J$2:$J$500, 0),
       MATCH("Capacity", Input!$D$1:$AC$1, 0)),IF(_xlpm.Result="","",_xlpm.Result))</f>
        <v>#N/A</v>
      </c>
      <c r="S419" s="42" t="e" cm="1">
        <f t="array" ref="S419">_xlfn.TEXTSPLIT(R419," / ", ,TRUE,0,)</f>
        <v>#N/A</v>
      </c>
      <c r="T419" s="42"/>
      <c r="U419" s="42" t="str" cm="1">
        <f t="array" ref="U419">IFERROR(_xlfn.IFS(
S419="","",
--S419&lt;55,"Battery Defect",
--S419&lt;=69,"Battery D",
--S419&lt;=80,"Battery C",
--S419&gt;80,""
),"")</f>
        <v/>
      </c>
      <c r="V419" s="42" t="str" cm="1">
        <f t="array" ref="V419">IFERROR(_xlfn.IFS(
T419="","",
--T419&lt;55,"Battery Defect",
--T419&lt;=69,"Battery D",
--T419&lt;=80,"Battery C",
--T419&gt;80,""
),"")</f>
        <v/>
      </c>
      <c r="W419" s="42"/>
      <c r="X419" s="42"/>
      <c r="Y419" s="42"/>
      <c r="Z419" s="42"/>
      <c r="AA419" s="42"/>
      <c r="AB419" s="42"/>
      <c r="AC419" s="42"/>
      <c r="AD419" s="42"/>
      <c r="AE419" s="32" t="str">
        <f t="shared" si="18"/>
        <v/>
      </c>
      <c r="AF419" s="32"/>
      <c r="AG419" s="32"/>
      <c r="AH419" s="32"/>
      <c r="AI419" s="32"/>
      <c r="AJ419" s="32"/>
      <c r="AK419" s="32"/>
      <c r="AL419" s="32"/>
      <c r="AM419" s="32"/>
    </row>
    <row r="420" spans="1:39">
      <c r="A420" s="32" t="str">
        <f>_xlfn.XLOOKUP(B420,Input!J:J,Input!G:G)&amp;""</f>
        <v/>
      </c>
      <c r="B420" s="32"/>
      <c r="C420" s="32" t="str">
        <f>_xlfn.XLOOKUP(B420,Input!J:J,Input!H:H)&amp;""</f>
        <v/>
      </c>
      <c r="D420" s="42">
        <f>_xlfn.XLOOKUP(B420,Input!J:J,Input!F:F)</f>
        <v>0</v>
      </c>
      <c r="E420" s="32">
        <f>_xlfn.XLOOKUP(D420,Models!H:H,Models!G:G,D420)</f>
        <v>0</v>
      </c>
      <c r="F420" s="32">
        <f>_xlfn.XLOOKUP(B420,Input!J:J,Input!E:E)</f>
        <v>0</v>
      </c>
      <c r="G420" s="32">
        <f>IF(F420="LENOVO",_xlfn.XLOOKUP(B420,Input!J:J,Input!K:K),_xlfn.XLOOKUP(B420,Input!J:J,Input!L:L))</f>
        <v>0</v>
      </c>
      <c r="H420" s="32"/>
      <c r="I420" s="32"/>
      <c r="J420" s="32"/>
      <c r="K420" s="42" t="e">
        <f>INDEX(Input!$D$2:$AC$500,
       MATCH(B420, Input!$J$2:$J$500, 0),
       MATCH("Total Memory", Input!$D$1:$AC$1, 0))</f>
        <v>#N/A</v>
      </c>
      <c r="L420" s="42"/>
      <c r="M420" s="42" t="str" cm="1">
        <f t="array" ref="M420">IFERROR(_xlfn.FILTERXML("&lt;t&gt;&lt;s&gt;" &amp; SUBSTITUTE(L420," / ","&lt;/s&gt;&lt;s&gt;") &amp; "&lt;/s&gt;&lt;/t&gt;","(//s[contains(.,'DDR')])[1]"),"")</f>
        <v/>
      </c>
      <c r="N420" s="32" t="e">
        <f t="shared" si="20"/>
        <v>#N/A</v>
      </c>
      <c r="O420" s="42" t="e">
        <f>INDEX(Input!$D$2:$AC$500,
       MATCH(B420, Input!$J$2:$J$500, 0),
       MATCH("Disk Interface Type", Input!$D$1:$AC$1, 0))</f>
        <v>#N/A</v>
      </c>
      <c r="P420" s="42" t="str" cm="1">
        <f t="array" ref="P420">IFERROR(_xlfn.TEXTJOIN(", ", TRUE, _xlfn._xlws.FILTER(
    INDEX(Input!$D$2:$AC$500,,MATCH("Disk Capacity",Input!$D$1:$AC$1,0)),
    Input!$J$2:$J$500=B420
)), "")</f>
        <v/>
      </c>
      <c r="Q420" s="32" t="e">
        <f t="shared" si="19"/>
        <v>#N/A</v>
      </c>
      <c r="R420" s="42" t="e">
        <f>_xlfn.LET(_xlpm.Result,INDEX(Input!$D$2:$AC$500,
       MATCH(B420, Input!$J$2:$J$500, 0),
       MATCH("Capacity", Input!$D$1:$AC$1, 0)),IF(_xlpm.Result="","",_xlpm.Result))</f>
        <v>#N/A</v>
      </c>
      <c r="S420" s="42" t="e" cm="1">
        <f t="array" ref="S420">_xlfn.TEXTSPLIT(R420," / ", ,TRUE,0,)</f>
        <v>#N/A</v>
      </c>
      <c r="T420" s="42"/>
      <c r="U420" s="42" t="str" cm="1">
        <f t="array" ref="U420">IFERROR(_xlfn.IFS(
S420="","",
--S420&lt;55,"Battery Defect",
--S420&lt;=69,"Battery D",
--S420&lt;=80,"Battery C",
--S420&gt;80,""
),"")</f>
        <v/>
      </c>
      <c r="V420" s="42" t="str" cm="1">
        <f t="array" ref="V420">IFERROR(_xlfn.IFS(
T420="","",
--T420&lt;55,"Battery Defect",
--T420&lt;=69,"Battery D",
--T420&lt;=80,"Battery C",
--T420&gt;80,""
),"")</f>
        <v/>
      </c>
      <c r="W420" s="42"/>
      <c r="X420" s="42"/>
      <c r="Y420" s="42"/>
      <c r="Z420" s="42"/>
      <c r="AA420" s="42"/>
      <c r="AB420" s="42"/>
      <c r="AC420" s="42"/>
      <c r="AD420" s="42"/>
      <c r="AE420" s="32" t="str">
        <f t="shared" si="18"/>
        <v/>
      </c>
      <c r="AF420" s="32"/>
      <c r="AG420" s="32"/>
      <c r="AH420" s="32"/>
      <c r="AI420" s="32"/>
      <c r="AJ420" s="32"/>
      <c r="AK420" s="32"/>
      <c r="AL420" s="32"/>
      <c r="AM420" s="32"/>
    </row>
    <row r="421" spans="1:39">
      <c r="A421" s="32" t="str">
        <f>_xlfn.XLOOKUP(B421,Input!J:J,Input!G:G)&amp;""</f>
        <v/>
      </c>
      <c r="B421" s="32"/>
      <c r="C421" s="32" t="str">
        <f>_xlfn.XLOOKUP(B421,Input!J:J,Input!H:H)&amp;""</f>
        <v/>
      </c>
      <c r="D421" s="42">
        <f>_xlfn.XLOOKUP(B421,Input!J:J,Input!F:F)</f>
        <v>0</v>
      </c>
      <c r="E421" s="32">
        <f>_xlfn.XLOOKUP(D421,Models!H:H,Models!G:G,D421)</f>
        <v>0</v>
      </c>
      <c r="F421" s="32">
        <f>_xlfn.XLOOKUP(B421,Input!J:J,Input!E:E)</f>
        <v>0</v>
      </c>
      <c r="G421" s="32">
        <f>IF(F421="LENOVO",_xlfn.XLOOKUP(B421,Input!J:J,Input!K:K),_xlfn.XLOOKUP(B421,Input!J:J,Input!L:L))</f>
        <v>0</v>
      </c>
      <c r="H421" s="32"/>
      <c r="I421" s="32"/>
      <c r="J421" s="32"/>
      <c r="K421" s="42" t="e">
        <f>INDEX(Input!$D$2:$AC$500,
       MATCH(B421, Input!$J$2:$J$500, 0),
       MATCH("Total Memory", Input!$D$1:$AC$1, 0))</f>
        <v>#N/A</v>
      </c>
      <c r="L421" s="42"/>
      <c r="M421" s="42" t="str" cm="1">
        <f t="array" ref="M421">IFERROR(_xlfn.FILTERXML("&lt;t&gt;&lt;s&gt;" &amp; SUBSTITUTE(L421," / ","&lt;/s&gt;&lt;s&gt;") &amp; "&lt;/s&gt;&lt;/t&gt;","(//s[contains(.,'DDR')])[1]"),"")</f>
        <v/>
      </c>
      <c r="N421" s="32" t="e">
        <f t="shared" si="20"/>
        <v>#N/A</v>
      </c>
      <c r="O421" s="42" t="e">
        <f>INDEX(Input!$D$2:$AC$500,
       MATCH(B421, Input!$J$2:$J$500, 0),
       MATCH("Disk Interface Type", Input!$D$1:$AC$1, 0))</f>
        <v>#N/A</v>
      </c>
      <c r="P421" s="42" t="str" cm="1">
        <f t="array" ref="P421">IFERROR(_xlfn.TEXTJOIN(", ", TRUE, _xlfn._xlws.FILTER(
    INDEX(Input!$D$2:$AC$500,,MATCH("Disk Capacity",Input!$D$1:$AC$1,0)),
    Input!$J$2:$J$500=B421
)), "")</f>
        <v/>
      </c>
      <c r="Q421" s="32" t="e">
        <f t="shared" si="19"/>
        <v>#N/A</v>
      </c>
      <c r="R421" s="42" t="e">
        <f>_xlfn.LET(_xlpm.Result,INDEX(Input!$D$2:$AC$500,
       MATCH(B421, Input!$J$2:$J$500, 0),
       MATCH("Capacity", Input!$D$1:$AC$1, 0)),IF(_xlpm.Result="","",_xlpm.Result))</f>
        <v>#N/A</v>
      </c>
      <c r="S421" s="42" t="e" cm="1">
        <f t="array" ref="S421">_xlfn.TEXTSPLIT(R421," / ", ,TRUE,0,)</f>
        <v>#N/A</v>
      </c>
      <c r="T421" s="42"/>
      <c r="U421" s="42" t="str" cm="1">
        <f t="array" ref="U421">IFERROR(_xlfn.IFS(
S421="","",
--S421&lt;55,"Battery Defect",
--S421&lt;=69,"Battery D",
--S421&lt;=80,"Battery C",
--S421&gt;80,""
),"")</f>
        <v/>
      </c>
      <c r="V421" s="42" t="str" cm="1">
        <f t="array" ref="V421">IFERROR(_xlfn.IFS(
T421="","",
--T421&lt;55,"Battery Defect",
--T421&lt;=69,"Battery D",
--T421&lt;=80,"Battery C",
--T421&gt;80,""
),"")</f>
        <v/>
      </c>
      <c r="W421" s="42"/>
      <c r="X421" s="42"/>
      <c r="Y421" s="42"/>
      <c r="Z421" s="42"/>
      <c r="AA421" s="42"/>
      <c r="AB421" s="42"/>
      <c r="AC421" s="42"/>
      <c r="AD421" s="42"/>
      <c r="AE421" s="32" t="str">
        <f t="shared" si="18"/>
        <v/>
      </c>
      <c r="AF421" s="32"/>
      <c r="AG421" s="32"/>
      <c r="AH421" s="32"/>
      <c r="AI421" s="32"/>
      <c r="AJ421" s="32"/>
      <c r="AK421" s="32"/>
      <c r="AL421" s="32"/>
      <c r="AM421" s="32"/>
    </row>
    <row r="422" spans="1:39">
      <c r="A422" s="32" t="str">
        <f>_xlfn.XLOOKUP(B422,Input!J:J,Input!G:G)&amp;""</f>
        <v/>
      </c>
      <c r="B422" s="32"/>
      <c r="C422" s="32" t="str">
        <f>_xlfn.XLOOKUP(B422,Input!J:J,Input!H:H)&amp;""</f>
        <v/>
      </c>
      <c r="D422" s="42">
        <f>_xlfn.XLOOKUP(B422,Input!J:J,Input!F:F)</f>
        <v>0</v>
      </c>
      <c r="E422" s="32">
        <f>_xlfn.XLOOKUP(D422,Models!H:H,Models!G:G,D422)</f>
        <v>0</v>
      </c>
      <c r="F422" s="32">
        <f>_xlfn.XLOOKUP(B422,Input!J:J,Input!E:E)</f>
        <v>0</v>
      </c>
      <c r="G422" s="32">
        <f>IF(F422="LENOVO",_xlfn.XLOOKUP(B422,Input!J:J,Input!K:K),_xlfn.XLOOKUP(B422,Input!J:J,Input!L:L))</f>
        <v>0</v>
      </c>
      <c r="H422" s="32"/>
      <c r="I422" s="32"/>
      <c r="J422" s="32"/>
      <c r="K422" s="42" t="e">
        <f>INDEX(Input!$D$2:$AC$500,
       MATCH(B422, Input!$J$2:$J$500, 0),
       MATCH("Total Memory", Input!$D$1:$AC$1, 0))</f>
        <v>#N/A</v>
      </c>
      <c r="L422" s="42"/>
      <c r="M422" s="42" t="str" cm="1">
        <f t="array" ref="M422">IFERROR(_xlfn.FILTERXML("&lt;t&gt;&lt;s&gt;" &amp; SUBSTITUTE(L422," / ","&lt;/s&gt;&lt;s&gt;") &amp; "&lt;/s&gt;&lt;/t&gt;","(//s[contains(.,'DDR')])[1]"),"")</f>
        <v/>
      </c>
      <c r="N422" s="32" t="e">
        <f t="shared" si="20"/>
        <v>#N/A</v>
      </c>
      <c r="O422" s="42" t="e">
        <f>INDEX(Input!$D$2:$AC$500,
       MATCH(B422, Input!$J$2:$J$500, 0),
       MATCH("Disk Interface Type", Input!$D$1:$AC$1, 0))</f>
        <v>#N/A</v>
      </c>
      <c r="P422" s="42" t="str" cm="1">
        <f t="array" ref="P422">IFERROR(_xlfn.TEXTJOIN(", ", TRUE, _xlfn._xlws.FILTER(
    INDEX(Input!$D$2:$AC$500,,MATCH("Disk Capacity",Input!$D$1:$AC$1,0)),
    Input!$J$2:$J$500=B422
)), "")</f>
        <v/>
      </c>
      <c r="Q422" s="32" t="e">
        <f t="shared" si="19"/>
        <v>#N/A</v>
      </c>
      <c r="R422" s="42" t="e">
        <f>_xlfn.LET(_xlpm.Result,INDEX(Input!$D$2:$AC$500,
       MATCH(B422, Input!$J$2:$J$500, 0),
       MATCH("Capacity", Input!$D$1:$AC$1, 0)),IF(_xlpm.Result="","",_xlpm.Result))</f>
        <v>#N/A</v>
      </c>
      <c r="S422" s="42" t="e" cm="1">
        <f t="array" ref="S422">_xlfn.TEXTSPLIT(R422," / ", ,TRUE,0,)</f>
        <v>#N/A</v>
      </c>
      <c r="T422" s="42"/>
      <c r="U422" s="42" t="str" cm="1">
        <f t="array" ref="U422">IFERROR(_xlfn.IFS(
S422="","",
--S422&lt;55,"Battery Defect",
--S422&lt;=69,"Battery D",
--S422&lt;=80,"Battery C",
--S422&gt;80,""
),"")</f>
        <v/>
      </c>
      <c r="V422" s="42" t="str" cm="1">
        <f t="array" ref="V422">IFERROR(_xlfn.IFS(
T422="","",
--T422&lt;55,"Battery Defect",
--T422&lt;=69,"Battery D",
--T422&lt;=80,"Battery C",
--T422&gt;80,""
),"")</f>
        <v/>
      </c>
      <c r="W422" s="42"/>
      <c r="X422" s="42"/>
      <c r="Y422" s="42"/>
      <c r="Z422" s="42"/>
      <c r="AA422" s="42"/>
      <c r="AB422" s="42"/>
      <c r="AC422" s="42"/>
      <c r="AD422" s="42"/>
      <c r="AE422" s="32" t="str">
        <f t="shared" si="18"/>
        <v/>
      </c>
      <c r="AF422" s="32"/>
      <c r="AG422" s="32"/>
      <c r="AH422" s="32"/>
      <c r="AI422" s="32"/>
      <c r="AJ422" s="32"/>
      <c r="AK422" s="32"/>
      <c r="AL422" s="32"/>
      <c r="AM422" s="32"/>
    </row>
    <row r="423" spans="1:39">
      <c r="A423" s="32" t="str">
        <f>_xlfn.XLOOKUP(B423,Input!J:J,Input!G:G)&amp;""</f>
        <v/>
      </c>
      <c r="B423" s="32"/>
      <c r="C423" s="32" t="str">
        <f>_xlfn.XLOOKUP(B423,Input!J:J,Input!H:H)&amp;""</f>
        <v/>
      </c>
      <c r="D423" s="42">
        <f>_xlfn.XLOOKUP(B423,Input!J:J,Input!F:F)</f>
        <v>0</v>
      </c>
      <c r="E423" s="32">
        <f>_xlfn.XLOOKUP(D423,Models!H:H,Models!G:G,D423)</f>
        <v>0</v>
      </c>
      <c r="F423" s="32">
        <f>_xlfn.XLOOKUP(B423,Input!J:J,Input!E:E)</f>
        <v>0</v>
      </c>
      <c r="G423" s="32">
        <f>IF(F423="LENOVO",_xlfn.XLOOKUP(B423,Input!J:J,Input!K:K),_xlfn.XLOOKUP(B423,Input!J:J,Input!L:L))</f>
        <v>0</v>
      </c>
      <c r="H423" s="32"/>
      <c r="I423" s="32"/>
      <c r="J423" s="32"/>
      <c r="K423" s="42" t="e">
        <f>INDEX(Input!$D$2:$AC$500,
       MATCH(B423, Input!$J$2:$J$500, 0),
       MATCH("Total Memory", Input!$D$1:$AC$1, 0))</f>
        <v>#N/A</v>
      </c>
      <c r="L423" s="42"/>
      <c r="M423" s="42" t="str" cm="1">
        <f t="array" ref="M423">IFERROR(_xlfn.FILTERXML("&lt;t&gt;&lt;s&gt;" &amp; SUBSTITUTE(L423," / ","&lt;/s&gt;&lt;s&gt;") &amp; "&lt;/s&gt;&lt;/t&gt;","(//s[contains(.,'DDR')])[1]"),"")</f>
        <v/>
      </c>
      <c r="N423" s="32" t="e">
        <f t="shared" si="20"/>
        <v>#N/A</v>
      </c>
      <c r="O423" s="42" t="e">
        <f>INDEX(Input!$D$2:$AC$500,
       MATCH(B423, Input!$J$2:$J$500, 0),
       MATCH("Disk Interface Type", Input!$D$1:$AC$1, 0))</f>
        <v>#N/A</v>
      </c>
      <c r="P423" s="42" t="str" cm="1">
        <f t="array" ref="P423">IFERROR(_xlfn.TEXTJOIN(", ", TRUE, _xlfn._xlws.FILTER(
    INDEX(Input!$D$2:$AC$500,,MATCH("Disk Capacity",Input!$D$1:$AC$1,0)),
    Input!$J$2:$J$500=B423
)), "")</f>
        <v/>
      </c>
      <c r="Q423" s="32" t="e">
        <f t="shared" si="19"/>
        <v>#N/A</v>
      </c>
      <c r="R423" s="42" t="e">
        <f>_xlfn.LET(_xlpm.Result,INDEX(Input!$D$2:$AC$500,
       MATCH(B423, Input!$J$2:$J$500, 0),
       MATCH("Capacity", Input!$D$1:$AC$1, 0)),IF(_xlpm.Result="","",_xlpm.Result))</f>
        <v>#N/A</v>
      </c>
      <c r="S423" s="42" t="e" cm="1">
        <f t="array" ref="S423">_xlfn.TEXTSPLIT(R423," / ", ,TRUE,0,)</f>
        <v>#N/A</v>
      </c>
      <c r="T423" s="42"/>
      <c r="U423" s="42" t="str" cm="1">
        <f t="array" ref="U423">IFERROR(_xlfn.IFS(
S423="","",
--S423&lt;55,"Battery Defect",
--S423&lt;=69,"Battery D",
--S423&lt;=80,"Battery C",
--S423&gt;80,""
),"")</f>
        <v/>
      </c>
      <c r="V423" s="42" t="str" cm="1">
        <f t="array" ref="V423">IFERROR(_xlfn.IFS(
T423="","",
--T423&lt;55,"Battery Defect",
--T423&lt;=69,"Battery D",
--T423&lt;=80,"Battery C",
--T423&gt;80,""
),"")</f>
        <v/>
      </c>
      <c r="W423" s="42"/>
      <c r="X423" s="42"/>
      <c r="Y423" s="42"/>
      <c r="Z423" s="42"/>
      <c r="AA423" s="42"/>
      <c r="AB423" s="42"/>
      <c r="AC423" s="42"/>
      <c r="AD423" s="42"/>
      <c r="AE423" s="32" t="str">
        <f t="shared" si="18"/>
        <v/>
      </c>
      <c r="AF423" s="32"/>
      <c r="AG423" s="32"/>
      <c r="AH423" s="32"/>
      <c r="AI423" s="32"/>
      <c r="AJ423" s="32"/>
      <c r="AK423" s="32"/>
      <c r="AL423" s="32"/>
      <c r="AM423" s="32"/>
    </row>
    <row r="424" spans="1:39">
      <c r="A424" s="32" t="str">
        <f>_xlfn.XLOOKUP(B424,Input!J:J,Input!G:G)&amp;""</f>
        <v/>
      </c>
      <c r="B424" s="32"/>
      <c r="C424" s="32" t="str">
        <f>_xlfn.XLOOKUP(B424,Input!J:J,Input!H:H)&amp;""</f>
        <v/>
      </c>
      <c r="D424" s="42">
        <f>_xlfn.XLOOKUP(B424,Input!J:J,Input!F:F)</f>
        <v>0</v>
      </c>
      <c r="E424" s="32">
        <f>_xlfn.XLOOKUP(D424,Models!H:H,Models!G:G,D424)</f>
        <v>0</v>
      </c>
      <c r="F424" s="32">
        <f>_xlfn.XLOOKUP(B424,Input!J:J,Input!E:E)</f>
        <v>0</v>
      </c>
      <c r="G424" s="32">
        <f>IF(F424="LENOVO",_xlfn.XLOOKUP(B424,Input!J:J,Input!K:K),_xlfn.XLOOKUP(B424,Input!J:J,Input!L:L))</f>
        <v>0</v>
      </c>
      <c r="H424" s="32"/>
      <c r="I424" s="32"/>
      <c r="J424" s="32"/>
      <c r="K424" s="42" t="e">
        <f>INDEX(Input!$D$2:$AC$500,
       MATCH(B424, Input!$J$2:$J$500, 0),
       MATCH("Total Memory", Input!$D$1:$AC$1, 0))</f>
        <v>#N/A</v>
      </c>
      <c r="L424" s="42"/>
      <c r="M424" s="42" t="str" cm="1">
        <f t="array" ref="M424">IFERROR(_xlfn.FILTERXML("&lt;t&gt;&lt;s&gt;" &amp; SUBSTITUTE(L424," / ","&lt;/s&gt;&lt;s&gt;") &amp; "&lt;/s&gt;&lt;/t&gt;","(//s[contains(.,'DDR')])[1]"),"")</f>
        <v/>
      </c>
      <c r="N424" s="32" t="e">
        <f t="shared" si="20"/>
        <v>#N/A</v>
      </c>
      <c r="O424" s="42" t="e">
        <f>INDEX(Input!$D$2:$AC$500,
       MATCH(B424, Input!$J$2:$J$500, 0),
       MATCH("Disk Interface Type", Input!$D$1:$AC$1, 0))</f>
        <v>#N/A</v>
      </c>
      <c r="P424" s="42" t="str" cm="1">
        <f t="array" ref="P424">IFERROR(_xlfn.TEXTJOIN(", ", TRUE, _xlfn._xlws.FILTER(
    INDEX(Input!$D$2:$AC$500,,MATCH("Disk Capacity",Input!$D$1:$AC$1,0)),
    Input!$J$2:$J$500=B424
)), "")</f>
        <v/>
      </c>
      <c r="Q424" s="32" t="e">
        <f t="shared" si="19"/>
        <v>#N/A</v>
      </c>
      <c r="R424" s="42" t="e">
        <f>_xlfn.LET(_xlpm.Result,INDEX(Input!$D$2:$AC$500,
       MATCH(B424, Input!$J$2:$J$500, 0),
       MATCH("Capacity", Input!$D$1:$AC$1, 0)),IF(_xlpm.Result="","",_xlpm.Result))</f>
        <v>#N/A</v>
      </c>
      <c r="S424" s="42" t="e" cm="1">
        <f t="array" ref="S424">_xlfn.TEXTSPLIT(R424," / ", ,TRUE,0,)</f>
        <v>#N/A</v>
      </c>
      <c r="T424" s="42"/>
      <c r="U424" s="42" t="str" cm="1">
        <f t="array" ref="U424">IFERROR(_xlfn.IFS(
S424="","",
--S424&lt;55,"Battery Defect",
--S424&lt;=69,"Battery D",
--S424&lt;=80,"Battery C",
--S424&gt;80,""
),"")</f>
        <v/>
      </c>
      <c r="V424" s="42" t="str" cm="1">
        <f t="array" ref="V424">IFERROR(_xlfn.IFS(
T424="","",
--T424&lt;55,"Battery Defect",
--T424&lt;=69,"Battery D",
--T424&lt;=80,"Battery C",
--T424&gt;80,""
),"")</f>
        <v/>
      </c>
      <c r="W424" s="42"/>
      <c r="X424" s="42"/>
      <c r="Y424" s="42"/>
      <c r="Z424" s="42"/>
      <c r="AA424" s="42"/>
      <c r="AB424" s="42"/>
      <c r="AC424" s="42"/>
      <c r="AD424" s="42"/>
      <c r="AE424" s="32" t="str">
        <f t="shared" si="18"/>
        <v/>
      </c>
      <c r="AF424" s="32"/>
      <c r="AG424" s="32"/>
      <c r="AH424" s="32"/>
      <c r="AI424" s="32"/>
      <c r="AJ424" s="32"/>
      <c r="AK424" s="32"/>
      <c r="AL424" s="32"/>
      <c r="AM424" s="32"/>
    </row>
    <row r="425" spans="1:39">
      <c r="A425" s="32" t="str">
        <f>_xlfn.XLOOKUP(B425,Input!J:J,Input!G:G)&amp;""</f>
        <v/>
      </c>
      <c r="B425" s="32"/>
      <c r="C425" s="32" t="str">
        <f>_xlfn.XLOOKUP(B425,Input!J:J,Input!H:H)&amp;""</f>
        <v/>
      </c>
      <c r="D425" s="42">
        <f>_xlfn.XLOOKUP(B425,Input!J:J,Input!F:F)</f>
        <v>0</v>
      </c>
      <c r="E425" s="32">
        <f>_xlfn.XLOOKUP(D425,Models!H:H,Models!G:G,D425)</f>
        <v>0</v>
      </c>
      <c r="F425" s="32">
        <f>_xlfn.XLOOKUP(B425,Input!J:J,Input!E:E)</f>
        <v>0</v>
      </c>
      <c r="G425" s="32">
        <f>IF(F425="LENOVO",_xlfn.XLOOKUP(B425,Input!J:J,Input!K:K),_xlfn.XLOOKUP(B425,Input!J:J,Input!L:L))</f>
        <v>0</v>
      </c>
      <c r="H425" s="32"/>
      <c r="I425" s="32"/>
      <c r="J425" s="32"/>
      <c r="K425" s="42" t="e">
        <f>INDEX(Input!$D$2:$AC$500,
       MATCH(B425, Input!$J$2:$J$500, 0),
       MATCH("Total Memory", Input!$D$1:$AC$1, 0))</f>
        <v>#N/A</v>
      </c>
      <c r="L425" s="42"/>
      <c r="M425" s="42" t="str" cm="1">
        <f t="array" ref="M425">IFERROR(_xlfn.FILTERXML("&lt;t&gt;&lt;s&gt;" &amp; SUBSTITUTE(L425," / ","&lt;/s&gt;&lt;s&gt;") &amp; "&lt;/s&gt;&lt;/t&gt;","(//s[contains(.,'DDR')])[1]"),"")</f>
        <v/>
      </c>
      <c r="N425" s="32" t="e">
        <f t="shared" si="20"/>
        <v>#N/A</v>
      </c>
      <c r="O425" s="42" t="e">
        <f>INDEX(Input!$D$2:$AC$500,
       MATCH(B425, Input!$J$2:$J$500, 0),
       MATCH("Disk Interface Type", Input!$D$1:$AC$1, 0))</f>
        <v>#N/A</v>
      </c>
      <c r="P425" s="42" t="str" cm="1">
        <f t="array" ref="P425">IFERROR(_xlfn.TEXTJOIN(", ", TRUE, _xlfn._xlws.FILTER(
    INDEX(Input!$D$2:$AC$500,,MATCH("Disk Capacity",Input!$D$1:$AC$1,0)),
    Input!$J$2:$J$500=B425
)), "")</f>
        <v/>
      </c>
      <c r="Q425" s="32" t="e">
        <f t="shared" si="19"/>
        <v>#N/A</v>
      </c>
      <c r="R425" s="42" t="e">
        <f>_xlfn.LET(_xlpm.Result,INDEX(Input!$D$2:$AC$500,
       MATCH(B425, Input!$J$2:$J$500, 0),
       MATCH("Capacity", Input!$D$1:$AC$1, 0)),IF(_xlpm.Result="","",_xlpm.Result))</f>
        <v>#N/A</v>
      </c>
      <c r="S425" s="42" t="e" cm="1">
        <f t="array" ref="S425">_xlfn.TEXTSPLIT(R425," / ", ,TRUE,0,)</f>
        <v>#N/A</v>
      </c>
      <c r="T425" s="42"/>
      <c r="U425" s="42" t="str" cm="1">
        <f t="array" ref="U425">IFERROR(_xlfn.IFS(
S425="","",
--S425&lt;55,"Battery Defect",
--S425&lt;=69,"Battery D",
--S425&lt;=80,"Battery C",
--S425&gt;80,""
),"")</f>
        <v/>
      </c>
      <c r="V425" s="42" t="str" cm="1">
        <f t="array" ref="V425">IFERROR(_xlfn.IFS(
T425="","",
--T425&lt;55,"Battery Defect",
--T425&lt;=69,"Battery D",
--T425&lt;=80,"Battery C",
--T425&gt;80,""
),"")</f>
        <v/>
      </c>
      <c r="W425" s="42"/>
      <c r="X425" s="42"/>
      <c r="Y425" s="42"/>
      <c r="Z425" s="42"/>
      <c r="AA425" s="42"/>
      <c r="AB425" s="42"/>
      <c r="AC425" s="42"/>
      <c r="AD425" s="42"/>
      <c r="AE425" s="32" t="str">
        <f t="shared" si="18"/>
        <v/>
      </c>
      <c r="AF425" s="32"/>
      <c r="AG425" s="32"/>
      <c r="AH425" s="32"/>
      <c r="AI425" s="32"/>
      <c r="AJ425" s="32"/>
      <c r="AK425" s="32"/>
      <c r="AL425" s="32"/>
      <c r="AM425" s="32"/>
    </row>
    <row r="426" spans="1:39">
      <c r="A426" s="32" t="str">
        <f>_xlfn.XLOOKUP(B426,Input!J:J,Input!G:G)&amp;""</f>
        <v/>
      </c>
      <c r="B426" s="32"/>
      <c r="C426" s="32" t="str">
        <f>_xlfn.XLOOKUP(B426,Input!J:J,Input!H:H)&amp;""</f>
        <v/>
      </c>
      <c r="D426" s="42">
        <f>_xlfn.XLOOKUP(B426,Input!J:J,Input!F:F)</f>
        <v>0</v>
      </c>
      <c r="E426" s="32">
        <f>_xlfn.XLOOKUP(D426,Models!H:H,Models!G:G,D426)</f>
        <v>0</v>
      </c>
      <c r="F426" s="32">
        <f>_xlfn.XLOOKUP(B426,Input!J:J,Input!E:E)</f>
        <v>0</v>
      </c>
      <c r="G426" s="32">
        <f>IF(F426="LENOVO",_xlfn.XLOOKUP(B426,Input!J:J,Input!K:K),_xlfn.XLOOKUP(B426,Input!J:J,Input!L:L))</f>
        <v>0</v>
      </c>
      <c r="H426" s="32"/>
      <c r="I426" s="32"/>
      <c r="J426" s="32"/>
      <c r="K426" s="42" t="e">
        <f>INDEX(Input!$D$2:$AC$500,
       MATCH(B426, Input!$J$2:$J$500, 0),
       MATCH("Total Memory", Input!$D$1:$AC$1, 0))</f>
        <v>#N/A</v>
      </c>
      <c r="L426" s="42"/>
      <c r="M426" s="42" t="str" cm="1">
        <f t="array" ref="M426">IFERROR(_xlfn.FILTERXML("&lt;t&gt;&lt;s&gt;" &amp; SUBSTITUTE(L426," / ","&lt;/s&gt;&lt;s&gt;") &amp; "&lt;/s&gt;&lt;/t&gt;","(//s[contains(.,'DDR')])[1]"),"")</f>
        <v/>
      </c>
      <c r="N426" s="32" t="e">
        <f t="shared" si="20"/>
        <v>#N/A</v>
      </c>
      <c r="O426" s="42" t="e">
        <f>INDEX(Input!$D$2:$AC$500,
       MATCH(B426, Input!$J$2:$J$500, 0),
       MATCH("Disk Interface Type", Input!$D$1:$AC$1, 0))</f>
        <v>#N/A</v>
      </c>
      <c r="P426" s="42" t="str" cm="1">
        <f t="array" ref="P426">IFERROR(_xlfn.TEXTJOIN(", ", TRUE, _xlfn._xlws.FILTER(
    INDEX(Input!$D$2:$AC$500,,MATCH("Disk Capacity",Input!$D$1:$AC$1,0)),
    Input!$J$2:$J$500=B426
)), "")</f>
        <v/>
      </c>
      <c r="Q426" s="32" t="e">
        <f t="shared" si="19"/>
        <v>#N/A</v>
      </c>
      <c r="R426" s="42" t="e">
        <f>_xlfn.LET(_xlpm.Result,INDEX(Input!$D$2:$AC$500,
       MATCH(B426, Input!$J$2:$J$500, 0),
       MATCH("Capacity", Input!$D$1:$AC$1, 0)),IF(_xlpm.Result="","",_xlpm.Result))</f>
        <v>#N/A</v>
      </c>
      <c r="S426" s="42" t="e" cm="1">
        <f t="array" ref="S426">_xlfn.TEXTSPLIT(R426," / ", ,TRUE,0,)</f>
        <v>#N/A</v>
      </c>
      <c r="T426" s="42"/>
      <c r="U426" s="42" t="str" cm="1">
        <f t="array" ref="U426">IFERROR(_xlfn.IFS(
S426="","",
--S426&lt;55,"Battery Defect",
--S426&lt;=69,"Battery D",
--S426&lt;=80,"Battery C",
--S426&gt;80,""
),"")</f>
        <v/>
      </c>
      <c r="V426" s="42" t="str" cm="1">
        <f t="array" ref="V426">IFERROR(_xlfn.IFS(
T426="","",
--T426&lt;55,"Battery Defect",
--T426&lt;=69,"Battery D",
--T426&lt;=80,"Battery C",
--T426&gt;80,""
),"")</f>
        <v/>
      </c>
      <c r="W426" s="42"/>
      <c r="X426" s="42"/>
      <c r="Y426" s="42"/>
      <c r="Z426" s="42"/>
      <c r="AA426" s="42"/>
      <c r="AB426" s="42"/>
      <c r="AC426" s="42"/>
      <c r="AD426" s="42"/>
      <c r="AE426" s="32" t="str">
        <f t="shared" si="18"/>
        <v/>
      </c>
      <c r="AF426" s="32"/>
      <c r="AG426" s="32"/>
      <c r="AH426" s="32"/>
      <c r="AI426" s="32"/>
      <c r="AJ426" s="32"/>
      <c r="AK426" s="32"/>
      <c r="AL426" s="32"/>
      <c r="AM426" s="32"/>
    </row>
    <row r="427" spans="1:39">
      <c r="A427" s="32" t="str">
        <f>_xlfn.XLOOKUP(B427,Input!J:J,Input!G:G)&amp;""</f>
        <v/>
      </c>
      <c r="B427" s="32"/>
      <c r="C427" s="32" t="str">
        <f>_xlfn.XLOOKUP(B427,Input!J:J,Input!H:H)&amp;""</f>
        <v/>
      </c>
      <c r="D427" s="42">
        <f>_xlfn.XLOOKUP(B427,Input!J:J,Input!F:F)</f>
        <v>0</v>
      </c>
      <c r="E427" s="32">
        <f>_xlfn.XLOOKUP(D427,Models!H:H,Models!G:G,D427)</f>
        <v>0</v>
      </c>
      <c r="F427" s="32">
        <f>_xlfn.XLOOKUP(B427,Input!J:J,Input!E:E)</f>
        <v>0</v>
      </c>
      <c r="G427" s="32">
        <f>IF(F427="LENOVO",_xlfn.XLOOKUP(B427,Input!J:J,Input!K:K),_xlfn.XLOOKUP(B427,Input!J:J,Input!L:L))</f>
        <v>0</v>
      </c>
      <c r="H427" s="32"/>
      <c r="I427" s="32"/>
      <c r="J427" s="32"/>
      <c r="K427" s="42" t="e">
        <f>INDEX(Input!$D$2:$AC$500,
       MATCH(B427, Input!$J$2:$J$500, 0),
       MATCH("Total Memory", Input!$D$1:$AC$1, 0))</f>
        <v>#N/A</v>
      </c>
      <c r="L427" s="42"/>
      <c r="M427" s="42" t="str" cm="1">
        <f t="array" ref="M427">IFERROR(_xlfn.FILTERXML("&lt;t&gt;&lt;s&gt;" &amp; SUBSTITUTE(L427," / ","&lt;/s&gt;&lt;s&gt;") &amp; "&lt;/s&gt;&lt;/t&gt;","(//s[contains(.,'DDR')])[1]"),"")</f>
        <v/>
      </c>
      <c r="N427" s="32" t="e">
        <f t="shared" si="20"/>
        <v>#N/A</v>
      </c>
      <c r="O427" s="42" t="e">
        <f>INDEX(Input!$D$2:$AC$500,
       MATCH(B427, Input!$J$2:$J$500, 0),
       MATCH("Disk Interface Type", Input!$D$1:$AC$1, 0))</f>
        <v>#N/A</v>
      </c>
      <c r="P427" s="42" t="str" cm="1">
        <f t="array" ref="P427">IFERROR(_xlfn.TEXTJOIN(", ", TRUE, _xlfn._xlws.FILTER(
    INDEX(Input!$D$2:$AC$500,,MATCH("Disk Capacity",Input!$D$1:$AC$1,0)),
    Input!$J$2:$J$500=B427
)), "")</f>
        <v/>
      </c>
      <c r="Q427" s="32" t="e">
        <f t="shared" si="19"/>
        <v>#N/A</v>
      </c>
      <c r="R427" s="42" t="e">
        <f>_xlfn.LET(_xlpm.Result,INDEX(Input!$D$2:$AC$500,
       MATCH(B427, Input!$J$2:$J$500, 0),
       MATCH("Capacity", Input!$D$1:$AC$1, 0)),IF(_xlpm.Result="","",_xlpm.Result))</f>
        <v>#N/A</v>
      </c>
      <c r="S427" s="42" t="e" cm="1">
        <f t="array" ref="S427">_xlfn.TEXTSPLIT(R427," / ", ,TRUE,0,)</f>
        <v>#N/A</v>
      </c>
      <c r="T427" s="42"/>
      <c r="U427" s="42" t="str" cm="1">
        <f t="array" ref="U427">IFERROR(_xlfn.IFS(
S427="","",
--S427&lt;55,"Battery Defect",
--S427&lt;=69,"Battery D",
--S427&lt;=80,"Battery C",
--S427&gt;80,""
),"")</f>
        <v/>
      </c>
      <c r="V427" s="42" t="str" cm="1">
        <f t="array" ref="V427">IFERROR(_xlfn.IFS(
T427="","",
--T427&lt;55,"Battery Defect",
--T427&lt;=69,"Battery D",
--T427&lt;=80,"Battery C",
--T427&gt;80,""
),"")</f>
        <v/>
      </c>
      <c r="W427" s="42"/>
      <c r="X427" s="42"/>
      <c r="Y427" s="42"/>
      <c r="Z427" s="42"/>
      <c r="AA427" s="42"/>
      <c r="AB427" s="42"/>
      <c r="AC427" s="42"/>
      <c r="AD427" s="42"/>
      <c r="AE427" s="32" t="str">
        <f t="shared" si="18"/>
        <v/>
      </c>
      <c r="AF427" s="32"/>
      <c r="AG427" s="32"/>
      <c r="AH427" s="32"/>
      <c r="AI427" s="32"/>
      <c r="AJ427" s="32"/>
      <c r="AK427" s="32"/>
      <c r="AL427" s="32"/>
      <c r="AM427" s="32"/>
    </row>
    <row r="428" spans="1:39">
      <c r="A428" s="32" t="str">
        <f>_xlfn.XLOOKUP(B428,Input!J:J,Input!G:G)&amp;""</f>
        <v/>
      </c>
      <c r="B428" s="32"/>
      <c r="C428" s="32" t="str">
        <f>_xlfn.XLOOKUP(B428,Input!J:J,Input!H:H)&amp;""</f>
        <v/>
      </c>
      <c r="D428" s="42">
        <f>_xlfn.XLOOKUP(B428,Input!J:J,Input!F:F)</f>
        <v>0</v>
      </c>
      <c r="E428" s="32">
        <f>_xlfn.XLOOKUP(D428,Models!H:H,Models!G:G,D428)</f>
        <v>0</v>
      </c>
      <c r="F428" s="32">
        <f>_xlfn.XLOOKUP(B428,Input!J:J,Input!E:E)</f>
        <v>0</v>
      </c>
      <c r="G428" s="32">
        <f>IF(F428="LENOVO",_xlfn.XLOOKUP(B428,Input!J:J,Input!K:K),_xlfn.XLOOKUP(B428,Input!J:J,Input!L:L))</f>
        <v>0</v>
      </c>
      <c r="H428" s="32"/>
      <c r="I428" s="32"/>
      <c r="J428" s="32"/>
      <c r="K428" s="42" t="e">
        <f>INDEX(Input!$D$2:$AC$500,
       MATCH(B428, Input!$J$2:$J$500, 0),
       MATCH("Total Memory", Input!$D$1:$AC$1, 0))</f>
        <v>#N/A</v>
      </c>
      <c r="L428" s="42"/>
      <c r="M428" s="42" t="str" cm="1">
        <f t="array" ref="M428">IFERROR(_xlfn.FILTERXML("&lt;t&gt;&lt;s&gt;" &amp; SUBSTITUTE(L428," / ","&lt;/s&gt;&lt;s&gt;") &amp; "&lt;/s&gt;&lt;/t&gt;","(//s[contains(.,'DDR')])[1]"),"")</f>
        <v/>
      </c>
      <c r="N428" s="32" t="e">
        <f t="shared" si="20"/>
        <v>#N/A</v>
      </c>
      <c r="O428" s="42" t="e">
        <f>INDEX(Input!$D$2:$AC$500,
       MATCH(B428, Input!$J$2:$J$500, 0),
       MATCH("Disk Interface Type", Input!$D$1:$AC$1, 0))</f>
        <v>#N/A</v>
      </c>
      <c r="P428" s="42" t="str" cm="1">
        <f t="array" ref="P428">IFERROR(_xlfn.TEXTJOIN(", ", TRUE, _xlfn._xlws.FILTER(
    INDEX(Input!$D$2:$AC$500,,MATCH("Disk Capacity",Input!$D$1:$AC$1,0)),
    Input!$J$2:$J$500=B428
)), "")</f>
        <v/>
      </c>
      <c r="Q428" s="32" t="e">
        <f t="shared" si="19"/>
        <v>#N/A</v>
      </c>
      <c r="R428" s="42" t="e">
        <f>_xlfn.LET(_xlpm.Result,INDEX(Input!$D$2:$AC$500,
       MATCH(B428, Input!$J$2:$J$500, 0),
       MATCH("Capacity", Input!$D$1:$AC$1, 0)),IF(_xlpm.Result="","",_xlpm.Result))</f>
        <v>#N/A</v>
      </c>
      <c r="S428" s="42" t="e" cm="1">
        <f t="array" ref="S428">_xlfn.TEXTSPLIT(R428," / ", ,TRUE,0,)</f>
        <v>#N/A</v>
      </c>
      <c r="T428" s="42"/>
      <c r="U428" s="42" t="str" cm="1">
        <f t="array" ref="U428">IFERROR(_xlfn.IFS(
S428="","",
--S428&lt;55,"Battery Defect",
--S428&lt;=69,"Battery D",
--S428&lt;=80,"Battery C",
--S428&gt;80,""
),"")</f>
        <v/>
      </c>
      <c r="V428" s="42" t="str" cm="1">
        <f t="array" ref="V428">IFERROR(_xlfn.IFS(
T428="","",
--T428&lt;55,"Battery Defect",
--T428&lt;=69,"Battery D",
--T428&lt;=80,"Battery C",
--T428&gt;80,""
),"")</f>
        <v/>
      </c>
      <c r="W428" s="42"/>
      <c r="X428" s="42"/>
      <c r="Y428" s="42"/>
      <c r="Z428" s="42"/>
      <c r="AA428" s="42"/>
      <c r="AB428" s="42"/>
      <c r="AC428" s="42"/>
      <c r="AD428" s="42"/>
      <c r="AE428" s="32" t="str">
        <f t="shared" si="18"/>
        <v/>
      </c>
      <c r="AF428" s="32"/>
      <c r="AG428" s="32"/>
      <c r="AH428" s="32"/>
      <c r="AI428" s="32"/>
      <c r="AJ428" s="32"/>
      <c r="AK428" s="32"/>
      <c r="AL428" s="32"/>
      <c r="AM428" s="32"/>
    </row>
    <row r="429" spans="1:39">
      <c r="A429" s="32" t="str">
        <f>_xlfn.XLOOKUP(B429,Input!J:J,Input!G:G)&amp;""</f>
        <v/>
      </c>
      <c r="B429" s="32"/>
      <c r="C429" s="32" t="str">
        <f>_xlfn.XLOOKUP(B429,Input!J:J,Input!H:H)&amp;""</f>
        <v/>
      </c>
      <c r="D429" s="42">
        <f>_xlfn.XLOOKUP(B429,Input!J:J,Input!F:F)</f>
        <v>0</v>
      </c>
      <c r="E429" s="32">
        <f>_xlfn.XLOOKUP(D429,Models!H:H,Models!G:G,D429)</f>
        <v>0</v>
      </c>
      <c r="F429" s="32">
        <f>_xlfn.XLOOKUP(B429,Input!J:J,Input!E:E)</f>
        <v>0</v>
      </c>
      <c r="G429" s="32">
        <f>IF(F429="LENOVO",_xlfn.XLOOKUP(B429,Input!J:J,Input!K:K),_xlfn.XLOOKUP(B429,Input!J:J,Input!L:L))</f>
        <v>0</v>
      </c>
      <c r="H429" s="32"/>
      <c r="I429" s="32"/>
      <c r="J429" s="32"/>
      <c r="K429" s="42" t="e">
        <f>INDEX(Input!$D$2:$AC$500,
       MATCH(B429, Input!$J$2:$J$500, 0),
       MATCH("Total Memory", Input!$D$1:$AC$1, 0))</f>
        <v>#N/A</v>
      </c>
      <c r="L429" s="42"/>
      <c r="M429" s="42" t="str" cm="1">
        <f t="array" ref="M429">IFERROR(_xlfn.FILTERXML("&lt;t&gt;&lt;s&gt;" &amp; SUBSTITUTE(L429," / ","&lt;/s&gt;&lt;s&gt;") &amp; "&lt;/s&gt;&lt;/t&gt;","(//s[contains(.,'DDR')])[1]"),"")</f>
        <v/>
      </c>
      <c r="N429" s="32" t="e">
        <f t="shared" si="20"/>
        <v>#N/A</v>
      </c>
      <c r="O429" s="42" t="e">
        <f>INDEX(Input!$D$2:$AC$500,
       MATCH(B429, Input!$J$2:$J$500, 0),
       MATCH("Disk Interface Type", Input!$D$1:$AC$1, 0))</f>
        <v>#N/A</v>
      </c>
      <c r="P429" s="42" t="str" cm="1">
        <f t="array" ref="P429">IFERROR(_xlfn.TEXTJOIN(", ", TRUE, _xlfn._xlws.FILTER(
    INDEX(Input!$D$2:$AC$500,,MATCH("Disk Capacity",Input!$D$1:$AC$1,0)),
    Input!$J$2:$J$500=B429
)), "")</f>
        <v/>
      </c>
      <c r="Q429" s="32" t="e">
        <f t="shared" si="19"/>
        <v>#N/A</v>
      </c>
      <c r="R429" s="42" t="e">
        <f>_xlfn.LET(_xlpm.Result,INDEX(Input!$D$2:$AC$500,
       MATCH(B429, Input!$J$2:$J$500, 0),
       MATCH("Capacity", Input!$D$1:$AC$1, 0)),IF(_xlpm.Result="","",_xlpm.Result))</f>
        <v>#N/A</v>
      </c>
      <c r="S429" s="42" t="e" cm="1">
        <f t="array" ref="S429">_xlfn.TEXTSPLIT(R429," / ", ,TRUE,0,)</f>
        <v>#N/A</v>
      </c>
      <c r="T429" s="42"/>
      <c r="U429" s="42" t="str" cm="1">
        <f t="array" ref="U429">IFERROR(_xlfn.IFS(
S429="","",
--S429&lt;55,"Battery Defect",
--S429&lt;=69,"Battery D",
--S429&lt;=80,"Battery C",
--S429&gt;80,""
),"")</f>
        <v/>
      </c>
      <c r="V429" s="42" t="str" cm="1">
        <f t="array" ref="V429">IFERROR(_xlfn.IFS(
T429="","",
--T429&lt;55,"Battery Defect",
--T429&lt;=69,"Battery D",
--T429&lt;=80,"Battery C",
--T429&gt;80,""
),"")</f>
        <v/>
      </c>
      <c r="W429" s="42"/>
      <c r="X429" s="42"/>
      <c r="Y429" s="42"/>
      <c r="Z429" s="42"/>
      <c r="AA429" s="42"/>
      <c r="AB429" s="42"/>
      <c r="AC429" s="42"/>
      <c r="AD429" s="42"/>
      <c r="AE429" s="32" t="str">
        <f t="shared" si="18"/>
        <v/>
      </c>
      <c r="AF429" s="32"/>
      <c r="AG429" s="32"/>
      <c r="AH429" s="32"/>
      <c r="AI429" s="32"/>
      <c r="AJ429" s="32"/>
      <c r="AK429" s="32"/>
      <c r="AL429" s="32"/>
      <c r="AM429" s="32"/>
    </row>
    <row r="430" spans="1:39">
      <c r="A430" s="32" t="str">
        <f>_xlfn.XLOOKUP(B430,Input!J:J,Input!G:G)&amp;""</f>
        <v/>
      </c>
      <c r="B430" s="32"/>
      <c r="C430" s="32" t="str">
        <f>_xlfn.XLOOKUP(B430,Input!J:J,Input!H:H)&amp;""</f>
        <v/>
      </c>
      <c r="D430" s="42">
        <f>_xlfn.XLOOKUP(B430,Input!J:J,Input!F:F)</f>
        <v>0</v>
      </c>
      <c r="E430" s="32">
        <f>_xlfn.XLOOKUP(D430,Models!H:H,Models!G:G,D430)</f>
        <v>0</v>
      </c>
      <c r="F430" s="32">
        <f>_xlfn.XLOOKUP(B430,Input!J:J,Input!E:E)</f>
        <v>0</v>
      </c>
      <c r="G430" s="32">
        <f>IF(F430="LENOVO",_xlfn.XLOOKUP(B430,Input!J:J,Input!K:K),_xlfn.XLOOKUP(B430,Input!J:J,Input!L:L))</f>
        <v>0</v>
      </c>
      <c r="H430" s="32"/>
      <c r="I430" s="32"/>
      <c r="J430" s="32"/>
      <c r="K430" s="42" t="e">
        <f>INDEX(Input!$D$2:$AC$500,
       MATCH(B430, Input!$J$2:$J$500, 0),
       MATCH("Total Memory", Input!$D$1:$AC$1, 0))</f>
        <v>#N/A</v>
      </c>
      <c r="L430" s="42"/>
      <c r="M430" s="42" t="str" cm="1">
        <f t="array" ref="M430">IFERROR(_xlfn.FILTERXML("&lt;t&gt;&lt;s&gt;" &amp; SUBSTITUTE(L430," / ","&lt;/s&gt;&lt;s&gt;") &amp; "&lt;/s&gt;&lt;/t&gt;","(//s[contains(.,'DDR')])[1]"),"")</f>
        <v/>
      </c>
      <c r="N430" s="32" t="e">
        <f t="shared" si="20"/>
        <v>#N/A</v>
      </c>
      <c r="O430" s="42" t="e">
        <f>INDEX(Input!$D$2:$AC$500,
       MATCH(B430, Input!$J$2:$J$500, 0),
       MATCH("Disk Interface Type", Input!$D$1:$AC$1, 0))</f>
        <v>#N/A</v>
      </c>
      <c r="P430" s="42" t="str" cm="1">
        <f t="array" ref="P430">IFERROR(_xlfn.TEXTJOIN(", ", TRUE, _xlfn._xlws.FILTER(
    INDEX(Input!$D$2:$AC$500,,MATCH("Disk Capacity",Input!$D$1:$AC$1,0)),
    Input!$J$2:$J$500=B430
)), "")</f>
        <v/>
      </c>
      <c r="Q430" s="32" t="e">
        <f t="shared" si="19"/>
        <v>#N/A</v>
      </c>
      <c r="R430" s="42" t="e">
        <f>_xlfn.LET(_xlpm.Result,INDEX(Input!$D$2:$AC$500,
       MATCH(B430, Input!$J$2:$J$500, 0),
       MATCH("Capacity", Input!$D$1:$AC$1, 0)),IF(_xlpm.Result="","",_xlpm.Result))</f>
        <v>#N/A</v>
      </c>
      <c r="S430" s="42" t="e" cm="1">
        <f t="array" ref="S430">_xlfn.TEXTSPLIT(R430," / ", ,TRUE,0,)</f>
        <v>#N/A</v>
      </c>
      <c r="T430" s="42"/>
      <c r="U430" s="42" t="str" cm="1">
        <f t="array" ref="U430">IFERROR(_xlfn.IFS(
S430="","",
--S430&lt;55,"Battery Defect",
--S430&lt;=69,"Battery D",
--S430&lt;=80,"Battery C",
--S430&gt;80,""
),"")</f>
        <v/>
      </c>
      <c r="V430" s="42" t="str" cm="1">
        <f t="array" ref="V430">IFERROR(_xlfn.IFS(
T430="","",
--T430&lt;55,"Battery Defect",
--T430&lt;=69,"Battery D",
--T430&lt;=80,"Battery C",
--T430&gt;80,""
),"")</f>
        <v/>
      </c>
      <c r="W430" s="42"/>
      <c r="X430" s="42"/>
      <c r="Y430" s="42"/>
      <c r="Z430" s="42"/>
      <c r="AA430" s="42"/>
      <c r="AB430" s="42"/>
      <c r="AC430" s="42"/>
      <c r="AD430" s="42"/>
      <c r="AE430" s="32" t="str">
        <f t="shared" si="18"/>
        <v/>
      </c>
      <c r="AF430" s="32"/>
      <c r="AG430" s="32"/>
      <c r="AH430" s="32"/>
      <c r="AI430" s="32"/>
      <c r="AJ430" s="32"/>
      <c r="AK430" s="32"/>
      <c r="AL430" s="32"/>
      <c r="AM430" s="32"/>
    </row>
    <row r="431" spans="1:39">
      <c r="A431" s="32" t="str">
        <f>_xlfn.XLOOKUP(B431,Input!J:J,Input!G:G)&amp;""</f>
        <v/>
      </c>
      <c r="B431" s="32"/>
      <c r="C431" s="32" t="str">
        <f>_xlfn.XLOOKUP(B431,Input!J:J,Input!H:H)&amp;""</f>
        <v/>
      </c>
      <c r="D431" s="42">
        <f>_xlfn.XLOOKUP(B431,Input!J:J,Input!F:F)</f>
        <v>0</v>
      </c>
      <c r="E431" s="32">
        <f>_xlfn.XLOOKUP(D431,Models!H:H,Models!G:G,D431)</f>
        <v>0</v>
      </c>
      <c r="F431" s="32">
        <f>_xlfn.XLOOKUP(B431,Input!J:J,Input!E:E)</f>
        <v>0</v>
      </c>
      <c r="G431" s="32">
        <f>IF(F431="LENOVO",_xlfn.XLOOKUP(B431,Input!J:J,Input!K:K),_xlfn.XLOOKUP(B431,Input!J:J,Input!L:L))</f>
        <v>0</v>
      </c>
      <c r="H431" s="32"/>
      <c r="I431" s="32"/>
      <c r="J431" s="32"/>
      <c r="K431" s="42" t="e">
        <f>INDEX(Input!$D$2:$AC$500,
       MATCH(B431, Input!$J$2:$J$500, 0),
       MATCH("Total Memory", Input!$D$1:$AC$1, 0))</f>
        <v>#N/A</v>
      </c>
      <c r="L431" s="42"/>
      <c r="M431" s="42" t="str" cm="1">
        <f t="array" ref="M431">IFERROR(_xlfn.FILTERXML("&lt;t&gt;&lt;s&gt;" &amp; SUBSTITUTE(L431," / ","&lt;/s&gt;&lt;s&gt;") &amp; "&lt;/s&gt;&lt;/t&gt;","(//s[contains(.,'DDR')])[1]"),"")</f>
        <v/>
      </c>
      <c r="N431" s="32" t="e">
        <f t="shared" si="20"/>
        <v>#N/A</v>
      </c>
      <c r="O431" s="42" t="e">
        <f>INDEX(Input!$D$2:$AC$500,
       MATCH(B431, Input!$J$2:$J$500, 0),
       MATCH("Disk Interface Type", Input!$D$1:$AC$1, 0))</f>
        <v>#N/A</v>
      </c>
      <c r="P431" s="42" t="str" cm="1">
        <f t="array" ref="P431">IFERROR(_xlfn.TEXTJOIN(", ", TRUE, _xlfn._xlws.FILTER(
    INDEX(Input!$D$2:$AC$500,,MATCH("Disk Capacity",Input!$D$1:$AC$1,0)),
    Input!$J$2:$J$500=B431
)), "")</f>
        <v/>
      </c>
      <c r="Q431" s="32" t="e">
        <f t="shared" si="19"/>
        <v>#N/A</v>
      </c>
      <c r="R431" s="42" t="e">
        <f>_xlfn.LET(_xlpm.Result,INDEX(Input!$D$2:$AC$500,
       MATCH(B431, Input!$J$2:$J$500, 0),
       MATCH("Capacity", Input!$D$1:$AC$1, 0)),IF(_xlpm.Result="","",_xlpm.Result))</f>
        <v>#N/A</v>
      </c>
      <c r="S431" s="42" t="e" cm="1">
        <f t="array" ref="S431">_xlfn.TEXTSPLIT(R431," / ", ,TRUE,0,)</f>
        <v>#N/A</v>
      </c>
      <c r="T431" s="42"/>
      <c r="U431" s="42" t="str" cm="1">
        <f t="array" ref="U431">IFERROR(_xlfn.IFS(
S431="","",
--S431&lt;55,"Battery Defect",
--S431&lt;=69,"Battery D",
--S431&lt;=80,"Battery C",
--S431&gt;80,""
),"")</f>
        <v/>
      </c>
      <c r="V431" s="42" t="str" cm="1">
        <f t="array" ref="V431">IFERROR(_xlfn.IFS(
T431="","",
--T431&lt;55,"Battery Defect",
--T431&lt;=69,"Battery D",
--T431&lt;=80,"Battery C",
--T431&gt;80,""
),"")</f>
        <v/>
      </c>
      <c r="W431" s="42"/>
      <c r="X431" s="42"/>
      <c r="Y431" s="42"/>
      <c r="Z431" s="42"/>
      <c r="AA431" s="42"/>
      <c r="AB431" s="42"/>
      <c r="AC431" s="42"/>
      <c r="AD431" s="42"/>
      <c r="AE431" s="32" t="str">
        <f t="shared" si="18"/>
        <v/>
      </c>
      <c r="AF431" s="32"/>
      <c r="AG431" s="32"/>
      <c r="AH431" s="32"/>
      <c r="AI431" s="32"/>
      <c r="AJ431" s="32"/>
      <c r="AK431" s="32"/>
      <c r="AL431" s="32"/>
      <c r="AM431" s="32"/>
    </row>
    <row r="432" spans="1:39">
      <c r="A432" s="32" t="str">
        <f>_xlfn.XLOOKUP(B432,Input!J:J,Input!G:G)&amp;""</f>
        <v/>
      </c>
      <c r="B432" s="32"/>
      <c r="C432" s="32" t="str">
        <f>_xlfn.XLOOKUP(B432,Input!J:J,Input!H:H)&amp;""</f>
        <v/>
      </c>
      <c r="D432" s="42">
        <f>_xlfn.XLOOKUP(B432,Input!J:J,Input!F:F)</f>
        <v>0</v>
      </c>
      <c r="E432" s="32">
        <f>_xlfn.XLOOKUP(D432,Models!H:H,Models!G:G,D432)</f>
        <v>0</v>
      </c>
      <c r="F432" s="32">
        <f>_xlfn.XLOOKUP(B432,Input!J:J,Input!E:E)</f>
        <v>0</v>
      </c>
      <c r="G432" s="32">
        <f>IF(F432="LENOVO",_xlfn.XLOOKUP(B432,Input!J:J,Input!K:K),_xlfn.XLOOKUP(B432,Input!J:J,Input!L:L))</f>
        <v>0</v>
      </c>
      <c r="H432" s="32"/>
      <c r="I432" s="32"/>
      <c r="J432" s="32"/>
      <c r="K432" s="42" t="e">
        <f>INDEX(Input!$D$2:$AC$500,
       MATCH(B432, Input!$J$2:$J$500, 0),
       MATCH("Total Memory", Input!$D$1:$AC$1, 0))</f>
        <v>#N/A</v>
      </c>
      <c r="L432" s="42"/>
      <c r="M432" s="42" t="str" cm="1">
        <f t="array" ref="M432">IFERROR(_xlfn.FILTERXML("&lt;t&gt;&lt;s&gt;" &amp; SUBSTITUTE(L432," / ","&lt;/s&gt;&lt;s&gt;") &amp; "&lt;/s&gt;&lt;/t&gt;","(//s[contains(.,'DDR')])[1]"),"")</f>
        <v/>
      </c>
      <c r="N432" s="32" t="e">
        <f t="shared" si="20"/>
        <v>#N/A</v>
      </c>
      <c r="O432" s="42" t="e">
        <f>INDEX(Input!$D$2:$AC$500,
       MATCH(B432, Input!$J$2:$J$500, 0),
       MATCH("Disk Interface Type", Input!$D$1:$AC$1, 0))</f>
        <v>#N/A</v>
      </c>
      <c r="P432" s="42" t="str" cm="1">
        <f t="array" ref="P432">IFERROR(_xlfn.TEXTJOIN(", ", TRUE, _xlfn._xlws.FILTER(
    INDEX(Input!$D$2:$AC$500,,MATCH("Disk Capacity",Input!$D$1:$AC$1,0)),
    Input!$J$2:$J$500=B432
)), "")</f>
        <v/>
      </c>
      <c r="Q432" s="32" t="e">
        <f t="shared" si="19"/>
        <v>#N/A</v>
      </c>
      <c r="R432" s="42" t="e">
        <f>_xlfn.LET(_xlpm.Result,INDEX(Input!$D$2:$AC$500,
       MATCH(B432, Input!$J$2:$J$500, 0),
       MATCH("Capacity", Input!$D$1:$AC$1, 0)),IF(_xlpm.Result="","",_xlpm.Result))</f>
        <v>#N/A</v>
      </c>
      <c r="S432" s="42" t="e" cm="1">
        <f t="array" ref="S432">_xlfn.TEXTSPLIT(R432," / ", ,TRUE,0,)</f>
        <v>#N/A</v>
      </c>
      <c r="T432" s="42"/>
      <c r="U432" s="42" t="str" cm="1">
        <f t="array" ref="U432">IFERROR(_xlfn.IFS(
S432="","",
--S432&lt;55,"Battery Defect",
--S432&lt;=69,"Battery D",
--S432&lt;=80,"Battery C",
--S432&gt;80,""
),"")</f>
        <v/>
      </c>
      <c r="V432" s="42" t="str" cm="1">
        <f t="array" ref="V432">IFERROR(_xlfn.IFS(
T432="","",
--T432&lt;55,"Battery Defect",
--T432&lt;=69,"Battery D",
--T432&lt;=80,"Battery C",
--T432&gt;80,""
),"")</f>
        <v/>
      </c>
      <c r="W432" s="42"/>
      <c r="X432" s="42"/>
      <c r="Y432" s="42"/>
      <c r="Z432" s="42"/>
      <c r="AA432" s="42"/>
      <c r="AB432" s="42"/>
      <c r="AC432" s="42"/>
      <c r="AD432" s="42"/>
      <c r="AE432" s="32" t="str">
        <f t="shared" si="18"/>
        <v/>
      </c>
      <c r="AF432" s="32"/>
      <c r="AG432" s="32"/>
      <c r="AH432" s="32"/>
      <c r="AI432" s="32"/>
      <c r="AJ432" s="32"/>
      <c r="AK432" s="32"/>
      <c r="AL432" s="32"/>
      <c r="AM432" s="32"/>
    </row>
    <row r="433" spans="1:39">
      <c r="A433" s="32" t="str">
        <f>_xlfn.XLOOKUP(B433,Input!J:J,Input!G:G)&amp;""</f>
        <v/>
      </c>
      <c r="B433" s="32"/>
      <c r="C433" s="32" t="str">
        <f>_xlfn.XLOOKUP(B433,Input!J:J,Input!H:H)&amp;""</f>
        <v/>
      </c>
      <c r="D433" s="42">
        <f>_xlfn.XLOOKUP(B433,Input!J:J,Input!F:F)</f>
        <v>0</v>
      </c>
      <c r="E433" s="32">
        <f>_xlfn.XLOOKUP(D433,Models!H:H,Models!G:G,D433)</f>
        <v>0</v>
      </c>
      <c r="F433" s="32">
        <f>_xlfn.XLOOKUP(B433,Input!J:J,Input!E:E)</f>
        <v>0</v>
      </c>
      <c r="G433" s="32">
        <f>IF(F433="LENOVO",_xlfn.XLOOKUP(B433,Input!J:J,Input!K:K),_xlfn.XLOOKUP(B433,Input!J:J,Input!L:L))</f>
        <v>0</v>
      </c>
      <c r="H433" s="32"/>
      <c r="I433" s="32"/>
      <c r="J433" s="32"/>
      <c r="K433" s="42" t="e">
        <f>INDEX(Input!$D$2:$AC$500,
       MATCH(B433, Input!$J$2:$J$500, 0),
       MATCH("Total Memory", Input!$D$1:$AC$1, 0))</f>
        <v>#N/A</v>
      </c>
      <c r="L433" s="42"/>
      <c r="M433" s="42" t="str" cm="1">
        <f t="array" ref="M433">IFERROR(_xlfn.FILTERXML("&lt;t&gt;&lt;s&gt;" &amp; SUBSTITUTE(L433," / ","&lt;/s&gt;&lt;s&gt;") &amp; "&lt;/s&gt;&lt;/t&gt;","(//s[contains(.,'DDR')])[1]"),"")</f>
        <v/>
      </c>
      <c r="N433" s="32" t="e">
        <f t="shared" si="20"/>
        <v>#N/A</v>
      </c>
      <c r="O433" s="42" t="e">
        <f>INDEX(Input!$D$2:$AC$500,
       MATCH(B433, Input!$J$2:$J$500, 0),
       MATCH("Disk Interface Type", Input!$D$1:$AC$1, 0))</f>
        <v>#N/A</v>
      </c>
      <c r="P433" s="42" t="str" cm="1">
        <f t="array" ref="P433">IFERROR(_xlfn.TEXTJOIN(", ", TRUE, _xlfn._xlws.FILTER(
    INDEX(Input!$D$2:$AC$500,,MATCH("Disk Capacity",Input!$D$1:$AC$1,0)),
    Input!$J$2:$J$500=B433
)), "")</f>
        <v/>
      </c>
      <c r="Q433" s="32" t="e">
        <f t="shared" si="19"/>
        <v>#N/A</v>
      </c>
      <c r="R433" s="42" t="e">
        <f>_xlfn.LET(_xlpm.Result,INDEX(Input!$D$2:$AC$500,
       MATCH(B433, Input!$J$2:$J$500, 0),
       MATCH("Capacity", Input!$D$1:$AC$1, 0)),IF(_xlpm.Result="","",_xlpm.Result))</f>
        <v>#N/A</v>
      </c>
      <c r="S433" s="42" t="e" cm="1">
        <f t="array" ref="S433">_xlfn.TEXTSPLIT(R433," / ", ,TRUE,0,)</f>
        <v>#N/A</v>
      </c>
      <c r="T433" s="42"/>
      <c r="U433" s="42" t="str" cm="1">
        <f t="array" ref="U433">IFERROR(_xlfn.IFS(
S433="","",
--S433&lt;55,"Battery Defect",
--S433&lt;=69,"Battery D",
--S433&lt;=80,"Battery C",
--S433&gt;80,""
),"")</f>
        <v/>
      </c>
      <c r="V433" s="42" t="str" cm="1">
        <f t="array" ref="V433">IFERROR(_xlfn.IFS(
T433="","",
--T433&lt;55,"Battery Defect",
--T433&lt;=69,"Battery D",
--T433&lt;=80,"Battery C",
--T433&gt;80,""
),"")</f>
        <v/>
      </c>
      <c r="W433" s="42"/>
      <c r="X433" s="42"/>
      <c r="Y433" s="42"/>
      <c r="Z433" s="42"/>
      <c r="AA433" s="42"/>
      <c r="AB433" s="42"/>
      <c r="AC433" s="42"/>
      <c r="AD433" s="42"/>
      <c r="AE433" s="32" t="str">
        <f t="shared" si="18"/>
        <v/>
      </c>
      <c r="AF433" s="32"/>
      <c r="AG433" s="32"/>
      <c r="AH433" s="32"/>
      <c r="AI433" s="32"/>
      <c r="AJ433" s="32"/>
      <c r="AK433" s="32"/>
      <c r="AL433" s="32"/>
      <c r="AM433" s="32"/>
    </row>
    <row r="434" spans="1:39">
      <c r="A434" s="32" t="str">
        <f>_xlfn.XLOOKUP(B434,Input!J:J,Input!G:G)&amp;""</f>
        <v/>
      </c>
      <c r="B434" s="32"/>
      <c r="C434" s="32" t="str">
        <f>_xlfn.XLOOKUP(B434,Input!J:J,Input!H:H)&amp;""</f>
        <v/>
      </c>
      <c r="D434" s="42">
        <f>_xlfn.XLOOKUP(B434,Input!J:J,Input!F:F)</f>
        <v>0</v>
      </c>
      <c r="E434" s="32">
        <f>_xlfn.XLOOKUP(D434,Models!H:H,Models!G:G,D434)</f>
        <v>0</v>
      </c>
      <c r="F434" s="32">
        <f>_xlfn.XLOOKUP(B434,Input!J:J,Input!E:E)</f>
        <v>0</v>
      </c>
      <c r="G434" s="32">
        <f>IF(F434="LENOVO",_xlfn.XLOOKUP(B434,Input!J:J,Input!K:K),_xlfn.XLOOKUP(B434,Input!J:J,Input!L:L))</f>
        <v>0</v>
      </c>
      <c r="H434" s="32"/>
      <c r="I434" s="32"/>
      <c r="J434" s="32"/>
      <c r="K434" s="42" t="e">
        <f>INDEX(Input!$D$2:$AC$500,
       MATCH(B434, Input!$J$2:$J$500, 0),
       MATCH("Total Memory", Input!$D$1:$AC$1, 0))</f>
        <v>#N/A</v>
      </c>
      <c r="L434" s="42"/>
      <c r="M434" s="42" t="str" cm="1">
        <f t="array" ref="M434">IFERROR(_xlfn.FILTERXML("&lt;t&gt;&lt;s&gt;" &amp; SUBSTITUTE(L434," / ","&lt;/s&gt;&lt;s&gt;") &amp; "&lt;/s&gt;&lt;/t&gt;","(//s[contains(.,'DDR')])[1]"),"")</f>
        <v/>
      </c>
      <c r="N434" s="32" t="e">
        <f t="shared" si="20"/>
        <v>#N/A</v>
      </c>
      <c r="O434" s="42" t="e">
        <f>INDEX(Input!$D$2:$AC$500,
       MATCH(B434, Input!$J$2:$J$500, 0),
       MATCH("Disk Interface Type", Input!$D$1:$AC$1, 0))</f>
        <v>#N/A</v>
      </c>
      <c r="P434" s="42" t="str" cm="1">
        <f t="array" ref="P434">IFERROR(_xlfn.TEXTJOIN(", ", TRUE, _xlfn._xlws.FILTER(
    INDEX(Input!$D$2:$AC$500,,MATCH("Disk Capacity",Input!$D$1:$AC$1,0)),
    Input!$J$2:$J$500=B434
)), "")</f>
        <v/>
      </c>
      <c r="Q434" s="32" t="e">
        <f t="shared" si="19"/>
        <v>#N/A</v>
      </c>
      <c r="R434" s="42" t="e">
        <f>_xlfn.LET(_xlpm.Result,INDEX(Input!$D$2:$AC$500,
       MATCH(B434, Input!$J$2:$J$500, 0),
       MATCH("Capacity", Input!$D$1:$AC$1, 0)),IF(_xlpm.Result="","",_xlpm.Result))</f>
        <v>#N/A</v>
      </c>
      <c r="S434" s="42" t="e" cm="1">
        <f t="array" ref="S434">_xlfn.TEXTSPLIT(R434," / ", ,TRUE,0,)</f>
        <v>#N/A</v>
      </c>
      <c r="T434" s="42"/>
      <c r="U434" s="42" t="str" cm="1">
        <f t="array" ref="U434">IFERROR(_xlfn.IFS(
S434="","",
--S434&lt;55,"Battery Defect",
--S434&lt;=69,"Battery D",
--S434&lt;=80,"Battery C",
--S434&gt;80,""
),"")</f>
        <v/>
      </c>
      <c r="V434" s="42" t="str" cm="1">
        <f t="array" ref="V434">IFERROR(_xlfn.IFS(
T434="","",
--T434&lt;55,"Battery Defect",
--T434&lt;=69,"Battery D",
--T434&lt;=80,"Battery C",
--T434&gt;80,""
),"")</f>
        <v/>
      </c>
      <c r="W434" s="42"/>
      <c r="X434" s="42"/>
      <c r="Y434" s="42"/>
      <c r="Z434" s="42"/>
      <c r="AA434" s="42"/>
      <c r="AB434" s="42"/>
      <c r="AC434" s="42"/>
      <c r="AD434" s="42"/>
      <c r="AE434" s="32" t="str">
        <f t="shared" si="18"/>
        <v/>
      </c>
      <c r="AF434" s="32"/>
      <c r="AG434" s="32"/>
      <c r="AH434" s="32"/>
      <c r="AI434" s="32"/>
      <c r="AJ434" s="32"/>
      <c r="AK434" s="32"/>
      <c r="AL434" s="32"/>
      <c r="AM434" s="32"/>
    </row>
    <row r="435" spans="1:39">
      <c r="A435" s="32" t="str">
        <f>_xlfn.XLOOKUP(B435,Input!J:J,Input!G:G)&amp;""</f>
        <v/>
      </c>
      <c r="B435" s="32"/>
      <c r="C435" s="32" t="str">
        <f>_xlfn.XLOOKUP(B435,Input!J:J,Input!H:H)&amp;""</f>
        <v/>
      </c>
      <c r="D435" s="42">
        <f>_xlfn.XLOOKUP(B435,Input!J:J,Input!F:F)</f>
        <v>0</v>
      </c>
      <c r="E435" s="32">
        <f>_xlfn.XLOOKUP(D435,Models!H:H,Models!G:G,D435)</f>
        <v>0</v>
      </c>
      <c r="F435" s="32">
        <f>_xlfn.XLOOKUP(B435,Input!J:J,Input!E:E)</f>
        <v>0</v>
      </c>
      <c r="G435" s="32">
        <f>IF(F435="LENOVO",_xlfn.XLOOKUP(B435,Input!J:J,Input!K:K),_xlfn.XLOOKUP(B435,Input!J:J,Input!L:L))</f>
        <v>0</v>
      </c>
      <c r="H435" s="32"/>
      <c r="I435" s="32"/>
      <c r="J435" s="32"/>
      <c r="K435" s="42" t="e">
        <f>INDEX(Input!$D$2:$AC$500,
       MATCH(B435, Input!$J$2:$J$500, 0),
       MATCH("Total Memory", Input!$D$1:$AC$1, 0))</f>
        <v>#N/A</v>
      </c>
      <c r="L435" s="42"/>
      <c r="M435" s="42" t="str" cm="1">
        <f t="array" ref="M435">IFERROR(_xlfn.FILTERXML("&lt;t&gt;&lt;s&gt;" &amp; SUBSTITUTE(L435," / ","&lt;/s&gt;&lt;s&gt;") &amp; "&lt;/s&gt;&lt;/t&gt;","(//s[contains(.,'DDR')])[1]"),"")</f>
        <v/>
      </c>
      <c r="N435" s="32" t="e">
        <f t="shared" si="20"/>
        <v>#N/A</v>
      </c>
      <c r="O435" s="42" t="e">
        <f>INDEX(Input!$D$2:$AC$500,
       MATCH(B435, Input!$J$2:$J$500, 0),
       MATCH("Disk Interface Type", Input!$D$1:$AC$1, 0))</f>
        <v>#N/A</v>
      </c>
      <c r="P435" s="42" t="str" cm="1">
        <f t="array" ref="P435">IFERROR(_xlfn.TEXTJOIN(", ", TRUE, _xlfn._xlws.FILTER(
    INDEX(Input!$D$2:$AC$500,,MATCH("Disk Capacity",Input!$D$1:$AC$1,0)),
    Input!$J$2:$J$500=B435
)), "")</f>
        <v/>
      </c>
      <c r="Q435" s="32" t="e">
        <f t="shared" si="19"/>
        <v>#N/A</v>
      </c>
      <c r="R435" s="42" t="e">
        <f>_xlfn.LET(_xlpm.Result,INDEX(Input!$D$2:$AC$500,
       MATCH(B435, Input!$J$2:$J$500, 0),
       MATCH("Capacity", Input!$D$1:$AC$1, 0)),IF(_xlpm.Result="","",_xlpm.Result))</f>
        <v>#N/A</v>
      </c>
      <c r="S435" s="42"/>
      <c r="T435" s="42"/>
      <c r="U435" s="42" t="str" cm="1">
        <f t="array" ref="U435">IFERROR(_xlfn.IFS(
S435="","",
--S435&lt;55,"Battery Defect",
--S435&lt;=69,"Battery D",
--S435&lt;=80,"Battery C",
--S435&gt;80,""
),"")</f>
        <v/>
      </c>
      <c r="V435" s="42" t="str" cm="1">
        <f t="array" ref="V435">IFERROR(_xlfn.IFS(
T435="","",
--T435&lt;55,"Battery Defect",
--T435&lt;=69,"Battery D",
--T435&lt;=80,"Battery C",
--T435&gt;80,""
),"")</f>
        <v/>
      </c>
      <c r="W435" s="42"/>
      <c r="X435" s="42"/>
      <c r="Y435" s="42"/>
      <c r="Z435" s="42"/>
      <c r="AA435" s="42"/>
      <c r="AB435" s="42"/>
      <c r="AC435" s="42"/>
      <c r="AD435" s="42"/>
      <c r="AE435" s="32" t="str">
        <f t="shared" si="18"/>
        <v/>
      </c>
      <c r="AF435" s="32"/>
      <c r="AG435" s="32"/>
      <c r="AH435" s="32"/>
      <c r="AI435" s="32"/>
      <c r="AJ435" s="32"/>
      <c r="AK435" s="32"/>
      <c r="AL435" s="32"/>
      <c r="AM435" s="32"/>
    </row>
    <row r="436" spans="1:39">
      <c r="A436" s="32" t="str">
        <f>_xlfn.XLOOKUP(B436,Input!J:J,Input!G:G)&amp;""</f>
        <v/>
      </c>
      <c r="B436" s="32"/>
      <c r="C436" s="32" t="str">
        <f>_xlfn.XLOOKUP(B436,Input!J:J,Input!H:H)&amp;""</f>
        <v/>
      </c>
      <c r="D436" s="42">
        <f>_xlfn.XLOOKUP(B436,Input!J:J,Input!F:F)</f>
        <v>0</v>
      </c>
      <c r="E436" s="32">
        <f>_xlfn.XLOOKUP(D436,Models!H:H,Models!G:G,D436)</f>
        <v>0</v>
      </c>
      <c r="F436" s="32">
        <f>_xlfn.XLOOKUP(B436,Input!J:J,Input!E:E)</f>
        <v>0</v>
      </c>
      <c r="G436" s="32">
        <f>IF(F436="LENOVO",_xlfn.XLOOKUP(B436,Input!J:J,Input!K:K),_xlfn.XLOOKUP(B436,Input!J:J,Input!L:L))</f>
        <v>0</v>
      </c>
      <c r="H436" s="32"/>
      <c r="I436" s="32"/>
      <c r="J436" s="32"/>
      <c r="K436" s="42" t="e">
        <f>INDEX(Input!$D$2:$AC$500,
       MATCH(B436, Input!$J$2:$J$500, 0),
       MATCH("Total Memory", Input!$D$1:$AC$1, 0))</f>
        <v>#N/A</v>
      </c>
      <c r="L436" s="42"/>
      <c r="M436" s="42" t="str" cm="1">
        <f t="array" ref="M436">IFERROR(_xlfn.FILTERXML("&lt;t&gt;&lt;s&gt;" &amp; SUBSTITUTE(L436," / ","&lt;/s&gt;&lt;s&gt;") &amp; "&lt;/s&gt;&lt;/t&gt;","(//s[contains(.,'DDR')])[1]"),"")</f>
        <v/>
      </c>
      <c r="N436" s="32" t="e">
        <f t="shared" si="20"/>
        <v>#N/A</v>
      </c>
      <c r="O436" s="42" t="e">
        <f>INDEX(Input!$D$2:$AC$500,
       MATCH(B436, Input!$J$2:$J$500, 0),
       MATCH("Disk Interface Type", Input!$D$1:$AC$1, 0))</f>
        <v>#N/A</v>
      </c>
      <c r="P436" s="42" t="str" cm="1">
        <f t="array" ref="P436">IFERROR(_xlfn.TEXTJOIN(", ", TRUE, _xlfn._xlws.FILTER(
    INDEX(Input!$D$2:$AC$500,,MATCH("Disk Capacity",Input!$D$1:$AC$1,0)),
    Input!$J$2:$J$500=B436
)), "")</f>
        <v/>
      </c>
      <c r="Q436" s="32" t="e">
        <f t="shared" si="19"/>
        <v>#N/A</v>
      </c>
      <c r="R436" s="42" t="e">
        <f>_xlfn.LET(_xlpm.Result,INDEX(Input!$D$2:$AC$500,
       MATCH(B436, Input!$J$2:$J$500, 0),
       MATCH("Capacity", Input!$D$1:$AC$1, 0)),IF(_xlpm.Result="","",_xlpm.Result))</f>
        <v>#N/A</v>
      </c>
      <c r="S436" s="42"/>
      <c r="T436" s="42"/>
      <c r="U436" s="42" t="str" cm="1">
        <f t="array" ref="U436">IFERROR(_xlfn.IFS(
S436="","",
--S436&lt;55,"Battery Defect",
--S436&lt;=69,"Battery D",
--S436&lt;=80,"Battery C",
--S436&gt;80,""
),"")</f>
        <v/>
      </c>
      <c r="V436" s="42" t="str" cm="1">
        <f t="array" ref="V436">IFERROR(_xlfn.IFS(
T436="","",
--T436&lt;55,"Battery Defect",
--T436&lt;=69,"Battery D",
--T436&lt;=80,"Battery C",
--T436&gt;80,""
),"")</f>
        <v/>
      </c>
      <c r="W436" s="42"/>
      <c r="X436" s="42"/>
      <c r="Y436" s="42"/>
      <c r="Z436" s="42"/>
      <c r="AA436" s="42"/>
      <c r="AB436" s="42"/>
      <c r="AC436" s="42"/>
      <c r="AD436" s="42"/>
      <c r="AE436" s="32" t="str">
        <f t="shared" si="18"/>
        <v/>
      </c>
      <c r="AF436" s="32"/>
      <c r="AG436" s="32"/>
      <c r="AH436" s="32"/>
      <c r="AI436" s="32"/>
      <c r="AJ436" s="32"/>
      <c r="AK436" s="32"/>
      <c r="AL436" s="32"/>
      <c r="AM436" s="32"/>
    </row>
    <row r="437" spans="1:39">
      <c r="A437" s="32" t="str">
        <f>_xlfn.XLOOKUP(B437,Input!J:J,Input!G:G)&amp;""</f>
        <v/>
      </c>
      <c r="B437" s="32"/>
      <c r="C437" s="32" t="str">
        <f>_xlfn.XLOOKUP(B437,Input!J:J,Input!H:H)&amp;""</f>
        <v/>
      </c>
      <c r="D437" s="42">
        <f>_xlfn.XLOOKUP(B437,Input!J:J,Input!F:F)</f>
        <v>0</v>
      </c>
      <c r="E437" s="32">
        <f>_xlfn.XLOOKUP(D437,Models!H:H,Models!G:G,D437)</f>
        <v>0</v>
      </c>
      <c r="F437" s="32">
        <f>_xlfn.XLOOKUP(B437,Input!J:J,Input!E:E)</f>
        <v>0</v>
      </c>
      <c r="G437" s="32">
        <f>IF(F437="LENOVO",_xlfn.XLOOKUP(B437,Input!J:J,Input!K:K),_xlfn.XLOOKUP(B437,Input!J:J,Input!L:L))</f>
        <v>0</v>
      </c>
      <c r="H437" s="32"/>
      <c r="I437" s="32"/>
      <c r="J437" s="32"/>
      <c r="K437" s="42" t="e">
        <f>INDEX(Input!$D$2:$AC$500,
       MATCH(B437, Input!$J$2:$J$500, 0),
       MATCH("Total Memory", Input!$D$1:$AC$1, 0))</f>
        <v>#N/A</v>
      </c>
      <c r="L437" s="42"/>
      <c r="M437" s="42" t="str" cm="1">
        <f t="array" ref="M437">IFERROR(_xlfn.FILTERXML("&lt;t&gt;&lt;s&gt;" &amp; SUBSTITUTE(L437," / ","&lt;/s&gt;&lt;s&gt;") &amp; "&lt;/s&gt;&lt;/t&gt;","(//s[contains(.,'DDR')])[1]"),"")</f>
        <v/>
      </c>
      <c r="N437" s="32" t="e">
        <f t="shared" si="20"/>
        <v>#N/A</v>
      </c>
      <c r="O437" s="42" t="e">
        <f>INDEX(Input!$D$2:$AC$500,
       MATCH(B437, Input!$J$2:$J$500, 0),
       MATCH("Disk Interface Type", Input!$D$1:$AC$1, 0))</f>
        <v>#N/A</v>
      </c>
      <c r="P437" s="42" t="str" cm="1">
        <f t="array" ref="P437">IFERROR(_xlfn.TEXTJOIN(", ", TRUE, _xlfn._xlws.FILTER(
    INDEX(Input!$D$2:$AC$500,,MATCH("Disk Capacity",Input!$D$1:$AC$1,0)),
    Input!$J$2:$J$500=B437
)), "")</f>
        <v/>
      </c>
      <c r="Q437" s="32" t="e">
        <f t="shared" si="19"/>
        <v>#N/A</v>
      </c>
      <c r="R437" s="42" t="e">
        <f>_xlfn.LET(_xlpm.Result,INDEX(Input!$D$2:$AC$500,
       MATCH(B437, Input!$J$2:$J$500, 0),
       MATCH("Capacity", Input!$D$1:$AC$1, 0)),IF(_xlpm.Result="","",_xlpm.Result))</f>
        <v>#N/A</v>
      </c>
      <c r="S437" s="42"/>
      <c r="T437" s="42"/>
      <c r="U437" s="42" t="str" cm="1">
        <f t="array" ref="U437">IFERROR(_xlfn.IFS(
S437="","",
--S437&lt;55,"Battery Defect",
--S437&lt;=69,"Battery D",
--S437&lt;=80,"Battery C",
--S437&gt;80,""
),"")</f>
        <v/>
      </c>
      <c r="V437" s="42" t="str" cm="1">
        <f t="array" ref="V437">IFERROR(_xlfn.IFS(
T437="","",
--T437&lt;55,"Battery Defect",
--T437&lt;=69,"Battery D",
--T437&lt;=80,"Battery C",
--T437&gt;80,""
),"")</f>
        <v/>
      </c>
      <c r="W437" s="42"/>
      <c r="X437" s="42"/>
      <c r="Y437" s="42"/>
      <c r="Z437" s="42"/>
      <c r="AA437" s="42"/>
      <c r="AB437" s="42"/>
      <c r="AC437" s="42"/>
      <c r="AD437" s="42"/>
      <c r="AE437" s="32" t="str">
        <f t="shared" si="18"/>
        <v/>
      </c>
      <c r="AF437" s="32"/>
      <c r="AG437" s="32"/>
      <c r="AH437" s="32"/>
      <c r="AI437" s="32"/>
      <c r="AJ437" s="32"/>
      <c r="AK437" s="32"/>
      <c r="AL437" s="32"/>
      <c r="AM437" s="32"/>
    </row>
    <row r="438" spans="1:39">
      <c r="A438" s="32" t="str">
        <f>_xlfn.XLOOKUP(B438,Input!J:J,Input!G:G)&amp;""</f>
        <v/>
      </c>
      <c r="B438" s="32"/>
      <c r="C438" s="32" t="str">
        <f>_xlfn.XLOOKUP(B438,Input!J:J,Input!H:H)&amp;""</f>
        <v/>
      </c>
      <c r="D438" s="42">
        <f>_xlfn.XLOOKUP(B438,Input!J:J,Input!F:F)</f>
        <v>0</v>
      </c>
      <c r="E438" s="32">
        <f>_xlfn.XLOOKUP(D438,Models!H:H,Models!G:G,D438)</f>
        <v>0</v>
      </c>
      <c r="F438" s="32">
        <f>_xlfn.XLOOKUP(B438,Input!J:J,Input!E:E)</f>
        <v>0</v>
      </c>
      <c r="G438" s="32">
        <f>IF(F438="LENOVO",_xlfn.XLOOKUP(B438,Input!J:J,Input!K:K),_xlfn.XLOOKUP(B438,Input!J:J,Input!L:L))</f>
        <v>0</v>
      </c>
      <c r="H438" s="32"/>
      <c r="I438" s="32"/>
      <c r="J438" s="32"/>
      <c r="K438" s="42" t="e">
        <f>INDEX(Input!$D$2:$AC$500,
       MATCH(B438, Input!$J$2:$J$500, 0),
       MATCH("Total Memory", Input!$D$1:$AC$1, 0))</f>
        <v>#N/A</v>
      </c>
      <c r="L438" s="42"/>
      <c r="M438" s="42" t="str" cm="1">
        <f t="array" ref="M438">IFERROR(_xlfn.FILTERXML("&lt;t&gt;&lt;s&gt;" &amp; SUBSTITUTE(L438," / ","&lt;/s&gt;&lt;s&gt;") &amp; "&lt;/s&gt;&lt;/t&gt;","(//s[contains(.,'DDR')])[1]"),"")</f>
        <v/>
      </c>
      <c r="N438" s="32" t="e">
        <f t="shared" si="20"/>
        <v>#N/A</v>
      </c>
      <c r="O438" s="42" t="e">
        <f>INDEX(Input!$D$2:$AC$500,
       MATCH(B438, Input!$J$2:$J$500, 0),
       MATCH("Disk Interface Type", Input!$D$1:$AC$1, 0))</f>
        <v>#N/A</v>
      </c>
      <c r="P438" s="42" t="str" cm="1">
        <f t="array" ref="P438">IFERROR(_xlfn.TEXTJOIN(", ", TRUE, _xlfn._xlws.FILTER(
    INDEX(Input!$D$2:$AC$500,,MATCH("Disk Capacity",Input!$D$1:$AC$1,0)),
    Input!$J$2:$J$500=B438
)), "")</f>
        <v/>
      </c>
      <c r="Q438" s="32" t="e">
        <f t="shared" si="19"/>
        <v>#N/A</v>
      </c>
      <c r="R438" s="42" t="e">
        <f>_xlfn.LET(_xlpm.Result,INDEX(Input!$D$2:$AC$500,
       MATCH(B438, Input!$J$2:$J$500, 0),
       MATCH("Capacity", Input!$D$1:$AC$1, 0)),IF(_xlpm.Result="","",_xlpm.Result))</f>
        <v>#N/A</v>
      </c>
      <c r="S438" s="42"/>
      <c r="T438" s="42"/>
      <c r="U438" s="42" t="str" cm="1">
        <f t="array" ref="U438">IFERROR(_xlfn.IFS(
S438="","",
--S438&lt;55,"Battery Defect",
--S438&lt;=69,"Battery D",
--S438&lt;=80,"Battery C",
--S438&gt;80,""
),"")</f>
        <v/>
      </c>
      <c r="V438" s="42" t="str" cm="1">
        <f t="array" ref="V438">IFERROR(_xlfn.IFS(
T438="","",
--T438&lt;55,"Battery Defect",
--T438&lt;=69,"Battery D",
--T438&lt;=80,"Battery C",
--T438&gt;80,""
),"")</f>
        <v/>
      </c>
      <c r="W438" s="42"/>
      <c r="X438" s="42"/>
      <c r="Y438" s="42"/>
      <c r="Z438" s="42"/>
      <c r="AA438" s="42"/>
      <c r="AB438" s="42"/>
      <c r="AC438" s="42"/>
      <c r="AD438" s="42"/>
      <c r="AE438" s="32" t="str">
        <f t="shared" si="18"/>
        <v/>
      </c>
      <c r="AF438" s="32"/>
      <c r="AG438" s="32"/>
      <c r="AH438" s="32"/>
      <c r="AI438" s="32"/>
      <c r="AJ438" s="32"/>
      <c r="AK438" s="32"/>
      <c r="AL438" s="32"/>
      <c r="AM438" s="32"/>
    </row>
    <row r="439" spans="1:39">
      <c r="A439" s="32" t="str">
        <f>_xlfn.XLOOKUP(B439,Input!J:J,Input!G:G)&amp;""</f>
        <v/>
      </c>
      <c r="B439" s="32"/>
      <c r="C439" s="32" t="str">
        <f>_xlfn.XLOOKUP(B439,Input!J:J,Input!H:H)&amp;""</f>
        <v/>
      </c>
      <c r="D439" s="42">
        <f>_xlfn.XLOOKUP(B439,Input!J:J,Input!F:F)</f>
        <v>0</v>
      </c>
      <c r="E439" s="32">
        <f>_xlfn.XLOOKUP(D439,Models!H:H,Models!G:G,D439)</f>
        <v>0</v>
      </c>
      <c r="F439" s="32">
        <f>_xlfn.XLOOKUP(B439,Input!J:J,Input!E:E)</f>
        <v>0</v>
      </c>
      <c r="G439" s="32">
        <f>IF(F439="LENOVO",_xlfn.XLOOKUP(B439,Input!J:J,Input!K:K),_xlfn.XLOOKUP(B439,Input!J:J,Input!L:L))</f>
        <v>0</v>
      </c>
      <c r="H439" s="32"/>
      <c r="I439" s="32"/>
      <c r="J439" s="32"/>
      <c r="K439" s="42" t="e">
        <f>INDEX(Input!$D$2:$AC$500,
       MATCH(B439, Input!$J$2:$J$500, 0),
       MATCH("Total Memory", Input!$D$1:$AC$1, 0))</f>
        <v>#N/A</v>
      </c>
      <c r="L439" s="42"/>
      <c r="M439" s="42" t="str" cm="1">
        <f t="array" ref="M439">IFERROR(_xlfn.FILTERXML("&lt;t&gt;&lt;s&gt;" &amp; SUBSTITUTE(L439," / ","&lt;/s&gt;&lt;s&gt;") &amp; "&lt;/s&gt;&lt;/t&gt;","(//s[contains(.,'DDR')])[1]"),"")</f>
        <v/>
      </c>
      <c r="N439" s="32" t="e">
        <f t="shared" si="20"/>
        <v>#N/A</v>
      </c>
      <c r="O439" s="42" t="e">
        <f>INDEX(Input!$D$2:$AC$500,
       MATCH(B439, Input!$J$2:$J$500, 0),
       MATCH("Disk Interface Type", Input!$D$1:$AC$1, 0))</f>
        <v>#N/A</v>
      </c>
      <c r="P439" s="42" t="str" cm="1">
        <f t="array" ref="P439">IFERROR(_xlfn.TEXTJOIN(", ", TRUE, _xlfn._xlws.FILTER(
    INDEX(Input!$D$2:$AC$500,,MATCH("Disk Capacity",Input!$D$1:$AC$1,0)),
    Input!$J$2:$J$500=B439
)), "")</f>
        <v/>
      </c>
      <c r="Q439" s="32" t="e">
        <f t="shared" si="19"/>
        <v>#N/A</v>
      </c>
      <c r="R439" s="42" t="e">
        <f>_xlfn.LET(_xlpm.Result,INDEX(Input!$D$2:$AC$500,
       MATCH(B439, Input!$J$2:$J$500, 0),
       MATCH("Capacity", Input!$D$1:$AC$1, 0)),IF(_xlpm.Result="","",_xlpm.Result))</f>
        <v>#N/A</v>
      </c>
      <c r="S439" s="42"/>
      <c r="T439" s="42"/>
      <c r="U439" s="42" t="str" cm="1">
        <f t="array" ref="U439">IFERROR(_xlfn.IFS(
S439="","",
--S439&lt;55,"Battery Defect",
--S439&lt;=69,"Battery D",
--S439&lt;=80,"Battery C",
--S439&gt;80,""
),"")</f>
        <v/>
      </c>
      <c r="V439" s="42" t="str" cm="1">
        <f t="array" ref="V439">IFERROR(_xlfn.IFS(
T439="","",
--T439&lt;55,"Battery Defect",
--T439&lt;=69,"Battery D",
--T439&lt;=80,"Battery C",
--T439&gt;80,""
),"")</f>
        <v/>
      </c>
      <c r="W439" s="42"/>
      <c r="X439" s="42"/>
      <c r="Y439" s="42"/>
      <c r="Z439" s="42"/>
      <c r="AA439" s="42"/>
      <c r="AB439" s="42"/>
      <c r="AC439" s="42"/>
      <c r="AD439" s="42"/>
      <c r="AE439" s="32" t="str">
        <f t="shared" si="18"/>
        <v/>
      </c>
      <c r="AF439" s="32"/>
      <c r="AG439" s="32"/>
      <c r="AH439" s="32"/>
      <c r="AI439" s="32"/>
      <c r="AJ439" s="32"/>
      <c r="AK439" s="32"/>
      <c r="AL439" s="32"/>
      <c r="AM439" s="32"/>
    </row>
    <row r="440" spans="1:39">
      <c r="A440" s="32" t="str">
        <f>_xlfn.XLOOKUP(B440,Input!J:J,Input!G:G)&amp;""</f>
        <v/>
      </c>
      <c r="B440" s="32"/>
      <c r="C440" s="32" t="str">
        <f>_xlfn.XLOOKUP(B440,Input!J:J,Input!H:H)&amp;""</f>
        <v/>
      </c>
      <c r="D440" s="42">
        <f>_xlfn.XLOOKUP(B440,Input!J:J,Input!F:F)</f>
        <v>0</v>
      </c>
      <c r="E440" s="32">
        <f>_xlfn.XLOOKUP(D440,Models!H:H,Models!G:G,D440)</f>
        <v>0</v>
      </c>
      <c r="F440" s="32">
        <f>_xlfn.XLOOKUP(B440,Input!J:J,Input!E:E)</f>
        <v>0</v>
      </c>
      <c r="G440" s="32">
        <f>IF(F440="LENOVO",_xlfn.XLOOKUP(B440,Input!J:J,Input!K:K),_xlfn.XLOOKUP(B440,Input!J:J,Input!L:L))</f>
        <v>0</v>
      </c>
      <c r="H440" s="32"/>
      <c r="I440" s="32"/>
      <c r="J440" s="32"/>
      <c r="K440" s="42" t="e">
        <f>INDEX(Input!$D$2:$AC$500,
       MATCH(B440, Input!$J$2:$J$500, 0),
       MATCH("Total Memory", Input!$D$1:$AC$1, 0))</f>
        <v>#N/A</v>
      </c>
      <c r="L440" s="42"/>
      <c r="M440" s="42" t="str" cm="1">
        <f t="array" ref="M440">IFERROR(_xlfn.FILTERXML("&lt;t&gt;&lt;s&gt;" &amp; SUBSTITUTE(L440," / ","&lt;/s&gt;&lt;s&gt;") &amp; "&lt;/s&gt;&lt;/t&gt;","(//s[contains(.,'DDR')])[1]"),"")</f>
        <v/>
      </c>
      <c r="N440" s="32" t="e">
        <f t="shared" si="20"/>
        <v>#N/A</v>
      </c>
      <c r="O440" s="42" t="e">
        <f>INDEX(Input!$D$2:$AC$500,
       MATCH(B440, Input!$J$2:$J$500, 0),
       MATCH("Disk Interface Type", Input!$D$1:$AC$1, 0))</f>
        <v>#N/A</v>
      </c>
      <c r="P440" s="42" t="str" cm="1">
        <f t="array" ref="P440">IFERROR(_xlfn.TEXTJOIN(", ", TRUE, _xlfn._xlws.FILTER(
    INDEX(Input!$D$2:$AC$500,,MATCH("Disk Capacity",Input!$D$1:$AC$1,0)),
    Input!$J$2:$J$500=B440
)), "")</f>
        <v/>
      </c>
      <c r="Q440" s="32" t="e">
        <f t="shared" si="19"/>
        <v>#N/A</v>
      </c>
      <c r="R440" s="42" t="e">
        <f>_xlfn.LET(_xlpm.Result,INDEX(Input!$D$2:$AC$500,
       MATCH(B440, Input!$J$2:$J$500, 0),
       MATCH("Capacity", Input!$D$1:$AC$1, 0)),IF(_xlpm.Result="","",_xlpm.Result))</f>
        <v>#N/A</v>
      </c>
      <c r="S440" s="42"/>
      <c r="T440" s="42"/>
      <c r="U440" s="42" t="str" cm="1">
        <f t="array" ref="U440">IFERROR(_xlfn.IFS(
S440="","",
--S440&lt;55,"Battery Defect",
--S440&lt;=69,"Battery D",
--S440&lt;=80,"Battery C",
--S440&gt;80,""
),"")</f>
        <v/>
      </c>
      <c r="V440" s="42" t="str" cm="1">
        <f t="array" ref="V440">IFERROR(_xlfn.IFS(
T440="","",
--T440&lt;55,"Battery Defect",
--T440&lt;=69,"Battery D",
--T440&lt;=80,"Battery C",
--T440&gt;80,""
),"")</f>
        <v/>
      </c>
      <c r="W440" s="42"/>
      <c r="X440" s="42"/>
      <c r="Y440" s="42"/>
      <c r="Z440" s="42"/>
      <c r="AA440" s="42"/>
      <c r="AB440" s="42"/>
      <c r="AC440" s="42"/>
      <c r="AD440" s="42"/>
      <c r="AE440" s="32" t="str">
        <f t="shared" si="18"/>
        <v/>
      </c>
      <c r="AF440" s="32"/>
      <c r="AG440" s="32"/>
      <c r="AH440" s="32"/>
      <c r="AI440" s="32"/>
      <c r="AJ440" s="32"/>
      <c r="AK440" s="32"/>
      <c r="AL440" s="32"/>
      <c r="AM440" s="32"/>
    </row>
    <row r="441" spans="1:39">
      <c r="A441" s="32" t="str">
        <f>_xlfn.XLOOKUP(B441,Input!J:J,Input!G:G)&amp;""</f>
        <v/>
      </c>
      <c r="B441" s="32"/>
      <c r="C441" s="32" t="str">
        <f>_xlfn.XLOOKUP(B441,Input!J:J,Input!H:H)&amp;""</f>
        <v/>
      </c>
      <c r="D441" s="42">
        <f>_xlfn.XLOOKUP(B441,Input!J:J,Input!F:F)</f>
        <v>0</v>
      </c>
      <c r="E441" s="32">
        <f>_xlfn.XLOOKUP(D441,Models!H:H,Models!G:G,D441)</f>
        <v>0</v>
      </c>
      <c r="F441" s="32">
        <f>_xlfn.XLOOKUP(B441,Input!J:J,Input!E:E)</f>
        <v>0</v>
      </c>
      <c r="G441" s="32">
        <f>IF(F441="LENOVO",_xlfn.XLOOKUP(B441,Input!J:J,Input!K:K),_xlfn.XLOOKUP(B441,Input!J:J,Input!L:L))</f>
        <v>0</v>
      </c>
      <c r="H441" s="32"/>
      <c r="I441" s="32"/>
      <c r="J441" s="32"/>
      <c r="K441" s="42" t="e">
        <f>INDEX(Input!$D$2:$AC$500,
       MATCH(B441, Input!$J$2:$J$500, 0),
       MATCH("Total Memory", Input!$D$1:$AC$1, 0))</f>
        <v>#N/A</v>
      </c>
      <c r="L441" s="42"/>
      <c r="M441" s="42" t="str" cm="1">
        <f t="array" ref="M441">IFERROR(_xlfn.FILTERXML("&lt;t&gt;&lt;s&gt;" &amp; SUBSTITUTE(L441," / ","&lt;/s&gt;&lt;s&gt;") &amp; "&lt;/s&gt;&lt;/t&gt;","(//s[contains(.,'DDR')])[1]"),"")</f>
        <v/>
      </c>
      <c r="N441" s="32" t="e">
        <f t="shared" si="20"/>
        <v>#N/A</v>
      </c>
      <c r="O441" s="42" t="e">
        <f>INDEX(Input!$D$2:$AC$500,
       MATCH(B441, Input!$J$2:$J$500, 0),
       MATCH("Disk Interface Type", Input!$D$1:$AC$1, 0))</f>
        <v>#N/A</v>
      </c>
      <c r="P441" s="42" t="str" cm="1">
        <f t="array" ref="P441">IFERROR(_xlfn.TEXTJOIN(", ", TRUE, _xlfn._xlws.FILTER(
    INDEX(Input!$D$2:$AC$500,,MATCH("Disk Capacity",Input!$D$1:$AC$1,0)),
    Input!$J$2:$J$500=B441
)), "")</f>
        <v/>
      </c>
      <c r="Q441" s="32" t="e">
        <f t="shared" si="19"/>
        <v>#N/A</v>
      </c>
      <c r="R441" s="42" t="e">
        <f>_xlfn.LET(_xlpm.Result,INDEX(Input!$D$2:$AC$500,
       MATCH(B441, Input!$J$2:$J$500, 0),
       MATCH("Capacity", Input!$D$1:$AC$1, 0)),IF(_xlpm.Result="","",_xlpm.Result))</f>
        <v>#N/A</v>
      </c>
      <c r="S441" s="42"/>
      <c r="T441" s="42"/>
      <c r="U441" s="42" t="str" cm="1">
        <f t="array" ref="U441">IFERROR(_xlfn.IFS(
S441="","",
--S441&lt;55,"Battery Defect",
--S441&lt;=69,"Battery D",
--S441&lt;=80,"Battery C",
--S441&gt;80,""
),"")</f>
        <v/>
      </c>
      <c r="V441" s="42" t="str" cm="1">
        <f t="array" ref="V441">IFERROR(_xlfn.IFS(
T441="","",
--T441&lt;55,"Battery Defect",
--T441&lt;=69,"Battery D",
--T441&lt;=80,"Battery C",
--T441&gt;80,""
),"")</f>
        <v/>
      </c>
      <c r="W441" s="42"/>
      <c r="X441" s="42"/>
      <c r="Y441" s="42"/>
      <c r="Z441" s="42"/>
      <c r="AA441" s="42"/>
      <c r="AB441" s="42"/>
      <c r="AC441" s="42"/>
      <c r="AD441" s="42"/>
      <c r="AE441" s="32" t="str">
        <f t="shared" si="18"/>
        <v/>
      </c>
      <c r="AF441" s="32"/>
      <c r="AG441" s="32"/>
      <c r="AH441" s="32"/>
      <c r="AI441" s="32"/>
      <c r="AJ441" s="32"/>
      <c r="AK441" s="32"/>
      <c r="AL441" s="32"/>
      <c r="AM441" s="32"/>
    </row>
    <row r="442" spans="1:39">
      <c r="A442" s="32" t="str">
        <f>_xlfn.XLOOKUP(B442,Input!J:J,Input!G:G)&amp;""</f>
        <v/>
      </c>
      <c r="B442" s="32"/>
      <c r="C442" s="32" t="str">
        <f>_xlfn.XLOOKUP(B442,Input!J:J,Input!H:H)&amp;""</f>
        <v/>
      </c>
      <c r="D442" s="42">
        <f>_xlfn.XLOOKUP(B442,Input!J:J,Input!F:F)</f>
        <v>0</v>
      </c>
      <c r="E442" s="32">
        <f>_xlfn.XLOOKUP(D442,Models!H:H,Models!G:G,D442)</f>
        <v>0</v>
      </c>
      <c r="F442" s="32">
        <f>_xlfn.XLOOKUP(B442,Input!J:J,Input!E:E)</f>
        <v>0</v>
      </c>
      <c r="G442" s="32">
        <f>IF(F442="LENOVO",_xlfn.XLOOKUP(B442,Input!J:J,Input!K:K),_xlfn.XLOOKUP(B442,Input!J:J,Input!L:L))</f>
        <v>0</v>
      </c>
      <c r="H442" s="32"/>
      <c r="I442" s="32"/>
      <c r="J442" s="32"/>
      <c r="K442" s="42" t="e">
        <f>INDEX(Input!$D$2:$AC$500,
       MATCH(B442, Input!$J$2:$J$500, 0),
       MATCH("Total Memory", Input!$D$1:$AC$1, 0))</f>
        <v>#N/A</v>
      </c>
      <c r="L442" s="42"/>
      <c r="M442" s="42" t="str" cm="1">
        <f t="array" ref="M442">IFERROR(_xlfn.FILTERXML("&lt;t&gt;&lt;s&gt;" &amp; SUBSTITUTE(L442," / ","&lt;/s&gt;&lt;s&gt;") &amp; "&lt;/s&gt;&lt;/t&gt;","(//s[contains(.,'DDR')])[1]"),"")</f>
        <v/>
      </c>
      <c r="N442" s="32" t="e">
        <f t="shared" si="20"/>
        <v>#N/A</v>
      </c>
      <c r="O442" s="42" t="e">
        <f>INDEX(Input!$D$2:$AC$500,
       MATCH(B442, Input!$J$2:$J$500, 0),
       MATCH("Disk Interface Type", Input!$D$1:$AC$1, 0))</f>
        <v>#N/A</v>
      </c>
      <c r="P442" s="42" t="str" cm="1">
        <f t="array" ref="P442">IFERROR(_xlfn.TEXTJOIN(", ", TRUE, _xlfn._xlws.FILTER(
    INDEX(Input!$D$2:$AC$500,,MATCH("Disk Capacity",Input!$D$1:$AC$1,0)),
    Input!$J$2:$J$500=B442
)), "")</f>
        <v/>
      </c>
      <c r="Q442" s="32" t="e">
        <f t="shared" si="19"/>
        <v>#N/A</v>
      </c>
      <c r="R442" s="42" t="e">
        <f>_xlfn.LET(_xlpm.Result,INDEX(Input!$D$2:$AC$500,
       MATCH(B442, Input!$J$2:$J$500, 0),
       MATCH("Capacity", Input!$D$1:$AC$1, 0)),IF(_xlpm.Result="","",_xlpm.Result))</f>
        <v>#N/A</v>
      </c>
      <c r="S442" s="42"/>
      <c r="T442" s="42"/>
      <c r="U442" s="42" t="str" cm="1">
        <f t="array" ref="U442">IFERROR(_xlfn.IFS(
S442="","",
--S442&lt;55,"Battery Defect",
--S442&lt;=69,"Battery D",
--S442&lt;=80,"Battery C",
--S442&gt;80,""
),"")</f>
        <v/>
      </c>
      <c r="V442" s="42" t="str" cm="1">
        <f t="array" ref="V442">IFERROR(_xlfn.IFS(
T442="","",
--T442&lt;55,"Battery Defect",
--T442&lt;=69,"Battery D",
--T442&lt;=80,"Battery C",
--T442&gt;80,""
),"")</f>
        <v/>
      </c>
      <c r="W442" s="42"/>
      <c r="X442" s="42"/>
      <c r="Y442" s="42"/>
      <c r="Z442" s="42"/>
      <c r="AA442" s="42"/>
      <c r="AB442" s="42"/>
      <c r="AC442" s="42"/>
      <c r="AD442" s="42"/>
      <c r="AE442" s="32" t="str">
        <f t="shared" si="18"/>
        <v/>
      </c>
      <c r="AF442" s="32"/>
      <c r="AG442" s="32"/>
      <c r="AH442" s="32"/>
      <c r="AI442" s="32"/>
      <c r="AJ442" s="32"/>
      <c r="AK442" s="32"/>
      <c r="AL442" s="32"/>
      <c r="AM442" s="32"/>
    </row>
    <row r="443" spans="1:39">
      <c r="A443" s="32" t="str">
        <f>_xlfn.XLOOKUP(B443,Input!J:J,Input!G:G)&amp;""</f>
        <v/>
      </c>
      <c r="B443" s="32"/>
      <c r="C443" s="32" t="str">
        <f>_xlfn.XLOOKUP(B443,Input!J:J,Input!H:H)&amp;""</f>
        <v/>
      </c>
      <c r="D443" s="42">
        <f>_xlfn.XLOOKUP(B443,Input!J:J,Input!F:F)</f>
        <v>0</v>
      </c>
      <c r="E443" s="32">
        <f>_xlfn.XLOOKUP(D443,Models!H:H,Models!G:G,D443)</f>
        <v>0</v>
      </c>
      <c r="F443" s="32">
        <f>_xlfn.XLOOKUP(B443,Input!J:J,Input!E:E)</f>
        <v>0</v>
      </c>
      <c r="G443" s="32">
        <f>IF(F443="LENOVO",_xlfn.XLOOKUP(B443,Input!J:J,Input!K:K),_xlfn.XLOOKUP(B443,Input!J:J,Input!L:L))</f>
        <v>0</v>
      </c>
      <c r="H443" s="32"/>
      <c r="I443" s="32"/>
      <c r="J443" s="32"/>
      <c r="K443" s="42" t="e">
        <f>INDEX(Input!$D$2:$AC$500,
       MATCH(B443, Input!$J$2:$J$500, 0),
       MATCH("Total Memory", Input!$D$1:$AC$1, 0))</f>
        <v>#N/A</v>
      </c>
      <c r="L443" s="42"/>
      <c r="M443" s="42" t="str" cm="1">
        <f t="array" ref="M443">IFERROR(_xlfn.FILTERXML("&lt;t&gt;&lt;s&gt;" &amp; SUBSTITUTE(L443," / ","&lt;/s&gt;&lt;s&gt;") &amp; "&lt;/s&gt;&lt;/t&gt;","(//s[contains(.,'DDR')])[1]"),"")</f>
        <v/>
      </c>
      <c r="N443" s="32" t="e">
        <f t="shared" si="20"/>
        <v>#N/A</v>
      </c>
      <c r="O443" s="42" t="e">
        <f>INDEX(Input!$D$2:$AC$500,
       MATCH(B443, Input!$J$2:$J$500, 0),
       MATCH("Disk Interface Type", Input!$D$1:$AC$1, 0))</f>
        <v>#N/A</v>
      </c>
      <c r="P443" s="42" t="str" cm="1">
        <f t="array" ref="P443">IFERROR(_xlfn.TEXTJOIN(", ", TRUE, _xlfn._xlws.FILTER(
    INDEX(Input!$D$2:$AC$500,,MATCH("Disk Capacity",Input!$D$1:$AC$1,0)),
    Input!$J$2:$J$500=B443
)), "")</f>
        <v/>
      </c>
      <c r="Q443" s="32" t="e">
        <f t="shared" si="19"/>
        <v>#N/A</v>
      </c>
      <c r="R443" s="42" t="e">
        <f>_xlfn.LET(_xlpm.Result,INDEX(Input!$D$2:$AC$500,
       MATCH(B443, Input!$J$2:$J$500, 0),
       MATCH("Capacity", Input!$D$1:$AC$1, 0)),IF(_xlpm.Result="","",_xlpm.Result))</f>
        <v>#N/A</v>
      </c>
      <c r="S443" s="42"/>
      <c r="T443" s="42"/>
      <c r="U443" s="42" t="str" cm="1">
        <f t="array" ref="U443">IFERROR(_xlfn.IFS(
S443="","",
--S443&lt;55,"Battery Defect",
--S443&lt;=69,"Battery D",
--S443&lt;=80,"Battery C",
--S443&gt;80,""
),"")</f>
        <v/>
      </c>
      <c r="V443" s="42" t="str" cm="1">
        <f t="array" ref="V443">IFERROR(_xlfn.IFS(
T443="","",
--T443&lt;55,"Battery Defect",
--T443&lt;=69,"Battery D",
--T443&lt;=80,"Battery C",
--T443&gt;80,""
),"")</f>
        <v/>
      </c>
      <c r="W443" s="42"/>
      <c r="X443" s="42"/>
      <c r="Y443" s="42"/>
      <c r="Z443" s="42"/>
      <c r="AA443" s="42"/>
      <c r="AB443" s="42"/>
      <c r="AC443" s="42"/>
      <c r="AD443" s="42"/>
      <c r="AE443" s="32" t="str">
        <f t="shared" si="18"/>
        <v/>
      </c>
      <c r="AF443" s="32"/>
      <c r="AG443" s="32"/>
      <c r="AH443" s="32"/>
      <c r="AI443" s="32"/>
      <c r="AJ443" s="32"/>
      <c r="AK443" s="32"/>
      <c r="AL443" s="32"/>
      <c r="AM443" s="32"/>
    </row>
    <row r="444" spans="1:39">
      <c r="A444" s="32" t="str">
        <f>_xlfn.XLOOKUP(B444,Input!J:J,Input!G:G)&amp;""</f>
        <v/>
      </c>
      <c r="B444" s="32"/>
      <c r="C444" s="32" t="str">
        <f>_xlfn.XLOOKUP(B444,Input!J:J,Input!H:H)&amp;""</f>
        <v/>
      </c>
      <c r="D444" s="42">
        <f>_xlfn.XLOOKUP(B444,Input!J:J,Input!F:F)</f>
        <v>0</v>
      </c>
      <c r="E444" s="32">
        <f>_xlfn.XLOOKUP(D444,Models!H:H,Models!G:G,D444)</f>
        <v>0</v>
      </c>
      <c r="F444" s="32">
        <f>_xlfn.XLOOKUP(B444,Input!J:J,Input!E:E)</f>
        <v>0</v>
      </c>
      <c r="G444" s="32">
        <f>IF(F444="LENOVO",_xlfn.XLOOKUP(B444,Input!J:J,Input!K:K),_xlfn.XLOOKUP(B444,Input!J:J,Input!L:L))</f>
        <v>0</v>
      </c>
      <c r="H444" s="32"/>
      <c r="I444" s="32"/>
      <c r="J444" s="32"/>
      <c r="K444" s="42" t="e">
        <f>INDEX(Input!$D$2:$AC$500,
       MATCH(B444, Input!$J$2:$J$500, 0),
       MATCH("Total Memory", Input!$D$1:$AC$1, 0))</f>
        <v>#N/A</v>
      </c>
      <c r="L444" s="42"/>
      <c r="M444" s="42" t="str" cm="1">
        <f t="array" ref="M444">IFERROR(_xlfn.FILTERXML("&lt;t&gt;&lt;s&gt;" &amp; SUBSTITUTE(L444," / ","&lt;/s&gt;&lt;s&gt;") &amp; "&lt;/s&gt;&lt;/t&gt;","(//s[contains(.,'DDR')])[1]"),"")</f>
        <v/>
      </c>
      <c r="N444" s="32" t="e">
        <f t="shared" si="20"/>
        <v>#N/A</v>
      </c>
      <c r="O444" s="42" t="e">
        <f>INDEX(Input!$D$2:$AC$500,
       MATCH(B444, Input!$J$2:$J$500, 0),
       MATCH("Disk Interface Type", Input!$D$1:$AC$1, 0))</f>
        <v>#N/A</v>
      </c>
      <c r="P444" s="42" t="str" cm="1">
        <f t="array" ref="P444">IFERROR(_xlfn.TEXTJOIN(", ", TRUE, _xlfn._xlws.FILTER(
    INDEX(Input!$D$2:$AC$500,,MATCH("Disk Capacity",Input!$D$1:$AC$1,0)),
    Input!$J$2:$J$500=B444
)), "")</f>
        <v/>
      </c>
      <c r="Q444" s="32" t="e">
        <f t="shared" si="19"/>
        <v>#N/A</v>
      </c>
      <c r="R444" s="42" t="e">
        <f>_xlfn.LET(_xlpm.Result,INDEX(Input!$D$2:$AC$500,
       MATCH(B444, Input!$J$2:$J$500, 0),
       MATCH("Capacity", Input!$D$1:$AC$1, 0)),IF(_xlpm.Result="","",_xlpm.Result))</f>
        <v>#N/A</v>
      </c>
      <c r="S444" s="42"/>
      <c r="T444" s="42"/>
      <c r="U444" s="42" t="str" cm="1">
        <f t="array" ref="U444">IFERROR(_xlfn.IFS(
S444="","",
--S444&lt;55,"Battery Defect",
--S444&lt;=69,"Battery D",
--S444&lt;=80,"Battery C",
--S444&gt;80,""
),"")</f>
        <v/>
      </c>
      <c r="V444" s="42" t="str" cm="1">
        <f t="array" ref="V444">IFERROR(_xlfn.IFS(
T444="","",
--T444&lt;55,"Battery Defect",
--T444&lt;=69,"Battery D",
--T444&lt;=80,"Battery C",
--T444&gt;80,""
),"")</f>
        <v/>
      </c>
      <c r="W444" s="42"/>
      <c r="X444" s="42"/>
      <c r="Y444" s="42"/>
      <c r="Z444" s="42"/>
      <c r="AA444" s="42"/>
      <c r="AB444" s="42"/>
      <c r="AC444" s="42"/>
      <c r="AD444" s="42"/>
      <c r="AE444" s="32" t="str">
        <f t="shared" si="18"/>
        <v/>
      </c>
      <c r="AF444" s="32"/>
      <c r="AG444" s="32"/>
      <c r="AH444" s="32"/>
      <c r="AI444" s="32"/>
      <c r="AJ444" s="32"/>
      <c r="AK444" s="32"/>
      <c r="AL444" s="32"/>
      <c r="AM444" s="32"/>
    </row>
    <row r="445" spans="1:39">
      <c r="A445" s="32" t="str">
        <f>_xlfn.XLOOKUP(B445,Input!J:J,Input!G:G)&amp;""</f>
        <v/>
      </c>
      <c r="B445" s="32"/>
      <c r="C445" s="32" t="str">
        <f>_xlfn.XLOOKUP(B445,Input!J:J,Input!H:H)&amp;""</f>
        <v/>
      </c>
      <c r="D445" s="42">
        <f>_xlfn.XLOOKUP(B445,Input!J:J,Input!F:F)</f>
        <v>0</v>
      </c>
      <c r="E445" s="32">
        <f>_xlfn.XLOOKUP(D445,Models!H:H,Models!G:G,D445)</f>
        <v>0</v>
      </c>
      <c r="F445" s="32">
        <f>_xlfn.XLOOKUP(B445,Input!J:J,Input!E:E)</f>
        <v>0</v>
      </c>
      <c r="G445" s="32">
        <f>IF(F445="LENOVO",_xlfn.XLOOKUP(B445,Input!J:J,Input!K:K),_xlfn.XLOOKUP(B445,Input!J:J,Input!L:L))</f>
        <v>0</v>
      </c>
      <c r="H445" s="32"/>
      <c r="I445" s="32"/>
      <c r="J445" s="32"/>
      <c r="K445" s="42" t="e">
        <f>INDEX(Input!$D$2:$AC$500,
       MATCH(B445, Input!$J$2:$J$500, 0),
       MATCH("Total Memory", Input!$D$1:$AC$1, 0))</f>
        <v>#N/A</v>
      </c>
      <c r="L445" s="42"/>
      <c r="M445" s="42" t="str" cm="1">
        <f t="array" ref="M445">IFERROR(_xlfn.FILTERXML("&lt;t&gt;&lt;s&gt;" &amp; SUBSTITUTE(L445," / ","&lt;/s&gt;&lt;s&gt;") &amp; "&lt;/s&gt;&lt;/t&gt;","(//s[contains(.,'DDR')])[1]"),"")</f>
        <v/>
      </c>
      <c r="N445" s="32" t="e">
        <f t="shared" si="20"/>
        <v>#N/A</v>
      </c>
      <c r="O445" s="42" t="e">
        <f>INDEX(Input!$D$2:$AC$500,
       MATCH(B445, Input!$J$2:$J$500, 0),
       MATCH("Disk Interface Type", Input!$D$1:$AC$1, 0))</f>
        <v>#N/A</v>
      </c>
      <c r="P445" s="42" t="str" cm="1">
        <f t="array" ref="P445">IFERROR(_xlfn.TEXTJOIN(", ", TRUE, _xlfn._xlws.FILTER(
    INDEX(Input!$D$2:$AC$500,,MATCH("Disk Capacity",Input!$D$1:$AC$1,0)),
    Input!$J$2:$J$500=B445
)), "")</f>
        <v/>
      </c>
      <c r="Q445" s="32" t="e">
        <f t="shared" si="19"/>
        <v>#N/A</v>
      </c>
      <c r="R445" s="42" t="e">
        <f>_xlfn.LET(_xlpm.Result,INDEX(Input!$D$2:$AC$500,
       MATCH(B445, Input!$J$2:$J$500, 0),
       MATCH("Capacity", Input!$D$1:$AC$1, 0)),IF(_xlpm.Result="","",_xlpm.Result))</f>
        <v>#N/A</v>
      </c>
      <c r="S445" s="42"/>
      <c r="T445" s="42"/>
      <c r="U445" s="42" t="str" cm="1">
        <f t="array" ref="U445">IFERROR(_xlfn.IFS(
S445="","",
--S445&lt;55,"Battery Defect",
--S445&lt;=69,"Battery D",
--S445&lt;=80,"Battery C",
--S445&gt;80,""
),"")</f>
        <v/>
      </c>
      <c r="V445" s="42" t="str" cm="1">
        <f t="array" ref="V445">IFERROR(_xlfn.IFS(
T445="","",
--T445&lt;55,"Battery Defect",
--T445&lt;=69,"Battery D",
--T445&lt;=80,"Battery C",
--T445&gt;80,""
),"")</f>
        <v/>
      </c>
      <c r="W445" s="42"/>
      <c r="X445" s="42"/>
      <c r="Y445" s="42"/>
      <c r="Z445" s="42"/>
      <c r="AA445" s="42"/>
      <c r="AB445" s="42"/>
      <c r="AC445" s="42"/>
      <c r="AD445" s="42"/>
      <c r="AE445" s="32" t="str">
        <f t="shared" si="18"/>
        <v/>
      </c>
      <c r="AF445" s="32"/>
      <c r="AG445" s="32"/>
      <c r="AH445" s="32"/>
      <c r="AI445" s="32"/>
      <c r="AJ445" s="32"/>
      <c r="AK445" s="32"/>
      <c r="AL445" s="32"/>
      <c r="AM445" s="32"/>
    </row>
    <row r="446" spans="1:39">
      <c r="A446" s="32" t="str">
        <f>_xlfn.XLOOKUP(B446,Input!J:J,Input!G:G)&amp;""</f>
        <v/>
      </c>
      <c r="B446" s="32"/>
      <c r="C446" s="32" t="str">
        <f>_xlfn.XLOOKUP(B446,Input!J:J,Input!H:H)&amp;""</f>
        <v/>
      </c>
      <c r="D446" s="42">
        <f>_xlfn.XLOOKUP(B446,Input!J:J,Input!F:F)</f>
        <v>0</v>
      </c>
      <c r="E446" s="32">
        <f>_xlfn.XLOOKUP(D446,Models!H:H,Models!G:G,D446)</f>
        <v>0</v>
      </c>
      <c r="F446" s="32">
        <f>_xlfn.XLOOKUP(B446,Input!J:J,Input!E:E)</f>
        <v>0</v>
      </c>
      <c r="G446" s="32">
        <f>IF(F446="LENOVO",_xlfn.XLOOKUP(B446,Input!J:J,Input!K:K),_xlfn.XLOOKUP(B446,Input!J:J,Input!L:L))</f>
        <v>0</v>
      </c>
      <c r="H446" s="32"/>
      <c r="I446" s="32"/>
      <c r="J446" s="32"/>
      <c r="K446" s="42" t="e">
        <f>INDEX(Input!$D$2:$AC$500,
       MATCH(B446, Input!$J$2:$J$500, 0),
       MATCH("Total Memory", Input!$D$1:$AC$1, 0))</f>
        <v>#N/A</v>
      </c>
      <c r="L446" s="42"/>
      <c r="M446" s="42" t="str" cm="1">
        <f t="array" ref="M446">IFERROR(_xlfn.FILTERXML("&lt;t&gt;&lt;s&gt;" &amp; SUBSTITUTE(L446," / ","&lt;/s&gt;&lt;s&gt;") &amp; "&lt;/s&gt;&lt;/t&gt;","(//s[contains(.,'DDR')])[1]"),"")</f>
        <v/>
      </c>
      <c r="N446" s="32" t="e">
        <f t="shared" si="20"/>
        <v>#N/A</v>
      </c>
      <c r="O446" s="42" t="e">
        <f>INDEX(Input!$D$2:$AC$500,
       MATCH(B446, Input!$J$2:$J$500, 0),
       MATCH("Disk Interface Type", Input!$D$1:$AC$1, 0))</f>
        <v>#N/A</v>
      </c>
      <c r="P446" s="42" t="str" cm="1">
        <f t="array" ref="P446">IFERROR(_xlfn.TEXTJOIN(", ", TRUE, _xlfn._xlws.FILTER(
    INDEX(Input!$D$2:$AC$500,,MATCH("Disk Capacity",Input!$D$1:$AC$1,0)),
    Input!$J$2:$J$500=B446
)), "")</f>
        <v/>
      </c>
      <c r="Q446" s="32" t="e">
        <f t="shared" si="19"/>
        <v>#N/A</v>
      </c>
      <c r="R446" s="42" t="e">
        <f>_xlfn.LET(_xlpm.Result,INDEX(Input!$D$2:$AC$500,
       MATCH(B446, Input!$J$2:$J$500, 0),
       MATCH("Capacity", Input!$D$1:$AC$1, 0)),IF(_xlpm.Result="","",_xlpm.Result))</f>
        <v>#N/A</v>
      </c>
      <c r="S446" s="42"/>
      <c r="T446" s="42"/>
      <c r="U446" s="42" t="str" cm="1">
        <f t="array" ref="U446">IFERROR(_xlfn.IFS(
S446="","",
--S446&lt;55,"Battery Defect",
--S446&lt;=69,"Battery D",
--S446&lt;=80,"Battery C",
--S446&gt;80,""
),"")</f>
        <v/>
      </c>
      <c r="V446" s="42" t="str" cm="1">
        <f t="array" ref="V446">IFERROR(_xlfn.IFS(
T446="","",
--T446&lt;55,"Battery Defect",
--T446&lt;=69,"Battery D",
--T446&lt;=80,"Battery C",
--T446&gt;80,""
),"")</f>
        <v/>
      </c>
      <c r="W446" s="42"/>
      <c r="X446" s="42"/>
      <c r="Y446" s="42"/>
      <c r="Z446" s="42"/>
      <c r="AA446" s="42"/>
      <c r="AB446" s="42"/>
      <c r="AC446" s="42"/>
      <c r="AD446" s="42"/>
      <c r="AE446" s="32" t="str">
        <f t="shared" si="18"/>
        <v/>
      </c>
      <c r="AF446" s="32"/>
      <c r="AG446" s="32"/>
      <c r="AH446" s="32"/>
      <c r="AI446" s="32"/>
      <c r="AJ446" s="32"/>
      <c r="AK446" s="32"/>
      <c r="AL446" s="32"/>
      <c r="AM446" s="32"/>
    </row>
    <row r="447" spans="1:39">
      <c r="A447" s="32" t="str">
        <f>_xlfn.XLOOKUP(B447,Input!J:J,Input!G:G)&amp;""</f>
        <v/>
      </c>
      <c r="B447" s="32"/>
      <c r="C447" s="32" t="str">
        <f>_xlfn.XLOOKUP(B447,Input!J:J,Input!H:H)&amp;""</f>
        <v/>
      </c>
      <c r="D447" s="42">
        <f>_xlfn.XLOOKUP(B447,Input!J:J,Input!F:F)</f>
        <v>0</v>
      </c>
      <c r="E447" s="32">
        <f>_xlfn.XLOOKUP(D447,Models!H:H,Models!G:G,D447)</f>
        <v>0</v>
      </c>
      <c r="F447" s="32">
        <f>_xlfn.XLOOKUP(B447,Input!J:J,Input!E:E)</f>
        <v>0</v>
      </c>
      <c r="G447" s="32">
        <f>IF(F447="LENOVO",_xlfn.XLOOKUP(B447,Input!J:J,Input!K:K),_xlfn.XLOOKUP(B447,Input!J:J,Input!L:L))</f>
        <v>0</v>
      </c>
      <c r="H447" s="32"/>
      <c r="I447" s="32"/>
      <c r="J447" s="32"/>
      <c r="K447" s="42" t="e">
        <f>INDEX(Input!$D$2:$AC$500,
       MATCH(B447, Input!$J$2:$J$500, 0),
       MATCH("Total Memory", Input!$D$1:$AC$1, 0))</f>
        <v>#N/A</v>
      </c>
      <c r="L447" s="42"/>
      <c r="M447" s="42" t="str" cm="1">
        <f t="array" ref="M447">IFERROR(_xlfn.FILTERXML("&lt;t&gt;&lt;s&gt;" &amp; SUBSTITUTE(L447," / ","&lt;/s&gt;&lt;s&gt;") &amp; "&lt;/s&gt;&lt;/t&gt;","(//s[contains(.,'DDR')])[1]"),"")</f>
        <v/>
      </c>
      <c r="N447" s="32" t="e">
        <f t="shared" si="20"/>
        <v>#N/A</v>
      </c>
      <c r="O447" s="42" t="e">
        <f>INDEX(Input!$D$2:$AC$500,
       MATCH(B447, Input!$J$2:$J$500, 0),
       MATCH("Disk Interface Type", Input!$D$1:$AC$1, 0))</f>
        <v>#N/A</v>
      </c>
      <c r="P447" s="42" t="str" cm="1">
        <f t="array" ref="P447">IFERROR(_xlfn.TEXTJOIN(", ", TRUE, _xlfn._xlws.FILTER(
    INDEX(Input!$D$2:$AC$500,,MATCH("Disk Capacity",Input!$D$1:$AC$1,0)),
    Input!$J$2:$J$500=B447
)), "")</f>
        <v/>
      </c>
      <c r="Q447" s="32" t="e">
        <f t="shared" si="19"/>
        <v>#N/A</v>
      </c>
      <c r="R447" s="42" t="e">
        <f>_xlfn.LET(_xlpm.Result,INDEX(Input!$D$2:$AC$500,
       MATCH(B447, Input!$J$2:$J$500, 0),
       MATCH("Capacity", Input!$D$1:$AC$1, 0)),IF(_xlpm.Result="","",_xlpm.Result))</f>
        <v>#N/A</v>
      </c>
      <c r="S447" s="42"/>
      <c r="T447" s="42"/>
      <c r="U447" s="42" t="str" cm="1">
        <f t="array" ref="U447">IFERROR(_xlfn.IFS(
S447="","",
--S447&lt;55,"Battery Defect",
--S447&lt;=69,"Battery D",
--S447&lt;=80,"Battery C",
--S447&gt;80,""
),"")</f>
        <v/>
      </c>
      <c r="V447" s="42" t="str" cm="1">
        <f t="array" ref="V447">IFERROR(_xlfn.IFS(
T447="","",
--T447&lt;55,"Battery Defect",
--T447&lt;=69,"Battery D",
--T447&lt;=80,"Battery C",
--T447&gt;80,""
),"")</f>
        <v/>
      </c>
      <c r="W447" s="42"/>
      <c r="X447" s="42"/>
      <c r="Y447" s="42"/>
      <c r="Z447" s="42"/>
      <c r="AA447" s="42"/>
      <c r="AB447" s="42"/>
      <c r="AC447" s="42"/>
      <c r="AD447" s="42"/>
      <c r="AE447" s="32" t="str">
        <f t="shared" si="18"/>
        <v/>
      </c>
      <c r="AF447" s="32"/>
      <c r="AG447" s="32"/>
      <c r="AH447" s="32"/>
      <c r="AI447" s="32"/>
      <c r="AJ447" s="32"/>
      <c r="AK447" s="32"/>
      <c r="AL447" s="32"/>
      <c r="AM447" s="32"/>
    </row>
    <row r="448" spans="1:39">
      <c r="A448" s="32" t="str">
        <f>_xlfn.XLOOKUP(B448,Input!J:J,Input!G:G)&amp;""</f>
        <v/>
      </c>
      <c r="B448" s="32"/>
      <c r="C448" s="32" t="str">
        <f>_xlfn.XLOOKUP(B448,Input!J:J,Input!H:H)&amp;""</f>
        <v/>
      </c>
      <c r="D448" s="42">
        <f>_xlfn.XLOOKUP(B448,Input!J:J,Input!F:F)</f>
        <v>0</v>
      </c>
      <c r="E448" s="32">
        <f>_xlfn.XLOOKUP(D448,Models!H:H,Models!G:G,D448)</f>
        <v>0</v>
      </c>
      <c r="F448" s="32">
        <f>_xlfn.XLOOKUP(B448,Input!J:J,Input!E:E)</f>
        <v>0</v>
      </c>
      <c r="G448" s="32">
        <f>IF(F448="LENOVO",_xlfn.XLOOKUP(B448,Input!J:J,Input!K:K),_xlfn.XLOOKUP(B448,Input!J:J,Input!L:L))</f>
        <v>0</v>
      </c>
      <c r="H448" s="32"/>
      <c r="I448" s="32"/>
      <c r="J448" s="32"/>
      <c r="K448" s="42" t="e">
        <f>INDEX(Input!$D$2:$AC$500,
       MATCH(B448, Input!$J$2:$J$500, 0),
       MATCH("Total Memory", Input!$D$1:$AC$1, 0))</f>
        <v>#N/A</v>
      </c>
      <c r="L448" s="42"/>
      <c r="M448" s="42" t="str" cm="1">
        <f t="array" ref="M448">IFERROR(_xlfn.FILTERXML("&lt;t&gt;&lt;s&gt;" &amp; SUBSTITUTE(L448," / ","&lt;/s&gt;&lt;s&gt;") &amp; "&lt;/s&gt;&lt;/t&gt;","(//s[contains(.,'DDR')])[1]"),"")</f>
        <v/>
      </c>
      <c r="N448" s="32" t="e">
        <f t="shared" si="20"/>
        <v>#N/A</v>
      </c>
      <c r="O448" s="42" t="e">
        <f>INDEX(Input!$D$2:$AC$500,
       MATCH(B448, Input!$J$2:$J$500, 0),
       MATCH("Disk Interface Type", Input!$D$1:$AC$1, 0))</f>
        <v>#N/A</v>
      </c>
      <c r="P448" s="42" t="str" cm="1">
        <f t="array" ref="P448">IFERROR(_xlfn.TEXTJOIN(", ", TRUE, _xlfn._xlws.FILTER(
    INDEX(Input!$D$2:$AC$500,,MATCH("Disk Capacity",Input!$D$1:$AC$1,0)),
    Input!$J$2:$J$500=B448
)), "")</f>
        <v/>
      </c>
      <c r="Q448" s="32" t="e">
        <f t="shared" si="19"/>
        <v>#N/A</v>
      </c>
      <c r="R448" s="42" t="e">
        <f>_xlfn.LET(_xlpm.Result,INDEX(Input!$D$2:$AC$500,
       MATCH(B448, Input!$J$2:$J$500, 0),
       MATCH("Capacity", Input!$D$1:$AC$1, 0)),IF(_xlpm.Result="","",_xlpm.Result))</f>
        <v>#N/A</v>
      </c>
      <c r="S448" s="42"/>
      <c r="T448" s="42"/>
      <c r="U448" s="42" t="str" cm="1">
        <f t="array" ref="U448">IFERROR(_xlfn.IFS(
S448="","",
--S448&lt;55,"Battery Defect",
--S448&lt;=69,"Battery D",
--S448&lt;=80,"Battery C",
--S448&gt;80,""
),"")</f>
        <v/>
      </c>
      <c r="V448" s="42" t="str" cm="1">
        <f t="array" ref="V448">IFERROR(_xlfn.IFS(
T448="","",
--T448&lt;55,"Battery Defect",
--T448&lt;=69,"Battery D",
--T448&lt;=80,"Battery C",
--T448&gt;80,""
),"")</f>
        <v/>
      </c>
      <c r="W448" s="42"/>
      <c r="X448" s="42"/>
      <c r="Y448" s="42"/>
      <c r="Z448" s="42"/>
      <c r="AA448" s="42"/>
      <c r="AB448" s="42"/>
      <c r="AC448" s="42"/>
      <c r="AD448" s="42"/>
      <c r="AE448" s="32" t="str">
        <f t="shared" si="18"/>
        <v/>
      </c>
      <c r="AF448" s="32"/>
      <c r="AG448" s="32"/>
      <c r="AH448" s="32"/>
      <c r="AI448" s="32"/>
      <c r="AJ448" s="32"/>
      <c r="AK448" s="32"/>
      <c r="AL448" s="32"/>
      <c r="AM448" s="32"/>
    </row>
    <row r="449" spans="1:39">
      <c r="A449" s="32" t="str">
        <f>_xlfn.XLOOKUP(B449,Input!J:J,Input!G:G)&amp;""</f>
        <v/>
      </c>
      <c r="B449" s="32"/>
      <c r="C449" s="32" t="str">
        <f>_xlfn.XLOOKUP(B449,Input!J:J,Input!H:H)&amp;""</f>
        <v/>
      </c>
      <c r="D449" s="42">
        <f>_xlfn.XLOOKUP(B449,Input!J:J,Input!F:F)</f>
        <v>0</v>
      </c>
      <c r="E449" s="32">
        <f>_xlfn.XLOOKUP(D449,Models!H:H,Models!G:G,D449)</f>
        <v>0</v>
      </c>
      <c r="F449" s="32">
        <f>_xlfn.XLOOKUP(B449,Input!J:J,Input!E:E)</f>
        <v>0</v>
      </c>
      <c r="G449" s="32">
        <f>IF(F449="LENOVO",_xlfn.XLOOKUP(B449,Input!J:J,Input!K:K),_xlfn.XLOOKUP(B449,Input!J:J,Input!L:L))</f>
        <v>0</v>
      </c>
      <c r="H449" s="32"/>
      <c r="I449" s="32"/>
      <c r="J449" s="32"/>
      <c r="K449" s="42" t="e">
        <f>INDEX(Input!$D$2:$AC$500,
       MATCH(B449, Input!$J$2:$J$500, 0),
       MATCH("Total Memory", Input!$D$1:$AC$1, 0))</f>
        <v>#N/A</v>
      </c>
      <c r="L449" s="42"/>
      <c r="M449" s="42" t="str" cm="1">
        <f t="array" ref="M449">IFERROR(_xlfn.FILTERXML("&lt;t&gt;&lt;s&gt;" &amp; SUBSTITUTE(L449," / ","&lt;/s&gt;&lt;s&gt;") &amp; "&lt;/s&gt;&lt;/t&gt;","(//s[contains(.,'DDR')])[1]"),"")</f>
        <v/>
      </c>
      <c r="N449" s="32" t="e">
        <f t="shared" si="20"/>
        <v>#N/A</v>
      </c>
      <c r="O449" s="42" t="e">
        <f>INDEX(Input!$D$2:$AC$500,
       MATCH(B449, Input!$J$2:$J$500, 0),
       MATCH("Disk Interface Type", Input!$D$1:$AC$1, 0))</f>
        <v>#N/A</v>
      </c>
      <c r="P449" s="42" t="str" cm="1">
        <f t="array" ref="P449">IFERROR(_xlfn.TEXTJOIN(", ", TRUE, _xlfn._xlws.FILTER(
    INDEX(Input!$D$2:$AC$500,,MATCH("Disk Capacity",Input!$D$1:$AC$1,0)),
    Input!$J$2:$J$500=B449
)), "")</f>
        <v/>
      </c>
      <c r="Q449" s="32" t="e">
        <f t="shared" si="19"/>
        <v>#N/A</v>
      </c>
      <c r="R449" s="42" t="e">
        <f>_xlfn.LET(_xlpm.Result,INDEX(Input!$D$2:$AC$500,
       MATCH(B449, Input!$J$2:$J$500, 0),
       MATCH("Capacity", Input!$D$1:$AC$1, 0)),IF(_xlpm.Result="","",_xlpm.Result))</f>
        <v>#N/A</v>
      </c>
      <c r="S449" s="42"/>
      <c r="T449" s="42"/>
      <c r="U449" s="42" t="str" cm="1">
        <f t="array" ref="U449">IFERROR(_xlfn.IFS(
S449="","",
--S449&lt;55,"Battery Defect",
--S449&lt;=69,"Battery D",
--S449&lt;=80,"Battery C",
--S449&gt;80,""
),"")</f>
        <v/>
      </c>
      <c r="V449" s="42" t="str" cm="1">
        <f t="array" ref="V449">IFERROR(_xlfn.IFS(
T449="","",
--T449&lt;55,"Battery Defect",
--T449&lt;=69,"Battery D",
--T449&lt;=80,"Battery C",
--T449&gt;80,""
),"")</f>
        <v/>
      </c>
      <c r="W449" s="42"/>
      <c r="X449" s="42"/>
      <c r="Y449" s="42"/>
      <c r="Z449" s="42"/>
      <c r="AA449" s="42"/>
      <c r="AB449" s="42"/>
      <c r="AC449" s="42"/>
      <c r="AD449" s="42"/>
      <c r="AE449" s="32" t="str">
        <f t="shared" si="18"/>
        <v/>
      </c>
      <c r="AF449" s="32"/>
      <c r="AG449" s="32"/>
      <c r="AH449" s="32"/>
      <c r="AI449" s="32"/>
      <c r="AJ449" s="32"/>
      <c r="AK449" s="32"/>
      <c r="AL449" s="32"/>
      <c r="AM449" s="32"/>
    </row>
    <row r="450" spans="1:39">
      <c r="A450" s="32" t="str">
        <f>_xlfn.XLOOKUP(B450,Input!J:J,Input!G:G)&amp;""</f>
        <v/>
      </c>
      <c r="B450" s="32"/>
      <c r="C450" s="32" t="str">
        <f>_xlfn.XLOOKUP(B450,Input!J:J,Input!H:H)&amp;""</f>
        <v/>
      </c>
      <c r="D450" s="42">
        <f>_xlfn.XLOOKUP(B450,Input!J:J,Input!F:F)</f>
        <v>0</v>
      </c>
      <c r="E450" s="32">
        <f>_xlfn.XLOOKUP(D450,Models!H:H,Models!G:G,D450)</f>
        <v>0</v>
      </c>
      <c r="F450" s="32">
        <f>_xlfn.XLOOKUP(B450,Input!J:J,Input!E:E)</f>
        <v>0</v>
      </c>
      <c r="G450" s="32">
        <f>IF(F450="LENOVO",_xlfn.XLOOKUP(B450,Input!J:J,Input!K:K),_xlfn.XLOOKUP(B450,Input!J:J,Input!L:L))</f>
        <v>0</v>
      </c>
      <c r="H450" s="32"/>
      <c r="I450" s="32"/>
      <c r="J450" s="32"/>
      <c r="K450" s="42" t="e">
        <f>INDEX(Input!$D$2:$AC$500,
       MATCH(B450, Input!$J$2:$J$500, 0),
       MATCH("Total Memory", Input!$D$1:$AC$1, 0))</f>
        <v>#N/A</v>
      </c>
      <c r="L450" s="42"/>
      <c r="M450" s="42" t="str" cm="1">
        <f t="array" ref="M450">IFERROR(_xlfn.FILTERXML("&lt;t&gt;&lt;s&gt;" &amp; SUBSTITUTE(L450," / ","&lt;/s&gt;&lt;s&gt;") &amp; "&lt;/s&gt;&lt;/t&gt;","(//s[contains(.,'DDR')])[1]"),"")</f>
        <v/>
      </c>
      <c r="N450" s="32" t="e">
        <f t="shared" si="20"/>
        <v>#N/A</v>
      </c>
      <c r="O450" s="42" t="e">
        <f>INDEX(Input!$D$2:$AC$500,
       MATCH(B450, Input!$J$2:$J$500, 0),
       MATCH("Disk Interface Type", Input!$D$1:$AC$1, 0))</f>
        <v>#N/A</v>
      </c>
      <c r="P450" s="42" t="str" cm="1">
        <f t="array" ref="P450">IFERROR(_xlfn.TEXTJOIN(", ", TRUE, _xlfn._xlws.FILTER(
    INDEX(Input!$D$2:$AC$500,,MATCH("Disk Capacity",Input!$D$1:$AC$1,0)),
    Input!$J$2:$J$500=B450
)), "")</f>
        <v/>
      </c>
      <c r="Q450" s="32" t="e">
        <f t="shared" si="19"/>
        <v>#N/A</v>
      </c>
      <c r="R450" s="42" t="e">
        <f>_xlfn.LET(_xlpm.Result,INDEX(Input!$D$2:$AC$500,
       MATCH(B450, Input!$J$2:$J$500, 0),
       MATCH("Capacity", Input!$D$1:$AC$1, 0)),IF(_xlpm.Result="","",_xlpm.Result))</f>
        <v>#N/A</v>
      </c>
      <c r="S450" s="42"/>
      <c r="T450" s="42"/>
      <c r="U450" s="42" t="str" cm="1">
        <f t="array" ref="U450">IFERROR(_xlfn.IFS(
S450="","",
--S450&lt;55,"Battery Defect",
--S450&lt;=69,"Battery D",
--S450&lt;=80,"Battery C",
--S450&gt;80,""
),"")</f>
        <v/>
      </c>
      <c r="V450" s="42" t="str" cm="1">
        <f t="array" ref="V450">IFERROR(_xlfn.IFS(
T450="","",
--T450&lt;55,"Battery Defect",
--T450&lt;=69,"Battery D",
--T450&lt;=80,"Battery C",
--T450&gt;80,""
),"")</f>
        <v/>
      </c>
      <c r="W450" s="42"/>
      <c r="X450" s="42"/>
      <c r="Y450" s="42"/>
      <c r="Z450" s="42"/>
      <c r="AA450" s="42"/>
      <c r="AB450" s="42"/>
      <c r="AC450" s="42"/>
      <c r="AD450" s="42"/>
      <c r="AE450" s="32" t="str">
        <f t="shared" ref="AE450:AE513" si="21">IF(E450="Laptop",_xlfn.TEXTJOIN(", ",TRUE,U450,V450,W450,X450,Y450,Z450,AA450,AB450), _xlfn.TEXTJOIN(", ",TRUE,W450,X450,Y450,Z450,AA450,AB450))</f>
        <v/>
      </c>
      <c r="AF450" s="32"/>
      <c r="AG450" s="32"/>
      <c r="AH450" s="32"/>
      <c r="AI450" s="32"/>
      <c r="AJ450" s="32"/>
      <c r="AK450" s="32"/>
      <c r="AL450" s="32"/>
      <c r="AM450" s="32"/>
    </row>
    <row r="451" spans="1:39">
      <c r="A451" s="32" t="str">
        <f>_xlfn.XLOOKUP(B451,Input!J:J,Input!G:G)&amp;""</f>
        <v/>
      </c>
      <c r="B451" s="32"/>
      <c r="C451" s="32" t="str">
        <f>_xlfn.XLOOKUP(B451,Input!J:J,Input!H:H)&amp;""</f>
        <v/>
      </c>
      <c r="D451" s="42">
        <f>_xlfn.XLOOKUP(B451,Input!J:J,Input!F:F)</f>
        <v>0</v>
      </c>
      <c r="E451" s="32">
        <f>_xlfn.XLOOKUP(D451,Models!H:H,Models!G:G,D451)</f>
        <v>0</v>
      </c>
      <c r="F451" s="32">
        <f>_xlfn.XLOOKUP(B451,Input!J:J,Input!E:E)</f>
        <v>0</v>
      </c>
      <c r="G451" s="32">
        <f>IF(F451="LENOVO",_xlfn.XLOOKUP(B451,Input!J:J,Input!K:K),_xlfn.XLOOKUP(B451,Input!J:J,Input!L:L))</f>
        <v>0</v>
      </c>
      <c r="H451" s="32"/>
      <c r="I451" s="32"/>
      <c r="J451" s="32"/>
      <c r="K451" s="42" t="e">
        <f>INDEX(Input!$D$2:$AC$500,
       MATCH(B451, Input!$J$2:$J$500, 0),
       MATCH("Total Memory", Input!$D$1:$AC$1, 0))</f>
        <v>#N/A</v>
      </c>
      <c r="L451" s="42"/>
      <c r="M451" s="42" t="str" cm="1">
        <f t="array" ref="M451">IFERROR(_xlfn.FILTERXML("&lt;t&gt;&lt;s&gt;" &amp; SUBSTITUTE(L451," / ","&lt;/s&gt;&lt;s&gt;") &amp; "&lt;/s&gt;&lt;/t&gt;","(//s[contains(.,'DDR')])[1]"),"")</f>
        <v/>
      </c>
      <c r="N451" s="32" t="e">
        <f t="shared" si="20"/>
        <v>#N/A</v>
      </c>
      <c r="O451" s="42" t="e">
        <f>INDEX(Input!$D$2:$AC$500,
       MATCH(B451, Input!$J$2:$J$500, 0),
       MATCH("Disk Interface Type", Input!$D$1:$AC$1, 0))</f>
        <v>#N/A</v>
      </c>
      <c r="P451" s="42" t="str" cm="1">
        <f t="array" ref="P451">IFERROR(_xlfn.TEXTJOIN(", ", TRUE, _xlfn._xlws.FILTER(
    INDEX(Input!$D$2:$AC$500,,MATCH("Disk Capacity",Input!$D$1:$AC$1,0)),
    Input!$J$2:$J$500=B451
)), "")</f>
        <v/>
      </c>
      <c r="Q451" s="32" t="e">
        <f t="shared" ref="Q451:Q514" si="22">_xlfn.TEXTJOIN(" ",TRUE,P451,O451)</f>
        <v>#N/A</v>
      </c>
      <c r="R451" s="42" t="e">
        <f>_xlfn.LET(_xlpm.Result,INDEX(Input!$D$2:$AC$500,
       MATCH(B451, Input!$J$2:$J$500, 0),
       MATCH("Capacity", Input!$D$1:$AC$1, 0)),IF(_xlpm.Result="","",_xlpm.Result))</f>
        <v>#N/A</v>
      </c>
      <c r="S451" s="42"/>
      <c r="T451" s="42"/>
      <c r="U451" s="42" t="str" cm="1">
        <f t="array" ref="U451">IFERROR(_xlfn.IFS(
S451="","",
--S451&lt;55,"Battery Defect",
--S451&lt;=69,"Battery D",
--S451&lt;=80,"Battery C",
--S451&gt;80,""
),"")</f>
        <v/>
      </c>
      <c r="V451" s="42" t="str" cm="1">
        <f t="array" ref="V451">IFERROR(_xlfn.IFS(
T451="","",
--T451&lt;55,"Battery Defect",
--T451&lt;=69,"Battery D",
--T451&lt;=80,"Battery C",
--T451&gt;80,""
),"")</f>
        <v/>
      </c>
      <c r="W451" s="42"/>
      <c r="X451" s="42"/>
      <c r="Y451" s="42"/>
      <c r="Z451" s="42"/>
      <c r="AA451" s="42"/>
      <c r="AB451" s="42"/>
      <c r="AC451" s="42"/>
      <c r="AD451" s="42"/>
      <c r="AE451" s="32" t="str">
        <f t="shared" si="21"/>
        <v/>
      </c>
      <c r="AF451" s="32"/>
      <c r="AG451" s="32"/>
      <c r="AH451" s="32"/>
      <c r="AI451" s="32"/>
      <c r="AJ451" s="32"/>
      <c r="AK451" s="32"/>
      <c r="AL451" s="32"/>
      <c r="AM451" s="32"/>
    </row>
    <row r="452" spans="1:39">
      <c r="A452" s="32" t="str">
        <f>_xlfn.XLOOKUP(B452,Input!J:J,Input!G:G)&amp;""</f>
        <v/>
      </c>
      <c r="B452" s="32"/>
      <c r="C452" s="32" t="str">
        <f>_xlfn.XLOOKUP(B452,Input!J:J,Input!H:H)&amp;""</f>
        <v/>
      </c>
      <c r="D452" s="42">
        <f>_xlfn.XLOOKUP(B452,Input!J:J,Input!F:F)</f>
        <v>0</v>
      </c>
      <c r="E452" s="32">
        <f>_xlfn.XLOOKUP(D452,Models!H:H,Models!G:G,D452)</f>
        <v>0</v>
      </c>
      <c r="F452" s="32">
        <f>_xlfn.XLOOKUP(B452,Input!J:J,Input!E:E)</f>
        <v>0</v>
      </c>
      <c r="G452" s="32">
        <f>IF(F452="LENOVO",_xlfn.XLOOKUP(B452,Input!J:J,Input!K:K),_xlfn.XLOOKUP(B452,Input!J:J,Input!L:L))</f>
        <v>0</v>
      </c>
      <c r="H452" s="32"/>
      <c r="I452" s="32"/>
      <c r="J452" s="32"/>
      <c r="K452" s="42" t="e">
        <f>INDEX(Input!$D$2:$AC$500,
       MATCH(B452, Input!$J$2:$J$500, 0),
       MATCH("Total Memory", Input!$D$1:$AC$1, 0))</f>
        <v>#N/A</v>
      </c>
      <c r="L452" s="42"/>
      <c r="M452" s="42" t="str" cm="1">
        <f t="array" ref="M452">IFERROR(_xlfn.FILTERXML("&lt;t&gt;&lt;s&gt;" &amp; SUBSTITUTE(L452," / ","&lt;/s&gt;&lt;s&gt;") &amp; "&lt;/s&gt;&lt;/t&gt;","(//s[contains(.,'DDR')])[1]"),"")</f>
        <v/>
      </c>
      <c r="N452" s="32" t="e">
        <f t="shared" ref="N452:N515" si="23">_xlfn.TEXTJOIN(" ",TRUE,SUBSTITUTE(K452,"i",""),M452)</f>
        <v>#N/A</v>
      </c>
      <c r="O452" s="42" t="e">
        <f>INDEX(Input!$D$2:$AC$500,
       MATCH(B452, Input!$J$2:$J$500, 0),
       MATCH("Disk Interface Type", Input!$D$1:$AC$1, 0))</f>
        <v>#N/A</v>
      </c>
      <c r="P452" s="42" t="str" cm="1">
        <f t="array" ref="P452">IFERROR(_xlfn.TEXTJOIN(", ", TRUE, _xlfn._xlws.FILTER(
    INDEX(Input!$D$2:$AC$500,,MATCH("Disk Capacity",Input!$D$1:$AC$1,0)),
    Input!$J$2:$J$500=B452
)), "")</f>
        <v/>
      </c>
      <c r="Q452" s="32" t="e">
        <f t="shared" si="22"/>
        <v>#N/A</v>
      </c>
      <c r="R452" s="42" t="e">
        <f>_xlfn.LET(_xlpm.Result,INDEX(Input!$D$2:$AC$500,
       MATCH(B452, Input!$J$2:$J$500, 0),
       MATCH("Capacity", Input!$D$1:$AC$1, 0)),IF(_xlpm.Result="","",_xlpm.Result))</f>
        <v>#N/A</v>
      </c>
      <c r="S452" s="42"/>
      <c r="T452" s="42"/>
      <c r="U452" s="42" t="str" cm="1">
        <f t="array" ref="U452">IFERROR(_xlfn.IFS(
S452="","",
--S452&lt;55,"Battery Defect",
--S452&lt;=69,"Battery D",
--S452&lt;=80,"Battery C",
--S452&gt;80,""
),"")</f>
        <v/>
      </c>
      <c r="V452" s="42" t="str" cm="1">
        <f t="array" ref="V452">IFERROR(_xlfn.IFS(
T452="","",
--T452&lt;55,"Battery Defect",
--T452&lt;=69,"Battery D",
--T452&lt;=80,"Battery C",
--T452&gt;80,""
),"")</f>
        <v/>
      </c>
      <c r="W452" s="42"/>
      <c r="X452" s="42"/>
      <c r="Y452" s="42"/>
      <c r="Z452" s="42"/>
      <c r="AA452" s="42"/>
      <c r="AB452" s="42"/>
      <c r="AC452" s="42"/>
      <c r="AD452" s="42"/>
      <c r="AE452" s="32" t="str">
        <f t="shared" si="21"/>
        <v/>
      </c>
      <c r="AF452" s="32"/>
      <c r="AG452" s="32"/>
      <c r="AH452" s="32"/>
      <c r="AI452" s="32"/>
      <c r="AJ452" s="32"/>
      <c r="AK452" s="32"/>
      <c r="AL452" s="32"/>
      <c r="AM452" s="32"/>
    </row>
    <row r="453" spans="1:39">
      <c r="A453" s="32" t="str">
        <f>_xlfn.XLOOKUP(B453,Input!J:J,Input!G:G)&amp;""</f>
        <v/>
      </c>
      <c r="B453" s="32"/>
      <c r="C453" s="32" t="str">
        <f>_xlfn.XLOOKUP(B453,Input!J:J,Input!H:H)&amp;""</f>
        <v/>
      </c>
      <c r="D453" s="42">
        <f>_xlfn.XLOOKUP(B453,Input!J:J,Input!F:F)</f>
        <v>0</v>
      </c>
      <c r="E453" s="32">
        <f>_xlfn.XLOOKUP(D453,Models!H:H,Models!G:G,D453)</f>
        <v>0</v>
      </c>
      <c r="F453" s="32">
        <f>_xlfn.XLOOKUP(B453,Input!J:J,Input!E:E)</f>
        <v>0</v>
      </c>
      <c r="G453" s="32">
        <f>IF(F453="LENOVO",_xlfn.XLOOKUP(B453,Input!J:J,Input!K:K),_xlfn.XLOOKUP(B453,Input!J:J,Input!L:L))</f>
        <v>0</v>
      </c>
      <c r="H453" s="32"/>
      <c r="I453" s="32"/>
      <c r="J453" s="32"/>
      <c r="K453" s="42" t="e">
        <f>INDEX(Input!$D$2:$AC$500,
       MATCH(B453, Input!$J$2:$J$500, 0),
       MATCH("Total Memory", Input!$D$1:$AC$1, 0))</f>
        <v>#N/A</v>
      </c>
      <c r="L453" s="42"/>
      <c r="M453" s="42" t="str" cm="1">
        <f t="array" ref="M453">IFERROR(_xlfn.FILTERXML("&lt;t&gt;&lt;s&gt;" &amp; SUBSTITUTE(L453," / ","&lt;/s&gt;&lt;s&gt;") &amp; "&lt;/s&gt;&lt;/t&gt;","(//s[contains(.,'DDR')])[1]"),"")</f>
        <v/>
      </c>
      <c r="N453" s="32" t="e">
        <f t="shared" si="23"/>
        <v>#N/A</v>
      </c>
      <c r="O453" s="42" t="e">
        <f>INDEX(Input!$D$2:$AC$500,
       MATCH(B453, Input!$J$2:$J$500, 0),
       MATCH("Disk Interface Type", Input!$D$1:$AC$1, 0))</f>
        <v>#N/A</v>
      </c>
      <c r="P453" s="42" t="str" cm="1">
        <f t="array" ref="P453">IFERROR(_xlfn.TEXTJOIN(", ", TRUE, _xlfn._xlws.FILTER(
    INDEX(Input!$D$2:$AC$500,,MATCH("Disk Capacity",Input!$D$1:$AC$1,0)),
    Input!$J$2:$J$500=B453
)), "")</f>
        <v/>
      </c>
      <c r="Q453" s="32" t="e">
        <f t="shared" si="22"/>
        <v>#N/A</v>
      </c>
      <c r="R453" s="42" t="e">
        <f>_xlfn.LET(_xlpm.Result,INDEX(Input!$D$2:$AC$500,
       MATCH(B453, Input!$J$2:$J$500, 0),
       MATCH("Capacity", Input!$D$1:$AC$1, 0)),IF(_xlpm.Result="","",_xlpm.Result))</f>
        <v>#N/A</v>
      </c>
      <c r="S453" s="42"/>
      <c r="T453" s="42"/>
      <c r="U453" s="42" t="str" cm="1">
        <f t="array" ref="U453">IFERROR(_xlfn.IFS(
S453="","",
--S453&lt;55,"Battery Defect",
--S453&lt;=69,"Battery D",
--S453&lt;=80,"Battery C",
--S453&gt;80,""
),"")</f>
        <v/>
      </c>
      <c r="V453" s="42" t="str" cm="1">
        <f t="array" ref="V453">IFERROR(_xlfn.IFS(
T453="","",
--T453&lt;55,"Battery Defect",
--T453&lt;=69,"Battery D",
--T453&lt;=80,"Battery C",
--T453&gt;80,""
),"")</f>
        <v/>
      </c>
      <c r="W453" s="42"/>
      <c r="X453" s="42"/>
      <c r="Y453" s="42"/>
      <c r="Z453" s="42"/>
      <c r="AA453" s="42"/>
      <c r="AB453" s="42"/>
      <c r="AC453" s="42"/>
      <c r="AD453" s="42"/>
      <c r="AE453" s="32" t="str">
        <f t="shared" si="21"/>
        <v/>
      </c>
      <c r="AF453" s="32"/>
      <c r="AG453" s="32"/>
      <c r="AH453" s="32"/>
      <c r="AI453" s="32"/>
      <c r="AJ453" s="32"/>
      <c r="AK453" s="32"/>
      <c r="AL453" s="32"/>
      <c r="AM453" s="32"/>
    </row>
    <row r="454" spans="1:39">
      <c r="A454" s="32" t="str">
        <f>_xlfn.XLOOKUP(B454,Input!J:J,Input!G:G)&amp;""</f>
        <v/>
      </c>
      <c r="B454" s="32"/>
      <c r="C454" s="32" t="str">
        <f>_xlfn.XLOOKUP(B454,Input!J:J,Input!H:H)&amp;""</f>
        <v/>
      </c>
      <c r="D454" s="42">
        <f>_xlfn.XLOOKUP(B454,Input!J:J,Input!F:F)</f>
        <v>0</v>
      </c>
      <c r="E454" s="32">
        <f>_xlfn.XLOOKUP(D454,Models!H:H,Models!G:G,D454)</f>
        <v>0</v>
      </c>
      <c r="F454" s="32">
        <f>_xlfn.XLOOKUP(B454,Input!J:J,Input!E:E)</f>
        <v>0</v>
      </c>
      <c r="G454" s="32">
        <f>IF(F454="LENOVO",_xlfn.XLOOKUP(B454,Input!J:J,Input!K:K),_xlfn.XLOOKUP(B454,Input!J:J,Input!L:L))</f>
        <v>0</v>
      </c>
      <c r="H454" s="32"/>
      <c r="I454" s="32"/>
      <c r="J454" s="32"/>
      <c r="K454" s="42" t="e">
        <f>INDEX(Input!$D$2:$AC$500,
       MATCH(B454, Input!$J$2:$J$500, 0),
       MATCH("Total Memory", Input!$D$1:$AC$1, 0))</f>
        <v>#N/A</v>
      </c>
      <c r="L454" s="42"/>
      <c r="M454" s="42" t="str" cm="1">
        <f t="array" ref="M454">IFERROR(_xlfn.FILTERXML("&lt;t&gt;&lt;s&gt;" &amp; SUBSTITUTE(L454," / ","&lt;/s&gt;&lt;s&gt;") &amp; "&lt;/s&gt;&lt;/t&gt;","(//s[contains(.,'DDR')])[1]"),"")</f>
        <v/>
      </c>
      <c r="N454" s="32" t="e">
        <f t="shared" si="23"/>
        <v>#N/A</v>
      </c>
      <c r="O454" s="42" t="e">
        <f>INDEX(Input!$D$2:$AC$500,
       MATCH(B454, Input!$J$2:$J$500, 0),
       MATCH("Disk Interface Type", Input!$D$1:$AC$1, 0))</f>
        <v>#N/A</v>
      </c>
      <c r="P454" s="42" t="str" cm="1">
        <f t="array" ref="P454">IFERROR(_xlfn.TEXTJOIN(", ", TRUE, _xlfn._xlws.FILTER(
    INDEX(Input!$D$2:$AC$500,,MATCH("Disk Capacity",Input!$D$1:$AC$1,0)),
    Input!$J$2:$J$500=B454
)), "")</f>
        <v/>
      </c>
      <c r="Q454" s="32" t="e">
        <f t="shared" si="22"/>
        <v>#N/A</v>
      </c>
      <c r="R454" s="42" t="e">
        <f>_xlfn.LET(_xlpm.Result,INDEX(Input!$D$2:$AC$500,
       MATCH(B454, Input!$J$2:$J$500, 0),
       MATCH("Capacity", Input!$D$1:$AC$1, 0)),IF(_xlpm.Result="","",_xlpm.Result))</f>
        <v>#N/A</v>
      </c>
      <c r="S454" s="42"/>
      <c r="T454" s="42"/>
      <c r="U454" s="42" t="str" cm="1">
        <f t="array" ref="U454">IFERROR(_xlfn.IFS(
S454="","",
--S454&lt;55,"Battery Defect",
--S454&lt;=69,"Battery D",
--S454&lt;=80,"Battery C",
--S454&gt;80,""
),"")</f>
        <v/>
      </c>
      <c r="V454" s="42" t="str" cm="1">
        <f t="array" ref="V454">IFERROR(_xlfn.IFS(
T454="","",
--T454&lt;55,"Battery Defect",
--T454&lt;=69,"Battery D",
--T454&lt;=80,"Battery C",
--T454&gt;80,""
),"")</f>
        <v/>
      </c>
      <c r="W454" s="42"/>
      <c r="X454" s="42"/>
      <c r="Y454" s="42"/>
      <c r="Z454" s="42"/>
      <c r="AA454" s="42"/>
      <c r="AB454" s="42"/>
      <c r="AC454" s="42"/>
      <c r="AD454" s="42"/>
      <c r="AE454" s="32" t="str">
        <f t="shared" si="21"/>
        <v/>
      </c>
      <c r="AF454" s="32"/>
      <c r="AG454" s="32"/>
      <c r="AH454" s="32"/>
      <c r="AI454" s="32"/>
      <c r="AJ454" s="32"/>
      <c r="AK454" s="32"/>
      <c r="AL454" s="32"/>
      <c r="AM454" s="32"/>
    </row>
    <row r="455" spans="1:39">
      <c r="A455" s="32" t="str">
        <f>_xlfn.XLOOKUP(B455,Input!J:J,Input!G:G)&amp;""</f>
        <v/>
      </c>
      <c r="B455" s="32"/>
      <c r="C455" s="32" t="str">
        <f>_xlfn.XLOOKUP(B455,Input!J:J,Input!H:H)&amp;""</f>
        <v/>
      </c>
      <c r="D455" s="42">
        <f>_xlfn.XLOOKUP(B455,Input!J:J,Input!F:F)</f>
        <v>0</v>
      </c>
      <c r="E455" s="32">
        <f>_xlfn.XLOOKUP(D455,Models!H:H,Models!G:G,D455)</f>
        <v>0</v>
      </c>
      <c r="F455" s="32">
        <f>_xlfn.XLOOKUP(B455,Input!J:J,Input!E:E)</f>
        <v>0</v>
      </c>
      <c r="G455" s="32">
        <f>IF(F455="LENOVO",_xlfn.XLOOKUP(B455,Input!J:J,Input!K:K),_xlfn.XLOOKUP(B455,Input!J:J,Input!L:L))</f>
        <v>0</v>
      </c>
      <c r="H455" s="32"/>
      <c r="I455" s="32"/>
      <c r="J455" s="32"/>
      <c r="K455" s="42" t="e">
        <f>INDEX(Input!$D$2:$AC$500,
       MATCH(B455, Input!$J$2:$J$500, 0),
       MATCH("Total Memory", Input!$D$1:$AC$1, 0))</f>
        <v>#N/A</v>
      </c>
      <c r="L455" s="42"/>
      <c r="M455" s="42" t="str" cm="1">
        <f t="array" ref="M455">IFERROR(_xlfn.FILTERXML("&lt;t&gt;&lt;s&gt;" &amp; SUBSTITUTE(L455," / ","&lt;/s&gt;&lt;s&gt;") &amp; "&lt;/s&gt;&lt;/t&gt;","(//s[contains(.,'DDR')])[1]"),"")</f>
        <v/>
      </c>
      <c r="N455" s="32" t="e">
        <f t="shared" si="23"/>
        <v>#N/A</v>
      </c>
      <c r="O455" s="42" t="e">
        <f>INDEX(Input!$D$2:$AC$500,
       MATCH(B455, Input!$J$2:$J$500, 0),
       MATCH("Disk Interface Type", Input!$D$1:$AC$1, 0))</f>
        <v>#N/A</v>
      </c>
      <c r="P455" s="42" t="str" cm="1">
        <f t="array" ref="P455">IFERROR(_xlfn.TEXTJOIN(", ", TRUE, _xlfn._xlws.FILTER(
    INDEX(Input!$D$2:$AC$500,,MATCH("Disk Capacity",Input!$D$1:$AC$1,0)),
    Input!$J$2:$J$500=B455
)), "")</f>
        <v/>
      </c>
      <c r="Q455" s="32" t="e">
        <f t="shared" si="22"/>
        <v>#N/A</v>
      </c>
      <c r="R455" s="42" t="e">
        <f>_xlfn.LET(_xlpm.Result,INDEX(Input!$D$2:$AC$500,
       MATCH(B455, Input!$J$2:$J$500, 0),
       MATCH("Capacity", Input!$D$1:$AC$1, 0)),IF(_xlpm.Result="","",_xlpm.Result))</f>
        <v>#N/A</v>
      </c>
      <c r="S455" s="42"/>
      <c r="T455" s="42"/>
      <c r="U455" s="42" t="str" cm="1">
        <f t="array" ref="U455">IFERROR(_xlfn.IFS(
S455="","",
--S455&lt;55,"Battery Defect",
--S455&lt;=69,"Battery D",
--S455&lt;=80,"Battery C",
--S455&gt;80,""
),"")</f>
        <v/>
      </c>
      <c r="V455" s="42" t="str" cm="1">
        <f t="array" ref="V455">IFERROR(_xlfn.IFS(
T455="","",
--T455&lt;55,"Battery Defect",
--T455&lt;=69,"Battery D",
--T455&lt;=80,"Battery C",
--T455&gt;80,""
),"")</f>
        <v/>
      </c>
      <c r="W455" s="42"/>
      <c r="X455" s="42"/>
      <c r="Y455" s="42"/>
      <c r="Z455" s="42"/>
      <c r="AA455" s="42"/>
      <c r="AB455" s="42"/>
      <c r="AC455" s="42"/>
      <c r="AD455" s="42"/>
      <c r="AE455" s="32" t="str">
        <f t="shared" si="21"/>
        <v/>
      </c>
      <c r="AF455" s="32"/>
      <c r="AG455" s="32"/>
      <c r="AH455" s="32"/>
      <c r="AI455" s="32"/>
      <c r="AJ455" s="32"/>
      <c r="AK455" s="32"/>
      <c r="AL455" s="32"/>
      <c r="AM455" s="32"/>
    </row>
    <row r="456" spans="1:39">
      <c r="A456" s="32" t="str">
        <f>_xlfn.XLOOKUP(B456,Input!J:J,Input!G:G)&amp;""</f>
        <v/>
      </c>
      <c r="B456" s="32"/>
      <c r="C456" s="32" t="str">
        <f>_xlfn.XLOOKUP(B456,Input!J:J,Input!H:H)&amp;""</f>
        <v/>
      </c>
      <c r="D456" s="42">
        <f>_xlfn.XLOOKUP(B456,Input!J:J,Input!F:F)</f>
        <v>0</v>
      </c>
      <c r="E456" s="32">
        <f>_xlfn.XLOOKUP(D456,Models!H:H,Models!G:G,D456)</f>
        <v>0</v>
      </c>
      <c r="F456" s="32">
        <f>_xlfn.XLOOKUP(B456,Input!J:J,Input!E:E)</f>
        <v>0</v>
      </c>
      <c r="G456" s="32">
        <f>IF(F456="LENOVO",_xlfn.XLOOKUP(B456,Input!J:J,Input!K:K),_xlfn.XLOOKUP(B456,Input!J:J,Input!L:L))</f>
        <v>0</v>
      </c>
      <c r="H456" s="32"/>
      <c r="I456" s="32"/>
      <c r="J456" s="32"/>
      <c r="K456" s="42" t="e">
        <f>INDEX(Input!$D$2:$AC$500,
       MATCH(B456, Input!$J$2:$J$500, 0),
       MATCH("Total Memory", Input!$D$1:$AC$1, 0))</f>
        <v>#N/A</v>
      </c>
      <c r="L456" s="42"/>
      <c r="M456" s="42" t="str" cm="1">
        <f t="array" ref="M456">IFERROR(_xlfn.FILTERXML("&lt;t&gt;&lt;s&gt;" &amp; SUBSTITUTE(L456," / ","&lt;/s&gt;&lt;s&gt;") &amp; "&lt;/s&gt;&lt;/t&gt;","(//s[contains(.,'DDR')])[1]"),"")</f>
        <v/>
      </c>
      <c r="N456" s="32" t="e">
        <f t="shared" si="23"/>
        <v>#N/A</v>
      </c>
      <c r="O456" s="42" t="e">
        <f>INDEX(Input!$D$2:$AC$500,
       MATCH(B456, Input!$J$2:$J$500, 0),
       MATCH("Disk Interface Type", Input!$D$1:$AC$1, 0))</f>
        <v>#N/A</v>
      </c>
      <c r="P456" s="42" t="str" cm="1">
        <f t="array" ref="P456">IFERROR(_xlfn.TEXTJOIN(", ", TRUE, _xlfn._xlws.FILTER(
    INDEX(Input!$D$2:$AC$500,,MATCH("Disk Capacity",Input!$D$1:$AC$1,0)),
    Input!$J$2:$J$500=B456
)), "")</f>
        <v/>
      </c>
      <c r="Q456" s="32" t="e">
        <f t="shared" si="22"/>
        <v>#N/A</v>
      </c>
      <c r="R456" s="42" t="e">
        <f>_xlfn.LET(_xlpm.Result,INDEX(Input!$D$2:$AC$500,
       MATCH(B456, Input!$J$2:$J$500, 0),
       MATCH("Capacity", Input!$D$1:$AC$1, 0)),IF(_xlpm.Result="","",_xlpm.Result))</f>
        <v>#N/A</v>
      </c>
      <c r="S456" s="42"/>
      <c r="T456" s="42"/>
      <c r="U456" s="42" t="str" cm="1">
        <f t="array" ref="U456">IFERROR(_xlfn.IFS(
S456="","",
--S456&lt;55,"Battery Defect",
--S456&lt;=69,"Battery D",
--S456&lt;=80,"Battery C",
--S456&gt;80,""
),"")</f>
        <v/>
      </c>
      <c r="V456" s="42" t="str" cm="1">
        <f t="array" ref="V456">IFERROR(_xlfn.IFS(
T456="","",
--T456&lt;55,"Battery Defect",
--T456&lt;=69,"Battery D",
--T456&lt;=80,"Battery C",
--T456&gt;80,""
),"")</f>
        <v/>
      </c>
      <c r="W456" s="42"/>
      <c r="X456" s="42"/>
      <c r="Y456" s="42"/>
      <c r="Z456" s="42"/>
      <c r="AA456" s="42"/>
      <c r="AB456" s="42"/>
      <c r="AC456" s="42"/>
      <c r="AD456" s="42"/>
      <c r="AE456" s="32" t="str">
        <f t="shared" si="21"/>
        <v/>
      </c>
      <c r="AF456" s="32"/>
      <c r="AG456" s="32"/>
      <c r="AH456" s="32"/>
      <c r="AI456" s="32"/>
      <c r="AJ456" s="32"/>
      <c r="AK456" s="32"/>
      <c r="AL456" s="32"/>
      <c r="AM456" s="32"/>
    </row>
    <row r="457" spans="1:39">
      <c r="A457" s="32" t="str">
        <f>_xlfn.XLOOKUP(B457,Input!J:J,Input!G:G)&amp;""</f>
        <v/>
      </c>
      <c r="B457" s="32"/>
      <c r="C457" s="32" t="str">
        <f>_xlfn.XLOOKUP(B457,Input!J:J,Input!H:H)&amp;""</f>
        <v/>
      </c>
      <c r="D457" s="42">
        <f>_xlfn.XLOOKUP(B457,Input!J:J,Input!F:F)</f>
        <v>0</v>
      </c>
      <c r="E457" s="32">
        <f>_xlfn.XLOOKUP(D457,Models!H:H,Models!G:G,D457)</f>
        <v>0</v>
      </c>
      <c r="F457" s="32">
        <f>_xlfn.XLOOKUP(B457,Input!J:J,Input!E:E)</f>
        <v>0</v>
      </c>
      <c r="G457" s="32">
        <f>IF(F457="LENOVO",_xlfn.XLOOKUP(B457,Input!J:J,Input!K:K),_xlfn.XLOOKUP(B457,Input!J:J,Input!L:L))</f>
        <v>0</v>
      </c>
      <c r="H457" s="32"/>
      <c r="I457" s="32"/>
      <c r="J457" s="32"/>
      <c r="K457" s="42" t="e">
        <f>INDEX(Input!$D$2:$AC$500,
       MATCH(B457, Input!$J$2:$J$500, 0),
       MATCH("Total Memory", Input!$D$1:$AC$1, 0))</f>
        <v>#N/A</v>
      </c>
      <c r="L457" s="42"/>
      <c r="M457" s="42" t="str" cm="1">
        <f t="array" ref="M457">IFERROR(_xlfn.FILTERXML("&lt;t&gt;&lt;s&gt;" &amp; SUBSTITUTE(L457," / ","&lt;/s&gt;&lt;s&gt;") &amp; "&lt;/s&gt;&lt;/t&gt;","(//s[contains(.,'DDR')])[1]"),"")</f>
        <v/>
      </c>
      <c r="N457" s="32" t="e">
        <f t="shared" si="23"/>
        <v>#N/A</v>
      </c>
      <c r="O457" s="42" t="e">
        <f>INDEX(Input!$D$2:$AC$500,
       MATCH(B457, Input!$J$2:$J$500, 0),
       MATCH("Disk Interface Type", Input!$D$1:$AC$1, 0))</f>
        <v>#N/A</v>
      </c>
      <c r="P457" s="42" t="str" cm="1">
        <f t="array" ref="P457">IFERROR(_xlfn.TEXTJOIN(", ", TRUE, _xlfn._xlws.FILTER(
    INDEX(Input!$D$2:$AC$500,,MATCH("Disk Capacity",Input!$D$1:$AC$1,0)),
    Input!$J$2:$J$500=B457
)), "")</f>
        <v/>
      </c>
      <c r="Q457" s="32" t="e">
        <f t="shared" si="22"/>
        <v>#N/A</v>
      </c>
      <c r="R457" s="42" t="e">
        <f>_xlfn.LET(_xlpm.Result,INDEX(Input!$D$2:$AC$500,
       MATCH(B457, Input!$J$2:$J$500, 0),
       MATCH("Capacity", Input!$D$1:$AC$1, 0)),IF(_xlpm.Result="","",_xlpm.Result))</f>
        <v>#N/A</v>
      </c>
      <c r="S457" s="42"/>
      <c r="T457" s="42"/>
      <c r="U457" s="42" t="str" cm="1">
        <f t="array" ref="U457">IFERROR(_xlfn.IFS(
S457="","",
--S457&lt;55,"Battery Defect",
--S457&lt;=69,"Battery D",
--S457&lt;=80,"Battery C",
--S457&gt;80,""
),"")</f>
        <v/>
      </c>
      <c r="V457" s="42" t="str" cm="1">
        <f t="array" ref="V457">IFERROR(_xlfn.IFS(
T457="","",
--T457&lt;55,"Battery Defect",
--T457&lt;=69,"Battery D",
--T457&lt;=80,"Battery C",
--T457&gt;80,""
),"")</f>
        <v/>
      </c>
      <c r="W457" s="42"/>
      <c r="X457" s="42"/>
      <c r="Y457" s="42"/>
      <c r="Z457" s="42"/>
      <c r="AA457" s="42"/>
      <c r="AB457" s="42"/>
      <c r="AC457" s="42"/>
      <c r="AD457" s="42"/>
      <c r="AE457" s="32" t="str">
        <f t="shared" si="21"/>
        <v/>
      </c>
      <c r="AF457" s="32"/>
      <c r="AG457" s="32"/>
      <c r="AH457" s="32"/>
      <c r="AI457" s="32"/>
      <c r="AJ457" s="32"/>
      <c r="AK457" s="32"/>
      <c r="AL457" s="32"/>
      <c r="AM457" s="32"/>
    </row>
    <row r="458" spans="1:39">
      <c r="A458" s="32" t="str">
        <f>_xlfn.XLOOKUP(B458,Input!J:J,Input!G:G)&amp;""</f>
        <v/>
      </c>
      <c r="B458" s="32"/>
      <c r="C458" s="32" t="str">
        <f>_xlfn.XLOOKUP(B458,Input!J:J,Input!H:H)&amp;""</f>
        <v/>
      </c>
      <c r="D458" s="42">
        <f>_xlfn.XLOOKUP(B458,Input!J:J,Input!F:F)</f>
        <v>0</v>
      </c>
      <c r="E458" s="32">
        <f>_xlfn.XLOOKUP(D458,Models!H:H,Models!G:G,D458)</f>
        <v>0</v>
      </c>
      <c r="F458" s="32">
        <f>_xlfn.XLOOKUP(B458,Input!J:J,Input!E:E)</f>
        <v>0</v>
      </c>
      <c r="G458" s="32">
        <f>IF(F458="LENOVO",_xlfn.XLOOKUP(B458,Input!J:J,Input!K:K),_xlfn.XLOOKUP(B458,Input!J:J,Input!L:L))</f>
        <v>0</v>
      </c>
      <c r="H458" s="32"/>
      <c r="I458" s="32"/>
      <c r="J458" s="32"/>
      <c r="K458" s="42" t="e">
        <f>INDEX(Input!$D$2:$AC$500,
       MATCH(B458, Input!$J$2:$J$500, 0),
       MATCH("Total Memory", Input!$D$1:$AC$1, 0))</f>
        <v>#N/A</v>
      </c>
      <c r="L458" s="42"/>
      <c r="M458" s="42" t="str" cm="1">
        <f t="array" ref="M458">IFERROR(_xlfn.FILTERXML("&lt;t&gt;&lt;s&gt;" &amp; SUBSTITUTE(L458," / ","&lt;/s&gt;&lt;s&gt;") &amp; "&lt;/s&gt;&lt;/t&gt;","(//s[contains(.,'DDR')])[1]"),"")</f>
        <v/>
      </c>
      <c r="N458" s="32" t="e">
        <f t="shared" si="23"/>
        <v>#N/A</v>
      </c>
      <c r="O458" s="42" t="e">
        <f>INDEX(Input!$D$2:$AC$500,
       MATCH(B458, Input!$J$2:$J$500, 0),
       MATCH("Disk Interface Type", Input!$D$1:$AC$1, 0))</f>
        <v>#N/A</v>
      </c>
      <c r="P458" s="42" t="str" cm="1">
        <f t="array" ref="P458">IFERROR(_xlfn.TEXTJOIN(", ", TRUE, _xlfn._xlws.FILTER(
    INDEX(Input!$D$2:$AC$500,,MATCH("Disk Capacity",Input!$D$1:$AC$1,0)),
    Input!$J$2:$J$500=B458
)), "")</f>
        <v/>
      </c>
      <c r="Q458" s="32" t="e">
        <f t="shared" si="22"/>
        <v>#N/A</v>
      </c>
      <c r="R458" s="42" t="e">
        <f>_xlfn.LET(_xlpm.Result,INDEX(Input!$D$2:$AC$500,
       MATCH(B458, Input!$J$2:$J$500, 0),
       MATCH("Capacity", Input!$D$1:$AC$1, 0)),IF(_xlpm.Result="","",_xlpm.Result))</f>
        <v>#N/A</v>
      </c>
      <c r="S458" s="42"/>
      <c r="T458" s="42"/>
      <c r="U458" s="42" t="str" cm="1">
        <f t="array" ref="U458">IFERROR(_xlfn.IFS(
S458="","",
--S458&lt;55,"Battery Defect",
--S458&lt;=69,"Battery D",
--S458&lt;=80,"Battery C",
--S458&gt;80,""
),"")</f>
        <v/>
      </c>
      <c r="V458" s="42" t="str" cm="1">
        <f t="array" ref="V458">IFERROR(_xlfn.IFS(
T458="","",
--T458&lt;55,"Battery Defect",
--T458&lt;=69,"Battery D",
--T458&lt;=80,"Battery C",
--T458&gt;80,""
),"")</f>
        <v/>
      </c>
      <c r="W458" s="42"/>
      <c r="X458" s="42"/>
      <c r="Y458" s="42"/>
      <c r="Z458" s="42"/>
      <c r="AA458" s="42"/>
      <c r="AB458" s="42"/>
      <c r="AC458" s="42"/>
      <c r="AD458" s="42"/>
      <c r="AE458" s="32" t="str">
        <f t="shared" si="21"/>
        <v/>
      </c>
      <c r="AF458" s="32"/>
      <c r="AG458" s="32"/>
      <c r="AH458" s="32"/>
      <c r="AI458" s="32"/>
      <c r="AJ458" s="32"/>
      <c r="AK458" s="32"/>
      <c r="AL458" s="32"/>
      <c r="AM458" s="32"/>
    </row>
    <row r="459" spans="1:39">
      <c r="A459" s="32" t="str">
        <f>_xlfn.XLOOKUP(B459,Input!J:J,Input!G:G)&amp;""</f>
        <v/>
      </c>
      <c r="B459" s="32"/>
      <c r="C459" s="32" t="str">
        <f>_xlfn.XLOOKUP(B459,Input!J:J,Input!H:H)&amp;""</f>
        <v/>
      </c>
      <c r="D459" s="42">
        <f>_xlfn.XLOOKUP(B459,Input!J:J,Input!F:F)</f>
        <v>0</v>
      </c>
      <c r="E459" s="32">
        <f>_xlfn.XLOOKUP(D459,Models!H:H,Models!G:G,D459)</f>
        <v>0</v>
      </c>
      <c r="F459" s="32">
        <f>_xlfn.XLOOKUP(B459,Input!J:J,Input!E:E)</f>
        <v>0</v>
      </c>
      <c r="G459" s="32">
        <f>IF(F459="LENOVO",_xlfn.XLOOKUP(B459,Input!J:J,Input!K:K),_xlfn.XLOOKUP(B459,Input!J:J,Input!L:L))</f>
        <v>0</v>
      </c>
      <c r="H459" s="32"/>
      <c r="I459" s="32"/>
      <c r="J459" s="32"/>
      <c r="K459" s="42" t="e">
        <f>INDEX(Input!$D$2:$AC$500,
       MATCH(B459, Input!$J$2:$J$500, 0),
       MATCH("Total Memory", Input!$D$1:$AC$1, 0))</f>
        <v>#N/A</v>
      </c>
      <c r="L459" s="42"/>
      <c r="M459" s="42" t="str" cm="1">
        <f t="array" ref="M459">IFERROR(_xlfn.FILTERXML("&lt;t&gt;&lt;s&gt;" &amp; SUBSTITUTE(L459," / ","&lt;/s&gt;&lt;s&gt;") &amp; "&lt;/s&gt;&lt;/t&gt;","(//s[contains(.,'DDR')])[1]"),"")</f>
        <v/>
      </c>
      <c r="N459" s="32" t="e">
        <f t="shared" si="23"/>
        <v>#N/A</v>
      </c>
      <c r="O459" s="42" t="e">
        <f>INDEX(Input!$D$2:$AC$500,
       MATCH(B459, Input!$J$2:$J$500, 0),
       MATCH("Disk Interface Type", Input!$D$1:$AC$1, 0))</f>
        <v>#N/A</v>
      </c>
      <c r="P459" s="42" t="str" cm="1">
        <f t="array" ref="P459">IFERROR(_xlfn.TEXTJOIN(", ", TRUE, _xlfn._xlws.FILTER(
    INDEX(Input!$D$2:$AC$500,,MATCH("Disk Capacity",Input!$D$1:$AC$1,0)),
    Input!$J$2:$J$500=B459
)), "")</f>
        <v/>
      </c>
      <c r="Q459" s="32" t="e">
        <f t="shared" si="22"/>
        <v>#N/A</v>
      </c>
      <c r="R459" s="42" t="e">
        <f>_xlfn.LET(_xlpm.Result,INDEX(Input!$D$2:$AC$500,
       MATCH(B459, Input!$J$2:$J$500, 0),
       MATCH("Capacity", Input!$D$1:$AC$1, 0)),IF(_xlpm.Result="","",_xlpm.Result))</f>
        <v>#N/A</v>
      </c>
      <c r="S459" s="42"/>
      <c r="T459" s="42"/>
      <c r="U459" s="42" t="str" cm="1">
        <f t="array" ref="U459">IFERROR(_xlfn.IFS(
S459="","",
--S459&lt;55,"Battery Defect",
--S459&lt;=69,"Battery D",
--S459&lt;=80,"Battery C",
--S459&gt;80,""
),"")</f>
        <v/>
      </c>
      <c r="V459" s="42" t="str" cm="1">
        <f t="array" ref="V459">IFERROR(_xlfn.IFS(
T459="","",
--T459&lt;55,"Battery Defect",
--T459&lt;=69,"Battery D",
--T459&lt;=80,"Battery C",
--T459&gt;80,""
),"")</f>
        <v/>
      </c>
      <c r="W459" s="42"/>
      <c r="X459" s="42"/>
      <c r="Y459" s="42"/>
      <c r="Z459" s="42"/>
      <c r="AA459" s="42"/>
      <c r="AB459" s="42"/>
      <c r="AC459" s="42"/>
      <c r="AD459" s="42"/>
      <c r="AE459" s="32" t="str">
        <f t="shared" si="21"/>
        <v/>
      </c>
      <c r="AF459" s="32"/>
      <c r="AG459" s="32"/>
      <c r="AH459" s="32"/>
      <c r="AI459" s="32"/>
      <c r="AJ459" s="32"/>
      <c r="AK459" s="32"/>
      <c r="AL459" s="32"/>
      <c r="AM459" s="32"/>
    </row>
    <row r="460" spans="1:39">
      <c r="A460" s="32" t="str">
        <f>_xlfn.XLOOKUP(B460,Input!J:J,Input!G:G)&amp;""</f>
        <v/>
      </c>
      <c r="B460" s="32"/>
      <c r="C460" s="32" t="str">
        <f>_xlfn.XLOOKUP(B460,Input!J:J,Input!H:H)&amp;""</f>
        <v/>
      </c>
      <c r="D460" s="42">
        <f>_xlfn.XLOOKUP(B460,Input!J:J,Input!F:F)</f>
        <v>0</v>
      </c>
      <c r="E460" s="32">
        <f>_xlfn.XLOOKUP(D460,Models!H:H,Models!G:G,D460)</f>
        <v>0</v>
      </c>
      <c r="F460" s="32">
        <f>_xlfn.XLOOKUP(B460,Input!J:J,Input!E:E)</f>
        <v>0</v>
      </c>
      <c r="G460" s="32">
        <f>IF(F460="LENOVO",_xlfn.XLOOKUP(B460,Input!J:J,Input!K:K),_xlfn.XLOOKUP(B460,Input!J:J,Input!L:L))</f>
        <v>0</v>
      </c>
      <c r="H460" s="32"/>
      <c r="I460" s="32"/>
      <c r="J460" s="32"/>
      <c r="K460" s="42" t="e">
        <f>INDEX(Input!$D$2:$AC$500,
       MATCH(B460, Input!$J$2:$J$500, 0),
       MATCH("Total Memory", Input!$D$1:$AC$1, 0))</f>
        <v>#N/A</v>
      </c>
      <c r="L460" s="42"/>
      <c r="M460" s="42" t="str" cm="1">
        <f t="array" ref="M460">IFERROR(_xlfn.FILTERXML("&lt;t&gt;&lt;s&gt;" &amp; SUBSTITUTE(L460," / ","&lt;/s&gt;&lt;s&gt;") &amp; "&lt;/s&gt;&lt;/t&gt;","(//s[contains(.,'DDR')])[1]"),"")</f>
        <v/>
      </c>
      <c r="N460" s="32" t="e">
        <f t="shared" si="23"/>
        <v>#N/A</v>
      </c>
      <c r="O460" s="42" t="e">
        <f>INDEX(Input!$D$2:$AC$500,
       MATCH(B460, Input!$J$2:$J$500, 0),
       MATCH("Disk Interface Type", Input!$D$1:$AC$1, 0))</f>
        <v>#N/A</v>
      </c>
      <c r="P460" s="42" t="str" cm="1">
        <f t="array" ref="P460">IFERROR(_xlfn.TEXTJOIN(", ", TRUE, _xlfn._xlws.FILTER(
    INDEX(Input!$D$2:$AC$500,,MATCH("Disk Capacity",Input!$D$1:$AC$1,0)),
    Input!$J$2:$J$500=B460
)), "")</f>
        <v/>
      </c>
      <c r="Q460" s="32" t="e">
        <f t="shared" si="22"/>
        <v>#N/A</v>
      </c>
      <c r="R460" s="42" t="e">
        <f>_xlfn.LET(_xlpm.Result,INDEX(Input!$D$2:$AC$500,
       MATCH(B460, Input!$J$2:$J$500, 0),
       MATCH("Capacity", Input!$D$1:$AC$1, 0)),IF(_xlpm.Result="","",_xlpm.Result))</f>
        <v>#N/A</v>
      </c>
      <c r="S460" s="42"/>
      <c r="T460" s="42"/>
      <c r="U460" s="42" t="str" cm="1">
        <f t="array" ref="U460">IFERROR(_xlfn.IFS(
S460="","",
--S460&lt;55,"Battery Defect",
--S460&lt;=69,"Battery D",
--S460&lt;=80,"Battery C",
--S460&gt;80,""
),"")</f>
        <v/>
      </c>
      <c r="V460" s="42" t="str" cm="1">
        <f t="array" ref="V460">IFERROR(_xlfn.IFS(
T460="","",
--T460&lt;55,"Battery Defect",
--T460&lt;=69,"Battery D",
--T460&lt;=80,"Battery C",
--T460&gt;80,""
),"")</f>
        <v/>
      </c>
      <c r="W460" s="42"/>
      <c r="X460" s="42"/>
      <c r="Y460" s="42"/>
      <c r="Z460" s="42"/>
      <c r="AA460" s="42"/>
      <c r="AB460" s="42"/>
      <c r="AC460" s="42"/>
      <c r="AD460" s="42"/>
      <c r="AE460" s="32" t="str">
        <f t="shared" si="21"/>
        <v/>
      </c>
      <c r="AF460" s="32"/>
      <c r="AG460" s="32"/>
      <c r="AH460" s="32"/>
      <c r="AI460" s="32"/>
      <c r="AJ460" s="32"/>
      <c r="AK460" s="32"/>
      <c r="AL460" s="32"/>
      <c r="AM460" s="32"/>
    </row>
    <row r="461" spans="1:39">
      <c r="A461" s="32" t="str">
        <f>_xlfn.XLOOKUP(B461,Input!J:J,Input!G:G)&amp;""</f>
        <v/>
      </c>
      <c r="B461" s="32"/>
      <c r="C461" s="32" t="str">
        <f>_xlfn.XLOOKUP(B461,Input!J:J,Input!H:H)&amp;""</f>
        <v/>
      </c>
      <c r="D461" s="42">
        <f>_xlfn.XLOOKUP(B461,Input!J:J,Input!F:F)</f>
        <v>0</v>
      </c>
      <c r="E461" s="32">
        <f>_xlfn.XLOOKUP(D461,Models!H:H,Models!G:G,D461)</f>
        <v>0</v>
      </c>
      <c r="F461" s="32">
        <f>_xlfn.XLOOKUP(B461,Input!J:J,Input!E:E)</f>
        <v>0</v>
      </c>
      <c r="G461" s="32">
        <f>IF(F461="LENOVO",_xlfn.XLOOKUP(B461,Input!J:J,Input!K:K),_xlfn.XLOOKUP(B461,Input!J:J,Input!L:L))</f>
        <v>0</v>
      </c>
      <c r="H461" s="32"/>
      <c r="I461" s="32"/>
      <c r="J461" s="32"/>
      <c r="K461" s="42" t="e">
        <f>INDEX(Input!$D$2:$AC$500,
       MATCH(B461, Input!$J$2:$J$500, 0),
       MATCH("Total Memory", Input!$D$1:$AC$1, 0))</f>
        <v>#N/A</v>
      </c>
      <c r="L461" s="42"/>
      <c r="M461" s="42" t="str" cm="1">
        <f t="array" ref="M461">IFERROR(_xlfn.FILTERXML("&lt;t&gt;&lt;s&gt;" &amp; SUBSTITUTE(L461," / ","&lt;/s&gt;&lt;s&gt;") &amp; "&lt;/s&gt;&lt;/t&gt;","(//s[contains(.,'DDR')])[1]"),"")</f>
        <v/>
      </c>
      <c r="N461" s="32" t="e">
        <f t="shared" si="23"/>
        <v>#N/A</v>
      </c>
      <c r="O461" s="42" t="e">
        <f>INDEX(Input!$D$2:$AC$500,
       MATCH(B461, Input!$J$2:$J$500, 0),
       MATCH("Disk Interface Type", Input!$D$1:$AC$1, 0))</f>
        <v>#N/A</v>
      </c>
      <c r="P461" s="42" t="str" cm="1">
        <f t="array" ref="P461">IFERROR(_xlfn.TEXTJOIN(", ", TRUE, _xlfn._xlws.FILTER(
    INDEX(Input!$D$2:$AC$500,,MATCH("Disk Capacity",Input!$D$1:$AC$1,0)),
    Input!$J$2:$J$500=B461
)), "")</f>
        <v/>
      </c>
      <c r="Q461" s="32" t="e">
        <f t="shared" si="22"/>
        <v>#N/A</v>
      </c>
      <c r="R461" s="42" t="e">
        <f>_xlfn.LET(_xlpm.Result,INDEX(Input!$D$2:$AC$500,
       MATCH(B461, Input!$J$2:$J$500, 0),
       MATCH("Capacity", Input!$D$1:$AC$1, 0)),IF(_xlpm.Result="","",_xlpm.Result))</f>
        <v>#N/A</v>
      </c>
      <c r="S461" s="42"/>
      <c r="T461" s="42"/>
      <c r="U461" s="42" t="str" cm="1">
        <f t="array" ref="U461">IFERROR(_xlfn.IFS(
S461="","",
--S461&lt;55,"Battery Defect",
--S461&lt;=69,"Battery D",
--S461&lt;=80,"Battery C",
--S461&gt;80,""
),"")</f>
        <v/>
      </c>
      <c r="V461" s="42" t="str" cm="1">
        <f t="array" ref="V461">IFERROR(_xlfn.IFS(
T461="","",
--T461&lt;55,"Battery Defect",
--T461&lt;=69,"Battery D",
--T461&lt;=80,"Battery C",
--T461&gt;80,""
),"")</f>
        <v/>
      </c>
      <c r="W461" s="42"/>
      <c r="X461" s="42"/>
      <c r="Y461" s="42"/>
      <c r="Z461" s="42"/>
      <c r="AA461" s="42"/>
      <c r="AB461" s="42"/>
      <c r="AC461" s="42"/>
      <c r="AD461" s="42"/>
      <c r="AE461" s="32" t="str">
        <f t="shared" si="21"/>
        <v/>
      </c>
      <c r="AF461" s="32"/>
      <c r="AG461" s="32"/>
      <c r="AH461" s="32"/>
      <c r="AI461" s="32"/>
      <c r="AJ461" s="32"/>
      <c r="AK461" s="32"/>
      <c r="AL461" s="32"/>
      <c r="AM461" s="32"/>
    </row>
    <row r="462" spans="1:39">
      <c r="A462" s="32" t="str">
        <f>_xlfn.XLOOKUP(B462,Input!J:J,Input!G:G)&amp;""</f>
        <v/>
      </c>
      <c r="B462" s="32"/>
      <c r="C462" s="32" t="str">
        <f>_xlfn.XLOOKUP(B462,Input!J:J,Input!H:H)&amp;""</f>
        <v/>
      </c>
      <c r="D462" s="42">
        <f>_xlfn.XLOOKUP(B462,Input!J:J,Input!F:F)</f>
        <v>0</v>
      </c>
      <c r="E462" s="32">
        <f>_xlfn.XLOOKUP(D462,Models!H:H,Models!G:G,D462)</f>
        <v>0</v>
      </c>
      <c r="F462" s="32">
        <f>_xlfn.XLOOKUP(B462,Input!J:J,Input!E:E)</f>
        <v>0</v>
      </c>
      <c r="G462" s="32">
        <f>IF(F462="LENOVO",_xlfn.XLOOKUP(B462,Input!J:J,Input!K:K),_xlfn.XLOOKUP(B462,Input!J:J,Input!L:L))</f>
        <v>0</v>
      </c>
      <c r="H462" s="32"/>
      <c r="I462" s="32"/>
      <c r="J462" s="32"/>
      <c r="K462" s="42" t="e">
        <f>INDEX(Input!$D$2:$AC$500,
       MATCH(B462, Input!$J$2:$J$500, 0),
       MATCH("Total Memory", Input!$D$1:$AC$1, 0))</f>
        <v>#N/A</v>
      </c>
      <c r="L462" s="42"/>
      <c r="M462" s="42" t="str" cm="1">
        <f t="array" ref="M462">IFERROR(_xlfn.FILTERXML("&lt;t&gt;&lt;s&gt;" &amp; SUBSTITUTE(L462," / ","&lt;/s&gt;&lt;s&gt;") &amp; "&lt;/s&gt;&lt;/t&gt;","(//s[contains(.,'DDR')])[1]"),"")</f>
        <v/>
      </c>
      <c r="N462" s="32" t="e">
        <f t="shared" si="23"/>
        <v>#N/A</v>
      </c>
      <c r="O462" s="42" t="e">
        <f>INDEX(Input!$D$2:$AC$500,
       MATCH(B462, Input!$J$2:$J$500, 0),
       MATCH("Disk Interface Type", Input!$D$1:$AC$1, 0))</f>
        <v>#N/A</v>
      </c>
      <c r="P462" s="42" t="str" cm="1">
        <f t="array" ref="P462">IFERROR(_xlfn.TEXTJOIN(", ", TRUE, _xlfn._xlws.FILTER(
    INDEX(Input!$D$2:$AC$500,,MATCH("Disk Capacity",Input!$D$1:$AC$1,0)),
    Input!$J$2:$J$500=B462
)), "")</f>
        <v/>
      </c>
      <c r="Q462" s="32" t="e">
        <f t="shared" si="22"/>
        <v>#N/A</v>
      </c>
      <c r="R462" s="42" t="e">
        <f>_xlfn.LET(_xlpm.Result,INDEX(Input!$D$2:$AC$500,
       MATCH(B462, Input!$J$2:$J$500, 0),
       MATCH("Capacity", Input!$D$1:$AC$1, 0)),IF(_xlpm.Result="","",_xlpm.Result))</f>
        <v>#N/A</v>
      </c>
      <c r="S462" s="42"/>
      <c r="T462" s="42"/>
      <c r="U462" s="42" t="str" cm="1">
        <f t="array" ref="U462">IFERROR(_xlfn.IFS(
S462="","",
--S462&lt;55,"Battery Defect",
--S462&lt;=69,"Battery D",
--S462&lt;=80,"Battery C",
--S462&gt;80,""
),"")</f>
        <v/>
      </c>
      <c r="V462" s="42" t="str" cm="1">
        <f t="array" ref="V462">IFERROR(_xlfn.IFS(
T462="","",
--T462&lt;55,"Battery Defect",
--T462&lt;=69,"Battery D",
--T462&lt;=80,"Battery C",
--T462&gt;80,""
),"")</f>
        <v/>
      </c>
      <c r="W462" s="42"/>
      <c r="X462" s="42"/>
      <c r="Y462" s="42"/>
      <c r="Z462" s="42"/>
      <c r="AA462" s="42"/>
      <c r="AB462" s="42"/>
      <c r="AC462" s="42"/>
      <c r="AD462" s="42"/>
      <c r="AE462" s="32" t="str">
        <f t="shared" si="21"/>
        <v/>
      </c>
      <c r="AF462" s="32"/>
      <c r="AG462" s="32"/>
      <c r="AH462" s="32"/>
      <c r="AI462" s="32"/>
      <c r="AJ462" s="32"/>
      <c r="AK462" s="32"/>
      <c r="AL462" s="32"/>
      <c r="AM462" s="32"/>
    </row>
    <row r="463" spans="1:39">
      <c r="A463" s="32" t="str">
        <f>_xlfn.XLOOKUP(B463,Input!J:J,Input!G:G)&amp;""</f>
        <v/>
      </c>
      <c r="B463" s="32"/>
      <c r="C463" s="32" t="str">
        <f>_xlfn.XLOOKUP(B463,Input!J:J,Input!H:H)&amp;""</f>
        <v/>
      </c>
      <c r="D463" s="42">
        <f>_xlfn.XLOOKUP(B463,Input!J:J,Input!F:F)</f>
        <v>0</v>
      </c>
      <c r="E463" s="32">
        <f>_xlfn.XLOOKUP(D463,Models!H:H,Models!G:G,D463)</f>
        <v>0</v>
      </c>
      <c r="F463" s="32">
        <f>_xlfn.XLOOKUP(B463,Input!J:J,Input!E:E)</f>
        <v>0</v>
      </c>
      <c r="G463" s="32">
        <f>IF(F463="LENOVO",_xlfn.XLOOKUP(B463,Input!J:J,Input!K:K),_xlfn.XLOOKUP(B463,Input!J:J,Input!L:L))</f>
        <v>0</v>
      </c>
      <c r="H463" s="32"/>
      <c r="I463" s="32"/>
      <c r="J463" s="32"/>
      <c r="K463" s="42" t="e">
        <f>INDEX(Input!$D$2:$AC$500,
       MATCH(B463, Input!$J$2:$J$500, 0),
       MATCH("Total Memory", Input!$D$1:$AC$1, 0))</f>
        <v>#N/A</v>
      </c>
      <c r="L463" s="42"/>
      <c r="M463" s="42" t="str" cm="1">
        <f t="array" ref="M463">IFERROR(_xlfn.FILTERXML("&lt;t&gt;&lt;s&gt;" &amp; SUBSTITUTE(L463," / ","&lt;/s&gt;&lt;s&gt;") &amp; "&lt;/s&gt;&lt;/t&gt;","(//s[contains(.,'DDR')])[1]"),"")</f>
        <v/>
      </c>
      <c r="N463" s="32" t="e">
        <f t="shared" si="23"/>
        <v>#N/A</v>
      </c>
      <c r="O463" s="42" t="e">
        <f>INDEX(Input!$D$2:$AC$500,
       MATCH(B463, Input!$J$2:$J$500, 0),
       MATCH("Disk Interface Type", Input!$D$1:$AC$1, 0))</f>
        <v>#N/A</v>
      </c>
      <c r="P463" s="42" t="str" cm="1">
        <f t="array" ref="P463">IFERROR(_xlfn.TEXTJOIN(", ", TRUE, _xlfn._xlws.FILTER(
    INDEX(Input!$D$2:$AC$500,,MATCH("Disk Capacity",Input!$D$1:$AC$1,0)),
    Input!$J$2:$J$500=B463
)), "")</f>
        <v/>
      </c>
      <c r="Q463" s="32" t="e">
        <f t="shared" si="22"/>
        <v>#N/A</v>
      </c>
      <c r="R463" s="42" t="e">
        <f>_xlfn.LET(_xlpm.Result,INDEX(Input!$D$2:$AC$500,
       MATCH(B463, Input!$J$2:$J$500, 0),
       MATCH("Capacity", Input!$D$1:$AC$1, 0)),IF(_xlpm.Result="","",_xlpm.Result))</f>
        <v>#N/A</v>
      </c>
      <c r="S463" s="42"/>
      <c r="T463" s="42"/>
      <c r="U463" s="42" t="str" cm="1">
        <f t="array" ref="U463">IFERROR(_xlfn.IFS(
S463="","",
--S463&lt;55,"Battery Defect",
--S463&lt;=69,"Battery D",
--S463&lt;=80,"Battery C",
--S463&gt;80,""
),"")</f>
        <v/>
      </c>
      <c r="V463" s="42" t="str" cm="1">
        <f t="array" ref="V463">IFERROR(_xlfn.IFS(
T463="","",
--T463&lt;55,"Battery Defect",
--T463&lt;=69,"Battery D",
--T463&lt;=80,"Battery C",
--T463&gt;80,""
),"")</f>
        <v/>
      </c>
      <c r="W463" s="42"/>
      <c r="X463" s="42"/>
      <c r="Y463" s="42"/>
      <c r="Z463" s="42"/>
      <c r="AA463" s="42"/>
      <c r="AB463" s="42"/>
      <c r="AC463" s="42"/>
      <c r="AD463" s="42"/>
      <c r="AE463" s="32" t="str">
        <f t="shared" si="21"/>
        <v/>
      </c>
      <c r="AF463" s="32"/>
      <c r="AG463" s="32"/>
      <c r="AH463" s="32"/>
      <c r="AI463" s="32"/>
      <c r="AJ463" s="32"/>
      <c r="AK463" s="32"/>
      <c r="AL463" s="32"/>
      <c r="AM463" s="32"/>
    </row>
    <row r="464" spans="1:39">
      <c r="A464" s="32" t="str">
        <f>_xlfn.XLOOKUP(B464,Input!J:J,Input!G:G)&amp;""</f>
        <v/>
      </c>
      <c r="B464" s="32"/>
      <c r="C464" s="32" t="str">
        <f>_xlfn.XLOOKUP(B464,Input!J:J,Input!H:H)&amp;""</f>
        <v/>
      </c>
      <c r="D464" s="42">
        <f>_xlfn.XLOOKUP(B464,Input!J:J,Input!F:F)</f>
        <v>0</v>
      </c>
      <c r="E464" s="32">
        <f>_xlfn.XLOOKUP(D464,Models!H:H,Models!G:G,D464)</f>
        <v>0</v>
      </c>
      <c r="F464" s="32">
        <f>_xlfn.XLOOKUP(B464,Input!J:J,Input!E:E)</f>
        <v>0</v>
      </c>
      <c r="G464" s="32">
        <f>IF(F464="LENOVO",_xlfn.XLOOKUP(B464,Input!J:J,Input!K:K),_xlfn.XLOOKUP(B464,Input!J:J,Input!L:L))</f>
        <v>0</v>
      </c>
      <c r="H464" s="32"/>
      <c r="I464" s="32"/>
      <c r="J464" s="32"/>
      <c r="K464" s="42" t="e">
        <f>INDEX(Input!$D$2:$AC$500,
       MATCH(B464, Input!$J$2:$J$500, 0),
       MATCH("Total Memory", Input!$D$1:$AC$1, 0))</f>
        <v>#N/A</v>
      </c>
      <c r="L464" s="42"/>
      <c r="M464" s="42" t="str" cm="1">
        <f t="array" ref="M464">IFERROR(_xlfn.FILTERXML("&lt;t&gt;&lt;s&gt;" &amp; SUBSTITUTE(L464," / ","&lt;/s&gt;&lt;s&gt;") &amp; "&lt;/s&gt;&lt;/t&gt;","(//s[contains(.,'DDR')])[1]"),"")</f>
        <v/>
      </c>
      <c r="N464" s="32" t="e">
        <f t="shared" si="23"/>
        <v>#N/A</v>
      </c>
      <c r="O464" s="42" t="e">
        <f>INDEX(Input!$D$2:$AC$500,
       MATCH(B464, Input!$J$2:$J$500, 0),
       MATCH("Disk Interface Type", Input!$D$1:$AC$1, 0))</f>
        <v>#N/A</v>
      </c>
      <c r="P464" s="42" t="str" cm="1">
        <f t="array" ref="P464">IFERROR(_xlfn.TEXTJOIN(", ", TRUE, _xlfn._xlws.FILTER(
    INDEX(Input!$D$2:$AC$500,,MATCH("Disk Capacity",Input!$D$1:$AC$1,0)),
    Input!$J$2:$J$500=B464
)), "")</f>
        <v/>
      </c>
      <c r="Q464" s="32" t="e">
        <f t="shared" si="22"/>
        <v>#N/A</v>
      </c>
      <c r="R464" s="42" t="e">
        <f>_xlfn.LET(_xlpm.Result,INDEX(Input!$D$2:$AC$500,
       MATCH(B464, Input!$J$2:$J$500, 0),
       MATCH("Capacity", Input!$D$1:$AC$1, 0)),IF(_xlpm.Result="","",_xlpm.Result))</f>
        <v>#N/A</v>
      </c>
      <c r="S464" s="42"/>
      <c r="T464" s="42"/>
      <c r="U464" s="42" t="str" cm="1">
        <f t="array" ref="U464">IFERROR(_xlfn.IFS(
S464="","",
--S464&lt;55,"Battery Defect",
--S464&lt;=69,"Battery D",
--S464&lt;=80,"Battery C",
--S464&gt;80,""
),"")</f>
        <v/>
      </c>
      <c r="V464" s="42" t="str" cm="1">
        <f t="array" ref="V464">IFERROR(_xlfn.IFS(
T464="","",
--T464&lt;55,"Battery Defect",
--T464&lt;=69,"Battery D",
--T464&lt;=80,"Battery C",
--T464&gt;80,""
),"")</f>
        <v/>
      </c>
      <c r="W464" s="42"/>
      <c r="X464" s="42"/>
      <c r="Y464" s="42"/>
      <c r="Z464" s="42"/>
      <c r="AA464" s="42"/>
      <c r="AB464" s="42"/>
      <c r="AC464" s="42"/>
      <c r="AD464" s="42"/>
      <c r="AE464" s="32" t="str">
        <f t="shared" si="21"/>
        <v/>
      </c>
      <c r="AF464" s="32"/>
      <c r="AG464" s="32"/>
      <c r="AH464" s="32"/>
      <c r="AI464" s="32"/>
      <c r="AJ464" s="32"/>
      <c r="AK464" s="32"/>
      <c r="AL464" s="32"/>
      <c r="AM464" s="32"/>
    </row>
    <row r="465" spans="1:39">
      <c r="A465" s="32" t="str">
        <f>_xlfn.XLOOKUP(B465,Input!J:J,Input!G:G)&amp;""</f>
        <v/>
      </c>
      <c r="B465" s="32"/>
      <c r="C465" s="32" t="str">
        <f>_xlfn.XLOOKUP(B465,Input!J:J,Input!H:H)&amp;""</f>
        <v/>
      </c>
      <c r="D465" s="42">
        <f>_xlfn.XLOOKUP(B465,Input!J:J,Input!F:F)</f>
        <v>0</v>
      </c>
      <c r="E465" s="32">
        <f>_xlfn.XLOOKUP(D465,Models!H:H,Models!G:G,D465)</f>
        <v>0</v>
      </c>
      <c r="F465" s="32">
        <f>_xlfn.XLOOKUP(B465,Input!J:J,Input!E:E)</f>
        <v>0</v>
      </c>
      <c r="G465" s="32">
        <f>IF(F465="LENOVO",_xlfn.XLOOKUP(B465,Input!J:J,Input!K:K),_xlfn.XLOOKUP(B465,Input!J:J,Input!L:L))</f>
        <v>0</v>
      </c>
      <c r="H465" s="32"/>
      <c r="I465" s="32"/>
      <c r="J465" s="32"/>
      <c r="K465" s="42" t="e">
        <f>INDEX(Input!$D$2:$AC$500,
       MATCH(B465, Input!$J$2:$J$500, 0),
       MATCH("Total Memory", Input!$D$1:$AC$1, 0))</f>
        <v>#N/A</v>
      </c>
      <c r="L465" s="42"/>
      <c r="M465" s="42" t="str" cm="1">
        <f t="array" ref="M465">IFERROR(_xlfn.FILTERXML("&lt;t&gt;&lt;s&gt;" &amp; SUBSTITUTE(L465," / ","&lt;/s&gt;&lt;s&gt;") &amp; "&lt;/s&gt;&lt;/t&gt;","(//s[contains(.,'DDR')])[1]"),"")</f>
        <v/>
      </c>
      <c r="N465" s="32" t="e">
        <f t="shared" si="23"/>
        <v>#N/A</v>
      </c>
      <c r="O465" s="42" t="e">
        <f>INDEX(Input!$D$2:$AC$500,
       MATCH(B465, Input!$J$2:$J$500, 0),
       MATCH("Disk Interface Type", Input!$D$1:$AC$1, 0))</f>
        <v>#N/A</v>
      </c>
      <c r="P465" s="42" t="str" cm="1">
        <f t="array" ref="P465">IFERROR(_xlfn.TEXTJOIN(", ", TRUE, _xlfn._xlws.FILTER(
    INDEX(Input!$D$2:$AC$500,,MATCH("Disk Capacity",Input!$D$1:$AC$1,0)),
    Input!$J$2:$J$500=B465
)), "")</f>
        <v/>
      </c>
      <c r="Q465" s="32" t="e">
        <f t="shared" si="22"/>
        <v>#N/A</v>
      </c>
      <c r="R465" s="42" t="e">
        <f>_xlfn.LET(_xlpm.Result,INDEX(Input!$D$2:$AC$500,
       MATCH(B465, Input!$J$2:$J$500, 0),
       MATCH("Capacity", Input!$D$1:$AC$1, 0)),IF(_xlpm.Result="","",_xlpm.Result))</f>
        <v>#N/A</v>
      </c>
      <c r="S465" s="42"/>
      <c r="T465" s="42"/>
      <c r="U465" s="42" t="str" cm="1">
        <f t="array" ref="U465">IFERROR(_xlfn.IFS(
S465="","",
--S465&lt;55,"Battery Defect",
--S465&lt;=69,"Battery D",
--S465&lt;=80,"Battery C",
--S465&gt;80,""
),"")</f>
        <v/>
      </c>
      <c r="V465" s="42" t="str" cm="1">
        <f t="array" ref="V465">IFERROR(_xlfn.IFS(
T465="","",
--T465&lt;55,"Battery Defect",
--T465&lt;=69,"Battery D",
--T465&lt;=80,"Battery C",
--T465&gt;80,""
),"")</f>
        <v/>
      </c>
      <c r="W465" s="42"/>
      <c r="X465" s="42"/>
      <c r="Y465" s="42"/>
      <c r="Z465" s="42"/>
      <c r="AA465" s="42"/>
      <c r="AB465" s="42"/>
      <c r="AC465" s="42"/>
      <c r="AD465" s="42"/>
      <c r="AE465" s="32" t="str">
        <f t="shared" si="21"/>
        <v/>
      </c>
      <c r="AF465" s="32"/>
      <c r="AG465" s="32"/>
      <c r="AH465" s="32"/>
      <c r="AI465" s="32"/>
      <c r="AJ465" s="32"/>
      <c r="AK465" s="32"/>
      <c r="AL465" s="32"/>
      <c r="AM465" s="32"/>
    </row>
    <row r="466" spans="1:39">
      <c r="A466" s="32" t="str">
        <f>_xlfn.XLOOKUP(B466,Input!J:J,Input!G:G)&amp;""</f>
        <v/>
      </c>
      <c r="B466" s="32"/>
      <c r="C466" s="32" t="str">
        <f>_xlfn.XLOOKUP(B466,Input!J:J,Input!H:H)&amp;""</f>
        <v/>
      </c>
      <c r="D466" s="42">
        <f>_xlfn.XLOOKUP(B466,Input!J:J,Input!F:F)</f>
        <v>0</v>
      </c>
      <c r="E466" s="32">
        <f>_xlfn.XLOOKUP(D466,Models!H:H,Models!G:G,D466)</f>
        <v>0</v>
      </c>
      <c r="F466" s="32">
        <f>_xlfn.XLOOKUP(B466,Input!J:J,Input!E:E)</f>
        <v>0</v>
      </c>
      <c r="G466" s="32">
        <f>IF(F466="LENOVO",_xlfn.XLOOKUP(B466,Input!J:J,Input!K:K),_xlfn.XLOOKUP(B466,Input!J:J,Input!L:L))</f>
        <v>0</v>
      </c>
      <c r="H466" s="32"/>
      <c r="I466" s="32"/>
      <c r="J466" s="32"/>
      <c r="K466" s="42" t="e">
        <f>INDEX(Input!$D$2:$AC$500,
       MATCH(B466, Input!$J$2:$J$500, 0),
       MATCH("Total Memory", Input!$D$1:$AC$1, 0))</f>
        <v>#N/A</v>
      </c>
      <c r="L466" s="42"/>
      <c r="M466" s="42" t="str" cm="1">
        <f t="array" ref="M466">IFERROR(_xlfn.FILTERXML("&lt;t&gt;&lt;s&gt;" &amp; SUBSTITUTE(L466," / ","&lt;/s&gt;&lt;s&gt;") &amp; "&lt;/s&gt;&lt;/t&gt;","(//s[contains(.,'DDR')])[1]"),"")</f>
        <v/>
      </c>
      <c r="N466" s="32" t="e">
        <f t="shared" si="23"/>
        <v>#N/A</v>
      </c>
      <c r="O466" s="42" t="e">
        <f>INDEX(Input!$D$2:$AC$500,
       MATCH(B466, Input!$J$2:$J$500, 0),
       MATCH("Disk Interface Type", Input!$D$1:$AC$1, 0))</f>
        <v>#N/A</v>
      </c>
      <c r="P466" s="42" t="str" cm="1">
        <f t="array" ref="P466">IFERROR(_xlfn.TEXTJOIN(", ", TRUE, _xlfn._xlws.FILTER(
    INDEX(Input!$D$2:$AC$500,,MATCH("Disk Capacity",Input!$D$1:$AC$1,0)),
    Input!$J$2:$J$500=B466
)), "")</f>
        <v/>
      </c>
      <c r="Q466" s="32" t="e">
        <f t="shared" si="22"/>
        <v>#N/A</v>
      </c>
      <c r="R466" s="42" t="e">
        <f>_xlfn.LET(_xlpm.Result,INDEX(Input!$D$2:$AC$500,
       MATCH(B466, Input!$J$2:$J$500, 0),
       MATCH("Capacity", Input!$D$1:$AC$1, 0)),IF(_xlpm.Result="","",_xlpm.Result))</f>
        <v>#N/A</v>
      </c>
      <c r="S466" s="42"/>
      <c r="T466" s="42"/>
      <c r="U466" s="42" t="str" cm="1">
        <f t="array" ref="U466">IFERROR(_xlfn.IFS(
S466="","",
--S466&lt;55,"Battery Defect",
--S466&lt;=69,"Battery D",
--S466&lt;=80,"Battery C",
--S466&gt;80,""
),"")</f>
        <v/>
      </c>
      <c r="V466" s="42" t="str" cm="1">
        <f t="array" ref="V466">IFERROR(_xlfn.IFS(
T466="","",
--T466&lt;55,"Battery Defect",
--T466&lt;=69,"Battery D",
--T466&lt;=80,"Battery C",
--T466&gt;80,""
),"")</f>
        <v/>
      </c>
      <c r="W466" s="42"/>
      <c r="X466" s="42"/>
      <c r="Y466" s="42"/>
      <c r="Z466" s="42"/>
      <c r="AA466" s="42"/>
      <c r="AB466" s="42"/>
      <c r="AC466" s="42"/>
      <c r="AD466" s="42"/>
      <c r="AE466" s="32" t="str">
        <f t="shared" si="21"/>
        <v/>
      </c>
      <c r="AF466" s="32"/>
      <c r="AG466" s="32"/>
      <c r="AH466" s="32"/>
      <c r="AI466" s="32"/>
      <c r="AJ466" s="32"/>
      <c r="AK466" s="32"/>
      <c r="AL466" s="32"/>
      <c r="AM466" s="32"/>
    </row>
    <row r="467" spans="1:39">
      <c r="A467" s="32" t="str">
        <f>_xlfn.XLOOKUP(B467,Input!J:J,Input!G:G)&amp;""</f>
        <v/>
      </c>
      <c r="B467" s="32"/>
      <c r="C467" s="32" t="str">
        <f>_xlfn.XLOOKUP(B467,Input!J:J,Input!H:H)&amp;""</f>
        <v/>
      </c>
      <c r="D467" s="42">
        <f>_xlfn.XLOOKUP(B467,Input!J:J,Input!F:F)</f>
        <v>0</v>
      </c>
      <c r="E467" s="32">
        <f>_xlfn.XLOOKUP(D467,Models!H:H,Models!G:G,D467)</f>
        <v>0</v>
      </c>
      <c r="F467" s="32">
        <f>_xlfn.XLOOKUP(B467,Input!J:J,Input!E:E)</f>
        <v>0</v>
      </c>
      <c r="G467" s="32">
        <f>IF(F467="LENOVO",_xlfn.XLOOKUP(B467,Input!J:J,Input!K:K),_xlfn.XLOOKUP(B467,Input!J:J,Input!L:L))</f>
        <v>0</v>
      </c>
      <c r="H467" s="32"/>
      <c r="I467" s="32"/>
      <c r="J467" s="32"/>
      <c r="K467" s="42" t="e">
        <f>INDEX(Input!$D$2:$AC$500,
       MATCH(B467, Input!$J$2:$J$500, 0),
       MATCH("Total Memory", Input!$D$1:$AC$1, 0))</f>
        <v>#N/A</v>
      </c>
      <c r="L467" s="42"/>
      <c r="M467" s="42" t="str" cm="1">
        <f t="array" ref="M467">IFERROR(_xlfn.FILTERXML("&lt;t&gt;&lt;s&gt;" &amp; SUBSTITUTE(L467," / ","&lt;/s&gt;&lt;s&gt;") &amp; "&lt;/s&gt;&lt;/t&gt;","(//s[contains(.,'DDR')])[1]"),"")</f>
        <v/>
      </c>
      <c r="N467" s="32" t="e">
        <f t="shared" si="23"/>
        <v>#N/A</v>
      </c>
      <c r="O467" s="42" t="e">
        <f>INDEX(Input!$D$2:$AC$500,
       MATCH(B467, Input!$J$2:$J$500, 0),
       MATCH("Disk Interface Type", Input!$D$1:$AC$1, 0))</f>
        <v>#N/A</v>
      </c>
      <c r="P467" s="42" t="str" cm="1">
        <f t="array" ref="P467">IFERROR(_xlfn.TEXTJOIN(", ", TRUE, _xlfn._xlws.FILTER(
    INDEX(Input!$D$2:$AC$500,,MATCH("Disk Capacity",Input!$D$1:$AC$1,0)),
    Input!$J$2:$J$500=B467
)), "")</f>
        <v/>
      </c>
      <c r="Q467" s="32" t="e">
        <f t="shared" si="22"/>
        <v>#N/A</v>
      </c>
      <c r="R467" s="42" t="e">
        <f>_xlfn.LET(_xlpm.Result,INDEX(Input!$D$2:$AC$500,
       MATCH(B467, Input!$J$2:$J$500, 0),
       MATCH("Capacity", Input!$D$1:$AC$1, 0)),IF(_xlpm.Result="","",_xlpm.Result))</f>
        <v>#N/A</v>
      </c>
      <c r="S467" s="42"/>
      <c r="T467" s="42"/>
      <c r="U467" s="42" t="str" cm="1">
        <f t="array" ref="U467">IFERROR(_xlfn.IFS(
S467="","",
--S467&lt;55,"Battery Defect",
--S467&lt;=69,"Battery D",
--S467&lt;=80,"Battery C",
--S467&gt;80,""
),"")</f>
        <v/>
      </c>
      <c r="V467" s="42" t="str" cm="1">
        <f t="array" ref="V467">IFERROR(_xlfn.IFS(
T467="","",
--T467&lt;55,"Battery Defect",
--T467&lt;=69,"Battery D",
--T467&lt;=80,"Battery C",
--T467&gt;80,""
),"")</f>
        <v/>
      </c>
      <c r="W467" s="42"/>
      <c r="X467" s="42"/>
      <c r="Y467" s="42"/>
      <c r="Z467" s="42"/>
      <c r="AA467" s="42"/>
      <c r="AB467" s="42"/>
      <c r="AC467" s="42"/>
      <c r="AD467" s="42"/>
      <c r="AE467" s="32" t="str">
        <f t="shared" si="21"/>
        <v/>
      </c>
      <c r="AF467" s="32"/>
      <c r="AG467" s="32"/>
      <c r="AH467" s="32"/>
      <c r="AI467" s="32"/>
      <c r="AJ467" s="32"/>
      <c r="AK467" s="32"/>
      <c r="AL467" s="32"/>
      <c r="AM467" s="32"/>
    </row>
    <row r="468" spans="1:39">
      <c r="A468" s="32" t="str">
        <f>_xlfn.XLOOKUP(B468,Input!J:J,Input!G:G)&amp;""</f>
        <v/>
      </c>
      <c r="B468" s="32"/>
      <c r="C468" s="32" t="str">
        <f>_xlfn.XLOOKUP(B468,Input!J:J,Input!H:H)&amp;""</f>
        <v/>
      </c>
      <c r="D468" s="42">
        <f>_xlfn.XLOOKUP(B468,Input!J:J,Input!F:F)</f>
        <v>0</v>
      </c>
      <c r="E468" s="32">
        <f>_xlfn.XLOOKUP(D468,Models!H:H,Models!G:G,D468)</f>
        <v>0</v>
      </c>
      <c r="F468" s="32">
        <f>_xlfn.XLOOKUP(B468,Input!J:J,Input!E:E)</f>
        <v>0</v>
      </c>
      <c r="G468" s="32">
        <f>IF(F468="LENOVO",_xlfn.XLOOKUP(B468,Input!J:J,Input!K:K),_xlfn.XLOOKUP(B468,Input!J:J,Input!L:L))</f>
        <v>0</v>
      </c>
      <c r="H468" s="32"/>
      <c r="I468" s="32"/>
      <c r="J468" s="32"/>
      <c r="K468" s="42" t="e">
        <f>INDEX(Input!$D$2:$AC$500,
       MATCH(B468, Input!$J$2:$J$500, 0),
       MATCH("Total Memory", Input!$D$1:$AC$1, 0))</f>
        <v>#N/A</v>
      </c>
      <c r="L468" s="42"/>
      <c r="M468" s="42" t="str" cm="1">
        <f t="array" ref="M468">IFERROR(_xlfn.FILTERXML("&lt;t&gt;&lt;s&gt;" &amp; SUBSTITUTE(L468," / ","&lt;/s&gt;&lt;s&gt;") &amp; "&lt;/s&gt;&lt;/t&gt;","(//s[contains(.,'DDR')])[1]"),"")</f>
        <v/>
      </c>
      <c r="N468" s="32" t="e">
        <f t="shared" si="23"/>
        <v>#N/A</v>
      </c>
      <c r="O468" s="42" t="e">
        <f>INDEX(Input!$D$2:$AC$500,
       MATCH(B468, Input!$J$2:$J$500, 0),
       MATCH("Disk Interface Type", Input!$D$1:$AC$1, 0))</f>
        <v>#N/A</v>
      </c>
      <c r="P468" s="42" t="str" cm="1">
        <f t="array" ref="P468">IFERROR(_xlfn.TEXTJOIN(", ", TRUE, _xlfn._xlws.FILTER(
    INDEX(Input!$D$2:$AC$500,,MATCH("Disk Capacity",Input!$D$1:$AC$1,0)),
    Input!$J$2:$J$500=B468
)), "")</f>
        <v/>
      </c>
      <c r="Q468" s="32" t="e">
        <f t="shared" si="22"/>
        <v>#N/A</v>
      </c>
      <c r="R468" s="42" t="e">
        <f>_xlfn.LET(_xlpm.Result,INDEX(Input!$D$2:$AC$500,
       MATCH(B468, Input!$J$2:$J$500, 0),
       MATCH("Capacity", Input!$D$1:$AC$1, 0)),IF(_xlpm.Result="","",_xlpm.Result))</f>
        <v>#N/A</v>
      </c>
      <c r="S468" s="42"/>
      <c r="T468" s="42"/>
      <c r="U468" s="42" t="str" cm="1">
        <f t="array" ref="U468">IFERROR(_xlfn.IFS(
S468="","",
--S468&lt;55,"Battery Defect",
--S468&lt;=69,"Battery D",
--S468&lt;=80,"Battery C",
--S468&gt;80,""
),"")</f>
        <v/>
      </c>
      <c r="V468" s="42" t="str" cm="1">
        <f t="array" ref="V468">IFERROR(_xlfn.IFS(
T468="","",
--T468&lt;55,"Battery Defect",
--T468&lt;=69,"Battery D",
--T468&lt;=80,"Battery C",
--T468&gt;80,""
),"")</f>
        <v/>
      </c>
      <c r="W468" s="42"/>
      <c r="X468" s="42"/>
      <c r="Y468" s="42"/>
      <c r="Z468" s="42"/>
      <c r="AA468" s="42"/>
      <c r="AB468" s="42"/>
      <c r="AC468" s="42"/>
      <c r="AD468" s="42"/>
      <c r="AE468" s="32" t="str">
        <f t="shared" si="21"/>
        <v/>
      </c>
      <c r="AF468" s="32"/>
      <c r="AG468" s="32"/>
      <c r="AH468" s="32"/>
      <c r="AI468" s="32"/>
      <c r="AJ468" s="32"/>
      <c r="AK468" s="32"/>
      <c r="AL468" s="32"/>
      <c r="AM468" s="32"/>
    </row>
    <row r="469" spans="1:39">
      <c r="A469" s="32" t="str">
        <f>_xlfn.XLOOKUP(B469,Input!J:J,Input!G:G)&amp;""</f>
        <v/>
      </c>
      <c r="B469" s="32"/>
      <c r="C469" s="32" t="str">
        <f>_xlfn.XLOOKUP(B469,Input!J:J,Input!H:H)&amp;""</f>
        <v/>
      </c>
      <c r="D469" s="42">
        <f>_xlfn.XLOOKUP(B469,Input!J:J,Input!F:F)</f>
        <v>0</v>
      </c>
      <c r="E469" s="32">
        <f>_xlfn.XLOOKUP(D469,Models!H:H,Models!G:G,D469)</f>
        <v>0</v>
      </c>
      <c r="F469" s="32">
        <f>_xlfn.XLOOKUP(B469,Input!J:J,Input!E:E)</f>
        <v>0</v>
      </c>
      <c r="G469" s="32">
        <f>IF(F469="LENOVO",_xlfn.XLOOKUP(B469,Input!J:J,Input!K:K),_xlfn.XLOOKUP(B469,Input!J:J,Input!L:L))</f>
        <v>0</v>
      </c>
      <c r="H469" s="32"/>
      <c r="I469" s="32"/>
      <c r="J469" s="32"/>
      <c r="K469" s="42" t="e">
        <f>INDEX(Input!$D$2:$AC$500,
       MATCH(B469, Input!$J$2:$J$500, 0),
       MATCH("Total Memory", Input!$D$1:$AC$1, 0))</f>
        <v>#N/A</v>
      </c>
      <c r="L469" s="42"/>
      <c r="M469" s="42" t="str" cm="1">
        <f t="array" ref="M469">IFERROR(_xlfn.FILTERXML("&lt;t&gt;&lt;s&gt;" &amp; SUBSTITUTE(L469," / ","&lt;/s&gt;&lt;s&gt;") &amp; "&lt;/s&gt;&lt;/t&gt;","(//s[contains(.,'DDR')])[1]"),"")</f>
        <v/>
      </c>
      <c r="N469" s="32" t="e">
        <f t="shared" si="23"/>
        <v>#N/A</v>
      </c>
      <c r="O469" s="42" t="e">
        <f>INDEX(Input!$D$2:$AC$500,
       MATCH(B469, Input!$J$2:$J$500, 0),
       MATCH("Disk Interface Type", Input!$D$1:$AC$1, 0))</f>
        <v>#N/A</v>
      </c>
      <c r="P469" s="42" t="str" cm="1">
        <f t="array" ref="P469">IFERROR(_xlfn.TEXTJOIN(", ", TRUE, _xlfn._xlws.FILTER(
    INDEX(Input!$D$2:$AC$500,,MATCH("Disk Capacity",Input!$D$1:$AC$1,0)),
    Input!$J$2:$J$500=B469
)), "")</f>
        <v/>
      </c>
      <c r="Q469" s="32" t="e">
        <f t="shared" si="22"/>
        <v>#N/A</v>
      </c>
      <c r="R469" s="42" t="e">
        <f>_xlfn.LET(_xlpm.Result,INDEX(Input!$D$2:$AC$500,
       MATCH(B469, Input!$J$2:$J$500, 0),
       MATCH("Capacity", Input!$D$1:$AC$1, 0)),IF(_xlpm.Result="","",_xlpm.Result))</f>
        <v>#N/A</v>
      </c>
      <c r="S469" s="42"/>
      <c r="T469" s="42"/>
      <c r="U469" s="42" t="str" cm="1">
        <f t="array" ref="U469">IFERROR(_xlfn.IFS(
S469="","",
--S469&lt;55,"Battery Defect",
--S469&lt;=69,"Battery D",
--S469&lt;=80,"Battery C",
--S469&gt;80,""
),"")</f>
        <v/>
      </c>
      <c r="V469" s="42" t="str" cm="1">
        <f t="array" ref="V469">IFERROR(_xlfn.IFS(
T469="","",
--T469&lt;55,"Battery Defect",
--T469&lt;=69,"Battery D",
--T469&lt;=80,"Battery C",
--T469&gt;80,""
),"")</f>
        <v/>
      </c>
      <c r="W469" s="42"/>
      <c r="X469" s="42"/>
      <c r="Y469" s="42"/>
      <c r="Z469" s="42"/>
      <c r="AA469" s="42"/>
      <c r="AB469" s="42"/>
      <c r="AC469" s="42"/>
      <c r="AD469" s="42"/>
      <c r="AE469" s="32" t="str">
        <f t="shared" si="21"/>
        <v/>
      </c>
      <c r="AF469" s="32"/>
      <c r="AG469" s="32"/>
      <c r="AH469" s="32"/>
      <c r="AI469" s="32"/>
      <c r="AJ469" s="32"/>
      <c r="AK469" s="32"/>
      <c r="AL469" s="32"/>
      <c r="AM469" s="32"/>
    </row>
    <row r="470" spans="1:39">
      <c r="A470" s="32" t="str">
        <f>_xlfn.XLOOKUP(B470,Input!J:J,Input!G:G)&amp;""</f>
        <v/>
      </c>
      <c r="B470" s="32"/>
      <c r="C470" s="32" t="str">
        <f>_xlfn.XLOOKUP(B470,Input!J:J,Input!H:H)&amp;""</f>
        <v/>
      </c>
      <c r="D470" s="42">
        <f>_xlfn.XLOOKUP(B470,Input!J:J,Input!F:F)</f>
        <v>0</v>
      </c>
      <c r="E470" s="32">
        <f>_xlfn.XLOOKUP(D470,Models!H:H,Models!G:G,D470)</f>
        <v>0</v>
      </c>
      <c r="F470" s="32">
        <f>_xlfn.XLOOKUP(B470,Input!J:J,Input!E:E)</f>
        <v>0</v>
      </c>
      <c r="G470" s="32">
        <f>IF(F470="LENOVO",_xlfn.XLOOKUP(B470,Input!J:J,Input!K:K),_xlfn.XLOOKUP(B470,Input!J:J,Input!L:L))</f>
        <v>0</v>
      </c>
      <c r="H470" s="32"/>
      <c r="I470" s="32"/>
      <c r="J470" s="32"/>
      <c r="K470" s="42" t="e">
        <f>INDEX(Input!$D$2:$AC$500,
       MATCH(B470, Input!$J$2:$J$500, 0),
       MATCH("Total Memory", Input!$D$1:$AC$1, 0))</f>
        <v>#N/A</v>
      </c>
      <c r="L470" s="42"/>
      <c r="M470" s="42" t="str" cm="1">
        <f t="array" ref="M470">IFERROR(_xlfn.FILTERXML("&lt;t&gt;&lt;s&gt;" &amp; SUBSTITUTE(L470," / ","&lt;/s&gt;&lt;s&gt;") &amp; "&lt;/s&gt;&lt;/t&gt;","(//s[contains(.,'DDR')])[1]"),"")</f>
        <v/>
      </c>
      <c r="N470" s="32" t="e">
        <f t="shared" si="23"/>
        <v>#N/A</v>
      </c>
      <c r="O470" s="42" t="e">
        <f>INDEX(Input!$D$2:$AC$500,
       MATCH(B470, Input!$J$2:$J$500, 0),
       MATCH("Disk Interface Type", Input!$D$1:$AC$1, 0))</f>
        <v>#N/A</v>
      </c>
      <c r="P470" s="42" t="str" cm="1">
        <f t="array" ref="P470">IFERROR(_xlfn.TEXTJOIN(", ", TRUE, _xlfn._xlws.FILTER(
    INDEX(Input!$D$2:$AC$500,,MATCH("Disk Capacity",Input!$D$1:$AC$1,0)),
    Input!$J$2:$J$500=B470
)), "")</f>
        <v/>
      </c>
      <c r="Q470" s="32" t="e">
        <f t="shared" si="22"/>
        <v>#N/A</v>
      </c>
      <c r="R470" s="42" t="e">
        <f>_xlfn.LET(_xlpm.Result,INDEX(Input!$D$2:$AC$500,
       MATCH(B470, Input!$J$2:$J$500, 0),
       MATCH("Capacity", Input!$D$1:$AC$1, 0)),IF(_xlpm.Result="","",_xlpm.Result))</f>
        <v>#N/A</v>
      </c>
      <c r="S470" s="42"/>
      <c r="T470" s="42"/>
      <c r="U470" s="42" t="str" cm="1">
        <f t="array" ref="U470">IFERROR(_xlfn.IFS(
S470="","",
--S470&lt;55,"Battery Defect",
--S470&lt;=69,"Battery D",
--S470&lt;=80,"Battery C",
--S470&gt;80,""
),"")</f>
        <v/>
      </c>
      <c r="V470" s="42" t="str" cm="1">
        <f t="array" ref="V470">IFERROR(_xlfn.IFS(
T470="","",
--T470&lt;55,"Battery Defect",
--T470&lt;=69,"Battery D",
--T470&lt;=80,"Battery C",
--T470&gt;80,""
),"")</f>
        <v/>
      </c>
      <c r="W470" s="42"/>
      <c r="X470" s="42"/>
      <c r="Y470" s="42"/>
      <c r="Z470" s="42"/>
      <c r="AA470" s="42"/>
      <c r="AB470" s="42"/>
      <c r="AC470" s="42"/>
      <c r="AD470" s="42"/>
      <c r="AE470" s="32" t="str">
        <f t="shared" si="21"/>
        <v/>
      </c>
      <c r="AF470" s="32"/>
      <c r="AG470" s="32"/>
      <c r="AH470" s="32"/>
      <c r="AI470" s="32"/>
      <c r="AJ470" s="32"/>
      <c r="AK470" s="32"/>
      <c r="AL470" s="32"/>
      <c r="AM470" s="32"/>
    </row>
    <row r="471" spans="1:39">
      <c r="A471" s="32" t="str">
        <f>_xlfn.XLOOKUP(B471,Input!J:J,Input!G:G)&amp;""</f>
        <v/>
      </c>
      <c r="B471" s="32"/>
      <c r="C471" s="32" t="str">
        <f>_xlfn.XLOOKUP(B471,Input!J:J,Input!H:H)&amp;""</f>
        <v/>
      </c>
      <c r="D471" s="42">
        <f>_xlfn.XLOOKUP(B471,Input!J:J,Input!F:F)</f>
        <v>0</v>
      </c>
      <c r="E471" s="32">
        <f>_xlfn.XLOOKUP(D471,Models!H:H,Models!G:G,D471)</f>
        <v>0</v>
      </c>
      <c r="F471" s="32">
        <f>_xlfn.XLOOKUP(B471,Input!J:J,Input!E:E)</f>
        <v>0</v>
      </c>
      <c r="G471" s="32">
        <f>IF(F471="LENOVO",_xlfn.XLOOKUP(B471,Input!J:J,Input!K:K),_xlfn.XLOOKUP(B471,Input!J:J,Input!L:L))</f>
        <v>0</v>
      </c>
      <c r="H471" s="32"/>
      <c r="I471" s="32"/>
      <c r="J471" s="32"/>
      <c r="K471" s="42" t="e">
        <f>INDEX(Input!$D$2:$AC$500,
       MATCH(B471, Input!$J$2:$J$500, 0),
       MATCH("Total Memory", Input!$D$1:$AC$1, 0))</f>
        <v>#N/A</v>
      </c>
      <c r="L471" s="42"/>
      <c r="M471" s="42" t="str" cm="1">
        <f t="array" ref="M471">IFERROR(_xlfn.FILTERXML("&lt;t&gt;&lt;s&gt;" &amp; SUBSTITUTE(L471," / ","&lt;/s&gt;&lt;s&gt;") &amp; "&lt;/s&gt;&lt;/t&gt;","(//s[contains(.,'DDR')])[1]"),"")</f>
        <v/>
      </c>
      <c r="N471" s="32" t="e">
        <f t="shared" si="23"/>
        <v>#N/A</v>
      </c>
      <c r="O471" s="42" t="e">
        <f>INDEX(Input!$D$2:$AC$500,
       MATCH(B471, Input!$J$2:$J$500, 0),
       MATCH("Disk Interface Type", Input!$D$1:$AC$1, 0))</f>
        <v>#N/A</v>
      </c>
      <c r="P471" s="42" t="str" cm="1">
        <f t="array" ref="P471">IFERROR(_xlfn.TEXTJOIN(", ", TRUE, _xlfn._xlws.FILTER(
    INDEX(Input!$D$2:$AC$500,,MATCH("Disk Capacity",Input!$D$1:$AC$1,0)),
    Input!$J$2:$J$500=B471
)), "")</f>
        <v/>
      </c>
      <c r="Q471" s="32" t="e">
        <f t="shared" si="22"/>
        <v>#N/A</v>
      </c>
      <c r="R471" s="42" t="e">
        <f>_xlfn.LET(_xlpm.Result,INDEX(Input!$D$2:$AC$500,
       MATCH(B471, Input!$J$2:$J$500, 0),
       MATCH("Capacity", Input!$D$1:$AC$1, 0)),IF(_xlpm.Result="","",_xlpm.Result))</f>
        <v>#N/A</v>
      </c>
      <c r="S471" s="42"/>
      <c r="T471" s="42"/>
      <c r="U471" s="42" t="str" cm="1">
        <f t="array" ref="U471">IFERROR(_xlfn.IFS(
S471="","",
--S471&lt;55,"Battery Defect",
--S471&lt;=69,"Battery D",
--S471&lt;=80,"Battery C",
--S471&gt;80,""
),"")</f>
        <v/>
      </c>
      <c r="V471" s="42" t="str" cm="1">
        <f t="array" ref="V471">IFERROR(_xlfn.IFS(
T471="","",
--T471&lt;55,"Battery Defect",
--T471&lt;=69,"Battery D",
--T471&lt;=80,"Battery C",
--T471&gt;80,""
),"")</f>
        <v/>
      </c>
      <c r="W471" s="42"/>
      <c r="X471" s="42"/>
      <c r="Y471" s="42"/>
      <c r="Z471" s="42"/>
      <c r="AA471" s="42"/>
      <c r="AB471" s="42"/>
      <c r="AC471" s="42"/>
      <c r="AD471" s="42"/>
      <c r="AE471" s="32" t="str">
        <f t="shared" si="21"/>
        <v/>
      </c>
      <c r="AF471" s="32"/>
      <c r="AG471" s="32"/>
      <c r="AH471" s="32"/>
      <c r="AI471" s="32"/>
      <c r="AJ471" s="32"/>
      <c r="AK471" s="32"/>
      <c r="AL471" s="32"/>
      <c r="AM471" s="32"/>
    </row>
    <row r="472" spans="1:39">
      <c r="A472" s="32" t="str">
        <f>_xlfn.XLOOKUP(B472,Input!J:J,Input!G:G)&amp;""</f>
        <v/>
      </c>
      <c r="B472" s="32"/>
      <c r="C472" s="32" t="str">
        <f>_xlfn.XLOOKUP(B472,Input!J:J,Input!H:H)&amp;""</f>
        <v/>
      </c>
      <c r="D472" s="42">
        <f>_xlfn.XLOOKUP(B472,Input!J:J,Input!F:F)</f>
        <v>0</v>
      </c>
      <c r="E472" s="32">
        <f>_xlfn.XLOOKUP(D472,Models!H:H,Models!G:G,D472)</f>
        <v>0</v>
      </c>
      <c r="F472" s="32">
        <f>_xlfn.XLOOKUP(B472,Input!J:J,Input!E:E)</f>
        <v>0</v>
      </c>
      <c r="G472" s="32">
        <f>IF(F472="LENOVO",_xlfn.XLOOKUP(B472,Input!J:J,Input!K:K),_xlfn.XLOOKUP(B472,Input!J:J,Input!L:L))</f>
        <v>0</v>
      </c>
      <c r="H472" s="32"/>
      <c r="I472" s="32"/>
      <c r="J472" s="32"/>
      <c r="K472" s="42" t="e">
        <f>INDEX(Input!$D$2:$AC$500,
       MATCH(B472, Input!$J$2:$J$500, 0),
       MATCH("Total Memory", Input!$D$1:$AC$1, 0))</f>
        <v>#N/A</v>
      </c>
      <c r="L472" s="42"/>
      <c r="M472" s="42" t="str" cm="1">
        <f t="array" ref="M472">IFERROR(_xlfn.FILTERXML("&lt;t&gt;&lt;s&gt;" &amp; SUBSTITUTE(L472," / ","&lt;/s&gt;&lt;s&gt;") &amp; "&lt;/s&gt;&lt;/t&gt;","(//s[contains(.,'DDR')])[1]"),"")</f>
        <v/>
      </c>
      <c r="N472" s="32" t="e">
        <f t="shared" si="23"/>
        <v>#N/A</v>
      </c>
      <c r="O472" s="42" t="e">
        <f>INDEX(Input!$D$2:$AC$500,
       MATCH(B472, Input!$J$2:$J$500, 0),
       MATCH("Disk Interface Type", Input!$D$1:$AC$1, 0))</f>
        <v>#N/A</v>
      </c>
      <c r="P472" s="42" t="str" cm="1">
        <f t="array" ref="P472">IFERROR(_xlfn.TEXTJOIN(", ", TRUE, _xlfn._xlws.FILTER(
    INDEX(Input!$D$2:$AC$500,,MATCH("Disk Capacity",Input!$D$1:$AC$1,0)),
    Input!$J$2:$J$500=B472
)), "")</f>
        <v/>
      </c>
      <c r="Q472" s="32" t="e">
        <f t="shared" si="22"/>
        <v>#N/A</v>
      </c>
      <c r="R472" s="42" t="e">
        <f>_xlfn.LET(_xlpm.Result,INDEX(Input!$D$2:$AC$500,
       MATCH(B472, Input!$J$2:$J$500, 0),
       MATCH("Capacity", Input!$D$1:$AC$1, 0)),IF(_xlpm.Result="","",_xlpm.Result))</f>
        <v>#N/A</v>
      </c>
      <c r="S472" s="42"/>
      <c r="T472" s="42"/>
      <c r="U472" s="42" t="str" cm="1">
        <f t="array" ref="U472">IFERROR(_xlfn.IFS(
S472="","",
--S472&lt;55,"Battery Defect",
--S472&lt;=69,"Battery D",
--S472&lt;=80,"Battery C",
--S472&gt;80,""
),"")</f>
        <v/>
      </c>
      <c r="V472" s="42" t="str" cm="1">
        <f t="array" ref="V472">IFERROR(_xlfn.IFS(
T472="","",
--T472&lt;55,"Battery Defect",
--T472&lt;=69,"Battery D",
--T472&lt;=80,"Battery C",
--T472&gt;80,""
),"")</f>
        <v/>
      </c>
      <c r="W472" s="42"/>
      <c r="X472" s="42"/>
      <c r="Y472" s="42"/>
      <c r="Z472" s="42"/>
      <c r="AA472" s="42"/>
      <c r="AB472" s="42"/>
      <c r="AC472" s="42"/>
      <c r="AD472" s="42"/>
      <c r="AE472" s="32" t="str">
        <f t="shared" si="21"/>
        <v/>
      </c>
      <c r="AF472" s="32"/>
      <c r="AG472" s="32"/>
      <c r="AH472" s="32"/>
      <c r="AI472" s="32"/>
      <c r="AJ472" s="32"/>
      <c r="AK472" s="32"/>
      <c r="AL472" s="32"/>
      <c r="AM472" s="32"/>
    </row>
    <row r="473" spans="1:39">
      <c r="A473" s="32" t="str">
        <f>_xlfn.XLOOKUP(B473,Input!J:J,Input!G:G)&amp;""</f>
        <v/>
      </c>
      <c r="B473" s="32"/>
      <c r="C473" s="32" t="str">
        <f>_xlfn.XLOOKUP(B473,Input!J:J,Input!H:H)&amp;""</f>
        <v/>
      </c>
      <c r="D473" s="42">
        <f>_xlfn.XLOOKUP(B473,Input!J:J,Input!F:F)</f>
        <v>0</v>
      </c>
      <c r="E473" s="32">
        <f>_xlfn.XLOOKUP(D473,Models!H:H,Models!G:G,D473)</f>
        <v>0</v>
      </c>
      <c r="F473" s="32">
        <f>_xlfn.XLOOKUP(B473,Input!J:J,Input!E:E)</f>
        <v>0</v>
      </c>
      <c r="G473" s="32">
        <f>IF(F473="LENOVO",_xlfn.XLOOKUP(B473,Input!J:J,Input!K:K),_xlfn.XLOOKUP(B473,Input!J:J,Input!L:L))</f>
        <v>0</v>
      </c>
      <c r="H473" s="32"/>
      <c r="I473" s="32"/>
      <c r="J473" s="32"/>
      <c r="K473" s="42" t="e">
        <f>INDEX(Input!$D$2:$AC$500,
       MATCH(B473, Input!$J$2:$J$500, 0),
       MATCH("Total Memory", Input!$D$1:$AC$1, 0))</f>
        <v>#N/A</v>
      </c>
      <c r="L473" s="42"/>
      <c r="M473" s="42" t="str" cm="1">
        <f t="array" ref="M473">IFERROR(_xlfn.FILTERXML("&lt;t&gt;&lt;s&gt;" &amp; SUBSTITUTE(L473," / ","&lt;/s&gt;&lt;s&gt;") &amp; "&lt;/s&gt;&lt;/t&gt;","(//s[contains(.,'DDR')])[1]"),"")</f>
        <v/>
      </c>
      <c r="N473" s="32" t="e">
        <f t="shared" si="23"/>
        <v>#N/A</v>
      </c>
      <c r="O473" s="42" t="e">
        <f>INDEX(Input!$D$2:$AC$500,
       MATCH(B473, Input!$J$2:$J$500, 0),
       MATCH("Disk Interface Type", Input!$D$1:$AC$1, 0))</f>
        <v>#N/A</v>
      </c>
      <c r="P473" s="42" t="str" cm="1">
        <f t="array" ref="P473">IFERROR(_xlfn.TEXTJOIN(", ", TRUE, _xlfn._xlws.FILTER(
    INDEX(Input!$D$2:$AC$500,,MATCH("Disk Capacity",Input!$D$1:$AC$1,0)),
    Input!$J$2:$J$500=B473
)), "")</f>
        <v/>
      </c>
      <c r="Q473" s="32" t="e">
        <f t="shared" si="22"/>
        <v>#N/A</v>
      </c>
      <c r="R473" s="42" t="e">
        <f>_xlfn.LET(_xlpm.Result,INDEX(Input!$D$2:$AC$500,
       MATCH(B473, Input!$J$2:$J$500, 0),
       MATCH("Capacity", Input!$D$1:$AC$1, 0)),IF(_xlpm.Result="","",_xlpm.Result))</f>
        <v>#N/A</v>
      </c>
      <c r="S473" s="42"/>
      <c r="T473" s="42"/>
      <c r="U473" s="42" t="str" cm="1">
        <f t="array" ref="U473">IFERROR(_xlfn.IFS(
S473="","",
--S473&lt;55,"Battery Defect",
--S473&lt;=69,"Battery D",
--S473&lt;=80,"Battery C",
--S473&gt;80,""
),"")</f>
        <v/>
      </c>
      <c r="V473" s="42" t="str" cm="1">
        <f t="array" ref="V473">IFERROR(_xlfn.IFS(
T473="","",
--T473&lt;55,"Battery Defect",
--T473&lt;=69,"Battery D",
--T473&lt;=80,"Battery C",
--T473&gt;80,""
),"")</f>
        <v/>
      </c>
      <c r="W473" s="42"/>
      <c r="X473" s="42"/>
      <c r="Y473" s="42"/>
      <c r="Z473" s="42"/>
      <c r="AA473" s="42"/>
      <c r="AB473" s="42"/>
      <c r="AC473" s="42"/>
      <c r="AD473" s="42"/>
      <c r="AE473" s="32" t="str">
        <f t="shared" si="21"/>
        <v/>
      </c>
      <c r="AF473" s="32"/>
      <c r="AG473" s="32"/>
      <c r="AH473" s="32"/>
      <c r="AI473" s="32"/>
      <c r="AJ473" s="32"/>
      <c r="AK473" s="32"/>
      <c r="AL473" s="32"/>
      <c r="AM473" s="32"/>
    </row>
    <row r="474" spans="1:39">
      <c r="A474" s="32" t="str">
        <f>_xlfn.XLOOKUP(B474,Input!J:J,Input!G:G)&amp;""</f>
        <v/>
      </c>
      <c r="B474" s="32"/>
      <c r="C474" s="32" t="str">
        <f>_xlfn.XLOOKUP(B474,Input!J:J,Input!H:H)&amp;""</f>
        <v/>
      </c>
      <c r="D474" s="42">
        <f>_xlfn.XLOOKUP(B474,Input!J:J,Input!F:F)</f>
        <v>0</v>
      </c>
      <c r="E474" s="32">
        <f>_xlfn.XLOOKUP(D474,Models!H:H,Models!G:G,D474)</f>
        <v>0</v>
      </c>
      <c r="F474" s="32">
        <f>_xlfn.XLOOKUP(B474,Input!J:J,Input!E:E)</f>
        <v>0</v>
      </c>
      <c r="G474" s="32">
        <f>IF(F474="LENOVO",_xlfn.XLOOKUP(B474,Input!J:J,Input!K:K),_xlfn.XLOOKUP(B474,Input!J:J,Input!L:L))</f>
        <v>0</v>
      </c>
      <c r="H474" s="32"/>
      <c r="I474" s="32"/>
      <c r="J474" s="32"/>
      <c r="K474" s="42" t="e">
        <f>INDEX(Input!$D$2:$AC$500,
       MATCH(B474, Input!$J$2:$J$500, 0),
       MATCH("Total Memory", Input!$D$1:$AC$1, 0))</f>
        <v>#N/A</v>
      </c>
      <c r="L474" s="42"/>
      <c r="M474" s="42" t="str" cm="1">
        <f t="array" ref="M474">IFERROR(_xlfn.FILTERXML("&lt;t&gt;&lt;s&gt;" &amp; SUBSTITUTE(L474," / ","&lt;/s&gt;&lt;s&gt;") &amp; "&lt;/s&gt;&lt;/t&gt;","(//s[contains(.,'DDR')])[1]"),"")</f>
        <v/>
      </c>
      <c r="N474" s="32" t="e">
        <f t="shared" si="23"/>
        <v>#N/A</v>
      </c>
      <c r="O474" s="42" t="e">
        <f>INDEX(Input!$D$2:$AC$500,
       MATCH(B474, Input!$J$2:$J$500, 0),
       MATCH("Disk Interface Type", Input!$D$1:$AC$1, 0))</f>
        <v>#N/A</v>
      </c>
      <c r="P474" s="42" t="str" cm="1">
        <f t="array" ref="P474">IFERROR(_xlfn.TEXTJOIN(", ", TRUE, _xlfn._xlws.FILTER(
    INDEX(Input!$D$2:$AC$500,,MATCH("Disk Capacity",Input!$D$1:$AC$1,0)),
    Input!$J$2:$J$500=B474
)), "")</f>
        <v/>
      </c>
      <c r="Q474" s="32" t="e">
        <f t="shared" si="22"/>
        <v>#N/A</v>
      </c>
      <c r="R474" s="42" t="e">
        <f>_xlfn.LET(_xlpm.Result,INDEX(Input!$D$2:$AC$500,
       MATCH(B474, Input!$J$2:$J$500, 0),
       MATCH("Capacity", Input!$D$1:$AC$1, 0)),IF(_xlpm.Result="","",_xlpm.Result))</f>
        <v>#N/A</v>
      </c>
      <c r="S474" s="42"/>
      <c r="T474" s="42"/>
      <c r="U474" s="42" t="str" cm="1">
        <f t="array" ref="U474">IFERROR(_xlfn.IFS(
S474="","",
--S474&lt;55,"Battery Defect",
--S474&lt;=69,"Battery D",
--S474&lt;=80,"Battery C",
--S474&gt;80,""
),"")</f>
        <v/>
      </c>
      <c r="V474" s="42" t="str" cm="1">
        <f t="array" ref="V474">IFERROR(_xlfn.IFS(
T474="","",
--T474&lt;55,"Battery Defect",
--T474&lt;=69,"Battery D",
--T474&lt;=80,"Battery C",
--T474&gt;80,""
),"")</f>
        <v/>
      </c>
      <c r="W474" s="42"/>
      <c r="X474" s="42"/>
      <c r="Y474" s="42"/>
      <c r="Z474" s="42"/>
      <c r="AA474" s="42"/>
      <c r="AB474" s="42"/>
      <c r="AC474" s="42"/>
      <c r="AD474" s="42"/>
      <c r="AE474" s="32" t="str">
        <f t="shared" si="21"/>
        <v/>
      </c>
      <c r="AF474" s="32"/>
      <c r="AG474" s="32"/>
      <c r="AH474" s="32"/>
      <c r="AI474" s="32"/>
      <c r="AJ474" s="32"/>
      <c r="AK474" s="32"/>
      <c r="AL474" s="32"/>
      <c r="AM474" s="32"/>
    </row>
    <row r="475" spans="1:39">
      <c r="A475" s="32" t="str">
        <f>_xlfn.XLOOKUP(B475,Input!J:J,Input!G:G)&amp;""</f>
        <v/>
      </c>
      <c r="B475" s="32"/>
      <c r="C475" s="32" t="str">
        <f>_xlfn.XLOOKUP(B475,Input!J:J,Input!H:H)&amp;""</f>
        <v/>
      </c>
      <c r="D475" s="42">
        <f>_xlfn.XLOOKUP(B475,Input!J:J,Input!F:F)</f>
        <v>0</v>
      </c>
      <c r="E475" s="32">
        <f>_xlfn.XLOOKUP(D475,Models!H:H,Models!G:G,D475)</f>
        <v>0</v>
      </c>
      <c r="F475" s="32">
        <f>_xlfn.XLOOKUP(B475,Input!J:J,Input!E:E)</f>
        <v>0</v>
      </c>
      <c r="G475" s="32">
        <f>IF(F475="LENOVO",_xlfn.XLOOKUP(B475,Input!J:J,Input!K:K),_xlfn.XLOOKUP(B475,Input!J:J,Input!L:L))</f>
        <v>0</v>
      </c>
      <c r="H475" s="32"/>
      <c r="I475" s="32"/>
      <c r="J475" s="32"/>
      <c r="K475" s="42" t="e">
        <f>INDEX(Input!$D$2:$AC$500,
       MATCH(B475, Input!$J$2:$J$500, 0),
       MATCH("Total Memory", Input!$D$1:$AC$1, 0))</f>
        <v>#N/A</v>
      </c>
      <c r="L475" s="42"/>
      <c r="M475" s="42" t="str" cm="1">
        <f t="array" ref="M475">IFERROR(_xlfn.FILTERXML("&lt;t&gt;&lt;s&gt;" &amp; SUBSTITUTE(L475," / ","&lt;/s&gt;&lt;s&gt;") &amp; "&lt;/s&gt;&lt;/t&gt;","(//s[contains(.,'DDR')])[1]"),"")</f>
        <v/>
      </c>
      <c r="N475" s="32" t="e">
        <f t="shared" si="23"/>
        <v>#N/A</v>
      </c>
      <c r="O475" s="42" t="e">
        <f>INDEX(Input!$D$2:$AC$500,
       MATCH(B475, Input!$J$2:$J$500, 0),
       MATCH("Disk Interface Type", Input!$D$1:$AC$1, 0))</f>
        <v>#N/A</v>
      </c>
      <c r="P475" s="42" t="str" cm="1">
        <f t="array" ref="P475">IFERROR(_xlfn.TEXTJOIN(", ", TRUE, _xlfn._xlws.FILTER(
    INDEX(Input!$D$2:$AC$500,,MATCH("Disk Capacity",Input!$D$1:$AC$1,0)),
    Input!$J$2:$J$500=B475
)), "")</f>
        <v/>
      </c>
      <c r="Q475" s="32" t="e">
        <f t="shared" si="22"/>
        <v>#N/A</v>
      </c>
      <c r="R475" s="42" t="e">
        <f>_xlfn.LET(_xlpm.Result,INDEX(Input!$D$2:$AC$500,
       MATCH(B475, Input!$J$2:$J$500, 0),
       MATCH("Capacity", Input!$D$1:$AC$1, 0)),IF(_xlpm.Result="","",_xlpm.Result))</f>
        <v>#N/A</v>
      </c>
      <c r="S475" s="42"/>
      <c r="T475" s="42"/>
      <c r="U475" s="42" t="str" cm="1">
        <f t="array" ref="U475">IFERROR(_xlfn.IFS(
S475="","",
--S475&lt;55,"Battery Defect",
--S475&lt;=69,"Battery D",
--S475&lt;=80,"Battery C",
--S475&gt;80,""
),"")</f>
        <v/>
      </c>
      <c r="V475" s="42" t="str" cm="1">
        <f t="array" ref="V475">IFERROR(_xlfn.IFS(
T475="","",
--T475&lt;55,"Battery Defect",
--T475&lt;=69,"Battery D",
--T475&lt;=80,"Battery C",
--T475&gt;80,""
),"")</f>
        <v/>
      </c>
      <c r="W475" s="42"/>
      <c r="X475" s="42"/>
      <c r="Y475" s="42"/>
      <c r="Z475" s="42"/>
      <c r="AA475" s="42"/>
      <c r="AB475" s="42"/>
      <c r="AC475" s="42"/>
      <c r="AD475" s="42"/>
      <c r="AE475" s="32" t="str">
        <f t="shared" si="21"/>
        <v/>
      </c>
      <c r="AF475" s="32"/>
      <c r="AG475" s="32"/>
      <c r="AH475" s="32"/>
      <c r="AI475" s="32"/>
      <c r="AJ475" s="32"/>
      <c r="AK475" s="32"/>
      <c r="AL475" s="32"/>
      <c r="AM475" s="32"/>
    </row>
    <row r="476" spans="1:39">
      <c r="A476" s="32" t="str">
        <f>_xlfn.XLOOKUP(B476,Input!J:J,Input!G:G)&amp;""</f>
        <v/>
      </c>
      <c r="B476" s="32"/>
      <c r="C476" s="32" t="str">
        <f>_xlfn.XLOOKUP(B476,Input!J:J,Input!H:H)&amp;""</f>
        <v/>
      </c>
      <c r="D476" s="42">
        <f>_xlfn.XLOOKUP(B476,Input!J:J,Input!F:F)</f>
        <v>0</v>
      </c>
      <c r="E476" s="32">
        <f>_xlfn.XLOOKUP(D476,Models!H:H,Models!G:G,D476)</f>
        <v>0</v>
      </c>
      <c r="F476" s="32">
        <f>_xlfn.XLOOKUP(B476,Input!J:J,Input!E:E)</f>
        <v>0</v>
      </c>
      <c r="G476" s="32">
        <f>IF(F476="LENOVO",_xlfn.XLOOKUP(B476,Input!J:J,Input!K:K),_xlfn.XLOOKUP(B476,Input!J:J,Input!L:L))</f>
        <v>0</v>
      </c>
      <c r="H476" s="32"/>
      <c r="I476" s="32"/>
      <c r="J476" s="32"/>
      <c r="K476" s="42" t="e">
        <f>INDEX(Input!$D$2:$AC$500,
       MATCH(B476, Input!$J$2:$J$500, 0),
       MATCH("Total Memory", Input!$D$1:$AC$1, 0))</f>
        <v>#N/A</v>
      </c>
      <c r="L476" s="42"/>
      <c r="M476" s="42" t="str" cm="1">
        <f t="array" ref="M476">IFERROR(_xlfn.FILTERXML("&lt;t&gt;&lt;s&gt;" &amp; SUBSTITUTE(L476," / ","&lt;/s&gt;&lt;s&gt;") &amp; "&lt;/s&gt;&lt;/t&gt;","(//s[contains(.,'DDR')])[1]"),"")</f>
        <v/>
      </c>
      <c r="N476" s="32" t="e">
        <f t="shared" si="23"/>
        <v>#N/A</v>
      </c>
      <c r="O476" s="42" t="e">
        <f>INDEX(Input!$D$2:$AC$500,
       MATCH(B476, Input!$J$2:$J$500, 0),
       MATCH("Disk Interface Type", Input!$D$1:$AC$1, 0))</f>
        <v>#N/A</v>
      </c>
      <c r="P476" s="42" t="str" cm="1">
        <f t="array" ref="P476">IFERROR(_xlfn.TEXTJOIN(", ", TRUE, _xlfn._xlws.FILTER(
    INDEX(Input!$D$2:$AC$500,,MATCH("Disk Capacity",Input!$D$1:$AC$1,0)),
    Input!$J$2:$J$500=B476
)), "")</f>
        <v/>
      </c>
      <c r="Q476" s="32" t="e">
        <f t="shared" si="22"/>
        <v>#N/A</v>
      </c>
      <c r="R476" s="42" t="e">
        <f>_xlfn.LET(_xlpm.Result,INDEX(Input!$D$2:$AC$500,
       MATCH(B476, Input!$J$2:$J$500, 0),
       MATCH("Capacity", Input!$D$1:$AC$1, 0)),IF(_xlpm.Result="","",_xlpm.Result))</f>
        <v>#N/A</v>
      </c>
      <c r="S476" s="42"/>
      <c r="T476" s="42"/>
      <c r="U476" s="42" t="str" cm="1">
        <f t="array" ref="U476">IFERROR(_xlfn.IFS(
S476="","",
--S476&lt;55,"Battery Defect",
--S476&lt;=69,"Battery D",
--S476&lt;=80,"Battery C",
--S476&gt;80,""
),"")</f>
        <v/>
      </c>
      <c r="V476" s="42" t="str" cm="1">
        <f t="array" ref="V476">IFERROR(_xlfn.IFS(
T476="","",
--T476&lt;55,"Battery Defect",
--T476&lt;=69,"Battery D",
--T476&lt;=80,"Battery C",
--T476&gt;80,""
),"")</f>
        <v/>
      </c>
      <c r="W476" s="42"/>
      <c r="X476" s="42"/>
      <c r="Y476" s="42"/>
      <c r="Z476" s="42"/>
      <c r="AA476" s="42"/>
      <c r="AB476" s="42"/>
      <c r="AC476" s="42"/>
      <c r="AD476" s="42"/>
      <c r="AE476" s="32" t="str">
        <f t="shared" si="21"/>
        <v/>
      </c>
      <c r="AF476" s="32"/>
      <c r="AG476" s="32"/>
      <c r="AH476" s="32"/>
      <c r="AI476" s="32"/>
      <c r="AJ476" s="32"/>
      <c r="AK476" s="32"/>
      <c r="AL476" s="32"/>
      <c r="AM476" s="32"/>
    </row>
    <row r="477" spans="1:39">
      <c r="A477" s="32" t="str">
        <f>_xlfn.XLOOKUP(B477,Input!J:J,Input!G:G)&amp;""</f>
        <v/>
      </c>
      <c r="B477" s="32"/>
      <c r="C477" s="32" t="str">
        <f>_xlfn.XLOOKUP(B477,Input!J:J,Input!H:H)&amp;""</f>
        <v/>
      </c>
      <c r="D477" s="42">
        <f>_xlfn.XLOOKUP(B477,Input!J:J,Input!F:F)</f>
        <v>0</v>
      </c>
      <c r="E477" s="32">
        <f>_xlfn.XLOOKUP(D477,Models!H:H,Models!G:G,D477)</f>
        <v>0</v>
      </c>
      <c r="F477" s="32">
        <f>_xlfn.XLOOKUP(B477,Input!J:J,Input!E:E)</f>
        <v>0</v>
      </c>
      <c r="G477" s="32">
        <f>IF(F477="LENOVO",_xlfn.XLOOKUP(B477,Input!J:J,Input!K:K),_xlfn.XLOOKUP(B477,Input!J:J,Input!L:L))</f>
        <v>0</v>
      </c>
      <c r="H477" s="32"/>
      <c r="I477" s="32"/>
      <c r="J477" s="32"/>
      <c r="K477" s="42" t="e">
        <f>INDEX(Input!$D$2:$AC$500,
       MATCH(B477, Input!$J$2:$J$500, 0),
       MATCH("Total Memory", Input!$D$1:$AC$1, 0))</f>
        <v>#N/A</v>
      </c>
      <c r="L477" s="42"/>
      <c r="M477" s="42" t="str" cm="1">
        <f t="array" ref="M477">IFERROR(_xlfn.FILTERXML("&lt;t&gt;&lt;s&gt;" &amp; SUBSTITUTE(L477," / ","&lt;/s&gt;&lt;s&gt;") &amp; "&lt;/s&gt;&lt;/t&gt;","(//s[contains(.,'DDR')])[1]"),"")</f>
        <v/>
      </c>
      <c r="N477" s="32" t="e">
        <f t="shared" si="23"/>
        <v>#N/A</v>
      </c>
      <c r="O477" s="42" t="e">
        <f>INDEX(Input!$D$2:$AC$500,
       MATCH(B477, Input!$J$2:$J$500, 0),
       MATCH("Disk Interface Type", Input!$D$1:$AC$1, 0))</f>
        <v>#N/A</v>
      </c>
      <c r="P477" s="42" t="str" cm="1">
        <f t="array" ref="P477">IFERROR(_xlfn.TEXTJOIN(", ", TRUE, _xlfn._xlws.FILTER(
    INDEX(Input!$D$2:$AC$500,,MATCH("Disk Capacity",Input!$D$1:$AC$1,0)),
    Input!$J$2:$J$500=B477
)), "")</f>
        <v/>
      </c>
      <c r="Q477" s="32" t="e">
        <f t="shared" si="22"/>
        <v>#N/A</v>
      </c>
      <c r="R477" s="42" t="e">
        <f>_xlfn.LET(_xlpm.Result,INDEX(Input!$D$2:$AC$500,
       MATCH(B477, Input!$J$2:$J$500, 0),
       MATCH("Capacity", Input!$D$1:$AC$1, 0)),IF(_xlpm.Result="","",_xlpm.Result))</f>
        <v>#N/A</v>
      </c>
      <c r="S477" s="42"/>
      <c r="T477" s="42"/>
      <c r="U477" s="42" t="str" cm="1">
        <f t="array" ref="U477">IFERROR(_xlfn.IFS(
S477="","",
--S477&lt;55,"Battery Defect",
--S477&lt;=69,"Battery D",
--S477&lt;=80,"Battery C",
--S477&gt;80,""
),"")</f>
        <v/>
      </c>
      <c r="V477" s="42" t="str" cm="1">
        <f t="array" ref="V477">IFERROR(_xlfn.IFS(
T477="","",
--T477&lt;55,"Battery Defect",
--T477&lt;=69,"Battery D",
--T477&lt;=80,"Battery C",
--T477&gt;80,""
),"")</f>
        <v/>
      </c>
      <c r="W477" s="42"/>
      <c r="X477" s="42"/>
      <c r="Y477" s="42"/>
      <c r="Z477" s="42"/>
      <c r="AA477" s="42"/>
      <c r="AB477" s="42"/>
      <c r="AC477" s="42"/>
      <c r="AD477" s="42"/>
      <c r="AE477" s="32" t="str">
        <f t="shared" si="21"/>
        <v/>
      </c>
      <c r="AF477" s="32"/>
      <c r="AG477" s="32"/>
      <c r="AH477" s="32"/>
      <c r="AI477" s="32"/>
      <c r="AJ477" s="32"/>
      <c r="AK477" s="32"/>
      <c r="AL477" s="32"/>
      <c r="AM477" s="32"/>
    </row>
    <row r="478" spans="1:39">
      <c r="A478" s="32" t="str">
        <f>_xlfn.XLOOKUP(B478,Input!J:J,Input!G:G)&amp;""</f>
        <v/>
      </c>
      <c r="B478" s="32"/>
      <c r="C478" s="32" t="str">
        <f>_xlfn.XLOOKUP(B478,Input!J:J,Input!H:H)&amp;""</f>
        <v/>
      </c>
      <c r="D478" s="42">
        <f>_xlfn.XLOOKUP(B478,Input!J:J,Input!F:F)</f>
        <v>0</v>
      </c>
      <c r="E478" s="32">
        <f>_xlfn.XLOOKUP(D478,Models!H:H,Models!G:G,D478)</f>
        <v>0</v>
      </c>
      <c r="F478" s="32">
        <f>_xlfn.XLOOKUP(B478,Input!J:J,Input!E:E)</f>
        <v>0</v>
      </c>
      <c r="G478" s="32">
        <f>IF(F478="LENOVO",_xlfn.XLOOKUP(B478,Input!J:J,Input!K:K),_xlfn.XLOOKUP(B478,Input!J:J,Input!L:L))</f>
        <v>0</v>
      </c>
      <c r="H478" s="32"/>
      <c r="I478" s="32"/>
      <c r="J478" s="32"/>
      <c r="K478" s="42" t="e">
        <f>INDEX(Input!$D$2:$AC$500,
       MATCH(B478, Input!$J$2:$J$500, 0),
       MATCH("Total Memory", Input!$D$1:$AC$1, 0))</f>
        <v>#N/A</v>
      </c>
      <c r="L478" s="42"/>
      <c r="M478" s="42" t="str" cm="1">
        <f t="array" ref="M478">IFERROR(_xlfn.FILTERXML("&lt;t&gt;&lt;s&gt;" &amp; SUBSTITUTE(L478," / ","&lt;/s&gt;&lt;s&gt;") &amp; "&lt;/s&gt;&lt;/t&gt;","(//s[contains(.,'DDR')])[1]"),"")</f>
        <v/>
      </c>
      <c r="N478" s="32" t="e">
        <f t="shared" si="23"/>
        <v>#N/A</v>
      </c>
      <c r="O478" s="42" t="e">
        <f>INDEX(Input!$D$2:$AC$500,
       MATCH(B478, Input!$J$2:$J$500, 0),
       MATCH("Disk Interface Type", Input!$D$1:$AC$1, 0))</f>
        <v>#N/A</v>
      </c>
      <c r="P478" s="42" t="str" cm="1">
        <f t="array" ref="P478">IFERROR(_xlfn.TEXTJOIN(", ", TRUE, _xlfn._xlws.FILTER(
    INDEX(Input!$D$2:$AC$500,,MATCH("Disk Capacity",Input!$D$1:$AC$1,0)),
    Input!$J$2:$J$500=B478
)), "")</f>
        <v/>
      </c>
      <c r="Q478" s="32" t="e">
        <f t="shared" si="22"/>
        <v>#N/A</v>
      </c>
      <c r="R478" s="42" t="e">
        <f>_xlfn.LET(_xlpm.Result,INDEX(Input!$D$2:$AC$500,
       MATCH(B478, Input!$J$2:$J$500, 0),
       MATCH("Capacity", Input!$D$1:$AC$1, 0)),IF(_xlpm.Result="","",_xlpm.Result))</f>
        <v>#N/A</v>
      </c>
      <c r="S478" s="42"/>
      <c r="T478" s="42"/>
      <c r="U478" s="42" t="str" cm="1">
        <f t="array" ref="U478">IFERROR(_xlfn.IFS(
S478="","",
--S478&lt;55,"Battery Defect",
--S478&lt;=69,"Battery D",
--S478&lt;=80,"Battery C",
--S478&gt;80,""
),"")</f>
        <v/>
      </c>
      <c r="V478" s="42" t="str" cm="1">
        <f t="array" ref="V478">IFERROR(_xlfn.IFS(
T478="","",
--T478&lt;55,"Battery Defect",
--T478&lt;=69,"Battery D",
--T478&lt;=80,"Battery C",
--T478&gt;80,""
),"")</f>
        <v/>
      </c>
      <c r="W478" s="42"/>
      <c r="X478" s="42"/>
      <c r="Y478" s="42"/>
      <c r="Z478" s="42"/>
      <c r="AA478" s="42"/>
      <c r="AB478" s="42"/>
      <c r="AC478" s="42"/>
      <c r="AD478" s="42"/>
      <c r="AE478" s="32" t="str">
        <f t="shared" si="21"/>
        <v/>
      </c>
      <c r="AF478" s="32"/>
      <c r="AG478" s="32"/>
      <c r="AH478" s="32"/>
      <c r="AI478" s="32"/>
      <c r="AJ478" s="32"/>
      <c r="AK478" s="32"/>
      <c r="AL478" s="32"/>
      <c r="AM478" s="32"/>
    </row>
    <row r="479" spans="1:39">
      <c r="A479" s="32" t="str">
        <f>_xlfn.XLOOKUP(B479,Input!J:J,Input!G:G)&amp;""</f>
        <v/>
      </c>
      <c r="B479" s="32"/>
      <c r="C479" s="32" t="str">
        <f>_xlfn.XLOOKUP(B479,Input!J:J,Input!H:H)&amp;""</f>
        <v/>
      </c>
      <c r="D479" s="42">
        <f>_xlfn.XLOOKUP(B479,Input!J:J,Input!F:F)</f>
        <v>0</v>
      </c>
      <c r="E479" s="32">
        <f>_xlfn.XLOOKUP(D479,Models!H:H,Models!G:G,D479)</f>
        <v>0</v>
      </c>
      <c r="F479" s="32">
        <f>_xlfn.XLOOKUP(B479,Input!J:J,Input!E:E)</f>
        <v>0</v>
      </c>
      <c r="G479" s="32">
        <f>IF(F479="LENOVO",_xlfn.XLOOKUP(B479,Input!J:J,Input!K:K),_xlfn.XLOOKUP(B479,Input!J:J,Input!L:L))</f>
        <v>0</v>
      </c>
      <c r="H479" s="32"/>
      <c r="I479" s="32"/>
      <c r="J479" s="32"/>
      <c r="K479" s="42" t="e">
        <f>INDEX(Input!$D$2:$AC$500,
       MATCH(B479, Input!$J$2:$J$500, 0),
       MATCH("Total Memory", Input!$D$1:$AC$1, 0))</f>
        <v>#N/A</v>
      </c>
      <c r="L479" s="42"/>
      <c r="M479" s="42" t="str" cm="1">
        <f t="array" ref="M479">IFERROR(_xlfn.FILTERXML("&lt;t&gt;&lt;s&gt;" &amp; SUBSTITUTE(L479," / ","&lt;/s&gt;&lt;s&gt;") &amp; "&lt;/s&gt;&lt;/t&gt;","(//s[contains(.,'DDR')])[1]"),"")</f>
        <v/>
      </c>
      <c r="N479" s="32" t="e">
        <f t="shared" si="23"/>
        <v>#N/A</v>
      </c>
      <c r="O479" s="42" t="e">
        <f>INDEX(Input!$D$2:$AC$500,
       MATCH(B479, Input!$J$2:$J$500, 0),
       MATCH("Disk Interface Type", Input!$D$1:$AC$1, 0))</f>
        <v>#N/A</v>
      </c>
      <c r="P479" s="42" t="str" cm="1">
        <f t="array" ref="P479">IFERROR(_xlfn.TEXTJOIN(", ", TRUE, _xlfn._xlws.FILTER(
    INDEX(Input!$D$2:$AC$500,,MATCH("Disk Capacity",Input!$D$1:$AC$1,0)),
    Input!$J$2:$J$500=B479
)), "")</f>
        <v/>
      </c>
      <c r="Q479" s="32" t="e">
        <f t="shared" si="22"/>
        <v>#N/A</v>
      </c>
      <c r="R479" s="42" t="e">
        <f>_xlfn.LET(_xlpm.Result,INDEX(Input!$D$2:$AC$500,
       MATCH(B479, Input!$J$2:$J$500, 0),
       MATCH("Capacity", Input!$D$1:$AC$1, 0)),IF(_xlpm.Result="","",_xlpm.Result))</f>
        <v>#N/A</v>
      </c>
      <c r="S479" s="42"/>
      <c r="T479" s="42"/>
      <c r="U479" s="42" t="str" cm="1">
        <f t="array" ref="U479">IFERROR(_xlfn.IFS(
S479="","",
--S479&lt;55,"Battery Defect",
--S479&lt;=69,"Battery D",
--S479&lt;=80,"Battery C",
--S479&gt;80,""
),"")</f>
        <v/>
      </c>
      <c r="V479" s="42" t="str" cm="1">
        <f t="array" ref="V479">IFERROR(_xlfn.IFS(
T479="","",
--T479&lt;55,"Battery Defect",
--T479&lt;=69,"Battery D",
--T479&lt;=80,"Battery C",
--T479&gt;80,""
),"")</f>
        <v/>
      </c>
      <c r="W479" s="42"/>
      <c r="X479" s="42"/>
      <c r="Y479" s="42"/>
      <c r="Z479" s="42"/>
      <c r="AA479" s="42"/>
      <c r="AB479" s="42"/>
      <c r="AC479" s="42"/>
      <c r="AD479" s="42"/>
      <c r="AE479" s="32" t="str">
        <f t="shared" si="21"/>
        <v/>
      </c>
      <c r="AF479" s="32"/>
      <c r="AG479" s="32"/>
      <c r="AH479" s="32"/>
      <c r="AI479" s="32"/>
      <c r="AJ479" s="32"/>
      <c r="AK479" s="32"/>
      <c r="AL479" s="32"/>
      <c r="AM479" s="32"/>
    </row>
    <row r="480" spans="1:39">
      <c r="A480" s="32" t="str">
        <f>_xlfn.XLOOKUP(B480,Input!J:J,Input!G:G)&amp;""</f>
        <v/>
      </c>
      <c r="B480" s="32"/>
      <c r="C480" s="32" t="str">
        <f>_xlfn.XLOOKUP(B480,Input!J:J,Input!H:H)&amp;""</f>
        <v/>
      </c>
      <c r="D480" s="42">
        <f>_xlfn.XLOOKUP(B480,Input!J:J,Input!F:F)</f>
        <v>0</v>
      </c>
      <c r="E480" s="32">
        <f>_xlfn.XLOOKUP(D480,Models!H:H,Models!G:G,D480)</f>
        <v>0</v>
      </c>
      <c r="F480" s="32">
        <f>_xlfn.XLOOKUP(B480,Input!J:J,Input!E:E)</f>
        <v>0</v>
      </c>
      <c r="G480" s="32">
        <f>IF(F480="LENOVO",_xlfn.XLOOKUP(B480,Input!J:J,Input!K:K),_xlfn.XLOOKUP(B480,Input!J:J,Input!L:L))</f>
        <v>0</v>
      </c>
      <c r="H480" s="32"/>
      <c r="I480" s="32"/>
      <c r="J480" s="32"/>
      <c r="K480" s="42" t="e">
        <f>INDEX(Input!$D$2:$AC$500,
       MATCH(B480, Input!$J$2:$J$500, 0),
       MATCH("Total Memory", Input!$D$1:$AC$1, 0))</f>
        <v>#N/A</v>
      </c>
      <c r="L480" s="42"/>
      <c r="M480" s="42" t="str" cm="1">
        <f t="array" ref="M480">IFERROR(_xlfn.FILTERXML("&lt;t&gt;&lt;s&gt;" &amp; SUBSTITUTE(L480," / ","&lt;/s&gt;&lt;s&gt;") &amp; "&lt;/s&gt;&lt;/t&gt;","(//s[contains(.,'DDR')])[1]"),"")</f>
        <v/>
      </c>
      <c r="N480" s="32" t="e">
        <f t="shared" si="23"/>
        <v>#N/A</v>
      </c>
      <c r="O480" s="42" t="e">
        <f>INDEX(Input!$D$2:$AC$500,
       MATCH(B480, Input!$J$2:$J$500, 0),
       MATCH("Disk Interface Type", Input!$D$1:$AC$1, 0))</f>
        <v>#N/A</v>
      </c>
      <c r="P480" s="42" t="str" cm="1">
        <f t="array" ref="P480">IFERROR(_xlfn.TEXTJOIN(", ", TRUE, _xlfn._xlws.FILTER(
    INDEX(Input!$D$2:$AC$500,,MATCH("Disk Capacity",Input!$D$1:$AC$1,0)),
    Input!$J$2:$J$500=B480
)), "")</f>
        <v/>
      </c>
      <c r="Q480" s="32" t="e">
        <f t="shared" si="22"/>
        <v>#N/A</v>
      </c>
      <c r="R480" s="42" t="e">
        <f>_xlfn.LET(_xlpm.Result,INDEX(Input!$D$2:$AC$500,
       MATCH(B480, Input!$J$2:$J$500, 0),
       MATCH("Capacity", Input!$D$1:$AC$1, 0)),IF(_xlpm.Result="","",_xlpm.Result))</f>
        <v>#N/A</v>
      </c>
      <c r="S480" s="42"/>
      <c r="T480" s="42"/>
      <c r="U480" s="42" t="str" cm="1">
        <f t="array" ref="U480">IFERROR(_xlfn.IFS(
S480="","",
--S480&lt;55,"Battery Defect",
--S480&lt;=69,"Battery D",
--S480&lt;=80,"Battery C",
--S480&gt;80,""
),"")</f>
        <v/>
      </c>
      <c r="V480" s="42" t="str" cm="1">
        <f t="array" ref="V480">IFERROR(_xlfn.IFS(
T480="","",
--T480&lt;55,"Battery Defect",
--T480&lt;=69,"Battery D",
--T480&lt;=80,"Battery C",
--T480&gt;80,""
),"")</f>
        <v/>
      </c>
      <c r="W480" s="42"/>
      <c r="X480" s="42"/>
      <c r="Y480" s="42"/>
      <c r="Z480" s="42"/>
      <c r="AA480" s="42"/>
      <c r="AB480" s="42"/>
      <c r="AC480" s="42"/>
      <c r="AD480" s="42"/>
      <c r="AE480" s="32" t="str">
        <f t="shared" si="21"/>
        <v/>
      </c>
      <c r="AF480" s="32"/>
      <c r="AG480" s="32"/>
      <c r="AH480" s="32"/>
      <c r="AI480" s="32"/>
      <c r="AJ480" s="32"/>
      <c r="AK480" s="32"/>
      <c r="AL480" s="32"/>
      <c r="AM480" s="32"/>
    </row>
    <row r="481" spans="1:39">
      <c r="A481" s="32" t="str">
        <f>_xlfn.XLOOKUP(B481,Input!J:J,Input!G:G)&amp;""</f>
        <v/>
      </c>
      <c r="B481" s="32"/>
      <c r="C481" s="32" t="str">
        <f>_xlfn.XLOOKUP(B481,Input!J:J,Input!H:H)&amp;""</f>
        <v/>
      </c>
      <c r="D481" s="42">
        <f>_xlfn.XLOOKUP(B481,Input!J:J,Input!F:F)</f>
        <v>0</v>
      </c>
      <c r="E481" s="32">
        <f>_xlfn.XLOOKUP(D481,Models!H:H,Models!G:G,D481)</f>
        <v>0</v>
      </c>
      <c r="F481" s="32">
        <f>_xlfn.XLOOKUP(B481,Input!J:J,Input!E:E)</f>
        <v>0</v>
      </c>
      <c r="G481" s="32">
        <f>IF(F481="LENOVO",_xlfn.XLOOKUP(B481,Input!J:J,Input!K:K),_xlfn.XLOOKUP(B481,Input!J:J,Input!L:L))</f>
        <v>0</v>
      </c>
      <c r="H481" s="32"/>
      <c r="I481" s="32"/>
      <c r="J481" s="32"/>
      <c r="K481" s="42" t="e">
        <f>INDEX(Input!$D$2:$AC$500,
       MATCH(B481, Input!$J$2:$J$500, 0),
       MATCH("Total Memory", Input!$D$1:$AC$1, 0))</f>
        <v>#N/A</v>
      </c>
      <c r="L481" s="42"/>
      <c r="M481" s="42" t="str" cm="1">
        <f t="array" ref="M481">IFERROR(_xlfn.FILTERXML("&lt;t&gt;&lt;s&gt;" &amp; SUBSTITUTE(L481," / ","&lt;/s&gt;&lt;s&gt;") &amp; "&lt;/s&gt;&lt;/t&gt;","(//s[contains(.,'DDR')])[1]"),"")</f>
        <v/>
      </c>
      <c r="N481" s="32" t="e">
        <f t="shared" si="23"/>
        <v>#N/A</v>
      </c>
      <c r="O481" s="42" t="e">
        <f>INDEX(Input!$D$2:$AC$500,
       MATCH(B481, Input!$J$2:$J$500, 0),
       MATCH("Disk Interface Type", Input!$D$1:$AC$1, 0))</f>
        <v>#N/A</v>
      </c>
      <c r="P481" s="42" t="str" cm="1">
        <f t="array" ref="P481">IFERROR(_xlfn.TEXTJOIN(", ", TRUE, _xlfn._xlws.FILTER(
    INDEX(Input!$D$2:$AC$500,,MATCH("Disk Capacity",Input!$D$1:$AC$1,0)),
    Input!$J$2:$J$500=B481
)), "")</f>
        <v/>
      </c>
      <c r="Q481" s="32" t="e">
        <f t="shared" si="22"/>
        <v>#N/A</v>
      </c>
      <c r="R481" s="42" t="e">
        <f>_xlfn.LET(_xlpm.Result,INDEX(Input!$D$2:$AC$500,
       MATCH(B481, Input!$J$2:$J$500, 0),
       MATCH("Capacity", Input!$D$1:$AC$1, 0)),IF(_xlpm.Result="","",_xlpm.Result))</f>
        <v>#N/A</v>
      </c>
      <c r="S481" s="42"/>
      <c r="T481" s="42"/>
      <c r="U481" s="42" t="str" cm="1">
        <f t="array" ref="U481">IFERROR(_xlfn.IFS(
S481="","",
--S481&lt;55,"Battery Defect",
--S481&lt;=69,"Battery D",
--S481&lt;=80,"Battery C",
--S481&gt;80,""
),"")</f>
        <v/>
      </c>
      <c r="V481" s="42" t="str" cm="1">
        <f t="array" ref="V481">IFERROR(_xlfn.IFS(
T481="","",
--T481&lt;55,"Battery Defect",
--T481&lt;=69,"Battery D",
--T481&lt;=80,"Battery C",
--T481&gt;80,""
),"")</f>
        <v/>
      </c>
      <c r="W481" s="42"/>
      <c r="X481" s="42"/>
      <c r="Y481" s="42"/>
      <c r="Z481" s="42"/>
      <c r="AA481" s="42"/>
      <c r="AB481" s="42"/>
      <c r="AC481" s="42"/>
      <c r="AD481" s="42"/>
      <c r="AE481" s="32" t="str">
        <f t="shared" si="21"/>
        <v/>
      </c>
      <c r="AF481" s="32"/>
      <c r="AG481" s="32"/>
      <c r="AH481" s="32"/>
      <c r="AI481" s="32"/>
      <c r="AJ481" s="32"/>
      <c r="AK481" s="32"/>
      <c r="AL481" s="32"/>
      <c r="AM481" s="32"/>
    </row>
    <row r="482" spans="1:39">
      <c r="A482" s="32" t="str">
        <f>_xlfn.XLOOKUP(B482,Input!J:J,Input!G:G)&amp;""</f>
        <v/>
      </c>
      <c r="B482" s="32"/>
      <c r="C482" s="32" t="str">
        <f>_xlfn.XLOOKUP(B482,Input!J:J,Input!H:H)&amp;""</f>
        <v/>
      </c>
      <c r="D482" s="42">
        <f>_xlfn.XLOOKUP(B482,Input!J:J,Input!F:F)</f>
        <v>0</v>
      </c>
      <c r="E482" s="32">
        <f>_xlfn.XLOOKUP(D482,Models!H:H,Models!G:G,D482)</f>
        <v>0</v>
      </c>
      <c r="F482" s="32">
        <f>_xlfn.XLOOKUP(B482,Input!J:J,Input!E:E)</f>
        <v>0</v>
      </c>
      <c r="G482" s="32">
        <f>IF(F482="LENOVO",_xlfn.XLOOKUP(B482,Input!J:J,Input!K:K),_xlfn.XLOOKUP(B482,Input!J:J,Input!L:L))</f>
        <v>0</v>
      </c>
      <c r="H482" s="32"/>
      <c r="I482" s="32"/>
      <c r="J482" s="32"/>
      <c r="K482" s="42" t="e">
        <f>INDEX(Input!$D$2:$AC$500,
       MATCH(B482, Input!$J$2:$J$500, 0),
       MATCH("Total Memory", Input!$D$1:$AC$1, 0))</f>
        <v>#N/A</v>
      </c>
      <c r="L482" s="42"/>
      <c r="M482" s="42" t="str" cm="1">
        <f t="array" ref="M482">IFERROR(_xlfn.FILTERXML("&lt;t&gt;&lt;s&gt;" &amp; SUBSTITUTE(L482," / ","&lt;/s&gt;&lt;s&gt;") &amp; "&lt;/s&gt;&lt;/t&gt;","(//s[contains(.,'DDR')])[1]"),"")</f>
        <v/>
      </c>
      <c r="N482" s="32" t="e">
        <f t="shared" si="23"/>
        <v>#N/A</v>
      </c>
      <c r="O482" s="42" t="e">
        <f>INDEX(Input!$D$2:$AC$500,
       MATCH(B482, Input!$J$2:$J$500, 0),
       MATCH("Disk Interface Type", Input!$D$1:$AC$1, 0))</f>
        <v>#N/A</v>
      </c>
      <c r="P482" s="42" t="str" cm="1">
        <f t="array" ref="P482">IFERROR(_xlfn.TEXTJOIN(", ", TRUE, _xlfn._xlws.FILTER(
    INDEX(Input!$D$2:$AC$500,,MATCH("Disk Capacity",Input!$D$1:$AC$1,0)),
    Input!$J$2:$J$500=B482
)), "")</f>
        <v/>
      </c>
      <c r="Q482" s="32" t="e">
        <f t="shared" si="22"/>
        <v>#N/A</v>
      </c>
      <c r="R482" s="42" t="e">
        <f>_xlfn.LET(_xlpm.Result,INDEX(Input!$D$2:$AC$500,
       MATCH(B482, Input!$J$2:$J$500, 0),
       MATCH("Capacity", Input!$D$1:$AC$1, 0)),IF(_xlpm.Result="","",_xlpm.Result))</f>
        <v>#N/A</v>
      </c>
      <c r="S482" s="42"/>
      <c r="T482" s="42"/>
      <c r="U482" s="42" t="str" cm="1">
        <f t="array" ref="U482">IFERROR(_xlfn.IFS(
S482="","",
--S482&lt;55,"Battery Defect",
--S482&lt;=69,"Battery D",
--S482&lt;=80,"Battery C",
--S482&gt;80,""
),"")</f>
        <v/>
      </c>
      <c r="V482" s="42" t="str" cm="1">
        <f t="array" ref="V482">IFERROR(_xlfn.IFS(
T482="","",
--T482&lt;55,"Battery Defect",
--T482&lt;=69,"Battery D",
--T482&lt;=80,"Battery C",
--T482&gt;80,""
),"")</f>
        <v/>
      </c>
      <c r="W482" s="42"/>
      <c r="X482" s="42"/>
      <c r="Y482" s="42"/>
      <c r="Z482" s="42"/>
      <c r="AA482" s="42"/>
      <c r="AB482" s="42"/>
      <c r="AC482" s="42"/>
      <c r="AD482" s="42"/>
      <c r="AE482" s="32" t="str">
        <f t="shared" si="21"/>
        <v/>
      </c>
      <c r="AF482" s="32"/>
      <c r="AG482" s="32"/>
      <c r="AH482" s="32"/>
      <c r="AI482" s="32"/>
      <c r="AJ482" s="32"/>
      <c r="AK482" s="32"/>
      <c r="AL482" s="32"/>
      <c r="AM482" s="32"/>
    </row>
    <row r="483" spans="1:39">
      <c r="A483" s="32" t="str">
        <f>_xlfn.XLOOKUP(B483,Input!J:J,Input!G:G)&amp;""</f>
        <v/>
      </c>
      <c r="B483" s="32"/>
      <c r="C483" s="32" t="str">
        <f>_xlfn.XLOOKUP(B483,Input!J:J,Input!H:H)&amp;""</f>
        <v/>
      </c>
      <c r="D483" s="42">
        <f>_xlfn.XLOOKUP(B483,Input!J:J,Input!F:F)</f>
        <v>0</v>
      </c>
      <c r="E483" s="32">
        <f>_xlfn.XLOOKUP(D483,Models!H:H,Models!G:G,D483)</f>
        <v>0</v>
      </c>
      <c r="F483" s="32">
        <f>_xlfn.XLOOKUP(B483,Input!J:J,Input!E:E)</f>
        <v>0</v>
      </c>
      <c r="G483" s="32">
        <f>IF(F483="LENOVO",_xlfn.XLOOKUP(B483,Input!J:J,Input!K:K),_xlfn.XLOOKUP(B483,Input!J:J,Input!L:L))</f>
        <v>0</v>
      </c>
      <c r="H483" s="32"/>
      <c r="I483" s="32"/>
      <c r="J483" s="32"/>
      <c r="K483" s="42" t="e">
        <f>INDEX(Input!$D$2:$AC$500,
       MATCH(B483, Input!$J$2:$J$500, 0),
       MATCH("Total Memory", Input!$D$1:$AC$1, 0))</f>
        <v>#N/A</v>
      </c>
      <c r="L483" s="42"/>
      <c r="M483" s="42" t="str" cm="1">
        <f t="array" ref="M483">IFERROR(_xlfn.FILTERXML("&lt;t&gt;&lt;s&gt;" &amp; SUBSTITUTE(L483," / ","&lt;/s&gt;&lt;s&gt;") &amp; "&lt;/s&gt;&lt;/t&gt;","(//s[contains(.,'DDR')])[1]"),"")</f>
        <v/>
      </c>
      <c r="N483" s="32" t="e">
        <f t="shared" si="23"/>
        <v>#N/A</v>
      </c>
      <c r="O483" s="42" t="e">
        <f>INDEX(Input!$D$2:$AC$500,
       MATCH(B483, Input!$J$2:$J$500, 0),
       MATCH("Disk Interface Type", Input!$D$1:$AC$1, 0))</f>
        <v>#N/A</v>
      </c>
      <c r="P483" s="42" t="str" cm="1">
        <f t="array" ref="P483">IFERROR(_xlfn.TEXTJOIN(", ", TRUE, _xlfn._xlws.FILTER(
    INDEX(Input!$D$2:$AC$500,,MATCH("Disk Capacity",Input!$D$1:$AC$1,0)),
    Input!$J$2:$J$500=B483
)), "")</f>
        <v/>
      </c>
      <c r="Q483" s="32" t="e">
        <f t="shared" si="22"/>
        <v>#N/A</v>
      </c>
      <c r="R483" s="42" t="e">
        <f>_xlfn.LET(_xlpm.Result,INDEX(Input!$D$2:$AC$500,
       MATCH(B483, Input!$J$2:$J$500, 0),
       MATCH("Capacity", Input!$D$1:$AC$1, 0)),IF(_xlpm.Result="","",_xlpm.Result))</f>
        <v>#N/A</v>
      </c>
      <c r="S483" s="42"/>
      <c r="T483" s="42"/>
      <c r="U483" s="42" t="str" cm="1">
        <f t="array" ref="U483">IFERROR(_xlfn.IFS(
S483="","",
--S483&lt;55,"Battery Defect",
--S483&lt;=69,"Battery D",
--S483&lt;=80,"Battery C",
--S483&gt;80,""
),"")</f>
        <v/>
      </c>
      <c r="V483" s="42" t="str" cm="1">
        <f t="array" ref="V483">IFERROR(_xlfn.IFS(
T483="","",
--T483&lt;55,"Battery Defect",
--T483&lt;=69,"Battery D",
--T483&lt;=80,"Battery C",
--T483&gt;80,""
),"")</f>
        <v/>
      </c>
      <c r="W483" s="42"/>
      <c r="X483" s="42"/>
      <c r="Y483" s="42"/>
      <c r="Z483" s="42"/>
      <c r="AA483" s="42"/>
      <c r="AB483" s="42"/>
      <c r="AC483" s="42"/>
      <c r="AD483" s="42"/>
      <c r="AE483" s="32" t="str">
        <f t="shared" si="21"/>
        <v/>
      </c>
      <c r="AF483" s="32"/>
      <c r="AG483" s="32"/>
      <c r="AH483" s="32"/>
      <c r="AI483" s="32"/>
      <c r="AJ483" s="32"/>
      <c r="AK483" s="32"/>
      <c r="AL483" s="32"/>
      <c r="AM483" s="32"/>
    </row>
    <row r="484" spans="1:39">
      <c r="A484" s="32" t="str">
        <f>_xlfn.XLOOKUP(B484,Input!J:J,Input!G:G)&amp;""</f>
        <v/>
      </c>
      <c r="B484" s="32"/>
      <c r="C484" s="32" t="str">
        <f>_xlfn.XLOOKUP(B484,Input!J:J,Input!H:H)&amp;""</f>
        <v/>
      </c>
      <c r="D484" s="42">
        <f>_xlfn.XLOOKUP(B484,Input!J:J,Input!F:F)</f>
        <v>0</v>
      </c>
      <c r="E484" s="32">
        <f>_xlfn.XLOOKUP(D484,Models!H:H,Models!G:G,D484)</f>
        <v>0</v>
      </c>
      <c r="F484" s="32">
        <f>_xlfn.XLOOKUP(B484,Input!J:J,Input!E:E)</f>
        <v>0</v>
      </c>
      <c r="G484" s="32">
        <f>IF(F484="LENOVO",_xlfn.XLOOKUP(B484,Input!J:J,Input!K:K),_xlfn.XLOOKUP(B484,Input!J:J,Input!L:L))</f>
        <v>0</v>
      </c>
      <c r="H484" s="32"/>
      <c r="I484" s="32"/>
      <c r="J484" s="32"/>
      <c r="K484" s="42" t="e">
        <f>INDEX(Input!$D$2:$AC$500,
       MATCH(B484, Input!$J$2:$J$500, 0),
       MATCH("Total Memory", Input!$D$1:$AC$1, 0))</f>
        <v>#N/A</v>
      </c>
      <c r="L484" s="42"/>
      <c r="M484" s="42" t="str" cm="1">
        <f t="array" ref="M484">IFERROR(_xlfn.FILTERXML("&lt;t&gt;&lt;s&gt;" &amp; SUBSTITUTE(L484," / ","&lt;/s&gt;&lt;s&gt;") &amp; "&lt;/s&gt;&lt;/t&gt;","(//s[contains(.,'DDR')])[1]"),"")</f>
        <v/>
      </c>
      <c r="N484" s="32" t="e">
        <f t="shared" si="23"/>
        <v>#N/A</v>
      </c>
      <c r="O484" s="42" t="e">
        <f>INDEX(Input!$D$2:$AC$500,
       MATCH(B484, Input!$J$2:$J$500, 0),
       MATCH("Disk Interface Type", Input!$D$1:$AC$1, 0))</f>
        <v>#N/A</v>
      </c>
      <c r="P484" s="42" t="str" cm="1">
        <f t="array" ref="P484">IFERROR(_xlfn.TEXTJOIN(", ", TRUE, _xlfn._xlws.FILTER(
    INDEX(Input!$D$2:$AC$500,,MATCH("Disk Capacity",Input!$D$1:$AC$1,0)),
    Input!$J$2:$J$500=B484
)), "")</f>
        <v/>
      </c>
      <c r="Q484" s="32" t="e">
        <f t="shared" si="22"/>
        <v>#N/A</v>
      </c>
      <c r="R484" s="42" t="e">
        <f>_xlfn.LET(_xlpm.Result,INDEX(Input!$D$2:$AC$500,
       MATCH(B484, Input!$J$2:$J$500, 0),
       MATCH("Capacity", Input!$D$1:$AC$1, 0)),IF(_xlpm.Result="","",_xlpm.Result))</f>
        <v>#N/A</v>
      </c>
      <c r="S484" s="42"/>
      <c r="T484" s="42"/>
      <c r="U484" s="42" t="str" cm="1">
        <f t="array" ref="U484">IFERROR(_xlfn.IFS(
S484="","",
--S484&lt;55,"Battery Defect",
--S484&lt;=69,"Battery D",
--S484&lt;=80,"Battery C",
--S484&gt;80,""
),"")</f>
        <v/>
      </c>
      <c r="V484" s="42" t="str" cm="1">
        <f t="array" ref="V484">IFERROR(_xlfn.IFS(
T484="","",
--T484&lt;55,"Battery Defect",
--T484&lt;=69,"Battery D",
--T484&lt;=80,"Battery C",
--T484&gt;80,""
),"")</f>
        <v/>
      </c>
      <c r="W484" s="42"/>
      <c r="X484" s="42"/>
      <c r="Y484" s="42"/>
      <c r="Z484" s="42"/>
      <c r="AA484" s="42"/>
      <c r="AB484" s="42"/>
      <c r="AC484" s="42"/>
      <c r="AD484" s="42"/>
      <c r="AE484" s="32" t="str">
        <f t="shared" si="21"/>
        <v/>
      </c>
      <c r="AF484" s="32"/>
      <c r="AG484" s="32"/>
      <c r="AH484" s="32"/>
      <c r="AI484" s="32"/>
      <c r="AJ484" s="32"/>
      <c r="AK484" s="32"/>
      <c r="AL484" s="32"/>
      <c r="AM484" s="32"/>
    </row>
    <row r="485" spans="1:39">
      <c r="A485" s="32" t="str">
        <f>_xlfn.XLOOKUP(B485,Input!J:J,Input!G:G)&amp;""</f>
        <v/>
      </c>
      <c r="B485" s="32"/>
      <c r="C485" s="32" t="str">
        <f>_xlfn.XLOOKUP(B485,Input!J:J,Input!H:H)&amp;""</f>
        <v/>
      </c>
      <c r="D485" s="42">
        <f>_xlfn.XLOOKUP(B485,Input!J:J,Input!F:F)</f>
        <v>0</v>
      </c>
      <c r="E485" s="32">
        <f>_xlfn.XLOOKUP(D485,Models!H:H,Models!G:G,D485)</f>
        <v>0</v>
      </c>
      <c r="F485" s="32">
        <f>_xlfn.XLOOKUP(B485,Input!J:J,Input!E:E)</f>
        <v>0</v>
      </c>
      <c r="G485" s="32">
        <f>IF(F485="LENOVO",_xlfn.XLOOKUP(B485,Input!J:J,Input!K:K),_xlfn.XLOOKUP(B485,Input!J:J,Input!L:L))</f>
        <v>0</v>
      </c>
      <c r="H485" s="32"/>
      <c r="I485" s="32"/>
      <c r="J485" s="32"/>
      <c r="K485" s="42" t="e">
        <f>INDEX(Input!$D$2:$AC$500,
       MATCH(B485, Input!$J$2:$J$500, 0),
       MATCH("Total Memory", Input!$D$1:$AC$1, 0))</f>
        <v>#N/A</v>
      </c>
      <c r="L485" s="42"/>
      <c r="M485" s="42" t="str" cm="1">
        <f t="array" ref="M485">IFERROR(_xlfn.FILTERXML("&lt;t&gt;&lt;s&gt;" &amp; SUBSTITUTE(L485," / ","&lt;/s&gt;&lt;s&gt;") &amp; "&lt;/s&gt;&lt;/t&gt;","(//s[contains(.,'DDR')])[1]"),"")</f>
        <v/>
      </c>
      <c r="N485" s="32" t="e">
        <f t="shared" si="23"/>
        <v>#N/A</v>
      </c>
      <c r="O485" s="42" t="e">
        <f>INDEX(Input!$D$2:$AC$500,
       MATCH(B485, Input!$J$2:$J$500, 0),
       MATCH("Disk Interface Type", Input!$D$1:$AC$1, 0))</f>
        <v>#N/A</v>
      </c>
      <c r="P485" s="42" t="str" cm="1">
        <f t="array" ref="P485">IFERROR(_xlfn.TEXTJOIN(", ", TRUE, _xlfn._xlws.FILTER(
    INDEX(Input!$D$2:$AC$500,,MATCH("Disk Capacity",Input!$D$1:$AC$1,0)),
    Input!$J$2:$J$500=B485
)), "")</f>
        <v/>
      </c>
      <c r="Q485" s="32" t="e">
        <f t="shared" si="22"/>
        <v>#N/A</v>
      </c>
      <c r="R485" s="42" t="e">
        <f>_xlfn.LET(_xlpm.Result,INDEX(Input!$D$2:$AC$500,
       MATCH(B485, Input!$J$2:$J$500, 0),
       MATCH("Capacity", Input!$D$1:$AC$1, 0)),IF(_xlpm.Result="","",_xlpm.Result))</f>
        <v>#N/A</v>
      </c>
      <c r="S485" s="42"/>
      <c r="T485" s="42"/>
      <c r="U485" s="42" t="str" cm="1">
        <f t="array" ref="U485">IFERROR(_xlfn.IFS(
S485="","",
--S485&lt;55,"Battery Defect",
--S485&lt;=69,"Battery D",
--S485&lt;=80,"Battery C",
--S485&gt;80,""
),"")</f>
        <v/>
      </c>
      <c r="V485" s="42" t="str" cm="1">
        <f t="array" ref="V485">IFERROR(_xlfn.IFS(
T485="","",
--T485&lt;55,"Battery Defect",
--T485&lt;=69,"Battery D",
--T485&lt;=80,"Battery C",
--T485&gt;80,""
),"")</f>
        <v/>
      </c>
      <c r="W485" s="42"/>
      <c r="X485" s="42"/>
      <c r="Y485" s="42"/>
      <c r="Z485" s="42"/>
      <c r="AA485" s="42"/>
      <c r="AB485" s="42"/>
      <c r="AC485" s="42"/>
      <c r="AD485" s="42"/>
      <c r="AE485" s="32" t="str">
        <f t="shared" si="21"/>
        <v/>
      </c>
      <c r="AF485" s="32"/>
      <c r="AG485" s="32"/>
      <c r="AH485" s="32"/>
      <c r="AI485" s="32"/>
      <c r="AJ485" s="32"/>
      <c r="AK485" s="32"/>
      <c r="AL485" s="32"/>
      <c r="AM485" s="32"/>
    </row>
    <row r="486" spans="1:39">
      <c r="A486" s="32" t="str">
        <f>_xlfn.XLOOKUP(B486,Input!J:J,Input!G:G)&amp;""</f>
        <v/>
      </c>
      <c r="B486" s="32"/>
      <c r="C486" s="32" t="str">
        <f>_xlfn.XLOOKUP(B486,Input!J:J,Input!H:H)&amp;""</f>
        <v/>
      </c>
      <c r="D486" s="42">
        <f>_xlfn.XLOOKUP(B486,Input!J:J,Input!F:F)</f>
        <v>0</v>
      </c>
      <c r="E486" s="32">
        <f>_xlfn.XLOOKUP(D486,Models!H:H,Models!G:G,D486)</f>
        <v>0</v>
      </c>
      <c r="F486" s="32">
        <f>_xlfn.XLOOKUP(B486,Input!J:J,Input!E:E)</f>
        <v>0</v>
      </c>
      <c r="G486" s="32">
        <f>IF(F486="LENOVO",_xlfn.XLOOKUP(B486,Input!J:J,Input!K:K),_xlfn.XLOOKUP(B486,Input!J:J,Input!L:L))</f>
        <v>0</v>
      </c>
      <c r="H486" s="32"/>
      <c r="I486" s="32"/>
      <c r="J486" s="32"/>
      <c r="K486" s="42" t="e">
        <f>INDEX(Input!$D$2:$AC$500,
       MATCH(B486, Input!$J$2:$J$500, 0),
       MATCH("Total Memory", Input!$D$1:$AC$1, 0))</f>
        <v>#N/A</v>
      </c>
      <c r="L486" s="42"/>
      <c r="M486" s="42" t="str" cm="1">
        <f t="array" ref="M486">IFERROR(_xlfn.FILTERXML("&lt;t&gt;&lt;s&gt;" &amp; SUBSTITUTE(L486," / ","&lt;/s&gt;&lt;s&gt;") &amp; "&lt;/s&gt;&lt;/t&gt;","(//s[contains(.,'DDR')])[1]"),"")</f>
        <v/>
      </c>
      <c r="N486" s="32" t="e">
        <f t="shared" si="23"/>
        <v>#N/A</v>
      </c>
      <c r="O486" s="42" t="e">
        <f>INDEX(Input!$D$2:$AC$500,
       MATCH(B486, Input!$J$2:$J$500, 0),
       MATCH("Disk Interface Type", Input!$D$1:$AC$1, 0))</f>
        <v>#N/A</v>
      </c>
      <c r="P486" s="42" t="str" cm="1">
        <f t="array" ref="P486">IFERROR(_xlfn.TEXTJOIN(", ", TRUE, _xlfn._xlws.FILTER(
    INDEX(Input!$D$2:$AC$500,,MATCH("Disk Capacity",Input!$D$1:$AC$1,0)),
    Input!$J$2:$J$500=B486
)), "")</f>
        <v/>
      </c>
      <c r="Q486" s="32" t="e">
        <f t="shared" si="22"/>
        <v>#N/A</v>
      </c>
      <c r="R486" s="42" t="e">
        <f>_xlfn.LET(_xlpm.Result,INDEX(Input!$D$2:$AC$500,
       MATCH(B486, Input!$J$2:$J$500, 0),
       MATCH("Capacity", Input!$D$1:$AC$1, 0)),IF(_xlpm.Result="","",_xlpm.Result))</f>
        <v>#N/A</v>
      </c>
      <c r="S486" s="42"/>
      <c r="T486" s="42"/>
      <c r="U486" s="42" t="str" cm="1">
        <f t="array" ref="U486">IFERROR(_xlfn.IFS(
S486="","",
--S486&lt;55,"Battery Defect",
--S486&lt;=69,"Battery D",
--S486&lt;=80,"Battery C",
--S486&gt;80,""
),"")</f>
        <v/>
      </c>
      <c r="V486" s="42" t="str" cm="1">
        <f t="array" ref="V486">IFERROR(_xlfn.IFS(
T486="","",
--T486&lt;55,"Battery Defect",
--T486&lt;=69,"Battery D",
--T486&lt;=80,"Battery C",
--T486&gt;80,""
),"")</f>
        <v/>
      </c>
      <c r="W486" s="42"/>
      <c r="X486" s="42"/>
      <c r="Y486" s="42"/>
      <c r="Z486" s="42"/>
      <c r="AA486" s="42"/>
      <c r="AB486" s="42"/>
      <c r="AC486" s="42"/>
      <c r="AD486" s="42"/>
      <c r="AE486" s="32" t="str">
        <f t="shared" si="21"/>
        <v/>
      </c>
      <c r="AF486" s="32"/>
      <c r="AG486" s="32"/>
      <c r="AH486" s="32"/>
      <c r="AI486" s="32"/>
      <c r="AJ486" s="32"/>
      <c r="AK486" s="32"/>
      <c r="AL486" s="32"/>
      <c r="AM486" s="32"/>
    </row>
    <row r="487" spans="1:39">
      <c r="A487" s="32" t="str">
        <f>_xlfn.XLOOKUP(B487,Input!J:J,Input!G:G)&amp;""</f>
        <v/>
      </c>
      <c r="B487" s="32"/>
      <c r="C487" s="32" t="str">
        <f>_xlfn.XLOOKUP(B487,Input!J:J,Input!H:H)&amp;""</f>
        <v/>
      </c>
      <c r="D487" s="42">
        <f>_xlfn.XLOOKUP(B487,Input!J:J,Input!F:F)</f>
        <v>0</v>
      </c>
      <c r="E487" s="32">
        <f>_xlfn.XLOOKUP(D487,Models!H:H,Models!G:G,D487)</f>
        <v>0</v>
      </c>
      <c r="F487" s="32">
        <f>_xlfn.XLOOKUP(B487,Input!J:J,Input!E:E)</f>
        <v>0</v>
      </c>
      <c r="G487" s="32">
        <f>IF(F487="LENOVO",_xlfn.XLOOKUP(B487,Input!J:J,Input!K:K),_xlfn.XLOOKUP(B487,Input!J:J,Input!L:L))</f>
        <v>0</v>
      </c>
      <c r="H487" s="32"/>
      <c r="I487" s="32"/>
      <c r="J487" s="32"/>
      <c r="K487" s="42" t="e">
        <f>INDEX(Input!$D$2:$AC$500,
       MATCH(B487, Input!$J$2:$J$500, 0),
       MATCH("Total Memory", Input!$D$1:$AC$1, 0))</f>
        <v>#N/A</v>
      </c>
      <c r="L487" s="42"/>
      <c r="M487" s="42" t="str" cm="1">
        <f t="array" ref="M487">IFERROR(_xlfn.FILTERXML("&lt;t&gt;&lt;s&gt;" &amp; SUBSTITUTE(L487," / ","&lt;/s&gt;&lt;s&gt;") &amp; "&lt;/s&gt;&lt;/t&gt;","(//s[contains(.,'DDR')])[1]"),"")</f>
        <v/>
      </c>
      <c r="N487" s="32" t="e">
        <f t="shared" si="23"/>
        <v>#N/A</v>
      </c>
      <c r="O487" s="42" t="e">
        <f>INDEX(Input!$D$2:$AC$500,
       MATCH(B487, Input!$J$2:$J$500, 0),
       MATCH("Disk Interface Type", Input!$D$1:$AC$1, 0))</f>
        <v>#N/A</v>
      </c>
      <c r="P487" s="42" t="str" cm="1">
        <f t="array" ref="P487">IFERROR(_xlfn.TEXTJOIN(", ", TRUE, _xlfn._xlws.FILTER(
    INDEX(Input!$D$2:$AC$500,,MATCH("Disk Capacity",Input!$D$1:$AC$1,0)),
    Input!$J$2:$J$500=B487
)), "")</f>
        <v/>
      </c>
      <c r="Q487" s="32" t="e">
        <f t="shared" si="22"/>
        <v>#N/A</v>
      </c>
      <c r="R487" s="42" t="e">
        <f>_xlfn.LET(_xlpm.Result,INDEX(Input!$D$2:$AC$500,
       MATCH(B487, Input!$J$2:$J$500, 0),
       MATCH("Capacity", Input!$D$1:$AC$1, 0)),IF(_xlpm.Result="","",_xlpm.Result))</f>
        <v>#N/A</v>
      </c>
      <c r="S487" s="42"/>
      <c r="T487" s="42"/>
      <c r="U487" s="42" t="str" cm="1">
        <f t="array" ref="U487">IFERROR(_xlfn.IFS(
S487="","",
--S487&lt;55,"Battery Defect",
--S487&lt;=69,"Battery D",
--S487&lt;=80,"Battery C",
--S487&gt;80,""
),"")</f>
        <v/>
      </c>
      <c r="V487" s="42" t="str" cm="1">
        <f t="array" ref="V487">IFERROR(_xlfn.IFS(
T487="","",
--T487&lt;55,"Battery Defect",
--T487&lt;=69,"Battery D",
--T487&lt;=80,"Battery C",
--T487&gt;80,""
),"")</f>
        <v/>
      </c>
      <c r="W487" s="42"/>
      <c r="X487" s="42"/>
      <c r="Y487" s="42"/>
      <c r="Z487" s="42"/>
      <c r="AA487" s="42"/>
      <c r="AB487" s="42"/>
      <c r="AC487" s="42"/>
      <c r="AD487" s="42"/>
      <c r="AE487" s="32" t="str">
        <f t="shared" si="21"/>
        <v/>
      </c>
      <c r="AF487" s="32"/>
      <c r="AG487" s="32"/>
      <c r="AH487" s="32"/>
      <c r="AI487" s="32"/>
      <c r="AJ487" s="32"/>
      <c r="AK487" s="32"/>
      <c r="AL487" s="32"/>
      <c r="AM487" s="32"/>
    </row>
    <row r="488" spans="1:39">
      <c r="A488" s="32" t="str">
        <f>_xlfn.XLOOKUP(B488,Input!J:J,Input!G:G)&amp;""</f>
        <v/>
      </c>
      <c r="B488" s="32"/>
      <c r="C488" s="32" t="str">
        <f>_xlfn.XLOOKUP(B488,Input!J:J,Input!H:H)&amp;""</f>
        <v/>
      </c>
      <c r="D488" s="42">
        <f>_xlfn.XLOOKUP(B488,Input!J:J,Input!F:F)</f>
        <v>0</v>
      </c>
      <c r="E488" s="32">
        <f>_xlfn.XLOOKUP(D488,Models!H:H,Models!G:G,D488)</f>
        <v>0</v>
      </c>
      <c r="F488" s="32">
        <f>_xlfn.XLOOKUP(B488,Input!J:J,Input!E:E)</f>
        <v>0</v>
      </c>
      <c r="G488" s="32">
        <f>IF(F488="LENOVO",_xlfn.XLOOKUP(B488,Input!J:J,Input!K:K),_xlfn.XLOOKUP(B488,Input!J:J,Input!L:L))</f>
        <v>0</v>
      </c>
      <c r="H488" s="32"/>
      <c r="I488" s="32"/>
      <c r="J488" s="32"/>
      <c r="K488" s="42" t="e">
        <f>INDEX(Input!$D$2:$AC$500,
       MATCH(B488, Input!$J$2:$J$500, 0),
       MATCH("Total Memory", Input!$D$1:$AC$1, 0))</f>
        <v>#N/A</v>
      </c>
      <c r="L488" s="42"/>
      <c r="M488" s="42" t="str" cm="1">
        <f t="array" ref="M488">IFERROR(_xlfn.FILTERXML("&lt;t&gt;&lt;s&gt;" &amp; SUBSTITUTE(L488," / ","&lt;/s&gt;&lt;s&gt;") &amp; "&lt;/s&gt;&lt;/t&gt;","(//s[contains(.,'DDR')])[1]"),"")</f>
        <v/>
      </c>
      <c r="N488" s="32" t="e">
        <f t="shared" si="23"/>
        <v>#N/A</v>
      </c>
      <c r="O488" s="42" t="e">
        <f>INDEX(Input!$D$2:$AC$500,
       MATCH(B488, Input!$J$2:$J$500, 0),
       MATCH("Disk Interface Type", Input!$D$1:$AC$1, 0))</f>
        <v>#N/A</v>
      </c>
      <c r="P488" s="42" t="str" cm="1">
        <f t="array" ref="P488">IFERROR(_xlfn.TEXTJOIN(", ", TRUE, _xlfn._xlws.FILTER(
    INDEX(Input!$D$2:$AC$500,,MATCH("Disk Capacity",Input!$D$1:$AC$1,0)),
    Input!$J$2:$J$500=B488
)), "")</f>
        <v/>
      </c>
      <c r="Q488" s="32" t="e">
        <f t="shared" si="22"/>
        <v>#N/A</v>
      </c>
      <c r="R488" s="42" t="e">
        <f>_xlfn.LET(_xlpm.Result,INDEX(Input!$D$2:$AC$500,
       MATCH(B488, Input!$J$2:$J$500, 0),
       MATCH("Capacity", Input!$D$1:$AC$1, 0)),IF(_xlpm.Result="","",_xlpm.Result))</f>
        <v>#N/A</v>
      </c>
      <c r="S488" s="42"/>
      <c r="T488" s="42"/>
      <c r="U488" s="42" t="str" cm="1">
        <f t="array" ref="U488">IFERROR(_xlfn.IFS(
S488="","",
--S488&lt;55,"Battery Defect",
--S488&lt;=69,"Battery D",
--S488&lt;=80,"Battery C",
--S488&gt;80,""
),"")</f>
        <v/>
      </c>
      <c r="V488" s="42" t="str" cm="1">
        <f t="array" ref="V488">IFERROR(_xlfn.IFS(
T488="","",
--T488&lt;55,"Battery Defect",
--T488&lt;=69,"Battery D",
--T488&lt;=80,"Battery C",
--T488&gt;80,""
),"")</f>
        <v/>
      </c>
      <c r="W488" s="42"/>
      <c r="X488" s="42"/>
      <c r="Y488" s="42"/>
      <c r="Z488" s="42"/>
      <c r="AA488" s="42"/>
      <c r="AB488" s="42"/>
      <c r="AC488" s="42"/>
      <c r="AD488" s="42"/>
      <c r="AE488" s="32" t="str">
        <f t="shared" si="21"/>
        <v/>
      </c>
      <c r="AF488" s="32"/>
      <c r="AG488" s="32"/>
      <c r="AH488" s="32"/>
      <c r="AI488" s="32"/>
      <c r="AJ488" s="32"/>
      <c r="AK488" s="32"/>
      <c r="AL488" s="32"/>
      <c r="AM488" s="32"/>
    </row>
    <row r="489" spans="1:39">
      <c r="A489" s="32" t="str">
        <f>_xlfn.XLOOKUP(B489,Input!J:J,Input!G:G)&amp;""</f>
        <v/>
      </c>
      <c r="B489" s="32"/>
      <c r="C489" s="32" t="str">
        <f>_xlfn.XLOOKUP(B489,Input!J:J,Input!H:H)&amp;""</f>
        <v/>
      </c>
      <c r="D489" s="42">
        <f>_xlfn.XLOOKUP(B489,Input!J:J,Input!F:F)</f>
        <v>0</v>
      </c>
      <c r="E489" s="32">
        <f>_xlfn.XLOOKUP(D489,Models!H:H,Models!G:G,D489)</f>
        <v>0</v>
      </c>
      <c r="F489" s="32">
        <f>_xlfn.XLOOKUP(B489,Input!J:J,Input!E:E)</f>
        <v>0</v>
      </c>
      <c r="G489" s="32">
        <f>IF(F489="LENOVO",_xlfn.XLOOKUP(B489,Input!J:J,Input!K:K),_xlfn.XLOOKUP(B489,Input!J:J,Input!L:L))</f>
        <v>0</v>
      </c>
      <c r="H489" s="32"/>
      <c r="I489" s="32"/>
      <c r="J489" s="32"/>
      <c r="K489" s="42" t="e">
        <f>INDEX(Input!$D$2:$AC$500,
       MATCH(B489, Input!$J$2:$J$500, 0),
       MATCH("Total Memory", Input!$D$1:$AC$1, 0))</f>
        <v>#N/A</v>
      </c>
      <c r="L489" s="42"/>
      <c r="M489" s="42" t="str" cm="1">
        <f t="array" ref="M489">IFERROR(_xlfn.FILTERXML("&lt;t&gt;&lt;s&gt;" &amp; SUBSTITUTE(L489," / ","&lt;/s&gt;&lt;s&gt;") &amp; "&lt;/s&gt;&lt;/t&gt;","(//s[contains(.,'DDR')])[1]"),"")</f>
        <v/>
      </c>
      <c r="N489" s="32" t="e">
        <f t="shared" si="23"/>
        <v>#N/A</v>
      </c>
      <c r="O489" s="42" t="e">
        <f>INDEX(Input!$D$2:$AC$500,
       MATCH(B489, Input!$J$2:$J$500, 0),
       MATCH("Disk Interface Type", Input!$D$1:$AC$1, 0))</f>
        <v>#N/A</v>
      </c>
      <c r="P489" s="42" t="str" cm="1">
        <f t="array" ref="P489">IFERROR(_xlfn.TEXTJOIN(", ", TRUE, _xlfn._xlws.FILTER(
    INDEX(Input!$D$2:$AC$500,,MATCH("Disk Capacity",Input!$D$1:$AC$1,0)),
    Input!$J$2:$J$500=B489
)), "")</f>
        <v/>
      </c>
      <c r="Q489" s="32" t="e">
        <f t="shared" si="22"/>
        <v>#N/A</v>
      </c>
      <c r="R489" s="42" t="e">
        <f>_xlfn.LET(_xlpm.Result,INDEX(Input!$D$2:$AC$500,
       MATCH(B489, Input!$J$2:$J$500, 0),
       MATCH("Capacity", Input!$D$1:$AC$1, 0)),IF(_xlpm.Result="","",_xlpm.Result))</f>
        <v>#N/A</v>
      </c>
      <c r="S489" s="42"/>
      <c r="T489" s="42"/>
      <c r="U489" s="42" t="str" cm="1">
        <f t="array" ref="U489">IFERROR(_xlfn.IFS(
S489="","",
--S489&lt;55,"Battery Defect",
--S489&lt;=69,"Battery D",
--S489&lt;=80,"Battery C",
--S489&gt;80,""
),"")</f>
        <v/>
      </c>
      <c r="V489" s="42" t="str" cm="1">
        <f t="array" ref="V489">IFERROR(_xlfn.IFS(
T489="","",
--T489&lt;55,"Battery Defect",
--T489&lt;=69,"Battery D",
--T489&lt;=80,"Battery C",
--T489&gt;80,""
),"")</f>
        <v/>
      </c>
      <c r="W489" s="42"/>
      <c r="X489" s="42"/>
      <c r="Y489" s="42"/>
      <c r="Z489" s="42"/>
      <c r="AA489" s="42"/>
      <c r="AB489" s="42"/>
      <c r="AC489" s="42"/>
      <c r="AD489" s="42"/>
      <c r="AE489" s="32" t="str">
        <f t="shared" si="21"/>
        <v/>
      </c>
      <c r="AF489" s="32"/>
      <c r="AG489" s="32"/>
      <c r="AH489" s="32"/>
      <c r="AI489" s="32"/>
      <c r="AJ489" s="32"/>
      <c r="AK489" s="32"/>
      <c r="AL489" s="32"/>
      <c r="AM489" s="32"/>
    </row>
    <row r="490" spans="1:39">
      <c r="A490" s="32" t="str">
        <f>_xlfn.XLOOKUP(B490,Input!J:J,Input!G:G)&amp;""</f>
        <v/>
      </c>
      <c r="B490" s="32"/>
      <c r="C490" s="32" t="str">
        <f>_xlfn.XLOOKUP(B490,Input!J:J,Input!H:H)&amp;""</f>
        <v/>
      </c>
      <c r="D490" s="42">
        <f>_xlfn.XLOOKUP(B490,Input!J:J,Input!F:F)</f>
        <v>0</v>
      </c>
      <c r="E490" s="32">
        <f>_xlfn.XLOOKUP(D490,Models!H:H,Models!G:G,D490)</f>
        <v>0</v>
      </c>
      <c r="F490" s="32">
        <f>_xlfn.XLOOKUP(B490,Input!J:J,Input!E:E)</f>
        <v>0</v>
      </c>
      <c r="G490" s="32">
        <f>IF(F490="LENOVO",_xlfn.XLOOKUP(B490,Input!J:J,Input!K:K),_xlfn.XLOOKUP(B490,Input!J:J,Input!L:L))</f>
        <v>0</v>
      </c>
      <c r="H490" s="32"/>
      <c r="I490" s="32"/>
      <c r="J490" s="32"/>
      <c r="K490" s="42" t="e">
        <f>INDEX(Input!$D$2:$AC$500,
       MATCH(B490, Input!$J$2:$J$500, 0),
       MATCH("Total Memory", Input!$D$1:$AC$1, 0))</f>
        <v>#N/A</v>
      </c>
      <c r="L490" s="42"/>
      <c r="M490" s="42" t="str" cm="1">
        <f t="array" ref="M490">IFERROR(_xlfn.FILTERXML("&lt;t&gt;&lt;s&gt;" &amp; SUBSTITUTE(L490," / ","&lt;/s&gt;&lt;s&gt;") &amp; "&lt;/s&gt;&lt;/t&gt;","(//s[contains(.,'DDR')])[1]"),"")</f>
        <v/>
      </c>
      <c r="N490" s="32" t="e">
        <f t="shared" si="23"/>
        <v>#N/A</v>
      </c>
      <c r="O490" s="42" t="e">
        <f>INDEX(Input!$D$2:$AC$500,
       MATCH(B490, Input!$J$2:$J$500, 0),
       MATCH("Disk Interface Type", Input!$D$1:$AC$1, 0))</f>
        <v>#N/A</v>
      </c>
      <c r="P490" s="42" t="str" cm="1">
        <f t="array" ref="P490">IFERROR(_xlfn.TEXTJOIN(", ", TRUE, _xlfn._xlws.FILTER(
    INDEX(Input!$D$2:$AC$500,,MATCH("Disk Capacity",Input!$D$1:$AC$1,0)),
    Input!$J$2:$J$500=B490
)), "")</f>
        <v/>
      </c>
      <c r="Q490" s="32" t="e">
        <f t="shared" si="22"/>
        <v>#N/A</v>
      </c>
      <c r="R490" s="42" t="e">
        <f>_xlfn.LET(_xlpm.Result,INDEX(Input!$D$2:$AC$500,
       MATCH(B490, Input!$J$2:$J$500, 0),
       MATCH("Capacity", Input!$D$1:$AC$1, 0)),IF(_xlpm.Result="","",_xlpm.Result))</f>
        <v>#N/A</v>
      </c>
      <c r="S490" s="42"/>
      <c r="T490" s="42"/>
      <c r="U490" s="42" t="str" cm="1">
        <f t="array" ref="U490">IFERROR(_xlfn.IFS(
S490="","",
--S490&lt;55,"Battery Defect",
--S490&lt;=69,"Battery D",
--S490&lt;=80,"Battery C",
--S490&gt;80,""
),"")</f>
        <v/>
      </c>
      <c r="V490" s="42" t="str" cm="1">
        <f t="array" ref="V490">IFERROR(_xlfn.IFS(
T490="","",
--T490&lt;55,"Battery Defect",
--T490&lt;=69,"Battery D",
--T490&lt;=80,"Battery C",
--T490&gt;80,""
),"")</f>
        <v/>
      </c>
      <c r="W490" s="42"/>
      <c r="X490" s="42"/>
      <c r="Y490" s="42"/>
      <c r="Z490" s="42"/>
      <c r="AA490" s="42"/>
      <c r="AB490" s="42"/>
      <c r="AC490" s="42"/>
      <c r="AD490" s="42"/>
      <c r="AE490" s="32" t="str">
        <f t="shared" si="21"/>
        <v/>
      </c>
      <c r="AF490" s="32"/>
      <c r="AG490" s="32"/>
      <c r="AH490" s="32"/>
      <c r="AI490" s="32"/>
      <c r="AJ490" s="32"/>
      <c r="AK490" s="32"/>
      <c r="AL490" s="32"/>
      <c r="AM490" s="32"/>
    </row>
    <row r="491" spans="1:39">
      <c r="A491" s="32" t="str">
        <f>_xlfn.XLOOKUP(B491,Input!J:J,Input!G:G)&amp;""</f>
        <v/>
      </c>
      <c r="B491" s="32"/>
      <c r="C491" s="32" t="str">
        <f>_xlfn.XLOOKUP(B491,Input!J:J,Input!H:H)&amp;""</f>
        <v/>
      </c>
      <c r="D491" s="42">
        <f>_xlfn.XLOOKUP(B491,Input!J:J,Input!F:F)</f>
        <v>0</v>
      </c>
      <c r="E491" s="32">
        <f>_xlfn.XLOOKUP(D491,Models!H:H,Models!G:G,D491)</f>
        <v>0</v>
      </c>
      <c r="F491" s="32">
        <f>_xlfn.XLOOKUP(B491,Input!J:J,Input!E:E)</f>
        <v>0</v>
      </c>
      <c r="G491" s="32">
        <f>IF(F491="LENOVO",_xlfn.XLOOKUP(B491,Input!J:J,Input!K:K),_xlfn.XLOOKUP(B491,Input!J:J,Input!L:L))</f>
        <v>0</v>
      </c>
      <c r="H491" s="32"/>
      <c r="I491" s="32"/>
      <c r="J491" s="32"/>
      <c r="K491" s="42" t="e">
        <f>INDEX(Input!$D$2:$AC$500,
       MATCH(B491, Input!$J$2:$J$500, 0),
       MATCH("Total Memory", Input!$D$1:$AC$1, 0))</f>
        <v>#N/A</v>
      </c>
      <c r="L491" s="42"/>
      <c r="M491" s="42" t="str" cm="1">
        <f t="array" ref="M491">IFERROR(_xlfn.FILTERXML("&lt;t&gt;&lt;s&gt;" &amp; SUBSTITUTE(L491," / ","&lt;/s&gt;&lt;s&gt;") &amp; "&lt;/s&gt;&lt;/t&gt;","(//s[contains(.,'DDR')])[1]"),"")</f>
        <v/>
      </c>
      <c r="N491" s="32" t="e">
        <f t="shared" si="23"/>
        <v>#N/A</v>
      </c>
      <c r="O491" s="42" t="e">
        <f>INDEX(Input!$D$2:$AC$500,
       MATCH(B491, Input!$J$2:$J$500, 0),
       MATCH("Disk Interface Type", Input!$D$1:$AC$1, 0))</f>
        <v>#N/A</v>
      </c>
      <c r="P491" s="42" t="str" cm="1">
        <f t="array" ref="P491">IFERROR(_xlfn.TEXTJOIN(", ", TRUE, _xlfn._xlws.FILTER(
    INDEX(Input!$D$2:$AC$500,,MATCH("Disk Capacity",Input!$D$1:$AC$1,0)),
    Input!$J$2:$J$500=B491
)), "")</f>
        <v/>
      </c>
      <c r="Q491" s="32" t="e">
        <f t="shared" si="22"/>
        <v>#N/A</v>
      </c>
      <c r="R491" s="42" t="e">
        <f>_xlfn.LET(_xlpm.Result,INDEX(Input!$D$2:$AC$500,
       MATCH(B491, Input!$J$2:$J$500, 0),
       MATCH("Capacity", Input!$D$1:$AC$1, 0)),IF(_xlpm.Result="","",_xlpm.Result))</f>
        <v>#N/A</v>
      </c>
      <c r="S491" s="42"/>
      <c r="T491" s="42"/>
      <c r="U491" s="42" t="str" cm="1">
        <f t="array" ref="U491">IFERROR(_xlfn.IFS(
S491="","",
--S491&lt;55,"Battery Defect",
--S491&lt;=69,"Battery D",
--S491&lt;=80,"Battery C",
--S491&gt;80,""
),"")</f>
        <v/>
      </c>
      <c r="V491" s="42" t="str" cm="1">
        <f t="array" ref="V491">IFERROR(_xlfn.IFS(
T491="","",
--T491&lt;55,"Battery Defect",
--T491&lt;=69,"Battery D",
--T491&lt;=80,"Battery C",
--T491&gt;80,""
),"")</f>
        <v/>
      </c>
      <c r="W491" s="42"/>
      <c r="X491" s="42"/>
      <c r="Y491" s="42"/>
      <c r="Z491" s="42"/>
      <c r="AA491" s="42"/>
      <c r="AB491" s="42"/>
      <c r="AC491" s="42"/>
      <c r="AD491" s="42"/>
      <c r="AE491" s="32" t="str">
        <f t="shared" si="21"/>
        <v/>
      </c>
      <c r="AF491" s="32"/>
      <c r="AG491" s="32"/>
      <c r="AH491" s="32"/>
      <c r="AI491" s="32"/>
      <c r="AJ491" s="32"/>
      <c r="AK491" s="32"/>
      <c r="AL491" s="32"/>
      <c r="AM491" s="32"/>
    </row>
    <row r="492" spans="1:39">
      <c r="A492" s="32" t="str">
        <f>_xlfn.XLOOKUP(B492,Input!J:J,Input!G:G)&amp;""</f>
        <v/>
      </c>
      <c r="B492" s="32"/>
      <c r="C492" s="32" t="str">
        <f>_xlfn.XLOOKUP(B492,Input!J:J,Input!H:H)&amp;""</f>
        <v/>
      </c>
      <c r="D492" s="42">
        <f>_xlfn.XLOOKUP(B492,Input!J:J,Input!F:F)</f>
        <v>0</v>
      </c>
      <c r="E492" s="32">
        <f>_xlfn.XLOOKUP(D492,Models!H:H,Models!G:G,D492)</f>
        <v>0</v>
      </c>
      <c r="F492" s="32">
        <f>_xlfn.XLOOKUP(B492,Input!J:J,Input!E:E)</f>
        <v>0</v>
      </c>
      <c r="G492" s="32">
        <f>IF(F492="LENOVO",_xlfn.XLOOKUP(B492,Input!J:J,Input!K:K),_xlfn.XLOOKUP(B492,Input!J:J,Input!L:L))</f>
        <v>0</v>
      </c>
      <c r="H492" s="32"/>
      <c r="I492" s="32"/>
      <c r="J492" s="32"/>
      <c r="K492" s="42" t="e">
        <f>INDEX(Input!$D$2:$AC$500,
       MATCH(B492, Input!$J$2:$J$500, 0),
       MATCH("Total Memory", Input!$D$1:$AC$1, 0))</f>
        <v>#N/A</v>
      </c>
      <c r="L492" s="42"/>
      <c r="M492" s="42" t="str" cm="1">
        <f t="array" ref="M492">IFERROR(_xlfn.FILTERXML("&lt;t&gt;&lt;s&gt;" &amp; SUBSTITUTE(L492," / ","&lt;/s&gt;&lt;s&gt;") &amp; "&lt;/s&gt;&lt;/t&gt;","(//s[contains(.,'DDR')])[1]"),"")</f>
        <v/>
      </c>
      <c r="N492" s="32" t="e">
        <f t="shared" si="23"/>
        <v>#N/A</v>
      </c>
      <c r="O492" s="42" t="e">
        <f>INDEX(Input!$D$2:$AC$500,
       MATCH(B492, Input!$J$2:$J$500, 0),
       MATCH("Disk Interface Type", Input!$D$1:$AC$1, 0))</f>
        <v>#N/A</v>
      </c>
      <c r="P492" s="42" t="str" cm="1">
        <f t="array" ref="P492">IFERROR(_xlfn.TEXTJOIN(", ", TRUE, _xlfn._xlws.FILTER(
    INDEX(Input!$D$2:$AC$500,,MATCH("Disk Capacity",Input!$D$1:$AC$1,0)),
    Input!$J$2:$J$500=B492
)), "")</f>
        <v/>
      </c>
      <c r="Q492" s="32" t="e">
        <f t="shared" si="22"/>
        <v>#N/A</v>
      </c>
      <c r="R492" s="42" t="e">
        <f>_xlfn.LET(_xlpm.Result,INDEX(Input!$D$2:$AC$500,
       MATCH(B492, Input!$J$2:$J$500, 0),
       MATCH("Capacity", Input!$D$1:$AC$1, 0)),IF(_xlpm.Result="","",_xlpm.Result))</f>
        <v>#N/A</v>
      </c>
      <c r="S492" s="42"/>
      <c r="T492" s="42"/>
      <c r="U492" s="42" t="str" cm="1">
        <f t="array" ref="U492">IFERROR(_xlfn.IFS(
S492="","",
--S492&lt;55,"Battery Defect",
--S492&lt;=69,"Battery D",
--S492&lt;=80,"Battery C",
--S492&gt;80,""
),"")</f>
        <v/>
      </c>
      <c r="V492" s="42" t="str" cm="1">
        <f t="array" ref="V492">IFERROR(_xlfn.IFS(
T492="","",
--T492&lt;55,"Battery Defect",
--T492&lt;=69,"Battery D",
--T492&lt;=80,"Battery C",
--T492&gt;80,""
),"")</f>
        <v/>
      </c>
      <c r="W492" s="42"/>
      <c r="X492" s="42"/>
      <c r="Y492" s="42"/>
      <c r="Z492" s="42"/>
      <c r="AA492" s="42"/>
      <c r="AB492" s="42"/>
      <c r="AC492" s="42"/>
      <c r="AD492" s="42"/>
      <c r="AE492" s="32" t="str">
        <f t="shared" si="21"/>
        <v/>
      </c>
      <c r="AF492" s="32"/>
      <c r="AG492" s="32"/>
      <c r="AH492" s="32"/>
      <c r="AI492" s="32"/>
      <c r="AJ492" s="32"/>
      <c r="AK492" s="32"/>
      <c r="AL492" s="32"/>
      <c r="AM492" s="32"/>
    </row>
    <row r="493" spans="1:39">
      <c r="A493" s="32" t="str">
        <f>_xlfn.XLOOKUP(B493,Input!J:J,Input!G:G)&amp;""</f>
        <v/>
      </c>
      <c r="B493" s="32"/>
      <c r="C493" s="32" t="str">
        <f>_xlfn.XLOOKUP(B493,Input!J:J,Input!H:H)&amp;""</f>
        <v/>
      </c>
      <c r="D493" s="42">
        <f>_xlfn.XLOOKUP(B493,Input!J:J,Input!F:F)</f>
        <v>0</v>
      </c>
      <c r="E493" s="32">
        <f>_xlfn.XLOOKUP(D493,Models!H:H,Models!G:G,D493)</f>
        <v>0</v>
      </c>
      <c r="F493" s="32">
        <f>_xlfn.XLOOKUP(B493,Input!J:J,Input!E:E)</f>
        <v>0</v>
      </c>
      <c r="G493" s="32">
        <f>IF(F493="LENOVO",_xlfn.XLOOKUP(B493,Input!J:J,Input!K:K),_xlfn.XLOOKUP(B493,Input!J:J,Input!L:L))</f>
        <v>0</v>
      </c>
      <c r="H493" s="32"/>
      <c r="I493" s="32"/>
      <c r="J493" s="32"/>
      <c r="K493" s="42" t="e">
        <f>INDEX(Input!$D$2:$AC$500,
       MATCH(B493, Input!$J$2:$J$500, 0),
       MATCH("Total Memory", Input!$D$1:$AC$1, 0))</f>
        <v>#N/A</v>
      </c>
      <c r="L493" s="42"/>
      <c r="M493" s="42" t="str" cm="1">
        <f t="array" ref="M493">IFERROR(_xlfn.FILTERXML("&lt;t&gt;&lt;s&gt;" &amp; SUBSTITUTE(L493," / ","&lt;/s&gt;&lt;s&gt;") &amp; "&lt;/s&gt;&lt;/t&gt;","(//s[contains(.,'DDR')])[1]"),"")</f>
        <v/>
      </c>
      <c r="N493" s="32" t="e">
        <f t="shared" si="23"/>
        <v>#N/A</v>
      </c>
      <c r="O493" s="42" t="e">
        <f>INDEX(Input!$D$2:$AC$500,
       MATCH(B493, Input!$J$2:$J$500, 0),
       MATCH("Disk Interface Type", Input!$D$1:$AC$1, 0))</f>
        <v>#N/A</v>
      </c>
      <c r="P493" s="42" t="str" cm="1">
        <f t="array" ref="P493">IFERROR(_xlfn.TEXTJOIN(", ", TRUE, _xlfn._xlws.FILTER(
    INDEX(Input!$D$2:$AC$500,,MATCH("Disk Capacity",Input!$D$1:$AC$1,0)),
    Input!$J$2:$J$500=B493
)), "")</f>
        <v/>
      </c>
      <c r="Q493" s="32" t="e">
        <f t="shared" si="22"/>
        <v>#N/A</v>
      </c>
      <c r="R493" s="42" t="e">
        <f>_xlfn.LET(_xlpm.Result,INDEX(Input!$D$2:$AC$500,
       MATCH(B493, Input!$J$2:$J$500, 0),
       MATCH("Capacity", Input!$D$1:$AC$1, 0)),IF(_xlpm.Result="","",_xlpm.Result))</f>
        <v>#N/A</v>
      </c>
      <c r="S493" s="42"/>
      <c r="T493" s="42"/>
      <c r="U493" s="42" t="str" cm="1">
        <f t="array" ref="U493">IFERROR(_xlfn.IFS(
S493="","",
--S493&lt;55,"Battery Defect",
--S493&lt;=69,"Battery D",
--S493&lt;=80,"Battery C",
--S493&gt;80,""
),"")</f>
        <v/>
      </c>
      <c r="V493" s="42" t="str" cm="1">
        <f t="array" ref="V493">IFERROR(_xlfn.IFS(
T493="","",
--T493&lt;55,"Battery Defect",
--T493&lt;=69,"Battery D",
--T493&lt;=80,"Battery C",
--T493&gt;80,""
),"")</f>
        <v/>
      </c>
      <c r="W493" s="42"/>
      <c r="X493" s="42"/>
      <c r="Y493" s="42"/>
      <c r="Z493" s="42"/>
      <c r="AA493" s="42"/>
      <c r="AB493" s="42"/>
      <c r="AC493" s="42"/>
      <c r="AD493" s="42"/>
      <c r="AE493" s="32" t="str">
        <f t="shared" si="21"/>
        <v/>
      </c>
      <c r="AF493" s="32"/>
      <c r="AG493" s="32"/>
      <c r="AH493" s="32"/>
      <c r="AI493" s="32"/>
      <c r="AJ493" s="32"/>
      <c r="AK493" s="32"/>
      <c r="AL493" s="32"/>
      <c r="AM493" s="32"/>
    </row>
    <row r="494" spans="1:39">
      <c r="A494" s="32" t="str">
        <f>_xlfn.XLOOKUP(B494,Input!J:J,Input!G:G)&amp;""</f>
        <v/>
      </c>
      <c r="B494" s="32"/>
      <c r="C494" s="32" t="str">
        <f>_xlfn.XLOOKUP(B494,Input!J:J,Input!H:H)&amp;""</f>
        <v/>
      </c>
      <c r="D494" s="42">
        <f>_xlfn.XLOOKUP(B494,Input!J:J,Input!F:F)</f>
        <v>0</v>
      </c>
      <c r="E494" s="32">
        <f>_xlfn.XLOOKUP(D494,Models!H:H,Models!G:G,D494)</f>
        <v>0</v>
      </c>
      <c r="F494" s="32">
        <f>_xlfn.XLOOKUP(B494,Input!J:J,Input!E:E)</f>
        <v>0</v>
      </c>
      <c r="G494" s="32">
        <f>IF(F494="LENOVO",_xlfn.XLOOKUP(B494,Input!J:J,Input!K:K),_xlfn.XLOOKUP(B494,Input!J:J,Input!L:L))</f>
        <v>0</v>
      </c>
      <c r="H494" s="32"/>
      <c r="I494" s="32"/>
      <c r="J494" s="32"/>
      <c r="K494" s="42" t="e">
        <f>INDEX(Input!$D$2:$AC$500,
       MATCH(B494, Input!$J$2:$J$500, 0),
       MATCH("Total Memory", Input!$D$1:$AC$1, 0))</f>
        <v>#N/A</v>
      </c>
      <c r="L494" s="42"/>
      <c r="M494" s="42" t="str" cm="1">
        <f t="array" ref="M494">IFERROR(_xlfn.FILTERXML("&lt;t&gt;&lt;s&gt;" &amp; SUBSTITUTE(L494," / ","&lt;/s&gt;&lt;s&gt;") &amp; "&lt;/s&gt;&lt;/t&gt;","(//s[contains(.,'DDR')])[1]"),"")</f>
        <v/>
      </c>
      <c r="N494" s="32" t="e">
        <f t="shared" si="23"/>
        <v>#N/A</v>
      </c>
      <c r="O494" s="42" t="e">
        <f>INDEX(Input!$D$2:$AC$500,
       MATCH(B494, Input!$J$2:$J$500, 0),
       MATCH("Disk Interface Type", Input!$D$1:$AC$1, 0))</f>
        <v>#N/A</v>
      </c>
      <c r="P494" s="42" t="str" cm="1">
        <f t="array" ref="P494">IFERROR(_xlfn.TEXTJOIN(", ", TRUE, _xlfn._xlws.FILTER(
    INDEX(Input!$D$2:$AC$500,,MATCH("Disk Capacity",Input!$D$1:$AC$1,0)),
    Input!$J$2:$J$500=B494
)), "")</f>
        <v/>
      </c>
      <c r="Q494" s="32" t="e">
        <f t="shared" si="22"/>
        <v>#N/A</v>
      </c>
      <c r="R494" s="42" t="e">
        <f>_xlfn.LET(_xlpm.Result,INDEX(Input!$D$2:$AC$500,
       MATCH(B494, Input!$J$2:$J$500, 0),
       MATCH("Capacity", Input!$D$1:$AC$1, 0)),IF(_xlpm.Result="","",_xlpm.Result))</f>
        <v>#N/A</v>
      </c>
      <c r="S494" s="42"/>
      <c r="T494" s="42"/>
      <c r="U494" s="42" t="str" cm="1">
        <f t="array" ref="U494">IFERROR(_xlfn.IFS(
S494="","",
--S494&lt;55,"Battery Defect",
--S494&lt;=69,"Battery D",
--S494&lt;=80,"Battery C",
--S494&gt;80,""
),"")</f>
        <v/>
      </c>
      <c r="V494" s="42" t="str" cm="1">
        <f t="array" ref="V494">IFERROR(_xlfn.IFS(
T494="","",
--T494&lt;55,"Battery Defect",
--T494&lt;=69,"Battery D",
--T494&lt;=80,"Battery C",
--T494&gt;80,""
),"")</f>
        <v/>
      </c>
      <c r="W494" s="42"/>
      <c r="X494" s="42"/>
      <c r="Y494" s="42"/>
      <c r="Z494" s="42"/>
      <c r="AA494" s="42"/>
      <c r="AB494" s="42"/>
      <c r="AC494" s="42"/>
      <c r="AD494" s="42"/>
      <c r="AE494" s="32" t="str">
        <f t="shared" si="21"/>
        <v/>
      </c>
      <c r="AF494" s="32"/>
      <c r="AG494" s="32"/>
      <c r="AH494" s="32"/>
      <c r="AI494" s="32"/>
      <c r="AJ494" s="32"/>
      <c r="AK494" s="32"/>
      <c r="AL494" s="32"/>
      <c r="AM494" s="32"/>
    </row>
    <row r="495" spans="1:39">
      <c r="A495" s="32" t="str">
        <f>_xlfn.XLOOKUP(B495,Input!J:J,Input!G:G)&amp;""</f>
        <v/>
      </c>
      <c r="B495" s="32"/>
      <c r="C495" s="32" t="str">
        <f>_xlfn.XLOOKUP(B495,Input!J:J,Input!H:H)&amp;""</f>
        <v/>
      </c>
      <c r="D495" s="42">
        <f>_xlfn.XLOOKUP(B495,Input!J:J,Input!F:F)</f>
        <v>0</v>
      </c>
      <c r="E495" s="32">
        <f>_xlfn.XLOOKUP(D495,Models!H:H,Models!G:G,D495)</f>
        <v>0</v>
      </c>
      <c r="F495" s="32">
        <f>_xlfn.XLOOKUP(B495,Input!J:J,Input!E:E)</f>
        <v>0</v>
      </c>
      <c r="G495" s="32">
        <f>IF(F495="LENOVO",_xlfn.XLOOKUP(B495,Input!J:J,Input!K:K),_xlfn.XLOOKUP(B495,Input!J:J,Input!L:L))</f>
        <v>0</v>
      </c>
      <c r="H495" s="32"/>
      <c r="I495" s="32"/>
      <c r="J495" s="32"/>
      <c r="K495" s="42" t="e">
        <f>INDEX(Input!$D$2:$AC$500,
       MATCH(B495, Input!$J$2:$J$500, 0),
       MATCH("Total Memory", Input!$D$1:$AC$1, 0))</f>
        <v>#N/A</v>
      </c>
      <c r="L495" s="42"/>
      <c r="M495" s="42" t="str" cm="1">
        <f t="array" ref="M495">IFERROR(_xlfn.FILTERXML("&lt;t&gt;&lt;s&gt;" &amp; SUBSTITUTE(L495," / ","&lt;/s&gt;&lt;s&gt;") &amp; "&lt;/s&gt;&lt;/t&gt;","(//s[contains(.,'DDR')])[1]"),"")</f>
        <v/>
      </c>
      <c r="N495" s="32" t="e">
        <f t="shared" si="23"/>
        <v>#N/A</v>
      </c>
      <c r="O495" s="42" t="e">
        <f>INDEX(Input!$D$2:$AC$500,
       MATCH(B495, Input!$J$2:$J$500, 0),
       MATCH("Disk Interface Type", Input!$D$1:$AC$1, 0))</f>
        <v>#N/A</v>
      </c>
      <c r="P495" s="42" t="str" cm="1">
        <f t="array" ref="P495">IFERROR(_xlfn.TEXTJOIN(", ", TRUE, _xlfn._xlws.FILTER(
    INDEX(Input!$D$2:$AC$500,,MATCH("Disk Capacity",Input!$D$1:$AC$1,0)),
    Input!$J$2:$J$500=B495
)), "")</f>
        <v/>
      </c>
      <c r="Q495" s="32" t="e">
        <f t="shared" si="22"/>
        <v>#N/A</v>
      </c>
      <c r="R495" s="42" t="e">
        <f>_xlfn.LET(_xlpm.Result,INDEX(Input!$D$2:$AC$500,
       MATCH(B495, Input!$J$2:$J$500, 0),
       MATCH("Capacity", Input!$D$1:$AC$1, 0)),IF(_xlpm.Result="","",_xlpm.Result))</f>
        <v>#N/A</v>
      </c>
      <c r="S495" s="42"/>
      <c r="T495" s="42"/>
      <c r="U495" s="42" t="str" cm="1">
        <f t="array" ref="U495">IFERROR(_xlfn.IFS(
S495="","",
--S495&lt;55,"Battery Defect",
--S495&lt;=69,"Battery D",
--S495&lt;=80,"Battery C",
--S495&gt;80,""
),"")</f>
        <v/>
      </c>
      <c r="V495" s="42" t="str" cm="1">
        <f t="array" ref="V495">IFERROR(_xlfn.IFS(
T495="","",
--T495&lt;55,"Battery Defect",
--T495&lt;=69,"Battery D",
--T495&lt;=80,"Battery C",
--T495&gt;80,""
),"")</f>
        <v/>
      </c>
      <c r="W495" s="42"/>
      <c r="X495" s="42"/>
      <c r="Y495" s="42"/>
      <c r="Z495" s="42"/>
      <c r="AA495" s="42"/>
      <c r="AB495" s="42"/>
      <c r="AC495" s="42"/>
      <c r="AD495" s="42"/>
      <c r="AE495" s="32" t="str">
        <f t="shared" si="21"/>
        <v/>
      </c>
      <c r="AF495" s="32"/>
      <c r="AG495" s="32"/>
      <c r="AH495" s="32"/>
      <c r="AI495" s="32"/>
      <c r="AJ495" s="32"/>
      <c r="AK495" s="32"/>
      <c r="AL495" s="32"/>
      <c r="AM495" s="32"/>
    </row>
    <row r="496" spans="1:39">
      <c r="A496" s="32" t="str">
        <f>_xlfn.XLOOKUP(B496,Input!J:J,Input!G:G)&amp;""</f>
        <v/>
      </c>
      <c r="B496" s="32"/>
      <c r="C496" s="32" t="str">
        <f>_xlfn.XLOOKUP(B496,Input!J:J,Input!H:H)&amp;""</f>
        <v/>
      </c>
      <c r="D496" s="42">
        <f>_xlfn.XLOOKUP(B496,Input!J:J,Input!F:F)</f>
        <v>0</v>
      </c>
      <c r="E496" s="32">
        <f>_xlfn.XLOOKUP(D496,Models!H:H,Models!G:G,D496)</f>
        <v>0</v>
      </c>
      <c r="F496" s="32">
        <f>_xlfn.XLOOKUP(B496,Input!J:J,Input!E:E)</f>
        <v>0</v>
      </c>
      <c r="G496" s="32">
        <f>IF(F496="LENOVO",_xlfn.XLOOKUP(B496,Input!J:J,Input!K:K),_xlfn.XLOOKUP(B496,Input!J:J,Input!L:L))</f>
        <v>0</v>
      </c>
      <c r="H496" s="32"/>
      <c r="I496" s="32"/>
      <c r="J496" s="32"/>
      <c r="K496" s="42" t="e">
        <f>INDEX(Input!$D$2:$AC$500,
       MATCH(B496, Input!$J$2:$J$500, 0),
       MATCH("Total Memory", Input!$D$1:$AC$1, 0))</f>
        <v>#N/A</v>
      </c>
      <c r="L496" s="42"/>
      <c r="M496" s="42" t="str" cm="1">
        <f t="array" ref="M496">IFERROR(_xlfn.FILTERXML("&lt;t&gt;&lt;s&gt;" &amp; SUBSTITUTE(L496," / ","&lt;/s&gt;&lt;s&gt;") &amp; "&lt;/s&gt;&lt;/t&gt;","(//s[contains(.,'DDR')])[1]"),"")</f>
        <v/>
      </c>
      <c r="N496" s="32" t="e">
        <f t="shared" si="23"/>
        <v>#N/A</v>
      </c>
      <c r="O496" s="42" t="e">
        <f>INDEX(Input!$D$2:$AC$500,
       MATCH(B496, Input!$J$2:$J$500, 0),
       MATCH("Disk Interface Type", Input!$D$1:$AC$1, 0))</f>
        <v>#N/A</v>
      </c>
      <c r="P496" s="42" t="str" cm="1">
        <f t="array" ref="P496">IFERROR(_xlfn.TEXTJOIN(", ", TRUE, _xlfn._xlws.FILTER(
    INDEX(Input!$D$2:$AC$500,,MATCH("Disk Capacity",Input!$D$1:$AC$1,0)),
    Input!$J$2:$J$500=B496
)), "")</f>
        <v/>
      </c>
      <c r="Q496" s="32" t="e">
        <f t="shared" si="22"/>
        <v>#N/A</v>
      </c>
      <c r="R496" s="42" t="e">
        <f>_xlfn.LET(_xlpm.Result,INDEX(Input!$D$2:$AC$500,
       MATCH(B496, Input!$J$2:$J$500, 0),
       MATCH("Capacity", Input!$D$1:$AC$1, 0)),IF(_xlpm.Result="","",_xlpm.Result))</f>
        <v>#N/A</v>
      </c>
      <c r="S496" s="42"/>
      <c r="T496" s="42"/>
      <c r="U496" s="42" t="str" cm="1">
        <f t="array" ref="U496">IFERROR(_xlfn.IFS(
S496="","",
--S496&lt;55,"Battery Defect",
--S496&lt;=69,"Battery D",
--S496&lt;=80,"Battery C",
--S496&gt;80,""
),"")</f>
        <v/>
      </c>
      <c r="V496" s="42" t="str" cm="1">
        <f t="array" ref="V496">IFERROR(_xlfn.IFS(
T496="","",
--T496&lt;55,"Battery Defect",
--T496&lt;=69,"Battery D",
--T496&lt;=80,"Battery C",
--T496&gt;80,""
),"")</f>
        <v/>
      </c>
      <c r="W496" s="42"/>
      <c r="X496" s="42"/>
      <c r="Y496" s="42"/>
      <c r="Z496" s="42"/>
      <c r="AA496" s="42"/>
      <c r="AB496" s="42"/>
      <c r="AC496" s="42"/>
      <c r="AD496" s="42"/>
      <c r="AE496" s="32" t="str">
        <f t="shared" si="21"/>
        <v/>
      </c>
      <c r="AF496" s="32"/>
      <c r="AG496" s="32"/>
      <c r="AH496" s="32"/>
      <c r="AI496" s="32"/>
      <c r="AJ496" s="32"/>
      <c r="AK496" s="32"/>
      <c r="AL496" s="32"/>
      <c r="AM496" s="32"/>
    </row>
    <row r="497" spans="1:39">
      <c r="A497" s="32" t="str">
        <f>_xlfn.XLOOKUP(B497,Input!J:J,Input!G:G)&amp;""</f>
        <v/>
      </c>
      <c r="B497" s="32"/>
      <c r="C497" s="32" t="str">
        <f>_xlfn.XLOOKUP(B497,Input!J:J,Input!H:H)&amp;""</f>
        <v/>
      </c>
      <c r="D497" s="42">
        <f>_xlfn.XLOOKUP(B497,Input!J:J,Input!F:F)</f>
        <v>0</v>
      </c>
      <c r="E497" s="32">
        <f>_xlfn.XLOOKUP(D497,Models!H:H,Models!G:G,D497)</f>
        <v>0</v>
      </c>
      <c r="F497" s="32">
        <f>_xlfn.XLOOKUP(B497,Input!J:J,Input!E:E)</f>
        <v>0</v>
      </c>
      <c r="G497" s="32">
        <f>IF(F497="LENOVO",_xlfn.XLOOKUP(B497,Input!J:J,Input!K:K),_xlfn.XLOOKUP(B497,Input!J:J,Input!L:L))</f>
        <v>0</v>
      </c>
      <c r="H497" s="32"/>
      <c r="I497" s="32"/>
      <c r="J497" s="32"/>
      <c r="K497" s="42" t="e">
        <f>INDEX(Input!$D$2:$AC$500,
       MATCH(B497, Input!$J$2:$J$500, 0),
       MATCH("Total Memory", Input!$D$1:$AC$1, 0))</f>
        <v>#N/A</v>
      </c>
      <c r="L497" s="42"/>
      <c r="M497" s="42" t="str" cm="1">
        <f t="array" ref="M497">IFERROR(_xlfn.FILTERXML("&lt;t&gt;&lt;s&gt;" &amp; SUBSTITUTE(L497," / ","&lt;/s&gt;&lt;s&gt;") &amp; "&lt;/s&gt;&lt;/t&gt;","(//s[contains(.,'DDR')])[1]"),"")</f>
        <v/>
      </c>
      <c r="N497" s="32" t="e">
        <f t="shared" si="23"/>
        <v>#N/A</v>
      </c>
      <c r="O497" s="42" t="e">
        <f>INDEX(Input!$D$2:$AC$500,
       MATCH(B497, Input!$J$2:$J$500, 0),
       MATCH("Disk Interface Type", Input!$D$1:$AC$1, 0))</f>
        <v>#N/A</v>
      </c>
      <c r="P497" s="42" t="str" cm="1">
        <f t="array" ref="P497">IFERROR(_xlfn.TEXTJOIN(", ", TRUE, _xlfn._xlws.FILTER(
    INDEX(Input!$D$2:$AC$500,,MATCH("Disk Capacity",Input!$D$1:$AC$1,0)),
    Input!$J$2:$J$500=B497
)), "")</f>
        <v/>
      </c>
      <c r="Q497" s="32" t="e">
        <f t="shared" si="22"/>
        <v>#N/A</v>
      </c>
      <c r="R497" s="42" t="e">
        <f>_xlfn.LET(_xlpm.Result,INDEX(Input!$D$2:$AC$500,
       MATCH(B497, Input!$J$2:$J$500, 0),
       MATCH("Capacity", Input!$D$1:$AC$1, 0)),IF(_xlpm.Result="","",_xlpm.Result))</f>
        <v>#N/A</v>
      </c>
      <c r="S497" s="42"/>
      <c r="T497" s="42"/>
      <c r="U497" s="42" t="str" cm="1">
        <f t="array" ref="U497">IFERROR(_xlfn.IFS(
S497="","",
--S497&lt;55,"Battery Defect",
--S497&lt;=69,"Battery D",
--S497&lt;=80,"Battery C",
--S497&gt;80,""
),"")</f>
        <v/>
      </c>
      <c r="V497" s="42" t="str" cm="1">
        <f t="array" ref="V497">IFERROR(_xlfn.IFS(
T497="","",
--T497&lt;55,"Battery Defect",
--T497&lt;=69,"Battery D",
--T497&lt;=80,"Battery C",
--T497&gt;80,""
),"")</f>
        <v/>
      </c>
      <c r="W497" s="42"/>
      <c r="X497" s="42"/>
      <c r="Y497" s="42"/>
      <c r="Z497" s="42"/>
      <c r="AA497" s="42"/>
      <c r="AB497" s="42"/>
      <c r="AC497" s="42"/>
      <c r="AD497" s="42"/>
      <c r="AE497" s="32" t="str">
        <f t="shared" si="21"/>
        <v/>
      </c>
      <c r="AF497" s="32"/>
      <c r="AG497" s="32"/>
      <c r="AH497" s="32"/>
      <c r="AI497" s="32"/>
      <c r="AJ497" s="32"/>
      <c r="AK497" s="32"/>
      <c r="AL497" s="32"/>
      <c r="AM497" s="32"/>
    </row>
    <row r="498" spans="1:39">
      <c r="A498" s="32" t="str">
        <f>_xlfn.XLOOKUP(B498,Input!J:J,Input!G:G)&amp;""</f>
        <v/>
      </c>
      <c r="B498" s="32"/>
      <c r="C498" s="32" t="str">
        <f>_xlfn.XLOOKUP(B498,Input!J:J,Input!H:H)&amp;""</f>
        <v/>
      </c>
      <c r="D498" s="42">
        <f>_xlfn.XLOOKUP(B498,Input!J:J,Input!F:F)</f>
        <v>0</v>
      </c>
      <c r="E498" s="32">
        <f>_xlfn.XLOOKUP(D498,Models!H:H,Models!G:G,D498)</f>
        <v>0</v>
      </c>
      <c r="F498" s="32">
        <f>_xlfn.XLOOKUP(B498,Input!J:J,Input!E:E)</f>
        <v>0</v>
      </c>
      <c r="G498" s="32">
        <f>IF(F498="LENOVO",_xlfn.XLOOKUP(B498,Input!J:J,Input!K:K),_xlfn.XLOOKUP(B498,Input!J:J,Input!L:L))</f>
        <v>0</v>
      </c>
      <c r="H498" s="32"/>
      <c r="I498" s="32"/>
      <c r="J498" s="32"/>
      <c r="K498" s="42" t="e">
        <f>INDEX(Input!$D$2:$AC$500,
       MATCH(B498, Input!$J$2:$J$500, 0),
       MATCH("Total Memory", Input!$D$1:$AC$1, 0))</f>
        <v>#N/A</v>
      </c>
      <c r="L498" s="42"/>
      <c r="M498" s="42" t="str" cm="1">
        <f t="array" ref="M498">IFERROR(_xlfn.FILTERXML("&lt;t&gt;&lt;s&gt;" &amp; SUBSTITUTE(L498," / ","&lt;/s&gt;&lt;s&gt;") &amp; "&lt;/s&gt;&lt;/t&gt;","(//s[contains(.,'DDR')])[1]"),"")</f>
        <v/>
      </c>
      <c r="N498" s="32" t="e">
        <f t="shared" si="23"/>
        <v>#N/A</v>
      </c>
      <c r="O498" s="42" t="e">
        <f>INDEX(Input!$D$2:$AC$500,
       MATCH(B498, Input!$J$2:$J$500, 0),
       MATCH("Disk Interface Type", Input!$D$1:$AC$1, 0))</f>
        <v>#N/A</v>
      </c>
      <c r="P498" s="42" t="str" cm="1">
        <f t="array" ref="P498">IFERROR(_xlfn.TEXTJOIN(", ", TRUE, _xlfn._xlws.FILTER(
    INDEX(Input!$D$2:$AC$500,,MATCH("Disk Capacity",Input!$D$1:$AC$1,0)),
    Input!$J$2:$J$500=B498
)), "")</f>
        <v/>
      </c>
      <c r="Q498" s="32" t="e">
        <f t="shared" si="22"/>
        <v>#N/A</v>
      </c>
      <c r="R498" s="42" t="e">
        <f>_xlfn.LET(_xlpm.Result,INDEX(Input!$D$2:$AC$500,
       MATCH(B498, Input!$J$2:$J$500, 0),
       MATCH("Capacity", Input!$D$1:$AC$1, 0)),IF(_xlpm.Result="","",_xlpm.Result))</f>
        <v>#N/A</v>
      </c>
      <c r="S498" s="42"/>
      <c r="T498" s="42"/>
      <c r="U498" s="42" t="str" cm="1">
        <f t="array" ref="U498">IFERROR(_xlfn.IFS(
S498="","",
--S498&lt;55,"Battery Defect",
--S498&lt;=69,"Battery D",
--S498&lt;=80,"Battery C",
--S498&gt;80,""
),"")</f>
        <v/>
      </c>
      <c r="V498" s="42" t="str" cm="1">
        <f t="array" ref="V498">IFERROR(_xlfn.IFS(
T498="","",
--T498&lt;55,"Battery Defect",
--T498&lt;=69,"Battery D",
--T498&lt;=80,"Battery C",
--T498&gt;80,""
),"")</f>
        <v/>
      </c>
      <c r="W498" s="42"/>
      <c r="X498" s="42"/>
      <c r="Y498" s="42"/>
      <c r="Z498" s="42"/>
      <c r="AA498" s="42"/>
      <c r="AB498" s="42"/>
      <c r="AC498" s="42"/>
      <c r="AD498" s="42"/>
      <c r="AE498" s="32" t="str">
        <f t="shared" si="21"/>
        <v/>
      </c>
      <c r="AF498" s="32"/>
      <c r="AG498" s="32"/>
      <c r="AH498" s="32"/>
      <c r="AI498" s="32"/>
      <c r="AJ498" s="32"/>
      <c r="AK498" s="32"/>
      <c r="AL498" s="32"/>
      <c r="AM498" s="32"/>
    </row>
    <row r="499" spans="1:39">
      <c r="A499" s="32" t="str">
        <f>_xlfn.XLOOKUP(B499,Input!J:J,Input!G:G)&amp;""</f>
        <v/>
      </c>
      <c r="B499" s="32"/>
      <c r="C499" s="32" t="str">
        <f>_xlfn.XLOOKUP(B499,Input!J:J,Input!H:H)&amp;""</f>
        <v/>
      </c>
      <c r="D499" s="42">
        <f>_xlfn.XLOOKUP(B499,Input!J:J,Input!F:F)</f>
        <v>0</v>
      </c>
      <c r="E499" s="32">
        <f>_xlfn.XLOOKUP(D499,Models!H:H,Models!G:G,D499)</f>
        <v>0</v>
      </c>
      <c r="F499" s="32">
        <f>_xlfn.XLOOKUP(B499,Input!J:J,Input!E:E)</f>
        <v>0</v>
      </c>
      <c r="G499" s="32">
        <f>IF(F499="LENOVO",_xlfn.XLOOKUP(B499,Input!J:J,Input!K:K),_xlfn.XLOOKUP(B499,Input!J:J,Input!L:L))</f>
        <v>0</v>
      </c>
      <c r="H499" s="32"/>
      <c r="I499" s="32"/>
      <c r="J499" s="32"/>
      <c r="K499" s="42" t="e">
        <f>INDEX(Input!$D$2:$AC$500,
       MATCH(B499, Input!$J$2:$J$500, 0),
       MATCH("Total Memory", Input!$D$1:$AC$1, 0))</f>
        <v>#N/A</v>
      </c>
      <c r="L499" s="42"/>
      <c r="M499" s="42" t="str" cm="1">
        <f t="array" ref="M499">IFERROR(_xlfn.FILTERXML("&lt;t&gt;&lt;s&gt;" &amp; SUBSTITUTE(L499," / ","&lt;/s&gt;&lt;s&gt;") &amp; "&lt;/s&gt;&lt;/t&gt;","(//s[contains(.,'DDR')])[1]"),"")</f>
        <v/>
      </c>
      <c r="N499" s="32" t="e">
        <f t="shared" si="23"/>
        <v>#N/A</v>
      </c>
      <c r="O499" s="42" t="e">
        <f>INDEX(Input!$D$2:$AC$500,
       MATCH(B499, Input!$J$2:$J$500, 0),
       MATCH("Disk Interface Type", Input!$D$1:$AC$1, 0))</f>
        <v>#N/A</v>
      </c>
      <c r="P499" s="42" t="str" cm="1">
        <f t="array" ref="P499">IFERROR(_xlfn.TEXTJOIN(", ", TRUE, _xlfn._xlws.FILTER(
    INDEX(Input!$D$2:$AC$500,,MATCH("Disk Capacity",Input!$D$1:$AC$1,0)),
    Input!$J$2:$J$500=B499
)), "")</f>
        <v/>
      </c>
      <c r="Q499" s="32" t="e">
        <f t="shared" si="22"/>
        <v>#N/A</v>
      </c>
      <c r="R499" s="42" t="e">
        <f>_xlfn.LET(_xlpm.Result,INDEX(Input!$D$2:$AC$500,
       MATCH(B499, Input!$J$2:$J$500, 0),
       MATCH("Capacity", Input!$D$1:$AC$1, 0)),IF(_xlpm.Result="","",_xlpm.Result))</f>
        <v>#N/A</v>
      </c>
      <c r="S499" s="42"/>
      <c r="T499" s="42"/>
      <c r="U499" s="42" t="str" cm="1">
        <f t="array" ref="U499">IFERROR(_xlfn.IFS(
S499="","",
--S499&lt;55,"Battery Defect",
--S499&lt;=69,"Battery D",
--S499&lt;=80,"Battery C",
--S499&gt;80,""
),"")</f>
        <v/>
      </c>
      <c r="V499" s="42" t="str" cm="1">
        <f t="array" ref="V499">IFERROR(_xlfn.IFS(
T499="","",
--T499&lt;55,"Battery Defect",
--T499&lt;=69,"Battery D",
--T499&lt;=80,"Battery C",
--T499&gt;80,""
),"")</f>
        <v/>
      </c>
      <c r="W499" s="42"/>
      <c r="X499" s="42"/>
      <c r="Y499" s="42"/>
      <c r="Z499" s="42"/>
      <c r="AA499" s="42"/>
      <c r="AB499" s="42"/>
      <c r="AC499" s="42"/>
      <c r="AD499" s="42"/>
      <c r="AE499" s="32" t="str">
        <f t="shared" si="21"/>
        <v/>
      </c>
      <c r="AF499" s="32"/>
      <c r="AG499" s="32"/>
      <c r="AH499" s="32"/>
      <c r="AI499" s="32"/>
      <c r="AJ499" s="32"/>
      <c r="AK499" s="32"/>
      <c r="AL499" s="32"/>
      <c r="AM499" s="32"/>
    </row>
    <row r="500" spans="1:39">
      <c r="A500" s="32" t="str">
        <f>_xlfn.XLOOKUP(B500,Input!J:J,Input!G:G)&amp;""</f>
        <v/>
      </c>
      <c r="B500" s="32"/>
      <c r="C500" s="32" t="str">
        <f>_xlfn.XLOOKUP(B500,Input!J:J,Input!H:H)&amp;""</f>
        <v/>
      </c>
      <c r="D500" s="42">
        <f>_xlfn.XLOOKUP(B500,Input!J:J,Input!F:F)</f>
        <v>0</v>
      </c>
      <c r="E500" s="32">
        <f>_xlfn.XLOOKUP(D500,Models!H:H,Models!G:G,D500)</f>
        <v>0</v>
      </c>
      <c r="F500" s="32">
        <f>_xlfn.XLOOKUP(B500,Input!J:J,Input!E:E)</f>
        <v>0</v>
      </c>
      <c r="G500" s="32">
        <f>IF(F500="LENOVO",_xlfn.XLOOKUP(B500,Input!J:J,Input!K:K),_xlfn.XLOOKUP(B500,Input!J:J,Input!L:L))</f>
        <v>0</v>
      </c>
      <c r="H500" s="32"/>
      <c r="I500" s="32"/>
      <c r="J500" s="32"/>
      <c r="K500" s="42" t="e">
        <f>INDEX(Input!$D$2:$AC$500,
       MATCH(B500, Input!$J$2:$J$500, 0),
       MATCH("Total Memory", Input!$D$1:$AC$1, 0))</f>
        <v>#N/A</v>
      </c>
      <c r="L500" s="42"/>
      <c r="M500" s="42" t="str" cm="1">
        <f t="array" ref="M500">IFERROR(_xlfn.FILTERXML("&lt;t&gt;&lt;s&gt;" &amp; SUBSTITUTE(L500," / ","&lt;/s&gt;&lt;s&gt;") &amp; "&lt;/s&gt;&lt;/t&gt;","(//s[contains(.,'DDR')])[1]"),"")</f>
        <v/>
      </c>
      <c r="N500" s="32" t="e">
        <f t="shared" si="23"/>
        <v>#N/A</v>
      </c>
      <c r="O500" s="42" t="e">
        <f>INDEX(Input!$D$2:$AC$500,
       MATCH(B500, Input!$J$2:$J$500, 0),
       MATCH("Disk Interface Type", Input!$D$1:$AC$1, 0))</f>
        <v>#N/A</v>
      </c>
      <c r="P500" s="42" t="str" cm="1">
        <f t="array" ref="P500">IFERROR(_xlfn.TEXTJOIN(", ", TRUE, _xlfn._xlws.FILTER(
    INDEX(Input!$D$2:$AC$500,,MATCH("Disk Capacity",Input!$D$1:$AC$1,0)),
    Input!$J$2:$J$500=B500
)), "")</f>
        <v/>
      </c>
      <c r="Q500" s="32" t="e">
        <f t="shared" si="22"/>
        <v>#N/A</v>
      </c>
      <c r="R500" s="42" t="e">
        <f>_xlfn.LET(_xlpm.Result,INDEX(Input!$D$2:$AC$500,
       MATCH(B500, Input!$J$2:$J$500, 0),
       MATCH("Capacity", Input!$D$1:$AC$1, 0)),IF(_xlpm.Result="","",_xlpm.Result))</f>
        <v>#N/A</v>
      </c>
      <c r="S500" s="42"/>
      <c r="T500" s="42"/>
      <c r="U500" s="42" t="str" cm="1">
        <f t="array" ref="U500">IFERROR(_xlfn.IFS(
S500="","",
--S500&lt;55,"Battery Defect",
--S500&lt;=69,"Battery D",
--S500&lt;=80,"Battery C",
--S500&gt;80,""
),"")</f>
        <v/>
      </c>
      <c r="V500" s="42" t="str" cm="1">
        <f t="array" ref="V500">IFERROR(_xlfn.IFS(
T500="","",
--T500&lt;55,"Battery Defect",
--T500&lt;=69,"Battery D",
--T500&lt;=80,"Battery C",
--T500&gt;80,""
),"")</f>
        <v/>
      </c>
      <c r="W500" s="42"/>
      <c r="X500" s="42"/>
      <c r="Y500" s="42"/>
      <c r="Z500" s="42"/>
      <c r="AA500" s="42"/>
      <c r="AB500" s="42"/>
      <c r="AC500" s="42"/>
      <c r="AD500" s="42"/>
      <c r="AE500" s="32" t="str">
        <f t="shared" si="21"/>
        <v/>
      </c>
      <c r="AF500" s="32"/>
      <c r="AG500" s="32"/>
      <c r="AH500" s="32"/>
      <c r="AI500" s="32"/>
      <c r="AJ500" s="32"/>
      <c r="AK500" s="32"/>
      <c r="AL500" s="32"/>
      <c r="AM500" s="32"/>
    </row>
    <row r="501" spans="1:39">
      <c r="A501" s="32" t="str">
        <f>_xlfn.XLOOKUP(B501,Input!J:J,Input!G:G)&amp;""</f>
        <v/>
      </c>
      <c r="B501" s="32"/>
      <c r="C501" s="32" t="str">
        <f>_xlfn.XLOOKUP(B501,Input!J:J,Input!H:H)&amp;""</f>
        <v/>
      </c>
      <c r="D501" s="42">
        <f>_xlfn.XLOOKUP(B501,Input!J:J,Input!F:F)</f>
        <v>0</v>
      </c>
      <c r="E501" s="32">
        <f>_xlfn.XLOOKUP(D501,Models!H:H,Models!G:G,D501)</f>
        <v>0</v>
      </c>
      <c r="F501" s="32">
        <f>_xlfn.XLOOKUP(B501,Input!J:J,Input!E:E)</f>
        <v>0</v>
      </c>
      <c r="G501" s="32">
        <f>IF(F501="LENOVO",_xlfn.XLOOKUP(B501,Input!J:J,Input!K:K),_xlfn.XLOOKUP(B501,Input!J:J,Input!L:L))</f>
        <v>0</v>
      </c>
      <c r="H501" s="32"/>
      <c r="I501" s="32"/>
      <c r="J501" s="32"/>
      <c r="K501" s="42" t="e">
        <f>INDEX(Input!$D$2:$AC$500,
       MATCH(B501, Input!$J$2:$J$500, 0),
       MATCH("Total Memory", Input!$D$1:$AC$1, 0))</f>
        <v>#N/A</v>
      </c>
      <c r="L501" s="42"/>
      <c r="M501" s="42" t="str" cm="1">
        <f t="array" ref="M501">IFERROR(_xlfn.FILTERXML("&lt;t&gt;&lt;s&gt;" &amp; SUBSTITUTE(L501," / ","&lt;/s&gt;&lt;s&gt;") &amp; "&lt;/s&gt;&lt;/t&gt;","(//s[contains(.,'DDR')])[1]"),"")</f>
        <v/>
      </c>
      <c r="N501" s="32" t="e">
        <f t="shared" si="23"/>
        <v>#N/A</v>
      </c>
      <c r="O501" s="42" t="e">
        <f>INDEX(Input!$D$2:$AC$500,
       MATCH(B501, Input!$J$2:$J$500, 0),
       MATCH("Disk Interface Type", Input!$D$1:$AC$1, 0))</f>
        <v>#N/A</v>
      </c>
      <c r="P501" s="42" t="str" cm="1">
        <f t="array" ref="P501">IFERROR(_xlfn.TEXTJOIN(", ", TRUE, _xlfn._xlws.FILTER(
    INDEX(Input!$D$2:$AC$500,,MATCH("Disk Capacity",Input!$D$1:$AC$1,0)),
    Input!$J$2:$J$500=B501
)), "")</f>
        <v/>
      </c>
      <c r="Q501" s="32" t="e">
        <f t="shared" si="22"/>
        <v>#N/A</v>
      </c>
      <c r="R501" s="42" t="e">
        <f>_xlfn.LET(_xlpm.Result,INDEX(Input!$D$2:$AC$500,
       MATCH(B501, Input!$J$2:$J$500, 0),
       MATCH("Capacity", Input!$D$1:$AC$1, 0)),IF(_xlpm.Result="","",_xlpm.Result))</f>
        <v>#N/A</v>
      </c>
      <c r="S501" s="42"/>
      <c r="T501" s="42"/>
      <c r="U501" s="42" t="str" cm="1">
        <f t="array" ref="U501">IFERROR(_xlfn.IFS(
S501="","",
--S501&lt;55,"Battery Defect",
--S501&lt;=69,"Battery D",
--S501&lt;=80,"Battery C",
--S501&gt;80,""
),"")</f>
        <v/>
      </c>
      <c r="V501" s="42" t="str" cm="1">
        <f t="array" ref="V501">IFERROR(_xlfn.IFS(
T501="","",
--T501&lt;55,"Battery Defect",
--T501&lt;=69,"Battery D",
--T501&lt;=80,"Battery C",
--T501&gt;80,""
),"")</f>
        <v/>
      </c>
      <c r="W501" s="42"/>
      <c r="X501" s="42"/>
      <c r="Y501" s="42"/>
      <c r="Z501" s="42"/>
      <c r="AA501" s="42"/>
      <c r="AB501" s="42"/>
      <c r="AC501" s="42"/>
      <c r="AD501" s="42"/>
      <c r="AE501" s="32" t="str">
        <f t="shared" si="21"/>
        <v/>
      </c>
      <c r="AF501" s="32"/>
      <c r="AG501" s="32"/>
      <c r="AH501" s="32"/>
      <c r="AI501" s="32"/>
      <c r="AJ501" s="32"/>
      <c r="AK501" s="32"/>
      <c r="AL501" s="32"/>
      <c r="AM501" s="32"/>
    </row>
    <row r="502" spans="1:39">
      <c r="A502" s="32" t="str">
        <f>_xlfn.XLOOKUP(B502,Input!J:J,Input!G:G)&amp;""</f>
        <v/>
      </c>
      <c r="B502" s="32"/>
      <c r="C502" s="32" t="str">
        <f>_xlfn.XLOOKUP(B502,Input!J:J,Input!H:H)&amp;""</f>
        <v/>
      </c>
      <c r="D502" s="42">
        <f>_xlfn.XLOOKUP(B502,Input!J:J,Input!F:F)</f>
        <v>0</v>
      </c>
      <c r="E502" s="32">
        <f>_xlfn.XLOOKUP(D502,Models!H:H,Models!G:G,D502)</f>
        <v>0</v>
      </c>
      <c r="F502" s="32">
        <f>_xlfn.XLOOKUP(B502,Input!J:J,Input!E:E)</f>
        <v>0</v>
      </c>
      <c r="G502" s="32">
        <f>IF(F502="LENOVO",_xlfn.XLOOKUP(B502,Input!J:J,Input!K:K),_xlfn.XLOOKUP(B502,Input!J:J,Input!L:L))</f>
        <v>0</v>
      </c>
      <c r="H502" s="32"/>
      <c r="I502" s="32"/>
      <c r="J502" s="32"/>
      <c r="K502" s="42" t="e">
        <f>INDEX(Input!$D$2:$AC$500,
       MATCH(B502, Input!$J$2:$J$500, 0),
       MATCH("Total Memory", Input!$D$1:$AC$1, 0))</f>
        <v>#N/A</v>
      </c>
      <c r="L502" s="42"/>
      <c r="M502" s="42" t="str" cm="1">
        <f t="array" ref="M502">IFERROR(_xlfn.FILTERXML("&lt;t&gt;&lt;s&gt;" &amp; SUBSTITUTE(L502," / ","&lt;/s&gt;&lt;s&gt;") &amp; "&lt;/s&gt;&lt;/t&gt;","(//s[contains(.,'DDR')])[1]"),"")</f>
        <v/>
      </c>
      <c r="N502" s="32" t="e">
        <f t="shared" si="23"/>
        <v>#N/A</v>
      </c>
      <c r="O502" s="42" t="e">
        <f>INDEX(Input!$D$2:$AC$500,
       MATCH(B502, Input!$J$2:$J$500, 0),
       MATCH("Disk Interface Type", Input!$D$1:$AC$1, 0))</f>
        <v>#N/A</v>
      </c>
      <c r="P502" s="42" t="str" cm="1">
        <f t="array" ref="P502">IFERROR(_xlfn.TEXTJOIN(", ", TRUE, _xlfn._xlws.FILTER(
    INDEX(Input!$D$2:$AC$500,,MATCH("Disk Capacity",Input!$D$1:$AC$1,0)),
    Input!$J$2:$J$500=B502
)), "")</f>
        <v/>
      </c>
      <c r="Q502" s="32" t="e">
        <f t="shared" si="22"/>
        <v>#N/A</v>
      </c>
      <c r="R502" s="42" t="e">
        <f>_xlfn.LET(_xlpm.Result,INDEX(Input!$D$2:$AC$500,
       MATCH(B502, Input!$J$2:$J$500, 0),
       MATCH("Capacity", Input!$D$1:$AC$1, 0)),IF(_xlpm.Result="","",_xlpm.Result))</f>
        <v>#N/A</v>
      </c>
      <c r="S502" s="42"/>
      <c r="T502" s="42"/>
      <c r="U502" s="42" t="str" cm="1">
        <f t="array" ref="U502">IFERROR(_xlfn.IFS(
S502="","",
--S502&lt;55,"Battery Defect",
--S502&lt;=69,"Battery D",
--S502&lt;=80,"Battery C",
--S502&gt;80,""
),"")</f>
        <v/>
      </c>
      <c r="V502" s="42" t="str" cm="1">
        <f t="array" ref="V502">IFERROR(_xlfn.IFS(
T502="","",
--T502&lt;55,"Battery Defect",
--T502&lt;=69,"Battery D",
--T502&lt;=80,"Battery C",
--T502&gt;80,""
),"")</f>
        <v/>
      </c>
      <c r="W502" s="42"/>
      <c r="X502" s="42"/>
      <c r="Y502" s="42"/>
      <c r="Z502" s="42"/>
      <c r="AA502" s="42"/>
      <c r="AB502" s="42"/>
      <c r="AC502" s="42"/>
      <c r="AD502" s="42"/>
      <c r="AE502" s="32" t="str">
        <f t="shared" si="21"/>
        <v/>
      </c>
      <c r="AF502" s="32"/>
      <c r="AG502" s="32"/>
      <c r="AH502" s="32"/>
      <c r="AI502" s="32"/>
      <c r="AJ502" s="32"/>
      <c r="AK502" s="32"/>
      <c r="AL502" s="32"/>
      <c r="AM502" s="32"/>
    </row>
    <row r="503" spans="1:39">
      <c r="A503" s="32" t="str">
        <f>_xlfn.XLOOKUP(B503,Input!J:J,Input!G:G)&amp;""</f>
        <v/>
      </c>
      <c r="B503" s="32"/>
      <c r="C503" s="32" t="str">
        <f>_xlfn.XLOOKUP(B503,Input!J:J,Input!H:H)&amp;""</f>
        <v/>
      </c>
      <c r="D503" s="42">
        <f>_xlfn.XLOOKUP(B503,Input!J:J,Input!F:F)</f>
        <v>0</v>
      </c>
      <c r="E503" s="32">
        <f>_xlfn.XLOOKUP(D503,Models!H:H,Models!G:G,D503)</f>
        <v>0</v>
      </c>
      <c r="F503" s="32">
        <f>_xlfn.XLOOKUP(B503,Input!J:J,Input!E:E)</f>
        <v>0</v>
      </c>
      <c r="G503" s="32">
        <f>IF(F503="LENOVO",_xlfn.XLOOKUP(B503,Input!J:J,Input!K:K),_xlfn.XLOOKUP(B503,Input!J:J,Input!L:L))</f>
        <v>0</v>
      </c>
      <c r="H503" s="32"/>
      <c r="I503" s="32"/>
      <c r="J503" s="32"/>
      <c r="K503" s="42" t="e">
        <f>INDEX(Input!$D$2:$AC$500,
       MATCH(B503, Input!$J$2:$J$500, 0),
       MATCH("Total Memory", Input!$D$1:$AC$1, 0))</f>
        <v>#N/A</v>
      </c>
      <c r="L503" s="42"/>
      <c r="M503" s="42" t="str" cm="1">
        <f t="array" ref="M503">IFERROR(_xlfn.FILTERXML("&lt;t&gt;&lt;s&gt;" &amp; SUBSTITUTE(L503," / ","&lt;/s&gt;&lt;s&gt;") &amp; "&lt;/s&gt;&lt;/t&gt;","(//s[contains(.,'DDR')])[1]"),"")</f>
        <v/>
      </c>
      <c r="N503" s="32" t="e">
        <f t="shared" si="23"/>
        <v>#N/A</v>
      </c>
      <c r="O503" s="42" t="e">
        <f>INDEX(Input!$D$2:$AC$500,
       MATCH(B503, Input!$J$2:$J$500, 0),
       MATCH("Disk Interface Type", Input!$D$1:$AC$1, 0))</f>
        <v>#N/A</v>
      </c>
      <c r="P503" s="42" t="str" cm="1">
        <f t="array" ref="P503">IFERROR(_xlfn.TEXTJOIN(", ", TRUE, _xlfn._xlws.FILTER(
    INDEX(Input!$D$2:$AC$500,,MATCH("Disk Capacity",Input!$D$1:$AC$1,0)),
    Input!$J$2:$J$500=B503
)), "")</f>
        <v/>
      </c>
      <c r="Q503" s="32" t="e">
        <f t="shared" si="22"/>
        <v>#N/A</v>
      </c>
      <c r="R503" s="42" t="e">
        <f>_xlfn.LET(_xlpm.Result,INDEX(Input!$D$2:$AC$500,
       MATCH(B503, Input!$J$2:$J$500, 0),
       MATCH("Capacity", Input!$D$1:$AC$1, 0)),IF(_xlpm.Result="","",_xlpm.Result))</f>
        <v>#N/A</v>
      </c>
      <c r="S503" s="42"/>
      <c r="T503" s="42"/>
      <c r="U503" s="42" t="str" cm="1">
        <f t="array" ref="U503">IFERROR(_xlfn.IFS(
S503="","",
--S503&lt;55,"Battery Defect",
--S503&lt;=69,"Battery D",
--S503&lt;=80,"Battery C",
--S503&gt;80,""
),"")</f>
        <v/>
      </c>
      <c r="V503" s="42" t="str" cm="1">
        <f t="array" ref="V503">IFERROR(_xlfn.IFS(
T503="","",
--T503&lt;55,"Battery Defect",
--T503&lt;=69,"Battery D",
--T503&lt;=80,"Battery C",
--T503&gt;80,""
),"")</f>
        <v/>
      </c>
      <c r="W503" s="42"/>
      <c r="X503" s="42"/>
      <c r="Y503" s="42"/>
      <c r="Z503" s="42"/>
      <c r="AA503" s="42"/>
      <c r="AB503" s="42"/>
      <c r="AC503" s="42"/>
      <c r="AD503" s="42"/>
      <c r="AE503" s="32" t="str">
        <f t="shared" si="21"/>
        <v/>
      </c>
      <c r="AF503" s="32"/>
      <c r="AG503" s="32"/>
      <c r="AH503" s="32"/>
      <c r="AI503" s="32"/>
      <c r="AJ503" s="32"/>
      <c r="AK503" s="32"/>
      <c r="AL503" s="32"/>
      <c r="AM503" s="32"/>
    </row>
    <row r="504" spans="1:39">
      <c r="A504" s="32" t="str">
        <f>_xlfn.XLOOKUP(B504,Input!J:J,Input!G:G)&amp;""</f>
        <v/>
      </c>
      <c r="B504" s="32"/>
      <c r="C504" s="32" t="str">
        <f>_xlfn.XLOOKUP(B504,Input!J:J,Input!H:H)&amp;""</f>
        <v/>
      </c>
      <c r="D504" s="42">
        <f>_xlfn.XLOOKUP(B504,Input!J:J,Input!F:F)</f>
        <v>0</v>
      </c>
      <c r="E504" s="32">
        <f>_xlfn.XLOOKUP(D504,Models!H:H,Models!G:G,D504)</f>
        <v>0</v>
      </c>
      <c r="F504" s="32">
        <f>_xlfn.XLOOKUP(B504,Input!J:J,Input!E:E)</f>
        <v>0</v>
      </c>
      <c r="G504" s="32">
        <f>IF(F504="LENOVO",_xlfn.XLOOKUP(B504,Input!J:J,Input!K:K),_xlfn.XLOOKUP(B504,Input!J:J,Input!L:L))</f>
        <v>0</v>
      </c>
      <c r="H504" s="32"/>
      <c r="I504" s="32"/>
      <c r="J504" s="32"/>
      <c r="K504" s="42" t="e">
        <f>INDEX(Input!$D$2:$AC$500,
       MATCH(B504, Input!$J$2:$J$500, 0),
       MATCH("Total Memory", Input!$D$1:$AC$1, 0))</f>
        <v>#N/A</v>
      </c>
      <c r="L504" s="42"/>
      <c r="M504" s="42" t="str" cm="1">
        <f t="array" ref="M504">IFERROR(_xlfn.FILTERXML("&lt;t&gt;&lt;s&gt;" &amp; SUBSTITUTE(L504," / ","&lt;/s&gt;&lt;s&gt;") &amp; "&lt;/s&gt;&lt;/t&gt;","(//s[contains(.,'DDR')])[1]"),"")</f>
        <v/>
      </c>
      <c r="N504" s="32" t="e">
        <f t="shared" si="23"/>
        <v>#N/A</v>
      </c>
      <c r="O504" s="42" t="e">
        <f>INDEX(Input!$D$2:$AC$500,
       MATCH(B504, Input!$J$2:$J$500, 0),
       MATCH("Disk Interface Type", Input!$D$1:$AC$1, 0))</f>
        <v>#N/A</v>
      </c>
      <c r="P504" s="42" t="str" cm="1">
        <f t="array" ref="P504">IFERROR(_xlfn.TEXTJOIN(", ", TRUE, _xlfn._xlws.FILTER(
    INDEX(Input!$D$2:$AC$500,,MATCH("Disk Capacity",Input!$D$1:$AC$1,0)),
    Input!$J$2:$J$500=B504
)), "")</f>
        <v/>
      </c>
      <c r="Q504" s="32" t="e">
        <f t="shared" si="22"/>
        <v>#N/A</v>
      </c>
      <c r="R504" s="42" t="e">
        <f>_xlfn.LET(_xlpm.Result,INDEX(Input!$D$2:$AC$500,
       MATCH(B504, Input!$J$2:$J$500, 0),
       MATCH("Capacity", Input!$D$1:$AC$1, 0)),IF(_xlpm.Result="","",_xlpm.Result))</f>
        <v>#N/A</v>
      </c>
      <c r="S504" s="42"/>
      <c r="T504" s="42"/>
      <c r="U504" s="42" t="str" cm="1">
        <f t="array" ref="U504">IFERROR(_xlfn.IFS(
S504="","",
--S504&lt;55,"Battery Defect",
--S504&lt;=69,"Battery D",
--S504&lt;=80,"Battery C",
--S504&gt;80,""
),"")</f>
        <v/>
      </c>
      <c r="V504" s="42" t="str" cm="1">
        <f t="array" ref="V504">IFERROR(_xlfn.IFS(
T504="","",
--T504&lt;55,"Battery Defect",
--T504&lt;=69,"Battery D",
--T504&lt;=80,"Battery C",
--T504&gt;80,""
),"")</f>
        <v/>
      </c>
      <c r="W504" s="42"/>
      <c r="X504" s="42"/>
      <c r="Y504" s="42"/>
      <c r="Z504" s="42"/>
      <c r="AA504" s="42"/>
      <c r="AB504" s="42"/>
      <c r="AC504" s="42"/>
      <c r="AD504" s="42"/>
      <c r="AE504" s="32" t="str">
        <f t="shared" si="21"/>
        <v/>
      </c>
      <c r="AF504" s="32"/>
      <c r="AG504" s="32"/>
      <c r="AH504" s="32"/>
      <c r="AI504" s="32"/>
      <c r="AJ504" s="32"/>
      <c r="AK504" s="32"/>
      <c r="AL504" s="32"/>
      <c r="AM504" s="32"/>
    </row>
    <row r="505" spans="1:39">
      <c r="A505" s="32" t="str">
        <f>_xlfn.XLOOKUP(B505,Input!J:J,Input!G:G)&amp;""</f>
        <v/>
      </c>
      <c r="B505" s="32"/>
      <c r="C505" s="32" t="str">
        <f>_xlfn.XLOOKUP(B505,Input!J:J,Input!H:H)&amp;""</f>
        <v/>
      </c>
      <c r="D505" s="42">
        <f>_xlfn.XLOOKUP(B505,Input!J:J,Input!F:F)</f>
        <v>0</v>
      </c>
      <c r="E505" s="32">
        <f>_xlfn.XLOOKUP(D505,Models!H:H,Models!G:G,D505)</f>
        <v>0</v>
      </c>
      <c r="F505" s="32">
        <f>_xlfn.XLOOKUP(B505,Input!J:J,Input!E:E)</f>
        <v>0</v>
      </c>
      <c r="G505" s="32">
        <f>IF(F505="LENOVO",_xlfn.XLOOKUP(B505,Input!J:J,Input!K:K),_xlfn.XLOOKUP(B505,Input!J:J,Input!L:L))</f>
        <v>0</v>
      </c>
      <c r="H505" s="32"/>
      <c r="I505" s="32"/>
      <c r="J505" s="32"/>
      <c r="K505" s="42" t="e">
        <f>INDEX(Input!$D$2:$AC$500,
       MATCH(B505, Input!$J$2:$J$500, 0),
       MATCH("Total Memory", Input!$D$1:$AC$1, 0))</f>
        <v>#N/A</v>
      </c>
      <c r="L505" s="42"/>
      <c r="M505" s="42" t="str" cm="1">
        <f t="array" ref="M505">IFERROR(_xlfn.FILTERXML("&lt;t&gt;&lt;s&gt;" &amp; SUBSTITUTE(L505," / ","&lt;/s&gt;&lt;s&gt;") &amp; "&lt;/s&gt;&lt;/t&gt;","(//s[contains(.,'DDR')])[1]"),"")</f>
        <v/>
      </c>
      <c r="N505" s="32" t="e">
        <f t="shared" si="23"/>
        <v>#N/A</v>
      </c>
      <c r="O505" s="42" t="e">
        <f>INDEX(Input!$D$2:$AC$500,
       MATCH(B505, Input!$J$2:$J$500, 0),
       MATCH("Disk Interface Type", Input!$D$1:$AC$1, 0))</f>
        <v>#N/A</v>
      </c>
      <c r="P505" s="42" t="str" cm="1">
        <f t="array" ref="P505">IFERROR(_xlfn.TEXTJOIN(", ", TRUE, _xlfn._xlws.FILTER(
    INDEX(Input!$D$2:$AC$500,,MATCH("Disk Capacity",Input!$D$1:$AC$1,0)),
    Input!$J$2:$J$500=B505
)), "")</f>
        <v/>
      </c>
      <c r="Q505" s="32" t="e">
        <f t="shared" si="22"/>
        <v>#N/A</v>
      </c>
      <c r="R505" s="42" t="e">
        <f>_xlfn.LET(_xlpm.Result,INDEX(Input!$D$2:$AC$500,
       MATCH(B505, Input!$J$2:$J$500, 0),
       MATCH("Capacity", Input!$D$1:$AC$1, 0)),IF(_xlpm.Result="","",_xlpm.Result))</f>
        <v>#N/A</v>
      </c>
      <c r="S505" s="42"/>
      <c r="T505" s="42"/>
      <c r="U505" s="42" t="str" cm="1">
        <f t="array" ref="U505">IFERROR(_xlfn.IFS(
S505="","",
--S505&lt;55,"Battery Defect",
--S505&lt;=69,"Battery D",
--S505&lt;=80,"Battery C",
--S505&gt;80,""
),"")</f>
        <v/>
      </c>
      <c r="V505" s="42" t="str" cm="1">
        <f t="array" ref="V505">IFERROR(_xlfn.IFS(
T505="","",
--T505&lt;55,"Battery Defect",
--T505&lt;=69,"Battery D",
--T505&lt;=80,"Battery C",
--T505&gt;80,""
),"")</f>
        <v/>
      </c>
      <c r="W505" s="42"/>
      <c r="X505" s="42"/>
      <c r="Y505" s="42"/>
      <c r="Z505" s="42"/>
      <c r="AA505" s="42"/>
      <c r="AB505" s="42"/>
      <c r="AC505" s="42"/>
      <c r="AD505" s="42"/>
      <c r="AE505" s="32" t="str">
        <f t="shared" si="21"/>
        <v/>
      </c>
      <c r="AF505" s="32"/>
      <c r="AG505" s="32"/>
      <c r="AH505" s="32"/>
      <c r="AI505" s="32"/>
      <c r="AJ505" s="32"/>
      <c r="AK505" s="32"/>
      <c r="AL505" s="32"/>
      <c r="AM505" s="32"/>
    </row>
    <row r="506" spans="1:39">
      <c r="A506" s="32" t="str">
        <f>_xlfn.XLOOKUP(B506,Input!J:J,Input!G:G)&amp;""</f>
        <v/>
      </c>
      <c r="B506" s="32"/>
      <c r="C506" s="32" t="str">
        <f>_xlfn.XLOOKUP(B506,Input!J:J,Input!H:H)&amp;""</f>
        <v/>
      </c>
      <c r="D506" s="42">
        <f>_xlfn.XLOOKUP(B506,Input!J:J,Input!F:F)</f>
        <v>0</v>
      </c>
      <c r="E506" s="32">
        <f>_xlfn.XLOOKUP(D506,Models!H:H,Models!G:G,D506)</f>
        <v>0</v>
      </c>
      <c r="F506" s="32">
        <f>_xlfn.XLOOKUP(B506,Input!J:J,Input!E:E)</f>
        <v>0</v>
      </c>
      <c r="G506" s="32">
        <f>IF(F506="LENOVO",_xlfn.XLOOKUP(B506,Input!J:J,Input!K:K),_xlfn.XLOOKUP(B506,Input!J:J,Input!L:L))</f>
        <v>0</v>
      </c>
      <c r="H506" s="32"/>
      <c r="I506" s="32"/>
      <c r="J506" s="32"/>
      <c r="K506" s="42" t="e">
        <f>INDEX(Input!$D$2:$AC$500,
       MATCH(B506, Input!$J$2:$J$500, 0),
       MATCH("Total Memory", Input!$D$1:$AC$1, 0))</f>
        <v>#N/A</v>
      </c>
      <c r="L506" s="42"/>
      <c r="M506" s="42" t="str" cm="1">
        <f t="array" ref="M506">IFERROR(_xlfn.FILTERXML("&lt;t&gt;&lt;s&gt;" &amp; SUBSTITUTE(L506," / ","&lt;/s&gt;&lt;s&gt;") &amp; "&lt;/s&gt;&lt;/t&gt;","(//s[contains(.,'DDR')])[1]"),"")</f>
        <v/>
      </c>
      <c r="N506" s="32" t="e">
        <f t="shared" si="23"/>
        <v>#N/A</v>
      </c>
      <c r="O506" s="42" t="e">
        <f>INDEX(Input!$D$2:$AC$500,
       MATCH(B506, Input!$J$2:$J$500, 0),
       MATCH("Disk Interface Type", Input!$D$1:$AC$1, 0))</f>
        <v>#N/A</v>
      </c>
      <c r="P506" s="42" t="str" cm="1">
        <f t="array" ref="P506">IFERROR(_xlfn.TEXTJOIN(", ", TRUE, _xlfn._xlws.FILTER(
    INDEX(Input!$D$2:$AC$500,,MATCH("Disk Capacity",Input!$D$1:$AC$1,0)),
    Input!$J$2:$J$500=B506
)), "")</f>
        <v/>
      </c>
      <c r="Q506" s="32" t="e">
        <f t="shared" si="22"/>
        <v>#N/A</v>
      </c>
      <c r="R506" s="42" t="e">
        <f>_xlfn.LET(_xlpm.Result,INDEX(Input!$D$2:$AC$500,
       MATCH(B506, Input!$J$2:$J$500, 0),
       MATCH("Capacity", Input!$D$1:$AC$1, 0)),IF(_xlpm.Result="","",_xlpm.Result))</f>
        <v>#N/A</v>
      </c>
      <c r="S506" s="42"/>
      <c r="T506" s="42"/>
      <c r="U506" s="42" t="str" cm="1">
        <f t="array" ref="U506">IFERROR(_xlfn.IFS(
S506="","",
--S506&lt;55,"Battery Defect",
--S506&lt;=69,"Battery D",
--S506&lt;=80,"Battery C",
--S506&gt;80,""
),"")</f>
        <v/>
      </c>
      <c r="V506" s="42" t="str" cm="1">
        <f t="array" ref="V506">IFERROR(_xlfn.IFS(
T506="","",
--T506&lt;55,"Battery Defect",
--T506&lt;=69,"Battery D",
--T506&lt;=80,"Battery C",
--T506&gt;80,""
),"")</f>
        <v/>
      </c>
      <c r="W506" s="42"/>
      <c r="X506" s="42"/>
      <c r="Y506" s="42"/>
      <c r="Z506" s="42"/>
      <c r="AA506" s="42"/>
      <c r="AB506" s="42"/>
      <c r="AC506" s="42"/>
      <c r="AD506" s="42"/>
      <c r="AE506" s="32" t="str">
        <f t="shared" si="21"/>
        <v/>
      </c>
      <c r="AF506" s="32"/>
      <c r="AG506" s="32"/>
      <c r="AH506" s="32"/>
      <c r="AI506" s="32"/>
      <c r="AJ506" s="32"/>
      <c r="AK506" s="32"/>
      <c r="AL506" s="32"/>
      <c r="AM506" s="32"/>
    </row>
    <row r="507" spans="1:39">
      <c r="A507" s="32" t="str">
        <f>_xlfn.XLOOKUP(B507,Input!J:J,Input!G:G)&amp;""</f>
        <v/>
      </c>
      <c r="B507" s="32"/>
      <c r="C507" s="32" t="str">
        <f>_xlfn.XLOOKUP(B507,Input!J:J,Input!H:H)&amp;""</f>
        <v/>
      </c>
      <c r="D507" s="42">
        <f>_xlfn.XLOOKUP(B507,Input!J:J,Input!F:F)</f>
        <v>0</v>
      </c>
      <c r="E507" s="32">
        <f>_xlfn.XLOOKUP(D507,Models!H:H,Models!G:G,D507)</f>
        <v>0</v>
      </c>
      <c r="F507" s="32">
        <f>_xlfn.XLOOKUP(B507,Input!J:J,Input!E:E)</f>
        <v>0</v>
      </c>
      <c r="G507" s="32">
        <f>IF(F507="LENOVO",_xlfn.XLOOKUP(B507,Input!J:J,Input!K:K),_xlfn.XLOOKUP(B507,Input!J:J,Input!L:L))</f>
        <v>0</v>
      </c>
      <c r="H507" s="32"/>
      <c r="I507" s="32"/>
      <c r="J507" s="32"/>
      <c r="K507" s="42" t="e">
        <f>INDEX(Input!$D$2:$AC$500,
       MATCH(B507, Input!$J$2:$J$500, 0),
       MATCH("Total Memory", Input!$D$1:$AC$1, 0))</f>
        <v>#N/A</v>
      </c>
      <c r="L507" s="42"/>
      <c r="M507" s="42" t="str" cm="1">
        <f t="array" ref="M507">IFERROR(_xlfn.FILTERXML("&lt;t&gt;&lt;s&gt;" &amp; SUBSTITUTE(L507," / ","&lt;/s&gt;&lt;s&gt;") &amp; "&lt;/s&gt;&lt;/t&gt;","(//s[contains(.,'DDR')])[1]"),"")</f>
        <v/>
      </c>
      <c r="N507" s="32" t="e">
        <f t="shared" si="23"/>
        <v>#N/A</v>
      </c>
      <c r="O507" s="42" t="e">
        <f>INDEX(Input!$D$2:$AC$500,
       MATCH(B507, Input!$J$2:$J$500, 0),
       MATCH("Disk Interface Type", Input!$D$1:$AC$1, 0))</f>
        <v>#N/A</v>
      </c>
      <c r="P507" s="42" t="str" cm="1">
        <f t="array" ref="P507">IFERROR(_xlfn.TEXTJOIN(", ", TRUE, _xlfn._xlws.FILTER(
    INDEX(Input!$D$2:$AC$500,,MATCH("Disk Capacity",Input!$D$1:$AC$1,0)),
    Input!$J$2:$J$500=B507
)), "")</f>
        <v/>
      </c>
      <c r="Q507" s="32" t="e">
        <f t="shared" si="22"/>
        <v>#N/A</v>
      </c>
      <c r="R507" s="42" t="e">
        <f>_xlfn.LET(_xlpm.Result,INDEX(Input!$D$2:$AC$500,
       MATCH(B507, Input!$J$2:$J$500, 0),
       MATCH("Capacity", Input!$D$1:$AC$1, 0)),IF(_xlpm.Result="","",_xlpm.Result))</f>
        <v>#N/A</v>
      </c>
      <c r="S507" s="42"/>
      <c r="T507" s="42"/>
      <c r="U507" s="42" t="str" cm="1">
        <f t="array" ref="U507">IFERROR(_xlfn.IFS(
S507="","",
--S507&lt;55,"Battery Defect",
--S507&lt;=69,"Battery D",
--S507&lt;=80,"Battery C",
--S507&gt;80,""
),"")</f>
        <v/>
      </c>
      <c r="V507" s="42" t="str" cm="1">
        <f t="array" ref="V507">IFERROR(_xlfn.IFS(
T507="","",
--T507&lt;55,"Battery Defect",
--T507&lt;=69,"Battery D",
--T507&lt;=80,"Battery C",
--T507&gt;80,""
),"")</f>
        <v/>
      </c>
      <c r="W507" s="42"/>
      <c r="X507" s="42"/>
      <c r="Y507" s="42"/>
      <c r="Z507" s="42"/>
      <c r="AA507" s="42"/>
      <c r="AB507" s="42"/>
      <c r="AC507" s="42"/>
      <c r="AD507" s="42"/>
      <c r="AE507" s="32" t="str">
        <f t="shared" si="21"/>
        <v/>
      </c>
      <c r="AF507" s="32"/>
      <c r="AG507" s="32"/>
      <c r="AH507" s="32"/>
      <c r="AI507" s="32"/>
      <c r="AJ507" s="32"/>
      <c r="AK507" s="32"/>
      <c r="AL507" s="32"/>
      <c r="AM507" s="32"/>
    </row>
    <row r="508" spans="1:39">
      <c r="A508" s="32" t="str">
        <f>_xlfn.XLOOKUP(B508,Input!J:J,Input!G:G)&amp;""</f>
        <v/>
      </c>
      <c r="B508" s="32"/>
      <c r="C508" s="32" t="str">
        <f>_xlfn.XLOOKUP(B508,Input!J:J,Input!H:H)&amp;""</f>
        <v/>
      </c>
      <c r="D508" s="42">
        <f>_xlfn.XLOOKUP(B508,Input!J:J,Input!F:F)</f>
        <v>0</v>
      </c>
      <c r="E508" s="32">
        <f>_xlfn.XLOOKUP(D508,Models!H:H,Models!G:G,D508)</f>
        <v>0</v>
      </c>
      <c r="F508" s="32">
        <f>_xlfn.XLOOKUP(B508,Input!J:J,Input!E:E)</f>
        <v>0</v>
      </c>
      <c r="G508" s="32">
        <f>IF(F508="LENOVO",_xlfn.XLOOKUP(B508,Input!J:J,Input!K:K),_xlfn.XLOOKUP(B508,Input!J:J,Input!L:L))</f>
        <v>0</v>
      </c>
      <c r="H508" s="32"/>
      <c r="I508" s="32"/>
      <c r="J508" s="32"/>
      <c r="K508" s="42" t="e">
        <f>INDEX(Input!$D$2:$AC$500,
       MATCH(B508, Input!$J$2:$J$500, 0),
       MATCH("Total Memory", Input!$D$1:$AC$1, 0))</f>
        <v>#N/A</v>
      </c>
      <c r="L508" s="42"/>
      <c r="M508" s="42" t="str" cm="1">
        <f t="array" ref="M508">IFERROR(_xlfn.FILTERXML("&lt;t&gt;&lt;s&gt;" &amp; SUBSTITUTE(L508," / ","&lt;/s&gt;&lt;s&gt;") &amp; "&lt;/s&gt;&lt;/t&gt;","(//s[contains(.,'DDR')])[1]"),"")</f>
        <v/>
      </c>
      <c r="N508" s="32" t="e">
        <f t="shared" si="23"/>
        <v>#N/A</v>
      </c>
      <c r="O508" s="42" t="e">
        <f>INDEX(Input!$D$2:$AC$500,
       MATCH(B508, Input!$J$2:$J$500, 0),
       MATCH("Disk Interface Type", Input!$D$1:$AC$1, 0))</f>
        <v>#N/A</v>
      </c>
      <c r="P508" s="42" t="str" cm="1">
        <f t="array" ref="P508">IFERROR(_xlfn.TEXTJOIN(", ", TRUE, _xlfn._xlws.FILTER(
    INDEX(Input!$D$2:$AC$500,,MATCH("Disk Capacity",Input!$D$1:$AC$1,0)),
    Input!$J$2:$J$500=B508
)), "")</f>
        <v/>
      </c>
      <c r="Q508" s="32" t="e">
        <f t="shared" si="22"/>
        <v>#N/A</v>
      </c>
      <c r="R508" s="42" t="e">
        <f>_xlfn.LET(_xlpm.Result,INDEX(Input!$D$2:$AC$500,
       MATCH(B508, Input!$J$2:$J$500, 0),
       MATCH("Capacity", Input!$D$1:$AC$1, 0)),IF(_xlpm.Result="","",_xlpm.Result))</f>
        <v>#N/A</v>
      </c>
      <c r="S508" s="42"/>
      <c r="T508" s="42"/>
      <c r="U508" s="42" t="str" cm="1">
        <f t="array" ref="U508">IFERROR(_xlfn.IFS(
S508="","",
--S508&lt;55,"Battery Defect",
--S508&lt;=69,"Battery D",
--S508&lt;=80,"Battery C",
--S508&gt;80,""
),"")</f>
        <v/>
      </c>
      <c r="V508" s="42" t="str" cm="1">
        <f t="array" ref="V508">IFERROR(_xlfn.IFS(
T508="","",
--T508&lt;55,"Battery Defect",
--T508&lt;=69,"Battery D",
--T508&lt;=80,"Battery C",
--T508&gt;80,""
),"")</f>
        <v/>
      </c>
      <c r="W508" s="42"/>
      <c r="X508" s="42"/>
      <c r="Y508" s="42"/>
      <c r="Z508" s="42"/>
      <c r="AA508" s="42"/>
      <c r="AB508" s="42"/>
      <c r="AC508" s="42"/>
      <c r="AD508" s="42"/>
      <c r="AE508" s="32" t="str">
        <f t="shared" si="21"/>
        <v/>
      </c>
      <c r="AF508" s="32"/>
      <c r="AG508" s="32"/>
      <c r="AH508" s="32"/>
      <c r="AI508" s="32"/>
      <c r="AJ508" s="32"/>
      <c r="AK508" s="32"/>
      <c r="AL508" s="32"/>
      <c r="AM508" s="32"/>
    </row>
    <row r="509" spans="1:39">
      <c r="A509" s="32" t="str">
        <f>_xlfn.XLOOKUP(B509,Input!J:J,Input!G:G)&amp;""</f>
        <v/>
      </c>
      <c r="B509" s="32"/>
      <c r="C509" s="32" t="str">
        <f>_xlfn.XLOOKUP(B509,Input!J:J,Input!H:H)&amp;""</f>
        <v/>
      </c>
      <c r="D509" s="42">
        <f>_xlfn.XLOOKUP(B509,Input!J:J,Input!F:F)</f>
        <v>0</v>
      </c>
      <c r="E509" s="32">
        <f>_xlfn.XLOOKUP(D509,Models!H:H,Models!G:G,D509)</f>
        <v>0</v>
      </c>
      <c r="F509" s="32">
        <f>_xlfn.XLOOKUP(B509,Input!J:J,Input!E:E)</f>
        <v>0</v>
      </c>
      <c r="G509" s="32">
        <f>IF(F509="LENOVO",_xlfn.XLOOKUP(B509,Input!J:J,Input!K:K),_xlfn.XLOOKUP(B509,Input!J:J,Input!L:L))</f>
        <v>0</v>
      </c>
      <c r="H509" s="32"/>
      <c r="I509" s="32"/>
      <c r="J509" s="32"/>
      <c r="K509" s="42" t="e">
        <f>INDEX(Input!$D$2:$AC$500,
       MATCH(B509, Input!$J$2:$J$500, 0),
       MATCH("Total Memory", Input!$D$1:$AC$1, 0))</f>
        <v>#N/A</v>
      </c>
      <c r="L509" s="42"/>
      <c r="M509" s="42" t="str" cm="1">
        <f t="array" ref="M509">IFERROR(_xlfn.FILTERXML("&lt;t&gt;&lt;s&gt;" &amp; SUBSTITUTE(L509," / ","&lt;/s&gt;&lt;s&gt;") &amp; "&lt;/s&gt;&lt;/t&gt;","(//s[contains(.,'DDR')])[1]"),"")</f>
        <v/>
      </c>
      <c r="N509" s="32" t="e">
        <f t="shared" si="23"/>
        <v>#N/A</v>
      </c>
      <c r="O509" s="42" t="e">
        <f>INDEX(Input!$D$2:$AC$500,
       MATCH(B509, Input!$J$2:$J$500, 0),
       MATCH("Disk Interface Type", Input!$D$1:$AC$1, 0))</f>
        <v>#N/A</v>
      </c>
      <c r="P509" s="42" t="str" cm="1">
        <f t="array" ref="P509">IFERROR(_xlfn.TEXTJOIN(", ", TRUE, _xlfn._xlws.FILTER(
    INDEX(Input!$D$2:$AC$500,,MATCH("Disk Capacity",Input!$D$1:$AC$1,0)),
    Input!$J$2:$J$500=B509
)), "")</f>
        <v/>
      </c>
      <c r="Q509" s="32" t="e">
        <f t="shared" si="22"/>
        <v>#N/A</v>
      </c>
      <c r="R509" s="42" t="e">
        <f>_xlfn.LET(_xlpm.Result,INDEX(Input!$D$2:$AC$500,
       MATCH(B509, Input!$J$2:$J$500, 0),
       MATCH("Capacity", Input!$D$1:$AC$1, 0)),IF(_xlpm.Result="","",_xlpm.Result))</f>
        <v>#N/A</v>
      </c>
      <c r="S509" s="42"/>
      <c r="T509" s="42"/>
      <c r="U509" s="42" t="str" cm="1">
        <f t="array" ref="U509">IFERROR(_xlfn.IFS(
S509="","",
--S509&lt;55,"Battery Defect",
--S509&lt;=69,"Battery D",
--S509&lt;=80,"Battery C",
--S509&gt;80,""
),"")</f>
        <v/>
      </c>
      <c r="V509" s="42" t="str" cm="1">
        <f t="array" ref="V509">IFERROR(_xlfn.IFS(
T509="","",
--T509&lt;55,"Battery Defect",
--T509&lt;=69,"Battery D",
--T509&lt;=80,"Battery C",
--T509&gt;80,""
),"")</f>
        <v/>
      </c>
      <c r="W509" s="42"/>
      <c r="X509" s="42"/>
      <c r="Y509" s="42"/>
      <c r="Z509" s="42"/>
      <c r="AA509" s="42"/>
      <c r="AB509" s="42"/>
      <c r="AC509" s="42"/>
      <c r="AD509" s="42"/>
      <c r="AE509" s="32" t="str">
        <f t="shared" si="21"/>
        <v/>
      </c>
      <c r="AF509" s="32"/>
      <c r="AG509" s="32"/>
      <c r="AH509" s="32"/>
      <c r="AI509" s="32"/>
      <c r="AJ509" s="32"/>
      <c r="AK509" s="32"/>
      <c r="AL509" s="32"/>
      <c r="AM509" s="32"/>
    </row>
    <row r="510" spans="1:39">
      <c r="A510" s="32" t="str">
        <f>_xlfn.XLOOKUP(B510,Input!J:J,Input!G:G)&amp;""</f>
        <v/>
      </c>
      <c r="B510" s="32"/>
      <c r="C510" s="32" t="str">
        <f>_xlfn.XLOOKUP(B510,Input!J:J,Input!H:H)&amp;""</f>
        <v/>
      </c>
      <c r="D510" s="42">
        <f>_xlfn.XLOOKUP(B510,Input!J:J,Input!F:F)</f>
        <v>0</v>
      </c>
      <c r="E510" s="32">
        <f>_xlfn.XLOOKUP(D510,Models!H:H,Models!G:G,D510)</f>
        <v>0</v>
      </c>
      <c r="F510" s="32">
        <f>_xlfn.XLOOKUP(B510,Input!J:J,Input!E:E)</f>
        <v>0</v>
      </c>
      <c r="G510" s="32">
        <f>IF(F510="LENOVO",_xlfn.XLOOKUP(B510,Input!J:J,Input!K:K),_xlfn.XLOOKUP(B510,Input!J:J,Input!L:L))</f>
        <v>0</v>
      </c>
      <c r="H510" s="32"/>
      <c r="I510" s="32"/>
      <c r="J510" s="32"/>
      <c r="K510" s="42" t="e">
        <f>INDEX(Input!$D$2:$AC$500,
       MATCH(B510, Input!$J$2:$J$500, 0),
       MATCH("Total Memory", Input!$D$1:$AC$1, 0))</f>
        <v>#N/A</v>
      </c>
      <c r="L510" s="42"/>
      <c r="M510" s="42" t="str" cm="1">
        <f t="array" ref="M510">IFERROR(_xlfn.FILTERXML("&lt;t&gt;&lt;s&gt;" &amp; SUBSTITUTE(L510," / ","&lt;/s&gt;&lt;s&gt;") &amp; "&lt;/s&gt;&lt;/t&gt;","(//s[contains(.,'DDR')])[1]"),"")</f>
        <v/>
      </c>
      <c r="N510" s="32" t="e">
        <f t="shared" si="23"/>
        <v>#N/A</v>
      </c>
      <c r="O510" s="42" t="e">
        <f>INDEX(Input!$D$2:$AC$500,
       MATCH(B510, Input!$J$2:$J$500, 0),
       MATCH("Disk Interface Type", Input!$D$1:$AC$1, 0))</f>
        <v>#N/A</v>
      </c>
      <c r="P510" s="42" t="str" cm="1">
        <f t="array" ref="P510">IFERROR(_xlfn.TEXTJOIN(", ", TRUE, _xlfn._xlws.FILTER(
    INDEX(Input!$D$2:$AC$500,,MATCH("Disk Capacity",Input!$D$1:$AC$1,0)),
    Input!$J$2:$J$500=B510
)), "")</f>
        <v/>
      </c>
      <c r="Q510" s="32" t="e">
        <f t="shared" si="22"/>
        <v>#N/A</v>
      </c>
      <c r="R510" s="42" t="e">
        <f>_xlfn.LET(_xlpm.Result,INDEX(Input!$D$2:$AC$500,
       MATCH(B510, Input!$J$2:$J$500, 0),
       MATCH("Capacity", Input!$D$1:$AC$1, 0)),IF(_xlpm.Result="","",_xlpm.Result))</f>
        <v>#N/A</v>
      </c>
      <c r="S510" s="42"/>
      <c r="T510" s="42"/>
      <c r="U510" s="42" t="str" cm="1">
        <f t="array" ref="U510">IFERROR(_xlfn.IFS(
S510="","",
--S510&lt;55,"Battery Defect",
--S510&lt;=69,"Battery D",
--S510&lt;=80,"Battery C",
--S510&gt;80,""
),"")</f>
        <v/>
      </c>
      <c r="V510" s="42" t="str" cm="1">
        <f t="array" ref="V510">IFERROR(_xlfn.IFS(
T510="","",
--T510&lt;55,"Battery Defect",
--T510&lt;=69,"Battery D",
--T510&lt;=80,"Battery C",
--T510&gt;80,""
),"")</f>
        <v/>
      </c>
      <c r="W510" s="42"/>
      <c r="X510" s="42"/>
      <c r="Y510" s="42"/>
      <c r="Z510" s="42"/>
      <c r="AA510" s="42"/>
      <c r="AB510" s="42"/>
      <c r="AC510" s="42"/>
      <c r="AD510" s="42"/>
      <c r="AE510" s="32" t="str">
        <f t="shared" si="21"/>
        <v/>
      </c>
      <c r="AF510" s="32"/>
      <c r="AG510" s="32"/>
      <c r="AH510" s="32"/>
      <c r="AI510" s="32"/>
      <c r="AJ510" s="32"/>
      <c r="AK510" s="32"/>
      <c r="AL510" s="32"/>
      <c r="AM510" s="32"/>
    </row>
    <row r="511" spans="1:39">
      <c r="A511" s="32" t="str">
        <f>_xlfn.XLOOKUP(B511,Input!J:J,Input!G:G)&amp;""</f>
        <v/>
      </c>
      <c r="B511" s="32"/>
      <c r="C511" s="32" t="str">
        <f>_xlfn.XLOOKUP(B511,Input!J:J,Input!H:H)&amp;""</f>
        <v/>
      </c>
      <c r="D511" s="42">
        <f>_xlfn.XLOOKUP(B511,Input!J:J,Input!F:F)</f>
        <v>0</v>
      </c>
      <c r="E511" s="32">
        <f>_xlfn.XLOOKUP(D511,Models!H:H,Models!G:G,D511)</f>
        <v>0</v>
      </c>
      <c r="F511" s="32">
        <f>_xlfn.XLOOKUP(B511,Input!J:J,Input!E:E)</f>
        <v>0</v>
      </c>
      <c r="G511" s="32">
        <f>IF(F511="LENOVO",_xlfn.XLOOKUP(B511,Input!J:J,Input!K:K),_xlfn.XLOOKUP(B511,Input!J:J,Input!L:L))</f>
        <v>0</v>
      </c>
      <c r="H511" s="32"/>
      <c r="I511" s="32"/>
      <c r="J511" s="32"/>
      <c r="K511" s="42" t="e">
        <f>INDEX(Input!$D$2:$AC$500,
       MATCH(B511, Input!$J$2:$J$500, 0),
       MATCH("Total Memory", Input!$D$1:$AC$1, 0))</f>
        <v>#N/A</v>
      </c>
      <c r="L511" s="42"/>
      <c r="M511" s="42" t="str" cm="1">
        <f t="array" ref="M511">IFERROR(_xlfn.FILTERXML("&lt;t&gt;&lt;s&gt;" &amp; SUBSTITUTE(L511," / ","&lt;/s&gt;&lt;s&gt;") &amp; "&lt;/s&gt;&lt;/t&gt;","(//s[contains(.,'DDR')])[1]"),"")</f>
        <v/>
      </c>
      <c r="N511" s="32" t="e">
        <f t="shared" si="23"/>
        <v>#N/A</v>
      </c>
      <c r="O511" s="42" t="e">
        <f>INDEX(Input!$D$2:$AC$500,
       MATCH(B511, Input!$J$2:$J$500, 0),
       MATCH("Disk Interface Type", Input!$D$1:$AC$1, 0))</f>
        <v>#N/A</v>
      </c>
      <c r="P511" s="42" t="str" cm="1">
        <f t="array" ref="P511">IFERROR(_xlfn.TEXTJOIN(", ", TRUE, _xlfn._xlws.FILTER(
    INDEX(Input!$D$2:$AC$500,,MATCH("Disk Capacity",Input!$D$1:$AC$1,0)),
    Input!$J$2:$J$500=B511
)), "")</f>
        <v/>
      </c>
      <c r="Q511" s="32" t="e">
        <f t="shared" si="22"/>
        <v>#N/A</v>
      </c>
      <c r="R511" s="42" t="e">
        <f>_xlfn.LET(_xlpm.Result,INDEX(Input!$D$2:$AC$500,
       MATCH(B511, Input!$J$2:$J$500, 0),
       MATCH("Capacity", Input!$D$1:$AC$1, 0)),IF(_xlpm.Result="","",_xlpm.Result))</f>
        <v>#N/A</v>
      </c>
      <c r="S511" s="42"/>
      <c r="T511" s="42"/>
      <c r="U511" s="42" t="str" cm="1">
        <f t="array" ref="U511">IFERROR(_xlfn.IFS(
S511="","",
--S511&lt;55,"Battery Defect",
--S511&lt;=69,"Battery D",
--S511&lt;=80,"Battery C",
--S511&gt;80,""
),"")</f>
        <v/>
      </c>
      <c r="V511" s="42" t="str" cm="1">
        <f t="array" ref="V511">IFERROR(_xlfn.IFS(
T511="","",
--T511&lt;55,"Battery Defect",
--T511&lt;=69,"Battery D",
--T511&lt;=80,"Battery C",
--T511&gt;80,""
),"")</f>
        <v/>
      </c>
      <c r="W511" s="42"/>
      <c r="X511" s="42"/>
      <c r="Y511" s="42"/>
      <c r="Z511" s="42"/>
      <c r="AA511" s="42"/>
      <c r="AB511" s="42"/>
      <c r="AC511" s="42"/>
      <c r="AD511" s="42"/>
      <c r="AE511" s="32" t="str">
        <f t="shared" si="21"/>
        <v/>
      </c>
      <c r="AF511" s="32"/>
      <c r="AG511" s="32"/>
      <c r="AH511" s="32"/>
      <c r="AI511" s="32"/>
      <c r="AJ511" s="32"/>
      <c r="AK511" s="32"/>
      <c r="AL511" s="32"/>
      <c r="AM511" s="32"/>
    </row>
    <row r="512" spans="1:39">
      <c r="A512" s="32" t="str">
        <f>_xlfn.XLOOKUP(B512,Input!J:J,Input!G:G)&amp;""</f>
        <v/>
      </c>
      <c r="B512" s="32"/>
      <c r="C512" s="32" t="str">
        <f>_xlfn.XLOOKUP(B512,Input!J:J,Input!H:H)&amp;""</f>
        <v/>
      </c>
      <c r="D512" s="42">
        <f>_xlfn.XLOOKUP(B512,Input!J:J,Input!F:F)</f>
        <v>0</v>
      </c>
      <c r="E512" s="32">
        <f>_xlfn.XLOOKUP(D512,Models!H:H,Models!G:G,D512)</f>
        <v>0</v>
      </c>
      <c r="F512" s="32">
        <f>_xlfn.XLOOKUP(B512,Input!J:J,Input!E:E)</f>
        <v>0</v>
      </c>
      <c r="G512" s="32">
        <f>IF(F512="LENOVO",_xlfn.XLOOKUP(B512,Input!J:J,Input!K:K),_xlfn.XLOOKUP(B512,Input!J:J,Input!L:L))</f>
        <v>0</v>
      </c>
      <c r="H512" s="32"/>
      <c r="I512" s="32"/>
      <c r="J512" s="32"/>
      <c r="K512" s="42" t="e">
        <f>INDEX(Input!$D$2:$AC$500,
       MATCH(B512, Input!$J$2:$J$500, 0),
       MATCH("Total Memory", Input!$D$1:$AC$1, 0))</f>
        <v>#N/A</v>
      </c>
      <c r="L512" s="42"/>
      <c r="M512" s="42" t="str" cm="1">
        <f t="array" ref="M512">IFERROR(_xlfn.FILTERXML("&lt;t&gt;&lt;s&gt;" &amp; SUBSTITUTE(L512," / ","&lt;/s&gt;&lt;s&gt;") &amp; "&lt;/s&gt;&lt;/t&gt;","(//s[contains(.,'DDR')])[1]"),"")</f>
        <v/>
      </c>
      <c r="N512" s="32" t="e">
        <f t="shared" si="23"/>
        <v>#N/A</v>
      </c>
      <c r="O512" s="42" t="e">
        <f>INDEX(Input!$D$2:$AC$500,
       MATCH(B512, Input!$J$2:$J$500, 0),
       MATCH("Disk Interface Type", Input!$D$1:$AC$1, 0))</f>
        <v>#N/A</v>
      </c>
      <c r="P512" s="42" t="str" cm="1">
        <f t="array" ref="P512">IFERROR(_xlfn.TEXTJOIN(", ", TRUE, _xlfn._xlws.FILTER(
    INDEX(Input!$D$2:$AC$500,,MATCH("Disk Capacity",Input!$D$1:$AC$1,0)),
    Input!$J$2:$J$500=B512
)), "")</f>
        <v/>
      </c>
      <c r="Q512" s="32" t="e">
        <f t="shared" si="22"/>
        <v>#N/A</v>
      </c>
      <c r="R512" s="42" t="e">
        <f>_xlfn.LET(_xlpm.Result,INDEX(Input!$D$2:$AC$500,
       MATCH(B512, Input!$J$2:$J$500, 0),
       MATCH("Capacity", Input!$D$1:$AC$1, 0)),IF(_xlpm.Result="","",_xlpm.Result))</f>
        <v>#N/A</v>
      </c>
      <c r="S512" s="42"/>
      <c r="T512" s="42"/>
      <c r="U512" s="42" t="str" cm="1">
        <f t="array" ref="U512">IFERROR(_xlfn.IFS(
S512="","",
--S512&lt;55,"Battery Defect",
--S512&lt;=69,"Battery D",
--S512&lt;=80,"Battery C",
--S512&gt;80,""
),"")</f>
        <v/>
      </c>
      <c r="V512" s="42" t="str" cm="1">
        <f t="array" ref="V512">IFERROR(_xlfn.IFS(
T512="","",
--T512&lt;55,"Battery Defect",
--T512&lt;=69,"Battery D",
--T512&lt;=80,"Battery C",
--T512&gt;80,""
),"")</f>
        <v/>
      </c>
      <c r="W512" s="42"/>
      <c r="X512" s="42"/>
      <c r="Y512" s="42"/>
      <c r="Z512" s="42"/>
      <c r="AA512" s="42"/>
      <c r="AB512" s="42"/>
      <c r="AC512" s="42"/>
      <c r="AD512" s="42"/>
      <c r="AE512" s="32" t="str">
        <f t="shared" si="21"/>
        <v/>
      </c>
      <c r="AF512" s="32"/>
      <c r="AG512" s="32"/>
      <c r="AH512" s="32"/>
      <c r="AI512" s="32"/>
      <c r="AJ512" s="32"/>
      <c r="AK512" s="32"/>
      <c r="AL512" s="32"/>
      <c r="AM512" s="32"/>
    </row>
    <row r="513" spans="1:39">
      <c r="A513" s="32" t="str">
        <f>_xlfn.XLOOKUP(B513,Input!J:J,Input!G:G)&amp;""</f>
        <v/>
      </c>
      <c r="B513" s="32"/>
      <c r="C513" s="32" t="str">
        <f>_xlfn.XLOOKUP(B513,Input!J:J,Input!H:H)&amp;""</f>
        <v/>
      </c>
      <c r="D513" s="42">
        <f>_xlfn.XLOOKUP(B513,Input!J:J,Input!F:F)</f>
        <v>0</v>
      </c>
      <c r="E513" s="32">
        <f>_xlfn.XLOOKUP(D513,Models!H:H,Models!G:G,D513)</f>
        <v>0</v>
      </c>
      <c r="F513" s="32">
        <f>_xlfn.XLOOKUP(B513,Input!J:J,Input!E:E)</f>
        <v>0</v>
      </c>
      <c r="G513" s="32">
        <f>IF(F513="LENOVO",_xlfn.XLOOKUP(B513,Input!J:J,Input!K:K),_xlfn.XLOOKUP(B513,Input!J:J,Input!L:L))</f>
        <v>0</v>
      </c>
      <c r="H513" s="32"/>
      <c r="I513" s="32"/>
      <c r="J513" s="32"/>
      <c r="K513" s="42" t="e">
        <f>INDEX(Input!$D$2:$AC$500,
       MATCH(B513, Input!$J$2:$J$500, 0),
       MATCH("Total Memory", Input!$D$1:$AC$1, 0))</f>
        <v>#N/A</v>
      </c>
      <c r="L513" s="42"/>
      <c r="M513" s="42" t="str" cm="1">
        <f t="array" ref="M513">IFERROR(_xlfn.FILTERXML("&lt;t&gt;&lt;s&gt;" &amp; SUBSTITUTE(L513," / ","&lt;/s&gt;&lt;s&gt;") &amp; "&lt;/s&gt;&lt;/t&gt;","(//s[contains(.,'DDR')])[1]"),"")</f>
        <v/>
      </c>
      <c r="N513" s="32" t="e">
        <f t="shared" si="23"/>
        <v>#N/A</v>
      </c>
      <c r="O513" s="42" t="e">
        <f>INDEX(Input!$D$2:$AC$500,
       MATCH(B513, Input!$J$2:$J$500, 0),
       MATCH("Disk Interface Type", Input!$D$1:$AC$1, 0))</f>
        <v>#N/A</v>
      </c>
      <c r="P513" s="42" t="str" cm="1">
        <f t="array" ref="P513">IFERROR(_xlfn.TEXTJOIN(", ", TRUE, _xlfn._xlws.FILTER(
    INDEX(Input!$D$2:$AC$500,,MATCH("Disk Capacity",Input!$D$1:$AC$1,0)),
    Input!$J$2:$J$500=B513
)), "")</f>
        <v/>
      </c>
      <c r="Q513" s="32" t="e">
        <f t="shared" si="22"/>
        <v>#N/A</v>
      </c>
      <c r="R513" s="42" t="e">
        <f>_xlfn.LET(_xlpm.Result,INDEX(Input!$D$2:$AC$500,
       MATCH(B513, Input!$J$2:$J$500, 0),
       MATCH("Capacity", Input!$D$1:$AC$1, 0)),IF(_xlpm.Result="","",_xlpm.Result))</f>
        <v>#N/A</v>
      </c>
      <c r="S513" s="42"/>
      <c r="T513" s="42"/>
      <c r="U513" s="42" t="str" cm="1">
        <f t="array" ref="U513">IFERROR(_xlfn.IFS(
S513="","",
--S513&lt;55,"Battery Defect",
--S513&lt;=69,"Battery D",
--S513&lt;=80,"Battery C",
--S513&gt;80,""
),"")</f>
        <v/>
      </c>
      <c r="V513" s="42" t="str" cm="1">
        <f t="array" ref="V513">IFERROR(_xlfn.IFS(
T513="","",
--T513&lt;55,"Battery Defect",
--T513&lt;=69,"Battery D",
--T513&lt;=80,"Battery C",
--T513&gt;80,""
),"")</f>
        <v/>
      </c>
      <c r="W513" s="42"/>
      <c r="X513" s="42"/>
      <c r="Y513" s="42"/>
      <c r="Z513" s="42"/>
      <c r="AA513" s="42"/>
      <c r="AB513" s="42"/>
      <c r="AC513" s="42"/>
      <c r="AD513" s="42"/>
      <c r="AE513" s="32" t="str">
        <f t="shared" si="21"/>
        <v/>
      </c>
      <c r="AF513" s="32"/>
      <c r="AG513" s="32"/>
      <c r="AH513" s="32"/>
      <c r="AI513" s="32"/>
      <c r="AJ513" s="32"/>
      <c r="AK513" s="32"/>
      <c r="AL513" s="32"/>
      <c r="AM513" s="32"/>
    </row>
    <row r="514" spans="1:39">
      <c r="A514" s="32" t="str">
        <f>_xlfn.XLOOKUP(B514,Input!J:J,Input!G:G)&amp;""</f>
        <v/>
      </c>
      <c r="B514" s="32"/>
      <c r="C514" s="32" t="str">
        <f>_xlfn.XLOOKUP(B514,Input!J:J,Input!H:H)&amp;""</f>
        <v/>
      </c>
      <c r="D514" s="42">
        <f>_xlfn.XLOOKUP(B514,Input!J:J,Input!F:F)</f>
        <v>0</v>
      </c>
      <c r="E514" s="32">
        <f>_xlfn.XLOOKUP(D514,Models!H:H,Models!G:G,D514)</f>
        <v>0</v>
      </c>
      <c r="F514" s="32">
        <f>_xlfn.XLOOKUP(B514,Input!J:J,Input!E:E)</f>
        <v>0</v>
      </c>
      <c r="G514" s="32">
        <f>IF(F514="LENOVO",_xlfn.XLOOKUP(B514,Input!J:J,Input!K:K),_xlfn.XLOOKUP(B514,Input!J:J,Input!L:L))</f>
        <v>0</v>
      </c>
      <c r="H514" s="32"/>
      <c r="I514" s="32"/>
      <c r="J514" s="32"/>
      <c r="K514" s="42" t="e">
        <f>INDEX(Input!$D$2:$AC$500,
       MATCH(B514, Input!$J$2:$J$500, 0),
       MATCH("Total Memory", Input!$D$1:$AC$1, 0))</f>
        <v>#N/A</v>
      </c>
      <c r="L514" s="42"/>
      <c r="M514" s="42" t="str" cm="1">
        <f t="array" ref="M514">IFERROR(_xlfn.FILTERXML("&lt;t&gt;&lt;s&gt;" &amp; SUBSTITUTE(L514," / ","&lt;/s&gt;&lt;s&gt;") &amp; "&lt;/s&gt;&lt;/t&gt;","(//s[contains(.,'DDR')])[1]"),"")</f>
        <v/>
      </c>
      <c r="N514" s="32" t="e">
        <f t="shared" si="23"/>
        <v>#N/A</v>
      </c>
      <c r="O514" s="42" t="e">
        <f>INDEX(Input!$D$2:$AC$500,
       MATCH(B514, Input!$J$2:$J$500, 0),
       MATCH("Disk Interface Type", Input!$D$1:$AC$1, 0))</f>
        <v>#N/A</v>
      </c>
      <c r="P514" s="42" t="str" cm="1">
        <f t="array" ref="P514">IFERROR(_xlfn.TEXTJOIN(", ", TRUE, _xlfn._xlws.FILTER(
    INDEX(Input!$D$2:$AC$500,,MATCH("Disk Capacity",Input!$D$1:$AC$1,0)),
    Input!$J$2:$J$500=B514
)), "")</f>
        <v/>
      </c>
      <c r="Q514" s="32" t="e">
        <f t="shared" si="22"/>
        <v>#N/A</v>
      </c>
      <c r="R514" s="42" t="e">
        <f>_xlfn.LET(_xlpm.Result,INDEX(Input!$D$2:$AC$500,
       MATCH(B514, Input!$J$2:$J$500, 0),
       MATCH("Capacity", Input!$D$1:$AC$1, 0)),IF(_xlpm.Result="","",_xlpm.Result))</f>
        <v>#N/A</v>
      </c>
      <c r="S514" s="42"/>
      <c r="T514" s="42"/>
      <c r="U514" s="42" t="str" cm="1">
        <f t="array" ref="U514">IFERROR(_xlfn.IFS(
S514="","",
--S514&lt;55,"Battery Defect",
--S514&lt;=69,"Battery D",
--S514&lt;=80,"Battery C",
--S514&gt;80,""
),"")</f>
        <v/>
      </c>
      <c r="V514" s="42" t="str" cm="1">
        <f t="array" ref="V514">IFERROR(_xlfn.IFS(
T514="","",
--T514&lt;55,"Battery Defect",
--T514&lt;=69,"Battery D",
--T514&lt;=80,"Battery C",
--T514&gt;80,""
),"")</f>
        <v/>
      </c>
      <c r="W514" s="42"/>
      <c r="X514" s="42"/>
      <c r="Y514" s="42"/>
      <c r="Z514" s="42"/>
      <c r="AA514" s="42"/>
      <c r="AB514" s="42"/>
      <c r="AC514" s="42"/>
      <c r="AD514" s="42"/>
      <c r="AE514" s="32" t="str">
        <f t="shared" ref="AE514:AE574" si="24">IF(E514="Laptop",_xlfn.TEXTJOIN(", ",TRUE,U514,V514,W514,X514,Y514,Z514,AA514,AB514), _xlfn.TEXTJOIN(", ",TRUE,W514,X514,Y514,Z514,AA514,AB514))</f>
        <v/>
      </c>
      <c r="AF514" s="32"/>
      <c r="AG514" s="32"/>
      <c r="AH514" s="32"/>
      <c r="AI514" s="32"/>
      <c r="AJ514" s="32"/>
      <c r="AK514" s="32"/>
      <c r="AL514" s="32"/>
      <c r="AM514" s="32"/>
    </row>
    <row r="515" spans="1:39">
      <c r="A515" s="32" t="str">
        <f>_xlfn.XLOOKUP(B515,Input!J:J,Input!G:G)&amp;""</f>
        <v/>
      </c>
      <c r="B515" s="32"/>
      <c r="C515" s="32" t="str">
        <f>_xlfn.XLOOKUP(B515,Input!J:J,Input!H:H)&amp;""</f>
        <v/>
      </c>
      <c r="D515" s="42">
        <f>_xlfn.XLOOKUP(B515,Input!J:J,Input!F:F)</f>
        <v>0</v>
      </c>
      <c r="E515" s="32">
        <f>_xlfn.XLOOKUP(D515,Models!H:H,Models!G:G,D515)</f>
        <v>0</v>
      </c>
      <c r="F515" s="32">
        <f>_xlfn.XLOOKUP(B515,Input!J:J,Input!E:E)</f>
        <v>0</v>
      </c>
      <c r="G515" s="32">
        <f>IF(F515="LENOVO",_xlfn.XLOOKUP(B515,Input!J:J,Input!K:K),_xlfn.XLOOKUP(B515,Input!J:J,Input!L:L))</f>
        <v>0</v>
      </c>
      <c r="H515" s="32"/>
      <c r="I515" s="32"/>
      <c r="J515" s="32"/>
      <c r="K515" s="42" t="e">
        <f>INDEX(Input!$D$2:$AC$500,
       MATCH(B515, Input!$J$2:$J$500, 0),
       MATCH("Total Memory", Input!$D$1:$AC$1, 0))</f>
        <v>#N/A</v>
      </c>
      <c r="L515" s="42"/>
      <c r="M515" s="42" t="str" cm="1">
        <f t="array" ref="M515">IFERROR(_xlfn.FILTERXML("&lt;t&gt;&lt;s&gt;" &amp; SUBSTITUTE(L515," / ","&lt;/s&gt;&lt;s&gt;") &amp; "&lt;/s&gt;&lt;/t&gt;","(//s[contains(.,'DDR')])[1]"),"")</f>
        <v/>
      </c>
      <c r="N515" s="32" t="e">
        <f t="shared" si="23"/>
        <v>#N/A</v>
      </c>
      <c r="O515" s="42" t="e">
        <f>INDEX(Input!$D$2:$AC$500,
       MATCH(B515, Input!$J$2:$J$500, 0),
       MATCH("Disk Interface Type", Input!$D$1:$AC$1, 0))</f>
        <v>#N/A</v>
      </c>
      <c r="P515" s="42" t="str" cm="1">
        <f t="array" ref="P515">IFERROR(_xlfn.TEXTJOIN(", ", TRUE, _xlfn._xlws.FILTER(
    INDEX(Input!$D$2:$AC$500,,MATCH("Disk Capacity",Input!$D$1:$AC$1,0)),
    Input!$J$2:$J$500=B515
)), "")</f>
        <v/>
      </c>
      <c r="Q515" s="32" t="e">
        <f t="shared" ref="Q515:Q569" si="25">_xlfn.TEXTJOIN(" ",TRUE,P515,O515)</f>
        <v>#N/A</v>
      </c>
      <c r="R515" s="42" t="e">
        <f>_xlfn.LET(_xlpm.Result,INDEX(Input!$D$2:$AC$500,
       MATCH(B515, Input!$J$2:$J$500, 0),
       MATCH("Capacity", Input!$D$1:$AC$1, 0)),IF(_xlpm.Result="","",_xlpm.Result))</f>
        <v>#N/A</v>
      </c>
      <c r="S515" s="42"/>
      <c r="T515" s="42"/>
      <c r="U515" s="42" t="str" cm="1">
        <f t="array" ref="U515">IFERROR(_xlfn.IFS(
S515="","",
--S515&lt;55,"Battery Defect",
--S515&lt;=69,"Battery D",
--S515&lt;=80,"Battery C",
--S515&gt;80,""
),"")</f>
        <v/>
      </c>
      <c r="V515" s="42" t="str" cm="1">
        <f t="array" ref="V515">IFERROR(_xlfn.IFS(
T515="","",
--T515&lt;55,"Battery Defect",
--T515&lt;=69,"Battery D",
--T515&lt;=80,"Battery C",
--T515&gt;80,""
),"")</f>
        <v/>
      </c>
      <c r="W515" s="42"/>
      <c r="X515" s="42"/>
      <c r="Y515" s="42"/>
      <c r="Z515" s="42"/>
      <c r="AA515" s="42"/>
      <c r="AB515" s="42"/>
      <c r="AC515" s="42"/>
      <c r="AD515" s="42"/>
      <c r="AE515" s="32" t="str">
        <f t="shared" si="24"/>
        <v/>
      </c>
      <c r="AF515" s="32"/>
      <c r="AG515" s="32"/>
      <c r="AH515" s="32"/>
      <c r="AI515" s="32"/>
      <c r="AJ515" s="32"/>
      <c r="AK515" s="32"/>
      <c r="AL515" s="32"/>
      <c r="AM515" s="32"/>
    </row>
    <row r="516" spans="1:39">
      <c r="A516" s="32" t="str">
        <f>_xlfn.XLOOKUP(B516,Input!J:J,Input!G:G)&amp;""</f>
        <v/>
      </c>
      <c r="B516" s="32"/>
      <c r="C516" s="32" t="str">
        <f>_xlfn.XLOOKUP(B516,Input!J:J,Input!H:H)&amp;""</f>
        <v/>
      </c>
      <c r="D516" s="42">
        <f>_xlfn.XLOOKUP(B516,Input!J:J,Input!F:F)</f>
        <v>0</v>
      </c>
      <c r="E516" s="32">
        <f>_xlfn.XLOOKUP(D516,Models!H:H,Models!G:G,D516)</f>
        <v>0</v>
      </c>
      <c r="F516" s="32">
        <f>_xlfn.XLOOKUP(B516,Input!J:J,Input!E:E)</f>
        <v>0</v>
      </c>
      <c r="G516" s="32">
        <f>IF(F516="LENOVO",_xlfn.XLOOKUP(B516,Input!J:J,Input!K:K),_xlfn.XLOOKUP(B516,Input!J:J,Input!L:L))</f>
        <v>0</v>
      </c>
      <c r="H516" s="32"/>
      <c r="I516" s="32"/>
      <c r="J516" s="32"/>
      <c r="K516" s="42" t="e">
        <f>INDEX(Input!$D$2:$AC$500,
       MATCH(B516, Input!$J$2:$J$500, 0),
       MATCH("Total Memory", Input!$D$1:$AC$1, 0))</f>
        <v>#N/A</v>
      </c>
      <c r="L516" s="42"/>
      <c r="M516" s="42" t="str" cm="1">
        <f t="array" ref="M516">IFERROR(_xlfn.FILTERXML("&lt;t&gt;&lt;s&gt;" &amp; SUBSTITUTE(L516," / ","&lt;/s&gt;&lt;s&gt;") &amp; "&lt;/s&gt;&lt;/t&gt;","(//s[contains(.,'DDR')])[1]"),"")</f>
        <v/>
      </c>
      <c r="N516" s="32" t="e">
        <f t="shared" ref="N516:N579" si="26">_xlfn.TEXTJOIN(" ",TRUE,SUBSTITUTE(K516,"i",""),M516)</f>
        <v>#N/A</v>
      </c>
      <c r="O516" s="42" t="e">
        <f>INDEX(Input!$D$2:$AC$500,
       MATCH(B516, Input!$J$2:$J$500, 0),
       MATCH("Disk Interface Type", Input!$D$1:$AC$1, 0))</f>
        <v>#N/A</v>
      </c>
      <c r="P516" s="42" t="str" cm="1">
        <f t="array" ref="P516">IFERROR(_xlfn.TEXTJOIN(", ", TRUE, _xlfn._xlws.FILTER(
    INDEX(Input!$D$2:$AC$500,,MATCH("Disk Capacity",Input!$D$1:$AC$1,0)),
    Input!$J$2:$J$500=B516
)), "")</f>
        <v/>
      </c>
      <c r="Q516" s="32" t="e">
        <f t="shared" si="25"/>
        <v>#N/A</v>
      </c>
      <c r="R516" s="42" t="e">
        <f>_xlfn.LET(_xlpm.Result,INDEX(Input!$D$2:$AC$500,
       MATCH(B516, Input!$J$2:$J$500, 0),
       MATCH("Capacity", Input!$D$1:$AC$1, 0)),IF(_xlpm.Result="","",_xlpm.Result))</f>
        <v>#N/A</v>
      </c>
      <c r="S516" s="42"/>
      <c r="T516" s="42"/>
      <c r="U516" s="42" t="str" cm="1">
        <f t="array" ref="U516">IFERROR(_xlfn.IFS(
S516="","",
--S516&lt;55,"Battery Defect",
--S516&lt;=69,"Battery D",
--S516&lt;=80,"Battery C",
--S516&gt;80,""
),"")</f>
        <v/>
      </c>
      <c r="V516" s="42" t="str" cm="1">
        <f t="array" ref="V516">IFERROR(_xlfn.IFS(
T516="","",
--T516&lt;55,"Battery Defect",
--T516&lt;=69,"Battery D",
--T516&lt;=80,"Battery C",
--T516&gt;80,""
),"")</f>
        <v/>
      </c>
      <c r="W516" s="42"/>
      <c r="X516" s="42"/>
      <c r="Y516" s="42"/>
      <c r="Z516" s="42"/>
      <c r="AA516" s="42"/>
      <c r="AB516" s="42"/>
      <c r="AC516" s="42"/>
      <c r="AD516" s="42"/>
      <c r="AE516" s="32" t="str">
        <f t="shared" si="24"/>
        <v/>
      </c>
      <c r="AF516" s="32"/>
      <c r="AG516" s="32"/>
      <c r="AH516" s="32"/>
      <c r="AI516" s="32"/>
      <c r="AJ516" s="32"/>
      <c r="AK516" s="32"/>
      <c r="AL516" s="32"/>
      <c r="AM516" s="32"/>
    </row>
    <row r="517" spans="1:39">
      <c r="A517" s="32" t="str">
        <f>_xlfn.XLOOKUP(B517,Input!J:J,Input!G:G)&amp;""</f>
        <v/>
      </c>
      <c r="B517" s="32"/>
      <c r="C517" s="32" t="str">
        <f>_xlfn.XLOOKUP(B517,Input!J:J,Input!H:H)&amp;""</f>
        <v/>
      </c>
      <c r="D517" s="42">
        <f>_xlfn.XLOOKUP(B517,Input!J:J,Input!F:F)</f>
        <v>0</v>
      </c>
      <c r="E517" s="32">
        <f>_xlfn.XLOOKUP(D517,Models!H:H,Models!G:G,D517)</f>
        <v>0</v>
      </c>
      <c r="F517" s="32">
        <f>_xlfn.XLOOKUP(B517,Input!J:J,Input!E:E)</f>
        <v>0</v>
      </c>
      <c r="G517" s="32">
        <f>IF(F517="LENOVO",_xlfn.XLOOKUP(B517,Input!J:J,Input!K:K),_xlfn.XLOOKUP(B517,Input!J:J,Input!L:L))</f>
        <v>0</v>
      </c>
      <c r="H517" s="32"/>
      <c r="I517" s="32"/>
      <c r="J517" s="32"/>
      <c r="K517" s="42" t="e">
        <f>INDEX(Input!$D$2:$AC$500,
       MATCH(B517, Input!$J$2:$J$500, 0),
       MATCH("Total Memory", Input!$D$1:$AC$1, 0))</f>
        <v>#N/A</v>
      </c>
      <c r="L517" s="42"/>
      <c r="M517" s="42" t="str" cm="1">
        <f t="array" ref="M517">IFERROR(_xlfn.FILTERXML("&lt;t&gt;&lt;s&gt;" &amp; SUBSTITUTE(L517," / ","&lt;/s&gt;&lt;s&gt;") &amp; "&lt;/s&gt;&lt;/t&gt;","(//s[contains(.,'DDR')])[1]"),"")</f>
        <v/>
      </c>
      <c r="N517" s="32" t="e">
        <f t="shared" si="26"/>
        <v>#N/A</v>
      </c>
      <c r="O517" s="42" t="e">
        <f>INDEX(Input!$D$2:$AC$500,
       MATCH(B517, Input!$J$2:$J$500, 0),
       MATCH("Disk Interface Type", Input!$D$1:$AC$1, 0))</f>
        <v>#N/A</v>
      </c>
      <c r="P517" s="42" t="str" cm="1">
        <f t="array" ref="P517">IFERROR(_xlfn.TEXTJOIN(", ", TRUE, _xlfn._xlws.FILTER(
    INDEX(Input!$D$2:$AC$500,,MATCH("Disk Capacity",Input!$D$1:$AC$1,0)),
    Input!$J$2:$J$500=B517
)), "")</f>
        <v/>
      </c>
      <c r="Q517" s="32" t="e">
        <f t="shared" si="25"/>
        <v>#N/A</v>
      </c>
      <c r="R517" s="42" t="e">
        <f>_xlfn.LET(_xlpm.Result,INDEX(Input!$D$2:$AC$500,
       MATCH(B517, Input!$J$2:$J$500, 0),
       MATCH("Capacity", Input!$D$1:$AC$1, 0)),IF(_xlpm.Result="","",_xlpm.Result))</f>
        <v>#N/A</v>
      </c>
      <c r="S517" s="42"/>
      <c r="T517" s="42"/>
      <c r="U517" s="42" t="str" cm="1">
        <f t="array" ref="U517">IFERROR(_xlfn.IFS(
S517="","",
--S517&lt;55,"Battery Defect",
--S517&lt;=69,"Battery D",
--S517&lt;=80,"Battery C",
--S517&gt;80,""
),"")</f>
        <v/>
      </c>
      <c r="V517" s="42" t="str" cm="1">
        <f t="array" ref="V517">IFERROR(_xlfn.IFS(
T517="","",
--T517&lt;55,"Battery Defect",
--T517&lt;=69,"Battery D",
--T517&lt;=80,"Battery C",
--T517&gt;80,""
),"")</f>
        <v/>
      </c>
      <c r="W517" s="42"/>
      <c r="X517" s="42"/>
      <c r="Y517" s="42"/>
      <c r="Z517" s="42"/>
      <c r="AA517" s="42"/>
      <c r="AB517" s="42"/>
      <c r="AC517" s="42"/>
      <c r="AD517" s="42"/>
      <c r="AE517" s="32" t="str">
        <f t="shared" si="24"/>
        <v/>
      </c>
      <c r="AF517" s="32"/>
      <c r="AG517" s="32"/>
      <c r="AH517" s="32"/>
      <c r="AI517" s="32"/>
      <c r="AJ517" s="32"/>
      <c r="AK517" s="32"/>
      <c r="AL517" s="32"/>
      <c r="AM517" s="32"/>
    </row>
    <row r="518" spans="1:39">
      <c r="A518" s="32" t="str">
        <f>_xlfn.XLOOKUP(B518,Input!J:J,Input!G:G)&amp;""</f>
        <v/>
      </c>
      <c r="B518" s="32"/>
      <c r="C518" s="32" t="str">
        <f>_xlfn.XLOOKUP(B518,Input!J:J,Input!H:H)&amp;""</f>
        <v/>
      </c>
      <c r="D518" s="42">
        <f>_xlfn.XLOOKUP(B518,Input!J:J,Input!F:F)</f>
        <v>0</v>
      </c>
      <c r="E518" s="32">
        <f>_xlfn.XLOOKUP(D518,Models!H:H,Models!G:G,D518)</f>
        <v>0</v>
      </c>
      <c r="F518" s="32">
        <f>_xlfn.XLOOKUP(B518,Input!J:J,Input!E:E)</f>
        <v>0</v>
      </c>
      <c r="G518" s="32">
        <f>IF(F518="LENOVO",_xlfn.XLOOKUP(B518,Input!J:J,Input!K:K),_xlfn.XLOOKUP(B518,Input!J:J,Input!L:L))</f>
        <v>0</v>
      </c>
      <c r="H518" s="32"/>
      <c r="I518" s="32"/>
      <c r="J518" s="32"/>
      <c r="K518" s="42" t="e">
        <f>INDEX(Input!$D$2:$AC$500,
       MATCH(B518, Input!$J$2:$J$500, 0),
       MATCH("Total Memory", Input!$D$1:$AC$1, 0))</f>
        <v>#N/A</v>
      </c>
      <c r="L518" s="42"/>
      <c r="M518" s="42" t="str" cm="1">
        <f t="array" ref="M518">IFERROR(_xlfn.FILTERXML("&lt;t&gt;&lt;s&gt;" &amp; SUBSTITUTE(L518," / ","&lt;/s&gt;&lt;s&gt;") &amp; "&lt;/s&gt;&lt;/t&gt;","(//s[contains(.,'DDR')])[1]"),"")</f>
        <v/>
      </c>
      <c r="N518" s="32" t="e">
        <f t="shared" si="26"/>
        <v>#N/A</v>
      </c>
      <c r="O518" s="42" t="e">
        <f>INDEX(Input!$D$2:$AC$500,
       MATCH(B518, Input!$J$2:$J$500, 0),
       MATCH("Disk Interface Type", Input!$D$1:$AC$1, 0))</f>
        <v>#N/A</v>
      </c>
      <c r="P518" s="42" t="str" cm="1">
        <f t="array" ref="P518">IFERROR(_xlfn.TEXTJOIN(", ", TRUE, _xlfn._xlws.FILTER(
    INDEX(Input!$D$2:$AC$500,,MATCH("Disk Capacity",Input!$D$1:$AC$1,0)),
    Input!$J$2:$J$500=B518
)), "")</f>
        <v/>
      </c>
      <c r="Q518" s="32" t="e">
        <f t="shared" si="25"/>
        <v>#N/A</v>
      </c>
      <c r="R518" s="42" t="e">
        <f>_xlfn.LET(_xlpm.Result,INDEX(Input!$D$2:$AC$500,
       MATCH(B518, Input!$J$2:$J$500, 0),
       MATCH("Capacity", Input!$D$1:$AC$1, 0)),IF(_xlpm.Result="","",_xlpm.Result))</f>
        <v>#N/A</v>
      </c>
      <c r="S518" s="42"/>
      <c r="T518" s="42"/>
      <c r="U518" s="42" t="str" cm="1">
        <f t="array" ref="U518">IFERROR(_xlfn.IFS(
S518="","",
--S518&lt;55,"Battery Defect",
--S518&lt;=69,"Battery D",
--S518&lt;=80,"Battery C",
--S518&gt;80,""
),"")</f>
        <v/>
      </c>
      <c r="V518" s="42" t="str" cm="1">
        <f t="array" ref="V518">IFERROR(_xlfn.IFS(
T518="","",
--T518&lt;55,"Battery Defect",
--T518&lt;=69,"Battery D",
--T518&lt;=80,"Battery C",
--T518&gt;80,""
),"")</f>
        <v/>
      </c>
      <c r="W518" s="42"/>
      <c r="X518" s="42"/>
      <c r="Y518" s="42"/>
      <c r="Z518" s="42"/>
      <c r="AA518" s="42"/>
      <c r="AB518" s="42"/>
      <c r="AC518" s="42"/>
      <c r="AD518" s="42"/>
      <c r="AE518" s="32" t="str">
        <f t="shared" si="24"/>
        <v/>
      </c>
      <c r="AF518" s="32"/>
      <c r="AG518" s="32"/>
      <c r="AH518" s="32"/>
      <c r="AI518" s="32"/>
      <c r="AJ518" s="32"/>
      <c r="AK518" s="32"/>
      <c r="AL518" s="32"/>
      <c r="AM518" s="32"/>
    </row>
    <row r="519" spans="1:39">
      <c r="A519" s="32" t="str">
        <f>_xlfn.XLOOKUP(B519,Input!J:J,Input!G:G)&amp;""</f>
        <v/>
      </c>
      <c r="B519" s="32"/>
      <c r="C519" s="32" t="str">
        <f>_xlfn.XLOOKUP(B519,Input!J:J,Input!H:H)&amp;""</f>
        <v/>
      </c>
      <c r="D519" s="42">
        <f>_xlfn.XLOOKUP(B519,Input!J:J,Input!F:F)</f>
        <v>0</v>
      </c>
      <c r="E519" s="32">
        <f>_xlfn.XLOOKUP(D519,Models!H:H,Models!G:G,D519)</f>
        <v>0</v>
      </c>
      <c r="F519" s="32">
        <f>_xlfn.XLOOKUP(B519,Input!J:J,Input!E:E)</f>
        <v>0</v>
      </c>
      <c r="G519" s="32">
        <f>IF(F519="LENOVO",_xlfn.XLOOKUP(B519,Input!J:J,Input!K:K),_xlfn.XLOOKUP(B519,Input!J:J,Input!L:L))</f>
        <v>0</v>
      </c>
      <c r="H519" s="32"/>
      <c r="I519" s="32"/>
      <c r="J519" s="32"/>
      <c r="K519" s="42" t="e">
        <f>INDEX(Input!$D$2:$AC$500,
       MATCH(B519, Input!$J$2:$J$500, 0),
       MATCH("Total Memory", Input!$D$1:$AC$1, 0))</f>
        <v>#N/A</v>
      </c>
      <c r="L519" s="42"/>
      <c r="M519" s="42" t="str" cm="1">
        <f t="array" ref="M519">IFERROR(_xlfn.FILTERXML("&lt;t&gt;&lt;s&gt;" &amp; SUBSTITUTE(L519," / ","&lt;/s&gt;&lt;s&gt;") &amp; "&lt;/s&gt;&lt;/t&gt;","(//s[contains(.,'DDR')])[1]"),"")</f>
        <v/>
      </c>
      <c r="N519" s="32" t="e">
        <f t="shared" si="26"/>
        <v>#N/A</v>
      </c>
      <c r="O519" s="42" t="e">
        <f>INDEX(Input!$D$2:$AC$500,
       MATCH(B519, Input!$J$2:$J$500, 0),
       MATCH("Disk Interface Type", Input!$D$1:$AC$1, 0))</f>
        <v>#N/A</v>
      </c>
      <c r="P519" s="42" t="str" cm="1">
        <f t="array" ref="P519">IFERROR(_xlfn.TEXTJOIN(", ", TRUE, _xlfn._xlws.FILTER(
    INDEX(Input!$D$2:$AC$500,,MATCH("Disk Capacity",Input!$D$1:$AC$1,0)),
    Input!$J$2:$J$500=B519
)), "")</f>
        <v/>
      </c>
      <c r="Q519" s="32" t="e">
        <f t="shared" si="25"/>
        <v>#N/A</v>
      </c>
      <c r="R519" s="42" t="e">
        <f>_xlfn.LET(_xlpm.Result,INDEX(Input!$D$2:$AC$500,
       MATCH(B519, Input!$J$2:$J$500, 0),
       MATCH("Capacity", Input!$D$1:$AC$1, 0)),IF(_xlpm.Result="","",_xlpm.Result))</f>
        <v>#N/A</v>
      </c>
      <c r="S519" s="42"/>
      <c r="T519" s="42"/>
      <c r="U519" s="42" t="str" cm="1">
        <f t="array" ref="U519">IFERROR(_xlfn.IFS(
S519="","",
--S519&lt;55,"Battery Defect",
--S519&lt;=69,"Battery D",
--S519&lt;=80,"Battery C",
--S519&gt;80,""
),"")</f>
        <v/>
      </c>
      <c r="V519" s="42" t="str" cm="1">
        <f t="array" ref="V519">IFERROR(_xlfn.IFS(
T519="","",
--T519&lt;55,"Battery Defect",
--T519&lt;=69,"Battery D",
--T519&lt;=80,"Battery C",
--T519&gt;80,""
),"")</f>
        <v/>
      </c>
      <c r="W519" s="42"/>
      <c r="X519" s="42"/>
      <c r="Y519" s="42"/>
      <c r="Z519" s="42"/>
      <c r="AA519" s="42"/>
      <c r="AB519" s="42"/>
      <c r="AC519" s="42"/>
      <c r="AD519" s="42"/>
      <c r="AE519" s="32" t="str">
        <f t="shared" si="24"/>
        <v/>
      </c>
      <c r="AF519" s="32"/>
      <c r="AG519" s="32"/>
      <c r="AH519" s="32"/>
      <c r="AI519" s="32"/>
      <c r="AJ519" s="32"/>
      <c r="AK519" s="32"/>
      <c r="AL519" s="32"/>
      <c r="AM519" s="32"/>
    </row>
    <row r="520" spans="1:39">
      <c r="A520" s="32" t="str">
        <f>_xlfn.XLOOKUP(B520,Input!J:J,Input!G:G)&amp;""</f>
        <v/>
      </c>
      <c r="B520" s="32"/>
      <c r="C520" s="32" t="str">
        <f>_xlfn.XLOOKUP(B520,Input!J:J,Input!H:H)&amp;""</f>
        <v/>
      </c>
      <c r="D520" s="42">
        <f>_xlfn.XLOOKUP(B520,Input!J:J,Input!F:F)</f>
        <v>0</v>
      </c>
      <c r="E520" s="32">
        <f>_xlfn.XLOOKUP(D520,Models!H:H,Models!G:G,D520)</f>
        <v>0</v>
      </c>
      <c r="F520" s="32">
        <f>_xlfn.XLOOKUP(B520,Input!J:J,Input!E:E)</f>
        <v>0</v>
      </c>
      <c r="G520" s="32">
        <f>IF(F520="LENOVO",_xlfn.XLOOKUP(B520,Input!J:J,Input!K:K),_xlfn.XLOOKUP(B520,Input!J:J,Input!L:L))</f>
        <v>0</v>
      </c>
      <c r="H520" s="32"/>
      <c r="I520" s="32"/>
      <c r="J520" s="32"/>
      <c r="K520" s="42" t="e">
        <f>INDEX(Input!$D$2:$AC$500,
       MATCH(B520, Input!$J$2:$J$500, 0),
       MATCH("Total Memory", Input!$D$1:$AC$1, 0))</f>
        <v>#N/A</v>
      </c>
      <c r="L520" s="42"/>
      <c r="M520" s="42" t="str" cm="1">
        <f t="array" ref="M520">IFERROR(_xlfn.FILTERXML("&lt;t&gt;&lt;s&gt;" &amp; SUBSTITUTE(L520," / ","&lt;/s&gt;&lt;s&gt;") &amp; "&lt;/s&gt;&lt;/t&gt;","(//s[contains(.,'DDR')])[1]"),"")</f>
        <v/>
      </c>
      <c r="N520" s="32" t="e">
        <f t="shared" si="26"/>
        <v>#N/A</v>
      </c>
      <c r="O520" s="42" t="e">
        <f>INDEX(Input!$D$2:$AC$500,
       MATCH(B520, Input!$J$2:$J$500, 0),
       MATCH("Disk Interface Type", Input!$D$1:$AC$1, 0))</f>
        <v>#N/A</v>
      </c>
      <c r="P520" s="42" t="str" cm="1">
        <f t="array" ref="P520">IFERROR(_xlfn.TEXTJOIN(", ", TRUE, _xlfn._xlws.FILTER(
    INDEX(Input!$D$2:$AC$500,,MATCH("Disk Capacity",Input!$D$1:$AC$1,0)),
    Input!$J$2:$J$500=B520
)), "")</f>
        <v/>
      </c>
      <c r="Q520" s="32" t="e">
        <f t="shared" si="25"/>
        <v>#N/A</v>
      </c>
      <c r="R520" s="42" t="e">
        <f>_xlfn.LET(_xlpm.Result,INDEX(Input!$D$2:$AC$500,
       MATCH(B520, Input!$J$2:$J$500, 0),
       MATCH("Capacity", Input!$D$1:$AC$1, 0)),IF(_xlpm.Result="","",_xlpm.Result))</f>
        <v>#N/A</v>
      </c>
      <c r="S520" s="42"/>
      <c r="T520" s="42"/>
      <c r="U520" s="42" t="str" cm="1">
        <f t="array" ref="U520">IFERROR(_xlfn.IFS(
S520="","",
--S520&lt;55,"Battery Defect",
--S520&lt;=69,"Battery D",
--S520&lt;=80,"Battery C",
--S520&gt;80,""
),"")</f>
        <v/>
      </c>
      <c r="V520" s="42" t="str" cm="1">
        <f t="array" ref="V520">IFERROR(_xlfn.IFS(
T520="","",
--T520&lt;55,"Battery Defect",
--T520&lt;=69,"Battery D",
--T520&lt;=80,"Battery C",
--T520&gt;80,""
),"")</f>
        <v/>
      </c>
      <c r="W520" s="42"/>
      <c r="X520" s="42"/>
      <c r="Y520" s="42"/>
      <c r="Z520" s="42"/>
      <c r="AA520" s="42"/>
      <c r="AB520" s="42"/>
      <c r="AC520" s="42"/>
      <c r="AD520" s="42"/>
      <c r="AE520" s="32" t="str">
        <f t="shared" si="24"/>
        <v/>
      </c>
      <c r="AF520" s="32"/>
      <c r="AG520" s="32"/>
      <c r="AH520" s="32"/>
      <c r="AI520" s="32"/>
      <c r="AJ520" s="32"/>
      <c r="AK520" s="32"/>
      <c r="AL520" s="32"/>
      <c r="AM520" s="32"/>
    </row>
    <row r="521" spans="1:39">
      <c r="A521" s="32" t="str">
        <f>_xlfn.XLOOKUP(B521,Input!J:J,Input!G:G)&amp;""</f>
        <v/>
      </c>
      <c r="B521" s="32"/>
      <c r="C521" s="32" t="str">
        <f>_xlfn.XLOOKUP(B521,Input!J:J,Input!H:H)&amp;""</f>
        <v/>
      </c>
      <c r="D521" s="42">
        <f>_xlfn.XLOOKUP(B521,Input!J:J,Input!F:F)</f>
        <v>0</v>
      </c>
      <c r="E521" s="32">
        <f>_xlfn.XLOOKUP(D521,Models!H:H,Models!G:G,D521)</f>
        <v>0</v>
      </c>
      <c r="F521" s="32">
        <f>_xlfn.XLOOKUP(B521,Input!J:J,Input!E:E)</f>
        <v>0</v>
      </c>
      <c r="G521" s="32">
        <f>IF(F521="LENOVO",_xlfn.XLOOKUP(B521,Input!J:J,Input!K:K),_xlfn.XLOOKUP(B521,Input!J:J,Input!L:L))</f>
        <v>0</v>
      </c>
      <c r="H521" s="32"/>
      <c r="I521" s="32"/>
      <c r="J521" s="32"/>
      <c r="K521" s="42" t="e">
        <f>INDEX(Input!$D$2:$AC$500,
       MATCH(B521, Input!$J$2:$J$500, 0),
       MATCH("Total Memory", Input!$D$1:$AC$1, 0))</f>
        <v>#N/A</v>
      </c>
      <c r="L521" s="42"/>
      <c r="M521" s="42" t="str" cm="1">
        <f t="array" ref="M521">IFERROR(_xlfn.FILTERXML("&lt;t&gt;&lt;s&gt;" &amp; SUBSTITUTE(L521," / ","&lt;/s&gt;&lt;s&gt;") &amp; "&lt;/s&gt;&lt;/t&gt;","(//s[contains(.,'DDR')])[1]"),"")</f>
        <v/>
      </c>
      <c r="N521" s="32" t="e">
        <f t="shared" si="26"/>
        <v>#N/A</v>
      </c>
      <c r="O521" s="42" t="e">
        <f>INDEX(Input!$D$2:$AC$500,
       MATCH(B521, Input!$J$2:$J$500, 0),
       MATCH("Disk Interface Type", Input!$D$1:$AC$1, 0))</f>
        <v>#N/A</v>
      </c>
      <c r="P521" s="42" t="str" cm="1">
        <f t="array" ref="P521">IFERROR(_xlfn.TEXTJOIN(", ", TRUE, _xlfn._xlws.FILTER(
    INDEX(Input!$D$2:$AC$500,,MATCH("Disk Capacity",Input!$D$1:$AC$1,0)),
    Input!$J$2:$J$500=B521
)), "")</f>
        <v/>
      </c>
      <c r="Q521" s="32" t="e">
        <f t="shared" si="25"/>
        <v>#N/A</v>
      </c>
      <c r="R521" s="42" t="e">
        <f>_xlfn.LET(_xlpm.Result,INDEX(Input!$D$2:$AC$500,
       MATCH(B521, Input!$J$2:$J$500, 0),
       MATCH("Capacity", Input!$D$1:$AC$1, 0)),IF(_xlpm.Result="","",_xlpm.Result))</f>
        <v>#N/A</v>
      </c>
      <c r="S521" s="42"/>
      <c r="T521" s="42"/>
      <c r="U521" s="42" t="str" cm="1">
        <f t="array" ref="U521">IFERROR(_xlfn.IFS(
S521="","",
--S521&lt;55,"Battery Defect",
--S521&lt;=69,"Battery D",
--S521&lt;=80,"Battery C",
--S521&gt;80,""
),"")</f>
        <v/>
      </c>
      <c r="V521" s="42" t="str" cm="1">
        <f t="array" ref="V521">IFERROR(_xlfn.IFS(
T521="","",
--T521&lt;55,"Battery Defect",
--T521&lt;=69,"Battery D",
--T521&lt;=80,"Battery C",
--T521&gt;80,""
),"")</f>
        <v/>
      </c>
      <c r="W521" s="42"/>
      <c r="X521" s="42"/>
      <c r="Y521" s="42"/>
      <c r="Z521" s="42"/>
      <c r="AA521" s="42"/>
      <c r="AB521" s="42"/>
      <c r="AC521" s="42"/>
      <c r="AD521" s="42"/>
      <c r="AE521" s="32" t="str">
        <f t="shared" si="24"/>
        <v/>
      </c>
      <c r="AF521" s="32"/>
      <c r="AG521" s="32"/>
      <c r="AH521" s="32"/>
      <c r="AI521" s="32"/>
      <c r="AJ521" s="32"/>
      <c r="AK521" s="32"/>
      <c r="AL521" s="32"/>
      <c r="AM521" s="32"/>
    </row>
    <row r="522" spans="1:39">
      <c r="A522" s="32" t="str">
        <f>_xlfn.XLOOKUP(B522,Input!J:J,Input!G:G)&amp;""</f>
        <v/>
      </c>
      <c r="B522" s="32"/>
      <c r="C522" s="32" t="str">
        <f>_xlfn.XLOOKUP(B522,Input!J:J,Input!H:H)&amp;""</f>
        <v/>
      </c>
      <c r="D522" s="42">
        <f>_xlfn.XLOOKUP(B522,Input!J:J,Input!F:F)</f>
        <v>0</v>
      </c>
      <c r="E522" s="32">
        <f>_xlfn.XLOOKUP(D522,Models!H:H,Models!G:G,D522)</f>
        <v>0</v>
      </c>
      <c r="F522" s="32">
        <f>_xlfn.XLOOKUP(B522,Input!J:J,Input!E:E)</f>
        <v>0</v>
      </c>
      <c r="G522" s="32">
        <f>IF(F522="LENOVO",_xlfn.XLOOKUP(B522,Input!J:J,Input!K:K),_xlfn.XLOOKUP(B522,Input!J:J,Input!L:L))</f>
        <v>0</v>
      </c>
      <c r="H522" s="32"/>
      <c r="I522" s="32"/>
      <c r="J522" s="32"/>
      <c r="K522" s="42" t="e">
        <f>INDEX(Input!$D$2:$AC$500,
       MATCH(B522, Input!$J$2:$J$500, 0),
       MATCH("Total Memory", Input!$D$1:$AC$1, 0))</f>
        <v>#N/A</v>
      </c>
      <c r="L522" s="42"/>
      <c r="M522" s="42" t="str" cm="1">
        <f t="array" ref="M522">IFERROR(_xlfn.FILTERXML("&lt;t&gt;&lt;s&gt;" &amp; SUBSTITUTE(L522," / ","&lt;/s&gt;&lt;s&gt;") &amp; "&lt;/s&gt;&lt;/t&gt;","(//s[contains(.,'DDR')])[1]"),"")</f>
        <v/>
      </c>
      <c r="N522" s="32" t="e">
        <f t="shared" si="26"/>
        <v>#N/A</v>
      </c>
      <c r="O522" s="42" t="e">
        <f>INDEX(Input!$D$2:$AC$500,
       MATCH(B522, Input!$J$2:$J$500, 0),
       MATCH("Disk Interface Type", Input!$D$1:$AC$1, 0))</f>
        <v>#N/A</v>
      </c>
      <c r="P522" s="42" t="str" cm="1">
        <f t="array" ref="P522">IFERROR(_xlfn.TEXTJOIN(", ", TRUE, _xlfn._xlws.FILTER(
    INDEX(Input!$D$2:$AC$500,,MATCH("Disk Capacity",Input!$D$1:$AC$1,0)),
    Input!$J$2:$J$500=B522
)), "")</f>
        <v/>
      </c>
      <c r="Q522" s="32" t="e">
        <f t="shared" si="25"/>
        <v>#N/A</v>
      </c>
      <c r="R522" s="42" t="e">
        <f>_xlfn.LET(_xlpm.Result,INDEX(Input!$D$2:$AC$500,
       MATCH(B522, Input!$J$2:$J$500, 0),
       MATCH("Capacity", Input!$D$1:$AC$1, 0)),IF(_xlpm.Result="","",_xlpm.Result))</f>
        <v>#N/A</v>
      </c>
      <c r="S522" s="42"/>
      <c r="T522" s="42"/>
      <c r="U522" s="42" t="str" cm="1">
        <f t="array" ref="U522">IFERROR(_xlfn.IFS(
S522="","",
--S522&lt;55,"Battery Defect",
--S522&lt;=69,"Battery D",
--S522&lt;=80,"Battery C",
--S522&gt;80,""
),"")</f>
        <v/>
      </c>
      <c r="V522" s="42" t="str" cm="1">
        <f t="array" ref="V522">IFERROR(_xlfn.IFS(
T522="","",
--T522&lt;55,"Battery Defect",
--T522&lt;=69,"Battery D",
--T522&lt;=80,"Battery C",
--T522&gt;80,""
),"")</f>
        <v/>
      </c>
      <c r="W522" s="42"/>
      <c r="X522" s="42"/>
      <c r="Y522" s="42"/>
      <c r="Z522" s="42"/>
      <c r="AA522" s="42"/>
      <c r="AB522" s="42"/>
      <c r="AC522" s="42"/>
      <c r="AD522" s="42"/>
      <c r="AE522" s="32" t="str">
        <f t="shared" si="24"/>
        <v/>
      </c>
      <c r="AF522" s="32"/>
      <c r="AG522" s="32"/>
      <c r="AH522" s="32"/>
      <c r="AI522" s="32"/>
      <c r="AJ522" s="32"/>
      <c r="AK522" s="32"/>
      <c r="AL522" s="32"/>
      <c r="AM522" s="32"/>
    </row>
    <row r="523" spans="1:39">
      <c r="A523" s="32" t="str">
        <f>_xlfn.XLOOKUP(B523,Input!J:J,Input!G:G)&amp;""</f>
        <v/>
      </c>
      <c r="B523" s="32"/>
      <c r="C523" s="32" t="str">
        <f>_xlfn.XLOOKUP(B523,Input!J:J,Input!H:H)&amp;""</f>
        <v/>
      </c>
      <c r="D523" s="42">
        <f>_xlfn.XLOOKUP(B523,Input!J:J,Input!F:F)</f>
        <v>0</v>
      </c>
      <c r="E523" s="32">
        <f>_xlfn.XLOOKUP(D523,Models!H:H,Models!G:G,D523)</f>
        <v>0</v>
      </c>
      <c r="F523" s="32">
        <f>_xlfn.XLOOKUP(B523,Input!J:J,Input!E:E)</f>
        <v>0</v>
      </c>
      <c r="G523" s="32">
        <f>IF(F523="LENOVO",_xlfn.XLOOKUP(B523,Input!J:J,Input!K:K),_xlfn.XLOOKUP(B523,Input!J:J,Input!L:L))</f>
        <v>0</v>
      </c>
      <c r="H523" s="32"/>
      <c r="I523" s="32"/>
      <c r="J523" s="32"/>
      <c r="K523" s="42" t="e">
        <f>INDEX(Input!$D$2:$AC$500,
       MATCH(B523, Input!$J$2:$J$500, 0),
       MATCH("Total Memory", Input!$D$1:$AC$1, 0))</f>
        <v>#N/A</v>
      </c>
      <c r="L523" s="42"/>
      <c r="M523" s="42" t="str" cm="1">
        <f t="array" ref="M523">IFERROR(_xlfn.FILTERXML("&lt;t&gt;&lt;s&gt;" &amp; SUBSTITUTE(L523," / ","&lt;/s&gt;&lt;s&gt;") &amp; "&lt;/s&gt;&lt;/t&gt;","(//s[contains(.,'DDR')])[1]"),"")</f>
        <v/>
      </c>
      <c r="N523" s="32" t="e">
        <f t="shared" si="26"/>
        <v>#N/A</v>
      </c>
      <c r="O523" s="42" t="e">
        <f>INDEX(Input!$D$2:$AC$500,
       MATCH(B523, Input!$J$2:$J$500, 0),
       MATCH("Disk Interface Type", Input!$D$1:$AC$1, 0))</f>
        <v>#N/A</v>
      </c>
      <c r="P523" s="42" t="str" cm="1">
        <f t="array" ref="P523">IFERROR(_xlfn.TEXTJOIN(", ", TRUE, _xlfn._xlws.FILTER(
    INDEX(Input!$D$2:$AC$500,,MATCH("Disk Capacity",Input!$D$1:$AC$1,0)),
    Input!$J$2:$J$500=B523
)), "")</f>
        <v/>
      </c>
      <c r="Q523" s="32" t="e">
        <f t="shared" si="25"/>
        <v>#N/A</v>
      </c>
      <c r="R523" s="42" t="e">
        <f>_xlfn.LET(_xlpm.Result,INDEX(Input!$D$2:$AC$500,
       MATCH(B523, Input!$J$2:$J$500, 0),
       MATCH("Capacity", Input!$D$1:$AC$1, 0)),IF(_xlpm.Result="","",_xlpm.Result))</f>
        <v>#N/A</v>
      </c>
      <c r="S523" s="42"/>
      <c r="T523" s="42"/>
      <c r="U523" s="42" t="str" cm="1">
        <f t="array" ref="U523">IFERROR(_xlfn.IFS(
S523="","",
--S523&lt;55,"Battery Defect",
--S523&lt;=69,"Battery D",
--S523&lt;=80,"Battery C",
--S523&gt;80,""
),"")</f>
        <v/>
      </c>
      <c r="V523" s="42" t="str" cm="1">
        <f t="array" ref="V523">IFERROR(_xlfn.IFS(
T523="","",
--T523&lt;55,"Battery Defect",
--T523&lt;=69,"Battery D",
--T523&lt;=80,"Battery C",
--T523&gt;80,""
),"")</f>
        <v/>
      </c>
      <c r="W523" s="42"/>
      <c r="X523" s="42"/>
      <c r="Y523" s="42"/>
      <c r="Z523" s="42"/>
      <c r="AA523" s="42"/>
      <c r="AB523" s="42"/>
      <c r="AC523" s="42"/>
      <c r="AD523" s="42"/>
      <c r="AE523" s="32" t="str">
        <f t="shared" si="24"/>
        <v/>
      </c>
      <c r="AF523" s="32"/>
      <c r="AG523" s="32"/>
      <c r="AH523" s="32"/>
      <c r="AI523" s="32"/>
      <c r="AJ523" s="32"/>
      <c r="AK523" s="32"/>
      <c r="AL523" s="32"/>
      <c r="AM523" s="32"/>
    </row>
    <row r="524" spans="1:39">
      <c r="A524" s="32" t="str">
        <f>_xlfn.XLOOKUP(B524,Input!J:J,Input!G:G)&amp;""</f>
        <v/>
      </c>
      <c r="B524" s="32"/>
      <c r="C524" s="32" t="str">
        <f>_xlfn.XLOOKUP(B524,Input!J:J,Input!H:H)&amp;""</f>
        <v/>
      </c>
      <c r="D524" s="42">
        <f>_xlfn.XLOOKUP(B524,Input!J:J,Input!F:F)</f>
        <v>0</v>
      </c>
      <c r="E524" s="32">
        <f>_xlfn.XLOOKUP(D524,Models!H:H,Models!G:G,D524)</f>
        <v>0</v>
      </c>
      <c r="F524" s="32">
        <f>_xlfn.XLOOKUP(B524,Input!J:J,Input!E:E)</f>
        <v>0</v>
      </c>
      <c r="G524" s="32">
        <f>IF(F524="LENOVO",_xlfn.XLOOKUP(B524,Input!J:J,Input!K:K),_xlfn.XLOOKUP(B524,Input!J:J,Input!L:L))</f>
        <v>0</v>
      </c>
      <c r="H524" s="32"/>
      <c r="I524" s="32"/>
      <c r="J524" s="32"/>
      <c r="K524" s="42" t="e">
        <f>INDEX(Input!$D$2:$AC$500,
       MATCH(B524, Input!$J$2:$J$500, 0),
       MATCH("Total Memory", Input!$D$1:$AC$1, 0))</f>
        <v>#N/A</v>
      </c>
      <c r="L524" s="42"/>
      <c r="M524" s="42" t="str" cm="1">
        <f t="array" ref="M524">IFERROR(_xlfn.FILTERXML("&lt;t&gt;&lt;s&gt;" &amp; SUBSTITUTE(L524," / ","&lt;/s&gt;&lt;s&gt;") &amp; "&lt;/s&gt;&lt;/t&gt;","(//s[contains(.,'DDR')])[1]"),"")</f>
        <v/>
      </c>
      <c r="N524" s="32" t="e">
        <f t="shared" si="26"/>
        <v>#N/A</v>
      </c>
      <c r="O524" s="42" t="e">
        <f>INDEX(Input!$D$2:$AC$500,
       MATCH(B524, Input!$J$2:$J$500, 0),
       MATCH("Disk Interface Type", Input!$D$1:$AC$1, 0))</f>
        <v>#N/A</v>
      </c>
      <c r="P524" s="42" t="str" cm="1">
        <f t="array" ref="P524">IFERROR(_xlfn.TEXTJOIN(", ", TRUE, _xlfn._xlws.FILTER(
    INDEX(Input!$D$2:$AC$500,,MATCH("Disk Capacity",Input!$D$1:$AC$1,0)),
    Input!$J$2:$J$500=B524
)), "")</f>
        <v/>
      </c>
      <c r="Q524" s="32" t="e">
        <f t="shared" si="25"/>
        <v>#N/A</v>
      </c>
      <c r="R524" s="42" t="e">
        <f>_xlfn.LET(_xlpm.Result,INDEX(Input!$D$2:$AC$500,
       MATCH(B524, Input!$J$2:$J$500, 0),
       MATCH("Capacity", Input!$D$1:$AC$1, 0)),IF(_xlpm.Result="","",_xlpm.Result))</f>
        <v>#N/A</v>
      </c>
      <c r="S524" s="42"/>
      <c r="T524" s="42"/>
      <c r="U524" s="42" t="str" cm="1">
        <f t="array" ref="U524">IFERROR(_xlfn.IFS(
S524="","",
--S524&lt;55,"Battery Defect",
--S524&lt;=69,"Battery D",
--S524&lt;=80,"Battery C",
--S524&gt;80,""
),"")</f>
        <v/>
      </c>
      <c r="V524" s="42" t="str" cm="1">
        <f t="array" ref="V524">IFERROR(_xlfn.IFS(
T524="","",
--T524&lt;55,"Battery Defect",
--T524&lt;=69,"Battery D",
--T524&lt;=80,"Battery C",
--T524&gt;80,""
),"")</f>
        <v/>
      </c>
      <c r="W524" s="42"/>
      <c r="X524" s="42"/>
      <c r="Y524" s="42"/>
      <c r="Z524" s="42"/>
      <c r="AA524" s="42"/>
      <c r="AB524" s="42"/>
      <c r="AC524" s="42"/>
      <c r="AD524" s="42"/>
      <c r="AE524" s="32" t="str">
        <f t="shared" si="24"/>
        <v/>
      </c>
      <c r="AF524" s="32"/>
      <c r="AG524" s="32"/>
      <c r="AH524" s="32"/>
      <c r="AI524" s="32"/>
      <c r="AJ524" s="32"/>
      <c r="AK524" s="32"/>
      <c r="AL524" s="32"/>
      <c r="AM524" s="32"/>
    </row>
    <row r="525" spans="1:39">
      <c r="A525" s="32" t="str">
        <f>_xlfn.XLOOKUP(B525,Input!J:J,Input!G:G)&amp;""</f>
        <v/>
      </c>
      <c r="B525" s="32"/>
      <c r="C525" s="32" t="str">
        <f>_xlfn.XLOOKUP(B525,Input!J:J,Input!H:H)&amp;""</f>
        <v/>
      </c>
      <c r="D525" s="42">
        <f>_xlfn.XLOOKUP(B525,Input!J:J,Input!F:F)</f>
        <v>0</v>
      </c>
      <c r="E525" s="32">
        <f>_xlfn.XLOOKUP(D525,Models!H:H,Models!G:G,D525)</f>
        <v>0</v>
      </c>
      <c r="F525" s="32">
        <f>_xlfn.XLOOKUP(B525,Input!J:J,Input!E:E)</f>
        <v>0</v>
      </c>
      <c r="G525" s="32">
        <f>IF(F525="LENOVO",_xlfn.XLOOKUP(B525,Input!J:J,Input!K:K),_xlfn.XLOOKUP(B525,Input!J:J,Input!L:L))</f>
        <v>0</v>
      </c>
      <c r="H525" s="32"/>
      <c r="I525" s="32"/>
      <c r="J525" s="32"/>
      <c r="K525" s="42" t="e">
        <f>INDEX(Input!$D$2:$AC$500,
       MATCH(B525, Input!$J$2:$J$500, 0),
       MATCH("Total Memory", Input!$D$1:$AC$1, 0))</f>
        <v>#N/A</v>
      </c>
      <c r="L525" s="42"/>
      <c r="M525" s="42" t="str" cm="1">
        <f t="array" ref="M525">IFERROR(_xlfn.FILTERXML("&lt;t&gt;&lt;s&gt;" &amp; SUBSTITUTE(L525," / ","&lt;/s&gt;&lt;s&gt;") &amp; "&lt;/s&gt;&lt;/t&gt;","(//s[contains(.,'DDR')])[1]"),"")</f>
        <v/>
      </c>
      <c r="N525" s="32" t="e">
        <f t="shared" si="26"/>
        <v>#N/A</v>
      </c>
      <c r="O525" s="42" t="e">
        <f>INDEX(Input!$D$2:$AC$500,
       MATCH(B525, Input!$J$2:$J$500, 0),
       MATCH("Disk Interface Type", Input!$D$1:$AC$1, 0))</f>
        <v>#N/A</v>
      </c>
      <c r="P525" s="42" t="str" cm="1">
        <f t="array" ref="P525">IFERROR(_xlfn.TEXTJOIN(", ", TRUE, _xlfn._xlws.FILTER(
    INDEX(Input!$D$2:$AC$500,,MATCH("Disk Capacity",Input!$D$1:$AC$1,0)),
    Input!$J$2:$J$500=B525
)), "")</f>
        <v/>
      </c>
      <c r="Q525" s="32" t="e">
        <f t="shared" si="25"/>
        <v>#N/A</v>
      </c>
      <c r="R525" s="42" t="e">
        <f>_xlfn.LET(_xlpm.Result,INDEX(Input!$D$2:$AC$500,
       MATCH(B525, Input!$J$2:$J$500, 0),
       MATCH("Capacity", Input!$D$1:$AC$1, 0)),IF(_xlpm.Result="","",_xlpm.Result))</f>
        <v>#N/A</v>
      </c>
      <c r="S525" s="42"/>
      <c r="T525" s="42"/>
      <c r="U525" s="42" t="str" cm="1">
        <f t="array" ref="U525">IFERROR(_xlfn.IFS(
S525="","",
--S525&lt;55,"Battery Defect",
--S525&lt;=69,"Battery D",
--S525&lt;=80,"Battery C",
--S525&gt;80,""
),"")</f>
        <v/>
      </c>
      <c r="V525" s="42" t="str" cm="1">
        <f t="array" ref="V525">IFERROR(_xlfn.IFS(
T525="","",
--T525&lt;55,"Battery Defect",
--T525&lt;=69,"Battery D",
--T525&lt;=80,"Battery C",
--T525&gt;80,""
),"")</f>
        <v/>
      </c>
      <c r="W525" s="42"/>
      <c r="X525" s="42"/>
      <c r="Y525" s="42"/>
      <c r="Z525" s="42"/>
      <c r="AA525" s="42"/>
      <c r="AB525" s="42"/>
      <c r="AC525" s="42"/>
      <c r="AD525" s="42"/>
      <c r="AE525" s="32" t="str">
        <f t="shared" si="24"/>
        <v/>
      </c>
      <c r="AF525" s="32"/>
      <c r="AG525" s="32"/>
      <c r="AH525" s="32"/>
      <c r="AI525" s="32"/>
      <c r="AJ525" s="32"/>
      <c r="AK525" s="32"/>
      <c r="AL525" s="32"/>
      <c r="AM525" s="32"/>
    </row>
    <row r="526" spans="1:39">
      <c r="A526" s="32" t="str">
        <f>_xlfn.XLOOKUP(B526,Input!J:J,Input!G:G)&amp;""</f>
        <v/>
      </c>
      <c r="B526" s="32"/>
      <c r="C526" s="32" t="str">
        <f>_xlfn.XLOOKUP(B526,Input!J:J,Input!H:H)&amp;""</f>
        <v/>
      </c>
      <c r="D526" s="42">
        <f>_xlfn.XLOOKUP(B526,Input!J:J,Input!F:F)</f>
        <v>0</v>
      </c>
      <c r="E526" s="32">
        <f>_xlfn.XLOOKUP(D526,Models!H:H,Models!G:G,D526)</f>
        <v>0</v>
      </c>
      <c r="F526" s="32">
        <f>_xlfn.XLOOKUP(B526,Input!J:J,Input!E:E)</f>
        <v>0</v>
      </c>
      <c r="G526" s="32">
        <f>IF(F526="LENOVO",_xlfn.XLOOKUP(B526,Input!J:J,Input!K:K),_xlfn.XLOOKUP(B526,Input!J:J,Input!L:L))</f>
        <v>0</v>
      </c>
      <c r="H526" s="32"/>
      <c r="I526" s="32"/>
      <c r="J526" s="32"/>
      <c r="K526" s="42" t="e">
        <f>INDEX(Input!$D$2:$AC$500,
       MATCH(B526, Input!$J$2:$J$500, 0),
       MATCH("Total Memory", Input!$D$1:$AC$1, 0))</f>
        <v>#N/A</v>
      </c>
      <c r="L526" s="42"/>
      <c r="M526" s="42" t="str" cm="1">
        <f t="array" ref="M526">IFERROR(_xlfn.FILTERXML("&lt;t&gt;&lt;s&gt;" &amp; SUBSTITUTE(L526," / ","&lt;/s&gt;&lt;s&gt;") &amp; "&lt;/s&gt;&lt;/t&gt;","(//s[contains(.,'DDR')])[1]"),"")</f>
        <v/>
      </c>
      <c r="N526" s="32" t="e">
        <f t="shared" si="26"/>
        <v>#N/A</v>
      </c>
      <c r="O526" s="42" t="e">
        <f>INDEX(Input!$D$2:$AC$500,
       MATCH(B526, Input!$J$2:$J$500, 0),
       MATCH("Disk Interface Type", Input!$D$1:$AC$1, 0))</f>
        <v>#N/A</v>
      </c>
      <c r="P526" s="42" t="str" cm="1">
        <f t="array" ref="P526">IFERROR(_xlfn.TEXTJOIN(", ", TRUE, _xlfn._xlws.FILTER(
    INDEX(Input!$D$2:$AC$500,,MATCH("Disk Capacity",Input!$D$1:$AC$1,0)),
    Input!$J$2:$J$500=B526
)), "")</f>
        <v/>
      </c>
      <c r="Q526" s="32" t="e">
        <f t="shared" si="25"/>
        <v>#N/A</v>
      </c>
      <c r="R526" s="42" t="e">
        <f>_xlfn.LET(_xlpm.Result,INDEX(Input!$D$2:$AC$500,
       MATCH(B526, Input!$J$2:$J$500, 0),
       MATCH("Capacity", Input!$D$1:$AC$1, 0)),IF(_xlpm.Result="","",_xlpm.Result))</f>
        <v>#N/A</v>
      </c>
      <c r="S526" s="42"/>
      <c r="T526" s="42"/>
      <c r="U526" s="42" t="str" cm="1">
        <f t="array" ref="U526">IFERROR(_xlfn.IFS(
S526="","",
--S526&lt;55,"Battery Defect",
--S526&lt;=69,"Battery D",
--S526&lt;=80,"Battery C",
--S526&gt;80,""
),"")</f>
        <v/>
      </c>
      <c r="V526" s="42" t="str" cm="1">
        <f t="array" ref="V526">IFERROR(_xlfn.IFS(
T526="","",
--T526&lt;55,"Battery Defect",
--T526&lt;=69,"Battery D",
--T526&lt;=80,"Battery C",
--T526&gt;80,""
),"")</f>
        <v/>
      </c>
      <c r="W526" s="42"/>
      <c r="X526" s="42"/>
      <c r="Y526" s="42"/>
      <c r="Z526" s="42"/>
      <c r="AA526" s="42"/>
      <c r="AB526" s="42"/>
      <c r="AC526" s="42"/>
      <c r="AD526" s="42"/>
      <c r="AE526" s="32" t="str">
        <f t="shared" si="24"/>
        <v/>
      </c>
      <c r="AF526" s="32"/>
      <c r="AG526" s="32"/>
      <c r="AH526" s="32"/>
      <c r="AI526" s="32"/>
      <c r="AJ526" s="32"/>
      <c r="AK526" s="32"/>
      <c r="AL526" s="32"/>
      <c r="AM526" s="32"/>
    </row>
    <row r="527" spans="1:39">
      <c r="A527" s="32" t="str">
        <f>_xlfn.XLOOKUP(B527,Input!J:J,Input!G:G)&amp;""</f>
        <v/>
      </c>
      <c r="B527" s="32"/>
      <c r="C527" s="32" t="str">
        <f>_xlfn.XLOOKUP(B527,Input!J:J,Input!H:H)&amp;""</f>
        <v/>
      </c>
      <c r="D527" s="42">
        <f>_xlfn.XLOOKUP(B527,Input!J:J,Input!F:F)</f>
        <v>0</v>
      </c>
      <c r="E527" s="32">
        <f>_xlfn.XLOOKUP(D527,Models!H:H,Models!G:G,D527)</f>
        <v>0</v>
      </c>
      <c r="F527" s="32">
        <f>_xlfn.XLOOKUP(B527,Input!J:J,Input!E:E)</f>
        <v>0</v>
      </c>
      <c r="G527" s="32">
        <f>IF(F527="LENOVO",_xlfn.XLOOKUP(B527,Input!J:J,Input!K:K),_xlfn.XLOOKUP(B527,Input!J:J,Input!L:L))</f>
        <v>0</v>
      </c>
      <c r="H527" s="32"/>
      <c r="I527" s="32"/>
      <c r="J527" s="32"/>
      <c r="K527" s="42" t="e">
        <f>INDEX(Input!$D$2:$AC$500,
       MATCH(B527, Input!$J$2:$J$500, 0),
       MATCH("Total Memory", Input!$D$1:$AC$1, 0))</f>
        <v>#N/A</v>
      </c>
      <c r="L527" s="42"/>
      <c r="M527" s="42" t="str" cm="1">
        <f t="array" ref="M527">IFERROR(_xlfn.FILTERXML("&lt;t&gt;&lt;s&gt;" &amp; SUBSTITUTE(L527," / ","&lt;/s&gt;&lt;s&gt;") &amp; "&lt;/s&gt;&lt;/t&gt;","(//s[contains(.,'DDR')])[1]"),"")</f>
        <v/>
      </c>
      <c r="N527" s="32" t="e">
        <f t="shared" si="26"/>
        <v>#N/A</v>
      </c>
      <c r="O527" s="42" t="e">
        <f>INDEX(Input!$D$2:$AC$500,
       MATCH(B527, Input!$J$2:$J$500, 0),
       MATCH("Disk Interface Type", Input!$D$1:$AC$1, 0))</f>
        <v>#N/A</v>
      </c>
      <c r="P527" s="42" t="str" cm="1">
        <f t="array" ref="P527">IFERROR(_xlfn.TEXTJOIN(", ", TRUE, _xlfn._xlws.FILTER(
    INDEX(Input!$D$2:$AC$500,,MATCH("Disk Capacity",Input!$D$1:$AC$1,0)),
    Input!$J$2:$J$500=B527
)), "")</f>
        <v/>
      </c>
      <c r="Q527" s="32" t="e">
        <f t="shared" si="25"/>
        <v>#N/A</v>
      </c>
      <c r="R527" s="42" t="e">
        <f>_xlfn.LET(_xlpm.Result,INDEX(Input!$D$2:$AC$500,
       MATCH(B527, Input!$J$2:$J$500, 0),
       MATCH("Capacity", Input!$D$1:$AC$1, 0)),IF(_xlpm.Result="","",_xlpm.Result))</f>
        <v>#N/A</v>
      </c>
      <c r="S527" s="42"/>
      <c r="T527" s="42"/>
      <c r="U527" s="42" t="str" cm="1">
        <f t="array" ref="U527">IFERROR(_xlfn.IFS(
S527="","",
--S527&lt;55,"Battery Defect",
--S527&lt;=69,"Battery D",
--S527&lt;=80,"Battery C",
--S527&gt;80,""
),"")</f>
        <v/>
      </c>
      <c r="V527" s="42" t="str" cm="1">
        <f t="array" ref="V527">IFERROR(_xlfn.IFS(
T527="","",
--T527&lt;55,"Battery Defect",
--T527&lt;=69,"Battery D",
--T527&lt;=80,"Battery C",
--T527&gt;80,""
),"")</f>
        <v/>
      </c>
      <c r="W527" s="42"/>
      <c r="X527" s="42"/>
      <c r="Y527" s="42"/>
      <c r="Z527" s="42"/>
      <c r="AA527" s="42"/>
      <c r="AB527" s="42"/>
      <c r="AC527" s="42"/>
      <c r="AD527" s="42"/>
      <c r="AE527" s="32" t="str">
        <f t="shared" si="24"/>
        <v/>
      </c>
      <c r="AF527" s="32"/>
      <c r="AG527" s="32"/>
      <c r="AH527" s="32"/>
      <c r="AI527" s="32"/>
      <c r="AJ527" s="32"/>
      <c r="AK527" s="32"/>
      <c r="AL527" s="32"/>
      <c r="AM527" s="32"/>
    </row>
    <row r="528" spans="1:39">
      <c r="A528" s="32" t="str">
        <f>_xlfn.XLOOKUP(B528,Input!J:J,Input!G:G)&amp;""</f>
        <v/>
      </c>
      <c r="B528" s="32"/>
      <c r="C528" s="32" t="str">
        <f>_xlfn.XLOOKUP(B528,Input!J:J,Input!H:H)&amp;""</f>
        <v/>
      </c>
      <c r="D528" s="42">
        <f>_xlfn.XLOOKUP(B528,Input!J:J,Input!F:F)</f>
        <v>0</v>
      </c>
      <c r="E528" s="32">
        <f>_xlfn.XLOOKUP(D528,Models!H:H,Models!G:G,D528)</f>
        <v>0</v>
      </c>
      <c r="F528" s="32">
        <f>_xlfn.XLOOKUP(B528,Input!J:J,Input!E:E)</f>
        <v>0</v>
      </c>
      <c r="G528" s="32">
        <f>IF(F528="LENOVO",_xlfn.XLOOKUP(B528,Input!J:J,Input!K:K),_xlfn.XLOOKUP(B528,Input!J:J,Input!L:L))</f>
        <v>0</v>
      </c>
      <c r="H528" s="32"/>
      <c r="I528" s="32"/>
      <c r="J528" s="32"/>
      <c r="K528" s="42" t="e">
        <f>INDEX(Input!$D$2:$AC$500,
       MATCH(B528, Input!$J$2:$J$500, 0),
       MATCH("Total Memory", Input!$D$1:$AC$1, 0))</f>
        <v>#N/A</v>
      </c>
      <c r="L528" s="42"/>
      <c r="M528" s="42" t="str" cm="1">
        <f t="array" ref="M528">IFERROR(_xlfn.FILTERXML("&lt;t&gt;&lt;s&gt;" &amp; SUBSTITUTE(L528," / ","&lt;/s&gt;&lt;s&gt;") &amp; "&lt;/s&gt;&lt;/t&gt;","(//s[contains(.,'DDR')])[1]"),"")</f>
        <v/>
      </c>
      <c r="N528" s="32" t="e">
        <f t="shared" si="26"/>
        <v>#N/A</v>
      </c>
      <c r="O528" s="42" t="e">
        <f>INDEX(Input!$D$2:$AC$500,
       MATCH(B528, Input!$J$2:$J$500, 0),
       MATCH("Disk Interface Type", Input!$D$1:$AC$1, 0))</f>
        <v>#N/A</v>
      </c>
      <c r="P528" s="42" t="str" cm="1">
        <f t="array" ref="P528">IFERROR(_xlfn.TEXTJOIN(", ", TRUE, _xlfn._xlws.FILTER(
    INDEX(Input!$D$2:$AC$500,,MATCH("Disk Capacity",Input!$D$1:$AC$1,0)),
    Input!$J$2:$J$500=B528
)), "")</f>
        <v/>
      </c>
      <c r="Q528" s="32" t="e">
        <f t="shared" si="25"/>
        <v>#N/A</v>
      </c>
      <c r="R528" s="42" t="e">
        <f>_xlfn.LET(_xlpm.Result,INDEX(Input!$D$2:$AC$500,
       MATCH(B528, Input!$J$2:$J$500, 0),
       MATCH("Capacity", Input!$D$1:$AC$1, 0)),IF(_xlpm.Result="","",_xlpm.Result))</f>
        <v>#N/A</v>
      </c>
      <c r="S528" s="42"/>
      <c r="T528" s="42"/>
      <c r="U528" s="42" t="str" cm="1">
        <f t="array" ref="U528">IFERROR(_xlfn.IFS(
S528="","",
--S528&lt;55,"Battery Defect",
--S528&lt;=69,"Battery D",
--S528&lt;=80,"Battery C",
--S528&gt;80,""
),"")</f>
        <v/>
      </c>
      <c r="V528" s="42" t="str" cm="1">
        <f t="array" ref="V528">IFERROR(_xlfn.IFS(
T528="","",
--T528&lt;55,"Battery Defect",
--T528&lt;=69,"Battery D",
--T528&lt;=80,"Battery C",
--T528&gt;80,""
),"")</f>
        <v/>
      </c>
      <c r="W528" s="42"/>
      <c r="X528" s="42"/>
      <c r="Y528" s="42"/>
      <c r="Z528" s="42"/>
      <c r="AA528" s="42"/>
      <c r="AB528" s="42"/>
      <c r="AC528" s="42"/>
      <c r="AD528" s="42"/>
      <c r="AE528" s="32" t="str">
        <f t="shared" si="24"/>
        <v/>
      </c>
      <c r="AF528" s="32"/>
      <c r="AG528" s="32"/>
      <c r="AH528" s="32"/>
      <c r="AI528" s="32"/>
      <c r="AJ528" s="32"/>
      <c r="AK528" s="32"/>
      <c r="AL528" s="32"/>
      <c r="AM528" s="32"/>
    </row>
    <row r="529" spans="1:39">
      <c r="A529" s="32" t="str">
        <f>_xlfn.XLOOKUP(B529,Input!J:J,Input!G:G)&amp;""</f>
        <v/>
      </c>
      <c r="B529" s="32"/>
      <c r="C529" s="32" t="str">
        <f>_xlfn.XLOOKUP(B529,Input!J:J,Input!H:H)&amp;""</f>
        <v/>
      </c>
      <c r="D529" s="42">
        <f>_xlfn.XLOOKUP(B529,Input!J:J,Input!F:F)</f>
        <v>0</v>
      </c>
      <c r="E529" s="32">
        <f>_xlfn.XLOOKUP(D529,Models!H:H,Models!G:G,D529)</f>
        <v>0</v>
      </c>
      <c r="F529" s="32">
        <f>_xlfn.XLOOKUP(B529,Input!J:J,Input!E:E)</f>
        <v>0</v>
      </c>
      <c r="G529" s="32">
        <f>IF(F529="LENOVO",_xlfn.XLOOKUP(B529,Input!J:J,Input!K:K),_xlfn.XLOOKUP(B529,Input!J:J,Input!L:L))</f>
        <v>0</v>
      </c>
      <c r="H529" s="32"/>
      <c r="I529" s="32"/>
      <c r="J529" s="32"/>
      <c r="K529" s="42" t="e">
        <f>INDEX(Input!$D$2:$AC$500,
       MATCH(B529, Input!$J$2:$J$500, 0),
       MATCH("Total Memory", Input!$D$1:$AC$1, 0))</f>
        <v>#N/A</v>
      </c>
      <c r="L529" s="42"/>
      <c r="M529" s="42" t="str" cm="1">
        <f t="array" ref="M529">IFERROR(_xlfn.FILTERXML("&lt;t&gt;&lt;s&gt;" &amp; SUBSTITUTE(L529," / ","&lt;/s&gt;&lt;s&gt;") &amp; "&lt;/s&gt;&lt;/t&gt;","(//s[contains(.,'DDR')])[1]"),"")</f>
        <v/>
      </c>
      <c r="N529" s="32" t="e">
        <f t="shared" si="26"/>
        <v>#N/A</v>
      </c>
      <c r="O529" s="42" t="e">
        <f>INDEX(Input!$D$2:$AC$500,
       MATCH(B529, Input!$J$2:$J$500, 0),
       MATCH("Disk Interface Type", Input!$D$1:$AC$1, 0))</f>
        <v>#N/A</v>
      </c>
      <c r="P529" s="42" t="str" cm="1">
        <f t="array" ref="P529">IFERROR(_xlfn.TEXTJOIN(", ", TRUE, _xlfn._xlws.FILTER(
    INDEX(Input!$D$2:$AC$500,,MATCH("Disk Capacity",Input!$D$1:$AC$1,0)),
    Input!$J$2:$J$500=B529
)), "")</f>
        <v/>
      </c>
      <c r="Q529" s="32" t="e">
        <f t="shared" si="25"/>
        <v>#N/A</v>
      </c>
      <c r="R529" s="42" t="e">
        <f>_xlfn.LET(_xlpm.Result,INDEX(Input!$D$2:$AC$500,
       MATCH(B529, Input!$J$2:$J$500, 0),
       MATCH("Capacity", Input!$D$1:$AC$1, 0)),IF(_xlpm.Result="","",_xlpm.Result))</f>
        <v>#N/A</v>
      </c>
      <c r="S529" s="42"/>
      <c r="T529" s="42"/>
      <c r="U529" s="42" t="str" cm="1">
        <f t="array" ref="U529">IFERROR(_xlfn.IFS(
S529="","",
--S529&lt;55,"Battery Defect",
--S529&lt;=69,"Battery D",
--S529&lt;=80,"Battery C",
--S529&gt;80,""
),"")</f>
        <v/>
      </c>
      <c r="V529" s="42" t="str" cm="1">
        <f t="array" ref="V529">IFERROR(_xlfn.IFS(
T529="","",
--T529&lt;55,"Battery Defect",
--T529&lt;=69,"Battery D",
--T529&lt;=80,"Battery C",
--T529&gt;80,""
),"")</f>
        <v/>
      </c>
      <c r="W529" s="42"/>
      <c r="X529" s="42"/>
      <c r="Y529" s="42"/>
      <c r="Z529" s="42"/>
      <c r="AA529" s="42"/>
      <c r="AB529" s="42"/>
      <c r="AC529" s="42"/>
      <c r="AD529" s="42"/>
      <c r="AE529" s="32" t="str">
        <f t="shared" si="24"/>
        <v/>
      </c>
      <c r="AF529" s="32"/>
      <c r="AG529" s="32"/>
      <c r="AH529" s="32"/>
      <c r="AI529" s="32"/>
      <c r="AJ529" s="32"/>
      <c r="AK529" s="32"/>
      <c r="AL529" s="32"/>
      <c r="AM529" s="32"/>
    </row>
    <row r="530" spans="1:39">
      <c r="A530" s="32" t="str">
        <f>_xlfn.XLOOKUP(B530,Input!J:J,Input!G:G)&amp;""</f>
        <v/>
      </c>
      <c r="B530" s="32"/>
      <c r="C530" s="32" t="str">
        <f>_xlfn.XLOOKUP(B530,Input!J:J,Input!H:H)&amp;""</f>
        <v/>
      </c>
      <c r="D530" s="42">
        <f>_xlfn.XLOOKUP(B530,Input!J:J,Input!F:F)</f>
        <v>0</v>
      </c>
      <c r="E530" s="32">
        <f>_xlfn.XLOOKUP(D530,Models!H:H,Models!G:G,D530)</f>
        <v>0</v>
      </c>
      <c r="F530" s="32">
        <f>_xlfn.XLOOKUP(B530,Input!J:J,Input!E:E)</f>
        <v>0</v>
      </c>
      <c r="G530" s="32">
        <f>IF(F530="LENOVO",_xlfn.XLOOKUP(B530,Input!J:J,Input!K:K),_xlfn.XLOOKUP(B530,Input!J:J,Input!L:L))</f>
        <v>0</v>
      </c>
      <c r="H530" s="32"/>
      <c r="I530" s="32"/>
      <c r="J530" s="32"/>
      <c r="K530" s="42" t="e">
        <f>INDEX(Input!$D$2:$AC$500,
       MATCH(B530, Input!$J$2:$J$500, 0),
       MATCH("Total Memory", Input!$D$1:$AC$1, 0))</f>
        <v>#N/A</v>
      </c>
      <c r="L530" s="42"/>
      <c r="M530" s="42" t="str" cm="1">
        <f t="array" ref="M530">IFERROR(_xlfn.FILTERXML("&lt;t&gt;&lt;s&gt;" &amp; SUBSTITUTE(L530," / ","&lt;/s&gt;&lt;s&gt;") &amp; "&lt;/s&gt;&lt;/t&gt;","(//s[contains(.,'DDR')])[1]"),"")</f>
        <v/>
      </c>
      <c r="N530" s="32" t="e">
        <f t="shared" si="26"/>
        <v>#N/A</v>
      </c>
      <c r="O530" s="42" t="e">
        <f>INDEX(Input!$D$2:$AC$500,
       MATCH(B530, Input!$J$2:$J$500, 0),
       MATCH("Disk Interface Type", Input!$D$1:$AC$1, 0))</f>
        <v>#N/A</v>
      </c>
      <c r="P530" s="42" t="str" cm="1">
        <f t="array" ref="P530">IFERROR(_xlfn.TEXTJOIN(", ", TRUE, _xlfn._xlws.FILTER(
    INDEX(Input!$D$2:$AC$500,,MATCH("Disk Capacity",Input!$D$1:$AC$1,0)),
    Input!$J$2:$J$500=B530
)), "")</f>
        <v/>
      </c>
      <c r="Q530" s="32" t="e">
        <f t="shared" si="25"/>
        <v>#N/A</v>
      </c>
      <c r="R530" s="42" t="e">
        <f>_xlfn.LET(_xlpm.Result,INDEX(Input!$D$2:$AC$500,
       MATCH(B530, Input!$J$2:$J$500, 0),
       MATCH("Capacity", Input!$D$1:$AC$1, 0)),IF(_xlpm.Result="","",_xlpm.Result))</f>
        <v>#N/A</v>
      </c>
      <c r="S530" s="42"/>
      <c r="T530" s="42"/>
      <c r="U530" s="42" t="str" cm="1">
        <f t="array" ref="U530">IFERROR(_xlfn.IFS(
S530="","",
--S530&lt;55,"Battery Defect",
--S530&lt;=69,"Battery D",
--S530&lt;=80,"Battery C",
--S530&gt;80,""
),"")</f>
        <v/>
      </c>
      <c r="V530" s="42" t="str" cm="1">
        <f t="array" ref="V530">IFERROR(_xlfn.IFS(
T530="","",
--T530&lt;55,"Battery Defect",
--T530&lt;=69,"Battery D",
--T530&lt;=80,"Battery C",
--T530&gt;80,""
),"")</f>
        <v/>
      </c>
      <c r="W530" s="42"/>
      <c r="X530" s="42"/>
      <c r="Y530" s="42"/>
      <c r="Z530" s="42"/>
      <c r="AA530" s="42"/>
      <c r="AB530" s="42"/>
      <c r="AC530" s="42"/>
      <c r="AD530" s="42"/>
      <c r="AE530" s="32" t="str">
        <f t="shared" si="24"/>
        <v/>
      </c>
      <c r="AF530" s="32"/>
      <c r="AG530" s="32"/>
      <c r="AH530" s="32"/>
      <c r="AI530" s="32"/>
      <c r="AJ530" s="32"/>
      <c r="AK530" s="32"/>
      <c r="AL530" s="32"/>
      <c r="AM530" s="32"/>
    </row>
    <row r="531" spans="1:39">
      <c r="A531" s="32" t="str">
        <f>_xlfn.XLOOKUP(B531,Input!J:J,Input!G:G)&amp;""</f>
        <v/>
      </c>
      <c r="B531" s="32"/>
      <c r="C531" s="32" t="str">
        <f>_xlfn.XLOOKUP(B531,Input!J:J,Input!H:H)&amp;""</f>
        <v/>
      </c>
      <c r="D531" s="42">
        <f>_xlfn.XLOOKUP(B531,Input!J:J,Input!F:F)</f>
        <v>0</v>
      </c>
      <c r="E531" s="32">
        <f>_xlfn.XLOOKUP(D531,Models!H:H,Models!G:G,D531)</f>
        <v>0</v>
      </c>
      <c r="F531" s="32">
        <f>_xlfn.XLOOKUP(B531,Input!J:J,Input!E:E)</f>
        <v>0</v>
      </c>
      <c r="G531" s="32">
        <f>IF(F531="LENOVO",_xlfn.XLOOKUP(B531,Input!J:J,Input!K:K),_xlfn.XLOOKUP(B531,Input!J:J,Input!L:L))</f>
        <v>0</v>
      </c>
      <c r="H531" s="32"/>
      <c r="I531" s="32"/>
      <c r="J531" s="32"/>
      <c r="K531" s="42" t="e">
        <f>INDEX(Input!$D$2:$AC$500,
       MATCH(B531, Input!$J$2:$J$500, 0),
       MATCH("Total Memory", Input!$D$1:$AC$1, 0))</f>
        <v>#N/A</v>
      </c>
      <c r="L531" s="42"/>
      <c r="M531" s="42" t="str" cm="1">
        <f t="array" ref="M531">IFERROR(_xlfn.FILTERXML("&lt;t&gt;&lt;s&gt;" &amp; SUBSTITUTE(L531," / ","&lt;/s&gt;&lt;s&gt;") &amp; "&lt;/s&gt;&lt;/t&gt;","(//s[contains(.,'DDR')])[1]"),"")</f>
        <v/>
      </c>
      <c r="N531" s="32" t="e">
        <f t="shared" si="26"/>
        <v>#N/A</v>
      </c>
      <c r="O531" s="42" t="e">
        <f>INDEX(Input!$D$2:$AC$500,
       MATCH(B531, Input!$J$2:$J$500, 0),
       MATCH("Disk Interface Type", Input!$D$1:$AC$1, 0))</f>
        <v>#N/A</v>
      </c>
      <c r="P531" s="42" t="str" cm="1">
        <f t="array" ref="P531">IFERROR(_xlfn.TEXTJOIN(", ", TRUE, _xlfn._xlws.FILTER(
    INDEX(Input!$D$2:$AC$500,,MATCH("Disk Capacity",Input!$D$1:$AC$1,0)),
    Input!$J$2:$J$500=B531
)), "")</f>
        <v/>
      </c>
      <c r="Q531" s="32" t="e">
        <f t="shared" si="25"/>
        <v>#N/A</v>
      </c>
      <c r="R531" s="42" t="e">
        <f>_xlfn.LET(_xlpm.Result,INDEX(Input!$D$2:$AC$500,
       MATCH(B531, Input!$J$2:$J$500, 0),
       MATCH("Capacity", Input!$D$1:$AC$1, 0)),IF(_xlpm.Result="","",_xlpm.Result))</f>
        <v>#N/A</v>
      </c>
      <c r="S531" s="42"/>
      <c r="T531" s="42"/>
      <c r="U531" s="42" t="str" cm="1">
        <f t="array" ref="U531">IFERROR(_xlfn.IFS(
S531="","",
--S531&lt;55,"Battery Defect",
--S531&lt;=69,"Battery D",
--S531&lt;=80,"Battery C",
--S531&gt;80,""
),"")</f>
        <v/>
      </c>
      <c r="V531" s="42" t="str" cm="1">
        <f t="array" ref="V531">IFERROR(_xlfn.IFS(
T531="","",
--T531&lt;55,"Battery Defect",
--T531&lt;=69,"Battery D",
--T531&lt;=80,"Battery C",
--T531&gt;80,""
),"")</f>
        <v/>
      </c>
      <c r="W531" s="42"/>
      <c r="X531" s="42"/>
      <c r="Y531" s="42"/>
      <c r="Z531" s="42"/>
      <c r="AA531" s="42"/>
      <c r="AB531" s="42"/>
      <c r="AC531" s="42"/>
      <c r="AD531" s="42"/>
      <c r="AE531" s="32" t="str">
        <f t="shared" si="24"/>
        <v/>
      </c>
      <c r="AF531" s="32"/>
      <c r="AG531" s="32"/>
      <c r="AH531" s="32"/>
      <c r="AI531" s="32"/>
      <c r="AJ531" s="32"/>
      <c r="AK531" s="32"/>
      <c r="AL531" s="32"/>
      <c r="AM531" s="32"/>
    </row>
    <row r="532" spans="1:39">
      <c r="A532" s="32" t="str">
        <f>_xlfn.XLOOKUP(B532,Input!J:J,Input!G:G)&amp;""</f>
        <v/>
      </c>
      <c r="B532" s="32"/>
      <c r="C532" s="32" t="str">
        <f>_xlfn.XLOOKUP(B532,Input!J:J,Input!H:H)&amp;""</f>
        <v/>
      </c>
      <c r="D532" s="42">
        <f>_xlfn.XLOOKUP(B532,Input!J:J,Input!F:F)</f>
        <v>0</v>
      </c>
      <c r="E532" s="32">
        <f>_xlfn.XLOOKUP(D532,Models!H:H,Models!G:G,D532)</f>
        <v>0</v>
      </c>
      <c r="F532" s="32">
        <f>_xlfn.XLOOKUP(B532,Input!J:J,Input!E:E)</f>
        <v>0</v>
      </c>
      <c r="G532" s="32">
        <f>IF(F532="LENOVO",_xlfn.XLOOKUP(B532,Input!J:J,Input!K:K),_xlfn.XLOOKUP(B532,Input!J:J,Input!L:L))</f>
        <v>0</v>
      </c>
      <c r="H532" s="32"/>
      <c r="I532" s="32"/>
      <c r="J532" s="32"/>
      <c r="K532" s="42" t="e">
        <f>INDEX(Input!$D$2:$AC$500,
       MATCH(B532, Input!$J$2:$J$500, 0),
       MATCH("Total Memory", Input!$D$1:$AC$1, 0))</f>
        <v>#N/A</v>
      </c>
      <c r="L532" s="42"/>
      <c r="M532" s="42" t="str" cm="1">
        <f t="array" ref="M532">IFERROR(_xlfn.FILTERXML("&lt;t&gt;&lt;s&gt;" &amp; SUBSTITUTE(L532," / ","&lt;/s&gt;&lt;s&gt;") &amp; "&lt;/s&gt;&lt;/t&gt;","(//s[contains(.,'DDR')])[1]"),"")</f>
        <v/>
      </c>
      <c r="N532" s="32" t="e">
        <f t="shared" si="26"/>
        <v>#N/A</v>
      </c>
      <c r="O532" s="42" t="e">
        <f>INDEX(Input!$D$2:$AC$500,
       MATCH(B532, Input!$J$2:$J$500, 0),
       MATCH("Disk Interface Type", Input!$D$1:$AC$1, 0))</f>
        <v>#N/A</v>
      </c>
      <c r="P532" s="42" t="str" cm="1">
        <f t="array" ref="P532">IFERROR(_xlfn.TEXTJOIN(", ", TRUE, _xlfn._xlws.FILTER(
    INDEX(Input!$D$2:$AC$500,,MATCH("Disk Capacity",Input!$D$1:$AC$1,0)),
    Input!$J$2:$J$500=B532
)), "")</f>
        <v/>
      </c>
      <c r="Q532" s="32" t="e">
        <f t="shared" si="25"/>
        <v>#N/A</v>
      </c>
      <c r="R532" s="42" t="e">
        <f>_xlfn.LET(_xlpm.Result,INDEX(Input!$D$2:$AC$500,
       MATCH(B532, Input!$J$2:$J$500, 0),
       MATCH("Capacity", Input!$D$1:$AC$1, 0)),IF(_xlpm.Result="","",_xlpm.Result))</f>
        <v>#N/A</v>
      </c>
      <c r="S532" s="42"/>
      <c r="T532" s="42"/>
      <c r="U532" s="42" t="str" cm="1">
        <f t="array" ref="U532">IFERROR(_xlfn.IFS(
S532="","",
--S532&lt;55,"Battery Defect",
--S532&lt;=69,"Battery D",
--S532&lt;=80,"Battery C",
--S532&gt;80,""
),"")</f>
        <v/>
      </c>
      <c r="V532" s="42" t="str" cm="1">
        <f t="array" ref="V532">IFERROR(_xlfn.IFS(
T532="","",
--T532&lt;55,"Battery Defect",
--T532&lt;=69,"Battery D",
--T532&lt;=80,"Battery C",
--T532&gt;80,""
),"")</f>
        <v/>
      </c>
      <c r="W532" s="42"/>
      <c r="X532" s="42"/>
      <c r="Y532" s="42"/>
      <c r="Z532" s="42"/>
      <c r="AA532" s="42"/>
      <c r="AB532" s="42"/>
      <c r="AC532" s="42"/>
      <c r="AD532" s="42"/>
      <c r="AE532" s="32" t="str">
        <f t="shared" si="24"/>
        <v/>
      </c>
      <c r="AF532" s="32"/>
      <c r="AG532" s="32"/>
      <c r="AH532" s="32"/>
      <c r="AI532" s="32"/>
      <c r="AJ532" s="32"/>
      <c r="AK532" s="32"/>
      <c r="AL532" s="32"/>
      <c r="AM532" s="32"/>
    </row>
    <row r="533" spans="1:39">
      <c r="A533" s="32" t="str">
        <f>_xlfn.XLOOKUP(B533,Input!J:J,Input!G:G)&amp;""</f>
        <v/>
      </c>
      <c r="B533" s="32"/>
      <c r="C533" s="32" t="str">
        <f>_xlfn.XLOOKUP(B533,Input!J:J,Input!H:H)&amp;""</f>
        <v/>
      </c>
      <c r="D533" s="42">
        <f>_xlfn.XLOOKUP(B533,Input!J:J,Input!F:F)</f>
        <v>0</v>
      </c>
      <c r="E533" s="32">
        <f>_xlfn.XLOOKUP(D533,Models!H:H,Models!G:G,D533)</f>
        <v>0</v>
      </c>
      <c r="F533" s="32">
        <f>_xlfn.XLOOKUP(B533,Input!J:J,Input!E:E)</f>
        <v>0</v>
      </c>
      <c r="G533" s="32">
        <f>IF(F533="LENOVO",_xlfn.XLOOKUP(B533,Input!J:J,Input!K:K),_xlfn.XLOOKUP(B533,Input!J:J,Input!L:L))</f>
        <v>0</v>
      </c>
      <c r="H533" s="32"/>
      <c r="I533" s="32"/>
      <c r="J533" s="32"/>
      <c r="K533" s="42" t="e">
        <f>INDEX(Input!$D$2:$AC$500,
       MATCH(B533, Input!$J$2:$J$500, 0),
       MATCH("Total Memory", Input!$D$1:$AC$1, 0))</f>
        <v>#N/A</v>
      </c>
      <c r="L533" s="42"/>
      <c r="M533" s="42" t="str" cm="1">
        <f t="array" ref="M533">IFERROR(_xlfn.FILTERXML("&lt;t&gt;&lt;s&gt;" &amp; SUBSTITUTE(L533," / ","&lt;/s&gt;&lt;s&gt;") &amp; "&lt;/s&gt;&lt;/t&gt;","(//s[contains(.,'DDR')])[1]"),"")</f>
        <v/>
      </c>
      <c r="N533" s="32" t="e">
        <f t="shared" si="26"/>
        <v>#N/A</v>
      </c>
      <c r="O533" s="42" t="e">
        <f>INDEX(Input!$D$2:$AC$500,
       MATCH(B533, Input!$J$2:$J$500, 0),
       MATCH("Disk Interface Type", Input!$D$1:$AC$1, 0))</f>
        <v>#N/A</v>
      </c>
      <c r="P533" s="42" t="str" cm="1">
        <f t="array" ref="P533">IFERROR(_xlfn.TEXTJOIN(", ", TRUE, _xlfn._xlws.FILTER(
    INDEX(Input!$D$2:$AC$500,,MATCH("Disk Capacity",Input!$D$1:$AC$1,0)),
    Input!$J$2:$J$500=B533
)), "")</f>
        <v/>
      </c>
      <c r="Q533" s="32" t="e">
        <f t="shared" si="25"/>
        <v>#N/A</v>
      </c>
      <c r="R533" s="42" t="e">
        <f>_xlfn.LET(_xlpm.Result,INDEX(Input!$D$2:$AC$500,
       MATCH(B533, Input!$J$2:$J$500, 0),
       MATCH("Capacity", Input!$D$1:$AC$1, 0)),IF(_xlpm.Result="","",_xlpm.Result))</f>
        <v>#N/A</v>
      </c>
      <c r="S533" s="42"/>
      <c r="T533" s="42"/>
      <c r="U533" s="42" t="str" cm="1">
        <f t="array" ref="U533">IFERROR(_xlfn.IFS(
S533="","",
--S533&lt;55,"Battery Defect",
--S533&lt;=69,"Battery D",
--S533&lt;=80,"Battery C",
--S533&gt;80,""
),"")</f>
        <v/>
      </c>
      <c r="V533" s="42" t="str" cm="1">
        <f t="array" ref="V533">IFERROR(_xlfn.IFS(
T533="","",
--T533&lt;55,"Battery Defect",
--T533&lt;=69,"Battery D",
--T533&lt;=80,"Battery C",
--T533&gt;80,""
),"")</f>
        <v/>
      </c>
      <c r="W533" s="42"/>
      <c r="X533" s="42"/>
      <c r="Y533" s="42"/>
      <c r="Z533" s="42"/>
      <c r="AA533" s="42"/>
      <c r="AB533" s="42"/>
      <c r="AC533" s="42"/>
      <c r="AD533" s="42"/>
      <c r="AE533" s="32" t="str">
        <f t="shared" si="24"/>
        <v/>
      </c>
      <c r="AF533" s="32"/>
      <c r="AG533" s="32"/>
      <c r="AH533" s="32"/>
      <c r="AI533" s="32"/>
      <c r="AJ533" s="32"/>
      <c r="AK533" s="32"/>
      <c r="AL533" s="32"/>
      <c r="AM533" s="32"/>
    </row>
    <row r="534" spans="1:39">
      <c r="A534" s="32" t="str">
        <f>_xlfn.XLOOKUP(B534,Input!J:J,Input!G:G)&amp;""</f>
        <v/>
      </c>
      <c r="B534" s="32"/>
      <c r="C534" s="32" t="str">
        <f>_xlfn.XLOOKUP(B534,Input!J:J,Input!H:H)&amp;""</f>
        <v/>
      </c>
      <c r="D534" s="42">
        <f>_xlfn.XLOOKUP(B534,Input!J:J,Input!F:F)</f>
        <v>0</v>
      </c>
      <c r="E534" s="32">
        <f>_xlfn.XLOOKUP(D534,Models!H:H,Models!G:G,D534)</f>
        <v>0</v>
      </c>
      <c r="F534" s="32">
        <f>_xlfn.XLOOKUP(B534,Input!J:J,Input!E:E)</f>
        <v>0</v>
      </c>
      <c r="G534" s="32">
        <f>IF(F534="LENOVO",_xlfn.XLOOKUP(B534,Input!J:J,Input!K:K),_xlfn.XLOOKUP(B534,Input!J:J,Input!L:L))</f>
        <v>0</v>
      </c>
      <c r="H534" s="32"/>
      <c r="I534" s="32"/>
      <c r="J534" s="32"/>
      <c r="K534" s="42" t="e">
        <f>INDEX(Input!$D$2:$AC$500,
       MATCH(B534, Input!$J$2:$J$500, 0),
       MATCH("Total Memory", Input!$D$1:$AC$1, 0))</f>
        <v>#N/A</v>
      </c>
      <c r="L534" s="42"/>
      <c r="M534" s="42" t="str" cm="1">
        <f t="array" ref="M534">IFERROR(_xlfn.FILTERXML("&lt;t&gt;&lt;s&gt;" &amp; SUBSTITUTE(L534," / ","&lt;/s&gt;&lt;s&gt;") &amp; "&lt;/s&gt;&lt;/t&gt;","(//s[contains(.,'DDR')])[1]"),"")</f>
        <v/>
      </c>
      <c r="N534" s="32" t="e">
        <f t="shared" si="26"/>
        <v>#N/A</v>
      </c>
      <c r="O534" s="42" t="e">
        <f>INDEX(Input!$D$2:$AC$500,
       MATCH(B534, Input!$J$2:$J$500, 0),
       MATCH("Disk Interface Type", Input!$D$1:$AC$1, 0))</f>
        <v>#N/A</v>
      </c>
      <c r="P534" s="42" t="str" cm="1">
        <f t="array" ref="P534">IFERROR(_xlfn.TEXTJOIN(", ", TRUE, _xlfn._xlws.FILTER(
    INDEX(Input!$D$2:$AC$500,,MATCH("Disk Capacity",Input!$D$1:$AC$1,0)),
    Input!$J$2:$J$500=B534
)), "")</f>
        <v/>
      </c>
      <c r="Q534" s="32" t="e">
        <f t="shared" si="25"/>
        <v>#N/A</v>
      </c>
      <c r="R534" s="42" t="e">
        <f>_xlfn.LET(_xlpm.Result,INDEX(Input!$D$2:$AC$500,
       MATCH(B534, Input!$J$2:$J$500, 0),
       MATCH("Capacity", Input!$D$1:$AC$1, 0)),IF(_xlpm.Result="","",_xlpm.Result))</f>
        <v>#N/A</v>
      </c>
      <c r="S534" s="42"/>
      <c r="T534" s="42"/>
      <c r="U534" s="42" t="str" cm="1">
        <f t="array" ref="U534">IFERROR(_xlfn.IFS(
S534="","",
--S534&lt;55,"Battery Defect",
--S534&lt;=69,"Battery D",
--S534&lt;=80,"Battery C",
--S534&gt;80,""
),"")</f>
        <v/>
      </c>
      <c r="V534" s="42" t="str" cm="1">
        <f t="array" ref="V534">IFERROR(_xlfn.IFS(
T534="","",
--T534&lt;55,"Battery Defect",
--T534&lt;=69,"Battery D",
--T534&lt;=80,"Battery C",
--T534&gt;80,""
),"")</f>
        <v/>
      </c>
      <c r="W534" s="42"/>
      <c r="X534" s="42"/>
      <c r="Y534" s="42"/>
      <c r="Z534" s="42"/>
      <c r="AA534" s="42"/>
      <c r="AB534" s="42"/>
      <c r="AC534" s="42"/>
      <c r="AD534" s="42"/>
      <c r="AE534" s="32" t="str">
        <f t="shared" si="24"/>
        <v/>
      </c>
      <c r="AF534" s="32"/>
      <c r="AG534" s="32"/>
      <c r="AH534" s="32"/>
      <c r="AI534" s="32"/>
      <c r="AJ534" s="32"/>
      <c r="AK534" s="32"/>
      <c r="AL534" s="32"/>
      <c r="AM534" s="32"/>
    </row>
    <row r="535" spans="1:39">
      <c r="A535" s="32" t="str">
        <f>_xlfn.XLOOKUP(B535,Input!J:J,Input!G:G)&amp;""</f>
        <v/>
      </c>
      <c r="B535" s="32"/>
      <c r="C535" s="32" t="str">
        <f>_xlfn.XLOOKUP(B535,Input!J:J,Input!H:H)&amp;""</f>
        <v/>
      </c>
      <c r="D535" s="42">
        <f>_xlfn.XLOOKUP(B535,Input!J:J,Input!F:F)</f>
        <v>0</v>
      </c>
      <c r="E535" s="32">
        <f>_xlfn.XLOOKUP(D535,Models!H:H,Models!G:G,D535)</f>
        <v>0</v>
      </c>
      <c r="F535" s="32">
        <f>_xlfn.XLOOKUP(B535,Input!J:J,Input!E:E)</f>
        <v>0</v>
      </c>
      <c r="G535" s="32">
        <f>IF(F535="LENOVO",_xlfn.XLOOKUP(B535,Input!J:J,Input!K:K),_xlfn.XLOOKUP(B535,Input!J:J,Input!L:L))</f>
        <v>0</v>
      </c>
      <c r="H535" s="32"/>
      <c r="I535" s="32"/>
      <c r="J535" s="32"/>
      <c r="K535" s="42" t="e">
        <f>INDEX(Input!$D$2:$AC$500,
       MATCH(B535, Input!$J$2:$J$500, 0),
       MATCH("Total Memory", Input!$D$1:$AC$1, 0))</f>
        <v>#N/A</v>
      </c>
      <c r="L535" s="42"/>
      <c r="M535" s="42" t="str" cm="1">
        <f t="array" ref="M535">IFERROR(_xlfn.FILTERXML("&lt;t&gt;&lt;s&gt;" &amp; SUBSTITUTE(L535," / ","&lt;/s&gt;&lt;s&gt;") &amp; "&lt;/s&gt;&lt;/t&gt;","(//s[contains(.,'DDR')])[1]"),"")</f>
        <v/>
      </c>
      <c r="N535" s="32" t="e">
        <f t="shared" si="26"/>
        <v>#N/A</v>
      </c>
      <c r="O535" s="42" t="e">
        <f>INDEX(Input!$D$2:$AC$500,
       MATCH(B535, Input!$J$2:$J$500, 0),
       MATCH("Disk Interface Type", Input!$D$1:$AC$1, 0))</f>
        <v>#N/A</v>
      </c>
      <c r="P535" s="42" t="str" cm="1">
        <f t="array" ref="P535">IFERROR(_xlfn.TEXTJOIN(", ", TRUE, _xlfn._xlws.FILTER(
    INDEX(Input!$D$2:$AC$500,,MATCH("Disk Capacity",Input!$D$1:$AC$1,0)),
    Input!$J$2:$J$500=B535
)), "")</f>
        <v/>
      </c>
      <c r="Q535" s="32" t="e">
        <f t="shared" si="25"/>
        <v>#N/A</v>
      </c>
      <c r="R535" s="42" t="e">
        <f>_xlfn.LET(_xlpm.Result,INDEX(Input!$D$2:$AC$500,
       MATCH(B535, Input!$J$2:$J$500, 0),
       MATCH("Capacity", Input!$D$1:$AC$1, 0)),IF(_xlpm.Result="","",_xlpm.Result))</f>
        <v>#N/A</v>
      </c>
      <c r="S535" s="42"/>
      <c r="T535" s="42"/>
      <c r="U535" s="42" t="str" cm="1">
        <f t="array" ref="U535">IFERROR(_xlfn.IFS(
S535="","",
--S535&lt;55,"Battery Defect",
--S535&lt;=69,"Battery D",
--S535&lt;=80,"Battery C",
--S535&gt;80,""
),"")</f>
        <v/>
      </c>
      <c r="V535" s="42" t="str" cm="1">
        <f t="array" ref="V535">IFERROR(_xlfn.IFS(
T535="","",
--T535&lt;55,"Battery Defect",
--T535&lt;=69,"Battery D",
--T535&lt;=80,"Battery C",
--T535&gt;80,""
),"")</f>
        <v/>
      </c>
      <c r="W535" s="42"/>
      <c r="X535" s="42"/>
      <c r="Y535" s="42"/>
      <c r="Z535" s="42"/>
      <c r="AA535" s="42"/>
      <c r="AB535" s="42"/>
      <c r="AC535" s="42"/>
      <c r="AD535" s="42"/>
      <c r="AE535" s="32" t="str">
        <f t="shared" si="24"/>
        <v/>
      </c>
      <c r="AF535" s="32"/>
      <c r="AG535" s="32"/>
      <c r="AH535" s="32"/>
      <c r="AI535" s="32"/>
      <c r="AJ535" s="32"/>
      <c r="AK535" s="32"/>
      <c r="AL535" s="32"/>
      <c r="AM535" s="32"/>
    </row>
    <row r="536" spans="1:39">
      <c r="A536" s="32" t="str">
        <f>_xlfn.XLOOKUP(B536,Input!J:J,Input!G:G)&amp;""</f>
        <v/>
      </c>
      <c r="B536" s="32"/>
      <c r="C536" s="32" t="str">
        <f>_xlfn.XLOOKUP(B536,Input!J:J,Input!H:H)&amp;""</f>
        <v/>
      </c>
      <c r="D536" s="42">
        <f>_xlfn.XLOOKUP(B536,Input!J:J,Input!F:F)</f>
        <v>0</v>
      </c>
      <c r="E536" s="32">
        <f>_xlfn.XLOOKUP(D536,Models!H:H,Models!G:G,D536)</f>
        <v>0</v>
      </c>
      <c r="F536" s="32">
        <f>_xlfn.XLOOKUP(B536,Input!J:J,Input!E:E)</f>
        <v>0</v>
      </c>
      <c r="G536" s="32">
        <f>IF(F536="LENOVO",_xlfn.XLOOKUP(B536,Input!J:J,Input!K:K),_xlfn.XLOOKUP(B536,Input!J:J,Input!L:L))</f>
        <v>0</v>
      </c>
      <c r="H536" s="32"/>
      <c r="I536" s="32"/>
      <c r="J536" s="32"/>
      <c r="K536" s="42" t="e">
        <f>INDEX(Input!$D$2:$AC$500,
       MATCH(B536, Input!$J$2:$J$500, 0),
       MATCH("Total Memory", Input!$D$1:$AC$1, 0))</f>
        <v>#N/A</v>
      </c>
      <c r="L536" s="42"/>
      <c r="M536" s="42" t="str" cm="1">
        <f t="array" ref="M536">IFERROR(_xlfn.FILTERXML("&lt;t&gt;&lt;s&gt;" &amp; SUBSTITUTE(L536," / ","&lt;/s&gt;&lt;s&gt;") &amp; "&lt;/s&gt;&lt;/t&gt;","(//s[contains(.,'DDR')])[1]"),"")</f>
        <v/>
      </c>
      <c r="N536" s="32" t="e">
        <f t="shared" si="26"/>
        <v>#N/A</v>
      </c>
      <c r="O536" s="42" t="e">
        <f>INDEX(Input!$D$2:$AC$500,
       MATCH(B536, Input!$J$2:$J$500, 0),
       MATCH("Disk Interface Type", Input!$D$1:$AC$1, 0))</f>
        <v>#N/A</v>
      </c>
      <c r="P536" s="42" t="str" cm="1">
        <f t="array" ref="P536">IFERROR(_xlfn.TEXTJOIN(", ", TRUE, _xlfn._xlws.FILTER(
    INDEX(Input!$D$2:$AC$500,,MATCH("Disk Capacity",Input!$D$1:$AC$1,0)),
    Input!$J$2:$J$500=B536
)), "")</f>
        <v/>
      </c>
      <c r="Q536" s="32" t="e">
        <f t="shared" si="25"/>
        <v>#N/A</v>
      </c>
      <c r="R536" s="42" t="e">
        <f>_xlfn.LET(_xlpm.Result,INDEX(Input!$D$2:$AC$500,
       MATCH(B536, Input!$J$2:$J$500, 0),
       MATCH("Capacity", Input!$D$1:$AC$1, 0)),IF(_xlpm.Result="","",_xlpm.Result))</f>
        <v>#N/A</v>
      </c>
      <c r="S536" s="42"/>
      <c r="T536" s="42"/>
      <c r="U536" s="42" t="str" cm="1">
        <f t="array" ref="U536">IFERROR(_xlfn.IFS(
S536="","",
--S536&lt;55,"Battery Defect",
--S536&lt;=69,"Battery D",
--S536&lt;=80,"Battery C",
--S536&gt;80,""
),"")</f>
        <v/>
      </c>
      <c r="V536" s="42" t="str" cm="1">
        <f t="array" ref="V536">IFERROR(_xlfn.IFS(
T536="","",
--T536&lt;55,"Battery Defect",
--T536&lt;=69,"Battery D",
--T536&lt;=80,"Battery C",
--T536&gt;80,""
),"")</f>
        <v/>
      </c>
      <c r="W536" s="42"/>
      <c r="X536" s="42"/>
      <c r="Y536" s="42"/>
      <c r="Z536" s="42"/>
      <c r="AA536" s="42"/>
      <c r="AB536" s="42"/>
      <c r="AC536" s="42"/>
      <c r="AD536" s="42"/>
      <c r="AE536" s="32" t="str">
        <f t="shared" si="24"/>
        <v/>
      </c>
      <c r="AF536" s="32"/>
      <c r="AG536" s="32"/>
      <c r="AH536" s="32"/>
      <c r="AI536" s="32"/>
      <c r="AJ536" s="32"/>
      <c r="AK536" s="32"/>
      <c r="AL536" s="32"/>
      <c r="AM536" s="32"/>
    </row>
    <row r="537" spans="1:39">
      <c r="A537" s="32" t="str">
        <f>_xlfn.XLOOKUP(B537,Input!J:J,Input!G:G)&amp;""</f>
        <v/>
      </c>
      <c r="B537" s="32"/>
      <c r="C537" s="32" t="str">
        <f>_xlfn.XLOOKUP(B537,Input!J:J,Input!H:H)&amp;""</f>
        <v/>
      </c>
      <c r="D537" s="42">
        <f>_xlfn.XLOOKUP(B537,Input!J:J,Input!F:F)</f>
        <v>0</v>
      </c>
      <c r="E537" s="32">
        <f>_xlfn.XLOOKUP(D537,Models!H:H,Models!G:G,D537)</f>
        <v>0</v>
      </c>
      <c r="F537" s="32">
        <f>_xlfn.XLOOKUP(B537,Input!J:J,Input!E:E)</f>
        <v>0</v>
      </c>
      <c r="G537" s="32">
        <f>IF(F537="LENOVO",_xlfn.XLOOKUP(B537,Input!J:J,Input!K:K),_xlfn.XLOOKUP(B537,Input!J:J,Input!L:L))</f>
        <v>0</v>
      </c>
      <c r="H537" s="32"/>
      <c r="I537" s="32"/>
      <c r="J537" s="32"/>
      <c r="K537" s="42" t="e">
        <f>INDEX(Input!$D$2:$AC$500,
       MATCH(B537, Input!$J$2:$J$500, 0),
       MATCH("Total Memory", Input!$D$1:$AC$1, 0))</f>
        <v>#N/A</v>
      </c>
      <c r="L537" s="42"/>
      <c r="M537" s="42" t="str" cm="1">
        <f t="array" ref="M537">IFERROR(_xlfn.FILTERXML("&lt;t&gt;&lt;s&gt;" &amp; SUBSTITUTE(L537," / ","&lt;/s&gt;&lt;s&gt;") &amp; "&lt;/s&gt;&lt;/t&gt;","(//s[contains(.,'DDR')])[1]"),"")</f>
        <v/>
      </c>
      <c r="N537" s="32" t="e">
        <f t="shared" si="26"/>
        <v>#N/A</v>
      </c>
      <c r="O537" s="42" t="e">
        <f>INDEX(Input!$D$2:$AC$500,
       MATCH(B537, Input!$J$2:$J$500, 0),
       MATCH("Disk Interface Type", Input!$D$1:$AC$1, 0))</f>
        <v>#N/A</v>
      </c>
      <c r="P537" s="42" t="str" cm="1">
        <f t="array" ref="P537">IFERROR(_xlfn.TEXTJOIN(", ", TRUE, _xlfn._xlws.FILTER(
    INDEX(Input!$D$2:$AC$500,,MATCH("Disk Capacity",Input!$D$1:$AC$1,0)),
    Input!$J$2:$J$500=B537
)), "")</f>
        <v/>
      </c>
      <c r="Q537" s="32" t="e">
        <f t="shared" si="25"/>
        <v>#N/A</v>
      </c>
      <c r="R537" s="42" t="e">
        <f>_xlfn.LET(_xlpm.Result,INDEX(Input!$D$2:$AC$500,
       MATCH(B537, Input!$J$2:$J$500, 0),
       MATCH("Capacity", Input!$D$1:$AC$1, 0)),IF(_xlpm.Result="","",_xlpm.Result))</f>
        <v>#N/A</v>
      </c>
      <c r="S537" s="42"/>
      <c r="T537" s="42"/>
      <c r="U537" s="42" t="str" cm="1">
        <f t="array" ref="U537">IFERROR(_xlfn.IFS(
S537="","",
--S537&lt;55,"Battery Defect",
--S537&lt;=69,"Battery D",
--S537&lt;=80,"Battery C",
--S537&gt;80,""
),"")</f>
        <v/>
      </c>
      <c r="V537" s="42" t="str" cm="1">
        <f t="array" ref="V537">IFERROR(_xlfn.IFS(
T537="","",
--T537&lt;55,"Battery Defect",
--T537&lt;=69,"Battery D",
--T537&lt;=80,"Battery C",
--T537&gt;80,""
),"")</f>
        <v/>
      </c>
      <c r="W537" s="42"/>
      <c r="X537" s="42"/>
      <c r="Y537" s="42"/>
      <c r="Z537" s="42"/>
      <c r="AA537" s="42"/>
      <c r="AB537" s="42"/>
      <c r="AC537" s="42"/>
      <c r="AD537" s="42"/>
      <c r="AE537" s="32" t="str">
        <f t="shared" si="24"/>
        <v/>
      </c>
      <c r="AF537" s="32"/>
      <c r="AG537" s="32"/>
      <c r="AH537" s="32"/>
      <c r="AI537" s="32"/>
      <c r="AJ537" s="32"/>
      <c r="AK537" s="32"/>
      <c r="AL537" s="32"/>
      <c r="AM537" s="32"/>
    </row>
    <row r="538" spans="1:39">
      <c r="A538" s="32" t="str">
        <f>_xlfn.XLOOKUP(B538,Input!J:J,Input!G:G)&amp;""</f>
        <v/>
      </c>
      <c r="B538" s="32"/>
      <c r="C538" s="32" t="str">
        <f>_xlfn.XLOOKUP(B538,Input!J:J,Input!H:H)&amp;""</f>
        <v/>
      </c>
      <c r="D538" s="42">
        <f>_xlfn.XLOOKUP(B538,Input!J:J,Input!F:F)</f>
        <v>0</v>
      </c>
      <c r="E538" s="32">
        <f>_xlfn.XLOOKUP(D538,Models!H:H,Models!G:G,D538)</f>
        <v>0</v>
      </c>
      <c r="F538" s="32">
        <f>_xlfn.XLOOKUP(B538,Input!J:J,Input!E:E)</f>
        <v>0</v>
      </c>
      <c r="G538" s="32">
        <f>IF(F538="LENOVO",_xlfn.XLOOKUP(B538,Input!J:J,Input!K:K),_xlfn.XLOOKUP(B538,Input!J:J,Input!L:L))</f>
        <v>0</v>
      </c>
      <c r="H538" s="32"/>
      <c r="I538" s="32"/>
      <c r="J538" s="32"/>
      <c r="K538" s="42" t="e">
        <f>INDEX(Input!$D$2:$AC$500,
       MATCH(B538, Input!$J$2:$J$500, 0),
       MATCH("Total Memory", Input!$D$1:$AC$1, 0))</f>
        <v>#N/A</v>
      </c>
      <c r="L538" s="42"/>
      <c r="M538" s="42" t="str" cm="1">
        <f t="array" ref="M538">IFERROR(_xlfn.FILTERXML("&lt;t&gt;&lt;s&gt;" &amp; SUBSTITUTE(L538," / ","&lt;/s&gt;&lt;s&gt;") &amp; "&lt;/s&gt;&lt;/t&gt;","(//s[contains(.,'DDR')])[1]"),"")</f>
        <v/>
      </c>
      <c r="N538" s="32" t="e">
        <f t="shared" si="26"/>
        <v>#N/A</v>
      </c>
      <c r="O538" s="42" t="e">
        <f>INDEX(Input!$D$2:$AC$500,
       MATCH(B538, Input!$J$2:$J$500, 0),
       MATCH("Disk Interface Type", Input!$D$1:$AC$1, 0))</f>
        <v>#N/A</v>
      </c>
      <c r="P538" s="42" t="str" cm="1">
        <f t="array" ref="P538">IFERROR(_xlfn.TEXTJOIN(", ", TRUE, _xlfn._xlws.FILTER(
    INDEX(Input!$D$2:$AC$500,,MATCH("Disk Capacity",Input!$D$1:$AC$1,0)),
    Input!$J$2:$J$500=B538
)), "")</f>
        <v/>
      </c>
      <c r="Q538" s="32" t="e">
        <f t="shared" si="25"/>
        <v>#N/A</v>
      </c>
      <c r="R538" s="42" t="e">
        <f>_xlfn.LET(_xlpm.Result,INDEX(Input!$D$2:$AC$500,
       MATCH(B538, Input!$J$2:$J$500, 0),
       MATCH("Capacity", Input!$D$1:$AC$1, 0)),IF(_xlpm.Result="","",_xlpm.Result))</f>
        <v>#N/A</v>
      </c>
      <c r="S538" s="42"/>
      <c r="T538" s="42"/>
      <c r="U538" s="42" t="str" cm="1">
        <f t="array" ref="U538">IFERROR(_xlfn.IFS(
S538="","",
--S538&lt;55,"Battery Defect",
--S538&lt;=69,"Battery D",
--S538&lt;=80,"Battery C",
--S538&gt;80,""
),"")</f>
        <v/>
      </c>
      <c r="V538" s="42" t="str" cm="1">
        <f t="array" ref="V538">IFERROR(_xlfn.IFS(
T538="","",
--T538&lt;55,"Battery Defect",
--T538&lt;=69,"Battery D",
--T538&lt;=80,"Battery C",
--T538&gt;80,""
),"")</f>
        <v/>
      </c>
      <c r="W538" s="42"/>
      <c r="X538" s="42"/>
      <c r="Y538" s="42"/>
      <c r="Z538" s="42"/>
      <c r="AA538" s="42"/>
      <c r="AB538" s="42"/>
      <c r="AC538" s="42"/>
      <c r="AD538" s="42"/>
      <c r="AE538" s="32" t="str">
        <f t="shared" si="24"/>
        <v/>
      </c>
      <c r="AF538" s="32"/>
      <c r="AG538" s="32"/>
      <c r="AH538" s="32"/>
      <c r="AI538" s="32"/>
      <c r="AJ538" s="32"/>
      <c r="AK538" s="32"/>
      <c r="AL538" s="32"/>
      <c r="AM538" s="32"/>
    </row>
    <row r="539" spans="1:39">
      <c r="A539" s="32" t="str">
        <f>_xlfn.XLOOKUP(B539,Input!J:J,Input!G:G)&amp;""</f>
        <v/>
      </c>
      <c r="B539" s="32"/>
      <c r="C539" s="32" t="str">
        <f>_xlfn.XLOOKUP(B539,Input!J:J,Input!H:H)&amp;""</f>
        <v/>
      </c>
      <c r="D539" s="42">
        <f>_xlfn.XLOOKUP(B539,Input!J:J,Input!F:F)</f>
        <v>0</v>
      </c>
      <c r="E539" s="32">
        <f>_xlfn.XLOOKUP(D539,Models!H:H,Models!G:G,D539)</f>
        <v>0</v>
      </c>
      <c r="F539" s="32">
        <f>_xlfn.XLOOKUP(B539,Input!J:J,Input!E:E)</f>
        <v>0</v>
      </c>
      <c r="G539" s="32">
        <f>IF(F539="LENOVO",_xlfn.XLOOKUP(B539,Input!J:J,Input!K:K),_xlfn.XLOOKUP(B539,Input!J:J,Input!L:L))</f>
        <v>0</v>
      </c>
      <c r="H539" s="32"/>
      <c r="I539" s="32"/>
      <c r="J539" s="32"/>
      <c r="K539" s="42" t="e">
        <f>INDEX(Input!$D$2:$AC$500,
       MATCH(B539, Input!$J$2:$J$500, 0),
       MATCH("Total Memory", Input!$D$1:$AC$1, 0))</f>
        <v>#N/A</v>
      </c>
      <c r="L539" s="42"/>
      <c r="M539" s="42" t="str" cm="1">
        <f t="array" ref="M539">IFERROR(_xlfn.FILTERXML("&lt;t&gt;&lt;s&gt;" &amp; SUBSTITUTE(L539," / ","&lt;/s&gt;&lt;s&gt;") &amp; "&lt;/s&gt;&lt;/t&gt;","(//s[contains(.,'DDR')])[1]"),"")</f>
        <v/>
      </c>
      <c r="N539" s="32" t="e">
        <f t="shared" si="26"/>
        <v>#N/A</v>
      </c>
      <c r="O539" s="42" t="e">
        <f>INDEX(Input!$D$2:$AC$500,
       MATCH(B539, Input!$J$2:$J$500, 0),
       MATCH("Disk Interface Type", Input!$D$1:$AC$1, 0))</f>
        <v>#N/A</v>
      </c>
      <c r="P539" s="42" t="str" cm="1">
        <f t="array" ref="P539">IFERROR(_xlfn.TEXTJOIN(", ", TRUE, _xlfn._xlws.FILTER(
    INDEX(Input!$D$2:$AC$500,,MATCH("Disk Capacity",Input!$D$1:$AC$1,0)),
    Input!$J$2:$J$500=B539
)), "")</f>
        <v/>
      </c>
      <c r="Q539" s="32" t="e">
        <f t="shared" si="25"/>
        <v>#N/A</v>
      </c>
      <c r="R539" s="42" t="e">
        <f>_xlfn.LET(_xlpm.Result,INDEX(Input!$D$2:$AC$500,
       MATCH(B539, Input!$J$2:$J$500, 0),
       MATCH("Capacity", Input!$D$1:$AC$1, 0)),IF(_xlpm.Result="","",_xlpm.Result))</f>
        <v>#N/A</v>
      </c>
      <c r="S539" s="42"/>
      <c r="T539" s="42"/>
      <c r="U539" s="42" t="str" cm="1">
        <f t="array" ref="U539">IFERROR(_xlfn.IFS(
S539="","",
--S539&lt;55,"Battery Defect",
--S539&lt;=69,"Battery D",
--S539&lt;=80,"Battery C",
--S539&gt;80,""
),"")</f>
        <v/>
      </c>
      <c r="V539" s="42" t="str" cm="1">
        <f t="array" ref="V539">IFERROR(_xlfn.IFS(
T539="","",
--T539&lt;55,"Battery Defect",
--T539&lt;=69,"Battery D",
--T539&lt;=80,"Battery C",
--T539&gt;80,""
),"")</f>
        <v/>
      </c>
      <c r="W539" s="42"/>
      <c r="X539" s="42"/>
      <c r="Y539" s="42"/>
      <c r="Z539" s="42"/>
      <c r="AA539" s="42"/>
      <c r="AB539" s="42"/>
      <c r="AC539" s="42"/>
      <c r="AD539" s="42"/>
      <c r="AE539" s="32" t="str">
        <f t="shared" si="24"/>
        <v/>
      </c>
      <c r="AF539" s="32"/>
      <c r="AG539" s="32"/>
      <c r="AH539" s="32"/>
      <c r="AI539" s="32"/>
      <c r="AJ539" s="32"/>
      <c r="AK539" s="32"/>
      <c r="AL539" s="32"/>
      <c r="AM539" s="32"/>
    </row>
    <row r="540" spans="1:39">
      <c r="A540" s="32" t="str">
        <f>_xlfn.XLOOKUP(B540,Input!J:J,Input!G:G)&amp;""</f>
        <v/>
      </c>
      <c r="B540" s="32"/>
      <c r="C540" s="32" t="str">
        <f>_xlfn.XLOOKUP(B540,Input!J:J,Input!H:H)&amp;""</f>
        <v/>
      </c>
      <c r="D540" s="42">
        <f>_xlfn.XLOOKUP(B540,Input!J:J,Input!F:F)</f>
        <v>0</v>
      </c>
      <c r="E540" s="32">
        <f>_xlfn.XLOOKUP(D540,Models!H:H,Models!G:G,D540)</f>
        <v>0</v>
      </c>
      <c r="F540" s="32">
        <f>_xlfn.XLOOKUP(B540,Input!J:J,Input!E:E)</f>
        <v>0</v>
      </c>
      <c r="G540" s="32">
        <f>IF(F540="LENOVO",_xlfn.XLOOKUP(B540,Input!J:J,Input!K:K),_xlfn.XLOOKUP(B540,Input!J:J,Input!L:L))</f>
        <v>0</v>
      </c>
      <c r="H540" s="32"/>
      <c r="I540" s="32"/>
      <c r="J540" s="32"/>
      <c r="K540" s="42" t="e">
        <f>INDEX(Input!$D$2:$AC$500,
       MATCH(B540, Input!$J$2:$J$500, 0),
       MATCH("Total Memory", Input!$D$1:$AC$1, 0))</f>
        <v>#N/A</v>
      </c>
      <c r="L540" s="42"/>
      <c r="M540" s="42" t="str" cm="1">
        <f t="array" ref="M540">IFERROR(_xlfn.FILTERXML("&lt;t&gt;&lt;s&gt;" &amp; SUBSTITUTE(L540," / ","&lt;/s&gt;&lt;s&gt;") &amp; "&lt;/s&gt;&lt;/t&gt;","(//s[contains(.,'DDR')])[1]"),"")</f>
        <v/>
      </c>
      <c r="N540" s="32" t="e">
        <f t="shared" si="26"/>
        <v>#N/A</v>
      </c>
      <c r="O540" s="42" t="e">
        <f>INDEX(Input!$D$2:$AC$500,
       MATCH(B540, Input!$J$2:$J$500, 0),
       MATCH("Disk Interface Type", Input!$D$1:$AC$1, 0))</f>
        <v>#N/A</v>
      </c>
      <c r="P540" s="42" t="str" cm="1">
        <f t="array" ref="P540">IFERROR(_xlfn.TEXTJOIN(", ", TRUE, _xlfn._xlws.FILTER(
    INDEX(Input!$D$2:$AC$500,,MATCH("Disk Capacity",Input!$D$1:$AC$1,0)),
    Input!$J$2:$J$500=B540
)), "")</f>
        <v/>
      </c>
      <c r="Q540" s="32" t="e">
        <f t="shared" si="25"/>
        <v>#N/A</v>
      </c>
      <c r="R540" s="42" t="e">
        <f>_xlfn.LET(_xlpm.Result,INDEX(Input!$D$2:$AC$500,
       MATCH(B540, Input!$J$2:$J$500, 0),
       MATCH("Capacity", Input!$D$1:$AC$1, 0)),IF(_xlpm.Result="","",_xlpm.Result))</f>
        <v>#N/A</v>
      </c>
      <c r="S540" s="42"/>
      <c r="T540" s="42"/>
      <c r="U540" s="42" t="str" cm="1">
        <f t="array" ref="U540">IFERROR(_xlfn.IFS(
S540="","",
--S540&lt;55,"Battery Defect",
--S540&lt;=69,"Battery D",
--S540&lt;=80,"Battery C",
--S540&gt;80,""
),"")</f>
        <v/>
      </c>
      <c r="V540" s="42" t="str" cm="1">
        <f t="array" ref="V540">IFERROR(_xlfn.IFS(
T540="","",
--T540&lt;55,"Battery Defect",
--T540&lt;=69,"Battery D",
--T540&lt;=80,"Battery C",
--T540&gt;80,""
),"")</f>
        <v/>
      </c>
      <c r="W540" s="42"/>
      <c r="X540" s="42"/>
      <c r="Y540" s="42"/>
      <c r="Z540" s="42"/>
      <c r="AA540" s="42"/>
      <c r="AB540" s="42"/>
      <c r="AC540" s="42"/>
      <c r="AD540" s="42"/>
      <c r="AE540" s="32" t="str">
        <f t="shared" si="24"/>
        <v/>
      </c>
      <c r="AF540" s="32"/>
      <c r="AG540" s="32"/>
      <c r="AH540" s="32"/>
      <c r="AI540" s="32"/>
      <c r="AJ540" s="32"/>
      <c r="AK540" s="32"/>
      <c r="AL540" s="32"/>
      <c r="AM540" s="32"/>
    </row>
    <row r="541" spans="1:39">
      <c r="A541" s="32" t="str">
        <f>_xlfn.XLOOKUP(B541,Input!J:J,Input!G:G)&amp;""</f>
        <v/>
      </c>
      <c r="B541" s="32"/>
      <c r="C541" s="32" t="str">
        <f>_xlfn.XLOOKUP(B541,Input!J:J,Input!H:H)&amp;""</f>
        <v/>
      </c>
      <c r="D541" s="42">
        <f>_xlfn.XLOOKUP(B541,Input!J:J,Input!F:F)</f>
        <v>0</v>
      </c>
      <c r="E541" s="32">
        <f>_xlfn.XLOOKUP(D541,Models!H:H,Models!G:G,D541)</f>
        <v>0</v>
      </c>
      <c r="F541" s="32">
        <f>_xlfn.XLOOKUP(B541,Input!J:J,Input!E:E)</f>
        <v>0</v>
      </c>
      <c r="G541" s="32">
        <f>IF(F541="LENOVO",_xlfn.XLOOKUP(B541,Input!J:J,Input!K:K),_xlfn.XLOOKUP(B541,Input!J:J,Input!L:L))</f>
        <v>0</v>
      </c>
      <c r="H541" s="32"/>
      <c r="I541" s="32"/>
      <c r="J541" s="32"/>
      <c r="K541" s="42" t="e">
        <f>INDEX(Input!$D$2:$AC$500,
       MATCH(B541, Input!$J$2:$J$500, 0),
       MATCH("Total Memory", Input!$D$1:$AC$1, 0))</f>
        <v>#N/A</v>
      </c>
      <c r="L541" s="42"/>
      <c r="M541" s="42" t="str" cm="1">
        <f t="array" ref="M541">IFERROR(_xlfn.FILTERXML("&lt;t&gt;&lt;s&gt;" &amp; SUBSTITUTE(L541," / ","&lt;/s&gt;&lt;s&gt;") &amp; "&lt;/s&gt;&lt;/t&gt;","(//s[contains(.,'DDR')])[1]"),"")</f>
        <v/>
      </c>
      <c r="N541" s="32" t="e">
        <f t="shared" si="26"/>
        <v>#N/A</v>
      </c>
      <c r="O541" s="42" t="e">
        <f>INDEX(Input!$D$2:$AC$500,
       MATCH(B541, Input!$J$2:$J$500, 0),
       MATCH("Disk Interface Type", Input!$D$1:$AC$1, 0))</f>
        <v>#N/A</v>
      </c>
      <c r="P541" s="42" t="str" cm="1">
        <f t="array" ref="P541">IFERROR(_xlfn.TEXTJOIN(", ", TRUE, _xlfn._xlws.FILTER(
    INDEX(Input!$D$2:$AC$500,,MATCH("Disk Capacity",Input!$D$1:$AC$1,0)),
    Input!$J$2:$J$500=B541
)), "")</f>
        <v/>
      </c>
      <c r="Q541" s="32" t="e">
        <f t="shared" si="25"/>
        <v>#N/A</v>
      </c>
      <c r="R541" s="42" t="e">
        <f>_xlfn.LET(_xlpm.Result,INDEX(Input!$D$2:$AC$500,
       MATCH(B541, Input!$J$2:$J$500, 0),
       MATCH("Capacity", Input!$D$1:$AC$1, 0)),IF(_xlpm.Result="","",_xlpm.Result))</f>
        <v>#N/A</v>
      </c>
      <c r="S541" s="42"/>
      <c r="T541" s="42"/>
      <c r="U541" s="42" t="str" cm="1">
        <f t="array" ref="U541">IFERROR(_xlfn.IFS(
S541="","",
--S541&lt;55,"Battery Defect",
--S541&lt;=69,"Battery D",
--S541&lt;=80,"Battery C",
--S541&gt;80,""
),"")</f>
        <v/>
      </c>
      <c r="V541" s="42" t="str" cm="1">
        <f t="array" ref="V541">IFERROR(_xlfn.IFS(
T541="","",
--T541&lt;55,"Battery Defect",
--T541&lt;=69,"Battery D",
--T541&lt;=80,"Battery C",
--T541&gt;80,""
),"")</f>
        <v/>
      </c>
      <c r="W541" s="42"/>
      <c r="X541" s="42"/>
      <c r="Y541" s="42"/>
      <c r="Z541" s="42"/>
      <c r="AA541" s="42"/>
      <c r="AB541" s="42"/>
      <c r="AC541" s="42"/>
      <c r="AD541" s="42"/>
      <c r="AE541" s="32" t="str">
        <f t="shared" si="24"/>
        <v/>
      </c>
      <c r="AF541" s="32"/>
      <c r="AG541" s="32"/>
      <c r="AH541" s="32"/>
      <c r="AI541" s="32"/>
      <c r="AJ541" s="32"/>
      <c r="AK541" s="32"/>
      <c r="AL541" s="32"/>
      <c r="AM541" s="32"/>
    </row>
    <row r="542" spans="1:39">
      <c r="A542" s="32" t="str">
        <f>_xlfn.XLOOKUP(B542,Input!J:J,Input!G:G)&amp;""</f>
        <v/>
      </c>
      <c r="B542" s="32"/>
      <c r="C542" s="32" t="str">
        <f>_xlfn.XLOOKUP(B542,Input!J:J,Input!H:H)&amp;""</f>
        <v/>
      </c>
      <c r="D542" s="42">
        <f>_xlfn.XLOOKUP(B542,Input!J:J,Input!F:F)</f>
        <v>0</v>
      </c>
      <c r="E542" s="32">
        <f>_xlfn.XLOOKUP(D542,Models!H:H,Models!G:G,D542)</f>
        <v>0</v>
      </c>
      <c r="F542" s="32">
        <f>_xlfn.XLOOKUP(B542,Input!J:J,Input!E:E)</f>
        <v>0</v>
      </c>
      <c r="G542" s="32">
        <f>IF(F542="LENOVO",_xlfn.XLOOKUP(B542,Input!J:J,Input!K:K),_xlfn.XLOOKUP(B542,Input!J:J,Input!L:L))</f>
        <v>0</v>
      </c>
      <c r="H542" s="32"/>
      <c r="I542" s="32"/>
      <c r="J542" s="32"/>
      <c r="K542" s="42" t="e">
        <f>INDEX(Input!$D$2:$AC$500,
       MATCH(B542, Input!$J$2:$J$500, 0),
       MATCH("Total Memory", Input!$D$1:$AC$1, 0))</f>
        <v>#N/A</v>
      </c>
      <c r="L542" s="42"/>
      <c r="M542" s="42" t="str" cm="1">
        <f t="array" ref="M542">IFERROR(_xlfn.FILTERXML("&lt;t&gt;&lt;s&gt;" &amp; SUBSTITUTE(L542," / ","&lt;/s&gt;&lt;s&gt;") &amp; "&lt;/s&gt;&lt;/t&gt;","(//s[contains(.,'DDR')])[1]"),"")</f>
        <v/>
      </c>
      <c r="N542" s="32" t="e">
        <f t="shared" si="26"/>
        <v>#N/A</v>
      </c>
      <c r="O542" s="42" t="e">
        <f>INDEX(Input!$D$2:$AC$500,
       MATCH(B542, Input!$J$2:$J$500, 0),
       MATCH("Disk Interface Type", Input!$D$1:$AC$1, 0))</f>
        <v>#N/A</v>
      </c>
      <c r="P542" s="42" t="str" cm="1">
        <f t="array" ref="P542">IFERROR(_xlfn.TEXTJOIN(", ", TRUE, _xlfn._xlws.FILTER(
    INDEX(Input!$D$2:$AC$500,,MATCH("Disk Capacity",Input!$D$1:$AC$1,0)),
    Input!$J$2:$J$500=B542
)), "")</f>
        <v/>
      </c>
      <c r="Q542" s="32" t="e">
        <f t="shared" si="25"/>
        <v>#N/A</v>
      </c>
      <c r="R542" s="42" t="e">
        <f>_xlfn.LET(_xlpm.Result,INDEX(Input!$D$2:$AC$500,
       MATCH(B542, Input!$J$2:$J$500, 0),
       MATCH("Capacity", Input!$D$1:$AC$1, 0)),IF(_xlpm.Result="","",_xlpm.Result))</f>
        <v>#N/A</v>
      </c>
      <c r="S542" s="42"/>
      <c r="T542" s="42"/>
      <c r="U542" s="42" t="str" cm="1">
        <f t="array" ref="U542">IFERROR(_xlfn.IFS(
S542="","",
--S542&lt;55,"Battery Defect",
--S542&lt;=69,"Battery D",
--S542&lt;=80,"Battery C",
--S542&gt;80,""
),"")</f>
        <v/>
      </c>
      <c r="V542" s="42" t="str" cm="1">
        <f t="array" ref="V542">IFERROR(_xlfn.IFS(
T542="","",
--T542&lt;55,"Battery Defect",
--T542&lt;=69,"Battery D",
--T542&lt;=80,"Battery C",
--T542&gt;80,""
),"")</f>
        <v/>
      </c>
      <c r="W542" s="42"/>
      <c r="X542" s="42"/>
      <c r="Y542" s="42"/>
      <c r="Z542" s="42"/>
      <c r="AA542" s="42"/>
      <c r="AB542" s="42"/>
      <c r="AC542" s="42"/>
      <c r="AD542" s="42"/>
      <c r="AE542" s="32" t="str">
        <f t="shared" si="24"/>
        <v/>
      </c>
      <c r="AF542" s="32"/>
      <c r="AG542" s="32"/>
      <c r="AH542" s="32"/>
      <c r="AI542" s="32"/>
      <c r="AJ542" s="32"/>
      <c r="AK542" s="32"/>
      <c r="AL542" s="32"/>
      <c r="AM542" s="32"/>
    </row>
    <row r="543" spans="1:39">
      <c r="A543" s="32" t="str">
        <f>_xlfn.XLOOKUP(B543,Input!J:J,Input!G:G)&amp;""</f>
        <v/>
      </c>
      <c r="B543" s="32"/>
      <c r="C543" s="32" t="str">
        <f>_xlfn.XLOOKUP(B543,Input!J:J,Input!H:H)&amp;""</f>
        <v/>
      </c>
      <c r="D543" s="42">
        <f>_xlfn.XLOOKUP(B543,Input!J:J,Input!F:F)</f>
        <v>0</v>
      </c>
      <c r="E543" s="32">
        <f>_xlfn.XLOOKUP(D543,Models!H:H,Models!G:G,D543)</f>
        <v>0</v>
      </c>
      <c r="F543" s="32">
        <f>_xlfn.XLOOKUP(B543,Input!J:J,Input!E:E)</f>
        <v>0</v>
      </c>
      <c r="G543" s="32">
        <f>IF(F543="LENOVO",_xlfn.XLOOKUP(B543,Input!J:J,Input!K:K),_xlfn.XLOOKUP(B543,Input!J:J,Input!L:L))</f>
        <v>0</v>
      </c>
      <c r="H543" s="32"/>
      <c r="I543" s="32"/>
      <c r="J543" s="32"/>
      <c r="K543" s="42" t="e">
        <f>INDEX(Input!$D$2:$AC$500,
       MATCH(B543, Input!$J$2:$J$500, 0),
       MATCH("Total Memory", Input!$D$1:$AC$1, 0))</f>
        <v>#N/A</v>
      </c>
      <c r="L543" s="42"/>
      <c r="M543" s="42" t="str" cm="1">
        <f t="array" ref="M543">IFERROR(_xlfn.FILTERXML("&lt;t&gt;&lt;s&gt;" &amp; SUBSTITUTE(L543," / ","&lt;/s&gt;&lt;s&gt;") &amp; "&lt;/s&gt;&lt;/t&gt;","(//s[contains(.,'DDR')])[1]"),"")</f>
        <v/>
      </c>
      <c r="N543" s="32" t="e">
        <f t="shared" si="26"/>
        <v>#N/A</v>
      </c>
      <c r="O543" s="42" t="e">
        <f>INDEX(Input!$D$2:$AC$500,
       MATCH(B543, Input!$J$2:$J$500, 0),
       MATCH("Disk Interface Type", Input!$D$1:$AC$1, 0))</f>
        <v>#N/A</v>
      </c>
      <c r="P543" s="42" t="str" cm="1">
        <f t="array" ref="P543">IFERROR(_xlfn.TEXTJOIN(", ", TRUE, _xlfn._xlws.FILTER(
    INDEX(Input!$D$2:$AC$500,,MATCH("Disk Capacity",Input!$D$1:$AC$1,0)),
    Input!$J$2:$J$500=B543
)), "")</f>
        <v/>
      </c>
      <c r="Q543" s="32" t="e">
        <f t="shared" si="25"/>
        <v>#N/A</v>
      </c>
      <c r="R543" s="42" t="e">
        <f>_xlfn.LET(_xlpm.Result,INDEX(Input!$D$2:$AC$500,
       MATCH(B543, Input!$J$2:$J$500, 0),
       MATCH("Capacity", Input!$D$1:$AC$1, 0)),IF(_xlpm.Result="","",_xlpm.Result))</f>
        <v>#N/A</v>
      </c>
      <c r="S543" s="42"/>
      <c r="T543" s="42"/>
      <c r="U543" s="42" t="str" cm="1">
        <f t="array" ref="U543">IFERROR(_xlfn.IFS(
S543="","",
--S543&lt;55,"Battery Defect",
--S543&lt;=69,"Battery D",
--S543&lt;=80,"Battery C",
--S543&gt;80,""
),"")</f>
        <v/>
      </c>
      <c r="V543" s="42" t="str" cm="1">
        <f t="array" ref="V543">IFERROR(_xlfn.IFS(
T543="","",
--T543&lt;55,"Battery Defect",
--T543&lt;=69,"Battery D",
--T543&lt;=80,"Battery C",
--T543&gt;80,""
),"")</f>
        <v/>
      </c>
      <c r="W543" s="42"/>
      <c r="X543" s="42"/>
      <c r="Y543" s="42"/>
      <c r="Z543" s="42"/>
      <c r="AA543" s="42"/>
      <c r="AB543" s="42"/>
      <c r="AC543" s="42"/>
      <c r="AD543" s="42"/>
      <c r="AE543" s="32" t="str">
        <f t="shared" si="24"/>
        <v/>
      </c>
      <c r="AF543" s="32"/>
      <c r="AG543" s="32"/>
      <c r="AH543" s="32"/>
      <c r="AI543" s="32"/>
      <c r="AJ543" s="32"/>
      <c r="AK543" s="32"/>
      <c r="AL543" s="32"/>
      <c r="AM543" s="32"/>
    </row>
    <row r="544" spans="1:39">
      <c r="A544" s="32" t="str">
        <f>_xlfn.XLOOKUP(B544,Input!J:J,Input!G:G)&amp;""</f>
        <v/>
      </c>
      <c r="B544" s="32"/>
      <c r="C544" s="32" t="str">
        <f>_xlfn.XLOOKUP(B544,Input!J:J,Input!H:H)&amp;""</f>
        <v/>
      </c>
      <c r="D544" s="42">
        <f>_xlfn.XLOOKUP(B544,Input!J:J,Input!F:F)</f>
        <v>0</v>
      </c>
      <c r="E544" s="32">
        <f>_xlfn.XLOOKUP(D544,Models!H:H,Models!G:G,D544)</f>
        <v>0</v>
      </c>
      <c r="F544" s="32">
        <f>_xlfn.XLOOKUP(B544,Input!J:J,Input!E:E)</f>
        <v>0</v>
      </c>
      <c r="G544" s="32">
        <f>IF(F544="LENOVO",_xlfn.XLOOKUP(B544,Input!J:J,Input!K:K),_xlfn.XLOOKUP(B544,Input!J:J,Input!L:L))</f>
        <v>0</v>
      </c>
      <c r="H544" s="32"/>
      <c r="I544" s="32"/>
      <c r="J544" s="32"/>
      <c r="K544" s="42" t="e">
        <f>INDEX(Input!$D$2:$AC$500,
       MATCH(B544, Input!$J$2:$J$500, 0),
       MATCH("Total Memory", Input!$D$1:$AC$1, 0))</f>
        <v>#N/A</v>
      </c>
      <c r="L544" s="42"/>
      <c r="M544" s="42" t="str" cm="1">
        <f t="array" ref="M544">IFERROR(_xlfn.FILTERXML("&lt;t&gt;&lt;s&gt;" &amp; SUBSTITUTE(L544," / ","&lt;/s&gt;&lt;s&gt;") &amp; "&lt;/s&gt;&lt;/t&gt;","(//s[contains(.,'DDR')])[1]"),"")</f>
        <v/>
      </c>
      <c r="N544" s="32" t="e">
        <f t="shared" si="26"/>
        <v>#N/A</v>
      </c>
      <c r="O544" s="42" t="e">
        <f>INDEX(Input!$D$2:$AC$500,
       MATCH(B544, Input!$J$2:$J$500, 0),
       MATCH("Disk Interface Type", Input!$D$1:$AC$1, 0))</f>
        <v>#N/A</v>
      </c>
      <c r="P544" s="42" t="str" cm="1">
        <f t="array" ref="P544">IFERROR(_xlfn.TEXTJOIN(", ", TRUE, _xlfn._xlws.FILTER(
    INDEX(Input!$D$2:$AC$500,,MATCH("Disk Capacity",Input!$D$1:$AC$1,0)),
    Input!$J$2:$J$500=B544
)), "")</f>
        <v/>
      </c>
      <c r="Q544" s="32" t="e">
        <f t="shared" si="25"/>
        <v>#N/A</v>
      </c>
      <c r="R544" s="42" t="e">
        <f>_xlfn.LET(_xlpm.Result,INDEX(Input!$D$2:$AC$500,
       MATCH(B544, Input!$J$2:$J$500, 0),
       MATCH("Capacity", Input!$D$1:$AC$1, 0)),IF(_xlpm.Result="","",_xlpm.Result))</f>
        <v>#N/A</v>
      </c>
      <c r="S544" s="42"/>
      <c r="T544" s="42"/>
      <c r="U544" s="42" t="str" cm="1">
        <f t="array" ref="U544">IFERROR(_xlfn.IFS(
S544="","",
--S544&lt;55,"Battery Defect",
--S544&lt;=69,"Battery D",
--S544&lt;=80,"Battery C",
--S544&gt;80,""
),"")</f>
        <v/>
      </c>
      <c r="V544" s="42" t="str" cm="1">
        <f t="array" ref="V544">IFERROR(_xlfn.IFS(
T544="","",
--T544&lt;55,"Battery Defect",
--T544&lt;=69,"Battery D",
--T544&lt;=80,"Battery C",
--T544&gt;80,""
),"")</f>
        <v/>
      </c>
      <c r="W544" s="42"/>
      <c r="X544" s="42"/>
      <c r="Y544" s="42"/>
      <c r="Z544" s="42"/>
      <c r="AA544" s="42"/>
      <c r="AB544" s="42"/>
      <c r="AC544" s="42"/>
      <c r="AD544" s="42"/>
      <c r="AE544" s="32" t="str">
        <f t="shared" si="24"/>
        <v/>
      </c>
      <c r="AF544" s="32"/>
      <c r="AG544" s="32"/>
      <c r="AH544" s="32"/>
      <c r="AI544" s="32"/>
      <c r="AJ544" s="32"/>
      <c r="AK544" s="32"/>
      <c r="AL544" s="32"/>
      <c r="AM544" s="32"/>
    </row>
    <row r="545" spans="1:39">
      <c r="A545" s="32" t="str">
        <f>_xlfn.XLOOKUP(B545,Input!J:J,Input!G:G)&amp;""</f>
        <v/>
      </c>
      <c r="B545" s="32"/>
      <c r="C545" s="32" t="str">
        <f>_xlfn.XLOOKUP(B545,Input!J:J,Input!H:H)&amp;""</f>
        <v/>
      </c>
      <c r="D545" s="42">
        <f>_xlfn.XLOOKUP(B545,Input!J:J,Input!F:F)</f>
        <v>0</v>
      </c>
      <c r="E545" s="32">
        <f>_xlfn.XLOOKUP(D545,Models!H:H,Models!G:G,D545)</f>
        <v>0</v>
      </c>
      <c r="F545" s="32">
        <f>_xlfn.XLOOKUP(B545,Input!J:J,Input!E:E)</f>
        <v>0</v>
      </c>
      <c r="G545" s="32">
        <f>IF(F545="LENOVO",_xlfn.XLOOKUP(B545,Input!J:J,Input!K:K),_xlfn.XLOOKUP(B545,Input!J:J,Input!L:L))</f>
        <v>0</v>
      </c>
      <c r="H545" s="32"/>
      <c r="I545" s="32"/>
      <c r="J545" s="32"/>
      <c r="K545" s="42" t="e">
        <f>INDEX(Input!$D$2:$AC$500,
       MATCH(B545, Input!$J$2:$J$500, 0),
       MATCH("Total Memory", Input!$D$1:$AC$1, 0))</f>
        <v>#N/A</v>
      </c>
      <c r="L545" s="42"/>
      <c r="M545" s="42" t="str" cm="1">
        <f t="array" ref="M545">IFERROR(_xlfn.FILTERXML("&lt;t&gt;&lt;s&gt;" &amp; SUBSTITUTE(L545," / ","&lt;/s&gt;&lt;s&gt;") &amp; "&lt;/s&gt;&lt;/t&gt;","(//s[contains(.,'DDR')])[1]"),"")</f>
        <v/>
      </c>
      <c r="N545" s="32" t="e">
        <f t="shared" si="26"/>
        <v>#N/A</v>
      </c>
      <c r="O545" s="42" t="e">
        <f>INDEX(Input!$D$2:$AC$500,
       MATCH(B545, Input!$J$2:$J$500, 0),
       MATCH("Disk Interface Type", Input!$D$1:$AC$1, 0))</f>
        <v>#N/A</v>
      </c>
      <c r="P545" s="42" t="str" cm="1">
        <f t="array" ref="P545">IFERROR(_xlfn.TEXTJOIN(", ", TRUE, _xlfn._xlws.FILTER(
    INDEX(Input!$D$2:$AC$500,,MATCH("Disk Capacity",Input!$D$1:$AC$1,0)),
    Input!$J$2:$J$500=B545
)), "")</f>
        <v/>
      </c>
      <c r="Q545" s="32" t="e">
        <f t="shared" si="25"/>
        <v>#N/A</v>
      </c>
      <c r="R545" s="42" t="e">
        <f>_xlfn.LET(_xlpm.Result,INDEX(Input!$D$2:$AC$500,
       MATCH(B545, Input!$J$2:$J$500, 0),
       MATCH("Capacity", Input!$D$1:$AC$1, 0)),IF(_xlpm.Result="","",_xlpm.Result))</f>
        <v>#N/A</v>
      </c>
      <c r="S545" s="42"/>
      <c r="T545" s="42"/>
      <c r="U545" s="42" t="str" cm="1">
        <f t="array" ref="U545">IFERROR(_xlfn.IFS(
S545="","",
--S545&lt;55,"Battery Defect",
--S545&lt;=69,"Battery D",
--S545&lt;=80,"Battery C",
--S545&gt;80,""
),"")</f>
        <v/>
      </c>
      <c r="V545" s="42" t="str" cm="1">
        <f t="array" ref="V545">IFERROR(_xlfn.IFS(
T545="","",
--T545&lt;55,"Battery Defect",
--T545&lt;=69,"Battery D",
--T545&lt;=80,"Battery C",
--T545&gt;80,""
),"")</f>
        <v/>
      </c>
      <c r="W545" s="42"/>
      <c r="X545" s="42"/>
      <c r="Y545" s="42"/>
      <c r="Z545" s="42"/>
      <c r="AA545" s="42"/>
      <c r="AB545" s="42"/>
      <c r="AC545" s="42"/>
      <c r="AD545" s="42"/>
      <c r="AE545" s="32" t="str">
        <f t="shared" si="24"/>
        <v/>
      </c>
      <c r="AF545" s="32"/>
      <c r="AG545" s="32"/>
      <c r="AH545" s="32"/>
      <c r="AI545" s="32"/>
      <c r="AJ545" s="32"/>
      <c r="AK545" s="32"/>
      <c r="AL545" s="32"/>
      <c r="AM545" s="32"/>
    </row>
    <row r="546" spans="1:39">
      <c r="A546" s="32" t="str">
        <f>_xlfn.XLOOKUP(B546,Input!J:J,Input!G:G)&amp;""</f>
        <v/>
      </c>
      <c r="B546" s="32"/>
      <c r="C546" s="32" t="str">
        <f>_xlfn.XLOOKUP(B546,Input!J:J,Input!H:H)&amp;""</f>
        <v/>
      </c>
      <c r="D546" s="42">
        <f>_xlfn.XLOOKUP(B546,Input!J:J,Input!F:F)</f>
        <v>0</v>
      </c>
      <c r="E546" s="32">
        <f>_xlfn.XLOOKUP(D546,Models!H:H,Models!G:G,D546)</f>
        <v>0</v>
      </c>
      <c r="F546" s="32">
        <f>_xlfn.XLOOKUP(B546,Input!J:J,Input!E:E)</f>
        <v>0</v>
      </c>
      <c r="G546" s="32">
        <f>IF(F546="LENOVO",_xlfn.XLOOKUP(B546,Input!J:J,Input!K:K),_xlfn.XLOOKUP(B546,Input!J:J,Input!L:L))</f>
        <v>0</v>
      </c>
      <c r="H546" s="32"/>
      <c r="I546" s="32"/>
      <c r="J546" s="32"/>
      <c r="K546" s="42" t="e">
        <f>INDEX(Input!$D$2:$AC$500,
       MATCH(B546, Input!$J$2:$J$500, 0),
       MATCH("Total Memory", Input!$D$1:$AC$1, 0))</f>
        <v>#N/A</v>
      </c>
      <c r="L546" s="42"/>
      <c r="M546" s="42" t="str" cm="1">
        <f t="array" ref="M546">IFERROR(_xlfn.FILTERXML("&lt;t&gt;&lt;s&gt;" &amp; SUBSTITUTE(L546," / ","&lt;/s&gt;&lt;s&gt;") &amp; "&lt;/s&gt;&lt;/t&gt;","(//s[contains(.,'DDR')])[1]"),"")</f>
        <v/>
      </c>
      <c r="N546" s="32" t="e">
        <f t="shared" si="26"/>
        <v>#N/A</v>
      </c>
      <c r="O546" s="42" t="e">
        <f>INDEX(Input!$D$2:$AC$500,
       MATCH(B546, Input!$J$2:$J$500, 0),
       MATCH("Disk Interface Type", Input!$D$1:$AC$1, 0))</f>
        <v>#N/A</v>
      </c>
      <c r="P546" s="42" t="str" cm="1">
        <f t="array" ref="P546">IFERROR(_xlfn.TEXTJOIN(", ", TRUE, _xlfn._xlws.FILTER(
    INDEX(Input!$D$2:$AC$500,,MATCH("Disk Capacity",Input!$D$1:$AC$1,0)),
    Input!$J$2:$J$500=B546
)), "")</f>
        <v/>
      </c>
      <c r="Q546" s="32" t="e">
        <f t="shared" si="25"/>
        <v>#N/A</v>
      </c>
      <c r="R546" s="42" t="e">
        <f>_xlfn.LET(_xlpm.Result,INDEX(Input!$D$2:$AC$500,
       MATCH(B546, Input!$J$2:$J$500, 0),
       MATCH("Capacity", Input!$D$1:$AC$1, 0)),IF(_xlpm.Result="","",_xlpm.Result))</f>
        <v>#N/A</v>
      </c>
      <c r="S546" s="42"/>
      <c r="T546" s="42"/>
      <c r="U546" s="42" t="str" cm="1">
        <f t="array" ref="U546">IFERROR(_xlfn.IFS(
S546="","",
--S546&lt;55,"Battery Defect",
--S546&lt;=69,"Battery D",
--S546&lt;=80,"Battery C",
--S546&gt;80,""
),"")</f>
        <v/>
      </c>
      <c r="V546" s="42" t="str" cm="1">
        <f t="array" ref="V546">IFERROR(_xlfn.IFS(
T546="","",
--T546&lt;55,"Battery Defect",
--T546&lt;=69,"Battery D",
--T546&lt;=80,"Battery C",
--T546&gt;80,""
),"")</f>
        <v/>
      </c>
      <c r="W546" s="42"/>
      <c r="X546" s="42"/>
      <c r="Y546" s="42"/>
      <c r="Z546" s="42"/>
      <c r="AA546" s="42"/>
      <c r="AB546" s="42"/>
      <c r="AC546" s="42"/>
      <c r="AD546" s="42"/>
      <c r="AE546" s="32" t="str">
        <f t="shared" si="24"/>
        <v/>
      </c>
      <c r="AF546" s="32"/>
      <c r="AG546" s="32"/>
      <c r="AH546" s="32"/>
      <c r="AI546" s="32"/>
      <c r="AJ546" s="32"/>
      <c r="AK546" s="32"/>
      <c r="AL546" s="32"/>
      <c r="AM546" s="32"/>
    </row>
    <row r="547" spans="1:39">
      <c r="A547" s="32" t="str">
        <f>_xlfn.XLOOKUP(B547,Input!J:J,Input!G:G)&amp;""</f>
        <v/>
      </c>
      <c r="B547" s="32"/>
      <c r="C547" s="32" t="str">
        <f>_xlfn.XLOOKUP(B547,Input!J:J,Input!H:H)&amp;""</f>
        <v/>
      </c>
      <c r="D547" s="42">
        <f>_xlfn.XLOOKUP(B547,Input!J:J,Input!F:F)</f>
        <v>0</v>
      </c>
      <c r="E547" s="32">
        <f>_xlfn.XLOOKUP(D547,Models!H:H,Models!G:G,D547)</f>
        <v>0</v>
      </c>
      <c r="F547" s="32">
        <f>_xlfn.XLOOKUP(B547,Input!J:J,Input!E:E)</f>
        <v>0</v>
      </c>
      <c r="G547" s="32">
        <f>IF(F547="LENOVO",_xlfn.XLOOKUP(B547,Input!J:J,Input!K:K),_xlfn.XLOOKUP(B547,Input!J:J,Input!L:L))</f>
        <v>0</v>
      </c>
      <c r="H547" s="32"/>
      <c r="I547" s="32"/>
      <c r="J547" s="32"/>
      <c r="K547" s="42" t="e">
        <f>INDEX(Input!$D$2:$AC$500,
       MATCH(B547, Input!$J$2:$J$500, 0),
       MATCH("Total Memory", Input!$D$1:$AC$1, 0))</f>
        <v>#N/A</v>
      </c>
      <c r="L547" s="42"/>
      <c r="M547" s="42" t="str" cm="1">
        <f t="array" ref="M547">IFERROR(_xlfn.FILTERXML("&lt;t&gt;&lt;s&gt;" &amp; SUBSTITUTE(L547," / ","&lt;/s&gt;&lt;s&gt;") &amp; "&lt;/s&gt;&lt;/t&gt;","(//s[contains(.,'DDR')])[1]"),"")</f>
        <v/>
      </c>
      <c r="N547" s="32" t="e">
        <f t="shared" si="26"/>
        <v>#N/A</v>
      </c>
      <c r="O547" s="42" t="e">
        <f>INDEX(Input!$D$2:$AC$500,
       MATCH(B547, Input!$J$2:$J$500, 0),
       MATCH("Disk Interface Type", Input!$D$1:$AC$1, 0))</f>
        <v>#N/A</v>
      </c>
      <c r="P547" s="42" t="str" cm="1">
        <f t="array" ref="P547">IFERROR(_xlfn.TEXTJOIN(", ", TRUE, _xlfn._xlws.FILTER(
    INDEX(Input!$D$2:$AC$500,,MATCH("Disk Capacity",Input!$D$1:$AC$1,0)),
    Input!$J$2:$J$500=B547
)), "")</f>
        <v/>
      </c>
      <c r="Q547" s="32" t="e">
        <f t="shared" si="25"/>
        <v>#N/A</v>
      </c>
      <c r="R547" s="42" t="e">
        <f>_xlfn.LET(_xlpm.Result,INDEX(Input!$D$2:$AC$500,
       MATCH(B547, Input!$J$2:$J$500, 0),
       MATCH("Capacity", Input!$D$1:$AC$1, 0)),IF(_xlpm.Result="","",_xlpm.Result))</f>
        <v>#N/A</v>
      </c>
      <c r="S547" s="42"/>
      <c r="T547" s="42"/>
      <c r="U547" s="42" t="str" cm="1">
        <f t="array" ref="U547">IFERROR(_xlfn.IFS(
S547="","",
--S547&lt;55,"Battery Defect",
--S547&lt;=69,"Battery D",
--S547&lt;=80,"Battery C",
--S547&gt;80,""
),"")</f>
        <v/>
      </c>
      <c r="V547" s="42" t="str" cm="1">
        <f t="array" ref="V547">IFERROR(_xlfn.IFS(
T547="","",
--T547&lt;55,"Battery Defect",
--T547&lt;=69,"Battery D",
--T547&lt;=80,"Battery C",
--T547&gt;80,""
),"")</f>
        <v/>
      </c>
      <c r="W547" s="42"/>
      <c r="X547" s="42"/>
      <c r="Y547" s="42"/>
      <c r="Z547" s="42"/>
      <c r="AA547" s="42"/>
      <c r="AB547" s="42"/>
      <c r="AC547" s="42"/>
      <c r="AD547" s="42"/>
      <c r="AE547" s="32" t="str">
        <f t="shared" si="24"/>
        <v/>
      </c>
      <c r="AF547" s="32"/>
      <c r="AG547" s="32"/>
      <c r="AH547" s="32"/>
      <c r="AI547" s="32"/>
      <c r="AJ547" s="32"/>
      <c r="AK547" s="32"/>
      <c r="AL547" s="32"/>
      <c r="AM547" s="32"/>
    </row>
    <row r="548" spans="1:39">
      <c r="A548" s="32" t="str">
        <f>_xlfn.XLOOKUP(B548,Input!J:J,Input!G:G)&amp;""</f>
        <v/>
      </c>
      <c r="B548" s="32"/>
      <c r="C548" s="32" t="str">
        <f>_xlfn.XLOOKUP(B548,Input!J:J,Input!H:H)&amp;""</f>
        <v/>
      </c>
      <c r="D548" s="42">
        <f>_xlfn.XLOOKUP(B548,Input!J:J,Input!F:F)</f>
        <v>0</v>
      </c>
      <c r="E548" s="32">
        <f>_xlfn.XLOOKUP(D548,Models!H:H,Models!G:G,D548)</f>
        <v>0</v>
      </c>
      <c r="F548" s="32">
        <f>_xlfn.XLOOKUP(B548,Input!J:J,Input!E:E)</f>
        <v>0</v>
      </c>
      <c r="G548" s="32">
        <f>IF(F548="LENOVO",_xlfn.XLOOKUP(B548,Input!J:J,Input!K:K),_xlfn.XLOOKUP(B548,Input!J:J,Input!L:L))</f>
        <v>0</v>
      </c>
      <c r="H548" s="32"/>
      <c r="I548" s="32"/>
      <c r="J548" s="32"/>
      <c r="K548" s="42" t="e">
        <f>INDEX(Input!$D$2:$AC$500,
       MATCH(B548, Input!$J$2:$J$500, 0),
       MATCH("Total Memory", Input!$D$1:$AC$1, 0))</f>
        <v>#N/A</v>
      </c>
      <c r="L548" s="42"/>
      <c r="M548" s="42" t="str" cm="1">
        <f t="array" ref="M548">IFERROR(_xlfn.FILTERXML("&lt;t&gt;&lt;s&gt;" &amp; SUBSTITUTE(L548," / ","&lt;/s&gt;&lt;s&gt;") &amp; "&lt;/s&gt;&lt;/t&gt;","(//s[contains(.,'DDR')])[1]"),"")</f>
        <v/>
      </c>
      <c r="N548" s="32" t="e">
        <f t="shared" si="26"/>
        <v>#N/A</v>
      </c>
      <c r="O548" s="42" t="e">
        <f>INDEX(Input!$D$2:$AC$500,
       MATCH(B548, Input!$J$2:$J$500, 0),
       MATCH("Disk Interface Type", Input!$D$1:$AC$1, 0))</f>
        <v>#N/A</v>
      </c>
      <c r="P548" s="42" t="str" cm="1">
        <f t="array" ref="P548">IFERROR(_xlfn.TEXTJOIN(", ", TRUE, _xlfn._xlws.FILTER(
    INDEX(Input!$D$2:$AC$500,,MATCH("Disk Capacity",Input!$D$1:$AC$1,0)),
    Input!$J$2:$J$500=B548
)), "")</f>
        <v/>
      </c>
      <c r="Q548" s="32" t="e">
        <f t="shared" si="25"/>
        <v>#N/A</v>
      </c>
      <c r="R548" s="42" t="e">
        <f>_xlfn.LET(_xlpm.Result,INDEX(Input!$D$2:$AC$500,
       MATCH(B548, Input!$J$2:$J$500, 0),
       MATCH("Capacity", Input!$D$1:$AC$1, 0)),IF(_xlpm.Result="","",_xlpm.Result))</f>
        <v>#N/A</v>
      </c>
      <c r="S548" s="42"/>
      <c r="T548" s="42"/>
      <c r="U548" s="42" t="str" cm="1">
        <f t="array" ref="U548">IFERROR(_xlfn.IFS(
S548="","",
--S548&lt;55,"Battery Defect",
--S548&lt;=69,"Battery D",
--S548&lt;=80,"Battery C",
--S548&gt;80,""
),"")</f>
        <v/>
      </c>
      <c r="V548" s="42" t="str" cm="1">
        <f t="array" ref="V548">IFERROR(_xlfn.IFS(
T548="","",
--T548&lt;55,"Battery Defect",
--T548&lt;=69,"Battery D",
--T548&lt;=80,"Battery C",
--T548&gt;80,""
),"")</f>
        <v/>
      </c>
      <c r="W548" s="42"/>
      <c r="X548" s="42"/>
      <c r="Y548" s="42"/>
      <c r="Z548" s="42"/>
      <c r="AA548" s="42"/>
      <c r="AB548" s="42"/>
      <c r="AC548" s="42"/>
      <c r="AD548" s="42"/>
      <c r="AE548" s="32" t="str">
        <f t="shared" si="24"/>
        <v/>
      </c>
      <c r="AF548" s="32"/>
      <c r="AG548" s="32"/>
      <c r="AH548" s="32"/>
      <c r="AI548" s="32"/>
      <c r="AJ548" s="32"/>
      <c r="AK548" s="32"/>
      <c r="AL548" s="32"/>
      <c r="AM548" s="32"/>
    </row>
    <row r="549" spans="1:39">
      <c r="A549" s="32" t="str">
        <f>_xlfn.XLOOKUP(B549,Input!J:J,Input!G:G)&amp;""</f>
        <v/>
      </c>
      <c r="B549" s="32"/>
      <c r="C549" s="32" t="str">
        <f>_xlfn.XLOOKUP(B549,Input!J:J,Input!H:H)&amp;""</f>
        <v/>
      </c>
      <c r="D549" s="42">
        <f>_xlfn.XLOOKUP(B549,Input!J:J,Input!F:F)</f>
        <v>0</v>
      </c>
      <c r="E549" s="32">
        <f>_xlfn.XLOOKUP(D549,Models!H:H,Models!G:G,D549)</f>
        <v>0</v>
      </c>
      <c r="F549" s="32">
        <f>_xlfn.XLOOKUP(B549,Input!J:J,Input!E:E)</f>
        <v>0</v>
      </c>
      <c r="G549" s="32">
        <f>IF(F549="LENOVO",_xlfn.XLOOKUP(B549,Input!J:J,Input!K:K),_xlfn.XLOOKUP(B549,Input!J:J,Input!L:L))</f>
        <v>0</v>
      </c>
      <c r="H549" s="32"/>
      <c r="I549" s="32"/>
      <c r="J549" s="32"/>
      <c r="K549" s="42" t="e">
        <f>INDEX(Input!$D$2:$AC$500,
       MATCH(B549, Input!$J$2:$J$500, 0),
       MATCH("Total Memory", Input!$D$1:$AC$1, 0))</f>
        <v>#N/A</v>
      </c>
      <c r="L549" s="42"/>
      <c r="M549" s="42" t="str" cm="1">
        <f t="array" ref="M549">IFERROR(_xlfn.FILTERXML("&lt;t&gt;&lt;s&gt;" &amp; SUBSTITUTE(L549," / ","&lt;/s&gt;&lt;s&gt;") &amp; "&lt;/s&gt;&lt;/t&gt;","(//s[contains(.,'DDR')])[1]"),"")</f>
        <v/>
      </c>
      <c r="N549" s="32" t="e">
        <f t="shared" si="26"/>
        <v>#N/A</v>
      </c>
      <c r="O549" s="42" t="e">
        <f>INDEX(Input!$D$2:$AC$500,
       MATCH(B549, Input!$J$2:$J$500, 0),
       MATCH("Disk Interface Type", Input!$D$1:$AC$1, 0))</f>
        <v>#N/A</v>
      </c>
      <c r="P549" s="42" t="str" cm="1">
        <f t="array" ref="P549">IFERROR(_xlfn.TEXTJOIN(", ", TRUE, _xlfn._xlws.FILTER(
    INDEX(Input!$D$2:$AC$500,,MATCH("Disk Capacity",Input!$D$1:$AC$1,0)),
    Input!$J$2:$J$500=B549
)), "")</f>
        <v/>
      </c>
      <c r="Q549" s="32" t="e">
        <f t="shared" si="25"/>
        <v>#N/A</v>
      </c>
      <c r="R549" s="42" t="e">
        <f>_xlfn.LET(_xlpm.Result,INDEX(Input!$D$2:$AC$500,
       MATCH(B549, Input!$J$2:$J$500, 0),
       MATCH("Capacity", Input!$D$1:$AC$1, 0)),IF(_xlpm.Result="","",_xlpm.Result))</f>
        <v>#N/A</v>
      </c>
      <c r="S549" s="42"/>
      <c r="T549" s="42"/>
      <c r="U549" s="42" t="str" cm="1">
        <f t="array" ref="U549">IFERROR(_xlfn.IFS(
S549="","",
--S549&lt;55,"Battery Defect",
--S549&lt;=69,"Battery D",
--S549&lt;=80,"Battery C",
--S549&gt;80,""
),"")</f>
        <v/>
      </c>
      <c r="V549" s="42" t="str" cm="1">
        <f t="array" ref="V549">IFERROR(_xlfn.IFS(
T549="","",
--T549&lt;55,"Battery Defect",
--T549&lt;=69,"Battery D",
--T549&lt;=80,"Battery C",
--T549&gt;80,""
),"")</f>
        <v/>
      </c>
      <c r="W549" s="42"/>
      <c r="X549" s="42"/>
      <c r="Y549" s="42"/>
      <c r="Z549" s="42"/>
      <c r="AA549" s="42"/>
      <c r="AB549" s="42"/>
      <c r="AC549" s="42"/>
      <c r="AD549" s="42"/>
      <c r="AE549" s="32" t="str">
        <f t="shared" si="24"/>
        <v/>
      </c>
      <c r="AF549" s="32"/>
      <c r="AG549" s="32"/>
      <c r="AH549" s="32"/>
      <c r="AI549" s="32"/>
      <c r="AJ549" s="32"/>
      <c r="AK549" s="32"/>
      <c r="AL549" s="32"/>
      <c r="AM549" s="32"/>
    </row>
    <row r="550" spans="1:39">
      <c r="A550" s="32" t="str">
        <f>_xlfn.XLOOKUP(B550,Input!J:J,Input!G:G)&amp;""</f>
        <v/>
      </c>
      <c r="B550" s="32"/>
      <c r="C550" s="32" t="str">
        <f>_xlfn.XLOOKUP(B550,Input!J:J,Input!H:H)&amp;""</f>
        <v/>
      </c>
      <c r="D550" s="42">
        <f>_xlfn.XLOOKUP(B550,Input!J:J,Input!F:F)</f>
        <v>0</v>
      </c>
      <c r="E550" s="32">
        <f>_xlfn.XLOOKUP(D550,Models!H:H,Models!G:G,D550)</f>
        <v>0</v>
      </c>
      <c r="F550" s="32">
        <f>_xlfn.XLOOKUP(B550,Input!J:J,Input!E:E)</f>
        <v>0</v>
      </c>
      <c r="G550" s="32">
        <f>IF(F550="LENOVO",_xlfn.XLOOKUP(B550,Input!J:J,Input!K:K),_xlfn.XLOOKUP(B550,Input!J:J,Input!L:L))</f>
        <v>0</v>
      </c>
      <c r="H550" s="32"/>
      <c r="I550" s="32"/>
      <c r="J550" s="32"/>
      <c r="K550" s="42" t="e">
        <f>INDEX(Input!$D$2:$AC$500,
       MATCH(B550, Input!$J$2:$J$500, 0),
       MATCH("Total Memory", Input!$D$1:$AC$1, 0))</f>
        <v>#N/A</v>
      </c>
      <c r="L550" s="42"/>
      <c r="M550" s="42" t="str" cm="1">
        <f t="array" ref="M550">IFERROR(_xlfn.FILTERXML("&lt;t&gt;&lt;s&gt;" &amp; SUBSTITUTE(L550," / ","&lt;/s&gt;&lt;s&gt;") &amp; "&lt;/s&gt;&lt;/t&gt;","(//s[contains(.,'DDR')])[1]"),"")</f>
        <v/>
      </c>
      <c r="N550" s="32" t="e">
        <f t="shared" si="26"/>
        <v>#N/A</v>
      </c>
      <c r="O550" s="42" t="e">
        <f>INDEX(Input!$D$2:$AC$500,
       MATCH(B550, Input!$J$2:$J$500, 0),
       MATCH("Disk Interface Type", Input!$D$1:$AC$1, 0))</f>
        <v>#N/A</v>
      </c>
      <c r="P550" s="42" t="str" cm="1">
        <f t="array" ref="P550">IFERROR(_xlfn.TEXTJOIN(", ", TRUE, _xlfn._xlws.FILTER(
    INDEX(Input!$D$2:$AC$500,,MATCH("Disk Capacity",Input!$D$1:$AC$1,0)),
    Input!$J$2:$J$500=B550
)), "")</f>
        <v/>
      </c>
      <c r="Q550" s="32" t="e">
        <f t="shared" si="25"/>
        <v>#N/A</v>
      </c>
      <c r="R550" s="42" t="e">
        <f>_xlfn.LET(_xlpm.Result,INDEX(Input!$D$2:$AC$500,
       MATCH(B550, Input!$J$2:$J$500, 0),
       MATCH("Capacity", Input!$D$1:$AC$1, 0)),IF(_xlpm.Result="","",_xlpm.Result))</f>
        <v>#N/A</v>
      </c>
      <c r="S550" s="42"/>
      <c r="T550" s="42"/>
      <c r="U550" s="42" t="str" cm="1">
        <f t="array" ref="U550">IFERROR(_xlfn.IFS(
S550="","",
--S550&lt;55,"Battery Defect",
--S550&lt;=69,"Battery D",
--S550&lt;=80,"Battery C",
--S550&gt;80,""
),"")</f>
        <v/>
      </c>
      <c r="V550" s="42" t="str" cm="1">
        <f t="array" ref="V550">IFERROR(_xlfn.IFS(
T550="","",
--T550&lt;55,"Battery Defect",
--T550&lt;=69,"Battery D",
--T550&lt;=80,"Battery C",
--T550&gt;80,""
),"")</f>
        <v/>
      </c>
      <c r="W550" s="42"/>
      <c r="X550" s="42"/>
      <c r="Y550" s="42"/>
      <c r="Z550" s="42"/>
      <c r="AA550" s="42"/>
      <c r="AB550" s="42"/>
      <c r="AC550" s="42"/>
      <c r="AD550" s="42"/>
      <c r="AE550" s="32" t="str">
        <f t="shared" si="24"/>
        <v/>
      </c>
      <c r="AF550" s="32"/>
      <c r="AG550" s="32"/>
      <c r="AH550" s="32"/>
      <c r="AI550" s="32"/>
      <c r="AJ550" s="32"/>
      <c r="AK550" s="32"/>
      <c r="AL550" s="32"/>
      <c r="AM550" s="32"/>
    </row>
    <row r="551" spans="1:39">
      <c r="A551" s="32" t="str">
        <f>_xlfn.XLOOKUP(B551,Input!J:J,Input!G:G)&amp;""</f>
        <v/>
      </c>
      <c r="B551" s="32"/>
      <c r="C551" s="32" t="str">
        <f>_xlfn.XLOOKUP(B551,Input!J:J,Input!H:H)&amp;""</f>
        <v/>
      </c>
      <c r="D551" s="42">
        <f>_xlfn.XLOOKUP(B551,Input!J:J,Input!F:F)</f>
        <v>0</v>
      </c>
      <c r="E551" s="32">
        <f>_xlfn.XLOOKUP(D551,Models!H:H,Models!G:G,D551)</f>
        <v>0</v>
      </c>
      <c r="F551" s="32">
        <f>_xlfn.XLOOKUP(B551,Input!J:J,Input!E:E)</f>
        <v>0</v>
      </c>
      <c r="G551" s="32">
        <f>IF(F551="LENOVO",_xlfn.XLOOKUP(B551,Input!J:J,Input!K:K),_xlfn.XLOOKUP(B551,Input!J:J,Input!L:L))</f>
        <v>0</v>
      </c>
      <c r="H551" s="32"/>
      <c r="I551" s="32"/>
      <c r="J551" s="32"/>
      <c r="K551" s="42" t="e">
        <f>INDEX(Input!$D$2:$AC$500,
       MATCH(B551, Input!$J$2:$J$500, 0),
       MATCH("Total Memory", Input!$D$1:$AC$1, 0))</f>
        <v>#N/A</v>
      </c>
      <c r="L551" s="42"/>
      <c r="M551" s="42" t="str" cm="1">
        <f t="array" ref="M551">IFERROR(_xlfn.FILTERXML("&lt;t&gt;&lt;s&gt;" &amp; SUBSTITUTE(L551," / ","&lt;/s&gt;&lt;s&gt;") &amp; "&lt;/s&gt;&lt;/t&gt;","(//s[contains(.,'DDR')])[1]"),"")</f>
        <v/>
      </c>
      <c r="N551" s="32" t="e">
        <f t="shared" si="26"/>
        <v>#N/A</v>
      </c>
      <c r="O551" s="42" t="e">
        <f>INDEX(Input!$D$2:$AC$500,
       MATCH(B551, Input!$J$2:$J$500, 0),
       MATCH("Disk Interface Type", Input!$D$1:$AC$1, 0))</f>
        <v>#N/A</v>
      </c>
      <c r="P551" s="42" t="str" cm="1">
        <f t="array" ref="P551">IFERROR(_xlfn.TEXTJOIN(", ", TRUE, _xlfn._xlws.FILTER(
    INDEX(Input!$D$2:$AC$500,,MATCH("Disk Capacity",Input!$D$1:$AC$1,0)),
    Input!$J$2:$J$500=B551
)), "")</f>
        <v/>
      </c>
      <c r="Q551" s="32" t="e">
        <f t="shared" si="25"/>
        <v>#N/A</v>
      </c>
      <c r="R551" s="42" t="e">
        <f>_xlfn.LET(_xlpm.Result,INDEX(Input!$D$2:$AC$500,
       MATCH(B551, Input!$J$2:$J$500, 0),
       MATCH("Capacity", Input!$D$1:$AC$1, 0)),IF(_xlpm.Result="","",_xlpm.Result))</f>
        <v>#N/A</v>
      </c>
      <c r="S551" s="42"/>
      <c r="T551" s="42"/>
      <c r="U551" s="42" t="str" cm="1">
        <f t="array" ref="U551">IFERROR(_xlfn.IFS(
S551="","",
--S551&lt;55,"Battery Defect",
--S551&lt;=69,"Battery D",
--S551&lt;=80,"Battery C",
--S551&gt;80,""
),"")</f>
        <v/>
      </c>
      <c r="V551" s="42" t="str" cm="1">
        <f t="array" ref="V551">IFERROR(_xlfn.IFS(
T551="","",
--T551&lt;55,"Battery Defect",
--T551&lt;=69,"Battery D",
--T551&lt;=80,"Battery C",
--T551&gt;80,""
),"")</f>
        <v/>
      </c>
      <c r="W551" s="42"/>
      <c r="X551" s="42"/>
      <c r="Y551" s="42"/>
      <c r="Z551" s="42"/>
      <c r="AA551" s="42"/>
      <c r="AB551" s="42"/>
      <c r="AC551" s="42"/>
      <c r="AD551" s="42"/>
      <c r="AE551" s="32" t="str">
        <f t="shared" si="24"/>
        <v/>
      </c>
      <c r="AF551" s="32"/>
      <c r="AG551" s="32"/>
      <c r="AH551" s="32"/>
      <c r="AI551" s="32"/>
      <c r="AJ551" s="32"/>
      <c r="AK551" s="32"/>
      <c r="AL551" s="32"/>
      <c r="AM551" s="32"/>
    </row>
    <row r="552" spans="1:39">
      <c r="A552" s="32" t="str">
        <f>_xlfn.XLOOKUP(B552,Input!J:J,Input!G:G)&amp;""</f>
        <v/>
      </c>
      <c r="B552" s="32"/>
      <c r="C552" s="32" t="str">
        <f>_xlfn.XLOOKUP(B552,Input!J:J,Input!H:H)&amp;""</f>
        <v/>
      </c>
      <c r="D552" s="42">
        <f>_xlfn.XLOOKUP(B552,Input!J:J,Input!F:F)</f>
        <v>0</v>
      </c>
      <c r="E552" s="32">
        <f>_xlfn.XLOOKUP(D552,Models!H:H,Models!G:G,D552)</f>
        <v>0</v>
      </c>
      <c r="F552" s="32">
        <f>_xlfn.XLOOKUP(B552,Input!J:J,Input!E:E)</f>
        <v>0</v>
      </c>
      <c r="G552" s="32">
        <f>IF(F552="LENOVO",_xlfn.XLOOKUP(B552,Input!J:J,Input!K:K),_xlfn.XLOOKUP(B552,Input!J:J,Input!L:L))</f>
        <v>0</v>
      </c>
      <c r="H552" s="32"/>
      <c r="I552" s="32"/>
      <c r="J552" s="32"/>
      <c r="K552" s="42" t="e">
        <f>INDEX(Input!$D$2:$AC$500,
       MATCH(B552, Input!$J$2:$J$500, 0),
       MATCH("Total Memory", Input!$D$1:$AC$1, 0))</f>
        <v>#N/A</v>
      </c>
      <c r="L552" s="42"/>
      <c r="M552" s="42" t="str" cm="1">
        <f t="array" ref="M552">IFERROR(_xlfn.FILTERXML("&lt;t&gt;&lt;s&gt;" &amp; SUBSTITUTE(L552," / ","&lt;/s&gt;&lt;s&gt;") &amp; "&lt;/s&gt;&lt;/t&gt;","(//s[contains(.,'DDR')])[1]"),"")</f>
        <v/>
      </c>
      <c r="N552" s="32" t="e">
        <f t="shared" si="26"/>
        <v>#N/A</v>
      </c>
      <c r="O552" s="42" t="e">
        <f>INDEX(Input!$D$2:$AC$500,
       MATCH(B552, Input!$J$2:$J$500, 0),
       MATCH("Disk Interface Type", Input!$D$1:$AC$1, 0))</f>
        <v>#N/A</v>
      </c>
      <c r="P552" s="42" t="str" cm="1">
        <f t="array" ref="P552">IFERROR(_xlfn.TEXTJOIN(", ", TRUE, _xlfn._xlws.FILTER(
    INDEX(Input!$D$2:$AC$500,,MATCH("Disk Capacity",Input!$D$1:$AC$1,0)),
    Input!$J$2:$J$500=B552
)), "")</f>
        <v/>
      </c>
      <c r="Q552" s="32" t="e">
        <f t="shared" si="25"/>
        <v>#N/A</v>
      </c>
      <c r="R552" s="42" t="e">
        <f>_xlfn.LET(_xlpm.Result,INDEX(Input!$D$2:$AC$500,
       MATCH(B552, Input!$J$2:$J$500, 0),
       MATCH("Capacity", Input!$D$1:$AC$1, 0)),IF(_xlpm.Result="","",_xlpm.Result))</f>
        <v>#N/A</v>
      </c>
      <c r="S552" s="42"/>
      <c r="T552" s="42"/>
      <c r="U552" s="42" t="str" cm="1">
        <f t="array" ref="U552">IFERROR(_xlfn.IFS(
S552="","",
--S552&lt;55,"Battery Defect",
--S552&lt;=69,"Battery D",
--S552&lt;=80,"Battery C",
--S552&gt;80,""
),"")</f>
        <v/>
      </c>
      <c r="V552" s="42" t="str" cm="1">
        <f t="array" ref="V552">IFERROR(_xlfn.IFS(
T552="","",
--T552&lt;55,"Battery Defect",
--T552&lt;=69,"Battery D",
--T552&lt;=80,"Battery C",
--T552&gt;80,""
),"")</f>
        <v/>
      </c>
      <c r="W552" s="42"/>
      <c r="X552" s="42"/>
      <c r="Y552" s="42"/>
      <c r="Z552" s="42"/>
      <c r="AA552" s="42"/>
      <c r="AB552" s="42"/>
      <c r="AC552" s="42"/>
      <c r="AD552" s="42"/>
      <c r="AE552" s="32" t="str">
        <f t="shared" si="24"/>
        <v/>
      </c>
      <c r="AF552" s="32"/>
      <c r="AG552" s="32"/>
      <c r="AH552" s="32"/>
      <c r="AI552" s="32"/>
      <c r="AJ552" s="32"/>
      <c r="AK552" s="32"/>
      <c r="AL552" s="32"/>
      <c r="AM552" s="32"/>
    </row>
    <row r="553" spans="1:39">
      <c r="A553" s="32" t="str">
        <f>_xlfn.XLOOKUP(B553,Input!J:J,Input!G:G)&amp;""</f>
        <v/>
      </c>
      <c r="B553" s="32"/>
      <c r="C553" s="32" t="str">
        <f>_xlfn.XLOOKUP(B553,Input!J:J,Input!H:H)&amp;""</f>
        <v/>
      </c>
      <c r="D553" s="42">
        <f>_xlfn.XLOOKUP(B553,Input!J:J,Input!F:F)</f>
        <v>0</v>
      </c>
      <c r="E553" s="32">
        <f>_xlfn.XLOOKUP(D553,Models!H:H,Models!G:G,D553)</f>
        <v>0</v>
      </c>
      <c r="F553" s="32">
        <f>_xlfn.XLOOKUP(B553,Input!J:J,Input!E:E)</f>
        <v>0</v>
      </c>
      <c r="G553" s="32">
        <f>IF(F553="LENOVO",_xlfn.XLOOKUP(B553,Input!J:J,Input!K:K),_xlfn.XLOOKUP(B553,Input!J:J,Input!L:L))</f>
        <v>0</v>
      </c>
      <c r="H553" s="32"/>
      <c r="I553" s="32"/>
      <c r="J553" s="32"/>
      <c r="K553" s="42" t="e">
        <f>INDEX(Input!$D$2:$AC$500,
       MATCH(B553, Input!$J$2:$J$500, 0),
       MATCH("Total Memory", Input!$D$1:$AC$1, 0))</f>
        <v>#N/A</v>
      </c>
      <c r="L553" s="42"/>
      <c r="M553" s="42" t="str" cm="1">
        <f t="array" ref="M553">IFERROR(_xlfn.FILTERXML("&lt;t&gt;&lt;s&gt;" &amp; SUBSTITUTE(L553," / ","&lt;/s&gt;&lt;s&gt;") &amp; "&lt;/s&gt;&lt;/t&gt;","(//s[contains(.,'DDR')])[1]"),"")</f>
        <v/>
      </c>
      <c r="N553" s="32" t="e">
        <f t="shared" si="26"/>
        <v>#N/A</v>
      </c>
      <c r="O553" s="42" t="e">
        <f>INDEX(Input!$D$2:$AC$500,
       MATCH(B553, Input!$J$2:$J$500, 0),
       MATCH("Disk Interface Type", Input!$D$1:$AC$1, 0))</f>
        <v>#N/A</v>
      </c>
      <c r="P553" s="42" t="str" cm="1">
        <f t="array" ref="P553">IFERROR(_xlfn.TEXTJOIN(", ", TRUE, _xlfn._xlws.FILTER(
    INDEX(Input!$D$2:$AC$500,,MATCH("Disk Capacity",Input!$D$1:$AC$1,0)),
    Input!$J$2:$J$500=B553
)), "")</f>
        <v/>
      </c>
      <c r="Q553" s="32" t="e">
        <f t="shared" si="25"/>
        <v>#N/A</v>
      </c>
      <c r="R553" s="42" t="e">
        <f>_xlfn.LET(_xlpm.Result,INDEX(Input!$D$2:$AC$500,
       MATCH(B553, Input!$J$2:$J$500, 0),
       MATCH("Capacity", Input!$D$1:$AC$1, 0)),IF(_xlpm.Result="","",_xlpm.Result))</f>
        <v>#N/A</v>
      </c>
      <c r="S553" s="42"/>
      <c r="T553" s="42"/>
      <c r="U553" s="42" t="str" cm="1">
        <f t="array" ref="U553">IFERROR(_xlfn.IFS(
S553="","",
--S553&lt;55,"Battery Defect",
--S553&lt;=69,"Battery D",
--S553&lt;=80,"Battery C",
--S553&gt;80,""
),"")</f>
        <v/>
      </c>
      <c r="V553" s="42" t="str" cm="1">
        <f t="array" ref="V553">IFERROR(_xlfn.IFS(
T553="","",
--T553&lt;55,"Battery Defect",
--T553&lt;=69,"Battery D",
--T553&lt;=80,"Battery C",
--T553&gt;80,""
),"")</f>
        <v/>
      </c>
      <c r="W553" s="42"/>
      <c r="X553" s="42"/>
      <c r="Y553" s="42"/>
      <c r="Z553" s="42"/>
      <c r="AA553" s="42"/>
      <c r="AB553" s="42"/>
      <c r="AC553" s="42"/>
      <c r="AD553" s="42"/>
      <c r="AE553" s="32" t="str">
        <f t="shared" si="24"/>
        <v/>
      </c>
      <c r="AF553" s="32"/>
      <c r="AG553" s="32"/>
      <c r="AH553" s="32"/>
      <c r="AI553" s="32"/>
      <c r="AJ553" s="32"/>
      <c r="AK553" s="32"/>
      <c r="AL553" s="32"/>
      <c r="AM553" s="32"/>
    </row>
    <row r="554" spans="1:39">
      <c r="A554" s="32" t="str">
        <f>_xlfn.XLOOKUP(B554,Input!J:J,Input!G:G)&amp;""</f>
        <v/>
      </c>
      <c r="B554" s="32"/>
      <c r="C554" s="32" t="str">
        <f>_xlfn.XLOOKUP(B554,Input!J:J,Input!H:H)&amp;""</f>
        <v/>
      </c>
      <c r="D554" s="42">
        <f>_xlfn.XLOOKUP(B554,Input!J:J,Input!F:F)</f>
        <v>0</v>
      </c>
      <c r="E554" s="32">
        <f>_xlfn.XLOOKUP(D554,Models!H:H,Models!G:G,D554)</f>
        <v>0</v>
      </c>
      <c r="F554" s="32">
        <f>_xlfn.XLOOKUP(B554,Input!J:J,Input!E:E)</f>
        <v>0</v>
      </c>
      <c r="G554" s="32">
        <f>IF(F554="LENOVO",_xlfn.XLOOKUP(B554,Input!J:J,Input!K:K),_xlfn.XLOOKUP(B554,Input!J:J,Input!L:L))</f>
        <v>0</v>
      </c>
      <c r="H554" s="32"/>
      <c r="I554" s="32"/>
      <c r="J554" s="32"/>
      <c r="K554" s="42" t="e">
        <f>INDEX(Input!$D$2:$AC$500,
       MATCH(B554, Input!$J$2:$J$500, 0),
       MATCH("Total Memory", Input!$D$1:$AC$1, 0))</f>
        <v>#N/A</v>
      </c>
      <c r="L554" s="42"/>
      <c r="M554" s="42" t="str" cm="1">
        <f t="array" ref="M554">IFERROR(_xlfn.FILTERXML("&lt;t&gt;&lt;s&gt;" &amp; SUBSTITUTE(L554," / ","&lt;/s&gt;&lt;s&gt;") &amp; "&lt;/s&gt;&lt;/t&gt;","(//s[contains(.,'DDR')])[1]"),"")</f>
        <v/>
      </c>
      <c r="N554" s="32" t="e">
        <f t="shared" si="26"/>
        <v>#N/A</v>
      </c>
      <c r="O554" s="42" t="e">
        <f>INDEX(Input!$D$2:$AC$500,
       MATCH(B554, Input!$J$2:$J$500, 0),
       MATCH("Disk Interface Type", Input!$D$1:$AC$1, 0))</f>
        <v>#N/A</v>
      </c>
      <c r="P554" s="42" t="str" cm="1">
        <f t="array" ref="P554">IFERROR(_xlfn.TEXTJOIN(", ", TRUE, _xlfn._xlws.FILTER(
    INDEX(Input!$D$2:$AC$500,,MATCH("Disk Capacity",Input!$D$1:$AC$1,0)),
    Input!$J$2:$J$500=B554
)), "")</f>
        <v/>
      </c>
      <c r="Q554" s="32" t="e">
        <f t="shared" si="25"/>
        <v>#N/A</v>
      </c>
      <c r="R554" s="42" t="e">
        <f>_xlfn.LET(_xlpm.Result,INDEX(Input!$D$2:$AC$500,
       MATCH(B554, Input!$J$2:$J$500, 0),
       MATCH("Capacity", Input!$D$1:$AC$1, 0)),IF(_xlpm.Result="","",_xlpm.Result))</f>
        <v>#N/A</v>
      </c>
      <c r="S554" s="42"/>
      <c r="T554" s="42"/>
      <c r="U554" s="42" t="str" cm="1">
        <f t="array" ref="U554">IFERROR(_xlfn.IFS(
S554="","",
--S554&lt;55,"Battery Defect",
--S554&lt;=69,"Battery D",
--S554&lt;=80,"Battery C",
--S554&gt;80,""
),"")</f>
        <v/>
      </c>
      <c r="V554" s="42" t="str" cm="1">
        <f t="array" ref="V554">IFERROR(_xlfn.IFS(
T554="","",
--T554&lt;55,"Battery Defect",
--T554&lt;=69,"Battery D",
--T554&lt;=80,"Battery C",
--T554&gt;80,""
),"")</f>
        <v/>
      </c>
      <c r="W554" s="42"/>
      <c r="X554" s="42"/>
      <c r="Y554" s="42"/>
      <c r="Z554" s="42"/>
      <c r="AA554" s="42"/>
      <c r="AB554" s="42"/>
      <c r="AC554" s="42"/>
      <c r="AD554" s="42"/>
      <c r="AE554" s="32" t="str">
        <f t="shared" si="24"/>
        <v/>
      </c>
      <c r="AF554" s="32"/>
      <c r="AG554" s="32"/>
      <c r="AH554" s="32"/>
      <c r="AI554" s="32"/>
      <c r="AJ554" s="32"/>
      <c r="AK554" s="32"/>
      <c r="AL554" s="32"/>
      <c r="AM554" s="32"/>
    </row>
    <row r="555" spans="1:39">
      <c r="A555" s="32" t="str">
        <f>_xlfn.XLOOKUP(B555,Input!J:J,Input!G:G)&amp;""</f>
        <v/>
      </c>
      <c r="B555" s="32"/>
      <c r="C555" s="32" t="str">
        <f>_xlfn.XLOOKUP(B555,Input!J:J,Input!H:H)&amp;""</f>
        <v/>
      </c>
      <c r="D555" s="42">
        <f>_xlfn.XLOOKUP(B555,Input!J:J,Input!F:F)</f>
        <v>0</v>
      </c>
      <c r="E555" s="32">
        <f>_xlfn.XLOOKUP(D555,Models!H:H,Models!G:G,D555)</f>
        <v>0</v>
      </c>
      <c r="F555" s="32">
        <f>_xlfn.XLOOKUP(B555,Input!J:J,Input!E:E)</f>
        <v>0</v>
      </c>
      <c r="G555" s="32">
        <f>IF(F555="LENOVO",_xlfn.XLOOKUP(B555,Input!J:J,Input!K:K),_xlfn.XLOOKUP(B555,Input!J:J,Input!L:L))</f>
        <v>0</v>
      </c>
      <c r="H555" s="32"/>
      <c r="I555" s="32"/>
      <c r="J555" s="32"/>
      <c r="K555" s="42" t="e">
        <f>INDEX(Input!$D$2:$AC$500,
       MATCH(B555, Input!$J$2:$J$500, 0),
       MATCH("Total Memory", Input!$D$1:$AC$1, 0))</f>
        <v>#N/A</v>
      </c>
      <c r="L555" s="42"/>
      <c r="M555" s="42" t="str" cm="1">
        <f t="array" ref="M555">IFERROR(_xlfn.FILTERXML("&lt;t&gt;&lt;s&gt;" &amp; SUBSTITUTE(L555," / ","&lt;/s&gt;&lt;s&gt;") &amp; "&lt;/s&gt;&lt;/t&gt;","(//s[contains(.,'DDR')])[1]"),"")</f>
        <v/>
      </c>
      <c r="N555" s="32" t="e">
        <f t="shared" si="26"/>
        <v>#N/A</v>
      </c>
      <c r="O555" s="42" t="e">
        <f>INDEX(Input!$D$2:$AC$500,
       MATCH(B555, Input!$J$2:$J$500, 0),
       MATCH("Disk Interface Type", Input!$D$1:$AC$1, 0))</f>
        <v>#N/A</v>
      </c>
      <c r="P555" s="42" t="str" cm="1">
        <f t="array" ref="P555">IFERROR(_xlfn.TEXTJOIN(", ", TRUE, _xlfn._xlws.FILTER(
    INDEX(Input!$D$2:$AC$500,,MATCH("Disk Capacity",Input!$D$1:$AC$1,0)),
    Input!$J$2:$J$500=B555
)), "")</f>
        <v/>
      </c>
      <c r="Q555" s="32" t="e">
        <f t="shared" si="25"/>
        <v>#N/A</v>
      </c>
      <c r="R555" s="42" t="e">
        <f>_xlfn.LET(_xlpm.Result,INDEX(Input!$D$2:$AC$500,
       MATCH(B555, Input!$J$2:$J$500, 0),
       MATCH("Capacity", Input!$D$1:$AC$1, 0)),IF(_xlpm.Result="","",_xlpm.Result))</f>
        <v>#N/A</v>
      </c>
      <c r="S555" s="42"/>
      <c r="T555" s="42"/>
      <c r="U555" s="42" t="str" cm="1">
        <f t="array" ref="U555">IFERROR(_xlfn.IFS(
S555="","",
--S555&lt;55,"Battery Defect",
--S555&lt;=69,"Battery D",
--S555&lt;=80,"Battery C",
--S555&gt;80,""
),"")</f>
        <v/>
      </c>
      <c r="V555" s="42" t="str" cm="1">
        <f t="array" ref="V555">IFERROR(_xlfn.IFS(
T555="","",
--T555&lt;55,"Battery Defect",
--T555&lt;=69,"Battery D",
--T555&lt;=80,"Battery C",
--T555&gt;80,""
),"")</f>
        <v/>
      </c>
      <c r="W555" s="42"/>
      <c r="X555" s="42"/>
      <c r="Y555" s="42"/>
      <c r="Z555" s="42"/>
      <c r="AA555" s="42"/>
      <c r="AB555" s="42"/>
      <c r="AC555" s="42"/>
      <c r="AD555" s="42"/>
      <c r="AE555" s="32" t="str">
        <f t="shared" si="24"/>
        <v/>
      </c>
      <c r="AF555" s="32"/>
      <c r="AG555" s="32"/>
      <c r="AH555" s="32"/>
      <c r="AI555" s="32"/>
      <c r="AJ555" s="32"/>
      <c r="AK555" s="32"/>
      <c r="AL555" s="32"/>
      <c r="AM555" s="32"/>
    </row>
    <row r="556" spans="1:39">
      <c r="A556" s="32" t="str">
        <f>_xlfn.XLOOKUP(B556,Input!J:J,Input!G:G)&amp;""</f>
        <v/>
      </c>
      <c r="B556" s="32"/>
      <c r="C556" s="32" t="str">
        <f>_xlfn.XLOOKUP(B556,Input!J:J,Input!H:H)&amp;""</f>
        <v/>
      </c>
      <c r="D556" s="42">
        <f>_xlfn.XLOOKUP(B556,Input!J:J,Input!F:F)</f>
        <v>0</v>
      </c>
      <c r="E556" s="32">
        <f>_xlfn.XLOOKUP(D556,Models!H:H,Models!G:G,D556)</f>
        <v>0</v>
      </c>
      <c r="F556" s="32">
        <f>_xlfn.XLOOKUP(B556,Input!J:J,Input!E:E)</f>
        <v>0</v>
      </c>
      <c r="G556" s="32">
        <f>IF(F556="LENOVO",_xlfn.XLOOKUP(B556,Input!J:J,Input!K:K),_xlfn.XLOOKUP(B556,Input!J:J,Input!L:L))</f>
        <v>0</v>
      </c>
      <c r="H556" s="32"/>
      <c r="I556" s="32"/>
      <c r="J556" s="32"/>
      <c r="K556" s="42" t="e">
        <f>INDEX(Input!$D$2:$AC$500,
       MATCH(B556, Input!$J$2:$J$500, 0),
       MATCH("Total Memory", Input!$D$1:$AC$1, 0))</f>
        <v>#N/A</v>
      </c>
      <c r="L556" s="42"/>
      <c r="M556" s="42" t="str" cm="1">
        <f t="array" ref="M556">IFERROR(_xlfn.FILTERXML("&lt;t&gt;&lt;s&gt;" &amp; SUBSTITUTE(L556," / ","&lt;/s&gt;&lt;s&gt;") &amp; "&lt;/s&gt;&lt;/t&gt;","(//s[contains(.,'DDR')])[1]"),"")</f>
        <v/>
      </c>
      <c r="N556" s="32" t="e">
        <f t="shared" si="26"/>
        <v>#N/A</v>
      </c>
      <c r="O556" s="42" t="e">
        <f>INDEX(Input!$D$2:$AC$500,
       MATCH(B556, Input!$J$2:$J$500, 0),
       MATCH("Disk Interface Type", Input!$D$1:$AC$1, 0))</f>
        <v>#N/A</v>
      </c>
      <c r="P556" s="42" t="str" cm="1">
        <f t="array" ref="P556">IFERROR(_xlfn.TEXTJOIN(", ", TRUE, _xlfn._xlws.FILTER(
    INDEX(Input!$D$2:$AC$500,,MATCH("Disk Capacity",Input!$D$1:$AC$1,0)),
    Input!$J$2:$J$500=B556
)), "")</f>
        <v/>
      </c>
      <c r="Q556" s="32" t="e">
        <f t="shared" si="25"/>
        <v>#N/A</v>
      </c>
      <c r="R556" s="42" t="e">
        <f>_xlfn.LET(_xlpm.Result,INDEX(Input!$D$2:$AC$500,
       MATCH(B556, Input!$J$2:$J$500, 0),
       MATCH("Capacity", Input!$D$1:$AC$1, 0)),IF(_xlpm.Result="","",_xlpm.Result))</f>
        <v>#N/A</v>
      </c>
      <c r="S556" s="42"/>
      <c r="T556" s="42"/>
      <c r="U556" s="42" t="str" cm="1">
        <f t="array" ref="U556">IFERROR(_xlfn.IFS(
S556="","",
--S556&lt;55,"Battery Defect",
--S556&lt;=69,"Battery D",
--S556&lt;=80,"Battery C",
--S556&gt;80,""
),"")</f>
        <v/>
      </c>
      <c r="V556" s="42" t="str" cm="1">
        <f t="array" ref="V556">IFERROR(_xlfn.IFS(
T556="","",
--T556&lt;55,"Battery Defect",
--T556&lt;=69,"Battery D",
--T556&lt;=80,"Battery C",
--T556&gt;80,""
),"")</f>
        <v/>
      </c>
      <c r="W556" s="42"/>
      <c r="X556" s="42"/>
      <c r="Y556" s="42"/>
      <c r="Z556" s="42"/>
      <c r="AA556" s="42"/>
      <c r="AB556" s="42"/>
      <c r="AC556" s="42"/>
      <c r="AD556" s="42"/>
      <c r="AE556" s="32" t="str">
        <f t="shared" si="24"/>
        <v/>
      </c>
      <c r="AF556" s="32"/>
      <c r="AG556" s="32"/>
      <c r="AH556" s="32"/>
      <c r="AI556" s="32"/>
      <c r="AJ556" s="32"/>
      <c r="AK556" s="32"/>
      <c r="AL556" s="32"/>
      <c r="AM556" s="32"/>
    </row>
    <row r="557" spans="1:39">
      <c r="A557" s="32" t="str">
        <f>_xlfn.XLOOKUP(B557,Input!J:J,Input!G:G)&amp;""</f>
        <v/>
      </c>
      <c r="B557" s="32"/>
      <c r="C557" s="32" t="str">
        <f>_xlfn.XLOOKUP(B557,Input!J:J,Input!H:H)&amp;""</f>
        <v/>
      </c>
      <c r="D557" s="42">
        <f>_xlfn.XLOOKUP(B557,Input!J:J,Input!F:F)</f>
        <v>0</v>
      </c>
      <c r="E557" s="32"/>
      <c r="F557" s="32"/>
      <c r="G557" s="32"/>
      <c r="H557" s="32"/>
      <c r="I557" s="32"/>
      <c r="J557" s="32"/>
      <c r="K557" s="42"/>
      <c r="L557" s="42"/>
      <c r="M557" s="42" t="str" cm="1">
        <f t="array" ref="M557">IFERROR(_xlfn.FILTERXML("&lt;t&gt;&lt;s&gt;" &amp; SUBSTITUTE(L557," / ","&lt;/s&gt;&lt;s&gt;") &amp; "&lt;/s&gt;&lt;/t&gt;","(//s[contains(.,'DDR')])[1]"),"")</f>
        <v/>
      </c>
      <c r="N557" s="32" t="str">
        <f t="shared" si="26"/>
        <v/>
      </c>
      <c r="O557" s="42" t="e">
        <f>INDEX(Input!$D$2:$AC$500,
       MATCH(B557, Input!$J$2:$J$500, 0),
       MATCH("Disk Interface Type", Input!$D$1:$AC$1, 0))</f>
        <v>#N/A</v>
      </c>
      <c r="P557" s="42" t="str" cm="1">
        <f t="array" ref="P557">IFERROR(_xlfn.TEXTJOIN(", ", TRUE, _xlfn._xlws.FILTER(
    INDEX(Input!$D$2:$AC$500,,MATCH("Disk Capacity",Input!$D$1:$AC$1,0)),
    Input!$J$2:$J$500=B557
)), "")</f>
        <v/>
      </c>
      <c r="Q557" s="32" t="e">
        <f t="shared" si="25"/>
        <v>#N/A</v>
      </c>
      <c r="R557" s="42" t="e">
        <f>_xlfn.LET(_xlpm.Result,INDEX(Input!$D$2:$AC$500,
       MATCH(B557, Input!$J$2:$J$500, 0),
       MATCH("Capacity", Input!$D$1:$AC$1, 0)),IF(_xlpm.Result="","",_xlpm.Result))</f>
        <v>#N/A</v>
      </c>
      <c r="S557" s="42"/>
      <c r="T557" s="42"/>
      <c r="U557" s="42" t="str" cm="1">
        <f t="array" ref="U557">IFERROR(_xlfn.IFS(
S557="","",
--S557&lt;55,"Battery Defect",
--S557&lt;=69,"Battery D",
--S557&lt;=80,"Battery C",
--S557&gt;80,""
),"")</f>
        <v/>
      </c>
      <c r="V557" s="42" t="str" cm="1">
        <f t="array" ref="V557">IFERROR(_xlfn.IFS(
T557="","",
--T557&lt;55,"Battery Defect",
--T557&lt;=69,"Battery D",
--T557&lt;=80,"Battery C",
--T557&gt;80,""
),"")</f>
        <v/>
      </c>
      <c r="W557" s="42"/>
      <c r="X557" s="42"/>
      <c r="Y557" s="42"/>
      <c r="Z557" s="42"/>
      <c r="AA557" s="42"/>
      <c r="AB557" s="42"/>
      <c r="AC557" s="42"/>
      <c r="AD557" s="42"/>
      <c r="AE557" s="32" t="str">
        <f t="shared" si="24"/>
        <v/>
      </c>
      <c r="AF557" s="32"/>
      <c r="AG557" s="32"/>
      <c r="AH557" s="32"/>
      <c r="AI557" s="32"/>
      <c r="AJ557" s="32"/>
      <c r="AK557" s="32"/>
      <c r="AL557" s="32"/>
      <c r="AM557" s="32"/>
    </row>
    <row r="558" spans="1:39">
      <c r="A558" s="32" t="str">
        <f>_xlfn.XLOOKUP(B558,Input!J:J,Input!G:G)&amp;""</f>
        <v/>
      </c>
      <c r="B558" s="32"/>
      <c r="C558" s="32" t="str">
        <f>_xlfn.XLOOKUP(B558,Input!J:J,Input!H:H)&amp;""</f>
        <v/>
      </c>
      <c r="D558" s="42">
        <f>_xlfn.XLOOKUP(B558,Input!J:J,Input!F:F)</f>
        <v>0</v>
      </c>
      <c r="E558" s="32"/>
      <c r="F558" s="32"/>
      <c r="G558" s="32"/>
      <c r="H558" s="32"/>
      <c r="I558" s="32"/>
      <c r="J558" s="32"/>
      <c r="K558" s="42"/>
      <c r="L558" s="42"/>
      <c r="M558" s="42" t="str" cm="1">
        <f t="array" ref="M558">IFERROR(_xlfn.FILTERXML("&lt;t&gt;&lt;s&gt;" &amp; SUBSTITUTE(L558," / ","&lt;/s&gt;&lt;s&gt;") &amp; "&lt;/s&gt;&lt;/t&gt;","(//s[contains(.,'DDR')])[1]"),"")</f>
        <v/>
      </c>
      <c r="N558" s="32" t="str">
        <f t="shared" si="26"/>
        <v/>
      </c>
      <c r="O558" s="42" t="e">
        <f>INDEX(Input!$D$2:$AC$500,
       MATCH(B558, Input!$J$2:$J$500, 0),
       MATCH("Disk Interface Type", Input!$D$1:$AC$1, 0))</f>
        <v>#N/A</v>
      </c>
      <c r="P558" s="42" t="str" cm="1">
        <f t="array" ref="P558">IFERROR(_xlfn.TEXTJOIN(", ", TRUE, _xlfn._xlws.FILTER(
    INDEX(Input!$D$2:$AC$500,,MATCH("Disk Capacity",Input!$D$1:$AC$1,0)),
    Input!$J$2:$J$500=B558
)), "")</f>
        <v/>
      </c>
      <c r="Q558" s="32" t="e">
        <f t="shared" si="25"/>
        <v>#N/A</v>
      </c>
      <c r="R558" s="42" t="e">
        <f>_xlfn.LET(_xlpm.Result,INDEX(Input!$D$2:$AC$500,
       MATCH(B558, Input!$J$2:$J$500, 0),
       MATCH("Capacity", Input!$D$1:$AC$1, 0)),IF(_xlpm.Result="","",_xlpm.Result))</f>
        <v>#N/A</v>
      </c>
      <c r="S558" s="42"/>
      <c r="T558" s="42"/>
      <c r="U558" s="42" t="str" cm="1">
        <f t="array" ref="U558">IFERROR(_xlfn.IFS(
S558="","",
--S558&lt;55,"Battery Defect",
--S558&lt;=69,"Battery D",
--S558&lt;=80,"Battery C",
--S558&gt;80,""
),"")</f>
        <v/>
      </c>
      <c r="V558" s="42" t="str" cm="1">
        <f t="array" ref="V558">IFERROR(_xlfn.IFS(
T558="","",
--T558&lt;55,"Battery Defect",
--T558&lt;=69,"Battery D",
--T558&lt;=80,"Battery C",
--T558&gt;80,""
),"")</f>
        <v/>
      </c>
      <c r="W558" s="42"/>
      <c r="X558" s="42"/>
      <c r="Y558" s="42"/>
      <c r="Z558" s="42"/>
      <c r="AA558" s="42"/>
      <c r="AB558" s="42"/>
      <c r="AC558" s="42"/>
      <c r="AD558" s="42"/>
      <c r="AE558" s="32" t="str">
        <f t="shared" si="24"/>
        <v/>
      </c>
      <c r="AF558" s="32"/>
      <c r="AG558" s="32"/>
      <c r="AH558" s="32"/>
      <c r="AI558" s="32"/>
      <c r="AJ558" s="32"/>
      <c r="AK558" s="32"/>
      <c r="AL558" s="32"/>
      <c r="AM558" s="32"/>
    </row>
    <row r="559" spans="1:39">
      <c r="A559" s="32" t="str">
        <f>_xlfn.XLOOKUP(B559,Input!J:J,Input!G:G)&amp;""</f>
        <v/>
      </c>
      <c r="B559" s="32"/>
      <c r="C559" s="32" t="str">
        <f>_xlfn.XLOOKUP(B559,Input!J:J,Input!H:H)&amp;""</f>
        <v/>
      </c>
      <c r="D559" s="42"/>
      <c r="E559" s="32"/>
      <c r="F559" s="32"/>
      <c r="G559" s="32"/>
      <c r="H559" s="32"/>
      <c r="I559" s="32"/>
      <c r="J559" s="32"/>
      <c r="K559" s="42"/>
      <c r="L559" s="42"/>
      <c r="M559" s="42" t="str" cm="1">
        <f t="array" ref="M559">IFERROR(_xlfn.FILTERXML("&lt;t&gt;&lt;s&gt;" &amp; SUBSTITUTE(L559," / ","&lt;/s&gt;&lt;s&gt;") &amp; "&lt;/s&gt;&lt;/t&gt;","(//s[contains(.,'DDR')])[1]"),"")</f>
        <v/>
      </c>
      <c r="N559" s="32" t="str">
        <f t="shared" si="26"/>
        <v/>
      </c>
      <c r="O559" s="42" t="e">
        <f>INDEX(Input!$D$2:$AC$500,
       MATCH(B559, Input!$J$2:$J$500, 0),
       MATCH("Disk Interface Type", Input!$D$1:$AC$1, 0))</f>
        <v>#N/A</v>
      </c>
      <c r="P559" s="42" t="str" cm="1">
        <f t="array" ref="P559">IFERROR(_xlfn.TEXTJOIN(", ", TRUE, _xlfn._xlws.FILTER(
    INDEX(Input!$D$2:$AC$500,,MATCH("Disk Capacity",Input!$D$1:$AC$1,0)),
    Input!$J$2:$J$500=B559
)), "")</f>
        <v/>
      </c>
      <c r="Q559" s="32" t="e">
        <f t="shared" si="25"/>
        <v>#N/A</v>
      </c>
      <c r="R559" s="42" t="e">
        <f>_xlfn.LET(_xlpm.Result,INDEX(Input!$D$2:$AC$500,
       MATCH(B559, Input!$J$2:$J$500, 0),
       MATCH("Capacity", Input!$D$1:$AC$1, 0)),IF(_xlpm.Result="","",_xlpm.Result))</f>
        <v>#N/A</v>
      </c>
      <c r="S559" s="42"/>
      <c r="T559" s="42"/>
      <c r="U559" s="42" t="str" cm="1">
        <f t="array" ref="U559">IFERROR(_xlfn.IFS(
S559="","",
--S559&lt;55,"Battery Defect",
--S559&lt;=69,"Battery D",
--S559&lt;=80,"Battery C",
--S559&gt;80,""
),"")</f>
        <v/>
      </c>
      <c r="V559" s="42" t="str" cm="1">
        <f t="array" ref="V559">IFERROR(_xlfn.IFS(
T559="","",
--T559&lt;55,"Battery Defect",
--T559&lt;=69,"Battery D",
--T559&lt;=80,"Battery C",
--T559&gt;80,""
),"")</f>
        <v/>
      </c>
      <c r="W559" s="42"/>
      <c r="X559" s="42"/>
      <c r="Y559" s="42"/>
      <c r="Z559" s="42"/>
      <c r="AA559" s="42"/>
      <c r="AB559" s="42"/>
      <c r="AC559" s="42"/>
      <c r="AD559" s="42"/>
      <c r="AE559" s="32" t="str">
        <f t="shared" si="24"/>
        <v/>
      </c>
      <c r="AF559" s="32"/>
      <c r="AG559" s="32"/>
      <c r="AH559" s="32"/>
      <c r="AI559" s="32"/>
      <c r="AJ559" s="32"/>
      <c r="AK559" s="32"/>
      <c r="AL559" s="32"/>
      <c r="AM559" s="32"/>
    </row>
    <row r="560" spans="1:39">
      <c r="A560" s="32" t="str">
        <f>_xlfn.XLOOKUP(B560,Input!J:J,Input!G:G)&amp;""</f>
        <v/>
      </c>
      <c r="B560" s="32"/>
      <c r="C560" s="32" t="str">
        <f>_xlfn.XLOOKUP(B560,Input!J:J,Input!H:H)&amp;""</f>
        <v/>
      </c>
      <c r="D560" s="42"/>
      <c r="E560" s="32"/>
      <c r="F560" s="32"/>
      <c r="G560" s="32"/>
      <c r="H560" s="32"/>
      <c r="I560" s="32"/>
      <c r="J560" s="32"/>
      <c r="K560" s="42"/>
      <c r="L560" s="42"/>
      <c r="M560" s="42" t="str" cm="1">
        <f t="array" ref="M560">IFERROR(_xlfn.FILTERXML("&lt;t&gt;&lt;s&gt;" &amp; SUBSTITUTE(L560," / ","&lt;/s&gt;&lt;s&gt;") &amp; "&lt;/s&gt;&lt;/t&gt;","(//s[contains(.,'DDR')])[1]"),"")</f>
        <v/>
      </c>
      <c r="N560" s="32" t="str">
        <f t="shared" si="26"/>
        <v/>
      </c>
      <c r="O560" s="42" t="e">
        <f>INDEX(Input!$D$2:$AC$500,
       MATCH(B560, Input!$J$2:$J$500, 0),
       MATCH("Disk Interface Type", Input!$D$1:$AC$1, 0))</f>
        <v>#N/A</v>
      </c>
      <c r="P560" s="42" t="str" cm="1">
        <f t="array" ref="P560">IFERROR(_xlfn.TEXTJOIN(", ", TRUE, _xlfn._xlws.FILTER(
    INDEX(Input!$D$2:$AC$500,,MATCH("Disk Capacity",Input!$D$1:$AC$1,0)),
    Input!$J$2:$J$500=B560
)), "")</f>
        <v/>
      </c>
      <c r="Q560" s="32" t="e">
        <f t="shared" si="25"/>
        <v>#N/A</v>
      </c>
      <c r="R560" s="42" t="e">
        <f>_xlfn.LET(_xlpm.Result,INDEX(Input!$D$2:$AC$500,
       MATCH(B560, Input!$J$2:$J$500, 0),
       MATCH("Capacity", Input!$D$1:$AC$1, 0)),IF(_xlpm.Result="","",_xlpm.Result))</f>
        <v>#N/A</v>
      </c>
      <c r="S560" s="42"/>
      <c r="T560" s="42"/>
      <c r="U560" s="42" t="str" cm="1">
        <f t="array" ref="U560">IFERROR(_xlfn.IFS(
S560="","",
--S560&lt;55,"Battery Defect",
--S560&lt;=69,"Battery D",
--S560&lt;=80,"Battery C",
--S560&gt;80,""
),"")</f>
        <v/>
      </c>
      <c r="V560" s="42" t="str" cm="1">
        <f t="array" ref="V560">IFERROR(_xlfn.IFS(
T560="","",
--T560&lt;55,"Battery Defect",
--T560&lt;=69,"Battery D",
--T560&lt;=80,"Battery C",
--T560&gt;80,""
),"")</f>
        <v/>
      </c>
      <c r="W560" s="42"/>
      <c r="X560" s="42"/>
      <c r="Y560" s="42"/>
      <c r="Z560" s="42"/>
      <c r="AA560" s="42"/>
      <c r="AB560" s="42"/>
      <c r="AC560" s="42"/>
      <c r="AD560" s="42"/>
      <c r="AE560" s="32" t="str">
        <f t="shared" si="24"/>
        <v/>
      </c>
      <c r="AF560" s="32"/>
      <c r="AG560" s="32"/>
      <c r="AH560" s="32"/>
      <c r="AI560" s="32"/>
      <c r="AJ560" s="32"/>
      <c r="AK560" s="32"/>
      <c r="AL560" s="32"/>
      <c r="AM560" s="32"/>
    </row>
    <row r="561" spans="1:39">
      <c r="A561" s="32" t="str">
        <f>_xlfn.XLOOKUP(B561,Input!J:J,Input!G:G)&amp;""</f>
        <v/>
      </c>
      <c r="B561" s="32"/>
      <c r="C561" s="32" t="str">
        <f>_xlfn.XLOOKUP(B561,Input!J:J,Input!H:H)&amp;""</f>
        <v/>
      </c>
      <c r="D561" s="42"/>
      <c r="E561" s="32"/>
      <c r="F561" s="32"/>
      <c r="G561" s="32"/>
      <c r="H561" s="32"/>
      <c r="I561" s="32"/>
      <c r="J561" s="32"/>
      <c r="K561" s="42"/>
      <c r="L561" s="42"/>
      <c r="M561" s="42" t="str" cm="1">
        <f t="array" ref="M561">IFERROR(_xlfn.FILTERXML("&lt;t&gt;&lt;s&gt;" &amp; SUBSTITUTE(L561," / ","&lt;/s&gt;&lt;s&gt;") &amp; "&lt;/s&gt;&lt;/t&gt;","(//s[contains(.,'DDR')])[1]"),"")</f>
        <v/>
      </c>
      <c r="N561" s="32" t="str">
        <f t="shared" si="26"/>
        <v/>
      </c>
      <c r="O561" s="42" t="e">
        <f>INDEX(Input!$D$2:$AC$500,
       MATCH(B561, Input!$J$2:$J$500, 0),
       MATCH("Disk Interface Type", Input!$D$1:$AC$1, 0))</f>
        <v>#N/A</v>
      </c>
      <c r="P561" s="42" t="str" cm="1">
        <f t="array" ref="P561">IFERROR(_xlfn.TEXTJOIN(", ", TRUE, _xlfn._xlws.FILTER(
    INDEX(Input!$D$2:$AC$500,,MATCH("Disk Capacity",Input!$D$1:$AC$1,0)),
    Input!$J$2:$J$500=B561
)), "")</f>
        <v/>
      </c>
      <c r="Q561" s="32" t="e">
        <f t="shared" si="25"/>
        <v>#N/A</v>
      </c>
      <c r="R561" s="42" t="e">
        <f>_xlfn.LET(_xlpm.Result,INDEX(Input!$D$2:$AC$500,
       MATCH(B561, Input!$J$2:$J$500, 0),
       MATCH("Capacity", Input!$D$1:$AC$1, 0)),IF(_xlpm.Result="","",_xlpm.Result))</f>
        <v>#N/A</v>
      </c>
      <c r="S561" s="42"/>
      <c r="T561" s="42"/>
      <c r="U561" s="42" t="str" cm="1">
        <f t="array" ref="U561">IFERROR(_xlfn.IFS(
S561="","",
--S561&lt;55,"Battery Defect",
--S561&lt;=69,"Battery D",
--S561&lt;=80,"Battery C",
--S561&gt;80,""
),"")</f>
        <v/>
      </c>
      <c r="V561" s="42" t="str" cm="1">
        <f t="array" ref="V561">IFERROR(_xlfn.IFS(
T561="","",
--T561&lt;55,"Battery Defect",
--T561&lt;=69,"Battery D",
--T561&lt;=80,"Battery C",
--T561&gt;80,""
),"")</f>
        <v/>
      </c>
      <c r="W561" s="42"/>
      <c r="X561" s="42"/>
      <c r="Y561" s="42"/>
      <c r="Z561" s="42"/>
      <c r="AA561" s="42"/>
      <c r="AB561" s="42"/>
      <c r="AC561" s="42"/>
      <c r="AD561" s="42"/>
      <c r="AE561" s="32" t="str">
        <f t="shared" si="24"/>
        <v/>
      </c>
      <c r="AF561" s="32"/>
      <c r="AG561" s="32"/>
      <c r="AH561" s="32"/>
      <c r="AI561" s="32"/>
      <c r="AJ561" s="32"/>
      <c r="AK561" s="32"/>
      <c r="AL561" s="32"/>
      <c r="AM561" s="32"/>
    </row>
    <row r="562" spans="1:39">
      <c r="A562" s="32" t="str">
        <f>_xlfn.XLOOKUP(B562,Input!J:J,Input!G:G)&amp;""</f>
        <v/>
      </c>
      <c r="B562" s="32"/>
      <c r="C562" s="32" t="str">
        <f>_xlfn.XLOOKUP(B562,Input!J:J,Input!H:H)&amp;""</f>
        <v/>
      </c>
      <c r="D562" s="42"/>
      <c r="E562" s="32"/>
      <c r="F562" s="32"/>
      <c r="G562" s="32"/>
      <c r="H562" s="32"/>
      <c r="I562" s="32"/>
      <c r="J562" s="32"/>
      <c r="K562" s="42"/>
      <c r="L562" s="42"/>
      <c r="M562" s="42" t="str" cm="1">
        <f t="array" ref="M562">IFERROR(_xlfn.FILTERXML("&lt;t&gt;&lt;s&gt;" &amp; SUBSTITUTE(L562," / ","&lt;/s&gt;&lt;s&gt;") &amp; "&lt;/s&gt;&lt;/t&gt;","(//s[contains(.,'DDR')])[1]"),"")</f>
        <v/>
      </c>
      <c r="N562" s="32" t="str">
        <f t="shared" si="26"/>
        <v/>
      </c>
      <c r="O562" s="42" t="e">
        <f>INDEX(Input!$D$2:$AC$500,
       MATCH(B562, Input!$J$2:$J$500, 0),
       MATCH("Disk Interface Type", Input!$D$1:$AC$1, 0))</f>
        <v>#N/A</v>
      </c>
      <c r="P562" s="42" t="str" cm="1">
        <f t="array" ref="P562">IFERROR(_xlfn.TEXTJOIN(", ", TRUE, _xlfn._xlws.FILTER(
    INDEX(Input!$D$2:$AC$500,,MATCH("Disk Capacity",Input!$D$1:$AC$1,0)),
    Input!$J$2:$J$500=B562
)), "")</f>
        <v/>
      </c>
      <c r="Q562" s="32" t="e">
        <f t="shared" si="25"/>
        <v>#N/A</v>
      </c>
      <c r="R562" s="42" t="e">
        <f>_xlfn.LET(_xlpm.Result,INDEX(Input!$D$2:$AC$500,
       MATCH(B562, Input!$J$2:$J$500, 0),
       MATCH("Capacity", Input!$D$1:$AC$1, 0)),IF(_xlpm.Result="","",_xlpm.Result))</f>
        <v>#N/A</v>
      </c>
      <c r="S562" s="42"/>
      <c r="T562" s="42"/>
      <c r="U562" s="42" t="str" cm="1">
        <f t="array" ref="U562">IFERROR(_xlfn.IFS(
S562="","",
--S562&lt;55,"Battery Defect",
--S562&lt;=69,"Battery D",
--S562&lt;=80,"Battery C",
--S562&gt;80,""
),"")</f>
        <v/>
      </c>
      <c r="V562" s="42" t="str" cm="1">
        <f t="array" ref="V562">IFERROR(_xlfn.IFS(
T562="","",
--T562&lt;55,"Battery Defect",
--T562&lt;=69,"Battery D",
--T562&lt;=80,"Battery C",
--T562&gt;80,""
),"")</f>
        <v/>
      </c>
      <c r="W562" s="42"/>
      <c r="X562" s="42"/>
      <c r="Y562" s="42"/>
      <c r="Z562" s="42"/>
      <c r="AA562" s="42"/>
      <c r="AB562" s="42"/>
      <c r="AC562" s="42"/>
      <c r="AD562" s="42"/>
      <c r="AE562" s="32" t="str">
        <f t="shared" si="24"/>
        <v/>
      </c>
      <c r="AF562" s="32"/>
      <c r="AG562" s="32"/>
      <c r="AH562" s="32"/>
      <c r="AI562" s="32"/>
      <c r="AJ562" s="32"/>
      <c r="AK562" s="32"/>
      <c r="AL562" s="32"/>
      <c r="AM562" s="32"/>
    </row>
    <row r="563" spans="1:39">
      <c r="A563" s="32" t="str">
        <f>_xlfn.XLOOKUP(B563,Input!J:J,Input!G:G)&amp;""</f>
        <v/>
      </c>
      <c r="B563" s="32"/>
      <c r="C563" s="32" t="str">
        <f>_xlfn.XLOOKUP(B563,Input!J:J,Input!H:H)&amp;""</f>
        <v/>
      </c>
      <c r="D563" s="42"/>
      <c r="E563" s="32"/>
      <c r="F563" s="32"/>
      <c r="G563" s="32"/>
      <c r="H563" s="32"/>
      <c r="I563" s="32"/>
      <c r="J563" s="32"/>
      <c r="K563" s="42"/>
      <c r="L563" s="42"/>
      <c r="M563" s="42" t="str" cm="1">
        <f t="array" ref="M563">IFERROR(_xlfn.FILTERXML("&lt;t&gt;&lt;s&gt;" &amp; SUBSTITUTE(L563," / ","&lt;/s&gt;&lt;s&gt;") &amp; "&lt;/s&gt;&lt;/t&gt;","(//s[contains(.,'DDR')])[1]"),"")</f>
        <v/>
      </c>
      <c r="N563" s="32" t="str">
        <f t="shared" si="26"/>
        <v/>
      </c>
      <c r="O563" s="42" t="e">
        <f>INDEX(Input!$D$2:$AC$500,
       MATCH(B563, Input!$J$2:$J$500, 0),
       MATCH("Disk Interface Type", Input!$D$1:$AC$1, 0))</f>
        <v>#N/A</v>
      </c>
      <c r="P563" s="42" t="str" cm="1">
        <f t="array" ref="P563">IFERROR(_xlfn.TEXTJOIN(", ", TRUE, _xlfn._xlws.FILTER(
    INDEX(Input!$D$2:$AC$500,,MATCH("Disk Capacity",Input!$D$1:$AC$1,0)),
    Input!$J$2:$J$500=B563
)), "")</f>
        <v/>
      </c>
      <c r="Q563" s="32" t="e">
        <f t="shared" si="25"/>
        <v>#N/A</v>
      </c>
      <c r="R563" s="42" t="e">
        <f>_xlfn.LET(_xlpm.Result,INDEX(Input!$D$2:$AC$500,
       MATCH(B563, Input!$J$2:$J$500, 0),
       MATCH("Capacity", Input!$D$1:$AC$1, 0)),IF(_xlpm.Result="","",_xlpm.Result))</f>
        <v>#N/A</v>
      </c>
      <c r="S563" s="42"/>
      <c r="T563" s="42"/>
      <c r="U563" s="42" t="str" cm="1">
        <f t="array" ref="U563">IFERROR(_xlfn.IFS(
S563="","",
--S563&lt;55,"Battery Defect",
--S563&lt;=69,"Battery D",
--S563&lt;=80,"Battery C",
--S563&gt;80,""
),"")</f>
        <v/>
      </c>
      <c r="V563" s="42" t="str" cm="1">
        <f t="array" ref="V563">IFERROR(_xlfn.IFS(
T563="","",
--T563&lt;55,"Battery Defect",
--T563&lt;=69,"Battery D",
--T563&lt;=80,"Battery C",
--T563&gt;80,""
),"")</f>
        <v/>
      </c>
      <c r="W563" s="42"/>
      <c r="X563" s="42"/>
      <c r="Y563" s="42"/>
      <c r="Z563" s="42"/>
      <c r="AA563" s="42"/>
      <c r="AB563" s="42"/>
      <c r="AC563" s="42"/>
      <c r="AD563" s="42"/>
      <c r="AE563" s="32" t="str">
        <f t="shared" si="24"/>
        <v/>
      </c>
      <c r="AF563" s="32"/>
      <c r="AG563" s="32"/>
      <c r="AH563" s="32"/>
      <c r="AI563" s="32"/>
      <c r="AJ563" s="32"/>
      <c r="AK563" s="32"/>
      <c r="AL563" s="32"/>
      <c r="AM563" s="32"/>
    </row>
    <row r="564" spans="1:39">
      <c r="A564" s="32" t="str">
        <f>_xlfn.XLOOKUP(B564,Input!J:J,Input!G:G)&amp;""</f>
        <v/>
      </c>
      <c r="B564" s="32"/>
      <c r="C564" s="32" t="str">
        <f>_xlfn.XLOOKUP(B564,Input!J:J,Input!H:H)&amp;""</f>
        <v/>
      </c>
      <c r="D564" s="42"/>
      <c r="E564" s="32"/>
      <c r="F564" s="32"/>
      <c r="G564" s="32"/>
      <c r="H564" s="32"/>
      <c r="I564" s="32"/>
      <c r="J564" s="32"/>
      <c r="K564" s="42"/>
      <c r="L564" s="42"/>
      <c r="M564" s="42" t="str" cm="1">
        <f t="array" ref="M564">IFERROR(_xlfn.FILTERXML("&lt;t&gt;&lt;s&gt;" &amp; SUBSTITUTE(L564," / ","&lt;/s&gt;&lt;s&gt;") &amp; "&lt;/s&gt;&lt;/t&gt;","(//s[contains(.,'DDR')])[1]"),"")</f>
        <v/>
      </c>
      <c r="N564" s="32" t="str">
        <f t="shared" si="26"/>
        <v/>
      </c>
      <c r="O564" s="42" t="e">
        <f>INDEX(Input!$D$2:$AC$500,
       MATCH(B564, Input!$J$2:$J$500, 0),
       MATCH("Disk Interface Type", Input!$D$1:$AC$1, 0))</f>
        <v>#N/A</v>
      </c>
      <c r="P564" s="42" t="str" cm="1">
        <f t="array" ref="P564">IFERROR(_xlfn.TEXTJOIN(", ", TRUE, _xlfn._xlws.FILTER(
    INDEX(Input!$D$2:$AC$500,,MATCH("Disk Capacity",Input!$D$1:$AC$1,0)),
    Input!$J$2:$J$500=B564
)), "")</f>
        <v/>
      </c>
      <c r="Q564" s="32" t="e">
        <f t="shared" si="25"/>
        <v>#N/A</v>
      </c>
      <c r="R564" s="42" t="e">
        <f>_xlfn.LET(_xlpm.Result,INDEX(Input!$D$2:$AC$500,
       MATCH(B564, Input!$J$2:$J$500, 0),
       MATCH("Capacity", Input!$D$1:$AC$1, 0)),IF(_xlpm.Result="","",_xlpm.Result))</f>
        <v>#N/A</v>
      </c>
      <c r="S564" s="42"/>
      <c r="T564" s="42"/>
      <c r="U564" s="42" t="str" cm="1">
        <f t="array" ref="U564">IFERROR(_xlfn.IFS(
S564="","",
--S564&lt;55,"Battery Defect",
--S564&lt;=69,"Battery D",
--S564&lt;=80,"Battery C",
--S564&gt;80,""
),"")</f>
        <v/>
      </c>
      <c r="V564" s="42" t="str" cm="1">
        <f t="array" ref="V564">IFERROR(_xlfn.IFS(
T564="","",
--T564&lt;55,"Battery Defect",
--T564&lt;=69,"Battery D",
--T564&lt;=80,"Battery C",
--T564&gt;80,""
),"")</f>
        <v/>
      </c>
      <c r="W564" s="42"/>
      <c r="X564" s="42"/>
      <c r="Y564" s="42"/>
      <c r="Z564" s="42"/>
      <c r="AA564" s="42"/>
      <c r="AB564" s="42"/>
      <c r="AC564" s="42"/>
      <c r="AD564" s="42"/>
      <c r="AE564" s="32" t="str">
        <f t="shared" si="24"/>
        <v/>
      </c>
      <c r="AF564" s="32"/>
      <c r="AG564" s="32"/>
      <c r="AH564" s="32"/>
      <c r="AI564" s="32"/>
      <c r="AJ564" s="32"/>
      <c r="AK564" s="32"/>
      <c r="AL564" s="32"/>
      <c r="AM564" s="32"/>
    </row>
    <row r="565" spans="1:39">
      <c r="A565" s="32" t="str">
        <f>_xlfn.XLOOKUP(B565,Input!J:J,Input!G:G)&amp;""</f>
        <v/>
      </c>
      <c r="B565" s="32"/>
      <c r="C565" s="32" t="str">
        <f>_xlfn.XLOOKUP(B565,Input!J:J,Input!H:H)&amp;""</f>
        <v/>
      </c>
      <c r="D565" s="42"/>
      <c r="E565" s="32"/>
      <c r="F565" s="32"/>
      <c r="G565" s="32"/>
      <c r="H565" s="32"/>
      <c r="I565" s="32"/>
      <c r="J565" s="32"/>
      <c r="K565" s="42"/>
      <c r="L565" s="42"/>
      <c r="M565" s="42" t="str" cm="1">
        <f t="array" ref="M565">IFERROR(_xlfn.FILTERXML("&lt;t&gt;&lt;s&gt;" &amp; SUBSTITUTE(L565," / ","&lt;/s&gt;&lt;s&gt;") &amp; "&lt;/s&gt;&lt;/t&gt;","(//s[contains(.,'DDR')])[1]"),"")</f>
        <v/>
      </c>
      <c r="N565" s="32" t="str">
        <f t="shared" si="26"/>
        <v/>
      </c>
      <c r="O565" s="42" t="e">
        <f>INDEX(Input!$D$2:$AC$500,
       MATCH(B565, Input!$J$2:$J$500, 0),
       MATCH("Disk Interface Type", Input!$D$1:$AC$1, 0))</f>
        <v>#N/A</v>
      </c>
      <c r="P565" s="42" t="str" cm="1">
        <f t="array" ref="P565">IFERROR(_xlfn.TEXTJOIN(", ", TRUE, _xlfn._xlws.FILTER(
    INDEX(Input!$D$2:$AC$500,,MATCH("Disk Capacity",Input!$D$1:$AC$1,0)),
    Input!$J$2:$J$500=B565
)), "")</f>
        <v/>
      </c>
      <c r="Q565" s="32" t="e">
        <f t="shared" si="25"/>
        <v>#N/A</v>
      </c>
      <c r="R565" s="42"/>
      <c r="S565" s="42"/>
      <c r="T565" s="42"/>
      <c r="U565" s="42" t="str" cm="1">
        <f t="array" ref="U565">IFERROR(_xlfn.IFS(
S565="","",
--S565&lt;55,"Battery Defect",
--S565&lt;=69,"Battery D",
--S565&lt;=80,"Battery C",
--S565&gt;80,""
),"")</f>
        <v/>
      </c>
      <c r="V565" s="42" t="str" cm="1">
        <f t="array" ref="V565">IFERROR(_xlfn.IFS(
T565="","",
--T565&lt;55,"Battery Defect",
--T565&lt;=69,"Battery D",
--T565&lt;=80,"Battery C",
--T565&gt;80,""
),"")</f>
        <v/>
      </c>
      <c r="W565" s="42"/>
      <c r="X565" s="42"/>
      <c r="Y565" s="42"/>
      <c r="Z565" s="42"/>
      <c r="AA565" s="42"/>
      <c r="AB565" s="42"/>
      <c r="AC565" s="42"/>
      <c r="AD565" s="42"/>
      <c r="AE565" s="32" t="str">
        <f t="shared" si="24"/>
        <v/>
      </c>
      <c r="AF565" s="32"/>
      <c r="AG565" s="32"/>
      <c r="AH565" s="32"/>
      <c r="AI565" s="32"/>
      <c r="AJ565" s="32"/>
      <c r="AK565" s="32"/>
      <c r="AL565" s="32"/>
      <c r="AM565" s="32"/>
    </row>
    <row r="566" spans="1:39">
      <c r="A566" s="32" t="str">
        <f>_xlfn.XLOOKUP(B566,Input!J:J,Input!G:G)&amp;""</f>
        <v/>
      </c>
      <c r="B566" s="32"/>
      <c r="C566" s="32" t="str">
        <f>_xlfn.XLOOKUP(B566,Input!J:J,Input!H:H)&amp;""</f>
        <v/>
      </c>
      <c r="D566" s="42"/>
      <c r="E566" s="32"/>
      <c r="F566" s="32"/>
      <c r="G566" s="32"/>
      <c r="H566" s="32"/>
      <c r="I566" s="32"/>
      <c r="J566" s="32"/>
      <c r="K566" s="42"/>
      <c r="L566" s="42"/>
      <c r="M566" s="42" t="str" cm="1">
        <f t="array" ref="M566">IFERROR(_xlfn.FILTERXML("&lt;t&gt;&lt;s&gt;" &amp; SUBSTITUTE(L566," / ","&lt;/s&gt;&lt;s&gt;") &amp; "&lt;/s&gt;&lt;/t&gt;","(//s[contains(.,'DDR')])[1]"),"")</f>
        <v/>
      </c>
      <c r="N566" s="32" t="str">
        <f t="shared" si="26"/>
        <v/>
      </c>
      <c r="O566" s="42" t="e">
        <f>INDEX(Input!$D$2:$AC$500,
       MATCH(B566, Input!$J$2:$J$500, 0),
       MATCH("Disk Interface Type", Input!$D$1:$AC$1, 0))</f>
        <v>#N/A</v>
      </c>
      <c r="P566" s="42" t="str" cm="1">
        <f t="array" ref="P566">IFERROR(_xlfn.TEXTJOIN(", ", TRUE, _xlfn._xlws.FILTER(
    INDEX(Input!$D$2:$AC$500,,MATCH("Disk Capacity",Input!$D$1:$AC$1,0)),
    Input!$J$2:$J$500=B566
)), "")</f>
        <v/>
      </c>
      <c r="Q566" s="32" t="e">
        <f t="shared" si="25"/>
        <v>#N/A</v>
      </c>
      <c r="R566" s="42"/>
      <c r="S566" s="42"/>
      <c r="T566" s="42"/>
      <c r="U566" s="42" t="str" cm="1">
        <f t="array" ref="U566">IFERROR(_xlfn.IFS(
S566="","",
--S566&lt;55,"Battery Defect",
--S566&lt;=69,"Battery D",
--S566&lt;=80,"Battery C",
--S566&gt;80,""
),"")</f>
        <v/>
      </c>
      <c r="V566" s="42" t="str" cm="1">
        <f t="array" ref="V566">IFERROR(_xlfn.IFS(
T566="","",
--T566&lt;55,"Battery Defect",
--T566&lt;=69,"Battery D",
--T566&lt;=80,"Battery C",
--T566&gt;80,""
),"")</f>
        <v/>
      </c>
      <c r="W566" s="42"/>
      <c r="X566" s="42"/>
      <c r="Y566" s="42"/>
      <c r="Z566" s="42"/>
      <c r="AA566" s="42"/>
      <c r="AB566" s="42"/>
      <c r="AC566" s="42"/>
      <c r="AD566" s="42"/>
      <c r="AE566" s="32" t="str">
        <f t="shared" si="24"/>
        <v/>
      </c>
      <c r="AF566" s="32"/>
      <c r="AG566" s="32"/>
      <c r="AH566" s="32"/>
      <c r="AI566" s="32"/>
      <c r="AJ566" s="32"/>
      <c r="AK566" s="32"/>
      <c r="AL566" s="32"/>
      <c r="AM566" s="32"/>
    </row>
    <row r="567" spans="1:39">
      <c r="A567" s="32" t="str">
        <f>_xlfn.XLOOKUP(B567,Input!J:J,Input!G:G)&amp;""</f>
        <v/>
      </c>
      <c r="B567" s="32"/>
      <c r="C567" s="32" t="str">
        <f>_xlfn.XLOOKUP(B567,Input!J:J,Input!H:H)&amp;""</f>
        <v/>
      </c>
      <c r="D567" s="42"/>
      <c r="E567" s="32"/>
      <c r="F567" s="32"/>
      <c r="G567" s="32"/>
      <c r="H567" s="32"/>
      <c r="I567" s="32"/>
      <c r="J567" s="32"/>
      <c r="K567" s="42"/>
      <c r="L567" s="42"/>
      <c r="M567" s="42" t="str" cm="1">
        <f t="array" ref="M567">IFERROR(_xlfn.FILTERXML("&lt;t&gt;&lt;s&gt;" &amp; SUBSTITUTE(L567," / ","&lt;/s&gt;&lt;s&gt;") &amp; "&lt;/s&gt;&lt;/t&gt;","(//s[contains(.,'DDR')])[1]"),"")</f>
        <v/>
      </c>
      <c r="N567" s="32" t="str">
        <f t="shared" si="26"/>
        <v/>
      </c>
      <c r="O567" s="42" t="e">
        <f>INDEX(Input!$D$2:$AC$500,
       MATCH(B567, Input!$J$2:$J$500, 0),
       MATCH("Disk Interface Type", Input!$D$1:$AC$1, 0))</f>
        <v>#N/A</v>
      </c>
      <c r="P567" s="42"/>
      <c r="Q567" s="32" t="e">
        <f t="shared" si="25"/>
        <v>#N/A</v>
      </c>
      <c r="R567" s="42"/>
      <c r="S567" s="42"/>
      <c r="T567" s="42"/>
      <c r="U567" s="42" t="str" cm="1">
        <f t="array" ref="U567">IFERROR(_xlfn.IFS(
S567="","",
--S567&lt;55,"Battery Defect",
--S567&lt;=69,"Battery D",
--S567&lt;=80,"Battery C",
--S567&gt;80,""
),"")</f>
        <v/>
      </c>
      <c r="V567" s="42" t="str" cm="1">
        <f t="array" ref="V567">IFERROR(_xlfn.IFS(
T567="","",
--T567&lt;55,"Battery Defect",
--T567&lt;=69,"Battery D",
--T567&lt;=80,"Battery C",
--T567&gt;80,""
),"")</f>
        <v/>
      </c>
      <c r="W567" s="42"/>
      <c r="X567" s="42"/>
      <c r="Y567" s="42"/>
      <c r="Z567" s="42"/>
      <c r="AA567" s="42"/>
      <c r="AB567" s="42"/>
      <c r="AC567" s="42"/>
      <c r="AD567" s="42"/>
      <c r="AE567" s="32" t="str">
        <f t="shared" si="24"/>
        <v/>
      </c>
      <c r="AF567" s="32"/>
      <c r="AG567" s="32"/>
      <c r="AH567" s="32"/>
      <c r="AI567" s="32"/>
      <c r="AJ567" s="32"/>
      <c r="AK567" s="32"/>
      <c r="AL567" s="32"/>
      <c r="AM567" s="32"/>
    </row>
    <row r="568" spans="1:39">
      <c r="A568" s="32" t="str">
        <f>_xlfn.XLOOKUP(B568,Input!J:J,Input!G:G)&amp;""</f>
        <v/>
      </c>
      <c r="B568" s="32"/>
      <c r="C568" s="32" t="str">
        <f>_xlfn.XLOOKUP(B568,Input!J:J,Input!H:H)&amp;""</f>
        <v/>
      </c>
      <c r="D568" s="42"/>
      <c r="E568" s="32"/>
      <c r="F568" s="32"/>
      <c r="G568" s="32"/>
      <c r="H568" s="32"/>
      <c r="I568" s="32"/>
      <c r="J568" s="32"/>
      <c r="K568" s="42"/>
      <c r="L568" s="42"/>
      <c r="M568" s="42" t="str" cm="1">
        <f t="array" ref="M568">IFERROR(_xlfn.FILTERXML("&lt;t&gt;&lt;s&gt;" &amp; SUBSTITUTE(L568," / ","&lt;/s&gt;&lt;s&gt;") &amp; "&lt;/s&gt;&lt;/t&gt;","(//s[contains(.,'DDR')])[1]"),"")</f>
        <v/>
      </c>
      <c r="N568" s="32" t="str">
        <f t="shared" si="26"/>
        <v/>
      </c>
      <c r="O568" s="42" t="e">
        <f>INDEX(Input!$D$2:$AC$500,
       MATCH(B568, Input!$J$2:$J$500, 0),
       MATCH("Disk Interface Type", Input!$D$1:$AC$1, 0))</f>
        <v>#N/A</v>
      </c>
      <c r="P568" s="42"/>
      <c r="Q568" s="32" t="e">
        <f t="shared" si="25"/>
        <v>#N/A</v>
      </c>
      <c r="R568" s="42"/>
      <c r="S568" s="42"/>
      <c r="T568" s="42"/>
      <c r="U568" s="42" t="str" cm="1">
        <f t="array" ref="U568">IFERROR(_xlfn.IFS(
S568="","",
--S568&lt;55,"Battery Defect",
--S568&lt;=69,"Battery D",
--S568&lt;=80,"Battery C",
--S568&gt;80,""
),"")</f>
        <v/>
      </c>
      <c r="V568" s="42" t="str" cm="1">
        <f t="array" ref="V568">IFERROR(_xlfn.IFS(
T568="","",
--T568&lt;55,"Battery Defect",
--T568&lt;=69,"Battery D",
--T568&lt;=80,"Battery C",
--T568&gt;80,""
),"")</f>
        <v/>
      </c>
      <c r="W568" s="42"/>
      <c r="X568" s="42"/>
      <c r="Y568" s="42"/>
      <c r="Z568" s="42"/>
      <c r="AA568" s="42"/>
      <c r="AB568" s="42"/>
      <c r="AC568" s="42"/>
      <c r="AD568" s="42"/>
      <c r="AE568" s="32" t="str">
        <f t="shared" si="24"/>
        <v/>
      </c>
      <c r="AF568" s="32"/>
      <c r="AG568" s="32"/>
      <c r="AH568" s="32"/>
      <c r="AI568" s="32"/>
      <c r="AJ568" s="32"/>
      <c r="AK568" s="32"/>
      <c r="AL568" s="32"/>
      <c r="AM568" s="32"/>
    </row>
    <row r="569" spans="1:39">
      <c r="A569" s="32" t="str">
        <f>_xlfn.XLOOKUP(B569,Input!J:J,Input!G:G)&amp;""</f>
        <v/>
      </c>
      <c r="B569" s="32"/>
      <c r="C569" s="32" t="str">
        <f>_xlfn.XLOOKUP(B569,Input!J:J,Input!H:H)&amp;""</f>
        <v/>
      </c>
      <c r="D569" s="42"/>
      <c r="E569" s="32"/>
      <c r="F569" s="32"/>
      <c r="G569" s="32"/>
      <c r="H569" s="32"/>
      <c r="I569" s="32"/>
      <c r="J569" s="32"/>
      <c r="K569" s="42"/>
      <c r="L569" s="42"/>
      <c r="M569" s="42"/>
      <c r="N569" s="32" t="str">
        <f t="shared" si="26"/>
        <v/>
      </c>
      <c r="O569" s="42" t="e">
        <f>INDEX(Input!$D$2:$AC$500,
       MATCH(B569, Input!$J$2:$J$500, 0),
       MATCH("Disk Interface Type", Input!$D$1:$AC$1, 0))</f>
        <v>#N/A</v>
      </c>
      <c r="P569" s="42"/>
      <c r="Q569" s="32" t="e">
        <f t="shared" si="25"/>
        <v>#N/A</v>
      </c>
      <c r="R569" s="42"/>
      <c r="S569" s="42"/>
      <c r="T569" s="42"/>
      <c r="U569" s="42" t="str" cm="1">
        <f t="array" ref="U569">IFERROR(_xlfn.IFS(
S569="","",
--S569&lt;55,"Battery Defect",
--S569&lt;=69,"Battery D",
--S569&lt;=80,"Battery C",
--S569&gt;80,""
),"")</f>
        <v/>
      </c>
      <c r="V569" s="42" t="str" cm="1">
        <f t="array" ref="V569">IFERROR(_xlfn.IFS(
T569="","",
--T569&lt;55,"Battery Defect",
--T569&lt;=69,"Battery D",
--T569&lt;=80,"Battery C",
--T569&gt;80,""
),"")</f>
        <v/>
      </c>
      <c r="W569" s="42"/>
      <c r="X569" s="42"/>
      <c r="Y569" s="42"/>
      <c r="Z569" s="42"/>
      <c r="AA569" s="42"/>
      <c r="AB569" s="42"/>
      <c r="AC569" s="42"/>
      <c r="AD569" s="42"/>
      <c r="AE569" s="32" t="str">
        <f t="shared" si="24"/>
        <v/>
      </c>
      <c r="AF569" s="32"/>
      <c r="AG569" s="32"/>
      <c r="AH569" s="32"/>
      <c r="AI569" s="32"/>
      <c r="AJ569" s="32"/>
      <c r="AK569" s="32"/>
      <c r="AL569" s="32"/>
      <c r="AM569" s="32"/>
    </row>
    <row r="570" spans="1:39">
      <c r="A570" s="32" t="str">
        <f>_xlfn.XLOOKUP(B570,Input!J:J,Input!G:G)&amp;""</f>
        <v/>
      </c>
      <c r="B570" s="32"/>
      <c r="C570" s="32" t="str">
        <f>_xlfn.XLOOKUP(B570,Input!J:J,Input!H:H)&amp;""</f>
        <v/>
      </c>
      <c r="D570" s="42"/>
      <c r="E570" s="32"/>
      <c r="F570" s="32"/>
      <c r="G570" s="32"/>
      <c r="H570" s="32"/>
      <c r="I570" s="32"/>
      <c r="J570" s="32"/>
      <c r="K570" s="42"/>
      <c r="L570" s="42"/>
      <c r="M570" s="42"/>
      <c r="N570" s="32" t="str">
        <f t="shared" si="26"/>
        <v/>
      </c>
      <c r="O570" s="42" t="e">
        <f>INDEX(Input!$D$2:$AC$500,
       MATCH(B570, Input!$J$2:$J$500, 0),
       MATCH("Disk Interface Type", Input!$D$1:$AC$1, 0))</f>
        <v>#N/A</v>
      </c>
      <c r="P570" s="42"/>
      <c r="Q570" s="32"/>
      <c r="R570" s="42"/>
      <c r="S570" s="42"/>
      <c r="T570" s="42"/>
      <c r="U570" s="42" t="str" cm="1">
        <f t="array" ref="U570">IFERROR(_xlfn.IFS(
S570="","",
--S570&lt;55,"Battery Defect",
--S570&lt;=69,"Battery D",
--S570&lt;=80,"Battery C",
--S570&gt;80,""
),"")</f>
        <v/>
      </c>
      <c r="V570" s="42" t="str" cm="1">
        <f t="array" ref="V570">IFERROR(_xlfn.IFS(
T570="","",
--T570&lt;55,"Battery Defect",
--T570&lt;=69,"Battery D",
--T570&lt;=80,"Battery C",
--T570&gt;80,""
),"")</f>
        <v/>
      </c>
      <c r="W570" s="42"/>
      <c r="X570" s="42"/>
      <c r="Y570" s="42"/>
      <c r="Z570" s="42"/>
      <c r="AA570" s="42"/>
      <c r="AB570" s="42"/>
      <c r="AC570" s="42"/>
      <c r="AD570" s="42"/>
      <c r="AE570" s="32" t="str">
        <f t="shared" si="24"/>
        <v/>
      </c>
      <c r="AF570" s="32"/>
      <c r="AG570" s="32"/>
      <c r="AH570" s="32"/>
      <c r="AI570" s="32"/>
      <c r="AJ570" s="32"/>
      <c r="AK570" s="32"/>
      <c r="AL570" s="32"/>
      <c r="AM570" s="32"/>
    </row>
    <row r="571" spans="1:39">
      <c r="A571" s="32" t="str">
        <f>_xlfn.XLOOKUP(B571,Input!J:J,Input!G:G)&amp;""</f>
        <v/>
      </c>
      <c r="B571" s="32"/>
      <c r="C571" s="32" t="str">
        <f>_xlfn.XLOOKUP(B571,Input!J:J,Input!H:H)&amp;""</f>
        <v/>
      </c>
      <c r="D571" s="42"/>
      <c r="E571" s="32"/>
      <c r="F571" s="32"/>
      <c r="G571" s="32"/>
      <c r="H571" s="32"/>
      <c r="I571" s="32"/>
      <c r="J571" s="32"/>
      <c r="K571" s="42"/>
      <c r="L571" s="42"/>
      <c r="M571" s="42"/>
      <c r="N571" s="32" t="str">
        <f t="shared" si="26"/>
        <v/>
      </c>
      <c r="O571" s="42" t="e">
        <f>INDEX(Input!$D$2:$AC$500,
       MATCH(B571, Input!$J$2:$J$500, 0),
       MATCH("Disk Interface Type", Input!$D$1:$AC$1, 0))</f>
        <v>#N/A</v>
      </c>
      <c r="P571" s="42"/>
      <c r="Q571" s="32"/>
      <c r="R571" s="42"/>
      <c r="S571" s="42"/>
      <c r="T571" s="42"/>
      <c r="U571" s="42" t="str" cm="1">
        <f t="array" ref="U571">IFERROR(_xlfn.IFS(
S571="","",
--S571&lt;55,"Battery Defect",
--S571&lt;=69,"Battery D",
--S571&lt;=80,"Battery C",
--S571&gt;80,""
),"")</f>
        <v/>
      </c>
      <c r="V571" s="42" t="str" cm="1">
        <f t="array" ref="V571">IFERROR(_xlfn.IFS(
T571="","",
--T571&lt;55,"Battery Defect",
--T571&lt;=69,"Battery D",
--T571&lt;=80,"Battery C",
--T571&gt;80,""
),"")</f>
        <v/>
      </c>
      <c r="W571" s="42"/>
      <c r="X571" s="42"/>
      <c r="Y571" s="42"/>
      <c r="Z571" s="42"/>
      <c r="AA571" s="42"/>
      <c r="AB571" s="42"/>
      <c r="AC571" s="42"/>
      <c r="AD571" s="42"/>
      <c r="AE571" s="32" t="str">
        <f t="shared" si="24"/>
        <v/>
      </c>
      <c r="AF571" s="32"/>
      <c r="AG571" s="32"/>
      <c r="AH571" s="32"/>
      <c r="AI571" s="32"/>
      <c r="AJ571" s="32"/>
      <c r="AK571" s="32"/>
      <c r="AL571" s="32"/>
      <c r="AM571" s="32"/>
    </row>
    <row r="572" spans="1:39">
      <c r="A572" s="32" t="str">
        <f>_xlfn.XLOOKUP(B572,Input!J:J,Input!G:G)&amp;""</f>
        <v/>
      </c>
      <c r="B572" s="32"/>
      <c r="C572" s="32" t="str">
        <f>_xlfn.XLOOKUP(B572,Input!J:J,Input!H:H)&amp;""</f>
        <v/>
      </c>
      <c r="D572" s="42"/>
      <c r="E572" s="32"/>
      <c r="F572" s="32"/>
      <c r="G572" s="32"/>
      <c r="H572" s="32"/>
      <c r="I572" s="32"/>
      <c r="J572" s="32"/>
      <c r="K572" s="42"/>
      <c r="L572" s="42"/>
      <c r="M572" s="42"/>
      <c r="N572" s="32" t="str">
        <f t="shared" si="26"/>
        <v/>
      </c>
      <c r="O572" s="42" t="e">
        <f>INDEX(Input!$D$2:$AC$500,
       MATCH(B572, Input!$J$2:$J$500, 0),
       MATCH("Disk Interface Type", Input!$D$1:$AC$1, 0))</f>
        <v>#N/A</v>
      </c>
      <c r="P572" s="42"/>
      <c r="Q572" s="32"/>
      <c r="R572" s="42"/>
      <c r="S572" s="42"/>
      <c r="T572" s="42"/>
      <c r="U572" s="42" t="str" cm="1">
        <f t="array" ref="U572">IFERROR(_xlfn.IFS(
S572="","",
--S572&lt;55,"Battery Defect",
--S572&lt;=69,"Battery D",
--S572&lt;=80,"Battery C",
--S572&gt;80,""
),"")</f>
        <v/>
      </c>
      <c r="V572" s="42" t="str" cm="1">
        <f t="array" ref="V572">IFERROR(_xlfn.IFS(
T572="","",
--T572&lt;55,"Battery Defect",
--T572&lt;=69,"Battery D",
--T572&lt;=80,"Battery C",
--T572&gt;80,""
),"")</f>
        <v/>
      </c>
      <c r="W572" s="42"/>
      <c r="X572" s="42"/>
      <c r="Y572" s="42"/>
      <c r="Z572" s="42"/>
      <c r="AA572" s="42"/>
      <c r="AB572" s="42"/>
      <c r="AC572" s="42"/>
      <c r="AD572" s="42"/>
      <c r="AE572" s="32" t="str">
        <f t="shared" si="24"/>
        <v/>
      </c>
      <c r="AF572" s="32"/>
      <c r="AG572" s="32"/>
      <c r="AH572" s="32"/>
      <c r="AI572" s="32"/>
      <c r="AJ572" s="32"/>
      <c r="AK572" s="32"/>
      <c r="AL572" s="32"/>
      <c r="AM572" s="32"/>
    </row>
    <row r="573" spans="1:39">
      <c r="A573" s="32" t="str">
        <f>_xlfn.XLOOKUP(B573,Input!J:J,Input!G:G)&amp;""</f>
        <v/>
      </c>
      <c r="B573" s="32"/>
      <c r="C573" s="32" t="str">
        <f>_xlfn.XLOOKUP(B573,Input!J:J,Input!H:H)&amp;""</f>
        <v/>
      </c>
      <c r="D573" s="42"/>
      <c r="E573" s="32"/>
      <c r="F573" s="32"/>
      <c r="G573" s="32"/>
      <c r="H573" s="32"/>
      <c r="I573" s="32"/>
      <c r="J573" s="32"/>
      <c r="K573" s="42"/>
      <c r="L573" s="42"/>
      <c r="M573" s="42"/>
      <c r="N573" s="32" t="str">
        <f t="shared" si="26"/>
        <v/>
      </c>
      <c r="O573" s="42"/>
      <c r="P573" s="42"/>
      <c r="Q573" s="32"/>
      <c r="R573" s="42"/>
      <c r="S573" s="42"/>
      <c r="T573" s="42"/>
      <c r="U573" s="42" t="str" cm="1">
        <f t="array" ref="U573">IFERROR(_xlfn.IFS(
S573="","",
--S573&lt;55,"Battery Defect",
--S573&lt;=69,"Battery D",
--S573&lt;=80,"Battery C",
--S573&gt;80,""
),"")</f>
        <v/>
      </c>
      <c r="V573" s="42" t="str" cm="1">
        <f t="array" ref="V573">IFERROR(_xlfn.IFS(
T573="","",
--T573&lt;55,"Battery Defect",
--T573&lt;=69,"Battery D",
--T573&lt;=80,"Battery C",
--T573&gt;80,""
),"")</f>
        <v/>
      </c>
      <c r="W573" s="42"/>
      <c r="X573" s="42"/>
      <c r="Y573" s="42"/>
      <c r="Z573" s="42"/>
      <c r="AA573" s="42"/>
      <c r="AB573" s="42"/>
      <c r="AC573" s="42"/>
      <c r="AD573" s="42"/>
      <c r="AE573" s="32" t="str">
        <f t="shared" si="24"/>
        <v/>
      </c>
      <c r="AF573" s="32"/>
      <c r="AG573" s="32"/>
      <c r="AH573" s="32"/>
      <c r="AI573" s="32"/>
      <c r="AJ573" s="32"/>
      <c r="AK573" s="32"/>
      <c r="AL573" s="32"/>
      <c r="AM573" s="32"/>
    </row>
    <row r="574" spans="1:39">
      <c r="A574" s="32" t="str">
        <f>_xlfn.XLOOKUP(B574,Input!J:J,Input!G:G)&amp;""</f>
        <v/>
      </c>
      <c r="B574" s="32"/>
      <c r="C574" s="32" t="str">
        <f>_xlfn.XLOOKUP(B574,Input!J:J,Input!H:H)&amp;""</f>
        <v/>
      </c>
      <c r="D574" s="42"/>
      <c r="E574" s="32"/>
      <c r="F574" s="32"/>
      <c r="G574" s="32"/>
      <c r="H574" s="32"/>
      <c r="I574" s="32"/>
      <c r="J574" s="32"/>
      <c r="K574" s="42"/>
      <c r="L574" s="42"/>
      <c r="M574" s="42"/>
      <c r="N574" s="32" t="str">
        <f t="shared" si="26"/>
        <v/>
      </c>
      <c r="O574" s="42"/>
      <c r="P574" s="42"/>
      <c r="Q574" s="32"/>
      <c r="R574" s="42"/>
      <c r="S574" s="42"/>
      <c r="T574" s="42"/>
      <c r="U574" s="42" t="str" cm="1">
        <f t="array" ref="U574">IFERROR(_xlfn.IFS(
S574="","",
--S574&lt;55,"Battery Defect",
--S574&lt;=69,"Battery D",
--S574&lt;=80,"Battery C",
--S574&gt;80,""
),"")</f>
        <v/>
      </c>
      <c r="V574" s="42" t="str" cm="1">
        <f t="array" ref="V574">IFERROR(_xlfn.IFS(
T574="","",
--T574&lt;55,"Battery Defect",
--T574&lt;=69,"Battery D",
--T574&lt;=80,"Battery C",
--T574&gt;80,""
),"")</f>
        <v/>
      </c>
      <c r="W574" s="42"/>
      <c r="X574" s="42"/>
      <c r="Y574" s="42"/>
      <c r="Z574" s="42"/>
      <c r="AA574" s="42"/>
      <c r="AB574" s="42"/>
      <c r="AC574" s="42"/>
      <c r="AD574" s="42"/>
      <c r="AE574" s="32" t="str">
        <f t="shared" si="24"/>
        <v/>
      </c>
      <c r="AF574" s="32"/>
      <c r="AG574" s="32"/>
      <c r="AH574" s="32"/>
      <c r="AI574" s="32"/>
      <c r="AJ574" s="32"/>
      <c r="AK574" s="32"/>
      <c r="AL574" s="32"/>
      <c r="AM574" s="32"/>
    </row>
    <row r="575" spans="1:39">
      <c r="A575" s="32" t="str">
        <f>_xlfn.XLOOKUP(B575,Input!J:J,Input!G:G)&amp;""</f>
        <v/>
      </c>
      <c r="B575" s="32"/>
      <c r="C575" s="32" t="str">
        <f>_xlfn.XLOOKUP(B575,Input!J:J,Input!H:H)&amp;""</f>
        <v/>
      </c>
      <c r="D575" s="42"/>
      <c r="E575" s="32"/>
      <c r="F575" s="32"/>
      <c r="G575" s="32"/>
      <c r="H575" s="32"/>
      <c r="I575" s="32"/>
      <c r="J575" s="32"/>
      <c r="K575" s="42"/>
      <c r="L575" s="42"/>
      <c r="M575" s="42"/>
      <c r="N575" s="32" t="str">
        <f t="shared" si="26"/>
        <v/>
      </c>
      <c r="O575" s="42"/>
      <c r="P575" s="42"/>
      <c r="Q575" s="3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32"/>
      <c r="AF575" s="32"/>
      <c r="AG575" s="32"/>
      <c r="AH575" s="32"/>
      <c r="AI575" s="32"/>
      <c r="AJ575" s="32"/>
      <c r="AK575" s="32"/>
      <c r="AL575" s="32"/>
      <c r="AM575" s="32"/>
    </row>
    <row r="576" spans="1:39">
      <c r="A576" s="32" t="str">
        <f>_xlfn.XLOOKUP(B576,Input!J:J,Input!G:G)&amp;""</f>
        <v/>
      </c>
      <c r="B576" s="32"/>
      <c r="C576" s="32" t="str">
        <f>_xlfn.XLOOKUP(B576,Input!J:J,Input!H:H)&amp;""</f>
        <v/>
      </c>
      <c r="D576" s="42"/>
      <c r="E576" s="32"/>
      <c r="F576" s="32"/>
      <c r="G576" s="32"/>
      <c r="H576" s="32"/>
      <c r="I576" s="32"/>
      <c r="J576" s="32"/>
      <c r="K576" s="42"/>
      <c r="L576" s="42"/>
      <c r="M576" s="42"/>
      <c r="N576" s="32" t="str">
        <f t="shared" si="26"/>
        <v/>
      </c>
      <c r="O576" s="42"/>
      <c r="P576" s="42"/>
      <c r="Q576" s="3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32"/>
      <c r="AF576" s="32"/>
      <c r="AG576" s="32"/>
      <c r="AH576" s="32"/>
      <c r="AI576" s="32"/>
      <c r="AJ576" s="32"/>
      <c r="AK576" s="32"/>
      <c r="AL576" s="32"/>
      <c r="AM576" s="32"/>
    </row>
    <row r="577" spans="1:14">
      <c r="A577" s="32" t="str">
        <f>_xlfn.XLOOKUP(B577,Input!J:J,Input!G:G)&amp;""</f>
        <v/>
      </c>
      <c r="C577" s="32" t="str">
        <f>_xlfn.XLOOKUP(B577,Input!J:J,Input!H:H)&amp;""</f>
        <v/>
      </c>
      <c r="N577" s="32" t="str">
        <f t="shared" si="26"/>
        <v/>
      </c>
    </row>
    <row r="578" spans="1:14">
      <c r="A578" s="32" t="str">
        <f>_xlfn.XLOOKUP(B578,Input!J:J,Input!G:G)&amp;""</f>
        <v/>
      </c>
      <c r="C578" s="32" t="str">
        <f>_xlfn.XLOOKUP(B578,Input!J:J,Input!H:H)&amp;""</f>
        <v/>
      </c>
      <c r="N578" s="32" t="str">
        <f t="shared" si="26"/>
        <v/>
      </c>
    </row>
    <row r="579" spans="1:14">
      <c r="A579" s="32" t="str">
        <f>_xlfn.XLOOKUP(B579,Input!J:J,Input!G:G)&amp;""</f>
        <v/>
      </c>
      <c r="C579" s="32" t="str">
        <f>_xlfn.XLOOKUP(B579,Input!J:J,Input!H:H)&amp;""</f>
        <v/>
      </c>
      <c r="N579" s="32" t="str">
        <f t="shared" si="26"/>
        <v/>
      </c>
    </row>
    <row r="580" spans="1:14">
      <c r="A580" s="32" t="str">
        <f>_xlfn.XLOOKUP(B580,Input!J:J,Input!G:G)&amp;""</f>
        <v/>
      </c>
      <c r="C580" s="32" t="str">
        <f>_xlfn.XLOOKUP(B580,Input!J:J,Input!H:H)&amp;""</f>
        <v/>
      </c>
      <c r="N580" s="32" t="str">
        <f t="shared" ref="N580:N643" si="27">_xlfn.TEXTJOIN(" ",TRUE,SUBSTITUTE(K580,"i",""),M580)</f>
        <v/>
      </c>
    </row>
    <row r="581" spans="1:14">
      <c r="A581" s="32" t="str">
        <f>_xlfn.XLOOKUP(B581,Input!J:J,Input!G:G)&amp;""</f>
        <v/>
      </c>
      <c r="C581" s="32" t="str">
        <f>_xlfn.XLOOKUP(B581,Input!J:J,Input!H:H)&amp;""</f>
        <v/>
      </c>
      <c r="N581" s="32" t="str">
        <f t="shared" si="27"/>
        <v/>
      </c>
    </row>
    <row r="582" spans="1:14">
      <c r="A582" s="32" t="str">
        <f>_xlfn.XLOOKUP(B582,Input!J:J,Input!G:G)&amp;""</f>
        <v/>
      </c>
      <c r="C582" s="32" t="str">
        <f>_xlfn.XLOOKUP(B582,Input!J:J,Input!H:H)&amp;""</f>
        <v/>
      </c>
      <c r="N582" s="32" t="str">
        <f t="shared" si="27"/>
        <v/>
      </c>
    </row>
    <row r="583" spans="1:14">
      <c r="A583" s="32" t="str">
        <f>_xlfn.XLOOKUP(B583,Input!J:J,Input!G:G)&amp;""</f>
        <v/>
      </c>
      <c r="C583" s="32" t="str">
        <f>_xlfn.XLOOKUP(B583,Input!J:J,Input!H:H)&amp;""</f>
        <v/>
      </c>
      <c r="N583" s="32" t="str">
        <f t="shared" si="27"/>
        <v/>
      </c>
    </row>
    <row r="584" spans="1:14">
      <c r="A584" s="32" t="str">
        <f>_xlfn.XLOOKUP(B584,Input!J:J,Input!G:G)&amp;""</f>
        <v/>
      </c>
      <c r="C584" s="32" t="str">
        <f>_xlfn.XLOOKUP(B584,Input!J:J,Input!H:H)&amp;""</f>
        <v/>
      </c>
      <c r="N584" s="32" t="str">
        <f t="shared" si="27"/>
        <v/>
      </c>
    </row>
    <row r="585" spans="1:14">
      <c r="A585" s="32" t="str">
        <f>_xlfn.XLOOKUP(B585,Input!J:J,Input!G:G)&amp;""</f>
        <v/>
      </c>
      <c r="C585" s="32" t="str">
        <f>_xlfn.XLOOKUP(B585,Input!J:J,Input!H:H)&amp;""</f>
        <v/>
      </c>
      <c r="N585" s="32" t="str">
        <f t="shared" si="27"/>
        <v/>
      </c>
    </row>
    <row r="586" spans="1:14">
      <c r="A586" s="32" t="str">
        <f>_xlfn.XLOOKUP(B586,Input!J:J,Input!G:G)&amp;""</f>
        <v/>
      </c>
      <c r="C586" s="32" t="str">
        <f>_xlfn.XLOOKUP(B586,Input!J:J,Input!H:H)&amp;""</f>
        <v/>
      </c>
      <c r="N586" s="32" t="str">
        <f t="shared" si="27"/>
        <v/>
      </c>
    </row>
    <row r="587" spans="1:14">
      <c r="A587" s="32" t="str">
        <f>_xlfn.XLOOKUP(B587,Input!J:J,Input!G:G)&amp;""</f>
        <v/>
      </c>
      <c r="C587" s="32" t="str">
        <f>_xlfn.XLOOKUP(B587,Input!J:J,Input!H:H)&amp;""</f>
        <v/>
      </c>
      <c r="N587" s="32" t="str">
        <f t="shared" si="27"/>
        <v/>
      </c>
    </row>
    <row r="588" spans="1:14">
      <c r="A588" s="32" t="str">
        <f>_xlfn.XLOOKUP(B588,Input!J:J,Input!G:G)&amp;""</f>
        <v/>
      </c>
      <c r="C588" s="32" t="str">
        <f>_xlfn.XLOOKUP(B588,Input!J:J,Input!H:H)&amp;""</f>
        <v/>
      </c>
      <c r="N588" s="32" t="str">
        <f t="shared" si="27"/>
        <v/>
      </c>
    </row>
    <row r="589" spans="1:14">
      <c r="A589" s="32" t="str">
        <f>_xlfn.XLOOKUP(B589,Input!J:J,Input!G:G)&amp;""</f>
        <v/>
      </c>
      <c r="C589" s="32" t="str">
        <f>_xlfn.XLOOKUP(B589,Input!J:J,Input!H:H)&amp;""</f>
        <v/>
      </c>
      <c r="N589" s="32" t="str">
        <f t="shared" si="27"/>
        <v/>
      </c>
    </row>
    <row r="590" spans="1:14">
      <c r="A590" s="32" t="str">
        <f>_xlfn.XLOOKUP(B590,Input!J:J,Input!G:G)&amp;""</f>
        <v/>
      </c>
      <c r="C590" s="32" t="str">
        <f>_xlfn.XLOOKUP(B590,Input!J:J,Input!H:H)&amp;""</f>
        <v/>
      </c>
      <c r="N590" s="32" t="str">
        <f t="shared" si="27"/>
        <v/>
      </c>
    </row>
    <row r="591" spans="1:14">
      <c r="A591" s="32" t="str">
        <f>_xlfn.XLOOKUP(B591,Input!J:J,Input!G:G)&amp;""</f>
        <v/>
      </c>
      <c r="C591" s="32" t="str">
        <f>_xlfn.XLOOKUP(B591,Input!J:J,Input!H:H)&amp;""</f>
        <v/>
      </c>
      <c r="N591" s="32" t="str">
        <f t="shared" si="27"/>
        <v/>
      </c>
    </row>
    <row r="592" spans="1:14">
      <c r="A592" s="32" t="str">
        <f>_xlfn.XLOOKUP(B592,Input!J:J,Input!G:G)&amp;""</f>
        <v/>
      </c>
      <c r="C592" s="32" t="str">
        <f>_xlfn.XLOOKUP(B592,Input!J:J,Input!H:H)&amp;""</f>
        <v/>
      </c>
      <c r="N592" s="32" t="str">
        <f t="shared" si="27"/>
        <v/>
      </c>
    </row>
    <row r="593" spans="1:14">
      <c r="A593" s="32" t="str">
        <f>_xlfn.XLOOKUP(B593,Input!J:J,Input!G:G)&amp;""</f>
        <v/>
      </c>
      <c r="C593" s="32" t="str">
        <f>_xlfn.XLOOKUP(B593,Input!J:J,Input!H:H)&amp;""</f>
        <v/>
      </c>
      <c r="N593" s="32" t="str">
        <f t="shared" si="27"/>
        <v/>
      </c>
    </row>
    <row r="594" spans="1:14">
      <c r="A594" s="32" t="str">
        <f>_xlfn.XLOOKUP(B594,Input!J:J,Input!G:G)&amp;""</f>
        <v/>
      </c>
      <c r="C594" s="32" t="str">
        <f>_xlfn.XLOOKUP(B594,Input!J:J,Input!H:H)&amp;""</f>
        <v/>
      </c>
      <c r="N594" s="32" t="str">
        <f t="shared" si="27"/>
        <v/>
      </c>
    </row>
    <row r="595" spans="1:14">
      <c r="A595" s="32" t="str">
        <f>_xlfn.XLOOKUP(B595,Input!J:J,Input!G:G)&amp;""</f>
        <v/>
      </c>
      <c r="C595" s="32" t="str">
        <f>_xlfn.XLOOKUP(B595,Input!J:J,Input!H:H)&amp;""</f>
        <v/>
      </c>
      <c r="N595" s="32" t="str">
        <f t="shared" si="27"/>
        <v/>
      </c>
    </row>
    <row r="596" spans="1:14">
      <c r="A596" s="32" t="str">
        <f>_xlfn.XLOOKUP(B596,Input!J:J,Input!G:G)&amp;""</f>
        <v/>
      </c>
      <c r="C596" s="32" t="str">
        <f>_xlfn.XLOOKUP(B596,Input!J:J,Input!H:H)&amp;""</f>
        <v/>
      </c>
      <c r="N596" s="32" t="str">
        <f t="shared" si="27"/>
        <v/>
      </c>
    </row>
    <row r="597" spans="1:14">
      <c r="A597" s="32" t="str">
        <f>_xlfn.XLOOKUP(B597,Input!J:J,Input!G:G)&amp;""</f>
        <v/>
      </c>
      <c r="C597" s="32" t="str">
        <f>_xlfn.XLOOKUP(B597,Input!J:J,Input!H:H)&amp;""</f>
        <v/>
      </c>
      <c r="N597" s="32" t="str">
        <f t="shared" si="27"/>
        <v/>
      </c>
    </row>
    <row r="598" spans="1:14">
      <c r="A598" s="32" t="str">
        <f>_xlfn.XLOOKUP(B598,Input!J:J,Input!G:G)&amp;""</f>
        <v/>
      </c>
      <c r="C598" s="32" t="str">
        <f>_xlfn.XLOOKUP(B598,Input!J:J,Input!H:H)&amp;""</f>
        <v/>
      </c>
      <c r="N598" s="32" t="str">
        <f t="shared" si="27"/>
        <v/>
      </c>
    </row>
    <row r="599" spans="1:14">
      <c r="A599" s="32" t="str">
        <f>_xlfn.XLOOKUP(B599,Input!J:J,Input!G:G)&amp;""</f>
        <v/>
      </c>
      <c r="C599" s="32" t="str">
        <f>_xlfn.XLOOKUP(B599,Input!J:J,Input!H:H)&amp;""</f>
        <v/>
      </c>
      <c r="N599" s="32" t="str">
        <f t="shared" si="27"/>
        <v/>
      </c>
    </row>
    <row r="600" spans="1:14">
      <c r="A600" s="32" t="str">
        <f>_xlfn.XLOOKUP(B600,Input!J:J,Input!G:G)&amp;""</f>
        <v/>
      </c>
      <c r="C600" s="32" t="str">
        <f>_xlfn.XLOOKUP(B600,Input!J:J,Input!H:H)&amp;""</f>
        <v/>
      </c>
      <c r="N600" s="32" t="str">
        <f t="shared" si="27"/>
        <v/>
      </c>
    </row>
    <row r="601" spans="1:14">
      <c r="A601" s="32" t="str">
        <f>_xlfn.XLOOKUP(B601,Input!J:J,Input!G:G)&amp;""</f>
        <v/>
      </c>
      <c r="C601" s="32" t="str">
        <f>_xlfn.XLOOKUP(B601,Input!J:J,Input!H:H)&amp;""</f>
        <v/>
      </c>
      <c r="N601" s="32" t="str">
        <f t="shared" si="27"/>
        <v/>
      </c>
    </row>
    <row r="602" spans="1:14">
      <c r="A602" s="32" t="str">
        <f>_xlfn.XLOOKUP(B602,Input!J:J,Input!G:G)&amp;""</f>
        <v/>
      </c>
      <c r="C602" s="32" t="str">
        <f>_xlfn.XLOOKUP(B602,Input!J:J,Input!H:H)&amp;""</f>
        <v/>
      </c>
      <c r="N602" s="32" t="str">
        <f t="shared" si="27"/>
        <v/>
      </c>
    </row>
    <row r="603" spans="1:14">
      <c r="A603" s="32" t="str">
        <f>_xlfn.XLOOKUP(B603,Input!J:J,Input!G:G)&amp;""</f>
        <v/>
      </c>
      <c r="C603" s="32" t="str">
        <f>_xlfn.XLOOKUP(B603,Input!J:J,Input!H:H)&amp;""</f>
        <v/>
      </c>
      <c r="N603" s="32" t="str">
        <f t="shared" si="27"/>
        <v/>
      </c>
    </row>
    <row r="604" spans="1:14">
      <c r="A604" s="32" t="str">
        <f>_xlfn.XLOOKUP(B604,Input!J:J,Input!G:G)&amp;""</f>
        <v/>
      </c>
      <c r="C604" s="32" t="str">
        <f>_xlfn.XLOOKUP(B604,Input!J:J,Input!H:H)&amp;""</f>
        <v/>
      </c>
      <c r="N604" s="32" t="str">
        <f t="shared" si="27"/>
        <v/>
      </c>
    </row>
    <row r="605" spans="1:14">
      <c r="A605" s="32" t="str">
        <f>_xlfn.XLOOKUP(B605,Input!J:J,Input!G:G)&amp;""</f>
        <v/>
      </c>
      <c r="C605" s="32" t="str">
        <f>_xlfn.XLOOKUP(B605,Input!J:J,Input!H:H)&amp;""</f>
        <v/>
      </c>
      <c r="N605" s="32" t="str">
        <f t="shared" si="27"/>
        <v/>
      </c>
    </row>
    <row r="606" spans="1:14">
      <c r="A606" s="32" t="str">
        <f>_xlfn.XLOOKUP(B606,Input!J:J,Input!G:G)&amp;""</f>
        <v/>
      </c>
      <c r="C606" s="32" t="str">
        <f>_xlfn.XLOOKUP(B606,Input!J:J,Input!H:H)&amp;""</f>
        <v/>
      </c>
      <c r="N606" s="32" t="str">
        <f t="shared" si="27"/>
        <v/>
      </c>
    </row>
    <row r="607" spans="1:14">
      <c r="A607" s="32" t="str">
        <f>_xlfn.XLOOKUP(B607,Input!J:J,Input!G:G)&amp;""</f>
        <v/>
      </c>
      <c r="C607" s="32" t="str">
        <f>_xlfn.XLOOKUP(B607,Input!J:J,Input!H:H)&amp;""</f>
        <v/>
      </c>
      <c r="N607" s="32" t="str">
        <f t="shared" si="27"/>
        <v/>
      </c>
    </row>
    <row r="608" spans="1:14">
      <c r="A608" s="32" t="str">
        <f>_xlfn.XLOOKUP(B608,Input!J:J,Input!G:G)&amp;""</f>
        <v/>
      </c>
      <c r="C608" s="32" t="str">
        <f>_xlfn.XLOOKUP(B608,Input!J:J,Input!H:H)&amp;""</f>
        <v/>
      </c>
      <c r="N608" s="32" t="str">
        <f t="shared" si="27"/>
        <v/>
      </c>
    </row>
    <row r="609" spans="1:14">
      <c r="A609" s="32" t="str">
        <f>_xlfn.XLOOKUP(B609,Input!J:J,Input!G:G)&amp;""</f>
        <v/>
      </c>
      <c r="C609" s="32" t="str">
        <f>_xlfn.XLOOKUP(B609,Input!J:J,Input!H:H)&amp;""</f>
        <v/>
      </c>
      <c r="N609" s="32" t="str">
        <f t="shared" si="27"/>
        <v/>
      </c>
    </row>
    <row r="610" spans="1:14">
      <c r="A610" s="32" t="str">
        <f>_xlfn.XLOOKUP(B610,Input!J:J,Input!G:G)&amp;""</f>
        <v/>
      </c>
      <c r="C610" s="32" t="str">
        <f>_xlfn.XLOOKUP(B610,Input!J:J,Input!H:H)&amp;""</f>
        <v/>
      </c>
      <c r="N610" s="32" t="str">
        <f t="shared" si="27"/>
        <v/>
      </c>
    </row>
    <row r="611" spans="1:14">
      <c r="A611" s="32" t="str">
        <f>_xlfn.XLOOKUP(B611,Input!J:J,Input!G:G)&amp;""</f>
        <v/>
      </c>
      <c r="C611" s="32" t="str">
        <f>_xlfn.XLOOKUP(B611,Input!J:J,Input!H:H)&amp;""</f>
        <v/>
      </c>
      <c r="N611" s="32" t="str">
        <f t="shared" si="27"/>
        <v/>
      </c>
    </row>
    <row r="612" spans="1:14">
      <c r="A612" s="32" t="str">
        <f>_xlfn.XLOOKUP(B612,Input!J:J,Input!G:G)&amp;""</f>
        <v/>
      </c>
      <c r="C612" s="32" t="str">
        <f>_xlfn.XLOOKUP(B612,Input!J:J,Input!H:H)&amp;""</f>
        <v/>
      </c>
      <c r="N612" s="32" t="str">
        <f t="shared" si="27"/>
        <v/>
      </c>
    </row>
    <row r="613" spans="1:14">
      <c r="A613" s="32" t="str">
        <f>_xlfn.XLOOKUP(B613,Input!J:J,Input!G:G)&amp;""</f>
        <v/>
      </c>
      <c r="C613" s="32" t="str">
        <f>_xlfn.XLOOKUP(B613,Input!J:J,Input!H:H)&amp;""</f>
        <v/>
      </c>
      <c r="N613" s="32" t="str">
        <f t="shared" si="27"/>
        <v/>
      </c>
    </row>
    <row r="614" spans="1:14">
      <c r="A614" s="32" t="str">
        <f>_xlfn.XLOOKUP(B614,Input!J:J,Input!G:G)&amp;""</f>
        <v/>
      </c>
      <c r="C614" s="32" t="str">
        <f>_xlfn.XLOOKUP(B614,Input!J:J,Input!H:H)&amp;""</f>
        <v/>
      </c>
      <c r="N614" s="32" t="str">
        <f t="shared" si="27"/>
        <v/>
      </c>
    </row>
    <row r="615" spans="1:14">
      <c r="A615" s="32" t="str">
        <f>_xlfn.XLOOKUP(B615,Input!J:J,Input!G:G)&amp;""</f>
        <v/>
      </c>
      <c r="C615" s="32" t="str">
        <f>_xlfn.XLOOKUP(B615,Input!J:J,Input!H:H)&amp;""</f>
        <v/>
      </c>
      <c r="N615" s="32" t="str">
        <f t="shared" si="27"/>
        <v/>
      </c>
    </row>
    <row r="616" spans="1:14">
      <c r="A616" s="32" t="str">
        <f>_xlfn.XLOOKUP(B616,Input!J:J,Input!G:G)&amp;""</f>
        <v/>
      </c>
      <c r="C616" s="32" t="str">
        <f>_xlfn.XLOOKUP(B616,Input!J:J,Input!H:H)&amp;""</f>
        <v/>
      </c>
      <c r="N616" s="32" t="str">
        <f t="shared" si="27"/>
        <v/>
      </c>
    </row>
    <row r="617" spans="1:14">
      <c r="A617" s="32" t="str">
        <f>_xlfn.XLOOKUP(B617,Input!J:J,Input!G:G)&amp;""</f>
        <v/>
      </c>
      <c r="C617" s="32" t="str">
        <f>_xlfn.XLOOKUP(B617,Input!J:J,Input!H:H)&amp;""</f>
        <v/>
      </c>
      <c r="N617" s="32" t="str">
        <f t="shared" si="27"/>
        <v/>
      </c>
    </row>
    <row r="618" spans="1:14">
      <c r="A618" s="32" t="str">
        <f>_xlfn.XLOOKUP(B618,Input!J:J,Input!G:G)&amp;""</f>
        <v/>
      </c>
      <c r="C618" s="32" t="str">
        <f>_xlfn.XLOOKUP(B618,Input!J:J,Input!H:H)&amp;""</f>
        <v/>
      </c>
      <c r="N618" s="32" t="str">
        <f t="shared" si="27"/>
        <v/>
      </c>
    </row>
    <row r="619" spans="1:14">
      <c r="A619" s="32" t="str">
        <f>_xlfn.XLOOKUP(B619,Input!J:J,Input!G:G)&amp;""</f>
        <v/>
      </c>
      <c r="C619" s="32" t="str">
        <f>_xlfn.XLOOKUP(B619,Input!J:J,Input!H:H)&amp;""</f>
        <v/>
      </c>
      <c r="N619" s="32" t="str">
        <f t="shared" si="27"/>
        <v/>
      </c>
    </row>
    <row r="620" spans="1:14">
      <c r="A620" s="32" t="str">
        <f>_xlfn.XLOOKUP(B620,Input!J:J,Input!G:G)&amp;""</f>
        <v/>
      </c>
      <c r="C620" s="32" t="str">
        <f>_xlfn.XLOOKUP(B620,Input!J:J,Input!H:H)&amp;""</f>
        <v/>
      </c>
      <c r="N620" s="32" t="str">
        <f t="shared" si="27"/>
        <v/>
      </c>
    </row>
    <row r="621" spans="1:14">
      <c r="A621" s="32" t="str">
        <f>_xlfn.XLOOKUP(B621,Input!J:J,Input!G:G)&amp;""</f>
        <v/>
      </c>
      <c r="C621" s="32" t="str">
        <f>_xlfn.XLOOKUP(B621,Input!J:J,Input!H:H)&amp;""</f>
        <v/>
      </c>
      <c r="N621" s="32" t="str">
        <f t="shared" si="27"/>
        <v/>
      </c>
    </row>
    <row r="622" spans="1:14">
      <c r="A622" s="32" t="str">
        <f>_xlfn.XLOOKUP(B622,Input!J:J,Input!G:G)&amp;""</f>
        <v/>
      </c>
      <c r="C622" s="32" t="str">
        <f>_xlfn.XLOOKUP(B622,Input!J:J,Input!H:H)&amp;""</f>
        <v/>
      </c>
      <c r="N622" s="32" t="str">
        <f t="shared" si="27"/>
        <v/>
      </c>
    </row>
    <row r="623" spans="1:14">
      <c r="A623" s="32" t="str">
        <f>_xlfn.XLOOKUP(B623,Input!J:J,Input!G:G)&amp;""</f>
        <v/>
      </c>
      <c r="C623" s="32" t="str">
        <f>_xlfn.XLOOKUP(B623,Input!J:J,Input!H:H)&amp;""</f>
        <v/>
      </c>
      <c r="N623" s="32" t="str">
        <f t="shared" si="27"/>
        <v/>
      </c>
    </row>
    <row r="624" spans="1:14">
      <c r="A624" s="32" t="str">
        <f>_xlfn.XLOOKUP(B624,Input!J:J,Input!G:G)&amp;""</f>
        <v/>
      </c>
      <c r="C624" s="32" t="str">
        <f>_xlfn.XLOOKUP(B624,Input!J:J,Input!H:H)&amp;""</f>
        <v/>
      </c>
      <c r="N624" s="32" t="str">
        <f t="shared" si="27"/>
        <v/>
      </c>
    </row>
    <row r="625" spans="1:14">
      <c r="A625" s="32" t="str">
        <f>_xlfn.XLOOKUP(B625,Input!J:J,Input!G:G)&amp;""</f>
        <v/>
      </c>
      <c r="C625" s="32" t="str">
        <f>_xlfn.XLOOKUP(B625,Input!J:J,Input!H:H)&amp;""</f>
        <v/>
      </c>
      <c r="N625" s="32" t="str">
        <f t="shared" si="27"/>
        <v/>
      </c>
    </row>
    <row r="626" spans="1:14">
      <c r="A626" s="32" t="str">
        <f>_xlfn.XLOOKUP(B626,Input!J:J,Input!G:G)&amp;""</f>
        <v/>
      </c>
      <c r="C626" s="32" t="str">
        <f>_xlfn.XLOOKUP(B626,Input!J:J,Input!H:H)&amp;""</f>
        <v/>
      </c>
      <c r="N626" s="32" t="str">
        <f t="shared" si="27"/>
        <v/>
      </c>
    </row>
    <row r="627" spans="1:14">
      <c r="A627" s="32" t="str">
        <f>_xlfn.XLOOKUP(B627,Input!J:J,Input!G:G)&amp;""</f>
        <v/>
      </c>
      <c r="C627" s="32" t="str">
        <f>_xlfn.XLOOKUP(B627,Input!J:J,Input!H:H)&amp;""</f>
        <v/>
      </c>
      <c r="N627" s="32" t="str">
        <f t="shared" si="27"/>
        <v/>
      </c>
    </row>
    <row r="628" spans="1:14">
      <c r="A628" s="32" t="str">
        <f>_xlfn.XLOOKUP(B628,Input!J:J,Input!G:G)&amp;""</f>
        <v/>
      </c>
      <c r="C628" s="32" t="str">
        <f>_xlfn.XLOOKUP(B628,Input!J:J,Input!H:H)&amp;""</f>
        <v/>
      </c>
      <c r="N628" s="32" t="str">
        <f t="shared" si="27"/>
        <v/>
      </c>
    </row>
    <row r="629" spans="1:14">
      <c r="A629" s="32" t="str">
        <f>_xlfn.XLOOKUP(B629,Input!J:J,Input!G:G)&amp;""</f>
        <v/>
      </c>
      <c r="C629" s="32" t="str">
        <f>_xlfn.XLOOKUP(B629,Input!J:J,Input!H:H)&amp;""</f>
        <v/>
      </c>
      <c r="N629" s="32" t="str">
        <f t="shared" si="27"/>
        <v/>
      </c>
    </row>
    <row r="630" spans="1:14">
      <c r="A630" s="32" t="str">
        <f>_xlfn.XLOOKUP(B630,Input!J:J,Input!G:G)&amp;""</f>
        <v/>
      </c>
      <c r="C630" s="32" t="str">
        <f>_xlfn.XLOOKUP(B630,Input!J:J,Input!H:H)&amp;""</f>
        <v/>
      </c>
      <c r="N630" s="32" t="str">
        <f t="shared" si="27"/>
        <v/>
      </c>
    </row>
    <row r="631" spans="1:14">
      <c r="A631" s="32" t="str">
        <f>_xlfn.XLOOKUP(B631,Input!J:J,Input!G:G)&amp;""</f>
        <v/>
      </c>
      <c r="C631" s="32" t="str">
        <f>_xlfn.XLOOKUP(B631,Input!J:J,Input!H:H)&amp;""</f>
        <v/>
      </c>
      <c r="N631" s="32" t="str">
        <f t="shared" si="27"/>
        <v/>
      </c>
    </row>
    <row r="632" spans="1:14">
      <c r="A632" s="32" t="str">
        <f>_xlfn.XLOOKUP(B632,Input!J:J,Input!G:G)&amp;""</f>
        <v/>
      </c>
      <c r="C632" s="32" t="str">
        <f>_xlfn.XLOOKUP(B632,Input!J:J,Input!H:H)&amp;""</f>
        <v/>
      </c>
      <c r="N632" s="32" t="str">
        <f t="shared" si="27"/>
        <v/>
      </c>
    </row>
    <row r="633" spans="1:14">
      <c r="A633" s="32" t="str">
        <f>_xlfn.XLOOKUP(B633,Input!J:J,Input!G:G)&amp;""</f>
        <v/>
      </c>
      <c r="C633" s="32" t="str">
        <f>_xlfn.XLOOKUP(B633,Input!J:J,Input!H:H)&amp;""</f>
        <v/>
      </c>
      <c r="N633" s="32" t="str">
        <f t="shared" si="27"/>
        <v/>
      </c>
    </row>
    <row r="634" spans="1:14">
      <c r="A634" s="32" t="str">
        <f>_xlfn.XLOOKUP(B634,Input!J:J,Input!G:G)&amp;""</f>
        <v/>
      </c>
      <c r="C634" s="32" t="str">
        <f>_xlfn.XLOOKUP(B634,Input!J:J,Input!H:H)&amp;""</f>
        <v/>
      </c>
      <c r="N634" s="32" t="str">
        <f t="shared" si="27"/>
        <v/>
      </c>
    </row>
    <row r="635" spans="1:14">
      <c r="A635" s="32" t="str">
        <f>_xlfn.XLOOKUP(B635,Input!J:J,Input!G:G)&amp;""</f>
        <v/>
      </c>
      <c r="C635" s="32" t="str">
        <f>_xlfn.XLOOKUP(B635,Input!J:J,Input!H:H)&amp;""</f>
        <v/>
      </c>
      <c r="N635" s="32" t="str">
        <f t="shared" si="27"/>
        <v/>
      </c>
    </row>
    <row r="636" spans="1:14">
      <c r="A636" s="32" t="str">
        <f>_xlfn.XLOOKUP(B636,Input!J:J,Input!G:G)&amp;""</f>
        <v/>
      </c>
      <c r="C636" s="32" t="str">
        <f>_xlfn.XLOOKUP(B636,Input!J:J,Input!H:H)&amp;""</f>
        <v/>
      </c>
      <c r="N636" s="32" t="str">
        <f t="shared" si="27"/>
        <v/>
      </c>
    </row>
    <row r="637" spans="1:14">
      <c r="A637" s="32" t="str">
        <f>_xlfn.XLOOKUP(B637,Input!J:J,Input!G:G)&amp;""</f>
        <v/>
      </c>
      <c r="C637" s="32" t="str">
        <f>_xlfn.XLOOKUP(B637,Input!J:J,Input!H:H)&amp;""</f>
        <v/>
      </c>
      <c r="N637" s="32" t="str">
        <f t="shared" si="27"/>
        <v/>
      </c>
    </row>
    <row r="638" spans="1:14">
      <c r="A638" s="32" t="str">
        <f>_xlfn.XLOOKUP(B638,Input!J:J,Input!G:G)&amp;""</f>
        <v/>
      </c>
      <c r="C638" s="32" t="str">
        <f>_xlfn.XLOOKUP(B638,Input!J:J,Input!H:H)&amp;""</f>
        <v/>
      </c>
      <c r="N638" s="32" t="str">
        <f t="shared" si="27"/>
        <v/>
      </c>
    </row>
    <row r="639" spans="1:14">
      <c r="A639" s="32" t="str">
        <f>_xlfn.XLOOKUP(B639,Input!J:J,Input!G:G)&amp;""</f>
        <v/>
      </c>
      <c r="C639" s="32" t="str">
        <f>_xlfn.XLOOKUP(B639,Input!J:J,Input!H:H)&amp;""</f>
        <v/>
      </c>
      <c r="N639" s="32" t="str">
        <f t="shared" si="27"/>
        <v/>
      </c>
    </row>
    <row r="640" spans="1:14">
      <c r="A640" s="32" t="str">
        <f>_xlfn.XLOOKUP(B640,Input!J:J,Input!G:G)&amp;""</f>
        <v/>
      </c>
      <c r="C640" s="32" t="str">
        <f>_xlfn.XLOOKUP(B640,Input!J:J,Input!H:H)&amp;""</f>
        <v/>
      </c>
      <c r="N640" s="32" t="str">
        <f t="shared" si="27"/>
        <v/>
      </c>
    </row>
    <row r="641" spans="1:14">
      <c r="A641" s="32" t="str">
        <f>_xlfn.XLOOKUP(B641,Input!J:J,Input!G:G)&amp;""</f>
        <v/>
      </c>
      <c r="C641" s="32" t="str">
        <f>_xlfn.XLOOKUP(B641,Input!J:J,Input!H:H)&amp;""</f>
        <v/>
      </c>
      <c r="N641" s="32" t="str">
        <f t="shared" si="27"/>
        <v/>
      </c>
    </row>
    <row r="642" spans="1:14">
      <c r="A642" s="32" t="str">
        <f>_xlfn.XLOOKUP(B642,Input!J:J,Input!G:G)&amp;""</f>
        <v/>
      </c>
      <c r="C642" s="32" t="str">
        <f>_xlfn.XLOOKUP(B642,Input!J:J,Input!H:H)&amp;""</f>
        <v/>
      </c>
      <c r="N642" s="32" t="str">
        <f t="shared" si="27"/>
        <v/>
      </c>
    </row>
    <row r="643" spans="1:14">
      <c r="A643" s="32" t="str">
        <f>_xlfn.XLOOKUP(B643,Input!J:J,Input!G:G)&amp;""</f>
        <v/>
      </c>
      <c r="C643" s="32" t="str">
        <f>_xlfn.XLOOKUP(B643,Input!J:J,Input!H:H)&amp;""</f>
        <v/>
      </c>
      <c r="N643" s="32" t="str">
        <f t="shared" si="27"/>
        <v/>
      </c>
    </row>
    <row r="644" spans="1:14">
      <c r="A644" s="32" t="str">
        <f>_xlfn.XLOOKUP(B644,Input!J:J,Input!G:G)&amp;""</f>
        <v/>
      </c>
      <c r="C644" s="32" t="str">
        <f>_xlfn.XLOOKUP(B644,Input!J:J,Input!H:H)&amp;""</f>
        <v/>
      </c>
      <c r="N644" s="32" t="str">
        <f t="shared" ref="N644:N661" si="28">_xlfn.TEXTJOIN(" ",TRUE,SUBSTITUTE(K644,"i",""),M644)</f>
        <v/>
      </c>
    </row>
    <row r="645" spans="1:14">
      <c r="A645" s="32" t="str">
        <f>_xlfn.XLOOKUP(B645,Input!J:J,Input!G:G)&amp;""</f>
        <v/>
      </c>
      <c r="C645" s="32" t="str">
        <f>_xlfn.XLOOKUP(B645,Input!J:J,Input!H:H)&amp;""</f>
        <v/>
      </c>
      <c r="N645" s="32" t="str">
        <f t="shared" si="28"/>
        <v/>
      </c>
    </row>
    <row r="646" spans="1:14">
      <c r="A646" s="32" t="str">
        <f>_xlfn.XLOOKUP(B646,Input!J:J,Input!G:G)&amp;""</f>
        <v/>
      </c>
      <c r="C646" s="32" t="str">
        <f>_xlfn.XLOOKUP(B646,Input!J:J,Input!H:H)&amp;""</f>
        <v/>
      </c>
      <c r="N646" s="32" t="str">
        <f t="shared" si="28"/>
        <v/>
      </c>
    </row>
    <row r="647" spans="1:14">
      <c r="A647" s="32" t="str">
        <f>_xlfn.XLOOKUP(B647,Input!J:J,Input!G:G)&amp;""</f>
        <v/>
      </c>
      <c r="C647" s="32" t="str">
        <f>_xlfn.XLOOKUP(B647,Input!J:J,Input!H:H)&amp;""</f>
        <v/>
      </c>
      <c r="N647" s="32" t="str">
        <f t="shared" si="28"/>
        <v/>
      </c>
    </row>
    <row r="648" spans="1:14">
      <c r="A648" s="32" t="str">
        <f>_xlfn.XLOOKUP(B648,Input!J:J,Input!G:G)&amp;""</f>
        <v/>
      </c>
      <c r="C648" s="32" t="str">
        <f>_xlfn.XLOOKUP(B648,Input!J:J,Input!H:H)&amp;""</f>
        <v/>
      </c>
      <c r="N648" s="32" t="str">
        <f t="shared" si="28"/>
        <v/>
      </c>
    </row>
    <row r="649" spans="1:14">
      <c r="A649" s="32" t="str">
        <f>_xlfn.XLOOKUP(B649,Input!J:J,Input!G:G)&amp;""</f>
        <v/>
      </c>
      <c r="C649" s="32" t="str">
        <f>_xlfn.XLOOKUP(B649,Input!J:J,Input!H:H)&amp;""</f>
        <v/>
      </c>
      <c r="N649" s="32" t="str">
        <f t="shared" si="28"/>
        <v/>
      </c>
    </row>
    <row r="650" spans="1:14">
      <c r="A650" s="32" t="str">
        <f>_xlfn.XLOOKUP(B650,Input!J:J,Input!G:G)&amp;""</f>
        <v/>
      </c>
      <c r="C650" s="32" t="str">
        <f>_xlfn.XLOOKUP(B650,Input!J:J,Input!H:H)&amp;""</f>
        <v/>
      </c>
      <c r="N650" s="32" t="str">
        <f t="shared" si="28"/>
        <v/>
      </c>
    </row>
    <row r="651" spans="1:14">
      <c r="A651" s="32" t="str">
        <f>_xlfn.XLOOKUP(B651,Input!J:J,Input!G:G)&amp;""</f>
        <v/>
      </c>
      <c r="C651" s="32" t="str">
        <f>_xlfn.XLOOKUP(B651,Input!J:J,Input!H:H)&amp;""</f>
        <v/>
      </c>
      <c r="N651" s="32" t="str">
        <f t="shared" si="28"/>
        <v/>
      </c>
    </row>
    <row r="652" spans="1:14">
      <c r="A652" s="32" t="str">
        <f>_xlfn.XLOOKUP(B652,Input!J:J,Input!G:G)&amp;""</f>
        <v/>
      </c>
      <c r="C652" s="32" t="str">
        <f>_xlfn.XLOOKUP(B652,Input!J:J,Input!H:H)&amp;""</f>
        <v/>
      </c>
      <c r="N652" s="32" t="str">
        <f t="shared" si="28"/>
        <v/>
      </c>
    </row>
    <row r="653" spans="1:14">
      <c r="A653" s="32" t="str">
        <f>_xlfn.XLOOKUP(B653,Input!J:J,Input!G:G)&amp;""</f>
        <v/>
      </c>
      <c r="C653" s="32" t="str">
        <f>_xlfn.XLOOKUP(B653,Input!J:J,Input!H:H)&amp;""</f>
        <v/>
      </c>
      <c r="N653" s="32" t="str">
        <f t="shared" si="28"/>
        <v/>
      </c>
    </row>
    <row r="654" spans="1:14">
      <c r="A654" s="32" t="str">
        <f>_xlfn.XLOOKUP(B654,Input!J:J,Input!G:G)&amp;""</f>
        <v/>
      </c>
      <c r="C654" s="32" t="str">
        <f>_xlfn.XLOOKUP(B654,Input!J:J,Input!H:H)&amp;""</f>
        <v/>
      </c>
      <c r="N654" s="32" t="str">
        <f t="shared" si="28"/>
        <v/>
      </c>
    </row>
    <row r="655" spans="1:14">
      <c r="A655" s="32" t="str">
        <f>_xlfn.XLOOKUP(B655,Input!J:J,Input!G:G)&amp;""</f>
        <v/>
      </c>
      <c r="C655" s="32" t="str">
        <f>_xlfn.XLOOKUP(B655,Input!J:J,Input!H:H)&amp;""</f>
        <v/>
      </c>
      <c r="N655" s="32" t="str">
        <f t="shared" si="28"/>
        <v/>
      </c>
    </row>
    <row r="656" spans="1:14">
      <c r="A656" s="32" t="str">
        <f>_xlfn.XLOOKUP(B656,Input!J:J,Input!G:G)&amp;""</f>
        <v/>
      </c>
      <c r="N656" s="32" t="str">
        <f t="shared" si="28"/>
        <v/>
      </c>
    </row>
    <row r="657" spans="1:14">
      <c r="A657" s="32" t="str">
        <f>_xlfn.XLOOKUP(B657,Input!J:J,Input!G:G)&amp;""</f>
        <v/>
      </c>
      <c r="N657" s="32" t="str">
        <f t="shared" si="28"/>
        <v/>
      </c>
    </row>
    <row r="658" spans="1:14">
      <c r="A658" s="32" t="str">
        <f>_xlfn.XLOOKUP(B658,Input!J:J,Input!G:G)&amp;""</f>
        <v/>
      </c>
      <c r="N658" s="32" t="str">
        <f t="shared" si="28"/>
        <v/>
      </c>
    </row>
    <row r="659" spans="1:14">
      <c r="A659" s="32" t="str">
        <f>_xlfn.XLOOKUP(B659,Input!J:J,Input!G:G)&amp;""</f>
        <v/>
      </c>
      <c r="N659" s="32" t="str">
        <f t="shared" si="28"/>
        <v/>
      </c>
    </row>
    <row r="660" spans="1:14">
      <c r="A660" s="32" t="str">
        <f>_xlfn.XLOOKUP(B660,Input!J:J,Input!G:G)&amp;""</f>
        <v/>
      </c>
      <c r="N660" s="32" t="str">
        <f t="shared" si="28"/>
        <v/>
      </c>
    </row>
    <row r="661" spans="1:14">
      <c r="A661" s="32" t="str">
        <f>_xlfn.XLOOKUP(B661,Input!J:J,Input!G:G)&amp;""</f>
        <v/>
      </c>
      <c r="N661" s="32" t="str">
        <f t="shared" si="28"/>
        <v/>
      </c>
    </row>
    <row r="662" spans="1:14">
      <c r="A662" s="32" t="str">
        <f>_xlfn.XLOOKUP(B662,Input!J:J,Input!G:G)&amp;""</f>
        <v/>
      </c>
    </row>
    <row r="663" spans="1:14">
      <c r="A663" s="32" t="str">
        <f>_xlfn.XLOOKUP(B663,Input!J:J,Input!G:G)&amp;""</f>
        <v/>
      </c>
    </row>
    <row r="664" spans="1:14">
      <c r="A664" s="32" t="str">
        <f>_xlfn.XLOOKUP(B664,Input!J:J,Input!G:G)&amp;""</f>
        <v/>
      </c>
    </row>
    <row r="665" spans="1:14">
      <c r="A665" s="32" t="str">
        <f>_xlfn.XLOOKUP(B665,Input!J:J,Input!G:G)&amp;""</f>
        <v/>
      </c>
    </row>
    <row r="666" spans="1:14">
      <c r="A666" s="32" t="str">
        <f>_xlfn.XLOOKUP(B666,Input!J:J,Input!G:G)&amp;""</f>
        <v/>
      </c>
    </row>
    <row r="667" spans="1:14">
      <c r="A667" s="32" t="str">
        <f>_xlfn.XLOOKUP(B667,Input!J:J,Input!G:G)&amp;""</f>
        <v/>
      </c>
    </row>
    <row r="668" spans="1:14">
      <c r="A668" s="32" t="str">
        <f>_xlfn.XLOOKUP(B668,Input!J:J,Input!G:G)&amp;""</f>
        <v/>
      </c>
    </row>
    <row r="669" spans="1:14">
      <c r="A669" s="32" t="str">
        <f>_xlfn.XLOOKUP(B669,Input!J:J,Input!G:G)&amp;""</f>
        <v/>
      </c>
    </row>
    <row r="670" spans="1:14">
      <c r="A670" s="32" t="str">
        <f>_xlfn.XLOOKUP(B670,Input!J:J,Input!G:G)&amp;""</f>
        <v/>
      </c>
    </row>
    <row r="671" spans="1:14">
      <c r="A671" s="32" t="str">
        <f>_xlfn.XLOOKUP(B671,Input!J:J,Input!G:G)&amp;""</f>
        <v/>
      </c>
    </row>
    <row r="672" spans="1:14">
      <c r="A672" s="32" t="str">
        <f>_xlfn.XLOOKUP(B672,Input!J:J,Input!G:G)&amp;""</f>
        <v/>
      </c>
    </row>
    <row r="673" spans="1:1">
      <c r="A673" s="32" t="str">
        <f>_xlfn.XLOOKUP(B673,Input!J:J,Input!G:G)&amp;""</f>
        <v/>
      </c>
    </row>
    <row r="674" spans="1:1">
      <c r="A674" s="32" t="str">
        <f>_xlfn.XLOOKUP(B674,Input!J:J,Input!G:G)&amp;""</f>
        <v/>
      </c>
    </row>
    <row r="675" spans="1:1">
      <c r="A675" s="32" t="str">
        <f>_xlfn.XLOOKUP(B675,Input!J:J,Input!G:G)&amp;""</f>
        <v/>
      </c>
    </row>
    <row r="676" spans="1:1">
      <c r="A676" s="32" t="str">
        <f>_xlfn.XLOOKUP(B676,Input!J:J,Input!G:G)&amp;""</f>
        <v/>
      </c>
    </row>
    <row r="677" spans="1:1">
      <c r="A677" s="32" t="str">
        <f>_xlfn.XLOOKUP(B677,Input!J:J,Input!G:G)&amp;""</f>
        <v/>
      </c>
    </row>
    <row r="678" spans="1:1">
      <c r="A678" s="32" t="str">
        <f>_xlfn.XLOOKUP(B678,Input!J:J,Input!G:G)&amp;""</f>
        <v/>
      </c>
    </row>
    <row r="679" spans="1:1">
      <c r="A679" s="32" t="str">
        <f>_xlfn.XLOOKUP(B679,Input!J:J,Input!G:G)&amp;""</f>
        <v/>
      </c>
    </row>
    <row r="680" spans="1:1">
      <c r="A680" s="32" t="str">
        <f>_xlfn.XLOOKUP(B680,Input!J:J,Input!G:G)&amp;""</f>
        <v/>
      </c>
    </row>
    <row r="681" spans="1:1">
      <c r="A681" s="32" t="str">
        <f>_xlfn.XLOOKUP(B681,Input!J:J,Input!G:G)&amp;""</f>
        <v/>
      </c>
    </row>
    <row r="682" spans="1:1">
      <c r="A682" s="32" t="str">
        <f>_xlfn.XLOOKUP(B682,Input!J:J,Input!G:G)&amp;""</f>
        <v/>
      </c>
    </row>
    <row r="683" spans="1:1">
      <c r="A683" s="32" t="str">
        <f>_xlfn.XLOOKUP(B683,Input!J:J,Input!G:G)&amp;""</f>
        <v/>
      </c>
    </row>
    <row r="684" spans="1:1">
      <c r="A684" s="32" t="str">
        <f>_xlfn.XLOOKUP(B684,Input!J:J,Input!G:G)&amp;""</f>
        <v/>
      </c>
    </row>
    <row r="685" spans="1:1">
      <c r="A685" s="32" t="str">
        <f>_xlfn.XLOOKUP(B685,Input!J:J,Input!G:G)&amp;""</f>
        <v/>
      </c>
    </row>
    <row r="686" spans="1:1">
      <c r="A686" s="32" t="str">
        <f>_xlfn.XLOOKUP(B686,Input!J:J,Input!G:G)&amp;""</f>
        <v/>
      </c>
    </row>
    <row r="687" spans="1:1">
      <c r="A687" s="32" t="str">
        <f>_xlfn.XLOOKUP(B687,Input!J:J,Input!G:G)&amp;""</f>
        <v/>
      </c>
    </row>
    <row r="688" spans="1:1">
      <c r="A688" s="32" t="str">
        <f>_xlfn.XLOOKUP(B688,Input!J:J,Input!G:G)&amp;""</f>
        <v/>
      </c>
    </row>
    <row r="689" spans="1:1">
      <c r="A689" s="32" t="str">
        <f>_xlfn.XLOOKUP(B689,Input!J:J,Input!G:G)&amp;""</f>
        <v/>
      </c>
    </row>
    <row r="690" spans="1:1">
      <c r="A690" s="32" t="str">
        <f>_xlfn.XLOOKUP(B690,Input!J:J,Input!G:G)&amp;""</f>
        <v/>
      </c>
    </row>
    <row r="691" spans="1:1">
      <c r="A691" s="32" t="str">
        <f>_xlfn.XLOOKUP(B691,Input!J:J,Input!G:G)&amp;""</f>
        <v/>
      </c>
    </row>
    <row r="692" spans="1:1">
      <c r="A692" s="32" t="str">
        <f>_xlfn.XLOOKUP(B692,Input!J:J,Input!G:G)&amp;""</f>
        <v/>
      </c>
    </row>
    <row r="693" spans="1:1">
      <c r="A693" s="32" t="str">
        <f>_xlfn.XLOOKUP(B693,Input!J:J,Input!G:G)&amp;""</f>
        <v/>
      </c>
    </row>
    <row r="694" spans="1:1">
      <c r="A694" s="32" t="str">
        <f>_xlfn.XLOOKUP(B694,Input!J:J,Input!G:G)&amp;""</f>
        <v/>
      </c>
    </row>
    <row r="695" spans="1:1">
      <c r="A695" s="32" t="str">
        <f>_xlfn.XLOOKUP(B695,Input!J:J,Input!G:G)&amp;""</f>
        <v/>
      </c>
    </row>
    <row r="696" spans="1:1">
      <c r="A696" s="32" t="str">
        <f>_xlfn.XLOOKUP(B696,Input!J:J,Input!G:G)&amp;""</f>
        <v/>
      </c>
    </row>
    <row r="697" spans="1:1">
      <c r="A697" s="32" t="str">
        <f>_xlfn.XLOOKUP(B697,Input!J:J,Input!G:G)&amp;""</f>
        <v/>
      </c>
    </row>
    <row r="698" spans="1:1">
      <c r="A698" s="32" t="str">
        <f>_xlfn.XLOOKUP(B698,Input!J:J,Input!G:G)&amp;""</f>
        <v/>
      </c>
    </row>
    <row r="699" spans="1:1">
      <c r="A699" s="32" t="str">
        <f>_xlfn.XLOOKUP(B699,Input!J:J,Input!G:G)&amp;""</f>
        <v/>
      </c>
    </row>
    <row r="700" spans="1:1">
      <c r="A700" s="32" t="str">
        <f>_xlfn.XLOOKUP(B700,Input!J:J,Input!G:G)&amp;""</f>
        <v/>
      </c>
    </row>
    <row r="701" spans="1:1">
      <c r="A701" s="32" t="str">
        <f>_xlfn.XLOOKUP(B701,Input!J:J,Input!G:G)&amp;""</f>
        <v/>
      </c>
    </row>
    <row r="702" spans="1:1">
      <c r="A702" s="32" t="str">
        <f>_xlfn.XLOOKUP(B702,Input!J:J,Input!G:G)&amp;""</f>
        <v/>
      </c>
    </row>
    <row r="703" spans="1:1">
      <c r="A703" s="32" t="str">
        <f>_xlfn.XLOOKUP(B703,Input!J:J,Input!G:G)&amp;""</f>
        <v/>
      </c>
    </row>
    <row r="704" spans="1:1">
      <c r="A704" s="32" t="str">
        <f>_xlfn.XLOOKUP(B704,Input!J:J,Input!G:G)&amp;""</f>
        <v/>
      </c>
    </row>
    <row r="705" spans="1:1">
      <c r="A705" s="32" t="str">
        <f>_xlfn.XLOOKUP(B705,Input!J:J,Input!G:G)&amp;""</f>
        <v/>
      </c>
    </row>
    <row r="706" spans="1:1">
      <c r="A706" s="32" t="str">
        <f>_xlfn.XLOOKUP(B706,Input!J:J,Input!G:G)&amp;""</f>
        <v/>
      </c>
    </row>
    <row r="707" spans="1:1">
      <c r="A707" s="32" t="str">
        <f>_xlfn.XLOOKUP(B707,Input!J:J,Input!G:G)&amp;""</f>
        <v/>
      </c>
    </row>
    <row r="708" spans="1:1">
      <c r="A708" s="32" t="str">
        <f>_xlfn.XLOOKUP(B708,Input!J:J,Input!G:G)&amp;""</f>
        <v/>
      </c>
    </row>
    <row r="709" spans="1:1">
      <c r="A709" s="32" t="str">
        <f>_xlfn.XLOOKUP(B709,Input!J:J,Input!G:G)&amp;""</f>
        <v/>
      </c>
    </row>
    <row r="710" spans="1:1">
      <c r="A710" s="32" t="str">
        <f>_xlfn.XLOOKUP(B710,Input!J:J,Input!G:G)&amp;""</f>
        <v/>
      </c>
    </row>
    <row r="711" spans="1:1">
      <c r="A711" s="32" t="str">
        <f>_xlfn.XLOOKUP(B711,Input!J:J,Input!G:G)&amp;""</f>
        <v/>
      </c>
    </row>
    <row r="712" spans="1:1">
      <c r="A712" s="32" t="str">
        <f>_xlfn.XLOOKUP(B712,Input!J:J,Input!G:G)&amp;""</f>
        <v/>
      </c>
    </row>
    <row r="713" spans="1:1">
      <c r="A713" s="32" t="str">
        <f>_xlfn.XLOOKUP(B713,Input!J:J,Input!G:G)&amp;""</f>
        <v/>
      </c>
    </row>
    <row r="714" spans="1:1">
      <c r="A714" s="32" t="str">
        <f>_xlfn.XLOOKUP(B714,Input!J:J,Input!G:G)&amp;""</f>
        <v/>
      </c>
    </row>
    <row r="715" spans="1:1">
      <c r="A715" s="32" t="str">
        <f>_xlfn.XLOOKUP(B715,Input!J:J,Input!G:G)&amp;""</f>
        <v/>
      </c>
    </row>
    <row r="716" spans="1:1">
      <c r="A716" s="32" t="str">
        <f>_xlfn.XLOOKUP(B716,Input!J:J,Input!G:G)&amp;""</f>
        <v/>
      </c>
    </row>
    <row r="717" spans="1:1">
      <c r="A717" s="32" t="str">
        <f>_xlfn.XLOOKUP(B717,Input!J:J,Input!G:G)&amp;""</f>
        <v/>
      </c>
    </row>
    <row r="718" spans="1:1">
      <c r="A718" s="32" t="str">
        <f>_xlfn.XLOOKUP(B718,Input!J:J,Input!G:G)&amp;""</f>
        <v/>
      </c>
    </row>
    <row r="719" spans="1:1">
      <c r="A719" s="32" t="str">
        <f>_xlfn.XLOOKUP(B719,Input!J:J,Input!G:G)&amp;""</f>
        <v/>
      </c>
    </row>
    <row r="720" spans="1:1">
      <c r="A720" s="32" t="str">
        <f>_xlfn.XLOOKUP(B720,Input!J:J,Input!G:G)&amp;""</f>
        <v/>
      </c>
    </row>
    <row r="721" spans="1:1">
      <c r="A721" s="32" t="str">
        <f>_xlfn.XLOOKUP(B721,Input!J:J,Input!G:G)&amp;""</f>
        <v/>
      </c>
    </row>
    <row r="722" spans="1:1">
      <c r="A722" s="32" t="str">
        <f>_xlfn.XLOOKUP(B722,Input!J:J,Input!G:G)&amp;""</f>
        <v/>
      </c>
    </row>
    <row r="723" spans="1:1">
      <c r="A723" s="32" t="str">
        <f>_xlfn.XLOOKUP(B723,Input!J:J,Input!G:G)&amp;""</f>
        <v/>
      </c>
    </row>
    <row r="724" spans="1:1">
      <c r="A724" s="32" t="str">
        <f>_xlfn.XLOOKUP(B724,Input!J:J,Input!G:G)&amp;""</f>
        <v/>
      </c>
    </row>
    <row r="725" spans="1:1">
      <c r="A725" s="32" t="str">
        <f>_xlfn.XLOOKUP(B725,Input!J:J,Input!G:G)&amp;""</f>
        <v/>
      </c>
    </row>
    <row r="726" spans="1:1">
      <c r="A726" s="32" t="str">
        <f>_xlfn.XLOOKUP(B726,Input!J:J,Input!G:G)&amp;""</f>
        <v/>
      </c>
    </row>
    <row r="727" spans="1:1">
      <c r="A727" s="32" t="str">
        <f>_xlfn.XLOOKUP(B727,Input!J:J,Input!G:G)&amp;""</f>
        <v/>
      </c>
    </row>
    <row r="728" spans="1:1">
      <c r="A728" s="32" t="str">
        <f>_xlfn.XLOOKUP(B728,Input!J:J,Input!G:G)&amp;""</f>
        <v/>
      </c>
    </row>
    <row r="729" spans="1:1">
      <c r="A729" s="32" t="str">
        <f>_xlfn.XLOOKUP(B729,Input!J:J,Input!G:G)&amp;""</f>
        <v/>
      </c>
    </row>
    <row r="730" spans="1:1">
      <c r="A730" s="32" t="str">
        <f>_xlfn.XLOOKUP(B730,Input!J:J,Input!G:G)&amp;""</f>
        <v/>
      </c>
    </row>
    <row r="731" spans="1:1">
      <c r="A731" s="32" t="str">
        <f>_xlfn.XLOOKUP(B731,Input!J:J,Input!G:G)&amp;""</f>
        <v/>
      </c>
    </row>
    <row r="732" spans="1:1">
      <c r="A732" s="32" t="str">
        <f>_xlfn.XLOOKUP(B732,Input!J:J,Input!G:G)&amp;""</f>
        <v/>
      </c>
    </row>
    <row r="733" spans="1:1">
      <c r="A733" s="32" t="str">
        <f>_xlfn.XLOOKUP(B733,Input!J:J,Input!G:G)&amp;""</f>
        <v/>
      </c>
    </row>
    <row r="734" spans="1:1">
      <c r="A734" s="32" t="str">
        <f>_xlfn.XLOOKUP(B734,Input!J:J,Input!G:G)&amp;""</f>
        <v/>
      </c>
    </row>
    <row r="735" spans="1:1">
      <c r="A735" s="32" t="str">
        <f>_xlfn.XLOOKUP(B735,Input!J:J,Input!G:G)&amp;""</f>
        <v/>
      </c>
    </row>
    <row r="736" spans="1:1">
      <c r="A736" s="32" t="str">
        <f>_xlfn.XLOOKUP(B736,Input!J:J,Input!G:G)&amp;""</f>
        <v/>
      </c>
    </row>
    <row r="737" spans="1:1">
      <c r="A737" s="32" t="str">
        <f>_xlfn.XLOOKUP(B737,Input!J:J,Input!G:G)&amp;""</f>
        <v/>
      </c>
    </row>
    <row r="738" spans="1:1">
      <c r="A738" s="32" t="str">
        <f>_xlfn.XLOOKUP(B738,Input!J:J,Input!G:G)&amp;""</f>
        <v/>
      </c>
    </row>
    <row r="739" spans="1:1">
      <c r="A739" s="32" t="str">
        <f>_xlfn.XLOOKUP(B739,Input!J:J,Input!G:G)&amp;""</f>
        <v/>
      </c>
    </row>
    <row r="740" spans="1:1">
      <c r="A740" s="32" t="str">
        <f>_xlfn.XLOOKUP(B740,Input!J:J,Input!G:G)&amp;""</f>
        <v/>
      </c>
    </row>
    <row r="741" spans="1:1">
      <c r="A741" s="32" t="str">
        <f>_xlfn.XLOOKUP(B741,Input!J:J,Input!G:G)&amp;""</f>
        <v/>
      </c>
    </row>
    <row r="742" spans="1:1">
      <c r="A742" s="32" t="str">
        <f>_xlfn.XLOOKUP(B742,Input!J:J,Input!G:G)&amp;""</f>
        <v/>
      </c>
    </row>
    <row r="743" spans="1:1">
      <c r="A743" s="32" t="str">
        <f>_xlfn.XLOOKUP(B743,Input!J:J,Input!G:G)&amp;""</f>
        <v/>
      </c>
    </row>
    <row r="744" spans="1:1">
      <c r="A744" s="32" t="str">
        <f>_xlfn.XLOOKUP(B744,Input!J:J,Input!G:G)&amp;""</f>
        <v/>
      </c>
    </row>
    <row r="745" spans="1:1">
      <c r="A745" s="32" t="str">
        <f>_xlfn.XLOOKUP(B745,Input!J:J,Input!G:G)&amp;""</f>
        <v/>
      </c>
    </row>
    <row r="746" spans="1:1">
      <c r="A746" s="32" t="str">
        <f>_xlfn.XLOOKUP(B746,Input!J:J,Input!G:G)&amp;""</f>
        <v/>
      </c>
    </row>
  </sheetData>
  <mergeCells count="1">
    <mergeCell ref="W1:A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opLeftCell="A114"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56</v>
      </c>
      <c r="B1" s="12" t="s">
        <v>284</v>
      </c>
      <c r="C1" s="12" t="s">
        <v>533</v>
      </c>
      <c r="D1" s="12" t="s">
        <v>280</v>
      </c>
      <c r="E1" s="12" t="s">
        <v>281</v>
      </c>
      <c r="F1" s="12" t="s">
        <v>534</v>
      </c>
      <c r="G1" s="12" t="s">
        <v>282</v>
      </c>
      <c r="H1" s="12" t="s">
        <v>283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03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3" si="14">IF(ISNUMBER(SEARCH("Ultra", B74)), "Ultra"&amp;_xlfn.TEXTAFTER(B74, "Ultra"), "")</f>
        <v/>
      </c>
      <c r="F74" s="13" t="str">
        <f t="shared" ref="F74:F103" si="15">IF(C74&lt;&gt;"", TRIM(_xlfn.TEXTBEFORE(C74," ",,1,1)), "")</f>
        <v/>
      </c>
      <c r="G74" s="13" t="str">
        <f>IFERROR(_xlfn.TEXTBEFORE(D74,"w/"),"")</f>
        <v/>
      </c>
      <c r="H74" s="13" t="str">
        <f t="shared" ref="H74:H103" si="16">E74</f>
        <v/>
      </c>
      <c r="I74" t="str">
        <f t="shared" ref="I74:I103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3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3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INDEX(Input!$D$2:$AC$500,
       MATCH(CPU_Formula!A104, Input!$J$2:$J$500, 0),
       MATCH("CPU model", Input!$D$1:$AC$1, 0))</f>
        <v>#N/A</v>
      </c>
      <c r="C104" s="13" t="str">
        <f t="shared" ref="C104:C167" si="26">IFERROR(_xlfn.TEXTAFTER(B104,"Core(TM) "),IFERROR(_xlfn.TEXTAFTER(B104,"Xeon(R) CPU"),""))</f>
        <v/>
      </c>
      <c r="D104" s="13" t="str">
        <f t="shared" ref="D104:D167" si="27">IFERROR(_xlfn.TEXTAFTER(B104,"Ryzen "), "")</f>
        <v/>
      </c>
      <c r="E104" s="13" t="str">
        <f t="shared" ref="E104:E167" si="28">IF(ISNUMBER(SEARCH("Ultra", B104)), "Ultra"&amp;_xlfn.TEXTAFTER(B104, "Ultra"), "")</f>
        <v/>
      </c>
      <c r="F104" s="13" t="str">
        <f t="shared" ref="F104:F167" si="29">IF(C104&lt;&gt;"", TRIM(_xlfn.TEXTBEFORE(C104," ",,1,1)), "")</f>
        <v/>
      </c>
      <c r="G104" s="13" t="str">
        <f t="shared" ref="G104:G167" si="30">IF(D104&lt;&gt;"", TRIM(_xlfn.TEXTBEFORE(D104," ",,1)), "")</f>
        <v/>
      </c>
      <c r="H104" s="13" t="str">
        <f t="shared" ref="H104:H167" si="31">E104</f>
        <v/>
      </c>
      <c r="I104" t="str">
        <f t="shared" ref="I104:I167" si="32">IF(H104&lt;&gt;"",H104,IF(G104&lt;&gt;"",G104,F104))</f>
        <v/>
      </c>
    </row>
    <row r="105" spans="1:9">
      <c r="A105">
        <f>CSV!B105</f>
        <v>0</v>
      </c>
      <c r="B105" s="13" t="e">
        <f>INDEX(Input!$D$2:$AC$500,
       MATCH(CPU_Formula!A105, Input!$J$2:$J$500, 0),
       MATCH("CPU model", Input!$D$1:$AC$1, 0))</f>
        <v>#N/A</v>
      </c>
      <c r="C105" s="13" t="str">
        <f t="shared" si="26"/>
        <v/>
      </c>
      <c r="D105" s="13" t="str">
        <f t="shared" si="27"/>
        <v/>
      </c>
      <c r="E105" s="13" t="str">
        <f t="shared" si="28"/>
        <v/>
      </c>
      <c r="F105" s="13" t="str">
        <f t="shared" si="29"/>
        <v/>
      </c>
      <c r="G105" s="13" t="str">
        <f t="shared" si="30"/>
        <v/>
      </c>
      <c r="H105" s="13" t="str">
        <f t="shared" si="31"/>
        <v/>
      </c>
      <c r="I105" t="str">
        <f t="shared" si="32"/>
        <v/>
      </c>
    </row>
    <row r="106" spans="1:9">
      <c r="A106">
        <f>CSV!B106</f>
        <v>0</v>
      </c>
      <c r="B106" s="13" t="e">
        <f>INDEX(Input!$D$2:$AC$500,
       MATCH(CPU_Formula!A106, Input!$J$2:$J$500, 0),
       MATCH("CPU model", Input!$D$1:$AC$1, 0))</f>
        <v>#N/A</v>
      </c>
      <c r="C106" s="13" t="str">
        <f t="shared" si="26"/>
        <v/>
      </c>
      <c r="D106" s="13" t="str">
        <f t="shared" si="27"/>
        <v/>
      </c>
      <c r="E106" s="13" t="str">
        <f t="shared" si="28"/>
        <v/>
      </c>
      <c r="F106" s="13" t="str">
        <f t="shared" si="29"/>
        <v/>
      </c>
      <c r="G106" s="13" t="str">
        <f t="shared" si="30"/>
        <v/>
      </c>
      <c r="H106" s="13" t="str">
        <f t="shared" si="31"/>
        <v/>
      </c>
      <c r="I106" t="str">
        <f t="shared" si="32"/>
        <v/>
      </c>
    </row>
    <row r="107" spans="1:9">
      <c r="A107">
        <f>CSV!B107</f>
        <v>0</v>
      </c>
      <c r="B107" s="13" t="e">
        <f>INDEX(Input!$D$2:$AC$500,
       MATCH(CPU_Formula!A107, Input!$J$2:$J$500, 0),
       MATCH("CPU model", Input!$D$1:$AC$1, 0))</f>
        <v>#N/A</v>
      </c>
      <c r="C107" s="13" t="str">
        <f t="shared" si="26"/>
        <v/>
      </c>
      <c r="D107" s="13" t="str">
        <f t="shared" si="27"/>
        <v/>
      </c>
      <c r="E107" s="13" t="str">
        <f t="shared" si="28"/>
        <v/>
      </c>
      <c r="F107" s="13" t="str">
        <f t="shared" si="29"/>
        <v/>
      </c>
      <c r="G107" s="13" t="str">
        <f t="shared" si="30"/>
        <v/>
      </c>
      <c r="H107" s="13" t="str">
        <f t="shared" si="31"/>
        <v/>
      </c>
      <c r="I107" t="str">
        <f t="shared" si="32"/>
        <v/>
      </c>
    </row>
    <row r="108" spans="1:9">
      <c r="A108">
        <f>CSV!B108</f>
        <v>0</v>
      </c>
      <c r="B108" s="13" t="e">
        <f>INDEX(Input!$D$2:$AC$500,
       MATCH(CPU_Formula!A108, Input!$J$2:$J$500, 0),
       MATCH("CPU model", Input!$D$1:$AC$1, 0))</f>
        <v>#N/A</v>
      </c>
      <c r="C108" s="13" t="str">
        <f t="shared" si="26"/>
        <v/>
      </c>
      <c r="D108" s="13" t="str">
        <f t="shared" si="27"/>
        <v/>
      </c>
      <c r="E108" s="13" t="str">
        <f t="shared" si="28"/>
        <v/>
      </c>
      <c r="F108" s="13" t="str">
        <f t="shared" si="29"/>
        <v/>
      </c>
      <c r="G108" s="13" t="str">
        <f t="shared" si="30"/>
        <v/>
      </c>
      <c r="H108" s="13" t="str">
        <f t="shared" si="31"/>
        <v/>
      </c>
      <c r="I108" t="str">
        <f t="shared" si="32"/>
        <v/>
      </c>
    </row>
    <row r="109" spans="1:9">
      <c r="A109">
        <f>CSV!B109</f>
        <v>0</v>
      </c>
      <c r="B109" s="13" t="e">
        <f>INDEX(Input!$D$2:$AC$500,
       MATCH(CPU_Formula!A109, Input!$J$2:$J$500, 0),
       MATCH("CPU model", Input!$D$1:$AC$1, 0))</f>
        <v>#N/A</v>
      </c>
      <c r="C109" s="13" t="str">
        <f t="shared" si="26"/>
        <v/>
      </c>
      <c r="D109" s="13" t="str">
        <f t="shared" si="27"/>
        <v/>
      </c>
      <c r="E109" s="13" t="str">
        <f t="shared" si="28"/>
        <v/>
      </c>
      <c r="F109" s="13" t="str">
        <f t="shared" si="29"/>
        <v/>
      </c>
      <c r="G109" s="13" t="str">
        <f t="shared" si="30"/>
        <v/>
      </c>
      <c r="H109" s="13" t="str">
        <f t="shared" si="31"/>
        <v/>
      </c>
      <c r="I109" t="str">
        <f t="shared" si="32"/>
        <v/>
      </c>
    </row>
    <row r="110" spans="1:9">
      <c r="A110">
        <f>CSV!B110</f>
        <v>0</v>
      </c>
      <c r="B110" s="13" t="e">
        <f>INDEX(Input!$D$2:$AC$500,
       MATCH(CPU_Formula!A110, Input!$J$2:$J$500, 0),
       MATCH("CPU model", Input!$D$1:$AC$1, 0))</f>
        <v>#N/A</v>
      </c>
      <c r="C110" s="13" t="str">
        <f t="shared" si="26"/>
        <v/>
      </c>
      <c r="D110" s="13" t="str">
        <f t="shared" si="27"/>
        <v/>
      </c>
      <c r="E110" s="13" t="str">
        <f t="shared" si="28"/>
        <v/>
      </c>
      <c r="F110" s="13" t="str">
        <f t="shared" si="29"/>
        <v/>
      </c>
      <c r="G110" s="13" t="str">
        <f t="shared" si="30"/>
        <v/>
      </c>
      <c r="H110" s="13" t="str">
        <f t="shared" si="31"/>
        <v/>
      </c>
      <c r="I110" t="str">
        <f t="shared" si="32"/>
        <v/>
      </c>
    </row>
    <row r="111" spans="1:9">
      <c r="A111">
        <f>CSV!B111</f>
        <v>0</v>
      </c>
      <c r="B111" s="13" t="e">
        <f>INDEX(Input!$D$2:$AC$500,
       MATCH(CPU_Formula!A111, Input!$J$2:$J$500, 0),
       MATCH("CPU model", Input!$D$1:$AC$1, 0))</f>
        <v>#N/A</v>
      </c>
      <c r="C111" s="13" t="str">
        <f t="shared" si="26"/>
        <v/>
      </c>
      <c r="D111" s="13" t="str">
        <f t="shared" si="27"/>
        <v/>
      </c>
      <c r="E111" s="13" t="str">
        <f t="shared" si="28"/>
        <v/>
      </c>
      <c r="F111" s="13" t="str">
        <f t="shared" si="29"/>
        <v/>
      </c>
      <c r="G111" s="13" t="str">
        <f t="shared" si="30"/>
        <v/>
      </c>
      <c r="H111" s="13" t="str">
        <f t="shared" si="31"/>
        <v/>
      </c>
      <c r="I111" t="str">
        <f t="shared" si="32"/>
        <v/>
      </c>
    </row>
    <row r="112" spans="1:9">
      <c r="A112">
        <f>CSV!B112</f>
        <v>0</v>
      </c>
      <c r="B112" s="13" t="e">
        <f>INDEX(Input!$D$2:$AC$500,
       MATCH(CPU_Formula!A112, Input!$J$2:$J$500, 0),
       MATCH("CPU model", Input!$D$1:$AC$1, 0))</f>
        <v>#N/A</v>
      </c>
      <c r="C112" s="13" t="str">
        <f t="shared" si="26"/>
        <v/>
      </c>
      <c r="D112" s="13" t="str">
        <f t="shared" si="27"/>
        <v/>
      </c>
      <c r="E112" s="13" t="str">
        <f t="shared" si="28"/>
        <v/>
      </c>
      <c r="F112" s="13" t="str">
        <f t="shared" si="29"/>
        <v/>
      </c>
      <c r="G112" s="13" t="str">
        <f t="shared" si="30"/>
        <v/>
      </c>
      <c r="H112" s="13" t="str">
        <f t="shared" si="31"/>
        <v/>
      </c>
      <c r="I112" t="str">
        <f t="shared" si="32"/>
        <v/>
      </c>
    </row>
    <row r="113" spans="1:9">
      <c r="A113">
        <f>CSV!B113</f>
        <v>0</v>
      </c>
      <c r="B113" s="13" t="e">
        <f>INDEX(Input!$D$2:$AC$500,
       MATCH(CPU_Formula!A113, Input!$J$2:$J$500, 0),
       MATCH("CPU model", Input!$D$1:$AC$1, 0))</f>
        <v>#N/A</v>
      </c>
      <c r="C113" s="13" t="str">
        <f t="shared" si="26"/>
        <v/>
      </c>
      <c r="D113" s="13" t="str">
        <f t="shared" si="27"/>
        <v/>
      </c>
      <c r="E113" s="13" t="str">
        <f t="shared" si="28"/>
        <v/>
      </c>
      <c r="F113" s="13" t="str">
        <f t="shared" si="29"/>
        <v/>
      </c>
      <c r="G113" s="13" t="str">
        <f t="shared" si="30"/>
        <v/>
      </c>
      <c r="H113" s="13" t="str">
        <f t="shared" si="31"/>
        <v/>
      </c>
      <c r="I113" t="str">
        <f t="shared" si="32"/>
        <v/>
      </c>
    </row>
    <row r="114" spans="1:9">
      <c r="A114">
        <f>CSV!B114</f>
        <v>0</v>
      </c>
      <c r="B114" s="13" t="e">
        <f>INDEX(Input!$D$2:$AC$500,
       MATCH(CPU_Formula!A114, Input!$J$2:$J$500, 0),
       MATCH("CPU model", Input!$D$1:$AC$1, 0))</f>
        <v>#N/A</v>
      </c>
      <c r="C114" s="13" t="str">
        <f t="shared" si="26"/>
        <v/>
      </c>
      <c r="D114" s="13" t="str">
        <f t="shared" si="27"/>
        <v/>
      </c>
      <c r="E114" s="13" t="str">
        <f t="shared" si="28"/>
        <v/>
      </c>
      <c r="F114" s="13" t="str">
        <f t="shared" si="29"/>
        <v/>
      </c>
      <c r="G114" s="13" t="str">
        <f t="shared" si="30"/>
        <v/>
      </c>
      <c r="H114" s="13" t="str">
        <f t="shared" si="31"/>
        <v/>
      </c>
      <c r="I114" t="str">
        <f t="shared" si="32"/>
        <v/>
      </c>
    </row>
    <row r="115" spans="1:9">
      <c r="A115">
        <f>CSV!B115</f>
        <v>0</v>
      </c>
      <c r="B115" s="13" t="e">
        <f>INDEX(Input!$D$2:$AC$500,
       MATCH(CPU_Formula!A115, Input!$J$2:$J$500, 0),
       MATCH("CPU model", Input!$D$1:$AC$1, 0))</f>
        <v>#N/A</v>
      </c>
      <c r="C115" s="13" t="str">
        <f t="shared" si="26"/>
        <v/>
      </c>
      <c r="D115" s="13" t="str">
        <f t="shared" si="27"/>
        <v/>
      </c>
      <c r="E115" s="13" t="str">
        <f t="shared" si="28"/>
        <v/>
      </c>
      <c r="F115" s="13" t="str">
        <f t="shared" si="29"/>
        <v/>
      </c>
      <c r="G115" s="13" t="str">
        <f t="shared" si="30"/>
        <v/>
      </c>
      <c r="H115" s="13" t="str">
        <f t="shared" si="31"/>
        <v/>
      </c>
      <c r="I115" t="str">
        <f t="shared" si="32"/>
        <v/>
      </c>
    </row>
    <row r="116" spans="1:9">
      <c r="A116">
        <f>CSV!B116</f>
        <v>0</v>
      </c>
      <c r="B116" s="13" t="e">
        <f>INDEX(Input!$D$2:$AC$500,
       MATCH(CPU_Formula!A116, Input!$J$2:$J$500, 0),
       MATCH("CPU model", Input!$D$1:$AC$1, 0))</f>
        <v>#N/A</v>
      </c>
      <c r="C116" s="13" t="str">
        <f t="shared" si="26"/>
        <v/>
      </c>
      <c r="D116" s="13" t="str">
        <f t="shared" si="27"/>
        <v/>
      </c>
      <c r="E116" s="13" t="str">
        <f t="shared" si="28"/>
        <v/>
      </c>
      <c r="F116" s="13" t="str">
        <f t="shared" si="29"/>
        <v/>
      </c>
      <c r="G116" s="13" t="str">
        <f t="shared" si="30"/>
        <v/>
      </c>
      <c r="H116" s="13" t="str">
        <f t="shared" si="31"/>
        <v/>
      </c>
      <c r="I116" t="str">
        <f t="shared" si="32"/>
        <v/>
      </c>
    </row>
    <row r="117" spans="1:9">
      <c r="A117">
        <f>CSV!B117</f>
        <v>0</v>
      </c>
      <c r="B117" s="13" t="e">
        <f>INDEX(Input!$D$2:$AC$500,
       MATCH(CPU_Formula!A117, Input!$J$2:$J$500, 0),
       MATCH("CPU model", Input!$D$1:$AC$1, 0))</f>
        <v>#N/A</v>
      </c>
      <c r="C117" s="13" t="str">
        <f t="shared" si="26"/>
        <v/>
      </c>
      <c r="D117" s="13" t="str">
        <f t="shared" si="27"/>
        <v/>
      </c>
      <c r="E117" s="13" t="str">
        <f t="shared" si="28"/>
        <v/>
      </c>
      <c r="F117" s="13" t="str">
        <f t="shared" si="29"/>
        <v/>
      </c>
      <c r="G117" s="13" t="str">
        <f t="shared" si="30"/>
        <v/>
      </c>
      <c r="H117" s="13" t="str">
        <f t="shared" si="31"/>
        <v/>
      </c>
      <c r="I117" t="str">
        <f t="shared" si="32"/>
        <v/>
      </c>
    </row>
    <row r="118" spans="1:9">
      <c r="A118">
        <f>CSV!B118</f>
        <v>0</v>
      </c>
      <c r="B118" s="13" t="e">
        <f>INDEX(Input!$D$2:$AC$500,
       MATCH(CPU_Formula!A118, Input!$J$2:$J$500, 0),
       MATCH("CPU model", Input!$D$1:$AC$1, 0))</f>
        <v>#N/A</v>
      </c>
      <c r="C118" s="13" t="str">
        <f t="shared" si="26"/>
        <v/>
      </c>
      <c r="D118" s="13" t="str">
        <f t="shared" si="27"/>
        <v/>
      </c>
      <c r="E118" s="13" t="str">
        <f t="shared" si="28"/>
        <v/>
      </c>
      <c r="F118" s="13" t="str">
        <f t="shared" si="29"/>
        <v/>
      </c>
      <c r="G118" s="13" t="str">
        <f t="shared" si="30"/>
        <v/>
      </c>
      <c r="H118" s="13" t="str">
        <f t="shared" si="31"/>
        <v/>
      </c>
      <c r="I118" t="str">
        <f t="shared" si="32"/>
        <v/>
      </c>
    </row>
    <row r="119" spans="1:9">
      <c r="A119">
        <f>CSV!B119</f>
        <v>0</v>
      </c>
      <c r="B119" s="13" t="e">
        <f>INDEX(Input!$D$2:$AC$500,
       MATCH(CPU_Formula!A119, Input!$J$2:$J$500, 0),
       MATCH("CPU model", Input!$D$1:$AC$1, 0))</f>
        <v>#N/A</v>
      </c>
      <c r="C119" s="13" t="str">
        <f t="shared" si="26"/>
        <v/>
      </c>
      <c r="D119" s="13" t="str">
        <f t="shared" si="27"/>
        <v/>
      </c>
      <c r="E119" s="13" t="str">
        <f t="shared" si="28"/>
        <v/>
      </c>
      <c r="F119" s="13" t="str">
        <f t="shared" si="29"/>
        <v/>
      </c>
      <c r="G119" s="13" t="str">
        <f t="shared" si="30"/>
        <v/>
      </c>
      <c r="H119" s="13" t="str">
        <f t="shared" si="31"/>
        <v/>
      </c>
      <c r="I119" t="str">
        <f t="shared" si="32"/>
        <v/>
      </c>
    </row>
    <row r="120" spans="1:9">
      <c r="A120">
        <f>CSV!B120</f>
        <v>0</v>
      </c>
      <c r="B120" s="13" t="e">
        <f>INDEX(Input!$D$2:$AC$500,
       MATCH(CPU_Formula!A120, Input!$J$2:$J$500, 0),
       MATCH("CPU model", Input!$D$1:$AC$1, 0))</f>
        <v>#N/A</v>
      </c>
      <c r="C120" s="13" t="str">
        <f t="shared" si="26"/>
        <v/>
      </c>
      <c r="D120" s="13" t="str">
        <f t="shared" si="27"/>
        <v/>
      </c>
      <c r="E120" s="13" t="str">
        <f t="shared" si="28"/>
        <v/>
      </c>
      <c r="F120" s="13" t="str">
        <f t="shared" si="29"/>
        <v/>
      </c>
      <c r="G120" s="13" t="str">
        <f t="shared" si="30"/>
        <v/>
      </c>
      <c r="H120" s="13" t="str">
        <f t="shared" si="31"/>
        <v/>
      </c>
      <c r="I120" t="str">
        <f t="shared" si="32"/>
        <v/>
      </c>
    </row>
    <row r="121" spans="1:9">
      <c r="A121">
        <f>CSV!B121</f>
        <v>0</v>
      </c>
      <c r="B121" s="13" t="e">
        <f>INDEX(Input!$D$2:$AC$500,
       MATCH(CPU_Formula!A121, Input!$J$2:$J$500, 0),
       MATCH("CPU model", Input!$D$1:$AC$1, 0))</f>
        <v>#N/A</v>
      </c>
      <c r="C121" s="13" t="str">
        <f t="shared" si="26"/>
        <v/>
      </c>
      <c r="D121" s="13" t="str">
        <f t="shared" si="27"/>
        <v/>
      </c>
      <c r="E121" s="13" t="str">
        <f t="shared" si="28"/>
        <v/>
      </c>
      <c r="F121" s="13" t="str">
        <f t="shared" si="29"/>
        <v/>
      </c>
      <c r="G121" s="13" t="str">
        <f t="shared" si="30"/>
        <v/>
      </c>
      <c r="H121" s="13" t="str">
        <f t="shared" si="31"/>
        <v/>
      </c>
      <c r="I121" t="str">
        <f t="shared" si="32"/>
        <v/>
      </c>
    </row>
    <row r="122" spans="1:9">
      <c r="A122">
        <f>CSV!B122</f>
        <v>0</v>
      </c>
      <c r="B122" s="13" t="e">
        <f>INDEX(Input!$D$2:$AC$500,
       MATCH(CPU_Formula!A122, Input!$J$2:$J$500, 0),
       MATCH("CPU model", Input!$D$1:$AC$1, 0))</f>
        <v>#N/A</v>
      </c>
      <c r="C122" s="13" t="str">
        <f t="shared" si="26"/>
        <v/>
      </c>
      <c r="D122" s="13" t="str">
        <f t="shared" si="27"/>
        <v/>
      </c>
      <c r="E122" s="13" t="str">
        <f t="shared" si="28"/>
        <v/>
      </c>
      <c r="F122" s="13" t="str">
        <f t="shared" si="29"/>
        <v/>
      </c>
      <c r="G122" s="13" t="str">
        <f t="shared" si="30"/>
        <v/>
      </c>
      <c r="H122" s="13" t="str">
        <f t="shared" si="31"/>
        <v/>
      </c>
      <c r="I122" t="str">
        <f t="shared" si="32"/>
        <v/>
      </c>
    </row>
    <row r="123" spans="1:9">
      <c r="A123">
        <f>CSV!B123</f>
        <v>0</v>
      </c>
      <c r="B123" s="13" t="e">
        <f>INDEX(Input!$D$2:$AC$500,
       MATCH(CPU_Formula!A123, Input!$J$2:$J$500, 0),
       MATCH("CPU model", Input!$D$1:$AC$1, 0))</f>
        <v>#N/A</v>
      </c>
      <c r="C123" s="13" t="str">
        <f t="shared" si="26"/>
        <v/>
      </c>
      <c r="D123" s="13" t="str">
        <f t="shared" si="27"/>
        <v/>
      </c>
      <c r="E123" s="13" t="str">
        <f t="shared" si="28"/>
        <v/>
      </c>
      <c r="F123" s="13" t="str">
        <f t="shared" si="29"/>
        <v/>
      </c>
      <c r="G123" s="13" t="str">
        <f t="shared" si="30"/>
        <v/>
      </c>
      <c r="H123" s="13" t="str">
        <f t="shared" si="31"/>
        <v/>
      </c>
      <c r="I123" t="str">
        <f t="shared" si="32"/>
        <v/>
      </c>
    </row>
    <row r="124" spans="1:9">
      <c r="A124">
        <f>CSV!B124</f>
        <v>0</v>
      </c>
      <c r="B124" s="13" t="e">
        <f>INDEX(Input!$D$2:$AC$500,
       MATCH(CPU_Formula!A124, Input!$J$2:$J$500, 0),
       MATCH("CPU model", Input!$D$1:$AC$1, 0))</f>
        <v>#N/A</v>
      </c>
      <c r="C124" s="13" t="str">
        <f t="shared" si="26"/>
        <v/>
      </c>
      <c r="D124" s="13" t="str">
        <f t="shared" si="27"/>
        <v/>
      </c>
      <c r="E124" s="13" t="str">
        <f t="shared" si="28"/>
        <v/>
      </c>
      <c r="F124" s="13" t="str">
        <f t="shared" si="29"/>
        <v/>
      </c>
      <c r="G124" s="13" t="str">
        <f t="shared" si="30"/>
        <v/>
      </c>
      <c r="H124" s="13" t="str">
        <f t="shared" si="31"/>
        <v/>
      </c>
      <c r="I124" t="str">
        <f t="shared" si="32"/>
        <v/>
      </c>
    </row>
    <row r="125" spans="1:9">
      <c r="A125">
        <f>CSV!B125</f>
        <v>0</v>
      </c>
      <c r="B125" s="13" t="e">
        <f>INDEX(Input!$D$2:$AC$500,
       MATCH(CPU_Formula!A125, Input!$J$2:$J$500, 0),
       MATCH("CPU model", Input!$D$1:$AC$1, 0))</f>
        <v>#N/A</v>
      </c>
      <c r="C125" s="13" t="str">
        <f t="shared" si="26"/>
        <v/>
      </c>
      <c r="D125" s="13" t="str">
        <f t="shared" si="27"/>
        <v/>
      </c>
      <c r="E125" s="13" t="str">
        <f t="shared" si="28"/>
        <v/>
      </c>
      <c r="F125" s="13" t="str">
        <f t="shared" si="29"/>
        <v/>
      </c>
      <c r="G125" s="13" t="str">
        <f t="shared" si="30"/>
        <v/>
      </c>
      <c r="H125" s="13" t="str">
        <f t="shared" si="31"/>
        <v/>
      </c>
      <c r="I125" t="str">
        <f t="shared" si="32"/>
        <v/>
      </c>
    </row>
    <row r="126" spans="1:9">
      <c r="A126">
        <f>CSV!B126</f>
        <v>0</v>
      </c>
      <c r="B126" s="13" t="e">
        <f>INDEX(Input!$D$2:$AC$500,
       MATCH(CPU_Formula!A126, Input!$J$2:$J$500, 0),
       MATCH("CPU model", Input!$D$1:$AC$1, 0))</f>
        <v>#N/A</v>
      </c>
      <c r="C126" s="13" t="str">
        <f t="shared" si="26"/>
        <v/>
      </c>
      <c r="D126" s="13" t="str">
        <f t="shared" si="27"/>
        <v/>
      </c>
      <c r="E126" s="13" t="str">
        <f t="shared" si="28"/>
        <v/>
      </c>
      <c r="F126" s="13" t="str">
        <f t="shared" si="29"/>
        <v/>
      </c>
      <c r="G126" s="13" t="str">
        <f t="shared" si="30"/>
        <v/>
      </c>
      <c r="H126" s="13" t="str">
        <f t="shared" si="31"/>
        <v/>
      </c>
      <c r="I126" t="str">
        <f t="shared" si="32"/>
        <v/>
      </c>
    </row>
    <row r="127" spans="1:9">
      <c r="A127">
        <f>CSV!B127</f>
        <v>0</v>
      </c>
      <c r="B127" s="13" t="e">
        <f>INDEX(Input!$D$2:$AC$500,
       MATCH(CPU_Formula!A127, Input!$J$2:$J$500, 0),
       MATCH("CPU model", Input!$D$1:$AC$1, 0))</f>
        <v>#N/A</v>
      </c>
      <c r="C127" s="13" t="str">
        <f t="shared" si="26"/>
        <v/>
      </c>
      <c r="D127" s="13" t="str">
        <f t="shared" si="27"/>
        <v/>
      </c>
      <c r="E127" s="13" t="str">
        <f t="shared" si="28"/>
        <v/>
      </c>
      <c r="F127" s="13" t="str">
        <f t="shared" si="29"/>
        <v/>
      </c>
      <c r="G127" s="13" t="str">
        <f t="shared" si="30"/>
        <v/>
      </c>
      <c r="H127" s="13" t="str">
        <f t="shared" si="31"/>
        <v/>
      </c>
      <c r="I127" t="str">
        <f t="shared" si="32"/>
        <v/>
      </c>
    </row>
    <row r="128" spans="1:9">
      <c r="A128">
        <f>CSV!B128</f>
        <v>0</v>
      </c>
      <c r="B128" s="13" t="e">
        <f>INDEX(Input!$D$2:$AC$500,
       MATCH(CPU_Formula!A128, Input!$J$2:$J$500, 0),
       MATCH("CPU model", Input!$D$1:$AC$1, 0))</f>
        <v>#N/A</v>
      </c>
      <c r="C128" s="13" t="str">
        <f t="shared" si="26"/>
        <v/>
      </c>
      <c r="D128" s="13" t="str">
        <f t="shared" si="27"/>
        <v/>
      </c>
      <c r="E128" s="13" t="str">
        <f t="shared" si="28"/>
        <v/>
      </c>
      <c r="F128" s="13" t="str">
        <f t="shared" si="29"/>
        <v/>
      </c>
      <c r="G128" s="13" t="str">
        <f t="shared" si="30"/>
        <v/>
      </c>
      <c r="H128" s="13" t="str">
        <f t="shared" si="31"/>
        <v/>
      </c>
      <c r="I128" t="str">
        <f t="shared" si="32"/>
        <v/>
      </c>
    </row>
    <row r="129" spans="1:9">
      <c r="A129">
        <f>CSV!B129</f>
        <v>0</v>
      </c>
      <c r="B129" s="13" t="e">
        <f>INDEX(Input!$D$2:$AC$500,
       MATCH(CPU_Formula!A129, Input!$J$2:$J$500, 0),
       MATCH("CPU model", Input!$D$1:$AC$1, 0))</f>
        <v>#N/A</v>
      </c>
      <c r="C129" s="13" t="str">
        <f t="shared" si="26"/>
        <v/>
      </c>
      <c r="D129" s="13" t="str">
        <f t="shared" si="27"/>
        <v/>
      </c>
      <c r="E129" s="13" t="str">
        <f t="shared" si="28"/>
        <v/>
      </c>
      <c r="F129" s="13" t="str">
        <f t="shared" si="29"/>
        <v/>
      </c>
      <c r="G129" s="13" t="str">
        <f t="shared" si="30"/>
        <v/>
      </c>
      <c r="H129" s="13" t="str">
        <f t="shared" si="31"/>
        <v/>
      </c>
      <c r="I129" t="str">
        <f t="shared" si="32"/>
        <v/>
      </c>
    </row>
    <row r="130" spans="1:9">
      <c r="A130">
        <f>CSV!B130</f>
        <v>0</v>
      </c>
      <c r="B130" s="13" t="e">
        <f>INDEX(Input!$D$2:$AC$500,
       MATCH(CPU_Formula!A130, Input!$J$2:$J$500, 0),
       MATCH("CPU model", Input!$D$1:$AC$1, 0))</f>
        <v>#N/A</v>
      </c>
      <c r="C130" s="13" t="str">
        <f t="shared" si="26"/>
        <v/>
      </c>
      <c r="D130" s="13" t="str">
        <f t="shared" si="27"/>
        <v/>
      </c>
      <c r="E130" s="13" t="str">
        <f t="shared" si="28"/>
        <v/>
      </c>
      <c r="F130" s="13" t="str">
        <f t="shared" si="29"/>
        <v/>
      </c>
      <c r="G130" s="13" t="str">
        <f t="shared" si="30"/>
        <v/>
      </c>
      <c r="H130" s="13" t="str">
        <f t="shared" si="31"/>
        <v/>
      </c>
      <c r="I130" t="str">
        <f t="shared" si="32"/>
        <v/>
      </c>
    </row>
    <row r="131" spans="1:9">
      <c r="A131">
        <f>CSV!B131</f>
        <v>0</v>
      </c>
      <c r="B131" s="13" t="e">
        <f>INDEX(Input!$D$2:$AC$500,
       MATCH(CPU_Formula!A131, Input!$J$2:$J$500, 0),
       MATCH("CPU model", Input!$D$1:$AC$1, 0))</f>
        <v>#N/A</v>
      </c>
      <c r="C131" s="13" t="str">
        <f t="shared" si="26"/>
        <v/>
      </c>
      <c r="D131" s="13" t="str">
        <f t="shared" si="27"/>
        <v/>
      </c>
      <c r="E131" s="13" t="str">
        <f t="shared" si="28"/>
        <v/>
      </c>
      <c r="F131" s="13" t="str">
        <f t="shared" si="29"/>
        <v/>
      </c>
      <c r="G131" s="13" t="str">
        <f t="shared" si="30"/>
        <v/>
      </c>
      <c r="H131" s="13" t="str">
        <f t="shared" si="31"/>
        <v/>
      </c>
      <c r="I131" t="str">
        <f t="shared" si="32"/>
        <v/>
      </c>
    </row>
    <row r="132" spans="1:9">
      <c r="A132">
        <f>CSV!B132</f>
        <v>0</v>
      </c>
      <c r="B132" s="13" t="e">
        <f>INDEX(Input!$D$2:$AC$500,
       MATCH(CPU_Formula!A132, Input!$J$2:$J$500, 0),
       MATCH("CPU model", Input!$D$1:$AC$1, 0))</f>
        <v>#N/A</v>
      </c>
      <c r="C132" s="13" t="str">
        <f t="shared" si="26"/>
        <v/>
      </c>
      <c r="D132" s="13" t="str">
        <f t="shared" si="27"/>
        <v/>
      </c>
      <c r="E132" s="13" t="str">
        <f t="shared" si="28"/>
        <v/>
      </c>
      <c r="F132" s="13" t="str">
        <f t="shared" si="29"/>
        <v/>
      </c>
      <c r="G132" s="13" t="str">
        <f t="shared" si="30"/>
        <v/>
      </c>
      <c r="H132" s="13" t="str">
        <f t="shared" si="31"/>
        <v/>
      </c>
      <c r="I132" t="str">
        <f t="shared" si="32"/>
        <v/>
      </c>
    </row>
    <row r="133" spans="1:9">
      <c r="A133">
        <f>CSV!B133</f>
        <v>0</v>
      </c>
      <c r="B133" s="13" t="e">
        <f>INDEX(Input!$D$2:$AC$500,
       MATCH(CPU_Formula!A133, Input!$J$2:$J$500, 0),
       MATCH("CPU model", Input!$D$1:$AC$1, 0))</f>
        <v>#N/A</v>
      </c>
      <c r="C133" s="13" t="str">
        <f t="shared" si="26"/>
        <v/>
      </c>
      <c r="D133" s="13" t="str">
        <f t="shared" si="27"/>
        <v/>
      </c>
      <c r="E133" s="13" t="str">
        <f t="shared" si="28"/>
        <v/>
      </c>
      <c r="F133" s="13" t="str">
        <f t="shared" si="29"/>
        <v/>
      </c>
      <c r="G133" s="13" t="str">
        <f t="shared" si="30"/>
        <v/>
      </c>
      <c r="H133" s="13" t="str">
        <f t="shared" si="31"/>
        <v/>
      </c>
      <c r="I133" t="str">
        <f t="shared" si="32"/>
        <v/>
      </c>
    </row>
    <row r="134" spans="1:9">
      <c r="A134">
        <f>CSV!B134</f>
        <v>0</v>
      </c>
      <c r="B134" s="13" t="e">
        <f>INDEX(Input!$D$2:$AC$500,
       MATCH(CPU_Formula!A134, Input!$J$2:$J$500, 0),
       MATCH("CPU model", Input!$D$1:$AC$1, 0))</f>
        <v>#N/A</v>
      </c>
      <c r="C134" s="13" t="str">
        <f t="shared" si="26"/>
        <v/>
      </c>
      <c r="D134" s="13" t="str">
        <f t="shared" si="27"/>
        <v/>
      </c>
      <c r="E134" s="13" t="str">
        <f t="shared" si="28"/>
        <v/>
      </c>
      <c r="F134" s="13" t="str">
        <f t="shared" si="29"/>
        <v/>
      </c>
      <c r="G134" s="13" t="str">
        <f t="shared" si="30"/>
        <v/>
      </c>
      <c r="H134" s="13" t="str">
        <f t="shared" si="31"/>
        <v/>
      </c>
      <c r="I134" t="str">
        <f t="shared" si="32"/>
        <v/>
      </c>
    </row>
    <row r="135" spans="1:9">
      <c r="A135">
        <f>CSV!B135</f>
        <v>0</v>
      </c>
      <c r="B135" s="13" t="e">
        <f>INDEX(Input!$D$2:$AC$500,
       MATCH(CPU_Formula!A135, Input!$J$2:$J$500, 0),
       MATCH("CPU model", Input!$D$1:$AC$1, 0))</f>
        <v>#N/A</v>
      </c>
      <c r="C135" s="13" t="str">
        <f t="shared" si="26"/>
        <v/>
      </c>
      <c r="D135" s="13" t="str">
        <f t="shared" si="27"/>
        <v/>
      </c>
      <c r="E135" s="13" t="str">
        <f t="shared" si="28"/>
        <v/>
      </c>
      <c r="F135" s="13" t="str">
        <f t="shared" si="29"/>
        <v/>
      </c>
      <c r="G135" s="13" t="str">
        <f t="shared" si="30"/>
        <v/>
      </c>
      <c r="H135" s="13" t="str">
        <f t="shared" si="31"/>
        <v/>
      </c>
      <c r="I135" t="str">
        <f t="shared" si="32"/>
        <v/>
      </c>
    </row>
    <row r="136" spans="1:9">
      <c r="A136">
        <f>CSV!B136</f>
        <v>0</v>
      </c>
      <c r="B136" s="13" t="e">
        <f>INDEX(Input!$D$2:$AC$500,
       MATCH(CPU_Formula!A136, Input!$J$2:$J$500, 0),
       MATCH("CPU model", Input!$D$1:$AC$1, 0))</f>
        <v>#N/A</v>
      </c>
      <c r="C136" s="13" t="str">
        <f t="shared" si="26"/>
        <v/>
      </c>
      <c r="D136" s="13" t="str">
        <f t="shared" si="27"/>
        <v/>
      </c>
      <c r="E136" s="13" t="str">
        <f t="shared" si="28"/>
        <v/>
      </c>
      <c r="F136" s="13" t="str">
        <f t="shared" si="29"/>
        <v/>
      </c>
      <c r="G136" s="13" t="str">
        <f t="shared" si="30"/>
        <v/>
      </c>
      <c r="H136" s="13" t="str">
        <f t="shared" si="31"/>
        <v/>
      </c>
      <c r="I136" t="str">
        <f t="shared" si="32"/>
        <v/>
      </c>
    </row>
    <row r="137" spans="1:9">
      <c r="A137">
        <f>CSV!B137</f>
        <v>0</v>
      </c>
      <c r="B137" s="13" t="e">
        <f>INDEX(Input!$D$2:$AC$500,
       MATCH(CPU_Formula!A137, Input!$J$2:$J$500, 0),
       MATCH("CPU model", Input!$D$1:$AC$1, 0))</f>
        <v>#N/A</v>
      </c>
      <c r="C137" s="13" t="str">
        <f t="shared" si="26"/>
        <v/>
      </c>
      <c r="D137" s="13" t="str">
        <f t="shared" si="27"/>
        <v/>
      </c>
      <c r="E137" s="13" t="str">
        <f t="shared" si="28"/>
        <v/>
      </c>
      <c r="F137" s="13" t="str">
        <f t="shared" si="29"/>
        <v/>
      </c>
      <c r="G137" s="13" t="str">
        <f t="shared" si="30"/>
        <v/>
      </c>
      <c r="H137" s="13" t="str">
        <f t="shared" si="31"/>
        <v/>
      </c>
      <c r="I137" t="str">
        <f t="shared" si="32"/>
        <v/>
      </c>
    </row>
    <row r="138" spans="1:9">
      <c r="A138">
        <f>CSV!B138</f>
        <v>0</v>
      </c>
      <c r="B138" s="13" t="e">
        <f>INDEX(Input!$D$2:$AC$500,
       MATCH(CPU_Formula!A138, Input!$J$2:$J$500, 0),
       MATCH("CPU model", Input!$D$1:$AC$1, 0))</f>
        <v>#N/A</v>
      </c>
      <c r="C138" s="13" t="str">
        <f t="shared" si="26"/>
        <v/>
      </c>
      <c r="D138" s="13" t="str">
        <f t="shared" si="27"/>
        <v/>
      </c>
      <c r="E138" s="13" t="str">
        <f t="shared" si="28"/>
        <v/>
      </c>
      <c r="F138" s="13" t="str">
        <f t="shared" si="29"/>
        <v/>
      </c>
      <c r="G138" s="13" t="str">
        <f t="shared" si="30"/>
        <v/>
      </c>
      <c r="H138" s="13" t="str">
        <f t="shared" si="31"/>
        <v/>
      </c>
      <c r="I138" t="str">
        <f t="shared" si="32"/>
        <v/>
      </c>
    </row>
    <row r="139" spans="1:9">
      <c r="A139">
        <f>CSV!B139</f>
        <v>0</v>
      </c>
      <c r="B139" s="13" t="e">
        <f>INDEX(Input!$D$2:$AC$500,
       MATCH(CPU_Formula!A139, Input!$J$2:$J$500, 0),
       MATCH("CPU model", Input!$D$1:$AC$1, 0))</f>
        <v>#N/A</v>
      </c>
      <c r="C139" s="13" t="str">
        <f t="shared" si="26"/>
        <v/>
      </c>
      <c r="D139" s="13" t="str">
        <f t="shared" si="27"/>
        <v/>
      </c>
      <c r="E139" s="13" t="str">
        <f t="shared" si="28"/>
        <v/>
      </c>
      <c r="F139" s="13" t="str">
        <f t="shared" si="29"/>
        <v/>
      </c>
      <c r="G139" s="13" t="str">
        <f t="shared" si="30"/>
        <v/>
      </c>
      <c r="H139" s="13" t="str">
        <f t="shared" si="31"/>
        <v/>
      </c>
      <c r="I139" t="str">
        <f t="shared" si="32"/>
        <v/>
      </c>
    </row>
    <row r="140" spans="1:9">
      <c r="A140">
        <f>CSV!B140</f>
        <v>0</v>
      </c>
      <c r="B140" s="13" t="e">
        <f>INDEX(Input!$D$2:$AC$500,
       MATCH(CPU_Formula!A140, Input!$J$2:$J$500, 0),
       MATCH("CPU model", Input!$D$1:$AC$1, 0))</f>
        <v>#N/A</v>
      </c>
      <c r="C140" s="13" t="str">
        <f t="shared" si="26"/>
        <v/>
      </c>
      <c r="D140" s="13" t="str">
        <f t="shared" si="27"/>
        <v/>
      </c>
      <c r="E140" s="13" t="str">
        <f t="shared" si="28"/>
        <v/>
      </c>
      <c r="F140" s="13" t="str">
        <f t="shared" si="29"/>
        <v/>
      </c>
      <c r="G140" s="13" t="str">
        <f t="shared" si="30"/>
        <v/>
      </c>
      <c r="H140" s="13" t="str">
        <f t="shared" si="31"/>
        <v/>
      </c>
      <c r="I140" t="str">
        <f t="shared" si="32"/>
        <v/>
      </c>
    </row>
    <row r="141" spans="1:9">
      <c r="A141">
        <f>CSV!B141</f>
        <v>0</v>
      </c>
      <c r="B141" s="13" t="e">
        <f>INDEX(Input!$D$2:$AC$500,
       MATCH(CPU_Formula!A141, Input!$J$2:$J$500, 0),
       MATCH("CPU model", Input!$D$1:$AC$1, 0))</f>
        <v>#N/A</v>
      </c>
      <c r="C141" s="13" t="str">
        <f t="shared" si="26"/>
        <v/>
      </c>
      <c r="D141" s="13" t="str">
        <f t="shared" si="27"/>
        <v/>
      </c>
      <c r="E141" s="13" t="str">
        <f t="shared" si="28"/>
        <v/>
      </c>
      <c r="F141" s="13" t="str">
        <f t="shared" si="29"/>
        <v/>
      </c>
      <c r="G141" s="13" t="str">
        <f t="shared" si="30"/>
        <v/>
      </c>
      <c r="H141" s="13" t="str">
        <f t="shared" si="31"/>
        <v/>
      </c>
      <c r="I141" t="str">
        <f t="shared" si="32"/>
        <v/>
      </c>
    </row>
    <row r="142" spans="1:9">
      <c r="A142">
        <f>CSV!B142</f>
        <v>0</v>
      </c>
      <c r="B142" s="13" t="e">
        <f>INDEX(Input!$D$2:$AC$500,
       MATCH(CPU_Formula!A142, Input!$J$2:$J$500, 0),
       MATCH("CPU model", Input!$D$1:$AC$1, 0))</f>
        <v>#N/A</v>
      </c>
      <c r="C142" s="13" t="str">
        <f t="shared" si="26"/>
        <v/>
      </c>
      <c r="D142" s="13" t="str">
        <f t="shared" si="27"/>
        <v/>
      </c>
      <c r="E142" s="13" t="str">
        <f t="shared" si="28"/>
        <v/>
      </c>
      <c r="F142" s="13" t="str">
        <f t="shared" si="29"/>
        <v/>
      </c>
      <c r="G142" s="13" t="str">
        <f t="shared" si="30"/>
        <v/>
      </c>
      <c r="H142" s="13" t="str">
        <f t="shared" si="31"/>
        <v/>
      </c>
      <c r="I142" t="str">
        <f t="shared" si="32"/>
        <v/>
      </c>
    </row>
    <row r="143" spans="1:9">
      <c r="A143">
        <f>CSV!B143</f>
        <v>0</v>
      </c>
      <c r="B143" s="13" t="e">
        <f>INDEX(Input!$D$2:$AC$500,
       MATCH(CPU_Formula!A143, Input!$J$2:$J$500, 0),
       MATCH("CPU model", Input!$D$1:$AC$1, 0))</f>
        <v>#N/A</v>
      </c>
      <c r="C143" s="13" t="str">
        <f t="shared" si="26"/>
        <v/>
      </c>
      <c r="D143" s="13" t="str">
        <f t="shared" si="27"/>
        <v/>
      </c>
      <c r="E143" s="13" t="str">
        <f t="shared" si="28"/>
        <v/>
      </c>
      <c r="F143" s="13" t="str">
        <f t="shared" si="29"/>
        <v/>
      </c>
      <c r="G143" s="13" t="str">
        <f t="shared" si="30"/>
        <v/>
      </c>
      <c r="H143" s="13" t="str">
        <f t="shared" si="31"/>
        <v/>
      </c>
      <c r="I143" t="str">
        <f t="shared" si="32"/>
        <v/>
      </c>
    </row>
    <row r="144" spans="1:9">
      <c r="A144">
        <f>CSV!B144</f>
        <v>0</v>
      </c>
      <c r="B144" s="13" t="e">
        <f>INDEX(Input!$D$2:$AC$500,
       MATCH(CPU_Formula!A144, Input!$J$2:$J$500, 0),
       MATCH("CPU model", Input!$D$1:$AC$1, 0))</f>
        <v>#N/A</v>
      </c>
      <c r="C144" s="13" t="str">
        <f t="shared" si="26"/>
        <v/>
      </c>
      <c r="D144" s="13" t="str">
        <f t="shared" si="27"/>
        <v/>
      </c>
      <c r="E144" s="13" t="str">
        <f t="shared" si="28"/>
        <v/>
      </c>
      <c r="F144" s="13" t="str">
        <f t="shared" si="29"/>
        <v/>
      </c>
      <c r="G144" s="13" t="str">
        <f t="shared" si="30"/>
        <v/>
      </c>
      <c r="H144" s="13" t="str">
        <f t="shared" si="31"/>
        <v/>
      </c>
      <c r="I144" t="str">
        <f t="shared" si="32"/>
        <v/>
      </c>
    </row>
    <row r="145" spans="1:9">
      <c r="A145">
        <f>CSV!B145</f>
        <v>0</v>
      </c>
      <c r="B145" s="13" t="e">
        <f>INDEX(Input!$D$2:$AC$500,
       MATCH(CPU_Formula!A145, Input!$J$2:$J$500, 0),
       MATCH("CPU model", Input!$D$1:$AC$1, 0))</f>
        <v>#N/A</v>
      </c>
      <c r="C145" s="13" t="str">
        <f t="shared" si="26"/>
        <v/>
      </c>
      <c r="D145" s="13" t="str">
        <f t="shared" si="27"/>
        <v/>
      </c>
      <c r="E145" s="13" t="str">
        <f t="shared" si="28"/>
        <v/>
      </c>
      <c r="F145" s="13" t="str">
        <f t="shared" si="29"/>
        <v/>
      </c>
      <c r="G145" s="13" t="str">
        <f t="shared" si="30"/>
        <v/>
      </c>
      <c r="H145" s="13" t="str">
        <f t="shared" si="31"/>
        <v/>
      </c>
      <c r="I145" t="str">
        <f t="shared" si="32"/>
        <v/>
      </c>
    </row>
    <row r="146" spans="1:9">
      <c r="A146">
        <f>CSV!B146</f>
        <v>0</v>
      </c>
      <c r="B146" s="13" t="e">
        <f>INDEX(Input!$D$2:$AC$500,
       MATCH(CPU_Formula!A146, Input!$J$2:$J$500, 0),
       MATCH("CPU model", Input!$D$1:$AC$1, 0))</f>
        <v>#N/A</v>
      </c>
      <c r="C146" s="13" t="str">
        <f t="shared" si="26"/>
        <v/>
      </c>
      <c r="D146" s="13" t="str">
        <f t="shared" si="27"/>
        <v/>
      </c>
      <c r="E146" s="13" t="str">
        <f t="shared" si="28"/>
        <v/>
      </c>
      <c r="F146" s="13" t="str">
        <f t="shared" si="29"/>
        <v/>
      </c>
      <c r="G146" s="13" t="str">
        <f t="shared" si="30"/>
        <v/>
      </c>
      <c r="H146" s="13" t="str">
        <f t="shared" si="31"/>
        <v/>
      </c>
      <c r="I146" t="str">
        <f t="shared" si="32"/>
        <v/>
      </c>
    </row>
    <row r="147" spans="1:9">
      <c r="A147">
        <f>CSV!B147</f>
        <v>0</v>
      </c>
      <c r="B147" s="13" t="e">
        <f>INDEX(Input!$D$2:$AC$500,
       MATCH(CPU_Formula!A147, Input!$J$2:$J$500, 0),
       MATCH("CPU model", Input!$D$1:$AC$1, 0))</f>
        <v>#N/A</v>
      </c>
      <c r="C147" s="13" t="str">
        <f t="shared" si="26"/>
        <v/>
      </c>
      <c r="D147" s="13" t="str">
        <f t="shared" si="27"/>
        <v/>
      </c>
      <c r="E147" s="13" t="str">
        <f t="shared" si="28"/>
        <v/>
      </c>
      <c r="F147" s="13" t="str">
        <f t="shared" si="29"/>
        <v/>
      </c>
      <c r="G147" s="13" t="str">
        <f t="shared" si="30"/>
        <v/>
      </c>
      <c r="H147" s="13" t="str">
        <f t="shared" si="31"/>
        <v/>
      </c>
      <c r="I147" t="str">
        <f t="shared" si="32"/>
        <v/>
      </c>
    </row>
    <row r="148" spans="1:9">
      <c r="A148">
        <f>CSV!B148</f>
        <v>0</v>
      </c>
      <c r="B148" s="13" t="e">
        <f>INDEX(Input!$D$2:$AC$500,
       MATCH(CPU_Formula!A148, Input!$J$2:$J$500, 0),
       MATCH("CPU model", Input!$D$1:$AC$1, 0))</f>
        <v>#N/A</v>
      </c>
      <c r="C148" s="13" t="str">
        <f t="shared" si="26"/>
        <v/>
      </c>
      <c r="D148" s="13" t="str">
        <f t="shared" si="27"/>
        <v/>
      </c>
      <c r="E148" s="13" t="str">
        <f t="shared" si="28"/>
        <v/>
      </c>
      <c r="F148" s="13" t="str">
        <f t="shared" si="29"/>
        <v/>
      </c>
      <c r="G148" s="13" t="str">
        <f t="shared" si="30"/>
        <v/>
      </c>
      <c r="H148" s="13" t="str">
        <f t="shared" si="31"/>
        <v/>
      </c>
      <c r="I148" t="str">
        <f t="shared" si="32"/>
        <v/>
      </c>
    </row>
    <row r="149" spans="1:9">
      <c r="A149">
        <f>CSV!B149</f>
        <v>0</v>
      </c>
      <c r="B149" s="13" t="e">
        <f>INDEX(Input!$D$2:$AC$500,
       MATCH(CPU_Formula!A149, Input!$J$2:$J$500, 0),
       MATCH("CPU model", Input!$D$1:$AC$1, 0))</f>
        <v>#N/A</v>
      </c>
      <c r="C149" s="13" t="str">
        <f t="shared" si="26"/>
        <v/>
      </c>
      <c r="D149" s="13" t="str">
        <f t="shared" si="27"/>
        <v/>
      </c>
      <c r="E149" s="13" t="str">
        <f t="shared" si="28"/>
        <v/>
      </c>
      <c r="F149" s="13" t="str">
        <f t="shared" si="29"/>
        <v/>
      </c>
      <c r="G149" s="13" t="str">
        <f t="shared" si="30"/>
        <v/>
      </c>
      <c r="H149" s="13" t="str">
        <f t="shared" si="31"/>
        <v/>
      </c>
      <c r="I149" t="str">
        <f t="shared" si="32"/>
        <v/>
      </c>
    </row>
    <row r="150" spans="1:9">
      <c r="A150">
        <f>CSV!B150</f>
        <v>0</v>
      </c>
      <c r="B150" s="13" t="e">
        <f>INDEX(Input!$D$2:$AC$500,
       MATCH(CPU_Formula!A150, Input!$J$2:$J$500, 0),
       MATCH("CPU model", Input!$D$1:$AC$1, 0))</f>
        <v>#N/A</v>
      </c>
      <c r="C150" s="13" t="str">
        <f t="shared" si="26"/>
        <v/>
      </c>
      <c r="D150" s="13" t="str">
        <f t="shared" si="27"/>
        <v/>
      </c>
      <c r="E150" s="13" t="str">
        <f t="shared" si="28"/>
        <v/>
      </c>
      <c r="F150" s="13" t="str">
        <f t="shared" si="29"/>
        <v/>
      </c>
      <c r="G150" s="13" t="str">
        <f t="shared" si="30"/>
        <v/>
      </c>
      <c r="H150" s="13" t="str">
        <f t="shared" si="31"/>
        <v/>
      </c>
      <c r="I150" t="str">
        <f t="shared" si="32"/>
        <v/>
      </c>
    </row>
    <row r="151" spans="1:9">
      <c r="A151">
        <f>CSV!B151</f>
        <v>0</v>
      </c>
      <c r="B151" s="13" t="e">
        <f>INDEX(Input!$D$2:$AC$500,
       MATCH(CPU_Formula!A151, Input!$J$2:$J$500, 0),
       MATCH("CPU model", Input!$D$1:$AC$1, 0))</f>
        <v>#N/A</v>
      </c>
      <c r="C151" s="13" t="str">
        <f t="shared" si="26"/>
        <v/>
      </c>
      <c r="D151" s="13" t="str">
        <f t="shared" si="27"/>
        <v/>
      </c>
      <c r="E151" s="13" t="str">
        <f t="shared" si="28"/>
        <v/>
      </c>
      <c r="F151" s="13" t="str">
        <f t="shared" si="29"/>
        <v/>
      </c>
      <c r="G151" s="13" t="str">
        <f t="shared" si="30"/>
        <v/>
      </c>
      <c r="H151" s="13" t="str">
        <f t="shared" si="31"/>
        <v/>
      </c>
      <c r="I151" t="str">
        <f t="shared" si="32"/>
        <v/>
      </c>
    </row>
    <row r="152" spans="1:9">
      <c r="A152">
        <f>CSV!B152</f>
        <v>0</v>
      </c>
      <c r="B152" s="13" t="e">
        <f>INDEX(Input!$D$2:$AC$500,
       MATCH(CPU_Formula!A152, Input!$J$2:$J$500, 0),
       MATCH("CPU model", Input!$D$1:$AC$1, 0))</f>
        <v>#N/A</v>
      </c>
      <c r="C152" s="13" t="str">
        <f t="shared" si="26"/>
        <v/>
      </c>
      <c r="D152" s="13" t="str">
        <f t="shared" si="27"/>
        <v/>
      </c>
      <c r="E152" s="13" t="str">
        <f t="shared" si="28"/>
        <v/>
      </c>
      <c r="F152" s="13" t="str">
        <f t="shared" si="29"/>
        <v/>
      </c>
      <c r="G152" s="13" t="str">
        <f t="shared" si="30"/>
        <v/>
      </c>
      <c r="H152" s="13" t="str">
        <f t="shared" si="31"/>
        <v/>
      </c>
      <c r="I152" t="str">
        <f t="shared" si="32"/>
        <v/>
      </c>
    </row>
    <row r="153" spans="1:9">
      <c r="A153">
        <f>CSV!B153</f>
        <v>0</v>
      </c>
      <c r="B153" s="13" t="e">
        <f>INDEX(Input!$D$2:$AC$500,
       MATCH(CPU_Formula!A153, Input!$J$2:$J$500, 0),
       MATCH("CPU model", Input!$D$1:$AC$1, 0))</f>
        <v>#N/A</v>
      </c>
      <c r="C153" s="13" t="str">
        <f t="shared" si="26"/>
        <v/>
      </c>
      <c r="D153" s="13" t="str">
        <f t="shared" si="27"/>
        <v/>
      </c>
      <c r="E153" s="13" t="str">
        <f t="shared" si="28"/>
        <v/>
      </c>
      <c r="F153" s="13" t="str">
        <f t="shared" si="29"/>
        <v/>
      </c>
      <c r="G153" s="13" t="str">
        <f t="shared" si="30"/>
        <v/>
      </c>
      <c r="H153" s="13" t="str">
        <f t="shared" si="31"/>
        <v/>
      </c>
      <c r="I153" t="str">
        <f t="shared" si="32"/>
        <v/>
      </c>
    </row>
    <row r="154" spans="1:9">
      <c r="A154">
        <f>CSV!B154</f>
        <v>0</v>
      </c>
      <c r="B154" s="13" t="e">
        <f>INDEX(Input!$D$2:$AC$500,
       MATCH(CPU_Formula!A154, Input!$J$2:$J$500, 0),
       MATCH("CPU model", Input!$D$1:$AC$1, 0))</f>
        <v>#N/A</v>
      </c>
      <c r="C154" s="13" t="str">
        <f t="shared" si="26"/>
        <v/>
      </c>
      <c r="D154" s="13" t="str">
        <f t="shared" si="27"/>
        <v/>
      </c>
      <c r="E154" s="13" t="str">
        <f t="shared" si="28"/>
        <v/>
      </c>
      <c r="F154" s="13" t="str">
        <f t="shared" si="29"/>
        <v/>
      </c>
      <c r="G154" s="13" t="str">
        <f t="shared" si="30"/>
        <v/>
      </c>
      <c r="H154" s="13" t="str">
        <f t="shared" si="31"/>
        <v/>
      </c>
      <c r="I154" t="str">
        <f t="shared" si="32"/>
        <v/>
      </c>
    </row>
    <row r="155" spans="1:9">
      <c r="A155">
        <f>CSV!B155</f>
        <v>0</v>
      </c>
      <c r="B155" s="13" t="e">
        <f>INDEX(Input!$D$2:$AC$500,
       MATCH(CPU_Formula!A155, Input!$J$2:$J$500, 0),
       MATCH("CPU model", Input!$D$1:$AC$1, 0))</f>
        <v>#N/A</v>
      </c>
      <c r="C155" s="13" t="str">
        <f t="shared" si="26"/>
        <v/>
      </c>
      <c r="D155" s="13" t="str">
        <f t="shared" si="27"/>
        <v/>
      </c>
      <c r="E155" s="13" t="str">
        <f t="shared" si="28"/>
        <v/>
      </c>
      <c r="F155" s="13" t="str">
        <f t="shared" si="29"/>
        <v/>
      </c>
      <c r="G155" s="13" t="str">
        <f t="shared" si="30"/>
        <v/>
      </c>
      <c r="H155" s="13" t="str">
        <f t="shared" si="31"/>
        <v/>
      </c>
      <c r="I155" t="str">
        <f t="shared" si="32"/>
        <v/>
      </c>
    </row>
    <row r="156" spans="1:9">
      <c r="A156">
        <f>CSV!B156</f>
        <v>0</v>
      </c>
      <c r="B156" s="13" t="e">
        <f>INDEX(Input!$D$2:$AC$500,
       MATCH(CPU_Formula!A156, Input!$J$2:$J$500, 0),
       MATCH("CPU model", Input!$D$1:$AC$1, 0))</f>
        <v>#N/A</v>
      </c>
      <c r="C156" s="13" t="str">
        <f t="shared" si="26"/>
        <v/>
      </c>
      <c r="D156" s="13" t="str">
        <f t="shared" si="27"/>
        <v/>
      </c>
      <c r="E156" s="13" t="str">
        <f t="shared" si="28"/>
        <v/>
      </c>
      <c r="F156" s="13" t="str">
        <f t="shared" si="29"/>
        <v/>
      </c>
      <c r="G156" s="13" t="str">
        <f t="shared" si="30"/>
        <v/>
      </c>
      <c r="H156" s="13" t="str">
        <f t="shared" si="31"/>
        <v/>
      </c>
      <c r="I156" t="str">
        <f t="shared" si="32"/>
        <v/>
      </c>
    </row>
    <row r="157" spans="1:9">
      <c r="A157">
        <f>CSV!B157</f>
        <v>0</v>
      </c>
      <c r="B157" s="13" t="e">
        <f>INDEX(Input!$D$2:$AC$500,
       MATCH(CPU_Formula!A157, Input!$J$2:$J$500, 0),
       MATCH("CPU model", Input!$D$1:$AC$1, 0))</f>
        <v>#N/A</v>
      </c>
      <c r="C157" s="13" t="str">
        <f t="shared" si="26"/>
        <v/>
      </c>
      <c r="D157" s="13" t="str">
        <f t="shared" si="27"/>
        <v/>
      </c>
      <c r="E157" s="13" t="str">
        <f t="shared" si="28"/>
        <v/>
      </c>
      <c r="F157" s="13" t="str">
        <f t="shared" si="29"/>
        <v/>
      </c>
      <c r="G157" s="13" t="str">
        <f t="shared" si="30"/>
        <v/>
      </c>
      <c r="H157" s="13" t="str">
        <f t="shared" si="31"/>
        <v/>
      </c>
      <c r="I157" t="str">
        <f t="shared" si="32"/>
        <v/>
      </c>
    </row>
    <row r="158" spans="1:9">
      <c r="A158">
        <f>CSV!B158</f>
        <v>0</v>
      </c>
      <c r="B158" s="13" t="e">
        <f>INDEX(Input!$D$2:$AC$500,
       MATCH(CPU_Formula!A158, Input!$J$2:$J$500, 0),
       MATCH("CPU model", Input!$D$1:$AC$1, 0))</f>
        <v>#N/A</v>
      </c>
      <c r="C158" s="13" t="str">
        <f t="shared" si="26"/>
        <v/>
      </c>
      <c r="D158" s="13" t="str">
        <f t="shared" si="27"/>
        <v/>
      </c>
      <c r="E158" s="13" t="str">
        <f t="shared" si="28"/>
        <v/>
      </c>
      <c r="F158" s="13" t="str">
        <f t="shared" si="29"/>
        <v/>
      </c>
      <c r="G158" s="13" t="str">
        <f t="shared" si="30"/>
        <v/>
      </c>
      <c r="H158" s="13" t="str">
        <f t="shared" si="31"/>
        <v/>
      </c>
      <c r="I158" t="str">
        <f t="shared" si="32"/>
        <v/>
      </c>
    </row>
    <row r="159" spans="1:9">
      <c r="A159">
        <f>CSV!B159</f>
        <v>0</v>
      </c>
      <c r="B159" s="13" t="e">
        <f>INDEX(Input!$D$2:$AC$500,
       MATCH(CPU_Formula!A159, Input!$J$2:$J$500, 0),
       MATCH("CPU model", Input!$D$1:$AC$1, 0))</f>
        <v>#N/A</v>
      </c>
      <c r="C159" s="13" t="str">
        <f t="shared" si="26"/>
        <v/>
      </c>
      <c r="D159" s="13" t="str">
        <f t="shared" si="27"/>
        <v/>
      </c>
      <c r="E159" s="13" t="str">
        <f t="shared" si="28"/>
        <v/>
      </c>
      <c r="F159" s="13" t="str">
        <f t="shared" si="29"/>
        <v/>
      </c>
      <c r="G159" s="13" t="str">
        <f t="shared" si="30"/>
        <v/>
      </c>
      <c r="H159" s="13" t="str">
        <f t="shared" si="31"/>
        <v/>
      </c>
      <c r="I159" t="str">
        <f t="shared" si="32"/>
        <v/>
      </c>
    </row>
    <row r="160" spans="1:9">
      <c r="A160">
        <f>CSV!B160</f>
        <v>0</v>
      </c>
      <c r="B160" s="13" t="e">
        <f>INDEX(Input!$D$2:$AC$500,
       MATCH(CPU_Formula!A160, Input!$J$2:$J$500, 0),
       MATCH("CPU model", Input!$D$1:$AC$1, 0))</f>
        <v>#N/A</v>
      </c>
      <c r="C160" s="13" t="str">
        <f t="shared" si="26"/>
        <v/>
      </c>
      <c r="D160" s="13" t="str">
        <f t="shared" si="27"/>
        <v/>
      </c>
      <c r="E160" s="13" t="str">
        <f t="shared" si="28"/>
        <v/>
      </c>
      <c r="F160" s="13" t="str">
        <f t="shared" si="29"/>
        <v/>
      </c>
      <c r="G160" s="13" t="str">
        <f t="shared" si="30"/>
        <v/>
      </c>
      <c r="H160" s="13" t="str">
        <f t="shared" si="31"/>
        <v/>
      </c>
      <c r="I160" t="str">
        <f t="shared" si="32"/>
        <v/>
      </c>
    </row>
    <row r="161" spans="1:9">
      <c r="A161">
        <f>CSV!B161</f>
        <v>0</v>
      </c>
      <c r="B161" s="13" t="e">
        <f>INDEX(Input!$D$2:$AC$500,
       MATCH(CPU_Formula!A161, Input!$J$2:$J$500, 0),
       MATCH("CPU model", Input!$D$1:$AC$1, 0))</f>
        <v>#N/A</v>
      </c>
      <c r="C161" s="13" t="str">
        <f t="shared" si="26"/>
        <v/>
      </c>
      <c r="D161" s="13" t="str">
        <f t="shared" si="27"/>
        <v/>
      </c>
      <c r="E161" s="13" t="str">
        <f t="shared" si="28"/>
        <v/>
      </c>
      <c r="F161" s="13" t="str">
        <f t="shared" si="29"/>
        <v/>
      </c>
      <c r="G161" s="13" t="str">
        <f t="shared" si="30"/>
        <v/>
      </c>
      <c r="H161" s="13" t="str">
        <f t="shared" si="31"/>
        <v/>
      </c>
      <c r="I161" t="str">
        <f t="shared" si="32"/>
        <v/>
      </c>
    </row>
    <row r="162" spans="1:9">
      <c r="A162">
        <f>CSV!B162</f>
        <v>0</v>
      </c>
      <c r="B162" s="13" t="e">
        <f>INDEX(Input!$D$2:$AC$500,
       MATCH(CPU_Formula!A162, Input!$J$2:$J$500, 0),
       MATCH("CPU model", Input!$D$1:$AC$1, 0))</f>
        <v>#N/A</v>
      </c>
      <c r="C162" s="13" t="str">
        <f t="shared" si="26"/>
        <v/>
      </c>
      <c r="D162" s="13" t="str">
        <f t="shared" si="27"/>
        <v/>
      </c>
      <c r="E162" s="13" t="str">
        <f t="shared" si="28"/>
        <v/>
      </c>
      <c r="F162" s="13" t="str">
        <f t="shared" si="29"/>
        <v/>
      </c>
      <c r="G162" s="13" t="str">
        <f t="shared" si="30"/>
        <v/>
      </c>
      <c r="H162" s="13" t="str">
        <f t="shared" si="31"/>
        <v/>
      </c>
      <c r="I162" t="str">
        <f t="shared" si="32"/>
        <v/>
      </c>
    </row>
    <row r="163" spans="1:9">
      <c r="A163">
        <f>CSV!B163</f>
        <v>0</v>
      </c>
      <c r="B163" s="13" t="e">
        <f>INDEX(Input!$D$2:$AC$500,
       MATCH(CPU_Formula!A163, Input!$J$2:$J$500, 0),
       MATCH("CPU model", Input!$D$1:$AC$1, 0))</f>
        <v>#N/A</v>
      </c>
      <c r="C163" s="13" t="str">
        <f t="shared" si="26"/>
        <v/>
      </c>
      <c r="D163" s="13" t="str">
        <f t="shared" si="27"/>
        <v/>
      </c>
      <c r="E163" s="13" t="str">
        <f t="shared" si="28"/>
        <v/>
      </c>
      <c r="F163" s="13" t="str">
        <f t="shared" si="29"/>
        <v/>
      </c>
      <c r="G163" s="13" t="str">
        <f t="shared" si="30"/>
        <v/>
      </c>
      <c r="H163" s="13" t="str">
        <f t="shared" si="31"/>
        <v/>
      </c>
      <c r="I163" t="str">
        <f t="shared" si="32"/>
        <v/>
      </c>
    </row>
    <row r="164" spans="1:9">
      <c r="A164">
        <f>CSV!B164</f>
        <v>0</v>
      </c>
      <c r="B164" s="13" t="e">
        <f>INDEX(Input!$D$2:$AC$500,
       MATCH(CPU_Formula!A164, Input!$J$2:$J$500, 0),
       MATCH("CPU model", Input!$D$1:$AC$1, 0))</f>
        <v>#N/A</v>
      </c>
      <c r="C164" s="13" t="str">
        <f t="shared" si="26"/>
        <v/>
      </c>
      <c r="D164" s="13" t="str">
        <f t="shared" si="27"/>
        <v/>
      </c>
      <c r="E164" s="13" t="str">
        <f t="shared" si="28"/>
        <v/>
      </c>
      <c r="F164" s="13" t="str">
        <f t="shared" si="29"/>
        <v/>
      </c>
      <c r="G164" s="13" t="str">
        <f t="shared" si="30"/>
        <v/>
      </c>
      <c r="H164" s="13" t="str">
        <f t="shared" si="31"/>
        <v/>
      </c>
      <c r="I164" t="str">
        <f t="shared" si="32"/>
        <v/>
      </c>
    </row>
    <row r="165" spans="1:9">
      <c r="A165">
        <f>CSV!B165</f>
        <v>0</v>
      </c>
      <c r="B165" s="13" t="e">
        <f>INDEX(Input!$D$2:$AC$500,
       MATCH(CPU_Formula!A165, Input!$J$2:$J$500, 0),
       MATCH("CPU model", Input!$D$1:$AC$1, 0))</f>
        <v>#N/A</v>
      </c>
      <c r="C165" s="13" t="str">
        <f t="shared" si="26"/>
        <v/>
      </c>
      <c r="D165" s="13" t="str">
        <f t="shared" si="27"/>
        <v/>
      </c>
      <c r="E165" s="13" t="str">
        <f t="shared" si="28"/>
        <v/>
      </c>
      <c r="F165" s="13" t="str">
        <f t="shared" si="29"/>
        <v/>
      </c>
      <c r="G165" s="13" t="str">
        <f t="shared" si="30"/>
        <v/>
      </c>
      <c r="H165" s="13" t="str">
        <f t="shared" si="31"/>
        <v/>
      </c>
      <c r="I165" t="str">
        <f t="shared" si="32"/>
        <v/>
      </c>
    </row>
    <row r="166" spans="1:9">
      <c r="A166">
        <f>CSV!B166</f>
        <v>0</v>
      </c>
      <c r="B166" s="13" t="e">
        <f>INDEX(Input!$D$2:$AC$500,
       MATCH(CPU_Formula!A166, Input!$J$2:$J$500, 0),
       MATCH("CPU model", Input!$D$1:$AC$1, 0))</f>
        <v>#N/A</v>
      </c>
      <c r="C166" s="13" t="str">
        <f t="shared" si="26"/>
        <v/>
      </c>
      <c r="D166" s="13" t="str">
        <f t="shared" si="27"/>
        <v/>
      </c>
      <c r="E166" s="13" t="str">
        <f t="shared" si="28"/>
        <v/>
      </c>
      <c r="F166" s="13" t="str">
        <f t="shared" si="29"/>
        <v/>
      </c>
      <c r="G166" s="13" t="str">
        <f t="shared" si="30"/>
        <v/>
      </c>
      <c r="H166" s="13" t="str">
        <f t="shared" si="31"/>
        <v/>
      </c>
      <c r="I166" t="str">
        <f t="shared" si="32"/>
        <v/>
      </c>
    </row>
    <row r="167" spans="1:9">
      <c r="A167">
        <f>CSV!B167</f>
        <v>0</v>
      </c>
      <c r="B167" s="13" t="e">
        <f>INDEX(Input!$D$2:$AC$500,
       MATCH(CPU_Formula!A167, Input!$J$2:$J$500, 0),
       MATCH("CPU model", Input!$D$1:$AC$1, 0))</f>
        <v>#N/A</v>
      </c>
      <c r="C167" s="13" t="str">
        <f t="shared" si="26"/>
        <v/>
      </c>
      <c r="D167" s="13" t="str">
        <f t="shared" si="27"/>
        <v/>
      </c>
      <c r="E167" s="13" t="str">
        <f t="shared" si="28"/>
        <v/>
      </c>
      <c r="F167" s="13" t="str">
        <f t="shared" si="29"/>
        <v/>
      </c>
      <c r="G167" s="13" t="str">
        <f t="shared" si="30"/>
        <v/>
      </c>
      <c r="H167" s="13" t="str">
        <f t="shared" si="31"/>
        <v/>
      </c>
      <c r="I167" t="str">
        <f t="shared" si="32"/>
        <v/>
      </c>
    </row>
    <row r="168" spans="1:9">
      <c r="A168">
        <f>CSV!B168</f>
        <v>0</v>
      </c>
      <c r="B168" s="13" t="e">
        <f>INDEX(Input!$D$2:$AC$500,
       MATCH(CPU_Formula!A168, Input!$J$2:$J$500, 0),
       MATCH("CPU model", Input!$D$1:$AC$1, 0))</f>
        <v>#N/A</v>
      </c>
      <c r="C168" s="13" t="str">
        <f t="shared" ref="C168:C231" si="33">IFERROR(_xlfn.TEXTAFTER(B168,"Core(TM) "),IFERROR(_xlfn.TEXTAFTER(B168,"Xeon(R) CPU"),""))</f>
        <v/>
      </c>
      <c r="D168" s="13" t="str">
        <f t="shared" ref="D168:D231" si="34">IFERROR(_xlfn.TEXTAFTER(B168,"Ryzen "), "")</f>
        <v/>
      </c>
      <c r="E168" s="13" t="str">
        <f t="shared" ref="E168:E231" si="35">IF(ISNUMBER(SEARCH("Ultra", B168)), "Ultra"&amp;_xlfn.TEXTAFTER(B168, "Ultra"), "")</f>
        <v/>
      </c>
      <c r="F168" s="13" t="str">
        <f t="shared" ref="F168:F231" si="36">IF(C168&lt;&gt;"", TRIM(_xlfn.TEXTBEFORE(C168," ",,1,1)), "")</f>
        <v/>
      </c>
      <c r="G168" s="13" t="str">
        <f t="shared" ref="G168:G231" si="37">IF(D168&lt;&gt;"", TRIM(_xlfn.TEXTBEFORE(D168," ",,1)), "")</f>
        <v/>
      </c>
      <c r="H168" s="13" t="str">
        <f t="shared" ref="H168:H231" si="38">E168</f>
        <v/>
      </c>
      <c r="I168" t="str">
        <f t="shared" ref="I168:I231" si="39">IF(H168&lt;&gt;"",H168,IF(G168&lt;&gt;"",G168,F168))</f>
        <v/>
      </c>
    </row>
    <row r="169" spans="1:9">
      <c r="A169">
        <f>CSV!B169</f>
        <v>0</v>
      </c>
      <c r="B169" s="13" t="e">
        <f>INDEX(Input!$D$2:$AC$500,
       MATCH(CPU_Formula!A169, Input!$J$2:$J$500, 0),
       MATCH("CPU model", Input!$D$1:$AC$1, 0))</f>
        <v>#N/A</v>
      </c>
      <c r="C169" s="13" t="str">
        <f t="shared" si="33"/>
        <v/>
      </c>
      <c r="D169" s="13" t="str">
        <f t="shared" si="34"/>
        <v/>
      </c>
      <c r="E169" s="13" t="str">
        <f t="shared" si="35"/>
        <v/>
      </c>
      <c r="F169" s="13" t="str">
        <f t="shared" si="36"/>
        <v/>
      </c>
      <c r="G169" s="13" t="str">
        <f t="shared" si="37"/>
        <v/>
      </c>
      <c r="H169" s="13" t="str">
        <f t="shared" si="38"/>
        <v/>
      </c>
      <c r="I169" t="str">
        <f t="shared" si="39"/>
        <v/>
      </c>
    </row>
    <row r="170" spans="1:9">
      <c r="A170">
        <f>CSV!B170</f>
        <v>0</v>
      </c>
      <c r="B170" s="13" t="e">
        <f>INDEX(Input!$D$2:$AC$500,
       MATCH(CPU_Formula!A170, Input!$J$2:$J$500, 0),
       MATCH("CPU model", Input!$D$1:$AC$1, 0))</f>
        <v>#N/A</v>
      </c>
      <c r="C170" s="13" t="str">
        <f t="shared" si="33"/>
        <v/>
      </c>
      <c r="D170" s="13" t="str">
        <f t="shared" si="34"/>
        <v/>
      </c>
      <c r="E170" s="13" t="str">
        <f t="shared" si="35"/>
        <v/>
      </c>
      <c r="F170" s="13" t="str">
        <f t="shared" si="36"/>
        <v/>
      </c>
      <c r="G170" s="13" t="str">
        <f t="shared" si="37"/>
        <v/>
      </c>
      <c r="H170" s="13" t="str">
        <f t="shared" si="38"/>
        <v/>
      </c>
      <c r="I170" t="str">
        <f t="shared" si="39"/>
        <v/>
      </c>
    </row>
    <row r="171" spans="1:9">
      <c r="A171">
        <f>CSV!B171</f>
        <v>0</v>
      </c>
      <c r="B171" s="13" t="e">
        <f>INDEX(Input!$D$2:$AC$500,
       MATCH(CPU_Formula!A171, Input!$J$2:$J$500, 0),
       MATCH("CPU model", Input!$D$1:$AC$1, 0))</f>
        <v>#N/A</v>
      </c>
      <c r="C171" s="13" t="str">
        <f t="shared" si="33"/>
        <v/>
      </c>
      <c r="D171" s="13" t="str">
        <f t="shared" si="34"/>
        <v/>
      </c>
      <c r="E171" s="13" t="str">
        <f t="shared" si="35"/>
        <v/>
      </c>
      <c r="F171" s="13" t="str">
        <f t="shared" si="36"/>
        <v/>
      </c>
      <c r="G171" s="13" t="str">
        <f t="shared" si="37"/>
        <v/>
      </c>
      <c r="H171" s="13" t="str">
        <f t="shared" si="38"/>
        <v/>
      </c>
      <c r="I171" t="str">
        <f t="shared" si="39"/>
        <v/>
      </c>
    </row>
    <row r="172" spans="1:9">
      <c r="A172">
        <f>CSV!B172</f>
        <v>0</v>
      </c>
      <c r="B172" s="13" t="e">
        <f>INDEX(Input!$D$2:$AC$500,
       MATCH(CPU_Formula!A172, Input!$J$2:$J$500, 0),
       MATCH("CPU model", Input!$D$1:$AC$1, 0))</f>
        <v>#N/A</v>
      </c>
      <c r="C172" s="13" t="str">
        <f t="shared" si="33"/>
        <v/>
      </c>
      <c r="D172" s="13" t="str">
        <f t="shared" si="34"/>
        <v/>
      </c>
      <c r="E172" s="13" t="str">
        <f t="shared" si="35"/>
        <v/>
      </c>
      <c r="F172" s="13" t="str">
        <f t="shared" si="36"/>
        <v/>
      </c>
      <c r="G172" s="13" t="str">
        <f t="shared" si="37"/>
        <v/>
      </c>
      <c r="H172" s="13" t="str">
        <f t="shared" si="38"/>
        <v/>
      </c>
      <c r="I172" t="str">
        <f t="shared" si="39"/>
        <v/>
      </c>
    </row>
    <row r="173" spans="1:9">
      <c r="A173">
        <f>CSV!B173</f>
        <v>0</v>
      </c>
      <c r="B173" s="13" t="e">
        <f>INDEX(Input!$D$2:$AC$500,
       MATCH(CPU_Formula!A173, Input!$J$2:$J$500, 0),
       MATCH("CPU model", Input!$D$1:$AC$1, 0))</f>
        <v>#N/A</v>
      </c>
      <c r="C173" s="13" t="str">
        <f t="shared" si="33"/>
        <v/>
      </c>
      <c r="D173" s="13" t="str">
        <f t="shared" si="34"/>
        <v/>
      </c>
      <c r="E173" s="13" t="str">
        <f t="shared" si="35"/>
        <v/>
      </c>
      <c r="F173" s="13" t="str">
        <f t="shared" si="36"/>
        <v/>
      </c>
      <c r="G173" s="13" t="str">
        <f t="shared" si="37"/>
        <v/>
      </c>
      <c r="H173" s="13" t="str">
        <f t="shared" si="38"/>
        <v/>
      </c>
      <c r="I173" t="str">
        <f t="shared" si="39"/>
        <v/>
      </c>
    </row>
    <row r="174" spans="1:9">
      <c r="A174">
        <f>CSV!B174</f>
        <v>0</v>
      </c>
      <c r="B174" s="13" t="e">
        <f>INDEX(Input!$D$2:$AC$500,
       MATCH(CPU_Formula!A174, Input!$J$2:$J$500, 0),
       MATCH("CPU model", Input!$D$1:$AC$1, 0))</f>
        <v>#N/A</v>
      </c>
      <c r="C174" s="13" t="str">
        <f t="shared" si="33"/>
        <v/>
      </c>
      <c r="D174" s="13" t="str">
        <f t="shared" si="34"/>
        <v/>
      </c>
      <c r="E174" s="13" t="str">
        <f t="shared" si="35"/>
        <v/>
      </c>
      <c r="F174" s="13" t="str">
        <f t="shared" si="36"/>
        <v/>
      </c>
      <c r="G174" s="13" t="str">
        <f t="shared" si="37"/>
        <v/>
      </c>
      <c r="H174" s="13" t="str">
        <f t="shared" si="38"/>
        <v/>
      </c>
      <c r="I174" t="str">
        <f t="shared" si="39"/>
        <v/>
      </c>
    </row>
    <row r="175" spans="1:9">
      <c r="A175">
        <f>CSV!B175</f>
        <v>0</v>
      </c>
      <c r="B175" s="13" t="e">
        <f>INDEX(Input!$D$2:$AC$500,
       MATCH(CPU_Formula!A175, Input!$J$2:$J$500, 0),
       MATCH("CPU model", Input!$D$1:$AC$1, 0))</f>
        <v>#N/A</v>
      </c>
      <c r="C175" s="13" t="str">
        <f t="shared" si="33"/>
        <v/>
      </c>
      <c r="D175" s="13" t="str">
        <f t="shared" si="34"/>
        <v/>
      </c>
      <c r="E175" s="13" t="str">
        <f t="shared" si="35"/>
        <v/>
      </c>
      <c r="F175" s="13" t="str">
        <f t="shared" si="36"/>
        <v/>
      </c>
      <c r="G175" s="13" t="str">
        <f t="shared" si="37"/>
        <v/>
      </c>
      <c r="H175" s="13" t="str">
        <f t="shared" si="38"/>
        <v/>
      </c>
      <c r="I175" t="str">
        <f t="shared" si="39"/>
        <v/>
      </c>
    </row>
    <row r="176" spans="1:9">
      <c r="A176">
        <f>CSV!B176</f>
        <v>0</v>
      </c>
      <c r="B176" s="13" t="e">
        <f>INDEX(Input!$D$2:$AC$500,
       MATCH(CPU_Formula!A176, Input!$J$2:$J$500, 0),
       MATCH("CPU model", Input!$D$1:$AC$1, 0))</f>
        <v>#N/A</v>
      </c>
      <c r="C176" s="13" t="str">
        <f t="shared" si="33"/>
        <v/>
      </c>
      <c r="D176" s="13" t="str">
        <f t="shared" si="34"/>
        <v/>
      </c>
      <c r="E176" s="13" t="str">
        <f t="shared" si="35"/>
        <v/>
      </c>
      <c r="F176" s="13" t="str">
        <f t="shared" si="36"/>
        <v/>
      </c>
      <c r="G176" s="13" t="str">
        <f t="shared" si="37"/>
        <v/>
      </c>
      <c r="H176" s="13" t="str">
        <f t="shared" si="38"/>
        <v/>
      </c>
      <c r="I176" t="str">
        <f t="shared" si="39"/>
        <v/>
      </c>
    </row>
    <row r="177" spans="1:9">
      <c r="A177">
        <f>CSV!B177</f>
        <v>0</v>
      </c>
      <c r="B177" s="13" t="e">
        <f>INDEX(Input!$D$2:$AC$500,
       MATCH(CPU_Formula!A177, Input!$J$2:$J$500, 0),
       MATCH("CPU model", Input!$D$1:$AC$1, 0))</f>
        <v>#N/A</v>
      </c>
      <c r="C177" s="13" t="str">
        <f t="shared" si="33"/>
        <v/>
      </c>
      <c r="D177" s="13" t="str">
        <f t="shared" si="34"/>
        <v/>
      </c>
      <c r="E177" s="13" t="str">
        <f t="shared" si="35"/>
        <v/>
      </c>
      <c r="F177" s="13" t="str">
        <f t="shared" si="36"/>
        <v/>
      </c>
      <c r="G177" s="13" t="str">
        <f t="shared" si="37"/>
        <v/>
      </c>
      <c r="H177" s="13" t="str">
        <f t="shared" si="38"/>
        <v/>
      </c>
      <c r="I177" t="str">
        <f t="shared" si="39"/>
        <v/>
      </c>
    </row>
    <row r="178" spans="1:9">
      <c r="A178">
        <f>CSV!B178</f>
        <v>0</v>
      </c>
      <c r="B178" s="13" t="e">
        <f>INDEX(Input!$D$2:$AC$500,
       MATCH(CPU_Formula!A178, Input!$J$2:$J$500, 0),
       MATCH("CPU model", Input!$D$1:$AC$1, 0))</f>
        <v>#N/A</v>
      </c>
      <c r="C178" s="13" t="str">
        <f t="shared" si="33"/>
        <v/>
      </c>
      <c r="D178" s="13" t="str">
        <f t="shared" si="34"/>
        <v/>
      </c>
      <c r="E178" s="13" t="str">
        <f t="shared" si="35"/>
        <v/>
      </c>
      <c r="F178" s="13" t="str">
        <f t="shared" si="36"/>
        <v/>
      </c>
      <c r="G178" s="13" t="str">
        <f t="shared" si="37"/>
        <v/>
      </c>
      <c r="H178" s="13" t="str">
        <f t="shared" si="38"/>
        <v/>
      </c>
      <c r="I178" t="str">
        <f t="shared" si="39"/>
        <v/>
      </c>
    </row>
    <row r="179" spans="1:9">
      <c r="A179">
        <f>CSV!B179</f>
        <v>0</v>
      </c>
      <c r="B179" s="13" t="e">
        <f>INDEX(Input!$D$2:$AC$500,
       MATCH(CPU_Formula!A179, Input!$J$2:$J$500, 0),
       MATCH("CPU model", Input!$D$1:$AC$1, 0))</f>
        <v>#N/A</v>
      </c>
      <c r="C179" s="13" t="str">
        <f t="shared" si="33"/>
        <v/>
      </c>
      <c r="D179" s="13" t="str">
        <f t="shared" si="34"/>
        <v/>
      </c>
      <c r="E179" s="13" t="str">
        <f t="shared" si="35"/>
        <v/>
      </c>
      <c r="F179" s="13" t="str">
        <f t="shared" si="36"/>
        <v/>
      </c>
      <c r="G179" s="13" t="str">
        <f t="shared" si="37"/>
        <v/>
      </c>
      <c r="H179" s="13" t="str">
        <f t="shared" si="38"/>
        <v/>
      </c>
      <c r="I179" t="str">
        <f t="shared" si="39"/>
        <v/>
      </c>
    </row>
    <row r="180" spans="1:9">
      <c r="A180">
        <f>CSV!B180</f>
        <v>0</v>
      </c>
      <c r="B180" s="13" t="e">
        <f>INDEX(Input!$D$2:$AC$500,
       MATCH(CPU_Formula!A180, Input!$J$2:$J$500, 0),
       MATCH("CPU model", Input!$D$1:$AC$1, 0))</f>
        <v>#N/A</v>
      </c>
      <c r="C180" s="13" t="str">
        <f t="shared" si="33"/>
        <v/>
      </c>
      <c r="D180" s="13" t="str">
        <f t="shared" si="34"/>
        <v/>
      </c>
      <c r="E180" s="13" t="str">
        <f t="shared" si="35"/>
        <v/>
      </c>
      <c r="F180" s="13" t="str">
        <f t="shared" si="36"/>
        <v/>
      </c>
      <c r="G180" s="13" t="str">
        <f t="shared" si="37"/>
        <v/>
      </c>
      <c r="H180" s="13" t="str">
        <f t="shared" si="38"/>
        <v/>
      </c>
      <c r="I180" t="str">
        <f t="shared" si="39"/>
        <v/>
      </c>
    </row>
    <row r="181" spans="1:9">
      <c r="A181">
        <f>CSV!B181</f>
        <v>0</v>
      </c>
      <c r="B181" s="13" t="e">
        <f>INDEX(Input!$D$2:$AC$500,
       MATCH(CPU_Formula!A181, Input!$J$2:$J$500, 0),
       MATCH("CPU model", Input!$D$1:$AC$1, 0))</f>
        <v>#N/A</v>
      </c>
      <c r="C181" s="13" t="str">
        <f t="shared" si="33"/>
        <v/>
      </c>
      <c r="D181" s="13" t="str">
        <f t="shared" si="34"/>
        <v/>
      </c>
      <c r="E181" s="13" t="str">
        <f t="shared" si="35"/>
        <v/>
      </c>
      <c r="F181" s="13" t="str">
        <f t="shared" si="36"/>
        <v/>
      </c>
      <c r="G181" s="13" t="str">
        <f t="shared" si="37"/>
        <v/>
      </c>
      <c r="H181" s="13" t="str">
        <f t="shared" si="38"/>
        <v/>
      </c>
      <c r="I181" t="str">
        <f t="shared" si="39"/>
        <v/>
      </c>
    </row>
    <row r="182" spans="1:9">
      <c r="A182">
        <f>CSV!B182</f>
        <v>0</v>
      </c>
      <c r="B182" s="13" t="e">
        <f>INDEX(Input!$D$2:$AC$500,
       MATCH(CPU_Formula!A182, Input!$J$2:$J$500, 0),
       MATCH("CPU model", Input!$D$1:$AC$1, 0))</f>
        <v>#N/A</v>
      </c>
      <c r="C182" s="13" t="str">
        <f t="shared" si="33"/>
        <v/>
      </c>
      <c r="D182" s="13" t="str">
        <f t="shared" si="34"/>
        <v/>
      </c>
      <c r="E182" s="13" t="str">
        <f t="shared" si="35"/>
        <v/>
      </c>
      <c r="F182" s="13" t="str">
        <f t="shared" si="36"/>
        <v/>
      </c>
      <c r="G182" s="13" t="str">
        <f t="shared" si="37"/>
        <v/>
      </c>
      <c r="H182" s="13" t="str">
        <f t="shared" si="38"/>
        <v/>
      </c>
      <c r="I182" t="str">
        <f t="shared" si="39"/>
        <v/>
      </c>
    </row>
    <row r="183" spans="1:9">
      <c r="A183">
        <f>CSV!B183</f>
        <v>0</v>
      </c>
      <c r="B183" s="13" t="e">
        <f>INDEX(Input!$D$2:$AC$500,
       MATCH(CPU_Formula!A183, Input!$J$2:$J$500, 0),
       MATCH("CPU model", Input!$D$1:$AC$1, 0))</f>
        <v>#N/A</v>
      </c>
      <c r="C183" s="13" t="str">
        <f t="shared" si="33"/>
        <v/>
      </c>
      <c r="D183" s="13" t="str">
        <f t="shared" si="34"/>
        <v/>
      </c>
      <c r="E183" s="13" t="str">
        <f t="shared" si="35"/>
        <v/>
      </c>
      <c r="F183" s="13" t="str">
        <f t="shared" si="36"/>
        <v/>
      </c>
      <c r="G183" s="13" t="str">
        <f t="shared" si="37"/>
        <v/>
      </c>
      <c r="H183" s="13" t="str">
        <f t="shared" si="38"/>
        <v/>
      </c>
      <c r="I183" t="str">
        <f t="shared" si="39"/>
        <v/>
      </c>
    </row>
    <row r="184" spans="1:9">
      <c r="A184">
        <f>CSV!B184</f>
        <v>0</v>
      </c>
      <c r="B184" s="13" t="e">
        <f>INDEX(Input!$D$2:$AC$500,
       MATCH(CPU_Formula!A184, Input!$J$2:$J$500, 0),
       MATCH("CPU model", Input!$D$1:$AC$1, 0))</f>
        <v>#N/A</v>
      </c>
      <c r="C184" s="13" t="str">
        <f t="shared" si="33"/>
        <v/>
      </c>
      <c r="D184" s="13" t="str">
        <f t="shared" si="34"/>
        <v/>
      </c>
      <c r="E184" s="13" t="str">
        <f t="shared" si="35"/>
        <v/>
      </c>
      <c r="F184" s="13" t="str">
        <f t="shared" si="36"/>
        <v/>
      </c>
      <c r="G184" s="13" t="str">
        <f t="shared" si="37"/>
        <v/>
      </c>
      <c r="H184" s="13" t="str">
        <f t="shared" si="38"/>
        <v/>
      </c>
      <c r="I184" t="str">
        <f t="shared" si="39"/>
        <v/>
      </c>
    </row>
    <row r="185" spans="1:9">
      <c r="A185">
        <f>CSV!B185</f>
        <v>0</v>
      </c>
      <c r="B185" s="13" t="e">
        <f>INDEX(Input!$D$2:$AC$500,
       MATCH(CPU_Formula!A185, Input!$J$2:$J$500, 0),
       MATCH("CPU model", Input!$D$1:$AC$1, 0))</f>
        <v>#N/A</v>
      </c>
      <c r="C185" s="13" t="str">
        <f t="shared" si="33"/>
        <v/>
      </c>
      <c r="D185" s="13" t="str">
        <f t="shared" si="34"/>
        <v/>
      </c>
      <c r="E185" s="13" t="str">
        <f t="shared" si="35"/>
        <v/>
      </c>
      <c r="F185" s="13" t="str">
        <f t="shared" si="36"/>
        <v/>
      </c>
      <c r="G185" s="13" t="str">
        <f t="shared" si="37"/>
        <v/>
      </c>
      <c r="H185" s="13" t="str">
        <f t="shared" si="38"/>
        <v/>
      </c>
      <c r="I185" t="str">
        <f t="shared" si="39"/>
        <v/>
      </c>
    </row>
    <row r="186" spans="1:9">
      <c r="A186">
        <f>CSV!B186</f>
        <v>0</v>
      </c>
      <c r="B186" s="13" t="e">
        <f>INDEX(Input!$D$2:$AC$500,
       MATCH(CPU_Formula!A186, Input!$J$2:$J$500, 0),
       MATCH("CPU model", Input!$D$1:$AC$1, 0))</f>
        <v>#N/A</v>
      </c>
      <c r="C186" s="13" t="str">
        <f t="shared" si="33"/>
        <v/>
      </c>
      <c r="D186" s="13" t="str">
        <f t="shared" si="34"/>
        <v/>
      </c>
      <c r="E186" s="13" t="str">
        <f t="shared" si="35"/>
        <v/>
      </c>
      <c r="F186" s="13" t="str">
        <f t="shared" si="36"/>
        <v/>
      </c>
      <c r="G186" s="13" t="str">
        <f t="shared" si="37"/>
        <v/>
      </c>
      <c r="H186" s="13" t="str">
        <f t="shared" si="38"/>
        <v/>
      </c>
      <c r="I186" t="str">
        <f t="shared" si="39"/>
        <v/>
      </c>
    </row>
    <row r="187" spans="1:9">
      <c r="A187">
        <f>CSV!B187</f>
        <v>0</v>
      </c>
      <c r="B187" s="13" t="e">
        <f>INDEX(Input!$D$2:$AC$500,
       MATCH(CPU_Formula!A187, Input!$J$2:$J$500, 0),
       MATCH("CPU model", Input!$D$1:$AC$1, 0))</f>
        <v>#N/A</v>
      </c>
      <c r="C187" s="13" t="str">
        <f t="shared" si="33"/>
        <v/>
      </c>
      <c r="D187" s="13" t="str">
        <f t="shared" si="34"/>
        <v/>
      </c>
      <c r="E187" s="13" t="str">
        <f t="shared" si="35"/>
        <v/>
      </c>
      <c r="F187" s="13" t="str">
        <f t="shared" si="36"/>
        <v/>
      </c>
      <c r="G187" s="13" t="str">
        <f t="shared" si="37"/>
        <v/>
      </c>
      <c r="H187" s="13" t="str">
        <f t="shared" si="38"/>
        <v/>
      </c>
      <c r="I187" t="str">
        <f t="shared" si="39"/>
        <v/>
      </c>
    </row>
    <row r="188" spans="1:9">
      <c r="A188">
        <f>CSV!B188</f>
        <v>0</v>
      </c>
      <c r="B188" s="13" t="e">
        <f>INDEX(Input!$D$2:$AC$500,
       MATCH(CPU_Formula!A188, Input!$J$2:$J$500, 0),
       MATCH("CPU model", Input!$D$1:$AC$1, 0))</f>
        <v>#N/A</v>
      </c>
      <c r="C188" s="13" t="str">
        <f t="shared" si="33"/>
        <v/>
      </c>
      <c r="D188" s="13" t="str">
        <f t="shared" si="34"/>
        <v/>
      </c>
      <c r="E188" s="13" t="str">
        <f t="shared" si="35"/>
        <v/>
      </c>
      <c r="F188" s="13" t="str">
        <f t="shared" si="36"/>
        <v/>
      </c>
      <c r="G188" s="13" t="str">
        <f t="shared" si="37"/>
        <v/>
      </c>
      <c r="H188" s="13" t="str">
        <f t="shared" si="38"/>
        <v/>
      </c>
      <c r="I188" t="str">
        <f t="shared" si="39"/>
        <v/>
      </c>
    </row>
    <row r="189" spans="1:9">
      <c r="A189">
        <f>CSV!B189</f>
        <v>0</v>
      </c>
      <c r="B189" s="13" t="e">
        <f>INDEX(Input!$D$2:$AC$500,
       MATCH(CPU_Formula!A189, Input!$J$2:$J$500, 0),
       MATCH("CPU model", Input!$D$1:$AC$1, 0))</f>
        <v>#N/A</v>
      </c>
      <c r="C189" s="13" t="str">
        <f t="shared" si="33"/>
        <v/>
      </c>
      <c r="D189" s="13" t="str">
        <f t="shared" si="34"/>
        <v/>
      </c>
      <c r="E189" s="13" t="str">
        <f t="shared" si="35"/>
        <v/>
      </c>
      <c r="F189" s="13" t="str">
        <f t="shared" si="36"/>
        <v/>
      </c>
      <c r="G189" s="13" t="str">
        <f t="shared" si="37"/>
        <v/>
      </c>
      <c r="H189" s="13" t="str">
        <f t="shared" si="38"/>
        <v/>
      </c>
      <c r="I189" t="str">
        <f t="shared" si="39"/>
        <v/>
      </c>
    </row>
    <row r="190" spans="1:9">
      <c r="A190">
        <f>CSV!B190</f>
        <v>0</v>
      </c>
      <c r="B190" s="13" t="e">
        <f>INDEX(Input!$D$2:$AC$500,
       MATCH(CPU_Formula!A190, Input!$J$2:$J$500, 0),
       MATCH("CPU model", Input!$D$1:$AC$1, 0))</f>
        <v>#N/A</v>
      </c>
      <c r="C190" s="13" t="str">
        <f t="shared" si="33"/>
        <v/>
      </c>
      <c r="D190" s="13" t="str">
        <f t="shared" si="34"/>
        <v/>
      </c>
      <c r="E190" s="13" t="str">
        <f t="shared" si="35"/>
        <v/>
      </c>
      <c r="F190" s="13" t="str">
        <f t="shared" si="36"/>
        <v/>
      </c>
      <c r="G190" s="13" t="str">
        <f t="shared" si="37"/>
        <v/>
      </c>
      <c r="H190" s="13" t="str">
        <f t="shared" si="38"/>
        <v/>
      </c>
      <c r="I190" t="str">
        <f t="shared" si="39"/>
        <v/>
      </c>
    </row>
    <row r="191" spans="1:9">
      <c r="A191">
        <f>CSV!B191</f>
        <v>0</v>
      </c>
      <c r="B191" s="13" t="e">
        <f>INDEX(Input!$D$2:$AC$500,
       MATCH(CPU_Formula!A191, Input!$J$2:$J$500, 0),
       MATCH("CPU model", Input!$D$1:$AC$1, 0))</f>
        <v>#N/A</v>
      </c>
      <c r="C191" s="13" t="str">
        <f t="shared" si="33"/>
        <v/>
      </c>
      <c r="D191" s="13" t="str">
        <f t="shared" si="34"/>
        <v/>
      </c>
      <c r="E191" s="13" t="str">
        <f t="shared" si="35"/>
        <v/>
      </c>
      <c r="F191" s="13" t="str">
        <f t="shared" si="36"/>
        <v/>
      </c>
      <c r="G191" s="13" t="str">
        <f t="shared" si="37"/>
        <v/>
      </c>
      <c r="H191" s="13" t="str">
        <f t="shared" si="38"/>
        <v/>
      </c>
      <c r="I191" t="str">
        <f t="shared" si="39"/>
        <v/>
      </c>
    </row>
    <row r="192" spans="1:9">
      <c r="A192">
        <f>CSV!B192</f>
        <v>0</v>
      </c>
      <c r="B192" s="13" t="e">
        <f>INDEX(Input!$D$2:$AC$500,
       MATCH(CPU_Formula!A192, Input!$J$2:$J$500, 0),
       MATCH("CPU model", Input!$D$1:$AC$1, 0))</f>
        <v>#N/A</v>
      </c>
      <c r="C192" s="13" t="str">
        <f t="shared" si="33"/>
        <v/>
      </c>
      <c r="D192" s="13" t="str">
        <f t="shared" si="34"/>
        <v/>
      </c>
      <c r="E192" s="13" t="str">
        <f t="shared" si="35"/>
        <v/>
      </c>
      <c r="F192" s="13" t="str">
        <f t="shared" si="36"/>
        <v/>
      </c>
      <c r="G192" s="13" t="str">
        <f t="shared" si="37"/>
        <v/>
      </c>
      <c r="H192" s="13" t="str">
        <f t="shared" si="38"/>
        <v/>
      </c>
      <c r="I192" t="str">
        <f t="shared" si="39"/>
        <v/>
      </c>
    </row>
    <row r="193" spans="1:9">
      <c r="A193">
        <f>CSV!B193</f>
        <v>0</v>
      </c>
      <c r="B193" s="13" t="e">
        <f>INDEX(Input!$D$2:$AC$500,
       MATCH(CPU_Formula!A193, Input!$J$2:$J$500, 0),
       MATCH("CPU model", Input!$D$1:$AC$1, 0))</f>
        <v>#N/A</v>
      </c>
      <c r="C193" s="13" t="str">
        <f t="shared" si="33"/>
        <v/>
      </c>
      <c r="D193" s="13" t="str">
        <f t="shared" si="34"/>
        <v/>
      </c>
      <c r="E193" s="13" t="str">
        <f t="shared" si="35"/>
        <v/>
      </c>
      <c r="F193" s="13" t="str">
        <f t="shared" si="36"/>
        <v/>
      </c>
      <c r="G193" s="13" t="str">
        <f t="shared" si="37"/>
        <v/>
      </c>
      <c r="H193" s="13" t="str">
        <f t="shared" si="38"/>
        <v/>
      </c>
      <c r="I193" t="str">
        <f t="shared" si="39"/>
        <v/>
      </c>
    </row>
    <row r="194" spans="1:9">
      <c r="A194">
        <f>CSV!B194</f>
        <v>0</v>
      </c>
      <c r="B194" s="13" t="e">
        <f>INDEX(Input!$D$2:$AC$500,
       MATCH(CPU_Formula!A194, Input!$J$2:$J$500, 0),
       MATCH("CPU model", Input!$D$1:$AC$1, 0))</f>
        <v>#N/A</v>
      </c>
      <c r="C194" s="13" t="str">
        <f t="shared" si="33"/>
        <v/>
      </c>
      <c r="D194" s="13" t="str">
        <f t="shared" si="34"/>
        <v/>
      </c>
      <c r="E194" s="13" t="str">
        <f t="shared" si="35"/>
        <v/>
      </c>
      <c r="F194" s="13" t="str">
        <f t="shared" si="36"/>
        <v/>
      </c>
      <c r="G194" s="13" t="str">
        <f t="shared" si="37"/>
        <v/>
      </c>
      <c r="H194" s="13" t="str">
        <f t="shared" si="38"/>
        <v/>
      </c>
      <c r="I194" t="str">
        <f t="shared" si="39"/>
        <v/>
      </c>
    </row>
    <row r="195" spans="1:9">
      <c r="A195">
        <f>CSV!B195</f>
        <v>0</v>
      </c>
      <c r="B195" s="13" t="e">
        <f>INDEX(Input!$D$2:$AC$500,
       MATCH(CPU_Formula!A195, Input!$J$2:$J$500, 0),
       MATCH("CPU model", Input!$D$1:$AC$1, 0))</f>
        <v>#N/A</v>
      </c>
      <c r="C195" s="13" t="str">
        <f t="shared" si="33"/>
        <v/>
      </c>
      <c r="D195" s="13" t="str">
        <f t="shared" si="34"/>
        <v/>
      </c>
      <c r="E195" s="13" t="str">
        <f t="shared" si="35"/>
        <v/>
      </c>
      <c r="F195" s="13" t="str">
        <f t="shared" si="36"/>
        <v/>
      </c>
      <c r="G195" s="13" t="str">
        <f t="shared" si="37"/>
        <v/>
      </c>
      <c r="H195" s="13" t="str">
        <f t="shared" si="38"/>
        <v/>
      </c>
      <c r="I195" t="str">
        <f t="shared" si="39"/>
        <v/>
      </c>
    </row>
    <row r="196" spans="1:9">
      <c r="A196">
        <f>CSV!B196</f>
        <v>0</v>
      </c>
      <c r="B196" s="13" t="e">
        <f>INDEX(Input!$D$2:$AC$500,
       MATCH(CPU_Formula!A196, Input!$J$2:$J$500, 0),
       MATCH("CPU model", Input!$D$1:$AC$1, 0))</f>
        <v>#N/A</v>
      </c>
      <c r="C196" s="13" t="str">
        <f t="shared" si="33"/>
        <v/>
      </c>
      <c r="D196" s="13" t="str">
        <f t="shared" si="34"/>
        <v/>
      </c>
      <c r="E196" s="13" t="str">
        <f t="shared" si="35"/>
        <v/>
      </c>
      <c r="F196" s="13" t="str">
        <f t="shared" si="36"/>
        <v/>
      </c>
      <c r="G196" s="13" t="str">
        <f t="shared" si="37"/>
        <v/>
      </c>
      <c r="H196" s="13" t="str">
        <f t="shared" si="38"/>
        <v/>
      </c>
      <c r="I196" t="str">
        <f t="shared" si="39"/>
        <v/>
      </c>
    </row>
    <row r="197" spans="1:9">
      <c r="A197">
        <f>CSV!B197</f>
        <v>0</v>
      </c>
      <c r="B197" s="13" t="e">
        <f>INDEX(Input!$D$2:$AC$500,
       MATCH(CPU_Formula!A197, Input!$J$2:$J$500, 0),
       MATCH("CPU model", Input!$D$1:$AC$1, 0))</f>
        <v>#N/A</v>
      </c>
      <c r="C197" s="13" t="str">
        <f t="shared" si="33"/>
        <v/>
      </c>
      <c r="D197" s="13" t="str">
        <f t="shared" si="34"/>
        <v/>
      </c>
      <c r="E197" s="13" t="str">
        <f t="shared" si="35"/>
        <v/>
      </c>
      <c r="F197" s="13" t="str">
        <f t="shared" si="36"/>
        <v/>
      </c>
      <c r="G197" s="13" t="str">
        <f t="shared" si="37"/>
        <v/>
      </c>
      <c r="H197" s="13" t="str">
        <f t="shared" si="38"/>
        <v/>
      </c>
      <c r="I197" t="str">
        <f t="shared" si="39"/>
        <v/>
      </c>
    </row>
    <row r="198" spans="1:9">
      <c r="A198">
        <f>CSV!B198</f>
        <v>0</v>
      </c>
      <c r="B198" s="13" t="e">
        <f>INDEX(Input!$D$2:$AC$500,
       MATCH(CPU_Formula!A198, Input!$J$2:$J$500, 0),
       MATCH("CPU model", Input!$D$1:$AC$1, 0))</f>
        <v>#N/A</v>
      </c>
      <c r="C198" s="13" t="str">
        <f t="shared" si="33"/>
        <v/>
      </c>
      <c r="D198" s="13" t="str">
        <f t="shared" si="34"/>
        <v/>
      </c>
      <c r="E198" s="13" t="str">
        <f t="shared" si="35"/>
        <v/>
      </c>
      <c r="F198" s="13" t="str">
        <f t="shared" si="36"/>
        <v/>
      </c>
      <c r="G198" s="13" t="str">
        <f t="shared" si="37"/>
        <v/>
      </c>
      <c r="H198" s="13" t="str">
        <f t="shared" si="38"/>
        <v/>
      </c>
      <c r="I198" t="str">
        <f t="shared" si="39"/>
        <v/>
      </c>
    </row>
    <row r="199" spans="1:9">
      <c r="A199">
        <f>CSV!B199</f>
        <v>0</v>
      </c>
      <c r="B199" s="13" t="e">
        <f>INDEX(Input!$D$2:$AC$500,
       MATCH(CPU_Formula!A199, Input!$J$2:$J$500, 0),
       MATCH("CPU model", Input!$D$1:$AC$1, 0))</f>
        <v>#N/A</v>
      </c>
      <c r="C199" s="13" t="str">
        <f t="shared" si="33"/>
        <v/>
      </c>
      <c r="D199" s="13" t="str">
        <f t="shared" si="34"/>
        <v/>
      </c>
      <c r="E199" s="13" t="str">
        <f t="shared" si="35"/>
        <v/>
      </c>
      <c r="F199" s="13" t="str">
        <f t="shared" si="36"/>
        <v/>
      </c>
      <c r="G199" s="13" t="str">
        <f t="shared" si="37"/>
        <v/>
      </c>
      <c r="H199" s="13" t="str">
        <f t="shared" si="38"/>
        <v/>
      </c>
      <c r="I199" t="str">
        <f t="shared" si="39"/>
        <v/>
      </c>
    </row>
    <row r="200" spans="1:9">
      <c r="A200">
        <f>CSV!B200</f>
        <v>0</v>
      </c>
      <c r="B200" s="13" t="e">
        <f>INDEX(Input!$D$2:$AC$500,
       MATCH(CPU_Formula!A200, Input!$J$2:$J$500, 0),
       MATCH("CPU model", Input!$D$1:$AC$1, 0))</f>
        <v>#N/A</v>
      </c>
      <c r="C200" s="13" t="str">
        <f t="shared" si="33"/>
        <v/>
      </c>
      <c r="D200" s="13" t="str">
        <f t="shared" si="34"/>
        <v/>
      </c>
      <c r="E200" s="13" t="str">
        <f t="shared" si="35"/>
        <v/>
      </c>
      <c r="F200" s="13" t="str">
        <f t="shared" si="36"/>
        <v/>
      </c>
      <c r="G200" s="13" t="str">
        <f t="shared" si="37"/>
        <v/>
      </c>
      <c r="H200" s="13" t="str">
        <f t="shared" si="38"/>
        <v/>
      </c>
      <c r="I200" t="str">
        <f t="shared" si="39"/>
        <v/>
      </c>
    </row>
    <row r="201" spans="1:9">
      <c r="A201">
        <f>CSV!B201</f>
        <v>0</v>
      </c>
      <c r="B201" s="13" t="e">
        <f>INDEX(Input!$D$2:$AC$500,
       MATCH(CPU_Formula!A201, Input!$J$2:$J$500, 0),
       MATCH("CPU model", Input!$D$1:$AC$1, 0))</f>
        <v>#N/A</v>
      </c>
      <c r="C201" s="13" t="str">
        <f t="shared" si="33"/>
        <v/>
      </c>
      <c r="D201" s="13" t="str">
        <f t="shared" si="34"/>
        <v/>
      </c>
      <c r="E201" s="13" t="str">
        <f t="shared" si="35"/>
        <v/>
      </c>
      <c r="F201" s="13" t="str">
        <f t="shared" si="36"/>
        <v/>
      </c>
      <c r="G201" s="13" t="str">
        <f t="shared" si="37"/>
        <v/>
      </c>
      <c r="H201" s="13" t="str">
        <f t="shared" si="38"/>
        <v/>
      </c>
      <c r="I201" t="str">
        <f t="shared" si="39"/>
        <v/>
      </c>
    </row>
    <row r="202" spans="1:9">
      <c r="A202">
        <f>CSV!B202</f>
        <v>0</v>
      </c>
      <c r="B202" s="13" t="e">
        <f>INDEX(Input!$D$2:$AC$500,
       MATCH(CPU_Formula!A202, Input!$J$2:$J$500, 0),
       MATCH("CPU model", Input!$D$1:$AC$1, 0))</f>
        <v>#N/A</v>
      </c>
      <c r="C202" s="13" t="str">
        <f t="shared" si="33"/>
        <v/>
      </c>
      <c r="D202" s="13" t="str">
        <f t="shared" si="34"/>
        <v/>
      </c>
      <c r="E202" s="13" t="str">
        <f t="shared" si="35"/>
        <v/>
      </c>
      <c r="F202" s="13" t="str">
        <f t="shared" si="36"/>
        <v/>
      </c>
      <c r="G202" s="13" t="str">
        <f t="shared" si="37"/>
        <v/>
      </c>
      <c r="H202" s="13" t="str">
        <f t="shared" si="38"/>
        <v/>
      </c>
      <c r="I202" t="str">
        <f t="shared" si="39"/>
        <v/>
      </c>
    </row>
    <row r="203" spans="1:9">
      <c r="A203">
        <f>CSV!B203</f>
        <v>0</v>
      </c>
      <c r="B203" s="13" t="e">
        <f>INDEX(Input!$D$2:$AC$500,
       MATCH(CPU_Formula!A203, Input!$J$2:$J$500, 0),
       MATCH("CPU model", Input!$D$1:$AC$1, 0))</f>
        <v>#N/A</v>
      </c>
      <c r="C203" s="13" t="str">
        <f t="shared" si="33"/>
        <v/>
      </c>
      <c r="D203" s="13" t="str">
        <f t="shared" si="34"/>
        <v/>
      </c>
      <c r="E203" s="13" t="str">
        <f t="shared" si="35"/>
        <v/>
      </c>
      <c r="F203" s="13" t="str">
        <f t="shared" si="36"/>
        <v/>
      </c>
      <c r="G203" s="13" t="str">
        <f t="shared" si="37"/>
        <v/>
      </c>
      <c r="H203" s="13" t="str">
        <f t="shared" si="38"/>
        <v/>
      </c>
      <c r="I203" t="str">
        <f t="shared" si="39"/>
        <v/>
      </c>
    </row>
    <row r="204" spans="1:9">
      <c r="A204">
        <f>CSV!B204</f>
        <v>0</v>
      </c>
      <c r="B204" s="13" t="e">
        <f>INDEX(Input!$D$2:$AC$500,
       MATCH(CPU_Formula!A204, Input!$J$2:$J$500, 0),
       MATCH("CPU model", Input!$D$1:$AC$1, 0))</f>
        <v>#N/A</v>
      </c>
      <c r="C204" s="13" t="str">
        <f t="shared" si="33"/>
        <v/>
      </c>
      <c r="D204" s="13" t="str">
        <f t="shared" si="34"/>
        <v/>
      </c>
      <c r="E204" s="13" t="str">
        <f t="shared" si="35"/>
        <v/>
      </c>
      <c r="F204" s="13" t="str">
        <f t="shared" si="36"/>
        <v/>
      </c>
      <c r="G204" s="13" t="str">
        <f t="shared" si="37"/>
        <v/>
      </c>
      <c r="H204" s="13" t="str">
        <f t="shared" si="38"/>
        <v/>
      </c>
      <c r="I204" t="str">
        <f t="shared" si="39"/>
        <v/>
      </c>
    </row>
    <row r="205" spans="1:9">
      <c r="A205">
        <f>CSV!B205</f>
        <v>0</v>
      </c>
      <c r="B205" s="13" t="e">
        <f>INDEX(Input!$D$2:$AC$500,
       MATCH(CPU_Formula!A205, Input!$J$2:$J$500, 0),
       MATCH("CPU model", Input!$D$1:$AC$1, 0))</f>
        <v>#N/A</v>
      </c>
      <c r="C205" s="13" t="str">
        <f t="shared" si="33"/>
        <v/>
      </c>
      <c r="D205" s="13" t="str">
        <f t="shared" si="34"/>
        <v/>
      </c>
      <c r="E205" s="13" t="str">
        <f t="shared" si="35"/>
        <v/>
      </c>
      <c r="F205" s="13" t="str">
        <f t="shared" si="36"/>
        <v/>
      </c>
      <c r="G205" s="13" t="str">
        <f t="shared" si="37"/>
        <v/>
      </c>
      <c r="H205" s="13" t="str">
        <f t="shared" si="38"/>
        <v/>
      </c>
      <c r="I205" t="str">
        <f t="shared" si="39"/>
        <v/>
      </c>
    </row>
    <row r="206" spans="1:9">
      <c r="A206">
        <f>CSV!B206</f>
        <v>0</v>
      </c>
      <c r="B206" s="13" t="e">
        <f>INDEX(Input!$D$2:$AC$500,
       MATCH(CPU_Formula!A206, Input!$J$2:$J$500, 0),
       MATCH("CPU model", Input!$D$1:$AC$1, 0))</f>
        <v>#N/A</v>
      </c>
      <c r="C206" s="13" t="str">
        <f t="shared" si="33"/>
        <v/>
      </c>
      <c r="D206" s="13" t="str">
        <f t="shared" si="34"/>
        <v/>
      </c>
      <c r="E206" s="13" t="str">
        <f t="shared" si="35"/>
        <v/>
      </c>
      <c r="F206" s="13" t="str">
        <f t="shared" si="36"/>
        <v/>
      </c>
      <c r="G206" s="13" t="str">
        <f t="shared" si="37"/>
        <v/>
      </c>
      <c r="H206" s="13" t="str">
        <f t="shared" si="38"/>
        <v/>
      </c>
      <c r="I206" t="str">
        <f t="shared" si="39"/>
        <v/>
      </c>
    </row>
    <row r="207" spans="1:9">
      <c r="A207">
        <f>CSV!B207</f>
        <v>0</v>
      </c>
      <c r="B207" s="13" t="e">
        <f>INDEX(Input!$D$2:$AC$500,
       MATCH(CPU_Formula!A207, Input!$J$2:$J$500, 0),
       MATCH("CPU model", Input!$D$1:$AC$1, 0))</f>
        <v>#N/A</v>
      </c>
      <c r="C207" s="13" t="str">
        <f t="shared" si="33"/>
        <v/>
      </c>
      <c r="D207" s="13" t="str">
        <f t="shared" si="34"/>
        <v/>
      </c>
      <c r="E207" s="13" t="str">
        <f t="shared" si="35"/>
        <v/>
      </c>
      <c r="F207" s="13" t="str">
        <f t="shared" si="36"/>
        <v/>
      </c>
      <c r="G207" s="13" t="str">
        <f t="shared" si="37"/>
        <v/>
      </c>
      <c r="H207" s="13" t="str">
        <f t="shared" si="38"/>
        <v/>
      </c>
      <c r="I207" t="str">
        <f t="shared" si="39"/>
        <v/>
      </c>
    </row>
    <row r="208" spans="1:9">
      <c r="A208">
        <f>CSV!B208</f>
        <v>0</v>
      </c>
      <c r="B208" s="13" t="e">
        <f>INDEX(Input!$D$2:$AC$500,
       MATCH(CPU_Formula!A208, Input!$J$2:$J$500, 0),
       MATCH("CPU model", Input!$D$1:$AC$1, 0))</f>
        <v>#N/A</v>
      </c>
      <c r="C208" s="13" t="str">
        <f t="shared" si="33"/>
        <v/>
      </c>
      <c r="D208" s="13" t="str">
        <f t="shared" si="34"/>
        <v/>
      </c>
      <c r="E208" s="13" t="str">
        <f t="shared" si="35"/>
        <v/>
      </c>
      <c r="F208" s="13" t="str">
        <f t="shared" si="36"/>
        <v/>
      </c>
      <c r="G208" s="13" t="str">
        <f t="shared" si="37"/>
        <v/>
      </c>
      <c r="H208" s="13" t="str">
        <f t="shared" si="38"/>
        <v/>
      </c>
      <c r="I208" t="str">
        <f t="shared" si="39"/>
        <v/>
      </c>
    </row>
    <row r="209" spans="1:9">
      <c r="A209">
        <f>CSV!B209</f>
        <v>0</v>
      </c>
      <c r="B209" s="13" t="e">
        <f>INDEX(Input!$D$2:$AC$500,
       MATCH(CPU_Formula!A209, Input!$J$2:$J$500, 0),
       MATCH("CPU model", Input!$D$1:$AC$1, 0))</f>
        <v>#N/A</v>
      </c>
      <c r="C209" s="13" t="str">
        <f t="shared" si="33"/>
        <v/>
      </c>
      <c r="D209" s="13" t="str">
        <f t="shared" si="34"/>
        <v/>
      </c>
      <c r="E209" s="13" t="str">
        <f t="shared" si="35"/>
        <v/>
      </c>
      <c r="F209" s="13" t="str">
        <f t="shared" si="36"/>
        <v/>
      </c>
      <c r="G209" s="13" t="str">
        <f t="shared" si="37"/>
        <v/>
      </c>
      <c r="H209" s="13" t="str">
        <f t="shared" si="38"/>
        <v/>
      </c>
      <c r="I209" t="str">
        <f t="shared" si="39"/>
        <v/>
      </c>
    </row>
    <row r="210" spans="1:9">
      <c r="A210">
        <f>CSV!B210</f>
        <v>0</v>
      </c>
      <c r="B210" s="13" t="e">
        <f>INDEX(Input!$D$2:$AC$500,
       MATCH(CPU_Formula!A210, Input!$J$2:$J$500, 0),
       MATCH("CPU model", Input!$D$1:$AC$1, 0))</f>
        <v>#N/A</v>
      </c>
      <c r="C210" s="13" t="str">
        <f t="shared" si="33"/>
        <v/>
      </c>
      <c r="D210" s="13" t="str">
        <f t="shared" si="34"/>
        <v/>
      </c>
      <c r="E210" s="13" t="str">
        <f t="shared" si="35"/>
        <v/>
      </c>
      <c r="F210" s="13" t="str">
        <f t="shared" si="36"/>
        <v/>
      </c>
      <c r="G210" s="13" t="str">
        <f t="shared" si="37"/>
        <v/>
      </c>
      <c r="H210" s="13" t="str">
        <f t="shared" si="38"/>
        <v/>
      </c>
      <c r="I210" t="str">
        <f t="shared" si="39"/>
        <v/>
      </c>
    </row>
    <row r="211" spans="1:9">
      <c r="A211">
        <f>CSV!B211</f>
        <v>0</v>
      </c>
      <c r="B211" s="13" t="e">
        <f>INDEX(Input!$D$2:$AC$500,
       MATCH(CPU_Formula!A211, Input!$J$2:$J$500, 0),
       MATCH("CPU model", Input!$D$1:$AC$1, 0))</f>
        <v>#N/A</v>
      </c>
      <c r="C211" s="13" t="str">
        <f t="shared" si="33"/>
        <v/>
      </c>
      <c r="D211" s="13" t="str">
        <f t="shared" si="34"/>
        <v/>
      </c>
      <c r="E211" s="13" t="str">
        <f t="shared" si="35"/>
        <v/>
      </c>
      <c r="F211" s="13" t="str">
        <f t="shared" si="36"/>
        <v/>
      </c>
      <c r="G211" s="13" t="str">
        <f t="shared" si="37"/>
        <v/>
      </c>
      <c r="H211" s="13" t="str">
        <f t="shared" si="38"/>
        <v/>
      </c>
      <c r="I211" t="str">
        <f t="shared" si="39"/>
        <v/>
      </c>
    </row>
    <row r="212" spans="1:9">
      <c r="A212">
        <f>CSV!B212</f>
        <v>0</v>
      </c>
      <c r="B212" s="13" t="e">
        <f>INDEX(Input!$D$2:$AC$500,
       MATCH(CPU_Formula!A212, Input!$J$2:$J$500, 0),
       MATCH("CPU model", Input!$D$1:$AC$1, 0))</f>
        <v>#N/A</v>
      </c>
      <c r="C212" s="13" t="str">
        <f t="shared" si="33"/>
        <v/>
      </c>
      <c r="D212" s="13" t="str">
        <f t="shared" si="34"/>
        <v/>
      </c>
      <c r="E212" s="13" t="str">
        <f t="shared" si="35"/>
        <v/>
      </c>
      <c r="F212" s="13" t="str">
        <f t="shared" si="36"/>
        <v/>
      </c>
      <c r="G212" s="13" t="str">
        <f t="shared" si="37"/>
        <v/>
      </c>
      <c r="H212" s="13" t="str">
        <f t="shared" si="38"/>
        <v/>
      </c>
      <c r="I212" t="str">
        <f t="shared" si="39"/>
        <v/>
      </c>
    </row>
    <row r="213" spans="1:9">
      <c r="A213">
        <f>CSV!B213</f>
        <v>0</v>
      </c>
      <c r="B213" s="13" t="e">
        <f>INDEX(Input!$D$2:$AC$500,
       MATCH(CPU_Formula!A213, Input!$J$2:$J$500, 0),
       MATCH("CPU model", Input!$D$1:$AC$1, 0))</f>
        <v>#N/A</v>
      </c>
      <c r="C213" s="13" t="str">
        <f t="shared" si="33"/>
        <v/>
      </c>
      <c r="D213" s="13" t="str">
        <f t="shared" si="34"/>
        <v/>
      </c>
      <c r="E213" s="13" t="str">
        <f t="shared" si="35"/>
        <v/>
      </c>
      <c r="F213" s="13" t="str">
        <f t="shared" si="36"/>
        <v/>
      </c>
      <c r="G213" s="13" t="str">
        <f t="shared" si="37"/>
        <v/>
      </c>
      <c r="H213" s="13" t="str">
        <f t="shared" si="38"/>
        <v/>
      </c>
      <c r="I213" t="str">
        <f t="shared" si="39"/>
        <v/>
      </c>
    </row>
    <row r="214" spans="1:9">
      <c r="A214">
        <f>CSV!B214</f>
        <v>0</v>
      </c>
      <c r="B214" s="13" t="e">
        <f>INDEX(Input!$D$2:$AC$500,
       MATCH(CPU_Formula!A214, Input!$J$2:$J$500, 0),
       MATCH("CPU model", Input!$D$1:$AC$1, 0))</f>
        <v>#N/A</v>
      </c>
      <c r="C214" s="13" t="str">
        <f t="shared" si="33"/>
        <v/>
      </c>
      <c r="D214" s="13" t="str">
        <f t="shared" si="34"/>
        <v/>
      </c>
      <c r="E214" s="13" t="str">
        <f t="shared" si="35"/>
        <v/>
      </c>
      <c r="F214" s="13" t="str">
        <f t="shared" si="36"/>
        <v/>
      </c>
      <c r="G214" s="13" t="str">
        <f t="shared" si="37"/>
        <v/>
      </c>
      <c r="H214" s="13" t="str">
        <f t="shared" si="38"/>
        <v/>
      </c>
      <c r="I214" t="str">
        <f t="shared" si="39"/>
        <v/>
      </c>
    </row>
    <row r="215" spans="1:9">
      <c r="A215">
        <f>CSV!B215</f>
        <v>0</v>
      </c>
      <c r="B215" s="13" t="e">
        <f>INDEX(Input!$D$2:$AC$500,
       MATCH(CPU_Formula!A215, Input!$J$2:$J$500, 0),
       MATCH("CPU model", Input!$D$1:$AC$1, 0))</f>
        <v>#N/A</v>
      </c>
      <c r="C215" s="13" t="str">
        <f t="shared" si="33"/>
        <v/>
      </c>
      <c r="D215" s="13" t="str">
        <f t="shared" si="34"/>
        <v/>
      </c>
      <c r="E215" s="13" t="str">
        <f t="shared" si="35"/>
        <v/>
      </c>
      <c r="F215" s="13" t="str">
        <f t="shared" si="36"/>
        <v/>
      </c>
      <c r="G215" s="13" t="str">
        <f t="shared" si="37"/>
        <v/>
      </c>
      <c r="H215" s="13" t="str">
        <f t="shared" si="38"/>
        <v/>
      </c>
      <c r="I215" t="str">
        <f t="shared" si="39"/>
        <v/>
      </c>
    </row>
    <row r="216" spans="1:9">
      <c r="A216">
        <f>CSV!B216</f>
        <v>0</v>
      </c>
      <c r="B216" s="13" t="e">
        <f>INDEX(Input!$D$2:$AC$500,
       MATCH(CPU_Formula!A216, Input!$J$2:$J$500, 0),
       MATCH("CPU model", Input!$D$1:$AC$1, 0))</f>
        <v>#N/A</v>
      </c>
      <c r="C216" s="13" t="str">
        <f t="shared" si="33"/>
        <v/>
      </c>
      <c r="D216" s="13" t="str">
        <f t="shared" si="34"/>
        <v/>
      </c>
      <c r="E216" s="13" t="str">
        <f t="shared" si="35"/>
        <v/>
      </c>
      <c r="F216" s="13" t="str">
        <f t="shared" si="36"/>
        <v/>
      </c>
      <c r="G216" s="13" t="str">
        <f t="shared" si="37"/>
        <v/>
      </c>
      <c r="H216" s="13" t="str">
        <f t="shared" si="38"/>
        <v/>
      </c>
      <c r="I216" t="str">
        <f t="shared" si="39"/>
        <v/>
      </c>
    </row>
    <row r="217" spans="1:9">
      <c r="A217">
        <f>CSV!B217</f>
        <v>0</v>
      </c>
      <c r="B217" s="13" t="e">
        <f>INDEX(Input!$D$2:$AC$500,
       MATCH(CPU_Formula!A217, Input!$J$2:$J$500, 0),
       MATCH("CPU model", Input!$D$1:$AC$1, 0))</f>
        <v>#N/A</v>
      </c>
      <c r="C217" s="13" t="str">
        <f t="shared" si="33"/>
        <v/>
      </c>
      <c r="D217" s="13" t="str">
        <f t="shared" si="34"/>
        <v/>
      </c>
      <c r="E217" s="13" t="str">
        <f t="shared" si="35"/>
        <v/>
      </c>
      <c r="F217" s="13" t="str">
        <f t="shared" si="36"/>
        <v/>
      </c>
      <c r="G217" s="13" t="str">
        <f t="shared" si="37"/>
        <v/>
      </c>
      <c r="H217" s="13" t="str">
        <f t="shared" si="38"/>
        <v/>
      </c>
      <c r="I217" t="str">
        <f t="shared" si="39"/>
        <v/>
      </c>
    </row>
    <row r="218" spans="1:9">
      <c r="A218">
        <f>CSV!B218</f>
        <v>0</v>
      </c>
      <c r="B218" s="13" t="e">
        <f>INDEX(Input!$D$2:$AC$500,
       MATCH(CPU_Formula!A218, Input!$J$2:$J$500, 0),
       MATCH("CPU model", Input!$D$1:$AC$1, 0))</f>
        <v>#N/A</v>
      </c>
      <c r="C218" s="13" t="str">
        <f t="shared" si="33"/>
        <v/>
      </c>
      <c r="D218" s="13" t="str">
        <f t="shared" si="34"/>
        <v/>
      </c>
      <c r="E218" s="13" t="str">
        <f t="shared" si="35"/>
        <v/>
      </c>
      <c r="F218" s="13" t="str">
        <f t="shared" si="36"/>
        <v/>
      </c>
      <c r="G218" s="13" t="str">
        <f t="shared" si="37"/>
        <v/>
      </c>
      <c r="H218" s="13" t="str">
        <f t="shared" si="38"/>
        <v/>
      </c>
      <c r="I218" t="str">
        <f t="shared" si="39"/>
        <v/>
      </c>
    </row>
    <row r="219" spans="1:9">
      <c r="A219">
        <f>CSV!B219</f>
        <v>0</v>
      </c>
      <c r="B219" s="13" t="e">
        <f>INDEX(Input!$D$2:$AC$500,
       MATCH(CPU_Formula!A219, Input!$J$2:$J$500, 0),
       MATCH("CPU model", Input!$D$1:$AC$1, 0))</f>
        <v>#N/A</v>
      </c>
      <c r="C219" s="13" t="str">
        <f t="shared" si="33"/>
        <v/>
      </c>
      <c r="D219" s="13" t="str">
        <f t="shared" si="34"/>
        <v/>
      </c>
      <c r="E219" s="13" t="str">
        <f t="shared" si="35"/>
        <v/>
      </c>
      <c r="F219" s="13" t="str">
        <f t="shared" si="36"/>
        <v/>
      </c>
      <c r="G219" s="13" t="str">
        <f t="shared" si="37"/>
        <v/>
      </c>
      <c r="H219" s="13" t="str">
        <f t="shared" si="38"/>
        <v/>
      </c>
      <c r="I219" t="str">
        <f t="shared" si="39"/>
        <v/>
      </c>
    </row>
    <row r="220" spans="1:9">
      <c r="A220">
        <f>CSV!B220</f>
        <v>0</v>
      </c>
      <c r="B220" s="13" t="e">
        <f>INDEX(Input!$D$2:$AC$500,
       MATCH(CPU_Formula!A220, Input!$J$2:$J$500, 0),
       MATCH("CPU model", Input!$D$1:$AC$1, 0))</f>
        <v>#N/A</v>
      </c>
      <c r="C220" s="13" t="str">
        <f t="shared" si="33"/>
        <v/>
      </c>
      <c r="D220" s="13" t="str">
        <f t="shared" si="34"/>
        <v/>
      </c>
      <c r="E220" s="13" t="str">
        <f t="shared" si="35"/>
        <v/>
      </c>
      <c r="F220" s="13" t="str">
        <f t="shared" si="36"/>
        <v/>
      </c>
      <c r="G220" s="13" t="str">
        <f t="shared" si="37"/>
        <v/>
      </c>
      <c r="H220" s="13" t="str">
        <f t="shared" si="38"/>
        <v/>
      </c>
      <c r="I220" t="str">
        <f t="shared" si="39"/>
        <v/>
      </c>
    </row>
    <row r="221" spans="1:9">
      <c r="A221">
        <f>CSV!B221</f>
        <v>0</v>
      </c>
      <c r="B221" s="13" t="e">
        <f>INDEX(Input!$D$2:$AC$500,
       MATCH(CPU_Formula!A221, Input!$J$2:$J$500, 0),
       MATCH("CPU model", Input!$D$1:$AC$1, 0))</f>
        <v>#N/A</v>
      </c>
      <c r="C221" s="13" t="str">
        <f t="shared" si="33"/>
        <v/>
      </c>
      <c r="D221" s="13" t="str">
        <f t="shared" si="34"/>
        <v/>
      </c>
      <c r="E221" s="13" t="str">
        <f t="shared" si="35"/>
        <v/>
      </c>
      <c r="F221" s="13" t="str">
        <f t="shared" si="36"/>
        <v/>
      </c>
      <c r="G221" s="13" t="str">
        <f t="shared" si="37"/>
        <v/>
      </c>
      <c r="H221" s="13" t="str">
        <f t="shared" si="38"/>
        <v/>
      </c>
      <c r="I221" t="str">
        <f t="shared" si="39"/>
        <v/>
      </c>
    </row>
    <row r="222" spans="1:9">
      <c r="A222">
        <f>CSV!B222</f>
        <v>0</v>
      </c>
      <c r="B222" s="13" t="e">
        <f>INDEX(Input!$D$2:$AC$500,
       MATCH(CPU_Formula!A222, Input!$J$2:$J$500, 0),
       MATCH("CPU model", Input!$D$1:$AC$1, 0))</f>
        <v>#N/A</v>
      </c>
      <c r="C222" s="13" t="str">
        <f t="shared" si="33"/>
        <v/>
      </c>
      <c r="D222" s="13" t="str">
        <f t="shared" si="34"/>
        <v/>
      </c>
      <c r="E222" s="13" t="str">
        <f t="shared" si="35"/>
        <v/>
      </c>
      <c r="F222" s="13" t="str">
        <f t="shared" si="36"/>
        <v/>
      </c>
      <c r="G222" s="13" t="str">
        <f t="shared" si="37"/>
        <v/>
      </c>
      <c r="H222" s="13" t="str">
        <f t="shared" si="38"/>
        <v/>
      </c>
      <c r="I222" t="str">
        <f t="shared" si="39"/>
        <v/>
      </c>
    </row>
    <row r="223" spans="1:9">
      <c r="A223">
        <f>CSV!B223</f>
        <v>0</v>
      </c>
      <c r="B223" s="13" t="e">
        <f>INDEX(Input!$D$2:$AC$500,
       MATCH(CPU_Formula!A223, Input!$J$2:$J$500, 0),
       MATCH("CPU model", Input!$D$1:$AC$1, 0))</f>
        <v>#N/A</v>
      </c>
      <c r="C223" s="13" t="str">
        <f t="shared" si="33"/>
        <v/>
      </c>
      <c r="D223" s="13" t="str">
        <f t="shared" si="34"/>
        <v/>
      </c>
      <c r="E223" s="13" t="str">
        <f t="shared" si="35"/>
        <v/>
      </c>
      <c r="F223" s="13" t="str">
        <f t="shared" si="36"/>
        <v/>
      </c>
      <c r="G223" s="13" t="str">
        <f t="shared" si="37"/>
        <v/>
      </c>
      <c r="H223" s="13" t="str">
        <f t="shared" si="38"/>
        <v/>
      </c>
      <c r="I223" t="str">
        <f t="shared" si="39"/>
        <v/>
      </c>
    </row>
    <row r="224" spans="1:9">
      <c r="A224">
        <f>CSV!B224</f>
        <v>0</v>
      </c>
      <c r="B224" s="13" t="e">
        <f>INDEX(Input!$D$2:$AC$500,
       MATCH(CPU_Formula!A224, Input!$J$2:$J$500, 0),
       MATCH("CPU model", Input!$D$1:$AC$1, 0))</f>
        <v>#N/A</v>
      </c>
      <c r="C224" s="13" t="str">
        <f t="shared" si="33"/>
        <v/>
      </c>
      <c r="D224" s="13" t="str">
        <f t="shared" si="34"/>
        <v/>
      </c>
      <c r="E224" s="13" t="str">
        <f t="shared" si="35"/>
        <v/>
      </c>
      <c r="F224" s="13" t="str">
        <f t="shared" si="36"/>
        <v/>
      </c>
      <c r="G224" s="13" t="str">
        <f t="shared" si="37"/>
        <v/>
      </c>
      <c r="H224" s="13" t="str">
        <f t="shared" si="38"/>
        <v/>
      </c>
      <c r="I224" t="str">
        <f t="shared" si="39"/>
        <v/>
      </c>
    </row>
    <row r="225" spans="1:9">
      <c r="A225">
        <f>CSV!B225</f>
        <v>0</v>
      </c>
      <c r="B225" s="13" t="e">
        <f>INDEX(Input!$D$2:$AC$500,
       MATCH(CPU_Formula!A225, Input!$J$2:$J$500, 0),
       MATCH("CPU model", Input!$D$1:$AC$1, 0))</f>
        <v>#N/A</v>
      </c>
      <c r="C225" s="13" t="str">
        <f t="shared" si="33"/>
        <v/>
      </c>
      <c r="D225" s="13" t="str">
        <f t="shared" si="34"/>
        <v/>
      </c>
      <c r="E225" s="13" t="str">
        <f t="shared" si="35"/>
        <v/>
      </c>
      <c r="F225" s="13" t="str">
        <f t="shared" si="36"/>
        <v/>
      </c>
      <c r="G225" s="13" t="str">
        <f t="shared" si="37"/>
        <v/>
      </c>
      <c r="H225" s="13" t="str">
        <f t="shared" si="38"/>
        <v/>
      </c>
      <c r="I225" t="str">
        <f t="shared" si="39"/>
        <v/>
      </c>
    </row>
    <row r="226" spans="1:9">
      <c r="A226">
        <f>CSV!B226</f>
        <v>0</v>
      </c>
      <c r="B226" s="13" t="e">
        <f>INDEX(Input!$D$2:$AC$500,
       MATCH(CPU_Formula!A226, Input!$J$2:$J$500, 0),
       MATCH("CPU model", Input!$D$1:$AC$1, 0))</f>
        <v>#N/A</v>
      </c>
      <c r="C226" s="13" t="str">
        <f t="shared" si="33"/>
        <v/>
      </c>
      <c r="D226" s="13" t="str">
        <f t="shared" si="34"/>
        <v/>
      </c>
      <c r="E226" s="13" t="str">
        <f t="shared" si="35"/>
        <v/>
      </c>
      <c r="F226" s="13" t="str">
        <f t="shared" si="36"/>
        <v/>
      </c>
      <c r="G226" s="13" t="str">
        <f t="shared" si="37"/>
        <v/>
      </c>
      <c r="H226" s="13" t="str">
        <f t="shared" si="38"/>
        <v/>
      </c>
      <c r="I226" t="str">
        <f t="shared" si="39"/>
        <v/>
      </c>
    </row>
    <row r="227" spans="1:9">
      <c r="A227">
        <f>CSV!B227</f>
        <v>0</v>
      </c>
      <c r="B227" s="13" t="e">
        <f>INDEX(Input!$D$2:$AC$500,
       MATCH(CPU_Formula!A227, Input!$J$2:$J$500, 0),
       MATCH("CPU model", Input!$D$1:$AC$1, 0))</f>
        <v>#N/A</v>
      </c>
      <c r="C227" s="13" t="str">
        <f t="shared" si="33"/>
        <v/>
      </c>
      <c r="D227" s="13" t="str">
        <f t="shared" si="34"/>
        <v/>
      </c>
      <c r="E227" s="13" t="str">
        <f t="shared" si="35"/>
        <v/>
      </c>
      <c r="F227" s="13" t="str">
        <f t="shared" si="36"/>
        <v/>
      </c>
      <c r="G227" s="13" t="str">
        <f t="shared" si="37"/>
        <v/>
      </c>
      <c r="H227" s="13" t="str">
        <f t="shared" si="38"/>
        <v/>
      </c>
      <c r="I227" t="str">
        <f t="shared" si="39"/>
        <v/>
      </c>
    </row>
    <row r="228" spans="1:9">
      <c r="A228">
        <f>CSV!B228</f>
        <v>0</v>
      </c>
      <c r="B228" s="13" t="e">
        <f>INDEX(Input!$D$2:$AC$500,
       MATCH(CPU_Formula!A228, Input!$J$2:$J$500, 0),
       MATCH("CPU model", Input!$D$1:$AC$1, 0))</f>
        <v>#N/A</v>
      </c>
      <c r="C228" s="13" t="str">
        <f t="shared" si="33"/>
        <v/>
      </c>
      <c r="D228" s="13" t="str">
        <f t="shared" si="34"/>
        <v/>
      </c>
      <c r="E228" s="13" t="str">
        <f t="shared" si="35"/>
        <v/>
      </c>
      <c r="F228" s="13" t="str">
        <f t="shared" si="36"/>
        <v/>
      </c>
      <c r="G228" s="13" t="str">
        <f t="shared" si="37"/>
        <v/>
      </c>
      <c r="H228" s="13" t="str">
        <f t="shared" si="38"/>
        <v/>
      </c>
      <c r="I228" t="str">
        <f t="shared" si="39"/>
        <v/>
      </c>
    </row>
    <row r="229" spans="1:9">
      <c r="A229">
        <f>CSV!B229</f>
        <v>0</v>
      </c>
      <c r="B229" s="13" t="e">
        <f>INDEX(Input!$D$2:$AC$500,
       MATCH(CPU_Formula!A229, Input!$J$2:$J$500, 0),
       MATCH("CPU model", Input!$D$1:$AC$1, 0))</f>
        <v>#N/A</v>
      </c>
      <c r="C229" s="13" t="str">
        <f t="shared" si="33"/>
        <v/>
      </c>
      <c r="D229" s="13" t="str">
        <f t="shared" si="34"/>
        <v/>
      </c>
      <c r="E229" s="13" t="str">
        <f t="shared" si="35"/>
        <v/>
      </c>
      <c r="F229" s="13" t="str">
        <f t="shared" si="36"/>
        <v/>
      </c>
      <c r="G229" s="13" t="str">
        <f t="shared" si="37"/>
        <v/>
      </c>
      <c r="H229" s="13" t="str">
        <f t="shared" si="38"/>
        <v/>
      </c>
      <c r="I229" t="str">
        <f t="shared" si="39"/>
        <v/>
      </c>
    </row>
    <row r="230" spans="1:9">
      <c r="A230">
        <f>CSV!B230</f>
        <v>0</v>
      </c>
      <c r="B230" s="13" t="e">
        <f>INDEX(Input!$D$2:$AC$500,
       MATCH(CPU_Formula!A230, Input!$J$2:$J$500, 0),
       MATCH("CPU model", Input!$D$1:$AC$1, 0))</f>
        <v>#N/A</v>
      </c>
      <c r="C230" s="13" t="str">
        <f t="shared" si="33"/>
        <v/>
      </c>
      <c r="D230" s="13" t="str">
        <f t="shared" si="34"/>
        <v/>
      </c>
      <c r="E230" s="13" t="str">
        <f t="shared" si="35"/>
        <v/>
      </c>
      <c r="F230" s="13" t="str">
        <f t="shared" si="36"/>
        <v/>
      </c>
      <c r="G230" s="13" t="str">
        <f t="shared" si="37"/>
        <v/>
      </c>
      <c r="H230" s="13" t="str">
        <f t="shared" si="38"/>
        <v/>
      </c>
      <c r="I230" t="str">
        <f t="shared" si="39"/>
        <v/>
      </c>
    </row>
    <row r="231" spans="1:9">
      <c r="A231">
        <f>CSV!B231</f>
        <v>0</v>
      </c>
      <c r="B231" s="13" t="e">
        <f>INDEX(Input!$D$2:$AC$500,
       MATCH(CPU_Formula!A231, Input!$J$2:$J$500, 0),
       MATCH("CPU model", Input!$D$1:$AC$1, 0))</f>
        <v>#N/A</v>
      </c>
      <c r="C231" s="13" t="str">
        <f t="shared" si="33"/>
        <v/>
      </c>
      <c r="D231" s="13" t="str">
        <f t="shared" si="34"/>
        <v/>
      </c>
      <c r="E231" s="13" t="str">
        <f t="shared" si="35"/>
        <v/>
      </c>
      <c r="F231" s="13" t="str">
        <f t="shared" si="36"/>
        <v/>
      </c>
      <c r="G231" s="13" t="str">
        <f t="shared" si="37"/>
        <v/>
      </c>
      <c r="H231" s="13" t="str">
        <f t="shared" si="38"/>
        <v/>
      </c>
      <c r="I231" t="str">
        <f t="shared" si="39"/>
        <v/>
      </c>
    </row>
    <row r="232" spans="1:9">
      <c r="A232">
        <f>CSV!B232</f>
        <v>0</v>
      </c>
      <c r="B232" s="13" t="e">
        <f>INDEX(Input!$D$2:$AC$500,
       MATCH(CPU_Formula!A232, Input!$J$2:$J$500, 0),
       MATCH("CPU model", Input!$D$1:$AC$1, 0))</f>
        <v>#N/A</v>
      </c>
      <c r="C232" s="13" t="str">
        <f t="shared" ref="C232:C295" si="40">IFERROR(_xlfn.TEXTAFTER(B232,"Core(TM) "),IFERROR(_xlfn.TEXTAFTER(B232,"Xeon(R) CPU"),""))</f>
        <v/>
      </c>
      <c r="D232" s="13" t="str">
        <f t="shared" ref="D232:D295" si="41">IFERROR(_xlfn.TEXTAFTER(B232,"Ryzen "), "")</f>
        <v/>
      </c>
      <c r="E232" s="13" t="str">
        <f t="shared" ref="E232:E295" si="42">IF(ISNUMBER(SEARCH("Ultra", B232)), "Ultra"&amp;_xlfn.TEXTAFTER(B232, "Ultra"), "")</f>
        <v/>
      </c>
      <c r="F232" s="13" t="str">
        <f t="shared" ref="F232:F295" si="43">IF(C232&lt;&gt;"", TRIM(_xlfn.TEXTBEFORE(C232," ",,1,1)), "")</f>
        <v/>
      </c>
      <c r="G232" s="13" t="str">
        <f t="shared" ref="G232:G295" si="44">IF(D232&lt;&gt;"", TRIM(_xlfn.TEXTBEFORE(D232," ",,1)), "")</f>
        <v/>
      </c>
      <c r="H232" s="13" t="str">
        <f t="shared" ref="H232:H295" si="45">E232</f>
        <v/>
      </c>
      <c r="I232" t="str">
        <f t="shared" ref="I232:I295" si="46">IF(H232&lt;&gt;"",H232,IF(G232&lt;&gt;"",G232,F232))</f>
        <v/>
      </c>
    </row>
    <row r="233" spans="1:9">
      <c r="A233">
        <f>CSV!B233</f>
        <v>0</v>
      </c>
      <c r="B233" s="13" t="e">
        <f>INDEX(Input!$D$2:$AC$500,
       MATCH(CPU_Formula!A233, Input!$J$2:$J$500, 0),
       MATCH("CPU model", Input!$D$1:$AC$1, 0))</f>
        <v>#N/A</v>
      </c>
      <c r="C233" s="13" t="str">
        <f t="shared" si="40"/>
        <v/>
      </c>
      <c r="D233" s="13" t="str">
        <f t="shared" si="41"/>
        <v/>
      </c>
      <c r="E233" s="13" t="str">
        <f t="shared" si="42"/>
        <v/>
      </c>
      <c r="F233" s="13" t="str">
        <f t="shared" si="43"/>
        <v/>
      </c>
      <c r="G233" s="13" t="str">
        <f t="shared" si="44"/>
        <v/>
      </c>
      <c r="H233" s="13" t="str">
        <f t="shared" si="45"/>
        <v/>
      </c>
      <c r="I233" t="str">
        <f t="shared" si="46"/>
        <v/>
      </c>
    </row>
    <row r="234" spans="1:9">
      <c r="A234">
        <f>CSV!B234</f>
        <v>0</v>
      </c>
      <c r="B234" s="13" t="e">
        <f>INDEX(Input!$D$2:$AC$500,
       MATCH(CPU_Formula!A234, Input!$J$2:$J$500, 0),
       MATCH("CPU model", Input!$D$1:$AC$1, 0))</f>
        <v>#N/A</v>
      </c>
      <c r="C234" s="13" t="str">
        <f t="shared" si="40"/>
        <v/>
      </c>
      <c r="D234" s="13" t="str">
        <f t="shared" si="41"/>
        <v/>
      </c>
      <c r="E234" s="13" t="str">
        <f t="shared" si="42"/>
        <v/>
      </c>
      <c r="F234" s="13" t="str">
        <f t="shared" si="43"/>
        <v/>
      </c>
      <c r="G234" s="13" t="str">
        <f t="shared" si="44"/>
        <v/>
      </c>
      <c r="H234" s="13" t="str">
        <f t="shared" si="45"/>
        <v/>
      </c>
      <c r="I234" t="str">
        <f t="shared" si="46"/>
        <v/>
      </c>
    </row>
    <row r="235" spans="1:9">
      <c r="A235">
        <f>CSV!B235</f>
        <v>0</v>
      </c>
      <c r="B235" s="13" t="e">
        <f>INDEX(Input!$D$2:$AC$500,
       MATCH(CPU_Formula!A235, Input!$J$2:$J$500, 0),
       MATCH("CPU model", Input!$D$1:$AC$1, 0))</f>
        <v>#N/A</v>
      </c>
      <c r="C235" s="13" t="str">
        <f t="shared" si="40"/>
        <v/>
      </c>
      <c r="D235" s="13" t="str">
        <f t="shared" si="41"/>
        <v/>
      </c>
      <c r="E235" s="13" t="str">
        <f t="shared" si="42"/>
        <v/>
      </c>
      <c r="F235" s="13" t="str">
        <f t="shared" si="43"/>
        <v/>
      </c>
      <c r="G235" s="13" t="str">
        <f t="shared" si="44"/>
        <v/>
      </c>
      <c r="H235" s="13" t="str">
        <f t="shared" si="45"/>
        <v/>
      </c>
      <c r="I235" t="str">
        <f t="shared" si="46"/>
        <v/>
      </c>
    </row>
    <row r="236" spans="1:9">
      <c r="A236">
        <f>CSV!B236</f>
        <v>0</v>
      </c>
      <c r="B236" s="13" t="e">
        <f>INDEX(Input!$D$2:$AC$500,
       MATCH(CPU_Formula!A236, Input!$J$2:$J$500, 0),
       MATCH("CPU model", Input!$D$1:$AC$1, 0))</f>
        <v>#N/A</v>
      </c>
      <c r="C236" s="13" t="str">
        <f t="shared" si="40"/>
        <v/>
      </c>
      <c r="D236" s="13" t="str">
        <f t="shared" si="41"/>
        <v/>
      </c>
      <c r="E236" s="13" t="str">
        <f t="shared" si="42"/>
        <v/>
      </c>
      <c r="F236" s="13" t="str">
        <f t="shared" si="43"/>
        <v/>
      </c>
      <c r="G236" s="13" t="str">
        <f t="shared" si="44"/>
        <v/>
      </c>
      <c r="H236" s="13" t="str">
        <f t="shared" si="45"/>
        <v/>
      </c>
      <c r="I236" t="str">
        <f t="shared" si="46"/>
        <v/>
      </c>
    </row>
    <row r="237" spans="1:9">
      <c r="A237">
        <f>CSV!B237</f>
        <v>0</v>
      </c>
      <c r="B237" s="13" t="e">
        <f>INDEX(Input!$D$2:$AC$500,
       MATCH(CPU_Formula!A237, Input!$J$2:$J$500, 0),
       MATCH("CPU model", Input!$D$1:$AC$1, 0))</f>
        <v>#N/A</v>
      </c>
      <c r="C237" s="13" t="str">
        <f t="shared" si="40"/>
        <v/>
      </c>
      <c r="D237" s="13" t="str">
        <f t="shared" si="41"/>
        <v/>
      </c>
      <c r="E237" s="13" t="str">
        <f t="shared" si="42"/>
        <v/>
      </c>
      <c r="F237" s="13" t="str">
        <f t="shared" si="43"/>
        <v/>
      </c>
      <c r="G237" s="13" t="str">
        <f t="shared" si="44"/>
        <v/>
      </c>
      <c r="H237" s="13" t="str">
        <f t="shared" si="45"/>
        <v/>
      </c>
      <c r="I237" t="str">
        <f t="shared" si="46"/>
        <v/>
      </c>
    </row>
    <row r="238" spans="1:9">
      <c r="A238">
        <f>CSV!B238</f>
        <v>0</v>
      </c>
      <c r="B238" s="13" t="e">
        <f>INDEX(Input!$D$2:$AC$500,
       MATCH(CPU_Formula!A238, Input!$J$2:$J$500, 0),
       MATCH("CPU model", Input!$D$1:$AC$1, 0))</f>
        <v>#N/A</v>
      </c>
      <c r="C238" s="13" t="str">
        <f t="shared" si="40"/>
        <v/>
      </c>
      <c r="D238" s="13" t="str">
        <f t="shared" si="41"/>
        <v/>
      </c>
      <c r="E238" s="13" t="str">
        <f t="shared" si="42"/>
        <v/>
      </c>
      <c r="F238" s="13" t="str">
        <f t="shared" si="43"/>
        <v/>
      </c>
      <c r="G238" s="13" t="str">
        <f t="shared" si="44"/>
        <v/>
      </c>
      <c r="H238" s="13" t="str">
        <f t="shared" si="45"/>
        <v/>
      </c>
      <c r="I238" t="str">
        <f t="shared" si="46"/>
        <v/>
      </c>
    </row>
    <row r="239" spans="1:9">
      <c r="A239">
        <f>CSV!B239</f>
        <v>0</v>
      </c>
      <c r="B239" s="13" t="e">
        <f>INDEX(Input!$D$2:$AC$500,
       MATCH(CPU_Formula!A239, Input!$J$2:$J$500, 0),
       MATCH("CPU model", Input!$D$1:$AC$1, 0))</f>
        <v>#N/A</v>
      </c>
      <c r="C239" s="13" t="str">
        <f t="shared" si="40"/>
        <v/>
      </c>
      <c r="D239" s="13" t="str">
        <f t="shared" si="41"/>
        <v/>
      </c>
      <c r="E239" s="13" t="str">
        <f t="shared" si="42"/>
        <v/>
      </c>
      <c r="F239" s="13" t="str">
        <f t="shared" si="43"/>
        <v/>
      </c>
      <c r="G239" s="13" t="str">
        <f t="shared" si="44"/>
        <v/>
      </c>
      <c r="H239" s="13" t="str">
        <f t="shared" si="45"/>
        <v/>
      </c>
      <c r="I239" t="str">
        <f t="shared" si="46"/>
        <v/>
      </c>
    </row>
    <row r="240" spans="1:9">
      <c r="A240">
        <f>CSV!B240</f>
        <v>0</v>
      </c>
      <c r="B240" s="13" t="e">
        <f>INDEX(Input!$D$2:$AC$500,
       MATCH(CPU_Formula!A240, Input!$J$2:$J$500, 0),
       MATCH("CPU model", Input!$D$1:$AC$1, 0))</f>
        <v>#N/A</v>
      </c>
      <c r="C240" s="13" t="str">
        <f t="shared" si="40"/>
        <v/>
      </c>
      <c r="D240" s="13" t="str">
        <f t="shared" si="41"/>
        <v/>
      </c>
      <c r="E240" s="13" t="str">
        <f t="shared" si="42"/>
        <v/>
      </c>
      <c r="F240" s="13" t="str">
        <f t="shared" si="43"/>
        <v/>
      </c>
      <c r="G240" s="13" t="str">
        <f t="shared" si="44"/>
        <v/>
      </c>
      <c r="H240" s="13" t="str">
        <f t="shared" si="45"/>
        <v/>
      </c>
      <c r="I240" t="str">
        <f t="shared" si="46"/>
        <v/>
      </c>
    </row>
    <row r="241" spans="1:9">
      <c r="A241">
        <f>CSV!B241</f>
        <v>0</v>
      </c>
      <c r="B241" s="13" t="e">
        <f>INDEX(Input!$D$2:$AC$500,
       MATCH(CPU_Formula!A241, Input!$J$2:$J$500, 0),
       MATCH("CPU model", Input!$D$1:$AC$1, 0))</f>
        <v>#N/A</v>
      </c>
      <c r="C241" s="13" t="str">
        <f t="shared" si="40"/>
        <v/>
      </c>
      <c r="D241" s="13" t="str">
        <f t="shared" si="41"/>
        <v/>
      </c>
      <c r="E241" s="13" t="str">
        <f t="shared" si="42"/>
        <v/>
      </c>
      <c r="F241" s="13" t="str">
        <f t="shared" si="43"/>
        <v/>
      </c>
      <c r="G241" s="13" t="str">
        <f t="shared" si="44"/>
        <v/>
      </c>
      <c r="H241" s="13" t="str">
        <f t="shared" si="45"/>
        <v/>
      </c>
      <c r="I241" t="str">
        <f t="shared" si="46"/>
        <v/>
      </c>
    </row>
    <row r="242" spans="1:9">
      <c r="A242">
        <f>CSV!B242</f>
        <v>0</v>
      </c>
      <c r="B242" s="13" t="e">
        <f>INDEX(Input!$D$2:$AC$500,
       MATCH(CPU_Formula!A242, Input!$J$2:$J$500, 0),
       MATCH("CPU model", Input!$D$1:$AC$1, 0))</f>
        <v>#N/A</v>
      </c>
      <c r="C242" s="13" t="str">
        <f t="shared" si="40"/>
        <v/>
      </c>
      <c r="D242" s="13" t="str">
        <f t="shared" si="41"/>
        <v/>
      </c>
      <c r="E242" s="13" t="str">
        <f t="shared" si="42"/>
        <v/>
      </c>
      <c r="F242" s="13" t="str">
        <f t="shared" si="43"/>
        <v/>
      </c>
      <c r="G242" s="13" t="str">
        <f t="shared" si="44"/>
        <v/>
      </c>
      <c r="H242" s="13" t="str">
        <f t="shared" si="45"/>
        <v/>
      </c>
      <c r="I242" t="str">
        <f t="shared" si="46"/>
        <v/>
      </c>
    </row>
    <row r="243" spans="1:9">
      <c r="A243">
        <f>CSV!B243</f>
        <v>0</v>
      </c>
      <c r="B243" s="13" t="e">
        <f>INDEX(Input!$D$2:$AC$500,
       MATCH(CPU_Formula!A243, Input!$J$2:$J$500, 0),
       MATCH("CPU model", Input!$D$1:$AC$1, 0))</f>
        <v>#N/A</v>
      </c>
      <c r="C243" s="13" t="str">
        <f t="shared" si="40"/>
        <v/>
      </c>
      <c r="D243" s="13" t="str">
        <f t="shared" si="41"/>
        <v/>
      </c>
      <c r="E243" s="13" t="str">
        <f t="shared" si="42"/>
        <v/>
      </c>
      <c r="F243" s="13" t="str">
        <f t="shared" si="43"/>
        <v/>
      </c>
      <c r="G243" s="13" t="str">
        <f t="shared" si="44"/>
        <v/>
      </c>
      <c r="H243" s="13" t="str">
        <f t="shared" si="45"/>
        <v/>
      </c>
      <c r="I243" t="str">
        <f t="shared" si="46"/>
        <v/>
      </c>
    </row>
    <row r="244" spans="1:9">
      <c r="A244">
        <f>CSV!B244</f>
        <v>0</v>
      </c>
      <c r="B244" s="13" t="e">
        <f>INDEX(Input!$D$2:$AC$500,
       MATCH(CPU_Formula!A244, Input!$J$2:$J$500, 0),
       MATCH("CPU model", Input!$D$1:$AC$1, 0))</f>
        <v>#N/A</v>
      </c>
      <c r="C244" s="13" t="str">
        <f t="shared" si="40"/>
        <v/>
      </c>
      <c r="D244" s="13" t="str">
        <f t="shared" si="41"/>
        <v/>
      </c>
      <c r="E244" s="13" t="str">
        <f t="shared" si="42"/>
        <v/>
      </c>
      <c r="F244" s="13" t="str">
        <f t="shared" si="43"/>
        <v/>
      </c>
      <c r="G244" s="13" t="str">
        <f t="shared" si="44"/>
        <v/>
      </c>
      <c r="H244" s="13" t="str">
        <f t="shared" si="45"/>
        <v/>
      </c>
      <c r="I244" t="str">
        <f t="shared" si="46"/>
        <v/>
      </c>
    </row>
    <row r="245" spans="1:9">
      <c r="A245">
        <f>CSV!B245</f>
        <v>0</v>
      </c>
      <c r="B245" s="13" t="e">
        <f>INDEX(Input!$D$2:$AC$500,
       MATCH(CPU_Formula!A245, Input!$J$2:$J$500, 0),
       MATCH("CPU model", Input!$D$1:$AC$1, 0))</f>
        <v>#N/A</v>
      </c>
      <c r="C245" s="13" t="str">
        <f t="shared" si="40"/>
        <v/>
      </c>
      <c r="D245" s="13" t="str">
        <f t="shared" si="41"/>
        <v/>
      </c>
      <c r="E245" s="13" t="str">
        <f t="shared" si="42"/>
        <v/>
      </c>
      <c r="F245" s="13" t="str">
        <f t="shared" si="43"/>
        <v/>
      </c>
      <c r="G245" s="13" t="str">
        <f t="shared" si="44"/>
        <v/>
      </c>
      <c r="H245" s="13" t="str">
        <f t="shared" si="45"/>
        <v/>
      </c>
      <c r="I245" t="str">
        <f t="shared" si="46"/>
        <v/>
      </c>
    </row>
    <row r="246" spans="1:9">
      <c r="A246">
        <f>CSV!B246</f>
        <v>0</v>
      </c>
      <c r="B246" s="13" t="e">
        <f>INDEX(Input!$D$2:$AC$500,
       MATCH(CPU_Formula!A246, Input!$J$2:$J$500, 0),
       MATCH("CPU model", Input!$D$1:$AC$1, 0))</f>
        <v>#N/A</v>
      </c>
      <c r="C246" s="13" t="str">
        <f t="shared" si="40"/>
        <v/>
      </c>
      <c r="D246" s="13" t="str">
        <f t="shared" si="41"/>
        <v/>
      </c>
      <c r="E246" s="13" t="str">
        <f t="shared" si="42"/>
        <v/>
      </c>
      <c r="F246" s="13" t="str">
        <f t="shared" si="43"/>
        <v/>
      </c>
      <c r="G246" s="13" t="str">
        <f t="shared" si="44"/>
        <v/>
      </c>
      <c r="H246" s="13" t="str">
        <f t="shared" si="45"/>
        <v/>
      </c>
      <c r="I246" t="str">
        <f t="shared" si="46"/>
        <v/>
      </c>
    </row>
    <row r="247" spans="1:9">
      <c r="A247">
        <f>CSV!B247</f>
        <v>0</v>
      </c>
      <c r="B247" s="13" t="e">
        <f>INDEX(Input!$D$2:$AC$500,
       MATCH(CPU_Formula!A247, Input!$J$2:$J$500, 0),
       MATCH("CPU model", Input!$D$1:$AC$1, 0))</f>
        <v>#N/A</v>
      </c>
      <c r="C247" s="13" t="str">
        <f t="shared" si="40"/>
        <v/>
      </c>
      <c r="D247" s="13" t="str">
        <f t="shared" si="41"/>
        <v/>
      </c>
      <c r="E247" s="13" t="str">
        <f t="shared" si="42"/>
        <v/>
      </c>
      <c r="F247" s="13" t="str">
        <f t="shared" si="43"/>
        <v/>
      </c>
      <c r="G247" s="13" t="str">
        <f t="shared" si="44"/>
        <v/>
      </c>
      <c r="H247" s="13" t="str">
        <f t="shared" si="45"/>
        <v/>
      </c>
      <c r="I247" t="str">
        <f t="shared" si="46"/>
        <v/>
      </c>
    </row>
    <row r="248" spans="1:9">
      <c r="A248">
        <f>CSV!B248</f>
        <v>0</v>
      </c>
      <c r="B248" s="13" t="e">
        <f>INDEX(Input!$D$2:$AC$500,
       MATCH(CPU_Formula!A248, Input!$J$2:$J$500, 0),
       MATCH("CPU model", Input!$D$1:$AC$1, 0))</f>
        <v>#N/A</v>
      </c>
      <c r="C248" s="13" t="str">
        <f t="shared" si="40"/>
        <v/>
      </c>
      <c r="D248" s="13" t="str">
        <f t="shared" si="41"/>
        <v/>
      </c>
      <c r="E248" s="13" t="str">
        <f t="shared" si="42"/>
        <v/>
      </c>
      <c r="F248" s="13" t="str">
        <f t="shared" si="43"/>
        <v/>
      </c>
      <c r="G248" s="13" t="str">
        <f t="shared" si="44"/>
        <v/>
      </c>
      <c r="H248" s="13" t="str">
        <f t="shared" si="45"/>
        <v/>
      </c>
      <c r="I248" t="str">
        <f t="shared" si="46"/>
        <v/>
      </c>
    </row>
    <row r="249" spans="1:9">
      <c r="A249">
        <f>CSV!B249</f>
        <v>0</v>
      </c>
      <c r="B249" s="13" t="e">
        <f>INDEX(Input!$D$2:$AC$500,
       MATCH(CPU_Formula!A249, Input!$J$2:$J$500, 0),
       MATCH("CPU model", Input!$D$1:$AC$1, 0))</f>
        <v>#N/A</v>
      </c>
      <c r="C249" s="13" t="str">
        <f t="shared" si="40"/>
        <v/>
      </c>
      <c r="D249" s="13" t="str">
        <f t="shared" si="41"/>
        <v/>
      </c>
      <c r="E249" s="13" t="str">
        <f t="shared" si="42"/>
        <v/>
      </c>
      <c r="F249" s="13" t="str">
        <f t="shared" si="43"/>
        <v/>
      </c>
      <c r="G249" s="13" t="str">
        <f t="shared" si="44"/>
        <v/>
      </c>
      <c r="H249" s="13" t="str">
        <f t="shared" si="45"/>
        <v/>
      </c>
      <c r="I249" t="str">
        <f t="shared" si="46"/>
        <v/>
      </c>
    </row>
    <row r="250" spans="1:9">
      <c r="A250">
        <f>CSV!B250</f>
        <v>0</v>
      </c>
      <c r="B250" s="13" t="e">
        <f>INDEX(Input!$D$2:$AC$500,
       MATCH(CPU_Formula!A250, Input!$J$2:$J$500, 0),
       MATCH("CPU model", Input!$D$1:$AC$1, 0))</f>
        <v>#N/A</v>
      </c>
      <c r="C250" s="13" t="str">
        <f t="shared" si="40"/>
        <v/>
      </c>
      <c r="D250" s="13" t="str">
        <f t="shared" si="41"/>
        <v/>
      </c>
      <c r="E250" s="13" t="str">
        <f t="shared" si="42"/>
        <v/>
      </c>
      <c r="F250" s="13" t="str">
        <f t="shared" si="43"/>
        <v/>
      </c>
      <c r="G250" s="13" t="str">
        <f t="shared" si="44"/>
        <v/>
      </c>
      <c r="H250" s="13" t="str">
        <f t="shared" si="45"/>
        <v/>
      </c>
      <c r="I250" t="str">
        <f t="shared" si="46"/>
        <v/>
      </c>
    </row>
    <row r="251" spans="1:9">
      <c r="A251">
        <f>CSV!B251</f>
        <v>0</v>
      </c>
      <c r="B251" s="13" t="e">
        <f>INDEX(Input!$D$2:$AC$500,
       MATCH(CPU_Formula!A251, Input!$J$2:$J$500, 0),
       MATCH("CPU model", Input!$D$1:$AC$1, 0))</f>
        <v>#N/A</v>
      </c>
      <c r="C251" s="13" t="str">
        <f t="shared" si="40"/>
        <v/>
      </c>
      <c r="D251" s="13" t="str">
        <f t="shared" si="41"/>
        <v/>
      </c>
      <c r="E251" s="13" t="str">
        <f t="shared" si="42"/>
        <v/>
      </c>
      <c r="F251" s="13" t="str">
        <f t="shared" si="43"/>
        <v/>
      </c>
      <c r="G251" s="13" t="str">
        <f t="shared" si="44"/>
        <v/>
      </c>
      <c r="H251" s="13" t="str">
        <f t="shared" si="45"/>
        <v/>
      </c>
      <c r="I251" t="str">
        <f t="shared" si="46"/>
        <v/>
      </c>
    </row>
    <row r="252" spans="1:9">
      <c r="A252">
        <f>CSV!B252</f>
        <v>0</v>
      </c>
      <c r="B252" s="13" t="e">
        <f>INDEX(Input!$D$2:$AC$500,
       MATCH(CPU_Formula!A252, Input!$J$2:$J$500, 0),
       MATCH("CPU model", Input!$D$1:$AC$1, 0))</f>
        <v>#N/A</v>
      </c>
      <c r="C252" s="13" t="str">
        <f t="shared" si="40"/>
        <v/>
      </c>
      <c r="D252" s="13" t="str">
        <f t="shared" si="41"/>
        <v/>
      </c>
      <c r="E252" s="13" t="str">
        <f t="shared" si="42"/>
        <v/>
      </c>
      <c r="F252" s="13" t="str">
        <f t="shared" si="43"/>
        <v/>
      </c>
      <c r="G252" s="13" t="str">
        <f t="shared" si="44"/>
        <v/>
      </c>
      <c r="H252" s="13" t="str">
        <f t="shared" si="45"/>
        <v/>
      </c>
      <c r="I252" t="str">
        <f t="shared" si="46"/>
        <v/>
      </c>
    </row>
    <row r="253" spans="1:9">
      <c r="A253">
        <f>CSV!B253</f>
        <v>0</v>
      </c>
      <c r="B253" s="13" t="e">
        <f>INDEX(Input!$D$2:$AC$500,
       MATCH(CPU_Formula!A253, Input!$J$2:$J$500, 0),
       MATCH("CPU model", Input!$D$1:$AC$1, 0))</f>
        <v>#N/A</v>
      </c>
      <c r="C253" s="13" t="str">
        <f t="shared" si="40"/>
        <v/>
      </c>
      <c r="D253" s="13" t="str">
        <f t="shared" si="41"/>
        <v/>
      </c>
      <c r="E253" s="13" t="str">
        <f t="shared" si="42"/>
        <v/>
      </c>
      <c r="F253" s="13" t="str">
        <f t="shared" si="43"/>
        <v/>
      </c>
      <c r="G253" s="13" t="str">
        <f t="shared" si="44"/>
        <v/>
      </c>
      <c r="H253" s="13" t="str">
        <f t="shared" si="45"/>
        <v/>
      </c>
      <c r="I253" t="str">
        <f t="shared" si="46"/>
        <v/>
      </c>
    </row>
    <row r="254" spans="1:9">
      <c r="A254">
        <f>CSV!B254</f>
        <v>0</v>
      </c>
      <c r="B254" s="13" t="e">
        <f>INDEX(Input!$D$2:$AC$500,
       MATCH(CPU_Formula!A254, Input!$J$2:$J$500, 0),
       MATCH("CPU model", Input!$D$1:$AC$1, 0))</f>
        <v>#N/A</v>
      </c>
      <c r="C254" s="13" t="str">
        <f t="shared" si="40"/>
        <v/>
      </c>
      <c r="D254" s="13" t="str">
        <f t="shared" si="41"/>
        <v/>
      </c>
      <c r="E254" s="13" t="str">
        <f t="shared" si="42"/>
        <v/>
      </c>
      <c r="F254" s="13" t="str">
        <f t="shared" si="43"/>
        <v/>
      </c>
      <c r="G254" s="13" t="str">
        <f t="shared" si="44"/>
        <v/>
      </c>
      <c r="H254" s="13" t="str">
        <f t="shared" si="45"/>
        <v/>
      </c>
      <c r="I254" t="str">
        <f t="shared" si="46"/>
        <v/>
      </c>
    </row>
    <row r="255" spans="1:9">
      <c r="A255">
        <f>CSV!B255</f>
        <v>0</v>
      </c>
      <c r="B255" s="13" t="e">
        <f>INDEX(Input!$D$2:$AC$500,
       MATCH(CPU_Formula!A255, Input!$J$2:$J$500, 0),
       MATCH("CPU model", Input!$D$1:$AC$1, 0))</f>
        <v>#N/A</v>
      </c>
      <c r="C255" s="13" t="str">
        <f t="shared" si="40"/>
        <v/>
      </c>
      <c r="D255" s="13" t="str">
        <f t="shared" si="41"/>
        <v/>
      </c>
      <c r="E255" s="13" t="str">
        <f t="shared" si="42"/>
        <v/>
      </c>
      <c r="F255" s="13" t="str">
        <f t="shared" si="43"/>
        <v/>
      </c>
      <c r="G255" s="13" t="str">
        <f t="shared" si="44"/>
        <v/>
      </c>
      <c r="H255" s="13" t="str">
        <f t="shared" si="45"/>
        <v/>
      </c>
      <c r="I255" t="str">
        <f t="shared" si="46"/>
        <v/>
      </c>
    </row>
    <row r="256" spans="1:9">
      <c r="A256">
        <f>CSV!B256</f>
        <v>0</v>
      </c>
      <c r="B256" s="13" t="e">
        <f>INDEX(Input!$D$2:$AC$500,
       MATCH(CPU_Formula!A256, Input!$J$2:$J$500, 0),
       MATCH("CPU model", Input!$D$1:$AC$1, 0))</f>
        <v>#N/A</v>
      </c>
      <c r="C256" s="13" t="str">
        <f t="shared" si="40"/>
        <v/>
      </c>
      <c r="D256" s="13" t="str">
        <f t="shared" si="41"/>
        <v/>
      </c>
      <c r="E256" s="13" t="str">
        <f t="shared" si="42"/>
        <v/>
      </c>
      <c r="F256" s="13" t="str">
        <f t="shared" si="43"/>
        <v/>
      </c>
      <c r="G256" s="13" t="str">
        <f t="shared" si="44"/>
        <v/>
      </c>
      <c r="H256" s="13" t="str">
        <f t="shared" si="45"/>
        <v/>
      </c>
      <c r="I256" t="str">
        <f t="shared" si="46"/>
        <v/>
      </c>
    </row>
    <row r="257" spans="1:9">
      <c r="A257">
        <f>CSV!B257</f>
        <v>0</v>
      </c>
      <c r="B257" s="13" t="e">
        <f>INDEX(Input!$D$2:$AC$500,
       MATCH(CPU_Formula!A257, Input!$J$2:$J$500, 0),
       MATCH("CPU model", Input!$D$1:$AC$1, 0))</f>
        <v>#N/A</v>
      </c>
      <c r="C257" s="13" t="str">
        <f t="shared" si="40"/>
        <v/>
      </c>
      <c r="D257" s="13" t="str">
        <f t="shared" si="41"/>
        <v/>
      </c>
      <c r="E257" s="13" t="str">
        <f t="shared" si="42"/>
        <v/>
      </c>
      <c r="F257" s="13" t="str">
        <f t="shared" si="43"/>
        <v/>
      </c>
      <c r="G257" s="13" t="str">
        <f t="shared" si="44"/>
        <v/>
      </c>
      <c r="H257" s="13" t="str">
        <f t="shared" si="45"/>
        <v/>
      </c>
      <c r="I257" t="str">
        <f t="shared" si="46"/>
        <v/>
      </c>
    </row>
    <row r="258" spans="1:9">
      <c r="A258">
        <f>CSV!B258</f>
        <v>0</v>
      </c>
      <c r="B258" s="13" t="e">
        <f>INDEX(Input!$D$2:$AC$500,
       MATCH(CPU_Formula!A258, Input!$J$2:$J$500, 0),
       MATCH("CPU model", Input!$D$1:$AC$1, 0))</f>
        <v>#N/A</v>
      </c>
      <c r="C258" s="13" t="str">
        <f t="shared" si="40"/>
        <v/>
      </c>
      <c r="D258" s="13" t="str">
        <f t="shared" si="41"/>
        <v/>
      </c>
      <c r="E258" s="13" t="str">
        <f t="shared" si="42"/>
        <v/>
      </c>
      <c r="F258" s="13" t="str">
        <f t="shared" si="43"/>
        <v/>
      </c>
      <c r="G258" s="13" t="str">
        <f t="shared" si="44"/>
        <v/>
      </c>
      <c r="H258" s="13" t="str">
        <f t="shared" si="45"/>
        <v/>
      </c>
      <c r="I258" t="str">
        <f t="shared" si="46"/>
        <v/>
      </c>
    </row>
    <row r="259" spans="1:9">
      <c r="A259">
        <f>CSV!B259</f>
        <v>0</v>
      </c>
      <c r="B259" s="13" t="e">
        <f>INDEX(Input!$D$2:$AC$500,
       MATCH(CPU_Formula!A259, Input!$J$2:$J$500, 0),
       MATCH("CPU model", Input!$D$1:$AC$1, 0))</f>
        <v>#N/A</v>
      </c>
      <c r="C259" s="13" t="str">
        <f t="shared" si="40"/>
        <v/>
      </c>
      <c r="D259" s="13" t="str">
        <f t="shared" si="41"/>
        <v/>
      </c>
      <c r="E259" s="13" t="str">
        <f t="shared" si="42"/>
        <v/>
      </c>
      <c r="F259" s="13" t="str">
        <f t="shared" si="43"/>
        <v/>
      </c>
      <c r="G259" s="13" t="str">
        <f t="shared" si="44"/>
        <v/>
      </c>
      <c r="H259" s="13" t="str">
        <f t="shared" si="45"/>
        <v/>
      </c>
      <c r="I259" t="str">
        <f t="shared" si="46"/>
        <v/>
      </c>
    </row>
    <row r="260" spans="1:9">
      <c r="A260">
        <f>CSV!B260</f>
        <v>0</v>
      </c>
      <c r="B260" s="13" t="e">
        <f>INDEX(Input!$D$2:$AC$500,
       MATCH(CPU_Formula!A260, Input!$J$2:$J$500, 0),
       MATCH("CPU model", Input!$D$1:$AC$1, 0))</f>
        <v>#N/A</v>
      </c>
      <c r="C260" s="13" t="str">
        <f t="shared" si="40"/>
        <v/>
      </c>
      <c r="D260" s="13" t="str">
        <f t="shared" si="41"/>
        <v/>
      </c>
      <c r="E260" s="13" t="str">
        <f t="shared" si="42"/>
        <v/>
      </c>
      <c r="F260" s="13" t="str">
        <f t="shared" si="43"/>
        <v/>
      </c>
      <c r="G260" s="13" t="str">
        <f t="shared" si="44"/>
        <v/>
      </c>
      <c r="H260" s="13" t="str">
        <f t="shared" si="45"/>
        <v/>
      </c>
      <c r="I260" t="str">
        <f t="shared" si="46"/>
        <v/>
      </c>
    </row>
    <row r="261" spans="1:9">
      <c r="A261">
        <f>CSV!B261</f>
        <v>0</v>
      </c>
      <c r="B261" s="13" t="e">
        <f>INDEX(Input!$D$2:$AC$500,
       MATCH(CPU_Formula!A261, Input!$J$2:$J$500, 0),
       MATCH("CPU model", Input!$D$1:$AC$1, 0))</f>
        <v>#N/A</v>
      </c>
      <c r="C261" s="13" t="str">
        <f t="shared" si="40"/>
        <v/>
      </c>
      <c r="D261" s="13" t="str">
        <f t="shared" si="41"/>
        <v/>
      </c>
      <c r="E261" s="13" t="str">
        <f t="shared" si="42"/>
        <v/>
      </c>
      <c r="F261" s="13" t="str">
        <f t="shared" si="43"/>
        <v/>
      </c>
      <c r="G261" s="13" t="str">
        <f t="shared" si="44"/>
        <v/>
      </c>
      <c r="H261" s="13" t="str">
        <f t="shared" si="45"/>
        <v/>
      </c>
      <c r="I261" t="str">
        <f t="shared" si="46"/>
        <v/>
      </c>
    </row>
    <row r="262" spans="1:9">
      <c r="A262">
        <f>CSV!B262</f>
        <v>0</v>
      </c>
      <c r="B262" s="13" t="e">
        <f>INDEX(Input!$D$2:$AC$500,
       MATCH(CPU_Formula!A262, Input!$J$2:$J$500, 0),
       MATCH("CPU model", Input!$D$1:$AC$1, 0))</f>
        <v>#N/A</v>
      </c>
      <c r="C262" s="13" t="str">
        <f t="shared" si="40"/>
        <v/>
      </c>
      <c r="D262" s="13" t="str">
        <f t="shared" si="41"/>
        <v/>
      </c>
      <c r="E262" s="13" t="str">
        <f t="shared" si="42"/>
        <v/>
      </c>
      <c r="F262" s="13" t="str">
        <f t="shared" si="43"/>
        <v/>
      </c>
      <c r="G262" s="13" t="str">
        <f t="shared" si="44"/>
        <v/>
      </c>
      <c r="H262" s="13" t="str">
        <f t="shared" si="45"/>
        <v/>
      </c>
      <c r="I262" t="str">
        <f t="shared" si="46"/>
        <v/>
      </c>
    </row>
    <row r="263" spans="1:9">
      <c r="A263">
        <f>CSV!B263</f>
        <v>0</v>
      </c>
      <c r="B263" s="13" t="e">
        <f>INDEX(Input!$D$2:$AC$500,
       MATCH(CPU_Formula!A263, Input!$J$2:$J$500, 0),
       MATCH("CPU model", Input!$D$1:$AC$1, 0))</f>
        <v>#N/A</v>
      </c>
      <c r="C263" s="13" t="str">
        <f t="shared" si="40"/>
        <v/>
      </c>
      <c r="D263" s="13" t="str">
        <f t="shared" si="41"/>
        <v/>
      </c>
      <c r="E263" s="13" t="str">
        <f t="shared" si="42"/>
        <v/>
      </c>
      <c r="F263" s="13" t="str">
        <f t="shared" si="43"/>
        <v/>
      </c>
      <c r="G263" s="13" t="str">
        <f t="shared" si="44"/>
        <v/>
      </c>
      <c r="H263" s="13" t="str">
        <f t="shared" si="45"/>
        <v/>
      </c>
      <c r="I263" t="str">
        <f t="shared" si="46"/>
        <v/>
      </c>
    </row>
    <row r="264" spans="1:9">
      <c r="A264">
        <f>CSV!B264</f>
        <v>0</v>
      </c>
      <c r="B264" s="13" t="e">
        <f>INDEX(Input!$D$2:$AC$500,
       MATCH(CPU_Formula!A264, Input!$J$2:$J$500, 0),
       MATCH("CPU model", Input!$D$1:$AC$1, 0))</f>
        <v>#N/A</v>
      </c>
      <c r="C264" s="13" t="str">
        <f t="shared" si="40"/>
        <v/>
      </c>
      <c r="D264" s="13" t="str">
        <f t="shared" si="41"/>
        <v/>
      </c>
      <c r="E264" s="13" t="str">
        <f t="shared" si="42"/>
        <v/>
      </c>
      <c r="F264" s="13" t="str">
        <f t="shared" si="43"/>
        <v/>
      </c>
      <c r="G264" s="13" t="str">
        <f t="shared" si="44"/>
        <v/>
      </c>
      <c r="H264" s="13" t="str">
        <f t="shared" si="45"/>
        <v/>
      </c>
      <c r="I264" t="str">
        <f t="shared" si="46"/>
        <v/>
      </c>
    </row>
    <row r="265" spans="1:9">
      <c r="A265">
        <f>CSV!B265</f>
        <v>0</v>
      </c>
      <c r="B265" s="13" t="e">
        <f>INDEX(Input!$D$2:$AC$500,
       MATCH(CPU_Formula!A265, Input!$J$2:$J$500, 0),
       MATCH("CPU model", Input!$D$1:$AC$1, 0))</f>
        <v>#N/A</v>
      </c>
      <c r="C265" s="13" t="str">
        <f t="shared" si="40"/>
        <v/>
      </c>
      <c r="D265" s="13" t="str">
        <f t="shared" si="41"/>
        <v/>
      </c>
      <c r="E265" s="13" t="str">
        <f t="shared" si="42"/>
        <v/>
      </c>
      <c r="F265" s="13" t="str">
        <f t="shared" si="43"/>
        <v/>
      </c>
      <c r="G265" s="13" t="str">
        <f t="shared" si="44"/>
        <v/>
      </c>
      <c r="H265" s="13" t="str">
        <f t="shared" si="45"/>
        <v/>
      </c>
      <c r="I265" t="str">
        <f t="shared" si="46"/>
        <v/>
      </c>
    </row>
    <row r="266" spans="1:9">
      <c r="A266">
        <f>CSV!B266</f>
        <v>0</v>
      </c>
      <c r="B266" s="13" t="e">
        <f>INDEX(Input!$D$2:$AC$500,
       MATCH(CPU_Formula!A266, Input!$J$2:$J$500, 0),
       MATCH("CPU model", Input!$D$1:$AC$1, 0))</f>
        <v>#N/A</v>
      </c>
      <c r="C266" s="13" t="str">
        <f t="shared" si="40"/>
        <v/>
      </c>
      <c r="D266" s="13" t="str">
        <f t="shared" si="41"/>
        <v/>
      </c>
      <c r="E266" s="13" t="str">
        <f t="shared" si="42"/>
        <v/>
      </c>
      <c r="F266" s="13" t="str">
        <f t="shared" si="43"/>
        <v/>
      </c>
      <c r="G266" s="13" t="str">
        <f t="shared" si="44"/>
        <v/>
      </c>
      <c r="H266" s="13" t="str">
        <f t="shared" si="45"/>
        <v/>
      </c>
      <c r="I266" t="str">
        <f t="shared" si="46"/>
        <v/>
      </c>
    </row>
    <row r="267" spans="1:9">
      <c r="A267">
        <f>CSV!B267</f>
        <v>0</v>
      </c>
      <c r="B267" s="13" t="e">
        <f>INDEX(Input!$D$2:$AC$500,
       MATCH(CPU_Formula!A267, Input!$J$2:$J$500, 0),
       MATCH("CPU model", Input!$D$1:$AC$1, 0))</f>
        <v>#N/A</v>
      </c>
      <c r="C267" s="13" t="str">
        <f t="shared" si="40"/>
        <v/>
      </c>
      <c r="D267" s="13" t="str">
        <f t="shared" si="41"/>
        <v/>
      </c>
      <c r="E267" s="13" t="str">
        <f t="shared" si="42"/>
        <v/>
      </c>
      <c r="F267" s="13" t="str">
        <f t="shared" si="43"/>
        <v/>
      </c>
      <c r="G267" s="13" t="str">
        <f t="shared" si="44"/>
        <v/>
      </c>
      <c r="H267" s="13" t="str">
        <f t="shared" si="45"/>
        <v/>
      </c>
      <c r="I267" t="str">
        <f t="shared" si="46"/>
        <v/>
      </c>
    </row>
    <row r="268" spans="1:9">
      <c r="A268">
        <f>CSV!B268</f>
        <v>0</v>
      </c>
      <c r="B268" s="13" t="e">
        <f>INDEX(Input!$D$2:$AC$500,
       MATCH(CPU_Formula!A268, Input!$J$2:$J$500, 0),
       MATCH("CPU model", Input!$D$1:$AC$1, 0))</f>
        <v>#N/A</v>
      </c>
      <c r="C268" s="13" t="str">
        <f t="shared" si="40"/>
        <v/>
      </c>
      <c r="D268" s="13" t="str">
        <f t="shared" si="41"/>
        <v/>
      </c>
      <c r="E268" s="13" t="str">
        <f t="shared" si="42"/>
        <v/>
      </c>
      <c r="F268" s="13" t="str">
        <f t="shared" si="43"/>
        <v/>
      </c>
      <c r="G268" s="13" t="str">
        <f t="shared" si="44"/>
        <v/>
      </c>
      <c r="H268" s="13" t="str">
        <f t="shared" si="45"/>
        <v/>
      </c>
      <c r="I268" t="str">
        <f t="shared" si="46"/>
        <v/>
      </c>
    </row>
    <row r="269" spans="1:9">
      <c r="A269">
        <f>CSV!B269</f>
        <v>0</v>
      </c>
      <c r="B269" s="13" t="e">
        <f>INDEX(Input!$D$2:$AC$500,
       MATCH(CPU_Formula!A269, Input!$J$2:$J$500, 0),
       MATCH("CPU model", Input!$D$1:$AC$1, 0))</f>
        <v>#N/A</v>
      </c>
      <c r="C269" s="13" t="str">
        <f t="shared" si="40"/>
        <v/>
      </c>
      <c r="D269" s="13" t="str">
        <f t="shared" si="41"/>
        <v/>
      </c>
      <c r="E269" s="13" t="str">
        <f t="shared" si="42"/>
        <v/>
      </c>
      <c r="F269" s="13" t="str">
        <f t="shared" si="43"/>
        <v/>
      </c>
      <c r="G269" s="13" t="str">
        <f t="shared" si="44"/>
        <v/>
      </c>
      <c r="H269" s="13" t="str">
        <f t="shared" si="45"/>
        <v/>
      </c>
      <c r="I269" t="str">
        <f t="shared" si="46"/>
        <v/>
      </c>
    </row>
    <row r="270" spans="1:9">
      <c r="A270">
        <f>CSV!B270</f>
        <v>0</v>
      </c>
      <c r="B270" s="13" t="e">
        <f>INDEX(Input!$D$2:$AC$500,
       MATCH(CPU_Formula!A270, Input!$J$2:$J$500, 0),
       MATCH("CPU model", Input!$D$1:$AC$1, 0))</f>
        <v>#N/A</v>
      </c>
      <c r="C270" s="13" t="str">
        <f t="shared" si="40"/>
        <v/>
      </c>
      <c r="D270" s="13" t="str">
        <f t="shared" si="41"/>
        <v/>
      </c>
      <c r="E270" s="13" t="str">
        <f t="shared" si="42"/>
        <v/>
      </c>
      <c r="F270" s="13" t="str">
        <f t="shared" si="43"/>
        <v/>
      </c>
      <c r="G270" s="13" t="str">
        <f t="shared" si="44"/>
        <v/>
      </c>
      <c r="H270" s="13" t="str">
        <f t="shared" si="45"/>
        <v/>
      </c>
      <c r="I270" t="str">
        <f t="shared" si="46"/>
        <v/>
      </c>
    </row>
    <row r="271" spans="1:9">
      <c r="A271">
        <f>CSV!B271</f>
        <v>0</v>
      </c>
      <c r="B271" s="13" t="e">
        <f>INDEX(Input!$D$2:$AC$500,
       MATCH(CPU_Formula!A271, Input!$J$2:$J$500, 0),
       MATCH("CPU model", Input!$D$1:$AC$1, 0))</f>
        <v>#N/A</v>
      </c>
      <c r="C271" s="13" t="str">
        <f t="shared" si="40"/>
        <v/>
      </c>
      <c r="D271" s="13" t="str">
        <f t="shared" si="41"/>
        <v/>
      </c>
      <c r="E271" s="13" t="str">
        <f t="shared" si="42"/>
        <v/>
      </c>
      <c r="F271" s="13" t="str">
        <f t="shared" si="43"/>
        <v/>
      </c>
      <c r="G271" s="13" t="str">
        <f t="shared" si="44"/>
        <v/>
      </c>
      <c r="H271" s="13" t="str">
        <f t="shared" si="45"/>
        <v/>
      </c>
      <c r="I271" t="str">
        <f t="shared" si="46"/>
        <v/>
      </c>
    </row>
    <row r="272" spans="1:9">
      <c r="A272">
        <f>CSV!B272</f>
        <v>0</v>
      </c>
      <c r="B272" s="13" t="e">
        <f>INDEX(Input!$D$2:$AC$500,
       MATCH(CPU_Formula!A272, Input!$J$2:$J$500, 0),
       MATCH("CPU model", Input!$D$1:$AC$1, 0))</f>
        <v>#N/A</v>
      </c>
      <c r="C272" s="13" t="str">
        <f t="shared" si="40"/>
        <v/>
      </c>
      <c r="D272" s="13" t="str">
        <f t="shared" si="41"/>
        <v/>
      </c>
      <c r="E272" s="13" t="str">
        <f t="shared" si="42"/>
        <v/>
      </c>
      <c r="F272" s="13" t="str">
        <f t="shared" si="43"/>
        <v/>
      </c>
      <c r="G272" s="13" t="str">
        <f t="shared" si="44"/>
        <v/>
      </c>
      <c r="H272" s="13" t="str">
        <f t="shared" si="45"/>
        <v/>
      </c>
      <c r="I272" t="str">
        <f t="shared" si="46"/>
        <v/>
      </c>
    </row>
    <row r="273" spans="1:9">
      <c r="A273">
        <f>CSV!B273</f>
        <v>0</v>
      </c>
      <c r="B273" s="13" t="e">
        <f>INDEX(Input!$D$2:$AC$500,
       MATCH(CPU_Formula!A273, Input!$J$2:$J$500, 0),
       MATCH("CPU model", Input!$D$1:$AC$1, 0))</f>
        <v>#N/A</v>
      </c>
      <c r="C273" s="13" t="str">
        <f t="shared" si="40"/>
        <v/>
      </c>
      <c r="D273" s="13" t="str">
        <f t="shared" si="41"/>
        <v/>
      </c>
      <c r="E273" s="13" t="str">
        <f t="shared" si="42"/>
        <v/>
      </c>
      <c r="F273" s="13" t="str">
        <f t="shared" si="43"/>
        <v/>
      </c>
      <c r="G273" s="13" t="str">
        <f t="shared" si="44"/>
        <v/>
      </c>
      <c r="H273" s="13" t="str">
        <f t="shared" si="45"/>
        <v/>
      </c>
      <c r="I273" t="str">
        <f t="shared" si="46"/>
        <v/>
      </c>
    </row>
    <row r="274" spans="1:9">
      <c r="A274">
        <f>CSV!B274</f>
        <v>0</v>
      </c>
      <c r="B274" s="13" t="e">
        <f>INDEX(Input!$D$2:$AC$500,
       MATCH(CPU_Formula!A274, Input!$J$2:$J$500, 0),
       MATCH("CPU model", Input!$D$1:$AC$1, 0))</f>
        <v>#N/A</v>
      </c>
      <c r="C274" s="13" t="str">
        <f t="shared" si="40"/>
        <v/>
      </c>
      <c r="D274" s="13" t="str">
        <f t="shared" si="41"/>
        <v/>
      </c>
      <c r="E274" s="13" t="str">
        <f t="shared" si="42"/>
        <v/>
      </c>
      <c r="F274" s="13" t="str">
        <f t="shared" si="43"/>
        <v/>
      </c>
      <c r="G274" s="13" t="str">
        <f t="shared" si="44"/>
        <v/>
      </c>
      <c r="H274" s="13" t="str">
        <f t="shared" si="45"/>
        <v/>
      </c>
      <c r="I274" t="str">
        <f t="shared" si="46"/>
        <v/>
      </c>
    </row>
    <row r="275" spans="1:9">
      <c r="A275">
        <f>CSV!B275</f>
        <v>0</v>
      </c>
      <c r="B275" s="13" t="e">
        <f>INDEX(Input!$D$2:$AC$500,
       MATCH(CPU_Formula!A275, Input!$J$2:$J$500, 0),
       MATCH("CPU model", Input!$D$1:$AC$1, 0))</f>
        <v>#N/A</v>
      </c>
      <c r="C275" s="13" t="str">
        <f t="shared" si="40"/>
        <v/>
      </c>
      <c r="D275" s="13" t="str">
        <f t="shared" si="41"/>
        <v/>
      </c>
      <c r="E275" s="13" t="str">
        <f t="shared" si="42"/>
        <v/>
      </c>
      <c r="F275" s="13" t="str">
        <f t="shared" si="43"/>
        <v/>
      </c>
      <c r="G275" s="13" t="str">
        <f t="shared" si="44"/>
        <v/>
      </c>
      <c r="H275" s="13" t="str">
        <f t="shared" si="45"/>
        <v/>
      </c>
      <c r="I275" t="str">
        <f t="shared" si="46"/>
        <v/>
      </c>
    </row>
    <row r="276" spans="1:9">
      <c r="A276">
        <f>CSV!B276</f>
        <v>0</v>
      </c>
      <c r="B276" s="13" t="e">
        <f>INDEX(Input!$D$2:$AC$500,
       MATCH(CPU_Formula!A276, Input!$J$2:$J$500, 0),
       MATCH("CPU model", Input!$D$1:$AC$1, 0))</f>
        <v>#N/A</v>
      </c>
      <c r="C276" s="13" t="str">
        <f t="shared" si="40"/>
        <v/>
      </c>
      <c r="D276" s="13" t="str">
        <f t="shared" si="41"/>
        <v/>
      </c>
      <c r="E276" s="13" t="str">
        <f t="shared" si="42"/>
        <v/>
      </c>
      <c r="F276" s="13" t="str">
        <f t="shared" si="43"/>
        <v/>
      </c>
      <c r="G276" s="13" t="str">
        <f t="shared" si="44"/>
        <v/>
      </c>
      <c r="H276" s="13" t="str">
        <f t="shared" si="45"/>
        <v/>
      </c>
      <c r="I276" t="str">
        <f t="shared" si="46"/>
        <v/>
      </c>
    </row>
    <row r="277" spans="1:9">
      <c r="A277">
        <f>CSV!B277</f>
        <v>0</v>
      </c>
      <c r="B277" s="13" t="e">
        <f>INDEX(Input!$D$2:$AC$500,
       MATCH(CPU_Formula!A277, Input!$J$2:$J$500, 0),
       MATCH("CPU model", Input!$D$1:$AC$1, 0))</f>
        <v>#N/A</v>
      </c>
      <c r="C277" s="13" t="str">
        <f t="shared" si="40"/>
        <v/>
      </c>
      <c r="D277" s="13" t="str">
        <f t="shared" si="41"/>
        <v/>
      </c>
      <c r="E277" s="13" t="str">
        <f t="shared" si="42"/>
        <v/>
      </c>
      <c r="F277" s="13" t="str">
        <f t="shared" si="43"/>
        <v/>
      </c>
      <c r="G277" s="13" t="str">
        <f t="shared" si="44"/>
        <v/>
      </c>
      <c r="H277" s="13" t="str">
        <f t="shared" si="45"/>
        <v/>
      </c>
      <c r="I277" t="str">
        <f t="shared" si="46"/>
        <v/>
      </c>
    </row>
    <row r="278" spans="1:9">
      <c r="A278">
        <f>CSV!B278</f>
        <v>0</v>
      </c>
      <c r="B278" s="13" t="e">
        <f>INDEX(Input!$D$2:$AC$500,
       MATCH(CPU_Formula!A278, Input!$J$2:$J$500, 0),
       MATCH("CPU model", Input!$D$1:$AC$1, 0))</f>
        <v>#N/A</v>
      </c>
      <c r="C278" s="13" t="str">
        <f t="shared" si="40"/>
        <v/>
      </c>
      <c r="D278" s="13" t="str">
        <f t="shared" si="41"/>
        <v/>
      </c>
      <c r="E278" s="13" t="str">
        <f t="shared" si="42"/>
        <v/>
      </c>
      <c r="F278" s="13" t="str">
        <f t="shared" si="43"/>
        <v/>
      </c>
      <c r="G278" s="13" t="str">
        <f t="shared" si="44"/>
        <v/>
      </c>
      <c r="H278" s="13" t="str">
        <f t="shared" si="45"/>
        <v/>
      </c>
      <c r="I278" t="str">
        <f t="shared" si="46"/>
        <v/>
      </c>
    </row>
    <row r="279" spans="1:9">
      <c r="A279">
        <f>CSV!B279</f>
        <v>0</v>
      </c>
      <c r="B279" s="13" t="e">
        <f>INDEX(Input!$D$2:$AC$500,
       MATCH(CPU_Formula!A279, Input!$J$2:$J$500, 0),
       MATCH("CPU model", Input!$D$1:$AC$1, 0))</f>
        <v>#N/A</v>
      </c>
      <c r="C279" s="13" t="str">
        <f t="shared" si="40"/>
        <v/>
      </c>
      <c r="D279" s="13" t="str">
        <f t="shared" si="41"/>
        <v/>
      </c>
      <c r="E279" s="13" t="str">
        <f t="shared" si="42"/>
        <v/>
      </c>
      <c r="F279" s="13" t="str">
        <f t="shared" si="43"/>
        <v/>
      </c>
      <c r="G279" s="13" t="str">
        <f t="shared" si="44"/>
        <v/>
      </c>
      <c r="H279" s="13" t="str">
        <f t="shared" si="45"/>
        <v/>
      </c>
      <c r="I279" t="str">
        <f t="shared" si="46"/>
        <v/>
      </c>
    </row>
    <row r="280" spans="1:9">
      <c r="A280">
        <f>CSV!B280</f>
        <v>0</v>
      </c>
      <c r="B280" s="13" t="e">
        <f>INDEX(Input!$D$2:$AC$500,
       MATCH(CPU_Formula!A280, Input!$J$2:$J$500, 0),
       MATCH("CPU model", Input!$D$1:$AC$1, 0))</f>
        <v>#N/A</v>
      </c>
      <c r="C280" s="13" t="str">
        <f t="shared" si="40"/>
        <v/>
      </c>
      <c r="D280" s="13" t="str">
        <f t="shared" si="41"/>
        <v/>
      </c>
      <c r="E280" s="13" t="str">
        <f t="shared" si="42"/>
        <v/>
      </c>
      <c r="F280" s="13" t="str">
        <f t="shared" si="43"/>
        <v/>
      </c>
      <c r="G280" s="13" t="str">
        <f t="shared" si="44"/>
        <v/>
      </c>
      <c r="H280" s="13" t="str">
        <f t="shared" si="45"/>
        <v/>
      </c>
      <c r="I280" t="str">
        <f t="shared" si="46"/>
        <v/>
      </c>
    </row>
    <row r="281" spans="1:9">
      <c r="A281">
        <f>CSV!B281</f>
        <v>0</v>
      </c>
      <c r="B281" s="13" t="e">
        <f>INDEX(Input!$D$2:$AC$500,
       MATCH(CPU_Formula!A281, Input!$J$2:$J$500, 0),
       MATCH("CPU model", Input!$D$1:$AC$1, 0))</f>
        <v>#N/A</v>
      </c>
      <c r="C281" s="13" t="str">
        <f t="shared" si="40"/>
        <v/>
      </c>
      <c r="D281" s="13" t="str">
        <f t="shared" si="41"/>
        <v/>
      </c>
      <c r="E281" s="13" t="str">
        <f t="shared" si="42"/>
        <v/>
      </c>
      <c r="F281" s="13" t="str">
        <f t="shared" si="43"/>
        <v/>
      </c>
      <c r="G281" s="13" t="str">
        <f t="shared" si="44"/>
        <v/>
      </c>
      <c r="H281" s="13" t="str">
        <f t="shared" si="45"/>
        <v/>
      </c>
      <c r="I281" t="str">
        <f t="shared" si="46"/>
        <v/>
      </c>
    </row>
    <row r="282" spans="1:9">
      <c r="A282">
        <f>CSV!B282</f>
        <v>0</v>
      </c>
      <c r="B282" s="13" t="e">
        <f>INDEX(Input!$D$2:$AC$500,
       MATCH(CPU_Formula!A282, Input!$J$2:$J$500, 0),
       MATCH("CPU model", Input!$D$1:$AC$1, 0))</f>
        <v>#N/A</v>
      </c>
      <c r="C282" s="13" t="str">
        <f t="shared" si="40"/>
        <v/>
      </c>
      <c r="D282" s="13" t="str">
        <f t="shared" si="41"/>
        <v/>
      </c>
      <c r="E282" s="13" t="str">
        <f t="shared" si="42"/>
        <v/>
      </c>
      <c r="F282" s="13" t="str">
        <f t="shared" si="43"/>
        <v/>
      </c>
      <c r="G282" s="13" t="str">
        <f t="shared" si="44"/>
        <v/>
      </c>
      <c r="H282" s="13" t="str">
        <f t="shared" si="45"/>
        <v/>
      </c>
      <c r="I282" t="str">
        <f t="shared" si="46"/>
        <v/>
      </c>
    </row>
    <row r="283" spans="1:9">
      <c r="A283">
        <f>CSV!B283</f>
        <v>0</v>
      </c>
      <c r="B283" s="13" t="e">
        <f>INDEX(Input!$D$2:$AC$500,
       MATCH(CPU_Formula!A283, Input!$J$2:$J$500, 0),
       MATCH("CPU model", Input!$D$1:$AC$1, 0))</f>
        <v>#N/A</v>
      </c>
      <c r="C283" s="13" t="str">
        <f t="shared" si="40"/>
        <v/>
      </c>
      <c r="D283" s="13" t="str">
        <f t="shared" si="41"/>
        <v/>
      </c>
      <c r="E283" s="13" t="str">
        <f t="shared" si="42"/>
        <v/>
      </c>
      <c r="F283" s="13" t="str">
        <f t="shared" si="43"/>
        <v/>
      </c>
      <c r="G283" s="13" t="str">
        <f t="shared" si="44"/>
        <v/>
      </c>
      <c r="H283" s="13" t="str">
        <f t="shared" si="45"/>
        <v/>
      </c>
      <c r="I283" t="str">
        <f t="shared" si="46"/>
        <v/>
      </c>
    </row>
    <row r="284" spans="1:9">
      <c r="A284">
        <f>CSV!B284</f>
        <v>0</v>
      </c>
      <c r="B284" s="13" t="e">
        <f>INDEX(Input!$D$2:$AC$500,
       MATCH(CPU_Formula!A284, Input!$J$2:$J$500, 0),
       MATCH("CPU model", Input!$D$1:$AC$1, 0))</f>
        <v>#N/A</v>
      </c>
      <c r="C284" s="13" t="str">
        <f t="shared" si="40"/>
        <v/>
      </c>
      <c r="D284" s="13" t="str">
        <f t="shared" si="41"/>
        <v/>
      </c>
      <c r="E284" s="13" t="str">
        <f t="shared" si="42"/>
        <v/>
      </c>
      <c r="F284" s="13" t="str">
        <f t="shared" si="43"/>
        <v/>
      </c>
      <c r="G284" s="13" t="str">
        <f t="shared" si="44"/>
        <v/>
      </c>
      <c r="H284" s="13" t="str">
        <f t="shared" si="45"/>
        <v/>
      </c>
      <c r="I284" t="str">
        <f t="shared" si="46"/>
        <v/>
      </c>
    </row>
    <row r="285" spans="1:9">
      <c r="A285">
        <f>CSV!B285</f>
        <v>0</v>
      </c>
      <c r="B285" s="13" t="e">
        <f>INDEX(Input!$D$2:$AC$500,
       MATCH(CPU_Formula!A285, Input!$J$2:$J$500, 0),
       MATCH("CPU model", Input!$D$1:$AC$1, 0))</f>
        <v>#N/A</v>
      </c>
      <c r="C285" s="13" t="str">
        <f t="shared" si="40"/>
        <v/>
      </c>
      <c r="D285" s="13" t="str">
        <f t="shared" si="41"/>
        <v/>
      </c>
      <c r="E285" s="13" t="str">
        <f t="shared" si="42"/>
        <v/>
      </c>
      <c r="F285" s="13" t="str">
        <f t="shared" si="43"/>
        <v/>
      </c>
      <c r="G285" s="13" t="str">
        <f t="shared" si="44"/>
        <v/>
      </c>
      <c r="H285" s="13" t="str">
        <f t="shared" si="45"/>
        <v/>
      </c>
      <c r="I285" t="str">
        <f t="shared" si="46"/>
        <v/>
      </c>
    </row>
    <row r="286" spans="1:9">
      <c r="A286">
        <f>CSV!B286</f>
        <v>0</v>
      </c>
      <c r="B286" s="13" t="e">
        <f>INDEX(Input!$D$2:$AC$500,
       MATCH(CPU_Formula!A286, Input!$J$2:$J$500, 0),
       MATCH("CPU model", Input!$D$1:$AC$1, 0))</f>
        <v>#N/A</v>
      </c>
      <c r="C286" s="13" t="str">
        <f t="shared" si="40"/>
        <v/>
      </c>
      <c r="D286" s="13" t="str">
        <f t="shared" si="41"/>
        <v/>
      </c>
      <c r="E286" s="13" t="str">
        <f t="shared" si="42"/>
        <v/>
      </c>
      <c r="F286" s="13" t="str">
        <f t="shared" si="43"/>
        <v/>
      </c>
      <c r="G286" s="13" t="str">
        <f t="shared" si="44"/>
        <v/>
      </c>
      <c r="H286" s="13" t="str">
        <f t="shared" si="45"/>
        <v/>
      </c>
      <c r="I286" t="str">
        <f t="shared" si="46"/>
        <v/>
      </c>
    </row>
    <row r="287" spans="1:9">
      <c r="A287">
        <f>CSV!B287</f>
        <v>0</v>
      </c>
      <c r="B287" s="13" t="e">
        <f>INDEX(Input!$D$2:$AC$500,
       MATCH(CPU_Formula!A287, Input!$J$2:$J$500, 0),
       MATCH("CPU model", Input!$D$1:$AC$1, 0))</f>
        <v>#N/A</v>
      </c>
      <c r="C287" s="13" t="str">
        <f t="shared" si="40"/>
        <v/>
      </c>
      <c r="D287" s="13" t="str">
        <f t="shared" si="41"/>
        <v/>
      </c>
      <c r="E287" s="13" t="str">
        <f t="shared" si="42"/>
        <v/>
      </c>
      <c r="F287" s="13" t="str">
        <f t="shared" si="43"/>
        <v/>
      </c>
      <c r="G287" s="13" t="str">
        <f t="shared" si="44"/>
        <v/>
      </c>
      <c r="H287" s="13" t="str">
        <f t="shared" si="45"/>
        <v/>
      </c>
      <c r="I287" t="str">
        <f t="shared" si="46"/>
        <v/>
      </c>
    </row>
    <row r="288" spans="1:9">
      <c r="A288">
        <f>CSV!B288</f>
        <v>0</v>
      </c>
      <c r="B288" s="13" t="e">
        <f>INDEX(Input!$D$2:$AC$500,
       MATCH(CPU_Formula!A288, Input!$J$2:$J$500, 0),
       MATCH("CPU model", Input!$D$1:$AC$1, 0))</f>
        <v>#N/A</v>
      </c>
      <c r="C288" s="13" t="str">
        <f t="shared" si="40"/>
        <v/>
      </c>
      <c r="D288" s="13" t="str">
        <f t="shared" si="41"/>
        <v/>
      </c>
      <c r="E288" s="13" t="str">
        <f t="shared" si="42"/>
        <v/>
      </c>
      <c r="F288" s="13" t="str">
        <f t="shared" si="43"/>
        <v/>
      </c>
      <c r="G288" s="13" t="str">
        <f t="shared" si="44"/>
        <v/>
      </c>
      <c r="H288" s="13" t="str">
        <f t="shared" si="45"/>
        <v/>
      </c>
      <c r="I288" t="str">
        <f t="shared" si="46"/>
        <v/>
      </c>
    </row>
    <row r="289" spans="1:9">
      <c r="A289">
        <f>CSV!B289</f>
        <v>0</v>
      </c>
      <c r="B289" s="13" t="e">
        <f>INDEX(Input!$D$2:$AC$500,
       MATCH(CPU_Formula!A289, Input!$J$2:$J$500, 0),
       MATCH("CPU model", Input!$D$1:$AC$1, 0))</f>
        <v>#N/A</v>
      </c>
      <c r="C289" s="13" t="str">
        <f t="shared" si="40"/>
        <v/>
      </c>
      <c r="D289" s="13" t="str">
        <f t="shared" si="41"/>
        <v/>
      </c>
      <c r="E289" s="13" t="str">
        <f t="shared" si="42"/>
        <v/>
      </c>
      <c r="F289" s="13" t="str">
        <f t="shared" si="43"/>
        <v/>
      </c>
      <c r="G289" s="13" t="str">
        <f t="shared" si="44"/>
        <v/>
      </c>
      <c r="H289" s="13" t="str">
        <f t="shared" si="45"/>
        <v/>
      </c>
      <c r="I289" t="str">
        <f t="shared" si="46"/>
        <v/>
      </c>
    </row>
    <row r="290" spans="1:9">
      <c r="A290">
        <f>CSV!B290</f>
        <v>0</v>
      </c>
      <c r="B290" s="13" t="e">
        <f>INDEX(Input!$D$2:$AC$500,
       MATCH(CPU_Formula!A290, Input!$J$2:$J$500, 0),
       MATCH("CPU model", Input!$D$1:$AC$1, 0))</f>
        <v>#N/A</v>
      </c>
      <c r="C290" s="13" t="str">
        <f t="shared" si="40"/>
        <v/>
      </c>
      <c r="D290" s="13" t="str">
        <f t="shared" si="41"/>
        <v/>
      </c>
      <c r="E290" s="13" t="str">
        <f t="shared" si="42"/>
        <v/>
      </c>
      <c r="F290" s="13" t="str">
        <f t="shared" si="43"/>
        <v/>
      </c>
      <c r="G290" s="13" t="str">
        <f t="shared" si="44"/>
        <v/>
      </c>
      <c r="H290" s="13" t="str">
        <f t="shared" si="45"/>
        <v/>
      </c>
      <c r="I290" t="str">
        <f t="shared" si="46"/>
        <v/>
      </c>
    </row>
    <row r="291" spans="1:9">
      <c r="A291">
        <f>CSV!B291</f>
        <v>0</v>
      </c>
      <c r="B291" s="13" t="e">
        <f>INDEX(Input!$D$2:$AC$500,
       MATCH(CPU_Formula!A291, Input!$J$2:$J$500, 0),
       MATCH("CPU model", Input!$D$1:$AC$1, 0))</f>
        <v>#N/A</v>
      </c>
      <c r="C291" s="13" t="str">
        <f t="shared" si="40"/>
        <v/>
      </c>
      <c r="D291" s="13" t="str">
        <f t="shared" si="41"/>
        <v/>
      </c>
      <c r="E291" s="13" t="str">
        <f t="shared" si="42"/>
        <v/>
      </c>
      <c r="F291" s="13" t="str">
        <f t="shared" si="43"/>
        <v/>
      </c>
      <c r="G291" s="13" t="str">
        <f t="shared" si="44"/>
        <v/>
      </c>
      <c r="H291" s="13" t="str">
        <f t="shared" si="45"/>
        <v/>
      </c>
      <c r="I291" t="str">
        <f t="shared" si="46"/>
        <v/>
      </c>
    </row>
    <row r="292" spans="1:9">
      <c r="A292">
        <f>CSV!B292</f>
        <v>0</v>
      </c>
      <c r="B292" s="13" t="e">
        <f>INDEX(Input!$D$2:$AC$500,
       MATCH(CPU_Formula!A292, Input!$J$2:$J$500, 0),
       MATCH("CPU model", Input!$D$1:$AC$1, 0))</f>
        <v>#N/A</v>
      </c>
      <c r="C292" s="13" t="str">
        <f t="shared" si="40"/>
        <v/>
      </c>
      <c r="D292" s="13" t="str">
        <f t="shared" si="41"/>
        <v/>
      </c>
      <c r="E292" s="13" t="str">
        <f t="shared" si="42"/>
        <v/>
      </c>
      <c r="F292" s="13" t="str">
        <f t="shared" si="43"/>
        <v/>
      </c>
      <c r="G292" s="13" t="str">
        <f t="shared" si="44"/>
        <v/>
      </c>
      <c r="H292" s="13" t="str">
        <f t="shared" si="45"/>
        <v/>
      </c>
      <c r="I292" t="str">
        <f t="shared" si="46"/>
        <v/>
      </c>
    </row>
    <row r="293" spans="1:9">
      <c r="A293">
        <f>CSV!B293</f>
        <v>0</v>
      </c>
      <c r="B293" s="13" t="e">
        <f>INDEX(Input!$D$2:$AC$500,
       MATCH(CPU_Formula!A293, Input!$J$2:$J$500, 0),
       MATCH("CPU model", Input!$D$1:$AC$1, 0))</f>
        <v>#N/A</v>
      </c>
      <c r="C293" s="13" t="str">
        <f t="shared" si="40"/>
        <v/>
      </c>
      <c r="D293" s="13" t="str">
        <f t="shared" si="41"/>
        <v/>
      </c>
      <c r="E293" s="13" t="str">
        <f t="shared" si="42"/>
        <v/>
      </c>
      <c r="F293" s="13" t="str">
        <f t="shared" si="43"/>
        <v/>
      </c>
      <c r="G293" s="13" t="str">
        <f t="shared" si="44"/>
        <v/>
      </c>
      <c r="H293" s="13" t="str">
        <f t="shared" si="45"/>
        <v/>
      </c>
      <c r="I293" t="str">
        <f t="shared" si="46"/>
        <v/>
      </c>
    </row>
    <row r="294" spans="1:9">
      <c r="A294">
        <f>CSV!B294</f>
        <v>0</v>
      </c>
      <c r="B294" s="13" t="e">
        <f>INDEX(Input!$D$2:$AC$500,
       MATCH(CPU_Formula!A294, Input!$J$2:$J$500, 0),
       MATCH("CPU model", Input!$D$1:$AC$1, 0))</f>
        <v>#N/A</v>
      </c>
      <c r="C294" s="13" t="str">
        <f t="shared" si="40"/>
        <v/>
      </c>
      <c r="D294" s="13" t="str">
        <f t="shared" si="41"/>
        <v/>
      </c>
      <c r="E294" s="13" t="str">
        <f t="shared" si="42"/>
        <v/>
      </c>
      <c r="F294" s="13" t="str">
        <f t="shared" si="43"/>
        <v/>
      </c>
      <c r="G294" s="13" t="str">
        <f t="shared" si="44"/>
        <v/>
      </c>
      <c r="H294" s="13" t="str">
        <f t="shared" si="45"/>
        <v/>
      </c>
      <c r="I294" t="str">
        <f t="shared" si="46"/>
        <v/>
      </c>
    </row>
    <row r="295" spans="1:9">
      <c r="A295">
        <f>CSV!B295</f>
        <v>0</v>
      </c>
      <c r="B295" s="13" t="e">
        <f>INDEX(Input!$D$2:$AC$500,
       MATCH(CPU_Formula!A295, Input!$J$2:$J$500, 0),
       MATCH("CPU model", Input!$D$1:$AC$1, 0))</f>
        <v>#N/A</v>
      </c>
      <c r="C295" s="13" t="str">
        <f t="shared" si="40"/>
        <v/>
      </c>
      <c r="D295" s="13" t="str">
        <f t="shared" si="41"/>
        <v/>
      </c>
      <c r="E295" s="13" t="str">
        <f t="shared" si="42"/>
        <v/>
      </c>
      <c r="F295" s="13" t="str">
        <f t="shared" si="43"/>
        <v/>
      </c>
      <c r="G295" s="13" t="str">
        <f t="shared" si="44"/>
        <v/>
      </c>
      <c r="H295" s="13" t="str">
        <f t="shared" si="45"/>
        <v/>
      </c>
      <c r="I295" t="str">
        <f t="shared" si="46"/>
        <v/>
      </c>
    </row>
    <row r="296" spans="1:9">
      <c r="A296">
        <f>CSV!B296</f>
        <v>0</v>
      </c>
      <c r="B296" s="13" t="e">
        <f>INDEX(Input!$D$2:$AC$500,
       MATCH(CPU_Formula!A296, Input!$J$2:$J$500, 0),
       MATCH("CPU model", Input!$D$1:$AC$1, 0))</f>
        <v>#N/A</v>
      </c>
      <c r="C296" s="13" t="str">
        <f t="shared" ref="C296:C359" si="47">IFERROR(_xlfn.TEXTAFTER(B296,"Core(TM) "),IFERROR(_xlfn.TEXTAFTER(B296,"Xeon(R) CPU"),""))</f>
        <v/>
      </c>
      <c r="D296" s="13" t="str">
        <f t="shared" ref="D296:D359" si="48">IFERROR(_xlfn.TEXTAFTER(B296,"Ryzen "), "")</f>
        <v/>
      </c>
      <c r="E296" s="13" t="str">
        <f t="shared" ref="E296:E359" si="49">IF(ISNUMBER(SEARCH("Ultra", B296)), "Ultra"&amp;_xlfn.TEXTAFTER(B296, "Ultra"), "")</f>
        <v/>
      </c>
      <c r="F296" s="13" t="str">
        <f t="shared" ref="F296:F359" si="50">IF(C296&lt;&gt;"", TRIM(_xlfn.TEXTBEFORE(C296," ",,1,1)), "")</f>
        <v/>
      </c>
      <c r="G296" s="13" t="str">
        <f t="shared" ref="G296:G359" si="51">IF(D296&lt;&gt;"", TRIM(_xlfn.TEXTBEFORE(D296," ",,1)), "")</f>
        <v/>
      </c>
      <c r="H296" s="13" t="str">
        <f t="shared" ref="H296:H359" si="52">E296</f>
        <v/>
      </c>
      <c r="I296" t="str">
        <f t="shared" ref="I296:I359" si="53">IF(H296&lt;&gt;"",H296,IF(G296&lt;&gt;"",G296,F296))</f>
        <v/>
      </c>
    </row>
    <row r="297" spans="1:9">
      <c r="A297">
        <f>CSV!B297</f>
        <v>0</v>
      </c>
      <c r="B297" s="13" t="e">
        <f>INDEX(Input!$D$2:$AC$500,
       MATCH(CPU_Formula!A297, Input!$J$2:$J$500, 0),
       MATCH("CPU model", Input!$D$1:$AC$1, 0))</f>
        <v>#N/A</v>
      </c>
      <c r="C297" s="13" t="str">
        <f t="shared" si="47"/>
        <v/>
      </c>
      <c r="D297" s="13" t="str">
        <f t="shared" si="48"/>
        <v/>
      </c>
      <c r="E297" s="13" t="str">
        <f t="shared" si="49"/>
        <v/>
      </c>
      <c r="F297" s="13" t="str">
        <f t="shared" si="50"/>
        <v/>
      </c>
      <c r="G297" s="13" t="str">
        <f t="shared" si="51"/>
        <v/>
      </c>
      <c r="H297" s="13" t="str">
        <f t="shared" si="52"/>
        <v/>
      </c>
      <c r="I297" t="str">
        <f t="shared" si="53"/>
        <v/>
      </c>
    </row>
    <row r="298" spans="1:9">
      <c r="A298">
        <f>CSV!B298</f>
        <v>0</v>
      </c>
      <c r="B298" s="13" t="e">
        <f>INDEX(Input!$D$2:$AC$500,
       MATCH(CPU_Formula!A298, Input!$J$2:$J$500, 0),
       MATCH("CPU model", Input!$D$1:$AC$1, 0))</f>
        <v>#N/A</v>
      </c>
      <c r="C298" s="13" t="str">
        <f t="shared" si="47"/>
        <v/>
      </c>
      <c r="D298" s="13" t="str">
        <f t="shared" si="48"/>
        <v/>
      </c>
      <c r="E298" s="13" t="str">
        <f t="shared" si="49"/>
        <v/>
      </c>
      <c r="F298" s="13" t="str">
        <f t="shared" si="50"/>
        <v/>
      </c>
      <c r="G298" s="13" t="str">
        <f t="shared" si="51"/>
        <v/>
      </c>
      <c r="H298" s="13" t="str">
        <f t="shared" si="52"/>
        <v/>
      </c>
      <c r="I298" t="str">
        <f t="shared" si="53"/>
        <v/>
      </c>
    </row>
    <row r="299" spans="1:9">
      <c r="A299">
        <f>CSV!B299</f>
        <v>0</v>
      </c>
      <c r="B299" s="13" t="e">
        <f>INDEX(Input!$D$2:$AC$500,
       MATCH(CPU_Formula!A299, Input!$J$2:$J$500, 0),
       MATCH("CPU model", Input!$D$1:$AC$1, 0))</f>
        <v>#N/A</v>
      </c>
      <c r="C299" s="13" t="str">
        <f t="shared" si="47"/>
        <v/>
      </c>
      <c r="D299" s="13" t="str">
        <f t="shared" si="48"/>
        <v/>
      </c>
      <c r="E299" s="13" t="str">
        <f t="shared" si="49"/>
        <v/>
      </c>
      <c r="F299" s="13" t="str">
        <f t="shared" si="50"/>
        <v/>
      </c>
      <c r="G299" s="13" t="str">
        <f t="shared" si="51"/>
        <v/>
      </c>
      <c r="H299" s="13" t="str">
        <f t="shared" si="52"/>
        <v/>
      </c>
      <c r="I299" t="str">
        <f t="shared" si="53"/>
        <v/>
      </c>
    </row>
    <row r="300" spans="1:9">
      <c r="A300">
        <f>CSV!B300</f>
        <v>0</v>
      </c>
      <c r="B300" s="13" t="e">
        <f>INDEX(Input!$D$2:$AC$500,
       MATCH(CPU_Formula!A300, Input!$J$2:$J$500, 0),
       MATCH("CPU model", Input!$D$1:$AC$1, 0))</f>
        <v>#N/A</v>
      </c>
      <c r="C300" s="13" t="str">
        <f t="shared" si="47"/>
        <v/>
      </c>
      <c r="D300" s="13" t="str">
        <f t="shared" si="48"/>
        <v/>
      </c>
      <c r="E300" s="13" t="str">
        <f t="shared" si="49"/>
        <v/>
      </c>
      <c r="F300" s="13" t="str">
        <f t="shared" si="50"/>
        <v/>
      </c>
      <c r="G300" s="13" t="str">
        <f t="shared" si="51"/>
        <v/>
      </c>
      <c r="H300" s="13" t="str">
        <f t="shared" si="52"/>
        <v/>
      </c>
      <c r="I300" t="str">
        <f t="shared" si="53"/>
        <v/>
      </c>
    </row>
    <row r="301" spans="1:9">
      <c r="A301">
        <f>CSV!B301</f>
        <v>0</v>
      </c>
      <c r="B301" s="13" t="e">
        <f>INDEX(Input!$D$2:$AC$500,
       MATCH(CPU_Formula!A301, Input!$J$2:$J$500, 0),
       MATCH("CPU model", Input!$D$1:$AC$1, 0))</f>
        <v>#N/A</v>
      </c>
      <c r="C301" s="13" t="str">
        <f t="shared" si="47"/>
        <v/>
      </c>
      <c r="D301" s="13" t="str">
        <f t="shared" si="48"/>
        <v/>
      </c>
      <c r="E301" s="13" t="str">
        <f t="shared" si="49"/>
        <v/>
      </c>
      <c r="F301" s="13" t="str">
        <f t="shared" si="50"/>
        <v/>
      </c>
      <c r="G301" s="13" t="str">
        <f t="shared" si="51"/>
        <v/>
      </c>
      <c r="H301" s="13" t="str">
        <f t="shared" si="52"/>
        <v/>
      </c>
      <c r="I301" t="str">
        <f t="shared" si="53"/>
        <v/>
      </c>
    </row>
    <row r="302" spans="1:9">
      <c r="A302">
        <f>CSV!B302</f>
        <v>0</v>
      </c>
      <c r="B302" s="13" t="e">
        <f>INDEX(Input!$D$2:$AC$500,
       MATCH(CPU_Formula!A302, Input!$J$2:$J$500, 0),
       MATCH("CPU model", Input!$D$1:$AC$1, 0))</f>
        <v>#N/A</v>
      </c>
      <c r="C302" s="13" t="str">
        <f t="shared" si="47"/>
        <v/>
      </c>
      <c r="D302" s="13" t="str">
        <f t="shared" si="48"/>
        <v/>
      </c>
      <c r="E302" s="13" t="str">
        <f t="shared" si="49"/>
        <v/>
      </c>
      <c r="F302" s="13" t="str">
        <f t="shared" si="50"/>
        <v/>
      </c>
      <c r="G302" s="13" t="str">
        <f t="shared" si="51"/>
        <v/>
      </c>
      <c r="H302" s="13" t="str">
        <f t="shared" si="52"/>
        <v/>
      </c>
      <c r="I302" t="str">
        <f t="shared" si="53"/>
        <v/>
      </c>
    </row>
    <row r="303" spans="1:9">
      <c r="A303">
        <f>CSV!B303</f>
        <v>0</v>
      </c>
      <c r="B303" s="13" t="e">
        <f>INDEX(Input!$D$2:$AC$500,
       MATCH(CPU_Formula!A303, Input!$J$2:$J$500, 0),
       MATCH("CPU model", Input!$D$1:$AC$1, 0))</f>
        <v>#N/A</v>
      </c>
      <c r="C303" s="13" t="str">
        <f t="shared" si="47"/>
        <v/>
      </c>
      <c r="D303" s="13" t="str">
        <f t="shared" si="48"/>
        <v/>
      </c>
      <c r="E303" s="13" t="str">
        <f t="shared" si="49"/>
        <v/>
      </c>
      <c r="F303" s="13" t="str">
        <f t="shared" si="50"/>
        <v/>
      </c>
      <c r="G303" s="13" t="str">
        <f t="shared" si="51"/>
        <v/>
      </c>
      <c r="H303" s="13" t="str">
        <f t="shared" si="52"/>
        <v/>
      </c>
      <c r="I303" t="str">
        <f t="shared" si="53"/>
        <v/>
      </c>
    </row>
    <row r="304" spans="1:9">
      <c r="A304">
        <f>CSV!B304</f>
        <v>0</v>
      </c>
      <c r="B304" s="13" t="e">
        <f>INDEX(Input!$D$2:$AC$500,
       MATCH(CPU_Formula!A304, Input!$J$2:$J$500, 0),
       MATCH("CPU model", Input!$D$1:$AC$1, 0))</f>
        <v>#N/A</v>
      </c>
      <c r="C304" s="13" t="str">
        <f t="shared" si="47"/>
        <v/>
      </c>
      <c r="D304" s="13" t="str">
        <f t="shared" si="48"/>
        <v/>
      </c>
      <c r="E304" s="13" t="str">
        <f t="shared" si="49"/>
        <v/>
      </c>
      <c r="F304" s="13" t="str">
        <f t="shared" si="50"/>
        <v/>
      </c>
      <c r="G304" s="13" t="str">
        <f t="shared" si="51"/>
        <v/>
      </c>
      <c r="H304" s="13" t="str">
        <f t="shared" si="52"/>
        <v/>
      </c>
      <c r="I304" t="str">
        <f t="shared" si="53"/>
        <v/>
      </c>
    </row>
    <row r="305" spans="1:9">
      <c r="A305">
        <f>CSV!B305</f>
        <v>0</v>
      </c>
      <c r="B305" s="13" t="e">
        <f>INDEX(Input!$D$2:$AC$500,
       MATCH(CPU_Formula!A305, Input!$J$2:$J$500, 0),
       MATCH("CPU model", Input!$D$1:$AC$1, 0))</f>
        <v>#N/A</v>
      </c>
      <c r="C305" s="13" t="str">
        <f t="shared" si="47"/>
        <v/>
      </c>
      <c r="D305" s="13" t="str">
        <f t="shared" si="48"/>
        <v/>
      </c>
      <c r="E305" s="13" t="str">
        <f t="shared" si="49"/>
        <v/>
      </c>
      <c r="F305" s="13" t="str">
        <f t="shared" si="50"/>
        <v/>
      </c>
      <c r="G305" s="13" t="str">
        <f t="shared" si="51"/>
        <v/>
      </c>
      <c r="H305" s="13" t="str">
        <f t="shared" si="52"/>
        <v/>
      </c>
      <c r="I305" t="str">
        <f t="shared" si="53"/>
        <v/>
      </c>
    </row>
    <row r="306" spans="1:9">
      <c r="A306">
        <f>CSV!B306</f>
        <v>0</v>
      </c>
      <c r="B306" s="13" t="e">
        <f>INDEX(Input!$D$2:$AC$500,
       MATCH(CPU_Formula!A306, Input!$J$2:$J$500, 0),
       MATCH("CPU model", Input!$D$1:$AC$1, 0))</f>
        <v>#N/A</v>
      </c>
      <c r="C306" s="13" t="str">
        <f t="shared" si="47"/>
        <v/>
      </c>
      <c r="D306" s="13" t="str">
        <f t="shared" si="48"/>
        <v/>
      </c>
      <c r="E306" s="13" t="str">
        <f t="shared" si="49"/>
        <v/>
      </c>
      <c r="F306" s="13" t="str">
        <f t="shared" si="50"/>
        <v/>
      </c>
      <c r="G306" s="13" t="str">
        <f t="shared" si="51"/>
        <v/>
      </c>
      <c r="H306" s="13" t="str">
        <f t="shared" si="52"/>
        <v/>
      </c>
      <c r="I306" t="str">
        <f t="shared" si="53"/>
        <v/>
      </c>
    </row>
    <row r="307" spans="1:9">
      <c r="A307">
        <f>CSV!B307</f>
        <v>0</v>
      </c>
      <c r="B307" s="13" t="e">
        <f>INDEX(Input!$D$2:$AC$500,
       MATCH(CPU_Formula!A307, Input!$J$2:$J$500, 0),
       MATCH("CPU model", Input!$D$1:$AC$1, 0))</f>
        <v>#N/A</v>
      </c>
      <c r="C307" s="13" t="str">
        <f t="shared" si="47"/>
        <v/>
      </c>
      <c r="D307" s="13" t="str">
        <f t="shared" si="48"/>
        <v/>
      </c>
      <c r="E307" s="13" t="str">
        <f t="shared" si="49"/>
        <v/>
      </c>
      <c r="F307" s="13" t="str">
        <f t="shared" si="50"/>
        <v/>
      </c>
      <c r="G307" s="13" t="str">
        <f t="shared" si="51"/>
        <v/>
      </c>
      <c r="H307" s="13" t="str">
        <f t="shared" si="52"/>
        <v/>
      </c>
      <c r="I307" t="str">
        <f t="shared" si="53"/>
        <v/>
      </c>
    </row>
    <row r="308" spans="1:9">
      <c r="A308">
        <f>CSV!B308</f>
        <v>0</v>
      </c>
      <c r="B308" s="13" t="e">
        <f>INDEX(Input!$D$2:$AC$500,
       MATCH(CPU_Formula!A308, Input!$J$2:$J$500, 0),
       MATCH("CPU model", Input!$D$1:$AC$1, 0))</f>
        <v>#N/A</v>
      </c>
      <c r="C308" s="13" t="str">
        <f t="shared" si="47"/>
        <v/>
      </c>
      <c r="D308" s="13" t="str">
        <f t="shared" si="48"/>
        <v/>
      </c>
      <c r="E308" s="13" t="str">
        <f t="shared" si="49"/>
        <v/>
      </c>
      <c r="F308" s="13" t="str">
        <f t="shared" si="50"/>
        <v/>
      </c>
      <c r="G308" s="13" t="str">
        <f t="shared" si="51"/>
        <v/>
      </c>
      <c r="H308" s="13" t="str">
        <f t="shared" si="52"/>
        <v/>
      </c>
      <c r="I308" t="str">
        <f t="shared" si="53"/>
        <v/>
      </c>
    </row>
    <row r="309" spans="1:9">
      <c r="A309">
        <f>CSV!B309</f>
        <v>0</v>
      </c>
      <c r="B309" s="13" t="e">
        <f>INDEX(Input!$D$2:$AC$500,
       MATCH(CPU_Formula!A309, Input!$J$2:$J$500, 0),
       MATCH("CPU model", Input!$D$1:$AC$1, 0))</f>
        <v>#N/A</v>
      </c>
      <c r="C309" s="13" t="str">
        <f t="shared" si="47"/>
        <v/>
      </c>
      <c r="D309" s="13" t="str">
        <f t="shared" si="48"/>
        <v/>
      </c>
      <c r="E309" s="13" t="str">
        <f t="shared" si="49"/>
        <v/>
      </c>
      <c r="F309" s="13" t="str">
        <f t="shared" si="50"/>
        <v/>
      </c>
      <c r="G309" s="13" t="str">
        <f t="shared" si="51"/>
        <v/>
      </c>
      <c r="H309" s="13" t="str">
        <f t="shared" si="52"/>
        <v/>
      </c>
      <c r="I309" t="str">
        <f t="shared" si="53"/>
        <v/>
      </c>
    </row>
    <row r="310" spans="1:9">
      <c r="A310">
        <f>CSV!B310</f>
        <v>0</v>
      </c>
      <c r="B310" s="13" t="e">
        <f>INDEX(Input!$D$2:$AC$500,
       MATCH(CPU_Formula!A310, Input!$J$2:$J$500, 0),
       MATCH("CPU model", Input!$D$1:$AC$1, 0))</f>
        <v>#N/A</v>
      </c>
      <c r="C310" s="13" t="str">
        <f t="shared" si="47"/>
        <v/>
      </c>
      <c r="D310" s="13" t="str">
        <f t="shared" si="48"/>
        <v/>
      </c>
      <c r="E310" s="13" t="str">
        <f t="shared" si="49"/>
        <v/>
      </c>
      <c r="F310" s="13" t="str">
        <f t="shared" si="50"/>
        <v/>
      </c>
      <c r="G310" s="13" t="str">
        <f t="shared" si="51"/>
        <v/>
      </c>
      <c r="H310" s="13" t="str">
        <f t="shared" si="52"/>
        <v/>
      </c>
      <c r="I310" t="str">
        <f t="shared" si="53"/>
        <v/>
      </c>
    </row>
    <row r="311" spans="1:9">
      <c r="A311">
        <f>CSV!B311</f>
        <v>0</v>
      </c>
      <c r="B311" s="13" t="e">
        <f>INDEX(Input!$D$2:$AC$500,
       MATCH(CPU_Formula!A311, Input!$J$2:$J$500, 0),
       MATCH("CPU model", Input!$D$1:$AC$1, 0))</f>
        <v>#N/A</v>
      </c>
      <c r="C311" s="13" t="str">
        <f t="shared" si="47"/>
        <v/>
      </c>
      <c r="D311" s="13" t="str">
        <f t="shared" si="48"/>
        <v/>
      </c>
      <c r="E311" s="13" t="str">
        <f t="shared" si="49"/>
        <v/>
      </c>
      <c r="F311" s="13" t="str">
        <f t="shared" si="50"/>
        <v/>
      </c>
      <c r="G311" s="13" t="str">
        <f t="shared" si="51"/>
        <v/>
      </c>
      <c r="H311" s="13" t="str">
        <f t="shared" si="52"/>
        <v/>
      </c>
      <c r="I311" t="str">
        <f t="shared" si="53"/>
        <v/>
      </c>
    </row>
    <row r="312" spans="1:9">
      <c r="A312">
        <f>CSV!B312</f>
        <v>0</v>
      </c>
      <c r="B312" s="13" t="e">
        <f>INDEX(Input!$D$2:$AC$500,
       MATCH(CPU_Formula!A312, Input!$J$2:$J$500, 0),
       MATCH("CPU model", Input!$D$1:$AC$1, 0))</f>
        <v>#N/A</v>
      </c>
      <c r="C312" s="13" t="str">
        <f t="shared" si="47"/>
        <v/>
      </c>
      <c r="D312" s="13" t="str">
        <f t="shared" si="48"/>
        <v/>
      </c>
      <c r="E312" s="13" t="str">
        <f t="shared" si="49"/>
        <v/>
      </c>
      <c r="F312" s="13" t="str">
        <f t="shared" si="50"/>
        <v/>
      </c>
      <c r="G312" s="13" t="str">
        <f t="shared" si="51"/>
        <v/>
      </c>
      <c r="H312" s="13" t="str">
        <f t="shared" si="52"/>
        <v/>
      </c>
      <c r="I312" t="str">
        <f t="shared" si="53"/>
        <v/>
      </c>
    </row>
    <row r="313" spans="1:9">
      <c r="A313">
        <f>CSV!B313</f>
        <v>0</v>
      </c>
      <c r="B313" s="13" t="e">
        <f>INDEX(Input!$D$2:$AC$500,
       MATCH(CPU_Formula!A313, Input!$J$2:$J$500, 0),
       MATCH("CPU model", Input!$D$1:$AC$1, 0))</f>
        <v>#N/A</v>
      </c>
      <c r="C313" s="13" t="str">
        <f t="shared" si="47"/>
        <v/>
      </c>
      <c r="D313" s="13" t="str">
        <f t="shared" si="48"/>
        <v/>
      </c>
      <c r="E313" s="13" t="str">
        <f t="shared" si="49"/>
        <v/>
      </c>
      <c r="F313" s="13" t="str">
        <f t="shared" si="50"/>
        <v/>
      </c>
      <c r="G313" s="13" t="str">
        <f t="shared" si="51"/>
        <v/>
      </c>
      <c r="H313" s="13" t="str">
        <f t="shared" si="52"/>
        <v/>
      </c>
      <c r="I313" t="str">
        <f t="shared" si="53"/>
        <v/>
      </c>
    </row>
    <row r="314" spans="1:9">
      <c r="A314">
        <f>CSV!B314</f>
        <v>0</v>
      </c>
      <c r="B314" s="13" t="e">
        <f>INDEX(Input!$D$2:$AC$500,
       MATCH(CPU_Formula!A314, Input!$J$2:$J$500, 0),
       MATCH("CPU model", Input!$D$1:$AC$1, 0))</f>
        <v>#N/A</v>
      </c>
      <c r="C314" s="13" t="str">
        <f t="shared" si="47"/>
        <v/>
      </c>
      <c r="D314" s="13" t="str">
        <f t="shared" si="48"/>
        <v/>
      </c>
      <c r="E314" s="13" t="str">
        <f t="shared" si="49"/>
        <v/>
      </c>
      <c r="F314" s="13" t="str">
        <f t="shared" si="50"/>
        <v/>
      </c>
      <c r="G314" s="13" t="str">
        <f t="shared" si="51"/>
        <v/>
      </c>
      <c r="H314" s="13" t="str">
        <f t="shared" si="52"/>
        <v/>
      </c>
      <c r="I314" t="str">
        <f t="shared" si="53"/>
        <v/>
      </c>
    </row>
    <row r="315" spans="1:9">
      <c r="A315">
        <f>CSV!B315</f>
        <v>0</v>
      </c>
      <c r="B315" s="13" t="e">
        <f>INDEX(Input!$D$2:$AC$500,
       MATCH(CPU_Formula!A315, Input!$J$2:$J$500, 0),
       MATCH("CPU model", Input!$D$1:$AC$1, 0))</f>
        <v>#N/A</v>
      </c>
      <c r="C315" s="13" t="str">
        <f t="shared" si="47"/>
        <v/>
      </c>
      <c r="D315" s="13" t="str">
        <f t="shared" si="48"/>
        <v/>
      </c>
      <c r="E315" s="13" t="str">
        <f t="shared" si="49"/>
        <v/>
      </c>
      <c r="F315" s="13" t="str">
        <f t="shared" si="50"/>
        <v/>
      </c>
      <c r="G315" s="13" t="str">
        <f t="shared" si="51"/>
        <v/>
      </c>
      <c r="H315" s="13" t="str">
        <f t="shared" si="52"/>
        <v/>
      </c>
      <c r="I315" t="str">
        <f t="shared" si="53"/>
        <v/>
      </c>
    </row>
    <row r="316" spans="1:9">
      <c r="A316">
        <f>CSV!B316</f>
        <v>0</v>
      </c>
      <c r="B316" s="13" t="e">
        <f>INDEX(Input!$D$2:$AC$500,
       MATCH(CPU_Formula!A316, Input!$J$2:$J$500, 0),
       MATCH("CPU model", Input!$D$1:$AC$1, 0))</f>
        <v>#N/A</v>
      </c>
      <c r="C316" s="13" t="str">
        <f t="shared" si="47"/>
        <v/>
      </c>
      <c r="D316" s="13" t="str">
        <f t="shared" si="48"/>
        <v/>
      </c>
      <c r="E316" s="13" t="str">
        <f t="shared" si="49"/>
        <v/>
      </c>
      <c r="F316" s="13" t="str">
        <f t="shared" si="50"/>
        <v/>
      </c>
      <c r="G316" s="13" t="str">
        <f t="shared" si="51"/>
        <v/>
      </c>
      <c r="H316" s="13" t="str">
        <f t="shared" si="52"/>
        <v/>
      </c>
      <c r="I316" t="str">
        <f t="shared" si="53"/>
        <v/>
      </c>
    </row>
    <row r="317" spans="1:9">
      <c r="A317">
        <f>CSV!B317</f>
        <v>0</v>
      </c>
      <c r="B317" s="13" t="e">
        <f>INDEX(Input!$D$2:$AC$500,
       MATCH(CPU_Formula!A317, Input!$J$2:$J$500, 0),
       MATCH("CPU model", Input!$D$1:$AC$1, 0))</f>
        <v>#N/A</v>
      </c>
      <c r="C317" s="13" t="str">
        <f t="shared" si="47"/>
        <v/>
      </c>
      <c r="D317" s="13" t="str">
        <f t="shared" si="48"/>
        <v/>
      </c>
      <c r="E317" s="13" t="str">
        <f t="shared" si="49"/>
        <v/>
      </c>
      <c r="F317" s="13" t="str">
        <f t="shared" si="50"/>
        <v/>
      </c>
      <c r="G317" s="13" t="str">
        <f t="shared" si="51"/>
        <v/>
      </c>
      <c r="H317" s="13" t="str">
        <f t="shared" si="52"/>
        <v/>
      </c>
      <c r="I317" t="str">
        <f t="shared" si="53"/>
        <v/>
      </c>
    </row>
    <row r="318" spans="1:9">
      <c r="A318">
        <f>CSV!B318</f>
        <v>0</v>
      </c>
      <c r="B318" s="13" t="e">
        <f>INDEX(Input!$D$2:$AC$500,
       MATCH(CPU_Formula!A318, Input!$J$2:$J$500, 0),
       MATCH("CPU model", Input!$D$1:$AC$1, 0))</f>
        <v>#N/A</v>
      </c>
      <c r="C318" s="13" t="str">
        <f t="shared" si="47"/>
        <v/>
      </c>
      <c r="D318" s="13" t="str">
        <f t="shared" si="48"/>
        <v/>
      </c>
      <c r="E318" s="13" t="str">
        <f t="shared" si="49"/>
        <v/>
      </c>
      <c r="F318" s="13" t="str">
        <f t="shared" si="50"/>
        <v/>
      </c>
      <c r="G318" s="13" t="str">
        <f t="shared" si="51"/>
        <v/>
      </c>
      <c r="H318" s="13" t="str">
        <f t="shared" si="52"/>
        <v/>
      </c>
      <c r="I318" t="str">
        <f t="shared" si="53"/>
        <v/>
      </c>
    </row>
    <row r="319" spans="1:9">
      <c r="A319">
        <f>CSV!B319</f>
        <v>0</v>
      </c>
      <c r="B319" s="13" t="e">
        <f>INDEX(Input!$D$2:$AC$500,
       MATCH(CPU_Formula!A319, Input!$J$2:$J$500, 0),
       MATCH("CPU model", Input!$D$1:$AC$1, 0))</f>
        <v>#N/A</v>
      </c>
      <c r="C319" s="13" t="str">
        <f t="shared" si="47"/>
        <v/>
      </c>
      <c r="D319" s="13" t="str">
        <f t="shared" si="48"/>
        <v/>
      </c>
      <c r="E319" s="13" t="str">
        <f t="shared" si="49"/>
        <v/>
      </c>
      <c r="F319" s="13" t="str">
        <f t="shared" si="50"/>
        <v/>
      </c>
      <c r="G319" s="13" t="str">
        <f t="shared" si="51"/>
        <v/>
      </c>
      <c r="H319" s="13" t="str">
        <f t="shared" si="52"/>
        <v/>
      </c>
      <c r="I319" t="str">
        <f t="shared" si="53"/>
        <v/>
      </c>
    </row>
    <row r="320" spans="1:9">
      <c r="A320">
        <f>CSV!B320</f>
        <v>0</v>
      </c>
      <c r="B320" s="13" t="e">
        <f>INDEX(Input!$D$2:$AC$500,
       MATCH(CPU_Formula!A320, Input!$J$2:$J$500, 0),
       MATCH("CPU model", Input!$D$1:$AC$1, 0))</f>
        <v>#N/A</v>
      </c>
      <c r="C320" s="13" t="str">
        <f t="shared" si="47"/>
        <v/>
      </c>
      <c r="D320" s="13" t="str">
        <f t="shared" si="48"/>
        <v/>
      </c>
      <c r="E320" s="13" t="str">
        <f t="shared" si="49"/>
        <v/>
      </c>
      <c r="F320" s="13" t="str">
        <f t="shared" si="50"/>
        <v/>
      </c>
      <c r="G320" s="13" t="str">
        <f t="shared" si="51"/>
        <v/>
      </c>
      <c r="H320" s="13" t="str">
        <f t="shared" si="52"/>
        <v/>
      </c>
      <c r="I320" t="str">
        <f t="shared" si="53"/>
        <v/>
      </c>
    </row>
    <row r="321" spans="1:9">
      <c r="A321">
        <f>CSV!B321</f>
        <v>0</v>
      </c>
      <c r="B321" s="13" t="e">
        <f>INDEX(Input!$D$2:$AC$500,
       MATCH(CPU_Formula!A321, Input!$J$2:$J$500, 0),
       MATCH("CPU model", Input!$D$1:$AC$1, 0))</f>
        <v>#N/A</v>
      </c>
      <c r="C321" s="13" t="str">
        <f t="shared" si="47"/>
        <v/>
      </c>
      <c r="D321" s="13" t="str">
        <f t="shared" si="48"/>
        <v/>
      </c>
      <c r="E321" s="13" t="str">
        <f t="shared" si="49"/>
        <v/>
      </c>
      <c r="F321" s="13" t="str">
        <f t="shared" si="50"/>
        <v/>
      </c>
      <c r="G321" s="13" t="str">
        <f t="shared" si="51"/>
        <v/>
      </c>
      <c r="H321" s="13" t="str">
        <f t="shared" si="52"/>
        <v/>
      </c>
      <c r="I321" t="str">
        <f t="shared" si="53"/>
        <v/>
      </c>
    </row>
    <row r="322" spans="1:9">
      <c r="A322">
        <f>CSV!B322</f>
        <v>0</v>
      </c>
      <c r="B322" s="13" t="e">
        <f>INDEX(Input!$D$2:$AC$500,
       MATCH(CPU_Formula!A322, Input!$J$2:$J$500, 0),
       MATCH("CPU model", Input!$D$1:$AC$1, 0))</f>
        <v>#N/A</v>
      </c>
      <c r="C322" s="13" t="str">
        <f t="shared" si="47"/>
        <v/>
      </c>
      <c r="D322" s="13" t="str">
        <f t="shared" si="48"/>
        <v/>
      </c>
      <c r="E322" s="13" t="str">
        <f t="shared" si="49"/>
        <v/>
      </c>
      <c r="F322" s="13" t="str">
        <f t="shared" si="50"/>
        <v/>
      </c>
      <c r="G322" s="13" t="str">
        <f t="shared" si="51"/>
        <v/>
      </c>
      <c r="H322" s="13" t="str">
        <f t="shared" si="52"/>
        <v/>
      </c>
      <c r="I322" t="str">
        <f t="shared" si="53"/>
        <v/>
      </c>
    </row>
    <row r="323" spans="1:9">
      <c r="A323">
        <f>CSV!B323</f>
        <v>0</v>
      </c>
      <c r="B323" s="13" t="e">
        <f>INDEX(Input!$D$2:$AC$500,
       MATCH(CPU_Formula!A323, Input!$J$2:$J$500, 0),
       MATCH("CPU model", Input!$D$1:$AC$1, 0))</f>
        <v>#N/A</v>
      </c>
      <c r="C323" s="13" t="str">
        <f t="shared" si="47"/>
        <v/>
      </c>
      <c r="D323" s="13" t="str">
        <f t="shared" si="48"/>
        <v/>
      </c>
      <c r="E323" s="13" t="str">
        <f t="shared" si="49"/>
        <v/>
      </c>
      <c r="F323" s="13" t="str">
        <f t="shared" si="50"/>
        <v/>
      </c>
      <c r="G323" s="13" t="str">
        <f t="shared" si="51"/>
        <v/>
      </c>
      <c r="H323" s="13" t="str">
        <f t="shared" si="52"/>
        <v/>
      </c>
      <c r="I323" t="str">
        <f t="shared" si="53"/>
        <v/>
      </c>
    </row>
    <row r="324" spans="1:9">
      <c r="A324">
        <f>CSV!B324</f>
        <v>0</v>
      </c>
      <c r="B324" s="13" t="e">
        <f>INDEX(Input!$D$2:$AC$500,
       MATCH(CPU_Formula!A324, Input!$J$2:$J$500, 0),
       MATCH("CPU model", Input!$D$1:$AC$1, 0))</f>
        <v>#N/A</v>
      </c>
      <c r="C324" s="13" t="str">
        <f t="shared" si="47"/>
        <v/>
      </c>
      <c r="D324" s="13" t="str">
        <f t="shared" si="48"/>
        <v/>
      </c>
      <c r="E324" s="13" t="str">
        <f t="shared" si="49"/>
        <v/>
      </c>
      <c r="F324" s="13" t="str">
        <f t="shared" si="50"/>
        <v/>
      </c>
      <c r="G324" s="13" t="str">
        <f t="shared" si="51"/>
        <v/>
      </c>
      <c r="H324" s="13" t="str">
        <f t="shared" si="52"/>
        <v/>
      </c>
      <c r="I324" t="str">
        <f t="shared" si="53"/>
        <v/>
      </c>
    </row>
    <row r="325" spans="1:9">
      <c r="A325">
        <f>CSV!B325</f>
        <v>0</v>
      </c>
      <c r="B325" s="13" t="e">
        <f>INDEX(Input!$D$2:$AC$500,
       MATCH(CPU_Formula!A325, Input!$J$2:$J$500, 0),
       MATCH("CPU model", Input!$D$1:$AC$1, 0))</f>
        <v>#N/A</v>
      </c>
      <c r="C325" s="13" t="str">
        <f t="shared" si="47"/>
        <v/>
      </c>
      <c r="D325" s="13" t="str">
        <f t="shared" si="48"/>
        <v/>
      </c>
      <c r="E325" s="13" t="str">
        <f t="shared" si="49"/>
        <v/>
      </c>
      <c r="F325" s="13" t="str">
        <f t="shared" si="50"/>
        <v/>
      </c>
      <c r="G325" s="13" t="str">
        <f t="shared" si="51"/>
        <v/>
      </c>
      <c r="H325" s="13" t="str">
        <f t="shared" si="52"/>
        <v/>
      </c>
      <c r="I325" t="str">
        <f t="shared" si="53"/>
        <v/>
      </c>
    </row>
    <row r="326" spans="1:9">
      <c r="A326">
        <f>CSV!B326</f>
        <v>0</v>
      </c>
      <c r="B326" s="13" t="e">
        <f>INDEX(Input!$D$2:$AC$500,
       MATCH(CPU_Formula!A326, Input!$J$2:$J$500, 0),
       MATCH("CPU model", Input!$D$1:$AC$1, 0))</f>
        <v>#N/A</v>
      </c>
      <c r="C326" s="13" t="str">
        <f t="shared" si="47"/>
        <v/>
      </c>
      <c r="D326" s="13" t="str">
        <f t="shared" si="48"/>
        <v/>
      </c>
      <c r="E326" s="13" t="str">
        <f t="shared" si="49"/>
        <v/>
      </c>
      <c r="F326" s="13" t="str">
        <f t="shared" si="50"/>
        <v/>
      </c>
      <c r="G326" s="13" t="str">
        <f t="shared" si="51"/>
        <v/>
      </c>
      <c r="H326" s="13" t="str">
        <f t="shared" si="52"/>
        <v/>
      </c>
      <c r="I326" t="str">
        <f t="shared" si="53"/>
        <v/>
      </c>
    </row>
    <row r="327" spans="1:9">
      <c r="A327">
        <f>CSV!B327</f>
        <v>0</v>
      </c>
      <c r="B327" s="13" t="e">
        <f>INDEX(Input!$D$2:$AC$500,
       MATCH(CPU_Formula!A327, Input!$J$2:$J$500, 0),
       MATCH("CPU model", Input!$D$1:$AC$1, 0))</f>
        <v>#N/A</v>
      </c>
      <c r="C327" s="13" t="str">
        <f t="shared" si="47"/>
        <v/>
      </c>
      <c r="D327" s="13" t="str">
        <f t="shared" si="48"/>
        <v/>
      </c>
      <c r="E327" s="13" t="str">
        <f t="shared" si="49"/>
        <v/>
      </c>
      <c r="F327" s="13" t="str">
        <f t="shared" si="50"/>
        <v/>
      </c>
      <c r="G327" s="13" t="str">
        <f t="shared" si="51"/>
        <v/>
      </c>
      <c r="H327" s="13" t="str">
        <f t="shared" si="52"/>
        <v/>
      </c>
      <c r="I327" t="str">
        <f t="shared" si="53"/>
        <v/>
      </c>
    </row>
    <row r="328" spans="1:9">
      <c r="A328">
        <f>CSV!B328</f>
        <v>0</v>
      </c>
      <c r="B328" s="13" t="e">
        <f>INDEX(Input!$D$2:$AC$500,
       MATCH(CPU_Formula!A328, Input!$J$2:$J$500, 0),
       MATCH("CPU model", Input!$D$1:$AC$1, 0))</f>
        <v>#N/A</v>
      </c>
      <c r="C328" s="13" t="str">
        <f t="shared" si="47"/>
        <v/>
      </c>
      <c r="D328" s="13" t="str">
        <f t="shared" si="48"/>
        <v/>
      </c>
      <c r="E328" s="13" t="str">
        <f t="shared" si="49"/>
        <v/>
      </c>
      <c r="F328" s="13" t="str">
        <f t="shared" si="50"/>
        <v/>
      </c>
      <c r="G328" s="13" t="str">
        <f t="shared" si="51"/>
        <v/>
      </c>
      <c r="H328" s="13" t="str">
        <f t="shared" si="52"/>
        <v/>
      </c>
      <c r="I328" t="str">
        <f t="shared" si="53"/>
        <v/>
      </c>
    </row>
    <row r="329" spans="1:9">
      <c r="A329">
        <f>CSV!B329</f>
        <v>0</v>
      </c>
      <c r="B329" s="13" t="e">
        <f>INDEX(Input!$D$2:$AC$500,
       MATCH(CPU_Formula!A329, Input!$J$2:$J$500, 0),
       MATCH("CPU model", Input!$D$1:$AC$1, 0))</f>
        <v>#N/A</v>
      </c>
      <c r="C329" s="13" t="str">
        <f t="shared" si="47"/>
        <v/>
      </c>
      <c r="D329" s="13" t="str">
        <f t="shared" si="48"/>
        <v/>
      </c>
      <c r="E329" s="13" t="str">
        <f t="shared" si="49"/>
        <v/>
      </c>
      <c r="F329" s="13" t="str">
        <f t="shared" si="50"/>
        <v/>
      </c>
      <c r="G329" s="13" t="str">
        <f t="shared" si="51"/>
        <v/>
      </c>
      <c r="H329" s="13" t="str">
        <f t="shared" si="52"/>
        <v/>
      </c>
      <c r="I329" t="str">
        <f t="shared" si="53"/>
        <v/>
      </c>
    </row>
    <row r="330" spans="1:9">
      <c r="A330">
        <f>CSV!B330</f>
        <v>0</v>
      </c>
      <c r="B330" s="13" t="e">
        <f>INDEX(Input!$D$2:$AC$500,
       MATCH(CPU_Formula!A330, Input!$J$2:$J$500, 0),
       MATCH("CPU model", Input!$D$1:$AC$1, 0))</f>
        <v>#N/A</v>
      </c>
      <c r="C330" s="13" t="str">
        <f t="shared" si="47"/>
        <v/>
      </c>
      <c r="D330" s="13" t="str">
        <f t="shared" si="48"/>
        <v/>
      </c>
      <c r="E330" s="13" t="str">
        <f t="shared" si="49"/>
        <v/>
      </c>
      <c r="F330" s="13" t="str">
        <f t="shared" si="50"/>
        <v/>
      </c>
      <c r="G330" s="13" t="str">
        <f t="shared" si="51"/>
        <v/>
      </c>
      <c r="H330" s="13" t="str">
        <f t="shared" si="52"/>
        <v/>
      </c>
      <c r="I330" t="str">
        <f t="shared" si="53"/>
        <v/>
      </c>
    </row>
    <row r="331" spans="1:9">
      <c r="A331">
        <f>CSV!B331</f>
        <v>0</v>
      </c>
      <c r="B331" s="13" t="e">
        <f>INDEX(Input!$D$2:$AC$500,
       MATCH(CPU_Formula!A331, Input!$J$2:$J$500, 0),
       MATCH("CPU model", Input!$D$1:$AC$1, 0))</f>
        <v>#N/A</v>
      </c>
      <c r="C331" s="13" t="str">
        <f t="shared" si="47"/>
        <v/>
      </c>
      <c r="D331" s="13" t="str">
        <f t="shared" si="48"/>
        <v/>
      </c>
      <c r="E331" s="13" t="str">
        <f t="shared" si="49"/>
        <v/>
      </c>
      <c r="F331" s="13" t="str">
        <f t="shared" si="50"/>
        <v/>
      </c>
      <c r="G331" s="13" t="str">
        <f t="shared" si="51"/>
        <v/>
      </c>
      <c r="H331" s="13" t="str">
        <f t="shared" si="52"/>
        <v/>
      </c>
      <c r="I331" t="str">
        <f t="shared" si="53"/>
        <v/>
      </c>
    </row>
    <row r="332" spans="1:9">
      <c r="A332">
        <f>CSV!B332</f>
        <v>0</v>
      </c>
      <c r="B332" s="13" t="e">
        <f>INDEX(Input!$D$2:$AC$500,
       MATCH(CPU_Formula!A332, Input!$J$2:$J$500, 0),
       MATCH("CPU model", Input!$D$1:$AC$1, 0))</f>
        <v>#N/A</v>
      </c>
      <c r="C332" s="13" t="str">
        <f t="shared" si="47"/>
        <v/>
      </c>
      <c r="D332" s="13" t="str">
        <f t="shared" si="48"/>
        <v/>
      </c>
      <c r="E332" s="13" t="str">
        <f t="shared" si="49"/>
        <v/>
      </c>
      <c r="F332" s="13" t="str">
        <f t="shared" si="50"/>
        <v/>
      </c>
      <c r="G332" s="13" t="str">
        <f t="shared" si="51"/>
        <v/>
      </c>
      <c r="H332" s="13" t="str">
        <f t="shared" si="52"/>
        <v/>
      </c>
      <c r="I332" t="str">
        <f t="shared" si="53"/>
        <v/>
      </c>
    </row>
    <row r="333" spans="1:9">
      <c r="A333">
        <f>CSV!B333</f>
        <v>0</v>
      </c>
      <c r="B333" s="13" t="e">
        <f>INDEX(Input!$D$2:$AC$500,
       MATCH(CPU_Formula!A333, Input!$J$2:$J$500, 0),
       MATCH("CPU model", Input!$D$1:$AC$1, 0))</f>
        <v>#N/A</v>
      </c>
      <c r="C333" s="13" t="str">
        <f t="shared" si="47"/>
        <v/>
      </c>
      <c r="D333" s="13" t="str">
        <f t="shared" si="48"/>
        <v/>
      </c>
      <c r="E333" s="13" t="str">
        <f t="shared" si="49"/>
        <v/>
      </c>
      <c r="F333" s="13" t="str">
        <f t="shared" si="50"/>
        <v/>
      </c>
      <c r="G333" s="13" t="str">
        <f t="shared" si="51"/>
        <v/>
      </c>
      <c r="H333" s="13" t="str">
        <f t="shared" si="52"/>
        <v/>
      </c>
      <c r="I333" t="str">
        <f t="shared" si="53"/>
        <v/>
      </c>
    </row>
    <row r="334" spans="1:9">
      <c r="A334">
        <f>CSV!B334</f>
        <v>0</v>
      </c>
      <c r="B334" s="13" t="e">
        <f>INDEX(Input!$D$2:$AC$500,
       MATCH(CPU_Formula!A334, Input!$J$2:$J$500, 0),
       MATCH("CPU model", Input!$D$1:$AC$1, 0))</f>
        <v>#N/A</v>
      </c>
      <c r="C334" s="13" t="str">
        <f t="shared" si="47"/>
        <v/>
      </c>
      <c r="D334" s="13" t="str">
        <f t="shared" si="48"/>
        <v/>
      </c>
      <c r="E334" s="13" t="str">
        <f t="shared" si="49"/>
        <v/>
      </c>
      <c r="F334" s="13" t="str">
        <f t="shared" si="50"/>
        <v/>
      </c>
      <c r="G334" s="13" t="str">
        <f t="shared" si="51"/>
        <v/>
      </c>
      <c r="H334" s="13" t="str">
        <f t="shared" si="52"/>
        <v/>
      </c>
      <c r="I334" t="str">
        <f t="shared" si="53"/>
        <v/>
      </c>
    </row>
    <row r="335" spans="1:9">
      <c r="A335">
        <f>CSV!B335</f>
        <v>0</v>
      </c>
      <c r="B335" s="13" t="e">
        <f>INDEX(Input!$D$2:$AC$500,
       MATCH(CPU_Formula!A335, Input!$J$2:$J$500, 0),
       MATCH("CPU model", Input!$D$1:$AC$1, 0))</f>
        <v>#N/A</v>
      </c>
      <c r="C335" s="13" t="str">
        <f t="shared" si="47"/>
        <v/>
      </c>
      <c r="D335" s="13" t="str">
        <f t="shared" si="48"/>
        <v/>
      </c>
      <c r="E335" s="13" t="str">
        <f t="shared" si="49"/>
        <v/>
      </c>
      <c r="F335" s="13" t="str">
        <f t="shared" si="50"/>
        <v/>
      </c>
      <c r="G335" s="13" t="str">
        <f t="shared" si="51"/>
        <v/>
      </c>
      <c r="H335" s="13" t="str">
        <f t="shared" si="52"/>
        <v/>
      </c>
      <c r="I335" t="str">
        <f t="shared" si="53"/>
        <v/>
      </c>
    </row>
    <row r="336" spans="1:9">
      <c r="A336">
        <f>CSV!B336</f>
        <v>0</v>
      </c>
      <c r="B336" s="13" t="e">
        <f>INDEX(Input!$D$2:$AC$500,
       MATCH(CPU_Formula!A336, Input!$J$2:$J$500, 0),
       MATCH("CPU model", Input!$D$1:$AC$1, 0))</f>
        <v>#N/A</v>
      </c>
      <c r="C336" s="13" t="str">
        <f t="shared" si="47"/>
        <v/>
      </c>
      <c r="D336" s="13" t="str">
        <f t="shared" si="48"/>
        <v/>
      </c>
      <c r="E336" s="13" t="str">
        <f t="shared" si="49"/>
        <v/>
      </c>
      <c r="F336" s="13" t="str">
        <f t="shared" si="50"/>
        <v/>
      </c>
      <c r="G336" s="13" t="str">
        <f t="shared" si="51"/>
        <v/>
      </c>
      <c r="H336" s="13" t="str">
        <f t="shared" si="52"/>
        <v/>
      </c>
      <c r="I336" t="str">
        <f t="shared" si="53"/>
        <v/>
      </c>
    </row>
    <row r="337" spans="1:9">
      <c r="A337">
        <f>CSV!B337</f>
        <v>0</v>
      </c>
      <c r="B337" s="13" t="e">
        <f>INDEX(Input!$D$2:$AC$500,
       MATCH(CPU_Formula!A337, Input!$J$2:$J$500, 0),
       MATCH("CPU model", Input!$D$1:$AC$1, 0))</f>
        <v>#N/A</v>
      </c>
      <c r="C337" s="13" t="str">
        <f t="shared" si="47"/>
        <v/>
      </c>
      <c r="D337" s="13" t="str">
        <f t="shared" si="48"/>
        <v/>
      </c>
      <c r="E337" s="13" t="str">
        <f t="shared" si="49"/>
        <v/>
      </c>
      <c r="F337" s="13" t="str">
        <f t="shared" si="50"/>
        <v/>
      </c>
      <c r="G337" s="13" t="str">
        <f t="shared" si="51"/>
        <v/>
      </c>
      <c r="H337" s="13" t="str">
        <f t="shared" si="52"/>
        <v/>
      </c>
      <c r="I337" t="str">
        <f t="shared" si="53"/>
        <v/>
      </c>
    </row>
    <row r="338" spans="1:9">
      <c r="A338">
        <f>CSV!B338</f>
        <v>0</v>
      </c>
      <c r="B338" s="13" t="e">
        <f>INDEX(Input!$D$2:$AC$500,
       MATCH(CPU_Formula!A338, Input!$J$2:$J$500, 0),
       MATCH("CPU model", Input!$D$1:$AC$1, 0))</f>
        <v>#N/A</v>
      </c>
      <c r="C338" s="13" t="str">
        <f t="shared" si="47"/>
        <v/>
      </c>
      <c r="D338" s="13" t="str">
        <f t="shared" si="48"/>
        <v/>
      </c>
      <c r="E338" s="13" t="str">
        <f t="shared" si="49"/>
        <v/>
      </c>
      <c r="F338" s="13" t="str">
        <f t="shared" si="50"/>
        <v/>
      </c>
      <c r="G338" s="13" t="str">
        <f t="shared" si="51"/>
        <v/>
      </c>
      <c r="H338" s="13" t="str">
        <f t="shared" si="52"/>
        <v/>
      </c>
      <c r="I338" t="str">
        <f t="shared" si="53"/>
        <v/>
      </c>
    </row>
    <row r="339" spans="1:9">
      <c r="A339">
        <f>CSV!B339</f>
        <v>0</v>
      </c>
      <c r="B339" s="13" t="e">
        <f>INDEX(Input!$D$2:$AC$500,
       MATCH(CPU_Formula!A339, Input!$J$2:$J$500, 0),
       MATCH("CPU model", Input!$D$1:$AC$1, 0))</f>
        <v>#N/A</v>
      </c>
      <c r="C339" s="13" t="str">
        <f t="shared" si="47"/>
        <v/>
      </c>
      <c r="D339" s="13" t="str">
        <f t="shared" si="48"/>
        <v/>
      </c>
      <c r="E339" s="13" t="str">
        <f t="shared" si="49"/>
        <v/>
      </c>
      <c r="F339" s="13" t="str">
        <f t="shared" si="50"/>
        <v/>
      </c>
      <c r="G339" s="13" t="str">
        <f t="shared" si="51"/>
        <v/>
      </c>
      <c r="H339" s="13" t="str">
        <f t="shared" si="52"/>
        <v/>
      </c>
      <c r="I339" t="str">
        <f t="shared" si="53"/>
        <v/>
      </c>
    </row>
    <row r="340" spans="1:9">
      <c r="A340">
        <f>CSV!B340</f>
        <v>0</v>
      </c>
      <c r="B340" s="13" t="e">
        <f>INDEX(Input!$D$2:$AC$500,
       MATCH(CPU_Formula!A340, Input!$J$2:$J$500, 0),
       MATCH("CPU model", Input!$D$1:$AC$1, 0))</f>
        <v>#N/A</v>
      </c>
      <c r="C340" s="13" t="str">
        <f t="shared" si="47"/>
        <v/>
      </c>
      <c r="D340" s="13" t="str">
        <f t="shared" si="48"/>
        <v/>
      </c>
      <c r="E340" s="13" t="str">
        <f t="shared" si="49"/>
        <v/>
      </c>
      <c r="F340" s="13" t="str">
        <f t="shared" si="50"/>
        <v/>
      </c>
      <c r="G340" s="13" t="str">
        <f t="shared" si="51"/>
        <v/>
      </c>
      <c r="H340" s="13" t="str">
        <f t="shared" si="52"/>
        <v/>
      </c>
      <c r="I340" t="str">
        <f t="shared" si="53"/>
        <v/>
      </c>
    </row>
    <row r="341" spans="1:9">
      <c r="A341">
        <f>CSV!B341</f>
        <v>0</v>
      </c>
      <c r="B341" s="13" t="e">
        <f>INDEX(Input!$D$2:$AC$500,
       MATCH(CPU_Formula!A341, Input!$J$2:$J$500, 0),
       MATCH("CPU model", Input!$D$1:$AC$1, 0))</f>
        <v>#N/A</v>
      </c>
      <c r="C341" s="13" t="str">
        <f t="shared" si="47"/>
        <v/>
      </c>
      <c r="D341" s="13" t="str">
        <f t="shared" si="48"/>
        <v/>
      </c>
      <c r="E341" s="13" t="str">
        <f t="shared" si="49"/>
        <v/>
      </c>
      <c r="F341" s="13" t="str">
        <f t="shared" si="50"/>
        <v/>
      </c>
      <c r="G341" s="13" t="str">
        <f t="shared" si="51"/>
        <v/>
      </c>
      <c r="H341" s="13" t="str">
        <f t="shared" si="52"/>
        <v/>
      </c>
      <c r="I341" t="str">
        <f t="shared" si="53"/>
        <v/>
      </c>
    </row>
    <row r="342" spans="1:9">
      <c r="A342">
        <f>CSV!B342</f>
        <v>0</v>
      </c>
      <c r="B342" s="13" t="e">
        <f>INDEX(Input!$D$2:$AC$500,
       MATCH(CPU_Formula!A342, Input!$J$2:$J$500, 0),
       MATCH("CPU model", Input!$D$1:$AC$1, 0))</f>
        <v>#N/A</v>
      </c>
      <c r="C342" s="13" t="str">
        <f t="shared" si="47"/>
        <v/>
      </c>
      <c r="D342" s="13" t="str">
        <f t="shared" si="48"/>
        <v/>
      </c>
      <c r="E342" s="13" t="str">
        <f t="shared" si="49"/>
        <v/>
      </c>
      <c r="F342" s="13" t="str">
        <f t="shared" si="50"/>
        <v/>
      </c>
      <c r="G342" s="13" t="str">
        <f t="shared" si="51"/>
        <v/>
      </c>
      <c r="H342" s="13" t="str">
        <f t="shared" si="52"/>
        <v/>
      </c>
      <c r="I342" t="str">
        <f t="shared" si="53"/>
        <v/>
      </c>
    </row>
    <row r="343" spans="1:9">
      <c r="A343">
        <f>CSV!B343</f>
        <v>0</v>
      </c>
      <c r="B343" s="13" t="e">
        <f>INDEX(Input!$D$2:$AC$500,
       MATCH(CPU_Formula!A343, Input!$J$2:$J$500, 0),
       MATCH("CPU model", Input!$D$1:$AC$1, 0))</f>
        <v>#N/A</v>
      </c>
      <c r="C343" s="13" t="str">
        <f t="shared" si="47"/>
        <v/>
      </c>
      <c r="D343" s="13" t="str">
        <f t="shared" si="48"/>
        <v/>
      </c>
      <c r="E343" s="13" t="str">
        <f t="shared" si="49"/>
        <v/>
      </c>
      <c r="F343" s="13" t="str">
        <f t="shared" si="50"/>
        <v/>
      </c>
      <c r="G343" s="13" t="str">
        <f t="shared" si="51"/>
        <v/>
      </c>
      <c r="H343" s="13" t="str">
        <f t="shared" si="52"/>
        <v/>
      </c>
      <c r="I343" t="str">
        <f t="shared" si="53"/>
        <v/>
      </c>
    </row>
    <row r="344" spans="1:9">
      <c r="A344">
        <f>CSV!B344</f>
        <v>0</v>
      </c>
      <c r="B344" s="13" t="e">
        <f>INDEX(Input!$D$2:$AC$500,
       MATCH(CPU_Formula!A344, Input!$J$2:$J$500, 0),
       MATCH("CPU model", Input!$D$1:$AC$1, 0))</f>
        <v>#N/A</v>
      </c>
      <c r="C344" s="13" t="str">
        <f t="shared" si="47"/>
        <v/>
      </c>
      <c r="D344" s="13" t="str">
        <f t="shared" si="48"/>
        <v/>
      </c>
      <c r="E344" s="13" t="str">
        <f t="shared" si="49"/>
        <v/>
      </c>
      <c r="F344" s="13" t="str">
        <f t="shared" si="50"/>
        <v/>
      </c>
      <c r="G344" s="13" t="str">
        <f t="shared" si="51"/>
        <v/>
      </c>
      <c r="H344" s="13" t="str">
        <f t="shared" si="52"/>
        <v/>
      </c>
      <c r="I344" t="str">
        <f t="shared" si="53"/>
        <v/>
      </c>
    </row>
    <row r="345" spans="1:9">
      <c r="A345">
        <f>CSV!B345</f>
        <v>0</v>
      </c>
      <c r="B345" s="13" t="e">
        <f>INDEX(Input!$D$2:$AC$500,
       MATCH(CPU_Formula!A345, Input!$J$2:$J$500, 0),
       MATCH("CPU model", Input!$D$1:$AC$1, 0))</f>
        <v>#N/A</v>
      </c>
      <c r="C345" s="13" t="str">
        <f t="shared" si="47"/>
        <v/>
      </c>
      <c r="D345" s="13" t="str">
        <f t="shared" si="48"/>
        <v/>
      </c>
      <c r="E345" s="13" t="str">
        <f t="shared" si="49"/>
        <v/>
      </c>
      <c r="F345" s="13" t="str">
        <f t="shared" si="50"/>
        <v/>
      </c>
      <c r="G345" s="13" t="str">
        <f t="shared" si="51"/>
        <v/>
      </c>
      <c r="H345" s="13" t="str">
        <f t="shared" si="52"/>
        <v/>
      </c>
      <c r="I345" t="str">
        <f t="shared" si="53"/>
        <v/>
      </c>
    </row>
    <row r="346" spans="1:9">
      <c r="A346">
        <f>CSV!B346</f>
        <v>0</v>
      </c>
      <c r="B346" s="13" t="e">
        <f>INDEX(Input!$D$2:$AC$500,
       MATCH(CPU_Formula!A346, Input!$J$2:$J$500, 0),
       MATCH("CPU model", Input!$D$1:$AC$1, 0))</f>
        <v>#N/A</v>
      </c>
      <c r="C346" s="13" t="str">
        <f t="shared" si="47"/>
        <v/>
      </c>
      <c r="D346" s="13" t="str">
        <f t="shared" si="48"/>
        <v/>
      </c>
      <c r="E346" s="13" t="str">
        <f t="shared" si="49"/>
        <v/>
      </c>
      <c r="F346" s="13" t="str">
        <f t="shared" si="50"/>
        <v/>
      </c>
      <c r="G346" s="13" t="str">
        <f t="shared" si="51"/>
        <v/>
      </c>
      <c r="H346" s="13" t="str">
        <f t="shared" si="52"/>
        <v/>
      </c>
      <c r="I346" t="str">
        <f t="shared" si="53"/>
        <v/>
      </c>
    </row>
    <row r="347" spans="1:9">
      <c r="A347">
        <f>CSV!B347</f>
        <v>0</v>
      </c>
      <c r="B347" s="13" t="e">
        <f>INDEX(Input!$D$2:$AC$500,
       MATCH(CPU_Formula!A347, Input!$J$2:$J$500, 0),
       MATCH("CPU model", Input!$D$1:$AC$1, 0))</f>
        <v>#N/A</v>
      </c>
      <c r="C347" s="13" t="str">
        <f t="shared" si="47"/>
        <v/>
      </c>
      <c r="D347" s="13" t="str">
        <f t="shared" si="48"/>
        <v/>
      </c>
      <c r="E347" s="13" t="str">
        <f t="shared" si="49"/>
        <v/>
      </c>
      <c r="F347" s="13" t="str">
        <f t="shared" si="50"/>
        <v/>
      </c>
      <c r="G347" s="13" t="str">
        <f t="shared" si="51"/>
        <v/>
      </c>
      <c r="H347" s="13" t="str">
        <f t="shared" si="52"/>
        <v/>
      </c>
      <c r="I347" t="str">
        <f t="shared" si="53"/>
        <v/>
      </c>
    </row>
    <row r="348" spans="1:9">
      <c r="A348">
        <f>CSV!B348</f>
        <v>0</v>
      </c>
      <c r="B348" s="13" t="e">
        <f>INDEX(Input!$D$2:$AC$500,
       MATCH(CPU_Formula!A348, Input!$J$2:$J$500, 0),
       MATCH("CPU model", Input!$D$1:$AC$1, 0))</f>
        <v>#N/A</v>
      </c>
      <c r="C348" s="13" t="str">
        <f t="shared" si="47"/>
        <v/>
      </c>
      <c r="D348" s="13" t="str">
        <f t="shared" si="48"/>
        <v/>
      </c>
      <c r="E348" s="13" t="str">
        <f t="shared" si="49"/>
        <v/>
      </c>
      <c r="F348" s="13" t="str">
        <f t="shared" si="50"/>
        <v/>
      </c>
      <c r="G348" s="13" t="str">
        <f t="shared" si="51"/>
        <v/>
      </c>
      <c r="H348" s="13" t="str">
        <f t="shared" si="52"/>
        <v/>
      </c>
      <c r="I348" t="str">
        <f t="shared" si="53"/>
        <v/>
      </c>
    </row>
    <row r="349" spans="1:9">
      <c r="A349">
        <f>CSV!B349</f>
        <v>0</v>
      </c>
      <c r="B349" s="13" t="e">
        <f>INDEX(Input!$D$2:$AC$500,
       MATCH(CPU_Formula!A349, Input!$J$2:$J$500, 0),
       MATCH("CPU model", Input!$D$1:$AC$1, 0))</f>
        <v>#N/A</v>
      </c>
      <c r="C349" s="13" t="str">
        <f t="shared" si="47"/>
        <v/>
      </c>
      <c r="D349" s="13" t="str">
        <f t="shared" si="48"/>
        <v/>
      </c>
      <c r="E349" s="13" t="str">
        <f t="shared" si="49"/>
        <v/>
      </c>
      <c r="F349" s="13" t="str">
        <f t="shared" si="50"/>
        <v/>
      </c>
      <c r="G349" s="13" t="str">
        <f t="shared" si="51"/>
        <v/>
      </c>
      <c r="H349" s="13" t="str">
        <f t="shared" si="52"/>
        <v/>
      </c>
      <c r="I349" t="str">
        <f t="shared" si="53"/>
        <v/>
      </c>
    </row>
    <row r="350" spans="1:9">
      <c r="A350">
        <f>CSV!B350</f>
        <v>0</v>
      </c>
      <c r="B350" s="13" t="e">
        <f>INDEX(Input!$D$2:$AC$500,
       MATCH(CPU_Formula!A350, Input!$J$2:$J$500, 0),
       MATCH("CPU model", Input!$D$1:$AC$1, 0))</f>
        <v>#N/A</v>
      </c>
      <c r="C350" s="13" t="str">
        <f t="shared" si="47"/>
        <v/>
      </c>
      <c r="D350" s="13" t="str">
        <f t="shared" si="48"/>
        <v/>
      </c>
      <c r="E350" s="13" t="str">
        <f t="shared" si="49"/>
        <v/>
      </c>
      <c r="F350" s="13" t="str">
        <f t="shared" si="50"/>
        <v/>
      </c>
      <c r="G350" s="13" t="str">
        <f t="shared" si="51"/>
        <v/>
      </c>
      <c r="H350" s="13" t="str">
        <f t="shared" si="52"/>
        <v/>
      </c>
      <c r="I350" t="str">
        <f t="shared" si="53"/>
        <v/>
      </c>
    </row>
    <row r="351" spans="1:9">
      <c r="A351">
        <f>CSV!B351</f>
        <v>0</v>
      </c>
      <c r="B351" s="13" t="e">
        <f>INDEX(Input!$D$2:$AC$500,
       MATCH(CPU_Formula!A351, Input!$J$2:$J$500, 0),
       MATCH("CPU model", Input!$D$1:$AC$1, 0))</f>
        <v>#N/A</v>
      </c>
      <c r="C351" s="13" t="str">
        <f t="shared" si="47"/>
        <v/>
      </c>
      <c r="D351" s="13" t="str">
        <f t="shared" si="48"/>
        <v/>
      </c>
      <c r="E351" s="13" t="str">
        <f t="shared" si="49"/>
        <v/>
      </c>
      <c r="F351" s="13" t="str">
        <f t="shared" si="50"/>
        <v/>
      </c>
      <c r="G351" s="13" t="str">
        <f t="shared" si="51"/>
        <v/>
      </c>
      <c r="H351" s="13" t="str">
        <f t="shared" si="52"/>
        <v/>
      </c>
      <c r="I351" t="str">
        <f t="shared" si="53"/>
        <v/>
      </c>
    </row>
    <row r="352" spans="1:9">
      <c r="A352">
        <f>CSV!B352</f>
        <v>0</v>
      </c>
      <c r="B352" s="13" t="e">
        <f>INDEX(Input!$D$2:$AC$500,
       MATCH(CPU_Formula!A352, Input!$J$2:$J$500, 0),
       MATCH("CPU model", Input!$D$1:$AC$1, 0))</f>
        <v>#N/A</v>
      </c>
      <c r="C352" s="13" t="str">
        <f t="shared" si="47"/>
        <v/>
      </c>
      <c r="D352" s="13" t="str">
        <f t="shared" si="48"/>
        <v/>
      </c>
      <c r="E352" s="13" t="str">
        <f t="shared" si="49"/>
        <v/>
      </c>
      <c r="F352" s="13" t="str">
        <f t="shared" si="50"/>
        <v/>
      </c>
      <c r="G352" s="13" t="str">
        <f t="shared" si="51"/>
        <v/>
      </c>
      <c r="H352" s="13" t="str">
        <f t="shared" si="52"/>
        <v/>
      </c>
      <c r="I352" t="str">
        <f t="shared" si="53"/>
        <v/>
      </c>
    </row>
    <row r="353" spans="1:9">
      <c r="A353">
        <f>CSV!B353</f>
        <v>0</v>
      </c>
      <c r="B353" s="13" t="e">
        <f>INDEX(Input!$D$2:$AC$500,
       MATCH(CPU_Formula!A353, Input!$J$2:$J$500, 0),
       MATCH("CPU model", Input!$D$1:$AC$1, 0))</f>
        <v>#N/A</v>
      </c>
      <c r="C353" s="13" t="str">
        <f t="shared" si="47"/>
        <v/>
      </c>
      <c r="D353" s="13" t="str">
        <f t="shared" si="48"/>
        <v/>
      </c>
      <c r="E353" s="13" t="str">
        <f t="shared" si="49"/>
        <v/>
      </c>
      <c r="F353" s="13" t="str">
        <f t="shared" si="50"/>
        <v/>
      </c>
      <c r="G353" s="13" t="str">
        <f t="shared" si="51"/>
        <v/>
      </c>
      <c r="H353" s="13" t="str">
        <f t="shared" si="52"/>
        <v/>
      </c>
      <c r="I353" t="str">
        <f t="shared" si="53"/>
        <v/>
      </c>
    </row>
    <row r="354" spans="1:9">
      <c r="A354">
        <f>CSV!B354</f>
        <v>0</v>
      </c>
      <c r="B354" s="13" t="e">
        <f>INDEX(Input!$D$2:$AC$500,
       MATCH(CPU_Formula!A354, Input!$J$2:$J$500, 0),
       MATCH("CPU model", Input!$D$1:$AC$1, 0))</f>
        <v>#N/A</v>
      </c>
      <c r="C354" s="13" t="str">
        <f t="shared" si="47"/>
        <v/>
      </c>
      <c r="D354" s="13" t="str">
        <f t="shared" si="48"/>
        <v/>
      </c>
      <c r="E354" s="13" t="str">
        <f t="shared" si="49"/>
        <v/>
      </c>
      <c r="F354" s="13" t="str">
        <f t="shared" si="50"/>
        <v/>
      </c>
      <c r="G354" s="13" t="str">
        <f t="shared" si="51"/>
        <v/>
      </c>
      <c r="H354" s="13" t="str">
        <f t="shared" si="52"/>
        <v/>
      </c>
      <c r="I354" t="str">
        <f t="shared" si="53"/>
        <v/>
      </c>
    </row>
    <row r="355" spans="1:9">
      <c r="A355">
        <f>CSV!B355</f>
        <v>0</v>
      </c>
      <c r="B355" s="13" t="e">
        <f>INDEX(Input!$D$2:$AC$500,
       MATCH(CPU_Formula!A355, Input!$J$2:$J$500, 0),
       MATCH("CPU model", Input!$D$1:$AC$1, 0))</f>
        <v>#N/A</v>
      </c>
      <c r="C355" s="13" t="str">
        <f t="shared" si="47"/>
        <v/>
      </c>
      <c r="D355" s="13" t="str">
        <f t="shared" si="48"/>
        <v/>
      </c>
      <c r="E355" s="13" t="str">
        <f t="shared" si="49"/>
        <v/>
      </c>
      <c r="F355" s="13" t="str">
        <f t="shared" si="50"/>
        <v/>
      </c>
      <c r="G355" s="13" t="str">
        <f t="shared" si="51"/>
        <v/>
      </c>
      <c r="H355" s="13" t="str">
        <f t="shared" si="52"/>
        <v/>
      </c>
      <c r="I355" t="str">
        <f t="shared" si="53"/>
        <v/>
      </c>
    </row>
    <row r="356" spans="1:9">
      <c r="A356">
        <f>CSV!B356</f>
        <v>0</v>
      </c>
      <c r="B356" s="13" t="e">
        <f>INDEX(Input!$D$2:$AC$500,
       MATCH(CPU_Formula!A356, Input!$J$2:$J$500, 0),
       MATCH("CPU model", Input!$D$1:$AC$1, 0))</f>
        <v>#N/A</v>
      </c>
      <c r="C356" s="13" t="str">
        <f t="shared" si="47"/>
        <v/>
      </c>
      <c r="D356" s="13" t="str">
        <f t="shared" si="48"/>
        <v/>
      </c>
      <c r="E356" s="13" t="str">
        <f t="shared" si="49"/>
        <v/>
      </c>
      <c r="F356" s="13" t="str">
        <f t="shared" si="50"/>
        <v/>
      </c>
      <c r="G356" s="13" t="str">
        <f t="shared" si="51"/>
        <v/>
      </c>
      <c r="H356" s="13" t="str">
        <f t="shared" si="52"/>
        <v/>
      </c>
      <c r="I356" t="str">
        <f t="shared" si="53"/>
        <v/>
      </c>
    </row>
    <row r="357" spans="1:9">
      <c r="A357">
        <f>CSV!B357</f>
        <v>0</v>
      </c>
      <c r="B357" s="13" t="e">
        <f>INDEX(Input!$D$2:$AC$500,
       MATCH(CPU_Formula!A357, Input!$J$2:$J$500, 0),
       MATCH("CPU model", Input!$D$1:$AC$1, 0))</f>
        <v>#N/A</v>
      </c>
      <c r="C357" s="13" t="str">
        <f t="shared" si="47"/>
        <v/>
      </c>
      <c r="D357" s="13" t="str">
        <f t="shared" si="48"/>
        <v/>
      </c>
      <c r="E357" s="13" t="str">
        <f t="shared" si="49"/>
        <v/>
      </c>
      <c r="F357" s="13" t="str">
        <f t="shared" si="50"/>
        <v/>
      </c>
      <c r="G357" s="13" t="str">
        <f t="shared" si="51"/>
        <v/>
      </c>
      <c r="H357" s="13" t="str">
        <f t="shared" si="52"/>
        <v/>
      </c>
      <c r="I357" t="str">
        <f t="shared" si="53"/>
        <v/>
      </c>
    </row>
    <row r="358" spans="1:9">
      <c r="A358">
        <f>CSV!B358</f>
        <v>0</v>
      </c>
      <c r="B358" s="13" t="e">
        <f>INDEX(Input!$D$2:$AC$500,
       MATCH(CPU_Formula!A358, Input!$J$2:$J$500, 0),
       MATCH("CPU model", Input!$D$1:$AC$1, 0))</f>
        <v>#N/A</v>
      </c>
      <c r="C358" s="13" t="str">
        <f t="shared" si="47"/>
        <v/>
      </c>
      <c r="D358" s="13" t="str">
        <f t="shared" si="48"/>
        <v/>
      </c>
      <c r="E358" s="13" t="str">
        <f t="shared" si="49"/>
        <v/>
      </c>
      <c r="F358" s="13" t="str">
        <f t="shared" si="50"/>
        <v/>
      </c>
      <c r="G358" s="13" t="str">
        <f t="shared" si="51"/>
        <v/>
      </c>
      <c r="H358" s="13" t="str">
        <f t="shared" si="52"/>
        <v/>
      </c>
      <c r="I358" t="str">
        <f t="shared" si="53"/>
        <v/>
      </c>
    </row>
    <row r="359" spans="1:9">
      <c r="A359">
        <f>CSV!B359</f>
        <v>0</v>
      </c>
      <c r="B359" s="13" t="e">
        <f>INDEX(Input!$D$2:$AC$500,
       MATCH(CPU_Formula!A359, Input!$J$2:$J$500, 0),
       MATCH("CPU model", Input!$D$1:$AC$1, 0))</f>
        <v>#N/A</v>
      </c>
      <c r="C359" s="13" t="str">
        <f t="shared" si="47"/>
        <v/>
      </c>
      <c r="D359" s="13" t="str">
        <f t="shared" si="48"/>
        <v/>
      </c>
      <c r="E359" s="13" t="str">
        <f t="shared" si="49"/>
        <v/>
      </c>
      <c r="F359" s="13" t="str">
        <f t="shared" si="50"/>
        <v/>
      </c>
      <c r="G359" s="13" t="str">
        <f t="shared" si="51"/>
        <v/>
      </c>
      <c r="H359" s="13" t="str">
        <f t="shared" si="52"/>
        <v/>
      </c>
      <c r="I359" t="str">
        <f t="shared" si="53"/>
        <v/>
      </c>
    </row>
    <row r="360" spans="1:9">
      <c r="A360">
        <f>CSV!B360</f>
        <v>0</v>
      </c>
      <c r="B360" s="13" t="e">
        <f>INDEX(Input!$D$2:$AC$500,
       MATCH(CPU_Formula!A360, Input!$J$2:$J$500, 0),
       MATCH("CPU model", Input!$D$1:$AC$1, 0))</f>
        <v>#N/A</v>
      </c>
      <c r="C360" s="13" t="str">
        <f t="shared" ref="C360:C423" si="54">IFERROR(_xlfn.TEXTAFTER(B360,"Core(TM) "),IFERROR(_xlfn.TEXTAFTER(B360,"Xeon(R) CPU"),""))</f>
        <v/>
      </c>
      <c r="D360" s="13" t="str">
        <f t="shared" ref="D360:D423" si="55">IFERROR(_xlfn.TEXTAFTER(B360,"Ryzen "), "")</f>
        <v/>
      </c>
      <c r="E360" s="13" t="str">
        <f t="shared" ref="E360:E423" si="56">IF(ISNUMBER(SEARCH("Ultra", B360)), "Ultra"&amp;_xlfn.TEXTAFTER(B360, "Ultra"), "")</f>
        <v/>
      </c>
      <c r="F360" s="13" t="str">
        <f t="shared" ref="F360:F423" si="57">IF(C360&lt;&gt;"", TRIM(_xlfn.TEXTBEFORE(C360," ",,1,1)), "")</f>
        <v/>
      </c>
      <c r="G360" s="13" t="str">
        <f t="shared" ref="G360:G423" si="58">IF(D360&lt;&gt;"", TRIM(_xlfn.TEXTBEFORE(D360," ",,1)), "")</f>
        <v/>
      </c>
      <c r="H360" s="13" t="str">
        <f t="shared" ref="H360:H423" si="59">E360</f>
        <v/>
      </c>
      <c r="I360" t="str">
        <f t="shared" ref="I360:I423" si="60">IF(H360&lt;&gt;"",H360,IF(G360&lt;&gt;"",G360,F360))</f>
        <v/>
      </c>
    </row>
    <row r="361" spans="1:9">
      <c r="A361">
        <f>CSV!B361</f>
        <v>0</v>
      </c>
      <c r="B361" s="13" t="e">
        <f>INDEX(Input!$D$2:$AC$500,
       MATCH(CPU_Formula!A361, Input!$J$2:$J$500, 0),
       MATCH("CPU model", Input!$D$1:$AC$1, 0))</f>
        <v>#N/A</v>
      </c>
      <c r="C361" s="13" t="str">
        <f t="shared" si="54"/>
        <v/>
      </c>
      <c r="D361" s="13" t="str">
        <f t="shared" si="55"/>
        <v/>
      </c>
      <c r="E361" s="13" t="str">
        <f t="shared" si="56"/>
        <v/>
      </c>
      <c r="F361" s="13" t="str">
        <f t="shared" si="57"/>
        <v/>
      </c>
      <c r="G361" s="13" t="str">
        <f t="shared" si="58"/>
        <v/>
      </c>
      <c r="H361" s="13" t="str">
        <f t="shared" si="59"/>
        <v/>
      </c>
      <c r="I361" t="str">
        <f t="shared" si="60"/>
        <v/>
      </c>
    </row>
    <row r="362" spans="1:9">
      <c r="A362">
        <f>CSV!B362</f>
        <v>0</v>
      </c>
      <c r="B362" s="13" t="e">
        <f>INDEX(Input!$D$2:$AC$500,
       MATCH(CPU_Formula!A362, Input!$J$2:$J$500, 0),
       MATCH("CPU model", Input!$D$1:$AC$1, 0))</f>
        <v>#N/A</v>
      </c>
      <c r="C362" s="13" t="str">
        <f t="shared" si="54"/>
        <v/>
      </c>
      <c r="D362" s="13" t="str">
        <f t="shared" si="55"/>
        <v/>
      </c>
      <c r="E362" s="13" t="str">
        <f t="shared" si="56"/>
        <v/>
      </c>
      <c r="F362" s="13" t="str">
        <f t="shared" si="57"/>
        <v/>
      </c>
      <c r="G362" s="13" t="str">
        <f t="shared" si="58"/>
        <v/>
      </c>
      <c r="H362" s="13" t="str">
        <f t="shared" si="59"/>
        <v/>
      </c>
      <c r="I362" t="str">
        <f t="shared" si="60"/>
        <v/>
      </c>
    </row>
    <row r="363" spans="1:9">
      <c r="A363">
        <f>CSV!B363</f>
        <v>0</v>
      </c>
      <c r="B363" s="13" t="e">
        <f>INDEX(Input!$D$2:$AC$500,
       MATCH(CPU_Formula!A363, Input!$J$2:$J$500, 0),
       MATCH("CPU model", Input!$D$1:$AC$1, 0))</f>
        <v>#N/A</v>
      </c>
      <c r="C363" s="13" t="str">
        <f t="shared" si="54"/>
        <v/>
      </c>
      <c r="D363" s="13" t="str">
        <f t="shared" si="55"/>
        <v/>
      </c>
      <c r="E363" s="13" t="str">
        <f t="shared" si="56"/>
        <v/>
      </c>
      <c r="F363" s="13" t="str">
        <f t="shared" si="57"/>
        <v/>
      </c>
      <c r="G363" s="13" t="str">
        <f t="shared" si="58"/>
        <v/>
      </c>
      <c r="H363" s="13" t="str">
        <f t="shared" si="59"/>
        <v/>
      </c>
      <c r="I363" t="str">
        <f t="shared" si="60"/>
        <v/>
      </c>
    </row>
    <row r="364" spans="1:9">
      <c r="A364">
        <f>CSV!B364</f>
        <v>0</v>
      </c>
      <c r="B364" s="13" t="e">
        <f>INDEX(Input!$D$2:$AC$500,
       MATCH(CPU_Formula!A364, Input!$J$2:$J$500, 0),
       MATCH("CPU model", Input!$D$1:$AC$1, 0))</f>
        <v>#N/A</v>
      </c>
      <c r="C364" s="13" t="str">
        <f t="shared" si="54"/>
        <v/>
      </c>
      <c r="D364" s="13" t="str">
        <f t="shared" si="55"/>
        <v/>
      </c>
      <c r="E364" s="13" t="str">
        <f t="shared" si="56"/>
        <v/>
      </c>
      <c r="F364" s="13" t="str">
        <f t="shared" si="57"/>
        <v/>
      </c>
      <c r="G364" s="13" t="str">
        <f t="shared" si="58"/>
        <v/>
      </c>
      <c r="H364" s="13" t="str">
        <f t="shared" si="59"/>
        <v/>
      </c>
      <c r="I364" t="str">
        <f t="shared" si="60"/>
        <v/>
      </c>
    </row>
    <row r="365" spans="1:9">
      <c r="A365">
        <f>CSV!B365</f>
        <v>0</v>
      </c>
      <c r="B365" s="13" t="e">
        <f>INDEX(Input!$D$2:$AC$500,
       MATCH(CPU_Formula!A365, Input!$J$2:$J$500, 0),
       MATCH("CPU model", Input!$D$1:$AC$1, 0))</f>
        <v>#N/A</v>
      </c>
      <c r="C365" s="13" t="str">
        <f t="shared" si="54"/>
        <v/>
      </c>
      <c r="D365" s="13" t="str">
        <f t="shared" si="55"/>
        <v/>
      </c>
      <c r="E365" s="13" t="str">
        <f t="shared" si="56"/>
        <v/>
      </c>
      <c r="F365" s="13" t="str">
        <f t="shared" si="57"/>
        <v/>
      </c>
      <c r="G365" s="13" t="str">
        <f t="shared" si="58"/>
        <v/>
      </c>
      <c r="H365" s="13" t="str">
        <f t="shared" si="59"/>
        <v/>
      </c>
      <c r="I365" t="str">
        <f t="shared" si="60"/>
        <v/>
      </c>
    </row>
    <row r="366" spans="1:9">
      <c r="A366">
        <f>CSV!B366</f>
        <v>0</v>
      </c>
      <c r="B366" s="13" t="e">
        <f>INDEX(Input!$D$2:$AC$500,
       MATCH(CPU_Formula!A366, Input!$J$2:$J$500, 0),
       MATCH("CPU model", Input!$D$1:$AC$1, 0))</f>
        <v>#N/A</v>
      </c>
      <c r="C366" s="13" t="str">
        <f t="shared" si="54"/>
        <v/>
      </c>
      <c r="D366" s="13" t="str">
        <f t="shared" si="55"/>
        <v/>
      </c>
      <c r="E366" s="13" t="str">
        <f t="shared" si="56"/>
        <v/>
      </c>
      <c r="F366" s="13" t="str">
        <f t="shared" si="57"/>
        <v/>
      </c>
      <c r="G366" s="13" t="str">
        <f t="shared" si="58"/>
        <v/>
      </c>
      <c r="H366" s="13" t="str">
        <f t="shared" si="59"/>
        <v/>
      </c>
      <c r="I366" t="str">
        <f t="shared" si="60"/>
        <v/>
      </c>
    </row>
    <row r="367" spans="1:9">
      <c r="A367">
        <f>CSV!B367</f>
        <v>0</v>
      </c>
      <c r="B367" s="13" t="e">
        <f>INDEX(Input!$D$2:$AC$500,
       MATCH(CPU_Formula!A367, Input!$J$2:$J$500, 0),
       MATCH("CPU model", Input!$D$1:$AC$1, 0))</f>
        <v>#N/A</v>
      </c>
      <c r="C367" s="13" t="str">
        <f t="shared" si="54"/>
        <v/>
      </c>
      <c r="D367" s="13" t="str">
        <f t="shared" si="55"/>
        <v/>
      </c>
      <c r="E367" s="13" t="str">
        <f t="shared" si="56"/>
        <v/>
      </c>
      <c r="F367" s="13" t="str">
        <f t="shared" si="57"/>
        <v/>
      </c>
      <c r="G367" s="13" t="str">
        <f t="shared" si="58"/>
        <v/>
      </c>
      <c r="H367" s="13" t="str">
        <f t="shared" si="59"/>
        <v/>
      </c>
      <c r="I367" t="str">
        <f t="shared" si="60"/>
        <v/>
      </c>
    </row>
    <row r="368" spans="1:9">
      <c r="A368">
        <f>CSV!B368</f>
        <v>0</v>
      </c>
      <c r="B368" s="13" t="e">
        <f>INDEX(Input!$D$2:$AC$500,
       MATCH(CPU_Formula!A368, Input!$J$2:$J$500, 0),
       MATCH("CPU model", Input!$D$1:$AC$1, 0))</f>
        <v>#N/A</v>
      </c>
      <c r="C368" s="13" t="str">
        <f t="shared" si="54"/>
        <v/>
      </c>
      <c r="D368" s="13" t="str">
        <f t="shared" si="55"/>
        <v/>
      </c>
      <c r="E368" s="13" t="str">
        <f t="shared" si="56"/>
        <v/>
      </c>
      <c r="F368" s="13" t="str">
        <f t="shared" si="57"/>
        <v/>
      </c>
      <c r="G368" s="13" t="str">
        <f t="shared" si="58"/>
        <v/>
      </c>
      <c r="H368" s="13" t="str">
        <f t="shared" si="59"/>
        <v/>
      </c>
      <c r="I368" t="str">
        <f t="shared" si="60"/>
        <v/>
      </c>
    </row>
    <row r="369" spans="1:9">
      <c r="A369">
        <f>CSV!B369</f>
        <v>0</v>
      </c>
      <c r="B369" s="13" t="e">
        <f>INDEX(Input!$D$2:$AC$500,
       MATCH(CPU_Formula!A369, Input!$J$2:$J$500, 0),
       MATCH("CPU model", Input!$D$1:$AC$1, 0))</f>
        <v>#N/A</v>
      </c>
      <c r="C369" s="13" t="str">
        <f t="shared" si="54"/>
        <v/>
      </c>
      <c r="D369" s="13" t="str">
        <f t="shared" si="55"/>
        <v/>
      </c>
      <c r="E369" s="13" t="str">
        <f t="shared" si="56"/>
        <v/>
      </c>
      <c r="F369" s="13" t="str">
        <f t="shared" si="57"/>
        <v/>
      </c>
      <c r="G369" s="13" t="str">
        <f t="shared" si="58"/>
        <v/>
      </c>
      <c r="H369" s="13" t="str">
        <f t="shared" si="59"/>
        <v/>
      </c>
      <c r="I369" t="str">
        <f t="shared" si="60"/>
        <v/>
      </c>
    </row>
    <row r="370" spans="1:9">
      <c r="A370">
        <f>CSV!B370</f>
        <v>0</v>
      </c>
      <c r="B370" s="13" t="e">
        <f>INDEX(Input!$D$2:$AC$500,
       MATCH(CPU_Formula!A370, Input!$J$2:$J$500, 0),
       MATCH("CPU model", Input!$D$1:$AC$1, 0))</f>
        <v>#N/A</v>
      </c>
      <c r="C370" s="13" t="str">
        <f t="shared" si="54"/>
        <v/>
      </c>
      <c r="D370" s="13" t="str">
        <f t="shared" si="55"/>
        <v/>
      </c>
      <c r="E370" s="13" t="str">
        <f t="shared" si="56"/>
        <v/>
      </c>
      <c r="F370" s="13" t="str">
        <f t="shared" si="57"/>
        <v/>
      </c>
      <c r="G370" s="13" t="str">
        <f t="shared" si="58"/>
        <v/>
      </c>
      <c r="H370" s="13" t="str">
        <f t="shared" si="59"/>
        <v/>
      </c>
      <c r="I370" t="str">
        <f t="shared" si="60"/>
        <v/>
      </c>
    </row>
    <row r="371" spans="1:9">
      <c r="A371">
        <f>CSV!B371</f>
        <v>0</v>
      </c>
      <c r="B371" s="13" t="e">
        <f>INDEX(Input!$D$2:$AC$500,
       MATCH(CPU_Formula!A371, Input!$J$2:$J$500, 0),
       MATCH("CPU model", Input!$D$1:$AC$1, 0))</f>
        <v>#N/A</v>
      </c>
      <c r="C371" s="13" t="str">
        <f t="shared" si="54"/>
        <v/>
      </c>
      <c r="D371" s="13" t="str">
        <f t="shared" si="55"/>
        <v/>
      </c>
      <c r="E371" s="13" t="str">
        <f t="shared" si="56"/>
        <v/>
      </c>
      <c r="F371" s="13" t="str">
        <f t="shared" si="57"/>
        <v/>
      </c>
      <c r="G371" s="13" t="str">
        <f t="shared" si="58"/>
        <v/>
      </c>
      <c r="H371" s="13" t="str">
        <f t="shared" si="59"/>
        <v/>
      </c>
      <c r="I371" t="str">
        <f t="shared" si="60"/>
        <v/>
      </c>
    </row>
    <row r="372" spans="1:9">
      <c r="A372">
        <f>CSV!B372</f>
        <v>0</v>
      </c>
      <c r="B372" s="13" t="e">
        <f>INDEX(Input!$D$2:$AC$500,
       MATCH(CPU_Formula!A372, Input!$J$2:$J$500, 0),
       MATCH("CPU model", Input!$D$1:$AC$1, 0))</f>
        <v>#N/A</v>
      </c>
      <c r="C372" s="13" t="str">
        <f t="shared" si="54"/>
        <v/>
      </c>
      <c r="D372" s="13" t="str">
        <f t="shared" si="55"/>
        <v/>
      </c>
      <c r="E372" s="13" t="str">
        <f t="shared" si="56"/>
        <v/>
      </c>
      <c r="F372" s="13" t="str">
        <f t="shared" si="57"/>
        <v/>
      </c>
      <c r="G372" s="13" t="str">
        <f t="shared" si="58"/>
        <v/>
      </c>
      <c r="H372" s="13" t="str">
        <f t="shared" si="59"/>
        <v/>
      </c>
      <c r="I372" t="str">
        <f t="shared" si="60"/>
        <v/>
      </c>
    </row>
    <row r="373" spans="1:9">
      <c r="A373">
        <f>CSV!B373</f>
        <v>0</v>
      </c>
      <c r="B373" s="13" t="e">
        <f>INDEX(Input!$D$2:$AC$500,
       MATCH(CPU_Formula!A373, Input!$J$2:$J$500, 0),
       MATCH("CPU model", Input!$D$1:$AC$1, 0))</f>
        <v>#N/A</v>
      </c>
      <c r="C373" s="13" t="str">
        <f t="shared" si="54"/>
        <v/>
      </c>
      <c r="D373" s="13" t="str">
        <f t="shared" si="55"/>
        <v/>
      </c>
      <c r="E373" s="13" t="str">
        <f t="shared" si="56"/>
        <v/>
      </c>
      <c r="F373" s="13" t="str">
        <f t="shared" si="57"/>
        <v/>
      </c>
      <c r="G373" s="13" t="str">
        <f t="shared" si="58"/>
        <v/>
      </c>
      <c r="H373" s="13" t="str">
        <f t="shared" si="59"/>
        <v/>
      </c>
      <c r="I373" t="str">
        <f t="shared" si="60"/>
        <v/>
      </c>
    </row>
    <row r="374" spans="1:9">
      <c r="A374">
        <f>CSV!B374</f>
        <v>0</v>
      </c>
      <c r="B374" s="13" t="e">
        <f>INDEX(Input!$D$2:$AC$500,
       MATCH(CPU_Formula!A374, Input!$J$2:$J$500, 0),
       MATCH("CPU model", Input!$D$1:$AC$1, 0))</f>
        <v>#N/A</v>
      </c>
      <c r="C374" s="13" t="str">
        <f t="shared" si="54"/>
        <v/>
      </c>
      <c r="D374" s="13" t="str">
        <f t="shared" si="55"/>
        <v/>
      </c>
      <c r="E374" s="13" t="str">
        <f t="shared" si="56"/>
        <v/>
      </c>
      <c r="F374" s="13" t="str">
        <f t="shared" si="57"/>
        <v/>
      </c>
      <c r="G374" s="13" t="str">
        <f t="shared" si="58"/>
        <v/>
      </c>
      <c r="H374" s="13" t="str">
        <f t="shared" si="59"/>
        <v/>
      </c>
      <c r="I374" t="str">
        <f t="shared" si="60"/>
        <v/>
      </c>
    </row>
    <row r="375" spans="1:9">
      <c r="A375">
        <f>CSV!B375</f>
        <v>0</v>
      </c>
      <c r="B375" s="13" t="e">
        <f>INDEX(Input!$D$2:$AC$500,
       MATCH(CPU_Formula!A375, Input!$J$2:$J$500, 0),
       MATCH("CPU model", Input!$D$1:$AC$1, 0))</f>
        <v>#N/A</v>
      </c>
      <c r="C375" s="13" t="str">
        <f t="shared" si="54"/>
        <v/>
      </c>
      <c r="D375" s="13" t="str">
        <f t="shared" si="55"/>
        <v/>
      </c>
      <c r="E375" s="13" t="str">
        <f t="shared" si="56"/>
        <v/>
      </c>
      <c r="F375" s="13" t="str">
        <f t="shared" si="57"/>
        <v/>
      </c>
      <c r="G375" s="13" t="str">
        <f t="shared" si="58"/>
        <v/>
      </c>
      <c r="H375" s="13" t="str">
        <f t="shared" si="59"/>
        <v/>
      </c>
      <c r="I375" t="str">
        <f t="shared" si="60"/>
        <v/>
      </c>
    </row>
    <row r="376" spans="1:9">
      <c r="A376">
        <f>CSV!B376</f>
        <v>0</v>
      </c>
      <c r="B376" s="13" t="e">
        <f>INDEX(Input!$D$2:$AC$500,
       MATCH(CPU_Formula!A376, Input!$J$2:$J$500, 0),
       MATCH("CPU model", Input!$D$1:$AC$1, 0))</f>
        <v>#N/A</v>
      </c>
      <c r="C376" s="13" t="str">
        <f t="shared" si="54"/>
        <v/>
      </c>
      <c r="D376" s="13" t="str">
        <f t="shared" si="55"/>
        <v/>
      </c>
      <c r="E376" s="13" t="str">
        <f t="shared" si="56"/>
        <v/>
      </c>
      <c r="F376" s="13" t="str">
        <f t="shared" si="57"/>
        <v/>
      </c>
      <c r="G376" s="13" t="str">
        <f t="shared" si="58"/>
        <v/>
      </c>
      <c r="H376" s="13" t="str">
        <f t="shared" si="59"/>
        <v/>
      </c>
      <c r="I376" t="str">
        <f t="shared" si="60"/>
        <v/>
      </c>
    </row>
    <row r="377" spans="1:9">
      <c r="A377">
        <f>CSV!B377</f>
        <v>0</v>
      </c>
      <c r="B377" s="13" t="e">
        <f>INDEX(Input!$D$2:$AC$500,
       MATCH(CPU_Formula!A377, Input!$J$2:$J$500, 0),
       MATCH("CPU model", Input!$D$1:$AC$1, 0))</f>
        <v>#N/A</v>
      </c>
      <c r="C377" s="13" t="str">
        <f t="shared" si="54"/>
        <v/>
      </c>
      <c r="D377" s="13" t="str">
        <f t="shared" si="55"/>
        <v/>
      </c>
      <c r="E377" s="13" t="str">
        <f t="shared" si="56"/>
        <v/>
      </c>
      <c r="F377" s="13" t="str">
        <f t="shared" si="57"/>
        <v/>
      </c>
      <c r="G377" s="13" t="str">
        <f t="shared" si="58"/>
        <v/>
      </c>
      <c r="H377" s="13" t="str">
        <f t="shared" si="59"/>
        <v/>
      </c>
      <c r="I377" t="str">
        <f t="shared" si="60"/>
        <v/>
      </c>
    </row>
    <row r="378" spans="1:9">
      <c r="A378">
        <f>CSV!B378</f>
        <v>0</v>
      </c>
      <c r="B378" s="13" t="e">
        <f>INDEX(Input!$D$2:$AC$500,
       MATCH(CPU_Formula!A378, Input!$J$2:$J$500, 0),
       MATCH("CPU model", Input!$D$1:$AC$1, 0))</f>
        <v>#N/A</v>
      </c>
      <c r="C378" s="13" t="str">
        <f t="shared" si="54"/>
        <v/>
      </c>
      <c r="D378" s="13" t="str">
        <f t="shared" si="55"/>
        <v/>
      </c>
      <c r="E378" s="13" t="str">
        <f t="shared" si="56"/>
        <v/>
      </c>
      <c r="F378" s="13" t="str">
        <f t="shared" si="57"/>
        <v/>
      </c>
      <c r="G378" s="13" t="str">
        <f t="shared" si="58"/>
        <v/>
      </c>
      <c r="H378" s="13" t="str">
        <f t="shared" si="59"/>
        <v/>
      </c>
      <c r="I378" t="str">
        <f t="shared" si="60"/>
        <v/>
      </c>
    </row>
    <row r="379" spans="1:9">
      <c r="A379">
        <f>CSV!B379</f>
        <v>0</v>
      </c>
      <c r="B379" s="13" t="e">
        <f>INDEX(Input!$D$2:$AC$500,
       MATCH(CPU_Formula!A379, Input!$J$2:$J$500, 0),
       MATCH("CPU model", Input!$D$1:$AC$1, 0))</f>
        <v>#N/A</v>
      </c>
      <c r="C379" s="13" t="str">
        <f t="shared" si="54"/>
        <v/>
      </c>
      <c r="D379" s="13" t="str">
        <f t="shared" si="55"/>
        <v/>
      </c>
      <c r="E379" s="13" t="str">
        <f t="shared" si="56"/>
        <v/>
      </c>
      <c r="F379" s="13" t="str">
        <f t="shared" si="57"/>
        <v/>
      </c>
      <c r="G379" s="13" t="str">
        <f t="shared" si="58"/>
        <v/>
      </c>
      <c r="H379" s="13" t="str">
        <f t="shared" si="59"/>
        <v/>
      </c>
      <c r="I379" t="str">
        <f t="shared" si="60"/>
        <v/>
      </c>
    </row>
    <row r="380" spans="1:9">
      <c r="A380">
        <f>CSV!B380</f>
        <v>0</v>
      </c>
      <c r="B380" s="13" t="e">
        <f>INDEX(Input!$D$2:$AC$500,
       MATCH(CPU_Formula!A380, Input!$J$2:$J$500, 0),
       MATCH("CPU model", Input!$D$1:$AC$1, 0))</f>
        <v>#N/A</v>
      </c>
      <c r="C380" s="13" t="str">
        <f t="shared" si="54"/>
        <v/>
      </c>
      <c r="D380" s="13" t="str">
        <f t="shared" si="55"/>
        <v/>
      </c>
      <c r="E380" s="13" t="str">
        <f t="shared" si="56"/>
        <v/>
      </c>
      <c r="F380" s="13" t="str">
        <f t="shared" si="57"/>
        <v/>
      </c>
      <c r="G380" s="13" t="str">
        <f t="shared" si="58"/>
        <v/>
      </c>
      <c r="H380" s="13" t="str">
        <f t="shared" si="59"/>
        <v/>
      </c>
      <c r="I380" t="str">
        <f t="shared" si="60"/>
        <v/>
      </c>
    </row>
    <row r="381" spans="1:9">
      <c r="A381">
        <f>CSV!B381</f>
        <v>0</v>
      </c>
      <c r="B381" s="13" t="e">
        <f>INDEX(Input!$D$2:$AC$500,
       MATCH(CPU_Formula!A381, Input!$J$2:$J$500, 0),
       MATCH("CPU model", Input!$D$1:$AC$1, 0))</f>
        <v>#N/A</v>
      </c>
      <c r="C381" s="13" t="str">
        <f t="shared" si="54"/>
        <v/>
      </c>
      <c r="D381" s="13" t="str">
        <f t="shared" si="55"/>
        <v/>
      </c>
      <c r="E381" s="13" t="str">
        <f t="shared" si="56"/>
        <v/>
      </c>
      <c r="F381" s="13" t="str">
        <f t="shared" si="57"/>
        <v/>
      </c>
      <c r="G381" s="13" t="str">
        <f t="shared" si="58"/>
        <v/>
      </c>
      <c r="H381" s="13" t="str">
        <f t="shared" si="59"/>
        <v/>
      </c>
      <c r="I381" t="str">
        <f t="shared" si="60"/>
        <v/>
      </c>
    </row>
    <row r="382" spans="1:9">
      <c r="A382">
        <f>CSV!B382</f>
        <v>0</v>
      </c>
      <c r="B382" s="13" t="e">
        <f>INDEX(Input!$D$2:$AC$500,
       MATCH(CPU_Formula!A382, Input!$J$2:$J$500, 0),
       MATCH("CPU model", Input!$D$1:$AC$1, 0))</f>
        <v>#N/A</v>
      </c>
      <c r="C382" s="13" t="str">
        <f t="shared" si="54"/>
        <v/>
      </c>
      <c r="D382" s="13" t="str">
        <f t="shared" si="55"/>
        <v/>
      </c>
      <c r="E382" s="13" t="str">
        <f t="shared" si="56"/>
        <v/>
      </c>
      <c r="F382" s="13" t="str">
        <f t="shared" si="57"/>
        <v/>
      </c>
      <c r="G382" s="13" t="str">
        <f t="shared" si="58"/>
        <v/>
      </c>
      <c r="H382" s="13" t="str">
        <f t="shared" si="59"/>
        <v/>
      </c>
      <c r="I382" t="str">
        <f t="shared" si="60"/>
        <v/>
      </c>
    </row>
    <row r="383" spans="1:9">
      <c r="A383">
        <f>CSV!B383</f>
        <v>0</v>
      </c>
      <c r="B383" s="13" t="e">
        <f>INDEX(Input!$D$2:$AC$500,
       MATCH(CPU_Formula!A383, Input!$J$2:$J$500, 0),
       MATCH("CPU model", Input!$D$1:$AC$1, 0))</f>
        <v>#N/A</v>
      </c>
      <c r="C383" s="13" t="str">
        <f t="shared" si="54"/>
        <v/>
      </c>
      <c r="D383" s="13" t="str">
        <f t="shared" si="55"/>
        <v/>
      </c>
      <c r="E383" s="13" t="str">
        <f t="shared" si="56"/>
        <v/>
      </c>
      <c r="F383" s="13" t="str">
        <f t="shared" si="57"/>
        <v/>
      </c>
      <c r="G383" s="13" t="str">
        <f t="shared" si="58"/>
        <v/>
      </c>
      <c r="H383" s="13" t="str">
        <f t="shared" si="59"/>
        <v/>
      </c>
      <c r="I383" t="str">
        <f t="shared" si="60"/>
        <v/>
      </c>
    </row>
    <row r="384" spans="1:9">
      <c r="A384">
        <f>CSV!B384</f>
        <v>0</v>
      </c>
      <c r="B384" s="13" t="e">
        <f>INDEX(Input!$D$2:$AC$500,
       MATCH(CPU_Formula!A384, Input!$J$2:$J$500, 0),
       MATCH("CPU model", Input!$D$1:$AC$1, 0))</f>
        <v>#N/A</v>
      </c>
      <c r="C384" s="13" t="str">
        <f t="shared" si="54"/>
        <v/>
      </c>
      <c r="D384" s="13" t="str">
        <f t="shared" si="55"/>
        <v/>
      </c>
      <c r="E384" s="13" t="str">
        <f t="shared" si="56"/>
        <v/>
      </c>
      <c r="F384" s="13" t="str">
        <f t="shared" si="57"/>
        <v/>
      </c>
      <c r="G384" s="13" t="str">
        <f t="shared" si="58"/>
        <v/>
      </c>
      <c r="H384" s="13" t="str">
        <f t="shared" si="59"/>
        <v/>
      </c>
      <c r="I384" t="str">
        <f t="shared" si="60"/>
        <v/>
      </c>
    </row>
    <row r="385" spans="1:9">
      <c r="A385">
        <f>CSV!B385</f>
        <v>0</v>
      </c>
      <c r="B385" s="13" t="e">
        <f>INDEX(Input!$D$2:$AC$500,
       MATCH(CPU_Formula!A385, Input!$J$2:$J$500, 0),
       MATCH("CPU model", Input!$D$1:$AC$1, 0))</f>
        <v>#N/A</v>
      </c>
      <c r="C385" s="13" t="str">
        <f t="shared" si="54"/>
        <v/>
      </c>
      <c r="D385" s="13" t="str">
        <f t="shared" si="55"/>
        <v/>
      </c>
      <c r="E385" s="13" t="str">
        <f t="shared" si="56"/>
        <v/>
      </c>
      <c r="F385" s="13" t="str">
        <f t="shared" si="57"/>
        <v/>
      </c>
      <c r="G385" s="13" t="str">
        <f t="shared" si="58"/>
        <v/>
      </c>
      <c r="H385" s="13" t="str">
        <f t="shared" si="59"/>
        <v/>
      </c>
      <c r="I385" t="str">
        <f t="shared" si="60"/>
        <v/>
      </c>
    </row>
    <row r="386" spans="1:9">
      <c r="A386">
        <f>CSV!B386</f>
        <v>0</v>
      </c>
      <c r="B386" s="13" t="e">
        <f>INDEX(Input!$D$2:$AC$500,
       MATCH(CPU_Formula!A386, Input!$J$2:$J$500, 0),
       MATCH("CPU model", Input!$D$1:$AC$1, 0))</f>
        <v>#N/A</v>
      </c>
      <c r="C386" s="13" t="str">
        <f t="shared" si="54"/>
        <v/>
      </c>
      <c r="D386" s="13" t="str">
        <f t="shared" si="55"/>
        <v/>
      </c>
      <c r="E386" s="13" t="str">
        <f t="shared" si="56"/>
        <v/>
      </c>
      <c r="F386" s="13" t="str">
        <f t="shared" si="57"/>
        <v/>
      </c>
      <c r="G386" s="13" t="str">
        <f t="shared" si="58"/>
        <v/>
      </c>
      <c r="H386" s="13" t="str">
        <f t="shared" si="59"/>
        <v/>
      </c>
      <c r="I386" t="str">
        <f t="shared" si="60"/>
        <v/>
      </c>
    </row>
    <row r="387" spans="1:9">
      <c r="A387">
        <f>CSV!B387</f>
        <v>0</v>
      </c>
      <c r="B387" s="13" t="e">
        <f>INDEX(Input!$D$2:$AC$500,
       MATCH(CPU_Formula!A387, Input!$J$2:$J$500, 0),
       MATCH("CPU model", Input!$D$1:$AC$1, 0))</f>
        <v>#N/A</v>
      </c>
      <c r="C387" s="13" t="str">
        <f t="shared" si="54"/>
        <v/>
      </c>
      <c r="D387" s="13" t="str">
        <f t="shared" si="55"/>
        <v/>
      </c>
      <c r="E387" s="13" t="str">
        <f t="shared" si="56"/>
        <v/>
      </c>
      <c r="F387" s="13" t="str">
        <f t="shared" si="57"/>
        <v/>
      </c>
      <c r="G387" s="13" t="str">
        <f t="shared" si="58"/>
        <v/>
      </c>
      <c r="H387" s="13" t="str">
        <f t="shared" si="59"/>
        <v/>
      </c>
      <c r="I387" t="str">
        <f t="shared" si="60"/>
        <v/>
      </c>
    </row>
    <row r="388" spans="1:9">
      <c r="A388">
        <f>CSV!B388</f>
        <v>0</v>
      </c>
      <c r="B388" s="13" t="e">
        <f>INDEX(Input!$D$2:$AC$500,
       MATCH(CPU_Formula!A388, Input!$J$2:$J$500, 0),
       MATCH("CPU model", Input!$D$1:$AC$1, 0))</f>
        <v>#N/A</v>
      </c>
      <c r="C388" s="13" t="str">
        <f t="shared" si="54"/>
        <v/>
      </c>
      <c r="D388" s="13" t="str">
        <f t="shared" si="55"/>
        <v/>
      </c>
      <c r="E388" s="13" t="str">
        <f t="shared" si="56"/>
        <v/>
      </c>
      <c r="F388" s="13" t="str">
        <f t="shared" si="57"/>
        <v/>
      </c>
      <c r="G388" s="13" t="str">
        <f t="shared" si="58"/>
        <v/>
      </c>
      <c r="H388" s="13" t="str">
        <f t="shared" si="59"/>
        <v/>
      </c>
      <c r="I388" t="str">
        <f t="shared" si="60"/>
        <v/>
      </c>
    </row>
    <row r="389" spans="1:9">
      <c r="A389">
        <f>CSV!B389</f>
        <v>0</v>
      </c>
      <c r="B389" s="13" t="e">
        <f>INDEX(Input!$D$2:$AC$500,
       MATCH(CPU_Formula!A389, Input!$J$2:$J$500, 0),
       MATCH("CPU model", Input!$D$1:$AC$1, 0))</f>
        <v>#N/A</v>
      </c>
      <c r="C389" s="13" t="str">
        <f t="shared" si="54"/>
        <v/>
      </c>
      <c r="D389" s="13" t="str">
        <f t="shared" si="55"/>
        <v/>
      </c>
      <c r="E389" s="13" t="str">
        <f t="shared" si="56"/>
        <v/>
      </c>
      <c r="F389" s="13" t="str">
        <f t="shared" si="57"/>
        <v/>
      </c>
      <c r="G389" s="13" t="str">
        <f t="shared" si="58"/>
        <v/>
      </c>
      <c r="H389" s="13" t="str">
        <f t="shared" si="59"/>
        <v/>
      </c>
      <c r="I389" t="str">
        <f t="shared" si="60"/>
        <v/>
      </c>
    </row>
    <row r="390" spans="1:9">
      <c r="A390">
        <f>CSV!B390</f>
        <v>0</v>
      </c>
      <c r="B390" s="13" t="e">
        <f>INDEX(Input!$D$2:$AC$500,
       MATCH(CPU_Formula!A390, Input!$J$2:$J$500, 0),
       MATCH("CPU model", Input!$D$1:$AC$1, 0))</f>
        <v>#N/A</v>
      </c>
      <c r="C390" s="13" t="str">
        <f t="shared" si="54"/>
        <v/>
      </c>
      <c r="D390" s="13" t="str">
        <f t="shared" si="55"/>
        <v/>
      </c>
      <c r="E390" s="13" t="str">
        <f t="shared" si="56"/>
        <v/>
      </c>
      <c r="F390" s="13" t="str">
        <f t="shared" si="57"/>
        <v/>
      </c>
      <c r="G390" s="13" t="str">
        <f t="shared" si="58"/>
        <v/>
      </c>
      <c r="H390" s="13" t="str">
        <f t="shared" si="59"/>
        <v/>
      </c>
      <c r="I390" t="str">
        <f t="shared" si="60"/>
        <v/>
      </c>
    </row>
    <row r="391" spans="1:9">
      <c r="A391">
        <f>CSV!B391</f>
        <v>0</v>
      </c>
      <c r="B391" s="13" t="e">
        <f>INDEX(Input!$D$2:$AC$500,
       MATCH(CPU_Formula!A391, Input!$J$2:$J$500, 0),
       MATCH("CPU model", Input!$D$1:$AC$1, 0))</f>
        <v>#N/A</v>
      </c>
      <c r="C391" s="13" t="str">
        <f t="shared" si="54"/>
        <v/>
      </c>
      <c r="D391" s="13" t="str">
        <f t="shared" si="55"/>
        <v/>
      </c>
      <c r="E391" s="13" t="str">
        <f t="shared" si="56"/>
        <v/>
      </c>
      <c r="F391" s="13" t="str">
        <f t="shared" si="57"/>
        <v/>
      </c>
      <c r="G391" s="13" t="str">
        <f t="shared" si="58"/>
        <v/>
      </c>
      <c r="H391" s="13" t="str">
        <f t="shared" si="59"/>
        <v/>
      </c>
      <c r="I391" t="str">
        <f t="shared" si="60"/>
        <v/>
      </c>
    </row>
    <row r="392" spans="1:9">
      <c r="A392">
        <f>CSV!B392</f>
        <v>0</v>
      </c>
      <c r="B392" s="13" t="e">
        <f>INDEX(Input!$D$2:$AC$500,
       MATCH(CPU_Formula!A392, Input!$J$2:$J$500, 0),
       MATCH("CPU model", Input!$D$1:$AC$1, 0))</f>
        <v>#N/A</v>
      </c>
      <c r="C392" s="13" t="str">
        <f t="shared" si="54"/>
        <v/>
      </c>
      <c r="D392" s="13" t="str">
        <f t="shared" si="55"/>
        <v/>
      </c>
      <c r="E392" s="13" t="str">
        <f t="shared" si="56"/>
        <v/>
      </c>
      <c r="F392" s="13" t="str">
        <f t="shared" si="57"/>
        <v/>
      </c>
      <c r="G392" s="13" t="str">
        <f t="shared" si="58"/>
        <v/>
      </c>
      <c r="H392" s="13" t="str">
        <f t="shared" si="59"/>
        <v/>
      </c>
      <c r="I392" t="str">
        <f t="shared" si="60"/>
        <v/>
      </c>
    </row>
    <row r="393" spans="1:9">
      <c r="A393">
        <f>CSV!B393</f>
        <v>0</v>
      </c>
      <c r="B393" s="13" t="e">
        <f>INDEX(Input!$D$2:$AC$500,
       MATCH(CPU_Formula!A393, Input!$J$2:$J$500, 0),
       MATCH("CPU model", Input!$D$1:$AC$1, 0))</f>
        <v>#N/A</v>
      </c>
      <c r="C393" s="13" t="str">
        <f t="shared" si="54"/>
        <v/>
      </c>
      <c r="D393" s="13" t="str">
        <f t="shared" si="55"/>
        <v/>
      </c>
      <c r="E393" s="13" t="str">
        <f t="shared" si="56"/>
        <v/>
      </c>
      <c r="F393" s="13" t="str">
        <f t="shared" si="57"/>
        <v/>
      </c>
      <c r="G393" s="13" t="str">
        <f t="shared" si="58"/>
        <v/>
      </c>
      <c r="H393" s="13" t="str">
        <f t="shared" si="59"/>
        <v/>
      </c>
      <c r="I393" t="str">
        <f t="shared" si="60"/>
        <v/>
      </c>
    </row>
    <row r="394" spans="1:9">
      <c r="A394">
        <f>CSV!B394</f>
        <v>0</v>
      </c>
      <c r="B394" s="13" t="e">
        <f>INDEX(Input!$D$2:$AC$500,
       MATCH(CPU_Formula!A394, Input!$J$2:$J$500, 0),
       MATCH("CPU model", Input!$D$1:$AC$1, 0))</f>
        <v>#N/A</v>
      </c>
      <c r="C394" s="13" t="str">
        <f t="shared" si="54"/>
        <v/>
      </c>
      <c r="D394" s="13" t="str">
        <f t="shared" si="55"/>
        <v/>
      </c>
      <c r="E394" s="13" t="str">
        <f t="shared" si="56"/>
        <v/>
      </c>
      <c r="F394" s="13" t="str">
        <f t="shared" si="57"/>
        <v/>
      </c>
      <c r="G394" s="13" t="str">
        <f t="shared" si="58"/>
        <v/>
      </c>
      <c r="H394" s="13" t="str">
        <f t="shared" si="59"/>
        <v/>
      </c>
      <c r="I394" t="str">
        <f t="shared" si="60"/>
        <v/>
      </c>
    </row>
    <row r="395" spans="1:9">
      <c r="A395">
        <f>CSV!B395</f>
        <v>0</v>
      </c>
      <c r="B395" s="13" t="e">
        <f>INDEX(Input!$D$2:$AC$500,
       MATCH(CPU_Formula!A395, Input!$J$2:$J$500, 0),
       MATCH("CPU model", Input!$D$1:$AC$1, 0))</f>
        <v>#N/A</v>
      </c>
      <c r="C395" s="13" t="str">
        <f t="shared" si="54"/>
        <v/>
      </c>
      <c r="D395" s="13" t="str">
        <f t="shared" si="55"/>
        <v/>
      </c>
      <c r="E395" s="13" t="str">
        <f t="shared" si="56"/>
        <v/>
      </c>
      <c r="F395" s="13" t="str">
        <f t="shared" si="57"/>
        <v/>
      </c>
      <c r="G395" s="13" t="str">
        <f t="shared" si="58"/>
        <v/>
      </c>
      <c r="H395" s="13" t="str">
        <f t="shared" si="59"/>
        <v/>
      </c>
      <c r="I395" t="str">
        <f t="shared" si="60"/>
        <v/>
      </c>
    </row>
    <row r="396" spans="1:9">
      <c r="A396">
        <f>CSV!B396</f>
        <v>0</v>
      </c>
      <c r="B396" s="13" t="e">
        <f>INDEX(Input!$D$2:$AC$500,
       MATCH(CPU_Formula!A396, Input!$J$2:$J$500, 0),
       MATCH("CPU model", Input!$D$1:$AC$1, 0))</f>
        <v>#N/A</v>
      </c>
      <c r="C396" s="13" t="str">
        <f t="shared" si="54"/>
        <v/>
      </c>
      <c r="D396" s="13" t="str">
        <f t="shared" si="55"/>
        <v/>
      </c>
      <c r="E396" s="13" t="str">
        <f t="shared" si="56"/>
        <v/>
      </c>
      <c r="F396" s="13" t="str">
        <f t="shared" si="57"/>
        <v/>
      </c>
      <c r="G396" s="13" t="str">
        <f t="shared" si="58"/>
        <v/>
      </c>
      <c r="H396" s="13" t="str">
        <f t="shared" si="59"/>
        <v/>
      </c>
      <c r="I396" t="str">
        <f t="shared" si="60"/>
        <v/>
      </c>
    </row>
    <row r="397" spans="1:9">
      <c r="A397">
        <f>CSV!B397</f>
        <v>0</v>
      </c>
      <c r="B397" s="13" t="e">
        <f>INDEX(Input!$D$2:$AC$500,
       MATCH(CPU_Formula!A397, Input!$J$2:$J$500, 0),
       MATCH("CPU model", Input!$D$1:$AC$1, 0))</f>
        <v>#N/A</v>
      </c>
      <c r="C397" s="13" t="str">
        <f t="shared" si="54"/>
        <v/>
      </c>
      <c r="D397" s="13" t="str">
        <f t="shared" si="55"/>
        <v/>
      </c>
      <c r="E397" s="13" t="str">
        <f t="shared" si="56"/>
        <v/>
      </c>
      <c r="F397" s="13" t="str">
        <f t="shared" si="57"/>
        <v/>
      </c>
      <c r="G397" s="13" t="str">
        <f t="shared" si="58"/>
        <v/>
      </c>
      <c r="H397" s="13" t="str">
        <f t="shared" si="59"/>
        <v/>
      </c>
      <c r="I397" t="str">
        <f t="shared" si="60"/>
        <v/>
      </c>
    </row>
    <row r="398" spans="1:9">
      <c r="A398">
        <f>CSV!B398</f>
        <v>0</v>
      </c>
      <c r="B398" s="13" t="e">
        <f>INDEX(Input!$D$2:$AC$500,
       MATCH(CPU_Formula!A398, Input!$J$2:$J$500, 0),
       MATCH("CPU model", Input!$D$1:$AC$1, 0))</f>
        <v>#N/A</v>
      </c>
      <c r="C398" s="13" t="str">
        <f t="shared" si="54"/>
        <v/>
      </c>
      <c r="D398" s="13" t="str">
        <f t="shared" si="55"/>
        <v/>
      </c>
      <c r="E398" s="13" t="str">
        <f t="shared" si="56"/>
        <v/>
      </c>
      <c r="F398" s="13" t="str">
        <f t="shared" si="57"/>
        <v/>
      </c>
      <c r="G398" s="13" t="str">
        <f t="shared" si="58"/>
        <v/>
      </c>
      <c r="H398" s="13" t="str">
        <f t="shared" si="59"/>
        <v/>
      </c>
      <c r="I398" t="str">
        <f t="shared" si="60"/>
        <v/>
      </c>
    </row>
    <row r="399" spans="1:9">
      <c r="A399">
        <f>CSV!B399</f>
        <v>0</v>
      </c>
      <c r="B399" s="13" t="e">
        <f>INDEX(Input!$D$2:$AC$500,
       MATCH(CPU_Formula!A399, Input!$J$2:$J$500, 0),
       MATCH("CPU model", Input!$D$1:$AC$1, 0))</f>
        <v>#N/A</v>
      </c>
      <c r="C399" s="13" t="str">
        <f t="shared" si="54"/>
        <v/>
      </c>
      <c r="D399" s="13" t="str">
        <f t="shared" si="55"/>
        <v/>
      </c>
      <c r="E399" s="13" t="str">
        <f t="shared" si="56"/>
        <v/>
      </c>
      <c r="F399" s="13" t="str">
        <f t="shared" si="57"/>
        <v/>
      </c>
      <c r="G399" s="13" t="str">
        <f t="shared" si="58"/>
        <v/>
      </c>
      <c r="H399" s="13" t="str">
        <f t="shared" si="59"/>
        <v/>
      </c>
      <c r="I399" t="str">
        <f t="shared" si="60"/>
        <v/>
      </c>
    </row>
    <row r="400" spans="1:9">
      <c r="A400">
        <f>CSV!B400</f>
        <v>0</v>
      </c>
      <c r="B400" s="13" t="e">
        <f>INDEX(Input!$D$2:$AC$500,
       MATCH(CPU_Formula!A400, Input!$J$2:$J$500, 0),
       MATCH("CPU model", Input!$D$1:$AC$1, 0))</f>
        <v>#N/A</v>
      </c>
      <c r="C400" s="13" t="str">
        <f t="shared" si="54"/>
        <v/>
      </c>
      <c r="D400" s="13" t="str">
        <f t="shared" si="55"/>
        <v/>
      </c>
      <c r="E400" s="13" t="str">
        <f t="shared" si="56"/>
        <v/>
      </c>
      <c r="F400" s="13" t="str">
        <f t="shared" si="57"/>
        <v/>
      </c>
      <c r="G400" s="13" t="str">
        <f t="shared" si="58"/>
        <v/>
      </c>
      <c r="H400" s="13" t="str">
        <f t="shared" si="59"/>
        <v/>
      </c>
      <c r="I400" t="str">
        <f t="shared" si="60"/>
        <v/>
      </c>
    </row>
    <row r="401" spans="1:9">
      <c r="A401">
        <f>CSV!B401</f>
        <v>0</v>
      </c>
      <c r="B401" s="13" t="e">
        <f>INDEX(Input!$D$2:$AC$500,
       MATCH(CPU_Formula!A401, Input!$J$2:$J$500, 0),
       MATCH("CPU model", Input!$D$1:$AC$1, 0))</f>
        <v>#N/A</v>
      </c>
      <c r="C401" s="13" t="str">
        <f t="shared" si="54"/>
        <v/>
      </c>
      <c r="D401" s="13" t="str">
        <f t="shared" si="55"/>
        <v/>
      </c>
      <c r="E401" s="13" t="str">
        <f t="shared" si="56"/>
        <v/>
      </c>
      <c r="F401" s="13" t="str">
        <f t="shared" si="57"/>
        <v/>
      </c>
      <c r="G401" s="13" t="str">
        <f t="shared" si="58"/>
        <v/>
      </c>
      <c r="H401" s="13" t="str">
        <f t="shared" si="59"/>
        <v/>
      </c>
      <c r="I401" t="str">
        <f t="shared" si="60"/>
        <v/>
      </c>
    </row>
    <row r="402" spans="1:9">
      <c r="A402">
        <f>CSV!B402</f>
        <v>0</v>
      </c>
      <c r="B402" s="13" t="e">
        <f>INDEX(Input!$D$2:$AC$500,
       MATCH(CPU_Formula!A402, Input!$J$2:$J$500, 0),
       MATCH("CPU model", Input!$D$1:$AC$1, 0))</f>
        <v>#N/A</v>
      </c>
      <c r="C402" s="13" t="str">
        <f t="shared" si="54"/>
        <v/>
      </c>
      <c r="D402" s="13" t="str">
        <f t="shared" si="55"/>
        <v/>
      </c>
      <c r="E402" s="13" t="str">
        <f t="shared" si="56"/>
        <v/>
      </c>
      <c r="F402" s="13" t="str">
        <f t="shared" si="57"/>
        <v/>
      </c>
      <c r="G402" s="13" t="str">
        <f t="shared" si="58"/>
        <v/>
      </c>
      <c r="H402" s="13" t="str">
        <f t="shared" si="59"/>
        <v/>
      </c>
      <c r="I402" t="str">
        <f t="shared" si="60"/>
        <v/>
      </c>
    </row>
    <row r="403" spans="1:9">
      <c r="A403">
        <f>CSV!B403</f>
        <v>0</v>
      </c>
      <c r="B403" s="13" t="e">
        <f>INDEX(Input!$D$2:$AC$500,
       MATCH(CPU_Formula!A403, Input!$J$2:$J$500, 0),
       MATCH("CPU model", Input!$D$1:$AC$1, 0))</f>
        <v>#N/A</v>
      </c>
      <c r="C403" s="13" t="str">
        <f t="shared" si="54"/>
        <v/>
      </c>
      <c r="D403" s="13" t="str">
        <f t="shared" si="55"/>
        <v/>
      </c>
      <c r="E403" s="13" t="str">
        <f t="shared" si="56"/>
        <v/>
      </c>
      <c r="F403" s="13" t="str">
        <f t="shared" si="57"/>
        <v/>
      </c>
      <c r="G403" s="13" t="str">
        <f t="shared" si="58"/>
        <v/>
      </c>
      <c r="H403" s="13" t="str">
        <f t="shared" si="59"/>
        <v/>
      </c>
      <c r="I403" t="str">
        <f t="shared" si="60"/>
        <v/>
      </c>
    </row>
    <row r="404" spans="1:9">
      <c r="A404">
        <f>CSV!B404</f>
        <v>0</v>
      </c>
      <c r="B404" s="13" t="e">
        <f>INDEX(Input!$D$2:$AC$500,
       MATCH(CPU_Formula!A404, Input!$J$2:$J$500, 0),
       MATCH("CPU model", Input!$D$1:$AC$1, 0))</f>
        <v>#N/A</v>
      </c>
      <c r="C404" s="13" t="str">
        <f t="shared" si="54"/>
        <v/>
      </c>
      <c r="D404" s="13" t="str">
        <f t="shared" si="55"/>
        <v/>
      </c>
      <c r="E404" s="13" t="str">
        <f t="shared" si="56"/>
        <v/>
      </c>
      <c r="F404" s="13" t="str">
        <f t="shared" si="57"/>
        <v/>
      </c>
      <c r="G404" s="13" t="str">
        <f t="shared" si="58"/>
        <v/>
      </c>
      <c r="H404" s="13" t="str">
        <f t="shared" si="59"/>
        <v/>
      </c>
      <c r="I404" t="str">
        <f t="shared" si="60"/>
        <v/>
      </c>
    </row>
    <row r="405" spans="1:9">
      <c r="A405">
        <f>CSV!B405</f>
        <v>0</v>
      </c>
      <c r="B405" s="13" t="e">
        <f>INDEX(Input!$D$2:$AC$500,
       MATCH(CPU_Formula!A405, Input!$J$2:$J$500, 0),
       MATCH("CPU model", Input!$D$1:$AC$1, 0))</f>
        <v>#N/A</v>
      </c>
      <c r="C405" s="13" t="str">
        <f t="shared" si="54"/>
        <v/>
      </c>
      <c r="D405" s="13" t="str">
        <f t="shared" si="55"/>
        <v/>
      </c>
      <c r="E405" s="13" t="str">
        <f t="shared" si="56"/>
        <v/>
      </c>
      <c r="F405" s="13" t="str">
        <f t="shared" si="57"/>
        <v/>
      </c>
      <c r="G405" s="13" t="str">
        <f t="shared" si="58"/>
        <v/>
      </c>
      <c r="H405" s="13" t="str">
        <f t="shared" si="59"/>
        <v/>
      </c>
      <c r="I405" t="str">
        <f t="shared" si="60"/>
        <v/>
      </c>
    </row>
    <row r="406" spans="1:9">
      <c r="A406">
        <f>CSV!B406</f>
        <v>0</v>
      </c>
      <c r="B406" s="13" t="e">
        <f>INDEX(Input!$D$2:$AC$500,
       MATCH(CPU_Formula!A406, Input!$J$2:$J$500, 0),
       MATCH("CPU model", Input!$D$1:$AC$1, 0))</f>
        <v>#N/A</v>
      </c>
      <c r="C406" s="13" t="str">
        <f t="shared" si="54"/>
        <v/>
      </c>
      <c r="D406" s="13" t="str">
        <f t="shared" si="55"/>
        <v/>
      </c>
      <c r="E406" s="13" t="str">
        <f t="shared" si="56"/>
        <v/>
      </c>
      <c r="F406" s="13" t="str">
        <f t="shared" si="57"/>
        <v/>
      </c>
      <c r="G406" s="13" t="str">
        <f t="shared" si="58"/>
        <v/>
      </c>
      <c r="H406" s="13" t="str">
        <f t="shared" si="59"/>
        <v/>
      </c>
      <c r="I406" t="str">
        <f t="shared" si="60"/>
        <v/>
      </c>
    </row>
    <row r="407" spans="1:9">
      <c r="A407">
        <f>CSV!B407</f>
        <v>0</v>
      </c>
      <c r="B407" s="13" t="e">
        <f>INDEX(Input!$D$2:$AC$500,
       MATCH(CPU_Formula!A407, Input!$J$2:$J$500, 0),
       MATCH("CPU model", Input!$D$1:$AC$1, 0))</f>
        <v>#N/A</v>
      </c>
      <c r="C407" s="13" t="str">
        <f t="shared" si="54"/>
        <v/>
      </c>
      <c r="D407" s="13" t="str">
        <f t="shared" si="55"/>
        <v/>
      </c>
      <c r="E407" s="13" t="str">
        <f t="shared" si="56"/>
        <v/>
      </c>
      <c r="F407" s="13" t="str">
        <f t="shared" si="57"/>
        <v/>
      </c>
      <c r="G407" s="13" t="str">
        <f t="shared" si="58"/>
        <v/>
      </c>
      <c r="H407" s="13" t="str">
        <f t="shared" si="59"/>
        <v/>
      </c>
      <c r="I407" t="str">
        <f t="shared" si="60"/>
        <v/>
      </c>
    </row>
    <row r="408" spans="1:9">
      <c r="A408">
        <f>CSV!B408</f>
        <v>0</v>
      </c>
      <c r="B408" s="13" t="e">
        <f>INDEX(Input!$D$2:$AC$500,
       MATCH(CPU_Formula!A408, Input!$J$2:$J$500, 0),
       MATCH("CPU model", Input!$D$1:$AC$1, 0))</f>
        <v>#N/A</v>
      </c>
      <c r="C408" s="13" t="str">
        <f t="shared" si="54"/>
        <v/>
      </c>
      <c r="D408" s="13" t="str">
        <f t="shared" si="55"/>
        <v/>
      </c>
      <c r="E408" s="13" t="str">
        <f t="shared" si="56"/>
        <v/>
      </c>
      <c r="F408" s="13" t="str">
        <f t="shared" si="57"/>
        <v/>
      </c>
      <c r="G408" s="13" t="str">
        <f t="shared" si="58"/>
        <v/>
      </c>
      <c r="H408" s="13" t="str">
        <f t="shared" si="59"/>
        <v/>
      </c>
      <c r="I408" t="str">
        <f t="shared" si="60"/>
        <v/>
      </c>
    </row>
    <row r="409" spans="1:9">
      <c r="A409">
        <f>CSV!B409</f>
        <v>0</v>
      </c>
      <c r="B409" s="13" t="e">
        <f>INDEX(Input!$D$2:$AC$500,
       MATCH(CPU_Formula!A409, Input!$J$2:$J$500, 0),
       MATCH("CPU model", Input!$D$1:$AC$1, 0))</f>
        <v>#N/A</v>
      </c>
      <c r="C409" s="13" t="str">
        <f t="shared" si="54"/>
        <v/>
      </c>
      <c r="D409" s="13" t="str">
        <f t="shared" si="55"/>
        <v/>
      </c>
      <c r="E409" s="13" t="str">
        <f t="shared" si="56"/>
        <v/>
      </c>
      <c r="F409" s="13" t="str">
        <f t="shared" si="57"/>
        <v/>
      </c>
      <c r="G409" s="13" t="str">
        <f t="shared" si="58"/>
        <v/>
      </c>
      <c r="H409" s="13" t="str">
        <f t="shared" si="59"/>
        <v/>
      </c>
      <c r="I409" t="str">
        <f t="shared" si="60"/>
        <v/>
      </c>
    </row>
    <row r="410" spans="1:9">
      <c r="A410">
        <f>CSV!B410</f>
        <v>0</v>
      </c>
      <c r="B410" s="13" t="e">
        <f>INDEX(Input!$D$2:$AC$500,
       MATCH(CPU_Formula!A410, Input!$J$2:$J$500, 0),
       MATCH("CPU model", Input!$D$1:$AC$1, 0))</f>
        <v>#N/A</v>
      </c>
      <c r="C410" s="13" t="str">
        <f t="shared" si="54"/>
        <v/>
      </c>
      <c r="D410" s="13" t="str">
        <f t="shared" si="55"/>
        <v/>
      </c>
      <c r="E410" s="13" t="str">
        <f t="shared" si="56"/>
        <v/>
      </c>
      <c r="F410" s="13" t="str">
        <f t="shared" si="57"/>
        <v/>
      </c>
      <c r="G410" s="13" t="str">
        <f t="shared" si="58"/>
        <v/>
      </c>
      <c r="H410" s="13" t="str">
        <f t="shared" si="59"/>
        <v/>
      </c>
      <c r="I410" t="str">
        <f t="shared" si="60"/>
        <v/>
      </c>
    </row>
    <row r="411" spans="1:9">
      <c r="A411">
        <f>CSV!B411</f>
        <v>0</v>
      </c>
      <c r="B411" s="13" t="e">
        <f>INDEX(Input!$D$2:$AC$500,
       MATCH(CPU_Formula!A411, Input!$J$2:$J$500, 0),
       MATCH("CPU model", Input!$D$1:$AC$1, 0))</f>
        <v>#N/A</v>
      </c>
      <c r="C411" s="13" t="str">
        <f t="shared" si="54"/>
        <v/>
      </c>
      <c r="D411" s="13" t="str">
        <f t="shared" si="55"/>
        <v/>
      </c>
      <c r="E411" s="13" t="str">
        <f t="shared" si="56"/>
        <v/>
      </c>
      <c r="F411" s="13" t="str">
        <f t="shared" si="57"/>
        <v/>
      </c>
      <c r="G411" s="13" t="str">
        <f t="shared" si="58"/>
        <v/>
      </c>
      <c r="H411" s="13" t="str">
        <f t="shared" si="59"/>
        <v/>
      </c>
      <c r="I411" t="str">
        <f t="shared" si="60"/>
        <v/>
      </c>
    </row>
    <row r="412" spans="1:9">
      <c r="A412">
        <f>CSV!B412</f>
        <v>0</v>
      </c>
      <c r="B412" s="13" t="e">
        <f>INDEX(Input!$D$2:$AC$500,
       MATCH(CPU_Formula!A412, Input!$J$2:$J$500, 0),
       MATCH("CPU model", Input!$D$1:$AC$1, 0))</f>
        <v>#N/A</v>
      </c>
      <c r="C412" s="13" t="str">
        <f t="shared" si="54"/>
        <v/>
      </c>
      <c r="D412" s="13" t="str">
        <f t="shared" si="55"/>
        <v/>
      </c>
      <c r="E412" s="13" t="str">
        <f t="shared" si="56"/>
        <v/>
      </c>
      <c r="F412" s="13" t="str">
        <f t="shared" si="57"/>
        <v/>
      </c>
      <c r="G412" s="13" t="str">
        <f t="shared" si="58"/>
        <v/>
      </c>
      <c r="H412" s="13" t="str">
        <f t="shared" si="59"/>
        <v/>
      </c>
      <c r="I412" t="str">
        <f t="shared" si="60"/>
        <v/>
      </c>
    </row>
    <row r="413" spans="1:9">
      <c r="A413">
        <f>CSV!B413</f>
        <v>0</v>
      </c>
      <c r="B413" s="13" t="e">
        <f>INDEX(Input!$D$2:$AC$500,
       MATCH(CPU_Formula!A413, Input!$J$2:$J$500, 0),
       MATCH("CPU model", Input!$D$1:$AC$1, 0))</f>
        <v>#N/A</v>
      </c>
      <c r="C413" s="13" t="str">
        <f t="shared" si="54"/>
        <v/>
      </c>
      <c r="D413" s="13" t="str">
        <f t="shared" si="55"/>
        <v/>
      </c>
      <c r="E413" s="13" t="str">
        <f t="shared" si="56"/>
        <v/>
      </c>
      <c r="F413" s="13" t="str">
        <f t="shared" si="57"/>
        <v/>
      </c>
      <c r="G413" s="13" t="str">
        <f t="shared" si="58"/>
        <v/>
      </c>
      <c r="H413" s="13" t="str">
        <f t="shared" si="59"/>
        <v/>
      </c>
      <c r="I413" t="str">
        <f t="shared" si="60"/>
        <v/>
      </c>
    </row>
    <row r="414" spans="1:9">
      <c r="A414">
        <f>CSV!B414</f>
        <v>0</v>
      </c>
      <c r="B414" s="13" t="e">
        <f>INDEX(Input!$D$2:$AC$500,
       MATCH(CPU_Formula!A414, Input!$J$2:$J$500, 0),
       MATCH("CPU model", Input!$D$1:$AC$1, 0))</f>
        <v>#N/A</v>
      </c>
      <c r="C414" s="13" t="str">
        <f t="shared" si="54"/>
        <v/>
      </c>
      <c r="D414" s="13" t="str">
        <f t="shared" si="55"/>
        <v/>
      </c>
      <c r="E414" s="13" t="str">
        <f t="shared" si="56"/>
        <v/>
      </c>
      <c r="F414" s="13" t="str">
        <f t="shared" si="57"/>
        <v/>
      </c>
      <c r="G414" s="13" t="str">
        <f t="shared" si="58"/>
        <v/>
      </c>
      <c r="H414" s="13" t="str">
        <f t="shared" si="59"/>
        <v/>
      </c>
      <c r="I414" t="str">
        <f t="shared" si="60"/>
        <v/>
      </c>
    </row>
    <row r="415" spans="1:9">
      <c r="A415">
        <f>CSV!B415</f>
        <v>0</v>
      </c>
      <c r="B415" s="13" t="e">
        <f>INDEX(Input!$D$2:$AC$500,
       MATCH(CPU_Formula!A415, Input!$J$2:$J$500, 0),
       MATCH("CPU model", Input!$D$1:$AC$1, 0))</f>
        <v>#N/A</v>
      </c>
      <c r="C415" s="13" t="str">
        <f t="shared" si="54"/>
        <v/>
      </c>
      <c r="D415" s="13" t="str">
        <f t="shared" si="55"/>
        <v/>
      </c>
      <c r="E415" s="13" t="str">
        <f t="shared" si="56"/>
        <v/>
      </c>
      <c r="F415" s="13" t="str">
        <f t="shared" si="57"/>
        <v/>
      </c>
      <c r="G415" s="13" t="str">
        <f t="shared" si="58"/>
        <v/>
      </c>
      <c r="H415" s="13" t="str">
        <f t="shared" si="59"/>
        <v/>
      </c>
      <c r="I415" t="str">
        <f t="shared" si="60"/>
        <v/>
      </c>
    </row>
    <row r="416" spans="1:9">
      <c r="A416">
        <f>CSV!B416</f>
        <v>0</v>
      </c>
      <c r="B416" s="13" t="e">
        <f>INDEX(Input!$D$2:$AC$500,
       MATCH(CPU_Formula!A416, Input!$J$2:$J$500, 0),
       MATCH("CPU model", Input!$D$1:$AC$1, 0))</f>
        <v>#N/A</v>
      </c>
      <c r="C416" s="13" t="str">
        <f t="shared" si="54"/>
        <v/>
      </c>
      <c r="D416" s="13" t="str">
        <f t="shared" si="55"/>
        <v/>
      </c>
      <c r="E416" s="13" t="str">
        <f t="shared" si="56"/>
        <v/>
      </c>
      <c r="F416" s="13" t="str">
        <f t="shared" si="57"/>
        <v/>
      </c>
      <c r="G416" s="13" t="str">
        <f t="shared" si="58"/>
        <v/>
      </c>
      <c r="H416" s="13" t="str">
        <f t="shared" si="59"/>
        <v/>
      </c>
      <c r="I416" t="str">
        <f t="shared" si="60"/>
        <v/>
      </c>
    </row>
    <row r="417" spans="1:9">
      <c r="A417">
        <f>CSV!B417</f>
        <v>0</v>
      </c>
      <c r="B417" s="13" t="e">
        <f>INDEX(Input!$D$2:$AC$500,
       MATCH(CPU_Formula!A417, Input!$J$2:$J$500, 0),
       MATCH("CPU model", Input!$D$1:$AC$1, 0))</f>
        <v>#N/A</v>
      </c>
      <c r="C417" s="13" t="str">
        <f t="shared" si="54"/>
        <v/>
      </c>
      <c r="D417" s="13" t="str">
        <f t="shared" si="55"/>
        <v/>
      </c>
      <c r="E417" s="13" t="str">
        <f t="shared" si="56"/>
        <v/>
      </c>
      <c r="F417" s="13" t="str">
        <f t="shared" si="57"/>
        <v/>
      </c>
      <c r="G417" s="13" t="str">
        <f t="shared" si="58"/>
        <v/>
      </c>
      <c r="H417" s="13" t="str">
        <f t="shared" si="59"/>
        <v/>
      </c>
      <c r="I417" t="str">
        <f t="shared" si="60"/>
        <v/>
      </c>
    </row>
    <row r="418" spans="1:9">
      <c r="A418">
        <f>CSV!B418</f>
        <v>0</v>
      </c>
      <c r="B418" s="13" t="e">
        <f>INDEX(Input!$D$2:$AC$500,
       MATCH(CPU_Formula!A418, Input!$J$2:$J$500, 0),
       MATCH("CPU model", Input!$D$1:$AC$1, 0))</f>
        <v>#N/A</v>
      </c>
      <c r="C418" s="13" t="str">
        <f t="shared" si="54"/>
        <v/>
      </c>
      <c r="D418" s="13" t="str">
        <f t="shared" si="55"/>
        <v/>
      </c>
      <c r="E418" s="13" t="str">
        <f t="shared" si="56"/>
        <v/>
      </c>
      <c r="F418" s="13" t="str">
        <f t="shared" si="57"/>
        <v/>
      </c>
      <c r="G418" s="13" t="str">
        <f t="shared" si="58"/>
        <v/>
      </c>
      <c r="H418" s="13" t="str">
        <f t="shared" si="59"/>
        <v/>
      </c>
      <c r="I418" t="str">
        <f t="shared" si="60"/>
        <v/>
      </c>
    </row>
    <row r="419" spans="1:9">
      <c r="A419">
        <f>CSV!B419</f>
        <v>0</v>
      </c>
      <c r="B419" s="13" t="e">
        <f>INDEX(Input!$D$2:$AC$500,
       MATCH(CPU_Formula!A419, Input!$J$2:$J$500, 0),
       MATCH("CPU model", Input!$D$1:$AC$1, 0))</f>
        <v>#N/A</v>
      </c>
      <c r="C419" s="13" t="str">
        <f t="shared" si="54"/>
        <v/>
      </c>
      <c r="D419" s="13" t="str">
        <f t="shared" si="55"/>
        <v/>
      </c>
      <c r="E419" s="13" t="str">
        <f t="shared" si="56"/>
        <v/>
      </c>
      <c r="F419" s="13" t="str">
        <f t="shared" si="57"/>
        <v/>
      </c>
      <c r="G419" s="13" t="str">
        <f t="shared" si="58"/>
        <v/>
      </c>
      <c r="H419" s="13" t="str">
        <f t="shared" si="59"/>
        <v/>
      </c>
      <c r="I419" t="str">
        <f t="shared" si="60"/>
        <v/>
      </c>
    </row>
    <row r="420" spans="1:9">
      <c r="A420">
        <f>CSV!B420</f>
        <v>0</v>
      </c>
      <c r="B420" s="13" t="e">
        <f>INDEX(Input!$D$2:$AC$500,
       MATCH(CPU_Formula!A420, Input!$J$2:$J$500, 0),
       MATCH("CPU model", Input!$D$1:$AC$1, 0))</f>
        <v>#N/A</v>
      </c>
      <c r="C420" s="13" t="str">
        <f t="shared" si="54"/>
        <v/>
      </c>
      <c r="D420" s="13" t="str">
        <f t="shared" si="55"/>
        <v/>
      </c>
      <c r="E420" s="13" t="str">
        <f t="shared" si="56"/>
        <v/>
      </c>
      <c r="F420" s="13" t="str">
        <f t="shared" si="57"/>
        <v/>
      </c>
      <c r="G420" s="13" t="str">
        <f t="shared" si="58"/>
        <v/>
      </c>
      <c r="H420" s="13" t="str">
        <f t="shared" si="59"/>
        <v/>
      </c>
      <c r="I420" t="str">
        <f t="shared" si="60"/>
        <v/>
      </c>
    </row>
    <row r="421" spans="1:9">
      <c r="A421">
        <f>CSV!B421</f>
        <v>0</v>
      </c>
      <c r="B421" s="13" t="e">
        <f>INDEX(Input!$D$2:$AC$500,
       MATCH(CPU_Formula!A421, Input!$J$2:$J$500, 0),
       MATCH("CPU model", Input!$D$1:$AC$1, 0))</f>
        <v>#N/A</v>
      </c>
      <c r="C421" s="13" t="str">
        <f t="shared" si="54"/>
        <v/>
      </c>
      <c r="D421" s="13" t="str">
        <f t="shared" si="55"/>
        <v/>
      </c>
      <c r="E421" s="13" t="str">
        <f t="shared" si="56"/>
        <v/>
      </c>
      <c r="F421" s="13" t="str">
        <f t="shared" si="57"/>
        <v/>
      </c>
      <c r="G421" s="13" t="str">
        <f t="shared" si="58"/>
        <v/>
      </c>
      <c r="H421" s="13" t="str">
        <f t="shared" si="59"/>
        <v/>
      </c>
      <c r="I421" t="str">
        <f t="shared" si="60"/>
        <v/>
      </c>
    </row>
    <row r="422" spans="1:9">
      <c r="A422">
        <f>CSV!B422</f>
        <v>0</v>
      </c>
      <c r="B422" s="13" t="e">
        <f>INDEX(Input!$D$2:$AC$500,
       MATCH(CPU_Formula!A422, Input!$J$2:$J$500, 0),
       MATCH("CPU model", Input!$D$1:$AC$1, 0))</f>
        <v>#N/A</v>
      </c>
      <c r="C422" s="13" t="str">
        <f t="shared" si="54"/>
        <v/>
      </c>
      <c r="D422" s="13" t="str">
        <f t="shared" si="55"/>
        <v/>
      </c>
      <c r="E422" s="13" t="str">
        <f t="shared" si="56"/>
        <v/>
      </c>
      <c r="F422" s="13" t="str">
        <f t="shared" si="57"/>
        <v/>
      </c>
      <c r="G422" s="13" t="str">
        <f t="shared" si="58"/>
        <v/>
      </c>
      <c r="H422" s="13" t="str">
        <f t="shared" si="59"/>
        <v/>
      </c>
      <c r="I422" t="str">
        <f t="shared" si="60"/>
        <v/>
      </c>
    </row>
    <row r="423" spans="1:9">
      <c r="A423">
        <f>CSV!B423</f>
        <v>0</v>
      </c>
      <c r="B423" s="13" t="e">
        <f>INDEX(Input!$D$2:$AC$500,
       MATCH(CPU_Formula!A423, Input!$J$2:$J$500, 0),
       MATCH("CPU model", Input!$D$1:$AC$1, 0))</f>
        <v>#N/A</v>
      </c>
      <c r="C423" s="13" t="str">
        <f t="shared" si="54"/>
        <v/>
      </c>
      <c r="D423" s="13" t="str">
        <f t="shared" si="55"/>
        <v/>
      </c>
      <c r="E423" s="13" t="str">
        <f t="shared" si="56"/>
        <v/>
      </c>
      <c r="F423" s="13" t="str">
        <f t="shared" si="57"/>
        <v/>
      </c>
      <c r="G423" s="13" t="str">
        <f t="shared" si="58"/>
        <v/>
      </c>
      <c r="H423" s="13" t="str">
        <f t="shared" si="59"/>
        <v/>
      </c>
      <c r="I423" t="str">
        <f t="shared" si="60"/>
        <v/>
      </c>
    </row>
    <row r="424" spans="1:9">
      <c r="A424">
        <f>CSV!B424</f>
        <v>0</v>
      </c>
      <c r="B424" s="13" t="e">
        <f>INDEX(Input!$D$2:$AC$500,
       MATCH(CPU_Formula!A424, Input!$J$2:$J$500, 0),
       MATCH("CPU model", Input!$D$1:$AC$1, 0))</f>
        <v>#N/A</v>
      </c>
      <c r="C424" s="13" t="str">
        <f t="shared" ref="C424:C487" si="61">IFERROR(_xlfn.TEXTAFTER(B424,"Core(TM) "),IFERROR(_xlfn.TEXTAFTER(B424,"Xeon(R) CPU"),""))</f>
        <v/>
      </c>
      <c r="D424" s="13" t="str">
        <f t="shared" ref="D424:D487" si="62">IFERROR(_xlfn.TEXTAFTER(B424,"Ryzen "), "")</f>
        <v/>
      </c>
      <c r="E424" s="13" t="str">
        <f t="shared" ref="E424:E487" si="63">IF(ISNUMBER(SEARCH("Ultra", B424)), "Ultra"&amp;_xlfn.TEXTAFTER(B424, "Ultra"), "")</f>
        <v/>
      </c>
      <c r="F424" s="13" t="str">
        <f t="shared" ref="F424:F487" si="64">IF(C424&lt;&gt;"", TRIM(_xlfn.TEXTBEFORE(C424," ",,1,1)), "")</f>
        <v/>
      </c>
      <c r="G424" s="13" t="str">
        <f t="shared" ref="G424:G487" si="65">IF(D424&lt;&gt;"", TRIM(_xlfn.TEXTBEFORE(D424," ",,1)), "")</f>
        <v/>
      </c>
      <c r="H424" s="13" t="str">
        <f t="shared" ref="H424:H487" si="66">E424</f>
        <v/>
      </c>
      <c r="I424" t="str">
        <f t="shared" ref="I424:I487" si="67">IF(H424&lt;&gt;"",H424,IF(G424&lt;&gt;"",G424,F424))</f>
        <v/>
      </c>
    </row>
    <row r="425" spans="1:9">
      <c r="A425">
        <f>CSV!B425</f>
        <v>0</v>
      </c>
      <c r="B425" s="13" t="e">
        <f>INDEX(Input!$D$2:$AC$500,
       MATCH(CPU_Formula!A425, Input!$J$2:$J$500, 0),
       MATCH("CPU model", Input!$D$1:$AC$1, 0))</f>
        <v>#N/A</v>
      </c>
      <c r="C425" s="13" t="str">
        <f t="shared" si="61"/>
        <v/>
      </c>
      <c r="D425" s="13" t="str">
        <f t="shared" si="62"/>
        <v/>
      </c>
      <c r="E425" s="13" t="str">
        <f t="shared" si="63"/>
        <v/>
      </c>
      <c r="F425" s="13" t="str">
        <f t="shared" si="64"/>
        <v/>
      </c>
      <c r="G425" s="13" t="str">
        <f t="shared" si="65"/>
        <v/>
      </c>
      <c r="H425" s="13" t="str">
        <f t="shared" si="66"/>
        <v/>
      </c>
      <c r="I425" t="str">
        <f t="shared" si="67"/>
        <v/>
      </c>
    </row>
    <row r="426" spans="1:9">
      <c r="A426">
        <f>CSV!B426</f>
        <v>0</v>
      </c>
      <c r="B426" s="13" t="e">
        <f>INDEX(Input!$D$2:$AC$500,
       MATCH(CPU_Formula!A426, Input!$J$2:$J$500, 0),
       MATCH("CPU model", Input!$D$1:$AC$1, 0))</f>
        <v>#N/A</v>
      </c>
      <c r="C426" s="13" t="str">
        <f t="shared" si="61"/>
        <v/>
      </c>
      <c r="D426" s="13" t="str">
        <f t="shared" si="62"/>
        <v/>
      </c>
      <c r="E426" s="13" t="str">
        <f t="shared" si="63"/>
        <v/>
      </c>
      <c r="F426" s="13" t="str">
        <f t="shared" si="64"/>
        <v/>
      </c>
      <c r="G426" s="13" t="str">
        <f t="shared" si="65"/>
        <v/>
      </c>
      <c r="H426" s="13" t="str">
        <f t="shared" si="66"/>
        <v/>
      </c>
      <c r="I426" t="str">
        <f t="shared" si="67"/>
        <v/>
      </c>
    </row>
    <row r="427" spans="1:9">
      <c r="A427">
        <f>CSV!B427</f>
        <v>0</v>
      </c>
      <c r="B427" s="13" t="e">
        <f>INDEX(Input!$D$2:$AC$500,
       MATCH(CPU_Formula!A427, Input!$J$2:$J$500, 0),
       MATCH("CPU model", Input!$D$1:$AC$1, 0))</f>
        <v>#N/A</v>
      </c>
      <c r="C427" s="13" t="str">
        <f t="shared" si="61"/>
        <v/>
      </c>
      <c r="D427" s="13" t="str">
        <f t="shared" si="62"/>
        <v/>
      </c>
      <c r="E427" s="13" t="str">
        <f t="shared" si="63"/>
        <v/>
      </c>
      <c r="F427" s="13" t="str">
        <f t="shared" si="64"/>
        <v/>
      </c>
      <c r="G427" s="13" t="str">
        <f t="shared" si="65"/>
        <v/>
      </c>
      <c r="H427" s="13" t="str">
        <f t="shared" si="66"/>
        <v/>
      </c>
      <c r="I427" t="str">
        <f t="shared" si="67"/>
        <v/>
      </c>
    </row>
    <row r="428" spans="1:9">
      <c r="A428">
        <f>CSV!B428</f>
        <v>0</v>
      </c>
      <c r="B428" s="13" t="e">
        <f>INDEX(Input!$D$2:$AC$500,
       MATCH(CPU_Formula!A428, Input!$J$2:$J$500, 0),
       MATCH("CPU model", Input!$D$1:$AC$1, 0))</f>
        <v>#N/A</v>
      </c>
      <c r="C428" s="13" t="str">
        <f t="shared" si="61"/>
        <v/>
      </c>
      <c r="D428" s="13" t="str">
        <f t="shared" si="62"/>
        <v/>
      </c>
      <c r="E428" s="13" t="str">
        <f t="shared" si="63"/>
        <v/>
      </c>
      <c r="F428" s="13" t="str">
        <f t="shared" si="64"/>
        <v/>
      </c>
      <c r="G428" s="13" t="str">
        <f t="shared" si="65"/>
        <v/>
      </c>
      <c r="H428" s="13" t="str">
        <f t="shared" si="66"/>
        <v/>
      </c>
      <c r="I428" t="str">
        <f t="shared" si="67"/>
        <v/>
      </c>
    </row>
    <row r="429" spans="1:9">
      <c r="A429">
        <f>CSV!B429</f>
        <v>0</v>
      </c>
      <c r="B429" s="13" t="e">
        <f>INDEX(Input!$D$2:$AC$500,
       MATCH(CPU_Formula!A429, Input!$J$2:$J$500, 0),
       MATCH("CPU model", Input!$D$1:$AC$1, 0))</f>
        <v>#N/A</v>
      </c>
      <c r="C429" s="13" t="str">
        <f t="shared" si="61"/>
        <v/>
      </c>
      <c r="D429" s="13" t="str">
        <f t="shared" si="62"/>
        <v/>
      </c>
      <c r="E429" s="13" t="str">
        <f t="shared" si="63"/>
        <v/>
      </c>
      <c r="F429" s="13" t="str">
        <f t="shared" si="64"/>
        <v/>
      </c>
      <c r="G429" s="13" t="str">
        <f t="shared" si="65"/>
        <v/>
      </c>
      <c r="H429" s="13" t="str">
        <f t="shared" si="66"/>
        <v/>
      </c>
      <c r="I429" t="str">
        <f t="shared" si="67"/>
        <v/>
      </c>
    </row>
    <row r="430" spans="1:9">
      <c r="A430">
        <f>CSV!B430</f>
        <v>0</v>
      </c>
      <c r="B430" s="13" t="e">
        <f>INDEX(Input!$D$2:$AC$500,
       MATCH(CPU_Formula!A430, Input!$J$2:$J$500, 0),
       MATCH("CPU model", Input!$D$1:$AC$1, 0))</f>
        <v>#N/A</v>
      </c>
      <c r="C430" s="13" t="str">
        <f t="shared" si="61"/>
        <v/>
      </c>
      <c r="D430" s="13" t="str">
        <f t="shared" si="62"/>
        <v/>
      </c>
      <c r="E430" s="13" t="str">
        <f t="shared" si="63"/>
        <v/>
      </c>
      <c r="F430" s="13" t="str">
        <f t="shared" si="64"/>
        <v/>
      </c>
      <c r="G430" s="13" t="str">
        <f t="shared" si="65"/>
        <v/>
      </c>
      <c r="H430" s="13" t="str">
        <f t="shared" si="66"/>
        <v/>
      </c>
      <c r="I430" t="str">
        <f t="shared" si="67"/>
        <v/>
      </c>
    </row>
    <row r="431" spans="1:9">
      <c r="A431">
        <f>CSV!B431</f>
        <v>0</v>
      </c>
      <c r="B431" s="13" t="e">
        <f>INDEX(Input!$D$2:$AC$500,
       MATCH(CPU_Formula!A431, Input!$J$2:$J$500, 0),
       MATCH("CPU model", Input!$D$1:$AC$1, 0))</f>
        <v>#N/A</v>
      </c>
      <c r="C431" s="13" t="str">
        <f t="shared" si="61"/>
        <v/>
      </c>
      <c r="D431" s="13" t="str">
        <f t="shared" si="62"/>
        <v/>
      </c>
      <c r="E431" s="13" t="str">
        <f t="shared" si="63"/>
        <v/>
      </c>
      <c r="F431" s="13" t="str">
        <f t="shared" si="64"/>
        <v/>
      </c>
      <c r="G431" s="13" t="str">
        <f t="shared" si="65"/>
        <v/>
      </c>
      <c r="H431" s="13" t="str">
        <f t="shared" si="66"/>
        <v/>
      </c>
      <c r="I431" t="str">
        <f t="shared" si="67"/>
        <v/>
      </c>
    </row>
    <row r="432" spans="1:9">
      <c r="A432">
        <f>CSV!B432</f>
        <v>0</v>
      </c>
      <c r="B432" s="13" t="e">
        <f>INDEX(Input!$D$2:$AC$500,
       MATCH(CPU_Formula!A432, Input!$J$2:$J$500, 0),
       MATCH("CPU model", Input!$D$1:$AC$1, 0))</f>
        <v>#N/A</v>
      </c>
      <c r="C432" s="13" t="str">
        <f t="shared" si="61"/>
        <v/>
      </c>
      <c r="D432" s="13" t="str">
        <f t="shared" si="62"/>
        <v/>
      </c>
      <c r="E432" s="13" t="str">
        <f t="shared" si="63"/>
        <v/>
      </c>
      <c r="F432" s="13" t="str">
        <f t="shared" si="64"/>
        <v/>
      </c>
      <c r="G432" s="13" t="str">
        <f t="shared" si="65"/>
        <v/>
      </c>
      <c r="H432" s="13" t="str">
        <f t="shared" si="66"/>
        <v/>
      </c>
      <c r="I432" t="str">
        <f t="shared" si="67"/>
        <v/>
      </c>
    </row>
    <row r="433" spans="1:9">
      <c r="A433">
        <f>CSV!B433</f>
        <v>0</v>
      </c>
      <c r="B433" s="13" t="e">
        <f>INDEX(Input!$D$2:$AC$500,
       MATCH(CPU_Formula!A433, Input!$J$2:$J$500, 0),
       MATCH("CPU model", Input!$D$1:$AC$1, 0))</f>
        <v>#N/A</v>
      </c>
      <c r="C433" s="13" t="str">
        <f t="shared" si="61"/>
        <v/>
      </c>
      <c r="D433" s="13" t="str">
        <f t="shared" si="62"/>
        <v/>
      </c>
      <c r="E433" s="13" t="str">
        <f t="shared" si="63"/>
        <v/>
      </c>
      <c r="F433" s="13" t="str">
        <f t="shared" si="64"/>
        <v/>
      </c>
      <c r="G433" s="13" t="str">
        <f t="shared" si="65"/>
        <v/>
      </c>
      <c r="H433" s="13" t="str">
        <f t="shared" si="66"/>
        <v/>
      </c>
      <c r="I433" t="str">
        <f t="shared" si="67"/>
        <v/>
      </c>
    </row>
    <row r="434" spans="1:9">
      <c r="A434">
        <f>CSV!B434</f>
        <v>0</v>
      </c>
      <c r="B434" s="13" t="e">
        <f>INDEX(Input!$D$2:$AC$500,
       MATCH(CPU_Formula!A434, Input!$J$2:$J$500, 0),
       MATCH("CPU model", Input!$D$1:$AC$1, 0))</f>
        <v>#N/A</v>
      </c>
      <c r="C434" s="13" t="str">
        <f t="shared" si="61"/>
        <v/>
      </c>
      <c r="D434" s="13" t="str">
        <f t="shared" si="62"/>
        <v/>
      </c>
      <c r="E434" s="13" t="str">
        <f t="shared" si="63"/>
        <v/>
      </c>
      <c r="F434" s="13" t="str">
        <f t="shared" si="64"/>
        <v/>
      </c>
      <c r="G434" s="13" t="str">
        <f t="shared" si="65"/>
        <v/>
      </c>
      <c r="H434" s="13" t="str">
        <f t="shared" si="66"/>
        <v/>
      </c>
      <c r="I434" t="str">
        <f t="shared" si="67"/>
        <v/>
      </c>
    </row>
    <row r="435" spans="1:9">
      <c r="A435">
        <f>CSV!B435</f>
        <v>0</v>
      </c>
      <c r="B435" s="13" t="e">
        <f>INDEX(Input!$D$2:$AC$500,
       MATCH(CPU_Formula!A435, Input!$J$2:$J$500, 0),
       MATCH("CPU model", Input!$D$1:$AC$1, 0))</f>
        <v>#N/A</v>
      </c>
      <c r="C435" s="13" t="str">
        <f t="shared" si="61"/>
        <v/>
      </c>
      <c r="D435" s="13" t="str">
        <f t="shared" si="62"/>
        <v/>
      </c>
      <c r="E435" s="13" t="str">
        <f t="shared" si="63"/>
        <v/>
      </c>
      <c r="F435" s="13" t="str">
        <f t="shared" si="64"/>
        <v/>
      </c>
      <c r="G435" s="13" t="str">
        <f t="shared" si="65"/>
        <v/>
      </c>
      <c r="H435" s="13" t="str">
        <f t="shared" si="66"/>
        <v/>
      </c>
      <c r="I435" t="str">
        <f t="shared" si="67"/>
        <v/>
      </c>
    </row>
    <row r="436" spans="1:9">
      <c r="A436">
        <f>CSV!B436</f>
        <v>0</v>
      </c>
      <c r="B436" s="13" t="e">
        <f>INDEX(Input!$D$2:$AC$500,
       MATCH(CPU_Formula!A436, Input!$J$2:$J$500, 0),
       MATCH("CPU model", Input!$D$1:$AC$1, 0))</f>
        <v>#N/A</v>
      </c>
      <c r="C436" s="13" t="str">
        <f t="shared" si="61"/>
        <v/>
      </c>
      <c r="D436" s="13" t="str">
        <f t="shared" si="62"/>
        <v/>
      </c>
      <c r="E436" s="13" t="str">
        <f t="shared" si="63"/>
        <v/>
      </c>
      <c r="F436" s="13" t="str">
        <f t="shared" si="64"/>
        <v/>
      </c>
      <c r="G436" s="13" t="str">
        <f t="shared" si="65"/>
        <v/>
      </c>
      <c r="H436" s="13" t="str">
        <f t="shared" si="66"/>
        <v/>
      </c>
      <c r="I436" t="str">
        <f t="shared" si="67"/>
        <v/>
      </c>
    </row>
    <row r="437" spans="1:9">
      <c r="A437">
        <f>CSV!B437</f>
        <v>0</v>
      </c>
      <c r="B437" s="13" t="e">
        <f>INDEX(Input!$D$2:$AC$500,
       MATCH(CPU_Formula!A437, Input!$J$2:$J$500, 0),
       MATCH("CPU model", Input!$D$1:$AC$1, 0))</f>
        <v>#N/A</v>
      </c>
      <c r="C437" s="13" t="str">
        <f t="shared" si="61"/>
        <v/>
      </c>
      <c r="D437" s="13" t="str">
        <f t="shared" si="62"/>
        <v/>
      </c>
      <c r="E437" s="13" t="str">
        <f t="shared" si="63"/>
        <v/>
      </c>
      <c r="F437" s="13" t="str">
        <f t="shared" si="64"/>
        <v/>
      </c>
      <c r="G437" s="13" t="str">
        <f t="shared" si="65"/>
        <v/>
      </c>
      <c r="H437" s="13" t="str">
        <f t="shared" si="66"/>
        <v/>
      </c>
      <c r="I437" t="str">
        <f t="shared" si="67"/>
        <v/>
      </c>
    </row>
    <row r="438" spans="1:9">
      <c r="A438">
        <f>CSV!B438</f>
        <v>0</v>
      </c>
      <c r="B438" s="13" t="e">
        <f>INDEX(Input!$D$2:$AC$500,
       MATCH(CPU_Formula!A438, Input!$J$2:$J$500, 0),
       MATCH("CPU model", Input!$D$1:$AC$1, 0))</f>
        <v>#N/A</v>
      </c>
      <c r="C438" s="13" t="str">
        <f t="shared" si="61"/>
        <v/>
      </c>
      <c r="D438" s="13" t="str">
        <f t="shared" si="62"/>
        <v/>
      </c>
      <c r="E438" s="13" t="str">
        <f t="shared" si="63"/>
        <v/>
      </c>
      <c r="F438" s="13" t="str">
        <f t="shared" si="64"/>
        <v/>
      </c>
      <c r="G438" s="13" t="str">
        <f t="shared" si="65"/>
        <v/>
      </c>
      <c r="H438" s="13" t="str">
        <f t="shared" si="66"/>
        <v/>
      </c>
      <c r="I438" t="str">
        <f t="shared" si="67"/>
        <v/>
      </c>
    </row>
    <row r="439" spans="1:9">
      <c r="A439">
        <f>CSV!B439</f>
        <v>0</v>
      </c>
      <c r="B439" s="13" t="e">
        <f>INDEX(Input!$D$2:$AC$500,
       MATCH(CPU_Formula!A439, Input!$J$2:$J$500, 0),
       MATCH("CPU model", Input!$D$1:$AC$1, 0))</f>
        <v>#N/A</v>
      </c>
      <c r="C439" s="13" t="str">
        <f t="shared" si="61"/>
        <v/>
      </c>
      <c r="D439" s="13" t="str">
        <f t="shared" si="62"/>
        <v/>
      </c>
      <c r="E439" s="13" t="str">
        <f t="shared" si="63"/>
        <v/>
      </c>
      <c r="F439" s="13" t="str">
        <f t="shared" si="64"/>
        <v/>
      </c>
      <c r="G439" s="13" t="str">
        <f t="shared" si="65"/>
        <v/>
      </c>
      <c r="H439" s="13" t="str">
        <f t="shared" si="66"/>
        <v/>
      </c>
      <c r="I439" t="str">
        <f t="shared" si="67"/>
        <v/>
      </c>
    </row>
    <row r="440" spans="1:9">
      <c r="A440">
        <f>CSV!B440</f>
        <v>0</v>
      </c>
      <c r="B440" s="13" t="e">
        <f>INDEX(Input!$D$2:$AC$500,
       MATCH(CPU_Formula!A440, Input!$J$2:$J$500, 0),
       MATCH("CPU model", Input!$D$1:$AC$1, 0))</f>
        <v>#N/A</v>
      </c>
      <c r="C440" s="13" t="str">
        <f t="shared" si="61"/>
        <v/>
      </c>
      <c r="D440" s="13" t="str">
        <f t="shared" si="62"/>
        <v/>
      </c>
      <c r="E440" s="13" t="str">
        <f t="shared" si="63"/>
        <v/>
      </c>
      <c r="F440" s="13" t="str">
        <f t="shared" si="64"/>
        <v/>
      </c>
      <c r="G440" s="13" t="str">
        <f t="shared" si="65"/>
        <v/>
      </c>
      <c r="H440" s="13" t="str">
        <f t="shared" si="66"/>
        <v/>
      </c>
      <c r="I440" t="str">
        <f t="shared" si="67"/>
        <v/>
      </c>
    </row>
    <row r="441" spans="1:9">
      <c r="A441">
        <f>CSV!B441</f>
        <v>0</v>
      </c>
      <c r="B441" s="13" t="e">
        <f>INDEX(Input!$D$2:$AC$500,
       MATCH(CPU_Formula!A441, Input!$J$2:$J$500, 0),
       MATCH("CPU model", Input!$D$1:$AC$1, 0))</f>
        <v>#N/A</v>
      </c>
      <c r="C441" s="13" t="str">
        <f t="shared" si="61"/>
        <v/>
      </c>
      <c r="D441" s="13" t="str">
        <f t="shared" si="62"/>
        <v/>
      </c>
      <c r="E441" s="13" t="str">
        <f t="shared" si="63"/>
        <v/>
      </c>
      <c r="F441" s="13" t="str">
        <f t="shared" si="64"/>
        <v/>
      </c>
      <c r="G441" s="13" t="str">
        <f t="shared" si="65"/>
        <v/>
      </c>
      <c r="H441" s="13" t="str">
        <f t="shared" si="66"/>
        <v/>
      </c>
      <c r="I441" t="str">
        <f t="shared" si="67"/>
        <v/>
      </c>
    </row>
    <row r="442" spans="1:9">
      <c r="A442">
        <f>CSV!B442</f>
        <v>0</v>
      </c>
      <c r="B442" s="13" t="e">
        <f>INDEX(Input!$D$2:$AC$500,
       MATCH(CPU_Formula!A442, Input!$J$2:$J$500, 0),
       MATCH("CPU model", Input!$D$1:$AC$1, 0))</f>
        <v>#N/A</v>
      </c>
      <c r="C442" s="13" t="str">
        <f t="shared" si="61"/>
        <v/>
      </c>
      <c r="D442" s="13" t="str">
        <f t="shared" si="62"/>
        <v/>
      </c>
      <c r="E442" s="13" t="str">
        <f t="shared" si="63"/>
        <v/>
      </c>
      <c r="F442" s="13" t="str">
        <f t="shared" si="64"/>
        <v/>
      </c>
      <c r="G442" s="13" t="str">
        <f t="shared" si="65"/>
        <v/>
      </c>
      <c r="H442" s="13" t="str">
        <f t="shared" si="66"/>
        <v/>
      </c>
      <c r="I442" t="str">
        <f t="shared" si="67"/>
        <v/>
      </c>
    </row>
    <row r="443" spans="1:9">
      <c r="A443">
        <f>CSV!B443</f>
        <v>0</v>
      </c>
      <c r="B443" s="13" t="e">
        <f>INDEX(Input!$D$2:$AC$500,
       MATCH(CPU_Formula!A443, Input!$J$2:$J$500, 0),
       MATCH("CPU model", Input!$D$1:$AC$1, 0))</f>
        <v>#N/A</v>
      </c>
      <c r="C443" s="13" t="str">
        <f t="shared" si="61"/>
        <v/>
      </c>
      <c r="D443" s="13" t="str">
        <f t="shared" si="62"/>
        <v/>
      </c>
      <c r="E443" s="13" t="str">
        <f t="shared" si="63"/>
        <v/>
      </c>
      <c r="F443" s="13" t="str">
        <f t="shared" si="64"/>
        <v/>
      </c>
      <c r="G443" s="13" t="str">
        <f t="shared" si="65"/>
        <v/>
      </c>
      <c r="H443" s="13" t="str">
        <f t="shared" si="66"/>
        <v/>
      </c>
      <c r="I443" t="str">
        <f t="shared" si="67"/>
        <v/>
      </c>
    </row>
    <row r="444" spans="1:9">
      <c r="A444">
        <f>CSV!B444</f>
        <v>0</v>
      </c>
      <c r="B444" s="13" t="e">
        <f>INDEX(Input!$D$2:$AC$500,
       MATCH(CPU_Formula!A444, Input!$J$2:$J$500, 0),
       MATCH("CPU model", Input!$D$1:$AC$1, 0))</f>
        <v>#N/A</v>
      </c>
      <c r="C444" s="13" t="str">
        <f t="shared" si="61"/>
        <v/>
      </c>
      <c r="D444" s="13" t="str">
        <f t="shared" si="62"/>
        <v/>
      </c>
      <c r="E444" s="13" t="str">
        <f t="shared" si="63"/>
        <v/>
      </c>
      <c r="F444" s="13" t="str">
        <f t="shared" si="64"/>
        <v/>
      </c>
      <c r="G444" s="13" t="str">
        <f t="shared" si="65"/>
        <v/>
      </c>
      <c r="H444" s="13" t="str">
        <f t="shared" si="66"/>
        <v/>
      </c>
      <c r="I444" t="str">
        <f t="shared" si="67"/>
        <v/>
      </c>
    </row>
    <row r="445" spans="1:9">
      <c r="A445">
        <f>CSV!B445</f>
        <v>0</v>
      </c>
      <c r="B445" s="13" t="e">
        <f>INDEX(Input!$D$2:$AC$500,
       MATCH(CPU_Formula!A445, Input!$J$2:$J$500, 0),
       MATCH("CPU model", Input!$D$1:$AC$1, 0))</f>
        <v>#N/A</v>
      </c>
      <c r="C445" s="13" t="str">
        <f t="shared" si="61"/>
        <v/>
      </c>
      <c r="D445" s="13" t="str">
        <f t="shared" si="62"/>
        <v/>
      </c>
      <c r="E445" s="13" t="str">
        <f t="shared" si="63"/>
        <v/>
      </c>
      <c r="F445" s="13" t="str">
        <f t="shared" si="64"/>
        <v/>
      </c>
      <c r="G445" s="13" t="str">
        <f t="shared" si="65"/>
        <v/>
      </c>
      <c r="H445" s="13" t="str">
        <f t="shared" si="66"/>
        <v/>
      </c>
      <c r="I445" t="str">
        <f t="shared" si="67"/>
        <v/>
      </c>
    </row>
    <row r="446" spans="1:9">
      <c r="A446">
        <f>CSV!B446</f>
        <v>0</v>
      </c>
      <c r="B446" s="13" t="e">
        <f>INDEX(Input!$D$2:$AC$500,
       MATCH(CPU_Formula!A446, Input!$J$2:$J$500, 0),
       MATCH("CPU model", Input!$D$1:$AC$1, 0))</f>
        <v>#N/A</v>
      </c>
      <c r="C446" s="13" t="str">
        <f t="shared" si="61"/>
        <v/>
      </c>
      <c r="D446" s="13" t="str">
        <f t="shared" si="62"/>
        <v/>
      </c>
      <c r="E446" s="13" t="str">
        <f t="shared" si="63"/>
        <v/>
      </c>
      <c r="F446" s="13" t="str">
        <f t="shared" si="64"/>
        <v/>
      </c>
      <c r="G446" s="13" t="str">
        <f t="shared" si="65"/>
        <v/>
      </c>
      <c r="H446" s="13" t="str">
        <f t="shared" si="66"/>
        <v/>
      </c>
      <c r="I446" t="str">
        <f t="shared" si="67"/>
        <v/>
      </c>
    </row>
    <row r="447" spans="1:9">
      <c r="A447">
        <f>CSV!B447</f>
        <v>0</v>
      </c>
      <c r="B447" s="13" t="e">
        <f>INDEX(Input!$D$2:$AC$500,
       MATCH(CPU_Formula!A447, Input!$J$2:$J$500, 0),
       MATCH("CPU model", Input!$D$1:$AC$1, 0))</f>
        <v>#N/A</v>
      </c>
      <c r="C447" s="13" t="str">
        <f t="shared" si="61"/>
        <v/>
      </c>
      <c r="D447" s="13" t="str">
        <f t="shared" si="62"/>
        <v/>
      </c>
      <c r="E447" s="13" t="str">
        <f t="shared" si="63"/>
        <v/>
      </c>
      <c r="F447" s="13" t="str">
        <f t="shared" si="64"/>
        <v/>
      </c>
      <c r="G447" s="13" t="str">
        <f t="shared" si="65"/>
        <v/>
      </c>
      <c r="H447" s="13" t="str">
        <f t="shared" si="66"/>
        <v/>
      </c>
      <c r="I447" t="str">
        <f t="shared" si="67"/>
        <v/>
      </c>
    </row>
    <row r="448" spans="1:9">
      <c r="A448">
        <f>CSV!B448</f>
        <v>0</v>
      </c>
      <c r="B448" s="13" t="e">
        <f>INDEX(Input!$D$2:$AC$500,
       MATCH(CPU_Formula!A448, Input!$J$2:$J$500, 0),
       MATCH("CPU model", Input!$D$1:$AC$1, 0))</f>
        <v>#N/A</v>
      </c>
      <c r="C448" s="13" t="str">
        <f t="shared" si="61"/>
        <v/>
      </c>
      <c r="D448" s="13" t="str">
        <f t="shared" si="62"/>
        <v/>
      </c>
      <c r="E448" s="13" t="str">
        <f t="shared" si="63"/>
        <v/>
      </c>
      <c r="F448" s="13" t="str">
        <f t="shared" si="64"/>
        <v/>
      </c>
      <c r="G448" s="13" t="str">
        <f t="shared" si="65"/>
        <v/>
      </c>
      <c r="H448" s="13" t="str">
        <f t="shared" si="66"/>
        <v/>
      </c>
      <c r="I448" t="str">
        <f t="shared" si="67"/>
        <v/>
      </c>
    </row>
    <row r="449" spans="1:9">
      <c r="A449">
        <f>CSV!B449</f>
        <v>0</v>
      </c>
      <c r="B449" s="13" t="e">
        <f>INDEX(Input!$D$2:$AC$500,
       MATCH(CPU_Formula!A449, Input!$J$2:$J$500, 0),
       MATCH("CPU model", Input!$D$1:$AC$1, 0))</f>
        <v>#N/A</v>
      </c>
      <c r="C449" s="13" t="str">
        <f t="shared" si="61"/>
        <v/>
      </c>
      <c r="D449" s="13" t="str">
        <f t="shared" si="62"/>
        <v/>
      </c>
      <c r="E449" s="13" t="str">
        <f t="shared" si="63"/>
        <v/>
      </c>
      <c r="F449" s="13" t="str">
        <f t="shared" si="64"/>
        <v/>
      </c>
      <c r="G449" s="13" t="str">
        <f t="shared" si="65"/>
        <v/>
      </c>
      <c r="H449" s="13" t="str">
        <f t="shared" si="66"/>
        <v/>
      </c>
      <c r="I449" t="str">
        <f t="shared" si="67"/>
        <v/>
      </c>
    </row>
    <row r="450" spans="1:9">
      <c r="A450">
        <f>CSV!B450</f>
        <v>0</v>
      </c>
      <c r="B450" s="13" t="e">
        <f>INDEX(Input!$D$2:$AC$500,
       MATCH(CPU_Formula!A450, Input!$J$2:$J$500, 0),
       MATCH("CPU model", Input!$D$1:$AC$1, 0))</f>
        <v>#N/A</v>
      </c>
      <c r="C450" s="13" t="str">
        <f t="shared" si="61"/>
        <v/>
      </c>
      <c r="D450" s="13" t="str">
        <f t="shared" si="62"/>
        <v/>
      </c>
      <c r="E450" s="13" t="str">
        <f t="shared" si="63"/>
        <v/>
      </c>
      <c r="F450" s="13" t="str">
        <f t="shared" si="64"/>
        <v/>
      </c>
      <c r="G450" s="13" t="str">
        <f t="shared" si="65"/>
        <v/>
      </c>
      <c r="H450" s="13" t="str">
        <f t="shared" si="66"/>
        <v/>
      </c>
      <c r="I450" t="str">
        <f t="shared" si="67"/>
        <v/>
      </c>
    </row>
    <row r="451" spans="1:9">
      <c r="A451">
        <f>CSV!B451</f>
        <v>0</v>
      </c>
      <c r="B451" s="13" t="e">
        <f>INDEX(Input!$D$2:$AC$500,
       MATCH(CPU_Formula!A451, Input!$J$2:$J$500, 0),
       MATCH("CPU model", Input!$D$1:$AC$1, 0))</f>
        <v>#N/A</v>
      </c>
      <c r="C451" s="13" t="str">
        <f t="shared" si="61"/>
        <v/>
      </c>
      <c r="D451" s="13" t="str">
        <f t="shared" si="62"/>
        <v/>
      </c>
      <c r="E451" s="13" t="str">
        <f t="shared" si="63"/>
        <v/>
      </c>
      <c r="F451" s="13" t="str">
        <f t="shared" si="64"/>
        <v/>
      </c>
      <c r="G451" s="13" t="str">
        <f t="shared" si="65"/>
        <v/>
      </c>
      <c r="H451" s="13" t="str">
        <f t="shared" si="66"/>
        <v/>
      </c>
      <c r="I451" t="str">
        <f t="shared" si="67"/>
        <v/>
      </c>
    </row>
    <row r="452" spans="1:9">
      <c r="A452">
        <f>CSV!B452</f>
        <v>0</v>
      </c>
      <c r="B452" s="13" t="e">
        <f>INDEX(Input!$D$2:$AC$500,
       MATCH(CPU_Formula!A452, Input!$J$2:$J$500, 0),
       MATCH("CPU model", Input!$D$1:$AC$1, 0))</f>
        <v>#N/A</v>
      </c>
      <c r="C452" s="13" t="str">
        <f t="shared" si="61"/>
        <v/>
      </c>
      <c r="D452" s="13" t="str">
        <f t="shared" si="62"/>
        <v/>
      </c>
      <c r="E452" s="13" t="str">
        <f t="shared" si="63"/>
        <v/>
      </c>
      <c r="F452" s="13" t="str">
        <f t="shared" si="64"/>
        <v/>
      </c>
      <c r="G452" s="13" t="str">
        <f t="shared" si="65"/>
        <v/>
      </c>
      <c r="H452" s="13" t="str">
        <f t="shared" si="66"/>
        <v/>
      </c>
      <c r="I452" t="str">
        <f t="shared" si="67"/>
        <v/>
      </c>
    </row>
    <row r="453" spans="1:9">
      <c r="A453">
        <f>CSV!B453</f>
        <v>0</v>
      </c>
      <c r="B453" s="13" t="e">
        <f>INDEX(Input!$D$2:$AC$500,
       MATCH(CPU_Formula!A453, Input!$J$2:$J$500, 0),
       MATCH("CPU model", Input!$D$1:$AC$1, 0))</f>
        <v>#N/A</v>
      </c>
      <c r="C453" s="13" t="str">
        <f t="shared" si="61"/>
        <v/>
      </c>
      <c r="D453" s="13" t="str">
        <f t="shared" si="62"/>
        <v/>
      </c>
      <c r="E453" s="13" t="str">
        <f t="shared" si="63"/>
        <v/>
      </c>
      <c r="F453" s="13" t="str">
        <f t="shared" si="64"/>
        <v/>
      </c>
      <c r="G453" s="13" t="str">
        <f t="shared" si="65"/>
        <v/>
      </c>
      <c r="H453" s="13" t="str">
        <f t="shared" si="66"/>
        <v/>
      </c>
      <c r="I453" t="str">
        <f t="shared" si="67"/>
        <v/>
      </c>
    </row>
    <row r="454" spans="1:9">
      <c r="A454">
        <f>CSV!B454</f>
        <v>0</v>
      </c>
      <c r="B454" s="13" t="e">
        <f>INDEX(Input!$D$2:$AC$500,
       MATCH(CPU_Formula!A454, Input!$J$2:$J$500, 0),
       MATCH("CPU model", Input!$D$1:$AC$1, 0))</f>
        <v>#N/A</v>
      </c>
      <c r="C454" s="13" t="str">
        <f t="shared" si="61"/>
        <v/>
      </c>
      <c r="D454" s="13" t="str">
        <f t="shared" si="62"/>
        <v/>
      </c>
      <c r="E454" s="13" t="str">
        <f t="shared" si="63"/>
        <v/>
      </c>
      <c r="F454" s="13" t="str">
        <f t="shared" si="64"/>
        <v/>
      </c>
      <c r="G454" s="13" t="str">
        <f t="shared" si="65"/>
        <v/>
      </c>
      <c r="H454" s="13" t="str">
        <f t="shared" si="66"/>
        <v/>
      </c>
      <c r="I454" t="str">
        <f t="shared" si="67"/>
        <v/>
      </c>
    </row>
    <row r="455" spans="1:9">
      <c r="A455">
        <f>CSV!B455</f>
        <v>0</v>
      </c>
      <c r="B455" s="13" t="e">
        <f>INDEX(Input!$D$2:$AC$500,
       MATCH(CPU_Formula!A455, Input!$J$2:$J$500, 0),
       MATCH("CPU model", Input!$D$1:$AC$1, 0))</f>
        <v>#N/A</v>
      </c>
      <c r="C455" s="13" t="str">
        <f t="shared" si="61"/>
        <v/>
      </c>
      <c r="D455" s="13" t="str">
        <f t="shared" si="62"/>
        <v/>
      </c>
      <c r="E455" s="13" t="str">
        <f t="shared" si="63"/>
        <v/>
      </c>
      <c r="F455" s="13" t="str">
        <f t="shared" si="64"/>
        <v/>
      </c>
      <c r="G455" s="13" t="str">
        <f t="shared" si="65"/>
        <v/>
      </c>
      <c r="H455" s="13" t="str">
        <f t="shared" si="66"/>
        <v/>
      </c>
      <c r="I455" t="str">
        <f t="shared" si="67"/>
        <v/>
      </c>
    </row>
    <row r="456" spans="1:9">
      <c r="A456">
        <f>CSV!B456</f>
        <v>0</v>
      </c>
      <c r="B456" s="13" t="e">
        <f>INDEX(Input!$D$2:$AC$500,
       MATCH(CPU_Formula!A456, Input!$J$2:$J$500, 0),
       MATCH("CPU model", Input!$D$1:$AC$1, 0))</f>
        <v>#N/A</v>
      </c>
      <c r="C456" s="13" t="str">
        <f t="shared" si="61"/>
        <v/>
      </c>
      <c r="D456" s="13" t="str">
        <f t="shared" si="62"/>
        <v/>
      </c>
      <c r="E456" s="13" t="str">
        <f t="shared" si="63"/>
        <v/>
      </c>
      <c r="F456" s="13" t="str">
        <f t="shared" si="64"/>
        <v/>
      </c>
      <c r="G456" s="13" t="str">
        <f t="shared" si="65"/>
        <v/>
      </c>
      <c r="H456" s="13" t="str">
        <f t="shared" si="66"/>
        <v/>
      </c>
      <c r="I456" t="str">
        <f t="shared" si="67"/>
        <v/>
      </c>
    </row>
    <row r="457" spans="1:9">
      <c r="A457">
        <f>CSV!B457</f>
        <v>0</v>
      </c>
      <c r="B457" s="13" t="e">
        <f>INDEX(Input!$D$2:$AC$500,
       MATCH(CPU_Formula!A457, Input!$J$2:$J$500, 0),
       MATCH("CPU model", Input!$D$1:$AC$1, 0))</f>
        <v>#N/A</v>
      </c>
      <c r="C457" s="13" t="str">
        <f t="shared" si="61"/>
        <v/>
      </c>
      <c r="D457" s="13" t="str">
        <f t="shared" si="62"/>
        <v/>
      </c>
      <c r="E457" s="13" t="str">
        <f t="shared" si="63"/>
        <v/>
      </c>
      <c r="F457" s="13" t="str">
        <f t="shared" si="64"/>
        <v/>
      </c>
      <c r="G457" s="13" t="str">
        <f t="shared" si="65"/>
        <v/>
      </c>
      <c r="H457" s="13" t="str">
        <f t="shared" si="66"/>
        <v/>
      </c>
      <c r="I457" t="str">
        <f t="shared" si="67"/>
        <v/>
      </c>
    </row>
    <row r="458" spans="1:9">
      <c r="A458">
        <f>CSV!B458</f>
        <v>0</v>
      </c>
      <c r="B458" s="13" t="e">
        <f>INDEX(Input!$D$2:$AC$500,
       MATCH(CPU_Formula!A458, Input!$J$2:$J$500, 0),
       MATCH("CPU model", Input!$D$1:$AC$1, 0))</f>
        <v>#N/A</v>
      </c>
      <c r="C458" s="13" t="str">
        <f t="shared" si="61"/>
        <v/>
      </c>
      <c r="D458" s="13" t="str">
        <f t="shared" si="62"/>
        <v/>
      </c>
      <c r="E458" s="13" t="str">
        <f t="shared" si="63"/>
        <v/>
      </c>
      <c r="F458" s="13" t="str">
        <f t="shared" si="64"/>
        <v/>
      </c>
      <c r="G458" s="13" t="str">
        <f t="shared" si="65"/>
        <v/>
      </c>
      <c r="H458" s="13" t="str">
        <f t="shared" si="66"/>
        <v/>
      </c>
      <c r="I458" t="str">
        <f t="shared" si="67"/>
        <v/>
      </c>
    </row>
    <row r="459" spans="1:9">
      <c r="A459">
        <f>CSV!B459</f>
        <v>0</v>
      </c>
      <c r="B459" s="13" t="e">
        <f>INDEX(Input!$D$2:$AC$500,
       MATCH(CPU_Formula!A459, Input!$J$2:$J$500, 0),
       MATCH("CPU model", Input!$D$1:$AC$1, 0))</f>
        <v>#N/A</v>
      </c>
      <c r="C459" s="13" t="str">
        <f t="shared" si="61"/>
        <v/>
      </c>
      <c r="D459" s="13" t="str">
        <f t="shared" si="62"/>
        <v/>
      </c>
      <c r="E459" s="13" t="str">
        <f t="shared" si="63"/>
        <v/>
      </c>
      <c r="F459" s="13" t="str">
        <f t="shared" si="64"/>
        <v/>
      </c>
      <c r="G459" s="13" t="str">
        <f t="shared" si="65"/>
        <v/>
      </c>
      <c r="H459" s="13" t="str">
        <f t="shared" si="66"/>
        <v/>
      </c>
      <c r="I459" t="str">
        <f t="shared" si="67"/>
        <v/>
      </c>
    </row>
    <row r="460" spans="1:9">
      <c r="A460">
        <f>CSV!B460</f>
        <v>0</v>
      </c>
      <c r="B460" s="13" t="e">
        <f>INDEX(Input!$D$2:$AC$500,
       MATCH(CPU_Formula!A460, Input!$J$2:$J$500, 0),
       MATCH("CPU model", Input!$D$1:$AC$1, 0))</f>
        <v>#N/A</v>
      </c>
      <c r="C460" s="13" t="str">
        <f t="shared" si="61"/>
        <v/>
      </c>
      <c r="D460" s="13" t="str">
        <f t="shared" si="62"/>
        <v/>
      </c>
      <c r="E460" s="13" t="str">
        <f t="shared" si="63"/>
        <v/>
      </c>
      <c r="F460" s="13" t="str">
        <f t="shared" si="64"/>
        <v/>
      </c>
      <c r="G460" s="13" t="str">
        <f t="shared" si="65"/>
        <v/>
      </c>
      <c r="H460" s="13" t="str">
        <f t="shared" si="66"/>
        <v/>
      </c>
      <c r="I460" t="str">
        <f t="shared" si="67"/>
        <v/>
      </c>
    </row>
    <row r="461" spans="1:9">
      <c r="A461">
        <f>CSV!B461</f>
        <v>0</v>
      </c>
      <c r="B461" s="13" t="e">
        <f>INDEX(Input!$D$2:$AC$500,
       MATCH(CPU_Formula!A461, Input!$J$2:$J$500, 0),
       MATCH("CPU model", Input!$D$1:$AC$1, 0))</f>
        <v>#N/A</v>
      </c>
      <c r="C461" s="13" t="str">
        <f t="shared" si="61"/>
        <v/>
      </c>
      <c r="D461" s="13" t="str">
        <f t="shared" si="62"/>
        <v/>
      </c>
      <c r="E461" s="13" t="str">
        <f t="shared" si="63"/>
        <v/>
      </c>
      <c r="F461" s="13" t="str">
        <f t="shared" si="64"/>
        <v/>
      </c>
      <c r="G461" s="13" t="str">
        <f t="shared" si="65"/>
        <v/>
      </c>
      <c r="H461" s="13" t="str">
        <f t="shared" si="66"/>
        <v/>
      </c>
      <c r="I461" t="str">
        <f t="shared" si="67"/>
        <v/>
      </c>
    </row>
    <row r="462" spans="1:9">
      <c r="A462">
        <f>CSV!B462</f>
        <v>0</v>
      </c>
      <c r="B462" s="13" t="e">
        <f>INDEX(Input!$D$2:$AC$500,
       MATCH(CPU_Formula!A462, Input!$J$2:$J$500, 0),
       MATCH("CPU model", Input!$D$1:$AC$1, 0))</f>
        <v>#N/A</v>
      </c>
      <c r="C462" s="13" t="str">
        <f t="shared" si="61"/>
        <v/>
      </c>
      <c r="D462" s="13" t="str">
        <f t="shared" si="62"/>
        <v/>
      </c>
      <c r="E462" s="13" t="str">
        <f t="shared" si="63"/>
        <v/>
      </c>
      <c r="F462" s="13" t="str">
        <f t="shared" si="64"/>
        <v/>
      </c>
      <c r="G462" s="13" t="str">
        <f t="shared" si="65"/>
        <v/>
      </c>
      <c r="H462" s="13" t="str">
        <f t="shared" si="66"/>
        <v/>
      </c>
      <c r="I462" t="str">
        <f t="shared" si="67"/>
        <v/>
      </c>
    </row>
    <row r="463" spans="1:9">
      <c r="A463">
        <f>CSV!B463</f>
        <v>0</v>
      </c>
      <c r="B463" s="13" t="e">
        <f>INDEX(Input!$D$2:$AC$500,
       MATCH(CPU_Formula!A463, Input!$J$2:$J$500, 0),
       MATCH("CPU model", Input!$D$1:$AC$1, 0))</f>
        <v>#N/A</v>
      </c>
      <c r="C463" s="13" t="str">
        <f t="shared" si="61"/>
        <v/>
      </c>
      <c r="D463" s="13" t="str">
        <f t="shared" si="62"/>
        <v/>
      </c>
      <c r="E463" s="13" t="str">
        <f t="shared" si="63"/>
        <v/>
      </c>
      <c r="F463" s="13" t="str">
        <f t="shared" si="64"/>
        <v/>
      </c>
      <c r="G463" s="13" t="str">
        <f t="shared" si="65"/>
        <v/>
      </c>
      <c r="H463" s="13" t="str">
        <f t="shared" si="66"/>
        <v/>
      </c>
      <c r="I463" t="str">
        <f t="shared" si="67"/>
        <v/>
      </c>
    </row>
    <row r="464" spans="1:9">
      <c r="A464">
        <f>CSV!B464</f>
        <v>0</v>
      </c>
      <c r="B464" s="13" t="e">
        <f>INDEX(Input!$D$2:$AC$500,
       MATCH(CPU_Formula!A464, Input!$J$2:$J$500, 0),
       MATCH("CPU model", Input!$D$1:$AC$1, 0))</f>
        <v>#N/A</v>
      </c>
      <c r="C464" s="13" t="str">
        <f t="shared" si="61"/>
        <v/>
      </c>
      <c r="D464" s="13" t="str">
        <f t="shared" si="62"/>
        <v/>
      </c>
      <c r="E464" s="13" t="str">
        <f t="shared" si="63"/>
        <v/>
      </c>
      <c r="F464" s="13" t="str">
        <f t="shared" si="64"/>
        <v/>
      </c>
      <c r="G464" s="13" t="str">
        <f t="shared" si="65"/>
        <v/>
      </c>
      <c r="H464" s="13" t="str">
        <f t="shared" si="66"/>
        <v/>
      </c>
      <c r="I464" t="str">
        <f t="shared" si="67"/>
        <v/>
      </c>
    </row>
    <row r="465" spans="1:9">
      <c r="A465">
        <f>CSV!B465</f>
        <v>0</v>
      </c>
      <c r="B465" s="13" t="e">
        <f>INDEX(Input!$D$2:$AC$500,
       MATCH(CPU_Formula!A465, Input!$J$2:$J$500, 0),
       MATCH("CPU model", Input!$D$1:$AC$1, 0))</f>
        <v>#N/A</v>
      </c>
      <c r="C465" s="13" t="str">
        <f t="shared" si="61"/>
        <v/>
      </c>
      <c r="D465" s="13" t="str">
        <f t="shared" si="62"/>
        <v/>
      </c>
      <c r="E465" s="13" t="str">
        <f t="shared" si="63"/>
        <v/>
      </c>
      <c r="F465" s="13" t="str">
        <f t="shared" si="64"/>
        <v/>
      </c>
      <c r="G465" s="13" t="str">
        <f t="shared" si="65"/>
        <v/>
      </c>
      <c r="H465" s="13" t="str">
        <f t="shared" si="66"/>
        <v/>
      </c>
      <c r="I465" t="str">
        <f t="shared" si="67"/>
        <v/>
      </c>
    </row>
    <row r="466" spans="1:9">
      <c r="A466">
        <f>CSV!B466</f>
        <v>0</v>
      </c>
      <c r="B466" s="13" t="e">
        <f>INDEX(Input!$D$2:$AC$500,
       MATCH(CPU_Formula!A466, Input!$J$2:$J$500, 0),
       MATCH("CPU model", Input!$D$1:$AC$1, 0))</f>
        <v>#N/A</v>
      </c>
      <c r="C466" s="13" t="str">
        <f t="shared" si="61"/>
        <v/>
      </c>
      <c r="D466" s="13" t="str">
        <f t="shared" si="62"/>
        <v/>
      </c>
      <c r="E466" s="13" t="str">
        <f t="shared" si="63"/>
        <v/>
      </c>
      <c r="F466" s="13" t="str">
        <f t="shared" si="64"/>
        <v/>
      </c>
      <c r="G466" s="13" t="str">
        <f t="shared" si="65"/>
        <v/>
      </c>
      <c r="H466" s="13" t="str">
        <f t="shared" si="66"/>
        <v/>
      </c>
      <c r="I466" t="str">
        <f t="shared" si="67"/>
        <v/>
      </c>
    </row>
    <row r="467" spans="1:9">
      <c r="A467">
        <f>CSV!B467</f>
        <v>0</v>
      </c>
      <c r="B467" s="13" t="e">
        <f>INDEX(Input!$D$2:$AC$500,
       MATCH(CPU_Formula!A467, Input!$J$2:$J$500, 0),
       MATCH("CPU model", Input!$D$1:$AC$1, 0))</f>
        <v>#N/A</v>
      </c>
      <c r="C467" s="13" t="str">
        <f t="shared" si="61"/>
        <v/>
      </c>
      <c r="D467" s="13" t="str">
        <f t="shared" si="62"/>
        <v/>
      </c>
      <c r="E467" s="13" t="str">
        <f t="shared" si="63"/>
        <v/>
      </c>
      <c r="F467" s="13" t="str">
        <f t="shared" si="64"/>
        <v/>
      </c>
      <c r="G467" s="13" t="str">
        <f t="shared" si="65"/>
        <v/>
      </c>
      <c r="H467" s="13" t="str">
        <f t="shared" si="66"/>
        <v/>
      </c>
      <c r="I467" t="str">
        <f t="shared" si="67"/>
        <v/>
      </c>
    </row>
    <row r="468" spans="1:9">
      <c r="A468">
        <f>CSV!B468</f>
        <v>0</v>
      </c>
      <c r="B468" s="13" t="e">
        <f>INDEX(Input!$D$2:$AC$500,
       MATCH(CPU_Formula!A468, Input!$J$2:$J$500, 0),
       MATCH("CPU model", Input!$D$1:$AC$1, 0))</f>
        <v>#N/A</v>
      </c>
      <c r="C468" s="13" t="str">
        <f t="shared" si="61"/>
        <v/>
      </c>
      <c r="D468" s="13" t="str">
        <f t="shared" si="62"/>
        <v/>
      </c>
      <c r="E468" s="13" t="str">
        <f t="shared" si="63"/>
        <v/>
      </c>
      <c r="F468" s="13" t="str">
        <f t="shared" si="64"/>
        <v/>
      </c>
      <c r="G468" s="13" t="str">
        <f t="shared" si="65"/>
        <v/>
      </c>
      <c r="H468" s="13" t="str">
        <f t="shared" si="66"/>
        <v/>
      </c>
      <c r="I468" t="str">
        <f t="shared" si="67"/>
        <v/>
      </c>
    </row>
    <row r="469" spans="1:9">
      <c r="A469">
        <f>CSV!B469</f>
        <v>0</v>
      </c>
      <c r="B469" s="13" t="e">
        <f>INDEX(Input!$D$2:$AC$500,
       MATCH(CPU_Formula!A469, Input!$J$2:$J$500, 0),
       MATCH("CPU model", Input!$D$1:$AC$1, 0))</f>
        <v>#N/A</v>
      </c>
      <c r="C469" s="13" t="str">
        <f t="shared" si="61"/>
        <v/>
      </c>
      <c r="D469" s="13" t="str">
        <f t="shared" si="62"/>
        <v/>
      </c>
      <c r="E469" s="13" t="str">
        <f t="shared" si="63"/>
        <v/>
      </c>
      <c r="F469" s="13" t="str">
        <f t="shared" si="64"/>
        <v/>
      </c>
      <c r="G469" s="13" t="str">
        <f t="shared" si="65"/>
        <v/>
      </c>
      <c r="H469" s="13" t="str">
        <f t="shared" si="66"/>
        <v/>
      </c>
      <c r="I469" t="str">
        <f t="shared" si="67"/>
        <v/>
      </c>
    </row>
    <row r="470" spans="1:9">
      <c r="A470">
        <f>CSV!B470</f>
        <v>0</v>
      </c>
      <c r="B470" s="13" t="e">
        <f>INDEX(Input!$D$2:$AC$500,
       MATCH(CPU_Formula!A470, Input!$J$2:$J$500, 0),
       MATCH("CPU model", Input!$D$1:$AC$1, 0))</f>
        <v>#N/A</v>
      </c>
      <c r="C470" s="13" t="str">
        <f t="shared" si="61"/>
        <v/>
      </c>
      <c r="D470" s="13" t="str">
        <f t="shared" si="62"/>
        <v/>
      </c>
      <c r="E470" s="13" t="str">
        <f t="shared" si="63"/>
        <v/>
      </c>
      <c r="F470" s="13" t="str">
        <f t="shared" si="64"/>
        <v/>
      </c>
      <c r="G470" s="13" t="str">
        <f t="shared" si="65"/>
        <v/>
      </c>
      <c r="H470" s="13" t="str">
        <f t="shared" si="66"/>
        <v/>
      </c>
      <c r="I470" t="str">
        <f t="shared" si="67"/>
        <v/>
      </c>
    </row>
    <row r="471" spans="1:9">
      <c r="A471">
        <f>CSV!B471</f>
        <v>0</v>
      </c>
      <c r="B471" s="13" t="e">
        <f>INDEX(Input!$D$2:$AC$500,
       MATCH(CPU_Formula!A471, Input!$J$2:$J$500, 0),
       MATCH("CPU model", Input!$D$1:$AC$1, 0))</f>
        <v>#N/A</v>
      </c>
      <c r="C471" s="13" t="str">
        <f t="shared" si="61"/>
        <v/>
      </c>
      <c r="D471" s="13" t="str">
        <f t="shared" si="62"/>
        <v/>
      </c>
      <c r="E471" s="13" t="str">
        <f t="shared" si="63"/>
        <v/>
      </c>
      <c r="F471" s="13" t="str">
        <f t="shared" si="64"/>
        <v/>
      </c>
      <c r="G471" s="13" t="str">
        <f t="shared" si="65"/>
        <v/>
      </c>
      <c r="H471" s="13" t="str">
        <f t="shared" si="66"/>
        <v/>
      </c>
      <c r="I471" t="str">
        <f t="shared" si="67"/>
        <v/>
      </c>
    </row>
    <row r="472" spans="1:9">
      <c r="A472">
        <f>CSV!B472</f>
        <v>0</v>
      </c>
      <c r="B472" s="13" t="e">
        <f>INDEX(Input!$D$2:$AC$500,
       MATCH(CPU_Formula!A472, Input!$J$2:$J$500, 0),
       MATCH("CPU model", Input!$D$1:$AC$1, 0))</f>
        <v>#N/A</v>
      </c>
      <c r="C472" s="13" t="str">
        <f t="shared" si="61"/>
        <v/>
      </c>
      <c r="D472" s="13" t="str">
        <f t="shared" si="62"/>
        <v/>
      </c>
      <c r="E472" s="13" t="str">
        <f t="shared" si="63"/>
        <v/>
      </c>
      <c r="F472" s="13" t="str">
        <f t="shared" si="64"/>
        <v/>
      </c>
      <c r="G472" s="13" t="str">
        <f t="shared" si="65"/>
        <v/>
      </c>
      <c r="H472" s="13" t="str">
        <f t="shared" si="66"/>
        <v/>
      </c>
      <c r="I472" t="str">
        <f t="shared" si="67"/>
        <v/>
      </c>
    </row>
    <row r="473" spans="1:9">
      <c r="A473">
        <f>CSV!B473</f>
        <v>0</v>
      </c>
      <c r="B473" s="13" t="e">
        <f>INDEX(Input!$D$2:$AC$500,
       MATCH(CPU_Formula!A473, Input!$J$2:$J$500, 0),
       MATCH("CPU model", Input!$D$1:$AC$1, 0))</f>
        <v>#N/A</v>
      </c>
      <c r="C473" s="13" t="str">
        <f t="shared" si="61"/>
        <v/>
      </c>
      <c r="D473" s="13" t="str">
        <f t="shared" si="62"/>
        <v/>
      </c>
      <c r="E473" s="13" t="str">
        <f t="shared" si="63"/>
        <v/>
      </c>
      <c r="F473" s="13" t="str">
        <f t="shared" si="64"/>
        <v/>
      </c>
      <c r="G473" s="13" t="str">
        <f t="shared" si="65"/>
        <v/>
      </c>
      <c r="H473" s="13" t="str">
        <f t="shared" si="66"/>
        <v/>
      </c>
      <c r="I473" t="str">
        <f t="shared" si="67"/>
        <v/>
      </c>
    </row>
    <row r="474" spans="1:9">
      <c r="A474">
        <f>CSV!B474</f>
        <v>0</v>
      </c>
      <c r="B474" s="13" t="e">
        <f>INDEX(Input!$D$2:$AC$500,
       MATCH(CPU_Formula!A474, Input!$J$2:$J$500, 0),
       MATCH("CPU model", Input!$D$1:$AC$1, 0))</f>
        <v>#N/A</v>
      </c>
      <c r="C474" s="13" t="str">
        <f t="shared" si="61"/>
        <v/>
      </c>
      <c r="D474" s="13" t="str">
        <f t="shared" si="62"/>
        <v/>
      </c>
      <c r="E474" s="13" t="str">
        <f t="shared" si="63"/>
        <v/>
      </c>
      <c r="F474" s="13" t="str">
        <f t="shared" si="64"/>
        <v/>
      </c>
      <c r="G474" s="13" t="str">
        <f t="shared" si="65"/>
        <v/>
      </c>
      <c r="H474" s="13" t="str">
        <f t="shared" si="66"/>
        <v/>
      </c>
      <c r="I474" t="str">
        <f t="shared" si="67"/>
        <v/>
      </c>
    </row>
    <row r="475" spans="1:9">
      <c r="A475">
        <f>CSV!B475</f>
        <v>0</v>
      </c>
      <c r="B475" s="13" t="e">
        <f>INDEX(Input!$D$2:$AC$500,
       MATCH(CPU_Formula!A475, Input!$J$2:$J$500, 0),
       MATCH("CPU model", Input!$D$1:$AC$1, 0))</f>
        <v>#N/A</v>
      </c>
      <c r="C475" s="13" t="str">
        <f t="shared" si="61"/>
        <v/>
      </c>
      <c r="D475" s="13" t="str">
        <f t="shared" si="62"/>
        <v/>
      </c>
      <c r="E475" s="13" t="str">
        <f t="shared" si="63"/>
        <v/>
      </c>
      <c r="F475" s="13" t="str">
        <f t="shared" si="64"/>
        <v/>
      </c>
      <c r="G475" s="13" t="str">
        <f t="shared" si="65"/>
        <v/>
      </c>
      <c r="H475" s="13" t="str">
        <f t="shared" si="66"/>
        <v/>
      </c>
      <c r="I475" t="str">
        <f t="shared" si="67"/>
        <v/>
      </c>
    </row>
    <row r="476" spans="1:9">
      <c r="A476">
        <f>CSV!B476</f>
        <v>0</v>
      </c>
      <c r="B476" s="13" t="e">
        <f>INDEX(Input!$D$2:$AC$500,
       MATCH(CPU_Formula!A476, Input!$J$2:$J$500, 0),
       MATCH("CPU model", Input!$D$1:$AC$1, 0))</f>
        <v>#N/A</v>
      </c>
      <c r="C476" s="13" t="str">
        <f t="shared" si="61"/>
        <v/>
      </c>
      <c r="D476" s="13" t="str">
        <f t="shared" si="62"/>
        <v/>
      </c>
      <c r="E476" s="13" t="str">
        <f t="shared" si="63"/>
        <v/>
      </c>
      <c r="F476" s="13" t="str">
        <f t="shared" si="64"/>
        <v/>
      </c>
      <c r="G476" s="13" t="str">
        <f t="shared" si="65"/>
        <v/>
      </c>
      <c r="H476" s="13" t="str">
        <f t="shared" si="66"/>
        <v/>
      </c>
      <c r="I476" t="str">
        <f t="shared" si="67"/>
        <v/>
      </c>
    </row>
    <row r="477" spans="1:9">
      <c r="A477">
        <f>CSV!B477</f>
        <v>0</v>
      </c>
      <c r="B477" s="13" t="e">
        <f>INDEX(Input!$D$2:$AC$500,
       MATCH(CPU_Formula!A477, Input!$J$2:$J$500, 0),
       MATCH("CPU model", Input!$D$1:$AC$1, 0))</f>
        <v>#N/A</v>
      </c>
      <c r="C477" s="13" t="str">
        <f t="shared" si="61"/>
        <v/>
      </c>
      <c r="D477" s="13" t="str">
        <f t="shared" si="62"/>
        <v/>
      </c>
      <c r="E477" s="13" t="str">
        <f t="shared" si="63"/>
        <v/>
      </c>
      <c r="F477" s="13" t="str">
        <f t="shared" si="64"/>
        <v/>
      </c>
      <c r="G477" s="13" t="str">
        <f t="shared" si="65"/>
        <v/>
      </c>
      <c r="H477" s="13" t="str">
        <f t="shared" si="66"/>
        <v/>
      </c>
      <c r="I477" t="str">
        <f t="shared" si="67"/>
        <v/>
      </c>
    </row>
    <row r="478" spans="1:9">
      <c r="A478">
        <f>CSV!B478</f>
        <v>0</v>
      </c>
      <c r="B478" s="13" t="e">
        <f>INDEX(Input!$D$2:$AC$500,
       MATCH(CPU_Formula!A478, Input!$J$2:$J$500, 0),
       MATCH("CPU model", Input!$D$1:$AC$1, 0))</f>
        <v>#N/A</v>
      </c>
      <c r="C478" s="13" t="str">
        <f t="shared" si="61"/>
        <v/>
      </c>
      <c r="D478" s="13" t="str">
        <f t="shared" si="62"/>
        <v/>
      </c>
      <c r="E478" s="13" t="str">
        <f t="shared" si="63"/>
        <v/>
      </c>
      <c r="F478" s="13" t="str">
        <f t="shared" si="64"/>
        <v/>
      </c>
      <c r="G478" s="13" t="str">
        <f t="shared" si="65"/>
        <v/>
      </c>
      <c r="H478" s="13" t="str">
        <f t="shared" si="66"/>
        <v/>
      </c>
      <c r="I478" t="str">
        <f t="shared" si="67"/>
        <v/>
      </c>
    </row>
    <row r="479" spans="1:9">
      <c r="A479">
        <f>CSV!B479</f>
        <v>0</v>
      </c>
      <c r="B479" s="13" t="e">
        <f>INDEX(Input!$D$2:$AC$500,
       MATCH(CPU_Formula!A479, Input!$J$2:$J$500, 0),
       MATCH("CPU model", Input!$D$1:$AC$1, 0))</f>
        <v>#N/A</v>
      </c>
      <c r="C479" s="13" t="str">
        <f t="shared" si="61"/>
        <v/>
      </c>
      <c r="D479" s="13" t="str">
        <f t="shared" si="62"/>
        <v/>
      </c>
      <c r="E479" s="13" t="str">
        <f t="shared" si="63"/>
        <v/>
      </c>
      <c r="F479" s="13" t="str">
        <f t="shared" si="64"/>
        <v/>
      </c>
      <c r="G479" s="13" t="str">
        <f t="shared" si="65"/>
        <v/>
      </c>
      <c r="H479" s="13" t="str">
        <f t="shared" si="66"/>
        <v/>
      </c>
      <c r="I479" t="str">
        <f t="shared" si="67"/>
        <v/>
      </c>
    </row>
    <row r="480" spans="1:9">
      <c r="A480">
        <f>CSV!B480</f>
        <v>0</v>
      </c>
      <c r="B480" s="13" t="e">
        <f>INDEX(Input!$D$2:$AC$500,
       MATCH(CPU_Formula!A480, Input!$J$2:$J$500, 0),
       MATCH("CPU model", Input!$D$1:$AC$1, 0))</f>
        <v>#N/A</v>
      </c>
      <c r="C480" s="13" t="str">
        <f t="shared" si="61"/>
        <v/>
      </c>
      <c r="D480" s="13" t="str">
        <f t="shared" si="62"/>
        <v/>
      </c>
      <c r="E480" s="13" t="str">
        <f t="shared" si="63"/>
        <v/>
      </c>
      <c r="F480" s="13" t="str">
        <f t="shared" si="64"/>
        <v/>
      </c>
      <c r="G480" s="13" t="str">
        <f t="shared" si="65"/>
        <v/>
      </c>
      <c r="H480" s="13" t="str">
        <f t="shared" si="66"/>
        <v/>
      </c>
      <c r="I480" t="str">
        <f t="shared" si="67"/>
        <v/>
      </c>
    </row>
    <row r="481" spans="1:9">
      <c r="A481">
        <f>CSV!B481</f>
        <v>0</v>
      </c>
      <c r="B481" s="13" t="e">
        <f>INDEX(Input!$D$2:$AC$500,
       MATCH(CPU_Formula!A481, Input!$J$2:$J$500, 0),
       MATCH("CPU model", Input!$D$1:$AC$1, 0))</f>
        <v>#N/A</v>
      </c>
      <c r="C481" s="13" t="str">
        <f t="shared" si="61"/>
        <v/>
      </c>
      <c r="D481" s="13" t="str">
        <f t="shared" si="62"/>
        <v/>
      </c>
      <c r="E481" s="13" t="str">
        <f t="shared" si="63"/>
        <v/>
      </c>
      <c r="F481" s="13" t="str">
        <f t="shared" si="64"/>
        <v/>
      </c>
      <c r="G481" s="13" t="str">
        <f t="shared" si="65"/>
        <v/>
      </c>
      <c r="H481" s="13" t="str">
        <f t="shared" si="66"/>
        <v/>
      </c>
      <c r="I481" t="str">
        <f t="shared" si="67"/>
        <v/>
      </c>
    </row>
    <row r="482" spans="1:9">
      <c r="A482">
        <f>CSV!B482</f>
        <v>0</v>
      </c>
      <c r="B482" s="13" t="e">
        <f>INDEX(Input!$D$2:$AC$500,
       MATCH(CPU_Formula!A482, Input!$J$2:$J$500, 0),
       MATCH("CPU model", Input!$D$1:$AC$1, 0))</f>
        <v>#N/A</v>
      </c>
      <c r="C482" s="13" t="str">
        <f t="shared" si="61"/>
        <v/>
      </c>
      <c r="D482" s="13" t="str">
        <f t="shared" si="62"/>
        <v/>
      </c>
      <c r="E482" s="13" t="str">
        <f t="shared" si="63"/>
        <v/>
      </c>
      <c r="F482" s="13" t="str">
        <f t="shared" si="64"/>
        <v/>
      </c>
      <c r="G482" s="13" t="str">
        <f t="shared" si="65"/>
        <v/>
      </c>
      <c r="H482" s="13" t="str">
        <f t="shared" si="66"/>
        <v/>
      </c>
      <c r="I482" t="str">
        <f t="shared" si="67"/>
        <v/>
      </c>
    </row>
    <row r="483" spans="1:9">
      <c r="A483">
        <f>CSV!B483</f>
        <v>0</v>
      </c>
      <c r="B483" s="13" t="e">
        <f>INDEX(Input!$D$2:$AC$500,
       MATCH(CPU_Formula!A483, Input!$J$2:$J$500, 0),
       MATCH("CPU model", Input!$D$1:$AC$1, 0))</f>
        <v>#N/A</v>
      </c>
      <c r="C483" s="13" t="str">
        <f t="shared" si="61"/>
        <v/>
      </c>
      <c r="D483" s="13" t="str">
        <f t="shared" si="62"/>
        <v/>
      </c>
      <c r="E483" s="13" t="str">
        <f t="shared" si="63"/>
        <v/>
      </c>
      <c r="F483" s="13" t="str">
        <f t="shared" si="64"/>
        <v/>
      </c>
      <c r="G483" s="13" t="str">
        <f t="shared" si="65"/>
        <v/>
      </c>
      <c r="H483" s="13" t="str">
        <f t="shared" si="66"/>
        <v/>
      </c>
      <c r="I483" t="str">
        <f t="shared" si="67"/>
        <v/>
      </c>
    </row>
    <row r="484" spans="1:9">
      <c r="A484">
        <f>CSV!B484</f>
        <v>0</v>
      </c>
      <c r="B484" s="13" t="e">
        <f>INDEX(Input!$D$2:$AC$500,
       MATCH(CPU_Formula!A484, Input!$J$2:$J$500, 0),
       MATCH("CPU model", Input!$D$1:$AC$1, 0))</f>
        <v>#N/A</v>
      </c>
      <c r="C484" s="13" t="str">
        <f t="shared" si="61"/>
        <v/>
      </c>
      <c r="D484" s="13" t="str">
        <f t="shared" si="62"/>
        <v/>
      </c>
      <c r="E484" s="13" t="str">
        <f t="shared" si="63"/>
        <v/>
      </c>
      <c r="F484" s="13" t="str">
        <f t="shared" si="64"/>
        <v/>
      </c>
      <c r="G484" s="13" t="str">
        <f t="shared" si="65"/>
        <v/>
      </c>
      <c r="H484" s="13" t="str">
        <f t="shared" si="66"/>
        <v/>
      </c>
      <c r="I484" t="str">
        <f t="shared" si="67"/>
        <v/>
      </c>
    </row>
    <row r="485" spans="1:9">
      <c r="A485">
        <f>CSV!B485</f>
        <v>0</v>
      </c>
      <c r="B485" s="13" t="e">
        <f>INDEX(Input!$D$2:$AC$500,
       MATCH(CPU_Formula!A485, Input!$J$2:$J$500, 0),
       MATCH("CPU model", Input!$D$1:$AC$1, 0))</f>
        <v>#N/A</v>
      </c>
      <c r="C485" s="13" t="str">
        <f t="shared" si="61"/>
        <v/>
      </c>
      <c r="D485" s="13" t="str">
        <f t="shared" si="62"/>
        <v/>
      </c>
      <c r="E485" s="13" t="str">
        <f t="shared" si="63"/>
        <v/>
      </c>
      <c r="F485" s="13" t="str">
        <f t="shared" si="64"/>
        <v/>
      </c>
      <c r="G485" s="13" t="str">
        <f t="shared" si="65"/>
        <v/>
      </c>
      <c r="H485" s="13" t="str">
        <f t="shared" si="66"/>
        <v/>
      </c>
      <c r="I485" t="str">
        <f t="shared" si="67"/>
        <v/>
      </c>
    </row>
    <row r="486" spans="1:9">
      <c r="A486">
        <f>CSV!B486</f>
        <v>0</v>
      </c>
      <c r="B486" s="13" t="e">
        <f>INDEX(Input!$D$2:$AC$500,
       MATCH(CPU_Formula!A486, Input!$J$2:$J$500, 0),
       MATCH("CPU model", Input!$D$1:$AC$1, 0))</f>
        <v>#N/A</v>
      </c>
      <c r="C486" s="13" t="str">
        <f t="shared" si="61"/>
        <v/>
      </c>
      <c r="D486" s="13" t="str">
        <f t="shared" si="62"/>
        <v/>
      </c>
      <c r="E486" s="13" t="str">
        <f t="shared" si="63"/>
        <v/>
      </c>
      <c r="F486" s="13" t="str">
        <f t="shared" si="64"/>
        <v/>
      </c>
      <c r="G486" s="13" t="str">
        <f t="shared" si="65"/>
        <v/>
      </c>
      <c r="H486" s="13" t="str">
        <f t="shared" si="66"/>
        <v/>
      </c>
      <c r="I486" t="str">
        <f t="shared" si="67"/>
        <v/>
      </c>
    </row>
    <row r="487" spans="1:9">
      <c r="A487">
        <f>CSV!B487</f>
        <v>0</v>
      </c>
      <c r="B487" s="13" t="e">
        <f>INDEX(Input!$D$2:$AC$500,
       MATCH(CPU_Formula!A487, Input!$J$2:$J$500, 0),
       MATCH("CPU model", Input!$D$1:$AC$1, 0))</f>
        <v>#N/A</v>
      </c>
      <c r="C487" s="13" t="str">
        <f t="shared" si="61"/>
        <v/>
      </c>
      <c r="D487" s="13" t="str">
        <f t="shared" si="62"/>
        <v/>
      </c>
      <c r="E487" s="13" t="str">
        <f t="shared" si="63"/>
        <v/>
      </c>
      <c r="F487" s="13" t="str">
        <f t="shared" si="64"/>
        <v/>
      </c>
      <c r="G487" s="13" t="str">
        <f t="shared" si="65"/>
        <v/>
      </c>
      <c r="H487" s="13" t="str">
        <f t="shared" si="66"/>
        <v/>
      </c>
      <c r="I487" t="str">
        <f t="shared" si="67"/>
        <v/>
      </c>
    </row>
    <row r="488" spans="1:9">
      <c r="A488">
        <f>CSV!B488</f>
        <v>0</v>
      </c>
      <c r="B488" s="13" t="e">
        <f>INDEX(Input!$D$2:$AC$500,
       MATCH(CPU_Formula!A488, Input!$J$2:$J$500, 0),
       MATCH("CPU model", Input!$D$1:$AC$1, 0))</f>
        <v>#N/A</v>
      </c>
      <c r="C488" s="13" t="str">
        <f t="shared" ref="C488:C551" si="68">IFERROR(_xlfn.TEXTAFTER(B488,"Core(TM) "),IFERROR(_xlfn.TEXTAFTER(B488,"Xeon(R) CPU"),""))</f>
        <v/>
      </c>
      <c r="D488" s="13" t="str">
        <f t="shared" ref="D488:D551" si="69">IFERROR(_xlfn.TEXTAFTER(B488,"Ryzen "), "")</f>
        <v/>
      </c>
      <c r="E488" s="13" t="str">
        <f t="shared" ref="E488:E551" si="70">IF(ISNUMBER(SEARCH("Ultra", B488)), "Ultra"&amp;_xlfn.TEXTAFTER(B488, "Ultra"), "")</f>
        <v/>
      </c>
      <c r="F488" s="13" t="str">
        <f t="shared" ref="F488:F551" si="71">IF(C488&lt;&gt;"", TRIM(_xlfn.TEXTBEFORE(C488," ",,1,1)), "")</f>
        <v/>
      </c>
      <c r="G488" s="13" t="str">
        <f t="shared" ref="G488:G551" si="72">IF(D488&lt;&gt;"", TRIM(_xlfn.TEXTBEFORE(D488," ",,1)), "")</f>
        <v/>
      </c>
      <c r="H488" s="13" t="str">
        <f t="shared" ref="H488:H551" si="73">E488</f>
        <v/>
      </c>
      <c r="I488" t="str">
        <f t="shared" ref="I488:I551" si="74">IF(H488&lt;&gt;"",H488,IF(G488&lt;&gt;"",G488,F488))</f>
        <v/>
      </c>
    </row>
    <row r="489" spans="1:9">
      <c r="A489">
        <f>CSV!B489</f>
        <v>0</v>
      </c>
      <c r="B489" s="13" t="e">
        <f>INDEX(Input!$D$2:$AC$500,
       MATCH(CPU_Formula!A489, Input!$J$2:$J$500, 0),
       MATCH("CPU model", Input!$D$1:$AC$1, 0))</f>
        <v>#N/A</v>
      </c>
      <c r="C489" s="13" t="str">
        <f t="shared" si="68"/>
        <v/>
      </c>
      <c r="D489" s="13" t="str">
        <f t="shared" si="69"/>
        <v/>
      </c>
      <c r="E489" s="13" t="str">
        <f t="shared" si="70"/>
        <v/>
      </c>
      <c r="F489" s="13" t="str">
        <f t="shared" si="71"/>
        <v/>
      </c>
      <c r="G489" s="13" t="str">
        <f t="shared" si="72"/>
        <v/>
      </c>
      <c r="H489" s="13" t="str">
        <f t="shared" si="73"/>
        <v/>
      </c>
      <c r="I489" t="str">
        <f t="shared" si="74"/>
        <v/>
      </c>
    </row>
    <row r="490" spans="1:9">
      <c r="A490">
        <f>CSV!B490</f>
        <v>0</v>
      </c>
      <c r="B490" s="13" t="e">
        <f>INDEX(Input!$D$2:$AC$500,
       MATCH(CPU_Formula!A490, Input!$J$2:$J$500, 0),
       MATCH("CPU model", Input!$D$1:$AC$1, 0))</f>
        <v>#N/A</v>
      </c>
      <c r="C490" s="13" t="str">
        <f t="shared" si="68"/>
        <v/>
      </c>
      <c r="D490" s="13" t="str">
        <f t="shared" si="69"/>
        <v/>
      </c>
      <c r="E490" s="13" t="str">
        <f t="shared" si="70"/>
        <v/>
      </c>
      <c r="F490" s="13" t="str">
        <f t="shared" si="71"/>
        <v/>
      </c>
      <c r="G490" s="13" t="str">
        <f t="shared" si="72"/>
        <v/>
      </c>
      <c r="H490" s="13" t="str">
        <f t="shared" si="73"/>
        <v/>
      </c>
      <c r="I490" t="str">
        <f t="shared" si="74"/>
        <v/>
      </c>
    </row>
    <row r="491" spans="1:9">
      <c r="A491">
        <f>CSV!B491</f>
        <v>0</v>
      </c>
      <c r="B491" s="13" t="e">
        <f>INDEX(Input!$D$2:$AC$500,
       MATCH(CPU_Formula!A491, Input!$J$2:$J$500, 0),
       MATCH("CPU model", Input!$D$1:$AC$1, 0))</f>
        <v>#N/A</v>
      </c>
      <c r="C491" s="13" t="str">
        <f t="shared" si="68"/>
        <v/>
      </c>
      <c r="D491" s="13" t="str">
        <f t="shared" si="69"/>
        <v/>
      </c>
      <c r="E491" s="13" t="str">
        <f t="shared" si="70"/>
        <v/>
      </c>
      <c r="F491" s="13" t="str">
        <f t="shared" si="71"/>
        <v/>
      </c>
      <c r="G491" s="13" t="str">
        <f t="shared" si="72"/>
        <v/>
      </c>
      <c r="H491" s="13" t="str">
        <f t="shared" si="73"/>
        <v/>
      </c>
      <c r="I491" t="str">
        <f t="shared" si="74"/>
        <v/>
      </c>
    </row>
    <row r="492" spans="1:9">
      <c r="A492">
        <f>CSV!B492</f>
        <v>0</v>
      </c>
      <c r="B492" s="13" t="e">
        <f>INDEX(Input!$D$2:$AC$500,
       MATCH(CPU_Formula!A492, Input!$J$2:$J$500, 0),
       MATCH("CPU model", Input!$D$1:$AC$1, 0))</f>
        <v>#N/A</v>
      </c>
      <c r="C492" s="13" t="str">
        <f t="shared" si="68"/>
        <v/>
      </c>
      <c r="D492" s="13" t="str">
        <f t="shared" si="69"/>
        <v/>
      </c>
      <c r="E492" s="13" t="str">
        <f t="shared" si="70"/>
        <v/>
      </c>
      <c r="F492" s="13" t="str">
        <f t="shared" si="71"/>
        <v/>
      </c>
      <c r="G492" s="13" t="str">
        <f t="shared" si="72"/>
        <v/>
      </c>
      <c r="H492" s="13" t="str">
        <f t="shared" si="73"/>
        <v/>
      </c>
      <c r="I492" t="str">
        <f t="shared" si="74"/>
        <v/>
      </c>
    </row>
    <row r="493" spans="1:9">
      <c r="A493">
        <f>CSV!B493</f>
        <v>0</v>
      </c>
      <c r="B493" s="13" t="e">
        <f>INDEX(Input!$D$2:$AC$500,
       MATCH(CPU_Formula!A493, Input!$J$2:$J$500, 0),
       MATCH("CPU model", Input!$D$1:$AC$1, 0))</f>
        <v>#N/A</v>
      </c>
      <c r="C493" s="13" t="str">
        <f t="shared" si="68"/>
        <v/>
      </c>
      <c r="D493" s="13" t="str">
        <f t="shared" si="69"/>
        <v/>
      </c>
      <c r="E493" s="13" t="str">
        <f t="shared" si="70"/>
        <v/>
      </c>
      <c r="F493" s="13" t="str">
        <f t="shared" si="71"/>
        <v/>
      </c>
      <c r="G493" s="13" t="str">
        <f t="shared" si="72"/>
        <v/>
      </c>
      <c r="H493" s="13" t="str">
        <f t="shared" si="73"/>
        <v/>
      </c>
      <c r="I493" t="str">
        <f t="shared" si="74"/>
        <v/>
      </c>
    </row>
    <row r="494" spans="1:9">
      <c r="A494">
        <f>CSV!B494</f>
        <v>0</v>
      </c>
      <c r="B494" s="13" t="e">
        <f>INDEX(Input!$D$2:$AC$500,
       MATCH(CPU_Formula!A494, Input!$J$2:$J$500, 0),
       MATCH("CPU model", Input!$D$1:$AC$1, 0))</f>
        <v>#N/A</v>
      </c>
      <c r="C494" s="13" t="str">
        <f t="shared" si="68"/>
        <v/>
      </c>
      <c r="D494" s="13" t="str">
        <f t="shared" si="69"/>
        <v/>
      </c>
      <c r="E494" s="13" t="str">
        <f t="shared" si="70"/>
        <v/>
      </c>
      <c r="F494" s="13" t="str">
        <f t="shared" si="71"/>
        <v/>
      </c>
      <c r="G494" s="13" t="str">
        <f t="shared" si="72"/>
        <v/>
      </c>
      <c r="H494" s="13" t="str">
        <f t="shared" si="73"/>
        <v/>
      </c>
      <c r="I494" t="str">
        <f t="shared" si="74"/>
        <v/>
      </c>
    </row>
    <row r="495" spans="1:9">
      <c r="A495">
        <f>CSV!B495</f>
        <v>0</v>
      </c>
      <c r="B495" s="13" t="e">
        <f>INDEX(Input!$D$2:$AC$500,
       MATCH(CPU_Formula!A495, Input!$J$2:$J$500, 0),
       MATCH("CPU model", Input!$D$1:$AC$1, 0))</f>
        <v>#N/A</v>
      </c>
      <c r="C495" s="13" t="str">
        <f t="shared" si="68"/>
        <v/>
      </c>
      <c r="D495" s="13" t="str">
        <f t="shared" si="69"/>
        <v/>
      </c>
      <c r="E495" s="13" t="str">
        <f t="shared" si="70"/>
        <v/>
      </c>
      <c r="F495" s="13" t="str">
        <f t="shared" si="71"/>
        <v/>
      </c>
      <c r="G495" s="13" t="str">
        <f t="shared" si="72"/>
        <v/>
      </c>
      <c r="H495" s="13" t="str">
        <f t="shared" si="73"/>
        <v/>
      </c>
      <c r="I495" t="str">
        <f t="shared" si="74"/>
        <v/>
      </c>
    </row>
    <row r="496" spans="1:9">
      <c r="A496">
        <f>CSV!B496</f>
        <v>0</v>
      </c>
      <c r="B496" s="13" t="e">
        <f>INDEX(Input!$D$2:$AC$500,
       MATCH(CPU_Formula!A496, Input!$J$2:$J$500, 0),
       MATCH("CPU model", Input!$D$1:$AC$1, 0))</f>
        <v>#N/A</v>
      </c>
      <c r="C496" s="13" t="str">
        <f t="shared" si="68"/>
        <v/>
      </c>
      <c r="D496" s="13" t="str">
        <f t="shared" si="69"/>
        <v/>
      </c>
      <c r="E496" s="13" t="str">
        <f t="shared" si="70"/>
        <v/>
      </c>
      <c r="F496" s="13" t="str">
        <f t="shared" si="71"/>
        <v/>
      </c>
      <c r="G496" s="13" t="str">
        <f t="shared" si="72"/>
        <v/>
      </c>
      <c r="H496" s="13" t="str">
        <f t="shared" si="73"/>
        <v/>
      </c>
      <c r="I496" t="str">
        <f t="shared" si="74"/>
        <v/>
      </c>
    </row>
    <row r="497" spans="1:9">
      <c r="A497">
        <f>CSV!B497</f>
        <v>0</v>
      </c>
      <c r="B497" s="13" t="e">
        <f>INDEX(Input!$D$2:$AC$500,
       MATCH(CPU_Formula!A497, Input!$J$2:$J$500, 0),
       MATCH("CPU model", Input!$D$1:$AC$1, 0))</f>
        <v>#N/A</v>
      </c>
      <c r="C497" s="13" t="str">
        <f t="shared" si="68"/>
        <v/>
      </c>
      <c r="D497" s="13" t="str">
        <f t="shared" si="69"/>
        <v/>
      </c>
      <c r="E497" s="13" t="str">
        <f t="shared" si="70"/>
        <v/>
      </c>
      <c r="F497" s="13" t="str">
        <f t="shared" si="71"/>
        <v/>
      </c>
      <c r="G497" s="13" t="str">
        <f t="shared" si="72"/>
        <v/>
      </c>
      <c r="H497" s="13" t="str">
        <f t="shared" si="73"/>
        <v/>
      </c>
      <c r="I497" t="str">
        <f t="shared" si="74"/>
        <v/>
      </c>
    </row>
    <row r="498" spans="1:9">
      <c r="A498">
        <f>CSV!B498</f>
        <v>0</v>
      </c>
      <c r="B498" s="13" t="e">
        <f>INDEX(Input!$D$2:$AC$500,
       MATCH(CPU_Formula!A498, Input!$J$2:$J$500, 0),
       MATCH("CPU model", Input!$D$1:$AC$1, 0))</f>
        <v>#N/A</v>
      </c>
      <c r="C498" s="13" t="str">
        <f t="shared" si="68"/>
        <v/>
      </c>
      <c r="D498" s="13" t="str">
        <f t="shared" si="69"/>
        <v/>
      </c>
      <c r="E498" s="13" t="str">
        <f t="shared" si="70"/>
        <v/>
      </c>
      <c r="F498" s="13" t="str">
        <f t="shared" si="71"/>
        <v/>
      </c>
      <c r="G498" s="13" t="str">
        <f t="shared" si="72"/>
        <v/>
      </c>
      <c r="H498" s="13" t="str">
        <f t="shared" si="73"/>
        <v/>
      </c>
      <c r="I498" t="str">
        <f t="shared" si="74"/>
        <v/>
      </c>
    </row>
    <row r="499" spans="1:9">
      <c r="A499">
        <f>CSV!B499</f>
        <v>0</v>
      </c>
      <c r="B499" s="13" t="e">
        <f>INDEX(Input!$D$2:$AC$500,
       MATCH(CPU_Formula!A499, Input!$J$2:$J$500, 0),
       MATCH("CPU model", Input!$D$1:$AC$1, 0))</f>
        <v>#N/A</v>
      </c>
      <c r="C499" s="13" t="str">
        <f t="shared" si="68"/>
        <v/>
      </c>
      <c r="D499" s="13" t="str">
        <f t="shared" si="69"/>
        <v/>
      </c>
      <c r="E499" s="13" t="str">
        <f t="shared" si="70"/>
        <v/>
      </c>
      <c r="F499" s="13" t="str">
        <f t="shared" si="71"/>
        <v/>
      </c>
      <c r="G499" s="13" t="str">
        <f t="shared" si="72"/>
        <v/>
      </c>
      <c r="H499" s="13" t="str">
        <f t="shared" si="73"/>
        <v/>
      </c>
      <c r="I499" t="str">
        <f t="shared" si="74"/>
        <v/>
      </c>
    </row>
    <row r="500" spans="1:9">
      <c r="A500">
        <f>CSV!B500</f>
        <v>0</v>
      </c>
      <c r="B500" s="13" t="e">
        <f>INDEX(Input!$D$2:$AC$500,
       MATCH(CPU_Formula!A500, Input!$J$2:$J$500, 0),
       MATCH("CPU model", Input!$D$1:$AC$1, 0))</f>
        <v>#N/A</v>
      </c>
      <c r="C500" s="13" t="str">
        <f t="shared" si="68"/>
        <v/>
      </c>
      <c r="D500" s="13" t="str">
        <f t="shared" si="69"/>
        <v/>
      </c>
      <c r="E500" s="13" t="str">
        <f t="shared" si="70"/>
        <v/>
      </c>
      <c r="F500" s="13" t="str">
        <f t="shared" si="71"/>
        <v/>
      </c>
      <c r="G500" s="13" t="str">
        <f t="shared" si="72"/>
        <v/>
      </c>
      <c r="H500" s="13" t="str">
        <f t="shared" si="73"/>
        <v/>
      </c>
      <c r="I500" t="str">
        <f t="shared" si="74"/>
        <v/>
      </c>
    </row>
    <row r="501" spans="1:9">
      <c r="A501">
        <f>CSV!B501</f>
        <v>0</v>
      </c>
      <c r="B501" s="13" t="e">
        <f>INDEX(Input!$D$2:$AC$500,
       MATCH(CPU_Formula!A501, Input!$J$2:$J$500, 0),
       MATCH("CPU model", Input!$D$1:$AC$1, 0))</f>
        <v>#N/A</v>
      </c>
      <c r="C501" s="13" t="str">
        <f t="shared" si="68"/>
        <v/>
      </c>
      <c r="D501" s="13" t="str">
        <f t="shared" si="69"/>
        <v/>
      </c>
      <c r="E501" s="13" t="str">
        <f t="shared" si="70"/>
        <v/>
      </c>
      <c r="F501" s="13" t="str">
        <f t="shared" si="71"/>
        <v/>
      </c>
      <c r="G501" s="13" t="str">
        <f t="shared" si="72"/>
        <v/>
      </c>
      <c r="H501" s="13" t="str">
        <f t="shared" si="73"/>
        <v/>
      </c>
      <c r="I501" t="str">
        <f t="shared" si="74"/>
        <v/>
      </c>
    </row>
    <row r="502" spans="1:9">
      <c r="A502">
        <f>CSV!B502</f>
        <v>0</v>
      </c>
      <c r="B502" s="13" t="e">
        <f>INDEX(Input!$D$2:$AC$500,
       MATCH(CPU_Formula!A502, Input!$J$2:$J$500, 0),
       MATCH("CPU model", Input!$D$1:$AC$1, 0))</f>
        <v>#N/A</v>
      </c>
      <c r="C502" s="13" t="str">
        <f t="shared" si="68"/>
        <v/>
      </c>
      <c r="D502" s="13" t="str">
        <f t="shared" si="69"/>
        <v/>
      </c>
      <c r="E502" s="13" t="str">
        <f t="shared" si="70"/>
        <v/>
      </c>
      <c r="F502" s="13" t="str">
        <f t="shared" si="71"/>
        <v/>
      </c>
      <c r="G502" s="13" t="str">
        <f t="shared" si="72"/>
        <v/>
      </c>
      <c r="H502" s="13" t="str">
        <f t="shared" si="73"/>
        <v/>
      </c>
      <c r="I502" t="str">
        <f t="shared" si="74"/>
        <v/>
      </c>
    </row>
    <row r="503" spans="1:9">
      <c r="A503">
        <f>CSV!B503</f>
        <v>0</v>
      </c>
      <c r="B503" s="13" t="e">
        <f>INDEX(Input!$D$2:$AC$500,
       MATCH(CPU_Formula!A503, Input!$J$2:$J$500, 0),
       MATCH("CPU model", Input!$D$1:$AC$1, 0))</f>
        <v>#N/A</v>
      </c>
      <c r="C503" s="13" t="str">
        <f t="shared" si="68"/>
        <v/>
      </c>
      <c r="D503" s="13" t="str">
        <f t="shared" si="69"/>
        <v/>
      </c>
      <c r="E503" s="13" t="str">
        <f t="shared" si="70"/>
        <v/>
      </c>
      <c r="F503" s="13" t="str">
        <f t="shared" si="71"/>
        <v/>
      </c>
      <c r="G503" s="13" t="str">
        <f t="shared" si="72"/>
        <v/>
      </c>
      <c r="H503" s="13" t="str">
        <f t="shared" si="73"/>
        <v/>
      </c>
      <c r="I503" t="str">
        <f t="shared" si="74"/>
        <v/>
      </c>
    </row>
    <row r="504" spans="1:9">
      <c r="A504">
        <f>CSV!B504</f>
        <v>0</v>
      </c>
      <c r="B504" s="13" t="e">
        <f>INDEX(Input!$D$2:$AC$500,
       MATCH(CPU_Formula!A504, Input!$J$2:$J$500, 0),
       MATCH("CPU model", Input!$D$1:$AC$1, 0))</f>
        <v>#N/A</v>
      </c>
      <c r="C504" s="13" t="str">
        <f t="shared" si="68"/>
        <v/>
      </c>
      <c r="D504" s="13" t="str">
        <f t="shared" si="69"/>
        <v/>
      </c>
      <c r="E504" s="13" t="str">
        <f t="shared" si="70"/>
        <v/>
      </c>
      <c r="F504" s="13" t="str">
        <f t="shared" si="71"/>
        <v/>
      </c>
      <c r="G504" s="13" t="str">
        <f t="shared" si="72"/>
        <v/>
      </c>
      <c r="H504" s="13" t="str">
        <f t="shared" si="73"/>
        <v/>
      </c>
      <c r="I504" t="str">
        <f t="shared" si="74"/>
        <v/>
      </c>
    </row>
    <row r="505" spans="1:9">
      <c r="A505">
        <f>CSV!B505</f>
        <v>0</v>
      </c>
      <c r="B505" s="13" t="e">
        <f>INDEX(Input!$D$2:$AC$500,
       MATCH(CPU_Formula!A505, Input!$J$2:$J$500, 0),
       MATCH("CPU model", Input!$D$1:$AC$1, 0))</f>
        <v>#N/A</v>
      </c>
      <c r="C505" s="13" t="str">
        <f t="shared" si="68"/>
        <v/>
      </c>
      <c r="D505" s="13" t="str">
        <f t="shared" si="69"/>
        <v/>
      </c>
      <c r="E505" s="13" t="str">
        <f t="shared" si="70"/>
        <v/>
      </c>
      <c r="F505" s="13" t="str">
        <f t="shared" si="71"/>
        <v/>
      </c>
      <c r="G505" s="13" t="str">
        <f t="shared" si="72"/>
        <v/>
      </c>
      <c r="H505" s="13" t="str">
        <f t="shared" si="73"/>
        <v/>
      </c>
      <c r="I505" t="str">
        <f t="shared" si="74"/>
        <v/>
      </c>
    </row>
    <row r="506" spans="1:9">
      <c r="A506">
        <f>CSV!B506</f>
        <v>0</v>
      </c>
      <c r="B506" s="13" t="e">
        <f>INDEX(Input!$D$2:$AC$500,
       MATCH(CPU_Formula!A506, Input!$J$2:$J$500, 0),
       MATCH("CPU model", Input!$D$1:$AC$1, 0))</f>
        <v>#N/A</v>
      </c>
      <c r="C506" s="13" t="str">
        <f t="shared" si="68"/>
        <v/>
      </c>
      <c r="D506" s="13" t="str">
        <f t="shared" si="69"/>
        <v/>
      </c>
      <c r="E506" s="13" t="str">
        <f t="shared" si="70"/>
        <v/>
      </c>
      <c r="F506" s="13" t="str">
        <f t="shared" si="71"/>
        <v/>
      </c>
      <c r="G506" s="13" t="str">
        <f t="shared" si="72"/>
        <v/>
      </c>
      <c r="H506" s="13" t="str">
        <f t="shared" si="73"/>
        <v/>
      </c>
      <c r="I506" t="str">
        <f t="shared" si="74"/>
        <v/>
      </c>
    </row>
    <row r="507" spans="1:9">
      <c r="A507">
        <f>CSV!B507</f>
        <v>0</v>
      </c>
      <c r="B507" s="13" t="e">
        <f>INDEX(Input!$D$2:$AC$500,
       MATCH(CPU_Formula!A507, Input!$J$2:$J$500, 0),
       MATCH("CPU model", Input!$D$1:$AC$1, 0))</f>
        <v>#N/A</v>
      </c>
      <c r="C507" s="13" t="str">
        <f t="shared" si="68"/>
        <v/>
      </c>
      <c r="D507" s="13" t="str">
        <f t="shared" si="69"/>
        <v/>
      </c>
      <c r="E507" s="13" t="str">
        <f t="shared" si="70"/>
        <v/>
      </c>
      <c r="F507" s="13" t="str">
        <f t="shared" si="71"/>
        <v/>
      </c>
      <c r="G507" s="13" t="str">
        <f t="shared" si="72"/>
        <v/>
      </c>
      <c r="H507" s="13" t="str">
        <f t="shared" si="73"/>
        <v/>
      </c>
      <c r="I507" t="str">
        <f t="shared" si="74"/>
        <v/>
      </c>
    </row>
    <row r="508" spans="1:9">
      <c r="A508">
        <f>CSV!B508</f>
        <v>0</v>
      </c>
      <c r="B508" s="13" t="e">
        <f>INDEX(Input!$D$2:$AC$500,
       MATCH(CPU_Formula!A508, Input!$J$2:$J$500, 0),
       MATCH("CPU model", Input!$D$1:$AC$1, 0))</f>
        <v>#N/A</v>
      </c>
      <c r="C508" s="13" t="str">
        <f t="shared" si="68"/>
        <v/>
      </c>
      <c r="D508" s="13" t="str">
        <f t="shared" si="69"/>
        <v/>
      </c>
      <c r="E508" s="13" t="str">
        <f t="shared" si="70"/>
        <v/>
      </c>
      <c r="F508" s="13" t="str">
        <f t="shared" si="71"/>
        <v/>
      </c>
      <c r="G508" s="13" t="str">
        <f t="shared" si="72"/>
        <v/>
      </c>
      <c r="H508" s="13" t="str">
        <f t="shared" si="73"/>
        <v/>
      </c>
      <c r="I508" t="str">
        <f t="shared" si="74"/>
        <v/>
      </c>
    </row>
    <row r="509" spans="1:9">
      <c r="A509">
        <f>CSV!B509</f>
        <v>0</v>
      </c>
      <c r="B509" s="13" t="e">
        <f>INDEX(Input!$D$2:$AC$500,
       MATCH(CPU_Formula!A509, Input!$J$2:$J$500, 0),
       MATCH("CPU model", Input!$D$1:$AC$1, 0))</f>
        <v>#N/A</v>
      </c>
      <c r="C509" s="13" t="str">
        <f t="shared" si="68"/>
        <v/>
      </c>
      <c r="D509" s="13" t="str">
        <f t="shared" si="69"/>
        <v/>
      </c>
      <c r="E509" s="13" t="str">
        <f t="shared" si="70"/>
        <v/>
      </c>
      <c r="F509" s="13" t="str">
        <f t="shared" si="71"/>
        <v/>
      </c>
      <c r="G509" s="13" t="str">
        <f t="shared" si="72"/>
        <v/>
      </c>
      <c r="H509" s="13" t="str">
        <f t="shared" si="73"/>
        <v/>
      </c>
      <c r="I509" t="str">
        <f t="shared" si="74"/>
        <v/>
      </c>
    </row>
    <row r="510" spans="1:9">
      <c r="A510">
        <f>CSV!B510</f>
        <v>0</v>
      </c>
      <c r="B510" s="13" t="e">
        <f>INDEX(Input!$D$2:$AC$500,
       MATCH(CPU_Formula!A510, Input!$J$2:$J$500, 0),
       MATCH("CPU model", Input!$D$1:$AC$1, 0))</f>
        <v>#N/A</v>
      </c>
      <c r="C510" s="13" t="str">
        <f t="shared" si="68"/>
        <v/>
      </c>
      <c r="D510" s="13" t="str">
        <f t="shared" si="69"/>
        <v/>
      </c>
      <c r="E510" s="13" t="str">
        <f t="shared" si="70"/>
        <v/>
      </c>
      <c r="F510" s="13" t="str">
        <f t="shared" si="71"/>
        <v/>
      </c>
      <c r="G510" s="13" t="str">
        <f t="shared" si="72"/>
        <v/>
      </c>
      <c r="H510" s="13" t="str">
        <f t="shared" si="73"/>
        <v/>
      </c>
      <c r="I510" t="str">
        <f t="shared" si="74"/>
        <v/>
      </c>
    </row>
    <row r="511" spans="1:9">
      <c r="A511">
        <f>CSV!B511</f>
        <v>0</v>
      </c>
      <c r="B511" s="13" t="e">
        <f>INDEX(Input!$D$2:$AC$500,
       MATCH(CPU_Formula!A511, Input!$J$2:$J$500, 0),
       MATCH("CPU model", Input!$D$1:$AC$1, 0))</f>
        <v>#N/A</v>
      </c>
      <c r="C511" s="13" t="str">
        <f t="shared" si="68"/>
        <v/>
      </c>
      <c r="D511" s="13" t="str">
        <f t="shared" si="69"/>
        <v/>
      </c>
      <c r="E511" s="13" t="str">
        <f t="shared" si="70"/>
        <v/>
      </c>
      <c r="F511" s="13" t="str">
        <f t="shared" si="71"/>
        <v/>
      </c>
      <c r="G511" s="13" t="str">
        <f t="shared" si="72"/>
        <v/>
      </c>
      <c r="H511" s="13" t="str">
        <f t="shared" si="73"/>
        <v/>
      </c>
      <c r="I511" t="str">
        <f t="shared" si="74"/>
        <v/>
      </c>
    </row>
    <row r="512" spans="1:9">
      <c r="A512">
        <f>CSV!B512</f>
        <v>0</v>
      </c>
      <c r="B512" s="13" t="e">
        <f>INDEX(Input!$D$2:$AC$500,
       MATCH(CPU_Formula!A512, Input!$J$2:$J$500, 0),
       MATCH("CPU model", Input!$D$1:$AC$1, 0))</f>
        <v>#N/A</v>
      </c>
      <c r="C512" s="13" t="str">
        <f t="shared" si="68"/>
        <v/>
      </c>
      <c r="D512" s="13" t="str">
        <f t="shared" si="69"/>
        <v/>
      </c>
      <c r="E512" s="13" t="str">
        <f t="shared" si="70"/>
        <v/>
      </c>
      <c r="F512" s="13" t="str">
        <f t="shared" si="71"/>
        <v/>
      </c>
      <c r="G512" s="13" t="str">
        <f t="shared" si="72"/>
        <v/>
      </c>
      <c r="H512" s="13" t="str">
        <f t="shared" si="73"/>
        <v/>
      </c>
      <c r="I512" t="str">
        <f t="shared" si="74"/>
        <v/>
      </c>
    </row>
    <row r="513" spans="1:9">
      <c r="A513">
        <f>CSV!B513</f>
        <v>0</v>
      </c>
      <c r="B513" s="13" t="e">
        <f>INDEX(Input!$D$2:$AC$500,
       MATCH(CPU_Formula!A513, Input!$J$2:$J$500, 0),
       MATCH("CPU model", Input!$D$1:$AC$1, 0))</f>
        <v>#N/A</v>
      </c>
      <c r="C513" s="13" t="str">
        <f t="shared" si="68"/>
        <v/>
      </c>
      <c r="D513" s="13" t="str">
        <f t="shared" si="69"/>
        <v/>
      </c>
      <c r="E513" s="13" t="str">
        <f t="shared" si="70"/>
        <v/>
      </c>
      <c r="F513" s="13" t="str">
        <f t="shared" si="71"/>
        <v/>
      </c>
      <c r="G513" s="13" t="str">
        <f t="shared" si="72"/>
        <v/>
      </c>
      <c r="H513" s="13" t="str">
        <f t="shared" si="73"/>
        <v/>
      </c>
      <c r="I513" t="str">
        <f t="shared" si="74"/>
        <v/>
      </c>
    </row>
    <row r="514" spans="1:9">
      <c r="A514">
        <f>CSV!B514</f>
        <v>0</v>
      </c>
      <c r="B514" s="13" t="e">
        <f>INDEX(Input!$D$2:$AC$500,
       MATCH(CPU_Formula!A514, Input!$J$2:$J$500, 0),
       MATCH("CPU model", Input!$D$1:$AC$1, 0))</f>
        <v>#N/A</v>
      </c>
      <c r="C514" s="13" t="str">
        <f t="shared" si="68"/>
        <v/>
      </c>
      <c r="D514" s="13" t="str">
        <f t="shared" si="69"/>
        <v/>
      </c>
      <c r="E514" s="13" t="str">
        <f t="shared" si="70"/>
        <v/>
      </c>
      <c r="F514" s="13" t="str">
        <f t="shared" si="71"/>
        <v/>
      </c>
      <c r="G514" s="13" t="str">
        <f t="shared" si="72"/>
        <v/>
      </c>
      <c r="H514" s="13" t="str">
        <f t="shared" si="73"/>
        <v/>
      </c>
      <c r="I514" t="str">
        <f t="shared" si="74"/>
        <v/>
      </c>
    </row>
    <row r="515" spans="1:9">
      <c r="A515">
        <f>CSV!B515</f>
        <v>0</v>
      </c>
      <c r="B515" s="13" t="e">
        <f>INDEX(Input!$D$2:$AC$500,
       MATCH(CPU_Formula!A515, Input!$J$2:$J$500, 0),
       MATCH("CPU model", Input!$D$1:$AC$1, 0))</f>
        <v>#N/A</v>
      </c>
      <c r="C515" s="13" t="str">
        <f t="shared" si="68"/>
        <v/>
      </c>
      <c r="D515" s="13" t="str">
        <f t="shared" si="69"/>
        <v/>
      </c>
      <c r="E515" s="13" t="str">
        <f t="shared" si="70"/>
        <v/>
      </c>
      <c r="F515" s="13" t="str">
        <f t="shared" si="71"/>
        <v/>
      </c>
      <c r="G515" s="13" t="str">
        <f t="shared" si="72"/>
        <v/>
      </c>
      <c r="H515" s="13" t="str">
        <f t="shared" si="73"/>
        <v/>
      </c>
      <c r="I515" t="str">
        <f t="shared" si="74"/>
        <v/>
      </c>
    </row>
    <row r="516" spans="1:9">
      <c r="A516">
        <f>CSV!B516</f>
        <v>0</v>
      </c>
      <c r="B516" s="13" t="e">
        <f>INDEX(Input!$D$2:$AC$500,
       MATCH(CPU_Formula!A516, Input!$J$2:$J$500, 0),
       MATCH("CPU model", Input!$D$1:$AC$1, 0))</f>
        <v>#N/A</v>
      </c>
      <c r="C516" s="13" t="str">
        <f t="shared" si="68"/>
        <v/>
      </c>
      <c r="D516" s="13" t="str">
        <f t="shared" si="69"/>
        <v/>
      </c>
      <c r="E516" s="13" t="str">
        <f t="shared" si="70"/>
        <v/>
      </c>
      <c r="F516" s="13" t="str">
        <f t="shared" si="71"/>
        <v/>
      </c>
      <c r="G516" s="13" t="str">
        <f t="shared" si="72"/>
        <v/>
      </c>
      <c r="H516" s="13" t="str">
        <f t="shared" si="73"/>
        <v/>
      </c>
      <c r="I516" t="str">
        <f t="shared" si="74"/>
        <v/>
      </c>
    </row>
    <row r="517" spans="1:9">
      <c r="A517">
        <f>CSV!B517</f>
        <v>0</v>
      </c>
      <c r="B517" s="13" t="e">
        <f>INDEX(Input!$D$2:$AC$500,
       MATCH(CPU_Formula!A517, Input!$J$2:$J$500, 0),
       MATCH("CPU model", Input!$D$1:$AC$1, 0))</f>
        <v>#N/A</v>
      </c>
      <c r="C517" s="13" t="str">
        <f t="shared" si="68"/>
        <v/>
      </c>
      <c r="D517" s="13" t="str">
        <f t="shared" si="69"/>
        <v/>
      </c>
      <c r="E517" s="13" t="str">
        <f t="shared" si="70"/>
        <v/>
      </c>
      <c r="F517" s="13" t="str">
        <f t="shared" si="71"/>
        <v/>
      </c>
      <c r="G517" s="13" t="str">
        <f t="shared" si="72"/>
        <v/>
      </c>
      <c r="H517" s="13" t="str">
        <f t="shared" si="73"/>
        <v/>
      </c>
      <c r="I517" t="str">
        <f t="shared" si="74"/>
        <v/>
      </c>
    </row>
    <row r="518" spans="1:9">
      <c r="A518">
        <f>CSV!B518</f>
        <v>0</v>
      </c>
      <c r="B518" s="13" t="e">
        <f>INDEX(Input!$D$2:$AC$500,
       MATCH(CPU_Formula!A518, Input!$J$2:$J$500, 0),
       MATCH("CPU model", Input!$D$1:$AC$1, 0))</f>
        <v>#N/A</v>
      </c>
      <c r="C518" s="13" t="str">
        <f t="shared" si="68"/>
        <v/>
      </c>
      <c r="D518" s="13" t="str">
        <f t="shared" si="69"/>
        <v/>
      </c>
      <c r="E518" s="13" t="str">
        <f t="shared" si="70"/>
        <v/>
      </c>
      <c r="F518" s="13" t="str">
        <f t="shared" si="71"/>
        <v/>
      </c>
      <c r="G518" s="13" t="str">
        <f t="shared" si="72"/>
        <v/>
      </c>
      <c r="H518" s="13" t="str">
        <f t="shared" si="73"/>
        <v/>
      </c>
      <c r="I518" t="str">
        <f t="shared" si="74"/>
        <v/>
      </c>
    </row>
    <row r="519" spans="1:9">
      <c r="A519">
        <f>CSV!B519</f>
        <v>0</v>
      </c>
      <c r="B519" s="13" t="e">
        <f>INDEX(Input!$D$2:$AC$500,
       MATCH(CPU_Formula!A519, Input!$J$2:$J$500, 0),
       MATCH("CPU model", Input!$D$1:$AC$1, 0))</f>
        <v>#N/A</v>
      </c>
      <c r="C519" s="13" t="str">
        <f t="shared" si="68"/>
        <v/>
      </c>
      <c r="D519" s="13" t="str">
        <f t="shared" si="69"/>
        <v/>
      </c>
      <c r="E519" s="13" t="str">
        <f t="shared" si="70"/>
        <v/>
      </c>
      <c r="F519" s="13" t="str">
        <f t="shared" si="71"/>
        <v/>
      </c>
      <c r="G519" s="13" t="str">
        <f t="shared" si="72"/>
        <v/>
      </c>
      <c r="H519" s="13" t="str">
        <f t="shared" si="73"/>
        <v/>
      </c>
      <c r="I519" t="str">
        <f t="shared" si="74"/>
        <v/>
      </c>
    </row>
    <row r="520" spans="1:9">
      <c r="A520">
        <f>CSV!B520</f>
        <v>0</v>
      </c>
      <c r="B520" s="13" t="e">
        <f>INDEX(Input!$D$2:$AC$500,
       MATCH(CPU_Formula!A520, Input!$J$2:$J$500, 0),
       MATCH("CPU model", Input!$D$1:$AC$1, 0))</f>
        <v>#N/A</v>
      </c>
      <c r="C520" s="13" t="str">
        <f t="shared" si="68"/>
        <v/>
      </c>
      <c r="D520" s="13" t="str">
        <f t="shared" si="69"/>
        <v/>
      </c>
      <c r="E520" s="13" t="str">
        <f t="shared" si="70"/>
        <v/>
      </c>
      <c r="F520" s="13" t="str">
        <f t="shared" si="71"/>
        <v/>
      </c>
      <c r="G520" s="13" t="str">
        <f t="shared" si="72"/>
        <v/>
      </c>
      <c r="H520" s="13" t="str">
        <f t="shared" si="73"/>
        <v/>
      </c>
      <c r="I520" t="str">
        <f t="shared" si="74"/>
        <v/>
      </c>
    </row>
    <row r="521" spans="1:9">
      <c r="A521">
        <f>CSV!B521</f>
        <v>0</v>
      </c>
      <c r="B521" s="13" t="e">
        <f>INDEX(Input!$D$2:$AC$500,
       MATCH(CPU_Formula!A521, Input!$J$2:$J$500, 0),
       MATCH("CPU model", Input!$D$1:$AC$1, 0))</f>
        <v>#N/A</v>
      </c>
      <c r="C521" s="13" t="str">
        <f t="shared" si="68"/>
        <v/>
      </c>
      <c r="D521" s="13" t="str">
        <f t="shared" si="69"/>
        <v/>
      </c>
      <c r="E521" s="13" t="str">
        <f t="shared" si="70"/>
        <v/>
      </c>
      <c r="F521" s="13" t="str">
        <f t="shared" si="71"/>
        <v/>
      </c>
      <c r="G521" s="13" t="str">
        <f t="shared" si="72"/>
        <v/>
      </c>
      <c r="H521" s="13" t="str">
        <f t="shared" si="73"/>
        <v/>
      </c>
      <c r="I521" t="str">
        <f t="shared" si="74"/>
        <v/>
      </c>
    </row>
    <row r="522" spans="1:9">
      <c r="A522">
        <f>CSV!B522</f>
        <v>0</v>
      </c>
      <c r="B522" s="13" t="e">
        <f>INDEX(Input!$D$2:$AC$500,
       MATCH(CPU_Formula!A522, Input!$J$2:$J$500, 0),
       MATCH("CPU model", Input!$D$1:$AC$1, 0))</f>
        <v>#N/A</v>
      </c>
      <c r="C522" s="13" t="str">
        <f t="shared" si="68"/>
        <v/>
      </c>
      <c r="D522" s="13" t="str">
        <f t="shared" si="69"/>
        <v/>
      </c>
      <c r="E522" s="13" t="str">
        <f t="shared" si="70"/>
        <v/>
      </c>
      <c r="F522" s="13" t="str">
        <f t="shared" si="71"/>
        <v/>
      </c>
      <c r="G522" s="13" t="str">
        <f t="shared" si="72"/>
        <v/>
      </c>
      <c r="H522" s="13" t="str">
        <f t="shared" si="73"/>
        <v/>
      </c>
      <c r="I522" t="str">
        <f t="shared" si="74"/>
        <v/>
      </c>
    </row>
    <row r="523" spans="1:9">
      <c r="A523">
        <f>CSV!B523</f>
        <v>0</v>
      </c>
      <c r="B523" s="13" t="e">
        <f>INDEX(Input!$D$2:$AC$500,
       MATCH(CPU_Formula!A523, Input!$J$2:$J$500, 0),
       MATCH("CPU model", Input!$D$1:$AC$1, 0))</f>
        <v>#N/A</v>
      </c>
      <c r="C523" s="13" t="str">
        <f t="shared" si="68"/>
        <v/>
      </c>
      <c r="D523" s="13" t="str">
        <f t="shared" si="69"/>
        <v/>
      </c>
      <c r="E523" s="13" t="str">
        <f t="shared" si="70"/>
        <v/>
      </c>
      <c r="F523" s="13" t="str">
        <f t="shared" si="71"/>
        <v/>
      </c>
      <c r="G523" s="13" t="str">
        <f t="shared" si="72"/>
        <v/>
      </c>
      <c r="H523" s="13" t="str">
        <f t="shared" si="73"/>
        <v/>
      </c>
      <c r="I523" t="str">
        <f t="shared" si="74"/>
        <v/>
      </c>
    </row>
    <row r="524" spans="1:9">
      <c r="A524">
        <f>CSV!B524</f>
        <v>0</v>
      </c>
      <c r="B524" s="13" t="e">
        <f>INDEX(Input!$D$2:$AC$500,
       MATCH(CPU_Formula!A524, Input!$J$2:$J$500, 0),
       MATCH("CPU model", Input!$D$1:$AC$1, 0))</f>
        <v>#N/A</v>
      </c>
      <c r="C524" s="13" t="str">
        <f t="shared" si="68"/>
        <v/>
      </c>
      <c r="D524" s="13" t="str">
        <f t="shared" si="69"/>
        <v/>
      </c>
      <c r="E524" s="13" t="str">
        <f t="shared" si="70"/>
        <v/>
      </c>
      <c r="F524" s="13" t="str">
        <f t="shared" si="71"/>
        <v/>
      </c>
      <c r="G524" s="13" t="str">
        <f t="shared" si="72"/>
        <v/>
      </c>
      <c r="H524" s="13" t="str">
        <f t="shared" si="73"/>
        <v/>
      </c>
      <c r="I524" t="str">
        <f t="shared" si="74"/>
        <v/>
      </c>
    </row>
    <row r="525" spans="1:9">
      <c r="A525">
        <f>CSV!B525</f>
        <v>0</v>
      </c>
      <c r="B525" s="13" t="e">
        <f>INDEX(Input!$D$2:$AC$500,
       MATCH(CPU_Formula!A525, Input!$J$2:$J$500, 0),
       MATCH("CPU model", Input!$D$1:$AC$1, 0))</f>
        <v>#N/A</v>
      </c>
      <c r="C525" s="13" t="str">
        <f t="shared" si="68"/>
        <v/>
      </c>
      <c r="D525" s="13" t="str">
        <f t="shared" si="69"/>
        <v/>
      </c>
      <c r="E525" s="13" t="str">
        <f t="shared" si="70"/>
        <v/>
      </c>
      <c r="F525" s="13" t="str">
        <f t="shared" si="71"/>
        <v/>
      </c>
      <c r="G525" s="13" t="str">
        <f t="shared" si="72"/>
        <v/>
      </c>
      <c r="H525" s="13" t="str">
        <f t="shared" si="73"/>
        <v/>
      </c>
      <c r="I525" t="str">
        <f t="shared" si="74"/>
        <v/>
      </c>
    </row>
    <row r="526" spans="1:9">
      <c r="A526">
        <f>CSV!B526</f>
        <v>0</v>
      </c>
      <c r="B526" s="13" t="e">
        <f>INDEX(Input!$D$2:$AC$500,
       MATCH(CPU_Formula!A526, Input!$J$2:$J$500, 0),
       MATCH("CPU model", Input!$D$1:$AC$1, 0))</f>
        <v>#N/A</v>
      </c>
      <c r="C526" s="13" t="str">
        <f t="shared" si="68"/>
        <v/>
      </c>
      <c r="D526" s="13" t="str">
        <f t="shared" si="69"/>
        <v/>
      </c>
      <c r="E526" s="13" t="str">
        <f t="shared" si="70"/>
        <v/>
      </c>
      <c r="F526" s="13" t="str">
        <f t="shared" si="71"/>
        <v/>
      </c>
      <c r="G526" s="13" t="str">
        <f t="shared" si="72"/>
        <v/>
      </c>
      <c r="H526" s="13" t="str">
        <f t="shared" si="73"/>
        <v/>
      </c>
      <c r="I526" t="str">
        <f t="shared" si="74"/>
        <v/>
      </c>
    </row>
    <row r="527" spans="1:9">
      <c r="A527">
        <f>CSV!B527</f>
        <v>0</v>
      </c>
      <c r="B527" s="13" t="e">
        <f>INDEX(Input!$D$2:$AC$500,
       MATCH(CPU_Formula!A527, Input!$J$2:$J$500, 0),
       MATCH("CPU model", Input!$D$1:$AC$1, 0))</f>
        <v>#N/A</v>
      </c>
      <c r="C527" s="13" t="str">
        <f t="shared" si="68"/>
        <v/>
      </c>
      <c r="D527" s="13" t="str">
        <f t="shared" si="69"/>
        <v/>
      </c>
      <c r="E527" s="13" t="str">
        <f t="shared" si="70"/>
        <v/>
      </c>
      <c r="F527" s="13" t="str">
        <f t="shared" si="71"/>
        <v/>
      </c>
      <c r="G527" s="13" t="str">
        <f t="shared" si="72"/>
        <v/>
      </c>
      <c r="H527" s="13" t="str">
        <f t="shared" si="73"/>
        <v/>
      </c>
      <c r="I527" t="str">
        <f t="shared" si="74"/>
        <v/>
      </c>
    </row>
    <row r="528" spans="1:9">
      <c r="A528">
        <f>CSV!B528</f>
        <v>0</v>
      </c>
      <c r="B528" s="13" t="e">
        <f>INDEX(Input!$D$2:$AC$500,
       MATCH(CPU_Formula!A528, Input!$J$2:$J$500, 0),
       MATCH("CPU model", Input!$D$1:$AC$1, 0))</f>
        <v>#N/A</v>
      </c>
      <c r="C528" s="13" t="str">
        <f t="shared" si="68"/>
        <v/>
      </c>
      <c r="D528" s="13" t="str">
        <f t="shared" si="69"/>
        <v/>
      </c>
      <c r="E528" s="13" t="str">
        <f t="shared" si="70"/>
        <v/>
      </c>
      <c r="F528" s="13" t="str">
        <f t="shared" si="71"/>
        <v/>
      </c>
      <c r="G528" s="13" t="str">
        <f t="shared" si="72"/>
        <v/>
      </c>
      <c r="H528" s="13" t="str">
        <f t="shared" si="73"/>
        <v/>
      </c>
      <c r="I528" t="str">
        <f t="shared" si="74"/>
        <v/>
      </c>
    </row>
    <row r="529" spans="1:9">
      <c r="A529">
        <f>CSV!B529</f>
        <v>0</v>
      </c>
      <c r="B529" s="13" t="e">
        <f>INDEX(Input!$D$2:$AC$500,
       MATCH(CPU_Formula!A529, Input!$J$2:$J$500, 0),
       MATCH("CPU model", Input!$D$1:$AC$1, 0))</f>
        <v>#N/A</v>
      </c>
      <c r="C529" s="13" t="str">
        <f t="shared" si="68"/>
        <v/>
      </c>
      <c r="D529" s="13" t="str">
        <f t="shared" si="69"/>
        <v/>
      </c>
      <c r="E529" s="13" t="str">
        <f t="shared" si="70"/>
        <v/>
      </c>
      <c r="F529" s="13" t="str">
        <f t="shared" si="71"/>
        <v/>
      </c>
      <c r="G529" s="13" t="str">
        <f t="shared" si="72"/>
        <v/>
      </c>
      <c r="H529" s="13" t="str">
        <f t="shared" si="73"/>
        <v/>
      </c>
      <c r="I529" t="str">
        <f t="shared" si="74"/>
        <v/>
      </c>
    </row>
    <row r="530" spans="1:9">
      <c r="A530">
        <f>CSV!B530</f>
        <v>0</v>
      </c>
      <c r="B530" s="13" t="e">
        <f>INDEX(Input!$D$2:$AC$500,
       MATCH(CPU_Formula!A530, Input!$J$2:$J$500, 0),
       MATCH("CPU model", Input!$D$1:$AC$1, 0))</f>
        <v>#N/A</v>
      </c>
      <c r="C530" s="13" t="str">
        <f t="shared" si="68"/>
        <v/>
      </c>
      <c r="D530" s="13" t="str">
        <f t="shared" si="69"/>
        <v/>
      </c>
      <c r="E530" s="13" t="str">
        <f t="shared" si="70"/>
        <v/>
      </c>
      <c r="F530" s="13" t="str">
        <f t="shared" si="71"/>
        <v/>
      </c>
      <c r="G530" s="13" t="str">
        <f t="shared" si="72"/>
        <v/>
      </c>
      <c r="H530" s="13" t="str">
        <f t="shared" si="73"/>
        <v/>
      </c>
      <c r="I530" t="str">
        <f t="shared" si="74"/>
        <v/>
      </c>
    </row>
    <row r="531" spans="1:9">
      <c r="A531">
        <f>CSV!B531</f>
        <v>0</v>
      </c>
      <c r="B531" s="13" t="e">
        <f>INDEX(Input!$D$2:$AC$500,
       MATCH(CPU_Formula!A531, Input!$J$2:$J$500, 0),
       MATCH("CPU model", Input!$D$1:$AC$1, 0))</f>
        <v>#N/A</v>
      </c>
      <c r="C531" s="13" t="str">
        <f t="shared" si="68"/>
        <v/>
      </c>
      <c r="D531" s="13" t="str">
        <f t="shared" si="69"/>
        <v/>
      </c>
      <c r="E531" s="13" t="str">
        <f t="shared" si="70"/>
        <v/>
      </c>
      <c r="F531" s="13" t="str">
        <f t="shared" si="71"/>
        <v/>
      </c>
      <c r="G531" s="13" t="str">
        <f t="shared" si="72"/>
        <v/>
      </c>
      <c r="H531" s="13" t="str">
        <f t="shared" si="73"/>
        <v/>
      </c>
      <c r="I531" t="str">
        <f t="shared" si="74"/>
        <v/>
      </c>
    </row>
    <row r="532" spans="1:9">
      <c r="A532">
        <f>CSV!B532</f>
        <v>0</v>
      </c>
      <c r="B532" s="13" t="e">
        <f>INDEX(Input!$D$2:$AC$500,
       MATCH(CPU_Formula!A532, Input!$J$2:$J$500, 0),
       MATCH("CPU model", Input!$D$1:$AC$1, 0))</f>
        <v>#N/A</v>
      </c>
      <c r="C532" s="13" t="str">
        <f t="shared" si="68"/>
        <v/>
      </c>
      <c r="D532" s="13" t="str">
        <f t="shared" si="69"/>
        <v/>
      </c>
      <c r="E532" s="13" t="str">
        <f t="shared" si="70"/>
        <v/>
      </c>
      <c r="F532" s="13" t="str">
        <f t="shared" si="71"/>
        <v/>
      </c>
      <c r="G532" s="13" t="str">
        <f t="shared" si="72"/>
        <v/>
      </c>
      <c r="H532" s="13" t="str">
        <f t="shared" si="73"/>
        <v/>
      </c>
      <c r="I532" t="str">
        <f t="shared" si="74"/>
        <v/>
      </c>
    </row>
    <row r="533" spans="1:9">
      <c r="A533">
        <f>CSV!B533</f>
        <v>0</v>
      </c>
      <c r="B533" s="13" t="e">
        <f>INDEX(Input!$D$2:$AC$500,
       MATCH(CPU_Formula!A533, Input!$J$2:$J$500, 0),
       MATCH("CPU model", Input!$D$1:$AC$1, 0))</f>
        <v>#N/A</v>
      </c>
      <c r="C533" s="13" t="str">
        <f t="shared" si="68"/>
        <v/>
      </c>
      <c r="D533" s="13" t="str">
        <f t="shared" si="69"/>
        <v/>
      </c>
      <c r="E533" s="13" t="str">
        <f t="shared" si="70"/>
        <v/>
      </c>
      <c r="F533" s="13" t="str">
        <f t="shared" si="71"/>
        <v/>
      </c>
      <c r="G533" s="13" t="str">
        <f t="shared" si="72"/>
        <v/>
      </c>
      <c r="H533" s="13" t="str">
        <f t="shared" si="73"/>
        <v/>
      </c>
      <c r="I533" t="str">
        <f t="shared" si="74"/>
        <v/>
      </c>
    </row>
    <row r="534" spans="1:9">
      <c r="A534">
        <f>CSV!B534</f>
        <v>0</v>
      </c>
      <c r="B534" s="13" t="e">
        <f>INDEX(Input!$D$2:$AC$500,
       MATCH(CPU_Formula!A534, Input!$J$2:$J$500, 0),
       MATCH("CPU model", Input!$D$1:$AC$1, 0))</f>
        <v>#N/A</v>
      </c>
      <c r="C534" s="13" t="str">
        <f t="shared" si="68"/>
        <v/>
      </c>
      <c r="D534" s="13" t="str">
        <f t="shared" si="69"/>
        <v/>
      </c>
      <c r="E534" s="13" t="str">
        <f t="shared" si="70"/>
        <v/>
      </c>
      <c r="F534" s="13" t="str">
        <f t="shared" si="71"/>
        <v/>
      </c>
      <c r="G534" s="13" t="str">
        <f t="shared" si="72"/>
        <v/>
      </c>
      <c r="H534" s="13" t="str">
        <f t="shared" si="73"/>
        <v/>
      </c>
      <c r="I534" t="str">
        <f t="shared" si="74"/>
        <v/>
      </c>
    </row>
    <row r="535" spans="1:9">
      <c r="A535">
        <f>CSV!B535</f>
        <v>0</v>
      </c>
      <c r="B535" s="13" t="e">
        <f>INDEX(Input!$D$2:$AC$500,
       MATCH(CPU_Formula!A535, Input!$J$2:$J$500, 0),
       MATCH("CPU model", Input!$D$1:$AC$1, 0))</f>
        <v>#N/A</v>
      </c>
      <c r="C535" s="13" t="str">
        <f t="shared" si="68"/>
        <v/>
      </c>
      <c r="D535" s="13" t="str">
        <f t="shared" si="69"/>
        <v/>
      </c>
      <c r="E535" s="13" t="str">
        <f t="shared" si="70"/>
        <v/>
      </c>
      <c r="F535" s="13" t="str">
        <f t="shared" si="71"/>
        <v/>
      </c>
      <c r="G535" s="13" t="str">
        <f t="shared" si="72"/>
        <v/>
      </c>
      <c r="H535" s="13" t="str">
        <f t="shared" si="73"/>
        <v/>
      </c>
      <c r="I535" t="str">
        <f t="shared" si="74"/>
        <v/>
      </c>
    </row>
    <row r="536" spans="1:9">
      <c r="A536">
        <f>CSV!B536</f>
        <v>0</v>
      </c>
      <c r="B536" s="13" t="e">
        <f>INDEX(Input!$D$2:$AC$500,
       MATCH(CPU_Formula!A536, Input!$J$2:$J$500, 0),
       MATCH("CPU model", Input!$D$1:$AC$1, 0))</f>
        <v>#N/A</v>
      </c>
      <c r="C536" s="13" t="str">
        <f t="shared" si="68"/>
        <v/>
      </c>
      <c r="D536" s="13" t="str">
        <f t="shared" si="69"/>
        <v/>
      </c>
      <c r="E536" s="13" t="str">
        <f t="shared" si="70"/>
        <v/>
      </c>
      <c r="F536" s="13" t="str">
        <f t="shared" si="71"/>
        <v/>
      </c>
      <c r="G536" s="13" t="str">
        <f t="shared" si="72"/>
        <v/>
      </c>
      <c r="H536" s="13" t="str">
        <f t="shared" si="73"/>
        <v/>
      </c>
      <c r="I536" t="str">
        <f t="shared" si="74"/>
        <v/>
      </c>
    </row>
    <row r="537" spans="1:9">
      <c r="A537">
        <f>CSV!B537</f>
        <v>0</v>
      </c>
      <c r="B537" s="13" t="e">
        <f>INDEX(Input!$D$2:$AC$500,
       MATCH(CPU_Formula!A537, Input!$J$2:$J$500, 0),
       MATCH("CPU model", Input!$D$1:$AC$1, 0))</f>
        <v>#N/A</v>
      </c>
      <c r="C537" s="13" t="str">
        <f t="shared" si="68"/>
        <v/>
      </c>
      <c r="D537" s="13" t="str">
        <f t="shared" si="69"/>
        <v/>
      </c>
      <c r="E537" s="13" t="str">
        <f t="shared" si="70"/>
        <v/>
      </c>
      <c r="F537" s="13" t="str">
        <f t="shared" si="71"/>
        <v/>
      </c>
      <c r="G537" s="13" t="str">
        <f t="shared" si="72"/>
        <v/>
      </c>
      <c r="H537" s="13" t="str">
        <f t="shared" si="73"/>
        <v/>
      </c>
      <c r="I537" t="str">
        <f t="shared" si="74"/>
        <v/>
      </c>
    </row>
    <row r="538" spans="1:9">
      <c r="A538">
        <f>CSV!B538</f>
        <v>0</v>
      </c>
      <c r="B538" s="13" t="e">
        <f>INDEX(Input!$D$2:$AC$500,
       MATCH(CPU_Formula!A538, Input!$J$2:$J$500, 0),
       MATCH("CPU model", Input!$D$1:$AC$1, 0))</f>
        <v>#N/A</v>
      </c>
      <c r="C538" s="13" t="str">
        <f t="shared" si="68"/>
        <v/>
      </c>
      <c r="D538" s="13" t="str">
        <f t="shared" si="69"/>
        <v/>
      </c>
      <c r="E538" s="13" t="str">
        <f t="shared" si="70"/>
        <v/>
      </c>
      <c r="F538" s="13" t="str">
        <f t="shared" si="71"/>
        <v/>
      </c>
      <c r="G538" s="13" t="str">
        <f t="shared" si="72"/>
        <v/>
      </c>
      <c r="H538" s="13" t="str">
        <f t="shared" si="73"/>
        <v/>
      </c>
      <c r="I538" t="str">
        <f t="shared" si="74"/>
        <v/>
      </c>
    </row>
    <row r="539" spans="1:9">
      <c r="A539">
        <f>CSV!B539</f>
        <v>0</v>
      </c>
      <c r="B539" s="13" t="e">
        <f>INDEX(Input!$D$2:$AC$500,
       MATCH(CPU_Formula!A539, Input!$J$2:$J$500, 0),
       MATCH("CPU model", Input!$D$1:$AC$1, 0))</f>
        <v>#N/A</v>
      </c>
      <c r="C539" s="13" t="str">
        <f t="shared" si="68"/>
        <v/>
      </c>
      <c r="D539" s="13" t="str">
        <f t="shared" si="69"/>
        <v/>
      </c>
      <c r="E539" s="13" t="str">
        <f t="shared" si="70"/>
        <v/>
      </c>
      <c r="F539" s="13" t="str">
        <f t="shared" si="71"/>
        <v/>
      </c>
      <c r="G539" s="13" t="str">
        <f t="shared" si="72"/>
        <v/>
      </c>
      <c r="H539" s="13" t="str">
        <f t="shared" si="73"/>
        <v/>
      </c>
      <c r="I539" t="str">
        <f t="shared" si="74"/>
        <v/>
      </c>
    </row>
    <row r="540" spans="1:9">
      <c r="A540">
        <f>CSV!B540</f>
        <v>0</v>
      </c>
      <c r="B540" s="13" t="e">
        <f>INDEX(Input!$D$2:$AC$500,
       MATCH(CPU_Formula!A540, Input!$J$2:$J$500, 0),
       MATCH("CPU model", Input!$D$1:$AC$1, 0))</f>
        <v>#N/A</v>
      </c>
      <c r="C540" s="13" t="str">
        <f t="shared" si="68"/>
        <v/>
      </c>
      <c r="D540" s="13" t="str">
        <f t="shared" si="69"/>
        <v/>
      </c>
      <c r="E540" s="13" t="str">
        <f t="shared" si="70"/>
        <v/>
      </c>
      <c r="F540" s="13" t="str">
        <f t="shared" si="71"/>
        <v/>
      </c>
      <c r="G540" s="13" t="str">
        <f t="shared" si="72"/>
        <v/>
      </c>
      <c r="H540" s="13" t="str">
        <f t="shared" si="73"/>
        <v/>
      </c>
      <c r="I540" t="str">
        <f t="shared" si="74"/>
        <v/>
      </c>
    </row>
    <row r="541" spans="1:9">
      <c r="A541">
        <f>CSV!B541</f>
        <v>0</v>
      </c>
      <c r="B541" s="13" t="e">
        <f>INDEX(Input!$D$2:$AC$500,
       MATCH(CPU_Formula!A541, Input!$J$2:$J$500, 0),
       MATCH("CPU model", Input!$D$1:$AC$1, 0))</f>
        <v>#N/A</v>
      </c>
      <c r="C541" s="13" t="str">
        <f t="shared" si="68"/>
        <v/>
      </c>
      <c r="D541" s="13" t="str">
        <f t="shared" si="69"/>
        <v/>
      </c>
      <c r="E541" s="13" t="str">
        <f t="shared" si="70"/>
        <v/>
      </c>
      <c r="F541" s="13" t="str">
        <f t="shared" si="71"/>
        <v/>
      </c>
      <c r="G541" s="13" t="str">
        <f t="shared" si="72"/>
        <v/>
      </c>
      <c r="H541" s="13" t="str">
        <f t="shared" si="73"/>
        <v/>
      </c>
      <c r="I541" t="str">
        <f t="shared" si="74"/>
        <v/>
      </c>
    </row>
    <row r="542" spans="1:9">
      <c r="A542">
        <f>CSV!B542</f>
        <v>0</v>
      </c>
      <c r="B542" s="13" t="e">
        <f>INDEX(Input!$D$2:$AC$500,
       MATCH(CPU_Formula!A542, Input!$J$2:$J$500, 0),
       MATCH("CPU model", Input!$D$1:$AC$1, 0))</f>
        <v>#N/A</v>
      </c>
      <c r="C542" s="13" t="str">
        <f t="shared" si="68"/>
        <v/>
      </c>
      <c r="D542" s="13" t="str">
        <f t="shared" si="69"/>
        <v/>
      </c>
      <c r="E542" s="13" t="str">
        <f t="shared" si="70"/>
        <v/>
      </c>
      <c r="F542" s="13" t="str">
        <f t="shared" si="71"/>
        <v/>
      </c>
      <c r="G542" s="13" t="str">
        <f t="shared" si="72"/>
        <v/>
      </c>
      <c r="H542" s="13" t="str">
        <f t="shared" si="73"/>
        <v/>
      </c>
      <c r="I542" t="str">
        <f t="shared" si="74"/>
        <v/>
      </c>
    </row>
    <row r="543" spans="1:9">
      <c r="A543">
        <f>CSV!B543</f>
        <v>0</v>
      </c>
      <c r="B543" s="13" t="e">
        <f>INDEX(Input!$D$2:$AC$500,
       MATCH(CPU_Formula!A543, Input!$J$2:$J$500, 0),
       MATCH("CPU model", Input!$D$1:$AC$1, 0))</f>
        <v>#N/A</v>
      </c>
      <c r="C543" s="13" t="str">
        <f t="shared" si="68"/>
        <v/>
      </c>
      <c r="D543" s="13" t="str">
        <f t="shared" si="69"/>
        <v/>
      </c>
      <c r="E543" s="13" t="str">
        <f t="shared" si="70"/>
        <v/>
      </c>
      <c r="F543" s="13" t="str">
        <f t="shared" si="71"/>
        <v/>
      </c>
      <c r="G543" s="13" t="str">
        <f t="shared" si="72"/>
        <v/>
      </c>
      <c r="H543" s="13" t="str">
        <f t="shared" si="73"/>
        <v/>
      </c>
      <c r="I543" t="str">
        <f t="shared" si="74"/>
        <v/>
      </c>
    </row>
    <row r="544" spans="1:9">
      <c r="A544">
        <f>CSV!B544</f>
        <v>0</v>
      </c>
      <c r="B544" s="13" t="e">
        <f>INDEX(Input!$D$2:$AC$500,
       MATCH(CPU_Formula!A544, Input!$J$2:$J$500, 0),
       MATCH("CPU model", Input!$D$1:$AC$1, 0))</f>
        <v>#N/A</v>
      </c>
      <c r="C544" s="13" t="str">
        <f t="shared" si="68"/>
        <v/>
      </c>
      <c r="D544" s="13" t="str">
        <f t="shared" si="69"/>
        <v/>
      </c>
      <c r="E544" s="13" t="str">
        <f t="shared" si="70"/>
        <v/>
      </c>
      <c r="F544" s="13" t="str">
        <f t="shared" si="71"/>
        <v/>
      </c>
      <c r="G544" s="13" t="str">
        <f t="shared" si="72"/>
        <v/>
      </c>
      <c r="H544" s="13" t="str">
        <f t="shared" si="73"/>
        <v/>
      </c>
      <c r="I544" t="str">
        <f t="shared" si="74"/>
        <v/>
      </c>
    </row>
    <row r="545" spans="1:9">
      <c r="A545">
        <f>CSV!B545</f>
        <v>0</v>
      </c>
      <c r="B545" s="13" t="e">
        <f>INDEX(Input!$D$2:$AC$500,
       MATCH(CPU_Formula!A545, Input!$J$2:$J$500, 0),
       MATCH("CPU model", Input!$D$1:$AC$1, 0))</f>
        <v>#N/A</v>
      </c>
      <c r="C545" s="13" t="str">
        <f t="shared" si="68"/>
        <v/>
      </c>
      <c r="D545" s="13" t="str">
        <f t="shared" si="69"/>
        <v/>
      </c>
      <c r="E545" s="13" t="str">
        <f t="shared" si="70"/>
        <v/>
      </c>
      <c r="F545" s="13" t="str">
        <f t="shared" si="71"/>
        <v/>
      </c>
      <c r="G545" s="13" t="str">
        <f t="shared" si="72"/>
        <v/>
      </c>
      <c r="H545" s="13" t="str">
        <f t="shared" si="73"/>
        <v/>
      </c>
      <c r="I545" t="str">
        <f t="shared" si="74"/>
        <v/>
      </c>
    </row>
    <row r="546" spans="1:9">
      <c r="A546">
        <f>CSV!B546</f>
        <v>0</v>
      </c>
      <c r="B546" s="13" t="e">
        <f>INDEX(Input!$D$2:$AC$500,
       MATCH(CPU_Formula!A546, Input!$J$2:$J$500, 0),
       MATCH("CPU model", Input!$D$1:$AC$1, 0))</f>
        <v>#N/A</v>
      </c>
      <c r="C546" s="13" t="str">
        <f t="shared" si="68"/>
        <v/>
      </c>
      <c r="D546" s="13" t="str">
        <f t="shared" si="69"/>
        <v/>
      </c>
      <c r="E546" s="13" t="str">
        <f t="shared" si="70"/>
        <v/>
      </c>
      <c r="F546" s="13" t="str">
        <f t="shared" si="71"/>
        <v/>
      </c>
      <c r="G546" s="13" t="str">
        <f t="shared" si="72"/>
        <v/>
      </c>
      <c r="H546" s="13" t="str">
        <f t="shared" si="73"/>
        <v/>
      </c>
      <c r="I546" t="str">
        <f t="shared" si="74"/>
        <v/>
      </c>
    </row>
    <row r="547" spans="1:9">
      <c r="A547">
        <f>CSV!B547</f>
        <v>0</v>
      </c>
      <c r="B547" s="13" t="e">
        <f>INDEX(Input!$D$2:$AC$500,
       MATCH(CPU_Formula!A547, Input!$J$2:$J$500, 0),
       MATCH("CPU model", Input!$D$1:$AC$1, 0))</f>
        <v>#N/A</v>
      </c>
      <c r="C547" s="13" t="str">
        <f t="shared" si="68"/>
        <v/>
      </c>
      <c r="D547" s="13" t="str">
        <f t="shared" si="69"/>
        <v/>
      </c>
      <c r="E547" s="13" t="str">
        <f t="shared" si="70"/>
        <v/>
      </c>
      <c r="F547" s="13" t="str">
        <f t="shared" si="71"/>
        <v/>
      </c>
      <c r="G547" s="13" t="str">
        <f t="shared" si="72"/>
        <v/>
      </c>
      <c r="H547" s="13" t="str">
        <f t="shared" si="73"/>
        <v/>
      </c>
      <c r="I547" t="str">
        <f t="shared" si="74"/>
        <v/>
      </c>
    </row>
    <row r="548" spans="1:9">
      <c r="A548">
        <f>CSV!B548</f>
        <v>0</v>
      </c>
      <c r="B548" s="13" t="e">
        <f>INDEX(Input!$D$2:$AC$500,
       MATCH(CPU_Formula!A548, Input!$J$2:$J$500, 0),
       MATCH("CPU model", Input!$D$1:$AC$1, 0))</f>
        <v>#N/A</v>
      </c>
      <c r="C548" s="13" t="str">
        <f t="shared" si="68"/>
        <v/>
      </c>
      <c r="D548" s="13" t="str">
        <f t="shared" si="69"/>
        <v/>
      </c>
      <c r="E548" s="13" t="str">
        <f t="shared" si="70"/>
        <v/>
      </c>
      <c r="F548" s="13" t="str">
        <f t="shared" si="71"/>
        <v/>
      </c>
      <c r="G548" s="13" t="str">
        <f t="shared" si="72"/>
        <v/>
      </c>
      <c r="H548" s="13" t="str">
        <f t="shared" si="73"/>
        <v/>
      </c>
      <c r="I548" t="str">
        <f t="shared" si="74"/>
        <v/>
      </c>
    </row>
    <row r="549" spans="1:9">
      <c r="A549">
        <f>CSV!B549</f>
        <v>0</v>
      </c>
      <c r="B549" s="13" t="e">
        <f>INDEX(Input!$D$2:$AC$500,
       MATCH(CPU_Formula!A549, Input!$J$2:$J$500, 0),
       MATCH("CPU model", Input!$D$1:$AC$1, 0))</f>
        <v>#N/A</v>
      </c>
      <c r="C549" s="13" t="str">
        <f t="shared" si="68"/>
        <v/>
      </c>
      <c r="D549" s="13" t="str">
        <f t="shared" si="69"/>
        <v/>
      </c>
      <c r="E549" s="13" t="str">
        <f t="shared" si="70"/>
        <v/>
      </c>
      <c r="F549" s="13" t="str">
        <f t="shared" si="71"/>
        <v/>
      </c>
      <c r="G549" s="13" t="str">
        <f t="shared" si="72"/>
        <v/>
      </c>
      <c r="H549" s="13" t="str">
        <f t="shared" si="73"/>
        <v/>
      </c>
      <c r="I549" t="str">
        <f t="shared" si="74"/>
        <v/>
      </c>
    </row>
    <row r="550" spans="1:9">
      <c r="A550">
        <f>CSV!B550</f>
        <v>0</v>
      </c>
      <c r="B550" s="13" t="e">
        <f>INDEX(Input!$D$2:$AC$500,
       MATCH(CPU_Formula!A550, Input!$J$2:$J$500, 0),
       MATCH("CPU model", Input!$D$1:$AC$1, 0))</f>
        <v>#N/A</v>
      </c>
      <c r="C550" s="13" t="str">
        <f t="shared" si="68"/>
        <v/>
      </c>
      <c r="D550" s="13" t="str">
        <f t="shared" si="69"/>
        <v/>
      </c>
      <c r="E550" s="13" t="str">
        <f t="shared" si="70"/>
        <v/>
      </c>
      <c r="F550" s="13" t="str">
        <f t="shared" si="71"/>
        <v/>
      </c>
      <c r="G550" s="13" t="str">
        <f t="shared" si="72"/>
        <v/>
      </c>
      <c r="H550" s="13" t="str">
        <f t="shared" si="73"/>
        <v/>
      </c>
      <c r="I550" t="str">
        <f t="shared" si="74"/>
        <v/>
      </c>
    </row>
    <row r="551" spans="1:9">
      <c r="A551">
        <f>CSV!B551</f>
        <v>0</v>
      </c>
      <c r="B551" s="13" t="e">
        <f>INDEX(Input!$D$2:$AC$500,
       MATCH(CPU_Formula!A551, Input!$J$2:$J$500, 0),
       MATCH("CPU model", Input!$D$1:$AC$1, 0))</f>
        <v>#N/A</v>
      </c>
      <c r="C551" s="13" t="str">
        <f t="shared" si="68"/>
        <v/>
      </c>
      <c r="D551" s="13" t="str">
        <f t="shared" si="69"/>
        <v/>
      </c>
      <c r="E551" s="13" t="str">
        <f t="shared" si="70"/>
        <v/>
      </c>
      <c r="F551" s="13" t="str">
        <f t="shared" si="71"/>
        <v/>
      </c>
      <c r="G551" s="13" t="str">
        <f t="shared" si="72"/>
        <v/>
      </c>
      <c r="H551" s="13" t="str">
        <f t="shared" si="73"/>
        <v/>
      </c>
      <c r="I551" t="str">
        <f t="shared" si="74"/>
        <v/>
      </c>
    </row>
    <row r="552" spans="1:9">
      <c r="A552">
        <f>CSV!B552</f>
        <v>0</v>
      </c>
      <c r="B552" s="13" t="e">
        <f>INDEX(Input!$D$2:$AC$500,
       MATCH(CPU_Formula!A552, Input!$J$2:$J$500, 0),
       MATCH("CPU model", Input!$D$1:$AC$1, 0))</f>
        <v>#N/A</v>
      </c>
      <c r="C552" s="13" t="str">
        <f t="shared" ref="C552:C615" si="75">IFERROR(_xlfn.TEXTAFTER(B552,"Core(TM) "),IFERROR(_xlfn.TEXTAFTER(B552,"Xeon(R) CPU"),""))</f>
        <v/>
      </c>
      <c r="D552" s="13" t="str">
        <f t="shared" ref="D552:D615" si="76">IFERROR(_xlfn.TEXTAFTER(B552,"Ryzen "), "")</f>
        <v/>
      </c>
      <c r="E552" s="13" t="str">
        <f t="shared" ref="E552:E615" si="77">IF(ISNUMBER(SEARCH("Ultra", B552)), "Ultra"&amp;_xlfn.TEXTAFTER(B552, "Ultra"), "")</f>
        <v/>
      </c>
      <c r="F552" s="13" t="str">
        <f t="shared" ref="F552:F615" si="78">IF(C552&lt;&gt;"", TRIM(_xlfn.TEXTBEFORE(C552," ",,1,1)), "")</f>
        <v/>
      </c>
      <c r="G552" s="13" t="str">
        <f t="shared" ref="G552:G615" si="79">IF(D552&lt;&gt;"", TRIM(_xlfn.TEXTBEFORE(D552," ",,1)), "")</f>
        <v/>
      </c>
      <c r="H552" s="13" t="str">
        <f t="shared" ref="H552:H615" si="80">E552</f>
        <v/>
      </c>
      <c r="I552" t="str">
        <f t="shared" ref="I552:I615" si="81">IF(H552&lt;&gt;"",H552,IF(G552&lt;&gt;"",G552,F552))</f>
        <v/>
      </c>
    </row>
    <row r="553" spans="1:9">
      <c r="A553">
        <f>CSV!B553</f>
        <v>0</v>
      </c>
      <c r="B553" s="13" t="e">
        <f>INDEX(Input!$D$2:$AC$500,
       MATCH(CPU_Formula!A553, Input!$J$2:$J$500, 0),
       MATCH("CPU model", Input!$D$1:$AC$1, 0))</f>
        <v>#N/A</v>
      </c>
      <c r="C553" s="13" t="str">
        <f t="shared" si="75"/>
        <v/>
      </c>
      <c r="D553" s="13" t="str">
        <f t="shared" si="76"/>
        <v/>
      </c>
      <c r="E553" s="13" t="str">
        <f t="shared" si="77"/>
        <v/>
      </c>
      <c r="F553" s="13" t="str">
        <f t="shared" si="78"/>
        <v/>
      </c>
      <c r="G553" s="13" t="str">
        <f t="shared" si="79"/>
        <v/>
      </c>
      <c r="H553" s="13" t="str">
        <f t="shared" si="80"/>
        <v/>
      </c>
      <c r="I553" t="str">
        <f t="shared" si="81"/>
        <v/>
      </c>
    </row>
    <row r="554" spans="1:9">
      <c r="A554">
        <f>CSV!B554</f>
        <v>0</v>
      </c>
      <c r="B554" s="13" t="e">
        <f>INDEX(Input!$D$2:$AC$500,
       MATCH(CPU_Formula!A554, Input!$J$2:$J$500, 0),
       MATCH("CPU model", Input!$D$1:$AC$1, 0))</f>
        <v>#N/A</v>
      </c>
      <c r="C554" s="13" t="str">
        <f t="shared" si="75"/>
        <v/>
      </c>
      <c r="D554" s="13" t="str">
        <f t="shared" si="76"/>
        <v/>
      </c>
      <c r="E554" s="13" t="str">
        <f t="shared" si="77"/>
        <v/>
      </c>
      <c r="F554" s="13" t="str">
        <f t="shared" si="78"/>
        <v/>
      </c>
      <c r="G554" s="13" t="str">
        <f t="shared" si="79"/>
        <v/>
      </c>
      <c r="H554" s="13" t="str">
        <f t="shared" si="80"/>
        <v/>
      </c>
      <c r="I554" t="str">
        <f t="shared" si="81"/>
        <v/>
      </c>
    </row>
    <row r="555" spans="1:9">
      <c r="A555">
        <f>CSV!B555</f>
        <v>0</v>
      </c>
      <c r="B555" s="13" t="e">
        <f>INDEX(Input!$D$2:$AC$500,
       MATCH(CPU_Formula!A555, Input!$J$2:$J$500, 0),
       MATCH("CPU model", Input!$D$1:$AC$1, 0))</f>
        <v>#N/A</v>
      </c>
      <c r="C555" s="13" t="str">
        <f t="shared" si="75"/>
        <v/>
      </c>
      <c r="D555" s="13" t="str">
        <f t="shared" si="76"/>
        <v/>
      </c>
      <c r="E555" s="13" t="str">
        <f t="shared" si="77"/>
        <v/>
      </c>
      <c r="F555" s="13" t="str">
        <f t="shared" si="78"/>
        <v/>
      </c>
      <c r="G555" s="13" t="str">
        <f t="shared" si="79"/>
        <v/>
      </c>
      <c r="H555" s="13" t="str">
        <f t="shared" si="80"/>
        <v/>
      </c>
      <c r="I555" t="str">
        <f t="shared" si="81"/>
        <v/>
      </c>
    </row>
    <row r="556" spans="1:9">
      <c r="A556">
        <f>CSV!B556</f>
        <v>0</v>
      </c>
      <c r="B556" s="13" t="e">
        <f>INDEX(Input!$D$2:$AC$500,
       MATCH(CPU_Formula!A556, Input!$J$2:$J$500, 0),
       MATCH("CPU model", Input!$D$1:$AC$1, 0))</f>
        <v>#N/A</v>
      </c>
      <c r="C556" s="13" t="str">
        <f t="shared" si="75"/>
        <v/>
      </c>
      <c r="D556" s="13" t="str">
        <f t="shared" si="76"/>
        <v/>
      </c>
      <c r="E556" s="13" t="str">
        <f t="shared" si="77"/>
        <v/>
      </c>
      <c r="F556" s="13" t="str">
        <f t="shared" si="78"/>
        <v/>
      </c>
      <c r="G556" s="13" t="str">
        <f t="shared" si="79"/>
        <v/>
      </c>
      <c r="H556" s="13" t="str">
        <f t="shared" si="80"/>
        <v/>
      </c>
      <c r="I556" t="str">
        <f t="shared" si="81"/>
        <v/>
      </c>
    </row>
    <row r="557" spans="1:9">
      <c r="A557">
        <f>CSV!B557</f>
        <v>0</v>
      </c>
      <c r="B557" s="13" t="e">
        <f>INDEX(Input!$D$2:$AC$500,
       MATCH(CPU_Formula!A557, Input!$J$2:$J$500, 0),
       MATCH("CPU model", Input!$D$1:$AC$1, 0))</f>
        <v>#N/A</v>
      </c>
      <c r="C557" s="13" t="str">
        <f t="shared" si="75"/>
        <v/>
      </c>
      <c r="D557" s="13" t="str">
        <f t="shared" si="76"/>
        <v/>
      </c>
      <c r="E557" s="13" t="str">
        <f t="shared" si="77"/>
        <v/>
      </c>
      <c r="F557" s="13" t="str">
        <f t="shared" si="78"/>
        <v/>
      </c>
      <c r="G557" s="13" t="str">
        <f t="shared" si="79"/>
        <v/>
      </c>
      <c r="H557" s="13" t="str">
        <f t="shared" si="80"/>
        <v/>
      </c>
      <c r="I557" t="str">
        <f t="shared" si="81"/>
        <v/>
      </c>
    </row>
    <row r="558" spans="1:9">
      <c r="A558">
        <f>CSV!B558</f>
        <v>0</v>
      </c>
      <c r="B558" s="13" t="e">
        <f>INDEX(Input!$D$2:$AC$500,
       MATCH(CPU_Formula!A558, Input!$J$2:$J$500, 0),
       MATCH("CPU model", Input!$D$1:$AC$1, 0))</f>
        <v>#N/A</v>
      </c>
      <c r="C558" s="13" t="str">
        <f t="shared" si="75"/>
        <v/>
      </c>
      <c r="D558" s="13" t="str">
        <f t="shared" si="76"/>
        <v/>
      </c>
      <c r="E558" s="13" t="str">
        <f t="shared" si="77"/>
        <v/>
      </c>
      <c r="F558" s="13" t="str">
        <f t="shared" si="78"/>
        <v/>
      </c>
      <c r="G558" s="13" t="str">
        <f t="shared" si="79"/>
        <v/>
      </c>
      <c r="H558" s="13" t="str">
        <f t="shared" si="80"/>
        <v/>
      </c>
      <c r="I558" t="str">
        <f t="shared" si="81"/>
        <v/>
      </c>
    </row>
    <row r="559" spans="1:9">
      <c r="A559">
        <f>CSV!B559</f>
        <v>0</v>
      </c>
      <c r="B559" s="13" t="e">
        <f>INDEX(Input!$D$2:$AC$500,
       MATCH(CPU_Formula!A559, Input!$J$2:$J$500, 0),
       MATCH("CPU model", Input!$D$1:$AC$1, 0))</f>
        <v>#N/A</v>
      </c>
      <c r="C559" s="13" t="str">
        <f t="shared" si="75"/>
        <v/>
      </c>
      <c r="D559" s="13" t="str">
        <f t="shared" si="76"/>
        <v/>
      </c>
      <c r="E559" s="13" t="str">
        <f t="shared" si="77"/>
        <v/>
      </c>
      <c r="F559" s="13" t="str">
        <f t="shared" si="78"/>
        <v/>
      </c>
      <c r="G559" s="13" t="str">
        <f t="shared" si="79"/>
        <v/>
      </c>
      <c r="H559" s="13" t="str">
        <f t="shared" si="80"/>
        <v/>
      </c>
      <c r="I559" t="str">
        <f t="shared" si="81"/>
        <v/>
      </c>
    </row>
    <row r="560" spans="1:9">
      <c r="A560">
        <f>CSV!B560</f>
        <v>0</v>
      </c>
      <c r="B560" s="13" t="e">
        <f>INDEX(Input!$D$2:$AC$500,
       MATCH(CPU_Formula!A560, Input!$J$2:$J$500, 0),
       MATCH("CPU model", Input!$D$1:$AC$1, 0))</f>
        <v>#N/A</v>
      </c>
      <c r="C560" s="13" t="str">
        <f t="shared" si="75"/>
        <v/>
      </c>
      <c r="D560" s="13" t="str">
        <f t="shared" si="76"/>
        <v/>
      </c>
      <c r="E560" s="13" t="str">
        <f t="shared" si="77"/>
        <v/>
      </c>
      <c r="F560" s="13" t="str">
        <f t="shared" si="78"/>
        <v/>
      </c>
      <c r="G560" s="13" t="str">
        <f t="shared" si="79"/>
        <v/>
      </c>
      <c r="H560" s="13" t="str">
        <f t="shared" si="80"/>
        <v/>
      </c>
      <c r="I560" t="str">
        <f t="shared" si="81"/>
        <v/>
      </c>
    </row>
    <row r="561" spans="1:9">
      <c r="A561">
        <f>CSV!B561</f>
        <v>0</v>
      </c>
      <c r="B561" s="13" t="e">
        <f>INDEX(Input!$D$2:$AC$500,
       MATCH(CPU_Formula!A561, Input!$J$2:$J$500, 0),
       MATCH("CPU model", Input!$D$1:$AC$1, 0))</f>
        <v>#N/A</v>
      </c>
      <c r="C561" s="13" t="str">
        <f t="shared" si="75"/>
        <v/>
      </c>
      <c r="D561" s="13" t="str">
        <f t="shared" si="76"/>
        <v/>
      </c>
      <c r="E561" s="13" t="str">
        <f t="shared" si="77"/>
        <v/>
      </c>
      <c r="F561" s="13" t="str">
        <f t="shared" si="78"/>
        <v/>
      </c>
      <c r="G561" s="13" t="str">
        <f t="shared" si="79"/>
        <v/>
      </c>
      <c r="H561" s="13" t="str">
        <f t="shared" si="80"/>
        <v/>
      </c>
      <c r="I561" t="str">
        <f t="shared" si="81"/>
        <v/>
      </c>
    </row>
    <row r="562" spans="1:9">
      <c r="A562">
        <f>CSV!B562</f>
        <v>0</v>
      </c>
      <c r="B562" s="13" t="e">
        <f>INDEX(Input!$D$2:$AC$500,
       MATCH(CPU_Formula!A562, Input!$J$2:$J$500, 0),
       MATCH("CPU model", Input!$D$1:$AC$1, 0))</f>
        <v>#N/A</v>
      </c>
      <c r="C562" s="13" t="str">
        <f t="shared" si="75"/>
        <v/>
      </c>
      <c r="D562" s="13" t="str">
        <f t="shared" si="76"/>
        <v/>
      </c>
      <c r="E562" s="13" t="str">
        <f t="shared" si="77"/>
        <v/>
      </c>
      <c r="F562" s="13" t="str">
        <f t="shared" si="78"/>
        <v/>
      </c>
      <c r="G562" s="13" t="str">
        <f t="shared" si="79"/>
        <v/>
      </c>
      <c r="H562" s="13" t="str">
        <f t="shared" si="80"/>
        <v/>
      </c>
      <c r="I562" t="str">
        <f t="shared" si="81"/>
        <v/>
      </c>
    </row>
    <row r="563" spans="1:9">
      <c r="A563">
        <f>CSV!B563</f>
        <v>0</v>
      </c>
      <c r="B563" s="13" t="e">
        <f>INDEX(Input!$D$2:$AC$500,
       MATCH(CPU_Formula!A563, Input!$J$2:$J$500, 0),
       MATCH("CPU model", Input!$D$1:$AC$1, 0))</f>
        <v>#N/A</v>
      </c>
      <c r="C563" s="13" t="str">
        <f t="shared" si="75"/>
        <v/>
      </c>
      <c r="D563" s="13" t="str">
        <f t="shared" si="76"/>
        <v/>
      </c>
      <c r="E563" s="13" t="str">
        <f t="shared" si="77"/>
        <v/>
      </c>
      <c r="F563" s="13" t="str">
        <f t="shared" si="78"/>
        <v/>
      </c>
      <c r="G563" s="13" t="str">
        <f t="shared" si="79"/>
        <v/>
      </c>
      <c r="H563" s="13" t="str">
        <f t="shared" si="80"/>
        <v/>
      </c>
      <c r="I563" t="str">
        <f t="shared" si="81"/>
        <v/>
      </c>
    </row>
    <row r="564" spans="1:9">
      <c r="A564">
        <f>CSV!B564</f>
        <v>0</v>
      </c>
      <c r="B564" s="13" t="e">
        <f>INDEX(Input!$D$2:$AC$500,
       MATCH(CPU_Formula!A564, Input!$J$2:$J$500, 0),
       MATCH("CPU model", Input!$D$1:$AC$1, 0))</f>
        <v>#N/A</v>
      </c>
      <c r="C564" s="13" t="str">
        <f t="shared" si="75"/>
        <v/>
      </c>
      <c r="D564" s="13" t="str">
        <f t="shared" si="76"/>
        <v/>
      </c>
      <c r="E564" s="13" t="str">
        <f t="shared" si="77"/>
        <v/>
      </c>
      <c r="F564" s="13" t="str">
        <f t="shared" si="78"/>
        <v/>
      </c>
      <c r="G564" s="13" t="str">
        <f t="shared" si="79"/>
        <v/>
      </c>
      <c r="H564" s="13" t="str">
        <f t="shared" si="80"/>
        <v/>
      </c>
      <c r="I564" t="str">
        <f t="shared" si="81"/>
        <v/>
      </c>
    </row>
    <row r="565" spans="1:9">
      <c r="A565">
        <f>CSV!B565</f>
        <v>0</v>
      </c>
      <c r="B565" s="13" t="e">
        <f>INDEX(Input!$D$2:$AC$500,
       MATCH(CPU_Formula!A565, Input!$J$2:$J$500, 0),
       MATCH("CPU model", Input!$D$1:$AC$1, 0))</f>
        <v>#N/A</v>
      </c>
      <c r="C565" s="13" t="str">
        <f t="shared" si="75"/>
        <v/>
      </c>
      <c r="D565" s="13" t="str">
        <f t="shared" si="76"/>
        <v/>
      </c>
      <c r="E565" s="13" t="str">
        <f t="shared" si="77"/>
        <v/>
      </c>
      <c r="F565" s="13" t="str">
        <f t="shared" si="78"/>
        <v/>
      </c>
      <c r="G565" s="13" t="str">
        <f t="shared" si="79"/>
        <v/>
      </c>
      <c r="H565" s="13" t="str">
        <f t="shared" si="80"/>
        <v/>
      </c>
      <c r="I565" t="str">
        <f t="shared" si="81"/>
        <v/>
      </c>
    </row>
    <row r="566" spans="1:9">
      <c r="A566">
        <f>CSV!B566</f>
        <v>0</v>
      </c>
      <c r="B566" s="13" t="e">
        <f>INDEX(Input!$D$2:$AC$500,
       MATCH(CPU_Formula!A566, Input!$J$2:$J$500, 0),
       MATCH("CPU model", Input!$D$1:$AC$1, 0))</f>
        <v>#N/A</v>
      </c>
      <c r="C566" s="13" t="str">
        <f t="shared" si="75"/>
        <v/>
      </c>
      <c r="D566" s="13" t="str">
        <f t="shared" si="76"/>
        <v/>
      </c>
      <c r="E566" s="13" t="str">
        <f t="shared" si="77"/>
        <v/>
      </c>
      <c r="F566" s="13" t="str">
        <f t="shared" si="78"/>
        <v/>
      </c>
      <c r="G566" s="13" t="str">
        <f t="shared" si="79"/>
        <v/>
      </c>
      <c r="H566" s="13" t="str">
        <f t="shared" si="80"/>
        <v/>
      </c>
      <c r="I566" t="str">
        <f t="shared" si="81"/>
        <v/>
      </c>
    </row>
    <row r="567" spans="1:9">
      <c r="A567">
        <f>CSV!B567</f>
        <v>0</v>
      </c>
      <c r="B567" s="13" t="e">
        <f>INDEX(Input!$D$2:$AC$500,
       MATCH(CPU_Formula!A567, Input!$J$2:$J$500, 0),
       MATCH("CPU model", Input!$D$1:$AC$1, 0))</f>
        <v>#N/A</v>
      </c>
      <c r="C567" s="13" t="str">
        <f t="shared" si="75"/>
        <v/>
      </c>
      <c r="D567" s="13" t="str">
        <f t="shared" si="76"/>
        <v/>
      </c>
      <c r="E567" s="13" t="str">
        <f t="shared" si="77"/>
        <v/>
      </c>
      <c r="F567" s="13" t="str">
        <f t="shared" si="78"/>
        <v/>
      </c>
      <c r="G567" s="13" t="str">
        <f t="shared" si="79"/>
        <v/>
      </c>
      <c r="H567" s="13" t="str">
        <f t="shared" si="80"/>
        <v/>
      </c>
      <c r="I567" t="str">
        <f t="shared" si="81"/>
        <v/>
      </c>
    </row>
    <row r="568" spans="1:9">
      <c r="A568">
        <f>CSV!B568</f>
        <v>0</v>
      </c>
      <c r="B568" s="13" t="e">
        <f>INDEX(Input!$D$2:$AC$500,
       MATCH(CPU_Formula!A568, Input!$J$2:$J$500, 0),
       MATCH("CPU model", Input!$D$1:$AC$1, 0))</f>
        <v>#N/A</v>
      </c>
      <c r="C568" s="13" t="str">
        <f t="shared" si="75"/>
        <v/>
      </c>
      <c r="D568" s="13" t="str">
        <f t="shared" si="76"/>
        <v/>
      </c>
      <c r="E568" s="13" t="str">
        <f t="shared" si="77"/>
        <v/>
      </c>
      <c r="F568" s="13" t="str">
        <f t="shared" si="78"/>
        <v/>
      </c>
      <c r="G568" s="13" t="str">
        <f t="shared" si="79"/>
        <v/>
      </c>
      <c r="H568" s="13" t="str">
        <f t="shared" si="80"/>
        <v/>
      </c>
      <c r="I568" t="str">
        <f t="shared" si="81"/>
        <v/>
      </c>
    </row>
    <row r="569" spans="1:9">
      <c r="A569">
        <f>CSV!B569</f>
        <v>0</v>
      </c>
      <c r="B569" s="13" t="e">
        <f>INDEX(Input!$D$2:$AC$500,
       MATCH(CPU_Formula!A569, Input!$J$2:$J$500, 0),
       MATCH("CPU model", Input!$D$1:$AC$1, 0))</f>
        <v>#N/A</v>
      </c>
      <c r="C569" s="13" t="str">
        <f t="shared" si="75"/>
        <v/>
      </c>
      <c r="D569" s="13" t="str">
        <f t="shared" si="76"/>
        <v/>
      </c>
      <c r="E569" s="13" t="str">
        <f t="shared" si="77"/>
        <v/>
      </c>
      <c r="F569" s="13" t="str">
        <f t="shared" si="78"/>
        <v/>
      </c>
      <c r="G569" s="13" t="str">
        <f t="shared" si="79"/>
        <v/>
      </c>
      <c r="H569" s="13" t="str">
        <f t="shared" si="80"/>
        <v/>
      </c>
      <c r="I569" t="str">
        <f t="shared" si="81"/>
        <v/>
      </c>
    </row>
    <row r="570" spans="1:9">
      <c r="A570">
        <f>CSV!B570</f>
        <v>0</v>
      </c>
      <c r="B570" s="13" t="e">
        <f>INDEX(Input!$D$2:$AC$500,
       MATCH(CPU_Formula!A570, Input!$J$2:$J$500, 0),
       MATCH("CPU model", Input!$D$1:$AC$1, 0))</f>
        <v>#N/A</v>
      </c>
      <c r="C570" s="13" t="str">
        <f t="shared" si="75"/>
        <v/>
      </c>
      <c r="D570" s="13" t="str">
        <f t="shared" si="76"/>
        <v/>
      </c>
      <c r="E570" s="13" t="str">
        <f t="shared" si="77"/>
        <v/>
      </c>
      <c r="F570" s="13" t="str">
        <f t="shared" si="78"/>
        <v/>
      </c>
      <c r="G570" s="13" t="str">
        <f t="shared" si="79"/>
        <v/>
      </c>
      <c r="H570" s="13" t="str">
        <f t="shared" si="80"/>
        <v/>
      </c>
      <c r="I570" t="str">
        <f t="shared" si="81"/>
        <v/>
      </c>
    </row>
    <row r="571" spans="1:9">
      <c r="A571">
        <f>CSV!B571</f>
        <v>0</v>
      </c>
      <c r="B571" s="13" t="e">
        <f>INDEX(Input!$D$2:$AC$500,
       MATCH(CPU_Formula!A571, Input!$J$2:$J$500, 0),
       MATCH("CPU model", Input!$D$1:$AC$1, 0))</f>
        <v>#N/A</v>
      </c>
      <c r="C571" s="13" t="str">
        <f t="shared" si="75"/>
        <v/>
      </c>
      <c r="D571" s="13" t="str">
        <f t="shared" si="76"/>
        <v/>
      </c>
      <c r="E571" s="13" t="str">
        <f t="shared" si="77"/>
        <v/>
      </c>
      <c r="F571" s="13" t="str">
        <f t="shared" si="78"/>
        <v/>
      </c>
      <c r="G571" s="13" t="str">
        <f t="shared" si="79"/>
        <v/>
      </c>
      <c r="H571" s="13" t="str">
        <f t="shared" si="80"/>
        <v/>
      </c>
      <c r="I571" t="str">
        <f t="shared" si="81"/>
        <v/>
      </c>
    </row>
    <row r="572" spans="1:9">
      <c r="A572">
        <f>CSV!B572</f>
        <v>0</v>
      </c>
      <c r="B572" s="13" t="e">
        <f>INDEX(Input!$D$2:$AC$500,
       MATCH(CPU_Formula!A572, Input!$J$2:$J$500, 0),
       MATCH("CPU model", Input!$D$1:$AC$1, 0))</f>
        <v>#N/A</v>
      </c>
      <c r="C572" s="13" t="str">
        <f t="shared" si="75"/>
        <v/>
      </c>
      <c r="D572" s="13" t="str">
        <f t="shared" si="76"/>
        <v/>
      </c>
      <c r="E572" s="13" t="str">
        <f t="shared" si="77"/>
        <v/>
      </c>
      <c r="F572" s="13" t="str">
        <f t="shared" si="78"/>
        <v/>
      </c>
      <c r="G572" s="13" t="str">
        <f t="shared" si="79"/>
        <v/>
      </c>
      <c r="H572" s="13" t="str">
        <f t="shared" si="80"/>
        <v/>
      </c>
      <c r="I572" t="str">
        <f t="shared" si="81"/>
        <v/>
      </c>
    </row>
    <row r="573" spans="1:9">
      <c r="A573">
        <f>CSV!B573</f>
        <v>0</v>
      </c>
      <c r="B573" s="13" t="e">
        <f>INDEX(Input!$D$2:$AC$500,
       MATCH(CPU_Formula!A573, Input!$J$2:$J$500, 0),
       MATCH("CPU model", Input!$D$1:$AC$1, 0))</f>
        <v>#N/A</v>
      </c>
      <c r="C573" s="13" t="str">
        <f t="shared" si="75"/>
        <v/>
      </c>
      <c r="D573" s="13" t="str">
        <f t="shared" si="76"/>
        <v/>
      </c>
      <c r="E573" s="13" t="str">
        <f t="shared" si="77"/>
        <v/>
      </c>
      <c r="F573" s="13" t="str">
        <f t="shared" si="78"/>
        <v/>
      </c>
      <c r="G573" s="13" t="str">
        <f t="shared" si="79"/>
        <v/>
      </c>
      <c r="H573" s="13" t="str">
        <f t="shared" si="80"/>
        <v/>
      </c>
      <c r="I573" t="str">
        <f t="shared" si="81"/>
        <v/>
      </c>
    </row>
    <row r="574" spans="1:9">
      <c r="A574">
        <f>CSV!B574</f>
        <v>0</v>
      </c>
      <c r="B574" s="13" t="e">
        <f>INDEX(Input!$D$2:$AC$500,
       MATCH(CPU_Formula!A574, Input!$J$2:$J$500, 0),
       MATCH("CPU model", Input!$D$1:$AC$1, 0))</f>
        <v>#N/A</v>
      </c>
      <c r="C574" s="13" t="str">
        <f t="shared" si="75"/>
        <v/>
      </c>
      <c r="D574" s="13" t="str">
        <f t="shared" si="76"/>
        <v/>
      </c>
      <c r="E574" s="13" t="str">
        <f t="shared" si="77"/>
        <v/>
      </c>
      <c r="F574" s="13" t="str">
        <f t="shared" si="78"/>
        <v/>
      </c>
      <c r="G574" s="13" t="str">
        <f t="shared" si="79"/>
        <v/>
      </c>
      <c r="H574" s="13" t="str">
        <f t="shared" si="80"/>
        <v/>
      </c>
      <c r="I574" t="str">
        <f t="shared" si="81"/>
        <v/>
      </c>
    </row>
    <row r="575" spans="1:9">
      <c r="A575">
        <f>CSV!B575</f>
        <v>0</v>
      </c>
      <c r="B575" s="13" t="e">
        <f>INDEX(Input!$D$2:$AC$500,
       MATCH(CPU_Formula!A575, Input!$J$2:$J$500, 0),
       MATCH("CPU model", Input!$D$1:$AC$1, 0))</f>
        <v>#N/A</v>
      </c>
      <c r="C575" s="13" t="str">
        <f t="shared" si="75"/>
        <v/>
      </c>
      <c r="D575" s="13" t="str">
        <f t="shared" si="76"/>
        <v/>
      </c>
      <c r="E575" s="13" t="str">
        <f t="shared" si="77"/>
        <v/>
      </c>
      <c r="F575" s="13" t="str">
        <f t="shared" si="78"/>
        <v/>
      </c>
      <c r="G575" s="13" t="str">
        <f t="shared" si="79"/>
        <v/>
      </c>
      <c r="H575" s="13" t="str">
        <f t="shared" si="80"/>
        <v/>
      </c>
      <c r="I575" t="str">
        <f t="shared" si="81"/>
        <v/>
      </c>
    </row>
    <row r="576" spans="1:9">
      <c r="A576">
        <f>CSV!B576</f>
        <v>0</v>
      </c>
      <c r="B576" s="13" t="e">
        <f>INDEX(Input!$D$2:$AC$500,
       MATCH(CPU_Formula!A576, Input!$J$2:$J$500, 0),
       MATCH("CPU model", Input!$D$1:$AC$1, 0))</f>
        <v>#N/A</v>
      </c>
      <c r="C576" s="13" t="str">
        <f t="shared" si="75"/>
        <v/>
      </c>
      <c r="D576" s="13" t="str">
        <f t="shared" si="76"/>
        <v/>
      </c>
      <c r="E576" s="13" t="str">
        <f t="shared" si="77"/>
        <v/>
      </c>
      <c r="F576" s="13" t="str">
        <f t="shared" si="78"/>
        <v/>
      </c>
      <c r="G576" s="13" t="str">
        <f t="shared" si="79"/>
        <v/>
      </c>
      <c r="H576" s="13" t="str">
        <f t="shared" si="80"/>
        <v/>
      </c>
      <c r="I576" t="str">
        <f t="shared" si="81"/>
        <v/>
      </c>
    </row>
    <row r="577" spans="1:9">
      <c r="A577">
        <f>CSV!B577</f>
        <v>0</v>
      </c>
      <c r="B577" s="13" t="e">
        <f>INDEX(Input!$D$2:$AC$500,
       MATCH(CPU_Formula!A577, Input!$J$2:$J$500, 0),
       MATCH("CPU model", Input!$D$1:$AC$1, 0))</f>
        <v>#N/A</v>
      </c>
      <c r="C577" s="13" t="str">
        <f t="shared" si="75"/>
        <v/>
      </c>
      <c r="D577" s="13" t="str">
        <f t="shared" si="76"/>
        <v/>
      </c>
      <c r="E577" s="13" t="str">
        <f t="shared" si="77"/>
        <v/>
      </c>
      <c r="F577" s="13" t="str">
        <f t="shared" si="78"/>
        <v/>
      </c>
      <c r="G577" s="13" t="str">
        <f t="shared" si="79"/>
        <v/>
      </c>
      <c r="H577" s="13" t="str">
        <f t="shared" si="80"/>
        <v/>
      </c>
      <c r="I577" t="str">
        <f t="shared" si="81"/>
        <v/>
      </c>
    </row>
    <row r="578" spans="1:9">
      <c r="A578">
        <f>CSV!B578</f>
        <v>0</v>
      </c>
      <c r="B578" s="13" t="e">
        <f>INDEX(Input!$D$2:$AC$500,
       MATCH(CPU_Formula!A578, Input!$J$2:$J$500, 0),
       MATCH("CPU model", Input!$D$1:$AC$1, 0))</f>
        <v>#N/A</v>
      </c>
      <c r="C578" s="13" t="str">
        <f t="shared" si="75"/>
        <v/>
      </c>
      <c r="D578" s="13" t="str">
        <f t="shared" si="76"/>
        <v/>
      </c>
      <c r="E578" s="13" t="str">
        <f t="shared" si="77"/>
        <v/>
      </c>
      <c r="F578" s="13" t="str">
        <f t="shared" si="78"/>
        <v/>
      </c>
      <c r="G578" s="13" t="str">
        <f t="shared" si="79"/>
        <v/>
      </c>
      <c r="H578" s="13" t="str">
        <f t="shared" si="80"/>
        <v/>
      </c>
      <c r="I578" t="str">
        <f t="shared" si="81"/>
        <v/>
      </c>
    </row>
    <row r="579" spans="1:9">
      <c r="A579">
        <f>CSV!B579</f>
        <v>0</v>
      </c>
      <c r="B579" s="13" t="e">
        <f>INDEX(Input!$D$2:$AC$500,
       MATCH(CPU_Formula!A579, Input!$J$2:$J$500, 0),
       MATCH("CPU model", Input!$D$1:$AC$1, 0))</f>
        <v>#N/A</v>
      </c>
      <c r="C579" s="13" t="str">
        <f t="shared" si="75"/>
        <v/>
      </c>
      <c r="D579" s="13" t="str">
        <f t="shared" si="76"/>
        <v/>
      </c>
      <c r="E579" s="13" t="str">
        <f t="shared" si="77"/>
        <v/>
      </c>
      <c r="F579" s="13" t="str">
        <f t="shared" si="78"/>
        <v/>
      </c>
      <c r="G579" s="13" t="str">
        <f t="shared" si="79"/>
        <v/>
      </c>
      <c r="H579" s="13" t="str">
        <f t="shared" si="80"/>
        <v/>
      </c>
      <c r="I579" t="str">
        <f t="shared" si="81"/>
        <v/>
      </c>
    </row>
    <row r="580" spans="1:9">
      <c r="A580">
        <f>CSV!B580</f>
        <v>0</v>
      </c>
      <c r="B580" s="13" t="e">
        <f>INDEX(Input!$D$2:$AC$500,
       MATCH(CPU_Formula!A580, Input!$J$2:$J$500, 0),
       MATCH("CPU model", Input!$D$1:$AC$1, 0))</f>
        <v>#N/A</v>
      </c>
      <c r="C580" s="13" t="str">
        <f t="shared" si="75"/>
        <v/>
      </c>
      <c r="D580" s="13" t="str">
        <f t="shared" si="76"/>
        <v/>
      </c>
      <c r="E580" s="13" t="str">
        <f t="shared" si="77"/>
        <v/>
      </c>
      <c r="F580" s="13" t="str">
        <f t="shared" si="78"/>
        <v/>
      </c>
      <c r="G580" s="13" t="str">
        <f t="shared" si="79"/>
        <v/>
      </c>
      <c r="H580" s="13" t="str">
        <f t="shared" si="80"/>
        <v/>
      </c>
      <c r="I580" t="str">
        <f t="shared" si="81"/>
        <v/>
      </c>
    </row>
    <row r="581" spans="1:9">
      <c r="A581">
        <f>CSV!B581</f>
        <v>0</v>
      </c>
      <c r="B581" s="13" t="e">
        <f>INDEX(Input!$D$2:$AC$500,
       MATCH(CPU_Formula!A581, Input!$J$2:$J$500, 0),
       MATCH("CPU model", Input!$D$1:$AC$1, 0))</f>
        <v>#N/A</v>
      </c>
      <c r="C581" s="13" t="str">
        <f t="shared" si="75"/>
        <v/>
      </c>
      <c r="D581" s="13" t="str">
        <f t="shared" si="76"/>
        <v/>
      </c>
      <c r="E581" s="13" t="str">
        <f t="shared" si="77"/>
        <v/>
      </c>
      <c r="F581" s="13" t="str">
        <f t="shared" si="78"/>
        <v/>
      </c>
      <c r="G581" s="13" t="str">
        <f t="shared" si="79"/>
        <v/>
      </c>
      <c r="H581" s="13" t="str">
        <f t="shared" si="80"/>
        <v/>
      </c>
      <c r="I581" t="str">
        <f t="shared" si="81"/>
        <v/>
      </c>
    </row>
    <row r="582" spans="1:9">
      <c r="A582">
        <f>CSV!B582</f>
        <v>0</v>
      </c>
      <c r="B582" s="13" t="e">
        <f>INDEX(Input!$D$2:$AC$500,
       MATCH(CPU_Formula!A582, Input!$J$2:$J$500, 0),
       MATCH("CPU model", Input!$D$1:$AC$1, 0))</f>
        <v>#N/A</v>
      </c>
      <c r="C582" s="13" t="str">
        <f t="shared" si="75"/>
        <v/>
      </c>
      <c r="D582" s="13" t="str">
        <f t="shared" si="76"/>
        <v/>
      </c>
      <c r="E582" s="13" t="str">
        <f t="shared" si="77"/>
        <v/>
      </c>
      <c r="F582" s="13" t="str">
        <f t="shared" si="78"/>
        <v/>
      </c>
      <c r="G582" s="13" t="str">
        <f t="shared" si="79"/>
        <v/>
      </c>
      <c r="H582" s="13" t="str">
        <f t="shared" si="80"/>
        <v/>
      </c>
      <c r="I582" t="str">
        <f t="shared" si="81"/>
        <v/>
      </c>
    </row>
    <row r="583" spans="1:9">
      <c r="A583">
        <f>CSV!B583</f>
        <v>0</v>
      </c>
      <c r="B583" s="13" t="e">
        <f>INDEX(Input!$D$2:$AC$500,
       MATCH(CPU_Formula!A583, Input!$J$2:$J$500, 0),
       MATCH("CPU model", Input!$D$1:$AC$1, 0))</f>
        <v>#N/A</v>
      </c>
      <c r="C583" s="13" t="str">
        <f t="shared" si="75"/>
        <v/>
      </c>
      <c r="D583" s="13" t="str">
        <f t="shared" si="76"/>
        <v/>
      </c>
      <c r="E583" s="13" t="str">
        <f t="shared" si="77"/>
        <v/>
      </c>
      <c r="F583" s="13" t="str">
        <f t="shared" si="78"/>
        <v/>
      </c>
      <c r="G583" s="13" t="str">
        <f t="shared" si="79"/>
        <v/>
      </c>
      <c r="H583" s="13" t="str">
        <f t="shared" si="80"/>
        <v/>
      </c>
      <c r="I583" t="str">
        <f t="shared" si="81"/>
        <v/>
      </c>
    </row>
    <row r="584" spans="1:9">
      <c r="A584">
        <f>CSV!B584</f>
        <v>0</v>
      </c>
      <c r="B584" s="13" t="e">
        <f>INDEX(Input!$D$2:$AC$500,
       MATCH(CPU_Formula!A584, Input!$J$2:$J$500, 0),
       MATCH("CPU model", Input!$D$1:$AC$1, 0))</f>
        <v>#N/A</v>
      </c>
      <c r="C584" s="13" t="str">
        <f t="shared" si="75"/>
        <v/>
      </c>
      <c r="D584" s="13" t="str">
        <f t="shared" si="76"/>
        <v/>
      </c>
      <c r="E584" s="13" t="str">
        <f t="shared" si="77"/>
        <v/>
      </c>
      <c r="F584" s="13" t="str">
        <f t="shared" si="78"/>
        <v/>
      </c>
      <c r="G584" s="13" t="str">
        <f t="shared" si="79"/>
        <v/>
      </c>
      <c r="H584" s="13" t="str">
        <f t="shared" si="80"/>
        <v/>
      </c>
      <c r="I584" t="str">
        <f t="shared" si="81"/>
        <v/>
      </c>
    </row>
    <row r="585" spans="1:9">
      <c r="A585">
        <f>CSV!B585</f>
        <v>0</v>
      </c>
      <c r="B585" s="13" t="e">
        <f>INDEX(Input!$D$2:$AC$500,
       MATCH(CPU_Formula!A585, Input!$J$2:$J$500, 0),
       MATCH("CPU model", Input!$D$1:$AC$1, 0))</f>
        <v>#N/A</v>
      </c>
      <c r="C585" s="13" t="str">
        <f t="shared" si="75"/>
        <v/>
      </c>
      <c r="D585" s="13" t="str">
        <f t="shared" si="76"/>
        <v/>
      </c>
      <c r="E585" s="13" t="str">
        <f t="shared" si="77"/>
        <v/>
      </c>
      <c r="F585" s="13" t="str">
        <f t="shared" si="78"/>
        <v/>
      </c>
      <c r="G585" s="13" t="str">
        <f t="shared" si="79"/>
        <v/>
      </c>
      <c r="H585" s="13" t="str">
        <f t="shared" si="80"/>
        <v/>
      </c>
      <c r="I585" t="str">
        <f t="shared" si="81"/>
        <v/>
      </c>
    </row>
    <row r="586" spans="1:9">
      <c r="A586">
        <f>CSV!B586</f>
        <v>0</v>
      </c>
      <c r="B586" s="13" t="e">
        <f>INDEX(Input!$D$2:$AC$500,
       MATCH(CPU_Formula!A586, Input!$J$2:$J$500, 0),
       MATCH("CPU model", Input!$D$1:$AC$1, 0))</f>
        <v>#N/A</v>
      </c>
      <c r="C586" s="13" t="str">
        <f t="shared" si="75"/>
        <v/>
      </c>
      <c r="D586" s="13" t="str">
        <f t="shared" si="76"/>
        <v/>
      </c>
      <c r="E586" s="13" t="str">
        <f t="shared" si="77"/>
        <v/>
      </c>
      <c r="F586" s="13" t="str">
        <f t="shared" si="78"/>
        <v/>
      </c>
      <c r="G586" s="13" t="str">
        <f t="shared" si="79"/>
        <v/>
      </c>
      <c r="H586" s="13" t="str">
        <f t="shared" si="80"/>
        <v/>
      </c>
      <c r="I586" t="str">
        <f t="shared" si="81"/>
        <v/>
      </c>
    </row>
    <row r="587" spans="1:9">
      <c r="A587">
        <f>CSV!B587</f>
        <v>0</v>
      </c>
      <c r="B587" s="13" t="e">
        <f>INDEX(Input!$D$2:$AC$500,
       MATCH(CPU_Formula!A587, Input!$J$2:$J$500, 0),
       MATCH("CPU model", Input!$D$1:$AC$1, 0))</f>
        <v>#N/A</v>
      </c>
      <c r="C587" s="13" t="str">
        <f t="shared" si="75"/>
        <v/>
      </c>
      <c r="D587" s="13" t="str">
        <f t="shared" si="76"/>
        <v/>
      </c>
      <c r="E587" s="13" t="str">
        <f t="shared" si="77"/>
        <v/>
      </c>
      <c r="F587" s="13" t="str">
        <f t="shared" si="78"/>
        <v/>
      </c>
      <c r="G587" s="13" t="str">
        <f t="shared" si="79"/>
        <v/>
      </c>
      <c r="H587" s="13" t="str">
        <f t="shared" si="80"/>
        <v/>
      </c>
      <c r="I587" t="str">
        <f t="shared" si="81"/>
        <v/>
      </c>
    </row>
    <row r="588" spans="1:9">
      <c r="A588">
        <f>CSV!B588</f>
        <v>0</v>
      </c>
      <c r="B588" s="13" t="e">
        <f>INDEX(Input!$D$2:$AC$500,
       MATCH(CPU_Formula!A588, Input!$J$2:$J$500, 0),
       MATCH("CPU model", Input!$D$1:$AC$1, 0))</f>
        <v>#N/A</v>
      </c>
      <c r="C588" s="13" t="str">
        <f t="shared" si="75"/>
        <v/>
      </c>
      <c r="D588" s="13" t="str">
        <f t="shared" si="76"/>
        <v/>
      </c>
      <c r="E588" s="13" t="str">
        <f t="shared" si="77"/>
        <v/>
      </c>
      <c r="F588" s="13" t="str">
        <f t="shared" si="78"/>
        <v/>
      </c>
      <c r="G588" s="13" t="str">
        <f t="shared" si="79"/>
        <v/>
      </c>
      <c r="H588" s="13" t="str">
        <f t="shared" si="80"/>
        <v/>
      </c>
      <c r="I588" t="str">
        <f t="shared" si="81"/>
        <v/>
      </c>
    </row>
    <row r="589" spans="1:9">
      <c r="A589">
        <f>CSV!B589</f>
        <v>0</v>
      </c>
      <c r="B589" s="13" t="e">
        <f>INDEX(Input!$D$2:$AC$500,
       MATCH(CPU_Formula!A589, Input!$J$2:$J$500, 0),
       MATCH("CPU model", Input!$D$1:$AC$1, 0))</f>
        <v>#N/A</v>
      </c>
      <c r="C589" s="13" t="str">
        <f t="shared" si="75"/>
        <v/>
      </c>
      <c r="D589" s="13" t="str">
        <f t="shared" si="76"/>
        <v/>
      </c>
      <c r="E589" s="13" t="str">
        <f t="shared" si="77"/>
        <v/>
      </c>
      <c r="F589" s="13" t="str">
        <f t="shared" si="78"/>
        <v/>
      </c>
      <c r="G589" s="13" t="str">
        <f t="shared" si="79"/>
        <v/>
      </c>
      <c r="H589" s="13" t="str">
        <f t="shared" si="80"/>
        <v/>
      </c>
      <c r="I589" t="str">
        <f t="shared" si="81"/>
        <v/>
      </c>
    </row>
    <row r="590" spans="1:9">
      <c r="A590">
        <f>CSV!B590</f>
        <v>0</v>
      </c>
      <c r="B590" s="13" t="e">
        <f>INDEX(Input!$D$2:$AC$500,
       MATCH(CPU_Formula!A590, Input!$J$2:$J$500, 0),
       MATCH("CPU model", Input!$D$1:$AC$1, 0))</f>
        <v>#N/A</v>
      </c>
      <c r="C590" s="13" t="str">
        <f t="shared" si="75"/>
        <v/>
      </c>
      <c r="D590" s="13" t="str">
        <f t="shared" si="76"/>
        <v/>
      </c>
      <c r="E590" s="13" t="str">
        <f t="shared" si="77"/>
        <v/>
      </c>
      <c r="F590" s="13" t="str">
        <f t="shared" si="78"/>
        <v/>
      </c>
      <c r="G590" s="13" t="str">
        <f t="shared" si="79"/>
        <v/>
      </c>
      <c r="H590" s="13" t="str">
        <f t="shared" si="80"/>
        <v/>
      </c>
      <c r="I590" t="str">
        <f t="shared" si="81"/>
        <v/>
      </c>
    </row>
    <row r="591" spans="1:9">
      <c r="A591">
        <f>CSV!B591</f>
        <v>0</v>
      </c>
      <c r="B591" s="13" t="e">
        <f>INDEX(Input!$D$2:$AC$500,
       MATCH(CPU_Formula!A591, Input!$J$2:$J$500, 0),
       MATCH("CPU model", Input!$D$1:$AC$1, 0))</f>
        <v>#N/A</v>
      </c>
      <c r="C591" s="13" t="str">
        <f t="shared" si="75"/>
        <v/>
      </c>
      <c r="D591" s="13" t="str">
        <f t="shared" si="76"/>
        <v/>
      </c>
      <c r="E591" s="13" t="str">
        <f t="shared" si="77"/>
        <v/>
      </c>
      <c r="F591" s="13" t="str">
        <f t="shared" si="78"/>
        <v/>
      </c>
      <c r="G591" s="13" t="str">
        <f t="shared" si="79"/>
        <v/>
      </c>
      <c r="H591" s="13" t="str">
        <f t="shared" si="80"/>
        <v/>
      </c>
      <c r="I591" t="str">
        <f t="shared" si="81"/>
        <v/>
      </c>
    </row>
    <row r="592" spans="1:9">
      <c r="A592">
        <f>CSV!B592</f>
        <v>0</v>
      </c>
      <c r="B592" s="13" t="e">
        <f>INDEX(Input!$D$2:$AC$500,
       MATCH(CPU_Formula!A592, Input!$J$2:$J$500, 0),
       MATCH("CPU model", Input!$D$1:$AC$1, 0))</f>
        <v>#N/A</v>
      </c>
      <c r="C592" s="13" t="str">
        <f t="shared" si="75"/>
        <v/>
      </c>
      <c r="D592" s="13" t="str">
        <f t="shared" si="76"/>
        <v/>
      </c>
      <c r="E592" s="13" t="str">
        <f t="shared" si="77"/>
        <v/>
      </c>
      <c r="F592" s="13" t="str">
        <f t="shared" si="78"/>
        <v/>
      </c>
      <c r="G592" s="13" t="str">
        <f t="shared" si="79"/>
        <v/>
      </c>
      <c r="H592" s="13" t="str">
        <f t="shared" si="80"/>
        <v/>
      </c>
      <c r="I592" t="str">
        <f t="shared" si="81"/>
        <v/>
      </c>
    </row>
    <row r="593" spans="1:9">
      <c r="A593">
        <f>CSV!B593</f>
        <v>0</v>
      </c>
      <c r="B593" s="13" t="e">
        <f>INDEX(Input!$D$2:$AC$500,
       MATCH(CPU_Formula!A593, Input!$J$2:$J$500, 0),
       MATCH("CPU model", Input!$D$1:$AC$1, 0))</f>
        <v>#N/A</v>
      </c>
      <c r="C593" s="13" t="str">
        <f t="shared" si="75"/>
        <v/>
      </c>
      <c r="D593" s="13" t="str">
        <f t="shared" si="76"/>
        <v/>
      </c>
      <c r="E593" s="13" t="str">
        <f t="shared" si="77"/>
        <v/>
      </c>
      <c r="F593" s="13" t="str">
        <f t="shared" si="78"/>
        <v/>
      </c>
      <c r="G593" s="13" t="str">
        <f t="shared" si="79"/>
        <v/>
      </c>
      <c r="H593" s="13" t="str">
        <f t="shared" si="80"/>
        <v/>
      </c>
      <c r="I593" t="str">
        <f t="shared" si="81"/>
        <v/>
      </c>
    </row>
    <row r="594" spans="1:9">
      <c r="A594">
        <f>CSV!B594</f>
        <v>0</v>
      </c>
      <c r="B594" s="13" t="e">
        <f>INDEX(Input!$D$2:$AC$500,
       MATCH(CPU_Formula!A594, Input!$J$2:$J$500, 0),
       MATCH("CPU model", Input!$D$1:$AC$1, 0))</f>
        <v>#N/A</v>
      </c>
      <c r="C594" s="13" t="str">
        <f t="shared" si="75"/>
        <v/>
      </c>
      <c r="D594" s="13" t="str">
        <f t="shared" si="76"/>
        <v/>
      </c>
      <c r="E594" s="13" t="str">
        <f t="shared" si="77"/>
        <v/>
      </c>
      <c r="F594" s="13" t="str">
        <f t="shared" si="78"/>
        <v/>
      </c>
      <c r="G594" s="13" t="str">
        <f t="shared" si="79"/>
        <v/>
      </c>
      <c r="H594" s="13" t="str">
        <f t="shared" si="80"/>
        <v/>
      </c>
      <c r="I594" t="str">
        <f t="shared" si="81"/>
        <v/>
      </c>
    </row>
    <row r="595" spans="1:9">
      <c r="A595">
        <f>CSV!B595</f>
        <v>0</v>
      </c>
      <c r="B595" s="13" t="e">
        <f>INDEX(Input!$D$2:$AC$500,
       MATCH(CPU_Formula!A595, Input!$J$2:$J$500, 0),
       MATCH("CPU model", Input!$D$1:$AC$1, 0))</f>
        <v>#N/A</v>
      </c>
      <c r="C595" s="13" t="str">
        <f t="shared" si="75"/>
        <v/>
      </c>
      <c r="D595" s="13" t="str">
        <f t="shared" si="76"/>
        <v/>
      </c>
      <c r="E595" s="13" t="str">
        <f t="shared" si="77"/>
        <v/>
      </c>
      <c r="F595" s="13" t="str">
        <f t="shared" si="78"/>
        <v/>
      </c>
      <c r="G595" s="13" t="str">
        <f t="shared" si="79"/>
        <v/>
      </c>
      <c r="H595" s="13" t="str">
        <f t="shared" si="80"/>
        <v/>
      </c>
      <c r="I595" t="str">
        <f t="shared" si="81"/>
        <v/>
      </c>
    </row>
    <row r="596" spans="1:9">
      <c r="A596">
        <f>CSV!B596</f>
        <v>0</v>
      </c>
      <c r="B596" s="13" t="e">
        <f>INDEX(Input!$D$2:$AC$500,
       MATCH(CPU_Formula!A596, Input!$J$2:$J$500, 0),
       MATCH("CPU model", Input!$D$1:$AC$1, 0))</f>
        <v>#N/A</v>
      </c>
      <c r="C596" s="13" t="str">
        <f t="shared" si="75"/>
        <v/>
      </c>
      <c r="D596" s="13" t="str">
        <f t="shared" si="76"/>
        <v/>
      </c>
      <c r="E596" s="13" t="str">
        <f t="shared" si="77"/>
        <v/>
      </c>
      <c r="F596" s="13" t="str">
        <f t="shared" si="78"/>
        <v/>
      </c>
      <c r="G596" s="13" t="str">
        <f t="shared" si="79"/>
        <v/>
      </c>
      <c r="H596" s="13" t="str">
        <f t="shared" si="80"/>
        <v/>
      </c>
      <c r="I596" t="str">
        <f t="shared" si="81"/>
        <v/>
      </c>
    </row>
    <row r="597" spans="1:9">
      <c r="A597">
        <f>CSV!B597</f>
        <v>0</v>
      </c>
      <c r="B597" s="13" t="e">
        <f>INDEX(Input!$D$2:$AC$500,
       MATCH(CPU_Formula!A597, Input!$J$2:$J$500, 0),
       MATCH("CPU model", Input!$D$1:$AC$1, 0))</f>
        <v>#N/A</v>
      </c>
      <c r="C597" s="13" t="str">
        <f t="shared" si="75"/>
        <v/>
      </c>
      <c r="D597" s="13" t="str">
        <f t="shared" si="76"/>
        <v/>
      </c>
      <c r="E597" s="13" t="str">
        <f t="shared" si="77"/>
        <v/>
      </c>
      <c r="F597" s="13" t="str">
        <f t="shared" si="78"/>
        <v/>
      </c>
      <c r="G597" s="13" t="str">
        <f t="shared" si="79"/>
        <v/>
      </c>
      <c r="H597" s="13" t="str">
        <f t="shared" si="80"/>
        <v/>
      </c>
      <c r="I597" t="str">
        <f t="shared" si="81"/>
        <v/>
      </c>
    </row>
    <row r="598" spans="1:9">
      <c r="A598">
        <f>CSV!B598</f>
        <v>0</v>
      </c>
      <c r="B598" s="13" t="e">
        <f>INDEX(Input!$D$2:$AC$500,
       MATCH(CPU_Formula!A598, Input!$J$2:$J$500, 0),
       MATCH("CPU model", Input!$D$1:$AC$1, 0))</f>
        <v>#N/A</v>
      </c>
      <c r="C598" s="13" t="str">
        <f t="shared" si="75"/>
        <v/>
      </c>
      <c r="D598" s="13" t="str">
        <f t="shared" si="76"/>
        <v/>
      </c>
      <c r="E598" s="13" t="str">
        <f t="shared" si="77"/>
        <v/>
      </c>
      <c r="F598" s="13" t="str">
        <f t="shared" si="78"/>
        <v/>
      </c>
      <c r="G598" s="13" t="str">
        <f t="shared" si="79"/>
        <v/>
      </c>
      <c r="H598" s="13" t="str">
        <f t="shared" si="80"/>
        <v/>
      </c>
      <c r="I598" t="str">
        <f t="shared" si="81"/>
        <v/>
      </c>
    </row>
    <row r="599" spans="1:9">
      <c r="A599">
        <f>CSV!B599</f>
        <v>0</v>
      </c>
      <c r="B599" s="13" t="e">
        <f>INDEX(Input!$D$2:$AC$500,
       MATCH(CPU_Formula!A599, Input!$J$2:$J$500, 0),
       MATCH("CPU model", Input!$D$1:$AC$1, 0))</f>
        <v>#N/A</v>
      </c>
      <c r="C599" s="13" t="str">
        <f t="shared" si="75"/>
        <v/>
      </c>
      <c r="D599" s="13" t="str">
        <f t="shared" si="76"/>
        <v/>
      </c>
      <c r="E599" s="13" t="str">
        <f t="shared" si="77"/>
        <v/>
      </c>
      <c r="F599" s="13" t="str">
        <f t="shared" si="78"/>
        <v/>
      </c>
      <c r="G599" s="13" t="str">
        <f t="shared" si="79"/>
        <v/>
      </c>
      <c r="H599" s="13" t="str">
        <f t="shared" si="80"/>
        <v/>
      </c>
      <c r="I599" t="str">
        <f t="shared" si="81"/>
        <v/>
      </c>
    </row>
    <row r="600" spans="1:9">
      <c r="A600">
        <f>CSV!B600</f>
        <v>0</v>
      </c>
      <c r="B600" s="13" t="e">
        <f>INDEX(Input!$D$2:$AC$500,
       MATCH(CPU_Formula!A600, Input!$J$2:$J$500, 0),
       MATCH("CPU model", Input!$D$1:$AC$1, 0))</f>
        <v>#N/A</v>
      </c>
      <c r="C600" s="13" t="str">
        <f t="shared" si="75"/>
        <v/>
      </c>
      <c r="D600" s="13" t="str">
        <f t="shared" si="76"/>
        <v/>
      </c>
      <c r="E600" s="13" t="str">
        <f t="shared" si="77"/>
        <v/>
      </c>
      <c r="F600" s="13" t="str">
        <f t="shared" si="78"/>
        <v/>
      </c>
      <c r="G600" s="13" t="str">
        <f t="shared" si="79"/>
        <v/>
      </c>
      <c r="H600" s="13" t="str">
        <f t="shared" si="80"/>
        <v/>
      </c>
      <c r="I600" t="str">
        <f t="shared" si="81"/>
        <v/>
      </c>
    </row>
    <row r="601" spans="1:9">
      <c r="A601">
        <f>CSV!B601</f>
        <v>0</v>
      </c>
      <c r="B601" s="13" t="e">
        <f>INDEX(Input!$D$2:$AC$500,
       MATCH(CPU_Formula!A601, Input!$J$2:$J$500, 0),
       MATCH("CPU model", Input!$D$1:$AC$1, 0))</f>
        <v>#N/A</v>
      </c>
      <c r="C601" s="13" t="str">
        <f t="shared" si="75"/>
        <v/>
      </c>
      <c r="D601" s="13" t="str">
        <f t="shared" si="76"/>
        <v/>
      </c>
      <c r="E601" s="13" t="str">
        <f t="shared" si="77"/>
        <v/>
      </c>
      <c r="F601" s="13" t="str">
        <f t="shared" si="78"/>
        <v/>
      </c>
      <c r="G601" s="13" t="str">
        <f t="shared" si="79"/>
        <v/>
      </c>
      <c r="H601" s="13" t="str">
        <f t="shared" si="80"/>
        <v/>
      </c>
      <c r="I601" t="str">
        <f t="shared" si="81"/>
        <v/>
      </c>
    </row>
    <row r="602" spans="1:9">
      <c r="A602">
        <f>CSV!B602</f>
        <v>0</v>
      </c>
      <c r="B602" s="13" t="e">
        <f>INDEX(Input!$D$2:$AC$500,
       MATCH(CPU_Formula!A602, Input!$J$2:$J$500, 0),
       MATCH("CPU model", Input!$D$1:$AC$1, 0))</f>
        <v>#N/A</v>
      </c>
      <c r="C602" s="13" t="str">
        <f t="shared" si="75"/>
        <v/>
      </c>
      <c r="D602" s="13" t="str">
        <f t="shared" si="76"/>
        <v/>
      </c>
      <c r="E602" s="13" t="str">
        <f t="shared" si="77"/>
        <v/>
      </c>
      <c r="F602" s="13" t="str">
        <f t="shared" si="78"/>
        <v/>
      </c>
      <c r="G602" s="13" t="str">
        <f t="shared" si="79"/>
        <v/>
      </c>
      <c r="H602" s="13" t="str">
        <f t="shared" si="80"/>
        <v/>
      </c>
      <c r="I602" t="str">
        <f t="shared" si="81"/>
        <v/>
      </c>
    </row>
    <row r="603" spans="1:9">
      <c r="A603">
        <f>CSV!B603</f>
        <v>0</v>
      </c>
      <c r="B603" s="13" t="e">
        <f>INDEX(Input!$D$2:$AC$500,
       MATCH(CPU_Formula!A603, Input!$J$2:$J$500, 0),
       MATCH("CPU model", Input!$D$1:$AC$1, 0))</f>
        <v>#N/A</v>
      </c>
      <c r="C603" s="13" t="str">
        <f t="shared" si="75"/>
        <v/>
      </c>
      <c r="D603" s="13" t="str">
        <f t="shared" si="76"/>
        <v/>
      </c>
      <c r="E603" s="13" t="str">
        <f t="shared" si="77"/>
        <v/>
      </c>
      <c r="F603" s="13" t="str">
        <f t="shared" si="78"/>
        <v/>
      </c>
      <c r="G603" s="13" t="str">
        <f t="shared" si="79"/>
        <v/>
      </c>
      <c r="H603" s="13" t="str">
        <f t="shared" si="80"/>
        <v/>
      </c>
      <c r="I603" t="str">
        <f t="shared" si="81"/>
        <v/>
      </c>
    </row>
    <row r="604" spans="1:9">
      <c r="A604">
        <f>CSV!B604</f>
        <v>0</v>
      </c>
      <c r="B604" s="13" t="e">
        <f>INDEX(Input!$D$2:$AC$500,
       MATCH(CPU_Formula!A604, Input!$J$2:$J$500, 0),
       MATCH("CPU model", Input!$D$1:$AC$1, 0))</f>
        <v>#N/A</v>
      </c>
      <c r="C604" s="13" t="str">
        <f t="shared" si="75"/>
        <v/>
      </c>
      <c r="D604" s="13" t="str">
        <f t="shared" si="76"/>
        <v/>
      </c>
      <c r="E604" s="13" t="str">
        <f t="shared" si="77"/>
        <v/>
      </c>
      <c r="F604" s="13" t="str">
        <f t="shared" si="78"/>
        <v/>
      </c>
      <c r="G604" s="13" t="str">
        <f t="shared" si="79"/>
        <v/>
      </c>
      <c r="H604" s="13" t="str">
        <f t="shared" si="80"/>
        <v/>
      </c>
      <c r="I604" t="str">
        <f t="shared" si="81"/>
        <v/>
      </c>
    </row>
    <row r="605" spans="1:9">
      <c r="A605">
        <f>CSV!B605</f>
        <v>0</v>
      </c>
      <c r="B605" s="13" t="e">
        <f>INDEX(Input!$D$2:$AC$500,
       MATCH(CPU_Formula!A605, Input!$J$2:$J$500, 0),
       MATCH("CPU model", Input!$D$1:$AC$1, 0))</f>
        <v>#N/A</v>
      </c>
      <c r="C605" s="13" t="str">
        <f t="shared" si="75"/>
        <v/>
      </c>
      <c r="D605" s="13" t="str">
        <f t="shared" si="76"/>
        <v/>
      </c>
      <c r="E605" s="13" t="str">
        <f t="shared" si="77"/>
        <v/>
      </c>
      <c r="F605" s="13" t="str">
        <f t="shared" si="78"/>
        <v/>
      </c>
      <c r="G605" s="13" t="str">
        <f t="shared" si="79"/>
        <v/>
      </c>
      <c r="H605" s="13" t="str">
        <f t="shared" si="80"/>
        <v/>
      </c>
      <c r="I605" t="str">
        <f t="shared" si="81"/>
        <v/>
      </c>
    </row>
    <row r="606" spans="1:9">
      <c r="A606">
        <f>CSV!B606</f>
        <v>0</v>
      </c>
      <c r="B606" s="13" t="e">
        <f>INDEX(Input!$D$2:$AC$500,
       MATCH(CPU_Formula!A606, Input!$J$2:$J$500, 0),
       MATCH("CPU model", Input!$D$1:$AC$1, 0))</f>
        <v>#N/A</v>
      </c>
      <c r="C606" s="13" t="str">
        <f t="shared" si="75"/>
        <v/>
      </c>
      <c r="D606" s="13" t="str">
        <f t="shared" si="76"/>
        <v/>
      </c>
      <c r="E606" s="13" t="str">
        <f t="shared" si="77"/>
        <v/>
      </c>
      <c r="F606" s="13" t="str">
        <f t="shared" si="78"/>
        <v/>
      </c>
      <c r="G606" s="13" t="str">
        <f t="shared" si="79"/>
        <v/>
      </c>
      <c r="H606" s="13" t="str">
        <f t="shared" si="80"/>
        <v/>
      </c>
      <c r="I606" t="str">
        <f t="shared" si="81"/>
        <v/>
      </c>
    </row>
    <row r="607" spans="1:9">
      <c r="A607">
        <f>CSV!B607</f>
        <v>0</v>
      </c>
      <c r="B607" s="13" t="e">
        <f>INDEX(Input!$D$2:$AC$500,
       MATCH(CPU_Formula!A607, Input!$J$2:$J$500, 0),
       MATCH("CPU model", Input!$D$1:$AC$1, 0))</f>
        <v>#N/A</v>
      </c>
      <c r="C607" s="13" t="str">
        <f t="shared" si="75"/>
        <v/>
      </c>
      <c r="D607" s="13" t="str">
        <f t="shared" si="76"/>
        <v/>
      </c>
      <c r="E607" s="13" t="str">
        <f t="shared" si="77"/>
        <v/>
      </c>
      <c r="F607" s="13" t="str">
        <f t="shared" si="78"/>
        <v/>
      </c>
      <c r="G607" s="13" t="str">
        <f t="shared" si="79"/>
        <v/>
      </c>
      <c r="H607" s="13" t="str">
        <f t="shared" si="80"/>
        <v/>
      </c>
      <c r="I607" t="str">
        <f t="shared" si="81"/>
        <v/>
      </c>
    </row>
    <row r="608" spans="1:9">
      <c r="A608">
        <f>CSV!B608</f>
        <v>0</v>
      </c>
      <c r="B608" s="13" t="e">
        <f>INDEX(Input!$D$2:$AC$500,
       MATCH(CPU_Formula!A608, Input!$J$2:$J$500, 0),
       MATCH("CPU model", Input!$D$1:$AC$1, 0))</f>
        <v>#N/A</v>
      </c>
      <c r="C608" s="13" t="str">
        <f t="shared" si="75"/>
        <v/>
      </c>
      <c r="D608" s="13" t="str">
        <f t="shared" si="76"/>
        <v/>
      </c>
      <c r="E608" s="13" t="str">
        <f t="shared" si="77"/>
        <v/>
      </c>
      <c r="F608" s="13" t="str">
        <f t="shared" si="78"/>
        <v/>
      </c>
      <c r="G608" s="13" t="str">
        <f t="shared" si="79"/>
        <v/>
      </c>
      <c r="H608" s="13" t="str">
        <f t="shared" si="80"/>
        <v/>
      </c>
      <c r="I608" t="str">
        <f t="shared" si="81"/>
        <v/>
      </c>
    </row>
    <row r="609" spans="1:9">
      <c r="A609">
        <f>CSV!B609</f>
        <v>0</v>
      </c>
      <c r="B609" s="13" t="e">
        <f>INDEX(Input!$D$2:$AC$500,
       MATCH(CPU_Formula!A609, Input!$J$2:$J$500, 0),
       MATCH("CPU model", Input!$D$1:$AC$1, 0))</f>
        <v>#N/A</v>
      </c>
      <c r="C609" s="13" t="str">
        <f t="shared" si="75"/>
        <v/>
      </c>
      <c r="D609" s="13" t="str">
        <f t="shared" si="76"/>
        <v/>
      </c>
      <c r="E609" s="13" t="str">
        <f t="shared" si="77"/>
        <v/>
      </c>
      <c r="F609" s="13" t="str">
        <f t="shared" si="78"/>
        <v/>
      </c>
      <c r="G609" s="13" t="str">
        <f t="shared" si="79"/>
        <v/>
      </c>
      <c r="H609" s="13" t="str">
        <f t="shared" si="80"/>
        <v/>
      </c>
      <c r="I609" t="str">
        <f t="shared" si="81"/>
        <v/>
      </c>
    </row>
    <row r="610" spans="1:9">
      <c r="A610">
        <f>CSV!B610</f>
        <v>0</v>
      </c>
      <c r="B610" s="13" t="e">
        <f>INDEX(Input!$D$2:$AC$500,
       MATCH(CPU_Formula!A610, Input!$J$2:$J$500, 0),
       MATCH("CPU model", Input!$D$1:$AC$1, 0))</f>
        <v>#N/A</v>
      </c>
      <c r="C610" s="13" t="str">
        <f t="shared" si="75"/>
        <v/>
      </c>
      <c r="D610" s="13" t="str">
        <f t="shared" si="76"/>
        <v/>
      </c>
      <c r="E610" s="13" t="str">
        <f t="shared" si="77"/>
        <v/>
      </c>
      <c r="F610" s="13" t="str">
        <f t="shared" si="78"/>
        <v/>
      </c>
      <c r="G610" s="13" t="str">
        <f t="shared" si="79"/>
        <v/>
      </c>
      <c r="H610" s="13" t="str">
        <f t="shared" si="80"/>
        <v/>
      </c>
      <c r="I610" t="str">
        <f t="shared" si="81"/>
        <v/>
      </c>
    </row>
    <row r="611" spans="1:9">
      <c r="A611">
        <f>CSV!B611</f>
        <v>0</v>
      </c>
      <c r="B611" s="13" t="e">
        <f>INDEX(Input!$D$2:$AC$500,
       MATCH(CPU_Formula!A611, Input!$J$2:$J$500, 0),
       MATCH("CPU model", Input!$D$1:$AC$1, 0))</f>
        <v>#N/A</v>
      </c>
      <c r="C611" s="13" t="str">
        <f t="shared" si="75"/>
        <v/>
      </c>
      <c r="D611" s="13" t="str">
        <f t="shared" si="76"/>
        <v/>
      </c>
      <c r="E611" s="13" t="str">
        <f t="shared" si="77"/>
        <v/>
      </c>
      <c r="F611" s="13" t="str">
        <f t="shared" si="78"/>
        <v/>
      </c>
      <c r="G611" s="13" t="str">
        <f t="shared" si="79"/>
        <v/>
      </c>
      <c r="H611" s="13" t="str">
        <f t="shared" si="80"/>
        <v/>
      </c>
      <c r="I611" t="str">
        <f t="shared" si="81"/>
        <v/>
      </c>
    </row>
    <row r="612" spans="1:9">
      <c r="A612">
        <f>CSV!B612</f>
        <v>0</v>
      </c>
      <c r="B612" s="13" t="e">
        <f>INDEX(Input!$D$2:$AC$500,
       MATCH(CPU_Formula!A612, Input!$J$2:$J$500, 0),
       MATCH("CPU model", Input!$D$1:$AC$1, 0))</f>
        <v>#N/A</v>
      </c>
      <c r="C612" s="13" t="str">
        <f t="shared" si="75"/>
        <v/>
      </c>
      <c r="D612" s="13" t="str">
        <f t="shared" si="76"/>
        <v/>
      </c>
      <c r="E612" s="13" t="str">
        <f t="shared" si="77"/>
        <v/>
      </c>
      <c r="F612" s="13" t="str">
        <f t="shared" si="78"/>
        <v/>
      </c>
      <c r="G612" s="13" t="str">
        <f t="shared" si="79"/>
        <v/>
      </c>
      <c r="H612" s="13" t="str">
        <f t="shared" si="80"/>
        <v/>
      </c>
      <c r="I612" t="str">
        <f t="shared" si="81"/>
        <v/>
      </c>
    </row>
    <row r="613" spans="1:9">
      <c r="A613">
        <f>CSV!B613</f>
        <v>0</v>
      </c>
      <c r="B613" s="13" t="e">
        <f>INDEX(Input!$D$2:$AC$500,
       MATCH(CPU_Formula!A613, Input!$J$2:$J$500, 0),
       MATCH("CPU model", Input!$D$1:$AC$1, 0))</f>
        <v>#N/A</v>
      </c>
      <c r="C613" s="13" t="str">
        <f t="shared" si="75"/>
        <v/>
      </c>
      <c r="D613" s="13" t="str">
        <f t="shared" si="76"/>
        <v/>
      </c>
      <c r="E613" s="13" t="str">
        <f t="shared" si="77"/>
        <v/>
      </c>
      <c r="F613" s="13" t="str">
        <f t="shared" si="78"/>
        <v/>
      </c>
      <c r="G613" s="13" t="str">
        <f t="shared" si="79"/>
        <v/>
      </c>
      <c r="H613" s="13" t="str">
        <f t="shared" si="80"/>
        <v/>
      </c>
      <c r="I613" t="str">
        <f t="shared" si="81"/>
        <v/>
      </c>
    </row>
    <row r="614" spans="1:9">
      <c r="A614">
        <f>CSV!B614</f>
        <v>0</v>
      </c>
      <c r="B614" s="13" t="e">
        <f>INDEX(Input!$D$2:$AC$500,
       MATCH(CPU_Formula!A614, Input!$J$2:$J$500, 0),
       MATCH("CPU model", Input!$D$1:$AC$1, 0))</f>
        <v>#N/A</v>
      </c>
      <c r="C614" s="13" t="str">
        <f t="shared" si="75"/>
        <v/>
      </c>
      <c r="D614" s="13" t="str">
        <f t="shared" si="76"/>
        <v/>
      </c>
      <c r="E614" s="13" t="str">
        <f t="shared" si="77"/>
        <v/>
      </c>
      <c r="F614" s="13" t="str">
        <f t="shared" si="78"/>
        <v/>
      </c>
      <c r="G614" s="13" t="str">
        <f t="shared" si="79"/>
        <v/>
      </c>
      <c r="H614" s="13" t="str">
        <f t="shared" si="80"/>
        <v/>
      </c>
      <c r="I614" t="str">
        <f t="shared" si="81"/>
        <v/>
      </c>
    </row>
    <row r="615" spans="1:9">
      <c r="A615">
        <f>CSV!B615</f>
        <v>0</v>
      </c>
      <c r="B615" s="13" t="e">
        <f>INDEX(Input!$D$2:$AC$500,
       MATCH(CPU_Formula!A615, Input!$J$2:$J$500, 0),
       MATCH("CPU model", Input!$D$1:$AC$1, 0))</f>
        <v>#N/A</v>
      </c>
      <c r="C615" s="13" t="str">
        <f t="shared" si="75"/>
        <v/>
      </c>
      <c r="D615" s="13" t="str">
        <f t="shared" si="76"/>
        <v/>
      </c>
      <c r="E615" s="13" t="str">
        <f t="shared" si="77"/>
        <v/>
      </c>
      <c r="F615" s="13" t="str">
        <f t="shared" si="78"/>
        <v/>
      </c>
      <c r="G615" s="13" t="str">
        <f t="shared" si="79"/>
        <v/>
      </c>
      <c r="H615" s="13" t="str">
        <f t="shared" si="80"/>
        <v/>
      </c>
      <c r="I615" t="str">
        <f t="shared" si="81"/>
        <v/>
      </c>
    </row>
    <row r="616" spans="1:9">
      <c r="A616">
        <f>CSV!B616</f>
        <v>0</v>
      </c>
      <c r="B616" s="13" t="e">
        <f>INDEX(Input!$D$2:$AC$500,
       MATCH(CPU_Formula!A616, Input!$J$2:$J$500, 0),
       MATCH("CPU model", Input!$D$1:$AC$1, 0))</f>
        <v>#N/A</v>
      </c>
      <c r="C616" s="13" t="str">
        <f t="shared" ref="C616:C670" si="82">IFERROR(_xlfn.TEXTAFTER(B616,"Core(TM) "),IFERROR(_xlfn.TEXTAFTER(B616,"Xeon(R) CPU"),""))</f>
        <v/>
      </c>
      <c r="D616" s="13" t="str">
        <f t="shared" ref="D616:D670" si="83">IFERROR(_xlfn.TEXTAFTER(B616,"Ryzen "), "")</f>
        <v/>
      </c>
      <c r="E616" s="13" t="str">
        <f t="shared" ref="E616:E670" si="84">IF(ISNUMBER(SEARCH("Ultra", B616)), "Ultra"&amp;_xlfn.TEXTAFTER(B616, "Ultra"), "")</f>
        <v/>
      </c>
      <c r="F616" s="13" t="str">
        <f t="shared" ref="F616:F670" si="85">IF(C616&lt;&gt;"", TRIM(_xlfn.TEXTBEFORE(C616," ",,1,1)), "")</f>
        <v/>
      </c>
      <c r="G616" s="13" t="str">
        <f t="shared" ref="G616:G670" si="86">IF(D616&lt;&gt;"", TRIM(_xlfn.TEXTBEFORE(D616," ",,1)), "")</f>
        <v/>
      </c>
      <c r="H616" s="13" t="str">
        <f t="shared" ref="H616:H670" si="87">E616</f>
        <v/>
      </c>
      <c r="I616" t="str">
        <f t="shared" ref="I616:I670" si="88">IF(H616&lt;&gt;"",H616,IF(G616&lt;&gt;"",G616,F616))</f>
        <v/>
      </c>
    </row>
    <row r="617" spans="1:9">
      <c r="A617">
        <f>CSV!B617</f>
        <v>0</v>
      </c>
      <c r="B617" s="13" t="e">
        <f>INDEX(Input!$D$2:$AC$500,
       MATCH(CPU_Formula!A617, Input!$J$2:$J$500, 0),
       MATCH("CPU model", Input!$D$1:$AC$1, 0))</f>
        <v>#N/A</v>
      </c>
      <c r="C617" s="13" t="str">
        <f t="shared" si="82"/>
        <v/>
      </c>
      <c r="D617" s="13" t="str">
        <f t="shared" si="83"/>
        <v/>
      </c>
      <c r="E617" s="13" t="str">
        <f t="shared" si="84"/>
        <v/>
      </c>
      <c r="F617" s="13" t="str">
        <f t="shared" si="85"/>
        <v/>
      </c>
      <c r="G617" s="13" t="str">
        <f t="shared" si="86"/>
        <v/>
      </c>
      <c r="H617" s="13" t="str">
        <f t="shared" si="87"/>
        <v/>
      </c>
      <c r="I617" t="str">
        <f t="shared" si="88"/>
        <v/>
      </c>
    </row>
    <row r="618" spans="1:9">
      <c r="A618">
        <f>CSV!B618</f>
        <v>0</v>
      </c>
      <c r="B618" s="13" t="e">
        <f>INDEX(Input!$D$2:$AC$500,
       MATCH(CPU_Formula!A618, Input!$J$2:$J$500, 0),
       MATCH("CPU model", Input!$D$1:$AC$1, 0))</f>
        <v>#N/A</v>
      </c>
      <c r="C618" s="13" t="str">
        <f t="shared" si="82"/>
        <v/>
      </c>
      <c r="D618" s="13" t="str">
        <f t="shared" si="83"/>
        <v/>
      </c>
      <c r="E618" s="13" t="str">
        <f t="shared" si="84"/>
        <v/>
      </c>
      <c r="F618" s="13" t="str">
        <f t="shared" si="85"/>
        <v/>
      </c>
      <c r="G618" s="13" t="str">
        <f t="shared" si="86"/>
        <v/>
      </c>
      <c r="H618" s="13" t="str">
        <f t="shared" si="87"/>
        <v/>
      </c>
      <c r="I618" t="str">
        <f t="shared" si="88"/>
        <v/>
      </c>
    </row>
    <row r="619" spans="1:9">
      <c r="A619">
        <f>CSV!B619</f>
        <v>0</v>
      </c>
      <c r="B619" s="13" t="e">
        <f>INDEX(Input!$D$2:$AC$500,
       MATCH(CPU_Formula!A619, Input!$J$2:$J$500, 0),
       MATCH("CPU model", Input!$D$1:$AC$1, 0))</f>
        <v>#N/A</v>
      </c>
      <c r="C619" s="13" t="str">
        <f t="shared" si="82"/>
        <v/>
      </c>
      <c r="D619" s="13" t="str">
        <f t="shared" si="83"/>
        <v/>
      </c>
      <c r="E619" s="13" t="str">
        <f t="shared" si="84"/>
        <v/>
      </c>
      <c r="F619" s="13" t="str">
        <f t="shared" si="85"/>
        <v/>
      </c>
      <c r="G619" s="13" t="str">
        <f t="shared" si="86"/>
        <v/>
      </c>
      <c r="H619" s="13" t="str">
        <f t="shared" si="87"/>
        <v/>
      </c>
      <c r="I619" t="str">
        <f t="shared" si="88"/>
        <v/>
      </c>
    </row>
    <row r="620" spans="1:9">
      <c r="A620">
        <f>CSV!B620</f>
        <v>0</v>
      </c>
      <c r="B620" s="13" t="e">
        <f>INDEX(Input!$D$2:$AC$500,
       MATCH(CPU_Formula!A620, Input!$J$2:$J$500, 0),
       MATCH("CPU model", Input!$D$1:$AC$1, 0))</f>
        <v>#N/A</v>
      </c>
      <c r="C620" s="13" t="str">
        <f t="shared" si="82"/>
        <v/>
      </c>
      <c r="D620" s="13" t="str">
        <f t="shared" si="83"/>
        <v/>
      </c>
      <c r="E620" s="13" t="str">
        <f t="shared" si="84"/>
        <v/>
      </c>
      <c r="F620" s="13" t="str">
        <f t="shared" si="85"/>
        <v/>
      </c>
      <c r="G620" s="13" t="str">
        <f t="shared" si="86"/>
        <v/>
      </c>
      <c r="H620" s="13" t="str">
        <f t="shared" si="87"/>
        <v/>
      </c>
      <c r="I620" t="str">
        <f t="shared" si="88"/>
        <v/>
      </c>
    </row>
    <row r="621" spans="1:9">
      <c r="A621">
        <f>CSV!B621</f>
        <v>0</v>
      </c>
      <c r="B621" s="13" t="e">
        <f>INDEX(Input!$D$2:$AC$500,
       MATCH(CPU_Formula!A621, Input!$J$2:$J$500, 0),
       MATCH("CPU model", Input!$D$1:$AC$1, 0))</f>
        <v>#N/A</v>
      </c>
      <c r="C621" s="13" t="str">
        <f t="shared" si="82"/>
        <v/>
      </c>
      <c r="D621" s="13" t="str">
        <f t="shared" si="83"/>
        <v/>
      </c>
      <c r="E621" s="13" t="str">
        <f t="shared" si="84"/>
        <v/>
      </c>
      <c r="F621" s="13" t="str">
        <f t="shared" si="85"/>
        <v/>
      </c>
      <c r="G621" s="13" t="str">
        <f t="shared" si="86"/>
        <v/>
      </c>
      <c r="H621" s="13" t="str">
        <f t="shared" si="87"/>
        <v/>
      </c>
      <c r="I621" t="str">
        <f t="shared" si="88"/>
        <v/>
      </c>
    </row>
    <row r="622" spans="1:9">
      <c r="A622">
        <f>CSV!B622</f>
        <v>0</v>
      </c>
      <c r="B622" s="13" t="e">
        <f>INDEX(Input!$D$2:$AC$500,
       MATCH(CPU_Formula!A622, Input!$J$2:$J$500, 0),
       MATCH("CPU model", Input!$D$1:$AC$1, 0))</f>
        <v>#N/A</v>
      </c>
      <c r="C622" s="13" t="str">
        <f t="shared" si="82"/>
        <v/>
      </c>
      <c r="D622" s="13" t="str">
        <f t="shared" si="83"/>
        <v/>
      </c>
      <c r="E622" s="13" t="str">
        <f t="shared" si="84"/>
        <v/>
      </c>
      <c r="F622" s="13" t="str">
        <f t="shared" si="85"/>
        <v/>
      </c>
      <c r="G622" s="13" t="str">
        <f t="shared" si="86"/>
        <v/>
      </c>
      <c r="H622" s="13" t="str">
        <f t="shared" si="87"/>
        <v/>
      </c>
      <c r="I622" t="str">
        <f t="shared" si="88"/>
        <v/>
      </c>
    </row>
    <row r="623" spans="1:9">
      <c r="A623">
        <f>CSV!B623</f>
        <v>0</v>
      </c>
      <c r="B623" s="13" t="e">
        <f>INDEX(Input!$D$2:$AC$500,
       MATCH(CPU_Formula!A623, Input!$J$2:$J$500, 0),
       MATCH("CPU model", Input!$D$1:$AC$1, 0))</f>
        <v>#N/A</v>
      </c>
      <c r="C623" s="13" t="str">
        <f t="shared" si="82"/>
        <v/>
      </c>
      <c r="D623" s="13" t="str">
        <f t="shared" si="83"/>
        <v/>
      </c>
      <c r="E623" s="13" t="str">
        <f t="shared" si="84"/>
        <v/>
      </c>
      <c r="F623" s="13" t="str">
        <f t="shared" si="85"/>
        <v/>
      </c>
      <c r="G623" s="13" t="str">
        <f t="shared" si="86"/>
        <v/>
      </c>
      <c r="H623" s="13" t="str">
        <f t="shared" si="87"/>
        <v/>
      </c>
      <c r="I623" t="str">
        <f t="shared" si="88"/>
        <v/>
      </c>
    </row>
    <row r="624" spans="1:9">
      <c r="A624">
        <f>CSV!B624</f>
        <v>0</v>
      </c>
      <c r="B624" s="13" t="e">
        <f>INDEX(Input!$D$2:$AC$500,
       MATCH(CPU_Formula!A624, Input!$J$2:$J$500, 0),
       MATCH("CPU model", Input!$D$1:$AC$1, 0))</f>
        <v>#N/A</v>
      </c>
      <c r="C624" s="13" t="str">
        <f t="shared" si="82"/>
        <v/>
      </c>
      <c r="D624" s="13" t="str">
        <f t="shared" si="83"/>
        <v/>
      </c>
      <c r="E624" s="13" t="str">
        <f t="shared" si="84"/>
        <v/>
      </c>
      <c r="F624" s="13" t="str">
        <f t="shared" si="85"/>
        <v/>
      </c>
      <c r="G624" s="13" t="str">
        <f t="shared" si="86"/>
        <v/>
      </c>
      <c r="H624" s="13" t="str">
        <f t="shared" si="87"/>
        <v/>
      </c>
      <c r="I624" t="str">
        <f t="shared" si="88"/>
        <v/>
      </c>
    </row>
    <row r="625" spans="1:9">
      <c r="A625">
        <f>CSV!B625</f>
        <v>0</v>
      </c>
      <c r="B625" s="13" t="e">
        <f>INDEX(Input!$D$2:$AC$500,
       MATCH(CPU_Formula!A625, Input!$J$2:$J$500, 0),
       MATCH("CPU model", Input!$D$1:$AC$1, 0))</f>
        <v>#N/A</v>
      </c>
      <c r="C625" s="13" t="str">
        <f t="shared" si="82"/>
        <v/>
      </c>
      <c r="D625" s="13" t="str">
        <f t="shared" si="83"/>
        <v/>
      </c>
      <c r="E625" s="13" t="str">
        <f t="shared" si="84"/>
        <v/>
      </c>
      <c r="F625" s="13" t="str">
        <f t="shared" si="85"/>
        <v/>
      </c>
      <c r="G625" s="13" t="str">
        <f t="shared" si="86"/>
        <v/>
      </c>
      <c r="H625" s="13" t="str">
        <f t="shared" si="87"/>
        <v/>
      </c>
      <c r="I625" t="str">
        <f t="shared" si="88"/>
        <v/>
      </c>
    </row>
    <row r="626" spans="1:9">
      <c r="A626">
        <f>CSV!B626</f>
        <v>0</v>
      </c>
      <c r="B626" s="13" t="e">
        <f>INDEX(Input!$D$2:$AC$500,
       MATCH(CPU_Formula!A626, Input!$J$2:$J$500, 0),
       MATCH("CPU model", Input!$D$1:$AC$1, 0))</f>
        <v>#N/A</v>
      </c>
      <c r="C626" s="13" t="str">
        <f t="shared" si="82"/>
        <v/>
      </c>
      <c r="D626" s="13" t="str">
        <f t="shared" si="83"/>
        <v/>
      </c>
      <c r="E626" s="13" t="str">
        <f t="shared" si="84"/>
        <v/>
      </c>
      <c r="F626" s="13" t="str">
        <f t="shared" si="85"/>
        <v/>
      </c>
      <c r="G626" s="13" t="str">
        <f t="shared" si="86"/>
        <v/>
      </c>
      <c r="H626" s="13" t="str">
        <f t="shared" si="87"/>
        <v/>
      </c>
      <c r="I626" t="str">
        <f t="shared" si="88"/>
        <v/>
      </c>
    </row>
    <row r="627" spans="1:9">
      <c r="A627">
        <f>CSV!B627</f>
        <v>0</v>
      </c>
      <c r="B627" s="13" t="e">
        <f>INDEX(Input!$D$2:$AC$500,
       MATCH(CPU_Formula!A627, Input!$J$2:$J$500, 0),
       MATCH("CPU model", Input!$D$1:$AC$1, 0))</f>
        <v>#N/A</v>
      </c>
      <c r="C627" s="13" t="str">
        <f t="shared" si="82"/>
        <v/>
      </c>
      <c r="D627" s="13" t="str">
        <f t="shared" si="83"/>
        <v/>
      </c>
      <c r="E627" s="13" t="str">
        <f t="shared" si="84"/>
        <v/>
      </c>
      <c r="F627" s="13" t="str">
        <f t="shared" si="85"/>
        <v/>
      </c>
      <c r="G627" s="13" t="str">
        <f t="shared" si="86"/>
        <v/>
      </c>
      <c r="H627" s="13" t="str">
        <f t="shared" si="87"/>
        <v/>
      </c>
      <c r="I627" t="str">
        <f t="shared" si="88"/>
        <v/>
      </c>
    </row>
    <row r="628" spans="1:9">
      <c r="A628">
        <f>CSV!B628</f>
        <v>0</v>
      </c>
      <c r="B628" s="13" t="e">
        <f>INDEX(Input!$D$2:$AC$500,
       MATCH(CPU_Formula!A628, Input!$J$2:$J$500, 0),
       MATCH("CPU model", Input!$D$1:$AC$1, 0))</f>
        <v>#N/A</v>
      </c>
      <c r="C628" s="13" t="str">
        <f t="shared" si="82"/>
        <v/>
      </c>
      <c r="D628" s="13" t="str">
        <f t="shared" si="83"/>
        <v/>
      </c>
      <c r="E628" s="13" t="str">
        <f t="shared" si="84"/>
        <v/>
      </c>
      <c r="F628" s="13" t="str">
        <f t="shared" si="85"/>
        <v/>
      </c>
      <c r="G628" s="13" t="str">
        <f t="shared" si="86"/>
        <v/>
      </c>
      <c r="H628" s="13" t="str">
        <f t="shared" si="87"/>
        <v/>
      </c>
      <c r="I628" t="str">
        <f t="shared" si="88"/>
        <v/>
      </c>
    </row>
    <row r="629" spans="1:9">
      <c r="A629">
        <f>CSV!B629</f>
        <v>0</v>
      </c>
      <c r="B629" s="13" t="e">
        <f>INDEX(Input!$D$2:$AC$500,
       MATCH(CPU_Formula!A629, Input!$J$2:$J$500, 0),
       MATCH("CPU model", Input!$D$1:$AC$1, 0))</f>
        <v>#N/A</v>
      </c>
      <c r="C629" s="13" t="str">
        <f t="shared" si="82"/>
        <v/>
      </c>
      <c r="D629" s="13" t="str">
        <f t="shared" si="83"/>
        <v/>
      </c>
      <c r="E629" s="13" t="str">
        <f t="shared" si="84"/>
        <v/>
      </c>
      <c r="F629" s="13" t="str">
        <f t="shared" si="85"/>
        <v/>
      </c>
      <c r="G629" s="13" t="str">
        <f t="shared" si="86"/>
        <v/>
      </c>
      <c r="H629" s="13" t="str">
        <f t="shared" si="87"/>
        <v/>
      </c>
      <c r="I629" t="str">
        <f t="shared" si="88"/>
        <v/>
      </c>
    </row>
    <row r="630" spans="1:9">
      <c r="A630">
        <f>CSV!B630</f>
        <v>0</v>
      </c>
      <c r="B630" s="13" t="e">
        <f>INDEX(Input!$D$2:$AC$500,
       MATCH(CPU_Formula!A630, Input!$J$2:$J$500, 0),
       MATCH("CPU model", Input!$D$1:$AC$1, 0))</f>
        <v>#N/A</v>
      </c>
      <c r="C630" s="13" t="str">
        <f t="shared" si="82"/>
        <v/>
      </c>
      <c r="D630" s="13" t="str">
        <f t="shared" si="83"/>
        <v/>
      </c>
      <c r="E630" s="13" t="str">
        <f t="shared" si="84"/>
        <v/>
      </c>
      <c r="F630" s="13" t="str">
        <f t="shared" si="85"/>
        <v/>
      </c>
      <c r="G630" s="13" t="str">
        <f t="shared" si="86"/>
        <v/>
      </c>
      <c r="H630" s="13" t="str">
        <f t="shared" si="87"/>
        <v/>
      </c>
      <c r="I630" t="str">
        <f t="shared" si="88"/>
        <v/>
      </c>
    </row>
    <row r="631" spans="1:9">
      <c r="A631">
        <f>CSV!B631</f>
        <v>0</v>
      </c>
      <c r="B631" s="13" t="e">
        <f>INDEX(Input!$D$2:$AC$500,
       MATCH(CPU_Formula!A631, Input!$J$2:$J$500, 0),
       MATCH("CPU model", Input!$D$1:$AC$1, 0))</f>
        <v>#N/A</v>
      </c>
      <c r="C631" s="13" t="str">
        <f t="shared" si="82"/>
        <v/>
      </c>
      <c r="D631" s="13" t="str">
        <f t="shared" si="83"/>
        <v/>
      </c>
      <c r="E631" s="13" t="str">
        <f t="shared" si="84"/>
        <v/>
      </c>
      <c r="F631" s="13" t="str">
        <f t="shared" si="85"/>
        <v/>
      </c>
      <c r="G631" s="13" t="str">
        <f t="shared" si="86"/>
        <v/>
      </c>
      <c r="H631" s="13" t="str">
        <f t="shared" si="87"/>
        <v/>
      </c>
      <c r="I631" t="str">
        <f t="shared" si="88"/>
        <v/>
      </c>
    </row>
    <row r="632" spans="1:9">
      <c r="A632">
        <f>CSV!B632</f>
        <v>0</v>
      </c>
      <c r="B632" s="13" t="e">
        <f>INDEX(Input!$D$2:$AC$500,
       MATCH(CPU_Formula!A632, Input!$J$2:$J$500, 0),
       MATCH("CPU model", Input!$D$1:$AC$1, 0))</f>
        <v>#N/A</v>
      </c>
      <c r="C632" s="13" t="str">
        <f t="shared" si="82"/>
        <v/>
      </c>
      <c r="D632" s="13" t="str">
        <f t="shared" si="83"/>
        <v/>
      </c>
      <c r="E632" s="13" t="str">
        <f t="shared" si="84"/>
        <v/>
      </c>
      <c r="F632" s="13" t="str">
        <f t="shared" si="85"/>
        <v/>
      </c>
      <c r="G632" s="13" t="str">
        <f t="shared" si="86"/>
        <v/>
      </c>
      <c r="H632" s="13" t="str">
        <f t="shared" si="87"/>
        <v/>
      </c>
      <c r="I632" t="str">
        <f t="shared" si="88"/>
        <v/>
      </c>
    </row>
    <row r="633" spans="1:9">
      <c r="A633">
        <f>CSV!B633</f>
        <v>0</v>
      </c>
      <c r="B633" s="13" t="e">
        <f>INDEX(Input!$D$2:$AC$500,
       MATCH(CPU_Formula!A633, Input!$J$2:$J$500, 0),
       MATCH("CPU model", Input!$D$1:$AC$1, 0))</f>
        <v>#N/A</v>
      </c>
      <c r="C633" s="13" t="str">
        <f t="shared" si="82"/>
        <v/>
      </c>
      <c r="D633" s="13" t="str">
        <f t="shared" si="83"/>
        <v/>
      </c>
      <c r="E633" s="13" t="str">
        <f t="shared" si="84"/>
        <v/>
      </c>
      <c r="F633" s="13" t="str">
        <f t="shared" si="85"/>
        <v/>
      </c>
      <c r="G633" s="13" t="str">
        <f t="shared" si="86"/>
        <v/>
      </c>
      <c r="H633" s="13" t="str">
        <f t="shared" si="87"/>
        <v/>
      </c>
      <c r="I633" t="str">
        <f t="shared" si="88"/>
        <v/>
      </c>
    </row>
    <row r="634" spans="1:9">
      <c r="A634">
        <f>CSV!B634</f>
        <v>0</v>
      </c>
      <c r="B634" s="13" t="e">
        <f>INDEX(Input!$D$2:$AC$500,
       MATCH(CPU_Formula!A634, Input!$J$2:$J$500, 0),
       MATCH("CPU model", Input!$D$1:$AC$1, 0))</f>
        <v>#N/A</v>
      </c>
      <c r="C634" s="13" t="str">
        <f t="shared" si="82"/>
        <v/>
      </c>
      <c r="D634" s="13" t="str">
        <f t="shared" si="83"/>
        <v/>
      </c>
      <c r="E634" s="13" t="str">
        <f t="shared" si="84"/>
        <v/>
      </c>
      <c r="F634" s="13" t="str">
        <f t="shared" si="85"/>
        <v/>
      </c>
      <c r="G634" s="13" t="str">
        <f t="shared" si="86"/>
        <v/>
      </c>
      <c r="H634" s="13" t="str">
        <f t="shared" si="87"/>
        <v/>
      </c>
      <c r="I634" t="str">
        <f t="shared" si="88"/>
        <v/>
      </c>
    </row>
    <row r="635" spans="1:9">
      <c r="A635">
        <f>CSV!B635</f>
        <v>0</v>
      </c>
      <c r="B635" s="13" t="e">
        <f>INDEX(Input!$D$2:$AC$500,
       MATCH(CPU_Formula!A635, Input!$J$2:$J$500, 0),
       MATCH("CPU model", Input!$D$1:$AC$1, 0))</f>
        <v>#N/A</v>
      </c>
      <c r="C635" s="13" t="str">
        <f t="shared" si="82"/>
        <v/>
      </c>
      <c r="D635" s="13" t="str">
        <f t="shared" si="83"/>
        <v/>
      </c>
      <c r="E635" s="13" t="str">
        <f t="shared" si="84"/>
        <v/>
      </c>
      <c r="F635" s="13" t="str">
        <f t="shared" si="85"/>
        <v/>
      </c>
      <c r="G635" s="13" t="str">
        <f t="shared" si="86"/>
        <v/>
      </c>
      <c r="H635" s="13" t="str">
        <f t="shared" si="87"/>
        <v/>
      </c>
      <c r="I635" t="str">
        <f t="shared" si="88"/>
        <v/>
      </c>
    </row>
    <row r="636" spans="1:9">
      <c r="A636">
        <f>CSV!B636</f>
        <v>0</v>
      </c>
      <c r="B636" s="13" t="e">
        <f>INDEX(Input!$D$2:$AC$500,
       MATCH(CPU_Formula!A636, Input!$J$2:$J$500, 0),
       MATCH("CPU model", Input!$D$1:$AC$1, 0))</f>
        <v>#N/A</v>
      </c>
      <c r="C636" s="13" t="str">
        <f t="shared" si="82"/>
        <v/>
      </c>
      <c r="D636" s="13" t="str">
        <f t="shared" si="83"/>
        <v/>
      </c>
      <c r="E636" s="13" t="str">
        <f t="shared" si="84"/>
        <v/>
      </c>
      <c r="F636" s="13" t="str">
        <f t="shared" si="85"/>
        <v/>
      </c>
      <c r="G636" s="13" t="str">
        <f t="shared" si="86"/>
        <v/>
      </c>
      <c r="H636" s="13" t="str">
        <f t="shared" si="87"/>
        <v/>
      </c>
      <c r="I636" t="str">
        <f t="shared" si="88"/>
        <v/>
      </c>
    </row>
    <row r="637" spans="1:9">
      <c r="A637">
        <f>CSV!B637</f>
        <v>0</v>
      </c>
      <c r="B637" s="13" t="e">
        <f>INDEX(Input!$D$2:$AC$500,
       MATCH(CPU_Formula!A637, Input!$J$2:$J$500, 0),
       MATCH("CPU model", Input!$D$1:$AC$1, 0))</f>
        <v>#N/A</v>
      </c>
      <c r="C637" s="13" t="str">
        <f t="shared" si="82"/>
        <v/>
      </c>
      <c r="D637" s="13" t="str">
        <f t="shared" si="83"/>
        <v/>
      </c>
      <c r="E637" s="13" t="str">
        <f t="shared" si="84"/>
        <v/>
      </c>
      <c r="F637" s="13" t="str">
        <f t="shared" si="85"/>
        <v/>
      </c>
      <c r="G637" s="13" t="str">
        <f t="shared" si="86"/>
        <v/>
      </c>
      <c r="H637" s="13" t="str">
        <f t="shared" si="87"/>
        <v/>
      </c>
      <c r="I637" t="str">
        <f t="shared" si="88"/>
        <v/>
      </c>
    </row>
    <row r="638" spans="1:9">
      <c r="A638">
        <f>CSV!B638</f>
        <v>0</v>
      </c>
      <c r="B638" s="13" t="e">
        <f>INDEX(Input!$D$2:$AC$500,
       MATCH(CPU_Formula!A638, Input!$J$2:$J$500, 0),
       MATCH("CPU model", Input!$D$1:$AC$1, 0))</f>
        <v>#N/A</v>
      </c>
      <c r="C638" s="13" t="str">
        <f t="shared" si="82"/>
        <v/>
      </c>
      <c r="D638" s="13" t="str">
        <f t="shared" si="83"/>
        <v/>
      </c>
      <c r="E638" s="13" t="str">
        <f t="shared" si="84"/>
        <v/>
      </c>
      <c r="F638" s="13" t="str">
        <f t="shared" si="85"/>
        <v/>
      </c>
      <c r="G638" s="13" t="str">
        <f t="shared" si="86"/>
        <v/>
      </c>
      <c r="H638" s="13" t="str">
        <f t="shared" si="87"/>
        <v/>
      </c>
      <c r="I638" t="str">
        <f t="shared" si="88"/>
        <v/>
      </c>
    </row>
    <row r="639" spans="1:9">
      <c r="A639">
        <f>CSV!B639</f>
        <v>0</v>
      </c>
      <c r="B639" s="13" t="e">
        <f>INDEX(Input!$D$2:$AC$500,
       MATCH(CPU_Formula!A639, Input!$J$2:$J$500, 0),
       MATCH("CPU model", Input!$D$1:$AC$1, 0))</f>
        <v>#N/A</v>
      </c>
      <c r="C639" s="13" t="str">
        <f t="shared" si="82"/>
        <v/>
      </c>
      <c r="D639" s="13" t="str">
        <f t="shared" si="83"/>
        <v/>
      </c>
      <c r="E639" s="13" t="str">
        <f t="shared" si="84"/>
        <v/>
      </c>
      <c r="F639" s="13" t="str">
        <f t="shared" si="85"/>
        <v/>
      </c>
      <c r="G639" s="13" t="str">
        <f t="shared" si="86"/>
        <v/>
      </c>
      <c r="H639" s="13" t="str">
        <f t="shared" si="87"/>
        <v/>
      </c>
      <c r="I639" t="str">
        <f t="shared" si="88"/>
        <v/>
      </c>
    </row>
    <row r="640" spans="1:9">
      <c r="A640">
        <f>CSV!B640</f>
        <v>0</v>
      </c>
      <c r="B640" s="13" t="e">
        <f>INDEX(Input!$D$2:$AC$500,
       MATCH(CPU_Formula!A640, Input!$J$2:$J$500, 0),
       MATCH("CPU model", Input!$D$1:$AC$1, 0))</f>
        <v>#N/A</v>
      </c>
      <c r="C640" s="13" t="str">
        <f t="shared" si="82"/>
        <v/>
      </c>
      <c r="D640" s="13" t="str">
        <f t="shared" si="83"/>
        <v/>
      </c>
      <c r="E640" s="13" t="str">
        <f t="shared" si="84"/>
        <v/>
      </c>
      <c r="F640" s="13" t="str">
        <f t="shared" si="85"/>
        <v/>
      </c>
      <c r="G640" s="13" t="str">
        <f t="shared" si="86"/>
        <v/>
      </c>
      <c r="H640" s="13" t="str">
        <f t="shared" si="87"/>
        <v/>
      </c>
      <c r="I640" t="str">
        <f t="shared" si="88"/>
        <v/>
      </c>
    </row>
    <row r="641" spans="1:9">
      <c r="A641">
        <f>CSV!B641</f>
        <v>0</v>
      </c>
      <c r="B641" s="13" t="e">
        <f>INDEX(Input!$D$2:$AC$500,
       MATCH(CPU_Formula!A641, Input!$J$2:$J$500, 0),
       MATCH("CPU model", Input!$D$1:$AC$1, 0))</f>
        <v>#N/A</v>
      </c>
      <c r="C641" s="13" t="str">
        <f t="shared" si="82"/>
        <v/>
      </c>
      <c r="D641" s="13" t="str">
        <f t="shared" si="83"/>
        <v/>
      </c>
      <c r="E641" s="13" t="str">
        <f t="shared" si="84"/>
        <v/>
      </c>
      <c r="F641" s="13" t="str">
        <f t="shared" si="85"/>
        <v/>
      </c>
      <c r="G641" s="13" t="str">
        <f t="shared" si="86"/>
        <v/>
      </c>
      <c r="H641" s="13" t="str">
        <f t="shared" si="87"/>
        <v/>
      </c>
      <c r="I641" t="str">
        <f t="shared" si="88"/>
        <v/>
      </c>
    </row>
    <row r="642" spans="1:9">
      <c r="A642">
        <f>CSV!B642</f>
        <v>0</v>
      </c>
      <c r="B642" s="13" t="e">
        <f>INDEX(Input!$D$2:$AC$500,
       MATCH(CPU_Formula!A642, Input!$J$2:$J$500, 0),
       MATCH("CPU model", Input!$D$1:$AC$1, 0))</f>
        <v>#N/A</v>
      </c>
      <c r="C642" s="13" t="str">
        <f t="shared" si="82"/>
        <v/>
      </c>
      <c r="D642" s="13" t="str">
        <f t="shared" si="83"/>
        <v/>
      </c>
      <c r="E642" s="13" t="str">
        <f t="shared" si="84"/>
        <v/>
      </c>
      <c r="F642" s="13" t="str">
        <f t="shared" si="85"/>
        <v/>
      </c>
      <c r="G642" s="13" t="str">
        <f t="shared" si="86"/>
        <v/>
      </c>
      <c r="H642" s="13" t="str">
        <f t="shared" si="87"/>
        <v/>
      </c>
      <c r="I642" t="str">
        <f t="shared" si="88"/>
        <v/>
      </c>
    </row>
    <row r="643" spans="1:9">
      <c r="A643">
        <f>CSV!B643</f>
        <v>0</v>
      </c>
      <c r="B643" s="13" t="e">
        <f>INDEX(Input!$D$2:$AC$500,
       MATCH(CPU_Formula!A643, Input!$J$2:$J$500, 0),
       MATCH("CPU model", Input!$D$1:$AC$1, 0))</f>
        <v>#N/A</v>
      </c>
      <c r="C643" s="13" t="str">
        <f t="shared" si="82"/>
        <v/>
      </c>
      <c r="D643" s="13" t="str">
        <f t="shared" si="83"/>
        <v/>
      </c>
      <c r="E643" s="13" t="str">
        <f t="shared" si="84"/>
        <v/>
      </c>
      <c r="F643" s="13" t="str">
        <f t="shared" si="85"/>
        <v/>
      </c>
      <c r="G643" s="13" t="str">
        <f t="shared" si="86"/>
        <v/>
      </c>
      <c r="H643" s="13" t="str">
        <f t="shared" si="87"/>
        <v/>
      </c>
      <c r="I643" t="str">
        <f t="shared" si="88"/>
        <v/>
      </c>
    </row>
    <row r="644" spans="1:9">
      <c r="A644">
        <f>CSV!B644</f>
        <v>0</v>
      </c>
      <c r="B644" s="13" t="e">
        <f>INDEX(Input!$D$2:$AC$500,
       MATCH(CPU_Formula!A644, Input!$J$2:$J$500, 0),
       MATCH("CPU model", Input!$D$1:$AC$1, 0))</f>
        <v>#N/A</v>
      </c>
      <c r="C644" s="13" t="str">
        <f t="shared" si="82"/>
        <v/>
      </c>
      <c r="D644" s="13" t="str">
        <f t="shared" si="83"/>
        <v/>
      </c>
      <c r="E644" s="13" t="str">
        <f t="shared" si="84"/>
        <v/>
      </c>
      <c r="F644" s="13" t="str">
        <f t="shared" si="85"/>
        <v/>
      </c>
      <c r="G644" s="13" t="str">
        <f t="shared" si="86"/>
        <v/>
      </c>
      <c r="H644" s="13" t="str">
        <f t="shared" si="87"/>
        <v/>
      </c>
      <c r="I644" t="str">
        <f t="shared" si="88"/>
        <v/>
      </c>
    </row>
    <row r="645" spans="1:9">
      <c r="A645">
        <f>CSV!B645</f>
        <v>0</v>
      </c>
      <c r="B645" s="13" t="e">
        <f>INDEX(Input!$D$2:$AC$500,
       MATCH(CPU_Formula!A645, Input!$J$2:$J$500, 0),
       MATCH("CPU model", Input!$D$1:$AC$1, 0))</f>
        <v>#N/A</v>
      </c>
      <c r="C645" s="13" t="str">
        <f t="shared" si="82"/>
        <v/>
      </c>
      <c r="D645" s="13" t="str">
        <f t="shared" si="83"/>
        <v/>
      </c>
      <c r="E645" s="13" t="str">
        <f t="shared" si="84"/>
        <v/>
      </c>
      <c r="F645" s="13" t="str">
        <f t="shared" si="85"/>
        <v/>
      </c>
      <c r="G645" s="13" t="str">
        <f t="shared" si="86"/>
        <v/>
      </c>
      <c r="H645" s="13" t="str">
        <f t="shared" si="87"/>
        <v/>
      </c>
      <c r="I645" t="str">
        <f t="shared" si="88"/>
        <v/>
      </c>
    </row>
    <row r="646" spans="1:9">
      <c r="A646">
        <f>CSV!B646</f>
        <v>0</v>
      </c>
      <c r="B646" s="13" t="e">
        <f>INDEX(Input!$D$2:$AC$500,
       MATCH(CPU_Formula!A646, Input!$J$2:$J$500, 0),
       MATCH("CPU model", Input!$D$1:$AC$1, 0))</f>
        <v>#N/A</v>
      </c>
      <c r="C646" s="13" t="str">
        <f t="shared" si="82"/>
        <v/>
      </c>
      <c r="D646" s="13" t="str">
        <f t="shared" si="83"/>
        <v/>
      </c>
      <c r="E646" s="13" t="str">
        <f t="shared" si="84"/>
        <v/>
      </c>
      <c r="F646" s="13" t="str">
        <f t="shared" si="85"/>
        <v/>
      </c>
      <c r="G646" s="13" t="str">
        <f t="shared" si="86"/>
        <v/>
      </c>
      <c r="H646" s="13" t="str">
        <f t="shared" si="87"/>
        <v/>
      </c>
      <c r="I646" t="str">
        <f t="shared" si="88"/>
        <v/>
      </c>
    </row>
    <row r="647" spans="1:9">
      <c r="A647">
        <f>CSV!B647</f>
        <v>0</v>
      </c>
      <c r="B647" s="13" t="e">
        <f>INDEX(Input!$D$2:$AC$500,
       MATCH(CPU_Formula!A647, Input!$J$2:$J$500, 0),
       MATCH("CPU model", Input!$D$1:$AC$1, 0))</f>
        <v>#N/A</v>
      </c>
      <c r="C647" s="13" t="str">
        <f t="shared" si="82"/>
        <v/>
      </c>
      <c r="D647" s="13" t="str">
        <f t="shared" si="83"/>
        <v/>
      </c>
      <c r="E647" s="13" t="str">
        <f t="shared" si="84"/>
        <v/>
      </c>
      <c r="F647" s="13" t="str">
        <f t="shared" si="85"/>
        <v/>
      </c>
      <c r="G647" s="13" t="str">
        <f t="shared" si="86"/>
        <v/>
      </c>
      <c r="H647" s="13" t="str">
        <f t="shared" si="87"/>
        <v/>
      </c>
      <c r="I647" t="str">
        <f t="shared" si="88"/>
        <v/>
      </c>
    </row>
    <row r="648" spans="1:9">
      <c r="A648">
        <f>CSV!B648</f>
        <v>0</v>
      </c>
      <c r="B648" s="13" t="e">
        <f>INDEX(Input!$D$2:$AC$500,
       MATCH(CPU_Formula!A648, Input!$J$2:$J$500, 0),
       MATCH("CPU model", Input!$D$1:$AC$1, 0))</f>
        <v>#N/A</v>
      </c>
      <c r="C648" s="13" t="str">
        <f t="shared" si="82"/>
        <v/>
      </c>
      <c r="D648" s="13" t="str">
        <f t="shared" si="83"/>
        <v/>
      </c>
      <c r="E648" s="13" t="str">
        <f t="shared" si="84"/>
        <v/>
      </c>
      <c r="F648" s="13" t="str">
        <f t="shared" si="85"/>
        <v/>
      </c>
      <c r="G648" s="13" t="str">
        <f t="shared" si="86"/>
        <v/>
      </c>
      <c r="H648" s="13" t="str">
        <f t="shared" si="87"/>
        <v/>
      </c>
      <c r="I648" t="str">
        <f t="shared" si="88"/>
        <v/>
      </c>
    </row>
    <row r="649" spans="1:9">
      <c r="A649">
        <f>CSV!B649</f>
        <v>0</v>
      </c>
      <c r="B649" s="13" t="e">
        <f>INDEX(Input!$D$2:$AC$500,
       MATCH(CPU_Formula!A649, Input!$J$2:$J$500, 0),
       MATCH("CPU model", Input!$D$1:$AC$1, 0))</f>
        <v>#N/A</v>
      </c>
      <c r="C649" s="13" t="str">
        <f t="shared" si="82"/>
        <v/>
      </c>
      <c r="D649" s="13" t="str">
        <f t="shared" si="83"/>
        <v/>
      </c>
      <c r="E649" s="13" t="str">
        <f t="shared" si="84"/>
        <v/>
      </c>
      <c r="F649" s="13" t="str">
        <f t="shared" si="85"/>
        <v/>
      </c>
      <c r="G649" s="13" t="str">
        <f t="shared" si="86"/>
        <v/>
      </c>
      <c r="H649" s="13" t="str">
        <f t="shared" si="87"/>
        <v/>
      </c>
      <c r="I649" t="str">
        <f t="shared" si="88"/>
        <v/>
      </c>
    </row>
    <row r="650" spans="1:9">
      <c r="A650">
        <f>CSV!B650</f>
        <v>0</v>
      </c>
      <c r="B650" s="13" t="e">
        <f>INDEX(Input!$D$2:$AC$500,
       MATCH(CPU_Formula!A650, Input!$J$2:$J$500, 0),
       MATCH("CPU model", Input!$D$1:$AC$1, 0))</f>
        <v>#N/A</v>
      </c>
      <c r="C650" s="13" t="str">
        <f t="shared" si="82"/>
        <v/>
      </c>
      <c r="D650" s="13" t="str">
        <f t="shared" si="83"/>
        <v/>
      </c>
      <c r="E650" s="13" t="str">
        <f t="shared" si="84"/>
        <v/>
      </c>
      <c r="F650" s="13" t="str">
        <f t="shared" si="85"/>
        <v/>
      </c>
      <c r="G650" s="13" t="str">
        <f t="shared" si="86"/>
        <v/>
      </c>
      <c r="H650" s="13" t="str">
        <f t="shared" si="87"/>
        <v/>
      </c>
      <c r="I650" t="str">
        <f t="shared" si="88"/>
        <v/>
      </c>
    </row>
    <row r="651" spans="1:9">
      <c r="A651">
        <f>CSV!B651</f>
        <v>0</v>
      </c>
      <c r="B651" s="13" t="e">
        <f>INDEX(Input!$D$2:$AC$500,
       MATCH(CPU_Formula!A651, Input!$J$2:$J$500, 0),
       MATCH("CPU model", Input!$D$1:$AC$1, 0))</f>
        <v>#N/A</v>
      </c>
      <c r="C651" s="13" t="str">
        <f t="shared" si="82"/>
        <v/>
      </c>
      <c r="D651" s="13" t="str">
        <f t="shared" si="83"/>
        <v/>
      </c>
      <c r="E651" s="13" t="str">
        <f t="shared" si="84"/>
        <v/>
      </c>
      <c r="F651" s="13" t="str">
        <f t="shared" si="85"/>
        <v/>
      </c>
      <c r="G651" s="13" t="str">
        <f t="shared" si="86"/>
        <v/>
      </c>
      <c r="H651" s="13" t="str">
        <f t="shared" si="87"/>
        <v/>
      </c>
      <c r="I651" t="str">
        <f t="shared" si="88"/>
        <v/>
      </c>
    </row>
    <row r="652" spans="1:9">
      <c r="A652">
        <f>CSV!B652</f>
        <v>0</v>
      </c>
      <c r="B652" s="13" t="e">
        <f>INDEX(Input!$D$2:$AC$500,
       MATCH(CPU_Formula!A652, Input!$J$2:$J$500, 0),
       MATCH("CPU model", Input!$D$1:$AC$1, 0))</f>
        <v>#N/A</v>
      </c>
      <c r="C652" s="13" t="str">
        <f t="shared" si="82"/>
        <v/>
      </c>
      <c r="D652" s="13" t="str">
        <f t="shared" si="83"/>
        <v/>
      </c>
      <c r="E652" s="13" t="str">
        <f t="shared" si="84"/>
        <v/>
      </c>
      <c r="F652" s="13" t="str">
        <f t="shared" si="85"/>
        <v/>
      </c>
      <c r="G652" s="13" t="str">
        <f t="shared" si="86"/>
        <v/>
      </c>
      <c r="H652" s="13" t="str">
        <f t="shared" si="87"/>
        <v/>
      </c>
      <c r="I652" t="str">
        <f t="shared" si="88"/>
        <v/>
      </c>
    </row>
    <row r="653" spans="1:9">
      <c r="A653">
        <f>CSV!B653</f>
        <v>0</v>
      </c>
      <c r="B653" s="13" t="e">
        <f>INDEX(Input!$D$2:$AC$500,
       MATCH(CPU_Formula!A653, Input!$J$2:$J$500, 0),
       MATCH("CPU model", Input!$D$1:$AC$1, 0))</f>
        <v>#N/A</v>
      </c>
      <c r="C653" s="13" t="str">
        <f t="shared" si="82"/>
        <v/>
      </c>
      <c r="D653" s="13" t="str">
        <f t="shared" si="83"/>
        <v/>
      </c>
      <c r="E653" s="13" t="str">
        <f t="shared" si="84"/>
        <v/>
      </c>
      <c r="F653" s="13" t="str">
        <f t="shared" si="85"/>
        <v/>
      </c>
      <c r="G653" s="13" t="str">
        <f t="shared" si="86"/>
        <v/>
      </c>
      <c r="H653" s="13" t="str">
        <f t="shared" si="87"/>
        <v/>
      </c>
      <c r="I653" t="str">
        <f t="shared" si="88"/>
        <v/>
      </c>
    </row>
    <row r="654" spans="1:9">
      <c r="A654">
        <f>CSV!B654</f>
        <v>0</v>
      </c>
      <c r="B654" s="13" t="e">
        <f>INDEX(Input!$D$2:$AC$500,
       MATCH(CPU_Formula!A654, Input!$J$2:$J$500, 0),
       MATCH("CPU model", Input!$D$1:$AC$1, 0))</f>
        <v>#N/A</v>
      </c>
      <c r="C654" s="13" t="str">
        <f t="shared" si="82"/>
        <v/>
      </c>
      <c r="D654" s="13" t="str">
        <f t="shared" si="83"/>
        <v/>
      </c>
      <c r="E654" s="13" t="str">
        <f t="shared" si="84"/>
        <v/>
      </c>
      <c r="F654" s="13" t="str">
        <f t="shared" si="85"/>
        <v/>
      </c>
      <c r="G654" s="13" t="str">
        <f t="shared" si="86"/>
        <v/>
      </c>
      <c r="H654" s="13" t="str">
        <f t="shared" si="87"/>
        <v/>
      </c>
      <c r="I654" t="str">
        <f t="shared" si="88"/>
        <v/>
      </c>
    </row>
    <row r="655" spans="1:9">
      <c r="A655">
        <f>CSV!B655</f>
        <v>0</v>
      </c>
      <c r="B655" s="13" t="e">
        <f>INDEX(Input!$D$2:$AC$500,
       MATCH(CPU_Formula!A655, Input!$J$2:$J$500, 0),
       MATCH("CPU model", Input!$D$1:$AC$1, 0))</f>
        <v>#N/A</v>
      </c>
      <c r="C655" s="13" t="str">
        <f t="shared" si="82"/>
        <v/>
      </c>
      <c r="D655" s="13" t="str">
        <f t="shared" si="83"/>
        <v/>
      </c>
      <c r="E655" s="13" t="str">
        <f t="shared" si="84"/>
        <v/>
      </c>
      <c r="F655" s="13" t="str">
        <f t="shared" si="85"/>
        <v/>
      </c>
      <c r="G655" s="13" t="str">
        <f t="shared" si="86"/>
        <v/>
      </c>
      <c r="H655" s="13" t="str">
        <f t="shared" si="87"/>
        <v/>
      </c>
      <c r="I655" t="str">
        <f t="shared" si="88"/>
        <v/>
      </c>
    </row>
    <row r="656" spans="1:9">
      <c r="A656">
        <f>CSV!B656</f>
        <v>0</v>
      </c>
      <c r="B656" s="13" t="e">
        <f>INDEX(Input!$D$2:$AC$500,
       MATCH(CPU_Formula!A656, Input!$J$2:$J$500, 0),
       MATCH("CPU model", Input!$D$1:$AC$1, 0))</f>
        <v>#N/A</v>
      </c>
      <c r="C656" s="13" t="str">
        <f t="shared" si="82"/>
        <v/>
      </c>
      <c r="D656" s="13" t="str">
        <f t="shared" si="83"/>
        <v/>
      </c>
      <c r="E656" s="13" t="str">
        <f t="shared" si="84"/>
        <v/>
      </c>
      <c r="F656" s="13" t="str">
        <f t="shared" si="85"/>
        <v/>
      </c>
      <c r="G656" s="13" t="str">
        <f t="shared" si="86"/>
        <v/>
      </c>
      <c r="H656" s="13" t="str">
        <f t="shared" si="87"/>
        <v/>
      </c>
      <c r="I656" t="str">
        <f t="shared" si="88"/>
        <v/>
      </c>
    </row>
    <row r="657" spans="1:9">
      <c r="A657">
        <f>CSV!B657</f>
        <v>0</v>
      </c>
      <c r="B657" s="13" t="e">
        <f>INDEX(Input!$D$2:$AC$500,
       MATCH(CPU_Formula!A657, Input!$J$2:$J$500, 0),
       MATCH("CPU model", Input!$D$1:$AC$1, 0))</f>
        <v>#N/A</v>
      </c>
      <c r="C657" s="13" t="str">
        <f t="shared" si="82"/>
        <v/>
      </c>
      <c r="D657" s="13" t="str">
        <f t="shared" si="83"/>
        <v/>
      </c>
      <c r="E657" s="13" t="str">
        <f t="shared" si="84"/>
        <v/>
      </c>
      <c r="F657" s="13" t="str">
        <f t="shared" si="85"/>
        <v/>
      </c>
      <c r="G657" s="13" t="str">
        <f t="shared" si="86"/>
        <v/>
      </c>
      <c r="H657" s="13" t="str">
        <f t="shared" si="87"/>
        <v/>
      </c>
      <c r="I657" t="str">
        <f t="shared" si="88"/>
        <v/>
      </c>
    </row>
    <row r="658" spans="1:9">
      <c r="A658">
        <f>CSV!B658</f>
        <v>0</v>
      </c>
      <c r="B658" s="13" t="e">
        <f>INDEX(Input!$D$2:$AC$500,
       MATCH(CPU_Formula!A658, Input!$J$2:$J$500, 0),
       MATCH("CPU model", Input!$D$1:$AC$1, 0))</f>
        <v>#N/A</v>
      </c>
      <c r="C658" s="13" t="str">
        <f t="shared" si="82"/>
        <v/>
      </c>
      <c r="D658" s="13" t="str">
        <f t="shared" si="83"/>
        <v/>
      </c>
      <c r="E658" s="13" t="str">
        <f t="shared" si="84"/>
        <v/>
      </c>
      <c r="F658" s="13" t="str">
        <f t="shared" si="85"/>
        <v/>
      </c>
      <c r="G658" s="13" t="str">
        <f t="shared" si="86"/>
        <v/>
      </c>
      <c r="H658" s="13" t="str">
        <f t="shared" si="87"/>
        <v/>
      </c>
      <c r="I658" t="str">
        <f t="shared" si="88"/>
        <v/>
      </c>
    </row>
    <row r="659" spans="1:9">
      <c r="A659">
        <f>CSV!B659</f>
        <v>0</v>
      </c>
      <c r="B659" s="13" t="e">
        <f>INDEX(Input!$D$2:$AC$500,
       MATCH(CPU_Formula!A659, Input!$J$2:$J$500, 0),
       MATCH("CPU model", Input!$D$1:$AC$1, 0))</f>
        <v>#N/A</v>
      </c>
      <c r="C659" s="13" t="str">
        <f t="shared" si="82"/>
        <v/>
      </c>
      <c r="D659" s="13" t="str">
        <f t="shared" si="83"/>
        <v/>
      </c>
      <c r="E659" s="13" t="str">
        <f t="shared" si="84"/>
        <v/>
      </c>
      <c r="F659" s="13" t="str">
        <f t="shared" si="85"/>
        <v/>
      </c>
      <c r="G659" s="13" t="str">
        <f t="shared" si="86"/>
        <v/>
      </c>
      <c r="H659" s="13" t="str">
        <f t="shared" si="87"/>
        <v/>
      </c>
      <c r="I659" t="str">
        <f t="shared" si="88"/>
        <v/>
      </c>
    </row>
    <row r="660" spans="1:9">
      <c r="A660">
        <f>CSV!B660</f>
        <v>0</v>
      </c>
      <c r="B660" s="13" t="e">
        <f>INDEX(Input!$D$2:$AC$500,
       MATCH(CPU_Formula!A660, Input!$J$2:$J$500, 0),
       MATCH("CPU model", Input!$D$1:$AC$1, 0))</f>
        <v>#N/A</v>
      </c>
      <c r="C660" s="13" t="str">
        <f t="shared" si="82"/>
        <v/>
      </c>
      <c r="D660" s="13" t="str">
        <f t="shared" si="83"/>
        <v/>
      </c>
      <c r="E660" s="13" t="str">
        <f t="shared" si="84"/>
        <v/>
      </c>
      <c r="F660" s="13" t="str">
        <f t="shared" si="85"/>
        <v/>
      </c>
      <c r="G660" s="13" t="str">
        <f t="shared" si="86"/>
        <v/>
      </c>
      <c r="H660" s="13" t="str">
        <f t="shared" si="87"/>
        <v/>
      </c>
      <c r="I660" t="str">
        <f t="shared" si="88"/>
        <v/>
      </c>
    </row>
    <row r="661" spans="1:9">
      <c r="A661">
        <f>CSV!B661</f>
        <v>0</v>
      </c>
      <c r="B661" s="13" t="e">
        <f>INDEX(Input!$D$2:$AC$500,
       MATCH(CPU_Formula!A661, Input!$J$2:$J$500, 0),
       MATCH("CPU model", Input!$D$1:$AC$1, 0))</f>
        <v>#N/A</v>
      </c>
      <c r="C661" s="13" t="str">
        <f t="shared" si="82"/>
        <v/>
      </c>
      <c r="D661" s="13" t="str">
        <f t="shared" si="83"/>
        <v/>
      </c>
      <c r="E661" s="13" t="str">
        <f t="shared" si="84"/>
        <v/>
      </c>
      <c r="F661" s="13" t="str">
        <f t="shared" si="85"/>
        <v/>
      </c>
      <c r="G661" s="13" t="str">
        <f t="shared" si="86"/>
        <v/>
      </c>
      <c r="H661" s="13" t="str">
        <f t="shared" si="87"/>
        <v/>
      </c>
      <c r="I661" t="str">
        <f t="shared" si="88"/>
        <v/>
      </c>
    </row>
    <row r="662" spans="1:9">
      <c r="A662">
        <f>CSV!B662</f>
        <v>0</v>
      </c>
      <c r="B662" s="13" t="e">
        <f>INDEX(Input!$D$2:$AC$500,
       MATCH(CPU_Formula!A662, Input!$J$2:$J$500, 0),
       MATCH("CPU model", Input!$D$1:$AC$1, 0))</f>
        <v>#N/A</v>
      </c>
      <c r="C662" s="13" t="str">
        <f t="shared" si="82"/>
        <v/>
      </c>
      <c r="D662" s="13" t="str">
        <f t="shared" si="83"/>
        <v/>
      </c>
      <c r="E662" s="13" t="str">
        <f t="shared" si="84"/>
        <v/>
      </c>
      <c r="F662" s="13" t="str">
        <f t="shared" si="85"/>
        <v/>
      </c>
      <c r="G662" s="13" t="str">
        <f t="shared" si="86"/>
        <v/>
      </c>
      <c r="H662" s="13" t="str">
        <f t="shared" si="87"/>
        <v/>
      </c>
      <c r="I662" t="str">
        <f t="shared" si="88"/>
        <v/>
      </c>
    </row>
    <row r="663" spans="1:9">
      <c r="A663">
        <f>CSV!B663</f>
        <v>0</v>
      </c>
      <c r="B663" s="13" t="e">
        <f>INDEX(Input!$D$2:$AC$500,
       MATCH(CPU_Formula!A663, Input!$J$2:$J$500, 0),
       MATCH("CPU model", Input!$D$1:$AC$1, 0))</f>
        <v>#N/A</v>
      </c>
      <c r="C663" s="13" t="str">
        <f t="shared" si="82"/>
        <v/>
      </c>
      <c r="D663" s="13" t="str">
        <f t="shared" si="83"/>
        <v/>
      </c>
      <c r="E663" s="13" t="str">
        <f t="shared" si="84"/>
        <v/>
      </c>
      <c r="F663" s="13" t="str">
        <f t="shared" si="85"/>
        <v/>
      </c>
      <c r="G663" s="13" t="str">
        <f t="shared" si="86"/>
        <v/>
      </c>
      <c r="H663" s="13" t="str">
        <f t="shared" si="87"/>
        <v/>
      </c>
      <c r="I663" t="str">
        <f t="shared" si="88"/>
        <v/>
      </c>
    </row>
    <row r="664" spans="1:9">
      <c r="A664">
        <f>CSV!B664</f>
        <v>0</v>
      </c>
      <c r="B664" s="13" t="e">
        <f>INDEX(Input!$D$2:$AC$500,
       MATCH(CPU_Formula!A664, Input!$J$2:$J$500, 0),
       MATCH("CPU model", Input!$D$1:$AC$1, 0))</f>
        <v>#N/A</v>
      </c>
      <c r="C664" s="13" t="str">
        <f t="shared" si="82"/>
        <v/>
      </c>
      <c r="D664" s="13" t="str">
        <f t="shared" si="83"/>
        <v/>
      </c>
      <c r="E664" s="13" t="str">
        <f t="shared" si="84"/>
        <v/>
      </c>
      <c r="F664" s="13" t="str">
        <f t="shared" si="85"/>
        <v/>
      </c>
      <c r="G664" s="13" t="str">
        <f t="shared" si="86"/>
        <v/>
      </c>
      <c r="H664" s="13" t="str">
        <f t="shared" si="87"/>
        <v/>
      </c>
      <c r="I664" t="str">
        <f t="shared" si="88"/>
        <v/>
      </c>
    </row>
    <row r="665" spans="1:9">
      <c r="A665">
        <f>CSV!B665</f>
        <v>0</v>
      </c>
      <c r="B665" s="13" t="e">
        <f>INDEX(Input!$D$2:$AC$500,
       MATCH(CPU_Formula!A665, Input!$J$2:$J$500, 0),
       MATCH("CPU model", Input!$D$1:$AC$1, 0))</f>
        <v>#N/A</v>
      </c>
      <c r="C665" s="13" t="str">
        <f t="shared" si="82"/>
        <v/>
      </c>
      <c r="D665" s="13" t="str">
        <f t="shared" si="83"/>
        <v/>
      </c>
      <c r="E665" s="13" t="str">
        <f t="shared" si="84"/>
        <v/>
      </c>
      <c r="F665" s="13" t="str">
        <f t="shared" si="85"/>
        <v/>
      </c>
      <c r="G665" s="13" t="str">
        <f t="shared" si="86"/>
        <v/>
      </c>
      <c r="H665" s="13" t="str">
        <f t="shared" si="87"/>
        <v/>
      </c>
      <c r="I665" t="str">
        <f t="shared" si="88"/>
        <v/>
      </c>
    </row>
    <row r="666" spans="1:9">
      <c r="A666">
        <f>CSV!B666</f>
        <v>0</v>
      </c>
      <c r="B666" s="13" t="e">
        <f>INDEX(Input!$D$2:$AC$500,
       MATCH(CPU_Formula!A666, Input!$J$2:$J$500, 0),
       MATCH("CPU model", Input!$D$1:$AC$1, 0))</f>
        <v>#N/A</v>
      </c>
      <c r="C666" s="13" t="str">
        <f t="shared" si="82"/>
        <v/>
      </c>
      <c r="D666" s="13" t="str">
        <f t="shared" si="83"/>
        <v/>
      </c>
      <c r="E666" s="13" t="str">
        <f t="shared" si="84"/>
        <v/>
      </c>
      <c r="F666" s="13" t="str">
        <f t="shared" si="85"/>
        <v/>
      </c>
      <c r="G666" s="13" t="str">
        <f t="shared" si="86"/>
        <v/>
      </c>
      <c r="H666" s="13" t="str">
        <f t="shared" si="87"/>
        <v/>
      </c>
      <c r="I666" t="str">
        <f t="shared" si="88"/>
        <v/>
      </c>
    </row>
    <row r="667" spans="1:9">
      <c r="A667">
        <f>CSV!B667</f>
        <v>0</v>
      </c>
      <c r="B667" s="13" t="e">
        <f>INDEX(Input!$D$2:$AC$500,
       MATCH(CPU_Formula!A667, Input!$J$2:$J$500, 0),
       MATCH("CPU model", Input!$D$1:$AC$1, 0))</f>
        <v>#N/A</v>
      </c>
      <c r="C667" s="13" t="str">
        <f t="shared" si="82"/>
        <v/>
      </c>
      <c r="D667" s="13" t="str">
        <f t="shared" si="83"/>
        <v/>
      </c>
      <c r="E667" s="13" t="str">
        <f t="shared" si="84"/>
        <v/>
      </c>
      <c r="F667" s="13" t="str">
        <f t="shared" si="85"/>
        <v/>
      </c>
      <c r="G667" s="13" t="str">
        <f t="shared" si="86"/>
        <v/>
      </c>
      <c r="H667" s="13" t="str">
        <f t="shared" si="87"/>
        <v/>
      </c>
      <c r="I667" t="str">
        <f t="shared" si="88"/>
        <v/>
      </c>
    </row>
    <row r="668" spans="1:9">
      <c r="A668">
        <f>CSV!B668</f>
        <v>0</v>
      </c>
      <c r="B668" s="13" t="e">
        <f>INDEX(Input!$D$2:$AC$500,
       MATCH(CPU_Formula!A668, Input!$J$2:$J$500, 0),
       MATCH("CPU model", Input!$D$1:$AC$1, 0))</f>
        <v>#N/A</v>
      </c>
      <c r="C668" s="13" t="str">
        <f t="shared" si="82"/>
        <v/>
      </c>
      <c r="D668" s="13" t="str">
        <f t="shared" si="83"/>
        <v/>
      </c>
      <c r="E668" s="13" t="str">
        <f t="shared" si="84"/>
        <v/>
      </c>
      <c r="F668" s="13" t="str">
        <f t="shared" si="85"/>
        <v/>
      </c>
      <c r="G668" s="13" t="str">
        <f t="shared" si="86"/>
        <v/>
      </c>
      <c r="H668" s="13" t="str">
        <f t="shared" si="87"/>
        <v/>
      </c>
      <c r="I668" t="str">
        <f t="shared" si="88"/>
        <v/>
      </c>
    </row>
    <row r="669" spans="1:9">
      <c r="A669">
        <f>CSV!B669</f>
        <v>0</v>
      </c>
      <c r="B669" s="13" t="e">
        <f>INDEX(Input!$D$2:$AC$500,
       MATCH(CPU_Formula!A669, Input!$J$2:$J$500, 0),
       MATCH("CPU model", Input!$D$1:$AC$1, 0))</f>
        <v>#N/A</v>
      </c>
      <c r="C669" s="13" t="str">
        <f t="shared" si="82"/>
        <v/>
      </c>
      <c r="D669" s="13" t="str">
        <f t="shared" si="83"/>
        <v/>
      </c>
      <c r="E669" s="13" t="str">
        <f t="shared" si="84"/>
        <v/>
      </c>
      <c r="F669" s="13" t="str">
        <f t="shared" si="85"/>
        <v/>
      </c>
      <c r="G669" s="13" t="str">
        <f t="shared" si="86"/>
        <v/>
      </c>
      <c r="H669" s="13" t="str">
        <f t="shared" si="87"/>
        <v/>
      </c>
      <c r="I669" t="str">
        <f t="shared" si="88"/>
        <v/>
      </c>
    </row>
    <row r="670" spans="1:9">
      <c r="A670">
        <f>CSV!B670</f>
        <v>0</v>
      </c>
      <c r="B670" s="13" t="e">
        <f>INDEX(Input!$D$2:$AC$500,
       MATCH(CPU_Formula!A670, Input!$J$2:$J$500, 0),
       MATCH("CPU model", Input!$D$1:$AC$1, 0))</f>
        <v>#N/A</v>
      </c>
      <c r="C670" s="13" t="str">
        <f t="shared" si="82"/>
        <v/>
      </c>
      <c r="D670" s="13" t="str">
        <f t="shared" si="83"/>
        <v/>
      </c>
      <c r="E670" s="13" t="str">
        <f t="shared" si="84"/>
        <v/>
      </c>
      <c r="F670" s="13" t="str">
        <f t="shared" si="85"/>
        <v/>
      </c>
      <c r="G670" s="13" t="str">
        <f t="shared" si="86"/>
        <v/>
      </c>
      <c r="H670" s="13" t="str">
        <f t="shared" si="87"/>
        <v/>
      </c>
      <c r="I670" t="str">
        <f t="shared" si="88"/>
        <v/>
      </c>
    </row>
    <row r="671" spans="1:9">
      <c r="C671" s="13" t="str">
        <f t="shared" ref="C671:C693" si="89">IFERROR(_xlfn.TEXTAFTER(B671,"Core(TM) "),IFERROR(_xlfn.TEXTAFTER(B671,"Xeon(R) CPU"),""))</f>
        <v/>
      </c>
    </row>
    <row r="672" spans="1:9">
      <c r="C672" s="13" t="str">
        <f t="shared" si="89"/>
        <v/>
      </c>
    </row>
    <row r="673" spans="3:3">
      <c r="C673" s="13" t="str">
        <f t="shared" si="89"/>
        <v/>
      </c>
    </row>
    <row r="674" spans="3:3">
      <c r="C674" s="13" t="str">
        <f t="shared" si="89"/>
        <v/>
      </c>
    </row>
    <row r="675" spans="3:3">
      <c r="C675" s="13" t="str">
        <f t="shared" si="89"/>
        <v/>
      </c>
    </row>
    <row r="676" spans="3:3">
      <c r="C676" s="13" t="str">
        <f t="shared" si="89"/>
        <v/>
      </c>
    </row>
    <row r="677" spans="3:3">
      <c r="C677" s="13" t="str">
        <f t="shared" si="89"/>
        <v/>
      </c>
    </row>
    <row r="678" spans="3:3">
      <c r="C678" s="13" t="str">
        <f t="shared" si="89"/>
        <v/>
      </c>
    </row>
    <row r="679" spans="3:3">
      <c r="C679" s="13" t="str">
        <f t="shared" si="89"/>
        <v/>
      </c>
    </row>
    <row r="680" spans="3:3">
      <c r="C680" s="13" t="str">
        <f t="shared" si="89"/>
        <v/>
      </c>
    </row>
    <row r="681" spans="3:3">
      <c r="C681" s="13" t="str">
        <f t="shared" si="89"/>
        <v/>
      </c>
    </row>
    <row r="682" spans="3:3">
      <c r="C682" s="13" t="str">
        <f t="shared" si="89"/>
        <v/>
      </c>
    </row>
    <row r="683" spans="3:3">
      <c r="C683" s="13" t="str">
        <f t="shared" si="89"/>
        <v/>
      </c>
    </row>
    <row r="684" spans="3:3">
      <c r="C684" s="13" t="str">
        <f t="shared" si="89"/>
        <v/>
      </c>
    </row>
    <row r="685" spans="3:3">
      <c r="C685" s="13" t="str">
        <f t="shared" si="89"/>
        <v/>
      </c>
    </row>
    <row r="686" spans="3:3">
      <c r="C686" s="13" t="str">
        <f t="shared" si="89"/>
        <v/>
      </c>
    </row>
    <row r="687" spans="3:3">
      <c r="C687" s="13" t="str">
        <f t="shared" si="89"/>
        <v/>
      </c>
    </row>
    <row r="688" spans="3:3">
      <c r="C688" s="13" t="str">
        <f t="shared" si="89"/>
        <v/>
      </c>
    </row>
    <row r="689" spans="3:3">
      <c r="C689" s="13" t="str">
        <f t="shared" si="89"/>
        <v/>
      </c>
    </row>
    <row r="690" spans="3:3">
      <c r="C690" s="13" t="str">
        <f t="shared" si="89"/>
        <v/>
      </c>
    </row>
    <row r="691" spans="3:3">
      <c r="C691" s="13" t="str">
        <f t="shared" si="89"/>
        <v/>
      </c>
    </row>
    <row r="692" spans="3:3">
      <c r="C692" s="13" t="str">
        <f t="shared" si="89"/>
        <v/>
      </c>
    </row>
    <row r="693" spans="3:3">
      <c r="C693" s="13" t="str">
        <f t="shared" si="89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workbookViewId="0">
      <selection activeCell="H30" sqref="H30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272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274</v>
      </c>
      <c r="O1" s="12" t="s">
        <v>273</v>
      </c>
      <c r="P1" s="12" t="s">
        <v>18</v>
      </c>
      <c r="Q1" s="12" t="s">
        <v>275</v>
      </c>
      <c r="R1" s="12" t="s">
        <v>276</v>
      </c>
      <c r="S1" s="17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18</v>
      </c>
      <c r="Z1" s="1" t="s">
        <v>19</v>
      </c>
      <c r="AA1" s="1" t="s">
        <v>20</v>
      </c>
      <c r="AB1" s="37" t="s">
        <v>487</v>
      </c>
    </row>
    <row r="2" spans="1:28" ht="15.75" thickTop="1">
      <c r="A2" t="str">
        <f>MacReports!A2</f>
        <v/>
      </c>
      <c r="B2">
        <f>MacReports!B2</f>
        <v>0</v>
      </c>
      <c r="C2">
        <f>MacReports!D2</f>
        <v>0</v>
      </c>
      <c r="D2" t="str">
        <f>MacReports!C2&amp;""</f>
        <v/>
      </c>
      <c r="E2" t="e">
        <f>_xlfn.XLOOKUP(G2,Models!A:A,Models!F:F)</f>
        <v>#N/A</v>
      </c>
      <c r="F2" t="str">
        <f>_xlfn.XLOOKUP(B2,MacReports!B:B,MacReports!E:E,"")</f>
        <v/>
      </c>
      <c r="G2" s="13">
        <f>MacReports!F2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MacReports!G2</f>
        <v>0</v>
      </c>
      <c r="L2">
        <f>MacReports!H2</f>
        <v>0</v>
      </c>
      <c r="M2" s="15" t="e" cm="1">
        <f t="array" ref="M2">--_xlfn.LET(
    _xlpm.txt, MacReports!I2,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--MacReports!N2&lt;55,"Battery Defect",
  -- MacReports!N2&lt;=69,"Battery D",
  --MacReports!N2&lt;=80,"Battery C",
 --MacReports!N2&gt;80,""
)</f>
        <v>Battery Defect</v>
      </c>
      <c r="O2" s="16" t="str">
        <f>IF(MacReports!J2="Service","Battery Service","")</f>
        <v/>
      </c>
      <c r="P2" s="13">
        <f>MacReports!Q2</f>
        <v>0</v>
      </c>
      <c r="Q2" s="13" t="str">
        <f>IF(MacReports!K2="Enabled","Apple ID Lock","")</f>
        <v/>
      </c>
      <c r="R2" s="13" t="str">
        <f>IF(MacReports!M2="Remote Lock","Remote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Yes x2</v>
      </c>
      <c r="U2" t="str">
        <f>_xlfn.XLOOKUP(B2,Disk_Pivot!G:G,Disk_Pivot!N:N)</f>
        <v>Pass, Fail</v>
      </c>
      <c r="V2" t="str">
        <f>IF(U2="Fail",MacReports!O2,"")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MacReports!D3</f>
        <v>0</v>
      </c>
      <c r="D3" t="str">
        <f>MacReports!C3&amp;""</f>
        <v/>
      </c>
      <c r="E3" t="e">
        <f>_xlfn.XLOOKUP(G3,Models!A:A,Models!F:F)</f>
        <v>#N/A</v>
      </c>
      <c r="F3" t="str">
        <f>_xlfn.XLOOKUP(B3,MacReports!B:B,MacReports!E:E,"")</f>
        <v/>
      </c>
      <c r="G3" s="13">
        <f>MacReports!F3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MacReports!G3</f>
        <v>0</v>
      </c>
      <c r="L3">
        <f>MacReports!H3</f>
        <v>0</v>
      </c>
      <c r="M3" s="15" t="e" cm="1">
        <f t="array" ref="M3">--_xlfn.LET(
    _xlpm.txt, MacReports!I3,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--MacReports!N3&lt;55,"Battery Defect",
  -- MacReports!N3&lt;=69,"Battery D",
  --MacReports!N3&lt;=80,"Battery C",
 --MacReports!N3&gt;80,""
)</f>
        <v>Battery Defect</v>
      </c>
      <c r="O3" s="16" t="str">
        <f>IF(MacReports!J3="Service","Battery Service","")</f>
        <v/>
      </c>
      <c r="P3" s="13">
        <f>MacReports!Q3</f>
        <v>0</v>
      </c>
      <c r="Q3" s="13" t="str">
        <f>IF(MacReports!K3="Enabled","Apple ID Lock","")</f>
        <v/>
      </c>
      <c r="R3" s="13" t="str">
        <f>IF(MacReports!M3="Remote Lock","Remote Locked","")</f>
        <v/>
      </c>
      <c r="S3" t="str">
        <f t="shared" si="0"/>
        <v>Battery Defect, 0</v>
      </c>
      <c r="T3" t="str">
        <f>_xlfn.XLOOKUP(B3,Disk_Pivot!G:G,Disk_Pivot!I:I)</f>
        <v>Yes x2</v>
      </c>
      <c r="U3" t="str">
        <f>_xlfn.XLOOKUP(B3,Disk_Pivot!G:G,Disk_Pivot!N:N)</f>
        <v>Pass, Fail</v>
      </c>
      <c r="V3" t="str">
        <f>IF(U3="Fail",MacReports!O3,"")</f>
        <v/>
      </c>
      <c r="AB3" t="str">
        <f t="shared" ref="AB3:AB34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MacReports!D4</f>
        <v>0</v>
      </c>
      <c r="D4" t="str">
        <f>MacReports!C4&amp;""</f>
        <v/>
      </c>
      <c r="E4" t="e">
        <f>_xlfn.XLOOKUP(G4,Models!A:A,Models!F:F)</f>
        <v>#N/A</v>
      </c>
      <c r="F4" t="str">
        <f>_xlfn.XLOOKUP(B4,MacReports!B:B,MacReports!E:E,"")</f>
        <v/>
      </c>
      <c r="G4" s="13">
        <f>MacReports!F4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MacReports!G4</f>
        <v>0</v>
      </c>
      <c r="L4">
        <f>MacReports!H4</f>
        <v>0</v>
      </c>
      <c r="M4" s="15" t="e" cm="1">
        <f t="array" ref="M4">--_xlfn.LET(
    _xlpm.txt, MacReports!I4,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--MacReports!N4&lt;55,"Battery Defect",
  -- MacReports!N4&lt;=69,"Battery D",
  --MacReports!N4&lt;=80,"Battery C",
 --MacReports!N4&gt;80,""
)</f>
        <v>Battery Defect</v>
      </c>
      <c r="O4" s="16" t="str">
        <f>IF(MacReports!J4="Service","Battery Service","")</f>
        <v/>
      </c>
      <c r="P4" s="13">
        <f>MacReports!Q4</f>
        <v>0</v>
      </c>
      <c r="Q4" s="13" t="str">
        <f>IF(MacReports!K4="Enabled","Apple ID Lock","")</f>
        <v/>
      </c>
      <c r="R4" s="13" t="str">
        <f>IF(MacReports!M4="Remote Lock","Remote Locked","")</f>
        <v/>
      </c>
      <c r="S4" t="str">
        <f t="shared" si="0"/>
        <v>Battery Defect, 0</v>
      </c>
      <c r="T4" t="str">
        <f>_xlfn.XLOOKUP(B4,Disk_Pivot!G:G,Disk_Pivot!I:I)</f>
        <v>Yes x2</v>
      </c>
      <c r="U4" t="str">
        <f>_xlfn.XLOOKUP(B4,Disk_Pivot!G:G,Disk_Pivot!N:N)</f>
        <v>Pass, Fail</v>
      </c>
      <c r="V4" t="str">
        <f>IF(U4="Fail",MacReports!O4,"")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MacReports!D5</f>
        <v>0</v>
      </c>
      <c r="D5" t="str">
        <f>MacReports!C5&amp;""</f>
        <v/>
      </c>
      <c r="E5" t="e">
        <f>_xlfn.XLOOKUP(G5,Models!A:A,Models!F:F)</f>
        <v>#N/A</v>
      </c>
      <c r="F5" t="str">
        <f>_xlfn.XLOOKUP(B5,MacReports!B:B,MacReports!E:E,"")</f>
        <v/>
      </c>
      <c r="G5" s="13">
        <f>MacReports!F5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MacReports!G5</f>
        <v>0</v>
      </c>
      <c r="L5">
        <f>MacReports!H5</f>
        <v>0</v>
      </c>
      <c r="M5" s="15" t="e" cm="1">
        <f t="array" ref="M5">--_xlfn.LET(
    _xlpm.txt, MacReports!I5,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--MacReports!N5&lt;55,"Battery Defect",
  -- MacReports!N5&lt;=69,"Battery D",
  --MacReports!N5&lt;=80,"Battery C",
 --MacReports!N5&gt;80,""
)</f>
        <v>Battery Defect</v>
      </c>
      <c r="O5" s="16" t="str">
        <f>IF(MacReports!J5="Service","Battery Service","")</f>
        <v/>
      </c>
      <c r="P5" s="13">
        <f>MacReports!Q5</f>
        <v>0</v>
      </c>
      <c r="Q5" s="13" t="str">
        <f>IF(MacReports!K5="Enabled","Apple ID Lock","")</f>
        <v/>
      </c>
      <c r="R5" s="13" t="str">
        <f>IF(MacReports!M5="Remote Lock","Remote Locked","")</f>
        <v/>
      </c>
      <c r="S5" t="str">
        <f t="shared" si="0"/>
        <v>Battery Defect, 0</v>
      </c>
      <c r="T5" t="str">
        <f>_xlfn.XLOOKUP(B5,Disk_Pivot!G:G,Disk_Pivot!I:I)</f>
        <v>Yes x2</v>
      </c>
      <c r="U5" t="str">
        <f>_xlfn.XLOOKUP(B5,Disk_Pivot!G:G,Disk_Pivot!N:N)</f>
        <v>Pass, Fail</v>
      </c>
      <c r="V5" t="str">
        <f>IF(U5="Fail",MacReports!O5,"")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MacReports!D6</f>
        <v>0</v>
      </c>
      <c r="D6" t="str">
        <f>MacReports!C6&amp;""</f>
        <v/>
      </c>
      <c r="E6" t="e">
        <f>_xlfn.XLOOKUP(G6,Models!A:A,Models!F:F)</f>
        <v>#N/A</v>
      </c>
      <c r="F6" t="str">
        <f>_xlfn.XLOOKUP(B6,MacReports!B:B,MacReports!E:E,"")</f>
        <v/>
      </c>
      <c r="G6" s="13">
        <f>MacReports!F6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MacReports!G6</f>
        <v>0</v>
      </c>
      <c r="L6">
        <f>MacReports!H6</f>
        <v>0</v>
      </c>
      <c r="M6" s="15" t="e" cm="1">
        <f t="array" ref="M6">--_xlfn.LET(
    _xlpm.txt, MacReports!I6,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--MacReports!N6&lt;55,"Battery Defect",
  -- MacReports!N6&lt;=69,"Battery D",
  --MacReports!N6&lt;=80,"Battery C",
 --MacReports!N6&gt;80,""
)</f>
        <v>Battery Defect</v>
      </c>
      <c r="O6" s="16" t="str">
        <f>IF(MacReports!J6="Service","Battery Service","")</f>
        <v/>
      </c>
      <c r="P6" s="13">
        <f>MacReports!Q6</f>
        <v>0</v>
      </c>
      <c r="Q6" s="13" t="str">
        <f>IF(MacReports!K6="Enabled","Apple ID Lock","")</f>
        <v/>
      </c>
      <c r="R6" s="13" t="str">
        <f>IF(MacReports!M6="Remote Lock","Remote Locked","")</f>
        <v/>
      </c>
      <c r="S6" t="str">
        <f t="shared" si="0"/>
        <v>Battery Defect, 0</v>
      </c>
      <c r="T6" t="str">
        <f>_xlfn.XLOOKUP(B6,Disk_Pivot!G:G,Disk_Pivot!I:I)</f>
        <v>Yes x2</v>
      </c>
      <c r="U6" t="str">
        <f>_xlfn.XLOOKUP(B6,Disk_Pivot!G:G,Disk_Pivot!N:N)</f>
        <v>Pass, Fail</v>
      </c>
      <c r="V6" t="str">
        <f>IF(U6="Fail",MacReports!O6,"")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MacReports!D7</f>
        <v>0</v>
      </c>
      <c r="D7" t="str">
        <f>MacReports!C7&amp;""</f>
        <v/>
      </c>
      <c r="E7" t="e">
        <f>_xlfn.XLOOKUP(G7,Models!A:A,Models!F:F)</f>
        <v>#N/A</v>
      </c>
      <c r="F7" t="str">
        <f>_xlfn.XLOOKUP(B7,MacReports!B:B,MacReports!E:E,"")</f>
        <v/>
      </c>
      <c r="G7" s="13">
        <f>MacReports!F7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MacReports!G7</f>
        <v>0</v>
      </c>
      <c r="L7">
        <f>MacReports!H7</f>
        <v>0</v>
      </c>
      <c r="M7" s="15" t="e" cm="1">
        <f t="array" ref="M7">--_xlfn.LET(
    _xlpm.txt, MacReports!I7,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--MacReports!N7&lt;55,"Battery Defect",
  -- MacReports!N7&lt;=69,"Battery D",
  --MacReports!N7&lt;=80,"Battery C",
 --MacReports!N7&gt;80,""
)</f>
        <v>Battery Defect</v>
      </c>
      <c r="O7" s="16" t="str">
        <f>IF(MacReports!J7="Service","Battery Service","")</f>
        <v/>
      </c>
      <c r="P7" s="13">
        <f>MacReports!Q7</f>
        <v>0</v>
      </c>
      <c r="Q7" s="13" t="str">
        <f>IF(MacReports!K7="Enabled","Apple ID Lock","")</f>
        <v/>
      </c>
      <c r="R7" s="13" t="str">
        <f>IF(MacReports!M7="Remote Lock","Remote Locked","")</f>
        <v/>
      </c>
      <c r="S7" t="str">
        <f t="shared" si="0"/>
        <v>Battery Defect, 0</v>
      </c>
      <c r="T7" t="str">
        <f>_xlfn.XLOOKUP(B7,Disk_Pivot!G:G,Disk_Pivot!I:I)</f>
        <v>Yes x2</v>
      </c>
      <c r="U7" t="str">
        <f>_xlfn.XLOOKUP(B7,Disk_Pivot!G:G,Disk_Pivot!N:N)</f>
        <v>Pass, Fail</v>
      </c>
      <c r="V7" t="str">
        <f>IF(U7="Fail",MacReports!O7,"")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MacReports!D8</f>
        <v>0</v>
      </c>
      <c r="D8" t="str">
        <f>MacReports!C8&amp;""</f>
        <v/>
      </c>
      <c r="E8" t="e">
        <f>_xlfn.XLOOKUP(G8,Models!A:A,Models!F:F)</f>
        <v>#N/A</v>
      </c>
      <c r="F8" t="str">
        <f>_xlfn.XLOOKUP(B8,MacReports!B:B,MacReports!E:E,"")</f>
        <v/>
      </c>
      <c r="G8" s="13">
        <f>MacReports!F8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MacReports!G8</f>
        <v>0</v>
      </c>
      <c r="L8">
        <f>MacReports!H8</f>
        <v>0</v>
      </c>
      <c r="M8" s="15" t="e" cm="1">
        <f t="array" ref="M8">--_xlfn.LET(
    _xlpm.txt, MacReports!I8,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--MacReports!N8&lt;55,"Battery Defect",
  -- MacReports!N8&lt;=69,"Battery D",
  --MacReports!N8&lt;=80,"Battery C",
 --MacReports!N8&gt;80,""
)</f>
        <v>Battery Defect</v>
      </c>
      <c r="O8" s="16" t="str">
        <f>IF(MacReports!J8="Service","Battery Service","")</f>
        <v/>
      </c>
      <c r="P8" s="13">
        <f>MacReports!Q8</f>
        <v>0</v>
      </c>
      <c r="Q8" s="13" t="str">
        <f>IF(MacReports!K8="Enabled","Apple ID Lock","")</f>
        <v/>
      </c>
      <c r="R8" s="13" t="str">
        <f>IF(MacReports!M8="Remote Lock","Remote Locked","")</f>
        <v/>
      </c>
      <c r="S8" t="str">
        <f t="shared" si="0"/>
        <v>Battery Defect, 0</v>
      </c>
      <c r="T8" t="str">
        <f>_xlfn.XLOOKUP(B8,Disk_Pivot!G:G,Disk_Pivot!I:I)</f>
        <v>Yes x2</v>
      </c>
      <c r="U8" t="str">
        <f>_xlfn.XLOOKUP(B8,Disk_Pivot!G:G,Disk_Pivot!N:N)</f>
        <v>Pass, Fail</v>
      </c>
      <c r="V8" t="str">
        <f>IF(U8="Fail",MacReports!O8,"")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MacReports!D9</f>
        <v>0</v>
      </c>
      <c r="D9" t="str">
        <f>MacReports!C9&amp;""</f>
        <v/>
      </c>
      <c r="E9" t="e">
        <f>_xlfn.XLOOKUP(G9,Models!A:A,Models!F:F)</f>
        <v>#N/A</v>
      </c>
      <c r="F9" t="str">
        <f>_xlfn.XLOOKUP(B9,MacReports!B:B,MacReports!E:E,"")</f>
        <v/>
      </c>
      <c r="G9" s="13">
        <f>MacReports!F9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MacReports!G9</f>
        <v>0</v>
      </c>
      <c r="L9">
        <f>MacReports!H9</f>
        <v>0</v>
      </c>
      <c r="M9" s="15" t="e" cm="1">
        <f t="array" ref="M9">--_xlfn.LET(
    _xlpm.txt, MacReports!I9,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--MacReports!N9&lt;55,"Battery Defect",
  -- MacReports!N9&lt;=69,"Battery D",
  --MacReports!N9&lt;=80,"Battery C",
 --MacReports!N9&gt;80,""
)</f>
        <v>Battery Defect</v>
      </c>
      <c r="O9" s="16" t="str">
        <f>IF(MacReports!J9="Service","Battery Service","")</f>
        <v/>
      </c>
      <c r="P9" s="13">
        <f>MacReports!Q9</f>
        <v>0</v>
      </c>
      <c r="Q9" s="13" t="str">
        <f>IF(MacReports!K9="Enabled","Apple ID Lock","")</f>
        <v/>
      </c>
      <c r="R9" s="13" t="str">
        <f>IF(MacReports!M9="Remote Lock","Remote Locked","")</f>
        <v/>
      </c>
      <c r="S9" t="str">
        <f t="shared" si="0"/>
        <v>Battery Defect, 0</v>
      </c>
      <c r="T9" t="str">
        <f>_xlfn.XLOOKUP(B9,Disk_Pivot!G:G,Disk_Pivot!I:I)</f>
        <v>Yes x2</v>
      </c>
      <c r="U9" t="str">
        <f>_xlfn.XLOOKUP(B9,Disk_Pivot!G:G,Disk_Pivot!N:N)</f>
        <v>Pass, Fail</v>
      </c>
      <c r="V9" t="str">
        <f>IF(U9="Fail",MacReports!O9,"")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MacReports!D10</f>
        <v>0</v>
      </c>
      <c r="D10" t="str">
        <f>MacReports!C10&amp;""</f>
        <v/>
      </c>
      <c r="E10" t="e">
        <f>_xlfn.XLOOKUP(G10,Models!A:A,Models!F:F)</f>
        <v>#N/A</v>
      </c>
      <c r="F10" t="str">
        <f>_xlfn.XLOOKUP(B10,MacReports!B:B,MacReports!E:E,"")</f>
        <v/>
      </c>
      <c r="G10" s="13">
        <f>MacReports!F10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MacReports!G10</f>
        <v>0</v>
      </c>
      <c r="L10">
        <f>MacReports!H10</f>
        <v>0</v>
      </c>
      <c r="M10" s="15" t="e" cm="1">
        <f t="array" ref="M10">--_xlfn.LET(
    _xlpm.txt, MacReports!I10,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--MacReports!N10&lt;55,"Battery Defect",
  -- MacReports!N10&lt;=69,"Battery D",
  --MacReports!N10&lt;=80,"Battery C",
 --MacReports!N10&gt;80,""
)</f>
        <v>Battery Defect</v>
      </c>
      <c r="O10" s="16" t="str">
        <f>IF(MacReports!J10="Service","Battery Service","")</f>
        <v/>
      </c>
      <c r="P10" s="13">
        <f>MacReports!Q10</f>
        <v>0</v>
      </c>
      <c r="Q10" s="13" t="str">
        <f>IF(MacReports!K10="Enabled","Apple ID Lock","")</f>
        <v/>
      </c>
      <c r="R10" s="13" t="str">
        <f>IF(MacReports!M10="Remote Lock","Remote Locked","")</f>
        <v/>
      </c>
      <c r="S10" t="str">
        <f t="shared" ref="S10:S34" si="2">_xlfn.TEXTJOIN(", ",TRUE,Q10,R10,N10,O10,P10)</f>
        <v>Battery Defect, 0</v>
      </c>
      <c r="T10" t="str">
        <f>_xlfn.XLOOKUP(B10,Disk_Pivot!G:G,Disk_Pivot!I:I)</f>
        <v>Yes x2</v>
      </c>
      <c r="U10" t="str">
        <f>_xlfn.XLOOKUP(B10,Disk_Pivot!G:G,Disk_Pivot!N:N)</f>
        <v>Pass, Fail</v>
      </c>
      <c r="V10" t="str">
        <f>IF(U10="Fail",MacReports!O10,"")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MacReports!D11</f>
        <v>0</v>
      </c>
      <c r="D11" t="str">
        <f>MacReports!C11&amp;""</f>
        <v/>
      </c>
      <c r="E11" t="e">
        <f>_xlfn.XLOOKUP(G11,Models!A:A,Models!F:F)</f>
        <v>#N/A</v>
      </c>
      <c r="F11" t="str">
        <f>_xlfn.XLOOKUP(B11,MacReports!B:B,MacReports!E:E,"")</f>
        <v/>
      </c>
      <c r="G11" s="13">
        <f>MacReports!F11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MacReports!G11</f>
        <v>0</v>
      </c>
      <c r="L11">
        <f>MacReports!H11</f>
        <v>0</v>
      </c>
      <c r="M11" s="15" t="e" cm="1">
        <f t="array" ref="M11">--_xlfn.LET(
    _xlpm.txt, MacReports!I11,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--MacReports!N11&lt;55,"Battery Defect",
  -- MacReports!N11&lt;=69,"Battery D",
  --MacReports!N11&lt;=80,"Battery C",
 --MacReports!N11&gt;80,""
)</f>
        <v>Battery Defect</v>
      </c>
      <c r="O11" s="16" t="str">
        <f>IF(MacReports!J11="Service","Battery Service","")</f>
        <v/>
      </c>
      <c r="P11" s="13">
        <f>MacReports!Q11</f>
        <v>0</v>
      </c>
      <c r="Q11" s="13" t="str">
        <f>IF(MacReports!K11="Enabled","Apple ID Lock","")</f>
        <v/>
      </c>
      <c r="R11" s="13" t="str">
        <f>IF(MacReports!M11="Remote Lock","Remote Locked","")</f>
        <v/>
      </c>
      <c r="S11" t="str">
        <f t="shared" si="2"/>
        <v>Battery Defect, 0</v>
      </c>
      <c r="T11" t="str">
        <f>_xlfn.XLOOKUP(B11,Disk_Pivot!G:G,Disk_Pivot!I:I)</f>
        <v>Yes x2</v>
      </c>
      <c r="U11" t="str">
        <f>_xlfn.XLOOKUP(B11,Disk_Pivot!G:G,Disk_Pivot!N:N)</f>
        <v>Pass, Fail</v>
      </c>
      <c r="V11" t="str">
        <f>IF(U11="Fail",MacReports!O11,"")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MacReports!D12</f>
        <v>0</v>
      </c>
      <c r="D12" t="str">
        <f>MacReports!C12&amp;""</f>
        <v/>
      </c>
      <c r="E12" t="e">
        <f>_xlfn.XLOOKUP(G12,Models!A:A,Models!F:F)</f>
        <v>#N/A</v>
      </c>
      <c r="F12" t="str">
        <f>_xlfn.XLOOKUP(B12,MacReports!B:B,MacReports!E:E,"")</f>
        <v/>
      </c>
      <c r="G12" s="13">
        <f>MacReports!F12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MacReports!G12</f>
        <v>0</v>
      </c>
      <c r="L12">
        <f>MacReports!H12</f>
        <v>0</v>
      </c>
      <c r="M12" s="15" t="e" cm="1">
        <f t="array" ref="M12">--_xlfn.LET(
    _xlpm.txt, MacReports!I12,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--MacReports!N12&lt;55,"Battery Defect",
  -- MacReports!N12&lt;=69,"Battery D",
  --MacReports!N12&lt;=80,"Battery C",
 --MacReports!N12&gt;80,""
)</f>
        <v>Battery Defect</v>
      </c>
      <c r="O12" s="16" t="str">
        <f>IF(MacReports!J12="Service","Battery Service","")</f>
        <v/>
      </c>
      <c r="P12" s="13">
        <f>MacReports!Q12</f>
        <v>0</v>
      </c>
      <c r="Q12" s="13" t="str">
        <f>IF(MacReports!K12="Enabled","Apple ID Lock","")</f>
        <v/>
      </c>
      <c r="R12" s="13" t="str">
        <f>IF(MacReports!M12="Remote Lock","Remote Locked","")</f>
        <v/>
      </c>
      <c r="S12" t="str">
        <f t="shared" si="2"/>
        <v>Battery Defect, 0</v>
      </c>
      <c r="T12" t="str">
        <f>_xlfn.XLOOKUP(B12,Disk_Pivot!G:G,Disk_Pivot!I:I)</f>
        <v>Yes x2</v>
      </c>
      <c r="U12" t="str">
        <f>_xlfn.XLOOKUP(B12,Disk_Pivot!G:G,Disk_Pivot!N:N)</f>
        <v>Pass, Fail</v>
      </c>
      <c r="V12" t="str">
        <f>IF(U12="Fail",MacReports!O12,"")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MacReports!D13</f>
        <v>0</v>
      </c>
      <c r="D13" t="str">
        <f>MacReports!C13&amp;""</f>
        <v/>
      </c>
      <c r="E13" t="e">
        <f>_xlfn.XLOOKUP(G13,Models!A:A,Models!F:F)</f>
        <v>#N/A</v>
      </c>
      <c r="F13" t="str">
        <f>_xlfn.XLOOKUP(B13,MacReports!B:B,MacReports!E:E,"")</f>
        <v/>
      </c>
      <c r="G13" s="13">
        <f>MacReports!F13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MacReports!G13</f>
        <v>0</v>
      </c>
      <c r="L13">
        <f>MacReports!H13</f>
        <v>0</v>
      </c>
      <c r="M13" s="15" t="e" cm="1">
        <f t="array" ref="M13">--_xlfn.LET(
    _xlpm.txt, MacReports!I13,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--MacReports!N13&lt;55,"Battery Defect",
  -- MacReports!N13&lt;=69,"Battery D",
  --MacReports!N13&lt;=80,"Battery C",
 --MacReports!N13&gt;80,""
)</f>
        <v>Battery Defect</v>
      </c>
      <c r="O13" s="16" t="str">
        <f>IF(MacReports!J13="Service","Battery Service","")</f>
        <v/>
      </c>
      <c r="P13" s="13">
        <f>MacReports!Q13</f>
        <v>0</v>
      </c>
      <c r="Q13" s="13" t="str">
        <f>IF(MacReports!K13="Enabled","Apple ID Lock","")</f>
        <v/>
      </c>
      <c r="R13" s="13" t="str">
        <f>IF(MacReports!M13="Remote Lock","Remote Locked","")</f>
        <v/>
      </c>
      <c r="S13" t="str">
        <f t="shared" si="2"/>
        <v>Battery Defect, 0</v>
      </c>
      <c r="T13" t="str">
        <f>_xlfn.XLOOKUP(B13,Disk_Pivot!G:G,Disk_Pivot!I:I)</f>
        <v>Yes x2</v>
      </c>
      <c r="U13" t="str">
        <f>_xlfn.XLOOKUP(B13,Disk_Pivot!G:G,Disk_Pivot!N:N)</f>
        <v>Pass, Fail</v>
      </c>
      <c r="V13" t="str">
        <f>IF(U13="Fail",MacReports!O13,"")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MacReports!D14</f>
        <v>0</v>
      </c>
      <c r="D14" t="str">
        <f>MacReports!C14&amp;""</f>
        <v/>
      </c>
      <c r="E14" t="e">
        <f>_xlfn.XLOOKUP(G14,Models!A:A,Models!F:F)</f>
        <v>#N/A</v>
      </c>
      <c r="F14" t="str">
        <f>_xlfn.XLOOKUP(B14,MacReports!B:B,MacReports!E:E,"")</f>
        <v/>
      </c>
      <c r="G14" s="13">
        <f>MacReports!F14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MacReports!G14</f>
        <v>0</v>
      </c>
      <c r="L14">
        <f>MacReports!H14</f>
        <v>0</v>
      </c>
      <c r="M14" s="15" t="e" cm="1">
        <f t="array" ref="M14">--_xlfn.LET(
    _xlpm.txt, MacReports!I14,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--MacReports!N14&lt;55,"Battery Defect",
  -- MacReports!N14&lt;=69,"Battery D",
  --MacReports!N14&lt;=80,"Battery C",
 --MacReports!N14&gt;80,""
)</f>
        <v>Battery Defect</v>
      </c>
      <c r="O14" s="16" t="str">
        <f>IF(MacReports!J14="Service","Battery Service","")</f>
        <v/>
      </c>
      <c r="P14" s="13">
        <f>MacReports!Q14</f>
        <v>0</v>
      </c>
      <c r="Q14" s="13" t="str">
        <f>IF(MacReports!K14="Enabled","Apple ID Lock","")</f>
        <v/>
      </c>
      <c r="R14" s="13" t="str">
        <f>IF(MacReports!M14="Remote Lock","Remote Locked","")</f>
        <v/>
      </c>
      <c r="S14" t="str">
        <f t="shared" si="2"/>
        <v>Battery Defect, 0</v>
      </c>
      <c r="T14" t="str">
        <f>_xlfn.XLOOKUP(B14,Disk_Pivot!G:G,Disk_Pivot!I:I)</f>
        <v>Yes x2</v>
      </c>
      <c r="U14" t="str">
        <f>_xlfn.XLOOKUP(B14,Disk_Pivot!G:G,Disk_Pivot!N:N)</f>
        <v>Pass, Fail</v>
      </c>
      <c r="V14" t="str">
        <f>IF(U14="Fail",MacReports!O14,"")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MacReports!D15</f>
        <v>0</v>
      </c>
      <c r="D15" t="str">
        <f>MacReports!C15&amp;""</f>
        <v/>
      </c>
      <c r="E15" t="e">
        <f>_xlfn.XLOOKUP(G15,Models!A:A,Models!F:F)</f>
        <v>#N/A</v>
      </c>
      <c r="F15" t="str">
        <f>_xlfn.XLOOKUP(B15,MacReports!B:B,MacReports!E:E,"")</f>
        <v/>
      </c>
      <c r="G15" s="13">
        <f>MacReports!F15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MacReports!G15</f>
        <v>0</v>
      </c>
      <c r="L15">
        <f>MacReports!H15</f>
        <v>0</v>
      </c>
      <c r="M15" s="15" t="e" cm="1">
        <f t="array" ref="M15">--_xlfn.LET(
    _xlpm.txt, MacReports!I15,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--MacReports!N15&lt;55,"Battery Defect",
  -- MacReports!N15&lt;=69,"Battery D",
  --MacReports!N15&lt;=80,"Battery C",
 --MacReports!N15&gt;80,""
)</f>
        <v>Battery Defect</v>
      </c>
      <c r="O15" s="16" t="str">
        <f>IF(MacReports!J15="Service","Battery Service","")</f>
        <v/>
      </c>
      <c r="P15" s="13">
        <f>MacReports!Q15</f>
        <v>0</v>
      </c>
      <c r="Q15" s="13" t="str">
        <f>IF(MacReports!K15="Enabled","Apple ID Lock","")</f>
        <v/>
      </c>
      <c r="R15" s="13" t="str">
        <f>IF(MacReports!M15="Remote Lock","Remote Locked","")</f>
        <v/>
      </c>
      <c r="S15" t="str">
        <f t="shared" si="2"/>
        <v>Battery Defect, 0</v>
      </c>
      <c r="T15" t="str">
        <f>_xlfn.XLOOKUP(B15,Disk_Pivot!G:G,Disk_Pivot!I:I)</f>
        <v>Yes x2</v>
      </c>
      <c r="U15" t="str">
        <f>_xlfn.XLOOKUP(B15,Disk_Pivot!G:G,Disk_Pivot!N:N)</f>
        <v>Pass, Fail</v>
      </c>
      <c r="V15" t="str">
        <f>IF(U15="Fail",MacReports!O15,"")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MacReports!D16</f>
        <v>0</v>
      </c>
      <c r="D16" t="str">
        <f>MacReports!C16&amp;""</f>
        <v/>
      </c>
      <c r="E16" t="e">
        <f>_xlfn.XLOOKUP(G16,Models!A:A,Models!F:F)</f>
        <v>#N/A</v>
      </c>
      <c r="F16" t="str">
        <f>_xlfn.XLOOKUP(B16,MacReports!B:B,MacReports!E:E,"")</f>
        <v/>
      </c>
      <c r="G16" s="13">
        <f>MacReports!F16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MacReports!G16</f>
        <v>0</v>
      </c>
      <c r="L16">
        <f>MacReports!H16</f>
        <v>0</v>
      </c>
      <c r="M16" s="15" t="e" cm="1">
        <f t="array" ref="M16">--_xlfn.LET(
    _xlpm.txt, MacReports!I16,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--MacReports!N16&lt;55,"Battery Defect",
  -- MacReports!N16&lt;=69,"Battery D",
  --MacReports!N16&lt;=80,"Battery C",
 --MacReports!N16&gt;80,""
)</f>
        <v>Battery Defect</v>
      </c>
      <c r="O16" s="16" t="str">
        <f>IF(MacReports!J16="Service","Battery Service","")</f>
        <v/>
      </c>
      <c r="P16" s="13">
        <f>MacReports!Q16</f>
        <v>0</v>
      </c>
      <c r="Q16" s="13" t="str">
        <f>IF(MacReports!K16="Enabled","Apple ID Lock","")</f>
        <v/>
      </c>
      <c r="R16" s="13" t="str">
        <f>IF(MacReports!M16="Remote Lock","Remote Locked","")</f>
        <v/>
      </c>
      <c r="S16" t="str">
        <f t="shared" si="2"/>
        <v>Battery Defect, 0</v>
      </c>
      <c r="T16" t="str">
        <f>_xlfn.XLOOKUP(B16,Disk_Pivot!G:G,Disk_Pivot!I:I)</f>
        <v>Yes x2</v>
      </c>
      <c r="U16" t="str">
        <f>_xlfn.XLOOKUP(B16,Disk_Pivot!G:G,Disk_Pivot!N:N)</f>
        <v>Pass, Fail</v>
      </c>
      <c r="V16" t="str">
        <f>IF(U16="Fail",MacReports!O16,"")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MacReports!D17</f>
        <v>0</v>
      </c>
      <c r="D17" t="str">
        <f>MacReports!C17&amp;""</f>
        <v/>
      </c>
      <c r="E17" t="e">
        <f>_xlfn.XLOOKUP(G17,Models!A:A,Models!F:F)</f>
        <v>#N/A</v>
      </c>
      <c r="F17" t="str">
        <f>_xlfn.XLOOKUP(B17,MacReports!B:B,MacReports!E:E,"")</f>
        <v/>
      </c>
      <c r="G17" s="13">
        <f>MacReports!F17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MacReports!G17</f>
        <v>0</v>
      </c>
      <c r="L17">
        <f>MacReports!H17</f>
        <v>0</v>
      </c>
      <c r="M17" s="15" t="e" cm="1">
        <f t="array" ref="M17">--_xlfn.LET(
    _xlpm.txt, MacReports!I17,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--MacReports!N17&lt;55,"Battery Defect",
  -- MacReports!N17&lt;=69,"Battery D",
  --MacReports!N17&lt;=80,"Battery C",
 --MacReports!N17&gt;80,""
)</f>
        <v>Battery Defect</v>
      </c>
      <c r="O17" s="16" t="str">
        <f>IF(MacReports!J17="Service","Battery Service","")</f>
        <v/>
      </c>
      <c r="P17" s="13">
        <f>MacReports!Q17</f>
        <v>0</v>
      </c>
      <c r="Q17" s="13" t="str">
        <f>IF(MacReports!K17="Enabled","Apple ID Lock","")</f>
        <v/>
      </c>
      <c r="R17" s="13" t="str">
        <f>IF(MacReports!M17="Remote Lock","Remote Locked","")</f>
        <v/>
      </c>
      <c r="S17" t="str">
        <f t="shared" si="2"/>
        <v>Battery Defect, 0</v>
      </c>
      <c r="T17" t="str">
        <f>_xlfn.XLOOKUP(B17,Disk_Pivot!G:G,Disk_Pivot!I:I)</f>
        <v>Yes x2</v>
      </c>
      <c r="U17" t="str">
        <f>_xlfn.XLOOKUP(B17,Disk_Pivot!G:G,Disk_Pivot!N:N)</f>
        <v>Pass, Fail</v>
      </c>
      <c r="V17" t="str">
        <f>IF(U17="Fail",MacReports!O17,"")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MacReports!D18</f>
        <v>0</v>
      </c>
      <c r="D18" t="str">
        <f>MacReports!C18&amp;""</f>
        <v/>
      </c>
      <c r="E18" t="e">
        <f>_xlfn.XLOOKUP(G18,Models!A:A,Models!F:F)</f>
        <v>#N/A</v>
      </c>
      <c r="F18" t="str">
        <f>_xlfn.XLOOKUP(B18,MacReports!B:B,MacReports!E:E,"")</f>
        <v/>
      </c>
      <c r="G18" s="13">
        <f>MacReports!F18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MacReports!G18</f>
        <v>0</v>
      </c>
      <c r="L18">
        <f>MacReports!H18</f>
        <v>0</v>
      </c>
      <c r="M18" s="15" t="e" cm="1">
        <f t="array" ref="M18">--_xlfn.LET(
    _xlpm.txt, MacReports!I18,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--MacReports!N18&lt;55,"Battery Defect",
  -- MacReports!N18&lt;=69,"Battery D",
  --MacReports!N18&lt;=80,"Battery C",
 --MacReports!N18&gt;80,""
)</f>
        <v>Battery Defect</v>
      </c>
      <c r="O18" s="16" t="str">
        <f>IF(MacReports!J18="Service","Battery Service","")</f>
        <v/>
      </c>
      <c r="P18" s="13">
        <f>MacReports!Q18</f>
        <v>0</v>
      </c>
      <c r="Q18" s="13" t="str">
        <f>IF(MacReports!K18="Enabled","Apple ID Lock","")</f>
        <v/>
      </c>
      <c r="R18" s="13" t="str">
        <f>IF(MacReports!M18="Remote Lock","Remote Locked","")</f>
        <v/>
      </c>
      <c r="S18" t="str">
        <f t="shared" si="2"/>
        <v>Battery Defect, 0</v>
      </c>
      <c r="T18" t="str">
        <f>_xlfn.XLOOKUP(B18,Disk_Pivot!G:G,Disk_Pivot!I:I)</f>
        <v>Yes x2</v>
      </c>
      <c r="U18" t="str">
        <f>_xlfn.XLOOKUP(B18,Disk_Pivot!G:G,Disk_Pivot!N:N)</f>
        <v>Pass, Fail</v>
      </c>
      <c r="V18" t="str">
        <f>IF(U18="Fail",MacReports!O18,"")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MacReports!D19</f>
        <v>0</v>
      </c>
      <c r="D19" t="str">
        <f>MacReports!C19&amp;""</f>
        <v/>
      </c>
      <c r="E19" t="e">
        <f>_xlfn.XLOOKUP(G19,Models!A:A,Models!F:F)</f>
        <v>#N/A</v>
      </c>
      <c r="F19" t="str">
        <f>_xlfn.XLOOKUP(B19,MacReports!B:B,MacReports!E:E,"")</f>
        <v/>
      </c>
      <c r="G19" s="13">
        <f>MacReports!F19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MacReports!G19</f>
        <v>0</v>
      </c>
      <c r="L19">
        <f>MacReports!H19</f>
        <v>0</v>
      </c>
      <c r="M19" s="15" t="e" cm="1">
        <f t="array" ref="M19">--_xlfn.LET(
    _xlpm.txt, MacReports!I19,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--MacReports!N19&lt;55,"Battery Defect",
  -- MacReports!N19&lt;=69,"Battery D",
  --MacReports!N19&lt;=80,"Battery C",
 --MacReports!N19&gt;80,""
)</f>
        <v>Battery Defect</v>
      </c>
      <c r="O19" s="16" t="str">
        <f>IF(MacReports!J19="Service","Battery Service","")</f>
        <v/>
      </c>
      <c r="P19" s="13">
        <f>MacReports!Q19</f>
        <v>0</v>
      </c>
      <c r="Q19" s="13" t="str">
        <f>IF(MacReports!K19="Enabled","Apple ID Lock","")</f>
        <v/>
      </c>
      <c r="R19" s="13" t="str">
        <f>IF(MacReports!M19="Remote Lock","Remote Locked","")</f>
        <v/>
      </c>
      <c r="S19" t="str">
        <f t="shared" si="2"/>
        <v>Battery Defect, 0</v>
      </c>
      <c r="T19" t="str">
        <f>_xlfn.XLOOKUP(B19,Disk_Pivot!G:G,Disk_Pivot!I:I)</f>
        <v>Yes x2</v>
      </c>
      <c r="U19" t="str">
        <f>_xlfn.XLOOKUP(B19,Disk_Pivot!G:G,Disk_Pivot!N:N)</f>
        <v>Pass, Fail</v>
      </c>
      <c r="V19" t="str">
        <f>IF(U19="Fail",MacReports!O19,"")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MacReports!D20</f>
        <v>0</v>
      </c>
      <c r="D20" t="str">
        <f>MacReports!C20&amp;""</f>
        <v/>
      </c>
      <c r="E20" t="e">
        <f>_xlfn.XLOOKUP(G20,Models!A:A,Models!F:F)</f>
        <v>#N/A</v>
      </c>
      <c r="F20" t="str">
        <f>_xlfn.XLOOKUP(B20,MacReports!B:B,MacReports!E:E,"")</f>
        <v/>
      </c>
      <c r="G20" s="13">
        <f>MacReports!F20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MacReports!G20</f>
        <v>0</v>
      </c>
      <c r="L20">
        <f>MacReports!H20</f>
        <v>0</v>
      </c>
      <c r="M20" s="15" t="e" cm="1">
        <f t="array" ref="M20">--_xlfn.LET(
    _xlpm.txt, MacReports!I20,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--MacReports!N20&lt;55,"Battery Defect",
  -- MacReports!N20&lt;=69,"Battery D",
  --MacReports!N20&lt;=80,"Battery C",
 --MacReports!N20&gt;80,""
)</f>
        <v>Battery Defect</v>
      </c>
      <c r="O20" s="16" t="str">
        <f>IF(MacReports!J20="Service","Battery Service","")</f>
        <v/>
      </c>
      <c r="P20" s="13">
        <f>MacReports!Q20</f>
        <v>0</v>
      </c>
      <c r="Q20" s="13" t="str">
        <f>IF(MacReports!K20="Enabled","Apple ID Lock","")</f>
        <v/>
      </c>
      <c r="R20" s="13" t="str">
        <f>IF(MacReports!M20="Remote Lock","Remote Locked","")</f>
        <v/>
      </c>
      <c r="S20" t="str">
        <f t="shared" si="2"/>
        <v>Battery Defect, 0</v>
      </c>
      <c r="T20" t="str">
        <f>_xlfn.XLOOKUP(B20,Disk_Pivot!G:G,Disk_Pivot!I:I)</f>
        <v>Yes x2</v>
      </c>
      <c r="U20" t="str">
        <f>_xlfn.XLOOKUP(B20,Disk_Pivot!G:G,Disk_Pivot!N:N)</f>
        <v>Pass, Fail</v>
      </c>
      <c r="V20" t="str">
        <f>IF(U20="Fail",MacReports!O20,"")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MacReports!D21</f>
        <v>0</v>
      </c>
      <c r="D21" t="str">
        <f>MacReports!C21&amp;""</f>
        <v/>
      </c>
      <c r="E21" t="e">
        <f>_xlfn.XLOOKUP(G21,Models!A:A,Models!F:F)</f>
        <v>#N/A</v>
      </c>
      <c r="F21" t="str">
        <f>_xlfn.XLOOKUP(B21,MacReports!B:B,MacReports!E:E,"")</f>
        <v/>
      </c>
      <c r="G21" s="13">
        <f>MacReports!F21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MacReports!G21</f>
        <v>0</v>
      </c>
      <c r="L21">
        <f>MacReports!H21</f>
        <v>0</v>
      </c>
      <c r="M21" s="15" t="e" cm="1">
        <f t="array" ref="M21">--_xlfn.LET(
    _xlpm.txt, MacReports!I21,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--MacReports!N21&lt;55,"Battery Defect",
  -- MacReports!N21&lt;=69,"Battery D",
  --MacReports!N21&lt;=80,"Battery C",
 --MacReports!N21&gt;80,""
)</f>
        <v>Battery Defect</v>
      </c>
      <c r="O21" s="16" t="str">
        <f>IF(MacReports!J21="Service","Battery Service","")</f>
        <v/>
      </c>
      <c r="P21" s="13">
        <f>MacReports!Q21</f>
        <v>0</v>
      </c>
      <c r="Q21" s="13" t="str">
        <f>IF(MacReports!K21="Enabled","Apple ID Lock","")</f>
        <v/>
      </c>
      <c r="R21" s="13" t="str">
        <f>IF(MacReports!M21="Remote Lock","Remote Locked","")</f>
        <v/>
      </c>
      <c r="S21" t="str">
        <f t="shared" si="2"/>
        <v>Battery Defect, 0</v>
      </c>
      <c r="T21" t="str">
        <f>_xlfn.XLOOKUP(B21,Disk_Pivot!G:G,Disk_Pivot!I:I)</f>
        <v>Yes x2</v>
      </c>
      <c r="U21" t="str">
        <f>_xlfn.XLOOKUP(B21,Disk_Pivot!G:G,Disk_Pivot!N:N)</f>
        <v>Pass, Fail</v>
      </c>
      <c r="V21" t="str">
        <f>IF(U21="Fail",MacReports!O21,"")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MacReports!D22</f>
        <v>0</v>
      </c>
      <c r="D22" t="str">
        <f>MacReports!C22&amp;""</f>
        <v/>
      </c>
      <c r="E22" t="e">
        <f>_xlfn.XLOOKUP(G22,Models!A:A,Models!F:F)</f>
        <v>#N/A</v>
      </c>
      <c r="F22" t="str">
        <f>_xlfn.XLOOKUP(B22,MacReports!B:B,MacReports!E:E,"")</f>
        <v/>
      </c>
      <c r="G22" s="13">
        <f>MacReports!F22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MacReports!G22</f>
        <v>0</v>
      </c>
      <c r="L22">
        <f>MacReports!H22</f>
        <v>0</v>
      </c>
      <c r="M22" s="15" t="e" cm="1">
        <f t="array" ref="M22">--_xlfn.LET(
    _xlpm.txt, MacReports!I22,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--MacReports!N22&lt;55,"Battery Defect",
  -- MacReports!N22&lt;=69,"Battery D",
  --MacReports!N22&lt;=80,"Battery C",
 --MacReports!N22&gt;80,""
)</f>
        <v>Battery Defect</v>
      </c>
      <c r="O22" s="16" t="str">
        <f>IF(MacReports!J22="Service","Battery Service","")</f>
        <v/>
      </c>
      <c r="P22" s="13">
        <f>MacReports!Q22</f>
        <v>0</v>
      </c>
      <c r="Q22" s="13" t="str">
        <f>IF(MacReports!K22="Enabled","Apple ID Lock","")</f>
        <v/>
      </c>
      <c r="R22" s="13" t="str">
        <f>IF(MacReports!M22="Remote Lock","Remote Locked","")</f>
        <v/>
      </c>
      <c r="S22" t="str">
        <f t="shared" si="2"/>
        <v>Battery Defect, 0</v>
      </c>
      <c r="T22" t="str">
        <f>_xlfn.XLOOKUP(B22,Disk_Pivot!G:G,Disk_Pivot!I:I)</f>
        <v>Yes x2</v>
      </c>
      <c r="U22" t="str">
        <f>_xlfn.XLOOKUP(B22,Disk_Pivot!G:G,Disk_Pivot!N:N)</f>
        <v>Pass, Fail</v>
      </c>
      <c r="V22" t="str">
        <f>IF(U22="Fail",MacReports!O22,"")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MacReports!D23</f>
        <v>0</v>
      </c>
      <c r="D23" t="str">
        <f>MacReports!C23&amp;""</f>
        <v/>
      </c>
      <c r="E23" t="e">
        <f>_xlfn.XLOOKUP(G23,Models!A:A,Models!F:F)</f>
        <v>#N/A</v>
      </c>
      <c r="F23" t="str">
        <f>_xlfn.XLOOKUP(B23,MacReports!B:B,MacReports!E:E,"")</f>
        <v/>
      </c>
      <c r="G23" s="13">
        <f>MacReports!F23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MacReports!G23</f>
        <v>0</v>
      </c>
      <c r="L23">
        <f>MacReports!H23</f>
        <v>0</v>
      </c>
      <c r="M23" s="15" t="e" cm="1">
        <f t="array" ref="M23">--_xlfn.LET(
    _xlpm.txt, MacReports!I23,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--MacReports!N23&lt;55,"Battery Defect",
  -- MacReports!N23&lt;=69,"Battery D",
  --MacReports!N23&lt;=80,"Battery C",
 --MacReports!N23&gt;80,""
)</f>
        <v>Battery Defect</v>
      </c>
      <c r="O23" s="16" t="str">
        <f>IF(MacReports!J23="Service","Battery Service","")</f>
        <v/>
      </c>
      <c r="P23" s="13">
        <f>MacReports!Q23</f>
        <v>0</v>
      </c>
      <c r="Q23" s="13" t="str">
        <f>IF(MacReports!K23="Enabled","Apple ID Lock","")</f>
        <v/>
      </c>
      <c r="R23" s="13" t="str">
        <f>IF(MacReports!M23="Remote Lock","Remote Locked","")</f>
        <v/>
      </c>
      <c r="S23" t="str">
        <f t="shared" si="2"/>
        <v>Battery Defect, 0</v>
      </c>
      <c r="T23" t="str">
        <f>_xlfn.XLOOKUP(B23,Disk_Pivot!G:G,Disk_Pivot!I:I)</f>
        <v>Yes x2</v>
      </c>
      <c r="U23" t="str">
        <f>_xlfn.XLOOKUP(B23,Disk_Pivot!G:G,Disk_Pivot!N:N)</f>
        <v>Pass, Fail</v>
      </c>
      <c r="V23" t="str">
        <f>IF(U23="Fail",MacReports!O23,"")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MacReports!D24</f>
        <v>0</v>
      </c>
      <c r="D24" t="str">
        <f>MacReports!C24&amp;""</f>
        <v/>
      </c>
      <c r="E24" t="e">
        <f>_xlfn.XLOOKUP(G24,Models!A:A,Models!F:F)</f>
        <v>#N/A</v>
      </c>
      <c r="F24" t="str">
        <f>_xlfn.XLOOKUP(B24,MacReports!B:B,MacReports!E:E,"")</f>
        <v/>
      </c>
      <c r="G24" s="13">
        <f>MacReports!F24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MacReports!G24</f>
        <v>0</v>
      </c>
      <c r="L24">
        <f>MacReports!H24</f>
        <v>0</v>
      </c>
      <c r="M24" s="15" t="e" cm="1">
        <f t="array" ref="M24">--_xlfn.LET(
    _xlpm.txt, MacReports!I24,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--MacReports!N24&lt;55,"Battery Defect",
  -- MacReports!N24&lt;=69,"Battery D",
  --MacReports!N24&lt;=80,"Battery C",
 --MacReports!N24&gt;80,""
)</f>
        <v>Battery Defect</v>
      </c>
      <c r="O24" s="16" t="str">
        <f>IF(MacReports!J24="Service","Battery Service","")</f>
        <v/>
      </c>
      <c r="P24" s="13">
        <f>MacReports!Q24</f>
        <v>0</v>
      </c>
      <c r="Q24" s="13" t="str">
        <f>IF(MacReports!K24="Enabled","Apple ID Lock","")</f>
        <v/>
      </c>
      <c r="R24" s="13" t="str">
        <f>IF(MacReports!M24="Remote Lock","Remote Locked","")</f>
        <v/>
      </c>
      <c r="S24" t="str">
        <f t="shared" si="2"/>
        <v>Battery Defect, 0</v>
      </c>
      <c r="T24" t="str">
        <f>_xlfn.XLOOKUP(B24,Disk_Pivot!G:G,Disk_Pivot!I:I)</f>
        <v>Yes x2</v>
      </c>
      <c r="U24" t="str">
        <f>_xlfn.XLOOKUP(B24,Disk_Pivot!G:G,Disk_Pivot!N:N)</f>
        <v>Pass, Fail</v>
      </c>
      <c r="V24" t="str">
        <f>IF(U24="Fail",MacReports!O24,"")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MacReports!D25</f>
        <v>0</v>
      </c>
      <c r="D25" t="str">
        <f>MacReports!C25&amp;""</f>
        <v/>
      </c>
      <c r="E25" t="e">
        <f>_xlfn.XLOOKUP(G25,Models!A:A,Models!F:F)</f>
        <v>#N/A</v>
      </c>
      <c r="F25" t="str">
        <f>_xlfn.XLOOKUP(B25,MacReports!B:B,MacReports!E:E,"")</f>
        <v/>
      </c>
      <c r="G25" s="13">
        <f>MacReports!F25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MacReports!G25</f>
        <v>0</v>
      </c>
      <c r="L25">
        <f>MacReports!H25</f>
        <v>0</v>
      </c>
      <c r="M25" s="15" t="e" cm="1">
        <f t="array" ref="M25">--_xlfn.LET(
    _xlpm.txt, MacReports!I25,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--MacReports!N25&lt;55,"Battery Defect",
  -- MacReports!N25&lt;=69,"Battery D",
  --MacReports!N25&lt;=80,"Battery C",
 --MacReports!N25&gt;80,""
)</f>
        <v>Battery Defect</v>
      </c>
      <c r="O25" s="16" t="str">
        <f>IF(MacReports!J25="Service","Battery Service","")</f>
        <v/>
      </c>
      <c r="P25" s="13">
        <f>MacReports!Q25</f>
        <v>0</v>
      </c>
      <c r="Q25" s="13" t="str">
        <f>IF(MacReports!K25="Enabled","Apple ID Lock","")</f>
        <v/>
      </c>
      <c r="R25" s="13" t="str">
        <f>IF(MacReports!M25="Remote Lock","Remote Locked","")</f>
        <v/>
      </c>
      <c r="S25" t="str">
        <f t="shared" si="2"/>
        <v>Battery Defect, 0</v>
      </c>
      <c r="T25" t="str">
        <f>_xlfn.XLOOKUP(B25,Disk_Pivot!G:G,Disk_Pivot!I:I)</f>
        <v>Yes x2</v>
      </c>
      <c r="U25" t="str">
        <f>_xlfn.XLOOKUP(B25,Disk_Pivot!G:G,Disk_Pivot!N:N)</f>
        <v>Pass, Fail</v>
      </c>
      <c r="V25" t="str">
        <f>IF(U25="Fail",MacReports!O25,"")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MacReports!D26</f>
        <v>0</v>
      </c>
      <c r="D26" t="str">
        <f>MacReports!C26&amp;""</f>
        <v/>
      </c>
      <c r="E26" t="e">
        <f>_xlfn.XLOOKUP(G26,Models!A:A,Models!F:F)</f>
        <v>#N/A</v>
      </c>
      <c r="F26" t="str">
        <f>_xlfn.XLOOKUP(B26,MacReports!B:B,MacReports!E:E,"")</f>
        <v/>
      </c>
      <c r="G26" s="13">
        <f>MacReports!F26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MacReports!G26</f>
        <v>0</v>
      </c>
      <c r="L26">
        <f>MacReports!H26</f>
        <v>0</v>
      </c>
      <c r="M26" s="15" t="e" cm="1">
        <f t="array" ref="M26">--_xlfn.LET(
    _xlpm.txt, MacReports!I26,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--MacReports!N26&lt;55,"Battery Defect",
  -- MacReports!N26&lt;=69,"Battery D",
  --MacReports!N26&lt;=80,"Battery C",
 --MacReports!N26&gt;80,""
)</f>
        <v>Battery Defect</v>
      </c>
      <c r="O26" s="16" t="str">
        <f>IF(MacReports!J26="Service","Battery Service","")</f>
        <v/>
      </c>
      <c r="P26" s="13">
        <f>MacReports!Q26</f>
        <v>0</v>
      </c>
      <c r="Q26" s="13" t="str">
        <f>IF(MacReports!K26="Enabled","Apple ID Lock","")</f>
        <v/>
      </c>
      <c r="R26" s="13" t="str">
        <f>IF(MacReports!M26="Remote Lock","Remote Locked","")</f>
        <v/>
      </c>
      <c r="S26" t="str">
        <f t="shared" si="2"/>
        <v>Battery Defect, 0</v>
      </c>
      <c r="T26" t="str">
        <f>_xlfn.XLOOKUP(B26,Disk_Pivot!G:G,Disk_Pivot!I:I)</f>
        <v>Yes x2</v>
      </c>
      <c r="U26" t="str">
        <f>_xlfn.XLOOKUP(B26,Disk_Pivot!G:G,Disk_Pivot!N:N)</f>
        <v>Pass, Fail</v>
      </c>
      <c r="V26" t="str">
        <f>IF(U26="Fail",MacReports!O26,"")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MacReports!D27</f>
        <v>0</v>
      </c>
      <c r="D27" t="str">
        <f>MacReports!C27&amp;""</f>
        <v/>
      </c>
      <c r="E27" t="e">
        <f>_xlfn.XLOOKUP(G27,Models!A:A,Models!F:F)</f>
        <v>#N/A</v>
      </c>
      <c r="F27" t="str">
        <f>_xlfn.XLOOKUP(B27,MacReports!B:B,MacReports!E:E,"")</f>
        <v/>
      </c>
      <c r="G27" s="13">
        <f>MacReports!F27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MacReports!G27</f>
        <v>0</v>
      </c>
      <c r="L27">
        <f>MacReports!H27</f>
        <v>0</v>
      </c>
      <c r="M27" s="15" t="e" cm="1">
        <f t="array" ref="M27">--_xlfn.LET(
    _xlpm.txt, MacReports!I27,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--MacReports!N27&lt;55,"Battery Defect",
  -- MacReports!N27&lt;=69,"Battery D",
  --MacReports!N27&lt;=80,"Battery C",
 --MacReports!N27&gt;80,""
)</f>
        <v>Battery Defect</v>
      </c>
      <c r="O27" s="16" t="str">
        <f>IF(MacReports!J27="Service","Battery Service","")</f>
        <v/>
      </c>
      <c r="P27" s="13">
        <f>MacReports!Q27</f>
        <v>0</v>
      </c>
      <c r="Q27" s="13" t="str">
        <f>IF(MacReports!K27="Enabled","Apple ID Lock","")</f>
        <v/>
      </c>
      <c r="R27" s="13" t="str">
        <f>IF(MacReports!M27="Remote Lock","Remote Locked","")</f>
        <v/>
      </c>
      <c r="S27" t="str">
        <f t="shared" si="2"/>
        <v>Battery Defect, 0</v>
      </c>
      <c r="T27" t="str">
        <f>_xlfn.XLOOKUP(B27,Disk_Pivot!G:G,Disk_Pivot!I:I)</f>
        <v>Yes x2</v>
      </c>
      <c r="U27" t="str">
        <f>_xlfn.XLOOKUP(B27,Disk_Pivot!G:G,Disk_Pivot!N:N)</f>
        <v>Pass, Fail</v>
      </c>
      <c r="V27" t="str">
        <f>IF(U27="Fail",MacReports!O27,"")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MacReports!D28</f>
        <v>0</v>
      </c>
      <c r="D28" t="str">
        <f>MacReports!C28&amp;""</f>
        <v/>
      </c>
      <c r="E28" t="e">
        <f>_xlfn.XLOOKUP(G28,Models!A:A,Models!F:F)</f>
        <v>#N/A</v>
      </c>
      <c r="F28" t="str">
        <f>_xlfn.XLOOKUP(B28,MacReports!B:B,MacReports!E:E,"")</f>
        <v/>
      </c>
      <c r="G28" s="13">
        <f>MacReports!F28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MacReports!G28</f>
        <v>0</v>
      </c>
      <c r="L28">
        <f>MacReports!H28</f>
        <v>0</v>
      </c>
      <c r="M28" s="15" t="e" cm="1">
        <f t="array" ref="M28">--_xlfn.LET(
    _xlpm.txt, MacReports!I28,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--MacReports!N28&lt;55,"Battery Defect",
  -- MacReports!N28&lt;=69,"Battery D",
  --MacReports!N28&lt;=80,"Battery C",
 --MacReports!N28&gt;80,""
)</f>
        <v>Battery Defect</v>
      </c>
      <c r="O28" s="16" t="str">
        <f>IF(MacReports!J28="Service","Battery Service","")</f>
        <v/>
      </c>
      <c r="P28" s="13">
        <f>MacReports!Q28</f>
        <v>0</v>
      </c>
      <c r="Q28" s="13" t="str">
        <f>IF(MacReports!K28="Enabled","Apple ID Lock","")</f>
        <v/>
      </c>
      <c r="R28" s="13" t="str">
        <f>IF(MacReports!M28="Remote Lock","Remote Locked","")</f>
        <v/>
      </c>
      <c r="S28" t="str">
        <f t="shared" si="2"/>
        <v>Battery Defect, 0</v>
      </c>
      <c r="T28" t="str">
        <f>_xlfn.XLOOKUP(B28,Disk_Pivot!G:G,Disk_Pivot!I:I)</f>
        <v>Yes x2</v>
      </c>
      <c r="U28" t="str">
        <f>_xlfn.XLOOKUP(B28,Disk_Pivot!G:G,Disk_Pivot!N:N)</f>
        <v>Pass, Fail</v>
      </c>
      <c r="V28" t="str">
        <f>IF(U28="Fail",MacReports!O28,"")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MacReports!D29</f>
        <v>0</v>
      </c>
      <c r="D29" t="str">
        <f>MacReports!C29&amp;""</f>
        <v/>
      </c>
      <c r="E29" t="e">
        <f>_xlfn.XLOOKUP(G29,Models!A:A,Models!F:F)</f>
        <v>#N/A</v>
      </c>
      <c r="F29" t="str">
        <f>_xlfn.XLOOKUP(B29,MacReports!B:B,MacReports!E:E,"")</f>
        <v/>
      </c>
      <c r="G29" s="13">
        <f>MacReports!F29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MacReports!G29</f>
        <v>0</v>
      </c>
      <c r="L29">
        <f>MacReports!H29</f>
        <v>0</v>
      </c>
      <c r="M29" s="15" t="e" cm="1">
        <f t="array" ref="M29">--_xlfn.LET(
    _xlpm.txt, MacReports!I29,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--MacReports!N29&lt;55,"Battery Defect",
  -- MacReports!N29&lt;=69,"Battery D",
  --MacReports!N29&lt;=80,"Battery C",
 --MacReports!N29&gt;80,""
)</f>
        <v>Battery Defect</v>
      </c>
      <c r="O29" s="16" t="str">
        <f>IF(MacReports!J29="Service","Battery Service","")</f>
        <v/>
      </c>
      <c r="P29" s="13">
        <f>MacReports!Q29</f>
        <v>0</v>
      </c>
      <c r="Q29" s="13" t="str">
        <f>IF(MacReports!K29="Enabled","Apple ID Lock","")</f>
        <v/>
      </c>
      <c r="R29" s="13" t="str">
        <f>IF(MacReports!M29="Remote Lock","Remote Locked","")</f>
        <v/>
      </c>
      <c r="S29" t="str">
        <f t="shared" si="2"/>
        <v>Battery Defect, 0</v>
      </c>
      <c r="T29" t="str">
        <f>_xlfn.XLOOKUP(B29,Disk_Pivot!G:G,Disk_Pivot!I:I)</f>
        <v>Yes x2</v>
      </c>
      <c r="U29" t="str">
        <f>_xlfn.XLOOKUP(B29,Disk_Pivot!G:G,Disk_Pivot!N:N)</f>
        <v>Pass, Fail</v>
      </c>
      <c r="V29" t="str">
        <f>IF(U29="Fail",MacReports!O29,"")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MacReports!D30</f>
        <v>0</v>
      </c>
      <c r="D30" t="str">
        <f>MacReports!C30&amp;""</f>
        <v/>
      </c>
      <c r="E30" t="e">
        <f>_xlfn.XLOOKUP(G30,Models!A:A,Models!F:F)</f>
        <v>#N/A</v>
      </c>
      <c r="F30" t="str">
        <f>_xlfn.XLOOKUP(B30,MacReports!B:B,MacReports!E:E,"")</f>
        <v/>
      </c>
      <c r="G30" s="13">
        <f>MacReports!F30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MacReports!G30</f>
        <v>0</v>
      </c>
      <c r="L30">
        <f>MacReports!H30</f>
        <v>0</v>
      </c>
      <c r="M30" s="15" t="e" cm="1">
        <f t="array" ref="M30">--_xlfn.LET(
    _xlpm.txt, MacReports!I30,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--MacReports!N30&lt;55,"Battery Defect",
  -- MacReports!N30&lt;=69,"Battery D",
  --MacReports!N30&lt;=80,"Battery C",
 --MacReports!N30&gt;80,""
)</f>
        <v>Battery Defect</v>
      </c>
      <c r="O30" s="16" t="str">
        <f>IF(MacReports!J30="Service","Battery Service","")</f>
        <v/>
      </c>
      <c r="P30" s="13">
        <f>MacReports!Q30</f>
        <v>0</v>
      </c>
      <c r="Q30" s="13" t="str">
        <f>IF(MacReports!K30="Enabled","Apple ID Lock","")</f>
        <v/>
      </c>
      <c r="R30" s="13" t="str">
        <f>IF(MacReports!M30="Remote Lock","Remote Locked","")</f>
        <v/>
      </c>
      <c r="S30" t="str">
        <f t="shared" si="2"/>
        <v>Battery Defect, 0</v>
      </c>
      <c r="T30" t="str">
        <f>_xlfn.XLOOKUP(B30,Disk_Pivot!G:G,Disk_Pivot!I:I)</f>
        <v>Yes x2</v>
      </c>
      <c r="U30" t="str">
        <f>_xlfn.XLOOKUP(B30,Disk_Pivot!G:G,Disk_Pivot!N:N)</f>
        <v>Pass, Fail</v>
      </c>
      <c r="V30" t="str">
        <f>IF(U30="Fail",MacReports!O30,"")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MacReports!D31</f>
        <v>0</v>
      </c>
      <c r="D31" t="str">
        <f>MacReports!C31&amp;""</f>
        <v/>
      </c>
      <c r="E31" t="e">
        <f>_xlfn.XLOOKUP(G31,Models!A:A,Models!F:F)</f>
        <v>#N/A</v>
      </c>
      <c r="F31" t="str">
        <f>_xlfn.XLOOKUP(B31,MacReports!B:B,MacReports!E:E,"")</f>
        <v/>
      </c>
      <c r="G31" s="13">
        <f>MacReports!F31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MacReports!G31</f>
        <v>0</v>
      </c>
      <c r="L31">
        <f>MacReports!H31</f>
        <v>0</v>
      </c>
      <c r="M31" s="15" t="e" cm="1">
        <f t="array" ref="M31">--_xlfn.LET(
    _xlpm.txt, MacReports!I31,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--MacReports!N31&lt;55,"Battery Defect",
  -- MacReports!N31&lt;=69,"Battery D",
  --MacReports!N31&lt;=80,"Battery C",
 --MacReports!N31&gt;80,""
)</f>
        <v>Battery Defect</v>
      </c>
      <c r="O31" s="16" t="str">
        <f>IF(MacReports!J31="Service","Battery Service","")</f>
        <v/>
      </c>
      <c r="P31" s="13">
        <f>MacReports!Q31</f>
        <v>0</v>
      </c>
      <c r="Q31" s="13" t="str">
        <f>IF(MacReports!K31="Enabled","Apple ID Lock","")</f>
        <v/>
      </c>
      <c r="R31" s="13" t="str">
        <f>IF(MacReports!M31="Remote Lock","Remote Locked","")</f>
        <v/>
      </c>
      <c r="S31" t="str">
        <f t="shared" si="2"/>
        <v>Battery Defect, 0</v>
      </c>
      <c r="T31" t="str">
        <f>_xlfn.XLOOKUP(B31,Disk_Pivot!G:G,Disk_Pivot!I:I)</f>
        <v>Yes x2</v>
      </c>
      <c r="U31" t="str">
        <f>_xlfn.XLOOKUP(B31,Disk_Pivot!G:G,Disk_Pivot!N:N)</f>
        <v>Pass, Fail</v>
      </c>
      <c r="V31" t="str">
        <f>IF(U31="Fail",MacReports!O31,"")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MacReports!D32</f>
        <v>0</v>
      </c>
      <c r="D32" t="str">
        <f>MacReports!C32&amp;""</f>
        <v/>
      </c>
      <c r="E32" t="e">
        <f>_xlfn.XLOOKUP(G32,Models!A:A,Models!F:F)</f>
        <v>#N/A</v>
      </c>
      <c r="F32" t="str">
        <f>_xlfn.XLOOKUP(B32,MacReports!B:B,MacReports!E:E,"")</f>
        <v/>
      </c>
      <c r="G32" s="13">
        <f>MacReports!F32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MacReports!G32</f>
        <v>0</v>
      </c>
      <c r="L32">
        <f>MacReports!H32</f>
        <v>0</v>
      </c>
      <c r="M32" s="15" t="e" cm="1">
        <f t="array" ref="M32">--_xlfn.LET(
    _xlpm.txt, MacReports!I32,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--MacReports!N32&lt;55,"Battery Defect",
  -- MacReports!N32&lt;=69,"Battery D",
  --MacReports!N32&lt;=80,"Battery C",
 --MacReports!N32&gt;80,""
)</f>
        <v>Battery Defect</v>
      </c>
      <c r="O32" s="16" t="str">
        <f>IF(MacReports!J32="Service","Battery Service","")</f>
        <v/>
      </c>
      <c r="P32" s="13">
        <f>MacReports!Q32</f>
        <v>0</v>
      </c>
      <c r="Q32" s="13" t="str">
        <f>IF(MacReports!K32="Enabled","Apple ID Lock","")</f>
        <v/>
      </c>
      <c r="R32" s="13" t="str">
        <f>IF(MacReports!M32="Remote Lock","Remote Locked","")</f>
        <v/>
      </c>
      <c r="S32" t="str">
        <f t="shared" si="2"/>
        <v>Battery Defect, 0</v>
      </c>
      <c r="T32" t="str">
        <f>_xlfn.XLOOKUP(B32,Disk_Pivot!G:G,Disk_Pivot!I:I)</f>
        <v>Yes x2</v>
      </c>
      <c r="U32" t="str">
        <f>_xlfn.XLOOKUP(B32,Disk_Pivot!G:G,Disk_Pivot!N:N)</f>
        <v>Pass, Fail</v>
      </c>
      <c r="V32" t="str">
        <f>IF(U32="Fail",MacReports!O32,"")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MacReports!D33</f>
        <v>0</v>
      </c>
      <c r="D33" t="str">
        <f>MacReports!C33&amp;""</f>
        <v/>
      </c>
      <c r="E33" t="e">
        <f>_xlfn.XLOOKUP(G33,Models!A:A,Models!F:F)</f>
        <v>#N/A</v>
      </c>
      <c r="F33" t="str">
        <f>_xlfn.XLOOKUP(B33,MacReports!B:B,MacReports!E:E,"")</f>
        <v/>
      </c>
      <c r="G33" s="13">
        <f>MacReports!F33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MacReports!G33</f>
        <v>0</v>
      </c>
      <c r="L33">
        <f>MacReports!H33</f>
        <v>0</v>
      </c>
      <c r="M33" s="15" t="e" cm="1">
        <f t="array" ref="M33">--_xlfn.LET(
    _xlpm.txt, MacReports!I33,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--MacReports!N33&lt;55,"Battery Defect",
  -- MacReports!N33&lt;=69,"Battery D",
  --MacReports!N33&lt;=80,"Battery C",
 --MacReports!N33&gt;80,""
)</f>
        <v>Battery Defect</v>
      </c>
      <c r="O33" s="16" t="str">
        <f>IF(MacReports!J33="Service","Battery Service","")</f>
        <v/>
      </c>
      <c r="P33" s="13">
        <f>MacReports!Q33</f>
        <v>0</v>
      </c>
      <c r="Q33" s="13" t="str">
        <f>IF(MacReports!K33="Enabled","Apple ID Lock","")</f>
        <v/>
      </c>
      <c r="R33" s="13" t="str">
        <f>IF(MacReports!M33="Remote Lock","Remote Locked","")</f>
        <v/>
      </c>
      <c r="S33" t="str">
        <f t="shared" si="2"/>
        <v>Battery Defect, 0</v>
      </c>
      <c r="T33" t="str">
        <f>_xlfn.XLOOKUP(B33,Disk_Pivot!G:G,Disk_Pivot!I:I)</f>
        <v>Yes x2</v>
      </c>
      <c r="U33" t="str">
        <f>_xlfn.XLOOKUP(B33,Disk_Pivot!G:G,Disk_Pivot!N:N)</f>
        <v>Pass, Fail</v>
      </c>
      <c r="V33" t="str">
        <f>IF(U33="Fail",MacReports!O33,"")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MacReports!D34</f>
        <v>0</v>
      </c>
      <c r="D34" t="str">
        <f>MacReports!C34&amp;""</f>
        <v/>
      </c>
      <c r="E34" t="e">
        <f>_xlfn.XLOOKUP(G34,Models!A:A,Models!F:F)</f>
        <v>#N/A</v>
      </c>
      <c r="F34" t="str">
        <f>_xlfn.XLOOKUP(B34,MacReports!B:B,MacReports!E:E,"")</f>
        <v/>
      </c>
      <c r="G34" s="13">
        <f>MacReports!F34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MacReports!G34</f>
        <v>0</v>
      </c>
      <c r="L34">
        <f>MacReports!H34</f>
        <v>0</v>
      </c>
      <c r="M34" s="15" t="e" cm="1">
        <f t="array" ref="M34">--_xlfn.LET(
    _xlpm.txt, MacReports!I34,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--MacReports!N34&lt;55,"Battery Defect",
  -- MacReports!N34&lt;=69,"Battery D",
  --MacReports!N34&lt;=80,"Battery C",
 --MacReports!N34&gt;80,""
)</f>
        <v>Battery Defect</v>
      </c>
      <c r="O34" s="16" t="str">
        <f>IF(MacReports!J34="Service","Battery Service","")</f>
        <v/>
      </c>
      <c r="P34" s="13">
        <f>MacReports!Q34</f>
        <v>0</v>
      </c>
      <c r="Q34" s="13" t="str">
        <f>IF(MacReports!K34="Enabled","Apple ID Lock","")</f>
        <v/>
      </c>
      <c r="R34" s="13" t="str">
        <f>IF(MacReports!M34="Remote Lock","Remote Locked","")</f>
        <v/>
      </c>
      <c r="S34" t="str">
        <f t="shared" si="2"/>
        <v>Battery Defect, 0</v>
      </c>
      <c r="T34" t="str">
        <f>_xlfn.XLOOKUP(B34,Disk_Pivot!G:G,Disk_Pivot!I:I)</f>
        <v>Yes x2</v>
      </c>
      <c r="U34" t="str">
        <f>_xlfn.XLOOKUP(B34,Disk_Pivot!G:G,Disk_Pivot!N:N)</f>
        <v>Pass, Fail</v>
      </c>
      <c r="V34" t="str">
        <f>IF(U34="Fail",MacReports!O34,"")</f>
        <v/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MacReports!D35</f>
        <v>0</v>
      </c>
      <c r="D35" t="str">
        <f>MacReports!C35&amp;""</f>
        <v/>
      </c>
      <c r="E35" t="e">
        <f>_xlfn.XLOOKUP(G35,Models!A:A,Models!F:F)</f>
        <v>#N/A</v>
      </c>
      <c r="F35" t="str">
        <f>_xlfn.XLOOKUP(B35,MacReports!B:B,MacReports!E:E,"")</f>
        <v/>
      </c>
      <c r="G35" s="13">
        <f>MacReports!F35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MacReports!G35</f>
        <v>0</v>
      </c>
      <c r="L35">
        <f>MacReports!H35</f>
        <v>0</v>
      </c>
      <c r="M35" s="15" t="e" cm="1">
        <f t="array" ref="M35">--_xlfn.LET(
    _xlpm.txt, MacReports!I35,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--MacReports!N35&lt;55,"Battery Defect",
  -- MacReports!N35&lt;=69,"Battery D",
  --MacReports!N35&lt;=80,"Battery C",
 --MacReports!N35&gt;80,""
)</f>
        <v>Battery Defect</v>
      </c>
      <c r="O35" s="16" t="str">
        <f>IF(MacReports!J35="Service","Battery Service","")</f>
        <v/>
      </c>
      <c r="P35" s="13">
        <f>MacReports!Q35</f>
        <v>0</v>
      </c>
      <c r="Q35" s="13" t="str">
        <f>IF(MacReports!K35="Enabled","Apple ID Lock","")</f>
        <v/>
      </c>
      <c r="R35" s="13" t="str">
        <f>IF(MacReports!M35="Remote Lock","Remote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Yes x2</v>
      </c>
      <c r="U35" t="str">
        <f>_xlfn.XLOOKUP(B35,Disk_Pivot!G:G,Disk_Pivot!N:N)</f>
        <v>Pass, Fail</v>
      </c>
      <c r="V35" t="str">
        <f>IF(U35="Fail",MacReports!O35,"")</f>
        <v/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MacReports!D36</f>
        <v>0</v>
      </c>
      <c r="D36" t="str">
        <f>MacReports!C36&amp;""</f>
        <v/>
      </c>
      <c r="E36" t="e">
        <f>_xlfn.XLOOKUP(G36,Models!A:A,Models!F:F)</f>
        <v>#N/A</v>
      </c>
      <c r="F36" t="str">
        <f>_xlfn.XLOOKUP(B36,MacReports!B:B,MacReports!E:E,"")</f>
        <v/>
      </c>
      <c r="G36" s="13">
        <f>MacReports!F36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MacReports!G36</f>
        <v>0</v>
      </c>
      <c r="L36">
        <f>MacReports!H36</f>
        <v>0</v>
      </c>
      <c r="M36" s="15" t="e" cm="1">
        <f t="array" ref="M36">--_xlfn.LET(
    _xlpm.txt, MacReports!I36,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--MacReports!N36&lt;55,"Battery Defect",
  -- MacReports!N36&lt;=69,"Battery D",
  --MacReports!N36&lt;=80,"Battery C",
 --MacReports!N36&gt;80,""
)</f>
        <v>Battery Defect</v>
      </c>
      <c r="O36" s="16" t="str">
        <f>IF(MacReports!J36="Service","Battery Service","")</f>
        <v/>
      </c>
      <c r="P36" s="13">
        <f>MacReports!Q36</f>
        <v>0</v>
      </c>
      <c r="Q36" s="13" t="str">
        <f>IF(MacReports!K36="Enabled","Apple ID Lock","")</f>
        <v/>
      </c>
      <c r="R36" s="13" t="str">
        <f>IF(MacReports!M36="Remote Lock","Remote Locked","")</f>
        <v/>
      </c>
      <c r="S36" t="str">
        <f t="shared" si="3"/>
        <v>Battery Defect, 0</v>
      </c>
      <c r="T36" t="str">
        <f>_xlfn.XLOOKUP(B36,Disk_Pivot!G:G,Disk_Pivot!I:I)</f>
        <v>Yes x2</v>
      </c>
      <c r="U36" t="str">
        <f>_xlfn.XLOOKUP(B36,Disk_Pivot!G:G,Disk_Pivot!N:N)</f>
        <v>Pass, Fail</v>
      </c>
      <c r="V36" t="str">
        <f>IF(U36="Fail",MacReports!O36,"")</f>
        <v/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MacReports!D37</f>
        <v>0</v>
      </c>
      <c r="D37" t="str">
        <f>MacReports!C37&amp;""</f>
        <v/>
      </c>
      <c r="E37" t="e">
        <f>_xlfn.XLOOKUP(G37,Models!A:A,Models!F:F)</f>
        <v>#N/A</v>
      </c>
      <c r="F37" t="str">
        <f>_xlfn.XLOOKUP(B37,MacReports!B:B,MacReports!E:E,"")</f>
        <v/>
      </c>
      <c r="G37" s="13">
        <f>MacReports!F37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MacReports!G37</f>
        <v>0</v>
      </c>
      <c r="L37">
        <f>MacReports!H37</f>
        <v>0</v>
      </c>
      <c r="M37" s="15" t="e" cm="1">
        <f t="array" ref="M37">--_xlfn.LET(
    _xlpm.txt, MacReports!I37,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--MacReports!N37&lt;55,"Battery Defect",
  -- MacReports!N37&lt;=69,"Battery D",
  --MacReports!N37&lt;=80,"Battery C",
 --MacReports!N37&gt;80,""
)</f>
        <v>Battery Defect</v>
      </c>
      <c r="O37" s="16" t="str">
        <f>IF(MacReports!J37="Service","Battery Service","")</f>
        <v/>
      </c>
      <c r="P37" s="13">
        <f>MacReports!Q37</f>
        <v>0</v>
      </c>
      <c r="Q37" s="13" t="str">
        <f>IF(MacReports!K37="Enabled","Apple ID Lock","")</f>
        <v/>
      </c>
      <c r="R37" s="13" t="str">
        <f>IF(MacReports!M37="Remote Lock","Remote Locked","")</f>
        <v/>
      </c>
      <c r="S37" t="str">
        <f t="shared" si="3"/>
        <v>Battery Defect, 0</v>
      </c>
      <c r="T37" t="str">
        <f>_xlfn.XLOOKUP(B37,Disk_Pivot!G:G,Disk_Pivot!I:I)</f>
        <v>Yes x2</v>
      </c>
      <c r="U37" t="str">
        <f>_xlfn.XLOOKUP(B37,Disk_Pivot!G:G,Disk_Pivot!N:N)</f>
        <v>Pass, Fail</v>
      </c>
      <c r="V37" t="str">
        <f>IF(U37="Fail",MacReports!O37,"")</f>
        <v/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MacReports!D38</f>
        <v>0</v>
      </c>
      <c r="D38" t="str">
        <f>MacReports!C38&amp;""</f>
        <v/>
      </c>
      <c r="E38" t="e">
        <f>_xlfn.XLOOKUP(G38,Models!A:A,Models!F:F)</f>
        <v>#N/A</v>
      </c>
      <c r="F38" t="str">
        <f>_xlfn.XLOOKUP(B38,MacReports!B:B,MacReports!E:E,"")</f>
        <v/>
      </c>
      <c r="G38" s="13">
        <f>MacReports!F38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MacReports!G38</f>
        <v>0</v>
      </c>
      <c r="L38">
        <f>MacReports!H38</f>
        <v>0</v>
      </c>
      <c r="M38" s="15" t="e" cm="1">
        <f t="array" ref="M38">--_xlfn.LET(
    _xlpm.txt, MacReports!I38,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--MacReports!N38&lt;55,"Battery Defect",
  -- MacReports!N38&lt;=69,"Battery D",
  --MacReports!N38&lt;=80,"Battery C",
 --MacReports!N38&gt;80,""
)</f>
        <v>Battery Defect</v>
      </c>
      <c r="O38" s="16" t="str">
        <f>IF(MacReports!J38="Service","Battery Service","")</f>
        <v/>
      </c>
      <c r="P38" s="13">
        <f>MacReports!Q38</f>
        <v>0</v>
      </c>
      <c r="Q38" s="13" t="str">
        <f>IF(MacReports!K38="Enabled","Apple ID Lock","")</f>
        <v/>
      </c>
      <c r="R38" s="13" t="str">
        <f>IF(MacReports!M38="Remote Lock","Remote Locked","")</f>
        <v/>
      </c>
      <c r="S38" t="str">
        <f t="shared" si="3"/>
        <v>Battery Defect, 0</v>
      </c>
      <c r="T38" t="str">
        <f>_xlfn.XLOOKUP(B38,Disk_Pivot!G:G,Disk_Pivot!I:I)</f>
        <v>Yes x2</v>
      </c>
      <c r="U38" t="str">
        <f>_xlfn.XLOOKUP(B38,Disk_Pivot!G:G,Disk_Pivot!N:N)</f>
        <v>Pass, Fail</v>
      </c>
      <c r="V38" t="str">
        <f>IF(U38="Fail",MacReports!O38,"")</f>
        <v/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MacReports!D39</f>
        <v>0</v>
      </c>
      <c r="D39" t="str">
        <f>MacReports!C39&amp;""</f>
        <v/>
      </c>
      <c r="E39" t="e">
        <f>_xlfn.XLOOKUP(G39,Models!A:A,Models!F:F)</f>
        <v>#N/A</v>
      </c>
      <c r="F39" t="str">
        <f>_xlfn.XLOOKUP(B39,MacReports!B:B,MacReports!E:E,"")</f>
        <v/>
      </c>
      <c r="G39" s="13">
        <f>MacReports!F39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MacReports!G39</f>
        <v>0</v>
      </c>
      <c r="L39">
        <f>MacReports!H39</f>
        <v>0</v>
      </c>
      <c r="M39" s="15" t="e" cm="1">
        <f t="array" ref="M39">--_xlfn.LET(
    _xlpm.txt, MacReports!I39,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--MacReports!N39&lt;55,"Battery Defect",
  -- MacReports!N39&lt;=69,"Battery D",
  --MacReports!N39&lt;=80,"Battery C",
 --MacReports!N39&gt;80,""
)</f>
        <v>Battery Defect</v>
      </c>
      <c r="O39" s="16" t="str">
        <f>IF(MacReports!J39="Service","Battery Service","")</f>
        <v/>
      </c>
      <c r="P39" s="13">
        <f>MacReports!Q39</f>
        <v>0</v>
      </c>
      <c r="Q39" s="13" t="str">
        <f>IF(MacReports!K39="Enabled","Apple ID Lock","")</f>
        <v/>
      </c>
      <c r="R39" s="13" t="str">
        <f>IF(MacReports!M39="Remote Lock","Remote Locked","")</f>
        <v/>
      </c>
      <c r="S39" t="str">
        <f t="shared" si="3"/>
        <v>Battery Defect, 0</v>
      </c>
      <c r="T39" t="str">
        <f>_xlfn.XLOOKUP(B39,Disk_Pivot!G:G,Disk_Pivot!I:I)</f>
        <v>Yes x2</v>
      </c>
      <c r="U39" t="str">
        <f>_xlfn.XLOOKUP(B39,Disk_Pivot!G:G,Disk_Pivot!N:N)</f>
        <v>Pass, Fail</v>
      </c>
      <c r="V39" t="str">
        <f>IF(U39="Fail",MacReports!O39,"")</f>
        <v/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MacReports!D40</f>
        <v>0</v>
      </c>
      <c r="D40" t="str">
        <f>MacReports!C40&amp;""</f>
        <v/>
      </c>
      <c r="E40" t="e">
        <f>_xlfn.XLOOKUP(G40,Models!A:A,Models!F:F)</f>
        <v>#N/A</v>
      </c>
      <c r="F40" t="str">
        <f>_xlfn.XLOOKUP(B40,MacReports!B:B,MacReports!E:E,"")</f>
        <v/>
      </c>
      <c r="G40" s="13">
        <f>MacReports!F40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MacReports!G40</f>
        <v>0</v>
      </c>
      <c r="L40">
        <f>MacReports!H40</f>
        <v>0</v>
      </c>
      <c r="M40" s="15" t="e" cm="1">
        <f t="array" ref="M40">--_xlfn.LET(
    _xlpm.txt, MacReports!I40,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--MacReports!N40&lt;55,"Battery Defect",
  -- MacReports!N40&lt;=69,"Battery D",
  --MacReports!N40&lt;=80,"Battery C",
 --MacReports!N40&gt;80,""
)</f>
        <v>Battery Defect</v>
      </c>
      <c r="O40" s="16" t="str">
        <f>IF(MacReports!J40="Service","Battery Service","")</f>
        <v/>
      </c>
      <c r="P40" s="13">
        <f>MacReports!Q40</f>
        <v>0</v>
      </c>
      <c r="Q40" s="13" t="str">
        <f>IF(MacReports!K40="Enabled","Apple ID Lock","")</f>
        <v/>
      </c>
      <c r="R40" s="13" t="str">
        <f>IF(MacReports!M40="Remote Lock","Remote Locked","")</f>
        <v/>
      </c>
      <c r="S40" t="str">
        <f t="shared" si="3"/>
        <v>Battery Defect, 0</v>
      </c>
      <c r="T40" t="str">
        <f>_xlfn.XLOOKUP(B40,Disk_Pivot!G:G,Disk_Pivot!I:I)</f>
        <v>Yes x2</v>
      </c>
      <c r="U40" t="str">
        <f>_xlfn.XLOOKUP(B40,Disk_Pivot!G:G,Disk_Pivot!N:N)</f>
        <v>Pass, Fail</v>
      </c>
      <c r="V40" t="str">
        <f>IF(U40="Fail",MacReports!O40,"")</f>
        <v/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MacReports!D41</f>
        <v>0</v>
      </c>
      <c r="D41" t="str">
        <f>MacReports!C41&amp;""</f>
        <v/>
      </c>
      <c r="E41" t="e">
        <f>_xlfn.XLOOKUP(G41,Models!A:A,Models!F:F)</f>
        <v>#N/A</v>
      </c>
      <c r="F41" t="str">
        <f>_xlfn.XLOOKUP(B41,MacReports!B:B,MacReports!E:E,"")</f>
        <v/>
      </c>
      <c r="G41" s="13">
        <f>MacReports!F41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MacReports!G41</f>
        <v>0</v>
      </c>
      <c r="L41">
        <f>MacReports!H41</f>
        <v>0</v>
      </c>
      <c r="M41" s="15" t="e" cm="1">
        <f t="array" ref="M41">--_xlfn.LET(
    _xlpm.txt, MacReports!I41,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--MacReports!N41&lt;55,"Battery Defect",
  -- MacReports!N41&lt;=69,"Battery D",
  --MacReports!N41&lt;=80,"Battery C",
 --MacReports!N41&gt;80,""
)</f>
        <v>Battery Defect</v>
      </c>
      <c r="O41" s="16" t="str">
        <f>IF(MacReports!J41="Service","Battery Service","")</f>
        <v/>
      </c>
      <c r="P41" s="13">
        <f>MacReports!Q41</f>
        <v>0</v>
      </c>
      <c r="Q41" s="13" t="str">
        <f>IF(MacReports!K41="Enabled","Apple ID Lock","")</f>
        <v/>
      </c>
      <c r="R41" s="13" t="str">
        <f>IF(MacReports!M41="Remote Lock","Remote Locked","")</f>
        <v/>
      </c>
      <c r="S41" t="str">
        <f t="shared" si="3"/>
        <v>Battery Defect, 0</v>
      </c>
      <c r="T41" t="str">
        <f>_xlfn.XLOOKUP(B41,Disk_Pivot!G:G,Disk_Pivot!I:I)</f>
        <v>Yes x2</v>
      </c>
      <c r="U41" t="str">
        <f>_xlfn.XLOOKUP(B41,Disk_Pivot!G:G,Disk_Pivot!N:N)</f>
        <v>Pass, Fail</v>
      </c>
      <c r="V41" t="str">
        <f>IF(U41="Fail",MacReports!O41,"")</f>
        <v/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MacReports!D42</f>
        <v>0</v>
      </c>
      <c r="D42" t="str">
        <f>MacReports!C42&amp;""</f>
        <v/>
      </c>
      <c r="E42" t="e">
        <f>_xlfn.XLOOKUP(G42,Models!A:A,Models!F:F)</f>
        <v>#N/A</v>
      </c>
      <c r="F42" t="str">
        <f>_xlfn.XLOOKUP(B42,MacReports!B:B,MacReports!E:E,"")</f>
        <v/>
      </c>
      <c r="G42" s="13">
        <f>MacReports!F42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MacReports!G42</f>
        <v>0</v>
      </c>
      <c r="L42">
        <f>MacReports!H42</f>
        <v>0</v>
      </c>
      <c r="M42" s="15" t="e" cm="1">
        <f t="array" ref="M42">--_xlfn.LET(
    _xlpm.txt, MacReports!I42,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--MacReports!N42&lt;55,"Battery Defect",
  -- MacReports!N42&lt;=69,"Battery D",
  --MacReports!N42&lt;=80,"Battery C",
 --MacReports!N42&gt;80,""
)</f>
        <v>Battery Defect</v>
      </c>
      <c r="O42" s="16" t="str">
        <f>IF(MacReports!J42="Service","Battery Service","")</f>
        <v/>
      </c>
      <c r="P42" s="13">
        <f>MacReports!Q42</f>
        <v>0</v>
      </c>
      <c r="Q42" s="13" t="str">
        <f>IF(MacReports!K42="Enabled","Apple ID Lock","")</f>
        <v/>
      </c>
      <c r="R42" s="13" t="str">
        <f>IF(MacReports!M42="Remote Lock","Remote Locked","")</f>
        <v/>
      </c>
      <c r="S42" t="str">
        <f t="shared" si="3"/>
        <v>Battery Defect, 0</v>
      </c>
      <c r="T42" t="str">
        <f>_xlfn.XLOOKUP(B42,Disk_Pivot!G:G,Disk_Pivot!I:I)</f>
        <v>Yes x2</v>
      </c>
      <c r="U42" t="str">
        <f>_xlfn.XLOOKUP(B42,Disk_Pivot!G:G,Disk_Pivot!N:N)</f>
        <v>Pass, Fail</v>
      </c>
      <c r="V42" t="str">
        <f>IF(U42="Fail",MacReports!O42,"")</f>
        <v/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MacReports!D43</f>
        <v>0</v>
      </c>
      <c r="D43" t="str">
        <f>MacReports!C43&amp;""</f>
        <v/>
      </c>
      <c r="E43" t="e">
        <f>_xlfn.XLOOKUP(G43,Models!A:A,Models!F:F)</f>
        <v>#N/A</v>
      </c>
      <c r="F43" t="str">
        <f>_xlfn.XLOOKUP(B43,MacReports!B:B,MacReports!E:E,"")</f>
        <v/>
      </c>
      <c r="G43" s="13">
        <f>MacReports!F43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MacReports!G43</f>
        <v>0</v>
      </c>
      <c r="L43">
        <f>MacReports!H43</f>
        <v>0</v>
      </c>
      <c r="M43" s="15" t="e" cm="1">
        <f t="array" ref="M43">--_xlfn.LET(
    _xlpm.txt, MacReports!I43,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--MacReports!N43&lt;55,"Battery Defect",
  -- MacReports!N43&lt;=69,"Battery D",
  --MacReports!N43&lt;=80,"Battery C",
 --MacReports!N43&gt;80,""
)</f>
        <v>Battery Defect</v>
      </c>
      <c r="O43" s="16" t="str">
        <f>IF(MacReports!J43="Service","Battery Service","")</f>
        <v/>
      </c>
      <c r="P43" s="13">
        <f>MacReports!Q43</f>
        <v>0</v>
      </c>
      <c r="Q43" s="13" t="str">
        <f>IF(MacReports!K43="Enabled","Apple ID Lock","")</f>
        <v/>
      </c>
      <c r="R43" s="13" t="str">
        <f>IF(MacReports!M43="Remote Lock","Remote Locked","")</f>
        <v/>
      </c>
      <c r="S43" t="str">
        <f t="shared" si="3"/>
        <v>Battery Defect, 0</v>
      </c>
      <c r="T43" t="str">
        <f>_xlfn.XLOOKUP(B43,Disk_Pivot!G:G,Disk_Pivot!I:I)</f>
        <v>Yes x2</v>
      </c>
      <c r="U43" t="str">
        <f>_xlfn.XLOOKUP(B43,Disk_Pivot!G:G,Disk_Pivot!N:N)</f>
        <v>Pass, Fail</v>
      </c>
      <c r="V43" t="str">
        <f>IF(U43="Fail",MacReports!O43,"")</f>
        <v/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MacReports!D44</f>
        <v>0</v>
      </c>
      <c r="D44" t="str">
        <f>MacReports!C44&amp;""</f>
        <v/>
      </c>
      <c r="E44" t="e">
        <f>_xlfn.XLOOKUP(G44,Models!A:A,Models!F:F)</f>
        <v>#N/A</v>
      </c>
      <c r="F44" t="str">
        <f>_xlfn.XLOOKUP(B44,MacReports!B:B,MacReports!E:E,"")</f>
        <v/>
      </c>
      <c r="G44" s="13">
        <f>MacReports!F44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MacReports!G44</f>
        <v>0</v>
      </c>
      <c r="L44">
        <f>MacReports!H44</f>
        <v>0</v>
      </c>
      <c r="M44" s="15" t="e" cm="1">
        <f t="array" ref="M44">--_xlfn.LET(
    _xlpm.txt, MacReports!I44,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--MacReports!N44&lt;55,"Battery Defect",
  -- MacReports!N44&lt;=69,"Battery D",
  --MacReports!N44&lt;=80,"Battery C",
 --MacReports!N44&gt;80,""
)</f>
        <v>Battery Defect</v>
      </c>
      <c r="O44" s="16" t="str">
        <f>IF(MacReports!J44="Service","Battery Service","")</f>
        <v/>
      </c>
      <c r="P44" s="13">
        <f>MacReports!Q44</f>
        <v>0</v>
      </c>
      <c r="Q44" s="13" t="str">
        <f>IF(MacReports!K44="Enabled","Apple ID Lock","")</f>
        <v/>
      </c>
      <c r="R44" s="13" t="str">
        <f>IF(MacReports!M44="Remote Lock","Remote Locked","")</f>
        <v/>
      </c>
      <c r="S44" t="str">
        <f t="shared" si="3"/>
        <v>Battery Defect, 0</v>
      </c>
      <c r="T44" t="str">
        <f>_xlfn.XLOOKUP(B44,Disk_Pivot!G:G,Disk_Pivot!I:I)</f>
        <v>Yes x2</v>
      </c>
      <c r="U44" t="str">
        <f>_xlfn.XLOOKUP(B44,Disk_Pivot!G:G,Disk_Pivot!N:N)</f>
        <v>Pass, Fail</v>
      </c>
      <c r="V44" t="str">
        <f>IF(U44="Fail",MacReports!O44,"")</f>
        <v/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MacReports!D45</f>
        <v>0</v>
      </c>
      <c r="D45" t="str">
        <f>MacReports!C45&amp;""</f>
        <v/>
      </c>
      <c r="E45" t="e">
        <f>_xlfn.XLOOKUP(G45,Models!A:A,Models!F:F)</f>
        <v>#N/A</v>
      </c>
      <c r="F45" t="str">
        <f>_xlfn.XLOOKUP(B45,MacReports!B:B,MacReports!E:E,"")</f>
        <v/>
      </c>
      <c r="G45" s="13">
        <f>MacReports!F45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MacReports!G45</f>
        <v>0</v>
      </c>
      <c r="L45">
        <f>MacReports!H45</f>
        <v>0</v>
      </c>
      <c r="M45" s="15" t="e" cm="1">
        <f t="array" ref="M45">--_xlfn.LET(
    _xlpm.txt, MacReports!I45,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--MacReports!N45&lt;55,"Battery Defect",
  -- MacReports!N45&lt;=69,"Battery D",
  --MacReports!N45&lt;=80,"Battery C",
 --MacReports!N45&gt;80,""
)</f>
        <v>Battery Defect</v>
      </c>
      <c r="O45" s="16" t="str">
        <f>IF(MacReports!J45="Service","Battery Service","")</f>
        <v/>
      </c>
      <c r="P45" s="13">
        <f>MacReports!Q45</f>
        <v>0</v>
      </c>
      <c r="Q45" s="13" t="str">
        <f>IF(MacReports!K45="Enabled","Apple ID Lock","")</f>
        <v/>
      </c>
      <c r="R45" s="13" t="str">
        <f>IF(MacReports!M45="Remote Lock","Remote Locked","")</f>
        <v/>
      </c>
      <c r="S45" t="str">
        <f t="shared" si="3"/>
        <v>Battery Defect, 0</v>
      </c>
      <c r="T45" t="str">
        <f>_xlfn.XLOOKUP(B45,Disk_Pivot!G:G,Disk_Pivot!I:I)</f>
        <v>Yes x2</v>
      </c>
      <c r="U45" t="str">
        <f>_xlfn.XLOOKUP(B45,Disk_Pivot!G:G,Disk_Pivot!N:N)</f>
        <v>Pass, Fail</v>
      </c>
      <c r="V45" t="str">
        <f>IF(U45="Fail",MacReports!O45,"")</f>
        <v/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MacReports!D46</f>
        <v>0</v>
      </c>
      <c r="D46" t="str">
        <f>MacReports!C46&amp;""</f>
        <v/>
      </c>
      <c r="E46" t="e">
        <f>_xlfn.XLOOKUP(G46,Models!A:A,Models!F:F)</f>
        <v>#N/A</v>
      </c>
      <c r="F46" t="str">
        <f>_xlfn.XLOOKUP(B46,MacReports!B:B,MacReports!E:E,"")</f>
        <v/>
      </c>
      <c r="G46" s="13">
        <f>MacReports!F46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MacReports!G46</f>
        <v>0</v>
      </c>
      <c r="L46">
        <f>MacReports!H46</f>
        <v>0</v>
      </c>
      <c r="M46" s="15" t="e" cm="1">
        <f t="array" ref="M46">--_xlfn.LET(
    _xlpm.txt, MacReports!I46,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--MacReports!N46&lt;55,"Battery Defect",
  -- MacReports!N46&lt;=69,"Battery D",
  --MacReports!N46&lt;=80,"Battery C",
 --MacReports!N46&gt;80,""
)</f>
        <v>Battery Defect</v>
      </c>
      <c r="O46" s="16" t="str">
        <f>IF(MacReports!J46="Service","Battery Service","")</f>
        <v/>
      </c>
      <c r="P46" s="13">
        <f>MacReports!Q46</f>
        <v>0</v>
      </c>
      <c r="Q46" s="13" t="str">
        <f>IF(MacReports!K46="Enabled","Apple ID Lock","")</f>
        <v/>
      </c>
      <c r="R46" s="13" t="str">
        <f>IF(MacReports!M46="Remote Lock","Remote Locked","")</f>
        <v/>
      </c>
      <c r="S46" t="str">
        <f t="shared" si="3"/>
        <v>Battery Defect, 0</v>
      </c>
      <c r="T46" t="str">
        <f>_xlfn.XLOOKUP(B46,Disk_Pivot!G:G,Disk_Pivot!I:I)</f>
        <v>Yes x2</v>
      </c>
      <c r="U46" t="str">
        <f>_xlfn.XLOOKUP(B46,Disk_Pivot!G:G,Disk_Pivot!N:N)</f>
        <v>Pass, Fail</v>
      </c>
      <c r="V46" t="str">
        <f>IF(U46="Fail",MacReports!O46,"")</f>
        <v/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MacReports!D47</f>
        <v>0</v>
      </c>
      <c r="D47" t="str">
        <f>MacReports!C47&amp;""</f>
        <v/>
      </c>
      <c r="E47" t="e">
        <f>_xlfn.XLOOKUP(G47,Models!A:A,Models!F:F)</f>
        <v>#N/A</v>
      </c>
      <c r="F47" t="str">
        <f>_xlfn.XLOOKUP(B47,MacReports!B:B,MacReports!E:E,"")</f>
        <v/>
      </c>
      <c r="G47" s="13">
        <f>MacReports!F47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MacReports!G47</f>
        <v>0</v>
      </c>
      <c r="L47">
        <f>MacReports!H47</f>
        <v>0</v>
      </c>
      <c r="M47" s="15" t="e" cm="1">
        <f t="array" ref="M47">--_xlfn.LET(
    _xlpm.txt, MacReports!I47,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--MacReports!N47&lt;55,"Battery Defect",
  -- MacReports!N47&lt;=69,"Battery D",
  --MacReports!N47&lt;=80,"Battery C",
 --MacReports!N47&gt;80,""
)</f>
        <v>Battery Defect</v>
      </c>
      <c r="O47" s="16" t="str">
        <f>IF(MacReports!J47="Service","Battery Service","")</f>
        <v/>
      </c>
      <c r="P47" s="13">
        <f>MacReports!Q47</f>
        <v>0</v>
      </c>
      <c r="Q47" s="13" t="str">
        <f>IF(MacReports!K47="Enabled","Apple ID Lock","")</f>
        <v/>
      </c>
      <c r="R47" s="13" t="str">
        <f>IF(MacReports!M47="Remote Lock","Remote Locked","")</f>
        <v/>
      </c>
      <c r="S47" t="str">
        <f t="shared" si="3"/>
        <v>Battery Defect, 0</v>
      </c>
      <c r="T47" t="str">
        <f>_xlfn.XLOOKUP(B47,Disk_Pivot!G:G,Disk_Pivot!I:I)</f>
        <v>Yes x2</v>
      </c>
      <c r="U47" t="str">
        <f>_xlfn.XLOOKUP(B47,Disk_Pivot!G:G,Disk_Pivot!N:N)</f>
        <v>Pass, Fail</v>
      </c>
      <c r="V47" t="str">
        <f>IF(U47="Fail",MacReports!O47,"")</f>
        <v/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MacReports!D48</f>
        <v>0</v>
      </c>
      <c r="D48" t="str">
        <f>MacReports!C48&amp;""</f>
        <v/>
      </c>
      <c r="E48" t="e">
        <f>_xlfn.XLOOKUP(G48,Models!A:A,Models!F:F)</f>
        <v>#N/A</v>
      </c>
      <c r="F48" t="str">
        <f>_xlfn.XLOOKUP(B48,MacReports!B:B,MacReports!E:E,"")</f>
        <v/>
      </c>
      <c r="G48" s="13">
        <f>MacReports!F48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MacReports!G48</f>
        <v>0</v>
      </c>
      <c r="L48">
        <f>MacReports!H48</f>
        <v>0</v>
      </c>
      <c r="M48" s="15" t="e" cm="1">
        <f t="array" ref="M48">--_xlfn.LET(
    _xlpm.txt, MacReports!I48,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--MacReports!N48&lt;55,"Battery Defect",
  -- MacReports!N48&lt;=69,"Battery D",
  --MacReports!N48&lt;=80,"Battery C",
 --MacReports!N48&gt;80,""
)</f>
        <v>Battery Defect</v>
      </c>
      <c r="O48" s="16" t="str">
        <f>IF(MacReports!J48="Service","Battery Service","")</f>
        <v/>
      </c>
      <c r="P48" s="13">
        <f>MacReports!Q48</f>
        <v>0</v>
      </c>
      <c r="Q48" s="13" t="str">
        <f>IF(MacReports!K48="Enabled","Apple ID Lock","")</f>
        <v/>
      </c>
      <c r="R48" s="13" t="str">
        <f>IF(MacReports!M48="Remote Lock","Remote Locked","")</f>
        <v/>
      </c>
      <c r="S48" t="str">
        <f t="shared" si="3"/>
        <v>Battery Defect, 0</v>
      </c>
      <c r="T48" t="str">
        <f>_xlfn.XLOOKUP(B48,Disk_Pivot!G:G,Disk_Pivot!I:I)</f>
        <v>Yes x2</v>
      </c>
      <c r="U48" t="str">
        <f>_xlfn.XLOOKUP(B48,Disk_Pivot!G:G,Disk_Pivot!N:N)</f>
        <v>Pass, Fail</v>
      </c>
      <c r="V48" t="str">
        <f>IF(U48="Fail",MacReports!O48,"")</f>
        <v/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MacReports!D49</f>
        <v>0</v>
      </c>
      <c r="D49" t="str">
        <f>MacReports!C49&amp;""</f>
        <v/>
      </c>
      <c r="E49" t="e">
        <f>_xlfn.XLOOKUP(G49,Models!A:A,Models!F:F)</f>
        <v>#N/A</v>
      </c>
      <c r="F49" t="str">
        <f>_xlfn.XLOOKUP(B49,MacReports!B:B,MacReports!E:E,"")</f>
        <v/>
      </c>
      <c r="G49" s="13">
        <f>MacReports!F49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MacReports!G49</f>
        <v>0</v>
      </c>
      <c r="L49">
        <f>MacReports!H49</f>
        <v>0</v>
      </c>
      <c r="M49" s="15" t="e" cm="1">
        <f t="array" ref="M49">--_xlfn.LET(
    _xlpm.txt, MacReports!I49,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--MacReports!N49&lt;55,"Battery Defect",
  -- MacReports!N49&lt;=69,"Battery D",
  --MacReports!N49&lt;=80,"Battery C",
 --MacReports!N49&gt;80,""
)</f>
        <v>Battery Defect</v>
      </c>
      <c r="O49" s="16" t="str">
        <f>IF(MacReports!J49="Service","Battery Service","")</f>
        <v/>
      </c>
      <c r="P49" s="13">
        <f>MacReports!Q49</f>
        <v>0</v>
      </c>
      <c r="Q49" s="13" t="str">
        <f>IF(MacReports!K49="Enabled","Apple ID Lock","")</f>
        <v/>
      </c>
      <c r="R49" s="13" t="str">
        <f>IF(MacReports!M49="Remote Lock","Remote Locked","")</f>
        <v/>
      </c>
      <c r="S49" t="str">
        <f t="shared" si="3"/>
        <v>Battery Defect, 0</v>
      </c>
      <c r="T49" t="str">
        <f>_xlfn.XLOOKUP(B49,Disk_Pivot!G:G,Disk_Pivot!I:I)</f>
        <v>Yes x2</v>
      </c>
      <c r="U49" t="str">
        <f>_xlfn.XLOOKUP(B49,Disk_Pivot!G:G,Disk_Pivot!N:N)</f>
        <v>Pass, Fail</v>
      </c>
      <c r="V49" t="str">
        <f>IF(U49="Fail",MacReports!O49,"")</f>
        <v/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MacReports!D50</f>
        <v>0</v>
      </c>
      <c r="D50" t="str">
        <f>MacReports!C50&amp;""</f>
        <v/>
      </c>
      <c r="E50" t="e">
        <f>_xlfn.XLOOKUP(G50,Models!A:A,Models!F:F)</f>
        <v>#N/A</v>
      </c>
      <c r="F50" t="str">
        <f>_xlfn.XLOOKUP(B50,MacReports!B:B,MacReports!E:E,"")</f>
        <v/>
      </c>
      <c r="G50" s="13">
        <f>MacReports!F50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MacReports!G50</f>
        <v>0</v>
      </c>
      <c r="L50">
        <f>MacReports!H50</f>
        <v>0</v>
      </c>
      <c r="M50" s="15" t="e" cm="1">
        <f t="array" ref="M50">--_xlfn.LET(
    _xlpm.txt, MacReports!I50,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--MacReports!N50&lt;55,"Battery Defect",
  -- MacReports!N50&lt;=69,"Battery D",
  --MacReports!N50&lt;=80,"Battery C",
 --MacReports!N50&gt;80,""
)</f>
        <v>Battery Defect</v>
      </c>
      <c r="O50" s="16" t="str">
        <f>IF(MacReports!J50="Service","Battery Service","")</f>
        <v/>
      </c>
      <c r="P50" s="13">
        <f>MacReports!Q50</f>
        <v>0</v>
      </c>
      <c r="Q50" s="13" t="str">
        <f>IF(MacReports!K50="Enabled","Apple ID Lock","")</f>
        <v/>
      </c>
      <c r="R50" s="13" t="str">
        <f>IF(MacReports!M50="Remote Lock","Remote Locked","")</f>
        <v/>
      </c>
      <c r="S50" t="str">
        <f t="shared" si="3"/>
        <v>Battery Defect, 0</v>
      </c>
      <c r="T50" t="str">
        <f>_xlfn.XLOOKUP(B50,Disk_Pivot!G:G,Disk_Pivot!I:I)</f>
        <v>Yes x2</v>
      </c>
      <c r="U50" t="str">
        <f>_xlfn.XLOOKUP(B50,Disk_Pivot!G:G,Disk_Pivot!N:N)</f>
        <v>Pass, Fail</v>
      </c>
      <c r="V50" t="str">
        <f>IF(U50="Fail",MacReports!O50,"")</f>
        <v/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MacReports!D51</f>
        <v>0</v>
      </c>
      <c r="D51" t="str">
        <f>MacReports!C51&amp;""</f>
        <v/>
      </c>
      <c r="E51" t="e">
        <f>_xlfn.XLOOKUP(G51,Models!A:A,Models!F:F)</f>
        <v>#N/A</v>
      </c>
      <c r="F51" t="str">
        <f>_xlfn.XLOOKUP(B51,MacReports!B:B,MacReports!E:E,"")</f>
        <v/>
      </c>
      <c r="G51" s="13">
        <f>MacReports!F51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MacReports!G51</f>
        <v>0</v>
      </c>
      <c r="L51">
        <f>MacReports!H51</f>
        <v>0</v>
      </c>
      <c r="M51" s="15" t="e" cm="1">
        <f t="array" ref="M51">--_xlfn.LET(
    _xlpm.txt, MacReports!I51,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--MacReports!N51&lt;55,"Battery Defect",
  -- MacReports!N51&lt;=69,"Battery D",
  --MacReports!N51&lt;=80,"Battery C",
 --MacReports!N51&gt;80,""
)</f>
        <v>Battery Defect</v>
      </c>
      <c r="O51" s="16" t="str">
        <f>IF(MacReports!J51="Service","Battery Service","")</f>
        <v/>
      </c>
      <c r="P51" s="13">
        <f>MacReports!Q51</f>
        <v>0</v>
      </c>
      <c r="Q51" s="13" t="str">
        <f>IF(MacReports!K51="Enabled","Apple ID Lock","")</f>
        <v/>
      </c>
      <c r="R51" s="13" t="str">
        <f>IF(MacReports!M51="Remote Lock","Remote Locked","")</f>
        <v/>
      </c>
      <c r="S51" t="str">
        <f t="shared" si="3"/>
        <v>Battery Defect, 0</v>
      </c>
      <c r="T51" t="str">
        <f>_xlfn.XLOOKUP(B51,Disk_Pivot!G:G,Disk_Pivot!I:I)</f>
        <v>Yes x2</v>
      </c>
      <c r="U51" t="str">
        <f>_xlfn.XLOOKUP(B51,Disk_Pivot!G:G,Disk_Pivot!N:N)</f>
        <v>Pass, Fail</v>
      </c>
      <c r="V51" t="str">
        <f>IF(U51="Fail",MacReports!O51,"")</f>
        <v/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MacReports!D52</f>
        <v>0</v>
      </c>
      <c r="D52" t="str">
        <f>MacReports!C52&amp;""</f>
        <v/>
      </c>
      <c r="E52" t="e">
        <f>_xlfn.XLOOKUP(G52,Models!A:A,Models!F:F)</f>
        <v>#N/A</v>
      </c>
      <c r="F52" t="str">
        <f>_xlfn.XLOOKUP(B52,MacReports!B:B,MacReports!E:E,"")</f>
        <v/>
      </c>
      <c r="G52" s="13">
        <f>MacReports!F52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MacReports!G52</f>
        <v>0</v>
      </c>
      <c r="L52">
        <f>MacReports!H52</f>
        <v>0</v>
      </c>
      <c r="M52" s="15" t="e" cm="1">
        <f t="array" ref="M52">--_xlfn.LET(
    _xlpm.txt, MacReports!I52,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--MacReports!N52&lt;55,"Battery Defect",
  -- MacReports!N52&lt;=69,"Battery D",
  --MacReports!N52&lt;=80,"Battery C",
 --MacReports!N52&gt;80,""
)</f>
        <v>Battery Defect</v>
      </c>
      <c r="O52" s="16" t="str">
        <f>IF(MacReports!J52="Service","Battery Service","")</f>
        <v/>
      </c>
      <c r="P52" s="13">
        <f>MacReports!Q52</f>
        <v>0</v>
      </c>
      <c r="Q52" s="13" t="str">
        <f>IF(MacReports!K52="Enabled","Apple ID Lock","")</f>
        <v/>
      </c>
      <c r="R52" s="13" t="str">
        <f>IF(MacReports!M52="Remote Lock","Remote Locked","")</f>
        <v/>
      </c>
      <c r="S52" t="str">
        <f t="shared" si="3"/>
        <v>Battery Defect, 0</v>
      </c>
      <c r="T52" t="str">
        <f>_xlfn.XLOOKUP(B52,Disk_Pivot!G:G,Disk_Pivot!I:I)</f>
        <v>Yes x2</v>
      </c>
      <c r="U52" t="str">
        <f>_xlfn.XLOOKUP(B52,Disk_Pivot!G:G,Disk_Pivot!N:N)</f>
        <v>Pass, Fail</v>
      </c>
      <c r="V52" t="str">
        <f>IF(U52="Fail",MacReports!O52,"")</f>
        <v/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MacReports!D53</f>
        <v>0</v>
      </c>
      <c r="D53" t="str">
        <f>MacReports!C53&amp;""</f>
        <v/>
      </c>
      <c r="E53" t="e">
        <f>_xlfn.XLOOKUP(G53,Models!A:A,Models!F:F)</f>
        <v>#N/A</v>
      </c>
      <c r="F53" t="str">
        <f>_xlfn.XLOOKUP(B53,MacReports!B:B,MacReports!E:E,"")</f>
        <v/>
      </c>
      <c r="G53" s="13">
        <f>MacReports!F53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MacReports!G53</f>
        <v>0</v>
      </c>
      <c r="L53">
        <f>MacReports!H53</f>
        <v>0</v>
      </c>
      <c r="M53" s="15" t="e" cm="1">
        <f t="array" ref="M53">--_xlfn.LET(
    _xlpm.txt, MacReports!I53,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--MacReports!N53&lt;55,"Battery Defect",
  -- MacReports!N53&lt;=69,"Battery D",
  --MacReports!N53&lt;=80,"Battery C",
 --MacReports!N53&gt;80,""
)</f>
        <v>Battery Defect</v>
      </c>
      <c r="O53" s="16" t="str">
        <f>IF(MacReports!J53="Service","Battery Service","")</f>
        <v/>
      </c>
      <c r="P53" s="13">
        <f>MacReports!Q53</f>
        <v>0</v>
      </c>
      <c r="Q53" s="13" t="str">
        <f>IF(MacReports!K53="Enabled","Apple ID Lock","")</f>
        <v/>
      </c>
      <c r="R53" s="13" t="str">
        <f>IF(MacReports!M53="Remote Lock","Remote Locked","")</f>
        <v/>
      </c>
      <c r="S53" t="str">
        <f t="shared" si="3"/>
        <v>Battery Defect, 0</v>
      </c>
      <c r="T53" t="str">
        <f>_xlfn.XLOOKUP(B53,Disk_Pivot!G:G,Disk_Pivot!I:I)</f>
        <v>Yes x2</v>
      </c>
      <c r="U53" t="str">
        <f>_xlfn.XLOOKUP(B53,Disk_Pivot!G:G,Disk_Pivot!N:N)</f>
        <v>Pass, Fail</v>
      </c>
      <c r="V53" t="str">
        <f>IF(U53="Fail",MacReports!O53,"")</f>
        <v/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MacReports!D54</f>
        <v>0</v>
      </c>
      <c r="D54" t="str">
        <f>MacReports!C54&amp;""</f>
        <v/>
      </c>
      <c r="E54" t="e">
        <f>_xlfn.XLOOKUP(G54,Models!A:A,Models!F:F)</f>
        <v>#N/A</v>
      </c>
      <c r="F54" t="str">
        <f>_xlfn.XLOOKUP(B54,MacReports!B:B,MacReports!E:E,"")</f>
        <v/>
      </c>
      <c r="G54" s="13">
        <f>MacReports!F54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MacReports!G54</f>
        <v>0</v>
      </c>
      <c r="L54">
        <f>MacReports!H54</f>
        <v>0</v>
      </c>
      <c r="M54" s="15" t="e" cm="1">
        <f t="array" ref="M54">--_xlfn.LET(
    _xlpm.txt, MacReports!I54,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--MacReports!N54&lt;55,"Battery Defect",
  -- MacReports!N54&lt;=69,"Battery D",
  --MacReports!N54&lt;=80,"Battery C",
 --MacReports!N54&gt;80,""
)</f>
        <v>Battery Defect</v>
      </c>
      <c r="O54" s="16" t="str">
        <f>IF(MacReports!J54="Service","Battery Service","")</f>
        <v/>
      </c>
      <c r="P54" s="13">
        <f>MacReports!Q54</f>
        <v>0</v>
      </c>
      <c r="Q54" s="13" t="str">
        <f>IF(MacReports!K54="Enabled","Apple ID Lock","")</f>
        <v/>
      </c>
      <c r="R54" s="13" t="str">
        <f>IF(MacReports!M54="Remote Lock","Remote Locked","")</f>
        <v/>
      </c>
      <c r="S54" t="str">
        <f t="shared" si="3"/>
        <v>Battery Defect, 0</v>
      </c>
      <c r="T54" t="str">
        <f>_xlfn.XLOOKUP(B54,Disk_Pivot!G:G,Disk_Pivot!I:I)</f>
        <v>Yes x2</v>
      </c>
      <c r="U54" t="str">
        <f>_xlfn.XLOOKUP(B54,Disk_Pivot!G:G,Disk_Pivot!N:N)</f>
        <v>Pass, Fail</v>
      </c>
      <c r="V54" t="str">
        <f>IF(U54="Fail",MacReports!O54,"")</f>
        <v/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MacReports!D55</f>
        <v>0</v>
      </c>
      <c r="D55" t="str">
        <f>MacReports!C55&amp;""</f>
        <v/>
      </c>
      <c r="E55" t="e">
        <f>_xlfn.XLOOKUP(G55,Models!A:A,Models!F:F)</f>
        <v>#N/A</v>
      </c>
      <c r="F55" t="str">
        <f>_xlfn.XLOOKUP(B55,MacReports!B:B,MacReports!E:E,"")</f>
        <v/>
      </c>
      <c r="G55" s="13">
        <f>MacReports!F55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MacReports!G55</f>
        <v>0</v>
      </c>
      <c r="L55">
        <f>MacReports!H55</f>
        <v>0</v>
      </c>
      <c r="M55" s="15" t="e" cm="1">
        <f t="array" ref="M55">--_xlfn.LET(
    _xlpm.txt, MacReports!I55,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--MacReports!N55&lt;55,"Battery Defect",
  -- MacReports!N55&lt;=69,"Battery D",
  --MacReports!N55&lt;=80,"Battery C",
 --MacReports!N55&gt;80,""
)</f>
        <v>Battery Defect</v>
      </c>
      <c r="O55" s="16" t="str">
        <f>IF(MacReports!J55="Service","Battery Service","")</f>
        <v/>
      </c>
      <c r="P55" s="13">
        <f>MacReports!Q55</f>
        <v>0</v>
      </c>
      <c r="Q55" s="13" t="str">
        <f>IF(MacReports!K55="Enabled","Apple ID Lock","")</f>
        <v/>
      </c>
      <c r="R55" s="13" t="str">
        <f>IF(MacReports!M55="Remote Lock","Remote Locked","")</f>
        <v/>
      </c>
      <c r="S55" t="str">
        <f t="shared" si="3"/>
        <v>Battery Defect, 0</v>
      </c>
      <c r="T55" t="str">
        <f>_xlfn.XLOOKUP(B55,Disk_Pivot!G:G,Disk_Pivot!I:I)</f>
        <v>Yes x2</v>
      </c>
      <c r="U55" t="str">
        <f>_xlfn.XLOOKUP(B55,Disk_Pivot!G:G,Disk_Pivot!N:N)</f>
        <v>Pass, Fail</v>
      </c>
      <c r="V55" t="str">
        <f>IF(U55="Fail",MacReports!O55,"")</f>
        <v/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MacReports!D56</f>
        <v>0</v>
      </c>
      <c r="D56" t="str">
        <f>MacReports!C56&amp;""</f>
        <v/>
      </c>
      <c r="E56" t="e">
        <f>_xlfn.XLOOKUP(G56,Models!A:A,Models!F:F)</f>
        <v>#N/A</v>
      </c>
      <c r="F56" t="str">
        <f>_xlfn.XLOOKUP(B56,MacReports!B:B,MacReports!E:E,"")</f>
        <v/>
      </c>
      <c r="G56" s="13">
        <f>MacReports!F56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MacReports!G56</f>
        <v>0</v>
      </c>
      <c r="L56">
        <f>MacReports!H56</f>
        <v>0</v>
      </c>
      <c r="M56" s="15" t="e" cm="1">
        <f t="array" ref="M56">--_xlfn.LET(
    _xlpm.txt, MacReports!I56,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--MacReports!N56&lt;55,"Battery Defect",
  -- MacReports!N56&lt;=69,"Battery D",
  --MacReports!N56&lt;=80,"Battery C",
 --MacReports!N56&gt;80,""
)</f>
        <v>Battery Defect</v>
      </c>
      <c r="O56" s="16" t="str">
        <f>IF(MacReports!J56="Service","Battery Service","")</f>
        <v/>
      </c>
      <c r="P56" s="13">
        <f>MacReports!Q56</f>
        <v>0</v>
      </c>
      <c r="Q56" s="13" t="str">
        <f>IF(MacReports!K56="Enabled","Apple ID Lock","")</f>
        <v/>
      </c>
      <c r="R56" s="13" t="str">
        <f>IF(MacReports!M56="Remote Lock","Remote Locked","")</f>
        <v/>
      </c>
      <c r="S56" t="str">
        <f t="shared" si="3"/>
        <v>Battery Defect, 0</v>
      </c>
      <c r="T56" t="str">
        <f>_xlfn.XLOOKUP(B56,Disk_Pivot!G:G,Disk_Pivot!I:I)</f>
        <v>Yes x2</v>
      </c>
      <c r="U56" t="str">
        <f>_xlfn.XLOOKUP(B56,Disk_Pivot!G:G,Disk_Pivot!N:N)</f>
        <v>Pass, Fail</v>
      </c>
      <c r="V56" t="str">
        <f>IF(U56="Fail",MacReports!O56,"")</f>
        <v/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MacReports!D57</f>
        <v>0</v>
      </c>
      <c r="D57" t="str">
        <f>MacReports!C57&amp;""</f>
        <v/>
      </c>
      <c r="E57" t="e">
        <f>_xlfn.XLOOKUP(G57,Models!A:A,Models!F:F)</f>
        <v>#N/A</v>
      </c>
      <c r="F57" t="str">
        <f>_xlfn.XLOOKUP(B57,MacReports!B:B,MacReports!E:E,"")</f>
        <v/>
      </c>
      <c r="G57" s="13">
        <f>MacReports!F57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MacReports!G57</f>
        <v>0</v>
      </c>
      <c r="L57">
        <f>MacReports!H57</f>
        <v>0</v>
      </c>
      <c r="M57" s="15" t="e" cm="1">
        <f t="array" ref="M57">--_xlfn.LET(
    _xlpm.txt, MacReports!I57,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--MacReports!N57&lt;55,"Battery Defect",
  -- MacReports!N57&lt;=69,"Battery D",
  --MacReports!N57&lt;=80,"Battery C",
 --MacReports!N57&gt;80,""
)</f>
        <v>Battery Defect</v>
      </c>
      <c r="O57" s="16" t="str">
        <f>IF(MacReports!J57="Service","Battery Service","")</f>
        <v/>
      </c>
      <c r="P57" s="13">
        <f>MacReports!Q57</f>
        <v>0</v>
      </c>
      <c r="Q57" s="13" t="str">
        <f>IF(MacReports!K57="Enabled","Apple ID Lock","")</f>
        <v/>
      </c>
      <c r="R57" s="13" t="str">
        <f>IF(MacReports!M57="Remote Lock","Remote Locked","")</f>
        <v/>
      </c>
      <c r="S57" t="str">
        <f t="shared" si="3"/>
        <v>Battery Defect, 0</v>
      </c>
      <c r="T57" t="str">
        <f>_xlfn.XLOOKUP(B57,Disk_Pivot!G:G,Disk_Pivot!I:I)</f>
        <v>Yes x2</v>
      </c>
      <c r="U57" t="str">
        <f>_xlfn.XLOOKUP(B57,Disk_Pivot!G:G,Disk_Pivot!N:N)</f>
        <v>Pass, Fail</v>
      </c>
      <c r="V57" t="str">
        <f>IF(U57="Fail",MacReports!O57,"")</f>
        <v/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MacReports!D58</f>
        <v>0</v>
      </c>
      <c r="D58" t="str">
        <f>MacReports!C58&amp;""</f>
        <v/>
      </c>
      <c r="E58" t="e">
        <f>_xlfn.XLOOKUP(G58,Models!A:A,Models!F:F)</f>
        <v>#N/A</v>
      </c>
      <c r="F58" t="str">
        <f>_xlfn.XLOOKUP(B58,MacReports!B:B,MacReports!E:E,"")</f>
        <v/>
      </c>
      <c r="G58" s="13">
        <f>MacReports!F58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MacReports!G58</f>
        <v>0</v>
      </c>
      <c r="L58">
        <f>MacReports!H58</f>
        <v>0</v>
      </c>
      <c r="M58" s="15" t="e" cm="1">
        <f t="array" ref="M58">--_xlfn.LET(
    _xlpm.txt, MacReports!I58,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--MacReports!N58&lt;55,"Battery Defect",
  -- MacReports!N58&lt;=69,"Battery D",
  --MacReports!N58&lt;=80,"Battery C",
 --MacReports!N58&gt;80,""
)</f>
        <v>Battery Defect</v>
      </c>
      <c r="O58" s="16" t="str">
        <f>IF(MacReports!J58="Service","Battery Service","")</f>
        <v/>
      </c>
      <c r="P58" s="13">
        <f>MacReports!Q58</f>
        <v>0</v>
      </c>
      <c r="Q58" s="13" t="str">
        <f>IF(MacReports!K58="Enabled","Apple ID Lock","")</f>
        <v/>
      </c>
      <c r="R58" s="13" t="str">
        <f>IF(MacReports!M58="Remote Lock","Remote Locked","")</f>
        <v/>
      </c>
      <c r="S58" t="str">
        <f t="shared" si="3"/>
        <v>Battery Defect, 0</v>
      </c>
      <c r="T58" t="str">
        <f>_xlfn.XLOOKUP(B58,Disk_Pivot!G:G,Disk_Pivot!I:I)</f>
        <v>Yes x2</v>
      </c>
      <c r="U58" t="str">
        <f>_xlfn.XLOOKUP(B58,Disk_Pivot!G:G,Disk_Pivot!N:N)</f>
        <v>Pass, Fail</v>
      </c>
      <c r="V58" t="str">
        <f>IF(U58="Fail",MacReports!O58,"")</f>
        <v/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MacReports!D59</f>
        <v>0</v>
      </c>
      <c r="D59" t="str">
        <f>MacReports!C59&amp;""</f>
        <v/>
      </c>
      <c r="E59" t="e">
        <f>_xlfn.XLOOKUP(G59,Models!A:A,Models!F:F)</f>
        <v>#N/A</v>
      </c>
      <c r="F59" t="str">
        <f>_xlfn.XLOOKUP(B59,MacReports!B:B,MacReports!E:E,"")</f>
        <v/>
      </c>
      <c r="G59" s="13">
        <f>MacReports!F59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MacReports!G59</f>
        <v>0</v>
      </c>
      <c r="L59">
        <f>MacReports!H59</f>
        <v>0</v>
      </c>
      <c r="M59" s="15" t="e" cm="1">
        <f t="array" ref="M59">--_xlfn.LET(
    _xlpm.txt, MacReports!I59,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--MacReports!N59&lt;55,"Battery Defect",
  -- MacReports!N59&lt;=69,"Battery D",
  --MacReports!N59&lt;=80,"Battery C",
 --MacReports!N59&gt;80,""
)</f>
        <v>Battery Defect</v>
      </c>
      <c r="O59" s="16" t="str">
        <f>IF(MacReports!J59="Service","Battery Service","")</f>
        <v/>
      </c>
      <c r="P59" s="13">
        <f>MacReports!Q59</f>
        <v>0</v>
      </c>
      <c r="Q59" s="13" t="str">
        <f>IF(MacReports!K59="Enabled","Apple ID Lock","")</f>
        <v/>
      </c>
      <c r="R59" s="13" t="str">
        <f>IF(MacReports!M59="Remote Lock","Remote Locked","")</f>
        <v/>
      </c>
      <c r="S59" t="str">
        <f t="shared" si="3"/>
        <v>Battery Defect, 0</v>
      </c>
      <c r="T59" t="str">
        <f>_xlfn.XLOOKUP(B59,Disk_Pivot!G:G,Disk_Pivot!I:I)</f>
        <v>Yes x2</v>
      </c>
      <c r="U59" t="str">
        <f>_xlfn.XLOOKUP(B59,Disk_Pivot!G:G,Disk_Pivot!N:N)</f>
        <v>Pass, Fail</v>
      </c>
      <c r="V59" t="str">
        <f>IF(U59="Fail",MacReports!O59,"")</f>
        <v/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MacReports!D60</f>
        <v>0</v>
      </c>
      <c r="D60" t="str">
        <f>MacReports!C60&amp;""</f>
        <v/>
      </c>
      <c r="E60" t="e">
        <f>_xlfn.XLOOKUP(G60,Models!A:A,Models!F:F)</f>
        <v>#N/A</v>
      </c>
      <c r="F60" t="str">
        <f>_xlfn.XLOOKUP(B60,MacReports!B:B,MacReports!E:E,"")</f>
        <v/>
      </c>
      <c r="G60" s="13">
        <f>MacReports!F60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MacReports!G60</f>
        <v>0</v>
      </c>
      <c r="L60">
        <f>MacReports!H60</f>
        <v>0</v>
      </c>
      <c r="M60" s="15" t="e" cm="1">
        <f t="array" ref="M60">--_xlfn.LET(
    _xlpm.txt, MacReports!I60,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--MacReports!N60&lt;55,"Battery Defect",
  -- MacReports!N60&lt;=69,"Battery D",
  --MacReports!N60&lt;=80,"Battery C",
 --MacReports!N60&gt;80,""
)</f>
        <v>Battery Defect</v>
      </c>
      <c r="O60" s="16" t="str">
        <f>IF(MacReports!J60="Service","Battery Service","")</f>
        <v/>
      </c>
      <c r="P60" s="13">
        <f>MacReports!Q60</f>
        <v>0</v>
      </c>
      <c r="Q60" s="13" t="str">
        <f>IF(MacReports!K60="Enabled","Apple ID Lock","")</f>
        <v/>
      </c>
      <c r="R60" s="13" t="str">
        <f>IF(MacReports!M60="Remote Lock","Remote Locked","")</f>
        <v/>
      </c>
      <c r="S60" t="str">
        <f t="shared" si="3"/>
        <v>Battery Defect, 0</v>
      </c>
      <c r="T60" t="str">
        <f>_xlfn.XLOOKUP(B60,Disk_Pivot!G:G,Disk_Pivot!I:I)</f>
        <v>Yes x2</v>
      </c>
      <c r="U60" t="str">
        <f>_xlfn.XLOOKUP(B60,Disk_Pivot!G:G,Disk_Pivot!N:N)</f>
        <v>Pass, Fail</v>
      </c>
      <c r="V60" t="str">
        <f>IF(U60="Fail",MacReports!O60,"")</f>
        <v/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MacReports!D61</f>
        <v>0</v>
      </c>
      <c r="D61" t="str">
        <f>MacReports!C61&amp;""</f>
        <v/>
      </c>
      <c r="E61" t="e">
        <f>_xlfn.XLOOKUP(G61,Models!A:A,Models!F:F)</f>
        <v>#N/A</v>
      </c>
      <c r="F61" t="str">
        <f>_xlfn.XLOOKUP(B61,MacReports!B:B,MacReports!E:E,"")</f>
        <v/>
      </c>
      <c r="G61" s="13">
        <f>MacReports!F61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MacReports!G61</f>
        <v>0</v>
      </c>
      <c r="L61">
        <f>MacReports!H61</f>
        <v>0</v>
      </c>
      <c r="M61" s="15" t="e" cm="1">
        <f t="array" ref="M61">--_xlfn.LET(
    _xlpm.txt, MacReports!I61,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--MacReports!N61&lt;55,"Battery Defect",
  -- MacReports!N61&lt;=69,"Battery D",
  --MacReports!N61&lt;=80,"Battery C",
 --MacReports!N61&gt;80,""
)</f>
        <v>Battery Defect</v>
      </c>
      <c r="O61" s="16" t="str">
        <f>IF(MacReports!J61="Service","Battery Service","")</f>
        <v/>
      </c>
      <c r="P61" s="13">
        <f>MacReports!Q61</f>
        <v>0</v>
      </c>
      <c r="Q61" s="13" t="str">
        <f>IF(MacReports!K61="Enabled","Apple ID Lock","")</f>
        <v/>
      </c>
      <c r="R61" s="13" t="str">
        <f>IF(MacReports!M61="Remote Lock","Remote Locked","")</f>
        <v/>
      </c>
      <c r="S61" t="str">
        <f t="shared" si="3"/>
        <v>Battery Defect, 0</v>
      </c>
      <c r="T61" t="str">
        <f>_xlfn.XLOOKUP(B61,Disk_Pivot!G:G,Disk_Pivot!I:I)</f>
        <v>Yes x2</v>
      </c>
      <c r="U61" t="str">
        <f>_xlfn.XLOOKUP(B61,Disk_Pivot!G:G,Disk_Pivot!N:N)</f>
        <v>Pass, Fail</v>
      </c>
      <c r="V61" t="str">
        <f>IF(U61="Fail",MacReports!O61,"")</f>
        <v/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MacReports!D62</f>
        <v>0</v>
      </c>
      <c r="D62" t="str">
        <f>MacReports!C62&amp;""</f>
        <v/>
      </c>
      <c r="E62" t="e">
        <f>_xlfn.XLOOKUP(G62,Models!A:A,Models!F:F)</f>
        <v>#N/A</v>
      </c>
      <c r="F62" t="str">
        <f>_xlfn.XLOOKUP(B62,MacReports!B:B,MacReports!E:E,"")</f>
        <v/>
      </c>
      <c r="G62" s="13">
        <f>MacReports!F62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MacReports!G62</f>
        <v>0</v>
      </c>
      <c r="L62">
        <f>MacReports!H62</f>
        <v>0</v>
      </c>
      <c r="M62" s="15" t="e" cm="1">
        <f t="array" ref="M62">--_xlfn.LET(
    _xlpm.txt, MacReports!I62,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--MacReports!N62&lt;55,"Battery Defect",
  -- MacReports!N62&lt;=69,"Battery D",
  --MacReports!N62&lt;=80,"Battery C",
 --MacReports!N62&gt;80,""
)</f>
        <v>Battery Defect</v>
      </c>
      <c r="O62" s="16" t="str">
        <f>IF(MacReports!J62="Service","Battery Service","")</f>
        <v/>
      </c>
      <c r="P62" s="13">
        <f>MacReports!Q62</f>
        <v>0</v>
      </c>
      <c r="Q62" s="13" t="str">
        <f>IF(MacReports!K62="Enabled","Apple ID Lock","")</f>
        <v/>
      </c>
      <c r="R62" s="13" t="str">
        <f>IF(MacReports!M62="Remote Lock","Remote Locked","")</f>
        <v/>
      </c>
      <c r="S62" t="str">
        <f t="shared" si="3"/>
        <v>Battery Defect, 0</v>
      </c>
      <c r="T62" t="str">
        <f>_xlfn.XLOOKUP(B62,Disk_Pivot!G:G,Disk_Pivot!I:I)</f>
        <v>Yes x2</v>
      </c>
      <c r="U62" t="str">
        <f>_xlfn.XLOOKUP(B62,Disk_Pivot!G:G,Disk_Pivot!N:N)</f>
        <v>Pass, Fail</v>
      </c>
      <c r="V62" t="str">
        <f>IF(U62="Fail",MacReports!O62,"")</f>
        <v/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MacReports!D63</f>
        <v>0</v>
      </c>
      <c r="D63" t="str">
        <f>MacReports!C63&amp;""</f>
        <v/>
      </c>
      <c r="E63" t="e">
        <f>_xlfn.XLOOKUP(G63,Models!A:A,Models!F:F)</f>
        <v>#N/A</v>
      </c>
      <c r="F63" t="str">
        <f>_xlfn.XLOOKUP(B63,MacReports!B:B,MacReports!E:E,"")</f>
        <v/>
      </c>
      <c r="G63" s="13">
        <f>MacReports!F63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MacReports!G63</f>
        <v>0</v>
      </c>
      <c r="L63">
        <f>MacReports!H63</f>
        <v>0</v>
      </c>
      <c r="M63" s="15" t="e" cm="1">
        <f t="array" ref="M63">--_xlfn.LET(
    _xlpm.txt, MacReports!I63,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--MacReports!N63&lt;55,"Battery Defect",
  -- MacReports!N63&lt;=69,"Battery D",
  --MacReports!N63&lt;=80,"Battery C",
 --MacReports!N63&gt;80,""
)</f>
        <v>Battery Defect</v>
      </c>
      <c r="O63" s="16" t="str">
        <f>IF(MacReports!J63="Service","Battery Service","")</f>
        <v/>
      </c>
      <c r="P63" s="13">
        <f>MacReports!Q63</f>
        <v>0</v>
      </c>
      <c r="Q63" s="13" t="str">
        <f>IF(MacReports!K63="Enabled","Apple ID Lock","")</f>
        <v/>
      </c>
      <c r="R63" s="13" t="str">
        <f>IF(MacReports!M63="Remote Lock","Remote Locked","")</f>
        <v/>
      </c>
      <c r="S63" t="str">
        <f t="shared" si="3"/>
        <v>Battery Defect, 0</v>
      </c>
      <c r="T63" t="str">
        <f>_xlfn.XLOOKUP(B63,Disk_Pivot!G:G,Disk_Pivot!I:I)</f>
        <v>Yes x2</v>
      </c>
      <c r="U63" t="str">
        <f>_xlfn.XLOOKUP(B63,Disk_Pivot!G:G,Disk_Pivot!N:N)</f>
        <v>Pass, Fail</v>
      </c>
      <c r="V63" t="str">
        <f>IF(U63="Fail",MacReports!O63,"")</f>
        <v/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MacReports!D64</f>
        <v>0</v>
      </c>
      <c r="D64" t="str">
        <f>MacReports!C64&amp;""</f>
        <v/>
      </c>
      <c r="E64" t="e">
        <f>_xlfn.XLOOKUP(G64,Models!A:A,Models!F:F)</f>
        <v>#N/A</v>
      </c>
      <c r="F64" t="str">
        <f>_xlfn.XLOOKUP(B64,MacReports!B:B,MacReports!E:E,"")</f>
        <v/>
      </c>
      <c r="G64" s="13">
        <f>MacReports!F64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MacReports!G64</f>
        <v>0</v>
      </c>
      <c r="L64">
        <f>MacReports!H64</f>
        <v>0</v>
      </c>
      <c r="M64" s="15" t="e" cm="1">
        <f t="array" ref="M64">--_xlfn.LET(
    _xlpm.txt, MacReports!I64,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--MacReports!N64&lt;55,"Battery Defect",
  -- MacReports!N64&lt;=69,"Battery D",
  --MacReports!N64&lt;=80,"Battery C",
 --MacReports!N64&gt;80,""
)</f>
        <v>Battery Defect</v>
      </c>
      <c r="O64" s="16" t="str">
        <f>IF(MacReports!J64="Service","Battery Service","")</f>
        <v/>
      </c>
      <c r="P64" s="13">
        <f>MacReports!Q64</f>
        <v>0</v>
      </c>
      <c r="Q64" s="13" t="str">
        <f>IF(MacReports!K64="Enabled","Apple ID Lock","")</f>
        <v/>
      </c>
      <c r="R64" s="13" t="str">
        <f>IF(MacReports!M64="Remote Lock","Remote Locked","")</f>
        <v/>
      </c>
      <c r="S64" t="str">
        <f t="shared" si="3"/>
        <v>Battery Defect, 0</v>
      </c>
      <c r="T64" t="str">
        <f>_xlfn.XLOOKUP(B64,Disk_Pivot!G:G,Disk_Pivot!I:I)</f>
        <v>Yes x2</v>
      </c>
      <c r="U64" t="str">
        <f>_xlfn.XLOOKUP(B64,Disk_Pivot!G:G,Disk_Pivot!N:N)</f>
        <v>Pass, Fail</v>
      </c>
      <c r="V64" t="str">
        <f>IF(U64="Fail",MacReports!O64,"")</f>
        <v/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MacReports!D65</f>
        <v>0</v>
      </c>
      <c r="D65" t="str">
        <f>MacReports!C65&amp;""</f>
        <v/>
      </c>
      <c r="E65" t="e">
        <f>_xlfn.XLOOKUP(G65,Models!A:A,Models!F:F)</f>
        <v>#N/A</v>
      </c>
      <c r="F65" t="str">
        <f>_xlfn.XLOOKUP(B65,MacReports!B:B,MacReports!E:E,"")</f>
        <v/>
      </c>
      <c r="G65" s="13">
        <f>MacReports!F65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MacReports!G65</f>
        <v>0</v>
      </c>
      <c r="L65">
        <f>MacReports!H65</f>
        <v>0</v>
      </c>
      <c r="M65" s="15" t="e" cm="1">
        <f t="array" ref="M65">--_xlfn.LET(
    _xlpm.txt, MacReports!I65,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--MacReports!N65&lt;55,"Battery Defect",
  -- MacReports!N65&lt;=69,"Battery D",
  --MacReports!N65&lt;=80,"Battery C",
 --MacReports!N65&gt;80,""
)</f>
        <v>Battery Defect</v>
      </c>
      <c r="O65" s="16" t="str">
        <f>IF(MacReports!J65="Service","Battery Service","")</f>
        <v/>
      </c>
      <c r="P65" s="13">
        <f>MacReports!Q65</f>
        <v>0</v>
      </c>
      <c r="Q65" s="13" t="str">
        <f>IF(MacReports!K65="Enabled","Apple ID Lock","")</f>
        <v/>
      </c>
      <c r="R65" s="13" t="str">
        <f>IF(MacReports!M65="Remote Lock","Remote Locked","")</f>
        <v/>
      </c>
      <c r="S65" t="str">
        <f t="shared" si="3"/>
        <v>Battery Defect, 0</v>
      </c>
      <c r="T65" t="str">
        <f>_xlfn.XLOOKUP(B65,Disk_Pivot!G:G,Disk_Pivot!I:I)</f>
        <v>Yes x2</v>
      </c>
      <c r="U65" t="str">
        <f>_xlfn.XLOOKUP(B65,Disk_Pivot!G:G,Disk_Pivot!N:N)</f>
        <v>Pass, Fail</v>
      </c>
      <c r="V65" t="str">
        <f>IF(U65="Fail",MacReports!O65,"")</f>
        <v/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MacReports!D66</f>
        <v>0</v>
      </c>
      <c r="D66" t="str">
        <f>MacReports!C66&amp;""</f>
        <v/>
      </c>
      <c r="E66" t="e">
        <f>_xlfn.XLOOKUP(G66,Models!A:A,Models!F:F)</f>
        <v>#N/A</v>
      </c>
      <c r="F66" t="str">
        <f>_xlfn.XLOOKUP(B66,MacReports!B:B,MacReports!E:E,"")</f>
        <v/>
      </c>
      <c r="G66" s="13">
        <f>MacReports!F66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MacReports!G66</f>
        <v>0</v>
      </c>
      <c r="L66">
        <f>MacReports!H66</f>
        <v>0</v>
      </c>
      <c r="M66" s="15" t="e" cm="1">
        <f t="array" ref="M66">--_xlfn.LET(
    _xlpm.txt, MacReports!I66,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--MacReports!N66&lt;55,"Battery Defect",
  -- MacReports!N66&lt;=69,"Battery D",
  --MacReports!N66&lt;=80,"Battery C",
 --MacReports!N66&gt;80,""
)</f>
        <v>Battery Defect</v>
      </c>
      <c r="O66" s="16" t="str">
        <f>IF(MacReports!J66="Service","Battery Service","")</f>
        <v/>
      </c>
      <c r="P66" s="13">
        <f>MacReports!Q66</f>
        <v>0</v>
      </c>
      <c r="Q66" s="13" t="str">
        <f>IF(MacReports!K66="Enabled","Apple ID Lock","")</f>
        <v/>
      </c>
      <c r="R66" s="13" t="str">
        <f>IF(MacReports!M66="Remote Lock","Remote Locked","")</f>
        <v/>
      </c>
      <c r="S66" t="str">
        <f t="shared" si="3"/>
        <v>Battery Defect, 0</v>
      </c>
      <c r="T66" t="str">
        <f>_xlfn.XLOOKUP(B66,Disk_Pivot!G:G,Disk_Pivot!I:I)</f>
        <v>Yes x2</v>
      </c>
      <c r="U66" t="str">
        <f>_xlfn.XLOOKUP(B66,Disk_Pivot!G:G,Disk_Pivot!N:N)</f>
        <v>Pass, Fail</v>
      </c>
      <c r="V66" t="str">
        <f>IF(U66="Fail",MacReports!O66,"")</f>
        <v/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MacReports!D67</f>
        <v>0</v>
      </c>
      <c r="D67" t="str">
        <f>MacReports!C67&amp;""</f>
        <v/>
      </c>
      <c r="E67" t="e">
        <f>_xlfn.XLOOKUP(G67,Models!A:A,Models!F:F)</f>
        <v>#N/A</v>
      </c>
      <c r="F67" t="str">
        <f>_xlfn.XLOOKUP(B67,MacReports!B:B,MacReports!E:E,"")</f>
        <v/>
      </c>
      <c r="G67" s="13">
        <f>MacReports!F67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MacReports!G67</f>
        <v>0</v>
      </c>
      <c r="L67">
        <f>MacReports!H67</f>
        <v>0</v>
      </c>
      <c r="M67" s="15" t="e" cm="1">
        <f t="array" ref="M67">--_xlfn.LET(
    _xlpm.txt, MacReports!I67,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--MacReports!N67&lt;55,"Battery Defect",
  -- MacReports!N67&lt;=69,"Battery D",
  --MacReports!N67&lt;=80,"Battery C",
 --MacReports!N67&gt;80,""
)</f>
        <v>Battery Defect</v>
      </c>
      <c r="O67" s="16" t="str">
        <f>IF(MacReports!J67="Service","Battery Service","")</f>
        <v/>
      </c>
      <c r="P67" s="13">
        <f>MacReports!Q67</f>
        <v>0</v>
      </c>
      <c r="Q67" s="13" t="str">
        <f>IF(MacReports!K67="Enabled","Apple ID Lock","")</f>
        <v/>
      </c>
      <c r="R67" s="13" t="str">
        <f>IF(MacReports!M67="Remote Lock","Remote Locked","")</f>
        <v/>
      </c>
      <c r="S67" t="str">
        <f t="shared" si="3"/>
        <v>Battery Defect, 0</v>
      </c>
      <c r="T67" t="str">
        <f>_xlfn.XLOOKUP(B67,Disk_Pivot!G:G,Disk_Pivot!I:I)</f>
        <v>Yes x2</v>
      </c>
      <c r="U67" t="str">
        <f>_xlfn.XLOOKUP(B67,Disk_Pivot!G:G,Disk_Pivot!N:N)</f>
        <v>Pass, Fail</v>
      </c>
      <c r="V67" t="str">
        <f>IF(U67="Fail",MacReports!O67,"")</f>
        <v/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MacReports!D68</f>
        <v>0</v>
      </c>
      <c r="D68" t="str">
        <f>MacReports!C68&amp;""</f>
        <v/>
      </c>
      <c r="E68" t="e">
        <f>_xlfn.XLOOKUP(G68,Models!A:A,Models!F:F)</f>
        <v>#N/A</v>
      </c>
      <c r="F68" t="str">
        <f>_xlfn.XLOOKUP(B68,MacReports!B:B,MacReports!E:E,"")</f>
        <v/>
      </c>
      <c r="G68" s="13">
        <f>MacReports!F68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MacReports!G68</f>
        <v>0</v>
      </c>
      <c r="L68">
        <f>MacReports!H68</f>
        <v>0</v>
      </c>
      <c r="M68" s="15" t="e" cm="1">
        <f t="array" ref="M68">--_xlfn.LET(
    _xlpm.txt, MacReports!I68,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--MacReports!N68&lt;55,"Battery Defect",
  -- MacReports!N68&lt;=69,"Battery D",
  --MacReports!N68&lt;=80,"Battery C",
 --MacReports!N68&gt;80,""
)</f>
        <v>Battery Defect</v>
      </c>
      <c r="O68" s="16" t="str">
        <f>IF(MacReports!J68="Service","Battery Service","")</f>
        <v/>
      </c>
      <c r="P68" s="13">
        <f>MacReports!Q68</f>
        <v>0</v>
      </c>
      <c r="Q68" s="13" t="str">
        <f>IF(MacReports!K68="Enabled","Apple ID Lock","")</f>
        <v/>
      </c>
      <c r="R68" s="13" t="str">
        <f>IF(MacReports!M68="Remote Lock","Remote Locked","")</f>
        <v/>
      </c>
      <c r="S68" t="str">
        <f t="shared" si="3"/>
        <v>Battery Defect, 0</v>
      </c>
      <c r="T68" t="str">
        <f>_xlfn.XLOOKUP(B68,Disk_Pivot!G:G,Disk_Pivot!I:I)</f>
        <v>Yes x2</v>
      </c>
      <c r="U68" t="str">
        <f>_xlfn.XLOOKUP(B68,Disk_Pivot!G:G,Disk_Pivot!N:N)</f>
        <v>Pass, Fail</v>
      </c>
      <c r="V68" t="str">
        <f>IF(U68="Fail",MacReports!O68,"")</f>
        <v/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MacReports!D69</f>
        <v>0</v>
      </c>
      <c r="D69" t="str">
        <f>MacReports!C69&amp;""</f>
        <v/>
      </c>
      <c r="E69" t="e">
        <f>_xlfn.XLOOKUP(G69,Models!A:A,Models!F:F)</f>
        <v>#N/A</v>
      </c>
      <c r="F69" t="str">
        <f>_xlfn.XLOOKUP(B69,MacReports!B:B,MacReports!E:E,"")</f>
        <v/>
      </c>
      <c r="G69" s="13">
        <f>MacReports!F69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MacReports!G69</f>
        <v>0</v>
      </c>
      <c r="L69">
        <f>MacReports!H69</f>
        <v>0</v>
      </c>
      <c r="M69" s="15" t="e" cm="1">
        <f t="array" ref="M69">--_xlfn.LET(
    _xlpm.txt, MacReports!I69,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--MacReports!N69&lt;55,"Battery Defect",
  -- MacReports!N69&lt;=69,"Battery D",
  --MacReports!N69&lt;=80,"Battery C",
 --MacReports!N69&gt;80,""
)</f>
        <v>Battery Defect</v>
      </c>
      <c r="O69" s="16" t="str">
        <f>IF(MacReports!J69="Service","Battery Service","")</f>
        <v/>
      </c>
      <c r="P69" s="13">
        <f>MacReports!Q69</f>
        <v>0</v>
      </c>
      <c r="Q69" s="13" t="str">
        <f>IF(MacReports!K69="Enabled","Apple ID Lock","")</f>
        <v/>
      </c>
      <c r="R69" s="13" t="str">
        <f>IF(MacReports!M69="Remote Lock","Remote Locked","")</f>
        <v/>
      </c>
      <c r="S69" t="str">
        <f t="shared" si="3"/>
        <v>Battery Defect, 0</v>
      </c>
      <c r="T69" t="str">
        <f>_xlfn.XLOOKUP(B69,Disk_Pivot!G:G,Disk_Pivot!I:I)</f>
        <v>Yes x2</v>
      </c>
      <c r="U69" t="str">
        <f>_xlfn.XLOOKUP(B69,Disk_Pivot!G:G,Disk_Pivot!N:N)</f>
        <v>Pass, Fail</v>
      </c>
      <c r="V69" t="str">
        <f>IF(U69="Fail",MacReports!O69,"")</f>
        <v/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MacReports!D70</f>
        <v>0</v>
      </c>
      <c r="D70" t="str">
        <f>MacReports!C70&amp;""</f>
        <v/>
      </c>
      <c r="E70" t="e">
        <f>_xlfn.XLOOKUP(G70,Models!A:A,Models!F:F)</f>
        <v>#N/A</v>
      </c>
      <c r="F70" t="str">
        <f>_xlfn.XLOOKUP(B70,MacReports!B:B,MacReports!E:E,"")</f>
        <v/>
      </c>
      <c r="G70" s="13">
        <f>MacReports!F70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MacReports!G70</f>
        <v>0</v>
      </c>
      <c r="L70">
        <f>MacReports!H70</f>
        <v>0</v>
      </c>
      <c r="M70" s="15" t="e" cm="1">
        <f t="array" ref="M70">--_xlfn.LET(
    _xlpm.txt, MacReports!I70,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--MacReports!N70&lt;55,"Battery Defect",
  -- MacReports!N70&lt;=69,"Battery D",
  --MacReports!N70&lt;=80,"Battery C",
 --MacReports!N70&gt;80,""
)</f>
        <v>Battery Defect</v>
      </c>
      <c r="O70" s="16" t="str">
        <f>IF(MacReports!J70="Service","Battery Service","")</f>
        <v/>
      </c>
      <c r="P70" s="13">
        <f>MacReports!Q70</f>
        <v>0</v>
      </c>
      <c r="Q70" s="13" t="str">
        <f>IF(MacReports!K70="Enabled","Apple ID Lock","")</f>
        <v/>
      </c>
      <c r="R70" s="13" t="str">
        <f>IF(MacReports!M70="Remote Lock","Remote Locked","")</f>
        <v/>
      </c>
      <c r="S70" t="str">
        <f t="shared" si="3"/>
        <v>Battery Defect, 0</v>
      </c>
      <c r="T70" t="str">
        <f>_xlfn.XLOOKUP(B70,Disk_Pivot!G:G,Disk_Pivot!I:I)</f>
        <v>Yes x2</v>
      </c>
      <c r="U70" t="str">
        <f>_xlfn.XLOOKUP(B70,Disk_Pivot!G:G,Disk_Pivot!N:N)</f>
        <v>Pass, Fail</v>
      </c>
      <c r="V70" t="str">
        <f>IF(U70="Fail",MacReports!O70,"")</f>
        <v/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MacReports!D71</f>
        <v>0</v>
      </c>
      <c r="D71" t="str">
        <f>MacReports!C71&amp;""</f>
        <v/>
      </c>
      <c r="E71" t="e">
        <f>_xlfn.XLOOKUP(G71,Models!A:A,Models!F:F)</f>
        <v>#N/A</v>
      </c>
      <c r="F71" t="str">
        <f>_xlfn.XLOOKUP(B71,MacReports!B:B,MacReports!E:E,"")</f>
        <v/>
      </c>
      <c r="G71" s="13">
        <f>MacReports!F71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MacReports!G71</f>
        <v>0</v>
      </c>
      <c r="L71">
        <f>MacReports!H71</f>
        <v>0</v>
      </c>
      <c r="M71" s="15" t="e" cm="1">
        <f t="array" ref="M71">--_xlfn.LET(
    _xlpm.txt, MacReports!I71,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--MacReports!N71&lt;55,"Battery Defect",
  -- MacReports!N71&lt;=69,"Battery D",
  --MacReports!N71&lt;=80,"Battery C",
 --MacReports!N71&gt;80,""
)</f>
        <v>Battery Defect</v>
      </c>
      <c r="O71" s="16" t="str">
        <f>IF(MacReports!J71="Service","Battery Service","")</f>
        <v/>
      </c>
      <c r="P71" s="13">
        <f>MacReports!Q71</f>
        <v>0</v>
      </c>
      <c r="Q71" s="13" t="str">
        <f>IF(MacReports!K71="Enabled","Apple ID Lock","")</f>
        <v/>
      </c>
      <c r="R71" s="13" t="str">
        <f>IF(MacReports!M71="Remote Lock","Remote Locked","")</f>
        <v/>
      </c>
      <c r="S71" t="str">
        <f t="shared" si="3"/>
        <v>Battery Defect, 0</v>
      </c>
      <c r="T71" t="str">
        <f>_xlfn.XLOOKUP(B71,Disk_Pivot!G:G,Disk_Pivot!I:I)</f>
        <v>Yes x2</v>
      </c>
      <c r="U71" t="str">
        <f>_xlfn.XLOOKUP(B71,Disk_Pivot!G:G,Disk_Pivot!N:N)</f>
        <v>Pass, Fail</v>
      </c>
      <c r="V71" t="str">
        <f>IF(U71="Fail",MacReports!O71,"")</f>
        <v/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MacReports!D72</f>
        <v>0</v>
      </c>
      <c r="D72" t="str">
        <f>MacReports!C72&amp;""</f>
        <v/>
      </c>
      <c r="E72" t="e">
        <f>_xlfn.XLOOKUP(G72,Models!A:A,Models!F:F)</f>
        <v>#N/A</v>
      </c>
      <c r="F72" t="str">
        <f>_xlfn.XLOOKUP(B72,MacReports!B:B,MacReports!E:E,"")</f>
        <v/>
      </c>
      <c r="G72" s="13">
        <f>MacReports!F72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MacReports!G72</f>
        <v>0</v>
      </c>
      <c r="L72">
        <f>MacReports!H72</f>
        <v>0</v>
      </c>
      <c r="M72" s="15" t="e" cm="1">
        <f t="array" ref="M72">--_xlfn.LET(
    _xlpm.txt, MacReports!I72,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--MacReports!N72&lt;55,"Battery Defect",
  -- MacReports!N72&lt;=69,"Battery D",
  --MacReports!N72&lt;=80,"Battery C",
 --MacReports!N72&gt;80,""
)</f>
        <v>Battery Defect</v>
      </c>
      <c r="O72" s="16" t="str">
        <f>IF(MacReports!J72="Service","Battery Service","")</f>
        <v/>
      </c>
      <c r="P72" s="13">
        <f>MacReports!Q72</f>
        <v>0</v>
      </c>
      <c r="Q72" s="13" t="str">
        <f>IF(MacReports!K72="Enabled","Apple ID Lock","")</f>
        <v/>
      </c>
      <c r="R72" s="13" t="str">
        <f>IF(MacReports!M72="Remote Lock","Remote Locked","")</f>
        <v/>
      </c>
      <c r="S72" t="str">
        <f t="shared" si="3"/>
        <v>Battery Defect, 0</v>
      </c>
      <c r="T72" t="str">
        <f>_xlfn.XLOOKUP(B72,Disk_Pivot!G:G,Disk_Pivot!I:I)</f>
        <v>Yes x2</v>
      </c>
      <c r="U72" t="str">
        <f>_xlfn.XLOOKUP(B72,Disk_Pivot!G:G,Disk_Pivot!N:N)</f>
        <v>Pass, Fail</v>
      </c>
      <c r="V72" t="str">
        <f>IF(U72="Fail",MacReports!O72,"")</f>
        <v/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MacReports!D73</f>
        <v>0</v>
      </c>
      <c r="D73" t="str">
        <f>MacReports!C73&amp;""</f>
        <v/>
      </c>
      <c r="E73" t="e">
        <f>_xlfn.XLOOKUP(G73,Models!A:A,Models!F:F)</f>
        <v>#N/A</v>
      </c>
      <c r="F73" t="str">
        <f>_xlfn.XLOOKUP(B73,MacReports!B:B,MacReports!E:E,"")</f>
        <v/>
      </c>
      <c r="G73" s="13">
        <f>MacReports!F73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MacReports!G73</f>
        <v>0</v>
      </c>
      <c r="L73">
        <f>MacReports!H73</f>
        <v>0</v>
      </c>
      <c r="M73" s="15" t="e" cm="1">
        <f t="array" ref="M73">--_xlfn.LET(
    _xlpm.txt, MacReports!I73,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--MacReports!N73&lt;55,"Battery Defect",
  -- MacReports!N73&lt;=69,"Battery D",
  --MacReports!N73&lt;=80,"Battery C",
 --MacReports!N73&gt;80,""
)</f>
        <v>Battery Defect</v>
      </c>
      <c r="O73" s="16" t="str">
        <f>IF(MacReports!J73="Service","Battery Service","")</f>
        <v/>
      </c>
      <c r="P73" s="13">
        <f>MacReports!Q73</f>
        <v>0</v>
      </c>
      <c r="Q73" s="13" t="str">
        <f>IF(MacReports!K73="Enabled","Apple ID Lock","")</f>
        <v/>
      </c>
      <c r="R73" s="13" t="str">
        <f>IF(MacReports!M73="Remote Lock","Remote Locked","")</f>
        <v/>
      </c>
      <c r="S73" t="str">
        <f t="shared" si="3"/>
        <v>Battery Defect, 0</v>
      </c>
      <c r="T73" t="str">
        <f>_xlfn.XLOOKUP(B73,Disk_Pivot!G:G,Disk_Pivot!I:I)</f>
        <v>Yes x2</v>
      </c>
      <c r="U73" t="str">
        <f>_xlfn.XLOOKUP(B73,Disk_Pivot!G:G,Disk_Pivot!N:N)</f>
        <v>Pass, Fail</v>
      </c>
      <c r="V73" t="str">
        <f>IF(U73="Fail",MacReports!O73,"")</f>
        <v/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MacReports!D74</f>
        <v>0</v>
      </c>
      <c r="D74" t="str">
        <f>MacReports!C74&amp;""</f>
        <v/>
      </c>
      <c r="E74" t="e">
        <f>_xlfn.XLOOKUP(G74,Models!A:A,Models!F:F)</f>
        <v>#N/A</v>
      </c>
      <c r="F74" t="str">
        <f>_xlfn.XLOOKUP(B74,MacReports!B:B,MacReports!E:E,"")</f>
        <v/>
      </c>
      <c r="G74" s="13">
        <f>MacReports!F74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MacReports!G74</f>
        <v>0</v>
      </c>
      <c r="L74">
        <f>MacReports!H74</f>
        <v>0</v>
      </c>
      <c r="M74" s="15" t="e" cm="1">
        <f t="array" ref="M74">--_xlfn.LET(
    _xlpm.txt, MacReports!I74,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--MacReports!N74&lt;55,"Battery Defect",
  -- MacReports!N74&lt;=69,"Battery D",
  --MacReports!N74&lt;=80,"Battery C",
 --MacReports!N74&gt;80,""
)</f>
        <v>Battery Defect</v>
      </c>
      <c r="O74" s="16" t="str">
        <f>IF(MacReports!J74="Service","Battery Service","")</f>
        <v/>
      </c>
      <c r="P74" s="13">
        <f>MacReports!Q74</f>
        <v>0</v>
      </c>
      <c r="Q74" s="13" t="str">
        <f>IF(MacReports!K74="Enabled","Apple ID Lock","")</f>
        <v/>
      </c>
      <c r="R74" s="13" t="str">
        <f>IF(MacReports!M74="Remote Lock","Remote Locked","")</f>
        <v/>
      </c>
      <c r="S74" t="str">
        <f t="shared" si="3"/>
        <v>Battery Defect, 0</v>
      </c>
      <c r="T74" t="str">
        <f>_xlfn.XLOOKUP(B74,Disk_Pivot!G:G,Disk_Pivot!I:I)</f>
        <v>Yes x2</v>
      </c>
      <c r="U74" t="str">
        <f>_xlfn.XLOOKUP(B74,Disk_Pivot!G:G,Disk_Pivot!N:N)</f>
        <v>Pass, Fail</v>
      </c>
      <c r="V74" t="str">
        <f>IF(U74="Fail",MacReports!O74,"")</f>
        <v/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MacReports!D75</f>
        <v>0</v>
      </c>
      <c r="D75" t="str">
        <f>MacReports!C75&amp;""</f>
        <v/>
      </c>
      <c r="E75" t="e">
        <f>_xlfn.XLOOKUP(G75,Models!A:A,Models!F:F)</f>
        <v>#N/A</v>
      </c>
      <c r="F75" t="str">
        <f>_xlfn.XLOOKUP(B75,MacReports!B:B,MacReports!E:E,"")</f>
        <v/>
      </c>
      <c r="G75" s="13">
        <f>MacReports!F75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MacReports!G75</f>
        <v>0</v>
      </c>
      <c r="L75">
        <f>MacReports!H75</f>
        <v>0</v>
      </c>
      <c r="M75" s="15" t="e" cm="1">
        <f t="array" ref="M75">--_xlfn.LET(
    _xlpm.txt, MacReports!I75,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--MacReports!N75&lt;55,"Battery Defect",
  -- MacReports!N75&lt;=69,"Battery D",
  --MacReports!N75&lt;=80,"Battery C",
 --MacReports!N75&gt;80,""
)</f>
        <v>Battery Defect</v>
      </c>
      <c r="O75" s="16" t="str">
        <f>IF(MacReports!J75="Service","Battery Service","")</f>
        <v/>
      </c>
      <c r="P75" s="13">
        <f>MacReports!Q75</f>
        <v>0</v>
      </c>
      <c r="Q75" s="13" t="str">
        <f>IF(MacReports!K75="Enabled","Apple ID Lock","")</f>
        <v/>
      </c>
      <c r="R75" s="13" t="str">
        <f>IF(MacReports!M75="Remote Lock","Remote Locked","")</f>
        <v/>
      </c>
      <c r="S75" t="str">
        <f t="shared" si="3"/>
        <v>Battery Defect, 0</v>
      </c>
      <c r="T75" t="str">
        <f>_xlfn.XLOOKUP(B75,Disk_Pivot!G:G,Disk_Pivot!I:I)</f>
        <v>Yes x2</v>
      </c>
      <c r="U75" t="str">
        <f>_xlfn.XLOOKUP(B75,Disk_Pivot!G:G,Disk_Pivot!N:N)</f>
        <v>Pass, Fail</v>
      </c>
      <c r="V75" t="str">
        <f>IF(U75="Fail",MacReports!O75,"")</f>
        <v/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MacReports!D76</f>
        <v>0</v>
      </c>
      <c r="D76" t="str">
        <f>MacReports!C76&amp;""</f>
        <v/>
      </c>
      <c r="E76" t="e">
        <f>_xlfn.XLOOKUP(G76,Models!A:A,Models!F:F)</f>
        <v>#N/A</v>
      </c>
      <c r="F76" t="str">
        <f>_xlfn.XLOOKUP(B76,MacReports!B:B,MacReports!E:E,"")</f>
        <v/>
      </c>
      <c r="G76" s="13">
        <f>MacReports!F76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MacReports!G76</f>
        <v>0</v>
      </c>
      <c r="L76">
        <f>MacReports!H76</f>
        <v>0</v>
      </c>
      <c r="M76" s="15" t="e" cm="1">
        <f t="array" ref="M76">--_xlfn.LET(
    _xlpm.txt, MacReports!I76,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--MacReports!N76&lt;55,"Battery Defect",
  -- MacReports!N76&lt;=69,"Battery D",
  --MacReports!N76&lt;=80,"Battery C",
 --MacReports!N76&gt;80,""
)</f>
        <v>Battery Defect</v>
      </c>
      <c r="O76" s="16" t="str">
        <f>IF(MacReports!J76="Service","Battery Service","")</f>
        <v/>
      </c>
      <c r="P76" s="13">
        <f>MacReports!Q76</f>
        <v>0</v>
      </c>
      <c r="Q76" s="13" t="str">
        <f>IF(MacReports!K76="Enabled","Apple ID Lock","")</f>
        <v/>
      </c>
      <c r="R76" s="13" t="str">
        <f>IF(MacReports!M76="Remote Lock","Remote Locked","")</f>
        <v/>
      </c>
      <c r="S76" t="str">
        <f t="shared" si="3"/>
        <v>Battery Defect, 0</v>
      </c>
      <c r="T76" t="str">
        <f>_xlfn.XLOOKUP(B76,Disk_Pivot!G:G,Disk_Pivot!I:I)</f>
        <v>Yes x2</v>
      </c>
      <c r="U76" t="str">
        <f>_xlfn.XLOOKUP(B76,Disk_Pivot!G:G,Disk_Pivot!N:N)</f>
        <v>Pass, Fail</v>
      </c>
      <c r="V76" t="str">
        <f>IF(U76="Fail",MacReports!O76,"")</f>
        <v/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MacReports!D77</f>
        <v>0</v>
      </c>
      <c r="D77" t="str">
        <f>MacReports!C77&amp;""</f>
        <v/>
      </c>
      <c r="E77" t="e">
        <f>_xlfn.XLOOKUP(G77,Models!A:A,Models!F:F)</f>
        <v>#N/A</v>
      </c>
      <c r="F77" t="str">
        <f>_xlfn.XLOOKUP(B77,MacReports!B:B,MacReports!E:E,"")</f>
        <v/>
      </c>
      <c r="G77" s="13">
        <f>MacReports!F77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MacReports!G77</f>
        <v>0</v>
      </c>
      <c r="L77">
        <f>MacReports!H77</f>
        <v>0</v>
      </c>
      <c r="M77" s="15" t="e" cm="1">
        <f t="array" ref="M77">--_xlfn.LET(
    _xlpm.txt, MacReports!I77,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--MacReports!N77&lt;55,"Battery Defect",
  -- MacReports!N77&lt;=69,"Battery D",
  --MacReports!N77&lt;=80,"Battery C",
 --MacReports!N77&gt;80,""
)</f>
        <v>Battery Defect</v>
      </c>
      <c r="O77" s="16" t="str">
        <f>IF(MacReports!J77="Service","Battery Service","")</f>
        <v/>
      </c>
      <c r="P77" s="13">
        <f>MacReports!Q77</f>
        <v>0</v>
      </c>
      <c r="Q77" s="13" t="str">
        <f>IF(MacReports!K77="Enabled","Apple ID Lock","")</f>
        <v/>
      </c>
      <c r="R77" s="13" t="str">
        <f>IF(MacReports!M77="Remote Lock","Remote Locked","")</f>
        <v/>
      </c>
      <c r="S77" t="str">
        <f t="shared" si="3"/>
        <v>Battery Defect, 0</v>
      </c>
      <c r="T77" t="str">
        <f>_xlfn.XLOOKUP(B77,Disk_Pivot!G:G,Disk_Pivot!I:I)</f>
        <v>Yes x2</v>
      </c>
      <c r="U77" t="str">
        <f>_xlfn.XLOOKUP(B77,Disk_Pivot!G:G,Disk_Pivot!N:N)</f>
        <v>Pass, Fail</v>
      </c>
      <c r="V77" t="str">
        <f>IF(U77="Fail",MacReports!O77,"")</f>
        <v/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MacReports!D78</f>
        <v>0</v>
      </c>
      <c r="D78" t="str">
        <f>MacReports!C78&amp;""</f>
        <v/>
      </c>
      <c r="E78" t="e">
        <f>_xlfn.XLOOKUP(G78,Models!A:A,Models!F:F)</f>
        <v>#N/A</v>
      </c>
      <c r="F78" t="str">
        <f>_xlfn.XLOOKUP(B78,MacReports!B:B,MacReports!E:E,"")</f>
        <v/>
      </c>
      <c r="G78" s="13">
        <f>MacReports!F78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MacReports!G78</f>
        <v>0</v>
      </c>
      <c r="L78">
        <f>MacReports!H78</f>
        <v>0</v>
      </c>
      <c r="M78" s="15" t="e" cm="1">
        <f t="array" ref="M78">--_xlfn.LET(
    _xlpm.txt, MacReports!I78,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--MacReports!N78&lt;55,"Battery Defect",
  -- MacReports!N78&lt;=69,"Battery D",
  --MacReports!N78&lt;=80,"Battery C",
 --MacReports!N78&gt;80,""
)</f>
        <v>Battery Defect</v>
      </c>
      <c r="O78" s="16" t="str">
        <f>IF(MacReports!J78="Service","Battery Service","")</f>
        <v/>
      </c>
      <c r="P78" s="13">
        <f>MacReports!Q78</f>
        <v>0</v>
      </c>
      <c r="Q78" s="13" t="str">
        <f>IF(MacReports!K78="Enabled","Apple ID Lock","")</f>
        <v/>
      </c>
      <c r="R78" s="13" t="str">
        <f>IF(MacReports!M78="Remote Lock","Remote Locked","")</f>
        <v/>
      </c>
      <c r="S78" t="str">
        <f t="shared" si="3"/>
        <v>Battery Defect, 0</v>
      </c>
      <c r="T78" t="str">
        <f>_xlfn.XLOOKUP(B78,Disk_Pivot!G:G,Disk_Pivot!I:I)</f>
        <v>Yes x2</v>
      </c>
      <c r="U78" t="str">
        <f>_xlfn.XLOOKUP(B78,Disk_Pivot!G:G,Disk_Pivot!N:N)</f>
        <v>Pass, Fail</v>
      </c>
      <c r="V78" t="str">
        <f>IF(U78="Fail",MacReports!O78,"")</f>
        <v/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MacReports!D79</f>
        <v>0</v>
      </c>
      <c r="D79" t="str">
        <f>MacReports!C79&amp;""</f>
        <v/>
      </c>
      <c r="E79" t="e">
        <f>_xlfn.XLOOKUP(G79,Models!A:A,Models!F:F)</f>
        <v>#N/A</v>
      </c>
      <c r="F79" t="str">
        <f>_xlfn.XLOOKUP(B79,MacReports!B:B,MacReports!E:E,"")</f>
        <v/>
      </c>
      <c r="G79" s="13">
        <f>MacReports!F79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MacReports!G79</f>
        <v>0</v>
      </c>
      <c r="L79">
        <f>MacReports!H79</f>
        <v>0</v>
      </c>
      <c r="M79" s="15" t="e" cm="1">
        <f t="array" ref="M79">--_xlfn.LET(
    _xlpm.txt, MacReports!I79,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--MacReports!N79&lt;55,"Battery Defect",
  -- MacReports!N79&lt;=69,"Battery D",
  --MacReports!N79&lt;=80,"Battery C",
 --MacReports!N79&gt;80,""
)</f>
        <v>Battery Defect</v>
      </c>
      <c r="O79" s="16" t="str">
        <f>IF(MacReports!J79="Service","Battery Service","")</f>
        <v/>
      </c>
      <c r="P79" s="13">
        <f>MacReports!Q79</f>
        <v>0</v>
      </c>
      <c r="Q79" s="13" t="str">
        <f>IF(MacReports!K79="Enabled","Apple ID Lock","")</f>
        <v/>
      </c>
      <c r="R79" s="13" t="str">
        <f>IF(MacReports!M79="Remote Lock","Remote Locked","")</f>
        <v/>
      </c>
      <c r="S79" t="str">
        <f t="shared" si="3"/>
        <v>Battery Defect, 0</v>
      </c>
      <c r="T79" t="str">
        <f>_xlfn.XLOOKUP(B79,Disk_Pivot!G:G,Disk_Pivot!I:I)</f>
        <v>Yes x2</v>
      </c>
      <c r="U79" t="str">
        <f>_xlfn.XLOOKUP(B79,Disk_Pivot!G:G,Disk_Pivot!N:N)</f>
        <v>Pass, Fail</v>
      </c>
      <c r="V79" t="str">
        <f>IF(U79="Fail",MacReports!O79,"")</f>
        <v/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MacReports!D80</f>
        <v>0</v>
      </c>
      <c r="D80" t="str">
        <f>MacReports!C80&amp;""</f>
        <v/>
      </c>
      <c r="E80" t="e">
        <f>_xlfn.XLOOKUP(G80,Models!A:A,Models!F:F)</f>
        <v>#N/A</v>
      </c>
      <c r="F80" t="str">
        <f>_xlfn.XLOOKUP(B80,MacReports!B:B,MacReports!E:E,"")</f>
        <v/>
      </c>
      <c r="G80" s="13">
        <f>MacReports!F80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MacReports!G80</f>
        <v>0</v>
      </c>
      <c r="L80">
        <f>MacReports!H80</f>
        <v>0</v>
      </c>
      <c r="M80" s="15" t="e" cm="1">
        <f t="array" ref="M80">--_xlfn.LET(
    _xlpm.txt, MacReports!I80,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--MacReports!N80&lt;55,"Battery Defect",
  -- MacReports!N80&lt;=69,"Battery D",
  --MacReports!N80&lt;=80,"Battery C",
 --MacReports!N80&gt;80,""
)</f>
        <v>Battery Defect</v>
      </c>
      <c r="O80" s="16" t="str">
        <f>IF(MacReports!J80="Service","Battery Service","")</f>
        <v/>
      </c>
      <c r="P80" s="13">
        <f>MacReports!Q80</f>
        <v>0</v>
      </c>
      <c r="Q80" s="13" t="str">
        <f>IF(MacReports!K80="Enabled","Apple ID Lock","")</f>
        <v/>
      </c>
      <c r="R80" s="13" t="str">
        <f>IF(MacReports!M80="Remote Lock","Remote Locked","")</f>
        <v/>
      </c>
      <c r="S80" t="str">
        <f t="shared" si="3"/>
        <v>Battery Defect, 0</v>
      </c>
      <c r="T80" t="str">
        <f>_xlfn.XLOOKUP(B80,Disk_Pivot!G:G,Disk_Pivot!I:I)</f>
        <v>Yes x2</v>
      </c>
      <c r="U80" t="str">
        <f>_xlfn.XLOOKUP(B80,Disk_Pivot!G:G,Disk_Pivot!N:N)</f>
        <v>Pass, Fail</v>
      </c>
      <c r="V80" t="str">
        <f>IF(U80="Fail",MacReports!O80,"")</f>
        <v/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MacReports!D81</f>
        <v>0</v>
      </c>
      <c r="D81" t="str">
        <f>MacReports!C81&amp;""</f>
        <v/>
      </c>
      <c r="E81" t="e">
        <f>_xlfn.XLOOKUP(G81,Models!A:A,Models!F:F)</f>
        <v>#N/A</v>
      </c>
      <c r="F81" t="str">
        <f>_xlfn.XLOOKUP(B81,MacReports!B:B,MacReports!E:E,"")</f>
        <v/>
      </c>
      <c r="G81" s="13">
        <f>MacReports!F81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MacReports!G81</f>
        <v>0</v>
      </c>
      <c r="L81">
        <f>MacReports!H81</f>
        <v>0</v>
      </c>
      <c r="M81" s="15" t="e" cm="1">
        <f t="array" ref="M81">--_xlfn.LET(
    _xlpm.txt, MacReports!I81,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--MacReports!N81&lt;55,"Battery Defect",
  -- MacReports!N81&lt;=69,"Battery D",
  --MacReports!N81&lt;=80,"Battery C",
 --MacReports!N81&gt;80,""
)</f>
        <v>Battery Defect</v>
      </c>
      <c r="O81" s="16" t="str">
        <f>IF(MacReports!J81="Service","Battery Service","")</f>
        <v/>
      </c>
      <c r="P81" s="13">
        <f>MacReports!Q81</f>
        <v>0</v>
      </c>
      <c r="Q81" s="13" t="str">
        <f>IF(MacReports!K81="Enabled","Apple ID Lock","")</f>
        <v/>
      </c>
      <c r="R81" s="13" t="str">
        <f>IF(MacReports!M81="Remote Lock","Remote Locked","")</f>
        <v/>
      </c>
      <c r="S81" t="str">
        <f t="shared" si="3"/>
        <v>Battery Defect, 0</v>
      </c>
      <c r="T81" t="str">
        <f>_xlfn.XLOOKUP(B81,Disk_Pivot!G:G,Disk_Pivot!I:I)</f>
        <v>Yes x2</v>
      </c>
      <c r="U81" t="str">
        <f>_xlfn.XLOOKUP(B81,Disk_Pivot!G:G,Disk_Pivot!N:N)</f>
        <v>Pass, Fail</v>
      </c>
      <c r="V81" t="str">
        <f>IF(U81="Fail",MacReports!O81,"")</f>
        <v/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MacReports!D82</f>
        <v>0</v>
      </c>
      <c r="D82" t="str">
        <f>MacReports!C82&amp;""</f>
        <v/>
      </c>
      <c r="E82" t="e">
        <f>_xlfn.XLOOKUP(G82,Models!A:A,Models!F:F)</f>
        <v>#N/A</v>
      </c>
      <c r="F82" t="str">
        <f>_xlfn.XLOOKUP(B82,MacReports!B:B,MacReports!E:E,"")</f>
        <v/>
      </c>
      <c r="G82" s="13">
        <f>MacReports!F82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MacReports!G82</f>
        <v>0</v>
      </c>
      <c r="L82">
        <f>MacReports!H82</f>
        <v>0</v>
      </c>
      <c r="M82" s="15" t="e" cm="1">
        <f t="array" ref="M82">--_xlfn.LET(
    _xlpm.txt, MacReports!I82,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--MacReports!N82&lt;55,"Battery Defect",
  -- MacReports!N82&lt;=69,"Battery D",
  --MacReports!N82&lt;=80,"Battery C",
 --MacReports!N82&gt;80,""
)</f>
        <v>Battery Defect</v>
      </c>
      <c r="O82" s="16" t="str">
        <f>IF(MacReports!J82="Service","Battery Service","")</f>
        <v/>
      </c>
      <c r="P82" s="13">
        <f>MacReports!Q82</f>
        <v>0</v>
      </c>
      <c r="Q82" s="13" t="str">
        <f>IF(MacReports!K82="Enabled","Apple ID Lock","")</f>
        <v/>
      </c>
      <c r="R82" s="13" t="str">
        <f>IF(MacReports!M82="Remote Lock","Remote Locked","")</f>
        <v/>
      </c>
      <c r="S82" t="str">
        <f t="shared" si="3"/>
        <v>Battery Defect, 0</v>
      </c>
      <c r="T82" t="str">
        <f>_xlfn.XLOOKUP(B82,Disk_Pivot!G:G,Disk_Pivot!I:I)</f>
        <v>Yes x2</v>
      </c>
      <c r="U82" t="str">
        <f>_xlfn.XLOOKUP(B82,Disk_Pivot!G:G,Disk_Pivot!N:N)</f>
        <v>Pass, Fail</v>
      </c>
      <c r="V82" t="str">
        <f>IF(U82="Fail",MacReports!O82,"")</f>
        <v/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MacReports!D83</f>
        <v>0</v>
      </c>
      <c r="D83" t="str">
        <f>MacReports!C83&amp;""</f>
        <v/>
      </c>
      <c r="E83" t="e">
        <f>_xlfn.XLOOKUP(G83,Models!A:A,Models!F:F)</f>
        <v>#N/A</v>
      </c>
      <c r="F83" t="str">
        <f>_xlfn.XLOOKUP(B83,MacReports!B:B,MacReports!E:E,"")</f>
        <v/>
      </c>
      <c r="G83" s="13">
        <f>MacReports!F83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MacReports!G83</f>
        <v>0</v>
      </c>
      <c r="L83">
        <f>MacReports!H83</f>
        <v>0</v>
      </c>
      <c r="M83" s="15" t="e" cm="1">
        <f t="array" ref="M83">--_xlfn.LET(
    _xlpm.txt, MacReports!I83,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--MacReports!N83&lt;55,"Battery Defect",
  -- MacReports!N83&lt;=69,"Battery D",
  --MacReports!N83&lt;=80,"Battery C",
 --MacReports!N83&gt;80,""
)</f>
        <v>Battery Defect</v>
      </c>
      <c r="O83" s="16" t="str">
        <f>IF(MacReports!J83="Service","Battery Service","")</f>
        <v/>
      </c>
      <c r="P83" s="13">
        <f>MacReports!Q83</f>
        <v>0</v>
      </c>
      <c r="Q83" s="13" t="str">
        <f>IF(MacReports!K83="Enabled","Apple ID Lock","")</f>
        <v/>
      </c>
      <c r="R83" s="13" t="str">
        <f>IF(MacReports!M83="Remote Lock","Remote Locked","")</f>
        <v/>
      </c>
      <c r="S83" t="str">
        <f t="shared" si="3"/>
        <v>Battery Defect, 0</v>
      </c>
      <c r="T83" t="str">
        <f>_xlfn.XLOOKUP(B83,Disk_Pivot!G:G,Disk_Pivot!I:I)</f>
        <v>Yes x2</v>
      </c>
      <c r="U83" t="str">
        <f>_xlfn.XLOOKUP(B83,Disk_Pivot!G:G,Disk_Pivot!N:N)</f>
        <v>Pass, Fail</v>
      </c>
      <c r="V83" t="str">
        <f>IF(U83="Fail",MacReports!O83,"")</f>
        <v/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MacReports!D84</f>
        <v>0</v>
      </c>
      <c r="D84" t="str">
        <f>MacReports!C84&amp;""</f>
        <v/>
      </c>
      <c r="E84" t="e">
        <f>_xlfn.XLOOKUP(G84,Models!A:A,Models!F:F)</f>
        <v>#N/A</v>
      </c>
      <c r="F84" t="str">
        <f>_xlfn.XLOOKUP(B84,MacReports!B:B,MacReports!E:E,"")</f>
        <v/>
      </c>
      <c r="G84" s="13">
        <f>MacReports!F84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MacReports!G84</f>
        <v>0</v>
      </c>
      <c r="L84">
        <f>MacReports!H84</f>
        <v>0</v>
      </c>
      <c r="M84" s="15" t="e" cm="1">
        <f t="array" ref="M84">--_xlfn.LET(
    _xlpm.txt, MacReports!I84,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--MacReports!N84&lt;55,"Battery Defect",
  -- MacReports!N84&lt;=69,"Battery D",
  --MacReports!N84&lt;=80,"Battery C",
 --MacReports!N84&gt;80,""
)</f>
        <v>Battery Defect</v>
      </c>
      <c r="O84" s="16" t="str">
        <f>IF(MacReports!J84="Service","Battery Service","")</f>
        <v/>
      </c>
      <c r="P84" s="13">
        <f>MacReports!Q84</f>
        <v>0</v>
      </c>
      <c r="Q84" s="13" t="str">
        <f>IF(MacReports!K84="Enabled","Apple ID Lock","")</f>
        <v/>
      </c>
      <c r="R84" s="13" t="str">
        <f>IF(MacReports!M84="Remote Lock","Remote Locked","")</f>
        <v/>
      </c>
      <c r="S84" t="str">
        <f t="shared" si="3"/>
        <v>Battery Defect, 0</v>
      </c>
      <c r="T84" t="str">
        <f>_xlfn.XLOOKUP(B84,Disk_Pivot!G:G,Disk_Pivot!I:I)</f>
        <v>Yes x2</v>
      </c>
      <c r="U84" t="str">
        <f>_xlfn.XLOOKUP(B84,Disk_Pivot!G:G,Disk_Pivot!N:N)</f>
        <v>Pass, Fail</v>
      </c>
      <c r="V84" t="str">
        <f>IF(U84="Fail",MacReports!O84,"")</f>
        <v/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MacReports!D85</f>
        <v>0</v>
      </c>
      <c r="D85" t="str">
        <f>MacReports!C85&amp;""</f>
        <v/>
      </c>
      <c r="E85" t="e">
        <f>_xlfn.XLOOKUP(G85,Models!A:A,Models!F:F)</f>
        <v>#N/A</v>
      </c>
      <c r="F85" t="str">
        <f>_xlfn.XLOOKUP(B85,MacReports!B:B,MacReports!E:E,"")</f>
        <v/>
      </c>
      <c r="G85" s="13">
        <f>MacReports!F85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MacReports!G85</f>
        <v>0</v>
      </c>
      <c r="L85">
        <f>MacReports!H85</f>
        <v>0</v>
      </c>
      <c r="M85" s="15" t="e" cm="1">
        <f t="array" ref="M85">--_xlfn.LET(
    _xlpm.txt, MacReports!I85,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--MacReports!N85&lt;55,"Battery Defect",
  -- MacReports!N85&lt;=69,"Battery D",
  --MacReports!N85&lt;=80,"Battery C",
 --MacReports!N85&gt;80,""
)</f>
        <v>Battery Defect</v>
      </c>
      <c r="O85" s="16" t="str">
        <f>IF(MacReports!J85="Service","Battery Service","")</f>
        <v/>
      </c>
      <c r="P85" s="13">
        <f>MacReports!Q85</f>
        <v>0</v>
      </c>
      <c r="Q85" s="13" t="str">
        <f>IF(MacReports!K85="Enabled","Apple ID Lock","")</f>
        <v/>
      </c>
      <c r="R85" s="13" t="str">
        <f>IF(MacReports!M85="Remote Lock","Remote Locked","")</f>
        <v/>
      </c>
      <c r="S85" t="str">
        <f t="shared" si="3"/>
        <v>Battery Defect, 0</v>
      </c>
      <c r="T85" t="str">
        <f>_xlfn.XLOOKUP(B85,Disk_Pivot!G:G,Disk_Pivot!I:I)</f>
        <v>Yes x2</v>
      </c>
      <c r="U85" t="str">
        <f>_xlfn.XLOOKUP(B85,Disk_Pivot!G:G,Disk_Pivot!N:N)</f>
        <v>Pass, Fail</v>
      </c>
      <c r="V85" t="str">
        <f>IF(U85="Fail",MacReports!O85,"")</f>
        <v/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MacReports!D86</f>
        <v>0</v>
      </c>
      <c r="D86" t="str">
        <f>MacReports!C86&amp;""</f>
        <v/>
      </c>
      <c r="E86" t="e">
        <f>_xlfn.XLOOKUP(G86,Models!A:A,Models!F:F)</f>
        <v>#N/A</v>
      </c>
      <c r="F86" t="str">
        <f>_xlfn.XLOOKUP(B86,MacReports!B:B,MacReports!E:E,"")</f>
        <v/>
      </c>
      <c r="G86" s="13">
        <f>MacReports!F86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MacReports!G86</f>
        <v>0</v>
      </c>
      <c r="L86">
        <f>MacReports!H86</f>
        <v>0</v>
      </c>
      <c r="M86" s="15" t="e" cm="1">
        <f t="array" ref="M86">--_xlfn.LET(
    _xlpm.txt, MacReports!I86,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--MacReports!N86&lt;55,"Battery Defect",
  -- MacReports!N86&lt;=69,"Battery D",
  --MacReports!N86&lt;=80,"Battery C",
 --MacReports!N86&gt;80,""
)</f>
        <v>Battery Defect</v>
      </c>
      <c r="O86" s="16" t="str">
        <f>IF(MacReports!J86="Service","Battery Service","")</f>
        <v/>
      </c>
      <c r="P86" s="13">
        <f>MacReports!Q86</f>
        <v>0</v>
      </c>
      <c r="Q86" s="13" t="str">
        <f>IF(MacReports!K86="Enabled","Apple ID Lock","")</f>
        <v/>
      </c>
      <c r="R86" s="13" t="str">
        <f>IF(MacReports!M86="Remote Lock","Remote Locked","")</f>
        <v/>
      </c>
      <c r="S86" t="str">
        <f t="shared" si="3"/>
        <v>Battery Defect, 0</v>
      </c>
      <c r="T86" t="str">
        <f>_xlfn.XLOOKUP(B86,Disk_Pivot!G:G,Disk_Pivot!I:I)</f>
        <v>Yes x2</v>
      </c>
      <c r="U86" t="str">
        <f>_xlfn.XLOOKUP(B86,Disk_Pivot!G:G,Disk_Pivot!N:N)</f>
        <v>Pass, Fail</v>
      </c>
      <c r="V86" t="str">
        <f>IF(U86="Fail",MacReports!O86,"")</f>
        <v/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MacReports!D87</f>
        <v>0</v>
      </c>
      <c r="D87" t="str">
        <f>MacReports!C87&amp;""</f>
        <v/>
      </c>
      <c r="E87" t="e">
        <f>_xlfn.XLOOKUP(G87,Models!A:A,Models!F:F)</f>
        <v>#N/A</v>
      </c>
      <c r="F87" t="str">
        <f>_xlfn.XLOOKUP(B87,MacReports!B:B,MacReports!E:E,"")</f>
        <v/>
      </c>
      <c r="G87" s="13">
        <f>MacReports!F87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MacReports!G87</f>
        <v>0</v>
      </c>
      <c r="L87">
        <f>MacReports!H87</f>
        <v>0</v>
      </c>
      <c r="M87" s="15" t="e" cm="1">
        <f t="array" ref="M87">--_xlfn.LET(
    _xlpm.txt, MacReports!I87,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--MacReports!N87&lt;55,"Battery Defect",
  -- MacReports!N87&lt;=69,"Battery D",
  --MacReports!N87&lt;=80,"Battery C",
 --MacReports!N87&gt;80,""
)</f>
        <v>Battery Defect</v>
      </c>
      <c r="O87" s="16" t="str">
        <f>IF(MacReports!J87="Service","Battery Service","")</f>
        <v/>
      </c>
      <c r="P87" s="13">
        <f>MacReports!Q87</f>
        <v>0</v>
      </c>
      <c r="Q87" s="13" t="str">
        <f>IF(MacReports!K87="Enabled","Apple ID Lock","")</f>
        <v/>
      </c>
      <c r="R87" s="13" t="str">
        <f>IF(MacReports!M87="Remote Lock","Remote Locked","")</f>
        <v/>
      </c>
      <c r="S87" t="str">
        <f t="shared" si="3"/>
        <v>Battery Defect, 0</v>
      </c>
      <c r="T87" t="str">
        <f>_xlfn.XLOOKUP(B87,Disk_Pivot!G:G,Disk_Pivot!I:I)</f>
        <v>Yes x2</v>
      </c>
      <c r="U87" t="str">
        <f>_xlfn.XLOOKUP(B87,Disk_Pivot!G:G,Disk_Pivot!N:N)</f>
        <v>Pass, Fail</v>
      </c>
      <c r="V87" t="str">
        <f>IF(U87="Fail",MacReports!O87,"")</f>
        <v/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MacReports!D88</f>
        <v>0</v>
      </c>
      <c r="D88" t="str">
        <f>MacReports!C88&amp;""</f>
        <v/>
      </c>
      <c r="E88" t="e">
        <f>_xlfn.XLOOKUP(G88,Models!A:A,Models!F:F)</f>
        <v>#N/A</v>
      </c>
      <c r="F88" t="str">
        <f>_xlfn.XLOOKUP(B88,MacReports!B:B,MacReports!E:E,"")</f>
        <v/>
      </c>
      <c r="G88" s="13">
        <f>MacReports!F88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MacReports!G88</f>
        <v>0</v>
      </c>
      <c r="L88">
        <f>MacReports!H88</f>
        <v>0</v>
      </c>
      <c r="M88" s="15" t="e" cm="1">
        <f t="array" ref="M88">--_xlfn.LET(
    _xlpm.txt, MacReports!I88,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--MacReports!N88&lt;55,"Battery Defect",
  -- MacReports!N88&lt;=69,"Battery D",
  --MacReports!N88&lt;=80,"Battery C",
 --MacReports!N88&gt;80,""
)</f>
        <v>Battery Defect</v>
      </c>
      <c r="O88" s="16" t="str">
        <f>IF(MacReports!J88="Service","Battery Service","")</f>
        <v/>
      </c>
      <c r="P88" s="13">
        <f>MacReports!Q88</f>
        <v>0</v>
      </c>
      <c r="Q88" s="13" t="str">
        <f>IF(MacReports!K88="Enabled","Apple ID Lock","")</f>
        <v/>
      </c>
      <c r="R88" s="13" t="str">
        <f>IF(MacReports!M88="Remote Lock","Remote Locked","")</f>
        <v/>
      </c>
      <c r="S88" t="str">
        <f t="shared" si="3"/>
        <v>Battery Defect, 0</v>
      </c>
      <c r="T88" t="str">
        <f>_xlfn.XLOOKUP(B88,Disk_Pivot!G:G,Disk_Pivot!I:I)</f>
        <v>Yes x2</v>
      </c>
      <c r="U88" t="str">
        <f>_xlfn.XLOOKUP(B88,Disk_Pivot!G:G,Disk_Pivot!N:N)</f>
        <v>Pass, Fail</v>
      </c>
      <c r="V88" t="str">
        <f>IF(U88="Fail",MacReports!O88,"")</f>
        <v/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MacReports!D89</f>
        <v>0</v>
      </c>
      <c r="D89" t="str">
        <f>MacReports!C89&amp;""</f>
        <v/>
      </c>
      <c r="E89" t="e">
        <f>_xlfn.XLOOKUP(G89,Models!A:A,Models!F:F)</f>
        <v>#N/A</v>
      </c>
      <c r="F89" t="str">
        <f>_xlfn.XLOOKUP(B89,MacReports!B:B,MacReports!E:E,"")</f>
        <v/>
      </c>
      <c r="G89" s="13">
        <f>MacReports!F89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MacReports!G89</f>
        <v>0</v>
      </c>
      <c r="L89">
        <f>MacReports!H89</f>
        <v>0</v>
      </c>
      <c r="M89" s="15" t="e" cm="1">
        <f t="array" ref="M89">--_xlfn.LET(
    _xlpm.txt, MacReports!I89,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--MacReports!N89&lt;55,"Battery Defect",
  -- MacReports!N89&lt;=69,"Battery D",
  --MacReports!N89&lt;=80,"Battery C",
 --MacReports!N89&gt;80,""
)</f>
        <v>Battery Defect</v>
      </c>
      <c r="O89" s="16" t="str">
        <f>IF(MacReports!J89="Service","Battery Service","")</f>
        <v/>
      </c>
      <c r="P89" s="13">
        <f>MacReports!Q89</f>
        <v>0</v>
      </c>
      <c r="Q89" s="13" t="str">
        <f>IF(MacReports!K89="Enabled","Apple ID Lock","")</f>
        <v/>
      </c>
      <c r="R89" s="13" t="str">
        <f>IF(MacReports!M89="Remote Lock","Remote Locked","")</f>
        <v/>
      </c>
      <c r="S89" t="str">
        <f t="shared" si="3"/>
        <v>Battery Defect, 0</v>
      </c>
      <c r="T89" t="str">
        <f>_xlfn.XLOOKUP(B89,Disk_Pivot!G:G,Disk_Pivot!I:I)</f>
        <v>Yes x2</v>
      </c>
      <c r="U89" t="str">
        <f>_xlfn.XLOOKUP(B89,Disk_Pivot!G:G,Disk_Pivot!N:N)</f>
        <v>Pass, Fail</v>
      </c>
      <c r="V89" t="str">
        <f>IF(U89="Fail",MacReports!O89,"")</f>
        <v/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MacReports!D90</f>
        <v>0</v>
      </c>
      <c r="D90" t="str">
        <f>MacReports!C90&amp;""</f>
        <v/>
      </c>
      <c r="E90" t="e">
        <f>_xlfn.XLOOKUP(G90,Models!A:A,Models!F:F)</f>
        <v>#N/A</v>
      </c>
      <c r="F90" t="str">
        <f>_xlfn.XLOOKUP(B90,MacReports!B:B,MacReports!E:E,"")</f>
        <v/>
      </c>
      <c r="G90" s="13">
        <f>MacReports!F90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MacReports!G90</f>
        <v>0</v>
      </c>
      <c r="L90">
        <f>MacReports!H90</f>
        <v>0</v>
      </c>
      <c r="M90" s="15" t="e" cm="1">
        <f t="array" ref="M90">--_xlfn.LET(
    _xlpm.txt, MacReports!I90,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--MacReports!N90&lt;55,"Battery Defect",
  -- MacReports!N90&lt;=69,"Battery D",
  --MacReports!N90&lt;=80,"Battery C",
 --MacReports!N90&gt;80,""
)</f>
        <v>Battery Defect</v>
      </c>
      <c r="O90" s="16" t="str">
        <f>IF(MacReports!J90="Service","Battery Service","")</f>
        <v/>
      </c>
      <c r="P90" s="13">
        <f>MacReports!Q90</f>
        <v>0</v>
      </c>
      <c r="Q90" s="13" t="str">
        <f>IF(MacReports!K90="Enabled","Apple ID Lock","")</f>
        <v/>
      </c>
      <c r="R90" s="13" t="str">
        <f>IF(MacReports!M90="Remote Lock","Remote Locked","")</f>
        <v/>
      </c>
      <c r="S90" t="str">
        <f t="shared" si="3"/>
        <v>Battery Defect, 0</v>
      </c>
      <c r="T90" t="str">
        <f>_xlfn.XLOOKUP(B90,Disk_Pivot!G:G,Disk_Pivot!I:I)</f>
        <v>Yes x2</v>
      </c>
      <c r="U90" t="str">
        <f>_xlfn.XLOOKUP(B90,Disk_Pivot!G:G,Disk_Pivot!N:N)</f>
        <v>Pass, Fail</v>
      </c>
      <c r="V90" t="str">
        <f>IF(U90="Fail",MacReports!O90,"")</f>
        <v/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MacReports!D91</f>
        <v>0</v>
      </c>
      <c r="D91" t="str">
        <f>MacReports!C91&amp;""</f>
        <v/>
      </c>
      <c r="E91" t="e">
        <f>_xlfn.XLOOKUP(G91,Models!A:A,Models!F:F)</f>
        <v>#N/A</v>
      </c>
      <c r="F91" t="str">
        <f>_xlfn.XLOOKUP(B91,MacReports!B:B,MacReports!E:E,"")</f>
        <v/>
      </c>
      <c r="G91" s="13">
        <f>MacReports!F91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MacReports!G91</f>
        <v>0</v>
      </c>
      <c r="L91">
        <f>MacReports!H91</f>
        <v>0</v>
      </c>
      <c r="M91" s="15" t="e" cm="1">
        <f t="array" ref="M91">--_xlfn.LET(
    _xlpm.txt, MacReports!I91,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--MacReports!N91&lt;55,"Battery Defect",
  -- MacReports!N91&lt;=69,"Battery D",
  --MacReports!N91&lt;=80,"Battery C",
 --MacReports!N91&gt;80,""
)</f>
        <v>Battery Defect</v>
      </c>
      <c r="O91" s="16" t="str">
        <f>IF(MacReports!J91="Service","Battery Service","")</f>
        <v/>
      </c>
      <c r="P91" s="13">
        <f>MacReports!Q91</f>
        <v>0</v>
      </c>
      <c r="Q91" s="13" t="str">
        <f>IF(MacReports!K91="Enabled","Apple ID Lock","")</f>
        <v/>
      </c>
      <c r="R91" s="13" t="str">
        <f>IF(MacReports!M91="Remote Lock","Remote Locked","")</f>
        <v/>
      </c>
      <c r="S91" t="str">
        <f t="shared" si="3"/>
        <v>Battery Defect, 0</v>
      </c>
      <c r="T91" t="str">
        <f>_xlfn.XLOOKUP(B91,Disk_Pivot!G:G,Disk_Pivot!I:I)</f>
        <v>Yes x2</v>
      </c>
      <c r="U91" t="str">
        <f>_xlfn.XLOOKUP(B91,Disk_Pivot!G:G,Disk_Pivot!N:N)</f>
        <v>Pass, Fail</v>
      </c>
      <c r="V91" t="str">
        <f>IF(U91="Fail",MacReports!O91,"")</f>
        <v/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MacReports!D92</f>
        <v>0</v>
      </c>
      <c r="D92" t="str">
        <f>MacReports!C92&amp;""</f>
        <v/>
      </c>
      <c r="E92" t="e">
        <f>_xlfn.XLOOKUP(G92,Models!A:A,Models!F:F)</f>
        <v>#N/A</v>
      </c>
      <c r="F92" t="str">
        <f>_xlfn.XLOOKUP(B92,MacReports!B:B,MacReports!E:E,"")</f>
        <v/>
      </c>
      <c r="G92" s="13">
        <f>MacReports!F92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MacReports!G92</f>
        <v>0</v>
      </c>
      <c r="L92">
        <f>MacReports!H92</f>
        <v>0</v>
      </c>
      <c r="M92" s="15" t="e" cm="1">
        <f t="array" ref="M92">--_xlfn.LET(
    _xlpm.txt, MacReports!I92,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--MacReports!N92&lt;55,"Battery Defect",
  -- MacReports!N92&lt;=69,"Battery D",
  --MacReports!N92&lt;=80,"Battery C",
 --MacReports!N92&gt;80,""
)</f>
        <v>Battery Defect</v>
      </c>
      <c r="O92" s="16" t="str">
        <f>IF(MacReports!J92="Service","Battery Service","")</f>
        <v/>
      </c>
      <c r="P92" s="13">
        <f>MacReports!Q92</f>
        <v>0</v>
      </c>
      <c r="Q92" s="13" t="str">
        <f>IF(MacReports!K92="Enabled","Apple ID Lock","")</f>
        <v/>
      </c>
      <c r="R92" s="13" t="str">
        <f>IF(MacReports!M92="Remote Lock","Remote Locked","")</f>
        <v/>
      </c>
      <c r="S92" t="str">
        <f t="shared" si="3"/>
        <v>Battery Defect, 0</v>
      </c>
      <c r="T92" t="str">
        <f>_xlfn.XLOOKUP(B92,Disk_Pivot!G:G,Disk_Pivot!I:I)</f>
        <v>Yes x2</v>
      </c>
      <c r="U92" t="str">
        <f>_xlfn.XLOOKUP(B92,Disk_Pivot!G:G,Disk_Pivot!N:N)</f>
        <v>Pass, Fail</v>
      </c>
      <c r="V92" t="str">
        <f>IF(U92="Fail",MacReports!O92,"")</f>
        <v/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MacReports!D93</f>
        <v>0</v>
      </c>
      <c r="D93" t="str">
        <f>MacReports!C93&amp;""</f>
        <v/>
      </c>
      <c r="E93" t="e">
        <f>_xlfn.XLOOKUP(G93,Models!A:A,Models!F:F)</f>
        <v>#N/A</v>
      </c>
      <c r="F93" t="str">
        <f>_xlfn.XLOOKUP(B93,MacReports!B:B,MacReports!E:E,"")</f>
        <v/>
      </c>
      <c r="G93" s="13">
        <f>MacReports!F93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MacReports!G93</f>
        <v>0</v>
      </c>
      <c r="L93">
        <f>MacReports!H93</f>
        <v>0</v>
      </c>
      <c r="M93" s="15" t="e" cm="1">
        <f t="array" ref="M93">--_xlfn.LET(
    _xlpm.txt, MacReports!I93,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--MacReports!N93&lt;55,"Battery Defect",
  -- MacReports!N93&lt;=69,"Battery D",
  --MacReports!N93&lt;=80,"Battery C",
 --MacReports!N93&gt;80,""
)</f>
        <v>Battery Defect</v>
      </c>
      <c r="O93" s="16" t="str">
        <f>IF(MacReports!J93="Service","Battery Service","")</f>
        <v/>
      </c>
      <c r="P93" s="13">
        <f>MacReports!Q93</f>
        <v>0</v>
      </c>
      <c r="Q93" s="13" t="str">
        <f>IF(MacReports!K93="Enabled","Apple ID Lock","")</f>
        <v/>
      </c>
      <c r="R93" s="13" t="str">
        <f>IF(MacReports!M93="Remote Lock","Remote Locked","")</f>
        <v/>
      </c>
      <c r="S93" t="str">
        <f t="shared" si="3"/>
        <v>Battery Defect, 0</v>
      </c>
      <c r="T93" t="str">
        <f>_xlfn.XLOOKUP(B93,Disk_Pivot!G:G,Disk_Pivot!I:I)</f>
        <v>Yes x2</v>
      </c>
      <c r="U93" t="str">
        <f>_xlfn.XLOOKUP(B93,Disk_Pivot!G:G,Disk_Pivot!N:N)</f>
        <v>Pass, Fail</v>
      </c>
      <c r="V93" t="str">
        <f>IF(U93="Fail",MacReports!O93,"")</f>
        <v/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MacReports!D94</f>
        <v>0</v>
      </c>
      <c r="D94" t="str">
        <f>MacReports!C94&amp;""</f>
        <v/>
      </c>
      <c r="E94" t="e">
        <f>_xlfn.XLOOKUP(G94,Models!A:A,Models!F:F)</f>
        <v>#N/A</v>
      </c>
      <c r="F94" t="str">
        <f>_xlfn.XLOOKUP(B94,MacReports!B:B,MacReports!E:E,"")</f>
        <v/>
      </c>
      <c r="G94" s="13">
        <f>MacReports!F94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MacReports!G94</f>
        <v>0</v>
      </c>
      <c r="L94">
        <f>MacReports!H94</f>
        <v>0</v>
      </c>
      <c r="M94" s="15" t="e" cm="1">
        <f t="array" ref="M94">--_xlfn.LET(
    _xlpm.txt, MacReports!I94,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--MacReports!N94&lt;55,"Battery Defect",
  -- MacReports!N94&lt;=69,"Battery D",
  --MacReports!N94&lt;=80,"Battery C",
 --MacReports!N94&gt;80,""
)</f>
        <v>Battery Defect</v>
      </c>
      <c r="O94" s="16" t="str">
        <f>IF(MacReports!J94="Service","Battery Service","")</f>
        <v/>
      </c>
      <c r="P94" s="13">
        <f>MacReports!Q94</f>
        <v>0</v>
      </c>
      <c r="Q94" s="13" t="str">
        <f>IF(MacReports!K94="Enabled","Apple ID Lock","")</f>
        <v/>
      </c>
      <c r="R94" s="13" t="str">
        <f>IF(MacReports!M94="Remote Lock","Remote Locked","")</f>
        <v/>
      </c>
      <c r="S94" t="str">
        <f t="shared" si="3"/>
        <v>Battery Defect, 0</v>
      </c>
      <c r="T94" t="str">
        <f>_xlfn.XLOOKUP(B94,Disk_Pivot!G:G,Disk_Pivot!I:I)</f>
        <v>Yes x2</v>
      </c>
      <c r="U94" t="str">
        <f>_xlfn.XLOOKUP(B94,Disk_Pivot!G:G,Disk_Pivot!N:N)</f>
        <v>Pass, Fail</v>
      </c>
      <c r="V94" t="str">
        <f>IF(U94="Fail",MacReports!O94,"")</f>
        <v/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MacReports!D95</f>
        <v>0</v>
      </c>
      <c r="D95" t="str">
        <f>MacReports!C95&amp;""</f>
        <v/>
      </c>
      <c r="E95" t="e">
        <f>_xlfn.XLOOKUP(G95,Models!A:A,Models!F:F)</f>
        <v>#N/A</v>
      </c>
      <c r="F95" t="str">
        <f>_xlfn.XLOOKUP(B95,MacReports!B:B,MacReports!E:E,"")</f>
        <v/>
      </c>
      <c r="G95" s="13">
        <f>MacReports!F95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MacReports!G95</f>
        <v>0</v>
      </c>
      <c r="L95">
        <f>MacReports!H95</f>
        <v>0</v>
      </c>
      <c r="M95" s="15" t="e" cm="1">
        <f t="array" ref="M95">--_xlfn.LET(
    _xlpm.txt, MacReports!I95,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--MacReports!N95&lt;55,"Battery Defect",
  -- MacReports!N95&lt;=69,"Battery D",
  --MacReports!N95&lt;=80,"Battery C",
 --MacReports!N95&gt;80,""
)</f>
        <v>Battery Defect</v>
      </c>
      <c r="O95" s="16" t="str">
        <f>IF(MacReports!J95="Service","Battery Service","")</f>
        <v/>
      </c>
      <c r="P95" s="13">
        <f>MacReports!Q95</f>
        <v>0</v>
      </c>
      <c r="Q95" s="13" t="str">
        <f>IF(MacReports!K95="Enabled","Apple ID Lock","")</f>
        <v/>
      </c>
      <c r="R95" s="13" t="str">
        <f>IF(MacReports!M95="Remote Lock","Remote Locked","")</f>
        <v/>
      </c>
      <c r="S95" t="str">
        <f t="shared" si="3"/>
        <v>Battery Defect, 0</v>
      </c>
      <c r="T95" t="str">
        <f>_xlfn.XLOOKUP(B95,Disk_Pivot!G:G,Disk_Pivot!I:I)</f>
        <v>Yes x2</v>
      </c>
      <c r="U95" t="str">
        <f>_xlfn.XLOOKUP(B95,Disk_Pivot!G:G,Disk_Pivot!N:N)</f>
        <v>Pass, Fail</v>
      </c>
      <c r="V95" t="str">
        <f>IF(U95="Fail",MacReports!O95,"")</f>
        <v/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MacReports!D96</f>
        <v>0</v>
      </c>
      <c r="D96" t="str">
        <f>MacReports!C96&amp;""</f>
        <v/>
      </c>
      <c r="E96" t="e">
        <f>_xlfn.XLOOKUP(G96,Models!A:A,Models!F:F)</f>
        <v>#N/A</v>
      </c>
      <c r="F96" t="str">
        <f>_xlfn.XLOOKUP(B96,MacReports!B:B,MacReports!E:E,"")</f>
        <v/>
      </c>
      <c r="G96" s="13">
        <f>MacReports!F96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MacReports!G96</f>
        <v>0</v>
      </c>
      <c r="L96">
        <f>MacReports!H96</f>
        <v>0</v>
      </c>
      <c r="M96" s="15" t="e" cm="1">
        <f t="array" ref="M96">--_xlfn.LET(
    _xlpm.txt, MacReports!I96,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--MacReports!N96&lt;55,"Battery Defect",
  -- MacReports!N96&lt;=69,"Battery D",
  --MacReports!N96&lt;=80,"Battery C",
 --MacReports!N96&gt;80,""
)</f>
        <v>Battery Defect</v>
      </c>
      <c r="O96" s="16" t="str">
        <f>IF(MacReports!J96="Service","Battery Service","")</f>
        <v/>
      </c>
      <c r="P96" s="13">
        <f>MacReports!Q96</f>
        <v>0</v>
      </c>
      <c r="Q96" s="13" t="str">
        <f>IF(MacReports!K96="Enabled","Apple ID Lock","")</f>
        <v/>
      </c>
      <c r="R96" s="13" t="str">
        <f>IF(MacReports!M96="Remote Lock","Remote Locked","")</f>
        <v/>
      </c>
      <c r="S96" t="str">
        <f t="shared" si="3"/>
        <v>Battery Defect, 0</v>
      </c>
      <c r="T96" t="str">
        <f>_xlfn.XLOOKUP(B96,Disk_Pivot!G:G,Disk_Pivot!I:I)</f>
        <v>Yes x2</v>
      </c>
      <c r="U96" t="str">
        <f>_xlfn.XLOOKUP(B96,Disk_Pivot!G:G,Disk_Pivot!N:N)</f>
        <v>Pass, Fail</v>
      </c>
      <c r="V96" t="str">
        <f>IF(U96="Fail",MacReports!O96,"")</f>
        <v/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MacReports!D97</f>
        <v>0</v>
      </c>
      <c r="D97" t="str">
        <f>MacReports!C97&amp;""</f>
        <v/>
      </c>
      <c r="E97" t="e">
        <f>_xlfn.XLOOKUP(G97,Models!A:A,Models!F:F)</f>
        <v>#N/A</v>
      </c>
      <c r="F97" t="str">
        <f>_xlfn.XLOOKUP(B97,MacReports!B:B,MacReports!E:E,"")</f>
        <v/>
      </c>
      <c r="G97" s="13">
        <f>MacReports!F97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MacReports!G97</f>
        <v>0</v>
      </c>
      <c r="L97">
        <f>MacReports!H97</f>
        <v>0</v>
      </c>
      <c r="M97" s="15" t="e" cm="1">
        <f t="array" ref="M97">--_xlfn.LET(
    _xlpm.txt, MacReports!I97,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--MacReports!N97&lt;55,"Battery Defect",
  -- MacReports!N97&lt;=69,"Battery D",
  --MacReports!N97&lt;=80,"Battery C",
 --MacReports!N97&gt;80,""
)</f>
        <v>Battery Defect</v>
      </c>
      <c r="O97" s="16" t="str">
        <f>IF(MacReports!J97="Service","Battery Service","")</f>
        <v/>
      </c>
      <c r="P97" s="13">
        <f>MacReports!Q97</f>
        <v>0</v>
      </c>
      <c r="Q97" s="13" t="str">
        <f>IF(MacReports!K97="Enabled","Apple ID Lock","")</f>
        <v/>
      </c>
      <c r="R97" s="13" t="str">
        <f>IF(MacReports!M97="Remote Lock","Remote Locked","")</f>
        <v/>
      </c>
      <c r="S97" t="str">
        <f t="shared" si="3"/>
        <v>Battery Defect, 0</v>
      </c>
      <c r="T97" t="str">
        <f>_xlfn.XLOOKUP(B97,Disk_Pivot!G:G,Disk_Pivot!I:I)</f>
        <v>Yes x2</v>
      </c>
      <c r="U97" t="str">
        <f>_xlfn.XLOOKUP(B97,Disk_Pivot!G:G,Disk_Pivot!N:N)</f>
        <v>Pass, Fail</v>
      </c>
      <c r="V97" t="str">
        <f>IF(U97="Fail",MacReports!O97,"")</f>
        <v/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MacReports!D98</f>
        <v>0</v>
      </c>
      <c r="D98" t="str">
        <f>MacReports!C98&amp;""</f>
        <v/>
      </c>
      <c r="E98" t="e">
        <f>_xlfn.XLOOKUP(G98,Models!A:A,Models!F:F)</f>
        <v>#N/A</v>
      </c>
      <c r="F98" t="str">
        <f>_xlfn.XLOOKUP(B98,MacReports!B:B,MacReports!E:E,"")</f>
        <v/>
      </c>
      <c r="G98" s="13">
        <f>MacReports!F98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MacReports!G98</f>
        <v>0</v>
      </c>
      <c r="L98">
        <f>MacReports!H98</f>
        <v>0</v>
      </c>
      <c r="M98" s="15" t="e" cm="1">
        <f t="array" ref="M98">--_xlfn.LET(
    _xlpm.txt, MacReports!I98,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--MacReports!N98&lt;55,"Battery Defect",
  -- MacReports!N98&lt;=69,"Battery D",
  --MacReports!N98&lt;=80,"Battery C",
 --MacReports!N98&gt;80,""
)</f>
        <v>Battery Defect</v>
      </c>
      <c r="O98" s="16" t="str">
        <f>IF(MacReports!J98="Service","Battery Service","")</f>
        <v/>
      </c>
      <c r="P98" s="13">
        <f>MacReports!Q98</f>
        <v>0</v>
      </c>
      <c r="Q98" s="13" t="str">
        <f>IF(MacReports!K98="Enabled","Apple ID Lock","")</f>
        <v/>
      </c>
      <c r="R98" s="13" t="str">
        <f>IF(MacReports!M98="Remote Lock","Remote Locked","")</f>
        <v/>
      </c>
      <c r="S98" t="str">
        <f t="shared" si="3"/>
        <v>Battery Defect, 0</v>
      </c>
      <c r="T98" t="str">
        <f>_xlfn.XLOOKUP(B98,Disk_Pivot!G:G,Disk_Pivot!I:I)</f>
        <v>Yes x2</v>
      </c>
      <c r="U98" t="str">
        <f>_xlfn.XLOOKUP(B98,Disk_Pivot!G:G,Disk_Pivot!N:N)</f>
        <v>Pass, Fail</v>
      </c>
      <c r="V98" t="str">
        <f>IF(U98="Fail",MacReports!O98,"")</f>
        <v/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MacReports!D99</f>
        <v>0</v>
      </c>
      <c r="D99" t="str">
        <f>MacReports!C99&amp;""</f>
        <v/>
      </c>
      <c r="E99" t="e">
        <f>_xlfn.XLOOKUP(G99,Models!A:A,Models!F:F)</f>
        <v>#N/A</v>
      </c>
      <c r="F99" t="str">
        <f>_xlfn.XLOOKUP(B99,MacReports!B:B,MacReports!E:E,"")</f>
        <v/>
      </c>
      <c r="G99" s="13">
        <f>MacReports!F99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MacReports!G99</f>
        <v>0</v>
      </c>
      <c r="L99">
        <f>MacReports!H99</f>
        <v>0</v>
      </c>
      <c r="M99" s="15" t="e" cm="1">
        <f t="array" ref="M99">--_xlfn.LET(
    _xlpm.txt, MacReports!I99,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--MacReports!N99&lt;55,"Battery Defect",
  -- MacReports!N99&lt;=69,"Battery D",
  --MacReports!N99&lt;=80,"Battery C",
 --MacReports!N99&gt;80,""
)</f>
        <v>Battery Defect</v>
      </c>
      <c r="O99" s="16" t="str">
        <f>IF(MacReports!J99="Service","Battery Service","")</f>
        <v/>
      </c>
      <c r="P99" s="13">
        <f>MacReports!Q99</f>
        <v>0</v>
      </c>
      <c r="Q99" s="13" t="str">
        <f>IF(MacReports!K99="Enabled","Apple ID Lock","")</f>
        <v/>
      </c>
      <c r="R99" s="13" t="str">
        <f>IF(MacReports!M99="Remote Lock","Remote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Yes x2</v>
      </c>
      <c r="U99" t="str">
        <f>_xlfn.XLOOKUP(B99,Disk_Pivot!G:G,Disk_Pivot!N:N)</f>
        <v>Pass, Fail</v>
      </c>
      <c r="V99" t="str">
        <f>IF(U99="Fail",MacReports!O99,"")</f>
        <v/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MacReports!D100</f>
        <v>0</v>
      </c>
      <c r="D100" t="str">
        <f>MacReports!C100&amp;""</f>
        <v/>
      </c>
      <c r="E100" t="e">
        <f>_xlfn.XLOOKUP(G100,Models!A:A,Models!F:F)</f>
        <v>#N/A</v>
      </c>
      <c r="F100" t="str">
        <f>_xlfn.XLOOKUP(B100,MacReports!B:B,MacReports!E:E,"")</f>
        <v/>
      </c>
      <c r="G100" s="13">
        <f>MacReports!F100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MacReports!G100</f>
        <v>0</v>
      </c>
      <c r="L100">
        <f>MacReports!H100</f>
        <v>0</v>
      </c>
      <c r="M100" s="15" t="e" cm="1">
        <f t="array" ref="M100">--_xlfn.LET(
    _xlpm.txt, MacReports!I100,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--MacReports!N100&lt;55,"Battery Defect",
  -- MacReports!N100&lt;=69,"Battery D",
  --MacReports!N100&lt;=80,"Battery C",
 --MacReports!N100&gt;80,""
)</f>
        <v>Battery Defect</v>
      </c>
      <c r="O100" s="16" t="str">
        <f>IF(MacReports!J100="Service","Battery Service","")</f>
        <v/>
      </c>
      <c r="P100" s="13">
        <f>MacReports!Q100</f>
        <v>0</v>
      </c>
      <c r="Q100" s="13" t="str">
        <f>IF(MacReports!K100="Enabled","Apple ID Lock","")</f>
        <v/>
      </c>
      <c r="R100" s="13" t="str">
        <f>IF(MacReports!M100="Remote Lock","Remote Locked","")</f>
        <v/>
      </c>
      <c r="S100" t="str">
        <f t="shared" si="5"/>
        <v>Battery Defect, 0</v>
      </c>
      <c r="T100" t="str">
        <f>_xlfn.XLOOKUP(B100,Disk_Pivot!G:G,Disk_Pivot!I:I)</f>
        <v>Yes x2</v>
      </c>
      <c r="U100" t="str">
        <f>_xlfn.XLOOKUP(B100,Disk_Pivot!G:G,Disk_Pivot!N:N)</f>
        <v>Pass, Fail</v>
      </c>
      <c r="V100" t="str">
        <f>IF(U100="Fail",MacReports!O100,"")</f>
        <v/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MacReports!D101</f>
        <v>0</v>
      </c>
      <c r="D101" t="str">
        <f>MacReports!C101&amp;""</f>
        <v/>
      </c>
      <c r="E101" t="e">
        <f>_xlfn.XLOOKUP(G101,Models!A:A,Models!F:F)</f>
        <v>#N/A</v>
      </c>
      <c r="F101" t="str">
        <f>_xlfn.XLOOKUP(B101,MacReports!B:B,MacReports!E:E,"")</f>
        <v/>
      </c>
      <c r="G101" s="13">
        <f>MacReports!F101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MacReports!G101</f>
        <v>0</v>
      </c>
      <c r="L101">
        <f>MacReports!H101</f>
        <v>0</v>
      </c>
      <c r="M101" s="15" t="e" cm="1">
        <f t="array" ref="M101">--_xlfn.LET(
    _xlpm.txt, MacReports!I101,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--MacReports!N101&lt;55,"Battery Defect",
  -- MacReports!N101&lt;=69,"Battery D",
  --MacReports!N101&lt;=80,"Battery C",
 --MacReports!N101&gt;80,""
)</f>
        <v>Battery Defect</v>
      </c>
      <c r="O101" s="16" t="str">
        <f>IF(MacReports!J101="Service","Battery Service","")</f>
        <v/>
      </c>
      <c r="P101" s="13">
        <f>MacReports!Q101</f>
        <v>0</v>
      </c>
      <c r="Q101" s="13" t="str">
        <f>IF(MacReports!K101="Enabled","Apple ID Lock","")</f>
        <v/>
      </c>
      <c r="R101" s="13" t="str">
        <f>IF(MacReports!M101="Remote Lock","Remote Locked","")</f>
        <v/>
      </c>
      <c r="S101" t="str">
        <f t="shared" si="5"/>
        <v>Battery Defect, 0</v>
      </c>
      <c r="T101" t="str">
        <f>_xlfn.XLOOKUP(B101,Disk_Pivot!G:G,Disk_Pivot!I:I)</f>
        <v>Yes x2</v>
      </c>
      <c r="U101" t="str">
        <f>_xlfn.XLOOKUP(B101,Disk_Pivot!G:G,Disk_Pivot!N:N)</f>
        <v>Pass, Fail</v>
      </c>
      <c r="V101" t="str">
        <f>IF(U101="Fail",MacReports!O101,"")</f>
        <v/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MacReports!D102</f>
        <v>0</v>
      </c>
      <c r="D102" t="str">
        <f>MacReports!C102&amp;""</f>
        <v/>
      </c>
      <c r="E102" t="e">
        <f>_xlfn.XLOOKUP(G102,Models!A:A,Models!F:F)</f>
        <v>#N/A</v>
      </c>
      <c r="F102" t="str">
        <f>_xlfn.XLOOKUP(B102,MacReports!B:B,MacReports!E:E,"")</f>
        <v/>
      </c>
      <c r="G102" s="13">
        <f>MacReports!F102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MacReports!G102</f>
        <v>0</v>
      </c>
      <c r="L102">
        <f>MacReports!H102</f>
        <v>0</v>
      </c>
      <c r="M102" s="15" t="e" cm="1">
        <f t="array" ref="M102">--_xlfn.LET(
    _xlpm.txt, MacReports!I102,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--MacReports!N102&lt;55,"Battery Defect",
  -- MacReports!N102&lt;=69,"Battery D",
  --MacReports!N102&lt;=80,"Battery C",
 --MacReports!N102&gt;80,""
)</f>
        <v>Battery Defect</v>
      </c>
      <c r="O102" s="16" t="str">
        <f>IF(MacReports!J102="Service","Battery Service","")</f>
        <v/>
      </c>
      <c r="P102" s="13">
        <f>MacReports!Q102</f>
        <v>0</v>
      </c>
      <c r="Q102" s="13" t="str">
        <f>IF(MacReports!K102="Enabled","Apple ID Lock","")</f>
        <v/>
      </c>
      <c r="R102" s="13" t="str">
        <f>IF(MacReports!M102="Remote Lock","Remote Locked","")</f>
        <v/>
      </c>
      <c r="S102" t="str">
        <f t="shared" si="5"/>
        <v>Battery Defect, 0</v>
      </c>
      <c r="T102" t="str">
        <f>_xlfn.XLOOKUP(B102,Disk_Pivot!G:G,Disk_Pivot!I:I)</f>
        <v>Yes x2</v>
      </c>
      <c r="U102" t="str">
        <f>_xlfn.XLOOKUP(B102,Disk_Pivot!G:G,Disk_Pivot!N:N)</f>
        <v>Pass, Fail</v>
      </c>
      <c r="V102" t="str">
        <f>IF(U102="Fail",MacReports!O102,"")</f>
        <v/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MacReports!D103</f>
        <v>0</v>
      </c>
      <c r="D103" t="str">
        <f>MacReports!C103&amp;""</f>
        <v/>
      </c>
      <c r="E103" t="e">
        <f>_xlfn.XLOOKUP(G103,Models!A:A,Models!F:F)</f>
        <v>#N/A</v>
      </c>
      <c r="F103" t="str">
        <f>_xlfn.XLOOKUP(B103,MacReports!B:B,MacReports!E:E,"")</f>
        <v/>
      </c>
      <c r="G103" s="13">
        <f>MacReports!F103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MacReports!G103</f>
        <v>0</v>
      </c>
      <c r="L103">
        <f>MacReports!H103</f>
        <v>0</v>
      </c>
      <c r="M103" s="15" t="e" cm="1">
        <f t="array" ref="M103">--_xlfn.LET(
    _xlpm.txt, MacReports!I103,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--MacReports!N103&lt;55,"Battery Defect",
  -- MacReports!N103&lt;=69,"Battery D",
  --MacReports!N103&lt;=80,"Battery C",
 --MacReports!N103&gt;80,""
)</f>
        <v>Battery Defect</v>
      </c>
      <c r="O103" s="16" t="str">
        <f>IF(MacReports!J103="Service","Battery Service","")</f>
        <v/>
      </c>
      <c r="P103" s="13">
        <f>MacReports!Q103</f>
        <v>0</v>
      </c>
      <c r="Q103" s="13" t="str">
        <f>IF(MacReports!K103="Enabled","Apple ID Lock","")</f>
        <v/>
      </c>
      <c r="R103" s="13" t="str">
        <f>IF(MacReports!M103="Remote Lock","Remote Locked","")</f>
        <v/>
      </c>
      <c r="S103" t="str">
        <f t="shared" si="5"/>
        <v>Battery Defect, 0</v>
      </c>
      <c r="T103" t="str">
        <f>_xlfn.XLOOKUP(B103,Disk_Pivot!G:G,Disk_Pivot!I:I)</f>
        <v>Yes x2</v>
      </c>
      <c r="U103" t="str">
        <f>_xlfn.XLOOKUP(B103,Disk_Pivot!G:G,Disk_Pivot!N:N)</f>
        <v>Pass, Fail</v>
      </c>
      <c r="V103" t="str">
        <f>IF(U103="Fail",MacReports!O103,"")</f>
        <v/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MacReports!D104</f>
        <v>0</v>
      </c>
      <c r="D104" t="str">
        <f>MacReports!C104&amp;""</f>
        <v/>
      </c>
      <c r="E104" t="e">
        <f>_xlfn.XLOOKUP(G104,Models!A:A,Models!F:F)</f>
        <v>#N/A</v>
      </c>
      <c r="F104" t="str">
        <f>_xlfn.XLOOKUP(B104,MacReports!B:B,MacReports!E:E,"")</f>
        <v/>
      </c>
      <c r="G104" s="13">
        <f>MacReports!F104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MacReports!G104</f>
        <v>0</v>
      </c>
      <c r="L104">
        <f>MacReports!H104</f>
        <v>0</v>
      </c>
      <c r="M104" s="15" t="e" cm="1">
        <f t="array" ref="M104">--_xlfn.LET(
    _xlpm.txt, MacReports!I104,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--MacReports!N104&lt;55,"Battery Defect",
  -- MacReports!N104&lt;=69,"Battery D",
  --MacReports!N104&lt;=80,"Battery C",
 --MacReports!N104&gt;80,""
)</f>
        <v>Battery Defect</v>
      </c>
      <c r="O104" s="16" t="str">
        <f>IF(MacReports!J104="Service","Battery Service","")</f>
        <v/>
      </c>
      <c r="P104" s="13">
        <f>MacReports!Q104</f>
        <v>0</v>
      </c>
      <c r="Q104" s="13" t="str">
        <f>IF(MacReports!K104="Enabled","Apple ID Lock","")</f>
        <v/>
      </c>
      <c r="R104" s="13" t="str">
        <f>IF(MacReports!M104="Remote Lock","Remote Locked","")</f>
        <v/>
      </c>
      <c r="S104" t="str">
        <f t="shared" si="5"/>
        <v>Battery Defect, 0</v>
      </c>
      <c r="T104" t="str">
        <f>_xlfn.XLOOKUP(B104,Disk_Pivot!G:G,Disk_Pivot!I:I)</f>
        <v>Yes x2</v>
      </c>
      <c r="U104" t="str">
        <f>_xlfn.XLOOKUP(B104,Disk_Pivot!G:G,Disk_Pivot!N:N)</f>
        <v>Pass, Fail</v>
      </c>
      <c r="V104" t="str">
        <f>IF(U104="Fail",MacReports!O104,"")</f>
        <v/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MacReports!D105</f>
        <v>0</v>
      </c>
      <c r="D105" t="str">
        <f>MacReports!C105&amp;""</f>
        <v/>
      </c>
      <c r="E105" t="e">
        <f>_xlfn.XLOOKUP(G105,Models!A:A,Models!F:F)</f>
        <v>#N/A</v>
      </c>
      <c r="F105" t="str">
        <f>_xlfn.XLOOKUP(B105,MacReports!B:B,MacReports!E:E,"")</f>
        <v/>
      </c>
      <c r="G105" s="13">
        <f>MacReports!F105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MacReports!G105</f>
        <v>0</v>
      </c>
      <c r="L105">
        <f>MacReports!H105</f>
        <v>0</v>
      </c>
      <c r="M105" s="15" t="e" cm="1">
        <f t="array" ref="M105">--_xlfn.LET(
    _xlpm.txt, MacReports!I105,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--MacReports!N105&lt;55,"Battery Defect",
  -- MacReports!N105&lt;=69,"Battery D",
  --MacReports!N105&lt;=80,"Battery C",
 --MacReports!N105&gt;80,""
)</f>
        <v>Battery Defect</v>
      </c>
      <c r="O105" s="16" t="str">
        <f>IF(MacReports!J105="Service","Battery Service","")</f>
        <v/>
      </c>
      <c r="P105" s="13">
        <f>MacReports!Q105</f>
        <v>0</v>
      </c>
      <c r="Q105" s="13" t="str">
        <f>IF(MacReports!K105="Enabled","Apple ID Lock","")</f>
        <v/>
      </c>
      <c r="R105" s="13" t="str">
        <f>IF(MacReports!M105="Remote Lock","Remote Locked","")</f>
        <v/>
      </c>
      <c r="S105" t="str">
        <f t="shared" si="5"/>
        <v>Battery Defect, 0</v>
      </c>
      <c r="T105" t="str">
        <f>_xlfn.XLOOKUP(B105,Disk_Pivot!G:G,Disk_Pivot!I:I)</f>
        <v>Yes x2</v>
      </c>
      <c r="U105" t="str">
        <f>_xlfn.XLOOKUP(B105,Disk_Pivot!G:G,Disk_Pivot!N:N)</f>
        <v>Pass, Fail</v>
      </c>
      <c r="V105" t="str">
        <f>IF(U105="Fail",MacReports!O105,"")</f>
        <v/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MacReports!D106</f>
        <v>0</v>
      </c>
      <c r="D106" t="str">
        <f>MacReports!C106&amp;""</f>
        <v/>
      </c>
      <c r="E106" t="e">
        <f>_xlfn.XLOOKUP(G106,Models!A:A,Models!F:F)</f>
        <v>#N/A</v>
      </c>
      <c r="F106" t="str">
        <f>_xlfn.XLOOKUP(B106,MacReports!B:B,MacReports!E:E,"")</f>
        <v/>
      </c>
      <c r="G106" s="13">
        <f>MacReports!F106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MacReports!G106</f>
        <v>0</v>
      </c>
      <c r="L106">
        <f>MacReports!H106</f>
        <v>0</v>
      </c>
      <c r="M106" s="15" t="e" cm="1">
        <f t="array" ref="M106">--_xlfn.LET(
    _xlpm.txt, MacReports!I106,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--MacReports!N106&lt;55,"Battery Defect",
  -- MacReports!N106&lt;=69,"Battery D",
  --MacReports!N106&lt;=80,"Battery C",
 --MacReports!N106&gt;80,""
)</f>
        <v>Battery Defect</v>
      </c>
      <c r="O106" s="16" t="str">
        <f>IF(MacReports!J106="Service","Battery Service","")</f>
        <v/>
      </c>
      <c r="P106" s="13">
        <f>MacReports!Q106</f>
        <v>0</v>
      </c>
      <c r="Q106" s="13" t="str">
        <f>IF(MacReports!K106="Enabled","Apple ID Lock","")</f>
        <v/>
      </c>
      <c r="R106" s="13" t="str">
        <f>IF(MacReports!M106="Remote Lock","Remote Locked","")</f>
        <v/>
      </c>
      <c r="S106" t="str">
        <f t="shared" si="5"/>
        <v>Battery Defect, 0</v>
      </c>
      <c r="T106" t="str">
        <f>_xlfn.XLOOKUP(B106,Disk_Pivot!G:G,Disk_Pivot!I:I)</f>
        <v>Yes x2</v>
      </c>
      <c r="U106" t="str">
        <f>_xlfn.XLOOKUP(B106,Disk_Pivot!G:G,Disk_Pivot!N:N)</f>
        <v>Pass, Fail</v>
      </c>
      <c r="V106" t="str">
        <f>IF(U106="Fail",MacReports!O106,"")</f>
        <v/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MacReports!D107</f>
        <v>0</v>
      </c>
      <c r="D107" t="str">
        <f>MacReports!C107&amp;""</f>
        <v/>
      </c>
      <c r="E107" t="e">
        <f>_xlfn.XLOOKUP(G107,Models!A:A,Models!F:F)</f>
        <v>#N/A</v>
      </c>
      <c r="F107" t="str">
        <f>_xlfn.XLOOKUP(B107,MacReports!B:B,MacReports!E:E,"")</f>
        <v/>
      </c>
      <c r="G107" s="13">
        <f>MacReports!F107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MacReports!G107</f>
        <v>0</v>
      </c>
      <c r="L107">
        <f>MacReports!H107</f>
        <v>0</v>
      </c>
      <c r="M107" s="15" t="e" cm="1">
        <f t="array" ref="M107">--_xlfn.LET(
    _xlpm.txt, MacReports!I107,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--MacReports!N107&lt;55,"Battery Defect",
  -- MacReports!N107&lt;=69,"Battery D",
  --MacReports!N107&lt;=80,"Battery C",
 --MacReports!N107&gt;80,""
)</f>
        <v>Battery Defect</v>
      </c>
      <c r="O107" s="16" t="str">
        <f>IF(MacReports!J107="Service","Battery Service","")</f>
        <v/>
      </c>
      <c r="P107" s="13">
        <f>MacReports!Q107</f>
        <v>0</v>
      </c>
      <c r="Q107" s="13" t="str">
        <f>IF(MacReports!K107="Enabled","Apple ID Lock","")</f>
        <v/>
      </c>
      <c r="R107" s="13" t="str">
        <f>IF(MacReports!M107="Remote Lock","Remote Locked","")</f>
        <v/>
      </c>
      <c r="S107" t="str">
        <f t="shared" si="5"/>
        <v>Battery Defect, 0</v>
      </c>
      <c r="T107" t="str">
        <f>_xlfn.XLOOKUP(B107,Disk_Pivot!G:G,Disk_Pivot!I:I)</f>
        <v>Yes x2</v>
      </c>
      <c r="U107" t="str">
        <f>_xlfn.XLOOKUP(B107,Disk_Pivot!G:G,Disk_Pivot!N:N)</f>
        <v>Pass, Fail</v>
      </c>
      <c r="V107" t="str">
        <f>IF(U107="Fail",MacReports!O107,"")</f>
        <v/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MacReports!D108</f>
        <v>0</v>
      </c>
      <c r="D108" t="str">
        <f>MacReports!C108&amp;""</f>
        <v/>
      </c>
      <c r="E108" t="e">
        <f>_xlfn.XLOOKUP(G108,Models!A:A,Models!F:F)</f>
        <v>#N/A</v>
      </c>
      <c r="F108" t="str">
        <f>_xlfn.XLOOKUP(B108,MacReports!B:B,MacReports!E:E,"")</f>
        <v/>
      </c>
      <c r="G108" s="13">
        <f>MacReports!F108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MacReports!G108</f>
        <v>0</v>
      </c>
      <c r="L108">
        <f>MacReports!H108</f>
        <v>0</v>
      </c>
      <c r="M108" s="15" t="e" cm="1">
        <f t="array" ref="M108">--_xlfn.LET(
    _xlpm.txt, MacReports!I108,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--MacReports!N108&lt;55,"Battery Defect",
  -- MacReports!N108&lt;=69,"Battery D",
  --MacReports!N108&lt;=80,"Battery C",
 --MacReports!N108&gt;80,""
)</f>
        <v>Battery Defect</v>
      </c>
      <c r="O108" s="16" t="str">
        <f>IF(MacReports!J108="Service","Battery Service","")</f>
        <v/>
      </c>
      <c r="P108" s="13">
        <f>MacReports!Q108</f>
        <v>0</v>
      </c>
      <c r="Q108" s="13" t="str">
        <f>IF(MacReports!K108="Enabled","Apple ID Lock","")</f>
        <v/>
      </c>
      <c r="R108" s="13" t="str">
        <f>IF(MacReports!M108="Remote Lock","Remote Locked","")</f>
        <v/>
      </c>
      <c r="S108" t="str">
        <f t="shared" si="5"/>
        <v>Battery Defect, 0</v>
      </c>
      <c r="T108" t="str">
        <f>_xlfn.XLOOKUP(B108,Disk_Pivot!G:G,Disk_Pivot!I:I)</f>
        <v>Yes x2</v>
      </c>
      <c r="U108" t="str">
        <f>_xlfn.XLOOKUP(B108,Disk_Pivot!G:G,Disk_Pivot!N:N)</f>
        <v>Pass, Fail</v>
      </c>
      <c r="V108" t="str">
        <f>IF(U108="Fail",MacReports!O108,"")</f>
        <v/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MacReports!D109</f>
        <v>0</v>
      </c>
      <c r="D109" t="str">
        <f>MacReports!C109&amp;""</f>
        <v/>
      </c>
      <c r="E109" t="e">
        <f>_xlfn.XLOOKUP(G109,Models!A:A,Models!F:F)</f>
        <v>#N/A</v>
      </c>
      <c r="F109" t="str">
        <f>_xlfn.XLOOKUP(B109,MacReports!B:B,MacReports!E:E,"")</f>
        <v/>
      </c>
      <c r="G109" s="13">
        <f>MacReports!F109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MacReports!G109</f>
        <v>0</v>
      </c>
      <c r="L109">
        <f>MacReports!H109</f>
        <v>0</v>
      </c>
      <c r="M109" s="15" t="e" cm="1">
        <f t="array" ref="M109">--_xlfn.LET(
    _xlpm.txt, MacReports!I109,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--MacReports!N109&lt;55,"Battery Defect",
  -- MacReports!N109&lt;=69,"Battery D",
  --MacReports!N109&lt;=80,"Battery C",
 --MacReports!N109&gt;80,""
)</f>
        <v>Battery Defect</v>
      </c>
      <c r="O109" s="16" t="str">
        <f>IF(MacReports!J109="Service","Battery Service","")</f>
        <v/>
      </c>
      <c r="P109" s="13">
        <f>MacReports!Q109</f>
        <v>0</v>
      </c>
      <c r="Q109" s="13" t="str">
        <f>IF(MacReports!K109="Enabled","Apple ID Lock","")</f>
        <v/>
      </c>
      <c r="R109" s="13" t="str">
        <f>IF(MacReports!M109="Remote Lock","Remote Locked","")</f>
        <v/>
      </c>
      <c r="S109" t="str">
        <f t="shared" si="5"/>
        <v>Battery Defect, 0</v>
      </c>
      <c r="T109" t="str">
        <f>_xlfn.XLOOKUP(B109,Disk_Pivot!G:G,Disk_Pivot!I:I)</f>
        <v>Yes x2</v>
      </c>
      <c r="U109" t="str">
        <f>_xlfn.XLOOKUP(B109,Disk_Pivot!G:G,Disk_Pivot!N:N)</f>
        <v>Pass, Fail</v>
      </c>
      <c r="V109" t="str">
        <f>IF(U109="Fail",MacReports!O109,"")</f>
        <v/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MacReports!D110</f>
        <v>0</v>
      </c>
      <c r="D110" t="str">
        <f>MacReports!C110&amp;""</f>
        <v/>
      </c>
      <c r="E110" t="e">
        <f>_xlfn.XLOOKUP(G110,Models!A:A,Models!F:F)</f>
        <v>#N/A</v>
      </c>
      <c r="F110" t="str">
        <f>_xlfn.XLOOKUP(B110,MacReports!B:B,MacReports!E:E,"")</f>
        <v/>
      </c>
      <c r="G110" s="13">
        <f>MacReports!F110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MacReports!G110</f>
        <v>0</v>
      </c>
      <c r="L110">
        <f>MacReports!H110</f>
        <v>0</v>
      </c>
      <c r="M110" s="15" t="e" cm="1">
        <f t="array" ref="M110">--_xlfn.LET(
    _xlpm.txt, MacReports!I110,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--MacReports!N110&lt;55,"Battery Defect",
  -- MacReports!N110&lt;=69,"Battery D",
  --MacReports!N110&lt;=80,"Battery C",
 --MacReports!N110&gt;80,""
)</f>
        <v>Battery Defect</v>
      </c>
      <c r="O110" s="16" t="str">
        <f>IF(MacReports!J110="Service","Battery Service","")</f>
        <v/>
      </c>
      <c r="P110" s="13">
        <f>MacReports!Q110</f>
        <v>0</v>
      </c>
      <c r="Q110" s="13" t="str">
        <f>IF(MacReports!K110="Enabled","Apple ID Lock","")</f>
        <v/>
      </c>
      <c r="R110" s="13" t="str">
        <f>IF(MacReports!M110="Remote Lock","Remote Locked","")</f>
        <v/>
      </c>
      <c r="S110" t="str">
        <f t="shared" si="5"/>
        <v>Battery Defect, 0</v>
      </c>
      <c r="T110" t="str">
        <f>_xlfn.XLOOKUP(B110,Disk_Pivot!G:G,Disk_Pivot!I:I)</f>
        <v>Yes x2</v>
      </c>
      <c r="U110" t="str">
        <f>_xlfn.XLOOKUP(B110,Disk_Pivot!G:G,Disk_Pivot!N:N)</f>
        <v>Pass, Fail</v>
      </c>
      <c r="V110" t="str">
        <f>IF(U110="Fail",MacReports!O110,"")</f>
        <v/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MacReports!D111</f>
        <v>0</v>
      </c>
      <c r="D111" t="str">
        <f>MacReports!C111&amp;""</f>
        <v/>
      </c>
      <c r="E111" t="e">
        <f>_xlfn.XLOOKUP(G111,Models!A:A,Models!F:F)</f>
        <v>#N/A</v>
      </c>
      <c r="F111" t="str">
        <f>_xlfn.XLOOKUP(B111,MacReports!B:B,MacReports!E:E,"")</f>
        <v/>
      </c>
      <c r="G111" s="13">
        <f>MacReports!F111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MacReports!G111</f>
        <v>0</v>
      </c>
      <c r="L111">
        <f>MacReports!H111</f>
        <v>0</v>
      </c>
      <c r="M111" s="15" t="e" cm="1">
        <f t="array" ref="M111">--_xlfn.LET(
    _xlpm.txt, MacReports!I111,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--MacReports!N111&lt;55,"Battery Defect",
  -- MacReports!N111&lt;=69,"Battery D",
  --MacReports!N111&lt;=80,"Battery C",
 --MacReports!N111&gt;80,""
)</f>
        <v>Battery Defect</v>
      </c>
      <c r="O111" s="16" t="str">
        <f>IF(MacReports!J111="Service","Battery Service","")</f>
        <v/>
      </c>
      <c r="P111" s="13">
        <f>MacReports!Q111</f>
        <v>0</v>
      </c>
      <c r="Q111" s="13" t="str">
        <f>IF(MacReports!K111="Enabled","Apple ID Lock","")</f>
        <v/>
      </c>
      <c r="R111" s="13" t="str">
        <f>IF(MacReports!M111="Remote Lock","Remote Locked","")</f>
        <v/>
      </c>
      <c r="S111" t="str">
        <f t="shared" si="5"/>
        <v>Battery Defect, 0</v>
      </c>
      <c r="T111" t="str">
        <f>_xlfn.XLOOKUP(B111,Disk_Pivot!G:G,Disk_Pivot!I:I)</f>
        <v>Yes x2</v>
      </c>
      <c r="U111" t="str">
        <f>_xlfn.XLOOKUP(B111,Disk_Pivot!G:G,Disk_Pivot!N:N)</f>
        <v>Pass, Fail</v>
      </c>
      <c r="V111" t="str">
        <f>IF(U111="Fail",MacReports!O111,"")</f>
        <v/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MacReports!D112</f>
        <v>0</v>
      </c>
      <c r="D112" t="str">
        <f>MacReports!C112&amp;""</f>
        <v/>
      </c>
      <c r="E112" t="e">
        <f>_xlfn.XLOOKUP(G112,Models!A:A,Models!F:F)</f>
        <v>#N/A</v>
      </c>
      <c r="F112" t="str">
        <f>_xlfn.XLOOKUP(B112,MacReports!B:B,MacReports!E:E,"")</f>
        <v/>
      </c>
      <c r="G112" s="13">
        <f>MacReports!F112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MacReports!G112</f>
        <v>0</v>
      </c>
      <c r="L112">
        <f>MacReports!H112</f>
        <v>0</v>
      </c>
      <c r="M112" s="15" t="e" cm="1">
        <f t="array" ref="M112">--_xlfn.LET(
    _xlpm.txt, MacReports!I112,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--MacReports!N112&lt;55,"Battery Defect",
  -- MacReports!N112&lt;=69,"Battery D",
  --MacReports!N112&lt;=80,"Battery C",
 --MacReports!N112&gt;80,""
)</f>
        <v>Battery Defect</v>
      </c>
      <c r="O112" s="16" t="str">
        <f>IF(MacReports!J112="Service","Battery Service","")</f>
        <v/>
      </c>
      <c r="P112" s="13">
        <f>MacReports!Q112</f>
        <v>0</v>
      </c>
      <c r="Q112" s="13" t="str">
        <f>IF(MacReports!K112="Enabled","Apple ID Lock","")</f>
        <v/>
      </c>
      <c r="R112" s="13" t="str">
        <f>IF(MacReports!M112="Remote Lock","Remote Locked","")</f>
        <v/>
      </c>
      <c r="S112" t="str">
        <f t="shared" si="5"/>
        <v>Battery Defect, 0</v>
      </c>
      <c r="T112" t="str">
        <f>_xlfn.XLOOKUP(B112,Disk_Pivot!G:G,Disk_Pivot!I:I)</f>
        <v>Yes x2</v>
      </c>
      <c r="U112" t="str">
        <f>_xlfn.XLOOKUP(B112,Disk_Pivot!G:G,Disk_Pivot!N:N)</f>
        <v>Pass, Fail</v>
      </c>
      <c r="V112" t="str">
        <f>IF(U112="Fail",MacReports!O112,"")</f>
        <v/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MacReports!D113</f>
        <v>0</v>
      </c>
      <c r="D113" t="str">
        <f>MacReports!C113&amp;""</f>
        <v/>
      </c>
      <c r="E113" t="e">
        <f>_xlfn.XLOOKUP(G113,Models!A:A,Models!F:F)</f>
        <v>#N/A</v>
      </c>
      <c r="F113" t="str">
        <f>_xlfn.XLOOKUP(B113,MacReports!B:B,MacReports!E:E,"")</f>
        <v/>
      </c>
      <c r="G113" s="13">
        <f>MacReports!F113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MacReports!G113</f>
        <v>0</v>
      </c>
      <c r="L113">
        <f>MacReports!H113</f>
        <v>0</v>
      </c>
      <c r="M113" s="15" t="e" cm="1">
        <f t="array" ref="M113">--_xlfn.LET(
    _xlpm.txt, MacReports!I113,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--MacReports!N113&lt;55,"Battery Defect",
  -- MacReports!N113&lt;=69,"Battery D",
  --MacReports!N113&lt;=80,"Battery C",
 --MacReports!N113&gt;80,""
)</f>
        <v>Battery Defect</v>
      </c>
      <c r="O113" s="16" t="str">
        <f>IF(MacReports!J113="Service","Battery Service","")</f>
        <v/>
      </c>
      <c r="P113" s="13">
        <f>MacReports!Q113</f>
        <v>0</v>
      </c>
      <c r="Q113" s="13" t="str">
        <f>IF(MacReports!K113="Enabled","Apple ID Lock","")</f>
        <v/>
      </c>
      <c r="R113" s="13" t="str">
        <f>IF(MacReports!M113="Remote Lock","Remote Locked","")</f>
        <v/>
      </c>
      <c r="S113" t="str">
        <f t="shared" si="5"/>
        <v>Battery Defect, 0</v>
      </c>
      <c r="T113" t="str">
        <f>_xlfn.XLOOKUP(B113,Disk_Pivot!G:G,Disk_Pivot!I:I)</f>
        <v>Yes x2</v>
      </c>
      <c r="U113" t="str">
        <f>_xlfn.XLOOKUP(B113,Disk_Pivot!G:G,Disk_Pivot!N:N)</f>
        <v>Pass, Fail</v>
      </c>
      <c r="V113" t="str">
        <f>IF(U113="Fail",MacReports!O113,"")</f>
        <v/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MacReports!D114</f>
        <v>0</v>
      </c>
      <c r="D114" t="str">
        <f>MacReports!C114&amp;""</f>
        <v/>
      </c>
      <c r="E114" t="e">
        <f>_xlfn.XLOOKUP(G114,Models!A:A,Models!F:F)</f>
        <v>#N/A</v>
      </c>
      <c r="F114" t="str">
        <f>_xlfn.XLOOKUP(B114,MacReports!B:B,MacReports!E:E,"")</f>
        <v/>
      </c>
      <c r="G114" s="13">
        <f>MacReports!F114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MacReports!G114</f>
        <v>0</v>
      </c>
      <c r="L114">
        <f>MacReports!H114</f>
        <v>0</v>
      </c>
      <c r="M114" s="15" t="e" cm="1">
        <f t="array" ref="M114">--_xlfn.LET(
    _xlpm.txt, MacReports!I114,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--MacReports!N114&lt;55,"Battery Defect",
  -- MacReports!N114&lt;=69,"Battery D",
  --MacReports!N114&lt;=80,"Battery C",
 --MacReports!N114&gt;80,""
)</f>
        <v>Battery Defect</v>
      </c>
      <c r="O114" s="16" t="str">
        <f>IF(MacReports!J114="Service","Battery Service","")</f>
        <v/>
      </c>
      <c r="P114" s="13">
        <f>MacReports!Q114</f>
        <v>0</v>
      </c>
      <c r="Q114" s="13" t="str">
        <f>IF(MacReports!K114="Enabled","Apple ID Lock","")</f>
        <v/>
      </c>
      <c r="R114" s="13" t="str">
        <f>IF(MacReports!M114="Remote Lock","Remote Locked","")</f>
        <v/>
      </c>
      <c r="S114" t="str">
        <f t="shared" si="5"/>
        <v>Battery Defect, 0</v>
      </c>
      <c r="T114" t="str">
        <f>_xlfn.XLOOKUP(B114,Disk_Pivot!G:G,Disk_Pivot!I:I)</f>
        <v>Yes x2</v>
      </c>
      <c r="U114" t="str">
        <f>_xlfn.XLOOKUP(B114,Disk_Pivot!G:G,Disk_Pivot!N:N)</f>
        <v>Pass, Fail</v>
      </c>
      <c r="V114" t="str">
        <f>IF(U114="Fail",MacReports!O114,"")</f>
        <v/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MacReports!D115</f>
        <v>0</v>
      </c>
      <c r="D115" t="str">
        <f>MacReports!C115&amp;""</f>
        <v/>
      </c>
      <c r="E115" t="e">
        <f>_xlfn.XLOOKUP(G115,Models!A:A,Models!F:F)</f>
        <v>#N/A</v>
      </c>
      <c r="F115" t="str">
        <f>_xlfn.XLOOKUP(B115,MacReports!B:B,MacReports!E:E,"")</f>
        <v/>
      </c>
      <c r="G115" s="13">
        <f>MacReports!F115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MacReports!G115</f>
        <v>0</v>
      </c>
      <c r="L115">
        <f>MacReports!H115</f>
        <v>0</v>
      </c>
      <c r="M115" s="15" t="e" cm="1">
        <f t="array" ref="M115">--_xlfn.LET(
    _xlpm.txt, MacReports!I115,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--MacReports!N115&lt;55,"Battery Defect",
  -- MacReports!N115&lt;=69,"Battery D",
  --MacReports!N115&lt;=80,"Battery C",
 --MacReports!N115&gt;80,""
)</f>
        <v>Battery Defect</v>
      </c>
      <c r="O115" s="16" t="str">
        <f>IF(MacReports!J115="Service","Battery Service","")</f>
        <v/>
      </c>
      <c r="P115" s="13">
        <f>MacReports!Q115</f>
        <v>0</v>
      </c>
      <c r="Q115" s="13" t="str">
        <f>IF(MacReports!K115="Enabled","Apple ID Lock","")</f>
        <v/>
      </c>
      <c r="R115" s="13" t="str">
        <f>IF(MacReports!M115="Remote Lock","Remote Locked","")</f>
        <v/>
      </c>
      <c r="S115" t="str">
        <f t="shared" si="5"/>
        <v>Battery Defect, 0</v>
      </c>
      <c r="T115" t="str">
        <f>_xlfn.XLOOKUP(B115,Disk_Pivot!G:G,Disk_Pivot!I:I)</f>
        <v>Yes x2</v>
      </c>
      <c r="U115" t="str">
        <f>_xlfn.XLOOKUP(B115,Disk_Pivot!G:G,Disk_Pivot!N:N)</f>
        <v>Pass, Fail</v>
      </c>
      <c r="V115" t="str">
        <f>IF(U115="Fail",MacReports!O115,"")</f>
        <v/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MacReports!D116</f>
        <v>0</v>
      </c>
      <c r="D116" t="str">
        <f>MacReports!C116&amp;""</f>
        <v/>
      </c>
      <c r="E116" t="e">
        <f>_xlfn.XLOOKUP(G116,Models!A:A,Models!F:F)</f>
        <v>#N/A</v>
      </c>
      <c r="F116" t="str">
        <f>_xlfn.XLOOKUP(B116,MacReports!B:B,MacReports!E:E,"")</f>
        <v/>
      </c>
      <c r="G116" s="13">
        <f>MacReports!F116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MacReports!G116</f>
        <v>0</v>
      </c>
      <c r="L116">
        <f>MacReports!H116</f>
        <v>0</v>
      </c>
      <c r="M116" s="15" t="e" cm="1">
        <f t="array" ref="M116">--_xlfn.LET(
    _xlpm.txt, MacReports!I116,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--MacReports!N116&lt;55,"Battery Defect",
  -- MacReports!N116&lt;=69,"Battery D",
  --MacReports!N116&lt;=80,"Battery C",
 --MacReports!N116&gt;80,""
)</f>
        <v>Battery Defect</v>
      </c>
      <c r="O116" s="16" t="str">
        <f>IF(MacReports!J116="Service","Battery Service","")</f>
        <v/>
      </c>
      <c r="P116" s="13">
        <f>MacReports!Q116</f>
        <v>0</v>
      </c>
      <c r="Q116" s="13" t="str">
        <f>IF(MacReports!K116="Enabled","Apple ID Lock","")</f>
        <v/>
      </c>
      <c r="R116" s="13" t="str">
        <f>IF(MacReports!M116="Remote Lock","Remote Locked","")</f>
        <v/>
      </c>
      <c r="S116" t="str">
        <f t="shared" si="5"/>
        <v>Battery Defect, 0</v>
      </c>
      <c r="T116" t="str">
        <f>_xlfn.XLOOKUP(B116,Disk_Pivot!G:G,Disk_Pivot!I:I)</f>
        <v>Yes x2</v>
      </c>
      <c r="U116" t="str">
        <f>_xlfn.XLOOKUP(B116,Disk_Pivot!G:G,Disk_Pivot!N:N)</f>
        <v>Pass, Fail</v>
      </c>
      <c r="V116" t="str">
        <f>IF(U116="Fail",MacReports!O116,"")</f>
        <v/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MacReports!D117</f>
        <v>0</v>
      </c>
      <c r="D117" t="str">
        <f>MacReports!C117&amp;""</f>
        <v/>
      </c>
      <c r="E117" t="e">
        <f>_xlfn.XLOOKUP(G117,Models!A:A,Models!F:F)</f>
        <v>#N/A</v>
      </c>
      <c r="F117" t="str">
        <f>_xlfn.XLOOKUP(B117,MacReports!B:B,MacReports!E:E,"")</f>
        <v/>
      </c>
      <c r="G117" s="13">
        <f>MacReports!F117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MacReports!G117</f>
        <v>0</v>
      </c>
      <c r="L117">
        <f>MacReports!H117</f>
        <v>0</v>
      </c>
      <c r="M117" s="15" t="e" cm="1">
        <f t="array" ref="M117">--_xlfn.LET(
    _xlpm.txt, MacReports!I117,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--MacReports!N117&lt;55,"Battery Defect",
  -- MacReports!N117&lt;=69,"Battery D",
  --MacReports!N117&lt;=80,"Battery C",
 --MacReports!N117&gt;80,""
)</f>
        <v>Battery Defect</v>
      </c>
      <c r="O117" s="16" t="str">
        <f>IF(MacReports!J117="Service","Battery Service","")</f>
        <v/>
      </c>
      <c r="P117" s="13">
        <f>MacReports!Q117</f>
        <v>0</v>
      </c>
      <c r="Q117" s="13" t="str">
        <f>IF(MacReports!K117="Enabled","Apple ID Lock","")</f>
        <v/>
      </c>
      <c r="R117" s="13" t="str">
        <f>IF(MacReports!M117="Remote Lock","Remote Locked","")</f>
        <v/>
      </c>
      <c r="S117" t="str">
        <f t="shared" si="5"/>
        <v>Battery Defect, 0</v>
      </c>
      <c r="T117" t="str">
        <f>_xlfn.XLOOKUP(B117,Disk_Pivot!G:G,Disk_Pivot!I:I)</f>
        <v>Yes x2</v>
      </c>
      <c r="U117" t="str">
        <f>_xlfn.XLOOKUP(B117,Disk_Pivot!G:G,Disk_Pivot!N:N)</f>
        <v>Pass, Fail</v>
      </c>
      <c r="V117" t="str">
        <f>IF(U117="Fail",MacReports!O117,"")</f>
        <v/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MacReports!D118</f>
        <v>0</v>
      </c>
      <c r="D118" t="str">
        <f>MacReports!C118&amp;""</f>
        <v/>
      </c>
      <c r="E118" t="e">
        <f>_xlfn.XLOOKUP(G118,Models!A:A,Models!F:F)</f>
        <v>#N/A</v>
      </c>
      <c r="F118" t="str">
        <f>_xlfn.XLOOKUP(B118,MacReports!B:B,MacReports!E:E,"")</f>
        <v/>
      </c>
      <c r="G118" s="13">
        <f>MacReports!F118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MacReports!G118</f>
        <v>0</v>
      </c>
      <c r="L118">
        <f>MacReports!H118</f>
        <v>0</v>
      </c>
      <c r="M118" s="15" t="e" cm="1">
        <f t="array" ref="M118">--_xlfn.LET(
    _xlpm.txt, MacReports!I118,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--MacReports!N118&lt;55,"Battery Defect",
  -- MacReports!N118&lt;=69,"Battery D",
  --MacReports!N118&lt;=80,"Battery C",
 --MacReports!N118&gt;80,""
)</f>
        <v>Battery Defect</v>
      </c>
      <c r="O118" s="16" t="str">
        <f>IF(MacReports!J118="Service","Battery Service","")</f>
        <v/>
      </c>
      <c r="P118" s="13">
        <f>MacReports!Q118</f>
        <v>0</v>
      </c>
      <c r="Q118" s="13" t="str">
        <f>IF(MacReports!K118="Enabled","Apple ID Lock","")</f>
        <v/>
      </c>
      <c r="R118" s="13" t="str">
        <f>IF(MacReports!M118="Remote Lock","Remote Locked","")</f>
        <v/>
      </c>
      <c r="S118" t="str">
        <f t="shared" si="5"/>
        <v>Battery Defect, 0</v>
      </c>
      <c r="T118" t="str">
        <f>_xlfn.XLOOKUP(B118,Disk_Pivot!G:G,Disk_Pivot!I:I)</f>
        <v>Yes x2</v>
      </c>
      <c r="U118" t="str">
        <f>_xlfn.XLOOKUP(B118,Disk_Pivot!G:G,Disk_Pivot!N:N)</f>
        <v>Pass, Fail</v>
      </c>
      <c r="V118" t="str">
        <f>IF(U118="Fail",MacReports!O118,"")</f>
        <v/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MacReports!D119</f>
        <v>0</v>
      </c>
      <c r="D119" t="str">
        <f>MacReports!C119&amp;""</f>
        <v/>
      </c>
      <c r="E119" t="e">
        <f>_xlfn.XLOOKUP(G119,Models!A:A,Models!F:F)</f>
        <v>#N/A</v>
      </c>
      <c r="F119" t="str">
        <f>_xlfn.XLOOKUP(B119,MacReports!B:B,MacReports!E:E,"")</f>
        <v/>
      </c>
      <c r="G119" s="13">
        <f>MacReports!F119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MacReports!G119</f>
        <v>0</v>
      </c>
      <c r="L119">
        <f>MacReports!H119</f>
        <v>0</v>
      </c>
      <c r="M119" s="15" t="e" cm="1">
        <f t="array" ref="M119">--_xlfn.LET(
    _xlpm.txt, MacReports!I119,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--MacReports!N119&lt;55,"Battery Defect",
  -- MacReports!N119&lt;=69,"Battery D",
  --MacReports!N119&lt;=80,"Battery C",
 --MacReports!N119&gt;80,""
)</f>
        <v>Battery Defect</v>
      </c>
      <c r="O119" s="16" t="str">
        <f>IF(MacReports!J119="Service","Battery Service","")</f>
        <v/>
      </c>
      <c r="P119" s="13">
        <f>MacReports!Q119</f>
        <v>0</v>
      </c>
      <c r="Q119" s="13" t="str">
        <f>IF(MacReports!K119="Enabled","Apple ID Lock","")</f>
        <v/>
      </c>
      <c r="R119" s="13" t="str">
        <f>IF(MacReports!M119="Remote Lock","Remote Locked","")</f>
        <v/>
      </c>
      <c r="S119" t="str">
        <f t="shared" si="5"/>
        <v>Battery Defect, 0</v>
      </c>
      <c r="T119" t="str">
        <f>_xlfn.XLOOKUP(B119,Disk_Pivot!G:G,Disk_Pivot!I:I)</f>
        <v>Yes x2</v>
      </c>
      <c r="U119" t="str">
        <f>_xlfn.XLOOKUP(B119,Disk_Pivot!G:G,Disk_Pivot!N:N)</f>
        <v>Pass, Fail</v>
      </c>
      <c r="V119" t="str">
        <f>IF(U119="Fail",MacReports!O119,"")</f>
        <v/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MacReports!D120</f>
        <v>0</v>
      </c>
      <c r="D120" t="str">
        <f>MacReports!C120&amp;""</f>
        <v/>
      </c>
      <c r="E120" t="e">
        <f>_xlfn.XLOOKUP(G120,Models!A:A,Models!F:F)</f>
        <v>#N/A</v>
      </c>
      <c r="F120" t="str">
        <f>_xlfn.XLOOKUP(B120,MacReports!B:B,MacReports!E:E,"")</f>
        <v/>
      </c>
      <c r="G120" s="13">
        <f>MacReports!F120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MacReports!G120</f>
        <v>0</v>
      </c>
      <c r="L120">
        <f>MacReports!H120</f>
        <v>0</v>
      </c>
      <c r="M120" s="15" t="e" cm="1">
        <f t="array" ref="M120">--_xlfn.LET(
    _xlpm.txt, MacReports!I120,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--MacReports!N120&lt;55,"Battery Defect",
  -- MacReports!N120&lt;=69,"Battery D",
  --MacReports!N120&lt;=80,"Battery C",
 --MacReports!N120&gt;80,""
)</f>
        <v>Battery Defect</v>
      </c>
      <c r="O120" s="16" t="str">
        <f>IF(MacReports!J120="Service","Battery Service","")</f>
        <v/>
      </c>
      <c r="P120" s="13">
        <f>MacReports!Q120</f>
        <v>0</v>
      </c>
      <c r="Q120" s="13" t="str">
        <f>IF(MacReports!K120="Enabled","Apple ID Lock","")</f>
        <v/>
      </c>
      <c r="R120" s="13" t="str">
        <f>IF(MacReports!M120="Remote Lock","Remote Locked","")</f>
        <v/>
      </c>
      <c r="S120" t="str">
        <f t="shared" si="5"/>
        <v>Battery Defect, 0</v>
      </c>
      <c r="T120" t="str">
        <f>_xlfn.XLOOKUP(B120,Disk_Pivot!G:G,Disk_Pivot!I:I)</f>
        <v>Yes x2</v>
      </c>
      <c r="U120" t="str">
        <f>_xlfn.XLOOKUP(B120,Disk_Pivot!G:G,Disk_Pivot!N:N)</f>
        <v>Pass, Fail</v>
      </c>
      <c r="V120" t="str">
        <f>IF(U120="Fail",MacReports!O120,"")</f>
        <v/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MacReports!D121</f>
        <v>0</v>
      </c>
      <c r="D121" t="str">
        <f>MacReports!C121&amp;""</f>
        <v/>
      </c>
      <c r="E121" t="e">
        <f>_xlfn.XLOOKUP(G121,Models!A:A,Models!F:F)</f>
        <v>#N/A</v>
      </c>
      <c r="F121" t="str">
        <f>_xlfn.XLOOKUP(B121,MacReports!B:B,MacReports!E:E,"")</f>
        <v/>
      </c>
      <c r="G121" s="13">
        <f>MacReports!F121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MacReports!G121</f>
        <v>0</v>
      </c>
      <c r="L121">
        <f>MacReports!H121</f>
        <v>0</v>
      </c>
      <c r="M121" s="15" t="e" cm="1">
        <f t="array" ref="M121">--_xlfn.LET(
    _xlpm.txt, MacReports!I121,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--MacReports!N121&lt;55,"Battery Defect",
  -- MacReports!N121&lt;=69,"Battery D",
  --MacReports!N121&lt;=80,"Battery C",
 --MacReports!N121&gt;80,""
)</f>
        <v>Battery Defect</v>
      </c>
      <c r="O121" s="16" t="str">
        <f>IF(MacReports!J121="Service","Battery Service","")</f>
        <v/>
      </c>
      <c r="P121" s="13">
        <f>MacReports!Q121</f>
        <v>0</v>
      </c>
      <c r="Q121" s="13" t="str">
        <f>IF(MacReports!K121="Enabled","Apple ID Lock","")</f>
        <v/>
      </c>
      <c r="R121" s="13" t="str">
        <f>IF(MacReports!M121="Remote Lock","Remote Locked","")</f>
        <v/>
      </c>
      <c r="S121" t="str">
        <f t="shared" si="5"/>
        <v>Battery Defect, 0</v>
      </c>
      <c r="T121" t="str">
        <f>_xlfn.XLOOKUP(B121,Disk_Pivot!G:G,Disk_Pivot!I:I)</f>
        <v>Yes x2</v>
      </c>
      <c r="U121" t="str">
        <f>_xlfn.XLOOKUP(B121,Disk_Pivot!G:G,Disk_Pivot!N:N)</f>
        <v>Pass, Fail</v>
      </c>
      <c r="V121" t="str">
        <f>IF(U121="Fail",MacReports!O121,"")</f>
        <v/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MacReports!D122</f>
        <v>0</v>
      </c>
      <c r="D122" t="str">
        <f>MacReports!C122&amp;""</f>
        <v/>
      </c>
      <c r="E122" t="e">
        <f>_xlfn.XLOOKUP(G122,Models!A:A,Models!F:F)</f>
        <v>#N/A</v>
      </c>
      <c r="F122" t="str">
        <f>_xlfn.XLOOKUP(B122,MacReports!B:B,MacReports!E:E,"")</f>
        <v/>
      </c>
      <c r="G122" s="13">
        <f>MacReports!F122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MacReports!G122</f>
        <v>0</v>
      </c>
      <c r="L122">
        <f>MacReports!H122</f>
        <v>0</v>
      </c>
      <c r="M122" s="15" t="e" cm="1">
        <f t="array" ref="M122">--_xlfn.LET(
    _xlpm.txt, MacReports!I122,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--MacReports!N122&lt;55,"Battery Defect",
  -- MacReports!N122&lt;=69,"Battery D",
  --MacReports!N122&lt;=80,"Battery C",
 --MacReports!N122&gt;80,""
)</f>
        <v>Battery Defect</v>
      </c>
      <c r="O122" s="16" t="str">
        <f>IF(MacReports!J122="Service","Battery Service","")</f>
        <v/>
      </c>
      <c r="P122" s="13">
        <f>MacReports!Q122</f>
        <v>0</v>
      </c>
      <c r="Q122" s="13" t="str">
        <f>IF(MacReports!K122="Enabled","Apple ID Lock","")</f>
        <v/>
      </c>
      <c r="R122" s="13" t="str">
        <f>IF(MacReports!M122="Remote Lock","Remote Locked","")</f>
        <v/>
      </c>
      <c r="S122" t="str">
        <f t="shared" si="5"/>
        <v>Battery Defect, 0</v>
      </c>
      <c r="T122" t="str">
        <f>_xlfn.XLOOKUP(B122,Disk_Pivot!G:G,Disk_Pivot!I:I)</f>
        <v>Yes x2</v>
      </c>
      <c r="U122" t="str">
        <f>_xlfn.XLOOKUP(B122,Disk_Pivot!G:G,Disk_Pivot!N:N)</f>
        <v>Pass, Fail</v>
      </c>
      <c r="V122" t="str">
        <f>IF(U122="Fail",MacReports!O122,"")</f>
        <v/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MacReports!D123</f>
        <v>0</v>
      </c>
      <c r="D123" t="str">
        <f>MacReports!C123&amp;""</f>
        <v/>
      </c>
      <c r="E123" t="e">
        <f>_xlfn.XLOOKUP(G123,Models!A:A,Models!F:F)</f>
        <v>#N/A</v>
      </c>
      <c r="F123" t="str">
        <f>_xlfn.XLOOKUP(B123,MacReports!B:B,MacReports!E:E,"")</f>
        <v/>
      </c>
      <c r="G123" s="13">
        <f>MacReports!F123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MacReports!G123</f>
        <v>0</v>
      </c>
      <c r="L123">
        <f>MacReports!H123</f>
        <v>0</v>
      </c>
      <c r="M123" s="15" t="e" cm="1">
        <f t="array" ref="M123">--_xlfn.LET(
    _xlpm.txt, MacReports!I123,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--MacReports!N123&lt;55,"Battery Defect",
  -- MacReports!N123&lt;=69,"Battery D",
  --MacReports!N123&lt;=80,"Battery C",
 --MacReports!N123&gt;80,""
)</f>
        <v>Battery Defect</v>
      </c>
      <c r="O123" s="16" t="str">
        <f>IF(MacReports!J123="Service","Battery Service","")</f>
        <v/>
      </c>
      <c r="P123" s="13">
        <f>MacReports!Q123</f>
        <v>0</v>
      </c>
      <c r="Q123" s="13" t="str">
        <f>IF(MacReports!K123="Enabled","Apple ID Lock","")</f>
        <v/>
      </c>
      <c r="R123" s="13" t="str">
        <f>IF(MacReports!M123="Remote Lock","Remote Locked","")</f>
        <v/>
      </c>
      <c r="S123" t="str">
        <f t="shared" si="5"/>
        <v>Battery Defect, 0</v>
      </c>
      <c r="T123" t="str">
        <f>_xlfn.XLOOKUP(B123,Disk_Pivot!G:G,Disk_Pivot!I:I)</f>
        <v>Yes x2</v>
      </c>
      <c r="U123" t="str">
        <f>_xlfn.XLOOKUP(B123,Disk_Pivot!G:G,Disk_Pivot!N:N)</f>
        <v>Pass, Fail</v>
      </c>
      <c r="V123" t="str">
        <f>IF(U123="Fail",MacReports!O123,"")</f>
        <v/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MacReports!D124</f>
        <v>0</v>
      </c>
      <c r="D124" t="str">
        <f>MacReports!C124&amp;""</f>
        <v/>
      </c>
      <c r="E124" t="e">
        <f>_xlfn.XLOOKUP(G124,Models!A:A,Models!F:F)</f>
        <v>#N/A</v>
      </c>
      <c r="F124" t="str">
        <f>_xlfn.XLOOKUP(B124,MacReports!B:B,MacReports!E:E,"")</f>
        <v/>
      </c>
      <c r="G124" s="13">
        <f>MacReports!F124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MacReports!G124</f>
        <v>0</v>
      </c>
      <c r="L124">
        <f>MacReports!H124</f>
        <v>0</v>
      </c>
      <c r="M124" s="15" t="e" cm="1">
        <f t="array" ref="M124">--_xlfn.LET(
    _xlpm.txt, MacReports!I124,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--MacReports!N124&lt;55,"Battery Defect",
  -- MacReports!N124&lt;=69,"Battery D",
  --MacReports!N124&lt;=80,"Battery C",
 --MacReports!N124&gt;80,""
)</f>
        <v>Battery Defect</v>
      </c>
      <c r="O124" s="16" t="str">
        <f>IF(MacReports!J124="Service","Battery Service","")</f>
        <v/>
      </c>
      <c r="P124" s="13">
        <f>MacReports!Q124</f>
        <v>0</v>
      </c>
      <c r="Q124" s="13" t="str">
        <f>IF(MacReports!K124="Enabled","Apple ID Lock","")</f>
        <v/>
      </c>
      <c r="R124" s="13" t="str">
        <f>IF(MacReports!M124="Remote Lock","Remote Locked","")</f>
        <v/>
      </c>
      <c r="S124" t="str">
        <f t="shared" si="5"/>
        <v>Battery Defect, 0</v>
      </c>
      <c r="T124" t="str">
        <f>_xlfn.XLOOKUP(B124,Disk_Pivot!G:G,Disk_Pivot!I:I)</f>
        <v>Yes x2</v>
      </c>
      <c r="U124" t="str">
        <f>_xlfn.XLOOKUP(B124,Disk_Pivot!G:G,Disk_Pivot!N:N)</f>
        <v>Pass, Fail</v>
      </c>
      <c r="V124" t="str">
        <f>IF(U124="Fail",MacReports!O124,"")</f>
        <v/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MacReports!D125</f>
        <v>0</v>
      </c>
      <c r="D125" t="str">
        <f>MacReports!C125&amp;""</f>
        <v/>
      </c>
      <c r="E125" t="e">
        <f>_xlfn.XLOOKUP(G125,Models!A:A,Models!F:F)</f>
        <v>#N/A</v>
      </c>
      <c r="F125" t="str">
        <f>_xlfn.XLOOKUP(B125,MacReports!B:B,MacReports!E:E,"")</f>
        <v/>
      </c>
      <c r="G125" s="13">
        <f>MacReports!F125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MacReports!G125</f>
        <v>0</v>
      </c>
      <c r="L125">
        <f>MacReports!H125</f>
        <v>0</v>
      </c>
      <c r="M125" s="15" t="e" cm="1">
        <f t="array" ref="M125">--_xlfn.LET(
    _xlpm.txt, MacReports!I125,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--MacReports!N125&lt;55,"Battery Defect",
  -- MacReports!N125&lt;=69,"Battery D",
  --MacReports!N125&lt;=80,"Battery C",
 --MacReports!N125&gt;80,""
)</f>
        <v>Battery Defect</v>
      </c>
      <c r="O125" s="16" t="str">
        <f>IF(MacReports!J125="Service","Battery Service","")</f>
        <v/>
      </c>
      <c r="P125" s="13">
        <f>MacReports!Q125</f>
        <v>0</v>
      </c>
      <c r="Q125" s="13" t="str">
        <f>IF(MacReports!K125="Enabled","Apple ID Lock","")</f>
        <v/>
      </c>
      <c r="R125" s="13" t="str">
        <f>IF(MacReports!M125="Remote Lock","Remote Locked","")</f>
        <v/>
      </c>
      <c r="S125" t="str">
        <f t="shared" si="5"/>
        <v>Battery Defect, 0</v>
      </c>
      <c r="T125" t="str">
        <f>_xlfn.XLOOKUP(B125,Disk_Pivot!G:G,Disk_Pivot!I:I)</f>
        <v>Yes x2</v>
      </c>
      <c r="U125" t="str">
        <f>_xlfn.XLOOKUP(B125,Disk_Pivot!G:G,Disk_Pivot!N:N)</f>
        <v>Pass, Fail</v>
      </c>
      <c r="V125" t="str">
        <f>IF(U125="Fail",MacReports!O125,"")</f>
        <v/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MacReports!D126</f>
        <v>0</v>
      </c>
      <c r="D126" t="str">
        <f>MacReports!C126&amp;""</f>
        <v/>
      </c>
      <c r="E126" t="e">
        <f>_xlfn.XLOOKUP(G126,Models!A:A,Models!F:F)</f>
        <v>#N/A</v>
      </c>
      <c r="F126" t="str">
        <f>_xlfn.XLOOKUP(B126,MacReports!B:B,MacReports!E:E,"")</f>
        <v/>
      </c>
      <c r="G126" s="13">
        <f>MacReports!F126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MacReports!G126</f>
        <v>0</v>
      </c>
      <c r="L126">
        <f>MacReports!H126</f>
        <v>0</v>
      </c>
      <c r="M126" s="15" t="e" cm="1">
        <f t="array" ref="M126">--_xlfn.LET(
    _xlpm.txt, MacReports!I126,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--MacReports!N126&lt;55,"Battery Defect",
  -- MacReports!N126&lt;=69,"Battery D",
  --MacReports!N126&lt;=80,"Battery C",
 --MacReports!N126&gt;80,""
)</f>
        <v>Battery Defect</v>
      </c>
      <c r="O126" s="16" t="str">
        <f>IF(MacReports!J126="Service","Battery Service","")</f>
        <v/>
      </c>
      <c r="P126" s="13">
        <f>MacReports!Q126</f>
        <v>0</v>
      </c>
      <c r="Q126" s="13" t="str">
        <f>IF(MacReports!K126="Enabled","Apple ID Lock","")</f>
        <v/>
      </c>
      <c r="R126" s="13" t="str">
        <f>IF(MacReports!M126="Remote Lock","Remote Locked","")</f>
        <v/>
      </c>
      <c r="S126" t="str">
        <f t="shared" si="5"/>
        <v>Battery Defect, 0</v>
      </c>
      <c r="T126" t="str">
        <f>_xlfn.XLOOKUP(B126,Disk_Pivot!G:G,Disk_Pivot!I:I)</f>
        <v>Yes x2</v>
      </c>
      <c r="U126" t="str">
        <f>_xlfn.XLOOKUP(B126,Disk_Pivot!G:G,Disk_Pivot!N:N)</f>
        <v>Pass, Fail</v>
      </c>
      <c r="V126" t="str">
        <f>IF(U126="Fail",MacReports!O126,"")</f>
        <v/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MacReports!D127</f>
        <v>0</v>
      </c>
      <c r="D127" t="str">
        <f>MacReports!C127&amp;""</f>
        <v/>
      </c>
      <c r="E127" t="e">
        <f>_xlfn.XLOOKUP(G127,Models!A:A,Models!F:F)</f>
        <v>#N/A</v>
      </c>
      <c r="F127" t="str">
        <f>_xlfn.XLOOKUP(B127,MacReports!B:B,MacReports!E:E,"")</f>
        <v/>
      </c>
      <c r="G127" s="13">
        <f>MacReports!F127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MacReports!G127</f>
        <v>0</v>
      </c>
      <c r="L127">
        <f>MacReports!H127</f>
        <v>0</v>
      </c>
      <c r="M127" s="15" t="e" cm="1">
        <f t="array" ref="M127">--_xlfn.LET(
    _xlpm.txt, MacReports!I127,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--MacReports!N127&lt;55,"Battery Defect",
  -- MacReports!N127&lt;=69,"Battery D",
  --MacReports!N127&lt;=80,"Battery C",
 --MacReports!N127&gt;80,""
)</f>
        <v>Battery Defect</v>
      </c>
      <c r="O127" s="16" t="str">
        <f>IF(MacReports!J127="Service","Battery Service","")</f>
        <v/>
      </c>
      <c r="P127" s="13">
        <f>MacReports!Q127</f>
        <v>0</v>
      </c>
      <c r="Q127" s="13" t="str">
        <f>IF(MacReports!K127="Enabled","Apple ID Lock","")</f>
        <v/>
      </c>
      <c r="R127" s="13" t="str">
        <f>IF(MacReports!M127="Remote Lock","Remote Locked","")</f>
        <v/>
      </c>
      <c r="S127" t="str">
        <f t="shared" si="5"/>
        <v>Battery Defect, 0</v>
      </c>
      <c r="T127" t="str">
        <f>_xlfn.XLOOKUP(B127,Disk_Pivot!G:G,Disk_Pivot!I:I)</f>
        <v>Yes x2</v>
      </c>
      <c r="U127" t="str">
        <f>_xlfn.XLOOKUP(B127,Disk_Pivot!G:G,Disk_Pivot!N:N)</f>
        <v>Pass, Fail</v>
      </c>
      <c r="V127" t="str">
        <f>IF(U127="Fail",MacReports!O127,"")</f>
        <v/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MacReports!D128</f>
        <v>0</v>
      </c>
      <c r="D128" t="str">
        <f>MacReports!C128&amp;""</f>
        <v/>
      </c>
      <c r="E128" t="e">
        <f>_xlfn.XLOOKUP(G128,Models!A:A,Models!F:F)</f>
        <v>#N/A</v>
      </c>
      <c r="F128" t="str">
        <f>_xlfn.XLOOKUP(B128,MacReports!B:B,MacReports!E:E,"")</f>
        <v/>
      </c>
      <c r="G128" s="13">
        <f>MacReports!F128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MacReports!G128</f>
        <v>0</v>
      </c>
      <c r="L128">
        <f>MacReports!H128</f>
        <v>0</v>
      </c>
      <c r="M128" s="15" t="e" cm="1">
        <f t="array" ref="M128">--_xlfn.LET(
    _xlpm.txt, MacReports!I128,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--MacReports!N128&lt;55,"Battery Defect",
  -- MacReports!N128&lt;=69,"Battery D",
  --MacReports!N128&lt;=80,"Battery C",
 --MacReports!N128&gt;80,""
)</f>
        <v>Battery Defect</v>
      </c>
      <c r="O128" s="16" t="str">
        <f>IF(MacReports!J128="Service","Battery Service","")</f>
        <v/>
      </c>
      <c r="P128" s="13">
        <f>MacReports!Q128</f>
        <v>0</v>
      </c>
      <c r="Q128" s="13" t="str">
        <f>IF(MacReports!K128="Enabled","Apple ID Lock","")</f>
        <v/>
      </c>
      <c r="R128" s="13" t="str">
        <f>IF(MacReports!M128="Remote Lock","Remote Locked","")</f>
        <v/>
      </c>
      <c r="S128" t="str">
        <f t="shared" si="5"/>
        <v>Battery Defect, 0</v>
      </c>
      <c r="T128" t="str">
        <f>_xlfn.XLOOKUP(B128,Disk_Pivot!G:G,Disk_Pivot!I:I)</f>
        <v>Yes x2</v>
      </c>
      <c r="U128" t="str">
        <f>_xlfn.XLOOKUP(B128,Disk_Pivot!G:G,Disk_Pivot!N:N)</f>
        <v>Pass, Fail</v>
      </c>
      <c r="V128" t="str">
        <f>IF(U128="Fail",MacReports!O128,"")</f>
        <v/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MacReports!D129</f>
        <v>0</v>
      </c>
      <c r="D129" t="str">
        <f>MacReports!C129&amp;""</f>
        <v/>
      </c>
      <c r="E129" t="e">
        <f>_xlfn.XLOOKUP(G129,Models!A:A,Models!F:F)</f>
        <v>#N/A</v>
      </c>
      <c r="F129" t="str">
        <f>_xlfn.XLOOKUP(B129,MacReports!B:B,MacReports!E:E,"")</f>
        <v/>
      </c>
      <c r="G129" s="13">
        <f>MacReports!F129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MacReports!G129</f>
        <v>0</v>
      </c>
      <c r="L129">
        <f>MacReports!H129</f>
        <v>0</v>
      </c>
      <c r="M129" s="15" t="e" cm="1">
        <f t="array" ref="M129">--_xlfn.LET(
    _xlpm.txt, MacReports!I129,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--MacReports!N129&lt;55,"Battery Defect",
  -- MacReports!N129&lt;=69,"Battery D",
  --MacReports!N129&lt;=80,"Battery C",
 --MacReports!N129&gt;80,""
)</f>
        <v>Battery Defect</v>
      </c>
      <c r="O129" s="16" t="str">
        <f>IF(MacReports!J129="Service","Battery Service","")</f>
        <v/>
      </c>
      <c r="P129" s="13">
        <f>MacReports!Q129</f>
        <v>0</v>
      </c>
      <c r="Q129" s="13" t="str">
        <f>IF(MacReports!K129="Enabled","Apple ID Lock","")</f>
        <v/>
      </c>
      <c r="R129" s="13" t="str">
        <f>IF(MacReports!M129="Remote Lock","Remote Locked","")</f>
        <v/>
      </c>
      <c r="S129" t="str">
        <f t="shared" si="5"/>
        <v>Battery Defect, 0</v>
      </c>
      <c r="T129" t="str">
        <f>_xlfn.XLOOKUP(B129,Disk_Pivot!G:G,Disk_Pivot!I:I)</f>
        <v>Yes x2</v>
      </c>
      <c r="U129" t="str">
        <f>_xlfn.XLOOKUP(B129,Disk_Pivot!G:G,Disk_Pivot!N:N)</f>
        <v>Pass, Fail</v>
      </c>
      <c r="V129" t="str">
        <f>IF(U129="Fail",MacReports!O129,"")</f>
        <v/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MacReports!D130</f>
        <v>0</v>
      </c>
      <c r="D130" t="str">
        <f>MacReports!C130&amp;""</f>
        <v/>
      </c>
      <c r="E130" t="e">
        <f>_xlfn.XLOOKUP(G130,Models!A:A,Models!F:F)</f>
        <v>#N/A</v>
      </c>
      <c r="F130" t="str">
        <f>_xlfn.XLOOKUP(B130,MacReports!B:B,MacReports!E:E,"")</f>
        <v/>
      </c>
      <c r="G130" s="13">
        <f>MacReports!F130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MacReports!G130</f>
        <v>0</v>
      </c>
      <c r="L130">
        <f>MacReports!H130</f>
        <v>0</v>
      </c>
      <c r="M130" s="15" t="e" cm="1">
        <f t="array" ref="M130">--_xlfn.LET(
    _xlpm.txt, MacReports!I130,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--MacReports!N130&lt;55,"Battery Defect",
  -- MacReports!N130&lt;=69,"Battery D",
  --MacReports!N130&lt;=80,"Battery C",
 --MacReports!N130&gt;80,""
)</f>
        <v>Battery Defect</v>
      </c>
      <c r="O130" s="16" t="str">
        <f>IF(MacReports!J130="Service","Battery Service","")</f>
        <v/>
      </c>
      <c r="P130" s="13">
        <f>MacReports!Q130</f>
        <v>0</v>
      </c>
      <c r="Q130" s="13" t="str">
        <f>IF(MacReports!K130="Enabled","Apple ID Lock","")</f>
        <v/>
      </c>
      <c r="R130" s="13" t="str">
        <f>IF(MacReports!M130="Remote Lock","Remote Locked","")</f>
        <v/>
      </c>
      <c r="S130" t="str">
        <f t="shared" si="5"/>
        <v>Battery Defect, 0</v>
      </c>
      <c r="T130" t="str">
        <f>_xlfn.XLOOKUP(B130,Disk_Pivot!G:G,Disk_Pivot!I:I)</f>
        <v>Yes x2</v>
      </c>
      <c r="U130" t="str">
        <f>_xlfn.XLOOKUP(B130,Disk_Pivot!G:G,Disk_Pivot!N:N)</f>
        <v>Pass, Fail</v>
      </c>
      <c r="V130" t="str">
        <f>IF(U130="Fail",MacReports!O130,"")</f>
        <v/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MacReports!D131</f>
        <v>0</v>
      </c>
      <c r="D131" t="str">
        <f>MacReports!C131&amp;""</f>
        <v/>
      </c>
      <c r="E131" t="e">
        <f>_xlfn.XLOOKUP(G131,Models!A:A,Models!F:F)</f>
        <v>#N/A</v>
      </c>
      <c r="F131" t="str">
        <f>_xlfn.XLOOKUP(B131,MacReports!B:B,MacReports!E:E,"")</f>
        <v/>
      </c>
      <c r="G131" s="13">
        <f>MacReports!F131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MacReports!G131</f>
        <v>0</v>
      </c>
      <c r="L131">
        <f>MacReports!H131</f>
        <v>0</v>
      </c>
      <c r="M131" s="15" t="e" cm="1">
        <f t="array" ref="M131">--_xlfn.LET(
    _xlpm.txt, MacReports!I131,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--MacReports!N131&lt;55,"Battery Defect",
  -- MacReports!N131&lt;=69,"Battery D",
  --MacReports!N131&lt;=80,"Battery C",
 --MacReports!N131&gt;80,""
)</f>
        <v>Battery Defect</v>
      </c>
      <c r="O131" s="16" t="str">
        <f>IF(MacReports!J131="Service","Battery Service","")</f>
        <v/>
      </c>
      <c r="P131" s="13">
        <f>MacReports!Q131</f>
        <v>0</v>
      </c>
      <c r="Q131" s="13" t="str">
        <f>IF(MacReports!K131="Enabled","Apple ID Lock","")</f>
        <v/>
      </c>
      <c r="R131" s="13" t="str">
        <f>IF(MacReports!M131="Remote Lock","Remote Locked","")</f>
        <v/>
      </c>
      <c r="S131" t="str">
        <f t="shared" si="5"/>
        <v>Battery Defect, 0</v>
      </c>
      <c r="T131" t="str">
        <f>_xlfn.XLOOKUP(B131,Disk_Pivot!G:G,Disk_Pivot!I:I)</f>
        <v>Yes x2</v>
      </c>
      <c r="U131" t="str">
        <f>_xlfn.XLOOKUP(B131,Disk_Pivot!G:G,Disk_Pivot!N:N)</f>
        <v>Pass, Fail</v>
      </c>
      <c r="V131" t="str">
        <f>IF(U131="Fail",MacReports!O131,"")</f>
        <v/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MacReports!D132</f>
        <v>0</v>
      </c>
      <c r="D132" t="str">
        <f>MacReports!C132&amp;""</f>
        <v/>
      </c>
      <c r="E132" t="e">
        <f>_xlfn.XLOOKUP(G132,Models!A:A,Models!F:F)</f>
        <v>#N/A</v>
      </c>
      <c r="F132" t="str">
        <f>_xlfn.XLOOKUP(B132,MacReports!B:B,MacReports!E:E,"")</f>
        <v/>
      </c>
      <c r="G132" s="13">
        <f>MacReports!F132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MacReports!G132</f>
        <v>0</v>
      </c>
      <c r="L132">
        <f>MacReports!H132</f>
        <v>0</v>
      </c>
      <c r="M132" s="15" t="e" cm="1">
        <f t="array" ref="M132">--_xlfn.LET(
    _xlpm.txt, MacReports!I132,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--MacReports!N132&lt;55,"Battery Defect",
  -- MacReports!N132&lt;=69,"Battery D",
  --MacReports!N132&lt;=80,"Battery C",
 --MacReports!N132&gt;80,""
)</f>
        <v>Battery Defect</v>
      </c>
      <c r="O132" s="16" t="str">
        <f>IF(MacReports!J132="Service","Battery Service","")</f>
        <v/>
      </c>
      <c r="P132" s="13">
        <f>MacReports!Q132</f>
        <v>0</v>
      </c>
      <c r="Q132" s="13" t="str">
        <f>IF(MacReports!K132="Enabled","Apple ID Lock","")</f>
        <v/>
      </c>
      <c r="R132" s="13" t="str">
        <f>IF(MacReports!M132="Remote Lock","Remote Locked","")</f>
        <v/>
      </c>
      <c r="S132" t="str">
        <f t="shared" si="5"/>
        <v>Battery Defect, 0</v>
      </c>
      <c r="T132" t="str">
        <f>_xlfn.XLOOKUP(B132,Disk_Pivot!G:G,Disk_Pivot!I:I)</f>
        <v>Yes x2</v>
      </c>
      <c r="U132" t="str">
        <f>_xlfn.XLOOKUP(B132,Disk_Pivot!G:G,Disk_Pivot!N:N)</f>
        <v>Pass, Fail</v>
      </c>
      <c r="V132" t="str">
        <f>IF(U132="Fail",MacReports!O132,"")</f>
        <v/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MacReports!D133</f>
        <v>0</v>
      </c>
      <c r="D133" t="str">
        <f>MacReports!C133&amp;""</f>
        <v/>
      </c>
      <c r="E133" t="e">
        <f>_xlfn.XLOOKUP(G133,Models!A:A,Models!F:F)</f>
        <v>#N/A</v>
      </c>
      <c r="F133" t="str">
        <f>_xlfn.XLOOKUP(B133,MacReports!B:B,MacReports!E:E,"")</f>
        <v/>
      </c>
      <c r="G133" s="13">
        <f>MacReports!F133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MacReports!G133</f>
        <v>0</v>
      </c>
      <c r="L133">
        <f>MacReports!H133</f>
        <v>0</v>
      </c>
      <c r="M133" s="15" t="e" cm="1">
        <f t="array" ref="M133">--_xlfn.LET(
    _xlpm.txt, MacReports!I133,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--MacReports!N133&lt;55,"Battery Defect",
  -- MacReports!N133&lt;=69,"Battery D",
  --MacReports!N133&lt;=80,"Battery C",
 --MacReports!N133&gt;80,""
)</f>
        <v>Battery Defect</v>
      </c>
      <c r="O133" s="16" t="str">
        <f>IF(MacReports!J133="Service","Battery Service","")</f>
        <v/>
      </c>
      <c r="P133" s="13">
        <f>MacReports!Q133</f>
        <v>0</v>
      </c>
      <c r="Q133" s="13" t="str">
        <f>IF(MacReports!K133="Enabled","Apple ID Lock","")</f>
        <v/>
      </c>
      <c r="R133" s="13" t="str">
        <f>IF(MacReports!M133="Remote Lock","Remote Locked","")</f>
        <v/>
      </c>
      <c r="S133" t="str">
        <f t="shared" si="5"/>
        <v>Battery Defect, 0</v>
      </c>
      <c r="T133" t="str">
        <f>_xlfn.XLOOKUP(B133,Disk_Pivot!G:G,Disk_Pivot!I:I)</f>
        <v>Yes x2</v>
      </c>
      <c r="U133" t="str">
        <f>_xlfn.XLOOKUP(B133,Disk_Pivot!G:G,Disk_Pivot!N:N)</f>
        <v>Pass, Fail</v>
      </c>
      <c r="V133" t="str">
        <f>IF(U133="Fail",MacReports!O133,"")</f>
        <v/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MacReports!D134</f>
        <v>0</v>
      </c>
      <c r="D134" t="str">
        <f>MacReports!C134&amp;""</f>
        <v/>
      </c>
      <c r="E134" t="e">
        <f>_xlfn.XLOOKUP(G134,Models!A:A,Models!F:F)</f>
        <v>#N/A</v>
      </c>
      <c r="F134" t="str">
        <f>_xlfn.XLOOKUP(B134,MacReports!B:B,MacReports!E:E,"")</f>
        <v/>
      </c>
      <c r="G134" s="13">
        <f>MacReports!F134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MacReports!G134</f>
        <v>0</v>
      </c>
      <c r="L134">
        <f>MacReports!H134</f>
        <v>0</v>
      </c>
      <c r="M134" s="15" t="e" cm="1">
        <f t="array" ref="M134">--_xlfn.LET(
    _xlpm.txt, MacReports!I134,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--MacReports!N134&lt;55,"Battery Defect",
  -- MacReports!N134&lt;=69,"Battery D",
  --MacReports!N134&lt;=80,"Battery C",
 --MacReports!N134&gt;80,""
)</f>
        <v>Battery Defect</v>
      </c>
      <c r="O134" s="16" t="str">
        <f>IF(MacReports!J134="Service","Battery Service","")</f>
        <v/>
      </c>
      <c r="P134" s="13">
        <f>MacReports!Q134</f>
        <v>0</v>
      </c>
      <c r="Q134" s="13" t="str">
        <f>IF(MacReports!K134="Enabled","Apple ID Lock","")</f>
        <v/>
      </c>
      <c r="R134" s="13" t="str">
        <f>IF(MacReports!M134="Remote Lock","Remote Locked","")</f>
        <v/>
      </c>
      <c r="S134" t="str">
        <f t="shared" si="5"/>
        <v>Battery Defect, 0</v>
      </c>
      <c r="T134" t="str">
        <f>_xlfn.XLOOKUP(B134,Disk_Pivot!G:G,Disk_Pivot!I:I)</f>
        <v>Yes x2</v>
      </c>
      <c r="U134" t="str">
        <f>_xlfn.XLOOKUP(B134,Disk_Pivot!G:G,Disk_Pivot!N:N)</f>
        <v>Pass, Fail</v>
      </c>
      <c r="V134" t="str">
        <f>IF(U134="Fail",MacReports!O134,"")</f>
        <v/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MacReports!D135</f>
        <v>0</v>
      </c>
      <c r="D135" t="str">
        <f>MacReports!C135&amp;""</f>
        <v/>
      </c>
      <c r="E135" t="e">
        <f>_xlfn.XLOOKUP(G135,Models!A:A,Models!F:F)</f>
        <v>#N/A</v>
      </c>
      <c r="F135" t="str">
        <f>_xlfn.XLOOKUP(B135,MacReports!B:B,MacReports!E:E,"")</f>
        <v/>
      </c>
      <c r="G135" s="13">
        <f>MacReports!F135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MacReports!G135</f>
        <v>0</v>
      </c>
      <c r="L135">
        <f>MacReports!H135</f>
        <v>0</v>
      </c>
      <c r="M135" s="15" t="e" cm="1">
        <f t="array" ref="M135">--_xlfn.LET(
    _xlpm.txt, MacReports!I135,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--MacReports!N135&lt;55,"Battery Defect",
  -- MacReports!N135&lt;=69,"Battery D",
  --MacReports!N135&lt;=80,"Battery C",
 --MacReports!N135&gt;80,""
)</f>
        <v>Battery Defect</v>
      </c>
      <c r="O135" s="16" t="str">
        <f>IF(MacReports!J135="Service","Battery Service","")</f>
        <v/>
      </c>
      <c r="P135" s="13">
        <f>MacReports!Q135</f>
        <v>0</v>
      </c>
      <c r="Q135" s="13" t="str">
        <f>IF(MacReports!K135="Enabled","Apple ID Lock","")</f>
        <v/>
      </c>
      <c r="R135" s="13" t="str">
        <f>IF(MacReports!M135="Remote Lock","Remote Locked","")</f>
        <v/>
      </c>
      <c r="S135" t="str">
        <f t="shared" si="5"/>
        <v>Battery Defect, 0</v>
      </c>
      <c r="T135" t="str">
        <f>_xlfn.XLOOKUP(B135,Disk_Pivot!G:G,Disk_Pivot!I:I)</f>
        <v>Yes x2</v>
      </c>
      <c r="U135" t="str">
        <f>_xlfn.XLOOKUP(B135,Disk_Pivot!G:G,Disk_Pivot!N:N)</f>
        <v>Pass, Fail</v>
      </c>
      <c r="V135" t="str">
        <f>IF(U135="Fail",MacReports!O135,"")</f>
        <v/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MacReports!D136</f>
        <v>0</v>
      </c>
      <c r="D136" t="str">
        <f>MacReports!C136&amp;""</f>
        <v/>
      </c>
      <c r="E136" t="e">
        <f>_xlfn.XLOOKUP(G136,Models!A:A,Models!F:F)</f>
        <v>#N/A</v>
      </c>
      <c r="F136" t="str">
        <f>_xlfn.XLOOKUP(B136,MacReports!B:B,MacReports!E:E,"")</f>
        <v/>
      </c>
      <c r="G136" s="13">
        <f>MacReports!F136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MacReports!G136</f>
        <v>0</v>
      </c>
      <c r="L136">
        <f>MacReports!H136</f>
        <v>0</v>
      </c>
      <c r="M136" s="15" t="e" cm="1">
        <f t="array" ref="M136">--_xlfn.LET(
    _xlpm.txt, MacReports!I136,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--MacReports!N136&lt;55,"Battery Defect",
  -- MacReports!N136&lt;=69,"Battery D",
  --MacReports!N136&lt;=80,"Battery C",
 --MacReports!N136&gt;80,""
)</f>
        <v>Battery Defect</v>
      </c>
      <c r="O136" s="16" t="str">
        <f>IF(MacReports!J136="Service","Battery Service","")</f>
        <v/>
      </c>
      <c r="P136" s="13">
        <f>MacReports!Q136</f>
        <v>0</v>
      </c>
      <c r="Q136" s="13" t="str">
        <f>IF(MacReports!K136="Enabled","Apple ID Lock","")</f>
        <v/>
      </c>
      <c r="R136" s="13" t="str">
        <f>IF(MacReports!M136="Remote Lock","Remote Locked","")</f>
        <v/>
      </c>
      <c r="S136" t="str">
        <f t="shared" si="5"/>
        <v>Battery Defect, 0</v>
      </c>
      <c r="T136" t="str">
        <f>_xlfn.XLOOKUP(B136,Disk_Pivot!G:G,Disk_Pivot!I:I)</f>
        <v>Yes x2</v>
      </c>
      <c r="U136" t="str">
        <f>_xlfn.XLOOKUP(B136,Disk_Pivot!G:G,Disk_Pivot!N:N)</f>
        <v>Pass, Fail</v>
      </c>
      <c r="V136" t="str">
        <f>IF(U136="Fail",MacReports!O136,"")</f>
        <v/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MacReports!D137</f>
        <v>0</v>
      </c>
      <c r="D137" t="str">
        <f>MacReports!C137&amp;""</f>
        <v/>
      </c>
      <c r="E137" t="e">
        <f>_xlfn.XLOOKUP(G137,Models!A:A,Models!F:F)</f>
        <v>#N/A</v>
      </c>
      <c r="F137" t="str">
        <f>_xlfn.XLOOKUP(B137,MacReports!B:B,MacReports!E:E,"")</f>
        <v/>
      </c>
      <c r="G137" s="13">
        <f>MacReports!F137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MacReports!G137</f>
        <v>0</v>
      </c>
      <c r="L137">
        <f>MacReports!H137</f>
        <v>0</v>
      </c>
      <c r="M137" s="15" t="e" cm="1">
        <f t="array" ref="M137">--_xlfn.LET(
    _xlpm.txt, MacReports!I137,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--MacReports!N137&lt;55,"Battery Defect",
  -- MacReports!N137&lt;=69,"Battery D",
  --MacReports!N137&lt;=80,"Battery C",
 --MacReports!N137&gt;80,""
)</f>
        <v>Battery Defect</v>
      </c>
      <c r="O137" s="16" t="str">
        <f>IF(MacReports!J137="Service","Battery Service","")</f>
        <v/>
      </c>
      <c r="P137" s="13">
        <f>MacReports!Q137</f>
        <v>0</v>
      </c>
      <c r="Q137" s="13" t="str">
        <f>IF(MacReports!K137="Enabled","Apple ID Lock","")</f>
        <v/>
      </c>
      <c r="R137" s="13" t="str">
        <f>IF(MacReports!M137="Remote Lock","Remote Locked","")</f>
        <v/>
      </c>
      <c r="S137" t="str">
        <f t="shared" si="5"/>
        <v>Battery Defect, 0</v>
      </c>
      <c r="T137" t="str">
        <f>_xlfn.XLOOKUP(B137,Disk_Pivot!G:G,Disk_Pivot!I:I)</f>
        <v>Yes x2</v>
      </c>
      <c r="U137" t="str">
        <f>_xlfn.XLOOKUP(B137,Disk_Pivot!G:G,Disk_Pivot!N:N)</f>
        <v>Pass, Fail</v>
      </c>
      <c r="V137" t="str">
        <f>IF(U137="Fail",MacReports!O137,"")</f>
        <v/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MacReports!D138</f>
        <v>0</v>
      </c>
      <c r="D138" t="str">
        <f>MacReports!C138&amp;""</f>
        <v/>
      </c>
      <c r="E138" t="e">
        <f>_xlfn.XLOOKUP(G138,Models!A:A,Models!F:F)</f>
        <v>#N/A</v>
      </c>
      <c r="F138" t="str">
        <f>_xlfn.XLOOKUP(B138,MacReports!B:B,MacReports!E:E,"")</f>
        <v/>
      </c>
      <c r="G138" s="13">
        <f>MacReports!F138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MacReports!G138</f>
        <v>0</v>
      </c>
      <c r="L138">
        <f>MacReports!H138</f>
        <v>0</v>
      </c>
      <c r="M138" s="15" t="e" cm="1">
        <f t="array" ref="M138">--_xlfn.LET(
    _xlpm.txt, MacReports!I138,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--MacReports!N138&lt;55,"Battery Defect",
  -- MacReports!N138&lt;=69,"Battery D",
  --MacReports!N138&lt;=80,"Battery C",
 --MacReports!N138&gt;80,""
)</f>
        <v>Battery Defect</v>
      </c>
      <c r="O138" s="16" t="str">
        <f>IF(MacReports!J138="Service","Battery Service","")</f>
        <v/>
      </c>
      <c r="P138" s="13">
        <f>MacReports!Q138</f>
        <v>0</v>
      </c>
      <c r="Q138" s="13" t="str">
        <f>IF(MacReports!K138="Enabled","Apple ID Lock","")</f>
        <v/>
      </c>
      <c r="R138" s="13" t="str">
        <f>IF(MacReports!M138="Remote Lock","Remote Locked","")</f>
        <v/>
      </c>
      <c r="S138" t="str">
        <f t="shared" si="5"/>
        <v>Battery Defect, 0</v>
      </c>
      <c r="T138" t="str">
        <f>_xlfn.XLOOKUP(B138,Disk_Pivot!G:G,Disk_Pivot!I:I)</f>
        <v>Yes x2</v>
      </c>
      <c r="U138" t="str">
        <f>_xlfn.XLOOKUP(B138,Disk_Pivot!G:G,Disk_Pivot!N:N)</f>
        <v>Pass, Fail</v>
      </c>
      <c r="V138" t="str">
        <f>IF(U138="Fail",MacReports!O138,"")</f>
        <v/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MacReports!D139</f>
        <v>0</v>
      </c>
      <c r="D139" t="str">
        <f>MacReports!C139&amp;""</f>
        <v/>
      </c>
      <c r="E139" t="e">
        <f>_xlfn.XLOOKUP(G139,Models!A:A,Models!F:F)</f>
        <v>#N/A</v>
      </c>
      <c r="F139" t="str">
        <f>_xlfn.XLOOKUP(B139,MacReports!B:B,MacReports!E:E,"")</f>
        <v/>
      </c>
      <c r="G139" s="13">
        <f>MacReports!F139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MacReports!G139</f>
        <v>0</v>
      </c>
      <c r="L139">
        <f>MacReports!H139</f>
        <v>0</v>
      </c>
      <c r="M139" s="15" t="e" cm="1">
        <f t="array" ref="M139">--_xlfn.LET(
    _xlpm.txt, MacReports!I139,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--MacReports!N139&lt;55,"Battery Defect",
  -- MacReports!N139&lt;=69,"Battery D",
  --MacReports!N139&lt;=80,"Battery C",
 --MacReports!N139&gt;80,""
)</f>
        <v>Battery Defect</v>
      </c>
      <c r="O139" s="16" t="str">
        <f>IF(MacReports!J139="Service","Battery Service","")</f>
        <v/>
      </c>
      <c r="P139" s="13">
        <f>MacReports!Q139</f>
        <v>0</v>
      </c>
      <c r="Q139" s="13" t="str">
        <f>IF(MacReports!K139="Enabled","Apple ID Lock","")</f>
        <v/>
      </c>
      <c r="R139" s="13" t="str">
        <f>IF(MacReports!M139="Remote Lock","Remote Locked","")</f>
        <v/>
      </c>
      <c r="S139" t="str">
        <f t="shared" si="5"/>
        <v>Battery Defect, 0</v>
      </c>
      <c r="T139" t="str">
        <f>_xlfn.XLOOKUP(B139,Disk_Pivot!G:G,Disk_Pivot!I:I)</f>
        <v>Yes x2</v>
      </c>
      <c r="U139" t="str">
        <f>_xlfn.XLOOKUP(B139,Disk_Pivot!G:G,Disk_Pivot!N:N)</f>
        <v>Pass, Fail</v>
      </c>
      <c r="V139" t="str">
        <f>IF(U139="Fail",MacReports!O139,"")</f>
        <v/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MacReports!D140</f>
        <v>0</v>
      </c>
      <c r="D140" t="str">
        <f>MacReports!C140&amp;""</f>
        <v/>
      </c>
      <c r="E140" t="e">
        <f>_xlfn.XLOOKUP(G140,Models!A:A,Models!F:F)</f>
        <v>#N/A</v>
      </c>
      <c r="F140" t="str">
        <f>_xlfn.XLOOKUP(B140,MacReports!B:B,MacReports!E:E,"")</f>
        <v/>
      </c>
      <c r="G140" s="13">
        <f>MacReports!F140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MacReports!G140</f>
        <v>0</v>
      </c>
      <c r="L140">
        <f>MacReports!H140</f>
        <v>0</v>
      </c>
      <c r="M140" s="15" t="e" cm="1">
        <f t="array" ref="M140">--_xlfn.LET(
    _xlpm.txt, MacReports!I140,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--MacReports!N140&lt;55,"Battery Defect",
  -- MacReports!N140&lt;=69,"Battery D",
  --MacReports!N140&lt;=80,"Battery C",
 --MacReports!N140&gt;80,""
)</f>
        <v>Battery Defect</v>
      </c>
      <c r="O140" s="16" t="str">
        <f>IF(MacReports!J140="Service","Battery Service","")</f>
        <v/>
      </c>
      <c r="P140" s="13">
        <f>MacReports!Q140</f>
        <v>0</v>
      </c>
      <c r="Q140" s="13" t="str">
        <f>IF(MacReports!K140="Enabled","Apple ID Lock","")</f>
        <v/>
      </c>
      <c r="R140" s="13" t="str">
        <f>IF(MacReports!M140="Remote Lock","Remote Locked","")</f>
        <v/>
      </c>
      <c r="S140" t="str">
        <f t="shared" si="5"/>
        <v>Battery Defect, 0</v>
      </c>
      <c r="T140" t="str">
        <f>_xlfn.XLOOKUP(B140,Disk_Pivot!G:G,Disk_Pivot!I:I)</f>
        <v>Yes x2</v>
      </c>
      <c r="U140" t="str">
        <f>_xlfn.XLOOKUP(B140,Disk_Pivot!G:G,Disk_Pivot!N:N)</f>
        <v>Pass, Fail</v>
      </c>
      <c r="V140" t="str">
        <f>IF(U140="Fail",MacReports!O140,"")</f>
        <v/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MacReports!D141</f>
        <v>0</v>
      </c>
      <c r="D141" t="str">
        <f>MacReports!C141&amp;""</f>
        <v/>
      </c>
      <c r="E141" t="e">
        <f>_xlfn.XLOOKUP(G141,Models!A:A,Models!F:F)</f>
        <v>#N/A</v>
      </c>
      <c r="F141" t="str">
        <f>_xlfn.XLOOKUP(B141,MacReports!B:B,MacReports!E:E,"")</f>
        <v/>
      </c>
      <c r="G141" s="13">
        <f>MacReports!F141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MacReports!G141</f>
        <v>0</v>
      </c>
      <c r="L141">
        <f>MacReports!H141</f>
        <v>0</v>
      </c>
      <c r="M141" s="15" t="e" cm="1">
        <f t="array" ref="M141">--_xlfn.LET(
    _xlpm.txt, MacReports!I141,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--MacReports!N141&lt;55,"Battery Defect",
  -- MacReports!N141&lt;=69,"Battery D",
  --MacReports!N141&lt;=80,"Battery C",
 --MacReports!N141&gt;80,""
)</f>
        <v>Battery Defect</v>
      </c>
      <c r="O141" s="16" t="str">
        <f>IF(MacReports!J141="Service","Battery Service","")</f>
        <v/>
      </c>
      <c r="P141" s="13">
        <f>MacReports!Q141</f>
        <v>0</v>
      </c>
      <c r="Q141" s="13" t="str">
        <f>IF(MacReports!K141="Enabled","Apple ID Lock","")</f>
        <v/>
      </c>
      <c r="R141" s="13" t="str">
        <f>IF(MacReports!M141="Remote Lock","Remote Locked","")</f>
        <v/>
      </c>
      <c r="S141" t="str">
        <f t="shared" si="5"/>
        <v>Battery Defect, 0</v>
      </c>
      <c r="T141" t="str">
        <f>_xlfn.XLOOKUP(B141,Disk_Pivot!G:G,Disk_Pivot!I:I)</f>
        <v>Yes x2</v>
      </c>
      <c r="U141" t="str">
        <f>_xlfn.XLOOKUP(B141,Disk_Pivot!G:G,Disk_Pivot!N:N)</f>
        <v>Pass, Fail</v>
      </c>
      <c r="V141" t="str">
        <f>IF(U141="Fail",MacReports!O141,"")</f>
        <v/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MacReports!D142</f>
        <v>0</v>
      </c>
      <c r="D142" t="str">
        <f>MacReports!C142&amp;""</f>
        <v/>
      </c>
      <c r="E142" t="e">
        <f>_xlfn.XLOOKUP(G142,Models!A:A,Models!F:F)</f>
        <v>#N/A</v>
      </c>
      <c r="F142" t="str">
        <f>_xlfn.XLOOKUP(B142,MacReports!B:B,MacReports!E:E,"")</f>
        <v/>
      </c>
      <c r="G142" s="13">
        <f>MacReports!F142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MacReports!G142</f>
        <v>0</v>
      </c>
      <c r="L142">
        <f>MacReports!H142</f>
        <v>0</v>
      </c>
      <c r="M142" s="15" t="e" cm="1">
        <f t="array" ref="M142">--_xlfn.LET(
    _xlpm.txt, MacReports!I142,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--MacReports!N142&lt;55,"Battery Defect",
  -- MacReports!N142&lt;=69,"Battery D",
  --MacReports!N142&lt;=80,"Battery C",
 --MacReports!N142&gt;80,""
)</f>
        <v>Battery Defect</v>
      </c>
      <c r="O142" s="16" t="str">
        <f>IF(MacReports!J142="Service","Battery Service","")</f>
        <v/>
      </c>
      <c r="P142" s="13">
        <f>MacReports!Q142</f>
        <v>0</v>
      </c>
      <c r="Q142" s="13" t="str">
        <f>IF(MacReports!K142="Enabled","Apple ID Lock","")</f>
        <v/>
      </c>
      <c r="R142" s="13" t="str">
        <f>IF(MacReports!M142="Remote Lock","Remote Locked","")</f>
        <v/>
      </c>
      <c r="S142" t="str">
        <f t="shared" si="5"/>
        <v>Battery Defect, 0</v>
      </c>
      <c r="T142" t="str">
        <f>_xlfn.XLOOKUP(B142,Disk_Pivot!G:G,Disk_Pivot!I:I)</f>
        <v>Yes x2</v>
      </c>
      <c r="U142" t="str">
        <f>_xlfn.XLOOKUP(B142,Disk_Pivot!G:G,Disk_Pivot!N:N)</f>
        <v>Pass, Fail</v>
      </c>
      <c r="V142" t="str">
        <f>IF(U142="Fail",MacReports!O142,"")</f>
        <v/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MacReports!D143</f>
        <v>0</v>
      </c>
      <c r="D143" t="str">
        <f>MacReports!C143&amp;""</f>
        <v/>
      </c>
      <c r="E143" t="e">
        <f>_xlfn.XLOOKUP(G143,Models!A:A,Models!F:F)</f>
        <v>#N/A</v>
      </c>
      <c r="F143" t="str">
        <f>_xlfn.XLOOKUP(B143,MacReports!B:B,MacReports!E:E,"")</f>
        <v/>
      </c>
      <c r="G143" s="13">
        <f>MacReports!F143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MacReports!G143</f>
        <v>0</v>
      </c>
      <c r="L143">
        <f>MacReports!H143</f>
        <v>0</v>
      </c>
      <c r="M143" s="15" t="e" cm="1">
        <f t="array" ref="M143">--_xlfn.LET(
    _xlpm.txt, MacReports!I143,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--MacReports!N143&lt;55,"Battery Defect",
  -- MacReports!N143&lt;=69,"Battery D",
  --MacReports!N143&lt;=80,"Battery C",
 --MacReports!N143&gt;80,""
)</f>
        <v>Battery Defect</v>
      </c>
      <c r="O143" s="16" t="str">
        <f>IF(MacReports!J143="Service","Battery Service","")</f>
        <v/>
      </c>
      <c r="P143" s="13">
        <f>MacReports!Q143</f>
        <v>0</v>
      </c>
      <c r="Q143" s="13" t="str">
        <f>IF(MacReports!K143="Enabled","Apple ID Lock","")</f>
        <v/>
      </c>
      <c r="R143" s="13" t="str">
        <f>IF(MacReports!M143="Remote Lock","Remote Locked","")</f>
        <v/>
      </c>
      <c r="S143" t="str">
        <f t="shared" si="5"/>
        <v>Battery Defect, 0</v>
      </c>
      <c r="T143" t="str">
        <f>_xlfn.XLOOKUP(B143,Disk_Pivot!G:G,Disk_Pivot!I:I)</f>
        <v>Yes x2</v>
      </c>
      <c r="U143" t="str">
        <f>_xlfn.XLOOKUP(B143,Disk_Pivot!G:G,Disk_Pivot!N:N)</f>
        <v>Pass, Fail</v>
      </c>
      <c r="V143" t="str">
        <f>IF(U143="Fail",MacReports!O143,"")</f>
        <v/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MacReports!D144</f>
        <v>0</v>
      </c>
      <c r="D144" t="str">
        <f>MacReports!C144&amp;""</f>
        <v/>
      </c>
      <c r="E144" t="e">
        <f>_xlfn.XLOOKUP(G144,Models!A:A,Models!F:F)</f>
        <v>#N/A</v>
      </c>
      <c r="F144" t="str">
        <f>_xlfn.XLOOKUP(B144,MacReports!B:B,MacReports!E:E,"")</f>
        <v/>
      </c>
      <c r="G144" s="13">
        <f>MacReports!F144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MacReports!G144</f>
        <v>0</v>
      </c>
      <c r="L144">
        <f>MacReports!H144</f>
        <v>0</v>
      </c>
      <c r="M144" s="15" t="e" cm="1">
        <f t="array" ref="M144">--_xlfn.LET(
    _xlpm.txt, MacReports!I144,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--MacReports!N144&lt;55,"Battery Defect",
  -- MacReports!N144&lt;=69,"Battery D",
  --MacReports!N144&lt;=80,"Battery C",
 --MacReports!N144&gt;80,""
)</f>
        <v>Battery Defect</v>
      </c>
      <c r="O144" s="16" t="str">
        <f>IF(MacReports!J144="Service","Battery Service","")</f>
        <v/>
      </c>
      <c r="P144" s="13">
        <f>MacReports!Q144</f>
        <v>0</v>
      </c>
      <c r="Q144" s="13" t="str">
        <f>IF(MacReports!K144="Enabled","Apple ID Lock","")</f>
        <v/>
      </c>
      <c r="R144" s="13" t="str">
        <f>IF(MacReports!M144="Remote Lock","Remote Locked","")</f>
        <v/>
      </c>
      <c r="S144" t="str">
        <f t="shared" si="5"/>
        <v>Battery Defect, 0</v>
      </c>
      <c r="T144" t="str">
        <f>_xlfn.XLOOKUP(B144,Disk_Pivot!G:G,Disk_Pivot!I:I)</f>
        <v>Yes x2</v>
      </c>
      <c r="U144" t="str">
        <f>_xlfn.XLOOKUP(B144,Disk_Pivot!G:G,Disk_Pivot!N:N)</f>
        <v>Pass, Fail</v>
      </c>
      <c r="V144" t="str">
        <f>IF(U144="Fail",MacReports!O144,"")</f>
        <v/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MacReports!D145</f>
        <v>0</v>
      </c>
      <c r="D145" t="str">
        <f>MacReports!C145&amp;""</f>
        <v/>
      </c>
      <c r="E145" t="e">
        <f>_xlfn.XLOOKUP(G145,Models!A:A,Models!F:F)</f>
        <v>#N/A</v>
      </c>
      <c r="F145" t="str">
        <f>_xlfn.XLOOKUP(B145,MacReports!B:B,MacReports!E:E,"")</f>
        <v/>
      </c>
      <c r="G145" s="13">
        <f>MacReports!F145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MacReports!G145</f>
        <v>0</v>
      </c>
      <c r="L145">
        <f>MacReports!H145</f>
        <v>0</v>
      </c>
      <c r="M145" s="15" t="e" cm="1">
        <f t="array" ref="M145">--_xlfn.LET(
    _xlpm.txt, MacReports!I145,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--MacReports!N145&lt;55,"Battery Defect",
  -- MacReports!N145&lt;=69,"Battery D",
  --MacReports!N145&lt;=80,"Battery C",
 --MacReports!N145&gt;80,""
)</f>
        <v>Battery Defect</v>
      </c>
      <c r="O145" s="16" t="str">
        <f>IF(MacReports!J145="Service","Battery Service","")</f>
        <v/>
      </c>
      <c r="P145" s="13">
        <f>MacReports!Q145</f>
        <v>0</v>
      </c>
      <c r="Q145" s="13" t="str">
        <f>IF(MacReports!K145="Enabled","Apple ID Lock","")</f>
        <v/>
      </c>
      <c r="R145" s="13" t="str">
        <f>IF(MacReports!M145="Remote Lock","Remote Locked","")</f>
        <v/>
      </c>
      <c r="S145" t="str">
        <f t="shared" si="5"/>
        <v>Battery Defect, 0</v>
      </c>
      <c r="T145" t="str">
        <f>_xlfn.XLOOKUP(B145,Disk_Pivot!G:G,Disk_Pivot!I:I)</f>
        <v>Yes x2</v>
      </c>
      <c r="U145" t="str">
        <f>_xlfn.XLOOKUP(B145,Disk_Pivot!G:G,Disk_Pivot!N:N)</f>
        <v>Pass, Fail</v>
      </c>
      <c r="V145" t="str">
        <f>IF(U145="Fail",MacReports!O145,"")</f>
        <v/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MacReports!D146</f>
        <v>0</v>
      </c>
      <c r="D146" t="str">
        <f>MacReports!C146&amp;""</f>
        <v/>
      </c>
      <c r="E146" t="e">
        <f>_xlfn.XLOOKUP(G146,Models!A:A,Models!F:F)</f>
        <v>#N/A</v>
      </c>
      <c r="F146" t="str">
        <f>_xlfn.XLOOKUP(B146,MacReports!B:B,MacReports!E:E,"")</f>
        <v/>
      </c>
      <c r="G146" s="13">
        <f>MacReports!F146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MacReports!G146</f>
        <v>0</v>
      </c>
      <c r="L146">
        <f>MacReports!H146</f>
        <v>0</v>
      </c>
      <c r="M146" s="15" t="e" cm="1">
        <f t="array" ref="M146">--_xlfn.LET(
    _xlpm.txt, MacReports!I146,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--MacReports!N146&lt;55,"Battery Defect",
  -- MacReports!N146&lt;=69,"Battery D",
  --MacReports!N146&lt;=80,"Battery C",
 --MacReports!N146&gt;80,""
)</f>
        <v>Battery Defect</v>
      </c>
      <c r="O146" s="16" t="str">
        <f>IF(MacReports!J146="Service","Battery Service","")</f>
        <v/>
      </c>
      <c r="P146" s="13">
        <f>MacReports!Q146</f>
        <v>0</v>
      </c>
      <c r="Q146" s="13" t="str">
        <f>IF(MacReports!K146="Enabled","Apple ID Lock","")</f>
        <v/>
      </c>
      <c r="R146" s="13" t="str">
        <f>IF(MacReports!M146="Remote Lock","Remote Locked","")</f>
        <v/>
      </c>
      <c r="S146" t="str">
        <f t="shared" si="5"/>
        <v>Battery Defect, 0</v>
      </c>
      <c r="T146" t="str">
        <f>_xlfn.XLOOKUP(B146,Disk_Pivot!G:G,Disk_Pivot!I:I)</f>
        <v>Yes x2</v>
      </c>
      <c r="U146" t="str">
        <f>_xlfn.XLOOKUP(B146,Disk_Pivot!G:G,Disk_Pivot!N:N)</f>
        <v>Pass, Fail</v>
      </c>
      <c r="V146" t="str">
        <f>IF(U146="Fail",MacReports!O146,"")</f>
        <v/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MacReports!D147</f>
        <v>0</v>
      </c>
      <c r="D147" t="str">
        <f>MacReports!C147&amp;""</f>
        <v/>
      </c>
      <c r="E147" t="e">
        <f>_xlfn.XLOOKUP(G147,Models!A:A,Models!F:F)</f>
        <v>#N/A</v>
      </c>
      <c r="F147" t="str">
        <f>_xlfn.XLOOKUP(B147,MacReports!B:B,MacReports!E:E,"")</f>
        <v/>
      </c>
      <c r="G147" s="13">
        <f>MacReports!F147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MacReports!G147</f>
        <v>0</v>
      </c>
      <c r="L147">
        <f>MacReports!H147</f>
        <v>0</v>
      </c>
      <c r="M147" s="15" t="e" cm="1">
        <f t="array" ref="M147">--_xlfn.LET(
    _xlpm.txt, MacReports!I147,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--MacReports!N147&lt;55,"Battery Defect",
  -- MacReports!N147&lt;=69,"Battery D",
  --MacReports!N147&lt;=80,"Battery C",
 --MacReports!N147&gt;80,""
)</f>
        <v>Battery Defect</v>
      </c>
      <c r="O147" s="16" t="str">
        <f>IF(MacReports!J147="Service","Battery Service","")</f>
        <v/>
      </c>
      <c r="P147" s="13">
        <f>MacReports!Q147</f>
        <v>0</v>
      </c>
      <c r="Q147" s="13" t="str">
        <f>IF(MacReports!K147="Enabled","Apple ID Lock","")</f>
        <v/>
      </c>
      <c r="R147" s="13" t="str">
        <f>IF(MacReports!M147="Remote Lock","Remote Locked","")</f>
        <v/>
      </c>
      <c r="S147" t="str">
        <f t="shared" si="5"/>
        <v>Battery Defect, 0</v>
      </c>
      <c r="T147" t="str">
        <f>_xlfn.XLOOKUP(B147,Disk_Pivot!G:G,Disk_Pivot!I:I)</f>
        <v>Yes x2</v>
      </c>
      <c r="U147" t="str">
        <f>_xlfn.XLOOKUP(B147,Disk_Pivot!G:G,Disk_Pivot!N:N)</f>
        <v>Pass, Fail</v>
      </c>
      <c r="V147" t="str">
        <f>IF(U147="Fail",MacReports!O147,"")</f>
        <v/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MacReports!D148</f>
        <v>0</v>
      </c>
      <c r="D148" t="str">
        <f>MacReports!C148&amp;""</f>
        <v/>
      </c>
      <c r="E148" t="e">
        <f>_xlfn.XLOOKUP(G148,Models!A:A,Models!F:F)</f>
        <v>#N/A</v>
      </c>
      <c r="F148" t="str">
        <f>_xlfn.XLOOKUP(B148,MacReports!B:B,MacReports!E:E,"")</f>
        <v/>
      </c>
      <c r="G148" s="13">
        <f>MacReports!F148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MacReports!G148</f>
        <v>0</v>
      </c>
      <c r="L148">
        <f>MacReports!H148</f>
        <v>0</v>
      </c>
      <c r="M148" s="15" t="e" cm="1">
        <f t="array" ref="M148">--_xlfn.LET(
    _xlpm.txt, MacReports!I148,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--MacReports!N148&lt;55,"Battery Defect",
  -- MacReports!N148&lt;=69,"Battery D",
  --MacReports!N148&lt;=80,"Battery C",
 --MacReports!N148&gt;80,""
)</f>
        <v>Battery Defect</v>
      </c>
      <c r="O148" s="16" t="str">
        <f>IF(MacReports!J148="Service","Battery Service","")</f>
        <v/>
      </c>
      <c r="P148" s="13">
        <f>MacReports!Q148</f>
        <v>0</v>
      </c>
      <c r="Q148" s="13" t="str">
        <f>IF(MacReports!K148="Enabled","Apple ID Lock","")</f>
        <v/>
      </c>
      <c r="R148" s="13" t="str">
        <f>IF(MacReports!M148="Remote Lock","Remote Locked","")</f>
        <v/>
      </c>
      <c r="S148" t="str">
        <f t="shared" si="5"/>
        <v>Battery Defect, 0</v>
      </c>
      <c r="T148" t="str">
        <f>_xlfn.XLOOKUP(B148,Disk_Pivot!G:G,Disk_Pivot!I:I)</f>
        <v>Yes x2</v>
      </c>
      <c r="U148" t="str">
        <f>_xlfn.XLOOKUP(B148,Disk_Pivot!G:G,Disk_Pivot!N:N)</f>
        <v>Pass, Fail</v>
      </c>
      <c r="V148" t="str">
        <f>IF(U148="Fail",MacReports!O148,"")</f>
        <v/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MacReports!D149</f>
        <v>0</v>
      </c>
      <c r="D149" t="str">
        <f>MacReports!C149&amp;""</f>
        <v/>
      </c>
      <c r="E149" t="e">
        <f>_xlfn.XLOOKUP(G149,Models!A:A,Models!F:F)</f>
        <v>#N/A</v>
      </c>
      <c r="F149" t="str">
        <f>_xlfn.XLOOKUP(B149,MacReports!B:B,MacReports!E:E,"")</f>
        <v/>
      </c>
      <c r="G149" s="13">
        <f>MacReports!F149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MacReports!G149</f>
        <v>0</v>
      </c>
      <c r="L149">
        <f>MacReports!H149</f>
        <v>0</v>
      </c>
      <c r="M149" s="15" t="e" cm="1">
        <f t="array" ref="M149">--_xlfn.LET(
    _xlpm.txt, MacReports!I149,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--MacReports!N149&lt;55,"Battery Defect",
  -- MacReports!N149&lt;=69,"Battery D",
  --MacReports!N149&lt;=80,"Battery C",
 --MacReports!N149&gt;80,""
)</f>
        <v>Battery Defect</v>
      </c>
      <c r="O149" s="16" t="str">
        <f>IF(MacReports!J149="Service","Battery Service","")</f>
        <v/>
      </c>
      <c r="P149" s="13">
        <f>MacReports!Q149</f>
        <v>0</v>
      </c>
      <c r="Q149" s="13" t="str">
        <f>IF(MacReports!K149="Enabled","Apple ID Lock","")</f>
        <v/>
      </c>
      <c r="R149" s="13" t="str">
        <f>IF(MacReports!M149="Remote Lock","Remote Locked","")</f>
        <v/>
      </c>
      <c r="S149" t="str">
        <f t="shared" si="5"/>
        <v>Battery Defect, 0</v>
      </c>
      <c r="T149" t="str">
        <f>_xlfn.XLOOKUP(B149,Disk_Pivot!G:G,Disk_Pivot!I:I)</f>
        <v>Yes x2</v>
      </c>
      <c r="U149" t="str">
        <f>_xlfn.XLOOKUP(B149,Disk_Pivot!G:G,Disk_Pivot!N:N)</f>
        <v>Pass, Fail</v>
      </c>
      <c r="V149" t="str">
        <f>IF(U149="Fail",MacReports!O149,"")</f>
        <v/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MacReports!D150</f>
        <v>0</v>
      </c>
      <c r="D150" t="str">
        <f>MacReports!C150&amp;""</f>
        <v/>
      </c>
      <c r="E150" t="e">
        <f>_xlfn.XLOOKUP(G150,Models!A:A,Models!F:F)</f>
        <v>#N/A</v>
      </c>
      <c r="F150" t="str">
        <f>_xlfn.XLOOKUP(B150,MacReports!B:B,MacReports!E:E,"")</f>
        <v/>
      </c>
      <c r="G150" s="13">
        <f>MacReports!F150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MacReports!G150</f>
        <v>0</v>
      </c>
      <c r="L150">
        <f>MacReports!H150</f>
        <v>0</v>
      </c>
      <c r="M150" s="15" t="e" cm="1">
        <f t="array" ref="M150">--_xlfn.LET(
    _xlpm.txt, MacReports!I150,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--MacReports!N150&lt;55,"Battery Defect",
  -- MacReports!N150&lt;=69,"Battery D",
  --MacReports!N150&lt;=80,"Battery C",
 --MacReports!N150&gt;80,""
)</f>
        <v>Battery Defect</v>
      </c>
      <c r="O150" s="16" t="str">
        <f>IF(MacReports!J150="Service","Battery Service","")</f>
        <v/>
      </c>
      <c r="P150" s="13">
        <f>MacReports!Q150</f>
        <v>0</v>
      </c>
      <c r="Q150" s="13" t="str">
        <f>IF(MacReports!K150="Enabled","Apple ID Lock","")</f>
        <v/>
      </c>
      <c r="R150" s="13" t="str">
        <f>IF(MacReports!M150="Remote Lock","Remote Locked","")</f>
        <v/>
      </c>
      <c r="S150" t="str">
        <f t="shared" si="5"/>
        <v>Battery Defect, 0</v>
      </c>
      <c r="T150" t="str">
        <f>_xlfn.XLOOKUP(B150,Disk_Pivot!G:G,Disk_Pivot!I:I)</f>
        <v>Yes x2</v>
      </c>
      <c r="U150" t="str">
        <f>_xlfn.XLOOKUP(B150,Disk_Pivot!G:G,Disk_Pivot!N:N)</f>
        <v>Pass, Fail</v>
      </c>
      <c r="V150" t="str">
        <f>IF(U150="Fail",MacReports!O150,"")</f>
        <v/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MacReports!D151</f>
        <v>0</v>
      </c>
      <c r="D151" t="str">
        <f>MacReports!C151&amp;""</f>
        <v/>
      </c>
      <c r="E151" t="e">
        <f>_xlfn.XLOOKUP(G151,Models!A:A,Models!F:F)</f>
        <v>#N/A</v>
      </c>
      <c r="F151" t="str">
        <f>_xlfn.XLOOKUP(B151,MacReports!B:B,MacReports!E:E,"")</f>
        <v/>
      </c>
      <c r="G151" s="13">
        <f>MacReports!F151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MacReports!G151</f>
        <v>0</v>
      </c>
      <c r="L151">
        <f>MacReports!H151</f>
        <v>0</v>
      </c>
      <c r="M151" s="15" t="e" cm="1">
        <f t="array" ref="M151">--_xlfn.LET(
    _xlpm.txt, MacReports!I151,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--MacReports!N151&lt;55,"Battery Defect",
  -- MacReports!N151&lt;=69,"Battery D",
  --MacReports!N151&lt;=80,"Battery C",
 --MacReports!N151&gt;80,""
)</f>
        <v>Battery Defect</v>
      </c>
      <c r="O151" s="16" t="str">
        <f>IF(MacReports!J151="Service","Battery Service","")</f>
        <v/>
      </c>
      <c r="P151" s="13">
        <f>MacReports!Q151</f>
        <v>0</v>
      </c>
      <c r="Q151" s="13" t="str">
        <f>IF(MacReports!K151="Enabled","Apple ID Lock","")</f>
        <v/>
      </c>
      <c r="R151" s="13" t="str">
        <f>IF(MacReports!M151="Remote Lock","Remote Locked","")</f>
        <v/>
      </c>
      <c r="S151" t="str">
        <f t="shared" si="5"/>
        <v>Battery Defect, 0</v>
      </c>
      <c r="T151" t="str">
        <f>_xlfn.XLOOKUP(B151,Disk_Pivot!G:G,Disk_Pivot!I:I)</f>
        <v>Yes x2</v>
      </c>
      <c r="U151" t="str">
        <f>_xlfn.XLOOKUP(B151,Disk_Pivot!G:G,Disk_Pivot!N:N)</f>
        <v>Pass, Fail</v>
      </c>
      <c r="V151" t="str">
        <f>IF(U151="Fail",MacReports!O151,"")</f>
        <v/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MacReports!D152</f>
        <v>0</v>
      </c>
      <c r="D152" t="str">
        <f>MacReports!C152&amp;""</f>
        <v/>
      </c>
      <c r="E152" t="e">
        <f>_xlfn.XLOOKUP(G152,Models!A:A,Models!F:F)</f>
        <v>#N/A</v>
      </c>
      <c r="F152" t="str">
        <f>_xlfn.XLOOKUP(B152,MacReports!B:B,MacReports!E:E,"")</f>
        <v/>
      </c>
      <c r="G152" s="13">
        <f>MacReports!F152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MacReports!G152</f>
        <v>0</v>
      </c>
      <c r="L152">
        <f>MacReports!H152</f>
        <v>0</v>
      </c>
      <c r="M152" s="15" t="e" cm="1">
        <f t="array" ref="M152">--_xlfn.LET(
    _xlpm.txt, MacReports!I152,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--MacReports!N152&lt;55,"Battery Defect",
  -- MacReports!N152&lt;=69,"Battery D",
  --MacReports!N152&lt;=80,"Battery C",
 --MacReports!N152&gt;80,""
)</f>
        <v>Battery Defect</v>
      </c>
      <c r="O152" s="16" t="str">
        <f>IF(MacReports!J152="Service","Battery Service","")</f>
        <v/>
      </c>
      <c r="P152" s="13">
        <f>MacReports!Q152</f>
        <v>0</v>
      </c>
      <c r="Q152" s="13" t="str">
        <f>IF(MacReports!K152="Enabled","Apple ID Lock","")</f>
        <v/>
      </c>
      <c r="R152" s="13" t="str">
        <f>IF(MacReports!M152="Remote Lock","Remote Locked","")</f>
        <v/>
      </c>
      <c r="S152" t="str">
        <f t="shared" si="5"/>
        <v>Battery Defect, 0</v>
      </c>
      <c r="T152" t="str">
        <f>_xlfn.XLOOKUP(B152,Disk_Pivot!G:G,Disk_Pivot!I:I)</f>
        <v>Yes x2</v>
      </c>
      <c r="U152" t="str">
        <f>_xlfn.XLOOKUP(B152,Disk_Pivot!G:G,Disk_Pivot!N:N)</f>
        <v>Pass, Fail</v>
      </c>
      <c r="V152" t="str">
        <f>IF(U152="Fail",MacReports!O152,"")</f>
        <v/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MacReports!D153</f>
        <v>0</v>
      </c>
      <c r="D153" t="str">
        <f>MacReports!C153&amp;""</f>
        <v/>
      </c>
      <c r="E153" t="e">
        <f>_xlfn.XLOOKUP(G153,Models!A:A,Models!F:F)</f>
        <v>#N/A</v>
      </c>
      <c r="F153" t="str">
        <f>_xlfn.XLOOKUP(B153,MacReports!B:B,MacReports!E:E,"")</f>
        <v/>
      </c>
      <c r="G153" s="13">
        <f>MacReports!F153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MacReports!G153</f>
        <v>0</v>
      </c>
      <c r="L153">
        <f>MacReports!H153</f>
        <v>0</v>
      </c>
      <c r="M153" s="15" t="e" cm="1">
        <f t="array" ref="M153">--_xlfn.LET(
    _xlpm.txt, MacReports!I153,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--MacReports!N153&lt;55,"Battery Defect",
  -- MacReports!N153&lt;=69,"Battery D",
  --MacReports!N153&lt;=80,"Battery C",
 --MacReports!N153&gt;80,""
)</f>
        <v>Battery Defect</v>
      </c>
      <c r="O153" s="16" t="str">
        <f>IF(MacReports!J153="Service","Battery Service","")</f>
        <v/>
      </c>
      <c r="P153" s="13">
        <f>MacReports!Q153</f>
        <v>0</v>
      </c>
      <c r="Q153" s="13" t="str">
        <f>IF(MacReports!K153="Enabled","Apple ID Lock","")</f>
        <v/>
      </c>
      <c r="R153" s="13" t="str">
        <f>IF(MacReports!M153="Remote Lock","Remote Locked","")</f>
        <v/>
      </c>
      <c r="S153" t="str">
        <f t="shared" si="5"/>
        <v>Battery Defect, 0</v>
      </c>
      <c r="T153" t="str">
        <f>_xlfn.XLOOKUP(B153,Disk_Pivot!G:G,Disk_Pivot!I:I)</f>
        <v>Yes x2</v>
      </c>
      <c r="U153" t="str">
        <f>_xlfn.XLOOKUP(B153,Disk_Pivot!G:G,Disk_Pivot!N:N)</f>
        <v>Pass, Fail</v>
      </c>
      <c r="V153" t="str">
        <f>IF(U153="Fail",MacReports!O153,"")</f>
        <v/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MacReports!D154</f>
        <v>0</v>
      </c>
      <c r="D154" t="str">
        <f>MacReports!C154&amp;""</f>
        <v/>
      </c>
      <c r="E154" t="e">
        <f>_xlfn.XLOOKUP(G154,Models!A:A,Models!F:F)</f>
        <v>#N/A</v>
      </c>
      <c r="F154" t="str">
        <f>_xlfn.XLOOKUP(B154,MacReports!B:B,MacReports!E:E,"")</f>
        <v/>
      </c>
      <c r="G154" s="13">
        <f>MacReports!F154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MacReports!G154</f>
        <v>0</v>
      </c>
      <c r="L154">
        <f>MacReports!H154</f>
        <v>0</v>
      </c>
      <c r="M154" s="15" t="e" cm="1">
        <f t="array" ref="M154">--_xlfn.LET(
    _xlpm.txt, MacReports!I154,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--MacReports!N154&lt;55,"Battery Defect",
  -- MacReports!N154&lt;=69,"Battery D",
  --MacReports!N154&lt;=80,"Battery C",
 --MacReports!N154&gt;80,""
)</f>
        <v>Battery Defect</v>
      </c>
      <c r="O154" s="16" t="str">
        <f>IF(MacReports!J154="Service","Battery Service","")</f>
        <v/>
      </c>
      <c r="P154" s="13">
        <f>MacReports!Q154</f>
        <v>0</v>
      </c>
      <c r="Q154" s="13" t="str">
        <f>IF(MacReports!K154="Enabled","Apple ID Lock","")</f>
        <v/>
      </c>
      <c r="R154" s="13" t="str">
        <f>IF(MacReports!M154="Remote Lock","Remote Locked","")</f>
        <v/>
      </c>
      <c r="S154" t="str">
        <f t="shared" si="5"/>
        <v>Battery Defect, 0</v>
      </c>
      <c r="T154" t="str">
        <f>_xlfn.XLOOKUP(B154,Disk_Pivot!G:G,Disk_Pivot!I:I)</f>
        <v>Yes x2</v>
      </c>
      <c r="U154" t="str">
        <f>_xlfn.XLOOKUP(B154,Disk_Pivot!G:G,Disk_Pivot!N:N)</f>
        <v>Pass, Fail</v>
      </c>
      <c r="V154" t="str">
        <f>IF(U154="Fail",MacReports!O154,"")</f>
        <v/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MacReports!D155</f>
        <v>0</v>
      </c>
      <c r="D155" t="str">
        <f>MacReports!C155&amp;""</f>
        <v/>
      </c>
      <c r="E155" t="e">
        <f>_xlfn.XLOOKUP(G155,Models!A:A,Models!F:F)</f>
        <v>#N/A</v>
      </c>
      <c r="F155" t="str">
        <f>_xlfn.XLOOKUP(B155,MacReports!B:B,MacReports!E:E,"")</f>
        <v/>
      </c>
      <c r="G155" s="13">
        <f>MacReports!F155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MacReports!G155</f>
        <v>0</v>
      </c>
      <c r="L155">
        <f>MacReports!H155</f>
        <v>0</v>
      </c>
      <c r="M155" s="15" t="e" cm="1">
        <f t="array" ref="M155">--_xlfn.LET(
    _xlpm.txt, MacReports!I155,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--MacReports!N155&lt;55,"Battery Defect",
  -- MacReports!N155&lt;=69,"Battery D",
  --MacReports!N155&lt;=80,"Battery C",
 --MacReports!N155&gt;80,""
)</f>
        <v>Battery Defect</v>
      </c>
      <c r="O155" s="16" t="str">
        <f>IF(MacReports!J155="Service","Battery Service","")</f>
        <v/>
      </c>
      <c r="P155" s="13">
        <f>MacReports!Q155</f>
        <v>0</v>
      </c>
      <c r="Q155" s="13" t="str">
        <f>IF(MacReports!K155="Enabled","Apple ID Lock","")</f>
        <v/>
      </c>
      <c r="R155" s="13" t="str">
        <f>IF(MacReports!M155="Remote Lock","Remote Locked","")</f>
        <v/>
      </c>
      <c r="S155" t="str">
        <f t="shared" si="5"/>
        <v>Battery Defect, 0</v>
      </c>
      <c r="T155" t="str">
        <f>_xlfn.XLOOKUP(B155,Disk_Pivot!G:G,Disk_Pivot!I:I)</f>
        <v>Yes x2</v>
      </c>
      <c r="U155" t="str">
        <f>_xlfn.XLOOKUP(B155,Disk_Pivot!G:G,Disk_Pivot!N:N)</f>
        <v>Pass, Fail</v>
      </c>
      <c r="V155" t="str">
        <f>IF(U155="Fail",MacReports!O155,"")</f>
        <v/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MacReports!D156</f>
        <v>0</v>
      </c>
      <c r="D156" t="str">
        <f>MacReports!C156&amp;""</f>
        <v/>
      </c>
      <c r="E156" t="e">
        <f>_xlfn.XLOOKUP(G156,Models!A:A,Models!F:F)</f>
        <v>#N/A</v>
      </c>
      <c r="F156" t="str">
        <f>_xlfn.XLOOKUP(B156,MacReports!B:B,MacReports!E:E,"")</f>
        <v/>
      </c>
      <c r="G156" s="13">
        <f>MacReports!F156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MacReports!G156</f>
        <v>0</v>
      </c>
      <c r="L156">
        <f>MacReports!H156</f>
        <v>0</v>
      </c>
      <c r="M156" s="15" t="e" cm="1">
        <f t="array" ref="M156">--_xlfn.LET(
    _xlpm.txt, MacReports!I156,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--MacReports!N156&lt;55,"Battery Defect",
  -- MacReports!N156&lt;=69,"Battery D",
  --MacReports!N156&lt;=80,"Battery C",
 --MacReports!N156&gt;80,""
)</f>
        <v>Battery Defect</v>
      </c>
      <c r="O156" s="16" t="str">
        <f>IF(MacReports!J156="Service","Battery Service","")</f>
        <v/>
      </c>
      <c r="P156" s="13">
        <f>MacReports!Q156</f>
        <v>0</v>
      </c>
      <c r="Q156" s="13" t="str">
        <f>IF(MacReports!K156="Enabled","Apple ID Lock","")</f>
        <v/>
      </c>
      <c r="R156" s="13" t="str">
        <f>IF(MacReports!M156="Remote Lock","Remote Locked","")</f>
        <v/>
      </c>
      <c r="S156" t="str">
        <f t="shared" si="5"/>
        <v>Battery Defect, 0</v>
      </c>
      <c r="T156" t="str">
        <f>_xlfn.XLOOKUP(B156,Disk_Pivot!G:G,Disk_Pivot!I:I)</f>
        <v>Yes x2</v>
      </c>
      <c r="U156" t="str">
        <f>_xlfn.XLOOKUP(B156,Disk_Pivot!G:G,Disk_Pivot!N:N)</f>
        <v>Pass, Fail</v>
      </c>
      <c r="V156" t="str">
        <f>IF(U156="Fail",MacReports!O156,"")</f>
        <v/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MacReports!D157</f>
        <v>0</v>
      </c>
      <c r="D157" t="str">
        <f>MacReports!C157&amp;""</f>
        <v/>
      </c>
      <c r="E157" t="e">
        <f>_xlfn.XLOOKUP(G157,Models!A:A,Models!F:F)</f>
        <v>#N/A</v>
      </c>
      <c r="F157" t="str">
        <f>_xlfn.XLOOKUP(B157,MacReports!B:B,MacReports!E:E,"")</f>
        <v/>
      </c>
      <c r="G157" s="13">
        <f>MacReports!F157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MacReports!G157</f>
        <v>0</v>
      </c>
      <c r="L157">
        <f>MacReports!H157</f>
        <v>0</v>
      </c>
      <c r="M157" s="15" t="e" cm="1">
        <f t="array" ref="M157">--_xlfn.LET(
    _xlpm.txt, MacReports!I157,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--MacReports!N157&lt;55,"Battery Defect",
  -- MacReports!N157&lt;=69,"Battery D",
  --MacReports!N157&lt;=80,"Battery C",
 --MacReports!N157&gt;80,""
)</f>
        <v>Battery Defect</v>
      </c>
      <c r="O157" s="16" t="str">
        <f>IF(MacReports!J157="Service","Battery Service","")</f>
        <v/>
      </c>
      <c r="P157" s="13">
        <f>MacReports!Q157</f>
        <v>0</v>
      </c>
      <c r="Q157" s="13" t="str">
        <f>IF(MacReports!K157="Enabled","Apple ID Lock","")</f>
        <v/>
      </c>
      <c r="R157" s="13" t="str">
        <f>IF(MacReports!M157="Remote Lock","Remote Locked","")</f>
        <v/>
      </c>
      <c r="S157" t="str">
        <f t="shared" si="5"/>
        <v>Battery Defect, 0</v>
      </c>
      <c r="T157" t="str">
        <f>_xlfn.XLOOKUP(B157,Disk_Pivot!G:G,Disk_Pivot!I:I)</f>
        <v>Yes x2</v>
      </c>
      <c r="U157" t="str">
        <f>_xlfn.XLOOKUP(B157,Disk_Pivot!G:G,Disk_Pivot!N:N)</f>
        <v>Pass, Fail</v>
      </c>
      <c r="V157" t="str">
        <f>IF(U157="Fail",MacReports!O157,"")</f>
        <v/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MacReports!D158</f>
        <v>0</v>
      </c>
      <c r="D158" t="str">
        <f>MacReports!C158&amp;""</f>
        <v/>
      </c>
      <c r="E158" t="e">
        <f>_xlfn.XLOOKUP(G158,Models!A:A,Models!F:F)</f>
        <v>#N/A</v>
      </c>
      <c r="F158" t="str">
        <f>_xlfn.XLOOKUP(B158,MacReports!B:B,MacReports!E:E,"")</f>
        <v/>
      </c>
      <c r="G158" s="13">
        <f>MacReports!F158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MacReports!G158</f>
        <v>0</v>
      </c>
      <c r="L158">
        <f>MacReports!H158</f>
        <v>0</v>
      </c>
      <c r="M158" s="15" t="e" cm="1">
        <f t="array" ref="M158">--_xlfn.LET(
    _xlpm.txt, MacReports!I158,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--MacReports!N158&lt;55,"Battery Defect",
  -- MacReports!N158&lt;=69,"Battery D",
  --MacReports!N158&lt;=80,"Battery C",
 --MacReports!N158&gt;80,""
)</f>
        <v>Battery Defect</v>
      </c>
      <c r="O158" s="16" t="str">
        <f>IF(MacReports!J158="Service","Battery Service","")</f>
        <v/>
      </c>
      <c r="P158" s="13">
        <f>MacReports!Q158</f>
        <v>0</v>
      </c>
      <c r="Q158" s="13" t="str">
        <f>IF(MacReports!K158="Enabled","Apple ID Lock","")</f>
        <v/>
      </c>
      <c r="R158" s="13" t="str">
        <f>IF(MacReports!M158="Remote Lock","Remote Locked","")</f>
        <v/>
      </c>
      <c r="S158" t="str">
        <f t="shared" si="5"/>
        <v>Battery Defect, 0</v>
      </c>
      <c r="T158" t="str">
        <f>_xlfn.XLOOKUP(B158,Disk_Pivot!G:G,Disk_Pivot!I:I)</f>
        <v>Yes x2</v>
      </c>
      <c r="U158" t="str">
        <f>_xlfn.XLOOKUP(B158,Disk_Pivot!G:G,Disk_Pivot!N:N)</f>
        <v>Pass, Fail</v>
      </c>
      <c r="V158" t="str">
        <f>IF(U158="Fail",MacReports!O158,"")</f>
        <v/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MacReports!D159</f>
        <v>0</v>
      </c>
      <c r="D159" t="str">
        <f>MacReports!C159&amp;""</f>
        <v/>
      </c>
      <c r="E159" t="e">
        <f>_xlfn.XLOOKUP(G159,Models!A:A,Models!F:F)</f>
        <v>#N/A</v>
      </c>
      <c r="F159" t="str">
        <f>_xlfn.XLOOKUP(B159,MacReports!B:B,MacReports!E:E,"")</f>
        <v/>
      </c>
      <c r="G159" s="13">
        <f>MacReports!F159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MacReports!G159</f>
        <v>0</v>
      </c>
      <c r="L159">
        <f>MacReports!H159</f>
        <v>0</v>
      </c>
      <c r="M159" s="15" t="e" cm="1">
        <f t="array" ref="M159">--_xlfn.LET(
    _xlpm.txt, MacReports!I159,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--MacReports!N159&lt;55,"Battery Defect",
  -- MacReports!N159&lt;=69,"Battery D",
  --MacReports!N159&lt;=80,"Battery C",
 --MacReports!N159&gt;80,""
)</f>
        <v>Battery Defect</v>
      </c>
      <c r="O159" s="16" t="str">
        <f>IF(MacReports!J159="Service","Battery Service","")</f>
        <v/>
      </c>
      <c r="P159" s="13">
        <f>MacReports!Q159</f>
        <v>0</v>
      </c>
      <c r="Q159" s="13" t="str">
        <f>IF(MacReports!K159="Enabled","Apple ID Lock","")</f>
        <v/>
      </c>
      <c r="R159" s="13" t="str">
        <f>IF(MacReports!M159="Remote Lock","Remote Locked","")</f>
        <v/>
      </c>
      <c r="S159" t="str">
        <f t="shared" si="5"/>
        <v>Battery Defect, 0</v>
      </c>
      <c r="T159" t="str">
        <f>_xlfn.XLOOKUP(B159,Disk_Pivot!G:G,Disk_Pivot!I:I)</f>
        <v>Yes x2</v>
      </c>
      <c r="U159" t="str">
        <f>_xlfn.XLOOKUP(B159,Disk_Pivot!G:G,Disk_Pivot!N:N)</f>
        <v>Pass, Fail</v>
      </c>
      <c r="V159" t="str">
        <f>IF(U159="Fail",MacReports!O159,"")</f>
        <v/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MacReports!D160</f>
        <v>0</v>
      </c>
      <c r="D160" t="str">
        <f>MacReports!C160&amp;""</f>
        <v/>
      </c>
      <c r="E160" t="e">
        <f>_xlfn.XLOOKUP(G160,Models!A:A,Models!F:F)</f>
        <v>#N/A</v>
      </c>
      <c r="F160" t="str">
        <f>_xlfn.XLOOKUP(B160,MacReports!B:B,MacReports!E:E,"")</f>
        <v/>
      </c>
      <c r="G160" s="13">
        <f>MacReports!F160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MacReports!G160</f>
        <v>0</v>
      </c>
      <c r="L160">
        <f>MacReports!H160</f>
        <v>0</v>
      </c>
      <c r="M160" s="15" t="e" cm="1">
        <f t="array" ref="M160">--_xlfn.LET(
    _xlpm.txt, MacReports!I160,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--MacReports!N160&lt;55,"Battery Defect",
  -- MacReports!N160&lt;=69,"Battery D",
  --MacReports!N160&lt;=80,"Battery C",
 --MacReports!N160&gt;80,""
)</f>
        <v>Battery Defect</v>
      </c>
      <c r="O160" s="16" t="str">
        <f>IF(MacReports!J160="Service","Battery Service","")</f>
        <v/>
      </c>
      <c r="P160" s="13">
        <f>MacReports!Q160</f>
        <v>0</v>
      </c>
      <c r="Q160" s="13" t="str">
        <f>IF(MacReports!K160="Enabled","Apple ID Lock","")</f>
        <v/>
      </c>
      <c r="R160" s="13" t="str">
        <f>IF(MacReports!M160="Remote Lock","Remote Locked","")</f>
        <v/>
      </c>
      <c r="S160" t="str">
        <f t="shared" si="5"/>
        <v>Battery Defect, 0</v>
      </c>
      <c r="T160" t="str">
        <f>_xlfn.XLOOKUP(B160,Disk_Pivot!G:G,Disk_Pivot!I:I)</f>
        <v>Yes x2</v>
      </c>
      <c r="U160" t="str">
        <f>_xlfn.XLOOKUP(B160,Disk_Pivot!G:G,Disk_Pivot!N:N)</f>
        <v>Pass, Fail</v>
      </c>
      <c r="V160" t="str">
        <f>IF(U160="Fail",MacReports!O160,"")</f>
        <v/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MacReports!D161</f>
        <v>0</v>
      </c>
      <c r="D161" t="str">
        <f>MacReports!C161&amp;""</f>
        <v/>
      </c>
      <c r="E161" t="e">
        <f>_xlfn.XLOOKUP(G161,Models!A:A,Models!F:F)</f>
        <v>#N/A</v>
      </c>
      <c r="F161" t="str">
        <f>_xlfn.XLOOKUP(B161,MacReports!B:B,MacReports!E:E,"")</f>
        <v/>
      </c>
      <c r="G161" s="13">
        <f>MacReports!F161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MacReports!G161</f>
        <v>0</v>
      </c>
      <c r="L161">
        <f>MacReports!H161</f>
        <v>0</v>
      </c>
      <c r="M161" s="15" t="e" cm="1">
        <f t="array" ref="M161">--_xlfn.LET(
    _xlpm.txt, MacReports!I161,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--MacReports!N161&lt;55,"Battery Defect",
  -- MacReports!N161&lt;=69,"Battery D",
  --MacReports!N161&lt;=80,"Battery C",
 --MacReports!N161&gt;80,""
)</f>
        <v>Battery Defect</v>
      </c>
      <c r="O161" s="16" t="str">
        <f>IF(MacReports!J161="Service","Battery Service","")</f>
        <v/>
      </c>
      <c r="P161" s="13">
        <f>MacReports!Q161</f>
        <v>0</v>
      </c>
      <c r="Q161" s="13" t="str">
        <f>IF(MacReports!K161="Enabled","Apple ID Lock","")</f>
        <v/>
      </c>
      <c r="R161" s="13" t="str">
        <f>IF(MacReports!M161="Remote Lock","Remote Locked","")</f>
        <v/>
      </c>
      <c r="S161" t="str">
        <f t="shared" si="5"/>
        <v>Battery Defect, 0</v>
      </c>
      <c r="T161" t="str">
        <f>_xlfn.XLOOKUP(B161,Disk_Pivot!G:G,Disk_Pivot!I:I)</f>
        <v>Yes x2</v>
      </c>
      <c r="U161" t="str">
        <f>_xlfn.XLOOKUP(B161,Disk_Pivot!G:G,Disk_Pivot!N:N)</f>
        <v>Pass, Fail</v>
      </c>
      <c r="V161" t="str">
        <f>IF(U161="Fail",MacReports!O161,"")</f>
        <v/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MacReports!D162</f>
        <v>0</v>
      </c>
      <c r="D162" t="str">
        <f>MacReports!C162&amp;""</f>
        <v/>
      </c>
      <c r="E162" t="e">
        <f>_xlfn.XLOOKUP(G162,Models!A:A,Models!F:F)</f>
        <v>#N/A</v>
      </c>
      <c r="F162" t="str">
        <f>_xlfn.XLOOKUP(B162,MacReports!B:B,MacReports!E:E,"")</f>
        <v/>
      </c>
      <c r="G162" s="13">
        <f>MacReports!F162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MacReports!G162</f>
        <v>0</v>
      </c>
      <c r="L162">
        <f>MacReports!H162</f>
        <v>0</v>
      </c>
      <c r="M162" s="15" t="e" cm="1">
        <f t="array" ref="M162">--_xlfn.LET(
    _xlpm.txt, MacReports!I162,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--MacReports!N162&lt;55,"Battery Defect",
  -- MacReports!N162&lt;=69,"Battery D",
  --MacReports!N162&lt;=80,"Battery C",
 --MacReports!N162&gt;80,""
)</f>
        <v>Battery Defect</v>
      </c>
      <c r="O162" s="16" t="str">
        <f>IF(MacReports!J162="Service","Battery Service","")</f>
        <v/>
      </c>
      <c r="P162" s="13">
        <f>MacReports!Q162</f>
        <v>0</v>
      </c>
      <c r="Q162" s="13" t="str">
        <f>IF(MacReports!K162="Enabled","Apple ID Lock","")</f>
        <v/>
      </c>
      <c r="R162" s="13" t="str">
        <f>IF(MacReports!M162="Remote Lock","Remote Locked","")</f>
        <v/>
      </c>
      <c r="S162" t="str">
        <f t="shared" si="5"/>
        <v>Battery Defect, 0</v>
      </c>
      <c r="T162" t="str">
        <f>_xlfn.XLOOKUP(B162,Disk_Pivot!G:G,Disk_Pivot!I:I)</f>
        <v>Yes x2</v>
      </c>
      <c r="U162" t="str">
        <f>_xlfn.XLOOKUP(B162,Disk_Pivot!G:G,Disk_Pivot!N:N)</f>
        <v>Pass, Fail</v>
      </c>
      <c r="V162" t="str">
        <f>IF(U162="Fail",MacReports!O162,"")</f>
        <v/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MacReports!D163</f>
        <v>0</v>
      </c>
      <c r="D163" t="str">
        <f>MacReports!C163&amp;""</f>
        <v/>
      </c>
      <c r="E163" t="e">
        <f>_xlfn.XLOOKUP(G163,Models!A:A,Models!F:F)</f>
        <v>#N/A</v>
      </c>
      <c r="F163" t="str">
        <f>_xlfn.XLOOKUP(B163,MacReports!B:B,MacReports!E:E,"")</f>
        <v/>
      </c>
      <c r="G163" s="13">
        <f>MacReports!F163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MacReports!G163</f>
        <v>0</v>
      </c>
      <c r="L163">
        <f>MacReports!H163</f>
        <v>0</v>
      </c>
      <c r="M163" s="15" t="e" cm="1">
        <f t="array" ref="M163">--_xlfn.LET(
    _xlpm.txt, MacReports!I163,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--MacReports!N163&lt;55,"Battery Defect",
  -- MacReports!N163&lt;=69,"Battery D",
  --MacReports!N163&lt;=80,"Battery C",
 --MacReports!N163&gt;80,""
)</f>
        <v>Battery Defect</v>
      </c>
      <c r="O163" s="16" t="str">
        <f>IF(MacReports!J163="Service","Battery Service","")</f>
        <v/>
      </c>
      <c r="P163" s="13">
        <f>MacReports!Q163</f>
        <v>0</v>
      </c>
      <c r="Q163" s="13" t="str">
        <f>IF(MacReports!K163="Enabled","Apple ID Lock","")</f>
        <v/>
      </c>
      <c r="R163" s="13" t="str">
        <f>IF(MacReports!M163="Remote Lock","Remote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Yes x2</v>
      </c>
      <c r="U163" t="str">
        <f>_xlfn.XLOOKUP(B163,Disk_Pivot!G:G,Disk_Pivot!N:N)</f>
        <v>Pass, Fail</v>
      </c>
      <c r="V163" t="str">
        <f>IF(U163="Fail",MacReports!O163,"")</f>
        <v/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MacReports!D164</f>
        <v>0</v>
      </c>
      <c r="D164" t="str">
        <f>MacReports!C164&amp;""</f>
        <v/>
      </c>
      <c r="E164" t="e">
        <f>_xlfn.XLOOKUP(G164,Models!A:A,Models!F:F)</f>
        <v>#N/A</v>
      </c>
      <c r="F164" t="str">
        <f>_xlfn.XLOOKUP(B164,MacReports!B:B,MacReports!E:E,"")</f>
        <v/>
      </c>
      <c r="G164" s="13">
        <f>MacReports!F164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MacReports!G164</f>
        <v>0</v>
      </c>
      <c r="L164">
        <f>MacReports!H164</f>
        <v>0</v>
      </c>
      <c r="M164" s="15" t="e" cm="1">
        <f t="array" ref="M164">--_xlfn.LET(
    _xlpm.txt, MacReports!I164,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--MacReports!N164&lt;55,"Battery Defect",
  -- MacReports!N164&lt;=69,"Battery D",
  --MacReports!N164&lt;=80,"Battery C",
 --MacReports!N164&gt;80,""
)</f>
        <v>Battery Defect</v>
      </c>
      <c r="O164" s="16" t="str">
        <f>IF(MacReports!J164="Service","Battery Service","")</f>
        <v/>
      </c>
      <c r="P164" s="13">
        <f>MacReports!Q164</f>
        <v>0</v>
      </c>
      <c r="Q164" s="13" t="str">
        <f>IF(MacReports!K164="Enabled","Apple ID Lock","")</f>
        <v/>
      </c>
      <c r="R164" s="13" t="str">
        <f>IF(MacReports!M164="Remote Lock","Remote Locked","")</f>
        <v/>
      </c>
      <c r="S164" t="str">
        <f t="shared" si="7"/>
        <v>Battery Defect, 0</v>
      </c>
      <c r="T164" t="str">
        <f>_xlfn.XLOOKUP(B164,Disk_Pivot!G:G,Disk_Pivot!I:I)</f>
        <v>Yes x2</v>
      </c>
      <c r="U164" t="str">
        <f>_xlfn.XLOOKUP(B164,Disk_Pivot!G:G,Disk_Pivot!N:N)</f>
        <v>Pass, Fail</v>
      </c>
      <c r="V164" t="str">
        <f>IF(U164="Fail",MacReports!O164,"")</f>
        <v/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MacReports!D165</f>
        <v>0</v>
      </c>
      <c r="D165" t="str">
        <f>MacReports!C165&amp;""</f>
        <v/>
      </c>
      <c r="E165" t="e">
        <f>_xlfn.XLOOKUP(G165,Models!A:A,Models!F:F)</f>
        <v>#N/A</v>
      </c>
      <c r="F165" t="str">
        <f>_xlfn.XLOOKUP(B165,MacReports!B:B,MacReports!E:E,"")</f>
        <v/>
      </c>
      <c r="G165" s="13">
        <f>MacReports!F165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MacReports!G165</f>
        <v>0</v>
      </c>
      <c r="L165">
        <f>MacReports!H165</f>
        <v>0</v>
      </c>
      <c r="M165" s="15" t="e" cm="1">
        <f t="array" ref="M165">--_xlfn.LET(
    _xlpm.txt, MacReports!I165,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--MacReports!N165&lt;55,"Battery Defect",
  -- MacReports!N165&lt;=69,"Battery D",
  --MacReports!N165&lt;=80,"Battery C",
 --MacReports!N165&gt;80,""
)</f>
        <v>Battery Defect</v>
      </c>
      <c r="O165" s="16" t="str">
        <f>IF(MacReports!J165="Service","Battery Service","")</f>
        <v/>
      </c>
      <c r="P165" s="13">
        <f>MacReports!Q165</f>
        <v>0</v>
      </c>
      <c r="Q165" s="13" t="str">
        <f>IF(MacReports!K165="Enabled","Apple ID Lock","")</f>
        <v/>
      </c>
      <c r="R165" s="13" t="str">
        <f>IF(MacReports!M165="Remote Lock","Remote Locked","")</f>
        <v/>
      </c>
      <c r="S165" t="str">
        <f t="shared" si="7"/>
        <v>Battery Defect, 0</v>
      </c>
      <c r="T165" t="str">
        <f>_xlfn.XLOOKUP(B165,Disk_Pivot!G:G,Disk_Pivot!I:I)</f>
        <v>Yes x2</v>
      </c>
      <c r="U165" t="str">
        <f>_xlfn.XLOOKUP(B165,Disk_Pivot!G:G,Disk_Pivot!N:N)</f>
        <v>Pass, Fail</v>
      </c>
      <c r="V165" t="str">
        <f>IF(U165="Fail",MacReports!O165,"")</f>
        <v/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MacReports!D166</f>
        <v>0</v>
      </c>
      <c r="D166" t="str">
        <f>MacReports!C166&amp;""</f>
        <v/>
      </c>
      <c r="E166" t="e">
        <f>_xlfn.XLOOKUP(G166,Models!A:A,Models!F:F)</f>
        <v>#N/A</v>
      </c>
      <c r="F166" t="str">
        <f>_xlfn.XLOOKUP(B166,MacReports!B:B,MacReports!E:E,"")</f>
        <v/>
      </c>
      <c r="G166" s="13">
        <f>MacReports!F166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MacReports!G166</f>
        <v>0</v>
      </c>
      <c r="L166">
        <f>MacReports!H166</f>
        <v>0</v>
      </c>
      <c r="M166" s="15" t="e" cm="1">
        <f t="array" ref="M166">--_xlfn.LET(
    _xlpm.txt, MacReports!I166,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--MacReports!N166&lt;55,"Battery Defect",
  -- MacReports!N166&lt;=69,"Battery D",
  --MacReports!N166&lt;=80,"Battery C",
 --MacReports!N166&gt;80,""
)</f>
        <v>Battery Defect</v>
      </c>
      <c r="O166" s="16" t="str">
        <f>IF(MacReports!J166="Service","Battery Service","")</f>
        <v/>
      </c>
      <c r="P166" s="13">
        <f>MacReports!Q166</f>
        <v>0</v>
      </c>
      <c r="Q166" s="13" t="str">
        <f>IF(MacReports!K166="Enabled","Apple ID Lock","")</f>
        <v/>
      </c>
      <c r="R166" s="13" t="str">
        <f>IF(MacReports!M166="Remote Lock","Remote Locked","")</f>
        <v/>
      </c>
      <c r="S166" t="str">
        <f t="shared" si="7"/>
        <v>Battery Defect, 0</v>
      </c>
      <c r="T166" t="str">
        <f>_xlfn.XLOOKUP(B166,Disk_Pivot!G:G,Disk_Pivot!I:I)</f>
        <v>Yes x2</v>
      </c>
      <c r="U166" t="str">
        <f>_xlfn.XLOOKUP(B166,Disk_Pivot!G:G,Disk_Pivot!N:N)</f>
        <v>Pass, Fail</v>
      </c>
      <c r="V166" t="str">
        <f>IF(U166="Fail",MacReports!O166,"")</f>
        <v/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MacReports!D167</f>
        <v>0</v>
      </c>
      <c r="D167" t="str">
        <f>MacReports!C167&amp;""</f>
        <v/>
      </c>
      <c r="E167" t="e">
        <f>_xlfn.XLOOKUP(G167,Models!A:A,Models!F:F)</f>
        <v>#N/A</v>
      </c>
      <c r="F167" t="str">
        <f>_xlfn.XLOOKUP(B167,MacReports!B:B,MacReports!E:E,"")</f>
        <v/>
      </c>
      <c r="G167" s="13">
        <f>MacReports!F167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MacReports!G167</f>
        <v>0</v>
      </c>
      <c r="L167">
        <f>MacReports!H167</f>
        <v>0</v>
      </c>
      <c r="M167" s="15" t="e" cm="1">
        <f t="array" ref="M167">--_xlfn.LET(
    _xlpm.txt, MacReports!I167,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--MacReports!N167&lt;55,"Battery Defect",
  -- MacReports!N167&lt;=69,"Battery D",
  --MacReports!N167&lt;=80,"Battery C",
 --MacReports!N167&gt;80,""
)</f>
        <v>Battery Defect</v>
      </c>
      <c r="O167" s="16" t="str">
        <f>IF(MacReports!J167="Service","Battery Service","")</f>
        <v/>
      </c>
      <c r="P167" s="13">
        <f>MacReports!Q167</f>
        <v>0</v>
      </c>
      <c r="Q167" s="13" t="str">
        <f>IF(MacReports!K167="Enabled","Apple ID Lock","")</f>
        <v/>
      </c>
      <c r="R167" s="13" t="str">
        <f>IF(MacReports!M167="Remote Lock","Remote Locked","")</f>
        <v/>
      </c>
      <c r="S167" t="str">
        <f t="shared" si="7"/>
        <v>Battery Defect, 0</v>
      </c>
      <c r="T167" t="str">
        <f>_xlfn.XLOOKUP(B167,Disk_Pivot!G:G,Disk_Pivot!I:I)</f>
        <v>Yes x2</v>
      </c>
      <c r="U167" t="str">
        <f>_xlfn.XLOOKUP(B167,Disk_Pivot!G:G,Disk_Pivot!N:N)</f>
        <v>Pass, Fail</v>
      </c>
      <c r="V167" t="str">
        <f>IF(U167="Fail",MacReports!O167,"")</f>
        <v/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MacReports!D168</f>
        <v>0</v>
      </c>
      <c r="D168" t="str">
        <f>MacReports!C168&amp;""</f>
        <v/>
      </c>
      <c r="E168" t="e">
        <f>_xlfn.XLOOKUP(G168,Models!A:A,Models!F:F)</f>
        <v>#N/A</v>
      </c>
      <c r="F168" t="str">
        <f>_xlfn.XLOOKUP(B168,MacReports!B:B,MacReports!E:E,"")</f>
        <v/>
      </c>
      <c r="G168" s="13">
        <f>MacReports!F168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MacReports!G168</f>
        <v>0</v>
      </c>
      <c r="L168">
        <f>MacReports!H168</f>
        <v>0</v>
      </c>
      <c r="M168" s="15" t="e" cm="1">
        <f t="array" ref="M168">--_xlfn.LET(
    _xlpm.txt, MacReports!I168,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--MacReports!N168&lt;55,"Battery Defect",
  -- MacReports!N168&lt;=69,"Battery D",
  --MacReports!N168&lt;=80,"Battery C",
 --MacReports!N168&gt;80,""
)</f>
        <v>Battery Defect</v>
      </c>
      <c r="O168" s="16" t="str">
        <f>IF(MacReports!J168="Service","Battery Service","")</f>
        <v/>
      </c>
      <c r="P168" s="13">
        <f>MacReports!Q168</f>
        <v>0</v>
      </c>
      <c r="Q168" s="13" t="str">
        <f>IF(MacReports!K168="Enabled","Apple ID Lock","")</f>
        <v/>
      </c>
      <c r="R168" s="13" t="str">
        <f>IF(MacReports!M168="Remote Lock","Remote Locked","")</f>
        <v/>
      </c>
      <c r="S168" t="str">
        <f t="shared" si="7"/>
        <v>Battery Defect, 0</v>
      </c>
      <c r="T168" t="str">
        <f>_xlfn.XLOOKUP(B168,Disk_Pivot!G:G,Disk_Pivot!I:I)</f>
        <v>Yes x2</v>
      </c>
      <c r="U168" t="str">
        <f>_xlfn.XLOOKUP(B168,Disk_Pivot!G:G,Disk_Pivot!N:N)</f>
        <v>Pass, Fail</v>
      </c>
      <c r="V168" t="str">
        <f>IF(U168="Fail",MacReports!O168,"")</f>
        <v/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MacReports!D169</f>
        <v>0</v>
      </c>
      <c r="D169" t="str">
        <f>MacReports!C169&amp;""</f>
        <v/>
      </c>
      <c r="E169" t="e">
        <f>_xlfn.XLOOKUP(G169,Models!A:A,Models!F:F)</f>
        <v>#N/A</v>
      </c>
      <c r="F169" t="str">
        <f>_xlfn.XLOOKUP(B169,MacReports!B:B,MacReports!E:E,"")</f>
        <v/>
      </c>
      <c r="G169" s="13">
        <f>MacReports!F169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MacReports!G169</f>
        <v>0</v>
      </c>
      <c r="L169">
        <f>MacReports!H169</f>
        <v>0</v>
      </c>
      <c r="M169" s="15" t="e" cm="1">
        <f t="array" ref="M169">--_xlfn.LET(
    _xlpm.txt, MacReports!I169,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--MacReports!N169&lt;55,"Battery Defect",
  -- MacReports!N169&lt;=69,"Battery D",
  --MacReports!N169&lt;=80,"Battery C",
 --MacReports!N169&gt;80,""
)</f>
        <v>Battery Defect</v>
      </c>
      <c r="O169" s="16" t="str">
        <f>IF(MacReports!J169="Service","Battery Service","")</f>
        <v/>
      </c>
      <c r="P169" s="13">
        <f>MacReports!Q169</f>
        <v>0</v>
      </c>
      <c r="Q169" s="13" t="str">
        <f>IF(MacReports!K169="Enabled","Apple ID Lock","")</f>
        <v/>
      </c>
      <c r="R169" s="13" t="str">
        <f>IF(MacReports!M169="Remote Lock","Remote Locked","")</f>
        <v/>
      </c>
      <c r="S169" t="str">
        <f t="shared" si="7"/>
        <v>Battery Defect, 0</v>
      </c>
      <c r="T169" t="str">
        <f>_xlfn.XLOOKUP(B169,Disk_Pivot!G:G,Disk_Pivot!I:I)</f>
        <v>Yes x2</v>
      </c>
      <c r="U169" t="str">
        <f>_xlfn.XLOOKUP(B169,Disk_Pivot!G:G,Disk_Pivot!N:N)</f>
        <v>Pass, Fail</v>
      </c>
      <c r="V169" t="str">
        <f>IF(U169="Fail",MacReports!O169,"")</f>
        <v/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MacReports!D170</f>
        <v>0</v>
      </c>
      <c r="D170" t="str">
        <f>MacReports!C170&amp;""</f>
        <v/>
      </c>
      <c r="E170" t="e">
        <f>_xlfn.XLOOKUP(G170,Models!A:A,Models!F:F)</f>
        <v>#N/A</v>
      </c>
      <c r="F170" t="str">
        <f>_xlfn.XLOOKUP(B170,MacReports!B:B,MacReports!E:E,"")</f>
        <v/>
      </c>
      <c r="G170" s="13">
        <f>MacReports!F170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MacReports!G170</f>
        <v>0</v>
      </c>
      <c r="L170">
        <f>MacReports!H170</f>
        <v>0</v>
      </c>
      <c r="M170" s="15" t="e" cm="1">
        <f t="array" ref="M170">--_xlfn.LET(
    _xlpm.txt, MacReports!I170,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--MacReports!N170&lt;55,"Battery Defect",
  -- MacReports!N170&lt;=69,"Battery D",
  --MacReports!N170&lt;=80,"Battery C",
 --MacReports!N170&gt;80,""
)</f>
        <v>Battery Defect</v>
      </c>
      <c r="O170" s="16" t="str">
        <f>IF(MacReports!J170="Service","Battery Service","")</f>
        <v/>
      </c>
      <c r="P170" s="13">
        <f>MacReports!Q170</f>
        <v>0</v>
      </c>
      <c r="Q170" s="13" t="str">
        <f>IF(MacReports!K170="Enabled","Apple ID Lock","")</f>
        <v/>
      </c>
      <c r="R170" s="13" t="str">
        <f>IF(MacReports!M170="Remote Lock","Remote Locked","")</f>
        <v/>
      </c>
      <c r="S170" t="str">
        <f t="shared" si="7"/>
        <v>Battery Defect, 0</v>
      </c>
      <c r="T170" t="str">
        <f>_xlfn.XLOOKUP(B170,Disk_Pivot!G:G,Disk_Pivot!I:I)</f>
        <v>Yes x2</v>
      </c>
      <c r="U170" t="str">
        <f>_xlfn.XLOOKUP(B170,Disk_Pivot!G:G,Disk_Pivot!N:N)</f>
        <v>Pass, Fail</v>
      </c>
      <c r="V170" t="str">
        <f>IF(U170="Fail",MacReports!O170,"")</f>
        <v/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MacReports!D171</f>
        <v>0</v>
      </c>
      <c r="D171" t="str">
        <f>MacReports!C171&amp;""</f>
        <v/>
      </c>
      <c r="E171" t="e">
        <f>_xlfn.XLOOKUP(G171,Models!A:A,Models!F:F)</f>
        <v>#N/A</v>
      </c>
      <c r="F171" t="str">
        <f>_xlfn.XLOOKUP(B171,MacReports!B:B,MacReports!E:E,"")</f>
        <v/>
      </c>
      <c r="G171" s="13">
        <f>MacReports!F171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MacReports!G171</f>
        <v>0</v>
      </c>
      <c r="L171">
        <f>MacReports!H171</f>
        <v>0</v>
      </c>
      <c r="M171" s="15" t="e" cm="1">
        <f t="array" ref="M171">--_xlfn.LET(
    _xlpm.txt, MacReports!I171,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--MacReports!N171&lt;55,"Battery Defect",
  -- MacReports!N171&lt;=69,"Battery D",
  --MacReports!N171&lt;=80,"Battery C",
 --MacReports!N171&gt;80,""
)</f>
        <v>Battery Defect</v>
      </c>
      <c r="O171" s="16" t="str">
        <f>IF(MacReports!J171="Service","Battery Service","")</f>
        <v/>
      </c>
      <c r="P171" s="13">
        <f>MacReports!Q171</f>
        <v>0</v>
      </c>
      <c r="Q171" s="13" t="str">
        <f>IF(MacReports!K171="Enabled","Apple ID Lock","")</f>
        <v/>
      </c>
      <c r="R171" s="13" t="str">
        <f>IF(MacReports!M171="Remote Lock","Remote Locked","")</f>
        <v/>
      </c>
      <c r="S171" t="str">
        <f t="shared" si="7"/>
        <v>Battery Defect, 0</v>
      </c>
      <c r="T171" t="str">
        <f>_xlfn.XLOOKUP(B171,Disk_Pivot!G:G,Disk_Pivot!I:I)</f>
        <v>Yes x2</v>
      </c>
      <c r="U171" t="str">
        <f>_xlfn.XLOOKUP(B171,Disk_Pivot!G:G,Disk_Pivot!N:N)</f>
        <v>Pass, Fail</v>
      </c>
      <c r="V171" t="str">
        <f>IF(U171="Fail",MacReports!O171,"")</f>
        <v/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MacReports!D172</f>
        <v>0</v>
      </c>
      <c r="D172" t="str">
        <f>MacReports!C172&amp;""</f>
        <v/>
      </c>
      <c r="E172" t="e">
        <f>_xlfn.XLOOKUP(G172,Models!A:A,Models!F:F)</f>
        <v>#N/A</v>
      </c>
      <c r="F172" t="str">
        <f>_xlfn.XLOOKUP(B172,MacReports!B:B,MacReports!E:E,"")</f>
        <v/>
      </c>
      <c r="G172" s="13">
        <f>MacReports!F172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MacReports!G172</f>
        <v>0</v>
      </c>
      <c r="L172">
        <f>MacReports!H172</f>
        <v>0</v>
      </c>
      <c r="M172" s="15" t="e" cm="1">
        <f t="array" ref="M172">--_xlfn.LET(
    _xlpm.txt, MacReports!I172,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--MacReports!N172&lt;55,"Battery Defect",
  -- MacReports!N172&lt;=69,"Battery D",
  --MacReports!N172&lt;=80,"Battery C",
 --MacReports!N172&gt;80,""
)</f>
        <v>Battery Defect</v>
      </c>
      <c r="O172" s="16" t="str">
        <f>IF(MacReports!J172="Service","Battery Service","")</f>
        <v/>
      </c>
      <c r="P172" s="13">
        <f>MacReports!Q172</f>
        <v>0</v>
      </c>
      <c r="Q172" s="13" t="str">
        <f>IF(MacReports!K172="Enabled","Apple ID Lock","")</f>
        <v/>
      </c>
      <c r="R172" s="13" t="str">
        <f>IF(MacReports!M172="Remote Lock","Remote Locked","")</f>
        <v/>
      </c>
      <c r="S172" t="str">
        <f t="shared" si="7"/>
        <v>Battery Defect, 0</v>
      </c>
      <c r="T172" t="str">
        <f>_xlfn.XLOOKUP(B172,Disk_Pivot!G:G,Disk_Pivot!I:I)</f>
        <v>Yes x2</v>
      </c>
      <c r="U172" t="str">
        <f>_xlfn.XLOOKUP(B172,Disk_Pivot!G:G,Disk_Pivot!N:N)</f>
        <v>Pass, Fail</v>
      </c>
      <c r="V172" t="str">
        <f>IF(U172="Fail",MacReports!O172,"")</f>
        <v/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MacReports!D173</f>
        <v>0</v>
      </c>
      <c r="D173" t="str">
        <f>MacReports!C173&amp;""</f>
        <v/>
      </c>
      <c r="E173" t="e">
        <f>_xlfn.XLOOKUP(G173,Models!A:A,Models!F:F)</f>
        <v>#N/A</v>
      </c>
      <c r="F173" t="str">
        <f>_xlfn.XLOOKUP(B173,MacReports!B:B,MacReports!E:E,"")</f>
        <v/>
      </c>
      <c r="G173" s="13">
        <f>MacReports!F173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MacReports!G173</f>
        <v>0</v>
      </c>
      <c r="L173">
        <f>MacReports!H173</f>
        <v>0</v>
      </c>
      <c r="M173" s="15" t="e" cm="1">
        <f t="array" ref="M173">--_xlfn.LET(
    _xlpm.txt, MacReports!I173,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--MacReports!N173&lt;55,"Battery Defect",
  -- MacReports!N173&lt;=69,"Battery D",
  --MacReports!N173&lt;=80,"Battery C",
 --MacReports!N173&gt;80,""
)</f>
        <v>Battery Defect</v>
      </c>
      <c r="O173" s="16" t="str">
        <f>IF(MacReports!J173="Service","Battery Service","")</f>
        <v/>
      </c>
      <c r="P173" s="13">
        <f>MacReports!Q173</f>
        <v>0</v>
      </c>
      <c r="Q173" s="13" t="str">
        <f>IF(MacReports!K173="Enabled","Apple ID Lock","")</f>
        <v/>
      </c>
      <c r="R173" s="13" t="str">
        <f>IF(MacReports!M173="Remote Lock","Remote Locked","")</f>
        <v/>
      </c>
      <c r="S173" t="str">
        <f t="shared" si="7"/>
        <v>Battery Defect, 0</v>
      </c>
      <c r="T173" t="str">
        <f>_xlfn.XLOOKUP(B173,Disk_Pivot!G:G,Disk_Pivot!I:I)</f>
        <v>Yes x2</v>
      </c>
      <c r="U173" t="str">
        <f>_xlfn.XLOOKUP(B173,Disk_Pivot!G:G,Disk_Pivot!N:N)</f>
        <v>Pass, Fail</v>
      </c>
      <c r="V173" t="str">
        <f>IF(U173="Fail",MacReports!O173,"")</f>
        <v/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MacReports!D174</f>
        <v>0</v>
      </c>
      <c r="D174" t="str">
        <f>MacReports!C174&amp;""</f>
        <v/>
      </c>
      <c r="E174" t="e">
        <f>_xlfn.XLOOKUP(G174,Models!A:A,Models!F:F)</f>
        <v>#N/A</v>
      </c>
      <c r="F174" t="str">
        <f>_xlfn.XLOOKUP(B174,MacReports!B:B,MacReports!E:E,"")</f>
        <v/>
      </c>
      <c r="G174" s="13">
        <f>MacReports!F174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MacReports!G174</f>
        <v>0</v>
      </c>
      <c r="L174">
        <f>MacReports!H174</f>
        <v>0</v>
      </c>
      <c r="M174" s="15" t="e" cm="1">
        <f t="array" ref="M174">--_xlfn.LET(
    _xlpm.txt, MacReports!I174,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--MacReports!N174&lt;55,"Battery Defect",
  -- MacReports!N174&lt;=69,"Battery D",
  --MacReports!N174&lt;=80,"Battery C",
 --MacReports!N174&gt;80,""
)</f>
        <v>Battery Defect</v>
      </c>
      <c r="O174" s="16" t="str">
        <f>IF(MacReports!J174="Service","Battery Service","")</f>
        <v/>
      </c>
      <c r="P174" s="13">
        <f>MacReports!Q174</f>
        <v>0</v>
      </c>
      <c r="Q174" s="13" t="str">
        <f>IF(MacReports!K174="Enabled","Apple ID Lock","")</f>
        <v/>
      </c>
      <c r="R174" s="13" t="str">
        <f>IF(MacReports!M174="Remote Lock","Remote Locked","")</f>
        <v/>
      </c>
      <c r="S174" t="str">
        <f t="shared" si="7"/>
        <v>Battery Defect, 0</v>
      </c>
      <c r="T174" t="str">
        <f>_xlfn.XLOOKUP(B174,Disk_Pivot!G:G,Disk_Pivot!I:I)</f>
        <v>Yes x2</v>
      </c>
      <c r="U174" t="str">
        <f>_xlfn.XLOOKUP(B174,Disk_Pivot!G:G,Disk_Pivot!N:N)</f>
        <v>Pass, Fail</v>
      </c>
      <c r="V174" t="str">
        <f>IF(U174="Fail",MacReports!O174,"")</f>
        <v/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MacReports!D175</f>
        <v>0</v>
      </c>
      <c r="D175" t="str">
        <f>MacReports!C175&amp;""</f>
        <v/>
      </c>
      <c r="E175" t="e">
        <f>_xlfn.XLOOKUP(G175,Models!A:A,Models!F:F)</f>
        <v>#N/A</v>
      </c>
      <c r="F175" t="str">
        <f>_xlfn.XLOOKUP(B175,MacReports!B:B,MacReports!E:E,"")</f>
        <v/>
      </c>
      <c r="G175" s="13">
        <f>MacReports!F175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MacReports!G175</f>
        <v>0</v>
      </c>
      <c r="L175">
        <f>MacReports!H175</f>
        <v>0</v>
      </c>
      <c r="M175" s="15" t="e" cm="1">
        <f t="array" ref="M175">--_xlfn.LET(
    _xlpm.txt, MacReports!I175,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--MacReports!N175&lt;55,"Battery Defect",
  -- MacReports!N175&lt;=69,"Battery D",
  --MacReports!N175&lt;=80,"Battery C",
 --MacReports!N175&gt;80,""
)</f>
        <v>Battery Defect</v>
      </c>
      <c r="O175" s="16" t="str">
        <f>IF(MacReports!J175="Service","Battery Service","")</f>
        <v/>
      </c>
      <c r="P175" s="13">
        <f>MacReports!Q175</f>
        <v>0</v>
      </c>
      <c r="Q175" s="13" t="str">
        <f>IF(MacReports!K175="Enabled","Apple ID Lock","")</f>
        <v/>
      </c>
      <c r="R175" s="13" t="str">
        <f>IF(MacReports!M175="Remote Lock","Remote Locked","")</f>
        <v/>
      </c>
      <c r="S175" t="str">
        <f t="shared" si="7"/>
        <v>Battery Defect, 0</v>
      </c>
      <c r="T175" t="str">
        <f>_xlfn.XLOOKUP(B175,Disk_Pivot!G:G,Disk_Pivot!I:I)</f>
        <v>Yes x2</v>
      </c>
      <c r="U175" t="str">
        <f>_xlfn.XLOOKUP(B175,Disk_Pivot!G:G,Disk_Pivot!N:N)</f>
        <v>Pass, Fail</v>
      </c>
      <c r="V175" t="str">
        <f>IF(U175="Fail",MacReports!O175,"")</f>
        <v/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MacReports!D176</f>
        <v>0</v>
      </c>
      <c r="D176" t="str">
        <f>MacReports!C176&amp;""</f>
        <v/>
      </c>
      <c r="E176" t="e">
        <f>_xlfn.XLOOKUP(G176,Models!A:A,Models!F:F)</f>
        <v>#N/A</v>
      </c>
      <c r="F176" t="str">
        <f>_xlfn.XLOOKUP(B176,MacReports!B:B,MacReports!E:E,"")</f>
        <v/>
      </c>
      <c r="G176" s="13">
        <f>MacReports!F176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MacReports!G176</f>
        <v>0</v>
      </c>
      <c r="L176">
        <f>MacReports!H176</f>
        <v>0</v>
      </c>
      <c r="M176" s="15" t="e" cm="1">
        <f t="array" ref="M176">--_xlfn.LET(
    _xlpm.txt, MacReports!I176,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--MacReports!N176&lt;55,"Battery Defect",
  -- MacReports!N176&lt;=69,"Battery D",
  --MacReports!N176&lt;=80,"Battery C",
 --MacReports!N176&gt;80,""
)</f>
        <v>Battery Defect</v>
      </c>
      <c r="O176" s="16" t="str">
        <f>IF(MacReports!J176="Service","Battery Service","")</f>
        <v/>
      </c>
      <c r="P176" s="13">
        <f>MacReports!Q176</f>
        <v>0</v>
      </c>
      <c r="Q176" s="13" t="str">
        <f>IF(MacReports!K176="Enabled","Apple ID Lock","")</f>
        <v/>
      </c>
      <c r="R176" s="13" t="str">
        <f>IF(MacReports!M176="Remote Lock","Remote Locked","")</f>
        <v/>
      </c>
      <c r="S176" t="str">
        <f t="shared" si="7"/>
        <v>Battery Defect, 0</v>
      </c>
      <c r="T176" t="str">
        <f>_xlfn.XLOOKUP(B176,Disk_Pivot!G:G,Disk_Pivot!I:I)</f>
        <v>Yes x2</v>
      </c>
      <c r="U176" t="str">
        <f>_xlfn.XLOOKUP(B176,Disk_Pivot!G:G,Disk_Pivot!N:N)</f>
        <v>Pass, Fail</v>
      </c>
      <c r="V176" t="str">
        <f>IF(U176="Fail",MacReports!O176,"")</f>
        <v/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MacReports!D177</f>
        <v>0</v>
      </c>
      <c r="D177" t="str">
        <f>MacReports!C177&amp;""</f>
        <v/>
      </c>
      <c r="E177" t="e">
        <f>_xlfn.XLOOKUP(G177,Models!A:A,Models!F:F)</f>
        <v>#N/A</v>
      </c>
      <c r="F177" t="str">
        <f>_xlfn.XLOOKUP(B177,MacReports!B:B,MacReports!E:E,"")</f>
        <v/>
      </c>
      <c r="G177" s="13">
        <f>MacReports!F177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MacReports!G177</f>
        <v>0</v>
      </c>
      <c r="L177">
        <f>MacReports!H177</f>
        <v>0</v>
      </c>
      <c r="M177" s="15" t="e" cm="1">
        <f t="array" ref="M177">--_xlfn.LET(
    _xlpm.txt, MacReports!I177,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--MacReports!N177&lt;55,"Battery Defect",
  -- MacReports!N177&lt;=69,"Battery D",
  --MacReports!N177&lt;=80,"Battery C",
 --MacReports!N177&gt;80,""
)</f>
        <v>Battery Defect</v>
      </c>
      <c r="O177" s="16" t="str">
        <f>IF(MacReports!J177="Service","Battery Service","")</f>
        <v/>
      </c>
      <c r="P177" s="13">
        <f>MacReports!Q177</f>
        <v>0</v>
      </c>
      <c r="Q177" s="13" t="str">
        <f>IF(MacReports!K177="Enabled","Apple ID Lock","")</f>
        <v/>
      </c>
      <c r="R177" s="13" t="str">
        <f>IF(MacReports!M177="Remote Lock","Remote Locked","")</f>
        <v/>
      </c>
      <c r="S177" t="str">
        <f t="shared" si="7"/>
        <v>Battery Defect, 0</v>
      </c>
      <c r="T177" t="str">
        <f>_xlfn.XLOOKUP(B177,Disk_Pivot!G:G,Disk_Pivot!I:I)</f>
        <v>Yes x2</v>
      </c>
      <c r="U177" t="str">
        <f>_xlfn.XLOOKUP(B177,Disk_Pivot!G:G,Disk_Pivot!N:N)</f>
        <v>Pass, Fail</v>
      </c>
      <c r="V177" t="str">
        <f>IF(U177="Fail",MacReports!O177,"")</f>
        <v/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MacReports!D178</f>
        <v>0</v>
      </c>
      <c r="D178" t="str">
        <f>MacReports!C178&amp;""</f>
        <v/>
      </c>
      <c r="E178" t="e">
        <f>_xlfn.XLOOKUP(G178,Models!A:A,Models!F:F)</f>
        <v>#N/A</v>
      </c>
      <c r="F178" t="str">
        <f>_xlfn.XLOOKUP(B178,MacReports!B:B,MacReports!E:E,"")</f>
        <v/>
      </c>
      <c r="G178" s="13">
        <f>MacReports!F178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MacReports!G178</f>
        <v>0</v>
      </c>
      <c r="L178">
        <f>MacReports!H178</f>
        <v>0</v>
      </c>
      <c r="M178" s="15" t="e" cm="1">
        <f t="array" ref="M178">--_xlfn.LET(
    _xlpm.txt, MacReports!I178,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--MacReports!N178&lt;55,"Battery Defect",
  -- MacReports!N178&lt;=69,"Battery D",
  --MacReports!N178&lt;=80,"Battery C",
 --MacReports!N178&gt;80,""
)</f>
        <v>Battery Defect</v>
      </c>
      <c r="O178" s="16" t="str">
        <f>IF(MacReports!J178="Service","Battery Service","")</f>
        <v/>
      </c>
      <c r="P178" s="13">
        <f>MacReports!Q178</f>
        <v>0</v>
      </c>
      <c r="Q178" s="13" t="str">
        <f>IF(MacReports!K178="Enabled","Apple ID Lock","")</f>
        <v/>
      </c>
      <c r="R178" s="13" t="str">
        <f>IF(MacReports!M178="Remote Lock","Remote Locked","")</f>
        <v/>
      </c>
      <c r="S178" t="str">
        <f t="shared" si="7"/>
        <v>Battery Defect, 0</v>
      </c>
      <c r="T178" t="str">
        <f>_xlfn.XLOOKUP(B178,Disk_Pivot!G:G,Disk_Pivot!I:I)</f>
        <v>Yes x2</v>
      </c>
      <c r="U178" t="str">
        <f>_xlfn.XLOOKUP(B178,Disk_Pivot!G:G,Disk_Pivot!N:N)</f>
        <v>Pass, Fail</v>
      </c>
      <c r="V178" t="str">
        <f>IF(U178="Fail",MacReports!O178,"")</f>
        <v/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MacReports!D179</f>
        <v>0</v>
      </c>
      <c r="D179" t="str">
        <f>MacReports!C179&amp;""</f>
        <v/>
      </c>
      <c r="E179" t="e">
        <f>_xlfn.XLOOKUP(G179,Models!A:A,Models!F:F)</f>
        <v>#N/A</v>
      </c>
      <c r="F179" t="str">
        <f>_xlfn.XLOOKUP(B179,MacReports!B:B,MacReports!E:E,"")</f>
        <v/>
      </c>
      <c r="G179" s="13">
        <f>MacReports!F179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MacReports!G179</f>
        <v>0</v>
      </c>
      <c r="L179">
        <f>MacReports!H179</f>
        <v>0</v>
      </c>
      <c r="M179" s="15" t="e" cm="1">
        <f t="array" ref="M179">--_xlfn.LET(
    _xlpm.txt, MacReports!I179,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--MacReports!N179&lt;55,"Battery Defect",
  -- MacReports!N179&lt;=69,"Battery D",
  --MacReports!N179&lt;=80,"Battery C",
 --MacReports!N179&gt;80,""
)</f>
        <v>Battery Defect</v>
      </c>
      <c r="O179" s="16" t="str">
        <f>IF(MacReports!J179="Service","Battery Service","")</f>
        <v/>
      </c>
      <c r="P179" s="13">
        <f>MacReports!Q179</f>
        <v>0</v>
      </c>
      <c r="Q179" s="13" t="str">
        <f>IF(MacReports!K179="Enabled","Apple ID Lock","")</f>
        <v/>
      </c>
      <c r="R179" s="13" t="str">
        <f>IF(MacReports!M179="Remote Lock","Remote Locked","")</f>
        <v/>
      </c>
      <c r="S179" t="str">
        <f t="shared" si="7"/>
        <v>Battery Defect, 0</v>
      </c>
      <c r="T179" t="str">
        <f>_xlfn.XLOOKUP(B179,Disk_Pivot!G:G,Disk_Pivot!I:I)</f>
        <v>Yes x2</v>
      </c>
      <c r="U179" t="str">
        <f>_xlfn.XLOOKUP(B179,Disk_Pivot!G:G,Disk_Pivot!N:N)</f>
        <v>Pass, Fail</v>
      </c>
      <c r="V179" t="str">
        <f>IF(U179="Fail",MacReports!O179,"")</f>
        <v/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MacReports!D180</f>
        <v>0</v>
      </c>
      <c r="D180" t="str">
        <f>MacReports!C180&amp;""</f>
        <v/>
      </c>
      <c r="E180" t="e">
        <f>_xlfn.XLOOKUP(G180,Models!A:A,Models!F:F)</f>
        <v>#N/A</v>
      </c>
      <c r="F180" t="str">
        <f>_xlfn.XLOOKUP(B180,MacReports!B:B,MacReports!E:E,"")</f>
        <v/>
      </c>
      <c r="G180" s="13">
        <f>MacReports!F180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MacReports!G180</f>
        <v>0</v>
      </c>
      <c r="L180">
        <f>MacReports!H180</f>
        <v>0</v>
      </c>
      <c r="M180" s="15" t="e" cm="1">
        <f t="array" ref="M180">--_xlfn.LET(
    _xlpm.txt, MacReports!I180,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--MacReports!N180&lt;55,"Battery Defect",
  -- MacReports!N180&lt;=69,"Battery D",
  --MacReports!N180&lt;=80,"Battery C",
 --MacReports!N180&gt;80,""
)</f>
        <v>Battery Defect</v>
      </c>
      <c r="O180" s="16" t="str">
        <f>IF(MacReports!J180="Service","Battery Service","")</f>
        <v/>
      </c>
      <c r="P180" s="13">
        <f>MacReports!Q180</f>
        <v>0</v>
      </c>
      <c r="Q180" s="13" t="str">
        <f>IF(MacReports!K180="Enabled","Apple ID Lock","")</f>
        <v/>
      </c>
      <c r="R180" s="13" t="str">
        <f>IF(MacReports!M180="Remote Lock","Remote Locked","")</f>
        <v/>
      </c>
      <c r="S180" t="str">
        <f t="shared" si="7"/>
        <v>Battery Defect, 0</v>
      </c>
      <c r="T180" t="str">
        <f>_xlfn.XLOOKUP(B180,Disk_Pivot!G:G,Disk_Pivot!I:I)</f>
        <v>Yes x2</v>
      </c>
      <c r="U180" t="str">
        <f>_xlfn.XLOOKUP(B180,Disk_Pivot!G:G,Disk_Pivot!N:N)</f>
        <v>Pass, Fail</v>
      </c>
      <c r="V180" t="str">
        <f>IF(U180="Fail",MacReports!O180,"")</f>
        <v/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MacReports!D181</f>
        <v>0</v>
      </c>
      <c r="D181" t="str">
        <f>MacReports!C181&amp;""</f>
        <v/>
      </c>
      <c r="E181" t="e">
        <f>_xlfn.XLOOKUP(G181,Models!A:A,Models!F:F)</f>
        <v>#N/A</v>
      </c>
      <c r="F181" t="str">
        <f>_xlfn.XLOOKUP(B181,MacReports!B:B,MacReports!E:E,"")</f>
        <v/>
      </c>
      <c r="G181" s="13">
        <f>MacReports!F181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MacReports!G181</f>
        <v>0</v>
      </c>
      <c r="L181">
        <f>MacReports!H181</f>
        <v>0</v>
      </c>
      <c r="M181" s="15" t="e" cm="1">
        <f t="array" ref="M181">--_xlfn.LET(
    _xlpm.txt, MacReports!I181,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--MacReports!N181&lt;55,"Battery Defect",
  -- MacReports!N181&lt;=69,"Battery D",
  --MacReports!N181&lt;=80,"Battery C",
 --MacReports!N181&gt;80,""
)</f>
        <v>Battery Defect</v>
      </c>
      <c r="O181" s="16" t="str">
        <f>IF(MacReports!J181="Service","Battery Service","")</f>
        <v/>
      </c>
      <c r="P181" s="13">
        <f>MacReports!Q181</f>
        <v>0</v>
      </c>
      <c r="Q181" s="13" t="str">
        <f>IF(MacReports!K181="Enabled","Apple ID Lock","")</f>
        <v/>
      </c>
      <c r="R181" s="13" t="str">
        <f>IF(MacReports!M181="Remote Lock","Remote Locked","")</f>
        <v/>
      </c>
      <c r="S181" t="str">
        <f t="shared" si="7"/>
        <v>Battery Defect, 0</v>
      </c>
      <c r="T181" t="str">
        <f>_xlfn.XLOOKUP(B181,Disk_Pivot!G:G,Disk_Pivot!I:I)</f>
        <v>Yes x2</v>
      </c>
      <c r="U181" t="str">
        <f>_xlfn.XLOOKUP(B181,Disk_Pivot!G:G,Disk_Pivot!N:N)</f>
        <v>Pass, Fail</v>
      </c>
      <c r="V181" t="str">
        <f>IF(U181="Fail",MacReports!O181,"")</f>
        <v/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MacReports!D182</f>
        <v>0</v>
      </c>
      <c r="D182" t="str">
        <f>MacReports!C182&amp;""</f>
        <v/>
      </c>
      <c r="E182" t="e">
        <f>_xlfn.XLOOKUP(G182,Models!A:A,Models!F:F)</f>
        <v>#N/A</v>
      </c>
      <c r="F182" t="str">
        <f>_xlfn.XLOOKUP(B182,MacReports!B:B,MacReports!E:E,"")</f>
        <v/>
      </c>
      <c r="G182" s="13">
        <f>MacReports!F182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MacReports!G182</f>
        <v>0</v>
      </c>
      <c r="L182">
        <f>MacReports!H182</f>
        <v>0</v>
      </c>
      <c r="M182" s="15" t="e" cm="1">
        <f t="array" ref="M182">--_xlfn.LET(
    _xlpm.txt, MacReports!I182,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--MacReports!N182&lt;55,"Battery Defect",
  -- MacReports!N182&lt;=69,"Battery D",
  --MacReports!N182&lt;=80,"Battery C",
 --MacReports!N182&gt;80,""
)</f>
        <v>Battery Defect</v>
      </c>
      <c r="O182" s="16" t="str">
        <f>IF(MacReports!J182="Service","Battery Service","")</f>
        <v/>
      </c>
      <c r="P182" s="13">
        <f>MacReports!Q182</f>
        <v>0</v>
      </c>
      <c r="Q182" s="13" t="str">
        <f>IF(MacReports!K182="Enabled","Apple ID Lock","")</f>
        <v/>
      </c>
      <c r="R182" s="13" t="str">
        <f>IF(MacReports!M182="Remote Lock","Remote Locked","")</f>
        <v/>
      </c>
      <c r="S182" t="str">
        <f t="shared" si="7"/>
        <v>Battery Defect, 0</v>
      </c>
      <c r="T182" t="str">
        <f>_xlfn.XLOOKUP(B182,Disk_Pivot!G:G,Disk_Pivot!I:I)</f>
        <v>Yes x2</v>
      </c>
      <c r="U182" t="str">
        <f>_xlfn.XLOOKUP(B182,Disk_Pivot!G:G,Disk_Pivot!N:N)</f>
        <v>Pass, Fail</v>
      </c>
      <c r="V182" t="str">
        <f>IF(U182="Fail",MacReports!O182,"")</f>
        <v/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MacReports!D183</f>
        <v>0</v>
      </c>
      <c r="D183" t="str">
        <f>MacReports!C183&amp;""</f>
        <v/>
      </c>
      <c r="E183" t="e">
        <f>_xlfn.XLOOKUP(G183,Models!A:A,Models!F:F)</f>
        <v>#N/A</v>
      </c>
      <c r="F183" t="str">
        <f>_xlfn.XLOOKUP(B183,MacReports!B:B,MacReports!E:E,"")</f>
        <v/>
      </c>
      <c r="G183" s="13">
        <f>MacReports!F183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MacReports!G183</f>
        <v>0</v>
      </c>
      <c r="L183">
        <f>MacReports!H183</f>
        <v>0</v>
      </c>
      <c r="M183" s="15" t="e" cm="1">
        <f t="array" ref="M183">--_xlfn.LET(
    _xlpm.txt, MacReports!I183,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--MacReports!N183&lt;55,"Battery Defect",
  -- MacReports!N183&lt;=69,"Battery D",
  --MacReports!N183&lt;=80,"Battery C",
 --MacReports!N183&gt;80,""
)</f>
        <v>Battery Defect</v>
      </c>
      <c r="O183" s="16" t="str">
        <f>IF(MacReports!J183="Service","Battery Service","")</f>
        <v/>
      </c>
      <c r="P183" s="13">
        <f>MacReports!Q183</f>
        <v>0</v>
      </c>
      <c r="Q183" s="13" t="str">
        <f>IF(MacReports!K183="Enabled","Apple ID Lock","")</f>
        <v/>
      </c>
      <c r="R183" s="13" t="str">
        <f>IF(MacReports!M183="Remote Lock","Remote Locked","")</f>
        <v/>
      </c>
      <c r="S183" t="str">
        <f t="shared" si="7"/>
        <v>Battery Defect, 0</v>
      </c>
      <c r="T183" t="str">
        <f>_xlfn.XLOOKUP(B183,Disk_Pivot!G:G,Disk_Pivot!I:I)</f>
        <v>Yes x2</v>
      </c>
      <c r="U183" t="str">
        <f>_xlfn.XLOOKUP(B183,Disk_Pivot!G:G,Disk_Pivot!N:N)</f>
        <v>Pass, Fail</v>
      </c>
      <c r="V183" t="str">
        <f>IF(U183="Fail",MacReports!O183,"")</f>
        <v/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MacReports!D184</f>
        <v>0</v>
      </c>
      <c r="D184" t="str">
        <f>MacReports!C184&amp;""</f>
        <v/>
      </c>
      <c r="E184" t="e">
        <f>_xlfn.XLOOKUP(G184,Models!A:A,Models!F:F)</f>
        <v>#N/A</v>
      </c>
      <c r="F184" t="str">
        <f>_xlfn.XLOOKUP(B184,MacReports!B:B,MacReports!E:E,"")</f>
        <v/>
      </c>
      <c r="G184" s="13">
        <f>MacReports!F184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MacReports!G184</f>
        <v>0</v>
      </c>
      <c r="L184">
        <f>MacReports!H184</f>
        <v>0</v>
      </c>
      <c r="M184" s="15" t="e" cm="1">
        <f t="array" ref="M184">--_xlfn.LET(
    _xlpm.txt, MacReports!I184,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--MacReports!N184&lt;55,"Battery Defect",
  -- MacReports!N184&lt;=69,"Battery D",
  --MacReports!N184&lt;=80,"Battery C",
 --MacReports!N184&gt;80,""
)</f>
        <v>Battery Defect</v>
      </c>
      <c r="O184" s="16" t="str">
        <f>IF(MacReports!J184="Service","Battery Service","")</f>
        <v/>
      </c>
      <c r="P184" s="13">
        <f>MacReports!Q184</f>
        <v>0</v>
      </c>
      <c r="Q184" s="13" t="str">
        <f>IF(MacReports!K184="Enabled","Apple ID Lock","")</f>
        <v/>
      </c>
      <c r="R184" s="13" t="str">
        <f>IF(MacReports!M184="Remote Lock","Remote Locked","")</f>
        <v/>
      </c>
      <c r="S184" t="str">
        <f t="shared" si="7"/>
        <v>Battery Defect, 0</v>
      </c>
      <c r="T184" t="str">
        <f>_xlfn.XLOOKUP(B184,Disk_Pivot!G:G,Disk_Pivot!I:I)</f>
        <v>Yes x2</v>
      </c>
      <c r="U184" t="str">
        <f>_xlfn.XLOOKUP(B184,Disk_Pivot!G:G,Disk_Pivot!N:N)</f>
        <v>Pass, Fail</v>
      </c>
      <c r="V184" t="str">
        <f>IF(U184="Fail",MacReports!O184,"")</f>
        <v/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MacReports!D185</f>
        <v>0</v>
      </c>
      <c r="D185" t="str">
        <f>MacReports!C185&amp;""</f>
        <v/>
      </c>
      <c r="E185" t="e">
        <f>_xlfn.XLOOKUP(G185,Models!A:A,Models!F:F)</f>
        <v>#N/A</v>
      </c>
      <c r="F185" t="str">
        <f>_xlfn.XLOOKUP(B185,MacReports!B:B,MacReports!E:E,"")</f>
        <v/>
      </c>
      <c r="G185" s="13">
        <f>MacReports!F185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MacReports!G185</f>
        <v>0</v>
      </c>
      <c r="L185">
        <f>MacReports!H185</f>
        <v>0</v>
      </c>
      <c r="M185" s="15" t="e" cm="1">
        <f t="array" ref="M185">--_xlfn.LET(
    _xlpm.txt, MacReports!I185,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--MacReports!N185&lt;55,"Battery Defect",
  -- MacReports!N185&lt;=69,"Battery D",
  --MacReports!N185&lt;=80,"Battery C",
 --MacReports!N185&gt;80,""
)</f>
        <v>Battery Defect</v>
      </c>
      <c r="O185" s="16" t="str">
        <f>IF(MacReports!J185="Service","Battery Service","")</f>
        <v/>
      </c>
      <c r="P185" s="13">
        <f>MacReports!Q185</f>
        <v>0</v>
      </c>
      <c r="Q185" s="13" t="str">
        <f>IF(MacReports!K185="Enabled","Apple ID Lock","")</f>
        <v/>
      </c>
      <c r="R185" s="13" t="str">
        <f>IF(MacReports!M185="Remote Lock","Remote Locked","")</f>
        <v/>
      </c>
      <c r="S185" t="str">
        <f t="shared" si="7"/>
        <v>Battery Defect, 0</v>
      </c>
      <c r="T185" t="str">
        <f>_xlfn.XLOOKUP(B185,Disk_Pivot!G:G,Disk_Pivot!I:I)</f>
        <v>Yes x2</v>
      </c>
      <c r="U185" t="str">
        <f>_xlfn.XLOOKUP(B185,Disk_Pivot!G:G,Disk_Pivot!N:N)</f>
        <v>Pass, Fail</v>
      </c>
      <c r="V185" t="str">
        <f>IF(U185="Fail",MacReports!O185,"")</f>
        <v/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MacReports!D186</f>
        <v>0</v>
      </c>
      <c r="D186" t="str">
        <f>MacReports!C186&amp;""</f>
        <v/>
      </c>
      <c r="E186" t="e">
        <f>_xlfn.XLOOKUP(G186,Models!A:A,Models!F:F)</f>
        <v>#N/A</v>
      </c>
      <c r="F186" t="str">
        <f>_xlfn.XLOOKUP(B186,MacReports!B:B,MacReports!E:E,"")</f>
        <v/>
      </c>
      <c r="G186" s="13">
        <f>MacReports!F186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MacReports!G186</f>
        <v>0</v>
      </c>
      <c r="L186">
        <f>MacReports!H186</f>
        <v>0</v>
      </c>
      <c r="M186" s="15" t="e" cm="1">
        <f t="array" ref="M186">--_xlfn.LET(
    _xlpm.txt, MacReports!I186,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--MacReports!N186&lt;55,"Battery Defect",
  -- MacReports!N186&lt;=69,"Battery D",
  --MacReports!N186&lt;=80,"Battery C",
 --MacReports!N186&gt;80,""
)</f>
        <v>Battery Defect</v>
      </c>
      <c r="O186" s="16" t="str">
        <f>IF(MacReports!J186="Service","Battery Service","")</f>
        <v/>
      </c>
      <c r="P186" s="13">
        <f>MacReports!Q186</f>
        <v>0</v>
      </c>
      <c r="Q186" s="13" t="str">
        <f>IF(MacReports!K186="Enabled","Apple ID Lock","")</f>
        <v/>
      </c>
      <c r="R186" s="13" t="str">
        <f>IF(MacReports!M186="Remote Lock","Remote Locked","")</f>
        <v/>
      </c>
      <c r="S186" t="str">
        <f t="shared" si="7"/>
        <v>Battery Defect, 0</v>
      </c>
      <c r="T186" t="str">
        <f>_xlfn.XLOOKUP(B186,Disk_Pivot!G:G,Disk_Pivot!I:I)</f>
        <v>Yes x2</v>
      </c>
      <c r="U186" t="str">
        <f>_xlfn.XLOOKUP(B186,Disk_Pivot!G:G,Disk_Pivot!N:N)</f>
        <v>Pass, Fail</v>
      </c>
      <c r="V186" t="str">
        <f>IF(U186="Fail",MacReports!O186,"")</f>
        <v/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MacReports!D187</f>
        <v>0</v>
      </c>
      <c r="D187" t="str">
        <f>MacReports!C187&amp;""</f>
        <v/>
      </c>
      <c r="E187" t="e">
        <f>_xlfn.XLOOKUP(G187,Models!A:A,Models!F:F)</f>
        <v>#N/A</v>
      </c>
      <c r="F187" t="str">
        <f>_xlfn.XLOOKUP(B187,MacReports!B:B,MacReports!E:E,"")</f>
        <v/>
      </c>
      <c r="G187" s="13">
        <f>MacReports!F187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MacReports!G187</f>
        <v>0</v>
      </c>
      <c r="L187">
        <f>MacReports!H187</f>
        <v>0</v>
      </c>
      <c r="M187" s="15" t="e" cm="1">
        <f t="array" ref="M187">--_xlfn.LET(
    _xlpm.txt, MacReports!I187,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--MacReports!N187&lt;55,"Battery Defect",
  -- MacReports!N187&lt;=69,"Battery D",
  --MacReports!N187&lt;=80,"Battery C",
 --MacReports!N187&gt;80,""
)</f>
        <v>Battery Defect</v>
      </c>
      <c r="O187" s="16" t="str">
        <f>IF(MacReports!J187="Service","Battery Service","")</f>
        <v/>
      </c>
      <c r="P187" s="13">
        <f>MacReports!Q187</f>
        <v>0</v>
      </c>
      <c r="Q187" s="13" t="str">
        <f>IF(MacReports!K187="Enabled","Apple ID Lock","")</f>
        <v/>
      </c>
      <c r="R187" s="13" t="str">
        <f>IF(MacReports!M187="Remote Lock","Remote Locked","")</f>
        <v/>
      </c>
      <c r="S187" t="str">
        <f t="shared" si="7"/>
        <v>Battery Defect, 0</v>
      </c>
      <c r="T187" t="str">
        <f>_xlfn.XLOOKUP(B187,Disk_Pivot!G:G,Disk_Pivot!I:I)</f>
        <v>Yes x2</v>
      </c>
      <c r="U187" t="str">
        <f>_xlfn.XLOOKUP(B187,Disk_Pivot!G:G,Disk_Pivot!N:N)</f>
        <v>Pass, Fail</v>
      </c>
      <c r="V187" t="str">
        <f>IF(U187="Fail",MacReports!O187,"")</f>
        <v/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MacReports!D188</f>
        <v>0</v>
      </c>
      <c r="D188" t="str">
        <f>MacReports!C188&amp;""</f>
        <v/>
      </c>
      <c r="E188" t="e">
        <f>_xlfn.XLOOKUP(G188,Models!A:A,Models!F:F)</f>
        <v>#N/A</v>
      </c>
      <c r="F188" t="str">
        <f>_xlfn.XLOOKUP(B188,MacReports!B:B,MacReports!E:E,"")</f>
        <v/>
      </c>
      <c r="G188" s="13">
        <f>MacReports!F188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MacReports!G188</f>
        <v>0</v>
      </c>
      <c r="L188">
        <f>MacReports!H188</f>
        <v>0</v>
      </c>
      <c r="M188" s="15" t="e" cm="1">
        <f t="array" ref="M188">--_xlfn.LET(
    _xlpm.txt, MacReports!I188,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--MacReports!N188&lt;55,"Battery Defect",
  -- MacReports!N188&lt;=69,"Battery D",
  --MacReports!N188&lt;=80,"Battery C",
 --MacReports!N188&gt;80,""
)</f>
        <v>Battery Defect</v>
      </c>
      <c r="O188" s="16" t="str">
        <f>IF(MacReports!J188="Service","Battery Service","")</f>
        <v/>
      </c>
      <c r="P188" s="13">
        <f>MacReports!Q188</f>
        <v>0</v>
      </c>
      <c r="Q188" s="13" t="str">
        <f>IF(MacReports!K188="Enabled","Apple ID Lock","")</f>
        <v/>
      </c>
      <c r="R188" s="13" t="str">
        <f>IF(MacReports!M188="Remote Lock","Remote Locked","")</f>
        <v/>
      </c>
      <c r="S188" t="str">
        <f t="shared" si="7"/>
        <v>Battery Defect, 0</v>
      </c>
      <c r="T188" t="str">
        <f>_xlfn.XLOOKUP(B188,Disk_Pivot!G:G,Disk_Pivot!I:I)</f>
        <v>Yes x2</v>
      </c>
      <c r="U188" t="str">
        <f>_xlfn.XLOOKUP(B188,Disk_Pivot!G:G,Disk_Pivot!N:N)</f>
        <v>Pass, Fail</v>
      </c>
      <c r="V188" t="str">
        <f>IF(U188="Fail",MacReports!O188,"")</f>
        <v/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MacReports!D189</f>
        <v>0</v>
      </c>
      <c r="D189" t="str">
        <f>MacReports!C189&amp;""</f>
        <v/>
      </c>
      <c r="E189" t="e">
        <f>_xlfn.XLOOKUP(G189,Models!A:A,Models!F:F)</f>
        <v>#N/A</v>
      </c>
      <c r="F189" t="str">
        <f>_xlfn.XLOOKUP(B189,MacReports!B:B,MacReports!E:E,"")</f>
        <v/>
      </c>
      <c r="G189" s="13">
        <f>MacReports!F189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MacReports!G189</f>
        <v>0</v>
      </c>
      <c r="L189">
        <f>MacReports!H189</f>
        <v>0</v>
      </c>
      <c r="M189" s="15" t="e" cm="1">
        <f t="array" ref="M189">--_xlfn.LET(
    _xlpm.txt, MacReports!I189,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--MacReports!N189&lt;55,"Battery Defect",
  -- MacReports!N189&lt;=69,"Battery D",
  --MacReports!N189&lt;=80,"Battery C",
 --MacReports!N189&gt;80,""
)</f>
        <v>Battery Defect</v>
      </c>
      <c r="O189" s="16" t="str">
        <f>IF(MacReports!J189="Service","Battery Service","")</f>
        <v/>
      </c>
      <c r="P189" s="13">
        <f>MacReports!Q189</f>
        <v>0</v>
      </c>
      <c r="Q189" s="13" t="str">
        <f>IF(MacReports!K189="Enabled","Apple ID Lock","")</f>
        <v/>
      </c>
      <c r="R189" s="13" t="str">
        <f>IF(MacReports!M189="Remote Lock","Remote Locked","")</f>
        <v/>
      </c>
      <c r="S189" t="str">
        <f t="shared" si="7"/>
        <v>Battery Defect, 0</v>
      </c>
      <c r="T189" t="str">
        <f>_xlfn.XLOOKUP(B189,Disk_Pivot!G:G,Disk_Pivot!I:I)</f>
        <v>Yes x2</v>
      </c>
      <c r="U189" t="str">
        <f>_xlfn.XLOOKUP(B189,Disk_Pivot!G:G,Disk_Pivot!N:N)</f>
        <v>Pass, Fail</v>
      </c>
      <c r="V189" t="str">
        <f>IF(U189="Fail",MacReports!O189,"")</f>
        <v/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MacReports!D190</f>
        <v>0</v>
      </c>
      <c r="D190" t="str">
        <f>MacReports!C190&amp;""</f>
        <v/>
      </c>
      <c r="E190" t="e">
        <f>_xlfn.XLOOKUP(G190,Models!A:A,Models!F:F)</f>
        <v>#N/A</v>
      </c>
      <c r="F190" t="str">
        <f>_xlfn.XLOOKUP(B190,MacReports!B:B,MacReports!E:E,"")</f>
        <v/>
      </c>
      <c r="G190" s="13">
        <f>MacReports!F190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MacReports!G190</f>
        <v>0</v>
      </c>
      <c r="L190">
        <f>MacReports!H190</f>
        <v>0</v>
      </c>
      <c r="M190" s="15" t="e" cm="1">
        <f t="array" ref="M190">--_xlfn.LET(
    _xlpm.txt, MacReports!I190,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--MacReports!N190&lt;55,"Battery Defect",
  -- MacReports!N190&lt;=69,"Battery D",
  --MacReports!N190&lt;=80,"Battery C",
 --MacReports!N190&gt;80,""
)</f>
        <v>Battery Defect</v>
      </c>
      <c r="O190" s="16" t="str">
        <f>IF(MacReports!J190="Service","Battery Service","")</f>
        <v/>
      </c>
      <c r="P190" s="13">
        <f>MacReports!Q190</f>
        <v>0</v>
      </c>
      <c r="Q190" s="13" t="str">
        <f>IF(MacReports!K190="Enabled","Apple ID Lock","")</f>
        <v/>
      </c>
      <c r="R190" s="13" t="str">
        <f>IF(MacReports!M190="Remote Lock","Remote Locked","")</f>
        <v/>
      </c>
      <c r="S190" t="str">
        <f t="shared" si="7"/>
        <v>Battery Defect, 0</v>
      </c>
      <c r="T190" t="str">
        <f>_xlfn.XLOOKUP(B190,Disk_Pivot!G:G,Disk_Pivot!I:I)</f>
        <v>Yes x2</v>
      </c>
      <c r="U190" t="str">
        <f>_xlfn.XLOOKUP(B190,Disk_Pivot!G:G,Disk_Pivot!N:N)</f>
        <v>Pass, Fail</v>
      </c>
      <c r="V190" t="str">
        <f>IF(U190="Fail",MacReports!O190,"")</f>
        <v/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MacReports!D191</f>
        <v>0</v>
      </c>
      <c r="D191" t="str">
        <f>MacReports!C191&amp;""</f>
        <v/>
      </c>
      <c r="E191" t="e">
        <f>_xlfn.XLOOKUP(G191,Models!A:A,Models!F:F)</f>
        <v>#N/A</v>
      </c>
      <c r="F191" t="str">
        <f>_xlfn.XLOOKUP(B191,MacReports!B:B,MacReports!E:E,"")</f>
        <v/>
      </c>
      <c r="G191" s="13">
        <f>MacReports!F191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MacReports!G191</f>
        <v>0</v>
      </c>
      <c r="L191">
        <f>MacReports!H191</f>
        <v>0</v>
      </c>
      <c r="M191" s="15" t="e" cm="1">
        <f t="array" ref="M191">--_xlfn.LET(
    _xlpm.txt, MacReports!I191,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--MacReports!N191&lt;55,"Battery Defect",
  -- MacReports!N191&lt;=69,"Battery D",
  --MacReports!N191&lt;=80,"Battery C",
 --MacReports!N191&gt;80,""
)</f>
        <v>Battery Defect</v>
      </c>
      <c r="O191" s="16" t="str">
        <f>IF(MacReports!J191="Service","Battery Service","")</f>
        <v/>
      </c>
      <c r="P191" s="13">
        <f>MacReports!Q191</f>
        <v>0</v>
      </c>
      <c r="Q191" s="13" t="str">
        <f>IF(MacReports!K191="Enabled","Apple ID Lock","")</f>
        <v/>
      </c>
      <c r="R191" s="13" t="str">
        <f>IF(MacReports!M191="Remote Lock","Remote Locked","")</f>
        <v/>
      </c>
      <c r="S191" t="str">
        <f t="shared" si="7"/>
        <v>Battery Defect, 0</v>
      </c>
      <c r="T191" t="str">
        <f>_xlfn.XLOOKUP(B191,Disk_Pivot!G:G,Disk_Pivot!I:I)</f>
        <v>Yes x2</v>
      </c>
      <c r="U191" t="str">
        <f>_xlfn.XLOOKUP(B191,Disk_Pivot!G:G,Disk_Pivot!N:N)</f>
        <v>Pass, Fail</v>
      </c>
      <c r="V191" t="str">
        <f>IF(U191="Fail",MacReports!O191,"")</f>
        <v/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MacReports!D192</f>
        <v>0</v>
      </c>
      <c r="D192" t="str">
        <f>MacReports!C192&amp;""</f>
        <v/>
      </c>
      <c r="E192" t="e">
        <f>_xlfn.XLOOKUP(G192,Models!A:A,Models!F:F)</f>
        <v>#N/A</v>
      </c>
      <c r="F192" t="str">
        <f>_xlfn.XLOOKUP(B192,MacReports!B:B,MacReports!E:E,"")</f>
        <v/>
      </c>
      <c r="G192" s="13">
        <f>MacReports!F192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MacReports!G192</f>
        <v>0</v>
      </c>
      <c r="L192">
        <f>MacReports!H192</f>
        <v>0</v>
      </c>
      <c r="M192" s="15" t="e" cm="1">
        <f t="array" ref="M192">--_xlfn.LET(
    _xlpm.txt, MacReports!I192,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--MacReports!N192&lt;55,"Battery Defect",
  -- MacReports!N192&lt;=69,"Battery D",
  --MacReports!N192&lt;=80,"Battery C",
 --MacReports!N192&gt;80,""
)</f>
        <v>Battery Defect</v>
      </c>
      <c r="O192" s="16" t="str">
        <f>IF(MacReports!J192="Service","Battery Service","")</f>
        <v/>
      </c>
      <c r="P192" s="13">
        <f>MacReports!Q192</f>
        <v>0</v>
      </c>
      <c r="Q192" s="13" t="str">
        <f>IF(MacReports!K192="Enabled","Apple ID Lock","")</f>
        <v/>
      </c>
      <c r="R192" s="13" t="str">
        <f>IF(MacReports!M192="Remote Lock","Remote Locked","")</f>
        <v/>
      </c>
      <c r="S192" t="str">
        <f t="shared" si="7"/>
        <v>Battery Defect, 0</v>
      </c>
      <c r="T192" t="str">
        <f>_xlfn.XLOOKUP(B192,Disk_Pivot!G:G,Disk_Pivot!I:I)</f>
        <v>Yes x2</v>
      </c>
      <c r="U192" t="str">
        <f>_xlfn.XLOOKUP(B192,Disk_Pivot!G:G,Disk_Pivot!N:N)</f>
        <v>Pass, Fail</v>
      </c>
      <c r="V192" t="str">
        <f>IF(U192="Fail",MacReports!O192,"")</f>
        <v/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MacReports!D193</f>
        <v>0</v>
      </c>
      <c r="D193" t="str">
        <f>MacReports!C193&amp;""</f>
        <v/>
      </c>
      <c r="E193" t="e">
        <f>_xlfn.XLOOKUP(G193,Models!A:A,Models!F:F)</f>
        <v>#N/A</v>
      </c>
      <c r="F193" t="str">
        <f>_xlfn.XLOOKUP(B193,MacReports!B:B,MacReports!E:E,"")</f>
        <v/>
      </c>
      <c r="G193" s="13">
        <f>MacReports!F193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MacReports!G193</f>
        <v>0</v>
      </c>
      <c r="L193">
        <f>MacReports!H193</f>
        <v>0</v>
      </c>
      <c r="M193" s="15" t="e" cm="1">
        <f t="array" ref="M193">--_xlfn.LET(
    _xlpm.txt, MacReports!I193,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--MacReports!N193&lt;55,"Battery Defect",
  -- MacReports!N193&lt;=69,"Battery D",
  --MacReports!N193&lt;=80,"Battery C",
 --MacReports!N193&gt;80,""
)</f>
        <v>Battery Defect</v>
      </c>
      <c r="O193" s="16" t="str">
        <f>IF(MacReports!J193="Service","Battery Service","")</f>
        <v/>
      </c>
      <c r="P193" s="13">
        <f>MacReports!Q193</f>
        <v>0</v>
      </c>
      <c r="Q193" s="13" t="str">
        <f>IF(MacReports!K193="Enabled","Apple ID Lock","")</f>
        <v/>
      </c>
      <c r="R193" s="13" t="str">
        <f>IF(MacReports!M193="Remote Lock","Remote Locked","")</f>
        <v/>
      </c>
      <c r="S193" t="str">
        <f t="shared" si="7"/>
        <v>Battery Defect, 0</v>
      </c>
      <c r="T193" t="str">
        <f>_xlfn.XLOOKUP(B193,Disk_Pivot!G:G,Disk_Pivot!I:I)</f>
        <v>Yes x2</v>
      </c>
      <c r="U193" t="str">
        <f>_xlfn.XLOOKUP(B193,Disk_Pivot!G:G,Disk_Pivot!N:N)</f>
        <v>Pass, Fail</v>
      </c>
      <c r="V193" t="str">
        <f>IF(U193="Fail",MacReports!O193,"")</f>
        <v/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MacReports!D194</f>
        <v>0</v>
      </c>
      <c r="D194" t="str">
        <f>MacReports!C194&amp;""</f>
        <v/>
      </c>
      <c r="E194" t="e">
        <f>_xlfn.XLOOKUP(G194,Models!A:A,Models!F:F)</f>
        <v>#N/A</v>
      </c>
      <c r="F194" t="str">
        <f>_xlfn.XLOOKUP(B194,MacReports!B:B,MacReports!E:E,"")</f>
        <v/>
      </c>
      <c r="G194" s="13">
        <f>MacReports!F194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MacReports!G194</f>
        <v>0</v>
      </c>
      <c r="L194">
        <f>MacReports!H194</f>
        <v>0</v>
      </c>
      <c r="M194" s="15" t="e" cm="1">
        <f t="array" ref="M194">--_xlfn.LET(
    _xlpm.txt, MacReports!I194,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--MacReports!N194&lt;55,"Battery Defect",
  -- MacReports!N194&lt;=69,"Battery D",
  --MacReports!N194&lt;=80,"Battery C",
 --MacReports!N194&gt;80,""
)</f>
        <v>Battery Defect</v>
      </c>
      <c r="O194" s="16" t="str">
        <f>IF(MacReports!J194="Service","Battery Service","")</f>
        <v/>
      </c>
      <c r="P194" s="13">
        <f>MacReports!Q194</f>
        <v>0</v>
      </c>
      <c r="Q194" s="13" t="str">
        <f>IF(MacReports!K194="Enabled","Apple ID Lock","")</f>
        <v/>
      </c>
      <c r="R194" s="13" t="str">
        <f>IF(MacReports!M194="Remote Lock","Remote Locked","")</f>
        <v/>
      </c>
      <c r="S194" t="str">
        <f t="shared" si="7"/>
        <v>Battery Defect, 0</v>
      </c>
      <c r="T194" t="str">
        <f>_xlfn.XLOOKUP(B194,Disk_Pivot!G:G,Disk_Pivot!I:I)</f>
        <v>Yes x2</v>
      </c>
      <c r="U194" t="str">
        <f>_xlfn.XLOOKUP(B194,Disk_Pivot!G:G,Disk_Pivot!N:N)</f>
        <v>Pass, Fail</v>
      </c>
      <c r="V194" t="str">
        <f>IF(U194="Fail",MacReports!O194,"")</f>
        <v/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MacReports!D195</f>
        <v>0</v>
      </c>
      <c r="D195" t="str">
        <f>MacReports!C195&amp;""</f>
        <v/>
      </c>
      <c r="E195" t="e">
        <f>_xlfn.XLOOKUP(G195,Models!A:A,Models!F:F)</f>
        <v>#N/A</v>
      </c>
      <c r="F195" t="str">
        <f>_xlfn.XLOOKUP(B195,MacReports!B:B,MacReports!E:E,"")</f>
        <v/>
      </c>
      <c r="G195" s="13">
        <f>MacReports!F195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MacReports!G195</f>
        <v>0</v>
      </c>
      <c r="L195">
        <f>MacReports!H195</f>
        <v>0</v>
      </c>
      <c r="M195" s="15" t="e" cm="1">
        <f t="array" ref="M195">--_xlfn.LET(
    _xlpm.txt, MacReports!I195,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--MacReports!N195&lt;55,"Battery Defect",
  -- MacReports!N195&lt;=69,"Battery D",
  --MacReports!N195&lt;=80,"Battery C",
 --MacReports!N195&gt;80,""
)</f>
        <v>Battery Defect</v>
      </c>
      <c r="O195" s="16" t="str">
        <f>IF(MacReports!J195="Service","Battery Service","")</f>
        <v/>
      </c>
      <c r="P195" s="13">
        <f>MacReports!Q195</f>
        <v>0</v>
      </c>
      <c r="Q195" s="13" t="str">
        <f>IF(MacReports!K195="Enabled","Apple ID Lock","")</f>
        <v/>
      </c>
      <c r="R195" s="13" t="str">
        <f>IF(MacReports!M195="Remote Lock","Remote Locked","")</f>
        <v/>
      </c>
      <c r="S195" t="str">
        <f t="shared" si="7"/>
        <v>Battery Defect, 0</v>
      </c>
      <c r="T195" t="str">
        <f>_xlfn.XLOOKUP(B195,Disk_Pivot!G:G,Disk_Pivot!I:I)</f>
        <v>Yes x2</v>
      </c>
      <c r="U195" t="str">
        <f>_xlfn.XLOOKUP(B195,Disk_Pivot!G:G,Disk_Pivot!N:N)</f>
        <v>Pass, Fail</v>
      </c>
      <c r="V195" t="str">
        <f>IF(U195="Fail",MacReports!O195,"")</f>
        <v/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MacReports!D196</f>
        <v>0</v>
      </c>
      <c r="D196" t="str">
        <f>MacReports!C196&amp;""</f>
        <v/>
      </c>
      <c r="E196" t="e">
        <f>_xlfn.XLOOKUP(G196,Models!A:A,Models!F:F)</f>
        <v>#N/A</v>
      </c>
      <c r="F196" t="str">
        <f>_xlfn.XLOOKUP(B196,MacReports!B:B,MacReports!E:E,"")</f>
        <v/>
      </c>
      <c r="G196" s="13">
        <f>MacReports!F196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MacReports!G196</f>
        <v>0</v>
      </c>
      <c r="L196">
        <f>MacReports!H196</f>
        <v>0</v>
      </c>
      <c r="M196" s="15" t="e" cm="1">
        <f t="array" ref="M196">--_xlfn.LET(
    _xlpm.txt, MacReports!I196,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--MacReports!N196&lt;55,"Battery Defect",
  -- MacReports!N196&lt;=69,"Battery D",
  --MacReports!N196&lt;=80,"Battery C",
 --MacReports!N196&gt;80,""
)</f>
        <v>Battery Defect</v>
      </c>
      <c r="O196" s="16" t="str">
        <f>IF(MacReports!J196="Service","Battery Service","")</f>
        <v/>
      </c>
      <c r="P196" s="13">
        <f>MacReports!Q196</f>
        <v>0</v>
      </c>
      <c r="Q196" s="13" t="str">
        <f>IF(MacReports!K196="Enabled","Apple ID Lock","")</f>
        <v/>
      </c>
      <c r="R196" s="13" t="str">
        <f>IF(MacReports!M196="Remote Lock","Remote Locked","")</f>
        <v/>
      </c>
      <c r="S196" t="str">
        <f t="shared" si="7"/>
        <v>Battery Defect, 0</v>
      </c>
      <c r="T196" t="str">
        <f>_xlfn.XLOOKUP(B196,Disk_Pivot!G:G,Disk_Pivot!I:I)</f>
        <v>Yes x2</v>
      </c>
      <c r="U196" t="str">
        <f>_xlfn.XLOOKUP(B196,Disk_Pivot!G:G,Disk_Pivot!N:N)</f>
        <v>Pass, Fail</v>
      </c>
      <c r="V196" t="str">
        <f>IF(U196="Fail",MacReports!O196,"")</f>
        <v/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MacReports!D197</f>
        <v>0</v>
      </c>
      <c r="D197" t="str">
        <f>MacReports!C197&amp;""</f>
        <v/>
      </c>
      <c r="E197" t="e">
        <f>_xlfn.XLOOKUP(G197,Models!A:A,Models!F:F)</f>
        <v>#N/A</v>
      </c>
      <c r="F197" t="str">
        <f>_xlfn.XLOOKUP(B197,MacReports!B:B,MacReports!E:E,"")</f>
        <v/>
      </c>
      <c r="G197" s="13">
        <f>MacReports!F197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MacReports!G197</f>
        <v>0</v>
      </c>
      <c r="L197">
        <f>MacReports!H197</f>
        <v>0</v>
      </c>
      <c r="M197" s="15" t="e" cm="1">
        <f t="array" ref="M197">--_xlfn.LET(
    _xlpm.txt, MacReports!I197,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--MacReports!N197&lt;55,"Battery Defect",
  -- MacReports!N197&lt;=69,"Battery D",
  --MacReports!N197&lt;=80,"Battery C",
 --MacReports!N197&gt;80,""
)</f>
        <v>Battery Defect</v>
      </c>
      <c r="O197" s="16" t="str">
        <f>IF(MacReports!J197="Service","Battery Service","")</f>
        <v/>
      </c>
      <c r="P197" s="13">
        <f>MacReports!Q197</f>
        <v>0</v>
      </c>
      <c r="Q197" s="13" t="str">
        <f>IF(MacReports!K197="Enabled","Apple ID Lock","")</f>
        <v/>
      </c>
      <c r="R197" s="13" t="str">
        <f>IF(MacReports!M197="Remote Lock","Remote Locked","")</f>
        <v/>
      </c>
      <c r="S197" t="str">
        <f t="shared" si="7"/>
        <v>Battery Defect, 0</v>
      </c>
      <c r="T197" t="str">
        <f>_xlfn.XLOOKUP(B197,Disk_Pivot!G:G,Disk_Pivot!I:I)</f>
        <v>Yes x2</v>
      </c>
      <c r="U197" t="str">
        <f>_xlfn.XLOOKUP(B197,Disk_Pivot!G:G,Disk_Pivot!N:N)</f>
        <v>Pass, Fail</v>
      </c>
      <c r="V197" t="str">
        <f>IF(U197="Fail",MacReports!O197,"")</f>
        <v/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MacReports!D198</f>
        <v>0</v>
      </c>
      <c r="D198" t="str">
        <f>MacReports!C198&amp;""</f>
        <v/>
      </c>
      <c r="E198" t="e">
        <f>_xlfn.XLOOKUP(G198,Models!A:A,Models!F:F)</f>
        <v>#N/A</v>
      </c>
      <c r="F198" t="str">
        <f>_xlfn.XLOOKUP(B198,MacReports!B:B,MacReports!E:E,"")</f>
        <v/>
      </c>
      <c r="G198" s="13">
        <f>MacReports!F198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MacReports!G198</f>
        <v>0</v>
      </c>
      <c r="L198">
        <f>MacReports!H198</f>
        <v>0</v>
      </c>
      <c r="M198" s="15" t="e" cm="1">
        <f t="array" ref="M198">--_xlfn.LET(
    _xlpm.txt, MacReports!I198,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--MacReports!N198&lt;55,"Battery Defect",
  -- MacReports!N198&lt;=69,"Battery D",
  --MacReports!N198&lt;=80,"Battery C",
 --MacReports!N198&gt;80,""
)</f>
        <v>Battery Defect</v>
      </c>
      <c r="O198" s="16" t="str">
        <f>IF(MacReports!J198="Service","Battery Service","")</f>
        <v/>
      </c>
      <c r="P198" s="13">
        <f>MacReports!Q198</f>
        <v>0</v>
      </c>
      <c r="Q198" s="13" t="str">
        <f>IF(MacReports!K198="Enabled","Apple ID Lock","")</f>
        <v/>
      </c>
      <c r="R198" s="13" t="str">
        <f>IF(MacReports!M198="Remote Lock","Remote Locked","")</f>
        <v/>
      </c>
      <c r="S198" t="str">
        <f t="shared" si="7"/>
        <v>Battery Defect, 0</v>
      </c>
      <c r="T198" t="str">
        <f>_xlfn.XLOOKUP(B198,Disk_Pivot!G:G,Disk_Pivot!I:I)</f>
        <v>Yes x2</v>
      </c>
      <c r="U198" t="str">
        <f>_xlfn.XLOOKUP(B198,Disk_Pivot!G:G,Disk_Pivot!N:N)</f>
        <v>Pass, Fail</v>
      </c>
      <c r="V198" t="str">
        <f>IF(U198="Fail",MacReports!O198,"")</f>
        <v/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MacReports!D199</f>
        <v>0</v>
      </c>
      <c r="D199" t="str">
        <f>MacReports!C199&amp;""</f>
        <v/>
      </c>
      <c r="E199" t="e">
        <f>_xlfn.XLOOKUP(G199,Models!A:A,Models!F:F)</f>
        <v>#N/A</v>
      </c>
      <c r="F199" t="str">
        <f>_xlfn.XLOOKUP(B199,MacReports!B:B,MacReports!E:E,"")</f>
        <v/>
      </c>
      <c r="G199" s="13">
        <f>MacReports!F199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MacReports!G199</f>
        <v>0</v>
      </c>
      <c r="L199">
        <f>MacReports!H199</f>
        <v>0</v>
      </c>
      <c r="M199" s="15" t="e" cm="1">
        <f t="array" ref="M199">--_xlfn.LET(
    _xlpm.txt, MacReports!I199,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--MacReports!N199&lt;55,"Battery Defect",
  -- MacReports!N199&lt;=69,"Battery D",
  --MacReports!N199&lt;=80,"Battery C",
 --MacReports!N199&gt;80,""
)</f>
        <v>Battery Defect</v>
      </c>
      <c r="O199" s="16" t="str">
        <f>IF(MacReports!J199="Service","Battery Service","")</f>
        <v/>
      </c>
      <c r="P199" s="13">
        <f>MacReports!Q199</f>
        <v>0</v>
      </c>
      <c r="Q199" s="13" t="str">
        <f>IF(MacReports!K199="Enabled","Apple ID Lock","")</f>
        <v/>
      </c>
      <c r="R199" s="13" t="str">
        <f>IF(MacReports!M199="Remote Lock","Remote Locked","")</f>
        <v/>
      </c>
      <c r="S199" t="str">
        <f t="shared" si="7"/>
        <v>Battery Defect, 0</v>
      </c>
      <c r="T199" t="str">
        <f>_xlfn.XLOOKUP(B199,Disk_Pivot!G:G,Disk_Pivot!I:I)</f>
        <v>Yes x2</v>
      </c>
      <c r="U199" t="str">
        <f>_xlfn.XLOOKUP(B199,Disk_Pivot!G:G,Disk_Pivot!N:N)</f>
        <v>Pass, Fail</v>
      </c>
      <c r="V199" t="str">
        <f>IF(U199="Fail",MacReports!O199,"")</f>
        <v/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MacReports!D200</f>
        <v>0</v>
      </c>
      <c r="D200" t="str">
        <f>MacReports!C200&amp;""</f>
        <v/>
      </c>
      <c r="E200" t="e">
        <f>_xlfn.XLOOKUP(G200,Models!A:A,Models!F:F)</f>
        <v>#N/A</v>
      </c>
      <c r="F200" t="str">
        <f>_xlfn.XLOOKUP(B200,MacReports!B:B,MacReports!E:E,"")</f>
        <v/>
      </c>
      <c r="G200" s="13">
        <f>MacReports!F200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MacReports!G200</f>
        <v>0</v>
      </c>
      <c r="L200">
        <f>MacReports!H200</f>
        <v>0</v>
      </c>
      <c r="M200" s="15" t="e" cm="1">
        <f t="array" ref="M200">--_xlfn.LET(
    _xlpm.txt, MacReports!I200,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--MacReports!N200&lt;55,"Battery Defect",
  -- MacReports!N200&lt;=69,"Battery D",
  --MacReports!N200&lt;=80,"Battery C",
 --MacReports!N200&gt;80,""
)</f>
        <v>Battery Defect</v>
      </c>
      <c r="O200" s="16" t="str">
        <f>IF(MacReports!J200="Service","Battery Service","")</f>
        <v/>
      </c>
      <c r="P200" s="13">
        <f>MacReports!Q200</f>
        <v>0</v>
      </c>
      <c r="Q200" s="13" t="str">
        <f>IF(MacReports!K200="Enabled","Apple ID Lock","")</f>
        <v/>
      </c>
      <c r="R200" s="13" t="str">
        <f>IF(MacReports!M200="Remote Lock","Remote Locked","")</f>
        <v/>
      </c>
      <c r="S200" t="str">
        <f t="shared" si="7"/>
        <v>Battery Defect, 0</v>
      </c>
      <c r="T200" t="str">
        <f>_xlfn.XLOOKUP(B200,Disk_Pivot!G:G,Disk_Pivot!I:I)</f>
        <v>Yes x2</v>
      </c>
      <c r="U200" t="str">
        <f>_xlfn.XLOOKUP(B200,Disk_Pivot!G:G,Disk_Pivot!N:N)</f>
        <v>Pass, Fail</v>
      </c>
      <c r="V200" t="str">
        <f>IF(U200="Fail",MacReports!O200,"")</f>
        <v/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MacReports!D201</f>
        <v>0</v>
      </c>
      <c r="D201" t="str">
        <f>MacReports!C201&amp;""</f>
        <v/>
      </c>
      <c r="E201" t="e">
        <f>_xlfn.XLOOKUP(G201,Models!A:A,Models!F:F)</f>
        <v>#N/A</v>
      </c>
      <c r="F201" t="str">
        <f>_xlfn.XLOOKUP(B201,MacReports!B:B,MacReports!E:E,"")</f>
        <v/>
      </c>
      <c r="G201" s="13">
        <f>MacReports!F201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MacReports!G201</f>
        <v>0</v>
      </c>
      <c r="L201">
        <f>MacReports!H201</f>
        <v>0</v>
      </c>
      <c r="M201" s="15" t="e" cm="1">
        <f t="array" ref="M201">--_xlfn.LET(
    _xlpm.txt, MacReports!I201,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--MacReports!N201&lt;55,"Battery Defect",
  -- MacReports!N201&lt;=69,"Battery D",
  --MacReports!N201&lt;=80,"Battery C",
 --MacReports!N201&gt;80,""
)</f>
        <v>Battery Defect</v>
      </c>
      <c r="O201" s="16" t="str">
        <f>IF(MacReports!J201="Service","Battery Service","")</f>
        <v/>
      </c>
      <c r="P201" s="13">
        <f>MacReports!Q201</f>
        <v>0</v>
      </c>
      <c r="Q201" s="13" t="str">
        <f>IF(MacReports!K201="Enabled","Apple ID Lock","")</f>
        <v/>
      </c>
      <c r="R201" s="13" t="str">
        <f>IF(MacReports!M201="Remote Lock","Remote Locked","")</f>
        <v/>
      </c>
      <c r="S201" t="str">
        <f t="shared" si="7"/>
        <v>Battery Defect, 0</v>
      </c>
      <c r="T201" t="str">
        <f>_xlfn.XLOOKUP(B201,Disk_Pivot!G:G,Disk_Pivot!I:I)</f>
        <v>Yes x2</v>
      </c>
      <c r="U201" t="str">
        <f>_xlfn.XLOOKUP(B201,Disk_Pivot!G:G,Disk_Pivot!N:N)</f>
        <v>Pass, Fail</v>
      </c>
      <c r="V201" t="str">
        <f>IF(U201="Fail",MacReports!O201,"")</f>
        <v/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MacReports!D202</f>
        <v>0</v>
      </c>
      <c r="D202" t="str">
        <f>MacReports!C202&amp;""</f>
        <v/>
      </c>
      <c r="E202" t="e">
        <f>_xlfn.XLOOKUP(G202,Models!A:A,Models!F:F)</f>
        <v>#N/A</v>
      </c>
      <c r="F202" t="str">
        <f>_xlfn.XLOOKUP(B202,MacReports!B:B,MacReports!E:E,"")</f>
        <v/>
      </c>
      <c r="G202" s="13">
        <f>MacReports!F202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MacReports!G202</f>
        <v>0</v>
      </c>
      <c r="L202">
        <f>MacReports!H202</f>
        <v>0</v>
      </c>
      <c r="M202" s="15" t="e" cm="1">
        <f t="array" ref="M202">--_xlfn.LET(
    _xlpm.txt, MacReports!I202,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--MacReports!N202&lt;55,"Battery Defect",
  -- MacReports!N202&lt;=69,"Battery D",
  --MacReports!N202&lt;=80,"Battery C",
 --MacReports!N202&gt;80,""
)</f>
        <v>Battery Defect</v>
      </c>
      <c r="O202" s="16" t="str">
        <f>IF(MacReports!J202="Service","Battery Service","")</f>
        <v/>
      </c>
      <c r="P202" s="13">
        <f>MacReports!Q202</f>
        <v>0</v>
      </c>
      <c r="Q202" s="13" t="str">
        <f>IF(MacReports!K202="Enabled","Apple ID Lock","")</f>
        <v/>
      </c>
      <c r="R202" s="13" t="str">
        <f>IF(MacReports!M202="Remote Lock","Remote Locked","")</f>
        <v/>
      </c>
      <c r="S202" t="str">
        <f t="shared" si="7"/>
        <v>Battery Defect, 0</v>
      </c>
      <c r="T202" t="str">
        <f>_xlfn.XLOOKUP(B202,Disk_Pivot!G:G,Disk_Pivot!I:I)</f>
        <v>Yes x2</v>
      </c>
      <c r="U202" t="str">
        <f>_xlfn.XLOOKUP(B202,Disk_Pivot!G:G,Disk_Pivot!N:N)</f>
        <v>Pass, Fail</v>
      </c>
      <c r="V202" t="str">
        <f>IF(U202="Fail",MacReports!O202,"")</f>
        <v/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MacReports!D203</f>
        <v>0</v>
      </c>
      <c r="D203" t="str">
        <f>MacReports!C203&amp;""</f>
        <v/>
      </c>
      <c r="E203" t="e">
        <f>_xlfn.XLOOKUP(G203,Models!A:A,Models!F:F)</f>
        <v>#N/A</v>
      </c>
      <c r="F203" t="str">
        <f>_xlfn.XLOOKUP(B203,MacReports!B:B,MacReports!E:E,"")</f>
        <v/>
      </c>
      <c r="G203" s="13">
        <f>MacReports!F203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MacReports!G203</f>
        <v>0</v>
      </c>
      <c r="L203">
        <f>MacReports!H203</f>
        <v>0</v>
      </c>
      <c r="M203" s="15" t="e" cm="1">
        <f t="array" ref="M203">--_xlfn.LET(
    _xlpm.txt, MacReports!I203,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--MacReports!N203&lt;55,"Battery Defect",
  -- MacReports!N203&lt;=69,"Battery D",
  --MacReports!N203&lt;=80,"Battery C",
 --MacReports!N203&gt;80,""
)</f>
        <v>Battery Defect</v>
      </c>
      <c r="O203" s="16" t="str">
        <f>IF(MacReports!J203="Service","Battery Service","")</f>
        <v/>
      </c>
      <c r="P203" s="13">
        <f>MacReports!Q203</f>
        <v>0</v>
      </c>
      <c r="Q203" s="13" t="str">
        <f>IF(MacReports!K203="Enabled","Apple ID Lock","")</f>
        <v/>
      </c>
      <c r="R203" s="13" t="str">
        <f>IF(MacReports!M203="Remote Lock","Remote Locked","")</f>
        <v/>
      </c>
      <c r="S203" t="str">
        <f t="shared" si="7"/>
        <v>Battery Defect, 0</v>
      </c>
      <c r="T203" t="str">
        <f>_xlfn.XLOOKUP(B203,Disk_Pivot!G:G,Disk_Pivot!I:I)</f>
        <v>Yes x2</v>
      </c>
      <c r="U203" t="str">
        <f>_xlfn.XLOOKUP(B203,Disk_Pivot!G:G,Disk_Pivot!N:N)</f>
        <v>Pass, Fail</v>
      </c>
      <c r="V203" t="str">
        <f>IF(U203="Fail",MacReports!O203,"")</f>
        <v/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MacReports!D204</f>
        <v>0</v>
      </c>
      <c r="D204" t="str">
        <f>MacReports!C204&amp;""</f>
        <v/>
      </c>
      <c r="E204" t="e">
        <f>_xlfn.XLOOKUP(G204,Models!A:A,Models!F:F)</f>
        <v>#N/A</v>
      </c>
      <c r="F204" t="str">
        <f>_xlfn.XLOOKUP(B204,MacReports!B:B,MacReports!E:E,"")</f>
        <v/>
      </c>
      <c r="G204" s="13">
        <f>MacReports!F204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MacReports!G204</f>
        <v>0</v>
      </c>
      <c r="L204">
        <f>MacReports!H204</f>
        <v>0</v>
      </c>
      <c r="M204" s="15" t="e" cm="1">
        <f t="array" ref="M204">--_xlfn.LET(
    _xlpm.txt, MacReports!I204,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--MacReports!N204&lt;55,"Battery Defect",
  -- MacReports!N204&lt;=69,"Battery D",
  --MacReports!N204&lt;=80,"Battery C",
 --MacReports!N204&gt;80,""
)</f>
        <v>Battery Defect</v>
      </c>
      <c r="O204" s="16" t="str">
        <f>IF(MacReports!J204="Service","Battery Service","")</f>
        <v/>
      </c>
      <c r="P204" s="13">
        <f>MacReports!Q204</f>
        <v>0</v>
      </c>
      <c r="Q204" s="13" t="str">
        <f>IF(MacReports!K204="Enabled","Apple ID Lock","")</f>
        <v/>
      </c>
      <c r="R204" s="13" t="str">
        <f>IF(MacReports!M204="Remote Lock","Remote Locked","")</f>
        <v/>
      </c>
      <c r="S204" t="str">
        <f t="shared" si="7"/>
        <v>Battery Defect, 0</v>
      </c>
      <c r="T204" t="str">
        <f>_xlfn.XLOOKUP(B204,Disk_Pivot!G:G,Disk_Pivot!I:I)</f>
        <v>Yes x2</v>
      </c>
      <c r="U204" t="str">
        <f>_xlfn.XLOOKUP(B204,Disk_Pivot!G:G,Disk_Pivot!N:N)</f>
        <v>Pass, Fail</v>
      </c>
      <c r="V204" t="str">
        <f>IF(U204="Fail",MacReports!O204,"")</f>
        <v/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MacReports!D205</f>
        <v>0</v>
      </c>
      <c r="D205" t="str">
        <f>MacReports!C205&amp;""</f>
        <v/>
      </c>
      <c r="E205" t="e">
        <f>_xlfn.XLOOKUP(G205,Models!A:A,Models!F:F)</f>
        <v>#N/A</v>
      </c>
      <c r="F205" t="str">
        <f>_xlfn.XLOOKUP(B205,MacReports!B:B,MacReports!E:E,"")</f>
        <v/>
      </c>
      <c r="G205" s="13">
        <f>MacReports!F205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MacReports!G205</f>
        <v>0</v>
      </c>
      <c r="L205">
        <f>MacReports!H205</f>
        <v>0</v>
      </c>
      <c r="M205" s="15" t="e" cm="1">
        <f t="array" ref="M205">--_xlfn.LET(
    _xlpm.txt, MacReports!I205,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--MacReports!N205&lt;55,"Battery Defect",
  -- MacReports!N205&lt;=69,"Battery D",
  --MacReports!N205&lt;=80,"Battery C",
 --MacReports!N205&gt;80,""
)</f>
        <v>Battery Defect</v>
      </c>
      <c r="O205" s="16" t="str">
        <f>IF(MacReports!J205="Service","Battery Service","")</f>
        <v/>
      </c>
      <c r="P205" s="13">
        <f>MacReports!Q205</f>
        <v>0</v>
      </c>
      <c r="Q205" s="13" t="str">
        <f>IF(MacReports!K205="Enabled","Apple ID Lock","")</f>
        <v/>
      </c>
      <c r="R205" s="13" t="str">
        <f>IF(MacReports!M205="Remote Lock","Remote Locked","")</f>
        <v/>
      </c>
      <c r="S205" t="str">
        <f t="shared" si="7"/>
        <v>Battery Defect, 0</v>
      </c>
      <c r="T205" t="str">
        <f>_xlfn.XLOOKUP(B205,Disk_Pivot!G:G,Disk_Pivot!I:I)</f>
        <v>Yes x2</v>
      </c>
      <c r="U205" t="str">
        <f>_xlfn.XLOOKUP(B205,Disk_Pivot!G:G,Disk_Pivot!N:N)</f>
        <v>Pass, Fail</v>
      </c>
      <c r="V205" t="str">
        <f>IF(U205="Fail",MacReports!O205,"")</f>
        <v/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MacReports!D206</f>
        <v>0</v>
      </c>
      <c r="D206" t="str">
        <f>MacReports!C206&amp;""</f>
        <v/>
      </c>
      <c r="E206" t="e">
        <f>_xlfn.XLOOKUP(G206,Models!A:A,Models!F:F)</f>
        <v>#N/A</v>
      </c>
      <c r="F206" t="str">
        <f>_xlfn.XLOOKUP(B206,MacReports!B:B,MacReports!E:E,"")</f>
        <v/>
      </c>
      <c r="G206" s="13">
        <f>MacReports!F206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MacReports!G206</f>
        <v>0</v>
      </c>
      <c r="L206">
        <f>MacReports!H206</f>
        <v>0</v>
      </c>
      <c r="M206" s="15" t="e" cm="1">
        <f t="array" ref="M206">--_xlfn.LET(
    _xlpm.txt, MacReports!I206,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--MacReports!N206&lt;55,"Battery Defect",
  -- MacReports!N206&lt;=69,"Battery D",
  --MacReports!N206&lt;=80,"Battery C",
 --MacReports!N206&gt;80,""
)</f>
        <v>Battery Defect</v>
      </c>
      <c r="O206" s="16" t="str">
        <f>IF(MacReports!J206="Service","Battery Service","")</f>
        <v/>
      </c>
      <c r="P206" s="13">
        <f>MacReports!Q206</f>
        <v>0</v>
      </c>
      <c r="Q206" s="13" t="str">
        <f>IF(MacReports!K206="Enabled","Apple ID Lock","")</f>
        <v/>
      </c>
      <c r="R206" s="13" t="str">
        <f>IF(MacReports!M206="Remote Lock","Remote Locked","")</f>
        <v/>
      </c>
      <c r="S206" t="str">
        <f t="shared" si="7"/>
        <v>Battery Defect, 0</v>
      </c>
      <c r="T206" t="str">
        <f>_xlfn.XLOOKUP(B206,Disk_Pivot!G:G,Disk_Pivot!I:I)</f>
        <v>Yes x2</v>
      </c>
      <c r="U206" t="str">
        <f>_xlfn.XLOOKUP(B206,Disk_Pivot!G:G,Disk_Pivot!N:N)</f>
        <v>Pass, Fail</v>
      </c>
      <c r="V206" t="str">
        <f>IF(U206="Fail",MacReports!O206,"")</f>
        <v/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MacReports!D207</f>
        <v>0</v>
      </c>
      <c r="D207" t="str">
        <f>MacReports!C207&amp;""</f>
        <v/>
      </c>
      <c r="E207" t="e">
        <f>_xlfn.XLOOKUP(G207,Models!A:A,Models!F:F)</f>
        <v>#N/A</v>
      </c>
      <c r="F207" t="str">
        <f>_xlfn.XLOOKUP(B207,MacReports!B:B,MacReports!E:E,"")</f>
        <v/>
      </c>
      <c r="G207" s="13">
        <f>MacReports!F207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MacReports!G207</f>
        <v>0</v>
      </c>
      <c r="L207">
        <f>MacReports!H207</f>
        <v>0</v>
      </c>
      <c r="M207" s="15" t="e" cm="1">
        <f t="array" ref="M207">--_xlfn.LET(
    _xlpm.txt, MacReports!I207,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--MacReports!N207&lt;55,"Battery Defect",
  -- MacReports!N207&lt;=69,"Battery D",
  --MacReports!N207&lt;=80,"Battery C",
 --MacReports!N207&gt;80,""
)</f>
        <v>Battery Defect</v>
      </c>
      <c r="O207" s="16" t="str">
        <f>IF(MacReports!J207="Service","Battery Service","")</f>
        <v/>
      </c>
      <c r="P207" s="13">
        <f>MacReports!Q207</f>
        <v>0</v>
      </c>
      <c r="Q207" s="13" t="str">
        <f>IF(MacReports!K207="Enabled","Apple ID Lock","")</f>
        <v/>
      </c>
      <c r="R207" s="13" t="str">
        <f>IF(MacReports!M207="Remote Lock","Remote Locked","")</f>
        <v/>
      </c>
      <c r="S207" t="str">
        <f t="shared" si="7"/>
        <v>Battery Defect, 0</v>
      </c>
      <c r="T207" t="str">
        <f>_xlfn.XLOOKUP(B207,Disk_Pivot!G:G,Disk_Pivot!I:I)</f>
        <v>Yes x2</v>
      </c>
      <c r="U207" t="str">
        <f>_xlfn.XLOOKUP(B207,Disk_Pivot!G:G,Disk_Pivot!N:N)</f>
        <v>Pass, Fail</v>
      </c>
      <c r="V207" t="str">
        <f>IF(U207="Fail",MacReports!O207,"")</f>
        <v/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MacReports!D208</f>
        <v>0</v>
      </c>
      <c r="D208" t="str">
        <f>MacReports!C208&amp;""</f>
        <v/>
      </c>
      <c r="E208" t="e">
        <f>_xlfn.XLOOKUP(G208,Models!A:A,Models!F:F)</f>
        <v>#N/A</v>
      </c>
      <c r="F208" t="str">
        <f>_xlfn.XLOOKUP(B208,MacReports!B:B,MacReports!E:E,"")</f>
        <v/>
      </c>
      <c r="G208" s="13">
        <f>MacReports!F208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MacReports!G208</f>
        <v>0</v>
      </c>
      <c r="L208">
        <f>MacReports!H208</f>
        <v>0</v>
      </c>
      <c r="M208" s="15" t="e" cm="1">
        <f t="array" ref="M208">--_xlfn.LET(
    _xlpm.txt, MacReports!I208,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--MacReports!N208&lt;55,"Battery Defect",
  -- MacReports!N208&lt;=69,"Battery D",
  --MacReports!N208&lt;=80,"Battery C",
 --MacReports!N208&gt;80,""
)</f>
        <v>Battery Defect</v>
      </c>
      <c r="O208" s="16" t="str">
        <f>IF(MacReports!J208="Service","Battery Service","")</f>
        <v/>
      </c>
      <c r="P208" s="13">
        <f>MacReports!Q208</f>
        <v>0</v>
      </c>
      <c r="Q208" s="13" t="str">
        <f>IF(MacReports!K208="Enabled","Apple ID Lock","")</f>
        <v/>
      </c>
      <c r="R208" s="13" t="str">
        <f>IF(MacReports!M208="Remote Lock","Remote Locked","")</f>
        <v/>
      </c>
      <c r="S208" t="str">
        <f t="shared" si="7"/>
        <v>Battery Defect, 0</v>
      </c>
      <c r="T208" t="str">
        <f>_xlfn.XLOOKUP(B208,Disk_Pivot!G:G,Disk_Pivot!I:I)</f>
        <v>Yes x2</v>
      </c>
      <c r="U208" t="str">
        <f>_xlfn.XLOOKUP(B208,Disk_Pivot!G:G,Disk_Pivot!N:N)</f>
        <v>Pass, Fail</v>
      </c>
      <c r="V208" t="str">
        <f>IF(U208="Fail",MacReports!O208,"")</f>
        <v/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MacReports!D209</f>
        <v>0</v>
      </c>
      <c r="D209" t="str">
        <f>MacReports!C209&amp;""</f>
        <v/>
      </c>
      <c r="E209" t="e">
        <f>_xlfn.XLOOKUP(G209,Models!A:A,Models!F:F)</f>
        <v>#N/A</v>
      </c>
      <c r="F209" t="str">
        <f>_xlfn.XLOOKUP(B209,MacReports!B:B,MacReports!E:E,"")</f>
        <v/>
      </c>
      <c r="G209" s="13">
        <f>MacReports!F209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MacReports!G209</f>
        <v>0</v>
      </c>
      <c r="L209">
        <f>MacReports!H209</f>
        <v>0</v>
      </c>
      <c r="M209" s="15" t="e" cm="1">
        <f t="array" ref="M209">--_xlfn.LET(
    _xlpm.txt, MacReports!I209,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--MacReports!N209&lt;55,"Battery Defect",
  -- MacReports!N209&lt;=69,"Battery D",
  --MacReports!N209&lt;=80,"Battery C",
 --MacReports!N209&gt;80,""
)</f>
        <v>Battery Defect</v>
      </c>
      <c r="O209" s="16" t="str">
        <f>IF(MacReports!J209="Service","Battery Service","")</f>
        <v/>
      </c>
      <c r="P209" s="13">
        <f>MacReports!Q209</f>
        <v>0</v>
      </c>
      <c r="Q209" s="13" t="str">
        <f>IF(MacReports!K209="Enabled","Apple ID Lock","")</f>
        <v/>
      </c>
      <c r="R209" s="13" t="str">
        <f>IF(MacReports!M209="Remote Lock","Remote Locked","")</f>
        <v/>
      </c>
      <c r="S209" t="str">
        <f t="shared" si="7"/>
        <v>Battery Defect, 0</v>
      </c>
      <c r="T209" t="str">
        <f>_xlfn.XLOOKUP(B209,Disk_Pivot!G:G,Disk_Pivot!I:I)</f>
        <v>Yes x2</v>
      </c>
      <c r="U209" t="str">
        <f>_xlfn.XLOOKUP(B209,Disk_Pivot!G:G,Disk_Pivot!N:N)</f>
        <v>Pass, Fail</v>
      </c>
      <c r="V209" t="str">
        <f>IF(U209="Fail",MacReports!O209,"")</f>
        <v/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MacReports!D210</f>
        <v>0</v>
      </c>
      <c r="D210" t="str">
        <f>MacReports!C210&amp;""</f>
        <v/>
      </c>
      <c r="E210" t="e">
        <f>_xlfn.XLOOKUP(G210,Models!A:A,Models!F:F)</f>
        <v>#N/A</v>
      </c>
      <c r="F210" t="str">
        <f>_xlfn.XLOOKUP(B210,MacReports!B:B,MacReports!E:E,"")</f>
        <v/>
      </c>
      <c r="G210" s="13">
        <f>MacReports!F210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MacReports!G210</f>
        <v>0</v>
      </c>
      <c r="L210">
        <f>MacReports!H210</f>
        <v>0</v>
      </c>
      <c r="M210" s="15" t="e" cm="1">
        <f t="array" ref="M210">--_xlfn.LET(
    _xlpm.txt, MacReports!I210,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--MacReports!N210&lt;55,"Battery Defect",
  -- MacReports!N210&lt;=69,"Battery D",
  --MacReports!N210&lt;=80,"Battery C",
 --MacReports!N210&gt;80,""
)</f>
        <v>Battery Defect</v>
      </c>
      <c r="O210" s="16" t="str">
        <f>IF(MacReports!J210="Service","Battery Service","")</f>
        <v/>
      </c>
      <c r="P210" s="13">
        <f>MacReports!Q210</f>
        <v>0</v>
      </c>
      <c r="Q210" s="13" t="str">
        <f>IF(MacReports!K210="Enabled","Apple ID Lock","")</f>
        <v/>
      </c>
      <c r="R210" s="13" t="str">
        <f>IF(MacReports!M210="Remote Lock","Remote Locked","")</f>
        <v/>
      </c>
      <c r="S210" t="str">
        <f t="shared" si="7"/>
        <v>Battery Defect, 0</v>
      </c>
      <c r="T210" t="str">
        <f>_xlfn.XLOOKUP(B210,Disk_Pivot!G:G,Disk_Pivot!I:I)</f>
        <v>Yes x2</v>
      </c>
      <c r="U210" t="str">
        <f>_xlfn.XLOOKUP(B210,Disk_Pivot!G:G,Disk_Pivot!N:N)</f>
        <v>Pass, Fail</v>
      </c>
      <c r="V210" t="str">
        <f>IF(U210="Fail",MacReports!O210,"")</f>
        <v/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MacReports!D211</f>
        <v>0</v>
      </c>
      <c r="D211" t="str">
        <f>MacReports!C211&amp;""</f>
        <v/>
      </c>
      <c r="E211" t="e">
        <f>_xlfn.XLOOKUP(G211,Models!A:A,Models!F:F)</f>
        <v>#N/A</v>
      </c>
      <c r="F211" t="str">
        <f>_xlfn.XLOOKUP(B211,MacReports!B:B,MacReports!E:E,"")</f>
        <v/>
      </c>
      <c r="G211" s="13">
        <f>MacReports!F211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MacReports!G211</f>
        <v>0</v>
      </c>
      <c r="L211">
        <f>MacReports!H211</f>
        <v>0</v>
      </c>
      <c r="M211" s="15" t="e" cm="1">
        <f t="array" ref="M211">--_xlfn.LET(
    _xlpm.txt, MacReports!I211,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--MacReports!N211&lt;55,"Battery Defect",
  -- MacReports!N211&lt;=69,"Battery D",
  --MacReports!N211&lt;=80,"Battery C",
 --MacReports!N211&gt;80,""
)</f>
        <v>Battery Defect</v>
      </c>
      <c r="O211" s="16" t="str">
        <f>IF(MacReports!J211="Service","Battery Service","")</f>
        <v/>
      </c>
      <c r="P211" s="13">
        <f>MacReports!Q211</f>
        <v>0</v>
      </c>
      <c r="Q211" s="13" t="str">
        <f>IF(MacReports!K211="Enabled","Apple ID Lock","")</f>
        <v/>
      </c>
      <c r="R211" s="13" t="str">
        <f>IF(MacReports!M211="Remote Lock","Remote Locked","")</f>
        <v/>
      </c>
      <c r="S211" t="str">
        <f t="shared" si="7"/>
        <v>Battery Defect, 0</v>
      </c>
      <c r="T211" t="str">
        <f>_xlfn.XLOOKUP(B211,Disk_Pivot!G:G,Disk_Pivot!I:I)</f>
        <v>Yes x2</v>
      </c>
      <c r="U211" t="str">
        <f>_xlfn.XLOOKUP(B211,Disk_Pivot!G:G,Disk_Pivot!N:N)</f>
        <v>Pass, Fail</v>
      </c>
      <c r="V211" t="str">
        <f>IF(U211="Fail",MacReports!O211,"")</f>
        <v/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MacReports!D212</f>
        <v>0</v>
      </c>
      <c r="D212" t="str">
        <f>MacReports!C212&amp;""</f>
        <v/>
      </c>
      <c r="E212" t="e">
        <f>_xlfn.XLOOKUP(G212,Models!A:A,Models!F:F)</f>
        <v>#N/A</v>
      </c>
      <c r="F212" t="str">
        <f>_xlfn.XLOOKUP(B212,MacReports!B:B,MacReports!E:E,"")</f>
        <v/>
      </c>
      <c r="G212" s="13">
        <f>MacReports!F212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MacReports!G212</f>
        <v>0</v>
      </c>
      <c r="L212">
        <f>MacReports!H212</f>
        <v>0</v>
      </c>
      <c r="M212" s="15" t="e" cm="1">
        <f t="array" ref="M212">--_xlfn.LET(
    _xlpm.txt, MacReports!I212,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--MacReports!N212&lt;55,"Battery Defect",
  -- MacReports!N212&lt;=69,"Battery D",
  --MacReports!N212&lt;=80,"Battery C",
 --MacReports!N212&gt;80,""
)</f>
        <v>Battery Defect</v>
      </c>
      <c r="O212" s="16" t="str">
        <f>IF(MacReports!J212="Service","Battery Service","")</f>
        <v/>
      </c>
      <c r="P212" s="13">
        <f>MacReports!Q212</f>
        <v>0</v>
      </c>
      <c r="Q212" s="13" t="str">
        <f>IF(MacReports!K212="Enabled","Apple ID Lock","")</f>
        <v/>
      </c>
      <c r="R212" s="13" t="str">
        <f>IF(MacReports!M212="Remote Lock","Remote Locked","")</f>
        <v/>
      </c>
      <c r="S212" t="str">
        <f t="shared" si="7"/>
        <v>Battery Defect, 0</v>
      </c>
      <c r="T212" t="str">
        <f>_xlfn.XLOOKUP(B212,Disk_Pivot!G:G,Disk_Pivot!I:I)</f>
        <v>Yes x2</v>
      </c>
      <c r="U212" t="str">
        <f>_xlfn.XLOOKUP(B212,Disk_Pivot!G:G,Disk_Pivot!N:N)</f>
        <v>Pass, Fail</v>
      </c>
      <c r="V212" t="str">
        <f>IF(U212="Fail",MacReports!O212,"")</f>
        <v/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MacReports!D213</f>
        <v>0</v>
      </c>
      <c r="D213" t="str">
        <f>MacReports!C213&amp;""</f>
        <v/>
      </c>
      <c r="E213" t="e">
        <f>_xlfn.XLOOKUP(G213,Models!A:A,Models!F:F)</f>
        <v>#N/A</v>
      </c>
      <c r="F213" t="str">
        <f>_xlfn.XLOOKUP(B213,MacReports!B:B,MacReports!E:E,"")</f>
        <v/>
      </c>
      <c r="G213" s="13">
        <f>MacReports!F213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MacReports!G213</f>
        <v>0</v>
      </c>
      <c r="L213">
        <f>MacReports!H213</f>
        <v>0</v>
      </c>
      <c r="M213" s="15" t="e" cm="1">
        <f t="array" ref="M213">--_xlfn.LET(
    _xlpm.txt, MacReports!I213,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--MacReports!N213&lt;55,"Battery Defect",
  -- MacReports!N213&lt;=69,"Battery D",
  --MacReports!N213&lt;=80,"Battery C",
 --MacReports!N213&gt;80,""
)</f>
        <v>Battery Defect</v>
      </c>
      <c r="O213" s="16" t="str">
        <f>IF(MacReports!J213="Service","Battery Service","")</f>
        <v/>
      </c>
      <c r="P213" s="13">
        <f>MacReports!Q213</f>
        <v>0</v>
      </c>
      <c r="Q213" s="13" t="str">
        <f>IF(MacReports!K213="Enabled","Apple ID Lock","")</f>
        <v/>
      </c>
      <c r="R213" s="13" t="str">
        <f>IF(MacReports!M213="Remote Lock","Remote Locked","")</f>
        <v/>
      </c>
      <c r="S213" t="str">
        <f t="shared" si="7"/>
        <v>Battery Defect, 0</v>
      </c>
      <c r="T213" t="str">
        <f>_xlfn.XLOOKUP(B213,Disk_Pivot!G:G,Disk_Pivot!I:I)</f>
        <v>Yes x2</v>
      </c>
      <c r="U213" t="str">
        <f>_xlfn.XLOOKUP(B213,Disk_Pivot!G:G,Disk_Pivot!N:N)</f>
        <v>Pass, Fail</v>
      </c>
      <c r="V213" t="str">
        <f>IF(U213="Fail",MacReports!O213,"")</f>
        <v/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MacReports!D214</f>
        <v>0</v>
      </c>
      <c r="D214" t="str">
        <f>MacReports!C214&amp;""</f>
        <v/>
      </c>
      <c r="E214" t="e">
        <f>_xlfn.XLOOKUP(G214,Models!A:A,Models!F:F)</f>
        <v>#N/A</v>
      </c>
      <c r="F214" t="str">
        <f>_xlfn.XLOOKUP(B214,MacReports!B:B,MacReports!E:E,"")</f>
        <v/>
      </c>
      <c r="G214" s="13">
        <f>MacReports!F214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MacReports!G214</f>
        <v>0</v>
      </c>
      <c r="L214">
        <f>MacReports!H214</f>
        <v>0</v>
      </c>
      <c r="M214" s="15" t="e" cm="1">
        <f t="array" ref="M214">--_xlfn.LET(
    _xlpm.txt, MacReports!I214,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--MacReports!N214&lt;55,"Battery Defect",
  -- MacReports!N214&lt;=69,"Battery D",
  --MacReports!N214&lt;=80,"Battery C",
 --MacReports!N214&gt;80,""
)</f>
        <v>Battery Defect</v>
      </c>
      <c r="O214" s="16" t="str">
        <f>IF(MacReports!J214="Service","Battery Service","")</f>
        <v/>
      </c>
      <c r="P214" s="13">
        <f>MacReports!Q214</f>
        <v>0</v>
      </c>
      <c r="Q214" s="13" t="str">
        <f>IF(MacReports!K214="Enabled","Apple ID Lock","")</f>
        <v/>
      </c>
      <c r="R214" s="13" t="str">
        <f>IF(MacReports!M214="Remote Lock","Remote Locked","")</f>
        <v/>
      </c>
      <c r="S214" t="str">
        <f t="shared" si="7"/>
        <v>Battery Defect, 0</v>
      </c>
      <c r="T214" t="str">
        <f>_xlfn.XLOOKUP(B214,Disk_Pivot!G:G,Disk_Pivot!I:I)</f>
        <v>Yes x2</v>
      </c>
      <c r="U214" t="str">
        <f>_xlfn.XLOOKUP(B214,Disk_Pivot!G:G,Disk_Pivot!N:N)</f>
        <v>Pass, Fail</v>
      </c>
      <c r="V214" t="str">
        <f>IF(U214="Fail",MacReports!O214,"")</f>
        <v/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MacReports!D215</f>
        <v>0</v>
      </c>
      <c r="D215" t="str">
        <f>MacReports!C215&amp;""</f>
        <v/>
      </c>
      <c r="E215" t="e">
        <f>_xlfn.XLOOKUP(G215,Models!A:A,Models!F:F)</f>
        <v>#N/A</v>
      </c>
      <c r="F215" t="str">
        <f>_xlfn.XLOOKUP(B215,MacReports!B:B,MacReports!E:E,"")</f>
        <v/>
      </c>
      <c r="G215" s="13">
        <f>MacReports!F215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MacReports!G215</f>
        <v>0</v>
      </c>
      <c r="L215">
        <f>MacReports!H215</f>
        <v>0</v>
      </c>
      <c r="M215" s="15" t="e" cm="1">
        <f t="array" ref="M215">--_xlfn.LET(
    _xlpm.txt, MacReports!I215,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--MacReports!N215&lt;55,"Battery Defect",
  -- MacReports!N215&lt;=69,"Battery D",
  --MacReports!N215&lt;=80,"Battery C",
 --MacReports!N215&gt;80,""
)</f>
        <v>Battery Defect</v>
      </c>
      <c r="O215" s="16" t="str">
        <f>IF(MacReports!J215="Service","Battery Service","")</f>
        <v/>
      </c>
      <c r="P215" s="13">
        <f>MacReports!Q215</f>
        <v>0</v>
      </c>
      <c r="Q215" s="13" t="str">
        <f>IF(MacReports!K215="Enabled","Apple ID Lock","")</f>
        <v/>
      </c>
      <c r="R215" s="13" t="str">
        <f>IF(MacReports!M215="Remote Lock","Remote Locked","")</f>
        <v/>
      </c>
      <c r="S215" t="str">
        <f t="shared" si="7"/>
        <v>Battery Defect, 0</v>
      </c>
      <c r="T215" t="str">
        <f>_xlfn.XLOOKUP(B215,Disk_Pivot!G:G,Disk_Pivot!I:I)</f>
        <v>Yes x2</v>
      </c>
      <c r="U215" t="str">
        <f>_xlfn.XLOOKUP(B215,Disk_Pivot!G:G,Disk_Pivot!N:N)</f>
        <v>Pass, Fail</v>
      </c>
      <c r="V215" t="str">
        <f>IF(U215="Fail",MacReports!O215,"")</f>
        <v/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MacReports!D216</f>
        <v>0</v>
      </c>
      <c r="D216" t="str">
        <f>MacReports!C216&amp;""</f>
        <v/>
      </c>
      <c r="E216" t="e">
        <f>_xlfn.XLOOKUP(G216,Models!A:A,Models!F:F)</f>
        <v>#N/A</v>
      </c>
      <c r="F216" t="str">
        <f>_xlfn.XLOOKUP(B216,MacReports!B:B,MacReports!E:E,"")</f>
        <v/>
      </c>
      <c r="G216" s="13">
        <f>MacReports!F216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MacReports!G216</f>
        <v>0</v>
      </c>
      <c r="L216">
        <f>MacReports!H216</f>
        <v>0</v>
      </c>
      <c r="M216" s="15" t="e" cm="1">
        <f t="array" ref="M216">--_xlfn.LET(
    _xlpm.txt, MacReports!I216,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--MacReports!N216&lt;55,"Battery Defect",
  -- MacReports!N216&lt;=69,"Battery D",
  --MacReports!N216&lt;=80,"Battery C",
 --MacReports!N216&gt;80,""
)</f>
        <v>Battery Defect</v>
      </c>
      <c r="O216" s="16" t="str">
        <f>IF(MacReports!J216="Service","Battery Service","")</f>
        <v/>
      </c>
      <c r="P216" s="13">
        <f>MacReports!Q216</f>
        <v>0</v>
      </c>
      <c r="Q216" s="13" t="str">
        <f>IF(MacReports!K216="Enabled","Apple ID Lock","")</f>
        <v/>
      </c>
      <c r="R216" s="13" t="str">
        <f>IF(MacReports!M216="Remote Lock","Remote Locked","")</f>
        <v/>
      </c>
      <c r="S216" t="str">
        <f t="shared" si="7"/>
        <v>Battery Defect, 0</v>
      </c>
      <c r="T216" t="str">
        <f>_xlfn.XLOOKUP(B216,Disk_Pivot!G:G,Disk_Pivot!I:I)</f>
        <v>Yes x2</v>
      </c>
      <c r="U216" t="str">
        <f>_xlfn.XLOOKUP(B216,Disk_Pivot!G:G,Disk_Pivot!N:N)</f>
        <v>Pass, Fail</v>
      </c>
      <c r="V216" t="str">
        <f>IF(U216="Fail",MacReports!O216,"")</f>
        <v/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MacReports!D217</f>
        <v>0</v>
      </c>
      <c r="D217" t="str">
        <f>MacReports!C217&amp;""</f>
        <v/>
      </c>
      <c r="E217" t="e">
        <f>_xlfn.XLOOKUP(G217,Models!A:A,Models!F:F)</f>
        <v>#N/A</v>
      </c>
      <c r="F217" t="str">
        <f>_xlfn.XLOOKUP(B217,MacReports!B:B,MacReports!E:E,"")</f>
        <v/>
      </c>
      <c r="G217" s="13">
        <f>MacReports!F217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MacReports!G217</f>
        <v>0</v>
      </c>
      <c r="L217">
        <f>MacReports!H217</f>
        <v>0</v>
      </c>
      <c r="M217" s="15" t="e" cm="1">
        <f t="array" ref="M217">--_xlfn.LET(
    _xlpm.txt, MacReports!I217,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--MacReports!N217&lt;55,"Battery Defect",
  -- MacReports!N217&lt;=69,"Battery D",
  --MacReports!N217&lt;=80,"Battery C",
 --MacReports!N217&gt;80,""
)</f>
        <v>Battery Defect</v>
      </c>
      <c r="O217" s="16" t="str">
        <f>IF(MacReports!J217="Service","Battery Service","")</f>
        <v/>
      </c>
      <c r="P217" s="13">
        <f>MacReports!Q217</f>
        <v>0</v>
      </c>
      <c r="Q217" s="13" t="str">
        <f>IF(MacReports!K217="Enabled","Apple ID Lock","")</f>
        <v/>
      </c>
      <c r="R217" s="13" t="str">
        <f>IF(MacReports!M217="Remote Lock","Remote Locked","")</f>
        <v/>
      </c>
      <c r="S217" t="str">
        <f t="shared" si="7"/>
        <v>Battery Defect, 0</v>
      </c>
      <c r="T217" t="str">
        <f>_xlfn.XLOOKUP(B217,Disk_Pivot!G:G,Disk_Pivot!I:I)</f>
        <v>Yes x2</v>
      </c>
      <c r="U217" t="str">
        <f>_xlfn.XLOOKUP(B217,Disk_Pivot!G:G,Disk_Pivot!N:N)</f>
        <v>Pass, Fail</v>
      </c>
      <c r="V217" t="str">
        <f>IF(U217="Fail",MacReports!O217,"")</f>
        <v/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MacReports!D218</f>
        <v>0</v>
      </c>
      <c r="D218" t="str">
        <f>MacReports!C218&amp;""</f>
        <v/>
      </c>
      <c r="E218" t="e">
        <f>_xlfn.XLOOKUP(G218,Models!A:A,Models!F:F)</f>
        <v>#N/A</v>
      </c>
      <c r="F218" t="str">
        <f>_xlfn.XLOOKUP(B218,MacReports!B:B,MacReports!E:E,"")</f>
        <v/>
      </c>
      <c r="G218" s="13">
        <f>MacReports!F218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MacReports!G218</f>
        <v>0</v>
      </c>
      <c r="L218">
        <f>MacReports!H218</f>
        <v>0</v>
      </c>
      <c r="M218" s="15" t="e" cm="1">
        <f t="array" ref="M218">--_xlfn.LET(
    _xlpm.txt, MacReports!I218,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--MacReports!N218&lt;55,"Battery Defect",
  -- MacReports!N218&lt;=69,"Battery D",
  --MacReports!N218&lt;=80,"Battery C",
 --MacReports!N218&gt;80,""
)</f>
        <v>Battery Defect</v>
      </c>
      <c r="O218" s="16" t="str">
        <f>IF(MacReports!J218="Service","Battery Service","")</f>
        <v/>
      </c>
      <c r="P218" s="13">
        <f>MacReports!Q218</f>
        <v>0</v>
      </c>
      <c r="Q218" s="13" t="str">
        <f>IF(MacReports!K218="Enabled","Apple ID Lock","")</f>
        <v/>
      </c>
      <c r="R218" s="13" t="str">
        <f>IF(MacReports!M218="Remote Lock","Remote Locked","")</f>
        <v/>
      </c>
      <c r="S218" t="str">
        <f t="shared" si="7"/>
        <v>Battery Defect, 0</v>
      </c>
      <c r="T218" t="str">
        <f>_xlfn.XLOOKUP(B218,Disk_Pivot!G:G,Disk_Pivot!I:I)</f>
        <v>Yes x2</v>
      </c>
      <c r="U218" t="str">
        <f>_xlfn.XLOOKUP(B218,Disk_Pivot!G:G,Disk_Pivot!N:N)</f>
        <v>Pass, Fail</v>
      </c>
      <c r="V218" t="str">
        <f>IF(U218="Fail",MacReports!O218,"")</f>
        <v/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MacReports!D219</f>
        <v>0</v>
      </c>
      <c r="D219" t="str">
        <f>MacReports!C219&amp;""</f>
        <v/>
      </c>
      <c r="E219" t="e">
        <f>_xlfn.XLOOKUP(G219,Models!A:A,Models!F:F)</f>
        <v>#N/A</v>
      </c>
      <c r="F219" t="str">
        <f>_xlfn.XLOOKUP(B219,MacReports!B:B,MacReports!E:E,"")</f>
        <v/>
      </c>
      <c r="G219" s="13">
        <f>MacReports!F219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MacReports!G219</f>
        <v>0</v>
      </c>
      <c r="L219">
        <f>MacReports!H219</f>
        <v>0</v>
      </c>
      <c r="M219" s="15" t="e" cm="1">
        <f t="array" ref="M219">--_xlfn.LET(
    _xlpm.txt, MacReports!I219,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--MacReports!N219&lt;55,"Battery Defect",
  -- MacReports!N219&lt;=69,"Battery D",
  --MacReports!N219&lt;=80,"Battery C",
 --MacReports!N219&gt;80,""
)</f>
        <v>Battery Defect</v>
      </c>
      <c r="O219" s="16" t="str">
        <f>IF(MacReports!J219="Service","Battery Service","")</f>
        <v/>
      </c>
      <c r="P219" s="13">
        <f>MacReports!Q219</f>
        <v>0</v>
      </c>
      <c r="Q219" s="13" t="str">
        <f>IF(MacReports!K219="Enabled","Apple ID Lock","")</f>
        <v/>
      </c>
      <c r="R219" s="13" t="str">
        <f>IF(MacReports!M219="Remote Lock","Remote Locked","")</f>
        <v/>
      </c>
      <c r="S219" t="str">
        <f t="shared" si="7"/>
        <v>Battery Defect, 0</v>
      </c>
      <c r="T219" t="str">
        <f>_xlfn.XLOOKUP(B219,Disk_Pivot!G:G,Disk_Pivot!I:I)</f>
        <v>Yes x2</v>
      </c>
      <c r="U219" t="str">
        <f>_xlfn.XLOOKUP(B219,Disk_Pivot!G:G,Disk_Pivot!N:N)</f>
        <v>Pass, Fail</v>
      </c>
      <c r="V219" t="str">
        <f>IF(U219="Fail",MacReports!O219,"")</f>
        <v/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MacReports!D220</f>
        <v>0</v>
      </c>
      <c r="D220" t="str">
        <f>MacReports!C220&amp;""</f>
        <v/>
      </c>
      <c r="E220" t="e">
        <f>_xlfn.XLOOKUP(G220,Models!A:A,Models!F:F)</f>
        <v>#N/A</v>
      </c>
      <c r="F220" t="str">
        <f>_xlfn.XLOOKUP(B220,MacReports!B:B,MacReports!E:E,"")</f>
        <v/>
      </c>
      <c r="G220" s="13">
        <f>MacReports!F220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MacReports!G220</f>
        <v>0</v>
      </c>
      <c r="L220">
        <f>MacReports!H220</f>
        <v>0</v>
      </c>
      <c r="M220" s="15" t="e" cm="1">
        <f t="array" ref="M220">--_xlfn.LET(
    _xlpm.txt, MacReports!I220,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--MacReports!N220&lt;55,"Battery Defect",
  -- MacReports!N220&lt;=69,"Battery D",
  --MacReports!N220&lt;=80,"Battery C",
 --MacReports!N220&gt;80,""
)</f>
        <v>Battery Defect</v>
      </c>
      <c r="O220" s="16" t="str">
        <f>IF(MacReports!J220="Service","Battery Service","")</f>
        <v/>
      </c>
      <c r="P220" s="13">
        <f>MacReports!Q220</f>
        <v>0</v>
      </c>
      <c r="Q220" s="13" t="str">
        <f>IF(MacReports!K220="Enabled","Apple ID Lock","")</f>
        <v/>
      </c>
      <c r="R220" s="13" t="str">
        <f>IF(MacReports!M220="Remote Lock","Remote Locked","")</f>
        <v/>
      </c>
      <c r="S220" t="str">
        <f t="shared" si="7"/>
        <v>Battery Defect, 0</v>
      </c>
      <c r="T220" t="str">
        <f>_xlfn.XLOOKUP(B220,Disk_Pivot!G:G,Disk_Pivot!I:I)</f>
        <v>Yes x2</v>
      </c>
      <c r="U220" t="str">
        <f>_xlfn.XLOOKUP(B220,Disk_Pivot!G:G,Disk_Pivot!N:N)</f>
        <v>Pass, Fail</v>
      </c>
      <c r="V220" t="str">
        <f>IF(U220="Fail",MacReports!O220,"")</f>
        <v/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MacReports!D221</f>
        <v>0</v>
      </c>
      <c r="D221" t="str">
        <f>MacReports!C221&amp;""</f>
        <v/>
      </c>
      <c r="E221" t="e">
        <f>_xlfn.XLOOKUP(G221,Models!A:A,Models!F:F)</f>
        <v>#N/A</v>
      </c>
      <c r="F221" t="str">
        <f>_xlfn.XLOOKUP(B221,MacReports!B:B,MacReports!E:E,"")</f>
        <v/>
      </c>
      <c r="G221" s="13">
        <f>MacReports!F221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MacReports!G221</f>
        <v>0</v>
      </c>
      <c r="L221">
        <f>MacReports!H221</f>
        <v>0</v>
      </c>
      <c r="M221" s="15" t="e" cm="1">
        <f t="array" ref="M221">--_xlfn.LET(
    _xlpm.txt, MacReports!I221,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--MacReports!N221&lt;55,"Battery Defect",
  -- MacReports!N221&lt;=69,"Battery D",
  --MacReports!N221&lt;=80,"Battery C",
 --MacReports!N221&gt;80,""
)</f>
        <v>Battery Defect</v>
      </c>
      <c r="O221" s="16" t="str">
        <f>IF(MacReports!J221="Service","Battery Service","")</f>
        <v/>
      </c>
      <c r="P221" s="13">
        <f>MacReports!Q221</f>
        <v>0</v>
      </c>
      <c r="Q221" s="13" t="str">
        <f>IF(MacReports!K221="Enabled","Apple ID Lock","")</f>
        <v/>
      </c>
      <c r="R221" s="13" t="str">
        <f>IF(MacReports!M221="Remote Lock","Remote Locked","")</f>
        <v/>
      </c>
      <c r="S221" t="str">
        <f t="shared" si="7"/>
        <v>Battery Defect, 0</v>
      </c>
      <c r="T221" t="str">
        <f>_xlfn.XLOOKUP(B221,Disk_Pivot!G:G,Disk_Pivot!I:I)</f>
        <v>Yes x2</v>
      </c>
      <c r="U221" t="str">
        <f>_xlfn.XLOOKUP(B221,Disk_Pivot!G:G,Disk_Pivot!N:N)</f>
        <v>Pass, Fail</v>
      </c>
      <c r="V221" t="str">
        <f>IF(U221="Fail",MacReports!O221,"")</f>
        <v/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MacReports!D222</f>
        <v>0</v>
      </c>
      <c r="D222" t="str">
        <f>MacReports!C222&amp;""</f>
        <v/>
      </c>
      <c r="E222" t="e">
        <f>_xlfn.XLOOKUP(G222,Models!A:A,Models!F:F)</f>
        <v>#N/A</v>
      </c>
      <c r="F222" t="str">
        <f>_xlfn.XLOOKUP(B222,MacReports!B:B,MacReports!E:E,"")</f>
        <v/>
      </c>
      <c r="G222" s="13">
        <f>MacReports!F222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MacReports!G222</f>
        <v>0</v>
      </c>
      <c r="L222">
        <f>MacReports!H222</f>
        <v>0</v>
      </c>
      <c r="M222" s="15" t="e" cm="1">
        <f t="array" ref="M222">--_xlfn.LET(
    _xlpm.txt, MacReports!I222,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--MacReports!N222&lt;55,"Battery Defect",
  -- MacReports!N222&lt;=69,"Battery D",
  --MacReports!N222&lt;=80,"Battery C",
 --MacReports!N222&gt;80,""
)</f>
        <v>Battery Defect</v>
      </c>
      <c r="O222" s="16" t="str">
        <f>IF(MacReports!J222="Service","Battery Service","")</f>
        <v/>
      </c>
      <c r="P222" s="13">
        <f>MacReports!Q222</f>
        <v>0</v>
      </c>
      <c r="Q222" s="13" t="str">
        <f>IF(MacReports!K222="Enabled","Apple ID Lock","")</f>
        <v/>
      </c>
      <c r="R222" s="13" t="str">
        <f>IF(MacReports!M222="Remote Lock","Remote Locked","")</f>
        <v/>
      </c>
      <c r="S222" t="str">
        <f t="shared" si="7"/>
        <v>Battery Defect, 0</v>
      </c>
      <c r="T222" t="str">
        <f>_xlfn.XLOOKUP(B222,Disk_Pivot!G:G,Disk_Pivot!I:I)</f>
        <v>Yes x2</v>
      </c>
      <c r="U222" t="str">
        <f>_xlfn.XLOOKUP(B222,Disk_Pivot!G:G,Disk_Pivot!N:N)</f>
        <v>Pass, Fail</v>
      </c>
      <c r="V222" t="str">
        <f>IF(U222="Fail",MacReports!O222,"")</f>
        <v/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MacReports!D223</f>
        <v>0</v>
      </c>
      <c r="D223" t="str">
        <f>MacReports!C223&amp;""</f>
        <v/>
      </c>
      <c r="E223" t="e">
        <f>_xlfn.XLOOKUP(G223,Models!A:A,Models!F:F)</f>
        <v>#N/A</v>
      </c>
      <c r="F223" t="str">
        <f>_xlfn.XLOOKUP(B223,MacReports!B:B,MacReports!E:E,"")</f>
        <v/>
      </c>
      <c r="G223" s="13">
        <f>MacReports!F223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MacReports!G223</f>
        <v>0</v>
      </c>
      <c r="L223">
        <f>MacReports!H223</f>
        <v>0</v>
      </c>
      <c r="M223" s="15" t="e" cm="1">
        <f t="array" ref="M223">--_xlfn.LET(
    _xlpm.txt, MacReports!I223,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--MacReports!N223&lt;55,"Battery Defect",
  -- MacReports!N223&lt;=69,"Battery D",
  --MacReports!N223&lt;=80,"Battery C",
 --MacReports!N223&gt;80,""
)</f>
        <v>Battery Defect</v>
      </c>
      <c r="O223" s="16" t="str">
        <f>IF(MacReports!J223="Service","Battery Service","")</f>
        <v/>
      </c>
      <c r="P223" s="13">
        <f>MacReports!Q223</f>
        <v>0</v>
      </c>
      <c r="Q223" s="13" t="str">
        <f>IF(MacReports!K223="Enabled","Apple ID Lock","")</f>
        <v/>
      </c>
      <c r="R223" s="13" t="str">
        <f>IF(MacReports!M223="Remote Lock","Remote Locked","")</f>
        <v/>
      </c>
      <c r="S223" t="str">
        <f t="shared" si="7"/>
        <v>Battery Defect, 0</v>
      </c>
      <c r="T223" t="str">
        <f>_xlfn.XLOOKUP(B223,Disk_Pivot!G:G,Disk_Pivot!I:I)</f>
        <v>Yes x2</v>
      </c>
      <c r="U223" t="str">
        <f>_xlfn.XLOOKUP(B223,Disk_Pivot!G:G,Disk_Pivot!N:N)</f>
        <v>Pass, Fail</v>
      </c>
      <c r="V223" t="str">
        <f>IF(U223="Fail",MacReports!O223,"")</f>
        <v/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MacReports!D224</f>
        <v>0</v>
      </c>
      <c r="D224" t="str">
        <f>MacReports!C224&amp;""</f>
        <v/>
      </c>
      <c r="E224" t="e">
        <f>_xlfn.XLOOKUP(G224,Models!A:A,Models!F:F)</f>
        <v>#N/A</v>
      </c>
      <c r="F224" t="str">
        <f>_xlfn.XLOOKUP(B224,MacReports!B:B,MacReports!E:E,"")</f>
        <v/>
      </c>
      <c r="G224" s="13">
        <f>MacReports!F224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MacReports!G224</f>
        <v>0</v>
      </c>
      <c r="L224">
        <f>MacReports!H224</f>
        <v>0</v>
      </c>
      <c r="M224" s="15" t="e" cm="1">
        <f t="array" ref="M224">--_xlfn.LET(
    _xlpm.txt, MacReports!I224,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--MacReports!N224&lt;55,"Battery Defect",
  -- MacReports!N224&lt;=69,"Battery D",
  --MacReports!N224&lt;=80,"Battery C",
 --MacReports!N224&gt;80,""
)</f>
        <v>Battery Defect</v>
      </c>
      <c r="O224" s="16" t="str">
        <f>IF(MacReports!J224="Service","Battery Service","")</f>
        <v/>
      </c>
      <c r="P224" s="13">
        <f>MacReports!Q224</f>
        <v>0</v>
      </c>
      <c r="Q224" s="13" t="str">
        <f>IF(MacReports!K224="Enabled","Apple ID Lock","")</f>
        <v/>
      </c>
      <c r="R224" s="13" t="str">
        <f>IF(MacReports!M224="Remote Lock","Remote Locked","")</f>
        <v/>
      </c>
      <c r="S224" t="str">
        <f t="shared" si="7"/>
        <v>Battery Defect, 0</v>
      </c>
      <c r="T224" t="str">
        <f>_xlfn.XLOOKUP(B224,Disk_Pivot!G:G,Disk_Pivot!I:I)</f>
        <v>Yes x2</v>
      </c>
      <c r="U224" t="str">
        <f>_xlfn.XLOOKUP(B224,Disk_Pivot!G:G,Disk_Pivot!N:N)</f>
        <v>Pass, Fail</v>
      </c>
      <c r="V224" t="str">
        <f>IF(U224="Fail",MacReports!O224,"")</f>
        <v/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MacReports!D225</f>
        <v>0</v>
      </c>
      <c r="D225" t="str">
        <f>MacReports!C225&amp;""</f>
        <v/>
      </c>
      <c r="E225" t="e">
        <f>_xlfn.XLOOKUP(G225,Models!A:A,Models!F:F)</f>
        <v>#N/A</v>
      </c>
      <c r="F225" t="str">
        <f>_xlfn.XLOOKUP(B225,MacReports!B:B,MacReports!E:E,"")</f>
        <v/>
      </c>
      <c r="G225" s="13">
        <f>MacReports!F225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MacReports!G225</f>
        <v>0</v>
      </c>
      <c r="L225">
        <f>MacReports!H225</f>
        <v>0</v>
      </c>
      <c r="M225" s="15" t="e" cm="1">
        <f t="array" ref="M225">--_xlfn.LET(
    _xlpm.txt, MacReports!I225,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--MacReports!N225&lt;55,"Battery Defect",
  -- MacReports!N225&lt;=69,"Battery D",
  --MacReports!N225&lt;=80,"Battery C",
 --MacReports!N225&gt;80,""
)</f>
        <v>Battery Defect</v>
      </c>
      <c r="O225" s="16" t="str">
        <f>IF(MacReports!J225="Service","Battery Service","")</f>
        <v/>
      </c>
      <c r="P225" s="13">
        <f>MacReports!Q225</f>
        <v>0</v>
      </c>
      <c r="Q225" s="13" t="str">
        <f>IF(MacReports!K225="Enabled","Apple ID Lock","")</f>
        <v/>
      </c>
      <c r="R225" s="13" t="str">
        <f>IF(MacReports!M225="Remote Lock","Remote Locked","")</f>
        <v/>
      </c>
      <c r="S225" t="str">
        <f t="shared" si="7"/>
        <v>Battery Defect, 0</v>
      </c>
      <c r="T225" t="str">
        <f>_xlfn.XLOOKUP(B225,Disk_Pivot!G:G,Disk_Pivot!I:I)</f>
        <v>Yes x2</v>
      </c>
      <c r="U225" t="str">
        <f>_xlfn.XLOOKUP(B225,Disk_Pivot!G:G,Disk_Pivot!N:N)</f>
        <v>Pass, Fail</v>
      </c>
      <c r="V225" t="str">
        <f>IF(U225="Fail",MacReports!O225,"")</f>
        <v/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MacReports!D226</f>
        <v>0</v>
      </c>
      <c r="D226" t="str">
        <f>MacReports!C226&amp;""</f>
        <v/>
      </c>
      <c r="E226" t="e">
        <f>_xlfn.XLOOKUP(G226,Models!A:A,Models!F:F)</f>
        <v>#N/A</v>
      </c>
      <c r="F226" t="str">
        <f>_xlfn.XLOOKUP(B226,MacReports!B:B,MacReports!E:E,"")</f>
        <v/>
      </c>
      <c r="G226" s="13">
        <f>MacReports!F226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MacReports!G226</f>
        <v>0</v>
      </c>
      <c r="L226">
        <f>MacReports!H226</f>
        <v>0</v>
      </c>
      <c r="M226" s="15" t="e" cm="1">
        <f t="array" ref="M226">--_xlfn.LET(
    _xlpm.txt, MacReports!I226,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--MacReports!N226&lt;55,"Battery Defect",
  -- MacReports!N226&lt;=69,"Battery D",
  --MacReports!N226&lt;=80,"Battery C",
 --MacReports!N226&gt;80,""
)</f>
        <v>Battery Defect</v>
      </c>
      <c r="O226" s="16" t="str">
        <f>IF(MacReports!J226="Service","Battery Service","")</f>
        <v/>
      </c>
      <c r="P226" s="13">
        <f>MacReports!Q226</f>
        <v>0</v>
      </c>
      <c r="Q226" s="13" t="str">
        <f>IF(MacReports!K226="Enabled","Apple ID Lock","")</f>
        <v/>
      </c>
      <c r="R226" s="13" t="str">
        <f>IF(MacReports!M226="Remote Lock","Remote Locked","")</f>
        <v/>
      </c>
      <c r="S226" t="str">
        <f t="shared" si="7"/>
        <v>Battery Defect, 0</v>
      </c>
      <c r="T226" t="str">
        <f>_xlfn.XLOOKUP(B226,Disk_Pivot!G:G,Disk_Pivot!I:I)</f>
        <v>Yes x2</v>
      </c>
      <c r="U226" t="str">
        <f>_xlfn.XLOOKUP(B226,Disk_Pivot!G:G,Disk_Pivot!N:N)</f>
        <v>Pass, Fail</v>
      </c>
      <c r="V226" t="str">
        <f>IF(U226="Fail",MacReports!O226,"")</f>
        <v/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MacReports!D227</f>
        <v>0</v>
      </c>
      <c r="D227" t="str">
        <f>MacReports!C227&amp;""</f>
        <v/>
      </c>
      <c r="E227" t="e">
        <f>_xlfn.XLOOKUP(G227,Models!A:A,Models!F:F)</f>
        <v>#N/A</v>
      </c>
      <c r="F227" t="str">
        <f>_xlfn.XLOOKUP(B227,MacReports!B:B,MacReports!E:E,"")</f>
        <v/>
      </c>
      <c r="G227" s="13">
        <f>MacReports!F227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MacReports!G227</f>
        <v>0</v>
      </c>
      <c r="L227">
        <f>MacReports!H227</f>
        <v>0</v>
      </c>
      <c r="M227" s="15" t="e" cm="1">
        <f t="array" ref="M227">--_xlfn.LET(
    _xlpm.txt, MacReports!I227,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--MacReports!N227&lt;55,"Battery Defect",
  -- MacReports!N227&lt;=69,"Battery D",
  --MacReports!N227&lt;=80,"Battery C",
 --MacReports!N227&gt;80,""
)</f>
        <v>Battery Defect</v>
      </c>
      <c r="O227" s="16" t="str">
        <f>IF(MacReports!J227="Service","Battery Service","")</f>
        <v/>
      </c>
      <c r="P227" s="13">
        <f>MacReports!Q227</f>
        <v>0</v>
      </c>
      <c r="Q227" s="13" t="str">
        <f>IF(MacReports!K227="Enabled","Apple ID Lock","")</f>
        <v/>
      </c>
      <c r="R227" s="13" t="str">
        <f>IF(MacReports!M227="Remote Lock","Remote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Yes x2</v>
      </c>
      <c r="U227" t="str">
        <f>_xlfn.XLOOKUP(B227,Disk_Pivot!G:G,Disk_Pivot!N:N)</f>
        <v>Pass, Fail</v>
      </c>
      <c r="V227" t="str">
        <f>IF(U227="Fail",MacReports!O227,"")</f>
        <v/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MacReports!D228</f>
        <v>0</v>
      </c>
      <c r="D228" t="str">
        <f>MacReports!C228&amp;""</f>
        <v/>
      </c>
      <c r="E228" t="e">
        <f>_xlfn.XLOOKUP(G228,Models!A:A,Models!F:F)</f>
        <v>#N/A</v>
      </c>
      <c r="F228" t="str">
        <f>_xlfn.XLOOKUP(B228,MacReports!B:B,MacReports!E:E,"")</f>
        <v/>
      </c>
      <c r="G228" s="13">
        <f>MacReports!F228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MacReports!G228</f>
        <v>0</v>
      </c>
      <c r="L228">
        <f>MacReports!H228</f>
        <v>0</v>
      </c>
      <c r="M228" s="15" t="e" cm="1">
        <f t="array" ref="M228">--_xlfn.LET(
    _xlpm.txt, MacReports!I228,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--MacReports!N228&lt;55,"Battery Defect",
  -- MacReports!N228&lt;=69,"Battery D",
  --MacReports!N228&lt;=80,"Battery C",
 --MacReports!N228&gt;80,""
)</f>
        <v>Battery Defect</v>
      </c>
      <c r="O228" s="16" t="str">
        <f>IF(MacReports!J228="Service","Battery Service","")</f>
        <v/>
      </c>
      <c r="P228" s="13">
        <f>MacReports!Q228</f>
        <v>0</v>
      </c>
      <c r="Q228" s="13" t="str">
        <f>IF(MacReports!K228="Enabled","Apple ID Lock","")</f>
        <v/>
      </c>
      <c r="R228" s="13" t="str">
        <f>IF(MacReports!M228="Remote Lock","Remote Locked","")</f>
        <v/>
      </c>
      <c r="S228" t="str">
        <f t="shared" si="9"/>
        <v>Battery Defect, 0</v>
      </c>
      <c r="T228" t="str">
        <f>_xlfn.XLOOKUP(B228,Disk_Pivot!G:G,Disk_Pivot!I:I)</f>
        <v>Yes x2</v>
      </c>
      <c r="U228" t="str">
        <f>_xlfn.XLOOKUP(B228,Disk_Pivot!G:G,Disk_Pivot!N:N)</f>
        <v>Pass, Fail</v>
      </c>
      <c r="V228" t="str">
        <f>IF(U228="Fail",MacReports!O228,"")</f>
        <v/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MacReports!D229</f>
        <v>0</v>
      </c>
      <c r="D229" t="str">
        <f>MacReports!C229&amp;""</f>
        <v/>
      </c>
      <c r="E229" t="e">
        <f>_xlfn.XLOOKUP(G229,Models!A:A,Models!F:F)</f>
        <v>#N/A</v>
      </c>
      <c r="F229" t="str">
        <f>_xlfn.XLOOKUP(B229,MacReports!B:B,MacReports!E:E,"")</f>
        <v/>
      </c>
      <c r="G229" s="13">
        <f>MacReports!F229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MacReports!G229</f>
        <v>0</v>
      </c>
      <c r="L229">
        <f>MacReports!H229</f>
        <v>0</v>
      </c>
      <c r="M229" s="15" t="e" cm="1">
        <f t="array" ref="M229">--_xlfn.LET(
    _xlpm.txt, MacReports!I229,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--MacReports!N229&lt;55,"Battery Defect",
  -- MacReports!N229&lt;=69,"Battery D",
  --MacReports!N229&lt;=80,"Battery C",
 --MacReports!N229&gt;80,""
)</f>
        <v>Battery Defect</v>
      </c>
      <c r="O229" s="16" t="str">
        <f>IF(MacReports!J229="Service","Battery Service","")</f>
        <v/>
      </c>
      <c r="P229" s="13">
        <f>MacReports!Q229</f>
        <v>0</v>
      </c>
      <c r="Q229" s="13" t="str">
        <f>IF(MacReports!K229="Enabled","Apple ID Lock","")</f>
        <v/>
      </c>
      <c r="R229" s="13" t="str">
        <f>IF(MacReports!M229="Remote Lock","Remote Locked","")</f>
        <v/>
      </c>
      <c r="S229" t="str">
        <f t="shared" si="9"/>
        <v>Battery Defect, 0</v>
      </c>
      <c r="T229" t="str">
        <f>_xlfn.XLOOKUP(B229,Disk_Pivot!G:G,Disk_Pivot!I:I)</f>
        <v>Yes x2</v>
      </c>
      <c r="U229" t="str">
        <f>_xlfn.XLOOKUP(B229,Disk_Pivot!G:G,Disk_Pivot!N:N)</f>
        <v>Pass, Fail</v>
      </c>
      <c r="V229" t="str">
        <f>IF(U229="Fail",MacReports!O229,"")</f>
        <v/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MacReports!D230</f>
        <v>0</v>
      </c>
      <c r="D230" t="str">
        <f>MacReports!C230&amp;""</f>
        <v/>
      </c>
      <c r="E230" t="e">
        <f>_xlfn.XLOOKUP(G230,Models!A:A,Models!F:F)</f>
        <v>#N/A</v>
      </c>
      <c r="F230" t="str">
        <f>_xlfn.XLOOKUP(B230,MacReports!B:B,MacReports!E:E,"")</f>
        <v/>
      </c>
      <c r="G230" s="13">
        <f>MacReports!F230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MacReports!G230</f>
        <v>0</v>
      </c>
      <c r="L230">
        <f>MacReports!H230</f>
        <v>0</v>
      </c>
      <c r="M230" s="15" t="e" cm="1">
        <f t="array" ref="M230">--_xlfn.LET(
    _xlpm.txt, MacReports!I230,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--MacReports!N230&lt;55,"Battery Defect",
  -- MacReports!N230&lt;=69,"Battery D",
  --MacReports!N230&lt;=80,"Battery C",
 --MacReports!N230&gt;80,""
)</f>
        <v>Battery Defect</v>
      </c>
      <c r="O230" s="16" t="str">
        <f>IF(MacReports!J230="Service","Battery Service","")</f>
        <v/>
      </c>
      <c r="P230" s="13">
        <f>MacReports!Q230</f>
        <v>0</v>
      </c>
      <c r="Q230" s="13" t="str">
        <f>IF(MacReports!K230="Enabled","Apple ID Lock","")</f>
        <v/>
      </c>
      <c r="R230" s="13" t="str">
        <f>IF(MacReports!M230="Remote Lock","Remote Locked","")</f>
        <v/>
      </c>
      <c r="S230" t="str">
        <f t="shared" si="9"/>
        <v>Battery Defect, 0</v>
      </c>
      <c r="T230" t="str">
        <f>_xlfn.XLOOKUP(B230,Disk_Pivot!G:G,Disk_Pivot!I:I)</f>
        <v>Yes x2</v>
      </c>
      <c r="U230" t="str">
        <f>_xlfn.XLOOKUP(B230,Disk_Pivot!G:G,Disk_Pivot!N:N)</f>
        <v>Pass, Fail</v>
      </c>
      <c r="V230" t="str">
        <f>IF(U230="Fail",MacReports!O230,"")</f>
        <v/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MacReports!D231</f>
        <v>0</v>
      </c>
      <c r="D231" t="str">
        <f>MacReports!C231&amp;""</f>
        <v/>
      </c>
      <c r="E231" t="e">
        <f>_xlfn.XLOOKUP(G231,Models!A:A,Models!F:F)</f>
        <v>#N/A</v>
      </c>
      <c r="F231" t="str">
        <f>_xlfn.XLOOKUP(B231,MacReports!B:B,MacReports!E:E,"")</f>
        <v/>
      </c>
      <c r="G231" s="13">
        <f>MacReports!F231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MacReports!G231</f>
        <v>0</v>
      </c>
      <c r="L231">
        <f>MacReports!H231</f>
        <v>0</v>
      </c>
      <c r="M231" s="15" t="e" cm="1">
        <f t="array" ref="M231">--_xlfn.LET(
    _xlpm.txt, MacReports!I231,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--MacReports!N231&lt;55,"Battery Defect",
  -- MacReports!N231&lt;=69,"Battery D",
  --MacReports!N231&lt;=80,"Battery C",
 --MacReports!N231&gt;80,""
)</f>
        <v>Battery Defect</v>
      </c>
      <c r="O231" s="16" t="str">
        <f>IF(MacReports!J231="Service","Battery Service","")</f>
        <v/>
      </c>
      <c r="P231" s="13">
        <f>MacReports!Q231</f>
        <v>0</v>
      </c>
      <c r="Q231" s="13" t="str">
        <f>IF(MacReports!K231="Enabled","Apple ID Lock","")</f>
        <v/>
      </c>
      <c r="R231" s="13" t="str">
        <f>IF(MacReports!M231="Remote Lock","Remote Locked","")</f>
        <v/>
      </c>
      <c r="S231" t="str">
        <f t="shared" si="9"/>
        <v>Battery Defect, 0</v>
      </c>
      <c r="T231" t="str">
        <f>_xlfn.XLOOKUP(B231,Disk_Pivot!G:G,Disk_Pivot!I:I)</f>
        <v>Yes x2</v>
      </c>
      <c r="U231" t="str">
        <f>_xlfn.XLOOKUP(B231,Disk_Pivot!G:G,Disk_Pivot!N:N)</f>
        <v>Pass, Fail</v>
      </c>
      <c r="V231" t="str">
        <f>IF(U231="Fail",MacReports!O231,"")</f>
        <v/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MacReports!D232</f>
        <v>0</v>
      </c>
      <c r="D232" t="str">
        <f>MacReports!C232&amp;""</f>
        <v/>
      </c>
      <c r="E232" t="e">
        <f>_xlfn.XLOOKUP(G232,Models!A:A,Models!F:F)</f>
        <v>#N/A</v>
      </c>
      <c r="F232" t="str">
        <f>_xlfn.XLOOKUP(B232,MacReports!B:B,MacReports!E:E,"")</f>
        <v/>
      </c>
      <c r="G232" s="13">
        <f>MacReports!F232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MacReports!G232</f>
        <v>0</v>
      </c>
      <c r="L232">
        <f>MacReports!H232</f>
        <v>0</v>
      </c>
      <c r="M232" s="15" t="e" cm="1">
        <f t="array" ref="M232">--_xlfn.LET(
    _xlpm.txt, MacReports!I232,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--MacReports!N232&lt;55,"Battery Defect",
  -- MacReports!N232&lt;=69,"Battery D",
  --MacReports!N232&lt;=80,"Battery C",
 --MacReports!N232&gt;80,""
)</f>
        <v>Battery Defect</v>
      </c>
      <c r="O232" s="16" t="str">
        <f>IF(MacReports!J232="Service","Battery Service","")</f>
        <v/>
      </c>
      <c r="P232" s="13">
        <f>MacReports!Q232</f>
        <v>0</v>
      </c>
      <c r="Q232" s="13" t="str">
        <f>IF(MacReports!K232="Enabled","Apple ID Lock","")</f>
        <v/>
      </c>
      <c r="R232" s="13" t="str">
        <f>IF(MacReports!M232="Remote Lock","Remote Locked","")</f>
        <v/>
      </c>
      <c r="S232" t="str">
        <f t="shared" si="9"/>
        <v>Battery Defect, 0</v>
      </c>
      <c r="T232" t="str">
        <f>_xlfn.XLOOKUP(B232,Disk_Pivot!G:G,Disk_Pivot!I:I)</f>
        <v>Yes x2</v>
      </c>
      <c r="U232" t="str">
        <f>_xlfn.XLOOKUP(B232,Disk_Pivot!G:G,Disk_Pivot!N:N)</f>
        <v>Pass, Fail</v>
      </c>
      <c r="V232" t="str">
        <f>IF(U232="Fail",MacReports!O232,"")</f>
        <v/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MacReports!D233</f>
        <v>0</v>
      </c>
      <c r="D233" t="str">
        <f>MacReports!C233&amp;""</f>
        <v/>
      </c>
      <c r="E233" t="e">
        <f>_xlfn.XLOOKUP(G233,Models!A:A,Models!F:F)</f>
        <v>#N/A</v>
      </c>
      <c r="F233" t="str">
        <f>_xlfn.XLOOKUP(B233,MacReports!B:B,MacReports!E:E,"")</f>
        <v/>
      </c>
      <c r="G233" s="13">
        <f>MacReports!F233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MacReports!G233</f>
        <v>0</v>
      </c>
      <c r="L233">
        <f>MacReports!H233</f>
        <v>0</v>
      </c>
      <c r="M233" s="15" t="e" cm="1">
        <f t="array" ref="M233">--_xlfn.LET(
    _xlpm.txt, MacReports!I233,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--MacReports!N233&lt;55,"Battery Defect",
  -- MacReports!N233&lt;=69,"Battery D",
  --MacReports!N233&lt;=80,"Battery C",
 --MacReports!N233&gt;80,""
)</f>
        <v>Battery Defect</v>
      </c>
      <c r="O233" s="16" t="str">
        <f>IF(MacReports!J233="Service","Battery Service","")</f>
        <v/>
      </c>
      <c r="P233" s="13">
        <f>MacReports!Q233</f>
        <v>0</v>
      </c>
      <c r="Q233" s="13" t="str">
        <f>IF(MacReports!K233="Enabled","Apple ID Lock","")</f>
        <v/>
      </c>
      <c r="R233" s="13" t="str">
        <f>IF(MacReports!M233="Remote Lock","Remote Locked","")</f>
        <v/>
      </c>
      <c r="S233" t="str">
        <f t="shared" si="9"/>
        <v>Battery Defect, 0</v>
      </c>
      <c r="T233" t="str">
        <f>_xlfn.XLOOKUP(B233,Disk_Pivot!G:G,Disk_Pivot!I:I)</f>
        <v>Yes x2</v>
      </c>
      <c r="U233" t="str">
        <f>_xlfn.XLOOKUP(B233,Disk_Pivot!G:G,Disk_Pivot!N:N)</f>
        <v>Pass, Fail</v>
      </c>
      <c r="V233" t="str">
        <f>IF(U233="Fail",MacReports!O233,"")</f>
        <v/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MacReports!D234</f>
        <v>0</v>
      </c>
      <c r="D234" t="str">
        <f>MacReports!C234&amp;""</f>
        <v/>
      </c>
      <c r="E234" t="e">
        <f>_xlfn.XLOOKUP(G234,Models!A:A,Models!F:F)</f>
        <v>#N/A</v>
      </c>
      <c r="F234" t="str">
        <f>_xlfn.XLOOKUP(B234,MacReports!B:B,MacReports!E:E,"")</f>
        <v/>
      </c>
      <c r="G234" s="13">
        <f>MacReports!F234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MacReports!G234</f>
        <v>0</v>
      </c>
      <c r="L234">
        <f>MacReports!H234</f>
        <v>0</v>
      </c>
      <c r="M234" s="15" t="e" cm="1">
        <f t="array" ref="M234">--_xlfn.LET(
    _xlpm.txt, MacReports!I234,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--MacReports!N234&lt;55,"Battery Defect",
  -- MacReports!N234&lt;=69,"Battery D",
  --MacReports!N234&lt;=80,"Battery C",
 --MacReports!N234&gt;80,""
)</f>
        <v>Battery Defect</v>
      </c>
      <c r="O234" s="16" t="str">
        <f>IF(MacReports!J234="Service","Battery Service","")</f>
        <v/>
      </c>
      <c r="P234" s="13">
        <f>MacReports!Q234</f>
        <v>0</v>
      </c>
      <c r="Q234" s="13" t="str">
        <f>IF(MacReports!K234="Enabled","Apple ID Lock","")</f>
        <v/>
      </c>
      <c r="R234" s="13" t="str">
        <f>IF(MacReports!M234="Remote Lock","Remote Locked","")</f>
        <v/>
      </c>
      <c r="S234" t="str">
        <f t="shared" si="9"/>
        <v>Battery Defect, 0</v>
      </c>
      <c r="T234" t="str">
        <f>_xlfn.XLOOKUP(B234,Disk_Pivot!G:G,Disk_Pivot!I:I)</f>
        <v>Yes x2</v>
      </c>
      <c r="U234" t="str">
        <f>_xlfn.XLOOKUP(B234,Disk_Pivot!G:G,Disk_Pivot!N:N)</f>
        <v>Pass, Fail</v>
      </c>
      <c r="V234" t="str">
        <f>IF(U234="Fail",MacReports!O234,"")</f>
        <v/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MacReports!D235</f>
        <v>0</v>
      </c>
      <c r="D235" t="str">
        <f>MacReports!C235&amp;""</f>
        <v/>
      </c>
      <c r="E235" t="e">
        <f>_xlfn.XLOOKUP(G235,Models!A:A,Models!F:F)</f>
        <v>#N/A</v>
      </c>
      <c r="F235" t="str">
        <f>_xlfn.XLOOKUP(B235,MacReports!B:B,MacReports!E:E,"")</f>
        <v/>
      </c>
      <c r="G235" s="13">
        <f>MacReports!F235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MacReports!G235</f>
        <v>0</v>
      </c>
      <c r="L235">
        <f>MacReports!H235</f>
        <v>0</v>
      </c>
      <c r="M235" s="15" t="e" cm="1">
        <f t="array" ref="M235">--_xlfn.LET(
    _xlpm.txt, MacReports!I235,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--MacReports!N235&lt;55,"Battery Defect",
  -- MacReports!N235&lt;=69,"Battery D",
  --MacReports!N235&lt;=80,"Battery C",
 --MacReports!N235&gt;80,""
)</f>
        <v>Battery Defect</v>
      </c>
      <c r="O235" s="16" t="str">
        <f>IF(MacReports!J235="Service","Battery Service","")</f>
        <v/>
      </c>
      <c r="P235" s="13">
        <f>MacReports!Q235</f>
        <v>0</v>
      </c>
      <c r="Q235" s="13" t="str">
        <f>IF(MacReports!K235="Enabled","Apple ID Lock","")</f>
        <v/>
      </c>
      <c r="R235" s="13" t="str">
        <f>IF(MacReports!M235="Remote Lock","Remote Locked","")</f>
        <v/>
      </c>
      <c r="S235" t="str">
        <f t="shared" si="9"/>
        <v>Battery Defect, 0</v>
      </c>
      <c r="T235" t="str">
        <f>_xlfn.XLOOKUP(B235,Disk_Pivot!G:G,Disk_Pivot!I:I)</f>
        <v>Yes x2</v>
      </c>
      <c r="U235" t="str">
        <f>_xlfn.XLOOKUP(B235,Disk_Pivot!G:G,Disk_Pivot!N:N)</f>
        <v>Pass, Fail</v>
      </c>
      <c r="V235" t="str">
        <f>IF(U235="Fail",MacReports!O235,"")</f>
        <v/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MacReports!D236</f>
        <v>0</v>
      </c>
      <c r="D236" t="str">
        <f>MacReports!C236&amp;""</f>
        <v/>
      </c>
      <c r="E236" t="e">
        <f>_xlfn.XLOOKUP(G236,Models!A:A,Models!F:F)</f>
        <v>#N/A</v>
      </c>
      <c r="F236" t="str">
        <f>_xlfn.XLOOKUP(B236,MacReports!B:B,MacReports!E:E,"")</f>
        <v/>
      </c>
      <c r="G236" s="13">
        <f>MacReports!F236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MacReports!G236</f>
        <v>0</v>
      </c>
      <c r="L236">
        <f>MacReports!H236</f>
        <v>0</v>
      </c>
      <c r="M236" s="15" t="e" cm="1">
        <f t="array" ref="M236">--_xlfn.LET(
    _xlpm.txt, MacReports!I236,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--MacReports!N236&lt;55,"Battery Defect",
  -- MacReports!N236&lt;=69,"Battery D",
  --MacReports!N236&lt;=80,"Battery C",
 --MacReports!N236&gt;80,""
)</f>
        <v>Battery Defect</v>
      </c>
      <c r="O236" s="16" t="str">
        <f>IF(MacReports!J236="Service","Battery Service","")</f>
        <v/>
      </c>
      <c r="P236" s="13">
        <f>MacReports!Q236</f>
        <v>0</v>
      </c>
      <c r="Q236" s="13" t="str">
        <f>IF(MacReports!K236="Enabled","Apple ID Lock","")</f>
        <v/>
      </c>
      <c r="R236" s="13" t="str">
        <f>IF(MacReports!M236="Remote Lock","Remote Locked","")</f>
        <v/>
      </c>
      <c r="S236" t="str">
        <f t="shared" si="9"/>
        <v>Battery Defect, 0</v>
      </c>
      <c r="T236" t="str">
        <f>_xlfn.XLOOKUP(B236,Disk_Pivot!G:G,Disk_Pivot!I:I)</f>
        <v>Yes x2</v>
      </c>
      <c r="U236" t="str">
        <f>_xlfn.XLOOKUP(B236,Disk_Pivot!G:G,Disk_Pivot!N:N)</f>
        <v>Pass, Fail</v>
      </c>
      <c r="V236" t="str">
        <f>IF(U236="Fail",MacReports!O236,"")</f>
        <v/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MacReports!D237</f>
        <v>0</v>
      </c>
      <c r="D237" t="str">
        <f>MacReports!C237&amp;""</f>
        <v/>
      </c>
      <c r="E237" t="e">
        <f>_xlfn.XLOOKUP(G237,Models!A:A,Models!F:F)</f>
        <v>#N/A</v>
      </c>
      <c r="F237" t="str">
        <f>_xlfn.XLOOKUP(B237,MacReports!B:B,MacReports!E:E,"")</f>
        <v/>
      </c>
      <c r="G237" s="13">
        <f>MacReports!F237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MacReports!G237</f>
        <v>0</v>
      </c>
      <c r="L237">
        <f>MacReports!H237</f>
        <v>0</v>
      </c>
      <c r="M237" s="15" t="e" cm="1">
        <f t="array" ref="M237">--_xlfn.LET(
    _xlpm.txt, MacReports!I237,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--MacReports!N237&lt;55,"Battery Defect",
  -- MacReports!N237&lt;=69,"Battery D",
  --MacReports!N237&lt;=80,"Battery C",
 --MacReports!N237&gt;80,""
)</f>
        <v>Battery Defect</v>
      </c>
      <c r="O237" s="16" t="str">
        <f>IF(MacReports!J237="Service","Battery Service","")</f>
        <v/>
      </c>
      <c r="P237" s="13">
        <f>MacReports!Q237</f>
        <v>0</v>
      </c>
      <c r="Q237" s="13" t="str">
        <f>IF(MacReports!K237="Enabled","Apple ID Lock","")</f>
        <v/>
      </c>
      <c r="R237" s="13" t="str">
        <f>IF(MacReports!M237="Remote Lock","Remote Locked","")</f>
        <v/>
      </c>
      <c r="S237" t="str">
        <f t="shared" si="9"/>
        <v>Battery Defect, 0</v>
      </c>
      <c r="T237" t="str">
        <f>_xlfn.XLOOKUP(B237,Disk_Pivot!G:G,Disk_Pivot!I:I)</f>
        <v>Yes x2</v>
      </c>
      <c r="U237" t="str">
        <f>_xlfn.XLOOKUP(B237,Disk_Pivot!G:G,Disk_Pivot!N:N)</f>
        <v>Pass, Fail</v>
      </c>
      <c r="V237" t="str">
        <f>IF(U237="Fail",MacReports!O237,"")</f>
        <v/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MacReports!D238</f>
        <v>0</v>
      </c>
      <c r="D238" t="str">
        <f>MacReports!C238&amp;""</f>
        <v/>
      </c>
      <c r="E238" t="e">
        <f>_xlfn.XLOOKUP(G238,Models!A:A,Models!F:F)</f>
        <v>#N/A</v>
      </c>
      <c r="F238" t="str">
        <f>_xlfn.XLOOKUP(B238,MacReports!B:B,MacReports!E:E,"")</f>
        <v/>
      </c>
      <c r="G238" s="13">
        <f>MacReports!F238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MacReports!G238</f>
        <v>0</v>
      </c>
      <c r="L238">
        <f>MacReports!H238</f>
        <v>0</v>
      </c>
      <c r="M238" s="15" t="e" cm="1">
        <f t="array" ref="M238">--_xlfn.LET(
    _xlpm.txt, MacReports!I238,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--MacReports!N238&lt;55,"Battery Defect",
  -- MacReports!N238&lt;=69,"Battery D",
  --MacReports!N238&lt;=80,"Battery C",
 --MacReports!N238&gt;80,""
)</f>
        <v>Battery Defect</v>
      </c>
      <c r="O238" s="16" t="str">
        <f>IF(MacReports!J238="Service","Battery Service","")</f>
        <v/>
      </c>
      <c r="P238" s="13">
        <f>MacReports!Q238</f>
        <v>0</v>
      </c>
      <c r="Q238" s="13" t="str">
        <f>IF(MacReports!K238="Enabled","Apple ID Lock","")</f>
        <v/>
      </c>
      <c r="R238" s="13" t="str">
        <f>IF(MacReports!M238="Remote Lock","Remote Locked","")</f>
        <v/>
      </c>
      <c r="S238" t="str">
        <f t="shared" si="9"/>
        <v>Battery Defect, 0</v>
      </c>
      <c r="T238" t="str">
        <f>_xlfn.XLOOKUP(B238,Disk_Pivot!G:G,Disk_Pivot!I:I)</f>
        <v>Yes x2</v>
      </c>
      <c r="U238" t="str">
        <f>_xlfn.XLOOKUP(B238,Disk_Pivot!G:G,Disk_Pivot!N:N)</f>
        <v>Pass, Fail</v>
      </c>
      <c r="V238" t="str">
        <f>IF(U238="Fail",MacReports!O238,"")</f>
        <v/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MacReports!D239</f>
        <v>0</v>
      </c>
      <c r="D239" t="str">
        <f>MacReports!C239&amp;""</f>
        <v/>
      </c>
      <c r="E239" t="e">
        <f>_xlfn.XLOOKUP(G239,Models!A:A,Models!F:F)</f>
        <v>#N/A</v>
      </c>
      <c r="F239" t="str">
        <f>_xlfn.XLOOKUP(B239,MacReports!B:B,MacReports!E:E,"")</f>
        <v/>
      </c>
      <c r="G239" s="13">
        <f>MacReports!F239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MacReports!G239</f>
        <v>0</v>
      </c>
      <c r="L239">
        <f>MacReports!H239</f>
        <v>0</v>
      </c>
      <c r="M239" s="15" t="e" cm="1">
        <f t="array" ref="M239">--_xlfn.LET(
    _xlpm.txt, MacReports!I239,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--MacReports!N239&lt;55,"Battery Defect",
  -- MacReports!N239&lt;=69,"Battery D",
  --MacReports!N239&lt;=80,"Battery C",
 --MacReports!N239&gt;80,""
)</f>
        <v>Battery Defect</v>
      </c>
      <c r="O239" s="16" t="str">
        <f>IF(MacReports!J239="Service","Battery Service","")</f>
        <v/>
      </c>
      <c r="P239" s="13">
        <f>MacReports!Q239</f>
        <v>0</v>
      </c>
      <c r="Q239" s="13" t="str">
        <f>IF(MacReports!K239="Enabled","Apple ID Lock","")</f>
        <v/>
      </c>
      <c r="R239" s="13" t="str">
        <f>IF(MacReports!M239="Remote Lock","Remote Locked","")</f>
        <v/>
      </c>
      <c r="S239" t="str">
        <f t="shared" si="9"/>
        <v>Battery Defect, 0</v>
      </c>
      <c r="T239" t="str">
        <f>_xlfn.XLOOKUP(B239,Disk_Pivot!G:G,Disk_Pivot!I:I)</f>
        <v>Yes x2</v>
      </c>
      <c r="U239" t="str">
        <f>_xlfn.XLOOKUP(B239,Disk_Pivot!G:G,Disk_Pivot!N:N)</f>
        <v>Pass, Fail</v>
      </c>
      <c r="V239" t="str">
        <f>IF(U239="Fail",MacReports!O239,"")</f>
        <v/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MacReports!D240</f>
        <v>0</v>
      </c>
      <c r="D240" t="str">
        <f>MacReports!C240&amp;""</f>
        <v/>
      </c>
      <c r="E240" t="e">
        <f>_xlfn.XLOOKUP(G240,Models!A:A,Models!F:F)</f>
        <v>#N/A</v>
      </c>
      <c r="F240" t="str">
        <f>_xlfn.XLOOKUP(B240,MacReports!B:B,MacReports!E:E,"")</f>
        <v/>
      </c>
      <c r="G240" s="13">
        <f>MacReports!F240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MacReports!G240</f>
        <v>0</v>
      </c>
      <c r="L240">
        <f>MacReports!H240</f>
        <v>0</v>
      </c>
      <c r="M240" s="15" t="e" cm="1">
        <f t="array" ref="M240">--_xlfn.LET(
    _xlpm.txt, MacReports!I240,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--MacReports!N240&lt;55,"Battery Defect",
  -- MacReports!N240&lt;=69,"Battery D",
  --MacReports!N240&lt;=80,"Battery C",
 --MacReports!N240&gt;80,""
)</f>
        <v>Battery Defect</v>
      </c>
      <c r="O240" s="16" t="str">
        <f>IF(MacReports!J240="Service","Battery Service","")</f>
        <v/>
      </c>
      <c r="P240" s="13">
        <f>MacReports!Q240</f>
        <v>0</v>
      </c>
      <c r="Q240" s="13" t="str">
        <f>IF(MacReports!K240="Enabled","Apple ID Lock","")</f>
        <v/>
      </c>
      <c r="R240" s="13" t="str">
        <f>IF(MacReports!M240="Remote Lock","Remote Locked","")</f>
        <v/>
      </c>
      <c r="S240" t="str">
        <f t="shared" si="9"/>
        <v>Battery Defect, 0</v>
      </c>
      <c r="T240" t="str">
        <f>_xlfn.XLOOKUP(B240,Disk_Pivot!G:G,Disk_Pivot!I:I)</f>
        <v>Yes x2</v>
      </c>
      <c r="U240" t="str">
        <f>_xlfn.XLOOKUP(B240,Disk_Pivot!G:G,Disk_Pivot!N:N)</f>
        <v>Pass, Fail</v>
      </c>
      <c r="V240" t="str">
        <f>IF(U240="Fail",MacReports!O240,"")</f>
        <v/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MacReports!D241</f>
        <v>0</v>
      </c>
      <c r="D241" t="str">
        <f>MacReports!C241&amp;""</f>
        <v/>
      </c>
      <c r="E241" t="e">
        <f>_xlfn.XLOOKUP(G241,Models!A:A,Models!F:F)</f>
        <v>#N/A</v>
      </c>
      <c r="F241" t="str">
        <f>_xlfn.XLOOKUP(B241,MacReports!B:B,MacReports!E:E,"")</f>
        <v/>
      </c>
      <c r="G241" s="13">
        <f>MacReports!F241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MacReports!G241</f>
        <v>0</v>
      </c>
      <c r="L241">
        <f>MacReports!H241</f>
        <v>0</v>
      </c>
      <c r="M241" s="15" t="e" cm="1">
        <f t="array" ref="M241">--_xlfn.LET(
    _xlpm.txt, MacReports!I241,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--MacReports!N241&lt;55,"Battery Defect",
  -- MacReports!N241&lt;=69,"Battery D",
  --MacReports!N241&lt;=80,"Battery C",
 --MacReports!N241&gt;80,""
)</f>
        <v>Battery Defect</v>
      </c>
      <c r="O241" s="16" t="str">
        <f>IF(MacReports!J241="Service","Battery Service","")</f>
        <v/>
      </c>
      <c r="P241" s="13">
        <f>MacReports!Q241</f>
        <v>0</v>
      </c>
      <c r="Q241" s="13" t="str">
        <f>IF(MacReports!K241="Enabled","Apple ID Lock","")</f>
        <v/>
      </c>
      <c r="R241" s="13" t="str">
        <f>IF(MacReports!M241="Remote Lock","Remote Locked","")</f>
        <v/>
      </c>
      <c r="S241" t="str">
        <f t="shared" si="9"/>
        <v>Battery Defect, 0</v>
      </c>
      <c r="T241" t="str">
        <f>_xlfn.XLOOKUP(B241,Disk_Pivot!G:G,Disk_Pivot!I:I)</f>
        <v>Yes x2</v>
      </c>
      <c r="U241" t="str">
        <f>_xlfn.XLOOKUP(B241,Disk_Pivot!G:G,Disk_Pivot!N:N)</f>
        <v>Pass, Fail</v>
      </c>
      <c r="V241" t="str">
        <f>IF(U241="Fail",MacReports!O241,"")</f>
        <v/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MacReports!D242</f>
        <v>0</v>
      </c>
      <c r="D242" t="str">
        <f>MacReports!C242&amp;""</f>
        <v/>
      </c>
      <c r="E242" t="e">
        <f>_xlfn.XLOOKUP(G242,Models!A:A,Models!F:F)</f>
        <v>#N/A</v>
      </c>
      <c r="F242" t="str">
        <f>_xlfn.XLOOKUP(B242,MacReports!B:B,MacReports!E:E,"")</f>
        <v/>
      </c>
      <c r="G242" s="13">
        <f>MacReports!F242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MacReports!G242</f>
        <v>0</v>
      </c>
      <c r="L242">
        <f>MacReports!H242</f>
        <v>0</v>
      </c>
      <c r="M242" s="15" t="e" cm="1">
        <f t="array" ref="M242">--_xlfn.LET(
    _xlpm.txt, MacReports!I242,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--MacReports!N242&lt;55,"Battery Defect",
  -- MacReports!N242&lt;=69,"Battery D",
  --MacReports!N242&lt;=80,"Battery C",
 --MacReports!N242&gt;80,""
)</f>
        <v>Battery Defect</v>
      </c>
      <c r="O242" s="16" t="str">
        <f>IF(MacReports!J242="Service","Battery Service","")</f>
        <v/>
      </c>
      <c r="P242" s="13">
        <f>MacReports!Q242</f>
        <v>0</v>
      </c>
      <c r="Q242" s="13" t="str">
        <f>IF(MacReports!K242="Enabled","Apple ID Lock","")</f>
        <v/>
      </c>
      <c r="R242" s="13" t="str">
        <f>IF(MacReports!M242="Remote Lock","Remote Locked","")</f>
        <v/>
      </c>
      <c r="S242" t="str">
        <f t="shared" si="9"/>
        <v>Battery Defect, 0</v>
      </c>
      <c r="T242" t="str">
        <f>_xlfn.XLOOKUP(B242,Disk_Pivot!G:G,Disk_Pivot!I:I)</f>
        <v>Yes x2</v>
      </c>
      <c r="U242" t="str">
        <f>_xlfn.XLOOKUP(B242,Disk_Pivot!G:G,Disk_Pivot!N:N)</f>
        <v>Pass, Fail</v>
      </c>
      <c r="V242" t="str">
        <f>IF(U242="Fail",MacReports!O242,"")</f>
        <v/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MacReports!D243</f>
        <v>0</v>
      </c>
      <c r="D243" t="str">
        <f>MacReports!C243&amp;""</f>
        <v/>
      </c>
      <c r="E243" t="e">
        <f>_xlfn.XLOOKUP(G243,Models!A:A,Models!F:F)</f>
        <v>#N/A</v>
      </c>
      <c r="F243" t="str">
        <f>_xlfn.XLOOKUP(B243,MacReports!B:B,MacReports!E:E,"")</f>
        <v/>
      </c>
      <c r="G243" s="13">
        <f>MacReports!F243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MacReports!G243</f>
        <v>0</v>
      </c>
      <c r="L243">
        <f>MacReports!H243</f>
        <v>0</v>
      </c>
      <c r="M243" s="15" t="e" cm="1">
        <f t="array" ref="M243">--_xlfn.LET(
    _xlpm.txt, MacReports!I243,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--MacReports!N243&lt;55,"Battery Defect",
  -- MacReports!N243&lt;=69,"Battery D",
  --MacReports!N243&lt;=80,"Battery C",
 --MacReports!N243&gt;80,""
)</f>
        <v>Battery Defect</v>
      </c>
      <c r="O243" s="16" t="str">
        <f>IF(MacReports!J243="Service","Battery Service","")</f>
        <v/>
      </c>
      <c r="P243" s="13">
        <f>MacReports!Q243</f>
        <v>0</v>
      </c>
      <c r="Q243" s="13" t="str">
        <f>IF(MacReports!K243="Enabled","Apple ID Lock","")</f>
        <v/>
      </c>
      <c r="R243" s="13" t="str">
        <f>IF(MacReports!M243="Remote Lock","Remote Locked","")</f>
        <v/>
      </c>
      <c r="S243" t="str">
        <f t="shared" si="9"/>
        <v>Battery Defect, 0</v>
      </c>
      <c r="T243" t="str">
        <f>_xlfn.XLOOKUP(B243,Disk_Pivot!G:G,Disk_Pivot!I:I)</f>
        <v>Yes x2</v>
      </c>
      <c r="U243" t="str">
        <f>_xlfn.XLOOKUP(B243,Disk_Pivot!G:G,Disk_Pivot!N:N)</f>
        <v>Pass, Fail</v>
      </c>
      <c r="V243" t="str">
        <f>IF(U243="Fail",MacReports!O243,"")</f>
        <v/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MacReports!D244</f>
        <v>0</v>
      </c>
      <c r="D244" t="str">
        <f>MacReports!C244&amp;""</f>
        <v/>
      </c>
      <c r="E244" t="e">
        <f>_xlfn.XLOOKUP(G244,Models!A:A,Models!F:F)</f>
        <v>#N/A</v>
      </c>
      <c r="F244" t="str">
        <f>_xlfn.XLOOKUP(B244,MacReports!B:B,MacReports!E:E,"")</f>
        <v/>
      </c>
      <c r="G244" s="13">
        <f>MacReports!F244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MacReports!G244</f>
        <v>0</v>
      </c>
      <c r="L244">
        <f>MacReports!H244</f>
        <v>0</v>
      </c>
      <c r="M244" s="15" t="e" cm="1">
        <f t="array" ref="M244">--_xlfn.LET(
    _xlpm.txt, MacReports!I244,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--MacReports!N244&lt;55,"Battery Defect",
  -- MacReports!N244&lt;=69,"Battery D",
  --MacReports!N244&lt;=80,"Battery C",
 --MacReports!N244&gt;80,""
)</f>
        <v>Battery Defect</v>
      </c>
      <c r="O244" s="16" t="str">
        <f>IF(MacReports!J244="Service","Battery Service","")</f>
        <v/>
      </c>
      <c r="P244" s="13">
        <f>MacReports!Q244</f>
        <v>0</v>
      </c>
      <c r="Q244" s="13" t="str">
        <f>IF(MacReports!K244="Enabled","Apple ID Lock","")</f>
        <v/>
      </c>
      <c r="R244" s="13" t="str">
        <f>IF(MacReports!M244="Remote Lock","Remote Locked","")</f>
        <v/>
      </c>
      <c r="S244" t="str">
        <f t="shared" si="9"/>
        <v>Battery Defect, 0</v>
      </c>
      <c r="T244" t="str">
        <f>_xlfn.XLOOKUP(B244,Disk_Pivot!G:G,Disk_Pivot!I:I)</f>
        <v>Yes x2</v>
      </c>
      <c r="U244" t="str">
        <f>_xlfn.XLOOKUP(B244,Disk_Pivot!G:G,Disk_Pivot!N:N)</f>
        <v>Pass, Fail</v>
      </c>
      <c r="V244" t="str">
        <f>IF(U244="Fail",MacReports!O244,"")</f>
        <v/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MacReports!D245</f>
        <v>0</v>
      </c>
      <c r="D245" t="str">
        <f>MacReports!C245&amp;""</f>
        <v/>
      </c>
      <c r="E245" t="e">
        <f>_xlfn.XLOOKUP(G245,Models!A:A,Models!F:F)</f>
        <v>#N/A</v>
      </c>
      <c r="F245" t="str">
        <f>_xlfn.XLOOKUP(B245,MacReports!B:B,MacReports!E:E,"")</f>
        <v/>
      </c>
      <c r="G245" s="13">
        <f>MacReports!F245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MacReports!G245</f>
        <v>0</v>
      </c>
      <c r="L245">
        <f>MacReports!H245</f>
        <v>0</v>
      </c>
      <c r="M245" s="15" t="e" cm="1">
        <f t="array" ref="M245">--_xlfn.LET(
    _xlpm.txt, MacReports!I245,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--MacReports!N245&lt;55,"Battery Defect",
  -- MacReports!N245&lt;=69,"Battery D",
  --MacReports!N245&lt;=80,"Battery C",
 --MacReports!N245&gt;80,""
)</f>
        <v>Battery Defect</v>
      </c>
      <c r="O245" s="16" t="str">
        <f>IF(MacReports!J245="Service","Battery Service","")</f>
        <v/>
      </c>
      <c r="P245" s="13">
        <f>MacReports!Q245</f>
        <v>0</v>
      </c>
      <c r="Q245" s="13" t="str">
        <f>IF(MacReports!K245="Enabled","Apple ID Lock","")</f>
        <v/>
      </c>
      <c r="R245" s="13" t="str">
        <f>IF(MacReports!M245="Remote Lock","Remote Locked","")</f>
        <v/>
      </c>
      <c r="S245" t="str">
        <f t="shared" si="9"/>
        <v>Battery Defect, 0</v>
      </c>
      <c r="T245" t="str">
        <f>_xlfn.XLOOKUP(B245,Disk_Pivot!G:G,Disk_Pivot!I:I)</f>
        <v>Yes x2</v>
      </c>
      <c r="U245" t="str">
        <f>_xlfn.XLOOKUP(B245,Disk_Pivot!G:G,Disk_Pivot!N:N)</f>
        <v>Pass, Fail</v>
      </c>
      <c r="V245" t="str">
        <f>IF(U245="Fail",MacReports!O245,"")</f>
        <v/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MacReports!D246</f>
        <v>0</v>
      </c>
      <c r="D246" t="str">
        <f>MacReports!C246&amp;""</f>
        <v/>
      </c>
      <c r="E246" t="e">
        <f>_xlfn.XLOOKUP(G246,Models!A:A,Models!F:F)</f>
        <v>#N/A</v>
      </c>
      <c r="F246" t="str">
        <f>_xlfn.XLOOKUP(B246,MacReports!B:B,MacReports!E:E,"")</f>
        <v/>
      </c>
      <c r="G246" s="13">
        <f>MacReports!F246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MacReports!G246</f>
        <v>0</v>
      </c>
      <c r="L246">
        <f>MacReports!H246</f>
        <v>0</v>
      </c>
      <c r="M246" s="15" t="e" cm="1">
        <f t="array" ref="M246">--_xlfn.LET(
    _xlpm.txt, MacReports!I246,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--MacReports!N246&lt;55,"Battery Defect",
  -- MacReports!N246&lt;=69,"Battery D",
  --MacReports!N246&lt;=80,"Battery C",
 --MacReports!N246&gt;80,""
)</f>
        <v>Battery Defect</v>
      </c>
      <c r="O246" s="16" t="str">
        <f>IF(MacReports!J246="Service","Battery Service","")</f>
        <v/>
      </c>
      <c r="P246" s="13">
        <f>MacReports!Q246</f>
        <v>0</v>
      </c>
      <c r="Q246" s="13" t="str">
        <f>IF(MacReports!K246="Enabled","Apple ID Lock","")</f>
        <v/>
      </c>
      <c r="R246" s="13" t="str">
        <f>IF(MacReports!M246="Remote Lock","Remote Locked","")</f>
        <v/>
      </c>
      <c r="S246" t="str">
        <f t="shared" si="9"/>
        <v>Battery Defect, 0</v>
      </c>
      <c r="T246" t="str">
        <f>_xlfn.XLOOKUP(B246,Disk_Pivot!G:G,Disk_Pivot!I:I)</f>
        <v>Yes x2</v>
      </c>
      <c r="U246" t="str">
        <f>_xlfn.XLOOKUP(B246,Disk_Pivot!G:G,Disk_Pivot!N:N)</f>
        <v>Pass, Fail</v>
      </c>
      <c r="V246" t="str">
        <f>IF(U246="Fail",MacReports!O246,"")</f>
        <v/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MacReports!D247</f>
        <v>0</v>
      </c>
      <c r="D247" t="str">
        <f>MacReports!C247&amp;""</f>
        <v/>
      </c>
      <c r="E247" t="e">
        <f>_xlfn.XLOOKUP(G247,Models!A:A,Models!F:F)</f>
        <v>#N/A</v>
      </c>
      <c r="F247" t="str">
        <f>_xlfn.XLOOKUP(B247,MacReports!B:B,MacReports!E:E,"")</f>
        <v/>
      </c>
      <c r="G247" s="13">
        <f>MacReports!F247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MacReports!G247</f>
        <v>0</v>
      </c>
      <c r="L247">
        <f>MacReports!H247</f>
        <v>0</v>
      </c>
      <c r="M247" s="15" t="e" cm="1">
        <f t="array" ref="M247">--_xlfn.LET(
    _xlpm.txt, MacReports!I247,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--MacReports!N247&lt;55,"Battery Defect",
  -- MacReports!N247&lt;=69,"Battery D",
  --MacReports!N247&lt;=80,"Battery C",
 --MacReports!N247&gt;80,""
)</f>
        <v>Battery Defect</v>
      </c>
      <c r="O247" s="16" t="str">
        <f>IF(MacReports!J247="Service","Battery Service","")</f>
        <v/>
      </c>
      <c r="P247" s="13">
        <f>MacReports!Q247</f>
        <v>0</v>
      </c>
      <c r="Q247" s="13" t="str">
        <f>IF(MacReports!K247="Enabled","Apple ID Lock","")</f>
        <v/>
      </c>
      <c r="R247" s="13" t="str">
        <f>IF(MacReports!M247="Remote Lock","Remote Locked","")</f>
        <v/>
      </c>
      <c r="S247" t="str">
        <f t="shared" si="9"/>
        <v>Battery Defect, 0</v>
      </c>
      <c r="T247" t="str">
        <f>_xlfn.XLOOKUP(B247,Disk_Pivot!G:G,Disk_Pivot!I:I)</f>
        <v>Yes x2</v>
      </c>
      <c r="U247" t="str">
        <f>_xlfn.XLOOKUP(B247,Disk_Pivot!G:G,Disk_Pivot!N:N)</f>
        <v>Pass, Fail</v>
      </c>
      <c r="V247" t="str">
        <f>IF(U247="Fail",MacReports!O247,"")</f>
        <v/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MacReports!D248</f>
        <v>0</v>
      </c>
      <c r="D248" t="str">
        <f>MacReports!C248&amp;""</f>
        <v/>
      </c>
      <c r="E248" t="e">
        <f>_xlfn.XLOOKUP(G248,Models!A:A,Models!F:F)</f>
        <v>#N/A</v>
      </c>
      <c r="F248" t="str">
        <f>_xlfn.XLOOKUP(B248,MacReports!B:B,MacReports!E:E,"")</f>
        <v/>
      </c>
      <c r="G248" s="13">
        <f>MacReports!F248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MacReports!G248</f>
        <v>0</v>
      </c>
      <c r="L248">
        <f>MacReports!H248</f>
        <v>0</v>
      </c>
      <c r="M248" s="15" t="e" cm="1">
        <f t="array" ref="M248">--_xlfn.LET(
    _xlpm.txt, MacReports!I248,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--MacReports!N248&lt;55,"Battery Defect",
  -- MacReports!N248&lt;=69,"Battery D",
  --MacReports!N248&lt;=80,"Battery C",
 --MacReports!N248&gt;80,""
)</f>
        <v>Battery Defect</v>
      </c>
      <c r="O248" s="16" t="str">
        <f>IF(MacReports!J248="Service","Battery Service","")</f>
        <v/>
      </c>
      <c r="P248" s="13">
        <f>MacReports!Q248</f>
        <v>0</v>
      </c>
      <c r="Q248" s="13" t="str">
        <f>IF(MacReports!K248="Enabled","Apple ID Lock","")</f>
        <v/>
      </c>
      <c r="R248" s="13" t="str">
        <f>IF(MacReports!M248="Remote Lock","Remote Locked","")</f>
        <v/>
      </c>
      <c r="S248" t="str">
        <f t="shared" si="9"/>
        <v>Battery Defect, 0</v>
      </c>
      <c r="T248" t="str">
        <f>_xlfn.XLOOKUP(B248,Disk_Pivot!G:G,Disk_Pivot!I:I)</f>
        <v>Yes x2</v>
      </c>
      <c r="U248" t="str">
        <f>_xlfn.XLOOKUP(B248,Disk_Pivot!G:G,Disk_Pivot!N:N)</f>
        <v>Pass, Fail</v>
      </c>
      <c r="V248" t="str">
        <f>IF(U248="Fail",MacReports!O248,"")</f>
        <v/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MacReports!D249</f>
        <v>0</v>
      </c>
      <c r="D249" t="str">
        <f>MacReports!C249&amp;""</f>
        <v/>
      </c>
      <c r="E249" t="e">
        <f>_xlfn.XLOOKUP(G249,Models!A:A,Models!F:F)</f>
        <v>#N/A</v>
      </c>
      <c r="F249" t="str">
        <f>_xlfn.XLOOKUP(B249,MacReports!B:B,MacReports!E:E,"")</f>
        <v/>
      </c>
      <c r="G249" s="13">
        <f>MacReports!F249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MacReports!G249</f>
        <v>0</v>
      </c>
      <c r="L249">
        <f>MacReports!H249</f>
        <v>0</v>
      </c>
      <c r="M249" s="15" t="e" cm="1">
        <f t="array" ref="M249">--_xlfn.LET(
    _xlpm.txt, MacReports!I249,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--MacReports!N249&lt;55,"Battery Defect",
  -- MacReports!N249&lt;=69,"Battery D",
  --MacReports!N249&lt;=80,"Battery C",
 --MacReports!N249&gt;80,""
)</f>
        <v>Battery Defect</v>
      </c>
      <c r="O249" s="16" t="str">
        <f>IF(MacReports!J249="Service","Battery Service","")</f>
        <v/>
      </c>
      <c r="P249" s="13">
        <f>MacReports!Q249</f>
        <v>0</v>
      </c>
      <c r="Q249" s="13" t="str">
        <f>IF(MacReports!K249="Enabled","Apple ID Lock","")</f>
        <v/>
      </c>
      <c r="R249" s="13" t="str">
        <f>IF(MacReports!M249="Remote Lock","Remote Locked","")</f>
        <v/>
      </c>
      <c r="S249" t="str">
        <f t="shared" si="9"/>
        <v>Battery Defect, 0</v>
      </c>
      <c r="T249" t="str">
        <f>_xlfn.XLOOKUP(B249,Disk_Pivot!G:G,Disk_Pivot!I:I)</f>
        <v>Yes x2</v>
      </c>
      <c r="U249" t="str">
        <f>_xlfn.XLOOKUP(B249,Disk_Pivot!G:G,Disk_Pivot!N:N)</f>
        <v>Pass, Fail</v>
      </c>
      <c r="V249" t="str">
        <f>IF(U249="Fail",MacReports!O249,"")</f>
        <v/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MacReports!D250</f>
        <v>0</v>
      </c>
      <c r="D250" t="str">
        <f>MacReports!C250&amp;""</f>
        <v/>
      </c>
      <c r="E250" t="e">
        <f>_xlfn.XLOOKUP(G250,Models!A:A,Models!F:F)</f>
        <v>#N/A</v>
      </c>
      <c r="F250" t="str">
        <f>_xlfn.XLOOKUP(B250,MacReports!B:B,MacReports!E:E,"")</f>
        <v/>
      </c>
      <c r="G250" s="13">
        <f>MacReports!F250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MacReports!G250</f>
        <v>0</v>
      </c>
      <c r="L250">
        <f>MacReports!H250</f>
        <v>0</v>
      </c>
      <c r="M250" s="15" t="e" cm="1">
        <f t="array" ref="M250">--_xlfn.LET(
    _xlpm.txt, MacReports!I250,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--MacReports!N250&lt;55,"Battery Defect",
  -- MacReports!N250&lt;=69,"Battery D",
  --MacReports!N250&lt;=80,"Battery C",
 --MacReports!N250&gt;80,""
)</f>
        <v>Battery Defect</v>
      </c>
      <c r="O250" s="16" t="str">
        <f>IF(MacReports!J250="Service","Battery Service","")</f>
        <v/>
      </c>
      <c r="P250" s="13">
        <f>MacReports!Q250</f>
        <v>0</v>
      </c>
      <c r="Q250" s="13" t="str">
        <f>IF(MacReports!K250="Enabled","Apple ID Lock","")</f>
        <v/>
      </c>
      <c r="R250" s="13" t="str">
        <f>IF(MacReports!M250="Remote Lock","Remote Locked","")</f>
        <v/>
      </c>
      <c r="S250" t="str">
        <f t="shared" si="9"/>
        <v>Battery Defect, 0</v>
      </c>
      <c r="T250" t="str">
        <f>_xlfn.XLOOKUP(B250,Disk_Pivot!G:G,Disk_Pivot!I:I)</f>
        <v>Yes x2</v>
      </c>
      <c r="U250" t="str">
        <f>_xlfn.XLOOKUP(B250,Disk_Pivot!G:G,Disk_Pivot!N:N)</f>
        <v>Pass, Fail</v>
      </c>
      <c r="V250" t="str">
        <f>IF(U250="Fail",MacReports!O250,"")</f>
        <v/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MacReports!D251</f>
        <v>0</v>
      </c>
      <c r="D251" t="str">
        <f>MacReports!C251&amp;""</f>
        <v/>
      </c>
      <c r="E251" t="e">
        <f>_xlfn.XLOOKUP(G251,Models!A:A,Models!F:F)</f>
        <v>#N/A</v>
      </c>
      <c r="F251" t="str">
        <f>_xlfn.XLOOKUP(B251,MacReports!B:B,MacReports!E:E,"")</f>
        <v/>
      </c>
      <c r="G251" s="13">
        <f>MacReports!F251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MacReports!G251</f>
        <v>0</v>
      </c>
      <c r="L251">
        <f>MacReports!H251</f>
        <v>0</v>
      </c>
      <c r="M251" s="15" t="e" cm="1">
        <f t="array" ref="M251">--_xlfn.LET(
    _xlpm.txt, MacReports!I251,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--MacReports!N251&lt;55,"Battery Defect",
  -- MacReports!N251&lt;=69,"Battery D",
  --MacReports!N251&lt;=80,"Battery C",
 --MacReports!N251&gt;80,""
)</f>
        <v>Battery Defect</v>
      </c>
      <c r="O251" s="16" t="str">
        <f>IF(MacReports!J251="Service","Battery Service","")</f>
        <v/>
      </c>
      <c r="P251" s="13">
        <f>MacReports!Q251</f>
        <v>0</v>
      </c>
      <c r="Q251" s="13" t="str">
        <f>IF(MacReports!K251="Enabled","Apple ID Lock","")</f>
        <v/>
      </c>
      <c r="R251" s="13" t="str">
        <f>IF(MacReports!M251="Remote Lock","Remote Locked","")</f>
        <v/>
      </c>
      <c r="S251" t="str">
        <f t="shared" si="9"/>
        <v>Battery Defect, 0</v>
      </c>
      <c r="T251" t="str">
        <f>_xlfn.XLOOKUP(B251,Disk_Pivot!G:G,Disk_Pivot!I:I)</f>
        <v>Yes x2</v>
      </c>
      <c r="U251" t="str">
        <f>_xlfn.XLOOKUP(B251,Disk_Pivot!G:G,Disk_Pivot!N:N)</f>
        <v>Pass, Fail</v>
      </c>
      <c r="V251" t="str">
        <f>IF(U251="Fail",MacReports!O251,"")</f>
        <v/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MacReports!D252</f>
        <v>0</v>
      </c>
      <c r="D252" t="str">
        <f>MacReports!C252&amp;""</f>
        <v/>
      </c>
      <c r="E252" t="e">
        <f>_xlfn.XLOOKUP(G252,Models!A:A,Models!F:F)</f>
        <v>#N/A</v>
      </c>
      <c r="F252" t="str">
        <f>_xlfn.XLOOKUP(B252,MacReports!B:B,MacReports!E:E,"")</f>
        <v/>
      </c>
      <c r="G252" s="13">
        <f>MacReports!F252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MacReports!G252</f>
        <v>0</v>
      </c>
      <c r="L252">
        <f>MacReports!H252</f>
        <v>0</v>
      </c>
      <c r="M252" s="15" t="e" cm="1">
        <f t="array" ref="M252">--_xlfn.LET(
    _xlpm.txt, MacReports!I252,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--MacReports!N252&lt;55,"Battery Defect",
  -- MacReports!N252&lt;=69,"Battery D",
  --MacReports!N252&lt;=80,"Battery C",
 --MacReports!N252&gt;80,""
)</f>
        <v>Battery Defect</v>
      </c>
      <c r="O252" s="16" t="str">
        <f>IF(MacReports!J252="Service","Battery Service","")</f>
        <v/>
      </c>
      <c r="P252" s="13">
        <f>MacReports!Q252</f>
        <v>0</v>
      </c>
      <c r="Q252" s="13" t="str">
        <f>IF(MacReports!K252="Enabled","Apple ID Lock","")</f>
        <v/>
      </c>
      <c r="R252" s="13" t="str">
        <f>IF(MacReports!M252="Remote Lock","Remote Locked","")</f>
        <v/>
      </c>
      <c r="S252" t="str">
        <f t="shared" si="9"/>
        <v>Battery Defect, 0</v>
      </c>
      <c r="T252" t="str">
        <f>_xlfn.XLOOKUP(B252,Disk_Pivot!G:G,Disk_Pivot!I:I)</f>
        <v>Yes x2</v>
      </c>
      <c r="U252" t="str">
        <f>_xlfn.XLOOKUP(B252,Disk_Pivot!G:G,Disk_Pivot!N:N)</f>
        <v>Pass, Fail</v>
      </c>
      <c r="V252" t="str">
        <f>IF(U252="Fail",MacReports!O252,"")</f>
        <v/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MacReports!D253</f>
        <v>0</v>
      </c>
      <c r="D253" t="str">
        <f>MacReports!C253&amp;""</f>
        <v/>
      </c>
      <c r="E253" t="e">
        <f>_xlfn.XLOOKUP(G253,Models!A:A,Models!F:F)</f>
        <v>#N/A</v>
      </c>
      <c r="F253" t="str">
        <f>_xlfn.XLOOKUP(B253,MacReports!B:B,MacReports!E:E,"")</f>
        <v/>
      </c>
      <c r="G253" s="13">
        <f>MacReports!F253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MacReports!G253</f>
        <v>0</v>
      </c>
      <c r="L253">
        <f>MacReports!H253</f>
        <v>0</v>
      </c>
      <c r="M253" s="15" t="e" cm="1">
        <f t="array" ref="M253">--_xlfn.LET(
    _xlpm.txt, MacReports!I253,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--MacReports!N253&lt;55,"Battery Defect",
  -- MacReports!N253&lt;=69,"Battery D",
  --MacReports!N253&lt;=80,"Battery C",
 --MacReports!N253&gt;80,""
)</f>
        <v>Battery Defect</v>
      </c>
      <c r="O253" s="16" t="str">
        <f>IF(MacReports!J253="Service","Battery Service","")</f>
        <v/>
      </c>
      <c r="P253" s="13">
        <f>MacReports!Q253</f>
        <v>0</v>
      </c>
      <c r="Q253" s="13" t="str">
        <f>IF(MacReports!K253="Enabled","Apple ID Lock","")</f>
        <v/>
      </c>
      <c r="R253" s="13" t="str">
        <f>IF(MacReports!M253="Remote Lock","Remote Locked","")</f>
        <v/>
      </c>
      <c r="S253" t="str">
        <f t="shared" si="9"/>
        <v>Battery Defect, 0</v>
      </c>
      <c r="T253" t="str">
        <f>_xlfn.XLOOKUP(B253,Disk_Pivot!G:G,Disk_Pivot!I:I)</f>
        <v>Yes x2</v>
      </c>
      <c r="U253" t="str">
        <f>_xlfn.XLOOKUP(B253,Disk_Pivot!G:G,Disk_Pivot!N:N)</f>
        <v>Pass, Fail</v>
      </c>
      <c r="V253" t="str">
        <f>IF(U253="Fail",MacReports!O253,"")</f>
        <v/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MacReports!D254</f>
        <v>0</v>
      </c>
      <c r="D254" t="str">
        <f>MacReports!C254&amp;""</f>
        <v/>
      </c>
      <c r="E254" t="e">
        <f>_xlfn.XLOOKUP(G254,Models!A:A,Models!F:F)</f>
        <v>#N/A</v>
      </c>
      <c r="F254" t="str">
        <f>_xlfn.XLOOKUP(B254,MacReports!B:B,MacReports!E:E,"")</f>
        <v/>
      </c>
      <c r="G254" s="13">
        <f>MacReports!F254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MacReports!G254</f>
        <v>0</v>
      </c>
      <c r="L254">
        <f>MacReports!H254</f>
        <v>0</v>
      </c>
      <c r="M254" s="15" t="e" cm="1">
        <f t="array" ref="M254">--_xlfn.LET(
    _xlpm.txt, MacReports!I254,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--MacReports!N254&lt;55,"Battery Defect",
  -- MacReports!N254&lt;=69,"Battery D",
  --MacReports!N254&lt;=80,"Battery C",
 --MacReports!N254&gt;80,""
)</f>
        <v>Battery Defect</v>
      </c>
      <c r="O254" s="16" t="str">
        <f>IF(MacReports!J254="Service","Battery Service","")</f>
        <v/>
      </c>
      <c r="P254" s="13">
        <f>MacReports!Q254</f>
        <v>0</v>
      </c>
      <c r="Q254" s="13" t="str">
        <f>IF(MacReports!K254="Enabled","Apple ID Lock","")</f>
        <v/>
      </c>
      <c r="R254" s="13" t="str">
        <f>IF(MacReports!M254="Remote Lock","Remote Locked","")</f>
        <v/>
      </c>
      <c r="S254" t="str">
        <f t="shared" si="9"/>
        <v>Battery Defect, 0</v>
      </c>
      <c r="T254" t="str">
        <f>_xlfn.XLOOKUP(B254,Disk_Pivot!G:G,Disk_Pivot!I:I)</f>
        <v>Yes x2</v>
      </c>
      <c r="U254" t="str">
        <f>_xlfn.XLOOKUP(B254,Disk_Pivot!G:G,Disk_Pivot!N:N)</f>
        <v>Pass, Fail</v>
      </c>
      <c r="V254" t="str">
        <f>IF(U254="Fail",MacReports!O254,"")</f>
        <v/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MacReports!D255</f>
        <v>0</v>
      </c>
      <c r="D255" t="str">
        <f>MacReports!C255&amp;""</f>
        <v/>
      </c>
      <c r="E255" t="e">
        <f>_xlfn.XLOOKUP(G255,Models!A:A,Models!F:F)</f>
        <v>#N/A</v>
      </c>
      <c r="F255" t="str">
        <f>_xlfn.XLOOKUP(B255,MacReports!B:B,MacReports!E:E,"")</f>
        <v/>
      </c>
      <c r="G255" s="13">
        <f>MacReports!F255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MacReports!G255</f>
        <v>0</v>
      </c>
      <c r="L255">
        <f>MacReports!H255</f>
        <v>0</v>
      </c>
      <c r="M255" s="15" t="e" cm="1">
        <f t="array" ref="M255">--_xlfn.LET(
    _xlpm.txt, MacReports!I255,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--MacReports!N255&lt;55,"Battery Defect",
  -- MacReports!N255&lt;=69,"Battery D",
  --MacReports!N255&lt;=80,"Battery C",
 --MacReports!N255&gt;80,""
)</f>
        <v>Battery Defect</v>
      </c>
      <c r="O255" s="16" t="str">
        <f>IF(MacReports!J255="Service","Battery Service","")</f>
        <v/>
      </c>
      <c r="P255" s="13">
        <f>MacReports!Q255</f>
        <v>0</v>
      </c>
      <c r="Q255" s="13" t="str">
        <f>IF(MacReports!K255="Enabled","Apple ID Lock","")</f>
        <v/>
      </c>
      <c r="R255" s="13" t="str">
        <f>IF(MacReports!M255="Remote Lock","Remote Locked","")</f>
        <v/>
      </c>
      <c r="S255" t="str">
        <f t="shared" si="9"/>
        <v>Battery Defect, 0</v>
      </c>
      <c r="T255" t="str">
        <f>_xlfn.XLOOKUP(B255,Disk_Pivot!G:G,Disk_Pivot!I:I)</f>
        <v>Yes x2</v>
      </c>
      <c r="U255" t="str">
        <f>_xlfn.XLOOKUP(B255,Disk_Pivot!G:G,Disk_Pivot!N:N)</f>
        <v>Pass, Fail</v>
      </c>
      <c r="V255" t="str">
        <f>IF(U255="Fail",MacReports!O255,"")</f>
        <v/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MacReports!D256</f>
        <v>0</v>
      </c>
      <c r="D256" t="str">
        <f>MacReports!C256&amp;""</f>
        <v/>
      </c>
      <c r="E256" t="e">
        <f>_xlfn.XLOOKUP(G256,Models!A:A,Models!F:F)</f>
        <v>#N/A</v>
      </c>
      <c r="F256" t="str">
        <f>_xlfn.XLOOKUP(B256,MacReports!B:B,MacReports!E:E,"")</f>
        <v/>
      </c>
      <c r="G256" s="13">
        <f>MacReports!F256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MacReports!G256</f>
        <v>0</v>
      </c>
      <c r="L256">
        <f>MacReports!H256</f>
        <v>0</v>
      </c>
      <c r="M256" s="15" t="e" cm="1">
        <f t="array" ref="M256">--_xlfn.LET(
    _xlpm.txt, MacReports!I256,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--MacReports!N256&lt;55,"Battery Defect",
  -- MacReports!N256&lt;=69,"Battery D",
  --MacReports!N256&lt;=80,"Battery C",
 --MacReports!N256&gt;80,""
)</f>
        <v>Battery Defect</v>
      </c>
      <c r="O256" s="16" t="str">
        <f>IF(MacReports!J256="Service","Battery Service","")</f>
        <v/>
      </c>
      <c r="P256" s="13">
        <f>MacReports!Q256</f>
        <v>0</v>
      </c>
      <c r="Q256" s="13" t="str">
        <f>IF(MacReports!K256="Enabled","Apple ID Lock","")</f>
        <v/>
      </c>
      <c r="R256" s="13" t="str">
        <f>IF(MacReports!M256="Remote Lock","Remote Locked","")</f>
        <v/>
      </c>
      <c r="S256" t="str">
        <f t="shared" si="9"/>
        <v>Battery Defect, 0</v>
      </c>
      <c r="T256" t="str">
        <f>_xlfn.XLOOKUP(B256,Disk_Pivot!G:G,Disk_Pivot!I:I)</f>
        <v>Yes x2</v>
      </c>
      <c r="U256" t="str">
        <f>_xlfn.XLOOKUP(B256,Disk_Pivot!G:G,Disk_Pivot!N:N)</f>
        <v>Pass, Fail</v>
      </c>
      <c r="V256" t="str">
        <f>IF(U256="Fail",MacReports!O256,"")</f>
        <v/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MacReports!D257</f>
        <v>0</v>
      </c>
      <c r="D257" t="str">
        <f>MacReports!C257&amp;""</f>
        <v/>
      </c>
      <c r="E257" t="e">
        <f>_xlfn.XLOOKUP(G257,Models!A:A,Models!F:F)</f>
        <v>#N/A</v>
      </c>
      <c r="F257" t="str">
        <f>_xlfn.XLOOKUP(B257,MacReports!B:B,MacReports!E:E,"")</f>
        <v/>
      </c>
      <c r="G257" s="13">
        <f>MacReports!F257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MacReports!G257</f>
        <v>0</v>
      </c>
      <c r="L257">
        <f>MacReports!H257</f>
        <v>0</v>
      </c>
      <c r="M257" s="15" t="e" cm="1">
        <f t="array" ref="M257">--_xlfn.LET(
    _xlpm.txt, MacReports!I257,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--MacReports!N257&lt;55,"Battery Defect",
  -- MacReports!N257&lt;=69,"Battery D",
  --MacReports!N257&lt;=80,"Battery C",
 --MacReports!N257&gt;80,""
)</f>
        <v>Battery Defect</v>
      </c>
      <c r="O257" s="16" t="str">
        <f>IF(MacReports!J257="Service","Battery Service","")</f>
        <v/>
      </c>
      <c r="P257" s="13">
        <f>MacReports!Q257</f>
        <v>0</v>
      </c>
      <c r="Q257" s="13" t="str">
        <f>IF(MacReports!K257="Enabled","Apple ID Lock","")</f>
        <v/>
      </c>
      <c r="R257" s="13" t="str">
        <f>IF(MacReports!M257="Remote Lock","Remote Locked","")</f>
        <v/>
      </c>
      <c r="S257" t="str">
        <f t="shared" si="9"/>
        <v>Battery Defect, 0</v>
      </c>
      <c r="T257" t="str">
        <f>_xlfn.XLOOKUP(B257,Disk_Pivot!G:G,Disk_Pivot!I:I)</f>
        <v>Yes x2</v>
      </c>
      <c r="U257" t="str">
        <f>_xlfn.XLOOKUP(B257,Disk_Pivot!G:G,Disk_Pivot!N:N)</f>
        <v>Pass, Fail</v>
      </c>
      <c r="V257" t="str">
        <f>IF(U257="Fail",MacReports!O257,"")</f>
        <v/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MacReports!D258</f>
        <v>0</v>
      </c>
      <c r="D258" t="str">
        <f>MacReports!C258&amp;""</f>
        <v/>
      </c>
      <c r="E258" t="e">
        <f>_xlfn.XLOOKUP(G258,Models!A:A,Models!F:F)</f>
        <v>#N/A</v>
      </c>
      <c r="F258" t="str">
        <f>_xlfn.XLOOKUP(B258,MacReports!B:B,MacReports!E:E,"")</f>
        <v/>
      </c>
      <c r="G258" s="13">
        <f>MacReports!F258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MacReports!G258</f>
        <v>0</v>
      </c>
      <c r="L258">
        <f>MacReports!H258</f>
        <v>0</v>
      </c>
      <c r="M258" s="15" t="e" cm="1">
        <f t="array" ref="M258">--_xlfn.LET(
    _xlpm.txt, MacReports!I258,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--MacReports!N258&lt;55,"Battery Defect",
  -- MacReports!N258&lt;=69,"Battery D",
  --MacReports!N258&lt;=80,"Battery C",
 --MacReports!N258&gt;80,""
)</f>
        <v>Battery Defect</v>
      </c>
      <c r="O258" s="16" t="str">
        <f>IF(MacReports!J258="Service","Battery Service","")</f>
        <v/>
      </c>
      <c r="P258" s="13">
        <f>MacReports!Q258</f>
        <v>0</v>
      </c>
      <c r="Q258" s="13" t="str">
        <f>IF(MacReports!K258="Enabled","Apple ID Lock","")</f>
        <v/>
      </c>
      <c r="R258" s="13" t="str">
        <f>IF(MacReports!M258="Remote Lock","Remote Locked","")</f>
        <v/>
      </c>
      <c r="S258" t="str">
        <f t="shared" si="9"/>
        <v>Battery Defect, 0</v>
      </c>
      <c r="T258" t="str">
        <f>_xlfn.XLOOKUP(B258,Disk_Pivot!G:G,Disk_Pivot!I:I)</f>
        <v>Yes x2</v>
      </c>
      <c r="U258" t="str">
        <f>_xlfn.XLOOKUP(B258,Disk_Pivot!G:G,Disk_Pivot!N:N)</f>
        <v>Pass, Fail</v>
      </c>
      <c r="V258" t="str">
        <f>IF(U258="Fail",MacReports!O258,"")</f>
        <v/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MacReports!D259</f>
        <v>0</v>
      </c>
      <c r="D259" t="str">
        <f>MacReports!C259&amp;""</f>
        <v/>
      </c>
      <c r="E259" t="e">
        <f>_xlfn.XLOOKUP(G259,Models!A:A,Models!F:F)</f>
        <v>#N/A</v>
      </c>
      <c r="F259" t="str">
        <f>_xlfn.XLOOKUP(B259,MacReports!B:B,MacReports!E:E,"")</f>
        <v/>
      </c>
      <c r="G259" s="13">
        <f>MacReports!F259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MacReports!G259</f>
        <v>0</v>
      </c>
      <c r="L259">
        <f>MacReports!H259</f>
        <v>0</v>
      </c>
      <c r="M259" s="15" t="e" cm="1">
        <f t="array" ref="M259">--_xlfn.LET(
    _xlpm.txt, MacReports!I259,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--MacReports!N259&lt;55,"Battery Defect",
  -- MacReports!N259&lt;=69,"Battery D",
  --MacReports!N259&lt;=80,"Battery C",
 --MacReports!N259&gt;80,""
)</f>
        <v>Battery Defect</v>
      </c>
      <c r="O259" s="16" t="str">
        <f>IF(MacReports!J259="Service","Battery Service","")</f>
        <v/>
      </c>
      <c r="P259" s="13">
        <f>MacReports!Q259</f>
        <v>0</v>
      </c>
      <c r="Q259" s="13" t="str">
        <f>IF(MacReports!K259="Enabled","Apple ID Lock","")</f>
        <v/>
      </c>
      <c r="R259" s="13" t="str">
        <f>IF(MacReports!M259="Remote Lock","Remote Locked","")</f>
        <v/>
      </c>
      <c r="S259" t="str">
        <f t="shared" si="9"/>
        <v>Battery Defect, 0</v>
      </c>
      <c r="T259" t="str">
        <f>_xlfn.XLOOKUP(B259,Disk_Pivot!G:G,Disk_Pivot!I:I)</f>
        <v>Yes x2</v>
      </c>
      <c r="U259" t="str">
        <f>_xlfn.XLOOKUP(B259,Disk_Pivot!G:G,Disk_Pivot!N:N)</f>
        <v>Pass, Fail</v>
      </c>
      <c r="V259" t="str">
        <f>IF(U259="Fail",MacReports!O259,"")</f>
        <v/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MacReports!D260</f>
        <v>0</v>
      </c>
      <c r="D260" t="str">
        <f>MacReports!C260&amp;""</f>
        <v/>
      </c>
      <c r="E260" t="e">
        <f>_xlfn.XLOOKUP(G260,Models!A:A,Models!F:F)</f>
        <v>#N/A</v>
      </c>
      <c r="F260" t="str">
        <f>_xlfn.XLOOKUP(B260,MacReports!B:B,MacReports!E:E,"")</f>
        <v/>
      </c>
      <c r="G260" s="13">
        <f>MacReports!F260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MacReports!G260</f>
        <v>0</v>
      </c>
      <c r="L260">
        <f>MacReports!H260</f>
        <v>0</v>
      </c>
      <c r="M260" s="15" t="e" cm="1">
        <f t="array" ref="M260">--_xlfn.LET(
    _xlpm.txt, MacReports!I260,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--MacReports!N260&lt;55,"Battery Defect",
  -- MacReports!N260&lt;=69,"Battery D",
  --MacReports!N260&lt;=80,"Battery C",
 --MacReports!N260&gt;80,""
)</f>
        <v>Battery Defect</v>
      </c>
      <c r="O260" s="16" t="str">
        <f>IF(MacReports!J260="Service","Battery Service","")</f>
        <v/>
      </c>
      <c r="P260" s="13">
        <f>MacReports!Q260</f>
        <v>0</v>
      </c>
      <c r="Q260" s="13" t="str">
        <f>IF(MacReports!K260="Enabled","Apple ID Lock","")</f>
        <v/>
      </c>
      <c r="R260" s="13" t="str">
        <f>IF(MacReports!M260="Remote Lock","Remote Locked","")</f>
        <v/>
      </c>
      <c r="S260" t="str">
        <f t="shared" si="9"/>
        <v>Battery Defect, 0</v>
      </c>
      <c r="T260" t="str">
        <f>_xlfn.XLOOKUP(B260,Disk_Pivot!G:G,Disk_Pivot!I:I)</f>
        <v>Yes x2</v>
      </c>
      <c r="U260" t="str">
        <f>_xlfn.XLOOKUP(B260,Disk_Pivot!G:G,Disk_Pivot!N:N)</f>
        <v>Pass, Fail</v>
      </c>
      <c r="V260" t="str">
        <f>IF(U260="Fail",MacReports!O260,"")</f>
        <v/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MacReports!D261</f>
        <v>0</v>
      </c>
      <c r="D261" t="str">
        <f>MacReports!C261&amp;""</f>
        <v/>
      </c>
      <c r="E261" t="e">
        <f>_xlfn.XLOOKUP(G261,Models!A:A,Models!F:F)</f>
        <v>#N/A</v>
      </c>
      <c r="F261" t="str">
        <f>_xlfn.XLOOKUP(B261,MacReports!B:B,MacReports!E:E,"")</f>
        <v/>
      </c>
      <c r="G261" s="13">
        <f>MacReports!F261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MacReports!G261</f>
        <v>0</v>
      </c>
      <c r="L261">
        <f>MacReports!H261</f>
        <v>0</v>
      </c>
      <c r="M261" s="15" t="e" cm="1">
        <f t="array" ref="M261">--_xlfn.LET(
    _xlpm.txt, MacReports!I261,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--MacReports!N261&lt;55,"Battery Defect",
  -- MacReports!N261&lt;=69,"Battery D",
  --MacReports!N261&lt;=80,"Battery C",
 --MacReports!N261&gt;80,""
)</f>
        <v>Battery Defect</v>
      </c>
      <c r="O261" s="16" t="str">
        <f>IF(MacReports!J261="Service","Battery Service","")</f>
        <v/>
      </c>
      <c r="P261" s="13">
        <f>MacReports!Q261</f>
        <v>0</v>
      </c>
      <c r="Q261" s="13" t="str">
        <f>IF(MacReports!K261="Enabled","Apple ID Lock","")</f>
        <v/>
      </c>
      <c r="R261" s="13" t="str">
        <f>IF(MacReports!M261="Remote Lock","Remote Locked","")</f>
        <v/>
      </c>
      <c r="S261" t="str">
        <f t="shared" si="9"/>
        <v>Battery Defect, 0</v>
      </c>
      <c r="T261" t="str">
        <f>_xlfn.XLOOKUP(B261,Disk_Pivot!G:G,Disk_Pivot!I:I)</f>
        <v>Yes x2</v>
      </c>
      <c r="U261" t="str">
        <f>_xlfn.XLOOKUP(B261,Disk_Pivot!G:G,Disk_Pivot!N:N)</f>
        <v>Pass, Fail</v>
      </c>
      <c r="V261" t="str">
        <f>IF(U261="Fail",MacReports!O261,"")</f>
        <v/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MacReports!D262</f>
        <v>0</v>
      </c>
      <c r="D262" t="str">
        <f>MacReports!C262&amp;""</f>
        <v/>
      </c>
      <c r="E262" t="e">
        <f>_xlfn.XLOOKUP(G262,Models!A:A,Models!F:F)</f>
        <v>#N/A</v>
      </c>
      <c r="F262" t="str">
        <f>_xlfn.XLOOKUP(B262,MacReports!B:B,MacReports!E:E,"")</f>
        <v/>
      </c>
      <c r="G262" s="13">
        <f>MacReports!F262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MacReports!G262</f>
        <v>0</v>
      </c>
      <c r="L262">
        <f>MacReports!H262</f>
        <v>0</v>
      </c>
      <c r="M262" s="15" t="e" cm="1">
        <f t="array" ref="M262">--_xlfn.LET(
    _xlpm.txt, MacReports!I262,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--MacReports!N262&lt;55,"Battery Defect",
  -- MacReports!N262&lt;=69,"Battery D",
  --MacReports!N262&lt;=80,"Battery C",
 --MacReports!N262&gt;80,""
)</f>
        <v>Battery Defect</v>
      </c>
      <c r="O262" s="16" t="str">
        <f>IF(MacReports!J262="Service","Battery Service","")</f>
        <v/>
      </c>
      <c r="P262" s="13">
        <f>MacReports!Q262</f>
        <v>0</v>
      </c>
      <c r="Q262" s="13" t="str">
        <f>IF(MacReports!K262="Enabled","Apple ID Lock","")</f>
        <v/>
      </c>
      <c r="R262" s="13" t="str">
        <f>IF(MacReports!M262="Remote Lock","Remote Locked","")</f>
        <v/>
      </c>
      <c r="S262" t="str">
        <f t="shared" si="9"/>
        <v>Battery Defect, 0</v>
      </c>
      <c r="T262" t="str">
        <f>_xlfn.XLOOKUP(B262,Disk_Pivot!G:G,Disk_Pivot!I:I)</f>
        <v>Yes x2</v>
      </c>
      <c r="U262" t="str">
        <f>_xlfn.XLOOKUP(B262,Disk_Pivot!G:G,Disk_Pivot!N:N)</f>
        <v>Pass, Fail</v>
      </c>
      <c r="V262" t="str">
        <f>IF(U262="Fail",MacReports!O262,"")</f>
        <v/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MacReports!D263</f>
        <v>0</v>
      </c>
      <c r="D263" t="str">
        <f>MacReports!C263&amp;""</f>
        <v/>
      </c>
      <c r="E263" t="e">
        <f>_xlfn.XLOOKUP(G263,Models!A:A,Models!F:F)</f>
        <v>#N/A</v>
      </c>
      <c r="F263" t="str">
        <f>_xlfn.XLOOKUP(B263,MacReports!B:B,MacReports!E:E,"")</f>
        <v/>
      </c>
      <c r="G263" s="13">
        <f>MacReports!F263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MacReports!G263</f>
        <v>0</v>
      </c>
      <c r="L263">
        <f>MacReports!H263</f>
        <v>0</v>
      </c>
      <c r="M263" s="15" t="e" cm="1">
        <f t="array" ref="M263">--_xlfn.LET(
    _xlpm.txt, MacReports!I263,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--MacReports!N263&lt;55,"Battery Defect",
  -- MacReports!N263&lt;=69,"Battery D",
  --MacReports!N263&lt;=80,"Battery C",
 --MacReports!N263&gt;80,""
)</f>
        <v>Battery Defect</v>
      </c>
      <c r="O263" s="16" t="str">
        <f>IF(MacReports!J263="Service","Battery Service","")</f>
        <v/>
      </c>
      <c r="P263" s="13">
        <f>MacReports!Q263</f>
        <v>0</v>
      </c>
      <c r="Q263" s="13" t="str">
        <f>IF(MacReports!K263="Enabled","Apple ID Lock","")</f>
        <v/>
      </c>
      <c r="R263" s="13" t="str">
        <f>IF(MacReports!M263="Remote Lock","Remote Locked","")</f>
        <v/>
      </c>
      <c r="S263" t="str">
        <f t="shared" si="9"/>
        <v>Battery Defect, 0</v>
      </c>
      <c r="T263" t="str">
        <f>_xlfn.XLOOKUP(B263,Disk_Pivot!G:G,Disk_Pivot!I:I)</f>
        <v>Yes x2</v>
      </c>
      <c r="U263" t="str">
        <f>_xlfn.XLOOKUP(B263,Disk_Pivot!G:G,Disk_Pivot!N:N)</f>
        <v>Pass, Fail</v>
      </c>
      <c r="V263" t="str">
        <f>IF(U263="Fail",MacReports!O263,"")</f>
        <v/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MacReports!D264</f>
        <v>0</v>
      </c>
      <c r="D264" t="str">
        <f>MacReports!C264&amp;""</f>
        <v/>
      </c>
      <c r="E264" t="e">
        <f>_xlfn.XLOOKUP(G264,Models!A:A,Models!F:F)</f>
        <v>#N/A</v>
      </c>
      <c r="F264" t="str">
        <f>_xlfn.XLOOKUP(B264,MacReports!B:B,MacReports!E:E,"")</f>
        <v/>
      </c>
      <c r="G264" s="13">
        <f>MacReports!F264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MacReports!G264</f>
        <v>0</v>
      </c>
      <c r="L264">
        <f>MacReports!H264</f>
        <v>0</v>
      </c>
      <c r="M264" s="15" t="e" cm="1">
        <f t="array" ref="M264">--_xlfn.LET(
    _xlpm.txt, MacReports!I264,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--MacReports!N264&lt;55,"Battery Defect",
  -- MacReports!N264&lt;=69,"Battery D",
  --MacReports!N264&lt;=80,"Battery C",
 --MacReports!N264&gt;80,""
)</f>
        <v>Battery Defect</v>
      </c>
      <c r="O264" s="16" t="str">
        <f>IF(MacReports!J264="Service","Battery Service","")</f>
        <v/>
      </c>
      <c r="P264" s="13">
        <f>MacReports!Q264</f>
        <v>0</v>
      </c>
      <c r="Q264" s="13" t="str">
        <f>IF(MacReports!K264="Enabled","Apple ID Lock","")</f>
        <v/>
      </c>
      <c r="R264" s="13" t="str">
        <f>IF(MacReports!M264="Remote Lock","Remote Locked","")</f>
        <v/>
      </c>
      <c r="S264" t="str">
        <f t="shared" si="9"/>
        <v>Battery Defect, 0</v>
      </c>
      <c r="T264" t="str">
        <f>_xlfn.XLOOKUP(B264,Disk_Pivot!G:G,Disk_Pivot!I:I)</f>
        <v>Yes x2</v>
      </c>
      <c r="U264" t="str">
        <f>_xlfn.XLOOKUP(B264,Disk_Pivot!G:G,Disk_Pivot!N:N)</f>
        <v>Pass, Fail</v>
      </c>
      <c r="V264" t="str">
        <f>IF(U264="Fail",MacReports!O264,"")</f>
        <v/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MacReports!D265</f>
        <v>0</v>
      </c>
      <c r="D265" t="str">
        <f>MacReports!C265&amp;""</f>
        <v/>
      </c>
      <c r="E265" t="e">
        <f>_xlfn.XLOOKUP(G265,Models!A:A,Models!F:F)</f>
        <v>#N/A</v>
      </c>
      <c r="F265" t="str">
        <f>_xlfn.XLOOKUP(B265,MacReports!B:B,MacReports!E:E,"")</f>
        <v/>
      </c>
      <c r="G265" s="13">
        <f>MacReports!F265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MacReports!G265</f>
        <v>0</v>
      </c>
      <c r="L265">
        <f>MacReports!H265</f>
        <v>0</v>
      </c>
      <c r="M265" s="15" t="e" cm="1">
        <f t="array" ref="M265">--_xlfn.LET(
    _xlpm.txt, MacReports!I265,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--MacReports!N265&lt;55,"Battery Defect",
  -- MacReports!N265&lt;=69,"Battery D",
  --MacReports!N265&lt;=80,"Battery C",
 --MacReports!N265&gt;80,""
)</f>
        <v>Battery Defect</v>
      </c>
      <c r="O265" s="16" t="str">
        <f>IF(MacReports!J265="Service","Battery Service","")</f>
        <v/>
      </c>
      <c r="P265" s="13">
        <f>MacReports!Q265</f>
        <v>0</v>
      </c>
      <c r="Q265" s="13" t="str">
        <f>IF(MacReports!K265="Enabled","Apple ID Lock","")</f>
        <v/>
      </c>
      <c r="R265" s="13" t="str">
        <f>IF(MacReports!M265="Remote Lock","Remote Locked","")</f>
        <v/>
      </c>
      <c r="S265" t="str">
        <f t="shared" si="9"/>
        <v>Battery Defect, 0</v>
      </c>
      <c r="T265" t="str">
        <f>_xlfn.XLOOKUP(B265,Disk_Pivot!G:G,Disk_Pivot!I:I)</f>
        <v>Yes x2</v>
      </c>
      <c r="U265" t="str">
        <f>_xlfn.XLOOKUP(B265,Disk_Pivot!G:G,Disk_Pivot!N:N)</f>
        <v>Pass, Fail</v>
      </c>
      <c r="V265" t="str">
        <f>IF(U265="Fail",MacReports!O265,"")</f>
        <v/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MacReports!D266</f>
        <v>0</v>
      </c>
      <c r="D266" t="str">
        <f>MacReports!C266&amp;""</f>
        <v/>
      </c>
      <c r="E266" t="e">
        <f>_xlfn.XLOOKUP(G266,Models!A:A,Models!F:F)</f>
        <v>#N/A</v>
      </c>
      <c r="F266" t="str">
        <f>_xlfn.XLOOKUP(B266,MacReports!B:B,MacReports!E:E,"")</f>
        <v/>
      </c>
      <c r="G266" s="13">
        <f>MacReports!F266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MacReports!G266</f>
        <v>0</v>
      </c>
      <c r="L266">
        <f>MacReports!H266</f>
        <v>0</v>
      </c>
      <c r="M266" s="15" t="e" cm="1">
        <f t="array" ref="M266">--_xlfn.LET(
    _xlpm.txt, MacReports!I266,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--MacReports!N266&lt;55,"Battery Defect",
  -- MacReports!N266&lt;=69,"Battery D",
  --MacReports!N266&lt;=80,"Battery C",
 --MacReports!N266&gt;80,""
)</f>
        <v>Battery Defect</v>
      </c>
      <c r="O266" s="16" t="str">
        <f>IF(MacReports!J266="Service","Battery Service","")</f>
        <v/>
      </c>
      <c r="P266" s="13">
        <f>MacReports!Q266</f>
        <v>0</v>
      </c>
      <c r="Q266" s="13" t="str">
        <f>IF(MacReports!K266="Enabled","Apple ID Lock","")</f>
        <v/>
      </c>
      <c r="R266" s="13" t="str">
        <f>IF(MacReports!M266="Remote Lock","Remote Locked","")</f>
        <v/>
      </c>
      <c r="S266" t="str">
        <f t="shared" si="9"/>
        <v>Battery Defect, 0</v>
      </c>
      <c r="T266" t="str">
        <f>_xlfn.XLOOKUP(B266,Disk_Pivot!G:G,Disk_Pivot!I:I)</f>
        <v>Yes x2</v>
      </c>
      <c r="U266" t="str">
        <f>_xlfn.XLOOKUP(B266,Disk_Pivot!G:G,Disk_Pivot!N:N)</f>
        <v>Pass, Fail</v>
      </c>
      <c r="V266" t="str">
        <f>IF(U266="Fail",MacReports!O266,"")</f>
        <v/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MacReports!D267</f>
        <v>0</v>
      </c>
      <c r="D267" t="str">
        <f>MacReports!C267&amp;""</f>
        <v/>
      </c>
      <c r="E267" t="e">
        <f>_xlfn.XLOOKUP(G267,Models!A:A,Models!F:F)</f>
        <v>#N/A</v>
      </c>
      <c r="F267" t="str">
        <f>_xlfn.XLOOKUP(B267,MacReports!B:B,MacReports!E:E,"")</f>
        <v/>
      </c>
      <c r="G267" s="13">
        <f>MacReports!F267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MacReports!G267</f>
        <v>0</v>
      </c>
      <c r="L267">
        <f>MacReports!H267</f>
        <v>0</v>
      </c>
      <c r="M267" s="15" t="e" cm="1">
        <f t="array" ref="M267">--_xlfn.LET(
    _xlpm.txt, MacReports!I267,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--MacReports!N267&lt;55,"Battery Defect",
  -- MacReports!N267&lt;=69,"Battery D",
  --MacReports!N267&lt;=80,"Battery C",
 --MacReports!N267&gt;80,""
)</f>
        <v>Battery Defect</v>
      </c>
      <c r="O267" s="16" t="str">
        <f>IF(MacReports!J267="Service","Battery Service","")</f>
        <v/>
      </c>
      <c r="P267" s="13">
        <f>MacReports!Q267</f>
        <v>0</v>
      </c>
      <c r="Q267" s="13" t="str">
        <f>IF(MacReports!K267="Enabled","Apple ID Lock","")</f>
        <v/>
      </c>
      <c r="R267" s="13" t="str">
        <f>IF(MacReports!M267="Remote Lock","Remote Locked","")</f>
        <v/>
      </c>
      <c r="S267" t="str">
        <f t="shared" si="9"/>
        <v>Battery Defect, 0</v>
      </c>
      <c r="T267" t="str">
        <f>_xlfn.XLOOKUP(B267,Disk_Pivot!G:G,Disk_Pivot!I:I)</f>
        <v>Yes x2</v>
      </c>
      <c r="U267" t="str">
        <f>_xlfn.XLOOKUP(B267,Disk_Pivot!G:G,Disk_Pivot!N:N)</f>
        <v>Pass, Fail</v>
      </c>
      <c r="V267" t="str">
        <f>IF(U267="Fail",MacReports!O267,"")</f>
        <v/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MacReports!D268</f>
        <v>0</v>
      </c>
      <c r="D268" t="str">
        <f>MacReports!C268&amp;""</f>
        <v/>
      </c>
      <c r="E268" t="e">
        <f>_xlfn.XLOOKUP(G268,Models!A:A,Models!F:F)</f>
        <v>#N/A</v>
      </c>
      <c r="F268" t="str">
        <f>_xlfn.XLOOKUP(B268,MacReports!B:B,MacReports!E:E,"")</f>
        <v/>
      </c>
      <c r="G268" s="13">
        <f>MacReports!F268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MacReports!G268</f>
        <v>0</v>
      </c>
      <c r="L268">
        <f>MacReports!H268</f>
        <v>0</v>
      </c>
      <c r="M268" s="15" t="e" cm="1">
        <f t="array" ref="M268">--_xlfn.LET(
    _xlpm.txt, MacReports!I268,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--MacReports!N268&lt;55,"Battery Defect",
  -- MacReports!N268&lt;=69,"Battery D",
  --MacReports!N268&lt;=80,"Battery C",
 --MacReports!N268&gt;80,""
)</f>
        <v>Battery Defect</v>
      </c>
      <c r="O268" s="16" t="str">
        <f>IF(MacReports!J268="Service","Battery Service","")</f>
        <v/>
      </c>
      <c r="P268" s="13">
        <f>MacReports!Q268</f>
        <v>0</v>
      </c>
      <c r="Q268" s="13" t="str">
        <f>IF(MacReports!K268="Enabled","Apple ID Lock","")</f>
        <v/>
      </c>
      <c r="R268" s="13" t="str">
        <f>IF(MacReports!M268="Remote Lock","Remote Locked","")</f>
        <v/>
      </c>
      <c r="S268" t="str">
        <f t="shared" si="9"/>
        <v>Battery Defect, 0</v>
      </c>
      <c r="T268" t="str">
        <f>_xlfn.XLOOKUP(B268,Disk_Pivot!G:G,Disk_Pivot!I:I)</f>
        <v>Yes x2</v>
      </c>
      <c r="U268" t="str">
        <f>_xlfn.XLOOKUP(B268,Disk_Pivot!G:G,Disk_Pivot!N:N)</f>
        <v>Pass, Fail</v>
      </c>
      <c r="V268" t="str">
        <f>IF(U268="Fail",MacReports!O268,"")</f>
        <v/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MacReports!D269</f>
        <v>0</v>
      </c>
      <c r="D269" t="str">
        <f>MacReports!C269&amp;""</f>
        <v/>
      </c>
      <c r="E269" t="e">
        <f>_xlfn.XLOOKUP(G269,Models!A:A,Models!F:F)</f>
        <v>#N/A</v>
      </c>
      <c r="F269" t="str">
        <f>_xlfn.XLOOKUP(B269,MacReports!B:B,MacReports!E:E,"")</f>
        <v/>
      </c>
      <c r="G269" s="13">
        <f>MacReports!F269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MacReports!G269</f>
        <v>0</v>
      </c>
      <c r="L269">
        <f>MacReports!H269</f>
        <v>0</v>
      </c>
      <c r="M269" s="15" t="e" cm="1">
        <f t="array" ref="M269">--_xlfn.LET(
    _xlpm.txt, MacReports!I269,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--MacReports!N269&lt;55,"Battery Defect",
  -- MacReports!N269&lt;=69,"Battery D",
  --MacReports!N269&lt;=80,"Battery C",
 --MacReports!N269&gt;80,""
)</f>
        <v>Battery Defect</v>
      </c>
      <c r="O269" s="16" t="str">
        <f>IF(MacReports!J269="Service","Battery Service","")</f>
        <v/>
      </c>
      <c r="P269" s="13">
        <f>MacReports!Q269</f>
        <v>0</v>
      </c>
      <c r="Q269" s="13" t="str">
        <f>IF(MacReports!K269="Enabled","Apple ID Lock","")</f>
        <v/>
      </c>
      <c r="R269" s="13" t="str">
        <f>IF(MacReports!M269="Remote Lock","Remote Locked","")</f>
        <v/>
      </c>
      <c r="S269" t="str">
        <f t="shared" si="9"/>
        <v>Battery Defect, 0</v>
      </c>
      <c r="T269" t="str">
        <f>_xlfn.XLOOKUP(B269,Disk_Pivot!G:G,Disk_Pivot!I:I)</f>
        <v>Yes x2</v>
      </c>
      <c r="U269" t="str">
        <f>_xlfn.XLOOKUP(B269,Disk_Pivot!G:G,Disk_Pivot!N:N)</f>
        <v>Pass, Fail</v>
      </c>
      <c r="V269" t="str">
        <f>IF(U269="Fail",MacReports!O269,"")</f>
        <v/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MacReports!D270</f>
        <v>0</v>
      </c>
      <c r="D270" t="str">
        <f>MacReports!C270&amp;""</f>
        <v/>
      </c>
      <c r="E270" t="e">
        <f>_xlfn.XLOOKUP(G270,Models!A:A,Models!F:F)</f>
        <v>#N/A</v>
      </c>
      <c r="F270" t="str">
        <f>_xlfn.XLOOKUP(B270,MacReports!B:B,MacReports!E:E,"")</f>
        <v/>
      </c>
      <c r="G270" s="13">
        <f>MacReports!F270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MacReports!G270</f>
        <v>0</v>
      </c>
      <c r="L270">
        <f>MacReports!H270</f>
        <v>0</v>
      </c>
      <c r="M270" s="15" t="e" cm="1">
        <f t="array" ref="M270">--_xlfn.LET(
    _xlpm.txt, MacReports!I270,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--MacReports!N270&lt;55,"Battery Defect",
  -- MacReports!N270&lt;=69,"Battery D",
  --MacReports!N270&lt;=80,"Battery C",
 --MacReports!N270&gt;80,""
)</f>
        <v>Battery Defect</v>
      </c>
      <c r="O270" s="16" t="str">
        <f>IF(MacReports!J270="Service","Battery Service","")</f>
        <v/>
      </c>
      <c r="P270" s="13">
        <f>MacReports!Q270</f>
        <v>0</v>
      </c>
      <c r="Q270" s="13" t="str">
        <f>IF(MacReports!K270="Enabled","Apple ID Lock","")</f>
        <v/>
      </c>
      <c r="R270" s="13" t="str">
        <f>IF(MacReports!M270="Remote Lock","Remote Locked","")</f>
        <v/>
      </c>
      <c r="S270" t="str">
        <f t="shared" si="9"/>
        <v>Battery Defect, 0</v>
      </c>
      <c r="T270" t="str">
        <f>_xlfn.XLOOKUP(B270,Disk_Pivot!G:G,Disk_Pivot!I:I)</f>
        <v>Yes x2</v>
      </c>
      <c r="U270" t="str">
        <f>_xlfn.XLOOKUP(B270,Disk_Pivot!G:G,Disk_Pivot!N:N)</f>
        <v>Pass, Fail</v>
      </c>
      <c r="V270" t="str">
        <f>IF(U270="Fail",MacReports!O270,"")</f>
        <v/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MacReports!D271</f>
        <v>0</v>
      </c>
      <c r="D271" t="str">
        <f>MacReports!C271&amp;""</f>
        <v/>
      </c>
      <c r="E271" t="e">
        <f>_xlfn.XLOOKUP(G271,Models!A:A,Models!F:F)</f>
        <v>#N/A</v>
      </c>
      <c r="F271" t="str">
        <f>_xlfn.XLOOKUP(B271,MacReports!B:B,MacReports!E:E,"")</f>
        <v/>
      </c>
      <c r="G271" s="13">
        <f>MacReports!F271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MacReports!G271</f>
        <v>0</v>
      </c>
      <c r="L271">
        <f>MacReports!H271</f>
        <v>0</v>
      </c>
      <c r="M271" s="15" t="e" cm="1">
        <f t="array" ref="M271">--_xlfn.LET(
    _xlpm.txt, MacReports!I271,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--MacReports!N271&lt;55,"Battery Defect",
  -- MacReports!N271&lt;=69,"Battery D",
  --MacReports!N271&lt;=80,"Battery C",
 --MacReports!N271&gt;80,""
)</f>
        <v>Battery Defect</v>
      </c>
      <c r="O271" s="16" t="str">
        <f>IF(MacReports!J271="Service","Battery Service","")</f>
        <v/>
      </c>
      <c r="P271" s="13">
        <f>MacReports!Q271</f>
        <v>0</v>
      </c>
      <c r="Q271" s="13" t="str">
        <f>IF(MacReports!K271="Enabled","Apple ID Lock","")</f>
        <v/>
      </c>
      <c r="R271" s="13" t="str">
        <f>IF(MacReports!M271="Remote Lock","Remote Locked","")</f>
        <v/>
      </c>
      <c r="S271" t="str">
        <f t="shared" si="9"/>
        <v>Battery Defect, 0</v>
      </c>
      <c r="T271" t="str">
        <f>_xlfn.XLOOKUP(B271,Disk_Pivot!G:G,Disk_Pivot!I:I)</f>
        <v>Yes x2</v>
      </c>
      <c r="U271" t="str">
        <f>_xlfn.XLOOKUP(B271,Disk_Pivot!G:G,Disk_Pivot!N:N)</f>
        <v>Pass, Fail</v>
      </c>
      <c r="V271" t="str">
        <f>IF(U271="Fail",MacReports!O271,"")</f>
        <v/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MacReports!D272</f>
        <v>0</v>
      </c>
      <c r="D272" t="str">
        <f>MacReports!C272&amp;""</f>
        <v/>
      </c>
      <c r="E272" t="e">
        <f>_xlfn.XLOOKUP(G272,Models!A:A,Models!F:F)</f>
        <v>#N/A</v>
      </c>
      <c r="F272" t="str">
        <f>_xlfn.XLOOKUP(B272,MacReports!B:B,MacReports!E:E,"")</f>
        <v/>
      </c>
      <c r="G272" s="13">
        <f>MacReports!F272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MacReports!G272</f>
        <v>0</v>
      </c>
      <c r="L272">
        <f>MacReports!H272</f>
        <v>0</v>
      </c>
      <c r="M272" s="15" t="e" cm="1">
        <f t="array" ref="M272">--_xlfn.LET(
    _xlpm.txt, MacReports!I272,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--MacReports!N272&lt;55,"Battery Defect",
  -- MacReports!N272&lt;=69,"Battery D",
  --MacReports!N272&lt;=80,"Battery C",
 --MacReports!N272&gt;80,""
)</f>
        <v>Battery Defect</v>
      </c>
      <c r="O272" s="16" t="str">
        <f>IF(MacReports!J272="Service","Battery Service","")</f>
        <v/>
      </c>
      <c r="P272" s="13">
        <f>MacReports!Q272</f>
        <v>0</v>
      </c>
      <c r="Q272" s="13" t="str">
        <f>IF(MacReports!K272="Enabled","Apple ID Lock","")</f>
        <v/>
      </c>
      <c r="R272" s="13" t="str">
        <f>IF(MacReports!M272="Remote Lock","Remote Locked","")</f>
        <v/>
      </c>
      <c r="S272" t="str">
        <f t="shared" si="9"/>
        <v>Battery Defect, 0</v>
      </c>
      <c r="T272" t="str">
        <f>_xlfn.XLOOKUP(B272,Disk_Pivot!G:G,Disk_Pivot!I:I)</f>
        <v>Yes x2</v>
      </c>
      <c r="U272" t="str">
        <f>_xlfn.XLOOKUP(B272,Disk_Pivot!G:G,Disk_Pivot!N:N)</f>
        <v>Pass, Fail</v>
      </c>
      <c r="V272" t="str">
        <f>IF(U272="Fail",MacReports!O272,"")</f>
        <v/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MacReports!D273</f>
        <v>0</v>
      </c>
      <c r="D273" t="str">
        <f>MacReports!C273&amp;""</f>
        <v/>
      </c>
      <c r="E273" t="e">
        <f>_xlfn.XLOOKUP(G273,Models!A:A,Models!F:F)</f>
        <v>#N/A</v>
      </c>
      <c r="F273" t="str">
        <f>_xlfn.XLOOKUP(B273,MacReports!B:B,MacReports!E:E,"")</f>
        <v/>
      </c>
      <c r="G273" s="13">
        <f>MacReports!F273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MacReports!G273</f>
        <v>0</v>
      </c>
      <c r="L273">
        <f>MacReports!H273</f>
        <v>0</v>
      </c>
      <c r="M273" s="15" t="e" cm="1">
        <f t="array" ref="M273">--_xlfn.LET(
    _xlpm.txt, MacReports!I273,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--MacReports!N273&lt;55,"Battery Defect",
  -- MacReports!N273&lt;=69,"Battery D",
  --MacReports!N273&lt;=80,"Battery C",
 --MacReports!N273&gt;80,""
)</f>
        <v>Battery Defect</v>
      </c>
      <c r="O273" s="16" t="str">
        <f>IF(MacReports!J273="Service","Battery Service","")</f>
        <v/>
      </c>
      <c r="P273" s="13">
        <f>MacReports!Q273</f>
        <v>0</v>
      </c>
      <c r="Q273" s="13" t="str">
        <f>IF(MacReports!K273="Enabled","Apple ID Lock","")</f>
        <v/>
      </c>
      <c r="R273" s="13" t="str">
        <f>IF(MacReports!M273="Remote Lock","Remote Locked","")</f>
        <v/>
      </c>
      <c r="S273" t="str">
        <f t="shared" si="9"/>
        <v>Battery Defect, 0</v>
      </c>
      <c r="T273" t="str">
        <f>_xlfn.XLOOKUP(B273,Disk_Pivot!G:G,Disk_Pivot!I:I)</f>
        <v>Yes x2</v>
      </c>
      <c r="U273" t="str">
        <f>_xlfn.XLOOKUP(B273,Disk_Pivot!G:G,Disk_Pivot!N:N)</f>
        <v>Pass, Fail</v>
      </c>
      <c r="V273" t="str">
        <f>IF(U273="Fail",MacReports!O273,"")</f>
        <v/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MacReports!D274</f>
        <v>0</v>
      </c>
      <c r="D274" t="str">
        <f>MacReports!C274&amp;""</f>
        <v/>
      </c>
      <c r="E274" t="e">
        <f>_xlfn.XLOOKUP(G274,Models!A:A,Models!F:F)</f>
        <v>#N/A</v>
      </c>
      <c r="F274" t="str">
        <f>_xlfn.XLOOKUP(B274,MacReports!B:B,MacReports!E:E,"")</f>
        <v/>
      </c>
      <c r="G274" s="13">
        <f>MacReports!F274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MacReports!G274</f>
        <v>0</v>
      </c>
      <c r="L274">
        <f>MacReports!H274</f>
        <v>0</v>
      </c>
      <c r="M274" s="15" t="e" cm="1">
        <f t="array" ref="M274">--_xlfn.LET(
    _xlpm.txt, MacReports!I274,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--MacReports!N274&lt;55,"Battery Defect",
  -- MacReports!N274&lt;=69,"Battery D",
  --MacReports!N274&lt;=80,"Battery C",
 --MacReports!N274&gt;80,""
)</f>
        <v>Battery Defect</v>
      </c>
      <c r="O274" s="16" t="str">
        <f>IF(MacReports!J274="Service","Battery Service","")</f>
        <v/>
      </c>
      <c r="P274" s="13">
        <f>MacReports!Q274</f>
        <v>0</v>
      </c>
      <c r="Q274" s="13" t="str">
        <f>IF(MacReports!K274="Enabled","Apple ID Lock","")</f>
        <v/>
      </c>
      <c r="R274" s="13" t="str">
        <f>IF(MacReports!M274="Remote Lock","Remote Locked","")</f>
        <v/>
      </c>
      <c r="S274" t="str">
        <f t="shared" si="9"/>
        <v>Battery Defect, 0</v>
      </c>
      <c r="T274" t="str">
        <f>_xlfn.XLOOKUP(B274,Disk_Pivot!G:G,Disk_Pivot!I:I)</f>
        <v>Yes x2</v>
      </c>
      <c r="U274" t="str">
        <f>_xlfn.XLOOKUP(B274,Disk_Pivot!G:G,Disk_Pivot!N:N)</f>
        <v>Pass, Fail</v>
      </c>
      <c r="V274" t="str">
        <f>IF(U274="Fail",MacReports!O274,"")</f>
        <v/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MacReports!D275</f>
        <v>0</v>
      </c>
      <c r="D275" t="str">
        <f>MacReports!C275&amp;""</f>
        <v/>
      </c>
      <c r="E275" t="e">
        <f>_xlfn.XLOOKUP(G275,Models!A:A,Models!F:F)</f>
        <v>#N/A</v>
      </c>
      <c r="F275" t="str">
        <f>_xlfn.XLOOKUP(B275,MacReports!B:B,MacReports!E:E,"")</f>
        <v/>
      </c>
      <c r="G275" s="13">
        <f>MacReports!F275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MacReports!G275</f>
        <v>0</v>
      </c>
      <c r="L275">
        <f>MacReports!H275</f>
        <v>0</v>
      </c>
      <c r="M275" s="15" t="e" cm="1">
        <f t="array" ref="M275">--_xlfn.LET(
    _xlpm.txt, MacReports!I275,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--MacReports!N275&lt;55,"Battery Defect",
  -- MacReports!N275&lt;=69,"Battery D",
  --MacReports!N275&lt;=80,"Battery C",
 --MacReports!N275&gt;80,""
)</f>
        <v>Battery Defect</v>
      </c>
      <c r="O275" s="16" t="str">
        <f>IF(MacReports!J275="Service","Battery Service","")</f>
        <v/>
      </c>
      <c r="P275" s="13">
        <f>MacReports!Q275</f>
        <v>0</v>
      </c>
      <c r="Q275" s="13" t="str">
        <f>IF(MacReports!K275="Enabled","Apple ID Lock","")</f>
        <v/>
      </c>
      <c r="R275" s="13" t="str">
        <f>IF(MacReports!M275="Remote Lock","Remote Locked","")</f>
        <v/>
      </c>
      <c r="S275" t="str">
        <f t="shared" si="9"/>
        <v>Battery Defect, 0</v>
      </c>
      <c r="T275" t="str">
        <f>_xlfn.XLOOKUP(B275,Disk_Pivot!G:G,Disk_Pivot!I:I)</f>
        <v>Yes x2</v>
      </c>
      <c r="U275" t="str">
        <f>_xlfn.XLOOKUP(B275,Disk_Pivot!G:G,Disk_Pivot!N:N)</f>
        <v>Pass, Fail</v>
      </c>
      <c r="V275" t="str">
        <f>IF(U275="Fail",MacReports!O275,"")</f>
        <v/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MacReports!D276</f>
        <v>0</v>
      </c>
      <c r="D276" t="str">
        <f>MacReports!C276&amp;""</f>
        <v/>
      </c>
      <c r="E276" t="e">
        <f>_xlfn.XLOOKUP(G276,Models!A:A,Models!F:F)</f>
        <v>#N/A</v>
      </c>
      <c r="F276" t="str">
        <f>_xlfn.XLOOKUP(B276,MacReports!B:B,MacReports!E:E,"")</f>
        <v/>
      </c>
      <c r="G276" s="13">
        <f>MacReports!F276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MacReports!G276</f>
        <v>0</v>
      </c>
      <c r="L276">
        <f>MacReports!H276</f>
        <v>0</v>
      </c>
      <c r="M276" s="15" t="e" cm="1">
        <f t="array" ref="M276">--_xlfn.LET(
    _xlpm.txt, MacReports!I276,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--MacReports!N276&lt;55,"Battery Defect",
  -- MacReports!N276&lt;=69,"Battery D",
  --MacReports!N276&lt;=80,"Battery C",
 --MacReports!N276&gt;80,""
)</f>
        <v>Battery Defect</v>
      </c>
      <c r="O276" s="16" t="str">
        <f>IF(MacReports!J276="Service","Battery Service","")</f>
        <v/>
      </c>
      <c r="P276" s="13">
        <f>MacReports!Q276</f>
        <v>0</v>
      </c>
      <c r="Q276" s="13" t="str">
        <f>IF(MacReports!K276="Enabled","Apple ID Lock","")</f>
        <v/>
      </c>
      <c r="R276" s="13" t="str">
        <f>IF(MacReports!M276="Remote Lock","Remote Locked","")</f>
        <v/>
      </c>
      <c r="S276" t="str">
        <f t="shared" si="9"/>
        <v>Battery Defect, 0</v>
      </c>
      <c r="T276" t="str">
        <f>_xlfn.XLOOKUP(B276,Disk_Pivot!G:G,Disk_Pivot!I:I)</f>
        <v>Yes x2</v>
      </c>
      <c r="U276" t="str">
        <f>_xlfn.XLOOKUP(B276,Disk_Pivot!G:G,Disk_Pivot!N:N)</f>
        <v>Pass, Fail</v>
      </c>
      <c r="V276" t="str">
        <f>IF(U276="Fail",MacReports!O276,"")</f>
        <v/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MacReports!D277</f>
        <v>0</v>
      </c>
      <c r="D277" t="str">
        <f>MacReports!C277&amp;""</f>
        <v/>
      </c>
      <c r="E277" t="e">
        <f>_xlfn.XLOOKUP(G277,Models!A:A,Models!F:F)</f>
        <v>#N/A</v>
      </c>
      <c r="F277" t="str">
        <f>_xlfn.XLOOKUP(B277,MacReports!B:B,MacReports!E:E,"")</f>
        <v/>
      </c>
      <c r="G277" s="13">
        <f>MacReports!F277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MacReports!G277</f>
        <v>0</v>
      </c>
      <c r="L277">
        <f>MacReports!H277</f>
        <v>0</v>
      </c>
      <c r="M277" s="15" t="e" cm="1">
        <f t="array" ref="M277">--_xlfn.LET(
    _xlpm.txt, MacReports!I277,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--MacReports!N277&lt;55,"Battery Defect",
  -- MacReports!N277&lt;=69,"Battery D",
  --MacReports!N277&lt;=80,"Battery C",
 --MacReports!N277&gt;80,""
)</f>
        <v>Battery Defect</v>
      </c>
      <c r="O277" s="16" t="str">
        <f>IF(MacReports!J277="Service","Battery Service","")</f>
        <v/>
      </c>
      <c r="P277" s="13">
        <f>MacReports!Q277</f>
        <v>0</v>
      </c>
      <c r="Q277" s="13" t="str">
        <f>IF(MacReports!K277="Enabled","Apple ID Lock","")</f>
        <v/>
      </c>
      <c r="R277" s="13" t="str">
        <f>IF(MacReports!M277="Remote Lock","Remote Locked","")</f>
        <v/>
      </c>
      <c r="S277" t="str">
        <f t="shared" si="9"/>
        <v>Battery Defect, 0</v>
      </c>
      <c r="T277" t="str">
        <f>_xlfn.XLOOKUP(B277,Disk_Pivot!G:G,Disk_Pivot!I:I)</f>
        <v>Yes x2</v>
      </c>
      <c r="U277" t="str">
        <f>_xlfn.XLOOKUP(B277,Disk_Pivot!G:G,Disk_Pivot!N:N)</f>
        <v>Pass, Fail</v>
      </c>
      <c r="V277" t="str">
        <f>IF(U277="Fail",MacReports!O277,"")</f>
        <v/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MacReports!D278</f>
        <v>0</v>
      </c>
      <c r="D278" t="str">
        <f>MacReports!C278&amp;""</f>
        <v/>
      </c>
      <c r="E278" t="e">
        <f>_xlfn.XLOOKUP(G278,Models!A:A,Models!F:F)</f>
        <v>#N/A</v>
      </c>
      <c r="F278" t="str">
        <f>_xlfn.XLOOKUP(B278,MacReports!B:B,MacReports!E:E,"")</f>
        <v/>
      </c>
      <c r="G278" s="13">
        <f>MacReports!F278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MacReports!G278</f>
        <v>0</v>
      </c>
      <c r="L278">
        <f>MacReports!H278</f>
        <v>0</v>
      </c>
      <c r="M278" s="15" t="e" cm="1">
        <f t="array" ref="M278">--_xlfn.LET(
    _xlpm.txt, MacReports!I278,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--MacReports!N278&lt;55,"Battery Defect",
  -- MacReports!N278&lt;=69,"Battery D",
  --MacReports!N278&lt;=80,"Battery C",
 --MacReports!N278&gt;80,""
)</f>
        <v>Battery Defect</v>
      </c>
      <c r="O278" s="16" t="str">
        <f>IF(MacReports!J278="Service","Battery Service","")</f>
        <v/>
      </c>
      <c r="P278" s="13">
        <f>MacReports!Q278</f>
        <v>0</v>
      </c>
      <c r="Q278" s="13" t="str">
        <f>IF(MacReports!K278="Enabled","Apple ID Lock","")</f>
        <v/>
      </c>
      <c r="R278" s="13" t="str">
        <f>IF(MacReports!M278="Remote Lock","Remote Locked","")</f>
        <v/>
      </c>
      <c r="S278" t="str">
        <f t="shared" si="9"/>
        <v>Battery Defect, 0</v>
      </c>
      <c r="T278" t="str">
        <f>_xlfn.XLOOKUP(B278,Disk_Pivot!G:G,Disk_Pivot!I:I)</f>
        <v>Yes x2</v>
      </c>
      <c r="U278" t="str">
        <f>_xlfn.XLOOKUP(B278,Disk_Pivot!G:G,Disk_Pivot!N:N)</f>
        <v>Pass, Fail</v>
      </c>
      <c r="V278" t="str">
        <f>IF(U278="Fail",MacReports!O278,"")</f>
        <v/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MacReports!D279</f>
        <v>0</v>
      </c>
      <c r="D279" t="str">
        <f>MacReports!C279&amp;""</f>
        <v/>
      </c>
      <c r="E279" t="e">
        <f>_xlfn.XLOOKUP(G279,Models!A:A,Models!F:F)</f>
        <v>#N/A</v>
      </c>
      <c r="F279" t="str">
        <f>_xlfn.XLOOKUP(B279,MacReports!B:B,MacReports!E:E,"")</f>
        <v/>
      </c>
      <c r="G279" s="13">
        <f>MacReports!F279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MacReports!G279</f>
        <v>0</v>
      </c>
      <c r="L279">
        <f>MacReports!H279</f>
        <v>0</v>
      </c>
      <c r="M279" s="15" t="e" cm="1">
        <f t="array" ref="M279">--_xlfn.LET(
    _xlpm.txt, MacReports!I279,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--MacReports!N279&lt;55,"Battery Defect",
  -- MacReports!N279&lt;=69,"Battery D",
  --MacReports!N279&lt;=80,"Battery C",
 --MacReports!N279&gt;80,""
)</f>
        <v>Battery Defect</v>
      </c>
      <c r="O279" s="16" t="str">
        <f>IF(MacReports!J279="Service","Battery Service","")</f>
        <v/>
      </c>
      <c r="P279" s="13">
        <f>MacReports!Q279</f>
        <v>0</v>
      </c>
      <c r="Q279" s="13" t="str">
        <f>IF(MacReports!K279="Enabled","Apple ID Lock","")</f>
        <v/>
      </c>
      <c r="R279" s="13" t="str">
        <f>IF(MacReports!M279="Remote Lock","Remote Locked","")</f>
        <v/>
      </c>
      <c r="S279" t="str">
        <f t="shared" si="9"/>
        <v>Battery Defect, 0</v>
      </c>
      <c r="T279" t="str">
        <f>_xlfn.XLOOKUP(B279,Disk_Pivot!G:G,Disk_Pivot!I:I)</f>
        <v>Yes x2</v>
      </c>
      <c r="U279" t="str">
        <f>_xlfn.XLOOKUP(B279,Disk_Pivot!G:G,Disk_Pivot!N:N)</f>
        <v>Pass, Fail</v>
      </c>
      <c r="V279" t="str">
        <f>IF(U279="Fail",MacReports!O279,"")</f>
        <v/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MacReports!D280</f>
        <v>0</v>
      </c>
      <c r="D280" t="str">
        <f>MacReports!C280&amp;""</f>
        <v/>
      </c>
      <c r="E280" t="e">
        <f>_xlfn.XLOOKUP(G280,Models!A:A,Models!F:F)</f>
        <v>#N/A</v>
      </c>
      <c r="F280" t="str">
        <f>_xlfn.XLOOKUP(B280,MacReports!B:B,MacReports!E:E,"")</f>
        <v/>
      </c>
      <c r="G280" s="13">
        <f>MacReports!F280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MacReports!G280</f>
        <v>0</v>
      </c>
      <c r="L280">
        <f>MacReports!H280</f>
        <v>0</v>
      </c>
      <c r="M280" s="15" t="e" cm="1">
        <f t="array" ref="M280">--_xlfn.LET(
    _xlpm.txt, MacReports!I280,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--MacReports!N280&lt;55,"Battery Defect",
  -- MacReports!N280&lt;=69,"Battery D",
  --MacReports!N280&lt;=80,"Battery C",
 --MacReports!N280&gt;80,""
)</f>
        <v>Battery Defect</v>
      </c>
      <c r="O280" s="16" t="str">
        <f>IF(MacReports!J280="Service","Battery Service","")</f>
        <v/>
      </c>
      <c r="P280" s="13">
        <f>MacReports!Q280</f>
        <v>0</v>
      </c>
      <c r="Q280" s="13" t="str">
        <f>IF(MacReports!K280="Enabled","Apple ID Lock","")</f>
        <v/>
      </c>
      <c r="R280" s="13" t="str">
        <f>IF(MacReports!M280="Remote Lock","Remote Locked","")</f>
        <v/>
      </c>
      <c r="S280" t="str">
        <f t="shared" si="9"/>
        <v>Battery Defect, 0</v>
      </c>
      <c r="T280" t="str">
        <f>_xlfn.XLOOKUP(B280,Disk_Pivot!G:G,Disk_Pivot!I:I)</f>
        <v>Yes x2</v>
      </c>
      <c r="U280" t="str">
        <f>_xlfn.XLOOKUP(B280,Disk_Pivot!G:G,Disk_Pivot!N:N)</f>
        <v>Pass, Fail</v>
      </c>
      <c r="V280" t="str">
        <f>IF(U280="Fail",MacReports!O280,"")</f>
        <v/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MacReports!D281</f>
        <v>0</v>
      </c>
      <c r="D281" t="str">
        <f>MacReports!C281&amp;""</f>
        <v/>
      </c>
      <c r="E281" t="e">
        <f>_xlfn.XLOOKUP(G281,Models!A:A,Models!F:F)</f>
        <v>#N/A</v>
      </c>
      <c r="F281" t="str">
        <f>_xlfn.XLOOKUP(B281,MacReports!B:B,MacReports!E:E,"")</f>
        <v/>
      </c>
      <c r="G281" s="13">
        <f>MacReports!F281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MacReports!G281</f>
        <v>0</v>
      </c>
      <c r="L281">
        <f>MacReports!H281</f>
        <v>0</v>
      </c>
      <c r="M281" s="15" t="e" cm="1">
        <f t="array" ref="M281">--_xlfn.LET(
    _xlpm.txt, MacReports!I281,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--MacReports!N281&lt;55,"Battery Defect",
  -- MacReports!N281&lt;=69,"Battery D",
  --MacReports!N281&lt;=80,"Battery C",
 --MacReports!N281&gt;80,""
)</f>
        <v>Battery Defect</v>
      </c>
      <c r="O281" s="16" t="str">
        <f>IF(MacReports!J281="Service","Battery Service","")</f>
        <v/>
      </c>
      <c r="P281" s="13">
        <f>MacReports!Q281</f>
        <v>0</v>
      </c>
      <c r="Q281" s="13" t="str">
        <f>IF(MacReports!K281="Enabled","Apple ID Lock","")</f>
        <v/>
      </c>
      <c r="R281" s="13" t="str">
        <f>IF(MacReports!M281="Remote Lock","Remote Locked","")</f>
        <v/>
      </c>
      <c r="S281" t="str">
        <f t="shared" si="9"/>
        <v>Battery Defect, 0</v>
      </c>
      <c r="T281" t="str">
        <f>_xlfn.XLOOKUP(B281,Disk_Pivot!G:G,Disk_Pivot!I:I)</f>
        <v>Yes x2</v>
      </c>
      <c r="U281" t="str">
        <f>_xlfn.XLOOKUP(B281,Disk_Pivot!G:G,Disk_Pivot!N:N)</f>
        <v>Pass, Fail</v>
      </c>
      <c r="V281" t="str">
        <f>IF(U281="Fail",MacReports!O281,"")</f>
        <v/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MacReports!D282</f>
        <v>0</v>
      </c>
      <c r="D282" t="str">
        <f>MacReports!C282&amp;""</f>
        <v/>
      </c>
      <c r="E282" t="e">
        <f>_xlfn.XLOOKUP(G282,Models!A:A,Models!F:F)</f>
        <v>#N/A</v>
      </c>
      <c r="F282" t="str">
        <f>_xlfn.XLOOKUP(B282,MacReports!B:B,MacReports!E:E,"")</f>
        <v/>
      </c>
      <c r="G282" s="13">
        <f>MacReports!F282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MacReports!G282</f>
        <v>0</v>
      </c>
      <c r="L282">
        <f>MacReports!H282</f>
        <v>0</v>
      </c>
      <c r="M282" s="15" t="e" cm="1">
        <f t="array" ref="M282">--_xlfn.LET(
    _xlpm.txt, MacReports!I282,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--MacReports!N282&lt;55,"Battery Defect",
  -- MacReports!N282&lt;=69,"Battery D",
  --MacReports!N282&lt;=80,"Battery C",
 --MacReports!N282&gt;80,""
)</f>
        <v>Battery Defect</v>
      </c>
      <c r="O282" s="16" t="str">
        <f>IF(MacReports!J282="Service","Battery Service","")</f>
        <v/>
      </c>
      <c r="P282" s="13">
        <f>MacReports!Q282</f>
        <v>0</v>
      </c>
      <c r="Q282" s="13" t="str">
        <f>IF(MacReports!K282="Enabled","Apple ID Lock","")</f>
        <v/>
      </c>
      <c r="R282" s="13" t="str">
        <f>IF(MacReports!M282="Remote Lock","Remote Locked","")</f>
        <v/>
      </c>
      <c r="S282" t="str">
        <f t="shared" si="9"/>
        <v>Battery Defect, 0</v>
      </c>
      <c r="T282" t="str">
        <f>_xlfn.XLOOKUP(B282,Disk_Pivot!G:G,Disk_Pivot!I:I)</f>
        <v>Yes x2</v>
      </c>
      <c r="U282" t="str">
        <f>_xlfn.XLOOKUP(B282,Disk_Pivot!G:G,Disk_Pivot!N:N)</f>
        <v>Pass, Fail</v>
      </c>
      <c r="V282" t="str">
        <f>IF(U282="Fail",MacReports!O282,"")</f>
        <v/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MacReports!D283</f>
        <v>0</v>
      </c>
      <c r="D283" t="str">
        <f>MacReports!C283&amp;""</f>
        <v/>
      </c>
      <c r="E283" t="e">
        <f>_xlfn.XLOOKUP(G283,Models!A:A,Models!F:F)</f>
        <v>#N/A</v>
      </c>
      <c r="F283" t="str">
        <f>_xlfn.XLOOKUP(B283,MacReports!B:B,MacReports!E:E,"")</f>
        <v/>
      </c>
      <c r="G283" s="13">
        <f>MacReports!F283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MacReports!G283</f>
        <v>0</v>
      </c>
      <c r="L283">
        <f>MacReports!H283</f>
        <v>0</v>
      </c>
      <c r="M283" s="15" t="e" cm="1">
        <f t="array" ref="M283">--_xlfn.LET(
    _xlpm.txt, MacReports!I283,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--MacReports!N283&lt;55,"Battery Defect",
  -- MacReports!N283&lt;=69,"Battery D",
  --MacReports!N283&lt;=80,"Battery C",
 --MacReports!N283&gt;80,""
)</f>
        <v>Battery Defect</v>
      </c>
      <c r="O283" s="16" t="str">
        <f>IF(MacReports!J283="Service","Battery Service","")</f>
        <v/>
      </c>
      <c r="P283" s="13">
        <f>MacReports!Q283</f>
        <v>0</v>
      </c>
      <c r="Q283" s="13" t="str">
        <f>IF(MacReports!K283="Enabled","Apple ID Lock","")</f>
        <v/>
      </c>
      <c r="R283" s="13" t="str">
        <f>IF(MacReports!M283="Remote Lock","Remote Locked","")</f>
        <v/>
      </c>
      <c r="S283" t="str">
        <f t="shared" si="9"/>
        <v>Battery Defect, 0</v>
      </c>
      <c r="T283" t="str">
        <f>_xlfn.XLOOKUP(B283,Disk_Pivot!G:G,Disk_Pivot!I:I)</f>
        <v>Yes x2</v>
      </c>
      <c r="U283" t="str">
        <f>_xlfn.XLOOKUP(B283,Disk_Pivot!G:G,Disk_Pivot!N:N)</f>
        <v>Pass, Fail</v>
      </c>
      <c r="V283" t="str">
        <f>IF(U283="Fail",MacReports!O283,"")</f>
        <v/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MacReports!D284</f>
        <v>0</v>
      </c>
      <c r="D284" t="str">
        <f>MacReports!C284&amp;""</f>
        <v/>
      </c>
      <c r="E284" t="e">
        <f>_xlfn.XLOOKUP(G284,Models!A:A,Models!F:F)</f>
        <v>#N/A</v>
      </c>
      <c r="F284" t="str">
        <f>_xlfn.XLOOKUP(B284,MacReports!B:B,MacReports!E:E,"")</f>
        <v/>
      </c>
      <c r="G284" s="13">
        <f>MacReports!F284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MacReports!G284</f>
        <v>0</v>
      </c>
      <c r="L284">
        <f>MacReports!H284</f>
        <v>0</v>
      </c>
      <c r="M284" s="15" t="e" cm="1">
        <f t="array" ref="M284">--_xlfn.LET(
    _xlpm.txt, MacReports!I284,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--MacReports!N284&lt;55,"Battery Defect",
  -- MacReports!N284&lt;=69,"Battery D",
  --MacReports!N284&lt;=80,"Battery C",
 --MacReports!N284&gt;80,""
)</f>
        <v>Battery Defect</v>
      </c>
      <c r="O284" s="16" t="str">
        <f>IF(MacReports!J284="Service","Battery Service","")</f>
        <v/>
      </c>
      <c r="P284" s="13">
        <f>MacReports!Q284</f>
        <v>0</v>
      </c>
      <c r="Q284" s="13" t="str">
        <f>IF(MacReports!K284="Enabled","Apple ID Lock","")</f>
        <v/>
      </c>
      <c r="R284" s="13" t="str">
        <f>IF(MacReports!M284="Remote Lock","Remote Locked","")</f>
        <v/>
      </c>
      <c r="S284" t="str">
        <f t="shared" si="9"/>
        <v>Battery Defect, 0</v>
      </c>
      <c r="T284" t="str">
        <f>_xlfn.XLOOKUP(B284,Disk_Pivot!G:G,Disk_Pivot!I:I)</f>
        <v>Yes x2</v>
      </c>
      <c r="U284" t="str">
        <f>_xlfn.XLOOKUP(B284,Disk_Pivot!G:G,Disk_Pivot!N:N)</f>
        <v>Pass, Fail</v>
      </c>
      <c r="V284" t="str">
        <f>IF(U284="Fail",MacReports!O284,"")</f>
        <v/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MacReports!D285</f>
        <v>0</v>
      </c>
      <c r="D285" t="str">
        <f>MacReports!C285&amp;""</f>
        <v/>
      </c>
      <c r="E285" t="e">
        <f>_xlfn.XLOOKUP(G285,Models!A:A,Models!F:F)</f>
        <v>#N/A</v>
      </c>
      <c r="F285" t="str">
        <f>_xlfn.XLOOKUP(B285,MacReports!B:B,MacReports!E:E,"")</f>
        <v/>
      </c>
      <c r="G285" s="13">
        <f>MacReports!F285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MacReports!G285</f>
        <v>0</v>
      </c>
      <c r="L285">
        <f>MacReports!H285</f>
        <v>0</v>
      </c>
      <c r="M285" s="15" t="e" cm="1">
        <f t="array" ref="M285">--_xlfn.LET(
    _xlpm.txt, MacReports!I285,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--MacReports!N285&lt;55,"Battery Defect",
  -- MacReports!N285&lt;=69,"Battery D",
  --MacReports!N285&lt;=80,"Battery C",
 --MacReports!N285&gt;80,""
)</f>
        <v>Battery Defect</v>
      </c>
      <c r="O285" s="16" t="str">
        <f>IF(MacReports!J285="Service","Battery Service","")</f>
        <v/>
      </c>
      <c r="P285" s="13">
        <f>MacReports!Q285</f>
        <v>0</v>
      </c>
      <c r="Q285" s="13" t="str">
        <f>IF(MacReports!K285="Enabled","Apple ID Lock","")</f>
        <v/>
      </c>
      <c r="R285" s="13" t="str">
        <f>IF(MacReports!M285="Remote Lock","Remote Locked","")</f>
        <v/>
      </c>
      <c r="S285" t="str">
        <f t="shared" si="9"/>
        <v>Battery Defect, 0</v>
      </c>
      <c r="T285" t="str">
        <f>_xlfn.XLOOKUP(B285,Disk_Pivot!G:G,Disk_Pivot!I:I)</f>
        <v>Yes x2</v>
      </c>
      <c r="U285" t="str">
        <f>_xlfn.XLOOKUP(B285,Disk_Pivot!G:G,Disk_Pivot!N:N)</f>
        <v>Pass, Fail</v>
      </c>
      <c r="V285" t="str">
        <f>IF(U285="Fail",MacReports!O285,"")</f>
        <v/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MacReports!D286</f>
        <v>0</v>
      </c>
      <c r="D286" t="str">
        <f>MacReports!C286&amp;""</f>
        <v/>
      </c>
      <c r="E286" t="e">
        <f>_xlfn.XLOOKUP(G286,Models!A:A,Models!F:F)</f>
        <v>#N/A</v>
      </c>
      <c r="F286" t="str">
        <f>_xlfn.XLOOKUP(B286,MacReports!B:B,MacReports!E:E,"")</f>
        <v/>
      </c>
      <c r="G286" s="13">
        <f>MacReports!F286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MacReports!G286</f>
        <v>0</v>
      </c>
      <c r="L286">
        <f>MacReports!H286</f>
        <v>0</v>
      </c>
      <c r="M286" s="15" t="e" cm="1">
        <f t="array" ref="M286">--_xlfn.LET(
    _xlpm.txt, MacReports!I286,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--MacReports!N286&lt;55,"Battery Defect",
  -- MacReports!N286&lt;=69,"Battery D",
  --MacReports!N286&lt;=80,"Battery C",
 --MacReports!N286&gt;80,""
)</f>
        <v>Battery Defect</v>
      </c>
      <c r="O286" s="16" t="str">
        <f>IF(MacReports!J286="Service","Battery Service","")</f>
        <v/>
      </c>
      <c r="P286" s="13">
        <f>MacReports!Q286</f>
        <v>0</v>
      </c>
      <c r="Q286" s="13" t="str">
        <f>IF(MacReports!K286="Enabled","Apple ID Lock","")</f>
        <v/>
      </c>
      <c r="R286" s="13" t="str">
        <f>IF(MacReports!M286="Remote Lock","Remote Locked","")</f>
        <v/>
      </c>
      <c r="S286" t="str">
        <f t="shared" si="9"/>
        <v>Battery Defect, 0</v>
      </c>
      <c r="T286" t="str">
        <f>_xlfn.XLOOKUP(B286,Disk_Pivot!G:G,Disk_Pivot!I:I)</f>
        <v>Yes x2</v>
      </c>
      <c r="U286" t="str">
        <f>_xlfn.XLOOKUP(B286,Disk_Pivot!G:G,Disk_Pivot!N:N)</f>
        <v>Pass, Fail</v>
      </c>
      <c r="V286" t="str">
        <f>IF(U286="Fail",MacReports!O286,"")</f>
        <v/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MacReports!D287</f>
        <v>0</v>
      </c>
      <c r="D287" t="str">
        <f>MacReports!C287&amp;""</f>
        <v/>
      </c>
      <c r="E287" t="e">
        <f>_xlfn.XLOOKUP(G287,Models!A:A,Models!F:F)</f>
        <v>#N/A</v>
      </c>
      <c r="F287" t="str">
        <f>_xlfn.XLOOKUP(B287,MacReports!B:B,MacReports!E:E,"")</f>
        <v/>
      </c>
      <c r="G287" s="13">
        <f>MacReports!F287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MacReports!G287</f>
        <v>0</v>
      </c>
      <c r="L287">
        <f>MacReports!H287</f>
        <v>0</v>
      </c>
      <c r="M287" s="15" t="e" cm="1">
        <f t="array" ref="M287">--_xlfn.LET(
    _xlpm.txt, MacReports!I287,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--MacReports!N287&lt;55,"Battery Defect",
  -- MacReports!N287&lt;=69,"Battery D",
  --MacReports!N287&lt;=80,"Battery C",
 --MacReports!N287&gt;80,""
)</f>
        <v>Battery Defect</v>
      </c>
      <c r="O287" s="16" t="str">
        <f>IF(MacReports!J287="Service","Battery Service","")</f>
        <v/>
      </c>
      <c r="P287" s="13">
        <f>MacReports!Q287</f>
        <v>0</v>
      </c>
      <c r="Q287" s="13" t="str">
        <f>IF(MacReports!K287="Enabled","Apple ID Lock","")</f>
        <v/>
      </c>
      <c r="R287" s="13" t="str">
        <f>IF(MacReports!M287="Remote Lock","Remote Locked","")</f>
        <v/>
      </c>
      <c r="S287" t="str">
        <f t="shared" si="9"/>
        <v>Battery Defect, 0</v>
      </c>
      <c r="T287" t="str">
        <f>_xlfn.XLOOKUP(B287,Disk_Pivot!G:G,Disk_Pivot!I:I)</f>
        <v>Yes x2</v>
      </c>
      <c r="U287" t="str">
        <f>_xlfn.XLOOKUP(B287,Disk_Pivot!G:G,Disk_Pivot!N:N)</f>
        <v>Pass, Fail</v>
      </c>
      <c r="V287" t="str">
        <f>IF(U287="Fail",MacReports!O287,"")</f>
        <v/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MacReports!D288</f>
        <v>0</v>
      </c>
      <c r="D288" t="str">
        <f>MacReports!C288&amp;""</f>
        <v/>
      </c>
      <c r="E288" t="e">
        <f>_xlfn.XLOOKUP(G288,Models!A:A,Models!F:F)</f>
        <v>#N/A</v>
      </c>
      <c r="F288" t="str">
        <f>_xlfn.XLOOKUP(B288,MacReports!B:B,MacReports!E:E,"")</f>
        <v/>
      </c>
      <c r="G288" s="13">
        <f>MacReports!F288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MacReports!G288</f>
        <v>0</v>
      </c>
      <c r="L288">
        <f>MacReports!H288</f>
        <v>0</v>
      </c>
      <c r="M288" s="15" t="e" cm="1">
        <f t="array" ref="M288">--_xlfn.LET(
    _xlpm.txt, MacReports!I288,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--MacReports!N288&lt;55,"Battery Defect",
  -- MacReports!N288&lt;=69,"Battery D",
  --MacReports!N288&lt;=80,"Battery C",
 --MacReports!N288&gt;80,""
)</f>
        <v>Battery Defect</v>
      </c>
      <c r="O288" s="16" t="str">
        <f>IF(MacReports!J288="Service","Battery Service","")</f>
        <v/>
      </c>
      <c r="P288" s="13">
        <f>MacReports!Q288</f>
        <v>0</v>
      </c>
      <c r="Q288" s="13" t="str">
        <f>IF(MacReports!K288="Enabled","Apple ID Lock","")</f>
        <v/>
      </c>
      <c r="R288" s="13" t="str">
        <f>IF(MacReports!M288="Remote Lock","Remote Locked","")</f>
        <v/>
      </c>
      <c r="S288" t="str">
        <f t="shared" si="9"/>
        <v>Battery Defect, 0</v>
      </c>
      <c r="T288" t="str">
        <f>_xlfn.XLOOKUP(B288,Disk_Pivot!G:G,Disk_Pivot!I:I)</f>
        <v>Yes x2</v>
      </c>
      <c r="U288" t="str">
        <f>_xlfn.XLOOKUP(B288,Disk_Pivot!G:G,Disk_Pivot!N:N)</f>
        <v>Pass, Fail</v>
      </c>
      <c r="V288" t="str">
        <f>IF(U288="Fail",MacReports!O288,"")</f>
        <v/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MacReports!D289</f>
        <v>0</v>
      </c>
      <c r="D289" t="str">
        <f>MacReports!C289&amp;""</f>
        <v/>
      </c>
      <c r="E289" t="e">
        <f>_xlfn.XLOOKUP(G289,Models!A:A,Models!F:F)</f>
        <v>#N/A</v>
      </c>
      <c r="F289" t="str">
        <f>_xlfn.XLOOKUP(B289,MacReports!B:B,MacReports!E:E,"")</f>
        <v/>
      </c>
      <c r="G289" s="13">
        <f>MacReports!F289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MacReports!G289</f>
        <v>0</v>
      </c>
      <c r="L289">
        <f>MacReports!H289</f>
        <v>0</v>
      </c>
      <c r="M289" s="15" t="e" cm="1">
        <f t="array" ref="M289">--_xlfn.LET(
    _xlpm.txt, MacReports!I289,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--MacReports!N289&lt;55,"Battery Defect",
  -- MacReports!N289&lt;=69,"Battery D",
  --MacReports!N289&lt;=80,"Battery C",
 --MacReports!N289&gt;80,""
)</f>
        <v>Battery Defect</v>
      </c>
      <c r="O289" s="16" t="str">
        <f>IF(MacReports!J289="Service","Battery Service","")</f>
        <v/>
      </c>
      <c r="P289" s="13">
        <f>MacReports!Q289</f>
        <v>0</v>
      </c>
      <c r="Q289" s="13" t="str">
        <f>IF(MacReports!K289="Enabled","Apple ID Lock","")</f>
        <v/>
      </c>
      <c r="R289" s="13" t="str">
        <f>IF(MacReports!M289="Remote Lock","Remote Locked","")</f>
        <v/>
      </c>
      <c r="S289" t="str">
        <f t="shared" si="9"/>
        <v>Battery Defect, 0</v>
      </c>
      <c r="T289" t="str">
        <f>_xlfn.XLOOKUP(B289,Disk_Pivot!G:G,Disk_Pivot!I:I)</f>
        <v>Yes x2</v>
      </c>
      <c r="U289" t="str">
        <f>_xlfn.XLOOKUP(B289,Disk_Pivot!G:G,Disk_Pivot!N:N)</f>
        <v>Pass, Fail</v>
      </c>
      <c r="V289" t="str">
        <f>IF(U289="Fail",MacReports!O289,"")</f>
        <v/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MacReports!D290</f>
        <v>0</v>
      </c>
      <c r="D290" t="str">
        <f>MacReports!C290&amp;""</f>
        <v/>
      </c>
      <c r="E290" t="e">
        <f>_xlfn.XLOOKUP(G290,Models!A:A,Models!F:F)</f>
        <v>#N/A</v>
      </c>
      <c r="F290" t="str">
        <f>_xlfn.XLOOKUP(B290,MacReports!B:B,MacReports!E:E,"")</f>
        <v/>
      </c>
      <c r="G290" s="13">
        <f>MacReports!F290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MacReports!G290</f>
        <v>0</v>
      </c>
      <c r="L290">
        <f>MacReports!H290</f>
        <v>0</v>
      </c>
      <c r="M290" s="15" t="e" cm="1">
        <f t="array" ref="M290">--_xlfn.LET(
    _xlpm.txt, MacReports!I290,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--MacReports!N290&lt;55,"Battery Defect",
  -- MacReports!N290&lt;=69,"Battery D",
  --MacReports!N290&lt;=80,"Battery C",
 --MacReports!N290&gt;80,""
)</f>
        <v>Battery Defect</v>
      </c>
      <c r="O290" s="16" t="str">
        <f>IF(MacReports!J290="Service","Battery Service","")</f>
        <v/>
      </c>
      <c r="P290" s="13">
        <f>MacReports!Q290</f>
        <v>0</v>
      </c>
      <c r="Q290" s="13" t="str">
        <f>IF(MacReports!K290="Enabled","Apple ID Lock","")</f>
        <v/>
      </c>
      <c r="R290" s="13" t="str">
        <f>IF(MacReports!M290="Remote Lock","Remote Locked","")</f>
        <v/>
      </c>
      <c r="S290" t="str">
        <f t="shared" si="9"/>
        <v>Battery Defect, 0</v>
      </c>
      <c r="T290" t="str">
        <f>_xlfn.XLOOKUP(B290,Disk_Pivot!G:G,Disk_Pivot!I:I)</f>
        <v>Yes x2</v>
      </c>
      <c r="U290" t="str">
        <f>_xlfn.XLOOKUP(B290,Disk_Pivot!G:G,Disk_Pivot!N:N)</f>
        <v>Pass, Fail</v>
      </c>
      <c r="V290" t="str">
        <f>IF(U290="Fail",MacReports!O290,"")</f>
        <v/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MacReports!D291</f>
        <v>0</v>
      </c>
      <c r="D291" t="str">
        <f>MacReports!C291&amp;""</f>
        <v/>
      </c>
      <c r="E291" t="e">
        <f>_xlfn.XLOOKUP(G291,Models!A:A,Models!F:F)</f>
        <v>#N/A</v>
      </c>
      <c r="F291" t="str">
        <f>_xlfn.XLOOKUP(B291,MacReports!B:B,MacReports!E:E,"")</f>
        <v/>
      </c>
      <c r="G291" s="13">
        <f>MacReports!F291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MacReports!G291</f>
        <v>0</v>
      </c>
      <c r="L291">
        <f>MacReports!H291</f>
        <v>0</v>
      </c>
      <c r="M291" s="15" t="e" cm="1">
        <f t="array" ref="M291">--_xlfn.LET(
    _xlpm.txt, MacReports!I291,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--MacReports!N291&lt;55,"Battery Defect",
  -- MacReports!N291&lt;=69,"Battery D",
  --MacReports!N291&lt;=80,"Battery C",
 --MacReports!N291&gt;80,""
)</f>
        <v>Battery Defect</v>
      </c>
      <c r="O291" s="16" t="str">
        <f>IF(MacReports!J291="Service","Battery Service","")</f>
        <v/>
      </c>
      <c r="P291" s="13">
        <f>MacReports!Q291</f>
        <v>0</v>
      </c>
      <c r="Q291" s="13" t="str">
        <f>IF(MacReports!K291="Enabled","Apple ID Lock","")</f>
        <v/>
      </c>
      <c r="R291" s="13" t="str">
        <f>IF(MacReports!M291="Remote Lock","Remote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Yes x2</v>
      </c>
      <c r="U291" t="str">
        <f>_xlfn.XLOOKUP(B291,Disk_Pivot!G:G,Disk_Pivot!N:N)</f>
        <v>Pass, Fail</v>
      </c>
      <c r="V291" t="str">
        <f>IF(U291="Fail",MacReports!O291,"")</f>
        <v/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MacReports!D292</f>
        <v>0</v>
      </c>
      <c r="D292" t="str">
        <f>MacReports!C292&amp;""</f>
        <v/>
      </c>
      <c r="E292" t="e">
        <f>_xlfn.XLOOKUP(G292,Models!A:A,Models!F:F)</f>
        <v>#N/A</v>
      </c>
      <c r="F292" t="str">
        <f>_xlfn.XLOOKUP(B292,MacReports!B:B,MacReports!E:E,"")</f>
        <v/>
      </c>
      <c r="G292" s="13">
        <f>MacReports!F292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MacReports!G292</f>
        <v>0</v>
      </c>
      <c r="L292">
        <f>MacReports!H292</f>
        <v>0</v>
      </c>
      <c r="M292" s="15" t="e" cm="1">
        <f t="array" ref="M292">--_xlfn.LET(
    _xlpm.txt, MacReports!I292,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--MacReports!N292&lt;55,"Battery Defect",
  -- MacReports!N292&lt;=69,"Battery D",
  --MacReports!N292&lt;=80,"Battery C",
 --MacReports!N292&gt;80,""
)</f>
        <v>Battery Defect</v>
      </c>
      <c r="O292" s="16" t="str">
        <f>IF(MacReports!J292="Service","Battery Service","")</f>
        <v/>
      </c>
      <c r="P292" s="13">
        <f>MacReports!Q292</f>
        <v>0</v>
      </c>
      <c r="Q292" s="13" t="str">
        <f>IF(MacReports!K292="Enabled","Apple ID Lock","")</f>
        <v/>
      </c>
      <c r="R292" s="13" t="str">
        <f>IF(MacReports!M292="Remote Lock","Remote Locked","")</f>
        <v/>
      </c>
      <c r="S292" t="str">
        <f t="shared" si="11"/>
        <v>Battery Defect, 0</v>
      </c>
      <c r="T292" t="str">
        <f>_xlfn.XLOOKUP(B292,Disk_Pivot!G:G,Disk_Pivot!I:I)</f>
        <v>Yes x2</v>
      </c>
      <c r="U292" t="str">
        <f>_xlfn.XLOOKUP(B292,Disk_Pivot!G:G,Disk_Pivot!N:N)</f>
        <v>Pass, Fail</v>
      </c>
      <c r="V292" t="str">
        <f>IF(U292="Fail",MacReports!O292,"")</f>
        <v/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MacReports!D293</f>
        <v>0</v>
      </c>
      <c r="D293" t="str">
        <f>MacReports!C293&amp;""</f>
        <v/>
      </c>
      <c r="E293" t="e">
        <f>_xlfn.XLOOKUP(G293,Models!A:A,Models!F:F)</f>
        <v>#N/A</v>
      </c>
      <c r="F293" t="str">
        <f>_xlfn.XLOOKUP(B293,MacReports!B:B,MacReports!E:E,"")</f>
        <v/>
      </c>
      <c r="G293" s="13">
        <f>MacReports!F293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MacReports!G293</f>
        <v>0</v>
      </c>
      <c r="L293">
        <f>MacReports!H293</f>
        <v>0</v>
      </c>
      <c r="M293" s="15" t="e" cm="1">
        <f t="array" ref="M293">--_xlfn.LET(
    _xlpm.txt, MacReports!I293,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--MacReports!N293&lt;55,"Battery Defect",
  -- MacReports!N293&lt;=69,"Battery D",
  --MacReports!N293&lt;=80,"Battery C",
 --MacReports!N293&gt;80,""
)</f>
        <v>Battery Defect</v>
      </c>
      <c r="O293" s="16" t="str">
        <f>IF(MacReports!J293="Service","Battery Service","")</f>
        <v/>
      </c>
      <c r="P293" s="13">
        <f>MacReports!Q293</f>
        <v>0</v>
      </c>
      <c r="Q293" s="13" t="str">
        <f>IF(MacReports!K293="Enabled","Apple ID Lock","")</f>
        <v/>
      </c>
      <c r="R293" s="13" t="str">
        <f>IF(MacReports!M293="Remote Lock","Remote Locked","")</f>
        <v/>
      </c>
      <c r="S293" t="str">
        <f t="shared" si="11"/>
        <v>Battery Defect, 0</v>
      </c>
      <c r="T293" t="str">
        <f>_xlfn.XLOOKUP(B293,Disk_Pivot!G:G,Disk_Pivot!I:I)</f>
        <v>Yes x2</v>
      </c>
      <c r="U293" t="str">
        <f>_xlfn.XLOOKUP(B293,Disk_Pivot!G:G,Disk_Pivot!N:N)</f>
        <v>Pass, Fail</v>
      </c>
      <c r="V293" t="str">
        <f>IF(U293="Fail",MacReports!O293,"")</f>
        <v/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MacReports!D294</f>
        <v>0</v>
      </c>
      <c r="D294" t="str">
        <f>MacReports!C294&amp;""</f>
        <v/>
      </c>
      <c r="E294" t="e">
        <f>_xlfn.XLOOKUP(G294,Models!A:A,Models!F:F)</f>
        <v>#N/A</v>
      </c>
      <c r="F294" t="str">
        <f>_xlfn.XLOOKUP(B294,MacReports!B:B,MacReports!E:E,"")</f>
        <v/>
      </c>
      <c r="G294" s="13">
        <f>MacReports!F294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MacReports!G294</f>
        <v>0</v>
      </c>
      <c r="L294">
        <f>MacReports!H294</f>
        <v>0</v>
      </c>
      <c r="M294" s="15" t="e" cm="1">
        <f t="array" ref="M294">--_xlfn.LET(
    _xlpm.txt, MacReports!I294,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--MacReports!N294&lt;55,"Battery Defect",
  -- MacReports!N294&lt;=69,"Battery D",
  --MacReports!N294&lt;=80,"Battery C",
 --MacReports!N294&gt;80,""
)</f>
        <v>Battery Defect</v>
      </c>
      <c r="O294" s="16" t="str">
        <f>IF(MacReports!J294="Service","Battery Service","")</f>
        <v/>
      </c>
      <c r="P294" s="13">
        <f>MacReports!Q294</f>
        <v>0</v>
      </c>
      <c r="Q294" s="13" t="str">
        <f>IF(MacReports!K294="Enabled","Apple ID Lock","")</f>
        <v/>
      </c>
      <c r="R294" s="13" t="str">
        <f>IF(MacReports!M294="Remote Lock","Remote Locked","")</f>
        <v/>
      </c>
      <c r="S294" t="str">
        <f t="shared" si="11"/>
        <v>Battery Defect, 0</v>
      </c>
      <c r="T294" t="str">
        <f>_xlfn.XLOOKUP(B294,Disk_Pivot!G:G,Disk_Pivot!I:I)</f>
        <v>Yes x2</v>
      </c>
      <c r="U294" t="str">
        <f>_xlfn.XLOOKUP(B294,Disk_Pivot!G:G,Disk_Pivot!N:N)</f>
        <v>Pass, Fail</v>
      </c>
      <c r="V294" t="str">
        <f>IF(U294="Fail",MacReports!O294,"")</f>
        <v/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MacReports!D295</f>
        <v>0</v>
      </c>
      <c r="D295" t="str">
        <f>MacReports!C295&amp;""</f>
        <v/>
      </c>
      <c r="E295" t="e">
        <f>_xlfn.XLOOKUP(G295,Models!A:A,Models!F:F)</f>
        <v>#N/A</v>
      </c>
      <c r="F295" t="str">
        <f>_xlfn.XLOOKUP(B295,MacReports!B:B,MacReports!E:E,"")</f>
        <v/>
      </c>
      <c r="G295" s="13">
        <f>MacReports!F295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MacReports!G295</f>
        <v>0</v>
      </c>
      <c r="L295">
        <f>MacReports!H295</f>
        <v>0</v>
      </c>
      <c r="M295" s="15" t="e" cm="1">
        <f t="array" ref="M295">--_xlfn.LET(
    _xlpm.txt, MacReports!I295,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--MacReports!N295&lt;55,"Battery Defect",
  -- MacReports!N295&lt;=69,"Battery D",
  --MacReports!N295&lt;=80,"Battery C",
 --MacReports!N295&gt;80,""
)</f>
        <v>Battery Defect</v>
      </c>
      <c r="O295" s="16" t="str">
        <f>IF(MacReports!J295="Service","Battery Service","")</f>
        <v/>
      </c>
      <c r="P295" s="13">
        <f>MacReports!Q295</f>
        <v>0</v>
      </c>
      <c r="Q295" s="13" t="str">
        <f>IF(MacReports!K295="Enabled","Apple ID Lock","")</f>
        <v/>
      </c>
      <c r="R295" s="13" t="str">
        <f>IF(MacReports!M295="Remote Lock","Remote Locked","")</f>
        <v/>
      </c>
      <c r="S295" t="str">
        <f t="shared" si="11"/>
        <v>Battery Defect, 0</v>
      </c>
      <c r="T295" t="str">
        <f>_xlfn.XLOOKUP(B295,Disk_Pivot!G:G,Disk_Pivot!I:I)</f>
        <v>Yes x2</v>
      </c>
      <c r="U295" t="str">
        <f>_xlfn.XLOOKUP(B295,Disk_Pivot!G:G,Disk_Pivot!N:N)</f>
        <v>Pass, Fail</v>
      </c>
      <c r="V295" t="str">
        <f>IF(U295="Fail",MacReports!O295,"")</f>
        <v/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MacReports!D296</f>
        <v>0</v>
      </c>
      <c r="D296" t="str">
        <f>MacReports!C296&amp;""</f>
        <v/>
      </c>
      <c r="E296" t="e">
        <f>_xlfn.XLOOKUP(G296,Models!A:A,Models!F:F)</f>
        <v>#N/A</v>
      </c>
      <c r="F296" t="str">
        <f>_xlfn.XLOOKUP(B296,MacReports!B:B,MacReports!E:E,"")</f>
        <v/>
      </c>
      <c r="G296" s="13">
        <f>MacReports!F296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MacReports!G296</f>
        <v>0</v>
      </c>
      <c r="L296">
        <f>MacReports!H296</f>
        <v>0</v>
      </c>
      <c r="M296" s="15" t="e" cm="1">
        <f t="array" ref="M296">--_xlfn.LET(
    _xlpm.txt, MacReports!I296,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--MacReports!N296&lt;55,"Battery Defect",
  -- MacReports!N296&lt;=69,"Battery D",
  --MacReports!N296&lt;=80,"Battery C",
 --MacReports!N296&gt;80,""
)</f>
        <v>Battery Defect</v>
      </c>
      <c r="O296" s="16" t="str">
        <f>IF(MacReports!J296="Service","Battery Service","")</f>
        <v/>
      </c>
      <c r="P296" s="13">
        <f>MacReports!Q296</f>
        <v>0</v>
      </c>
      <c r="Q296" s="13" t="str">
        <f>IF(MacReports!K296="Enabled","Apple ID Lock","")</f>
        <v/>
      </c>
      <c r="R296" s="13" t="str">
        <f>IF(MacReports!M296="Remote Lock","Remote Locked","")</f>
        <v/>
      </c>
      <c r="S296" t="str">
        <f t="shared" si="11"/>
        <v>Battery Defect, 0</v>
      </c>
      <c r="T296" t="str">
        <f>_xlfn.XLOOKUP(B296,Disk_Pivot!G:G,Disk_Pivot!I:I)</f>
        <v>Yes x2</v>
      </c>
      <c r="U296" t="str">
        <f>_xlfn.XLOOKUP(B296,Disk_Pivot!G:G,Disk_Pivot!N:N)</f>
        <v>Pass, Fail</v>
      </c>
      <c r="V296" t="str">
        <f>IF(U296="Fail",MacReports!O296,"")</f>
        <v/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MacReports!D297</f>
        <v>0</v>
      </c>
      <c r="D297" t="str">
        <f>MacReports!C297&amp;""</f>
        <v/>
      </c>
      <c r="E297" t="e">
        <f>_xlfn.XLOOKUP(G297,Models!A:A,Models!F:F)</f>
        <v>#N/A</v>
      </c>
      <c r="F297" t="str">
        <f>_xlfn.XLOOKUP(B297,MacReports!B:B,MacReports!E:E,"")</f>
        <v/>
      </c>
      <c r="G297" s="13">
        <f>MacReports!F297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MacReports!G297</f>
        <v>0</v>
      </c>
      <c r="L297">
        <f>MacReports!H297</f>
        <v>0</v>
      </c>
      <c r="M297" s="15" t="e" cm="1">
        <f t="array" ref="M297">--_xlfn.LET(
    _xlpm.txt, MacReports!I297,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--MacReports!N297&lt;55,"Battery Defect",
  -- MacReports!N297&lt;=69,"Battery D",
  --MacReports!N297&lt;=80,"Battery C",
 --MacReports!N297&gt;80,""
)</f>
        <v>Battery Defect</v>
      </c>
      <c r="O297" s="16" t="str">
        <f>IF(MacReports!J297="Service","Battery Service","")</f>
        <v/>
      </c>
      <c r="P297" s="13">
        <f>MacReports!Q297</f>
        <v>0</v>
      </c>
      <c r="Q297" s="13" t="str">
        <f>IF(MacReports!K297="Enabled","Apple ID Lock","")</f>
        <v/>
      </c>
      <c r="R297" s="13" t="str">
        <f>IF(MacReports!M297="Remote Lock","Remote Locked","")</f>
        <v/>
      </c>
      <c r="S297" t="str">
        <f t="shared" si="11"/>
        <v>Battery Defect, 0</v>
      </c>
      <c r="T297" t="str">
        <f>_xlfn.XLOOKUP(B297,Disk_Pivot!G:G,Disk_Pivot!I:I)</f>
        <v>Yes x2</v>
      </c>
      <c r="U297" t="str">
        <f>_xlfn.XLOOKUP(B297,Disk_Pivot!G:G,Disk_Pivot!N:N)</f>
        <v>Pass, Fail</v>
      </c>
      <c r="V297" t="str">
        <f>IF(U297="Fail",MacReports!O297,"")</f>
        <v/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MacReports!D298</f>
        <v>0</v>
      </c>
      <c r="D298" t="str">
        <f>MacReports!C298&amp;""</f>
        <v/>
      </c>
      <c r="E298" t="e">
        <f>_xlfn.XLOOKUP(G298,Models!A:A,Models!F:F)</f>
        <v>#N/A</v>
      </c>
      <c r="F298" t="str">
        <f>_xlfn.XLOOKUP(B298,MacReports!B:B,MacReports!E:E,"")</f>
        <v/>
      </c>
      <c r="G298" s="13">
        <f>MacReports!F298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MacReports!G298</f>
        <v>0</v>
      </c>
      <c r="L298">
        <f>MacReports!H298</f>
        <v>0</v>
      </c>
      <c r="M298" s="15" t="e" cm="1">
        <f t="array" ref="M298">--_xlfn.LET(
    _xlpm.txt, MacReports!I298,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--MacReports!N298&lt;55,"Battery Defect",
  -- MacReports!N298&lt;=69,"Battery D",
  --MacReports!N298&lt;=80,"Battery C",
 --MacReports!N298&gt;80,""
)</f>
        <v>Battery Defect</v>
      </c>
      <c r="O298" s="16" t="str">
        <f>IF(MacReports!J298="Service","Battery Service","")</f>
        <v/>
      </c>
      <c r="P298" s="13">
        <f>MacReports!Q298</f>
        <v>0</v>
      </c>
      <c r="Q298" s="13" t="str">
        <f>IF(MacReports!K298="Enabled","Apple ID Lock","")</f>
        <v/>
      </c>
      <c r="R298" s="13" t="str">
        <f>IF(MacReports!M298="Remote Lock","Remote Locked","")</f>
        <v/>
      </c>
      <c r="S298" t="str">
        <f t="shared" si="11"/>
        <v>Battery Defect, 0</v>
      </c>
      <c r="T298" t="str">
        <f>_xlfn.XLOOKUP(B298,Disk_Pivot!G:G,Disk_Pivot!I:I)</f>
        <v>Yes x2</v>
      </c>
      <c r="U298" t="str">
        <f>_xlfn.XLOOKUP(B298,Disk_Pivot!G:G,Disk_Pivot!N:N)</f>
        <v>Pass, Fail</v>
      </c>
      <c r="V298" t="str">
        <f>IF(U298="Fail",MacReports!O298,"")</f>
        <v/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MacReports!D299</f>
        <v>0</v>
      </c>
      <c r="D299" t="str">
        <f>MacReports!C299&amp;""</f>
        <v/>
      </c>
      <c r="E299" t="e">
        <f>_xlfn.XLOOKUP(G299,Models!A:A,Models!F:F)</f>
        <v>#N/A</v>
      </c>
      <c r="F299" t="str">
        <f>_xlfn.XLOOKUP(B299,MacReports!B:B,MacReports!E:E,"")</f>
        <v/>
      </c>
      <c r="G299" s="13">
        <f>MacReports!F299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MacReports!G299</f>
        <v>0</v>
      </c>
      <c r="L299">
        <f>MacReports!H299</f>
        <v>0</v>
      </c>
      <c r="M299" s="15" t="e" cm="1">
        <f t="array" ref="M299">--_xlfn.LET(
    _xlpm.txt, MacReports!I299,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--MacReports!N299&lt;55,"Battery Defect",
  -- MacReports!N299&lt;=69,"Battery D",
  --MacReports!N299&lt;=80,"Battery C",
 --MacReports!N299&gt;80,""
)</f>
        <v>Battery Defect</v>
      </c>
      <c r="O299" s="16" t="str">
        <f>IF(MacReports!J299="Service","Battery Service","")</f>
        <v/>
      </c>
      <c r="P299" s="13">
        <f>MacReports!Q299</f>
        <v>0</v>
      </c>
      <c r="Q299" s="13" t="str">
        <f>IF(MacReports!K299="Enabled","Apple ID Lock","")</f>
        <v/>
      </c>
      <c r="R299" s="13" t="str">
        <f>IF(MacReports!M299="Remote Lock","Remote Locked","")</f>
        <v/>
      </c>
      <c r="S299" t="str">
        <f t="shared" si="11"/>
        <v>Battery Defect, 0</v>
      </c>
      <c r="T299" t="str">
        <f>_xlfn.XLOOKUP(B299,Disk_Pivot!G:G,Disk_Pivot!I:I)</f>
        <v>Yes x2</v>
      </c>
      <c r="U299" t="str">
        <f>_xlfn.XLOOKUP(B299,Disk_Pivot!G:G,Disk_Pivot!N:N)</f>
        <v>Pass, Fail</v>
      </c>
      <c r="V299" t="str">
        <f>IF(U299="Fail",MacReports!O299,"")</f>
        <v/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MacReports!D300</f>
        <v>0</v>
      </c>
      <c r="D300" t="str">
        <f>MacReports!C300&amp;""</f>
        <v/>
      </c>
      <c r="E300" t="e">
        <f>_xlfn.XLOOKUP(G300,Models!A:A,Models!F:F)</f>
        <v>#N/A</v>
      </c>
      <c r="F300" t="str">
        <f>_xlfn.XLOOKUP(B300,MacReports!B:B,MacReports!E:E,"")</f>
        <v/>
      </c>
      <c r="G300" s="13">
        <f>MacReports!F300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MacReports!G300</f>
        <v>0</v>
      </c>
      <c r="L300">
        <f>MacReports!H300</f>
        <v>0</v>
      </c>
      <c r="M300" s="15" t="e" cm="1">
        <f t="array" ref="M300">--_xlfn.LET(
    _xlpm.txt, MacReports!I300,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--MacReports!N300&lt;55,"Battery Defect",
  -- MacReports!N300&lt;=69,"Battery D",
  --MacReports!N300&lt;=80,"Battery C",
 --MacReports!N300&gt;80,""
)</f>
        <v>Battery Defect</v>
      </c>
      <c r="O300" s="16" t="str">
        <f>IF(MacReports!J300="Service","Battery Service","")</f>
        <v/>
      </c>
      <c r="P300" s="13">
        <f>MacReports!Q300</f>
        <v>0</v>
      </c>
      <c r="Q300" s="13" t="str">
        <f>IF(MacReports!K300="Enabled","Apple ID Lock","")</f>
        <v/>
      </c>
      <c r="R300" s="13" t="str">
        <f>IF(MacReports!M300="Remote Lock","Remote Locked","")</f>
        <v/>
      </c>
      <c r="S300" t="str">
        <f t="shared" si="11"/>
        <v>Battery Defect, 0</v>
      </c>
      <c r="T300" t="str">
        <f>_xlfn.XLOOKUP(B300,Disk_Pivot!G:G,Disk_Pivot!I:I)</f>
        <v>Yes x2</v>
      </c>
      <c r="U300" t="str">
        <f>_xlfn.XLOOKUP(B300,Disk_Pivot!G:G,Disk_Pivot!N:N)</f>
        <v>Pass, Fail</v>
      </c>
      <c r="V300" t="str">
        <f>IF(U300="Fail",MacReports!O300,"")</f>
        <v/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MacReports!D301</f>
        <v>0</v>
      </c>
      <c r="D301" t="str">
        <f>MacReports!C301&amp;""</f>
        <v/>
      </c>
      <c r="E301" t="e">
        <f>_xlfn.XLOOKUP(G301,Models!A:A,Models!F:F)</f>
        <v>#N/A</v>
      </c>
      <c r="F301" t="str">
        <f>_xlfn.XLOOKUP(B301,MacReports!B:B,MacReports!E:E,"")</f>
        <v/>
      </c>
      <c r="G301" s="13">
        <f>MacReports!F301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MacReports!G301</f>
        <v>0</v>
      </c>
      <c r="L301">
        <f>MacReports!H301</f>
        <v>0</v>
      </c>
      <c r="M301" s="15" t="e" cm="1">
        <f t="array" ref="M301">--_xlfn.LET(
    _xlpm.txt, MacReports!I301,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--MacReports!N301&lt;55,"Battery Defect",
  -- MacReports!N301&lt;=69,"Battery D",
  --MacReports!N301&lt;=80,"Battery C",
 --MacReports!N301&gt;80,""
)</f>
        <v>Battery Defect</v>
      </c>
      <c r="O301" s="16" t="str">
        <f>IF(MacReports!J301="Service","Battery Service","")</f>
        <v/>
      </c>
      <c r="P301" s="13">
        <f>MacReports!Q301</f>
        <v>0</v>
      </c>
      <c r="Q301" s="13" t="str">
        <f>IF(MacReports!K301="Enabled","Apple ID Lock","")</f>
        <v/>
      </c>
      <c r="R301" s="13" t="str">
        <f>IF(MacReports!M301="Remote Lock","Remote Locked","")</f>
        <v/>
      </c>
      <c r="S301" t="str">
        <f t="shared" si="11"/>
        <v>Battery Defect, 0</v>
      </c>
      <c r="T301" t="str">
        <f>_xlfn.XLOOKUP(B301,Disk_Pivot!G:G,Disk_Pivot!I:I)</f>
        <v>Yes x2</v>
      </c>
      <c r="U301" t="str">
        <f>_xlfn.XLOOKUP(B301,Disk_Pivot!G:G,Disk_Pivot!N:N)</f>
        <v>Pass, Fail</v>
      </c>
      <c r="V301" t="str">
        <f>IF(U301="Fail",MacReports!O301,"")</f>
        <v/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MacReports!D302</f>
        <v>0</v>
      </c>
      <c r="D302" t="str">
        <f>MacReports!C302&amp;""</f>
        <v/>
      </c>
      <c r="E302" t="e">
        <f>_xlfn.XLOOKUP(G302,Models!A:A,Models!F:F)</f>
        <v>#N/A</v>
      </c>
      <c r="F302" t="str">
        <f>_xlfn.XLOOKUP(B302,MacReports!B:B,MacReports!E:E,"")</f>
        <v/>
      </c>
      <c r="G302" s="13">
        <f>MacReports!F302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MacReports!G302</f>
        <v>0</v>
      </c>
      <c r="L302">
        <f>MacReports!H302</f>
        <v>0</v>
      </c>
      <c r="M302" s="15" t="e" cm="1">
        <f t="array" ref="M302">--_xlfn.LET(
    _xlpm.txt, MacReports!I302,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--MacReports!N302&lt;55,"Battery Defect",
  -- MacReports!N302&lt;=69,"Battery D",
  --MacReports!N302&lt;=80,"Battery C",
 --MacReports!N302&gt;80,""
)</f>
        <v>Battery Defect</v>
      </c>
      <c r="O302" s="16" t="str">
        <f>IF(MacReports!J302="Service","Battery Service","")</f>
        <v/>
      </c>
      <c r="P302" s="13">
        <f>MacReports!Q302</f>
        <v>0</v>
      </c>
      <c r="Q302" s="13" t="str">
        <f>IF(MacReports!K302="Enabled","Apple ID Lock","")</f>
        <v/>
      </c>
      <c r="R302" s="13" t="str">
        <f>IF(MacReports!M302="Remote Lock","Remote Locked","")</f>
        <v/>
      </c>
      <c r="S302" t="str">
        <f t="shared" si="11"/>
        <v>Battery Defect, 0</v>
      </c>
      <c r="T302" t="str">
        <f>_xlfn.XLOOKUP(B302,Disk_Pivot!G:G,Disk_Pivot!I:I)</f>
        <v>Yes x2</v>
      </c>
      <c r="U302" t="str">
        <f>_xlfn.XLOOKUP(B302,Disk_Pivot!G:G,Disk_Pivot!N:N)</f>
        <v>Pass, Fail</v>
      </c>
      <c r="V302" t="str">
        <f>IF(U302="Fail",MacReports!O302,"")</f>
        <v/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MacReports!D303</f>
        <v>0</v>
      </c>
      <c r="D303" t="str">
        <f>MacReports!C303&amp;""</f>
        <v/>
      </c>
      <c r="E303" t="e">
        <f>_xlfn.XLOOKUP(G303,Models!A:A,Models!F:F)</f>
        <v>#N/A</v>
      </c>
      <c r="F303" t="str">
        <f>_xlfn.XLOOKUP(B303,MacReports!B:B,MacReports!E:E,"")</f>
        <v/>
      </c>
      <c r="G303" s="13">
        <f>MacReports!F303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MacReports!G303</f>
        <v>0</v>
      </c>
      <c r="L303">
        <f>MacReports!H303</f>
        <v>0</v>
      </c>
      <c r="M303" s="15" t="e" cm="1">
        <f t="array" ref="M303">--_xlfn.LET(
    _xlpm.txt, MacReports!I303,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--MacReports!N303&lt;55,"Battery Defect",
  -- MacReports!N303&lt;=69,"Battery D",
  --MacReports!N303&lt;=80,"Battery C",
 --MacReports!N303&gt;80,""
)</f>
        <v>Battery Defect</v>
      </c>
      <c r="O303" s="16" t="str">
        <f>IF(MacReports!J303="Service","Battery Service","")</f>
        <v/>
      </c>
      <c r="P303" s="13">
        <f>MacReports!Q303</f>
        <v>0</v>
      </c>
      <c r="Q303" s="13" t="str">
        <f>IF(MacReports!K303="Enabled","Apple ID Lock","")</f>
        <v/>
      </c>
      <c r="R303" s="13" t="str">
        <f>IF(MacReports!M303="Remote Lock","Remote Locked","")</f>
        <v/>
      </c>
      <c r="S303" t="str">
        <f t="shared" si="11"/>
        <v>Battery Defect, 0</v>
      </c>
      <c r="T303" t="str">
        <f>_xlfn.XLOOKUP(B303,Disk_Pivot!G:G,Disk_Pivot!I:I)</f>
        <v>Yes x2</v>
      </c>
      <c r="U303" t="str">
        <f>_xlfn.XLOOKUP(B303,Disk_Pivot!G:G,Disk_Pivot!N:N)</f>
        <v>Pass, Fail</v>
      </c>
      <c r="V303" t="str">
        <f>IF(U303="Fail",MacReports!O303,"")</f>
        <v/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MacReports!D304</f>
        <v>0</v>
      </c>
      <c r="D304" t="str">
        <f>MacReports!C304&amp;""</f>
        <v/>
      </c>
      <c r="E304" t="e">
        <f>_xlfn.XLOOKUP(G304,Models!A:A,Models!F:F)</f>
        <v>#N/A</v>
      </c>
      <c r="F304" t="str">
        <f>_xlfn.XLOOKUP(B304,MacReports!B:B,MacReports!E:E,"")</f>
        <v/>
      </c>
      <c r="G304" s="13">
        <f>MacReports!F304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MacReports!G304</f>
        <v>0</v>
      </c>
      <c r="L304">
        <f>MacReports!H304</f>
        <v>0</v>
      </c>
      <c r="M304" s="15" t="e" cm="1">
        <f t="array" ref="M304">--_xlfn.LET(
    _xlpm.txt, MacReports!I304,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--MacReports!N304&lt;55,"Battery Defect",
  -- MacReports!N304&lt;=69,"Battery D",
  --MacReports!N304&lt;=80,"Battery C",
 --MacReports!N304&gt;80,""
)</f>
        <v>Battery Defect</v>
      </c>
      <c r="O304" s="16" t="str">
        <f>IF(MacReports!J304="Service","Battery Service","")</f>
        <v/>
      </c>
      <c r="P304" s="13">
        <f>MacReports!Q304</f>
        <v>0</v>
      </c>
      <c r="Q304" s="13" t="str">
        <f>IF(MacReports!K304="Enabled","Apple ID Lock","")</f>
        <v/>
      </c>
      <c r="R304" s="13" t="str">
        <f>IF(MacReports!M304="Remote Lock","Remote Locked","")</f>
        <v/>
      </c>
      <c r="S304" t="str">
        <f t="shared" si="11"/>
        <v>Battery Defect, 0</v>
      </c>
      <c r="T304" t="str">
        <f>_xlfn.XLOOKUP(B304,Disk_Pivot!G:G,Disk_Pivot!I:I)</f>
        <v>Yes x2</v>
      </c>
      <c r="U304" t="str">
        <f>_xlfn.XLOOKUP(B304,Disk_Pivot!G:G,Disk_Pivot!N:N)</f>
        <v>Pass, Fail</v>
      </c>
      <c r="V304" t="str">
        <f>IF(U304="Fail",MacReports!O304,"")</f>
        <v/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MacReports!D305</f>
        <v>0</v>
      </c>
      <c r="D305" t="str">
        <f>MacReports!C305&amp;""</f>
        <v/>
      </c>
      <c r="E305" t="e">
        <f>_xlfn.XLOOKUP(G305,Models!A:A,Models!F:F)</f>
        <v>#N/A</v>
      </c>
      <c r="F305" t="str">
        <f>_xlfn.XLOOKUP(B305,MacReports!B:B,MacReports!E:E,"")</f>
        <v/>
      </c>
      <c r="G305" s="13">
        <f>MacReports!F305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MacReports!G305</f>
        <v>0</v>
      </c>
      <c r="L305">
        <f>MacReports!H305</f>
        <v>0</v>
      </c>
      <c r="M305" s="15" t="e" cm="1">
        <f t="array" ref="M305">--_xlfn.LET(
    _xlpm.txt, MacReports!I305,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--MacReports!N305&lt;55,"Battery Defect",
  -- MacReports!N305&lt;=69,"Battery D",
  --MacReports!N305&lt;=80,"Battery C",
 --MacReports!N305&gt;80,""
)</f>
        <v>Battery Defect</v>
      </c>
      <c r="O305" s="16" t="str">
        <f>IF(MacReports!J305="Service","Battery Service","")</f>
        <v/>
      </c>
      <c r="P305" s="13">
        <f>MacReports!Q305</f>
        <v>0</v>
      </c>
      <c r="Q305" s="13" t="str">
        <f>IF(MacReports!K305="Enabled","Apple ID Lock","")</f>
        <v/>
      </c>
      <c r="R305" s="13" t="str">
        <f>IF(MacReports!M305="Remote Lock","Remote Locked","")</f>
        <v/>
      </c>
      <c r="S305" t="str">
        <f t="shared" si="11"/>
        <v>Battery Defect, 0</v>
      </c>
      <c r="T305" t="str">
        <f>_xlfn.XLOOKUP(B305,Disk_Pivot!G:G,Disk_Pivot!I:I)</f>
        <v>Yes x2</v>
      </c>
      <c r="U305" t="str">
        <f>_xlfn.XLOOKUP(B305,Disk_Pivot!G:G,Disk_Pivot!N:N)</f>
        <v>Pass, Fail</v>
      </c>
      <c r="V305" t="str">
        <f>IF(U305="Fail",MacReports!O305,"")</f>
        <v/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MacReports!D306</f>
        <v>0</v>
      </c>
      <c r="D306" t="str">
        <f>MacReports!C306&amp;""</f>
        <v/>
      </c>
      <c r="E306" t="e">
        <f>_xlfn.XLOOKUP(G306,Models!A:A,Models!F:F)</f>
        <v>#N/A</v>
      </c>
      <c r="F306" t="str">
        <f>_xlfn.XLOOKUP(B306,MacReports!B:B,MacReports!E:E,"")</f>
        <v/>
      </c>
      <c r="G306" s="13">
        <f>MacReports!F306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MacReports!G306</f>
        <v>0</v>
      </c>
      <c r="L306">
        <f>MacReports!H306</f>
        <v>0</v>
      </c>
      <c r="M306" s="15" t="e" cm="1">
        <f t="array" ref="M306">--_xlfn.LET(
    _xlpm.txt, MacReports!I306,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--MacReports!N306&lt;55,"Battery Defect",
  -- MacReports!N306&lt;=69,"Battery D",
  --MacReports!N306&lt;=80,"Battery C",
 --MacReports!N306&gt;80,""
)</f>
        <v>Battery Defect</v>
      </c>
      <c r="O306" s="16" t="str">
        <f>IF(MacReports!J306="Service","Battery Service","")</f>
        <v/>
      </c>
      <c r="P306" s="13">
        <f>MacReports!Q306</f>
        <v>0</v>
      </c>
      <c r="Q306" s="13" t="str">
        <f>IF(MacReports!K306="Enabled","Apple ID Lock","")</f>
        <v/>
      </c>
      <c r="R306" s="13" t="str">
        <f>IF(MacReports!M306="Remote Lock","Remote Locked","")</f>
        <v/>
      </c>
      <c r="S306" t="str">
        <f t="shared" si="11"/>
        <v>Battery Defect, 0</v>
      </c>
      <c r="T306" t="str">
        <f>_xlfn.XLOOKUP(B306,Disk_Pivot!G:G,Disk_Pivot!I:I)</f>
        <v>Yes x2</v>
      </c>
      <c r="U306" t="str">
        <f>_xlfn.XLOOKUP(B306,Disk_Pivot!G:G,Disk_Pivot!N:N)</f>
        <v>Pass, Fail</v>
      </c>
      <c r="V306" t="str">
        <f>IF(U306="Fail",MacReports!O306,"")</f>
        <v/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MacReports!D307</f>
        <v>0</v>
      </c>
      <c r="D307" t="str">
        <f>MacReports!C307&amp;""</f>
        <v/>
      </c>
      <c r="E307" t="e">
        <f>_xlfn.XLOOKUP(G307,Models!A:A,Models!F:F)</f>
        <v>#N/A</v>
      </c>
      <c r="F307" t="str">
        <f>_xlfn.XLOOKUP(B307,MacReports!B:B,MacReports!E:E,"")</f>
        <v/>
      </c>
      <c r="G307" s="13">
        <f>MacReports!F307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MacReports!G307</f>
        <v>0</v>
      </c>
      <c r="L307">
        <f>MacReports!H307</f>
        <v>0</v>
      </c>
      <c r="M307" s="15" t="e" cm="1">
        <f t="array" ref="M307">--_xlfn.LET(
    _xlpm.txt, MacReports!I307,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--MacReports!N307&lt;55,"Battery Defect",
  -- MacReports!N307&lt;=69,"Battery D",
  --MacReports!N307&lt;=80,"Battery C",
 --MacReports!N307&gt;80,""
)</f>
        <v>Battery Defect</v>
      </c>
      <c r="O307" s="16" t="str">
        <f>IF(MacReports!J307="Service","Battery Service","")</f>
        <v/>
      </c>
      <c r="P307" s="13">
        <f>MacReports!Q307</f>
        <v>0</v>
      </c>
      <c r="Q307" s="13" t="str">
        <f>IF(MacReports!K307="Enabled","Apple ID Lock","")</f>
        <v/>
      </c>
      <c r="R307" s="13" t="str">
        <f>IF(MacReports!M307="Remote Lock","Remote Locked","")</f>
        <v/>
      </c>
      <c r="S307" t="str">
        <f t="shared" si="11"/>
        <v>Battery Defect, 0</v>
      </c>
      <c r="T307" t="str">
        <f>_xlfn.XLOOKUP(B307,Disk_Pivot!G:G,Disk_Pivot!I:I)</f>
        <v>Yes x2</v>
      </c>
      <c r="U307" t="str">
        <f>_xlfn.XLOOKUP(B307,Disk_Pivot!G:G,Disk_Pivot!N:N)</f>
        <v>Pass, Fail</v>
      </c>
      <c r="V307" t="str">
        <f>IF(U307="Fail",MacReports!O307,"")</f>
        <v/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MacReports!D308</f>
        <v>0</v>
      </c>
      <c r="D308" t="str">
        <f>MacReports!C308&amp;""</f>
        <v/>
      </c>
      <c r="E308" t="e">
        <f>_xlfn.XLOOKUP(G308,Models!A:A,Models!F:F)</f>
        <v>#N/A</v>
      </c>
      <c r="F308" t="str">
        <f>_xlfn.XLOOKUP(B308,MacReports!B:B,MacReports!E:E,"")</f>
        <v/>
      </c>
      <c r="G308" s="13">
        <f>MacReports!F308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MacReports!G308</f>
        <v>0</v>
      </c>
      <c r="L308">
        <f>MacReports!H308</f>
        <v>0</v>
      </c>
      <c r="M308" s="15" t="e" cm="1">
        <f t="array" ref="M308">--_xlfn.LET(
    _xlpm.txt, MacReports!I308,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--MacReports!N308&lt;55,"Battery Defect",
  -- MacReports!N308&lt;=69,"Battery D",
  --MacReports!N308&lt;=80,"Battery C",
 --MacReports!N308&gt;80,""
)</f>
        <v>Battery Defect</v>
      </c>
      <c r="O308" s="16" t="str">
        <f>IF(MacReports!J308="Service","Battery Service","")</f>
        <v/>
      </c>
      <c r="P308" s="13">
        <f>MacReports!Q308</f>
        <v>0</v>
      </c>
      <c r="Q308" s="13" t="str">
        <f>IF(MacReports!K308="Enabled","Apple ID Lock","")</f>
        <v/>
      </c>
      <c r="R308" s="13" t="str">
        <f>IF(MacReports!M308="Remote Lock","Remote Locked","")</f>
        <v/>
      </c>
      <c r="S308" t="str">
        <f t="shared" si="11"/>
        <v>Battery Defect, 0</v>
      </c>
      <c r="T308" t="str">
        <f>_xlfn.XLOOKUP(B308,Disk_Pivot!G:G,Disk_Pivot!I:I)</f>
        <v>Yes x2</v>
      </c>
      <c r="U308" t="str">
        <f>_xlfn.XLOOKUP(B308,Disk_Pivot!G:G,Disk_Pivot!N:N)</f>
        <v>Pass, Fail</v>
      </c>
      <c r="V308" t="str">
        <f>IF(U308="Fail",MacReports!O308,"")</f>
        <v/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MacReports!D309</f>
        <v>0</v>
      </c>
      <c r="D309" t="str">
        <f>MacReports!C309&amp;""</f>
        <v/>
      </c>
      <c r="E309" t="e">
        <f>_xlfn.XLOOKUP(G309,Models!A:A,Models!F:F)</f>
        <v>#N/A</v>
      </c>
      <c r="F309" t="str">
        <f>_xlfn.XLOOKUP(B309,MacReports!B:B,MacReports!E:E,"")</f>
        <v/>
      </c>
      <c r="G309" s="13">
        <f>MacReports!F309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MacReports!G309</f>
        <v>0</v>
      </c>
      <c r="L309">
        <f>MacReports!H309</f>
        <v>0</v>
      </c>
      <c r="M309" s="15" t="e" cm="1">
        <f t="array" ref="M309">--_xlfn.LET(
    _xlpm.txt, MacReports!I309,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--MacReports!N309&lt;55,"Battery Defect",
  -- MacReports!N309&lt;=69,"Battery D",
  --MacReports!N309&lt;=80,"Battery C",
 --MacReports!N309&gt;80,""
)</f>
        <v>Battery Defect</v>
      </c>
      <c r="O309" s="16" t="str">
        <f>IF(MacReports!J309="Service","Battery Service","")</f>
        <v/>
      </c>
      <c r="P309" s="13">
        <f>MacReports!Q309</f>
        <v>0</v>
      </c>
      <c r="Q309" s="13" t="str">
        <f>IF(MacReports!K309="Enabled","Apple ID Lock","")</f>
        <v/>
      </c>
      <c r="R309" s="13" t="str">
        <f>IF(MacReports!M309="Remote Lock","Remote Locked","")</f>
        <v/>
      </c>
      <c r="S309" t="str">
        <f t="shared" si="11"/>
        <v>Battery Defect, 0</v>
      </c>
      <c r="T309" t="str">
        <f>_xlfn.XLOOKUP(B309,Disk_Pivot!G:G,Disk_Pivot!I:I)</f>
        <v>Yes x2</v>
      </c>
      <c r="U309" t="str">
        <f>_xlfn.XLOOKUP(B309,Disk_Pivot!G:G,Disk_Pivot!N:N)</f>
        <v>Pass, Fail</v>
      </c>
      <c r="V309" t="str">
        <f>IF(U309="Fail",MacReports!O309,"")</f>
        <v/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MacReports!D310</f>
        <v>0</v>
      </c>
      <c r="D310" t="str">
        <f>MacReports!C310&amp;""</f>
        <v/>
      </c>
      <c r="E310" t="e">
        <f>_xlfn.XLOOKUP(G310,Models!A:A,Models!F:F)</f>
        <v>#N/A</v>
      </c>
      <c r="F310" t="str">
        <f>_xlfn.XLOOKUP(B310,MacReports!B:B,MacReports!E:E,"")</f>
        <v/>
      </c>
      <c r="G310" s="13">
        <f>MacReports!F310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MacReports!G310</f>
        <v>0</v>
      </c>
      <c r="L310">
        <f>MacReports!H310</f>
        <v>0</v>
      </c>
      <c r="M310" s="15" t="e" cm="1">
        <f t="array" ref="M310">--_xlfn.LET(
    _xlpm.txt, MacReports!I310,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--MacReports!N310&lt;55,"Battery Defect",
  -- MacReports!N310&lt;=69,"Battery D",
  --MacReports!N310&lt;=80,"Battery C",
 --MacReports!N310&gt;80,""
)</f>
        <v>Battery Defect</v>
      </c>
      <c r="O310" s="16" t="str">
        <f>IF(MacReports!J310="Service","Battery Service","")</f>
        <v/>
      </c>
      <c r="P310" s="13">
        <f>MacReports!Q310</f>
        <v>0</v>
      </c>
      <c r="Q310" s="13" t="str">
        <f>IF(MacReports!K310="Enabled","Apple ID Lock","")</f>
        <v/>
      </c>
      <c r="R310" s="13" t="str">
        <f>IF(MacReports!M310="Remote Lock","Remote Locked","")</f>
        <v/>
      </c>
      <c r="S310" t="str">
        <f t="shared" si="11"/>
        <v>Battery Defect, 0</v>
      </c>
      <c r="T310" t="str">
        <f>_xlfn.XLOOKUP(B310,Disk_Pivot!G:G,Disk_Pivot!I:I)</f>
        <v>Yes x2</v>
      </c>
      <c r="U310" t="str">
        <f>_xlfn.XLOOKUP(B310,Disk_Pivot!G:G,Disk_Pivot!N:N)</f>
        <v>Pass, Fail</v>
      </c>
      <c r="V310" t="str">
        <f>IF(U310="Fail",MacReports!O310,"")</f>
        <v/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MacReports!D311</f>
        <v>0</v>
      </c>
      <c r="D311" t="str">
        <f>MacReports!C311&amp;""</f>
        <v/>
      </c>
      <c r="E311" t="e">
        <f>_xlfn.XLOOKUP(G311,Models!A:A,Models!F:F)</f>
        <v>#N/A</v>
      </c>
      <c r="F311" t="str">
        <f>_xlfn.XLOOKUP(B311,MacReports!B:B,MacReports!E:E,"")</f>
        <v/>
      </c>
      <c r="G311" s="13">
        <f>MacReports!F311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MacReports!G311</f>
        <v>0</v>
      </c>
      <c r="L311">
        <f>MacReports!H311</f>
        <v>0</v>
      </c>
      <c r="M311" s="15" t="e" cm="1">
        <f t="array" ref="M311">--_xlfn.LET(
    _xlpm.txt, MacReports!I311,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--MacReports!N311&lt;55,"Battery Defect",
  -- MacReports!N311&lt;=69,"Battery D",
  --MacReports!N311&lt;=80,"Battery C",
 --MacReports!N311&gt;80,""
)</f>
        <v>Battery Defect</v>
      </c>
      <c r="O311" s="16" t="str">
        <f>IF(MacReports!J311="Service","Battery Service","")</f>
        <v/>
      </c>
      <c r="P311" s="13">
        <f>MacReports!Q311</f>
        <v>0</v>
      </c>
      <c r="Q311" s="13" t="str">
        <f>IF(MacReports!K311="Enabled","Apple ID Lock","")</f>
        <v/>
      </c>
      <c r="R311" s="13" t="str">
        <f>IF(MacReports!M311="Remote Lock","Remote Locked","")</f>
        <v/>
      </c>
      <c r="S311" t="str">
        <f t="shared" si="11"/>
        <v>Battery Defect, 0</v>
      </c>
      <c r="T311" t="str">
        <f>_xlfn.XLOOKUP(B311,Disk_Pivot!G:G,Disk_Pivot!I:I)</f>
        <v>Yes x2</v>
      </c>
      <c r="U311" t="str">
        <f>_xlfn.XLOOKUP(B311,Disk_Pivot!G:G,Disk_Pivot!N:N)</f>
        <v>Pass, Fail</v>
      </c>
      <c r="V311" t="str">
        <f>IF(U311="Fail",MacReports!O311,"")</f>
        <v/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MacReports!D312</f>
        <v>0</v>
      </c>
      <c r="D312" t="str">
        <f>MacReports!C312&amp;""</f>
        <v/>
      </c>
      <c r="E312" t="e">
        <f>_xlfn.XLOOKUP(G312,Models!A:A,Models!F:F)</f>
        <v>#N/A</v>
      </c>
      <c r="F312" t="str">
        <f>_xlfn.XLOOKUP(B312,MacReports!B:B,MacReports!E:E,"")</f>
        <v/>
      </c>
      <c r="G312" s="13">
        <f>MacReports!F312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MacReports!G312</f>
        <v>0</v>
      </c>
      <c r="L312">
        <f>MacReports!H312</f>
        <v>0</v>
      </c>
      <c r="M312" s="15" t="e" cm="1">
        <f t="array" ref="M312">--_xlfn.LET(
    _xlpm.txt, MacReports!I312,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--MacReports!N312&lt;55,"Battery Defect",
  -- MacReports!N312&lt;=69,"Battery D",
  --MacReports!N312&lt;=80,"Battery C",
 --MacReports!N312&gt;80,""
)</f>
        <v>Battery Defect</v>
      </c>
      <c r="O312" s="16" t="str">
        <f>IF(MacReports!J312="Service","Battery Service","")</f>
        <v/>
      </c>
      <c r="P312" s="13">
        <f>MacReports!Q312</f>
        <v>0</v>
      </c>
      <c r="Q312" s="13" t="str">
        <f>IF(MacReports!K312="Enabled","Apple ID Lock","")</f>
        <v/>
      </c>
      <c r="R312" s="13" t="str">
        <f>IF(MacReports!M312="Remote Lock","Remote Locked","")</f>
        <v/>
      </c>
      <c r="S312" t="str">
        <f t="shared" si="11"/>
        <v>Battery Defect, 0</v>
      </c>
      <c r="T312" t="str">
        <f>_xlfn.XLOOKUP(B312,Disk_Pivot!G:G,Disk_Pivot!I:I)</f>
        <v>Yes x2</v>
      </c>
      <c r="U312" t="str">
        <f>_xlfn.XLOOKUP(B312,Disk_Pivot!G:G,Disk_Pivot!N:N)</f>
        <v>Pass, Fail</v>
      </c>
      <c r="V312" t="str">
        <f>IF(U312="Fail",MacReports!O312,"")</f>
        <v/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MacReports!D313</f>
        <v>0</v>
      </c>
      <c r="D313" t="str">
        <f>MacReports!C313&amp;""</f>
        <v/>
      </c>
      <c r="E313" t="e">
        <f>_xlfn.XLOOKUP(G313,Models!A:A,Models!F:F)</f>
        <v>#N/A</v>
      </c>
      <c r="F313" t="str">
        <f>_xlfn.XLOOKUP(B313,MacReports!B:B,MacReports!E:E,"")</f>
        <v/>
      </c>
      <c r="G313" s="13">
        <f>MacReports!F313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MacReports!G313</f>
        <v>0</v>
      </c>
      <c r="L313">
        <f>MacReports!H313</f>
        <v>0</v>
      </c>
      <c r="M313" s="15" t="e" cm="1">
        <f t="array" ref="M313">--_xlfn.LET(
    _xlpm.txt, MacReports!I313,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--MacReports!N313&lt;55,"Battery Defect",
  -- MacReports!N313&lt;=69,"Battery D",
  --MacReports!N313&lt;=80,"Battery C",
 --MacReports!N313&gt;80,""
)</f>
        <v>Battery Defect</v>
      </c>
      <c r="O313" s="16" t="str">
        <f>IF(MacReports!J313="Service","Battery Service","")</f>
        <v/>
      </c>
      <c r="P313" s="13">
        <f>MacReports!Q313</f>
        <v>0</v>
      </c>
      <c r="Q313" s="13" t="str">
        <f>IF(MacReports!K313="Enabled","Apple ID Lock","")</f>
        <v/>
      </c>
      <c r="R313" s="13" t="str">
        <f>IF(MacReports!M313="Remote Lock","Remote Locked","")</f>
        <v/>
      </c>
      <c r="S313" t="str">
        <f t="shared" si="11"/>
        <v>Battery Defect, 0</v>
      </c>
      <c r="T313" t="str">
        <f>_xlfn.XLOOKUP(B313,Disk_Pivot!G:G,Disk_Pivot!I:I)</f>
        <v>Yes x2</v>
      </c>
      <c r="U313" t="str">
        <f>_xlfn.XLOOKUP(B313,Disk_Pivot!G:G,Disk_Pivot!N:N)</f>
        <v>Pass, Fail</v>
      </c>
      <c r="V313" t="str">
        <f>IF(U313="Fail",MacReports!O313,"")</f>
        <v/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MacReports!D314</f>
        <v>0</v>
      </c>
      <c r="D314" t="str">
        <f>MacReports!C314&amp;""</f>
        <v/>
      </c>
      <c r="E314" t="e">
        <f>_xlfn.XLOOKUP(G314,Models!A:A,Models!F:F)</f>
        <v>#N/A</v>
      </c>
      <c r="F314" t="str">
        <f>_xlfn.XLOOKUP(B314,MacReports!B:B,MacReports!E:E,"")</f>
        <v/>
      </c>
      <c r="G314" s="13">
        <f>MacReports!F314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MacReports!G314</f>
        <v>0</v>
      </c>
      <c r="L314">
        <f>MacReports!H314</f>
        <v>0</v>
      </c>
      <c r="M314" s="15" t="e" cm="1">
        <f t="array" ref="M314">--_xlfn.LET(
    _xlpm.txt, MacReports!I314,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--MacReports!N314&lt;55,"Battery Defect",
  -- MacReports!N314&lt;=69,"Battery D",
  --MacReports!N314&lt;=80,"Battery C",
 --MacReports!N314&gt;80,""
)</f>
        <v>Battery Defect</v>
      </c>
      <c r="O314" s="16" t="str">
        <f>IF(MacReports!J314="Service","Battery Service","")</f>
        <v/>
      </c>
      <c r="P314" s="13">
        <f>MacReports!Q314</f>
        <v>0</v>
      </c>
      <c r="Q314" s="13" t="str">
        <f>IF(MacReports!K314="Enabled","Apple ID Lock","")</f>
        <v/>
      </c>
      <c r="R314" s="13" t="str">
        <f>IF(MacReports!M314="Remote Lock","Remote Locked","")</f>
        <v/>
      </c>
      <c r="S314" t="str">
        <f t="shared" si="11"/>
        <v>Battery Defect, 0</v>
      </c>
      <c r="T314" t="str">
        <f>_xlfn.XLOOKUP(B314,Disk_Pivot!G:G,Disk_Pivot!I:I)</f>
        <v>Yes x2</v>
      </c>
      <c r="U314" t="str">
        <f>_xlfn.XLOOKUP(B314,Disk_Pivot!G:G,Disk_Pivot!N:N)</f>
        <v>Pass, Fail</v>
      </c>
      <c r="V314" t="str">
        <f>IF(U314="Fail",MacReports!O314,"")</f>
        <v/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MacReports!D315</f>
        <v>0</v>
      </c>
      <c r="D315" t="str">
        <f>MacReports!C315&amp;""</f>
        <v/>
      </c>
      <c r="E315" t="e">
        <f>_xlfn.XLOOKUP(G315,Models!A:A,Models!F:F)</f>
        <v>#N/A</v>
      </c>
      <c r="F315" t="str">
        <f>_xlfn.XLOOKUP(B315,MacReports!B:B,MacReports!E:E,"")</f>
        <v/>
      </c>
      <c r="G315" s="13">
        <f>MacReports!F315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MacReports!G315</f>
        <v>0</v>
      </c>
      <c r="L315">
        <f>MacReports!H315</f>
        <v>0</v>
      </c>
      <c r="M315" s="15" t="e" cm="1">
        <f t="array" ref="M315">--_xlfn.LET(
    _xlpm.txt, MacReports!I315,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--MacReports!N315&lt;55,"Battery Defect",
  -- MacReports!N315&lt;=69,"Battery D",
  --MacReports!N315&lt;=80,"Battery C",
 --MacReports!N315&gt;80,""
)</f>
        <v>Battery Defect</v>
      </c>
      <c r="O315" s="16" t="str">
        <f>IF(MacReports!J315="Service","Battery Service","")</f>
        <v/>
      </c>
      <c r="P315" s="13">
        <f>MacReports!Q315</f>
        <v>0</v>
      </c>
      <c r="Q315" s="13" t="str">
        <f>IF(MacReports!K315="Enabled","Apple ID Lock","")</f>
        <v/>
      </c>
      <c r="R315" s="13" t="str">
        <f>IF(MacReports!M315="Remote Lock","Remote Locked","")</f>
        <v/>
      </c>
      <c r="S315" t="str">
        <f t="shared" si="11"/>
        <v>Battery Defect, 0</v>
      </c>
      <c r="T315" t="str">
        <f>_xlfn.XLOOKUP(B315,Disk_Pivot!G:G,Disk_Pivot!I:I)</f>
        <v>Yes x2</v>
      </c>
      <c r="U315" t="str">
        <f>_xlfn.XLOOKUP(B315,Disk_Pivot!G:G,Disk_Pivot!N:N)</f>
        <v>Pass, Fail</v>
      </c>
      <c r="V315" t="str">
        <f>IF(U315="Fail",MacReports!O315,"")</f>
        <v/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MacReports!D316</f>
        <v>0</v>
      </c>
      <c r="D316" t="str">
        <f>MacReports!C316&amp;""</f>
        <v/>
      </c>
      <c r="E316" t="e">
        <f>_xlfn.XLOOKUP(G316,Models!A:A,Models!F:F)</f>
        <v>#N/A</v>
      </c>
      <c r="F316" t="str">
        <f>_xlfn.XLOOKUP(B316,MacReports!B:B,MacReports!E:E,"")</f>
        <v/>
      </c>
      <c r="G316" s="13">
        <f>MacReports!F316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MacReports!G316</f>
        <v>0</v>
      </c>
      <c r="L316">
        <f>MacReports!H316</f>
        <v>0</v>
      </c>
      <c r="M316" s="15" t="e" cm="1">
        <f t="array" ref="M316">--_xlfn.LET(
    _xlpm.txt, MacReports!I316,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--MacReports!N316&lt;55,"Battery Defect",
  -- MacReports!N316&lt;=69,"Battery D",
  --MacReports!N316&lt;=80,"Battery C",
 --MacReports!N316&gt;80,""
)</f>
        <v>Battery Defect</v>
      </c>
      <c r="O316" s="16" t="str">
        <f>IF(MacReports!J316="Service","Battery Service","")</f>
        <v/>
      </c>
      <c r="P316" s="13">
        <f>MacReports!Q316</f>
        <v>0</v>
      </c>
      <c r="Q316" s="13" t="str">
        <f>IF(MacReports!K316="Enabled","Apple ID Lock","")</f>
        <v/>
      </c>
      <c r="R316" s="13" t="str">
        <f>IF(MacReports!M316="Remote Lock","Remote Locked","")</f>
        <v/>
      </c>
      <c r="S316" t="str">
        <f t="shared" si="11"/>
        <v>Battery Defect, 0</v>
      </c>
      <c r="T316" t="str">
        <f>_xlfn.XLOOKUP(B316,Disk_Pivot!G:G,Disk_Pivot!I:I)</f>
        <v>Yes x2</v>
      </c>
      <c r="U316" t="str">
        <f>_xlfn.XLOOKUP(B316,Disk_Pivot!G:G,Disk_Pivot!N:N)</f>
        <v>Pass, Fail</v>
      </c>
      <c r="V316" t="str">
        <f>IF(U316="Fail",MacReports!O316,"")</f>
        <v/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MacReports!D317</f>
        <v>0</v>
      </c>
      <c r="D317" t="str">
        <f>MacReports!C317&amp;""</f>
        <v/>
      </c>
      <c r="E317" t="e">
        <f>_xlfn.XLOOKUP(G317,Models!A:A,Models!F:F)</f>
        <v>#N/A</v>
      </c>
      <c r="F317" t="str">
        <f>_xlfn.XLOOKUP(B317,MacReports!B:B,MacReports!E:E,"")</f>
        <v/>
      </c>
      <c r="G317" s="13">
        <f>MacReports!F317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MacReports!G317</f>
        <v>0</v>
      </c>
      <c r="L317">
        <f>MacReports!H317</f>
        <v>0</v>
      </c>
      <c r="M317" s="15" t="e" cm="1">
        <f t="array" ref="M317">--_xlfn.LET(
    _xlpm.txt, MacReports!I317,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--MacReports!N317&lt;55,"Battery Defect",
  -- MacReports!N317&lt;=69,"Battery D",
  --MacReports!N317&lt;=80,"Battery C",
 --MacReports!N317&gt;80,""
)</f>
        <v>Battery Defect</v>
      </c>
      <c r="O317" s="16" t="str">
        <f>IF(MacReports!J317="Service","Battery Service","")</f>
        <v/>
      </c>
      <c r="P317" s="13">
        <f>MacReports!Q317</f>
        <v>0</v>
      </c>
      <c r="Q317" s="13" t="str">
        <f>IF(MacReports!K317="Enabled","Apple ID Lock","")</f>
        <v/>
      </c>
      <c r="R317" s="13" t="str">
        <f>IF(MacReports!M317="Remote Lock","Remote Locked","")</f>
        <v/>
      </c>
      <c r="S317" t="str">
        <f t="shared" si="11"/>
        <v>Battery Defect, 0</v>
      </c>
      <c r="T317" t="str">
        <f>_xlfn.XLOOKUP(B317,Disk_Pivot!G:G,Disk_Pivot!I:I)</f>
        <v>Yes x2</v>
      </c>
      <c r="U317" t="str">
        <f>_xlfn.XLOOKUP(B317,Disk_Pivot!G:G,Disk_Pivot!N:N)</f>
        <v>Pass, Fail</v>
      </c>
      <c r="V317" t="str">
        <f>IF(U317="Fail",MacReports!O317,"")</f>
        <v/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MacReports!D318</f>
        <v>0</v>
      </c>
      <c r="D318" t="str">
        <f>MacReports!C318&amp;""</f>
        <v/>
      </c>
      <c r="E318" t="e">
        <f>_xlfn.XLOOKUP(G318,Models!A:A,Models!F:F)</f>
        <v>#N/A</v>
      </c>
      <c r="F318" t="str">
        <f>_xlfn.XLOOKUP(B318,MacReports!B:B,MacReports!E:E,"")</f>
        <v/>
      </c>
      <c r="G318" s="13">
        <f>MacReports!F318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MacReports!G318</f>
        <v>0</v>
      </c>
      <c r="L318">
        <f>MacReports!H318</f>
        <v>0</v>
      </c>
      <c r="M318" s="15" t="e" cm="1">
        <f t="array" ref="M318">--_xlfn.LET(
    _xlpm.txt, MacReports!I318,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--MacReports!N318&lt;55,"Battery Defect",
  -- MacReports!N318&lt;=69,"Battery D",
  --MacReports!N318&lt;=80,"Battery C",
 --MacReports!N318&gt;80,""
)</f>
        <v>Battery Defect</v>
      </c>
      <c r="O318" s="16" t="str">
        <f>IF(MacReports!J318="Service","Battery Service","")</f>
        <v/>
      </c>
      <c r="P318" s="13">
        <f>MacReports!Q318</f>
        <v>0</v>
      </c>
      <c r="Q318" s="13" t="str">
        <f>IF(MacReports!K318="Enabled","Apple ID Lock","")</f>
        <v/>
      </c>
      <c r="R318" s="13" t="str">
        <f>IF(MacReports!M318="Remote Lock","Remote Locked","")</f>
        <v/>
      </c>
      <c r="S318" t="str">
        <f t="shared" si="11"/>
        <v>Battery Defect, 0</v>
      </c>
      <c r="T318" t="str">
        <f>_xlfn.XLOOKUP(B318,Disk_Pivot!G:G,Disk_Pivot!I:I)</f>
        <v>Yes x2</v>
      </c>
      <c r="U318" t="str">
        <f>_xlfn.XLOOKUP(B318,Disk_Pivot!G:G,Disk_Pivot!N:N)</f>
        <v>Pass, Fail</v>
      </c>
      <c r="V318" t="str">
        <f>IF(U318="Fail",MacReports!O318,"")</f>
        <v/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MacReports!D319</f>
        <v>0</v>
      </c>
      <c r="D319" t="str">
        <f>MacReports!C319&amp;""</f>
        <v/>
      </c>
      <c r="E319" t="e">
        <f>_xlfn.XLOOKUP(G319,Models!A:A,Models!F:F)</f>
        <v>#N/A</v>
      </c>
      <c r="F319" t="str">
        <f>_xlfn.XLOOKUP(B319,MacReports!B:B,MacReports!E:E,"")</f>
        <v/>
      </c>
      <c r="G319" s="13">
        <f>MacReports!F319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MacReports!G319</f>
        <v>0</v>
      </c>
      <c r="L319">
        <f>MacReports!H319</f>
        <v>0</v>
      </c>
      <c r="M319" s="15" t="e" cm="1">
        <f t="array" ref="M319">--_xlfn.LET(
    _xlpm.txt, MacReports!I319,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--MacReports!N319&lt;55,"Battery Defect",
  -- MacReports!N319&lt;=69,"Battery D",
  --MacReports!N319&lt;=80,"Battery C",
 --MacReports!N319&gt;80,""
)</f>
        <v>Battery Defect</v>
      </c>
      <c r="O319" s="16" t="str">
        <f>IF(MacReports!J319="Service","Battery Service","")</f>
        <v/>
      </c>
      <c r="P319" s="13">
        <f>MacReports!Q319</f>
        <v>0</v>
      </c>
      <c r="Q319" s="13" t="str">
        <f>IF(MacReports!K319="Enabled","Apple ID Lock","")</f>
        <v/>
      </c>
      <c r="R319" s="13" t="str">
        <f>IF(MacReports!M319="Remote Lock","Remote Locked","")</f>
        <v/>
      </c>
      <c r="S319" t="str">
        <f t="shared" si="11"/>
        <v>Battery Defect, 0</v>
      </c>
      <c r="T319" t="str">
        <f>_xlfn.XLOOKUP(B319,Disk_Pivot!G:G,Disk_Pivot!I:I)</f>
        <v>Yes x2</v>
      </c>
      <c r="U319" t="str">
        <f>_xlfn.XLOOKUP(B319,Disk_Pivot!G:G,Disk_Pivot!N:N)</f>
        <v>Pass, Fail</v>
      </c>
      <c r="V319" t="str">
        <f>IF(U319="Fail",MacReports!O319,"")</f>
        <v/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MacReports!D320</f>
        <v>0</v>
      </c>
      <c r="D320" t="str">
        <f>MacReports!C320&amp;""</f>
        <v/>
      </c>
      <c r="E320" t="e">
        <f>_xlfn.XLOOKUP(G320,Models!A:A,Models!F:F)</f>
        <v>#N/A</v>
      </c>
      <c r="F320" t="str">
        <f>_xlfn.XLOOKUP(B320,MacReports!B:B,MacReports!E:E,"")</f>
        <v/>
      </c>
      <c r="G320" s="13">
        <f>MacReports!F320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MacReports!G320</f>
        <v>0</v>
      </c>
      <c r="L320">
        <f>MacReports!H320</f>
        <v>0</v>
      </c>
      <c r="M320" s="15" t="e" cm="1">
        <f t="array" ref="M320">--_xlfn.LET(
    _xlpm.txt, MacReports!I320,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--MacReports!N320&lt;55,"Battery Defect",
  -- MacReports!N320&lt;=69,"Battery D",
  --MacReports!N320&lt;=80,"Battery C",
 --MacReports!N320&gt;80,""
)</f>
        <v>Battery Defect</v>
      </c>
      <c r="O320" s="16" t="str">
        <f>IF(MacReports!J320="Service","Battery Service","")</f>
        <v/>
      </c>
      <c r="P320" s="13">
        <f>MacReports!Q320</f>
        <v>0</v>
      </c>
      <c r="Q320" s="13" t="str">
        <f>IF(MacReports!K320="Enabled","Apple ID Lock","")</f>
        <v/>
      </c>
      <c r="R320" s="13" t="str">
        <f>IF(MacReports!M320="Remote Lock","Remote Locked","")</f>
        <v/>
      </c>
      <c r="S320" t="str">
        <f t="shared" si="11"/>
        <v>Battery Defect, 0</v>
      </c>
      <c r="T320" t="str">
        <f>_xlfn.XLOOKUP(B320,Disk_Pivot!G:G,Disk_Pivot!I:I)</f>
        <v>Yes x2</v>
      </c>
      <c r="U320" t="str">
        <f>_xlfn.XLOOKUP(B320,Disk_Pivot!G:G,Disk_Pivot!N:N)</f>
        <v>Pass, Fail</v>
      </c>
      <c r="V320" t="str">
        <f>IF(U320="Fail",MacReports!O320,"")</f>
        <v/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MacReports!D321</f>
        <v>0</v>
      </c>
      <c r="D321" t="str">
        <f>MacReports!C321&amp;""</f>
        <v/>
      </c>
      <c r="E321" t="e">
        <f>_xlfn.XLOOKUP(G321,Models!A:A,Models!F:F)</f>
        <v>#N/A</v>
      </c>
      <c r="F321" t="str">
        <f>_xlfn.XLOOKUP(B321,MacReports!B:B,MacReports!E:E,"")</f>
        <v/>
      </c>
      <c r="G321" s="13">
        <f>MacReports!F321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MacReports!G321</f>
        <v>0</v>
      </c>
      <c r="L321">
        <f>MacReports!H321</f>
        <v>0</v>
      </c>
      <c r="M321" s="15" t="e" cm="1">
        <f t="array" ref="M321">--_xlfn.LET(
    _xlpm.txt, MacReports!I321,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--MacReports!N321&lt;55,"Battery Defect",
  -- MacReports!N321&lt;=69,"Battery D",
  --MacReports!N321&lt;=80,"Battery C",
 --MacReports!N321&gt;80,""
)</f>
        <v>Battery Defect</v>
      </c>
      <c r="O321" s="16" t="str">
        <f>IF(MacReports!J321="Service","Battery Service","")</f>
        <v/>
      </c>
      <c r="P321" s="13">
        <f>MacReports!Q321</f>
        <v>0</v>
      </c>
      <c r="Q321" s="13" t="str">
        <f>IF(MacReports!K321="Enabled","Apple ID Lock","")</f>
        <v/>
      </c>
      <c r="R321" s="13" t="str">
        <f>IF(MacReports!M321="Remote Lock","Remote Locked","")</f>
        <v/>
      </c>
      <c r="S321" t="str">
        <f t="shared" si="11"/>
        <v>Battery Defect, 0</v>
      </c>
      <c r="T321" t="str">
        <f>_xlfn.XLOOKUP(B321,Disk_Pivot!G:G,Disk_Pivot!I:I)</f>
        <v>Yes x2</v>
      </c>
      <c r="U321" t="str">
        <f>_xlfn.XLOOKUP(B321,Disk_Pivot!G:G,Disk_Pivot!N:N)</f>
        <v>Pass, Fail</v>
      </c>
      <c r="V321" t="str">
        <f>IF(U321="Fail",MacReports!O321,"")</f>
        <v/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MacReports!D322</f>
        <v>0</v>
      </c>
      <c r="D322" t="str">
        <f>MacReports!C322&amp;""</f>
        <v/>
      </c>
      <c r="E322" t="e">
        <f>_xlfn.XLOOKUP(G322,Models!A:A,Models!F:F)</f>
        <v>#N/A</v>
      </c>
      <c r="F322" t="str">
        <f>_xlfn.XLOOKUP(B322,MacReports!B:B,MacReports!E:E,"")</f>
        <v/>
      </c>
      <c r="G322" s="13">
        <f>MacReports!F322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MacReports!G322</f>
        <v>0</v>
      </c>
      <c r="L322">
        <f>MacReports!H322</f>
        <v>0</v>
      </c>
      <c r="M322" s="15" t="e" cm="1">
        <f t="array" ref="M322">--_xlfn.LET(
    _xlpm.txt, MacReports!I322,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--MacReports!N322&lt;55,"Battery Defect",
  -- MacReports!N322&lt;=69,"Battery D",
  --MacReports!N322&lt;=80,"Battery C",
 --MacReports!N322&gt;80,""
)</f>
        <v>Battery Defect</v>
      </c>
      <c r="O322" s="16" t="str">
        <f>IF(MacReports!J322="Service","Battery Service","")</f>
        <v/>
      </c>
      <c r="P322" s="13">
        <f>MacReports!Q322</f>
        <v>0</v>
      </c>
      <c r="Q322" s="13" t="str">
        <f>IF(MacReports!K322="Enabled","Apple ID Lock","")</f>
        <v/>
      </c>
      <c r="R322" s="13" t="str">
        <f>IF(MacReports!M322="Remote Lock","Remote Locked","")</f>
        <v/>
      </c>
      <c r="S322" t="str">
        <f t="shared" si="11"/>
        <v>Battery Defect, 0</v>
      </c>
      <c r="T322" t="str">
        <f>_xlfn.XLOOKUP(B322,Disk_Pivot!G:G,Disk_Pivot!I:I)</f>
        <v>Yes x2</v>
      </c>
      <c r="U322" t="str">
        <f>_xlfn.XLOOKUP(B322,Disk_Pivot!G:G,Disk_Pivot!N:N)</f>
        <v>Pass, Fail</v>
      </c>
      <c r="V322" t="str">
        <f>IF(U322="Fail",MacReports!O322,"")</f>
        <v/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MacReports!D323</f>
        <v>0</v>
      </c>
      <c r="D323" t="str">
        <f>MacReports!C323&amp;""</f>
        <v/>
      </c>
      <c r="E323" t="e">
        <f>_xlfn.XLOOKUP(G323,Models!A:A,Models!F:F)</f>
        <v>#N/A</v>
      </c>
      <c r="F323" t="str">
        <f>_xlfn.XLOOKUP(B323,MacReports!B:B,MacReports!E:E,"")</f>
        <v/>
      </c>
      <c r="G323" s="13">
        <f>MacReports!F323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MacReports!G323</f>
        <v>0</v>
      </c>
      <c r="L323">
        <f>MacReports!H323</f>
        <v>0</v>
      </c>
      <c r="M323" s="15" t="e" cm="1">
        <f t="array" ref="M323">--_xlfn.LET(
    _xlpm.txt, MacReports!I323,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--MacReports!N323&lt;55,"Battery Defect",
  -- MacReports!N323&lt;=69,"Battery D",
  --MacReports!N323&lt;=80,"Battery C",
 --MacReports!N323&gt;80,""
)</f>
        <v>Battery Defect</v>
      </c>
      <c r="O323" s="16" t="str">
        <f>IF(MacReports!J323="Service","Battery Service","")</f>
        <v/>
      </c>
      <c r="P323" s="13">
        <f>MacReports!Q323</f>
        <v>0</v>
      </c>
      <c r="Q323" s="13" t="str">
        <f>IF(MacReports!K323="Enabled","Apple ID Lock","")</f>
        <v/>
      </c>
      <c r="R323" s="13" t="str">
        <f>IF(MacReports!M323="Remote Lock","Remote Locked","")</f>
        <v/>
      </c>
      <c r="S323" t="str">
        <f t="shared" si="11"/>
        <v>Battery Defect, 0</v>
      </c>
      <c r="T323" t="str">
        <f>_xlfn.XLOOKUP(B323,Disk_Pivot!G:G,Disk_Pivot!I:I)</f>
        <v>Yes x2</v>
      </c>
      <c r="U323" t="str">
        <f>_xlfn.XLOOKUP(B323,Disk_Pivot!G:G,Disk_Pivot!N:N)</f>
        <v>Pass, Fail</v>
      </c>
      <c r="V323" t="str">
        <f>IF(U323="Fail",MacReports!O323,"")</f>
        <v/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MacReports!D324</f>
        <v>0</v>
      </c>
      <c r="D324" t="str">
        <f>MacReports!C324&amp;""</f>
        <v/>
      </c>
      <c r="E324" t="e">
        <f>_xlfn.XLOOKUP(G324,Models!A:A,Models!F:F)</f>
        <v>#N/A</v>
      </c>
      <c r="F324" t="str">
        <f>_xlfn.XLOOKUP(B324,MacReports!B:B,MacReports!E:E,"")</f>
        <v/>
      </c>
      <c r="G324" s="13">
        <f>MacReports!F324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MacReports!G324</f>
        <v>0</v>
      </c>
      <c r="L324">
        <f>MacReports!H324</f>
        <v>0</v>
      </c>
      <c r="M324" s="15" t="e" cm="1">
        <f t="array" ref="M324">--_xlfn.LET(
    _xlpm.txt, MacReports!I324,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--MacReports!N324&lt;55,"Battery Defect",
  -- MacReports!N324&lt;=69,"Battery D",
  --MacReports!N324&lt;=80,"Battery C",
 --MacReports!N324&gt;80,""
)</f>
        <v>Battery Defect</v>
      </c>
      <c r="O324" s="16" t="str">
        <f>IF(MacReports!J324="Service","Battery Service","")</f>
        <v/>
      </c>
      <c r="P324" s="13">
        <f>MacReports!Q324</f>
        <v>0</v>
      </c>
      <c r="Q324" s="13" t="str">
        <f>IF(MacReports!K324="Enabled","Apple ID Lock","")</f>
        <v/>
      </c>
      <c r="R324" s="13" t="str">
        <f>IF(MacReports!M324="Remote Lock","Remote Locked","")</f>
        <v/>
      </c>
      <c r="S324" t="str">
        <f t="shared" si="11"/>
        <v>Battery Defect, 0</v>
      </c>
      <c r="T324" t="str">
        <f>_xlfn.XLOOKUP(B324,Disk_Pivot!G:G,Disk_Pivot!I:I)</f>
        <v>Yes x2</v>
      </c>
      <c r="U324" t="str">
        <f>_xlfn.XLOOKUP(B324,Disk_Pivot!G:G,Disk_Pivot!N:N)</f>
        <v>Pass, Fail</v>
      </c>
      <c r="V324" t="str">
        <f>IF(U324="Fail",MacReports!O324,"")</f>
        <v/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MacReports!D325</f>
        <v>0</v>
      </c>
      <c r="D325" t="str">
        <f>MacReports!C325&amp;""</f>
        <v/>
      </c>
      <c r="E325" t="e">
        <f>_xlfn.XLOOKUP(G325,Models!A:A,Models!F:F)</f>
        <v>#N/A</v>
      </c>
      <c r="F325" t="str">
        <f>_xlfn.XLOOKUP(B325,MacReports!B:B,MacReports!E:E,"")</f>
        <v/>
      </c>
      <c r="G325" s="13">
        <f>MacReports!F325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MacReports!G325</f>
        <v>0</v>
      </c>
      <c r="L325">
        <f>MacReports!H325</f>
        <v>0</v>
      </c>
      <c r="M325" s="15" t="e" cm="1">
        <f t="array" ref="M325">--_xlfn.LET(
    _xlpm.txt, MacReports!I325,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--MacReports!N325&lt;55,"Battery Defect",
  -- MacReports!N325&lt;=69,"Battery D",
  --MacReports!N325&lt;=80,"Battery C",
 --MacReports!N325&gt;80,""
)</f>
        <v>Battery Defect</v>
      </c>
      <c r="O325" s="16" t="str">
        <f>IF(MacReports!J325="Service","Battery Service","")</f>
        <v/>
      </c>
      <c r="P325" s="13">
        <f>MacReports!Q325</f>
        <v>0</v>
      </c>
      <c r="Q325" s="13" t="str">
        <f>IF(MacReports!K325="Enabled","Apple ID Lock","")</f>
        <v/>
      </c>
      <c r="R325" s="13" t="str">
        <f>IF(MacReports!M325="Remote Lock","Remote Locked","")</f>
        <v/>
      </c>
      <c r="S325" t="str">
        <f t="shared" si="11"/>
        <v>Battery Defect, 0</v>
      </c>
      <c r="T325" t="str">
        <f>_xlfn.XLOOKUP(B325,Disk_Pivot!G:G,Disk_Pivot!I:I)</f>
        <v>Yes x2</v>
      </c>
      <c r="U325" t="str">
        <f>_xlfn.XLOOKUP(B325,Disk_Pivot!G:G,Disk_Pivot!N:N)</f>
        <v>Pass, Fail</v>
      </c>
      <c r="V325" t="str">
        <f>IF(U325="Fail",MacReports!O325,"")</f>
        <v/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MacReports!D326</f>
        <v>0</v>
      </c>
      <c r="D326" t="str">
        <f>MacReports!C326&amp;""</f>
        <v/>
      </c>
      <c r="E326" t="e">
        <f>_xlfn.XLOOKUP(G326,Models!A:A,Models!F:F)</f>
        <v>#N/A</v>
      </c>
      <c r="F326" t="str">
        <f>_xlfn.XLOOKUP(B326,MacReports!B:B,MacReports!E:E,"")</f>
        <v/>
      </c>
      <c r="G326" s="13">
        <f>MacReports!F326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MacReports!G326</f>
        <v>0</v>
      </c>
      <c r="L326">
        <f>MacReports!H326</f>
        <v>0</v>
      </c>
      <c r="M326" s="15" t="e" cm="1">
        <f t="array" ref="M326">--_xlfn.LET(
    _xlpm.txt, MacReports!I326,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--MacReports!N326&lt;55,"Battery Defect",
  -- MacReports!N326&lt;=69,"Battery D",
  --MacReports!N326&lt;=80,"Battery C",
 --MacReports!N326&gt;80,""
)</f>
        <v>Battery Defect</v>
      </c>
      <c r="O326" s="16" t="str">
        <f>IF(MacReports!J326="Service","Battery Service","")</f>
        <v/>
      </c>
      <c r="P326" s="13">
        <f>MacReports!Q326</f>
        <v>0</v>
      </c>
      <c r="Q326" s="13" t="str">
        <f>IF(MacReports!K326="Enabled","Apple ID Lock","")</f>
        <v/>
      </c>
      <c r="R326" s="13" t="str">
        <f>IF(MacReports!M326="Remote Lock","Remote Locked","")</f>
        <v/>
      </c>
      <c r="S326" t="str">
        <f t="shared" si="11"/>
        <v>Battery Defect, 0</v>
      </c>
      <c r="T326" t="str">
        <f>_xlfn.XLOOKUP(B326,Disk_Pivot!G:G,Disk_Pivot!I:I)</f>
        <v>Yes x2</v>
      </c>
      <c r="U326" t="str">
        <f>_xlfn.XLOOKUP(B326,Disk_Pivot!G:G,Disk_Pivot!N:N)</f>
        <v>Pass, Fail</v>
      </c>
      <c r="V326" t="str">
        <f>IF(U326="Fail",MacReports!O326,"")</f>
        <v/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MacReports!D327</f>
        <v>0</v>
      </c>
      <c r="D327" t="str">
        <f>MacReports!C327&amp;""</f>
        <v/>
      </c>
      <c r="E327" t="e">
        <f>_xlfn.XLOOKUP(G327,Models!A:A,Models!F:F)</f>
        <v>#N/A</v>
      </c>
      <c r="F327" t="str">
        <f>_xlfn.XLOOKUP(B327,MacReports!B:B,MacReports!E:E,"")</f>
        <v/>
      </c>
      <c r="G327" s="13">
        <f>MacReports!F327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MacReports!G327</f>
        <v>0</v>
      </c>
      <c r="L327">
        <f>MacReports!H327</f>
        <v>0</v>
      </c>
      <c r="M327" s="15" t="e" cm="1">
        <f t="array" ref="M327">--_xlfn.LET(
    _xlpm.txt, MacReports!I327,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--MacReports!N327&lt;55,"Battery Defect",
  -- MacReports!N327&lt;=69,"Battery D",
  --MacReports!N327&lt;=80,"Battery C",
 --MacReports!N327&gt;80,""
)</f>
        <v>Battery Defect</v>
      </c>
      <c r="O327" s="16" t="str">
        <f>IF(MacReports!J327="Service","Battery Service","")</f>
        <v/>
      </c>
      <c r="P327" s="13">
        <f>MacReports!Q327</f>
        <v>0</v>
      </c>
      <c r="Q327" s="13" t="str">
        <f>IF(MacReports!K327="Enabled","Apple ID Lock","")</f>
        <v/>
      </c>
      <c r="R327" s="13" t="str">
        <f>IF(MacReports!M327="Remote Lock","Remote Locked","")</f>
        <v/>
      </c>
      <c r="S327" t="str">
        <f t="shared" si="11"/>
        <v>Battery Defect, 0</v>
      </c>
      <c r="T327" t="str">
        <f>_xlfn.XLOOKUP(B327,Disk_Pivot!G:G,Disk_Pivot!I:I)</f>
        <v>Yes x2</v>
      </c>
      <c r="U327" t="str">
        <f>_xlfn.XLOOKUP(B327,Disk_Pivot!G:G,Disk_Pivot!N:N)</f>
        <v>Pass, Fail</v>
      </c>
      <c r="V327" t="str">
        <f>IF(U327="Fail",MacReports!O327,"")</f>
        <v/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MacReports!D328</f>
        <v>0</v>
      </c>
      <c r="D328" t="str">
        <f>MacReports!C328&amp;""</f>
        <v/>
      </c>
      <c r="E328" t="e">
        <f>_xlfn.XLOOKUP(G328,Models!A:A,Models!F:F)</f>
        <v>#N/A</v>
      </c>
      <c r="F328" t="str">
        <f>_xlfn.XLOOKUP(B328,MacReports!B:B,MacReports!E:E,"")</f>
        <v/>
      </c>
      <c r="G328" s="13">
        <f>MacReports!F328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MacReports!G328</f>
        <v>0</v>
      </c>
      <c r="L328">
        <f>MacReports!H328</f>
        <v>0</v>
      </c>
      <c r="M328" s="15" t="e" cm="1">
        <f t="array" ref="M328">--_xlfn.LET(
    _xlpm.txt, MacReports!I328,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--MacReports!N328&lt;55,"Battery Defect",
  -- MacReports!N328&lt;=69,"Battery D",
  --MacReports!N328&lt;=80,"Battery C",
 --MacReports!N328&gt;80,""
)</f>
        <v>Battery Defect</v>
      </c>
      <c r="O328" s="16" t="str">
        <f>IF(MacReports!J328="Service","Battery Service","")</f>
        <v/>
      </c>
      <c r="P328" s="13">
        <f>MacReports!Q328</f>
        <v>0</v>
      </c>
      <c r="Q328" s="13" t="str">
        <f>IF(MacReports!K328="Enabled","Apple ID Lock","")</f>
        <v/>
      </c>
      <c r="R328" s="13" t="str">
        <f>IF(MacReports!M328="Remote Lock","Remote Locked","")</f>
        <v/>
      </c>
      <c r="S328" t="str">
        <f t="shared" si="11"/>
        <v>Battery Defect, 0</v>
      </c>
      <c r="T328" t="str">
        <f>_xlfn.XLOOKUP(B328,Disk_Pivot!G:G,Disk_Pivot!I:I)</f>
        <v>Yes x2</v>
      </c>
      <c r="U328" t="str">
        <f>_xlfn.XLOOKUP(B328,Disk_Pivot!G:G,Disk_Pivot!N:N)</f>
        <v>Pass, Fail</v>
      </c>
      <c r="V328" t="str">
        <f>IF(U328="Fail",MacReports!O328,"")</f>
        <v/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MacReports!D329</f>
        <v>0</v>
      </c>
      <c r="D329" t="str">
        <f>MacReports!C329&amp;""</f>
        <v/>
      </c>
      <c r="E329" t="e">
        <f>_xlfn.XLOOKUP(G329,Models!A:A,Models!F:F)</f>
        <v>#N/A</v>
      </c>
      <c r="F329" t="str">
        <f>_xlfn.XLOOKUP(B329,MacReports!B:B,MacReports!E:E,"")</f>
        <v/>
      </c>
      <c r="G329" s="13">
        <f>MacReports!F329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MacReports!G329</f>
        <v>0</v>
      </c>
      <c r="L329">
        <f>MacReports!H329</f>
        <v>0</v>
      </c>
      <c r="M329" s="15" t="e" cm="1">
        <f t="array" ref="M329">--_xlfn.LET(
    _xlpm.txt, MacReports!I329,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--MacReports!N329&lt;55,"Battery Defect",
  -- MacReports!N329&lt;=69,"Battery D",
  --MacReports!N329&lt;=80,"Battery C",
 --MacReports!N329&gt;80,""
)</f>
        <v>Battery Defect</v>
      </c>
      <c r="O329" s="16" t="str">
        <f>IF(MacReports!J329="Service","Battery Service","")</f>
        <v/>
      </c>
      <c r="P329" s="13">
        <f>MacReports!Q329</f>
        <v>0</v>
      </c>
      <c r="Q329" s="13" t="str">
        <f>IF(MacReports!K329="Enabled","Apple ID Lock","")</f>
        <v/>
      </c>
      <c r="R329" s="13" t="str">
        <f>IF(MacReports!M329="Remote Lock","Remote Locked","")</f>
        <v/>
      </c>
      <c r="S329" t="str">
        <f t="shared" si="11"/>
        <v>Battery Defect, 0</v>
      </c>
      <c r="T329" t="str">
        <f>_xlfn.XLOOKUP(B329,Disk_Pivot!G:G,Disk_Pivot!I:I)</f>
        <v>Yes x2</v>
      </c>
      <c r="U329" t="str">
        <f>_xlfn.XLOOKUP(B329,Disk_Pivot!G:G,Disk_Pivot!N:N)</f>
        <v>Pass, Fail</v>
      </c>
      <c r="V329" t="str">
        <f>IF(U329="Fail",MacReports!O329,"")</f>
        <v/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MacReports!D330</f>
        <v>0</v>
      </c>
      <c r="D330" t="str">
        <f>MacReports!C330&amp;""</f>
        <v/>
      </c>
      <c r="E330" t="e">
        <f>_xlfn.XLOOKUP(G330,Models!A:A,Models!F:F)</f>
        <v>#N/A</v>
      </c>
      <c r="F330" t="str">
        <f>_xlfn.XLOOKUP(B330,MacReports!B:B,MacReports!E:E,"")</f>
        <v/>
      </c>
      <c r="G330" s="13">
        <f>MacReports!F330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MacReports!G330</f>
        <v>0</v>
      </c>
      <c r="L330">
        <f>MacReports!H330</f>
        <v>0</v>
      </c>
      <c r="M330" s="15" t="e" cm="1">
        <f t="array" ref="M330">--_xlfn.LET(
    _xlpm.txt, MacReports!I330,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--MacReports!N330&lt;55,"Battery Defect",
  -- MacReports!N330&lt;=69,"Battery D",
  --MacReports!N330&lt;=80,"Battery C",
 --MacReports!N330&gt;80,""
)</f>
        <v>Battery Defect</v>
      </c>
      <c r="O330" s="16" t="str">
        <f>IF(MacReports!J330="Service","Battery Service","")</f>
        <v/>
      </c>
      <c r="P330" s="13">
        <f>MacReports!Q330</f>
        <v>0</v>
      </c>
      <c r="Q330" s="13" t="str">
        <f>IF(MacReports!K330="Enabled","Apple ID Lock","")</f>
        <v/>
      </c>
      <c r="R330" s="13" t="str">
        <f>IF(MacReports!M330="Remote Lock","Remote Locked","")</f>
        <v/>
      </c>
      <c r="S330" t="str">
        <f t="shared" si="11"/>
        <v>Battery Defect, 0</v>
      </c>
      <c r="T330" t="str">
        <f>_xlfn.XLOOKUP(B330,Disk_Pivot!G:G,Disk_Pivot!I:I)</f>
        <v>Yes x2</v>
      </c>
      <c r="U330" t="str">
        <f>_xlfn.XLOOKUP(B330,Disk_Pivot!G:G,Disk_Pivot!N:N)</f>
        <v>Pass, Fail</v>
      </c>
      <c r="V330" t="str">
        <f>IF(U330="Fail",MacReports!O330,"")</f>
        <v/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MacReports!D331</f>
        <v>0</v>
      </c>
      <c r="D331" t="str">
        <f>MacReports!C331&amp;""</f>
        <v/>
      </c>
      <c r="E331" t="e">
        <f>_xlfn.XLOOKUP(G331,Models!A:A,Models!F:F)</f>
        <v>#N/A</v>
      </c>
      <c r="F331" t="str">
        <f>_xlfn.XLOOKUP(B331,MacReports!B:B,MacReports!E:E,"")</f>
        <v/>
      </c>
      <c r="G331" s="13">
        <f>MacReports!F331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MacReports!G331</f>
        <v>0</v>
      </c>
      <c r="L331">
        <f>MacReports!H331</f>
        <v>0</v>
      </c>
      <c r="M331" s="15" t="e" cm="1">
        <f t="array" ref="M331">--_xlfn.LET(
    _xlpm.txt, MacReports!I331,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--MacReports!N331&lt;55,"Battery Defect",
  -- MacReports!N331&lt;=69,"Battery D",
  --MacReports!N331&lt;=80,"Battery C",
 --MacReports!N331&gt;80,""
)</f>
        <v>Battery Defect</v>
      </c>
      <c r="O331" s="16" t="str">
        <f>IF(MacReports!J331="Service","Battery Service","")</f>
        <v/>
      </c>
      <c r="P331" s="13">
        <f>MacReports!Q331</f>
        <v>0</v>
      </c>
      <c r="Q331" s="13" t="str">
        <f>IF(MacReports!K331="Enabled","Apple ID Lock","")</f>
        <v/>
      </c>
      <c r="R331" s="13" t="str">
        <f>IF(MacReports!M331="Remote Lock","Remote Locked","")</f>
        <v/>
      </c>
      <c r="S331" t="str">
        <f t="shared" si="11"/>
        <v>Battery Defect, 0</v>
      </c>
      <c r="T331" t="str">
        <f>_xlfn.XLOOKUP(B331,Disk_Pivot!G:G,Disk_Pivot!I:I)</f>
        <v>Yes x2</v>
      </c>
      <c r="U331" t="str">
        <f>_xlfn.XLOOKUP(B331,Disk_Pivot!G:G,Disk_Pivot!N:N)</f>
        <v>Pass, Fail</v>
      </c>
      <c r="V331" t="str">
        <f>IF(U331="Fail",MacReports!O331,"")</f>
        <v/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MacReports!D332</f>
        <v>0</v>
      </c>
      <c r="D332" t="str">
        <f>MacReports!C332&amp;""</f>
        <v/>
      </c>
      <c r="E332" t="e">
        <f>_xlfn.XLOOKUP(G332,Models!A:A,Models!F:F)</f>
        <v>#N/A</v>
      </c>
      <c r="F332" t="str">
        <f>_xlfn.XLOOKUP(B332,MacReports!B:B,MacReports!E:E,"")</f>
        <v/>
      </c>
      <c r="G332" s="13">
        <f>MacReports!F332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MacReports!G332</f>
        <v>0</v>
      </c>
      <c r="L332">
        <f>MacReports!H332</f>
        <v>0</v>
      </c>
      <c r="M332" s="15" t="e" cm="1">
        <f t="array" ref="M332">--_xlfn.LET(
    _xlpm.txt, MacReports!I332,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--MacReports!N332&lt;55,"Battery Defect",
  -- MacReports!N332&lt;=69,"Battery D",
  --MacReports!N332&lt;=80,"Battery C",
 --MacReports!N332&gt;80,""
)</f>
        <v>Battery Defect</v>
      </c>
      <c r="O332" s="16" t="str">
        <f>IF(MacReports!J332="Service","Battery Service","")</f>
        <v/>
      </c>
      <c r="P332" s="13">
        <f>MacReports!Q332</f>
        <v>0</v>
      </c>
      <c r="Q332" s="13" t="str">
        <f>IF(MacReports!K332="Enabled","Apple ID Lock","")</f>
        <v/>
      </c>
      <c r="R332" s="13" t="str">
        <f>IF(MacReports!M332="Remote Lock","Remote Locked","")</f>
        <v/>
      </c>
      <c r="S332" t="str">
        <f t="shared" si="11"/>
        <v>Battery Defect, 0</v>
      </c>
      <c r="T332" t="str">
        <f>_xlfn.XLOOKUP(B332,Disk_Pivot!G:G,Disk_Pivot!I:I)</f>
        <v>Yes x2</v>
      </c>
      <c r="U332" t="str">
        <f>_xlfn.XLOOKUP(B332,Disk_Pivot!G:G,Disk_Pivot!N:N)</f>
        <v>Pass, Fail</v>
      </c>
      <c r="V332" t="str">
        <f>IF(U332="Fail",MacReports!O332,"")</f>
        <v/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MacReports!D333</f>
        <v>0</v>
      </c>
      <c r="D333" t="str">
        <f>MacReports!C333&amp;""</f>
        <v/>
      </c>
      <c r="E333" t="e">
        <f>_xlfn.XLOOKUP(G333,Models!A:A,Models!F:F)</f>
        <v>#N/A</v>
      </c>
      <c r="F333" t="str">
        <f>_xlfn.XLOOKUP(B333,MacReports!B:B,MacReports!E:E,"")</f>
        <v/>
      </c>
      <c r="G333" s="13">
        <f>MacReports!F333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MacReports!G333</f>
        <v>0</v>
      </c>
      <c r="L333">
        <f>MacReports!H333</f>
        <v>0</v>
      </c>
      <c r="M333" s="15" t="e" cm="1">
        <f t="array" ref="M333">--_xlfn.LET(
    _xlpm.txt, MacReports!I333,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--MacReports!N333&lt;55,"Battery Defect",
  -- MacReports!N333&lt;=69,"Battery D",
  --MacReports!N333&lt;=80,"Battery C",
 --MacReports!N333&gt;80,""
)</f>
        <v>Battery Defect</v>
      </c>
      <c r="O333" s="16" t="str">
        <f>IF(MacReports!J333="Service","Battery Service","")</f>
        <v/>
      </c>
      <c r="P333" s="13">
        <f>MacReports!Q333</f>
        <v>0</v>
      </c>
      <c r="Q333" s="13" t="str">
        <f>IF(MacReports!K333="Enabled","Apple ID Lock","")</f>
        <v/>
      </c>
      <c r="R333" s="13" t="str">
        <f>IF(MacReports!M333="Remote Lock","Remote Locked","")</f>
        <v/>
      </c>
      <c r="S333" t="str">
        <f t="shared" si="11"/>
        <v>Battery Defect, 0</v>
      </c>
      <c r="T333" t="str">
        <f>_xlfn.XLOOKUP(B333,Disk_Pivot!G:G,Disk_Pivot!I:I)</f>
        <v>Yes x2</v>
      </c>
      <c r="U333" t="str">
        <f>_xlfn.XLOOKUP(B333,Disk_Pivot!G:G,Disk_Pivot!N:N)</f>
        <v>Pass, Fail</v>
      </c>
      <c r="V333" t="str">
        <f>IF(U333="Fail",MacReports!O333,"")</f>
        <v/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MacReports!D334</f>
        <v>0</v>
      </c>
      <c r="D334" t="str">
        <f>MacReports!C334&amp;""</f>
        <v/>
      </c>
      <c r="E334" t="e">
        <f>_xlfn.XLOOKUP(G334,Models!A:A,Models!F:F)</f>
        <v>#N/A</v>
      </c>
      <c r="F334" t="str">
        <f>_xlfn.XLOOKUP(B334,MacReports!B:B,MacReports!E:E,"")</f>
        <v/>
      </c>
      <c r="G334" s="13">
        <f>MacReports!F334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MacReports!G334</f>
        <v>0</v>
      </c>
      <c r="L334">
        <f>MacReports!H334</f>
        <v>0</v>
      </c>
      <c r="M334" s="15" t="e" cm="1">
        <f t="array" ref="M334">--_xlfn.LET(
    _xlpm.txt, MacReports!I334,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--MacReports!N334&lt;55,"Battery Defect",
  -- MacReports!N334&lt;=69,"Battery D",
  --MacReports!N334&lt;=80,"Battery C",
 --MacReports!N334&gt;80,""
)</f>
        <v>Battery Defect</v>
      </c>
      <c r="O334" s="16" t="str">
        <f>IF(MacReports!J334="Service","Battery Service","")</f>
        <v/>
      </c>
      <c r="P334" s="13">
        <f>MacReports!Q334</f>
        <v>0</v>
      </c>
      <c r="Q334" s="13" t="str">
        <f>IF(MacReports!K334="Enabled","Apple ID Lock","")</f>
        <v/>
      </c>
      <c r="R334" s="13" t="str">
        <f>IF(MacReports!M334="Remote Lock","Remote Locked","")</f>
        <v/>
      </c>
      <c r="S334" t="str">
        <f t="shared" si="11"/>
        <v>Battery Defect, 0</v>
      </c>
      <c r="T334" t="str">
        <f>_xlfn.XLOOKUP(B334,Disk_Pivot!G:G,Disk_Pivot!I:I)</f>
        <v>Yes x2</v>
      </c>
      <c r="U334" t="str">
        <f>_xlfn.XLOOKUP(B334,Disk_Pivot!G:G,Disk_Pivot!N:N)</f>
        <v>Pass, Fail</v>
      </c>
      <c r="V334" t="str">
        <f>IF(U334="Fail",MacReports!O334,"")</f>
        <v/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MacReports!D335</f>
        <v>0</v>
      </c>
      <c r="D335" t="str">
        <f>MacReports!C335&amp;""</f>
        <v/>
      </c>
      <c r="E335" t="e">
        <f>_xlfn.XLOOKUP(G335,Models!A:A,Models!F:F)</f>
        <v>#N/A</v>
      </c>
      <c r="F335" t="str">
        <f>_xlfn.XLOOKUP(B335,MacReports!B:B,MacReports!E:E,"")</f>
        <v/>
      </c>
      <c r="G335" s="13">
        <f>MacReports!F335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MacReports!G335</f>
        <v>0</v>
      </c>
      <c r="L335">
        <f>MacReports!H335</f>
        <v>0</v>
      </c>
      <c r="M335" s="15" t="e" cm="1">
        <f t="array" ref="M335">--_xlfn.LET(
    _xlpm.txt, MacReports!I335,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--MacReports!N335&lt;55,"Battery Defect",
  -- MacReports!N335&lt;=69,"Battery D",
  --MacReports!N335&lt;=80,"Battery C",
 --MacReports!N335&gt;80,""
)</f>
        <v>Battery Defect</v>
      </c>
      <c r="O335" s="16" t="str">
        <f>IF(MacReports!J335="Service","Battery Service","")</f>
        <v/>
      </c>
      <c r="P335" s="13">
        <f>MacReports!Q335</f>
        <v>0</v>
      </c>
      <c r="Q335" s="13" t="str">
        <f>IF(MacReports!K335="Enabled","Apple ID Lock","")</f>
        <v/>
      </c>
      <c r="R335" s="13" t="str">
        <f>IF(MacReports!M335="Remote Lock","Remote Locked","")</f>
        <v/>
      </c>
      <c r="S335" t="str">
        <f t="shared" si="11"/>
        <v>Battery Defect, 0</v>
      </c>
      <c r="T335" t="str">
        <f>_xlfn.XLOOKUP(B335,Disk_Pivot!G:G,Disk_Pivot!I:I)</f>
        <v>Yes x2</v>
      </c>
      <c r="U335" t="str">
        <f>_xlfn.XLOOKUP(B335,Disk_Pivot!G:G,Disk_Pivot!N:N)</f>
        <v>Pass, Fail</v>
      </c>
      <c r="V335" t="str">
        <f>IF(U335="Fail",MacReports!O335,"")</f>
        <v/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MacReports!D336</f>
        <v>0</v>
      </c>
      <c r="D336" t="str">
        <f>MacReports!C336&amp;""</f>
        <v/>
      </c>
      <c r="E336" t="e">
        <f>_xlfn.XLOOKUP(G336,Models!A:A,Models!F:F)</f>
        <v>#N/A</v>
      </c>
      <c r="F336" t="str">
        <f>_xlfn.XLOOKUP(B336,MacReports!B:B,MacReports!E:E,"")</f>
        <v/>
      </c>
      <c r="G336" s="13">
        <f>MacReports!F336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MacReports!G336</f>
        <v>0</v>
      </c>
      <c r="L336">
        <f>MacReports!H336</f>
        <v>0</v>
      </c>
      <c r="M336" s="15" t="e" cm="1">
        <f t="array" ref="M336">--_xlfn.LET(
    _xlpm.txt, MacReports!I336,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--MacReports!N336&lt;55,"Battery Defect",
  -- MacReports!N336&lt;=69,"Battery D",
  --MacReports!N336&lt;=80,"Battery C",
 --MacReports!N336&gt;80,""
)</f>
        <v>Battery Defect</v>
      </c>
      <c r="O336" s="16" t="str">
        <f>IF(MacReports!J336="Service","Battery Service","")</f>
        <v/>
      </c>
      <c r="P336" s="13">
        <f>MacReports!Q336</f>
        <v>0</v>
      </c>
      <c r="Q336" s="13" t="str">
        <f>IF(MacReports!K336="Enabled","Apple ID Lock","")</f>
        <v/>
      </c>
      <c r="R336" s="13" t="str">
        <f>IF(MacReports!M336="Remote Lock","Remote Locked","")</f>
        <v/>
      </c>
      <c r="S336" t="str">
        <f t="shared" si="11"/>
        <v>Battery Defect, 0</v>
      </c>
      <c r="T336" t="str">
        <f>_xlfn.XLOOKUP(B336,Disk_Pivot!G:G,Disk_Pivot!I:I)</f>
        <v>Yes x2</v>
      </c>
      <c r="U336" t="str">
        <f>_xlfn.XLOOKUP(B336,Disk_Pivot!G:G,Disk_Pivot!N:N)</f>
        <v>Pass, Fail</v>
      </c>
      <c r="V336" t="str">
        <f>IF(U336="Fail",MacReports!O336,"")</f>
        <v/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MacReports!D337</f>
        <v>0</v>
      </c>
      <c r="D337" t="str">
        <f>MacReports!C337&amp;""</f>
        <v/>
      </c>
      <c r="E337" t="e">
        <f>_xlfn.XLOOKUP(G337,Models!A:A,Models!F:F)</f>
        <v>#N/A</v>
      </c>
      <c r="F337" t="str">
        <f>_xlfn.XLOOKUP(B337,MacReports!B:B,MacReports!E:E,"")</f>
        <v/>
      </c>
      <c r="G337" s="13">
        <f>MacReports!F337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MacReports!G337</f>
        <v>0</v>
      </c>
      <c r="L337">
        <f>MacReports!H337</f>
        <v>0</v>
      </c>
      <c r="M337" s="15" t="e" cm="1">
        <f t="array" ref="M337">--_xlfn.LET(
    _xlpm.txt, MacReports!I337,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--MacReports!N337&lt;55,"Battery Defect",
  -- MacReports!N337&lt;=69,"Battery D",
  --MacReports!N337&lt;=80,"Battery C",
 --MacReports!N337&gt;80,""
)</f>
        <v>Battery Defect</v>
      </c>
      <c r="O337" s="16" t="str">
        <f>IF(MacReports!J337="Service","Battery Service","")</f>
        <v/>
      </c>
      <c r="P337" s="13">
        <f>MacReports!Q337</f>
        <v>0</v>
      </c>
      <c r="Q337" s="13" t="str">
        <f>IF(MacReports!K337="Enabled","Apple ID Lock","")</f>
        <v/>
      </c>
      <c r="R337" s="13" t="str">
        <f>IF(MacReports!M337="Remote Lock","Remote Locked","")</f>
        <v/>
      </c>
      <c r="S337" t="str">
        <f t="shared" si="11"/>
        <v>Battery Defect, 0</v>
      </c>
      <c r="T337" t="str">
        <f>_xlfn.XLOOKUP(B337,Disk_Pivot!G:G,Disk_Pivot!I:I)</f>
        <v>Yes x2</v>
      </c>
      <c r="U337" t="str">
        <f>_xlfn.XLOOKUP(B337,Disk_Pivot!G:G,Disk_Pivot!N:N)</f>
        <v>Pass, Fail</v>
      </c>
      <c r="V337" t="str">
        <f>IF(U337="Fail",MacReports!O337,"")</f>
        <v/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MacReports!D338</f>
        <v>0</v>
      </c>
      <c r="D338" t="str">
        <f>MacReports!C338&amp;""</f>
        <v/>
      </c>
      <c r="E338" t="e">
        <f>_xlfn.XLOOKUP(G338,Models!A:A,Models!F:F)</f>
        <v>#N/A</v>
      </c>
      <c r="F338" t="str">
        <f>_xlfn.XLOOKUP(B338,MacReports!B:B,MacReports!E:E,"")</f>
        <v/>
      </c>
      <c r="G338" s="13">
        <f>MacReports!F338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MacReports!G338</f>
        <v>0</v>
      </c>
      <c r="L338">
        <f>MacReports!H338</f>
        <v>0</v>
      </c>
      <c r="M338" s="15" t="e" cm="1">
        <f t="array" ref="M338">--_xlfn.LET(
    _xlpm.txt, MacReports!I338,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--MacReports!N338&lt;55,"Battery Defect",
  -- MacReports!N338&lt;=69,"Battery D",
  --MacReports!N338&lt;=80,"Battery C",
 --MacReports!N338&gt;80,""
)</f>
        <v>Battery Defect</v>
      </c>
      <c r="O338" s="16" t="str">
        <f>IF(MacReports!J338="Service","Battery Service","")</f>
        <v/>
      </c>
      <c r="P338" s="13">
        <f>MacReports!Q338</f>
        <v>0</v>
      </c>
      <c r="Q338" s="13" t="str">
        <f>IF(MacReports!K338="Enabled","Apple ID Lock","")</f>
        <v/>
      </c>
      <c r="R338" s="13" t="str">
        <f>IF(MacReports!M338="Remote Lock","Remote Locked","")</f>
        <v/>
      </c>
      <c r="S338" t="str">
        <f t="shared" si="11"/>
        <v>Battery Defect, 0</v>
      </c>
      <c r="T338" t="str">
        <f>_xlfn.XLOOKUP(B338,Disk_Pivot!G:G,Disk_Pivot!I:I)</f>
        <v>Yes x2</v>
      </c>
      <c r="U338" t="str">
        <f>_xlfn.XLOOKUP(B338,Disk_Pivot!G:G,Disk_Pivot!N:N)</f>
        <v>Pass, Fail</v>
      </c>
      <c r="V338" t="str">
        <f>IF(U338="Fail",MacReports!O338,"")</f>
        <v/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MacReports!D339</f>
        <v>0</v>
      </c>
      <c r="D339" t="str">
        <f>MacReports!C339&amp;""</f>
        <v/>
      </c>
      <c r="E339" t="e">
        <f>_xlfn.XLOOKUP(G339,Models!A:A,Models!F:F)</f>
        <v>#N/A</v>
      </c>
      <c r="F339" t="str">
        <f>_xlfn.XLOOKUP(B339,MacReports!B:B,MacReports!E:E,"")</f>
        <v/>
      </c>
      <c r="G339" s="13">
        <f>MacReports!F339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MacReports!G339</f>
        <v>0</v>
      </c>
      <c r="L339">
        <f>MacReports!H339</f>
        <v>0</v>
      </c>
      <c r="M339" s="15" t="e" cm="1">
        <f t="array" ref="M339">--_xlfn.LET(
    _xlpm.txt, MacReports!I339,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--MacReports!N339&lt;55,"Battery Defect",
  -- MacReports!N339&lt;=69,"Battery D",
  --MacReports!N339&lt;=80,"Battery C",
 --MacReports!N339&gt;80,""
)</f>
        <v>Battery Defect</v>
      </c>
      <c r="O339" s="16" t="str">
        <f>IF(MacReports!J339="Service","Battery Service","")</f>
        <v/>
      </c>
      <c r="P339" s="13">
        <f>MacReports!Q339</f>
        <v>0</v>
      </c>
      <c r="Q339" s="13" t="str">
        <f>IF(MacReports!K339="Enabled","Apple ID Lock","")</f>
        <v/>
      </c>
      <c r="R339" s="13" t="str">
        <f>IF(MacReports!M339="Remote Lock","Remote Locked","")</f>
        <v/>
      </c>
      <c r="S339" t="str">
        <f t="shared" si="11"/>
        <v>Battery Defect, 0</v>
      </c>
      <c r="T339" t="str">
        <f>_xlfn.XLOOKUP(B339,Disk_Pivot!G:G,Disk_Pivot!I:I)</f>
        <v>Yes x2</v>
      </c>
      <c r="U339" t="str">
        <f>_xlfn.XLOOKUP(B339,Disk_Pivot!G:G,Disk_Pivot!N:N)</f>
        <v>Pass, Fail</v>
      </c>
      <c r="V339" t="str">
        <f>IF(U339="Fail",MacReports!O339,"")</f>
        <v/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MacReports!D340</f>
        <v>0</v>
      </c>
      <c r="E340" t="e">
        <f>_xlfn.XLOOKUP(G340,Models!A:A,Models!F:F)</f>
        <v>#N/A</v>
      </c>
      <c r="F340" t="str">
        <f>_xlfn.XLOOKUP(B340,MacReports!B:B,MacReports!E:E,"")</f>
        <v/>
      </c>
      <c r="G340" s="13">
        <f>MacReports!F340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MacReports!G340</f>
        <v>0</v>
      </c>
      <c r="L340">
        <f>MacReports!H340</f>
        <v>0</v>
      </c>
      <c r="M340" s="15" t="e" cm="1">
        <f t="array" ref="M340">--_xlfn.LET(
    _xlpm.txt, MacReports!I340,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--MacReports!N340&lt;55,"Battery Defect",
  -- MacReports!N340&lt;=69,"Battery D",
  --MacReports!N340&lt;=80,"Battery C",
 --MacReports!N340&gt;80,""
)</f>
        <v>Battery Defect</v>
      </c>
      <c r="O340" s="16" t="str">
        <f>IF(MacReports!J340="Service","Battery Service","")</f>
        <v/>
      </c>
      <c r="P340" s="13">
        <f>MacReports!Q340</f>
        <v>0</v>
      </c>
      <c r="Q340" s="13" t="str">
        <f>IF(MacReports!K340="Enabled","Apple ID Lock","")</f>
        <v/>
      </c>
      <c r="R340" s="13" t="str">
        <f>IF(MacReports!M340="Remote Lock","Remote Locked","")</f>
        <v/>
      </c>
      <c r="S340" t="str">
        <f t="shared" si="11"/>
        <v>Battery Defect, 0</v>
      </c>
      <c r="T340" t="str">
        <f>_xlfn.XLOOKUP(B340,Disk_Pivot!G:G,Disk_Pivot!I:I)</f>
        <v>Yes x2</v>
      </c>
      <c r="U340" t="str">
        <f>_xlfn.XLOOKUP(B340,Disk_Pivot!G:G,Disk_Pivot!N:N)</f>
        <v>Pass, Fail</v>
      </c>
      <c r="V340" t="str">
        <f>IF(U340="Fail",MacReports!O340,"")</f>
        <v/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MacReports!D341</f>
        <v>0</v>
      </c>
      <c r="E341" t="e">
        <f>_xlfn.XLOOKUP(G341,Models!A:A,Models!F:F)</f>
        <v>#N/A</v>
      </c>
      <c r="F341" t="str">
        <f>_xlfn.XLOOKUP(B341,MacReports!B:B,MacReports!E:E,"")</f>
        <v/>
      </c>
      <c r="G341" s="13">
        <f>MacReports!F341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MacReports!G341</f>
        <v>0</v>
      </c>
      <c r="L341">
        <f>MacReports!H341</f>
        <v>0</v>
      </c>
      <c r="M341" s="15" t="e" cm="1">
        <f t="array" ref="M341">--_xlfn.LET(
    _xlpm.txt, MacReports!I341,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--MacReports!N341&lt;55,"Battery Defect",
  -- MacReports!N341&lt;=69,"Battery D",
  --MacReports!N341&lt;=80,"Battery C",
 --MacReports!N341&gt;80,""
)</f>
        <v>Battery Defect</v>
      </c>
      <c r="O341" s="16" t="str">
        <f>IF(MacReports!J341="Service","Battery Service","")</f>
        <v/>
      </c>
      <c r="P341" s="13">
        <f>MacReports!Q341</f>
        <v>0</v>
      </c>
      <c r="Q341" s="13" t="str">
        <f>IF(MacReports!K341="Enabled","Apple ID Lock","")</f>
        <v/>
      </c>
      <c r="R341" s="13" t="str">
        <f>IF(MacReports!M341="Remote Lock","Remote Locked","")</f>
        <v/>
      </c>
      <c r="S341" t="str">
        <f t="shared" si="11"/>
        <v>Battery Defect, 0</v>
      </c>
      <c r="T341" t="str">
        <f>_xlfn.XLOOKUP(B341,Disk_Pivot!G:G,Disk_Pivot!I:I)</f>
        <v>Yes x2</v>
      </c>
      <c r="U341" t="str">
        <f>_xlfn.XLOOKUP(B341,Disk_Pivot!G:G,Disk_Pivot!N:N)</f>
        <v>Pass, Fail</v>
      </c>
      <c r="V341" t="str">
        <f>IF(U341="Fail",MacReports!O341,"")</f>
        <v/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MacReports!D342</f>
        <v>0</v>
      </c>
      <c r="E342" t="e">
        <f>_xlfn.XLOOKUP(G342,Models!A:A,Models!F:F)</f>
        <v>#N/A</v>
      </c>
      <c r="F342" t="str">
        <f>_xlfn.XLOOKUP(B342,MacReports!B:B,MacReports!E:E,"")</f>
        <v/>
      </c>
      <c r="G342" s="13">
        <f>MacReports!F342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MacReports!G342</f>
        <v>0</v>
      </c>
      <c r="L342">
        <f>MacReports!H342</f>
        <v>0</v>
      </c>
      <c r="M342" s="15" t="e" cm="1">
        <f t="array" ref="M342">--_xlfn.LET(
    _xlpm.txt, MacReports!I342,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--MacReports!N342&lt;55,"Battery Defect",
  -- MacReports!N342&lt;=69,"Battery D",
  --MacReports!N342&lt;=80,"Battery C",
 --MacReports!N342&gt;80,""
)</f>
        <v>Battery Defect</v>
      </c>
      <c r="O342" s="16" t="str">
        <f>IF(MacReports!J342="Service","Battery Service","")</f>
        <v/>
      </c>
      <c r="P342" s="13">
        <f>MacReports!Q342</f>
        <v>0</v>
      </c>
      <c r="Q342" s="13" t="str">
        <f>IF(MacReports!K342="Enabled","Apple ID Lock","")</f>
        <v/>
      </c>
      <c r="R342" s="13" t="str">
        <f>IF(MacReports!M342="Remote Lock","Remote Locked","")</f>
        <v/>
      </c>
      <c r="S342" t="str">
        <f t="shared" si="11"/>
        <v>Battery Defect, 0</v>
      </c>
      <c r="T342" t="str">
        <f>_xlfn.XLOOKUP(B342,Disk_Pivot!G:G,Disk_Pivot!I:I)</f>
        <v>Yes x2</v>
      </c>
      <c r="U342" t="str">
        <f>_xlfn.XLOOKUP(B342,Disk_Pivot!G:G,Disk_Pivot!N:N)</f>
        <v>Pass, Fail</v>
      </c>
      <c r="V342" t="str">
        <f>IF(U342="Fail",MacReports!O342,"")</f>
        <v/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MacReports!D343</f>
        <v>0</v>
      </c>
      <c r="E343" t="e">
        <f>_xlfn.XLOOKUP(G343,Models!A:A,Models!F:F)</f>
        <v>#N/A</v>
      </c>
      <c r="F343" t="str">
        <f>_xlfn.XLOOKUP(B343,MacReports!B:B,MacReports!E:E,"")</f>
        <v/>
      </c>
      <c r="G343" s="13">
        <f>MacReports!F343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MacReports!G343</f>
        <v>0</v>
      </c>
      <c r="L343">
        <f>MacReports!H343</f>
        <v>0</v>
      </c>
      <c r="M343" s="15" t="e" cm="1">
        <f t="array" ref="M343">--_xlfn.LET(
    _xlpm.txt, MacReports!I343,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--MacReports!N343&lt;55,"Battery Defect",
  -- MacReports!N343&lt;=69,"Battery D",
  --MacReports!N343&lt;=80,"Battery C",
 --MacReports!N343&gt;80,""
)</f>
        <v>Battery Defect</v>
      </c>
      <c r="O343" s="16" t="str">
        <f>IF(MacReports!J343="Service","Battery Service","")</f>
        <v/>
      </c>
      <c r="P343" s="13">
        <f>MacReports!Q343</f>
        <v>0</v>
      </c>
      <c r="Q343" s="13" t="str">
        <f>IF(MacReports!K343="Enabled","Apple ID Lock","")</f>
        <v/>
      </c>
      <c r="R343" s="13" t="str">
        <f>IF(MacReports!M343="Remote Lock","Remote Locked","")</f>
        <v/>
      </c>
      <c r="S343" t="str">
        <f t="shared" si="11"/>
        <v>Battery Defect, 0</v>
      </c>
      <c r="T343" t="str">
        <f>_xlfn.XLOOKUP(B343,Disk_Pivot!G:G,Disk_Pivot!I:I)</f>
        <v>Yes x2</v>
      </c>
      <c r="U343" t="str">
        <f>_xlfn.XLOOKUP(B343,Disk_Pivot!G:G,Disk_Pivot!N:N)</f>
        <v>Pass, Fail</v>
      </c>
      <c r="V343" t="str">
        <f>IF(U343="Fail",MacReports!O343,"")</f>
        <v/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MacReports!D344</f>
        <v>0</v>
      </c>
      <c r="E344" t="e">
        <f>_xlfn.XLOOKUP(G344,Models!A:A,Models!F:F)</f>
        <v>#N/A</v>
      </c>
      <c r="F344" t="str">
        <f>_xlfn.XLOOKUP(B344,MacReports!B:B,MacReports!E:E,"")</f>
        <v/>
      </c>
      <c r="G344" s="13">
        <f>MacReports!F344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MacReports!G344</f>
        <v>0</v>
      </c>
      <c r="L344">
        <f>MacReports!H344</f>
        <v>0</v>
      </c>
      <c r="M344" s="15" t="e" cm="1">
        <f t="array" ref="M344">--_xlfn.LET(
    _xlpm.txt, MacReports!I344,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--MacReports!N344&lt;55,"Battery Defect",
  -- MacReports!N344&lt;=69,"Battery D",
  --MacReports!N344&lt;=80,"Battery C",
 --MacReports!N344&gt;80,""
)</f>
        <v>Battery Defect</v>
      </c>
      <c r="O344" s="16" t="str">
        <f>IF(MacReports!J344="Service","Battery Service","")</f>
        <v/>
      </c>
      <c r="P344" s="13">
        <f>MacReports!Q344</f>
        <v>0</v>
      </c>
      <c r="Q344" s="13" t="str">
        <f>IF(MacReports!K344="Enabled","Apple ID Lock","")</f>
        <v/>
      </c>
      <c r="R344" s="13" t="str">
        <f>IF(MacReports!M344="Remote Lock","Remote Locked","")</f>
        <v/>
      </c>
      <c r="S344" t="str">
        <f t="shared" si="11"/>
        <v>Battery Defect, 0</v>
      </c>
      <c r="T344" t="str">
        <f>_xlfn.XLOOKUP(B344,Disk_Pivot!G:G,Disk_Pivot!I:I)</f>
        <v>Yes x2</v>
      </c>
      <c r="U344" t="str">
        <f>_xlfn.XLOOKUP(B344,Disk_Pivot!G:G,Disk_Pivot!N:N)</f>
        <v>Pass, Fail</v>
      </c>
      <c r="V344" t="str">
        <f>IF(U344="Fail",MacReports!O344,"")</f>
        <v/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MacReports!D345</f>
        <v>0</v>
      </c>
      <c r="E345" t="e">
        <f>_xlfn.XLOOKUP(G345,Models!A:A,Models!F:F)</f>
        <v>#N/A</v>
      </c>
      <c r="F345" t="str">
        <f>_xlfn.XLOOKUP(B345,MacReports!B:B,MacReports!E:E,"")</f>
        <v/>
      </c>
      <c r="G345" s="13">
        <f>MacReports!F345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MacReports!G345</f>
        <v>0</v>
      </c>
      <c r="L345">
        <f>MacReports!H345</f>
        <v>0</v>
      </c>
      <c r="M345" s="15" t="e" cm="1">
        <f t="array" ref="M345">--_xlfn.LET(
    _xlpm.txt, MacReports!I345,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--MacReports!N345&lt;55,"Battery Defect",
  -- MacReports!N345&lt;=69,"Battery D",
  --MacReports!N345&lt;=80,"Battery C",
 --MacReports!N345&gt;80,""
)</f>
        <v>Battery Defect</v>
      </c>
      <c r="O345" s="16" t="str">
        <f>IF(MacReports!J345="Service","Battery Service","")</f>
        <v/>
      </c>
      <c r="P345" s="13">
        <f>MacReports!Q345</f>
        <v>0</v>
      </c>
      <c r="Q345" s="13" t="str">
        <f>IF(MacReports!K345="Enabled","Apple ID Lock","")</f>
        <v/>
      </c>
      <c r="R345" s="13" t="str">
        <f>IF(MacReports!M345="Remote Lock","Remote Locked","")</f>
        <v/>
      </c>
      <c r="S345" t="str">
        <f t="shared" si="11"/>
        <v>Battery Defect, 0</v>
      </c>
      <c r="T345" t="str">
        <f>_xlfn.XLOOKUP(B345,Disk_Pivot!G:G,Disk_Pivot!I:I)</f>
        <v>Yes x2</v>
      </c>
      <c r="U345" t="str">
        <f>_xlfn.XLOOKUP(B345,Disk_Pivot!G:G,Disk_Pivot!N:N)</f>
        <v>Pass, Fail</v>
      </c>
      <c r="V345" t="str">
        <f>IF(U345="Fail",MacReports!O345,"")</f>
        <v/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MacReports!D346</f>
        <v>0</v>
      </c>
      <c r="E346" t="e">
        <f>_xlfn.XLOOKUP(G346,Models!A:A,Models!F:F)</f>
        <v>#N/A</v>
      </c>
      <c r="F346" t="str">
        <f>_xlfn.XLOOKUP(B346,MacReports!B:B,MacReports!E:E,"")</f>
        <v/>
      </c>
      <c r="G346" s="13">
        <f>MacReports!F346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MacReports!G346</f>
        <v>0</v>
      </c>
      <c r="L346">
        <f>MacReports!H346</f>
        <v>0</v>
      </c>
      <c r="M346" s="15" t="e" cm="1">
        <f t="array" ref="M346">--_xlfn.LET(
    _xlpm.txt, MacReports!I346,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--MacReports!N346&lt;55,"Battery Defect",
  -- MacReports!N346&lt;=69,"Battery D",
  --MacReports!N346&lt;=80,"Battery C",
 --MacReports!N346&gt;80,""
)</f>
        <v>Battery Defect</v>
      </c>
      <c r="O346" s="16" t="str">
        <f>IF(MacReports!J346="Service","Battery Service","")</f>
        <v/>
      </c>
      <c r="P346" s="13">
        <f>MacReports!Q346</f>
        <v>0</v>
      </c>
      <c r="Q346" s="13" t="str">
        <f>IF(MacReports!K346="Enabled","Apple ID Lock","")</f>
        <v/>
      </c>
      <c r="R346" s="13" t="str">
        <f>IF(MacReports!M346="Remote Lock","Remote Locked","")</f>
        <v/>
      </c>
      <c r="S346" t="str">
        <f t="shared" si="11"/>
        <v>Battery Defect, 0</v>
      </c>
      <c r="T346" t="str">
        <f>_xlfn.XLOOKUP(B346,Disk_Pivot!G:G,Disk_Pivot!I:I)</f>
        <v>Yes x2</v>
      </c>
      <c r="U346" t="str">
        <f>_xlfn.XLOOKUP(B346,Disk_Pivot!G:G,Disk_Pivot!N:N)</f>
        <v>Pass, Fail</v>
      </c>
      <c r="V346" t="str">
        <f>IF(U346="Fail",MacReports!O346,"")</f>
        <v/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MacReports!D347</f>
        <v>0</v>
      </c>
      <c r="E347" t="e">
        <f>_xlfn.XLOOKUP(G347,Models!A:A,Models!F:F)</f>
        <v>#N/A</v>
      </c>
      <c r="F347" t="str">
        <f>_xlfn.XLOOKUP(B347,MacReports!B:B,MacReports!E:E,"")</f>
        <v/>
      </c>
      <c r="G347" s="13">
        <f>MacReports!F347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MacReports!G347</f>
        <v>0</v>
      </c>
      <c r="L347">
        <f>MacReports!H347</f>
        <v>0</v>
      </c>
      <c r="M347" s="15" t="e" cm="1">
        <f t="array" ref="M347">--_xlfn.LET(
    _xlpm.txt, MacReports!I347,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--MacReports!N347&lt;55,"Battery Defect",
  -- MacReports!N347&lt;=69,"Battery D",
  --MacReports!N347&lt;=80,"Battery C",
 --MacReports!N347&gt;80,""
)</f>
        <v>Battery Defect</v>
      </c>
      <c r="O347" s="16" t="str">
        <f>IF(MacReports!J347="Service","Battery Service","")</f>
        <v/>
      </c>
      <c r="P347" s="13">
        <f>MacReports!Q347</f>
        <v>0</v>
      </c>
      <c r="Q347" s="13" t="str">
        <f>IF(MacReports!K347="Enabled","Apple ID Lock","")</f>
        <v/>
      </c>
      <c r="R347" s="13" t="str">
        <f>IF(MacReports!M347="Remote Lock","Remote Locked","")</f>
        <v/>
      </c>
      <c r="S347" t="str">
        <f t="shared" si="11"/>
        <v>Battery Defect, 0</v>
      </c>
      <c r="T347" t="str">
        <f>_xlfn.XLOOKUP(B347,Disk_Pivot!G:G,Disk_Pivot!I:I)</f>
        <v>Yes x2</v>
      </c>
      <c r="U347" t="str">
        <f>_xlfn.XLOOKUP(B347,Disk_Pivot!G:G,Disk_Pivot!N:N)</f>
        <v>Pass, Fail</v>
      </c>
      <c r="V347" t="str">
        <f>IF(U347="Fail",MacReports!O347,"")</f>
        <v/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MacReports!D348</f>
        <v>0</v>
      </c>
      <c r="E348" t="e">
        <f>_xlfn.XLOOKUP(G348,Models!A:A,Models!F:F)</f>
        <v>#N/A</v>
      </c>
      <c r="F348" t="str">
        <f>_xlfn.XLOOKUP(B348,MacReports!B:B,MacReports!E:E,"")</f>
        <v/>
      </c>
      <c r="G348" s="13">
        <f>MacReports!F348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MacReports!G348</f>
        <v>0</v>
      </c>
      <c r="L348">
        <f>MacReports!H348</f>
        <v>0</v>
      </c>
      <c r="M348" s="15" t="e" cm="1">
        <f t="array" ref="M348">--_xlfn.LET(
    _xlpm.txt, MacReports!I348,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--MacReports!N348&lt;55,"Battery Defect",
  -- MacReports!N348&lt;=69,"Battery D",
  --MacReports!N348&lt;=80,"Battery C",
 --MacReports!N348&gt;80,""
)</f>
        <v>Battery Defect</v>
      </c>
      <c r="O348" s="16" t="str">
        <f>IF(MacReports!J348="Service","Battery Service","")</f>
        <v/>
      </c>
      <c r="P348" s="13">
        <f>MacReports!Q348</f>
        <v>0</v>
      </c>
      <c r="Q348" s="13" t="str">
        <f>IF(MacReports!K348="Enabled","Apple ID Lock","")</f>
        <v/>
      </c>
      <c r="R348" s="13" t="str">
        <f>IF(MacReports!M348="Remote Lock","Remote Locked","")</f>
        <v/>
      </c>
      <c r="S348" t="str">
        <f t="shared" si="11"/>
        <v>Battery Defect, 0</v>
      </c>
      <c r="T348" t="str">
        <f>_xlfn.XLOOKUP(B348,Disk_Pivot!G:G,Disk_Pivot!I:I)</f>
        <v>Yes x2</v>
      </c>
      <c r="U348" t="str">
        <f>_xlfn.XLOOKUP(B348,Disk_Pivot!G:G,Disk_Pivot!N:N)</f>
        <v>Pass, Fail</v>
      </c>
      <c r="V348" t="str">
        <f>IF(U348="Fail",MacReports!O348,"")</f>
        <v/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MacReports!D349</f>
        <v>0</v>
      </c>
      <c r="E349" t="e">
        <f>_xlfn.XLOOKUP(G349,Models!A:A,Models!F:F)</f>
        <v>#N/A</v>
      </c>
      <c r="F349" t="str">
        <f>_xlfn.XLOOKUP(B349,MacReports!B:B,MacReports!E:E,"")</f>
        <v/>
      </c>
      <c r="G349" s="13">
        <f>MacReports!F349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MacReports!G349</f>
        <v>0</v>
      </c>
      <c r="L349">
        <f>MacReports!H349</f>
        <v>0</v>
      </c>
      <c r="M349" s="15" t="e" cm="1">
        <f t="array" ref="M349">--_xlfn.LET(
    _xlpm.txt, MacReports!I349,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--MacReports!N349&lt;55,"Battery Defect",
  -- MacReports!N349&lt;=69,"Battery D",
  --MacReports!N349&lt;=80,"Battery C",
 --MacReports!N349&gt;80,""
)</f>
        <v>Battery Defect</v>
      </c>
      <c r="O349" s="16" t="str">
        <f>IF(MacReports!J349="Service","Battery Service","")</f>
        <v/>
      </c>
      <c r="P349" s="13">
        <f>MacReports!Q349</f>
        <v>0</v>
      </c>
      <c r="Q349" s="13" t="str">
        <f>IF(MacReports!K349="Enabled","Apple ID Lock","")</f>
        <v/>
      </c>
      <c r="R349" s="13" t="str">
        <f>IF(MacReports!M349="Remote Lock","Remote Locked","")</f>
        <v/>
      </c>
      <c r="S349" t="str">
        <f t="shared" si="11"/>
        <v>Battery Defect, 0</v>
      </c>
      <c r="T349" t="str">
        <f>_xlfn.XLOOKUP(B349,Disk_Pivot!G:G,Disk_Pivot!I:I)</f>
        <v>Yes x2</v>
      </c>
      <c r="U349" t="str">
        <f>_xlfn.XLOOKUP(B349,Disk_Pivot!G:G,Disk_Pivot!N:N)</f>
        <v>Pass, Fail</v>
      </c>
      <c r="V349" t="str">
        <f>IF(U349="Fail",MacReports!O349,"")</f>
        <v/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MacReports!D350</f>
        <v>0</v>
      </c>
      <c r="E350" t="e">
        <f>_xlfn.XLOOKUP(G350,Models!A:A,Models!F:F)</f>
        <v>#N/A</v>
      </c>
      <c r="F350" t="str">
        <f>_xlfn.XLOOKUP(B350,MacReports!B:B,MacReports!E:E,"")</f>
        <v/>
      </c>
      <c r="G350" s="13">
        <f>MacReports!F350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MacReports!G350</f>
        <v>0</v>
      </c>
      <c r="L350">
        <f>MacReports!H350</f>
        <v>0</v>
      </c>
      <c r="M350" s="15" t="e" cm="1">
        <f t="array" ref="M350">--_xlfn.LET(
    _xlpm.txt, MacReports!I350,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--MacReports!N350&lt;55,"Battery Defect",
  -- MacReports!N350&lt;=69,"Battery D",
  --MacReports!N350&lt;=80,"Battery C",
 --MacReports!N350&gt;80,""
)</f>
        <v>Battery Defect</v>
      </c>
      <c r="O350" s="16" t="str">
        <f>IF(MacReports!J350="Service","Battery Service","")</f>
        <v/>
      </c>
      <c r="P350" s="13">
        <f>MacReports!Q350</f>
        <v>0</v>
      </c>
      <c r="Q350" s="13" t="str">
        <f>IF(MacReports!K350="Enabled","Apple ID Lock","")</f>
        <v/>
      </c>
      <c r="R350" s="13" t="str">
        <f>IF(MacReports!M350="Remote Lock","Remote Locked","")</f>
        <v/>
      </c>
      <c r="S350" t="str">
        <f t="shared" si="11"/>
        <v>Battery Defect, 0</v>
      </c>
      <c r="T350" t="str">
        <f>_xlfn.XLOOKUP(B350,Disk_Pivot!G:G,Disk_Pivot!I:I)</f>
        <v>Yes x2</v>
      </c>
      <c r="U350" t="str">
        <f>_xlfn.XLOOKUP(B350,Disk_Pivot!G:G,Disk_Pivot!N:N)</f>
        <v>Pass, Fail</v>
      </c>
      <c r="V350" t="str">
        <f>IF(U350="Fail",MacReports!O350,"")</f>
        <v/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MacReports!D351</f>
        <v>0</v>
      </c>
      <c r="E351" t="e">
        <f>_xlfn.XLOOKUP(G351,Models!A:A,Models!F:F)</f>
        <v>#N/A</v>
      </c>
      <c r="F351" t="str">
        <f>_xlfn.XLOOKUP(B351,MacReports!B:B,MacReports!E:E,"")</f>
        <v/>
      </c>
      <c r="G351" s="13">
        <f>MacReports!F351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MacReports!G351</f>
        <v>0</v>
      </c>
      <c r="L351">
        <f>MacReports!H351</f>
        <v>0</v>
      </c>
      <c r="M351" s="15" t="e" cm="1">
        <f t="array" ref="M351">--_xlfn.LET(
    _xlpm.txt, MacReports!I351,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--MacReports!N351&lt;55,"Battery Defect",
  -- MacReports!N351&lt;=69,"Battery D",
  --MacReports!N351&lt;=80,"Battery C",
 --MacReports!N351&gt;80,""
)</f>
        <v>Battery Defect</v>
      </c>
      <c r="O351" s="16" t="str">
        <f>IF(MacReports!J351="Service","Battery Service","")</f>
        <v/>
      </c>
      <c r="P351" s="13">
        <f>MacReports!Q351</f>
        <v>0</v>
      </c>
      <c r="Q351" s="13" t="str">
        <f>IF(MacReports!K351="Enabled","Apple ID Lock","")</f>
        <v/>
      </c>
      <c r="R351" s="13" t="str">
        <f>IF(MacReports!M351="Remote Lock","Remote Locked","")</f>
        <v/>
      </c>
      <c r="S351" t="str">
        <f t="shared" si="11"/>
        <v>Battery Defect, 0</v>
      </c>
      <c r="T351" t="str">
        <f>_xlfn.XLOOKUP(B351,Disk_Pivot!G:G,Disk_Pivot!I:I)</f>
        <v>Yes x2</v>
      </c>
      <c r="U351" t="str">
        <f>_xlfn.XLOOKUP(B351,Disk_Pivot!G:G,Disk_Pivot!N:N)</f>
        <v>Pass, Fail</v>
      </c>
      <c r="V351" t="str">
        <f>IF(U351="Fail",MacReports!O351,"")</f>
        <v/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MacReports!D352</f>
        <v>0</v>
      </c>
      <c r="E352" t="e">
        <f>_xlfn.XLOOKUP(G352,Models!A:A,Models!F:F)</f>
        <v>#N/A</v>
      </c>
      <c r="F352" t="str">
        <f>_xlfn.XLOOKUP(B352,MacReports!B:B,MacReports!E:E,"")</f>
        <v/>
      </c>
      <c r="G352" s="13">
        <f>MacReports!F352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MacReports!G352</f>
        <v>0</v>
      </c>
      <c r="L352">
        <f>MacReports!H352</f>
        <v>0</v>
      </c>
      <c r="M352" s="15" t="e" cm="1">
        <f t="array" ref="M352">--_xlfn.LET(
    _xlpm.txt, MacReports!I352,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--MacReports!N352&lt;55,"Battery Defect",
  -- MacReports!N352&lt;=69,"Battery D",
  --MacReports!N352&lt;=80,"Battery C",
 --MacReports!N352&gt;80,""
)</f>
        <v>Battery Defect</v>
      </c>
      <c r="O352" s="16" t="str">
        <f>IF(MacReports!J352="Service","Battery Service","")</f>
        <v/>
      </c>
      <c r="P352" s="13">
        <f>MacReports!Q352</f>
        <v>0</v>
      </c>
      <c r="Q352" s="13" t="str">
        <f>IF(MacReports!K352="Enabled","Apple ID Lock","")</f>
        <v/>
      </c>
      <c r="R352" s="13" t="str">
        <f>IF(MacReports!M352="Remote Lock","Remote Locked","")</f>
        <v/>
      </c>
      <c r="S352" t="str">
        <f t="shared" si="11"/>
        <v>Battery Defect, 0</v>
      </c>
      <c r="T352" t="str">
        <f>_xlfn.XLOOKUP(B352,Disk_Pivot!G:G,Disk_Pivot!I:I)</f>
        <v>Yes x2</v>
      </c>
      <c r="U352" t="str">
        <f>_xlfn.XLOOKUP(B352,Disk_Pivot!G:G,Disk_Pivot!N:N)</f>
        <v>Pass, Fail</v>
      </c>
      <c r="V352" t="str">
        <f>IF(U352="Fail",MacReports!O352,"")</f>
        <v/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MacReports!D353</f>
        <v>0</v>
      </c>
      <c r="E353" t="e">
        <f>_xlfn.XLOOKUP(G353,Models!A:A,Models!F:F)</f>
        <v>#N/A</v>
      </c>
      <c r="F353" t="str">
        <f>_xlfn.XLOOKUP(B353,MacReports!B:B,MacReports!E:E,"")</f>
        <v/>
      </c>
      <c r="G353" s="13">
        <f>MacReports!F353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MacReports!G353</f>
        <v>0</v>
      </c>
      <c r="L353">
        <f>MacReports!H353</f>
        <v>0</v>
      </c>
      <c r="M353" s="15" t="e" cm="1">
        <f t="array" ref="M353">--_xlfn.LET(
    _xlpm.txt, MacReports!I353,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--MacReports!N353&lt;55,"Battery Defect",
  -- MacReports!N353&lt;=69,"Battery D",
  --MacReports!N353&lt;=80,"Battery C",
 --MacReports!N353&gt;80,""
)</f>
        <v>Battery Defect</v>
      </c>
      <c r="O353" s="16" t="str">
        <f>IF(MacReports!J353="Service","Battery Service","")</f>
        <v/>
      </c>
      <c r="P353" s="13">
        <f>MacReports!Q353</f>
        <v>0</v>
      </c>
      <c r="Q353" s="13" t="str">
        <f>IF(MacReports!K353="Enabled","Apple ID Lock","")</f>
        <v/>
      </c>
      <c r="R353" s="13" t="str">
        <f>IF(MacReports!M353="Remote Lock","Remote Locked","")</f>
        <v/>
      </c>
      <c r="S353" t="str">
        <f t="shared" si="11"/>
        <v>Battery Defect, 0</v>
      </c>
      <c r="T353" t="str">
        <f>_xlfn.XLOOKUP(B353,Disk_Pivot!G:G,Disk_Pivot!I:I)</f>
        <v>Yes x2</v>
      </c>
      <c r="U353" t="str">
        <f>_xlfn.XLOOKUP(B353,Disk_Pivot!G:G,Disk_Pivot!N:N)</f>
        <v>Pass, Fail</v>
      </c>
      <c r="V353" t="str">
        <f>IF(U353="Fail",MacReports!O353,"")</f>
        <v/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MacReports!D354</f>
        <v>0</v>
      </c>
      <c r="E354" t="e">
        <f>_xlfn.XLOOKUP(G354,Models!A:A,Models!F:F)</f>
        <v>#N/A</v>
      </c>
      <c r="F354" t="str">
        <f>_xlfn.XLOOKUP(B354,MacReports!B:B,MacReports!E:E,"")</f>
        <v/>
      </c>
      <c r="G354" s="13">
        <f>MacReports!F354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MacReports!G354</f>
        <v>0</v>
      </c>
      <c r="L354">
        <f>MacReports!H354</f>
        <v>0</v>
      </c>
      <c r="M354" s="15" t="e" cm="1">
        <f t="array" ref="M354">--_xlfn.LET(
    _xlpm.txt, MacReports!I354,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--MacReports!N354&lt;55,"Battery Defect",
  -- MacReports!N354&lt;=69,"Battery D",
  --MacReports!N354&lt;=80,"Battery C",
 --MacReports!N354&gt;80,""
)</f>
        <v>Battery Defect</v>
      </c>
      <c r="O354" s="16" t="str">
        <f>IF(MacReports!J354="Service","Battery Service","")</f>
        <v/>
      </c>
      <c r="P354" s="13">
        <f>MacReports!Q354</f>
        <v>0</v>
      </c>
      <c r="Q354" s="13" t="str">
        <f>IF(MacReports!K354="Enabled","Apple ID Lock","")</f>
        <v/>
      </c>
      <c r="R354" s="13" t="str">
        <f>IF(MacReports!M354="Remote Lock","Remote Locked","")</f>
        <v/>
      </c>
      <c r="S354" t="str">
        <f t="shared" si="11"/>
        <v>Battery Defect, 0</v>
      </c>
      <c r="T354" t="str">
        <f>_xlfn.XLOOKUP(B354,Disk_Pivot!G:G,Disk_Pivot!I:I)</f>
        <v>Yes x2</v>
      </c>
      <c r="U354" t="str">
        <f>_xlfn.XLOOKUP(B354,Disk_Pivot!G:G,Disk_Pivot!N:N)</f>
        <v>Pass, Fail</v>
      </c>
      <c r="V354" t="str">
        <f>IF(U354="Fail",MacReports!O354,"")</f>
        <v/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MacReports!D355</f>
        <v>0</v>
      </c>
      <c r="E355" t="e">
        <f>_xlfn.XLOOKUP(G355,Models!A:A,Models!F:F)</f>
        <v>#N/A</v>
      </c>
      <c r="F355" t="str">
        <f>_xlfn.XLOOKUP(B355,MacReports!B:B,MacReports!E:E,"")</f>
        <v/>
      </c>
      <c r="G355" s="13">
        <f>MacReports!F355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MacReports!G355</f>
        <v>0</v>
      </c>
      <c r="L355">
        <f>MacReports!H355</f>
        <v>0</v>
      </c>
      <c r="M355" s="15" t="e" cm="1">
        <f t="array" ref="M355">--_xlfn.LET(
    _xlpm.txt, MacReports!I355,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--MacReports!N355&lt;55,"Battery Defect",
  -- MacReports!N355&lt;=69,"Battery D",
  --MacReports!N355&lt;=80,"Battery C",
 --MacReports!N355&gt;80,""
)</f>
        <v>Battery Defect</v>
      </c>
      <c r="O355" s="16" t="str">
        <f>IF(MacReports!J355="Service","Battery Service","")</f>
        <v/>
      </c>
      <c r="P355" s="13">
        <f>MacReports!Q355</f>
        <v>0</v>
      </c>
      <c r="Q355" s="13" t="str">
        <f>IF(MacReports!K355="Enabled","Apple ID Lock","")</f>
        <v/>
      </c>
      <c r="R355" s="13" t="str">
        <f>IF(MacReports!M355="Remote Lock","Remote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Yes x2</v>
      </c>
      <c r="U355" t="str">
        <f>_xlfn.XLOOKUP(B355,Disk_Pivot!G:G,Disk_Pivot!N:N)</f>
        <v>Pass, Fail</v>
      </c>
      <c r="V355" t="str">
        <f>IF(U355="Fail",MacReports!O355,"")</f>
        <v/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MacReports!D356</f>
        <v>0</v>
      </c>
      <c r="E356" t="e">
        <f>_xlfn.XLOOKUP(G356,Models!A:A,Models!F:F)</f>
        <v>#N/A</v>
      </c>
      <c r="F356" t="str">
        <f>_xlfn.XLOOKUP(B356,MacReports!B:B,MacReports!E:E,"")</f>
        <v/>
      </c>
      <c r="G356" s="13">
        <f>MacReports!F356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MacReports!G356</f>
        <v>0</v>
      </c>
      <c r="L356">
        <f>MacReports!H356</f>
        <v>0</v>
      </c>
      <c r="M356" s="15" t="e" cm="1">
        <f t="array" ref="M356">--_xlfn.LET(
    _xlpm.txt, MacReports!I356,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--MacReports!N356&lt;55,"Battery Defect",
  -- MacReports!N356&lt;=69,"Battery D",
  --MacReports!N356&lt;=80,"Battery C",
 --MacReports!N356&gt;80,""
)</f>
        <v>Battery Defect</v>
      </c>
      <c r="O356" s="16" t="str">
        <f>IF(MacReports!J356="Service","Battery Service","")</f>
        <v/>
      </c>
      <c r="P356" s="13">
        <f>MacReports!Q356</f>
        <v>0</v>
      </c>
      <c r="Q356" s="13" t="str">
        <f>IF(MacReports!K356="Enabled","Apple ID Lock","")</f>
        <v/>
      </c>
      <c r="R356" s="13" t="str">
        <f>IF(MacReports!M356="Remote Lock","Remote Locked","")</f>
        <v/>
      </c>
      <c r="S356" t="str">
        <f t="shared" si="13"/>
        <v>Battery Defect, 0</v>
      </c>
      <c r="T356" t="str">
        <f>_xlfn.XLOOKUP(B356,Disk_Pivot!G:G,Disk_Pivot!I:I)</f>
        <v>Yes x2</v>
      </c>
      <c r="U356" t="str">
        <f>_xlfn.XLOOKUP(B356,Disk_Pivot!G:G,Disk_Pivot!N:N)</f>
        <v>Pass, Fail</v>
      </c>
      <c r="V356" t="str">
        <f>IF(U356="Fail",MacReports!O356,"")</f>
        <v/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MacReports!D357</f>
        <v>0</v>
      </c>
      <c r="E357" t="e">
        <f>_xlfn.XLOOKUP(G357,Models!A:A,Models!F:F)</f>
        <v>#N/A</v>
      </c>
      <c r="F357" t="str">
        <f>_xlfn.XLOOKUP(B357,MacReports!B:B,MacReports!E:E,"")</f>
        <v/>
      </c>
      <c r="G357" s="13">
        <f>MacReports!F357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MacReports!G357</f>
        <v>0</v>
      </c>
      <c r="L357">
        <f>MacReports!H357</f>
        <v>0</v>
      </c>
      <c r="M357" s="15" t="e" cm="1">
        <f t="array" ref="M357">--_xlfn.LET(
    _xlpm.txt, MacReports!I357,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--MacReports!N357&lt;55,"Battery Defect",
  -- MacReports!N357&lt;=69,"Battery D",
  --MacReports!N357&lt;=80,"Battery C",
 --MacReports!N357&gt;80,""
)</f>
        <v>Battery Defect</v>
      </c>
      <c r="O357" s="16" t="str">
        <f>IF(MacReports!J357="Service","Battery Service","")</f>
        <v/>
      </c>
      <c r="P357" s="13">
        <f>MacReports!Q357</f>
        <v>0</v>
      </c>
      <c r="Q357" s="13" t="str">
        <f>IF(MacReports!K357="Enabled","Apple ID Lock","")</f>
        <v/>
      </c>
      <c r="R357" s="13" t="str">
        <f>IF(MacReports!M357="Remote Lock","Remote Locked","")</f>
        <v/>
      </c>
      <c r="S357" t="str">
        <f t="shared" si="13"/>
        <v>Battery Defect, 0</v>
      </c>
      <c r="T357" t="str">
        <f>_xlfn.XLOOKUP(B357,Disk_Pivot!G:G,Disk_Pivot!I:I)</f>
        <v>Yes x2</v>
      </c>
      <c r="U357" t="str">
        <f>_xlfn.XLOOKUP(B357,Disk_Pivot!G:G,Disk_Pivot!N:N)</f>
        <v>Pass, Fail</v>
      </c>
      <c r="V357" t="str">
        <f>IF(U357="Fail",MacReports!O357,"")</f>
        <v/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MacReports!D358</f>
        <v>0</v>
      </c>
      <c r="E358" t="e">
        <f>_xlfn.XLOOKUP(G358,Models!A:A,Models!F:F)</f>
        <v>#N/A</v>
      </c>
      <c r="F358" t="str">
        <f>_xlfn.XLOOKUP(B358,MacReports!B:B,MacReports!E:E,"")</f>
        <v/>
      </c>
      <c r="G358" s="13">
        <f>MacReports!F358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MacReports!G358</f>
        <v>0</v>
      </c>
      <c r="L358">
        <f>MacReports!H358</f>
        <v>0</v>
      </c>
      <c r="M358" s="15" t="e" cm="1">
        <f t="array" ref="M358">--_xlfn.LET(
    _xlpm.txt, MacReports!I358,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--MacReports!N358&lt;55,"Battery Defect",
  -- MacReports!N358&lt;=69,"Battery D",
  --MacReports!N358&lt;=80,"Battery C",
 --MacReports!N358&gt;80,""
)</f>
        <v>Battery Defect</v>
      </c>
      <c r="O358" s="16" t="str">
        <f>IF(MacReports!J358="Service","Battery Service","")</f>
        <v/>
      </c>
      <c r="P358" s="13">
        <f>MacReports!Q358</f>
        <v>0</v>
      </c>
      <c r="Q358" s="13" t="str">
        <f>IF(MacReports!K358="Enabled","Apple ID Lock","")</f>
        <v/>
      </c>
      <c r="R358" s="13" t="str">
        <f>IF(MacReports!M358="Remote Lock","Remote Locked","")</f>
        <v/>
      </c>
      <c r="S358" t="str">
        <f t="shared" si="13"/>
        <v>Battery Defect, 0</v>
      </c>
      <c r="T358" t="str">
        <f>_xlfn.XLOOKUP(B358,Disk_Pivot!G:G,Disk_Pivot!I:I)</f>
        <v>Yes x2</v>
      </c>
      <c r="U358" t="str">
        <f>_xlfn.XLOOKUP(B358,Disk_Pivot!G:G,Disk_Pivot!N:N)</f>
        <v>Pass, Fail</v>
      </c>
      <c r="V358" t="str">
        <f>IF(U358="Fail",MacReports!O358,"")</f>
        <v/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MacReports!D359</f>
        <v>0</v>
      </c>
      <c r="E359" t="e">
        <f>_xlfn.XLOOKUP(G359,Models!A:A,Models!F:F)</f>
        <v>#N/A</v>
      </c>
      <c r="F359" t="str">
        <f>_xlfn.XLOOKUP(B359,MacReports!B:B,MacReports!E:E,"")</f>
        <v/>
      </c>
      <c r="G359" s="13">
        <f>MacReports!F359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MacReports!G359</f>
        <v>0</v>
      </c>
      <c r="L359">
        <f>MacReports!H359</f>
        <v>0</v>
      </c>
      <c r="M359" s="15" t="e" cm="1">
        <f t="array" ref="M359">--_xlfn.LET(
    _xlpm.txt, MacReports!I359,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--MacReports!N359&lt;55,"Battery Defect",
  -- MacReports!N359&lt;=69,"Battery D",
  --MacReports!N359&lt;=80,"Battery C",
 --MacReports!N359&gt;80,""
)</f>
        <v>Battery Defect</v>
      </c>
      <c r="O359" s="16" t="str">
        <f>IF(MacReports!J359="Service","Battery Service","")</f>
        <v/>
      </c>
      <c r="P359" s="13">
        <f>MacReports!Q359</f>
        <v>0</v>
      </c>
      <c r="Q359" s="13" t="str">
        <f>IF(MacReports!K359="Enabled","Apple ID Lock","")</f>
        <v/>
      </c>
      <c r="R359" s="13" t="str">
        <f>IF(MacReports!M359="Remote Lock","Remote Locked","")</f>
        <v/>
      </c>
      <c r="S359" t="str">
        <f t="shared" si="13"/>
        <v>Battery Defect, 0</v>
      </c>
      <c r="T359" t="str">
        <f>_xlfn.XLOOKUP(B359,Disk_Pivot!G:G,Disk_Pivot!I:I)</f>
        <v>Yes x2</v>
      </c>
      <c r="U359" t="str">
        <f>_xlfn.XLOOKUP(B359,Disk_Pivot!G:G,Disk_Pivot!N:N)</f>
        <v>Pass, Fail</v>
      </c>
      <c r="V359" t="str">
        <f>IF(U359="Fail",MacReports!O359,"")</f>
        <v/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MacReports!D360</f>
        <v>0</v>
      </c>
      <c r="E360" t="e">
        <f>_xlfn.XLOOKUP(G360,Models!A:A,Models!F:F)</f>
        <v>#N/A</v>
      </c>
      <c r="F360" t="str">
        <f>_xlfn.XLOOKUP(B360,MacReports!B:B,MacReports!E:E,"")</f>
        <v/>
      </c>
      <c r="G360" s="13">
        <f>MacReports!F360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MacReports!G360</f>
        <v>0</v>
      </c>
      <c r="L360">
        <f>MacReports!H360</f>
        <v>0</v>
      </c>
      <c r="M360" s="15" t="e" cm="1">
        <f t="array" ref="M360">--_xlfn.LET(
    _xlpm.txt, MacReports!I360,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--MacReports!N360&lt;55,"Battery Defect",
  -- MacReports!N360&lt;=69,"Battery D",
  --MacReports!N360&lt;=80,"Battery C",
 --MacReports!N360&gt;80,""
)</f>
        <v>Battery Defect</v>
      </c>
      <c r="O360" s="16" t="str">
        <f>IF(MacReports!J360="Service","Battery Service","")</f>
        <v/>
      </c>
      <c r="P360" s="13">
        <f>MacReports!Q360</f>
        <v>0</v>
      </c>
      <c r="Q360" s="13" t="str">
        <f>IF(MacReports!K360="Enabled","Apple ID Lock","")</f>
        <v/>
      </c>
      <c r="R360" s="13" t="str">
        <f>IF(MacReports!M360="Remote Lock","Remote Locked","")</f>
        <v/>
      </c>
      <c r="S360" t="str">
        <f t="shared" si="13"/>
        <v>Battery Defect, 0</v>
      </c>
      <c r="T360" t="str">
        <f>_xlfn.XLOOKUP(B360,Disk_Pivot!G:G,Disk_Pivot!I:I)</f>
        <v>Yes x2</v>
      </c>
      <c r="U360" t="str">
        <f>_xlfn.XLOOKUP(B360,Disk_Pivot!G:G,Disk_Pivot!N:N)</f>
        <v>Pass, Fail</v>
      </c>
      <c r="V360" t="str">
        <f>IF(U360="Fail",MacReports!O360,"")</f>
        <v/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MacReports!D361</f>
        <v>0</v>
      </c>
      <c r="E361" t="e">
        <f>_xlfn.XLOOKUP(G361,Models!A:A,Models!F:F)</f>
        <v>#N/A</v>
      </c>
      <c r="F361" t="str">
        <f>_xlfn.XLOOKUP(B361,MacReports!B:B,MacReports!E:E,"")</f>
        <v/>
      </c>
      <c r="G361" s="13">
        <f>MacReports!F361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MacReports!G361</f>
        <v>0</v>
      </c>
      <c r="L361">
        <f>MacReports!H361</f>
        <v>0</v>
      </c>
      <c r="M361" s="15" t="e" cm="1">
        <f t="array" ref="M361">--_xlfn.LET(
    _xlpm.txt, MacReports!I361,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--MacReports!N361&lt;55,"Battery Defect",
  -- MacReports!N361&lt;=69,"Battery D",
  --MacReports!N361&lt;=80,"Battery C",
 --MacReports!N361&gt;80,""
)</f>
        <v>Battery Defect</v>
      </c>
      <c r="O361" s="16" t="str">
        <f>IF(MacReports!J361="Service","Battery Service","")</f>
        <v/>
      </c>
      <c r="P361" s="13">
        <f>MacReports!Q361</f>
        <v>0</v>
      </c>
      <c r="Q361" s="13" t="str">
        <f>IF(MacReports!K361="Enabled","Apple ID Lock","")</f>
        <v/>
      </c>
      <c r="R361" s="13" t="str">
        <f>IF(MacReports!M361="Remote Lock","Remote Locked","")</f>
        <v/>
      </c>
      <c r="S361" t="str">
        <f t="shared" si="13"/>
        <v>Battery Defect, 0</v>
      </c>
      <c r="T361" t="str">
        <f>_xlfn.XLOOKUP(B361,Disk_Pivot!G:G,Disk_Pivot!I:I)</f>
        <v>Yes x2</v>
      </c>
      <c r="U361" t="str">
        <f>_xlfn.XLOOKUP(B361,Disk_Pivot!G:G,Disk_Pivot!N:N)</f>
        <v>Pass, Fail</v>
      </c>
      <c r="V361" t="str">
        <f>IF(U361="Fail",MacReports!O361,"")</f>
        <v/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MacReports!D362</f>
        <v>0</v>
      </c>
      <c r="E362" t="e">
        <f>_xlfn.XLOOKUP(G362,Models!A:A,Models!F:F)</f>
        <v>#N/A</v>
      </c>
      <c r="F362" t="str">
        <f>_xlfn.XLOOKUP(B362,MacReports!B:B,MacReports!E:E,"")</f>
        <v/>
      </c>
      <c r="G362" s="13">
        <f>MacReports!F362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MacReports!G362</f>
        <v>0</v>
      </c>
      <c r="L362">
        <f>MacReports!H362</f>
        <v>0</v>
      </c>
      <c r="M362" s="15" t="e" cm="1">
        <f t="array" ref="M362">--_xlfn.LET(
    _xlpm.txt, MacReports!I362,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--MacReports!N362&lt;55,"Battery Defect",
  -- MacReports!N362&lt;=69,"Battery D",
  --MacReports!N362&lt;=80,"Battery C",
 --MacReports!N362&gt;80,""
)</f>
        <v>Battery Defect</v>
      </c>
      <c r="O362" s="16" t="str">
        <f>IF(MacReports!J362="Service","Battery Service","")</f>
        <v/>
      </c>
      <c r="P362" s="13">
        <f>MacReports!Q362</f>
        <v>0</v>
      </c>
      <c r="Q362" s="13" t="str">
        <f>IF(MacReports!K362="Enabled","Apple ID Lock","")</f>
        <v/>
      </c>
      <c r="R362" s="13" t="str">
        <f>IF(MacReports!M362="Remote Lock","Remote Locked","")</f>
        <v/>
      </c>
      <c r="S362" t="str">
        <f t="shared" si="13"/>
        <v>Battery Defect, 0</v>
      </c>
      <c r="T362" t="str">
        <f>_xlfn.XLOOKUP(B362,Disk_Pivot!G:G,Disk_Pivot!I:I)</f>
        <v>Yes x2</v>
      </c>
      <c r="U362" t="str">
        <f>_xlfn.XLOOKUP(B362,Disk_Pivot!G:G,Disk_Pivot!N:N)</f>
        <v>Pass, Fail</v>
      </c>
      <c r="V362" t="str">
        <f>IF(U362="Fail",MacReports!O362,"")</f>
        <v/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MacReports!D363</f>
        <v>0</v>
      </c>
      <c r="E363" t="e">
        <f>_xlfn.XLOOKUP(G363,Models!A:A,Models!F:F)</f>
        <v>#N/A</v>
      </c>
      <c r="F363" t="str">
        <f>_xlfn.XLOOKUP(B363,MacReports!B:B,MacReports!E:E,"")</f>
        <v/>
      </c>
      <c r="G363" s="13">
        <f>MacReports!F363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MacReports!G363</f>
        <v>0</v>
      </c>
      <c r="L363">
        <f>MacReports!H363</f>
        <v>0</v>
      </c>
      <c r="M363" s="15" t="e" cm="1">
        <f t="array" ref="M363">--_xlfn.LET(
    _xlpm.txt, MacReports!I363,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--MacReports!N363&lt;55,"Battery Defect",
  -- MacReports!N363&lt;=69,"Battery D",
  --MacReports!N363&lt;=80,"Battery C",
 --MacReports!N363&gt;80,""
)</f>
        <v>Battery Defect</v>
      </c>
      <c r="O363" s="16" t="str">
        <f>IF(MacReports!J363="Service","Battery Service","")</f>
        <v/>
      </c>
      <c r="P363" s="13">
        <f>MacReports!Q363</f>
        <v>0</v>
      </c>
      <c r="Q363" s="13" t="str">
        <f>IF(MacReports!K363="Enabled","Apple ID Lock","")</f>
        <v/>
      </c>
      <c r="R363" s="13" t="str">
        <f>IF(MacReports!M363="Remote Lock","Remote Locked","")</f>
        <v/>
      </c>
      <c r="S363" t="str">
        <f t="shared" si="13"/>
        <v>Battery Defect, 0</v>
      </c>
      <c r="T363" t="str">
        <f>_xlfn.XLOOKUP(B363,Disk_Pivot!G:G,Disk_Pivot!I:I)</f>
        <v>Yes x2</v>
      </c>
      <c r="U363" t="str">
        <f>_xlfn.XLOOKUP(B363,Disk_Pivot!G:G,Disk_Pivot!N:N)</f>
        <v>Pass, Fail</v>
      </c>
      <c r="V363" t="str">
        <f>IF(U363="Fail",MacReports!O363,"")</f>
        <v/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MacReports!D364</f>
        <v>0</v>
      </c>
      <c r="E364" t="e">
        <f>_xlfn.XLOOKUP(G364,Models!A:A,Models!F:F)</f>
        <v>#N/A</v>
      </c>
      <c r="F364" t="str">
        <f>_xlfn.XLOOKUP(B364,MacReports!B:B,MacReports!E:E,"")</f>
        <v/>
      </c>
      <c r="G364" s="13">
        <f>MacReports!F364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MacReports!G364</f>
        <v>0</v>
      </c>
      <c r="L364">
        <f>MacReports!H364</f>
        <v>0</v>
      </c>
      <c r="M364" s="15" t="e" cm="1">
        <f t="array" ref="M364">--_xlfn.LET(
    _xlpm.txt, MacReports!I364,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--MacReports!N364&lt;55,"Battery Defect",
  -- MacReports!N364&lt;=69,"Battery D",
  --MacReports!N364&lt;=80,"Battery C",
 --MacReports!N364&gt;80,""
)</f>
        <v>Battery Defect</v>
      </c>
      <c r="O364" s="16" t="str">
        <f>IF(MacReports!J364="Service","Battery Service","")</f>
        <v/>
      </c>
      <c r="P364" s="13">
        <f>MacReports!Q364</f>
        <v>0</v>
      </c>
      <c r="Q364" s="13" t="str">
        <f>IF(MacReports!K364="Enabled","Apple ID Lock","")</f>
        <v/>
      </c>
      <c r="R364" s="13" t="str">
        <f>IF(MacReports!M364="Remote Lock","Remote Locked","")</f>
        <v/>
      </c>
      <c r="S364" t="str">
        <f t="shared" si="13"/>
        <v>Battery Defect, 0</v>
      </c>
      <c r="T364" t="str">
        <f>_xlfn.XLOOKUP(B364,Disk_Pivot!G:G,Disk_Pivot!I:I)</f>
        <v>Yes x2</v>
      </c>
      <c r="U364" t="str">
        <f>_xlfn.XLOOKUP(B364,Disk_Pivot!G:G,Disk_Pivot!N:N)</f>
        <v>Pass, Fail</v>
      </c>
      <c r="V364" t="str">
        <f>IF(U364="Fail",MacReports!O364,"")</f>
        <v/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MacReports!D365</f>
        <v>0</v>
      </c>
      <c r="E365" t="e">
        <f>_xlfn.XLOOKUP(G365,Models!A:A,Models!F:F)</f>
        <v>#N/A</v>
      </c>
      <c r="F365" t="str">
        <f>_xlfn.XLOOKUP(B365,MacReports!B:B,MacReports!E:E,"")</f>
        <v/>
      </c>
      <c r="G365" s="13">
        <f>MacReports!F365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MacReports!G365</f>
        <v>0</v>
      </c>
      <c r="L365">
        <f>MacReports!H365</f>
        <v>0</v>
      </c>
      <c r="M365" s="15" t="e" cm="1">
        <f t="array" ref="M365">--_xlfn.LET(
    _xlpm.txt, MacReports!I365,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--MacReports!N365&lt;55,"Battery Defect",
  -- MacReports!N365&lt;=69,"Battery D",
  --MacReports!N365&lt;=80,"Battery C",
 --MacReports!N365&gt;80,""
)</f>
        <v>Battery Defect</v>
      </c>
      <c r="O365" s="16" t="str">
        <f>IF(MacReports!J365="Service","Battery Service","")</f>
        <v/>
      </c>
      <c r="P365" s="13">
        <f>MacReports!Q365</f>
        <v>0</v>
      </c>
      <c r="Q365" s="13" t="str">
        <f>IF(MacReports!K365="Enabled","Apple ID Lock","")</f>
        <v/>
      </c>
      <c r="R365" s="13" t="str">
        <f>IF(MacReports!M365="Remote Lock","Remote Locked","")</f>
        <v/>
      </c>
      <c r="S365" t="str">
        <f t="shared" si="13"/>
        <v>Battery Defect, 0</v>
      </c>
      <c r="T365" t="str">
        <f>_xlfn.XLOOKUP(B365,Disk_Pivot!G:G,Disk_Pivot!I:I)</f>
        <v>Yes x2</v>
      </c>
      <c r="U365" t="str">
        <f>_xlfn.XLOOKUP(B365,Disk_Pivot!G:G,Disk_Pivot!N:N)</f>
        <v>Pass, Fail</v>
      </c>
      <c r="V365" t="str">
        <f>IF(U365="Fail",MacReports!O365,"")</f>
        <v/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MacReports!D366</f>
        <v>0</v>
      </c>
      <c r="E366" t="e">
        <f>_xlfn.XLOOKUP(G366,Models!A:A,Models!F:F)</f>
        <v>#N/A</v>
      </c>
      <c r="F366" t="str">
        <f>_xlfn.XLOOKUP(B366,MacReports!B:B,MacReports!E:E,"")</f>
        <v/>
      </c>
      <c r="G366" s="13">
        <f>MacReports!F366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MacReports!G366</f>
        <v>0</v>
      </c>
      <c r="L366">
        <f>MacReports!H366</f>
        <v>0</v>
      </c>
      <c r="M366" s="15" t="e" cm="1">
        <f t="array" ref="M366">--_xlfn.LET(
    _xlpm.txt, MacReports!I366,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--MacReports!N366&lt;55,"Battery Defect",
  -- MacReports!N366&lt;=69,"Battery D",
  --MacReports!N366&lt;=80,"Battery C",
 --MacReports!N366&gt;80,""
)</f>
        <v>Battery Defect</v>
      </c>
      <c r="O366" s="16" t="str">
        <f>IF(MacReports!J366="Service","Battery Service","")</f>
        <v/>
      </c>
      <c r="P366" s="13">
        <f>MacReports!Q366</f>
        <v>0</v>
      </c>
      <c r="Q366" s="13" t="str">
        <f>IF(MacReports!K366="Enabled","Apple ID Lock","")</f>
        <v/>
      </c>
      <c r="R366" s="13" t="str">
        <f>IF(MacReports!M366="Remote Lock","Remote Locked","")</f>
        <v/>
      </c>
      <c r="S366" t="str">
        <f t="shared" si="13"/>
        <v>Battery Defect, 0</v>
      </c>
      <c r="T366" t="str">
        <f>_xlfn.XLOOKUP(B366,Disk_Pivot!G:G,Disk_Pivot!I:I)</f>
        <v>Yes x2</v>
      </c>
      <c r="U366" t="str">
        <f>_xlfn.XLOOKUP(B366,Disk_Pivot!G:G,Disk_Pivot!N:N)</f>
        <v>Pass, Fail</v>
      </c>
      <c r="V366" t="str">
        <f>IF(U366="Fail",MacReports!O366,"")</f>
        <v/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MacReports!D367</f>
        <v>0</v>
      </c>
      <c r="E367" t="e">
        <f>_xlfn.XLOOKUP(G367,Models!A:A,Models!F:F)</f>
        <v>#N/A</v>
      </c>
      <c r="F367" t="str">
        <f>_xlfn.XLOOKUP(B367,MacReports!B:B,MacReports!E:E,"")</f>
        <v/>
      </c>
      <c r="G367" s="13">
        <f>MacReports!F367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MacReports!G367</f>
        <v>0</v>
      </c>
      <c r="L367">
        <f>MacReports!H367</f>
        <v>0</v>
      </c>
      <c r="M367" s="15" t="e" cm="1">
        <f t="array" ref="M367">--_xlfn.LET(
    _xlpm.txt, MacReports!I367,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--MacReports!N367&lt;55,"Battery Defect",
  -- MacReports!N367&lt;=69,"Battery D",
  --MacReports!N367&lt;=80,"Battery C",
 --MacReports!N367&gt;80,""
)</f>
        <v>Battery Defect</v>
      </c>
      <c r="O367" s="16" t="str">
        <f>IF(MacReports!J367="Service","Battery Service","")</f>
        <v/>
      </c>
      <c r="P367" s="13">
        <f>MacReports!Q367</f>
        <v>0</v>
      </c>
      <c r="Q367" s="13" t="str">
        <f>IF(MacReports!K367="Enabled","Apple ID Lock","")</f>
        <v/>
      </c>
      <c r="R367" s="13" t="str">
        <f>IF(MacReports!M367="Remote Lock","Remote Locked","")</f>
        <v/>
      </c>
      <c r="S367" t="str">
        <f t="shared" si="13"/>
        <v>Battery Defect, 0</v>
      </c>
      <c r="T367" t="str">
        <f>_xlfn.XLOOKUP(B367,Disk_Pivot!G:G,Disk_Pivot!I:I)</f>
        <v>Yes x2</v>
      </c>
      <c r="U367" t="str">
        <f>_xlfn.XLOOKUP(B367,Disk_Pivot!G:G,Disk_Pivot!N:N)</f>
        <v>Pass, Fail</v>
      </c>
      <c r="V367" t="str">
        <f>IF(U367="Fail",MacReports!O367,"")</f>
        <v/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MacReports!D368</f>
        <v>0</v>
      </c>
      <c r="E368" t="e">
        <f>_xlfn.XLOOKUP(G368,Models!A:A,Models!F:F)</f>
        <v>#N/A</v>
      </c>
      <c r="F368" t="str">
        <f>_xlfn.XLOOKUP(B368,MacReports!B:B,MacReports!E:E,"")</f>
        <v/>
      </c>
      <c r="G368" s="13">
        <f>MacReports!F368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MacReports!G368</f>
        <v>0</v>
      </c>
      <c r="L368">
        <f>MacReports!H368</f>
        <v>0</v>
      </c>
      <c r="M368" s="15" t="e" cm="1">
        <f t="array" ref="M368">--_xlfn.LET(
    _xlpm.txt, MacReports!I368,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--MacReports!N368&lt;55,"Battery Defect",
  -- MacReports!N368&lt;=69,"Battery D",
  --MacReports!N368&lt;=80,"Battery C",
 --MacReports!N368&gt;80,""
)</f>
        <v>Battery Defect</v>
      </c>
      <c r="O368" s="16" t="str">
        <f>IF(MacReports!J368="Service","Battery Service","")</f>
        <v/>
      </c>
      <c r="P368" s="13">
        <f>MacReports!Q368</f>
        <v>0</v>
      </c>
      <c r="Q368" s="13" t="str">
        <f>IF(MacReports!K368="Enabled","Apple ID Lock","")</f>
        <v/>
      </c>
      <c r="R368" s="13" t="str">
        <f>IF(MacReports!M368="Remote Lock","Remote Locked","")</f>
        <v/>
      </c>
      <c r="S368" t="str">
        <f t="shared" si="13"/>
        <v>Battery Defect, 0</v>
      </c>
      <c r="T368" t="str">
        <f>_xlfn.XLOOKUP(B368,Disk_Pivot!G:G,Disk_Pivot!I:I)</f>
        <v>Yes x2</v>
      </c>
      <c r="U368" t="str">
        <f>_xlfn.XLOOKUP(B368,Disk_Pivot!G:G,Disk_Pivot!N:N)</f>
        <v>Pass, Fail</v>
      </c>
      <c r="V368" t="str">
        <f>IF(U368="Fail",MacReports!O368,"")</f>
        <v/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MacReports!D369</f>
        <v>0</v>
      </c>
      <c r="E369" t="e">
        <f>_xlfn.XLOOKUP(G369,Models!A:A,Models!F:F)</f>
        <v>#N/A</v>
      </c>
      <c r="F369" t="str">
        <f>_xlfn.XLOOKUP(B369,MacReports!B:B,MacReports!E:E,"")</f>
        <v/>
      </c>
      <c r="G369" s="13">
        <f>MacReports!F369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MacReports!G369</f>
        <v>0</v>
      </c>
      <c r="L369">
        <f>MacReports!H369</f>
        <v>0</v>
      </c>
      <c r="M369" s="15" t="e" cm="1">
        <f t="array" ref="M369">--_xlfn.LET(
    _xlpm.txt, MacReports!I369,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--MacReports!N369&lt;55,"Battery Defect",
  -- MacReports!N369&lt;=69,"Battery D",
  --MacReports!N369&lt;=80,"Battery C",
 --MacReports!N369&gt;80,""
)</f>
        <v>Battery Defect</v>
      </c>
      <c r="O369" s="16" t="str">
        <f>IF(MacReports!J369="Service","Battery Service","")</f>
        <v/>
      </c>
      <c r="P369" s="13">
        <f>MacReports!Q369</f>
        <v>0</v>
      </c>
      <c r="Q369" s="13" t="str">
        <f>IF(MacReports!K369="Enabled","Apple ID Lock","")</f>
        <v/>
      </c>
      <c r="R369" s="13" t="str">
        <f>IF(MacReports!M369="Remote Lock","Remote Locked","")</f>
        <v/>
      </c>
      <c r="S369" t="str">
        <f t="shared" si="13"/>
        <v>Battery Defect, 0</v>
      </c>
      <c r="T369" t="str">
        <f>_xlfn.XLOOKUP(B369,Disk_Pivot!G:G,Disk_Pivot!I:I)</f>
        <v>Yes x2</v>
      </c>
      <c r="U369" t="str">
        <f>_xlfn.XLOOKUP(B369,Disk_Pivot!G:G,Disk_Pivot!N:N)</f>
        <v>Pass, Fail</v>
      </c>
      <c r="V369" t="str">
        <f>IF(U369="Fail",MacReports!O369,"")</f>
        <v/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MacReports!D370</f>
        <v>0</v>
      </c>
      <c r="E370" t="e">
        <f>_xlfn.XLOOKUP(G370,Models!A:A,Models!F:F)</f>
        <v>#N/A</v>
      </c>
      <c r="F370" t="str">
        <f>_xlfn.XLOOKUP(B370,MacReports!B:B,MacReports!E:E,"")</f>
        <v/>
      </c>
      <c r="G370" s="13">
        <f>MacReports!F370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MacReports!G370</f>
        <v>0</v>
      </c>
      <c r="L370">
        <f>MacReports!H370</f>
        <v>0</v>
      </c>
      <c r="M370" s="15" t="e" cm="1">
        <f t="array" ref="M370">--_xlfn.LET(
    _xlpm.txt, MacReports!I370,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--MacReports!N370&lt;55,"Battery Defect",
  -- MacReports!N370&lt;=69,"Battery D",
  --MacReports!N370&lt;=80,"Battery C",
 --MacReports!N370&gt;80,""
)</f>
        <v>Battery Defect</v>
      </c>
      <c r="O370" s="16" t="str">
        <f>IF(MacReports!J370="Service","Battery Service","")</f>
        <v/>
      </c>
      <c r="P370" s="13">
        <f>MacReports!Q370</f>
        <v>0</v>
      </c>
      <c r="Q370" s="13" t="str">
        <f>IF(MacReports!K370="Enabled","Apple ID Lock","")</f>
        <v/>
      </c>
      <c r="R370" s="13" t="str">
        <f>IF(MacReports!M370="Remote Lock","Remote Locked","")</f>
        <v/>
      </c>
      <c r="S370" t="str">
        <f t="shared" si="13"/>
        <v>Battery Defect, 0</v>
      </c>
      <c r="T370" t="str">
        <f>_xlfn.XLOOKUP(B370,Disk_Pivot!G:G,Disk_Pivot!I:I)</f>
        <v>Yes x2</v>
      </c>
      <c r="U370" t="str">
        <f>_xlfn.XLOOKUP(B370,Disk_Pivot!G:G,Disk_Pivot!N:N)</f>
        <v>Pass, Fail</v>
      </c>
      <c r="V370" t="str">
        <f>IF(U370="Fail",MacReports!O370,"")</f>
        <v/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MacReports!D371</f>
        <v>0</v>
      </c>
      <c r="E371" t="e">
        <f>_xlfn.XLOOKUP(G371,Models!A:A,Models!F:F)</f>
        <v>#N/A</v>
      </c>
      <c r="F371" t="str">
        <f>_xlfn.XLOOKUP(B371,MacReports!B:B,MacReports!E:E,"")</f>
        <v/>
      </c>
      <c r="G371" s="13">
        <f>MacReports!F371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MacReports!G371</f>
        <v>0</v>
      </c>
      <c r="L371">
        <f>MacReports!H371</f>
        <v>0</v>
      </c>
      <c r="M371" s="15" t="e" cm="1">
        <f t="array" ref="M371">--_xlfn.LET(
    _xlpm.txt, MacReports!I371,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--MacReports!N371&lt;55,"Battery Defect",
  -- MacReports!N371&lt;=69,"Battery D",
  --MacReports!N371&lt;=80,"Battery C",
 --MacReports!N371&gt;80,""
)</f>
        <v>Battery Defect</v>
      </c>
      <c r="O371" s="16" t="str">
        <f>IF(MacReports!J371="Service","Battery Service","")</f>
        <v/>
      </c>
      <c r="P371" s="13">
        <f>MacReports!Q371</f>
        <v>0</v>
      </c>
      <c r="Q371" s="13" t="str">
        <f>IF(MacReports!K371="Enabled","Apple ID Lock","")</f>
        <v/>
      </c>
      <c r="R371" s="13" t="str">
        <f>IF(MacReports!M371="Remote Lock","Remote Locked","")</f>
        <v/>
      </c>
      <c r="S371" t="str">
        <f t="shared" si="13"/>
        <v>Battery Defect, 0</v>
      </c>
      <c r="T371" t="str">
        <f>_xlfn.XLOOKUP(B371,Disk_Pivot!G:G,Disk_Pivot!I:I)</f>
        <v>Yes x2</v>
      </c>
      <c r="U371" t="str">
        <f>_xlfn.XLOOKUP(B371,Disk_Pivot!G:G,Disk_Pivot!N:N)</f>
        <v>Pass, Fail</v>
      </c>
      <c r="V371" t="str">
        <f>IF(U371="Fail",MacReports!O371,"")</f>
        <v/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MacReports!D372</f>
        <v>0</v>
      </c>
      <c r="E372" t="e">
        <f>_xlfn.XLOOKUP(G372,Models!A:A,Models!F:F)</f>
        <v>#N/A</v>
      </c>
      <c r="F372" t="str">
        <f>_xlfn.XLOOKUP(B372,MacReports!B:B,MacReports!E:E,"")</f>
        <v/>
      </c>
      <c r="G372" s="13">
        <f>MacReports!F372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MacReports!G372</f>
        <v>0</v>
      </c>
      <c r="L372">
        <f>MacReports!H372</f>
        <v>0</v>
      </c>
      <c r="M372" s="15" t="e" cm="1">
        <f t="array" ref="M372">--_xlfn.LET(
    _xlpm.txt, MacReports!I372,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--MacReports!N372&lt;55,"Battery Defect",
  -- MacReports!N372&lt;=69,"Battery D",
  --MacReports!N372&lt;=80,"Battery C",
 --MacReports!N372&gt;80,""
)</f>
        <v>Battery Defect</v>
      </c>
      <c r="O372" s="16" t="str">
        <f>IF(MacReports!J372="Service","Battery Service","")</f>
        <v/>
      </c>
      <c r="P372" s="13">
        <f>MacReports!Q372</f>
        <v>0</v>
      </c>
      <c r="Q372" s="13" t="str">
        <f>IF(MacReports!K372="Enabled","Apple ID Lock","")</f>
        <v/>
      </c>
      <c r="R372" s="13" t="str">
        <f>IF(MacReports!M372="Remote Lock","Remote Locked","")</f>
        <v/>
      </c>
      <c r="S372" t="str">
        <f t="shared" si="13"/>
        <v>Battery Defect, 0</v>
      </c>
      <c r="T372" t="str">
        <f>_xlfn.XLOOKUP(B372,Disk_Pivot!G:G,Disk_Pivot!I:I)</f>
        <v>Yes x2</v>
      </c>
      <c r="U372" t="str">
        <f>_xlfn.XLOOKUP(B372,Disk_Pivot!G:G,Disk_Pivot!N:N)</f>
        <v>Pass, Fail</v>
      </c>
      <c r="V372" t="str">
        <f>IF(U372="Fail",MacReports!O372,"")</f>
        <v/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MacReports!D373</f>
        <v>0</v>
      </c>
      <c r="E373" t="e">
        <f>_xlfn.XLOOKUP(G373,Models!A:A,Models!F:F)</f>
        <v>#N/A</v>
      </c>
      <c r="F373" t="str">
        <f>_xlfn.XLOOKUP(B373,MacReports!B:B,MacReports!E:E,"")</f>
        <v/>
      </c>
      <c r="G373" s="13">
        <f>MacReports!F373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MacReports!G373</f>
        <v>0</v>
      </c>
      <c r="L373">
        <f>MacReports!H373</f>
        <v>0</v>
      </c>
      <c r="M373" s="15" t="e" cm="1">
        <f t="array" ref="M373">--_xlfn.LET(
    _xlpm.txt, MacReports!I373,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--MacReports!N373&lt;55,"Battery Defect",
  -- MacReports!N373&lt;=69,"Battery D",
  --MacReports!N373&lt;=80,"Battery C",
 --MacReports!N373&gt;80,""
)</f>
        <v>Battery Defect</v>
      </c>
      <c r="O373" s="16" t="str">
        <f>IF(MacReports!J373="Service","Battery Service","")</f>
        <v/>
      </c>
      <c r="P373" s="13">
        <f>MacReports!Q373</f>
        <v>0</v>
      </c>
      <c r="Q373" s="13" t="str">
        <f>IF(MacReports!K373="Enabled","Apple ID Lock","")</f>
        <v/>
      </c>
      <c r="R373" s="13" t="str">
        <f>IF(MacReports!M373="Remote Lock","Remote Locked","")</f>
        <v/>
      </c>
      <c r="S373" t="str">
        <f t="shared" si="13"/>
        <v>Battery Defect, 0</v>
      </c>
      <c r="T373" t="str">
        <f>_xlfn.XLOOKUP(B373,Disk_Pivot!G:G,Disk_Pivot!I:I)</f>
        <v>Yes x2</v>
      </c>
      <c r="U373" t="str">
        <f>_xlfn.XLOOKUP(B373,Disk_Pivot!G:G,Disk_Pivot!N:N)</f>
        <v>Pass, Fail</v>
      </c>
      <c r="V373" t="str">
        <f>IF(U373="Fail",MacReports!O373,"")</f>
        <v/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MacReports!D374</f>
        <v>0</v>
      </c>
      <c r="E374" t="e">
        <f>_xlfn.XLOOKUP(G374,Models!A:A,Models!F:F)</f>
        <v>#N/A</v>
      </c>
      <c r="F374" t="str">
        <f>_xlfn.XLOOKUP(B374,MacReports!B:B,MacReports!E:E,"")</f>
        <v/>
      </c>
      <c r="G374" s="13">
        <f>MacReports!F374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MacReports!G374</f>
        <v>0</v>
      </c>
      <c r="L374">
        <f>MacReports!H374</f>
        <v>0</v>
      </c>
      <c r="M374" s="15" t="e" cm="1">
        <f t="array" ref="M374">--_xlfn.LET(
    _xlpm.txt, MacReports!I374,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--MacReports!N374&lt;55,"Battery Defect",
  -- MacReports!N374&lt;=69,"Battery D",
  --MacReports!N374&lt;=80,"Battery C",
 --MacReports!N374&gt;80,""
)</f>
        <v>Battery Defect</v>
      </c>
      <c r="O374" s="16" t="str">
        <f>IF(MacReports!J374="Service","Battery Service","")</f>
        <v/>
      </c>
      <c r="P374" s="13">
        <f>MacReports!Q374</f>
        <v>0</v>
      </c>
      <c r="Q374" s="13" t="str">
        <f>IF(MacReports!K374="Enabled","Apple ID Lock","")</f>
        <v/>
      </c>
      <c r="R374" s="13" t="str">
        <f>IF(MacReports!M374="Remote Lock","Remote Locked","")</f>
        <v/>
      </c>
      <c r="S374" t="str">
        <f t="shared" si="13"/>
        <v>Battery Defect, 0</v>
      </c>
      <c r="T374" t="str">
        <f>_xlfn.XLOOKUP(B374,Disk_Pivot!G:G,Disk_Pivot!I:I)</f>
        <v>Yes x2</v>
      </c>
      <c r="U374" t="str">
        <f>_xlfn.XLOOKUP(B374,Disk_Pivot!G:G,Disk_Pivot!N:N)</f>
        <v>Pass, Fail</v>
      </c>
      <c r="V374" t="str">
        <f>IF(U374="Fail",MacReports!O374,"")</f>
        <v/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MacReports!D375</f>
        <v>0</v>
      </c>
      <c r="E375" t="e">
        <f>_xlfn.XLOOKUP(G375,Models!A:A,Models!F:F)</f>
        <v>#N/A</v>
      </c>
      <c r="F375" t="str">
        <f>_xlfn.XLOOKUP(B375,MacReports!B:B,MacReports!E:E,"")</f>
        <v/>
      </c>
      <c r="G375" s="13">
        <f>MacReports!F375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MacReports!G375</f>
        <v>0</v>
      </c>
      <c r="L375">
        <f>MacReports!H375</f>
        <v>0</v>
      </c>
      <c r="M375" s="15" t="e" cm="1">
        <f t="array" ref="M375">--_xlfn.LET(
    _xlpm.txt, MacReports!I375,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--MacReports!N375&lt;55,"Battery Defect",
  -- MacReports!N375&lt;=69,"Battery D",
  --MacReports!N375&lt;=80,"Battery C",
 --MacReports!N375&gt;80,""
)</f>
        <v>Battery Defect</v>
      </c>
      <c r="O375" s="16" t="str">
        <f>IF(MacReports!J375="Service","Battery Service","")</f>
        <v/>
      </c>
      <c r="P375" s="13">
        <f>MacReports!Q375</f>
        <v>0</v>
      </c>
      <c r="Q375" s="13" t="str">
        <f>IF(MacReports!K375="Enabled","Apple ID Lock","")</f>
        <v/>
      </c>
      <c r="R375" s="13" t="str">
        <f>IF(MacReports!M375="Remote Lock","Remote Locked","")</f>
        <v/>
      </c>
      <c r="S375" t="str">
        <f t="shared" si="13"/>
        <v>Battery Defect, 0</v>
      </c>
      <c r="T375" t="str">
        <f>_xlfn.XLOOKUP(B375,Disk_Pivot!G:G,Disk_Pivot!I:I)</f>
        <v>Yes x2</v>
      </c>
      <c r="U375" t="str">
        <f>_xlfn.XLOOKUP(B375,Disk_Pivot!G:G,Disk_Pivot!N:N)</f>
        <v>Pass, Fail</v>
      </c>
      <c r="V375" t="str">
        <f>IF(U375="Fail",MacReports!O375,"")</f>
        <v/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MacReports!D376</f>
        <v>0</v>
      </c>
      <c r="E376" t="e">
        <f>_xlfn.XLOOKUP(G376,Models!A:A,Models!F:F)</f>
        <v>#N/A</v>
      </c>
      <c r="F376" t="str">
        <f>_xlfn.XLOOKUP(B376,MacReports!B:B,MacReports!E:E,"")</f>
        <v/>
      </c>
      <c r="G376" s="13">
        <f>MacReports!F376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MacReports!G376</f>
        <v>0</v>
      </c>
      <c r="L376">
        <f>MacReports!H376</f>
        <v>0</v>
      </c>
      <c r="M376" s="15" t="e" cm="1">
        <f t="array" ref="M376">--_xlfn.LET(
    _xlpm.txt, MacReports!I376,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--MacReports!N376&lt;55,"Battery Defect",
  -- MacReports!N376&lt;=69,"Battery D",
  --MacReports!N376&lt;=80,"Battery C",
 --MacReports!N376&gt;80,""
)</f>
        <v>Battery Defect</v>
      </c>
      <c r="O376" s="16" t="str">
        <f>IF(MacReports!J376="Service","Battery Service","")</f>
        <v/>
      </c>
      <c r="P376" s="13">
        <f>MacReports!Q376</f>
        <v>0</v>
      </c>
      <c r="Q376" s="13" t="str">
        <f>IF(MacReports!K376="Enabled","Apple ID Lock","")</f>
        <v/>
      </c>
      <c r="R376" s="13" t="str">
        <f>IF(MacReports!M376="Remote Lock","Remote Locked","")</f>
        <v/>
      </c>
      <c r="S376" t="str">
        <f t="shared" si="13"/>
        <v>Battery Defect, 0</v>
      </c>
      <c r="T376" t="str">
        <f>_xlfn.XLOOKUP(B376,Disk_Pivot!G:G,Disk_Pivot!I:I)</f>
        <v>Yes x2</v>
      </c>
      <c r="U376" t="str">
        <f>_xlfn.XLOOKUP(B376,Disk_Pivot!G:G,Disk_Pivot!N:N)</f>
        <v>Pass, Fail</v>
      </c>
      <c r="V376" t="str">
        <f>IF(U376="Fail",MacReports!O376,"")</f>
        <v/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MacReports!D377</f>
        <v>0</v>
      </c>
      <c r="E377" t="e">
        <f>_xlfn.XLOOKUP(G377,Models!A:A,Models!F:F)</f>
        <v>#N/A</v>
      </c>
      <c r="F377" t="str">
        <f>_xlfn.XLOOKUP(B377,MacReports!B:B,MacReports!E:E,"")</f>
        <v/>
      </c>
      <c r="G377" s="13">
        <f>MacReports!F377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MacReports!G377</f>
        <v>0</v>
      </c>
      <c r="L377">
        <f>MacReports!H377</f>
        <v>0</v>
      </c>
      <c r="M377" s="15" t="e" cm="1">
        <f t="array" ref="M377">--_xlfn.LET(
    _xlpm.txt, MacReports!I377,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--MacReports!N377&lt;55,"Battery Defect",
  -- MacReports!N377&lt;=69,"Battery D",
  --MacReports!N377&lt;=80,"Battery C",
 --MacReports!N377&gt;80,""
)</f>
        <v>Battery Defect</v>
      </c>
      <c r="O377" s="16" t="str">
        <f>IF(MacReports!J377="Service","Battery Service","")</f>
        <v/>
      </c>
      <c r="P377" s="13">
        <f>MacReports!Q377</f>
        <v>0</v>
      </c>
      <c r="Q377" s="13" t="str">
        <f>IF(MacReports!K377="Enabled","Apple ID Lock","")</f>
        <v/>
      </c>
      <c r="R377" s="13" t="str">
        <f>IF(MacReports!M377="Remote Lock","Remote Locked","")</f>
        <v/>
      </c>
      <c r="S377" t="str">
        <f t="shared" si="13"/>
        <v>Battery Defect, 0</v>
      </c>
      <c r="T377" t="str">
        <f>_xlfn.XLOOKUP(B377,Disk_Pivot!G:G,Disk_Pivot!I:I)</f>
        <v>Yes x2</v>
      </c>
      <c r="U377" t="str">
        <f>_xlfn.XLOOKUP(B377,Disk_Pivot!G:G,Disk_Pivot!N:N)</f>
        <v>Pass, Fail</v>
      </c>
      <c r="V377" t="str">
        <f>IF(U377="Fail",MacReports!O377,"")</f>
        <v/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MacReports!D378</f>
        <v>0</v>
      </c>
      <c r="E378" t="e">
        <f>_xlfn.XLOOKUP(G378,Models!A:A,Models!F:F)</f>
        <v>#N/A</v>
      </c>
      <c r="F378" t="str">
        <f>_xlfn.XLOOKUP(B378,MacReports!B:B,MacReports!E:E,"")</f>
        <v/>
      </c>
      <c r="G378" s="13">
        <f>MacReports!F378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MacReports!G378</f>
        <v>0</v>
      </c>
      <c r="L378">
        <f>MacReports!H378</f>
        <v>0</v>
      </c>
      <c r="M378" s="15" t="e" cm="1">
        <f t="array" ref="M378">--_xlfn.LET(
    _xlpm.txt, MacReports!I378,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--MacReports!N378&lt;55,"Battery Defect",
  -- MacReports!N378&lt;=69,"Battery D",
  --MacReports!N378&lt;=80,"Battery C",
 --MacReports!N378&gt;80,""
)</f>
        <v>Battery Defect</v>
      </c>
      <c r="O378" s="16" t="str">
        <f>IF(MacReports!J378="Service","Battery Service","")</f>
        <v/>
      </c>
      <c r="P378" s="13">
        <f>MacReports!Q378</f>
        <v>0</v>
      </c>
      <c r="Q378" s="13" t="str">
        <f>IF(MacReports!K378="Enabled","Apple ID Lock","")</f>
        <v/>
      </c>
      <c r="R378" s="13" t="str">
        <f>IF(MacReports!M378="Remote Lock","Remote Locked","")</f>
        <v/>
      </c>
      <c r="S378" t="str">
        <f t="shared" si="13"/>
        <v>Battery Defect, 0</v>
      </c>
      <c r="T378" t="str">
        <f>_xlfn.XLOOKUP(B378,Disk_Pivot!G:G,Disk_Pivot!I:I)</f>
        <v>Yes x2</v>
      </c>
      <c r="U378" t="str">
        <f>_xlfn.XLOOKUP(B378,Disk_Pivot!G:G,Disk_Pivot!N:N)</f>
        <v>Pass, Fail</v>
      </c>
      <c r="V378" t="str">
        <f>IF(U378="Fail",MacReports!O378,"")</f>
        <v/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MacReports!D379</f>
        <v>0</v>
      </c>
      <c r="E379" t="e">
        <f>_xlfn.XLOOKUP(G379,Models!A:A,Models!F:F)</f>
        <v>#N/A</v>
      </c>
      <c r="F379" t="str">
        <f>_xlfn.XLOOKUP(B379,MacReports!B:B,MacReports!E:E,"")</f>
        <v/>
      </c>
      <c r="G379" s="13">
        <f>MacReports!F379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MacReports!G379</f>
        <v>0</v>
      </c>
      <c r="L379">
        <f>MacReports!H379</f>
        <v>0</v>
      </c>
      <c r="M379" s="15" t="e" cm="1">
        <f t="array" ref="M379">--_xlfn.LET(
    _xlpm.txt, MacReports!I379,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--MacReports!N379&lt;55,"Battery Defect",
  -- MacReports!N379&lt;=69,"Battery D",
  --MacReports!N379&lt;=80,"Battery C",
 --MacReports!N379&gt;80,""
)</f>
        <v>Battery Defect</v>
      </c>
      <c r="O379" s="16" t="str">
        <f>IF(MacReports!J379="Service","Battery Service","")</f>
        <v/>
      </c>
      <c r="P379" s="13">
        <f>MacReports!Q379</f>
        <v>0</v>
      </c>
      <c r="Q379" s="13" t="str">
        <f>IF(MacReports!K379="Enabled","Apple ID Lock","")</f>
        <v/>
      </c>
      <c r="R379" s="13" t="str">
        <f>IF(MacReports!M379="Remote Lock","Remote Locked","")</f>
        <v/>
      </c>
      <c r="S379" t="str">
        <f t="shared" si="13"/>
        <v>Battery Defect, 0</v>
      </c>
      <c r="T379" t="str">
        <f>_xlfn.XLOOKUP(B379,Disk_Pivot!G:G,Disk_Pivot!I:I)</f>
        <v>Yes x2</v>
      </c>
      <c r="U379" t="str">
        <f>_xlfn.XLOOKUP(B379,Disk_Pivot!G:G,Disk_Pivot!N:N)</f>
        <v>Pass, Fail</v>
      </c>
      <c r="V379" t="str">
        <f>IF(U379="Fail",MacReports!O379,"")</f>
        <v/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MacReports!D380</f>
        <v>0</v>
      </c>
      <c r="E380" t="e">
        <f>_xlfn.XLOOKUP(G380,Models!A:A,Models!F:F)</f>
        <v>#N/A</v>
      </c>
      <c r="F380" t="str">
        <f>_xlfn.XLOOKUP(B380,MacReports!B:B,MacReports!E:E,"")</f>
        <v/>
      </c>
      <c r="G380" s="13">
        <f>MacReports!F380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MacReports!G380</f>
        <v>0</v>
      </c>
      <c r="L380">
        <f>MacReports!H380</f>
        <v>0</v>
      </c>
      <c r="M380" s="15" t="e" cm="1">
        <f t="array" ref="M380">--_xlfn.LET(
    _xlpm.txt, MacReports!I380,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--MacReports!N380&lt;55,"Battery Defect",
  -- MacReports!N380&lt;=69,"Battery D",
  --MacReports!N380&lt;=80,"Battery C",
 --MacReports!N380&gt;80,""
)</f>
        <v>Battery Defect</v>
      </c>
      <c r="O380" s="16" t="str">
        <f>IF(MacReports!J380="Service","Battery Service","")</f>
        <v/>
      </c>
      <c r="P380" s="13">
        <f>MacReports!Q380</f>
        <v>0</v>
      </c>
      <c r="Q380" s="13" t="str">
        <f>IF(MacReports!K380="Enabled","Apple ID Lock","")</f>
        <v/>
      </c>
      <c r="R380" s="13" t="str">
        <f>IF(MacReports!M380="Remote Lock","Remote Locked","")</f>
        <v/>
      </c>
      <c r="S380" t="str">
        <f t="shared" si="13"/>
        <v>Battery Defect, 0</v>
      </c>
      <c r="T380" t="str">
        <f>_xlfn.XLOOKUP(B380,Disk_Pivot!G:G,Disk_Pivot!I:I)</f>
        <v>Yes x2</v>
      </c>
      <c r="U380" t="str">
        <f>_xlfn.XLOOKUP(B380,Disk_Pivot!G:G,Disk_Pivot!N:N)</f>
        <v>Pass, Fail</v>
      </c>
      <c r="V380" t="str">
        <f>IF(U380="Fail",MacReports!O380,"")</f>
        <v/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MacReports!D381</f>
        <v>0</v>
      </c>
      <c r="E381" t="e">
        <f>_xlfn.XLOOKUP(G381,Models!A:A,Models!F:F)</f>
        <v>#N/A</v>
      </c>
      <c r="F381" t="str">
        <f>_xlfn.XLOOKUP(B381,MacReports!B:B,MacReports!E:E,"")</f>
        <v/>
      </c>
      <c r="G381" s="13">
        <f>MacReports!F381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MacReports!G381</f>
        <v>0</v>
      </c>
      <c r="L381">
        <f>MacReports!H381</f>
        <v>0</v>
      </c>
      <c r="M381" s="15" t="e" cm="1">
        <f t="array" ref="M381">--_xlfn.LET(
    _xlpm.txt, MacReports!I381,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--MacReports!N381&lt;55,"Battery Defect",
  -- MacReports!N381&lt;=69,"Battery D",
  --MacReports!N381&lt;=80,"Battery C",
 --MacReports!N381&gt;80,""
)</f>
        <v>Battery Defect</v>
      </c>
      <c r="O381" s="16" t="str">
        <f>IF(MacReports!J381="Service","Battery Service","")</f>
        <v/>
      </c>
      <c r="P381" s="13">
        <f>MacReports!Q381</f>
        <v>0</v>
      </c>
      <c r="Q381" s="13" t="str">
        <f>IF(MacReports!K381="Enabled","Apple ID Lock","")</f>
        <v/>
      </c>
      <c r="R381" s="13" t="str">
        <f>IF(MacReports!M381="Remote Lock","Remote Locked","")</f>
        <v/>
      </c>
      <c r="S381" t="str">
        <f t="shared" si="13"/>
        <v>Battery Defect, 0</v>
      </c>
      <c r="T381" t="str">
        <f>_xlfn.XLOOKUP(B381,Disk_Pivot!G:G,Disk_Pivot!I:I)</f>
        <v>Yes x2</v>
      </c>
      <c r="U381" t="str">
        <f>_xlfn.XLOOKUP(B381,Disk_Pivot!G:G,Disk_Pivot!N:N)</f>
        <v>Pass, Fail</v>
      </c>
      <c r="V381" t="str">
        <f>IF(U381="Fail",MacReports!O381,"")</f>
        <v/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MacReports!D382</f>
        <v>0</v>
      </c>
      <c r="E382" t="e">
        <f>_xlfn.XLOOKUP(G382,Models!A:A,Models!F:F)</f>
        <v>#N/A</v>
      </c>
      <c r="F382" t="str">
        <f>_xlfn.XLOOKUP(B382,MacReports!B:B,MacReports!E:E,"")</f>
        <v/>
      </c>
      <c r="G382" s="13">
        <f>MacReports!F382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MacReports!G382</f>
        <v>0</v>
      </c>
      <c r="L382">
        <f>MacReports!H382</f>
        <v>0</v>
      </c>
      <c r="M382" s="15" t="e" cm="1">
        <f t="array" ref="M382">--_xlfn.LET(
    _xlpm.txt, MacReports!I382,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--MacReports!N382&lt;55,"Battery Defect",
  -- MacReports!N382&lt;=69,"Battery D",
  --MacReports!N382&lt;=80,"Battery C",
 --MacReports!N382&gt;80,""
)</f>
        <v>Battery Defect</v>
      </c>
      <c r="O382" s="16" t="str">
        <f>IF(MacReports!J382="Service","Battery Service","")</f>
        <v/>
      </c>
      <c r="P382" s="13">
        <f>MacReports!Q382</f>
        <v>0</v>
      </c>
      <c r="Q382" s="13" t="str">
        <f>IF(MacReports!K382="Enabled","Apple ID Lock","")</f>
        <v/>
      </c>
      <c r="R382" s="13" t="str">
        <f>IF(MacReports!M382="Remote Lock","Remote Locked","")</f>
        <v/>
      </c>
      <c r="S382" t="str">
        <f t="shared" si="13"/>
        <v>Battery Defect, 0</v>
      </c>
      <c r="T382" t="str">
        <f>_xlfn.XLOOKUP(B382,Disk_Pivot!G:G,Disk_Pivot!I:I)</f>
        <v>Yes x2</v>
      </c>
      <c r="U382" t="str">
        <f>_xlfn.XLOOKUP(B382,Disk_Pivot!G:G,Disk_Pivot!N:N)</f>
        <v>Pass, Fail</v>
      </c>
      <c r="V382" t="str">
        <f>IF(U382="Fail",MacReports!O382,"")</f>
        <v/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MacReports!D383</f>
        <v>0</v>
      </c>
      <c r="E383" t="e">
        <f>_xlfn.XLOOKUP(G383,Models!A:A,Models!F:F)</f>
        <v>#N/A</v>
      </c>
      <c r="F383" t="str">
        <f>_xlfn.XLOOKUP(B383,MacReports!B:B,MacReports!E:E,"")</f>
        <v/>
      </c>
      <c r="G383" s="13">
        <f>MacReports!F383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MacReports!G383</f>
        <v>0</v>
      </c>
      <c r="L383">
        <f>MacReports!H383</f>
        <v>0</v>
      </c>
      <c r="M383" s="15" t="e" cm="1">
        <f t="array" ref="M383">--_xlfn.LET(
    _xlpm.txt, MacReports!I383,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--MacReports!N383&lt;55,"Battery Defect",
  -- MacReports!N383&lt;=69,"Battery D",
  --MacReports!N383&lt;=80,"Battery C",
 --MacReports!N383&gt;80,""
)</f>
        <v>Battery Defect</v>
      </c>
      <c r="O383" s="16" t="str">
        <f>IF(MacReports!J383="Service","Battery Service","")</f>
        <v/>
      </c>
      <c r="P383" s="13">
        <f>MacReports!Q383</f>
        <v>0</v>
      </c>
      <c r="Q383" s="13" t="str">
        <f>IF(MacReports!K383="Enabled","Apple ID Lock","")</f>
        <v/>
      </c>
      <c r="R383" s="13" t="str">
        <f>IF(MacReports!M383="Remote Lock","Remote Locked","")</f>
        <v/>
      </c>
      <c r="S383" t="str">
        <f t="shared" si="13"/>
        <v>Battery Defect, 0</v>
      </c>
      <c r="T383" t="str">
        <f>_xlfn.XLOOKUP(B383,Disk_Pivot!G:G,Disk_Pivot!I:I)</f>
        <v>Yes x2</v>
      </c>
      <c r="U383" t="str">
        <f>_xlfn.XLOOKUP(B383,Disk_Pivot!G:G,Disk_Pivot!N:N)</f>
        <v>Pass, Fail</v>
      </c>
      <c r="V383" t="str">
        <f>IF(U383="Fail",MacReports!O383,"")</f>
        <v/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MacReports!D384</f>
        <v>0</v>
      </c>
      <c r="E384" t="e">
        <f>_xlfn.XLOOKUP(G384,Models!A:A,Models!F:F)</f>
        <v>#N/A</v>
      </c>
      <c r="F384" t="str">
        <f>_xlfn.XLOOKUP(B384,MacReports!B:B,MacReports!E:E,"")</f>
        <v/>
      </c>
      <c r="G384" s="13">
        <f>MacReports!F384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MacReports!G384</f>
        <v>0</v>
      </c>
      <c r="L384">
        <f>MacReports!H384</f>
        <v>0</v>
      </c>
      <c r="M384" s="15" t="e" cm="1">
        <f t="array" ref="M384">--_xlfn.LET(
    _xlpm.txt, MacReports!I384,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--MacReports!N384&lt;55,"Battery Defect",
  -- MacReports!N384&lt;=69,"Battery D",
  --MacReports!N384&lt;=80,"Battery C",
 --MacReports!N384&gt;80,""
)</f>
        <v>Battery Defect</v>
      </c>
      <c r="O384" s="16" t="str">
        <f>IF(MacReports!J384="Service","Battery Service","")</f>
        <v/>
      </c>
      <c r="P384" s="13">
        <f>MacReports!Q384</f>
        <v>0</v>
      </c>
      <c r="Q384" s="13" t="str">
        <f>IF(MacReports!K384="Enabled","Apple ID Lock","")</f>
        <v/>
      </c>
      <c r="R384" s="13" t="str">
        <f>IF(MacReports!M384="Remote Lock","Remote Locked","")</f>
        <v/>
      </c>
      <c r="S384" t="str">
        <f t="shared" si="13"/>
        <v>Battery Defect, 0</v>
      </c>
      <c r="T384" t="str">
        <f>_xlfn.XLOOKUP(B384,Disk_Pivot!G:G,Disk_Pivot!I:I)</f>
        <v>Yes x2</v>
      </c>
      <c r="U384" t="str">
        <f>_xlfn.XLOOKUP(B384,Disk_Pivot!G:G,Disk_Pivot!N:N)</f>
        <v>Pass, Fail</v>
      </c>
      <c r="V384" t="str">
        <f>IF(U384="Fail",MacReports!O384,"")</f>
        <v/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MacReports!D385</f>
        <v>0</v>
      </c>
      <c r="E385" t="e">
        <f>_xlfn.XLOOKUP(G385,Models!A:A,Models!F:F)</f>
        <v>#N/A</v>
      </c>
      <c r="F385" t="str">
        <f>_xlfn.XLOOKUP(B385,MacReports!B:B,MacReports!E:E,"")</f>
        <v/>
      </c>
      <c r="G385" s="13">
        <f>MacReports!F385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MacReports!G385</f>
        <v>0</v>
      </c>
      <c r="L385">
        <f>MacReports!H385</f>
        <v>0</v>
      </c>
      <c r="M385" s="15" t="e" cm="1">
        <f t="array" ref="M385">--_xlfn.LET(
    _xlpm.txt, MacReports!I385,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--MacReports!N385&lt;55,"Battery Defect",
  -- MacReports!N385&lt;=69,"Battery D",
  --MacReports!N385&lt;=80,"Battery C",
 --MacReports!N385&gt;80,""
)</f>
        <v>Battery Defect</v>
      </c>
      <c r="O385" s="16" t="str">
        <f>IF(MacReports!J385="Service","Battery Service","")</f>
        <v/>
      </c>
      <c r="P385" s="13">
        <f>MacReports!Q385</f>
        <v>0</v>
      </c>
      <c r="Q385" s="13" t="str">
        <f>IF(MacReports!K385="Enabled","Apple ID Lock","")</f>
        <v/>
      </c>
      <c r="R385" s="13" t="str">
        <f>IF(MacReports!M385="Remote Lock","Remote Locked","")</f>
        <v/>
      </c>
      <c r="S385" t="str">
        <f t="shared" si="13"/>
        <v>Battery Defect, 0</v>
      </c>
      <c r="T385" t="str">
        <f>_xlfn.XLOOKUP(B385,Disk_Pivot!G:G,Disk_Pivot!I:I)</f>
        <v>Yes x2</v>
      </c>
      <c r="U385" t="str">
        <f>_xlfn.XLOOKUP(B385,Disk_Pivot!G:G,Disk_Pivot!N:N)</f>
        <v>Pass, Fail</v>
      </c>
      <c r="V385" t="str">
        <f>IF(U385="Fail",MacReports!O385,"")</f>
        <v/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MacReports!D386</f>
        <v>0</v>
      </c>
      <c r="E386" t="e">
        <f>_xlfn.XLOOKUP(G386,Models!A:A,Models!F:F)</f>
        <v>#N/A</v>
      </c>
      <c r="F386" t="str">
        <f>_xlfn.XLOOKUP(B386,MacReports!B:B,MacReports!E:E,"")</f>
        <v/>
      </c>
      <c r="G386" s="13">
        <f>MacReports!F386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MacReports!G386</f>
        <v>0</v>
      </c>
      <c r="L386">
        <f>MacReports!H386</f>
        <v>0</v>
      </c>
      <c r="M386" s="15" t="e" cm="1">
        <f t="array" ref="M386">--_xlfn.LET(
    _xlpm.txt, MacReports!I386,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--MacReports!N386&lt;55,"Battery Defect",
  -- MacReports!N386&lt;=69,"Battery D",
  --MacReports!N386&lt;=80,"Battery C",
 --MacReports!N386&gt;80,""
)</f>
        <v>Battery Defect</v>
      </c>
      <c r="O386" s="16" t="str">
        <f>IF(MacReports!J386="Service","Battery Service","")</f>
        <v/>
      </c>
      <c r="P386" s="13">
        <f>MacReports!Q386</f>
        <v>0</v>
      </c>
      <c r="Q386" s="13" t="str">
        <f>IF(MacReports!K386="Enabled","Apple ID Lock","")</f>
        <v/>
      </c>
      <c r="R386" s="13" t="str">
        <f>IF(MacReports!M386="Remote Lock","Remote Locked","")</f>
        <v/>
      </c>
      <c r="S386" t="str">
        <f t="shared" si="13"/>
        <v>Battery Defect, 0</v>
      </c>
      <c r="T386" t="str">
        <f>_xlfn.XLOOKUP(B386,Disk_Pivot!G:G,Disk_Pivot!I:I)</f>
        <v>Yes x2</v>
      </c>
      <c r="U386" t="str">
        <f>_xlfn.XLOOKUP(B386,Disk_Pivot!G:G,Disk_Pivot!N:N)</f>
        <v>Pass, Fail</v>
      </c>
      <c r="V386" t="str">
        <f>IF(U386="Fail",MacReports!O386,"")</f>
        <v/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MacReports!D387</f>
        <v>0</v>
      </c>
      <c r="E387" t="e">
        <f>_xlfn.XLOOKUP(G387,Models!A:A,Models!F:F)</f>
        <v>#N/A</v>
      </c>
      <c r="F387" t="str">
        <f>_xlfn.XLOOKUP(B387,MacReports!B:B,MacReports!E:E,"")</f>
        <v/>
      </c>
      <c r="G387" s="13">
        <f>MacReports!F387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MacReports!G387</f>
        <v>0</v>
      </c>
      <c r="L387">
        <f>MacReports!H387</f>
        <v>0</v>
      </c>
      <c r="M387" s="15" t="e" cm="1">
        <f t="array" ref="M387">--_xlfn.LET(
    _xlpm.txt, MacReports!I387,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--MacReports!N387&lt;55,"Battery Defect",
  -- MacReports!N387&lt;=69,"Battery D",
  --MacReports!N387&lt;=80,"Battery C",
 --MacReports!N387&gt;80,""
)</f>
        <v>Battery Defect</v>
      </c>
      <c r="O387" s="16" t="str">
        <f>IF(MacReports!J387="Service","Battery Service","")</f>
        <v/>
      </c>
      <c r="P387" s="13">
        <f>MacReports!Q387</f>
        <v>0</v>
      </c>
      <c r="Q387" s="13" t="str">
        <f>IF(MacReports!K387="Enabled","Apple ID Lock","")</f>
        <v/>
      </c>
      <c r="R387" s="13" t="str">
        <f>IF(MacReports!M387="Remote Lock","Remote Locked","")</f>
        <v/>
      </c>
      <c r="S387" t="str">
        <f t="shared" si="13"/>
        <v>Battery Defect, 0</v>
      </c>
      <c r="T387" t="str">
        <f>_xlfn.XLOOKUP(B387,Disk_Pivot!G:G,Disk_Pivot!I:I)</f>
        <v>Yes x2</v>
      </c>
      <c r="U387" t="str">
        <f>_xlfn.XLOOKUP(B387,Disk_Pivot!G:G,Disk_Pivot!N:N)</f>
        <v>Pass, Fail</v>
      </c>
      <c r="V387" t="str">
        <f>IF(U387="Fail",MacReports!O387,"")</f>
        <v/>
      </c>
      <c r="AB387" t="str">
        <f t="shared" si="14"/>
        <v/>
      </c>
    </row>
    <row r="388" spans="1:28">
      <c r="F388" t="str">
        <f>_xlfn.XLOOKUP(B388,MacReports!B:B,MacReports!E:E,"")</f>
        <v/>
      </c>
      <c r="R388" s="13" t="str">
        <f>IF(MacReports!M388="Remote Lock","Remote Locked","")</f>
        <v/>
      </c>
    </row>
    <row r="389" spans="1:28">
      <c r="F389" t="str">
        <f>_xlfn.XLOOKUP(B389,MacReports!B:B,MacReports!E:E,"")</f>
        <v/>
      </c>
      <c r="R389" s="13" t="str">
        <f>IF(MacReports!M389="Remote Lock","Remote Locked","")</f>
        <v/>
      </c>
    </row>
    <row r="390" spans="1:28">
      <c r="F390" t="str">
        <f>_xlfn.XLOOKUP(B390,MacReports!B:B,MacReports!E:E,"")</f>
        <v/>
      </c>
      <c r="R390" s="13" t="str">
        <f>IF(MacReports!M390="Remote Lock","Remote Locked","")</f>
        <v/>
      </c>
    </row>
    <row r="391" spans="1:28">
      <c r="F391" t="str">
        <f>_xlfn.XLOOKUP(B391,MacReports!B:B,MacReports!E:E,"")</f>
        <v/>
      </c>
      <c r="R391" s="13" t="str">
        <f>IF(MacReports!M391="Remote Lock","Remote Locked","")</f>
        <v/>
      </c>
    </row>
    <row r="392" spans="1:28">
      <c r="F392" t="str">
        <f>_xlfn.XLOOKUP(B392,MacReports!B:B,MacReports!E:E,"")</f>
        <v/>
      </c>
      <c r="R392" s="13" t="str">
        <f>IF(MacReports!M392="Remote Lock","Remote Locked","")</f>
        <v/>
      </c>
    </row>
    <row r="393" spans="1:28">
      <c r="F393" t="str">
        <f>_xlfn.XLOOKUP(B393,MacReports!B:B,MacReports!E:E,"")</f>
        <v/>
      </c>
      <c r="R393" s="13" t="str">
        <f>IF(MacReports!M393="Remote Lock","Remote Locked","")</f>
        <v/>
      </c>
    </row>
    <row r="394" spans="1:28">
      <c r="F394" t="str">
        <f>_xlfn.XLOOKUP(B394,MacReports!B:B,MacReports!E:E,"")</f>
        <v/>
      </c>
      <c r="R394" s="13" t="str">
        <f>IF(MacReports!M394="Remote Lock","Remote Locked","")</f>
        <v/>
      </c>
    </row>
    <row r="395" spans="1:28">
      <c r="F395" t="str">
        <f>_xlfn.XLOOKUP(B395,MacReports!B:B,MacReports!E:E,"")</f>
        <v/>
      </c>
      <c r="R395" s="13" t="str">
        <f>IF(MacReports!M395="Remote Lock","Remote Locked","")</f>
        <v/>
      </c>
    </row>
    <row r="396" spans="1:28">
      <c r="F396" t="str">
        <f>_xlfn.XLOOKUP(B396,MacReports!B:B,MacReports!E:E,"")</f>
        <v/>
      </c>
      <c r="R396" s="13" t="str">
        <f>IF(MacReports!M396="Remote Lock","Remote Locked","")</f>
        <v/>
      </c>
    </row>
    <row r="397" spans="1:28">
      <c r="F397" t="str">
        <f>_xlfn.XLOOKUP(B397,MacReports!B:B,MacReports!E:E,"")</f>
        <v/>
      </c>
      <c r="R397" s="13" t="str">
        <f>IF(MacReports!M397="Remote Lock","Remote Locked","")</f>
        <v/>
      </c>
    </row>
    <row r="398" spans="1:28">
      <c r="F398" t="str">
        <f>_xlfn.XLOOKUP(B398,MacReports!B:B,MacReports!E:E,"")</f>
        <v/>
      </c>
      <c r="R398" s="13" t="str">
        <f>IF(MacReports!M398="Remote Lock","Remote Locked","")</f>
        <v/>
      </c>
    </row>
    <row r="399" spans="1:28">
      <c r="F399" t="str">
        <f>_xlfn.XLOOKUP(B399,MacReports!B:B,MacReports!E:E,"")</f>
        <v/>
      </c>
      <c r="R399" s="13" t="str">
        <f>IF(MacReports!M399="Remote Lock","Remote Locked","")</f>
        <v/>
      </c>
    </row>
    <row r="400" spans="1:28">
      <c r="F400" t="str">
        <f>_xlfn.XLOOKUP(B400,MacReports!B:B,MacReports!E:E,"")</f>
        <v/>
      </c>
      <c r="R400" s="13" t="str">
        <f>IF(MacReports!M400="Remote Lock","Remote Locked","")</f>
        <v/>
      </c>
    </row>
    <row r="401" spans="6:18">
      <c r="F401" t="str">
        <f>_xlfn.XLOOKUP(B401,MacReports!B:B,MacReports!E:E,"")</f>
        <v/>
      </c>
      <c r="R401" s="13" t="str">
        <f>IF(MacReports!M401="Remote Lock","Remote Locked","")</f>
        <v/>
      </c>
    </row>
    <row r="402" spans="6:18">
      <c r="F402" t="str">
        <f>_xlfn.XLOOKUP(B402,MacReports!B:B,MacReports!E:E,"")</f>
        <v/>
      </c>
      <c r="R402" s="13" t="str">
        <f>IF(MacReports!M402="Remote Lock","Remote Locked","")</f>
        <v/>
      </c>
    </row>
    <row r="403" spans="6:18">
      <c r="F403" t="str">
        <f>_xlfn.XLOOKUP(B403,MacReports!B:B,MacReports!E:E,"")</f>
        <v/>
      </c>
      <c r="R403" s="13" t="str">
        <f>IF(MacReports!M403="Remote Lock","Remote Locked","")</f>
        <v/>
      </c>
    </row>
    <row r="404" spans="6:18">
      <c r="F404" t="str">
        <f>_xlfn.XLOOKUP(B404,MacReports!B:B,MacReports!E:E,"")</f>
        <v/>
      </c>
      <c r="R404" s="13" t="str">
        <f>IF(MacReports!M404="Remote Lock","Remote Locked","")</f>
        <v/>
      </c>
    </row>
    <row r="405" spans="6:18">
      <c r="F405" t="str">
        <f>_xlfn.XLOOKUP(B405,MacReports!B:B,MacReports!E:E,"")</f>
        <v/>
      </c>
      <c r="R405" s="13" t="str">
        <f>IF(MacReports!M405="Remote Lock","Remote Locked","")</f>
        <v/>
      </c>
    </row>
    <row r="406" spans="6:18">
      <c r="F406" t="str">
        <f>_xlfn.XLOOKUP(B406,MacReports!B:B,MacReports!E:E,"")</f>
        <v/>
      </c>
      <c r="R406" s="13" t="str">
        <f>IF(MacReports!M406="Remote Lock","Remote Locked","")</f>
        <v/>
      </c>
    </row>
    <row r="407" spans="6:18">
      <c r="F407" t="str">
        <f>_xlfn.XLOOKUP(B407,MacReports!B:B,MacReports!E:E,"")</f>
        <v/>
      </c>
      <c r="R407" s="13" t="str">
        <f>IF(MacReports!M407="Remote Lock","Remote Locked","")</f>
        <v/>
      </c>
    </row>
    <row r="408" spans="6:18">
      <c r="F408" t="str">
        <f>_xlfn.XLOOKUP(B408,MacReports!B:B,MacReports!E:E,"")</f>
        <v/>
      </c>
      <c r="R408" s="13" t="str">
        <f>IF(MacReports!M408="Remote Lock","Remote Locked","")</f>
        <v/>
      </c>
    </row>
    <row r="409" spans="6:18">
      <c r="F409" t="str">
        <f>_xlfn.XLOOKUP(B409,MacReports!B:B,MacReports!E:E,"")</f>
        <v/>
      </c>
      <c r="R409" s="13" t="str">
        <f>IF(MacReports!M409="Remote Lock","Remote Locked","")</f>
        <v/>
      </c>
    </row>
    <row r="410" spans="6:18">
      <c r="F410" t="str">
        <f>_xlfn.XLOOKUP(B410,MacReports!B:B,MacReports!E:E,"")</f>
        <v/>
      </c>
      <c r="R410" s="13" t="str">
        <f>IF(MacReports!M410="Remote Lock","Remote Locked","")</f>
        <v/>
      </c>
    </row>
    <row r="411" spans="6:18">
      <c r="F411" t="str">
        <f>_xlfn.XLOOKUP(B411,MacReports!B:B,MacReports!E:E,"")</f>
        <v/>
      </c>
      <c r="R411" s="13" t="str">
        <f>IF(MacReports!M411="Remote Lock","Remote Locked","")</f>
        <v/>
      </c>
    </row>
    <row r="412" spans="6:18">
      <c r="F412" t="str">
        <f>_xlfn.XLOOKUP(B412,MacReports!B:B,MacReports!E:E,"")</f>
        <v/>
      </c>
      <c r="R412" s="13" t="str">
        <f>IF(MacReports!M412="Remote Lock","Remote Locked","")</f>
        <v/>
      </c>
    </row>
    <row r="413" spans="6:18">
      <c r="F413" t="str">
        <f>_xlfn.XLOOKUP(B413,MacReports!B:B,MacReports!E:E,"")</f>
        <v/>
      </c>
      <c r="R413" s="13" t="str">
        <f>IF(MacReports!M413="Remote Lock","Remote Locked","")</f>
        <v/>
      </c>
    </row>
    <row r="414" spans="6:18">
      <c r="F414" t="str">
        <f>_xlfn.XLOOKUP(B414,MacReports!B:B,MacReports!E:E,"")</f>
        <v/>
      </c>
      <c r="R414" s="13" t="str">
        <f>IF(MacReports!M414="Remote Lock","Remote Locked","")</f>
        <v/>
      </c>
    </row>
    <row r="415" spans="6:18">
      <c r="F415" t="str">
        <f>_xlfn.XLOOKUP(B415,MacReports!B:B,MacReports!E:E,"")</f>
        <v/>
      </c>
      <c r="R415" s="13" t="str">
        <f>IF(MacReports!M415="Remote Lock","Remote Locked","")</f>
        <v/>
      </c>
    </row>
    <row r="416" spans="6:18">
      <c r="F416" t="str">
        <f>_xlfn.XLOOKUP(B416,MacReports!B:B,MacReports!E:E,"")</f>
        <v/>
      </c>
      <c r="R416" s="13" t="str">
        <f>IF(MacReports!M416="Remote Lock","Remote Locked","")</f>
        <v/>
      </c>
    </row>
    <row r="417" spans="6:18">
      <c r="F417" t="str">
        <f>_xlfn.XLOOKUP(B417,MacReports!B:B,MacReports!E:E,"")</f>
        <v/>
      </c>
      <c r="R417" s="13" t="str">
        <f>IF(MacReports!M417="Remote Lock","Remote Locked","")</f>
        <v/>
      </c>
    </row>
    <row r="418" spans="6:18">
      <c r="F418" t="str">
        <f>_xlfn.XLOOKUP(B418,MacReports!B:B,MacReports!E:E,"")</f>
        <v/>
      </c>
      <c r="R418" s="13" t="str">
        <f>IF(MacReports!M418="Remote Lock","Remote Locked","")</f>
        <v/>
      </c>
    </row>
    <row r="419" spans="6:18">
      <c r="F419" t="str">
        <f>_xlfn.XLOOKUP(B419,MacReports!B:B,MacReports!E:E,"")</f>
        <v/>
      </c>
      <c r="R419" s="13" t="str">
        <f>IF(MacReports!M419="Remote Lock","Remote Locked","")</f>
        <v/>
      </c>
    </row>
    <row r="420" spans="6:18">
      <c r="F420" t="str">
        <f>_xlfn.XLOOKUP(B420,MacReports!B:B,MacReports!E:E,"")</f>
        <v/>
      </c>
      <c r="R420" s="13" t="str">
        <f>IF(MacReports!M420="Remote Lock","Remote Locked","")</f>
        <v/>
      </c>
    </row>
    <row r="421" spans="6:18">
      <c r="F421" t="str">
        <f>_xlfn.XLOOKUP(B421,MacReports!B:B,MacReports!E:E,"")</f>
        <v/>
      </c>
      <c r="R421" s="13" t="str">
        <f>IF(MacReports!M421="Remote Lock","Remote Locked","")</f>
        <v/>
      </c>
    </row>
    <row r="422" spans="6:18">
      <c r="F422" t="str">
        <f>_xlfn.XLOOKUP(B422,MacReports!B:B,MacReports!E:E,"")</f>
        <v/>
      </c>
      <c r="R422" s="13" t="str">
        <f>IF(MacReports!M422="Remote Lock","Remote Locked","")</f>
        <v/>
      </c>
    </row>
    <row r="423" spans="6:18">
      <c r="F423" t="str">
        <f>_xlfn.XLOOKUP(B423,MacReports!B:B,MacReports!E:E,"")</f>
        <v/>
      </c>
      <c r="R423" s="13" t="str">
        <f>IF(MacReports!M423="Remote Lock","Remote Locked","")</f>
        <v/>
      </c>
    </row>
    <row r="424" spans="6:18">
      <c r="F424" t="str">
        <f>_xlfn.XLOOKUP(B424,MacReports!B:B,MacReports!E:E,"")</f>
        <v/>
      </c>
      <c r="R424" s="13" t="str">
        <f>IF(MacReports!M424="Remote Lock","Remote Locked","")</f>
        <v/>
      </c>
    </row>
    <row r="425" spans="6:18">
      <c r="F425" t="str">
        <f>_xlfn.XLOOKUP(B425,MacReports!B:B,MacReports!E:E,"")</f>
        <v/>
      </c>
      <c r="R425" s="13" t="str">
        <f>IF(MacReports!M425="Remote Lock","Remote Locked","")</f>
        <v/>
      </c>
    </row>
    <row r="426" spans="6:18">
      <c r="F426" t="str">
        <f>_xlfn.XLOOKUP(B426,MacReports!B:B,MacReports!E:E,"")</f>
        <v/>
      </c>
      <c r="R426" s="13" t="str">
        <f>IF(MacReports!M426="Remote Lock","Remote Locked","")</f>
        <v/>
      </c>
    </row>
    <row r="427" spans="6:18">
      <c r="F427" t="str">
        <f>_xlfn.XLOOKUP(B427,MacReports!B:B,MacReports!E:E,"")</f>
        <v/>
      </c>
      <c r="R427" s="13" t="str">
        <f>IF(MacReports!M427="Remote Lock","Remote Locked","")</f>
        <v/>
      </c>
    </row>
    <row r="428" spans="6:18">
      <c r="F428" t="str">
        <f>_xlfn.XLOOKUP(B428,MacReports!B:B,MacReports!E:E,"")</f>
        <v/>
      </c>
      <c r="R428" s="13" t="str">
        <f>IF(MacReports!M428="Remote Lock","Remote Locked","")</f>
        <v/>
      </c>
    </row>
    <row r="429" spans="6:18">
      <c r="F429" t="str">
        <f>_xlfn.XLOOKUP(B429,MacReports!B:B,MacReports!E:E,"")</f>
        <v/>
      </c>
      <c r="R429" s="13" t="str">
        <f>IF(MacReports!M429="Remote Lock","Remote Locked","")</f>
        <v/>
      </c>
    </row>
    <row r="430" spans="6:18">
      <c r="F430" t="str">
        <f>_xlfn.XLOOKUP(B430,MacReports!B:B,MacReports!E:E,"")</f>
        <v/>
      </c>
      <c r="R430" s="13" t="str">
        <f>IF(MacReports!M430="Remote Lock","Remote Locked","")</f>
        <v/>
      </c>
    </row>
    <row r="431" spans="6:18">
      <c r="F431" t="str">
        <f>_xlfn.XLOOKUP(B431,MacReports!B:B,MacReports!E:E,"")</f>
        <v/>
      </c>
      <c r="R431" s="13" t="str">
        <f>IF(MacReports!M431="Remote Lock","Remote Locked","")</f>
        <v/>
      </c>
    </row>
    <row r="432" spans="6:18">
      <c r="F432" t="str">
        <f>_xlfn.XLOOKUP(B432,MacReports!B:B,MacReports!E:E,"")</f>
        <v/>
      </c>
      <c r="R432" s="13" t="str">
        <f>IF(MacReports!M432="Remote Lock","Remote Locked","")</f>
        <v/>
      </c>
    </row>
    <row r="433" spans="6:18">
      <c r="F433" t="str">
        <f>_xlfn.XLOOKUP(B433,MacReports!B:B,MacReports!E:E,"")</f>
        <v/>
      </c>
      <c r="R433" s="13" t="str">
        <f>IF(MacReports!M433="Remote Lock","Remote Locked","")</f>
        <v/>
      </c>
    </row>
    <row r="434" spans="6:18">
      <c r="F434" t="str">
        <f>_xlfn.XLOOKUP(B434,MacReports!B:B,MacReports!E:E,"")</f>
        <v/>
      </c>
      <c r="R434" s="13" t="str">
        <f>IF(MacReports!M434="Remote Lock","Remote Locked","")</f>
        <v/>
      </c>
    </row>
    <row r="435" spans="6:18">
      <c r="F435" t="str">
        <f>_xlfn.XLOOKUP(B435,MacReports!B:B,MacReports!E:E,"")</f>
        <v/>
      </c>
      <c r="R435" s="13" t="str">
        <f>IF(MacReports!M435="Remote Lock","Remote Locked","")</f>
        <v/>
      </c>
    </row>
    <row r="436" spans="6:18">
      <c r="F436" t="str">
        <f>_xlfn.XLOOKUP(B436,MacReports!B:B,MacReports!E:E,"")</f>
        <v/>
      </c>
      <c r="R436" s="13" t="str">
        <f>IF(MacReports!M436="Remote Lock","Remote Locked","")</f>
        <v/>
      </c>
    </row>
    <row r="437" spans="6:18">
      <c r="F437" t="str">
        <f>_xlfn.XLOOKUP(B437,MacReports!B:B,MacReports!E:E,"")</f>
        <v/>
      </c>
      <c r="R437" s="13" t="str">
        <f>IF(MacReports!M437="Remote Lock","Remote Locked","")</f>
        <v/>
      </c>
    </row>
    <row r="438" spans="6:18">
      <c r="F438" t="str">
        <f>_xlfn.XLOOKUP(B438,MacReports!B:B,MacReports!E:E,"")</f>
        <v/>
      </c>
      <c r="R438" s="13" t="str">
        <f>IF(MacReports!M438="Remote Lock","Remote Locked","")</f>
        <v/>
      </c>
    </row>
    <row r="439" spans="6:18">
      <c r="F439" t="str">
        <f>_xlfn.XLOOKUP(B439,MacReports!B:B,MacReports!E:E,"")</f>
        <v/>
      </c>
      <c r="R439" s="13" t="str">
        <f>IF(MacReports!M439="Remote Lock","Remote Locked","")</f>
        <v/>
      </c>
    </row>
    <row r="440" spans="6:18">
      <c r="F440" t="str">
        <f>_xlfn.XLOOKUP(B440,MacReports!B:B,MacReports!E:E,"")</f>
        <v/>
      </c>
      <c r="R440" s="13" t="str">
        <f>IF(MacReports!M440="Remote Lock","Remote Locked","")</f>
        <v/>
      </c>
    </row>
    <row r="441" spans="6:18">
      <c r="F441" t="str">
        <f>_xlfn.XLOOKUP(B441,MacReports!B:B,MacReports!E:E,"")</f>
        <v/>
      </c>
      <c r="R441" s="13" t="str">
        <f>IF(MacReports!M441="Remote Lock","Remote Locked","")</f>
        <v/>
      </c>
    </row>
    <row r="442" spans="6:18">
      <c r="F442" t="str">
        <f>_xlfn.XLOOKUP(B442,MacReports!B:B,MacReports!E:E,"")</f>
        <v/>
      </c>
      <c r="R442" s="13" t="str">
        <f>IF(MacReports!M442="Remote Lock","Remote Locked","")</f>
        <v/>
      </c>
    </row>
    <row r="443" spans="6:18">
      <c r="F443" t="str">
        <f>_xlfn.XLOOKUP(B443,MacReports!B:B,MacReports!E:E,"")</f>
        <v/>
      </c>
      <c r="R443" s="13" t="str">
        <f>IF(MacReports!M443="Remote Lock","Remote Locked","")</f>
        <v/>
      </c>
    </row>
    <row r="444" spans="6:18">
      <c r="F444" t="str">
        <f>_xlfn.XLOOKUP(B444,MacReports!B:B,MacReports!E:E,"")</f>
        <v/>
      </c>
      <c r="R444" s="13" t="str">
        <f>IF(MacReports!M444="Remote Lock","Remote Locked","")</f>
        <v/>
      </c>
    </row>
    <row r="445" spans="6:18">
      <c r="F445" t="str">
        <f>_xlfn.XLOOKUP(B445,MacReports!B:B,MacReports!E:E,"")</f>
        <v/>
      </c>
      <c r="R445" s="13" t="str">
        <f>IF(MacReports!M445="Remote Lock","Remote Locked","")</f>
        <v/>
      </c>
    </row>
    <row r="446" spans="6:18">
      <c r="F446" t="str">
        <f>_xlfn.XLOOKUP(B446,MacReports!B:B,MacReports!E:E,"")</f>
        <v/>
      </c>
      <c r="R446" s="13" t="str">
        <f>IF(MacReports!M446="Remote Lock","Remote Locked","")</f>
        <v/>
      </c>
    </row>
    <row r="447" spans="6:18">
      <c r="F447" t="str">
        <f>_xlfn.XLOOKUP(B447,MacReports!B:B,MacReports!E:E,"")</f>
        <v/>
      </c>
      <c r="R447" s="13" t="str">
        <f>IF(MacReports!M447="Remote Lock","Remote Locked","")</f>
        <v/>
      </c>
    </row>
    <row r="448" spans="6:18">
      <c r="F448" t="str">
        <f>_xlfn.XLOOKUP(B448,MacReports!B:B,MacReports!E:E,"")</f>
        <v/>
      </c>
      <c r="R448" s="13" t="str">
        <f>IF(MacReports!M448="Remote Lock","Remote Locked","")</f>
        <v/>
      </c>
    </row>
    <row r="449" spans="6:18">
      <c r="F449" t="str">
        <f>_xlfn.XLOOKUP(B449,MacReports!B:B,MacReports!E:E,"")</f>
        <v/>
      </c>
      <c r="R449" s="13" t="str">
        <f>IF(MacReports!M449="Remote Lock","Remote Locked","")</f>
        <v/>
      </c>
    </row>
    <row r="450" spans="6:18">
      <c r="F450" t="str">
        <f>_xlfn.XLOOKUP(B450,MacReports!B:B,MacReports!E:E,"")</f>
        <v/>
      </c>
      <c r="R450" s="13" t="str">
        <f>IF(MacReports!M450="Remote Lock","Remote Locked","")</f>
        <v/>
      </c>
    </row>
    <row r="451" spans="6:18">
      <c r="F451" t="str">
        <f>_xlfn.XLOOKUP(B451,MacReports!B:B,MacReports!E:E,"")</f>
        <v/>
      </c>
      <c r="R451" s="13" t="str">
        <f>IF(MacReports!M451="Remote Lock","Remote Locked","")</f>
        <v/>
      </c>
    </row>
    <row r="452" spans="6:18">
      <c r="F452" t="str">
        <f>_xlfn.XLOOKUP(B452,MacReports!B:B,MacReports!E:E,"")</f>
        <v/>
      </c>
      <c r="R452" s="13" t="str">
        <f>IF(MacReports!M452="Remote Lock","Remote Locked","")</f>
        <v/>
      </c>
    </row>
    <row r="453" spans="6:18">
      <c r="F453" t="str">
        <f>_xlfn.XLOOKUP(B453,MacReports!B:B,MacReports!E:E,"")</f>
        <v/>
      </c>
      <c r="R453" s="13" t="str">
        <f>IF(MacReports!M453="Remote Lock","Remote Locked","")</f>
        <v/>
      </c>
    </row>
    <row r="454" spans="6:18">
      <c r="F454" t="str">
        <f>_xlfn.XLOOKUP(B454,MacReports!B:B,MacReports!E:E,"")</f>
        <v/>
      </c>
      <c r="R454" s="13" t="str">
        <f>IF(MacReports!M454="Remote Lock","Remote Locked","")</f>
        <v/>
      </c>
    </row>
    <row r="455" spans="6:18">
      <c r="F455" t="str">
        <f>_xlfn.XLOOKUP(B455,MacReports!B:B,MacReports!E:E,"")</f>
        <v/>
      </c>
      <c r="R455" s="13" t="str">
        <f>IF(MacReports!M455="Remote Lock","Remote Locked","")</f>
        <v/>
      </c>
    </row>
    <row r="456" spans="6:18">
      <c r="F456" t="str">
        <f>_xlfn.XLOOKUP(B456,MacReports!B:B,MacReports!E:E,"")</f>
        <v/>
      </c>
      <c r="R456" s="13" t="str">
        <f>IF(MacReports!M456="Remote Lock","Remote Locked","")</f>
        <v/>
      </c>
    </row>
    <row r="457" spans="6:18">
      <c r="F457" t="str">
        <f>_xlfn.XLOOKUP(B457,MacReports!B:B,MacReports!E:E,"")</f>
        <v/>
      </c>
      <c r="R457" s="13" t="str">
        <f>IF(MacReports!M457="Remote Lock","Remote Locked","")</f>
        <v/>
      </c>
    </row>
    <row r="458" spans="6:18">
      <c r="F458" t="str">
        <f>_xlfn.XLOOKUP(B458,MacReports!B:B,MacReports!E:E,"")</f>
        <v/>
      </c>
      <c r="R458" s="13" t="str">
        <f>IF(MacReports!M458="Remote Lock","Remote Locked","")</f>
        <v/>
      </c>
    </row>
    <row r="459" spans="6:18">
      <c r="F459" t="str">
        <f>_xlfn.XLOOKUP(B459,MacReports!B:B,MacReports!E:E,"")</f>
        <v/>
      </c>
      <c r="R459" s="13" t="str">
        <f>IF(MacReports!M459="Remote Lock","Remote Locked","")</f>
        <v/>
      </c>
    </row>
    <row r="460" spans="6:18">
      <c r="F460" t="str">
        <f>_xlfn.XLOOKUP(B460,MacReports!B:B,MacReports!E:E,"")</f>
        <v/>
      </c>
      <c r="R460" s="13" t="str">
        <f>IF(MacReports!M460="Remote Lock","Remote Locked","")</f>
        <v/>
      </c>
    </row>
    <row r="461" spans="6:18">
      <c r="F461" t="str">
        <f>_xlfn.XLOOKUP(B461,MacReports!B:B,MacReports!E:E,"")</f>
        <v/>
      </c>
      <c r="R461" s="13" t="str">
        <f>IF(MacReports!M461="Remote Lock","Remote Locked","")</f>
        <v/>
      </c>
    </row>
    <row r="462" spans="6:18">
      <c r="F462" t="str">
        <f>_xlfn.XLOOKUP(B462,MacReports!B:B,MacReports!E:E,"")</f>
        <v/>
      </c>
      <c r="R462" s="13" t="str">
        <f>IF(MacReports!M462="Remote Lock","Remote Locked","")</f>
        <v/>
      </c>
    </row>
    <row r="463" spans="6:18">
      <c r="F463" t="str">
        <f>_xlfn.XLOOKUP(B463,MacReports!B:B,MacReports!E:E,"")</f>
        <v/>
      </c>
      <c r="R463" s="13" t="str">
        <f>IF(MacReports!M463="Remote Lock","Remote Locked","")</f>
        <v/>
      </c>
    </row>
    <row r="464" spans="6:18">
      <c r="F464" t="str">
        <f>_xlfn.XLOOKUP(B464,MacReports!B:B,MacReports!E:E,"")</f>
        <v/>
      </c>
      <c r="R464" s="13" t="str">
        <f>IF(MacReports!M464="Remote Lock","Remote Locked","")</f>
        <v/>
      </c>
    </row>
    <row r="465" spans="6:18">
      <c r="F465" t="str">
        <f>_xlfn.XLOOKUP(B465,MacReports!B:B,MacReports!E:E,"")</f>
        <v/>
      </c>
      <c r="R465" s="13" t="str">
        <f>IF(MacReports!M465="Remote Lock","Remote Locked","")</f>
        <v/>
      </c>
    </row>
    <row r="466" spans="6:18">
      <c r="F466" t="str">
        <f>_xlfn.XLOOKUP(B466,MacReports!B:B,MacReports!E:E,"")</f>
        <v/>
      </c>
      <c r="R466" s="13" t="str">
        <f>IF(MacReports!M466="Remote Lock","Remote Locked","")</f>
        <v/>
      </c>
    </row>
    <row r="467" spans="6:18">
      <c r="F467" t="str">
        <f>_xlfn.XLOOKUP(B467,MacReports!B:B,MacReports!E:E,"")</f>
        <v/>
      </c>
      <c r="R467" s="13" t="str">
        <f>IF(MacReports!M467="Remote Lock","Remote Locked","")</f>
        <v/>
      </c>
    </row>
    <row r="468" spans="6:18">
      <c r="F468" t="str">
        <f>_xlfn.XLOOKUP(B468,MacReports!B:B,MacReports!E:E,"")</f>
        <v/>
      </c>
      <c r="R468" s="13" t="str">
        <f>IF(MacReports!M468="Remote Lock","Remote Locked","")</f>
        <v/>
      </c>
    </row>
    <row r="469" spans="6:18">
      <c r="F469" t="str">
        <f>_xlfn.XLOOKUP(B469,MacReports!B:B,MacReports!E:E,"")</f>
        <v/>
      </c>
      <c r="R469" s="13" t="str">
        <f>IF(MacReports!M469="Remote Lock","Remote Locked","")</f>
        <v/>
      </c>
    </row>
    <row r="470" spans="6:18">
      <c r="F470" t="str">
        <f>_xlfn.XLOOKUP(B470,MacReports!B:B,MacReports!E:E,"")</f>
        <v/>
      </c>
      <c r="R470" s="13" t="str">
        <f>IF(MacReports!M470="Remote Lock","Remote Locked","")</f>
        <v/>
      </c>
    </row>
    <row r="471" spans="6:18">
      <c r="F471" t="str">
        <f>_xlfn.XLOOKUP(B471,MacReports!B:B,MacReports!E:E,"")</f>
        <v/>
      </c>
      <c r="R471" s="13" t="str">
        <f>IF(MacReports!M471="Remote Lock","Remote Locked","")</f>
        <v/>
      </c>
    </row>
    <row r="472" spans="6:18">
      <c r="F472" t="str">
        <f>_xlfn.XLOOKUP(B472,MacReports!B:B,MacReports!E:E,"")</f>
        <v/>
      </c>
      <c r="R472" s="13" t="str">
        <f>IF(MacReports!M472="Remote Lock","Remote Locked","")</f>
        <v/>
      </c>
    </row>
    <row r="473" spans="6:18">
      <c r="F473" t="str">
        <f>_xlfn.XLOOKUP(B473,MacReports!B:B,MacReports!E:E,"")</f>
        <v/>
      </c>
      <c r="R473" s="13" t="str">
        <f>IF(MacReports!M473="Remote Lock","Remote Locked","")</f>
        <v/>
      </c>
    </row>
    <row r="474" spans="6:18">
      <c r="F474" t="str">
        <f>_xlfn.XLOOKUP(B474,MacReports!B:B,MacReports!E:E,"")</f>
        <v/>
      </c>
      <c r="R474" s="13" t="str">
        <f>IF(MacReports!M474="Remote Lock","Remote Locked","")</f>
        <v/>
      </c>
    </row>
    <row r="475" spans="6:18">
      <c r="F475" t="str">
        <f>_xlfn.XLOOKUP(B475,MacReports!B:B,MacReports!E:E,"")</f>
        <v/>
      </c>
      <c r="R475" s="13" t="str">
        <f>IF(MacReports!M475="Remote Lock","Remote Locked","")</f>
        <v/>
      </c>
    </row>
    <row r="476" spans="6:18">
      <c r="F476" t="str">
        <f>_xlfn.XLOOKUP(B476,MacReports!B:B,MacReports!E:E,"")</f>
        <v/>
      </c>
      <c r="R476" s="13" t="str">
        <f>IF(MacReports!M476="Remote Lock","Remote Locked","")</f>
        <v/>
      </c>
    </row>
    <row r="477" spans="6:18">
      <c r="F477" t="str">
        <f>_xlfn.XLOOKUP(B477,MacReports!B:B,MacReports!E:E,"")</f>
        <v/>
      </c>
      <c r="R477" s="13" t="str">
        <f>IF(MacReports!M477="Remote Lock","Remote Locked","")</f>
        <v/>
      </c>
    </row>
    <row r="478" spans="6:18">
      <c r="F478" t="str">
        <f>_xlfn.XLOOKUP(B478,MacReports!B:B,MacReports!E:E,"")</f>
        <v/>
      </c>
      <c r="R478" s="13" t="str">
        <f>IF(MacReports!M478="Remote Lock","Remote Locked","")</f>
        <v/>
      </c>
    </row>
    <row r="479" spans="6:18">
      <c r="F479" t="str">
        <f>_xlfn.XLOOKUP(B479,MacReports!B:B,MacReports!E:E,"")</f>
        <v/>
      </c>
      <c r="R479" s="13" t="str">
        <f>IF(MacReports!M479="Remote Lock","Remote Locked","")</f>
        <v/>
      </c>
    </row>
    <row r="480" spans="6:18">
      <c r="F480" t="str">
        <f>_xlfn.XLOOKUP(B480,MacReports!B:B,MacReports!E:E,"")</f>
        <v/>
      </c>
      <c r="R480" s="13" t="str">
        <f>IF(MacReports!M480="Remote Lock","Remote Locked","")</f>
        <v/>
      </c>
    </row>
    <row r="481" spans="6:18">
      <c r="F481" t="str">
        <f>_xlfn.XLOOKUP(B481,MacReports!B:B,MacReports!E:E,"")</f>
        <v/>
      </c>
      <c r="R481" s="13" t="str">
        <f>IF(MacReports!M481="Remote Lock","Remote Locked","")</f>
        <v/>
      </c>
    </row>
    <row r="482" spans="6:18">
      <c r="F482" t="str">
        <f>_xlfn.XLOOKUP(B482,MacReports!B:B,MacReports!E:E,"")</f>
        <v/>
      </c>
      <c r="R482" s="13" t="str">
        <f>IF(MacReports!M482="Remote Lock","Remote Locked","")</f>
        <v/>
      </c>
    </row>
    <row r="483" spans="6:18">
      <c r="F483" t="str">
        <f>_xlfn.XLOOKUP(B483,MacReports!B:B,MacReports!E:E,"")</f>
        <v/>
      </c>
      <c r="R483" s="13" t="str">
        <f>IF(MacReports!M483="Remote Lock","Remote Locked","")</f>
        <v/>
      </c>
    </row>
    <row r="484" spans="6:18">
      <c r="F484" t="str">
        <f>_xlfn.XLOOKUP(B484,MacReports!B:B,MacReports!E:E,"")</f>
        <v/>
      </c>
      <c r="R484" s="13" t="str">
        <f>IF(MacReports!M484="Remote Lock","Remote Locked","")</f>
        <v/>
      </c>
    </row>
    <row r="485" spans="6:18">
      <c r="F485" t="str">
        <f>_xlfn.XLOOKUP(B485,MacReports!B:B,MacReports!E:E,"")</f>
        <v/>
      </c>
      <c r="R485" s="13" t="str">
        <f>IF(MacReports!M485="Remote Lock","Remote Locked","")</f>
        <v/>
      </c>
    </row>
    <row r="486" spans="6:18">
      <c r="F486" t="str">
        <f>_xlfn.XLOOKUP(B486,MacReports!B:B,MacReports!E:E,"")</f>
        <v/>
      </c>
      <c r="R486" s="13" t="str">
        <f>IF(MacReports!M486="Remote Lock","Remote Locked","")</f>
        <v/>
      </c>
    </row>
    <row r="487" spans="6:18">
      <c r="F487" t="str">
        <f>_xlfn.XLOOKUP(B487,MacReports!B:B,MacReports!E:E,"")</f>
        <v/>
      </c>
      <c r="R487" s="13" t="str">
        <f>IF(MacReports!M487="Remote Lock","Remote Locked","")</f>
        <v/>
      </c>
    </row>
    <row r="488" spans="6:18">
      <c r="F488" t="str">
        <f>_xlfn.XLOOKUP(B488,MacReports!B:B,MacReports!E:E,"")</f>
        <v/>
      </c>
      <c r="R488" s="13" t="str">
        <f>IF(MacReports!M488="Remote Lock","Remote Locked","")</f>
        <v/>
      </c>
    </row>
    <row r="489" spans="6:18">
      <c r="F489" t="str">
        <f>_xlfn.XLOOKUP(B489,MacReports!B:B,MacReports!E:E,"")</f>
        <v/>
      </c>
      <c r="R489" s="13" t="str">
        <f>IF(MacReports!M489="Remote Lock","Remote Locked","")</f>
        <v/>
      </c>
    </row>
    <row r="490" spans="6:18">
      <c r="F490" t="str">
        <f>_xlfn.XLOOKUP(B490,MacReports!B:B,MacReports!E:E,"")</f>
        <v/>
      </c>
      <c r="R490" s="13" t="str">
        <f>IF(MacReports!M490="Remote Lock","Remote Locked","")</f>
        <v/>
      </c>
    </row>
    <row r="491" spans="6:18">
      <c r="F491" t="str">
        <f>_xlfn.XLOOKUP(B491,MacReports!B:B,MacReports!E:E,"")</f>
        <v/>
      </c>
      <c r="R491" s="13" t="str">
        <f>IF(MacReports!M491="Remote Lock","Remote Locked","")</f>
        <v/>
      </c>
    </row>
    <row r="492" spans="6:18">
      <c r="F492" t="str">
        <f>_xlfn.XLOOKUP(B492,MacReports!B:B,MacReports!E:E,"")</f>
        <v/>
      </c>
      <c r="R492" s="13" t="str">
        <f>IF(MacReports!M492="Remote Lock","Remote Locked","")</f>
        <v/>
      </c>
    </row>
    <row r="493" spans="6:18">
      <c r="F493" t="str">
        <f>_xlfn.XLOOKUP(B493,MacReports!B:B,MacReports!E:E,"")</f>
        <v/>
      </c>
      <c r="R493" s="13" t="str">
        <f>IF(MacReports!M493="Remote Lock","Remote Locked","")</f>
        <v/>
      </c>
    </row>
    <row r="494" spans="6:18">
      <c r="F494" t="str">
        <f>_xlfn.XLOOKUP(B494,MacReports!B:B,MacReports!E:E,"")</f>
        <v/>
      </c>
      <c r="R494" s="13" t="str">
        <f>IF(MacReports!M494="Remote Lock","Remote Locked","")</f>
        <v/>
      </c>
    </row>
    <row r="495" spans="6:18">
      <c r="F495" t="str">
        <f>_xlfn.XLOOKUP(B495,MacReports!B:B,MacReports!E:E,"")</f>
        <v/>
      </c>
      <c r="R495" s="13" t="str">
        <f>IF(MacReports!M495="Remote Lock","Remote Locked","")</f>
        <v/>
      </c>
    </row>
    <row r="496" spans="6:18">
      <c r="F496" t="str">
        <f>_xlfn.XLOOKUP(B496,MacReports!B:B,MacReports!E:E,"")</f>
        <v/>
      </c>
      <c r="R496" s="13" t="str">
        <f>IF(MacReports!M496="Remote Lock","Remote Locked","")</f>
        <v/>
      </c>
    </row>
    <row r="497" spans="6:18">
      <c r="F497" t="str">
        <f>_xlfn.XLOOKUP(B497,MacReports!B:B,MacReports!E:E,"")</f>
        <v/>
      </c>
      <c r="R497" s="13" t="str">
        <f>IF(MacReports!M497="Remote Lock","Remote Locked","")</f>
        <v/>
      </c>
    </row>
    <row r="498" spans="6:18">
      <c r="F498" t="str">
        <f>_xlfn.XLOOKUP(B498,MacReports!B:B,MacReports!E:E,"")</f>
        <v/>
      </c>
      <c r="R498" s="13" t="str">
        <f>IF(MacReports!M498="Remote Lock","Remote Locked","")</f>
        <v/>
      </c>
    </row>
    <row r="499" spans="6:18">
      <c r="F499" t="str">
        <f>_xlfn.XLOOKUP(B499,MacReports!B:B,MacReports!E:E,"")</f>
        <v/>
      </c>
      <c r="R499" s="13" t="str">
        <f>IF(MacReports!M499="Remote Lock","Remote Locked","")</f>
        <v/>
      </c>
    </row>
    <row r="500" spans="6:18">
      <c r="F500" t="str">
        <f>_xlfn.XLOOKUP(B500,MacReports!B:B,MacReports!E:E,"")</f>
        <v/>
      </c>
      <c r="R500" s="13" t="str">
        <f>IF(MacReports!M500="Remote Lock","Remote Locked","")</f>
        <v/>
      </c>
    </row>
    <row r="501" spans="6:18">
      <c r="F501" t="str">
        <f>_xlfn.XLOOKUP(B501,MacReports!B:B,MacReports!E:E,"")</f>
        <v/>
      </c>
      <c r="R501" s="13" t="str">
        <f>IF(MacReports!M501="Remote Lock","Remote Locked","")</f>
        <v/>
      </c>
    </row>
    <row r="502" spans="6:18">
      <c r="F502" t="str">
        <f>_xlfn.XLOOKUP(B502,MacReports!B:B,MacReports!E:E,"")</f>
        <v/>
      </c>
      <c r="R502" s="13" t="str">
        <f>IF(MacReports!M502="Remote Lock","Remote Locked","")</f>
        <v/>
      </c>
    </row>
    <row r="503" spans="6:18">
      <c r="F503" t="str">
        <f>_xlfn.XLOOKUP(B503,MacReports!B:B,MacReports!E:E,"")</f>
        <v/>
      </c>
      <c r="R503" s="13" t="str">
        <f>IF(MacReports!M503="Remote Lock","Remote Locked","")</f>
        <v/>
      </c>
    </row>
    <row r="504" spans="6:18">
      <c r="F504" t="str">
        <f>_xlfn.XLOOKUP(B504,MacReports!B:B,MacReports!E:E,"")</f>
        <v/>
      </c>
      <c r="R504" s="13" t="str">
        <f>IF(MacReports!M504="Remote Lock","Remote Locked","")</f>
        <v/>
      </c>
    </row>
    <row r="505" spans="6:18">
      <c r="F505" t="str">
        <f>_xlfn.XLOOKUP(B505,MacReports!B:B,MacReports!E:E,"")</f>
        <v/>
      </c>
      <c r="R505" s="13" t="str">
        <f>IF(MacReports!M505="Remote Lock","Remote Locked","")</f>
        <v/>
      </c>
    </row>
    <row r="506" spans="6:18">
      <c r="F506" t="str">
        <f>_xlfn.XLOOKUP(B506,MacReports!B:B,MacReports!E:E,"")</f>
        <v/>
      </c>
      <c r="R506" s="13" t="str">
        <f>IF(MacReports!M506="Remote Lock","Remote Locked","")</f>
        <v/>
      </c>
    </row>
    <row r="507" spans="6:18">
      <c r="F507" t="str">
        <f>_xlfn.XLOOKUP(B507,MacReports!B:B,MacReports!E:E,"")</f>
        <v/>
      </c>
      <c r="R507" s="13" t="str">
        <f>IF(MacReports!M507="Remote Lock","Remote Locked","")</f>
        <v/>
      </c>
    </row>
    <row r="508" spans="6:18">
      <c r="F508" t="str">
        <f>_xlfn.XLOOKUP(B508,MacReports!B:B,MacReports!E:E,"")</f>
        <v/>
      </c>
      <c r="R508" s="13" t="str">
        <f>IF(MacReports!M508="Remote Lock","Remote Locked","")</f>
        <v/>
      </c>
    </row>
    <row r="509" spans="6:18">
      <c r="F509" t="str">
        <f>_xlfn.XLOOKUP(B509,MacReports!B:B,MacReports!E:E,"")</f>
        <v/>
      </c>
      <c r="R509" s="13" t="str">
        <f>IF(MacReports!M509="Remote Lock","Remote Locked","")</f>
        <v/>
      </c>
    </row>
    <row r="510" spans="6:18">
      <c r="F510" t="str">
        <f>_xlfn.XLOOKUP(B510,MacReports!B:B,MacReports!E:E,"")</f>
        <v/>
      </c>
      <c r="R510" s="13" t="str">
        <f>IF(MacReports!M510="Remote Lock","Remote Locked","")</f>
        <v/>
      </c>
    </row>
    <row r="511" spans="6:18">
      <c r="F511" t="str">
        <f>_xlfn.XLOOKUP(B511,MacReports!B:B,MacReports!E:E,"")</f>
        <v/>
      </c>
      <c r="R511" s="13" t="str">
        <f>IF(MacReports!M511="Remote Lock","Remote Locked","")</f>
        <v/>
      </c>
    </row>
    <row r="512" spans="6:18">
      <c r="F512" t="str">
        <f>_xlfn.XLOOKUP(B512,MacReports!B:B,MacReports!E:E,"")</f>
        <v/>
      </c>
      <c r="R512" s="13" t="str">
        <f>IF(MacReports!M512="Remote Lock","Remote Locked","")</f>
        <v/>
      </c>
    </row>
    <row r="513" spans="6:18">
      <c r="F513" t="str">
        <f>_xlfn.XLOOKUP(B513,MacReports!B:B,MacReports!E:E,"")</f>
        <v/>
      </c>
      <c r="R513" s="13" t="str">
        <f>IF(MacReports!M513="Remote Lock","Remote Locked","")</f>
        <v/>
      </c>
    </row>
    <row r="514" spans="6:18">
      <c r="F514" t="str">
        <f>_xlfn.XLOOKUP(B514,MacReports!B:B,MacReports!E:E,"")</f>
        <v/>
      </c>
      <c r="R514" s="13" t="str">
        <f>IF(MacReports!M514="Remote Lock","Remote Locked","")</f>
        <v/>
      </c>
    </row>
    <row r="515" spans="6:18">
      <c r="F515" t="str">
        <f>_xlfn.XLOOKUP(B515,MacReports!B:B,MacReports!E:E,"")</f>
        <v/>
      </c>
      <c r="R515" s="13" t="str">
        <f>IF(MacReports!M515="Remote Lock","Remote Locked","")</f>
        <v/>
      </c>
    </row>
    <row r="516" spans="6:18">
      <c r="F516" t="str">
        <f>_xlfn.XLOOKUP(B516,MacReports!B:B,MacReports!E:E,"")</f>
        <v/>
      </c>
      <c r="R516" s="13" t="str">
        <f>IF(MacReports!M516="Remote Lock","Remote Locked","")</f>
        <v/>
      </c>
    </row>
    <row r="517" spans="6:18">
      <c r="F517" t="str">
        <f>_xlfn.XLOOKUP(B517,MacReports!B:B,MacReports!E:E,"")</f>
        <v/>
      </c>
      <c r="R517" s="13" t="str">
        <f>IF(MacReports!M517="Remote Lock","Remote Locked","")</f>
        <v/>
      </c>
    </row>
    <row r="518" spans="6:18">
      <c r="F518" t="str">
        <f>_xlfn.XLOOKUP(B518,MacReports!B:B,MacReports!E:E,"")</f>
        <v/>
      </c>
      <c r="R518" s="13" t="str">
        <f>IF(MacReports!M518="Remote Lock","Remote Locked","")</f>
        <v/>
      </c>
    </row>
    <row r="519" spans="6:18">
      <c r="F519" t="str">
        <f>_xlfn.XLOOKUP(B519,MacReports!B:B,MacReports!E:E,"")</f>
        <v/>
      </c>
      <c r="R519" s="13" t="str">
        <f>IF(MacReports!M519="Remote Lock","Remote Locked","")</f>
        <v/>
      </c>
    </row>
    <row r="520" spans="6:18">
      <c r="F520" t="str">
        <f>_xlfn.XLOOKUP(B520,MacReports!B:B,MacReports!E:E,"")</f>
        <v/>
      </c>
      <c r="R520" s="13" t="str">
        <f>IF(MacReports!M520="Remote Lock","Remote Locked","")</f>
        <v/>
      </c>
    </row>
    <row r="521" spans="6:18">
      <c r="F521" t="str">
        <f>_xlfn.XLOOKUP(B521,MacReports!B:B,MacReports!E:E,"")</f>
        <v/>
      </c>
      <c r="R521" s="13" t="str">
        <f>IF(MacReports!M521="Remote Lock","Remote Locked","")</f>
        <v/>
      </c>
    </row>
    <row r="522" spans="6:18">
      <c r="F522" t="str">
        <f>_xlfn.XLOOKUP(B522,MacReports!B:B,MacReports!E:E,"")</f>
        <v/>
      </c>
      <c r="R522" s="13" t="str">
        <f>IF(MacReports!M522="Remote Lock","Remote Locked","")</f>
        <v/>
      </c>
    </row>
    <row r="523" spans="6:18">
      <c r="F523" t="str">
        <f>_xlfn.XLOOKUP(B523,MacReports!B:B,MacReports!E:E,"")</f>
        <v/>
      </c>
      <c r="R523" s="13" t="str">
        <f>IF(MacReports!M523="Remote Lock","Remote Locked","")</f>
        <v/>
      </c>
    </row>
    <row r="524" spans="6:18">
      <c r="F524" t="str">
        <f>_xlfn.XLOOKUP(B524,MacReports!B:B,MacReports!E:E,"")</f>
        <v/>
      </c>
      <c r="R524" s="13" t="str">
        <f>IF(MacReports!M524="Remote Lock","Remote Locked","")</f>
        <v/>
      </c>
    </row>
    <row r="525" spans="6:18">
      <c r="F525" t="str">
        <f>_xlfn.XLOOKUP(B525,MacReports!B:B,MacReports!E:E,"")</f>
        <v/>
      </c>
      <c r="R525" s="13" t="str">
        <f>IF(MacReports!M525="Remote Lock","Remote Locked","")</f>
        <v/>
      </c>
    </row>
    <row r="526" spans="6:18">
      <c r="F526" t="str">
        <f>_xlfn.XLOOKUP(B526,MacReports!B:B,MacReports!E:E,"")</f>
        <v/>
      </c>
      <c r="R526" s="13" t="str">
        <f>IF(MacReports!M526="Remote Lock","Remote Locked","")</f>
        <v/>
      </c>
    </row>
    <row r="527" spans="6:18">
      <c r="F527" t="str">
        <f>_xlfn.XLOOKUP(B527,MacReports!B:B,MacReports!E:E,"")</f>
        <v/>
      </c>
      <c r="R527" s="13" t="str">
        <f>IF(MacReports!M527="Remote Lock","Remote Locked","")</f>
        <v/>
      </c>
    </row>
    <row r="528" spans="6:18">
      <c r="F528" t="str">
        <f>_xlfn.XLOOKUP(B528,MacReports!B:B,MacReports!E:E,"")</f>
        <v/>
      </c>
      <c r="R528" s="13" t="str">
        <f>IF(MacReports!M528="Remote Lock","Remote Locked","")</f>
        <v/>
      </c>
    </row>
    <row r="529" spans="6:18">
      <c r="F529" t="str">
        <f>_xlfn.XLOOKUP(B529,MacReports!B:B,MacReports!E:E,"")</f>
        <v/>
      </c>
      <c r="R529" s="13" t="str">
        <f>IF(MacReports!M529="Remote Lock","Remote Locked","")</f>
        <v/>
      </c>
    </row>
    <row r="530" spans="6:18">
      <c r="F530" t="str">
        <f>_xlfn.XLOOKUP(B530,MacReports!B:B,MacReports!E:E,"")</f>
        <v/>
      </c>
      <c r="R530" s="13" t="str">
        <f>IF(MacReports!M530="Remote Lock","Remote Locked","")</f>
        <v/>
      </c>
    </row>
    <row r="531" spans="6:18">
      <c r="F531" t="str">
        <f>_xlfn.XLOOKUP(B531,MacReports!B:B,MacReports!E:E,"")</f>
        <v/>
      </c>
      <c r="R531" s="13" t="str">
        <f>IF(MacReports!M531="Remote Lock","Remote Locked","")</f>
        <v/>
      </c>
    </row>
    <row r="532" spans="6:18">
      <c r="F532" t="str">
        <f>_xlfn.XLOOKUP(B532,MacReports!B:B,MacReports!E:E,"")</f>
        <v/>
      </c>
      <c r="R532" s="13" t="str">
        <f>IF(MacReports!M532="Remote Lock","Remote Locked","")</f>
        <v/>
      </c>
    </row>
    <row r="533" spans="6:18">
      <c r="F533" t="str">
        <f>_xlfn.XLOOKUP(B533,MacReports!B:B,MacReports!E:E,"")</f>
        <v/>
      </c>
      <c r="R533" s="13" t="str">
        <f>IF(MacReports!M533="Remote Lock","Remote Locked","")</f>
        <v/>
      </c>
    </row>
    <row r="534" spans="6:18">
      <c r="F534" t="str">
        <f>_xlfn.XLOOKUP(B534,MacReports!B:B,MacReports!E:E,"")</f>
        <v/>
      </c>
      <c r="R534" s="13" t="str">
        <f>IF(MacReports!M534="Remote Lock","Remote Locked","")</f>
        <v/>
      </c>
    </row>
    <row r="535" spans="6:18">
      <c r="F535" t="str">
        <f>_xlfn.XLOOKUP(B535,MacReports!B:B,MacReports!E:E,"")</f>
        <v/>
      </c>
      <c r="R535" s="13" t="str">
        <f>IF(MacReports!M535="Remote Lock","Remote Locked","")</f>
        <v/>
      </c>
    </row>
    <row r="536" spans="6:18">
      <c r="F536" t="str">
        <f>_xlfn.XLOOKUP(B536,MacReports!B:B,MacReports!E:E,"")</f>
        <v/>
      </c>
      <c r="R536" s="13" t="str">
        <f>IF(MacReports!M536="Remote Lock","Remote Locked","")</f>
        <v/>
      </c>
    </row>
    <row r="537" spans="6:18">
      <c r="F537" t="str">
        <f>_xlfn.XLOOKUP(B537,MacReports!B:B,MacReports!E:E,"")</f>
        <v/>
      </c>
      <c r="R537" s="13" t="str">
        <f>IF(MacReports!M537="Remote Lock","Remote Locked","")</f>
        <v/>
      </c>
    </row>
    <row r="538" spans="6:18">
      <c r="F538" t="str">
        <f>_xlfn.XLOOKUP(B538,MacReports!B:B,MacReports!E:E,"")</f>
        <v/>
      </c>
      <c r="R538" s="13" t="str">
        <f>IF(MacReports!M538="Remote Lock","Remote Locked","")</f>
        <v/>
      </c>
    </row>
    <row r="539" spans="6:18">
      <c r="F539" t="str">
        <f>_xlfn.XLOOKUP(B539,MacReports!B:B,MacReports!E:E,"")</f>
        <v/>
      </c>
      <c r="R539" s="13" t="str">
        <f>IF(MacReports!M539="Remote Lock","Remote Locked","")</f>
        <v/>
      </c>
    </row>
    <row r="540" spans="6:18">
      <c r="F540" t="str">
        <f>_xlfn.XLOOKUP(B540,MacReports!B:B,MacReports!E:E,"")</f>
        <v/>
      </c>
      <c r="R540" s="13" t="str">
        <f>IF(MacReports!M540="Remote Lock","Remote Locked","")</f>
        <v/>
      </c>
    </row>
    <row r="541" spans="6:18">
      <c r="F541" t="str">
        <f>_xlfn.XLOOKUP(B541,MacReports!B:B,MacReports!E:E,"")</f>
        <v/>
      </c>
      <c r="R541" s="13" t="str">
        <f>IF(MacReports!M541="Remote Lock","Remote Locked","")</f>
        <v/>
      </c>
    </row>
    <row r="542" spans="6:18">
      <c r="F542" t="str">
        <f>_xlfn.XLOOKUP(B542,MacReports!B:B,MacReports!E:E,"")</f>
        <v/>
      </c>
      <c r="R542" s="13" t="str">
        <f>IF(MacReports!M542="Remote Lock","Remote Locked","")</f>
        <v/>
      </c>
    </row>
    <row r="543" spans="6:18">
      <c r="F543" t="str">
        <f>_xlfn.XLOOKUP(B543,MacReports!B:B,MacReports!E:E,"")</f>
        <v/>
      </c>
      <c r="R543" s="13" t="str">
        <f>IF(MacReports!M543="Remote Lock","Remote Locked","")</f>
        <v/>
      </c>
    </row>
    <row r="544" spans="6:18">
      <c r="F544" t="str">
        <f>_xlfn.XLOOKUP(B544,MacReports!B:B,MacReports!E:E,"")</f>
        <v/>
      </c>
      <c r="R544" s="13" t="str">
        <f>IF(MacReports!M544="Remote Lock","Remote Locked","")</f>
        <v/>
      </c>
    </row>
    <row r="545" spans="6:18">
      <c r="F545" t="str">
        <f>_xlfn.XLOOKUP(B545,MacReports!B:B,MacReports!E:E,"")</f>
        <v/>
      </c>
      <c r="R545" s="13" t="str">
        <f>IF(MacReports!M545="Remote Lock","Remote Locked","")</f>
        <v/>
      </c>
    </row>
    <row r="546" spans="6:18">
      <c r="F546" t="str">
        <f>_xlfn.XLOOKUP(B546,MacReports!B:B,MacReports!E:E,"")</f>
        <v/>
      </c>
      <c r="R546" s="13" t="str">
        <f>IF(MacReports!M546="Remote Lock","Remote Locked","")</f>
        <v/>
      </c>
    </row>
    <row r="547" spans="6:18">
      <c r="F547" t="str">
        <f>_xlfn.XLOOKUP(B547,MacReports!B:B,MacReports!E:E,"")</f>
        <v/>
      </c>
      <c r="R547" s="13" t="str">
        <f>IF(MacReports!M547="Remote Lock","Remote Locked","")</f>
        <v/>
      </c>
    </row>
    <row r="548" spans="6:18">
      <c r="F548" t="str">
        <f>_xlfn.XLOOKUP(B548,MacReports!B:B,MacReports!E:E,"")</f>
        <v/>
      </c>
      <c r="R548" s="13" t="str">
        <f>IF(MacReports!M548="Remote Lock","Remote Locked","")</f>
        <v/>
      </c>
    </row>
    <row r="549" spans="6:18">
      <c r="F549" t="str">
        <f>_xlfn.XLOOKUP(B549,MacReports!B:B,MacReports!E:E,"")</f>
        <v/>
      </c>
      <c r="R549" s="13" t="str">
        <f>IF(MacReports!M549="Remote Lock","Remote Locked","")</f>
        <v/>
      </c>
    </row>
    <row r="550" spans="6:18">
      <c r="F550" t="str">
        <f>_xlfn.XLOOKUP(B550,MacReports!B:B,MacReports!E:E,"")</f>
        <v/>
      </c>
      <c r="R550" s="13" t="str">
        <f>IF(MacReports!M550="Remote Lock","Remote Locked","")</f>
        <v/>
      </c>
    </row>
    <row r="551" spans="6:18">
      <c r="F551" t="str">
        <f>_xlfn.XLOOKUP(B551,MacReports!B:B,MacReports!E:E,"")</f>
        <v/>
      </c>
      <c r="R551" s="13" t="str">
        <f>IF(MacReports!M551="Remote Lock","Remote Locked","")</f>
        <v/>
      </c>
    </row>
    <row r="552" spans="6:18">
      <c r="F552" t="str">
        <f>_xlfn.XLOOKUP(B552,MacReports!B:B,MacReports!E:E,"")</f>
        <v/>
      </c>
      <c r="R552" s="13" t="str">
        <f>IF(MacReports!M552="Remote Lock","Remote Locked","")</f>
        <v/>
      </c>
    </row>
    <row r="553" spans="6:18">
      <c r="F553" t="str">
        <f>_xlfn.XLOOKUP(B553,MacReports!B:B,MacReports!E:E,"")</f>
        <v/>
      </c>
      <c r="R553" s="13" t="str">
        <f>IF(MacReports!M553="Remote Lock","Remote Locked","")</f>
        <v/>
      </c>
    </row>
    <row r="554" spans="6:18">
      <c r="F554" t="str">
        <f>_xlfn.XLOOKUP(B554,MacReports!B:B,MacReports!E:E,"")</f>
        <v/>
      </c>
      <c r="R554" s="13" t="str">
        <f>IF(MacReports!M554="Remote Lock","Remote Locked","")</f>
        <v/>
      </c>
    </row>
    <row r="555" spans="6:18">
      <c r="F555" t="str">
        <f>_xlfn.XLOOKUP(B555,MacReports!B:B,MacReports!E:E,"")</f>
        <v/>
      </c>
      <c r="R555" s="13" t="str">
        <f>IF(MacReports!M555="Remote Lock","Remote Locked","")</f>
        <v/>
      </c>
    </row>
    <row r="556" spans="6:18">
      <c r="F556" t="str">
        <f>_xlfn.XLOOKUP(B556,MacReports!B:B,MacReports!E:E,"")</f>
        <v/>
      </c>
      <c r="R556" s="13" t="str">
        <f>IF(MacReports!M556="Remote Lock","Remote Locked","")</f>
        <v/>
      </c>
    </row>
    <row r="557" spans="6:18">
      <c r="F557" t="str">
        <f>_xlfn.XLOOKUP(B557,MacReports!B:B,MacReports!E:E,"")</f>
        <v/>
      </c>
      <c r="R557" s="13" t="str">
        <f>IF(MacReports!M557="Remote Lock","Remote Locked","")</f>
        <v/>
      </c>
    </row>
    <row r="558" spans="6:18">
      <c r="F558" t="str">
        <f>_xlfn.XLOOKUP(B558,MacReports!B:B,MacReports!E:E,"")</f>
        <v/>
      </c>
      <c r="R558" s="13" t="str">
        <f>IF(MacReports!M558="Remote Lock","Remote Locked","")</f>
        <v/>
      </c>
    </row>
    <row r="559" spans="6:18">
      <c r="F559" t="str">
        <f>_xlfn.XLOOKUP(B559,MacReports!B:B,MacReports!E:E,"")</f>
        <v/>
      </c>
      <c r="R559" s="13" t="str">
        <f>IF(MacReports!M559="Remote Lock","Remote Locked","")</f>
        <v/>
      </c>
    </row>
    <row r="560" spans="6:18">
      <c r="F560" t="str">
        <f>_xlfn.XLOOKUP(B560,MacReports!B:B,MacReports!E:E,"")</f>
        <v/>
      </c>
      <c r="R560" s="13" t="str">
        <f>IF(MacReports!M560="Remote Lock","Remote Locked","")</f>
        <v/>
      </c>
    </row>
    <row r="561" spans="6:18">
      <c r="F561" t="str">
        <f>_xlfn.XLOOKUP(B561,MacReports!B:B,MacReports!E:E,"")</f>
        <v/>
      </c>
      <c r="R561" s="13" t="str">
        <f>IF(MacReports!M561="Remote Lock","Remote Locked","")</f>
        <v/>
      </c>
    </row>
    <row r="562" spans="6:18">
      <c r="F562" t="str">
        <f>_xlfn.XLOOKUP(B562,MacReports!B:B,MacReports!E:E,"")</f>
        <v/>
      </c>
      <c r="R562" s="13" t="str">
        <f>IF(MacReports!M562="Remote Lock","Remote Locked","")</f>
        <v/>
      </c>
    </row>
    <row r="563" spans="6:18">
      <c r="F563" t="str">
        <f>_xlfn.XLOOKUP(B563,MacReports!B:B,MacReports!E:E,"")</f>
        <v/>
      </c>
      <c r="R563" s="13" t="str">
        <f>IF(MacReports!M563="Remote Lock","Remote Locked","")</f>
        <v/>
      </c>
    </row>
    <row r="564" spans="6:18">
      <c r="F564" t="str">
        <f>_xlfn.XLOOKUP(B564,MacReports!B:B,MacReports!E:E,"")</f>
        <v/>
      </c>
      <c r="R564" s="13" t="str">
        <f>IF(MacReports!M564="Remote Lock","Remote Locked","")</f>
        <v/>
      </c>
    </row>
    <row r="565" spans="6:18">
      <c r="F565" t="str">
        <f>_xlfn.XLOOKUP(B565,MacReports!B:B,MacReports!E:E,"")</f>
        <v/>
      </c>
      <c r="R565" s="13" t="str">
        <f>IF(MacReports!M565="Remote Lock","Remote Locked","")</f>
        <v/>
      </c>
    </row>
    <row r="566" spans="6:18">
      <c r="F566" t="str">
        <f>_xlfn.XLOOKUP(B566,MacReports!B:B,MacReports!E:E,"")</f>
        <v/>
      </c>
      <c r="R566" s="13" t="str">
        <f>IF(MacReports!M566="Remote Lock","Remote Locked","")</f>
        <v/>
      </c>
    </row>
    <row r="567" spans="6:18">
      <c r="F567" t="str">
        <f>_xlfn.XLOOKUP(B567,MacReports!B:B,MacReports!E:E,"")</f>
        <v/>
      </c>
      <c r="R567" s="13" t="str">
        <f>IF(MacReports!M567="Remote Lock","Remote Locked","")</f>
        <v/>
      </c>
    </row>
    <row r="568" spans="6:18">
      <c r="F568" t="str">
        <f>_xlfn.XLOOKUP(B568,MacReports!B:B,MacReports!E:E,"")</f>
        <v/>
      </c>
      <c r="R568" s="13" t="str">
        <f>IF(MacReports!M568="Remote Lock","Remote Locked","")</f>
        <v/>
      </c>
    </row>
    <row r="569" spans="6:18">
      <c r="F569" t="str">
        <f>_xlfn.XLOOKUP(B569,MacReports!B:B,MacReports!E:E,"")</f>
        <v/>
      </c>
      <c r="R569" s="13" t="str">
        <f>IF(MacReports!M569="Remote Lock","Remote Locked","")</f>
        <v/>
      </c>
    </row>
    <row r="570" spans="6:18">
      <c r="F570" t="str">
        <f>_xlfn.XLOOKUP(B570,MacReports!B:B,MacReports!E:E,"")</f>
        <v/>
      </c>
      <c r="R570" s="13" t="str">
        <f>IF(MacReports!M570="Remote Lock","Remote Locked","")</f>
        <v/>
      </c>
    </row>
    <row r="571" spans="6:18">
      <c r="F571" t="str">
        <f>_xlfn.XLOOKUP(B571,MacReports!B:B,MacReports!E:E,"")</f>
        <v/>
      </c>
      <c r="R571" s="13" t="str">
        <f>IF(MacReports!M571="Remote Lock","Remote Locked","")</f>
        <v/>
      </c>
    </row>
    <row r="572" spans="6:18">
      <c r="F572" t="str">
        <f>_xlfn.XLOOKUP(B572,MacReports!B:B,MacReports!E:E,"")</f>
        <v/>
      </c>
      <c r="R572" s="13" t="str">
        <f>IF(MacReports!M572="Remote Lock","Remote Locked","")</f>
        <v/>
      </c>
    </row>
    <row r="573" spans="6:18">
      <c r="F573" t="str">
        <f>_xlfn.XLOOKUP(B573,MacReports!B:B,MacReports!E:E,"")</f>
        <v/>
      </c>
      <c r="R573" s="13" t="str">
        <f>IF(MacReports!M573="Remote Lock","Remote Locked","")</f>
        <v/>
      </c>
    </row>
    <row r="574" spans="6:18">
      <c r="F574" t="str">
        <f>_xlfn.XLOOKUP(B574,MacReports!B:B,MacReports!E:E,"")</f>
        <v/>
      </c>
      <c r="R574" s="13" t="str">
        <f>IF(MacReports!M574="Remote Lock","Remote Locked","")</f>
        <v/>
      </c>
    </row>
    <row r="575" spans="6:18">
      <c r="F575" t="str">
        <f>_xlfn.XLOOKUP(B575,MacReports!B:B,MacReports!E:E,"")</f>
        <v/>
      </c>
      <c r="R575" s="13" t="str">
        <f>IF(MacReports!M575="Remote Lock","Remote Locked","")</f>
        <v/>
      </c>
    </row>
    <row r="576" spans="6:18">
      <c r="F576" t="str">
        <f>_xlfn.XLOOKUP(B576,MacReports!B:B,MacReports!E:E,"")</f>
        <v/>
      </c>
      <c r="R576" s="13" t="str">
        <f>IF(MacReports!M576="Remote Lock","Remote Locked","")</f>
        <v/>
      </c>
    </row>
    <row r="577" spans="6:18">
      <c r="F577" t="str">
        <f>_xlfn.XLOOKUP(B577,MacReports!B:B,MacReports!E:E,"")</f>
        <v/>
      </c>
      <c r="R577" s="13" t="str">
        <f>IF(MacReports!M577="Remote Lock","Remote Locked","")</f>
        <v/>
      </c>
    </row>
    <row r="578" spans="6:18">
      <c r="F578" t="str">
        <f>_xlfn.XLOOKUP(B578,MacReports!B:B,MacReports!E:E,"")</f>
        <v/>
      </c>
      <c r="R578" s="13" t="str">
        <f>IF(MacReports!M578="Remote Lock","Remote Locked","")</f>
        <v/>
      </c>
    </row>
    <row r="579" spans="6:18">
      <c r="F579" t="str">
        <f>_xlfn.XLOOKUP(B579,MacReports!B:B,MacReports!E:E,"")</f>
        <v/>
      </c>
      <c r="R579" s="13" t="str">
        <f>IF(MacReports!M579="Remote Lock","Remote Locked","")</f>
        <v/>
      </c>
    </row>
    <row r="580" spans="6:18">
      <c r="F580" t="str">
        <f>_xlfn.XLOOKUP(B580,MacReports!B:B,MacReports!E:E,"")</f>
        <v/>
      </c>
      <c r="R580" s="13" t="str">
        <f>IF(MacReports!M580="Remote Lock","Remote Locked","")</f>
        <v/>
      </c>
    </row>
    <row r="581" spans="6:18">
      <c r="F581" t="str">
        <f>_xlfn.XLOOKUP(B581,MacReports!B:B,MacReports!E:E,"")</f>
        <v/>
      </c>
      <c r="R581" s="13" t="str">
        <f>IF(MacReports!M581="Remote Lock","Remote Locked","")</f>
        <v/>
      </c>
    </row>
    <row r="582" spans="6:18">
      <c r="F582" t="str">
        <f>_xlfn.XLOOKUP(B582,MacReports!B:B,MacReports!E:E,"")</f>
        <v/>
      </c>
      <c r="R582" s="13" t="str">
        <f>IF(MacReports!M582="Remote Lock","Remote Locked","")</f>
        <v/>
      </c>
    </row>
    <row r="583" spans="6:18">
      <c r="F583" t="str">
        <f>_xlfn.XLOOKUP(B583,MacReports!B:B,MacReports!E:E,"")</f>
        <v/>
      </c>
      <c r="R583" s="13" t="str">
        <f>IF(MacReports!M583="Remote Lock","Remote Locked","")</f>
        <v/>
      </c>
    </row>
    <row r="584" spans="6:18">
      <c r="F584" t="str">
        <f>_xlfn.XLOOKUP(B584,MacReports!B:B,MacReports!E:E,"")</f>
        <v/>
      </c>
      <c r="R584" s="13" t="str">
        <f>IF(MacReports!M584="Remote Lock","Remote Locked","")</f>
        <v/>
      </c>
    </row>
    <row r="585" spans="6:18">
      <c r="F585" t="str">
        <f>_xlfn.XLOOKUP(B585,MacReports!B:B,MacReports!E:E,"")</f>
        <v/>
      </c>
      <c r="R585" s="13" t="str">
        <f>IF(MacReports!M585="Remote Lock","Remote Locked","")</f>
        <v/>
      </c>
    </row>
    <row r="586" spans="6:18">
      <c r="F586" t="str">
        <f>_xlfn.XLOOKUP(B586,MacReports!B:B,MacReports!E:E,"")</f>
        <v/>
      </c>
      <c r="R586" s="13" t="str">
        <f>IF(MacReports!M586="Remote Lock","Remote Locked","")</f>
        <v/>
      </c>
    </row>
    <row r="587" spans="6:18">
      <c r="F587" t="str">
        <f>_xlfn.XLOOKUP(B587,MacReports!B:B,MacReports!E:E,"")</f>
        <v/>
      </c>
      <c r="R587" s="13" t="str">
        <f>IF(MacReports!M587="Remote Lock","Remote Locked","")</f>
        <v/>
      </c>
    </row>
    <row r="588" spans="6:18">
      <c r="F588" t="str">
        <f>_xlfn.XLOOKUP(B588,MacReports!B:B,MacReports!E:E,"")</f>
        <v/>
      </c>
      <c r="R588" s="13" t="str">
        <f>IF(MacReports!M588="Remote Lock","Remote Locked","")</f>
        <v/>
      </c>
    </row>
    <row r="589" spans="6:18">
      <c r="F589" t="str">
        <f>_xlfn.XLOOKUP(B589,MacReports!B:B,MacReports!E:E,"")</f>
        <v/>
      </c>
      <c r="R589" s="13" t="str">
        <f>IF(MacReports!M589="Remote Lock","Remote Locked","")</f>
        <v/>
      </c>
    </row>
    <row r="590" spans="6:18">
      <c r="F590" t="str">
        <f>_xlfn.XLOOKUP(B590,MacReports!B:B,MacReports!E:E,"")</f>
        <v/>
      </c>
      <c r="R590" s="13" t="str">
        <f>IF(MacReports!M590="Remote Lock","Remote Locked","")</f>
        <v/>
      </c>
    </row>
    <row r="591" spans="6:18">
      <c r="F591" t="str">
        <f>_xlfn.XLOOKUP(B591,MacReports!B:B,MacReports!E:E,"")</f>
        <v/>
      </c>
      <c r="R591" s="13" t="str">
        <f>IF(MacReports!M591="Remote Lock","Remote Locked","")</f>
        <v/>
      </c>
    </row>
    <row r="592" spans="6:18">
      <c r="F592" t="str">
        <f>_xlfn.XLOOKUP(B592,MacReports!B:B,MacReports!E:E,"")</f>
        <v/>
      </c>
      <c r="R592" s="13" t="str">
        <f>IF(MacReports!M592="Remote Lock","Remote Locked","")</f>
        <v/>
      </c>
    </row>
    <row r="593" spans="6:18">
      <c r="F593" t="str">
        <f>_xlfn.XLOOKUP(B593,MacReports!B:B,MacReports!E:E,"")</f>
        <v/>
      </c>
      <c r="R593" s="13" t="str">
        <f>IF(MacReports!M593="Remote Lock","Remote Locked","")</f>
        <v/>
      </c>
    </row>
    <row r="594" spans="6:18">
      <c r="F594" t="str">
        <f>_xlfn.XLOOKUP(B594,MacReports!B:B,MacReports!E:E,"")</f>
        <v/>
      </c>
      <c r="R594" s="13" t="str">
        <f>IF(MacReports!M594="Remote Lock","Remote Locked","")</f>
        <v/>
      </c>
    </row>
    <row r="595" spans="6:18">
      <c r="F595" t="str">
        <f>_xlfn.XLOOKUP(B595,MacReports!B:B,MacReports!E:E,"")</f>
        <v/>
      </c>
      <c r="R595" s="13" t="str">
        <f>IF(MacReports!M595="Remote Lock","Remote Locked","")</f>
        <v/>
      </c>
    </row>
    <row r="596" spans="6:18">
      <c r="F596" t="str">
        <f>_xlfn.XLOOKUP(B596,MacReports!B:B,MacReports!E:E,"")</f>
        <v/>
      </c>
      <c r="R596" s="13" t="str">
        <f>IF(MacReports!M596="Remote Lock","Remote Locked","")</f>
        <v/>
      </c>
    </row>
    <row r="597" spans="6:18">
      <c r="F597" t="str">
        <f>_xlfn.XLOOKUP(B597,MacReports!B:B,MacReports!E:E,"")</f>
        <v/>
      </c>
      <c r="R597" s="13" t="str">
        <f>IF(MacReports!M597="Remote Lock","Remote Locked","")</f>
        <v/>
      </c>
    </row>
    <row r="598" spans="6:18">
      <c r="F598" t="str">
        <f>_xlfn.XLOOKUP(B598,MacReports!B:B,MacReports!E:E,"")</f>
        <v/>
      </c>
      <c r="R598" s="13" t="str">
        <f>IF(MacReports!M598="Remote Lock","Remote Locked","")</f>
        <v/>
      </c>
    </row>
    <row r="599" spans="6:18">
      <c r="F599" t="str">
        <f>_xlfn.XLOOKUP(B599,MacReports!B:B,MacReports!E:E,"")</f>
        <v/>
      </c>
      <c r="R599" s="13" t="str">
        <f>IF(MacReports!M599="Remote Lock","Remote Locked","")</f>
        <v/>
      </c>
    </row>
    <row r="600" spans="6:18">
      <c r="F600" t="str">
        <f>_xlfn.XLOOKUP(B600,MacReports!B:B,MacReports!E:E,"")</f>
        <v/>
      </c>
      <c r="R600" s="13" t="str">
        <f>IF(MacReports!M600="Remote Lock","Remote Locked","")</f>
        <v/>
      </c>
    </row>
    <row r="601" spans="6:18">
      <c r="F601" t="str">
        <f>_xlfn.XLOOKUP(B601,MacReports!B:B,MacReports!E:E,"")</f>
        <v/>
      </c>
      <c r="R601" s="13" t="str">
        <f>IF(MacReports!M601="Remote Lock","Remote Locked","")</f>
        <v/>
      </c>
    </row>
    <row r="602" spans="6:18">
      <c r="F602" t="str">
        <f>_xlfn.XLOOKUP(B602,MacReports!B:B,MacReports!E:E,"")</f>
        <v/>
      </c>
      <c r="R602" s="13" t="str">
        <f>IF(MacReports!M602="Remote Lock","Remote Locked","")</f>
        <v/>
      </c>
    </row>
    <row r="603" spans="6:18">
      <c r="F603" t="str">
        <f>_xlfn.XLOOKUP(B603,MacReports!B:B,MacReports!E:E,"")</f>
        <v/>
      </c>
      <c r="R603" s="13" t="str">
        <f>IF(MacReports!M603="Remote Lock","Remote Locked","")</f>
        <v/>
      </c>
    </row>
    <row r="604" spans="6:18">
      <c r="F604" t="str">
        <f>_xlfn.XLOOKUP(B604,MacReports!B:B,MacReports!E:E,"")</f>
        <v/>
      </c>
      <c r="R604" s="13" t="str">
        <f>IF(MacReports!M604="Remote Lock","Remote Locked","")</f>
        <v/>
      </c>
    </row>
    <row r="605" spans="6:18">
      <c r="F605" t="str">
        <f>_xlfn.XLOOKUP(B605,MacReports!B:B,MacReports!E:E,"")</f>
        <v/>
      </c>
      <c r="R605" s="13" t="str">
        <f>IF(MacReports!M605="Remote Lock","Remote Locked","")</f>
        <v/>
      </c>
    </row>
    <row r="606" spans="6:18">
      <c r="F606" t="str">
        <f>_xlfn.XLOOKUP(B606,MacReports!B:B,MacReports!E:E,"")</f>
        <v/>
      </c>
      <c r="R606" s="13" t="str">
        <f>IF(MacReports!M606="Remote Lock","Remote Locked","")</f>
        <v/>
      </c>
    </row>
    <row r="607" spans="6:18">
      <c r="F607" t="str">
        <f>_xlfn.XLOOKUP(B607,MacReports!B:B,MacReports!E:E,"")</f>
        <v/>
      </c>
      <c r="R607" s="13" t="str">
        <f>IF(MacReports!M607="Remote Lock","Remote Locked","")</f>
        <v/>
      </c>
    </row>
    <row r="608" spans="6:18">
      <c r="F608" t="str">
        <f>_xlfn.XLOOKUP(B608,MacReports!B:B,MacReports!E:E,"")</f>
        <v/>
      </c>
      <c r="R608" s="13" t="str">
        <f>IF(MacReports!M608="Remote Lock","Remote Locked","")</f>
        <v/>
      </c>
    </row>
    <row r="609" spans="6:18">
      <c r="F609" t="str">
        <f>_xlfn.XLOOKUP(B609,MacReports!B:B,MacReports!E:E,"")</f>
        <v/>
      </c>
      <c r="R609" s="13" t="str">
        <f>IF(MacReports!M609="Remote Lock","Remote Locked","")</f>
        <v/>
      </c>
    </row>
    <row r="610" spans="6:18">
      <c r="F610" t="str">
        <f>_xlfn.XLOOKUP(B610,MacReports!B:B,MacReports!E:E,"")</f>
        <v/>
      </c>
      <c r="R610" s="13" t="str">
        <f>IF(MacReports!M610="Remote Lock","Remote Locked","")</f>
        <v/>
      </c>
    </row>
    <row r="611" spans="6:18">
      <c r="F611" t="str">
        <f>_xlfn.XLOOKUP(B611,MacReports!B:B,MacReports!E:E,"")</f>
        <v/>
      </c>
      <c r="R611" s="13" t="str">
        <f>IF(MacReports!M611="Remote Lock","Remote Locked","")</f>
        <v/>
      </c>
    </row>
    <row r="612" spans="6:18">
      <c r="F612" t="str">
        <f>_xlfn.XLOOKUP(B612,MacReports!B:B,MacReports!E:E,"")</f>
        <v/>
      </c>
      <c r="R612" s="13" t="str">
        <f>IF(MacReports!M612="Remote Lock","Remote Locked","")</f>
        <v/>
      </c>
    </row>
    <row r="613" spans="6:18">
      <c r="F613" t="str">
        <f>_xlfn.XLOOKUP(B613,MacReports!B:B,MacReports!E:E,"")</f>
        <v/>
      </c>
      <c r="R613" s="13" t="str">
        <f>IF(MacReports!M613="Remote Lock","Remote Locked","")</f>
        <v/>
      </c>
    </row>
    <row r="614" spans="6:18">
      <c r="F614" t="str">
        <f>_xlfn.XLOOKUP(B614,MacReports!B:B,MacReports!E:E,"")</f>
        <v/>
      </c>
      <c r="R614" s="13" t="str">
        <f>IF(MacReports!M614="Remote Lock","Remote Locked","")</f>
        <v/>
      </c>
    </row>
    <row r="615" spans="6:18">
      <c r="F615" t="str">
        <f>_xlfn.XLOOKUP(B615,MacReports!B:B,MacReports!E:E,"")</f>
        <v/>
      </c>
      <c r="R615" s="13" t="str">
        <f>IF(MacReports!M615="Remote Lock","Remote Locked","")</f>
        <v/>
      </c>
    </row>
    <row r="616" spans="6:18">
      <c r="F616" t="str">
        <f>_xlfn.XLOOKUP(B616,MacReports!B:B,MacReports!E:E,"")</f>
        <v/>
      </c>
      <c r="R616" s="13" t="str">
        <f>IF(MacReports!M616="Remote Lock","Remote Locked","")</f>
        <v/>
      </c>
    </row>
    <row r="617" spans="6:18">
      <c r="F617" t="str">
        <f>_xlfn.XLOOKUP(B617,MacReports!B:B,MacReports!E:E,"")</f>
        <v/>
      </c>
      <c r="R617" s="13" t="str">
        <f>IF(MacReports!M617="Remote Lock","Remote Locked","")</f>
        <v/>
      </c>
    </row>
    <row r="618" spans="6:18">
      <c r="F618" t="str">
        <f>_xlfn.XLOOKUP(B618,MacReports!B:B,MacReports!E:E,"")</f>
        <v/>
      </c>
      <c r="R618" s="13" t="str">
        <f>IF(MacReports!M618="Remote Lock","Remote Locked","")</f>
        <v/>
      </c>
    </row>
    <row r="619" spans="6:18">
      <c r="F619" t="str">
        <f>_xlfn.XLOOKUP(B619,MacReports!B:B,MacReports!E:E,"")</f>
        <v/>
      </c>
      <c r="R619" s="13" t="str">
        <f>IF(MacReports!M619="Remote Lock","Remote Locked","")</f>
        <v/>
      </c>
    </row>
    <row r="620" spans="6:18">
      <c r="F620" t="str">
        <f>_xlfn.XLOOKUP(B620,MacReports!B:B,MacReports!E:E,"")</f>
        <v/>
      </c>
      <c r="R620" s="13" t="str">
        <f>IF(MacReports!M620="Remote Lock","Remote Locked","")</f>
        <v/>
      </c>
    </row>
    <row r="621" spans="6:18">
      <c r="F621" t="str">
        <f>_xlfn.XLOOKUP(B621,MacReports!B:B,MacReports!E:E,"")</f>
        <v/>
      </c>
      <c r="R621" s="13" t="str">
        <f>IF(MacReports!M621="Remote Lock","Remote Locked","")</f>
        <v/>
      </c>
    </row>
    <row r="622" spans="6:18">
      <c r="F622" t="str">
        <f>_xlfn.XLOOKUP(B622,MacReports!B:B,MacReports!E:E,"")</f>
        <v/>
      </c>
      <c r="R622" s="13" t="str">
        <f>IF(MacReports!M622="Remote Lock","Remote Locked","")</f>
        <v/>
      </c>
    </row>
    <row r="623" spans="6:18">
      <c r="F623" t="str">
        <f>_xlfn.XLOOKUP(B623,MacReports!B:B,MacReports!E:E,"")</f>
        <v/>
      </c>
      <c r="R623" s="13" t="str">
        <f>IF(MacReports!M623="Remote Lock","Remote Locked","")</f>
        <v/>
      </c>
    </row>
    <row r="624" spans="6:18">
      <c r="F624" t="str">
        <f>_xlfn.XLOOKUP(B624,MacReports!B:B,MacReports!E:E,"")</f>
        <v/>
      </c>
      <c r="R624" s="13" t="str">
        <f>IF(MacReports!M624="Remote Lock","Remote Locked","")</f>
        <v/>
      </c>
    </row>
    <row r="625" spans="6:18">
      <c r="F625" t="str">
        <f>_xlfn.XLOOKUP(B625,MacReports!B:B,MacReports!E:E,"")</f>
        <v/>
      </c>
      <c r="R625" s="13" t="str">
        <f>IF(MacReports!M625="Remote Lock","Remote Locked","")</f>
        <v/>
      </c>
    </row>
    <row r="626" spans="6:18">
      <c r="F626" t="str">
        <f>_xlfn.XLOOKUP(B626,MacReports!B:B,MacReports!E:E,"")</f>
        <v/>
      </c>
      <c r="R626" s="13" t="str">
        <f>IF(MacReports!M626="Remote Lock","Remote Locked","")</f>
        <v/>
      </c>
    </row>
    <row r="627" spans="6:18">
      <c r="F627" t="str">
        <f>_xlfn.XLOOKUP(B627,MacReports!B:B,MacReports!E:E,"")</f>
        <v/>
      </c>
      <c r="R627" s="13" t="str">
        <f>IF(MacReports!M627="Remote Lock","Remote Locked","")</f>
        <v/>
      </c>
    </row>
    <row r="628" spans="6:18">
      <c r="F628" t="str">
        <f>_xlfn.XLOOKUP(B628,MacReports!B:B,MacReports!E:E,"")</f>
        <v/>
      </c>
      <c r="R628" s="13" t="str">
        <f>IF(MacReports!M628="Remote Lock","Remote Locked","")</f>
        <v/>
      </c>
    </row>
    <row r="629" spans="6:18">
      <c r="F629" t="str">
        <f>_xlfn.XLOOKUP(B629,MacReports!B:B,MacReports!E:E,"")</f>
        <v/>
      </c>
      <c r="R629" s="13" t="str">
        <f>IF(MacReports!M629="Remote Lock","Remote Locked","")</f>
        <v/>
      </c>
    </row>
    <row r="630" spans="6:18">
      <c r="F630" t="str">
        <f>_xlfn.XLOOKUP(B630,MacReports!B:B,MacReports!E:E,"")</f>
        <v/>
      </c>
      <c r="R630" s="13" t="str">
        <f>IF(MacReports!M630="Remote Lock","Remote Locked","")</f>
        <v/>
      </c>
    </row>
    <row r="631" spans="6:18">
      <c r="F631" t="str">
        <f>_xlfn.XLOOKUP(B631,MacReports!B:B,MacReports!E:E,"")</f>
        <v/>
      </c>
      <c r="R631" s="13" t="str">
        <f>IF(MacReports!M631="Remote Lock","Remote Locked","")</f>
        <v/>
      </c>
    </row>
    <row r="632" spans="6:18">
      <c r="F632" t="str">
        <f>_xlfn.XLOOKUP(B632,MacReports!B:B,MacReports!E:E,"")</f>
        <v/>
      </c>
      <c r="R632" s="13" t="str">
        <f>IF(MacReports!M632="Remote Lock","Remote Locked","")</f>
        <v/>
      </c>
    </row>
    <row r="633" spans="6:18">
      <c r="F633" t="str">
        <f>_xlfn.XLOOKUP(B633,MacReports!B:B,MacReports!E:E,"")</f>
        <v/>
      </c>
      <c r="R633" s="13" t="str">
        <f>IF(MacReports!M633="Remote Lock","Remote Locked","")</f>
        <v/>
      </c>
    </row>
    <row r="634" spans="6:18">
      <c r="F634" t="str">
        <f>_xlfn.XLOOKUP(B634,MacReports!B:B,MacReports!E:E,"")</f>
        <v/>
      </c>
      <c r="R634" s="13" t="str">
        <f>IF(MacReports!M634="Remote Lock","Remote Locked","")</f>
        <v/>
      </c>
    </row>
    <row r="635" spans="6:18">
      <c r="F635" t="str">
        <f>_xlfn.XLOOKUP(B635,MacReports!B:B,MacReports!E:E,"")</f>
        <v/>
      </c>
      <c r="R635" s="13" t="str">
        <f>IF(MacReports!M635="Remote Lock","Remote Locked","")</f>
        <v/>
      </c>
    </row>
    <row r="636" spans="6:18">
      <c r="F636" t="str">
        <f>_xlfn.XLOOKUP(B636,MacReports!B:B,MacReports!E:E,"")</f>
        <v/>
      </c>
      <c r="R636" s="13" t="str">
        <f>IF(MacReports!M636="Remote Lock","Remote Locked","")</f>
        <v/>
      </c>
    </row>
    <row r="637" spans="6:18">
      <c r="F637" t="str">
        <f>_xlfn.XLOOKUP(B637,MacReports!B:B,MacReports!E:E,"")</f>
        <v/>
      </c>
      <c r="R637" s="13" t="str">
        <f>IF(MacReports!M637="Remote Lock","Remote Locked","")</f>
        <v/>
      </c>
    </row>
    <row r="638" spans="6:18">
      <c r="F638" t="str">
        <f>_xlfn.XLOOKUP(B638,MacReports!B:B,MacReports!E:E,"")</f>
        <v/>
      </c>
      <c r="R638" s="13" t="str">
        <f>IF(MacReports!M638="Remote Lock","Remote Locked","")</f>
        <v/>
      </c>
    </row>
    <row r="639" spans="6:18">
      <c r="F639" t="str">
        <f>_xlfn.XLOOKUP(B639,MacReports!B:B,MacReports!E:E,"")</f>
        <v/>
      </c>
      <c r="R639" s="13" t="str">
        <f>IF(MacReports!M639="Remote Lock","Remote Locked","")</f>
        <v/>
      </c>
    </row>
    <row r="640" spans="6:18">
      <c r="F640" t="str">
        <f>_xlfn.XLOOKUP(B640,MacReports!B:B,MacReports!E:E,"")</f>
        <v/>
      </c>
      <c r="R640" s="13" t="str">
        <f>IF(MacReports!M640="Remote Lock","Remote Locked","")</f>
        <v/>
      </c>
    </row>
    <row r="641" spans="6:18">
      <c r="F641" t="str">
        <f>_xlfn.XLOOKUP(B641,MacReports!B:B,MacReports!E:E,"")</f>
        <v/>
      </c>
      <c r="R641" s="13" t="str">
        <f>IF(MacReports!M641="Remote Lock","Remote Locked","")</f>
        <v/>
      </c>
    </row>
    <row r="642" spans="6:18">
      <c r="F642" t="str">
        <f>_xlfn.XLOOKUP(B642,MacReports!B:B,MacReports!E:E,"")</f>
        <v/>
      </c>
      <c r="R642" s="13" t="str">
        <f>IF(MacReports!M642="Remote Lock","Remote Locked","")</f>
        <v/>
      </c>
    </row>
    <row r="643" spans="6:18">
      <c r="F643" t="str">
        <f>_xlfn.XLOOKUP(B643,MacReports!B:B,MacReports!E:E,"")</f>
        <v/>
      </c>
      <c r="R643" s="13" t="str">
        <f>IF(MacReports!M643="Remote Lock","Remote Locked","")</f>
        <v/>
      </c>
    </row>
    <row r="644" spans="6:18">
      <c r="F644" t="str">
        <f>_xlfn.XLOOKUP(B644,MacReports!B:B,MacReports!E:E,"")</f>
        <v/>
      </c>
      <c r="R644" s="13" t="str">
        <f>IF(MacReports!M644="Remote Lock","Remote Locked","")</f>
        <v/>
      </c>
    </row>
    <row r="645" spans="6:18">
      <c r="F645" t="str">
        <f>_xlfn.XLOOKUP(B645,MacReports!B:B,MacReports!E:E,"")</f>
        <v/>
      </c>
      <c r="R645" s="13" t="str">
        <f>IF(MacReports!M645="Remote Lock","Remote Locked","")</f>
        <v/>
      </c>
    </row>
    <row r="646" spans="6:18">
      <c r="F646" t="str">
        <f>_xlfn.XLOOKUP(B646,MacReports!B:B,MacReports!E:E,"")</f>
        <v/>
      </c>
      <c r="R646" s="13" t="str">
        <f>IF(MacReports!M646="Remote Lock","Remote Locked","")</f>
        <v/>
      </c>
    </row>
    <row r="647" spans="6:18">
      <c r="F647" t="str">
        <f>_xlfn.XLOOKUP(B647,MacReports!B:B,MacReports!E:E,"")</f>
        <v/>
      </c>
      <c r="R647" s="13" t="str">
        <f>IF(MacReports!M647="Remote Lock","Remote Locked","")</f>
        <v/>
      </c>
    </row>
    <row r="648" spans="6:18">
      <c r="F648" t="str">
        <f>_xlfn.XLOOKUP(B648,MacReports!B:B,MacReports!E:E,"")</f>
        <v/>
      </c>
      <c r="R648" s="13" t="str">
        <f>IF(MacReports!M648="Remote Lock","Remote Locked","")</f>
        <v/>
      </c>
    </row>
    <row r="649" spans="6:18">
      <c r="F649" t="str">
        <f>_xlfn.XLOOKUP(B649,MacReports!B:B,MacReports!E:E,"")</f>
        <v/>
      </c>
      <c r="R649" s="13" t="str">
        <f>IF(MacReports!M649="Remote Lock","Remote Locked","")</f>
        <v/>
      </c>
    </row>
    <row r="650" spans="6:18">
      <c r="F650" t="str">
        <f>_xlfn.XLOOKUP(B650,MacReports!B:B,MacReports!E:E,"")</f>
        <v/>
      </c>
      <c r="R650" s="13" t="str">
        <f>IF(MacReports!M650="Remote Lock","Remote Locked","")</f>
        <v/>
      </c>
    </row>
    <row r="651" spans="6:18">
      <c r="F651" t="str">
        <f>_xlfn.XLOOKUP(B651,MacReports!B:B,MacReports!E:E,"")</f>
        <v/>
      </c>
      <c r="R651" s="13" t="str">
        <f>IF(MacReports!M651="Remote Lock","Remote Locked","")</f>
        <v/>
      </c>
    </row>
    <row r="652" spans="6:18">
      <c r="F652" t="str">
        <f>_xlfn.XLOOKUP(B652,MacReports!B:B,MacReports!E:E,"")</f>
        <v/>
      </c>
      <c r="R652" s="13" t="str">
        <f>IF(MacReports!M652="Remote Lock","Remote Locked","")</f>
        <v/>
      </c>
    </row>
    <row r="653" spans="6:18">
      <c r="F653" t="str">
        <f>_xlfn.XLOOKUP(B653,MacReports!B:B,MacReports!E:E,"")</f>
        <v/>
      </c>
      <c r="R653" s="13" t="str">
        <f>IF(MacReports!M653="Remote Lock","Remote Locked","")</f>
        <v/>
      </c>
    </row>
    <row r="654" spans="6:18">
      <c r="F654" t="str">
        <f>_xlfn.XLOOKUP(B654,MacReports!B:B,MacReports!E:E,"")</f>
        <v/>
      </c>
      <c r="R654" s="13" t="str">
        <f>IF(MacReports!M654="Remote Lock","Remote Locked","")</f>
        <v/>
      </c>
    </row>
    <row r="655" spans="6:18">
      <c r="F655" t="str">
        <f>_xlfn.XLOOKUP(B655,MacReports!B:B,MacReports!E:E,"")</f>
        <v/>
      </c>
      <c r="R655" s="13" t="str">
        <f>IF(MacReports!M655="Remote Lock","Remote Locked","")</f>
        <v/>
      </c>
    </row>
    <row r="656" spans="6:18">
      <c r="F656" t="str">
        <f>_xlfn.XLOOKUP(B656,MacReports!B:B,MacReports!E:E,"")</f>
        <v/>
      </c>
      <c r="R656" s="13" t="str">
        <f>IF(MacReports!M656="Remote Lock","Remote Locked","")</f>
        <v/>
      </c>
    </row>
    <row r="657" spans="6:18">
      <c r="F657" t="str">
        <f>_xlfn.XLOOKUP(B657,MacReports!B:B,MacReports!E:E,"")</f>
        <v/>
      </c>
      <c r="R657" s="13" t="str">
        <f>IF(MacReports!M657="Remote Lock","Remote Locked","")</f>
        <v/>
      </c>
    </row>
    <row r="658" spans="6:18">
      <c r="F658" t="str">
        <f>_xlfn.XLOOKUP(B658,MacReports!B:B,MacReports!E:E,"")</f>
        <v/>
      </c>
      <c r="R658" s="13" t="str">
        <f>IF(MacReports!M658="Remote Lock","Remote Locked","")</f>
        <v/>
      </c>
    </row>
    <row r="659" spans="6:18">
      <c r="F659" t="str">
        <f>_xlfn.XLOOKUP(B659,MacReports!B:B,MacReports!E:E,"")</f>
        <v/>
      </c>
      <c r="R659" s="13" t="str">
        <f>IF(MacReports!M659="Remote Lock","Remote Locked","")</f>
        <v/>
      </c>
    </row>
    <row r="660" spans="6:18">
      <c r="F660" t="str">
        <f>_xlfn.XLOOKUP(B660,MacReports!B:B,MacReports!E:E,"")</f>
        <v/>
      </c>
      <c r="R660" s="13" t="str">
        <f>IF(MacReports!M660="Remote Lock","Remote Locked","")</f>
        <v/>
      </c>
    </row>
    <row r="661" spans="6:18">
      <c r="F661" t="str">
        <f>_xlfn.XLOOKUP(B661,MacReports!B:B,MacReports!E:E,"")</f>
        <v/>
      </c>
      <c r="R661" s="13" t="str">
        <f>IF(MacReports!M661="Remote Lock","Remote Locked","")</f>
        <v/>
      </c>
    </row>
    <row r="662" spans="6:18">
      <c r="F662" t="str">
        <f>_xlfn.XLOOKUP(B662,MacReports!B:B,MacReports!E:E,"")</f>
        <v/>
      </c>
      <c r="R662" s="13" t="str">
        <f>IF(MacReports!M662="Remote Lock","Remote Locked","")</f>
        <v/>
      </c>
    </row>
    <row r="663" spans="6:18">
      <c r="F663" t="str">
        <f>_xlfn.XLOOKUP(B663,MacReports!B:B,MacReports!E:E,"")</f>
        <v/>
      </c>
      <c r="R663" s="13" t="str">
        <f>IF(MacReports!M663="Remote Lock","Remote Locked","")</f>
        <v/>
      </c>
    </row>
    <row r="664" spans="6:18">
      <c r="F664" t="str">
        <f>_xlfn.XLOOKUP(B664,MacReports!B:B,MacReports!E:E,"")</f>
        <v/>
      </c>
      <c r="R664" s="13" t="str">
        <f>IF(MacReports!M664="Remote Lock","Remote Locked","")</f>
        <v/>
      </c>
    </row>
    <row r="665" spans="6:18">
      <c r="F665" t="str">
        <f>_xlfn.XLOOKUP(B665,MacReports!B:B,MacReports!E:E,"")</f>
        <v/>
      </c>
      <c r="R665" s="13" t="str">
        <f>IF(MacReports!M665="Remote Lock","Remote Locked","")</f>
        <v/>
      </c>
    </row>
    <row r="666" spans="6:18">
      <c r="F666" t="str">
        <f>_xlfn.XLOOKUP(B666,MacReports!B:B,MacReports!E:E,"")</f>
        <v/>
      </c>
      <c r="R666" s="13" t="str">
        <f>IF(MacReports!M666="Remote Lock","Remote Locked","")</f>
        <v/>
      </c>
    </row>
    <row r="667" spans="6:18">
      <c r="F667" t="str">
        <f>_xlfn.XLOOKUP(B667,MacReports!B:B,MacReports!E:E,"")</f>
        <v/>
      </c>
      <c r="R667" s="13" t="str">
        <f>IF(MacReports!M667="Remote Lock","Remote Locked","")</f>
        <v/>
      </c>
    </row>
    <row r="668" spans="6:18">
      <c r="F668" t="str">
        <f>_xlfn.XLOOKUP(B668,MacReports!B:B,MacReports!E:E,"")</f>
        <v/>
      </c>
      <c r="R668" s="13" t="str">
        <f>IF(MacReports!M668="Remote Lock","Remote Locked","")</f>
        <v/>
      </c>
    </row>
    <row r="669" spans="6:18">
      <c r="F669" t="str">
        <f>_xlfn.XLOOKUP(B669,MacReports!B:B,MacReports!E:E,"")</f>
        <v/>
      </c>
      <c r="R669" s="13" t="str">
        <f>IF(MacReports!M669="Remote Lock","Remote Locked","")</f>
        <v/>
      </c>
    </row>
    <row r="670" spans="6:18">
      <c r="F670" t="str">
        <f>_xlfn.XLOOKUP(B670,MacReports!B:B,MacReports!E:E,"")</f>
        <v/>
      </c>
      <c r="R670" s="13" t="str">
        <f>IF(MacReports!M670="Remote Lock","Remote Locked","")</f>
        <v/>
      </c>
    </row>
    <row r="671" spans="6:18">
      <c r="F671" t="str">
        <f>_xlfn.XLOOKUP(B671,MacReports!B:B,MacReports!E:E,"")</f>
        <v/>
      </c>
      <c r="R671" s="13" t="str">
        <f>IF(MacReports!M671="Remote Lock","Remote Locked","")</f>
        <v/>
      </c>
    </row>
    <row r="672" spans="6:18">
      <c r="F672" t="str">
        <f>_xlfn.XLOOKUP(B672,MacReports!B:B,MacReports!E:E,"")</f>
        <v/>
      </c>
      <c r="R672" s="13" t="str">
        <f>IF(MacReports!M672="Remote Lock","Remote Locked","")</f>
        <v/>
      </c>
    </row>
    <row r="673" spans="6:18">
      <c r="F673" t="str">
        <f>_xlfn.XLOOKUP(B673,MacReports!B:B,MacReports!E:E,"")</f>
        <v/>
      </c>
      <c r="R673" s="13" t="str">
        <f>IF(MacReports!M673="Remote Lock","Remote Locked","")</f>
        <v/>
      </c>
    </row>
    <row r="674" spans="6:18">
      <c r="F674" t="str">
        <f>_xlfn.XLOOKUP(B674,MacReports!B:B,MacReports!E:E,"")</f>
        <v/>
      </c>
      <c r="R674" s="13" t="str">
        <f>IF(MacReports!M674="Remote Lock","Remote Locked","")</f>
        <v/>
      </c>
    </row>
    <row r="675" spans="6:18">
      <c r="F675" t="str">
        <f>_xlfn.XLOOKUP(B675,MacReports!B:B,MacReports!E:E,"")</f>
        <v/>
      </c>
      <c r="R675" s="13" t="str">
        <f>IF(MacReports!M675="Remote Lock","Remote Locked","")</f>
        <v/>
      </c>
    </row>
    <row r="676" spans="6:18">
      <c r="F676" t="str">
        <f>_xlfn.XLOOKUP(B676,MacReports!B:B,MacReports!E:E,"")</f>
        <v/>
      </c>
      <c r="R676" s="13" t="str">
        <f>IF(MacReports!M676="Remote Lock","Remote Locked","")</f>
        <v/>
      </c>
    </row>
    <row r="677" spans="6:18">
      <c r="F677" t="str">
        <f>_xlfn.XLOOKUP(B677,MacReports!B:B,MacReports!E:E,"")</f>
        <v/>
      </c>
      <c r="R677" s="13" t="str">
        <f>IF(MacReports!M677="Remote Lock","Remote Locked","")</f>
        <v/>
      </c>
    </row>
    <row r="678" spans="6:18">
      <c r="F678" t="str">
        <f>_xlfn.XLOOKUP(B678,MacReports!B:B,MacReports!E:E,"")</f>
        <v/>
      </c>
      <c r="R678" s="13" t="str">
        <f>IF(MacReports!M678="Remote Lock","Remote Locked","")</f>
        <v/>
      </c>
    </row>
    <row r="679" spans="6:18">
      <c r="F679" t="str">
        <f>_xlfn.XLOOKUP(B679,MacReports!B:B,MacReports!E:E,"")</f>
        <v/>
      </c>
      <c r="R679" s="13" t="str">
        <f>IF(MacReports!M679="Remote Lock","Remote Locked","")</f>
        <v/>
      </c>
    </row>
    <row r="680" spans="6:18">
      <c r="F680" t="str">
        <f>_xlfn.XLOOKUP(B680,MacReports!B:B,MacReports!E:E,"")</f>
        <v/>
      </c>
      <c r="R680" s="13" t="str">
        <f>IF(MacReports!M680="Remote Lock","Remote Locked","")</f>
        <v/>
      </c>
    </row>
    <row r="681" spans="6:18">
      <c r="F681" t="str">
        <f>_xlfn.XLOOKUP(B681,MacReports!B:B,MacReports!E:E,"")</f>
        <v/>
      </c>
      <c r="R681" s="13" t="str">
        <f>IF(MacReports!M681="Remote Lock","Remote Locked","")</f>
        <v/>
      </c>
    </row>
    <row r="682" spans="6:18">
      <c r="F682" t="str">
        <f>_xlfn.XLOOKUP(B682,MacReports!B:B,MacReports!E:E,"")</f>
        <v/>
      </c>
      <c r="R682" s="13" t="str">
        <f>IF(MacReports!M682="Remote Lock","Remote Locked","")</f>
        <v/>
      </c>
    </row>
    <row r="683" spans="6:18">
      <c r="F683" t="str">
        <f>_xlfn.XLOOKUP(B683,MacReports!B:B,MacReports!E:E,"")</f>
        <v/>
      </c>
      <c r="R683" s="13" t="str">
        <f>IF(MacReports!M683="Remote Lock","Remote Locked","")</f>
        <v/>
      </c>
    </row>
    <row r="684" spans="6:18">
      <c r="F684" t="str">
        <f>_xlfn.XLOOKUP(B684,MacReports!B:B,MacReports!E:E,"")</f>
        <v/>
      </c>
      <c r="R684" s="13" t="str">
        <f>IF(MacReports!M684="Remote Lock","Remote Locked","")</f>
        <v/>
      </c>
    </row>
    <row r="685" spans="6:18">
      <c r="F685" t="str">
        <f>_xlfn.XLOOKUP(B685,MacReports!B:B,MacReports!E:E,"")</f>
        <v/>
      </c>
      <c r="R685" s="13" t="str">
        <f>IF(MacReports!M685="Remote Lock","Remote Locked","")</f>
        <v/>
      </c>
    </row>
    <row r="686" spans="6:18">
      <c r="F686" t="str">
        <f>_xlfn.XLOOKUP(B686,MacReports!B:B,MacReports!E:E,"")</f>
        <v/>
      </c>
      <c r="R686" s="13" t="str">
        <f>IF(MacReports!M686="Remote Lock","Remote Locked","")</f>
        <v/>
      </c>
    </row>
    <row r="687" spans="6:18">
      <c r="F687" t="str">
        <f>_xlfn.XLOOKUP(B687,MacReports!B:B,MacReports!E:E,"")</f>
        <v/>
      </c>
      <c r="R687" s="13" t="str">
        <f>IF(MacReports!M687="Remote Lock","Remote Locked","")</f>
        <v/>
      </c>
    </row>
    <row r="688" spans="6:18">
      <c r="F688" t="str">
        <f>_xlfn.XLOOKUP(B688,MacReports!B:B,MacReports!E:E,"")</f>
        <v/>
      </c>
      <c r="R688" s="13" t="str">
        <f>IF(MacReports!M688="Remote Lock","Remote Locked","")</f>
        <v/>
      </c>
    </row>
    <row r="689" spans="6:18">
      <c r="F689" t="str">
        <f>_xlfn.XLOOKUP(B689,MacReports!B:B,MacReports!E:E,"")</f>
        <v/>
      </c>
      <c r="R689" s="13" t="str">
        <f>IF(MacReports!M689="Remote Lock","Remote Locked","")</f>
        <v/>
      </c>
    </row>
    <row r="690" spans="6:18">
      <c r="F690" t="str">
        <f>_xlfn.XLOOKUP(B690,MacReports!B:B,MacReports!E:E,"")</f>
        <v/>
      </c>
      <c r="R690" s="13" t="str">
        <f>IF(MacReports!M690="Remote Lock","Remote Locked","")</f>
        <v/>
      </c>
    </row>
    <row r="691" spans="6:18">
      <c r="F691" t="str">
        <f>_xlfn.XLOOKUP(B691,MacReports!B:B,MacReports!E:E,"")</f>
        <v/>
      </c>
      <c r="R691" s="13" t="str">
        <f>IF(MacReports!M691="Remote Lock","Remote Locked","")</f>
        <v/>
      </c>
    </row>
    <row r="692" spans="6:18">
      <c r="F692" t="str">
        <f>_xlfn.XLOOKUP(B692,MacReports!B:B,MacReports!E:E,"")</f>
        <v/>
      </c>
      <c r="R692" s="13" t="str">
        <f>IF(MacReports!M692="Remote Lock","Remote Locked","")</f>
        <v/>
      </c>
    </row>
    <row r="693" spans="6:18">
      <c r="F693" t="str">
        <f>_xlfn.XLOOKUP(B693,MacReports!B:B,MacReports!E:E,"")</f>
        <v/>
      </c>
      <c r="R693" s="13" t="str">
        <f>IF(MacReports!M693="Remote Lock","Remote Locked","")</f>
        <v/>
      </c>
    </row>
    <row r="694" spans="6:18">
      <c r="F694" t="str">
        <f>_xlfn.XLOOKUP(B694,MacReports!B:B,MacReports!E:E,"")</f>
        <v/>
      </c>
      <c r="R694" s="13" t="str">
        <f>IF(MacReports!M694="Remote Lock","Remote Locked","")</f>
        <v/>
      </c>
    </row>
    <row r="695" spans="6:18">
      <c r="F695" t="str">
        <f>_xlfn.XLOOKUP(B695,MacReports!B:B,MacReports!E:E,"")</f>
        <v/>
      </c>
      <c r="R695" s="13" t="str">
        <f>IF(MacReports!M695="Remote Lock","Remote Locked","")</f>
        <v/>
      </c>
    </row>
    <row r="696" spans="6:18">
      <c r="F696" t="str">
        <f>_xlfn.XLOOKUP(B696,MacReports!B:B,MacReports!E:E,"")</f>
        <v/>
      </c>
      <c r="R696" s="13" t="str">
        <f>IF(MacReports!M696="Remote Lock","Remote Locked","")</f>
        <v/>
      </c>
    </row>
    <row r="697" spans="6:18">
      <c r="F697" t="str">
        <f>_xlfn.XLOOKUP(B697,MacReports!B:B,MacReports!E:E,"")</f>
        <v/>
      </c>
      <c r="R697" s="13" t="str">
        <f>IF(MacReports!M697="Remote Lock","Remote Locked","")</f>
        <v/>
      </c>
    </row>
    <row r="698" spans="6:18">
      <c r="F698" t="str">
        <f>_xlfn.XLOOKUP(B698,MacReports!B:B,MacReports!E:E,"")</f>
        <v/>
      </c>
      <c r="R698" s="13" t="str">
        <f>IF(MacReports!M698="Remote Lock","Remote Locked","")</f>
        <v/>
      </c>
    </row>
    <row r="699" spans="6:18">
      <c r="F699" t="str">
        <f>_xlfn.XLOOKUP(B699,MacReports!B:B,MacReports!E:E,"")</f>
        <v/>
      </c>
      <c r="R699" s="13" t="str">
        <f>IF(MacReports!M699="Remote Lock","Remote Locked","")</f>
        <v/>
      </c>
    </row>
    <row r="700" spans="6:18">
      <c r="F700" t="str">
        <f>_xlfn.XLOOKUP(B700,MacReports!B:B,MacReports!E:E,"")</f>
        <v/>
      </c>
      <c r="R700" s="13" t="str">
        <f>IF(MacReports!M700="Remote Lock","Remote Locked","")</f>
        <v/>
      </c>
    </row>
    <row r="701" spans="6:18">
      <c r="F701" t="str">
        <f>_xlfn.XLOOKUP(B701,MacReports!B:B,MacReports!E:E,"")</f>
        <v/>
      </c>
      <c r="R701" s="13" t="str">
        <f>IF(MacReports!M701="Remote Lock","Remote Locked","")</f>
        <v/>
      </c>
    </row>
    <row r="702" spans="6:18">
      <c r="F702" t="str">
        <f>_xlfn.XLOOKUP(B702,MacReports!B:B,MacReports!E:E,"")</f>
        <v/>
      </c>
      <c r="R702" s="13" t="str">
        <f>IF(MacReports!M702="Remote Lock","Remote Locked","")</f>
        <v/>
      </c>
    </row>
    <row r="703" spans="6:18">
      <c r="F703" t="str">
        <f>_xlfn.XLOOKUP(B703,MacReports!B:B,MacReports!E:E,"")</f>
        <v/>
      </c>
      <c r="R703" s="13" t="str">
        <f>IF(MacReports!M703="Remote Lock","Remote Locked","")</f>
        <v/>
      </c>
    </row>
    <row r="704" spans="6:18">
      <c r="F704" t="str">
        <f>_xlfn.XLOOKUP(B704,MacReports!B:B,MacReports!E:E,"")</f>
        <v/>
      </c>
      <c r="R704" s="13" t="str">
        <f>IF(MacReports!M704="Remote Lock","Remote Locked","")</f>
        <v/>
      </c>
    </row>
    <row r="705" spans="6:18">
      <c r="F705" t="str">
        <f>_xlfn.XLOOKUP(B705,MacReports!B:B,MacReports!E:E,"")</f>
        <v/>
      </c>
      <c r="R705" s="13" t="str">
        <f>IF(MacReports!M705="Remote Lock","Remote Locked","")</f>
        <v/>
      </c>
    </row>
    <row r="706" spans="6:18">
      <c r="F706" t="str">
        <f>_xlfn.XLOOKUP(B706,MacReports!B:B,MacReports!E:E,"")</f>
        <v/>
      </c>
      <c r="R706" s="13" t="str">
        <f>IF(MacReports!M706="Remote Lock","Remote Locked","")</f>
        <v/>
      </c>
    </row>
    <row r="707" spans="6:18">
      <c r="F707" t="str">
        <f>_xlfn.XLOOKUP(B707,MacReports!B:B,MacReports!E:E,"")</f>
        <v/>
      </c>
      <c r="R707" s="13" t="str">
        <f>IF(MacReports!M707="Remote Lock","Remote Locked","")</f>
        <v/>
      </c>
    </row>
    <row r="708" spans="6:18">
      <c r="F708" t="str">
        <f>_xlfn.XLOOKUP(B708,MacReports!B:B,MacReports!E:E,"")</f>
        <v/>
      </c>
      <c r="R708" s="13" t="str">
        <f>IF(MacReports!M708="Remote Lock","Remote Locked","")</f>
        <v/>
      </c>
    </row>
    <row r="709" spans="6:18">
      <c r="F709" t="str">
        <f>_xlfn.XLOOKUP(B709,MacReports!B:B,MacReports!E:E,"")</f>
        <v/>
      </c>
      <c r="R709" s="13" t="str">
        <f>IF(MacReports!M709="Remote Lock","Remote Locked","")</f>
        <v/>
      </c>
    </row>
    <row r="710" spans="6:18">
      <c r="F710" t="str">
        <f>_xlfn.XLOOKUP(B710,MacReports!B:B,MacReports!E:E,"")</f>
        <v/>
      </c>
      <c r="R710" s="13" t="str">
        <f>IF(MacReports!M710="Remote Lock","Remote Locked","")</f>
        <v/>
      </c>
    </row>
    <row r="711" spans="6:18">
      <c r="F711" t="str">
        <f>_xlfn.XLOOKUP(B711,MacReports!B:B,MacReports!E:E,"")</f>
        <v/>
      </c>
      <c r="R711" s="13" t="str">
        <f>IF(MacReports!M711="Remote Lock","Remote Locked","")</f>
        <v/>
      </c>
    </row>
    <row r="712" spans="6:18">
      <c r="F712" t="str">
        <f>_xlfn.XLOOKUP(B712,MacReports!B:B,MacReports!E:E,"")</f>
        <v/>
      </c>
      <c r="R712" s="13" t="str">
        <f>IF(MacReports!M712="Remote Lock","Remote Locked","")</f>
        <v/>
      </c>
    </row>
    <row r="713" spans="6:18">
      <c r="F713" t="str">
        <f>_xlfn.XLOOKUP(B713,MacReports!B:B,MacReports!E:E,"")</f>
        <v/>
      </c>
      <c r="R713" s="13" t="str">
        <f>IF(MacReports!M713="Remote Lock","Remote Locked","")</f>
        <v/>
      </c>
    </row>
    <row r="714" spans="6:18">
      <c r="F714" t="str">
        <f>_xlfn.XLOOKUP(B714,MacReports!B:B,MacReports!E:E,"")</f>
        <v/>
      </c>
      <c r="R714" s="13" t="str">
        <f>IF(MacReports!M714="Remote Lock","Remote Locked","")</f>
        <v/>
      </c>
    </row>
    <row r="715" spans="6:18">
      <c r="F715" t="str">
        <f>_xlfn.XLOOKUP(B715,MacReports!B:B,MacReports!E:E,"")</f>
        <v/>
      </c>
      <c r="R715" s="13" t="str">
        <f>IF(MacReports!M715="Remote Lock","Remote Locked","")</f>
        <v/>
      </c>
    </row>
    <row r="716" spans="6:18">
      <c r="F716" t="str">
        <f>_xlfn.XLOOKUP(B716,MacReports!B:B,MacReports!E:E,"")</f>
        <v/>
      </c>
      <c r="R716" s="13" t="str">
        <f>IF(MacReports!M716="Remote Lock","Remote Locked","")</f>
        <v/>
      </c>
    </row>
    <row r="717" spans="6:18">
      <c r="F717" t="str">
        <f>_xlfn.XLOOKUP(B717,MacReports!B:B,MacReports!E:E,"")</f>
        <v/>
      </c>
      <c r="R717" s="13" t="str">
        <f>IF(MacReports!M717="Remote Lock","Remote Locked","")</f>
        <v/>
      </c>
    </row>
    <row r="718" spans="6:18">
      <c r="F718" t="str">
        <f>_xlfn.XLOOKUP(B718,MacReports!B:B,MacReports!E:E,"")</f>
        <v/>
      </c>
      <c r="R718" s="13" t="str">
        <f>IF(MacReports!M718="Remote Lock","Remote Locked","")</f>
        <v/>
      </c>
    </row>
    <row r="719" spans="6:18">
      <c r="F719" t="str">
        <f>_xlfn.XLOOKUP(B719,MacReports!B:B,MacReports!E:E,"")</f>
        <v/>
      </c>
      <c r="R719" s="13" t="str">
        <f>IF(MacReports!M719="Remote Lock","Remote Locked","")</f>
        <v/>
      </c>
    </row>
    <row r="720" spans="6:18">
      <c r="F720" t="str">
        <f>_xlfn.XLOOKUP(B720,MacReports!B:B,MacReports!E:E,"")</f>
        <v/>
      </c>
      <c r="R720" s="13" t="str">
        <f>IF(MacReports!M720="Remote Lock","Remote Locked","")</f>
        <v/>
      </c>
    </row>
    <row r="721" spans="6:18">
      <c r="F721" t="str">
        <f>_xlfn.XLOOKUP(B721,MacReports!B:B,MacReports!E:E,"")</f>
        <v/>
      </c>
      <c r="R721" s="13" t="str">
        <f>IF(MacReports!M721="Remote Lock","Remote Locked","")</f>
        <v/>
      </c>
    </row>
    <row r="722" spans="6:18">
      <c r="F722" t="str">
        <f>_xlfn.XLOOKUP(B722,MacReports!B:B,MacReports!E:E,"")</f>
        <v/>
      </c>
      <c r="R722" s="13" t="str">
        <f>IF(MacReports!M722="Remote Lock","Remote Locked","")</f>
        <v/>
      </c>
    </row>
    <row r="723" spans="6:18">
      <c r="F723" t="str">
        <f>_xlfn.XLOOKUP(B723,MacReports!B:B,MacReports!E:E,"")</f>
        <v/>
      </c>
      <c r="R723" s="13" t="str">
        <f>IF(MacReports!M723="Remote Lock","Remote Locked","")</f>
        <v/>
      </c>
    </row>
    <row r="724" spans="6:18">
      <c r="F724" t="str">
        <f>_xlfn.XLOOKUP(B724,MacReports!B:B,MacReports!E:E,"")</f>
        <v/>
      </c>
      <c r="R724" s="13" t="str">
        <f>IF(MacReports!M724="Remote Lock","Remote Locked","")</f>
        <v/>
      </c>
    </row>
    <row r="725" spans="6:18">
      <c r="F725" t="str">
        <f>_xlfn.XLOOKUP(B725,MacReports!B:B,MacReports!E:E,"")</f>
        <v/>
      </c>
      <c r="R725" s="13" t="str">
        <f>IF(MacReports!M725="Remote Lock","Remote Locked","")</f>
        <v/>
      </c>
    </row>
    <row r="726" spans="6:18">
      <c r="F726" t="str">
        <f>_xlfn.XLOOKUP(B726,MacReports!B:B,MacReports!E:E,"")</f>
        <v/>
      </c>
      <c r="R726" s="13" t="str">
        <f>IF(MacReports!M726="Remote Lock","Remote Locked","")</f>
        <v/>
      </c>
    </row>
    <row r="727" spans="6:18">
      <c r="F727" t="str">
        <f>_xlfn.XLOOKUP(B727,MacReports!B:B,MacReports!E:E,"")</f>
        <v/>
      </c>
      <c r="R727" s="13" t="str">
        <f>IF(MacReports!M727="Remote Lock","Remote Locked","")</f>
        <v/>
      </c>
    </row>
    <row r="728" spans="6:18">
      <c r="F728" t="str">
        <f>_xlfn.XLOOKUP(B728,MacReports!B:B,MacReports!E:E,"")</f>
        <v/>
      </c>
      <c r="R728" s="13" t="str">
        <f>IF(MacReports!M728="Remote Lock","Remote Locked","")</f>
        <v/>
      </c>
    </row>
    <row r="729" spans="6:18">
      <c r="F729" t="str">
        <f>_xlfn.XLOOKUP(B729,MacReports!B:B,MacReports!E:E,"")</f>
        <v/>
      </c>
      <c r="R729" s="13" t="str">
        <f>IF(MacReports!M729="Remote Lock","Remote Locked","")</f>
        <v/>
      </c>
    </row>
    <row r="730" spans="6:18">
      <c r="F730" t="str">
        <f>_xlfn.XLOOKUP(B730,MacReports!B:B,MacReports!E:E,"")</f>
        <v/>
      </c>
      <c r="R730" s="13" t="str">
        <f>IF(MacReports!M730="Remote Lock","Remote Locked","")</f>
        <v/>
      </c>
    </row>
    <row r="731" spans="6:18">
      <c r="F731" t="str">
        <f>_xlfn.XLOOKUP(B731,MacReports!B:B,MacReports!E:E,"")</f>
        <v/>
      </c>
      <c r="R731" s="13" t="str">
        <f>IF(MacReports!M731="Remote Lock","Remote Locked","")</f>
        <v/>
      </c>
    </row>
    <row r="732" spans="6:18">
      <c r="F732" t="str">
        <f>_xlfn.XLOOKUP(B732,MacReports!B:B,MacReports!E:E,"")</f>
        <v/>
      </c>
      <c r="R732" s="13" t="str">
        <f>IF(MacReports!M732="Remote Lock","Remote Locked","")</f>
        <v/>
      </c>
    </row>
    <row r="733" spans="6:18">
      <c r="F733" t="str">
        <f>_xlfn.XLOOKUP(B733,MacReports!B:B,MacReports!E:E,"")</f>
        <v/>
      </c>
      <c r="R733" s="13" t="str">
        <f>IF(MacReports!M733="Remote Lock","Remote Locked","")</f>
        <v/>
      </c>
    </row>
    <row r="734" spans="6:18">
      <c r="F734" t="str">
        <f>_xlfn.XLOOKUP(B734,MacReports!B:B,MacReports!E:E,"")</f>
        <v/>
      </c>
      <c r="R734" s="13" t="str">
        <f>IF(MacReports!M734="Remote Lock","Remote Locked","")</f>
        <v/>
      </c>
    </row>
    <row r="735" spans="6:18">
      <c r="F735" t="str">
        <f>_xlfn.XLOOKUP(B735,MacReports!B:B,MacReports!E:E,"")</f>
        <v/>
      </c>
      <c r="R735" s="13" t="str">
        <f>IF(MacReports!M735="Remote Lock","Remote Locked","")</f>
        <v/>
      </c>
    </row>
    <row r="736" spans="6:18">
      <c r="F736" t="str">
        <f>_xlfn.XLOOKUP(B736,MacReports!B:B,MacReports!E:E,"")</f>
        <v/>
      </c>
      <c r="R736" s="13" t="str">
        <f>IF(MacReports!M736="Remote Lock","Remote Locked","")</f>
        <v/>
      </c>
    </row>
    <row r="737" spans="6:18">
      <c r="F737" t="str">
        <f>_xlfn.XLOOKUP(B737,MacReports!B:B,MacReports!E:E,"")</f>
        <v/>
      </c>
      <c r="R737" s="13" t="str">
        <f>IF(MacReports!M737="Remote Lock","Remote Locked","")</f>
        <v/>
      </c>
    </row>
    <row r="738" spans="6:18">
      <c r="F738" t="str">
        <f>_xlfn.XLOOKUP(B738,MacReports!B:B,MacReports!E:E,"")</f>
        <v/>
      </c>
      <c r="R738" s="13" t="str">
        <f>IF(MacReports!M738="Remote Lock","Remote Locked","")</f>
        <v/>
      </c>
    </row>
    <row r="739" spans="6:18">
      <c r="F739" t="str">
        <f>_xlfn.XLOOKUP(B739,MacReports!B:B,MacReports!E:E,"")</f>
        <v/>
      </c>
      <c r="R739" s="13" t="str">
        <f>IF(MacReports!M739="Remote Lock","Remote Locked","")</f>
        <v/>
      </c>
    </row>
    <row r="740" spans="6:18">
      <c r="F740" t="str">
        <f>_xlfn.XLOOKUP(B740,MacReports!B:B,MacReports!E:E,"")</f>
        <v/>
      </c>
      <c r="R740" s="13" t="str">
        <f>IF(MacReports!M740="Remote Lock","Remote Locked","")</f>
        <v/>
      </c>
    </row>
    <row r="741" spans="6:18">
      <c r="F741" t="str">
        <f>_xlfn.XLOOKUP(B741,MacReports!B:B,MacReports!E:E,"")</f>
        <v/>
      </c>
      <c r="R741" s="13" t="str">
        <f>IF(MacReports!M741="Remote Lock","Remote Locked","")</f>
        <v/>
      </c>
    </row>
    <row r="742" spans="6:18">
      <c r="F742" t="str">
        <f>_xlfn.XLOOKUP(B742,MacReports!B:B,MacReports!E:E,"")</f>
        <v/>
      </c>
      <c r="R742" s="13" t="str">
        <f>IF(MacReports!M742="Remote Lock","Remote Locked","")</f>
        <v/>
      </c>
    </row>
    <row r="743" spans="6:18">
      <c r="F743" t="str">
        <f>_xlfn.XLOOKUP(B743,MacReports!B:B,MacReports!E:E,"")</f>
        <v/>
      </c>
      <c r="R743" s="13" t="str">
        <f>IF(MacReports!M743="Remote Lock","Remote Locked","")</f>
        <v/>
      </c>
    </row>
    <row r="744" spans="6:18">
      <c r="F744" t="str">
        <f>_xlfn.XLOOKUP(B744,MacReports!B:B,MacReports!E:E,"")</f>
        <v/>
      </c>
      <c r="R744" s="13" t="str">
        <f>IF(MacReports!M744="Remote Lock","Remote Locked","")</f>
        <v/>
      </c>
    </row>
    <row r="745" spans="6:18">
      <c r="F745" t="str">
        <f>_xlfn.XLOOKUP(B745,MacReports!B:B,MacReports!E:E,"")</f>
        <v/>
      </c>
      <c r="R745" s="13" t="str">
        <f>IF(MacReports!M745="Remote Lock","Remote Locked","")</f>
        <v/>
      </c>
    </row>
    <row r="746" spans="6:18">
      <c r="F746" t="str">
        <f>_xlfn.XLOOKUP(B746,MacReports!B:B,MacReports!E:E,"")</f>
        <v/>
      </c>
      <c r="R746" s="13" t="str">
        <f>IF(MacReports!M746="Remote Lock","Remote Locked","")</f>
        <v/>
      </c>
    </row>
    <row r="747" spans="6:18">
      <c r="F747" t="str">
        <f>_xlfn.XLOOKUP(B747,MacReports!B:B,MacReports!E:E,"")</f>
        <v/>
      </c>
      <c r="R747" s="13" t="str">
        <f>IF(MacReports!M747="Remote Lock","Remote Locked","")</f>
        <v/>
      </c>
    </row>
    <row r="748" spans="6:18">
      <c r="F748" t="str">
        <f>_xlfn.XLOOKUP(B748,MacReports!B:B,MacReports!E:E,"")</f>
        <v/>
      </c>
      <c r="R748" s="13" t="str">
        <f>IF(MacReports!M748="Remote Lock","Remote Locked","")</f>
        <v/>
      </c>
    </row>
    <row r="749" spans="6:18">
      <c r="F749" t="str">
        <f>_xlfn.XLOOKUP(B749,MacReports!B:B,MacReports!E:E,"")</f>
        <v/>
      </c>
      <c r="R749" s="13" t="str">
        <f>IF(MacReports!M749="Remote Lock","Remote Locked","")</f>
        <v/>
      </c>
    </row>
    <row r="750" spans="6:18">
      <c r="F750" t="str">
        <f>_xlfn.XLOOKUP(B750,MacReports!B:B,MacReports!E:E,"")</f>
        <v/>
      </c>
      <c r="R750" s="13" t="str">
        <f>IF(MacReports!M750="Remote Lock","Remote Locked","")</f>
        <v/>
      </c>
    </row>
    <row r="751" spans="6:18">
      <c r="F751" t="str">
        <f>_xlfn.XLOOKUP(B751,MacReports!B:B,MacReports!E:E,"")</f>
        <v/>
      </c>
      <c r="R751" s="13" t="str">
        <f>IF(MacReports!M751="Remote Lock","Remote Locked","")</f>
        <v/>
      </c>
    </row>
    <row r="752" spans="6:18">
      <c r="F752" t="str">
        <f>_xlfn.XLOOKUP(B752,MacReports!B:B,MacReports!E:E,"")</f>
        <v/>
      </c>
      <c r="R752" s="13" t="str">
        <f>IF(MacReports!M752="Remote Lock","Remote Locked","")</f>
        <v/>
      </c>
    </row>
    <row r="753" spans="6:18">
      <c r="F753" t="str">
        <f>_xlfn.XLOOKUP(B753,MacReports!B:B,MacReports!E:E,"")</f>
        <v/>
      </c>
      <c r="R753" s="13" t="str">
        <f>IF(MacReports!M753="Remote Lock","Remote Locked","")</f>
        <v/>
      </c>
    </row>
    <row r="754" spans="6:18">
      <c r="F754" t="str">
        <f>_xlfn.XLOOKUP(B754,MacReports!B:B,MacReports!E:E,"")</f>
        <v/>
      </c>
      <c r="R754" s="13" t="str">
        <f>IF(MacReports!M754="Remote Lock","Remote Locked","")</f>
        <v/>
      </c>
    </row>
    <row r="755" spans="6:18">
      <c r="F755" t="str">
        <f>_xlfn.XLOOKUP(B755,MacReports!B:B,MacReports!E:E,"")</f>
        <v/>
      </c>
      <c r="R755" s="13" t="str">
        <f>IF(MacReports!M755="Remote Lock","Remote Locked","")</f>
        <v/>
      </c>
    </row>
    <row r="756" spans="6:18">
      <c r="F756" t="str">
        <f>_xlfn.XLOOKUP(B756,MacReports!B:B,MacReports!E:E,"")</f>
        <v/>
      </c>
      <c r="R756" s="13" t="str">
        <f>IF(MacReports!M756="Remote Lock","Remote Locked","")</f>
        <v/>
      </c>
    </row>
    <row r="757" spans="6:18">
      <c r="F757" t="str">
        <f>_xlfn.XLOOKUP(B757,MacReports!B:B,MacReports!E:E,"")</f>
        <v/>
      </c>
      <c r="R757" s="13" t="str">
        <f>IF(MacReports!M757="Remote Lock","Remote Locked","")</f>
        <v/>
      </c>
    </row>
    <row r="758" spans="6:18">
      <c r="F758" t="str">
        <f>_xlfn.XLOOKUP(B758,MacReports!B:B,MacReports!E:E,"")</f>
        <v/>
      </c>
      <c r="R758" s="13" t="str">
        <f>IF(MacReports!M758="Remote Lock","Remote Locked","")</f>
        <v/>
      </c>
    </row>
    <row r="759" spans="6:18">
      <c r="F759" t="str">
        <f>_xlfn.XLOOKUP(B759,MacReports!B:B,MacReports!E:E,"")</f>
        <v/>
      </c>
      <c r="R759" s="13" t="str">
        <f>IF(MacReports!M759="Remote Lock","Remote Locked","")</f>
        <v/>
      </c>
    </row>
    <row r="760" spans="6:18">
      <c r="F760" t="str">
        <f>_xlfn.XLOOKUP(B760,MacReports!B:B,MacReports!E:E,"")</f>
        <v/>
      </c>
      <c r="R760" s="13" t="str">
        <f>IF(MacReports!M760="Remote Lock","Remote Locked","")</f>
        <v/>
      </c>
    </row>
    <row r="761" spans="6:18">
      <c r="F761" t="str">
        <f>_xlfn.XLOOKUP(B761,MacReports!B:B,MacReports!E:E,"")</f>
        <v/>
      </c>
      <c r="R761" s="13" t="str">
        <f>IF(MacReports!M761="Remote Lock","Remote Locked","")</f>
        <v/>
      </c>
    </row>
    <row r="762" spans="6:18">
      <c r="F762" t="str">
        <f>_xlfn.XLOOKUP(B762,MacReports!B:B,MacReports!E:E,"")</f>
        <v/>
      </c>
      <c r="R762" s="13" t="str">
        <f>IF(MacReports!M762="Remote Lock","Remote Locked","")</f>
        <v/>
      </c>
    </row>
    <row r="763" spans="6:18">
      <c r="F763" t="str">
        <f>_xlfn.XLOOKUP(B763,MacReports!B:B,MacReports!E:E,"")</f>
        <v/>
      </c>
      <c r="R763" s="13" t="str">
        <f>IF(MacReports!M763="Remote Lock","Remote Locked","")</f>
        <v/>
      </c>
    </row>
    <row r="764" spans="6:18">
      <c r="F764" t="str">
        <f>_xlfn.XLOOKUP(B764,MacReports!B:B,MacReports!E:E,"")</f>
        <v/>
      </c>
      <c r="R764" s="13" t="str">
        <f>IF(MacReports!M764="Remote Lock","Remote Locked","")</f>
        <v/>
      </c>
    </row>
    <row r="765" spans="6:18">
      <c r="F765" t="str">
        <f>_xlfn.XLOOKUP(B765,MacReports!B:B,MacReports!E:E,"")</f>
        <v/>
      </c>
      <c r="R765" s="13" t="str">
        <f>IF(MacReports!M765="Remote Lock","Remote Locked","")</f>
        <v/>
      </c>
    </row>
    <row r="766" spans="6:18">
      <c r="F766" t="str">
        <f>_xlfn.XLOOKUP(B766,MacReports!B:B,MacReports!E:E,"")</f>
        <v/>
      </c>
      <c r="R766" s="13" t="str">
        <f>IF(MacReports!M766="Remote Lock","Remote Locked","")</f>
        <v/>
      </c>
    </row>
    <row r="767" spans="6:18">
      <c r="F767" t="str">
        <f>_xlfn.XLOOKUP(B767,MacReports!B:B,MacReports!E:E,"")</f>
        <v/>
      </c>
      <c r="R767" s="13" t="str">
        <f>IF(MacReports!M767="Remote Lock","Remote Locked","")</f>
        <v/>
      </c>
    </row>
    <row r="768" spans="6:18">
      <c r="F768" t="str">
        <f>_xlfn.XLOOKUP(B768,MacReports!B:B,MacReports!E:E,"")</f>
        <v/>
      </c>
      <c r="R768" s="13" t="str">
        <f>IF(MacReports!M768="Remote Lock","Remote Locked","")</f>
        <v/>
      </c>
    </row>
    <row r="769" spans="6:18">
      <c r="F769" t="str">
        <f>_xlfn.XLOOKUP(B769,MacReports!B:B,MacReports!E:E,"")</f>
        <v/>
      </c>
      <c r="R769" s="13" t="str">
        <f>IF(MacReports!M769="Remote Lock","Remote Locked","")</f>
        <v/>
      </c>
    </row>
    <row r="770" spans="6:18">
      <c r="F770" t="str">
        <f>_xlfn.XLOOKUP(B770,MacReports!B:B,MacReports!E:E,"")</f>
        <v/>
      </c>
      <c r="R770" s="13" t="str">
        <f>IF(MacReports!M770="Remote Lock","Remote Locked","")</f>
        <v/>
      </c>
    </row>
    <row r="771" spans="6:18">
      <c r="F771" t="str">
        <f>_xlfn.XLOOKUP(B771,MacReports!B:B,MacReports!E:E,"")</f>
        <v/>
      </c>
      <c r="R771" s="13" t="str">
        <f>IF(MacReports!M771="Remote Lock","Remote Locked","")</f>
        <v/>
      </c>
    </row>
    <row r="772" spans="6:18">
      <c r="F772" t="str">
        <f>_xlfn.XLOOKUP(B772,MacReports!B:B,MacReports!E:E,"")</f>
        <v/>
      </c>
      <c r="R772" s="13" t="str">
        <f>IF(MacReports!M772="Remote Lock","Remote Locked","")</f>
        <v/>
      </c>
    </row>
    <row r="773" spans="6:18">
      <c r="F773" t="str">
        <f>_xlfn.XLOOKUP(B773,MacReports!B:B,MacReports!E:E,"")</f>
        <v/>
      </c>
      <c r="R773" s="13" t="str">
        <f>IF(MacReports!M773="Remote Lock","Remote Locked","")</f>
        <v/>
      </c>
    </row>
    <row r="774" spans="6:18">
      <c r="F774" t="str">
        <f>_xlfn.XLOOKUP(B774,MacReports!B:B,MacReports!E:E,"")</f>
        <v/>
      </c>
      <c r="R774" s="13" t="str">
        <f>IF(MacReports!M774="Remote Lock","Remote Locked","")</f>
        <v/>
      </c>
    </row>
    <row r="775" spans="6:18">
      <c r="F775" t="str">
        <f>_xlfn.XLOOKUP(B775,MacReports!B:B,MacReports!E:E,"")</f>
        <v/>
      </c>
      <c r="R775" s="13" t="str">
        <f>IF(MacReports!M775="Remote Lock","Remote Locked","")</f>
        <v/>
      </c>
    </row>
    <row r="776" spans="6:18">
      <c r="F776" t="str">
        <f>_xlfn.XLOOKUP(B776,MacReports!B:B,MacReports!E:E,"")</f>
        <v/>
      </c>
      <c r="R776" s="13" t="str">
        <f>IF(MacReports!M776="Remote Lock","Remote Locked","")</f>
        <v/>
      </c>
    </row>
    <row r="777" spans="6:18">
      <c r="F777" t="str">
        <f>_xlfn.XLOOKUP(B777,MacReports!B:B,MacReports!E:E,"")</f>
        <v/>
      </c>
      <c r="R777" s="13" t="str">
        <f>IF(MacReports!M777="Remote Lock","Remote Locked","")</f>
        <v/>
      </c>
    </row>
    <row r="778" spans="6:18">
      <c r="F778" t="str">
        <f>_xlfn.XLOOKUP(B778,MacReports!B:B,MacReports!E:E,"")</f>
        <v/>
      </c>
      <c r="R778" s="13" t="str">
        <f>IF(MacReports!M778="Remote Lock","Remote Locked","")</f>
        <v/>
      </c>
    </row>
    <row r="779" spans="6:18">
      <c r="F779" t="str">
        <f>_xlfn.XLOOKUP(B779,MacReports!B:B,MacReports!E:E,"")</f>
        <v/>
      </c>
      <c r="R779" s="13" t="str">
        <f>IF(MacReports!M779="Remote Lock","Remote Locked","")</f>
        <v/>
      </c>
    </row>
    <row r="780" spans="6:18">
      <c r="F780" t="str">
        <f>_xlfn.XLOOKUP(B780,MacReports!B:B,MacReports!E:E,"")</f>
        <v/>
      </c>
      <c r="R780" s="13" t="str">
        <f>IF(MacReports!M780="Remote Lock","Remote Locked","")</f>
        <v/>
      </c>
    </row>
    <row r="781" spans="6:18">
      <c r="F781" t="str">
        <f>_xlfn.XLOOKUP(B781,MacReports!B:B,MacReports!E:E,"")</f>
        <v/>
      </c>
      <c r="R781" s="13" t="str">
        <f>IF(MacReports!M781="Remote Lock","Remote Locked","")</f>
        <v/>
      </c>
    </row>
    <row r="782" spans="6:18">
      <c r="F782" t="str">
        <f>_xlfn.XLOOKUP(B782,MacReports!B:B,MacReports!E:E,"")</f>
        <v/>
      </c>
      <c r="R782" s="13" t="str">
        <f>IF(MacReports!M782="Remote Lock","Remote Locked","")</f>
        <v/>
      </c>
    </row>
    <row r="783" spans="6:18">
      <c r="F783" t="str">
        <f>_xlfn.XLOOKUP(B783,MacReports!B:B,MacReports!E:E,"")</f>
        <v/>
      </c>
      <c r="R783" s="13" t="str">
        <f>IF(MacReports!M783="Remote Lock","Remote Locked","")</f>
        <v/>
      </c>
    </row>
    <row r="784" spans="6:18">
      <c r="F784" t="str">
        <f>_xlfn.XLOOKUP(B784,MacReports!B:B,MacReports!E:E,"")</f>
        <v/>
      </c>
      <c r="R784" s="13" t="str">
        <f>IF(MacReports!M784="Remote Lock","Remote Locked","")</f>
        <v/>
      </c>
    </row>
    <row r="785" spans="6:18">
      <c r="F785" t="str">
        <f>_xlfn.XLOOKUP(B785,MacReports!B:B,MacReports!E:E,"")</f>
        <v/>
      </c>
      <c r="R785" s="13" t="str">
        <f>IF(MacReports!M785="Remote Lock","Remote Locked","")</f>
        <v/>
      </c>
    </row>
    <row r="786" spans="6:18">
      <c r="F786" t="str">
        <f>_xlfn.XLOOKUP(B786,MacReports!B:B,MacReports!E:E,"")</f>
        <v/>
      </c>
      <c r="R786" s="13" t="str">
        <f>IF(MacReports!M786="Remote Lock","Remote Locked","")</f>
        <v/>
      </c>
    </row>
    <row r="787" spans="6:18">
      <c r="F787" t="str">
        <f>_xlfn.XLOOKUP(B787,MacReports!B:B,MacReports!E:E,"")</f>
        <v/>
      </c>
      <c r="R787" s="13" t="str">
        <f>IF(MacReports!M787="Remote Lock","Remote Locked","")</f>
        <v/>
      </c>
    </row>
    <row r="788" spans="6:18">
      <c r="F788" t="str">
        <f>_xlfn.XLOOKUP(B788,MacReports!B:B,MacReports!E:E,"")</f>
        <v/>
      </c>
      <c r="R788" s="13" t="str">
        <f>IF(MacReports!M788="Remote Lock","Remote Locked","")</f>
        <v/>
      </c>
    </row>
    <row r="789" spans="6:18">
      <c r="F789" t="str">
        <f>_xlfn.XLOOKUP(B789,MacReports!B:B,MacReports!E:E,"")</f>
        <v/>
      </c>
      <c r="R789" s="13" t="str">
        <f>IF(MacReports!M789="Remote Lock","Remote Locked","")</f>
        <v/>
      </c>
    </row>
    <row r="790" spans="6:18">
      <c r="F790" t="str">
        <f>_xlfn.XLOOKUP(B790,MacReports!B:B,MacReports!E:E,"")</f>
        <v/>
      </c>
      <c r="R790" s="13" t="str">
        <f>IF(MacReports!M790="Remote Lock","Remote Locked","")</f>
        <v/>
      </c>
    </row>
    <row r="791" spans="6:18">
      <c r="F791" t="str">
        <f>_xlfn.XLOOKUP(B791,MacReports!B:B,MacReports!E:E,"")</f>
        <v/>
      </c>
      <c r="R791" s="13" t="str">
        <f>IF(MacReports!M791="Remote Lock","Remote Locked","")</f>
        <v/>
      </c>
    </row>
    <row r="792" spans="6:18">
      <c r="F792" t="str">
        <f>_xlfn.XLOOKUP(B792,MacReports!B:B,MacReports!E:E,"")</f>
        <v/>
      </c>
      <c r="R792" s="13" t="str">
        <f>IF(MacReports!M792="Remote Lock","Remote Locked","")</f>
        <v/>
      </c>
    </row>
    <row r="793" spans="6:18">
      <c r="F793" t="str">
        <f>_xlfn.XLOOKUP(B793,MacReports!B:B,MacReports!E:E,"")</f>
        <v/>
      </c>
      <c r="R793" s="13" t="str">
        <f>IF(MacReports!M793="Remote Lock","Remote Locked","")</f>
        <v/>
      </c>
    </row>
    <row r="794" spans="6:18">
      <c r="F794" t="str">
        <f>_xlfn.XLOOKUP(B794,MacReports!B:B,MacReports!E:E,"")</f>
        <v/>
      </c>
      <c r="R794" s="13" t="str">
        <f>IF(MacReports!M794="Remote Lock","Remote Locked","")</f>
        <v/>
      </c>
    </row>
    <row r="795" spans="6:18">
      <c r="F795" t="str">
        <f>_xlfn.XLOOKUP(B795,MacReports!B:B,MacReports!E:E,"")</f>
        <v/>
      </c>
      <c r="R795" s="13" t="str">
        <f>IF(MacReports!M795="Remote Lock","Remote Locked","")</f>
        <v/>
      </c>
    </row>
    <row r="796" spans="6:18">
      <c r="F796" t="str">
        <f>_xlfn.XLOOKUP(B796,MacReports!B:B,MacReports!E:E,"")</f>
        <v/>
      </c>
      <c r="R796" s="13" t="str">
        <f>IF(MacReports!M796="Remote Lock","Remote Locked","")</f>
        <v/>
      </c>
    </row>
    <row r="797" spans="6:18">
      <c r="F797" t="str">
        <f>_xlfn.XLOOKUP(B797,MacReports!B:B,MacReports!E:E,"")</f>
        <v/>
      </c>
      <c r="R797" s="13" t="str">
        <f>IF(MacReports!M797="Remote Lock","Remote Locked","")</f>
        <v/>
      </c>
    </row>
    <row r="798" spans="6:18">
      <c r="F798" t="str">
        <f>_xlfn.XLOOKUP(B798,MacReports!B:B,MacReports!E:E,"")</f>
        <v/>
      </c>
      <c r="R798" s="13" t="str">
        <f>IF(MacReports!M798="Remote Lock","Remote Locked","")</f>
        <v/>
      </c>
    </row>
    <row r="799" spans="6:18">
      <c r="F799" t="str">
        <f>_xlfn.XLOOKUP(B799,MacReports!B:B,MacReports!E:E,"")</f>
        <v/>
      </c>
      <c r="R799" s="13" t="str">
        <f>IF(MacReports!M799="Remote Lock","Remote Locked","")</f>
        <v/>
      </c>
    </row>
    <row r="800" spans="6:18">
      <c r="F800" t="str">
        <f>_xlfn.XLOOKUP(B800,MacReports!B:B,MacReports!E:E,"")</f>
        <v/>
      </c>
      <c r="R800" s="13" t="str">
        <f>IF(MacReports!M800="Remote Lock","Remote Locked","")</f>
        <v/>
      </c>
    </row>
    <row r="801" spans="6:18">
      <c r="F801" t="str">
        <f>_xlfn.XLOOKUP(B801,MacReports!B:B,MacReports!E:E,"")</f>
        <v/>
      </c>
      <c r="R801" s="13" t="str">
        <f>IF(MacReports!M801="Remote Lock","Remote Locked","")</f>
        <v/>
      </c>
    </row>
    <row r="802" spans="6:18">
      <c r="F802" t="str">
        <f>_xlfn.XLOOKUP(B802,MacReports!B:B,MacReports!E:E,"")</f>
        <v/>
      </c>
      <c r="R802" s="13" t="str">
        <f>IF(MacReports!M802="Remote Lock","Remote Locked","")</f>
        <v/>
      </c>
    </row>
    <row r="803" spans="6:18">
      <c r="F803" t="str">
        <f>_xlfn.XLOOKUP(B803,MacReports!B:B,MacReports!E:E,"")</f>
        <v/>
      </c>
      <c r="R803" s="13" t="str">
        <f>IF(MacReports!M803="Remote Lock","Remote Locked","")</f>
        <v/>
      </c>
    </row>
    <row r="804" spans="6:18">
      <c r="F804" t="str">
        <f>_xlfn.XLOOKUP(B804,MacReports!B:B,MacReports!E:E,"")</f>
        <v/>
      </c>
      <c r="R804" s="13" t="str">
        <f>IF(MacReports!M804="Remote Lock","Remote Locked","")</f>
        <v/>
      </c>
    </row>
    <row r="805" spans="6:18">
      <c r="F805" t="str">
        <f>_xlfn.XLOOKUP(B805,MacReports!B:B,MacReports!E:E,"")</f>
        <v/>
      </c>
    </row>
    <row r="806" spans="6:18">
      <c r="F806" t="str">
        <f>_xlfn.XLOOKUP(B806,MacReports!B:B,MacReports!E:E,"")</f>
        <v/>
      </c>
    </row>
    <row r="807" spans="6:18">
      <c r="F807" t="str">
        <f>_xlfn.XLOOKUP(B807,MacReports!B:B,MacReports!E:E,"")</f>
        <v/>
      </c>
    </row>
    <row r="808" spans="6:18">
      <c r="F808" t="str">
        <f>_xlfn.XLOOKUP(B808,MacReports!B:B,MacReports!E:E,"")</f>
        <v/>
      </c>
    </row>
    <row r="809" spans="6:18">
      <c r="F809" t="str">
        <f>_xlfn.XLOOKUP(B809,MacReports!B:B,MacReports!E:E,"")</f>
        <v/>
      </c>
    </row>
    <row r="810" spans="6:18">
      <c r="F810" t="str">
        <f>_xlfn.XLOOKUP(B810,MacReports!B:B,MacReports!E:E,"")</f>
        <v/>
      </c>
    </row>
    <row r="811" spans="6:18">
      <c r="F811" t="str">
        <f>_xlfn.XLOOKUP(B811,MacReports!B:B,MacReports!E:E,"")</f>
        <v/>
      </c>
    </row>
    <row r="812" spans="6:18">
      <c r="F812" t="str">
        <f>_xlfn.XLOOKUP(B812,MacReports!B:B,MacReports!E:E,"")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J605"/>
  <sheetViews>
    <sheetView tabSelected="1" workbookViewId="0">
      <selection activeCell="B26" sqref="B26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9" customWidth="1"/>
    <col min="8" max="8" width="23.5703125" style="19" customWidth="1"/>
    <col min="9" max="9" width="15.140625" customWidth="1"/>
  </cols>
  <sheetData>
    <row r="1" spans="1:10" ht="15.75" thickBot="1">
      <c r="A1" s="23" t="s">
        <v>66</v>
      </c>
      <c r="B1" s="23" t="s">
        <v>67</v>
      </c>
      <c r="C1" s="23" t="s">
        <v>2</v>
      </c>
      <c r="D1" s="24" t="s">
        <v>68</v>
      </c>
      <c r="E1" s="25" t="s">
        <v>69</v>
      </c>
      <c r="F1" s="25" t="s">
        <v>70</v>
      </c>
      <c r="G1" s="26" t="s">
        <v>2</v>
      </c>
      <c r="H1" s="26" t="s">
        <v>277</v>
      </c>
    </row>
    <row r="2" spans="1:10" ht="15.75" thickBot="1">
      <c r="A2" s="20" t="s">
        <v>71</v>
      </c>
      <c r="B2" s="20" t="s">
        <v>502</v>
      </c>
      <c r="C2" s="20" t="s">
        <v>42</v>
      </c>
      <c r="D2" s="21">
        <v>2019</v>
      </c>
      <c r="E2" s="22" t="s">
        <v>544</v>
      </c>
      <c r="F2" s="22">
        <v>2</v>
      </c>
      <c r="G2" s="19" t="s">
        <v>42</v>
      </c>
      <c r="H2" s="19" t="s">
        <v>42</v>
      </c>
      <c r="I2" t="s">
        <v>42</v>
      </c>
      <c r="J2">
        <v>2</v>
      </c>
    </row>
    <row r="3" spans="1:10" ht="15.75" thickBot="1">
      <c r="A3" s="5" t="s">
        <v>72</v>
      </c>
      <c r="B3" s="5" t="s">
        <v>503</v>
      </c>
      <c r="C3" s="5" t="s">
        <v>42</v>
      </c>
      <c r="D3" s="8">
        <v>2020</v>
      </c>
      <c r="E3" s="9" t="s">
        <v>545</v>
      </c>
      <c r="F3" s="9">
        <v>1.4</v>
      </c>
      <c r="G3" s="19" t="s">
        <v>42</v>
      </c>
      <c r="H3" s="19" t="s">
        <v>41</v>
      </c>
      <c r="I3" t="s">
        <v>559</v>
      </c>
      <c r="J3">
        <v>6</v>
      </c>
    </row>
    <row r="4" spans="1:10" ht="15.75" thickBot="1">
      <c r="A4" s="5" t="s">
        <v>48</v>
      </c>
      <c r="B4" s="5" t="s">
        <v>504</v>
      </c>
      <c r="C4" s="5" t="s">
        <v>42</v>
      </c>
      <c r="D4" s="8">
        <v>2020</v>
      </c>
      <c r="E4" s="9" t="s">
        <v>546</v>
      </c>
      <c r="F4" s="9">
        <v>1.4</v>
      </c>
      <c r="G4" s="19" t="s">
        <v>42</v>
      </c>
      <c r="H4" s="19" t="s">
        <v>278</v>
      </c>
      <c r="I4" t="s">
        <v>560</v>
      </c>
      <c r="J4">
        <v>9</v>
      </c>
    </row>
    <row r="5" spans="1:10" ht="15.75" thickBot="1">
      <c r="A5" s="5" t="s">
        <v>73</v>
      </c>
      <c r="B5" s="5" t="s">
        <v>502</v>
      </c>
      <c r="C5" s="5" t="s">
        <v>42</v>
      </c>
      <c r="D5" s="8">
        <v>2019</v>
      </c>
      <c r="E5" s="9" t="s">
        <v>544</v>
      </c>
      <c r="F5" s="9">
        <v>2</v>
      </c>
      <c r="G5" s="19" t="s">
        <v>271</v>
      </c>
      <c r="H5" s="19" t="s">
        <v>271</v>
      </c>
      <c r="I5" t="s">
        <v>561</v>
      </c>
      <c r="J5">
        <v>15</v>
      </c>
    </row>
    <row r="6" spans="1:10" ht="15.75" thickBot="1">
      <c r="A6" s="5" t="s">
        <v>74</v>
      </c>
      <c r="B6" s="5" t="s">
        <v>505</v>
      </c>
      <c r="C6" s="5" t="s">
        <v>42</v>
      </c>
      <c r="D6" s="8">
        <v>2019</v>
      </c>
      <c r="E6" s="9" t="s">
        <v>546</v>
      </c>
      <c r="F6" s="9">
        <v>1.4</v>
      </c>
      <c r="G6" s="19" t="s">
        <v>271</v>
      </c>
      <c r="H6" s="19" t="s">
        <v>279</v>
      </c>
      <c r="I6" t="s">
        <v>562</v>
      </c>
      <c r="J6">
        <v>1.5</v>
      </c>
    </row>
    <row r="7" spans="1:10" ht="15.75" thickBot="1">
      <c r="A7" s="5" t="s">
        <v>75</v>
      </c>
      <c r="B7" s="5" t="s">
        <v>506</v>
      </c>
      <c r="C7" s="5" t="s">
        <v>42</v>
      </c>
      <c r="D7" s="8">
        <v>2019</v>
      </c>
      <c r="E7" s="9" t="s">
        <v>547</v>
      </c>
      <c r="F7" s="9">
        <v>1.8</v>
      </c>
      <c r="I7" t="s">
        <v>563</v>
      </c>
      <c r="J7">
        <v>9</v>
      </c>
    </row>
    <row r="8" spans="1:10" ht="15.75" thickBot="1">
      <c r="A8" s="5" t="s">
        <v>76</v>
      </c>
      <c r="B8" s="5" t="s">
        <v>507</v>
      </c>
      <c r="C8" s="5" t="s">
        <v>42</v>
      </c>
      <c r="D8" s="8">
        <v>2018</v>
      </c>
      <c r="E8" s="9" t="s">
        <v>546</v>
      </c>
      <c r="F8" s="9">
        <v>1.4</v>
      </c>
      <c r="I8" t="s">
        <v>564</v>
      </c>
      <c r="J8">
        <v>5.5</v>
      </c>
    </row>
    <row r="9" spans="1:10" ht="15.75" thickBot="1">
      <c r="A9" s="5" t="s">
        <v>76</v>
      </c>
      <c r="B9" s="5" t="s">
        <v>507</v>
      </c>
      <c r="C9" s="5" t="s">
        <v>42</v>
      </c>
      <c r="D9" s="8">
        <v>2018</v>
      </c>
      <c r="E9" s="9" t="s">
        <v>546</v>
      </c>
      <c r="F9" s="9">
        <v>1.4</v>
      </c>
      <c r="I9" t="s">
        <v>565</v>
      </c>
      <c r="J9">
        <v>8</v>
      </c>
    </row>
    <row r="10" spans="1:10" ht="15.75" thickBot="1">
      <c r="A10" s="5" t="s">
        <v>76</v>
      </c>
      <c r="B10" s="5" t="s">
        <v>507</v>
      </c>
      <c r="C10" s="5" t="s">
        <v>42</v>
      </c>
      <c r="D10" s="8">
        <v>2019</v>
      </c>
      <c r="E10" s="9" t="s">
        <v>546</v>
      </c>
      <c r="F10" s="9">
        <v>1.4</v>
      </c>
      <c r="I10" t="s">
        <v>566</v>
      </c>
      <c r="J10">
        <v>6</v>
      </c>
    </row>
    <row r="11" spans="1:10" ht="15.75" thickBot="1">
      <c r="A11" s="5" t="s">
        <v>76</v>
      </c>
      <c r="B11" s="5" t="s">
        <v>507</v>
      </c>
      <c r="C11" s="5" t="s">
        <v>42</v>
      </c>
      <c r="D11" s="8">
        <v>2019</v>
      </c>
      <c r="E11" s="9" t="s">
        <v>546</v>
      </c>
      <c r="F11" s="9">
        <v>1.4</v>
      </c>
      <c r="I11" t="s">
        <v>567</v>
      </c>
      <c r="J11">
        <v>0.2</v>
      </c>
    </row>
    <row r="12" spans="1:10" ht="15.75" thickBot="1">
      <c r="A12" s="5" t="s">
        <v>77</v>
      </c>
      <c r="B12" s="5" t="s">
        <v>506</v>
      </c>
      <c r="C12" s="5" t="s">
        <v>42</v>
      </c>
      <c r="D12" s="8">
        <v>2018</v>
      </c>
      <c r="E12" s="9" t="s">
        <v>547</v>
      </c>
      <c r="F12" s="9">
        <v>1.8</v>
      </c>
      <c r="I12" t="s">
        <v>568</v>
      </c>
      <c r="J12">
        <v>0.1</v>
      </c>
    </row>
    <row r="13" spans="1:10" ht="15.75" thickBot="1">
      <c r="A13" s="5" t="s">
        <v>77</v>
      </c>
      <c r="B13" s="5" t="s">
        <v>506</v>
      </c>
      <c r="C13" s="5" t="s">
        <v>42</v>
      </c>
      <c r="D13" s="8">
        <v>2018</v>
      </c>
      <c r="E13" s="9" t="s">
        <v>547</v>
      </c>
      <c r="F13" s="9">
        <v>1.8</v>
      </c>
      <c r="I13" t="s">
        <v>569</v>
      </c>
      <c r="J13">
        <v>0.1</v>
      </c>
    </row>
    <row r="14" spans="1:10" ht="15.75" thickBot="1">
      <c r="A14" s="5" t="s">
        <v>77</v>
      </c>
      <c r="B14" s="5" t="s">
        <v>506</v>
      </c>
      <c r="C14" s="5" t="s">
        <v>42</v>
      </c>
      <c r="D14" s="8">
        <v>2018</v>
      </c>
      <c r="E14" s="9" t="s">
        <v>547</v>
      </c>
      <c r="F14" s="9">
        <v>1.8</v>
      </c>
      <c r="I14" t="s">
        <v>570</v>
      </c>
      <c r="J14">
        <v>8</v>
      </c>
    </row>
    <row r="15" spans="1:10" ht="15.75" thickBot="1">
      <c r="A15" s="5" t="s">
        <v>77</v>
      </c>
      <c r="B15" s="5" t="s">
        <v>506</v>
      </c>
      <c r="C15" s="5" t="s">
        <v>42</v>
      </c>
      <c r="D15" s="8">
        <v>2019</v>
      </c>
      <c r="E15" s="9" t="s">
        <v>547</v>
      </c>
      <c r="F15" s="9">
        <v>1.8</v>
      </c>
      <c r="I15" t="s">
        <v>571</v>
      </c>
      <c r="J15">
        <v>8</v>
      </c>
    </row>
    <row r="16" spans="1:10" ht="15.75" thickBot="1">
      <c r="A16" s="5" t="s">
        <v>77</v>
      </c>
      <c r="B16" s="5" t="s">
        <v>506</v>
      </c>
      <c r="C16" s="5" t="s">
        <v>42</v>
      </c>
      <c r="D16" s="8">
        <v>2019</v>
      </c>
      <c r="E16" s="9" t="s">
        <v>547</v>
      </c>
      <c r="F16" s="9">
        <v>1.8</v>
      </c>
      <c r="I16" t="s">
        <v>572</v>
      </c>
      <c r="J16">
        <v>1.5</v>
      </c>
    </row>
    <row r="17" spans="1:10" ht="15.75" thickBot="1">
      <c r="A17" s="5" t="s">
        <v>77</v>
      </c>
      <c r="B17" s="5" t="s">
        <v>506</v>
      </c>
      <c r="C17" s="5" t="s">
        <v>42</v>
      </c>
      <c r="D17" s="8">
        <v>2019</v>
      </c>
      <c r="E17" s="9" t="s">
        <v>547</v>
      </c>
      <c r="F17" s="9">
        <v>1.8</v>
      </c>
      <c r="I17" t="s">
        <v>573</v>
      </c>
      <c r="J17">
        <v>4.5</v>
      </c>
    </row>
    <row r="18" spans="1:10" ht="15.75" thickBot="1">
      <c r="A18" s="5" t="s">
        <v>78</v>
      </c>
      <c r="B18" s="5" t="s">
        <v>508</v>
      </c>
      <c r="C18" s="5" t="s">
        <v>42</v>
      </c>
      <c r="D18" s="8">
        <v>2017</v>
      </c>
      <c r="E18" s="9" t="s">
        <v>547</v>
      </c>
      <c r="F18" s="9">
        <v>1.8</v>
      </c>
      <c r="I18" t="s">
        <v>574</v>
      </c>
      <c r="J18">
        <v>0.5</v>
      </c>
    </row>
    <row r="19" spans="1:10" ht="15.75" thickBot="1">
      <c r="A19" s="5" t="s">
        <v>79</v>
      </c>
      <c r="B19" s="5" t="s">
        <v>509</v>
      </c>
      <c r="C19" s="5" t="s">
        <v>42</v>
      </c>
      <c r="D19" s="8">
        <v>2017</v>
      </c>
      <c r="E19" s="9" t="s">
        <v>546</v>
      </c>
      <c r="F19" s="9">
        <v>1.4</v>
      </c>
      <c r="I19" t="s">
        <v>575</v>
      </c>
      <c r="J19">
        <v>0.3</v>
      </c>
    </row>
    <row r="20" spans="1:10" ht="15.75" thickBot="1">
      <c r="A20" s="5" t="s">
        <v>80</v>
      </c>
      <c r="B20" s="5" t="s">
        <v>510</v>
      </c>
      <c r="C20" s="5" t="s">
        <v>42</v>
      </c>
      <c r="D20" s="8">
        <v>2017</v>
      </c>
      <c r="E20" s="9" t="s">
        <v>546</v>
      </c>
      <c r="F20" s="9">
        <v>1.4</v>
      </c>
      <c r="I20" t="s">
        <v>576</v>
      </c>
      <c r="J20">
        <v>0.2</v>
      </c>
    </row>
    <row r="21" spans="1:10" ht="15.75" thickBot="1">
      <c r="A21" s="5" t="s">
        <v>81</v>
      </c>
      <c r="B21" s="5" t="s">
        <v>508</v>
      </c>
      <c r="C21" s="5" t="s">
        <v>42</v>
      </c>
      <c r="D21" s="8">
        <v>2016</v>
      </c>
      <c r="E21" s="9" t="s">
        <v>547</v>
      </c>
      <c r="F21" s="9">
        <v>1.8</v>
      </c>
      <c r="I21" t="s">
        <v>577</v>
      </c>
      <c r="J21">
        <v>0.8</v>
      </c>
    </row>
    <row r="22" spans="1:10" ht="15.75" thickBot="1">
      <c r="A22" s="5" t="s">
        <v>82</v>
      </c>
      <c r="B22" s="5" t="s">
        <v>509</v>
      </c>
      <c r="C22" s="5" t="s">
        <v>42</v>
      </c>
      <c r="D22" s="8">
        <v>2016</v>
      </c>
      <c r="E22" s="9" t="s">
        <v>546</v>
      </c>
      <c r="F22" s="9">
        <v>1.4</v>
      </c>
      <c r="I22" t="s">
        <v>578</v>
      </c>
      <c r="J22">
        <v>0.1</v>
      </c>
    </row>
    <row r="23" spans="1:10" ht="15.75" thickBot="1">
      <c r="A23" s="5" t="s">
        <v>83</v>
      </c>
      <c r="B23" s="5" t="s">
        <v>510</v>
      </c>
      <c r="C23" s="5" t="s">
        <v>42</v>
      </c>
      <c r="D23" s="8">
        <v>2016</v>
      </c>
      <c r="E23" s="9" t="s">
        <v>546</v>
      </c>
      <c r="F23" s="9">
        <v>1.4</v>
      </c>
      <c r="I23" t="s">
        <v>579</v>
      </c>
      <c r="J23">
        <v>1</v>
      </c>
    </row>
    <row r="24" spans="1:10" ht="15.75" thickBot="1">
      <c r="A24" s="5" t="s">
        <v>84</v>
      </c>
      <c r="B24" s="5" t="s">
        <v>511</v>
      </c>
      <c r="C24" s="5" t="s">
        <v>42</v>
      </c>
      <c r="D24" s="8">
        <v>2015</v>
      </c>
      <c r="E24" s="9" t="s">
        <v>546</v>
      </c>
      <c r="F24" s="9">
        <v>1.4</v>
      </c>
      <c r="I24" t="s">
        <v>580</v>
      </c>
      <c r="J24">
        <v>15</v>
      </c>
    </row>
    <row r="25" spans="1:10" ht="15.75" thickBot="1">
      <c r="A25" s="5" t="s">
        <v>85</v>
      </c>
      <c r="B25" s="5" t="s">
        <v>512</v>
      </c>
      <c r="C25" s="5" t="s">
        <v>42</v>
      </c>
      <c r="D25" s="8">
        <v>2015</v>
      </c>
      <c r="E25" s="9" t="s">
        <v>547</v>
      </c>
      <c r="F25" s="9">
        <v>1.8</v>
      </c>
      <c r="I25" t="s">
        <v>581</v>
      </c>
      <c r="J25">
        <v>0.5</v>
      </c>
    </row>
    <row r="26" spans="1:10" ht="15.75" thickBot="1">
      <c r="A26" s="5" t="s">
        <v>86</v>
      </c>
      <c r="B26" s="5" t="s">
        <v>512</v>
      </c>
      <c r="C26" s="5" t="s">
        <v>42</v>
      </c>
      <c r="D26" s="8">
        <v>2015</v>
      </c>
      <c r="E26" s="9" t="s">
        <v>547</v>
      </c>
      <c r="F26" s="9">
        <v>1.8</v>
      </c>
      <c r="I26" t="s">
        <v>582</v>
      </c>
      <c r="J26">
        <v>0.5</v>
      </c>
    </row>
    <row r="27" spans="1:10" ht="15.75" thickBot="1">
      <c r="A27" s="5" t="s">
        <v>87</v>
      </c>
      <c r="B27" s="5" t="s">
        <v>512</v>
      </c>
      <c r="C27" s="5" t="s">
        <v>42</v>
      </c>
      <c r="D27" s="9">
        <v>2014</v>
      </c>
      <c r="E27" s="9" t="s">
        <v>547</v>
      </c>
      <c r="F27" s="9">
        <v>1.8</v>
      </c>
      <c r="I27" t="s">
        <v>583</v>
      </c>
      <c r="J27">
        <v>4.5</v>
      </c>
    </row>
    <row r="28" spans="1:10" ht="15.75" thickBot="1">
      <c r="A28" s="5" t="s">
        <v>87</v>
      </c>
      <c r="B28" s="5" t="s">
        <v>512</v>
      </c>
      <c r="C28" s="5" t="s">
        <v>42</v>
      </c>
      <c r="D28" s="9">
        <v>2014</v>
      </c>
      <c r="E28" s="9" t="s">
        <v>547</v>
      </c>
      <c r="F28" s="9">
        <v>1.8</v>
      </c>
      <c r="I28" t="s">
        <v>584</v>
      </c>
    </row>
    <row r="29" spans="1:10" ht="15.75" thickBot="1">
      <c r="A29" s="5" t="s">
        <v>87</v>
      </c>
      <c r="B29" s="5" t="s">
        <v>512</v>
      </c>
      <c r="C29" s="5" t="s">
        <v>42</v>
      </c>
      <c r="D29" s="9">
        <v>2013</v>
      </c>
      <c r="E29" s="9" t="s">
        <v>547</v>
      </c>
      <c r="F29" s="9">
        <v>1.8</v>
      </c>
      <c r="I29" t="s">
        <v>585</v>
      </c>
      <c r="J29">
        <v>0.1</v>
      </c>
    </row>
    <row r="30" spans="1:10" ht="15.75" thickBot="1">
      <c r="A30" s="5" t="s">
        <v>88</v>
      </c>
      <c r="B30" s="5" t="s">
        <v>512</v>
      </c>
      <c r="C30" s="5" t="s">
        <v>42</v>
      </c>
      <c r="D30" s="9">
        <v>2014</v>
      </c>
      <c r="E30" s="9" t="s">
        <v>547</v>
      </c>
      <c r="F30" s="9">
        <v>2</v>
      </c>
      <c r="I30" t="s">
        <v>586</v>
      </c>
      <c r="J30">
        <v>0.1</v>
      </c>
    </row>
    <row r="31" spans="1:10" ht="15.75" thickBot="1">
      <c r="A31" s="5" t="s">
        <v>87</v>
      </c>
      <c r="B31" s="5" t="s">
        <v>512</v>
      </c>
      <c r="C31" s="5" t="s">
        <v>42</v>
      </c>
      <c r="D31" s="9">
        <v>2013</v>
      </c>
      <c r="E31" s="9" t="s">
        <v>547</v>
      </c>
      <c r="F31" s="9">
        <v>1.8</v>
      </c>
      <c r="I31" t="s">
        <v>587</v>
      </c>
      <c r="J31">
        <v>0.1</v>
      </c>
    </row>
    <row r="32" spans="1:10" ht="15.75" thickBot="1">
      <c r="A32" s="5" t="s">
        <v>89</v>
      </c>
      <c r="B32" s="5" t="s">
        <v>513</v>
      </c>
      <c r="C32" s="5" t="s">
        <v>42</v>
      </c>
      <c r="D32" s="9">
        <v>2020</v>
      </c>
      <c r="E32" s="9" t="s">
        <v>546</v>
      </c>
      <c r="F32" s="9">
        <v>1.4</v>
      </c>
    </row>
    <row r="33" spans="1:6" ht="15.75" thickBot="1">
      <c r="A33" s="5" t="s">
        <v>90</v>
      </c>
      <c r="B33" s="5" t="s">
        <v>514</v>
      </c>
      <c r="C33" s="5" t="s">
        <v>42</v>
      </c>
      <c r="D33" s="9">
        <v>2021</v>
      </c>
      <c r="E33" s="9" t="s">
        <v>544</v>
      </c>
      <c r="F33" s="9">
        <v>1.6</v>
      </c>
    </row>
    <row r="34" spans="1:6" ht="15.75" thickBot="1">
      <c r="A34" s="5" t="s">
        <v>91</v>
      </c>
      <c r="B34" s="5" t="s">
        <v>515</v>
      </c>
      <c r="C34" s="5" t="s">
        <v>42</v>
      </c>
      <c r="D34" s="9">
        <v>2021</v>
      </c>
      <c r="E34" s="9" t="s">
        <v>548</v>
      </c>
      <c r="F34" s="9">
        <v>1.6</v>
      </c>
    </row>
    <row r="35" spans="1:6" ht="15.75" thickBot="1">
      <c r="A35" s="5" t="s">
        <v>92</v>
      </c>
      <c r="B35" s="5" t="s">
        <v>515</v>
      </c>
      <c r="C35" s="5" t="s">
        <v>42</v>
      </c>
      <c r="D35" s="9">
        <v>2021</v>
      </c>
      <c r="E35" s="9" t="s">
        <v>548</v>
      </c>
      <c r="F35" s="9">
        <v>1.6</v>
      </c>
    </row>
    <row r="36" spans="1:6" ht="15.75" thickBot="1">
      <c r="A36" s="5" t="s">
        <v>93</v>
      </c>
      <c r="B36" s="7" t="s">
        <v>514</v>
      </c>
      <c r="C36" s="5" t="s">
        <v>42</v>
      </c>
      <c r="D36" s="9">
        <v>2021</v>
      </c>
      <c r="E36" s="9" t="s">
        <v>544</v>
      </c>
      <c r="F36" s="9">
        <v>2</v>
      </c>
    </row>
    <row r="37" spans="1:6" ht="15.75" thickBot="1">
      <c r="A37" s="5" t="s">
        <v>93</v>
      </c>
      <c r="B37" s="7" t="s">
        <v>514</v>
      </c>
      <c r="C37" s="5" t="s">
        <v>42</v>
      </c>
      <c r="D37" s="9">
        <v>2021</v>
      </c>
      <c r="E37" s="9" t="s">
        <v>544</v>
      </c>
      <c r="F37" s="9">
        <v>2</v>
      </c>
    </row>
    <row r="38" spans="1:6" ht="15.75" thickBot="1">
      <c r="A38" s="7" t="s">
        <v>94</v>
      </c>
      <c r="B38" s="5" t="s">
        <v>513</v>
      </c>
      <c r="C38" s="5" t="s">
        <v>42</v>
      </c>
      <c r="D38" s="9">
        <v>2022</v>
      </c>
      <c r="E38" s="9" t="s">
        <v>546</v>
      </c>
      <c r="F38" s="9">
        <v>1.4</v>
      </c>
    </row>
    <row r="39" spans="1:6" ht="15.75" thickBot="1">
      <c r="A39" s="7" t="s">
        <v>95</v>
      </c>
      <c r="B39" s="7" t="s">
        <v>516</v>
      </c>
      <c r="C39" s="5" t="s">
        <v>42</v>
      </c>
      <c r="D39" s="9">
        <v>2023</v>
      </c>
      <c r="E39" s="9" t="s">
        <v>548</v>
      </c>
      <c r="F39" s="9">
        <v>1.6</v>
      </c>
    </row>
    <row r="40" spans="1:6" ht="15.75" thickBot="1">
      <c r="A40" s="7" t="s">
        <v>96</v>
      </c>
      <c r="B40" s="7" t="s">
        <v>516</v>
      </c>
      <c r="C40" s="5" t="s">
        <v>42</v>
      </c>
      <c r="D40" s="9">
        <v>2023</v>
      </c>
      <c r="E40" s="9" t="s">
        <v>548</v>
      </c>
      <c r="F40" s="9">
        <v>1.6</v>
      </c>
    </row>
    <row r="41" spans="1:6" ht="15.75" thickBot="1">
      <c r="A41" s="7" t="s">
        <v>97</v>
      </c>
      <c r="B41" s="7" t="s">
        <v>517</v>
      </c>
      <c r="C41" s="5" t="s">
        <v>42</v>
      </c>
      <c r="D41" s="9">
        <v>2023</v>
      </c>
      <c r="E41" s="9" t="s">
        <v>544</v>
      </c>
      <c r="F41" s="9">
        <v>2</v>
      </c>
    </row>
    <row r="42" spans="1:6" ht="15.75" thickBot="1">
      <c r="A42" s="7" t="s">
        <v>98</v>
      </c>
      <c r="B42" s="7" t="s">
        <v>517</v>
      </c>
      <c r="C42" s="5" t="s">
        <v>42</v>
      </c>
      <c r="D42" s="9">
        <v>2023</v>
      </c>
      <c r="E42" s="9" t="s">
        <v>544</v>
      </c>
      <c r="F42" s="9">
        <v>2</v>
      </c>
    </row>
    <row r="43" spans="1:6" ht="15.75" thickBot="1">
      <c r="A43" s="7" t="s">
        <v>501</v>
      </c>
      <c r="B43" s="7" t="s">
        <v>518</v>
      </c>
      <c r="C43" s="5" t="s">
        <v>42</v>
      </c>
      <c r="D43" s="9">
        <v>2025</v>
      </c>
      <c r="E43" s="9" t="s">
        <v>546</v>
      </c>
      <c r="F43" s="9">
        <v>1.24</v>
      </c>
    </row>
    <row r="44" spans="1:6" ht="15.75" thickBot="1">
      <c r="A44" s="7" t="s">
        <v>99</v>
      </c>
      <c r="B44" s="7" t="s">
        <v>519</v>
      </c>
      <c r="C44" s="5" t="s">
        <v>42</v>
      </c>
      <c r="D44" s="9">
        <v>2023</v>
      </c>
      <c r="E44" s="9" t="s">
        <v>548</v>
      </c>
      <c r="F44" s="9">
        <v>1.6</v>
      </c>
    </row>
    <row r="45" spans="1:6" ht="15.75" thickBot="1">
      <c r="A45" s="7" t="s">
        <v>100</v>
      </c>
      <c r="B45" s="7" t="s">
        <v>520</v>
      </c>
      <c r="C45" s="5" t="s">
        <v>42</v>
      </c>
      <c r="D45" s="9">
        <v>2023</v>
      </c>
      <c r="E45" s="9" t="s">
        <v>548</v>
      </c>
      <c r="F45" s="9">
        <v>1.6</v>
      </c>
    </row>
    <row r="46" spans="1:6" ht="15.75" thickBot="1">
      <c r="A46" s="7" t="s">
        <v>101</v>
      </c>
      <c r="B46" s="7" t="s">
        <v>520</v>
      </c>
      <c r="C46" s="5" t="s">
        <v>42</v>
      </c>
      <c r="D46" s="9">
        <v>2023</v>
      </c>
      <c r="E46" s="9" t="s">
        <v>548</v>
      </c>
      <c r="F46" s="9">
        <v>1.6</v>
      </c>
    </row>
    <row r="47" spans="1:6" ht="15.75" thickBot="1">
      <c r="A47" s="7" t="s">
        <v>102</v>
      </c>
      <c r="B47" s="7" t="s">
        <v>520</v>
      </c>
      <c r="C47" s="5" t="s">
        <v>42</v>
      </c>
      <c r="D47" s="9">
        <v>2023</v>
      </c>
      <c r="E47" s="9" t="s">
        <v>548</v>
      </c>
      <c r="F47" s="9">
        <v>1.6</v>
      </c>
    </row>
    <row r="48" spans="1:6" ht="15.75" thickBot="1">
      <c r="A48" s="7" t="s">
        <v>103</v>
      </c>
      <c r="B48" s="7" t="s">
        <v>521</v>
      </c>
      <c r="C48" s="5" t="s">
        <v>42</v>
      </c>
      <c r="D48" s="9">
        <v>2023</v>
      </c>
      <c r="E48" s="9" t="s">
        <v>544</v>
      </c>
      <c r="F48" s="9">
        <v>2</v>
      </c>
    </row>
    <row r="49" spans="1:6" ht="15.75" thickBot="1">
      <c r="A49" s="7" t="s">
        <v>104</v>
      </c>
      <c r="B49" s="7" t="s">
        <v>521</v>
      </c>
      <c r="C49" s="5" t="s">
        <v>42</v>
      </c>
      <c r="D49" s="9">
        <v>2023</v>
      </c>
      <c r="E49" s="9" t="s">
        <v>544</v>
      </c>
      <c r="F49" s="9">
        <v>2</v>
      </c>
    </row>
    <row r="50" spans="1:6" ht="15.75" thickBot="1">
      <c r="A50" s="7" t="s">
        <v>105</v>
      </c>
      <c r="B50" s="7" t="s">
        <v>521</v>
      </c>
      <c r="C50" s="5" t="s">
        <v>42</v>
      </c>
      <c r="D50" s="9">
        <v>2023</v>
      </c>
      <c r="E50" s="9" t="s">
        <v>544</v>
      </c>
      <c r="F50" s="9">
        <v>2</v>
      </c>
    </row>
    <row r="51" spans="1:6" ht="15.75" thickBot="1">
      <c r="A51" s="7" t="s">
        <v>522</v>
      </c>
      <c r="B51" s="7" t="s">
        <v>523</v>
      </c>
      <c r="C51" s="5" t="s">
        <v>42</v>
      </c>
      <c r="D51" s="9">
        <v>2025</v>
      </c>
      <c r="E51" s="9" t="s">
        <v>548</v>
      </c>
      <c r="F51" s="9">
        <v>1.55</v>
      </c>
    </row>
    <row r="52" spans="1:6" ht="15.75" thickBot="1">
      <c r="A52" s="7" t="s">
        <v>556</v>
      </c>
      <c r="B52" s="7" t="s">
        <v>557</v>
      </c>
      <c r="C52" s="5" t="s">
        <v>42</v>
      </c>
      <c r="D52" s="9">
        <v>2025</v>
      </c>
      <c r="E52" s="9" t="s">
        <v>547</v>
      </c>
      <c r="F52" s="9">
        <v>1.51</v>
      </c>
    </row>
    <row r="53" spans="1:6" ht="15.75" thickBot="1">
      <c r="A53" s="5" t="s">
        <v>106</v>
      </c>
      <c r="B53" s="7" t="s">
        <v>524</v>
      </c>
      <c r="C53" s="5" t="s">
        <v>42</v>
      </c>
      <c r="D53" s="9">
        <v>2015</v>
      </c>
      <c r="E53" s="9" t="s">
        <v>549</v>
      </c>
      <c r="F53" s="9">
        <v>11</v>
      </c>
    </row>
    <row r="54" spans="1:6" ht="15.75" thickBot="1">
      <c r="A54" s="5" t="s">
        <v>106</v>
      </c>
      <c r="B54" s="7" t="s">
        <v>524</v>
      </c>
      <c r="C54" s="7" t="s">
        <v>42</v>
      </c>
      <c r="D54" s="9">
        <v>2015</v>
      </c>
      <c r="E54" s="9" t="s">
        <v>549</v>
      </c>
      <c r="F54" s="9">
        <v>11</v>
      </c>
    </row>
    <row r="55" spans="1:6" ht="15.75" thickBot="1">
      <c r="A55" s="5" t="s">
        <v>107</v>
      </c>
      <c r="B55" s="7" t="s">
        <v>525</v>
      </c>
      <c r="C55" s="7" t="s">
        <v>42</v>
      </c>
      <c r="D55" s="9">
        <v>2015</v>
      </c>
      <c r="E55" s="9" t="s">
        <v>546</v>
      </c>
      <c r="F55" s="9">
        <v>1.4</v>
      </c>
    </row>
    <row r="56" spans="1:6" ht="15.75" thickBot="1">
      <c r="A56" s="5" t="s">
        <v>107</v>
      </c>
      <c r="B56" s="7" t="s">
        <v>525</v>
      </c>
      <c r="C56" s="7" t="s">
        <v>42</v>
      </c>
      <c r="D56" s="9">
        <v>2015</v>
      </c>
      <c r="E56" s="9" t="s">
        <v>546</v>
      </c>
      <c r="F56" s="9">
        <v>1.4</v>
      </c>
    </row>
    <row r="57" spans="1:6" ht="15.75" thickBot="1">
      <c r="A57" s="5" t="s">
        <v>107</v>
      </c>
      <c r="B57" s="7" t="s">
        <v>525</v>
      </c>
      <c r="C57" s="7" t="s">
        <v>42</v>
      </c>
      <c r="D57" s="9">
        <v>2017</v>
      </c>
      <c r="E57" s="9" t="s">
        <v>546</v>
      </c>
      <c r="F57" s="9">
        <v>1.4</v>
      </c>
    </row>
    <row r="58" spans="1:6" ht="15.75" thickBot="1">
      <c r="A58" s="5" t="s">
        <v>107</v>
      </c>
      <c r="B58" s="7" t="s">
        <v>525</v>
      </c>
      <c r="C58" s="7" t="s">
        <v>42</v>
      </c>
      <c r="D58" s="9">
        <v>2017</v>
      </c>
      <c r="E58" s="9" t="s">
        <v>546</v>
      </c>
      <c r="F58" s="9">
        <v>1.4</v>
      </c>
    </row>
    <row r="59" spans="1:6" ht="15.75" thickBot="1">
      <c r="A59" s="5" t="s">
        <v>109</v>
      </c>
      <c r="B59" s="7" t="s">
        <v>526</v>
      </c>
      <c r="C59" s="7" t="s">
        <v>42</v>
      </c>
      <c r="D59" s="9">
        <v>2018</v>
      </c>
      <c r="E59" s="9" t="s">
        <v>546</v>
      </c>
      <c r="F59" s="9">
        <v>1.4</v>
      </c>
    </row>
    <row r="60" spans="1:6" ht="15.75" thickBot="1">
      <c r="A60" s="5" t="s">
        <v>110</v>
      </c>
      <c r="B60" s="7" t="s">
        <v>526</v>
      </c>
      <c r="C60" s="7" t="s">
        <v>42</v>
      </c>
      <c r="D60" s="9">
        <v>2019</v>
      </c>
      <c r="E60" s="9" t="s">
        <v>546</v>
      </c>
      <c r="F60" s="9">
        <v>1.4</v>
      </c>
    </row>
    <row r="61" spans="1:6" ht="15.75" thickBot="1">
      <c r="A61" s="5" t="s">
        <v>111</v>
      </c>
      <c r="B61" s="7" t="s">
        <v>527</v>
      </c>
      <c r="C61" s="7" t="s">
        <v>42</v>
      </c>
      <c r="D61" s="9">
        <v>2020</v>
      </c>
      <c r="E61" s="9" t="s">
        <v>546</v>
      </c>
      <c r="F61" s="9">
        <v>1.4</v>
      </c>
    </row>
    <row r="62" spans="1:6" ht="15.75" thickBot="1">
      <c r="A62" s="5" t="s">
        <v>111</v>
      </c>
      <c r="B62" s="7" t="s">
        <v>527</v>
      </c>
      <c r="C62" s="7" t="s">
        <v>42</v>
      </c>
      <c r="D62" s="9">
        <v>2020</v>
      </c>
      <c r="E62" s="9" t="s">
        <v>546</v>
      </c>
      <c r="F62" s="9">
        <v>1.4</v>
      </c>
    </row>
    <row r="63" spans="1:6" ht="15.75" thickBot="1">
      <c r="A63" s="5" t="s">
        <v>111</v>
      </c>
      <c r="B63" s="7" t="s">
        <v>527</v>
      </c>
      <c r="C63" s="7" t="s">
        <v>42</v>
      </c>
      <c r="D63" s="9">
        <v>2020</v>
      </c>
      <c r="E63" s="9" t="s">
        <v>546</v>
      </c>
      <c r="F63" s="9">
        <v>1.4</v>
      </c>
    </row>
    <row r="64" spans="1:6" ht="15.75" thickBot="1">
      <c r="A64" s="5" t="s">
        <v>112</v>
      </c>
      <c r="B64" s="7" t="s">
        <v>528</v>
      </c>
      <c r="C64" s="7" t="s">
        <v>42</v>
      </c>
      <c r="D64" s="9">
        <v>2020</v>
      </c>
      <c r="E64" s="9" t="s">
        <v>546</v>
      </c>
      <c r="F64" s="9">
        <v>1.4</v>
      </c>
    </row>
    <row r="65" spans="1:6" ht="15.75" thickBot="1">
      <c r="A65" s="7" t="s">
        <v>113</v>
      </c>
      <c r="B65" s="7" t="s">
        <v>529</v>
      </c>
      <c r="C65" s="7" t="s">
        <v>42</v>
      </c>
      <c r="D65" s="9">
        <v>2022</v>
      </c>
      <c r="E65" s="9" t="s">
        <v>546</v>
      </c>
      <c r="F65" s="9">
        <v>1.4</v>
      </c>
    </row>
    <row r="66" spans="1:6" ht="15.75" thickBot="1">
      <c r="A66" s="7" t="s">
        <v>114</v>
      </c>
      <c r="B66" s="7" t="s">
        <v>530</v>
      </c>
      <c r="C66" s="7" t="s">
        <v>42</v>
      </c>
      <c r="D66" s="9">
        <v>2023</v>
      </c>
      <c r="E66" s="9" t="s">
        <v>547</v>
      </c>
      <c r="F66" s="9">
        <v>1.8</v>
      </c>
    </row>
    <row r="67" spans="1:6" ht="15.75" thickBot="1">
      <c r="A67" s="7" t="s">
        <v>115</v>
      </c>
      <c r="B67" s="7" t="s">
        <v>531</v>
      </c>
      <c r="C67" s="7" t="s">
        <v>42</v>
      </c>
      <c r="D67" s="9">
        <v>2024</v>
      </c>
      <c r="E67" s="9" t="s">
        <v>546</v>
      </c>
      <c r="F67" s="9">
        <v>1.4</v>
      </c>
    </row>
    <row r="68" spans="1:6" ht="15.75" thickBot="1">
      <c r="A68" s="7" t="s">
        <v>116</v>
      </c>
      <c r="B68" s="7" t="s">
        <v>532</v>
      </c>
      <c r="C68" s="7" t="s">
        <v>42</v>
      </c>
      <c r="D68" s="9">
        <v>2024</v>
      </c>
      <c r="E68" s="9" t="s">
        <v>547</v>
      </c>
      <c r="F68" s="9">
        <v>1.8</v>
      </c>
    </row>
    <row r="69" spans="1:6" ht="15.75" thickBot="1">
      <c r="A69" s="7" t="s">
        <v>117</v>
      </c>
      <c r="B69" s="7" t="s">
        <v>118</v>
      </c>
      <c r="C69" s="7" t="s">
        <v>271</v>
      </c>
      <c r="D69" s="9">
        <v>2013</v>
      </c>
      <c r="E69" s="7"/>
      <c r="F69" s="9">
        <v>5</v>
      </c>
    </row>
    <row r="70" spans="1:6" ht="15.75" thickBot="1">
      <c r="A70" s="7" t="s">
        <v>119</v>
      </c>
      <c r="B70" s="7" t="s">
        <v>120</v>
      </c>
      <c r="C70" s="7" t="s">
        <v>270</v>
      </c>
      <c r="D70" s="9">
        <v>2015</v>
      </c>
      <c r="E70" s="9" t="s">
        <v>550</v>
      </c>
      <c r="F70" s="9">
        <v>9.5399999999999991</v>
      </c>
    </row>
    <row r="71" spans="1:6" ht="15.75" thickBot="1">
      <c r="A71" s="7" t="s">
        <v>121</v>
      </c>
      <c r="B71" s="7" t="s">
        <v>120</v>
      </c>
      <c r="C71" s="7" t="s">
        <v>270</v>
      </c>
      <c r="D71" s="9">
        <v>2017</v>
      </c>
      <c r="E71" s="9" t="s">
        <v>550</v>
      </c>
      <c r="F71" s="9">
        <v>9.5399999999999991</v>
      </c>
    </row>
    <row r="72" spans="1:6" ht="15.75" thickBot="1">
      <c r="A72" s="7" t="s">
        <v>122</v>
      </c>
      <c r="B72" s="7" t="s">
        <v>123</v>
      </c>
      <c r="C72" s="7" t="s">
        <v>270</v>
      </c>
      <c r="D72" s="9">
        <v>2017</v>
      </c>
      <c r="E72" s="9" t="s">
        <v>551</v>
      </c>
      <c r="F72" s="9">
        <v>9.5399999999999991</v>
      </c>
    </row>
    <row r="73" spans="1:6" ht="15.75" thickBot="1">
      <c r="A73" s="7"/>
      <c r="B73" s="7" t="s">
        <v>124</v>
      </c>
      <c r="C73" s="7"/>
      <c r="D73" s="7"/>
      <c r="E73" s="7"/>
      <c r="F73" s="9">
        <v>2</v>
      </c>
    </row>
    <row r="74" spans="1:6" ht="15.75" thickBot="1">
      <c r="A74" s="7"/>
      <c r="B74" s="7" t="s">
        <v>124</v>
      </c>
      <c r="C74" s="7"/>
      <c r="D74" s="7"/>
      <c r="E74" s="7"/>
      <c r="F74" s="9">
        <v>2</v>
      </c>
    </row>
    <row r="75" spans="1:6" ht="15.75" thickBot="1">
      <c r="A75" s="7"/>
      <c r="B75" s="7" t="s">
        <v>124</v>
      </c>
      <c r="C75" s="7"/>
      <c r="D75" s="7"/>
      <c r="E75" s="7"/>
      <c r="F75" s="9">
        <v>2</v>
      </c>
    </row>
    <row r="76" spans="1:6" ht="15.75" thickBot="1">
      <c r="A76" s="7"/>
      <c r="B76" s="7" t="s">
        <v>124</v>
      </c>
      <c r="C76" s="7"/>
      <c r="D76" s="7"/>
      <c r="E76" s="7"/>
      <c r="F76" s="9">
        <v>2</v>
      </c>
    </row>
    <row r="77" spans="1:6" ht="15.75" thickBot="1">
      <c r="A77" s="7"/>
      <c r="B77" s="10" t="s">
        <v>125</v>
      </c>
      <c r="C77" s="10"/>
      <c r="D77" s="7"/>
      <c r="E77" s="7"/>
      <c r="F77" s="9">
        <v>1.74</v>
      </c>
    </row>
    <row r="78" spans="1:6" ht="15.75" thickBot="1">
      <c r="A78" s="7"/>
      <c r="B78" s="7" t="s">
        <v>124</v>
      </c>
      <c r="C78" s="7"/>
      <c r="D78" s="7"/>
      <c r="E78" s="7"/>
      <c r="F78" s="9">
        <v>2</v>
      </c>
    </row>
    <row r="79" spans="1:6" ht="15.75" thickBot="1">
      <c r="A79" s="7"/>
      <c r="B79" s="10" t="s">
        <v>125</v>
      </c>
      <c r="C79" s="10"/>
      <c r="D79" s="7"/>
      <c r="E79" s="7"/>
      <c r="F79" s="9">
        <v>1.74</v>
      </c>
    </row>
    <row r="80" spans="1:6" ht="15.75" thickBot="1">
      <c r="A80" s="7"/>
      <c r="B80" s="10" t="s">
        <v>126</v>
      </c>
      <c r="C80" s="10"/>
      <c r="D80" s="7"/>
      <c r="E80" s="7"/>
      <c r="F80" s="9">
        <v>1.8</v>
      </c>
    </row>
    <row r="81" spans="1:6" ht="15.75" thickBot="1">
      <c r="A81" s="7"/>
      <c r="B81" s="7" t="s">
        <v>124</v>
      </c>
      <c r="C81" s="7"/>
      <c r="D81" s="7"/>
      <c r="E81" s="7"/>
      <c r="F81" s="9">
        <v>2</v>
      </c>
    </row>
    <row r="82" spans="1:6" ht="15.75" thickBot="1">
      <c r="A82" s="7"/>
      <c r="B82" s="7" t="s">
        <v>127</v>
      </c>
      <c r="C82" s="7"/>
      <c r="D82" s="7"/>
      <c r="E82" s="7"/>
      <c r="F82" s="9">
        <v>1.8</v>
      </c>
    </row>
    <row r="83" spans="1:6" ht="15.75" thickBot="1">
      <c r="A83" s="7"/>
      <c r="B83" s="7" t="s">
        <v>128</v>
      </c>
      <c r="C83" s="7"/>
      <c r="D83" s="7"/>
      <c r="E83" s="7"/>
      <c r="F83" s="9">
        <v>1.26</v>
      </c>
    </row>
    <row r="84" spans="1:6" ht="15.75" thickBot="1">
      <c r="A84" s="7"/>
      <c r="B84" s="7" t="s">
        <v>129</v>
      </c>
      <c r="C84" s="7"/>
      <c r="D84" s="7"/>
      <c r="E84" s="7"/>
      <c r="F84" s="9">
        <v>1.26</v>
      </c>
    </row>
    <row r="85" spans="1:6" ht="15.75" thickBot="1">
      <c r="A85" s="7"/>
      <c r="B85" s="7" t="s">
        <v>130</v>
      </c>
      <c r="C85" s="7"/>
      <c r="D85" s="7"/>
      <c r="E85" s="7"/>
      <c r="F85" s="9">
        <v>1.26</v>
      </c>
    </row>
    <row r="86" spans="1:6" ht="15.75" thickBot="1">
      <c r="A86" s="7"/>
      <c r="B86" s="10" t="s">
        <v>131</v>
      </c>
      <c r="C86" s="10"/>
      <c r="D86" s="7"/>
      <c r="E86" s="7"/>
      <c r="F86" s="9">
        <v>1.26</v>
      </c>
    </row>
    <row r="87" spans="1:6" ht="15.75" thickBot="1">
      <c r="A87" s="7"/>
      <c r="B87" s="7" t="s">
        <v>132</v>
      </c>
      <c r="C87" s="7"/>
      <c r="D87" s="7"/>
      <c r="E87" s="7"/>
      <c r="F87" s="9">
        <v>1.17</v>
      </c>
    </row>
    <row r="88" spans="1:6" ht="15.75" thickBot="1">
      <c r="A88" s="7"/>
      <c r="B88" s="7" t="s">
        <v>133</v>
      </c>
      <c r="C88" s="7"/>
      <c r="D88" s="7"/>
      <c r="E88" s="7"/>
      <c r="F88" s="9">
        <v>1.8</v>
      </c>
    </row>
    <row r="89" spans="1:6" ht="15.75" thickBot="1">
      <c r="A89" s="7"/>
      <c r="B89" s="7" t="s">
        <v>134</v>
      </c>
      <c r="C89" s="7"/>
      <c r="D89" s="7"/>
      <c r="E89" s="7"/>
      <c r="F89" s="9">
        <v>1.35</v>
      </c>
    </row>
    <row r="90" spans="1:6" ht="15.75" thickBot="1">
      <c r="A90" s="7"/>
      <c r="B90" s="6" t="s">
        <v>135</v>
      </c>
      <c r="C90" s="6"/>
      <c r="D90" s="7"/>
      <c r="E90" s="7"/>
      <c r="F90" s="9">
        <v>1.1000000000000001</v>
      </c>
    </row>
    <row r="91" spans="1:6" ht="15.75" thickBot="1">
      <c r="A91" s="7"/>
      <c r="B91" s="6" t="s">
        <v>136</v>
      </c>
      <c r="C91" s="6"/>
      <c r="D91" s="7"/>
      <c r="E91" s="7"/>
      <c r="F91" s="9">
        <v>1.2</v>
      </c>
    </row>
    <row r="92" spans="1:6" ht="15.75" thickBot="1">
      <c r="A92" s="7"/>
      <c r="B92" s="6" t="s">
        <v>137</v>
      </c>
      <c r="C92" s="6"/>
      <c r="D92" s="7"/>
      <c r="E92" s="7"/>
      <c r="F92" s="9">
        <v>1.26</v>
      </c>
    </row>
    <row r="93" spans="1:6" ht="15.75" thickBot="1">
      <c r="A93" s="7"/>
      <c r="B93" s="7" t="s">
        <v>138</v>
      </c>
      <c r="C93" s="7"/>
      <c r="D93" s="7"/>
      <c r="E93" s="7"/>
      <c r="F93" s="9">
        <v>1.27</v>
      </c>
    </row>
    <row r="94" spans="1:6" ht="15.75" thickBot="1">
      <c r="A94" s="7"/>
      <c r="B94" s="7" t="s">
        <v>138</v>
      </c>
      <c r="C94" s="7"/>
      <c r="D94" s="7"/>
      <c r="E94" s="7"/>
      <c r="F94" s="9">
        <v>1.27</v>
      </c>
    </row>
    <row r="95" spans="1:6" ht="15.75" thickBot="1">
      <c r="A95" s="7"/>
      <c r="B95" s="7" t="s">
        <v>139</v>
      </c>
      <c r="C95" s="7"/>
      <c r="D95" s="7"/>
      <c r="E95" s="7"/>
      <c r="F95" s="9">
        <v>1.3</v>
      </c>
    </row>
    <row r="96" spans="1:6" ht="15.75" thickBot="1">
      <c r="A96" s="7"/>
      <c r="B96" s="7" t="s">
        <v>140</v>
      </c>
      <c r="C96" s="7"/>
      <c r="D96" s="7"/>
      <c r="E96" s="7"/>
      <c r="F96" s="9">
        <v>1.4</v>
      </c>
    </row>
    <row r="97" spans="1:6" ht="15.75" thickBot="1">
      <c r="A97" s="7"/>
      <c r="B97" s="7" t="s">
        <v>141</v>
      </c>
      <c r="C97" s="7"/>
      <c r="D97" s="7"/>
      <c r="E97" s="7"/>
      <c r="F97" s="9">
        <v>1.4</v>
      </c>
    </row>
    <row r="98" spans="1:6" ht="15.75" thickBot="1">
      <c r="A98" s="7"/>
      <c r="B98" s="7" t="s">
        <v>142</v>
      </c>
      <c r="C98" s="7"/>
      <c r="D98" s="7"/>
      <c r="E98" s="7"/>
      <c r="F98" s="9">
        <v>3.26</v>
      </c>
    </row>
    <row r="99" spans="1:6" ht="15.75" thickBot="1">
      <c r="A99" s="7"/>
      <c r="B99" s="7" t="s">
        <v>143</v>
      </c>
      <c r="C99" s="7"/>
      <c r="D99" s="7"/>
      <c r="E99" s="7"/>
      <c r="F99" s="9">
        <v>5.23</v>
      </c>
    </row>
    <row r="100" spans="1:6" ht="15.75" thickBot="1">
      <c r="A100" s="7"/>
      <c r="B100" s="7" t="s">
        <v>144</v>
      </c>
      <c r="C100" s="7"/>
      <c r="D100" s="7"/>
      <c r="E100" s="7"/>
      <c r="F100" s="9">
        <v>7.5</v>
      </c>
    </row>
    <row r="101" spans="1:6" ht="15.75" thickBot="1">
      <c r="A101" s="7"/>
      <c r="B101" s="7" t="s">
        <v>145</v>
      </c>
      <c r="C101" s="7"/>
      <c r="D101" s="7"/>
      <c r="E101" s="7"/>
      <c r="F101" s="9">
        <v>6.6</v>
      </c>
    </row>
    <row r="102" spans="1:6" ht="15.75" thickBot="1">
      <c r="A102" s="7"/>
      <c r="B102" s="7" t="s">
        <v>146</v>
      </c>
      <c r="C102" s="7"/>
      <c r="D102" s="7"/>
      <c r="E102" s="7"/>
      <c r="F102" s="9">
        <v>5.6</v>
      </c>
    </row>
    <row r="103" spans="1:6" ht="15.75" thickBot="1">
      <c r="A103" s="7"/>
      <c r="B103" s="7" t="s">
        <v>147</v>
      </c>
      <c r="C103" s="7"/>
      <c r="D103" s="7"/>
      <c r="E103" s="7"/>
      <c r="F103" s="9">
        <v>7.65</v>
      </c>
    </row>
    <row r="104" spans="1:6" ht="15.75" thickBot="1">
      <c r="A104" s="7"/>
      <c r="B104" s="7" t="s">
        <v>148</v>
      </c>
      <c r="C104" s="7"/>
      <c r="D104" s="7"/>
      <c r="E104" s="7"/>
      <c r="F104" s="9">
        <v>5.26</v>
      </c>
    </row>
    <row r="105" spans="1:6" ht="15.75" thickBot="1">
      <c r="A105" s="7"/>
      <c r="B105" s="7" t="s">
        <v>149</v>
      </c>
      <c r="C105" s="7"/>
      <c r="D105" s="7"/>
      <c r="E105" s="7"/>
      <c r="F105" s="9">
        <v>9</v>
      </c>
    </row>
    <row r="106" spans="1:6" ht="15.75" thickBot="1">
      <c r="A106" s="7"/>
      <c r="B106" s="7" t="s">
        <v>150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151</v>
      </c>
      <c r="C107" s="7"/>
      <c r="D107" s="7"/>
      <c r="E107" s="7"/>
      <c r="F107" s="9">
        <v>2.2999999999999998</v>
      </c>
    </row>
    <row r="108" spans="1:6" ht="15.75" thickBot="1">
      <c r="A108" s="7"/>
      <c r="B108" s="7" t="s">
        <v>152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153</v>
      </c>
      <c r="C109" s="7"/>
      <c r="D109" s="7"/>
      <c r="E109" s="7"/>
      <c r="F109" s="9">
        <v>9.4</v>
      </c>
    </row>
    <row r="110" spans="1:6" ht="15.75" thickBot="1">
      <c r="A110" s="7"/>
      <c r="B110" s="7" t="s">
        <v>154</v>
      </c>
      <c r="C110" s="7"/>
      <c r="D110" s="7"/>
      <c r="E110" s="7"/>
      <c r="F110" s="9">
        <v>5.9</v>
      </c>
    </row>
    <row r="111" spans="1:6" ht="15.75" thickBot="1">
      <c r="A111" s="7"/>
      <c r="B111" s="7" t="s">
        <v>155</v>
      </c>
      <c r="C111" s="7"/>
      <c r="D111" s="7"/>
      <c r="E111" s="7"/>
      <c r="F111" s="9">
        <v>5.26</v>
      </c>
    </row>
    <row r="112" spans="1:6" ht="15.75" thickBot="1">
      <c r="A112" s="7"/>
      <c r="B112" s="7" t="s">
        <v>156</v>
      </c>
      <c r="C112" s="7"/>
      <c r="D112" s="7"/>
      <c r="E112" s="7"/>
      <c r="F112" s="9">
        <v>1.3</v>
      </c>
    </row>
    <row r="113" spans="1:6" ht="15.75" thickBot="1">
      <c r="A113" s="7"/>
      <c r="B113" s="7" t="s">
        <v>157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158</v>
      </c>
      <c r="C114" s="7"/>
      <c r="D114" s="7"/>
      <c r="E114" s="7"/>
      <c r="F114" s="9">
        <v>3</v>
      </c>
    </row>
    <row r="115" spans="1:6" ht="15.75" thickBot="1">
      <c r="A115" s="7"/>
      <c r="B115" s="7" t="s">
        <v>159</v>
      </c>
      <c r="C115" s="7"/>
      <c r="D115" s="7"/>
      <c r="E115" s="7"/>
      <c r="F115" s="9">
        <v>5.2</v>
      </c>
    </row>
    <row r="116" spans="1:6" ht="15.75" thickBot="1">
      <c r="A116" s="7"/>
      <c r="B116" s="7" t="s">
        <v>160</v>
      </c>
      <c r="C116" s="7"/>
      <c r="D116" s="7"/>
      <c r="E116" s="7"/>
      <c r="F116" s="9">
        <v>4.25</v>
      </c>
    </row>
    <row r="117" spans="1:6" ht="15.75" thickBot="1">
      <c r="A117" s="7"/>
      <c r="B117" s="7" t="s">
        <v>161</v>
      </c>
      <c r="C117" s="7"/>
      <c r="D117" s="7"/>
      <c r="E117" s="7"/>
      <c r="F117" s="9">
        <v>3.33</v>
      </c>
    </row>
    <row r="118" spans="1:6" ht="15.75" thickBot="1">
      <c r="A118" s="7"/>
      <c r="B118" s="7" t="s">
        <v>162</v>
      </c>
      <c r="C118" s="7"/>
      <c r="D118" s="7"/>
      <c r="E118" s="7"/>
      <c r="F118" s="9">
        <v>2.8</v>
      </c>
    </row>
    <row r="119" spans="1:6" ht="15.75" thickBot="1">
      <c r="A119" s="7"/>
      <c r="B119" s="7" t="s">
        <v>163</v>
      </c>
      <c r="C119" s="7"/>
      <c r="D119" s="7"/>
      <c r="E119" s="7"/>
      <c r="F119" s="9">
        <v>1.7</v>
      </c>
    </row>
    <row r="120" spans="1:6" ht="15.75" thickBot="1">
      <c r="A120" s="7"/>
      <c r="B120" s="7" t="s">
        <v>164</v>
      </c>
      <c r="C120" s="7"/>
      <c r="D120" s="7"/>
      <c r="E120" s="7"/>
      <c r="F120" s="9">
        <v>1.48</v>
      </c>
    </row>
    <row r="121" spans="1:6" ht="15.75" thickBot="1">
      <c r="A121" s="7"/>
      <c r="B121" s="7" t="s">
        <v>165</v>
      </c>
      <c r="C121" s="7"/>
      <c r="D121" s="7"/>
      <c r="E121" s="7"/>
      <c r="F121" s="9">
        <v>3.33</v>
      </c>
    </row>
    <row r="122" spans="1:6" ht="15.75" thickBot="1">
      <c r="A122" s="7"/>
      <c r="B122" s="7" t="s">
        <v>166</v>
      </c>
      <c r="C122" s="7"/>
      <c r="D122" s="7"/>
      <c r="E122" s="7"/>
      <c r="F122" s="9">
        <v>0.75</v>
      </c>
    </row>
    <row r="123" spans="1:6" ht="15.75" thickBot="1">
      <c r="A123" s="7"/>
      <c r="B123" s="7" t="s">
        <v>167</v>
      </c>
      <c r="C123" s="7"/>
      <c r="D123" s="7"/>
      <c r="E123" s="7"/>
      <c r="F123" s="9">
        <v>4.25</v>
      </c>
    </row>
    <row r="124" spans="1:6" ht="15.75" thickBot="1">
      <c r="A124" s="7"/>
      <c r="B124" s="7" t="s">
        <v>168</v>
      </c>
      <c r="C124" s="7"/>
      <c r="D124" s="7"/>
      <c r="E124" s="7"/>
      <c r="F124" s="9">
        <v>1.44</v>
      </c>
    </row>
    <row r="125" spans="1:6" ht="15.75" thickBot="1">
      <c r="A125" s="7"/>
      <c r="B125" s="7" t="s">
        <v>169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170</v>
      </c>
      <c r="C126" s="7"/>
      <c r="D126" s="7"/>
      <c r="E126" s="7"/>
      <c r="F126" s="9">
        <v>1.1299999999999999</v>
      </c>
    </row>
    <row r="127" spans="1:6" ht="15.75" thickBot="1">
      <c r="A127" s="7"/>
      <c r="B127" s="7" t="s">
        <v>171</v>
      </c>
      <c r="C127" s="7"/>
      <c r="D127" s="7"/>
      <c r="E127" s="7"/>
      <c r="F127" s="9">
        <v>1.5</v>
      </c>
    </row>
    <row r="128" spans="1:6" ht="15.75" thickBot="1">
      <c r="A128" s="7"/>
      <c r="B128" s="7" t="s">
        <v>172</v>
      </c>
      <c r="C128" s="7"/>
      <c r="D128" s="7"/>
      <c r="E128" s="7"/>
      <c r="F128" s="9">
        <v>1.46</v>
      </c>
    </row>
    <row r="129" spans="1:6" ht="15.75" thickBot="1">
      <c r="A129" s="7"/>
      <c r="B129" s="7" t="s">
        <v>173</v>
      </c>
      <c r="C129" s="7"/>
      <c r="D129" s="7"/>
      <c r="E129" s="7"/>
      <c r="F129" s="9">
        <v>1.18</v>
      </c>
    </row>
    <row r="130" spans="1:6" ht="15.75" thickBot="1">
      <c r="A130" s="7"/>
      <c r="B130" s="7" t="s">
        <v>174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175</v>
      </c>
      <c r="C131" s="7"/>
      <c r="D131" s="7"/>
      <c r="E131" s="7"/>
      <c r="F131" s="9">
        <v>1.73</v>
      </c>
    </row>
    <row r="132" spans="1:6" ht="15.75" thickBot="1">
      <c r="A132" s="7"/>
      <c r="B132" s="7" t="s">
        <v>176</v>
      </c>
      <c r="C132" s="7"/>
      <c r="D132" s="7"/>
      <c r="E132" s="7"/>
      <c r="F132" s="9">
        <v>1.68</v>
      </c>
    </row>
    <row r="133" spans="1:6" ht="15.75" thickBot="1">
      <c r="A133" s="7"/>
      <c r="B133" s="7" t="s">
        <v>177</v>
      </c>
      <c r="C133" s="7"/>
      <c r="D133" s="7"/>
      <c r="E133" s="7"/>
      <c r="F133" s="9">
        <v>1.64</v>
      </c>
    </row>
    <row r="134" spans="1:6" ht="15.75" thickBot="1">
      <c r="A134" s="7"/>
      <c r="B134" s="7" t="s">
        <v>178</v>
      </c>
      <c r="C134" s="7"/>
      <c r="D134" s="7"/>
      <c r="E134" s="7"/>
      <c r="F134" s="9">
        <v>2.2999999999999998</v>
      </c>
    </row>
    <row r="135" spans="1:6" ht="15.75" thickBot="1">
      <c r="A135" s="7"/>
      <c r="B135" s="7" t="s">
        <v>179</v>
      </c>
      <c r="C135" s="7"/>
      <c r="D135" s="7"/>
      <c r="E135" s="7"/>
      <c r="F135" s="9">
        <v>1.96</v>
      </c>
    </row>
    <row r="136" spans="1:6" ht="15.75" thickBot="1">
      <c r="A136" s="7"/>
      <c r="B136" s="7" t="s">
        <v>180</v>
      </c>
      <c r="C136" s="7"/>
      <c r="D136" s="7"/>
      <c r="E136" s="7"/>
      <c r="F136" s="9">
        <v>1.7</v>
      </c>
    </row>
    <row r="137" spans="1:6" ht="15.75" thickBot="1">
      <c r="A137" s="7"/>
      <c r="B137" s="7" t="s">
        <v>181</v>
      </c>
      <c r="C137" s="7"/>
      <c r="D137" s="7"/>
      <c r="E137" s="7"/>
      <c r="F137" s="9">
        <v>2.7</v>
      </c>
    </row>
    <row r="138" spans="1:6" ht="15.75" thickBot="1">
      <c r="A138" s="7"/>
      <c r="B138" s="7" t="s">
        <v>182</v>
      </c>
      <c r="C138" s="7"/>
      <c r="D138" s="7"/>
      <c r="E138" s="7"/>
      <c r="F138" s="9">
        <v>2.74</v>
      </c>
    </row>
    <row r="139" spans="1:6" ht="15.75" thickBot="1">
      <c r="A139" s="7"/>
      <c r="B139" s="7" t="s">
        <v>183</v>
      </c>
      <c r="C139" s="7"/>
      <c r="D139" s="7"/>
      <c r="E139" s="7"/>
      <c r="F139" s="9">
        <v>2</v>
      </c>
    </row>
    <row r="140" spans="1:6" ht="15.75" thickBot="1">
      <c r="A140" s="7"/>
      <c r="B140" s="7" t="s">
        <v>174</v>
      </c>
      <c r="C140" s="7"/>
      <c r="D140" s="7"/>
      <c r="E140" s="7"/>
      <c r="F140" s="9">
        <v>1.73</v>
      </c>
    </row>
    <row r="141" spans="1:6" ht="15.75" thickBot="1">
      <c r="A141" s="7"/>
      <c r="B141" s="7" t="s">
        <v>184</v>
      </c>
      <c r="C141" s="7"/>
      <c r="D141" s="7"/>
      <c r="E141" s="7"/>
      <c r="F141" s="9">
        <v>1.68</v>
      </c>
    </row>
    <row r="142" spans="1:6" ht="15.75" thickBot="1">
      <c r="A142" s="7"/>
      <c r="B142" s="7" t="s">
        <v>185</v>
      </c>
      <c r="C142" s="7"/>
      <c r="D142" s="7"/>
      <c r="E142" s="7"/>
      <c r="F142" s="9">
        <v>1.64</v>
      </c>
    </row>
    <row r="143" spans="1:6" ht="15.75" thickBot="1">
      <c r="A143" s="7"/>
      <c r="B143" s="7" t="s">
        <v>186</v>
      </c>
      <c r="C143" s="7"/>
      <c r="D143" s="7"/>
      <c r="E143" s="7"/>
      <c r="F143" s="9">
        <v>2.2999999999999998</v>
      </c>
    </row>
    <row r="144" spans="1:6" ht="15.75" thickBot="1">
      <c r="A144" s="7"/>
      <c r="B144" s="7" t="s">
        <v>187</v>
      </c>
      <c r="C144" s="7"/>
      <c r="D144" s="7"/>
      <c r="E144" s="7"/>
      <c r="F144" s="9">
        <v>1.96</v>
      </c>
    </row>
    <row r="145" spans="1:6" ht="15.75" thickBot="1">
      <c r="A145" s="7"/>
      <c r="B145" s="7" t="s">
        <v>188</v>
      </c>
      <c r="C145" s="7"/>
      <c r="D145" s="7"/>
      <c r="E145" s="7"/>
      <c r="F145" s="9">
        <v>1.7</v>
      </c>
    </row>
    <row r="146" spans="1:6" ht="15.75" thickBot="1">
      <c r="A146" s="7"/>
      <c r="B146" s="7" t="s">
        <v>189</v>
      </c>
      <c r="C146" s="7"/>
      <c r="D146" s="7"/>
      <c r="E146" s="7"/>
      <c r="F146" s="9">
        <v>2.7</v>
      </c>
    </row>
    <row r="147" spans="1:6" ht="15.75" thickBot="1">
      <c r="A147" s="7"/>
      <c r="B147" s="7" t="s">
        <v>190</v>
      </c>
      <c r="C147" s="7"/>
      <c r="D147" s="7"/>
      <c r="E147" s="7"/>
      <c r="F147" s="9">
        <v>2.74</v>
      </c>
    </row>
    <row r="148" spans="1:6" ht="15.75" thickBot="1">
      <c r="A148" s="7"/>
      <c r="B148" s="7" t="s">
        <v>191</v>
      </c>
      <c r="C148" s="7"/>
      <c r="D148" s="7"/>
      <c r="E148" s="7"/>
      <c r="F148" s="9">
        <v>1.36</v>
      </c>
    </row>
    <row r="149" spans="1:6" ht="15.75" thickBot="1">
      <c r="A149" s="7"/>
      <c r="B149" s="7" t="s">
        <v>192</v>
      </c>
      <c r="C149" s="7"/>
      <c r="D149" s="7"/>
      <c r="E149" s="7"/>
      <c r="F149" s="9">
        <v>1.4</v>
      </c>
    </row>
    <row r="150" spans="1:6" ht="15.75" thickBot="1">
      <c r="A150" s="7"/>
      <c r="B150" s="7" t="s">
        <v>193</v>
      </c>
      <c r="C150" s="7"/>
      <c r="D150" s="7"/>
      <c r="E150" s="7"/>
      <c r="F150" s="9">
        <v>2.5</v>
      </c>
    </row>
    <row r="151" spans="1:6" ht="15.75" thickBot="1">
      <c r="A151" s="7"/>
      <c r="B151" s="7" t="s">
        <v>194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195</v>
      </c>
      <c r="C152" s="7"/>
      <c r="D152" s="7"/>
      <c r="E152" s="7"/>
      <c r="F152" s="9">
        <v>1.32</v>
      </c>
    </row>
    <row r="153" spans="1:6" ht="15.75" thickBot="1">
      <c r="A153" s="7"/>
      <c r="B153" s="7" t="s">
        <v>196</v>
      </c>
      <c r="C153" s="7"/>
      <c r="D153" s="7"/>
      <c r="E153" s="7"/>
      <c r="F153" s="9">
        <v>1.36</v>
      </c>
    </row>
    <row r="154" spans="1:6" ht="15.75" thickBot="1">
      <c r="A154" s="7"/>
      <c r="B154" s="7" t="s">
        <v>197</v>
      </c>
      <c r="C154" s="7"/>
      <c r="D154" s="7"/>
      <c r="E154" s="7"/>
      <c r="F154" s="9">
        <v>1.7</v>
      </c>
    </row>
    <row r="155" spans="1:6" ht="15.75" thickBot="1">
      <c r="A155" s="7"/>
      <c r="B155" s="7" t="s">
        <v>198</v>
      </c>
      <c r="C155" s="7"/>
      <c r="D155" s="7"/>
      <c r="E155" s="7"/>
      <c r="F155" s="9">
        <v>1.3</v>
      </c>
    </row>
    <row r="156" spans="1:6" ht="15.75" thickBot="1">
      <c r="A156" s="7"/>
      <c r="B156" s="7" t="s">
        <v>199</v>
      </c>
      <c r="C156" s="7"/>
      <c r="D156" s="7"/>
      <c r="E156" s="7"/>
      <c r="F156" s="9">
        <v>1.8</v>
      </c>
    </row>
    <row r="157" spans="1:6" ht="15.75" thickBot="1">
      <c r="A157" s="7"/>
      <c r="B157" s="7" t="s">
        <v>200</v>
      </c>
      <c r="C157" s="7"/>
      <c r="D157" s="7"/>
      <c r="E157" s="7"/>
      <c r="F157" s="9">
        <v>1.32</v>
      </c>
    </row>
    <row r="158" spans="1:6" ht="15.75" thickBot="1">
      <c r="A158" s="7"/>
      <c r="B158" s="7" t="s">
        <v>201</v>
      </c>
      <c r="C158" s="7"/>
      <c r="D158" s="7"/>
      <c r="E158" s="7"/>
      <c r="F158" s="9">
        <v>1.27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1.4</v>
      </c>
    </row>
    <row r="160" spans="1:6" ht="15.75" thickBot="1">
      <c r="A160" s="7"/>
      <c r="B160" s="7" t="s">
        <v>199</v>
      </c>
      <c r="C160" s="7"/>
      <c r="D160" s="7"/>
      <c r="E160" s="7"/>
      <c r="F160" s="9">
        <v>1.8</v>
      </c>
    </row>
    <row r="161" spans="1:6" ht="15.75" thickBot="1">
      <c r="A161" s="7"/>
      <c r="B161" s="7" t="s">
        <v>203</v>
      </c>
      <c r="C161" s="7"/>
      <c r="D161" s="7"/>
      <c r="E161" s="7"/>
      <c r="F161" s="9">
        <v>1.4</v>
      </c>
    </row>
    <row r="162" spans="1:6" ht="15.75" thickBot="1">
      <c r="A162" s="7"/>
      <c r="B162" s="7" t="s">
        <v>204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205</v>
      </c>
      <c r="C163" s="7"/>
      <c r="D163" s="7"/>
      <c r="E163" s="7"/>
      <c r="F163" s="9">
        <v>2.63</v>
      </c>
    </row>
    <row r="164" spans="1:6" ht="15.75" thickBot="1">
      <c r="A164" s="7"/>
      <c r="B164" s="7" t="s">
        <v>206</v>
      </c>
      <c r="C164" s="7"/>
      <c r="D164" s="7"/>
      <c r="E164" s="7"/>
      <c r="F164" s="9">
        <v>2</v>
      </c>
    </row>
    <row r="165" spans="1:6" ht="15.75" thickBot="1">
      <c r="A165" s="7"/>
      <c r="B165" s="7" t="s">
        <v>207</v>
      </c>
      <c r="C165" s="7"/>
      <c r="D165" s="7"/>
      <c r="E165" s="7"/>
      <c r="F165" s="9">
        <v>1.8</v>
      </c>
    </row>
    <row r="166" spans="1:6" ht="15.75" thickBot="1">
      <c r="A166" s="7"/>
      <c r="B166" s="7" t="s">
        <v>208</v>
      </c>
      <c r="C166" s="7"/>
      <c r="D166" s="7"/>
      <c r="E166" s="7"/>
      <c r="F166" s="9">
        <v>2.2000000000000002</v>
      </c>
    </row>
    <row r="167" spans="1:6" ht="15.75" thickBot="1">
      <c r="A167" s="7"/>
      <c r="B167" s="7" t="s">
        <v>209</v>
      </c>
      <c r="C167" s="7"/>
      <c r="D167" s="7"/>
      <c r="E167" s="7"/>
      <c r="F167" s="9">
        <v>2.63</v>
      </c>
    </row>
    <row r="168" spans="1:6" ht="15.75" thickBot="1">
      <c r="A168" s="7"/>
      <c r="B168" s="10" t="s">
        <v>210</v>
      </c>
      <c r="C168" s="10"/>
      <c r="D168" s="7"/>
      <c r="E168" s="7"/>
      <c r="F168" s="9">
        <v>2</v>
      </c>
    </row>
    <row r="169" spans="1:6" ht="15.75" thickBot="1">
      <c r="A169" s="7"/>
      <c r="B169" s="7" t="s">
        <v>211</v>
      </c>
      <c r="C169" s="7"/>
      <c r="D169" s="7"/>
      <c r="E169" s="7"/>
      <c r="F169" s="9">
        <v>1.47</v>
      </c>
    </row>
    <row r="170" spans="1:6" ht="15.75" thickBot="1">
      <c r="A170" s="7"/>
      <c r="B170" s="7" t="s">
        <v>212</v>
      </c>
      <c r="C170" s="7"/>
      <c r="D170" s="7"/>
      <c r="E170" s="7"/>
      <c r="F170" s="9">
        <v>1.36</v>
      </c>
    </row>
    <row r="171" spans="1:6" ht="15.75" thickBot="1">
      <c r="A171" s="7"/>
      <c r="B171" s="7" t="s">
        <v>213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214</v>
      </c>
      <c r="C172" s="7"/>
      <c r="D172" s="7"/>
      <c r="E172" s="7"/>
      <c r="F172" s="9">
        <v>1.53</v>
      </c>
    </row>
    <row r="173" spans="1:6" ht="15.75" thickBot="1">
      <c r="A173" s="7"/>
      <c r="B173" s="7" t="s">
        <v>215</v>
      </c>
      <c r="C173" s="7"/>
      <c r="D173" s="7"/>
      <c r="E173" s="7"/>
      <c r="F173" s="9">
        <v>1.24</v>
      </c>
    </row>
    <row r="174" spans="1:6" ht="15.75" thickBot="1">
      <c r="A174" s="7"/>
      <c r="B174" s="7" t="s">
        <v>216</v>
      </c>
      <c r="C174" s="7"/>
      <c r="D174" s="7"/>
      <c r="E174" s="7"/>
      <c r="F174" s="9">
        <v>1.47</v>
      </c>
    </row>
    <row r="175" spans="1:6" ht="15.75" thickBot="1">
      <c r="A175" s="7"/>
      <c r="B175" s="7" t="s">
        <v>217</v>
      </c>
      <c r="C175" s="7"/>
      <c r="D175" s="7"/>
      <c r="E175" s="7"/>
      <c r="F175" s="9">
        <v>1.55</v>
      </c>
    </row>
    <row r="176" spans="1:6" ht="15.75" thickBot="1">
      <c r="A176" s="7"/>
      <c r="B176" s="7" t="s">
        <v>218</v>
      </c>
      <c r="C176" s="7"/>
      <c r="D176" s="7"/>
      <c r="E176" s="7"/>
      <c r="F176" s="9">
        <v>1.75</v>
      </c>
    </row>
    <row r="177" spans="1:6" ht="15.75" thickBot="1">
      <c r="A177" s="7"/>
      <c r="B177" s="7" t="s">
        <v>219</v>
      </c>
      <c r="C177" s="7"/>
      <c r="D177" s="7"/>
      <c r="E177" s="7"/>
      <c r="F177" s="9">
        <v>1.7</v>
      </c>
    </row>
    <row r="178" spans="1:6" ht="15.75" thickBot="1">
      <c r="A178" s="7"/>
      <c r="B178" s="7" t="s">
        <v>220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221</v>
      </c>
      <c r="C179" s="7"/>
      <c r="D179" s="7"/>
      <c r="E179" s="7"/>
      <c r="F179" s="9">
        <v>1.53</v>
      </c>
    </row>
    <row r="180" spans="1:6" ht="15.75" thickBot="1">
      <c r="A180" s="7"/>
      <c r="B180" s="7" t="s">
        <v>222</v>
      </c>
      <c r="C180" s="7"/>
      <c r="D180" s="7"/>
      <c r="E180" s="7"/>
      <c r="F180" s="9">
        <v>1.27</v>
      </c>
    </row>
    <row r="181" spans="1:6" ht="15.75" thickBot="1">
      <c r="A181" s="7"/>
      <c r="B181" s="7" t="s">
        <v>223</v>
      </c>
      <c r="C181" s="7"/>
      <c r="D181" s="7"/>
      <c r="E181" s="7"/>
      <c r="F181" s="9">
        <v>1.3</v>
      </c>
    </row>
    <row r="182" spans="1:6" ht="15.75" thickBot="1">
      <c r="A182" s="7"/>
      <c r="B182" s="7" t="s">
        <v>224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225</v>
      </c>
      <c r="C183" s="7"/>
      <c r="D183" s="7"/>
      <c r="E183" s="7"/>
      <c r="F183" s="9">
        <v>1.4</v>
      </c>
    </row>
    <row r="184" spans="1:6" ht="15.75" thickBot="1">
      <c r="A184" s="7"/>
      <c r="B184" s="7" t="s">
        <v>226</v>
      </c>
      <c r="C184" s="7"/>
      <c r="D184" s="7"/>
      <c r="E184" s="7"/>
      <c r="F184" s="9">
        <v>1.44</v>
      </c>
    </row>
    <row r="185" spans="1:6" ht="15.75" thickBot="1">
      <c r="A185" s="7"/>
      <c r="B185" s="7" t="s">
        <v>227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228</v>
      </c>
      <c r="C186" s="7"/>
      <c r="D186" s="7"/>
      <c r="E186" s="7"/>
      <c r="F186" s="9">
        <v>1.1299999999999999</v>
      </c>
    </row>
    <row r="187" spans="1:6" ht="15.75" thickBot="1">
      <c r="A187" s="7"/>
      <c r="B187" s="7" t="s">
        <v>229</v>
      </c>
      <c r="C187" s="7"/>
      <c r="D187" s="7"/>
      <c r="E187" s="7"/>
      <c r="F187" s="9">
        <v>1.5</v>
      </c>
    </row>
    <row r="188" spans="1:6" ht="15.75" thickBot="1">
      <c r="A188" s="7"/>
      <c r="B188" s="7" t="s">
        <v>174</v>
      </c>
      <c r="C188" s="7"/>
      <c r="D188" s="7"/>
      <c r="E188" s="7"/>
      <c r="F188" s="9">
        <v>1.73</v>
      </c>
    </row>
    <row r="189" spans="1:6" ht="15.75" thickBot="1">
      <c r="A189" s="7"/>
      <c r="B189" s="7" t="s">
        <v>184</v>
      </c>
      <c r="C189" s="7"/>
      <c r="D189" s="7"/>
      <c r="E189" s="7"/>
      <c r="F189" s="9">
        <v>1.68</v>
      </c>
    </row>
    <row r="190" spans="1:6" ht="15.75" thickBot="1">
      <c r="A190" s="7"/>
      <c r="B190" s="7" t="s">
        <v>185</v>
      </c>
      <c r="C190" s="7"/>
      <c r="D190" s="7"/>
      <c r="E190" s="7"/>
      <c r="F190" s="9">
        <v>1.64</v>
      </c>
    </row>
    <row r="191" spans="1:6" ht="15.75" thickBot="1">
      <c r="A191" s="7"/>
      <c r="B191" s="7" t="s">
        <v>186</v>
      </c>
      <c r="C191" s="7"/>
      <c r="D191" s="7"/>
      <c r="E191" s="7"/>
      <c r="F191" s="9">
        <v>2.2999999999999998</v>
      </c>
    </row>
    <row r="192" spans="1:6" ht="15.75" thickBot="1">
      <c r="A192" s="7"/>
      <c r="B192" s="7" t="s">
        <v>187</v>
      </c>
      <c r="C192" s="7"/>
      <c r="D192" s="7"/>
      <c r="E192" s="7"/>
      <c r="F192" s="9">
        <v>1.96</v>
      </c>
    </row>
    <row r="193" spans="1:6" ht="15.75" thickBot="1">
      <c r="A193" s="7"/>
      <c r="B193" s="7" t="s">
        <v>188</v>
      </c>
      <c r="C193" s="7"/>
      <c r="D193" s="7"/>
      <c r="E193" s="7"/>
      <c r="F193" s="9">
        <v>1.7</v>
      </c>
    </row>
    <row r="194" spans="1:6" ht="15.75" thickBot="1">
      <c r="A194" s="7"/>
      <c r="B194" s="7" t="s">
        <v>189</v>
      </c>
      <c r="C194" s="7"/>
      <c r="D194" s="7"/>
      <c r="E194" s="7"/>
      <c r="F194" s="9">
        <v>2.7</v>
      </c>
    </row>
    <row r="195" spans="1:6" ht="15.75" thickBot="1">
      <c r="A195" s="7"/>
      <c r="B195" s="7" t="s">
        <v>190</v>
      </c>
      <c r="C195" s="7"/>
      <c r="D195" s="7"/>
      <c r="E195" s="7"/>
      <c r="F195" s="9">
        <v>2.74</v>
      </c>
    </row>
    <row r="196" spans="1:6" ht="15.75" thickBot="1">
      <c r="A196" s="7"/>
      <c r="B196" s="7" t="s">
        <v>230</v>
      </c>
      <c r="C196" s="7"/>
      <c r="D196" s="7"/>
      <c r="E196" s="7"/>
      <c r="F196" s="9">
        <v>1.36</v>
      </c>
    </row>
    <row r="197" spans="1:6" ht="15.75" thickBot="1">
      <c r="A197" s="7"/>
      <c r="B197" s="7" t="s">
        <v>231</v>
      </c>
      <c r="C197" s="7"/>
      <c r="D197" s="7"/>
      <c r="E197" s="7"/>
      <c r="F197" s="9">
        <v>2.5</v>
      </c>
    </row>
    <row r="198" spans="1:6" ht="15.75" thickBot="1">
      <c r="A198" s="7"/>
      <c r="B198" s="7" t="s">
        <v>232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233</v>
      </c>
      <c r="C199" s="7"/>
      <c r="D199" s="7"/>
      <c r="E199" s="7"/>
      <c r="F199" s="9">
        <v>1.32</v>
      </c>
    </row>
    <row r="200" spans="1:6" ht="15.75" thickBot="1">
      <c r="A200" s="7"/>
      <c r="B200" s="7" t="s">
        <v>134</v>
      </c>
      <c r="C200" s="7"/>
      <c r="D200" s="7"/>
      <c r="E200" s="7"/>
      <c r="F200" s="9">
        <v>1.36</v>
      </c>
    </row>
    <row r="201" spans="1:6" ht="15.75" thickBot="1">
      <c r="A201" s="7"/>
      <c r="B201" s="7" t="s">
        <v>234</v>
      </c>
      <c r="C201" s="7"/>
      <c r="D201" s="7"/>
      <c r="E201" s="7"/>
      <c r="F201" s="9">
        <v>1.7</v>
      </c>
    </row>
    <row r="202" spans="1:6" ht="15.75" thickBot="1">
      <c r="A202" s="7"/>
      <c r="B202" s="7" t="s">
        <v>220</v>
      </c>
      <c r="C202" s="7"/>
      <c r="D202" s="7"/>
      <c r="E202" s="7"/>
      <c r="F202" s="9">
        <v>1.3</v>
      </c>
    </row>
    <row r="203" spans="1:6" ht="15.75" thickBot="1">
      <c r="A203" s="7"/>
      <c r="B203" s="7" t="s">
        <v>235</v>
      </c>
      <c r="C203" s="7"/>
      <c r="D203" s="7"/>
      <c r="E203" s="7"/>
      <c r="F203" s="9">
        <v>1.32</v>
      </c>
    </row>
    <row r="204" spans="1:6" ht="15.75" thickBot="1">
      <c r="A204" s="7"/>
      <c r="B204" s="7" t="s">
        <v>236</v>
      </c>
      <c r="C204" s="7"/>
      <c r="D204" s="7"/>
      <c r="E204" s="7"/>
      <c r="F204" s="9">
        <v>1.27</v>
      </c>
    </row>
    <row r="205" spans="1:6" ht="15.75" thickBot="1">
      <c r="A205" s="7"/>
      <c r="B205" s="7" t="s">
        <v>237</v>
      </c>
      <c r="C205" s="7"/>
      <c r="D205" s="7"/>
      <c r="E205" s="7"/>
      <c r="F205" s="9">
        <v>1.4</v>
      </c>
    </row>
    <row r="206" spans="1:6" ht="15.75" thickBot="1">
      <c r="A206" s="7"/>
      <c r="B206" s="7" t="s">
        <v>238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239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240</v>
      </c>
      <c r="C208" s="7"/>
      <c r="D208" s="7"/>
      <c r="E208" s="7"/>
      <c r="F208" s="9">
        <v>2</v>
      </c>
    </row>
    <row r="209" spans="1:6" ht="15.75" thickBot="1">
      <c r="A209" s="7"/>
      <c r="B209" s="7" t="s">
        <v>241</v>
      </c>
      <c r="C209" s="7"/>
      <c r="D209" s="7"/>
      <c r="E209" s="7"/>
      <c r="F209" s="9">
        <v>1.8</v>
      </c>
    </row>
    <row r="210" spans="1:6" ht="15.75" thickBot="1">
      <c r="A210" s="7"/>
      <c r="B210" s="7" t="s">
        <v>209</v>
      </c>
      <c r="C210" s="7"/>
      <c r="D210" s="7"/>
      <c r="E210" s="7"/>
      <c r="F210" s="9">
        <v>2.63</v>
      </c>
    </row>
    <row r="211" spans="1:6" ht="15.75" thickBot="1">
      <c r="A211" s="7"/>
      <c r="B211" s="7" t="s">
        <v>242</v>
      </c>
      <c r="C211" s="7"/>
      <c r="D211" s="7"/>
      <c r="E211" s="7"/>
      <c r="F211" s="9">
        <v>1.47</v>
      </c>
    </row>
    <row r="212" spans="1:6" ht="15.75" thickBot="1">
      <c r="A212" s="7"/>
      <c r="B212" s="7" t="s">
        <v>243</v>
      </c>
      <c r="C212" s="7"/>
      <c r="D212" s="7"/>
      <c r="E212" s="7"/>
      <c r="F212" s="9">
        <v>1.36</v>
      </c>
    </row>
    <row r="213" spans="1:6" ht="15.75" thickBot="1">
      <c r="A213" s="7"/>
      <c r="B213" s="7" t="s">
        <v>244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221</v>
      </c>
      <c r="C214" s="7"/>
      <c r="D214" s="7"/>
      <c r="E214" s="7"/>
      <c r="F214" s="9">
        <v>1.53</v>
      </c>
    </row>
    <row r="215" spans="1:6" ht="15.75" thickBot="1">
      <c r="A215" s="7"/>
      <c r="B215" s="7" t="s">
        <v>245</v>
      </c>
      <c r="C215" s="7"/>
      <c r="D215" s="7"/>
      <c r="E215" s="7"/>
      <c r="F215" s="9">
        <v>1.24</v>
      </c>
    </row>
    <row r="216" spans="1:6" ht="15.75" thickBot="1">
      <c r="A216" s="7"/>
      <c r="B216" s="7" t="s">
        <v>246</v>
      </c>
      <c r="C216" s="7"/>
      <c r="D216" s="7"/>
      <c r="E216" s="7"/>
      <c r="F216" s="9">
        <v>1.47</v>
      </c>
    </row>
    <row r="217" spans="1:6" ht="15.75" thickBot="1">
      <c r="A217" s="7"/>
      <c r="B217" s="7" t="s">
        <v>247</v>
      </c>
      <c r="C217" s="7"/>
      <c r="D217" s="7"/>
      <c r="E217" s="7"/>
      <c r="F217" s="9">
        <v>1.75</v>
      </c>
    </row>
    <row r="218" spans="1:6" ht="15.75" thickBot="1">
      <c r="A218" s="7"/>
      <c r="B218" s="7" t="s">
        <v>248</v>
      </c>
      <c r="C218" s="7"/>
      <c r="D218" s="7"/>
      <c r="E218" s="7"/>
      <c r="F218" s="9">
        <v>1.9</v>
      </c>
    </row>
    <row r="219" spans="1:6" ht="15.75" thickBot="1">
      <c r="A219" s="7"/>
      <c r="B219" s="11" t="s">
        <v>249</v>
      </c>
      <c r="C219" s="11"/>
      <c r="D219" s="7"/>
      <c r="E219" s="7"/>
      <c r="F219" s="9">
        <v>1.9</v>
      </c>
    </row>
    <row r="220" spans="1:6" ht="15.75" thickBot="1">
      <c r="A220" s="7"/>
      <c r="B220" s="7" t="s">
        <v>250</v>
      </c>
      <c r="C220" s="7"/>
      <c r="D220" s="7"/>
      <c r="E220" s="7"/>
      <c r="F220" s="9">
        <v>1.9</v>
      </c>
    </row>
    <row r="221" spans="1:6" ht="15.75" thickBot="1">
      <c r="A221" s="7"/>
      <c r="B221" s="10" t="s">
        <v>251</v>
      </c>
      <c r="C221" s="10"/>
      <c r="D221" s="7"/>
      <c r="E221" s="7"/>
      <c r="F221" s="9">
        <v>1.5</v>
      </c>
    </row>
    <row r="222" spans="1:6" ht="15.75" thickBot="1">
      <c r="A222" s="7"/>
      <c r="B222" s="10" t="s">
        <v>252</v>
      </c>
      <c r="C222" s="10"/>
      <c r="D222" s="7"/>
      <c r="E222" s="7"/>
      <c r="F222" s="9">
        <v>1.9</v>
      </c>
    </row>
    <row r="223" spans="1:6" ht="15.75" thickBot="1">
      <c r="A223" s="7"/>
      <c r="B223" s="7" t="s">
        <v>253</v>
      </c>
      <c r="C223" s="7"/>
      <c r="D223" s="7"/>
      <c r="E223" s="7"/>
      <c r="F223" s="9">
        <v>0.78</v>
      </c>
    </row>
    <row r="224" spans="1:6" ht="15.75" thickBot="1">
      <c r="A224" s="7"/>
      <c r="B224" s="11" t="s">
        <v>254</v>
      </c>
      <c r="C224" s="11"/>
      <c r="D224" s="7"/>
      <c r="E224" s="7"/>
      <c r="F224" s="9">
        <v>1.5</v>
      </c>
    </row>
    <row r="225" spans="1:6" ht="15.75" thickBot="1">
      <c r="A225" s="7"/>
      <c r="B225" s="7" t="s">
        <v>255</v>
      </c>
      <c r="C225" s="7"/>
      <c r="D225" s="7"/>
      <c r="E225" s="7"/>
      <c r="F225" s="9">
        <v>2.54</v>
      </c>
    </row>
    <row r="226" spans="1:6" ht="15.75" thickBot="1">
      <c r="A226" s="7"/>
      <c r="B226" s="7" t="s">
        <v>256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257</v>
      </c>
      <c r="C227" s="7"/>
      <c r="D227" s="7"/>
      <c r="E227" s="7"/>
      <c r="F227" s="9">
        <v>1.2</v>
      </c>
    </row>
    <row r="228" spans="1:6" ht="15.75" thickBot="1">
      <c r="A228" s="7"/>
      <c r="B228" s="7" t="s">
        <v>258</v>
      </c>
      <c r="C228" s="7"/>
      <c r="D228" s="7"/>
      <c r="E228" s="7"/>
      <c r="F228" s="9">
        <v>1.4</v>
      </c>
    </row>
    <row r="229" spans="1:6" ht="15.75" thickBot="1">
      <c r="A229" s="7"/>
      <c r="B229" s="7" t="s">
        <v>259</v>
      </c>
      <c r="C229" s="7"/>
      <c r="D229" s="7"/>
      <c r="E229" s="7"/>
      <c r="F229" s="9">
        <v>2.2999999999999998</v>
      </c>
    </row>
    <row r="230" spans="1:6" ht="15.75" thickBot="1">
      <c r="A230" s="7"/>
      <c r="B230" s="7" t="s">
        <v>260</v>
      </c>
      <c r="C230" s="7"/>
      <c r="D230" s="7"/>
      <c r="E230" s="7"/>
      <c r="F230" s="9">
        <v>0.33</v>
      </c>
    </row>
    <row r="231" spans="1:6" ht="15.75" thickBot="1">
      <c r="A231" s="7"/>
      <c r="B231" s="7" t="s">
        <v>261</v>
      </c>
      <c r="C231" s="7"/>
      <c r="D231" s="7"/>
      <c r="E231" s="7"/>
      <c r="F231" s="9">
        <v>4.45</v>
      </c>
    </row>
    <row r="232" spans="1:6" ht="15.75" thickBot="1">
      <c r="A232" s="27"/>
      <c r="B232" s="27" t="s">
        <v>262</v>
      </c>
      <c r="C232" s="27"/>
      <c r="D232" s="27"/>
      <c r="E232" s="7"/>
      <c r="F232" s="9">
        <v>4.3</v>
      </c>
    </row>
    <row r="233" spans="1:6" ht="15.75" thickBot="1">
      <c r="A233" s="27"/>
      <c r="B233" s="27" t="s">
        <v>263</v>
      </c>
      <c r="C233" s="27"/>
      <c r="D233" s="27"/>
      <c r="E233" s="7"/>
      <c r="F233" s="9">
        <v>4.57</v>
      </c>
    </row>
    <row r="234" spans="1:6" ht="15.75" thickBot="1">
      <c r="A234" s="27"/>
      <c r="B234" s="27" t="s">
        <v>264</v>
      </c>
      <c r="C234" s="27"/>
      <c r="D234" s="27"/>
      <c r="E234" s="7"/>
      <c r="F234" s="9">
        <v>4.9000000000000004</v>
      </c>
    </row>
    <row r="235" spans="1:6" ht="15.75" thickBot="1">
      <c r="A235" s="27"/>
      <c r="B235" s="28" t="s">
        <v>265</v>
      </c>
      <c r="C235" s="28"/>
      <c r="D235" s="27"/>
      <c r="E235" s="7"/>
      <c r="F235" s="9">
        <v>1.67</v>
      </c>
    </row>
    <row r="236" spans="1:6" ht="15.75" thickBot="1">
      <c r="A236" s="27"/>
      <c r="B236" s="28" t="s">
        <v>266</v>
      </c>
      <c r="C236" s="28"/>
      <c r="D236" s="27"/>
      <c r="E236" s="7"/>
      <c r="F236" s="9">
        <v>2.5</v>
      </c>
    </row>
    <row r="237" spans="1:6" ht="15.75" thickBot="1">
      <c r="A237" s="27"/>
      <c r="B237" s="28" t="s">
        <v>267</v>
      </c>
      <c r="C237" s="28"/>
      <c r="D237" s="27"/>
      <c r="E237" s="7"/>
      <c r="F237" s="9">
        <v>1.78</v>
      </c>
    </row>
    <row r="238" spans="1:6" ht="15.75" thickBot="1">
      <c r="A238" s="27"/>
      <c r="B238" s="28" t="s">
        <v>268</v>
      </c>
      <c r="C238" s="28"/>
      <c r="D238" s="27"/>
      <c r="E238" s="7"/>
      <c r="F238" s="9">
        <v>1.7</v>
      </c>
    </row>
    <row r="239" spans="1:6" ht="15.75" thickBot="1">
      <c r="A239" s="27"/>
      <c r="B239" s="28" t="s">
        <v>269</v>
      </c>
      <c r="C239" s="28"/>
      <c r="D239" s="27"/>
      <c r="E239" s="7"/>
      <c r="F239" s="9">
        <v>7.6</v>
      </c>
    </row>
    <row r="240" spans="1:6">
      <c r="B240" t="s">
        <v>124</v>
      </c>
      <c r="F240">
        <v>2</v>
      </c>
    </row>
    <row r="241" spans="2:6">
      <c r="B241" t="s">
        <v>124</v>
      </c>
      <c r="F241">
        <v>2</v>
      </c>
    </row>
    <row r="242" spans="2:6">
      <c r="B242" t="s">
        <v>124</v>
      </c>
      <c r="F242">
        <v>2</v>
      </c>
    </row>
    <row r="243" spans="2:6">
      <c r="B243" t="s">
        <v>124</v>
      </c>
      <c r="F243">
        <v>2</v>
      </c>
    </row>
    <row r="244" spans="2:6">
      <c r="B244" t="s">
        <v>125</v>
      </c>
      <c r="F244">
        <v>1.74</v>
      </c>
    </row>
    <row r="245" spans="2:6">
      <c r="B245" t="s">
        <v>124</v>
      </c>
      <c r="F245">
        <v>2</v>
      </c>
    </row>
    <row r="246" spans="2:6">
      <c r="B246" t="s">
        <v>125</v>
      </c>
      <c r="F246">
        <v>1.74</v>
      </c>
    </row>
    <row r="247" spans="2:6">
      <c r="B247" t="s">
        <v>126</v>
      </c>
      <c r="F247">
        <v>1.8</v>
      </c>
    </row>
    <row r="248" spans="2:6">
      <c r="B248" t="s">
        <v>124</v>
      </c>
      <c r="F248">
        <v>2</v>
      </c>
    </row>
    <row r="249" spans="2:6">
      <c r="B249" t="s">
        <v>127</v>
      </c>
      <c r="F249">
        <v>1.8</v>
      </c>
    </row>
    <row r="250" spans="2:6">
      <c r="B250" t="s">
        <v>128</v>
      </c>
      <c r="F250">
        <v>1.26</v>
      </c>
    </row>
    <row r="251" spans="2:6">
      <c r="B251" t="s">
        <v>129</v>
      </c>
      <c r="F251">
        <v>1.26</v>
      </c>
    </row>
    <row r="252" spans="2:6">
      <c r="B252" t="s">
        <v>130</v>
      </c>
      <c r="F252">
        <v>1.26</v>
      </c>
    </row>
    <row r="253" spans="2:6">
      <c r="B253" t="s">
        <v>131</v>
      </c>
      <c r="F253">
        <v>1.26</v>
      </c>
    </row>
    <row r="254" spans="2:6">
      <c r="B254" t="s">
        <v>132</v>
      </c>
      <c r="F254">
        <v>1.17</v>
      </c>
    </row>
    <row r="255" spans="2:6">
      <c r="B255" t="s">
        <v>133</v>
      </c>
      <c r="F255">
        <v>1.8</v>
      </c>
    </row>
    <row r="256" spans="2:6">
      <c r="B256" t="s">
        <v>134</v>
      </c>
      <c r="F256">
        <v>1.35</v>
      </c>
    </row>
    <row r="257" spans="2:6">
      <c r="B257" t="s">
        <v>135</v>
      </c>
      <c r="F257">
        <v>1.1000000000000001</v>
      </c>
    </row>
    <row r="258" spans="2:6">
      <c r="B258" t="s">
        <v>136</v>
      </c>
      <c r="F258">
        <v>1.2</v>
      </c>
    </row>
    <row r="259" spans="2:6">
      <c r="B259" t="s">
        <v>137</v>
      </c>
      <c r="F259">
        <v>1.26</v>
      </c>
    </row>
    <row r="260" spans="2:6">
      <c r="B260" t="s">
        <v>138</v>
      </c>
      <c r="F260">
        <v>1.27</v>
      </c>
    </row>
    <row r="261" spans="2:6">
      <c r="B261" t="s">
        <v>138</v>
      </c>
      <c r="F261">
        <v>1.27</v>
      </c>
    </row>
    <row r="262" spans="2:6">
      <c r="B262" t="s">
        <v>139</v>
      </c>
      <c r="F262">
        <v>1.3</v>
      </c>
    </row>
    <row r="263" spans="2:6">
      <c r="B263" t="s">
        <v>140</v>
      </c>
      <c r="F263">
        <v>1.4</v>
      </c>
    </row>
    <row r="264" spans="2:6">
      <c r="B264" t="s">
        <v>141</v>
      </c>
      <c r="F264">
        <v>1.4</v>
      </c>
    </row>
    <row r="265" spans="2:6">
      <c r="B265" t="s">
        <v>142</v>
      </c>
      <c r="F265">
        <v>3.26</v>
      </c>
    </row>
    <row r="266" spans="2:6">
      <c r="B266" t="s">
        <v>143</v>
      </c>
      <c r="F266">
        <v>5.23</v>
      </c>
    </row>
    <row r="267" spans="2:6">
      <c r="B267" t="s">
        <v>144</v>
      </c>
      <c r="F267">
        <v>7.5</v>
      </c>
    </row>
    <row r="268" spans="2:6">
      <c r="B268" t="s">
        <v>145</v>
      </c>
      <c r="F268">
        <v>6.6</v>
      </c>
    </row>
    <row r="269" spans="2:6">
      <c r="B269" t="s">
        <v>146</v>
      </c>
      <c r="F269">
        <v>1.3</v>
      </c>
    </row>
    <row r="270" spans="2:6">
      <c r="B270" t="s">
        <v>147</v>
      </c>
      <c r="F270">
        <v>7.65</v>
      </c>
    </row>
    <row r="271" spans="2:6">
      <c r="B271" t="s">
        <v>148</v>
      </c>
      <c r="F271">
        <v>5.26</v>
      </c>
    </row>
    <row r="272" spans="2:6">
      <c r="B272" t="s">
        <v>149</v>
      </c>
      <c r="F272">
        <v>9</v>
      </c>
    </row>
    <row r="273" spans="2:6">
      <c r="B273" t="s">
        <v>150</v>
      </c>
      <c r="F273">
        <v>2.2999999999999998</v>
      </c>
    </row>
    <row r="274" spans="2:6">
      <c r="B274" t="s">
        <v>151</v>
      </c>
      <c r="F274">
        <v>2.2999999999999998</v>
      </c>
    </row>
    <row r="275" spans="2:6">
      <c r="B275" t="s">
        <v>152</v>
      </c>
      <c r="F275">
        <v>5.26</v>
      </c>
    </row>
    <row r="276" spans="2:6">
      <c r="B276" t="s">
        <v>153</v>
      </c>
      <c r="F276">
        <v>9.4</v>
      </c>
    </row>
    <row r="277" spans="2:6">
      <c r="B277" t="s">
        <v>154</v>
      </c>
      <c r="F277">
        <v>5.9</v>
      </c>
    </row>
    <row r="278" spans="2:6">
      <c r="B278" t="s">
        <v>155</v>
      </c>
      <c r="F278">
        <v>5.26</v>
      </c>
    </row>
    <row r="279" spans="2:6">
      <c r="B279" t="s">
        <v>156</v>
      </c>
      <c r="F279">
        <v>1.3</v>
      </c>
    </row>
    <row r="280" spans="2:6">
      <c r="B280" t="s">
        <v>157</v>
      </c>
      <c r="F280">
        <v>3</v>
      </c>
    </row>
    <row r="281" spans="2:6">
      <c r="B281" t="s">
        <v>158</v>
      </c>
      <c r="F281">
        <v>3</v>
      </c>
    </row>
    <row r="282" spans="2:6">
      <c r="B282" t="s">
        <v>159</v>
      </c>
      <c r="F282">
        <v>5.2</v>
      </c>
    </row>
    <row r="283" spans="2:6">
      <c r="B283" t="s">
        <v>160</v>
      </c>
      <c r="F283">
        <v>4.25</v>
      </c>
    </row>
    <row r="284" spans="2:6">
      <c r="B284" t="s">
        <v>161</v>
      </c>
      <c r="F284">
        <v>3.33</v>
      </c>
    </row>
    <row r="285" spans="2:6">
      <c r="B285" t="s">
        <v>162</v>
      </c>
      <c r="F285">
        <v>2.8</v>
      </c>
    </row>
    <row r="286" spans="2:6">
      <c r="B286" t="s">
        <v>163</v>
      </c>
      <c r="F286">
        <v>1.7</v>
      </c>
    </row>
    <row r="287" spans="2:6">
      <c r="B287" t="s">
        <v>164</v>
      </c>
      <c r="F287">
        <v>1.48</v>
      </c>
    </row>
    <row r="288" spans="2:6">
      <c r="B288" t="s">
        <v>165</v>
      </c>
      <c r="F288">
        <v>3.33</v>
      </c>
    </row>
    <row r="289" spans="2:6">
      <c r="B289" t="s">
        <v>166</v>
      </c>
      <c r="F289">
        <v>0.75</v>
      </c>
    </row>
    <row r="290" spans="2:6">
      <c r="B290" t="s">
        <v>167</v>
      </c>
      <c r="F290">
        <v>4.25</v>
      </c>
    </row>
    <row r="291" spans="2:6">
      <c r="B291" t="s">
        <v>168</v>
      </c>
      <c r="F291">
        <v>1.44</v>
      </c>
    </row>
    <row r="292" spans="2:6">
      <c r="B292" t="s">
        <v>169</v>
      </c>
      <c r="F292">
        <v>1.1299999999999999</v>
      </c>
    </row>
    <row r="293" spans="2:6">
      <c r="B293" t="s">
        <v>170</v>
      </c>
      <c r="F293">
        <v>1.1299999999999999</v>
      </c>
    </row>
    <row r="294" spans="2:6">
      <c r="B294" t="s">
        <v>171</v>
      </c>
      <c r="F294">
        <v>1.5</v>
      </c>
    </row>
    <row r="295" spans="2:6">
      <c r="B295" t="s">
        <v>172</v>
      </c>
      <c r="F295">
        <v>1.46</v>
      </c>
    </row>
    <row r="296" spans="2:6">
      <c r="B296" t="s">
        <v>173</v>
      </c>
      <c r="F296">
        <v>1.18</v>
      </c>
    </row>
    <row r="297" spans="2:6">
      <c r="B297" t="s">
        <v>174</v>
      </c>
      <c r="F297">
        <v>1.73</v>
      </c>
    </row>
    <row r="298" spans="2:6">
      <c r="B298" t="s">
        <v>175</v>
      </c>
      <c r="F298">
        <v>1.73</v>
      </c>
    </row>
    <row r="299" spans="2:6">
      <c r="B299" t="s">
        <v>176</v>
      </c>
      <c r="F299">
        <v>1.68</v>
      </c>
    </row>
    <row r="300" spans="2:6">
      <c r="B300" t="s">
        <v>177</v>
      </c>
      <c r="F300">
        <v>1.64</v>
      </c>
    </row>
    <row r="301" spans="2:6">
      <c r="B301" t="s">
        <v>178</v>
      </c>
      <c r="F301">
        <v>2.2999999999999998</v>
      </c>
    </row>
    <row r="302" spans="2:6">
      <c r="B302" t="s">
        <v>179</v>
      </c>
      <c r="F302">
        <v>1.96</v>
      </c>
    </row>
    <row r="303" spans="2:6">
      <c r="B303" t="s">
        <v>180</v>
      </c>
      <c r="F303">
        <v>1.7</v>
      </c>
    </row>
    <row r="304" spans="2:6">
      <c r="B304" t="s">
        <v>181</v>
      </c>
      <c r="F304">
        <v>2.7</v>
      </c>
    </row>
    <row r="305" spans="2:6">
      <c r="B305" t="s">
        <v>182</v>
      </c>
      <c r="F305">
        <v>2.74</v>
      </c>
    </row>
    <row r="306" spans="2:6">
      <c r="B306" t="s">
        <v>183</v>
      </c>
      <c r="F306">
        <v>2</v>
      </c>
    </row>
    <row r="307" spans="2:6">
      <c r="B307" t="s">
        <v>174</v>
      </c>
      <c r="F307">
        <v>1.73</v>
      </c>
    </row>
    <row r="308" spans="2:6">
      <c r="B308" t="s">
        <v>184</v>
      </c>
      <c r="F308">
        <v>1.68</v>
      </c>
    </row>
    <row r="309" spans="2:6">
      <c r="B309" t="s">
        <v>185</v>
      </c>
      <c r="F309">
        <v>1.64</v>
      </c>
    </row>
    <row r="310" spans="2:6">
      <c r="B310" t="s">
        <v>186</v>
      </c>
      <c r="F310">
        <v>2.2999999999999998</v>
      </c>
    </row>
    <row r="311" spans="2:6">
      <c r="B311" t="s">
        <v>187</v>
      </c>
      <c r="F311">
        <v>1.96</v>
      </c>
    </row>
    <row r="312" spans="2:6">
      <c r="B312" t="s">
        <v>188</v>
      </c>
      <c r="F312">
        <v>1.7</v>
      </c>
    </row>
    <row r="313" spans="2:6">
      <c r="B313" t="s">
        <v>189</v>
      </c>
      <c r="F313">
        <v>2.7</v>
      </c>
    </row>
    <row r="314" spans="2:6">
      <c r="B314" t="s">
        <v>190</v>
      </c>
      <c r="F314">
        <v>2.74</v>
      </c>
    </row>
    <row r="315" spans="2:6">
      <c r="B315" t="s">
        <v>191</v>
      </c>
      <c r="F315">
        <v>1.36</v>
      </c>
    </row>
    <row r="316" spans="2:6">
      <c r="B316" t="s">
        <v>192</v>
      </c>
      <c r="F316">
        <v>1.4</v>
      </c>
    </row>
    <row r="317" spans="2:6">
      <c r="B317" t="s">
        <v>193</v>
      </c>
      <c r="F317">
        <v>2.5</v>
      </c>
    </row>
    <row r="318" spans="2:6">
      <c r="B318" t="s">
        <v>194</v>
      </c>
      <c r="F318">
        <v>1.7</v>
      </c>
    </row>
    <row r="319" spans="2:6">
      <c r="B319" t="s">
        <v>195</v>
      </c>
      <c r="F319">
        <v>1.32</v>
      </c>
    </row>
    <row r="320" spans="2:6">
      <c r="B320" t="s">
        <v>196</v>
      </c>
      <c r="F320">
        <v>1.36</v>
      </c>
    </row>
    <row r="321" spans="2:6">
      <c r="B321" t="s">
        <v>197</v>
      </c>
      <c r="F321">
        <v>1.7</v>
      </c>
    </row>
    <row r="322" spans="2:6">
      <c r="B322" t="s">
        <v>198</v>
      </c>
      <c r="F322">
        <v>1.3</v>
      </c>
    </row>
    <row r="323" spans="2:6">
      <c r="B323" t="s">
        <v>199</v>
      </c>
      <c r="F323">
        <v>1.8</v>
      </c>
    </row>
    <row r="324" spans="2:6">
      <c r="B324" t="s">
        <v>200</v>
      </c>
      <c r="F324">
        <v>1.32</v>
      </c>
    </row>
    <row r="325" spans="2:6">
      <c r="B325" t="s">
        <v>201</v>
      </c>
      <c r="F325">
        <v>1.27</v>
      </c>
    </row>
    <row r="326" spans="2:6">
      <c r="B326" t="s">
        <v>202</v>
      </c>
      <c r="F326">
        <v>1.4</v>
      </c>
    </row>
    <row r="327" spans="2:6">
      <c r="B327" t="s">
        <v>199</v>
      </c>
      <c r="F327">
        <v>1.8</v>
      </c>
    </row>
    <row r="328" spans="2:6">
      <c r="B328" t="s">
        <v>203</v>
      </c>
      <c r="F328">
        <v>1.4</v>
      </c>
    </row>
    <row r="329" spans="2:6">
      <c r="B329" t="s">
        <v>204</v>
      </c>
      <c r="F329">
        <v>2.63</v>
      </c>
    </row>
    <row r="330" spans="2:6">
      <c r="B330" t="s">
        <v>205</v>
      </c>
      <c r="F330">
        <v>2.63</v>
      </c>
    </row>
    <row r="331" spans="2:6">
      <c r="B331" t="s">
        <v>206</v>
      </c>
      <c r="F331">
        <v>2</v>
      </c>
    </row>
    <row r="332" spans="2:6">
      <c r="B332" t="s">
        <v>207</v>
      </c>
      <c r="F332">
        <v>1.8</v>
      </c>
    </row>
    <row r="333" spans="2:6">
      <c r="B333" t="s">
        <v>208</v>
      </c>
      <c r="F333">
        <v>2.2000000000000002</v>
      </c>
    </row>
    <row r="334" spans="2:6">
      <c r="B334" t="s">
        <v>209</v>
      </c>
      <c r="F334">
        <v>2.63</v>
      </c>
    </row>
    <row r="335" spans="2:6">
      <c r="B335" t="s">
        <v>210</v>
      </c>
      <c r="F335">
        <v>2</v>
      </c>
    </row>
    <row r="336" spans="2:6">
      <c r="B336" t="s">
        <v>211</v>
      </c>
      <c r="F336">
        <v>1.47</v>
      </c>
    </row>
    <row r="337" spans="2:6">
      <c r="B337" t="s">
        <v>212</v>
      </c>
      <c r="F337">
        <v>1.36</v>
      </c>
    </row>
    <row r="338" spans="2:6">
      <c r="B338" t="s">
        <v>213</v>
      </c>
      <c r="F338">
        <v>1.47</v>
      </c>
    </row>
    <row r="339" spans="2:6">
      <c r="B339" t="s">
        <v>214</v>
      </c>
      <c r="F339">
        <v>1.53</v>
      </c>
    </row>
    <row r="340" spans="2:6">
      <c r="B340" t="s">
        <v>215</v>
      </c>
      <c r="F340">
        <v>1.24</v>
      </c>
    </row>
    <row r="341" spans="2:6">
      <c r="B341" t="s">
        <v>216</v>
      </c>
      <c r="F341">
        <v>1.47</v>
      </c>
    </row>
    <row r="342" spans="2:6">
      <c r="B342" t="s">
        <v>217</v>
      </c>
      <c r="F342">
        <v>1.55</v>
      </c>
    </row>
    <row r="343" spans="2:6">
      <c r="B343" t="s">
        <v>218</v>
      </c>
      <c r="F343">
        <v>1.75</v>
      </c>
    </row>
    <row r="344" spans="2:6">
      <c r="B344" t="s">
        <v>219</v>
      </c>
      <c r="F344">
        <v>1.7</v>
      </c>
    </row>
    <row r="345" spans="2:6">
      <c r="B345" t="s">
        <v>220</v>
      </c>
      <c r="F345">
        <v>1.3</v>
      </c>
    </row>
    <row r="346" spans="2:6">
      <c r="B346" t="s">
        <v>221</v>
      </c>
      <c r="F346">
        <v>1.53</v>
      </c>
    </row>
    <row r="347" spans="2:6">
      <c r="B347" t="s">
        <v>222</v>
      </c>
      <c r="F347">
        <v>1.27</v>
      </c>
    </row>
    <row r="348" spans="2:6">
      <c r="B348" t="s">
        <v>223</v>
      </c>
      <c r="F348">
        <v>1.3</v>
      </c>
    </row>
    <row r="349" spans="2:6">
      <c r="B349" t="s">
        <v>224</v>
      </c>
      <c r="F349">
        <v>1.4</v>
      </c>
    </row>
    <row r="350" spans="2:6">
      <c r="B350" t="s">
        <v>225</v>
      </c>
      <c r="F350">
        <v>1.4</v>
      </c>
    </row>
    <row r="351" spans="2:6">
      <c r="B351" t="s">
        <v>226</v>
      </c>
      <c r="F351">
        <v>1.44</v>
      </c>
    </row>
    <row r="352" spans="2:6">
      <c r="B352" t="s">
        <v>227</v>
      </c>
      <c r="F352">
        <v>1.1299999999999999</v>
      </c>
    </row>
    <row r="353" spans="2:6">
      <c r="B353" t="s">
        <v>228</v>
      </c>
      <c r="F353">
        <v>1.1299999999999999</v>
      </c>
    </row>
    <row r="354" spans="2:6">
      <c r="B354" t="s">
        <v>229</v>
      </c>
      <c r="F354">
        <v>1.5</v>
      </c>
    </row>
    <row r="355" spans="2:6">
      <c r="B355" t="s">
        <v>174</v>
      </c>
      <c r="F355">
        <v>1.73</v>
      </c>
    </row>
    <row r="356" spans="2:6">
      <c r="B356" t="s">
        <v>184</v>
      </c>
      <c r="F356">
        <v>1.68</v>
      </c>
    </row>
    <row r="357" spans="2:6">
      <c r="B357" t="s">
        <v>185</v>
      </c>
      <c r="F357">
        <v>1.64</v>
      </c>
    </row>
    <row r="358" spans="2:6">
      <c r="B358" t="s">
        <v>186</v>
      </c>
      <c r="F358">
        <v>2.2999999999999998</v>
      </c>
    </row>
    <row r="359" spans="2:6">
      <c r="B359" t="s">
        <v>187</v>
      </c>
      <c r="F359">
        <v>1.96</v>
      </c>
    </row>
    <row r="360" spans="2:6">
      <c r="B360" t="s">
        <v>188</v>
      </c>
      <c r="F360">
        <v>1.7</v>
      </c>
    </row>
    <row r="361" spans="2:6">
      <c r="B361" t="s">
        <v>189</v>
      </c>
      <c r="F361">
        <v>2.7</v>
      </c>
    </row>
    <row r="362" spans="2:6">
      <c r="B362" t="s">
        <v>190</v>
      </c>
      <c r="F362">
        <v>2.74</v>
      </c>
    </row>
    <row r="363" spans="2:6">
      <c r="B363" t="s">
        <v>230</v>
      </c>
      <c r="F363">
        <v>1.36</v>
      </c>
    </row>
    <row r="364" spans="2:6">
      <c r="B364" t="s">
        <v>231</v>
      </c>
      <c r="F364">
        <v>2.5</v>
      </c>
    </row>
    <row r="365" spans="2:6">
      <c r="B365" t="s">
        <v>232</v>
      </c>
      <c r="F365">
        <v>1.7</v>
      </c>
    </row>
    <row r="366" spans="2:6">
      <c r="B366" t="s">
        <v>233</v>
      </c>
      <c r="F366">
        <v>1.32</v>
      </c>
    </row>
    <row r="367" spans="2:6">
      <c r="B367" t="s">
        <v>134</v>
      </c>
      <c r="F367">
        <v>1.36</v>
      </c>
    </row>
    <row r="368" spans="2:6">
      <c r="B368" t="s">
        <v>234</v>
      </c>
      <c r="F368">
        <v>1.7</v>
      </c>
    </row>
    <row r="369" spans="2:6">
      <c r="B369" t="s">
        <v>220</v>
      </c>
      <c r="F369">
        <v>1.3</v>
      </c>
    </row>
    <row r="370" spans="2:6">
      <c r="B370" t="s">
        <v>235</v>
      </c>
      <c r="F370">
        <v>1.32</v>
      </c>
    </row>
    <row r="371" spans="2:6">
      <c r="B371" t="s">
        <v>236</v>
      </c>
      <c r="F371">
        <v>1.27</v>
      </c>
    </row>
    <row r="372" spans="2:6">
      <c r="B372" t="s">
        <v>237</v>
      </c>
      <c r="F372">
        <v>1.4</v>
      </c>
    </row>
    <row r="373" spans="2:6">
      <c r="B373" t="s">
        <v>238</v>
      </c>
      <c r="F373">
        <v>2.63</v>
      </c>
    </row>
    <row r="374" spans="2:6">
      <c r="B374" t="s">
        <v>239</v>
      </c>
      <c r="F374">
        <v>2.63</v>
      </c>
    </row>
    <row r="375" spans="2:6">
      <c r="B375" t="s">
        <v>240</v>
      </c>
      <c r="F375">
        <v>2</v>
      </c>
    </row>
    <row r="376" spans="2:6">
      <c r="B376" t="s">
        <v>241</v>
      </c>
      <c r="F376">
        <v>1.8</v>
      </c>
    </row>
    <row r="377" spans="2:6">
      <c r="B377" t="s">
        <v>209</v>
      </c>
      <c r="F377">
        <v>2.63</v>
      </c>
    </row>
    <row r="378" spans="2:6">
      <c r="B378" t="s">
        <v>242</v>
      </c>
      <c r="F378">
        <v>1.47</v>
      </c>
    </row>
    <row r="379" spans="2:6">
      <c r="B379" t="s">
        <v>243</v>
      </c>
      <c r="F379">
        <v>1.36</v>
      </c>
    </row>
    <row r="380" spans="2:6">
      <c r="B380" t="s">
        <v>244</v>
      </c>
      <c r="F380">
        <v>1.47</v>
      </c>
    </row>
    <row r="381" spans="2:6">
      <c r="B381" t="s">
        <v>221</v>
      </c>
      <c r="F381">
        <v>1.53</v>
      </c>
    </row>
    <row r="382" spans="2:6">
      <c r="B382" t="s">
        <v>245</v>
      </c>
      <c r="F382">
        <v>1.24</v>
      </c>
    </row>
    <row r="383" spans="2:6">
      <c r="B383" t="s">
        <v>246</v>
      </c>
      <c r="F383">
        <v>1.47</v>
      </c>
    </row>
    <row r="384" spans="2:6">
      <c r="B384" t="s">
        <v>247</v>
      </c>
      <c r="F384">
        <v>1.75</v>
      </c>
    </row>
    <row r="385" spans="2:6">
      <c r="B385" t="s">
        <v>248</v>
      </c>
      <c r="F385">
        <v>1.9</v>
      </c>
    </row>
    <row r="386" spans="2:6">
      <c r="B386" t="s">
        <v>249</v>
      </c>
      <c r="F386">
        <v>1.9</v>
      </c>
    </row>
    <row r="387" spans="2:6">
      <c r="B387" t="s">
        <v>250</v>
      </c>
      <c r="F387">
        <v>1.9</v>
      </c>
    </row>
    <row r="388" spans="2:6">
      <c r="B388" t="s">
        <v>251</v>
      </c>
      <c r="F388">
        <v>1.5</v>
      </c>
    </row>
    <row r="389" spans="2:6">
      <c r="B389" t="s">
        <v>252</v>
      </c>
      <c r="F389">
        <v>1.9</v>
      </c>
    </row>
    <row r="390" spans="2:6">
      <c r="B390" t="s">
        <v>253</v>
      </c>
      <c r="F390">
        <v>0.78</v>
      </c>
    </row>
    <row r="391" spans="2:6">
      <c r="B391" t="s">
        <v>254</v>
      </c>
      <c r="F391">
        <v>1.5</v>
      </c>
    </row>
    <row r="392" spans="2:6">
      <c r="B392" t="s">
        <v>255</v>
      </c>
      <c r="F392">
        <v>2.54</v>
      </c>
    </row>
    <row r="393" spans="2:6">
      <c r="B393" t="s">
        <v>256</v>
      </c>
      <c r="F393">
        <v>1.2</v>
      </c>
    </row>
    <row r="394" spans="2:6">
      <c r="B394" t="s">
        <v>257</v>
      </c>
      <c r="F394">
        <v>1.2</v>
      </c>
    </row>
    <row r="395" spans="2:6">
      <c r="B395" t="s">
        <v>258</v>
      </c>
      <c r="F395">
        <v>1.4</v>
      </c>
    </row>
    <row r="396" spans="2:6">
      <c r="B396" t="s">
        <v>259</v>
      </c>
      <c r="F396">
        <v>2.2999999999999998</v>
      </c>
    </row>
    <row r="397" spans="2:6">
      <c r="B397" t="s">
        <v>260</v>
      </c>
      <c r="F397">
        <v>0.33</v>
      </c>
    </row>
    <row r="398" spans="2:6">
      <c r="B398" t="s">
        <v>261</v>
      </c>
      <c r="F398">
        <v>4.45</v>
      </c>
    </row>
    <row r="399" spans="2:6">
      <c r="B399" t="s">
        <v>262</v>
      </c>
      <c r="F399">
        <v>4.3</v>
      </c>
    </row>
    <row r="400" spans="2:6">
      <c r="B400" t="s">
        <v>263</v>
      </c>
      <c r="F400">
        <v>4.57</v>
      </c>
    </row>
    <row r="401" spans="2:6">
      <c r="B401" t="s">
        <v>264</v>
      </c>
      <c r="F401">
        <v>4.9000000000000004</v>
      </c>
    </row>
    <row r="402" spans="2:6">
      <c r="B402" t="s">
        <v>265</v>
      </c>
      <c r="F402">
        <v>1.67</v>
      </c>
    </row>
    <row r="403" spans="2:6">
      <c r="B403" t="s">
        <v>266</v>
      </c>
      <c r="F403">
        <v>2.5</v>
      </c>
    </row>
    <row r="404" spans="2:6">
      <c r="B404" t="s">
        <v>267</v>
      </c>
      <c r="F404">
        <v>1.78</v>
      </c>
    </row>
    <row r="405" spans="2:6">
      <c r="B405" t="s">
        <v>268</v>
      </c>
      <c r="F405">
        <v>1.7</v>
      </c>
    </row>
    <row r="406" spans="2:6">
      <c r="B406" t="s">
        <v>269</v>
      </c>
      <c r="F406">
        <v>7.6</v>
      </c>
    </row>
    <row r="407" spans="2:6">
      <c r="B407" t="s">
        <v>298</v>
      </c>
      <c r="F407">
        <v>1.92</v>
      </c>
    </row>
    <row r="408" spans="2:6">
      <c r="B408" t="s">
        <v>299</v>
      </c>
      <c r="F408">
        <v>1.55</v>
      </c>
    </row>
    <row r="409" spans="2:6">
      <c r="B409" t="s">
        <v>300</v>
      </c>
      <c r="F409">
        <v>1.36</v>
      </c>
    </row>
    <row r="410" spans="2:6">
      <c r="B410" t="s">
        <v>301</v>
      </c>
      <c r="F410">
        <v>1.87</v>
      </c>
    </row>
    <row r="411" spans="2:6">
      <c r="B411" t="s">
        <v>302</v>
      </c>
      <c r="F411">
        <v>1.6</v>
      </c>
    </row>
    <row r="412" spans="2:6">
      <c r="B412" t="s">
        <v>303</v>
      </c>
      <c r="F412">
        <v>1.86</v>
      </c>
    </row>
    <row r="413" spans="2:6">
      <c r="B413" t="s">
        <v>304</v>
      </c>
      <c r="F413">
        <v>1.78</v>
      </c>
    </row>
    <row r="414" spans="2:6">
      <c r="B414" t="s">
        <v>305</v>
      </c>
      <c r="F414">
        <v>1.96</v>
      </c>
    </row>
    <row r="415" spans="2:6">
      <c r="B415" t="s">
        <v>306</v>
      </c>
      <c r="F415">
        <v>1.6</v>
      </c>
    </row>
    <row r="416" spans="2:6">
      <c r="B416" t="s">
        <v>307</v>
      </c>
      <c r="F416">
        <v>1.7</v>
      </c>
    </row>
    <row r="417" spans="2:6">
      <c r="B417" t="s">
        <v>308</v>
      </c>
      <c r="F417">
        <v>1.63</v>
      </c>
    </row>
    <row r="418" spans="2:6">
      <c r="B418" t="s">
        <v>309</v>
      </c>
      <c r="F418">
        <v>2.2000000000000002</v>
      </c>
    </row>
    <row r="419" spans="2:6">
      <c r="B419" t="s">
        <v>310</v>
      </c>
      <c r="F419">
        <v>2.2999999999999998</v>
      </c>
    </row>
    <row r="420" spans="2:6">
      <c r="B420" t="s">
        <v>311</v>
      </c>
      <c r="F420">
        <v>1.1200000000000001</v>
      </c>
    </row>
    <row r="421" spans="2:6">
      <c r="B421" t="s">
        <v>312</v>
      </c>
      <c r="F421">
        <v>1.55</v>
      </c>
    </row>
    <row r="422" spans="2:6">
      <c r="B422" t="s">
        <v>313</v>
      </c>
      <c r="F422">
        <v>1.36</v>
      </c>
    </row>
    <row r="423" spans="2:6">
      <c r="B423" t="s">
        <v>301</v>
      </c>
      <c r="F423">
        <v>1.87</v>
      </c>
    </row>
    <row r="424" spans="2:6">
      <c r="B424" t="s">
        <v>302</v>
      </c>
      <c r="F424">
        <v>1.6</v>
      </c>
    </row>
    <row r="425" spans="2:6">
      <c r="B425" t="s">
        <v>314</v>
      </c>
      <c r="F425">
        <v>1.86</v>
      </c>
    </row>
    <row r="426" spans="2:6">
      <c r="B426" t="s">
        <v>315</v>
      </c>
      <c r="F426">
        <v>1.78</v>
      </c>
    </row>
    <row r="427" spans="2:6">
      <c r="B427" t="s">
        <v>316</v>
      </c>
      <c r="F427">
        <v>1.96</v>
      </c>
    </row>
    <row r="428" spans="2:6">
      <c r="B428" t="s">
        <v>317</v>
      </c>
      <c r="F428">
        <v>1.6</v>
      </c>
    </row>
    <row r="429" spans="2:6">
      <c r="B429" t="s">
        <v>318</v>
      </c>
      <c r="F429">
        <v>1.7</v>
      </c>
    </row>
    <row r="430" spans="2:6">
      <c r="B430" t="s">
        <v>319</v>
      </c>
      <c r="F430">
        <v>1.63</v>
      </c>
    </row>
    <row r="431" spans="2:6">
      <c r="B431" t="s">
        <v>320</v>
      </c>
      <c r="F431">
        <v>2.2000000000000002</v>
      </c>
    </row>
    <row r="432" spans="2:6">
      <c r="B432" t="s">
        <v>310</v>
      </c>
      <c r="F432">
        <v>2.2999999999999998</v>
      </c>
    </row>
    <row r="433" spans="2:6">
      <c r="B433" t="s">
        <v>321</v>
      </c>
      <c r="F433">
        <v>1.1200000000000001</v>
      </c>
    </row>
    <row r="434" spans="2:6">
      <c r="B434" t="s">
        <v>322</v>
      </c>
      <c r="F434">
        <v>2.2999999999999998</v>
      </c>
    </row>
    <row r="435" spans="2:6">
      <c r="B435" t="s">
        <v>297</v>
      </c>
      <c r="F435">
        <v>1.6</v>
      </c>
    </row>
    <row r="436" spans="2:6">
      <c r="B436" t="s">
        <v>323</v>
      </c>
      <c r="F436">
        <v>1.6</v>
      </c>
    </row>
    <row r="437" spans="2:6">
      <c r="B437" t="s">
        <v>324</v>
      </c>
      <c r="F437">
        <v>1.76</v>
      </c>
    </row>
    <row r="438" spans="2:6">
      <c r="B438" t="s">
        <v>325</v>
      </c>
      <c r="F438">
        <v>2</v>
      </c>
    </row>
    <row r="439" spans="2:6">
      <c r="B439" t="s">
        <v>45</v>
      </c>
      <c r="F439">
        <v>1.48</v>
      </c>
    </row>
    <row r="440" spans="2:6">
      <c r="B440" t="s">
        <v>50</v>
      </c>
      <c r="F440">
        <v>1.53</v>
      </c>
    </row>
    <row r="441" spans="2:6">
      <c r="B441" t="s">
        <v>43</v>
      </c>
      <c r="F441">
        <v>1.37</v>
      </c>
    </row>
    <row r="442" spans="2:6">
      <c r="B442" t="s">
        <v>52</v>
      </c>
      <c r="F442">
        <v>1.48</v>
      </c>
    </row>
    <row r="443" spans="2:6">
      <c r="B443" t="s">
        <v>326</v>
      </c>
      <c r="F443">
        <v>1.3</v>
      </c>
    </row>
    <row r="444" spans="2:6">
      <c r="B444" t="s">
        <v>327</v>
      </c>
      <c r="F444">
        <v>1.54</v>
      </c>
    </row>
    <row r="445" spans="2:6">
      <c r="B445" t="s">
        <v>328</v>
      </c>
      <c r="F445">
        <v>1.3</v>
      </c>
    </row>
    <row r="446" spans="2:6">
      <c r="B446" t="s">
        <v>329</v>
      </c>
      <c r="F446">
        <v>1.55</v>
      </c>
    </row>
    <row r="447" spans="2:6">
      <c r="B447" t="s">
        <v>330</v>
      </c>
      <c r="F447">
        <v>1.8</v>
      </c>
    </row>
    <row r="448" spans="2:6">
      <c r="B448" t="s">
        <v>331</v>
      </c>
      <c r="F448">
        <v>1.9</v>
      </c>
    </row>
    <row r="449" spans="2:6">
      <c r="B449" t="s">
        <v>332</v>
      </c>
      <c r="F449">
        <v>1.25</v>
      </c>
    </row>
    <row r="450" spans="2:6">
      <c r="B450" t="s">
        <v>49</v>
      </c>
      <c r="F450">
        <v>2</v>
      </c>
    </row>
    <row r="451" spans="2:6">
      <c r="B451" t="s">
        <v>46</v>
      </c>
      <c r="F451">
        <v>2</v>
      </c>
    </row>
    <row r="452" spans="2:6">
      <c r="B452" t="s">
        <v>44</v>
      </c>
      <c r="F452">
        <v>2.1</v>
      </c>
    </row>
    <row r="453" spans="2:6">
      <c r="B453" t="s">
        <v>333</v>
      </c>
      <c r="F453">
        <v>1.7</v>
      </c>
    </row>
    <row r="454" spans="2:6">
      <c r="B454" t="s">
        <v>334</v>
      </c>
      <c r="F454">
        <v>1.2</v>
      </c>
    </row>
    <row r="455" spans="2:6">
      <c r="B455" t="s">
        <v>335</v>
      </c>
      <c r="F455">
        <v>5.0999999999999996</v>
      </c>
    </row>
    <row r="456" spans="2:6">
      <c r="B456" t="s">
        <v>336</v>
      </c>
      <c r="F456">
        <v>6.6</v>
      </c>
    </row>
    <row r="457" spans="2:6">
      <c r="B457" t="s">
        <v>337</v>
      </c>
      <c r="F457">
        <v>4.38</v>
      </c>
    </row>
    <row r="458" spans="2:6">
      <c r="B458" t="s">
        <v>338</v>
      </c>
      <c r="F458">
        <v>5</v>
      </c>
    </row>
    <row r="459" spans="2:6">
      <c r="B459" t="s">
        <v>339</v>
      </c>
      <c r="F459">
        <v>3.3</v>
      </c>
    </row>
    <row r="460" spans="2:6">
      <c r="B460" t="s">
        <v>340</v>
      </c>
      <c r="F460">
        <v>2</v>
      </c>
    </row>
    <row r="461" spans="2:6">
      <c r="B461" t="s">
        <v>341</v>
      </c>
      <c r="F461">
        <v>2</v>
      </c>
    </row>
    <row r="462" spans="2:6">
      <c r="B462" t="s">
        <v>342</v>
      </c>
      <c r="F462">
        <v>2</v>
      </c>
    </row>
    <row r="463" spans="2:6">
      <c r="B463" t="s">
        <v>343</v>
      </c>
      <c r="F463">
        <v>1.8</v>
      </c>
    </row>
    <row r="464" spans="2:6">
      <c r="B464" t="s">
        <v>344</v>
      </c>
      <c r="F464">
        <v>1.8</v>
      </c>
    </row>
    <row r="465" spans="2:6">
      <c r="B465" t="s">
        <v>345</v>
      </c>
      <c r="F465">
        <v>1.45</v>
      </c>
    </row>
    <row r="466" spans="2:6">
      <c r="B466" t="s">
        <v>346</v>
      </c>
      <c r="F466">
        <v>1.25</v>
      </c>
    </row>
    <row r="467" spans="2:6">
      <c r="B467" t="s">
        <v>347</v>
      </c>
      <c r="F467">
        <v>1.5</v>
      </c>
    </row>
    <row r="468" spans="2:6">
      <c r="B468" t="s">
        <v>348</v>
      </c>
      <c r="F468">
        <v>1.6</v>
      </c>
    </row>
    <row r="469" spans="2:6">
      <c r="B469" t="s">
        <v>349</v>
      </c>
      <c r="F469">
        <v>1.7</v>
      </c>
    </row>
    <row r="470" spans="2:6">
      <c r="B470" t="s">
        <v>350</v>
      </c>
      <c r="F470">
        <v>1.2</v>
      </c>
    </row>
    <row r="471" spans="2:6">
      <c r="B471" t="s">
        <v>351</v>
      </c>
      <c r="F471">
        <v>1.4</v>
      </c>
    </row>
    <row r="472" spans="2:6">
      <c r="B472" t="s">
        <v>352</v>
      </c>
      <c r="F472">
        <v>1.33</v>
      </c>
    </row>
    <row r="473" spans="2:6">
      <c r="B473" t="s">
        <v>353</v>
      </c>
      <c r="F473">
        <v>1.4</v>
      </c>
    </row>
    <row r="474" spans="2:6">
      <c r="B474" t="s">
        <v>354</v>
      </c>
      <c r="F474">
        <v>1.17</v>
      </c>
    </row>
    <row r="475" spans="2:6">
      <c r="B475" t="s">
        <v>355</v>
      </c>
      <c r="F475">
        <v>1.25</v>
      </c>
    </row>
    <row r="476" spans="2:6">
      <c r="B476" t="s">
        <v>356</v>
      </c>
      <c r="F476">
        <v>1.58</v>
      </c>
    </row>
    <row r="477" spans="2:6">
      <c r="B477" t="s">
        <v>357</v>
      </c>
      <c r="F477">
        <v>2.37</v>
      </c>
    </row>
    <row r="478" spans="2:6">
      <c r="B478" t="s">
        <v>358</v>
      </c>
      <c r="F478">
        <v>1.1200000000000001</v>
      </c>
    </row>
    <row r="479" spans="2:6">
      <c r="B479" t="s">
        <v>359</v>
      </c>
      <c r="F479">
        <v>1.36</v>
      </c>
    </row>
    <row r="480" spans="2:6">
      <c r="B480" t="s">
        <v>360</v>
      </c>
      <c r="F480">
        <v>1.3</v>
      </c>
    </row>
    <row r="481" spans="2:6">
      <c r="B481" t="s">
        <v>361</v>
      </c>
      <c r="F481">
        <v>3.15</v>
      </c>
    </row>
    <row r="482" spans="2:6">
      <c r="B482" t="s">
        <v>362</v>
      </c>
      <c r="F482">
        <v>3.5</v>
      </c>
    </row>
    <row r="483" spans="2:6">
      <c r="B483" t="s">
        <v>363</v>
      </c>
      <c r="F483">
        <v>4.5</v>
      </c>
    </row>
    <row r="484" spans="2:6">
      <c r="B484" t="s">
        <v>364</v>
      </c>
      <c r="F484">
        <v>3.18</v>
      </c>
    </row>
    <row r="485" spans="2:6">
      <c r="B485" t="s">
        <v>365</v>
      </c>
      <c r="F485">
        <v>5</v>
      </c>
    </row>
    <row r="486" spans="2:6">
      <c r="B486" t="s">
        <v>366</v>
      </c>
      <c r="F486">
        <v>3.4</v>
      </c>
    </row>
    <row r="487" spans="2:6">
      <c r="B487" t="s">
        <v>367</v>
      </c>
      <c r="F487">
        <v>1.82</v>
      </c>
    </row>
    <row r="488" spans="2:6">
      <c r="B488" t="s">
        <v>368</v>
      </c>
      <c r="F488">
        <v>1.36</v>
      </c>
    </row>
    <row r="489" spans="2:6">
      <c r="B489" t="s">
        <v>369</v>
      </c>
      <c r="F489">
        <v>1.39</v>
      </c>
    </row>
    <row r="490" spans="2:6">
      <c r="B490" t="s">
        <v>370</v>
      </c>
      <c r="F490">
        <v>1.33</v>
      </c>
    </row>
    <row r="491" spans="2:6">
      <c r="B491" t="s">
        <v>371</v>
      </c>
      <c r="F491">
        <v>3.05</v>
      </c>
    </row>
    <row r="492" spans="2:6">
      <c r="B492" t="s">
        <v>372</v>
      </c>
      <c r="F492">
        <v>3</v>
      </c>
    </row>
    <row r="493" spans="2:6">
      <c r="B493" t="s">
        <v>373</v>
      </c>
      <c r="F493">
        <v>1.69</v>
      </c>
    </row>
    <row r="494" spans="2:6">
      <c r="B494" t="s">
        <v>374</v>
      </c>
      <c r="F494">
        <v>1.59</v>
      </c>
    </row>
    <row r="495" spans="2:6">
      <c r="B495" t="s">
        <v>375</v>
      </c>
      <c r="F495">
        <v>1.59</v>
      </c>
    </row>
    <row r="496" spans="2:6">
      <c r="B496" t="s">
        <v>376</v>
      </c>
      <c r="F496">
        <v>1.61</v>
      </c>
    </row>
    <row r="497" spans="2:6">
      <c r="B497" t="s">
        <v>377</v>
      </c>
      <c r="F497">
        <v>2.35</v>
      </c>
    </row>
    <row r="498" spans="2:6">
      <c r="B498" t="s">
        <v>378</v>
      </c>
      <c r="F498">
        <v>1.84</v>
      </c>
    </row>
    <row r="499" spans="2:6">
      <c r="B499" t="s">
        <v>379</v>
      </c>
      <c r="F499">
        <v>1.74</v>
      </c>
    </row>
    <row r="500" spans="2:6">
      <c r="B500" t="s">
        <v>380</v>
      </c>
      <c r="F500">
        <v>1.81</v>
      </c>
    </row>
    <row r="501" spans="2:6">
      <c r="B501" t="s">
        <v>381</v>
      </c>
      <c r="F501">
        <v>2.14</v>
      </c>
    </row>
    <row r="502" spans="2:6">
      <c r="B502" t="s">
        <v>382</v>
      </c>
      <c r="F502">
        <v>1.78</v>
      </c>
    </row>
    <row r="503" spans="2:6">
      <c r="B503" t="s">
        <v>383</v>
      </c>
      <c r="F503">
        <v>1.78</v>
      </c>
    </row>
    <row r="504" spans="2:6">
      <c r="B504" t="s">
        <v>384</v>
      </c>
      <c r="F504">
        <v>6.3</v>
      </c>
    </row>
    <row r="505" spans="2:6">
      <c r="B505" t="s">
        <v>385</v>
      </c>
      <c r="F505">
        <v>2.8</v>
      </c>
    </row>
    <row r="506" spans="2:6">
      <c r="B506" t="s">
        <v>386</v>
      </c>
      <c r="F506">
        <v>2.89</v>
      </c>
    </row>
    <row r="507" spans="2:6">
      <c r="B507" t="s">
        <v>341</v>
      </c>
      <c r="F507">
        <v>2.0499999999999998</v>
      </c>
    </row>
    <row r="508" spans="2:6">
      <c r="B508" t="s">
        <v>387</v>
      </c>
      <c r="F508">
        <v>1.32</v>
      </c>
    </row>
    <row r="509" spans="2:6">
      <c r="B509" t="s">
        <v>388</v>
      </c>
      <c r="F509">
        <v>1.22</v>
      </c>
    </row>
    <row r="510" spans="2:6">
      <c r="B510" t="s">
        <v>389</v>
      </c>
      <c r="F510">
        <v>12.4</v>
      </c>
    </row>
    <row r="511" spans="2:6">
      <c r="B511" t="s">
        <v>390</v>
      </c>
      <c r="F511">
        <v>9.34</v>
      </c>
    </row>
    <row r="512" spans="2:6">
      <c r="B512" t="s">
        <v>391</v>
      </c>
      <c r="F512">
        <v>16.899999999999999</v>
      </c>
    </row>
    <row r="513" spans="2:6">
      <c r="B513" t="s">
        <v>392</v>
      </c>
      <c r="F513">
        <v>9.3000000000000007</v>
      </c>
    </row>
    <row r="514" spans="2:6">
      <c r="B514" t="s">
        <v>393</v>
      </c>
      <c r="F514">
        <v>7.25</v>
      </c>
    </row>
    <row r="515" spans="2:6">
      <c r="B515" t="s">
        <v>394</v>
      </c>
      <c r="F515">
        <v>7.25</v>
      </c>
    </row>
    <row r="516" spans="2:6">
      <c r="B516" t="s">
        <v>395</v>
      </c>
      <c r="F516">
        <v>7.56</v>
      </c>
    </row>
    <row r="517" spans="2:6">
      <c r="B517" t="s">
        <v>396</v>
      </c>
      <c r="F517">
        <v>10.46</v>
      </c>
    </row>
    <row r="518" spans="2:6">
      <c r="B518" t="s">
        <v>397</v>
      </c>
      <c r="F518">
        <v>9.4600000000000009</v>
      </c>
    </row>
    <row r="519" spans="2:6">
      <c r="B519" t="s">
        <v>398</v>
      </c>
      <c r="F519">
        <v>2.7</v>
      </c>
    </row>
    <row r="520" spans="2:6">
      <c r="B520" t="s">
        <v>399</v>
      </c>
      <c r="F520">
        <v>1.28</v>
      </c>
    </row>
    <row r="521" spans="2:6">
      <c r="B521" t="s">
        <v>400</v>
      </c>
      <c r="F521">
        <v>3.61</v>
      </c>
    </row>
    <row r="522" spans="2:6">
      <c r="B522" t="s">
        <v>401</v>
      </c>
      <c r="F522">
        <v>6</v>
      </c>
    </row>
    <row r="523" spans="2:6">
      <c r="B523" t="s">
        <v>402</v>
      </c>
      <c r="F523">
        <v>5.47</v>
      </c>
    </row>
    <row r="524" spans="2:6">
      <c r="B524" t="s">
        <v>403</v>
      </c>
      <c r="F524">
        <v>5.26</v>
      </c>
    </row>
    <row r="525" spans="2:6">
      <c r="B525" t="s">
        <v>404</v>
      </c>
      <c r="F525">
        <v>5.14</v>
      </c>
    </row>
    <row r="526" spans="2:6">
      <c r="B526" t="s">
        <v>405</v>
      </c>
      <c r="F526">
        <v>6</v>
      </c>
    </row>
    <row r="527" spans="2:6">
      <c r="B527" t="s">
        <v>406</v>
      </c>
      <c r="F527">
        <v>4.25</v>
      </c>
    </row>
    <row r="528" spans="2:6">
      <c r="B528" t="s">
        <v>407</v>
      </c>
      <c r="F528">
        <v>8</v>
      </c>
    </row>
    <row r="529" spans="2:6">
      <c r="B529" t="s">
        <v>408</v>
      </c>
      <c r="F529">
        <v>1.2</v>
      </c>
    </row>
    <row r="530" spans="2:6">
      <c r="B530" t="s">
        <v>409</v>
      </c>
      <c r="F530">
        <v>26.8</v>
      </c>
    </row>
    <row r="531" spans="2:6">
      <c r="B531" t="s">
        <v>410</v>
      </c>
      <c r="F531">
        <v>10.7</v>
      </c>
    </row>
    <row r="532" spans="2:6">
      <c r="B532" t="s">
        <v>411</v>
      </c>
      <c r="F532">
        <v>1.32</v>
      </c>
    </row>
    <row r="533" spans="2:6">
      <c r="B533" t="s">
        <v>412</v>
      </c>
      <c r="F533">
        <v>1.24</v>
      </c>
    </row>
    <row r="534" spans="2:6">
      <c r="B534" t="s">
        <v>413</v>
      </c>
      <c r="F534">
        <v>5.2</v>
      </c>
    </row>
    <row r="535" spans="2:6">
      <c r="B535" t="s">
        <v>414</v>
      </c>
      <c r="F535">
        <v>1.08</v>
      </c>
    </row>
    <row r="536" spans="2:6">
      <c r="B536" t="s">
        <v>415</v>
      </c>
      <c r="F536">
        <v>1.27</v>
      </c>
    </row>
    <row r="537" spans="2:6">
      <c r="B537" t="s">
        <v>416</v>
      </c>
      <c r="F537">
        <v>1.8</v>
      </c>
    </row>
    <row r="538" spans="2:6">
      <c r="B538" t="s">
        <v>417</v>
      </c>
      <c r="F538">
        <v>2.06</v>
      </c>
    </row>
    <row r="539" spans="2:6">
      <c r="B539" t="s">
        <v>418</v>
      </c>
      <c r="F539">
        <v>1.27</v>
      </c>
    </row>
    <row r="540" spans="2:6">
      <c r="B540" t="s">
        <v>419</v>
      </c>
      <c r="F540">
        <v>2.04</v>
      </c>
    </row>
    <row r="541" spans="2:6">
      <c r="B541" t="s">
        <v>420</v>
      </c>
      <c r="F541">
        <v>1.1000000000000001</v>
      </c>
    </row>
    <row r="542" spans="2:6">
      <c r="B542" t="s">
        <v>421</v>
      </c>
      <c r="F542">
        <v>2.6</v>
      </c>
    </row>
    <row r="543" spans="2:6">
      <c r="B543" t="s">
        <v>422</v>
      </c>
      <c r="F543">
        <v>1.5</v>
      </c>
    </row>
    <row r="544" spans="2:6">
      <c r="B544" t="s">
        <v>423</v>
      </c>
      <c r="F544">
        <v>1.2</v>
      </c>
    </row>
    <row r="545" spans="2:6">
      <c r="B545" t="s">
        <v>424</v>
      </c>
      <c r="F545">
        <v>1.67</v>
      </c>
    </row>
    <row r="546" spans="2:6">
      <c r="B546" t="s">
        <v>425</v>
      </c>
      <c r="F546">
        <v>2.08</v>
      </c>
    </row>
    <row r="547" spans="2:6">
      <c r="B547" t="s">
        <v>426</v>
      </c>
      <c r="F547">
        <v>2.6</v>
      </c>
    </row>
    <row r="548" spans="2:6">
      <c r="B548" t="s">
        <v>427</v>
      </c>
      <c r="F548">
        <v>0.62</v>
      </c>
    </row>
    <row r="549" spans="2:6">
      <c r="B549" t="s">
        <v>428</v>
      </c>
      <c r="F549">
        <v>1.52</v>
      </c>
    </row>
    <row r="550" spans="2:6">
      <c r="B550" t="s">
        <v>429</v>
      </c>
      <c r="F550">
        <v>2.9</v>
      </c>
    </row>
    <row r="551" spans="2:6">
      <c r="B551" t="s">
        <v>430</v>
      </c>
      <c r="F551">
        <v>2.35</v>
      </c>
    </row>
    <row r="552" spans="2:6">
      <c r="B552" t="s">
        <v>431</v>
      </c>
      <c r="F552">
        <v>2.82</v>
      </c>
    </row>
    <row r="553" spans="2:6">
      <c r="B553" t="s">
        <v>432</v>
      </c>
      <c r="F553">
        <v>1.5</v>
      </c>
    </row>
    <row r="554" spans="2:6">
      <c r="B554" t="s">
        <v>433</v>
      </c>
      <c r="F554">
        <v>1.49</v>
      </c>
    </row>
    <row r="555" spans="2:6">
      <c r="B555" t="s">
        <v>434</v>
      </c>
      <c r="F555">
        <v>1.49</v>
      </c>
    </row>
    <row r="556" spans="2:6">
      <c r="B556" t="s">
        <v>435</v>
      </c>
      <c r="F556">
        <v>1.5</v>
      </c>
    </row>
    <row r="557" spans="2:6">
      <c r="B557" t="s">
        <v>436</v>
      </c>
      <c r="F557">
        <v>1.49</v>
      </c>
    </row>
    <row r="558" spans="2:6">
      <c r="B558" t="s">
        <v>437</v>
      </c>
      <c r="F558">
        <v>1.49</v>
      </c>
    </row>
    <row r="559" spans="2:6">
      <c r="B559" t="s">
        <v>438</v>
      </c>
      <c r="F559">
        <v>1.79</v>
      </c>
    </row>
    <row r="560" spans="2:6">
      <c r="B560" t="s">
        <v>439</v>
      </c>
      <c r="F560">
        <v>2.29</v>
      </c>
    </row>
    <row r="561" spans="2:6">
      <c r="B561" t="s">
        <v>440</v>
      </c>
      <c r="F561">
        <v>1.66</v>
      </c>
    </row>
    <row r="562" spans="2:6">
      <c r="B562" t="s">
        <v>441</v>
      </c>
      <c r="F562">
        <v>1.4</v>
      </c>
    </row>
    <row r="563" spans="2:6">
      <c r="B563" t="s">
        <v>442</v>
      </c>
      <c r="F563">
        <v>1.59</v>
      </c>
    </row>
    <row r="564" spans="2:6">
      <c r="B564" t="s">
        <v>443</v>
      </c>
      <c r="F564">
        <v>1.2</v>
      </c>
    </row>
    <row r="565" spans="2:6">
      <c r="B565" t="s">
        <v>444</v>
      </c>
      <c r="F565">
        <v>1.47</v>
      </c>
    </row>
    <row r="566" spans="2:6">
      <c r="B566" t="s">
        <v>445</v>
      </c>
      <c r="F566">
        <v>1.24</v>
      </c>
    </row>
    <row r="567" spans="2:6">
      <c r="B567" t="s">
        <v>108</v>
      </c>
      <c r="F567">
        <v>1.35</v>
      </c>
    </row>
    <row r="568" spans="2:6">
      <c r="B568" t="s">
        <v>446</v>
      </c>
      <c r="F568">
        <v>2.14</v>
      </c>
    </row>
    <row r="569" spans="2:6">
      <c r="B569" t="s">
        <v>447</v>
      </c>
      <c r="F569">
        <v>1.71</v>
      </c>
    </row>
    <row r="570" spans="2:6">
      <c r="B570" t="s">
        <v>448</v>
      </c>
      <c r="F570">
        <v>1.85</v>
      </c>
    </row>
    <row r="571" spans="2:6">
      <c r="B571" t="s">
        <v>449</v>
      </c>
      <c r="F571">
        <v>1.85</v>
      </c>
    </row>
    <row r="572" spans="2:6">
      <c r="B572" t="s">
        <v>450</v>
      </c>
      <c r="F572">
        <v>1.36</v>
      </c>
    </row>
    <row r="573" spans="2:6">
      <c r="B573" t="s">
        <v>451</v>
      </c>
      <c r="F573">
        <v>1.26</v>
      </c>
    </row>
    <row r="574" spans="2:6">
      <c r="B574" t="s">
        <v>452</v>
      </c>
      <c r="F574">
        <v>2</v>
      </c>
    </row>
    <row r="575" spans="2:6">
      <c r="B575" t="s">
        <v>453</v>
      </c>
      <c r="F575">
        <v>2</v>
      </c>
    </row>
    <row r="576" spans="2:6">
      <c r="B576" t="s">
        <v>454</v>
      </c>
      <c r="F576">
        <v>1.82</v>
      </c>
    </row>
    <row r="577" spans="2:6">
      <c r="B577" t="s">
        <v>455</v>
      </c>
      <c r="F577">
        <v>1.51</v>
      </c>
    </row>
    <row r="578" spans="2:6">
      <c r="B578" t="s">
        <v>456</v>
      </c>
      <c r="F578">
        <v>1.29</v>
      </c>
    </row>
    <row r="579" spans="2:6">
      <c r="B579" t="s">
        <v>457</v>
      </c>
      <c r="F579">
        <v>1.27</v>
      </c>
    </row>
    <row r="580" spans="2:6">
      <c r="B580" t="s">
        <v>458</v>
      </c>
      <c r="F580">
        <v>1.28</v>
      </c>
    </row>
    <row r="581" spans="2:6">
      <c r="B581" t="s">
        <v>459</v>
      </c>
      <c r="F581">
        <v>1.32</v>
      </c>
    </row>
    <row r="582" spans="2:6">
      <c r="B582" t="s">
        <v>460</v>
      </c>
      <c r="F582">
        <v>1.55</v>
      </c>
    </row>
    <row r="583" spans="2:6">
      <c r="B583" t="s">
        <v>461</v>
      </c>
      <c r="F583">
        <v>1.36</v>
      </c>
    </row>
    <row r="584" spans="2:6">
      <c r="B584" t="s">
        <v>462</v>
      </c>
      <c r="F584">
        <v>1.46</v>
      </c>
    </row>
    <row r="585" spans="2:6">
      <c r="B585" t="s">
        <v>463</v>
      </c>
      <c r="F585">
        <v>1.74</v>
      </c>
    </row>
    <row r="586" spans="2:6">
      <c r="B586" t="s">
        <v>464</v>
      </c>
      <c r="F586">
        <v>2.5099999999999998</v>
      </c>
    </row>
    <row r="587" spans="2:6">
      <c r="B587" t="s">
        <v>465</v>
      </c>
      <c r="F587">
        <v>1.43</v>
      </c>
    </row>
    <row r="588" spans="2:6">
      <c r="B588" t="s">
        <v>466</v>
      </c>
      <c r="F588">
        <v>2.86</v>
      </c>
    </row>
    <row r="589" spans="2:6">
      <c r="B589" t="s">
        <v>467</v>
      </c>
      <c r="F589">
        <v>1.85</v>
      </c>
    </row>
    <row r="590" spans="2:6">
      <c r="B590" t="s">
        <v>468</v>
      </c>
      <c r="F590">
        <v>2.79</v>
      </c>
    </row>
    <row r="591" spans="2:6">
      <c r="B591" t="s">
        <v>469</v>
      </c>
      <c r="F591">
        <v>3.09</v>
      </c>
    </row>
    <row r="592" spans="2:6">
      <c r="B592" t="s">
        <v>470</v>
      </c>
      <c r="F592">
        <v>2.04</v>
      </c>
    </row>
    <row r="593" spans="2:6">
      <c r="B593" t="s">
        <v>471</v>
      </c>
      <c r="F593">
        <v>1.0900000000000001</v>
      </c>
    </row>
    <row r="594" spans="2:6">
      <c r="B594" t="s">
        <v>472</v>
      </c>
      <c r="F594">
        <v>1.36</v>
      </c>
    </row>
    <row r="595" spans="2:6">
      <c r="B595" t="s">
        <v>473</v>
      </c>
      <c r="F595">
        <v>1.17</v>
      </c>
    </row>
    <row r="596" spans="2:6">
      <c r="B596" t="s">
        <v>51</v>
      </c>
      <c r="F596">
        <v>1.32</v>
      </c>
    </row>
    <row r="597" spans="2:6">
      <c r="B597" t="s">
        <v>347</v>
      </c>
      <c r="F597">
        <v>1.49</v>
      </c>
    </row>
    <row r="598" spans="2:6">
      <c r="B598" t="s">
        <v>474</v>
      </c>
      <c r="F598">
        <v>2</v>
      </c>
    </row>
    <row r="599" spans="2:6">
      <c r="B599" t="s">
        <v>475</v>
      </c>
      <c r="F599">
        <v>1.24</v>
      </c>
    </row>
    <row r="600" spans="2:6">
      <c r="B600" t="s">
        <v>476</v>
      </c>
      <c r="F600">
        <v>1.75</v>
      </c>
    </row>
    <row r="601" spans="2:6">
      <c r="B601" t="s">
        <v>477</v>
      </c>
      <c r="F601">
        <v>2.74</v>
      </c>
    </row>
    <row r="602" spans="2:6">
      <c r="B602" t="s">
        <v>478</v>
      </c>
      <c r="F602">
        <v>2.87</v>
      </c>
    </row>
    <row r="603" spans="2:6">
      <c r="B603" t="s">
        <v>479</v>
      </c>
      <c r="F603">
        <v>2.2599999999999998</v>
      </c>
    </row>
    <row r="604" spans="2:6">
      <c r="B604" t="s">
        <v>480</v>
      </c>
      <c r="F604">
        <v>1.26</v>
      </c>
    </row>
    <row r="605" spans="2:6">
      <c r="B605" t="s">
        <v>481</v>
      </c>
      <c r="F605">
        <v>1.26</v>
      </c>
    </row>
  </sheetData>
  <pageMargins left="0.7" right="0.7" top="0.75" bottom="0.75" header="0.3" footer="0.3"/>
  <pageSetup paperSize="385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2026-06-15T11:20:46Z</dcterms:modified>
</cp:coreProperties>
</file>